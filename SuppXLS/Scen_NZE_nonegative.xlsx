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10" activeTab="1"/>
  </bookViews>
  <sheets>
    <sheet name="DeletSectoralEmissions" sheetId="1" r:id="rId1"/>
    <sheet name="Economy-wideEmissions-relaxCons" sheetId="7" r:id="rId2"/>
    <sheet name="Economy-wideEmissions (2)" sheetId="9" r:id="rId3"/>
    <sheet name="SPV_cost_reductions" sheetId="3" r:id="rId4"/>
    <sheet name="Wind_Cost_reductions" sheetId="4" r:id="rId5"/>
    <sheet name="Wind2_costs" sheetId="5" r:id="rId6"/>
    <sheet name="Low RE Costs" sheetId="15" r:id="rId7"/>
    <sheet name="DeletBound_on_nuclear_andFossil" sheetId="6" r:id="rId8"/>
    <sheet name="DeletBound_on_gas" sheetId="12" r:id="rId9"/>
    <sheet name="DeletBound_on_oil" sheetId="13" r:id="rId10"/>
    <sheet name="DeletBound_on_coal" sheetId="14" r:id="rId11"/>
    <sheet name="Bioenergy_use" sheetId="8" r:id="rId12"/>
    <sheet name="TRDgasUseZero" sheetId="10" r:id="rId13"/>
    <sheet name="No-road-demand" sheetId="11" r:id="rId14"/>
  </sheets>
  <definedNames>
    <definedName name="IQ_FWD_CY" hidden="1">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M5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⚠️ 近期偏后置:线性插值下 2030 只约 −29%,比 NZE 的 −35% 略松 → 解释了 2030 前电动化乏力/倒退。想更贴 1.5°C 就显式加 2030 点并压低。
❌ 平底 776 到 2100:仍是主要缺陷。要么它没到真净零(应继续降到零/净负,或写成带移除的净上限),要么它相对增长需求越来越松、纵容末期化石回潮。</t>
        </r>
      </text>
    </comment>
  </commentList>
</comments>
</file>

<file path=xl/comments2.xml><?xml version="1.0" encoding="utf-8"?>
<comments xmlns="http://schemas.openxmlformats.org/spreadsheetml/2006/main">
  <authors>
    <author>Maurizio Gargiulo</author>
  </authors>
  <commentList>
    <comment ref="P2" authorId="0">
      <text>
        <r>
          <rPr>
            <b/>
            <sz val="8"/>
            <rFont val="Tahoma"/>
            <charset val="134"/>
          </rPr>
          <t>Insert Table</t>
        </r>
      </text>
    </comment>
    <comment ref="U2" authorId="0">
      <text>
        <r>
          <rPr>
            <b/>
            <sz val="8"/>
            <rFont val="Tahoma"/>
            <charset val="134"/>
          </rPr>
          <t>Insert Table</t>
        </r>
      </text>
    </comment>
    <comment ref="AC2" authorId="0">
      <text>
        <r>
          <rPr>
            <b/>
            <sz val="8"/>
            <rFont val="Tahoma"/>
            <charset val="134"/>
          </rPr>
          <t>Insert Table</t>
        </r>
      </text>
    </comment>
    <comment ref="AI2" authorId="0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comments3.xml><?xml version="1.0" encoding="utf-8"?>
<comments xmlns="http://schemas.openxmlformats.org/spreadsheetml/2006/main">
  <authors>
    <author>Maurizio Gargiulo</author>
  </authors>
  <commentList>
    <comment ref="P2" authorId="0">
      <text>
        <r>
          <rPr>
            <b/>
            <sz val="8"/>
            <rFont val="Tahoma"/>
            <charset val="134"/>
          </rPr>
          <t>Insert Table</t>
        </r>
      </text>
    </comment>
    <comment ref="U2" authorId="0">
      <text>
        <r>
          <rPr>
            <b/>
            <sz val="8"/>
            <rFont val="Tahoma"/>
            <charset val="134"/>
          </rPr>
          <t>Insert Table</t>
        </r>
      </text>
    </comment>
    <comment ref="AC2" authorId="0">
      <text>
        <r>
          <rPr>
            <b/>
            <sz val="8"/>
            <rFont val="Tahoma"/>
            <charset val="134"/>
          </rPr>
          <t>Insert Table</t>
        </r>
      </text>
    </comment>
    <comment ref="AI2" authorId="0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comments4.xml><?xml version="1.0" encoding="utf-8"?>
<comments xmlns="http://schemas.openxmlformats.org/spreadsheetml/2006/main">
  <authors>
    <author>Maurizio Gargiulo</author>
  </authors>
  <commentList>
    <comment ref="P2" authorId="0">
      <text>
        <r>
          <rPr>
            <b/>
            <sz val="8"/>
            <rFont val="Tahoma"/>
            <charset val="134"/>
          </rPr>
          <t>Insert Table</t>
        </r>
      </text>
    </comment>
    <comment ref="U2" authorId="0">
      <text>
        <r>
          <rPr>
            <b/>
            <sz val="8"/>
            <rFont val="Tahoma"/>
            <charset val="134"/>
          </rPr>
          <t>Insert Table</t>
        </r>
      </text>
    </comment>
    <comment ref="AC2" authorId="0">
      <text>
        <r>
          <rPr>
            <b/>
            <sz val="8"/>
            <rFont val="Tahoma"/>
            <charset val="134"/>
          </rPr>
          <t>Insert Table</t>
        </r>
      </text>
    </comment>
    <comment ref="AI2" authorId="0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comments5.xml><?xml version="1.0" encoding="utf-8"?>
<comments xmlns="http://schemas.openxmlformats.org/spreadsheetml/2006/main">
  <authors>
    <author>xli9</author>
  </authors>
  <commentList>
    <comment ref="L62" authorId="0">
      <text>
        <r>
          <rPr>
            <b/>
            <sz val="9"/>
            <rFont val="Times New Roman"/>
            <charset val="134"/>
          </rPr>
          <t>xli9:</t>
        </r>
        <r>
          <rPr>
            <sz val="9"/>
            <rFont val="Times New Roman"/>
            <charset val="134"/>
          </rPr>
          <t xml:space="preserve">
relax constraint of bio for transport [to include hdrogen+ammonia in bcz we have not modelled hydrogen in], to make it feasible</t>
        </r>
      </text>
    </comment>
  </commentList>
</comments>
</file>

<file path=xl/comments6.xml><?xml version="1.0" encoding="utf-8"?>
<comments xmlns="http://schemas.openxmlformats.org/spreadsheetml/2006/main">
  <authors>
    <author>xli9</author>
  </authors>
  <commentList>
    <comment ref="O1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should remove because WEO-NZE projects EJ decrease does not mean demand decrease, mainly because efficiency improvment</t>
        </r>
      </text>
    </comment>
  </commentList>
</comments>
</file>

<file path=xl/sharedStrings.xml><?xml version="1.0" encoding="utf-8"?>
<sst xmlns="http://schemas.openxmlformats.org/spreadsheetml/2006/main" count="75550" uniqueCount="4508">
  <si>
    <t>*Match percentage reduction trajectory.</t>
  </si>
  <si>
    <t>~UC_Sets: R_S: AllRegions</t>
  </si>
  <si>
    <t>~UC_Sets: T_S:</t>
  </si>
  <si>
    <t>~UC_T:UC_RHST</t>
  </si>
  <si>
    <t>Economy-wide emissions aligning with our boundary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</si>
  <si>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</si>
  <si>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</si>
  <si>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</si>
  <si>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</si>
  <si>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</si>
  <si>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</si>
  <si>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</si>
  <si>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</si>
  <si>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</si>
  <si>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UC_COMNET</t>
  </si>
  <si>
    <t>AllRegions</t>
  </si>
  <si>
    <t>WEO-Current policies</t>
  </si>
  <si>
    <t>WEO-stated policies</t>
  </si>
  <si>
    <t>WEO-NZE</t>
  </si>
  <si>
    <t>UC_ELCCO2_BND</t>
  </si>
  <si>
    <t>NetCO2_ELC</t>
  </si>
  <si>
    <t>UP</t>
  </si>
  <si>
    <t>UC_TRACO2_BND</t>
  </si>
  <si>
    <t>NetCO2_TRA</t>
  </si>
  <si>
    <t>UC_INDCO2_BND</t>
  </si>
  <si>
    <t>CPS</t>
  </si>
  <si>
    <t>SPS</t>
  </si>
  <si>
    <t>NZE</t>
  </si>
  <si>
    <t>Mt</t>
  </si>
  <si>
    <t>UC_TOTCO2_BND</t>
  </si>
  <si>
    <t>TOTCO2</t>
  </si>
  <si>
    <t>相对2024</t>
  </si>
  <si>
    <t>说明</t>
  </si>
  <si>
    <t>\I:2024</t>
  </si>
  <si>
    <t>基准</t>
  </si>
  <si>
    <t>持平</t>
  </si>
  <si>
    <t>−35%</t>
  </si>
  <si>
    <t>−35%，前置（新增点）</t>
  </si>
  <si>
    <t>−52%</t>
  </si>
  <si>
    <t>文档比例×基年（−52%）</t>
  </si>
  <si>
    <t>−77%</t>
  </si>
  <si>
    <t>文档比例×基年（−77%）</t>
  </si>
  <si>
    <t>−90%</t>
  </si>
  <si>
    <t>平滑插值（新增点）</t>
  </si>
  <si>
    <t>−97%</t>
  </si>
  <si>
    <t>文档比例×基年（−97%）</t>
  </si>
  <si>
    <t>−99%</t>
  </si>
  <si>
    <t>继续下降（修平底）</t>
  </si>
  <si>
    <t>净零</t>
  </si>
  <si>
    <t>净负</t>
  </si>
  <si>
    <t>净负（如含 BECCS/DAC）</t>
  </si>
  <si>
    <t>~TFM_UPD</t>
  </si>
  <si>
    <t>Corresponding "similar-income" level country which has detailed value in WEO</t>
  </si>
  <si>
    <t>Process</t>
  </si>
  <si>
    <t>sourcescen</t>
  </si>
  <si>
    <t>India</t>
  </si>
  <si>
    <t>EN_SPV_21_c01_AFG</t>
  </si>
  <si>
    <t>INVCOST</t>
  </si>
  <si>
    <t>REZoning_Sol-Win</t>
  </si>
  <si>
    <t>*0.42</t>
  </si>
  <si>
    <t>EN_SPV_21_c02_AFG</t>
  </si>
  <si>
    <t>EN_SPV_21_c03_AFG</t>
  </si>
  <si>
    <t>EN_SPV_22_c01_AFG</t>
  </si>
  <si>
    <t>EN_SPV_22_c02_AFG</t>
  </si>
  <si>
    <t>EN_SPV_22_c03_AFG</t>
  </si>
  <si>
    <t>Africa</t>
  </si>
  <si>
    <t>EN_SPV_20_c01_AGO</t>
  </si>
  <si>
    <t>*0.41</t>
  </si>
  <si>
    <t>EN_SPV_20_c02_AGO</t>
  </si>
  <si>
    <t>EN_SPV_21_c01_AGO</t>
  </si>
  <si>
    <t>EN_SPV_21_c02_AGO</t>
  </si>
  <si>
    <t>EN_SPV_21_c03_AGO</t>
  </si>
  <si>
    <t>EN_SPV_22_c03_AGO</t>
  </si>
  <si>
    <t>EU</t>
  </si>
  <si>
    <t>EN_SPV_15_c02_ALB</t>
  </si>
  <si>
    <t>*0.49</t>
  </si>
  <si>
    <t>EN_SPV_16_c01_ALB</t>
  </si>
  <si>
    <t>EN_SPV_16_c02_ALB</t>
  </si>
  <si>
    <t>EN_SPV_17_c01_ALB</t>
  </si>
  <si>
    <t>Middle East</t>
  </si>
  <si>
    <t>EN_SPV_20_c01_ARE</t>
  </si>
  <si>
    <t>EN_SPV_20_c02_ARE</t>
  </si>
  <si>
    <t>EN_SPV_20_c03_ARE</t>
  </si>
  <si>
    <t>Brazil</t>
  </si>
  <si>
    <t>EN_SPV_19_c01_ARG</t>
  </si>
  <si>
    <t>*0.5</t>
  </si>
  <si>
    <t>EN_SPV_19_c02_ARG</t>
  </si>
  <si>
    <t>EN_SPV_20_c01_ARG</t>
  </si>
  <si>
    <t>EN_SPV_20_c02_ARG</t>
  </si>
  <si>
    <t>EN_SPV_20_c03_ARG</t>
  </si>
  <si>
    <t>EN_SPV_21_c01_ARG</t>
  </si>
  <si>
    <t>EN_SPV_21_c02_ARG</t>
  </si>
  <si>
    <t>EN_SPV_22_c01_ARG</t>
  </si>
  <si>
    <t>EN_SPV_23_c01_ARG</t>
  </si>
  <si>
    <t>EN_SPV_24_c01_ARG</t>
  </si>
  <si>
    <t>Russia</t>
  </si>
  <si>
    <t>EN_SPV_16_c01_ARM</t>
  </si>
  <si>
    <t>EN_SPV_17_c01_ARM</t>
  </si>
  <si>
    <t>USA</t>
  </si>
  <si>
    <t>EN_SPV_21_c04_AUS</t>
  </si>
  <si>
    <t>*0.45</t>
  </si>
  <si>
    <t>EN_SPV_12_c02_AUT</t>
  </si>
  <si>
    <t>EN_SPV_12_c03_AUT</t>
  </si>
  <si>
    <t>EN_SPV_13_c02_AUT</t>
  </si>
  <si>
    <t>EN_SPV_13_c03_AUT</t>
  </si>
  <si>
    <t>EN_SPV_14_c02_AUT</t>
  </si>
  <si>
    <t>EN_SPV_15_c02_AUT</t>
  </si>
  <si>
    <t>EN_SPV_14_c02_AZE</t>
  </si>
  <si>
    <t>EN_SPV_15_c02_AZE</t>
  </si>
  <si>
    <t>EN_SPV_16_c01_AZE</t>
  </si>
  <si>
    <t>EN_SPV_16_c02_AZE</t>
  </si>
  <si>
    <t>EN_SPV_17_c01_AZE</t>
  </si>
  <si>
    <t>EN_SPV_18_c01_AZE</t>
  </si>
  <si>
    <t>EN_SPV_16_c02_BDI</t>
  </si>
  <si>
    <t>EN_SPV_17_c01_BDI</t>
  </si>
  <si>
    <t>EN_SPV_17_c02_BDI</t>
  </si>
  <si>
    <t>EN_SPV_11_c03_BEL</t>
  </si>
  <si>
    <t>EN_SPV_12_c03_BEL</t>
  </si>
  <si>
    <t>EN_SPV_18_c01_BEN</t>
  </si>
  <si>
    <t>EN_SPV_18_c02_BEN</t>
  </si>
  <si>
    <t>EN_SPV_19_c01_BFA</t>
  </si>
  <si>
    <t>EN_SPV_19_c03_BFA</t>
  </si>
  <si>
    <t>EN_SPV_19_c04_BFA</t>
  </si>
  <si>
    <t>EN_SPV_14_c02_BGD</t>
  </si>
  <si>
    <t>EN_SPV_15_c01_BGD</t>
  </si>
  <si>
    <t>EN_SPV_15_c02_BGD</t>
  </si>
  <si>
    <t>EN_SPV_15_c03_BGD</t>
  </si>
  <si>
    <t>EN_SPV_16_c01_BGD</t>
  </si>
  <si>
    <t>EN_SPV_16_c02_BGD</t>
  </si>
  <si>
    <t>EN_SPV_16_c03_BGD</t>
  </si>
  <si>
    <t>EN_SPV_17_c01_BGD</t>
  </si>
  <si>
    <t>EN_SPV_17_c02_BGD</t>
  </si>
  <si>
    <t>EN_SPV_14_c02_BGR</t>
  </si>
  <si>
    <t>EN_SPV_15_c02_BGR</t>
  </si>
  <si>
    <t>EN_SPV_16_c01_BGR</t>
  </si>
  <si>
    <t>EN_SPV_19_c01_BHR</t>
  </si>
  <si>
    <t>EN_SPV_17_c01_BHS</t>
  </si>
  <si>
    <t>EN_SPV_17_c02_BHS</t>
  </si>
  <si>
    <t>EN_SPV_18_c01_BHS</t>
  </si>
  <si>
    <t>EN_SPV_18_c02_BHS</t>
  </si>
  <si>
    <t>EN_SPV_18_c03_BHS</t>
  </si>
  <si>
    <t>EN_SPV_18_c04_BHS</t>
  </si>
  <si>
    <t>EN_SPV_19_c04_BHS</t>
  </si>
  <si>
    <t>EN_SPV_13_c02_BIH</t>
  </si>
  <si>
    <t>EN_SPV_13_c03_BIH</t>
  </si>
  <si>
    <t>EN_SPV_14_c02_BIH</t>
  </si>
  <si>
    <t>EN_SPV_14_c03_BIH</t>
  </si>
  <si>
    <t>EN_SPV_15_c02_BIH</t>
  </si>
  <si>
    <t>EN_SPV_16_c02_BIH</t>
  </si>
  <si>
    <t>EN_SPV_12_c03_BLR</t>
  </si>
  <si>
    <t>EN_SPV_16_c01_BLZ</t>
  </si>
  <si>
    <t>EN_SPV_16_c02_BLZ</t>
  </si>
  <si>
    <t>EN_SPV_17_c01_BLZ</t>
  </si>
  <si>
    <t>EN_SPV_17_c02_BOL</t>
  </si>
  <si>
    <t>EN_SPV_17_c03_BOL</t>
  </si>
  <si>
    <t>EN_SPV_18_c03_BOL</t>
  </si>
  <si>
    <t>EN_SPV_19_c01_BOL</t>
  </si>
  <si>
    <t>EN_SPV_20_c01_BOL</t>
  </si>
  <si>
    <t>EN_SPV_17_c01_BRA</t>
  </si>
  <si>
    <t>EN_SPV_17_c03_BRA</t>
  </si>
  <si>
    <t>EN_SPV_17_c04_BRA</t>
  </si>
  <si>
    <t>EN_SPV_18_c01_BRA</t>
  </si>
  <si>
    <t>EN_SPV_18_c02_BRA</t>
  </si>
  <si>
    <t>EN_SPV_18_c03_BRA</t>
  </si>
  <si>
    <t>EN_SPV_18_c04_BRA</t>
  </si>
  <si>
    <t>EN_SPV_19_c01_BRA</t>
  </si>
  <si>
    <t>EN_SPV_19_c02_BRA</t>
  </si>
  <si>
    <t>EN_SPV_19_c03_BRA</t>
  </si>
  <si>
    <t>EN_SPV_20_c02_BRA</t>
  </si>
  <si>
    <t>China</t>
  </si>
  <si>
    <t>EN_SPV_16_c02_BRN</t>
  </si>
  <si>
    <t>*0.44</t>
  </si>
  <si>
    <t>EN_SPV_14_c02_BTN</t>
  </si>
  <si>
    <t>EN_SPV_22_c01_BWA</t>
  </si>
  <si>
    <t>EN_SPV_22_c02_BWA</t>
  </si>
  <si>
    <t>EN_SPV_22_c03_BWA</t>
  </si>
  <si>
    <t>EN_SPV_19_c04_CAF</t>
  </si>
  <si>
    <t>EN_SPV_11_c04_CAN</t>
  </si>
  <si>
    <t>EN_SPV_12_c02_CAN</t>
  </si>
  <si>
    <t>EN_SPV_12_c03_CAN</t>
  </si>
  <si>
    <t>EN_SPV_12_c04_CAN</t>
  </si>
  <si>
    <t>EN_SPV_13_c02_CAN</t>
  </si>
  <si>
    <t>EN_SPV_13_c03_CAN</t>
  </si>
  <si>
    <t>EN_SPV_13_c04_CAN</t>
  </si>
  <si>
    <t>EN_SPV_14_c01_CAN</t>
  </si>
  <si>
    <t>EN_SPV_14_c02_CAN</t>
  </si>
  <si>
    <t>EN_SPV_14_c03_CAN</t>
  </si>
  <si>
    <t>EN_SPV_14_c04_CAN</t>
  </si>
  <si>
    <t>EN_SPV_15_c01_CAN</t>
  </si>
  <si>
    <t>EN_SPV_15_c02_CAN</t>
  </si>
  <si>
    <t>EN_SPV_15_c03_CAN</t>
  </si>
  <si>
    <t>EN_SPV_15_c04_CAN</t>
  </si>
  <si>
    <t>EN_SPV_16_c01_CAN</t>
  </si>
  <si>
    <t>EN_SPV_16_c02_CAN</t>
  </si>
  <si>
    <t>EN_SPV_16_c03_CAN</t>
  </si>
  <si>
    <t>EN_SPV_16_c04_CAN</t>
  </si>
  <si>
    <t>EN_SPV_17_c01_CAN</t>
  </si>
  <si>
    <t>EN_SPV_17_c02_CAN</t>
  </si>
  <si>
    <t>EN_SPV_17_c03_CAN</t>
  </si>
  <si>
    <t>EN_SPV_13_c02_CHE</t>
  </si>
  <si>
    <t>EN_SPV_13_c03_CHE</t>
  </si>
  <si>
    <t>EN_SPV_14_c02_CHE</t>
  </si>
  <si>
    <t>EN_SPV_15_c02_CHE</t>
  </si>
  <si>
    <t>EN_SPV_20_c01_CHL</t>
  </si>
  <si>
    <t>EN_SPV_21_c01_CHL</t>
  </si>
  <si>
    <t>EN_SPV_21_c02_CHL</t>
  </si>
  <si>
    <t>EN_SPV_22_c01_CHL</t>
  </si>
  <si>
    <t>EN_SPV_23_c01_CHL</t>
  </si>
  <si>
    <t>EN_SPV_23_c02_CHL</t>
  </si>
  <si>
    <t>EN_SPV_24_c01_CHL</t>
  </si>
  <si>
    <t>EN_SPV_24_c02_CHL</t>
  </si>
  <si>
    <t>EN_SPV_25_c01_CHL</t>
  </si>
  <si>
    <t>EN_SPV_08_c03_CHN</t>
  </si>
  <si>
    <t>EN_SPV_08_c04_CHN</t>
  </si>
  <si>
    <t>EN_SPV_09_c03_CHN</t>
  </si>
  <si>
    <t>EN_SPV_09_c04_CHN</t>
  </si>
  <si>
    <t>EN_SPV_10_c03_CHN</t>
  </si>
  <si>
    <t>EN_SPV_11_c03_CHN</t>
  </si>
  <si>
    <t>EN_SPV_12_c02_CHN</t>
  </si>
  <si>
    <t>EN_SPV_12_c03_CHN</t>
  </si>
  <si>
    <t>EN_SPV_13_c02_CHN</t>
  </si>
  <si>
    <t>EN_SPV_13_c03_CHN</t>
  </si>
  <si>
    <t>EN_SPV_13_c04_CHN</t>
  </si>
  <si>
    <t>EN_SPV_14_c02_CHN</t>
  </si>
  <si>
    <t>EN_SPV_14_c03_CHN</t>
  </si>
  <si>
    <t>EN_SPV_15_c01_CHN</t>
  </si>
  <si>
    <t>EN_SPV_15_c02_CHN</t>
  </si>
  <si>
    <t>EN_SPV_15_c03_CHN</t>
  </si>
  <si>
    <t>EN_SPV_15_c04_CHN</t>
  </si>
  <si>
    <t>EN_SPV_16_c01_CHN</t>
  </si>
  <si>
    <t>EN_SPV_16_c02_CHN</t>
  </si>
  <si>
    <t>EN_SPV_16_c03_CHN</t>
  </si>
  <si>
    <t>EN_SPV_16_c04_CHN</t>
  </si>
  <si>
    <t>EN_SPV_17_c01_CHN</t>
  </si>
  <si>
    <t>EN_SPV_17_c02_CHN</t>
  </si>
  <si>
    <t>EN_SPV_17_c03_CHN</t>
  </si>
  <si>
    <t>EN_SPV_17_c04_CHN</t>
  </si>
  <si>
    <t>EN_SPV_18_c01_CHN</t>
  </si>
  <si>
    <t>EN_SPV_18_c02_CHN</t>
  </si>
  <si>
    <t>EN_SPV_18_c03_CHN</t>
  </si>
  <si>
    <t>EN_SPV_18_c04_CHN</t>
  </si>
  <si>
    <t>EN_SPV_19_c01_CHN</t>
  </si>
  <si>
    <t>EN_SPV_19_c02_CHN</t>
  </si>
  <si>
    <t>EN_SPV_19_c03_CHN</t>
  </si>
  <si>
    <t>EN_SPV_19_c04_CHN</t>
  </si>
  <si>
    <t>EN_SPV_20_c01_CHN</t>
  </si>
  <si>
    <t>EN_SPV_20_c02_CHN</t>
  </si>
  <si>
    <t>EN_SPV_20_c03_CHN</t>
  </si>
  <si>
    <t>EN_SPV_20_c04_CHN</t>
  </si>
  <si>
    <t>EN_SPV_16_c01_CIV</t>
  </si>
  <si>
    <t>EN_SPV_16_c02_CIV</t>
  </si>
  <si>
    <t>EN_SPV_16_c03_CIV</t>
  </si>
  <si>
    <t>EN_SPV_17_c01_CIV</t>
  </si>
  <si>
    <t>EN_SPV_17_c02_CIV</t>
  </si>
  <si>
    <t>EN_SPV_18_c01_CIV</t>
  </si>
  <si>
    <t>EN_SPV_18_c02_CIV</t>
  </si>
  <si>
    <t>EN_SPV_18_c01_CMR</t>
  </si>
  <si>
    <t>EN_SPV_19_c01_CMR</t>
  </si>
  <si>
    <t>EN_SPV_19_c02_CMR</t>
  </si>
  <si>
    <t>EN_SPV_19_c03_CMR</t>
  </si>
  <si>
    <t>EN_SPV_19_c01_COD</t>
  </si>
  <si>
    <t>EN_SPV_19_c02_COD</t>
  </si>
  <si>
    <t>EN_SPV_15_c04_COG</t>
  </si>
  <si>
    <t>EN_SPV_16_c02_COG</t>
  </si>
  <si>
    <t>EN_SPV_16_c03_COG</t>
  </si>
  <si>
    <t>EN_SPV_16_c04_COG</t>
  </si>
  <si>
    <t>EN_SPV_16_c01_COL</t>
  </si>
  <si>
    <t>EN_SPV_16_c02_COL</t>
  </si>
  <si>
    <t>EN_SPV_16_c04_COL</t>
  </si>
  <si>
    <t>EN_SPV_17_c01_COL</t>
  </si>
  <si>
    <t>EN_SPV_17_c02_COL</t>
  </si>
  <si>
    <t>EN_SPV_17_c03_COL</t>
  </si>
  <si>
    <t>EN_SPV_17_c04_COL</t>
  </si>
  <si>
    <t>EN_SPV_18_c01_COL</t>
  </si>
  <si>
    <t>EN_SPV_18_c02_COL</t>
  </si>
  <si>
    <t>EN_SPV_19_c01_COL</t>
  </si>
  <si>
    <t>EN_SPV_19_c02_COL</t>
  </si>
  <si>
    <t>EN_SPV_20_c02_COL</t>
  </si>
  <si>
    <t>EN_SPV_17_c01_CRI</t>
  </si>
  <si>
    <t>EN_SPV_17_c02_CRI</t>
  </si>
  <si>
    <t>EN_SPV_18_c01_CRI</t>
  </si>
  <si>
    <t>EN_SPV_18_c01_CUB</t>
  </si>
  <si>
    <t>EN_SPV_18_c02_CUB</t>
  </si>
  <si>
    <t>EN_SPV_18_c03_CUB</t>
  </si>
  <si>
    <t>EN_SPV_19_c01_CUB</t>
  </si>
  <si>
    <t>EN_SPV_19_c01_CYP</t>
  </si>
  <si>
    <t>EN_SPV_12_c02_CZE</t>
  </si>
  <si>
    <t>EN_SPV_12_c03_CZE</t>
  </si>
  <si>
    <t>EN_SPV_13_c02_CZE</t>
  </si>
  <si>
    <t>EN_SPV_13_c03_CZE</t>
  </si>
  <si>
    <t>EN_SPV_11_c03_DEU</t>
  </si>
  <si>
    <t>EN_SPV_12_c02_DEU</t>
  </si>
  <si>
    <t>EN_SPV_12_c03_DEU</t>
  </si>
  <si>
    <t>EN_SPV_13_c02_DEU</t>
  </si>
  <si>
    <t>EN_SPV_13_c03_DEU</t>
  </si>
  <si>
    <t>EN_SPV_19_c01_DJI</t>
  </si>
  <si>
    <t>EN_SPV_20_c01_DJI</t>
  </si>
  <si>
    <t>EN_SPV_11_c03_DNK</t>
  </si>
  <si>
    <t>EN_SPV_12_c02_DNK</t>
  </si>
  <si>
    <t>EN_SPV_12_c03_DNK</t>
  </si>
  <si>
    <t>EN_SPV_17_c01_DOM</t>
  </si>
  <si>
    <t>EN_SPV_17_c02_DOM</t>
  </si>
  <si>
    <t>EN_SPV_18_c01_DOM</t>
  </si>
  <si>
    <t>EN_SPV_19_c01_DOM</t>
  </si>
  <si>
    <t>EN_SPV_20_c01_DOM</t>
  </si>
  <si>
    <t>EN_SPV_21_c04_DZA</t>
  </si>
  <si>
    <t>EN_SPV_22_c01_DZA</t>
  </si>
  <si>
    <t>EN_SPV_22_c02_DZA</t>
  </si>
  <si>
    <t>EN_SPV_22_c03_DZA</t>
  </si>
  <si>
    <t>EN_SPV_22_c04_DZA</t>
  </si>
  <si>
    <t>EN_SPV_11_c03_ECU</t>
  </si>
  <si>
    <t>EN_SPV_12_c03_ECU</t>
  </si>
  <si>
    <t>EN_SPV_13_c02_ECU</t>
  </si>
  <si>
    <t>EN_SPV_13_c03_ECU</t>
  </si>
  <si>
    <t>EN_SPV_14_c02_ECU</t>
  </si>
  <si>
    <t>EN_SPV_14_c03_ECU</t>
  </si>
  <si>
    <t>EN_SPV_15_c02_ECU</t>
  </si>
  <si>
    <t>EN_SPV_16_c01_ECU</t>
  </si>
  <si>
    <t>EN_SPV_16_c02_ECU</t>
  </si>
  <si>
    <t>EN_SPV_18_c01_ECU</t>
  </si>
  <si>
    <t>EN_SPV_21_c03_EGY</t>
  </si>
  <si>
    <t>EN_SPV_21_c04_EGY</t>
  </si>
  <si>
    <t>EN_SPV_22_c01_EGY</t>
  </si>
  <si>
    <t>EN_SPV_22_c02_EGY</t>
  </si>
  <si>
    <t>EN_SPV_22_c03_EGY</t>
  </si>
  <si>
    <t>EN_SPV_22_c04_EGY</t>
  </si>
  <si>
    <t>EN_SPV_23_c01_EGY</t>
  </si>
  <si>
    <t>EN_SPV_23_c04_EGY</t>
  </si>
  <si>
    <t>EN_SPV_20_c02_ERI</t>
  </si>
  <si>
    <t>EN_SPV_13_c02_ESP</t>
  </si>
  <si>
    <t>EN_SPV_13_c03_ESP</t>
  </si>
  <si>
    <t>EN_SPV_14_c02_ESP</t>
  </si>
  <si>
    <t>EN_SPV_15_c02_ESP</t>
  </si>
  <si>
    <t>EN_SPV_16_c01_ESP</t>
  </si>
  <si>
    <t>EN_SPV_16_c02_ESP</t>
  </si>
  <si>
    <t>EN_SPV_17_c01_ESP</t>
  </si>
  <si>
    <t>EN_SPV_17_c02_ESP</t>
  </si>
  <si>
    <t>EN_SPV_18_c01_ESP</t>
  </si>
  <si>
    <t>EN_SPV_19_c01_ESP</t>
  </si>
  <si>
    <t>EN_SPV_19_c04_ESP</t>
  </si>
  <si>
    <t>EN_SPV_11_c03_EST</t>
  </si>
  <si>
    <t>EN_SPV_12_c03_EST</t>
  </si>
  <si>
    <t>EN_SPV_20_c01_ETH</t>
  </si>
  <si>
    <t>EN_SPV_20_c02_ETH</t>
  </si>
  <si>
    <t>EN_SPV_20_c03_ETH</t>
  </si>
  <si>
    <t>EN_SPV_21_c01_ETH</t>
  </si>
  <si>
    <t>EN_SPV_21_c02_ETH</t>
  </si>
  <si>
    <t>EN_SPV_21_c03_ETH</t>
  </si>
  <si>
    <t>EN_SPV_12_c02_FRA</t>
  </si>
  <si>
    <t>EN_SPV_12_c03_FRA</t>
  </si>
  <si>
    <t>EN_SPV_13_c02_FRA</t>
  </si>
  <si>
    <t>EN_SPV_13_c03_FRA</t>
  </si>
  <si>
    <t>EN_SPV_14_c02_FRA</t>
  </si>
  <si>
    <t>EN_SPV_14_c03_FRA</t>
  </si>
  <si>
    <t>EN_SPV_15_c02_FRA</t>
  </si>
  <si>
    <t>EN_SPV_16_c01_FRA</t>
  </si>
  <si>
    <t>EN_SPV_16_c02_FRA</t>
  </si>
  <si>
    <t>EN_SPV_17_c01_FRA</t>
  </si>
  <si>
    <t>EN_SPV_14_c02_GAB</t>
  </si>
  <si>
    <t>EN_SPV_14_c03_GAB</t>
  </si>
  <si>
    <t>EN_SPV_14_c04_GAB</t>
  </si>
  <si>
    <t>EN_SPV_15_c02_GAB</t>
  </si>
  <si>
    <t>EN_SPV_15_c03_GAB</t>
  </si>
  <si>
    <t>EN_SPV_16_c03_GAB</t>
  </si>
  <si>
    <t>EN_SPV_09_c03_GBR</t>
  </si>
  <si>
    <t>EN_SPV_09_c04_GBR</t>
  </si>
  <si>
    <t>EN_SPV_10_c03_GBR</t>
  </si>
  <si>
    <t>EN_SPV_10_c04_GBR</t>
  </si>
  <si>
    <t>EN_SPV_11_c03_GBR</t>
  </si>
  <si>
    <t>EN_SPV_12_c03_GBR</t>
  </si>
  <si>
    <t>EN_SPV_13_c02_GEO</t>
  </si>
  <si>
    <t>EN_SPV_14_c02_GEO</t>
  </si>
  <si>
    <t>EN_SPV_15_c02_GEO</t>
  </si>
  <si>
    <t>EN_SPV_16_c01_GEO</t>
  </si>
  <si>
    <t>EN_SPV_16_c02_GEO</t>
  </si>
  <si>
    <t>EN_SPV_15_c01_GHA</t>
  </si>
  <si>
    <t>EN_SPV_15_c02_GHA</t>
  </si>
  <si>
    <t>EN_SPV_16_c01_GHA</t>
  </si>
  <si>
    <t>EN_SPV_16_c02_GHA</t>
  </si>
  <si>
    <t>EN_SPV_17_c01_GHA</t>
  </si>
  <si>
    <t>EN_SPV_17_c02_GHA</t>
  </si>
  <si>
    <t>EN_SPV_18_c01_GHA</t>
  </si>
  <si>
    <t>EN_SPV_18_c02_GHA</t>
  </si>
  <si>
    <t>EN_SPV_18_c01_GIN</t>
  </si>
  <si>
    <t>EN_SPV_18_c02_GIN</t>
  </si>
  <si>
    <t>EN_SPV_18_c03_GIN</t>
  </si>
  <si>
    <t>EN_SPV_18_c01_GMB</t>
  </si>
  <si>
    <t>EN_SPV_17_c03_GNB</t>
  </si>
  <si>
    <t>EN_SPV_17_c04_GNB</t>
  </si>
  <si>
    <t>EN_SPV_18_c01_GNB</t>
  </si>
  <si>
    <t>EN_SPV_18_c02_GNB</t>
  </si>
  <si>
    <t>EN_SPV_18_c03_GNB</t>
  </si>
  <si>
    <t>EN_SPV_18_c04_GNB</t>
  </si>
  <si>
    <t>EN_SPV_14_c02_GNQ</t>
  </si>
  <si>
    <t>EN_SPV_15_c02_GNQ</t>
  </si>
  <si>
    <t>EN_SPV_15_c02_GRC</t>
  </si>
  <si>
    <t>EN_SPV_16_c01_GRC</t>
  </si>
  <si>
    <t>EN_SPV_16_c02_GRC</t>
  </si>
  <si>
    <t>EN_SPV_17_c01_GRC</t>
  </si>
  <si>
    <t>EN_SPV_18_c01_GRC</t>
  </si>
  <si>
    <t>EN_SPV_18_c02_GRC</t>
  </si>
  <si>
    <t>EN_SPV_18_c01_GTM</t>
  </si>
  <si>
    <t>EN_SPV_19_c01_GTM</t>
  </si>
  <si>
    <t>EN_SPV_17_c02_GUY</t>
  </si>
  <si>
    <t>EN_SPV_18_c01_GUY</t>
  </si>
  <si>
    <t>EN_SPV_18_c02_GUY</t>
  </si>
  <si>
    <t>EN_SPV_18_c03_GUY</t>
  </si>
  <si>
    <t>EN_SPV_17_c01_HND</t>
  </si>
  <si>
    <t>EN_SPV_17_c03_HND</t>
  </si>
  <si>
    <t>EN_SPV_18_c01_HND</t>
  </si>
  <si>
    <t>EN_SPV_19_c01_HND</t>
  </si>
  <si>
    <t>EN_SPV_14_c02_HRV</t>
  </si>
  <si>
    <t>EN_SPV_15_c02_HRV</t>
  </si>
  <si>
    <t>EN_SPV_16_c01_HRV</t>
  </si>
  <si>
    <t>EN_SPV_16_c02_HRV</t>
  </si>
  <si>
    <t>EN_SPV_19_c01_HTI</t>
  </si>
  <si>
    <t>EN_SPV_19_c02_HTI</t>
  </si>
  <si>
    <t>EN_SPV_20_c01_HTI</t>
  </si>
  <si>
    <t>EN_SPV_13_c02_HUN</t>
  </si>
  <si>
    <t>EN_SPV_13_c03_HUN</t>
  </si>
  <si>
    <t>EN_SPV_14_c02_HUN</t>
  </si>
  <si>
    <t>EN_SPV_14_c03_HUN</t>
  </si>
  <si>
    <t>EN_SPV_14_c02_IDN</t>
  </si>
  <si>
    <t>EN_SPV_14_c03_IDN</t>
  </si>
  <si>
    <t>EN_SPV_15_c01_IDN</t>
  </si>
  <si>
    <t>EN_SPV_15_c02_IDN</t>
  </si>
  <si>
    <t>EN_SPV_15_c03_IDN</t>
  </si>
  <si>
    <t>EN_SPV_15_c04_IDN</t>
  </si>
  <si>
    <t>EN_SPV_16_c01_IDN</t>
  </si>
  <si>
    <t>EN_SPV_16_c02_IDN</t>
  </si>
  <si>
    <t>EN_SPV_16_c03_IDN</t>
  </si>
  <si>
    <t>EN_SPV_16_c04_IDN</t>
  </si>
  <si>
    <t>EN_SPV_17_c01_IDN</t>
  </si>
  <si>
    <t>EN_SPV_17_c02_IDN</t>
  </si>
  <si>
    <t>EN_SPV_17_c03_IDN</t>
  </si>
  <si>
    <t>EN_SPV_17_c04_IDN</t>
  </si>
  <si>
    <t>EN_SPV_18_c01_IDN</t>
  </si>
  <si>
    <t>EN_SPV_18_c02_IDN</t>
  </si>
  <si>
    <t>EN_SPV_18_c03_IDN</t>
  </si>
  <si>
    <t>EN_SPV_18_c04_IDN</t>
  </si>
  <si>
    <t>EN_SPV_19_c01_IDN</t>
  </si>
  <si>
    <t>EN_SPV_19_c02_IDN</t>
  </si>
  <si>
    <t>EN_SPV_19_c03_IDN</t>
  </si>
  <si>
    <t>EN_SPV_19_c04_IDN</t>
  </si>
  <si>
    <t>EN_SPV_13_c02_IND</t>
  </si>
  <si>
    <t>EN_SPV_13_c03_IND</t>
  </si>
  <si>
    <t>EN_SPV_14_c02_IND</t>
  </si>
  <si>
    <t>EN_SPV_14_c03_IND</t>
  </si>
  <si>
    <t>EN_SPV_15_c01_IND</t>
  </si>
  <si>
    <t>EN_SPV_15_c02_IND</t>
  </si>
  <si>
    <t>EN_SPV_15_c03_IND</t>
  </si>
  <si>
    <t>EN_SPV_15_c04_IND</t>
  </si>
  <si>
    <t>EN_SPV_16_c01_IND</t>
  </si>
  <si>
    <t>EN_SPV_16_c02_IND</t>
  </si>
  <si>
    <t>EN_SPV_16_c03_IND</t>
  </si>
  <si>
    <t>EN_SPV_16_c04_IND</t>
  </si>
  <si>
    <t>EN_SPV_17_c01_IND</t>
  </si>
  <si>
    <t>EN_SPV_17_c02_IND</t>
  </si>
  <si>
    <t>EN_SPV_17_c04_IND</t>
  </si>
  <si>
    <t>EN_SPV_18_c01_IND</t>
  </si>
  <si>
    <t>EN_SPV_18_c02_IND</t>
  </si>
  <si>
    <t>EN_SPV_19_c01_IND</t>
  </si>
  <si>
    <t>EN_SPV_19_c02_IND</t>
  </si>
  <si>
    <t>EN_SPV_10_c03_IRL</t>
  </si>
  <si>
    <t>EN_SPV_11_c03_IRL</t>
  </si>
  <si>
    <t>EN_SPV_19_c01_IRN</t>
  </si>
  <si>
    <t>EN_SPV_20_c01_IRN</t>
  </si>
  <si>
    <t>EN_SPV_20_c02_IRN</t>
  </si>
  <si>
    <t>EN_SPV_20_c03_IRN</t>
  </si>
  <si>
    <t>EN_SPV_21_c01_IRN</t>
  </si>
  <si>
    <t>EN_SPV_21_c02_IRN</t>
  </si>
  <si>
    <t>EN_SPV_22_c01_IRN</t>
  </si>
  <si>
    <t>EN_SPV_20_c01_IRQ</t>
  </si>
  <si>
    <t>EN_SPV_20_c02_IRQ</t>
  </si>
  <si>
    <t>EN_SPV_20_c03_IRQ</t>
  </si>
  <si>
    <t>EN_SPV_20_c04_IRQ</t>
  </si>
  <si>
    <t>EN_SPV_21_c01_IRQ</t>
  </si>
  <si>
    <t>EN_SPV_21_c03_IRQ</t>
  </si>
  <si>
    <t>EN_SPV_19_c01_ISR</t>
  </si>
  <si>
    <t>EN_SPV_20_c01_ISR</t>
  </si>
  <si>
    <t>EN_SPV_21_c01_ISR</t>
  </si>
  <si>
    <t>EN_SPV_13_c02_ITA</t>
  </si>
  <si>
    <t>EN_SPV_14_c02_ITA</t>
  </si>
  <si>
    <t>EN_SPV_15_c01_ITA</t>
  </si>
  <si>
    <t>EN_SPV_15_c02_ITA</t>
  </si>
  <si>
    <t>EN_SPV_16_c01_ITA</t>
  </si>
  <si>
    <t>EN_SPV_16_c02_ITA</t>
  </si>
  <si>
    <t>EN_SPV_17_c01_ITA</t>
  </si>
  <si>
    <t>EN_SPV_17_c02_ITA</t>
  </si>
  <si>
    <t>EN_SPV_18_c01_ITA</t>
  </si>
  <si>
    <t>EN_SPV_17_c01_JAM</t>
  </si>
  <si>
    <t>EN_SPV_18_c01_JAM</t>
  </si>
  <si>
    <t>EN_SPV_22_c01_JOR</t>
  </si>
  <si>
    <t>EN_SPV_22_c02_JOR</t>
  </si>
  <si>
    <t>Japan</t>
  </si>
  <si>
    <t>EN_SPV_12_c02_JPN</t>
  </si>
  <si>
    <t>*0.51</t>
  </si>
  <si>
    <t>EN_SPV_12_c03_JPN</t>
  </si>
  <si>
    <t>EN_SPV_13_c02_JPN</t>
  </si>
  <si>
    <t>EN_SPV_13_c03_JPN</t>
  </si>
  <si>
    <t>EN_SPV_13_c04_JPN</t>
  </si>
  <si>
    <t>EN_SPV_14_c01_JPN</t>
  </si>
  <si>
    <t>EN_SPV_14_c02_JPN</t>
  </si>
  <si>
    <t>EN_SPV_14_c03_JPN</t>
  </si>
  <si>
    <t>EN_SPV_14_c04_JPN</t>
  </si>
  <si>
    <t>EN_SPV_15_c01_JPN</t>
  </si>
  <si>
    <t>EN_SPV_15_c02_JPN</t>
  </si>
  <si>
    <t>EN_SPV_16_c01_JPN</t>
  </si>
  <si>
    <t>EN_SPV_16_c02_JPN</t>
  </si>
  <si>
    <t>EN_SPV_17_c03_KAZ</t>
  </si>
  <si>
    <t>EN_SPV_17_c04_KAZ</t>
  </si>
  <si>
    <t>EN_SPV_19_c02_KEN</t>
  </si>
  <si>
    <t>EN_SPV_19_c03_KEN</t>
  </si>
  <si>
    <t>EN_SPV_20_c01_KEN</t>
  </si>
  <si>
    <t>EN_SPV_20_c02_KEN</t>
  </si>
  <si>
    <t>EN_SPV_20_c03_KEN</t>
  </si>
  <si>
    <t>EN_SPV_16_c02_KGZ</t>
  </si>
  <si>
    <t>EN_SPV_17_c01_KGZ</t>
  </si>
  <si>
    <t>EN_SPV_17_c02_KGZ</t>
  </si>
  <si>
    <t>EN_SPV_18_c01_KGZ</t>
  </si>
  <si>
    <t>EN_SPV_16_c02_KHM</t>
  </si>
  <si>
    <t>EN_SPV_17_c01_KHM</t>
  </si>
  <si>
    <t>EN_SPV_17_c02_KHM</t>
  </si>
  <si>
    <t>EN_SPV_14_c02_KOR</t>
  </si>
  <si>
    <t>EN_SPV_14_c03_KOR</t>
  </si>
  <si>
    <t>EN_SPV_15_c01_KOR</t>
  </si>
  <si>
    <t>EN_SPV_15_c02_KOR</t>
  </si>
  <si>
    <t>EN_SPV_15_c03_KOR</t>
  </si>
  <si>
    <t>EN_SPV_16_c01_KOR</t>
  </si>
  <si>
    <t>EN_SPV_16_c02_KOR</t>
  </si>
  <si>
    <t>EN_SPV_19_c01_KWT</t>
  </si>
  <si>
    <t>EN_SPV_19_c02_KWT</t>
  </si>
  <si>
    <t>EN_SPV_16_c01_LAO</t>
  </si>
  <si>
    <t>EN_SPV_16_c02_LAO</t>
  </si>
  <si>
    <t>EN_SPV_18_c01_LBN</t>
  </si>
  <si>
    <t>EN_SPV_19_c01_LBN</t>
  </si>
  <si>
    <t>EN_SPV_20_c01_LBN</t>
  </si>
  <si>
    <t>EN_SPV_16_c02_LBR</t>
  </si>
  <si>
    <t>EN_SPV_16_c03_LBR</t>
  </si>
  <si>
    <t>EN_SPV_22_c04_LBY</t>
  </si>
  <si>
    <t>EN_SPV_23_c04_LBY</t>
  </si>
  <si>
    <t>EN_SPV_16_c01_LKA</t>
  </si>
  <si>
    <t>EN_SPV_16_c02_LKA</t>
  </si>
  <si>
    <t>EN_SPV_17_c01_LKA</t>
  </si>
  <si>
    <t>EN_SPV_17_c02_LKA</t>
  </si>
  <si>
    <t>EN_SPV_18_c01_LKA</t>
  </si>
  <si>
    <t>EN_SPV_20_c01_LSO</t>
  </si>
  <si>
    <t>EN_SPV_11_c03_LTU</t>
  </si>
  <si>
    <t>EN_SPV_12_c03_LTU</t>
  </si>
  <si>
    <t>EN_SPV_12_c03_LUX</t>
  </si>
  <si>
    <t>EN_SPV_11_c03_LVA</t>
  </si>
  <si>
    <t>EN_SPV_12_c03_LVA</t>
  </si>
  <si>
    <t>EN_SPV_20_c03_MAR</t>
  </si>
  <si>
    <t>EN_SPV_21_c01_MAR</t>
  </si>
  <si>
    <t>EN_SPV_21_c02_MAR</t>
  </si>
  <si>
    <t>EN_SPV_21_c03_MAR</t>
  </si>
  <si>
    <t>EN_SPV_22_c01_MAR</t>
  </si>
  <si>
    <t>EN_SPV_14_c02_MDA</t>
  </si>
  <si>
    <t>EN_SPV_20_c04_MDG</t>
  </si>
  <si>
    <t>EN_SPV_21_c03_MDG</t>
  </si>
  <si>
    <t>EN_SPV_21_c04_MDG</t>
  </si>
  <si>
    <t>EN_SPV_21_c01_MEX</t>
  </si>
  <si>
    <t>EN_SPV_21_c02_MEX</t>
  </si>
  <si>
    <t>EN_SPV_21_c03_MEX</t>
  </si>
  <si>
    <t>EN_SPV_22_c01_MEX</t>
  </si>
  <si>
    <t>EN_SPV_22_c02_MEX</t>
  </si>
  <si>
    <t>EN_SPV_22_c03_MEX</t>
  </si>
  <si>
    <t>EN_SPV_16_c02_MKD</t>
  </si>
  <si>
    <t>EN_SPV_20_c02_MLI</t>
  </si>
  <si>
    <t>EN_SPV_20_c03_MLI</t>
  </si>
  <si>
    <t>EN_SPV_17_c01_MMR</t>
  </si>
  <si>
    <t>EN_SPV_15_c02_MNE</t>
  </si>
  <si>
    <t>EN_SPV_16_c01_MNE</t>
  </si>
  <si>
    <t>EN_SPV_16_c02_MNE</t>
  </si>
  <si>
    <t>EN_SPV_21_c01_MNG</t>
  </si>
  <si>
    <t>EN_SPV_21_c02_MNG</t>
  </si>
  <si>
    <t>EN_SPV_17_c02_MOZ</t>
  </si>
  <si>
    <t>EN_SPV_17_c03_MOZ</t>
  </si>
  <si>
    <t>EN_SPV_17_c04_MOZ</t>
  </si>
  <si>
    <t>EN_SPV_18_c01_MOZ</t>
  </si>
  <si>
    <t>EN_SPV_18_c02_MOZ</t>
  </si>
  <si>
    <t>EN_SPV_18_c03_MOZ</t>
  </si>
  <si>
    <t>EN_SPV_18_c04_MOZ</t>
  </si>
  <si>
    <t>EN_SPV_19_c01_MOZ</t>
  </si>
  <si>
    <t>EN_SPV_19_c02_MOZ</t>
  </si>
  <si>
    <t>EN_SPV_21_c02_MRT</t>
  </si>
  <si>
    <t>EN_SPV_17_c01_MWI</t>
  </si>
  <si>
    <t>EN_SPV_17_c02_MWI</t>
  </si>
  <si>
    <t>EN_SPV_18_c01_MWI</t>
  </si>
  <si>
    <t>EN_SPV_18_c02_MWI</t>
  </si>
  <si>
    <t>EN_SPV_19_c01_MWI</t>
  </si>
  <si>
    <t>EN_SPV_19_c02_MWI</t>
  </si>
  <si>
    <t>EN_SPV_14_c02_MYS</t>
  </si>
  <si>
    <t>EN_SPV_14_c03_MYS</t>
  </si>
  <si>
    <t>EN_SPV_14_c04_MYS</t>
  </si>
  <si>
    <t>EN_SPV_15_c01_MYS</t>
  </si>
  <si>
    <t>EN_SPV_15_c02_MYS</t>
  </si>
  <si>
    <t>EN_SPV_15_c03_MYS</t>
  </si>
  <si>
    <t>EN_SPV_15_c04_MYS</t>
  </si>
  <si>
    <t>EN_SPV_16_c01_MYS</t>
  </si>
  <si>
    <t>EN_SPV_16_c02_MYS</t>
  </si>
  <si>
    <t>EN_SPV_16_c03_MYS</t>
  </si>
  <si>
    <t>EN_SPV_23_c01_NAM</t>
  </si>
  <si>
    <t>EN_SPV_22_c03_NER</t>
  </si>
  <si>
    <t>EN_SPV_22_c04_NER</t>
  </si>
  <si>
    <t>EN_SPV_18_c01_NGA</t>
  </si>
  <si>
    <t>EN_SPV_18_c03_NGA</t>
  </si>
  <si>
    <t>EN_SPV_19_c01_NGA</t>
  </si>
  <si>
    <t>EN_SPV_19_c02_NGA</t>
  </si>
  <si>
    <t>EN_SPV_19_c03_NGA</t>
  </si>
  <si>
    <t>EN_SPV_19_c04_NGA</t>
  </si>
  <si>
    <t>EN_SPV_16_c01_NIC</t>
  </si>
  <si>
    <t>EN_SPV_16_c02_NIC</t>
  </si>
  <si>
    <t>EN_SPV_16_c04_NIC</t>
  </si>
  <si>
    <t>EN_SPV_17_c01_NIC</t>
  </si>
  <si>
    <t>EN_SPV_17_c03_NIC</t>
  </si>
  <si>
    <t>EN_SPV_17_c04_NIC</t>
  </si>
  <si>
    <t>EN_SPV_18_c01_NIC</t>
  </si>
  <si>
    <t>EN_SPV_19_c01_NIC</t>
  </si>
  <si>
    <t>EN_SPV_11_c03_NLD</t>
  </si>
  <si>
    <t>EN_SPV_12_c03_NLD</t>
  </si>
  <si>
    <t>EN_SPV_10_c03_NOR</t>
  </si>
  <si>
    <t>EN_SPV_11_c03_NOR</t>
  </si>
  <si>
    <t>EN_SPV_12_c03_NOR</t>
  </si>
  <si>
    <t>EN_SPV_14_c02_NPL</t>
  </si>
  <si>
    <t>EN_SPV_15_c01_NPL</t>
  </si>
  <si>
    <t>EN_SPV_15_c02_NPL</t>
  </si>
  <si>
    <t>EN_SPV_16_c01_NPL</t>
  </si>
  <si>
    <t>EN_SPV_16_c02_NPL</t>
  </si>
  <si>
    <t>EN_SPV_17_c01_NPL</t>
  </si>
  <si>
    <t>EN_SPV_17_c02_NPL</t>
  </si>
  <si>
    <t>EN_SPV_21_c01_OMN</t>
  </si>
  <si>
    <t>EN_SPV_22_c01_OMN</t>
  </si>
  <si>
    <t>EN_SPV_22_c02_OMN</t>
  </si>
  <si>
    <t>EN_SPV_18_c01_PAK</t>
  </si>
  <si>
    <t>EN_SPV_18_c02_PAK</t>
  </si>
  <si>
    <t>EN_SPV_18_c04_PAK</t>
  </si>
  <si>
    <t>EN_SPV_19_c01_PAK</t>
  </si>
  <si>
    <t>EN_SPV_19_c02_PAK</t>
  </si>
  <si>
    <t>EN_SPV_19_c03_PAK</t>
  </si>
  <si>
    <t>EN_SPV_20_c01_PAK</t>
  </si>
  <si>
    <t>EN_SPV_20_c02_PAK</t>
  </si>
  <si>
    <t>EN_SPV_20_c03_PAK</t>
  </si>
  <si>
    <t>EN_SPV_21_c01_PAK</t>
  </si>
  <si>
    <t>EN_SPV_21_c02_PAK</t>
  </si>
  <si>
    <t>EN_SPV_21_c03_PAK</t>
  </si>
  <si>
    <t>EN_SPV_22_c01_PAK</t>
  </si>
  <si>
    <t>EN_SPV_22_c02_PAK</t>
  </si>
  <si>
    <t>EN_SPV_16_c02_PAN</t>
  </si>
  <si>
    <t>EN_SPV_16_c04_PAN</t>
  </si>
  <si>
    <t>EN_SPV_17_c01_PAN</t>
  </si>
  <si>
    <t>EN_SPV_17_c02_PAN</t>
  </si>
  <si>
    <t>EN_SPV_16_c01_PER</t>
  </si>
  <si>
    <t>EN_SPV_16_c02_PER</t>
  </si>
  <si>
    <t>EN_SPV_16_c03_PER</t>
  </si>
  <si>
    <t>EN_SPV_17_c01_PER</t>
  </si>
  <si>
    <t>EN_SPV_17_c02_PER</t>
  </si>
  <si>
    <t>EN_SPV_18_c01_PER</t>
  </si>
  <si>
    <t>EN_SPV_18_c02_PER</t>
  </si>
  <si>
    <t>EN_SPV_18_c03_PER</t>
  </si>
  <si>
    <t>EN_SPV_19_c01_PER</t>
  </si>
  <si>
    <t>EN_SPV_19_c02_PER</t>
  </si>
  <si>
    <t>EN_SPV_20_c01_PER</t>
  </si>
  <si>
    <t>EN_SPV_20_c02_PER</t>
  </si>
  <si>
    <t>EN_SPV_21_c01_PER</t>
  </si>
  <si>
    <t>EN_SPV_21_c02_PER</t>
  </si>
  <si>
    <t>EN_SPV_22_c01_PER</t>
  </si>
  <si>
    <t>EN_SPV_23_c01_PER</t>
  </si>
  <si>
    <t>EN_SPV_15_c02_PHL</t>
  </si>
  <si>
    <t>EN_SPV_15_c03_PHL</t>
  </si>
  <si>
    <t>EN_SPV_16_c01_PHL</t>
  </si>
  <si>
    <t>EN_SPV_16_c02_PHL</t>
  </si>
  <si>
    <t>EN_SPV_16_c03_PHL</t>
  </si>
  <si>
    <t>EN_SPV_16_c04_PHL</t>
  </si>
  <si>
    <t>EN_SPV_17_c01_PHL</t>
  </si>
  <si>
    <t>EN_SPV_17_c02_PHL</t>
  </si>
  <si>
    <t>EN_SPV_17_c04_PHL</t>
  </si>
  <si>
    <t>EN_SPV_18_c01_PHL</t>
  </si>
  <si>
    <t>EN_SPV_13_c04_PNG</t>
  </si>
  <si>
    <t>EN_SPV_14_c03_PNG</t>
  </si>
  <si>
    <t>EN_SPV_14_c04_PNG</t>
  </si>
  <si>
    <t>EN_SPV_15_c02_PNG</t>
  </si>
  <si>
    <t>EN_SPV_15_c03_PNG</t>
  </si>
  <si>
    <t>EN_SPV_15_c04_PNG</t>
  </si>
  <si>
    <t>EN_SPV_16_c01_PNG</t>
  </si>
  <si>
    <t>EN_SPV_16_c02_PNG</t>
  </si>
  <si>
    <t>EN_SPV_16_c03_PNG</t>
  </si>
  <si>
    <t>EN_SPV_16_c04_PNG</t>
  </si>
  <si>
    <t>EN_SPV_17_c01_PNG</t>
  </si>
  <si>
    <t>EN_SPV_17_c02_PNG</t>
  </si>
  <si>
    <t>EN_SPV_11_c03_POL</t>
  </si>
  <si>
    <t>EN_SPV_12_c02_POL</t>
  </si>
  <si>
    <t>EN_SPV_12_c03_POL</t>
  </si>
  <si>
    <t>EN_SPV_15_c02_PRK</t>
  </si>
  <si>
    <t>EN_SPV_16_c01_PRK</t>
  </si>
  <si>
    <t>EN_SPV_16_c02_PRK</t>
  </si>
  <si>
    <t>EN_SPV_16_c03_PRK</t>
  </si>
  <si>
    <t>EN_SPV_17_c01_PRK</t>
  </si>
  <si>
    <t>EN_SPV_17_c02_PRK</t>
  </si>
  <si>
    <t>EN_SPV_17_c01_PRT</t>
  </si>
  <si>
    <t>EN_SPV_18_c01_PRT</t>
  </si>
  <si>
    <t>EN_SPV_19_c01_PRT</t>
  </si>
  <si>
    <t>EN_SPV_17_c02_PRY</t>
  </si>
  <si>
    <t>EN_SPV_19_c01_PSE</t>
  </si>
  <si>
    <t>EN_SPV_20_c01_PSE</t>
  </si>
  <si>
    <t>EN_SPV_19_c01_QAT</t>
  </si>
  <si>
    <t>EN_SPV_14_c02_ROU</t>
  </si>
  <si>
    <t>EN_SPV_15_c03_ROU</t>
  </si>
  <si>
    <t>EN_SPV_15_c01_RUS</t>
  </si>
  <si>
    <t>EN_SPV_15_c02_RUS</t>
  </si>
  <si>
    <t>EN_SPV_15_c03_RUS</t>
  </si>
  <si>
    <t>EN_SPV_15_c04_RUS</t>
  </si>
  <si>
    <t>EN_SPV_16_c01_RUS</t>
  </si>
  <si>
    <t>EN_SPV_16_c02_RUS</t>
  </si>
  <si>
    <t>EN_SPV_16_c03_RUS</t>
  </si>
  <si>
    <t>EN_SPV_16_c04_RUS</t>
  </si>
  <si>
    <t>EN_SPV_17_c01_RUS</t>
  </si>
  <si>
    <t>EN_SPV_17_c02_RUS</t>
  </si>
  <si>
    <t>EN_SPV_17_c03_RUS</t>
  </si>
  <si>
    <t>EN_SPV_17_c04_RUS</t>
  </si>
  <si>
    <t>EN_SPV_18_c01_RUS</t>
  </si>
  <si>
    <t>EN_SPV_18_c02_RUS</t>
  </si>
  <si>
    <t>EN_SPV_18_c03_RUS</t>
  </si>
  <si>
    <t>EN_SPV_15_c02_RWA</t>
  </si>
  <si>
    <t>EN_SPV_16_c02_RWA</t>
  </si>
  <si>
    <t>EN_SPV_17_c01_RWA</t>
  </si>
  <si>
    <t>EN_SPV_17_c02_RWA</t>
  </si>
  <si>
    <t>EN_SPV_21_c01_SAU</t>
  </si>
  <si>
    <t>EN_SPV_22_c01_SAU</t>
  </si>
  <si>
    <t>EN_SPV_22_c02_SAU</t>
  </si>
  <si>
    <t>EN_SPV_22_c03_SAU</t>
  </si>
  <si>
    <t>EN_SPV_23_c01_SAU</t>
  </si>
  <si>
    <t>EN_SPV_18_c01_SEN</t>
  </si>
  <si>
    <t>EN_SPV_19_c01_SEN</t>
  </si>
  <si>
    <t>EN_SPV_16_c01_SLE</t>
  </si>
  <si>
    <t>EN_SPV_16_c02_SLE</t>
  </si>
  <si>
    <t>EN_SPV_17_c01_SLE</t>
  </si>
  <si>
    <t>EN_SPV_17_c02_SLE</t>
  </si>
  <si>
    <t>EN_SPV_19_c01_SLV</t>
  </si>
  <si>
    <t>EN_SPV_21_c01_SOM</t>
  </si>
  <si>
    <t>EN_SPV_14_c02_SRB</t>
  </si>
  <si>
    <t>EN_SPV_15_c02_SRB</t>
  </si>
  <si>
    <t>EN_SPV_17_c01_SSD</t>
  </si>
  <si>
    <t>EN_SPV_17_c03_SSD</t>
  </si>
  <si>
    <t>EN_SPV_18_c01_SSD</t>
  </si>
  <si>
    <t>EN_SPV_18_c02_SSD</t>
  </si>
  <si>
    <t>EN_SPV_18_c03_SSD</t>
  </si>
  <si>
    <t>EN_SPV_18_c04_SSD</t>
  </si>
  <si>
    <t>EN_SPV_19_c03_SSD</t>
  </si>
  <si>
    <t>EN_SPV_19_c04_SSD</t>
  </si>
  <si>
    <t>EN_SPV_16_c04_SUR</t>
  </si>
  <si>
    <t>EN_SPV_17_c01_SUR</t>
  </si>
  <si>
    <t>EN_SPV_17_c02_SUR</t>
  </si>
  <si>
    <t>EN_SPV_17_c03_SUR</t>
  </si>
  <si>
    <t>EN_SPV_13_c02_SVK</t>
  </si>
  <si>
    <t>EN_SPV_14_c02_SVN</t>
  </si>
  <si>
    <t>EN_SPV_11_c03_SWE</t>
  </si>
  <si>
    <t>EN_SPV_12_c02_SWE</t>
  </si>
  <si>
    <t>EN_SPV_12_c03_SWE</t>
  </si>
  <si>
    <t>EN_SPV_13_c03_SWE</t>
  </si>
  <si>
    <t>EN_SPV_17_c01_SWZ</t>
  </si>
  <si>
    <t>EN_SPV_17_c02_SWZ</t>
  </si>
  <si>
    <t>EN_SPV_18_c01_SWZ</t>
  </si>
  <si>
    <t>EN_SPV_20_c02_SYR</t>
  </si>
  <si>
    <t>EN_SPV_20_c03_SYR</t>
  </si>
  <si>
    <t>EN_SPV_21_c01_SYR</t>
  </si>
  <si>
    <t>EN_SPV_21_c02_SYR</t>
  </si>
  <si>
    <t>EN_SPV_21_c03_SYR</t>
  </si>
  <si>
    <t>EN_SPV_22_c03_TCD</t>
  </si>
  <si>
    <t>EN_SPV_23_c04_TCD</t>
  </si>
  <si>
    <t>EN_SPV_17_c02_TGO</t>
  </si>
  <si>
    <t>EN_SPV_16_c01_THA</t>
  </si>
  <si>
    <t>EN_SPV_17_c01_THA</t>
  </si>
  <si>
    <t>EN_SPV_17_c02_THA</t>
  </si>
  <si>
    <t>EN_SPV_15_c02_TJK</t>
  </si>
  <si>
    <t>EN_SPV_16_c01_TJK</t>
  </si>
  <si>
    <t>EN_SPV_16_c02_TJK</t>
  </si>
  <si>
    <t>EN_SPV_17_c01_TJK</t>
  </si>
  <si>
    <t>EN_SPV_17_c02_TJK</t>
  </si>
  <si>
    <t>EN_SPV_18_c03_TKM</t>
  </si>
  <si>
    <t>EN_SPV_19_c01_TKM</t>
  </si>
  <si>
    <t>EN_SPV_17_c02_TTO</t>
  </si>
  <si>
    <t>EN_SPV_20_c02_TUN</t>
  </si>
  <si>
    <t>EN_SPV_20_c03_TUN</t>
  </si>
  <si>
    <t>EN_SPV_14_c02_TUR</t>
  </si>
  <si>
    <t>EN_SPV_15_c01_TUR</t>
  </si>
  <si>
    <t>EN_SPV_15_c02_TUR</t>
  </si>
  <si>
    <t>EN_SPV_16_c01_TUR</t>
  </si>
  <si>
    <t>EN_SPV_16_c02_TUR</t>
  </si>
  <si>
    <t>EN_SPV_17_c01_TUR</t>
  </si>
  <si>
    <t>EN_SPV_17_c02_TUR</t>
  </si>
  <si>
    <t>EN_SPV_18_c01_TUR</t>
  </si>
  <si>
    <t>EN_SPV_18_c02_TUR</t>
  </si>
  <si>
    <t>EN_SPV_19_c01_TUR</t>
  </si>
  <si>
    <t>EN_SPV_19_c03_TZA</t>
  </si>
  <si>
    <t>EN_SPV_20_c01_TZA</t>
  </si>
  <si>
    <t>EN_SPV_20_c02_TZA</t>
  </si>
  <si>
    <t>EN_SPV_19_c01_UGA</t>
  </si>
  <si>
    <t>EN_SPV_19_c02_UGA</t>
  </si>
  <si>
    <t>EN_SPV_19_c03_UGA</t>
  </si>
  <si>
    <t>EN_SPV_14_c02_UKR</t>
  </si>
  <si>
    <t>EN_SPV_15_c02_UKR</t>
  </si>
  <si>
    <t>EN_SPV_17_c01_URY</t>
  </si>
  <si>
    <t>EN_SPV_14_c02_USA</t>
  </si>
  <si>
    <t>EN_SPV_14_c03_USA</t>
  </si>
  <si>
    <t>EN_SPV_15_c01_USA</t>
  </si>
  <si>
    <t>EN_SPV_15_c02_USA</t>
  </si>
  <si>
    <t>EN_SPV_15_c03_USA</t>
  </si>
  <si>
    <t>EN_SPV_15_c04_USA</t>
  </si>
  <si>
    <t>EN_SPV_16_c01_USA</t>
  </si>
  <si>
    <t>EN_SPV_16_c02_USA</t>
  </si>
  <si>
    <t>EN_SPV_16_c03_USA</t>
  </si>
  <si>
    <t>EN_SPV_16_c04_USA</t>
  </si>
  <si>
    <t>EN_SPV_17_c01_USA</t>
  </si>
  <si>
    <t>EN_SPV_17_c02_USA</t>
  </si>
  <si>
    <t>EN_SPV_17_c03_USA</t>
  </si>
  <si>
    <t>EN_SPV_17_c04_USA</t>
  </si>
  <si>
    <t>EN_SPV_18_c01_USA</t>
  </si>
  <si>
    <t>EN_SPV_18_c02_USA</t>
  </si>
  <si>
    <t>EN_SPV_18_c03_USA</t>
  </si>
  <si>
    <t>EN_SPV_18_c04_USA</t>
  </si>
  <si>
    <t>EN_SPV_19_c01_USA</t>
  </si>
  <si>
    <t>EN_SPV_19_c02_USA</t>
  </si>
  <si>
    <t>EN_SPV_19_c03_USA</t>
  </si>
  <si>
    <t>EN_SPV_20_c01_USA</t>
  </si>
  <si>
    <t>EN_SPV_20_c02_USA</t>
  </si>
  <si>
    <t>EN_SPV_20_c03_USA</t>
  </si>
  <si>
    <t>EN_SPV_21_c01_USA</t>
  </si>
  <si>
    <t>EN_SPV_21_c02_USA</t>
  </si>
  <si>
    <t>EN_SPV_21_c03_USA</t>
  </si>
  <si>
    <t>EN_SPV_22_c01_USA</t>
  </si>
  <si>
    <t>EN_SPV_22_c02_USA</t>
  </si>
  <si>
    <t>EN_SPV_18_c01_UZB</t>
  </si>
  <si>
    <t>EN_SPV_18_c02_UZB</t>
  </si>
  <si>
    <t>EN_SPV_17_c01_VEN</t>
  </si>
  <si>
    <t>EN_SPV_17_c02_VEN</t>
  </si>
  <si>
    <t>EN_SPV_17_c03_VEN</t>
  </si>
  <si>
    <t>EN_SPV_18_c01_VEN</t>
  </si>
  <si>
    <t>EN_SPV_18_c02_VEN</t>
  </si>
  <si>
    <t>EN_SPV_18_c03_VEN</t>
  </si>
  <si>
    <t>EN_SPV_18_c04_VEN</t>
  </si>
  <si>
    <t>EN_SPV_19_c01_VEN</t>
  </si>
  <si>
    <t>EN_SPV_19_c02_VEN</t>
  </si>
  <si>
    <t>EN_SPV_20_c01_VEN</t>
  </si>
  <si>
    <t>EN_SPV_20_c03_VEN</t>
  </si>
  <si>
    <t>EN_SPV_20_c04_VEN</t>
  </si>
  <si>
    <t>EN_SPV_12_c03_VNM</t>
  </si>
  <si>
    <t>EN_SPV_13_c02_VNM</t>
  </si>
  <si>
    <t>EN_SPV_13_c03_VNM</t>
  </si>
  <si>
    <t>EN_SPV_14_c02_VNM</t>
  </si>
  <si>
    <t>EN_SPV_14_c03_VNM</t>
  </si>
  <si>
    <t>EN_SPV_15_c02_VNM</t>
  </si>
  <si>
    <t>EN_SPV_15_c03_VNM</t>
  </si>
  <si>
    <t>EN_SPV_16_c01_VNM</t>
  </si>
  <si>
    <t>EN_SPV_16_c02_VNM</t>
  </si>
  <si>
    <t>EN_SPV_17_c01_VNM</t>
  </si>
  <si>
    <t>EN_SPV_17_c02_VNM</t>
  </si>
  <si>
    <t>EN_SPV_14_c04_VUT</t>
  </si>
  <si>
    <t>EN_SPV_22_c03_YEM</t>
  </si>
  <si>
    <t>EN_SPV_21_c01_ZAF</t>
  </si>
  <si>
    <t>EN_SPV_21_c02_ZAF</t>
  </si>
  <si>
    <t>EN_SPV_21_c03_ZAF</t>
  </si>
  <si>
    <t>EN_SPV_22_c01_ZAF</t>
  </si>
  <si>
    <t>EN_SPV_22_c02_ZAF</t>
  </si>
  <si>
    <t>EN_SPV_22_c03_ZAF</t>
  </si>
  <si>
    <t>EN_SPV_19_c04_ZMB</t>
  </si>
  <si>
    <t>EN_SPV_20_c01_ZMB</t>
  </si>
  <si>
    <t>EN_SPV_20_c02_ZMB</t>
  </si>
  <si>
    <t>EN_SPV_20_c03_ZMB</t>
  </si>
  <si>
    <t>EN_SPV_20_c01_ZWE</t>
  </si>
  <si>
    <t>EN_SPV_20_c02_ZWE</t>
  </si>
  <si>
    <t>EN_SPV_20_c03_ZWE</t>
  </si>
  <si>
    <t>DeACTTFM_UPD</t>
  </si>
  <si>
    <t>EN_WON_45_c01_AFG</t>
  </si>
  <si>
    <t>*0.87</t>
  </si>
  <si>
    <t>EN_WON_46_c01_AFG</t>
  </si>
  <si>
    <t>EN_WON_46_c03_AFG</t>
  </si>
  <si>
    <t>EN_WON_48_c01_AFG</t>
  </si>
  <si>
    <t>EN_WON_49_c01_AFG</t>
  </si>
  <si>
    <t>EN_WON_50_c01_AFG</t>
  </si>
  <si>
    <t>EN_WON_51_c01_AFG</t>
  </si>
  <si>
    <t>EN_WON_53_c01_AFG</t>
  </si>
  <si>
    <t>EN_WON_15_c03_AGO</t>
  </si>
  <si>
    <t>*0.86</t>
  </si>
  <si>
    <t>EN_WON_15_c04_AGO</t>
  </si>
  <si>
    <t>EN_WON_16_c02_AGO</t>
  </si>
  <si>
    <t>EN_WON_16_c03_AGO</t>
  </si>
  <si>
    <t>EN_WON_16_c04_AGO</t>
  </si>
  <si>
    <t>EN_WON_17_c03_AGO</t>
  </si>
  <si>
    <t>EN_WON_17_c04_AGO</t>
  </si>
  <si>
    <t>EN_WON_18_c03_AGO</t>
  </si>
  <si>
    <t>EN_WON_18_c04_AGO</t>
  </si>
  <si>
    <t>EN_WON_19_c03_AGO</t>
  </si>
  <si>
    <t>EN_WON_19_c04_AGO</t>
  </si>
  <si>
    <t>EN_WON_20_c03_AGO</t>
  </si>
  <si>
    <t>EN_WON_20_c04_AGO</t>
  </si>
  <si>
    <t>EN_WON_17_c02_ALB</t>
  </si>
  <si>
    <t>*0.9</t>
  </si>
  <si>
    <t>EN_WON_17_c03_ALB</t>
  </si>
  <si>
    <t>EN_WON_18_c02_ALB</t>
  </si>
  <si>
    <t>EN_WON_18_c03_ALB</t>
  </si>
  <si>
    <t>EN_WON_19_c02_ALB</t>
  </si>
  <si>
    <t>EN_WON_19_c03_ALB</t>
  </si>
  <si>
    <t>EN_WON_20_c02_ALB</t>
  </si>
  <si>
    <t>EN_WON_20_c03_ALB</t>
  </si>
  <si>
    <t>EN_WON_20_c04_ALB</t>
  </si>
  <si>
    <t>EN_WON_21_c02_ALB</t>
  </si>
  <si>
    <t>EN_WON_21_c03_ALB</t>
  </si>
  <si>
    <t>EN_WON_22_c03_ALB</t>
  </si>
  <si>
    <t>EN_WON_23_c03_ALB</t>
  </si>
  <si>
    <t>EN_WON_24_c03_ALB</t>
  </si>
  <si>
    <t>EN_WON_25_c03_ALB</t>
  </si>
  <si>
    <t>EN_WON_26_c02_ALB</t>
  </si>
  <si>
    <t>EN_WON_26_c03_ALB</t>
  </si>
  <si>
    <t>EN_WON_27_c02_ALB</t>
  </si>
  <si>
    <t>EN_WON_27_c03_ALB</t>
  </si>
  <si>
    <t>EN_WON_29_c02_ALB</t>
  </si>
  <si>
    <t>EN_WON_30_c02_ALB</t>
  </si>
  <si>
    <t>EN_WON_19_c03_ARE</t>
  </si>
  <si>
    <t>*0.84</t>
  </si>
  <si>
    <t>EN_WON_20_c01_ARE</t>
  </si>
  <si>
    <t>EN_WON_20_c03_ARE</t>
  </si>
  <si>
    <t>EN_WON_21_c02_ARE</t>
  </si>
  <si>
    <t>EN_WON_21_c03_ARE</t>
  </si>
  <si>
    <t>EN_WON_22_c01_ARE</t>
  </si>
  <si>
    <t>EN_WON_22_c02_ARE</t>
  </si>
  <si>
    <t>EN_WON_23_c02_ARE</t>
  </si>
  <si>
    <t>EN_WON_24_c01_ARE</t>
  </si>
  <si>
    <t>EN_WON_24_c02_ARE</t>
  </si>
  <si>
    <t>EN_WON_25_c01_ARE</t>
  </si>
  <si>
    <t>EN_WON_25_c02_ARE</t>
  </si>
  <si>
    <t>EN_WON_26_c01_ARE</t>
  </si>
  <si>
    <t>EN_WON_27_c01_ARE</t>
  </si>
  <si>
    <t>EN_WON_28_c01_ARE</t>
  </si>
  <si>
    <t>EN_WON_28_c02_ARE</t>
  </si>
  <si>
    <t>EN_WON_29_c02_ARE</t>
  </si>
  <si>
    <t>EN_WON_49_c01_ARG</t>
  </si>
  <si>
    <t>*0.89</t>
  </si>
  <si>
    <t>EN_WON_50_c01_ARG</t>
  </si>
  <si>
    <t>EN_WON_51_c01_ARG</t>
  </si>
  <si>
    <t>EN_WON_52_c01_ARG</t>
  </si>
  <si>
    <t>EN_WON_52_c02_ARG</t>
  </si>
  <si>
    <t>EN_WON_53_c01_ARG</t>
  </si>
  <si>
    <t>EN_WON_54_c01_ARG</t>
  </si>
  <si>
    <t>EN_WON_54_c02_ARG</t>
  </si>
  <si>
    <t>EN_WON_55_c01_ARG</t>
  </si>
  <si>
    <t>EN_WON_55_c03_ARG</t>
  </si>
  <si>
    <t>EN_WON_56_c01_ARG</t>
  </si>
  <si>
    <t>EN_WON_56_c02_ARG</t>
  </si>
  <si>
    <t>EN_WON_57_c01_ARG</t>
  </si>
  <si>
    <t>EN_WON_58_c01_ARG</t>
  </si>
  <si>
    <t>EN_WON_58_c04_ARG</t>
  </si>
  <si>
    <t>EN_WON_59_c02_ARG</t>
  </si>
  <si>
    <t>EN_WON_64_c04_ARG</t>
  </si>
  <si>
    <t>EN_WON_20_c04_ARM</t>
  </si>
  <si>
    <t>EN_WON_21_c04_ARM</t>
  </si>
  <si>
    <t>EN_WON_23_c03_ARM</t>
  </si>
  <si>
    <t>EN_WON_24_c03_ARM</t>
  </si>
  <si>
    <t>EN_WON_24_c04_ARM</t>
  </si>
  <si>
    <t>EN_WON_28_c03_ARM</t>
  </si>
  <si>
    <t>EN_WON_32_c01_ATG</t>
  </si>
  <si>
    <t>EN_WON_38_c02_AUS</t>
  </si>
  <si>
    <t>EN_WON_38_c03_AUS</t>
  </si>
  <si>
    <t>EN_WON_39_c01_AUS</t>
  </si>
  <si>
    <t>EN_WON_39_c02_AUS</t>
  </si>
  <si>
    <t>EN_WON_39_c03_AUS</t>
  </si>
  <si>
    <t>EN_WON_39_c04_AUS</t>
  </si>
  <si>
    <t>EN_WON_40_c01_AUS</t>
  </si>
  <si>
    <t>EN_WON_40_c03_AUS</t>
  </si>
  <si>
    <t>EN_WON_41_c01_AUS</t>
  </si>
  <si>
    <t>EN_WON_41_c02_AUS</t>
  </si>
  <si>
    <t>EN_WON_42_c01_AUS</t>
  </si>
  <si>
    <t>EN_WON_42_c03_AUS</t>
  </si>
  <si>
    <t>EN_WON_45_c01_AUS</t>
  </si>
  <si>
    <t>EN_WON_46_c01_AUS</t>
  </si>
  <si>
    <t>EN_WON_47_c01_AUS</t>
  </si>
  <si>
    <t>EN_WON_49_c01_AUS</t>
  </si>
  <si>
    <t>EN_WON_50_c02_AUS</t>
  </si>
  <si>
    <t>EN_WON_23_c03_AUT</t>
  </si>
  <si>
    <t>EN_WON_24_c02_AUT</t>
  </si>
  <si>
    <t>EN_WON_25_c03_AUT</t>
  </si>
  <si>
    <t>EN_WON_26_c03_AUT</t>
  </si>
  <si>
    <t>EN_WON_27_c02_AUT</t>
  </si>
  <si>
    <t>EN_WON_29_c01_AUT</t>
  </si>
  <si>
    <t>EN_WON_16_c03_AZE</t>
  </si>
  <si>
    <t>EN_WON_17_c02_AZE</t>
  </si>
  <si>
    <t>EN_WON_18_c02_AZE</t>
  </si>
  <si>
    <t>EN_WON_18_c03_AZE</t>
  </si>
  <si>
    <t>EN_WON_19_c02_AZE</t>
  </si>
  <si>
    <t>EN_WON_19_c03_AZE</t>
  </si>
  <si>
    <t>EN_WON_20_c02_AZE</t>
  </si>
  <si>
    <t>EN_WON_20_c03_AZE</t>
  </si>
  <si>
    <t>EN_WON_20_c04_AZE</t>
  </si>
  <si>
    <t>EN_WON_21_c02_AZE</t>
  </si>
  <si>
    <t>EN_WON_21_c03_AZE</t>
  </si>
  <si>
    <t>EN_WON_22_c04_AZE</t>
  </si>
  <si>
    <t>EN_WON_23_c02_AZE</t>
  </si>
  <si>
    <t>EN_WON_23_c03_AZE</t>
  </si>
  <si>
    <t>EN_WON_24_c02_AZE</t>
  </si>
  <si>
    <t>EN_WON_24_c03_AZE</t>
  </si>
  <si>
    <t>EN_WON_25_c03_AZE</t>
  </si>
  <si>
    <t>EN_WON_26_c03_AZE</t>
  </si>
  <si>
    <t>EN_WON_27_c03_AZE</t>
  </si>
  <si>
    <t>EN_WON_28_c04_AZE</t>
  </si>
  <si>
    <t>EN_WON_31_c04_AZE</t>
  </si>
  <si>
    <t>EN_WON_32_c01_AZE</t>
  </si>
  <si>
    <t>EN_WON_32_c02_AZE</t>
  </si>
  <si>
    <t>EN_WON_40_c01_AZE</t>
  </si>
  <si>
    <t>EN_WON_15_c04_BDI</t>
  </si>
  <si>
    <t>EN_WON_16_c04_BDI</t>
  </si>
  <si>
    <t>EN_WON_17_c04_BDI</t>
  </si>
  <si>
    <t>EN_WON_33_c01_BEL</t>
  </si>
  <si>
    <t>EN_WON_34_c01_BEL</t>
  </si>
  <si>
    <t>EN_WON_35_c01_BEL</t>
  </si>
  <si>
    <t>EN_WON_36_c01_BEL</t>
  </si>
  <si>
    <t>EN_WON_16_c03_BEN</t>
  </si>
  <si>
    <t>EN_WON_16_c04_BEN</t>
  </si>
  <si>
    <t>EN_WON_17_c02_BEN</t>
  </si>
  <si>
    <t>EN_WON_17_c03_BEN</t>
  </si>
  <si>
    <t>EN_WON_18_c03_BEN</t>
  </si>
  <si>
    <t>EN_WON_18_c04_BEN</t>
  </si>
  <si>
    <t>EN_WON_19_c03_BEN</t>
  </si>
  <si>
    <t>EN_WON_24_c01_BFA</t>
  </si>
  <si>
    <t>EN_WON_24_c02_BFA</t>
  </si>
  <si>
    <t>EN_WON_24_c03_BFA</t>
  </si>
  <si>
    <t>EN_WON_25_c02_BFA</t>
  </si>
  <si>
    <t>EN_WON_25_c03_BFA</t>
  </si>
  <si>
    <t>EN_WON_16_c02_BGD</t>
  </si>
  <si>
    <t>EN_WON_16_c03_BGD</t>
  </si>
  <si>
    <t>EN_WON_16_c04_BGD</t>
  </si>
  <si>
    <t>EN_WON_17_c02_BGD</t>
  </si>
  <si>
    <t>EN_WON_17_c03_BGD</t>
  </si>
  <si>
    <t>EN_WON_19_c02_BGD</t>
  </si>
  <si>
    <t>EN_WON_19_c02_BGR</t>
  </si>
  <si>
    <t>EN_WON_19_c03_BGR</t>
  </si>
  <si>
    <t>EN_WON_20_c02_BGR</t>
  </si>
  <si>
    <t>EN_WON_20_c03_BGR</t>
  </si>
  <si>
    <t>EN_WON_21_c02_BGR</t>
  </si>
  <si>
    <t>EN_WON_23_c02_BGR</t>
  </si>
  <si>
    <t>EN_WON_23_c03_BGR</t>
  </si>
  <si>
    <t>EN_WON_24_c02_BGR</t>
  </si>
  <si>
    <t>EN_WON_24_c03_BGR</t>
  </si>
  <si>
    <t>EN_WON_25_c02_BGR</t>
  </si>
  <si>
    <t>EN_WON_25_c03_BGR</t>
  </si>
  <si>
    <t>EN_WON_26_c01_BGR</t>
  </si>
  <si>
    <t>EN_WON_26_c03_BGR</t>
  </si>
  <si>
    <t>EN_WON_27_c03_BGR</t>
  </si>
  <si>
    <t>EN_WON_29_c01_BGR</t>
  </si>
  <si>
    <t>EN_WON_25_c02_BHR</t>
  </si>
  <si>
    <t>EN_WON_16_c04_BHS</t>
  </si>
  <si>
    <t>EN_WON_17_c02_BHS</t>
  </si>
  <si>
    <t>EN_WON_17_c03_BHS</t>
  </si>
  <si>
    <t>EN_WON_17_c04_BHS</t>
  </si>
  <si>
    <t>EN_WON_18_c02_BHS</t>
  </si>
  <si>
    <t>EN_WON_18_c04_BHS</t>
  </si>
  <si>
    <t>EN_WON_19_c03_BHS</t>
  </si>
  <si>
    <t>EN_WON_21_c03_BHS</t>
  </si>
  <si>
    <t>EN_WON_21_c04_BHS</t>
  </si>
  <si>
    <t>EN_WON_24_c04_BHS</t>
  </si>
  <si>
    <t>EN_WON_25_c04_BHS</t>
  </si>
  <si>
    <t>EN_WON_27_c03_BHS</t>
  </si>
  <si>
    <t>EN_WON_32_c03_BHS</t>
  </si>
  <si>
    <t>EN_WON_34_c03_BHS</t>
  </si>
  <si>
    <t>EN_WON_35_c03_BHS</t>
  </si>
  <si>
    <t>EN_WON_15_c02_BIH</t>
  </si>
  <si>
    <t>EN_WON_16_c02_BIH</t>
  </si>
  <si>
    <t>EN_WON_17_c02_BIH</t>
  </si>
  <si>
    <t>EN_WON_17_c03_BIH</t>
  </si>
  <si>
    <t>EN_WON_18_c02_BIH</t>
  </si>
  <si>
    <t>EN_WON_19_c02_BIH</t>
  </si>
  <si>
    <t>EN_WON_19_c03_BIH</t>
  </si>
  <si>
    <t>EN_WON_20_c03_BIH</t>
  </si>
  <si>
    <t>EN_WON_21_c02_BIH</t>
  </si>
  <si>
    <t>EN_WON_21_c03_BIH</t>
  </si>
  <si>
    <t>EN_WON_22_c02_BIH</t>
  </si>
  <si>
    <t>EN_WON_22_c03_BIH</t>
  </si>
  <si>
    <t>EN_WON_23_c02_BIH</t>
  </si>
  <si>
    <t>EN_WON_24_c03_BIH</t>
  </si>
  <si>
    <t>EN_WON_24_c04_BIH</t>
  </si>
  <si>
    <t>EN_WON_25_c01_BIH</t>
  </si>
  <si>
    <t>EN_WON_25_c02_BIH</t>
  </si>
  <si>
    <t>EN_WON_25_c03_BIH</t>
  </si>
  <si>
    <t>EN_WON_26_c04_BIH</t>
  </si>
  <si>
    <t>EN_WON_27_c02_BIH</t>
  </si>
  <si>
    <t>EN_WON_27_c03_BIH</t>
  </si>
  <si>
    <t>EN_WON_28_c02_BIH</t>
  </si>
  <si>
    <t>EN_WON_28_c03_BIH</t>
  </si>
  <si>
    <t>EN_WON_29_c02_BIH</t>
  </si>
  <si>
    <t>EN_WON_30_c02_BIH</t>
  </si>
  <si>
    <t>EN_WON_31_c02_BIH</t>
  </si>
  <si>
    <t>EN_WON_31_c03_BIH</t>
  </si>
  <si>
    <t>EN_WON_32_c02_BIH</t>
  </si>
  <si>
    <t>EN_WON_33_c02_BIH</t>
  </si>
  <si>
    <t>EN_WON_34_c02_BIH</t>
  </si>
  <si>
    <t>EN_WON_32_c01_BLR</t>
  </si>
  <si>
    <t>EN_WON_33_c01_BLR</t>
  </si>
  <si>
    <t>EN_WON_34_c01_BLR</t>
  </si>
  <si>
    <t>EN_WON_35_c01_BLR</t>
  </si>
  <si>
    <t>EN_WON_27_c02_BOL</t>
  </si>
  <si>
    <t>EN_WON_27_c03_BOL</t>
  </si>
  <si>
    <t>EN_WON_28_c02_BOL</t>
  </si>
  <si>
    <t>EN_WON_28_c03_BOL</t>
  </si>
  <si>
    <t>EN_WON_30_c01_BOL</t>
  </si>
  <si>
    <t>EN_WON_30_c02_BOL</t>
  </si>
  <si>
    <t>EN_WON_30_c03_BOL</t>
  </si>
  <si>
    <t>EN_WON_31_c01_BOL</t>
  </si>
  <si>
    <t>EN_WON_31_c02_BOL</t>
  </si>
  <si>
    <t>EN_WON_31_c03_BOL</t>
  </si>
  <si>
    <t>EN_WON_32_c02_BOL</t>
  </si>
  <si>
    <t>EN_WON_33_c02_BOL</t>
  </si>
  <si>
    <t>EN_WON_34_c01_BOL</t>
  </si>
  <si>
    <t>EN_WON_35_c01_BOL</t>
  </si>
  <si>
    <t>EN_WON_36_c01_BOL</t>
  </si>
  <si>
    <t>EN_WON_37_c01_BOL</t>
  </si>
  <si>
    <t>EN_WON_41_c01_BOL</t>
  </si>
  <si>
    <t>EN_WON_15_c02_BRA</t>
  </si>
  <si>
    <t>EN_WON_15_c03_BRA</t>
  </si>
  <si>
    <t>EN_WON_16_c02_BRA</t>
  </si>
  <si>
    <t>EN_WON_16_c03_BRA</t>
  </si>
  <si>
    <t>EN_WON_16_c04_BRA</t>
  </si>
  <si>
    <t>EN_WON_17_c02_BRA</t>
  </si>
  <si>
    <t>EN_WON_17_c03_BRA</t>
  </si>
  <si>
    <t>EN_WON_17_c04_BRA</t>
  </si>
  <si>
    <t>EN_WON_18_c02_BRA</t>
  </si>
  <si>
    <t>EN_WON_18_c03_BRA</t>
  </si>
  <si>
    <t>EN_WON_18_c04_BRA</t>
  </si>
  <si>
    <t>EN_WON_19_c02_BRA</t>
  </si>
  <si>
    <t>EN_WON_19_c03_BRA</t>
  </si>
  <si>
    <t>EN_WON_19_c04_BRA</t>
  </si>
  <si>
    <t>EN_WON_20_c02_BRA</t>
  </si>
  <si>
    <t>EN_WON_20_c03_BRA</t>
  </si>
  <si>
    <t>EN_WON_20_c04_BRA</t>
  </si>
  <si>
    <t>EN_WON_21_c02_BRA</t>
  </si>
  <si>
    <t>EN_WON_21_c03_BRA</t>
  </si>
  <si>
    <t>EN_WON_21_c04_BRA</t>
  </si>
  <si>
    <t>EN_WON_22_c02_BRA</t>
  </si>
  <si>
    <t>EN_WON_22_c03_BRA</t>
  </si>
  <si>
    <t>EN_WON_22_c04_BRA</t>
  </si>
  <si>
    <t>EN_WON_23_c02_BRA</t>
  </si>
  <si>
    <t>EN_WON_23_c03_BRA</t>
  </si>
  <si>
    <t>EN_WON_23_c04_BRA</t>
  </si>
  <si>
    <t>EN_WON_24_c01_BRA</t>
  </si>
  <si>
    <t>EN_WON_24_c02_BRA</t>
  </si>
  <si>
    <t>EN_WON_24_c03_BRA</t>
  </si>
  <si>
    <t>EN_WON_24_c04_BRA</t>
  </si>
  <si>
    <t>EN_WON_25_c01_BRA</t>
  </si>
  <si>
    <t>EN_WON_25_c02_BRA</t>
  </si>
  <si>
    <t>EN_WON_25_c03_BRA</t>
  </si>
  <si>
    <t>EN_WON_25_c04_BRA</t>
  </si>
  <si>
    <t>EN_WON_26_c01_BRA</t>
  </si>
  <si>
    <t>EN_WON_26_c02_BRA</t>
  </si>
  <si>
    <t>EN_WON_26_c03_BRA</t>
  </si>
  <si>
    <t>EN_WON_26_c04_BRA</t>
  </si>
  <si>
    <t>EN_WON_27_c01_BRA</t>
  </si>
  <si>
    <t>EN_WON_27_c02_BRA</t>
  </si>
  <si>
    <t>EN_WON_27_c03_BRA</t>
  </si>
  <si>
    <t>EN_WON_27_c04_BRA</t>
  </si>
  <si>
    <t>EN_WON_28_c01_BRA</t>
  </si>
  <si>
    <t>EN_WON_28_c02_BRA</t>
  </si>
  <si>
    <t>EN_WON_28_c03_BRA</t>
  </si>
  <si>
    <t>EN_WON_28_c04_BRA</t>
  </si>
  <si>
    <t>EN_WON_29_c01_BRA</t>
  </si>
  <si>
    <t>EN_WON_29_c02_BRA</t>
  </si>
  <si>
    <t>EN_WON_29_c03_BRA</t>
  </si>
  <si>
    <t>EN_WON_29_c04_BRA</t>
  </si>
  <si>
    <t>EN_WON_30_c01_BRA</t>
  </si>
  <si>
    <t>EN_WON_30_c02_BRA</t>
  </si>
  <si>
    <t>EN_WON_30_c03_BRA</t>
  </si>
  <si>
    <t>EN_WON_30_c04_BRA</t>
  </si>
  <si>
    <t>EN_WON_31_c01_BRA</t>
  </si>
  <si>
    <t>EN_WON_31_c02_BRA</t>
  </si>
  <si>
    <t>EN_WON_31_c04_BRA</t>
  </si>
  <si>
    <t>EN_WON_32_c01_BRA</t>
  </si>
  <si>
    <t>EN_WON_32_c02_BRA</t>
  </si>
  <si>
    <t>EN_WON_32_c03_BRA</t>
  </si>
  <si>
    <t>EN_WON_32_c04_BRA</t>
  </si>
  <si>
    <t>EN_WON_33_c01_BRA</t>
  </si>
  <si>
    <t>EN_WON_33_c02_BRA</t>
  </si>
  <si>
    <t>EN_WON_33_c03_BRA</t>
  </si>
  <si>
    <t>EN_WON_33_c04_BRA</t>
  </si>
  <si>
    <t>EN_WON_34_c01_BRA</t>
  </si>
  <si>
    <t>EN_WON_34_c02_BRA</t>
  </si>
  <si>
    <t>EN_WON_34_c03_BRA</t>
  </si>
  <si>
    <t>EN_WON_35_c01_BRA</t>
  </si>
  <si>
    <t>EN_WON_35_c02_BRA</t>
  </si>
  <si>
    <t>EN_WON_35_c03_BRA</t>
  </si>
  <si>
    <t>EN_WON_35_c04_BRA</t>
  </si>
  <si>
    <t>EN_WON_36_c01_BRA</t>
  </si>
  <si>
    <t>EN_WON_36_c02_BRA</t>
  </si>
  <si>
    <t>EN_WON_36_c03_BRA</t>
  </si>
  <si>
    <t>EN_WON_36_c04_BRA</t>
  </si>
  <si>
    <t>EN_WON_37_c01_BRA</t>
  </si>
  <si>
    <t>EN_WON_37_c02_BRA</t>
  </si>
  <si>
    <t>EN_WON_37_c03_BRA</t>
  </si>
  <si>
    <t>EN_WON_37_c04_BRA</t>
  </si>
  <si>
    <t>EN_WON_38_c01_BRA</t>
  </si>
  <si>
    <t>EN_WON_38_c02_BRA</t>
  </si>
  <si>
    <t>EN_WON_39_c01_BRA</t>
  </si>
  <si>
    <t>EN_WON_40_c01_BRA</t>
  </si>
  <si>
    <t>EN_WON_40_c03_BRA</t>
  </si>
  <si>
    <t>EN_WON_41_c01_BRA</t>
  </si>
  <si>
    <t>EN_WON_44_c02_BRA</t>
  </si>
  <si>
    <t>EN_WON_30_c01_BWA</t>
  </si>
  <si>
    <t>EN_WON_30_c02_BWA</t>
  </si>
  <si>
    <t>EN_WON_32_c02_BWA</t>
  </si>
  <si>
    <t>EN_WON_18_c04_CAF</t>
  </si>
  <si>
    <t>EN_WON_19_c04_CAF</t>
  </si>
  <si>
    <t>EN_WON_35_c01_CAN</t>
  </si>
  <si>
    <t>EN_WON_35_c03_CAN</t>
  </si>
  <si>
    <t>EN_WON_36_c01_CAN</t>
  </si>
  <si>
    <t>EN_WON_36_c02_CAN</t>
  </si>
  <si>
    <t>EN_WON_36_c03_CAN</t>
  </si>
  <si>
    <t>EN_WON_36_c04_CAN</t>
  </si>
  <si>
    <t>EN_WON_37_c01_CAN</t>
  </si>
  <si>
    <t>EN_WON_37_c02_CAN</t>
  </si>
  <si>
    <t>EN_WON_37_c03_CAN</t>
  </si>
  <si>
    <t>EN_WON_37_c04_CAN</t>
  </si>
  <si>
    <t>EN_WON_38_c01_CAN</t>
  </si>
  <si>
    <t>EN_WON_38_c02_CAN</t>
  </si>
  <si>
    <t>EN_WON_38_c03_CAN</t>
  </si>
  <si>
    <t>EN_WON_38_c04_CAN</t>
  </si>
  <si>
    <t>EN_WON_39_c01_CAN</t>
  </si>
  <si>
    <t>EN_WON_39_c02_CAN</t>
  </si>
  <si>
    <t>EN_WON_39_c03_CAN</t>
  </si>
  <si>
    <t>EN_WON_39_c04_CAN</t>
  </si>
  <si>
    <t>EN_WON_40_c01_CAN</t>
  </si>
  <si>
    <t>EN_WON_40_c02_CAN</t>
  </si>
  <si>
    <t>EN_WON_40_c03_CAN</t>
  </si>
  <si>
    <t>EN_WON_40_c04_CAN</t>
  </si>
  <si>
    <t>EN_WON_41_c01_CAN</t>
  </si>
  <si>
    <t>EN_WON_41_c02_CAN</t>
  </si>
  <si>
    <t>EN_WON_41_c03_CAN</t>
  </si>
  <si>
    <t>EN_WON_41_c04_CAN</t>
  </si>
  <si>
    <t>EN_WON_42_c01_CAN</t>
  </si>
  <si>
    <t>EN_WON_42_c02_CAN</t>
  </si>
  <si>
    <t>EN_WON_42_c03_CAN</t>
  </si>
  <si>
    <t>EN_WON_42_c04_CAN</t>
  </si>
  <si>
    <t>EN_WON_43_c01_CAN</t>
  </si>
  <si>
    <t>EN_WON_43_c02_CAN</t>
  </si>
  <si>
    <t>EN_WON_43_c03_CAN</t>
  </si>
  <si>
    <t>EN_WON_43_c04_CAN</t>
  </si>
  <si>
    <t>EN_WON_44_c01_CAN</t>
  </si>
  <si>
    <t>EN_WON_44_c02_CAN</t>
  </si>
  <si>
    <t>EN_WON_44_c03_CAN</t>
  </si>
  <si>
    <t>EN_WON_44_c04_CAN</t>
  </si>
  <si>
    <t>EN_WON_45_c01_CAN</t>
  </si>
  <si>
    <t>EN_WON_45_c02_CAN</t>
  </si>
  <si>
    <t>EN_WON_45_c03_CAN</t>
  </si>
  <si>
    <t>EN_WON_45_c04_CAN</t>
  </si>
  <si>
    <t>EN_WON_46_c01_CAN</t>
  </si>
  <si>
    <t>EN_WON_46_c02_CAN</t>
  </si>
  <si>
    <t>EN_WON_46_c03_CAN</t>
  </si>
  <si>
    <t>EN_WON_46_c04_CAN</t>
  </si>
  <si>
    <t>EN_WON_47_c01_CAN</t>
  </si>
  <si>
    <t>EN_WON_47_c02_CAN</t>
  </si>
  <si>
    <t>EN_WON_47_c03_CAN</t>
  </si>
  <si>
    <t>EN_WON_47_c04_CAN</t>
  </si>
  <si>
    <t>EN_WON_48_c01_CAN</t>
  </si>
  <si>
    <t>EN_WON_48_c02_CAN</t>
  </si>
  <si>
    <t>EN_WON_48_c03_CAN</t>
  </si>
  <si>
    <t>EN_WON_48_c04_CAN</t>
  </si>
  <si>
    <t>EN_WON_49_c02_CAN</t>
  </si>
  <si>
    <t>EN_WON_49_c03_CAN</t>
  </si>
  <si>
    <t>EN_WON_49_c04_CAN</t>
  </si>
  <si>
    <t>EN_WON_50_c03_CAN</t>
  </si>
  <si>
    <t>EN_WON_51_c01_CAN</t>
  </si>
  <si>
    <t>EN_WON_51_c03_CAN</t>
  </si>
  <si>
    <t>EN_WON_52_c02_CAN</t>
  </si>
  <si>
    <t>EN_WON_53_c02_CAN</t>
  </si>
  <si>
    <t>EN_WON_57_c03_CAN</t>
  </si>
  <si>
    <t>EN_WON_59_c01_CAN</t>
  </si>
  <si>
    <t>EN_WON_18_c04_CHE</t>
  </si>
  <si>
    <t>EN_WON_20_c03_CHE</t>
  </si>
  <si>
    <t>EN_WON_20_c04_CHE</t>
  </si>
  <si>
    <t>EN_WON_22_c02_CHE</t>
  </si>
  <si>
    <t>EN_WON_22_c03_CHE</t>
  </si>
  <si>
    <t>EN_WON_22_c04_CHE</t>
  </si>
  <si>
    <t>EN_WON_23_c04_CHE</t>
  </si>
  <si>
    <t>EN_WON_24_c02_CHE</t>
  </si>
  <si>
    <t>EN_WON_25_c04_CHE</t>
  </si>
  <si>
    <t>EN_WON_51_c01_CHL</t>
  </si>
  <si>
    <t>EN_WON_51_c02_CHL</t>
  </si>
  <si>
    <t>EN_WON_52_c01_CHL</t>
  </si>
  <si>
    <t>EN_WON_52_c02_CHL</t>
  </si>
  <si>
    <t>EN_WON_53_c01_CHL</t>
  </si>
  <si>
    <t>EN_WON_53_c03_CHL</t>
  </si>
  <si>
    <t>EN_WON_53_c04_CHL</t>
  </si>
  <si>
    <t>EN_WON_54_c01_CHL</t>
  </si>
  <si>
    <t>EN_WON_54_c02_CHL</t>
  </si>
  <si>
    <t>EN_WON_54_c03_CHL</t>
  </si>
  <si>
    <t>EN_WON_54_c04_CHL</t>
  </si>
  <si>
    <t>EN_WON_55_c01_CHL</t>
  </si>
  <si>
    <t>EN_WON_55_c02_CHL</t>
  </si>
  <si>
    <t>EN_WON_56_c01_CHL</t>
  </si>
  <si>
    <t>EN_WON_56_c02_CHL</t>
  </si>
  <si>
    <t>EN_WON_57_c02_CHL</t>
  </si>
  <si>
    <t>EN_WON_57_c03_CHL</t>
  </si>
  <si>
    <t>EN_WON_58_c02_CHL</t>
  </si>
  <si>
    <t>EN_WON_59_c01_CHL</t>
  </si>
  <si>
    <t>EN_WON_59_c02_CHL</t>
  </si>
  <si>
    <t>EN_WON_60_c02_CHL</t>
  </si>
  <si>
    <t>EN_WON_60_c03_CHL</t>
  </si>
  <si>
    <t>EN_WON_61_c02_CHL</t>
  </si>
  <si>
    <t>EN_WON_61_c03_CHL</t>
  </si>
  <si>
    <t>EN_WON_62_c02_CHL</t>
  </si>
  <si>
    <t>EN_WON_62_c03_CHL</t>
  </si>
  <si>
    <t>EN_WON_63_c02_CHL</t>
  </si>
  <si>
    <t>EN_WON_63_c03_CHL</t>
  </si>
  <si>
    <t>EN_WON_64_c02_CHL</t>
  </si>
  <si>
    <t>EN_WON_64_c03_CHL</t>
  </si>
  <si>
    <t>EN_WON_65_c02_CHL</t>
  </si>
  <si>
    <t>EN_WON_65_c03_CHL</t>
  </si>
  <si>
    <t>EN_WON_15_c02_CHN</t>
  </si>
  <si>
    <t>EN_WON_15_c03_CHN</t>
  </si>
  <si>
    <t>EN_WON_15_c04_CHN</t>
  </si>
  <si>
    <t>EN_WON_16_c02_CHN</t>
  </si>
  <si>
    <t>EN_WON_16_c03_CHN</t>
  </si>
  <si>
    <t>EN_WON_16_c04_CHN</t>
  </si>
  <si>
    <t>EN_WON_17_c02_CHN</t>
  </si>
  <si>
    <t>EN_WON_17_c03_CHN</t>
  </si>
  <si>
    <t>EN_WON_17_c04_CHN</t>
  </si>
  <si>
    <t>EN_WON_18_c02_CHN</t>
  </si>
  <si>
    <t>EN_WON_18_c03_CHN</t>
  </si>
  <si>
    <t>EN_WON_18_c04_CHN</t>
  </si>
  <si>
    <t>EN_WON_19_c01_CHN</t>
  </si>
  <si>
    <t>EN_WON_19_c02_CHN</t>
  </si>
  <si>
    <t>EN_WON_19_c03_CHN</t>
  </si>
  <si>
    <t>EN_WON_19_c04_CHN</t>
  </si>
  <si>
    <t>EN_WON_20_c01_CHN</t>
  </si>
  <si>
    <t>EN_WON_20_c02_CHN</t>
  </si>
  <si>
    <t>EN_WON_20_c03_CHN</t>
  </si>
  <si>
    <t>EN_WON_20_c04_CHN</t>
  </si>
  <si>
    <t>EN_WON_21_c01_CHN</t>
  </si>
  <si>
    <t>EN_WON_21_c02_CHN</t>
  </si>
  <si>
    <t>EN_WON_21_c03_CHN</t>
  </si>
  <si>
    <t>EN_WON_21_c04_CHN</t>
  </si>
  <si>
    <t>EN_WON_22_c01_CHN</t>
  </si>
  <si>
    <t>EN_WON_22_c02_CHN</t>
  </si>
  <si>
    <t>EN_WON_22_c03_CHN</t>
  </si>
  <si>
    <t>EN_WON_22_c04_CHN</t>
  </si>
  <si>
    <t>EN_WON_23_c01_CHN</t>
  </si>
  <si>
    <t>EN_WON_23_c02_CHN</t>
  </si>
  <si>
    <t>EN_WON_23_c03_CHN</t>
  </si>
  <si>
    <t>EN_WON_23_c04_CHN</t>
  </si>
  <si>
    <t>EN_WON_24_c01_CHN</t>
  </si>
  <si>
    <t>EN_WON_24_c02_CHN</t>
  </si>
  <si>
    <t>EN_WON_24_c03_CHN</t>
  </si>
  <si>
    <t>EN_WON_24_c04_CHN</t>
  </si>
  <si>
    <t>EN_WON_25_c01_CHN</t>
  </si>
  <si>
    <t>EN_WON_25_c02_CHN</t>
  </si>
  <si>
    <t>EN_WON_25_c03_CHN</t>
  </si>
  <si>
    <t>EN_WON_25_c04_CHN</t>
  </si>
  <si>
    <t>EN_WON_26_c01_CHN</t>
  </si>
  <si>
    <t>EN_WON_26_c02_CHN</t>
  </si>
  <si>
    <t>EN_WON_26_c03_CHN</t>
  </si>
  <si>
    <t>EN_WON_26_c04_CHN</t>
  </si>
  <si>
    <t>EN_WON_27_c01_CHN</t>
  </si>
  <si>
    <t>EN_WON_27_c02_CHN</t>
  </si>
  <si>
    <t>EN_WON_27_c03_CHN</t>
  </si>
  <si>
    <t>EN_WON_27_c04_CHN</t>
  </si>
  <si>
    <t>EN_WON_28_c01_CHN</t>
  </si>
  <si>
    <t>EN_WON_28_c02_CHN</t>
  </si>
  <si>
    <t>EN_WON_28_c03_CHN</t>
  </si>
  <si>
    <t>EN_WON_28_c04_CHN</t>
  </si>
  <si>
    <t>EN_WON_29_c01_CHN</t>
  </si>
  <si>
    <t>EN_WON_29_c02_CHN</t>
  </si>
  <si>
    <t>EN_WON_29_c03_CHN</t>
  </si>
  <si>
    <t>EN_WON_29_c04_CHN</t>
  </si>
  <si>
    <t>EN_WON_30_c01_CHN</t>
  </si>
  <si>
    <t>EN_WON_30_c02_CHN</t>
  </si>
  <si>
    <t>EN_WON_30_c03_CHN</t>
  </si>
  <si>
    <t>EN_WON_30_c04_CHN</t>
  </si>
  <si>
    <t>EN_WON_31_c01_CHN</t>
  </si>
  <si>
    <t>EN_WON_31_c02_CHN</t>
  </si>
  <si>
    <t>EN_WON_31_c03_CHN</t>
  </si>
  <si>
    <t>EN_WON_31_c04_CHN</t>
  </si>
  <si>
    <t>EN_WON_32_c01_CHN</t>
  </si>
  <si>
    <t>EN_WON_32_c02_CHN</t>
  </si>
  <si>
    <t>EN_WON_32_c03_CHN</t>
  </si>
  <si>
    <t>EN_WON_33_c01_CHN</t>
  </si>
  <si>
    <t>EN_WON_33_c02_CHN</t>
  </si>
  <si>
    <t>EN_WON_33_c03_CHN</t>
  </si>
  <si>
    <t>EN_WON_34_c01_CHN</t>
  </si>
  <si>
    <t>EN_WON_34_c02_CHN</t>
  </si>
  <si>
    <t>EN_WON_34_c03_CHN</t>
  </si>
  <si>
    <t>EN_WON_35_c01_CHN</t>
  </si>
  <si>
    <t>EN_WON_35_c02_CHN</t>
  </si>
  <si>
    <t>EN_WON_35_c03_CHN</t>
  </si>
  <si>
    <t>EN_WON_35_c04_CHN</t>
  </si>
  <si>
    <t>EN_WON_36_c01_CHN</t>
  </si>
  <si>
    <t>EN_WON_36_c02_CHN</t>
  </si>
  <si>
    <t>EN_WON_36_c03_CHN</t>
  </si>
  <si>
    <t>EN_WON_36_c04_CHN</t>
  </si>
  <si>
    <t>EN_WON_37_c01_CHN</t>
  </si>
  <si>
    <t>EN_WON_37_c02_CHN</t>
  </si>
  <si>
    <t>EN_WON_37_c03_CHN</t>
  </si>
  <si>
    <t>EN_WON_38_c01_CHN</t>
  </si>
  <si>
    <t>EN_WON_38_c02_CHN</t>
  </si>
  <si>
    <t>EN_WON_38_c03_CHN</t>
  </si>
  <si>
    <t>EN_WON_39_c01_CHN</t>
  </si>
  <si>
    <t>EN_WON_39_c02_CHN</t>
  </si>
  <si>
    <t>EN_WON_40_c01_CHN</t>
  </si>
  <si>
    <t>EN_WON_40_c02_CHN</t>
  </si>
  <si>
    <t>EN_WON_41_c01_CHN</t>
  </si>
  <si>
    <t>EN_WON_42_c01_CHN</t>
  </si>
  <si>
    <t>EN_WON_43_c01_CHN</t>
  </si>
  <si>
    <t>EN_WON_44_c01_CHN</t>
  </si>
  <si>
    <t>EN_WON_45_c01_CHN</t>
  </si>
  <si>
    <t>EN_WON_46_c01_CHN</t>
  </si>
  <si>
    <t>EN_WON_48_c01_CHN</t>
  </si>
  <si>
    <t>EN_WON_49_c01_CHN</t>
  </si>
  <si>
    <t>EN_WON_51_c01_CHN</t>
  </si>
  <si>
    <t>EN_WON_57_c01_CHN</t>
  </si>
  <si>
    <t>EN_WON_15_c03_CIV</t>
  </si>
  <si>
    <t>EN_WON_16_c03_CIV</t>
  </si>
  <si>
    <t>EN_WON_17_c03_CIV</t>
  </si>
  <si>
    <t>EN_WON_20_c02_CMR</t>
  </si>
  <si>
    <t>EN_WON_20_c04_CMR</t>
  </si>
  <si>
    <t>EN_WON_21_c03_CMR</t>
  </si>
  <si>
    <t>EN_WON_22_c02_CMR</t>
  </si>
  <si>
    <t>EN_WON_23_c02_CMR</t>
  </si>
  <si>
    <t>EN_WON_24_c01_CMR</t>
  </si>
  <si>
    <t>EN_WON_24_c02_CMR</t>
  </si>
  <si>
    <t>EN_WON_25_c03_CMR</t>
  </si>
  <si>
    <t>EN_WON_26_c02_CMR</t>
  </si>
  <si>
    <t>EN_WON_27_c02_CMR</t>
  </si>
  <si>
    <t>EN_WON_15_c04_COD</t>
  </si>
  <si>
    <t>EN_WON_16_c04_COD</t>
  </si>
  <si>
    <t>EN_WON_17_c04_COD</t>
  </si>
  <si>
    <t>EN_WON_18_c04_COD</t>
  </si>
  <si>
    <t>EN_WON_19_c04_COD</t>
  </si>
  <si>
    <t>EN_WON_20_c04_COD</t>
  </si>
  <si>
    <t>EN_WON_16_c02_COG</t>
  </si>
  <si>
    <t>EN_WON_17_c03_COG</t>
  </si>
  <si>
    <t>EN_WON_18_c03_COG</t>
  </si>
  <si>
    <t>EN_WON_19_c02_COG</t>
  </si>
  <si>
    <t>EN_WON_19_c03_COG</t>
  </si>
  <si>
    <t>EN_WON_15_c02_COL</t>
  </si>
  <si>
    <t>EN_WON_15_c04_COL</t>
  </si>
  <si>
    <t>EN_WON_16_c02_COL</t>
  </si>
  <si>
    <t>EN_WON_16_c03_COL</t>
  </si>
  <si>
    <t>EN_WON_16_c04_COL</t>
  </si>
  <si>
    <t>EN_WON_17_c02_COL</t>
  </si>
  <si>
    <t>EN_WON_17_c03_COL</t>
  </si>
  <si>
    <t>EN_WON_18_c02_COL</t>
  </si>
  <si>
    <t>EN_WON_18_c03_COL</t>
  </si>
  <si>
    <t>EN_WON_18_c04_COL</t>
  </si>
  <si>
    <t>EN_WON_19_c02_COL</t>
  </si>
  <si>
    <t>EN_WON_19_c03_COL</t>
  </si>
  <si>
    <t>EN_WON_19_c04_COL</t>
  </si>
  <si>
    <t>EN_WON_20_c02_COL</t>
  </si>
  <si>
    <t>EN_WON_20_c03_COL</t>
  </si>
  <si>
    <t>EN_WON_20_c04_COL</t>
  </si>
  <si>
    <t>EN_WON_21_c02_COL</t>
  </si>
  <si>
    <t>EN_WON_21_c03_COL</t>
  </si>
  <si>
    <t>EN_WON_22_c02_COL</t>
  </si>
  <si>
    <t>EN_WON_22_c03_COL</t>
  </si>
  <si>
    <t>EN_WON_22_c04_COL</t>
  </si>
  <si>
    <t>EN_WON_23_c02_COL</t>
  </si>
  <si>
    <t>EN_WON_23_c03_COL</t>
  </si>
  <si>
    <t>EN_WON_23_c04_COL</t>
  </si>
  <si>
    <t>EN_WON_24_c04_COL</t>
  </si>
  <si>
    <t>EN_WON_25_c03_COL</t>
  </si>
  <si>
    <t>EN_WON_26_c04_COL</t>
  </si>
  <si>
    <t>EN_WON_27_c02_COL</t>
  </si>
  <si>
    <t>EN_WON_27_c03_COL</t>
  </si>
  <si>
    <t>EN_WON_33_c03_COL</t>
  </si>
  <si>
    <t>EN_WON_34_c03_COL</t>
  </si>
  <si>
    <t>EN_WON_35_c01_COL</t>
  </si>
  <si>
    <t>EN_WON_37_c02_COL</t>
  </si>
  <si>
    <t>EN_WON_40_c02_COL</t>
  </si>
  <si>
    <t>EN_WON_44_c01_COL</t>
  </si>
  <si>
    <t>EN_WON_55_c01_COL</t>
  </si>
  <si>
    <t>EN_WON_56_c01_COL</t>
  </si>
  <si>
    <t>EN_WON_57_c01_COL</t>
  </si>
  <si>
    <t>EN_WON_58_c01_COL</t>
  </si>
  <si>
    <t>EN_WON_17_c03_COM</t>
  </si>
  <si>
    <t>EN_WON_32_c04_CRI</t>
  </si>
  <si>
    <t>EN_WON_19_c02_CUB</t>
  </si>
  <si>
    <t>EN_WON_19_c03_CUB</t>
  </si>
  <si>
    <t>EN_WON_19_c04_CUB</t>
  </si>
  <si>
    <t>EN_WON_20_c02_CUB</t>
  </si>
  <si>
    <t>EN_WON_20_c03_CUB</t>
  </si>
  <si>
    <t>EN_WON_20_c04_CUB</t>
  </si>
  <si>
    <t>EN_WON_21_c01_CUB</t>
  </si>
  <si>
    <t>EN_WON_21_c02_CUB</t>
  </si>
  <si>
    <t>EN_WON_21_c03_CUB</t>
  </si>
  <si>
    <t>EN_WON_22_c02_CUB</t>
  </si>
  <si>
    <t>EN_WON_22_c03_CUB</t>
  </si>
  <si>
    <t>EN_WON_23_c02_CUB</t>
  </si>
  <si>
    <t>EN_WON_24_c03_CUB</t>
  </si>
  <si>
    <t>EN_WON_25_c03_CUB</t>
  </si>
  <si>
    <t>EN_WON_26_c03_CUB</t>
  </si>
  <si>
    <t>EN_WON_30_c02_CUB</t>
  </si>
  <si>
    <t>EN_WON_16_c03_CYP</t>
  </si>
  <si>
    <t>EN_WON_26_c02_CZE</t>
  </si>
  <si>
    <t>EN_WON_27_c01_CZE</t>
  </si>
  <si>
    <t>EN_WON_27_c02_CZE</t>
  </si>
  <si>
    <t>EN_WON_27_c03_CZE</t>
  </si>
  <si>
    <t>EN_WON_28_c02_CZE</t>
  </si>
  <si>
    <t>EN_WON_28_c03_CZE</t>
  </si>
  <si>
    <t>EN_WON_29_c04_CZE</t>
  </si>
  <si>
    <t>EN_WON_34_c01_DEU</t>
  </si>
  <si>
    <t>EN_WON_35_c01_DEU</t>
  </si>
  <si>
    <t>EN_WON_36_c01_DEU</t>
  </si>
  <si>
    <t>EN_WON_37_c01_DEU</t>
  </si>
  <si>
    <t>EN_WON_38_c01_DEU</t>
  </si>
  <si>
    <t>EN_WON_39_c01_DEU</t>
  </si>
  <si>
    <t>EN_WON_40_c01_DEU</t>
  </si>
  <si>
    <t>EN_WON_41_c01_DEU</t>
  </si>
  <si>
    <t>EN_WON_42_c01_DEU</t>
  </si>
  <si>
    <t>EN_WON_43_c01_DEU</t>
  </si>
  <si>
    <t>EN_WON_44_c01_DEU</t>
  </si>
  <si>
    <t>EN_WON_45_c01_DEU</t>
  </si>
  <si>
    <t>EN_WON_46_c01_DEU</t>
  </si>
  <si>
    <t>EN_WON_49_c01_DEU</t>
  </si>
  <si>
    <t>EN_WON_50_c01_DEU</t>
  </si>
  <si>
    <t>EN_WON_52_c01_DEU</t>
  </si>
  <si>
    <t>EN_WON_40_c03_DJI</t>
  </si>
  <si>
    <t>EN_WON_44_c01_DNK</t>
  </si>
  <si>
    <t>EN_WON_45_c01_DNK</t>
  </si>
  <si>
    <t>EN_WON_46_c01_DNK</t>
  </si>
  <si>
    <t>EN_WON_47_c01_DNK</t>
  </si>
  <si>
    <t>EN_WON_49_c01_DNK</t>
  </si>
  <si>
    <t>EN_WON_15_c03_DOM</t>
  </si>
  <si>
    <t>EN_WON_15_c04_DOM</t>
  </si>
  <si>
    <t>EN_WON_16_c03_DOM</t>
  </si>
  <si>
    <t>EN_WON_16_c04_DOM</t>
  </si>
  <si>
    <t>EN_WON_17_c03_DOM</t>
  </si>
  <si>
    <t>EN_WON_17_c04_DOM</t>
  </si>
  <si>
    <t>EN_WON_19_c03_DOM</t>
  </si>
  <si>
    <t>EN_WON_21_c02_DOM</t>
  </si>
  <si>
    <t>EN_WON_21_c03_DOM</t>
  </si>
  <si>
    <t>EN_WON_21_c04_DOM</t>
  </si>
  <si>
    <t>EN_WON_23_c03_DOM</t>
  </si>
  <si>
    <t>EN_WON_23_c04_DOM</t>
  </si>
  <si>
    <t>EN_WON_27_c03_DOM</t>
  </si>
  <si>
    <t>EN_WON_28_c03_DOM</t>
  </si>
  <si>
    <t>EN_WON_29_c02_DOM</t>
  </si>
  <si>
    <t>EN_WON_29_c03_DOM</t>
  </si>
  <si>
    <t>EN_WON_31_c04_DOM</t>
  </si>
  <si>
    <t>EN_WON_32_c03_DOM</t>
  </si>
  <si>
    <t>EN_WON_44_c01_DZA</t>
  </si>
  <si>
    <t>EN_WON_44_c02_DZA</t>
  </si>
  <si>
    <t>EN_WON_44_c03_DZA</t>
  </si>
  <si>
    <t>EN_WON_45_c01_DZA</t>
  </si>
  <si>
    <t>EN_WON_46_c01_DZA</t>
  </si>
  <si>
    <t>EN_WON_46_c02_DZA</t>
  </si>
  <si>
    <t>EN_WON_47_c01_DZA</t>
  </si>
  <si>
    <t>EN_WON_47_c02_DZA</t>
  </si>
  <si>
    <t>EN_WON_48_c01_DZA</t>
  </si>
  <si>
    <t>EN_WON_49_c01_DZA</t>
  </si>
  <si>
    <t>EN_WON_49_c02_DZA</t>
  </si>
  <si>
    <t>EN_WON_15_c04_ECU</t>
  </si>
  <si>
    <t>EN_WON_16_c04_ECU</t>
  </si>
  <si>
    <t>EN_WON_17_c04_ECU</t>
  </si>
  <si>
    <t>EN_WON_18_c04_ECU</t>
  </si>
  <si>
    <t>EN_WON_19_c04_ECU</t>
  </si>
  <si>
    <t>EN_WON_20_c04_ECU</t>
  </si>
  <si>
    <t>EN_WON_21_c04_ECU</t>
  </si>
  <si>
    <t>EN_WON_22_c04_ECU</t>
  </si>
  <si>
    <t>EN_WON_23_c03_ECU</t>
  </si>
  <si>
    <t>EN_WON_23_c04_ECU</t>
  </si>
  <si>
    <t>EN_WON_24_c04_ECU</t>
  </si>
  <si>
    <t>EN_WON_25_c03_ECU</t>
  </si>
  <si>
    <t>EN_WON_25_c04_ECU</t>
  </si>
  <si>
    <t>EN_WON_29_c04_ECU</t>
  </si>
  <si>
    <t>EN_WON_34_c03_ECU</t>
  </si>
  <si>
    <t>EN_WON_38_c01_EGY</t>
  </si>
  <si>
    <t>EN_WON_38_c03_EGY</t>
  </si>
  <si>
    <t>EN_WON_39_c01_EGY</t>
  </si>
  <si>
    <t>EN_WON_39_c02_EGY</t>
  </si>
  <si>
    <t>EN_WON_39_c03_EGY</t>
  </si>
  <si>
    <t>EN_WON_40_c01_EGY</t>
  </si>
  <si>
    <t>EN_WON_40_c02_EGY</t>
  </si>
  <si>
    <t>EN_WON_41_c01_EGY</t>
  </si>
  <si>
    <t>EN_WON_41_c02_EGY</t>
  </si>
  <si>
    <t>EN_WON_42_c01_EGY</t>
  </si>
  <si>
    <t>EN_WON_42_c02_EGY</t>
  </si>
  <si>
    <t>EN_WON_43_c01_EGY</t>
  </si>
  <si>
    <t>EN_WON_43_c02_EGY</t>
  </si>
  <si>
    <t>EN_WON_44_c01_EGY</t>
  </si>
  <si>
    <t>EN_WON_44_c02_EGY</t>
  </si>
  <si>
    <t>EN_WON_45_c01_EGY</t>
  </si>
  <si>
    <t>EN_WON_45_c02_EGY</t>
  </si>
  <si>
    <t>EN_WON_46_c01_EGY</t>
  </si>
  <si>
    <t>EN_WON_47_c01_EGY</t>
  </si>
  <si>
    <t>EN_WON_47_c02_EGY</t>
  </si>
  <si>
    <t>EN_WON_48_c01_EGY</t>
  </si>
  <si>
    <t>EN_WON_48_c02_EGY</t>
  </si>
  <si>
    <t>EN_WON_49_c01_EGY</t>
  </si>
  <si>
    <t>EN_WON_50_c01_EGY</t>
  </si>
  <si>
    <t>EN_WON_52_c01_EGY</t>
  </si>
  <si>
    <t>EN_WON_59_c01_EGY</t>
  </si>
  <si>
    <t>EN_WON_48_c02_ERI</t>
  </si>
  <si>
    <t>EN_WON_48_c03_ERI</t>
  </si>
  <si>
    <t>EN_WON_49_c01_ERI</t>
  </si>
  <si>
    <t>EN_WON_50_c02_ERI</t>
  </si>
  <si>
    <t>EN_WON_16_c02_ESP</t>
  </si>
  <si>
    <t>EN_WON_17_c02_ESP</t>
  </si>
  <si>
    <t>EN_WON_17_c03_ESP</t>
  </si>
  <si>
    <t>EN_WON_18_c02_ESP</t>
  </si>
  <si>
    <t>EN_WON_18_c03_ESP</t>
  </si>
  <si>
    <t>EN_WON_19_c02_ESP</t>
  </si>
  <si>
    <t>EN_WON_19_c03_ESP</t>
  </si>
  <si>
    <t>EN_WON_20_c02_ESP</t>
  </si>
  <si>
    <t>EN_WON_20_c03_ESP</t>
  </si>
  <si>
    <t>EN_WON_21_c02_ESP</t>
  </si>
  <si>
    <t>EN_WON_21_c03_ESP</t>
  </si>
  <si>
    <t>EN_WON_21_c04_ESP</t>
  </si>
  <si>
    <t>EN_WON_22_c01_ESP</t>
  </si>
  <si>
    <t>EN_WON_22_c02_ESP</t>
  </si>
  <si>
    <t>EN_WON_22_c03_ESP</t>
  </si>
  <si>
    <t>EN_WON_22_c04_ESP</t>
  </si>
  <si>
    <t>EN_WON_23_c01_ESP</t>
  </si>
  <si>
    <t>EN_WON_23_c02_ESP</t>
  </si>
  <si>
    <t>EN_WON_23_c03_ESP</t>
  </si>
  <si>
    <t>EN_WON_24_c01_ESP</t>
  </si>
  <si>
    <t>EN_WON_24_c02_ESP</t>
  </si>
  <si>
    <t>EN_WON_24_c03_ESP</t>
  </si>
  <si>
    <t>EN_WON_24_c04_ESP</t>
  </si>
  <si>
    <t>EN_WON_25_c01_ESP</t>
  </si>
  <si>
    <t>EN_WON_25_c02_ESP</t>
  </si>
  <si>
    <t>EN_WON_25_c03_ESP</t>
  </si>
  <si>
    <t>EN_WON_25_c04_ESP</t>
  </si>
  <si>
    <t>EN_WON_26_c01_ESP</t>
  </si>
  <si>
    <t>EN_WON_26_c02_ESP</t>
  </si>
  <si>
    <t>EN_WON_26_c03_ESP</t>
  </si>
  <si>
    <t>EN_WON_27_c02_ESP</t>
  </si>
  <si>
    <t>EN_WON_27_c03_ESP</t>
  </si>
  <si>
    <t>EN_WON_28_c01_ESP</t>
  </si>
  <si>
    <t>EN_WON_28_c02_ESP</t>
  </si>
  <si>
    <t>EN_WON_28_c03_ESP</t>
  </si>
  <si>
    <t>EN_WON_28_c04_ESP</t>
  </si>
  <si>
    <t>EN_WON_29_c01_ESP</t>
  </si>
  <si>
    <t>EN_WON_29_c02_ESP</t>
  </si>
  <si>
    <t>EN_WON_29_c03_ESP</t>
  </si>
  <si>
    <t>EN_WON_30_c01_ESP</t>
  </si>
  <si>
    <t>EN_WON_30_c02_ESP</t>
  </si>
  <si>
    <t>EN_WON_31_c02_ESP</t>
  </si>
  <si>
    <t>EN_WON_31_c04_ESP</t>
  </si>
  <si>
    <t>EN_WON_32_c01_ESP</t>
  </si>
  <si>
    <t>EN_WON_32_c04_ESP</t>
  </si>
  <si>
    <t>EN_WON_33_c01_ESP</t>
  </si>
  <si>
    <t>EN_WON_33_c02_ESP</t>
  </si>
  <si>
    <t>EN_WON_33_c03_ESP</t>
  </si>
  <si>
    <t>EN_WON_33_c04_ESP</t>
  </si>
  <si>
    <t>EN_WON_34_c01_ESP</t>
  </si>
  <si>
    <t>EN_WON_34_c02_ESP</t>
  </si>
  <si>
    <t>EN_WON_35_c01_ESP</t>
  </si>
  <si>
    <t>EN_WON_35_c04_ESP</t>
  </si>
  <si>
    <t>EN_WON_36_c01_ESP</t>
  </si>
  <si>
    <t>EN_WON_36_c03_ESP</t>
  </si>
  <si>
    <t>EN_WON_37_c01_ESP</t>
  </si>
  <si>
    <t>EN_WON_38_c01_ESP</t>
  </si>
  <si>
    <t>EN_WON_38_c02_ESP</t>
  </si>
  <si>
    <t>EN_WON_42_c02_ESP</t>
  </si>
  <si>
    <t>EN_WON_44_c01_ESP</t>
  </si>
  <si>
    <t>EN_WON_44_c02_ESP</t>
  </si>
  <si>
    <t>EN_WON_46_c02_ESP</t>
  </si>
  <si>
    <t>EN_WON_48_c02_ESP</t>
  </si>
  <si>
    <t>EN_WON_50_c01_ESP</t>
  </si>
  <si>
    <t>EN_WON_31_c01_EST</t>
  </si>
  <si>
    <t>EN_WON_32_c01_EST</t>
  </si>
  <si>
    <t>EN_WON_33_c01_EST</t>
  </si>
  <si>
    <t>EN_WON_34_c01_EST</t>
  </si>
  <si>
    <t>EN_WON_35_c01_EST</t>
  </si>
  <si>
    <t>EN_WON_36_c01_EST</t>
  </si>
  <si>
    <t>EN_WON_33_c04_ETH</t>
  </si>
  <si>
    <t>EN_WON_34_c03_ETH</t>
  </si>
  <si>
    <t>EN_WON_35_c02_ETH</t>
  </si>
  <si>
    <t>EN_WON_35_c04_ETH</t>
  </si>
  <si>
    <t>EN_WON_36_c02_ETH</t>
  </si>
  <si>
    <t>EN_WON_36_c03_ETH</t>
  </si>
  <si>
    <t>EN_WON_36_c04_ETH</t>
  </si>
  <si>
    <t>EN_WON_37_c02_ETH</t>
  </si>
  <si>
    <t>EN_WON_37_c03_ETH</t>
  </si>
  <si>
    <t>EN_WON_38_c03_ETH</t>
  </si>
  <si>
    <t>EN_WON_38_c04_ETH</t>
  </si>
  <si>
    <t>EN_WON_39_c03_ETH</t>
  </si>
  <si>
    <t>EN_WON_41_c04_ETH</t>
  </si>
  <si>
    <t>EN_WON_48_c03_ETH</t>
  </si>
  <si>
    <t>EN_WON_28_c01_FIN</t>
  </si>
  <si>
    <t>EN_WON_28_c02_FIN</t>
  </si>
  <si>
    <t>EN_WON_29_c01_FIN</t>
  </si>
  <si>
    <t>EN_WON_29_c02_FIN</t>
  </si>
  <si>
    <t>EN_WON_29_c03_FIN</t>
  </si>
  <si>
    <t>EN_WON_30_c01_FIN</t>
  </si>
  <si>
    <t>EN_WON_30_c03_FIN</t>
  </si>
  <si>
    <t>EN_WON_31_c01_FIN</t>
  </si>
  <si>
    <t>EN_WON_31_c02_FIN</t>
  </si>
  <si>
    <t>EN_WON_32_c01_FIN</t>
  </si>
  <si>
    <t>EN_WON_33_c01_FIN</t>
  </si>
  <si>
    <t>EN_WON_33_c02_FIN</t>
  </si>
  <si>
    <t>EN_WON_33_c03_FIN</t>
  </si>
  <si>
    <t>EN_WON_34_c03_FIN</t>
  </si>
  <si>
    <t>EN_WON_35_c01_FIN</t>
  </si>
  <si>
    <t>EN_WON_35_c02_FIN</t>
  </si>
  <si>
    <t>EN_WON_35_c04_FIN</t>
  </si>
  <si>
    <t>EN_WON_36_c01_FIN</t>
  </si>
  <si>
    <t>EN_WON_36_c02_FIN</t>
  </si>
  <si>
    <t>EN_WON_37_c01_FIN</t>
  </si>
  <si>
    <t>EN_WON_39_c01_FIN</t>
  </si>
  <si>
    <t>EN_WON_39_c02_FIN</t>
  </si>
  <si>
    <t>EN_WON_35_c01_FRA</t>
  </si>
  <si>
    <t>EN_WON_36_c01_FRA</t>
  </si>
  <si>
    <t>EN_WON_37_c01_FRA</t>
  </si>
  <si>
    <t>EN_WON_38_c01_FRA</t>
  </si>
  <si>
    <t>EN_WON_38_c02_FRA</t>
  </si>
  <si>
    <t>EN_WON_39_c01_FRA</t>
  </si>
  <si>
    <t>EN_WON_40_c01_FRA</t>
  </si>
  <si>
    <t>EN_WON_42_c01_FRA</t>
  </si>
  <si>
    <t>EN_WON_43_c01_FRA</t>
  </si>
  <si>
    <t>EN_WON_41_c01_GBR</t>
  </si>
  <si>
    <t>EN_WON_42_c01_GBR</t>
  </si>
  <si>
    <t>EN_WON_43_c01_GBR</t>
  </si>
  <si>
    <t>EN_WON_44_c01_GBR</t>
  </si>
  <si>
    <t>EN_WON_45_c01_GBR</t>
  </si>
  <si>
    <t>EN_WON_46_c01_GBR</t>
  </si>
  <si>
    <t>EN_WON_47_c01_GBR</t>
  </si>
  <si>
    <t>EN_WON_48_c01_GBR</t>
  </si>
  <si>
    <t>EN_WON_49_c01_GBR</t>
  </si>
  <si>
    <t>EN_WON_50_c01_GBR</t>
  </si>
  <si>
    <t>EN_WON_51_c01_GBR</t>
  </si>
  <si>
    <t>EN_WON_52_c01_GBR</t>
  </si>
  <si>
    <t>EN_WON_22_c02_GEO</t>
  </si>
  <si>
    <t>EN_WON_22_c04_GEO</t>
  </si>
  <si>
    <t>EN_WON_23_c03_GEO</t>
  </si>
  <si>
    <t>EN_WON_23_c04_GEO</t>
  </si>
  <si>
    <t>EN_WON_24_c03_GEO</t>
  </si>
  <si>
    <t>EN_WON_24_c04_GEO</t>
  </si>
  <si>
    <t>EN_WON_25_c04_GEO</t>
  </si>
  <si>
    <t>EN_WON_28_c02_GEO</t>
  </si>
  <si>
    <t>EN_WON_28_c03_GEO</t>
  </si>
  <si>
    <t>EN_WON_28_c04_GEO</t>
  </si>
  <si>
    <t>EN_WON_29_c03_GEO</t>
  </si>
  <si>
    <t>EN_WON_34_c02_GEO</t>
  </si>
  <si>
    <t>EN_WON_15_c02_GHA</t>
  </si>
  <si>
    <t>EN_WON_15_c03_GHA</t>
  </si>
  <si>
    <t>EN_WON_16_c03_GHA</t>
  </si>
  <si>
    <t>EN_WON_16_c04_GHA</t>
  </si>
  <si>
    <t>EN_WON_17_c03_GHA</t>
  </si>
  <si>
    <t>EN_WON_18_c04_GHA</t>
  </si>
  <si>
    <t>EN_WON_19_c04_GHA</t>
  </si>
  <si>
    <t>EN_WON_20_c04_GHA</t>
  </si>
  <si>
    <t>EN_WON_21_c03_GHA</t>
  </si>
  <si>
    <t>EN_WON_21_c04_GHA</t>
  </si>
  <si>
    <t>EN_WON_22_c01_GHA</t>
  </si>
  <si>
    <t>EN_WON_23_c04_GHA</t>
  </si>
  <si>
    <t>EN_WON_27_c03_GHA</t>
  </si>
  <si>
    <t>EN_WON_28_c03_GHA</t>
  </si>
  <si>
    <t>EN_WON_15_c03_GIN</t>
  </si>
  <si>
    <t>EN_WON_16_c02_GIN</t>
  </si>
  <si>
    <t>EN_WON_16_c03_GIN</t>
  </si>
  <si>
    <t>EN_WON_16_c04_GIN</t>
  </si>
  <si>
    <t>EN_WON_17_c03_GIN</t>
  </si>
  <si>
    <t>EN_WON_17_c04_GIN</t>
  </si>
  <si>
    <t>EN_WON_18_c03_GIN</t>
  </si>
  <si>
    <t>EN_WON_19_c02_GIN</t>
  </si>
  <si>
    <t>EN_WON_19_c03_GIN</t>
  </si>
  <si>
    <t>EN_WON_17_c03_GMB</t>
  </si>
  <si>
    <t>EN_WON_17_c02_GRC</t>
  </si>
  <si>
    <t>EN_WON_17_c03_GRC</t>
  </si>
  <si>
    <t>EN_WON_18_c02_GRC</t>
  </si>
  <si>
    <t>EN_WON_18_c03_GRC</t>
  </si>
  <si>
    <t>EN_WON_19_c02_GRC</t>
  </si>
  <si>
    <t>EN_WON_19_c03_GRC</t>
  </si>
  <si>
    <t>EN_WON_20_c02_GRC</t>
  </si>
  <si>
    <t>EN_WON_20_c03_GRC</t>
  </si>
  <si>
    <t>EN_WON_21_c02_GRC</t>
  </si>
  <si>
    <t>EN_WON_21_c03_GRC</t>
  </si>
  <si>
    <t>EN_WON_21_c04_GRC</t>
  </si>
  <si>
    <t>EN_WON_22_c03_GRC</t>
  </si>
  <si>
    <t>EN_WON_22_c04_GRC</t>
  </si>
  <si>
    <t>EN_WON_23_c02_GRC</t>
  </si>
  <si>
    <t>EN_WON_23_c03_GRC</t>
  </si>
  <si>
    <t>EN_WON_23_c04_GRC</t>
  </si>
  <si>
    <t>EN_WON_24_c02_GRC</t>
  </si>
  <si>
    <t>EN_WON_24_c03_GRC</t>
  </si>
  <si>
    <t>EN_WON_24_c04_GRC</t>
  </si>
  <si>
    <t>EN_WON_25_c01_GRC</t>
  </si>
  <si>
    <t>EN_WON_25_c03_GRC</t>
  </si>
  <si>
    <t>EN_WON_25_c04_GRC</t>
  </si>
  <si>
    <t>EN_WON_26_c04_GRC</t>
  </si>
  <si>
    <t>EN_WON_27_c02_GRC</t>
  </si>
  <si>
    <t>EN_WON_27_c03_GRC</t>
  </si>
  <si>
    <t>EN_WON_28_c02_GRC</t>
  </si>
  <si>
    <t>EN_WON_28_c03_GRC</t>
  </si>
  <si>
    <t>EN_WON_29_c01_GRC</t>
  </si>
  <si>
    <t>EN_WON_29_c02_GRC</t>
  </si>
  <si>
    <t>EN_WON_29_c03_GRC</t>
  </si>
  <si>
    <t>EN_WON_29_c04_GRC</t>
  </si>
  <si>
    <t>EN_WON_31_c02_GRC</t>
  </si>
  <si>
    <t>EN_WON_32_c02_GRC</t>
  </si>
  <si>
    <t>EN_WON_33_c03_GRC</t>
  </si>
  <si>
    <t>EN_WON_34_c02_GRC</t>
  </si>
  <si>
    <t>EN_WON_34_c03_GRC</t>
  </si>
  <si>
    <t>EN_WON_35_c01_GRC</t>
  </si>
  <si>
    <t>EN_WON_36_c01_GRC</t>
  </si>
  <si>
    <t>EN_WON_36_c02_GRC</t>
  </si>
  <si>
    <t>EN_WON_37_c01_GRC</t>
  </si>
  <si>
    <t>EN_WON_37_c02_GRC</t>
  </si>
  <si>
    <t>EN_WON_38_c01_GRC</t>
  </si>
  <si>
    <t>EN_WON_39_c01_GRC</t>
  </si>
  <si>
    <t>EN_WON_40_c01_GRC</t>
  </si>
  <si>
    <t>EN_WON_40_c02_GRC</t>
  </si>
  <si>
    <t>EN_WON_40_c03_GRC</t>
  </si>
  <si>
    <t>EN_WON_41_c01_GRC</t>
  </si>
  <si>
    <t>EN_WON_42_c01_GRC</t>
  </si>
  <si>
    <t>EN_WON_43_c01_GRC</t>
  </si>
  <si>
    <t>EN_WON_44_c01_GRC</t>
  </si>
  <si>
    <t>EN_WON_46_c01_GRC</t>
  </si>
  <si>
    <t>EN_WON_48_c01_GRC</t>
  </si>
  <si>
    <t>EN_WON_49_c01_GRC</t>
  </si>
  <si>
    <t>EN_WON_51_c01_GRC</t>
  </si>
  <si>
    <t>EN_WON_16_c04_GTM</t>
  </si>
  <si>
    <t>EN_WON_17_c04_GTM</t>
  </si>
  <si>
    <t>EN_WON_18_c04_GTM</t>
  </si>
  <si>
    <t>EN_WON_19_c04_GTM</t>
  </si>
  <si>
    <t>EN_WON_21_c04_GTM</t>
  </si>
  <si>
    <t>EN_WON_23_c04_GTM</t>
  </si>
  <si>
    <t>EN_WON_26_c04_GTM</t>
  </si>
  <si>
    <t>EN_WON_22_c04_GUY</t>
  </si>
  <si>
    <t>EN_WON_23_c04_GUY</t>
  </si>
  <si>
    <t>EN_WON_24_c04_GUY</t>
  </si>
  <si>
    <t>EN_WON_25_c03_GUY</t>
  </si>
  <si>
    <t>EN_WON_26_c02_GUY</t>
  </si>
  <si>
    <t>EN_WON_28_c02_HND</t>
  </si>
  <si>
    <t>EN_WON_29_c02_HND</t>
  </si>
  <si>
    <t>EN_WON_31_c02_HND</t>
  </si>
  <si>
    <t>EN_WON_32_c01_HND</t>
  </si>
  <si>
    <t>EN_WON_18_c02_HRV</t>
  </si>
  <si>
    <t>EN_WON_18_c03_HRV</t>
  </si>
  <si>
    <t>EN_WON_19_c02_HRV</t>
  </si>
  <si>
    <t>EN_WON_20_c02_HRV</t>
  </si>
  <si>
    <t>EN_WON_21_c01_HRV</t>
  </si>
  <si>
    <t>EN_WON_21_c02_HRV</t>
  </si>
  <si>
    <t>EN_WON_21_c03_HRV</t>
  </si>
  <si>
    <t>EN_WON_22_c03_HRV</t>
  </si>
  <si>
    <t>EN_WON_23_c02_HRV</t>
  </si>
  <si>
    <t>EN_WON_23_c03_HRV</t>
  </si>
  <si>
    <t>EN_WON_24_c02_HRV</t>
  </si>
  <si>
    <t>EN_WON_24_c03_HRV</t>
  </si>
  <si>
    <t>EN_WON_25_c02_HRV</t>
  </si>
  <si>
    <t>EN_WON_25_c03_HRV</t>
  </si>
  <si>
    <t>EN_WON_26_c02_HRV</t>
  </si>
  <si>
    <t>EN_WON_26_c03_HRV</t>
  </si>
  <si>
    <t>EN_WON_27_c02_HRV</t>
  </si>
  <si>
    <t>EN_WON_27_c03_HRV</t>
  </si>
  <si>
    <t>EN_WON_28_c02_HRV</t>
  </si>
  <si>
    <t>EN_WON_28_c04_HRV</t>
  </si>
  <si>
    <t>EN_WON_29_c02_HRV</t>
  </si>
  <si>
    <t>EN_WON_29_c03_HRV</t>
  </si>
  <si>
    <t>EN_WON_31_c01_HRV</t>
  </si>
  <si>
    <t>EN_WON_35_c01_HRV</t>
  </si>
  <si>
    <t>EN_WON_27_c04_HTI</t>
  </si>
  <si>
    <t>EN_WON_29_c04_HTI</t>
  </si>
  <si>
    <t>EN_WON_20_c02_HUN</t>
  </si>
  <si>
    <t>EN_WON_21_c01_HUN</t>
  </si>
  <si>
    <t>EN_WON_21_c02_HUN</t>
  </si>
  <si>
    <t>EN_WON_22_c01_HUN</t>
  </si>
  <si>
    <t>EN_WON_22_c02_HUN</t>
  </si>
  <si>
    <t>EN_WON_23_c01_HUN</t>
  </si>
  <si>
    <t>EN_WON_23_c02_HUN</t>
  </si>
  <si>
    <t>EN_WON_23_c03_HUN</t>
  </si>
  <si>
    <t>EN_WON_24_c01_HUN</t>
  </si>
  <si>
    <t>EN_WON_24_c02_HUN</t>
  </si>
  <si>
    <t>EN_WON_25_c01_HUN</t>
  </si>
  <si>
    <t>EN_WON_26_c01_HUN</t>
  </si>
  <si>
    <t>EN_WON_27_c02_HUN</t>
  </si>
  <si>
    <t>EN_WON_29_c01_HUN</t>
  </si>
  <si>
    <t>EN_WON_30_c01_HUN</t>
  </si>
  <si>
    <t>EN_WON_15_c04_IDN</t>
  </si>
  <si>
    <t>EN_WON_16_c03_IDN</t>
  </si>
  <si>
    <t>EN_WON_16_c04_IDN</t>
  </si>
  <si>
    <t>EN_WON_17_c02_IDN</t>
  </si>
  <si>
    <t>EN_WON_17_c04_IDN</t>
  </si>
  <si>
    <t>EN_WON_18_c04_IDN</t>
  </si>
  <si>
    <t>EN_WON_19_c03_IDN</t>
  </si>
  <si>
    <t>EN_WON_19_c04_IDN</t>
  </si>
  <si>
    <t>EN_WON_20_c02_IDN</t>
  </si>
  <si>
    <t>EN_WON_20_c03_IDN</t>
  </si>
  <si>
    <t>EN_WON_20_c04_IDN</t>
  </si>
  <si>
    <t>EN_WON_21_c04_IDN</t>
  </si>
  <si>
    <t>EN_WON_22_c03_IDN</t>
  </si>
  <si>
    <t>EN_WON_22_c04_IDN</t>
  </si>
  <si>
    <t>EN_WON_23_c04_IDN</t>
  </si>
  <si>
    <t>EN_WON_24_c02_IDN</t>
  </si>
  <si>
    <t>EN_WON_24_c04_IDN</t>
  </si>
  <si>
    <t>EN_WON_25_c04_IDN</t>
  </si>
  <si>
    <t>EN_WON_26_c04_IDN</t>
  </si>
  <si>
    <t>EN_WON_28_c02_IDN</t>
  </si>
  <si>
    <t>EN_WON_15_c02_IND</t>
  </si>
  <si>
    <t>EN_WON_15_c03_IND</t>
  </si>
  <si>
    <t>EN_WON_15_c04_IND</t>
  </si>
  <si>
    <t>EN_WON_16_c02_IND</t>
  </si>
  <si>
    <t>EN_WON_16_c03_IND</t>
  </si>
  <si>
    <t>EN_WON_16_c04_IND</t>
  </si>
  <si>
    <t>EN_WON_17_c02_IND</t>
  </si>
  <si>
    <t>EN_WON_17_c03_IND</t>
  </si>
  <si>
    <t>EN_WON_17_c04_IND</t>
  </si>
  <si>
    <t>EN_WON_18_c02_IND</t>
  </si>
  <si>
    <t>EN_WON_18_c03_IND</t>
  </si>
  <si>
    <t>EN_WON_18_c04_IND</t>
  </si>
  <si>
    <t>EN_WON_19_c02_IND</t>
  </si>
  <si>
    <t>EN_WON_19_c03_IND</t>
  </si>
  <si>
    <t>EN_WON_19_c04_IND</t>
  </si>
  <si>
    <t>EN_WON_20_c01_IND</t>
  </si>
  <si>
    <t>EN_WON_20_c02_IND</t>
  </si>
  <si>
    <t>EN_WON_20_c03_IND</t>
  </si>
  <si>
    <t>EN_WON_20_c04_IND</t>
  </si>
  <si>
    <t>EN_WON_21_c01_IND</t>
  </si>
  <si>
    <t>EN_WON_21_c02_IND</t>
  </si>
  <si>
    <t>EN_WON_21_c03_IND</t>
  </si>
  <si>
    <t>EN_WON_21_c04_IND</t>
  </si>
  <si>
    <t>EN_WON_22_c01_IND</t>
  </si>
  <si>
    <t>EN_WON_22_c02_IND</t>
  </si>
  <si>
    <t>EN_WON_22_c03_IND</t>
  </si>
  <si>
    <t>EN_WON_22_c04_IND</t>
  </si>
  <si>
    <t>EN_WON_23_c01_IND</t>
  </si>
  <si>
    <t>EN_WON_23_c02_IND</t>
  </si>
  <si>
    <t>EN_WON_23_c03_IND</t>
  </si>
  <si>
    <t>EN_WON_23_c04_IND</t>
  </si>
  <si>
    <t>EN_WON_24_c01_IND</t>
  </si>
  <si>
    <t>EN_WON_24_c02_IND</t>
  </si>
  <si>
    <t>EN_WON_24_c03_IND</t>
  </si>
  <si>
    <t>EN_WON_25_c01_IND</t>
  </si>
  <si>
    <t>EN_WON_25_c02_IND</t>
  </si>
  <si>
    <t>EN_WON_25_c04_IND</t>
  </si>
  <si>
    <t>EN_WON_26_c01_IND</t>
  </si>
  <si>
    <t>EN_WON_26_c02_IND</t>
  </si>
  <si>
    <t>EN_WON_27_c01_IND</t>
  </si>
  <si>
    <t>EN_WON_27_c02_IND</t>
  </si>
  <si>
    <t>EN_WON_27_c03_IND</t>
  </si>
  <si>
    <t>EN_WON_27_c04_IND</t>
  </si>
  <si>
    <t>EN_WON_30_c01_IND</t>
  </si>
  <si>
    <t>EN_WON_31_c03_IND</t>
  </si>
  <si>
    <t>EN_WON_32_c01_IND</t>
  </si>
  <si>
    <t>EN_WON_34_c01_IND</t>
  </si>
  <si>
    <t>EN_WON_38_c01_IND</t>
  </si>
  <si>
    <t>EN_WON_40_c01_IND</t>
  </si>
  <si>
    <t>EN_WON_43_c01_IND</t>
  </si>
  <si>
    <t>EN_WON_48_c01_IRL</t>
  </si>
  <si>
    <t>EN_WON_49_c01_IRL</t>
  </si>
  <si>
    <t>EN_WON_50_c01_IRL</t>
  </si>
  <si>
    <t>EN_WON_28_c01_IRN</t>
  </si>
  <si>
    <t>EN_WON_28_c02_IRN</t>
  </si>
  <si>
    <t>EN_WON_28_c03_IRN</t>
  </si>
  <si>
    <t>EN_WON_29_c01_IRN</t>
  </si>
  <si>
    <t>EN_WON_29_c02_IRN</t>
  </si>
  <si>
    <t>EN_WON_29_c03_IRN</t>
  </si>
  <si>
    <t>EN_WON_30_c01_IRN</t>
  </si>
  <si>
    <t>EN_WON_30_c02_IRN</t>
  </si>
  <si>
    <t>EN_WON_30_c03_IRN</t>
  </si>
  <si>
    <t>EN_WON_30_c04_IRN</t>
  </si>
  <si>
    <t>EN_WON_31_c01_IRN</t>
  </si>
  <si>
    <t>EN_WON_31_c02_IRN</t>
  </si>
  <si>
    <t>EN_WON_31_c03_IRN</t>
  </si>
  <si>
    <t>EN_WON_32_c01_IRN</t>
  </si>
  <si>
    <t>EN_WON_32_c02_IRN</t>
  </si>
  <si>
    <t>EN_WON_32_c03_IRN</t>
  </si>
  <si>
    <t>EN_WON_32_c04_IRN</t>
  </si>
  <si>
    <t>EN_WON_33_c01_IRN</t>
  </si>
  <si>
    <t>EN_WON_33_c02_IRN</t>
  </si>
  <si>
    <t>EN_WON_33_c03_IRN</t>
  </si>
  <si>
    <t>EN_WON_34_c01_IRN</t>
  </si>
  <si>
    <t>EN_WON_34_c02_IRN</t>
  </si>
  <si>
    <t>EN_WON_34_c03_IRN</t>
  </si>
  <si>
    <t>EN_WON_35_c01_IRN</t>
  </si>
  <si>
    <t>EN_WON_35_c02_IRN</t>
  </si>
  <si>
    <t>EN_WON_36_c01_IRN</t>
  </si>
  <si>
    <t>EN_WON_36_c02_IRN</t>
  </si>
  <si>
    <t>EN_WON_37_c01_IRN</t>
  </si>
  <si>
    <t>EN_WON_37_c02_IRN</t>
  </si>
  <si>
    <t>EN_WON_37_c03_IRN</t>
  </si>
  <si>
    <t>EN_WON_38_c01_IRN</t>
  </si>
  <si>
    <t>EN_WON_38_c02_IRN</t>
  </si>
  <si>
    <t>EN_WON_39_c01_IRN</t>
  </si>
  <si>
    <t>EN_WON_40_c01_IRN</t>
  </si>
  <si>
    <t>EN_WON_41_c01_IRN</t>
  </si>
  <si>
    <t>EN_WON_42_c02_IRN</t>
  </si>
  <si>
    <t>EN_WON_42_c03_IRN</t>
  </si>
  <si>
    <t>EN_WON_43_c01_IRN</t>
  </si>
  <si>
    <t>EN_WON_44_c01_IRN</t>
  </si>
  <si>
    <t>EN_WON_46_c02_IRN</t>
  </si>
  <si>
    <t>EN_WON_49_c01_IRN</t>
  </si>
  <si>
    <t>EN_WON_50_c01_IRN</t>
  </si>
  <si>
    <t>EN_WON_51_c01_IRN</t>
  </si>
  <si>
    <t>EN_WON_52_c01_IRN</t>
  </si>
  <si>
    <t>EN_WON_35_c01_IRQ</t>
  </si>
  <si>
    <t>EN_WON_36_c01_IRQ</t>
  </si>
  <si>
    <t>EN_WON_37_c01_IRQ</t>
  </si>
  <si>
    <t>EN_WON_38_c01_IRQ</t>
  </si>
  <si>
    <t>EN_WON_39_c01_IRQ</t>
  </si>
  <si>
    <t>EN_WON_40_c01_IRQ</t>
  </si>
  <si>
    <t>EN_WON_15_c04_ISR</t>
  </si>
  <si>
    <t>EN_WON_16_c04_ISR</t>
  </si>
  <si>
    <t>EN_WON_17_c04_ISR</t>
  </si>
  <si>
    <t>EN_WON_18_c03_ISR</t>
  </si>
  <si>
    <t>EN_WON_18_c04_ISR</t>
  </si>
  <si>
    <t>EN_WON_19_c03_ISR</t>
  </si>
  <si>
    <t>EN_WON_19_c04_ISR</t>
  </si>
  <si>
    <t>EN_WON_20_c03_ISR</t>
  </si>
  <si>
    <t>EN_WON_21_c03_ISR</t>
  </si>
  <si>
    <t>EN_WON_22_c03_ISR</t>
  </si>
  <si>
    <t>EN_WON_23_c03_ISR</t>
  </si>
  <si>
    <t>EN_WON_24_c04_ISR</t>
  </si>
  <si>
    <t>EN_WON_28_c03_ISR</t>
  </si>
  <si>
    <t>EN_WON_18_c03_ITA</t>
  </si>
  <si>
    <t>EN_WON_18_c04_ITA</t>
  </si>
  <si>
    <t>EN_WON_19_c02_ITA</t>
  </si>
  <si>
    <t>EN_WON_19_c03_ITA</t>
  </si>
  <si>
    <t>EN_WON_19_c04_ITA</t>
  </si>
  <si>
    <t>EN_WON_20_c02_ITA</t>
  </si>
  <si>
    <t>EN_WON_20_c03_ITA</t>
  </si>
  <si>
    <t>EN_WON_20_c04_ITA</t>
  </si>
  <si>
    <t>EN_WON_21_c02_ITA</t>
  </si>
  <si>
    <t>EN_WON_21_c03_ITA</t>
  </si>
  <si>
    <t>EN_WON_21_c04_ITA</t>
  </si>
  <si>
    <t>EN_WON_22_c01_ITA</t>
  </si>
  <si>
    <t>EN_WON_22_c02_ITA</t>
  </si>
  <si>
    <t>EN_WON_22_c03_ITA</t>
  </si>
  <si>
    <t>EN_WON_22_c04_ITA</t>
  </si>
  <si>
    <t>EN_WON_23_c01_ITA</t>
  </si>
  <si>
    <t>EN_WON_23_c02_ITA</t>
  </si>
  <si>
    <t>EN_WON_23_c03_ITA</t>
  </si>
  <si>
    <t>EN_WON_23_c04_ITA</t>
  </si>
  <si>
    <t>EN_WON_24_c01_ITA</t>
  </si>
  <si>
    <t>EN_WON_24_c02_ITA</t>
  </si>
  <si>
    <t>EN_WON_24_c03_ITA</t>
  </si>
  <si>
    <t>EN_WON_24_c04_ITA</t>
  </si>
  <si>
    <t>EN_WON_25_c01_ITA</t>
  </si>
  <si>
    <t>EN_WON_26_c01_ITA</t>
  </si>
  <si>
    <t>EN_WON_26_c02_ITA</t>
  </si>
  <si>
    <t>EN_WON_26_c03_ITA</t>
  </si>
  <si>
    <t>EN_WON_27_c02_ITA</t>
  </si>
  <si>
    <t>EN_WON_27_c03_ITA</t>
  </si>
  <si>
    <t>EN_WON_28_c01_ITA</t>
  </si>
  <si>
    <t>EN_WON_28_c02_ITA</t>
  </si>
  <si>
    <t>EN_WON_29_c01_ITA</t>
  </si>
  <si>
    <t>EN_WON_29_c02_ITA</t>
  </si>
  <si>
    <t>EN_WON_30_c01_ITA</t>
  </si>
  <si>
    <t>EN_WON_32_c01_ITA</t>
  </si>
  <si>
    <t>EN_WON_33_c01_ITA</t>
  </si>
  <si>
    <t>EN_WON_34_c03_ITA</t>
  </si>
  <si>
    <t>EN_WON_35_c01_ITA</t>
  </si>
  <si>
    <t>EN_WON_19_c03_JAM</t>
  </si>
  <si>
    <t>EN_WON_30_c04_JAM</t>
  </si>
  <si>
    <t>EN_WON_32_c04_JAM</t>
  </si>
  <si>
    <t>EN_WON_30_c01_JOR</t>
  </si>
  <si>
    <t>EN_WON_30_c02_JOR</t>
  </si>
  <si>
    <t>EN_WON_34_c01_JOR</t>
  </si>
  <si>
    <t>EN_WON_15_c03_JPN</t>
  </si>
  <si>
    <t>EN_WON_15_c04_JPN</t>
  </si>
  <si>
    <t>EN_WON_16_c04_JPN</t>
  </si>
  <si>
    <t>EN_WON_17_c04_JPN</t>
  </si>
  <si>
    <t>EN_WON_18_c03_JPN</t>
  </si>
  <si>
    <t>EN_WON_18_c04_JPN</t>
  </si>
  <si>
    <t>EN_WON_19_c03_JPN</t>
  </si>
  <si>
    <t>EN_WON_19_c04_JPN</t>
  </si>
  <si>
    <t>EN_WON_20_c03_JPN</t>
  </si>
  <si>
    <t>EN_WON_20_c04_JPN</t>
  </si>
  <si>
    <t>EN_WON_21_c03_JPN</t>
  </si>
  <si>
    <t>EN_WON_21_c04_JPN</t>
  </si>
  <si>
    <t>EN_WON_22_c02_JPN</t>
  </si>
  <si>
    <t>EN_WON_22_c03_JPN</t>
  </si>
  <si>
    <t>EN_WON_22_c04_JPN</t>
  </si>
  <si>
    <t>EN_WON_23_c02_JPN</t>
  </si>
  <si>
    <t>EN_WON_23_c03_JPN</t>
  </si>
  <si>
    <t>EN_WON_23_c04_JPN</t>
  </si>
  <si>
    <t>EN_WON_24_c02_JPN</t>
  </si>
  <si>
    <t>EN_WON_24_c03_JPN</t>
  </si>
  <si>
    <t>EN_WON_24_c04_JPN</t>
  </si>
  <si>
    <t>EN_WON_25_c02_JPN</t>
  </si>
  <si>
    <t>EN_WON_25_c03_JPN</t>
  </si>
  <si>
    <t>EN_WON_25_c04_JPN</t>
  </si>
  <si>
    <t>EN_WON_26_c02_JPN</t>
  </si>
  <si>
    <t>EN_WON_26_c03_JPN</t>
  </si>
  <si>
    <t>EN_WON_26_c04_JPN</t>
  </si>
  <si>
    <t>EN_WON_27_c02_JPN</t>
  </si>
  <si>
    <t>EN_WON_27_c03_JPN</t>
  </si>
  <si>
    <t>EN_WON_27_c04_JPN</t>
  </si>
  <si>
    <t>EN_WON_28_c02_JPN</t>
  </si>
  <si>
    <t>EN_WON_28_c03_JPN</t>
  </si>
  <si>
    <t>EN_WON_28_c04_JPN</t>
  </si>
  <si>
    <t>EN_WON_29_c01_JPN</t>
  </si>
  <si>
    <t>EN_WON_29_c03_JPN</t>
  </si>
  <si>
    <t>EN_WON_29_c04_JPN</t>
  </si>
  <si>
    <t>EN_WON_30_c01_JPN</t>
  </si>
  <si>
    <t>EN_WON_30_c02_JPN</t>
  </si>
  <si>
    <t>EN_WON_30_c03_JPN</t>
  </si>
  <si>
    <t>EN_WON_30_c04_JPN</t>
  </si>
  <si>
    <t>EN_WON_31_c01_JPN</t>
  </si>
  <si>
    <t>EN_WON_31_c02_JPN</t>
  </si>
  <si>
    <t>EN_WON_31_c03_JPN</t>
  </si>
  <si>
    <t>EN_WON_32_c01_JPN</t>
  </si>
  <si>
    <t>EN_WON_32_c02_JPN</t>
  </si>
  <si>
    <t>EN_WON_32_c04_JPN</t>
  </si>
  <si>
    <t>EN_WON_33_c01_JPN</t>
  </si>
  <si>
    <t>EN_WON_33_c02_JPN</t>
  </si>
  <si>
    <t>EN_WON_33_c03_JPN</t>
  </si>
  <si>
    <t>EN_WON_34_c01_JPN</t>
  </si>
  <si>
    <t>EN_WON_35_c01_JPN</t>
  </si>
  <si>
    <t>EN_WON_36_c01_JPN</t>
  </si>
  <si>
    <t>EN_WON_36_c02_JPN</t>
  </si>
  <si>
    <t>EN_WON_37_c01_JPN</t>
  </si>
  <si>
    <t>EN_WON_38_c02_JPN</t>
  </si>
  <si>
    <t>EN_WON_38_c03_JPN</t>
  </si>
  <si>
    <t>EN_WON_39_c01_JPN</t>
  </si>
  <si>
    <t>EN_WON_39_c02_JPN</t>
  </si>
  <si>
    <t>EN_WON_39_c03_JPN</t>
  </si>
  <si>
    <t>EN_WON_39_c04_JPN</t>
  </si>
  <si>
    <t>EN_WON_40_c01_JPN</t>
  </si>
  <si>
    <t>EN_WON_40_c02_JPN</t>
  </si>
  <si>
    <t>EN_WON_40_c03_JPN</t>
  </si>
  <si>
    <t>EN_WON_41_c01_JPN</t>
  </si>
  <si>
    <t>EN_WON_41_c02_JPN</t>
  </si>
  <si>
    <t>EN_WON_42_c03_JPN</t>
  </si>
  <si>
    <t>EN_WON_43_c01_JPN</t>
  </si>
  <si>
    <t>EN_WON_43_c02_JPN</t>
  </si>
  <si>
    <t>EN_WON_43_c03_JPN</t>
  </si>
  <si>
    <t>EN_WON_43_c01_KAZ</t>
  </si>
  <si>
    <t>EN_WON_44_c01_KAZ</t>
  </si>
  <si>
    <t>EN_WON_44_c02_KAZ</t>
  </si>
  <si>
    <t>EN_WON_45_c01_KAZ</t>
  </si>
  <si>
    <t>EN_WON_46_c01_KAZ</t>
  </si>
  <si>
    <t>EN_WON_47_c01_KAZ</t>
  </si>
  <si>
    <t>EN_WON_48_c01_KAZ</t>
  </si>
  <si>
    <t>EN_WON_49_c01_KAZ</t>
  </si>
  <si>
    <t>EN_WON_50_c01_KAZ</t>
  </si>
  <si>
    <t>EN_WON_34_c03_KEN</t>
  </si>
  <si>
    <t>EN_WON_35_c04_KEN</t>
  </si>
  <si>
    <t>EN_WON_37_c04_KEN</t>
  </si>
  <si>
    <t>EN_WON_38_c03_KEN</t>
  </si>
  <si>
    <t>EN_WON_38_c04_KEN</t>
  </si>
  <si>
    <t>EN_WON_39_c02_KEN</t>
  </si>
  <si>
    <t>EN_WON_39_c04_KEN</t>
  </si>
  <si>
    <t>EN_WON_42_c04_KEN</t>
  </si>
  <si>
    <t>EN_WON_44_c04_KEN</t>
  </si>
  <si>
    <t>EN_WON_46_c04_KEN</t>
  </si>
  <si>
    <t>EN_WON_47_c03_KEN</t>
  </si>
  <si>
    <t>EN_WON_48_c01_KEN</t>
  </si>
  <si>
    <t>EN_WON_48_c04_KEN</t>
  </si>
  <si>
    <t>EN_WON_49_c02_KEN</t>
  </si>
  <si>
    <t>EN_WON_51_c04_KEN</t>
  </si>
  <si>
    <t>EN_WON_54_c01_KEN</t>
  </si>
  <si>
    <t>EN_WON_57_c02_KEN</t>
  </si>
  <si>
    <t>EN_WON_59_c01_KEN</t>
  </si>
  <si>
    <t>EN_WON_15_c02_KGZ</t>
  </si>
  <si>
    <t>EN_WON_15_c03_KGZ</t>
  </si>
  <si>
    <t>EN_WON_15_c04_KGZ</t>
  </si>
  <si>
    <t>EN_WON_16_c03_KGZ</t>
  </si>
  <si>
    <t>EN_WON_16_c04_KGZ</t>
  </si>
  <si>
    <t>EN_WON_17_c02_KGZ</t>
  </si>
  <si>
    <t>EN_WON_17_c03_KGZ</t>
  </si>
  <si>
    <t>EN_WON_17_c04_KGZ</t>
  </si>
  <si>
    <t>EN_WON_18_c02_KGZ</t>
  </si>
  <si>
    <t>EN_WON_18_c03_KGZ</t>
  </si>
  <si>
    <t>EN_WON_18_c04_KGZ</t>
  </si>
  <si>
    <t>EN_WON_19_c02_KGZ</t>
  </si>
  <si>
    <t>EN_WON_19_c03_KGZ</t>
  </si>
  <si>
    <t>EN_WON_19_c04_KGZ</t>
  </si>
  <si>
    <t>EN_WON_20_c02_KGZ</t>
  </si>
  <si>
    <t>EN_WON_20_c03_KGZ</t>
  </si>
  <si>
    <t>EN_WON_20_c04_KGZ</t>
  </si>
  <si>
    <t>EN_WON_21_c03_KGZ</t>
  </si>
  <si>
    <t>EN_WON_21_c04_KGZ</t>
  </si>
  <si>
    <t>EN_WON_22_c03_KGZ</t>
  </si>
  <si>
    <t>EN_WON_22_c04_KGZ</t>
  </si>
  <si>
    <t>EN_WON_23_c03_KGZ</t>
  </si>
  <si>
    <t>EN_WON_25_c03_KGZ</t>
  </si>
  <si>
    <t>EN_WON_25_c04_KGZ</t>
  </si>
  <si>
    <t>EN_WON_27_c04_KGZ</t>
  </si>
  <si>
    <t>EN_WON_34_c03_KGZ</t>
  </si>
  <si>
    <t>EN_WON_15_c02_KHM</t>
  </si>
  <si>
    <t>EN_WON_15_c03_KHM</t>
  </si>
  <si>
    <t>EN_WON_16_c02_KHM</t>
  </si>
  <si>
    <t>EN_WON_16_c03_KHM</t>
  </si>
  <si>
    <t>EN_WON_17_c03_KHM</t>
  </si>
  <si>
    <t>EN_WON_18_c03_KHM</t>
  </si>
  <si>
    <t>EN_WON_18_c04_KHM</t>
  </si>
  <si>
    <t>EN_WON_19_c02_KHM</t>
  </si>
  <si>
    <t>EN_WON_20_c03_KHM</t>
  </si>
  <si>
    <t>EN_WON_21_c03_KHM</t>
  </si>
  <si>
    <t>EN_WON_24_c04_KHM</t>
  </si>
  <si>
    <t>EN_WON_15_c04_KOR</t>
  </si>
  <si>
    <t>EN_WON_16_c04_KOR</t>
  </si>
  <si>
    <t>EN_WON_17_c04_KOR</t>
  </si>
  <si>
    <t>EN_WON_18_c03_KOR</t>
  </si>
  <si>
    <t>EN_WON_18_c04_KOR</t>
  </si>
  <si>
    <t>EN_WON_19_c03_KOR</t>
  </si>
  <si>
    <t>EN_WON_19_c04_KOR</t>
  </si>
  <si>
    <t>EN_WON_20_c02_KOR</t>
  </si>
  <si>
    <t>EN_WON_20_c04_KOR</t>
  </si>
  <si>
    <t>EN_WON_22_c03_KOR</t>
  </si>
  <si>
    <t>EN_WON_22_c04_KOR</t>
  </si>
  <si>
    <t>EN_WON_23_c03_KOR</t>
  </si>
  <si>
    <t>EN_WON_23_c04_KOR</t>
  </si>
  <si>
    <t>EN_WON_24_c02_KOR</t>
  </si>
  <si>
    <t>EN_WON_24_c03_KOR</t>
  </si>
  <si>
    <t>EN_WON_24_c04_KOR</t>
  </si>
  <si>
    <t>EN_WON_25_c02_KOR</t>
  </si>
  <si>
    <t>EN_WON_25_c03_KOR</t>
  </si>
  <si>
    <t>EN_WON_26_c03_KOR</t>
  </si>
  <si>
    <t>EN_WON_27_c03_KOR</t>
  </si>
  <si>
    <t>EN_WON_28_c02_KOR</t>
  </si>
  <si>
    <t>EN_WON_29_c01_KOR</t>
  </si>
  <si>
    <t>EN_WON_30_c02_KOR</t>
  </si>
  <si>
    <t>EN_WON_31_c01_KOR</t>
  </si>
  <si>
    <t>EN_WON_31_c02_KOR</t>
  </si>
  <si>
    <t>EN_WON_32_c02_KOR</t>
  </si>
  <si>
    <t>EN_WON_35_c01_KOR</t>
  </si>
  <si>
    <t>EN_WON_37_c02_KOR</t>
  </si>
  <si>
    <t>EN_WON_39_c01_KOR</t>
  </si>
  <si>
    <t>EN_WON_39_c02_KOR</t>
  </si>
  <si>
    <t>EN_WON_41_c01_KOR</t>
  </si>
  <si>
    <t>EN_WON_29_c02_KWT</t>
  </si>
  <si>
    <t>EN_WON_33_c01_KWT</t>
  </si>
  <si>
    <t>EN_WON_34_c01_KWT</t>
  </si>
  <si>
    <t>EN_WON_35_c01_KWT</t>
  </si>
  <si>
    <t>EN_WON_36_c01_KWT</t>
  </si>
  <si>
    <t>EN_WON_38_c01_KWT</t>
  </si>
  <si>
    <t>EN_WON_39_c01_KWT</t>
  </si>
  <si>
    <t>EN_WON_40_c01_KWT</t>
  </si>
  <si>
    <t>EN_WON_15_c02_LAO</t>
  </si>
  <si>
    <t>EN_WON_15_c03_LAO</t>
  </si>
  <si>
    <t>EN_WON_16_c02_LAO</t>
  </si>
  <si>
    <t>EN_WON_16_c03_LAO</t>
  </si>
  <si>
    <t>EN_WON_17_c02_LAO</t>
  </si>
  <si>
    <t>EN_WON_17_c03_LAO</t>
  </si>
  <si>
    <t>EN_WON_17_c04_LAO</t>
  </si>
  <si>
    <t>EN_WON_18_c02_LAO</t>
  </si>
  <si>
    <t>EN_WON_18_c03_LAO</t>
  </si>
  <si>
    <t>EN_WON_18_c04_LAO</t>
  </si>
  <si>
    <t>EN_WON_19_c02_LAO</t>
  </si>
  <si>
    <t>EN_WON_19_c03_LAO</t>
  </si>
  <si>
    <t>EN_WON_19_c04_LAO</t>
  </si>
  <si>
    <t>EN_WON_20_c03_LAO</t>
  </si>
  <si>
    <t>EN_WON_20_c04_LAO</t>
  </si>
  <si>
    <t>EN_WON_21_c03_LAO</t>
  </si>
  <si>
    <t>EN_WON_21_c04_LAO</t>
  </si>
  <si>
    <t>EN_WON_22_c02_LAO</t>
  </si>
  <si>
    <t>EN_WON_22_c03_LAO</t>
  </si>
  <si>
    <t>EN_WON_22_c04_LAO</t>
  </si>
  <si>
    <t>EN_WON_23_c02_LAO</t>
  </si>
  <si>
    <t>EN_WON_23_c04_LAO</t>
  </si>
  <si>
    <t>EN_WON_24_c02_LAO</t>
  </si>
  <si>
    <t>EN_WON_25_c01_LAO</t>
  </si>
  <si>
    <t>EN_WON_25_c02_LAO</t>
  </si>
  <si>
    <t>EN_WON_25_c04_LAO</t>
  </si>
  <si>
    <t>EN_WON_26_c01_LAO</t>
  </si>
  <si>
    <t>EN_WON_26_c03_LAO</t>
  </si>
  <si>
    <t>EN_WON_27_c02_LAO</t>
  </si>
  <si>
    <t>EN_WON_28_c02_LAO</t>
  </si>
  <si>
    <t>EN_WON_29_c03_LAO</t>
  </si>
  <si>
    <t>EN_WON_30_c03_LAO</t>
  </si>
  <si>
    <t>EN_WON_17_c04_LBN</t>
  </si>
  <si>
    <t>EN_WON_18_c04_LBN</t>
  </si>
  <si>
    <t>EN_WON_19_c04_LBN</t>
  </si>
  <si>
    <t>EN_WON_41_c04_LBY</t>
  </si>
  <si>
    <t>EN_WON_42_c03_LBY</t>
  </si>
  <si>
    <t>EN_WON_42_c04_LBY</t>
  </si>
  <si>
    <t>EN_WON_43_c04_LBY</t>
  </si>
  <si>
    <t>EN_WON_48_c03_LBY</t>
  </si>
  <si>
    <t>EN_WON_27_c02_LKA</t>
  </si>
  <si>
    <t>EN_WON_28_c01_LKA</t>
  </si>
  <si>
    <t>EN_WON_28_c02_LKA</t>
  </si>
  <si>
    <t>EN_WON_29_c02_LKA</t>
  </si>
  <si>
    <t>EN_WON_29_c03_LKA</t>
  </si>
  <si>
    <t>EN_WON_30_c03_LKA</t>
  </si>
  <si>
    <t>EN_WON_31_c01_LKA</t>
  </si>
  <si>
    <t>EN_WON_32_c02_LKA</t>
  </si>
  <si>
    <t>EN_WON_33_c03_LKA</t>
  </si>
  <si>
    <t>EN_WON_34_c01_LKA</t>
  </si>
  <si>
    <t>EN_WON_34_c03_LKA</t>
  </si>
  <si>
    <t>EN_WON_37_c01_LKA</t>
  </si>
  <si>
    <t>EN_WON_38_c01_LKA</t>
  </si>
  <si>
    <t>EN_WON_29_c03_LSO</t>
  </si>
  <si>
    <t>EN_WON_29_c04_LSO</t>
  </si>
  <si>
    <t>EN_WON_36_c01_LTU</t>
  </si>
  <si>
    <t>EN_WON_38_c01_LTU</t>
  </si>
  <si>
    <t>EN_WON_26_c02_LUX</t>
  </si>
  <si>
    <t>EN_WON_32_c01_LVA</t>
  </si>
  <si>
    <t>EN_WON_33_c01_LVA</t>
  </si>
  <si>
    <t>EN_WON_34_c01_LVA</t>
  </si>
  <si>
    <t>EN_WON_35_c01_LVA</t>
  </si>
  <si>
    <t>EN_WON_36_c01_LVA</t>
  </si>
  <si>
    <t>EN_WON_31_c02_MAR</t>
  </si>
  <si>
    <t>EN_WON_32_c01_MAR</t>
  </si>
  <si>
    <t>EN_WON_33_c01_MAR</t>
  </si>
  <si>
    <t>EN_WON_33_c02_MAR</t>
  </si>
  <si>
    <t>EN_WON_34_c01_MAR</t>
  </si>
  <si>
    <t>EN_WON_34_c02_MAR</t>
  </si>
  <si>
    <t>EN_WON_34_c03_MAR</t>
  </si>
  <si>
    <t>EN_WON_35_c01_MAR</t>
  </si>
  <si>
    <t>EN_WON_35_c02_MAR</t>
  </si>
  <si>
    <t>EN_WON_38_c01_MAR</t>
  </si>
  <si>
    <t>EN_WON_39_c02_MAR</t>
  </si>
  <si>
    <t>EN_WON_40_c01_MAR</t>
  </si>
  <si>
    <t>EN_WON_40_c02_MAR</t>
  </si>
  <si>
    <t>EN_WON_41_c01_MAR</t>
  </si>
  <si>
    <t>EN_WON_42_c01_MAR</t>
  </si>
  <si>
    <t>EN_WON_44_c01_MAR</t>
  </si>
  <si>
    <t>EN_WON_44_c02_MAR</t>
  </si>
  <si>
    <t>EN_WON_45_c01_MAR</t>
  </si>
  <si>
    <t>EN_WON_46_c01_MAR</t>
  </si>
  <si>
    <t>EN_WON_30_c01_MDA</t>
  </si>
  <si>
    <t>EN_WON_33_c04_MDG</t>
  </si>
  <si>
    <t>EN_WON_34_c04_MDG</t>
  </si>
  <si>
    <t>EN_WON_35_c02_MDG</t>
  </si>
  <si>
    <t>EN_WON_35_c03_MDG</t>
  </si>
  <si>
    <t>EN_WON_35_c04_MDG</t>
  </si>
  <si>
    <t>EN_WON_36_c03_MDG</t>
  </si>
  <si>
    <t>EN_WON_39_c04_MDG</t>
  </si>
  <si>
    <t>EN_WON_42_c02_MDG</t>
  </si>
  <si>
    <t>EN_WON_44_c04_MDG</t>
  </si>
  <si>
    <t>EN_WON_47_c04_MDG</t>
  </si>
  <si>
    <t>EN_WON_19_c02_MEX</t>
  </si>
  <si>
    <t>EN_WON_19_c03_MEX</t>
  </si>
  <si>
    <t>EN_WON_20_c02_MEX</t>
  </si>
  <si>
    <t>EN_WON_20_c03_MEX</t>
  </si>
  <si>
    <t>EN_WON_20_c04_MEX</t>
  </si>
  <si>
    <t>EN_WON_21_c01_MEX</t>
  </si>
  <si>
    <t>EN_WON_21_c02_MEX</t>
  </si>
  <si>
    <t>EN_WON_21_c03_MEX</t>
  </si>
  <si>
    <t>EN_WON_21_c04_MEX</t>
  </si>
  <si>
    <t>EN_WON_22_c02_MEX</t>
  </si>
  <si>
    <t>EN_WON_22_c03_MEX</t>
  </si>
  <si>
    <t>EN_WON_22_c04_MEX</t>
  </si>
  <si>
    <t>EN_WON_23_c02_MEX</t>
  </si>
  <si>
    <t>EN_WON_23_c03_MEX</t>
  </si>
  <si>
    <t>EN_WON_23_c04_MEX</t>
  </si>
  <si>
    <t>EN_WON_24_c01_MEX</t>
  </si>
  <si>
    <t>EN_WON_24_c02_MEX</t>
  </si>
  <si>
    <t>EN_WON_24_c03_MEX</t>
  </si>
  <si>
    <t>EN_WON_24_c04_MEX</t>
  </si>
  <si>
    <t>EN_WON_25_c02_MEX</t>
  </si>
  <si>
    <t>EN_WON_25_c03_MEX</t>
  </si>
  <si>
    <t>EN_WON_25_c04_MEX</t>
  </si>
  <si>
    <t>EN_WON_26_c01_MEX</t>
  </si>
  <si>
    <t>EN_WON_26_c03_MEX</t>
  </si>
  <si>
    <t>EN_WON_26_c04_MEX</t>
  </si>
  <si>
    <t>EN_WON_27_c01_MEX</t>
  </si>
  <si>
    <t>EN_WON_27_c02_MEX</t>
  </si>
  <si>
    <t>EN_WON_27_c03_MEX</t>
  </si>
  <si>
    <t>EN_WON_27_c04_MEX</t>
  </si>
  <si>
    <t>EN_WON_28_c01_MEX</t>
  </si>
  <si>
    <t>EN_WON_28_c02_MEX</t>
  </si>
  <si>
    <t>EN_WON_28_c03_MEX</t>
  </si>
  <si>
    <t>EN_WON_28_c04_MEX</t>
  </si>
  <si>
    <t>EN_WON_29_c01_MEX</t>
  </si>
  <si>
    <t>EN_WON_29_c02_MEX</t>
  </si>
  <si>
    <t>EN_WON_29_c03_MEX</t>
  </si>
  <si>
    <t>EN_WON_30_c01_MEX</t>
  </si>
  <si>
    <t>EN_WON_30_c02_MEX</t>
  </si>
  <si>
    <t>EN_WON_30_c03_MEX</t>
  </si>
  <si>
    <t>EN_WON_31_c01_MEX</t>
  </si>
  <si>
    <t>EN_WON_31_c03_MEX</t>
  </si>
  <si>
    <t>EN_WON_32_c01_MEX</t>
  </si>
  <si>
    <t>EN_WON_32_c02_MEX</t>
  </si>
  <si>
    <t>EN_WON_32_c04_MEX</t>
  </si>
  <si>
    <t>EN_WON_33_c01_MEX</t>
  </si>
  <si>
    <t>EN_WON_33_c02_MEX</t>
  </si>
  <si>
    <t>EN_WON_34_c01_MEX</t>
  </si>
  <si>
    <t>EN_WON_35_c01_MEX</t>
  </si>
  <si>
    <t>EN_WON_36_c01_MEX</t>
  </si>
  <si>
    <t>EN_WON_36_c02_MEX</t>
  </si>
  <si>
    <t>EN_WON_37_c01_MEX</t>
  </si>
  <si>
    <t>EN_WON_37_c03_MEX</t>
  </si>
  <si>
    <t>EN_WON_38_c01_MEX</t>
  </si>
  <si>
    <t>EN_WON_38_c02_MEX</t>
  </si>
  <si>
    <t>EN_WON_48_c01_MEX</t>
  </si>
  <si>
    <t>EN_WON_21_c01_MKD</t>
  </si>
  <si>
    <t>EN_WON_22_c01_MKD</t>
  </si>
  <si>
    <t>EN_WON_23_c01_MKD</t>
  </si>
  <si>
    <t>EN_WON_25_c01_MKD</t>
  </si>
  <si>
    <t>EN_WON_26_c01_MKD</t>
  </si>
  <si>
    <t>EN_WON_27_c01_MKD</t>
  </si>
  <si>
    <t>EN_WON_28_c01_MKD</t>
  </si>
  <si>
    <t>EN_WON_29_c01_MKD</t>
  </si>
  <si>
    <t>EN_WON_40_c04_MLI</t>
  </si>
  <si>
    <t>EN_WON_15_c04_MMR</t>
  </si>
  <si>
    <t>EN_WON_16_c04_MMR</t>
  </si>
  <si>
    <t>EN_WON_17_c04_MMR</t>
  </si>
  <si>
    <t>EN_WON_18_c02_MMR</t>
  </si>
  <si>
    <t>EN_WON_18_c03_MMR</t>
  </si>
  <si>
    <t>EN_WON_18_c04_MMR</t>
  </si>
  <si>
    <t>EN_WON_19_c03_MMR</t>
  </si>
  <si>
    <t>EN_WON_19_c04_MMR</t>
  </si>
  <si>
    <t>EN_WON_20_c04_MMR</t>
  </si>
  <si>
    <t>EN_WON_28_c02_MNE</t>
  </si>
  <si>
    <t>EN_WON_29_c02_MNE</t>
  </si>
  <si>
    <t>EN_WON_32_c02_MNE</t>
  </si>
  <si>
    <t>EN_WON_43_c01_MNG</t>
  </si>
  <si>
    <t>EN_WON_44_c01_MNG</t>
  </si>
  <si>
    <t>EN_WON_15_c02_MOZ</t>
  </si>
  <si>
    <t>EN_WON_15_c03_MOZ</t>
  </si>
  <si>
    <t>EN_WON_15_c04_MOZ</t>
  </si>
  <si>
    <t>EN_WON_16_c02_MOZ</t>
  </si>
  <si>
    <t>EN_WON_16_c03_MOZ</t>
  </si>
  <si>
    <t>EN_WON_16_c04_MOZ</t>
  </si>
  <si>
    <t>EN_WON_17_c02_MOZ</t>
  </si>
  <si>
    <t>EN_WON_17_c03_MOZ</t>
  </si>
  <si>
    <t>EN_WON_17_c04_MOZ</t>
  </si>
  <si>
    <t>EN_WON_18_c02_MOZ</t>
  </si>
  <si>
    <t>EN_WON_18_c03_MOZ</t>
  </si>
  <si>
    <t>EN_WON_18_c04_MOZ</t>
  </si>
  <si>
    <t>EN_WON_19_c02_MOZ</t>
  </si>
  <si>
    <t>EN_WON_19_c03_MOZ</t>
  </si>
  <si>
    <t>EN_WON_19_c04_MOZ</t>
  </si>
  <si>
    <t>EN_WON_20_c02_MOZ</t>
  </si>
  <si>
    <t>EN_WON_20_c03_MOZ</t>
  </si>
  <si>
    <t>EN_WON_20_c04_MOZ</t>
  </si>
  <si>
    <t>EN_WON_21_c02_MOZ</t>
  </si>
  <si>
    <t>EN_WON_21_c03_MOZ</t>
  </si>
  <si>
    <t>EN_WON_21_c04_MOZ</t>
  </si>
  <si>
    <t>EN_WON_22_c02_MOZ</t>
  </si>
  <si>
    <t>EN_WON_22_c03_MOZ</t>
  </si>
  <si>
    <t>EN_WON_22_c04_MOZ</t>
  </si>
  <si>
    <t>EN_WON_23_c02_MOZ</t>
  </si>
  <si>
    <t>EN_WON_23_c03_MOZ</t>
  </si>
  <si>
    <t>EN_WON_23_c04_MOZ</t>
  </si>
  <si>
    <t>EN_WON_24_c02_MOZ</t>
  </si>
  <si>
    <t>EN_WON_25_c02_MOZ</t>
  </si>
  <si>
    <t>EN_WON_25_c03_MOZ</t>
  </si>
  <si>
    <t>EN_WON_25_c04_MOZ</t>
  </si>
  <si>
    <t>EN_WON_26_c02_MOZ</t>
  </si>
  <si>
    <t>EN_WON_26_c03_MOZ</t>
  </si>
  <si>
    <t>EN_WON_27_c02_MOZ</t>
  </si>
  <si>
    <t>EN_WON_28_c01_MOZ</t>
  </si>
  <si>
    <t>EN_WON_28_c03_MOZ</t>
  </si>
  <si>
    <t>EN_WON_62_c02_MRT</t>
  </si>
  <si>
    <t>EN_WON_15_c03_MWI</t>
  </si>
  <si>
    <t>EN_WON_15_c04_MWI</t>
  </si>
  <si>
    <t>EN_WON_16_c02_MWI</t>
  </si>
  <si>
    <t>EN_WON_16_c03_MWI</t>
  </si>
  <si>
    <t>EN_WON_16_c04_MWI</t>
  </si>
  <si>
    <t>EN_WON_17_c02_MWI</t>
  </si>
  <si>
    <t>EN_WON_17_c03_MWI</t>
  </si>
  <si>
    <t>EN_WON_17_c04_MWI</t>
  </si>
  <si>
    <t>EN_WON_18_c03_MWI</t>
  </si>
  <si>
    <t>EN_WON_18_c04_MWI</t>
  </si>
  <si>
    <t>EN_WON_19_c03_MWI</t>
  </si>
  <si>
    <t>EN_WON_19_c04_MWI</t>
  </si>
  <si>
    <t>EN_WON_20_c02_MWI</t>
  </si>
  <si>
    <t>EN_WON_20_c03_MWI</t>
  </si>
  <si>
    <t>EN_WON_20_c04_MWI</t>
  </si>
  <si>
    <t>EN_WON_21_c03_MWI</t>
  </si>
  <si>
    <t>EN_WON_21_c04_MWI</t>
  </si>
  <si>
    <t>EN_WON_22_c03_MWI</t>
  </si>
  <si>
    <t>EN_WON_22_c04_MWI</t>
  </si>
  <si>
    <t>EN_WON_24_c03_MWI</t>
  </si>
  <si>
    <t>EN_WON_24_c04_MWI</t>
  </si>
  <si>
    <t>EN_WON_25_c03_MWI</t>
  </si>
  <si>
    <t>EN_WON_25_c04_MWI</t>
  </si>
  <si>
    <t>EN_WON_26_c03_MWI</t>
  </si>
  <si>
    <t>EN_WON_26_c04_MWI</t>
  </si>
  <si>
    <t>EN_WON_27_c03_MWI</t>
  </si>
  <si>
    <t>EN_WON_28_c03_MWI</t>
  </si>
  <si>
    <t>EN_WON_29_c02_MWI</t>
  </si>
  <si>
    <t>EN_WON_30_c02_MWI</t>
  </si>
  <si>
    <t>EN_WON_37_c02_MWI</t>
  </si>
  <si>
    <t>EN_WON_44_c02_NAM</t>
  </si>
  <si>
    <t>EN_WON_48_c01_NAM</t>
  </si>
  <si>
    <t>EN_WON_53_c01_NAM</t>
  </si>
  <si>
    <t>EN_WON_52_c03_NER</t>
  </si>
  <si>
    <t>EN_WON_53_c02_NER</t>
  </si>
  <si>
    <t>EN_WON_54_c02_NER</t>
  </si>
  <si>
    <t>EN_WON_20_c02_NGA</t>
  </si>
  <si>
    <t>EN_WON_20_c04_NGA</t>
  </si>
  <si>
    <t>EN_WON_21_c02_NGA</t>
  </si>
  <si>
    <t>EN_WON_21_c03_NGA</t>
  </si>
  <si>
    <t>EN_WON_21_c04_NGA</t>
  </si>
  <si>
    <t>EN_WON_22_c02_NGA</t>
  </si>
  <si>
    <t>EN_WON_22_c03_NGA</t>
  </si>
  <si>
    <t>EN_WON_23_c01_NGA</t>
  </si>
  <si>
    <t>EN_WON_23_c02_NGA</t>
  </si>
  <si>
    <t>EN_WON_23_c03_NGA</t>
  </si>
  <si>
    <t>EN_WON_23_c04_NGA</t>
  </si>
  <si>
    <t>EN_WON_24_c02_NGA</t>
  </si>
  <si>
    <t>EN_WON_24_c03_NGA</t>
  </si>
  <si>
    <t>EN_WON_25_c01_NGA</t>
  </si>
  <si>
    <t>EN_WON_25_c02_NGA</t>
  </si>
  <si>
    <t>EN_WON_25_c03_NGA</t>
  </si>
  <si>
    <t>EN_WON_26_c02_NGA</t>
  </si>
  <si>
    <t>EN_WON_26_c03_NGA</t>
  </si>
  <si>
    <t>EN_WON_27_c01_NGA</t>
  </si>
  <si>
    <t>EN_WON_27_c03_NGA</t>
  </si>
  <si>
    <t>EN_WON_28_c01_NGA</t>
  </si>
  <si>
    <t>EN_WON_28_c02_NGA</t>
  </si>
  <si>
    <t>EN_WON_29_c01_NGA</t>
  </si>
  <si>
    <t>EN_WON_29_c03_NGA</t>
  </si>
  <si>
    <t>EN_WON_30_c01_NGA</t>
  </si>
  <si>
    <t>EN_WON_32_c03_NIC</t>
  </si>
  <si>
    <t>EN_WON_33_c03_NIC</t>
  </si>
  <si>
    <t>EN_WON_35_c01_NIC</t>
  </si>
  <si>
    <t>EN_WON_35_c03_NIC</t>
  </si>
  <si>
    <t>EN_WON_37_c04_NIC</t>
  </si>
  <si>
    <t>EN_WON_38_c04_NIC</t>
  </si>
  <si>
    <t>EN_WON_40_c03_NIC</t>
  </si>
  <si>
    <t>EN_WON_38_c01_NLD</t>
  </si>
  <si>
    <t>EN_WON_40_c01_NLD</t>
  </si>
  <si>
    <t>EN_WON_41_c01_NLD</t>
  </si>
  <si>
    <t>EN_WON_42_c01_NLD</t>
  </si>
  <si>
    <t>EN_WON_44_c01_NLD</t>
  </si>
  <si>
    <t>EN_WON_45_c01_NLD</t>
  </si>
  <si>
    <t>EN_WON_47_c01_NLD</t>
  </si>
  <si>
    <t>EN_WON_48_c01_NLD</t>
  </si>
  <si>
    <t>EN_WON_33_c01_NOR</t>
  </si>
  <si>
    <t>EN_WON_33_c03_NOR</t>
  </si>
  <si>
    <t>EN_WON_34_c03_NOR</t>
  </si>
  <si>
    <t>EN_WON_35_c02_NOR</t>
  </si>
  <si>
    <t>EN_WON_35_c03_NOR</t>
  </si>
  <si>
    <t>EN_WON_36_c02_NOR</t>
  </si>
  <si>
    <t>EN_WON_36_c03_NOR</t>
  </si>
  <si>
    <t>EN_WON_37_c01_NOR</t>
  </si>
  <si>
    <t>EN_WON_39_c01_NOR</t>
  </si>
  <si>
    <t>EN_WON_41_c01_NOR</t>
  </si>
  <si>
    <t>EN_WON_46_c01_NOR</t>
  </si>
  <si>
    <t>EN_WON_22_c04_NPL</t>
  </si>
  <si>
    <t>EN_WON_35_c01_OMN</t>
  </si>
  <si>
    <t>EN_WON_35_c02_OMN</t>
  </si>
  <si>
    <t>EN_WON_35_c03_OMN</t>
  </si>
  <si>
    <t>EN_WON_36_c01_OMN</t>
  </si>
  <si>
    <t>EN_WON_37_c01_OMN</t>
  </si>
  <si>
    <t>EN_WON_38_c01_OMN</t>
  </si>
  <si>
    <t>EN_WON_38_c02_OMN</t>
  </si>
  <si>
    <t>EN_WON_39_c01_OMN</t>
  </si>
  <si>
    <t>EN_WON_42_c01_OMN</t>
  </si>
  <si>
    <t>EN_WON_43_c01_OMN</t>
  </si>
  <si>
    <t>EN_WON_44_c01_OMN</t>
  </si>
  <si>
    <t>EN_WON_44_c02_OMN</t>
  </si>
  <si>
    <t>EN_WON_45_c01_OMN</t>
  </si>
  <si>
    <t>EN_WON_46_c01_OMN</t>
  </si>
  <si>
    <t>EN_WON_17_c04_PAK</t>
  </si>
  <si>
    <t>EN_WON_18_c02_PAK</t>
  </si>
  <si>
    <t>EN_WON_18_c03_PAK</t>
  </si>
  <si>
    <t>EN_WON_18_c04_PAK</t>
  </si>
  <si>
    <t>EN_WON_19_c02_PAK</t>
  </si>
  <si>
    <t>EN_WON_19_c03_PAK</t>
  </si>
  <si>
    <t>EN_WON_19_c04_PAK</t>
  </si>
  <si>
    <t>EN_WON_20_c02_PAK</t>
  </si>
  <si>
    <t>EN_WON_20_c03_PAK</t>
  </si>
  <si>
    <t>EN_WON_20_c04_PAK</t>
  </si>
  <si>
    <t>EN_WON_21_c01_PAK</t>
  </si>
  <si>
    <t>EN_WON_21_c02_PAK</t>
  </si>
  <si>
    <t>EN_WON_21_c03_PAK</t>
  </si>
  <si>
    <t>EN_WON_21_c04_PAK</t>
  </si>
  <si>
    <t>EN_WON_22_c02_PAK</t>
  </si>
  <si>
    <t>EN_WON_22_c03_PAK</t>
  </si>
  <si>
    <t>EN_WON_22_c04_PAK</t>
  </si>
  <si>
    <t>EN_WON_23_c02_PAK</t>
  </si>
  <si>
    <t>EN_WON_23_c03_PAK</t>
  </si>
  <si>
    <t>EN_WON_23_c04_PAK</t>
  </si>
  <si>
    <t>EN_WON_24_c01_PAK</t>
  </si>
  <si>
    <t>EN_WON_24_c02_PAK</t>
  </si>
  <si>
    <t>EN_WON_24_c03_PAK</t>
  </si>
  <si>
    <t>EN_WON_24_c04_PAK</t>
  </si>
  <si>
    <t>EN_WON_25_c01_PAK</t>
  </si>
  <si>
    <t>EN_WON_25_c02_PAK</t>
  </si>
  <si>
    <t>EN_WON_25_c03_PAK</t>
  </si>
  <si>
    <t>EN_WON_25_c04_PAK</t>
  </si>
  <si>
    <t>EN_WON_26_c01_PAK</t>
  </si>
  <si>
    <t>EN_WON_26_c02_PAK</t>
  </si>
  <si>
    <t>EN_WON_26_c03_PAK</t>
  </si>
  <si>
    <t>EN_WON_27_c01_PAK</t>
  </si>
  <si>
    <t>EN_WON_27_c02_PAK</t>
  </si>
  <si>
    <t>EN_WON_28_c01_PAK</t>
  </si>
  <si>
    <t>EN_WON_28_c02_PAK</t>
  </si>
  <si>
    <t>EN_WON_28_c03_PAK</t>
  </si>
  <si>
    <t>EN_WON_29_c01_PAK</t>
  </si>
  <si>
    <t>EN_WON_29_c02_PAK</t>
  </si>
  <si>
    <t>EN_WON_29_c03_PAK</t>
  </si>
  <si>
    <t>EN_WON_30_c01_PAK</t>
  </si>
  <si>
    <t>EN_WON_30_c02_PAK</t>
  </si>
  <si>
    <t>EN_WON_30_c03_PAK</t>
  </si>
  <si>
    <t>EN_WON_31_c01_PAK</t>
  </si>
  <si>
    <t>EN_WON_31_c02_PAK</t>
  </si>
  <si>
    <t>EN_WON_31_c03_PAK</t>
  </si>
  <si>
    <t>EN_WON_32_c02_PAK</t>
  </si>
  <si>
    <t>EN_WON_33_c02_PAK</t>
  </si>
  <si>
    <t>EN_WON_34_c01_PAK</t>
  </si>
  <si>
    <t>EN_WON_34_c02_PAK</t>
  </si>
  <si>
    <t>EN_WON_35_c01_PAK</t>
  </si>
  <si>
    <t>EN_WON_36_c01_PAK</t>
  </si>
  <si>
    <t>EN_WON_36_c02_PAK</t>
  </si>
  <si>
    <t>EN_WON_39_c01_PAK</t>
  </si>
  <si>
    <t>EN_WON_40_c01_PAK</t>
  </si>
  <si>
    <t>EN_WON_19_c04_PAN</t>
  </si>
  <si>
    <t>EN_WON_20_c04_PAN</t>
  </si>
  <si>
    <t>EN_WON_21_c04_PAN</t>
  </si>
  <si>
    <t>EN_WON_22_c04_PAN</t>
  </si>
  <si>
    <t>EN_WON_25_c01_PAN</t>
  </si>
  <si>
    <t>EN_WON_28_c03_PAN</t>
  </si>
  <si>
    <t>EN_WON_28_c04_PAN</t>
  </si>
  <si>
    <t>EN_WON_39_c01_PAN</t>
  </si>
  <si>
    <t>EN_WON_15_c04_PER</t>
  </si>
  <si>
    <t>EN_WON_16_c04_PER</t>
  </si>
  <si>
    <t>EN_WON_17_c04_PER</t>
  </si>
  <si>
    <t>EN_WON_18_c04_PER</t>
  </si>
  <si>
    <t>EN_WON_19_c03_PER</t>
  </si>
  <si>
    <t>EN_WON_19_c04_PER</t>
  </si>
  <si>
    <t>EN_WON_20_c02_PER</t>
  </si>
  <si>
    <t>EN_WON_20_c04_PER</t>
  </si>
  <si>
    <t>EN_WON_21_c04_PER</t>
  </si>
  <si>
    <t>EN_WON_22_c04_PER</t>
  </si>
  <si>
    <t>EN_WON_23_c04_PER</t>
  </si>
  <si>
    <t>EN_WON_25_c01_PER</t>
  </si>
  <si>
    <t>EN_WON_25_c04_PER</t>
  </si>
  <si>
    <t>EN_WON_26_c03_PER</t>
  </si>
  <si>
    <t>EN_WON_26_c04_PER</t>
  </si>
  <si>
    <t>EN_WON_27_c02_PER</t>
  </si>
  <si>
    <t>EN_WON_27_c03_PER</t>
  </si>
  <si>
    <t>EN_WON_27_c04_PER</t>
  </si>
  <si>
    <t>EN_WON_28_c04_PER</t>
  </si>
  <si>
    <t>EN_WON_29_c02_PER</t>
  </si>
  <si>
    <t>EN_WON_30_c03_PER</t>
  </si>
  <si>
    <t>EN_WON_31_c04_PER</t>
  </si>
  <si>
    <t>EN_WON_34_c02_PER</t>
  </si>
  <si>
    <t>EN_WON_34_c04_PER</t>
  </si>
  <si>
    <t>EN_WON_38_c01_PER</t>
  </si>
  <si>
    <t>EN_WON_38_c04_PER</t>
  </si>
  <si>
    <t>EN_WON_65_c01_PER</t>
  </si>
  <si>
    <t>EN_WON_19_c04_PHL</t>
  </si>
  <si>
    <t>EN_WON_20_c04_PHL</t>
  </si>
  <si>
    <t>EN_WON_21_c02_PHL</t>
  </si>
  <si>
    <t>EN_WON_21_c03_PHL</t>
  </si>
  <si>
    <t>EN_WON_21_c04_PHL</t>
  </si>
  <si>
    <t>EN_WON_22_c02_PHL</t>
  </si>
  <si>
    <t>EN_WON_22_c03_PHL</t>
  </si>
  <si>
    <t>EN_WON_22_c04_PHL</t>
  </si>
  <si>
    <t>EN_WON_23_c02_PHL</t>
  </si>
  <si>
    <t>EN_WON_23_c03_PHL</t>
  </si>
  <si>
    <t>EN_WON_23_c04_PHL</t>
  </si>
  <si>
    <t>EN_WON_24_c04_PHL</t>
  </si>
  <si>
    <t>EN_WON_25_c02_PHL</t>
  </si>
  <si>
    <t>EN_WON_25_c04_PHL</t>
  </si>
  <si>
    <t>EN_WON_26_c04_PHL</t>
  </si>
  <si>
    <t>EN_WON_27_c02_PHL</t>
  </si>
  <si>
    <t>EN_WON_27_c03_PHL</t>
  </si>
  <si>
    <t>EN_WON_27_c04_PHL</t>
  </si>
  <si>
    <t>EN_WON_28_c03_PHL</t>
  </si>
  <si>
    <t>EN_WON_28_c04_PHL</t>
  </si>
  <si>
    <t>EN_WON_29_c03_PHL</t>
  </si>
  <si>
    <t>EN_WON_29_c04_PHL</t>
  </si>
  <si>
    <t>EN_WON_30_c02_PHL</t>
  </si>
  <si>
    <t>EN_WON_30_c03_PHL</t>
  </si>
  <si>
    <t>EN_WON_30_c04_PHL</t>
  </si>
  <si>
    <t>EN_WON_32_c02_PHL</t>
  </si>
  <si>
    <t>EN_WON_35_c02_PHL</t>
  </si>
  <si>
    <t>EN_WON_35_c03_PHL</t>
  </si>
  <si>
    <t>EN_WON_36_c03_PHL</t>
  </si>
  <si>
    <t>EN_WON_39_c01_PHL</t>
  </si>
  <si>
    <t>EN_WON_39_c02_PHL</t>
  </si>
  <si>
    <t>EN_WON_39_c03_PHL</t>
  </si>
  <si>
    <t>EN_WON_41_c01_PHL</t>
  </si>
  <si>
    <t>EN_WON_16_c03_PNG</t>
  </si>
  <si>
    <t>EN_WON_16_c04_PNG</t>
  </si>
  <si>
    <t>EN_WON_17_c02_PNG</t>
  </si>
  <si>
    <t>EN_WON_17_c04_PNG</t>
  </si>
  <si>
    <t>EN_WON_18_c03_PNG</t>
  </si>
  <si>
    <t>EN_WON_18_c04_PNG</t>
  </si>
  <si>
    <t>EN_WON_19_c04_PNG</t>
  </si>
  <si>
    <t>EN_WON_20_c02_PNG</t>
  </si>
  <si>
    <t>EN_WON_20_c03_PNG</t>
  </si>
  <si>
    <t>EN_WON_20_c04_PNG</t>
  </si>
  <si>
    <t>EN_WON_21_c03_PNG</t>
  </si>
  <si>
    <t>EN_WON_21_c04_PNG</t>
  </si>
  <si>
    <t>EN_WON_22_c03_PNG</t>
  </si>
  <si>
    <t>EN_WON_22_c04_PNG</t>
  </si>
  <si>
    <t>EN_WON_23_c04_PNG</t>
  </si>
  <si>
    <t>EN_WON_25_c04_PNG</t>
  </si>
  <si>
    <t>EN_WON_26_c03_PNG</t>
  </si>
  <si>
    <t>EN_WON_28_c03_PNG</t>
  </si>
  <si>
    <t>EN_WON_29_c02_PNG</t>
  </si>
  <si>
    <t>EN_WON_31_c02_PNG</t>
  </si>
  <si>
    <t>EN_WON_19_c02_POL</t>
  </si>
  <si>
    <t>EN_WON_19_c03_POL</t>
  </si>
  <si>
    <t>EN_WON_20_c02_POL</t>
  </si>
  <si>
    <t>EN_WON_21_c02_POL</t>
  </si>
  <si>
    <t>EN_WON_21_c03_POL</t>
  </si>
  <si>
    <t>EN_WON_22_c02_POL</t>
  </si>
  <si>
    <t>EN_WON_23_c02_POL</t>
  </si>
  <si>
    <t>EN_WON_24_c01_POL</t>
  </si>
  <si>
    <t>EN_WON_24_c02_POL</t>
  </si>
  <si>
    <t>EN_WON_25_c01_POL</t>
  </si>
  <si>
    <t>EN_WON_25_c02_POL</t>
  </si>
  <si>
    <t>EN_WON_25_c03_POL</t>
  </si>
  <si>
    <t>EN_WON_26_c01_POL</t>
  </si>
  <si>
    <t>EN_WON_26_c02_POL</t>
  </si>
  <si>
    <t>EN_WON_27_c01_POL</t>
  </si>
  <si>
    <t>EN_WON_27_c02_POL</t>
  </si>
  <si>
    <t>EN_WON_27_c03_POL</t>
  </si>
  <si>
    <t>EN_WON_28_c01_POL</t>
  </si>
  <si>
    <t>EN_WON_29_c01_POL</t>
  </si>
  <si>
    <t>EN_WON_30_c01_POL</t>
  </si>
  <si>
    <t>EN_WON_31_c01_POL</t>
  </si>
  <si>
    <t>EN_WON_32_c01_POL</t>
  </si>
  <si>
    <t>EN_WON_33_c01_POL</t>
  </si>
  <si>
    <t>EN_WON_34_c01_POL</t>
  </si>
  <si>
    <t>EN_WON_35_c01_POL</t>
  </si>
  <si>
    <t>EN_WON_36_c01_POL</t>
  </si>
  <si>
    <t>EN_WON_37_c01_POL</t>
  </si>
  <si>
    <t>EN_WON_38_c01_POL</t>
  </si>
  <si>
    <t>EN_WON_23_c03_PRK</t>
  </si>
  <si>
    <t>EN_WON_23_c04_PRK</t>
  </si>
  <si>
    <t>EN_WON_24_c02_PRK</t>
  </si>
  <si>
    <t>EN_WON_24_c04_PRK</t>
  </si>
  <si>
    <t>EN_WON_25_c03_PRK</t>
  </si>
  <si>
    <t>EN_WON_25_c04_PRK</t>
  </si>
  <si>
    <t>EN_WON_28_c02_PRK</t>
  </si>
  <si>
    <t>EN_WON_31_c02_PRK</t>
  </si>
  <si>
    <t>EN_WON_35_c01_PRK</t>
  </si>
  <si>
    <t>EN_WON_23_c03_PRT</t>
  </si>
  <si>
    <t>EN_WON_24_c01_PRT</t>
  </si>
  <si>
    <t>EN_WON_24_c02_PRT</t>
  </si>
  <si>
    <t>EN_WON_24_c03_PRT</t>
  </si>
  <si>
    <t>EN_WON_24_c04_PRT</t>
  </si>
  <si>
    <t>EN_WON_25_c03_PRT</t>
  </si>
  <si>
    <t>EN_WON_26_c02_PRT</t>
  </si>
  <si>
    <t>EN_WON_26_c03_PRT</t>
  </si>
  <si>
    <t>EN_WON_27_c03_PRT</t>
  </si>
  <si>
    <t>EN_WON_28_c02_PRT</t>
  </si>
  <si>
    <t>EN_WON_28_c03_PRT</t>
  </si>
  <si>
    <t>EN_WON_29_c02_PRT</t>
  </si>
  <si>
    <t>EN_WON_30_c01_PRT</t>
  </si>
  <si>
    <t>EN_WON_32_c01_PRT</t>
  </si>
  <si>
    <t>EN_WON_34_c01_PRT</t>
  </si>
  <si>
    <t>EN_WON_37_c01_PRT</t>
  </si>
  <si>
    <t>EN_WON_38_c02_PRT</t>
  </si>
  <si>
    <t>EN_WON_39_c01_PRT</t>
  </si>
  <si>
    <t>EN_WON_39_c02_PRT</t>
  </si>
  <si>
    <t>EN_WON_41_c01_PRT</t>
  </si>
  <si>
    <t>EN_WON_42_c01_PRT</t>
  </si>
  <si>
    <t>EN_WON_43_c02_PRT</t>
  </si>
  <si>
    <t>EN_WON_44_c01_PRT</t>
  </si>
  <si>
    <t>EN_WON_47_c01_PRT</t>
  </si>
  <si>
    <t>EN_WON_53_c01_PRT</t>
  </si>
  <si>
    <t>EN_WON_27_c01_PRY</t>
  </si>
  <si>
    <t>EN_WON_27_c02_PRY</t>
  </si>
  <si>
    <t>EN_WON_27_c03_PRY</t>
  </si>
  <si>
    <t>EN_WON_27_c04_PRY</t>
  </si>
  <si>
    <t>EN_WON_28_c01_PRY</t>
  </si>
  <si>
    <t>EN_WON_28_c02_PRY</t>
  </si>
  <si>
    <t>EN_WON_28_c03_PRY</t>
  </si>
  <si>
    <t>EN_WON_29_c02_PRY</t>
  </si>
  <si>
    <t>EN_WON_29_c03_PRY</t>
  </si>
  <si>
    <t>EN_WON_31_c03_PRY</t>
  </si>
  <si>
    <t>EN_WON_32_c02_PRY</t>
  </si>
  <si>
    <t>EN_WON_19_c02_PSE</t>
  </si>
  <si>
    <t>EN_WON_20_c03_PSE</t>
  </si>
  <si>
    <t>EN_WON_29_c01_QAT</t>
  </si>
  <si>
    <t>EN_WON_26_c01_ROU</t>
  </si>
  <si>
    <t>EN_WON_27_c01_ROU</t>
  </si>
  <si>
    <t>EN_WON_27_c02_ROU</t>
  </si>
  <si>
    <t>EN_WON_27_c03_ROU</t>
  </si>
  <si>
    <t>EN_WON_28_c01_ROU</t>
  </si>
  <si>
    <t>EN_WON_28_c02_ROU</t>
  </si>
  <si>
    <t>EN_WON_28_c03_ROU</t>
  </si>
  <si>
    <t>EN_WON_29_c03_ROU</t>
  </si>
  <si>
    <t>EN_WON_35_c01_RUS</t>
  </si>
  <si>
    <t>EN_WON_35_c02_RUS</t>
  </si>
  <si>
    <t>EN_WON_35_c03_RUS</t>
  </si>
  <si>
    <t>EN_WON_35_c04_RUS</t>
  </si>
  <si>
    <t>EN_WON_36_c01_RUS</t>
  </si>
  <si>
    <t>EN_WON_36_c02_RUS</t>
  </si>
  <si>
    <t>EN_WON_36_c03_RUS</t>
  </si>
  <si>
    <t>EN_WON_36_c04_RUS</t>
  </si>
  <si>
    <t>EN_WON_37_c01_RUS</t>
  </si>
  <si>
    <t>EN_WON_37_c02_RUS</t>
  </si>
  <si>
    <t>EN_WON_37_c03_RUS</t>
  </si>
  <si>
    <t>EN_WON_37_c04_RUS</t>
  </si>
  <si>
    <t>EN_WON_38_c01_RUS</t>
  </si>
  <si>
    <t>EN_WON_38_c02_RUS</t>
  </si>
  <si>
    <t>EN_WON_38_c03_RUS</t>
  </si>
  <si>
    <t>EN_WON_39_c01_RUS</t>
  </si>
  <si>
    <t>EN_WON_39_c02_RUS</t>
  </si>
  <si>
    <t>EN_WON_39_c04_RUS</t>
  </si>
  <si>
    <t>EN_WON_40_c01_RUS</t>
  </si>
  <si>
    <t>EN_WON_40_c02_RUS</t>
  </si>
  <si>
    <t>EN_WON_40_c03_RUS</t>
  </si>
  <si>
    <t>EN_WON_41_c01_RUS</t>
  </si>
  <si>
    <t>EN_WON_41_c02_RUS</t>
  </si>
  <si>
    <t>EN_WON_41_c03_RUS</t>
  </si>
  <si>
    <t>EN_WON_44_c02_RUS</t>
  </si>
  <si>
    <t>EN_WON_16_c03_RWA</t>
  </si>
  <si>
    <t>EN_WON_31_c01_SAU</t>
  </si>
  <si>
    <t>EN_WON_31_c02_SAU</t>
  </si>
  <si>
    <t>EN_WON_32_c01_SAU</t>
  </si>
  <si>
    <t>EN_WON_32_c02_SAU</t>
  </si>
  <si>
    <t>EN_WON_33_c01_SAU</t>
  </si>
  <si>
    <t>EN_WON_33_c02_SAU</t>
  </si>
  <si>
    <t>EN_WON_34_c01_SAU</t>
  </si>
  <si>
    <t>EN_WON_34_c02_SAU</t>
  </si>
  <si>
    <t>EN_WON_35_c01_SAU</t>
  </si>
  <si>
    <t>EN_WON_35_c02_SAU</t>
  </si>
  <si>
    <t>EN_WON_36_c01_SAU</t>
  </si>
  <si>
    <t>EN_WON_37_c01_SAU</t>
  </si>
  <si>
    <t>EN_WON_37_c03_SAU</t>
  </si>
  <si>
    <t>EN_WON_38_c01_SAU</t>
  </si>
  <si>
    <t>EN_WON_40_c01_SAU</t>
  </si>
  <si>
    <t>EN_WON_46_c02_SAU</t>
  </si>
  <si>
    <t>EN_WON_52_c01_SAU</t>
  </si>
  <si>
    <t>EN_WON_23_c01_SEN</t>
  </si>
  <si>
    <t>EN_WON_23_c02_SEN</t>
  </si>
  <si>
    <t>EN_WON_24_c01_SEN</t>
  </si>
  <si>
    <t>EN_WON_24_c02_SEN</t>
  </si>
  <si>
    <t>EN_WON_25_c02_SEN</t>
  </si>
  <si>
    <t>EN_WON_26_c01_SEN</t>
  </si>
  <si>
    <t>EN_WON_26_c02_SEN</t>
  </si>
  <si>
    <t>EN_WON_27_c02_SEN</t>
  </si>
  <si>
    <t>EN_WON_28_c01_SEN</t>
  </si>
  <si>
    <t>EN_WON_15_c03_SLE</t>
  </si>
  <si>
    <t>EN_WON_17_c03_SLE</t>
  </si>
  <si>
    <t>EN_WON_17_c04_SLV</t>
  </si>
  <si>
    <t>EN_WON_18_c04_SLV</t>
  </si>
  <si>
    <t>EN_WON_19_c04_SLV</t>
  </si>
  <si>
    <t>EN_WON_47_c01_SOM</t>
  </si>
  <si>
    <t>EN_WON_48_c04_SOM</t>
  </si>
  <si>
    <t>EN_WON_49_c01_SOM</t>
  </si>
  <si>
    <t>EN_WON_49_c04_SOM</t>
  </si>
  <si>
    <t>EN_WON_51_c04_SOM</t>
  </si>
  <si>
    <t>EN_WON_54_c01_SOM</t>
  </si>
  <si>
    <t>EN_WON_22_c01_SRB</t>
  </si>
  <si>
    <t>EN_WON_22_c03_SRB</t>
  </si>
  <si>
    <t>EN_WON_23_c01_SRB</t>
  </si>
  <si>
    <t>EN_WON_23_c02_SRB</t>
  </si>
  <si>
    <t>EN_WON_23_c03_SRB</t>
  </si>
  <si>
    <t>EN_WON_24_c01_SRB</t>
  </si>
  <si>
    <t>EN_WON_24_c03_SRB</t>
  </si>
  <si>
    <t>EN_WON_25_c01_SRB</t>
  </si>
  <si>
    <t>EN_WON_26_c01_SRB</t>
  </si>
  <si>
    <t>EN_WON_26_c02_SRB</t>
  </si>
  <si>
    <t>EN_WON_28_c01_SRB</t>
  </si>
  <si>
    <t>EN_WON_15_c03_SSD</t>
  </si>
  <si>
    <t>EN_WON_15_c04_SSD</t>
  </si>
  <si>
    <t>EN_WON_16_c03_SSD</t>
  </si>
  <si>
    <t>EN_WON_16_c04_SSD</t>
  </si>
  <si>
    <t>EN_WON_17_c02_SSD</t>
  </si>
  <si>
    <t>EN_WON_17_c03_SSD</t>
  </si>
  <si>
    <t>EN_WON_17_c04_SSD</t>
  </si>
  <si>
    <t>EN_WON_18_c03_SSD</t>
  </si>
  <si>
    <t>EN_WON_18_c04_SSD</t>
  </si>
  <si>
    <t>EN_WON_19_c02_SSD</t>
  </si>
  <si>
    <t>EN_WON_19_c03_SSD</t>
  </si>
  <si>
    <t>EN_WON_19_c04_SSD</t>
  </si>
  <si>
    <t>EN_WON_20_c02_SSD</t>
  </si>
  <si>
    <t>EN_WON_20_c03_SSD</t>
  </si>
  <si>
    <t>EN_WON_20_c04_SSD</t>
  </si>
  <si>
    <t>EN_WON_21_c02_SSD</t>
  </si>
  <si>
    <t>EN_WON_21_c03_SSD</t>
  </si>
  <si>
    <t>EN_WON_21_c04_SSD</t>
  </si>
  <si>
    <t>EN_WON_22_c02_SSD</t>
  </si>
  <si>
    <t>EN_WON_22_c04_SSD</t>
  </si>
  <si>
    <t>EN_WON_23_c02_SSD</t>
  </si>
  <si>
    <t>EN_WON_23_c03_SSD</t>
  </si>
  <si>
    <t>EN_WON_23_c04_SSD</t>
  </si>
  <si>
    <t>EN_WON_25_c02_SSD</t>
  </si>
  <si>
    <t>EN_WON_25_c04_SSD</t>
  </si>
  <si>
    <t>EN_WON_26_c03_SSD</t>
  </si>
  <si>
    <t>EN_WON_26_c04_SSD</t>
  </si>
  <si>
    <t>EN_WON_28_c04_SSD</t>
  </si>
  <si>
    <t>EN_WON_29_c02_SSD</t>
  </si>
  <si>
    <t>EN_WON_20_c04_SUR</t>
  </si>
  <si>
    <t>EN_WON_25_c01_SVK</t>
  </si>
  <si>
    <t>EN_WON_26_c03_SVK</t>
  </si>
  <si>
    <t>EN_WON_27_c01_SVK</t>
  </si>
  <si>
    <t>EN_WON_22_c04_SVN</t>
  </si>
  <si>
    <t>EN_WON_17_c02_SWE</t>
  </si>
  <si>
    <t>EN_WON_18_c02_SWE</t>
  </si>
  <si>
    <t>EN_WON_19_c02_SWE</t>
  </si>
  <si>
    <t>EN_WON_20_c02_SWE</t>
  </si>
  <si>
    <t>EN_WON_21_c02_SWE</t>
  </si>
  <si>
    <t>EN_WON_23_c01_SWE</t>
  </si>
  <si>
    <t>EN_WON_24_c02_SWE</t>
  </si>
  <si>
    <t>EN_WON_25_c01_SWE</t>
  </si>
  <si>
    <t>EN_WON_26_c01_SWE</t>
  </si>
  <si>
    <t>EN_WON_27_c01_SWE</t>
  </si>
  <si>
    <t>EN_WON_28_c01_SWE</t>
  </si>
  <si>
    <t>EN_WON_29_c01_SWE</t>
  </si>
  <si>
    <t>EN_WON_30_c01_SWE</t>
  </si>
  <si>
    <t>EN_WON_30_c02_SWE</t>
  </si>
  <si>
    <t>EN_WON_31_c01_SWE</t>
  </si>
  <si>
    <t>EN_WON_32_c01_SWE</t>
  </si>
  <si>
    <t>EN_WON_32_c02_SWE</t>
  </si>
  <si>
    <t>EN_WON_33_c01_SWE</t>
  </si>
  <si>
    <t>EN_WON_34_c01_SWE</t>
  </si>
  <si>
    <t>EN_WON_35_c01_SWE</t>
  </si>
  <si>
    <t>EN_WON_36_c01_SWE</t>
  </si>
  <si>
    <t>EN_WON_37_c01_SWE</t>
  </si>
  <si>
    <t>EN_WON_38_c01_SWE</t>
  </si>
  <si>
    <t>EN_WON_39_c01_SWE</t>
  </si>
  <si>
    <t>EN_WON_40_c01_SWE</t>
  </si>
  <si>
    <t>EN_WON_41_c01_SWE</t>
  </si>
  <si>
    <t>EN_WON_42_c01_SWE</t>
  </si>
  <si>
    <t>EN_WON_43_c01_SWE</t>
  </si>
  <si>
    <t>EN_WON_18_c03_SWZ</t>
  </si>
  <si>
    <t>EN_WON_19_c03_SWZ</t>
  </si>
  <si>
    <t>EN_WON_21_c03_SWZ</t>
  </si>
  <si>
    <t>EN_WON_35_c01_SYR</t>
  </si>
  <si>
    <t>EN_WON_36_c01_SYR</t>
  </si>
  <si>
    <t>EN_WON_36_c02_SYR</t>
  </si>
  <si>
    <t>EN_WON_38_c01_SYR</t>
  </si>
  <si>
    <t>EN_WON_39_c01_SYR</t>
  </si>
  <si>
    <t>EN_WON_41_c01_SYR</t>
  </si>
  <si>
    <t>EN_WON_43_c01_SYR</t>
  </si>
  <si>
    <t>EN_WON_58_c01_TCD</t>
  </si>
  <si>
    <t>EN_WON_60_c01_TCD</t>
  </si>
  <si>
    <t>EN_WON_16_c04_TGO</t>
  </si>
  <si>
    <t>EN_WON_15_c02_THA</t>
  </si>
  <si>
    <t>EN_WON_15_c03_THA</t>
  </si>
  <si>
    <t>EN_WON_16_c02_THA</t>
  </si>
  <si>
    <t>EN_WON_16_c03_THA</t>
  </si>
  <si>
    <t>EN_WON_16_c04_THA</t>
  </si>
  <si>
    <t>EN_WON_17_c02_THA</t>
  </si>
  <si>
    <t>EN_WON_17_c03_THA</t>
  </si>
  <si>
    <t>EN_WON_17_c04_THA</t>
  </si>
  <si>
    <t>EN_WON_18_c02_THA</t>
  </si>
  <si>
    <t>EN_WON_18_c03_THA</t>
  </si>
  <si>
    <t>EN_WON_18_c04_THA</t>
  </si>
  <si>
    <t>EN_WON_19_c02_THA</t>
  </si>
  <si>
    <t>EN_WON_19_c03_THA</t>
  </si>
  <si>
    <t>EN_WON_19_c04_THA</t>
  </si>
  <si>
    <t>EN_WON_20_c02_THA</t>
  </si>
  <si>
    <t>EN_WON_20_c03_THA</t>
  </si>
  <si>
    <t>EN_WON_20_c04_THA</t>
  </si>
  <si>
    <t>EN_WON_21_c03_THA</t>
  </si>
  <si>
    <t>EN_WON_21_c04_THA</t>
  </si>
  <si>
    <t>EN_WON_22_c02_THA</t>
  </si>
  <si>
    <t>EN_WON_22_c03_THA</t>
  </si>
  <si>
    <t>EN_WON_22_c04_THA</t>
  </si>
  <si>
    <t>EN_WON_23_c02_THA</t>
  </si>
  <si>
    <t>EN_WON_23_c03_THA</t>
  </si>
  <si>
    <t>EN_WON_24_c01_THA</t>
  </si>
  <si>
    <t>EN_WON_26_c01_THA</t>
  </si>
  <si>
    <t>EN_WON_16_c02_TJK</t>
  </si>
  <si>
    <t>EN_WON_16_c03_TJK</t>
  </si>
  <si>
    <t>EN_WON_16_c04_TJK</t>
  </si>
  <si>
    <t>EN_WON_17_c03_TJK</t>
  </si>
  <si>
    <t>EN_WON_17_c04_TJK</t>
  </si>
  <si>
    <t>EN_WON_18_c02_TJK</t>
  </si>
  <si>
    <t>EN_WON_18_c03_TJK</t>
  </si>
  <si>
    <t>EN_WON_18_c04_TJK</t>
  </si>
  <si>
    <t>EN_WON_19_c02_TJK</t>
  </si>
  <si>
    <t>EN_WON_19_c03_TJK</t>
  </si>
  <si>
    <t>EN_WON_19_c04_TJK</t>
  </si>
  <si>
    <t>EN_WON_20_c02_TJK</t>
  </si>
  <si>
    <t>EN_WON_21_c02_TJK</t>
  </si>
  <si>
    <t>EN_WON_21_c03_TJK</t>
  </si>
  <si>
    <t>EN_WON_21_c04_TJK</t>
  </si>
  <si>
    <t>EN_WON_22_c03_TJK</t>
  </si>
  <si>
    <t>EN_WON_22_c04_TJK</t>
  </si>
  <si>
    <t>EN_WON_25_c03_TJK</t>
  </si>
  <si>
    <t>EN_WON_25_c04_TJK</t>
  </si>
  <si>
    <t>EN_WON_28_c04_TJK</t>
  </si>
  <si>
    <t>EN_WON_29_c04_TJK</t>
  </si>
  <si>
    <t>EN_WON_30_c04_TJK</t>
  </si>
  <si>
    <t>EN_WON_42_c01_TKM</t>
  </si>
  <si>
    <t>EN_WON_43_c01_TKM</t>
  </si>
  <si>
    <t>EN_WON_44_c01_TKM</t>
  </si>
  <si>
    <t>EN_WON_45_c01_TKM</t>
  </si>
  <si>
    <t>EN_WON_22_c01_TON</t>
  </si>
  <si>
    <t>EN_WON_25_c02_TON</t>
  </si>
  <si>
    <t>EN_WON_30_c04_TON</t>
  </si>
  <si>
    <t>EN_WON_24_c04_TTO</t>
  </si>
  <si>
    <t>EN_WON_29_c03_TTO</t>
  </si>
  <si>
    <t>EN_WON_40_c01_TUN</t>
  </si>
  <si>
    <t>EN_WON_41_c01_TUN</t>
  </si>
  <si>
    <t>EN_WON_15_c02_TUR</t>
  </si>
  <si>
    <t>EN_WON_16_c02_TUR</t>
  </si>
  <si>
    <t>EN_WON_16_c03_TUR</t>
  </si>
  <si>
    <t>EN_WON_17_c02_TUR</t>
  </si>
  <si>
    <t>EN_WON_17_c03_TUR</t>
  </si>
  <si>
    <t>EN_WON_18_c02_TUR</t>
  </si>
  <si>
    <t>EN_WON_18_c03_TUR</t>
  </si>
  <si>
    <t>EN_WON_18_c04_TUR</t>
  </si>
  <si>
    <t>EN_WON_19_c02_TUR</t>
  </si>
  <si>
    <t>EN_WON_19_c03_TUR</t>
  </si>
  <si>
    <t>EN_WON_19_c04_TUR</t>
  </si>
  <si>
    <t>EN_WON_20_c01_TUR</t>
  </si>
  <si>
    <t>EN_WON_20_c02_TUR</t>
  </si>
  <si>
    <t>EN_WON_20_c03_TUR</t>
  </si>
  <si>
    <t>EN_WON_20_c04_TUR</t>
  </si>
  <si>
    <t>EN_WON_21_c02_TUR</t>
  </si>
  <si>
    <t>EN_WON_21_c03_TUR</t>
  </si>
  <si>
    <t>EN_WON_21_c04_TUR</t>
  </si>
  <si>
    <t>EN_WON_22_c02_TUR</t>
  </si>
  <si>
    <t>EN_WON_22_c03_TUR</t>
  </si>
  <si>
    <t>EN_WON_22_c04_TUR</t>
  </si>
  <si>
    <t>EN_WON_23_c02_TUR</t>
  </si>
  <si>
    <t>EN_WON_23_c03_TUR</t>
  </si>
  <si>
    <t>EN_WON_23_c04_TUR</t>
  </si>
  <si>
    <t>EN_WON_24_c02_TUR</t>
  </si>
  <si>
    <t>EN_WON_24_c03_TUR</t>
  </si>
  <si>
    <t>EN_WON_24_c04_TUR</t>
  </si>
  <si>
    <t>EN_WON_25_c02_TUR</t>
  </si>
  <si>
    <t>EN_WON_25_c03_TUR</t>
  </si>
  <si>
    <t>EN_WON_26_c01_TUR</t>
  </si>
  <si>
    <t>EN_WON_26_c02_TUR</t>
  </si>
  <si>
    <t>EN_WON_26_c03_TUR</t>
  </si>
  <si>
    <t>EN_WON_26_c04_TUR</t>
  </si>
  <si>
    <t>EN_WON_27_c01_TUR</t>
  </si>
  <si>
    <t>EN_WON_27_c03_TUR</t>
  </si>
  <si>
    <t>EN_WON_28_c02_TUR</t>
  </si>
  <si>
    <t>EN_WON_29_c02_TUR</t>
  </si>
  <si>
    <t>EN_WON_30_c02_TUR</t>
  </si>
  <si>
    <t>EN_WON_30_c03_TUR</t>
  </si>
  <si>
    <t>EN_WON_31_c01_TUR</t>
  </si>
  <si>
    <t>EN_WON_31_c03_TUR</t>
  </si>
  <si>
    <t>EN_WON_32_c03_TUR</t>
  </si>
  <si>
    <t>EN_WON_33_c02_TUR</t>
  </si>
  <si>
    <t>EN_WON_34_c01_TUR</t>
  </si>
  <si>
    <t>EN_WON_34_c02_TUR</t>
  </si>
  <si>
    <t>EN_WON_35_c01_TUR</t>
  </si>
  <si>
    <t>EN_WON_35_c02_TUR</t>
  </si>
  <si>
    <t>EN_WON_36_c01_TUR</t>
  </si>
  <si>
    <t>EN_WON_36_c02_TUR</t>
  </si>
  <si>
    <t>EN_WON_37_c02_TUR</t>
  </si>
  <si>
    <t>EN_WON_39_c01_TUR</t>
  </si>
  <si>
    <t>EN_WON_24_c03_TZA</t>
  </si>
  <si>
    <t>EN_WON_24_c04_TZA</t>
  </si>
  <si>
    <t>EN_WON_25_c02_TZA</t>
  </si>
  <si>
    <t>EN_WON_25_c03_TZA</t>
  </si>
  <si>
    <t>EN_WON_25_c04_TZA</t>
  </si>
  <si>
    <t>EN_WON_26_c02_TZA</t>
  </si>
  <si>
    <t>EN_WON_26_c03_TZA</t>
  </si>
  <si>
    <t>EN_WON_26_c04_TZA</t>
  </si>
  <si>
    <t>EN_WON_27_c03_TZA</t>
  </si>
  <si>
    <t>EN_WON_27_c04_TZA</t>
  </si>
  <si>
    <t>EN_WON_28_c03_TZA</t>
  </si>
  <si>
    <t>EN_WON_29_c03_TZA</t>
  </si>
  <si>
    <t>EN_WON_30_c03_TZA</t>
  </si>
  <si>
    <t>EN_WON_30_c04_TZA</t>
  </si>
  <si>
    <t>EN_WON_31_c03_TZA</t>
  </si>
  <si>
    <t>EN_WON_31_c04_TZA</t>
  </si>
  <si>
    <t>EN_WON_32_c03_TZA</t>
  </si>
  <si>
    <t>EN_WON_32_c04_TZA</t>
  </si>
  <si>
    <t>EN_WON_33_c02_TZA</t>
  </si>
  <si>
    <t>EN_WON_33_c03_TZA</t>
  </si>
  <si>
    <t>EN_WON_33_c04_TZA</t>
  </si>
  <si>
    <t>EN_WON_36_c04_TZA</t>
  </si>
  <si>
    <t>EN_WON_37_c01_TZA</t>
  </si>
  <si>
    <t>EN_WON_37_c04_TZA</t>
  </si>
  <si>
    <t>EN_WON_38_c04_TZA</t>
  </si>
  <si>
    <t>EN_WON_41_c02_TZA</t>
  </si>
  <si>
    <t>EN_WON_15_c03_UGA</t>
  </si>
  <si>
    <t>EN_WON_16_c02_UGA</t>
  </si>
  <si>
    <t>EN_WON_16_c03_UGA</t>
  </si>
  <si>
    <t>EN_WON_16_c04_UGA</t>
  </si>
  <si>
    <t>EN_WON_17_c04_UGA</t>
  </si>
  <si>
    <t>EN_WON_18_c03_UGA</t>
  </si>
  <si>
    <t>EN_WON_19_c04_UGA</t>
  </si>
  <si>
    <t>EN_WON_21_c04_UGA</t>
  </si>
  <si>
    <t>EN_WON_33_c01_UKR</t>
  </si>
  <si>
    <t>EN_WON_34_c01_UKR</t>
  </si>
  <si>
    <t>EN_WON_35_c01_UKR</t>
  </si>
  <si>
    <t>EN_WON_37_c01_URY</t>
  </si>
  <si>
    <t>EN_WON_38_c01_URY</t>
  </si>
  <si>
    <t>EN_WON_40_c01_URY</t>
  </si>
  <si>
    <t>EN_WON_21_c02_USA</t>
  </si>
  <si>
    <t>EN_WON_21_c03_USA</t>
  </si>
  <si>
    <t>EN_WON_22_c01_USA</t>
  </si>
  <si>
    <t>EN_WON_22_c02_USA</t>
  </si>
  <si>
    <t>EN_WON_22_c03_USA</t>
  </si>
  <si>
    <t>EN_WON_22_c04_USA</t>
  </si>
  <si>
    <t>EN_WON_23_c01_USA</t>
  </si>
  <si>
    <t>EN_WON_23_c02_USA</t>
  </si>
  <si>
    <t>EN_WON_23_c03_USA</t>
  </si>
  <si>
    <t>EN_WON_23_c04_USA</t>
  </si>
  <si>
    <t>EN_WON_24_c01_USA</t>
  </si>
  <si>
    <t>EN_WON_24_c02_USA</t>
  </si>
  <si>
    <t>EN_WON_24_c03_USA</t>
  </si>
  <si>
    <t>EN_WON_24_c04_USA</t>
  </si>
  <si>
    <t>EN_WON_25_c01_USA</t>
  </si>
  <si>
    <t>EN_WON_25_c02_USA</t>
  </si>
  <si>
    <t>EN_WON_25_c03_USA</t>
  </si>
  <si>
    <t>EN_WON_25_c04_USA</t>
  </si>
  <si>
    <t>EN_WON_26_c01_USA</t>
  </si>
  <si>
    <t>EN_WON_26_c02_USA</t>
  </si>
  <si>
    <t>EN_WON_26_c03_USA</t>
  </si>
  <si>
    <t>EN_WON_26_c04_USA</t>
  </si>
  <si>
    <t>EN_WON_27_c01_USA</t>
  </si>
  <si>
    <t>EN_WON_27_c02_USA</t>
  </si>
  <si>
    <t>EN_WON_27_c03_USA</t>
  </si>
  <si>
    <t>EN_WON_27_c04_USA</t>
  </si>
  <si>
    <t>EN_WON_28_c01_USA</t>
  </si>
  <si>
    <t>EN_WON_28_c02_USA</t>
  </si>
  <si>
    <t>EN_WON_28_c03_USA</t>
  </si>
  <si>
    <t>EN_WON_28_c04_USA</t>
  </si>
  <si>
    <t>EN_WON_29_c01_USA</t>
  </si>
  <si>
    <t>EN_WON_29_c02_USA</t>
  </si>
  <si>
    <t>EN_WON_29_c03_USA</t>
  </si>
  <si>
    <t>EN_WON_29_c04_USA</t>
  </si>
  <si>
    <t>EN_WON_30_c01_USA</t>
  </si>
  <si>
    <t>EN_WON_30_c02_USA</t>
  </si>
  <si>
    <t>EN_WON_30_c03_USA</t>
  </si>
  <si>
    <t>EN_WON_30_c04_USA</t>
  </si>
  <si>
    <t>EN_WON_31_c01_USA</t>
  </si>
  <si>
    <t>EN_WON_31_c02_USA</t>
  </si>
  <si>
    <t>EN_WON_31_c03_USA</t>
  </si>
  <si>
    <t>EN_WON_31_c04_USA</t>
  </si>
  <si>
    <t>EN_WON_32_c01_USA</t>
  </si>
  <si>
    <t>EN_WON_32_c02_USA</t>
  </si>
  <si>
    <t>EN_WON_32_c03_USA</t>
  </si>
  <si>
    <t>EN_WON_32_c04_USA</t>
  </si>
  <si>
    <t>EN_WON_33_c01_USA</t>
  </si>
  <si>
    <t>EN_WON_33_c02_USA</t>
  </si>
  <si>
    <t>EN_WON_33_c03_USA</t>
  </si>
  <si>
    <t>EN_WON_33_c04_USA</t>
  </si>
  <si>
    <t>EN_WON_34_c01_USA</t>
  </si>
  <si>
    <t>EN_WON_34_c02_USA</t>
  </si>
  <si>
    <t>EN_WON_34_c03_USA</t>
  </si>
  <si>
    <t>EN_WON_34_c04_USA</t>
  </si>
  <si>
    <t>EN_WON_35_c01_USA</t>
  </si>
  <si>
    <t>EN_WON_35_c02_USA</t>
  </si>
  <si>
    <t>EN_WON_35_c03_USA</t>
  </si>
  <si>
    <t>EN_WON_35_c04_USA</t>
  </si>
  <si>
    <t>EN_WON_36_c01_USA</t>
  </si>
  <si>
    <t>EN_WON_36_c02_USA</t>
  </si>
  <si>
    <t>EN_WON_36_c03_USA</t>
  </si>
  <si>
    <t>EN_WON_36_c04_USA</t>
  </si>
  <si>
    <t>EN_WON_37_c01_USA</t>
  </si>
  <si>
    <t>EN_WON_37_c02_USA</t>
  </si>
  <si>
    <t>EN_WON_37_c03_USA</t>
  </si>
  <si>
    <t>EN_WON_37_c04_USA</t>
  </si>
  <si>
    <t>EN_WON_38_c01_USA</t>
  </si>
  <si>
    <t>EN_WON_38_c02_USA</t>
  </si>
  <si>
    <t>EN_WON_38_c03_USA</t>
  </si>
  <si>
    <t>EN_WON_38_c04_USA</t>
  </si>
  <si>
    <t>EN_WON_39_c01_USA</t>
  </si>
  <si>
    <t>EN_WON_39_c02_USA</t>
  </si>
  <si>
    <t>EN_WON_39_c03_USA</t>
  </si>
  <si>
    <t>EN_WON_39_c04_USA</t>
  </si>
  <si>
    <t>EN_WON_40_c01_USA</t>
  </si>
  <si>
    <t>EN_WON_40_c04_USA</t>
  </si>
  <si>
    <t>EN_WON_41_c01_USA</t>
  </si>
  <si>
    <t>EN_WON_41_c02_USA</t>
  </si>
  <si>
    <t>EN_WON_41_c03_USA</t>
  </si>
  <si>
    <t>EN_WON_41_c04_USA</t>
  </si>
  <si>
    <t>EN_WON_42_c01_USA</t>
  </si>
  <si>
    <t>EN_WON_42_c02_USA</t>
  </si>
  <si>
    <t>EN_WON_42_c03_USA</t>
  </si>
  <si>
    <t>EN_WON_42_c04_USA</t>
  </si>
  <si>
    <t>EN_WON_43_c01_USA</t>
  </si>
  <si>
    <t>EN_WON_43_c02_USA</t>
  </si>
  <si>
    <t>EN_WON_43_c04_USA</t>
  </si>
  <si>
    <t>EN_WON_44_c01_USA</t>
  </si>
  <si>
    <t>EN_WON_44_c02_USA</t>
  </si>
  <si>
    <t>EN_WON_45_c01_USA</t>
  </si>
  <si>
    <t>EN_WON_45_c02_USA</t>
  </si>
  <si>
    <t>EN_WON_46_c01_USA</t>
  </si>
  <si>
    <t>EN_WON_46_c02_USA</t>
  </si>
  <si>
    <t>EN_WON_46_c04_USA</t>
  </si>
  <si>
    <t>EN_WON_47_c04_USA</t>
  </si>
  <si>
    <t>EN_WON_48_c02_USA</t>
  </si>
  <si>
    <t>EN_WON_50_c01_USA</t>
  </si>
  <si>
    <t>EN_WON_51_c02_USA</t>
  </si>
  <si>
    <t>EN_WON_43_c01_UZB</t>
  </si>
  <si>
    <t>EN_WON_44_c01_UZB</t>
  </si>
  <si>
    <t>EN_WON_45_c01_UZB</t>
  </si>
  <si>
    <t>EN_WON_46_c01_UZB</t>
  </si>
  <si>
    <t>EN_WON_20_c03_VEN</t>
  </si>
  <si>
    <t>EN_WON_20_c04_VEN</t>
  </si>
  <si>
    <t>EN_WON_21_c02_VEN</t>
  </si>
  <si>
    <t>EN_WON_21_c03_VEN</t>
  </si>
  <si>
    <t>EN_WON_21_c04_VEN</t>
  </si>
  <si>
    <t>EN_WON_22_c02_VEN</t>
  </si>
  <si>
    <t>EN_WON_22_c03_VEN</t>
  </si>
  <si>
    <t>EN_WON_22_c04_VEN</t>
  </si>
  <si>
    <t>EN_WON_23_c02_VEN</t>
  </si>
  <si>
    <t>EN_WON_23_c03_VEN</t>
  </si>
  <si>
    <t>EN_WON_23_c04_VEN</t>
  </si>
  <si>
    <t>EN_WON_24_c02_VEN</t>
  </si>
  <si>
    <t>EN_WON_24_c03_VEN</t>
  </si>
  <si>
    <t>EN_WON_24_c04_VEN</t>
  </si>
  <si>
    <t>EN_WON_25_c02_VEN</t>
  </si>
  <si>
    <t>EN_WON_25_c03_VEN</t>
  </si>
  <si>
    <t>EN_WON_26_c01_VEN</t>
  </si>
  <si>
    <t>EN_WON_26_c02_VEN</t>
  </si>
  <si>
    <t>EN_WON_26_c03_VEN</t>
  </si>
  <si>
    <t>EN_WON_26_c04_VEN</t>
  </si>
  <si>
    <t>EN_WON_27_c02_VEN</t>
  </si>
  <si>
    <t>EN_WON_27_c03_VEN</t>
  </si>
  <si>
    <t>EN_WON_27_c04_VEN</t>
  </si>
  <si>
    <t>EN_WON_28_c02_VEN</t>
  </si>
  <si>
    <t>EN_WON_29_c02_VEN</t>
  </si>
  <si>
    <t>EN_WON_30_c02_VEN</t>
  </si>
  <si>
    <t>EN_WON_31_c01_VEN</t>
  </si>
  <si>
    <t>EN_WON_31_c03_VEN</t>
  </si>
  <si>
    <t>EN_WON_31_c04_VEN</t>
  </si>
  <si>
    <t>EN_WON_32_c02_VEN</t>
  </si>
  <si>
    <t>EN_WON_32_c03_VEN</t>
  </si>
  <si>
    <t>EN_WON_32_c04_VEN</t>
  </si>
  <si>
    <t>EN_WON_33_c03_VEN</t>
  </si>
  <si>
    <t>EN_WON_34_c03_VEN</t>
  </si>
  <si>
    <t>EN_WON_34_c04_VEN</t>
  </si>
  <si>
    <t>EN_WON_35_c01_VEN</t>
  </si>
  <si>
    <t>EN_WON_35_c02_VEN</t>
  </si>
  <si>
    <t>EN_WON_35_c03_VEN</t>
  </si>
  <si>
    <t>EN_WON_38_c01_VEN</t>
  </si>
  <si>
    <t>EN_WON_39_c01_VEN</t>
  </si>
  <si>
    <t>EN_WON_39_c02_VEN</t>
  </si>
  <si>
    <t>EN_WON_39_c03_VEN</t>
  </si>
  <si>
    <t>EN_WON_40_c01_VEN</t>
  </si>
  <si>
    <t>EN_WON_40_c02_VEN</t>
  </si>
  <si>
    <t>EN_WON_41_c04_VEN</t>
  </si>
  <si>
    <t>EN_WON_42_c01_VEN</t>
  </si>
  <si>
    <t>EN_WON_42_c02_VEN</t>
  </si>
  <si>
    <t>EN_WON_43_c03_VEN</t>
  </si>
  <si>
    <t>EN_WON_51_c01_VEN</t>
  </si>
  <si>
    <t>EN_WON_54_c01_VEN</t>
  </si>
  <si>
    <t>EN_WON_56_c01_VEN</t>
  </si>
  <si>
    <t>EN_WON_57_c01_VEN</t>
  </si>
  <si>
    <t>EN_WON_58_c01_VEN</t>
  </si>
  <si>
    <t>EN_WON_15_c04_VNM</t>
  </si>
  <si>
    <t>EN_WON_16_c02_VNM</t>
  </si>
  <si>
    <t>EN_WON_16_c03_VNM</t>
  </si>
  <si>
    <t>EN_WON_16_c04_VNM</t>
  </si>
  <si>
    <t>EN_WON_17_c02_VNM</t>
  </si>
  <si>
    <t>EN_WON_17_c03_VNM</t>
  </si>
  <si>
    <t>EN_WON_17_c04_VNM</t>
  </si>
  <si>
    <t>EN_WON_18_c04_VNM</t>
  </si>
  <si>
    <t>EN_WON_19_c02_VNM</t>
  </si>
  <si>
    <t>EN_WON_19_c04_VNM</t>
  </si>
  <si>
    <t>EN_WON_20_c02_VNM</t>
  </si>
  <si>
    <t>EN_WON_20_c04_VNM</t>
  </si>
  <si>
    <t>EN_WON_21_c04_VNM</t>
  </si>
  <si>
    <t>EN_WON_22_c02_VNM</t>
  </si>
  <si>
    <t>EN_WON_22_c04_VNM</t>
  </si>
  <si>
    <t>EN_WON_23_c02_VNM</t>
  </si>
  <si>
    <t>EN_WON_23_c03_VNM</t>
  </si>
  <si>
    <t>EN_WON_23_c04_VNM</t>
  </si>
  <si>
    <t>EN_WON_24_c04_VNM</t>
  </si>
  <si>
    <t>EN_WON_25_c04_VNM</t>
  </si>
  <si>
    <t>EN_WON_26_c04_VNM</t>
  </si>
  <si>
    <t>EN_WON_27_c04_VNM</t>
  </si>
  <si>
    <t>EN_WON_28_c02_VNM</t>
  </si>
  <si>
    <t>EN_WON_28_c04_VNM</t>
  </si>
  <si>
    <t>EN_WON_30_c02_VNM</t>
  </si>
  <si>
    <t>EN_WON_30_c04_VNM</t>
  </si>
  <si>
    <t>EN_WON_38_c03_VNM</t>
  </si>
  <si>
    <t>EN_WON_40_c01_VNM</t>
  </si>
  <si>
    <t>EN_WON_50_c02_VNM</t>
  </si>
  <si>
    <t>EN_WON_17_c04_VUT</t>
  </si>
  <si>
    <t>EN_WON_25_c04_VUT</t>
  </si>
  <si>
    <t>EN_WON_40_c02_YEM</t>
  </si>
  <si>
    <t>EN_WON_43_c01_YEM</t>
  </si>
  <si>
    <t>EN_WON_44_c01_YEM</t>
  </si>
  <si>
    <t>EN_WON_44_c02_YEM</t>
  </si>
  <si>
    <t>EN_WON_44_c04_YEM</t>
  </si>
  <si>
    <t>EN_WON_46_c01_YEM</t>
  </si>
  <si>
    <t>EN_WON_47_c04_YEM</t>
  </si>
  <si>
    <t>EN_WON_48_c01_YEM</t>
  </si>
  <si>
    <t>EN_WON_51_c01_YEM</t>
  </si>
  <si>
    <t>EN_WON_54_c01_YEM</t>
  </si>
  <si>
    <t>EN_WON_56_c01_YEM</t>
  </si>
  <si>
    <t>EN_WON_24_c01_ZAF</t>
  </si>
  <si>
    <t>EN_WON_24_c03_ZAF</t>
  </si>
  <si>
    <t>EN_WON_25_c02_ZAF</t>
  </si>
  <si>
    <t>EN_WON_25_c03_ZAF</t>
  </si>
  <si>
    <t>EN_WON_26_c01_ZAF</t>
  </si>
  <si>
    <t>EN_WON_26_c02_ZAF</t>
  </si>
  <si>
    <t>EN_WON_26_c03_ZAF</t>
  </si>
  <si>
    <t>EN_WON_26_c04_ZAF</t>
  </si>
  <si>
    <t>EN_WON_27_c01_ZAF</t>
  </si>
  <si>
    <t>EN_WON_27_c02_ZAF</t>
  </si>
  <si>
    <t>EN_WON_27_c03_ZAF</t>
  </si>
  <si>
    <t>EN_WON_28_c01_ZAF</t>
  </si>
  <si>
    <t>EN_WON_28_c02_ZAF</t>
  </si>
  <si>
    <t>EN_WON_28_c03_ZAF</t>
  </si>
  <si>
    <t>EN_WON_28_c04_ZAF</t>
  </si>
  <si>
    <t>EN_WON_29_c02_ZAF</t>
  </si>
  <si>
    <t>EN_WON_29_c03_ZAF</t>
  </si>
  <si>
    <t>EN_WON_29_c04_ZAF</t>
  </si>
  <si>
    <t>EN_WON_30_c01_ZAF</t>
  </si>
  <si>
    <t>EN_WON_30_c02_ZAF</t>
  </si>
  <si>
    <t>EN_WON_30_c03_ZAF</t>
  </si>
  <si>
    <t>EN_WON_30_c04_ZAF</t>
  </si>
  <si>
    <t>EN_WON_31_c01_ZAF</t>
  </si>
  <si>
    <t>EN_WON_31_c02_ZAF</t>
  </si>
  <si>
    <t>EN_WON_31_c03_ZAF</t>
  </si>
  <si>
    <t>EN_WON_32_c01_ZAF</t>
  </si>
  <si>
    <t>EN_WON_32_c02_ZAF</t>
  </si>
  <si>
    <t>EN_WON_32_c03_ZAF</t>
  </si>
  <si>
    <t>EN_WON_33_c01_ZAF</t>
  </si>
  <si>
    <t>EN_WON_33_c03_ZAF</t>
  </si>
  <si>
    <t>EN_WON_34_c01_ZAF</t>
  </si>
  <si>
    <t>EN_WON_34_c02_ZAF</t>
  </si>
  <si>
    <t>EN_WON_35_c01_ZAF</t>
  </si>
  <si>
    <t>EN_WON_35_c02_ZAF</t>
  </si>
  <si>
    <t>EN_WON_36_c02_ZAF</t>
  </si>
  <si>
    <t>EN_WON_43_c02_ZAF</t>
  </si>
  <si>
    <t>EN_WON_46_c01_ZAF</t>
  </si>
  <si>
    <t>EN_WON_49_c01_ZAF</t>
  </si>
  <si>
    <t>EN_WON_15_c03_ZMB</t>
  </si>
  <si>
    <t>EN_WON_16_c02_ZMB</t>
  </si>
  <si>
    <t>EN_WON_16_c03_ZMB</t>
  </si>
  <si>
    <t>EN_WON_16_c04_ZMB</t>
  </si>
  <si>
    <t>EN_WON_17_c02_ZMB</t>
  </si>
  <si>
    <t>EN_WON_17_c03_ZMB</t>
  </si>
  <si>
    <t>EN_WON_17_c04_ZMB</t>
  </si>
  <si>
    <t>EN_WON_18_c02_ZMB</t>
  </si>
  <si>
    <t>EN_WON_18_c03_ZMB</t>
  </si>
  <si>
    <t>EN_WON_18_c04_ZMB</t>
  </si>
  <si>
    <t>EN_WON_19_c03_ZMB</t>
  </si>
  <si>
    <t>EN_WON_19_c04_ZMB</t>
  </si>
  <si>
    <t>EN_WON_20_c02_ZMB</t>
  </si>
  <si>
    <t>EN_WON_20_c03_ZMB</t>
  </si>
  <si>
    <t>EN_WON_20_c04_ZMB</t>
  </si>
  <si>
    <t>EN_WON_21_c02_ZMB</t>
  </si>
  <si>
    <t>EN_WON_21_c03_ZMB</t>
  </si>
  <si>
    <t>EN_WON_21_c04_ZMB</t>
  </si>
  <si>
    <t>EN_WON_22_c02_ZMB</t>
  </si>
  <si>
    <t>EN_WON_22_c03_ZMB</t>
  </si>
  <si>
    <t>EN_WON_22_c04_ZMB</t>
  </si>
  <si>
    <t>EN_WON_23_c02_ZMB</t>
  </si>
  <si>
    <t>EN_WON_23_c03_ZMB</t>
  </si>
  <si>
    <t>EN_WON_24_c03_ZMB</t>
  </si>
  <si>
    <t>EN_WON_24_c04_ZMB</t>
  </si>
  <si>
    <t>EN_WON_25_c02_ZMB</t>
  </si>
  <si>
    <t>EN_WON_25_c04_ZMB</t>
  </si>
  <si>
    <t>EN_WON_27_c03_ZMB</t>
  </si>
  <si>
    <t>EN_WON_27_c04_ZMB</t>
  </si>
  <si>
    <t>EN_WON_28_c02_ZMB</t>
  </si>
  <si>
    <t>EN_WON_28_c03_ZMB</t>
  </si>
  <si>
    <t>EN_WON_29_c02_ZMB</t>
  </si>
  <si>
    <t>EN_WON_21_c04_ZWE</t>
  </si>
  <si>
    <t>EN_WON_22_c03_ZWE</t>
  </si>
  <si>
    <t>EN_WON_22_c04_ZWE</t>
  </si>
  <si>
    <t>EN_WON_23_c02_ZWE</t>
  </si>
  <si>
    <t>EN_WON_23_c04_ZWE</t>
  </si>
  <si>
    <t>EN_WON_24_c02_ZWE</t>
  </si>
  <si>
    <t>EN_WON_24_c04_ZWE</t>
  </si>
  <si>
    <t>EN_WON_25_c01_ZWE</t>
  </si>
  <si>
    <t>EN_WON_26_c03_ZWE</t>
  </si>
  <si>
    <t>EN_WOF_35_c02_AGO</t>
  </si>
  <si>
    <t>EN_WOF_46_c02_AGO</t>
  </si>
  <si>
    <t>EN_WOF_52_c02_AGO</t>
  </si>
  <si>
    <t>EN_WOF_55_c02_AGO</t>
  </si>
  <si>
    <t>EN_WOF_32_c02_ALB</t>
  </si>
  <si>
    <t>EN_WOF_35_c02_ALB</t>
  </si>
  <si>
    <t>EN_WOF_46_c02_ARG</t>
  </si>
  <si>
    <t>EN_WOF_47_c02_ARG</t>
  </si>
  <si>
    <t>EN_WOF_48_c02_ARG</t>
  </si>
  <si>
    <t>EN_WOF_49_c02_ARG</t>
  </si>
  <si>
    <t>EN_WOF_50_c02_ARG</t>
  </si>
  <si>
    <t>EN_WOF_51_c02_ARG</t>
  </si>
  <si>
    <t>EN_WOF_52_c02_ARG</t>
  </si>
  <si>
    <t>EN_WOF_53_c02_ARG</t>
  </si>
  <si>
    <t>EN_WOF_54_c02_ARG</t>
  </si>
  <si>
    <t>EN_WOF_55_c02_ARG</t>
  </si>
  <si>
    <t>EN_WOF_56_c02_ARG</t>
  </si>
  <si>
    <t>EN_WOF_57_c02_ARG</t>
  </si>
  <si>
    <t>EN_WOF_58_c02_ARG</t>
  </si>
  <si>
    <t>EN_WOF_59_c02_ARG</t>
  </si>
  <si>
    <t>EN_WOF_60_c02_ARG</t>
  </si>
  <si>
    <t>EN_WOF_61_c02_ARG</t>
  </si>
  <si>
    <t>EN_WOF_62_c02_ARG</t>
  </si>
  <si>
    <t>EN_WOF_63_c02_ARG</t>
  </si>
  <si>
    <t>EN_WOF_64_c02_ARG</t>
  </si>
  <si>
    <t>EN_WOF_65_c02_ARG</t>
  </si>
  <si>
    <t>EN_WOF_66_c02_ARG</t>
  </si>
  <si>
    <t>EN_WOF_67_c02_ARG</t>
  </si>
  <si>
    <t>EN_WOF_31_c02_ATG</t>
  </si>
  <si>
    <t>EN_WOF_32_c02_ATG</t>
  </si>
  <si>
    <t>EN_WOF_33_c02_ATG</t>
  </si>
  <si>
    <t>EN_WOF_34_c02_ATG</t>
  </si>
  <si>
    <t>EN_WOF_35_c02_ATG</t>
  </si>
  <si>
    <t>EN_WOF_37_c02_ATG</t>
  </si>
  <si>
    <t>EN_WOF_39_c02_ATG</t>
  </si>
  <si>
    <t>EN_WOF_30_c02_AUS</t>
  </si>
  <si>
    <t>EN_WOF_31_c02_AUS</t>
  </si>
  <si>
    <t>EN_WOF_32_c02_AUS</t>
  </si>
  <si>
    <t>EN_WOF_33_c02_AUS</t>
  </si>
  <si>
    <t>EN_WOF_34_c02_AUS</t>
  </si>
  <si>
    <t>EN_WOF_35_c02_AUS</t>
  </si>
  <si>
    <t>EN_WOF_36_c02_AUS</t>
  </si>
  <si>
    <t>EN_WOF_37_c02_AUS</t>
  </si>
  <si>
    <t>EN_WOF_38_c02_AUS</t>
  </si>
  <si>
    <t>EN_WOF_39_c02_AUS</t>
  </si>
  <si>
    <t>EN_WOF_40_c02_AUS</t>
  </si>
  <si>
    <t>EN_WOF_41_c02_AUS</t>
  </si>
  <si>
    <t>EN_WOF_42_c02_AUS</t>
  </si>
  <si>
    <t>EN_WOF_43_c02_AUS</t>
  </si>
  <si>
    <t>EN_WOF_44_c02_AUS</t>
  </si>
  <si>
    <t>EN_WOF_45_c02_AUS</t>
  </si>
  <si>
    <t>EN_WOF_46_c02_AUS</t>
  </si>
  <si>
    <t>EN_WOF_47_c02_AUS</t>
  </si>
  <si>
    <t>EN_WOF_48_c02_AUS</t>
  </si>
  <si>
    <t>EN_WOF_49_c02_AUS</t>
  </si>
  <si>
    <t>EN_WOF_50_c02_AUS</t>
  </si>
  <si>
    <t>EN_WOF_51_c02_AUS</t>
  </si>
  <si>
    <t>EN_WOF_52_c02_AUS</t>
  </si>
  <si>
    <t>EN_WOF_53_c02_AUS</t>
  </si>
  <si>
    <t>EN_WOF_54_c02_AUS</t>
  </si>
  <si>
    <t>EN_WOF_56_c02_AUS</t>
  </si>
  <si>
    <t>EN_WOF_31_c02_AZE</t>
  </si>
  <si>
    <t>EN_WOF_32_c02_AZE</t>
  </si>
  <si>
    <t>EN_WOF_33_c02_AZE</t>
  </si>
  <si>
    <t>EN_WOF_35_c02_AZE</t>
  </si>
  <si>
    <t>EN_WOF_36_c02_AZE</t>
  </si>
  <si>
    <t>EN_WOF_37_c02_AZE</t>
  </si>
  <si>
    <t>EN_WOF_38_c02_AZE</t>
  </si>
  <si>
    <t>EN_WOF_39_c02_AZE</t>
  </si>
  <si>
    <t>EN_WOF_41_c02_AZE</t>
  </si>
  <si>
    <t>EN_WOF_30_c02_BGR</t>
  </si>
  <si>
    <t>EN_WOF_31_c02_BGR</t>
  </si>
  <si>
    <t>EN_WOF_32_c02_BGR</t>
  </si>
  <si>
    <t>EN_WOF_33_c02_BGR</t>
  </si>
  <si>
    <t>EN_WOF_34_c02_BGR</t>
  </si>
  <si>
    <t>EN_WOF_30_c02_BHS</t>
  </si>
  <si>
    <t>EN_WOF_31_c02_BHS</t>
  </si>
  <si>
    <t>EN_WOF_32_c02_BHS</t>
  </si>
  <si>
    <t>EN_WOF_33_c02_BHS</t>
  </si>
  <si>
    <t>EN_WOF_34_c02_BHS</t>
  </si>
  <si>
    <t>EN_WOF_35_c02_BHS</t>
  </si>
  <si>
    <t>EN_WOF_36_c02_BHS</t>
  </si>
  <si>
    <t>EN_WOF_37_c02_BHS</t>
  </si>
  <si>
    <t>EN_WOF_38_c02_BHS</t>
  </si>
  <si>
    <t>EN_WOF_39_c02_BHS</t>
  </si>
  <si>
    <t>EN_WOF_30_c02_BRA</t>
  </si>
  <si>
    <t>EN_WOF_31_c02_BRA</t>
  </si>
  <si>
    <t>EN_WOF_32_c02_BRA</t>
  </si>
  <si>
    <t>EN_WOF_33_c02_BRA</t>
  </si>
  <si>
    <t>EN_WOF_34_c02_BRA</t>
  </si>
  <si>
    <t>EN_WOF_35_c02_BRA</t>
  </si>
  <si>
    <t>EN_WOF_36_c02_BRA</t>
  </si>
  <si>
    <t>EN_WOF_37_c02_BRA</t>
  </si>
  <si>
    <t>EN_WOF_38_c02_BRA</t>
  </si>
  <si>
    <t>EN_WOF_39_c02_BRA</t>
  </si>
  <si>
    <t>EN_WOF_40_c02_BRA</t>
  </si>
  <si>
    <t>EN_WOF_41_c02_BRA</t>
  </si>
  <si>
    <t>EN_WOF_42_c02_BRA</t>
  </si>
  <si>
    <t>EN_WOF_43_c02_BRA</t>
  </si>
  <si>
    <t>EN_WOF_44_c02_BRA</t>
  </si>
  <si>
    <t>EN_WOF_45_c02_BRA</t>
  </si>
  <si>
    <t>EN_WOF_46_c02_BRA</t>
  </si>
  <si>
    <t>EN_WOF_47_c02_BRA</t>
  </si>
  <si>
    <t>EN_WOF_48_c02_BRA</t>
  </si>
  <si>
    <t>EN_WOF_50_c02_BRA</t>
  </si>
  <si>
    <t>EN_WOF_52_c02_BRA</t>
  </si>
  <si>
    <t>EN_WOF_35_c02_BRB</t>
  </si>
  <si>
    <t>EN_WOF_36_c02_BRB</t>
  </si>
  <si>
    <t>EN_WOF_37_c02_BRB</t>
  </si>
  <si>
    <t>EN_WOF_30_c01_CAN</t>
  </si>
  <si>
    <t>EN_WOF_30_c02_CAN</t>
  </si>
  <si>
    <t>EN_WOF_31_c01_CAN</t>
  </si>
  <si>
    <t>EN_WOF_31_c02_CAN</t>
  </si>
  <si>
    <t>EN_WOF_32_c01_CAN</t>
  </si>
  <si>
    <t>EN_WOF_32_c02_CAN</t>
  </si>
  <si>
    <t>EN_WOF_33_c01_CAN</t>
  </si>
  <si>
    <t>EN_WOF_33_c02_CAN</t>
  </si>
  <si>
    <t>EN_WOF_34_c01_CAN</t>
  </si>
  <si>
    <t>EN_WOF_34_c02_CAN</t>
  </si>
  <si>
    <t>EN_WOF_35_c01_CAN</t>
  </si>
  <si>
    <t>EN_WOF_35_c02_CAN</t>
  </si>
  <si>
    <t>EN_WOF_36_c01_CAN</t>
  </si>
  <si>
    <t>EN_WOF_36_c02_CAN</t>
  </si>
  <si>
    <t>EN_WOF_37_c01_CAN</t>
  </si>
  <si>
    <t>EN_WOF_37_c02_CAN</t>
  </si>
  <si>
    <t>EN_WOF_38_c01_CAN</t>
  </si>
  <si>
    <t>EN_WOF_38_c02_CAN</t>
  </si>
  <si>
    <t>EN_WOF_39_c01_CAN</t>
  </si>
  <si>
    <t>EN_WOF_39_c02_CAN</t>
  </si>
  <si>
    <t>EN_WOF_40_c01_CAN</t>
  </si>
  <si>
    <t>EN_WOF_40_c02_CAN</t>
  </si>
  <si>
    <t>EN_WOF_41_c01_CAN</t>
  </si>
  <si>
    <t>EN_WOF_41_c02_CAN</t>
  </si>
  <si>
    <t>EN_WOF_42_c01_CAN</t>
  </si>
  <si>
    <t>EN_WOF_42_c02_CAN</t>
  </si>
  <si>
    <t>EN_WOF_43_c01_CAN</t>
  </si>
  <si>
    <t>EN_WOF_43_c02_CAN</t>
  </si>
  <si>
    <t>EN_WOF_44_c01_CAN</t>
  </si>
  <si>
    <t>EN_WOF_44_c02_CAN</t>
  </si>
  <si>
    <t>EN_WOF_45_c01_CAN</t>
  </si>
  <si>
    <t>EN_WOF_45_c02_CAN</t>
  </si>
  <si>
    <t>EN_WOF_46_c01_CAN</t>
  </si>
  <si>
    <t>EN_WOF_46_c02_CAN</t>
  </si>
  <si>
    <t>EN_WOF_47_c01_CAN</t>
  </si>
  <si>
    <t>EN_WOF_47_c02_CAN</t>
  </si>
  <si>
    <t>EN_WOF_48_c01_CAN</t>
  </si>
  <si>
    <t>EN_WOF_48_c02_CAN</t>
  </si>
  <si>
    <t>EN_WOF_49_c01_CAN</t>
  </si>
  <si>
    <t>EN_WOF_49_c02_CAN</t>
  </si>
  <si>
    <t>EN_WOF_50_c01_CAN</t>
  </si>
  <si>
    <t>EN_WOF_50_c02_CAN</t>
  </si>
  <si>
    <t>EN_WOF_51_c01_CAN</t>
  </si>
  <si>
    <t>EN_WOF_51_c02_CAN</t>
  </si>
  <si>
    <t>EN_WOF_52_c01_CAN</t>
  </si>
  <si>
    <t>EN_WOF_52_c02_CAN</t>
  </si>
  <si>
    <t>EN_WOF_53_c01_CAN</t>
  </si>
  <si>
    <t>EN_WOF_53_c02_CAN</t>
  </si>
  <si>
    <t>EN_WOF_54_c01_CAN</t>
  </si>
  <si>
    <t>EN_WOF_54_c02_CAN</t>
  </si>
  <si>
    <t>EN_WOF_55_c01_CAN</t>
  </si>
  <si>
    <t>EN_WOF_55_c02_CAN</t>
  </si>
  <si>
    <t>EN_WOF_56_c01_CAN</t>
  </si>
  <si>
    <t>EN_WOF_56_c02_CAN</t>
  </si>
  <si>
    <t>EN_WOF_57_c01_CAN</t>
  </si>
  <si>
    <t>EN_WOF_57_c02_CAN</t>
  </si>
  <si>
    <t>EN_WOF_58_c01_CAN</t>
  </si>
  <si>
    <t>EN_WOF_58_c02_CAN</t>
  </si>
  <si>
    <t>EN_WOF_59_c01_CAN</t>
  </si>
  <si>
    <t>EN_WOF_59_c02_CAN</t>
  </si>
  <si>
    <t>EN_WOF_60_c01_CAN</t>
  </si>
  <si>
    <t>EN_WOF_60_c02_CAN</t>
  </si>
  <si>
    <t>EN_WOF_61_c01_CAN</t>
  </si>
  <si>
    <t>EN_WOF_61_c02_CAN</t>
  </si>
  <si>
    <t>EN_WOF_62_c02_CAN</t>
  </si>
  <si>
    <t>EN_WOF_30_c01_CHL</t>
  </si>
  <si>
    <t>EN_WOF_31_c02_CHL</t>
  </si>
  <si>
    <t>EN_WOF_32_c01_CHL</t>
  </si>
  <si>
    <t>EN_WOF_34_c01_CHL</t>
  </si>
  <si>
    <t>EN_WOF_35_c01_CHL</t>
  </si>
  <si>
    <t>EN_WOF_36_c01_CHL</t>
  </si>
  <si>
    <t>EN_WOF_37_c01_CHL</t>
  </si>
  <si>
    <t>EN_WOF_38_c01_CHL</t>
  </si>
  <si>
    <t>EN_WOF_40_c01_CHL</t>
  </si>
  <si>
    <t>EN_WOF_40_c02_CHL</t>
  </si>
  <si>
    <t>EN_WOF_42_c01_CHL</t>
  </si>
  <si>
    <t>EN_WOF_42_c02_CHL</t>
  </si>
  <si>
    <t>EN_WOF_43_c01_CHL</t>
  </si>
  <si>
    <t>EN_WOF_43_c02_CHL</t>
  </si>
  <si>
    <t>EN_WOF_44_c01_CHL</t>
  </si>
  <si>
    <t>EN_WOF_46_c01_CHL</t>
  </si>
  <si>
    <t>EN_WOF_46_c02_CHL</t>
  </si>
  <si>
    <t>EN_WOF_47_c01_CHL</t>
  </si>
  <si>
    <t>EN_WOF_48_c01_CHL</t>
  </si>
  <si>
    <t>EN_WOF_48_c02_CHL</t>
  </si>
  <si>
    <t>EN_WOF_49_c01_CHL</t>
  </si>
  <si>
    <t>EN_WOF_49_c02_CHL</t>
  </si>
  <si>
    <t>EN_WOF_50_c01_CHL</t>
  </si>
  <si>
    <t>EN_WOF_50_c02_CHL</t>
  </si>
  <si>
    <t>EN_WOF_51_c01_CHL</t>
  </si>
  <si>
    <t>EN_WOF_51_c02_CHL</t>
  </si>
  <si>
    <t>EN_WOF_52_c01_CHL</t>
  </si>
  <si>
    <t>EN_WOF_52_c02_CHL</t>
  </si>
  <si>
    <t>EN_WOF_53_c02_CHL</t>
  </si>
  <si>
    <t>EN_WOF_54_c01_CHL</t>
  </si>
  <si>
    <t>EN_WOF_54_c02_CHL</t>
  </si>
  <si>
    <t>EN_WOF_56_c01_CHL</t>
  </si>
  <si>
    <t>EN_WOF_56_c02_CHL</t>
  </si>
  <si>
    <t>EN_WOF_58_c02_CHL</t>
  </si>
  <si>
    <t>EN_WOF_59_c01_CHL</t>
  </si>
  <si>
    <t>EN_WOF_60_c01_CHL</t>
  </si>
  <si>
    <t>EN_WOF_61_c01_CHL</t>
  </si>
  <si>
    <t>EN_WOF_61_c02_CHL</t>
  </si>
  <si>
    <t>EN_WOF_62_c01_CHL</t>
  </si>
  <si>
    <t>EN_WOF_62_c02_CHL</t>
  </si>
  <si>
    <t>EN_WOF_63_c01_CHL</t>
  </si>
  <si>
    <t>EN_WOF_64_c01_CHL</t>
  </si>
  <si>
    <t>EN_WOF_64_c02_CHL</t>
  </si>
  <si>
    <t>EN_WOF_65_c01_CHL</t>
  </si>
  <si>
    <t>EN_WOF_65_c02_CHL</t>
  </si>
  <si>
    <t>EN_WOF_66_c01_CHL</t>
  </si>
  <si>
    <t>EN_WOF_66_c02_CHL</t>
  </si>
  <si>
    <t>EN_WOF_67_c01_CHL</t>
  </si>
  <si>
    <t>EN_WOF_67_c02_CHL</t>
  </si>
  <si>
    <t>EN_WOF_68_c01_CHL</t>
  </si>
  <si>
    <t>EN_WOF_68_c02_CHL</t>
  </si>
  <si>
    <t>EN_WOF_30_c02_CHN</t>
  </si>
  <si>
    <t>EN_WOF_31_c02_CHN</t>
  </si>
  <si>
    <t>EN_WOF_32_c02_CHN</t>
  </si>
  <si>
    <t>EN_WOF_33_c02_CHN</t>
  </si>
  <si>
    <t>EN_WOF_34_c02_CHN</t>
  </si>
  <si>
    <t>EN_WOF_35_c02_CHN</t>
  </si>
  <si>
    <t>EN_WOF_36_c02_CHN</t>
  </si>
  <si>
    <t>EN_WOF_37_c02_CHN</t>
  </si>
  <si>
    <t>EN_WOF_38_c02_CHN</t>
  </si>
  <si>
    <t>EN_WOF_39_c02_CHN</t>
  </si>
  <si>
    <t>EN_WOF_40_c02_CHN</t>
  </si>
  <si>
    <t>EN_WOF_41_c02_CHN</t>
  </si>
  <si>
    <t>EN_WOF_42_c02_CHN</t>
  </si>
  <si>
    <t>EN_WOF_43_c02_CHN</t>
  </si>
  <si>
    <t>EN_WOF_44_c02_CHN</t>
  </si>
  <si>
    <t>EN_WOF_45_c02_CHN</t>
  </si>
  <si>
    <t>EN_WOF_46_c02_CHN</t>
  </si>
  <si>
    <t>EN_WOF_47_c02_CHN</t>
  </si>
  <si>
    <t>EN_WOF_48_c02_CHN</t>
  </si>
  <si>
    <t>EN_WOF_49_c02_CHN</t>
  </si>
  <si>
    <t>EN_WOF_50_c02_CHN</t>
  </si>
  <si>
    <t>EN_WOF_51_c02_CHN</t>
  </si>
  <si>
    <t>EN_WOF_53_c02_CHN</t>
  </si>
  <si>
    <t>EN_WOF_54_c02_CHN</t>
  </si>
  <si>
    <t>EN_WOF_55_c02_CHN</t>
  </si>
  <si>
    <t>EN_WOF_56_c02_CHN</t>
  </si>
  <si>
    <t>EN_WOF_57_c02_CHN</t>
  </si>
  <si>
    <t>EN_WOF_58_c02_CHN</t>
  </si>
  <si>
    <t>EN_WOF_32_c02_COL</t>
  </si>
  <si>
    <t>EN_WOF_36_c02_COL</t>
  </si>
  <si>
    <t>EN_WOF_37_c02_COL</t>
  </si>
  <si>
    <t>EN_WOF_38_c02_COL</t>
  </si>
  <si>
    <t>EN_WOF_43_c02_COL</t>
  </si>
  <si>
    <t>EN_WOF_44_c02_COL</t>
  </si>
  <si>
    <t>EN_WOF_45_c02_COL</t>
  </si>
  <si>
    <t>EN_WOF_49_c02_COL</t>
  </si>
  <si>
    <t>EN_WOF_50_c02_COL</t>
  </si>
  <si>
    <t>EN_WOF_51_c02_COL</t>
  </si>
  <si>
    <t>EN_WOF_52_c02_COL</t>
  </si>
  <si>
    <t>EN_WOF_53_c02_COL</t>
  </si>
  <si>
    <t>EN_WOF_57_c02_COL</t>
  </si>
  <si>
    <t>EN_WOF_58_c02_COL</t>
  </si>
  <si>
    <t>EN_WOF_59_c02_COL</t>
  </si>
  <si>
    <t>EN_WOF_62_c02_COL</t>
  </si>
  <si>
    <t>EN_WOF_63_c02_COL</t>
  </si>
  <si>
    <t>EN_WOF_64_c02_COL</t>
  </si>
  <si>
    <t>EN_WOF_65_c02_COL</t>
  </si>
  <si>
    <t>EN_WOF_66_c02_COL</t>
  </si>
  <si>
    <t>EN_WOF_32_c02_CRI</t>
  </si>
  <si>
    <t>EN_WOF_45_c02_CRI</t>
  </si>
  <si>
    <t>EN_WOF_49_c02_CRI</t>
  </si>
  <si>
    <t>EN_WOF_52_c02_CRI</t>
  </si>
  <si>
    <t>EN_WOF_30_c02_CUB</t>
  </si>
  <si>
    <t>EN_WOF_31_c02_CUB</t>
  </si>
  <si>
    <t>EN_WOF_32_c02_CUB</t>
  </si>
  <si>
    <t>EN_WOF_33_c02_CUB</t>
  </si>
  <si>
    <t>EN_WOF_34_c02_CUB</t>
  </si>
  <si>
    <t>EN_WOF_35_c02_CUB</t>
  </si>
  <si>
    <t>EN_WOF_36_c02_CUB</t>
  </si>
  <si>
    <t>EN_WOF_37_c02_CUB</t>
  </si>
  <si>
    <t>EN_WOF_38_c02_CUB</t>
  </si>
  <si>
    <t>EN_WOF_49_c02_DEU</t>
  </si>
  <si>
    <t>EN_WOF_52_c02_DEU</t>
  </si>
  <si>
    <t>EN_WOF_30_c02_DJI</t>
  </si>
  <si>
    <t>EN_WOF_37_c02_DMA</t>
  </si>
  <si>
    <t>EN_WOF_48_c02_DNK</t>
  </si>
  <si>
    <t>EN_WOF_49_c02_DNK</t>
  </si>
  <si>
    <t>EN_WOF_50_c02_DNK</t>
  </si>
  <si>
    <t>EN_WOF_51_c02_DNK</t>
  </si>
  <si>
    <t>EN_WOF_52_c02_DNK</t>
  </si>
  <si>
    <t>EN_WOF_53_c02_DNK</t>
  </si>
  <si>
    <t>EN_WOF_54_c02_DNK</t>
  </si>
  <si>
    <t>EN_WOF_30_c02_DOM</t>
  </si>
  <si>
    <t>EN_WOF_32_c02_DOM</t>
  </si>
  <si>
    <t>EN_WOF_33_c02_DOM</t>
  </si>
  <si>
    <t>EN_WOF_34_c02_DOM</t>
  </si>
  <si>
    <t>EN_WOF_35_c02_DOM</t>
  </si>
  <si>
    <t>EN_WOF_36_c02_DOM</t>
  </si>
  <si>
    <t>EN_WOF_38_c02_DOM</t>
  </si>
  <si>
    <t>EN_WOF_39_c02_DOM</t>
  </si>
  <si>
    <t>EN_WOF_40_c02_DOM</t>
  </si>
  <si>
    <t>EN_WOF_41_c02_DOM</t>
  </si>
  <si>
    <t>EN_WOF_42_c02_DOM</t>
  </si>
  <si>
    <t>EN_WOF_44_c02_DOM</t>
  </si>
  <si>
    <t>EN_WOF_45_c02_DOM</t>
  </si>
  <si>
    <t>EN_WOF_56_c02_DOM</t>
  </si>
  <si>
    <t>EN_WOF_30_c02_DZA</t>
  </si>
  <si>
    <t>EN_WOF_31_c02_DZA</t>
  </si>
  <si>
    <t>EN_WOF_32_c02_DZA</t>
  </si>
  <si>
    <t>EN_WOF_34_c02_DZA</t>
  </si>
  <si>
    <t>EN_WOF_35_c02_DZA</t>
  </si>
  <si>
    <t>EN_WOF_36_c02_DZA</t>
  </si>
  <si>
    <t>EN_WOF_37_c02_DZA</t>
  </si>
  <si>
    <t>EN_WOF_32_c02_EGY</t>
  </si>
  <si>
    <t>EN_WOF_33_c02_EGY</t>
  </si>
  <si>
    <t>EN_WOF_34_c02_EGY</t>
  </si>
  <si>
    <t>EN_WOF_35_c02_EGY</t>
  </si>
  <si>
    <t>EN_WOF_36_c02_EGY</t>
  </si>
  <si>
    <t>EN_WOF_37_c02_EGY</t>
  </si>
  <si>
    <t>EN_WOF_38_c02_EGY</t>
  </si>
  <si>
    <t>EN_WOF_39_c02_EGY</t>
  </si>
  <si>
    <t>EN_WOF_40_c02_EGY</t>
  </si>
  <si>
    <t>EN_WOF_41_c02_EGY</t>
  </si>
  <si>
    <t>EN_WOF_43_c02_EGY</t>
  </si>
  <si>
    <t>EN_WOF_44_c02_EGY</t>
  </si>
  <si>
    <t>EN_WOF_46_c02_EGY</t>
  </si>
  <si>
    <t>EN_WOF_50_c02_EGY</t>
  </si>
  <si>
    <t>EN_WOF_52_c02_EGY</t>
  </si>
  <si>
    <t>EN_WOF_53_c02_EGY</t>
  </si>
  <si>
    <t>EN_WOF_54_c02_EGY</t>
  </si>
  <si>
    <t>EN_WOF_57_c02_EGY</t>
  </si>
  <si>
    <t>EN_WOF_58_c02_EGY</t>
  </si>
  <si>
    <t>EN_WOF_59_c02_EGY</t>
  </si>
  <si>
    <t>EN_WOF_60_c02_EGY</t>
  </si>
  <si>
    <t>EN_WOF_61_c02_EGY</t>
  </si>
  <si>
    <t>EN_WOF_64_c02_EGY</t>
  </si>
  <si>
    <t>EN_WOF_31_c02_ERI</t>
  </si>
  <si>
    <t>EN_WOF_33_c02_ERI</t>
  </si>
  <si>
    <t>EN_WOF_35_c02_ERI</t>
  </si>
  <si>
    <t>EN_WOF_37_c02_ERI</t>
  </si>
  <si>
    <t>EN_WOF_42_c02_ERI</t>
  </si>
  <si>
    <t>EN_WOF_46_c02_ERI</t>
  </si>
  <si>
    <t>EN_WOF_48_c02_ERI</t>
  </si>
  <si>
    <t>EN_WOF_51_c02_ERI</t>
  </si>
  <si>
    <t>EN_WOF_30_c02_ESP</t>
  </si>
  <si>
    <t>EN_WOF_31_c02_ESP</t>
  </si>
  <si>
    <t>EN_WOF_32_c02_ESP</t>
  </si>
  <si>
    <t>EN_WOF_33_c02_ESP</t>
  </si>
  <si>
    <t>EN_WOF_34_c02_ESP</t>
  </si>
  <si>
    <t>EN_WOF_35_c02_ESP</t>
  </si>
  <si>
    <t>EN_WOF_36_c02_ESP</t>
  </si>
  <si>
    <t>EN_WOF_37_c02_ESP</t>
  </si>
  <si>
    <t>EN_WOF_38_c02_ESP</t>
  </si>
  <si>
    <t>EN_WOF_39_c02_ESP</t>
  </si>
  <si>
    <t>EN_WOF_40_c02_ESP</t>
  </si>
  <si>
    <t>EN_WOF_41_c02_ESP</t>
  </si>
  <si>
    <t>EN_WOF_42_c02_ESP</t>
  </si>
  <si>
    <t>EN_WOF_44_c02_ESP</t>
  </si>
  <si>
    <t>EN_WOF_45_c02_ESP</t>
  </si>
  <si>
    <t>EN_WOF_46_c02_ESP</t>
  </si>
  <si>
    <t>EN_WOF_47_c02_ESP</t>
  </si>
  <si>
    <t>EN_WOF_48_c02_ESP</t>
  </si>
  <si>
    <t>EN_WOF_49_c02_ESP</t>
  </si>
  <si>
    <t>EN_WOF_46_c02_EST</t>
  </si>
  <si>
    <t>EN_WOF_47_c02_EST</t>
  </si>
  <si>
    <t>EN_WOF_48_c02_EST</t>
  </si>
  <si>
    <t>EN_WOF_49_c02_EST</t>
  </si>
  <si>
    <t>EN_WOF_42_c02_FIN</t>
  </si>
  <si>
    <t>EN_WOF_43_c02_FIN</t>
  </si>
  <si>
    <t>EN_WOF_44_c02_FIN</t>
  </si>
  <si>
    <t>EN_WOF_45_c02_FIN</t>
  </si>
  <si>
    <t>EN_WOF_46_c02_FIN</t>
  </si>
  <si>
    <t>EN_WOF_47_c02_FIN</t>
  </si>
  <si>
    <t>EN_WOF_48_c02_FIN</t>
  </si>
  <si>
    <t>EN_WOF_30_c02_FRA</t>
  </si>
  <si>
    <t>EN_WOF_31_c01_FRA</t>
  </si>
  <si>
    <t>EN_WOF_31_c02_FRA</t>
  </si>
  <si>
    <t>EN_WOF_32_c01_FRA</t>
  </si>
  <si>
    <t>EN_WOF_32_c02_FRA</t>
  </si>
  <si>
    <t>EN_WOF_33_c02_FRA</t>
  </si>
  <si>
    <t>EN_WOF_34_c01_FRA</t>
  </si>
  <si>
    <t>EN_WOF_34_c02_FRA</t>
  </si>
  <si>
    <t>EN_WOF_36_c01_FRA</t>
  </si>
  <si>
    <t>EN_WOF_36_c02_FRA</t>
  </si>
  <si>
    <t>EN_WOF_37_c02_FRA</t>
  </si>
  <si>
    <t>EN_WOF_38_c01_FRA</t>
  </si>
  <si>
    <t>EN_WOF_38_c02_FRA</t>
  </si>
  <si>
    <t>EN_WOF_39_c01_FRA</t>
  </si>
  <si>
    <t>EN_WOF_39_c02_FRA</t>
  </si>
  <si>
    <t>EN_WOF_40_c01_FRA</t>
  </si>
  <si>
    <t>EN_WOF_40_c02_FRA</t>
  </si>
  <si>
    <t>EN_WOF_41_c01_FRA</t>
  </si>
  <si>
    <t>EN_WOF_41_c02_FRA</t>
  </si>
  <si>
    <t>EN_WOF_42_c01_FRA</t>
  </si>
  <si>
    <t>EN_WOF_42_c02_FRA</t>
  </si>
  <si>
    <t>EN_WOF_43_c01_FRA</t>
  </si>
  <si>
    <t>EN_WOF_43_c02_FRA</t>
  </si>
  <si>
    <t>EN_WOF_44_c01_FRA</t>
  </si>
  <si>
    <t>EN_WOF_44_c02_FRA</t>
  </si>
  <si>
    <t>EN_WOF_45_c01_FRA</t>
  </si>
  <si>
    <t>EN_WOF_45_c02_FRA</t>
  </si>
  <si>
    <t>EN_WOF_46_c01_FRA</t>
  </si>
  <si>
    <t>EN_WOF_46_c02_FRA</t>
  </si>
  <si>
    <t>EN_WOF_47_c01_FRA</t>
  </si>
  <si>
    <t>EN_WOF_47_c02_FRA</t>
  </si>
  <si>
    <t>EN_WOF_48_c01_FRA</t>
  </si>
  <si>
    <t>EN_WOF_48_c02_FRA</t>
  </si>
  <si>
    <t>EN_WOF_49_c01_FRA</t>
  </si>
  <si>
    <t>EN_WOF_49_c02_FRA</t>
  </si>
  <si>
    <t>EN_WOF_41_c02_GBR</t>
  </si>
  <si>
    <t>EN_WOF_42_c02_GBR</t>
  </si>
  <si>
    <t>EN_WOF_45_c02_GBR</t>
  </si>
  <si>
    <t>EN_WOF_46_c02_GBR</t>
  </si>
  <si>
    <t>EN_WOF_47_c02_GBR</t>
  </si>
  <si>
    <t>EN_WOF_48_c02_GBR</t>
  </si>
  <si>
    <t>EN_WOF_49_c02_GBR</t>
  </si>
  <si>
    <t>EN_WOF_50_c02_GBR</t>
  </si>
  <si>
    <t>EN_WOF_51_c02_GBR</t>
  </si>
  <si>
    <t>EN_WOF_52_c02_GBR</t>
  </si>
  <si>
    <t>EN_WOF_53_c02_GBR</t>
  </si>
  <si>
    <t>EN_WOF_54_c02_GBR</t>
  </si>
  <si>
    <t>EN_WOF_55_c02_GBR</t>
  </si>
  <si>
    <t>EN_WOF_56_c02_GBR</t>
  </si>
  <si>
    <t>EN_WOF_57_c02_GBR</t>
  </si>
  <si>
    <t>EN_WOF_58_c02_GBR</t>
  </si>
  <si>
    <t>EN_WOF_30_c02_GRC</t>
  </si>
  <si>
    <t>EN_WOF_31_c02_GRC</t>
  </si>
  <si>
    <t>EN_WOF_32_c02_GRC</t>
  </si>
  <si>
    <t>EN_WOF_33_c02_GRC</t>
  </si>
  <si>
    <t>EN_WOF_34_c02_GRC</t>
  </si>
  <si>
    <t>EN_WOF_35_c02_GRC</t>
  </si>
  <si>
    <t>EN_WOF_36_c02_GRC</t>
  </si>
  <si>
    <t>EN_WOF_37_c02_GRC</t>
  </si>
  <si>
    <t>EN_WOF_38_c02_GRC</t>
  </si>
  <si>
    <t>EN_WOF_39_c02_GRC</t>
  </si>
  <si>
    <t>EN_WOF_40_c02_GRC</t>
  </si>
  <si>
    <t>EN_WOF_41_c02_GRC</t>
  </si>
  <si>
    <t>EN_WOF_42_c02_GRC</t>
  </si>
  <si>
    <t>EN_WOF_43_c02_GRC</t>
  </si>
  <si>
    <t>EN_WOF_44_c02_GRC</t>
  </si>
  <si>
    <t>EN_WOF_45_c02_GRC</t>
  </si>
  <si>
    <t>EN_WOF_46_c02_GRC</t>
  </si>
  <si>
    <t>EN_WOF_47_c02_GRC</t>
  </si>
  <si>
    <t>EN_WOF_49_c02_GRC</t>
  </si>
  <si>
    <t>EN_WOF_50_c02_GRC</t>
  </si>
  <si>
    <t>EN_WOF_52_c02_GRC</t>
  </si>
  <si>
    <t>EN_WOF_30_c02_GRD</t>
  </si>
  <si>
    <t>EN_WOF_32_c02_GRD</t>
  </si>
  <si>
    <t>EN_WOF_33_c02_GRD</t>
  </si>
  <si>
    <t>EN_WOF_35_c02_GRD</t>
  </si>
  <si>
    <t>EN_WOF_37_c02_GRD</t>
  </si>
  <si>
    <t>EN_WOF_31_c02_HND</t>
  </si>
  <si>
    <t>EN_WOF_32_c02_HND</t>
  </si>
  <si>
    <t>EN_WOF_34_c02_HND</t>
  </si>
  <si>
    <t>EN_WOF_35_c02_HND</t>
  </si>
  <si>
    <t>EN_WOF_30_c02_HRV</t>
  </si>
  <si>
    <t>EN_WOF_32_c02_HRV</t>
  </si>
  <si>
    <t>EN_WOF_33_c02_HRV</t>
  </si>
  <si>
    <t>EN_WOF_34_c02_HRV</t>
  </si>
  <si>
    <t>EN_WOF_33_c02_HTI</t>
  </si>
  <si>
    <t>EN_WOF_35_c02_HTI</t>
  </si>
  <si>
    <t>EN_WOF_37_c02_HTI</t>
  </si>
  <si>
    <t>EN_WOF_40_c02_HTI</t>
  </si>
  <si>
    <t>EN_WOF_30_c02_IDN</t>
  </si>
  <si>
    <t>EN_WOF_31_c02_IDN</t>
  </si>
  <si>
    <t>EN_WOF_32_c02_IDN</t>
  </si>
  <si>
    <t>EN_WOF_33_c02_IDN</t>
  </si>
  <si>
    <t>EN_WOF_34_c02_IDN</t>
  </si>
  <si>
    <t>EN_WOF_30_c02_IND</t>
  </si>
  <si>
    <t>EN_WOF_31_c02_IND</t>
  </si>
  <si>
    <t>EN_WOF_32_c02_IND</t>
  </si>
  <si>
    <t>EN_WOF_33_c02_IND</t>
  </si>
  <si>
    <t>EN_WOF_34_c02_IND</t>
  </si>
  <si>
    <t>EN_WOF_35_c02_IND</t>
  </si>
  <si>
    <t>EN_WOF_36_c02_IND</t>
  </si>
  <si>
    <t>EN_WOF_37_c02_IND</t>
  </si>
  <si>
    <t>EN_WOF_40_c02_IND</t>
  </si>
  <si>
    <t>EN_WOF_42_c02_IND</t>
  </si>
  <si>
    <t>EN_WOF_43_c02_IND</t>
  </si>
  <si>
    <t>EN_WOF_47_c02_IND</t>
  </si>
  <si>
    <t>EN_WOF_48_c02_IND</t>
  </si>
  <si>
    <t>EN_WOF_49_c02_IRL</t>
  </si>
  <si>
    <t>EN_WOF_50_c01_IRL</t>
  </si>
  <si>
    <t>EN_WOF_50_c02_IRL</t>
  </si>
  <si>
    <t>EN_WOF_51_c01_IRL</t>
  </si>
  <si>
    <t>EN_WOF_51_c02_IRL</t>
  </si>
  <si>
    <t>EN_WOF_52_c01_IRL</t>
  </si>
  <si>
    <t>EN_WOF_52_c02_IRL</t>
  </si>
  <si>
    <t>EN_WOF_53_c01_IRL</t>
  </si>
  <si>
    <t>EN_WOF_53_c02_IRL</t>
  </si>
  <si>
    <t>EN_WOF_54_c01_IRL</t>
  </si>
  <si>
    <t>EN_WOF_54_c02_IRL</t>
  </si>
  <si>
    <t>EN_WOF_55_c02_IRL</t>
  </si>
  <si>
    <t>EN_WOF_56_c02_IRL</t>
  </si>
  <si>
    <t>EN_WOF_57_c02_IRL</t>
  </si>
  <si>
    <t>EN_WOF_34_c02_ISL</t>
  </si>
  <si>
    <t>EN_WOF_35_c02_ISL</t>
  </si>
  <si>
    <t>EN_WOF_36_c02_ISL</t>
  </si>
  <si>
    <t>EN_WOF_37_c02_ISL</t>
  </si>
  <si>
    <t>EN_WOF_38_c02_ISL</t>
  </si>
  <si>
    <t>EN_WOF_39_c02_ISL</t>
  </si>
  <si>
    <t>EN_WOF_40_c02_ISL</t>
  </si>
  <si>
    <t>EN_WOF_41_c02_ISL</t>
  </si>
  <si>
    <t>EN_WOF_42_c02_ISL</t>
  </si>
  <si>
    <t>EN_WOF_43_c02_ISL</t>
  </si>
  <si>
    <t>EN_WOF_44_c02_ISL</t>
  </si>
  <si>
    <t>EN_WOF_45_c02_ISL</t>
  </si>
  <si>
    <t>EN_WOF_46_c02_ISL</t>
  </si>
  <si>
    <t>EN_WOF_47_c02_ISL</t>
  </si>
  <si>
    <t>EN_WOF_48_c02_ISL</t>
  </si>
  <si>
    <t>EN_WOF_49_c02_ISL</t>
  </si>
  <si>
    <t>EN_WOF_50_c02_ISL</t>
  </si>
  <si>
    <t>EN_WOF_51_c02_ISL</t>
  </si>
  <si>
    <t>EN_WOF_52_c02_ISL</t>
  </si>
  <si>
    <t>EN_WOF_53_c02_ISL</t>
  </si>
  <si>
    <t>EN_WOF_54_c02_ISL</t>
  </si>
  <si>
    <t>EN_WOF_55_c02_ISL</t>
  </si>
  <si>
    <t>EN_WOF_56_c02_ISL</t>
  </si>
  <si>
    <t>EN_WOF_57_c02_ISL</t>
  </si>
  <si>
    <t>EN_WOF_58_c02_ISL</t>
  </si>
  <si>
    <t>EN_WOF_30_c02_ITA</t>
  </si>
  <si>
    <t>EN_WOF_31_c02_ITA</t>
  </si>
  <si>
    <t>EN_WOF_32_c02_ITA</t>
  </si>
  <si>
    <t>EN_WOF_33_c02_ITA</t>
  </si>
  <si>
    <t>EN_WOF_34_c02_ITA</t>
  </si>
  <si>
    <t>EN_WOF_35_c02_ITA</t>
  </si>
  <si>
    <t>EN_WOF_36_c02_ITA</t>
  </si>
  <si>
    <t>EN_WOF_37_c02_ITA</t>
  </si>
  <si>
    <t>EN_WOF_39_c02_ITA</t>
  </si>
  <si>
    <t>EN_WOF_30_c02_JAM</t>
  </si>
  <si>
    <t>EN_WOF_31_c02_JAM</t>
  </si>
  <si>
    <t>EN_WOF_32_c02_JAM</t>
  </si>
  <si>
    <t>EN_WOF_33_c02_JAM</t>
  </si>
  <si>
    <t>EN_WOF_34_c02_JAM</t>
  </si>
  <si>
    <t>EN_WOF_35_c02_JAM</t>
  </si>
  <si>
    <t>EN_WOF_36_c02_JAM</t>
  </si>
  <si>
    <t>EN_WOF_37_c02_JAM</t>
  </si>
  <si>
    <t>EN_WOF_38_c02_JAM</t>
  </si>
  <si>
    <t>EN_WOF_39_c02_JAM</t>
  </si>
  <si>
    <t>EN_WOF_40_c02_JAM</t>
  </si>
  <si>
    <t>EN_WOF_42_c02_JAM</t>
  </si>
  <si>
    <t>EN_WOF_43_c02_JAM</t>
  </si>
  <si>
    <t>EN_WOF_37_c02_JPN</t>
  </si>
  <si>
    <t>EN_WOF_38_c01_JPN</t>
  </si>
  <si>
    <t>EN_WOF_38_c02_JPN</t>
  </si>
  <si>
    <t>EN_WOF_39_c01_JPN</t>
  </si>
  <si>
    <t>EN_WOF_30_c02_KEN</t>
  </si>
  <si>
    <t>EN_WOF_31_c02_KEN</t>
  </si>
  <si>
    <t>EN_WOF_32_c02_KEN</t>
  </si>
  <si>
    <t>EN_WOF_31_c02_KNA</t>
  </si>
  <si>
    <t>EN_WOF_35_c02_KNA</t>
  </si>
  <si>
    <t>EN_WOF_40_c02_KNA</t>
  </si>
  <si>
    <t>EN_WOF_31_c01_KOR</t>
  </si>
  <si>
    <t>EN_WOF_32_c01_KOR</t>
  </si>
  <si>
    <t>EN_WOF_32_c02_KOR</t>
  </si>
  <si>
    <t>EN_WOF_33_c01_KOR</t>
  </si>
  <si>
    <t>EN_WOF_33_c02_KOR</t>
  </si>
  <si>
    <t>EN_WOF_34_c01_KOR</t>
  </si>
  <si>
    <t>EN_WOF_34_c02_KOR</t>
  </si>
  <si>
    <t>EN_WOF_35_c01_KOR</t>
  </si>
  <si>
    <t>EN_WOF_35_c02_KOR</t>
  </si>
  <si>
    <t>EN_WOF_36_c01_KOR</t>
  </si>
  <si>
    <t>EN_WOF_36_c02_KOR</t>
  </si>
  <si>
    <t>EN_WOF_37_c01_KOR</t>
  </si>
  <si>
    <t>EN_WOF_37_c02_KOR</t>
  </si>
  <si>
    <t>EN_WOF_38_c01_KOR</t>
  </si>
  <si>
    <t>EN_WOF_38_c02_KOR</t>
  </si>
  <si>
    <t>EN_WOF_39_c01_KOR</t>
  </si>
  <si>
    <t>EN_WOF_39_c02_KOR</t>
  </si>
  <si>
    <t>EN_WOF_40_c01_KOR</t>
  </si>
  <si>
    <t>EN_WOF_30_c02_LBY</t>
  </si>
  <si>
    <t>EN_WOF_31_c02_LBY</t>
  </si>
  <si>
    <t>EN_WOF_32_c02_LBY</t>
  </si>
  <si>
    <t>EN_WOF_33_c02_LBY</t>
  </si>
  <si>
    <t>EN_WOF_34_c02_LBY</t>
  </si>
  <si>
    <t>EN_WOF_35_c02_LBY</t>
  </si>
  <si>
    <t>EN_WOF_37_c02_LBY</t>
  </si>
  <si>
    <t>EN_WOF_38_c02_LBY</t>
  </si>
  <si>
    <t>EN_WOF_41_c02_LBY</t>
  </si>
  <si>
    <t>EN_WOF_31_c02_LCA</t>
  </si>
  <si>
    <t>EN_WOF_32_c02_LCA</t>
  </si>
  <si>
    <t>EN_WOF_33_c02_LCA</t>
  </si>
  <si>
    <t>EN_WOF_31_c02_LKA</t>
  </si>
  <si>
    <t>EN_WOF_32_c02_LKA</t>
  </si>
  <si>
    <t>EN_WOF_33_c02_LKA</t>
  </si>
  <si>
    <t>EN_WOF_34_c02_LKA</t>
  </si>
  <si>
    <t>EN_WOF_36_c02_LKA</t>
  </si>
  <si>
    <t>EN_WOF_37_c02_LKA</t>
  </si>
  <si>
    <t>EN_WOF_39_c02_LKA</t>
  </si>
  <si>
    <t>EN_WOF_42_c02_LKA</t>
  </si>
  <si>
    <t>EN_WOF_43_c02_LKA</t>
  </si>
  <si>
    <t>EN_WOF_44_c02_LKA</t>
  </si>
  <si>
    <t>EN_WOF_46_c02_LKA</t>
  </si>
  <si>
    <t>EN_WOF_48_c02_LTU</t>
  </si>
  <si>
    <t>EN_WOF_49_c02_LTU</t>
  </si>
  <si>
    <t>EN_WOF_47_c02_LVA</t>
  </si>
  <si>
    <t>EN_WOF_48_c02_LVA</t>
  </si>
  <si>
    <t>EN_WOF_49_c02_LVA</t>
  </si>
  <si>
    <t>EN_WOF_30_c02_MAR</t>
  </si>
  <si>
    <t>EN_WOF_31_c02_MAR</t>
  </si>
  <si>
    <t>EN_WOF_33_c02_MAR</t>
  </si>
  <si>
    <t>EN_WOF_34_c02_MAR</t>
  </si>
  <si>
    <t>EN_WOF_35_c02_MAR</t>
  </si>
  <si>
    <t>EN_WOF_36_c02_MAR</t>
  </si>
  <si>
    <t>EN_WOF_37_c02_MAR</t>
  </si>
  <si>
    <t>EN_WOF_38_c02_MAR</t>
  </si>
  <si>
    <t>EN_WOF_39_c02_MAR</t>
  </si>
  <si>
    <t>EN_WOF_41_c02_MAR</t>
  </si>
  <si>
    <t>EN_WOF_42_c02_MAR</t>
  </si>
  <si>
    <t>EN_WOF_44_c02_MAR</t>
  </si>
  <si>
    <t>EN_WOF_45_c02_MAR</t>
  </si>
  <si>
    <t>EN_WOF_49_c02_MAR</t>
  </si>
  <si>
    <t>EN_WOF_50_c02_MAR</t>
  </si>
  <si>
    <t>EN_WOF_51_c02_MAR</t>
  </si>
  <si>
    <t>EN_WOF_32_c02_MDG</t>
  </si>
  <si>
    <t>EN_WOF_35_c02_MDG</t>
  </si>
  <si>
    <t>EN_WOF_36_c02_MDG</t>
  </si>
  <si>
    <t>EN_WOF_39_c02_MDG</t>
  </si>
  <si>
    <t>EN_WOF_41_c02_MDG</t>
  </si>
  <si>
    <t>EN_WOF_42_c02_MDG</t>
  </si>
  <si>
    <t>EN_WOF_44_c02_MDG</t>
  </si>
  <si>
    <t>EN_WOF_46_c02_MDG</t>
  </si>
  <si>
    <t>EN_WOF_47_c02_MDG</t>
  </si>
  <si>
    <t>EN_WOF_48_c02_MDG</t>
  </si>
  <si>
    <t>EN_WOF_49_c02_MDG</t>
  </si>
  <si>
    <t>EN_WOF_50_c02_MDG</t>
  </si>
  <si>
    <t>EN_WOF_51_c02_MDG</t>
  </si>
  <si>
    <t>EN_WOF_52_c02_MDG</t>
  </si>
  <si>
    <t>EN_WOF_53_c02_MDG</t>
  </si>
  <si>
    <t>EN_WOF_55_c02_MDG</t>
  </si>
  <si>
    <t>EN_WOF_56_c02_MDG</t>
  </si>
  <si>
    <t>EN_WOF_57_c02_MDG</t>
  </si>
  <si>
    <t>EN_WOF_58_c02_MDG</t>
  </si>
  <si>
    <t>EN_WOF_59_c02_MDG</t>
  </si>
  <si>
    <t>EN_WOF_30_c02_MEX</t>
  </si>
  <si>
    <t>EN_WOF_31_c02_MEX</t>
  </si>
  <si>
    <t>EN_WOF_32_c02_MEX</t>
  </si>
  <si>
    <t>EN_WOF_33_c02_MEX</t>
  </si>
  <si>
    <t>EN_WOF_34_c02_MEX</t>
  </si>
  <si>
    <t>EN_WOF_35_c02_MEX</t>
  </si>
  <si>
    <t>EN_WOF_36_c02_MEX</t>
  </si>
  <si>
    <t>EN_WOF_37_c02_MEX</t>
  </si>
  <si>
    <t>EN_WOF_38_c02_MEX</t>
  </si>
  <si>
    <t>EN_WOF_39_c02_MEX</t>
  </si>
  <si>
    <t>EN_WOF_41_c02_MEX</t>
  </si>
  <si>
    <t>EN_WOF_42_c02_MEX</t>
  </si>
  <si>
    <t>EN_WOF_44_c02_MEX</t>
  </si>
  <si>
    <t>EN_WOF_49_c02_MEX</t>
  </si>
  <si>
    <t>EN_WOF_30_c02_MLT</t>
  </si>
  <si>
    <t>EN_WOF_31_c02_MLT</t>
  </si>
  <si>
    <t>EN_WOF_30_c02_MOZ</t>
  </si>
  <si>
    <t>EN_WOF_31_c02_MOZ</t>
  </si>
  <si>
    <t>EN_WOF_32_c02_MOZ</t>
  </si>
  <si>
    <t>EN_WOF_33_c02_MOZ</t>
  </si>
  <si>
    <t>EN_WOF_34_c02_MOZ</t>
  </si>
  <si>
    <t>EN_WOF_35_c02_MOZ</t>
  </si>
  <si>
    <t>EN_WOF_37_c02_MOZ</t>
  </si>
  <si>
    <t>EN_WOF_39_c02_MOZ</t>
  </si>
  <si>
    <t>EN_WOF_38_c02_MRT</t>
  </si>
  <si>
    <t>EN_WOF_39_c02_MRT</t>
  </si>
  <si>
    <t>EN_WOF_41_c02_MRT</t>
  </si>
  <si>
    <t>EN_WOF_45_c02_MRT</t>
  </si>
  <si>
    <t>EN_WOF_46_c02_MRT</t>
  </si>
  <si>
    <t>EN_WOF_47_c02_MRT</t>
  </si>
  <si>
    <t>EN_WOF_48_c02_MRT</t>
  </si>
  <si>
    <t>EN_WOF_49_c02_MRT</t>
  </si>
  <si>
    <t>EN_WOF_50_c02_MRT</t>
  </si>
  <si>
    <t>EN_WOF_52_c02_MRT</t>
  </si>
  <si>
    <t>EN_WOF_53_c02_MRT</t>
  </si>
  <si>
    <t>EN_WOF_54_c02_MRT</t>
  </si>
  <si>
    <t>EN_WOF_55_c02_MRT</t>
  </si>
  <si>
    <t>EN_WOF_58_c02_MRT</t>
  </si>
  <si>
    <t>EN_WOF_60_c02_MRT</t>
  </si>
  <si>
    <t>EN_WOF_62_c02_MRT</t>
  </si>
  <si>
    <t>EN_WOF_64_c02_MRT</t>
  </si>
  <si>
    <t>EN_WOF_33_c02_NAM</t>
  </si>
  <si>
    <t>EN_WOF_34_c02_NAM</t>
  </si>
  <si>
    <t>EN_WOF_36_c02_NAM</t>
  </si>
  <si>
    <t>EN_WOF_37_c02_NAM</t>
  </si>
  <si>
    <t>EN_WOF_38_c02_NAM</t>
  </si>
  <si>
    <t>EN_WOF_39_c02_NAM</t>
  </si>
  <si>
    <t>EN_WOF_40_c02_NAM</t>
  </si>
  <si>
    <t>EN_WOF_41_c02_NAM</t>
  </si>
  <si>
    <t>EN_WOF_42_c02_NAM</t>
  </si>
  <si>
    <t>EN_WOF_43_c02_NAM</t>
  </si>
  <si>
    <t>EN_WOF_44_c02_NAM</t>
  </si>
  <si>
    <t>EN_WOF_45_c02_NAM</t>
  </si>
  <si>
    <t>EN_WOF_46_c02_NAM</t>
  </si>
  <si>
    <t>EN_WOF_47_c02_NAM</t>
  </si>
  <si>
    <t>EN_WOF_48_c02_NAM</t>
  </si>
  <si>
    <t>EN_WOF_49_c02_NAM</t>
  </si>
  <si>
    <t>EN_WOF_50_c02_NAM</t>
  </si>
  <si>
    <t>EN_WOF_51_c02_NAM</t>
  </si>
  <si>
    <t>EN_WOF_52_c02_NAM</t>
  </si>
  <si>
    <t>EN_WOF_53_c02_NAM</t>
  </si>
  <si>
    <t>EN_WOF_54_c02_NAM</t>
  </si>
  <si>
    <t>EN_WOF_55_c02_NAM</t>
  </si>
  <si>
    <t>EN_WOF_56_c02_NAM</t>
  </si>
  <si>
    <t>EN_WOF_57_c02_NAM</t>
  </si>
  <si>
    <t>EN_WOF_59_c02_NAM</t>
  </si>
  <si>
    <t>EN_WOF_60_c02_NAM</t>
  </si>
  <si>
    <t>EN_WOF_30_c02_NIC</t>
  </si>
  <si>
    <t>EN_WOF_31_c02_NIC</t>
  </si>
  <si>
    <t>EN_WOF_33_c02_NIC</t>
  </si>
  <si>
    <t>EN_WOF_35_c02_NIC</t>
  </si>
  <si>
    <t>EN_WOF_36_c02_NIC</t>
  </si>
  <si>
    <t>EN_WOF_38_c02_NIC</t>
  </si>
  <si>
    <t>EN_WOF_41_c02_NIC</t>
  </si>
  <si>
    <t>EN_WOF_48_c02_NIC</t>
  </si>
  <si>
    <t>EN_WOF_51_c02_NIC</t>
  </si>
  <si>
    <t>EN_WOF_52_c02_NIC</t>
  </si>
  <si>
    <t>EN_WOF_50_c02_NLD</t>
  </si>
  <si>
    <t>EN_WOF_30_c02_NOR</t>
  </si>
  <si>
    <t>EN_WOF_31_c02_NOR</t>
  </si>
  <si>
    <t>EN_WOF_32_c02_NOR</t>
  </si>
  <si>
    <t>EN_WOF_33_c02_NOR</t>
  </si>
  <si>
    <t>EN_WOF_34_c02_NOR</t>
  </si>
  <si>
    <t>EN_WOF_35_c02_NOR</t>
  </si>
  <si>
    <t>EN_WOF_36_c02_NOR</t>
  </si>
  <si>
    <t>EN_WOF_37_c02_NOR</t>
  </si>
  <si>
    <t>EN_WOF_38_c02_NOR</t>
  </si>
  <si>
    <t>EN_WOF_39_c02_NOR</t>
  </si>
  <si>
    <t>EN_WOF_40_c02_NOR</t>
  </si>
  <si>
    <t>EN_WOF_41_c02_NOR</t>
  </si>
  <si>
    <t>EN_WOF_42_c02_NOR</t>
  </si>
  <si>
    <t>EN_WOF_43_c02_NOR</t>
  </si>
  <si>
    <t>EN_WOF_44_c02_NOR</t>
  </si>
  <si>
    <t>EN_WOF_45_c02_NOR</t>
  </si>
  <si>
    <t>EN_WOF_46_c02_NOR</t>
  </si>
  <si>
    <t>EN_WOF_47_c02_NOR</t>
  </si>
  <si>
    <t>EN_WOF_48_c02_NOR</t>
  </si>
  <si>
    <t>EN_WOF_49_c02_NOR</t>
  </si>
  <si>
    <t>EN_WOF_50_c02_NOR</t>
  </si>
  <si>
    <t>EN_WOF_51_c02_NOR</t>
  </si>
  <si>
    <t>EN_WOF_52_c02_NOR</t>
  </si>
  <si>
    <t>EN_WOF_53_c02_NOR</t>
  </si>
  <si>
    <t>EN_WOF_54_c02_NOR</t>
  </si>
  <si>
    <t>EN_WOF_32_c02_OMN</t>
  </si>
  <si>
    <t>EN_WOF_33_c02_OMN</t>
  </si>
  <si>
    <t>EN_WOF_34_c02_OMN</t>
  </si>
  <si>
    <t>EN_WOF_35_c02_OMN</t>
  </si>
  <si>
    <t>EN_WOF_36_c02_OMN</t>
  </si>
  <si>
    <t>EN_WOF_37_c02_OMN</t>
  </si>
  <si>
    <t>EN_WOF_38_c02_OMN</t>
  </si>
  <si>
    <t>EN_WOF_39_c02_OMN</t>
  </si>
  <si>
    <t>EN_WOF_40_c02_OMN</t>
  </si>
  <si>
    <t>EN_WOF_41_c02_OMN</t>
  </si>
  <si>
    <t>EN_WOF_42_c02_OMN</t>
  </si>
  <si>
    <t>EN_WOF_43_c02_OMN</t>
  </si>
  <si>
    <t>EN_WOF_44_c02_OMN</t>
  </si>
  <si>
    <t>EN_WOF_49_c02_OMN</t>
  </si>
  <si>
    <t>EN_WOF_31_c02_PAN</t>
  </si>
  <si>
    <t>EN_WOF_30_c02_PER</t>
  </si>
  <si>
    <t>EN_WOF_31_c02_PER</t>
  </si>
  <si>
    <t>EN_WOF_32_c02_PER</t>
  </si>
  <si>
    <t>EN_WOF_33_c02_PER</t>
  </si>
  <si>
    <t>EN_WOF_34_c02_PER</t>
  </si>
  <si>
    <t>EN_WOF_35_c02_PER</t>
  </si>
  <si>
    <t>EN_WOF_36_c02_PER</t>
  </si>
  <si>
    <t>EN_WOF_37_c02_PER</t>
  </si>
  <si>
    <t>EN_WOF_38_c02_PER</t>
  </si>
  <si>
    <t>EN_WOF_40_c02_PER</t>
  </si>
  <si>
    <t>EN_WOF_41_c02_PER</t>
  </si>
  <si>
    <t>EN_WOF_42_c02_PER</t>
  </si>
  <si>
    <t>EN_WOF_43_c02_PER</t>
  </si>
  <si>
    <t>EN_WOF_44_c02_PER</t>
  </si>
  <si>
    <t>EN_WOF_45_c02_PER</t>
  </si>
  <si>
    <t>EN_WOF_47_c02_PER</t>
  </si>
  <si>
    <t>EN_WOF_48_c02_PER</t>
  </si>
  <si>
    <t>EN_WOF_51_c02_PER</t>
  </si>
  <si>
    <t>EN_WOF_53_c02_PER</t>
  </si>
  <si>
    <t>EN_WOF_56_c02_PER</t>
  </si>
  <si>
    <t>EN_WOF_58_c02_PER</t>
  </si>
  <si>
    <t>EN_WOF_59_c02_PER</t>
  </si>
  <si>
    <t>EN_WOF_62_c02_PER</t>
  </si>
  <si>
    <t>EN_WOF_65_c02_PER</t>
  </si>
  <si>
    <t>EN_WOF_66_c02_PER</t>
  </si>
  <si>
    <t>EN_WOF_68_c02_PER</t>
  </si>
  <si>
    <t>EN_WOF_30_c01_PHL</t>
  </si>
  <si>
    <t>EN_WOF_30_c02_PHL</t>
  </si>
  <si>
    <t>EN_WOF_31_c01_PHL</t>
  </si>
  <si>
    <t>EN_WOF_31_c02_PHL</t>
  </si>
  <si>
    <t>EN_WOF_32_c01_PHL</t>
  </si>
  <si>
    <t>EN_WOF_33_c01_PHL</t>
  </si>
  <si>
    <t>EN_WOF_33_c02_PHL</t>
  </si>
  <si>
    <t>EN_WOF_34_c01_PHL</t>
  </si>
  <si>
    <t>EN_WOF_34_c02_PHL</t>
  </si>
  <si>
    <t>EN_WOF_35_c01_PHL</t>
  </si>
  <si>
    <t>EN_WOF_36_c02_PHL</t>
  </si>
  <si>
    <t>EN_WOF_37_c01_PHL</t>
  </si>
  <si>
    <t>EN_WOF_39_c01_PHL</t>
  </si>
  <si>
    <t>EN_WOF_40_c01_PHL</t>
  </si>
  <si>
    <t>EN_WOF_41_c01_PHL</t>
  </si>
  <si>
    <t>EN_WOF_41_c02_PHL</t>
  </si>
  <si>
    <t>EN_WOF_42_c01_PHL</t>
  </si>
  <si>
    <t>EN_WOF_43_c01_PHL</t>
  </si>
  <si>
    <t>EN_WOF_43_c02_PHL</t>
  </si>
  <si>
    <t>EN_WOF_44_c01_PHL</t>
  </si>
  <si>
    <t>EN_WOF_46_c01_PHL</t>
  </si>
  <si>
    <t>EN_WOF_50_c02_PHL</t>
  </si>
  <si>
    <t>EN_WOF_51_c01_PHL</t>
  </si>
  <si>
    <t>EN_WOF_53_c01_PHL</t>
  </si>
  <si>
    <t>EN_WOF_30_c02_PNG</t>
  </si>
  <si>
    <t>EN_WOF_31_c02_PNG</t>
  </si>
  <si>
    <t>EN_WOF_32_c02_PNG</t>
  </si>
  <si>
    <t>EN_WOF_34_c02_PNG</t>
  </si>
  <si>
    <t>EN_WOF_35_c02_PNG</t>
  </si>
  <si>
    <t>EN_WOF_38_c02_PNG</t>
  </si>
  <si>
    <t>EN_WOF_39_c02_PNG</t>
  </si>
  <si>
    <t>EN_WOF_40_c02_PNG</t>
  </si>
  <si>
    <t>EN_WOF_41_c02_PNG</t>
  </si>
  <si>
    <t>EN_WOF_42_c02_PNG</t>
  </si>
  <si>
    <t>EN_WOF_46_c02_PNG</t>
  </si>
  <si>
    <t>EN_WOF_45_c02_POL</t>
  </si>
  <si>
    <t>EN_WOF_46_c02_POL</t>
  </si>
  <si>
    <t>EN_WOF_48_c02_POL</t>
  </si>
  <si>
    <t>EN_WOF_49_c02_POL</t>
  </si>
  <si>
    <t>EN_WOF_50_c02_POL</t>
  </si>
  <si>
    <t>EN_WOF_32_c01_PRK</t>
  </si>
  <si>
    <t>EN_WOF_33_c01_PRK</t>
  </si>
  <si>
    <t>EN_WOF_33_c02_PRK</t>
  </si>
  <si>
    <t>EN_WOF_34_c01_PRK</t>
  </si>
  <si>
    <t>EN_WOF_34_c02_PRK</t>
  </si>
  <si>
    <t>EN_WOF_35_c01_PRK</t>
  </si>
  <si>
    <t>EN_WOF_35_c02_PRK</t>
  </si>
  <si>
    <t>EN_WOF_36_c01_PRK</t>
  </si>
  <si>
    <t>EN_WOF_36_c02_PRK</t>
  </si>
  <si>
    <t>EN_WOF_37_c01_PRK</t>
  </si>
  <si>
    <t>EN_WOF_32_c02_PRT</t>
  </si>
  <si>
    <t>EN_WOF_33_c02_PRT</t>
  </si>
  <si>
    <t>EN_WOF_34_c02_PRT</t>
  </si>
  <si>
    <t>EN_WOF_35_c02_PRT</t>
  </si>
  <si>
    <t>EN_WOF_36_c02_PRT</t>
  </si>
  <si>
    <t>EN_WOF_37_c02_PRT</t>
  </si>
  <si>
    <t>EN_WOF_38_c02_PRT</t>
  </si>
  <si>
    <t>EN_WOF_39_c02_PRT</t>
  </si>
  <si>
    <t>EN_WOF_40_c02_PRT</t>
  </si>
  <si>
    <t>EN_WOF_41_c02_PRT</t>
  </si>
  <si>
    <t>EN_WOF_42_c02_PRT</t>
  </si>
  <si>
    <t>EN_WOF_30_c02_RUS</t>
  </si>
  <si>
    <t>EN_WOF_31_c02_RUS</t>
  </si>
  <si>
    <t>EN_WOF_32_c02_RUS</t>
  </si>
  <si>
    <t>EN_WOF_33_c02_RUS</t>
  </si>
  <si>
    <t>EN_WOF_34_c02_RUS</t>
  </si>
  <si>
    <t>EN_WOF_35_c02_RUS</t>
  </si>
  <si>
    <t>EN_WOF_36_c02_RUS</t>
  </si>
  <si>
    <t>EN_WOF_37_c02_RUS</t>
  </si>
  <si>
    <t>EN_WOF_38_c02_RUS</t>
  </si>
  <si>
    <t>EN_WOF_39_c02_RUS</t>
  </si>
  <si>
    <t>EN_WOF_40_c02_RUS</t>
  </si>
  <si>
    <t>EN_WOF_41_c02_RUS</t>
  </si>
  <si>
    <t>EN_WOF_42_c02_RUS</t>
  </si>
  <si>
    <t>EN_WOF_43_c02_RUS</t>
  </si>
  <si>
    <t>EN_WOF_44_c02_RUS</t>
  </si>
  <si>
    <t>EN_WOF_45_c02_RUS</t>
  </si>
  <si>
    <t>EN_WOF_46_c02_RUS</t>
  </si>
  <si>
    <t>EN_WOF_47_c02_RUS</t>
  </si>
  <si>
    <t>EN_WOF_48_c02_RUS</t>
  </si>
  <si>
    <t>EN_WOF_49_c02_RUS</t>
  </si>
  <si>
    <t>EN_WOF_50_c02_RUS</t>
  </si>
  <si>
    <t>EN_WOF_51_c02_RUS</t>
  </si>
  <si>
    <t>EN_WOF_52_c02_RUS</t>
  </si>
  <si>
    <t>EN_WOF_53_c02_RUS</t>
  </si>
  <si>
    <t>EN_WOF_54_c02_RUS</t>
  </si>
  <si>
    <t>EN_WOF_55_c02_RUS</t>
  </si>
  <si>
    <t>EN_WOF_31_c02_SAU</t>
  </si>
  <si>
    <t>EN_WOF_33_c02_SAU</t>
  </si>
  <si>
    <t>EN_WOF_34_c02_SAU</t>
  </si>
  <si>
    <t>EN_WOF_35_c02_SAU</t>
  </si>
  <si>
    <t>EN_WOF_36_c02_SAU</t>
  </si>
  <si>
    <t>EN_WOF_37_c02_SAU</t>
  </si>
  <si>
    <t>EN_WOF_40_c02_SAU</t>
  </si>
  <si>
    <t>EN_WOF_45_c02_SAU</t>
  </si>
  <si>
    <t>EN_WOF_47_c02_SAU</t>
  </si>
  <si>
    <t>EN_WOF_57_c02_SAU</t>
  </si>
  <si>
    <t>EN_WOF_59_c02_SAU</t>
  </si>
  <si>
    <t>EN_WOF_30_c02_SDN</t>
  </si>
  <si>
    <t>EN_WOF_31_c02_SDN</t>
  </si>
  <si>
    <t>EN_WOF_32_c02_SDN</t>
  </si>
  <si>
    <t>EN_WOF_34_c02_SDN</t>
  </si>
  <si>
    <t>EN_WOF_35_c02_SDN</t>
  </si>
  <si>
    <t>EN_WOF_32_c02_SEN</t>
  </si>
  <si>
    <t>EN_WOF_33_c02_SEN</t>
  </si>
  <si>
    <t>EN_WOF_35_c02_SEN</t>
  </si>
  <si>
    <t>EN_WOF_36_c02_SEN</t>
  </si>
  <si>
    <t>EN_WOF_38_c02_SEN</t>
  </si>
  <si>
    <t>EN_WOF_32_c02_SOM</t>
  </si>
  <si>
    <t>EN_WOF_33_c02_SOM</t>
  </si>
  <si>
    <t>EN_WOF_34_c02_SOM</t>
  </si>
  <si>
    <t>EN_WOF_35_c02_SOM</t>
  </si>
  <si>
    <t>EN_WOF_37_c02_SOM</t>
  </si>
  <si>
    <t>EN_WOF_38_c02_SOM</t>
  </si>
  <si>
    <t>EN_WOF_39_c02_SOM</t>
  </si>
  <si>
    <t>EN_WOF_41_c02_SOM</t>
  </si>
  <si>
    <t>EN_WOF_42_c02_SOM</t>
  </si>
  <si>
    <t>EN_WOF_43_c02_SOM</t>
  </si>
  <si>
    <t>EN_WOF_44_c02_SOM</t>
  </si>
  <si>
    <t>EN_WOF_45_c02_SOM</t>
  </si>
  <si>
    <t>EN_WOF_46_c02_SOM</t>
  </si>
  <si>
    <t>EN_WOF_47_c02_SOM</t>
  </si>
  <si>
    <t>EN_WOF_48_c02_SOM</t>
  </si>
  <si>
    <t>EN_WOF_49_c02_SOM</t>
  </si>
  <si>
    <t>EN_WOF_50_c02_SOM</t>
  </si>
  <si>
    <t>EN_WOF_51_c02_SOM</t>
  </si>
  <si>
    <t>EN_WOF_52_c02_SOM</t>
  </si>
  <si>
    <t>EN_WOF_53_c02_SOM</t>
  </si>
  <si>
    <t>EN_WOF_54_c02_SOM</t>
  </si>
  <si>
    <t>EN_WOF_55_c02_SOM</t>
  </si>
  <si>
    <t>EN_WOF_56_c02_SOM</t>
  </si>
  <si>
    <t>EN_WOF_40_c02_SWE</t>
  </si>
  <si>
    <t>EN_WOF_41_c02_SWE</t>
  </si>
  <si>
    <t>EN_WOF_42_c02_SWE</t>
  </si>
  <si>
    <t>EN_WOF_43_c02_SWE</t>
  </si>
  <si>
    <t>EN_WOF_44_c02_SWE</t>
  </si>
  <si>
    <t>EN_WOF_45_c02_SWE</t>
  </si>
  <si>
    <t>EN_WOF_46_c02_SWE</t>
  </si>
  <si>
    <t>EN_WOF_47_c02_SWE</t>
  </si>
  <si>
    <t>EN_WOF_48_c02_SWE</t>
  </si>
  <si>
    <t>EN_WOF_49_c02_SWE</t>
  </si>
  <si>
    <t>EN_WOF_50_c02_SWE</t>
  </si>
  <si>
    <t>EN_WOF_51_c02_SWE</t>
  </si>
  <si>
    <t>EN_WOF_34_c02_SYC</t>
  </si>
  <si>
    <t>EN_WOF_35_c02_SYC</t>
  </si>
  <si>
    <t>EN_WOF_37_c02_SYC</t>
  </si>
  <si>
    <t>EN_WOF_40_c02_SYC</t>
  </si>
  <si>
    <t>EN_WOF_41_c02_SYC</t>
  </si>
  <si>
    <t>EN_WOF_42_c02_SYC</t>
  </si>
  <si>
    <t>EN_WOF_44_c02_SYC</t>
  </si>
  <si>
    <t>EN_WOF_45_c02_SYC</t>
  </si>
  <si>
    <t>EN_WOF_30_c02_SYR</t>
  </si>
  <si>
    <t>EN_WOF_31_c02_TON</t>
  </si>
  <si>
    <t>EN_WOF_32_c02_TON</t>
  </si>
  <si>
    <t>EN_WOF_33_c02_TON</t>
  </si>
  <si>
    <t>EN_WOF_34_c02_TON</t>
  </si>
  <si>
    <t>EN_WOF_35_c02_TON</t>
  </si>
  <si>
    <t>EN_WOF_34_c02_TTO</t>
  </si>
  <si>
    <t>EN_WOF_30_c02_TUN</t>
  </si>
  <si>
    <t>EN_WOF_31_c02_TUN</t>
  </si>
  <si>
    <t>EN_WOF_32_c02_TUN</t>
  </si>
  <si>
    <t>EN_WOF_33_c02_TUN</t>
  </si>
  <si>
    <t>EN_WOF_34_c02_TUN</t>
  </si>
  <si>
    <t>EN_WOF_35_c02_TUN</t>
  </si>
  <si>
    <t>EN_WOF_36_c02_TUN</t>
  </si>
  <si>
    <t>EN_WOF_37_c02_TUN</t>
  </si>
  <si>
    <t>EN_WOF_38_c02_TUN</t>
  </si>
  <si>
    <t>EN_WOF_30_c02_TUR</t>
  </si>
  <si>
    <t>EN_WOF_31_c02_TUR</t>
  </si>
  <si>
    <t>EN_WOF_32_c02_TUR</t>
  </si>
  <si>
    <t>EN_WOF_33_c02_TUR</t>
  </si>
  <si>
    <t>EN_WOF_34_c02_TUR</t>
  </si>
  <si>
    <t>EN_WOF_35_c02_TUR</t>
  </si>
  <si>
    <t>EN_WOF_36_c02_TUR</t>
  </si>
  <si>
    <t>EN_WOF_37_c02_TUR</t>
  </si>
  <si>
    <t>EN_WOF_38_c02_TUR</t>
  </si>
  <si>
    <t>EN_WOF_39_c02_TUR</t>
  </si>
  <si>
    <t>EN_WOF_40_c02_TUR</t>
  </si>
  <si>
    <t>EN_WOF_41_c02_TUR</t>
  </si>
  <si>
    <t>EN_WOF_42_c02_TUR</t>
  </si>
  <si>
    <t>EN_WOF_46_c02_TUR</t>
  </si>
  <si>
    <t>EN_WOF_47_c02_TUR</t>
  </si>
  <si>
    <t>EN_WOF_32_c02_UKR</t>
  </si>
  <si>
    <t>EN_WOF_33_c02_UKR</t>
  </si>
  <si>
    <t>EN_WOF_34_c02_UKR</t>
  </si>
  <si>
    <t>EN_WOF_35_c02_UKR</t>
  </si>
  <si>
    <t>EN_WOF_36_c02_UKR</t>
  </si>
  <si>
    <t>EN_WOF_39_c02_URY</t>
  </si>
  <si>
    <t>EN_WOF_43_c02_URY</t>
  </si>
  <si>
    <t>EN_WOF_44_c02_URY</t>
  </si>
  <si>
    <t>EN_WOF_45_c02_URY</t>
  </si>
  <si>
    <t>EN_WOF_46_c02_URY</t>
  </si>
  <si>
    <t>EN_WOF_47_c02_URY</t>
  </si>
  <si>
    <t>EN_WOF_48_c02_URY</t>
  </si>
  <si>
    <t>EN_WOF_49_c02_URY</t>
  </si>
  <si>
    <t>EN_WOF_50_c02_URY</t>
  </si>
  <si>
    <t>EN_WOF_51_c02_URY</t>
  </si>
  <si>
    <t>EN_WOF_30_c02_USA</t>
  </si>
  <si>
    <t>EN_WOF_31_c02_USA</t>
  </si>
  <si>
    <t>EN_WOF_36_c02_USA</t>
  </si>
  <si>
    <t>EN_WOF_40_c02_USA</t>
  </si>
  <si>
    <t>EN_WOF_41_c02_USA</t>
  </si>
  <si>
    <t>EN_WOF_42_c02_USA</t>
  </si>
  <si>
    <t>EN_WOF_43_c02_USA</t>
  </si>
  <si>
    <t>EN_WOF_44_c02_USA</t>
  </si>
  <si>
    <t>EN_WOF_45_c02_USA</t>
  </si>
  <si>
    <t>EN_WOF_46_c02_USA</t>
  </si>
  <si>
    <t>EN_WOF_47_c02_USA</t>
  </si>
  <si>
    <t>EN_WOF_48_c02_USA</t>
  </si>
  <si>
    <t>EN_WOF_49_c02_USA</t>
  </si>
  <si>
    <t>EN_WOF_33_c02_VCT</t>
  </si>
  <si>
    <t>EN_WOF_35_c02_VCT</t>
  </si>
  <si>
    <t>EN_WOF_37_c02_VCT</t>
  </si>
  <si>
    <t>EN_WOF_30_c02_VEN</t>
  </si>
  <si>
    <t>EN_WOF_31_c02_VEN</t>
  </si>
  <si>
    <t>EN_WOF_32_c02_VEN</t>
  </si>
  <si>
    <t>EN_WOF_33_c02_VEN</t>
  </si>
  <si>
    <t>EN_WOF_34_c02_VEN</t>
  </si>
  <si>
    <t>EN_WOF_35_c02_VEN</t>
  </si>
  <si>
    <t>EN_WOF_37_c02_VEN</t>
  </si>
  <si>
    <t>EN_WOF_38_c02_VEN</t>
  </si>
  <si>
    <t>EN_WOF_39_c02_VEN</t>
  </si>
  <si>
    <t>EN_WOF_40_c02_VEN</t>
  </si>
  <si>
    <t>EN_WOF_41_c02_VEN</t>
  </si>
  <si>
    <t>EN_WOF_42_c02_VEN</t>
  </si>
  <si>
    <t>EN_WOF_43_c02_VEN</t>
  </si>
  <si>
    <t>EN_WOF_44_c02_VEN</t>
  </si>
  <si>
    <t>EN_WOF_45_c02_VEN</t>
  </si>
  <si>
    <t>EN_WOF_46_c02_VEN</t>
  </si>
  <si>
    <t>EN_WOF_47_c02_VEN</t>
  </si>
  <si>
    <t>EN_WOF_48_c02_VEN</t>
  </si>
  <si>
    <t>EN_WOF_50_c02_VEN</t>
  </si>
  <si>
    <t>EN_WOF_51_c02_VEN</t>
  </si>
  <si>
    <t>EN_WOF_54_c02_VEN</t>
  </si>
  <si>
    <t>EN_WOF_55_c02_VEN</t>
  </si>
  <si>
    <t>EN_WOF_58_c02_VEN</t>
  </si>
  <si>
    <t>EN_WOF_61_c02_VEN</t>
  </si>
  <si>
    <t>EN_WOF_62_c02_VEN</t>
  </si>
  <si>
    <t>EN_WOF_63_c02_VEN</t>
  </si>
  <si>
    <t>EN_WOF_64_c02_VEN</t>
  </si>
  <si>
    <t>EN_WOF_30_c02_VNM</t>
  </si>
  <si>
    <t>EN_WOF_31_c01_VNM</t>
  </si>
  <si>
    <t>EN_WOF_31_c02_VNM</t>
  </si>
  <si>
    <t>EN_WOF_32_c01_VNM</t>
  </si>
  <si>
    <t>EN_WOF_32_c02_VNM</t>
  </si>
  <si>
    <t>EN_WOF_33_c01_VNM</t>
  </si>
  <si>
    <t>EN_WOF_33_c02_VNM</t>
  </si>
  <si>
    <t>EN_WOF_34_c01_VNM</t>
  </si>
  <si>
    <t>EN_WOF_34_c02_VNM</t>
  </si>
  <si>
    <t>EN_WOF_35_c01_VNM</t>
  </si>
  <si>
    <t>EN_WOF_35_c02_VNM</t>
  </si>
  <si>
    <t>EN_WOF_36_c01_VNM</t>
  </si>
  <si>
    <t>EN_WOF_36_c02_VNM</t>
  </si>
  <si>
    <t>EN_WOF_37_c01_VNM</t>
  </si>
  <si>
    <t>EN_WOF_37_c02_VNM</t>
  </si>
  <si>
    <t>EN_WOF_38_c01_VNM</t>
  </si>
  <si>
    <t>EN_WOF_38_c02_VNM</t>
  </si>
  <si>
    <t>EN_WOF_39_c01_VNM</t>
  </si>
  <si>
    <t>EN_WOF_39_c02_VNM</t>
  </si>
  <si>
    <t>EN_WOF_40_c02_VNM</t>
  </si>
  <si>
    <t>EN_WOF_41_c02_VNM</t>
  </si>
  <si>
    <t>EN_WOF_42_c02_VNM</t>
  </si>
  <si>
    <t>EN_WOF_43_c02_VNM</t>
  </si>
  <si>
    <t>EN_WOF_45_c02_VNM</t>
  </si>
  <si>
    <t>EN_WOF_46_c02_VNM</t>
  </si>
  <si>
    <t>EN_WOF_47_c01_VNM</t>
  </si>
  <si>
    <t>EN_WOF_47_c02_VNM</t>
  </si>
  <si>
    <t>EN_WOF_49_c01_VNM</t>
  </si>
  <si>
    <t>EN_WOF_49_c02_VNM</t>
  </si>
  <si>
    <t>EN_WOF_53_c01_VNM</t>
  </si>
  <si>
    <t>EN_WOF_55_c01_VNM</t>
  </si>
  <si>
    <t>EN_WOF_30_c02_VUT</t>
  </si>
  <si>
    <t>EN_WOF_31_c02_VUT</t>
  </si>
  <si>
    <t>EN_WOF_32_c02_VUT</t>
  </si>
  <si>
    <t>EN_WOF_33_c02_VUT</t>
  </si>
  <si>
    <t>EN_WOF_34_c02_VUT</t>
  </si>
  <si>
    <t>EN_WOF_35_c02_VUT</t>
  </si>
  <si>
    <t>EN_WOF_36_c02_VUT</t>
  </si>
  <si>
    <t>EN_WOF_38_c02_VUT</t>
  </si>
  <si>
    <t>EN_WOF_30_c02_YEM</t>
  </si>
  <si>
    <t>EN_WOF_31_c02_YEM</t>
  </si>
  <si>
    <t>EN_WOF_32_c02_YEM</t>
  </si>
  <si>
    <t>EN_WOF_33_c02_YEM</t>
  </si>
  <si>
    <t>EN_WOF_34_c02_YEM</t>
  </si>
  <si>
    <t>EN_WOF_35_c02_YEM</t>
  </si>
  <si>
    <t>EN_WOF_36_c02_YEM</t>
  </si>
  <si>
    <t>EN_WOF_37_c02_YEM</t>
  </si>
  <si>
    <t>EN_WOF_38_c02_YEM</t>
  </si>
  <si>
    <t>EN_WOF_39_c02_YEM</t>
  </si>
  <si>
    <t>EN_WOF_40_c02_YEM</t>
  </si>
  <si>
    <t>EN_WOF_41_c02_YEM</t>
  </si>
  <si>
    <t>EN_WOF_42_c02_YEM</t>
  </si>
  <si>
    <t>EN_WOF_43_c02_YEM</t>
  </si>
  <si>
    <t>EN_WOF_46_c02_YEM</t>
  </si>
  <si>
    <t>EN_WOF_50_c02_YEM</t>
  </si>
  <si>
    <t>EN_WOF_52_c02_YEM</t>
  </si>
  <si>
    <t>EN_WOF_30_c02_ZAF</t>
  </si>
  <si>
    <t>EN_WOF_32_c02_ZAF</t>
  </si>
  <si>
    <t>EN_WOF_34_c02_ZAF</t>
  </si>
  <si>
    <t>EN_WOF_35_c02_ZAF</t>
  </si>
  <si>
    <t>EN_WOF_36_c02_ZAF</t>
  </si>
  <si>
    <t>EN_WOF_37_c02_ZAF</t>
  </si>
  <si>
    <t>EN_WOF_38_c02_ZAF</t>
  </si>
  <si>
    <t>EN_WOF_39_c02_ZAF</t>
  </si>
  <si>
    <t>EN_WOF_40_c02_ZAF</t>
  </si>
  <si>
    <t>EN_WOF_41_c02_ZAF</t>
  </si>
  <si>
    <t>EN_WOF_42_c02_ZAF</t>
  </si>
  <si>
    <t>EN_WOF_43_c02_ZAF</t>
  </si>
  <si>
    <t>EN_WOF_44_c02_ZAF</t>
  </si>
  <si>
    <t>EN_WOF_45_c02_ZAF</t>
  </si>
  <si>
    <t>EN_WOF_46_c02_ZAF</t>
  </si>
  <si>
    <t>EN_WOF_47_c02_ZAF</t>
  </si>
  <si>
    <t>EN_WOF_48_c02_ZAF</t>
  </si>
  <si>
    <t>EN_WOF_49_c02_ZAF</t>
  </si>
  <si>
    <t>EN_WOF_50_c02_ZAF</t>
  </si>
  <si>
    <t>EN_WOF_51_c02_ZAF</t>
  </si>
  <si>
    <t>~TFM_INS: curr=USD22</t>
  </si>
  <si>
    <t xml:space="preserve"> </t>
  </si>
  <si>
    <t>attribute</t>
  </si>
  <si>
    <t>year</t>
  </si>
  <si>
    <t>ieapg_africa</t>
  </si>
  <si>
    <t>ieapg_brazil</t>
  </si>
  <si>
    <t>ieapg_china</t>
  </si>
  <si>
    <t>ieapg_india</t>
  </si>
  <si>
    <t>ieapg_japan</t>
  </si>
  <si>
    <t>ieapg_russia</t>
  </si>
  <si>
    <t>ieapg_european_union</t>
  </si>
  <si>
    <t>ieapg_united_states</t>
  </si>
  <si>
    <t>ieapg_middle_east</t>
  </si>
  <si>
    <t>en_spv[_]*</t>
  </si>
  <si>
    <t>invcost</t>
  </si>
  <si>
    <t>en_won[_]*</t>
  </si>
  <si>
    <t>en_wof[_]*</t>
  </si>
  <si>
    <t>UC_CAP</t>
  </si>
  <si>
    <t>UC_NUC_BND</t>
  </si>
  <si>
    <t>EN_NuclearAdv</t>
  </si>
  <si>
    <t>UC_GAS_BND</t>
  </si>
  <si>
    <t>EN_GasCC, EN_GasCCAdv, EN_GasCT, EN_GasCTAdv, EN_ZGasCCAdv</t>
  </si>
  <si>
    <t>EN_OilCCAdv</t>
  </si>
  <si>
    <t>EN_COAIGCC, EN_COAPUL, EN_ZCOAIGCC</t>
  </si>
  <si>
    <t>EJ</t>
  </si>
  <si>
    <t>SHARE/ %</t>
  </si>
  <si>
    <t>Transport</t>
  </si>
  <si>
    <t>Cset_Set</t>
  </si>
  <si>
    <t>UC_COMPRD</t>
  </si>
  <si>
    <t>UC_FLO</t>
  </si>
  <si>
    <t>Biofuels</t>
  </si>
  <si>
    <t>UCT_shareBGS_UP</t>
  </si>
  <si>
    <t>NRG</t>
  </si>
  <si>
    <t>TRAELC, TRADST, TRAGSL, TRAHFO, TRAJTK, TRANGA, TRALPG</t>
  </si>
  <si>
    <t>LO</t>
  </si>
  <si>
    <t>Trd*</t>
  </si>
  <si>
    <t>TRA*</t>
  </si>
  <si>
    <t>TRABGS, TRABDS</t>
  </si>
  <si>
    <t>Bio</t>
  </si>
  <si>
    <t>~UC_T:UC_RHSRT</t>
  </si>
  <si>
    <t>TRAELC, TRADST, TRAGSL, TRAHFO, TRAJTK, TRANGA, TRALPG, TRABGS, TRABDS</t>
  </si>
  <si>
    <t>TRANGA</t>
  </si>
  <si>
    <t>*5% at maximum by gas</t>
  </si>
  <si>
    <t>UCT_BGS_Total_UP</t>
  </si>
  <si>
    <t>UCT_GS_Total_UP</t>
  </si>
  <si>
    <t>~UC_Sets: R_E: allregions</t>
  </si>
  <si>
    <t>UCT_COMNET_ZERO1</t>
  </si>
  <si>
    <t>TRAELC</t>
  </si>
  <si>
    <t>FX</t>
  </si>
  <si>
    <t>UCT_COMNET_ZERO10</t>
  </si>
  <si>
    <t>TRDELC</t>
  </si>
  <si>
    <t>UCT_COMNET_ZERO2</t>
  </si>
  <si>
    <t>TRADST</t>
  </si>
  <si>
    <t>UCT_COMNET_ZERO3</t>
  </si>
  <si>
    <t>TRAGSL</t>
  </si>
  <si>
    <t>UCT_COMNET_ZERO4</t>
  </si>
  <si>
    <t>TRAHFO</t>
  </si>
  <si>
    <t>UCT_COMNET_ZERO5</t>
  </si>
  <si>
    <t>TRAJTK</t>
  </si>
  <si>
    <t>UCT_COMNET_ZERO6</t>
  </si>
  <si>
    <t>UCT_COMNET_ZERO7</t>
  </si>
  <si>
    <t>TRALPG</t>
  </si>
  <si>
    <t>UCT_COMNET_ZERO8</t>
  </si>
  <si>
    <t>TRANBGS</t>
  </si>
  <si>
    <t>UCT_COMNET_ZERO9</t>
  </si>
  <si>
    <t>TRANBDS</t>
  </si>
  <si>
    <t>~TFM_UPD: attribute=COM_PROJ</t>
  </si>
  <si>
    <t>CSET_CN</t>
  </si>
  <si>
    <t>TAD, TAI</t>
  </si>
  <si>
    <t>TWD,TWI</t>
  </si>
  <si>
    <t>WEO2025</t>
  </si>
  <si>
    <t>Aviation (EJ)</t>
  </si>
  <si>
    <t>STEPS</t>
  </si>
  <si>
    <t>Shipping (EJ)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</si>
</sst>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000"/>
    <numFmt numFmtId="179" formatCode="\ #\ ##0\ \ \ \ \ ;\-#\ ##0\ \ \ \ \ ;\-\ \ \ \ \ "/>
    <numFmt numFmtId="180" formatCode="0.00_);[Red]\(0.00\)"/>
    <numFmt numFmtId="181" formatCode="0_ "/>
  </numFmts>
  <fonts count="42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b/>
      <sz val="11"/>
      <color rgb="FF9C6500"/>
      <name val="Calibri"/>
      <charset val="134"/>
      <scheme val="minor"/>
    </font>
    <font>
      <sz val="8"/>
      <color rgb="FF3974D2"/>
      <name val="Segoe UI"/>
      <charset val="134"/>
    </font>
    <font>
      <sz val="10"/>
      <name val="Arial"/>
      <charset val="134"/>
    </font>
    <font>
      <b/>
      <sz val="7"/>
      <color rgb="FF333333"/>
      <name val="Tahoma"/>
      <charset val="134"/>
    </font>
    <font>
      <sz val="11"/>
      <color rgb="FF000000"/>
      <name val="Calibri"/>
      <charset val="134"/>
    </font>
    <font>
      <sz val="8"/>
      <color rgb="FF212529"/>
      <name val="Segoe UI"/>
      <charset val="134"/>
    </font>
    <font>
      <b/>
      <sz val="11"/>
      <color theme="1"/>
      <name val="Calibri"/>
      <charset val="134"/>
      <scheme val="minor"/>
    </font>
    <font>
      <sz val="10.2"/>
      <color rgb="FF212529"/>
      <name val="Segoe UI"/>
      <charset val="134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0"/>
      <color rgb="FF0000FF"/>
      <name val="Arial"/>
      <charset val="134"/>
    </font>
    <font>
      <i/>
      <u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9"/>
      <color theme="1"/>
      <name val="Aptos Narrow"/>
      <charset val="134"/>
    </font>
    <font>
      <b/>
      <i/>
      <sz val="9"/>
      <color theme="1"/>
      <name val="Aptos Narrow"/>
      <charset val="134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134"/>
      <scheme val="minor"/>
    </font>
    <font>
      <sz val="9"/>
      <name val="Times New Roman"/>
      <charset val="134"/>
    </font>
    <font>
      <b/>
      <sz val="9"/>
      <name val="Times New Roman"/>
      <charset val="0"/>
    </font>
    <font>
      <b/>
      <sz val="9"/>
      <name val="Times New Roman"/>
      <charset val="134"/>
    </font>
    <font>
      <sz val="9"/>
      <name val="Times New Roman"/>
      <charset val="0"/>
    </font>
    <font>
      <b/>
      <sz val="8"/>
      <name val="Tahoma"/>
      <charset val="134"/>
    </font>
  </fonts>
  <fills count="43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2C95A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>
      <alignment vertical="center"/>
    </xf>
    <xf numFmtId="0" fontId="25" fillId="19" borderId="10" applyNumberFormat="0" applyAlignment="0" applyProtection="0">
      <alignment vertical="center"/>
    </xf>
    <xf numFmtId="0" fontId="26" fillId="20" borderId="11" applyNumberFormat="0" applyAlignment="0" applyProtection="0">
      <alignment vertical="center"/>
    </xf>
    <xf numFmtId="0" fontId="27" fillId="20" borderId="10" applyNumberFormat="0" applyAlignment="0" applyProtection="0">
      <alignment vertical="center"/>
    </xf>
    <xf numFmtId="0" fontId="28" fillId="21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6" fillId="24" borderId="0" applyNumberFormat="0" applyBorder="0" applyAlignment="0" applyProtection="0"/>
    <xf numFmtId="0" fontId="5" fillId="0" borderId="0"/>
    <xf numFmtId="0" fontId="5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3" fillId="0" borderId="0" xfId="49" applyFont="1" applyFill="1"/>
    <xf numFmtId="0" fontId="2" fillId="0" borderId="2" xfId="51" applyFont="1" applyBorder="1" applyAlignment="1">
      <alignment horizontal="right" vertical="center"/>
    </xf>
    <xf numFmtId="178" fontId="0" fillId="0" borderId="0" xfId="0" applyNumberFormat="1" applyAlignment="1">
      <alignment wrapText="1"/>
    </xf>
    <xf numFmtId="0" fontId="4" fillId="0" borderId="0" xfId="0" applyFont="1"/>
    <xf numFmtId="0" fontId="5" fillId="2" borderId="0" xfId="0" applyFont="1" applyFill="1"/>
    <xf numFmtId="0" fontId="5" fillId="0" borderId="0" xfId="0" applyFont="1"/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0" fillId="3" borderId="0" xfId="0" applyFill="1"/>
    <xf numFmtId="9" fontId="0" fillId="0" borderId="0" xfId="0" applyNumberFormat="1"/>
    <xf numFmtId="0" fontId="6" fillId="0" borderId="0" xfId="0" applyFont="1"/>
    <xf numFmtId="0" fontId="0" fillId="4" borderId="0" xfId="0" applyFill="1"/>
    <xf numFmtId="0" fontId="7" fillId="0" borderId="0" xfId="0" applyFont="1"/>
    <xf numFmtId="0" fontId="7" fillId="5" borderId="0" xfId="0" applyFont="1" applyFill="1"/>
    <xf numFmtId="0" fontId="7" fillId="6" borderId="0" xfId="0" applyFont="1" applyFill="1"/>
    <xf numFmtId="0" fontId="4" fillId="7" borderId="3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right" vertical="top" wrapText="1"/>
    </xf>
    <xf numFmtId="0" fontId="0" fillId="8" borderId="0" xfId="0" applyFill="1"/>
    <xf numFmtId="0" fontId="0" fillId="9" borderId="0" xfId="0" applyFill="1"/>
    <xf numFmtId="0" fontId="9" fillId="0" borderId="0" xfId="0" applyFont="1"/>
    <xf numFmtId="0" fontId="10" fillId="0" borderId="0" xfId="0" applyFont="1"/>
    <xf numFmtId="179" fontId="0" fillId="0" borderId="0" xfId="0" applyNumberFormat="1"/>
    <xf numFmtId="0" fontId="11" fillId="0" borderId="4" xfId="13"/>
    <xf numFmtId="0" fontId="12" fillId="10" borderId="5" xfId="14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12" borderId="0" xfId="0" applyFont="1" applyFill="1"/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178" fontId="0" fillId="11" borderId="0" xfId="0" applyNumberFormat="1" applyFill="1"/>
    <xf numFmtId="178" fontId="0" fillId="0" borderId="0" xfId="0" applyNumberFormat="1"/>
    <xf numFmtId="0" fontId="2" fillId="12" borderId="1" xfId="0" applyFont="1" applyFill="1" applyBorder="1"/>
    <xf numFmtId="178" fontId="0" fillId="12" borderId="0" xfId="0" applyNumberFormat="1" applyFill="1"/>
    <xf numFmtId="0" fontId="2" fillId="13" borderId="1" xfId="0" applyFont="1" applyFill="1" applyBorder="1"/>
    <xf numFmtId="0" fontId="2" fillId="12" borderId="2" xfId="51" applyFont="1" applyFill="1" applyBorder="1" applyAlignment="1">
      <alignment horizontal="right" vertical="center"/>
    </xf>
    <xf numFmtId="178" fontId="0" fillId="12" borderId="0" xfId="0" applyNumberFormat="1" applyFill="1" applyAlignment="1">
      <alignment wrapText="1"/>
    </xf>
    <xf numFmtId="0" fontId="2" fillId="13" borderId="2" xfId="51" applyFont="1" applyFill="1" applyBorder="1" applyAlignment="1">
      <alignment horizontal="right" vertical="center"/>
    </xf>
    <xf numFmtId="178" fontId="0" fillId="13" borderId="0" xfId="0" applyNumberFormat="1" applyFill="1" applyAlignment="1">
      <alignment wrapText="1"/>
    </xf>
    <xf numFmtId="0" fontId="0" fillId="14" borderId="0" xfId="0" applyFill="1"/>
    <xf numFmtId="0" fontId="13" fillId="0" borderId="0" xfId="0" applyFont="1"/>
    <xf numFmtId="179" fontId="0" fillId="13" borderId="0" xfId="0" applyNumberFormat="1" applyFill="1"/>
    <xf numFmtId="0" fontId="14" fillId="0" borderId="0" xfId="0" applyFont="1"/>
    <xf numFmtId="179" fontId="14" fillId="0" borderId="0" xfId="0" applyNumberFormat="1" applyFont="1"/>
    <xf numFmtId="3" fontId="0" fillId="0" borderId="0" xfId="0" applyNumberFormat="1"/>
    <xf numFmtId="0" fontId="15" fillId="0" borderId="0" xfId="0" applyFont="1"/>
    <xf numFmtId="0" fontId="6" fillId="11" borderId="0" xfId="0" applyFont="1" applyFill="1"/>
    <xf numFmtId="0" fontId="13" fillId="11" borderId="0" xfId="0" applyFont="1" applyFill="1"/>
    <xf numFmtId="0" fontId="0" fillId="13" borderId="0" xfId="0" applyFill="1" applyAlignment="1">
      <alignment horizontal="center"/>
    </xf>
    <xf numFmtId="0" fontId="0" fillId="0" borderId="0" xfId="0" applyAlignment="1">
      <alignment vertical="center"/>
    </xf>
    <xf numFmtId="0" fontId="0" fillId="15" borderId="6" xfId="0" applyFill="1" applyBorder="1"/>
    <xf numFmtId="179" fontId="0" fillId="15" borderId="6" xfId="0" applyNumberFormat="1" applyFill="1" applyBorder="1"/>
    <xf numFmtId="179" fontId="16" fillId="15" borderId="0" xfId="50" applyNumberFormat="1" applyFont="1" applyFill="1" applyAlignment="1">
      <alignment horizontal="right" vertical="center"/>
    </xf>
    <xf numFmtId="179" fontId="16" fillId="0" borderId="0" xfId="50" applyNumberFormat="1" applyFont="1" applyAlignment="1">
      <alignment horizontal="right" vertical="center"/>
    </xf>
    <xf numFmtId="179" fontId="0" fillId="11" borderId="0" xfId="0" applyNumberFormat="1" applyFill="1"/>
    <xf numFmtId="0" fontId="0" fillId="11" borderId="6" xfId="0" applyFill="1" applyBorder="1"/>
    <xf numFmtId="179" fontId="16" fillId="11" borderId="0" xfId="50" applyNumberFormat="1" applyFont="1" applyFill="1" applyAlignment="1">
      <alignment horizontal="right" vertical="center"/>
    </xf>
    <xf numFmtId="179" fontId="16" fillId="11" borderId="7" xfId="50" applyNumberFormat="1" applyFont="1" applyFill="1" applyBorder="1" applyAlignment="1">
      <alignment horizontal="right" vertical="center"/>
    </xf>
    <xf numFmtId="179" fontId="0" fillId="11" borderId="6" xfId="0" applyNumberFormat="1" applyFill="1" applyBorder="1"/>
    <xf numFmtId="179" fontId="16" fillId="16" borderId="0" xfId="50" applyNumberFormat="1" applyFont="1" applyFill="1" applyAlignment="1">
      <alignment horizontal="right" vertical="center"/>
    </xf>
    <xf numFmtId="0" fontId="0" fillId="0" borderId="6" xfId="0" applyBorder="1"/>
    <xf numFmtId="179" fontId="0" fillId="0" borderId="6" xfId="0" applyNumberFormat="1" applyBorder="1"/>
    <xf numFmtId="179" fontId="17" fillId="12" borderId="0" xfId="50" applyNumberFormat="1" applyFont="1" applyFill="1" applyAlignment="1">
      <alignment horizontal="right" vertical="center"/>
    </xf>
    <xf numFmtId="0" fontId="18" fillId="12" borderId="0" xfId="0" applyFont="1" applyFill="1"/>
    <xf numFmtId="0" fontId="0" fillId="17" borderId="0" xfId="0" applyFill="1"/>
    <xf numFmtId="0" fontId="0" fillId="14" borderId="6" xfId="0" applyFill="1" applyBorder="1"/>
    <xf numFmtId="179" fontId="0" fillId="14" borderId="6" xfId="0" applyNumberFormat="1" applyFill="1" applyBorder="1"/>
    <xf numFmtId="179" fontId="16" fillId="16" borderId="7" xfId="50" applyNumberFormat="1" applyFont="1" applyFill="1" applyBorder="1" applyAlignment="1">
      <alignment horizontal="right" vertical="center"/>
    </xf>
    <xf numFmtId="179" fontId="0" fillId="14" borderId="0" xfId="0" applyNumberFormat="1" applyFill="1"/>
    <xf numFmtId="179" fontId="16" fillId="14" borderId="0" xfId="50" applyNumberFormat="1" applyFont="1" applyFill="1" applyAlignment="1">
      <alignment horizontal="right" vertical="center"/>
    </xf>
    <xf numFmtId="179" fontId="16" fillId="14" borderId="7" xfId="50" applyNumberFormat="1" applyFont="1" applyFill="1" applyBorder="1" applyAlignment="1">
      <alignment horizontal="right" vertical="center"/>
    </xf>
    <xf numFmtId="180" fontId="0" fillId="0" borderId="0" xfId="0" applyNumberFormat="1"/>
    <xf numFmtId="180" fontId="0" fillId="0" borderId="6" xfId="0" applyNumberFormat="1" applyBorder="1"/>
    <xf numFmtId="180" fontId="16" fillId="16" borderId="0" xfId="50" applyNumberFormat="1" applyFont="1" applyFill="1" applyAlignment="1">
      <alignment horizontal="right" vertical="center"/>
    </xf>
    <xf numFmtId="180" fontId="16" fillId="0" borderId="0" xfId="50" applyNumberFormat="1" applyFont="1" applyAlignment="1">
      <alignment horizontal="right" vertical="center"/>
    </xf>
    <xf numFmtId="181" fontId="0" fillId="0" borderId="0" xfId="0" applyNumberForma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eutral 2" xfId="49"/>
    <cellStyle name="Normal 2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B1:CR91"/>
  <sheetViews>
    <sheetView zoomScale="74" zoomScaleNormal="74" topLeftCell="AK5" workbookViewId="0">
      <selection activeCell="AG6" sqref="AG6"/>
    </sheetView>
  </sheetViews>
  <sheetFormatPr defaultColWidth="9" defaultRowHeight="14.5"/>
  <cols>
    <col min="2" max="2" width="19.6" customWidth="1"/>
    <col min="3" max="6" width="8.72727272727273"/>
    <col min="7" max="7" width="12.0636363636364" customWidth="1"/>
    <col min="8" max="10" width="8.72727272727273"/>
    <col min="11" max="11" width="11.5272727272727" customWidth="1"/>
    <col min="12" max="18" width="14"/>
    <col min="19" max="19" width="12.8"/>
    <col min="20" max="20" width="14"/>
    <col min="21" max="22" width="20.5272727272727" customWidth="1"/>
    <col min="23" max="24" width="19.2636363636364" customWidth="1"/>
    <col min="25" max="25" width="12.8"/>
    <col min="26" max="27" width="9.26363636363636"/>
    <col min="28" max="28" width="8.72727272727273"/>
    <col min="29" max="29" width="17.0636363636364" customWidth="1"/>
    <col min="30" max="37" width="8.72727272727273"/>
    <col min="38" max="38" width="12.7272727272727" customWidth="1"/>
    <col min="39" max="42" width="12.8" customWidth="1"/>
    <col min="43" max="43" width="8.72727272727273"/>
    <col min="44" max="45" width="14"/>
    <col min="46" max="46" width="12.8"/>
    <col min="47" max="47" width="14"/>
    <col min="48" max="49" width="20.5272727272727" customWidth="1"/>
    <col min="50" max="51" width="19.2636363636364" customWidth="1"/>
    <col min="52" max="52" width="9.26363636363636"/>
    <col min="53" max="59" width="8.72727272727273"/>
    <col min="61" max="61" width="17.0636363636364" customWidth="1"/>
    <col min="62" max="69" width="8.72727272727273"/>
    <col min="70" max="70" width="12.7272727272727" customWidth="1"/>
    <col min="71" max="74" width="12.8" customWidth="1"/>
    <col min="75" max="75" width="8.72727272727273"/>
    <col min="76" max="77" width="14"/>
    <col min="78" max="78" width="12.8"/>
    <col min="79" max="79" width="14"/>
    <col min="80" max="81" width="20.5272727272727" customWidth="1"/>
    <col min="82" max="83" width="19.2636363636364" customWidth="1"/>
    <col min="84" max="84" width="9.26363636363636"/>
    <col min="89" max="89" width="9" style="33"/>
    <col min="90" max="90" width="9.72727272727273" style="33"/>
    <col min="91" max="91" width="9" style="33"/>
    <col min="92" max="92" width="9.72727272727273" style="33"/>
    <col min="93" max="93" width="9" style="33"/>
    <col min="94" max="94" width="9.72727272727273" style="33"/>
  </cols>
  <sheetData>
    <row r="1" spans="2:96">
      <c r="K1" s="52" t="s">
        <v>0</v>
      </c>
    </row>
    <row r="4" s="31" customFormat="1" spans="2:96">
      <c r="B4" s="53" t="s">
        <v>1</v>
      </c>
      <c r="CK4" s="33"/>
      <c r="CL4" s="33"/>
      <c r="CM4" s="33"/>
      <c r="CN4" s="33"/>
      <c r="CO4" s="33"/>
      <c r="CP4" s="33"/>
    </row>
    <row r="5" s="31" customFormat="1" spans="2:96">
      <c r="B5" s="31" t="s">
        <v>2</v>
      </c>
      <c r="CK5" s="33"/>
      <c r="CL5" s="33"/>
      <c r="CM5" s="33"/>
      <c r="CN5" s="33"/>
      <c r="CO5" s="33"/>
      <c r="CP5" s="33"/>
    </row>
    <row r="6" s="31" customFormat="1" spans="2:96">
      <c r="AC6" s="54"/>
      <c r="BI6" s="54"/>
      <c r="CK6" s="33"/>
      <c r="CL6" s="33"/>
      <c r="CM6" s="33"/>
      <c r="CN6" s="33"/>
      <c r="CO6" s="33"/>
      <c r="CP6" s="33"/>
    </row>
    <row r="7" s="31" customFormat="1" spans="2:96">
      <c r="J7" s="31" t="s">
        <v>3</v>
      </c>
      <c r="AK7" s="31" t="s">
        <v>3</v>
      </c>
      <c r="BQ7" s="31" t="s">
        <v>3</v>
      </c>
      <c r="CK7" s="55" t="s">
        <v>4</v>
      </c>
      <c r="CL7" s="55"/>
      <c r="CM7" s="55"/>
      <c r="CN7" s="55"/>
      <c r="CO7" s="55"/>
      <c r="CP7" s="55"/>
      <c r="CQ7" s="33"/>
      <c r="CR7" s="33"/>
    </row>
    <row r="10" spans="2:96"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  <c r="J10" t="s">
        <v>13</v>
      </c>
      <c r="K10" t="s">
        <v>14</v>
      </c>
      <c r="L10" t="s">
        <v>15</v>
      </c>
      <c r="U10" t="s">
        <v>16</v>
      </c>
      <c r="W10" t="s">
        <v>17</v>
      </c>
      <c r="Y10" t="s">
        <v>18</v>
      </c>
      <c r="AB10" s="56"/>
      <c r="AC10" t="s">
        <v>5</v>
      </c>
      <c r="AD10" t="s">
        <v>6</v>
      </c>
      <c r="AE10" t="s">
        <v>7</v>
      </c>
      <c r="AF10" t="s">
        <v>8</v>
      </c>
      <c r="AG10" t="s">
        <v>9</v>
      </c>
      <c r="AH10" t="s">
        <v>10</v>
      </c>
      <c r="AI10" t="s">
        <v>11</v>
      </c>
      <c r="AJ10" t="s">
        <v>12</v>
      </c>
      <c r="AK10" t="s">
        <v>13</v>
      </c>
      <c r="AL10" t="s">
        <v>14</v>
      </c>
      <c r="AM10" t="s">
        <v>15</v>
      </c>
      <c r="AV10" t="s">
        <v>16</v>
      </c>
      <c r="AX10" t="s">
        <v>17</v>
      </c>
      <c r="AZ10" t="s">
        <v>18</v>
      </c>
      <c r="BI10" t="s">
        <v>5</v>
      </c>
      <c r="BJ10" t="s">
        <v>6</v>
      </c>
      <c r="BK10" t="s">
        <v>7</v>
      </c>
      <c r="BL10" t="s">
        <v>8</v>
      </c>
      <c r="BM10" t="s">
        <v>9</v>
      </c>
      <c r="BN10" t="s">
        <v>10</v>
      </c>
      <c r="BO10" t="s">
        <v>11</v>
      </c>
      <c r="BP10" t="s">
        <v>12</v>
      </c>
      <c r="BQ10" t="s">
        <v>13</v>
      </c>
      <c r="BR10" t="s">
        <v>14</v>
      </c>
      <c r="BS10" t="s">
        <v>15</v>
      </c>
      <c r="CB10" t="s">
        <v>16</v>
      </c>
      <c r="CD10" t="s">
        <v>17</v>
      </c>
      <c r="CF10" t="s">
        <v>18</v>
      </c>
    </row>
    <row r="11" spans="2:96">
      <c r="B11" t="s">
        <v>19</v>
      </c>
      <c r="G11" t="s">
        <v>20</v>
      </c>
      <c r="I11">
        <v>2020</v>
      </c>
      <c r="J11" t="s">
        <v>21</v>
      </c>
      <c r="K11">
        <v>1</v>
      </c>
      <c r="L11" s="28">
        <f>S11</f>
        <v>8104</v>
      </c>
      <c r="Q11" s="57">
        <f>T15</f>
        <v>8104</v>
      </c>
      <c r="R11" s="58">
        <f>V15</f>
        <v>8104</v>
      </c>
      <c r="S11" s="58">
        <f>X15</f>
        <v>8104</v>
      </c>
      <c r="Y11" s="59">
        <f>Y15</f>
        <v>15587.85</v>
      </c>
      <c r="Z11" s="60"/>
      <c r="AA11" s="60"/>
      <c r="AB11" s="56"/>
      <c r="AC11" t="s">
        <v>22</v>
      </c>
      <c r="AH11" t="s">
        <v>23</v>
      </c>
      <c r="AJ11">
        <v>2020</v>
      </c>
      <c r="AK11" t="s">
        <v>21</v>
      </c>
      <c r="AL11">
        <v>1</v>
      </c>
      <c r="AM11" s="28">
        <f>AT11</f>
        <v>8304</v>
      </c>
      <c r="AR11" s="57">
        <f>AU15</f>
        <v>8304</v>
      </c>
      <c r="AS11" s="58">
        <f>AW15</f>
        <v>8304</v>
      </c>
      <c r="AT11" s="58">
        <f>AY15</f>
        <v>8304</v>
      </c>
      <c r="BI11" t="s">
        <v>24</v>
      </c>
      <c r="BN11" t="s">
        <v>23</v>
      </c>
      <c r="BP11">
        <v>2020</v>
      </c>
      <c r="BQ11" t="s">
        <v>21</v>
      </c>
      <c r="BR11">
        <v>1</v>
      </c>
      <c r="BS11" s="28">
        <f t="shared" ref="BS11:BS41" si="0">BZ11</f>
        <v>0</v>
      </c>
      <c r="BX11" s="57">
        <f>CA15</f>
        <v>0</v>
      </c>
      <c r="BY11" s="58">
        <f>CC15</f>
        <v>0</v>
      </c>
      <c r="BZ11" s="58">
        <f>CE15</f>
        <v>0</v>
      </c>
    </row>
    <row r="12" spans="2:96">
      <c r="G12" t="str">
        <f t="shared" ref="G12:G75" si="1">G11</f>
        <v>NetCO2_ELC</v>
      </c>
      <c r="I12">
        <v>2021</v>
      </c>
      <c r="J12" t="s">
        <v>21</v>
      </c>
      <c r="K12">
        <v>1</v>
      </c>
      <c r="L12" s="28">
        <f t="shared" ref="L12:L41" si="2">S12</f>
        <v>8104</v>
      </c>
      <c r="Q12" s="57">
        <f>Q11</f>
        <v>8104</v>
      </c>
      <c r="R12" s="57">
        <f>R11</f>
        <v>8104</v>
      </c>
      <c r="S12" s="57">
        <f>S11</f>
        <v>8104</v>
      </c>
      <c r="Y12" s="59">
        <f>Y11</f>
        <v>15587.85</v>
      </c>
      <c r="AH12" t="str">
        <f t="shared" ref="AH12:AH75" si="3">AH11</f>
        <v>NetCO2_TRA</v>
      </c>
      <c r="AJ12">
        <v>2021</v>
      </c>
      <c r="AK12" t="s">
        <v>21</v>
      </c>
      <c r="AL12">
        <v>1</v>
      </c>
      <c r="AM12" s="28">
        <f t="shared" ref="AM12:AM18" si="4">AT12</f>
        <v>8304</v>
      </c>
      <c r="AR12" s="57">
        <f t="shared" ref="AR12:AT12" si="5">AR11</f>
        <v>8304</v>
      </c>
      <c r="AS12" s="57">
        <f t="shared" si="5"/>
        <v>8304</v>
      </c>
      <c r="AT12" s="57">
        <f t="shared" si="5"/>
        <v>8304</v>
      </c>
      <c r="BN12" t="str">
        <f t="shared" ref="BN12:BN75" si="6">BN11</f>
        <v>NetCO2_TRA</v>
      </c>
      <c r="BP12">
        <v>2021</v>
      </c>
      <c r="BQ12" t="s">
        <v>21</v>
      </c>
      <c r="BR12">
        <v>1</v>
      </c>
      <c r="BS12" s="28">
        <f t="shared" si="0"/>
        <v>0</v>
      </c>
      <c r="BX12" s="57">
        <f t="shared" ref="BX12:BZ12" si="7">BX11</f>
        <v>0</v>
      </c>
      <c r="BY12" s="57">
        <f t="shared" si="7"/>
        <v>0</v>
      </c>
      <c r="BZ12" s="57">
        <f t="shared" si="7"/>
        <v>0</v>
      </c>
      <c r="CL12" s="33" t="s">
        <v>25</v>
      </c>
      <c r="CN12" s="33" t="s">
        <v>26</v>
      </c>
      <c r="CP12" s="33" t="s">
        <v>27</v>
      </c>
    </row>
    <row r="13" spans="2:96">
      <c r="G13" t="str">
        <f t="shared" si="1"/>
        <v>NetCO2_ELC</v>
      </c>
      <c r="I13">
        <v>2022</v>
      </c>
      <c r="J13" t="s">
        <v>21</v>
      </c>
      <c r="K13">
        <v>1</v>
      </c>
      <c r="L13" s="28">
        <f t="shared" si="2"/>
        <v>8104</v>
      </c>
      <c r="Q13" s="57">
        <f t="shared" ref="Q13:S13" si="8">Q12-Q11+Q12</f>
        <v>8104</v>
      </c>
      <c r="R13" s="57">
        <f t="shared" si="8"/>
        <v>8104</v>
      </c>
      <c r="S13" s="57">
        <f t="shared" si="8"/>
        <v>8104</v>
      </c>
      <c r="Y13" s="59">
        <f>Y12</f>
        <v>15587.85</v>
      </c>
      <c r="AH13" t="str">
        <f t="shared" si="3"/>
        <v>NetCO2_TRA</v>
      </c>
      <c r="AJ13">
        <v>2022</v>
      </c>
      <c r="AK13" t="s">
        <v>21</v>
      </c>
      <c r="AL13">
        <v>1</v>
      </c>
      <c r="AM13" s="28">
        <f t="shared" si="4"/>
        <v>8304</v>
      </c>
      <c r="AR13" s="57">
        <f t="shared" ref="AR13:AT13" si="9">AR12-AR11+AR12</f>
        <v>8304</v>
      </c>
      <c r="AS13" s="57">
        <f t="shared" si="9"/>
        <v>8304</v>
      </c>
      <c r="AT13" s="57">
        <f t="shared" si="9"/>
        <v>8304</v>
      </c>
      <c r="BN13" t="str">
        <f t="shared" si="6"/>
        <v>NetCO2_TRA</v>
      </c>
      <c r="BP13">
        <v>2022</v>
      </c>
      <c r="BQ13" t="s">
        <v>21</v>
      </c>
      <c r="BR13">
        <v>1</v>
      </c>
      <c r="BS13" s="28">
        <f t="shared" si="0"/>
        <v>0</v>
      </c>
      <c r="BX13" s="57">
        <f t="shared" ref="BX13:BZ13" si="10">BX12-BX11+BX12</f>
        <v>0</v>
      </c>
      <c r="BY13" s="57">
        <f t="shared" si="10"/>
        <v>0</v>
      </c>
      <c r="BZ13" s="57">
        <f t="shared" si="10"/>
        <v>0</v>
      </c>
    </row>
    <row r="14" spans="2:96">
      <c r="G14" t="str">
        <f t="shared" si="1"/>
        <v>NetCO2_ELC</v>
      </c>
      <c r="I14">
        <v>2023</v>
      </c>
      <c r="J14" t="s">
        <v>21</v>
      </c>
      <c r="K14">
        <v>1</v>
      </c>
      <c r="L14" s="28">
        <f t="shared" si="2"/>
        <v>8104</v>
      </c>
      <c r="Q14" s="57">
        <f t="shared" ref="Q14:S14" si="11">Q13-Q12+Q13</f>
        <v>8104</v>
      </c>
      <c r="R14" s="57">
        <f t="shared" si="11"/>
        <v>8104</v>
      </c>
      <c r="S14" s="57">
        <f t="shared" si="11"/>
        <v>8104</v>
      </c>
      <c r="Y14" s="59">
        <f>Y13</f>
        <v>15587.85</v>
      </c>
      <c r="AB14" s="56"/>
      <c r="AH14" t="str">
        <f t="shared" si="3"/>
        <v>NetCO2_TRA</v>
      </c>
      <c r="AJ14">
        <v>2023</v>
      </c>
      <c r="AK14" t="s">
        <v>21</v>
      </c>
      <c r="AL14">
        <v>1</v>
      </c>
      <c r="AM14" s="28">
        <f t="shared" si="4"/>
        <v>8304</v>
      </c>
      <c r="AR14" s="57">
        <f t="shared" ref="AR14:AT14" si="12">AR13-AR12+AR13</f>
        <v>8304</v>
      </c>
      <c r="AS14" s="57">
        <f t="shared" si="12"/>
        <v>8304</v>
      </c>
      <c r="AT14" s="57">
        <f t="shared" si="12"/>
        <v>8304</v>
      </c>
      <c r="BN14" t="str">
        <f t="shared" si="6"/>
        <v>NetCO2_TRA</v>
      </c>
      <c r="BP14">
        <v>2023</v>
      </c>
      <c r="BQ14" t="s">
        <v>21</v>
      </c>
      <c r="BR14">
        <v>1</v>
      </c>
      <c r="BS14" s="28">
        <f t="shared" si="0"/>
        <v>0</v>
      </c>
      <c r="BX14" s="57">
        <f t="shared" ref="BX14:BZ14" si="13">BX13-BX12+BX13</f>
        <v>0</v>
      </c>
      <c r="BY14" s="57">
        <f t="shared" si="13"/>
        <v>0</v>
      </c>
      <c r="BZ14" s="57">
        <f t="shared" si="13"/>
        <v>0</v>
      </c>
      <c r="CK14" s="33">
        <v>2020</v>
      </c>
      <c r="CL14" s="48">
        <f>CL15</f>
        <v>33003.17</v>
      </c>
      <c r="CM14" s="48"/>
      <c r="CN14" s="48">
        <f>CN15</f>
        <v>33003.17</v>
      </c>
      <c r="CO14" s="48"/>
      <c r="CP14" s="48">
        <f>CP15</f>
        <v>33003.17</v>
      </c>
    </row>
    <row r="15" s="31" customFormat="1" spans="2:96">
      <c r="G15" s="31" t="str">
        <f t="shared" si="1"/>
        <v>NetCO2_ELC</v>
      </c>
      <c r="I15" s="31">
        <v>2024</v>
      </c>
      <c r="J15" s="31" t="s">
        <v>21</v>
      </c>
      <c r="K15" s="31">
        <v>1</v>
      </c>
      <c r="L15" s="61">
        <f t="shared" si="2"/>
        <v>8104</v>
      </c>
      <c r="Q15" s="62">
        <v>8104</v>
      </c>
      <c r="R15" s="62">
        <v>8104</v>
      </c>
      <c r="S15" s="62">
        <v>8104</v>
      </c>
      <c r="T15" s="31">
        <v>8104</v>
      </c>
      <c r="U15" s="63">
        <v>15587.85</v>
      </c>
      <c r="V15" s="63">
        <v>8104</v>
      </c>
      <c r="W15" s="64">
        <v>15587.85</v>
      </c>
      <c r="X15" s="63">
        <v>8104</v>
      </c>
      <c r="Y15" s="63">
        <v>15587.85</v>
      </c>
      <c r="AH15" s="31" t="str">
        <f t="shared" si="3"/>
        <v>NetCO2_TRA</v>
      </c>
      <c r="AJ15" s="31">
        <v>2024</v>
      </c>
      <c r="AK15" s="31" t="s">
        <v>21</v>
      </c>
      <c r="AL15" s="31">
        <v>1</v>
      </c>
      <c r="AM15" s="28">
        <f t="shared" si="4"/>
        <v>8304</v>
      </c>
      <c r="AR15" s="62">
        <f>AU15</f>
        <v>8304</v>
      </c>
      <c r="AS15" s="65">
        <f>AW15</f>
        <v>8304</v>
      </c>
      <c r="AT15" s="65">
        <f>AY15</f>
        <v>8304</v>
      </c>
      <c r="AU15">
        <v>8304</v>
      </c>
      <c r="AV15" s="66">
        <v>8358.32</v>
      </c>
      <c r="AW15" s="60">
        <f>AU15</f>
        <v>8304</v>
      </c>
      <c r="AX15" s="66">
        <v>8358.32</v>
      </c>
      <c r="AY15" s="60">
        <f>AW15</f>
        <v>8304</v>
      </c>
      <c r="AZ15" s="66">
        <v>8358.32</v>
      </c>
      <c r="BA15"/>
      <c r="BN15" s="31" t="str">
        <f t="shared" si="6"/>
        <v>NetCO2_TRA</v>
      </c>
      <c r="BP15" s="31">
        <v>2024</v>
      </c>
      <c r="BQ15" s="31" t="s">
        <v>21</v>
      </c>
      <c r="BR15" s="31">
        <v>1</v>
      </c>
      <c r="BS15" s="28">
        <f t="shared" si="0"/>
        <v>0</v>
      </c>
      <c r="BX15" s="62">
        <f>CA15</f>
        <v>0</v>
      </c>
      <c r="BY15" s="65">
        <f>CC15</f>
        <v>0</v>
      </c>
      <c r="BZ15" s="65">
        <f>CE15</f>
        <v>0</v>
      </c>
      <c r="CA15"/>
      <c r="CB15" s="66">
        <v>9057</v>
      </c>
      <c r="CC15" s="60">
        <f>CA15</f>
        <v>0</v>
      </c>
      <c r="CD15" s="66">
        <f>CB15</f>
        <v>9057</v>
      </c>
      <c r="CE15" s="60">
        <f>CC15</f>
        <v>0</v>
      </c>
      <c r="CF15" s="66">
        <f>CD15</f>
        <v>9057</v>
      </c>
      <c r="CK15" s="33">
        <v>2024</v>
      </c>
      <c r="CL15" s="48">
        <f t="shared" ref="CL15:CP15" si="14">CB15+AV15+U15</f>
        <v>33003.17</v>
      </c>
      <c r="CM15" s="33"/>
      <c r="CN15" s="48">
        <f t="shared" si="14"/>
        <v>33003.17</v>
      </c>
      <c r="CO15" s="33"/>
      <c r="CP15" s="48">
        <f t="shared" si="14"/>
        <v>33003.17</v>
      </c>
    </row>
    <row r="16" spans="2:96">
      <c r="G16" t="str">
        <f t="shared" si="1"/>
        <v>NetCO2_ELC</v>
      </c>
      <c r="I16">
        <v>2025</v>
      </c>
      <c r="J16" t="s">
        <v>21</v>
      </c>
      <c r="K16">
        <v>1</v>
      </c>
      <c r="L16" s="28">
        <f t="shared" si="2"/>
        <v>7564.49946523035</v>
      </c>
      <c r="Q16" s="67">
        <f>Q15-(Q15-Q26)/11</f>
        <v>8066.47277066316</v>
      </c>
      <c r="R16" s="67">
        <f>R15-(R15-R26)/11</f>
        <v>7971.43555035726</v>
      </c>
      <c r="S16" s="67">
        <f>S15-(S15-S26)/11</f>
        <v>7564.49946523035</v>
      </c>
      <c r="Y16" s="68">
        <f>Y15-(Y15-Y26)/11</f>
        <v>14550.1336363636</v>
      </c>
      <c r="AH16" t="str">
        <f t="shared" si="3"/>
        <v>NetCO2_TRA</v>
      </c>
      <c r="AJ16">
        <v>2025</v>
      </c>
      <c r="AK16" t="s">
        <v>21</v>
      </c>
      <c r="AL16">
        <v>1</v>
      </c>
      <c r="AM16" s="28">
        <f t="shared" si="4"/>
        <v>8022.83557983379</v>
      </c>
      <c r="AR16" s="67">
        <f>AR15-(AR15-AR26)/11</f>
        <v>8348.94327959773</v>
      </c>
      <c r="AS16" s="68">
        <f>AS15-(AS15-AS26)/11</f>
        <v>8312.35715050175</v>
      </c>
      <c r="AT16" s="68">
        <f>AT15-(AT15-AT26)/11</f>
        <v>8022.83557983379</v>
      </c>
      <c r="BN16" t="str">
        <f t="shared" si="6"/>
        <v>NetCO2_TRA</v>
      </c>
      <c r="BP16">
        <v>2025</v>
      </c>
      <c r="BQ16" t="s">
        <v>21</v>
      </c>
      <c r="BR16">
        <v>1</v>
      </c>
      <c r="BS16" s="28">
        <f t="shared" si="0"/>
        <v>0</v>
      </c>
      <c r="BX16" s="67">
        <f t="shared" ref="BX16:BZ16" si="15">BX15-(BX15-BX26)/11</f>
        <v>0</v>
      </c>
      <c r="BY16" s="68">
        <f t="shared" si="15"/>
        <v>0</v>
      </c>
      <c r="BZ16" s="68">
        <f t="shared" si="15"/>
        <v>0</v>
      </c>
    </row>
    <row r="17" spans="7:94">
      <c r="G17" t="str">
        <f t="shared" si="1"/>
        <v>NetCO2_ELC</v>
      </c>
      <c r="I17">
        <v>2026</v>
      </c>
      <c r="J17" t="s">
        <v>21</v>
      </c>
      <c r="K17">
        <v>1</v>
      </c>
      <c r="L17" s="28">
        <f t="shared" si="2"/>
        <v>7024.9989304607</v>
      </c>
      <c r="Q17" s="67">
        <f t="shared" ref="Q17:S17" si="16">Q16-Q15+Q16</f>
        <v>8028.94554132633</v>
      </c>
      <c r="R17" s="67">
        <f t="shared" si="16"/>
        <v>7838.87110071451</v>
      </c>
      <c r="S17" s="67">
        <f t="shared" si="16"/>
        <v>7024.9989304607</v>
      </c>
      <c r="Y17" s="67">
        <f>Y16-Y15+Y16</f>
        <v>13512.4172727273</v>
      </c>
      <c r="AB17" s="56"/>
      <c r="AH17" t="str">
        <f t="shared" si="3"/>
        <v>NetCO2_TRA</v>
      </c>
      <c r="AJ17">
        <v>2026</v>
      </c>
      <c r="AK17" t="s">
        <v>21</v>
      </c>
      <c r="AL17">
        <v>1</v>
      </c>
      <c r="AM17" s="28">
        <f t="shared" si="4"/>
        <v>7741.67115966758</v>
      </c>
      <c r="AR17" s="67">
        <f t="shared" ref="AR17:AT17" si="17">AR16-AR15+AR16</f>
        <v>8393.88655919545</v>
      </c>
      <c r="AS17" s="67">
        <f t="shared" si="17"/>
        <v>8320.71430100351</v>
      </c>
      <c r="AT17" s="67">
        <f t="shared" si="17"/>
        <v>7741.67115966758</v>
      </c>
      <c r="BN17" t="str">
        <f t="shared" si="6"/>
        <v>NetCO2_TRA</v>
      </c>
      <c r="BP17">
        <v>2026</v>
      </c>
      <c r="BQ17" t="s">
        <v>21</v>
      </c>
      <c r="BR17">
        <v>1</v>
      </c>
      <c r="BS17" s="28">
        <f t="shared" si="0"/>
        <v>0</v>
      </c>
      <c r="BX17" s="67">
        <f t="shared" ref="BX17:BZ17" si="18">BX16-BX15+BX16</f>
        <v>0</v>
      </c>
      <c r="BY17" s="67">
        <f t="shared" si="18"/>
        <v>0</v>
      </c>
      <c r="BZ17" s="67">
        <f t="shared" si="18"/>
        <v>0</v>
      </c>
    </row>
    <row r="18" spans="7:94">
      <c r="G18" t="str">
        <f t="shared" si="1"/>
        <v>NetCO2_ELC</v>
      </c>
      <c r="I18">
        <v>2027</v>
      </c>
      <c r="J18" t="s">
        <v>21</v>
      </c>
      <c r="K18">
        <v>1</v>
      </c>
      <c r="L18" s="28">
        <f t="shared" si="2"/>
        <v>6485.49839569105</v>
      </c>
      <c r="Q18" s="67">
        <f t="shared" ref="Q18:S18" si="19">Q17-Q16+Q17</f>
        <v>7991.41831198949</v>
      </c>
      <c r="R18" s="67">
        <f t="shared" si="19"/>
        <v>7706.30665107177</v>
      </c>
      <c r="S18" s="67">
        <f t="shared" si="19"/>
        <v>6485.49839569105</v>
      </c>
      <c r="Y18" s="67">
        <f t="shared" ref="Y18:Y25" si="20">Y17-Y16+Y17</f>
        <v>12474.7009090909</v>
      </c>
      <c r="AH18" t="str">
        <f t="shared" si="3"/>
        <v>NetCO2_TRA</v>
      </c>
      <c r="AJ18">
        <v>2027</v>
      </c>
      <c r="AK18" t="s">
        <v>21</v>
      </c>
      <c r="AL18">
        <v>1</v>
      </c>
      <c r="AM18" s="28">
        <f t="shared" si="4"/>
        <v>7460.50673950137</v>
      </c>
      <c r="AR18" s="67">
        <f t="shared" ref="AR18:AR25" si="21">AR17-AR16+AR17</f>
        <v>8438.82983879318</v>
      </c>
      <c r="AS18" s="67">
        <f t="shared" ref="AS18:AS25" si="22">AS17-AS16+AS17</f>
        <v>8329.07145150526</v>
      </c>
      <c r="AT18" s="67">
        <f t="shared" ref="AT18:AT25" si="23">AT17-AT16+AT17</f>
        <v>7460.50673950137</v>
      </c>
      <c r="BN18" t="str">
        <f t="shared" si="6"/>
        <v>NetCO2_TRA</v>
      </c>
      <c r="BP18">
        <v>2027</v>
      </c>
      <c r="BQ18" t="s">
        <v>21</v>
      </c>
      <c r="BR18">
        <v>1</v>
      </c>
      <c r="BS18" s="28">
        <f t="shared" si="0"/>
        <v>0</v>
      </c>
      <c r="BX18" s="67">
        <f t="shared" ref="BX18:BZ18" si="24">BX17-BX16+BX17</f>
        <v>0</v>
      </c>
      <c r="BY18" s="67">
        <f t="shared" si="24"/>
        <v>0</v>
      </c>
      <c r="BZ18" s="67">
        <f t="shared" si="24"/>
        <v>0</v>
      </c>
    </row>
    <row r="19" spans="7:94">
      <c r="G19" t="str">
        <f t="shared" si="1"/>
        <v>NetCO2_ELC</v>
      </c>
      <c r="I19">
        <v>2028</v>
      </c>
      <c r="J19" t="s">
        <v>21</v>
      </c>
      <c r="K19">
        <v>1</v>
      </c>
      <c r="L19" s="28">
        <f t="shared" si="2"/>
        <v>5945.9978609214</v>
      </c>
      <c r="Q19" s="67">
        <f t="shared" ref="Q19:S19" si="25">Q18-Q17+Q18</f>
        <v>7953.89108265266</v>
      </c>
      <c r="R19" s="67">
        <f t="shared" si="25"/>
        <v>7573.74220142903</v>
      </c>
      <c r="S19" s="67">
        <f t="shared" si="25"/>
        <v>5945.9978609214</v>
      </c>
      <c r="Y19" s="67">
        <f t="shared" si="20"/>
        <v>11436.9845454545</v>
      </c>
      <c r="AH19" t="str">
        <f t="shared" si="3"/>
        <v>NetCO2_TRA</v>
      </c>
      <c r="AJ19">
        <v>2028</v>
      </c>
      <c r="AK19" t="s">
        <v>21</v>
      </c>
      <c r="AL19">
        <v>1</v>
      </c>
      <c r="AM19" s="28">
        <f t="shared" ref="AM19:AM41" si="26">AT19</f>
        <v>7179.34231933516</v>
      </c>
      <c r="AR19" s="67">
        <f t="shared" si="21"/>
        <v>8483.77311839091</v>
      </c>
      <c r="AS19" s="67">
        <f t="shared" si="22"/>
        <v>8337.42860200701</v>
      </c>
      <c r="AT19" s="67">
        <f t="shared" si="23"/>
        <v>7179.34231933516</v>
      </c>
      <c r="AV19" s="69">
        <v>8855.93</v>
      </c>
      <c r="AW19" s="70"/>
      <c r="AX19" s="69">
        <v>8450.85</v>
      </c>
      <c r="AY19" s="70"/>
      <c r="AZ19" s="69">
        <v>5245.28</v>
      </c>
      <c r="BN19" t="str">
        <f t="shared" si="6"/>
        <v>NetCO2_TRA</v>
      </c>
      <c r="BP19">
        <v>2028</v>
      </c>
      <c r="BQ19" t="s">
        <v>21</v>
      </c>
      <c r="BR19">
        <v>1</v>
      </c>
      <c r="BS19" s="28">
        <f t="shared" si="0"/>
        <v>0</v>
      </c>
      <c r="BX19" s="67">
        <f t="shared" ref="BX19:BZ19" si="27">BX18-BX17+BX18</f>
        <v>0</v>
      </c>
      <c r="BY19" s="67">
        <f t="shared" si="27"/>
        <v>0</v>
      </c>
      <c r="BZ19" s="67">
        <f t="shared" si="27"/>
        <v>0</v>
      </c>
      <c r="CB19" s="69">
        <v>9866</v>
      </c>
      <c r="CC19" s="70"/>
      <c r="CD19" s="69">
        <v>9250</v>
      </c>
      <c r="CE19" s="70"/>
      <c r="CF19" s="69">
        <v>6301</v>
      </c>
    </row>
    <row r="20" spans="7:94">
      <c r="G20" t="str">
        <f t="shared" si="1"/>
        <v>NetCO2_ELC</v>
      </c>
      <c r="I20">
        <v>2029</v>
      </c>
      <c r="J20" t="s">
        <v>21</v>
      </c>
      <c r="K20">
        <v>1</v>
      </c>
      <c r="L20" s="28">
        <f t="shared" si="2"/>
        <v>5406.49732615175</v>
      </c>
      <c r="Q20" s="67">
        <f t="shared" ref="Q20:S20" si="28">Q19-Q18+Q19</f>
        <v>7916.36385331582</v>
      </c>
      <c r="R20" s="67">
        <f t="shared" si="28"/>
        <v>7441.17775178628</v>
      </c>
      <c r="S20" s="67">
        <f t="shared" si="28"/>
        <v>5406.49732615175</v>
      </c>
      <c r="Y20" s="67">
        <f t="shared" si="20"/>
        <v>10399.2681818182</v>
      </c>
      <c r="AB20" s="56"/>
      <c r="AH20" t="str">
        <f t="shared" si="3"/>
        <v>NetCO2_TRA</v>
      </c>
      <c r="AJ20">
        <v>2029</v>
      </c>
      <c r="AK20" t="s">
        <v>21</v>
      </c>
      <c r="AL20">
        <v>1</v>
      </c>
      <c r="AM20" s="28">
        <f t="shared" si="26"/>
        <v>6898.17789916895</v>
      </c>
      <c r="AR20" s="67">
        <f t="shared" si="21"/>
        <v>8528.71639798863</v>
      </c>
      <c r="AS20" s="67">
        <f t="shared" si="22"/>
        <v>8345.78575250877</v>
      </c>
      <c r="AT20" s="67">
        <f t="shared" si="23"/>
        <v>6898.17789916895</v>
      </c>
      <c r="AV20" s="69">
        <v>9016.87</v>
      </c>
      <c r="AW20" s="70"/>
      <c r="AX20" s="69">
        <v>8201.3</v>
      </c>
      <c r="AY20" s="70"/>
      <c r="AZ20" s="69">
        <v>3254.48</v>
      </c>
      <c r="BN20" t="str">
        <f t="shared" si="6"/>
        <v>NetCO2_TRA</v>
      </c>
      <c r="BP20">
        <v>2029</v>
      </c>
      <c r="BQ20" t="s">
        <v>21</v>
      </c>
      <c r="BR20">
        <v>1</v>
      </c>
      <c r="BS20" s="28">
        <f t="shared" si="0"/>
        <v>0</v>
      </c>
      <c r="BX20" s="67">
        <f t="shared" ref="BX20:BZ20" si="29">BX19-BX18+BX19</f>
        <v>0</v>
      </c>
      <c r="BY20" s="67">
        <f t="shared" si="29"/>
        <v>0</v>
      </c>
      <c r="BZ20" s="67">
        <f t="shared" si="29"/>
        <v>0</v>
      </c>
      <c r="CB20" s="69">
        <v>10141</v>
      </c>
      <c r="CC20" s="70"/>
      <c r="CD20" s="69">
        <v>9242</v>
      </c>
      <c r="CE20" s="70"/>
      <c r="CF20" s="69">
        <v>3831</v>
      </c>
    </row>
    <row r="21" spans="7:94">
      <c r="G21" t="str">
        <f t="shared" si="1"/>
        <v>NetCO2_ELC</v>
      </c>
      <c r="I21">
        <v>2030</v>
      </c>
      <c r="J21" t="s">
        <v>21</v>
      </c>
      <c r="K21">
        <v>1</v>
      </c>
      <c r="L21" s="28">
        <f t="shared" si="2"/>
        <v>4866.9967913821</v>
      </c>
      <c r="Q21" s="67">
        <f t="shared" ref="Q21:S21" si="30">Q20-Q19+Q20</f>
        <v>7878.83662397899</v>
      </c>
      <c r="R21" s="67">
        <f t="shared" si="30"/>
        <v>7308.61330214354</v>
      </c>
      <c r="S21" s="67">
        <f t="shared" si="30"/>
        <v>4866.9967913821</v>
      </c>
      <c r="Y21" s="67">
        <f t="shared" si="20"/>
        <v>9361.55181818182</v>
      </c>
      <c r="AH21" t="str">
        <f t="shared" si="3"/>
        <v>NetCO2_TRA</v>
      </c>
      <c r="AJ21">
        <v>2030</v>
      </c>
      <c r="AK21" t="s">
        <v>21</v>
      </c>
      <c r="AL21">
        <v>1</v>
      </c>
      <c r="AM21" s="28">
        <f t="shared" si="26"/>
        <v>6617.01347900274</v>
      </c>
      <c r="AR21" s="67">
        <f t="shared" si="21"/>
        <v>8573.65967758636</v>
      </c>
      <c r="AS21" s="67">
        <f t="shared" si="22"/>
        <v>8354.14290301052</v>
      </c>
      <c r="AT21" s="67">
        <f t="shared" si="23"/>
        <v>6617.01347900274</v>
      </c>
      <c r="AV21" s="69">
        <v>9625.7</v>
      </c>
      <c r="AW21" s="70"/>
      <c r="AX21" s="69">
        <v>7988.52</v>
      </c>
      <c r="AY21" s="70"/>
      <c r="AZ21" s="69">
        <v>892.73</v>
      </c>
      <c r="BN21" t="str">
        <f t="shared" si="6"/>
        <v>NetCO2_TRA</v>
      </c>
      <c r="BP21">
        <v>2030</v>
      </c>
      <c r="BQ21" t="s">
        <v>21</v>
      </c>
      <c r="BR21">
        <v>1</v>
      </c>
      <c r="BS21" s="28">
        <f t="shared" si="0"/>
        <v>0</v>
      </c>
      <c r="BX21" s="67">
        <f t="shared" ref="BX21:BZ21" si="31">BX20-BX19+BX20</f>
        <v>0</v>
      </c>
      <c r="BY21" s="67">
        <f t="shared" si="31"/>
        <v>0</v>
      </c>
      <c r="BZ21" s="67">
        <f t="shared" si="31"/>
        <v>0</v>
      </c>
      <c r="CB21" s="69">
        <v>10390</v>
      </c>
      <c r="CC21" s="70"/>
      <c r="CD21" s="69">
        <v>8885</v>
      </c>
      <c r="CE21" s="70"/>
      <c r="CF21" s="69">
        <v>452</v>
      </c>
    </row>
    <row r="22" spans="7:94">
      <c r="G22" t="str">
        <f t="shared" si="1"/>
        <v>NetCO2_ELC</v>
      </c>
      <c r="I22">
        <v>2031</v>
      </c>
      <c r="J22" t="s">
        <v>21</v>
      </c>
      <c r="K22">
        <v>1</v>
      </c>
      <c r="L22" s="28">
        <f t="shared" si="2"/>
        <v>4327.49625661245</v>
      </c>
      <c r="Q22" s="67">
        <f t="shared" ref="Q22:S22" si="32">Q21-Q20+Q21</f>
        <v>7841.30939464215</v>
      </c>
      <c r="R22" s="67">
        <f t="shared" si="32"/>
        <v>7176.0488525008</v>
      </c>
      <c r="S22" s="67">
        <f t="shared" si="32"/>
        <v>4327.49625661245</v>
      </c>
      <c r="Y22" s="67">
        <f t="shared" si="20"/>
        <v>8323.83545454545</v>
      </c>
      <c r="AH22" t="str">
        <f t="shared" si="3"/>
        <v>NetCO2_TRA</v>
      </c>
      <c r="AJ22">
        <v>2031</v>
      </c>
      <c r="AK22" t="s">
        <v>21</v>
      </c>
      <c r="AL22">
        <v>1</v>
      </c>
      <c r="AM22" s="28">
        <f t="shared" si="26"/>
        <v>6335.84905883653</v>
      </c>
      <c r="AR22" s="67">
        <f t="shared" si="21"/>
        <v>8618.60295718408</v>
      </c>
      <c r="AS22" s="67">
        <f t="shared" si="22"/>
        <v>8362.50005351227</v>
      </c>
      <c r="AT22" s="67">
        <f t="shared" si="23"/>
        <v>6335.84905883653</v>
      </c>
      <c r="BN22" t="str">
        <f t="shared" si="6"/>
        <v>NetCO2_TRA</v>
      </c>
      <c r="BP22">
        <v>2031</v>
      </c>
      <c r="BQ22" t="s">
        <v>21</v>
      </c>
      <c r="BR22">
        <v>1</v>
      </c>
      <c r="BS22" s="28">
        <f t="shared" si="0"/>
        <v>0</v>
      </c>
      <c r="BX22" s="67">
        <f t="shared" ref="BX22:BZ22" si="33">BX21-BX20+BX21</f>
        <v>0</v>
      </c>
      <c r="BY22" s="67">
        <f t="shared" si="33"/>
        <v>0</v>
      </c>
      <c r="BZ22" s="67">
        <f t="shared" si="33"/>
        <v>0</v>
      </c>
    </row>
    <row r="23" spans="7:94">
      <c r="G23" t="str">
        <f t="shared" si="1"/>
        <v>NetCO2_ELC</v>
      </c>
      <c r="I23">
        <v>2032</v>
      </c>
      <c r="J23" t="s">
        <v>21</v>
      </c>
      <c r="K23">
        <v>1</v>
      </c>
      <c r="L23" s="28">
        <f t="shared" si="2"/>
        <v>3787.9957218428</v>
      </c>
      <c r="Q23" s="67">
        <f t="shared" ref="Q23:S23" si="34">Q22-Q21+Q22</f>
        <v>7803.78216530532</v>
      </c>
      <c r="R23" s="67">
        <f t="shared" si="34"/>
        <v>7043.48440285806</v>
      </c>
      <c r="S23" s="67">
        <f t="shared" si="34"/>
        <v>3787.9957218428</v>
      </c>
      <c r="Y23" s="67">
        <f t="shared" si="20"/>
        <v>7286.11909090909</v>
      </c>
      <c r="AB23" s="56"/>
      <c r="AH23" t="str">
        <f t="shared" si="3"/>
        <v>NetCO2_TRA</v>
      </c>
      <c r="AJ23">
        <v>2032</v>
      </c>
      <c r="AK23" t="s">
        <v>21</v>
      </c>
      <c r="AL23">
        <v>1</v>
      </c>
      <c r="AM23" s="28">
        <f t="shared" si="26"/>
        <v>6054.68463867032</v>
      </c>
      <c r="AR23" s="67">
        <f t="shared" si="21"/>
        <v>8663.54623678181</v>
      </c>
      <c r="AS23" s="67">
        <f t="shared" si="22"/>
        <v>8370.85720401403</v>
      </c>
      <c r="AT23" s="67">
        <f t="shared" si="23"/>
        <v>6054.68463867032</v>
      </c>
      <c r="BN23" t="str">
        <f t="shared" si="6"/>
        <v>NetCO2_TRA</v>
      </c>
      <c r="BP23">
        <v>2032</v>
      </c>
      <c r="BQ23" t="s">
        <v>21</v>
      </c>
      <c r="BR23">
        <v>1</v>
      </c>
      <c r="BS23" s="28">
        <f t="shared" si="0"/>
        <v>0</v>
      </c>
      <c r="BX23" s="67">
        <f t="shared" ref="BX23:BZ23" si="35">BX22-BX21+BX22</f>
        <v>0</v>
      </c>
      <c r="BY23" s="67">
        <f t="shared" si="35"/>
        <v>0</v>
      </c>
      <c r="BZ23" s="67">
        <f t="shared" si="35"/>
        <v>0</v>
      </c>
    </row>
    <row r="24" spans="7:94">
      <c r="G24" t="str">
        <f t="shared" si="1"/>
        <v>NetCO2_ELC</v>
      </c>
      <c r="I24">
        <v>2033</v>
      </c>
      <c r="J24" t="s">
        <v>21</v>
      </c>
      <c r="K24">
        <v>1</v>
      </c>
      <c r="L24" s="28">
        <f t="shared" si="2"/>
        <v>3248.49518707315</v>
      </c>
      <c r="Q24" s="67">
        <f t="shared" ref="Q24:S24" si="36">Q23-Q22+Q23</f>
        <v>7766.25493596848</v>
      </c>
      <c r="R24" s="67">
        <f t="shared" si="36"/>
        <v>6910.91995321531</v>
      </c>
      <c r="S24" s="67">
        <f t="shared" si="36"/>
        <v>3248.49518707315</v>
      </c>
      <c r="Y24" s="67">
        <f t="shared" si="20"/>
        <v>6248.40272727273</v>
      </c>
      <c r="AH24" t="str">
        <f t="shared" si="3"/>
        <v>NetCO2_TRA</v>
      </c>
      <c r="AJ24">
        <v>2033</v>
      </c>
      <c r="AK24" t="s">
        <v>21</v>
      </c>
      <c r="AL24">
        <v>1</v>
      </c>
      <c r="AM24" s="28">
        <f t="shared" si="26"/>
        <v>5773.52021850411</v>
      </c>
      <c r="AR24" s="67">
        <f t="shared" si="21"/>
        <v>8708.48951637954</v>
      </c>
      <c r="AS24" s="67">
        <f t="shared" si="22"/>
        <v>8379.21435451578</v>
      </c>
      <c r="AT24" s="67">
        <f t="shared" si="23"/>
        <v>5773.52021850411</v>
      </c>
      <c r="BN24" t="str">
        <f t="shared" si="6"/>
        <v>NetCO2_TRA</v>
      </c>
      <c r="BP24">
        <v>2033</v>
      </c>
      <c r="BQ24" t="s">
        <v>21</v>
      </c>
      <c r="BR24">
        <v>1</v>
      </c>
      <c r="BS24" s="28">
        <f t="shared" si="0"/>
        <v>0</v>
      </c>
      <c r="BX24" s="67">
        <f t="shared" ref="BX24:BZ24" si="37">BX23-BX22+BX23</f>
        <v>0</v>
      </c>
      <c r="BY24" s="67">
        <f t="shared" si="37"/>
        <v>0</v>
      </c>
      <c r="BZ24" s="67">
        <f t="shared" si="37"/>
        <v>0</v>
      </c>
    </row>
    <row r="25" spans="7:94">
      <c r="G25" t="str">
        <f t="shared" si="1"/>
        <v>NetCO2_ELC</v>
      </c>
      <c r="I25">
        <v>2034</v>
      </c>
      <c r="J25" t="s">
        <v>21</v>
      </c>
      <c r="K25">
        <v>1</v>
      </c>
      <c r="L25" s="28">
        <f t="shared" si="2"/>
        <v>2708.9946523035</v>
      </c>
      <c r="Q25" s="67">
        <f t="shared" ref="Q25:S25" si="38">Q24-Q23+Q24</f>
        <v>7728.72770663165</v>
      </c>
      <c r="R25" s="67">
        <f t="shared" si="38"/>
        <v>6778.35550357257</v>
      </c>
      <c r="S25" s="67">
        <f t="shared" si="38"/>
        <v>2708.9946523035</v>
      </c>
      <c r="Y25" s="67">
        <f t="shared" si="20"/>
        <v>5210.68636363636</v>
      </c>
      <c r="AH25" t="str">
        <f t="shared" si="3"/>
        <v>NetCO2_TRA</v>
      </c>
      <c r="AJ25">
        <v>2034</v>
      </c>
      <c r="AK25" t="s">
        <v>21</v>
      </c>
      <c r="AL25">
        <v>1</v>
      </c>
      <c r="AM25" s="28">
        <f t="shared" si="26"/>
        <v>5492.3557983379</v>
      </c>
      <c r="AR25" s="67">
        <f t="shared" si="21"/>
        <v>8753.43279597726</v>
      </c>
      <c r="AS25" s="67">
        <f t="shared" si="22"/>
        <v>8387.57150501753</v>
      </c>
      <c r="AT25" s="67">
        <f t="shared" si="23"/>
        <v>5492.3557983379</v>
      </c>
      <c r="BN25" t="str">
        <f t="shared" si="6"/>
        <v>NetCO2_TRA</v>
      </c>
      <c r="BP25">
        <v>2034</v>
      </c>
      <c r="BQ25" t="s">
        <v>21</v>
      </c>
      <c r="BR25">
        <v>1</v>
      </c>
      <c r="BS25" s="28">
        <f t="shared" si="0"/>
        <v>0</v>
      </c>
      <c r="BX25" s="67">
        <f t="shared" ref="BX25:BZ25" si="39">BX24-BX23+BX24</f>
        <v>0</v>
      </c>
      <c r="BY25" s="67">
        <f t="shared" si="39"/>
        <v>0</v>
      </c>
      <c r="BZ25" s="67">
        <f t="shared" si="39"/>
        <v>0</v>
      </c>
    </row>
    <row r="26" spans="7:94">
      <c r="G26" t="str">
        <f t="shared" si="1"/>
        <v>NetCO2_ELC</v>
      </c>
      <c r="I26" s="71">
        <v>2035</v>
      </c>
      <c r="J26" s="71" t="s">
        <v>21</v>
      </c>
      <c r="K26" s="71">
        <v>1</v>
      </c>
      <c r="L26" s="28">
        <f t="shared" si="2"/>
        <v>2169.49411753385</v>
      </c>
      <c r="Q26" s="72">
        <f>T26</f>
        <v>7691.20047729482</v>
      </c>
      <c r="R26" s="73">
        <f>V26</f>
        <v>6645.79105392982</v>
      </c>
      <c r="S26" s="73">
        <f>X26</f>
        <v>2169.49411753385</v>
      </c>
      <c r="T26" s="28">
        <f>T15*U26/U15</f>
        <v>7691.20047729482</v>
      </c>
      <c r="U26" s="66">
        <v>14793.84</v>
      </c>
      <c r="V26" s="28">
        <f>V15*W26/W15</f>
        <v>6645.79105392982</v>
      </c>
      <c r="W26" s="74">
        <v>12783.02</v>
      </c>
      <c r="X26" s="28">
        <f>X15*Y26/Y11</f>
        <v>2169.49411753385</v>
      </c>
      <c r="Y26" s="66">
        <v>4172.97</v>
      </c>
      <c r="Z26" s="60"/>
      <c r="AA26" s="60"/>
      <c r="AB26" s="56"/>
      <c r="AH26" t="str">
        <f t="shared" si="3"/>
        <v>NetCO2_TRA</v>
      </c>
      <c r="AJ26" s="71">
        <v>2035</v>
      </c>
      <c r="AK26" s="71" t="s">
        <v>21</v>
      </c>
      <c r="AL26" s="71">
        <v>1</v>
      </c>
      <c r="AM26" s="28">
        <f t="shared" si="26"/>
        <v>5211.19137817169</v>
      </c>
      <c r="AR26" s="67">
        <f>AU26</f>
        <v>8798.376075575</v>
      </c>
      <c r="AS26" s="68">
        <f>AW26</f>
        <v>8395.92865551929</v>
      </c>
      <c r="AT26" s="68">
        <f>AY26</f>
        <v>5211.19137817169</v>
      </c>
      <c r="AU26" s="28">
        <f t="shared" ref="AU26:AY26" si="40">AU15*AV26/AV15</f>
        <v>8798.376075575</v>
      </c>
      <c r="AV26" s="66">
        <f t="shared" ref="AV26:AZ26" si="41">AV19</f>
        <v>8855.93</v>
      </c>
      <c r="AW26" s="28">
        <f t="shared" si="40"/>
        <v>8395.92865551929</v>
      </c>
      <c r="AX26" s="74">
        <f t="shared" si="41"/>
        <v>8450.85</v>
      </c>
      <c r="AY26" s="28">
        <f t="shared" si="40"/>
        <v>5211.19137817169</v>
      </c>
      <c r="AZ26" s="66">
        <f t="shared" si="41"/>
        <v>5245.28</v>
      </c>
      <c r="BN26" t="str">
        <f t="shared" si="6"/>
        <v>NetCO2_TRA</v>
      </c>
      <c r="BP26" s="71">
        <v>2035</v>
      </c>
      <c r="BQ26" s="71" t="s">
        <v>21</v>
      </c>
      <c r="BR26" s="71">
        <v>1</v>
      </c>
      <c r="BS26" s="28">
        <f t="shared" si="0"/>
        <v>0</v>
      </c>
      <c r="BX26" s="67">
        <f>CA26</f>
        <v>0</v>
      </c>
      <c r="BY26" s="68">
        <f>CC26</f>
        <v>0</v>
      </c>
      <c r="BZ26" s="68">
        <f>CE26</f>
        <v>0</v>
      </c>
      <c r="CA26" s="28">
        <f t="shared" ref="CA26:CE26" si="42">CA15*CB26/CB15</f>
        <v>0</v>
      </c>
      <c r="CB26" s="66">
        <f t="shared" ref="CB26:CF26" si="43">CB19</f>
        <v>9866</v>
      </c>
      <c r="CC26" s="28">
        <f t="shared" si="42"/>
        <v>0</v>
      </c>
      <c r="CD26" s="74">
        <f t="shared" si="43"/>
        <v>9250</v>
      </c>
      <c r="CE26" s="28">
        <f t="shared" si="42"/>
        <v>0</v>
      </c>
      <c r="CF26" s="66">
        <f t="shared" si="43"/>
        <v>6301</v>
      </c>
      <c r="CK26" s="33">
        <v>2035</v>
      </c>
      <c r="CL26" s="48">
        <f t="shared" ref="CL26:CP26" si="44">CB26+AV26+U26</f>
        <v>33515.77</v>
      </c>
      <c r="CN26" s="48">
        <f t="shared" si="44"/>
        <v>30483.87</v>
      </c>
      <c r="CP26" s="48">
        <f t="shared" si="44"/>
        <v>15719.25</v>
      </c>
    </row>
    <row r="27" spans="7:94">
      <c r="G27" t="str">
        <f t="shared" si="1"/>
        <v>NetCO2_ELC</v>
      </c>
      <c r="I27">
        <v>2036</v>
      </c>
      <c r="J27" t="s">
        <v>21</v>
      </c>
      <c r="K27">
        <v>1</v>
      </c>
      <c r="L27" s="28">
        <f t="shared" si="2"/>
        <v>1777.83964613465</v>
      </c>
      <c r="Q27" s="67">
        <f t="shared" ref="Q27:S27" si="45">Q26-(Q26-Q31)/5</f>
        <v>7612.34324425755</v>
      </c>
      <c r="R27" s="67">
        <f t="shared" si="45"/>
        <v>6434.45699669935</v>
      </c>
      <c r="S27" s="67">
        <f t="shared" si="45"/>
        <v>1777.83964613465</v>
      </c>
      <c r="Y27" s="67">
        <f>Y26-(Y26-Y31)/5</f>
        <v>3419.632</v>
      </c>
      <c r="AH27" t="str">
        <f t="shared" si="3"/>
        <v>NetCO2_TRA</v>
      </c>
      <c r="AJ27">
        <v>2036</v>
      </c>
      <c r="AK27" t="s">
        <v>21</v>
      </c>
      <c r="AL27">
        <v>1</v>
      </c>
      <c r="AM27" s="28">
        <f t="shared" si="26"/>
        <v>4815.61898563348</v>
      </c>
      <c r="AR27" s="67">
        <f t="shared" ref="AR27:AT27" si="46">AR26-(AR26-AR31)/5</f>
        <v>8830.3548885422</v>
      </c>
      <c r="AS27" s="67">
        <f t="shared" si="46"/>
        <v>8346.34301629993</v>
      </c>
      <c r="AT27" s="67">
        <f t="shared" si="46"/>
        <v>4815.61898563348</v>
      </c>
      <c r="BN27" t="str">
        <f t="shared" si="6"/>
        <v>NetCO2_TRA</v>
      </c>
      <c r="BP27">
        <v>2036</v>
      </c>
      <c r="BQ27" t="s">
        <v>21</v>
      </c>
      <c r="BR27">
        <v>1</v>
      </c>
      <c r="BS27" s="28">
        <f t="shared" si="0"/>
        <v>0</v>
      </c>
      <c r="BX27" s="67">
        <f t="shared" ref="BX27:BZ27" si="47">BX26-(BX26-BX31)/5</f>
        <v>0</v>
      </c>
      <c r="BY27" s="67">
        <f t="shared" si="47"/>
        <v>0</v>
      </c>
      <c r="BZ27" s="67">
        <f t="shared" si="47"/>
        <v>0</v>
      </c>
    </row>
    <row r="28" spans="7:94">
      <c r="G28" t="str">
        <f t="shared" si="1"/>
        <v>NetCO2_ELC</v>
      </c>
      <c r="I28">
        <v>2037</v>
      </c>
      <c r="J28" t="s">
        <v>21</v>
      </c>
      <c r="K28">
        <v>1</v>
      </c>
      <c r="L28" s="28">
        <f t="shared" si="2"/>
        <v>1386.18517473545</v>
      </c>
      <c r="Q28" s="67">
        <f t="shared" ref="Q28:S28" si="48">Q27-Q26+Q27</f>
        <v>7533.48601122028</v>
      </c>
      <c r="R28" s="67">
        <f t="shared" si="48"/>
        <v>6223.12293946888</v>
      </c>
      <c r="S28" s="67">
        <f t="shared" si="48"/>
        <v>1386.18517473545</v>
      </c>
      <c r="Y28" s="67">
        <f t="shared" ref="Y28:Y30" si="49">Y27-Y26+Y27</f>
        <v>2666.294</v>
      </c>
      <c r="AH28" t="str">
        <f t="shared" si="3"/>
        <v>NetCO2_TRA</v>
      </c>
      <c r="AJ28">
        <v>2037</v>
      </c>
      <c r="AK28" t="s">
        <v>21</v>
      </c>
      <c r="AL28">
        <v>1</v>
      </c>
      <c r="AM28" s="28">
        <f t="shared" si="26"/>
        <v>4420.04659309526</v>
      </c>
      <c r="AR28" s="67">
        <f t="shared" ref="AR28:AT28" si="50">AR27-AR26+AR27</f>
        <v>8862.33370150939</v>
      </c>
      <c r="AS28" s="67">
        <f t="shared" si="50"/>
        <v>8296.75737708056</v>
      </c>
      <c r="AT28" s="67">
        <f t="shared" si="50"/>
        <v>4420.04659309526</v>
      </c>
      <c r="BN28" t="str">
        <f t="shared" si="6"/>
        <v>NetCO2_TRA</v>
      </c>
      <c r="BP28">
        <v>2037</v>
      </c>
      <c r="BQ28" t="s">
        <v>21</v>
      </c>
      <c r="BR28">
        <v>1</v>
      </c>
      <c r="BS28" s="28">
        <f t="shared" si="0"/>
        <v>0</v>
      </c>
      <c r="BX28" s="67">
        <f t="shared" ref="BX28:BZ28" si="51">BX27-BX26+BX27</f>
        <v>0</v>
      </c>
      <c r="BY28" s="67">
        <f t="shared" si="51"/>
        <v>0</v>
      </c>
      <c r="BZ28" s="67">
        <f t="shared" si="51"/>
        <v>0</v>
      </c>
    </row>
    <row r="29" spans="7:94">
      <c r="G29" t="str">
        <f t="shared" si="1"/>
        <v>NetCO2_ELC</v>
      </c>
      <c r="I29">
        <v>2038</v>
      </c>
      <c r="J29" t="s">
        <v>21</v>
      </c>
      <c r="K29">
        <v>1</v>
      </c>
      <c r="L29" s="28">
        <f t="shared" si="2"/>
        <v>994.530703336252</v>
      </c>
      <c r="Q29" s="67">
        <f t="shared" ref="Q29:S29" si="52">Q28-Q27+Q28</f>
        <v>7454.62877818301</v>
      </c>
      <c r="R29" s="67">
        <f t="shared" si="52"/>
        <v>6011.78888223841</v>
      </c>
      <c r="S29" s="67">
        <f t="shared" si="52"/>
        <v>994.530703336252</v>
      </c>
      <c r="Y29" s="67">
        <f t="shared" si="49"/>
        <v>1912.956</v>
      </c>
      <c r="AB29" s="56"/>
      <c r="AH29" t="str">
        <f t="shared" si="3"/>
        <v>NetCO2_TRA</v>
      </c>
      <c r="AJ29">
        <v>2038</v>
      </c>
      <c r="AK29" t="s">
        <v>21</v>
      </c>
      <c r="AL29">
        <v>1</v>
      </c>
      <c r="AM29" s="28">
        <f t="shared" si="26"/>
        <v>4024.47420055705</v>
      </c>
      <c r="AR29" s="67">
        <f t="shared" ref="AR29:AT29" si="53">AR28-AR27+AR28</f>
        <v>8894.31251447659</v>
      </c>
      <c r="AS29" s="67">
        <f t="shared" si="53"/>
        <v>8247.1717378612</v>
      </c>
      <c r="AT29" s="67">
        <f t="shared" si="53"/>
        <v>4024.47420055705</v>
      </c>
      <c r="BN29" t="str">
        <f t="shared" si="6"/>
        <v>NetCO2_TRA</v>
      </c>
      <c r="BP29">
        <v>2038</v>
      </c>
      <c r="BQ29" t="s">
        <v>21</v>
      </c>
      <c r="BR29">
        <v>1</v>
      </c>
      <c r="BS29" s="28">
        <f t="shared" si="0"/>
        <v>0</v>
      </c>
      <c r="BX29" s="67">
        <f t="shared" ref="BX29:BZ29" si="54">BX28-BX27+BX28</f>
        <v>0</v>
      </c>
      <c r="BY29" s="67">
        <f t="shared" si="54"/>
        <v>0</v>
      </c>
      <c r="BZ29" s="67">
        <f t="shared" si="54"/>
        <v>0</v>
      </c>
    </row>
    <row r="30" spans="7:94">
      <c r="G30" t="str">
        <f t="shared" si="1"/>
        <v>NetCO2_ELC</v>
      </c>
      <c r="I30">
        <v>2039</v>
      </c>
      <c r="J30" t="s">
        <v>21</v>
      </c>
      <c r="K30">
        <v>1</v>
      </c>
      <c r="L30" s="28">
        <f t="shared" si="2"/>
        <v>602.876231937053</v>
      </c>
      <c r="Q30" s="67">
        <f t="shared" ref="Q30:S30" si="55">Q29-Q28+Q29</f>
        <v>7375.77154514574</v>
      </c>
      <c r="R30" s="67">
        <f t="shared" si="55"/>
        <v>5800.45482500794</v>
      </c>
      <c r="S30" s="67">
        <f t="shared" si="55"/>
        <v>602.876231937053</v>
      </c>
      <c r="Y30" s="67">
        <f t="shared" si="49"/>
        <v>1159.618</v>
      </c>
      <c r="AH30" t="str">
        <f t="shared" si="3"/>
        <v>NetCO2_TRA</v>
      </c>
      <c r="AJ30">
        <v>2039</v>
      </c>
      <c r="AK30" t="s">
        <v>21</v>
      </c>
      <c r="AL30">
        <v>1</v>
      </c>
      <c r="AM30" s="28">
        <f t="shared" si="26"/>
        <v>3628.90180801884</v>
      </c>
      <c r="AR30" s="67">
        <f t="shared" ref="AR30:AT30" si="56">AR29-AR28+AR29</f>
        <v>8926.29132744379</v>
      </c>
      <c r="AS30" s="67">
        <f t="shared" si="56"/>
        <v>8197.58609864183</v>
      </c>
      <c r="AT30" s="67">
        <f t="shared" si="56"/>
        <v>3628.90180801884</v>
      </c>
      <c r="BN30" t="str">
        <f t="shared" si="6"/>
        <v>NetCO2_TRA</v>
      </c>
      <c r="BP30">
        <v>2039</v>
      </c>
      <c r="BQ30" t="s">
        <v>21</v>
      </c>
      <c r="BR30">
        <v>1</v>
      </c>
      <c r="BS30" s="28">
        <f t="shared" si="0"/>
        <v>0</v>
      </c>
      <c r="BX30" s="67">
        <f t="shared" ref="BX30:BZ30" si="57">BX29-BX28+BX29</f>
        <v>0</v>
      </c>
      <c r="BY30" s="67">
        <f t="shared" si="57"/>
        <v>0</v>
      </c>
      <c r="BZ30" s="67">
        <f t="shared" si="57"/>
        <v>0</v>
      </c>
    </row>
    <row r="31" s="46" customFormat="1" spans="7:94">
      <c r="G31" s="46" t="str">
        <f t="shared" si="1"/>
        <v>NetCO2_ELC</v>
      </c>
      <c r="I31" s="46">
        <v>2040</v>
      </c>
      <c r="J31" s="46" t="s">
        <v>21</v>
      </c>
      <c r="K31" s="46">
        <v>1</v>
      </c>
      <c r="L31" s="28">
        <f t="shared" si="2"/>
        <v>211.221760537855</v>
      </c>
      <c r="Q31" s="72">
        <f>T31</f>
        <v>7296.91431210847</v>
      </c>
      <c r="R31" s="73">
        <f>V31</f>
        <v>5589.12076777747</v>
      </c>
      <c r="S31" s="73">
        <f>X31</f>
        <v>211.221760537855</v>
      </c>
      <c r="T31" s="75">
        <f>T15*U31/U15</f>
        <v>7296.91431210847</v>
      </c>
      <c r="U31" s="76">
        <v>14035.44</v>
      </c>
      <c r="V31" s="75">
        <f>V15*W31/W15</f>
        <v>5589.12076777747</v>
      </c>
      <c r="W31" s="77">
        <v>10750.54</v>
      </c>
      <c r="X31" s="75">
        <f>X15*Y31/Y11</f>
        <v>211.221760537855</v>
      </c>
      <c r="Y31" s="76">
        <v>406.28</v>
      </c>
      <c r="Z31" s="76"/>
      <c r="AA31" s="76"/>
      <c r="AH31" s="46" t="str">
        <f t="shared" si="3"/>
        <v>NetCO2_TRA</v>
      </c>
      <c r="AJ31" s="46">
        <v>2040</v>
      </c>
      <c r="AK31" s="46" t="s">
        <v>21</v>
      </c>
      <c r="AL31" s="46">
        <v>1</v>
      </c>
      <c r="AM31" s="75">
        <f t="shared" si="26"/>
        <v>3233.32941548062</v>
      </c>
      <c r="AR31" s="72">
        <f>AU31</f>
        <v>8958.27014041099</v>
      </c>
      <c r="AS31" s="73">
        <f>AW31</f>
        <v>8148.00045942247</v>
      </c>
      <c r="AT31" s="73">
        <f>AY31</f>
        <v>3233.32941548062</v>
      </c>
      <c r="AU31" s="75">
        <f t="shared" ref="AU31:AY31" si="58">AU15*AV31/AV15</f>
        <v>8958.27014041099</v>
      </c>
      <c r="AV31" s="76">
        <f t="shared" ref="AV31:AZ31" si="59">AV20</f>
        <v>9016.87</v>
      </c>
      <c r="AW31" s="75">
        <f t="shared" si="58"/>
        <v>8148.00045942247</v>
      </c>
      <c r="AX31" s="77">
        <f t="shared" si="59"/>
        <v>8201.3</v>
      </c>
      <c r="AY31" s="75">
        <f t="shared" si="58"/>
        <v>3233.32941548062</v>
      </c>
      <c r="AZ31" s="76">
        <f t="shared" si="59"/>
        <v>3254.48</v>
      </c>
      <c r="BN31" s="46" t="str">
        <f t="shared" si="6"/>
        <v>NetCO2_TRA</v>
      </c>
      <c r="BP31" s="46">
        <v>2040</v>
      </c>
      <c r="BQ31" s="46" t="s">
        <v>21</v>
      </c>
      <c r="BR31" s="46">
        <v>1</v>
      </c>
      <c r="BS31" s="75">
        <f t="shared" si="0"/>
        <v>0</v>
      </c>
      <c r="BX31" s="72">
        <f>CA31</f>
        <v>0</v>
      </c>
      <c r="BY31" s="73">
        <f>CC31</f>
        <v>0</v>
      </c>
      <c r="BZ31" s="73">
        <f>CE31</f>
        <v>0</v>
      </c>
      <c r="CA31" s="75">
        <f t="shared" ref="CA31:CE31" si="60">CA15*CB31/CB15</f>
        <v>0</v>
      </c>
      <c r="CB31" s="76">
        <f t="shared" ref="CB31:CF31" si="61">CB20</f>
        <v>10141</v>
      </c>
      <c r="CC31" s="75">
        <f t="shared" si="60"/>
        <v>0</v>
      </c>
      <c r="CD31" s="77">
        <f t="shared" si="61"/>
        <v>9242</v>
      </c>
      <c r="CE31" s="75">
        <f t="shared" si="60"/>
        <v>0</v>
      </c>
      <c r="CF31" s="76">
        <f t="shared" si="61"/>
        <v>3831</v>
      </c>
      <c r="CK31" s="33">
        <v>2040</v>
      </c>
      <c r="CL31" s="48">
        <f t="shared" ref="CL31:CP31" si="62">CB31+AV31+U31</f>
        <v>33193.31</v>
      </c>
      <c r="CM31" s="33"/>
      <c r="CN31" s="48">
        <f t="shared" si="62"/>
        <v>28193.84</v>
      </c>
      <c r="CO31" s="33"/>
      <c r="CP31" s="48">
        <f t="shared" si="62"/>
        <v>7491.76</v>
      </c>
    </row>
    <row r="32" spans="7:94">
      <c r="G32" t="str">
        <f t="shared" si="1"/>
        <v>NetCO2_ELC</v>
      </c>
      <c r="I32">
        <v>2041</v>
      </c>
      <c r="J32" t="s">
        <v>21</v>
      </c>
      <c r="K32">
        <v>1</v>
      </c>
      <c r="L32" s="28">
        <f t="shared" si="2"/>
        <v>175.646584230667</v>
      </c>
      <c r="Q32" s="67">
        <f t="shared" ref="Q32:S32" si="63">Q31-(Q31-Q41)/10</f>
        <v>7233.15630519924</v>
      </c>
      <c r="R32" s="67">
        <f t="shared" si="63"/>
        <v>5469.44732621882</v>
      </c>
      <c r="S32" s="67">
        <f t="shared" si="63"/>
        <v>175.646584230667</v>
      </c>
      <c r="Y32" s="67">
        <f>Y31-(Y31-Y41)/10</f>
        <v>337.852</v>
      </c>
      <c r="AB32" s="56"/>
      <c r="AH32" t="str">
        <f t="shared" si="3"/>
        <v>NetCO2_TRA</v>
      </c>
      <c r="AJ32">
        <v>2041</v>
      </c>
      <c r="AK32" t="s">
        <v>21</v>
      </c>
      <c r="AL32">
        <v>1</v>
      </c>
      <c r="AM32" s="28">
        <f t="shared" si="26"/>
        <v>2998.68929641363</v>
      </c>
      <c r="AR32" s="67">
        <f t="shared" ref="AR32:AT32" si="64">AR31-(AR31-AR41)/10</f>
        <v>9018.75746705079</v>
      </c>
      <c r="AS32" s="67">
        <f t="shared" si="64"/>
        <v>8126.86074330727</v>
      </c>
      <c r="AT32" s="67">
        <f t="shared" si="64"/>
        <v>2998.68929641363</v>
      </c>
      <c r="BN32" t="str">
        <f t="shared" si="6"/>
        <v>NetCO2_TRA</v>
      </c>
      <c r="BP32">
        <v>2041</v>
      </c>
      <c r="BQ32" t="s">
        <v>21</v>
      </c>
      <c r="BR32">
        <v>1</v>
      </c>
      <c r="BS32" s="28">
        <f t="shared" si="0"/>
        <v>0</v>
      </c>
      <c r="BX32" s="67">
        <f t="shared" ref="BX32:BZ32" si="65">BX31-(BX31-BX41)/10</f>
        <v>0</v>
      </c>
      <c r="BY32" s="67">
        <f t="shared" si="65"/>
        <v>0</v>
      </c>
      <c r="BZ32" s="67">
        <f t="shared" si="65"/>
        <v>0</v>
      </c>
    </row>
    <row r="33" spans="7:94">
      <c r="G33" t="str">
        <f t="shared" si="1"/>
        <v>NetCO2_ELC</v>
      </c>
      <c r="I33">
        <v>2042</v>
      </c>
      <c r="J33" t="s">
        <v>21</v>
      </c>
      <c r="K33">
        <v>1</v>
      </c>
      <c r="L33" s="28">
        <f t="shared" si="2"/>
        <v>140.071407923479</v>
      </c>
      <c r="Q33" s="67">
        <f t="shared" ref="Q33:S33" si="66">Q32-Q31+Q32</f>
        <v>7169.39829829001</v>
      </c>
      <c r="R33" s="67">
        <f t="shared" si="66"/>
        <v>5349.77388466017</v>
      </c>
      <c r="S33" s="67">
        <f t="shared" si="66"/>
        <v>140.071407923479</v>
      </c>
      <c r="Y33" s="67">
        <f t="shared" ref="Y33:Y40" si="67">Y32-Y31+Y32</f>
        <v>269.424</v>
      </c>
      <c r="AH33" t="str">
        <f t="shared" si="3"/>
        <v>NetCO2_TRA</v>
      </c>
      <c r="AJ33">
        <v>2042</v>
      </c>
      <c r="AK33" t="s">
        <v>21</v>
      </c>
      <c r="AL33">
        <v>1</v>
      </c>
      <c r="AM33" s="28">
        <f t="shared" si="26"/>
        <v>2764.04917734664</v>
      </c>
      <c r="AR33" s="67">
        <f t="shared" ref="AR33:AT33" si="68">AR32-AR31+AR32</f>
        <v>9079.2447936906</v>
      </c>
      <c r="AS33" s="67">
        <f t="shared" si="68"/>
        <v>8105.72102719207</v>
      </c>
      <c r="AT33" s="67">
        <f t="shared" si="68"/>
        <v>2764.04917734664</v>
      </c>
      <c r="BN33" t="str">
        <f t="shared" si="6"/>
        <v>NetCO2_TRA</v>
      </c>
      <c r="BP33">
        <v>2042</v>
      </c>
      <c r="BQ33" t="s">
        <v>21</v>
      </c>
      <c r="BR33">
        <v>1</v>
      </c>
      <c r="BS33" s="28">
        <f t="shared" si="0"/>
        <v>0</v>
      </c>
      <c r="BX33" s="67">
        <f t="shared" ref="BX33:BZ33" si="69">BX32-BX31+BX32</f>
        <v>0</v>
      </c>
      <c r="BY33" s="67">
        <f t="shared" si="69"/>
        <v>0</v>
      </c>
      <c r="BZ33" s="67">
        <f t="shared" si="69"/>
        <v>0</v>
      </c>
    </row>
    <row r="34" spans="7:94">
      <c r="G34" t="str">
        <f t="shared" si="1"/>
        <v>NetCO2_ELC</v>
      </c>
      <c r="I34">
        <v>2043</v>
      </c>
      <c r="J34" t="s">
        <v>21</v>
      </c>
      <c r="K34">
        <v>1</v>
      </c>
      <c r="L34" s="28">
        <f t="shared" si="2"/>
        <v>104.496231616291</v>
      </c>
      <c r="Q34" s="67">
        <f t="shared" ref="Q34:S34" si="70">Q33-Q32+Q33</f>
        <v>7105.64029138079</v>
      </c>
      <c r="R34" s="67">
        <f t="shared" si="70"/>
        <v>5230.10044310152</v>
      </c>
      <c r="S34" s="67">
        <f t="shared" si="70"/>
        <v>104.496231616291</v>
      </c>
      <c r="Y34" s="67">
        <f t="shared" si="67"/>
        <v>200.996</v>
      </c>
      <c r="AH34" t="str">
        <f t="shared" si="3"/>
        <v>NetCO2_TRA</v>
      </c>
      <c r="AJ34">
        <v>2043</v>
      </c>
      <c r="AK34" t="s">
        <v>21</v>
      </c>
      <c r="AL34">
        <v>1</v>
      </c>
      <c r="AM34" s="28">
        <f t="shared" si="26"/>
        <v>2529.40905827965</v>
      </c>
      <c r="AR34" s="67">
        <f t="shared" ref="AR34:AT34" si="71">AR33-AR32+AR33</f>
        <v>9139.7321203304</v>
      </c>
      <c r="AS34" s="67">
        <f t="shared" si="71"/>
        <v>8084.58131107687</v>
      </c>
      <c r="AT34" s="67">
        <f t="shared" si="71"/>
        <v>2529.40905827965</v>
      </c>
      <c r="BN34" t="str">
        <f t="shared" si="6"/>
        <v>NetCO2_TRA</v>
      </c>
      <c r="BP34">
        <v>2043</v>
      </c>
      <c r="BQ34" t="s">
        <v>21</v>
      </c>
      <c r="BR34">
        <v>1</v>
      </c>
      <c r="BS34" s="28">
        <f t="shared" si="0"/>
        <v>0</v>
      </c>
      <c r="BX34" s="67">
        <f t="shared" ref="BX34:BZ34" si="72">BX33-BX32+BX33</f>
        <v>0</v>
      </c>
      <c r="BY34" s="67">
        <f t="shared" si="72"/>
        <v>0</v>
      </c>
      <c r="BZ34" s="67">
        <f t="shared" si="72"/>
        <v>0</v>
      </c>
    </row>
    <row r="35" spans="7:94">
      <c r="G35" t="str">
        <f t="shared" si="1"/>
        <v>NetCO2_ELC</v>
      </c>
      <c r="I35">
        <v>2044</v>
      </c>
      <c r="J35" t="s">
        <v>21</v>
      </c>
      <c r="K35">
        <v>1</v>
      </c>
      <c r="L35" s="28">
        <f t="shared" si="2"/>
        <v>68.9210553091029</v>
      </c>
      <c r="Q35" s="67">
        <f t="shared" ref="Q35:S35" si="73">Q34-Q33+Q34</f>
        <v>7041.88228447156</v>
      </c>
      <c r="R35" s="67">
        <f t="shared" si="73"/>
        <v>5110.42700154287</v>
      </c>
      <c r="S35" s="67">
        <f t="shared" si="73"/>
        <v>68.9210553091029</v>
      </c>
      <c r="Y35" s="67">
        <f t="shared" si="67"/>
        <v>132.568</v>
      </c>
      <c r="AB35" s="56"/>
      <c r="AH35" t="str">
        <f t="shared" si="3"/>
        <v>NetCO2_TRA</v>
      </c>
      <c r="AJ35">
        <v>2044</v>
      </c>
      <c r="AK35" t="s">
        <v>21</v>
      </c>
      <c r="AL35">
        <v>1</v>
      </c>
      <c r="AM35" s="28">
        <f t="shared" si="26"/>
        <v>2294.76893921267</v>
      </c>
      <c r="AR35" s="67">
        <f t="shared" ref="AR35:AT35" si="74">AR34-AR33+AR34</f>
        <v>9200.2194469702</v>
      </c>
      <c r="AS35" s="67">
        <f t="shared" si="74"/>
        <v>8063.44159496167</v>
      </c>
      <c r="AT35" s="67">
        <f t="shared" si="74"/>
        <v>2294.76893921267</v>
      </c>
      <c r="BN35" t="str">
        <f t="shared" si="6"/>
        <v>NetCO2_TRA</v>
      </c>
      <c r="BP35">
        <v>2044</v>
      </c>
      <c r="BQ35" t="s">
        <v>21</v>
      </c>
      <c r="BR35">
        <v>1</v>
      </c>
      <c r="BS35" s="28">
        <f t="shared" si="0"/>
        <v>0</v>
      </c>
      <c r="BX35" s="67">
        <f t="shared" ref="BX35:BZ35" si="75">BX34-BX33+BX34</f>
        <v>0</v>
      </c>
      <c r="BY35" s="67">
        <f t="shared" si="75"/>
        <v>0</v>
      </c>
      <c r="BZ35" s="67">
        <f t="shared" si="75"/>
        <v>0</v>
      </c>
    </row>
    <row r="36" spans="7:94">
      <c r="G36" t="str">
        <f t="shared" si="1"/>
        <v>NetCO2_ELC</v>
      </c>
      <c r="I36">
        <v>2045</v>
      </c>
      <c r="J36" t="s">
        <v>21</v>
      </c>
      <c r="K36">
        <v>1</v>
      </c>
      <c r="L36" s="28">
        <f t="shared" si="2"/>
        <v>33.3458790019149</v>
      </c>
      <c r="Q36" s="67">
        <f t="shared" ref="Q36:S36" si="76">Q35-Q34+Q35</f>
        <v>6978.12427756233</v>
      </c>
      <c r="R36" s="67">
        <f t="shared" si="76"/>
        <v>4990.75355998422</v>
      </c>
      <c r="S36" s="67">
        <f t="shared" si="76"/>
        <v>33.3458790019149</v>
      </c>
      <c r="Y36" s="67">
        <f t="shared" si="67"/>
        <v>64.14</v>
      </c>
      <c r="AH36" t="str">
        <f t="shared" si="3"/>
        <v>NetCO2_TRA</v>
      </c>
      <c r="AJ36">
        <v>2045</v>
      </c>
      <c r="AK36" t="s">
        <v>21</v>
      </c>
      <c r="AL36">
        <v>1</v>
      </c>
      <c r="AM36" s="28">
        <f t="shared" si="26"/>
        <v>2060.12882014568</v>
      </c>
      <c r="AR36" s="67">
        <f t="shared" ref="AR36:AT36" si="77">AR35-AR34+AR35</f>
        <v>9260.70677361001</v>
      </c>
      <c r="AS36" s="67">
        <f t="shared" si="77"/>
        <v>8042.30187884647</v>
      </c>
      <c r="AT36" s="67">
        <f t="shared" si="77"/>
        <v>2060.12882014568</v>
      </c>
      <c r="BN36" t="str">
        <f t="shared" si="6"/>
        <v>NetCO2_TRA</v>
      </c>
      <c r="BP36">
        <v>2045</v>
      </c>
      <c r="BQ36" t="s">
        <v>21</v>
      </c>
      <c r="BR36">
        <v>1</v>
      </c>
      <c r="BS36" s="28">
        <f t="shared" si="0"/>
        <v>0</v>
      </c>
      <c r="BX36" s="67">
        <f t="shared" ref="BX36:BZ36" si="78">BX35-BX34+BX35</f>
        <v>0</v>
      </c>
      <c r="BY36" s="67">
        <f t="shared" si="78"/>
        <v>0</v>
      </c>
      <c r="BZ36" s="67">
        <f t="shared" si="78"/>
        <v>0</v>
      </c>
    </row>
    <row r="37" spans="7:94">
      <c r="G37" t="str">
        <f t="shared" si="1"/>
        <v>NetCO2_ELC</v>
      </c>
      <c r="I37">
        <v>2046</v>
      </c>
      <c r="J37" t="s">
        <v>21</v>
      </c>
      <c r="K37">
        <v>1</v>
      </c>
      <c r="L37" s="28">
        <f t="shared" si="2"/>
        <v>-2.22929730527306</v>
      </c>
      <c r="Q37" s="67">
        <f t="shared" ref="Q37:S37" si="79">Q36-Q35+Q36</f>
        <v>6914.3662706531</v>
      </c>
      <c r="R37" s="67">
        <f t="shared" si="79"/>
        <v>4871.08011842557</v>
      </c>
      <c r="S37" s="67">
        <f t="shared" si="79"/>
        <v>-2.22929730527306</v>
      </c>
      <c r="Y37" s="67">
        <f t="shared" si="67"/>
        <v>-4.28800000000001</v>
      </c>
      <c r="AH37" t="str">
        <f t="shared" si="3"/>
        <v>NetCO2_TRA</v>
      </c>
      <c r="AJ37">
        <v>2046</v>
      </c>
      <c r="AK37" t="s">
        <v>21</v>
      </c>
      <c r="AL37">
        <v>1</v>
      </c>
      <c r="AM37" s="28">
        <f t="shared" si="26"/>
        <v>1825.48870107869</v>
      </c>
      <c r="AR37" s="67">
        <f t="shared" ref="AR37:AT37" si="80">AR36-AR35+AR36</f>
        <v>9321.19410024981</v>
      </c>
      <c r="AS37" s="67">
        <f t="shared" si="80"/>
        <v>8021.16216273127</v>
      </c>
      <c r="AT37" s="67">
        <f t="shared" si="80"/>
        <v>1825.48870107869</v>
      </c>
      <c r="BN37" t="str">
        <f t="shared" si="6"/>
        <v>NetCO2_TRA</v>
      </c>
      <c r="BP37">
        <v>2046</v>
      </c>
      <c r="BQ37" t="s">
        <v>21</v>
      </c>
      <c r="BR37">
        <v>1</v>
      </c>
      <c r="BS37" s="28">
        <f t="shared" si="0"/>
        <v>0</v>
      </c>
      <c r="BX37" s="67">
        <f t="shared" ref="BX37:BZ37" si="81">BX36-BX35+BX36</f>
        <v>0</v>
      </c>
      <c r="BY37" s="67">
        <f t="shared" si="81"/>
        <v>0</v>
      </c>
      <c r="BZ37" s="67">
        <f t="shared" si="81"/>
        <v>0</v>
      </c>
    </row>
    <row r="38" spans="7:94">
      <c r="G38" t="str">
        <f t="shared" si="1"/>
        <v>NetCO2_ELC</v>
      </c>
      <c r="I38">
        <v>2047</v>
      </c>
      <c r="J38" t="s">
        <v>21</v>
      </c>
      <c r="K38">
        <v>1</v>
      </c>
      <c r="L38" s="28">
        <f t="shared" si="2"/>
        <v>-37.804473612461</v>
      </c>
      <c r="Q38" s="67">
        <f t="shared" ref="Q38:S38" si="82">Q37-Q36+Q37</f>
        <v>6850.60826374388</v>
      </c>
      <c r="R38" s="67">
        <f t="shared" si="82"/>
        <v>4751.40667686692</v>
      </c>
      <c r="S38" s="67">
        <f t="shared" si="82"/>
        <v>-37.804473612461</v>
      </c>
      <c r="Y38" s="67">
        <f t="shared" si="67"/>
        <v>-72.716</v>
      </c>
      <c r="AB38" s="56"/>
      <c r="AH38" t="str">
        <f t="shared" si="3"/>
        <v>NetCO2_TRA</v>
      </c>
      <c r="AJ38">
        <v>2047</v>
      </c>
      <c r="AK38" t="s">
        <v>21</v>
      </c>
      <c r="AL38">
        <v>1</v>
      </c>
      <c r="AM38" s="28">
        <f t="shared" si="26"/>
        <v>1590.8485820117</v>
      </c>
      <c r="AR38" s="67">
        <f t="shared" ref="AR38:AT38" si="83">AR37-AR36+AR37</f>
        <v>9381.68142688961</v>
      </c>
      <c r="AS38" s="67">
        <f t="shared" si="83"/>
        <v>8000.02244661607</v>
      </c>
      <c r="AT38" s="67">
        <f t="shared" si="83"/>
        <v>1590.8485820117</v>
      </c>
      <c r="BN38" t="str">
        <f t="shared" si="6"/>
        <v>NetCO2_TRA</v>
      </c>
      <c r="BP38">
        <v>2047</v>
      </c>
      <c r="BQ38" t="s">
        <v>21</v>
      </c>
      <c r="BR38">
        <v>1</v>
      </c>
      <c r="BS38" s="28">
        <f t="shared" si="0"/>
        <v>0</v>
      </c>
      <c r="BX38" s="67">
        <f t="shared" ref="BX38:BZ38" si="84">BX37-BX36+BX37</f>
        <v>0</v>
      </c>
      <c r="BY38" s="67">
        <f t="shared" si="84"/>
        <v>0</v>
      </c>
      <c r="BZ38" s="67">
        <f t="shared" si="84"/>
        <v>0</v>
      </c>
    </row>
    <row r="39" spans="7:94">
      <c r="G39" t="str">
        <f t="shared" si="1"/>
        <v>NetCO2_ELC</v>
      </c>
      <c r="I39">
        <v>2048</v>
      </c>
      <c r="J39" t="s">
        <v>21</v>
      </c>
      <c r="K39">
        <v>1</v>
      </c>
      <c r="L39" s="28">
        <f t="shared" si="2"/>
        <v>-73.379649919649</v>
      </c>
      <c r="Q39" s="67">
        <f t="shared" ref="Q39:S39" si="85">Q38-Q37+Q38</f>
        <v>6786.85025683465</v>
      </c>
      <c r="R39" s="67">
        <f t="shared" si="85"/>
        <v>4631.73323530827</v>
      </c>
      <c r="S39" s="67">
        <f t="shared" si="85"/>
        <v>-73.379649919649</v>
      </c>
      <c r="Y39" s="67">
        <f t="shared" si="67"/>
        <v>-141.144</v>
      </c>
      <c r="AH39" t="str">
        <f t="shared" si="3"/>
        <v>NetCO2_TRA</v>
      </c>
      <c r="AJ39">
        <v>2048</v>
      </c>
      <c r="AK39" t="s">
        <v>21</v>
      </c>
      <c r="AL39">
        <v>1</v>
      </c>
      <c r="AM39" s="28">
        <f t="shared" si="26"/>
        <v>1356.20846294471</v>
      </c>
      <c r="AR39" s="67">
        <f t="shared" ref="AR39:AT39" si="86">AR38-AR37+AR38</f>
        <v>9442.16875352941</v>
      </c>
      <c r="AS39" s="67">
        <f t="shared" si="86"/>
        <v>7978.88273050087</v>
      </c>
      <c r="AT39" s="67">
        <f t="shared" si="86"/>
        <v>1356.20846294471</v>
      </c>
      <c r="BN39" t="str">
        <f t="shared" si="6"/>
        <v>NetCO2_TRA</v>
      </c>
      <c r="BP39">
        <v>2048</v>
      </c>
      <c r="BQ39" t="s">
        <v>21</v>
      </c>
      <c r="BR39">
        <v>1</v>
      </c>
      <c r="BS39" s="28">
        <f t="shared" si="0"/>
        <v>0</v>
      </c>
      <c r="BX39" s="67">
        <f t="shared" ref="BX39:BZ39" si="87">BX38-BX37+BX38</f>
        <v>0</v>
      </c>
      <c r="BY39" s="67">
        <f t="shared" si="87"/>
        <v>0</v>
      </c>
      <c r="BZ39" s="67">
        <f t="shared" si="87"/>
        <v>0</v>
      </c>
    </row>
    <row r="40" spans="7:94">
      <c r="G40" t="str">
        <f t="shared" si="1"/>
        <v>NetCO2_ELC</v>
      </c>
      <c r="I40">
        <v>2049</v>
      </c>
      <c r="J40" t="s">
        <v>21</v>
      </c>
      <c r="K40">
        <v>1</v>
      </c>
      <c r="L40" s="28">
        <f t="shared" si="2"/>
        <v>-108.954826226837</v>
      </c>
      <c r="Q40" s="67">
        <f t="shared" ref="Q40:S40" si="88">Q39-Q38+Q39</f>
        <v>6723.09224992542</v>
      </c>
      <c r="R40" s="67">
        <f t="shared" si="88"/>
        <v>4512.05979374962</v>
      </c>
      <c r="S40" s="67">
        <f t="shared" si="88"/>
        <v>-108.954826226837</v>
      </c>
      <c r="Y40" s="67">
        <f t="shared" si="67"/>
        <v>-209.572</v>
      </c>
      <c r="AH40" t="str">
        <f t="shared" si="3"/>
        <v>NetCO2_TRA</v>
      </c>
      <c r="AJ40">
        <v>2049</v>
      </c>
      <c r="AK40" t="s">
        <v>21</v>
      </c>
      <c r="AL40">
        <v>1</v>
      </c>
      <c r="AM40" s="28">
        <f t="shared" si="26"/>
        <v>1121.56834387772</v>
      </c>
      <c r="AR40" s="67">
        <f t="shared" ref="AR40:AT40" si="89">AR39-AR38+AR39</f>
        <v>9502.65608016922</v>
      </c>
      <c r="AS40" s="67">
        <f t="shared" si="89"/>
        <v>7957.74301438567</v>
      </c>
      <c r="AT40" s="67">
        <f t="shared" si="89"/>
        <v>1121.56834387772</v>
      </c>
      <c r="BN40" t="str">
        <f t="shared" si="6"/>
        <v>NetCO2_TRA</v>
      </c>
      <c r="BP40">
        <v>2049</v>
      </c>
      <c r="BQ40" t="s">
        <v>21</v>
      </c>
      <c r="BR40">
        <v>1</v>
      </c>
      <c r="BS40" s="28">
        <f t="shared" si="0"/>
        <v>0</v>
      </c>
      <c r="BX40" s="67">
        <f t="shared" ref="BX40:BZ40" si="90">BX39-BX38+BX39</f>
        <v>0</v>
      </c>
      <c r="BY40" s="67">
        <f t="shared" si="90"/>
        <v>0</v>
      </c>
      <c r="BZ40" s="67">
        <f t="shared" si="90"/>
        <v>0</v>
      </c>
    </row>
    <row r="41" spans="7:94">
      <c r="G41" t="str">
        <f t="shared" si="1"/>
        <v>NetCO2_ELC</v>
      </c>
      <c r="I41" s="71">
        <v>2050</v>
      </c>
      <c r="J41" s="71" t="s">
        <v>21</v>
      </c>
      <c r="K41" s="71">
        <v>1</v>
      </c>
      <c r="L41" s="78">
        <f t="shared" si="2"/>
        <v>-144.530002534025</v>
      </c>
      <c r="M41" s="28"/>
      <c r="N41" s="28"/>
      <c r="O41" s="28"/>
      <c r="P41" s="28"/>
      <c r="Q41" s="67">
        <f>T41</f>
        <v>6659.3342430162</v>
      </c>
      <c r="R41" s="68">
        <f>V41</f>
        <v>4392.38635219097</v>
      </c>
      <c r="S41" s="79">
        <f>X41</f>
        <v>-144.530002534025</v>
      </c>
      <c r="T41" s="28">
        <f>T15*U41/U15</f>
        <v>6659.3342430162</v>
      </c>
      <c r="U41" s="66">
        <v>12809.07</v>
      </c>
      <c r="V41" s="28">
        <f>V15*W41/W15</f>
        <v>4392.38635219097</v>
      </c>
      <c r="W41" s="74">
        <v>8448.65</v>
      </c>
      <c r="X41" s="78">
        <f>X15*Y41/Y11</f>
        <v>-144.530002534025</v>
      </c>
      <c r="Y41" s="80">
        <v>-278</v>
      </c>
      <c r="Z41" s="81"/>
      <c r="AA41" s="81"/>
      <c r="AB41" s="56"/>
      <c r="AH41" t="str">
        <f t="shared" si="3"/>
        <v>NetCO2_TRA</v>
      </c>
      <c r="AJ41" s="71">
        <v>2050</v>
      </c>
      <c r="AK41" s="71" t="s">
        <v>21</v>
      </c>
      <c r="AL41" s="71">
        <v>1</v>
      </c>
      <c r="AM41" s="28">
        <f t="shared" si="26"/>
        <v>886.928224810728</v>
      </c>
      <c r="AN41" s="28"/>
      <c r="AO41" s="28"/>
      <c r="AP41" s="28"/>
      <c r="AR41" s="67">
        <f>AU41</f>
        <v>9563.14340680903</v>
      </c>
      <c r="AS41" s="68">
        <f>AW41</f>
        <v>7936.60329827047</v>
      </c>
      <c r="AT41" s="79">
        <f>AY41</f>
        <v>886.928224810728</v>
      </c>
      <c r="AU41" s="28">
        <f t="shared" ref="AU41:AY41" si="91">AU15*AV41/AV15</f>
        <v>9563.14340680903</v>
      </c>
      <c r="AV41" s="66">
        <f t="shared" ref="AV41:AZ41" si="92">AV21</f>
        <v>9625.7</v>
      </c>
      <c r="AW41" s="28">
        <f t="shared" si="91"/>
        <v>7936.60329827047</v>
      </c>
      <c r="AX41" s="74">
        <f t="shared" si="92"/>
        <v>7988.52</v>
      </c>
      <c r="AY41" s="78">
        <f t="shared" si="91"/>
        <v>886.928224810728</v>
      </c>
      <c r="AZ41" s="80">
        <f t="shared" si="92"/>
        <v>892.73</v>
      </c>
      <c r="BN41" t="str">
        <f t="shared" si="6"/>
        <v>NetCO2_TRA</v>
      </c>
      <c r="BP41" s="71">
        <v>2050</v>
      </c>
      <c r="BQ41" s="71" t="s">
        <v>21</v>
      </c>
      <c r="BR41" s="71">
        <v>1</v>
      </c>
      <c r="BS41" s="28">
        <f t="shared" si="0"/>
        <v>0</v>
      </c>
      <c r="BT41" s="28"/>
      <c r="BU41" s="28"/>
      <c r="BV41" s="28"/>
      <c r="BX41" s="67">
        <f>CA41</f>
        <v>0</v>
      </c>
      <c r="BY41" s="68">
        <f>CC41</f>
        <v>0</v>
      </c>
      <c r="BZ41" s="79">
        <f>CE41</f>
        <v>0</v>
      </c>
      <c r="CA41" s="28">
        <f t="shared" ref="CA41:CE41" si="93">CA15*CB41/CB15</f>
        <v>0</v>
      </c>
      <c r="CB41" s="66">
        <f t="shared" ref="CB41:CF41" si="94">CB21</f>
        <v>10390</v>
      </c>
      <c r="CC41" s="28">
        <f t="shared" si="93"/>
        <v>0</v>
      </c>
      <c r="CD41" s="74">
        <f t="shared" si="94"/>
        <v>8885</v>
      </c>
      <c r="CE41" s="78">
        <f t="shared" si="93"/>
        <v>0</v>
      </c>
      <c r="CF41" s="80">
        <f t="shared" si="94"/>
        <v>452</v>
      </c>
      <c r="CK41" s="33">
        <v>2050</v>
      </c>
      <c r="CL41" s="48">
        <f t="shared" ref="CL41:CP41" si="95">CB41+AV41+U41</f>
        <v>32824.77</v>
      </c>
      <c r="CN41" s="48">
        <f t="shared" si="95"/>
        <v>25322.17</v>
      </c>
      <c r="CP41" s="48">
        <f t="shared" si="95"/>
        <v>1066.73</v>
      </c>
    </row>
    <row r="42" spans="7:94">
      <c r="G42" t="str">
        <f t="shared" si="1"/>
        <v>NetCO2_ELC</v>
      </c>
      <c r="I42">
        <v>2051</v>
      </c>
      <c r="J42" t="str">
        <f t="shared" ref="J42:L42" si="96">J41</f>
        <v>UP</v>
      </c>
      <c r="K42">
        <f t="shared" si="96"/>
        <v>1</v>
      </c>
      <c r="L42">
        <f t="shared" si="96"/>
        <v>-144.530002534025</v>
      </c>
      <c r="Q42" s="67"/>
      <c r="R42" s="67"/>
      <c r="S42" s="67"/>
      <c r="T42" s="82"/>
      <c r="AH42" t="str">
        <f t="shared" si="3"/>
        <v>NetCO2_TRA</v>
      </c>
      <c r="AJ42">
        <v>2051</v>
      </c>
      <c r="AK42" t="str">
        <f t="shared" ref="AK42:AM42" si="97">AK41</f>
        <v>UP</v>
      </c>
      <c r="AL42">
        <f t="shared" si="97"/>
        <v>1</v>
      </c>
      <c r="AM42">
        <f t="shared" si="97"/>
        <v>886.928224810728</v>
      </c>
      <c r="AR42" s="67"/>
      <c r="AS42" s="67"/>
      <c r="AT42" s="67"/>
      <c r="AU42" s="82"/>
      <c r="BN42" t="str">
        <f t="shared" si="6"/>
        <v>NetCO2_TRA</v>
      </c>
      <c r="BP42">
        <v>2051</v>
      </c>
      <c r="BQ42" t="str">
        <f t="shared" ref="BQ42:BS42" si="98">BQ41</f>
        <v>UP</v>
      </c>
      <c r="BR42">
        <f t="shared" si="98"/>
        <v>1</v>
      </c>
      <c r="BS42">
        <f t="shared" si="98"/>
        <v>0</v>
      </c>
      <c r="BX42" s="67"/>
      <c r="BY42" s="67"/>
      <c r="BZ42" s="67"/>
      <c r="CA42" s="82"/>
    </row>
    <row r="43" spans="7:94">
      <c r="G43" t="str">
        <f t="shared" si="1"/>
        <v>NetCO2_ELC</v>
      </c>
      <c r="I43">
        <v>2052</v>
      </c>
      <c r="J43" t="str">
        <f t="shared" ref="J43:L43" si="99">J42</f>
        <v>UP</v>
      </c>
      <c r="K43">
        <f t="shared" si="99"/>
        <v>1</v>
      </c>
      <c r="L43">
        <f t="shared" si="99"/>
        <v>-144.530002534025</v>
      </c>
      <c r="Q43" s="67"/>
      <c r="R43" s="67"/>
      <c r="S43" s="67"/>
      <c r="T43" s="82"/>
      <c r="AH43" t="str">
        <f t="shared" si="3"/>
        <v>NetCO2_TRA</v>
      </c>
      <c r="AJ43">
        <v>2052</v>
      </c>
      <c r="AK43" t="str">
        <f t="shared" ref="AK43:AM43" si="100">AK42</f>
        <v>UP</v>
      </c>
      <c r="AL43">
        <f t="shared" si="100"/>
        <v>1</v>
      </c>
      <c r="AM43">
        <f t="shared" si="100"/>
        <v>886.928224810728</v>
      </c>
      <c r="AR43" s="67"/>
      <c r="AS43" s="67"/>
      <c r="AT43" s="67"/>
      <c r="AU43" s="82"/>
      <c r="BN43" t="str">
        <f t="shared" si="6"/>
        <v>NetCO2_TRA</v>
      </c>
      <c r="BP43">
        <v>2052</v>
      </c>
      <c r="BQ43" t="str">
        <f t="shared" ref="BQ43:BS43" si="101">BQ42</f>
        <v>UP</v>
      </c>
      <c r="BR43">
        <f t="shared" si="101"/>
        <v>1</v>
      </c>
      <c r="BS43">
        <f t="shared" si="101"/>
        <v>0</v>
      </c>
      <c r="BX43" s="67"/>
      <c r="BY43" s="67"/>
      <c r="BZ43" s="67"/>
      <c r="CA43" s="82"/>
    </row>
    <row r="44" spans="7:94">
      <c r="G44" t="str">
        <f t="shared" si="1"/>
        <v>NetCO2_ELC</v>
      </c>
      <c r="I44">
        <v>2053</v>
      </c>
      <c r="J44" t="str">
        <f t="shared" ref="J44:L44" si="102">J43</f>
        <v>UP</v>
      </c>
      <c r="K44">
        <f t="shared" si="102"/>
        <v>1</v>
      </c>
      <c r="L44">
        <f t="shared" si="102"/>
        <v>-144.530002534025</v>
      </c>
      <c r="Q44" s="67"/>
      <c r="R44" s="67"/>
      <c r="S44" s="67"/>
      <c r="T44" s="82"/>
      <c r="AH44" t="str">
        <f t="shared" si="3"/>
        <v>NetCO2_TRA</v>
      </c>
      <c r="AJ44">
        <v>2053</v>
      </c>
      <c r="AK44" t="str">
        <f t="shared" ref="AK44:AM44" si="103">AK43</f>
        <v>UP</v>
      </c>
      <c r="AL44">
        <f t="shared" si="103"/>
        <v>1</v>
      </c>
      <c r="AM44">
        <f t="shared" si="103"/>
        <v>886.928224810728</v>
      </c>
      <c r="AR44" s="67"/>
      <c r="AS44" s="67"/>
      <c r="AT44" s="67"/>
      <c r="AU44" s="82"/>
      <c r="BN44" t="str">
        <f t="shared" si="6"/>
        <v>NetCO2_TRA</v>
      </c>
      <c r="BP44">
        <v>2053</v>
      </c>
      <c r="BQ44" t="str">
        <f t="shared" ref="BQ44:BS44" si="104">BQ43</f>
        <v>UP</v>
      </c>
      <c r="BR44">
        <f t="shared" si="104"/>
        <v>1</v>
      </c>
      <c r="BS44">
        <f t="shared" si="104"/>
        <v>0</v>
      </c>
      <c r="BX44" s="67"/>
      <c r="BY44" s="67"/>
      <c r="BZ44" s="67"/>
      <c r="CA44" s="82"/>
    </row>
    <row r="45" spans="7:94">
      <c r="G45" t="str">
        <f t="shared" si="1"/>
        <v>NetCO2_ELC</v>
      </c>
      <c r="I45">
        <v>2054</v>
      </c>
      <c r="J45" t="str">
        <f t="shared" ref="J45:L45" si="105">J44</f>
        <v>UP</v>
      </c>
      <c r="K45">
        <f t="shared" si="105"/>
        <v>1</v>
      </c>
      <c r="L45">
        <f t="shared" si="105"/>
        <v>-144.530002534025</v>
      </c>
      <c r="Q45" s="67"/>
      <c r="R45" s="67"/>
      <c r="S45" s="67"/>
      <c r="T45" s="82"/>
      <c r="AH45" t="str">
        <f t="shared" si="3"/>
        <v>NetCO2_TRA</v>
      </c>
      <c r="AJ45">
        <v>2054</v>
      </c>
      <c r="AK45" t="str">
        <f t="shared" ref="AK45:AM45" si="106">AK44</f>
        <v>UP</v>
      </c>
      <c r="AL45">
        <f t="shared" si="106"/>
        <v>1</v>
      </c>
      <c r="AM45">
        <f t="shared" si="106"/>
        <v>886.928224810728</v>
      </c>
      <c r="AR45" s="67"/>
      <c r="AS45" s="67"/>
      <c r="AT45" s="67"/>
      <c r="AU45" s="82"/>
      <c r="BN45" t="str">
        <f t="shared" si="6"/>
        <v>NetCO2_TRA</v>
      </c>
      <c r="BP45">
        <v>2054</v>
      </c>
      <c r="BQ45" t="str">
        <f t="shared" ref="BQ45:BS45" si="107">BQ44</f>
        <v>UP</v>
      </c>
      <c r="BR45">
        <f t="shared" si="107"/>
        <v>1</v>
      </c>
      <c r="BS45">
        <f t="shared" si="107"/>
        <v>0</v>
      </c>
      <c r="BX45" s="67"/>
      <c r="BY45" s="67"/>
      <c r="BZ45" s="67"/>
      <c r="CA45" s="82"/>
      <c r="CK45" s="33">
        <v>2100</v>
      </c>
      <c r="CL45" s="48">
        <f t="shared" ref="CL45:CP45" si="108">CL41</f>
        <v>32824.77</v>
      </c>
      <c r="CN45" s="48">
        <f t="shared" si="108"/>
        <v>25322.17</v>
      </c>
      <c r="CP45" s="48">
        <f t="shared" si="108"/>
        <v>1066.73</v>
      </c>
    </row>
    <row r="46" spans="7:94">
      <c r="G46" t="str">
        <f t="shared" si="1"/>
        <v>NetCO2_ELC</v>
      </c>
      <c r="I46">
        <v>2055</v>
      </c>
      <c r="J46" t="str">
        <f t="shared" ref="J46:L46" si="109">J45</f>
        <v>UP</v>
      </c>
      <c r="K46">
        <f t="shared" si="109"/>
        <v>1</v>
      </c>
      <c r="L46">
        <f t="shared" si="109"/>
        <v>-144.530002534025</v>
      </c>
      <c r="Q46" s="67"/>
      <c r="R46" s="67"/>
      <c r="S46" s="67"/>
      <c r="T46" s="82"/>
      <c r="AH46" t="str">
        <f t="shared" si="3"/>
        <v>NetCO2_TRA</v>
      </c>
      <c r="AJ46">
        <v>2055</v>
      </c>
      <c r="AK46" t="str">
        <f t="shared" ref="AK46:AM46" si="110">AK45</f>
        <v>UP</v>
      </c>
      <c r="AL46">
        <f t="shared" si="110"/>
        <v>1</v>
      </c>
      <c r="AM46">
        <f t="shared" si="110"/>
        <v>886.928224810728</v>
      </c>
      <c r="AR46" s="67"/>
      <c r="AS46" s="67"/>
      <c r="AT46" s="67"/>
      <c r="AU46" s="82"/>
      <c r="BN46" t="str">
        <f t="shared" si="6"/>
        <v>NetCO2_TRA</v>
      </c>
      <c r="BP46">
        <v>2055</v>
      </c>
      <c r="BQ46" t="str">
        <f t="shared" ref="BQ46:BS46" si="111">BQ45</f>
        <v>UP</v>
      </c>
      <c r="BR46">
        <f t="shared" si="111"/>
        <v>1</v>
      </c>
      <c r="BS46">
        <f t="shared" si="111"/>
        <v>0</v>
      </c>
      <c r="BX46" s="67"/>
      <c r="BY46" s="67"/>
      <c r="BZ46" s="67"/>
      <c r="CA46" s="82"/>
    </row>
    <row r="47" spans="7:94">
      <c r="G47" t="str">
        <f t="shared" si="1"/>
        <v>NetCO2_ELC</v>
      </c>
      <c r="I47">
        <v>2056</v>
      </c>
      <c r="J47" t="str">
        <f t="shared" ref="J47:L47" si="112">J46</f>
        <v>UP</v>
      </c>
      <c r="K47">
        <f t="shared" si="112"/>
        <v>1</v>
      </c>
      <c r="L47">
        <f t="shared" si="112"/>
        <v>-144.530002534025</v>
      </c>
      <c r="Q47" s="67"/>
      <c r="R47" s="67"/>
      <c r="S47" s="67"/>
      <c r="T47" s="82"/>
      <c r="AH47" t="str">
        <f t="shared" si="3"/>
        <v>NetCO2_TRA</v>
      </c>
      <c r="AJ47">
        <v>2056</v>
      </c>
      <c r="AK47" t="str">
        <f t="shared" ref="AK47:AM47" si="113">AK46</f>
        <v>UP</v>
      </c>
      <c r="AL47">
        <f t="shared" si="113"/>
        <v>1</v>
      </c>
      <c r="AM47">
        <f t="shared" si="113"/>
        <v>886.928224810728</v>
      </c>
      <c r="AR47" s="67"/>
      <c r="AS47" s="67"/>
      <c r="AT47" s="67"/>
      <c r="AU47" s="82"/>
      <c r="BN47" t="str">
        <f t="shared" si="6"/>
        <v>NetCO2_TRA</v>
      </c>
      <c r="BP47">
        <v>2056</v>
      </c>
      <c r="BQ47" t="str">
        <f t="shared" ref="BQ47:BS47" si="114">BQ46</f>
        <v>UP</v>
      </c>
      <c r="BR47">
        <f t="shared" si="114"/>
        <v>1</v>
      </c>
      <c r="BS47">
        <f t="shared" si="114"/>
        <v>0</v>
      </c>
      <c r="BX47" s="67"/>
      <c r="BY47" s="67"/>
      <c r="BZ47" s="67"/>
      <c r="CA47" s="82"/>
    </row>
    <row r="48" spans="7:94">
      <c r="G48" t="str">
        <f t="shared" si="1"/>
        <v>NetCO2_ELC</v>
      </c>
      <c r="I48">
        <v>2057</v>
      </c>
      <c r="J48" t="str">
        <f t="shared" ref="J48:L48" si="115">J47</f>
        <v>UP</v>
      </c>
      <c r="K48">
        <f t="shared" si="115"/>
        <v>1</v>
      </c>
      <c r="L48">
        <f t="shared" si="115"/>
        <v>-144.530002534025</v>
      </c>
      <c r="Q48" s="67"/>
      <c r="R48" s="67"/>
      <c r="S48" s="67"/>
      <c r="T48" s="82"/>
      <c r="AH48" t="str">
        <f t="shared" si="3"/>
        <v>NetCO2_TRA</v>
      </c>
      <c r="AJ48">
        <v>2057</v>
      </c>
      <c r="AK48" t="str">
        <f t="shared" ref="AK48:AM48" si="116">AK47</f>
        <v>UP</v>
      </c>
      <c r="AL48">
        <f t="shared" si="116"/>
        <v>1</v>
      </c>
      <c r="AM48">
        <f t="shared" si="116"/>
        <v>886.928224810728</v>
      </c>
      <c r="AR48" s="67"/>
      <c r="AS48" s="67"/>
      <c r="AT48" s="67"/>
      <c r="AU48" s="82"/>
      <c r="BN48" t="str">
        <f t="shared" si="6"/>
        <v>NetCO2_TRA</v>
      </c>
      <c r="BP48">
        <v>2057</v>
      </c>
      <c r="BQ48" t="str">
        <f t="shared" ref="BQ48:BS48" si="117">BQ47</f>
        <v>UP</v>
      </c>
      <c r="BR48">
        <f t="shared" si="117"/>
        <v>1</v>
      </c>
      <c r="BS48">
        <f t="shared" si="117"/>
        <v>0</v>
      </c>
      <c r="BX48" s="67"/>
      <c r="BY48" s="67"/>
      <c r="BZ48" s="67"/>
      <c r="CA48" s="82"/>
      <c r="CK48" s="33">
        <v>0</v>
      </c>
      <c r="CL48" s="33">
        <v>5</v>
      </c>
      <c r="CN48" s="33">
        <v>5</v>
      </c>
      <c r="CP48" s="33">
        <v>5</v>
      </c>
    </row>
    <row r="49" spans="7:79">
      <c r="G49" t="str">
        <f t="shared" si="1"/>
        <v>NetCO2_ELC</v>
      </c>
      <c r="I49">
        <v>2058</v>
      </c>
      <c r="J49" t="str">
        <f t="shared" ref="J49:L49" si="118">J48</f>
        <v>UP</v>
      </c>
      <c r="K49">
        <f t="shared" si="118"/>
        <v>1</v>
      </c>
      <c r="L49">
        <f t="shared" si="118"/>
        <v>-144.530002534025</v>
      </c>
      <c r="Q49" s="67"/>
      <c r="R49" s="67"/>
      <c r="S49" s="67"/>
      <c r="T49" s="82"/>
      <c r="AH49" t="str">
        <f t="shared" si="3"/>
        <v>NetCO2_TRA</v>
      </c>
      <c r="AJ49">
        <v>2058</v>
      </c>
      <c r="AK49" t="str">
        <f t="shared" ref="AK49:AM49" si="119">AK48</f>
        <v>UP</v>
      </c>
      <c r="AL49">
        <f t="shared" si="119"/>
        <v>1</v>
      </c>
      <c r="AM49">
        <f t="shared" si="119"/>
        <v>886.928224810728</v>
      </c>
      <c r="AR49" s="67"/>
      <c r="AS49" s="67"/>
      <c r="AT49" s="67"/>
      <c r="AU49" s="82"/>
      <c r="BN49" t="str">
        <f t="shared" si="6"/>
        <v>NetCO2_TRA</v>
      </c>
      <c r="BP49">
        <v>2058</v>
      </c>
      <c r="BQ49" t="str">
        <f t="shared" ref="BQ49:BS49" si="120">BQ48</f>
        <v>UP</v>
      </c>
      <c r="BR49">
        <f t="shared" si="120"/>
        <v>1</v>
      </c>
      <c r="BS49">
        <f t="shared" si="120"/>
        <v>0</v>
      </c>
      <c r="BX49" s="67"/>
      <c r="BY49" s="67"/>
      <c r="BZ49" s="67"/>
      <c r="CA49" s="82"/>
    </row>
    <row r="50" spans="7:79">
      <c r="G50" t="str">
        <f t="shared" si="1"/>
        <v>NetCO2_ELC</v>
      </c>
      <c r="I50">
        <v>2059</v>
      </c>
      <c r="J50" t="str">
        <f t="shared" ref="J50:L50" si="121">J49</f>
        <v>UP</v>
      </c>
      <c r="K50">
        <f t="shared" si="121"/>
        <v>1</v>
      </c>
      <c r="L50">
        <f t="shared" si="121"/>
        <v>-144.530002534025</v>
      </c>
      <c r="Q50" s="67"/>
      <c r="R50" s="67"/>
      <c r="S50" s="67"/>
      <c r="T50" s="82"/>
      <c r="AH50" t="str">
        <f t="shared" si="3"/>
        <v>NetCO2_TRA</v>
      </c>
      <c r="AJ50">
        <v>2059</v>
      </c>
      <c r="AK50" t="str">
        <f t="shared" ref="AK50:AM50" si="122">AK49</f>
        <v>UP</v>
      </c>
      <c r="AL50">
        <f t="shared" si="122"/>
        <v>1</v>
      </c>
      <c r="AM50">
        <f t="shared" si="122"/>
        <v>886.928224810728</v>
      </c>
      <c r="AR50" s="67"/>
      <c r="AS50" s="67"/>
      <c r="AT50" s="67"/>
      <c r="AU50" s="82"/>
      <c r="BN50" t="str">
        <f t="shared" si="6"/>
        <v>NetCO2_TRA</v>
      </c>
      <c r="BP50">
        <v>2059</v>
      </c>
      <c r="BQ50" t="str">
        <f t="shared" ref="BQ50:BS50" si="123">BQ49</f>
        <v>UP</v>
      </c>
      <c r="BR50">
        <f t="shared" si="123"/>
        <v>1</v>
      </c>
      <c r="BS50">
        <f t="shared" si="123"/>
        <v>0</v>
      </c>
      <c r="BX50" s="67"/>
      <c r="BY50" s="67"/>
      <c r="BZ50" s="67"/>
      <c r="CA50" s="82"/>
    </row>
    <row r="51" spans="7:79">
      <c r="G51" t="str">
        <f t="shared" si="1"/>
        <v>NetCO2_ELC</v>
      </c>
      <c r="I51">
        <v>2060</v>
      </c>
      <c r="J51" t="str">
        <f t="shared" ref="J51:L51" si="124">J50</f>
        <v>UP</v>
      </c>
      <c r="K51">
        <f t="shared" si="124"/>
        <v>1</v>
      </c>
      <c r="L51">
        <f t="shared" si="124"/>
        <v>-144.530002534025</v>
      </c>
      <c r="Q51" s="67"/>
      <c r="R51" s="67"/>
      <c r="S51" s="67"/>
      <c r="T51" s="82"/>
      <c r="AH51" t="str">
        <f t="shared" si="3"/>
        <v>NetCO2_TRA</v>
      </c>
      <c r="AJ51">
        <v>2060</v>
      </c>
      <c r="AK51" t="str">
        <f t="shared" ref="AK51:AM51" si="125">AK50</f>
        <v>UP</v>
      </c>
      <c r="AL51">
        <f t="shared" si="125"/>
        <v>1</v>
      </c>
      <c r="AM51">
        <f t="shared" si="125"/>
        <v>886.928224810728</v>
      </c>
      <c r="AR51" s="67"/>
      <c r="AS51" s="67"/>
      <c r="AT51" s="67"/>
      <c r="AU51" s="82"/>
      <c r="BN51" t="str">
        <f t="shared" si="6"/>
        <v>NetCO2_TRA</v>
      </c>
      <c r="BP51">
        <v>2060</v>
      </c>
      <c r="BQ51" t="str">
        <f t="shared" ref="BQ51:BS51" si="126">BQ50</f>
        <v>UP</v>
      </c>
      <c r="BR51">
        <f t="shared" si="126"/>
        <v>1</v>
      </c>
      <c r="BS51">
        <f t="shared" si="126"/>
        <v>0</v>
      </c>
      <c r="BX51" s="67"/>
      <c r="BY51" s="67"/>
      <c r="BZ51" s="67"/>
      <c r="CA51" s="82"/>
    </row>
    <row r="52" spans="7:79">
      <c r="G52" t="str">
        <f t="shared" si="1"/>
        <v>NetCO2_ELC</v>
      </c>
      <c r="I52">
        <v>2061</v>
      </c>
      <c r="J52" t="str">
        <f t="shared" ref="J52:L52" si="127">J51</f>
        <v>UP</v>
      </c>
      <c r="K52">
        <f t="shared" si="127"/>
        <v>1</v>
      </c>
      <c r="L52">
        <f t="shared" si="127"/>
        <v>-144.530002534025</v>
      </c>
      <c r="Q52" s="67"/>
      <c r="R52" s="67"/>
      <c r="S52" s="67"/>
      <c r="T52" s="82"/>
      <c r="AH52" t="str">
        <f t="shared" si="3"/>
        <v>NetCO2_TRA</v>
      </c>
      <c r="AJ52">
        <v>2061</v>
      </c>
      <c r="AK52" t="str">
        <f t="shared" ref="AK52:AM52" si="128">AK51</f>
        <v>UP</v>
      </c>
      <c r="AL52">
        <f t="shared" si="128"/>
        <v>1</v>
      </c>
      <c r="AM52">
        <f t="shared" si="128"/>
        <v>886.928224810728</v>
      </c>
      <c r="AR52" s="67"/>
      <c r="AS52" s="67"/>
      <c r="AT52" s="67"/>
      <c r="AU52" s="82"/>
      <c r="BN52" t="str">
        <f t="shared" si="6"/>
        <v>NetCO2_TRA</v>
      </c>
      <c r="BP52">
        <v>2061</v>
      </c>
      <c r="BQ52" t="str">
        <f t="shared" ref="BQ52:BS52" si="129">BQ51</f>
        <v>UP</v>
      </c>
      <c r="BR52">
        <f t="shared" si="129"/>
        <v>1</v>
      </c>
      <c r="BS52">
        <f t="shared" si="129"/>
        <v>0</v>
      </c>
      <c r="BX52" s="67"/>
      <c r="BY52" s="67"/>
      <c r="BZ52" s="67"/>
      <c r="CA52" s="82"/>
    </row>
    <row r="53" spans="7:79">
      <c r="G53" t="str">
        <f t="shared" si="1"/>
        <v>NetCO2_ELC</v>
      </c>
      <c r="I53">
        <v>2062</v>
      </c>
      <c r="J53" t="str">
        <f t="shared" ref="J53:L53" si="130">J52</f>
        <v>UP</v>
      </c>
      <c r="K53">
        <f t="shared" si="130"/>
        <v>1</v>
      </c>
      <c r="L53">
        <f t="shared" si="130"/>
        <v>-144.530002534025</v>
      </c>
      <c r="Q53" s="67"/>
      <c r="R53" s="67"/>
      <c r="S53" s="67"/>
      <c r="T53" s="82"/>
      <c r="AH53" t="str">
        <f t="shared" si="3"/>
        <v>NetCO2_TRA</v>
      </c>
      <c r="AJ53">
        <v>2062</v>
      </c>
      <c r="AK53" t="str">
        <f t="shared" ref="AK53:AM53" si="131">AK52</f>
        <v>UP</v>
      </c>
      <c r="AL53">
        <f t="shared" si="131"/>
        <v>1</v>
      </c>
      <c r="AM53">
        <f t="shared" si="131"/>
        <v>886.928224810728</v>
      </c>
      <c r="AR53" s="67"/>
      <c r="AS53" s="67"/>
      <c r="AT53" s="67"/>
      <c r="AU53" s="82"/>
      <c r="BN53" t="str">
        <f t="shared" si="6"/>
        <v>NetCO2_TRA</v>
      </c>
      <c r="BP53">
        <v>2062</v>
      </c>
      <c r="BQ53" t="str">
        <f t="shared" ref="BQ53:BS53" si="132">BQ52</f>
        <v>UP</v>
      </c>
      <c r="BR53">
        <f t="shared" si="132"/>
        <v>1</v>
      </c>
      <c r="BS53">
        <f t="shared" si="132"/>
        <v>0</v>
      </c>
      <c r="BX53" s="67"/>
      <c r="BY53" s="67"/>
      <c r="BZ53" s="67"/>
      <c r="CA53" s="82"/>
    </row>
    <row r="54" spans="7:79">
      <c r="G54" t="str">
        <f t="shared" si="1"/>
        <v>NetCO2_ELC</v>
      </c>
      <c r="I54">
        <v>2063</v>
      </c>
      <c r="J54" t="str">
        <f t="shared" ref="J54:L54" si="133">J53</f>
        <v>UP</v>
      </c>
      <c r="K54">
        <f t="shared" si="133"/>
        <v>1</v>
      </c>
      <c r="L54">
        <f t="shared" si="133"/>
        <v>-144.530002534025</v>
      </c>
      <c r="Q54" s="67"/>
      <c r="R54" s="67"/>
      <c r="S54" s="67"/>
      <c r="T54" s="82"/>
      <c r="AH54" t="str">
        <f t="shared" si="3"/>
        <v>NetCO2_TRA</v>
      </c>
      <c r="AJ54">
        <v>2063</v>
      </c>
      <c r="AK54" t="str">
        <f t="shared" ref="AK54:AM54" si="134">AK53</f>
        <v>UP</v>
      </c>
      <c r="AL54">
        <f t="shared" si="134"/>
        <v>1</v>
      </c>
      <c r="AM54">
        <f t="shared" si="134"/>
        <v>886.928224810728</v>
      </c>
      <c r="AR54" s="67"/>
      <c r="AS54" s="67"/>
      <c r="AT54" s="67"/>
      <c r="AU54" s="82"/>
      <c r="BN54" t="str">
        <f t="shared" si="6"/>
        <v>NetCO2_TRA</v>
      </c>
      <c r="BP54">
        <v>2063</v>
      </c>
      <c r="BQ54" t="str">
        <f t="shared" ref="BQ54:BS54" si="135">BQ53</f>
        <v>UP</v>
      </c>
      <c r="BR54">
        <f t="shared" si="135"/>
        <v>1</v>
      </c>
      <c r="BS54">
        <f t="shared" si="135"/>
        <v>0</v>
      </c>
      <c r="BX54" s="67"/>
      <c r="BY54" s="67"/>
      <c r="BZ54" s="67"/>
      <c r="CA54" s="82"/>
    </row>
    <row r="55" spans="7:79">
      <c r="G55" t="str">
        <f t="shared" si="1"/>
        <v>NetCO2_ELC</v>
      </c>
      <c r="I55">
        <v>2064</v>
      </c>
      <c r="J55" t="str">
        <f t="shared" ref="J55:L55" si="136">J54</f>
        <v>UP</v>
      </c>
      <c r="K55">
        <f t="shared" si="136"/>
        <v>1</v>
      </c>
      <c r="L55">
        <f t="shared" si="136"/>
        <v>-144.530002534025</v>
      </c>
      <c r="Q55" s="67"/>
      <c r="R55" s="67"/>
      <c r="S55" s="67"/>
      <c r="T55" s="82"/>
      <c r="AH55" t="str">
        <f t="shared" si="3"/>
        <v>NetCO2_TRA</v>
      </c>
      <c r="AJ55">
        <v>2064</v>
      </c>
      <c r="AK55" t="str">
        <f t="shared" ref="AK55:AM55" si="137">AK54</f>
        <v>UP</v>
      </c>
      <c r="AL55">
        <f t="shared" si="137"/>
        <v>1</v>
      </c>
      <c r="AM55">
        <f t="shared" si="137"/>
        <v>886.928224810728</v>
      </c>
      <c r="AR55" s="67"/>
      <c r="AS55" s="67"/>
      <c r="AT55" s="67"/>
      <c r="AU55" s="82"/>
      <c r="BN55" t="str">
        <f t="shared" si="6"/>
        <v>NetCO2_TRA</v>
      </c>
      <c r="BP55">
        <v>2064</v>
      </c>
      <c r="BQ55" t="str">
        <f t="shared" ref="BQ55:BS55" si="138">BQ54</f>
        <v>UP</v>
      </c>
      <c r="BR55">
        <f t="shared" si="138"/>
        <v>1</v>
      </c>
      <c r="BS55">
        <f t="shared" si="138"/>
        <v>0</v>
      </c>
      <c r="BX55" s="67"/>
      <c r="BY55" s="67"/>
      <c r="BZ55" s="67"/>
      <c r="CA55" s="82"/>
    </row>
    <row r="56" spans="7:79">
      <c r="G56" t="str">
        <f t="shared" si="1"/>
        <v>NetCO2_ELC</v>
      </c>
      <c r="I56">
        <v>2065</v>
      </c>
      <c r="J56" t="str">
        <f t="shared" ref="J56:L56" si="139">J55</f>
        <v>UP</v>
      </c>
      <c r="K56">
        <f t="shared" si="139"/>
        <v>1</v>
      </c>
      <c r="L56">
        <f t="shared" si="139"/>
        <v>-144.530002534025</v>
      </c>
      <c r="Q56" s="67"/>
      <c r="R56" s="67"/>
      <c r="S56" s="67"/>
      <c r="T56" s="82"/>
      <c r="AH56" t="str">
        <f t="shared" si="3"/>
        <v>NetCO2_TRA</v>
      </c>
      <c r="AJ56">
        <v>2065</v>
      </c>
      <c r="AK56" t="str">
        <f t="shared" ref="AK56:AM56" si="140">AK55</f>
        <v>UP</v>
      </c>
      <c r="AL56">
        <f t="shared" si="140"/>
        <v>1</v>
      </c>
      <c r="AM56">
        <f t="shared" si="140"/>
        <v>886.928224810728</v>
      </c>
      <c r="AR56" s="67"/>
      <c r="AS56" s="67"/>
      <c r="AT56" s="67"/>
      <c r="AU56" s="82"/>
      <c r="BN56" t="str">
        <f t="shared" si="6"/>
        <v>NetCO2_TRA</v>
      </c>
      <c r="BP56">
        <v>2065</v>
      </c>
      <c r="BQ56" t="str">
        <f t="shared" ref="BQ56:BS56" si="141">BQ55</f>
        <v>UP</v>
      </c>
      <c r="BR56">
        <f t="shared" si="141"/>
        <v>1</v>
      </c>
      <c r="BS56">
        <f t="shared" si="141"/>
        <v>0</v>
      </c>
      <c r="BX56" s="67"/>
      <c r="BY56" s="67"/>
      <c r="BZ56" s="67"/>
      <c r="CA56" s="82"/>
    </row>
    <row r="57" spans="7:79">
      <c r="G57" t="str">
        <f t="shared" si="1"/>
        <v>NetCO2_ELC</v>
      </c>
      <c r="I57">
        <v>2066</v>
      </c>
      <c r="J57" t="str">
        <f t="shared" ref="J57:L57" si="142">J56</f>
        <v>UP</v>
      </c>
      <c r="K57">
        <f t="shared" si="142"/>
        <v>1</v>
      </c>
      <c r="L57">
        <f t="shared" si="142"/>
        <v>-144.530002534025</v>
      </c>
      <c r="Q57" s="67"/>
      <c r="R57" s="67"/>
      <c r="S57" s="67"/>
      <c r="T57" s="82"/>
      <c r="AH57" t="str">
        <f t="shared" si="3"/>
        <v>NetCO2_TRA</v>
      </c>
      <c r="AJ57">
        <v>2066</v>
      </c>
      <c r="AK57" t="str">
        <f t="shared" ref="AK57:AM57" si="143">AK56</f>
        <v>UP</v>
      </c>
      <c r="AL57">
        <f t="shared" si="143"/>
        <v>1</v>
      </c>
      <c r="AM57">
        <f t="shared" si="143"/>
        <v>886.928224810728</v>
      </c>
      <c r="AR57" s="67"/>
      <c r="AS57" s="67"/>
      <c r="AT57" s="67"/>
      <c r="AU57" s="82"/>
      <c r="BN57" t="str">
        <f t="shared" si="6"/>
        <v>NetCO2_TRA</v>
      </c>
      <c r="BP57">
        <v>2066</v>
      </c>
      <c r="BQ57" t="str">
        <f t="shared" ref="BQ57:BS57" si="144">BQ56</f>
        <v>UP</v>
      </c>
      <c r="BR57">
        <f t="shared" si="144"/>
        <v>1</v>
      </c>
      <c r="BS57">
        <f t="shared" si="144"/>
        <v>0</v>
      </c>
      <c r="BX57" s="67"/>
      <c r="BY57" s="67"/>
      <c r="BZ57" s="67"/>
      <c r="CA57" s="82"/>
    </row>
    <row r="58" spans="7:79">
      <c r="G58" t="str">
        <f t="shared" si="1"/>
        <v>NetCO2_ELC</v>
      </c>
      <c r="I58">
        <v>2067</v>
      </c>
      <c r="J58" t="str">
        <f t="shared" ref="J58:L58" si="145">J57</f>
        <v>UP</v>
      </c>
      <c r="K58">
        <f t="shared" si="145"/>
        <v>1</v>
      </c>
      <c r="L58">
        <f t="shared" si="145"/>
        <v>-144.530002534025</v>
      </c>
      <c r="Q58" s="67"/>
      <c r="R58" s="67"/>
      <c r="S58" s="67"/>
      <c r="T58" s="82"/>
      <c r="AH58" t="str">
        <f t="shared" si="3"/>
        <v>NetCO2_TRA</v>
      </c>
      <c r="AJ58">
        <v>2067</v>
      </c>
      <c r="AK58" t="str">
        <f t="shared" ref="AK58:AM58" si="146">AK57</f>
        <v>UP</v>
      </c>
      <c r="AL58">
        <f t="shared" si="146"/>
        <v>1</v>
      </c>
      <c r="AM58">
        <f t="shared" si="146"/>
        <v>886.928224810728</v>
      </c>
      <c r="AR58" s="67"/>
      <c r="AS58" s="67"/>
      <c r="AT58" s="67"/>
      <c r="AU58" s="82"/>
      <c r="BN58" t="str">
        <f t="shared" si="6"/>
        <v>NetCO2_TRA</v>
      </c>
      <c r="BP58">
        <v>2067</v>
      </c>
      <c r="BQ58" t="str">
        <f t="shared" ref="BQ58:BS58" si="147">BQ57</f>
        <v>UP</v>
      </c>
      <c r="BR58">
        <f t="shared" si="147"/>
        <v>1</v>
      </c>
      <c r="BS58">
        <f t="shared" si="147"/>
        <v>0</v>
      </c>
      <c r="BX58" s="67"/>
      <c r="BY58" s="67"/>
      <c r="BZ58" s="67"/>
      <c r="CA58" s="82"/>
    </row>
    <row r="59" spans="7:79">
      <c r="G59" t="str">
        <f t="shared" si="1"/>
        <v>NetCO2_ELC</v>
      </c>
      <c r="I59">
        <v>2068</v>
      </c>
      <c r="J59" t="str">
        <f t="shared" ref="J59:L59" si="148">J58</f>
        <v>UP</v>
      </c>
      <c r="K59">
        <f t="shared" si="148"/>
        <v>1</v>
      </c>
      <c r="L59">
        <f t="shared" si="148"/>
        <v>-144.530002534025</v>
      </c>
      <c r="Q59" s="67"/>
      <c r="R59" s="67"/>
      <c r="S59" s="67"/>
      <c r="T59" s="82"/>
      <c r="AH59" t="str">
        <f t="shared" si="3"/>
        <v>NetCO2_TRA</v>
      </c>
      <c r="AJ59">
        <v>2068</v>
      </c>
      <c r="AK59" t="str">
        <f t="shared" ref="AK59:AM59" si="149">AK58</f>
        <v>UP</v>
      </c>
      <c r="AL59">
        <f t="shared" si="149"/>
        <v>1</v>
      </c>
      <c r="AM59">
        <f t="shared" si="149"/>
        <v>886.928224810728</v>
      </c>
      <c r="AR59" s="67"/>
      <c r="AS59" s="67"/>
      <c r="AT59" s="67"/>
      <c r="AU59" s="82"/>
      <c r="BN59" t="str">
        <f t="shared" si="6"/>
        <v>NetCO2_TRA</v>
      </c>
      <c r="BP59">
        <v>2068</v>
      </c>
      <c r="BQ59" t="str">
        <f t="shared" ref="BQ59:BS59" si="150">BQ58</f>
        <v>UP</v>
      </c>
      <c r="BR59">
        <f t="shared" si="150"/>
        <v>1</v>
      </c>
      <c r="BS59">
        <f t="shared" si="150"/>
        <v>0</v>
      </c>
      <c r="BX59" s="67"/>
      <c r="BY59" s="67"/>
      <c r="BZ59" s="67"/>
      <c r="CA59" s="82"/>
    </row>
    <row r="60" spans="7:79">
      <c r="G60" t="str">
        <f t="shared" si="1"/>
        <v>NetCO2_ELC</v>
      </c>
      <c r="I60">
        <v>2069</v>
      </c>
      <c r="J60" t="str">
        <f t="shared" ref="J60:L60" si="151">J59</f>
        <v>UP</v>
      </c>
      <c r="K60">
        <f t="shared" si="151"/>
        <v>1</v>
      </c>
      <c r="L60">
        <f t="shared" si="151"/>
        <v>-144.530002534025</v>
      </c>
      <c r="Q60" s="67"/>
      <c r="R60" s="67"/>
      <c r="S60" s="67"/>
      <c r="T60" s="82"/>
      <c r="AH60" t="str">
        <f t="shared" si="3"/>
        <v>NetCO2_TRA</v>
      </c>
      <c r="AJ60">
        <v>2069</v>
      </c>
      <c r="AK60" t="str">
        <f t="shared" ref="AK60:AM60" si="152">AK59</f>
        <v>UP</v>
      </c>
      <c r="AL60">
        <f t="shared" si="152"/>
        <v>1</v>
      </c>
      <c r="AM60">
        <f t="shared" si="152"/>
        <v>886.928224810728</v>
      </c>
      <c r="AR60" s="67"/>
      <c r="AS60" s="67"/>
      <c r="AT60" s="67"/>
      <c r="AU60" s="82"/>
      <c r="BN60" t="str">
        <f t="shared" si="6"/>
        <v>NetCO2_TRA</v>
      </c>
      <c r="BP60">
        <v>2069</v>
      </c>
      <c r="BQ60" t="str">
        <f t="shared" ref="BQ60:BS60" si="153">BQ59</f>
        <v>UP</v>
      </c>
      <c r="BR60">
        <f t="shared" si="153"/>
        <v>1</v>
      </c>
      <c r="BS60">
        <f t="shared" si="153"/>
        <v>0</v>
      </c>
      <c r="BX60" s="67"/>
      <c r="BY60" s="67"/>
      <c r="BZ60" s="67"/>
      <c r="CA60" s="82"/>
    </row>
    <row r="61" spans="7:79">
      <c r="G61" t="str">
        <f t="shared" si="1"/>
        <v>NetCO2_ELC</v>
      </c>
      <c r="I61">
        <v>2070</v>
      </c>
      <c r="J61" t="str">
        <f t="shared" ref="J61:L61" si="154">J60</f>
        <v>UP</v>
      </c>
      <c r="K61">
        <f t="shared" si="154"/>
        <v>1</v>
      </c>
      <c r="L61">
        <f t="shared" si="154"/>
        <v>-144.530002534025</v>
      </c>
      <c r="Q61" s="67"/>
      <c r="R61" s="67"/>
      <c r="S61" s="67"/>
      <c r="T61" s="82"/>
      <c r="AH61" t="str">
        <f t="shared" si="3"/>
        <v>NetCO2_TRA</v>
      </c>
      <c r="AJ61">
        <v>2070</v>
      </c>
      <c r="AK61" t="str">
        <f t="shared" ref="AK61:AM61" si="155">AK60</f>
        <v>UP</v>
      </c>
      <c r="AL61">
        <f t="shared" si="155"/>
        <v>1</v>
      </c>
      <c r="AM61">
        <f t="shared" si="155"/>
        <v>886.928224810728</v>
      </c>
      <c r="AR61" s="67"/>
      <c r="AS61" s="67"/>
      <c r="AT61" s="67"/>
      <c r="AU61" s="82"/>
      <c r="BN61" t="str">
        <f t="shared" si="6"/>
        <v>NetCO2_TRA</v>
      </c>
      <c r="BP61">
        <v>2070</v>
      </c>
      <c r="BQ61" t="str">
        <f t="shared" ref="BQ61:BS61" si="156">BQ60</f>
        <v>UP</v>
      </c>
      <c r="BR61">
        <f t="shared" si="156"/>
        <v>1</v>
      </c>
      <c r="BS61">
        <f t="shared" si="156"/>
        <v>0</v>
      </c>
      <c r="BX61" s="67"/>
      <c r="BY61" s="67"/>
      <c r="BZ61" s="67"/>
      <c r="CA61" s="82"/>
    </row>
    <row r="62" spans="7:79">
      <c r="G62" t="str">
        <f t="shared" si="1"/>
        <v>NetCO2_ELC</v>
      </c>
      <c r="I62">
        <v>2071</v>
      </c>
      <c r="J62" t="str">
        <f t="shared" ref="J62:L62" si="157">J61</f>
        <v>UP</v>
      </c>
      <c r="K62">
        <f t="shared" si="157"/>
        <v>1</v>
      </c>
      <c r="L62">
        <f t="shared" si="157"/>
        <v>-144.530002534025</v>
      </c>
      <c r="Q62" s="67"/>
      <c r="R62" s="67"/>
      <c r="S62" s="67"/>
      <c r="T62" s="82"/>
      <c r="AH62" t="str">
        <f t="shared" si="3"/>
        <v>NetCO2_TRA</v>
      </c>
      <c r="AJ62">
        <v>2071</v>
      </c>
      <c r="AK62" t="str">
        <f t="shared" ref="AK62:AM62" si="158">AK61</f>
        <v>UP</v>
      </c>
      <c r="AL62">
        <f t="shared" si="158"/>
        <v>1</v>
      </c>
      <c r="AM62">
        <f t="shared" si="158"/>
        <v>886.928224810728</v>
      </c>
      <c r="AR62" s="67"/>
      <c r="AS62" s="67"/>
      <c r="AT62" s="67"/>
      <c r="AU62" s="82"/>
      <c r="BN62" t="str">
        <f t="shared" si="6"/>
        <v>NetCO2_TRA</v>
      </c>
      <c r="BP62">
        <v>2071</v>
      </c>
      <c r="BQ62" t="str">
        <f t="shared" ref="BQ62:BS62" si="159">BQ61</f>
        <v>UP</v>
      </c>
      <c r="BR62">
        <f t="shared" si="159"/>
        <v>1</v>
      </c>
      <c r="BS62">
        <f t="shared" si="159"/>
        <v>0</v>
      </c>
      <c r="BX62" s="67"/>
      <c r="BY62" s="67"/>
      <c r="BZ62" s="67"/>
      <c r="CA62" s="82"/>
    </row>
    <row r="63" spans="7:79">
      <c r="G63" t="str">
        <f t="shared" si="1"/>
        <v>NetCO2_ELC</v>
      </c>
      <c r="I63">
        <v>2072</v>
      </c>
      <c r="J63" t="str">
        <f t="shared" ref="J63:L63" si="160">J62</f>
        <v>UP</v>
      </c>
      <c r="K63">
        <f t="shared" si="160"/>
        <v>1</v>
      </c>
      <c r="L63">
        <f t="shared" si="160"/>
        <v>-144.530002534025</v>
      </c>
      <c r="Q63" s="67"/>
      <c r="R63" s="67"/>
      <c r="S63" s="67"/>
      <c r="T63" s="82"/>
      <c r="AH63" t="str">
        <f t="shared" si="3"/>
        <v>NetCO2_TRA</v>
      </c>
      <c r="AJ63">
        <v>2072</v>
      </c>
      <c r="AK63" t="str">
        <f t="shared" ref="AK63:AM63" si="161">AK62</f>
        <v>UP</v>
      </c>
      <c r="AL63">
        <f t="shared" si="161"/>
        <v>1</v>
      </c>
      <c r="AM63">
        <f t="shared" si="161"/>
        <v>886.928224810728</v>
      </c>
      <c r="AR63" s="67"/>
      <c r="AS63" s="67"/>
      <c r="AT63" s="67"/>
      <c r="AU63" s="82"/>
      <c r="BN63" t="str">
        <f t="shared" si="6"/>
        <v>NetCO2_TRA</v>
      </c>
      <c r="BP63">
        <v>2072</v>
      </c>
      <c r="BQ63" t="str">
        <f t="shared" ref="BQ63:BS63" si="162">BQ62</f>
        <v>UP</v>
      </c>
      <c r="BR63">
        <f t="shared" si="162"/>
        <v>1</v>
      </c>
      <c r="BS63">
        <f t="shared" si="162"/>
        <v>0</v>
      </c>
      <c r="BX63" s="67"/>
      <c r="BY63" s="67"/>
      <c r="BZ63" s="67"/>
      <c r="CA63" s="82"/>
    </row>
    <row r="64" spans="7:79">
      <c r="G64" t="str">
        <f t="shared" si="1"/>
        <v>NetCO2_ELC</v>
      </c>
      <c r="I64">
        <v>2073</v>
      </c>
      <c r="J64" t="str">
        <f t="shared" ref="J64:L64" si="163">J63</f>
        <v>UP</v>
      </c>
      <c r="K64">
        <f t="shared" si="163"/>
        <v>1</v>
      </c>
      <c r="L64">
        <f t="shared" si="163"/>
        <v>-144.530002534025</v>
      </c>
      <c r="Q64" s="67"/>
      <c r="R64" s="67"/>
      <c r="S64" s="67"/>
      <c r="T64" s="82"/>
      <c r="AH64" t="str">
        <f t="shared" si="3"/>
        <v>NetCO2_TRA</v>
      </c>
      <c r="AJ64">
        <v>2073</v>
      </c>
      <c r="AK64" t="str">
        <f t="shared" ref="AK64:AM64" si="164">AK63</f>
        <v>UP</v>
      </c>
      <c r="AL64">
        <f t="shared" si="164"/>
        <v>1</v>
      </c>
      <c r="AM64">
        <f t="shared" si="164"/>
        <v>886.928224810728</v>
      </c>
      <c r="AR64" s="67"/>
      <c r="AS64" s="67"/>
      <c r="AT64" s="67"/>
      <c r="AU64" s="82"/>
      <c r="BN64" t="str">
        <f t="shared" si="6"/>
        <v>NetCO2_TRA</v>
      </c>
      <c r="BP64">
        <v>2073</v>
      </c>
      <c r="BQ64" t="str">
        <f t="shared" ref="BQ64:BS64" si="165">BQ63</f>
        <v>UP</v>
      </c>
      <c r="BR64">
        <f t="shared" si="165"/>
        <v>1</v>
      </c>
      <c r="BS64">
        <f t="shared" si="165"/>
        <v>0</v>
      </c>
      <c r="BX64" s="67"/>
      <c r="BY64" s="67"/>
      <c r="BZ64" s="67"/>
      <c r="CA64" s="82"/>
    </row>
    <row r="65" spans="7:79">
      <c r="G65" t="str">
        <f t="shared" si="1"/>
        <v>NetCO2_ELC</v>
      </c>
      <c r="I65">
        <v>2074</v>
      </c>
      <c r="J65" t="str">
        <f t="shared" ref="J65:L65" si="166">J64</f>
        <v>UP</v>
      </c>
      <c r="K65">
        <f t="shared" si="166"/>
        <v>1</v>
      </c>
      <c r="L65">
        <f t="shared" si="166"/>
        <v>-144.530002534025</v>
      </c>
      <c r="Q65" s="67"/>
      <c r="R65" s="67"/>
      <c r="S65" s="67"/>
      <c r="T65" s="82"/>
      <c r="AH65" t="str">
        <f t="shared" si="3"/>
        <v>NetCO2_TRA</v>
      </c>
      <c r="AJ65">
        <v>2074</v>
      </c>
      <c r="AK65" t="str">
        <f t="shared" ref="AK65:AM65" si="167">AK64</f>
        <v>UP</v>
      </c>
      <c r="AL65">
        <f t="shared" si="167"/>
        <v>1</v>
      </c>
      <c r="AM65">
        <f t="shared" si="167"/>
        <v>886.928224810728</v>
      </c>
      <c r="AR65" s="67"/>
      <c r="AS65" s="67"/>
      <c r="AT65" s="67"/>
      <c r="AU65" s="82"/>
      <c r="BN65" t="str">
        <f t="shared" si="6"/>
        <v>NetCO2_TRA</v>
      </c>
      <c r="BP65">
        <v>2074</v>
      </c>
      <c r="BQ65" t="str">
        <f t="shared" ref="BQ65:BS65" si="168">BQ64</f>
        <v>UP</v>
      </c>
      <c r="BR65">
        <f t="shared" si="168"/>
        <v>1</v>
      </c>
      <c r="BS65">
        <f t="shared" si="168"/>
        <v>0</v>
      </c>
      <c r="BX65" s="67"/>
      <c r="BY65" s="67"/>
      <c r="BZ65" s="67"/>
      <c r="CA65" s="82"/>
    </row>
    <row r="66" spans="7:79">
      <c r="G66" t="str">
        <f t="shared" si="1"/>
        <v>NetCO2_ELC</v>
      </c>
      <c r="I66">
        <v>2075</v>
      </c>
      <c r="J66" t="str">
        <f t="shared" ref="J66:L66" si="169">J65</f>
        <v>UP</v>
      </c>
      <c r="K66">
        <f t="shared" si="169"/>
        <v>1</v>
      </c>
      <c r="L66">
        <f t="shared" si="169"/>
        <v>-144.530002534025</v>
      </c>
      <c r="Q66" s="67"/>
      <c r="R66" s="67"/>
      <c r="S66" s="67"/>
      <c r="T66" s="82"/>
      <c r="AH66" t="str">
        <f t="shared" si="3"/>
        <v>NetCO2_TRA</v>
      </c>
      <c r="AJ66">
        <v>2075</v>
      </c>
      <c r="AK66" t="str">
        <f t="shared" ref="AK66:AM66" si="170">AK65</f>
        <v>UP</v>
      </c>
      <c r="AL66">
        <f t="shared" si="170"/>
        <v>1</v>
      </c>
      <c r="AM66">
        <f t="shared" si="170"/>
        <v>886.928224810728</v>
      </c>
      <c r="AR66" s="67"/>
      <c r="AS66" s="67"/>
      <c r="AT66" s="67"/>
      <c r="AU66" s="82"/>
      <c r="BN66" t="str">
        <f t="shared" si="6"/>
        <v>NetCO2_TRA</v>
      </c>
      <c r="BP66">
        <v>2075</v>
      </c>
      <c r="BQ66" t="str">
        <f t="shared" ref="BQ66:BS66" si="171">BQ65</f>
        <v>UP</v>
      </c>
      <c r="BR66">
        <f t="shared" si="171"/>
        <v>1</v>
      </c>
      <c r="BS66">
        <f t="shared" si="171"/>
        <v>0</v>
      </c>
      <c r="BX66" s="67"/>
      <c r="BY66" s="67"/>
      <c r="BZ66" s="67"/>
      <c r="CA66" s="82"/>
    </row>
    <row r="67" spans="7:79">
      <c r="G67" t="str">
        <f t="shared" si="1"/>
        <v>NetCO2_ELC</v>
      </c>
      <c r="I67">
        <v>2076</v>
      </c>
      <c r="J67" t="str">
        <f t="shared" ref="J67:L67" si="172">J66</f>
        <v>UP</v>
      </c>
      <c r="K67">
        <f t="shared" si="172"/>
        <v>1</v>
      </c>
      <c r="L67">
        <f t="shared" si="172"/>
        <v>-144.530002534025</v>
      </c>
      <c r="Q67" s="67"/>
      <c r="R67" s="67"/>
      <c r="S67" s="67"/>
      <c r="T67" s="82"/>
      <c r="AH67" t="str">
        <f t="shared" si="3"/>
        <v>NetCO2_TRA</v>
      </c>
      <c r="AJ67">
        <v>2076</v>
      </c>
      <c r="AK67" t="str">
        <f t="shared" ref="AK67:AM67" si="173">AK66</f>
        <v>UP</v>
      </c>
      <c r="AL67">
        <f t="shared" si="173"/>
        <v>1</v>
      </c>
      <c r="AM67">
        <f t="shared" si="173"/>
        <v>886.928224810728</v>
      </c>
      <c r="AR67" s="67"/>
      <c r="AS67" s="67"/>
      <c r="AT67" s="67"/>
      <c r="AU67" s="82"/>
      <c r="BN67" t="str">
        <f t="shared" si="6"/>
        <v>NetCO2_TRA</v>
      </c>
      <c r="BP67">
        <v>2076</v>
      </c>
      <c r="BQ67" t="str">
        <f t="shared" ref="BQ67:BS67" si="174">BQ66</f>
        <v>UP</v>
      </c>
      <c r="BR67">
        <f t="shared" si="174"/>
        <v>1</v>
      </c>
      <c r="BS67">
        <f t="shared" si="174"/>
        <v>0</v>
      </c>
      <c r="BX67" s="67"/>
      <c r="BY67" s="67"/>
      <c r="BZ67" s="67"/>
      <c r="CA67" s="82"/>
    </row>
    <row r="68" spans="7:79">
      <c r="G68" t="str">
        <f t="shared" si="1"/>
        <v>NetCO2_ELC</v>
      </c>
      <c r="I68">
        <v>2077</v>
      </c>
      <c r="J68" t="str">
        <f t="shared" ref="J68:L68" si="175">J67</f>
        <v>UP</v>
      </c>
      <c r="K68">
        <f t="shared" si="175"/>
        <v>1</v>
      </c>
      <c r="L68">
        <f t="shared" si="175"/>
        <v>-144.530002534025</v>
      </c>
      <c r="Q68" s="67"/>
      <c r="R68" s="67"/>
      <c r="S68" s="67"/>
      <c r="T68" s="82"/>
      <c r="AH68" t="str">
        <f t="shared" si="3"/>
        <v>NetCO2_TRA</v>
      </c>
      <c r="AJ68">
        <v>2077</v>
      </c>
      <c r="AK68" t="str">
        <f t="shared" ref="AK68:AM68" si="176">AK67</f>
        <v>UP</v>
      </c>
      <c r="AL68">
        <f t="shared" si="176"/>
        <v>1</v>
      </c>
      <c r="AM68">
        <f t="shared" si="176"/>
        <v>886.928224810728</v>
      </c>
      <c r="AR68" s="67"/>
      <c r="AS68" s="67"/>
      <c r="AT68" s="67"/>
      <c r="AU68" s="82"/>
      <c r="BN68" t="str">
        <f t="shared" si="6"/>
        <v>NetCO2_TRA</v>
      </c>
      <c r="BP68">
        <v>2077</v>
      </c>
      <c r="BQ68" t="str">
        <f t="shared" ref="BQ68:BS68" si="177">BQ67</f>
        <v>UP</v>
      </c>
      <c r="BR68">
        <f t="shared" si="177"/>
        <v>1</v>
      </c>
      <c r="BS68">
        <f t="shared" si="177"/>
        <v>0</v>
      </c>
      <c r="BX68" s="67"/>
      <c r="BY68" s="67"/>
      <c r="BZ68" s="67"/>
      <c r="CA68" s="82"/>
    </row>
    <row r="69" spans="7:79">
      <c r="G69" t="str">
        <f t="shared" si="1"/>
        <v>NetCO2_ELC</v>
      </c>
      <c r="I69">
        <v>2078</v>
      </c>
      <c r="J69" t="str">
        <f t="shared" ref="J69:L69" si="178">J68</f>
        <v>UP</v>
      </c>
      <c r="K69">
        <f t="shared" si="178"/>
        <v>1</v>
      </c>
      <c r="L69">
        <f t="shared" si="178"/>
        <v>-144.530002534025</v>
      </c>
      <c r="Q69" s="67"/>
      <c r="R69" s="67"/>
      <c r="S69" s="67"/>
      <c r="T69" s="82"/>
      <c r="AH69" t="str">
        <f t="shared" si="3"/>
        <v>NetCO2_TRA</v>
      </c>
      <c r="AJ69">
        <v>2078</v>
      </c>
      <c r="AK69" t="str">
        <f t="shared" ref="AK69:AM69" si="179">AK68</f>
        <v>UP</v>
      </c>
      <c r="AL69">
        <f t="shared" si="179"/>
        <v>1</v>
      </c>
      <c r="AM69">
        <f t="shared" si="179"/>
        <v>886.928224810728</v>
      </c>
      <c r="AR69" s="67"/>
      <c r="AS69" s="67"/>
      <c r="AT69" s="67"/>
      <c r="AU69" s="82"/>
      <c r="BN69" t="str">
        <f t="shared" si="6"/>
        <v>NetCO2_TRA</v>
      </c>
      <c r="BP69">
        <v>2078</v>
      </c>
      <c r="BQ69" t="str">
        <f t="shared" ref="BQ69:BS69" si="180">BQ68</f>
        <v>UP</v>
      </c>
      <c r="BR69">
        <f t="shared" si="180"/>
        <v>1</v>
      </c>
      <c r="BS69">
        <f t="shared" si="180"/>
        <v>0</v>
      </c>
      <c r="BX69" s="67"/>
      <c r="BY69" s="67"/>
      <c r="BZ69" s="67"/>
      <c r="CA69" s="82"/>
    </row>
    <row r="70" spans="7:79">
      <c r="G70" t="str">
        <f t="shared" si="1"/>
        <v>NetCO2_ELC</v>
      </c>
      <c r="I70">
        <v>2079</v>
      </c>
      <c r="J70" t="str">
        <f t="shared" ref="J70:L70" si="181">J69</f>
        <v>UP</v>
      </c>
      <c r="K70">
        <f t="shared" si="181"/>
        <v>1</v>
      </c>
      <c r="L70">
        <f t="shared" si="181"/>
        <v>-144.530002534025</v>
      </c>
      <c r="Q70" s="67"/>
      <c r="R70" s="67"/>
      <c r="S70" s="67"/>
      <c r="T70" s="82"/>
      <c r="AH70" t="str">
        <f t="shared" si="3"/>
        <v>NetCO2_TRA</v>
      </c>
      <c r="AJ70">
        <v>2079</v>
      </c>
      <c r="AK70" t="str">
        <f t="shared" ref="AK70:AM70" si="182">AK69</f>
        <v>UP</v>
      </c>
      <c r="AL70">
        <f t="shared" si="182"/>
        <v>1</v>
      </c>
      <c r="AM70">
        <f t="shared" si="182"/>
        <v>886.928224810728</v>
      </c>
      <c r="AR70" s="67"/>
      <c r="AS70" s="67"/>
      <c r="AT70" s="67"/>
      <c r="AU70" s="82"/>
      <c r="BN70" t="str">
        <f t="shared" si="6"/>
        <v>NetCO2_TRA</v>
      </c>
      <c r="BP70">
        <v>2079</v>
      </c>
      <c r="BQ70" t="str">
        <f t="shared" ref="BQ70:BS70" si="183">BQ69</f>
        <v>UP</v>
      </c>
      <c r="BR70">
        <f t="shared" si="183"/>
        <v>1</v>
      </c>
      <c r="BS70">
        <f t="shared" si="183"/>
        <v>0</v>
      </c>
      <c r="BX70" s="67"/>
      <c r="BY70" s="67"/>
      <c r="BZ70" s="67"/>
      <c r="CA70" s="82"/>
    </row>
    <row r="71" spans="7:79">
      <c r="G71" t="str">
        <f t="shared" si="1"/>
        <v>NetCO2_ELC</v>
      </c>
      <c r="I71">
        <v>2080</v>
      </c>
      <c r="J71" t="str">
        <f t="shared" ref="J71:L71" si="184">J70</f>
        <v>UP</v>
      </c>
      <c r="K71">
        <f t="shared" si="184"/>
        <v>1</v>
      </c>
      <c r="L71">
        <f t="shared" si="184"/>
        <v>-144.530002534025</v>
      </c>
      <c r="Q71" s="67"/>
      <c r="R71" s="67"/>
      <c r="S71" s="67"/>
      <c r="T71" s="82"/>
      <c r="AH71" t="str">
        <f t="shared" si="3"/>
        <v>NetCO2_TRA</v>
      </c>
      <c r="AJ71">
        <v>2080</v>
      </c>
      <c r="AK71" t="str">
        <f t="shared" ref="AK71:AM71" si="185">AK70</f>
        <v>UP</v>
      </c>
      <c r="AL71">
        <f t="shared" si="185"/>
        <v>1</v>
      </c>
      <c r="AM71">
        <f t="shared" si="185"/>
        <v>886.928224810728</v>
      </c>
      <c r="AR71" s="67"/>
      <c r="AS71" s="67"/>
      <c r="AT71" s="67"/>
      <c r="AU71" s="82"/>
      <c r="BN71" t="str">
        <f t="shared" si="6"/>
        <v>NetCO2_TRA</v>
      </c>
      <c r="BP71">
        <v>2080</v>
      </c>
      <c r="BQ71" t="str">
        <f t="shared" ref="BQ71:BS71" si="186">BQ70</f>
        <v>UP</v>
      </c>
      <c r="BR71">
        <f t="shared" si="186"/>
        <v>1</v>
      </c>
      <c r="BS71">
        <f t="shared" si="186"/>
        <v>0</v>
      </c>
      <c r="BX71" s="67"/>
      <c r="BY71" s="67"/>
      <c r="BZ71" s="67"/>
      <c r="CA71" s="82"/>
    </row>
    <row r="72" spans="7:79">
      <c r="G72" t="str">
        <f t="shared" si="1"/>
        <v>NetCO2_ELC</v>
      </c>
      <c r="I72">
        <v>2081</v>
      </c>
      <c r="J72" t="str">
        <f t="shared" ref="J72:L72" si="187">J71</f>
        <v>UP</v>
      </c>
      <c r="K72">
        <f t="shared" si="187"/>
        <v>1</v>
      </c>
      <c r="L72">
        <f t="shared" si="187"/>
        <v>-144.530002534025</v>
      </c>
      <c r="Q72" s="67"/>
      <c r="R72" s="67"/>
      <c r="S72" s="67"/>
      <c r="T72" s="82"/>
      <c r="AH72" t="str">
        <f t="shared" si="3"/>
        <v>NetCO2_TRA</v>
      </c>
      <c r="AJ72">
        <v>2081</v>
      </c>
      <c r="AK72" t="str">
        <f t="shared" ref="AK72:AM72" si="188">AK71</f>
        <v>UP</v>
      </c>
      <c r="AL72">
        <f t="shared" si="188"/>
        <v>1</v>
      </c>
      <c r="AM72">
        <f t="shared" si="188"/>
        <v>886.928224810728</v>
      </c>
      <c r="AR72" s="67"/>
      <c r="AS72" s="67"/>
      <c r="AT72" s="67"/>
      <c r="AU72" s="82"/>
      <c r="BN72" t="str">
        <f t="shared" si="6"/>
        <v>NetCO2_TRA</v>
      </c>
      <c r="BP72">
        <v>2081</v>
      </c>
      <c r="BQ72" t="str">
        <f t="shared" ref="BQ72:BS72" si="189">BQ71</f>
        <v>UP</v>
      </c>
      <c r="BR72">
        <f t="shared" si="189"/>
        <v>1</v>
      </c>
      <c r="BS72">
        <f t="shared" si="189"/>
        <v>0</v>
      </c>
      <c r="BX72" s="67"/>
      <c r="BY72" s="67"/>
      <c r="BZ72" s="67"/>
      <c r="CA72" s="82"/>
    </row>
    <row r="73" spans="7:79">
      <c r="G73" t="str">
        <f t="shared" si="1"/>
        <v>NetCO2_ELC</v>
      </c>
      <c r="I73">
        <v>2082</v>
      </c>
      <c r="J73" t="str">
        <f t="shared" ref="J73:L73" si="190">J72</f>
        <v>UP</v>
      </c>
      <c r="K73">
        <f t="shared" si="190"/>
        <v>1</v>
      </c>
      <c r="L73">
        <f t="shared" si="190"/>
        <v>-144.530002534025</v>
      </c>
      <c r="Q73" s="67"/>
      <c r="R73" s="67"/>
      <c r="S73" s="67"/>
      <c r="T73" s="82"/>
      <c r="AH73" t="str">
        <f t="shared" si="3"/>
        <v>NetCO2_TRA</v>
      </c>
      <c r="AJ73">
        <v>2082</v>
      </c>
      <c r="AK73" t="str">
        <f t="shared" ref="AK73:AM73" si="191">AK72</f>
        <v>UP</v>
      </c>
      <c r="AL73">
        <f t="shared" si="191"/>
        <v>1</v>
      </c>
      <c r="AM73">
        <f t="shared" si="191"/>
        <v>886.928224810728</v>
      </c>
      <c r="AR73" s="67"/>
      <c r="AS73" s="67"/>
      <c r="AT73" s="67"/>
      <c r="AU73" s="82"/>
      <c r="BN73" t="str">
        <f t="shared" si="6"/>
        <v>NetCO2_TRA</v>
      </c>
      <c r="BP73">
        <v>2082</v>
      </c>
      <c r="BQ73" t="str">
        <f t="shared" ref="BQ73:BS73" si="192">BQ72</f>
        <v>UP</v>
      </c>
      <c r="BR73">
        <f t="shared" si="192"/>
        <v>1</v>
      </c>
      <c r="BS73">
        <f t="shared" si="192"/>
        <v>0</v>
      </c>
      <c r="BX73" s="67"/>
      <c r="BY73" s="67"/>
      <c r="BZ73" s="67"/>
      <c r="CA73" s="82"/>
    </row>
    <row r="74" spans="7:79">
      <c r="G74" t="str">
        <f t="shared" si="1"/>
        <v>NetCO2_ELC</v>
      </c>
      <c r="I74">
        <v>2083</v>
      </c>
      <c r="J74" t="str">
        <f t="shared" ref="J74:L74" si="193">J73</f>
        <v>UP</v>
      </c>
      <c r="K74">
        <f t="shared" si="193"/>
        <v>1</v>
      </c>
      <c r="L74">
        <f t="shared" si="193"/>
        <v>-144.530002534025</v>
      </c>
      <c r="Q74" s="67"/>
      <c r="R74" s="67"/>
      <c r="S74" s="67"/>
      <c r="T74" s="82"/>
      <c r="AH74" t="str">
        <f t="shared" si="3"/>
        <v>NetCO2_TRA</v>
      </c>
      <c r="AJ74">
        <v>2083</v>
      </c>
      <c r="AK74" t="str">
        <f t="shared" ref="AK74:AM74" si="194">AK73</f>
        <v>UP</v>
      </c>
      <c r="AL74">
        <f t="shared" si="194"/>
        <v>1</v>
      </c>
      <c r="AM74">
        <f t="shared" si="194"/>
        <v>886.928224810728</v>
      </c>
      <c r="AR74" s="67"/>
      <c r="AS74" s="67"/>
      <c r="AT74" s="67"/>
      <c r="AU74" s="82"/>
      <c r="BN74" t="str">
        <f t="shared" si="6"/>
        <v>NetCO2_TRA</v>
      </c>
      <c r="BP74">
        <v>2083</v>
      </c>
      <c r="BQ74" t="str">
        <f t="shared" ref="BQ74:BS74" si="195">BQ73</f>
        <v>UP</v>
      </c>
      <c r="BR74">
        <f t="shared" si="195"/>
        <v>1</v>
      </c>
      <c r="BS74">
        <f t="shared" si="195"/>
        <v>0</v>
      </c>
      <c r="BX74" s="67"/>
      <c r="BY74" s="67"/>
      <c r="BZ74" s="67"/>
      <c r="CA74" s="82"/>
    </row>
    <row r="75" spans="7:79">
      <c r="G75" t="str">
        <f t="shared" si="1"/>
        <v>NetCO2_ELC</v>
      </c>
      <c r="I75">
        <v>2084</v>
      </c>
      <c r="J75" t="str">
        <f t="shared" ref="J75:L75" si="196">J74</f>
        <v>UP</v>
      </c>
      <c r="K75">
        <f t="shared" si="196"/>
        <v>1</v>
      </c>
      <c r="L75">
        <f t="shared" si="196"/>
        <v>-144.530002534025</v>
      </c>
      <c r="Q75" s="67"/>
      <c r="R75" s="67"/>
      <c r="S75" s="67"/>
      <c r="T75" s="82"/>
      <c r="AH75" t="str">
        <f t="shared" si="3"/>
        <v>NetCO2_TRA</v>
      </c>
      <c r="AJ75">
        <v>2084</v>
      </c>
      <c r="AK75" t="str">
        <f t="shared" ref="AK75:AM75" si="197">AK74</f>
        <v>UP</v>
      </c>
      <c r="AL75">
        <f t="shared" si="197"/>
        <v>1</v>
      </c>
      <c r="AM75">
        <f t="shared" si="197"/>
        <v>886.928224810728</v>
      </c>
      <c r="AR75" s="67"/>
      <c r="AS75" s="67"/>
      <c r="AT75" s="67"/>
      <c r="AU75" s="82"/>
      <c r="BN75" t="str">
        <f t="shared" si="6"/>
        <v>NetCO2_TRA</v>
      </c>
      <c r="BP75">
        <v>2084</v>
      </c>
      <c r="BQ75" t="str">
        <f t="shared" ref="BQ75:BS75" si="198">BQ74</f>
        <v>UP</v>
      </c>
      <c r="BR75">
        <f t="shared" si="198"/>
        <v>1</v>
      </c>
      <c r="BS75">
        <f t="shared" si="198"/>
        <v>0</v>
      </c>
      <c r="BX75" s="67"/>
      <c r="BY75" s="67"/>
      <c r="BZ75" s="67"/>
      <c r="CA75" s="82"/>
    </row>
    <row r="76" spans="7:79">
      <c r="G76" t="str">
        <f t="shared" ref="G76:L76" si="199">G75</f>
        <v>NetCO2_ELC</v>
      </c>
      <c r="I76">
        <v>2085</v>
      </c>
      <c r="J76" t="str">
        <f t="shared" si="199"/>
        <v>UP</v>
      </c>
      <c r="K76">
        <f t="shared" si="199"/>
        <v>1</v>
      </c>
      <c r="L76">
        <f t="shared" si="199"/>
        <v>-144.530002534025</v>
      </c>
      <c r="Q76" s="67"/>
      <c r="R76" s="67"/>
      <c r="S76" s="67"/>
      <c r="T76" s="82"/>
      <c r="AH76" t="str">
        <f t="shared" ref="AH76:AM76" si="200">AH75</f>
        <v>NetCO2_TRA</v>
      </c>
      <c r="AJ76">
        <v>2085</v>
      </c>
      <c r="AK76" t="str">
        <f t="shared" si="200"/>
        <v>UP</v>
      </c>
      <c r="AL76">
        <f t="shared" si="200"/>
        <v>1</v>
      </c>
      <c r="AM76">
        <f t="shared" si="200"/>
        <v>886.928224810728</v>
      </c>
      <c r="AR76" s="67"/>
      <c r="AS76" s="67"/>
      <c r="AT76" s="67"/>
      <c r="AU76" s="82"/>
      <c r="BN76" t="str">
        <f t="shared" ref="BN76:BS76" si="201">BN75</f>
        <v>NetCO2_TRA</v>
      </c>
      <c r="BP76">
        <v>2085</v>
      </c>
      <c r="BQ76" t="str">
        <f t="shared" si="201"/>
        <v>UP</v>
      </c>
      <c r="BR76">
        <f t="shared" si="201"/>
        <v>1</v>
      </c>
      <c r="BS76">
        <f t="shared" si="201"/>
        <v>0</v>
      </c>
      <c r="BX76" s="67"/>
      <c r="BY76" s="67"/>
      <c r="BZ76" s="67"/>
      <c r="CA76" s="82"/>
    </row>
    <row r="77" spans="7:79">
      <c r="G77" t="str">
        <f t="shared" ref="G77:L77" si="202">G76</f>
        <v>NetCO2_ELC</v>
      </c>
      <c r="I77">
        <v>2086</v>
      </c>
      <c r="J77" t="str">
        <f t="shared" si="202"/>
        <v>UP</v>
      </c>
      <c r="K77">
        <f t="shared" si="202"/>
        <v>1</v>
      </c>
      <c r="L77">
        <f t="shared" si="202"/>
        <v>-144.530002534025</v>
      </c>
      <c r="Q77" s="67"/>
      <c r="R77" s="67"/>
      <c r="S77" s="67"/>
      <c r="T77" s="82"/>
      <c r="AH77" t="str">
        <f t="shared" ref="AH77:AM77" si="203">AH76</f>
        <v>NetCO2_TRA</v>
      </c>
      <c r="AJ77">
        <v>2086</v>
      </c>
      <c r="AK77" t="str">
        <f t="shared" si="203"/>
        <v>UP</v>
      </c>
      <c r="AL77">
        <f t="shared" si="203"/>
        <v>1</v>
      </c>
      <c r="AM77">
        <f t="shared" si="203"/>
        <v>886.928224810728</v>
      </c>
      <c r="AR77" s="67"/>
      <c r="AS77" s="67"/>
      <c r="AT77" s="67"/>
      <c r="AU77" s="82"/>
      <c r="BN77" t="str">
        <f t="shared" ref="BN77:BS77" si="204">BN76</f>
        <v>NetCO2_TRA</v>
      </c>
      <c r="BP77">
        <v>2086</v>
      </c>
      <c r="BQ77" t="str">
        <f t="shared" si="204"/>
        <v>UP</v>
      </c>
      <c r="BR77">
        <f t="shared" si="204"/>
        <v>1</v>
      </c>
      <c r="BS77">
        <f t="shared" si="204"/>
        <v>0</v>
      </c>
      <c r="BX77" s="67"/>
      <c r="BY77" s="67"/>
      <c r="BZ77" s="67"/>
      <c r="CA77" s="82"/>
    </row>
    <row r="78" spans="7:79">
      <c r="G78" t="str">
        <f t="shared" ref="G78:L78" si="205">G77</f>
        <v>NetCO2_ELC</v>
      </c>
      <c r="I78">
        <v>2087</v>
      </c>
      <c r="J78" t="str">
        <f t="shared" si="205"/>
        <v>UP</v>
      </c>
      <c r="K78">
        <f t="shared" si="205"/>
        <v>1</v>
      </c>
      <c r="L78">
        <f t="shared" si="205"/>
        <v>-144.530002534025</v>
      </c>
      <c r="Q78" s="67"/>
      <c r="R78" s="67"/>
      <c r="S78" s="67"/>
      <c r="T78" s="82"/>
      <c r="AH78" t="str">
        <f t="shared" ref="AH78:AM78" si="206">AH77</f>
        <v>NetCO2_TRA</v>
      </c>
      <c r="AJ78">
        <v>2087</v>
      </c>
      <c r="AK78" t="str">
        <f t="shared" si="206"/>
        <v>UP</v>
      </c>
      <c r="AL78">
        <f t="shared" si="206"/>
        <v>1</v>
      </c>
      <c r="AM78">
        <f t="shared" si="206"/>
        <v>886.928224810728</v>
      </c>
      <c r="AR78" s="67"/>
      <c r="AS78" s="67"/>
      <c r="AT78" s="67"/>
      <c r="AU78" s="82"/>
      <c r="BN78" t="str">
        <f t="shared" ref="BN78:BS78" si="207">BN77</f>
        <v>NetCO2_TRA</v>
      </c>
      <c r="BP78">
        <v>2087</v>
      </c>
      <c r="BQ78" t="str">
        <f t="shared" si="207"/>
        <v>UP</v>
      </c>
      <c r="BR78">
        <f t="shared" si="207"/>
        <v>1</v>
      </c>
      <c r="BS78">
        <f t="shared" si="207"/>
        <v>0</v>
      </c>
      <c r="BX78" s="67"/>
      <c r="BY78" s="67"/>
      <c r="BZ78" s="67"/>
      <c r="CA78" s="82"/>
    </row>
    <row r="79" spans="7:79">
      <c r="G79" t="str">
        <f t="shared" ref="G79:L79" si="208">G78</f>
        <v>NetCO2_ELC</v>
      </c>
      <c r="I79">
        <v>2088</v>
      </c>
      <c r="J79" t="str">
        <f t="shared" si="208"/>
        <v>UP</v>
      </c>
      <c r="K79">
        <f t="shared" si="208"/>
        <v>1</v>
      </c>
      <c r="L79">
        <f t="shared" si="208"/>
        <v>-144.530002534025</v>
      </c>
      <c r="Q79" s="67"/>
      <c r="R79" s="67"/>
      <c r="S79" s="67"/>
      <c r="T79" s="82"/>
      <c r="AH79" t="str">
        <f t="shared" ref="AH79:AM79" si="209">AH78</f>
        <v>NetCO2_TRA</v>
      </c>
      <c r="AJ79">
        <v>2088</v>
      </c>
      <c r="AK79" t="str">
        <f t="shared" si="209"/>
        <v>UP</v>
      </c>
      <c r="AL79">
        <f t="shared" si="209"/>
        <v>1</v>
      </c>
      <c r="AM79">
        <f t="shared" si="209"/>
        <v>886.928224810728</v>
      </c>
      <c r="AR79" s="67"/>
      <c r="AS79" s="67"/>
      <c r="AT79" s="67"/>
      <c r="AU79" s="82"/>
      <c r="BN79" t="str">
        <f t="shared" ref="BN79:BS79" si="210">BN78</f>
        <v>NetCO2_TRA</v>
      </c>
      <c r="BP79">
        <v>2088</v>
      </c>
      <c r="BQ79" t="str">
        <f t="shared" si="210"/>
        <v>UP</v>
      </c>
      <c r="BR79">
        <f t="shared" si="210"/>
        <v>1</v>
      </c>
      <c r="BS79">
        <f t="shared" si="210"/>
        <v>0</v>
      </c>
      <c r="BX79" s="67"/>
      <c r="BY79" s="67"/>
      <c r="BZ79" s="67"/>
      <c r="CA79" s="82"/>
    </row>
    <row r="80" spans="7:79">
      <c r="G80" t="str">
        <f t="shared" ref="G80:L80" si="211">G79</f>
        <v>NetCO2_ELC</v>
      </c>
      <c r="I80">
        <v>2089</v>
      </c>
      <c r="J80" t="str">
        <f t="shared" si="211"/>
        <v>UP</v>
      </c>
      <c r="K80">
        <f t="shared" si="211"/>
        <v>1</v>
      </c>
      <c r="L80">
        <f t="shared" si="211"/>
        <v>-144.530002534025</v>
      </c>
      <c r="Q80" s="67"/>
      <c r="R80" s="67"/>
      <c r="S80" s="67"/>
      <c r="T80" s="82"/>
      <c r="AH80" t="str">
        <f t="shared" ref="AH80:AM80" si="212">AH79</f>
        <v>NetCO2_TRA</v>
      </c>
      <c r="AJ80">
        <v>2089</v>
      </c>
      <c r="AK80" t="str">
        <f t="shared" si="212"/>
        <v>UP</v>
      </c>
      <c r="AL80">
        <f t="shared" si="212"/>
        <v>1</v>
      </c>
      <c r="AM80">
        <f t="shared" si="212"/>
        <v>886.928224810728</v>
      </c>
      <c r="AR80" s="67"/>
      <c r="AS80" s="67"/>
      <c r="AT80" s="67"/>
      <c r="AU80" s="82"/>
      <c r="BN80" t="str">
        <f t="shared" ref="BN80:BS80" si="213">BN79</f>
        <v>NetCO2_TRA</v>
      </c>
      <c r="BP80">
        <v>2089</v>
      </c>
      <c r="BQ80" t="str">
        <f t="shared" si="213"/>
        <v>UP</v>
      </c>
      <c r="BR80">
        <f t="shared" si="213"/>
        <v>1</v>
      </c>
      <c r="BS80">
        <f t="shared" si="213"/>
        <v>0</v>
      </c>
      <c r="BX80" s="67"/>
      <c r="BY80" s="67"/>
      <c r="BZ80" s="67"/>
      <c r="CA80" s="82"/>
    </row>
    <row r="81" spans="7:79">
      <c r="G81" t="str">
        <f t="shared" ref="G81:L81" si="214">G80</f>
        <v>NetCO2_ELC</v>
      </c>
      <c r="I81">
        <v>2090</v>
      </c>
      <c r="J81" t="str">
        <f t="shared" si="214"/>
        <v>UP</v>
      </c>
      <c r="K81">
        <f t="shared" si="214"/>
        <v>1</v>
      </c>
      <c r="L81">
        <f t="shared" si="214"/>
        <v>-144.530002534025</v>
      </c>
      <c r="Q81" s="67"/>
      <c r="R81" s="67"/>
      <c r="S81" s="67"/>
      <c r="T81" s="82"/>
      <c r="AH81" t="str">
        <f t="shared" ref="AH81:AM81" si="215">AH80</f>
        <v>NetCO2_TRA</v>
      </c>
      <c r="AJ81">
        <v>2090</v>
      </c>
      <c r="AK81" t="str">
        <f t="shared" si="215"/>
        <v>UP</v>
      </c>
      <c r="AL81">
        <f t="shared" si="215"/>
        <v>1</v>
      </c>
      <c r="AM81">
        <f t="shared" si="215"/>
        <v>886.928224810728</v>
      </c>
      <c r="AR81" s="67"/>
      <c r="AS81" s="67"/>
      <c r="AT81" s="67"/>
      <c r="AU81" s="82"/>
      <c r="BN81" t="str">
        <f t="shared" ref="BN81:BS81" si="216">BN80</f>
        <v>NetCO2_TRA</v>
      </c>
      <c r="BP81">
        <v>2090</v>
      </c>
      <c r="BQ81" t="str">
        <f t="shared" si="216"/>
        <v>UP</v>
      </c>
      <c r="BR81">
        <f t="shared" si="216"/>
        <v>1</v>
      </c>
      <c r="BS81">
        <f t="shared" si="216"/>
        <v>0</v>
      </c>
      <c r="BX81" s="67"/>
      <c r="BY81" s="67"/>
      <c r="BZ81" s="67"/>
      <c r="CA81" s="82"/>
    </row>
    <row r="82" spans="7:79">
      <c r="G82" t="str">
        <f t="shared" ref="G82:L82" si="217">G81</f>
        <v>NetCO2_ELC</v>
      </c>
      <c r="I82">
        <v>2091</v>
      </c>
      <c r="J82" t="str">
        <f t="shared" si="217"/>
        <v>UP</v>
      </c>
      <c r="K82">
        <f t="shared" si="217"/>
        <v>1</v>
      </c>
      <c r="L82">
        <f t="shared" si="217"/>
        <v>-144.530002534025</v>
      </c>
      <c r="Q82" s="67"/>
      <c r="R82" s="67"/>
      <c r="S82" s="67"/>
      <c r="T82" s="82"/>
      <c r="AH82" t="str">
        <f t="shared" ref="AH82:AM82" si="218">AH81</f>
        <v>NetCO2_TRA</v>
      </c>
      <c r="AJ82">
        <v>2091</v>
      </c>
      <c r="AK82" t="str">
        <f t="shared" si="218"/>
        <v>UP</v>
      </c>
      <c r="AL82">
        <f t="shared" si="218"/>
        <v>1</v>
      </c>
      <c r="AM82">
        <f t="shared" si="218"/>
        <v>886.928224810728</v>
      </c>
      <c r="AR82" s="67"/>
      <c r="AS82" s="67"/>
      <c r="AT82" s="67"/>
      <c r="AU82" s="82"/>
      <c r="BN82" t="str">
        <f t="shared" ref="BN82:BS82" si="219">BN81</f>
        <v>NetCO2_TRA</v>
      </c>
      <c r="BP82">
        <v>2091</v>
      </c>
      <c r="BQ82" t="str">
        <f t="shared" si="219"/>
        <v>UP</v>
      </c>
      <c r="BR82">
        <f t="shared" si="219"/>
        <v>1</v>
      </c>
      <c r="BS82">
        <f t="shared" si="219"/>
        <v>0</v>
      </c>
      <c r="BX82" s="67"/>
      <c r="BY82" s="67"/>
      <c r="BZ82" s="67"/>
      <c r="CA82" s="82"/>
    </row>
    <row r="83" spans="7:79">
      <c r="G83" t="str">
        <f t="shared" ref="G83:L83" si="220">G82</f>
        <v>NetCO2_ELC</v>
      </c>
      <c r="I83">
        <v>2092</v>
      </c>
      <c r="J83" t="str">
        <f t="shared" si="220"/>
        <v>UP</v>
      </c>
      <c r="K83">
        <f t="shared" si="220"/>
        <v>1</v>
      </c>
      <c r="L83">
        <f t="shared" si="220"/>
        <v>-144.530002534025</v>
      </c>
      <c r="Q83" s="67"/>
      <c r="R83" s="67"/>
      <c r="S83" s="67"/>
      <c r="T83" s="82"/>
      <c r="AH83" t="str">
        <f t="shared" ref="AH83:AM83" si="221">AH82</f>
        <v>NetCO2_TRA</v>
      </c>
      <c r="AJ83">
        <v>2092</v>
      </c>
      <c r="AK83" t="str">
        <f t="shared" si="221"/>
        <v>UP</v>
      </c>
      <c r="AL83">
        <f t="shared" si="221"/>
        <v>1</v>
      </c>
      <c r="AM83">
        <f t="shared" si="221"/>
        <v>886.928224810728</v>
      </c>
      <c r="AR83" s="67"/>
      <c r="AS83" s="67"/>
      <c r="AT83" s="67"/>
      <c r="AU83" s="82"/>
      <c r="BN83" t="str">
        <f t="shared" ref="BN83:BS83" si="222">BN82</f>
        <v>NetCO2_TRA</v>
      </c>
      <c r="BP83">
        <v>2092</v>
      </c>
      <c r="BQ83" t="str">
        <f t="shared" si="222"/>
        <v>UP</v>
      </c>
      <c r="BR83">
        <f t="shared" si="222"/>
        <v>1</v>
      </c>
      <c r="BS83">
        <f t="shared" si="222"/>
        <v>0</v>
      </c>
      <c r="BX83" s="67"/>
      <c r="BY83" s="67"/>
      <c r="BZ83" s="67"/>
      <c r="CA83" s="82"/>
    </row>
    <row r="84" spans="7:79">
      <c r="G84" t="str">
        <f t="shared" ref="G84:L84" si="223">G83</f>
        <v>NetCO2_ELC</v>
      </c>
      <c r="I84">
        <v>2093</v>
      </c>
      <c r="J84" t="str">
        <f t="shared" si="223"/>
        <v>UP</v>
      </c>
      <c r="K84">
        <f t="shared" si="223"/>
        <v>1</v>
      </c>
      <c r="L84">
        <f t="shared" si="223"/>
        <v>-144.530002534025</v>
      </c>
      <c r="Q84" s="67"/>
      <c r="R84" s="67"/>
      <c r="S84" s="67"/>
      <c r="T84" s="82"/>
      <c r="AH84" t="str">
        <f t="shared" ref="AH84:AM84" si="224">AH83</f>
        <v>NetCO2_TRA</v>
      </c>
      <c r="AJ84">
        <v>2093</v>
      </c>
      <c r="AK84" t="str">
        <f t="shared" si="224"/>
        <v>UP</v>
      </c>
      <c r="AL84">
        <f t="shared" si="224"/>
        <v>1</v>
      </c>
      <c r="AM84">
        <f t="shared" si="224"/>
        <v>886.928224810728</v>
      </c>
      <c r="AR84" s="67"/>
      <c r="AS84" s="67"/>
      <c r="AT84" s="67"/>
      <c r="AU84" s="82"/>
      <c r="BN84" t="str">
        <f t="shared" ref="BN84:BS84" si="225">BN83</f>
        <v>NetCO2_TRA</v>
      </c>
      <c r="BP84">
        <v>2093</v>
      </c>
      <c r="BQ84" t="str">
        <f t="shared" si="225"/>
        <v>UP</v>
      </c>
      <c r="BR84">
        <f t="shared" si="225"/>
        <v>1</v>
      </c>
      <c r="BS84">
        <f t="shared" si="225"/>
        <v>0</v>
      </c>
      <c r="BX84" s="67"/>
      <c r="BY84" s="67"/>
      <c r="BZ84" s="67"/>
      <c r="CA84" s="82"/>
    </row>
    <row r="85" spans="7:79">
      <c r="G85" t="str">
        <f t="shared" ref="G85:L85" si="226">G84</f>
        <v>NetCO2_ELC</v>
      </c>
      <c r="I85">
        <v>2094</v>
      </c>
      <c r="J85" t="str">
        <f t="shared" si="226"/>
        <v>UP</v>
      </c>
      <c r="K85">
        <f t="shared" si="226"/>
        <v>1</v>
      </c>
      <c r="L85">
        <f t="shared" si="226"/>
        <v>-144.530002534025</v>
      </c>
      <c r="Q85" s="67"/>
      <c r="R85" s="67"/>
      <c r="S85" s="67"/>
      <c r="T85" s="82"/>
      <c r="AH85" t="str">
        <f t="shared" ref="AH85:AM85" si="227">AH84</f>
        <v>NetCO2_TRA</v>
      </c>
      <c r="AJ85">
        <v>2094</v>
      </c>
      <c r="AK85" t="str">
        <f t="shared" si="227"/>
        <v>UP</v>
      </c>
      <c r="AL85">
        <f t="shared" si="227"/>
        <v>1</v>
      </c>
      <c r="AM85">
        <f t="shared" si="227"/>
        <v>886.928224810728</v>
      </c>
      <c r="AR85" s="67"/>
      <c r="AS85" s="67"/>
      <c r="AT85" s="67"/>
      <c r="AU85" s="82"/>
      <c r="BN85" t="str">
        <f t="shared" ref="BN85:BS85" si="228">BN84</f>
        <v>NetCO2_TRA</v>
      </c>
      <c r="BP85">
        <v>2094</v>
      </c>
      <c r="BQ85" t="str">
        <f t="shared" si="228"/>
        <v>UP</v>
      </c>
      <c r="BR85">
        <f t="shared" si="228"/>
        <v>1</v>
      </c>
      <c r="BS85">
        <f t="shared" si="228"/>
        <v>0</v>
      </c>
      <c r="BX85" s="67"/>
      <c r="BY85" s="67"/>
      <c r="BZ85" s="67"/>
      <c r="CA85" s="82"/>
    </row>
    <row r="86" spans="7:79">
      <c r="G86" t="str">
        <f t="shared" ref="G86:L86" si="229">G85</f>
        <v>NetCO2_ELC</v>
      </c>
      <c r="I86">
        <v>2095</v>
      </c>
      <c r="J86" t="str">
        <f t="shared" si="229"/>
        <v>UP</v>
      </c>
      <c r="K86">
        <f t="shared" si="229"/>
        <v>1</v>
      </c>
      <c r="L86">
        <f t="shared" si="229"/>
        <v>-144.530002534025</v>
      </c>
      <c r="Q86" s="67"/>
      <c r="R86" s="67"/>
      <c r="S86" s="67"/>
      <c r="T86" s="82"/>
      <c r="AH86" t="str">
        <f t="shared" ref="AH86:AM86" si="230">AH85</f>
        <v>NetCO2_TRA</v>
      </c>
      <c r="AJ86">
        <v>2095</v>
      </c>
      <c r="AK86" t="str">
        <f t="shared" si="230"/>
        <v>UP</v>
      </c>
      <c r="AL86">
        <f t="shared" si="230"/>
        <v>1</v>
      </c>
      <c r="AM86">
        <f t="shared" si="230"/>
        <v>886.928224810728</v>
      </c>
      <c r="AR86" s="67"/>
      <c r="AS86" s="67"/>
      <c r="AT86" s="67"/>
      <c r="AU86" s="82"/>
      <c r="BN86" t="str">
        <f t="shared" ref="BN86:BS86" si="231">BN85</f>
        <v>NetCO2_TRA</v>
      </c>
      <c r="BP86">
        <v>2095</v>
      </c>
      <c r="BQ86" t="str">
        <f t="shared" si="231"/>
        <v>UP</v>
      </c>
      <c r="BR86">
        <f t="shared" si="231"/>
        <v>1</v>
      </c>
      <c r="BS86">
        <f t="shared" si="231"/>
        <v>0</v>
      </c>
      <c r="BX86" s="67"/>
      <c r="BY86" s="67"/>
      <c r="BZ86" s="67"/>
      <c r="CA86" s="82"/>
    </row>
    <row r="87" spans="7:79">
      <c r="G87" t="str">
        <f t="shared" ref="G87:L87" si="232">G86</f>
        <v>NetCO2_ELC</v>
      </c>
      <c r="I87">
        <v>2096</v>
      </c>
      <c r="J87" t="str">
        <f t="shared" si="232"/>
        <v>UP</v>
      </c>
      <c r="K87">
        <f t="shared" si="232"/>
        <v>1</v>
      </c>
      <c r="L87">
        <f t="shared" si="232"/>
        <v>-144.530002534025</v>
      </c>
      <c r="Q87" s="67"/>
      <c r="R87" s="67"/>
      <c r="S87" s="67"/>
      <c r="T87" s="82"/>
      <c r="AH87" t="str">
        <f t="shared" ref="AH87:AM87" si="233">AH86</f>
        <v>NetCO2_TRA</v>
      </c>
      <c r="AJ87">
        <v>2096</v>
      </c>
      <c r="AK87" t="str">
        <f t="shared" si="233"/>
        <v>UP</v>
      </c>
      <c r="AL87">
        <f t="shared" si="233"/>
        <v>1</v>
      </c>
      <c r="AM87">
        <f t="shared" si="233"/>
        <v>886.928224810728</v>
      </c>
      <c r="AR87" s="67"/>
      <c r="AS87" s="67"/>
      <c r="AT87" s="67"/>
      <c r="AU87" s="82"/>
      <c r="BN87" t="str">
        <f t="shared" ref="BN87:BS87" si="234">BN86</f>
        <v>NetCO2_TRA</v>
      </c>
      <c r="BP87">
        <v>2096</v>
      </c>
      <c r="BQ87" t="str">
        <f t="shared" si="234"/>
        <v>UP</v>
      </c>
      <c r="BR87">
        <f t="shared" si="234"/>
        <v>1</v>
      </c>
      <c r="BS87">
        <f t="shared" si="234"/>
        <v>0</v>
      </c>
      <c r="BX87" s="67"/>
      <c r="BY87" s="67"/>
      <c r="BZ87" s="67"/>
      <c r="CA87" s="82"/>
    </row>
    <row r="88" spans="7:79">
      <c r="G88" t="str">
        <f t="shared" ref="G88:L88" si="235">G87</f>
        <v>NetCO2_ELC</v>
      </c>
      <c r="I88">
        <v>2097</v>
      </c>
      <c r="J88" t="str">
        <f t="shared" si="235"/>
        <v>UP</v>
      </c>
      <c r="K88">
        <f t="shared" si="235"/>
        <v>1</v>
      </c>
      <c r="L88">
        <f t="shared" si="235"/>
        <v>-144.530002534025</v>
      </c>
      <c r="Q88" s="67"/>
      <c r="R88" s="67"/>
      <c r="S88" s="67"/>
      <c r="T88" s="82"/>
      <c r="AH88" t="str">
        <f t="shared" ref="AH88:AM88" si="236">AH87</f>
        <v>NetCO2_TRA</v>
      </c>
      <c r="AJ88">
        <v>2097</v>
      </c>
      <c r="AK88" t="str">
        <f t="shared" si="236"/>
        <v>UP</v>
      </c>
      <c r="AL88">
        <f t="shared" si="236"/>
        <v>1</v>
      </c>
      <c r="AM88">
        <f t="shared" si="236"/>
        <v>886.928224810728</v>
      </c>
      <c r="AR88" s="67"/>
      <c r="AS88" s="67"/>
      <c r="AT88" s="67"/>
      <c r="AU88" s="82"/>
      <c r="BN88" t="str">
        <f t="shared" ref="BN88:BS88" si="237">BN87</f>
        <v>NetCO2_TRA</v>
      </c>
      <c r="BP88">
        <v>2097</v>
      </c>
      <c r="BQ88" t="str">
        <f t="shared" si="237"/>
        <v>UP</v>
      </c>
      <c r="BR88">
        <f t="shared" si="237"/>
        <v>1</v>
      </c>
      <c r="BS88">
        <f t="shared" si="237"/>
        <v>0</v>
      </c>
      <c r="BX88" s="67"/>
      <c r="BY88" s="67"/>
      <c r="BZ88" s="67"/>
      <c r="CA88" s="82"/>
    </row>
    <row r="89" spans="7:79">
      <c r="G89" t="str">
        <f t="shared" ref="G89:L89" si="238">G88</f>
        <v>NetCO2_ELC</v>
      </c>
      <c r="I89">
        <v>2098</v>
      </c>
      <c r="J89" t="str">
        <f t="shared" si="238"/>
        <v>UP</v>
      </c>
      <c r="K89">
        <f t="shared" si="238"/>
        <v>1</v>
      </c>
      <c r="L89">
        <f t="shared" si="238"/>
        <v>-144.530002534025</v>
      </c>
      <c r="Q89" s="67"/>
      <c r="R89" s="67"/>
      <c r="S89" s="67"/>
      <c r="T89" s="82"/>
      <c r="AH89" t="str">
        <f t="shared" ref="AH89:AM89" si="239">AH88</f>
        <v>NetCO2_TRA</v>
      </c>
      <c r="AJ89">
        <v>2098</v>
      </c>
      <c r="AK89" t="str">
        <f t="shared" si="239"/>
        <v>UP</v>
      </c>
      <c r="AL89">
        <f t="shared" si="239"/>
        <v>1</v>
      </c>
      <c r="AM89">
        <f t="shared" si="239"/>
        <v>886.928224810728</v>
      </c>
      <c r="AR89" s="67"/>
      <c r="AS89" s="67"/>
      <c r="AT89" s="67"/>
      <c r="AU89" s="82"/>
      <c r="BN89" t="str">
        <f t="shared" ref="BN89:BS89" si="240">BN88</f>
        <v>NetCO2_TRA</v>
      </c>
      <c r="BP89">
        <v>2098</v>
      </c>
      <c r="BQ89" t="str">
        <f t="shared" si="240"/>
        <v>UP</v>
      </c>
      <c r="BR89">
        <f t="shared" si="240"/>
        <v>1</v>
      </c>
      <c r="BS89">
        <f t="shared" si="240"/>
        <v>0</v>
      </c>
      <c r="BX89" s="67"/>
      <c r="BY89" s="67"/>
      <c r="BZ89" s="67"/>
      <c r="CA89" s="82"/>
    </row>
    <row r="90" spans="7:79">
      <c r="G90" t="str">
        <f t="shared" ref="G90:L90" si="241">G89</f>
        <v>NetCO2_ELC</v>
      </c>
      <c r="I90">
        <v>2099</v>
      </c>
      <c r="J90" t="str">
        <f t="shared" si="241"/>
        <v>UP</v>
      </c>
      <c r="K90">
        <f t="shared" si="241"/>
        <v>1</v>
      </c>
      <c r="L90">
        <f t="shared" si="241"/>
        <v>-144.530002534025</v>
      </c>
      <c r="Q90" s="67"/>
      <c r="R90" s="67"/>
      <c r="S90" s="67"/>
      <c r="T90" s="82"/>
      <c r="AH90" t="str">
        <f t="shared" ref="AH90:AM90" si="242">AH89</f>
        <v>NetCO2_TRA</v>
      </c>
      <c r="AJ90">
        <v>2099</v>
      </c>
      <c r="AK90" t="str">
        <f t="shared" si="242"/>
        <v>UP</v>
      </c>
      <c r="AL90">
        <f t="shared" si="242"/>
        <v>1</v>
      </c>
      <c r="AM90">
        <f t="shared" si="242"/>
        <v>886.928224810728</v>
      </c>
      <c r="AR90" s="67"/>
      <c r="AS90" s="67"/>
      <c r="AT90" s="67"/>
      <c r="AU90" s="82"/>
      <c r="BN90" t="str">
        <f t="shared" ref="BN90:BS90" si="243">BN89</f>
        <v>NetCO2_TRA</v>
      </c>
      <c r="BP90">
        <v>2099</v>
      </c>
      <c r="BQ90" t="str">
        <f t="shared" si="243"/>
        <v>UP</v>
      </c>
      <c r="BR90">
        <f t="shared" si="243"/>
        <v>1</v>
      </c>
      <c r="BS90">
        <f t="shared" si="243"/>
        <v>0</v>
      </c>
      <c r="BX90" s="67"/>
      <c r="BY90" s="67"/>
      <c r="BZ90" s="67"/>
      <c r="CA90" s="82"/>
    </row>
    <row r="91" spans="7:79">
      <c r="G91" t="str">
        <f t="shared" ref="G91:L91" si="244">G90</f>
        <v>NetCO2_ELC</v>
      </c>
      <c r="I91">
        <v>2100</v>
      </c>
      <c r="J91" t="str">
        <f t="shared" si="244"/>
        <v>UP</v>
      </c>
      <c r="K91">
        <f t="shared" si="244"/>
        <v>1</v>
      </c>
      <c r="L91">
        <f t="shared" si="244"/>
        <v>-144.530002534025</v>
      </c>
      <c r="Q91" s="67"/>
      <c r="R91" s="67"/>
      <c r="S91" s="67"/>
      <c r="T91" s="82"/>
      <c r="AH91" t="str">
        <f t="shared" ref="AH91:AM91" si="245">AH90</f>
        <v>NetCO2_TRA</v>
      </c>
      <c r="AJ91">
        <v>2100</v>
      </c>
      <c r="AK91" t="str">
        <f t="shared" si="245"/>
        <v>UP</v>
      </c>
      <c r="AL91">
        <f t="shared" si="245"/>
        <v>1</v>
      </c>
      <c r="AM91">
        <f t="shared" si="245"/>
        <v>886.928224810728</v>
      </c>
      <c r="AR91" s="67"/>
      <c r="AS91" s="67"/>
      <c r="AT91" s="67"/>
      <c r="AU91" s="82"/>
      <c r="BN91" t="str">
        <f t="shared" ref="BN91:BS91" si="246">BN90</f>
        <v>NetCO2_TRA</v>
      </c>
      <c r="BP91">
        <v>2100</v>
      </c>
      <c r="BQ91" t="str">
        <f t="shared" si="246"/>
        <v>UP</v>
      </c>
      <c r="BR91">
        <f t="shared" si="246"/>
        <v>1</v>
      </c>
      <c r="BS91">
        <f t="shared" si="246"/>
        <v>0</v>
      </c>
      <c r="BX91" s="67"/>
      <c r="BY91" s="67"/>
      <c r="BZ91" s="67"/>
      <c r="CA91" s="82"/>
    </row>
  </sheetData>
  <mergeCells count="1">
    <mergeCell ref="CK7:CP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W43"/>
  <sheetViews>
    <sheetView tabSelected="1" zoomScale="112" zoomScaleNormal="112" topLeftCell="D19" workbookViewId="0">
      <selection activeCell="O37" sqref="O37"/>
    </sheetView>
  </sheetViews>
  <sheetFormatPr defaultColWidth="8.72727272727273" defaultRowHeight="14.5"/>
  <cols>
    <col min="5" max="5" width="15.2636363636364" customWidth="1"/>
    <col min="14" max="14" width="12.7272727272727" customWidth="1"/>
    <col min="15" max="15" width="9.72727272727273"/>
    <col min="19" max="19" width="9.72727272727273"/>
    <col min="21" max="21" width="9.72727272727273"/>
    <col min="23" max="23" width="9.72727272727273"/>
    <col min="27" max="27" width="10.2"/>
    <col min="28" max="28" width="9.72727272727273"/>
    <col min="29" max="29" width="10.2"/>
    <col min="31" max="31" width="10.2"/>
  </cols>
  <sheetData>
    <row r="2" spans="2:49">
      <c r="B2" s="17" t="s">
        <v>1</v>
      </c>
    </row>
    <row r="3" spans="2:49">
      <c r="B3" t="s">
        <v>2</v>
      </c>
    </row>
    <row r="4" spans="2:49">
      <c r="Q4" s="47"/>
      <c r="AW4" s="47"/>
    </row>
    <row r="5" spans="2:49">
      <c r="M5" s="18" t="s">
        <v>3</v>
      </c>
    </row>
    <row r="6" spans="2:49">
      <c r="AE6" t="s">
        <v>28</v>
      </c>
      <c r="AG6" t="s">
        <v>12</v>
      </c>
    </row>
    <row r="7" spans="2:49">
      <c r="R7" s="33"/>
      <c r="S7" s="33" t="s">
        <v>25</v>
      </c>
      <c r="T7" s="33"/>
      <c r="U7" s="33" t="s">
        <v>26</v>
      </c>
      <c r="V7" s="33"/>
      <c r="W7" s="33" t="s">
        <v>27</v>
      </c>
    </row>
    <row r="8" spans="2:49"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  <c r="O8" t="s">
        <v>15</v>
      </c>
      <c r="R8" s="33"/>
      <c r="S8" s="33"/>
      <c r="T8" s="33"/>
      <c r="U8" s="33"/>
      <c r="V8" s="33"/>
      <c r="W8" s="33"/>
    </row>
    <row r="9" spans="2:49">
      <c r="E9" t="s">
        <v>29</v>
      </c>
      <c r="J9" t="s">
        <v>30</v>
      </c>
      <c r="L9">
        <v>2019</v>
      </c>
      <c r="M9" t="s">
        <v>21</v>
      </c>
      <c r="N9">
        <v>1</v>
      </c>
      <c r="O9" s="28"/>
      <c r="R9" s="33">
        <v>2019</v>
      </c>
      <c r="S9" s="48">
        <v>33003.17</v>
      </c>
      <c r="T9" s="48"/>
      <c r="U9" s="48">
        <v>33003.17</v>
      </c>
      <c r="V9" s="48"/>
      <c r="W9" s="48">
        <v>33003.17</v>
      </c>
      <c r="Y9">
        <v>24000</v>
      </c>
      <c r="AA9" s="49">
        <f t="shared" ref="AA9:AE9" si="0">Y9</f>
        <v>24000</v>
      </c>
      <c r="AB9" s="49"/>
      <c r="AC9" s="49">
        <f t="shared" si="0"/>
        <v>24000</v>
      </c>
      <c r="AD9" s="49"/>
      <c r="AE9" s="49">
        <f t="shared" si="0"/>
        <v>24000</v>
      </c>
      <c r="AG9">
        <v>2019</v>
      </c>
    </row>
    <row r="10" spans="2:49">
      <c r="J10" t="str">
        <f t="shared" ref="J10:J15" si="1">J9</f>
        <v>TOTCO2</v>
      </c>
      <c r="L10" t="str">
        <f>"\I:"&amp;R10</f>
        <v>\I:2024</v>
      </c>
      <c r="M10" t="s">
        <v>21</v>
      </c>
      <c r="N10">
        <v>1</v>
      </c>
      <c r="O10" s="28"/>
      <c r="R10" s="33">
        <v>2024</v>
      </c>
      <c r="S10" s="48">
        <v>33003.17</v>
      </c>
      <c r="T10" s="33"/>
      <c r="U10" s="48">
        <v>33003.17</v>
      </c>
      <c r="V10" s="33"/>
      <c r="W10" s="48">
        <v>33003.17</v>
      </c>
      <c r="AA10" s="50">
        <f>S10/S9*AA9</f>
        <v>24000</v>
      </c>
      <c r="AB10" s="49"/>
      <c r="AC10" s="50">
        <f t="shared" ref="AC10:AC14" si="2">U10/U9*AC9</f>
        <v>24000</v>
      </c>
      <c r="AD10" s="49"/>
      <c r="AE10" s="50">
        <f t="shared" ref="AE10:AE14" si="3">W10/W9*AE9</f>
        <v>24000</v>
      </c>
      <c r="AG10">
        <v>2024</v>
      </c>
    </row>
    <row r="11" spans="2:49">
      <c r="J11" t="str">
        <f t="shared" si="1"/>
        <v>TOTCO2</v>
      </c>
      <c r="L11">
        <f t="shared" ref="L11:L15" si="4">R11</f>
        <v>2035</v>
      </c>
      <c r="M11" t="s">
        <v>21</v>
      </c>
      <c r="N11">
        <v>1</v>
      </c>
      <c r="O11" s="28"/>
      <c r="R11" s="33">
        <v>2035</v>
      </c>
      <c r="S11" s="48">
        <v>33515.77</v>
      </c>
      <c r="T11" s="33"/>
      <c r="U11" s="48">
        <v>30483.87</v>
      </c>
      <c r="V11" s="33"/>
      <c r="W11" s="48">
        <v>15719.25</v>
      </c>
      <c r="AA11" s="50">
        <f>S11/S10*AA10</f>
        <v>24372.7641920458</v>
      </c>
      <c r="AB11" s="49"/>
      <c r="AC11" s="50">
        <f t="shared" si="2"/>
        <v>22167.9578052654</v>
      </c>
      <c r="AD11" s="49"/>
      <c r="AE11" s="50">
        <f t="shared" si="3"/>
        <v>11431.0837413497</v>
      </c>
      <c r="AG11" s="33">
        <v>2035</v>
      </c>
    </row>
    <row r="12" spans="2:49">
      <c r="J12" t="str">
        <f t="shared" si="1"/>
        <v>TOTCO2</v>
      </c>
      <c r="L12">
        <f t="shared" si="4"/>
        <v>2040</v>
      </c>
      <c r="M12" t="s">
        <v>21</v>
      </c>
      <c r="N12">
        <v>1</v>
      </c>
      <c r="O12" s="28"/>
      <c r="R12" s="33">
        <v>2040</v>
      </c>
      <c r="S12" s="48">
        <v>33193.31</v>
      </c>
      <c r="T12" s="33"/>
      <c r="U12" s="48">
        <v>28193.84</v>
      </c>
      <c r="V12" s="33"/>
      <c r="W12" s="48">
        <v>7491.76</v>
      </c>
      <c r="AA12" s="50">
        <f>S12/S11*AA11</f>
        <v>24138.2703540296</v>
      </c>
      <c r="AB12" s="49"/>
      <c r="AC12" s="50">
        <f t="shared" si="2"/>
        <v>20502.6414129309</v>
      </c>
      <c r="AD12" s="49"/>
      <c r="AE12" s="50">
        <f t="shared" si="3"/>
        <v>5448.02938626805</v>
      </c>
      <c r="AG12" s="33">
        <v>2040</v>
      </c>
    </row>
    <row r="13" spans="2:49">
      <c r="J13" t="str">
        <f t="shared" si="1"/>
        <v>TOTCO2</v>
      </c>
      <c r="L13">
        <f t="shared" si="4"/>
        <v>2050</v>
      </c>
      <c r="M13" t="s">
        <v>21</v>
      </c>
      <c r="N13">
        <v>1</v>
      </c>
      <c r="O13" s="28"/>
      <c r="R13" s="33">
        <v>2050</v>
      </c>
      <c r="S13" s="48">
        <v>32824.77</v>
      </c>
      <c r="T13" s="33"/>
      <c r="U13" s="48">
        <v>25322.17</v>
      </c>
      <c r="V13" s="33"/>
      <c r="W13" s="48">
        <v>1066.73</v>
      </c>
      <c r="AA13" s="50">
        <f>S13/S12*AA12</f>
        <v>23870.2670076844</v>
      </c>
      <c r="AB13" s="49"/>
      <c r="AC13" s="50">
        <f t="shared" si="2"/>
        <v>18414.3547422869</v>
      </c>
      <c r="AD13" s="49"/>
      <c r="AE13" s="50">
        <f t="shared" si="3"/>
        <v>775.729119354292</v>
      </c>
      <c r="AG13" s="33">
        <v>2050</v>
      </c>
    </row>
    <row r="14" spans="2:49">
      <c r="J14" t="str">
        <f t="shared" si="1"/>
        <v>TOTCO2</v>
      </c>
      <c r="L14">
        <f t="shared" si="4"/>
        <v>2100</v>
      </c>
      <c r="M14" t="s">
        <v>21</v>
      </c>
      <c r="N14">
        <v>1</v>
      </c>
      <c r="O14" s="28"/>
      <c r="R14" s="33">
        <v>2100</v>
      </c>
      <c r="S14" s="48">
        <v>32824.77</v>
      </c>
      <c r="T14" s="33"/>
      <c r="U14" s="48">
        <v>25322.17</v>
      </c>
      <c r="V14" s="33"/>
      <c r="W14" s="48">
        <v>1066.73</v>
      </c>
      <c r="AA14" s="50">
        <f>S14/S13*AA13</f>
        <v>23870.2670076844</v>
      </c>
      <c r="AB14" s="50"/>
      <c r="AC14" s="50">
        <f t="shared" si="2"/>
        <v>18414.3547422869</v>
      </c>
      <c r="AD14" s="49"/>
      <c r="AE14" s="50">
        <f t="shared" si="3"/>
        <v>775.729119354292</v>
      </c>
      <c r="AG14" s="33">
        <v>2100</v>
      </c>
    </row>
    <row r="15" spans="2:49">
      <c r="J15" t="str">
        <f t="shared" si="1"/>
        <v>TOTCO2</v>
      </c>
      <c r="L15">
        <f t="shared" si="4"/>
        <v>0</v>
      </c>
      <c r="M15" t="s">
        <v>21</v>
      </c>
      <c r="N15">
        <v>1</v>
      </c>
      <c r="O15" s="28"/>
      <c r="R15" s="33">
        <v>0</v>
      </c>
      <c r="S15" s="33">
        <v>5</v>
      </c>
      <c r="T15" s="33"/>
      <c r="U15" s="33">
        <v>5</v>
      </c>
      <c r="V15" s="33"/>
      <c r="W15" s="33">
        <v>5</v>
      </c>
      <c r="AA15" s="49">
        <v>5</v>
      </c>
      <c r="AB15" s="49"/>
      <c r="AC15" s="49">
        <v>5</v>
      </c>
      <c r="AD15" s="49"/>
      <c r="AE15" s="49">
        <v>5</v>
      </c>
      <c r="AG15" s="33">
        <v>0</v>
      </c>
    </row>
    <row r="23" spans="5:20">
      <c r="M23" t="s">
        <v>3</v>
      </c>
    </row>
    <row r="24" spans="5:20">
      <c r="E24" t="s">
        <v>5</v>
      </c>
      <c r="F24" t="s">
        <v>6</v>
      </c>
      <c r="G24" t="s">
        <v>7</v>
      </c>
      <c r="H24" t="s">
        <v>8</v>
      </c>
      <c r="I24" t="s">
        <v>9</v>
      </c>
      <c r="J24" t="s">
        <v>10</v>
      </c>
      <c r="K24" t="s">
        <v>11</v>
      </c>
      <c r="L24" t="s">
        <v>12</v>
      </c>
      <c r="M24" t="s">
        <v>13</v>
      </c>
      <c r="N24" t="s">
        <v>14</v>
      </c>
      <c r="O24" t="s">
        <v>15</v>
      </c>
      <c r="S24" t="s">
        <v>31</v>
      </c>
      <c r="T24" t="s">
        <v>32</v>
      </c>
    </row>
    <row r="25" spans="5:20">
      <c r="E25" t="s">
        <v>29</v>
      </c>
      <c r="J25" t="s">
        <v>30</v>
      </c>
      <c r="L25">
        <v>2019</v>
      </c>
      <c r="M25" t="s">
        <v>21</v>
      </c>
      <c r="N25">
        <v>1</v>
      </c>
    </row>
    <row r="26" spans="5:20">
      <c r="J26" t="s">
        <v>30</v>
      </c>
      <c r="L26" t="s">
        <v>33</v>
      </c>
      <c r="M26" t="s">
        <v>21</v>
      </c>
      <c r="N26">
        <v>1</v>
      </c>
      <c r="O26" s="51">
        <v>22573</v>
      </c>
      <c r="S26" t="s">
        <v>34</v>
      </c>
      <c r="T26" t="s">
        <v>35</v>
      </c>
    </row>
    <row r="27" spans="5:20">
      <c r="J27" t="s">
        <v>30</v>
      </c>
      <c r="L27">
        <v>2030</v>
      </c>
      <c r="M27" t="s">
        <v>21</v>
      </c>
      <c r="N27">
        <v>1</v>
      </c>
      <c r="O27" s="51">
        <v>14700</v>
      </c>
      <c r="S27" t="s">
        <v>36</v>
      </c>
      <c r="T27" t="s">
        <v>37</v>
      </c>
    </row>
    <row r="28" spans="5:20">
      <c r="J28" t="s">
        <v>30</v>
      </c>
      <c r="L28">
        <v>2035</v>
      </c>
      <c r="M28" t="s">
        <v>21</v>
      </c>
      <c r="N28">
        <v>1</v>
      </c>
      <c r="O28" s="51">
        <v>10753</v>
      </c>
      <c r="S28" t="s">
        <v>38</v>
      </c>
      <c r="T28" t="s">
        <v>39</v>
      </c>
    </row>
    <row r="29" spans="5:20">
      <c r="J29" t="s">
        <v>30</v>
      </c>
      <c r="L29">
        <v>2040</v>
      </c>
      <c r="M29" t="s">
        <v>21</v>
      </c>
      <c r="N29">
        <v>1</v>
      </c>
      <c r="O29" s="51">
        <v>5144</v>
      </c>
      <c r="S29" t="s">
        <v>40</v>
      </c>
      <c r="T29" t="s">
        <v>41</v>
      </c>
    </row>
    <row r="30" spans="5:20">
      <c r="J30" t="s">
        <v>30</v>
      </c>
      <c r="L30">
        <v>2045</v>
      </c>
      <c r="M30" t="s">
        <v>21</v>
      </c>
      <c r="N30">
        <v>1</v>
      </c>
      <c r="O30" s="51">
        <v>2300</v>
      </c>
      <c r="S30" t="s">
        <v>42</v>
      </c>
      <c r="T30" t="s">
        <v>43</v>
      </c>
    </row>
    <row r="31" spans="5:20">
      <c r="J31" t="s">
        <v>30</v>
      </c>
      <c r="L31">
        <v>2050</v>
      </c>
      <c r="M31" t="s">
        <v>21</v>
      </c>
      <c r="N31">
        <v>1</v>
      </c>
      <c r="O31">
        <v>733</v>
      </c>
      <c r="S31" t="s">
        <v>44</v>
      </c>
      <c r="T31" t="s">
        <v>45</v>
      </c>
    </row>
    <row r="32" spans="5:20">
      <c r="J32" t="str">
        <f>J31</f>
        <v>TOTCO2</v>
      </c>
      <c r="L32">
        <v>2060</v>
      </c>
      <c r="M32" t="s">
        <v>21</v>
      </c>
      <c r="N32">
        <v>1</v>
      </c>
      <c r="O32">
        <v>200</v>
      </c>
      <c r="S32" t="s">
        <v>46</v>
      </c>
      <c r="T32" t="s">
        <v>47</v>
      </c>
    </row>
    <row r="33" spans="10:20">
      <c r="J33" t="str">
        <f>J32</f>
        <v>TOTCO2</v>
      </c>
      <c r="L33">
        <v>2070</v>
      </c>
      <c r="M33" t="str">
        <f>M32</f>
        <v>UP</v>
      </c>
      <c r="N33">
        <f>N32</f>
        <v>1</v>
      </c>
      <c r="O33">
        <v>0</v>
      </c>
      <c r="S33" t="s">
        <v>48</v>
      </c>
      <c r="T33" t="s">
        <v>48</v>
      </c>
    </row>
    <row r="34" spans="10:20">
      <c r="J34" t="str">
        <f>J33</f>
        <v>TOTCO2</v>
      </c>
      <c r="L34">
        <v>2080</v>
      </c>
      <c r="M34" t="str">
        <f>M33</f>
        <v>UP</v>
      </c>
      <c r="N34">
        <f>N33</f>
        <v>1</v>
      </c>
      <c r="O34">
        <v>0</v>
      </c>
      <c r="S34" t="s">
        <v>49</v>
      </c>
      <c r="T34" t="s">
        <v>50</v>
      </c>
    </row>
    <row r="35" spans="10:20">
      <c r="J35" t="str">
        <f>J34</f>
        <v>TOTCO2</v>
      </c>
      <c r="L35">
        <v>2100</v>
      </c>
      <c r="M35" t="str">
        <f>M34</f>
        <v>UP</v>
      </c>
      <c r="N35">
        <f>N34</f>
        <v>1</v>
      </c>
      <c r="O35">
        <v>0</v>
      </c>
      <c r="S35" t="s">
        <v>49</v>
      </c>
      <c r="T35" t="s">
        <v>49</v>
      </c>
    </row>
    <row r="36" spans="10:20">
      <c r="J36" t="str">
        <f>J35</f>
        <v>TOTCO2</v>
      </c>
      <c r="L36">
        <v>0</v>
      </c>
      <c r="M36" t="str">
        <f>M35</f>
        <v>UP</v>
      </c>
      <c r="N36">
        <f>N35</f>
        <v>1</v>
      </c>
      <c r="O36">
        <v>5</v>
      </c>
    </row>
    <row r="43" spans="10:20">
      <c r="O43" s="5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49977111117893"/>
  </sheetPr>
  <dimension ref="B2:AW15"/>
  <sheetViews>
    <sheetView zoomScale="48" zoomScaleNormal="48" workbookViewId="0">
      <selection activeCell="AG6" sqref="AG6"/>
    </sheetView>
  </sheetViews>
  <sheetFormatPr defaultColWidth="8.72727272727273" defaultRowHeight="14.5"/>
  <cols>
    <col min="14" max="14" width="12.7272727272727" customWidth="1"/>
    <col min="15" max="15" width="9.72727272727273"/>
    <col min="19" max="19" width="9.72727272727273"/>
    <col min="21" max="21" width="9.72727272727273"/>
    <col min="23" max="23" width="9.72727272727273"/>
    <col min="27" max="27" width="10.2"/>
    <col min="28" max="28" width="9.72727272727273"/>
    <col min="29" max="29" width="10.2"/>
    <col min="31" max="31" width="10.2"/>
  </cols>
  <sheetData>
    <row r="2" spans="2:49">
      <c r="B2" s="17" t="s">
        <v>1</v>
      </c>
    </row>
    <row r="3" spans="2:49">
      <c r="B3" t="s">
        <v>2</v>
      </c>
    </row>
    <row r="4" spans="2:49">
      <c r="Q4" s="47"/>
      <c r="AW4" s="47"/>
    </row>
    <row r="7" spans="2:49">
      <c r="R7" s="33"/>
      <c r="S7" s="33" t="s">
        <v>25</v>
      </c>
      <c r="T7" s="33"/>
      <c r="U7" s="33" t="s">
        <v>26</v>
      </c>
      <c r="V7" s="33"/>
      <c r="W7" s="33" t="s">
        <v>27</v>
      </c>
    </row>
    <row r="8" spans="2:49"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  <c r="O8" t="s">
        <v>15</v>
      </c>
      <c r="R8" s="33"/>
      <c r="S8" s="33"/>
      <c r="T8" s="33"/>
      <c r="U8" s="33"/>
      <c r="V8" s="33"/>
      <c r="W8" s="33"/>
    </row>
    <row r="9" spans="2:49">
      <c r="E9" t="s">
        <v>29</v>
      </c>
      <c r="J9" t="s">
        <v>30</v>
      </c>
      <c r="L9">
        <v>2020</v>
      </c>
      <c r="M9" t="s">
        <v>21</v>
      </c>
      <c r="N9">
        <v>1</v>
      </c>
      <c r="O9" s="28">
        <f t="shared" ref="O9:O15" si="0">AE9</f>
        <v>16422</v>
      </c>
      <c r="R9" s="33">
        <v>2020</v>
      </c>
      <c r="S9" s="48">
        <v>33003.17</v>
      </c>
      <c r="T9" s="48"/>
      <c r="U9" s="48">
        <v>33003.17</v>
      </c>
      <c r="V9" s="48"/>
      <c r="W9" s="48">
        <v>33003.17</v>
      </c>
      <c r="Y9">
        <f>8304+8104+14</f>
        <v>16422</v>
      </c>
      <c r="AA9" s="49">
        <f t="shared" ref="AA9:AE9" si="1">Y9</f>
        <v>16422</v>
      </c>
      <c r="AB9" s="49"/>
      <c r="AC9" s="49">
        <f t="shared" si="1"/>
        <v>16422</v>
      </c>
      <c r="AD9" s="49"/>
      <c r="AE9" s="49">
        <f t="shared" si="1"/>
        <v>16422</v>
      </c>
    </row>
    <row r="10" spans="2:49">
      <c r="J10" t="str">
        <f t="shared" ref="J10:J15" si="2">J9</f>
        <v>TOTCO2</v>
      </c>
      <c r="L10">
        <f t="shared" ref="L10:L15" si="3">R10</f>
        <v>2024</v>
      </c>
      <c r="M10" t="s">
        <v>21</v>
      </c>
      <c r="N10">
        <v>1</v>
      </c>
      <c r="O10" s="28">
        <f t="shared" si="0"/>
        <v>16422</v>
      </c>
      <c r="R10" s="33">
        <v>2024</v>
      </c>
      <c r="S10" s="48">
        <v>33003.17</v>
      </c>
      <c r="T10" s="33"/>
      <c r="U10" s="48">
        <v>33003.17</v>
      </c>
      <c r="V10" s="33"/>
      <c r="W10" s="48">
        <v>33003.17</v>
      </c>
      <c r="AA10" s="50">
        <f t="shared" ref="AA10:AE10" si="4">S10/S9*AA9</f>
        <v>16422</v>
      </c>
      <c r="AB10" s="49"/>
      <c r="AC10" s="50">
        <f t="shared" si="4"/>
        <v>16422</v>
      </c>
      <c r="AD10" s="49"/>
      <c r="AE10" s="50">
        <f t="shared" si="4"/>
        <v>16422</v>
      </c>
    </row>
    <row r="11" spans="2:49">
      <c r="J11" t="str">
        <f t="shared" si="2"/>
        <v>TOTCO2</v>
      </c>
      <c r="L11">
        <f t="shared" si="3"/>
        <v>2035</v>
      </c>
      <c r="M11" t="s">
        <v>21</v>
      </c>
      <c r="N11">
        <v>1</v>
      </c>
      <c r="O11" s="28">
        <f t="shared" si="0"/>
        <v>7821.71905001853</v>
      </c>
      <c r="R11" s="33">
        <v>2035</v>
      </c>
      <c r="S11" s="48">
        <v>33515.77</v>
      </c>
      <c r="T11" s="33"/>
      <c r="U11" s="48">
        <v>30483.87</v>
      </c>
      <c r="V11" s="33"/>
      <c r="W11" s="48">
        <v>15719.25</v>
      </c>
      <c r="AA11" s="50">
        <f t="shared" ref="AA11:AE11" si="5">S11/S10*AA10</f>
        <v>16677.0638984073</v>
      </c>
      <c r="AB11" s="49"/>
      <c r="AC11" s="50">
        <f t="shared" si="5"/>
        <v>15168.4251282528</v>
      </c>
      <c r="AD11" s="49"/>
      <c r="AE11" s="50">
        <f t="shared" si="5"/>
        <v>7821.71905001853</v>
      </c>
    </row>
    <row r="12" spans="2:49">
      <c r="J12" t="str">
        <f t="shared" si="2"/>
        <v>TOTCO2</v>
      </c>
      <c r="L12">
        <f t="shared" si="3"/>
        <v>2040</v>
      </c>
      <c r="M12" t="s">
        <v>21</v>
      </c>
      <c r="N12">
        <v>1</v>
      </c>
      <c r="O12" s="28">
        <f t="shared" si="0"/>
        <v>3727.81410755391</v>
      </c>
      <c r="R12" s="33">
        <v>2040</v>
      </c>
      <c r="S12" s="48">
        <v>33193.31</v>
      </c>
      <c r="T12" s="33"/>
      <c r="U12" s="48">
        <v>28193.84</v>
      </c>
      <c r="V12" s="33"/>
      <c r="W12" s="48">
        <v>7491.76</v>
      </c>
      <c r="AA12" s="50">
        <f t="shared" ref="AA12:AE12" si="6">S12/S11*AA11</f>
        <v>16516.6114897448</v>
      </c>
      <c r="AB12" s="49"/>
      <c r="AC12" s="50">
        <f t="shared" si="6"/>
        <v>14028.932386798</v>
      </c>
      <c r="AD12" s="49"/>
      <c r="AE12" s="50">
        <f t="shared" si="6"/>
        <v>3727.81410755391</v>
      </c>
    </row>
    <row r="13" spans="2:49">
      <c r="J13" t="str">
        <f t="shared" si="2"/>
        <v>TOTCO2</v>
      </c>
      <c r="L13">
        <f t="shared" si="3"/>
        <v>2050</v>
      </c>
      <c r="M13" t="s">
        <v>21</v>
      </c>
      <c r="N13">
        <v>1</v>
      </c>
      <c r="O13" s="28">
        <f t="shared" si="0"/>
        <v>530.792649918175</v>
      </c>
      <c r="R13" s="33">
        <v>2050</v>
      </c>
      <c r="S13" s="48">
        <v>32824.77</v>
      </c>
      <c r="T13" s="33"/>
      <c r="U13" s="48">
        <v>25322.17</v>
      </c>
      <c r="V13" s="33"/>
      <c r="W13" s="48">
        <v>1066.73</v>
      </c>
      <c r="AA13" s="50">
        <f t="shared" ref="AA13:AE13" si="7">S13/S12*AA12</f>
        <v>16333.2302000081</v>
      </c>
      <c r="AB13" s="49"/>
      <c r="AC13" s="50">
        <f t="shared" si="7"/>
        <v>12600.0222324098</v>
      </c>
      <c r="AD13" s="49"/>
      <c r="AE13" s="50">
        <f t="shared" si="7"/>
        <v>530.792649918175</v>
      </c>
    </row>
    <row r="14" spans="2:49">
      <c r="J14" t="str">
        <f t="shared" si="2"/>
        <v>TOTCO2</v>
      </c>
      <c r="L14">
        <f t="shared" si="3"/>
        <v>2100</v>
      </c>
      <c r="M14" t="s">
        <v>21</v>
      </c>
      <c r="N14">
        <v>1</v>
      </c>
      <c r="O14" s="28">
        <f t="shared" si="0"/>
        <v>530.792649918175</v>
      </c>
      <c r="R14" s="33">
        <v>2100</v>
      </c>
      <c r="S14" s="48">
        <v>32824.77</v>
      </c>
      <c r="T14" s="33"/>
      <c r="U14" s="48">
        <v>25322.17</v>
      </c>
      <c r="V14" s="33"/>
      <c r="W14" s="48">
        <v>1066.73</v>
      </c>
      <c r="AA14" s="50">
        <f t="shared" ref="AA14:AE14" si="8">S14/S13*AA13</f>
        <v>16333.2302000081</v>
      </c>
      <c r="AB14" s="50"/>
      <c r="AC14" s="50">
        <f t="shared" si="8"/>
        <v>12600.0222324098</v>
      </c>
      <c r="AD14" s="49"/>
      <c r="AE14" s="50">
        <f t="shared" si="8"/>
        <v>530.792649918175</v>
      </c>
    </row>
    <row r="15" spans="2:49">
      <c r="J15" t="str">
        <f t="shared" si="2"/>
        <v>TOTCO2</v>
      </c>
      <c r="L15">
        <f t="shared" si="3"/>
        <v>0</v>
      </c>
      <c r="M15" t="s">
        <v>21</v>
      </c>
      <c r="N15">
        <v>1</v>
      </c>
      <c r="O15" s="28">
        <f t="shared" si="0"/>
        <v>5</v>
      </c>
      <c r="R15" s="33">
        <v>0</v>
      </c>
      <c r="S15" s="33">
        <v>5</v>
      </c>
      <c r="T15" s="33"/>
      <c r="U15" s="33">
        <v>5</v>
      </c>
      <c r="V15" s="33"/>
      <c r="W15" s="33">
        <v>5</v>
      </c>
      <c r="AA15" s="49">
        <v>5</v>
      </c>
      <c r="AB15" s="49"/>
      <c r="AC15" s="49">
        <v>5</v>
      </c>
      <c r="AD15" s="49"/>
      <c r="AE15" s="49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802"/>
  <sheetViews>
    <sheetView zoomScale="49" zoomScaleNormal="49" workbookViewId="0">
      <selection activeCell="AA11" sqref="AA11"/>
    </sheetView>
  </sheetViews>
  <sheetFormatPr defaultColWidth="8.72727272727273" defaultRowHeight="14.5"/>
  <cols>
    <col min="1" max="1" width="12.0636363636364" style="31" customWidth="1"/>
    <col min="3" max="3" width="21.4636363636364" customWidth="1"/>
    <col min="4" max="4" width="12" customWidth="1"/>
    <col min="8" max="8" width="21.4636363636364" customWidth="1"/>
    <col min="9" max="9" width="12" customWidth="1"/>
    <col min="11" max="11" width="10.2" customWidth="1"/>
    <col min="16" max="16" width="21.4636363636364" style="32" customWidth="1"/>
    <col min="17" max="17" width="12" style="32" customWidth="1"/>
    <col min="18" max="20" width="8.72727272727273" style="32"/>
    <col min="21" max="21" width="21.4636363636364" style="32" customWidth="1"/>
    <col min="22" max="22" width="12" style="32" customWidth="1"/>
    <col min="23" max="23" width="8.72727272727273" style="32"/>
    <col min="24" max="24" width="10.2" style="32" customWidth="1"/>
    <col min="29" max="29" width="21.4636363636364" style="33" customWidth="1"/>
    <col min="30" max="30" width="12" style="33" customWidth="1"/>
    <col min="31" max="34" width="8.72727272727273" style="33"/>
    <col min="35" max="35" width="21.4636363636364" style="33" customWidth="1"/>
    <col min="36" max="36" width="12" style="33" customWidth="1"/>
    <col min="37" max="37" width="8.72727272727273" style="33"/>
    <col min="38" max="38" width="10.2" style="33" customWidth="1"/>
    <col min="42" max="42" width="21.4636363636364" customWidth="1"/>
  </cols>
  <sheetData>
    <row r="2" spans="1:46">
      <c r="K2" s="2"/>
      <c r="P2" s="34" t="s">
        <v>26</v>
      </c>
      <c r="S2" s="35"/>
      <c r="U2" s="34" t="s">
        <v>26</v>
      </c>
      <c r="X2" s="35"/>
      <c r="AC2" s="1" t="s">
        <v>51</v>
      </c>
      <c r="AD2"/>
      <c r="AE2"/>
      <c r="AF2" s="2"/>
      <c r="AG2" s="2"/>
      <c r="AH2"/>
      <c r="AI2" s="1" t="s">
        <v>51</v>
      </c>
      <c r="AL2" s="36"/>
      <c r="AP2" t="s">
        <v>51</v>
      </c>
    </row>
    <row r="3" ht="15.25" spans="1:46">
      <c r="A3" s="37" t="s">
        <v>52</v>
      </c>
      <c r="C3" t="s">
        <v>53</v>
      </c>
      <c r="D3" s="3" t="s">
        <v>11</v>
      </c>
      <c r="E3" s="3" t="s">
        <v>12</v>
      </c>
      <c r="F3" s="4" t="s">
        <v>15</v>
      </c>
      <c r="H3" t="s">
        <v>53</v>
      </c>
      <c r="I3" s="3" t="s">
        <v>11</v>
      </c>
      <c r="J3" s="3" t="s">
        <v>12</v>
      </c>
      <c r="K3" s="4" t="s">
        <v>15</v>
      </c>
      <c r="L3" s="38"/>
      <c r="P3" s="32" t="s">
        <v>53</v>
      </c>
      <c r="Q3" s="39" t="s">
        <v>11</v>
      </c>
      <c r="R3" s="39" t="s">
        <v>12</v>
      </c>
      <c r="S3" s="4" t="s">
        <v>15</v>
      </c>
      <c r="U3" s="32" t="s">
        <v>53</v>
      </c>
      <c r="V3" s="39" t="s">
        <v>11</v>
      </c>
      <c r="W3" s="39" t="s">
        <v>12</v>
      </c>
      <c r="X3" s="4" t="s">
        <v>15</v>
      </c>
      <c r="AC3" s="33" t="s">
        <v>53</v>
      </c>
      <c r="AD3" s="41" t="s">
        <v>11</v>
      </c>
      <c r="AE3" s="41" t="s">
        <v>12</v>
      </c>
      <c r="AF3" s="4" t="s">
        <v>15</v>
      </c>
      <c r="AG3" s="4" t="s">
        <v>54</v>
      </c>
      <c r="AI3" s="33" t="s">
        <v>53</v>
      </c>
      <c r="AJ3" s="41" t="s">
        <v>11</v>
      </c>
      <c r="AK3" s="41" t="s">
        <v>12</v>
      </c>
      <c r="AL3" s="4" t="s">
        <v>15</v>
      </c>
      <c r="AM3" s="4" t="s">
        <v>54</v>
      </c>
      <c r="AP3" t="s">
        <v>53</v>
      </c>
      <c r="AQ3" t="s">
        <v>11</v>
      </c>
      <c r="AR3" t="s">
        <v>12</v>
      </c>
      <c r="AS3" t="s">
        <v>15</v>
      </c>
      <c r="AT3" t="s">
        <v>54</v>
      </c>
    </row>
    <row r="4" ht="29" spans="1:46">
      <c r="A4" s="31" t="s">
        <v>55</v>
      </c>
      <c r="C4" t="s">
        <v>56</v>
      </c>
      <c r="D4" s="5" t="s">
        <v>57</v>
      </c>
      <c r="E4">
        <v>2035</v>
      </c>
      <c r="F4" s="6" t="str">
        <f t="shared" ref="F4:F67" si="0">"*"&amp;IF(AND(A4="EU",E4=2035),0.63,IF(AND(A4="EU",E4=2050),0.54,IF(AND(A4="USA",E4=2035),0.64,IF(AND(A4="USA",E4=2050),0.54,IF(AND(A4="Japan",E4=2035),0.68,IF(AND(A4="Japan",E4=2050),0.58,IF(AND(A4="Russia",E4=2035),0.65,IF(AND(A4="Russia",E4=2050),0.54,IF(AND(A4="China",E4=2035),0.61,IF(AND(A4="China",E4=2050),0.49,IF(AND(A4="India",E4=2035),0.6,IF(AND(A4="India",E4=2050),0.49,IF(AND(A4="Middle East",E4=2035),0.6,IF(AND(A4="Middle East",E4=2050),0.5,IF(AND(A4="Africa",E4=2035),0.61,IF(AND(A4="Africa",E4=2050),0.5,IF(AND(A4="Brazil",E4=2035),0.64,IF(AND(A4="Brazil",E4=2050),0.54,""))))))))))))))))))</f>
        <v>*0.6</v>
      </c>
      <c r="H4" t="s">
        <v>56</v>
      </c>
      <c r="I4" s="5" t="s">
        <v>57</v>
      </c>
      <c r="J4">
        <v>2050</v>
      </c>
      <c r="K4" s="38" t="str">
        <f t="shared" ref="K4:K67" si="1">"*"&amp;IF(AND(A4="EU",J4=2035),0.63,IF(AND(A4="EU",J4=2050),0.54,IF(AND(A4="USA",J4=2035),0.64,IF(AND(A4="USA",J4=2050),0.54,IF(AND(A4="Japan",J4=2035),0.68,IF(AND(A4="Japan",J4=2050),0.58,IF(AND(A4="Russia",J4=2035),0.65,IF(AND(A4="Russia",J4=2050),0.54,IF(AND(A4="China",J4=2035),0.61,IF(AND(A4="China",J4=2050),0.49,IF(AND(A4="India",J4=2035),0.6,IF(AND(A4="India",J4=2050),0.49,IF(AND(A4="Middle East",J4=2035),0.6,IF(AND(A4="Middle East",J4=2050),0.5,IF(AND(A4="Africa",J4=2035),0.61,IF(AND(A4="Africa",J4=2050),0.5,IF(AND(A4="Brazil",J4=2035),0.64,IF(AND(A4="Brazil",J4=2050),0.54,""))))))))))))))))))</f>
        <v>*0.49</v>
      </c>
      <c r="P4" s="32" t="s">
        <v>56</v>
      </c>
      <c r="Q4" s="42" t="s">
        <v>57</v>
      </c>
      <c r="R4" s="32">
        <v>2035</v>
      </c>
      <c r="S4" s="43" t="str">
        <f t="shared" ref="S4:S67" si="2">"*"&amp;IF(AND(A4="EU",R4=2035),0.62,IF(AND(A4="EU",R4=2050),0.51,IF(AND(A4="USA",R4=2035),0.62,IF(AND(A4="USA",R4=2050),0.5,IF(AND(A4="Japan",R4=2035),0.65,IF(AND(A4="Japan",R4=2050),0.55,IF(AND(A4="Russia",R4=2035),0.63,IF(AND(A4="Russia",R4=2050),0.52,IF(AND(A4="China",R4=2035),0.59,IF(AND(A4="China",R4=2050),0.47,IF(AND(A4="India",R4=2035),0.58,IF(AND(A4="India",R4=2050),0.47,IF(AND(A4="Middle East",R4=2035),0.59,IF(AND(A4="Middle East",R4=2050),0.47,IF(AND(A4="Africa",R4=2035),0.58,IF(AND(A4="Africa",R4=2050),0.47,IF(AND(A4="Brazil",R4=2035),0.64,IF(AND(A4="Brazil",R4=2050),0.53,""))))))))))))))))))</f>
        <v>*0.58</v>
      </c>
      <c r="U4" s="32" t="s">
        <v>56</v>
      </c>
      <c r="V4" s="42" t="s">
        <v>57</v>
      </c>
      <c r="W4" s="32">
        <v>2050</v>
      </c>
      <c r="X4" s="43" t="str">
        <f t="shared" ref="X4:X67" si="3">"*"&amp;IF(AND(A4="EU",W4=2035),0.62,IF(AND(A4="EU",W4=2050),0.51,IF(AND(A4="USA",W4=2035),0.62,IF(AND(A4="USA",W4=2050),0.5,IF(AND(A4="Japan",W4=2035),0.65,IF(AND(A4="Japan",W4=2050),0.55,IF(AND(A4="Russia",W4=2035),0.63,IF(AND(A4="Russia",W4=2050),0.52,IF(AND(A4="China",W4=2035),0.59,IF(AND(A4="China",W4=2050),0.47,IF(AND(A4="India",W4=2035),0.58,IF(AND(A4="India",W4=2050),0.47,IF(AND(A4="Middle East",W4=2035),0.59,IF(AND(A4="Middle East",W4=2050),0.47,IF(AND(A4="Africa",W4=2035),0.58,IF(AND(A4="Africa",W4=2050),0.47,IF(AND(A4="Brazil",W4=2035),0.64,IF(AND(A4="Brazil",W4=2050),0.53,""))))))))))))))))))</f>
        <v>*0.47</v>
      </c>
      <c r="AC4" s="33" t="s">
        <v>56</v>
      </c>
      <c r="AD4" s="44" t="s">
        <v>57</v>
      </c>
      <c r="AE4" s="33">
        <v>2035</v>
      </c>
      <c r="AF4" s="45" t="str">
        <f t="shared" ref="AF4:AF67" si="4">"*"&amp;IF(AND(A4="EU",AE4=2035),0.58,IF(AND(A4="EU",AE4=2050),0.49,IF(AND(A4="USA",AE4=2035),0.56,IF(AND(A4="USA",AE4=2050),0.45,IF(AND(A4="Japan",AE4=2035),0.62,IF(AND(A4="Japan",AE4=2050),0.51,IF(AND(A4="Russia",AE4=2035),0.55,IF(AND(A4="Russia",AE4=2050),0.41,IF(AND(A4="China",AE4=2035),0.54,IF(AND(A4="China",AE4=2050),0.44,IF(AND(A4="India",AE4=2035),0.55,IF(AND(A4="India",AE4=2050),0.42,IF(AND(A4="Middle East",AE4=2035),0.53,IF(AND(A4="Middle East",AE4=2050),0.41,IF(AND(A4="Africa",AE4=2035),0.53,IF(AND(A4="Africa",AE4=2050),0.41,IF(AND(A4="Brazil",AE4=2035),0.6,IF(AND(A4="Brazil",AE4=2050),0.5,""))))))))))))))))))</f>
        <v>*0.55</v>
      </c>
      <c r="AG4" s="43" t="s">
        <v>58</v>
      </c>
      <c r="AI4" s="33" t="s">
        <v>56</v>
      </c>
      <c r="AJ4" s="44" t="s">
        <v>57</v>
      </c>
      <c r="AK4" s="33">
        <v>2050</v>
      </c>
      <c r="AL4" s="45" t="str">
        <f t="shared" ref="AL4:AL67" si="5">"*"&amp;IF(AND(A4="EU",AK4=2035),0.58,IF(AND(A4="EU",AK4=2050),0.49,IF(AND(A4="USA",AK4=2035),0.56,IF(AND(A4="USA",AK4=2050),0.45,IF(AND(A4="Japan",AK4=2035),0.62,IF(AND(A4="Japan",AK4=2050),0.51,IF(AND(A4="Russia",AK4=2035),0.55,IF(AND(A4="Russia",AK4=2050),0.41,IF(AND(A4="China",AK4=2035),0.54,IF(AND(A4="China",AK4=2050),0.44,IF(AND(A4="India",AK4=2035),0.55,IF(AND(A4="India",AK4=2050),0.42,IF(AND(A4="Middle East",AK4=2035),0.53,IF(AND(A4="Middle East",AK4=2050),0.41,IF(AND(A4="Africa",AK4=2035),0.53,IF(AND(A4="Africa",AK4=2050),0.41,IF(AND(A4="Brazil",AK4=2035),0.6,IF(AND(A4="Brazil",AK4=2050),0.5,""))))))))))))))))))</f>
        <v>*0.42</v>
      </c>
      <c r="AM4" s="43" t="s">
        <v>58</v>
      </c>
      <c r="AP4" t="s">
        <v>56</v>
      </c>
      <c r="AQ4" t="s">
        <v>57</v>
      </c>
      <c r="AR4">
        <v>2100</v>
      </c>
      <c r="AS4" t="s">
        <v>59</v>
      </c>
      <c r="AT4" t="s">
        <v>58</v>
      </c>
    </row>
    <row r="5" ht="29" spans="1:46">
      <c r="A5" s="31" t="s">
        <v>55</v>
      </c>
      <c r="C5" t="s">
        <v>60</v>
      </c>
      <c r="D5" s="5" t="s">
        <v>57</v>
      </c>
      <c r="E5">
        <v>2035</v>
      </c>
      <c r="F5" s="6" t="str">
        <f t="shared" si="0"/>
        <v>*0.6</v>
      </c>
      <c r="H5" t="s">
        <v>60</v>
      </c>
      <c r="I5" s="5" t="s">
        <v>57</v>
      </c>
      <c r="J5">
        <v>2050</v>
      </c>
      <c r="K5" s="38" t="str">
        <f t="shared" si="1"/>
        <v>*0.49</v>
      </c>
      <c r="P5" s="32" t="s">
        <v>60</v>
      </c>
      <c r="Q5" s="42" t="s">
        <v>57</v>
      </c>
      <c r="R5" s="32">
        <v>2035</v>
      </c>
      <c r="S5" s="43" t="str">
        <f t="shared" si="2"/>
        <v>*0.58</v>
      </c>
      <c r="U5" s="32" t="s">
        <v>60</v>
      </c>
      <c r="V5" s="42" t="s">
        <v>57</v>
      </c>
      <c r="W5" s="32">
        <v>2050</v>
      </c>
      <c r="X5" s="43" t="str">
        <f t="shared" si="3"/>
        <v>*0.47</v>
      </c>
      <c r="AC5" s="33" t="s">
        <v>60</v>
      </c>
      <c r="AD5" s="44" t="s">
        <v>57</v>
      </c>
      <c r="AE5" s="33">
        <v>2035</v>
      </c>
      <c r="AF5" s="45" t="str">
        <f t="shared" si="4"/>
        <v>*0.55</v>
      </c>
      <c r="AG5" s="43" t="str">
        <f t="shared" ref="AG5:AG8" si="6">AG4</f>
        <v>REZoning_Sol-Win</v>
      </c>
      <c r="AI5" s="33" t="s">
        <v>60</v>
      </c>
      <c r="AJ5" s="44" t="s">
        <v>57</v>
      </c>
      <c r="AK5" s="33">
        <v>2050</v>
      </c>
      <c r="AL5" s="45" t="str">
        <f t="shared" si="5"/>
        <v>*0.42</v>
      </c>
      <c r="AM5" s="43" t="str">
        <f t="shared" ref="AM5:AM8" si="7">AM4</f>
        <v>REZoning_Sol-Win</v>
      </c>
      <c r="AP5" t="s">
        <v>60</v>
      </c>
      <c r="AQ5" t="s">
        <v>57</v>
      </c>
      <c r="AR5">
        <v>2100</v>
      </c>
      <c r="AS5" t="s">
        <v>59</v>
      </c>
      <c r="AT5" t="s">
        <v>58</v>
      </c>
    </row>
    <row r="6" ht="29" spans="1:46">
      <c r="A6" s="31" t="s">
        <v>55</v>
      </c>
      <c r="C6" t="s">
        <v>61</v>
      </c>
      <c r="D6" s="5" t="s">
        <v>57</v>
      </c>
      <c r="E6">
        <v>2035</v>
      </c>
      <c r="F6" s="6" t="str">
        <f t="shared" si="0"/>
        <v>*0.6</v>
      </c>
      <c r="H6" t="s">
        <v>61</v>
      </c>
      <c r="I6" s="5" t="s">
        <v>57</v>
      </c>
      <c r="J6">
        <v>2050</v>
      </c>
      <c r="K6" s="38" t="str">
        <f t="shared" si="1"/>
        <v>*0.49</v>
      </c>
      <c r="P6" s="32" t="s">
        <v>61</v>
      </c>
      <c r="Q6" s="42" t="s">
        <v>57</v>
      </c>
      <c r="R6" s="32">
        <v>2035</v>
      </c>
      <c r="S6" s="43" t="str">
        <f t="shared" si="2"/>
        <v>*0.58</v>
      </c>
      <c r="U6" s="32" t="s">
        <v>61</v>
      </c>
      <c r="V6" s="42" t="s">
        <v>57</v>
      </c>
      <c r="W6" s="32">
        <v>2050</v>
      </c>
      <c r="X6" s="43" t="str">
        <f t="shared" si="3"/>
        <v>*0.47</v>
      </c>
      <c r="AC6" s="33" t="s">
        <v>61</v>
      </c>
      <c r="AD6" s="44" t="s">
        <v>57</v>
      </c>
      <c r="AE6" s="33">
        <v>2035</v>
      </c>
      <c r="AF6" s="45" t="str">
        <f t="shared" si="4"/>
        <v>*0.55</v>
      </c>
      <c r="AG6" s="43" t="str">
        <f t="shared" si="6"/>
        <v>REZoning_Sol-Win</v>
      </c>
      <c r="AI6" s="33" t="s">
        <v>61</v>
      </c>
      <c r="AJ6" s="44" t="s">
        <v>57</v>
      </c>
      <c r="AK6" s="33">
        <v>2050</v>
      </c>
      <c r="AL6" s="45" t="str">
        <f t="shared" si="5"/>
        <v>*0.42</v>
      </c>
      <c r="AM6" s="43" t="str">
        <f t="shared" si="7"/>
        <v>REZoning_Sol-Win</v>
      </c>
      <c r="AP6" t="s">
        <v>61</v>
      </c>
      <c r="AQ6" t="s">
        <v>57</v>
      </c>
      <c r="AR6">
        <v>2100</v>
      </c>
      <c r="AS6" t="s">
        <v>59</v>
      </c>
      <c r="AT6" t="s">
        <v>58</v>
      </c>
    </row>
    <row r="7" ht="29" spans="1:46">
      <c r="A7" s="31" t="s">
        <v>55</v>
      </c>
      <c r="C7" t="s">
        <v>62</v>
      </c>
      <c r="D7" s="5" t="s">
        <v>57</v>
      </c>
      <c r="E7">
        <v>2035</v>
      </c>
      <c r="F7" s="6" t="str">
        <f t="shared" si="0"/>
        <v>*0.6</v>
      </c>
      <c r="H7" t="s">
        <v>62</v>
      </c>
      <c r="I7" s="5" t="s">
        <v>57</v>
      </c>
      <c r="J7">
        <v>2050</v>
      </c>
      <c r="K7" s="38" t="str">
        <f t="shared" si="1"/>
        <v>*0.49</v>
      </c>
      <c r="P7" s="32" t="s">
        <v>62</v>
      </c>
      <c r="Q7" s="42" t="s">
        <v>57</v>
      </c>
      <c r="R7" s="32">
        <v>2035</v>
      </c>
      <c r="S7" s="43" t="str">
        <f t="shared" si="2"/>
        <v>*0.58</v>
      </c>
      <c r="U7" s="32" t="s">
        <v>62</v>
      </c>
      <c r="V7" s="42" t="s">
        <v>57</v>
      </c>
      <c r="W7" s="32">
        <v>2050</v>
      </c>
      <c r="X7" s="43" t="str">
        <f t="shared" si="3"/>
        <v>*0.47</v>
      </c>
      <c r="AC7" s="33" t="s">
        <v>62</v>
      </c>
      <c r="AD7" s="44" t="s">
        <v>57</v>
      </c>
      <c r="AE7" s="33">
        <v>2035</v>
      </c>
      <c r="AF7" s="45" t="str">
        <f t="shared" si="4"/>
        <v>*0.55</v>
      </c>
      <c r="AG7" s="43" t="str">
        <f t="shared" si="6"/>
        <v>REZoning_Sol-Win</v>
      </c>
      <c r="AI7" s="33" t="s">
        <v>62</v>
      </c>
      <c r="AJ7" s="44" t="s">
        <v>57</v>
      </c>
      <c r="AK7" s="33">
        <v>2050</v>
      </c>
      <c r="AL7" s="45" t="str">
        <f t="shared" si="5"/>
        <v>*0.42</v>
      </c>
      <c r="AM7" s="43" t="str">
        <f t="shared" si="7"/>
        <v>REZoning_Sol-Win</v>
      </c>
      <c r="AP7" t="s">
        <v>62</v>
      </c>
      <c r="AQ7" t="s">
        <v>57</v>
      </c>
      <c r="AR7">
        <v>2100</v>
      </c>
      <c r="AS7" t="s">
        <v>59</v>
      </c>
      <c r="AT7" t="s">
        <v>58</v>
      </c>
    </row>
    <row r="8" ht="29" spans="1:46">
      <c r="A8" s="31" t="s">
        <v>55</v>
      </c>
      <c r="C8" t="s">
        <v>63</v>
      </c>
      <c r="D8" s="5" t="s">
        <v>57</v>
      </c>
      <c r="E8">
        <v>2035</v>
      </c>
      <c r="F8" s="6" t="str">
        <f t="shared" si="0"/>
        <v>*0.6</v>
      </c>
      <c r="H8" t="s">
        <v>63</v>
      </c>
      <c r="I8" s="5" t="s">
        <v>57</v>
      </c>
      <c r="J8">
        <v>2050</v>
      </c>
      <c r="K8" s="38" t="str">
        <f t="shared" si="1"/>
        <v>*0.49</v>
      </c>
      <c r="P8" s="32" t="s">
        <v>63</v>
      </c>
      <c r="Q8" s="42" t="s">
        <v>57</v>
      </c>
      <c r="R8" s="32">
        <v>2035</v>
      </c>
      <c r="S8" s="43" t="str">
        <f t="shared" si="2"/>
        <v>*0.58</v>
      </c>
      <c r="U8" s="32" t="s">
        <v>63</v>
      </c>
      <c r="V8" s="42" t="s">
        <v>57</v>
      </c>
      <c r="W8" s="32">
        <v>2050</v>
      </c>
      <c r="X8" s="43" t="str">
        <f t="shared" si="3"/>
        <v>*0.47</v>
      </c>
      <c r="AC8" s="33" t="s">
        <v>63</v>
      </c>
      <c r="AD8" s="44" t="s">
        <v>57</v>
      </c>
      <c r="AE8" s="33">
        <v>2035</v>
      </c>
      <c r="AF8" s="45" t="str">
        <f t="shared" si="4"/>
        <v>*0.55</v>
      </c>
      <c r="AG8" s="43" t="str">
        <f t="shared" si="6"/>
        <v>REZoning_Sol-Win</v>
      </c>
      <c r="AI8" s="33" t="s">
        <v>63</v>
      </c>
      <c r="AJ8" s="44" t="s">
        <v>57</v>
      </c>
      <c r="AK8" s="33">
        <v>2050</v>
      </c>
      <c r="AL8" s="45" t="str">
        <f t="shared" si="5"/>
        <v>*0.42</v>
      </c>
      <c r="AM8" s="43" t="str">
        <f t="shared" si="7"/>
        <v>REZoning_Sol-Win</v>
      </c>
      <c r="AP8" t="s">
        <v>63</v>
      </c>
      <c r="AQ8" t="s">
        <v>57</v>
      </c>
      <c r="AR8">
        <v>2100</v>
      </c>
      <c r="AS8" t="s">
        <v>59</v>
      </c>
      <c r="AT8" t="s">
        <v>58</v>
      </c>
    </row>
    <row r="9" ht="29" spans="1:46">
      <c r="A9" s="31" t="s">
        <v>55</v>
      </c>
      <c r="C9" t="s">
        <v>64</v>
      </c>
      <c r="D9" s="5" t="s">
        <v>57</v>
      </c>
      <c r="E9">
        <v>2035</v>
      </c>
      <c r="F9" s="6" t="str">
        <f t="shared" si="0"/>
        <v>*0.6</v>
      </c>
      <c r="H9" t="s">
        <v>64</v>
      </c>
      <c r="I9" s="5" t="s">
        <v>57</v>
      </c>
      <c r="J9">
        <v>2050</v>
      </c>
      <c r="K9" s="38" t="str">
        <f t="shared" si="1"/>
        <v>*0.49</v>
      </c>
      <c r="P9" s="32" t="s">
        <v>64</v>
      </c>
      <c r="Q9" s="42" t="s">
        <v>57</v>
      </c>
      <c r="R9" s="32">
        <v>2035</v>
      </c>
      <c r="S9" s="43" t="str">
        <f t="shared" si="2"/>
        <v>*0.58</v>
      </c>
      <c r="U9" s="32" t="s">
        <v>64</v>
      </c>
      <c r="V9" s="42" t="s">
        <v>57</v>
      </c>
      <c r="W9" s="32">
        <v>2050</v>
      </c>
      <c r="X9" s="43" t="str">
        <f t="shared" si="3"/>
        <v>*0.47</v>
      </c>
      <c r="AC9" s="33" t="s">
        <v>64</v>
      </c>
      <c r="AD9" s="44" t="s">
        <v>57</v>
      </c>
      <c r="AE9" s="33">
        <v>2035</v>
      </c>
      <c r="AF9" s="45" t="str">
        <f t="shared" si="4"/>
        <v>*0.55</v>
      </c>
      <c r="AG9" s="43" t="str">
        <f t="shared" ref="AG9:AG72" si="8">AG8</f>
        <v>REZoning_Sol-Win</v>
      </c>
      <c r="AI9" s="33" t="s">
        <v>64</v>
      </c>
      <c r="AJ9" s="44" t="s">
        <v>57</v>
      </c>
      <c r="AK9" s="33">
        <v>2050</v>
      </c>
      <c r="AL9" s="45" t="str">
        <f t="shared" si="5"/>
        <v>*0.42</v>
      </c>
      <c r="AM9" s="43" t="str">
        <f t="shared" ref="AM9:AM72" si="9">AM8</f>
        <v>REZoning_Sol-Win</v>
      </c>
      <c r="AP9" t="s">
        <v>64</v>
      </c>
      <c r="AQ9" t="s">
        <v>57</v>
      </c>
      <c r="AR9">
        <v>2100</v>
      </c>
      <c r="AS9" t="s">
        <v>59</v>
      </c>
      <c r="AT9" t="s">
        <v>58</v>
      </c>
    </row>
    <row r="10" ht="29" spans="1:46">
      <c r="A10" s="31" t="s">
        <v>65</v>
      </c>
      <c r="C10" t="s">
        <v>66</v>
      </c>
      <c r="D10" s="5" t="s">
        <v>57</v>
      </c>
      <c r="E10">
        <v>2035</v>
      </c>
      <c r="F10" s="6" t="str">
        <f t="shared" si="0"/>
        <v>*0.61</v>
      </c>
      <c r="H10" t="s">
        <v>66</v>
      </c>
      <c r="I10" s="5" t="s">
        <v>57</v>
      </c>
      <c r="J10">
        <v>2050</v>
      </c>
      <c r="K10" s="38" t="str">
        <f t="shared" si="1"/>
        <v>*0.5</v>
      </c>
      <c r="P10" s="32" t="s">
        <v>66</v>
      </c>
      <c r="Q10" s="42" t="s">
        <v>57</v>
      </c>
      <c r="R10" s="32">
        <v>2035</v>
      </c>
      <c r="S10" s="43" t="str">
        <f t="shared" si="2"/>
        <v>*0.58</v>
      </c>
      <c r="U10" s="32" t="s">
        <v>66</v>
      </c>
      <c r="V10" s="42" t="s">
        <v>57</v>
      </c>
      <c r="W10" s="32">
        <v>2050</v>
      </c>
      <c r="X10" s="43" t="str">
        <f t="shared" si="3"/>
        <v>*0.47</v>
      </c>
      <c r="AC10" s="33" t="s">
        <v>66</v>
      </c>
      <c r="AD10" s="44" t="s">
        <v>57</v>
      </c>
      <c r="AE10" s="33">
        <v>2035</v>
      </c>
      <c r="AF10" s="45" t="str">
        <f t="shared" si="4"/>
        <v>*0.53</v>
      </c>
      <c r="AG10" s="43" t="str">
        <f t="shared" si="8"/>
        <v>REZoning_Sol-Win</v>
      </c>
      <c r="AI10" s="33" t="s">
        <v>66</v>
      </c>
      <c r="AJ10" s="44" t="s">
        <v>57</v>
      </c>
      <c r="AK10" s="33">
        <v>2050</v>
      </c>
      <c r="AL10" s="45" t="str">
        <f t="shared" si="5"/>
        <v>*0.41</v>
      </c>
      <c r="AM10" s="43" t="str">
        <f t="shared" si="9"/>
        <v>REZoning_Sol-Win</v>
      </c>
      <c r="AP10" t="s">
        <v>66</v>
      </c>
      <c r="AQ10" t="s">
        <v>57</v>
      </c>
      <c r="AR10">
        <v>2100</v>
      </c>
      <c r="AS10" t="s">
        <v>67</v>
      </c>
      <c r="AT10" t="s">
        <v>58</v>
      </c>
    </row>
    <row r="11" ht="29" spans="1:46">
      <c r="A11" s="31" t="s">
        <v>65</v>
      </c>
      <c r="C11" t="s">
        <v>68</v>
      </c>
      <c r="D11" s="5" t="s">
        <v>57</v>
      </c>
      <c r="E11">
        <v>2035</v>
      </c>
      <c r="F11" s="6" t="str">
        <f t="shared" si="0"/>
        <v>*0.61</v>
      </c>
      <c r="H11" t="s">
        <v>68</v>
      </c>
      <c r="I11" s="5" t="s">
        <v>57</v>
      </c>
      <c r="J11">
        <v>2050</v>
      </c>
      <c r="K11" s="38" t="str">
        <f t="shared" si="1"/>
        <v>*0.5</v>
      </c>
      <c r="P11" s="32" t="s">
        <v>68</v>
      </c>
      <c r="Q11" s="42" t="s">
        <v>57</v>
      </c>
      <c r="R11" s="32">
        <v>2035</v>
      </c>
      <c r="S11" s="43" t="str">
        <f t="shared" si="2"/>
        <v>*0.58</v>
      </c>
      <c r="U11" s="32" t="s">
        <v>68</v>
      </c>
      <c r="V11" s="42" t="s">
        <v>57</v>
      </c>
      <c r="W11" s="32">
        <v>2050</v>
      </c>
      <c r="X11" s="43" t="str">
        <f t="shared" si="3"/>
        <v>*0.47</v>
      </c>
      <c r="AC11" s="33" t="s">
        <v>68</v>
      </c>
      <c r="AD11" s="44" t="s">
        <v>57</v>
      </c>
      <c r="AE11" s="33">
        <v>2035</v>
      </c>
      <c r="AF11" s="45" t="str">
        <f t="shared" si="4"/>
        <v>*0.53</v>
      </c>
      <c r="AG11" s="43" t="str">
        <f t="shared" si="8"/>
        <v>REZoning_Sol-Win</v>
      </c>
      <c r="AI11" s="33" t="s">
        <v>68</v>
      </c>
      <c r="AJ11" s="44" t="s">
        <v>57</v>
      </c>
      <c r="AK11" s="33">
        <v>2050</v>
      </c>
      <c r="AL11" s="45" t="str">
        <f t="shared" si="5"/>
        <v>*0.41</v>
      </c>
      <c r="AM11" s="43" t="str">
        <f t="shared" si="9"/>
        <v>REZoning_Sol-Win</v>
      </c>
      <c r="AP11" t="s">
        <v>68</v>
      </c>
      <c r="AQ11" t="s">
        <v>57</v>
      </c>
      <c r="AR11">
        <v>2100</v>
      </c>
      <c r="AS11" t="s">
        <v>67</v>
      </c>
      <c r="AT11" t="s">
        <v>58</v>
      </c>
    </row>
    <row r="12" ht="29" spans="1:46">
      <c r="A12" s="31" t="s">
        <v>65</v>
      </c>
      <c r="C12" t="s">
        <v>69</v>
      </c>
      <c r="D12" s="5" t="s">
        <v>57</v>
      </c>
      <c r="E12">
        <v>2035</v>
      </c>
      <c r="F12" s="6" t="str">
        <f t="shared" si="0"/>
        <v>*0.61</v>
      </c>
      <c r="H12" t="s">
        <v>69</v>
      </c>
      <c r="I12" s="5" t="s">
        <v>57</v>
      </c>
      <c r="J12">
        <v>2050</v>
      </c>
      <c r="K12" s="38" t="str">
        <f t="shared" si="1"/>
        <v>*0.5</v>
      </c>
      <c r="P12" s="32" t="s">
        <v>69</v>
      </c>
      <c r="Q12" s="42" t="s">
        <v>57</v>
      </c>
      <c r="R12" s="32">
        <v>2035</v>
      </c>
      <c r="S12" s="43" t="str">
        <f t="shared" si="2"/>
        <v>*0.58</v>
      </c>
      <c r="U12" s="32" t="s">
        <v>69</v>
      </c>
      <c r="V12" s="42" t="s">
        <v>57</v>
      </c>
      <c r="W12" s="32">
        <v>2050</v>
      </c>
      <c r="X12" s="43" t="str">
        <f t="shared" si="3"/>
        <v>*0.47</v>
      </c>
      <c r="AC12" s="33" t="s">
        <v>69</v>
      </c>
      <c r="AD12" s="44" t="s">
        <v>57</v>
      </c>
      <c r="AE12" s="33">
        <v>2035</v>
      </c>
      <c r="AF12" s="45" t="str">
        <f t="shared" si="4"/>
        <v>*0.53</v>
      </c>
      <c r="AG12" s="43" t="str">
        <f t="shared" si="8"/>
        <v>REZoning_Sol-Win</v>
      </c>
      <c r="AI12" s="33" t="s">
        <v>69</v>
      </c>
      <c r="AJ12" s="44" t="s">
        <v>57</v>
      </c>
      <c r="AK12" s="33">
        <v>2050</v>
      </c>
      <c r="AL12" s="45" t="str">
        <f t="shared" si="5"/>
        <v>*0.41</v>
      </c>
      <c r="AM12" s="43" t="str">
        <f t="shared" si="9"/>
        <v>REZoning_Sol-Win</v>
      </c>
      <c r="AP12" t="s">
        <v>69</v>
      </c>
      <c r="AQ12" t="s">
        <v>57</v>
      </c>
      <c r="AR12">
        <v>2100</v>
      </c>
      <c r="AS12" t="s">
        <v>67</v>
      </c>
      <c r="AT12" t="s">
        <v>58</v>
      </c>
    </row>
    <row r="13" ht="29" spans="1:46">
      <c r="A13" s="31" t="s">
        <v>65</v>
      </c>
      <c r="C13" t="s">
        <v>70</v>
      </c>
      <c r="D13" s="5" t="s">
        <v>57</v>
      </c>
      <c r="E13">
        <v>2035</v>
      </c>
      <c r="F13" s="6" t="str">
        <f t="shared" si="0"/>
        <v>*0.61</v>
      </c>
      <c r="H13" t="s">
        <v>70</v>
      </c>
      <c r="I13" s="5" t="s">
        <v>57</v>
      </c>
      <c r="J13">
        <v>2050</v>
      </c>
      <c r="K13" s="38" t="str">
        <f t="shared" si="1"/>
        <v>*0.5</v>
      </c>
      <c r="P13" s="32" t="s">
        <v>70</v>
      </c>
      <c r="Q13" s="42" t="s">
        <v>57</v>
      </c>
      <c r="R13" s="32">
        <v>2035</v>
      </c>
      <c r="S13" s="43" t="str">
        <f t="shared" si="2"/>
        <v>*0.58</v>
      </c>
      <c r="U13" s="32" t="s">
        <v>70</v>
      </c>
      <c r="V13" s="42" t="s">
        <v>57</v>
      </c>
      <c r="W13" s="32">
        <v>2050</v>
      </c>
      <c r="X13" s="43" t="str">
        <f t="shared" si="3"/>
        <v>*0.47</v>
      </c>
      <c r="AC13" s="33" t="s">
        <v>70</v>
      </c>
      <c r="AD13" s="44" t="s">
        <v>57</v>
      </c>
      <c r="AE13" s="33">
        <v>2035</v>
      </c>
      <c r="AF13" s="45" t="str">
        <f t="shared" si="4"/>
        <v>*0.53</v>
      </c>
      <c r="AG13" s="43" t="str">
        <f t="shared" si="8"/>
        <v>REZoning_Sol-Win</v>
      </c>
      <c r="AI13" s="33" t="s">
        <v>70</v>
      </c>
      <c r="AJ13" s="44" t="s">
        <v>57</v>
      </c>
      <c r="AK13" s="33">
        <v>2050</v>
      </c>
      <c r="AL13" s="45" t="str">
        <f t="shared" si="5"/>
        <v>*0.41</v>
      </c>
      <c r="AM13" s="43" t="str">
        <f t="shared" si="9"/>
        <v>REZoning_Sol-Win</v>
      </c>
      <c r="AP13" t="s">
        <v>70</v>
      </c>
      <c r="AQ13" t="s">
        <v>57</v>
      </c>
      <c r="AR13">
        <v>2100</v>
      </c>
      <c r="AS13" t="s">
        <v>67</v>
      </c>
      <c r="AT13" t="s">
        <v>58</v>
      </c>
    </row>
    <row r="14" ht="29" spans="1:46">
      <c r="A14" s="31" t="s">
        <v>65</v>
      </c>
      <c r="C14" t="s">
        <v>71</v>
      </c>
      <c r="D14" s="5" t="s">
        <v>57</v>
      </c>
      <c r="E14">
        <v>2035</v>
      </c>
      <c r="F14" s="6" t="str">
        <f t="shared" si="0"/>
        <v>*0.61</v>
      </c>
      <c r="H14" t="s">
        <v>71</v>
      </c>
      <c r="I14" s="5" t="s">
        <v>57</v>
      </c>
      <c r="J14">
        <v>2050</v>
      </c>
      <c r="K14" s="38" t="str">
        <f t="shared" si="1"/>
        <v>*0.5</v>
      </c>
      <c r="P14" s="32" t="s">
        <v>71</v>
      </c>
      <c r="Q14" s="42" t="s">
        <v>57</v>
      </c>
      <c r="R14" s="32">
        <v>2035</v>
      </c>
      <c r="S14" s="43" t="str">
        <f t="shared" si="2"/>
        <v>*0.58</v>
      </c>
      <c r="U14" s="32" t="s">
        <v>71</v>
      </c>
      <c r="V14" s="42" t="s">
        <v>57</v>
      </c>
      <c r="W14" s="32">
        <v>2050</v>
      </c>
      <c r="X14" s="43" t="str">
        <f t="shared" si="3"/>
        <v>*0.47</v>
      </c>
      <c r="AC14" s="33" t="s">
        <v>71</v>
      </c>
      <c r="AD14" s="44" t="s">
        <v>57</v>
      </c>
      <c r="AE14" s="33">
        <v>2035</v>
      </c>
      <c r="AF14" s="45" t="str">
        <f t="shared" si="4"/>
        <v>*0.53</v>
      </c>
      <c r="AG14" s="43" t="str">
        <f t="shared" si="8"/>
        <v>REZoning_Sol-Win</v>
      </c>
      <c r="AI14" s="33" t="s">
        <v>71</v>
      </c>
      <c r="AJ14" s="44" t="s">
        <v>57</v>
      </c>
      <c r="AK14" s="33">
        <v>2050</v>
      </c>
      <c r="AL14" s="45" t="str">
        <f t="shared" si="5"/>
        <v>*0.41</v>
      </c>
      <c r="AM14" s="43" t="str">
        <f t="shared" si="9"/>
        <v>REZoning_Sol-Win</v>
      </c>
      <c r="AP14" t="s">
        <v>71</v>
      </c>
      <c r="AQ14" t="s">
        <v>57</v>
      </c>
      <c r="AR14">
        <v>2100</v>
      </c>
      <c r="AS14" t="s">
        <v>67</v>
      </c>
      <c r="AT14" t="s">
        <v>58</v>
      </c>
    </row>
    <row r="15" ht="29" spans="1:46">
      <c r="A15" s="31" t="s">
        <v>65</v>
      </c>
      <c r="C15" t="s">
        <v>72</v>
      </c>
      <c r="D15" s="5" t="s">
        <v>57</v>
      </c>
      <c r="E15">
        <v>2035</v>
      </c>
      <c r="F15" s="6" t="str">
        <f t="shared" si="0"/>
        <v>*0.61</v>
      </c>
      <c r="H15" t="s">
        <v>72</v>
      </c>
      <c r="I15" s="5" t="s">
        <v>57</v>
      </c>
      <c r="J15">
        <v>2050</v>
      </c>
      <c r="K15" s="38" t="str">
        <f t="shared" si="1"/>
        <v>*0.5</v>
      </c>
      <c r="P15" s="32" t="s">
        <v>72</v>
      </c>
      <c r="Q15" s="42" t="s">
        <v>57</v>
      </c>
      <c r="R15" s="32">
        <v>2035</v>
      </c>
      <c r="S15" s="43" t="str">
        <f t="shared" si="2"/>
        <v>*0.58</v>
      </c>
      <c r="U15" s="32" t="s">
        <v>72</v>
      </c>
      <c r="V15" s="42" t="s">
        <v>57</v>
      </c>
      <c r="W15" s="32">
        <v>2050</v>
      </c>
      <c r="X15" s="43" t="str">
        <f t="shared" si="3"/>
        <v>*0.47</v>
      </c>
      <c r="AC15" s="33" t="s">
        <v>72</v>
      </c>
      <c r="AD15" s="44" t="s">
        <v>57</v>
      </c>
      <c r="AE15" s="33">
        <v>2035</v>
      </c>
      <c r="AF15" s="45" t="str">
        <f t="shared" si="4"/>
        <v>*0.53</v>
      </c>
      <c r="AG15" s="43" t="str">
        <f t="shared" si="8"/>
        <v>REZoning_Sol-Win</v>
      </c>
      <c r="AI15" s="33" t="s">
        <v>72</v>
      </c>
      <c r="AJ15" s="44" t="s">
        <v>57</v>
      </c>
      <c r="AK15" s="33">
        <v>2050</v>
      </c>
      <c r="AL15" s="45" t="str">
        <f t="shared" si="5"/>
        <v>*0.41</v>
      </c>
      <c r="AM15" s="43" t="str">
        <f t="shared" si="9"/>
        <v>REZoning_Sol-Win</v>
      </c>
      <c r="AP15" t="s">
        <v>72</v>
      </c>
      <c r="AQ15" t="s">
        <v>57</v>
      </c>
      <c r="AR15">
        <v>2100</v>
      </c>
      <c r="AS15" t="s">
        <v>67</v>
      </c>
      <c r="AT15" t="s">
        <v>58</v>
      </c>
    </row>
    <row r="16" ht="29" spans="1:46">
      <c r="A16" s="31" t="s">
        <v>73</v>
      </c>
      <c r="C16" t="s">
        <v>74</v>
      </c>
      <c r="D16" s="5" t="s">
        <v>57</v>
      </c>
      <c r="E16">
        <v>2035</v>
      </c>
      <c r="F16" s="6" t="str">
        <f t="shared" si="0"/>
        <v>*0.63</v>
      </c>
      <c r="H16" t="s">
        <v>74</v>
      </c>
      <c r="I16" s="5" t="s">
        <v>57</v>
      </c>
      <c r="J16">
        <v>2050</v>
      </c>
      <c r="K16" s="38" t="str">
        <f t="shared" si="1"/>
        <v>*0.54</v>
      </c>
      <c r="P16" s="32" t="s">
        <v>74</v>
      </c>
      <c r="Q16" s="42" t="s">
        <v>57</v>
      </c>
      <c r="R16" s="32">
        <v>2035</v>
      </c>
      <c r="S16" s="43" t="str">
        <f t="shared" si="2"/>
        <v>*0.62</v>
      </c>
      <c r="U16" s="32" t="s">
        <v>74</v>
      </c>
      <c r="V16" s="42" t="s">
        <v>57</v>
      </c>
      <c r="W16" s="32">
        <v>2050</v>
      </c>
      <c r="X16" s="43" t="str">
        <f t="shared" si="3"/>
        <v>*0.51</v>
      </c>
      <c r="AC16" s="33" t="s">
        <v>74</v>
      </c>
      <c r="AD16" s="44" t="s">
        <v>57</v>
      </c>
      <c r="AE16" s="33">
        <v>2035</v>
      </c>
      <c r="AF16" s="45" t="str">
        <f t="shared" si="4"/>
        <v>*0.58</v>
      </c>
      <c r="AG16" s="43" t="str">
        <f t="shared" si="8"/>
        <v>REZoning_Sol-Win</v>
      </c>
      <c r="AI16" s="33" t="s">
        <v>74</v>
      </c>
      <c r="AJ16" s="44" t="s">
        <v>57</v>
      </c>
      <c r="AK16" s="33">
        <v>2050</v>
      </c>
      <c r="AL16" s="45" t="str">
        <f t="shared" si="5"/>
        <v>*0.49</v>
      </c>
      <c r="AM16" s="43" t="str">
        <f t="shared" si="9"/>
        <v>REZoning_Sol-Win</v>
      </c>
      <c r="AP16" t="s">
        <v>74</v>
      </c>
      <c r="AQ16" t="s">
        <v>57</v>
      </c>
      <c r="AR16">
        <v>2100</v>
      </c>
      <c r="AS16" t="s">
        <v>75</v>
      </c>
      <c r="AT16" t="s">
        <v>58</v>
      </c>
    </row>
    <row r="17" ht="29" spans="1:46">
      <c r="A17" s="31" t="s">
        <v>73</v>
      </c>
      <c r="C17" t="s">
        <v>76</v>
      </c>
      <c r="D17" s="5" t="s">
        <v>57</v>
      </c>
      <c r="E17">
        <v>2035</v>
      </c>
      <c r="F17" s="6" t="str">
        <f t="shared" si="0"/>
        <v>*0.63</v>
      </c>
      <c r="H17" t="s">
        <v>76</v>
      </c>
      <c r="I17" s="5" t="s">
        <v>57</v>
      </c>
      <c r="J17">
        <v>2050</v>
      </c>
      <c r="K17" s="38" t="str">
        <f t="shared" si="1"/>
        <v>*0.54</v>
      </c>
      <c r="P17" s="32" t="s">
        <v>76</v>
      </c>
      <c r="Q17" s="42" t="s">
        <v>57</v>
      </c>
      <c r="R17" s="32">
        <v>2035</v>
      </c>
      <c r="S17" s="43" t="str">
        <f t="shared" si="2"/>
        <v>*0.62</v>
      </c>
      <c r="U17" s="32" t="s">
        <v>76</v>
      </c>
      <c r="V17" s="42" t="s">
        <v>57</v>
      </c>
      <c r="W17" s="32">
        <v>2050</v>
      </c>
      <c r="X17" s="43" t="str">
        <f t="shared" si="3"/>
        <v>*0.51</v>
      </c>
      <c r="AC17" s="33" t="s">
        <v>76</v>
      </c>
      <c r="AD17" s="44" t="s">
        <v>57</v>
      </c>
      <c r="AE17" s="33">
        <v>2035</v>
      </c>
      <c r="AF17" s="45" t="str">
        <f t="shared" si="4"/>
        <v>*0.58</v>
      </c>
      <c r="AG17" s="43" t="str">
        <f t="shared" si="8"/>
        <v>REZoning_Sol-Win</v>
      </c>
      <c r="AI17" s="33" t="s">
        <v>76</v>
      </c>
      <c r="AJ17" s="44" t="s">
        <v>57</v>
      </c>
      <c r="AK17" s="33">
        <v>2050</v>
      </c>
      <c r="AL17" s="45" t="str">
        <f t="shared" si="5"/>
        <v>*0.49</v>
      </c>
      <c r="AM17" s="43" t="str">
        <f t="shared" si="9"/>
        <v>REZoning_Sol-Win</v>
      </c>
      <c r="AP17" t="s">
        <v>76</v>
      </c>
      <c r="AQ17" t="s">
        <v>57</v>
      </c>
      <c r="AR17">
        <v>2100</v>
      </c>
      <c r="AS17" t="s">
        <v>75</v>
      </c>
      <c r="AT17" t="s">
        <v>58</v>
      </c>
    </row>
    <row r="18" ht="29" spans="1:46">
      <c r="A18" s="31" t="s">
        <v>73</v>
      </c>
      <c r="C18" t="s">
        <v>77</v>
      </c>
      <c r="D18" s="5" t="s">
        <v>57</v>
      </c>
      <c r="E18">
        <v>2035</v>
      </c>
      <c r="F18" s="6" t="str">
        <f t="shared" si="0"/>
        <v>*0.63</v>
      </c>
      <c r="H18" t="s">
        <v>77</v>
      </c>
      <c r="I18" s="5" t="s">
        <v>57</v>
      </c>
      <c r="J18">
        <v>2050</v>
      </c>
      <c r="K18" s="38" t="str">
        <f t="shared" si="1"/>
        <v>*0.54</v>
      </c>
      <c r="P18" s="32" t="s">
        <v>77</v>
      </c>
      <c r="Q18" s="42" t="s">
        <v>57</v>
      </c>
      <c r="R18" s="32">
        <v>2035</v>
      </c>
      <c r="S18" s="43" t="str">
        <f t="shared" si="2"/>
        <v>*0.62</v>
      </c>
      <c r="U18" s="32" t="s">
        <v>77</v>
      </c>
      <c r="V18" s="42" t="s">
        <v>57</v>
      </c>
      <c r="W18" s="32">
        <v>2050</v>
      </c>
      <c r="X18" s="43" t="str">
        <f t="shared" si="3"/>
        <v>*0.51</v>
      </c>
      <c r="AC18" s="33" t="s">
        <v>77</v>
      </c>
      <c r="AD18" s="44" t="s">
        <v>57</v>
      </c>
      <c r="AE18" s="33">
        <v>2035</v>
      </c>
      <c r="AF18" s="45" t="str">
        <f t="shared" si="4"/>
        <v>*0.58</v>
      </c>
      <c r="AG18" s="43" t="str">
        <f t="shared" si="8"/>
        <v>REZoning_Sol-Win</v>
      </c>
      <c r="AI18" s="33" t="s">
        <v>77</v>
      </c>
      <c r="AJ18" s="44" t="s">
        <v>57</v>
      </c>
      <c r="AK18" s="33">
        <v>2050</v>
      </c>
      <c r="AL18" s="45" t="str">
        <f t="shared" si="5"/>
        <v>*0.49</v>
      </c>
      <c r="AM18" s="43" t="str">
        <f t="shared" si="9"/>
        <v>REZoning_Sol-Win</v>
      </c>
      <c r="AP18" t="s">
        <v>77</v>
      </c>
      <c r="AQ18" t="s">
        <v>57</v>
      </c>
      <c r="AR18">
        <v>2100</v>
      </c>
      <c r="AS18" t="s">
        <v>75</v>
      </c>
      <c r="AT18" t="s">
        <v>58</v>
      </c>
    </row>
    <row r="19" ht="29" spans="1:46">
      <c r="A19" s="31" t="s">
        <v>73</v>
      </c>
      <c r="C19" t="s">
        <v>78</v>
      </c>
      <c r="D19" s="5" t="s">
        <v>57</v>
      </c>
      <c r="E19">
        <v>2035</v>
      </c>
      <c r="F19" s="6" t="str">
        <f t="shared" si="0"/>
        <v>*0.63</v>
      </c>
      <c r="H19" t="s">
        <v>78</v>
      </c>
      <c r="I19" s="5" t="s">
        <v>57</v>
      </c>
      <c r="J19">
        <v>2050</v>
      </c>
      <c r="K19" s="38" t="str">
        <f t="shared" si="1"/>
        <v>*0.54</v>
      </c>
      <c r="P19" s="32" t="s">
        <v>78</v>
      </c>
      <c r="Q19" s="42" t="s">
        <v>57</v>
      </c>
      <c r="R19" s="32">
        <v>2035</v>
      </c>
      <c r="S19" s="43" t="str">
        <f t="shared" si="2"/>
        <v>*0.62</v>
      </c>
      <c r="U19" s="32" t="s">
        <v>78</v>
      </c>
      <c r="V19" s="42" t="s">
        <v>57</v>
      </c>
      <c r="W19" s="32">
        <v>2050</v>
      </c>
      <c r="X19" s="43" t="str">
        <f t="shared" si="3"/>
        <v>*0.51</v>
      </c>
      <c r="AC19" s="33" t="s">
        <v>78</v>
      </c>
      <c r="AD19" s="44" t="s">
        <v>57</v>
      </c>
      <c r="AE19" s="33">
        <v>2035</v>
      </c>
      <c r="AF19" s="45" t="str">
        <f t="shared" si="4"/>
        <v>*0.58</v>
      </c>
      <c r="AG19" s="43" t="str">
        <f t="shared" si="8"/>
        <v>REZoning_Sol-Win</v>
      </c>
      <c r="AI19" s="33" t="s">
        <v>78</v>
      </c>
      <c r="AJ19" s="44" t="s">
        <v>57</v>
      </c>
      <c r="AK19" s="33">
        <v>2050</v>
      </c>
      <c r="AL19" s="45" t="str">
        <f t="shared" si="5"/>
        <v>*0.49</v>
      </c>
      <c r="AM19" s="43" t="str">
        <f t="shared" si="9"/>
        <v>REZoning_Sol-Win</v>
      </c>
      <c r="AP19" t="s">
        <v>78</v>
      </c>
      <c r="AQ19" t="s">
        <v>57</v>
      </c>
      <c r="AR19">
        <v>2100</v>
      </c>
      <c r="AS19" t="s">
        <v>75</v>
      </c>
      <c r="AT19" t="s">
        <v>58</v>
      </c>
    </row>
    <row r="20" ht="29" spans="1:46">
      <c r="A20" s="31" t="s">
        <v>79</v>
      </c>
      <c r="C20" t="s">
        <v>80</v>
      </c>
      <c r="D20" s="5" t="s">
        <v>57</v>
      </c>
      <c r="E20">
        <v>2035</v>
      </c>
      <c r="F20" s="6" t="str">
        <f t="shared" si="0"/>
        <v>*0.6</v>
      </c>
      <c r="H20" t="s">
        <v>80</v>
      </c>
      <c r="I20" s="5" t="s">
        <v>57</v>
      </c>
      <c r="J20">
        <v>2050</v>
      </c>
      <c r="K20" s="38" t="str">
        <f t="shared" si="1"/>
        <v>*0.5</v>
      </c>
      <c r="P20" s="32" t="s">
        <v>80</v>
      </c>
      <c r="Q20" s="42" t="s">
        <v>57</v>
      </c>
      <c r="R20" s="32">
        <v>2035</v>
      </c>
      <c r="S20" s="43" t="str">
        <f t="shared" si="2"/>
        <v>*0.59</v>
      </c>
      <c r="U20" s="32" t="s">
        <v>80</v>
      </c>
      <c r="V20" s="42" t="s">
        <v>57</v>
      </c>
      <c r="W20" s="32">
        <v>2050</v>
      </c>
      <c r="X20" s="43" t="str">
        <f t="shared" si="3"/>
        <v>*0.47</v>
      </c>
      <c r="AC20" s="33" t="s">
        <v>80</v>
      </c>
      <c r="AD20" s="44" t="s">
        <v>57</v>
      </c>
      <c r="AE20" s="33">
        <v>2035</v>
      </c>
      <c r="AF20" s="45" t="str">
        <f t="shared" si="4"/>
        <v>*0.53</v>
      </c>
      <c r="AG20" s="43" t="str">
        <f t="shared" si="8"/>
        <v>REZoning_Sol-Win</v>
      </c>
      <c r="AI20" s="33" t="s">
        <v>80</v>
      </c>
      <c r="AJ20" s="44" t="s">
        <v>57</v>
      </c>
      <c r="AK20" s="33">
        <v>2050</v>
      </c>
      <c r="AL20" s="45" t="str">
        <f t="shared" si="5"/>
        <v>*0.41</v>
      </c>
      <c r="AM20" s="43" t="str">
        <f t="shared" si="9"/>
        <v>REZoning_Sol-Win</v>
      </c>
      <c r="AP20" t="s">
        <v>80</v>
      </c>
      <c r="AQ20" t="s">
        <v>57</v>
      </c>
      <c r="AR20">
        <v>2100</v>
      </c>
      <c r="AS20" t="s">
        <v>67</v>
      </c>
      <c r="AT20" t="s">
        <v>58</v>
      </c>
    </row>
    <row r="21" ht="29" spans="1:46">
      <c r="A21" s="31" t="s">
        <v>79</v>
      </c>
      <c r="C21" t="s">
        <v>81</v>
      </c>
      <c r="D21" s="5" t="s">
        <v>57</v>
      </c>
      <c r="E21">
        <v>2035</v>
      </c>
      <c r="F21" s="6" t="str">
        <f t="shared" si="0"/>
        <v>*0.6</v>
      </c>
      <c r="H21" t="s">
        <v>81</v>
      </c>
      <c r="I21" s="5" t="s">
        <v>57</v>
      </c>
      <c r="J21">
        <v>2050</v>
      </c>
      <c r="K21" s="38" t="str">
        <f t="shared" si="1"/>
        <v>*0.5</v>
      </c>
      <c r="P21" s="32" t="s">
        <v>81</v>
      </c>
      <c r="Q21" s="42" t="s">
        <v>57</v>
      </c>
      <c r="R21" s="32">
        <v>2035</v>
      </c>
      <c r="S21" s="43" t="str">
        <f t="shared" si="2"/>
        <v>*0.59</v>
      </c>
      <c r="U21" s="32" t="s">
        <v>81</v>
      </c>
      <c r="V21" s="42" t="s">
        <v>57</v>
      </c>
      <c r="W21" s="32">
        <v>2050</v>
      </c>
      <c r="X21" s="43" t="str">
        <f t="shared" si="3"/>
        <v>*0.47</v>
      </c>
      <c r="AC21" s="33" t="s">
        <v>81</v>
      </c>
      <c r="AD21" s="44" t="s">
        <v>57</v>
      </c>
      <c r="AE21" s="33">
        <v>2035</v>
      </c>
      <c r="AF21" s="45" t="str">
        <f t="shared" si="4"/>
        <v>*0.53</v>
      </c>
      <c r="AG21" s="43" t="str">
        <f t="shared" si="8"/>
        <v>REZoning_Sol-Win</v>
      </c>
      <c r="AI21" s="33" t="s">
        <v>81</v>
      </c>
      <c r="AJ21" s="44" t="s">
        <v>57</v>
      </c>
      <c r="AK21" s="33">
        <v>2050</v>
      </c>
      <c r="AL21" s="45" t="str">
        <f t="shared" si="5"/>
        <v>*0.41</v>
      </c>
      <c r="AM21" s="43" t="str">
        <f t="shared" si="9"/>
        <v>REZoning_Sol-Win</v>
      </c>
      <c r="AP21" t="s">
        <v>81</v>
      </c>
      <c r="AQ21" t="s">
        <v>57</v>
      </c>
      <c r="AR21">
        <v>2100</v>
      </c>
      <c r="AS21" t="s">
        <v>67</v>
      </c>
      <c r="AT21" t="s">
        <v>58</v>
      </c>
    </row>
    <row r="22" ht="29" spans="1:46">
      <c r="A22" s="31" t="s">
        <v>79</v>
      </c>
      <c r="C22" t="s">
        <v>82</v>
      </c>
      <c r="D22" s="5" t="s">
        <v>57</v>
      </c>
      <c r="E22">
        <v>2035</v>
      </c>
      <c r="F22" s="6" t="str">
        <f t="shared" si="0"/>
        <v>*0.6</v>
      </c>
      <c r="H22" t="s">
        <v>82</v>
      </c>
      <c r="I22" s="5" t="s">
        <v>57</v>
      </c>
      <c r="J22">
        <v>2050</v>
      </c>
      <c r="K22" s="38" t="str">
        <f t="shared" si="1"/>
        <v>*0.5</v>
      </c>
      <c r="P22" s="32" t="s">
        <v>82</v>
      </c>
      <c r="Q22" s="42" t="s">
        <v>57</v>
      </c>
      <c r="R22" s="32">
        <v>2035</v>
      </c>
      <c r="S22" s="43" t="str">
        <f t="shared" si="2"/>
        <v>*0.59</v>
      </c>
      <c r="U22" s="32" t="s">
        <v>82</v>
      </c>
      <c r="V22" s="42" t="s">
        <v>57</v>
      </c>
      <c r="W22" s="32">
        <v>2050</v>
      </c>
      <c r="X22" s="43" t="str">
        <f t="shared" si="3"/>
        <v>*0.47</v>
      </c>
      <c r="AC22" s="33" t="s">
        <v>82</v>
      </c>
      <c r="AD22" s="44" t="s">
        <v>57</v>
      </c>
      <c r="AE22" s="33">
        <v>2035</v>
      </c>
      <c r="AF22" s="45" t="str">
        <f t="shared" si="4"/>
        <v>*0.53</v>
      </c>
      <c r="AG22" s="43" t="str">
        <f t="shared" si="8"/>
        <v>REZoning_Sol-Win</v>
      </c>
      <c r="AI22" s="33" t="s">
        <v>82</v>
      </c>
      <c r="AJ22" s="44" t="s">
        <v>57</v>
      </c>
      <c r="AK22" s="33">
        <v>2050</v>
      </c>
      <c r="AL22" s="45" t="str">
        <f t="shared" si="5"/>
        <v>*0.41</v>
      </c>
      <c r="AM22" s="43" t="str">
        <f t="shared" si="9"/>
        <v>REZoning_Sol-Win</v>
      </c>
      <c r="AP22" t="s">
        <v>82</v>
      </c>
      <c r="AQ22" t="s">
        <v>57</v>
      </c>
      <c r="AR22">
        <v>2100</v>
      </c>
      <c r="AS22" t="s">
        <v>67</v>
      </c>
      <c r="AT22" t="s">
        <v>58</v>
      </c>
    </row>
    <row r="23" ht="29" spans="1:46">
      <c r="A23" s="31" t="s">
        <v>83</v>
      </c>
      <c r="C23" t="s">
        <v>84</v>
      </c>
      <c r="D23" s="5" t="s">
        <v>57</v>
      </c>
      <c r="E23">
        <v>2035</v>
      </c>
      <c r="F23" s="6" t="str">
        <f t="shared" si="0"/>
        <v>*0.64</v>
      </c>
      <c r="H23" t="s">
        <v>84</v>
      </c>
      <c r="I23" s="5" t="s">
        <v>57</v>
      </c>
      <c r="J23">
        <v>2050</v>
      </c>
      <c r="K23" s="38" t="str">
        <f t="shared" si="1"/>
        <v>*0.54</v>
      </c>
      <c r="P23" s="32" t="s">
        <v>84</v>
      </c>
      <c r="Q23" s="42" t="s">
        <v>57</v>
      </c>
      <c r="R23" s="32">
        <v>2035</v>
      </c>
      <c r="S23" s="43" t="str">
        <f t="shared" si="2"/>
        <v>*0.64</v>
      </c>
      <c r="U23" s="32" t="s">
        <v>84</v>
      </c>
      <c r="V23" s="42" t="s">
        <v>57</v>
      </c>
      <c r="W23" s="32">
        <v>2050</v>
      </c>
      <c r="X23" s="43" t="str">
        <f t="shared" si="3"/>
        <v>*0.53</v>
      </c>
      <c r="AC23" s="33" t="s">
        <v>84</v>
      </c>
      <c r="AD23" s="44" t="s">
        <v>57</v>
      </c>
      <c r="AE23" s="33">
        <v>2035</v>
      </c>
      <c r="AF23" s="45" t="str">
        <f t="shared" si="4"/>
        <v>*0.6</v>
      </c>
      <c r="AG23" s="43" t="str">
        <f t="shared" si="8"/>
        <v>REZoning_Sol-Win</v>
      </c>
      <c r="AI23" s="33" t="s">
        <v>84</v>
      </c>
      <c r="AJ23" s="44" t="s">
        <v>57</v>
      </c>
      <c r="AK23" s="33">
        <v>2050</v>
      </c>
      <c r="AL23" s="45" t="str">
        <f t="shared" si="5"/>
        <v>*0.5</v>
      </c>
      <c r="AM23" s="43" t="str">
        <f t="shared" si="9"/>
        <v>REZoning_Sol-Win</v>
      </c>
      <c r="AP23" t="s">
        <v>84</v>
      </c>
      <c r="AQ23" t="s">
        <v>57</v>
      </c>
      <c r="AR23">
        <v>2100</v>
      </c>
      <c r="AS23" t="s">
        <v>85</v>
      </c>
      <c r="AT23" t="s">
        <v>58</v>
      </c>
    </row>
    <row r="24" ht="29" spans="1:46">
      <c r="A24" s="31" t="s">
        <v>83</v>
      </c>
      <c r="C24" t="s">
        <v>86</v>
      </c>
      <c r="D24" s="5" t="s">
        <v>57</v>
      </c>
      <c r="E24">
        <v>2035</v>
      </c>
      <c r="F24" s="6" t="str">
        <f t="shared" si="0"/>
        <v>*0.64</v>
      </c>
      <c r="H24" t="s">
        <v>86</v>
      </c>
      <c r="I24" s="5" t="s">
        <v>57</v>
      </c>
      <c r="J24">
        <v>2050</v>
      </c>
      <c r="K24" s="38" t="str">
        <f t="shared" si="1"/>
        <v>*0.54</v>
      </c>
      <c r="P24" s="32" t="s">
        <v>86</v>
      </c>
      <c r="Q24" s="42" t="s">
        <v>57</v>
      </c>
      <c r="R24" s="32">
        <v>2035</v>
      </c>
      <c r="S24" s="43" t="str">
        <f t="shared" si="2"/>
        <v>*0.64</v>
      </c>
      <c r="U24" s="32" t="s">
        <v>86</v>
      </c>
      <c r="V24" s="42" t="s">
        <v>57</v>
      </c>
      <c r="W24" s="32">
        <v>2050</v>
      </c>
      <c r="X24" s="43" t="str">
        <f t="shared" si="3"/>
        <v>*0.53</v>
      </c>
      <c r="AC24" s="33" t="s">
        <v>86</v>
      </c>
      <c r="AD24" s="44" t="s">
        <v>57</v>
      </c>
      <c r="AE24" s="33">
        <v>2035</v>
      </c>
      <c r="AF24" s="45" t="str">
        <f t="shared" si="4"/>
        <v>*0.6</v>
      </c>
      <c r="AG24" s="43" t="str">
        <f t="shared" si="8"/>
        <v>REZoning_Sol-Win</v>
      </c>
      <c r="AI24" s="33" t="s">
        <v>86</v>
      </c>
      <c r="AJ24" s="44" t="s">
        <v>57</v>
      </c>
      <c r="AK24" s="33">
        <v>2050</v>
      </c>
      <c r="AL24" s="45" t="str">
        <f t="shared" si="5"/>
        <v>*0.5</v>
      </c>
      <c r="AM24" s="43" t="str">
        <f t="shared" si="9"/>
        <v>REZoning_Sol-Win</v>
      </c>
      <c r="AP24" t="s">
        <v>86</v>
      </c>
      <c r="AQ24" t="s">
        <v>57</v>
      </c>
      <c r="AR24">
        <v>2100</v>
      </c>
      <c r="AS24" t="s">
        <v>85</v>
      </c>
      <c r="AT24" t="s">
        <v>58</v>
      </c>
    </row>
    <row r="25" ht="29" spans="1:46">
      <c r="A25" s="31" t="s">
        <v>83</v>
      </c>
      <c r="C25" t="s">
        <v>87</v>
      </c>
      <c r="D25" s="5" t="s">
        <v>57</v>
      </c>
      <c r="E25">
        <v>2035</v>
      </c>
      <c r="F25" s="6" t="str">
        <f t="shared" si="0"/>
        <v>*0.64</v>
      </c>
      <c r="H25" t="s">
        <v>87</v>
      </c>
      <c r="I25" s="5" t="s">
        <v>57</v>
      </c>
      <c r="J25">
        <v>2050</v>
      </c>
      <c r="K25" s="38" t="str">
        <f t="shared" si="1"/>
        <v>*0.54</v>
      </c>
      <c r="P25" s="32" t="s">
        <v>87</v>
      </c>
      <c r="Q25" s="42" t="s">
        <v>57</v>
      </c>
      <c r="R25" s="32">
        <v>2035</v>
      </c>
      <c r="S25" s="43" t="str">
        <f t="shared" si="2"/>
        <v>*0.64</v>
      </c>
      <c r="U25" s="32" t="s">
        <v>87</v>
      </c>
      <c r="V25" s="42" t="s">
        <v>57</v>
      </c>
      <c r="W25" s="32">
        <v>2050</v>
      </c>
      <c r="X25" s="43" t="str">
        <f t="shared" si="3"/>
        <v>*0.53</v>
      </c>
      <c r="AC25" s="33" t="s">
        <v>87</v>
      </c>
      <c r="AD25" s="44" t="s">
        <v>57</v>
      </c>
      <c r="AE25" s="33">
        <v>2035</v>
      </c>
      <c r="AF25" s="45" t="str">
        <f t="shared" si="4"/>
        <v>*0.6</v>
      </c>
      <c r="AG25" s="43" t="str">
        <f t="shared" si="8"/>
        <v>REZoning_Sol-Win</v>
      </c>
      <c r="AI25" s="33" t="s">
        <v>87</v>
      </c>
      <c r="AJ25" s="44" t="s">
        <v>57</v>
      </c>
      <c r="AK25" s="33">
        <v>2050</v>
      </c>
      <c r="AL25" s="45" t="str">
        <f t="shared" si="5"/>
        <v>*0.5</v>
      </c>
      <c r="AM25" s="43" t="str">
        <f t="shared" si="9"/>
        <v>REZoning_Sol-Win</v>
      </c>
      <c r="AP25" t="s">
        <v>87</v>
      </c>
      <c r="AQ25" t="s">
        <v>57</v>
      </c>
      <c r="AR25">
        <v>2100</v>
      </c>
      <c r="AS25" t="s">
        <v>85</v>
      </c>
      <c r="AT25" t="s">
        <v>58</v>
      </c>
    </row>
    <row r="26" ht="29" spans="1:46">
      <c r="A26" s="31" t="s">
        <v>83</v>
      </c>
      <c r="C26" t="s">
        <v>88</v>
      </c>
      <c r="D26" s="5" t="s">
        <v>57</v>
      </c>
      <c r="E26">
        <v>2035</v>
      </c>
      <c r="F26" s="6" t="str">
        <f t="shared" si="0"/>
        <v>*0.64</v>
      </c>
      <c r="H26" t="s">
        <v>88</v>
      </c>
      <c r="I26" s="5" t="s">
        <v>57</v>
      </c>
      <c r="J26">
        <v>2050</v>
      </c>
      <c r="K26" s="38" t="str">
        <f t="shared" si="1"/>
        <v>*0.54</v>
      </c>
      <c r="P26" s="32" t="s">
        <v>88</v>
      </c>
      <c r="Q26" s="42" t="s">
        <v>57</v>
      </c>
      <c r="R26" s="32">
        <v>2035</v>
      </c>
      <c r="S26" s="43" t="str">
        <f t="shared" si="2"/>
        <v>*0.64</v>
      </c>
      <c r="U26" s="32" t="s">
        <v>88</v>
      </c>
      <c r="V26" s="42" t="s">
        <v>57</v>
      </c>
      <c r="W26" s="32">
        <v>2050</v>
      </c>
      <c r="X26" s="43" t="str">
        <f t="shared" si="3"/>
        <v>*0.53</v>
      </c>
      <c r="AC26" s="33" t="s">
        <v>88</v>
      </c>
      <c r="AD26" s="44" t="s">
        <v>57</v>
      </c>
      <c r="AE26" s="33">
        <v>2035</v>
      </c>
      <c r="AF26" s="45" t="str">
        <f t="shared" si="4"/>
        <v>*0.6</v>
      </c>
      <c r="AG26" s="43" t="str">
        <f t="shared" si="8"/>
        <v>REZoning_Sol-Win</v>
      </c>
      <c r="AI26" s="33" t="s">
        <v>88</v>
      </c>
      <c r="AJ26" s="44" t="s">
        <v>57</v>
      </c>
      <c r="AK26" s="33">
        <v>2050</v>
      </c>
      <c r="AL26" s="45" t="str">
        <f t="shared" si="5"/>
        <v>*0.5</v>
      </c>
      <c r="AM26" s="43" t="str">
        <f t="shared" si="9"/>
        <v>REZoning_Sol-Win</v>
      </c>
      <c r="AP26" t="s">
        <v>88</v>
      </c>
      <c r="AQ26" t="s">
        <v>57</v>
      </c>
      <c r="AR26">
        <v>2100</v>
      </c>
      <c r="AS26" t="s">
        <v>85</v>
      </c>
      <c r="AT26" t="s">
        <v>58</v>
      </c>
    </row>
    <row r="27" ht="29" spans="1:46">
      <c r="A27" s="31" t="s">
        <v>83</v>
      </c>
      <c r="C27" t="s">
        <v>89</v>
      </c>
      <c r="D27" s="5" t="s">
        <v>57</v>
      </c>
      <c r="E27">
        <v>2035</v>
      </c>
      <c r="F27" s="6" t="str">
        <f t="shared" si="0"/>
        <v>*0.64</v>
      </c>
      <c r="H27" t="s">
        <v>89</v>
      </c>
      <c r="I27" s="5" t="s">
        <v>57</v>
      </c>
      <c r="J27">
        <v>2050</v>
      </c>
      <c r="K27" s="38" t="str">
        <f t="shared" si="1"/>
        <v>*0.54</v>
      </c>
      <c r="P27" s="32" t="s">
        <v>89</v>
      </c>
      <c r="Q27" s="42" t="s">
        <v>57</v>
      </c>
      <c r="R27" s="32">
        <v>2035</v>
      </c>
      <c r="S27" s="43" t="str">
        <f t="shared" si="2"/>
        <v>*0.64</v>
      </c>
      <c r="U27" s="32" t="s">
        <v>89</v>
      </c>
      <c r="V27" s="42" t="s">
        <v>57</v>
      </c>
      <c r="W27" s="32">
        <v>2050</v>
      </c>
      <c r="X27" s="43" t="str">
        <f t="shared" si="3"/>
        <v>*0.53</v>
      </c>
      <c r="AC27" s="33" t="s">
        <v>89</v>
      </c>
      <c r="AD27" s="44" t="s">
        <v>57</v>
      </c>
      <c r="AE27" s="33">
        <v>2035</v>
      </c>
      <c r="AF27" s="45" t="str">
        <f t="shared" si="4"/>
        <v>*0.6</v>
      </c>
      <c r="AG27" s="43" t="str">
        <f t="shared" si="8"/>
        <v>REZoning_Sol-Win</v>
      </c>
      <c r="AI27" s="33" t="s">
        <v>89</v>
      </c>
      <c r="AJ27" s="44" t="s">
        <v>57</v>
      </c>
      <c r="AK27" s="33">
        <v>2050</v>
      </c>
      <c r="AL27" s="45" t="str">
        <f t="shared" si="5"/>
        <v>*0.5</v>
      </c>
      <c r="AM27" s="43" t="str">
        <f t="shared" si="9"/>
        <v>REZoning_Sol-Win</v>
      </c>
      <c r="AP27" t="s">
        <v>89</v>
      </c>
      <c r="AQ27" t="s">
        <v>57</v>
      </c>
      <c r="AR27">
        <v>2100</v>
      </c>
      <c r="AS27" t="s">
        <v>85</v>
      </c>
      <c r="AT27" t="s">
        <v>58</v>
      </c>
    </row>
    <row r="28" ht="29" spans="1:46">
      <c r="A28" s="31" t="s">
        <v>83</v>
      </c>
      <c r="C28" t="s">
        <v>90</v>
      </c>
      <c r="D28" s="5" t="s">
        <v>57</v>
      </c>
      <c r="E28">
        <v>2035</v>
      </c>
      <c r="F28" s="6" t="str">
        <f t="shared" si="0"/>
        <v>*0.64</v>
      </c>
      <c r="H28" t="s">
        <v>90</v>
      </c>
      <c r="I28" s="5" t="s">
        <v>57</v>
      </c>
      <c r="J28">
        <v>2050</v>
      </c>
      <c r="K28" s="38" t="str">
        <f t="shared" si="1"/>
        <v>*0.54</v>
      </c>
      <c r="P28" s="32" t="s">
        <v>90</v>
      </c>
      <c r="Q28" s="42" t="s">
        <v>57</v>
      </c>
      <c r="R28" s="32">
        <v>2035</v>
      </c>
      <c r="S28" s="43" t="str">
        <f t="shared" si="2"/>
        <v>*0.64</v>
      </c>
      <c r="U28" s="32" t="s">
        <v>90</v>
      </c>
      <c r="V28" s="42" t="s">
        <v>57</v>
      </c>
      <c r="W28" s="32">
        <v>2050</v>
      </c>
      <c r="X28" s="43" t="str">
        <f t="shared" si="3"/>
        <v>*0.53</v>
      </c>
      <c r="AC28" s="33" t="s">
        <v>90</v>
      </c>
      <c r="AD28" s="44" t="s">
        <v>57</v>
      </c>
      <c r="AE28" s="33">
        <v>2035</v>
      </c>
      <c r="AF28" s="45" t="str">
        <f t="shared" si="4"/>
        <v>*0.6</v>
      </c>
      <c r="AG28" s="43" t="str">
        <f t="shared" si="8"/>
        <v>REZoning_Sol-Win</v>
      </c>
      <c r="AI28" s="33" t="s">
        <v>90</v>
      </c>
      <c r="AJ28" s="44" t="s">
        <v>57</v>
      </c>
      <c r="AK28" s="33">
        <v>2050</v>
      </c>
      <c r="AL28" s="45" t="str">
        <f t="shared" si="5"/>
        <v>*0.5</v>
      </c>
      <c r="AM28" s="43" t="str">
        <f t="shared" si="9"/>
        <v>REZoning_Sol-Win</v>
      </c>
      <c r="AP28" t="s">
        <v>90</v>
      </c>
      <c r="AQ28" t="s">
        <v>57</v>
      </c>
      <c r="AR28">
        <v>2100</v>
      </c>
      <c r="AS28" t="s">
        <v>85</v>
      </c>
      <c r="AT28" t="s">
        <v>58</v>
      </c>
    </row>
    <row r="29" ht="29" spans="1:46">
      <c r="A29" s="31" t="s">
        <v>83</v>
      </c>
      <c r="C29" t="s">
        <v>91</v>
      </c>
      <c r="D29" s="5" t="s">
        <v>57</v>
      </c>
      <c r="E29">
        <v>2035</v>
      </c>
      <c r="F29" s="6" t="str">
        <f t="shared" si="0"/>
        <v>*0.64</v>
      </c>
      <c r="H29" t="s">
        <v>91</v>
      </c>
      <c r="I29" s="5" t="s">
        <v>57</v>
      </c>
      <c r="J29">
        <v>2050</v>
      </c>
      <c r="K29" s="38" t="str">
        <f t="shared" si="1"/>
        <v>*0.54</v>
      </c>
      <c r="P29" s="32" t="s">
        <v>91</v>
      </c>
      <c r="Q29" s="42" t="s">
        <v>57</v>
      </c>
      <c r="R29" s="32">
        <v>2035</v>
      </c>
      <c r="S29" s="43" t="str">
        <f t="shared" si="2"/>
        <v>*0.64</v>
      </c>
      <c r="U29" s="32" t="s">
        <v>91</v>
      </c>
      <c r="V29" s="42" t="s">
        <v>57</v>
      </c>
      <c r="W29" s="32">
        <v>2050</v>
      </c>
      <c r="X29" s="43" t="str">
        <f t="shared" si="3"/>
        <v>*0.53</v>
      </c>
      <c r="AC29" s="33" t="s">
        <v>91</v>
      </c>
      <c r="AD29" s="44" t="s">
        <v>57</v>
      </c>
      <c r="AE29" s="33">
        <v>2035</v>
      </c>
      <c r="AF29" s="45" t="str">
        <f t="shared" si="4"/>
        <v>*0.6</v>
      </c>
      <c r="AG29" s="43" t="str">
        <f t="shared" si="8"/>
        <v>REZoning_Sol-Win</v>
      </c>
      <c r="AI29" s="33" t="s">
        <v>91</v>
      </c>
      <c r="AJ29" s="44" t="s">
        <v>57</v>
      </c>
      <c r="AK29" s="33">
        <v>2050</v>
      </c>
      <c r="AL29" s="45" t="str">
        <f t="shared" si="5"/>
        <v>*0.5</v>
      </c>
      <c r="AM29" s="43" t="str">
        <f t="shared" si="9"/>
        <v>REZoning_Sol-Win</v>
      </c>
      <c r="AP29" t="s">
        <v>91</v>
      </c>
      <c r="AQ29" t="s">
        <v>57</v>
      </c>
      <c r="AR29">
        <v>2100</v>
      </c>
      <c r="AS29" t="s">
        <v>85</v>
      </c>
      <c r="AT29" t="s">
        <v>58</v>
      </c>
    </row>
    <row r="30" ht="29" spans="1:46">
      <c r="A30" s="31" t="s">
        <v>83</v>
      </c>
      <c r="C30" t="s">
        <v>92</v>
      </c>
      <c r="D30" s="5" t="s">
        <v>57</v>
      </c>
      <c r="E30">
        <v>2035</v>
      </c>
      <c r="F30" s="6" t="str">
        <f t="shared" si="0"/>
        <v>*0.64</v>
      </c>
      <c r="H30" t="s">
        <v>92</v>
      </c>
      <c r="I30" s="5" t="s">
        <v>57</v>
      </c>
      <c r="J30">
        <v>2050</v>
      </c>
      <c r="K30" s="38" t="str">
        <f t="shared" si="1"/>
        <v>*0.54</v>
      </c>
      <c r="P30" s="32" t="s">
        <v>92</v>
      </c>
      <c r="Q30" s="42" t="s">
        <v>57</v>
      </c>
      <c r="R30" s="32">
        <v>2035</v>
      </c>
      <c r="S30" s="43" t="str">
        <f t="shared" si="2"/>
        <v>*0.64</v>
      </c>
      <c r="U30" s="32" t="s">
        <v>92</v>
      </c>
      <c r="V30" s="42" t="s">
        <v>57</v>
      </c>
      <c r="W30" s="32">
        <v>2050</v>
      </c>
      <c r="X30" s="43" t="str">
        <f t="shared" si="3"/>
        <v>*0.53</v>
      </c>
      <c r="AC30" s="33" t="s">
        <v>92</v>
      </c>
      <c r="AD30" s="44" t="s">
        <v>57</v>
      </c>
      <c r="AE30" s="33">
        <v>2035</v>
      </c>
      <c r="AF30" s="45" t="str">
        <f t="shared" si="4"/>
        <v>*0.6</v>
      </c>
      <c r="AG30" s="43" t="str">
        <f t="shared" si="8"/>
        <v>REZoning_Sol-Win</v>
      </c>
      <c r="AI30" s="33" t="s">
        <v>92</v>
      </c>
      <c r="AJ30" s="44" t="s">
        <v>57</v>
      </c>
      <c r="AK30" s="33">
        <v>2050</v>
      </c>
      <c r="AL30" s="45" t="str">
        <f t="shared" si="5"/>
        <v>*0.5</v>
      </c>
      <c r="AM30" s="43" t="str">
        <f t="shared" si="9"/>
        <v>REZoning_Sol-Win</v>
      </c>
      <c r="AP30" t="s">
        <v>92</v>
      </c>
      <c r="AQ30" t="s">
        <v>57</v>
      </c>
      <c r="AR30">
        <v>2100</v>
      </c>
      <c r="AS30" t="s">
        <v>85</v>
      </c>
      <c r="AT30" t="s">
        <v>58</v>
      </c>
    </row>
    <row r="31" ht="29" spans="1:46">
      <c r="A31" s="31" t="s">
        <v>83</v>
      </c>
      <c r="C31" t="s">
        <v>93</v>
      </c>
      <c r="D31" s="5" t="s">
        <v>57</v>
      </c>
      <c r="E31">
        <v>2035</v>
      </c>
      <c r="F31" s="6" t="str">
        <f t="shared" si="0"/>
        <v>*0.64</v>
      </c>
      <c r="H31" t="s">
        <v>93</v>
      </c>
      <c r="I31" s="5" t="s">
        <v>57</v>
      </c>
      <c r="J31">
        <v>2050</v>
      </c>
      <c r="K31" s="38" t="str">
        <f t="shared" si="1"/>
        <v>*0.54</v>
      </c>
      <c r="P31" s="32" t="s">
        <v>93</v>
      </c>
      <c r="Q31" s="42" t="s">
        <v>57</v>
      </c>
      <c r="R31" s="32">
        <v>2035</v>
      </c>
      <c r="S31" s="43" t="str">
        <f t="shared" si="2"/>
        <v>*0.64</v>
      </c>
      <c r="U31" s="32" t="s">
        <v>93</v>
      </c>
      <c r="V31" s="42" t="s">
        <v>57</v>
      </c>
      <c r="W31" s="32">
        <v>2050</v>
      </c>
      <c r="X31" s="43" t="str">
        <f t="shared" si="3"/>
        <v>*0.53</v>
      </c>
      <c r="AC31" s="33" t="s">
        <v>93</v>
      </c>
      <c r="AD31" s="44" t="s">
        <v>57</v>
      </c>
      <c r="AE31" s="33">
        <v>2035</v>
      </c>
      <c r="AF31" s="45" t="str">
        <f t="shared" si="4"/>
        <v>*0.6</v>
      </c>
      <c r="AG31" s="43" t="str">
        <f t="shared" si="8"/>
        <v>REZoning_Sol-Win</v>
      </c>
      <c r="AI31" s="33" t="s">
        <v>93</v>
      </c>
      <c r="AJ31" s="44" t="s">
        <v>57</v>
      </c>
      <c r="AK31" s="33">
        <v>2050</v>
      </c>
      <c r="AL31" s="45" t="str">
        <f t="shared" si="5"/>
        <v>*0.5</v>
      </c>
      <c r="AM31" s="43" t="str">
        <f t="shared" si="9"/>
        <v>REZoning_Sol-Win</v>
      </c>
      <c r="AP31" t="s">
        <v>93</v>
      </c>
      <c r="AQ31" t="s">
        <v>57</v>
      </c>
      <c r="AR31">
        <v>2100</v>
      </c>
      <c r="AS31" t="s">
        <v>85</v>
      </c>
      <c r="AT31" t="s">
        <v>58</v>
      </c>
    </row>
    <row r="32" ht="29" spans="1:46">
      <c r="A32" s="31" t="s">
        <v>83</v>
      </c>
      <c r="C32" t="s">
        <v>94</v>
      </c>
      <c r="D32" s="5" t="s">
        <v>57</v>
      </c>
      <c r="E32">
        <v>2035</v>
      </c>
      <c r="F32" s="6" t="str">
        <f t="shared" si="0"/>
        <v>*0.64</v>
      </c>
      <c r="H32" t="s">
        <v>94</v>
      </c>
      <c r="I32" s="5" t="s">
        <v>57</v>
      </c>
      <c r="J32">
        <v>2050</v>
      </c>
      <c r="K32" s="38" t="str">
        <f t="shared" si="1"/>
        <v>*0.54</v>
      </c>
      <c r="P32" s="32" t="s">
        <v>94</v>
      </c>
      <c r="Q32" s="42" t="s">
        <v>57</v>
      </c>
      <c r="R32" s="32">
        <v>2035</v>
      </c>
      <c r="S32" s="43" t="str">
        <f t="shared" si="2"/>
        <v>*0.64</v>
      </c>
      <c r="U32" s="32" t="s">
        <v>94</v>
      </c>
      <c r="V32" s="42" t="s">
        <v>57</v>
      </c>
      <c r="W32" s="32">
        <v>2050</v>
      </c>
      <c r="X32" s="43" t="str">
        <f t="shared" si="3"/>
        <v>*0.53</v>
      </c>
      <c r="AC32" s="33" t="s">
        <v>94</v>
      </c>
      <c r="AD32" s="44" t="s">
        <v>57</v>
      </c>
      <c r="AE32" s="33">
        <v>2035</v>
      </c>
      <c r="AF32" s="45" t="str">
        <f t="shared" si="4"/>
        <v>*0.6</v>
      </c>
      <c r="AG32" s="43" t="str">
        <f t="shared" si="8"/>
        <v>REZoning_Sol-Win</v>
      </c>
      <c r="AI32" s="33" t="s">
        <v>94</v>
      </c>
      <c r="AJ32" s="44" t="s">
        <v>57</v>
      </c>
      <c r="AK32" s="33">
        <v>2050</v>
      </c>
      <c r="AL32" s="45" t="str">
        <f t="shared" si="5"/>
        <v>*0.5</v>
      </c>
      <c r="AM32" s="43" t="str">
        <f t="shared" si="9"/>
        <v>REZoning_Sol-Win</v>
      </c>
      <c r="AP32" t="s">
        <v>94</v>
      </c>
      <c r="AQ32" t="s">
        <v>57</v>
      </c>
      <c r="AR32">
        <v>2100</v>
      </c>
      <c r="AS32" t="s">
        <v>85</v>
      </c>
      <c r="AT32" t="s">
        <v>58</v>
      </c>
    </row>
    <row r="33" ht="29" spans="1:46">
      <c r="A33" s="31" t="s">
        <v>95</v>
      </c>
      <c r="C33" t="s">
        <v>96</v>
      </c>
      <c r="D33" s="5" t="s">
        <v>57</v>
      </c>
      <c r="E33">
        <v>2035</v>
      </c>
      <c r="F33" s="6" t="str">
        <f t="shared" si="0"/>
        <v>*0.65</v>
      </c>
      <c r="H33" t="s">
        <v>96</v>
      </c>
      <c r="I33" s="5" t="s">
        <v>57</v>
      </c>
      <c r="J33">
        <v>2050</v>
      </c>
      <c r="K33" s="38" t="str">
        <f t="shared" si="1"/>
        <v>*0.54</v>
      </c>
      <c r="P33" s="32" t="s">
        <v>96</v>
      </c>
      <c r="Q33" s="42" t="s">
        <v>57</v>
      </c>
      <c r="R33" s="32">
        <v>2035</v>
      </c>
      <c r="S33" s="43" t="str">
        <f t="shared" si="2"/>
        <v>*0.63</v>
      </c>
      <c r="U33" s="32" t="s">
        <v>96</v>
      </c>
      <c r="V33" s="42" t="s">
        <v>57</v>
      </c>
      <c r="W33" s="32">
        <v>2050</v>
      </c>
      <c r="X33" s="43" t="str">
        <f t="shared" si="3"/>
        <v>*0.52</v>
      </c>
      <c r="AC33" s="33" t="s">
        <v>96</v>
      </c>
      <c r="AD33" s="44" t="s">
        <v>57</v>
      </c>
      <c r="AE33" s="33">
        <v>2035</v>
      </c>
      <c r="AF33" s="45" t="str">
        <f t="shared" si="4"/>
        <v>*0.55</v>
      </c>
      <c r="AG33" s="43" t="str">
        <f t="shared" si="8"/>
        <v>REZoning_Sol-Win</v>
      </c>
      <c r="AI33" s="33" t="s">
        <v>96</v>
      </c>
      <c r="AJ33" s="44" t="s">
        <v>57</v>
      </c>
      <c r="AK33" s="33">
        <v>2050</v>
      </c>
      <c r="AL33" s="45" t="str">
        <f t="shared" si="5"/>
        <v>*0.41</v>
      </c>
      <c r="AM33" s="43" t="str">
        <f t="shared" si="9"/>
        <v>REZoning_Sol-Win</v>
      </c>
      <c r="AP33" t="s">
        <v>96</v>
      </c>
      <c r="AQ33" t="s">
        <v>57</v>
      </c>
      <c r="AR33">
        <v>2100</v>
      </c>
      <c r="AS33" t="s">
        <v>67</v>
      </c>
      <c r="AT33" t="s">
        <v>58</v>
      </c>
    </row>
    <row r="34" ht="29" spans="1:46">
      <c r="A34" s="31" t="s">
        <v>95</v>
      </c>
      <c r="C34" t="s">
        <v>97</v>
      </c>
      <c r="D34" s="5" t="s">
        <v>57</v>
      </c>
      <c r="E34">
        <v>2035</v>
      </c>
      <c r="F34" s="6" t="str">
        <f t="shared" si="0"/>
        <v>*0.65</v>
      </c>
      <c r="H34" t="s">
        <v>97</v>
      </c>
      <c r="I34" s="5" t="s">
        <v>57</v>
      </c>
      <c r="J34">
        <v>2050</v>
      </c>
      <c r="K34" s="38" t="str">
        <f t="shared" si="1"/>
        <v>*0.54</v>
      </c>
      <c r="P34" s="32" t="s">
        <v>97</v>
      </c>
      <c r="Q34" s="42" t="s">
        <v>57</v>
      </c>
      <c r="R34" s="32">
        <v>2035</v>
      </c>
      <c r="S34" s="43" t="str">
        <f t="shared" si="2"/>
        <v>*0.63</v>
      </c>
      <c r="U34" s="32" t="s">
        <v>97</v>
      </c>
      <c r="V34" s="42" t="s">
        <v>57</v>
      </c>
      <c r="W34" s="32">
        <v>2050</v>
      </c>
      <c r="X34" s="43" t="str">
        <f t="shared" si="3"/>
        <v>*0.52</v>
      </c>
      <c r="AC34" s="33" t="s">
        <v>97</v>
      </c>
      <c r="AD34" s="44" t="s">
        <v>57</v>
      </c>
      <c r="AE34" s="33">
        <v>2035</v>
      </c>
      <c r="AF34" s="45" t="str">
        <f t="shared" si="4"/>
        <v>*0.55</v>
      </c>
      <c r="AG34" s="43" t="str">
        <f t="shared" si="8"/>
        <v>REZoning_Sol-Win</v>
      </c>
      <c r="AI34" s="33" t="s">
        <v>97</v>
      </c>
      <c r="AJ34" s="44" t="s">
        <v>57</v>
      </c>
      <c r="AK34" s="33">
        <v>2050</v>
      </c>
      <c r="AL34" s="45" t="str">
        <f t="shared" si="5"/>
        <v>*0.41</v>
      </c>
      <c r="AM34" s="43" t="str">
        <f t="shared" si="9"/>
        <v>REZoning_Sol-Win</v>
      </c>
      <c r="AP34" t="s">
        <v>97</v>
      </c>
      <c r="AQ34" t="s">
        <v>57</v>
      </c>
      <c r="AR34">
        <v>2100</v>
      </c>
      <c r="AS34" t="s">
        <v>67</v>
      </c>
      <c r="AT34" t="s">
        <v>58</v>
      </c>
    </row>
    <row r="35" ht="29" spans="1:46">
      <c r="A35" s="31" t="s">
        <v>98</v>
      </c>
      <c r="C35" t="s">
        <v>99</v>
      </c>
      <c r="D35" s="5" t="s">
        <v>57</v>
      </c>
      <c r="E35">
        <v>2035</v>
      </c>
      <c r="F35" s="6" t="str">
        <f t="shared" si="0"/>
        <v>*0.64</v>
      </c>
      <c r="H35" t="s">
        <v>99</v>
      </c>
      <c r="I35" s="5" t="s">
        <v>57</v>
      </c>
      <c r="J35">
        <v>2050</v>
      </c>
      <c r="K35" s="38" t="str">
        <f t="shared" si="1"/>
        <v>*0.54</v>
      </c>
      <c r="P35" s="32" t="s">
        <v>99</v>
      </c>
      <c r="Q35" s="42" t="s">
        <v>57</v>
      </c>
      <c r="R35" s="32">
        <v>2035</v>
      </c>
      <c r="S35" s="43" t="str">
        <f t="shared" si="2"/>
        <v>*0.62</v>
      </c>
      <c r="U35" s="32" t="s">
        <v>99</v>
      </c>
      <c r="V35" s="42" t="s">
        <v>57</v>
      </c>
      <c r="W35" s="32">
        <v>2050</v>
      </c>
      <c r="X35" s="43" t="str">
        <f t="shared" si="3"/>
        <v>*0.5</v>
      </c>
      <c r="AC35" s="33" t="s">
        <v>99</v>
      </c>
      <c r="AD35" s="44" t="s">
        <v>57</v>
      </c>
      <c r="AE35" s="33">
        <v>2035</v>
      </c>
      <c r="AF35" s="45" t="str">
        <f t="shared" si="4"/>
        <v>*0.56</v>
      </c>
      <c r="AG35" s="43" t="str">
        <f t="shared" si="8"/>
        <v>REZoning_Sol-Win</v>
      </c>
      <c r="AI35" s="33" t="s">
        <v>99</v>
      </c>
      <c r="AJ35" s="44" t="s">
        <v>57</v>
      </c>
      <c r="AK35" s="33">
        <v>2050</v>
      </c>
      <c r="AL35" s="45" t="str">
        <f t="shared" si="5"/>
        <v>*0.45</v>
      </c>
      <c r="AM35" s="43" t="str">
        <f t="shared" si="9"/>
        <v>REZoning_Sol-Win</v>
      </c>
      <c r="AP35" t="s">
        <v>99</v>
      </c>
      <c r="AQ35" t="s">
        <v>57</v>
      </c>
      <c r="AR35">
        <v>2100</v>
      </c>
      <c r="AS35" t="s">
        <v>100</v>
      </c>
      <c r="AT35" t="s">
        <v>58</v>
      </c>
    </row>
    <row r="36" ht="29" spans="1:46">
      <c r="A36" s="31" t="s">
        <v>73</v>
      </c>
      <c r="C36" t="s">
        <v>101</v>
      </c>
      <c r="D36" s="5" t="s">
        <v>57</v>
      </c>
      <c r="E36">
        <v>2035</v>
      </c>
      <c r="F36" s="6" t="str">
        <f t="shared" si="0"/>
        <v>*0.63</v>
      </c>
      <c r="H36" t="s">
        <v>101</v>
      </c>
      <c r="I36" s="5" t="s">
        <v>57</v>
      </c>
      <c r="J36">
        <v>2050</v>
      </c>
      <c r="K36" s="38" t="str">
        <f t="shared" si="1"/>
        <v>*0.54</v>
      </c>
      <c r="P36" s="32" t="s">
        <v>101</v>
      </c>
      <c r="Q36" s="42" t="s">
        <v>57</v>
      </c>
      <c r="R36" s="32">
        <v>2035</v>
      </c>
      <c r="S36" s="43" t="str">
        <f t="shared" si="2"/>
        <v>*0.62</v>
      </c>
      <c r="U36" s="32" t="s">
        <v>101</v>
      </c>
      <c r="V36" s="42" t="s">
        <v>57</v>
      </c>
      <c r="W36" s="32">
        <v>2050</v>
      </c>
      <c r="X36" s="43" t="str">
        <f t="shared" si="3"/>
        <v>*0.51</v>
      </c>
      <c r="AC36" s="33" t="s">
        <v>101</v>
      </c>
      <c r="AD36" s="44" t="s">
        <v>57</v>
      </c>
      <c r="AE36" s="33">
        <v>2035</v>
      </c>
      <c r="AF36" s="45" t="str">
        <f t="shared" si="4"/>
        <v>*0.58</v>
      </c>
      <c r="AG36" s="43" t="str">
        <f t="shared" si="8"/>
        <v>REZoning_Sol-Win</v>
      </c>
      <c r="AI36" s="33" t="s">
        <v>101</v>
      </c>
      <c r="AJ36" s="44" t="s">
        <v>57</v>
      </c>
      <c r="AK36" s="33">
        <v>2050</v>
      </c>
      <c r="AL36" s="45" t="str">
        <f t="shared" si="5"/>
        <v>*0.49</v>
      </c>
      <c r="AM36" s="43" t="str">
        <f t="shared" si="9"/>
        <v>REZoning_Sol-Win</v>
      </c>
      <c r="AP36" t="s">
        <v>101</v>
      </c>
      <c r="AQ36" t="s">
        <v>57</v>
      </c>
      <c r="AR36">
        <v>2100</v>
      </c>
      <c r="AS36" t="s">
        <v>75</v>
      </c>
      <c r="AT36" t="s">
        <v>58</v>
      </c>
    </row>
    <row r="37" ht="29" spans="1:46">
      <c r="A37" s="31" t="s">
        <v>73</v>
      </c>
      <c r="C37" t="s">
        <v>102</v>
      </c>
      <c r="D37" s="5" t="s">
        <v>57</v>
      </c>
      <c r="E37">
        <v>2035</v>
      </c>
      <c r="F37" s="6" t="str">
        <f t="shared" si="0"/>
        <v>*0.63</v>
      </c>
      <c r="H37" t="s">
        <v>102</v>
      </c>
      <c r="I37" s="5" t="s">
        <v>57</v>
      </c>
      <c r="J37">
        <v>2050</v>
      </c>
      <c r="K37" s="38" t="str">
        <f t="shared" si="1"/>
        <v>*0.54</v>
      </c>
      <c r="P37" s="32" t="s">
        <v>102</v>
      </c>
      <c r="Q37" s="42" t="s">
        <v>57</v>
      </c>
      <c r="R37" s="32">
        <v>2035</v>
      </c>
      <c r="S37" s="43" t="str">
        <f t="shared" si="2"/>
        <v>*0.62</v>
      </c>
      <c r="U37" s="32" t="s">
        <v>102</v>
      </c>
      <c r="V37" s="42" t="s">
        <v>57</v>
      </c>
      <c r="W37" s="32">
        <v>2050</v>
      </c>
      <c r="X37" s="43" t="str">
        <f t="shared" si="3"/>
        <v>*0.51</v>
      </c>
      <c r="AC37" s="33" t="s">
        <v>102</v>
      </c>
      <c r="AD37" s="44" t="s">
        <v>57</v>
      </c>
      <c r="AE37" s="33">
        <v>2035</v>
      </c>
      <c r="AF37" s="45" t="str">
        <f t="shared" si="4"/>
        <v>*0.58</v>
      </c>
      <c r="AG37" s="43" t="str">
        <f t="shared" si="8"/>
        <v>REZoning_Sol-Win</v>
      </c>
      <c r="AI37" s="33" t="s">
        <v>102</v>
      </c>
      <c r="AJ37" s="44" t="s">
        <v>57</v>
      </c>
      <c r="AK37" s="33">
        <v>2050</v>
      </c>
      <c r="AL37" s="45" t="str">
        <f t="shared" si="5"/>
        <v>*0.49</v>
      </c>
      <c r="AM37" s="43" t="str">
        <f t="shared" si="9"/>
        <v>REZoning_Sol-Win</v>
      </c>
      <c r="AP37" t="s">
        <v>102</v>
      </c>
      <c r="AQ37" t="s">
        <v>57</v>
      </c>
      <c r="AR37">
        <v>2100</v>
      </c>
      <c r="AS37" t="s">
        <v>75</v>
      </c>
      <c r="AT37" t="s">
        <v>58</v>
      </c>
    </row>
    <row r="38" ht="29" spans="1:46">
      <c r="A38" s="31" t="s">
        <v>73</v>
      </c>
      <c r="C38" t="s">
        <v>103</v>
      </c>
      <c r="D38" s="5" t="s">
        <v>57</v>
      </c>
      <c r="E38">
        <v>2035</v>
      </c>
      <c r="F38" s="6" t="str">
        <f t="shared" si="0"/>
        <v>*0.63</v>
      </c>
      <c r="H38" t="s">
        <v>103</v>
      </c>
      <c r="I38" s="5" t="s">
        <v>57</v>
      </c>
      <c r="J38">
        <v>2050</v>
      </c>
      <c r="K38" s="38" t="str">
        <f t="shared" si="1"/>
        <v>*0.54</v>
      </c>
      <c r="P38" s="32" t="s">
        <v>103</v>
      </c>
      <c r="Q38" s="42" t="s">
        <v>57</v>
      </c>
      <c r="R38" s="32">
        <v>2035</v>
      </c>
      <c r="S38" s="43" t="str">
        <f t="shared" si="2"/>
        <v>*0.62</v>
      </c>
      <c r="U38" s="32" t="s">
        <v>103</v>
      </c>
      <c r="V38" s="42" t="s">
        <v>57</v>
      </c>
      <c r="W38" s="32">
        <v>2050</v>
      </c>
      <c r="X38" s="43" t="str">
        <f t="shared" si="3"/>
        <v>*0.51</v>
      </c>
      <c r="AC38" s="33" t="s">
        <v>103</v>
      </c>
      <c r="AD38" s="44" t="s">
        <v>57</v>
      </c>
      <c r="AE38" s="33">
        <v>2035</v>
      </c>
      <c r="AF38" s="45" t="str">
        <f t="shared" si="4"/>
        <v>*0.58</v>
      </c>
      <c r="AG38" s="43" t="str">
        <f t="shared" si="8"/>
        <v>REZoning_Sol-Win</v>
      </c>
      <c r="AI38" s="33" t="s">
        <v>103</v>
      </c>
      <c r="AJ38" s="44" t="s">
        <v>57</v>
      </c>
      <c r="AK38" s="33">
        <v>2050</v>
      </c>
      <c r="AL38" s="45" t="str">
        <f t="shared" si="5"/>
        <v>*0.49</v>
      </c>
      <c r="AM38" s="43" t="str">
        <f t="shared" si="9"/>
        <v>REZoning_Sol-Win</v>
      </c>
      <c r="AP38" t="s">
        <v>103</v>
      </c>
      <c r="AQ38" t="s">
        <v>57</v>
      </c>
      <c r="AR38">
        <v>2100</v>
      </c>
      <c r="AS38" t="s">
        <v>75</v>
      </c>
      <c r="AT38" t="s">
        <v>58</v>
      </c>
    </row>
    <row r="39" ht="29" spans="1:46">
      <c r="A39" s="31" t="s">
        <v>73</v>
      </c>
      <c r="C39" t="s">
        <v>104</v>
      </c>
      <c r="D39" s="5" t="s">
        <v>57</v>
      </c>
      <c r="E39">
        <v>2035</v>
      </c>
      <c r="F39" s="6" t="str">
        <f t="shared" si="0"/>
        <v>*0.63</v>
      </c>
      <c r="H39" t="s">
        <v>104</v>
      </c>
      <c r="I39" s="5" t="s">
        <v>57</v>
      </c>
      <c r="J39">
        <v>2050</v>
      </c>
      <c r="K39" s="38" t="str">
        <f t="shared" si="1"/>
        <v>*0.54</v>
      </c>
      <c r="P39" s="32" t="s">
        <v>104</v>
      </c>
      <c r="Q39" s="42" t="s">
        <v>57</v>
      </c>
      <c r="R39" s="32">
        <v>2035</v>
      </c>
      <c r="S39" s="43" t="str">
        <f t="shared" si="2"/>
        <v>*0.62</v>
      </c>
      <c r="U39" s="32" t="s">
        <v>104</v>
      </c>
      <c r="V39" s="42" t="s">
        <v>57</v>
      </c>
      <c r="W39" s="32">
        <v>2050</v>
      </c>
      <c r="X39" s="43" t="str">
        <f t="shared" si="3"/>
        <v>*0.51</v>
      </c>
      <c r="AC39" s="33" t="s">
        <v>104</v>
      </c>
      <c r="AD39" s="44" t="s">
        <v>57</v>
      </c>
      <c r="AE39" s="33">
        <v>2035</v>
      </c>
      <c r="AF39" s="45" t="str">
        <f t="shared" si="4"/>
        <v>*0.58</v>
      </c>
      <c r="AG39" s="43" t="str">
        <f t="shared" si="8"/>
        <v>REZoning_Sol-Win</v>
      </c>
      <c r="AI39" s="33" t="s">
        <v>104</v>
      </c>
      <c r="AJ39" s="44" t="s">
        <v>57</v>
      </c>
      <c r="AK39" s="33">
        <v>2050</v>
      </c>
      <c r="AL39" s="45" t="str">
        <f t="shared" si="5"/>
        <v>*0.49</v>
      </c>
      <c r="AM39" s="43" t="str">
        <f t="shared" si="9"/>
        <v>REZoning_Sol-Win</v>
      </c>
      <c r="AP39" t="s">
        <v>104</v>
      </c>
      <c r="AQ39" t="s">
        <v>57</v>
      </c>
      <c r="AR39">
        <v>2100</v>
      </c>
      <c r="AS39" t="s">
        <v>75</v>
      </c>
      <c r="AT39" t="s">
        <v>58</v>
      </c>
    </row>
    <row r="40" ht="29" spans="1:46">
      <c r="A40" s="31" t="s">
        <v>73</v>
      </c>
      <c r="C40" t="s">
        <v>105</v>
      </c>
      <c r="D40" s="5" t="s">
        <v>57</v>
      </c>
      <c r="E40">
        <v>2035</v>
      </c>
      <c r="F40" s="6" t="str">
        <f t="shared" si="0"/>
        <v>*0.63</v>
      </c>
      <c r="H40" t="s">
        <v>105</v>
      </c>
      <c r="I40" s="5" t="s">
        <v>57</v>
      </c>
      <c r="J40">
        <v>2050</v>
      </c>
      <c r="K40" s="38" t="str">
        <f t="shared" si="1"/>
        <v>*0.54</v>
      </c>
      <c r="P40" s="32" t="s">
        <v>105</v>
      </c>
      <c r="Q40" s="42" t="s">
        <v>57</v>
      </c>
      <c r="R40" s="32">
        <v>2035</v>
      </c>
      <c r="S40" s="43" t="str">
        <f t="shared" si="2"/>
        <v>*0.62</v>
      </c>
      <c r="U40" s="32" t="s">
        <v>105</v>
      </c>
      <c r="V40" s="42" t="s">
        <v>57</v>
      </c>
      <c r="W40" s="32">
        <v>2050</v>
      </c>
      <c r="X40" s="43" t="str">
        <f t="shared" si="3"/>
        <v>*0.51</v>
      </c>
      <c r="AC40" s="33" t="s">
        <v>105</v>
      </c>
      <c r="AD40" s="44" t="s">
        <v>57</v>
      </c>
      <c r="AE40" s="33">
        <v>2035</v>
      </c>
      <c r="AF40" s="45" t="str">
        <f t="shared" si="4"/>
        <v>*0.58</v>
      </c>
      <c r="AG40" s="43" t="str">
        <f t="shared" si="8"/>
        <v>REZoning_Sol-Win</v>
      </c>
      <c r="AI40" s="33" t="s">
        <v>105</v>
      </c>
      <c r="AJ40" s="44" t="s">
        <v>57</v>
      </c>
      <c r="AK40" s="33">
        <v>2050</v>
      </c>
      <c r="AL40" s="45" t="str">
        <f t="shared" si="5"/>
        <v>*0.49</v>
      </c>
      <c r="AM40" s="43" t="str">
        <f t="shared" si="9"/>
        <v>REZoning_Sol-Win</v>
      </c>
      <c r="AP40" t="s">
        <v>105</v>
      </c>
      <c r="AQ40" t="s">
        <v>57</v>
      </c>
      <c r="AR40">
        <v>2100</v>
      </c>
      <c r="AS40" t="s">
        <v>75</v>
      </c>
      <c r="AT40" t="s">
        <v>58</v>
      </c>
    </row>
    <row r="41" ht="29" spans="1:46">
      <c r="A41" s="31" t="s">
        <v>73</v>
      </c>
      <c r="C41" t="s">
        <v>106</v>
      </c>
      <c r="D41" s="5" t="s">
        <v>57</v>
      </c>
      <c r="E41">
        <v>2035</v>
      </c>
      <c r="F41" s="6" t="str">
        <f t="shared" si="0"/>
        <v>*0.63</v>
      </c>
      <c r="H41" t="s">
        <v>106</v>
      </c>
      <c r="I41" s="5" t="s">
        <v>57</v>
      </c>
      <c r="J41">
        <v>2050</v>
      </c>
      <c r="K41" s="38" t="str">
        <f t="shared" si="1"/>
        <v>*0.54</v>
      </c>
      <c r="P41" s="32" t="s">
        <v>106</v>
      </c>
      <c r="Q41" s="42" t="s">
        <v>57</v>
      </c>
      <c r="R41" s="32">
        <v>2035</v>
      </c>
      <c r="S41" s="43" t="str">
        <f t="shared" si="2"/>
        <v>*0.62</v>
      </c>
      <c r="U41" s="32" t="s">
        <v>106</v>
      </c>
      <c r="V41" s="42" t="s">
        <v>57</v>
      </c>
      <c r="W41" s="32">
        <v>2050</v>
      </c>
      <c r="X41" s="43" t="str">
        <f t="shared" si="3"/>
        <v>*0.51</v>
      </c>
      <c r="AC41" s="33" t="s">
        <v>106</v>
      </c>
      <c r="AD41" s="44" t="s">
        <v>57</v>
      </c>
      <c r="AE41" s="33">
        <v>2035</v>
      </c>
      <c r="AF41" s="45" t="str">
        <f t="shared" si="4"/>
        <v>*0.58</v>
      </c>
      <c r="AG41" s="43" t="str">
        <f t="shared" si="8"/>
        <v>REZoning_Sol-Win</v>
      </c>
      <c r="AI41" s="33" t="s">
        <v>106</v>
      </c>
      <c r="AJ41" s="44" t="s">
        <v>57</v>
      </c>
      <c r="AK41" s="33">
        <v>2050</v>
      </c>
      <c r="AL41" s="45" t="str">
        <f t="shared" si="5"/>
        <v>*0.49</v>
      </c>
      <c r="AM41" s="43" t="str">
        <f t="shared" si="9"/>
        <v>REZoning_Sol-Win</v>
      </c>
      <c r="AP41" t="s">
        <v>106</v>
      </c>
      <c r="AQ41" t="s">
        <v>57</v>
      </c>
      <c r="AR41">
        <v>2100</v>
      </c>
      <c r="AS41" t="s">
        <v>75</v>
      </c>
      <c r="AT41" t="s">
        <v>58</v>
      </c>
    </row>
    <row r="42" ht="29" spans="1:46">
      <c r="A42" s="31" t="s">
        <v>95</v>
      </c>
      <c r="C42" t="s">
        <v>107</v>
      </c>
      <c r="D42" s="5" t="s">
        <v>57</v>
      </c>
      <c r="E42">
        <v>2035</v>
      </c>
      <c r="F42" s="6" t="str">
        <f t="shared" si="0"/>
        <v>*0.65</v>
      </c>
      <c r="H42" t="s">
        <v>107</v>
      </c>
      <c r="I42" s="5" t="s">
        <v>57</v>
      </c>
      <c r="J42">
        <v>2050</v>
      </c>
      <c r="K42" s="38" t="str">
        <f t="shared" si="1"/>
        <v>*0.54</v>
      </c>
      <c r="P42" s="32" t="s">
        <v>107</v>
      </c>
      <c r="Q42" s="42" t="s">
        <v>57</v>
      </c>
      <c r="R42" s="32">
        <v>2035</v>
      </c>
      <c r="S42" s="43" t="str">
        <f t="shared" si="2"/>
        <v>*0.63</v>
      </c>
      <c r="U42" s="32" t="s">
        <v>107</v>
      </c>
      <c r="V42" s="42" t="s">
        <v>57</v>
      </c>
      <c r="W42" s="32">
        <v>2050</v>
      </c>
      <c r="X42" s="43" t="str">
        <f t="shared" si="3"/>
        <v>*0.52</v>
      </c>
      <c r="AC42" s="33" t="s">
        <v>107</v>
      </c>
      <c r="AD42" s="44" t="s">
        <v>57</v>
      </c>
      <c r="AE42" s="33">
        <v>2035</v>
      </c>
      <c r="AF42" s="45" t="str">
        <f t="shared" si="4"/>
        <v>*0.55</v>
      </c>
      <c r="AG42" s="43" t="str">
        <f t="shared" si="8"/>
        <v>REZoning_Sol-Win</v>
      </c>
      <c r="AI42" s="33" t="s">
        <v>107</v>
      </c>
      <c r="AJ42" s="44" t="s">
        <v>57</v>
      </c>
      <c r="AK42" s="33">
        <v>2050</v>
      </c>
      <c r="AL42" s="45" t="str">
        <f t="shared" si="5"/>
        <v>*0.41</v>
      </c>
      <c r="AM42" s="43" t="str">
        <f t="shared" si="9"/>
        <v>REZoning_Sol-Win</v>
      </c>
      <c r="AP42" t="s">
        <v>107</v>
      </c>
      <c r="AQ42" t="s">
        <v>57</v>
      </c>
      <c r="AR42">
        <v>2100</v>
      </c>
      <c r="AS42" t="s">
        <v>67</v>
      </c>
      <c r="AT42" t="s">
        <v>58</v>
      </c>
    </row>
    <row r="43" ht="29" spans="1:46">
      <c r="A43" s="31" t="s">
        <v>95</v>
      </c>
      <c r="C43" t="s">
        <v>108</v>
      </c>
      <c r="D43" s="5" t="s">
        <v>57</v>
      </c>
      <c r="E43">
        <v>2035</v>
      </c>
      <c r="F43" s="6" t="str">
        <f t="shared" si="0"/>
        <v>*0.65</v>
      </c>
      <c r="H43" t="s">
        <v>108</v>
      </c>
      <c r="I43" s="5" t="s">
        <v>57</v>
      </c>
      <c r="J43">
        <v>2050</v>
      </c>
      <c r="K43" s="38" t="str">
        <f t="shared" si="1"/>
        <v>*0.54</v>
      </c>
      <c r="P43" s="32" t="s">
        <v>108</v>
      </c>
      <c r="Q43" s="42" t="s">
        <v>57</v>
      </c>
      <c r="R43" s="32">
        <v>2035</v>
      </c>
      <c r="S43" s="43" t="str">
        <f t="shared" si="2"/>
        <v>*0.63</v>
      </c>
      <c r="U43" s="32" t="s">
        <v>108</v>
      </c>
      <c r="V43" s="42" t="s">
        <v>57</v>
      </c>
      <c r="W43" s="32">
        <v>2050</v>
      </c>
      <c r="X43" s="43" t="str">
        <f t="shared" si="3"/>
        <v>*0.52</v>
      </c>
      <c r="AC43" s="33" t="s">
        <v>108</v>
      </c>
      <c r="AD43" s="44" t="s">
        <v>57</v>
      </c>
      <c r="AE43" s="33">
        <v>2035</v>
      </c>
      <c r="AF43" s="45" t="str">
        <f t="shared" si="4"/>
        <v>*0.55</v>
      </c>
      <c r="AG43" s="43" t="str">
        <f t="shared" si="8"/>
        <v>REZoning_Sol-Win</v>
      </c>
      <c r="AI43" s="33" t="s">
        <v>108</v>
      </c>
      <c r="AJ43" s="44" t="s">
        <v>57</v>
      </c>
      <c r="AK43" s="33">
        <v>2050</v>
      </c>
      <c r="AL43" s="45" t="str">
        <f t="shared" si="5"/>
        <v>*0.41</v>
      </c>
      <c r="AM43" s="43" t="str">
        <f t="shared" si="9"/>
        <v>REZoning_Sol-Win</v>
      </c>
      <c r="AP43" t="s">
        <v>108</v>
      </c>
      <c r="AQ43" t="s">
        <v>57</v>
      </c>
      <c r="AR43">
        <v>2100</v>
      </c>
      <c r="AS43" t="s">
        <v>67</v>
      </c>
      <c r="AT43" t="s">
        <v>58</v>
      </c>
    </row>
    <row r="44" ht="29" spans="1:46">
      <c r="A44" s="31" t="s">
        <v>95</v>
      </c>
      <c r="C44" t="s">
        <v>109</v>
      </c>
      <c r="D44" s="5" t="s">
        <v>57</v>
      </c>
      <c r="E44">
        <v>2035</v>
      </c>
      <c r="F44" s="6" t="str">
        <f t="shared" si="0"/>
        <v>*0.65</v>
      </c>
      <c r="H44" t="s">
        <v>109</v>
      </c>
      <c r="I44" s="5" t="s">
        <v>57</v>
      </c>
      <c r="J44">
        <v>2050</v>
      </c>
      <c r="K44" s="38" t="str">
        <f t="shared" si="1"/>
        <v>*0.54</v>
      </c>
      <c r="P44" s="32" t="s">
        <v>109</v>
      </c>
      <c r="Q44" s="42" t="s">
        <v>57</v>
      </c>
      <c r="R44" s="32">
        <v>2035</v>
      </c>
      <c r="S44" s="43" t="str">
        <f t="shared" si="2"/>
        <v>*0.63</v>
      </c>
      <c r="U44" s="32" t="s">
        <v>109</v>
      </c>
      <c r="V44" s="42" t="s">
        <v>57</v>
      </c>
      <c r="W44" s="32">
        <v>2050</v>
      </c>
      <c r="X44" s="43" t="str">
        <f t="shared" si="3"/>
        <v>*0.52</v>
      </c>
      <c r="AC44" s="33" t="s">
        <v>109</v>
      </c>
      <c r="AD44" s="44" t="s">
        <v>57</v>
      </c>
      <c r="AE44" s="33">
        <v>2035</v>
      </c>
      <c r="AF44" s="45" t="str">
        <f t="shared" si="4"/>
        <v>*0.55</v>
      </c>
      <c r="AG44" s="43" t="str">
        <f t="shared" si="8"/>
        <v>REZoning_Sol-Win</v>
      </c>
      <c r="AI44" s="33" t="s">
        <v>109</v>
      </c>
      <c r="AJ44" s="44" t="s">
        <v>57</v>
      </c>
      <c r="AK44" s="33">
        <v>2050</v>
      </c>
      <c r="AL44" s="45" t="str">
        <f t="shared" si="5"/>
        <v>*0.41</v>
      </c>
      <c r="AM44" s="43" t="str">
        <f t="shared" si="9"/>
        <v>REZoning_Sol-Win</v>
      </c>
      <c r="AP44" t="s">
        <v>109</v>
      </c>
      <c r="AQ44" t="s">
        <v>57</v>
      </c>
      <c r="AR44">
        <v>2100</v>
      </c>
      <c r="AS44" t="s">
        <v>67</v>
      </c>
      <c r="AT44" t="s">
        <v>58</v>
      </c>
    </row>
    <row r="45" ht="29" spans="1:46">
      <c r="A45" s="31" t="s">
        <v>95</v>
      </c>
      <c r="C45" t="s">
        <v>110</v>
      </c>
      <c r="D45" s="5" t="s">
        <v>57</v>
      </c>
      <c r="E45">
        <v>2035</v>
      </c>
      <c r="F45" s="6" t="str">
        <f t="shared" si="0"/>
        <v>*0.65</v>
      </c>
      <c r="H45" t="s">
        <v>110</v>
      </c>
      <c r="I45" s="5" t="s">
        <v>57</v>
      </c>
      <c r="J45">
        <v>2050</v>
      </c>
      <c r="K45" s="38" t="str">
        <f t="shared" si="1"/>
        <v>*0.54</v>
      </c>
      <c r="P45" s="32" t="s">
        <v>110</v>
      </c>
      <c r="Q45" s="42" t="s">
        <v>57</v>
      </c>
      <c r="R45" s="32">
        <v>2035</v>
      </c>
      <c r="S45" s="43" t="str">
        <f t="shared" si="2"/>
        <v>*0.63</v>
      </c>
      <c r="U45" s="32" t="s">
        <v>110</v>
      </c>
      <c r="V45" s="42" t="s">
        <v>57</v>
      </c>
      <c r="W45" s="32">
        <v>2050</v>
      </c>
      <c r="X45" s="43" t="str">
        <f t="shared" si="3"/>
        <v>*0.52</v>
      </c>
      <c r="AC45" s="33" t="s">
        <v>110</v>
      </c>
      <c r="AD45" s="44" t="s">
        <v>57</v>
      </c>
      <c r="AE45" s="33">
        <v>2035</v>
      </c>
      <c r="AF45" s="45" t="str">
        <f t="shared" si="4"/>
        <v>*0.55</v>
      </c>
      <c r="AG45" s="43" t="str">
        <f t="shared" si="8"/>
        <v>REZoning_Sol-Win</v>
      </c>
      <c r="AI45" s="33" t="s">
        <v>110</v>
      </c>
      <c r="AJ45" s="44" t="s">
        <v>57</v>
      </c>
      <c r="AK45" s="33">
        <v>2050</v>
      </c>
      <c r="AL45" s="45" t="str">
        <f t="shared" si="5"/>
        <v>*0.41</v>
      </c>
      <c r="AM45" s="43" t="str">
        <f t="shared" si="9"/>
        <v>REZoning_Sol-Win</v>
      </c>
      <c r="AP45" t="s">
        <v>110</v>
      </c>
      <c r="AQ45" t="s">
        <v>57</v>
      </c>
      <c r="AR45">
        <v>2100</v>
      </c>
      <c r="AS45" t="s">
        <v>67</v>
      </c>
      <c r="AT45" t="s">
        <v>58</v>
      </c>
    </row>
    <row r="46" ht="29" spans="1:46">
      <c r="A46" s="31" t="s">
        <v>95</v>
      </c>
      <c r="C46" t="s">
        <v>111</v>
      </c>
      <c r="D46" s="5" t="s">
        <v>57</v>
      </c>
      <c r="E46">
        <v>2035</v>
      </c>
      <c r="F46" s="6" t="str">
        <f t="shared" si="0"/>
        <v>*0.65</v>
      </c>
      <c r="H46" t="s">
        <v>111</v>
      </c>
      <c r="I46" s="5" t="s">
        <v>57</v>
      </c>
      <c r="J46">
        <v>2050</v>
      </c>
      <c r="K46" s="38" t="str">
        <f t="shared" si="1"/>
        <v>*0.54</v>
      </c>
      <c r="P46" s="32" t="s">
        <v>111</v>
      </c>
      <c r="Q46" s="42" t="s">
        <v>57</v>
      </c>
      <c r="R46" s="32">
        <v>2035</v>
      </c>
      <c r="S46" s="43" t="str">
        <f t="shared" si="2"/>
        <v>*0.63</v>
      </c>
      <c r="U46" s="32" t="s">
        <v>111</v>
      </c>
      <c r="V46" s="42" t="s">
        <v>57</v>
      </c>
      <c r="W46" s="32">
        <v>2050</v>
      </c>
      <c r="X46" s="43" t="str">
        <f t="shared" si="3"/>
        <v>*0.52</v>
      </c>
      <c r="AC46" s="33" t="s">
        <v>111</v>
      </c>
      <c r="AD46" s="44" t="s">
        <v>57</v>
      </c>
      <c r="AE46" s="33">
        <v>2035</v>
      </c>
      <c r="AF46" s="45" t="str">
        <f t="shared" si="4"/>
        <v>*0.55</v>
      </c>
      <c r="AG46" s="43" t="str">
        <f t="shared" si="8"/>
        <v>REZoning_Sol-Win</v>
      </c>
      <c r="AI46" s="33" t="s">
        <v>111</v>
      </c>
      <c r="AJ46" s="44" t="s">
        <v>57</v>
      </c>
      <c r="AK46" s="33">
        <v>2050</v>
      </c>
      <c r="AL46" s="45" t="str">
        <f t="shared" si="5"/>
        <v>*0.41</v>
      </c>
      <c r="AM46" s="43" t="str">
        <f t="shared" si="9"/>
        <v>REZoning_Sol-Win</v>
      </c>
      <c r="AP46" t="s">
        <v>111</v>
      </c>
      <c r="AQ46" t="s">
        <v>57</v>
      </c>
      <c r="AR46">
        <v>2100</v>
      </c>
      <c r="AS46" t="s">
        <v>67</v>
      </c>
      <c r="AT46" t="s">
        <v>58</v>
      </c>
    </row>
    <row r="47" ht="29" spans="1:46">
      <c r="A47" s="31" t="s">
        <v>95</v>
      </c>
      <c r="C47" t="s">
        <v>112</v>
      </c>
      <c r="D47" s="5" t="s">
        <v>57</v>
      </c>
      <c r="E47">
        <v>2035</v>
      </c>
      <c r="F47" s="6" t="str">
        <f t="shared" si="0"/>
        <v>*0.65</v>
      </c>
      <c r="H47" t="s">
        <v>112</v>
      </c>
      <c r="I47" s="5" t="s">
        <v>57</v>
      </c>
      <c r="J47">
        <v>2050</v>
      </c>
      <c r="K47" s="38" t="str">
        <f t="shared" si="1"/>
        <v>*0.54</v>
      </c>
      <c r="P47" s="32" t="s">
        <v>112</v>
      </c>
      <c r="Q47" s="42" t="s">
        <v>57</v>
      </c>
      <c r="R47" s="32">
        <v>2035</v>
      </c>
      <c r="S47" s="43" t="str">
        <f t="shared" si="2"/>
        <v>*0.63</v>
      </c>
      <c r="U47" s="32" t="s">
        <v>112</v>
      </c>
      <c r="V47" s="42" t="s">
        <v>57</v>
      </c>
      <c r="W47" s="32">
        <v>2050</v>
      </c>
      <c r="X47" s="43" t="str">
        <f t="shared" si="3"/>
        <v>*0.52</v>
      </c>
      <c r="AC47" s="33" t="s">
        <v>112</v>
      </c>
      <c r="AD47" s="44" t="s">
        <v>57</v>
      </c>
      <c r="AE47" s="33">
        <v>2035</v>
      </c>
      <c r="AF47" s="45" t="str">
        <f t="shared" si="4"/>
        <v>*0.55</v>
      </c>
      <c r="AG47" s="43" t="str">
        <f t="shared" si="8"/>
        <v>REZoning_Sol-Win</v>
      </c>
      <c r="AI47" s="33" t="s">
        <v>112</v>
      </c>
      <c r="AJ47" s="44" t="s">
        <v>57</v>
      </c>
      <c r="AK47" s="33">
        <v>2050</v>
      </c>
      <c r="AL47" s="45" t="str">
        <f t="shared" si="5"/>
        <v>*0.41</v>
      </c>
      <c r="AM47" s="43" t="str">
        <f t="shared" si="9"/>
        <v>REZoning_Sol-Win</v>
      </c>
      <c r="AP47" t="s">
        <v>112</v>
      </c>
      <c r="AQ47" t="s">
        <v>57</v>
      </c>
      <c r="AR47">
        <v>2100</v>
      </c>
      <c r="AS47" t="s">
        <v>67</v>
      </c>
      <c r="AT47" t="s">
        <v>58</v>
      </c>
    </row>
    <row r="48" ht="29" spans="1:46">
      <c r="A48" s="31" t="s">
        <v>65</v>
      </c>
      <c r="C48" t="s">
        <v>113</v>
      </c>
      <c r="D48" s="5" t="s">
        <v>57</v>
      </c>
      <c r="E48">
        <v>2035</v>
      </c>
      <c r="F48" s="6" t="str">
        <f t="shared" si="0"/>
        <v>*0.61</v>
      </c>
      <c r="H48" t="s">
        <v>113</v>
      </c>
      <c r="I48" s="5" t="s">
        <v>57</v>
      </c>
      <c r="J48">
        <v>2050</v>
      </c>
      <c r="K48" s="38" t="str">
        <f t="shared" si="1"/>
        <v>*0.5</v>
      </c>
      <c r="P48" s="32" t="s">
        <v>113</v>
      </c>
      <c r="Q48" s="42" t="s">
        <v>57</v>
      </c>
      <c r="R48" s="32">
        <v>2035</v>
      </c>
      <c r="S48" s="43" t="str">
        <f t="shared" si="2"/>
        <v>*0.58</v>
      </c>
      <c r="U48" s="32" t="s">
        <v>113</v>
      </c>
      <c r="V48" s="42" t="s">
        <v>57</v>
      </c>
      <c r="W48" s="32">
        <v>2050</v>
      </c>
      <c r="X48" s="43" t="str">
        <f t="shared" si="3"/>
        <v>*0.47</v>
      </c>
      <c r="AC48" s="33" t="s">
        <v>113</v>
      </c>
      <c r="AD48" s="44" t="s">
        <v>57</v>
      </c>
      <c r="AE48" s="33">
        <v>2035</v>
      </c>
      <c r="AF48" s="45" t="str">
        <f t="shared" si="4"/>
        <v>*0.53</v>
      </c>
      <c r="AG48" s="43" t="str">
        <f t="shared" si="8"/>
        <v>REZoning_Sol-Win</v>
      </c>
      <c r="AI48" s="33" t="s">
        <v>113</v>
      </c>
      <c r="AJ48" s="44" t="s">
        <v>57</v>
      </c>
      <c r="AK48" s="33">
        <v>2050</v>
      </c>
      <c r="AL48" s="45" t="str">
        <f t="shared" si="5"/>
        <v>*0.41</v>
      </c>
      <c r="AM48" s="43" t="str">
        <f t="shared" si="9"/>
        <v>REZoning_Sol-Win</v>
      </c>
      <c r="AP48" t="s">
        <v>113</v>
      </c>
      <c r="AQ48" t="s">
        <v>57</v>
      </c>
      <c r="AR48">
        <v>2100</v>
      </c>
      <c r="AS48" t="s">
        <v>67</v>
      </c>
      <c r="AT48" t="s">
        <v>58</v>
      </c>
    </row>
    <row r="49" ht="29" spans="1:46">
      <c r="A49" s="31" t="s">
        <v>65</v>
      </c>
      <c r="C49" t="s">
        <v>114</v>
      </c>
      <c r="D49" s="5" t="s">
        <v>57</v>
      </c>
      <c r="E49">
        <v>2035</v>
      </c>
      <c r="F49" s="6" t="str">
        <f t="shared" si="0"/>
        <v>*0.61</v>
      </c>
      <c r="H49" t="s">
        <v>114</v>
      </c>
      <c r="I49" s="5" t="s">
        <v>57</v>
      </c>
      <c r="J49">
        <v>2050</v>
      </c>
      <c r="K49" s="38" t="str">
        <f t="shared" si="1"/>
        <v>*0.5</v>
      </c>
      <c r="P49" s="32" t="s">
        <v>114</v>
      </c>
      <c r="Q49" s="42" t="s">
        <v>57</v>
      </c>
      <c r="R49" s="32">
        <v>2035</v>
      </c>
      <c r="S49" s="43" t="str">
        <f t="shared" si="2"/>
        <v>*0.58</v>
      </c>
      <c r="U49" s="32" t="s">
        <v>114</v>
      </c>
      <c r="V49" s="42" t="s">
        <v>57</v>
      </c>
      <c r="W49" s="32">
        <v>2050</v>
      </c>
      <c r="X49" s="43" t="str">
        <f t="shared" si="3"/>
        <v>*0.47</v>
      </c>
      <c r="AC49" s="33" t="s">
        <v>114</v>
      </c>
      <c r="AD49" s="44" t="s">
        <v>57</v>
      </c>
      <c r="AE49" s="33">
        <v>2035</v>
      </c>
      <c r="AF49" s="45" t="str">
        <f t="shared" si="4"/>
        <v>*0.53</v>
      </c>
      <c r="AG49" s="43" t="str">
        <f t="shared" si="8"/>
        <v>REZoning_Sol-Win</v>
      </c>
      <c r="AI49" s="33" t="s">
        <v>114</v>
      </c>
      <c r="AJ49" s="44" t="s">
        <v>57</v>
      </c>
      <c r="AK49" s="33">
        <v>2050</v>
      </c>
      <c r="AL49" s="45" t="str">
        <f t="shared" si="5"/>
        <v>*0.41</v>
      </c>
      <c r="AM49" s="43" t="str">
        <f t="shared" si="9"/>
        <v>REZoning_Sol-Win</v>
      </c>
      <c r="AP49" t="s">
        <v>114</v>
      </c>
      <c r="AQ49" t="s">
        <v>57</v>
      </c>
      <c r="AR49">
        <v>2100</v>
      </c>
      <c r="AS49" t="s">
        <v>67</v>
      </c>
      <c r="AT49" t="s">
        <v>58</v>
      </c>
    </row>
    <row r="50" ht="29" spans="1:46">
      <c r="A50" s="31" t="s">
        <v>65</v>
      </c>
      <c r="C50" t="s">
        <v>115</v>
      </c>
      <c r="D50" s="5" t="s">
        <v>57</v>
      </c>
      <c r="E50">
        <v>2035</v>
      </c>
      <c r="F50" s="6" t="str">
        <f t="shared" si="0"/>
        <v>*0.61</v>
      </c>
      <c r="H50" t="s">
        <v>115</v>
      </c>
      <c r="I50" s="5" t="s">
        <v>57</v>
      </c>
      <c r="J50">
        <v>2050</v>
      </c>
      <c r="K50" s="38" t="str">
        <f t="shared" si="1"/>
        <v>*0.5</v>
      </c>
      <c r="P50" s="32" t="s">
        <v>115</v>
      </c>
      <c r="Q50" s="42" t="s">
        <v>57</v>
      </c>
      <c r="R50" s="32">
        <v>2035</v>
      </c>
      <c r="S50" s="43" t="str">
        <f t="shared" si="2"/>
        <v>*0.58</v>
      </c>
      <c r="U50" s="32" t="s">
        <v>115</v>
      </c>
      <c r="V50" s="42" t="s">
        <v>57</v>
      </c>
      <c r="W50" s="32">
        <v>2050</v>
      </c>
      <c r="X50" s="43" t="str">
        <f t="shared" si="3"/>
        <v>*0.47</v>
      </c>
      <c r="AC50" s="33" t="s">
        <v>115</v>
      </c>
      <c r="AD50" s="44" t="s">
        <v>57</v>
      </c>
      <c r="AE50" s="33">
        <v>2035</v>
      </c>
      <c r="AF50" s="45" t="str">
        <f t="shared" si="4"/>
        <v>*0.53</v>
      </c>
      <c r="AG50" s="43" t="str">
        <f t="shared" si="8"/>
        <v>REZoning_Sol-Win</v>
      </c>
      <c r="AI50" s="33" t="s">
        <v>115</v>
      </c>
      <c r="AJ50" s="44" t="s">
        <v>57</v>
      </c>
      <c r="AK50" s="33">
        <v>2050</v>
      </c>
      <c r="AL50" s="45" t="str">
        <f t="shared" si="5"/>
        <v>*0.41</v>
      </c>
      <c r="AM50" s="43" t="str">
        <f t="shared" si="9"/>
        <v>REZoning_Sol-Win</v>
      </c>
      <c r="AP50" t="s">
        <v>115</v>
      </c>
      <c r="AQ50" t="s">
        <v>57</v>
      </c>
      <c r="AR50">
        <v>2100</v>
      </c>
      <c r="AS50" t="s">
        <v>67</v>
      </c>
      <c r="AT50" t="s">
        <v>58</v>
      </c>
    </row>
    <row r="51" ht="29" spans="1:46">
      <c r="A51" s="31" t="s">
        <v>73</v>
      </c>
      <c r="C51" t="s">
        <v>116</v>
      </c>
      <c r="D51" s="5" t="s">
        <v>57</v>
      </c>
      <c r="E51">
        <v>2035</v>
      </c>
      <c r="F51" s="6" t="str">
        <f t="shared" si="0"/>
        <v>*0.63</v>
      </c>
      <c r="H51" t="s">
        <v>116</v>
      </c>
      <c r="I51" s="5" t="s">
        <v>57</v>
      </c>
      <c r="J51">
        <v>2050</v>
      </c>
      <c r="K51" s="38" t="str">
        <f t="shared" si="1"/>
        <v>*0.54</v>
      </c>
      <c r="P51" s="32" t="s">
        <v>116</v>
      </c>
      <c r="Q51" s="42" t="s">
        <v>57</v>
      </c>
      <c r="R51" s="32">
        <v>2035</v>
      </c>
      <c r="S51" s="43" t="str">
        <f t="shared" si="2"/>
        <v>*0.62</v>
      </c>
      <c r="U51" s="32" t="s">
        <v>116</v>
      </c>
      <c r="V51" s="42" t="s">
        <v>57</v>
      </c>
      <c r="W51" s="32">
        <v>2050</v>
      </c>
      <c r="X51" s="43" t="str">
        <f t="shared" si="3"/>
        <v>*0.51</v>
      </c>
      <c r="AC51" s="33" t="s">
        <v>116</v>
      </c>
      <c r="AD51" s="44" t="s">
        <v>57</v>
      </c>
      <c r="AE51" s="33">
        <v>2035</v>
      </c>
      <c r="AF51" s="45" t="str">
        <f t="shared" si="4"/>
        <v>*0.58</v>
      </c>
      <c r="AG51" s="43" t="str">
        <f t="shared" si="8"/>
        <v>REZoning_Sol-Win</v>
      </c>
      <c r="AI51" s="33" t="s">
        <v>116</v>
      </c>
      <c r="AJ51" s="44" t="s">
        <v>57</v>
      </c>
      <c r="AK51" s="33">
        <v>2050</v>
      </c>
      <c r="AL51" s="45" t="str">
        <f t="shared" si="5"/>
        <v>*0.49</v>
      </c>
      <c r="AM51" s="43" t="str">
        <f t="shared" si="9"/>
        <v>REZoning_Sol-Win</v>
      </c>
      <c r="AP51" t="s">
        <v>116</v>
      </c>
      <c r="AQ51" t="s">
        <v>57</v>
      </c>
      <c r="AR51">
        <v>2100</v>
      </c>
      <c r="AS51" t="s">
        <v>75</v>
      </c>
      <c r="AT51" t="s">
        <v>58</v>
      </c>
    </row>
    <row r="52" ht="29" spans="1:46">
      <c r="A52" s="31" t="s">
        <v>73</v>
      </c>
      <c r="C52" t="s">
        <v>117</v>
      </c>
      <c r="D52" s="5" t="s">
        <v>57</v>
      </c>
      <c r="E52">
        <v>2035</v>
      </c>
      <c r="F52" s="6" t="str">
        <f t="shared" si="0"/>
        <v>*0.63</v>
      </c>
      <c r="H52" t="s">
        <v>117</v>
      </c>
      <c r="I52" s="5" t="s">
        <v>57</v>
      </c>
      <c r="J52">
        <v>2050</v>
      </c>
      <c r="K52" s="38" t="str">
        <f t="shared" si="1"/>
        <v>*0.54</v>
      </c>
      <c r="P52" s="32" t="s">
        <v>117</v>
      </c>
      <c r="Q52" s="42" t="s">
        <v>57</v>
      </c>
      <c r="R52" s="32">
        <v>2035</v>
      </c>
      <c r="S52" s="43" t="str">
        <f t="shared" si="2"/>
        <v>*0.62</v>
      </c>
      <c r="U52" s="32" t="s">
        <v>117</v>
      </c>
      <c r="V52" s="42" t="s">
        <v>57</v>
      </c>
      <c r="W52" s="32">
        <v>2050</v>
      </c>
      <c r="X52" s="43" t="str">
        <f t="shared" si="3"/>
        <v>*0.51</v>
      </c>
      <c r="AC52" s="33" t="s">
        <v>117</v>
      </c>
      <c r="AD52" s="44" t="s">
        <v>57</v>
      </c>
      <c r="AE52" s="33">
        <v>2035</v>
      </c>
      <c r="AF52" s="45" t="str">
        <f t="shared" si="4"/>
        <v>*0.58</v>
      </c>
      <c r="AG52" s="43" t="str">
        <f t="shared" si="8"/>
        <v>REZoning_Sol-Win</v>
      </c>
      <c r="AI52" s="33" t="s">
        <v>117</v>
      </c>
      <c r="AJ52" s="44" t="s">
        <v>57</v>
      </c>
      <c r="AK52" s="33">
        <v>2050</v>
      </c>
      <c r="AL52" s="45" t="str">
        <f t="shared" si="5"/>
        <v>*0.49</v>
      </c>
      <c r="AM52" s="43" t="str">
        <f t="shared" si="9"/>
        <v>REZoning_Sol-Win</v>
      </c>
      <c r="AP52" t="s">
        <v>117</v>
      </c>
      <c r="AQ52" t="s">
        <v>57</v>
      </c>
      <c r="AR52">
        <v>2100</v>
      </c>
      <c r="AS52" t="s">
        <v>75</v>
      </c>
      <c r="AT52" t="s">
        <v>58</v>
      </c>
    </row>
    <row r="53" ht="29" spans="1:46">
      <c r="A53" s="31" t="s">
        <v>65</v>
      </c>
      <c r="C53" t="s">
        <v>118</v>
      </c>
      <c r="D53" s="5" t="s">
        <v>57</v>
      </c>
      <c r="E53">
        <v>2035</v>
      </c>
      <c r="F53" s="6" t="str">
        <f t="shared" si="0"/>
        <v>*0.61</v>
      </c>
      <c r="H53" t="s">
        <v>118</v>
      </c>
      <c r="I53" s="5" t="s">
        <v>57</v>
      </c>
      <c r="J53">
        <v>2050</v>
      </c>
      <c r="K53" s="38" t="str">
        <f t="shared" si="1"/>
        <v>*0.5</v>
      </c>
      <c r="P53" s="32" t="s">
        <v>118</v>
      </c>
      <c r="Q53" s="42" t="s">
        <v>57</v>
      </c>
      <c r="R53" s="32">
        <v>2035</v>
      </c>
      <c r="S53" s="43" t="str">
        <f t="shared" si="2"/>
        <v>*0.58</v>
      </c>
      <c r="U53" s="32" t="s">
        <v>118</v>
      </c>
      <c r="V53" s="42" t="s">
        <v>57</v>
      </c>
      <c r="W53" s="32">
        <v>2050</v>
      </c>
      <c r="X53" s="43" t="str">
        <f t="shared" si="3"/>
        <v>*0.47</v>
      </c>
      <c r="AC53" s="33" t="s">
        <v>118</v>
      </c>
      <c r="AD53" s="44" t="s">
        <v>57</v>
      </c>
      <c r="AE53" s="33">
        <v>2035</v>
      </c>
      <c r="AF53" s="45" t="str">
        <f t="shared" si="4"/>
        <v>*0.53</v>
      </c>
      <c r="AG53" s="43" t="str">
        <f t="shared" si="8"/>
        <v>REZoning_Sol-Win</v>
      </c>
      <c r="AI53" s="33" t="s">
        <v>118</v>
      </c>
      <c r="AJ53" s="44" t="s">
        <v>57</v>
      </c>
      <c r="AK53" s="33">
        <v>2050</v>
      </c>
      <c r="AL53" s="45" t="str">
        <f t="shared" si="5"/>
        <v>*0.41</v>
      </c>
      <c r="AM53" s="43" t="str">
        <f t="shared" si="9"/>
        <v>REZoning_Sol-Win</v>
      </c>
      <c r="AP53" t="s">
        <v>118</v>
      </c>
      <c r="AQ53" t="s">
        <v>57</v>
      </c>
      <c r="AR53">
        <v>2100</v>
      </c>
      <c r="AS53" t="s">
        <v>67</v>
      </c>
      <c r="AT53" t="s">
        <v>58</v>
      </c>
    </row>
    <row r="54" ht="29" spans="1:46">
      <c r="A54" s="31" t="s">
        <v>65</v>
      </c>
      <c r="C54" t="s">
        <v>119</v>
      </c>
      <c r="D54" s="5" t="s">
        <v>57</v>
      </c>
      <c r="E54">
        <v>2035</v>
      </c>
      <c r="F54" s="6" t="str">
        <f t="shared" si="0"/>
        <v>*0.61</v>
      </c>
      <c r="H54" t="s">
        <v>119</v>
      </c>
      <c r="I54" s="5" t="s">
        <v>57</v>
      </c>
      <c r="J54">
        <v>2050</v>
      </c>
      <c r="K54" s="38" t="str">
        <f t="shared" si="1"/>
        <v>*0.5</v>
      </c>
      <c r="P54" s="32" t="s">
        <v>119</v>
      </c>
      <c r="Q54" s="42" t="s">
        <v>57</v>
      </c>
      <c r="R54" s="32">
        <v>2035</v>
      </c>
      <c r="S54" s="43" t="str">
        <f t="shared" si="2"/>
        <v>*0.58</v>
      </c>
      <c r="U54" s="32" t="s">
        <v>119</v>
      </c>
      <c r="V54" s="42" t="s">
        <v>57</v>
      </c>
      <c r="W54" s="32">
        <v>2050</v>
      </c>
      <c r="X54" s="43" t="str">
        <f t="shared" si="3"/>
        <v>*0.47</v>
      </c>
      <c r="AC54" s="33" t="s">
        <v>119</v>
      </c>
      <c r="AD54" s="44" t="s">
        <v>57</v>
      </c>
      <c r="AE54" s="33">
        <v>2035</v>
      </c>
      <c r="AF54" s="45" t="str">
        <f t="shared" si="4"/>
        <v>*0.53</v>
      </c>
      <c r="AG54" s="43" t="str">
        <f t="shared" si="8"/>
        <v>REZoning_Sol-Win</v>
      </c>
      <c r="AI54" s="33" t="s">
        <v>119</v>
      </c>
      <c r="AJ54" s="44" t="s">
        <v>57</v>
      </c>
      <c r="AK54" s="33">
        <v>2050</v>
      </c>
      <c r="AL54" s="45" t="str">
        <f t="shared" si="5"/>
        <v>*0.41</v>
      </c>
      <c r="AM54" s="43" t="str">
        <f t="shared" si="9"/>
        <v>REZoning_Sol-Win</v>
      </c>
      <c r="AP54" t="s">
        <v>119</v>
      </c>
      <c r="AQ54" t="s">
        <v>57</v>
      </c>
      <c r="AR54">
        <v>2100</v>
      </c>
      <c r="AS54" t="s">
        <v>67</v>
      </c>
      <c r="AT54" t="s">
        <v>58</v>
      </c>
    </row>
    <row r="55" ht="29" spans="1:46">
      <c r="A55" s="31" t="s">
        <v>65</v>
      </c>
      <c r="C55" t="s">
        <v>120</v>
      </c>
      <c r="D55" s="5" t="s">
        <v>57</v>
      </c>
      <c r="E55">
        <v>2035</v>
      </c>
      <c r="F55" s="6" t="str">
        <f t="shared" si="0"/>
        <v>*0.61</v>
      </c>
      <c r="H55" t="s">
        <v>120</v>
      </c>
      <c r="I55" s="5" t="s">
        <v>57</v>
      </c>
      <c r="J55">
        <v>2050</v>
      </c>
      <c r="K55" s="38" t="str">
        <f t="shared" si="1"/>
        <v>*0.5</v>
      </c>
      <c r="P55" s="32" t="s">
        <v>120</v>
      </c>
      <c r="Q55" s="42" t="s">
        <v>57</v>
      </c>
      <c r="R55" s="32">
        <v>2035</v>
      </c>
      <c r="S55" s="43" t="str">
        <f t="shared" si="2"/>
        <v>*0.58</v>
      </c>
      <c r="U55" s="32" t="s">
        <v>120</v>
      </c>
      <c r="V55" s="42" t="s">
        <v>57</v>
      </c>
      <c r="W55" s="32">
        <v>2050</v>
      </c>
      <c r="X55" s="43" t="str">
        <f t="shared" si="3"/>
        <v>*0.47</v>
      </c>
      <c r="AC55" s="33" t="s">
        <v>120</v>
      </c>
      <c r="AD55" s="44" t="s">
        <v>57</v>
      </c>
      <c r="AE55" s="33">
        <v>2035</v>
      </c>
      <c r="AF55" s="45" t="str">
        <f t="shared" si="4"/>
        <v>*0.53</v>
      </c>
      <c r="AG55" s="43" t="str">
        <f t="shared" si="8"/>
        <v>REZoning_Sol-Win</v>
      </c>
      <c r="AI55" s="33" t="s">
        <v>120</v>
      </c>
      <c r="AJ55" s="44" t="s">
        <v>57</v>
      </c>
      <c r="AK55" s="33">
        <v>2050</v>
      </c>
      <c r="AL55" s="45" t="str">
        <f t="shared" si="5"/>
        <v>*0.41</v>
      </c>
      <c r="AM55" s="43" t="str">
        <f t="shared" si="9"/>
        <v>REZoning_Sol-Win</v>
      </c>
      <c r="AP55" t="s">
        <v>120</v>
      </c>
      <c r="AQ55" t="s">
        <v>57</v>
      </c>
      <c r="AR55">
        <v>2100</v>
      </c>
      <c r="AS55" t="s">
        <v>67</v>
      </c>
      <c r="AT55" t="s">
        <v>58</v>
      </c>
    </row>
    <row r="56" ht="29" spans="1:46">
      <c r="A56" s="31" t="s">
        <v>65</v>
      </c>
      <c r="C56" t="s">
        <v>121</v>
      </c>
      <c r="D56" s="5" t="s">
        <v>57</v>
      </c>
      <c r="E56">
        <v>2035</v>
      </c>
      <c r="F56" s="6" t="str">
        <f t="shared" si="0"/>
        <v>*0.61</v>
      </c>
      <c r="H56" t="s">
        <v>121</v>
      </c>
      <c r="I56" s="5" t="s">
        <v>57</v>
      </c>
      <c r="J56">
        <v>2050</v>
      </c>
      <c r="K56" s="38" t="str">
        <f t="shared" si="1"/>
        <v>*0.5</v>
      </c>
      <c r="P56" s="32" t="s">
        <v>121</v>
      </c>
      <c r="Q56" s="42" t="s">
        <v>57</v>
      </c>
      <c r="R56" s="32">
        <v>2035</v>
      </c>
      <c r="S56" s="43" t="str">
        <f t="shared" si="2"/>
        <v>*0.58</v>
      </c>
      <c r="U56" s="32" t="s">
        <v>121</v>
      </c>
      <c r="V56" s="42" t="s">
        <v>57</v>
      </c>
      <c r="W56" s="32">
        <v>2050</v>
      </c>
      <c r="X56" s="43" t="str">
        <f t="shared" si="3"/>
        <v>*0.47</v>
      </c>
      <c r="AC56" s="33" t="s">
        <v>121</v>
      </c>
      <c r="AD56" s="44" t="s">
        <v>57</v>
      </c>
      <c r="AE56" s="33">
        <v>2035</v>
      </c>
      <c r="AF56" s="45" t="str">
        <f t="shared" si="4"/>
        <v>*0.53</v>
      </c>
      <c r="AG56" s="43" t="str">
        <f t="shared" si="8"/>
        <v>REZoning_Sol-Win</v>
      </c>
      <c r="AI56" s="33" t="s">
        <v>121</v>
      </c>
      <c r="AJ56" s="44" t="s">
        <v>57</v>
      </c>
      <c r="AK56" s="33">
        <v>2050</v>
      </c>
      <c r="AL56" s="45" t="str">
        <f t="shared" si="5"/>
        <v>*0.41</v>
      </c>
      <c r="AM56" s="43" t="str">
        <f t="shared" si="9"/>
        <v>REZoning_Sol-Win</v>
      </c>
      <c r="AP56" t="s">
        <v>121</v>
      </c>
      <c r="AQ56" t="s">
        <v>57</v>
      </c>
      <c r="AR56">
        <v>2100</v>
      </c>
      <c r="AS56" t="s">
        <v>67</v>
      </c>
      <c r="AT56" t="s">
        <v>58</v>
      </c>
    </row>
    <row r="57" ht="29" spans="1:46">
      <c r="A57" s="31" t="s">
        <v>65</v>
      </c>
      <c r="C57" t="s">
        <v>122</v>
      </c>
      <c r="D57" s="5" t="s">
        <v>57</v>
      </c>
      <c r="E57">
        <v>2035</v>
      </c>
      <c r="F57" s="6" t="str">
        <f t="shared" si="0"/>
        <v>*0.61</v>
      </c>
      <c r="H57" t="s">
        <v>122</v>
      </c>
      <c r="I57" s="5" t="s">
        <v>57</v>
      </c>
      <c r="J57">
        <v>2050</v>
      </c>
      <c r="K57" s="38" t="str">
        <f t="shared" si="1"/>
        <v>*0.5</v>
      </c>
      <c r="P57" s="32" t="s">
        <v>122</v>
      </c>
      <c r="Q57" s="42" t="s">
        <v>57</v>
      </c>
      <c r="R57" s="32">
        <v>2035</v>
      </c>
      <c r="S57" s="43" t="str">
        <f t="shared" si="2"/>
        <v>*0.58</v>
      </c>
      <c r="U57" s="32" t="s">
        <v>122</v>
      </c>
      <c r="V57" s="42" t="s">
        <v>57</v>
      </c>
      <c r="W57" s="32">
        <v>2050</v>
      </c>
      <c r="X57" s="43" t="str">
        <f t="shared" si="3"/>
        <v>*0.47</v>
      </c>
      <c r="AC57" s="33" t="s">
        <v>122</v>
      </c>
      <c r="AD57" s="44" t="s">
        <v>57</v>
      </c>
      <c r="AE57" s="33">
        <v>2035</v>
      </c>
      <c r="AF57" s="45" t="str">
        <f t="shared" si="4"/>
        <v>*0.53</v>
      </c>
      <c r="AG57" s="43" t="str">
        <f t="shared" si="8"/>
        <v>REZoning_Sol-Win</v>
      </c>
      <c r="AI57" s="33" t="s">
        <v>122</v>
      </c>
      <c r="AJ57" s="44" t="s">
        <v>57</v>
      </c>
      <c r="AK57" s="33">
        <v>2050</v>
      </c>
      <c r="AL57" s="45" t="str">
        <f t="shared" si="5"/>
        <v>*0.41</v>
      </c>
      <c r="AM57" s="43" t="str">
        <f t="shared" si="9"/>
        <v>REZoning_Sol-Win</v>
      </c>
      <c r="AP57" t="s">
        <v>122</v>
      </c>
      <c r="AQ57" t="s">
        <v>57</v>
      </c>
      <c r="AR57">
        <v>2100</v>
      </c>
      <c r="AS57" t="s">
        <v>67</v>
      </c>
      <c r="AT57" t="s">
        <v>58</v>
      </c>
    </row>
    <row r="58" ht="29" spans="1:46">
      <c r="A58" s="31" t="s">
        <v>55</v>
      </c>
      <c r="C58" t="s">
        <v>123</v>
      </c>
      <c r="D58" s="5" t="s">
        <v>57</v>
      </c>
      <c r="E58">
        <v>2035</v>
      </c>
      <c r="F58" s="6" t="str">
        <f t="shared" si="0"/>
        <v>*0.6</v>
      </c>
      <c r="H58" t="s">
        <v>123</v>
      </c>
      <c r="I58" s="5" t="s">
        <v>57</v>
      </c>
      <c r="J58">
        <v>2050</v>
      </c>
      <c r="K58" s="38" t="str">
        <f t="shared" si="1"/>
        <v>*0.49</v>
      </c>
      <c r="P58" s="32" t="s">
        <v>123</v>
      </c>
      <c r="Q58" s="42" t="s">
        <v>57</v>
      </c>
      <c r="R58" s="32">
        <v>2035</v>
      </c>
      <c r="S58" s="43" t="str">
        <f t="shared" si="2"/>
        <v>*0.58</v>
      </c>
      <c r="U58" s="32" t="s">
        <v>123</v>
      </c>
      <c r="V58" s="42" t="s">
        <v>57</v>
      </c>
      <c r="W58" s="32">
        <v>2050</v>
      </c>
      <c r="X58" s="43" t="str">
        <f t="shared" si="3"/>
        <v>*0.47</v>
      </c>
      <c r="AC58" s="33" t="s">
        <v>123</v>
      </c>
      <c r="AD58" s="44" t="s">
        <v>57</v>
      </c>
      <c r="AE58" s="33">
        <v>2035</v>
      </c>
      <c r="AF58" s="45" t="str">
        <f t="shared" si="4"/>
        <v>*0.55</v>
      </c>
      <c r="AG58" s="43" t="str">
        <f t="shared" si="8"/>
        <v>REZoning_Sol-Win</v>
      </c>
      <c r="AI58" s="33" t="s">
        <v>123</v>
      </c>
      <c r="AJ58" s="44" t="s">
        <v>57</v>
      </c>
      <c r="AK58" s="33">
        <v>2050</v>
      </c>
      <c r="AL58" s="45" t="str">
        <f t="shared" si="5"/>
        <v>*0.42</v>
      </c>
      <c r="AM58" s="43" t="str">
        <f t="shared" si="9"/>
        <v>REZoning_Sol-Win</v>
      </c>
      <c r="AP58" t="s">
        <v>123</v>
      </c>
      <c r="AQ58" t="s">
        <v>57</v>
      </c>
      <c r="AR58">
        <v>2100</v>
      </c>
      <c r="AS58" t="s">
        <v>59</v>
      </c>
      <c r="AT58" t="s">
        <v>58</v>
      </c>
    </row>
    <row r="59" ht="29" spans="1:46">
      <c r="A59" s="31" t="s">
        <v>55</v>
      </c>
      <c r="C59" t="s">
        <v>124</v>
      </c>
      <c r="D59" s="5" t="s">
        <v>57</v>
      </c>
      <c r="E59">
        <v>2035</v>
      </c>
      <c r="F59" s="6" t="str">
        <f t="shared" si="0"/>
        <v>*0.6</v>
      </c>
      <c r="H59" t="s">
        <v>124</v>
      </c>
      <c r="I59" s="5" t="s">
        <v>57</v>
      </c>
      <c r="J59">
        <v>2050</v>
      </c>
      <c r="K59" s="38" t="str">
        <f t="shared" si="1"/>
        <v>*0.49</v>
      </c>
      <c r="P59" s="32" t="s">
        <v>124</v>
      </c>
      <c r="Q59" s="42" t="s">
        <v>57</v>
      </c>
      <c r="R59" s="32">
        <v>2035</v>
      </c>
      <c r="S59" s="43" t="str">
        <f t="shared" si="2"/>
        <v>*0.58</v>
      </c>
      <c r="U59" s="32" t="s">
        <v>124</v>
      </c>
      <c r="V59" s="42" t="s">
        <v>57</v>
      </c>
      <c r="W59" s="32">
        <v>2050</v>
      </c>
      <c r="X59" s="43" t="str">
        <f t="shared" si="3"/>
        <v>*0.47</v>
      </c>
      <c r="AC59" s="33" t="s">
        <v>124</v>
      </c>
      <c r="AD59" s="44" t="s">
        <v>57</v>
      </c>
      <c r="AE59" s="33">
        <v>2035</v>
      </c>
      <c r="AF59" s="45" t="str">
        <f t="shared" si="4"/>
        <v>*0.55</v>
      </c>
      <c r="AG59" s="43" t="str">
        <f t="shared" si="8"/>
        <v>REZoning_Sol-Win</v>
      </c>
      <c r="AI59" s="33" t="s">
        <v>124</v>
      </c>
      <c r="AJ59" s="44" t="s">
        <v>57</v>
      </c>
      <c r="AK59" s="33">
        <v>2050</v>
      </c>
      <c r="AL59" s="45" t="str">
        <f t="shared" si="5"/>
        <v>*0.42</v>
      </c>
      <c r="AM59" s="43" t="str">
        <f t="shared" si="9"/>
        <v>REZoning_Sol-Win</v>
      </c>
      <c r="AP59" t="s">
        <v>124</v>
      </c>
      <c r="AQ59" t="s">
        <v>57</v>
      </c>
      <c r="AR59">
        <v>2100</v>
      </c>
      <c r="AS59" t="s">
        <v>59</v>
      </c>
      <c r="AT59" t="s">
        <v>58</v>
      </c>
    </row>
    <row r="60" ht="29" spans="1:46">
      <c r="A60" s="31" t="s">
        <v>55</v>
      </c>
      <c r="C60" t="s">
        <v>125</v>
      </c>
      <c r="D60" s="5" t="s">
        <v>57</v>
      </c>
      <c r="E60">
        <v>2035</v>
      </c>
      <c r="F60" s="6" t="str">
        <f t="shared" si="0"/>
        <v>*0.6</v>
      </c>
      <c r="H60" t="s">
        <v>125</v>
      </c>
      <c r="I60" s="5" t="s">
        <v>57</v>
      </c>
      <c r="J60">
        <v>2050</v>
      </c>
      <c r="K60" s="38" t="str">
        <f t="shared" si="1"/>
        <v>*0.49</v>
      </c>
      <c r="P60" s="32" t="s">
        <v>125</v>
      </c>
      <c r="Q60" s="42" t="s">
        <v>57</v>
      </c>
      <c r="R60" s="32">
        <v>2035</v>
      </c>
      <c r="S60" s="43" t="str">
        <f t="shared" si="2"/>
        <v>*0.58</v>
      </c>
      <c r="U60" s="32" t="s">
        <v>125</v>
      </c>
      <c r="V60" s="42" t="s">
        <v>57</v>
      </c>
      <c r="W60" s="32">
        <v>2050</v>
      </c>
      <c r="X60" s="43" t="str">
        <f t="shared" si="3"/>
        <v>*0.47</v>
      </c>
      <c r="AC60" s="33" t="s">
        <v>125</v>
      </c>
      <c r="AD60" s="44" t="s">
        <v>57</v>
      </c>
      <c r="AE60" s="33">
        <v>2035</v>
      </c>
      <c r="AF60" s="45" t="str">
        <f t="shared" si="4"/>
        <v>*0.55</v>
      </c>
      <c r="AG60" s="43" t="str">
        <f t="shared" si="8"/>
        <v>REZoning_Sol-Win</v>
      </c>
      <c r="AI60" s="33" t="s">
        <v>125</v>
      </c>
      <c r="AJ60" s="44" t="s">
        <v>57</v>
      </c>
      <c r="AK60" s="33">
        <v>2050</v>
      </c>
      <c r="AL60" s="45" t="str">
        <f t="shared" si="5"/>
        <v>*0.42</v>
      </c>
      <c r="AM60" s="43" t="str">
        <f t="shared" si="9"/>
        <v>REZoning_Sol-Win</v>
      </c>
      <c r="AP60" t="s">
        <v>125</v>
      </c>
      <c r="AQ60" t="s">
        <v>57</v>
      </c>
      <c r="AR60">
        <v>2100</v>
      </c>
      <c r="AS60" t="s">
        <v>59</v>
      </c>
      <c r="AT60" t="s">
        <v>58</v>
      </c>
    </row>
    <row r="61" ht="29" spans="1:46">
      <c r="A61" s="31" t="s">
        <v>55</v>
      </c>
      <c r="C61" t="s">
        <v>126</v>
      </c>
      <c r="D61" s="5" t="s">
        <v>57</v>
      </c>
      <c r="E61">
        <v>2035</v>
      </c>
      <c r="F61" s="6" t="str">
        <f t="shared" si="0"/>
        <v>*0.6</v>
      </c>
      <c r="H61" t="s">
        <v>126</v>
      </c>
      <c r="I61" s="5" t="s">
        <v>57</v>
      </c>
      <c r="J61">
        <v>2050</v>
      </c>
      <c r="K61" s="38" t="str">
        <f t="shared" si="1"/>
        <v>*0.49</v>
      </c>
      <c r="P61" s="32" t="s">
        <v>126</v>
      </c>
      <c r="Q61" s="42" t="s">
        <v>57</v>
      </c>
      <c r="R61" s="32">
        <v>2035</v>
      </c>
      <c r="S61" s="43" t="str">
        <f t="shared" si="2"/>
        <v>*0.58</v>
      </c>
      <c r="U61" s="32" t="s">
        <v>126</v>
      </c>
      <c r="V61" s="42" t="s">
        <v>57</v>
      </c>
      <c r="W61" s="32">
        <v>2050</v>
      </c>
      <c r="X61" s="43" t="str">
        <f t="shared" si="3"/>
        <v>*0.47</v>
      </c>
      <c r="AC61" s="33" t="s">
        <v>126</v>
      </c>
      <c r="AD61" s="44" t="s">
        <v>57</v>
      </c>
      <c r="AE61" s="33">
        <v>2035</v>
      </c>
      <c r="AF61" s="45" t="str">
        <f t="shared" si="4"/>
        <v>*0.55</v>
      </c>
      <c r="AG61" s="43" t="str">
        <f t="shared" si="8"/>
        <v>REZoning_Sol-Win</v>
      </c>
      <c r="AI61" s="33" t="s">
        <v>126</v>
      </c>
      <c r="AJ61" s="44" t="s">
        <v>57</v>
      </c>
      <c r="AK61" s="33">
        <v>2050</v>
      </c>
      <c r="AL61" s="45" t="str">
        <f t="shared" si="5"/>
        <v>*0.42</v>
      </c>
      <c r="AM61" s="43" t="str">
        <f t="shared" si="9"/>
        <v>REZoning_Sol-Win</v>
      </c>
      <c r="AP61" t="s">
        <v>126</v>
      </c>
      <c r="AQ61" t="s">
        <v>57</v>
      </c>
      <c r="AR61">
        <v>2100</v>
      </c>
      <c r="AS61" t="s">
        <v>59</v>
      </c>
      <c r="AT61" t="s">
        <v>58</v>
      </c>
    </row>
    <row r="62" ht="29" spans="1:46">
      <c r="A62" s="31" t="s">
        <v>55</v>
      </c>
      <c r="C62" t="s">
        <v>127</v>
      </c>
      <c r="D62" s="5" t="s">
        <v>57</v>
      </c>
      <c r="E62">
        <v>2035</v>
      </c>
      <c r="F62" s="6" t="str">
        <f t="shared" si="0"/>
        <v>*0.6</v>
      </c>
      <c r="H62" t="s">
        <v>127</v>
      </c>
      <c r="I62" s="5" t="s">
        <v>57</v>
      </c>
      <c r="J62">
        <v>2050</v>
      </c>
      <c r="K62" s="38" t="str">
        <f t="shared" si="1"/>
        <v>*0.49</v>
      </c>
      <c r="P62" s="32" t="s">
        <v>127</v>
      </c>
      <c r="Q62" s="42" t="s">
        <v>57</v>
      </c>
      <c r="R62" s="32">
        <v>2035</v>
      </c>
      <c r="S62" s="43" t="str">
        <f t="shared" si="2"/>
        <v>*0.58</v>
      </c>
      <c r="U62" s="32" t="s">
        <v>127</v>
      </c>
      <c r="V62" s="42" t="s">
        <v>57</v>
      </c>
      <c r="W62" s="32">
        <v>2050</v>
      </c>
      <c r="X62" s="43" t="str">
        <f t="shared" si="3"/>
        <v>*0.47</v>
      </c>
      <c r="AC62" s="33" t="s">
        <v>127</v>
      </c>
      <c r="AD62" s="44" t="s">
        <v>57</v>
      </c>
      <c r="AE62" s="33">
        <v>2035</v>
      </c>
      <c r="AF62" s="45" t="str">
        <f t="shared" si="4"/>
        <v>*0.55</v>
      </c>
      <c r="AG62" s="43" t="str">
        <f t="shared" si="8"/>
        <v>REZoning_Sol-Win</v>
      </c>
      <c r="AI62" s="33" t="s">
        <v>127</v>
      </c>
      <c r="AJ62" s="44" t="s">
        <v>57</v>
      </c>
      <c r="AK62" s="33">
        <v>2050</v>
      </c>
      <c r="AL62" s="45" t="str">
        <f t="shared" si="5"/>
        <v>*0.42</v>
      </c>
      <c r="AM62" s="43" t="str">
        <f t="shared" si="9"/>
        <v>REZoning_Sol-Win</v>
      </c>
      <c r="AP62" t="s">
        <v>127</v>
      </c>
      <c r="AQ62" t="s">
        <v>57</v>
      </c>
      <c r="AR62">
        <v>2100</v>
      </c>
      <c r="AS62" t="s">
        <v>59</v>
      </c>
      <c r="AT62" t="s">
        <v>58</v>
      </c>
    </row>
    <row r="63" ht="29" spans="1:46">
      <c r="A63" s="31" t="s">
        <v>55</v>
      </c>
      <c r="C63" t="s">
        <v>128</v>
      </c>
      <c r="D63" s="5" t="s">
        <v>57</v>
      </c>
      <c r="E63">
        <v>2035</v>
      </c>
      <c r="F63" s="6" t="str">
        <f t="shared" si="0"/>
        <v>*0.6</v>
      </c>
      <c r="H63" t="s">
        <v>128</v>
      </c>
      <c r="I63" s="5" t="s">
        <v>57</v>
      </c>
      <c r="J63">
        <v>2050</v>
      </c>
      <c r="K63" s="38" t="str">
        <f t="shared" si="1"/>
        <v>*0.49</v>
      </c>
      <c r="P63" s="32" t="s">
        <v>128</v>
      </c>
      <c r="Q63" s="42" t="s">
        <v>57</v>
      </c>
      <c r="R63" s="32">
        <v>2035</v>
      </c>
      <c r="S63" s="43" t="str">
        <f t="shared" si="2"/>
        <v>*0.58</v>
      </c>
      <c r="U63" s="32" t="s">
        <v>128</v>
      </c>
      <c r="V63" s="42" t="s">
        <v>57</v>
      </c>
      <c r="W63" s="32">
        <v>2050</v>
      </c>
      <c r="X63" s="43" t="str">
        <f t="shared" si="3"/>
        <v>*0.47</v>
      </c>
      <c r="AC63" s="33" t="s">
        <v>128</v>
      </c>
      <c r="AD63" s="44" t="s">
        <v>57</v>
      </c>
      <c r="AE63" s="33">
        <v>2035</v>
      </c>
      <c r="AF63" s="45" t="str">
        <f t="shared" si="4"/>
        <v>*0.55</v>
      </c>
      <c r="AG63" s="43" t="str">
        <f t="shared" si="8"/>
        <v>REZoning_Sol-Win</v>
      </c>
      <c r="AI63" s="33" t="s">
        <v>128</v>
      </c>
      <c r="AJ63" s="44" t="s">
        <v>57</v>
      </c>
      <c r="AK63" s="33">
        <v>2050</v>
      </c>
      <c r="AL63" s="45" t="str">
        <f t="shared" si="5"/>
        <v>*0.42</v>
      </c>
      <c r="AM63" s="43" t="str">
        <f t="shared" si="9"/>
        <v>REZoning_Sol-Win</v>
      </c>
      <c r="AP63" t="s">
        <v>128</v>
      </c>
      <c r="AQ63" t="s">
        <v>57</v>
      </c>
      <c r="AR63">
        <v>2100</v>
      </c>
      <c r="AS63" t="s">
        <v>59</v>
      </c>
      <c r="AT63" t="s">
        <v>58</v>
      </c>
    </row>
    <row r="64" ht="29" spans="1:46">
      <c r="A64" s="31" t="s">
        <v>55</v>
      </c>
      <c r="C64" t="s">
        <v>129</v>
      </c>
      <c r="D64" s="5" t="s">
        <v>57</v>
      </c>
      <c r="E64">
        <v>2035</v>
      </c>
      <c r="F64" s="6" t="str">
        <f t="shared" si="0"/>
        <v>*0.6</v>
      </c>
      <c r="H64" t="s">
        <v>129</v>
      </c>
      <c r="I64" s="5" t="s">
        <v>57</v>
      </c>
      <c r="J64">
        <v>2050</v>
      </c>
      <c r="K64" s="38" t="str">
        <f t="shared" si="1"/>
        <v>*0.49</v>
      </c>
      <c r="P64" s="32" t="s">
        <v>129</v>
      </c>
      <c r="Q64" s="42" t="s">
        <v>57</v>
      </c>
      <c r="R64" s="32">
        <v>2035</v>
      </c>
      <c r="S64" s="43" t="str">
        <f t="shared" si="2"/>
        <v>*0.58</v>
      </c>
      <c r="U64" s="32" t="s">
        <v>129</v>
      </c>
      <c r="V64" s="42" t="s">
        <v>57</v>
      </c>
      <c r="W64" s="32">
        <v>2050</v>
      </c>
      <c r="X64" s="43" t="str">
        <f t="shared" si="3"/>
        <v>*0.47</v>
      </c>
      <c r="AC64" s="33" t="s">
        <v>129</v>
      </c>
      <c r="AD64" s="44" t="s">
        <v>57</v>
      </c>
      <c r="AE64" s="33">
        <v>2035</v>
      </c>
      <c r="AF64" s="45" t="str">
        <f t="shared" si="4"/>
        <v>*0.55</v>
      </c>
      <c r="AG64" s="43" t="str">
        <f t="shared" si="8"/>
        <v>REZoning_Sol-Win</v>
      </c>
      <c r="AI64" s="33" t="s">
        <v>129</v>
      </c>
      <c r="AJ64" s="44" t="s">
        <v>57</v>
      </c>
      <c r="AK64" s="33">
        <v>2050</v>
      </c>
      <c r="AL64" s="45" t="str">
        <f t="shared" si="5"/>
        <v>*0.42</v>
      </c>
      <c r="AM64" s="43" t="str">
        <f t="shared" si="9"/>
        <v>REZoning_Sol-Win</v>
      </c>
      <c r="AP64" t="s">
        <v>129</v>
      </c>
      <c r="AQ64" t="s">
        <v>57</v>
      </c>
      <c r="AR64">
        <v>2100</v>
      </c>
      <c r="AS64" t="s">
        <v>59</v>
      </c>
      <c r="AT64" t="s">
        <v>58</v>
      </c>
    </row>
    <row r="65" ht="29" spans="1:46">
      <c r="A65" s="31" t="s">
        <v>55</v>
      </c>
      <c r="C65" t="s">
        <v>130</v>
      </c>
      <c r="D65" s="5" t="s">
        <v>57</v>
      </c>
      <c r="E65">
        <v>2035</v>
      </c>
      <c r="F65" s="6" t="str">
        <f t="shared" si="0"/>
        <v>*0.6</v>
      </c>
      <c r="H65" t="s">
        <v>130</v>
      </c>
      <c r="I65" s="5" t="s">
        <v>57</v>
      </c>
      <c r="J65">
        <v>2050</v>
      </c>
      <c r="K65" s="38" t="str">
        <f t="shared" si="1"/>
        <v>*0.49</v>
      </c>
      <c r="P65" s="32" t="s">
        <v>130</v>
      </c>
      <c r="Q65" s="42" t="s">
        <v>57</v>
      </c>
      <c r="R65" s="32">
        <v>2035</v>
      </c>
      <c r="S65" s="43" t="str">
        <f t="shared" si="2"/>
        <v>*0.58</v>
      </c>
      <c r="U65" s="32" t="s">
        <v>130</v>
      </c>
      <c r="V65" s="42" t="s">
        <v>57</v>
      </c>
      <c r="W65" s="32">
        <v>2050</v>
      </c>
      <c r="X65" s="43" t="str">
        <f t="shared" si="3"/>
        <v>*0.47</v>
      </c>
      <c r="AC65" s="33" t="s">
        <v>130</v>
      </c>
      <c r="AD65" s="44" t="s">
        <v>57</v>
      </c>
      <c r="AE65" s="33">
        <v>2035</v>
      </c>
      <c r="AF65" s="45" t="str">
        <f t="shared" si="4"/>
        <v>*0.55</v>
      </c>
      <c r="AG65" s="43" t="str">
        <f t="shared" si="8"/>
        <v>REZoning_Sol-Win</v>
      </c>
      <c r="AI65" s="33" t="s">
        <v>130</v>
      </c>
      <c r="AJ65" s="44" t="s">
        <v>57</v>
      </c>
      <c r="AK65" s="33">
        <v>2050</v>
      </c>
      <c r="AL65" s="45" t="str">
        <f t="shared" si="5"/>
        <v>*0.42</v>
      </c>
      <c r="AM65" s="43" t="str">
        <f t="shared" si="9"/>
        <v>REZoning_Sol-Win</v>
      </c>
      <c r="AP65" t="s">
        <v>130</v>
      </c>
      <c r="AQ65" t="s">
        <v>57</v>
      </c>
      <c r="AR65">
        <v>2100</v>
      </c>
      <c r="AS65" t="s">
        <v>59</v>
      </c>
      <c r="AT65" t="s">
        <v>58</v>
      </c>
    </row>
    <row r="66" ht="29" spans="1:46">
      <c r="A66" s="31" t="s">
        <v>55</v>
      </c>
      <c r="C66" t="s">
        <v>131</v>
      </c>
      <c r="D66" s="5" t="s">
        <v>57</v>
      </c>
      <c r="E66">
        <v>2035</v>
      </c>
      <c r="F66" s="6" t="str">
        <f t="shared" si="0"/>
        <v>*0.6</v>
      </c>
      <c r="H66" t="s">
        <v>131</v>
      </c>
      <c r="I66" s="5" t="s">
        <v>57</v>
      </c>
      <c r="J66">
        <v>2050</v>
      </c>
      <c r="K66" s="38" t="str">
        <f t="shared" si="1"/>
        <v>*0.49</v>
      </c>
      <c r="P66" s="32" t="s">
        <v>131</v>
      </c>
      <c r="Q66" s="42" t="s">
        <v>57</v>
      </c>
      <c r="R66" s="32">
        <v>2035</v>
      </c>
      <c r="S66" s="43" t="str">
        <f t="shared" si="2"/>
        <v>*0.58</v>
      </c>
      <c r="U66" s="32" t="s">
        <v>131</v>
      </c>
      <c r="V66" s="42" t="s">
        <v>57</v>
      </c>
      <c r="W66" s="32">
        <v>2050</v>
      </c>
      <c r="X66" s="43" t="str">
        <f t="shared" si="3"/>
        <v>*0.47</v>
      </c>
      <c r="AC66" s="33" t="s">
        <v>131</v>
      </c>
      <c r="AD66" s="44" t="s">
        <v>57</v>
      </c>
      <c r="AE66" s="33">
        <v>2035</v>
      </c>
      <c r="AF66" s="45" t="str">
        <f t="shared" si="4"/>
        <v>*0.55</v>
      </c>
      <c r="AG66" s="43" t="str">
        <f t="shared" si="8"/>
        <v>REZoning_Sol-Win</v>
      </c>
      <c r="AI66" s="33" t="s">
        <v>131</v>
      </c>
      <c r="AJ66" s="44" t="s">
        <v>57</v>
      </c>
      <c r="AK66" s="33">
        <v>2050</v>
      </c>
      <c r="AL66" s="45" t="str">
        <f t="shared" si="5"/>
        <v>*0.42</v>
      </c>
      <c r="AM66" s="43" t="str">
        <f t="shared" si="9"/>
        <v>REZoning_Sol-Win</v>
      </c>
      <c r="AP66" t="s">
        <v>131</v>
      </c>
      <c r="AQ66" t="s">
        <v>57</v>
      </c>
      <c r="AR66">
        <v>2100</v>
      </c>
      <c r="AS66" t="s">
        <v>59</v>
      </c>
      <c r="AT66" t="s">
        <v>58</v>
      </c>
    </row>
    <row r="67" ht="29" spans="1:46">
      <c r="A67" s="31" t="s">
        <v>73</v>
      </c>
      <c r="C67" t="s">
        <v>132</v>
      </c>
      <c r="D67" s="5" t="s">
        <v>57</v>
      </c>
      <c r="E67">
        <v>2035</v>
      </c>
      <c r="F67" s="6" t="str">
        <f t="shared" si="0"/>
        <v>*0.63</v>
      </c>
      <c r="H67" t="s">
        <v>132</v>
      </c>
      <c r="I67" s="5" t="s">
        <v>57</v>
      </c>
      <c r="J67">
        <v>2050</v>
      </c>
      <c r="K67" s="38" t="str">
        <f t="shared" si="1"/>
        <v>*0.54</v>
      </c>
      <c r="P67" s="32" t="s">
        <v>132</v>
      </c>
      <c r="Q67" s="42" t="s">
        <v>57</v>
      </c>
      <c r="R67" s="32">
        <v>2035</v>
      </c>
      <c r="S67" s="43" t="str">
        <f t="shared" si="2"/>
        <v>*0.62</v>
      </c>
      <c r="U67" s="32" t="s">
        <v>132</v>
      </c>
      <c r="V67" s="42" t="s">
        <v>57</v>
      </c>
      <c r="W67" s="32">
        <v>2050</v>
      </c>
      <c r="X67" s="43" t="str">
        <f t="shared" si="3"/>
        <v>*0.51</v>
      </c>
      <c r="AC67" s="33" t="s">
        <v>132</v>
      </c>
      <c r="AD67" s="44" t="s">
        <v>57</v>
      </c>
      <c r="AE67" s="33">
        <v>2035</v>
      </c>
      <c r="AF67" s="45" t="str">
        <f t="shared" si="4"/>
        <v>*0.58</v>
      </c>
      <c r="AG67" s="43" t="str">
        <f t="shared" si="8"/>
        <v>REZoning_Sol-Win</v>
      </c>
      <c r="AI67" s="33" t="s">
        <v>132</v>
      </c>
      <c r="AJ67" s="44" t="s">
        <v>57</v>
      </c>
      <c r="AK67" s="33">
        <v>2050</v>
      </c>
      <c r="AL67" s="45" t="str">
        <f t="shared" si="5"/>
        <v>*0.49</v>
      </c>
      <c r="AM67" s="43" t="str">
        <f t="shared" si="9"/>
        <v>REZoning_Sol-Win</v>
      </c>
      <c r="AP67" t="s">
        <v>132</v>
      </c>
      <c r="AQ67" t="s">
        <v>57</v>
      </c>
      <c r="AR67">
        <v>2100</v>
      </c>
      <c r="AS67" t="s">
        <v>75</v>
      </c>
      <c r="AT67" t="s">
        <v>58</v>
      </c>
    </row>
    <row r="68" ht="29" spans="1:46">
      <c r="A68" s="31" t="s">
        <v>73</v>
      </c>
      <c r="C68" t="s">
        <v>133</v>
      </c>
      <c r="D68" s="5" t="s">
        <v>57</v>
      </c>
      <c r="E68">
        <v>2035</v>
      </c>
      <c r="F68" s="6" t="str">
        <f t="shared" ref="F68:F131" si="10">"*"&amp;IF(AND(A68="EU",E68=2035),0.63,IF(AND(A68="EU",E68=2050),0.54,IF(AND(A68="USA",E68=2035),0.64,IF(AND(A68="USA",E68=2050),0.54,IF(AND(A68="Japan",E68=2035),0.68,IF(AND(A68="Japan",E68=2050),0.58,IF(AND(A68="Russia",E68=2035),0.65,IF(AND(A68="Russia",E68=2050),0.54,IF(AND(A68="China",E68=2035),0.61,IF(AND(A68="China",E68=2050),0.49,IF(AND(A68="India",E68=2035),0.6,IF(AND(A68="India",E68=2050),0.49,IF(AND(A68="Middle East",E68=2035),0.6,IF(AND(A68="Middle East",E68=2050),0.5,IF(AND(A68="Africa",E68=2035),0.61,IF(AND(A68="Africa",E68=2050),0.5,IF(AND(A68="Brazil",E68=2035),0.64,IF(AND(A68="Brazil",E68=2050),0.54,""))))))))))))))))))</f>
        <v>*0.63</v>
      </c>
      <c r="H68" t="s">
        <v>133</v>
      </c>
      <c r="I68" s="5" t="s">
        <v>57</v>
      </c>
      <c r="J68">
        <v>2050</v>
      </c>
      <c r="K68" s="38" t="str">
        <f t="shared" ref="K68:K131" si="11">"*"&amp;IF(AND(A68="EU",J68=2035),0.63,IF(AND(A68="EU",J68=2050),0.54,IF(AND(A68="USA",J68=2035),0.64,IF(AND(A68="USA",J68=2050),0.54,IF(AND(A68="Japan",J68=2035),0.68,IF(AND(A68="Japan",J68=2050),0.58,IF(AND(A68="Russia",J68=2035),0.65,IF(AND(A68="Russia",J68=2050),0.54,IF(AND(A68="China",J68=2035),0.61,IF(AND(A68="China",J68=2050),0.49,IF(AND(A68="India",J68=2035),0.6,IF(AND(A68="India",J68=2050),0.49,IF(AND(A68="Middle East",J68=2035),0.6,IF(AND(A68="Middle East",J68=2050),0.5,IF(AND(A68="Africa",J68=2035),0.61,IF(AND(A68="Africa",J68=2050),0.5,IF(AND(A68="Brazil",J68=2035),0.64,IF(AND(A68="Brazil",J68=2050),0.54,""))))))))))))))))))</f>
        <v>*0.54</v>
      </c>
      <c r="P68" s="32" t="s">
        <v>133</v>
      </c>
      <c r="Q68" s="42" t="s">
        <v>57</v>
      </c>
      <c r="R68" s="32">
        <v>2035</v>
      </c>
      <c r="S68" s="43" t="str">
        <f t="shared" ref="S68:S131" si="12">"*"&amp;IF(AND(A68="EU",R68=2035),0.62,IF(AND(A68="EU",R68=2050),0.51,IF(AND(A68="USA",R68=2035),0.62,IF(AND(A68="USA",R68=2050),0.5,IF(AND(A68="Japan",R68=2035),0.65,IF(AND(A68="Japan",R68=2050),0.55,IF(AND(A68="Russia",R68=2035),0.63,IF(AND(A68="Russia",R68=2050),0.52,IF(AND(A68="China",R68=2035),0.59,IF(AND(A68="China",R68=2050),0.47,IF(AND(A68="India",R68=2035),0.58,IF(AND(A68="India",R68=2050),0.47,IF(AND(A68="Middle East",R68=2035),0.59,IF(AND(A68="Middle East",R68=2050),0.47,IF(AND(A68="Africa",R68=2035),0.58,IF(AND(A68="Africa",R68=2050),0.47,IF(AND(A68="Brazil",R68=2035),0.64,IF(AND(A68="Brazil",R68=2050),0.53,""))))))))))))))))))</f>
        <v>*0.62</v>
      </c>
      <c r="U68" s="32" t="s">
        <v>133</v>
      </c>
      <c r="V68" s="42" t="s">
        <v>57</v>
      </c>
      <c r="W68" s="32">
        <v>2050</v>
      </c>
      <c r="X68" s="43" t="str">
        <f t="shared" ref="X68:X131" si="13">"*"&amp;IF(AND(A68="EU",W68=2035),0.62,IF(AND(A68="EU",W68=2050),0.51,IF(AND(A68="USA",W68=2035),0.62,IF(AND(A68="USA",W68=2050),0.5,IF(AND(A68="Japan",W68=2035),0.65,IF(AND(A68="Japan",W68=2050),0.55,IF(AND(A68="Russia",W68=2035),0.63,IF(AND(A68="Russia",W68=2050),0.52,IF(AND(A68="China",W68=2035),0.59,IF(AND(A68="China",W68=2050),0.47,IF(AND(A68="India",W68=2035),0.58,IF(AND(A68="India",W68=2050),0.47,IF(AND(A68="Middle East",W68=2035),0.59,IF(AND(A68="Middle East",W68=2050),0.47,IF(AND(A68="Africa",W68=2035),0.58,IF(AND(A68="Africa",W68=2050),0.47,IF(AND(A68="Brazil",W68=2035),0.64,IF(AND(A68="Brazil",W68=2050),0.53,""))))))))))))))))))</f>
        <v>*0.51</v>
      </c>
      <c r="AC68" s="33" t="s">
        <v>133</v>
      </c>
      <c r="AD68" s="44" t="s">
        <v>57</v>
      </c>
      <c r="AE68" s="33">
        <v>2035</v>
      </c>
      <c r="AF68" s="45" t="str">
        <f t="shared" ref="AF68:AF131" si="14">"*"&amp;IF(AND(A68="EU",AE68=2035),0.58,IF(AND(A68="EU",AE68=2050),0.49,IF(AND(A68="USA",AE68=2035),0.56,IF(AND(A68="USA",AE68=2050),0.45,IF(AND(A68="Japan",AE68=2035),0.62,IF(AND(A68="Japan",AE68=2050),0.51,IF(AND(A68="Russia",AE68=2035),0.55,IF(AND(A68="Russia",AE68=2050),0.41,IF(AND(A68="China",AE68=2035),0.54,IF(AND(A68="China",AE68=2050),0.44,IF(AND(A68="India",AE68=2035),0.55,IF(AND(A68="India",AE68=2050),0.42,IF(AND(A68="Middle East",AE68=2035),0.53,IF(AND(A68="Middle East",AE68=2050),0.41,IF(AND(A68="Africa",AE68=2035),0.53,IF(AND(A68="Africa",AE68=2050),0.41,IF(AND(A68="Brazil",AE68=2035),0.6,IF(AND(A68="Brazil",AE68=2050),0.5,""))))))))))))))))))</f>
        <v>*0.58</v>
      </c>
      <c r="AG68" s="43" t="str">
        <f t="shared" si="8"/>
        <v>REZoning_Sol-Win</v>
      </c>
      <c r="AI68" s="33" t="s">
        <v>133</v>
      </c>
      <c r="AJ68" s="44" t="s">
        <v>57</v>
      </c>
      <c r="AK68" s="33">
        <v>2050</v>
      </c>
      <c r="AL68" s="45" t="str">
        <f t="shared" ref="AL68:AL131" si="15">"*"&amp;IF(AND(A68="EU",AK68=2035),0.58,IF(AND(A68="EU",AK68=2050),0.49,IF(AND(A68="USA",AK68=2035),0.56,IF(AND(A68="USA",AK68=2050),0.45,IF(AND(A68="Japan",AK68=2035),0.62,IF(AND(A68="Japan",AK68=2050),0.51,IF(AND(A68="Russia",AK68=2035),0.55,IF(AND(A68="Russia",AK68=2050),0.41,IF(AND(A68="China",AK68=2035),0.54,IF(AND(A68="China",AK68=2050),0.44,IF(AND(A68="India",AK68=2035),0.55,IF(AND(A68="India",AK68=2050),0.42,IF(AND(A68="Middle East",AK68=2035),0.53,IF(AND(A68="Middle East",AK68=2050),0.41,IF(AND(A68="Africa",AK68=2035),0.53,IF(AND(A68="Africa",AK68=2050),0.41,IF(AND(A68="Brazil",AK68=2035),0.6,IF(AND(A68="Brazil",AK68=2050),0.5,""))))))))))))))))))</f>
        <v>*0.49</v>
      </c>
      <c r="AM68" s="43" t="str">
        <f t="shared" si="9"/>
        <v>REZoning_Sol-Win</v>
      </c>
      <c r="AP68" t="s">
        <v>133</v>
      </c>
      <c r="AQ68" t="s">
        <v>57</v>
      </c>
      <c r="AR68">
        <v>2100</v>
      </c>
      <c r="AS68" t="s">
        <v>75</v>
      </c>
      <c r="AT68" t="s">
        <v>58</v>
      </c>
    </row>
    <row r="69" ht="29" spans="1:46">
      <c r="A69" s="31" t="s">
        <v>73</v>
      </c>
      <c r="C69" t="s">
        <v>134</v>
      </c>
      <c r="D69" s="5" t="s">
        <v>57</v>
      </c>
      <c r="E69">
        <v>2035</v>
      </c>
      <c r="F69" s="6" t="str">
        <f t="shared" si="10"/>
        <v>*0.63</v>
      </c>
      <c r="H69" t="s">
        <v>134</v>
      </c>
      <c r="I69" s="5" t="s">
        <v>57</v>
      </c>
      <c r="J69">
        <v>2050</v>
      </c>
      <c r="K69" s="38" t="str">
        <f t="shared" si="11"/>
        <v>*0.54</v>
      </c>
      <c r="P69" s="32" t="s">
        <v>134</v>
      </c>
      <c r="Q69" s="42" t="s">
        <v>57</v>
      </c>
      <c r="R69" s="32">
        <v>2035</v>
      </c>
      <c r="S69" s="43" t="str">
        <f t="shared" si="12"/>
        <v>*0.62</v>
      </c>
      <c r="U69" s="32" t="s">
        <v>134</v>
      </c>
      <c r="V69" s="42" t="s">
        <v>57</v>
      </c>
      <c r="W69" s="32">
        <v>2050</v>
      </c>
      <c r="X69" s="43" t="str">
        <f t="shared" si="13"/>
        <v>*0.51</v>
      </c>
      <c r="AC69" s="33" t="s">
        <v>134</v>
      </c>
      <c r="AD69" s="44" t="s">
        <v>57</v>
      </c>
      <c r="AE69" s="33">
        <v>2035</v>
      </c>
      <c r="AF69" s="45" t="str">
        <f t="shared" si="14"/>
        <v>*0.58</v>
      </c>
      <c r="AG69" s="43" t="str">
        <f t="shared" si="8"/>
        <v>REZoning_Sol-Win</v>
      </c>
      <c r="AI69" s="33" t="s">
        <v>134</v>
      </c>
      <c r="AJ69" s="44" t="s">
        <v>57</v>
      </c>
      <c r="AK69" s="33">
        <v>2050</v>
      </c>
      <c r="AL69" s="45" t="str">
        <f t="shared" si="15"/>
        <v>*0.49</v>
      </c>
      <c r="AM69" s="43" t="str">
        <f t="shared" si="9"/>
        <v>REZoning_Sol-Win</v>
      </c>
      <c r="AP69" t="s">
        <v>134</v>
      </c>
      <c r="AQ69" t="s">
        <v>57</v>
      </c>
      <c r="AR69">
        <v>2100</v>
      </c>
      <c r="AS69" t="s">
        <v>75</v>
      </c>
      <c r="AT69" t="s">
        <v>58</v>
      </c>
    </row>
    <row r="70" ht="29" spans="1:46">
      <c r="A70" s="31" t="s">
        <v>79</v>
      </c>
      <c r="C70" t="s">
        <v>135</v>
      </c>
      <c r="D70" s="5" t="s">
        <v>57</v>
      </c>
      <c r="E70">
        <v>2035</v>
      </c>
      <c r="F70" s="6" t="str">
        <f t="shared" si="10"/>
        <v>*0.6</v>
      </c>
      <c r="H70" t="s">
        <v>135</v>
      </c>
      <c r="I70" s="5" t="s">
        <v>57</v>
      </c>
      <c r="J70">
        <v>2050</v>
      </c>
      <c r="K70" s="38" t="str">
        <f t="shared" si="11"/>
        <v>*0.5</v>
      </c>
      <c r="P70" s="32" t="s">
        <v>135</v>
      </c>
      <c r="Q70" s="42" t="s">
        <v>57</v>
      </c>
      <c r="R70" s="32">
        <v>2035</v>
      </c>
      <c r="S70" s="43" t="str">
        <f t="shared" si="12"/>
        <v>*0.59</v>
      </c>
      <c r="U70" s="32" t="s">
        <v>135</v>
      </c>
      <c r="V70" s="42" t="s">
        <v>57</v>
      </c>
      <c r="W70" s="32">
        <v>2050</v>
      </c>
      <c r="X70" s="43" t="str">
        <f t="shared" si="13"/>
        <v>*0.47</v>
      </c>
      <c r="AC70" s="33" t="s">
        <v>135</v>
      </c>
      <c r="AD70" s="44" t="s">
        <v>57</v>
      </c>
      <c r="AE70" s="33">
        <v>2035</v>
      </c>
      <c r="AF70" s="45" t="str">
        <f t="shared" si="14"/>
        <v>*0.53</v>
      </c>
      <c r="AG70" s="43" t="str">
        <f t="shared" si="8"/>
        <v>REZoning_Sol-Win</v>
      </c>
      <c r="AI70" s="33" t="s">
        <v>135</v>
      </c>
      <c r="AJ70" s="44" t="s">
        <v>57</v>
      </c>
      <c r="AK70" s="33">
        <v>2050</v>
      </c>
      <c r="AL70" s="45" t="str">
        <f t="shared" si="15"/>
        <v>*0.41</v>
      </c>
      <c r="AM70" s="43" t="str">
        <f t="shared" si="9"/>
        <v>REZoning_Sol-Win</v>
      </c>
      <c r="AP70" t="s">
        <v>135</v>
      </c>
      <c r="AQ70" t="s">
        <v>57</v>
      </c>
      <c r="AR70">
        <v>2100</v>
      </c>
      <c r="AS70" t="s">
        <v>67</v>
      </c>
      <c r="AT70" t="s">
        <v>58</v>
      </c>
    </row>
    <row r="71" ht="29" spans="1:46">
      <c r="A71" s="31" t="s">
        <v>98</v>
      </c>
      <c r="C71" t="s">
        <v>136</v>
      </c>
      <c r="D71" s="5" t="s">
        <v>57</v>
      </c>
      <c r="E71">
        <v>2035</v>
      </c>
      <c r="F71" s="6" t="str">
        <f t="shared" si="10"/>
        <v>*0.64</v>
      </c>
      <c r="H71" t="s">
        <v>136</v>
      </c>
      <c r="I71" s="5" t="s">
        <v>57</v>
      </c>
      <c r="J71">
        <v>2050</v>
      </c>
      <c r="K71" s="38" t="str">
        <f t="shared" si="11"/>
        <v>*0.54</v>
      </c>
      <c r="P71" s="32" t="s">
        <v>136</v>
      </c>
      <c r="Q71" s="42" t="s">
        <v>57</v>
      </c>
      <c r="R71" s="32">
        <v>2035</v>
      </c>
      <c r="S71" s="43" t="str">
        <f t="shared" si="12"/>
        <v>*0.62</v>
      </c>
      <c r="U71" s="32" t="s">
        <v>136</v>
      </c>
      <c r="V71" s="42" t="s">
        <v>57</v>
      </c>
      <c r="W71" s="32">
        <v>2050</v>
      </c>
      <c r="X71" s="43" t="str">
        <f t="shared" si="13"/>
        <v>*0.5</v>
      </c>
      <c r="AC71" s="33" t="s">
        <v>136</v>
      </c>
      <c r="AD71" s="44" t="s">
        <v>57</v>
      </c>
      <c r="AE71" s="33">
        <v>2035</v>
      </c>
      <c r="AF71" s="45" t="str">
        <f t="shared" si="14"/>
        <v>*0.56</v>
      </c>
      <c r="AG71" s="43" t="str">
        <f t="shared" si="8"/>
        <v>REZoning_Sol-Win</v>
      </c>
      <c r="AI71" s="33" t="s">
        <v>136</v>
      </c>
      <c r="AJ71" s="44" t="s">
        <v>57</v>
      </c>
      <c r="AK71" s="33">
        <v>2050</v>
      </c>
      <c r="AL71" s="45" t="str">
        <f t="shared" si="15"/>
        <v>*0.45</v>
      </c>
      <c r="AM71" s="43" t="str">
        <f t="shared" si="9"/>
        <v>REZoning_Sol-Win</v>
      </c>
      <c r="AP71" t="s">
        <v>136</v>
      </c>
      <c r="AQ71" t="s">
        <v>57</v>
      </c>
      <c r="AR71">
        <v>2100</v>
      </c>
      <c r="AS71" t="s">
        <v>100</v>
      </c>
      <c r="AT71" t="s">
        <v>58</v>
      </c>
    </row>
    <row r="72" ht="29" spans="1:46">
      <c r="A72" s="31" t="s">
        <v>98</v>
      </c>
      <c r="C72" t="s">
        <v>137</v>
      </c>
      <c r="D72" s="5" t="s">
        <v>57</v>
      </c>
      <c r="E72">
        <v>2035</v>
      </c>
      <c r="F72" s="6" t="str">
        <f t="shared" si="10"/>
        <v>*0.64</v>
      </c>
      <c r="H72" t="s">
        <v>137</v>
      </c>
      <c r="I72" s="5" t="s">
        <v>57</v>
      </c>
      <c r="J72">
        <v>2050</v>
      </c>
      <c r="K72" s="38" t="str">
        <f t="shared" si="11"/>
        <v>*0.54</v>
      </c>
      <c r="P72" s="32" t="s">
        <v>137</v>
      </c>
      <c r="Q72" s="42" t="s">
        <v>57</v>
      </c>
      <c r="R72" s="32">
        <v>2035</v>
      </c>
      <c r="S72" s="43" t="str">
        <f t="shared" si="12"/>
        <v>*0.62</v>
      </c>
      <c r="U72" s="32" t="s">
        <v>137</v>
      </c>
      <c r="V72" s="42" t="s">
        <v>57</v>
      </c>
      <c r="W72" s="32">
        <v>2050</v>
      </c>
      <c r="X72" s="43" t="str">
        <f t="shared" si="13"/>
        <v>*0.5</v>
      </c>
      <c r="AC72" s="33" t="s">
        <v>137</v>
      </c>
      <c r="AD72" s="44" t="s">
        <v>57</v>
      </c>
      <c r="AE72" s="33">
        <v>2035</v>
      </c>
      <c r="AF72" s="45" t="str">
        <f t="shared" si="14"/>
        <v>*0.56</v>
      </c>
      <c r="AG72" s="43" t="str">
        <f t="shared" si="8"/>
        <v>REZoning_Sol-Win</v>
      </c>
      <c r="AI72" s="33" t="s">
        <v>137</v>
      </c>
      <c r="AJ72" s="44" t="s">
        <v>57</v>
      </c>
      <c r="AK72" s="33">
        <v>2050</v>
      </c>
      <c r="AL72" s="45" t="str">
        <f t="shared" si="15"/>
        <v>*0.45</v>
      </c>
      <c r="AM72" s="43" t="str">
        <f t="shared" si="9"/>
        <v>REZoning_Sol-Win</v>
      </c>
      <c r="AP72" t="s">
        <v>137</v>
      </c>
      <c r="AQ72" t="s">
        <v>57</v>
      </c>
      <c r="AR72">
        <v>2100</v>
      </c>
      <c r="AS72" t="s">
        <v>100</v>
      </c>
      <c r="AT72" t="s">
        <v>58</v>
      </c>
    </row>
    <row r="73" ht="29" spans="1:46">
      <c r="A73" s="31" t="s">
        <v>98</v>
      </c>
      <c r="C73" t="s">
        <v>138</v>
      </c>
      <c r="D73" s="5" t="s">
        <v>57</v>
      </c>
      <c r="E73">
        <v>2035</v>
      </c>
      <c r="F73" s="6" t="str">
        <f t="shared" si="10"/>
        <v>*0.64</v>
      </c>
      <c r="H73" t="s">
        <v>138</v>
      </c>
      <c r="I73" s="5" t="s">
        <v>57</v>
      </c>
      <c r="J73">
        <v>2050</v>
      </c>
      <c r="K73" s="38" t="str">
        <f t="shared" si="11"/>
        <v>*0.54</v>
      </c>
      <c r="P73" s="32" t="s">
        <v>138</v>
      </c>
      <c r="Q73" s="42" t="s">
        <v>57</v>
      </c>
      <c r="R73" s="32">
        <v>2035</v>
      </c>
      <c r="S73" s="43" t="str">
        <f t="shared" si="12"/>
        <v>*0.62</v>
      </c>
      <c r="U73" s="32" t="s">
        <v>138</v>
      </c>
      <c r="V73" s="42" t="s">
        <v>57</v>
      </c>
      <c r="W73" s="32">
        <v>2050</v>
      </c>
      <c r="X73" s="43" t="str">
        <f t="shared" si="13"/>
        <v>*0.5</v>
      </c>
      <c r="AC73" s="33" t="s">
        <v>138</v>
      </c>
      <c r="AD73" s="44" t="s">
        <v>57</v>
      </c>
      <c r="AE73" s="33">
        <v>2035</v>
      </c>
      <c r="AF73" s="45" t="str">
        <f t="shared" si="14"/>
        <v>*0.56</v>
      </c>
      <c r="AG73" s="43" t="str">
        <f t="shared" ref="AG73:AG136" si="16">AG72</f>
        <v>REZoning_Sol-Win</v>
      </c>
      <c r="AI73" s="33" t="s">
        <v>138</v>
      </c>
      <c r="AJ73" s="44" t="s">
        <v>57</v>
      </c>
      <c r="AK73" s="33">
        <v>2050</v>
      </c>
      <c r="AL73" s="45" t="str">
        <f t="shared" si="15"/>
        <v>*0.45</v>
      </c>
      <c r="AM73" s="43" t="str">
        <f t="shared" ref="AM73:AM136" si="17">AM72</f>
        <v>REZoning_Sol-Win</v>
      </c>
      <c r="AP73" t="s">
        <v>138</v>
      </c>
      <c r="AQ73" t="s">
        <v>57</v>
      </c>
      <c r="AR73">
        <v>2100</v>
      </c>
      <c r="AS73" t="s">
        <v>100</v>
      </c>
      <c r="AT73" t="s">
        <v>58</v>
      </c>
    </row>
    <row r="74" ht="29" spans="1:46">
      <c r="A74" s="31" t="s">
        <v>98</v>
      </c>
      <c r="C74" t="s">
        <v>139</v>
      </c>
      <c r="D74" s="5" t="s">
        <v>57</v>
      </c>
      <c r="E74">
        <v>2035</v>
      </c>
      <c r="F74" s="6" t="str">
        <f t="shared" si="10"/>
        <v>*0.64</v>
      </c>
      <c r="H74" t="s">
        <v>139</v>
      </c>
      <c r="I74" s="5" t="s">
        <v>57</v>
      </c>
      <c r="J74">
        <v>2050</v>
      </c>
      <c r="K74" s="38" t="str">
        <f t="shared" si="11"/>
        <v>*0.54</v>
      </c>
      <c r="P74" s="32" t="s">
        <v>139</v>
      </c>
      <c r="Q74" s="42" t="s">
        <v>57</v>
      </c>
      <c r="R74" s="32">
        <v>2035</v>
      </c>
      <c r="S74" s="43" t="str">
        <f t="shared" si="12"/>
        <v>*0.62</v>
      </c>
      <c r="U74" s="32" t="s">
        <v>139</v>
      </c>
      <c r="V74" s="42" t="s">
        <v>57</v>
      </c>
      <c r="W74" s="32">
        <v>2050</v>
      </c>
      <c r="X74" s="43" t="str">
        <f t="shared" si="13"/>
        <v>*0.5</v>
      </c>
      <c r="AC74" s="33" t="s">
        <v>139</v>
      </c>
      <c r="AD74" s="44" t="s">
        <v>57</v>
      </c>
      <c r="AE74" s="33">
        <v>2035</v>
      </c>
      <c r="AF74" s="45" t="str">
        <f t="shared" si="14"/>
        <v>*0.56</v>
      </c>
      <c r="AG74" s="43" t="str">
        <f t="shared" si="16"/>
        <v>REZoning_Sol-Win</v>
      </c>
      <c r="AI74" s="33" t="s">
        <v>139</v>
      </c>
      <c r="AJ74" s="44" t="s">
        <v>57</v>
      </c>
      <c r="AK74" s="33">
        <v>2050</v>
      </c>
      <c r="AL74" s="45" t="str">
        <f t="shared" si="15"/>
        <v>*0.45</v>
      </c>
      <c r="AM74" s="43" t="str">
        <f t="shared" si="17"/>
        <v>REZoning_Sol-Win</v>
      </c>
      <c r="AP74" t="s">
        <v>139</v>
      </c>
      <c r="AQ74" t="s">
        <v>57</v>
      </c>
      <c r="AR74">
        <v>2100</v>
      </c>
      <c r="AS74" t="s">
        <v>100</v>
      </c>
      <c r="AT74" t="s">
        <v>58</v>
      </c>
    </row>
    <row r="75" ht="29" spans="1:46">
      <c r="A75" s="31" t="s">
        <v>98</v>
      </c>
      <c r="C75" t="s">
        <v>140</v>
      </c>
      <c r="D75" s="5" t="s">
        <v>57</v>
      </c>
      <c r="E75">
        <v>2035</v>
      </c>
      <c r="F75" s="6" t="str">
        <f t="shared" si="10"/>
        <v>*0.64</v>
      </c>
      <c r="H75" t="s">
        <v>140</v>
      </c>
      <c r="I75" s="5" t="s">
        <v>57</v>
      </c>
      <c r="J75">
        <v>2050</v>
      </c>
      <c r="K75" s="38" t="str">
        <f t="shared" si="11"/>
        <v>*0.54</v>
      </c>
      <c r="P75" s="32" t="s">
        <v>140</v>
      </c>
      <c r="Q75" s="42" t="s">
        <v>57</v>
      </c>
      <c r="R75" s="32">
        <v>2035</v>
      </c>
      <c r="S75" s="43" t="str">
        <f t="shared" si="12"/>
        <v>*0.62</v>
      </c>
      <c r="U75" s="32" t="s">
        <v>140</v>
      </c>
      <c r="V75" s="42" t="s">
        <v>57</v>
      </c>
      <c r="W75" s="32">
        <v>2050</v>
      </c>
      <c r="X75" s="43" t="str">
        <f t="shared" si="13"/>
        <v>*0.5</v>
      </c>
      <c r="AC75" s="33" t="s">
        <v>140</v>
      </c>
      <c r="AD75" s="44" t="s">
        <v>57</v>
      </c>
      <c r="AE75" s="33">
        <v>2035</v>
      </c>
      <c r="AF75" s="45" t="str">
        <f t="shared" si="14"/>
        <v>*0.56</v>
      </c>
      <c r="AG75" s="43" t="str">
        <f t="shared" si="16"/>
        <v>REZoning_Sol-Win</v>
      </c>
      <c r="AI75" s="33" t="s">
        <v>140</v>
      </c>
      <c r="AJ75" s="44" t="s">
        <v>57</v>
      </c>
      <c r="AK75" s="33">
        <v>2050</v>
      </c>
      <c r="AL75" s="45" t="str">
        <f t="shared" si="15"/>
        <v>*0.45</v>
      </c>
      <c r="AM75" s="43" t="str">
        <f t="shared" si="17"/>
        <v>REZoning_Sol-Win</v>
      </c>
      <c r="AP75" t="s">
        <v>140</v>
      </c>
      <c r="AQ75" t="s">
        <v>57</v>
      </c>
      <c r="AR75">
        <v>2100</v>
      </c>
      <c r="AS75" t="s">
        <v>100</v>
      </c>
      <c r="AT75" t="s">
        <v>58</v>
      </c>
    </row>
    <row r="76" ht="29" spans="1:46">
      <c r="A76" s="31" t="s">
        <v>98</v>
      </c>
      <c r="C76" t="s">
        <v>141</v>
      </c>
      <c r="D76" s="5" t="s">
        <v>57</v>
      </c>
      <c r="E76">
        <v>2035</v>
      </c>
      <c r="F76" s="6" t="str">
        <f t="shared" si="10"/>
        <v>*0.64</v>
      </c>
      <c r="H76" t="s">
        <v>141</v>
      </c>
      <c r="I76" s="5" t="s">
        <v>57</v>
      </c>
      <c r="J76">
        <v>2050</v>
      </c>
      <c r="K76" s="38" t="str">
        <f t="shared" si="11"/>
        <v>*0.54</v>
      </c>
      <c r="P76" s="32" t="s">
        <v>141</v>
      </c>
      <c r="Q76" s="42" t="s">
        <v>57</v>
      </c>
      <c r="R76" s="32">
        <v>2035</v>
      </c>
      <c r="S76" s="43" t="str">
        <f t="shared" si="12"/>
        <v>*0.62</v>
      </c>
      <c r="U76" s="32" t="s">
        <v>141</v>
      </c>
      <c r="V76" s="42" t="s">
        <v>57</v>
      </c>
      <c r="W76" s="32">
        <v>2050</v>
      </c>
      <c r="X76" s="43" t="str">
        <f t="shared" si="13"/>
        <v>*0.5</v>
      </c>
      <c r="AC76" s="33" t="s">
        <v>141</v>
      </c>
      <c r="AD76" s="44" t="s">
        <v>57</v>
      </c>
      <c r="AE76" s="33">
        <v>2035</v>
      </c>
      <c r="AF76" s="45" t="str">
        <f t="shared" si="14"/>
        <v>*0.56</v>
      </c>
      <c r="AG76" s="43" t="str">
        <f t="shared" si="16"/>
        <v>REZoning_Sol-Win</v>
      </c>
      <c r="AI76" s="33" t="s">
        <v>141</v>
      </c>
      <c r="AJ76" s="44" t="s">
        <v>57</v>
      </c>
      <c r="AK76" s="33">
        <v>2050</v>
      </c>
      <c r="AL76" s="45" t="str">
        <f t="shared" si="15"/>
        <v>*0.45</v>
      </c>
      <c r="AM76" s="43" t="str">
        <f t="shared" si="17"/>
        <v>REZoning_Sol-Win</v>
      </c>
      <c r="AP76" t="s">
        <v>141</v>
      </c>
      <c r="AQ76" t="s">
        <v>57</v>
      </c>
      <c r="AR76">
        <v>2100</v>
      </c>
      <c r="AS76" t="s">
        <v>100</v>
      </c>
      <c r="AT76" t="s">
        <v>58</v>
      </c>
    </row>
    <row r="77" ht="29" spans="1:46">
      <c r="A77" s="31" t="s">
        <v>98</v>
      </c>
      <c r="C77" t="s">
        <v>142</v>
      </c>
      <c r="D77" s="5" t="s">
        <v>57</v>
      </c>
      <c r="E77">
        <v>2035</v>
      </c>
      <c r="F77" s="6" t="str">
        <f t="shared" si="10"/>
        <v>*0.64</v>
      </c>
      <c r="H77" t="s">
        <v>142</v>
      </c>
      <c r="I77" s="5" t="s">
        <v>57</v>
      </c>
      <c r="J77">
        <v>2050</v>
      </c>
      <c r="K77" s="38" t="str">
        <f t="shared" si="11"/>
        <v>*0.54</v>
      </c>
      <c r="P77" s="32" t="s">
        <v>142</v>
      </c>
      <c r="Q77" s="42" t="s">
        <v>57</v>
      </c>
      <c r="R77" s="32">
        <v>2035</v>
      </c>
      <c r="S77" s="43" t="str">
        <f t="shared" si="12"/>
        <v>*0.62</v>
      </c>
      <c r="U77" s="32" t="s">
        <v>142</v>
      </c>
      <c r="V77" s="42" t="s">
        <v>57</v>
      </c>
      <c r="W77" s="32">
        <v>2050</v>
      </c>
      <c r="X77" s="43" t="str">
        <f t="shared" si="13"/>
        <v>*0.5</v>
      </c>
      <c r="AC77" s="33" t="s">
        <v>142</v>
      </c>
      <c r="AD77" s="44" t="s">
        <v>57</v>
      </c>
      <c r="AE77" s="33">
        <v>2035</v>
      </c>
      <c r="AF77" s="45" t="str">
        <f t="shared" si="14"/>
        <v>*0.56</v>
      </c>
      <c r="AG77" s="43" t="str">
        <f t="shared" si="16"/>
        <v>REZoning_Sol-Win</v>
      </c>
      <c r="AI77" s="33" t="s">
        <v>142</v>
      </c>
      <c r="AJ77" s="44" t="s">
        <v>57</v>
      </c>
      <c r="AK77" s="33">
        <v>2050</v>
      </c>
      <c r="AL77" s="45" t="str">
        <f t="shared" si="15"/>
        <v>*0.45</v>
      </c>
      <c r="AM77" s="43" t="str">
        <f t="shared" si="17"/>
        <v>REZoning_Sol-Win</v>
      </c>
      <c r="AP77" t="s">
        <v>142</v>
      </c>
      <c r="AQ77" t="s">
        <v>57</v>
      </c>
      <c r="AR77">
        <v>2100</v>
      </c>
      <c r="AS77" t="s">
        <v>100</v>
      </c>
      <c r="AT77" t="s">
        <v>58</v>
      </c>
    </row>
    <row r="78" ht="29" spans="1:46">
      <c r="A78" s="31" t="s">
        <v>73</v>
      </c>
      <c r="C78" t="s">
        <v>143</v>
      </c>
      <c r="D78" s="5" t="s">
        <v>57</v>
      </c>
      <c r="E78">
        <v>2035</v>
      </c>
      <c r="F78" s="6" t="str">
        <f t="shared" si="10"/>
        <v>*0.63</v>
      </c>
      <c r="H78" t="s">
        <v>143</v>
      </c>
      <c r="I78" s="5" t="s">
        <v>57</v>
      </c>
      <c r="J78">
        <v>2050</v>
      </c>
      <c r="K78" s="38" t="str">
        <f t="shared" si="11"/>
        <v>*0.54</v>
      </c>
      <c r="P78" s="32" t="s">
        <v>143</v>
      </c>
      <c r="Q78" s="42" t="s">
        <v>57</v>
      </c>
      <c r="R78" s="32">
        <v>2035</v>
      </c>
      <c r="S78" s="43" t="str">
        <f t="shared" si="12"/>
        <v>*0.62</v>
      </c>
      <c r="U78" s="32" t="s">
        <v>143</v>
      </c>
      <c r="V78" s="42" t="s">
        <v>57</v>
      </c>
      <c r="W78" s="32">
        <v>2050</v>
      </c>
      <c r="X78" s="43" t="str">
        <f t="shared" si="13"/>
        <v>*0.51</v>
      </c>
      <c r="AC78" s="33" t="s">
        <v>143</v>
      </c>
      <c r="AD78" s="44" t="s">
        <v>57</v>
      </c>
      <c r="AE78" s="33">
        <v>2035</v>
      </c>
      <c r="AF78" s="45" t="str">
        <f t="shared" si="14"/>
        <v>*0.58</v>
      </c>
      <c r="AG78" s="43" t="str">
        <f t="shared" si="16"/>
        <v>REZoning_Sol-Win</v>
      </c>
      <c r="AI78" s="33" t="s">
        <v>143</v>
      </c>
      <c r="AJ78" s="44" t="s">
        <v>57</v>
      </c>
      <c r="AK78" s="33">
        <v>2050</v>
      </c>
      <c r="AL78" s="45" t="str">
        <f t="shared" si="15"/>
        <v>*0.49</v>
      </c>
      <c r="AM78" s="43" t="str">
        <f t="shared" si="17"/>
        <v>REZoning_Sol-Win</v>
      </c>
      <c r="AP78" t="s">
        <v>143</v>
      </c>
      <c r="AQ78" t="s">
        <v>57</v>
      </c>
      <c r="AR78">
        <v>2100</v>
      </c>
      <c r="AS78" t="s">
        <v>75</v>
      </c>
      <c r="AT78" t="s">
        <v>58</v>
      </c>
    </row>
    <row r="79" ht="29" spans="1:46">
      <c r="A79" s="31" t="s">
        <v>73</v>
      </c>
      <c r="C79" t="s">
        <v>144</v>
      </c>
      <c r="D79" s="5" t="s">
        <v>57</v>
      </c>
      <c r="E79">
        <v>2035</v>
      </c>
      <c r="F79" s="6" t="str">
        <f t="shared" si="10"/>
        <v>*0.63</v>
      </c>
      <c r="H79" t="s">
        <v>144</v>
      </c>
      <c r="I79" s="5" t="s">
        <v>57</v>
      </c>
      <c r="J79">
        <v>2050</v>
      </c>
      <c r="K79" s="38" t="str">
        <f t="shared" si="11"/>
        <v>*0.54</v>
      </c>
      <c r="P79" s="32" t="s">
        <v>144</v>
      </c>
      <c r="Q79" s="42" t="s">
        <v>57</v>
      </c>
      <c r="R79" s="32">
        <v>2035</v>
      </c>
      <c r="S79" s="43" t="str">
        <f t="shared" si="12"/>
        <v>*0.62</v>
      </c>
      <c r="U79" s="32" t="s">
        <v>144</v>
      </c>
      <c r="V79" s="42" t="s">
        <v>57</v>
      </c>
      <c r="W79" s="32">
        <v>2050</v>
      </c>
      <c r="X79" s="43" t="str">
        <f t="shared" si="13"/>
        <v>*0.51</v>
      </c>
      <c r="AC79" s="33" t="s">
        <v>144</v>
      </c>
      <c r="AD79" s="44" t="s">
        <v>57</v>
      </c>
      <c r="AE79" s="33">
        <v>2035</v>
      </c>
      <c r="AF79" s="45" t="str">
        <f t="shared" si="14"/>
        <v>*0.58</v>
      </c>
      <c r="AG79" s="43" t="str">
        <f t="shared" si="16"/>
        <v>REZoning_Sol-Win</v>
      </c>
      <c r="AI79" s="33" t="s">
        <v>144</v>
      </c>
      <c r="AJ79" s="44" t="s">
        <v>57</v>
      </c>
      <c r="AK79" s="33">
        <v>2050</v>
      </c>
      <c r="AL79" s="45" t="str">
        <f t="shared" si="15"/>
        <v>*0.49</v>
      </c>
      <c r="AM79" s="43" t="str">
        <f t="shared" si="17"/>
        <v>REZoning_Sol-Win</v>
      </c>
      <c r="AP79" t="s">
        <v>144</v>
      </c>
      <c r="AQ79" t="s">
        <v>57</v>
      </c>
      <c r="AR79">
        <v>2100</v>
      </c>
      <c r="AS79" t="s">
        <v>75</v>
      </c>
      <c r="AT79" t="s">
        <v>58</v>
      </c>
    </row>
    <row r="80" ht="29" spans="1:46">
      <c r="A80" s="31" t="s">
        <v>73</v>
      </c>
      <c r="C80" t="s">
        <v>145</v>
      </c>
      <c r="D80" s="5" t="s">
        <v>57</v>
      </c>
      <c r="E80">
        <v>2035</v>
      </c>
      <c r="F80" s="6" t="str">
        <f t="shared" si="10"/>
        <v>*0.63</v>
      </c>
      <c r="H80" t="s">
        <v>145</v>
      </c>
      <c r="I80" s="5" t="s">
        <v>57</v>
      </c>
      <c r="J80">
        <v>2050</v>
      </c>
      <c r="K80" s="38" t="str">
        <f t="shared" si="11"/>
        <v>*0.54</v>
      </c>
      <c r="P80" s="32" t="s">
        <v>145</v>
      </c>
      <c r="Q80" s="42" t="s">
        <v>57</v>
      </c>
      <c r="R80" s="32">
        <v>2035</v>
      </c>
      <c r="S80" s="43" t="str">
        <f t="shared" si="12"/>
        <v>*0.62</v>
      </c>
      <c r="U80" s="32" t="s">
        <v>145</v>
      </c>
      <c r="V80" s="42" t="s">
        <v>57</v>
      </c>
      <c r="W80" s="32">
        <v>2050</v>
      </c>
      <c r="X80" s="43" t="str">
        <f t="shared" si="13"/>
        <v>*0.51</v>
      </c>
      <c r="AC80" s="33" t="s">
        <v>145</v>
      </c>
      <c r="AD80" s="44" t="s">
        <v>57</v>
      </c>
      <c r="AE80" s="33">
        <v>2035</v>
      </c>
      <c r="AF80" s="45" t="str">
        <f t="shared" si="14"/>
        <v>*0.58</v>
      </c>
      <c r="AG80" s="43" t="str">
        <f t="shared" si="16"/>
        <v>REZoning_Sol-Win</v>
      </c>
      <c r="AI80" s="33" t="s">
        <v>145</v>
      </c>
      <c r="AJ80" s="44" t="s">
        <v>57</v>
      </c>
      <c r="AK80" s="33">
        <v>2050</v>
      </c>
      <c r="AL80" s="45" t="str">
        <f t="shared" si="15"/>
        <v>*0.49</v>
      </c>
      <c r="AM80" s="43" t="str">
        <f t="shared" si="17"/>
        <v>REZoning_Sol-Win</v>
      </c>
      <c r="AP80" t="s">
        <v>145</v>
      </c>
      <c r="AQ80" t="s">
        <v>57</v>
      </c>
      <c r="AR80">
        <v>2100</v>
      </c>
      <c r="AS80" t="s">
        <v>75</v>
      </c>
      <c r="AT80" t="s">
        <v>58</v>
      </c>
    </row>
    <row r="81" ht="29" spans="1:46">
      <c r="A81" s="31" t="s">
        <v>73</v>
      </c>
      <c r="C81" t="s">
        <v>146</v>
      </c>
      <c r="D81" s="5" t="s">
        <v>57</v>
      </c>
      <c r="E81">
        <v>2035</v>
      </c>
      <c r="F81" s="6" t="str">
        <f t="shared" si="10"/>
        <v>*0.63</v>
      </c>
      <c r="H81" t="s">
        <v>146</v>
      </c>
      <c r="I81" s="5" t="s">
        <v>57</v>
      </c>
      <c r="J81">
        <v>2050</v>
      </c>
      <c r="K81" s="38" t="str">
        <f t="shared" si="11"/>
        <v>*0.54</v>
      </c>
      <c r="P81" s="32" t="s">
        <v>146</v>
      </c>
      <c r="Q81" s="42" t="s">
        <v>57</v>
      </c>
      <c r="R81" s="32">
        <v>2035</v>
      </c>
      <c r="S81" s="43" t="str">
        <f t="shared" si="12"/>
        <v>*0.62</v>
      </c>
      <c r="U81" s="32" t="s">
        <v>146</v>
      </c>
      <c r="V81" s="42" t="s">
        <v>57</v>
      </c>
      <c r="W81" s="32">
        <v>2050</v>
      </c>
      <c r="X81" s="43" t="str">
        <f t="shared" si="13"/>
        <v>*0.51</v>
      </c>
      <c r="AC81" s="33" t="s">
        <v>146</v>
      </c>
      <c r="AD81" s="44" t="s">
        <v>57</v>
      </c>
      <c r="AE81" s="33">
        <v>2035</v>
      </c>
      <c r="AF81" s="45" t="str">
        <f t="shared" si="14"/>
        <v>*0.58</v>
      </c>
      <c r="AG81" s="43" t="str">
        <f t="shared" si="16"/>
        <v>REZoning_Sol-Win</v>
      </c>
      <c r="AI81" s="33" t="s">
        <v>146</v>
      </c>
      <c r="AJ81" s="44" t="s">
        <v>57</v>
      </c>
      <c r="AK81" s="33">
        <v>2050</v>
      </c>
      <c r="AL81" s="45" t="str">
        <f t="shared" si="15"/>
        <v>*0.49</v>
      </c>
      <c r="AM81" s="43" t="str">
        <f t="shared" si="17"/>
        <v>REZoning_Sol-Win</v>
      </c>
      <c r="AP81" t="s">
        <v>146</v>
      </c>
      <c r="AQ81" t="s">
        <v>57</v>
      </c>
      <c r="AR81">
        <v>2100</v>
      </c>
      <c r="AS81" t="s">
        <v>75</v>
      </c>
      <c r="AT81" t="s">
        <v>58</v>
      </c>
    </row>
    <row r="82" ht="29" spans="1:46">
      <c r="A82" s="31" t="s">
        <v>73</v>
      </c>
      <c r="C82" t="s">
        <v>147</v>
      </c>
      <c r="D82" s="5" t="s">
        <v>57</v>
      </c>
      <c r="E82">
        <v>2035</v>
      </c>
      <c r="F82" s="6" t="str">
        <f t="shared" si="10"/>
        <v>*0.63</v>
      </c>
      <c r="H82" t="s">
        <v>147</v>
      </c>
      <c r="I82" s="5" t="s">
        <v>57</v>
      </c>
      <c r="J82">
        <v>2050</v>
      </c>
      <c r="K82" s="38" t="str">
        <f t="shared" si="11"/>
        <v>*0.54</v>
      </c>
      <c r="P82" s="32" t="s">
        <v>147</v>
      </c>
      <c r="Q82" s="42" t="s">
        <v>57</v>
      </c>
      <c r="R82" s="32">
        <v>2035</v>
      </c>
      <c r="S82" s="43" t="str">
        <f t="shared" si="12"/>
        <v>*0.62</v>
      </c>
      <c r="U82" s="32" t="s">
        <v>147</v>
      </c>
      <c r="V82" s="42" t="s">
        <v>57</v>
      </c>
      <c r="W82" s="32">
        <v>2050</v>
      </c>
      <c r="X82" s="43" t="str">
        <f t="shared" si="13"/>
        <v>*0.51</v>
      </c>
      <c r="AC82" s="33" t="s">
        <v>147</v>
      </c>
      <c r="AD82" s="44" t="s">
        <v>57</v>
      </c>
      <c r="AE82" s="33">
        <v>2035</v>
      </c>
      <c r="AF82" s="45" t="str">
        <f t="shared" si="14"/>
        <v>*0.58</v>
      </c>
      <c r="AG82" s="43" t="str">
        <f t="shared" si="16"/>
        <v>REZoning_Sol-Win</v>
      </c>
      <c r="AI82" s="33" t="s">
        <v>147</v>
      </c>
      <c r="AJ82" s="44" t="s">
        <v>57</v>
      </c>
      <c r="AK82" s="33">
        <v>2050</v>
      </c>
      <c r="AL82" s="45" t="str">
        <f t="shared" si="15"/>
        <v>*0.49</v>
      </c>
      <c r="AM82" s="43" t="str">
        <f t="shared" si="17"/>
        <v>REZoning_Sol-Win</v>
      </c>
      <c r="AP82" t="s">
        <v>147</v>
      </c>
      <c r="AQ82" t="s">
        <v>57</v>
      </c>
      <c r="AR82">
        <v>2100</v>
      </c>
      <c r="AS82" t="s">
        <v>75</v>
      </c>
      <c r="AT82" t="s">
        <v>58</v>
      </c>
    </row>
    <row r="83" ht="29" spans="1:46">
      <c r="A83" s="31" t="s">
        <v>73</v>
      </c>
      <c r="C83" t="s">
        <v>148</v>
      </c>
      <c r="D83" s="5" t="s">
        <v>57</v>
      </c>
      <c r="E83">
        <v>2035</v>
      </c>
      <c r="F83" s="6" t="str">
        <f t="shared" si="10"/>
        <v>*0.63</v>
      </c>
      <c r="H83" t="s">
        <v>148</v>
      </c>
      <c r="I83" s="5" t="s">
        <v>57</v>
      </c>
      <c r="J83">
        <v>2050</v>
      </c>
      <c r="K83" s="38" t="str">
        <f t="shared" si="11"/>
        <v>*0.54</v>
      </c>
      <c r="P83" s="32" t="s">
        <v>148</v>
      </c>
      <c r="Q83" s="42" t="s">
        <v>57</v>
      </c>
      <c r="R83" s="32">
        <v>2035</v>
      </c>
      <c r="S83" s="43" t="str">
        <f t="shared" si="12"/>
        <v>*0.62</v>
      </c>
      <c r="U83" s="32" t="s">
        <v>148</v>
      </c>
      <c r="V83" s="42" t="s">
        <v>57</v>
      </c>
      <c r="W83" s="32">
        <v>2050</v>
      </c>
      <c r="X83" s="43" t="str">
        <f t="shared" si="13"/>
        <v>*0.51</v>
      </c>
      <c r="AC83" s="33" t="s">
        <v>148</v>
      </c>
      <c r="AD83" s="44" t="s">
        <v>57</v>
      </c>
      <c r="AE83" s="33">
        <v>2035</v>
      </c>
      <c r="AF83" s="45" t="str">
        <f t="shared" si="14"/>
        <v>*0.58</v>
      </c>
      <c r="AG83" s="43" t="str">
        <f t="shared" si="16"/>
        <v>REZoning_Sol-Win</v>
      </c>
      <c r="AI83" s="33" t="s">
        <v>148</v>
      </c>
      <c r="AJ83" s="44" t="s">
        <v>57</v>
      </c>
      <c r="AK83" s="33">
        <v>2050</v>
      </c>
      <c r="AL83" s="45" t="str">
        <f t="shared" si="15"/>
        <v>*0.49</v>
      </c>
      <c r="AM83" s="43" t="str">
        <f t="shared" si="17"/>
        <v>REZoning_Sol-Win</v>
      </c>
      <c r="AP83" t="s">
        <v>148</v>
      </c>
      <c r="AQ83" t="s">
        <v>57</v>
      </c>
      <c r="AR83">
        <v>2100</v>
      </c>
      <c r="AS83" t="s">
        <v>75</v>
      </c>
      <c r="AT83" t="s">
        <v>58</v>
      </c>
    </row>
    <row r="84" ht="29" spans="1:46">
      <c r="A84" s="31" t="s">
        <v>95</v>
      </c>
      <c r="C84" t="s">
        <v>149</v>
      </c>
      <c r="D84" s="5" t="s">
        <v>57</v>
      </c>
      <c r="E84">
        <v>2035</v>
      </c>
      <c r="F84" s="6" t="str">
        <f t="shared" si="10"/>
        <v>*0.65</v>
      </c>
      <c r="H84" t="s">
        <v>149</v>
      </c>
      <c r="I84" s="5" t="s">
        <v>57</v>
      </c>
      <c r="J84">
        <v>2050</v>
      </c>
      <c r="K84" s="38" t="str">
        <f t="shared" si="11"/>
        <v>*0.54</v>
      </c>
      <c r="P84" s="32" t="s">
        <v>149</v>
      </c>
      <c r="Q84" s="42" t="s">
        <v>57</v>
      </c>
      <c r="R84" s="32">
        <v>2035</v>
      </c>
      <c r="S84" s="43" t="str">
        <f t="shared" si="12"/>
        <v>*0.63</v>
      </c>
      <c r="U84" s="32" t="s">
        <v>149</v>
      </c>
      <c r="V84" s="42" t="s">
        <v>57</v>
      </c>
      <c r="W84" s="32">
        <v>2050</v>
      </c>
      <c r="X84" s="43" t="str">
        <f t="shared" si="13"/>
        <v>*0.52</v>
      </c>
      <c r="AC84" s="33" t="s">
        <v>149</v>
      </c>
      <c r="AD84" s="44" t="s">
        <v>57</v>
      </c>
      <c r="AE84" s="33">
        <v>2035</v>
      </c>
      <c r="AF84" s="45" t="str">
        <f t="shared" si="14"/>
        <v>*0.55</v>
      </c>
      <c r="AG84" s="43" t="str">
        <f t="shared" si="16"/>
        <v>REZoning_Sol-Win</v>
      </c>
      <c r="AI84" s="33" t="s">
        <v>149</v>
      </c>
      <c r="AJ84" s="44" t="s">
        <v>57</v>
      </c>
      <c r="AK84" s="33">
        <v>2050</v>
      </c>
      <c r="AL84" s="45" t="str">
        <f t="shared" si="15"/>
        <v>*0.41</v>
      </c>
      <c r="AM84" s="43" t="str">
        <f t="shared" si="17"/>
        <v>REZoning_Sol-Win</v>
      </c>
      <c r="AP84" t="s">
        <v>149</v>
      </c>
      <c r="AQ84" t="s">
        <v>57</v>
      </c>
      <c r="AR84">
        <v>2100</v>
      </c>
      <c r="AS84" t="s">
        <v>67</v>
      </c>
      <c r="AT84" t="s">
        <v>58</v>
      </c>
    </row>
    <row r="85" ht="29" spans="1:46">
      <c r="A85" s="31" t="s">
        <v>83</v>
      </c>
      <c r="C85" t="s">
        <v>150</v>
      </c>
      <c r="D85" s="5" t="s">
        <v>57</v>
      </c>
      <c r="E85">
        <v>2035</v>
      </c>
      <c r="F85" s="6" t="str">
        <f t="shared" si="10"/>
        <v>*0.64</v>
      </c>
      <c r="H85" t="s">
        <v>150</v>
      </c>
      <c r="I85" s="5" t="s">
        <v>57</v>
      </c>
      <c r="J85">
        <v>2050</v>
      </c>
      <c r="K85" s="38" t="str">
        <f t="shared" si="11"/>
        <v>*0.54</v>
      </c>
      <c r="P85" s="32" t="s">
        <v>150</v>
      </c>
      <c r="Q85" s="42" t="s">
        <v>57</v>
      </c>
      <c r="R85" s="32">
        <v>2035</v>
      </c>
      <c r="S85" s="43" t="str">
        <f t="shared" si="12"/>
        <v>*0.64</v>
      </c>
      <c r="U85" s="32" t="s">
        <v>150</v>
      </c>
      <c r="V85" s="42" t="s">
        <v>57</v>
      </c>
      <c r="W85" s="32">
        <v>2050</v>
      </c>
      <c r="X85" s="43" t="str">
        <f t="shared" si="13"/>
        <v>*0.53</v>
      </c>
      <c r="AC85" s="33" t="s">
        <v>150</v>
      </c>
      <c r="AD85" s="44" t="s">
        <v>57</v>
      </c>
      <c r="AE85" s="33">
        <v>2035</v>
      </c>
      <c r="AF85" s="45" t="str">
        <f t="shared" si="14"/>
        <v>*0.6</v>
      </c>
      <c r="AG85" s="43" t="str">
        <f t="shared" si="16"/>
        <v>REZoning_Sol-Win</v>
      </c>
      <c r="AI85" s="33" t="s">
        <v>150</v>
      </c>
      <c r="AJ85" s="44" t="s">
        <v>57</v>
      </c>
      <c r="AK85" s="33">
        <v>2050</v>
      </c>
      <c r="AL85" s="45" t="str">
        <f t="shared" si="15"/>
        <v>*0.5</v>
      </c>
      <c r="AM85" s="43" t="str">
        <f t="shared" si="17"/>
        <v>REZoning_Sol-Win</v>
      </c>
      <c r="AP85" t="s">
        <v>150</v>
      </c>
      <c r="AQ85" t="s">
        <v>57</v>
      </c>
      <c r="AR85">
        <v>2100</v>
      </c>
      <c r="AS85" t="s">
        <v>85</v>
      </c>
      <c r="AT85" t="s">
        <v>58</v>
      </c>
    </row>
    <row r="86" ht="29" spans="1:46">
      <c r="A86" s="31" t="s">
        <v>83</v>
      </c>
      <c r="C86" t="s">
        <v>151</v>
      </c>
      <c r="D86" s="5" t="s">
        <v>57</v>
      </c>
      <c r="E86">
        <v>2035</v>
      </c>
      <c r="F86" s="6" t="str">
        <f t="shared" si="10"/>
        <v>*0.64</v>
      </c>
      <c r="H86" t="s">
        <v>151</v>
      </c>
      <c r="I86" s="5" t="s">
        <v>57</v>
      </c>
      <c r="J86">
        <v>2050</v>
      </c>
      <c r="K86" s="38" t="str">
        <f t="shared" si="11"/>
        <v>*0.54</v>
      </c>
      <c r="P86" s="32" t="s">
        <v>151</v>
      </c>
      <c r="Q86" s="42" t="s">
        <v>57</v>
      </c>
      <c r="R86" s="32">
        <v>2035</v>
      </c>
      <c r="S86" s="43" t="str">
        <f t="shared" si="12"/>
        <v>*0.64</v>
      </c>
      <c r="U86" s="32" t="s">
        <v>151</v>
      </c>
      <c r="V86" s="42" t="s">
        <v>57</v>
      </c>
      <c r="W86" s="32">
        <v>2050</v>
      </c>
      <c r="X86" s="43" t="str">
        <f t="shared" si="13"/>
        <v>*0.53</v>
      </c>
      <c r="AC86" s="33" t="s">
        <v>151</v>
      </c>
      <c r="AD86" s="44" t="s">
        <v>57</v>
      </c>
      <c r="AE86" s="33">
        <v>2035</v>
      </c>
      <c r="AF86" s="45" t="str">
        <f t="shared" si="14"/>
        <v>*0.6</v>
      </c>
      <c r="AG86" s="43" t="str">
        <f t="shared" si="16"/>
        <v>REZoning_Sol-Win</v>
      </c>
      <c r="AI86" s="33" t="s">
        <v>151</v>
      </c>
      <c r="AJ86" s="44" t="s">
        <v>57</v>
      </c>
      <c r="AK86" s="33">
        <v>2050</v>
      </c>
      <c r="AL86" s="45" t="str">
        <f t="shared" si="15"/>
        <v>*0.5</v>
      </c>
      <c r="AM86" s="43" t="str">
        <f t="shared" si="17"/>
        <v>REZoning_Sol-Win</v>
      </c>
      <c r="AP86" t="s">
        <v>151</v>
      </c>
      <c r="AQ86" t="s">
        <v>57</v>
      </c>
      <c r="AR86">
        <v>2100</v>
      </c>
      <c r="AS86" t="s">
        <v>85</v>
      </c>
      <c r="AT86" t="s">
        <v>58</v>
      </c>
    </row>
    <row r="87" ht="29" spans="1:46">
      <c r="A87" s="31" t="s">
        <v>83</v>
      </c>
      <c r="C87" t="s">
        <v>152</v>
      </c>
      <c r="D87" s="5" t="s">
        <v>57</v>
      </c>
      <c r="E87">
        <v>2035</v>
      </c>
      <c r="F87" s="6" t="str">
        <f t="shared" si="10"/>
        <v>*0.64</v>
      </c>
      <c r="H87" t="s">
        <v>152</v>
      </c>
      <c r="I87" s="5" t="s">
        <v>57</v>
      </c>
      <c r="J87">
        <v>2050</v>
      </c>
      <c r="K87" s="38" t="str">
        <f t="shared" si="11"/>
        <v>*0.54</v>
      </c>
      <c r="P87" s="32" t="s">
        <v>152</v>
      </c>
      <c r="Q87" s="42" t="s">
        <v>57</v>
      </c>
      <c r="R87" s="32">
        <v>2035</v>
      </c>
      <c r="S87" s="43" t="str">
        <f t="shared" si="12"/>
        <v>*0.64</v>
      </c>
      <c r="U87" s="32" t="s">
        <v>152</v>
      </c>
      <c r="V87" s="42" t="s">
        <v>57</v>
      </c>
      <c r="W87" s="32">
        <v>2050</v>
      </c>
      <c r="X87" s="43" t="str">
        <f t="shared" si="13"/>
        <v>*0.53</v>
      </c>
      <c r="AC87" s="33" t="s">
        <v>152</v>
      </c>
      <c r="AD87" s="44" t="s">
        <v>57</v>
      </c>
      <c r="AE87" s="33">
        <v>2035</v>
      </c>
      <c r="AF87" s="45" t="str">
        <f t="shared" si="14"/>
        <v>*0.6</v>
      </c>
      <c r="AG87" s="43" t="str">
        <f t="shared" si="16"/>
        <v>REZoning_Sol-Win</v>
      </c>
      <c r="AI87" s="33" t="s">
        <v>152</v>
      </c>
      <c r="AJ87" s="44" t="s">
        <v>57</v>
      </c>
      <c r="AK87" s="33">
        <v>2050</v>
      </c>
      <c r="AL87" s="45" t="str">
        <f t="shared" si="15"/>
        <v>*0.5</v>
      </c>
      <c r="AM87" s="43" t="str">
        <f t="shared" si="17"/>
        <v>REZoning_Sol-Win</v>
      </c>
      <c r="AP87" t="s">
        <v>152</v>
      </c>
      <c r="AQ87" t="s">
        <v>57</v>
      </c>
      <c r="AR87">
        <v>2100</v>
      </c>
      <c r="AS87" t="s">
        <v>85</v>
      </c>
      <c r="AT87" t="s">
        <v>58</v>
      </c>
    </row>
    <row r="88" ht="29" spans="1:46">
      <c r="A88" s="31" t="s">
        <v>83</v>
      </c>
      <c r="C88" t="s">
        <v>153</v>
      </c>
      <c r="D88" s="5" t="s">
        <v>57</v>
      </c>
      <c r="E88">
        <v>2035</v>
      </c>
      <c r="F88" s="6" t="str">
        <f t="shared" si="10"/>
        <v>*0.64</v>
      </c>
      <c r="H88" t="s">
        <v>153</v>
      </c>
      <c r="I88" s="5" t="s">
        <v>57</v>
      </c>
      <c r="J88">
        <v>2050</v>
      </c>
      <c r="K88" s="38" t="str">
        <f t="shared" si="11"/>
        <v>*0.54</v>
      </c>
      <c r="P88" s="32" t="s">
        <v>153</v>
      </c>
      <c r="Q88" s="42" t="s">
        <v>57</v>
      </c>
      <c r="R88" s="32">
        <v>2035</v>
      </c>
      <c r="S88" s="43" t="str">
        <f t="shared" si="12"/>
        <v>*0.64</v>
      </c>
      <c r="U88" s="32" t="s">
        <v>153</v>
      </c>
      <c r="V88" s="42" t="s">
        <v>57</v>
      </c>
      <c r="W88" s="32">
        <v>2050</v>
      </c>
      <c r="X88" s="43" t="str">
        <f t="shared" si="13"/>
        <v>*0.53</v>
      </c>
      <c r="AC88" s="33" t="s">
        <v>153</v>
      </c>
      <c r="AD88" s="44" t="s">
        <v>57</v>
      </c>
      <c r="AE88" s="33">
        <v>2035</v>
      </c>
      <c r="AF88" s="45" t="str">
        <f t="shared" si="14"/>
        <v>*0.6</v>
      </c>
      <c r="AG88" s="43" t="str">
        <f t="shared" si="16"/>
        <v>REZoning_Sol-Win</v>
      </c>
      <c r="AI88" s="33" t="s">
        <v>153</v>
      </c>
      <c r="AJ88" s="44" t="s">
        <v>57</v>
      </c>
      <c r="AK88" s="33">
        <v>2050</v>
      </c>
      <c r="AL88" s="45" t="str">
        <f t="shared" si="15"/>
        <v>*0.5</v>
      </c>
      <c r="AM88" s="43" t="str">
        <f t="shared" si="17"/>
        <v>REZoning_Sol-Win</v>
      </c>
      <c r="AP88" t="s">
        <v>153</v>
      </c>
      <c r="AQ88" t="s">
        <v>57</v>
      </c>
      <c r="AR88">
        <v>2100</v>
      </c>
      <c r="AS88" t="s">
        <v>85</v>
      </c>
      <c r="AT88" t="s">
        <v>58</v>
      </c>
    </row>
    <row r="89" ht="29" spans="1:46">
      <c r="A89" s="31" t="s">
        <v>83</v>
      </c>
      <c r="C89" t="s">
        <v>154</v>
      </c>
      <c r="D89" s="5" t="s">
        <v>57</v>
      </c>
      <c r="E89">
        <v>2035</v>
      </c>
      <c r="F89" s="6" t="str">
        <f t="shared" si="10"/>
        <v>*0.64</v>
      </c>
      <c r="H89" t="s">
        <v>154</v>
      </c>
      <c r="I89" s="5" t="s">
        <v>57</v>
      </c>
      <c r="J89">
        <v>2050</v>
      </c>
      <c r="K89" s="38" t="str">
        <f t="shared" si="11"/>
        <v>*0.54</v>
      </c>
      <c r="P89" s="32" t="s">
        <v>154</v>
      </c>
      <c r="Q89" s="42" t="s">
        <v>57</v>
      </c>
      <c r="R89" s="32">
        <v>2035</v>
      </c>
      <c r="S89" s="43" t="str">
        <f t="shared" si="12"/>
        <v>*0.64</v>
      </c>
      <c r="U89" s="32" t="s">
        <v>154</v>
      </c>
      <c r="V89" s="42" t="s">
        <v>57</v>
      </c>
      <c r="W89" s="32">
        <v>2050</v>
      </c>
      <c r="X89" s="43" t="str">
        <f t="shared" si="13"/>
        <v>*0.53</v>
      </c>
      <c r="AC89" s="33" t="s">
        <v>154</v>
      </c>
      <c r="AD89" s="44" t="s">
        <v>57</v>
      </c>
      <c r="AE89" s="33">
        <v>2035</v>
      </c>
      <c r="AF89" s="45" t="str">
        <f t="shared" si="14"/>
        <v>*0.6</v>
      </c>
      <c r="AG89" s="43" t="str">
        <f t="shared" si="16"/>
        <v>REZoning_Sol-Win</v>
      </c>
      <c r="AI89" s="33" t="s">
        <v>154</v>
      </c>
      <c r="AJ89" s="44" t="s">
        <v>57</v>
      </c>
      <c r="AK89" s="33">
        <v>2050</v>
      </c>
      <c r="AL89" s="45" t="str">
        <f t="shared" si="15"/>
        <v>*0.5</v>
      </c>
      <c r="AM89" s="43" t="str">
        <f t="shared" si="17"/>
        <v>REZoning_Sol-Win</v>
      </c>
      <c r="AP89" t="s">
        <v>154</v>
      </c>
      <c r="AQ89" t="s">
        <v>57</v>
      </c>
      <c r="AR89">
        <v>2100</v>
      </c>
      <c r="AS89" t="s">
        <v>85</v>
      </c>
      <c r="AT89" t="s">
        <v>58</v>
      </c>
    </row>
    <row r="90" ht="29" spans="1:46">
      <c r="A90" s="31" t="s">
        <v>83</v>
      </c>
      <c r="C90" t="s">
        <v>155</v>
      </c>
      <c r="D90" s="5" t="s">
        <v>57</v>
      </c>
      <c r="E90">
        <v>2035</v>
      </c>
      <c r="F90" s="6" t="str">
        <f t="shared" si="10"/>
        <v>*0.64</v>
      </c>
      <c r="H90" t="s">
        <v>155</v>
      </c>
      <c r="I90" s="5" t="s">
        <v>57</v>
      </c>
      <c r="J90">
        <v>2050</v>
      </c>
      <c r="K90" s="38" t="str">
        <f t="shared" si="11"/>
        <v>*0.54</v>
      </c>
      <c r="P90" s="32" t="s">
        <v>155</v>
      </c>
      <c r="Q90" s="42" t="s">
        <v>57</v>
      </c>
      <c r="R90" s="32">
        <v>2035</v>
      </c>
      <c r="S90" s="43" t="str">
        <f t="shared" si="12"/>
        <v>*0.64</v>
      </c>
      <c r="U90" s="32" t="s">
        <v>155</v>
      </c>
      <c r="V90" s="42" t="s">
        <v>57</v>
      </c>
      <c r="W90" s="32">
        <v>2050</v>
      </c>
      <c r="X90" s="43" t="str">
        <f t="shared" si="13"/>
        <v>*0.53</v>
      </c>
      <c r="AC90" s="33" t="s">
        <v>155</v>
      </c>
      <c r="AD90" s="44" t="s">
        <v>57</v>
      </c>
      <c r="AE90" s="33">
        <v>2035</v>
      </c>
      <c r="AF90" s="45" t="str">
        <f t="shared" si="14"/>
        <v>*0.6</v>
      </c>
      <c r="AG90" s="43" t="str">
        <f t="shared" si="16"/>
        <v>REZoning_Sol-Win</v>
      </c>
      <c r="AI90" s="33" t="s">
        <v>155</v>
      </c>
      <c r="AJ90" s="44" t="s">
        <v>57</v>
      </c>
      <c r="AK90" s="33">
        <v>2050</v>
      </c>
      <c r="AL90" s="45" t="str">
        <f t="shared" si="15"/>
        <v>*0.5</v>
      </c>
      <c r="AM90" s="43" t="str">
        <f t="shared" si="17"/>
        <v>REZoning_Sol-Win</v>
      </c>
      <c r="AP90" t="s">
        <v>155</v>
      </c>
      <c r="AQ90" t="s">
        <v>57</v>
      </c>
      <c r="AR90">
        <v>2100</v>
      </c>
      <c r="AS90" t="s">
        <v>85</v>
      </c>
      <c r="AT90" t="s">
        <v>58</v>
      </c>
    </row>
    <row r="91" ht="29" spans="1:46">
      <c r="A91" s="31" t="s">
        <v>83</v>
      </c>
      <c r="C91" t="s">
        <v>156</v>
      </c>
      <c r="D91" s="5" t="s">
        <v>57</v>
      </c>
      <c r="E91">
        <v>2035</v>
      </c>
      <c r="F91" s="6" t="str">
        <f t="shared" si="10"/>
        <v>*0.64</v>
      </c>
      <c r="H91" t="s">
        <v>156</v>
      </c>
      <c r="I91" s="5" t="s">
        <v>57</v>
      </c>
      <c r="J91">
        <v>2050</v>
      </c>
      <c r="K91" s="38" t="str">
        <f t="shared" si="11"/>
        <v>*0.54</v>
      </c>
      <c r="P91" s="32" t="s">
        <v>156</v>
      </c>
      <c r="Q91" s="42" t="s">
        <v>57</v>
      </c>
      <c r="R91" s="32">
        <v>2035</v>
      </c>
      <c r="S91" s="43" t="str">
        <f t="shared" si="12"/>
        <v>*0.64</v>
      </c>
      <c r="U91" s="32" t="s">
        <v>156</v>
      </c>
      <c r="V91" s="42" t="s">
        <v>57</v>
      </c>
      <c r="W91" s="32">
        <v>2050</v>
      </c>
      <c r="X91" s="43" t="str">
        <f t="shared" si="13"/>
        <v>*0.53</v>
      </c>
      <c r="AC91" s="33" t="s">
        <v>156</v>
      </c>
      <c r="AD91" s="44" t="s">
        <v>57</v>
      </c>
      <c r="AE91" s="33">
        <v>2035</v>
      </c>
      <c r="AF91" s="45" t="str">
        <f t="shared" si="14"/>
        <v>*0.6</v>
      </c>
      <c r="AG91" s="43" t="str">
        <f t="shared" si="16"/>
        <v>REZoning_Sol-Win</v>
      </c>
      <c r="AI91" s="33" t="s">
        <v>156</v>
      </c>
      <c r="AJ91" s="44" t="s">
        <v>57</v>
      </c>
      <c r="AK91" s="33">
        <v>2050</v>
      </c>
      <c r="AL91" s="45" t="str">
        <f t="shared" si="15"/>
        <v>*0.5</v>
      </c>
      <c r="AM91" s="43" t="str">
        <f t="shared" si="17"/>
        <v>REZoning_Sol-Win</v>
      </c>
      <c r="AP91" t="s">
        <v>156</v>
      </c>
      <c r="AQ91" t="s">
        <v>57</v>
      </c>
      <c r="AR91">
        <v>2100</v>
      </c>
      <c r="AS91" t="s">
        <v>85</v>
      </c>
      <c r="AT91" t="s">
        <v>58</v>
      </c>
    </row>
    <row r="92" ht="29" spans="1:46">
      <c r="A92" s="31" t="s">
        <v>83</v>
      </c>
      <c r="C92" t="s">
        <v>157</v>
      </c>
      <c r="D92" s="5" t="s">
        <v>57</v>
      </c>
      <c r="E92">
        <v>2035</v>
      </c>
      <c r="F92" s="6" t="str">
        <f t="shared" si="10"/>
        <v>*0.64</v>
      </c>
      <c r="H92" t="s">
        <v>157</v>
      </c>
      <c r="I92" s="5" t="s">
        <v>57</v>
      </c>
      <c r="J92">
        <v>2050</v>
      </c>
      <c r="K92" s="38" t="str">
        <f t="shared" si="11"/>
        <v>*0.54</v>
      </c>
      <c r="P92" s="32" t="s">
        <v>157</v>
      </c>
      <c r="Q92" s="42" t="s">
        <v>57</v>
      </c>
      <c r="R92" s="32">
        <v>2035</v>
      </c>
      <c r="S92" s="43" t="str">
        <f t="shared" si="12"/>
        <v>*0.64</v>
      </c>
      <c r="U92" s="32" t="s">
        <v>157</v>
      </c>
      <c r="V92" s="42" t="s">
        <v>57</v>
      </c>
      <c r="W92" s="32">
        <v>2050</v>
      </c>
      <c r="X92" s="43" t="str">
        <f t="shared" si="13"/>
        <v>*0.53</v>
      </c>
      <c r="AC92" s="33" t="s">
        <v>157</v>
      </c>
      <c r="AD92" s="44" t="s">
        <v>57</v>
      </c>
      <c r="AE92" s="33">
        <v>2035</v>
      </c>
      <c r="AF92" s="45" t="str">
        <f t="shared" si="14"/>
        <v>*0.6</v>
      </c>
      <c r="AG92" s="43" t="str">
        <f t="shared" si="16"/>
        <v>REZoning_Sol-Win</v>
      </c>
      <c r="AI92" s="33" t="s">
        <v>157</v>
      </c>
      <c r="AJ92" s="44" t="s">
        <v>57</v>
      </c>
      <c r="AK92" s="33">
        <v>2050</v>
      </c>
      <c r="AL92" s="45" t="str">
        <f t="shared" si="15"/>
        <v>*0.5</v>
      </c>
      <c r="AM92" s="43" t="str">
        <f t="shared" si="17"/>
        <v>REZoning_Sol-Win</v>
      </c>
      <c r="AP92" t="s">
        <v>157</v>
      </c>
      <c r="AQ92" t="s">
        <v>57</v>
      </c>
      <c r="AR92">
        <v>2100</v>
      </c>
      <c r="AS92" t="s">
        <v>85</v>
      </c>
      <c r="AT92" t="s">
        <v>58</v>
      </c>
    </row>
    <row r="93" ht="29" spans="1:46">
      <c r="A93" s="31" t="s">
        <v>83</v>
      </c>
      <c r="C93" t="s">
        <v>158</v>
      </c>
      <c r="D93" s="5" t="s">
        <v>57</v>
      </c>
      <c r="E93">
        <v>2035</v>
      </c>
      <c r="F93" s="6" t="str">
        <f t="shared" si="10"/>
        <v>*0.64</v>
      </c>
      <c r="H93" t="s">
        <v>158</v>
      </c>
      <c r="I93" s="5" t="s">
        <v>57</v>
      </c>
      <c r="J93">
        <v>2050</v>
      </c>
      <c r="K93" s="38" t="str">
        <f t="shared" si="11"/>
        <v>*0.54</v>
      </c>
      <c r="P93" s="32" t="s">
        <v>158</v>
      </c>
      <c r="Q93" s="42" t="s">
        <v>57</v>
      </c>
      <c r="R93" s="32">
        <v>2035</v>
      </c>
      <c r="S93" s="43" t="str">
        <f t="shared" si="12"/>
        <v>*0.64</v>
      </c>
      <c r="U93" s="32" t="s">
        <v>158</v>
      </c>
      <c r="V93" s="42" t="s">
        <v>57</v>
      </c>
      <c r="W93" s="32">
        <v>2050</v>
      </c>
      <c r="X93" s="43" t="str">
        <f t="shared" si="13"/>
        <v>*0.53</v>
      </c>
      <c r="AC93" s="33" t="s">
        <v>158</v>
      </c>
      <c r="AD93" s="44" t="s">
        <v>57</v>
      </c>
      <c r="AE93" s="33">
        <v>2035</v>
      </c>
      <c r="AF93" s="45" t="str">
        <f t="shared" si="14"/>
        <v>*0.6</v>
      </c>
      <c r="AG93" s="43" t="str">
        <f t="shared" si="16"/>
        <v>REZoning_Sol-Win</v>
      </c>
      <c r="AI93" s="33" t="s">
        <v>158</v>
      </c>
      <c r="AJ93" s="44" t="s">
        <v>57</v>
      </c>
      <c r="AK93" s="33">
        <v>2050</v>
      </c>
      <c r="AL93" s="45" t="str">
        <f t="shared" si="15"/>
        <v>*0.5</v>
      </c>
      <c r="AM93" s="43" t="str">
        <f t="shared" si="17"/>
        <v>REZoning_Sol-Win</v>
      </c>
      <c r="AP93" t="s">
        <v>158</v>
      </c>
      <c r="AQ93" t="s">
        <v>57</v>
      </c>
      <c r="AR93">
        <v>2100</v>
      </c>
      <c r="AS93" t="s">
        <v>85</v>
      </c>
      <c r="AT93" t="s">
        <v>58</v>
      </c>
    </row>
    <row r="94" ht="29" spans="1:46">
      <c r="A94" s="31" t="s">
        <v>83</v>
      </c>
      <c r="C94" t="s">
        <v>159</v>
      </c>
      <c r="D94" s="5" t="s">
        <v>57</v>
      </c>
      <c r="E94">
        <v>2035</v>
      </c>
      <c r="F94" s="6" t="str">
        <f t="shared" si="10"/>
        <v>*0.64</v>
      </c>
      <c r="H94" t="s">
        <v>159</v>
      </c>
      <c r="I94" s="5" t="s">
        <v>57</v>
      </c>
      <c r="J94">
        <v>2050</v>
      </c>
      <c r="K94" s="38" t="str">
        <f t="shared" si="11"/>
        <v>*0.54</v>
      </c>
      <c r="P94" s="32" t="s">
        <v>159</v>
      </c>
      <c r="Q94" s="42" t="s">
        <v>57</v>
      </c>
      <c r="R94" s="32">
        <v>2035</v>
      </c>
      <c r="S94" s="43" t="str">
        <f t="shared" si="12"/>
        <v>*0.64</v>
      </c>
      <c r="U94" s="32" t="s">
        <v>159</v>
      </c>
      <c r="V94" s="42" t="s">
        <v>57</v>
      </c>
      <c r="W94" s="32">
        <v>2050</v>
      </c>
      <c r="X94" s="43" t="str">
        <f t="shared" si="13"/>
        <v>*0.53</v>
      </c>
      <c r="AC94" s="33" t="s">
        <v>159</v>
      </c>
      <c r="AD94" s="44" t="s">
        <v>57</v>
      </c>
      <c r="AE94" s="33">
        <v>2035</v>
      </c>
      <c r="AF94" s="45" t="str">
        <f t="shared" si="14"/>
        <v>*0.6</v>
      </c>
      <c r="AG94" s="43" t="str">
        <f t="shared" si="16"/>
        <v>REZoning_Sol-Win</v>
      </c>
      <c r="AI94" s="33" t="s">
        <v>159</v>
      </c>
      <c r="AJ94" s="44" t="s">
        <v>57</v>
      </c>
      <c r="AK94" s="33">
        <v>2050</v>
      </c>
      <c r="AL94" s="45" t="str">
        <f t="shared" si="15"/>
        <v>*0.5</v>
      </c>
      <c r="AM94" s="43" t="str">
        <f t="shared" si="17"/>
        <v>REZoning_Sol-Win</v>
      </c>
      <c r="AP94" t="s">
        <v>159</v>
      </c>
      <c r="AQ94" t="s">
        <v>57</v>
      </c>
      <c r="AR94">
        <v>2100</v>
      </c>
      <c r="AS94" t="s">
        <v>85</v>
      </c>
      <c r="AT94" t="s">
        <v>58</v>
      </c>
    </row>
    <row r="95" ht="29" spans="1:46">
      <c r="A95" s="31" t="s">
        <v>83</v>
      </c>
      <c r="C95" t="s">
        <v>160</v>
      </c>
      <c r="D95" s="5" t="s">
        <v>57</v>
      </c>
      <c r="E95">
        <v>2035</v>
      </c>
      <c r="F95" s="6" t="str">
        <f t="shared" si="10"/>
        <v>*0.64</v>
      </c>
      <c r="H95" t="s">
        <v>160</v>
      </c>
      <c r="I95" s="5" t="s">
        <v>57</v>
      </c>
      <c r="J95">
        <v>2050</v>
      </c>
      <c r="K95" s="38" t="str">
        <f t="shared" si="11"/>
        <v>*0.54</v>
      </c>
      <c r="P95" s="32" t="s">
        <v>160</v>
      </c>
      <c r="Q95" s="42" t="s">
        <v>57</v>
      </c>
      <c r="R95" s="32">
        <v>2035</v>
      </c>
      <c r="S95" s="43" t="str">
        <f t="shared" si="12"/>
        <v>*0.64</v>
      </c>
      <c r="U95" s="32" t="s">
        <v>160</v>
      </c>
      <c r="V95" s="42" t="s">
        <v>57</v>
      </c>
      <c r="W95" s="32">
        <v>2050</v>
      </c>
      <c r="X95" s="43" t="str">
        <f t="shared" si="13"/>
        <v>*0.53</v>
      </c>
      <c r="AC95" s="33" t="s">
        <v>160</v>
      </c>
      <c r="AD95" s="44" t="s">
        <v>57</v>
      </c>
      <c r="AE95" s="33">
        <v>2035</v>
      </c>
      <c r="AF95" s="45" t="str">
        <f t="shared" si="14"/>
        <v>*0.6</v>
      </c>
      <c r="AG95" s="43" t="str">
        <f t="shared" si="16"/>
        <v>REZoning_Sol-Win</v>
      </c>
      <c r="AI95" s="33" t="s">
        <v>160</v>
      </c>
      <c r="AJ95" s="44" t="s">
        <v>57</v>
      </c>
      <c r="AK95" s="33">
        <v>2050</v>
      </c>
      <c r="AL95" s="45" t="str">
        <f t="shared" si="15"/>
        <v>*0.5</v>
      </c>
      <c r="AM95" s="43" t="str">
        <f t="shared" si="17"/>
        <v>REZoning_Sol-Win</v>
      </c>
      <c r="AP95" t="s">
        <v>160</v>
      </c>
      <c r="AQ95" t="s">
        <v>57</v>
      </c>
      <c r="AR95">
        <v>2100</v>
      </c>
      <c r="AS95" t="s">
        <v>85</v>
      </c>
      <c r="AT95" t="s">
        <v>58</v>
      </c>
    </row>
    <row r="96" ht="29" spans="1:46">
      <c r="A96" s="31" t="s">
        <v>83</v>
      </c>
      <c r="C96" t="s">
        <v>161</v>
      </c>
      <c r="D96" s="5" t="s">
        <v>57</v>
      </c>
      <c r="E96">
        <v>2035</v>
      </c>
      <c r="F96" s="6" t="str">
        <f t="shared" si="10"/>
        <v>*0.64</v>
      </c>
      <c r="H96" t="s">
        <v>161</v>
      </c>
      <c r="I96" s="5" t="s">
        <v>57</v>
      </c>
      <c r="J96">
        <v>2050</v>
      </c>
      <c r="K96" s="38" t="str">
        <f t="shared" si="11"/>
        <v>*0.54</v>
      </c>
      <c r="P96" s="32" t="s">
        <v>161</v>
      </c>
      <c r="Q96" s="42" t="s">
        <v>57</v>
      </c>
      <c r="R96" s="32">
        <v>2035</v>
      </c>
      <c r="S96" s="43" t="str">
        <f t="shared" si="12"/>
        <v>*0.64</v>
      </c>
      <c r="U96" s="32" t="s">
        <v>161</v>
      </c>
      <c r="V96" s="42" t="s">
        <v>57</v>
      </c>
      <c r="W96" s="32">
        <v>2050</v>
      </c>
      <c r="X96" s="43" t="str">
        <f t="shared" si="13"/>
        <v>*0.53</v>
      </c>
      <c r="AC96" s="33" t="s">
        <v>161</v>
      </c>
      <c r="AD96" s="44" t="s">
        <v>57</v>
      </c>
      <c r="AE96" s="33">
        <v>2035</v>
      </c>
      <c r="AF96" s="45" t="str">
        <f t="shared" si="14"/>
        <v>*0.6</v>
      </c>
      <c r="AG96" s="43" t="str">
        <f t="shared" si="16"/>
        <v>REZoning_Sol-Win</v>
      </c>
      <c r="AI96" s="33" t="s">
        <v>161</v>
      </c>
      <c r="AJ96" s="44" t="s">
        <v>57</v>
      </c>
      <c r="AK96" s="33">
        <v>2050</v>
      </c>
      <c r="AL96" s="45" t="str">
        <f t="shared" si="15"/>
        <v>*0.5</v>
      </c>
      <c r="AM96" s="43" t="str">
        <f t="shared" si="17"/>
        <v>REZoning_Sol-Win</v>
      </c>
      <c r="AP96" t="s">
        <v>161</v>
      </c>
      <c r="AQ96" t="s">
        <v>57</v>
      </c>
      <c r="AR96">
        <v>2100</v>
      </c>
      <c r="AS96" t="s">
        <v>85</v>
      </c>
      <c r="AT96" t="s">
        <v>58</v>
      </c>
    </row>
    <row r="97" ht="29" spans="1:46">
      <c r="A97" s="31" t="s">
        <v>83</v>
      </c>
      <c r="C97" t="s">
        <v>162</v>
      </c>
      <c r="D97" s="5" t="s">
        <v>57</v>
      </c>
      <c r="E97">
        <v>2035</v>
      </c>
      <c r="F97" s="6" t="str">
        <f t="shared" si="10"/>
        <v>*0.64</v>
      </c>
      <c r="H97" t="s">
        <v>162</v>
      </c>
      <c r="I97" s="5" t="s">
        <v>57</v>
      </c>
      <c r="J97">
        <v>2050</v>
      </c>
      <c r="K97" s="38" t="str">
        <f t="shared" si="11"/>
        <v>*0.54</v>
      </c>
      <c r="P97" s="32" t="s">
        <v>162</v>
      </c>
      <c r="Q97" s="42" t="s">
        <v>57</v>
      </c>
      <c r="R97" s="32">
        <v>2035</v>
      </c>
      <c r="S97" s="43" t="str">
        <f t="shared" si="12"/>
        <v>*0.64</v>
      </c>
      <c r="U97" s="32" t="s">
        <v>162</v>
      </c>
      <c r="V97" s="42" t="s">
        <v>57</v>
      </c>
      <c r="W97" s="32">
        <v>2050</v>
      </c>
      <c r="X97" s="43" t="str">
        <f t="shared" si="13"/>
        <v>*0.53</v>
      </c>
      <c r="AC97" s="33" t="s">
        <v>162</v>
      </c>
      <c r="AD97" s="44" t="s">
        <v>57</v>
      </c>
      <c r="AE97" s="33">
        <v>2035</v>
      </c>
      <c r="AF97" s="45" t="str">
        <f t="shared" si="14"/>
        <v>*0.6</v>
      </c>
      <c r="AG97" s="43" t="str">
        <f t="shared" si="16"/>
        <v>REZoning_Sol-Win</v>
      </c>
      <c r="AI97" s="33" t="s">
        <v>162</v>
      </c>
      <c r="AJ97" s="44" t="s">
        <v>57</v>
      </c>
      <c r="AK97" s="33">
        <v>2050</v>
      </c>
      <c r="AL97" s="45" t="str">
        <f t="shared" si="15"/>
        <v>*0.5</v>
      </c>
      <c r="AM97" s="43" t="str">
        <f t="shared" si="17"/>
        <v>REZoning_Sol-Win</v>
      </c>
      <c r="AP97" t="s">
        <v>162</v>
      </c>
      <c r="AQ97" t="s">
        <v>57</v>
      </c>
      <c r="AR97">
        <v>2100</v>
      </c>
      <c r="AS97" t="s">
        <v>85</v>
      </c>
      <c r="AT97" t="s">
        <v>58</v>
      </c>
    </row>
    <row r="98" ht="29" spans="1:46">
      <c r="A98" s="31" t="s">
        <v>83</v>
      </c>
      <c r="C98" t="s">
        <v>163</v>
      </c>
      <c r="D98" s="5" t="s">
        <v>57</v>
      </c>
      <c r="E98">
        <v>2035</v>
      </c>
      <c r="F98" s="6" t="str">
        <f t="shared" si="10"/>
        <v>*0.64</v>
      </c>
      <c r="H98" t="s">
        <v>163</v>
      </c>
      <c r="I98" s="5" t="s">
        <v>57</v>
      </c>
      <c r="J98">
        <v>2050</v>
      </c>
      <c r="K98" s="38" t="str">
        <f t="shared" si="11"/>
        <v>*0.54</v>
      </c>
      <c r="P98" s="32" t="s">
        <v>163</v>
      </c>
      <c r="Q98" s="42" t="s">
        <v>57</v>
      </c>
      <c r="R98" s="32">
        <v>2035</v>
      </c>
      <c r="S98" s="43" t="str">
        <f t="shared" si="12"/>
        <v>*0.64</v>
      </c>
      <c r="U98" s="32" t="s">
        <v>163</v>
      </c>
      <c r="V98" s="42" t="s">
        <v>57</v>
      </c>
      <c r="W98" s="32">
        <v>2050</v>
      </c>
      <c r="X98" s="43" t="str">
        <f t="shared" si="13"/>
        <v>*0.53</v>
      </c>
      <c r="AC98" s="33" t="s">
        <v>163</v>
      </c>
      <c r="AD98" s="44" t="s">
        <v>57</v>
      </c>
      <c r="AE98" s="33">
        <v>2035</v>
      </c>
      <c r="AF98" s="45" t="str">
        <f t="shared" si="14"/>
        <v>*0.6</v>
      </c>
      <c r="AG98" s="43" t="str">
        <f t="shared" si="16"/>
        <v>REZoning_Sol-Win</v>
      </c>
      <c r="AI98" s="33" t="s">
        <v>163</v>
      </c>
      <c r="AJ98" s="44" t="s">
        <v>57</v>
      </c>
      <c r="AK98" s="33">
        <v>2050</v>
      </c>
      <c r="AL98" s="45" t="str">
        <f t="shared" si="15"/>
        <v>*0.5</v>
      </c>
      <c r="AM98" s="43" t="str">
        <f t="shared" si="17"/>
        <v>REZoning_Sol-Win</v>
      </c>
      <c r="AP98" t="s">
        <v>163</v>
      </c>
      <c r="AQ98" t="s">
        <v>57</v>
      </c>
      <c r="AR98">
        <v>2100</v>
      </c>
      <c r="AS98" t="s">
        <v>85</v>
      </c>
      <c r="AT98" t="s">
        <v>58</v>
      </c>
    </row>
    <row r="99" ht="29" spans="1:46">
      <c r="A99" s="31" t="s">
        <v>83</v>
      </c>
      <c r="C99" t="s">
        <v>164</v>
      </c>
      <c r="D99" s="5" t="s">
        <v>57</v>
      </c>
      <c r="E99">
        <v>2035</v>
      </c>
      <c r="F99" s="6" t="str">
        <f t="shared" si="10"/>
        <v>*0.64</v>
      </c>
      <c r="H99" t="s">
        <v>164</v>
      </c>
      <c r="I99" s="5" t="s">
        <v>57</v>
      </c>
      <c r="J99">
        <v>2050</v>
      </c>
      <c r="K99" s="38" t="str">
        <f t="shared" si="11"/>
        <v>*0.54</v>
      </c>
      <c r="P99" s="32" t="s">
        <v>164</v>
      </c>
      <c r="Q99" s="42" t="s">
        <v>57</v>
      </c>
      <c r="R99" s="32">
        <v>2035</v>
      </c>
      <c r="S99" s="43" t="str">
        <f t="shared" si="12"/>
        <v>*0.64</v>
      </c>
      <c r="U99" s="32" t="s">
        <v>164</v>
      </c>
      <c r="V99" s="42" t="s">
        <v>57</v>
      </c>
      <c r="W99" s="32">
        <v>2050</v>
      </c>
      <c r="X99" s="43" t="str">
        <f t="shared" si="13"/>
        <v>*0.53</v>
      </c>
      <c r="AC99" s="33" t="s">
        <v>164</v>
      </c>
      <c r="AD99" s="44" t="s">
        <v>57</v>
      </c>
      <c r="AE99" s="33">
        <v>2035</v>
      </c>
      <c r="AF99" s="45" t="str">
        <f t="shared" si="14"/>
        <v>*0.6</v>
      </c>
      <c r="AG99" s="43" t="str">
        <f t="shared" si="16"/>
        <v>REZoning_Sol-Win</v>
      </c>
      <c r="AI99" s="33" t="s">
        <v>164</v>
      </c>
      <c r="AJ99" s="44" t="s">
        <v>57</v>
      </c>
      <c r="AK99" s="33">
        <v>2050</v>
      </c>
      <c r="AL99" s="45" t="str">
        <f t="shared" si="15"/>
        <v>*0.5</v>
      </c>
      <c r="AM99" s="43" t="str">
        <f t="shared" si="17"/>
        <v>REZoning_Sol-Win</v>
      </c>
      <c r="AP99" t="s">
        <v>164</v>
      </c>
      <c r="AQ99" t="s">
        <v>57</v>
      </c>
      <c r="AR99">
        <v>2100</v>
      </c>
      <c r="AS99" t="s">
        <v>85</v>
      </c>
      <c r="AT99" t="s">
        <v>58</v>
      </c>
    </row>
    <row r="100" ht="29" spans="1:46">
      <c r="A100" s="31" t="s">
        <v>83</v>
      </c>
      <c r="C100" t="s">
        <v>165</v>
      </c>
      <c r="D100" s="5" t="s">
        <v>57</v>
      </c>
      <c r="E100">
        <v>2035</v>
      </c>
      <c r="F100" s="6" t="str">
        <f t="shared" si="10"/>
        <v>*0.64</v>
      </c>
      <c r="H100" t="s">
        <v>165</v>
      </c>
      <c r="I100" s="5" t="s">
        <v>57</v>
      </c>
      <c r="J100">
        <v>2050</v>
      </c>
      <c r="K100" s="38" t="str">
        <f t="shared" si="11"/>
        <v>*0.54</v>
      </c>
      <c r="P100" s="32" t="s">
        <v>165</v>
      </c>
      <c r="Q100" s="42" t="s">
        <v>57</v>
      </c>
      <c r="R100" s="32">
        <v>2035</v>
      </c>
      <c r="S100" s="43" t="str">
        <f t="shared" si="12"/>
        <v>*0.64</v>
      </c>
      <c r="U100" s="32" t="s">
        <v>165</v>
      </c>
      <c r="V100" s="42" t="s">
        <v>57</v>
      </c>
      <c r="W100" s="32">
        <v>2050</v>
      </c>
      <c r="X100" s="43" t="str">
        <f t="shared" si="13"/>
        <v>*0.53</v>
      </c>
      <c r="AC100" s="33" t="s">
        <v>165</v>
      </c>
      <c r="AD100" s="44" t="s">
        <v>57</v>
      </c>
      <c r="AE100" s="33">
        <v>2035</v>
      </c>
      <c r="AF100" s="45" t="str">
        <f t="shared" si="14"/>
        <v>*0.6</v>
      </c>
      <c r="AG100" s="43" t="str">
        <f t="shared" si="16"/>
        <v>REZoning_Sol-Win</v>
      </c>
      <c r="AI100" s="33" t="s">
        <v>165</v>
      </c>
      <c r="AJ100" s="44" t="s">
        <v>57</v>
      </c>
      <c r="AK100" s="33">
        <v>2050</v>
      </c>
      <c r="AL100" s="45" t="str">
        <f t="shared" si="15"/>
        <v>*0.5</v>
      </c>
      <c r="AM100" s="43" t="str">
        <f t="shared" si="17"/>
        <v>REZoning_Sol-Win</v>
      </c>
      <c r="AP100" t="s">
        <v>165</v>
      </c>
      <c r="AQ100" t="s">
        <v>57</v>
      </c>
      <c r="AR100">
        <v>2100</v>
      </c>
      <c r="AS100" t="s">
        <v>85</v>
      </c>
      <c r="AT100" t="s">
        <v>58</v>
      </c>
    </row>
    <row r="101" ht="29" spans="1:46">
      <c r="A101" s="31" t="s">
        <v>83</v>
      </c>
      <c r="C101" t="s">
        <v>166</v>
      </c>
      <c r="D101" s="5" t="s">
        <v>57</v>
      </c>
      <c r="E101">
        <v>2035</v>
      </c>
      <c r="F101" s="6" t="str">
        <f t="shared" si="10"/>
        <v>*0.64</v>
      </c>
      <c r="H101" t="s">
        <v>166</v>
      </c>
      <c r="I101" s="5" t="s">
        <v>57</v>
      </c>
      <c r="J101">
        <v>2050</v>
      </c>
      <c r="K101" s="38" t="str">
        <f t="shared" si="11"/>
        <v>*0.54</v>
      </c>
      <c r="P101" s="32" t="s">
        <v>166</v>
      </c>
      <c r="Q101" s="42" t="s">
        <v>57</v>
      </c>
      <c r="R101" s="32">
        <v>2035</v>
      </c>
      <c r="S101" s="43" t="str">
        <f t="shared" si="12"/>
        <v>*0.64</v>
      </c>
      <c r="U101" s="32" t="s">
        <v>166</v>
      </c>
      <c r="V101" s="42" t="s">
        <v>57</v>
      </c>
      <c r="W101" s="32">
        <v>2050</v>
      </c>
      <c r="X101" s="43" t="str">
        <f t="shared" si="13"/>
        <v>*0.53</v>
      </c>
      <c r="AC101" s="33" t="s">
        <v>166</v>
      </c>
      <c r="AD101" s="44" t="s">
        <v>57</v>
      </c>
      <c r="AE101" s="33">
        <v>2035</v>
      </c>
      <c r="AF101" s="45" t="str">
        <f t="shared" si="14"/>
        <v>*0.6</v>
      </c>
      <c r="AG101" s="43" t="str">
        <f t="shared" si="16"/>
        <v>REZoning_Sol-Win</v>
      </c>
      <c r="AI101" s="33" t="s">
        <v>166</v>
      </c>
      <c r="AJ101" s="44" t="s">
        <v>57</v>
      </c>
      <c r="AK101" s="33">
        <v>2050</v>
      </c>
      <c r="AL101" s="45" t="str">
        <f t="shared" si="15"/>
        <v>*0.5</v>
      </c>
      <c r="AM101" s="43" t="str">
        <f t="shared" si="17"/>
        <v>REZoning_Sol-Win</v>
      </c>
      <c r="AP101" t="s">
        <v>166</v>
      </c>
      <c r="AQ101" t="s">
        <v>57</v>
      </c>
      <c r="AR101">
        <v>2100</v>
      </c>
      <c r="AS101" t="s">
        <v>85</v>
      </c>
      <c r="AT101" t="s">
        <v>58</v>
      </c>
    </row>
    <row r="102" ht="29" spans="1:46">
      <c r="A102" s="31" t="s">
        <v>83</v>
      </c>
      <c r="C102" t="s">
        <v>167</v>
      </c>
      <c r="D102" s="5" t="s">
        <v>57</v>
      </c>
      <c r="E102">
        <v>2035</v>
      </c>
      <c r="F102" s="6" t="str">
        <f t="shared" si="10"/>
        <v>*0.64</v>
      </c>
      <c r="H102" t="s">
        <v>167</v>
      </c>
      <c r="I102" s="5" t="s">
        <v>57</v>
      </c>
      <c r="J102">
        <v>2050</v>
      </c>
      <c r="K102" s="38" t="str">
        <f t="shared" si="11"/>
        <v>*0.54</v>
      </c>
      <c r="P102" s="32" t="s">
        <v>167</v>
      </c>
      <c r="Q102" s="42" t="s">
        <v>57</v>
      </c>
      <c r="R102" s="32">
        <v>2035</v>
      </c>
      <c r="S102" s="43" t="str">
        <f t="shared" si="12"/>
        <v>*0.64</v>
      </c>
      <c r="U102" s="32" t="s">
        <v>167</v>
      </c>
      <c r="V102" s="42" t="s">
        <v>57</v>
      </c>
      <c r="W102" s="32">
        <v>2050</v>
      </c>
      <c r="X102" s="43" t="str">
        <f t="shared" si="13"/>
        <v>*0.53</v>
      </c>
      <c r="AC102" s="33" t="s">
        <v>167</v>
      </c>
      <c r="AD102" s="44" t="s">
        <v>57</v>
      </c>
      <c r="AE102" s="33">
        <v>2035</v>
      </c>
      <c r="AF102" s="45" t="str">
        <f t="shared" si="14"/>
        <v>*0.6</v>
      </c>
      <c r="AG102" s="43" t="str">
        <f t="shared" si="16"/>
        <v>REZoning_Sol-Win</v>
      </c>
      <c r="AI102" s="33" t="s">
        <v>167</v>
      </c>
      <c r="AJ102" s="44" t="s">
        <v>57</v>
      </c>
      <c r="AK102" s="33">
        <v>2050</v>
      </c>
      <c r="AL102" s="45" t="str">
        <f t="shared" si="15"/>
        <v>*0.5</v>
      </c>
      <c r="AM102" s="43" t="str">
        <f t="shared" si="17"/>
        <v>REZoning_Sol-Win</v>
      </c>
      <c r="AP102" t="s">
        <v>167</v>
      </c>
      <c r="AQ102" t="s">
        <v>57</v>
      </c>
      <c r="AR102">
        <v>2100</v>
      </c>
      <c r="AS102" t="s">
        <v>85</v>
      </c>
      <c r="AT102" t="s">
        <v>58</v>
      </c>
    </row>
    <row r="103" ht="29" spans="1:46">
      <c r="A103" s="31" t="s">
        <v>83</v>
      </c>
      <c r="C103" t="s">
        <v>168</v>
      </c>
      <c r="D103" s="5" t="s">
        <v>57</v>
      </c>
      <c r="E103">
        <v>2035</v>
      </c>
      <c r="F103" s="6" t="str">
        <f t="shared" si="10"/>
        <v>*0.64</v>
      </c>
      <c r="H103" t="s">
        <v>168</v>
      </c>
      <c r="I103" s="5" t="s">
        <v>57</v>
      </c>
      <c r="J103">
        <v>2050</v>
      </c>
      <c r="K103" s="38" t="str">
        <f t="shared" si="11"/>
        <v>*0.54</v>
      </c>
      <c r="P103" s="32" t="s">
        <v>168</v>
      </c>
      <c r="Q103" s="42" t="s">
        <v>57</v>
      </c>
      <c r="R103" s="32">
        <v>2035</v>
      </c>
      <c r="S103" s="43" t="str">
        <f t="shared" si="12"/>
        <v>*0.64</v>
      </c>
      <c r="U103" s="32" t="s">
        <v>168</v>
      </c>
      <c r="V103" s="42" t="s">
        <v>57</v>
      </c>
      <c r="W103" s="32">
        <v>2050</v>
      </c>
      <c r="X103" s="43" t="str">
        <f t="shared" si="13"/>
        <v>*0.53</v>
      </c>
      <c r="AC103" s="33" t="s">
        <v>168</v>
      </c>
      <c r="AD103" s="44" t="s">
        <v>57</v>
      </c>
      <c r="AE103" s="33">
        <v>2035</v>
      </c>
      <c r="AF103" s="45" t="str">
        <f t="shared" si="14"/>
        <v>*0.6</v>
      </c>
      <c r="AG103" s="43" t="str">
        <f t="shared" si="16"/>
        <v>REZoning_Sol-Win</v>
      </c>
      <c r="AI103" s="33" t="s">
        <v>168</v>
      </c>
      <c r="AJ103" s="44" t="s">
        <v>57</v>
      </c>
      <c r="AK103" s="33">
        <v>2050</v>
      </c>
      <c r="AL103" s="45" t="str">
        <f t="shared" si="15"/>
        <v>*0.5</v>
      </c>
      <c r="AM103" s="43" t="str">
        <f t="shared" si="17"/>
        <v>REZoning_Sol-Win</v>
      </c>
      <c r="AP103" t="s">
        <v>168</v>
      </c>
      <c r="AQ103" t="s">
        <v>57</v>
      </c>
      <c r="AR103">
        <v>2100</v>
      </c>
      <c r="AS103" t="s">
        <v>85</v>
      </c>
      <c r="AT103" t="s">
        <v>58</v>
      </c>
    </row>
    <row r="104" ht="29" spans="1:46">
      <c r="A104" s="31" t="s">
        <v>169</v>
      </c>
      <c r="C104" t="s">
        <v>170</v>
      </c>
      <c r="D104" s="5" t="s">
        <v>57</v>
      </c>
      <c r="E104">
        <v>2035</v>
      </c>
      <c r="F104" s="6" t="str">
        <f t="shared" si="10"/>
        <v>*0.61</v>
      </c>
      <c r="H104" t="s">
        <v>170</v>
      </c>
      <c r="I104" s="5" t="s">
        <v>57</v>
      </c>
      <c r="J104">
        <v>2050</v>
      </c>
      <c r="K104" s="38" t="str">
        <f t="shared" si="11"/>
        <v>*0.49</v>
      </c>
      <c r="P104" s="32" t="s">
        <v>170</v>
      </c>
      <c r="Q104" s="42" t="s">
        <v>57</v>
      </c>
      <c r="R104" s="32">
        <v>2035</v>
      </c>
      <c r="S104" s="43" t="str">
        <f t="shared" si="12"/>
        <v>*0.59</v>
      </c>
      <c r="U104" s="32" t="s">
        <v>170</v>
      </c>
      <c r="V104" s="42" t="s">
        <v>57</v>
      </c>
      <c r="W104" s="32">
        <v>2050</v>
      </c>
      <c r="X104" s="43" t="str">
        <f t="shared" si="13"/>
        <v>*0.47</v>
      </c>
      <c r="AC104" s="33" t="s">
        <v>170</v>
      </c>
      <c r="AD104" s="44" t="s">
        <v>57</v>
      </c>
      <c r="AE104" s="33">
        <v>2035</v>
      </c>
      <c r="AF104" s="45" t="str">
        <f t="shared" si="14"/>
        <v>*0.54</v>
      </c>
      <c r="AG104" s="43" t="str">
        <f t="shared" si="16"/>
        <v>REZoning_Sol-Win</v>
      </c>
      <c r="AI104" s="33" t="s">
        <v>170</v>
      </c>
      <c r="AJ104" s="44" t="s">
        <v>57</v>
      </c>
      <c r="AK104" s="33">
        <v>2050</v>
      </c>
      <c r="AL104" s="45" t="str">
        <f t="shared" si="15"/>
        <v>*0.44</v>
      </c>
      <c r="AM104" s="43" t="str">
        <f t="shared" si="17"/>
        <v>REZoning_Sol-Win</v>
      </c>
      <c r="AP104" t="s">
        <v>170</v>
      </c>
      <c r="AQ104" t="s">
        <v>57</v>
      </c>
      <c r="AR104">
        <v>2100</v>
      </c>
      <c r="AS104" t="s">
        <v>171</v>
      </c>
      <c r="AT104" t="s">
        <v>58</v>
      </c>
    </row>
    <row r="105" ht="29" spans="1:46">
      <c r="A105" s="31" t="s">
        <v>55</v>
      </c>
      <c r="C105" t="s">
        <v>172</v>
      </c>
      <c r="D105" s="5" t="s">
        <v>57</v>
      </c>
      <c r="E105">
        <v>2035</v>
      </c>
      <c r="F105" s="6" t="str">
        <f t="shared" si="10"/>
        <v>*0.6</v>
      </c>
      <c r="H105" t="s">
        <v>172</v>
      </c>
      <c r="I105" s="5" t="s">
        <v>57</v>
      </c>
      <c r="J105">
        <v>2050</v>
      </c>
      <c r="K105" s="38" t="str">
        <f t="shared" si="11"/>
        <v>*0.49</v>
      </c>
      <c r="P105" s="32" t="s">
        <v>172</v>
      </c>
      <c r="Q105" s="42" t="s">
        <v>57</v>
      </c>
      <c r="R105" s="32">
        <v>2035</v>
      </c>
      <c r="S105" s="43" t="str">
        <f t="shared" si="12"/>
        <v>*0.58</v>
      </c>
      <c r="U105" s="32" t="s">
        <v>172</v>
      </c>
      <c r="V105" s="42" t="s">
        <v>57</v>
      </c>
      <c r="W105" s="32">
        <v>2050</v>
      </c>
      <c r="X105" s="43" t="str">
        <f t="shared" si="13"/>
        <v>*0.47</v>
      </c>
      <c r="AC105" s="33" t="s">
        <v>172</v>
      </c>
      <c r="AD105" s="44" t="s">
        <v>57</v>
      </c>
      <c r="AE105" s="33">
        <v>2035</v>
      </c>
      <c r="AF105" s="45" t="str">
        <f t="shared" si="14"/>
        <v>*0.55</v>
      </c>
      <c r="AG105" s="43" t="str">
        <f t="shared" si="16"/>
        <v>REZoning_Sol-Win</v>
      </c>
      <c r="AI105" s="33" t="s">
        <v>172</v>
      </c>
      <c r="AJ105" s="44" t="s">
        <v>57</v>
      </c>
      <c r="AK105" s="33">
        <v>2050</v>
      </c>
      <c r="AL105" s="45" t="str">
        <f t="shared" si="15"/>
        <v>*0.42</v>
      </c>
      <c r="AM105" s="43" t="str">
        <f t="shared" si="17"/>
        <v>REZoning_Sol-Win</v>
      </c>
      <c r="AP105" t="s">
        <v>172</v>
      </c>
      <c r="AQ105" t="s">
        <v>57</v>
      </c>
      <c r="AR105">
        <v>2100</v>
      </c>
      <c r="AS105" t="s">
        <v>59</v>
      </c>
      <c r="AT105" t="s">
        <v>58</v>
      </c>
    </row>
    <row r="106" ht="29" spans="1:46">
      <c r="A106" s="31" t="s">
        <v>65</v>
      </c>
      <c r="C106" t="s">
        <v>173</v>
      </c>
      <c r="D106" s="5" t="s">
        <v>57</v>
      </c>
      <c r="E106">
        <v>2035</v>
      </c>
      <c r="F106" s="6" t="str">
        <f t="shared" si="10"/>
        <v>*0.61</v>
      </c>
      <c r="H106" t="s">
        <v>173</v>
      </c>
      <c r="I106" s="5" t="s">
        <v>57</v>
      </c>
      <c r="J106">
        <v>2050</v>
      </c>
      <c r="K106" s="38" t="str">
        <f t="shared" si="11"/>
        <v>*0.5</v>
      </c>
      <c r="P106" s="32" t="s">
        <v>173</v>
      </c>
      <c r="Q106" s="42" t="s">
        <v>57</v>
      </c>
      <c r="R106" s="32">
        <v>2035</v>
      </c>
      <c r="S106" s="43" t="str">
        <f t="shared" si="12"/>
        <v>*0.58</v>
      </c>
      <c r="U106" s="32" t="s">
        <v>173</v>
      </c>
      <c r="V106" s="42" t="s">
        <v>57</v>
      </c>
      <c r="W106" s="32">
        <v>2050</v>
      </c>
      <c r="X106" s="43" t="str">
        <f t="shared" si="13"/>
        <v>*0.47</v>
      </c>
      <c r="AC106" s="33" t="s">
        <v>173</v>
      </c>
      <c r="AD106" s="44" t="s">
        <v>57</v>
      </c>
      <c r="AE106" s="33">
        <v>2035</v>
      </c>
      <c r="AF106" s="45" t="str">
        <f t="shared" si="14"/>
        <v>*0.53</v>
      </c>
      <c r="AG106" s="43" t="str">
        <f t="shared" si="16"/>
        <v>REZoning_Sol-Win</v>
      </c>
      <c r="AI106" s="33" t="s">
        <v>173</v>
      </c>
      <c r="AJ106" s="44" t="s">
        <v>57</v>
      </c>
      <c r="AK106" s="33">
        <v>2050</v>
      </c>
      <c r="AL106" s="45" t="str">
        <f t="shared" si="15"/>
        <v>*0.41</v>
      </c>
      <c r="AM106" s="43" t="str">
        <f t="shared" si="17"/>
        <v>REZoning_Sol-Win</v>
      </c>
      <c r="AP106" t="s">
        <v>173</v>
      </c>
      <c r="AQ106" t="s">
        <v>57</v>
      </c>
      <c r="AR106">
        <v>2100</v>
      </c>
      <c r="AS106" t="s">
        <v>67</v>
      </c>
      <c r="AT106" t="s">
        <v>58</v>
      </c>
    </row>
    <row r="107" ht="29" spans="1:46">
      <c r="A107" s="31" t="s">
        <v>65</v>
      </c>
      <c r="C107" t="s">
        <v>174</v>
      </c>
      <c r="D107" s="5" t="s">
        <v>57</v>
      </c>
      <c r="E107">
        <v>2035</v>
      </c>
      <c r="F107" s="6" t="str">
        <f t="shared" si="10"/>
        <v>*0.61</v>
      </c>
      <c r="H107" t="s">
        <v>174</v>
      </c>
      <c r="I107" s="5" t="s">
        <v>57</v>
      </c>
      <c r="J107">
        <v>2050</v>
      </c>
      <c r="K107" s="38" t="str">
        <f t="shared" si="11"/>
        <v>*0.5</v>
      </c>
      <c r="P107" s="32" t="s">
        <v>174</v>
      </c>
      <c r="Q107" s="42" t="s">
        <v>57</v>
      </c>
      <c r="R107" s="32">
        <v>2035</v>
      </c>
      <c r="S107" s="43" t="str">
        <f t="shared" si="12"/>
        <v>*0.58</v>
      </c>
      <c r="U107" s="32" t="s">
        <v>174</v>
      </c>
      <c r="V107" s="42" t="s">
        <v>57</v>
      </c>
      <c r="W107" s="32">
        <v>2050</v>
      </c>
      <c r="X107" s="43" t="str">
        <f t="shared" si="13"/>
        <v>*0.47</v>
      </c>
      <c r="AC107" s="33" t="s">
        <v>174</v>
      </c>
      <c r="AD107" s="44" t="s">
        <v>57</v>
      </c>
      <c r="AE107" s="33">
        <v>2035</v>
      </c>
      <c r="AF107" s="45" t="str">
        <f t="shared" si="14"/>
        <v>*0.53</v>
      </c>
      <c r="AG107" s="43" t="str">
        <f t="shared" si="16"/>
        <v>REZoning_Sol-Win</v>
      </c>
      <c r="AI107" s="33" t="s">
        <v>174</v>
      </c>
      <c r="AJ107" s="44" t="s">
        <v>57</v>
      </c>
      <c r="AK107" s="33">
        <v>2050</v>
      </c>
      <c r="AL107" s="45" t="str">
        <f t="shared" si="15"/>
        <v>*0.41</v>
      </c>
      <c r="AM107" s="43" t="str">
        <f t="shared" si="17"/>
        <v>REZoning_Sol-Win</v>
      </c>
      <c r="AP107" t="s">
        <v>174</v>
      </c>
      <c r="AQ107" t="s">
        <v>57</v>
      </c>
      <c r="AR107">
        <v>2100</v>
      </c>
      <c r="AS107" t="s">
        <v>67</v>
      </c>
      <c r="AT107" t="s">
        <v>58</v>
      </c>
    </row>
    <row r="108" ht="29" spans="1:46">
      <c r="A108" s="31" t="s">
        <v>65</v>
      </c>
      <c r="C108" t="s">
        <v>175</v>
      </c>
      <c r="D108" s="5" t="s">
        <v>57</v>
      </c>
      <c r="E108">
        <v>2035</v>
      </c>
      <c r="F108" s="6" t="str">
        <f t="shared" si="10"/>
        <v>*0.61</v>
      </c>
      <c r="H108" t="s">
        <v>175</v>
      </c>
      <c r="I108" s="5" t="s">
        <v>57</v>
      </c>
      <c r="J108">
        <v>2050</v>
      </c>
      <c r="K108" s="38" t="str">
        <f t="shared" si="11"/>
        <v>*0.5</v>
      </c>
      <c r="P108" s="32" t="s">
        <v>175</v>
      </c>
      <c r="Q108" s="42" t="s">
        <v>57</v>
      </c>
      <c r="R108" s="32">
        <v>2035</v>
      </c>
      <c r="S108" s="43" t="str">
        <f t="shared" si="12"/>
        <v>*0.58</v>
      </c>
      <c r="U108" s="32" t="s">
        <v>175</v>
      </c>
      <c r="V108" s="42" t="s">
        <v>57</v>
      </c>
      <c r="W108" s="32">
        <v>2050</v>
      </c>
      <c r="X108" s="43" t="str">
        <f t="shared" si="13"/>
        <v>*0.47</v>
      </c>
      <c r="AC108" s="33" t="s">
        <v>175</v>
      </c>
      <c r="AD108" s="44" t="s">
        <v>57</v>
      </c>
      <c r="AE108" s="33">
        <v>2035</v>
      </c>
      <c r="AF108" s="45" t="str">
        <f t="shared" si="14"/>
        <v>*0.53</v>
      </c>
      <c r="AG108" s="43" t="str">
        <f t="shared" si="16"/>
        <v>REZoning_Sol-Win</v>
      </c>
      <c r="AI108" s="33" t="s">
        <v>175</v>
      </c>
      <c r="AJ108" s="44" t="s">
        <v>57</v>
      </c>
      <c r="AK108" s="33">
        <v>2050</v>
      </c>
      <c r="AL108" s="45" t="str">
        <f t="shared" si="15"/>
        <v>*0.41</v>
      </c>
      <c r="AM108" s="43" t="str">
        <f t="shared" si="17"/>
        <v>REZoning_Sol-Win</v>
      </c>
      <c r="AP108" t="s">
        <v>175</v>
      </c>
      <c r="AQ108" t="s">
        <v>57</v>
      </c>
      <c r="AR108">
        <v>2100</v>
      </c>
      <c r="AS108" t="s">
        <v>67</v>
      </c>
      <c r="AT108" t="s">
        <v>58</v>
      </c>
    </row>
    <row r="109" ht="29" spans="1:46">
      <c r="A109" s="31" t="s">
        <v>65</v>
      </c>
      <c r="C109" t="s">
        <v>176</v>
      </c>
      <c r="D109" s="5" t="s">
        <v>57</v>
      </c>
      <c r="E109">
        <v>2035</v>
      </c>
      <c r="F109" s="6" t="str">
        <f t="shared" si="10"/>
        <v>*0.61</v>
      </c>
      <c r="H109" t="s">
        <v>176</v>
      </c>
      <c r="I109" s="5" t="s">
        <v>57</v>
      </c>
      <c r="J109">
        <v>2050</v>
      </c>
      <c r="K109" s="38" t="str">
        <f t="shared" si="11"/>
        <v>*0.5</v>
      </c>
      <c r="P109" s="32" t="s">
        <v>176</v>
      </c>
      <c r="Q109" s="42" t="s">
        <v>57</v>
      </c>
      <c r="R109" s="32">
        <v>2035</v>
      </c>
      <c r="S109" s="43" t="str">
        <f t="shared" si="12"/>
        <v>*0.58</v>
      </c>
      <c r="U109" s="32" t="s">
        <v>176</v>
      </c>
      <c r="V109" s="42" t="s">
        <v>57</v>
      </c>
      <c r="W109" s="32">
        <v>2050</v>
      </c>
      <c r="X109" s="43" t="str">
        <f t="shared" si="13"/>
        <v>*0.47</v>
      </c>
      <c r="AC109" s="33" t="s">
        <v>176</v>
      </c>
      <c r="AD109" s="44" t="s">
        <v>57</v>
      </c>
      <c r="AE109" s="33">
        <v>2035</v>
      </c>
      <c r="AF109" s="45" t="str">
        <f t="shared" si="14"/>
        <v>*0.53</v>
      </c>
      <c r="AG109" s="43" t="str">
        <f t="shared" si="16"/>
        <v>REZoning_Sol-Win</v>
      </c>
      <c r="AI109" s="33" t="s">
        <v>176</v>
      </c>
      <c r="AJ109" s="44" t="s">
        <v>57</v>
      </c>
      <c r="AK109" s="33">
        <v>2050</v>
      </c>
      <c r="AL109" s="45" t="str">
        <f t="shared" si="15"/>
        <v>*0.41</v>
      </c>
      <c r="AM109" s="43" t="str">
        <f t="shared" si="17"/>
        <v>REZoning_Sol-Win</v>
      </c>
      <c r="AP109" t="s">
        <v>176</v>
      </c>
      <c r="AQ109" t="s">
        <v>57</v>
      </c>
      <c r="AR109">
        <v>2100</v>
      </c>
      <c r="AS109" t="s">
        <v>67</v>
      </c>
      <c r="AT109" t="s">
        <v>58</v>
      </c>
    </row>
    <row r="110" ht="29" spans="1:46">
      <c r="A110" s="31" t="s">
        <v>98</v>
      </c>
      <c r="C110" t="s">
        <v>177</v>
      </c>
      <c r="D110" s="5" t="s">
        <v>57</v>
      </c>
      <c r="E110">
        <v>2035</v>
      </c>
      <c r="F110" s="6" t="str">
        <f t="shared" si="10"/>
        <v>*0.64</v>
      </c>
      <c r="H110" t="s">
        <v>177</v>
      </c>
      <c r="I110" s="5" t="s">
        <v>57</v>
      </c>
      <c r="J110">
        <v>2050</v>
      </c>
      <c r="K110" s="38" t="str">
        <f t="shared" si="11"/>
        <v>*0.54</v>
      </c>
      <c r="P110" s="32" t="s">
        <v>177</v>
      </c>
      <c r="Q110" s="42" t="s">
        <v>57</v>
      </c>
      <c r="R110" s="32">
        <v>2035</v>
      </c>
      <c r="S110" s="43" t="str">
        <f t="shared" si="12"/>
        <v>*0.62</v>
      </c>
      <c r="U110" s="32" t="s">
        <v>177</v>
      </c>
      <c r="V110" s="42" t="s">
        <v>57</v>
      </c>
      <c r="W110" s="32">
        <v>2050</v>
      </c>
      <c r="X110" s="43" t="str">
        <f t="shared" si="13"/>
        <v>*0.5</v>
      </c>
      <c r="AC110" s="33" t="s">
        <v>177</v>
      </c>
      <c r="AD110" s="44" t="s">
        <v>57</v>
      </c>
      <c r="AE110" s="33">
        <v>2035</v>
      </c>
      <c r="AF110" s="45" t="str">
        <f t="shared" si="14"/>
        <v>*0.56</v>
      </c>
      <c r="AG110" s="43" t="str">
        <f t="shared" si="16"/>
        <v>REZoning_Sol-Win</v>
      </c>
      <c r="AI110" s="33" t="s">
        <v>177</v>
      </c>
      <c r="AJ110" s="44" t="s">
        <v>57</v>
      </c>
      <c r="AK110" s="33">
        <v>2050</v>
      </c>
      <c r="AL110" s="45" t="str">
        <f t="shared" si="15"/>
        <v>*0.45</v>
      </c>
      <c r="AM110" s="43" t="str">
        <f t="shared" si="17"/>
        <v>REZoning_Sol-Win</v>
      </c>
      <c r="AP110" t="s">
        <v>177</v>
      </c>
      <c r="AQ110" t="s">
        <v>57</v>
      </c>
      <c r="AR110">
        <v>2100</v>
      </c>
      <c r="AS110" t="s">
        <v>100</v>
      </c>
      <c r="AT110" t="s">
        <v>58</v>
      </c>
    </row>
    <row r="111" ht="29" spans="1:46">
      <c r="A111" s="31" t="s">
        <v>98</v>
      </c>
      <c r="C111" t="s">
        <v>178</v>
      </c>
      <c r="D111" s="5" t="s">
        <v>57</v>
      </c>
      <c r="E111">
        <v>2035</v>
      </c>
      <c r="F111" s="6" t="str">
        <f t="shared" si="10"/>
        <v>*0.64</v>
      </c>
      <c r="H111" t="s">
        <v>178</v>
      </c>
      <c r="I111" s="5" t="s">
        <v>57</v>
      </c>
      <c r="J111">
        <v>2050</v>
      </c>
      <c r="K111" s="38" t="str">
        <f t="shared" si="11"/>
        <v>*0.54</v>
      </c>
      <c r="P111" s="32" t="s">
        <v>178</v>
      </c>
      <c r="Q111" s="42" t="s">
        <v>57</v>
      </c>
      <c r="R111" s="32">
        <v>2035</v>
      </c>
      <c r="S111" s="43" t="str">
        <f t="shared" si="12"/>
        <v>*0.62</v>
      </c>
      <c r="U111" s="32" t="s">
        <v>178</v>
      </c>
      <c r="V111" s="42" t="s">
        <v>57</v>
      </c>
      <c r="W111" s="32">
        <v>2050</v>
      </c>
      <c r="X111" s="43" t="str">
        <f t="shared" si="13"/>
        <v>*0.5</v>
      </c>
      <c r="AC111" s="33" t="s">
        <v>178</v>
      </c>
      <c r="AD111" s="44" t="s">
        <v>57</v>
      </c>
      <c r="AE111" s="33">
        <v>2035</v>
      </c>
      <c r="AF111" s="45" t="str">
        <f t="shared" si="14"/>
        <v>*0.56</v>
      </c>
      <c r="AG111" s="43" t="str">
        <f t="shared" si="16"/>
        <v>REZoning_Sol-Win</v>
      </c>
      <c r="AI111" s="33" t="s">
        <v>178</v>
      </c>
      <c r="AJ111" s="44" t="s">
        <v>57</v>
      </c>
      <c r="AK111" s="33">
        <v>2050</v>
      </c>
      <c r="AL111" s="45" t="str">
        <f t="shared" si="15"/>
        <v>*0.45</v>
      </c>
      <c r="AM111" s="43" t="str">
        <f t="shared" si="17"/>
        <v>REZoning_Sol-Win</v>
      </c>
      <c r="AP111" t="s">
        <v>178</v>
      </c>
      <c r="AQ111" t="s">
        <v>57</v>
      </c>
      <c r="AR111">
        <v>2100</v>
      </c>
      <c r="AS111" t="s">
        <v>100</v>
      </c>
      <c r="AT111" t="s">
        <v>58</v>
      </c>
    </row>
    <row r="112" ht="29" spans="1:46">
      <c r="A112" s="31" t="s">
        <v>98</v>
      </c>
      <c r="C112" t="s">
        <v>179</v>
      </c>
      <c r="D112" s="5" t="s">
        <v>57</v>
      </c>
      <c r="E112">
        <v>2035</v>
      </c>
      <c r="F112" s="6" t="str">
        <f t="shared" si="10"/>
        <v>*0.64</v>
      </c>
      <c r="H112" t="s">
        <v>179</v>
      </c>
      <c r="I112" s="5" t="s">
        <v>57</v>
      </c>
      <c r="J112">
        <v>2050</v>
      </c>
      <c r="K112" s="38" t="str">
        <f t="shared" si="11"/>
        <v>*0.54</v>
      </c>
      <c r="P112" s="32" t="s">
        <v>179</v>
      </c>
      <c r="Q112" s="42" t="s">
        <v>57</v>
      </c>
      <c r="R112" s="32">
        <v>2035</v>
      </c>
      <c r="S112" s="43" t="str">
        <f t="shared" si="12"/>
        <v>*0.62</v>
      </c>
      <c r="U112" s="32" t="s">
        <v>179</v>
      </c>
      <c r="V112" s="42" t="s">
        <v>57</v>
      </c>
      <c r="W112" s="32">
        <v>2050</v>
      </c>
      <c r="X112" s="43" t="str">
        <f t="shared" si="13"/>
        <v>*0.5</v>
      </c>
      <c r="AC112" s="33" t="s">
        <v>179</v>
      </c>
      <c r="AD112" s="44" t="s">
        <v>57</v>
      </c>
      <c r="AE112" s="33">
        <v>2035</v>
      </c>
      <c r="AF112" s="45" t="str">
        <f t="shared" si="14"/>
        <v>*0.56</v>
      </c>
      <c r="AG112" s="43" t="str">
        <f t="shared" si="16"/>
        <v>REZoning_Sol-Win</v>
      </c>
      <c r="AI112" s="33" t="s">
        <v>179</v>
      </c>
      <c r="AJ112" s="44" t="s">
        <v>57</v>
      </c>
      <c r="AK112" s="33">
        <v>2050</v>
      </c>
      <c r="AL112" s="45" t="str">
        <f t="shared" si="15"/>
        <v>*0.45</v>
      </c>
      <c r="AM112" s="43" t="str">
        <f t="shared" si="17"/>
        <v>REZoning_Sol-Win</v>
      </c>
      <c r="AP112" t="s">
        <v>179</v>
      </c>
      <c r="AQ112" t="s">
        <v>57</v>
      </c>
      <c r="AR112">
        <v>2100</v>
      </c>
      <c r="AS112" t="s">
        <v>100</v>
      </c>
      <c r="AT112" t="s">
        <v>58</v>
      </c>
    </row>
    <row r="113" ht="29" spans="1:46">
      <c r="A113" s="31" t="s">
        <v>98</v>
      </c>
      <c r="C113" t="s">
        <v>180</v>
      </c>
      <c r="D113" s="5" t="s">
        <v>57</v>
      </c>
      <c r="E113">
        <v>2035</v>
      </c>
      <c r="F113" s="6" t="str">
        <f t="shared" si="10"/>
        <v>*0.64</v>
      </c>
      <c r="H113" t="s">
        <v>180</v>
      </c>
      <c r="I113" s="5" t="s">
        <v>57</v>
      </c>
      <c r="J113">
        <v>2050</v>
      </c>
      <c r="K113" s="38" t="str">
        <f t="shared" si="11"/>
        <v>*0.54</v>
      </c>
      <c r="P113" s="32" t="s">
        <v>180</v>
      </c>
      <c r="Q113" s="42" t="s">
        <v>57</v>
      </c>
      <c r="R113" s="32">
        <v>2035</v>
      </c>
      <c r="S113" s="43" t="str">
        <f t="shared" si="12"/>
        <v>*0.62</v>
      </c>
      <c r="U113" s="32" t="s">
        <v>180</v>
      </c>
      <c r="V113" s="42" t="s">
        <v>57</v>
      </c>
      <c r="W113" s="32">
        <v>2050</v>
      </c>
      <c r="X113" s="43" t="str">
        <f t="shared" si="13"/>
        <v>*0.5</v>
      </c>
      <c r="AC113" s="33" t="s">
        <v>180</v>
      </c>
      <c r="AD113" s="44" t="s">
        <v>57</v>
      </c>
      <c r="AE113" s="33">
        <v>2035</v>
      </c>
      <c r="AF113" s="45" t="str">
        <f t="shared" si="14"/>
        <v>*0.56</v>
      </c>
      <c r="AG113" s="43" t="str">
        <f t="shared" si="16"/>
        <v>REZoning_Sol-Win</v>
      </c>
      <c r="AI113" s="33" t="s">
        <v>180</v>
      </c>
      <c r="AJ113" s="44" t="s">
        <v>57</v>
      </c>
      <c r="AK113" s="33">
        <v>2050</v>
      </c>
      <c r="AL113" s="45" t="str">
        <f t="shared" si="15"/>
        <v>*0.45</v>
      </c>
      <c r="AM113" s="43" t="str">
        <f t="shared" si="17"/>
        <v>REZoning_Sol-Win</v>
      </c>
      <c r="AP113" t="s">
        <v>180</v>
      </c>
      <c r="AQ113" t="s">
        <v>57</v>
      </c>
      <c r="AR113">
        <v>2100</v>
      </c>
      <c r="AS113" t="s">
        <v>100</v>
      </c>
      <c r="AT113" t="s">
        <v>58</v>
      </c>
    </row>
    <row r="114" ht="29" spans="1:46">
      <c r="A114" s="31" t="s">
        <v>98</v>
      </c>
      <c r="C114" t="s">
        <v>181</v>
      </c>
      <c r="D114" s="5" t="s">
        <v>57</v>
      </c>
      <c r="E114">
        <v>2035</v>
      </c>
      <c r="F114" s="6" t="str">
        <f t="shared" si="10"/>
        <v>*0.64</v>
      </c>
      <c r="H114" t="s">
        <v>181</v>
      </c>
      <c r="I114" s="5" t="s">
        <v>57</v>
      </c>
      <c r="J114">
        <v>2050</v>
      </c>
      <c r="K114" s="38" t="str">
        <f t="shared" si="11"/>
        <v>*0.54</v>
      </c>
      <c r="P114" s="32" t="s">
        <v>181</v>
      </c>
      <c r="Q114" s="42" t="s">
        <v>57</v>
      </c>
      <c r="R114" s="32">
        <v>2035</v>
      </c>
      <c r="S114" s="43" t="str">
        <f t="shared" si="12"/>
        <v>*0.62</v>
      </c>
      <c r="U114" s="32" t="s">
        <v>181</v>
      </c>
      <c r="V114" s="42" t="s">
        <v>57</v>
      </c>
      <c r="W114" s="32">
        <v>2050</v>
      </c>
      <c r="X114" s="43" t="str">
        <f t="shared" si="13"/>
        <v>*0.5</v>
      </c>
      <c r="AC114" s="33" t="s">
        <v>181</v>
      </c>
      <c r="AD114" s="44" t="s">
        <v>57</v>
      </c>
      <c r="AE114" s="33">
        <v>2035</v>
      </c>
      <c r="AF114" s="45" t="str">
        <f t="shared" si="14"/>
        <v>*0.56</v>
      </c>
      <c r="AG114" s="43" t="str">
        <f t="shared" si="16"/>
        <v>REZoning_Sol-Win</v>
      </c>
      <c r="AI114" s="33" t="s">
        <v>181</v>
      </c>
      <c r="AJ114" s="44" t="s">
        <v>57</v>
      </c>
      <c r="AK114" s="33">
        <v>2050</v>
      </c>
      <c r="AL114" s="45" t="str">
        <f t="shared" si="15"/>
        <v>*0.45</v>
      </c>
      <c r="AM114" s="43" t="str">
        <f t="shared" si="17"/>
        <v>REZoning_Sol-Win</v>
      </c>
      <c r="AP114" t="s">
        <v>181</v>
      </c>
      <c r="AQ114" t="s">
        <v>57</v>
      </c>
      <c r="AR114">
        <v>2100</v>
      </c>
      <c r="AS114" t="s">
        <v>100</v>
      </c>
      <c r="AT114" t="s">
        <v>58</v>
      </c>
    </row>
    <row r="115" ht="29" spans="1:46">
      <c r="A115" s="31" t="s">
        <v>98</v>
      </c>
      <c r="C115" t="s">
        <v>182</v>
      </c>
      <c r="D115" s="5" t="s">
        <v>57</v>
      </c>
      <c r="E115">
        <v>2035</v>
      </c>
      <c r="F115" s="6" t="str">
        <f t="shared" si="10"/>
        <v>*0.64</v>
      </c>
      <c r="H115" t="s">
        <v>182</v>
      </c>
      <c r="I115" s="5" t="s">
        <v>57</v>
      </c>
      <c r="J115">
        <v>2050</v>
      </c>
      <c r="K115" s="38" t="str">
        <f t="shared" si="11"/>
        <v>*0.54</v>
      </c>
      <c r="P115" s="32" t="s">
        <v>182</v>
      </c>
      <c r="Q115" s="42" t="s">
        <v>57</v>
      </c>
      <c r="R115" s="32">
        <v>2035</v>
      </c>
      <c r="S115" s="43" t="str">
        <f t="shared" si="12"/>
        <v>*0.62</v>
      </c>
      <c r="U115" s="32" t="s">
        <v>182</v>
      </c>
      <c r="V115" s="42" t="s">
        <v>57</v>
      </c>
      <c r="W115" s="32">
        <v>2050</v>
      </c>
      <c r="X115" s="43" t="str">
        <f t="shared" si="13"/>
        <v>*0.5</v>
      </c>
      <c r="AC115" s="33" t="s">
        <v>182</v>
      </c>
      <c r="AD115" s="44" t="s">
        <v>57</v>
      </c>
      <c r="AE115" s="33">
        <v>2035</v>
      </c>
      <c r="AF115" s="45" t="str">
        <f t="shared" si="14"/>
        <v>*0.56</v>
      </c>
      <c r="AG115" s="43" t="str">
        <f t="shared" si="16"/>
        <v>REZoning_Sol-Win</v>
      </c>
      <c r="AI115" s="33" t="s">
        <v>182</v>
      </c>
      <c r="AJ115" s="44" t="s">
        <v>57</v>
      </c>
      <c r="AK115" s="33">
        <v>2050</v>
      </c>
      <c r="AL115" s="45" t="str">
        <f t="shared" si="15"/>
        <v>*0.45</v>
      </c>
      <c r="AM115" s="43" t="str">
        <f t="shared" si="17"/>
        <v>REZoning_Sol-Win</v>
      </c>
      <c r="AP115" t="s">
        <v>182</v>
      </c>
      <c r="AQ115" t="s">
        <v>57</v>
      </c>
      <c r="AR115">
        <v>2100</v>
      </c>
      <c r="AS115" t="s">
        <v>100</v>
      </c>
      <c r="AT115" t="s">
        <v>58</v>
      </c>
    </row>
    <row r="116" ht="29" spans="1:46">
      <c r="A116" s="31" t="s">
        <v>98</v>
      </c>
      <c r="C116" t="s">
        <v>183</v>
      </c>
      <c r="D116" s="5" t="s">
        <v>57</v>
      </c>
      <c r="E116">
        <v>2035</v>
      </c>
      <c r="F116" s="6" t="str">
        <f t="shared" si="10"/>
        <v>*0.64</v>
      </c>
      <c r="H116" t="s">
        <v>183</v>
      </c>
      <c r="I116" s="5" t="s">
        <v>57</v>
      </c>
      <c r="J116">
        <v>2050</v>
      </c>
      <c r="K116" s="38" t="str">
        <f t="shared" si="11"/>
        <v>*0.54</v>
      </c>
      <c r="P116" s="32" t="s">
        <v>183</v>
      </c>
      <c r="Q116" s="42" t="s">
        <v>57</v>
      </c>
      <c r="R116" s="32">
        <v>2035</v>
      </c>
      <c r="S116" s="43" t="str">
        <f t="shared" si="12"/>
        <v>*0.62</v>
      </c>
      <c r="U116" s="32" t="s">
        <v>183</v>
      </c>
      <c r="V116" s="42" t="s">
        <v>57</v>
      </c>
      <c r="W116" s="32">
        <v>2050</v>
      </c>
      <c r="X116" s="43" t="str">
        <f t="shared" si="13"/>
        <v>*0.5</v>
      </c>
      <c r="AC116" s="33" t="s">
        <v>183</v>
      </c>
      <c r="AD116" s="44" t="s">
        <v>57</v>
      </c>
      <c r="AE116" s="33">
        <v>2035</v>
      </c>
      <c r="AF116" s="45" t="str">
        <f t="shared" si="14"/>
        <v>*0.56</v>
      </c>
      <c r="AG116" s="43" t="str">
        <f t="shared" si="16"/>
        <v>REZoning_Sol-Win</v>
      </c>
      <c r="AI116" s="33" t="s">
        <v>183</v>
      </c>
      <c r="AJ116" s="44" t="s">
        <v>57</v>
      </c>
      <c r="AK116" s="33">
        <v>2050</v>
      </c>
      <c r="AL116" s="45" t="str">
        <f t="shared" si="15"/>
        <v>*0.45</v>
      </c>
      <c r="AM116" s="43" t="str">
        <f t="shared" si="17"/>
        <v>REZoning_Sol-Win</v>
      </c>
      <c r="AP116" t="s">
        <v>183</v>
      </c>
      <c r="AQ116" t="s">
        <v>57</v>
      </c>
      <c r="AR116">
        <v>2100</v>
      </c>
      <c r="AS116" t="s">
        <v>100</v>
      </c>
      <c r="AT116" t="s">
        <v>58</v>
      </c>
    </row>
    <row r="117" ht="29" spans="1:46">
      <c r="A117" s="31" t="s">
        <v>98</v>
      </c>
      <c r="C117" t="s">
        <v>184</v>
      </c>
      <c r="D117" s="5" t="s">
        <v>57</v>
      </c>
      <c r="E117">
        <v>2035</v>
      </c>
      <c r="F117" s="6" t="str">
        <f t="shared" si="10"/>
        <v>*0.64</v>
      </c>
      <c r="H117" t="s">
        <v>184</v>
      </c>
      <c r="I117" s="5" t="s">
        <v>57</v>
      </c>
      <c r="J117">
        <v>2050</v>
      </c>
      <c r="K117" s="38" t="str">
        <f t="shared" si="11"/>
        <v>*0.54</v>
      </c>
      <c r="P117" s="32" t="s">
        <v>184</v>
      </c>
      <c r="Q117" s="42" t="s">
        <v>57</v>
      </c>
      <c r="R117" s="32">
        <v>2035</v>
      </c>
      <c r="S117" s="43" t="str">
        <f t="shared" si="12"/>
        <v>*0.62</v>
      </c>
      <c r="U117" s="32" t="s">
        <v>184</v>
      </c>
      <c r="V117" s="42" t="s">
        <v>57</v>
      </c>
      <c r="W117" s="32">
        <v>2050</v>
      </c>
      <c r="X117" s="43" t="str">
        <f t="shared" si="13"/>
        <v>*0.5</v>
      </c>
      <c r="AC117" s="33" t="s">
        <v>184</v>
      </c>
      <c r="AD117" s="44" t="s">
        <v>57</v>
      </c>
      <c r="AE117" s="33">
        <v>2035</v>
      </c>
      <c r="AF117" s="45" t="str">
        <f t="shared" si="14"/>
        <v>*0.56</v>
      </c>
      <c r="AG117" s="43" t="str">
        <f t="shared" si="16"/>
        <v>REZoning_Sol-Win</v>
      </c>
      <c r="AI117" s="33" t="s">
        <v>184</v>
      </c>
      <c r="AJ117" s="44" t="s">
        <v>57</v>
      </c>
      <c r="AK117" s="33">
        <v>2050</v>
      </c>
      <c r="AL117" s="45" t="str">
        <f t="shared" si="15"/>
        <v>*0.45</v>
      </c>
      <c r="AM117" s="43" t="str">
        <f t="shared" si="17"/>
        <v>REZoning_Sol-Win</v>
      </c>
      <c r="AP117" t="s">
        <v>184</v>
      </c>
      <c r="AQ117" t="s">
        <v>57</v>
      </c>
      <c r="AR117">
        <v>2100</v>
      </c>
      <c r="AS117" t="s">
        <v>100</v>
      </c>
      <c r="AT117" t="s">
        <v>58</v>
      </c>
    </row>
    <row r="118" ht="29" spans="1:46">
      <c r="A118" s="31" t="s">
        <v>98</v>
      </c>
      <c r="C118" t="s">
        <v>185</v>
      </c>
      <c r="D118" s="5" t="s">
        <v>57</v>
      </c>
      <c r="E118">
        <v>2035</v>
      </c>
      <c r="F118" s="6" t="str">
        <f t="shared" si="10"/>
        <v>*0.64</v>
      </c>
      <c r="H118" t="s">
        <v>185</v>
      </c>
      <c r="I118" s="5" t="s">
        <v>57</v>
      </c>
      <c r="J118">
        <v>2050</v>
      </c>
      <c r="K118" s="38" t="str">
        <f t="shared" si="11"/>
        <v>*0.54</v>
      </c>
      <c r="P118" s="32" t="s">
        <v>185</v>
      </c>
      <c r="Q118" s="42" t="s">
        <v>57</v>
      </c>
      <c r="R118" s="32">
        <v>2035</v>
      </c>
      <c r="S118" s="43" t="str">
        <f t="shared" si="12"/>
        <v>*0.62</v>
      </c>
      <c r="U118" s="32" t="s">
        <v>185</v>
      </c>
      <c r="V118" s="42" t="s">
        <v>57</v>
      </c>
      <c r="W118" s="32">
        <v>2050</v>
      </c>
      <c r="X118" s="43" t="str">
        <f t="shared" si="13"/>
        <v>*0.5</v>
      </c>
      <c r="AC118" s="33" t="s">
        <v>185</v>
      </c>
      <c r="AD118" s="44" t="s">
        <v>57</v>
      </c>
      <c r="AE118" s="33">
        <v>2035</v>
      </c>
      <c r="AF118" s="45" t="str">
        <f t="shared" si="14"/>
        <v>*0.56</v>
      </c>
      <c r="AG118" s="43" t="str">
        <f t="shared" si="16"/>
        <v>REZoning_Sol-Win</v>
      </c>
      <c r="AI118" s="33" t="s">
        <v>185</v>
      </c>
      <c r="AJ118" s="44" t="s">
        <v>57</v>
      </c>
      <c r="AK118" s="33">
        <v>2050</v>
      </c>
      <c r="AL118" s="45" t="str">
        <f t="shared" si="15"/>
        <v>*0.45</v>
      </c>
      <c r="AM118" s="43" t="str">
        <f t="shared" si="17"/>
        <v>REZoning_Sol-Win</v>
      </c>
      <c r="AP118" t="s">
        <v>185</v>
      </c>
      <c r="AQ118" t="s">
        <v>57</v>
      </c>
      <c r="AR118">
        <v>2100</v>
      </c>
      <c r="AS118" t="s">
        <v>100</v>
      </c>
      <c r="AT118" t="s">
        <v>58</v>
      </c>
    </row>
    <row r="119" ht="29" spans="1:46">
      <c r="A119" s="31" t="s">
        <v>98</v>
      </c>
      <c r="C119" t="s">
        <v>186</v>
      </c>
      <c r="D119" s="5" t="s">
        <v>57</v>
      </c>
      <c r="E119">
        <v>2035</v>
      </c>
      <c r="F119" s="6" t="str">
        <f t="shared" si="10"/>
        <v>*0.64</v>
      </c>
      <c r="H119" t="s">
        <v>186</v>
      </c>
      <c r="I119" s="5" t="s">
        <v>57</v>
      </c>
      <c r="J119">
        <v>2050</v>
      </c>
      <c r="K119" s="38" t="str">
        <f t="shared" si="11"/>
        <v>*0.54</v>
      </c>
      <c r="P119" s="32" t="s">
        <v>186</v>
      </c>
      <c r="Q119" s="42" t="s">
        <v>57</v>
      </c>
      <c r="R119" s="32">
        <v>2035</v>
      </c>
      <c r="S119" s="43" t="str">
        <f t="shared" si="12"/>
        <v>*0.62</v>
      </c>
      <c r="U119" s="32" t="s">
        <v>186</v>
      </c>
      <c r="V119" s="42" t="s">
        <v>57</v>
      </c>
      <c r="W119" s="32">
        <v>2050</v>
      </c>
      <c r="X119" s="43" t="str">
        <f t="shared" si="13"/>
        <v>*0.5</v>
      </c>
      <c r="AC119" s="33" t="s">
        <v>186</v>
      </c>
      <c r="AD119" s="44" t="s">
        <v>57</v>
      </c>
      <c r="AE119" s="33">
        <v>2035</v>
      </c>
      <c r="AF119" s="45" t="str">
        <f t="shared" si="14"/>
        <v>*0.56</v>
      </c>
      <c r="AG119" s="43" t="str">
        <f t="shared" si="16"/>
        <v>REZoning_Sol-Win</v>
      </c>
      <c r="AI119" s="33" t="s">
        <v>186</v>
      </c>
      <c r="AJ119" s="44" t="s">
        <v>57</v>
      </c>
      <c r="AK119" s="33">
        <v>2050</v>
      </c>
      <c r="AL119" s="45" t="str">
        <f t="shared" si="15"/>
        <v>*0.45</v>
      </c>
      <c r="AM119" s="43" t="str">
        <f t="shared" si="17"/>
        <v>REZoning_Sol-Win</v>
      </c>
      <c r="AP119" t="s">
        <v>186</v>
      </c>
      <c r="AQ119" t="s">
        <v>57</v>
      </c>
      <c r="AR119">
        <v>2100</v>
      </c>
      <c r="AS119" t="s">
        <v>100</v>
      </c>
      <c r="AT119" t="s">
        <v>58</v>
      </c>
    </row>
    <row r="120" ht="29" spans="1:46">
      <c r="A120" s="31" t="s">
        <v>98</v>
      </c>
      <c r="C120" t="s">
        <v>187</v>
      </c>
      <c r="D120" s="5" t="s">
        <v>57</v>
      </c>
      <c r="E120">
        <v>2035</v>
      </c>
      <c r="F120" s="6" t="str">
        <f t="shared" si="10"/>
        <v>*0.64</v>
      </c>
      <c r="H120" t="s">
        <v>187</v>
      </c>
      <c r="I120" s="5" t="s">
        <v>57</v>
      </c>
      <c r="J120">
        <v>2050</v>
      </c>
      <c r="K120" s="38" t="str">
        <f t="shared" si="11"/>
        <v>*0.54</v>
      </c>
      <c r="P120" s="32" t="s">
        <v>187</v>
      </c>
      <c r="Q120" s="42" t="s">
        <v>57</v>
      </c>
      <c r="R120" s="32">
        <v>2035</v>
      </c>
      <c r="S120" s="43" t="str">
        <f t="shared" si="12"/>
        <v>*0.62</v>
      </c>
      <c r="U120" s="32" t="s">
        <v>187</v>
      </c>
      <c r="V120" s="42" t="s">
        <v>57</v>
      </c>
      <c r="W120" s="32">
        <v>2050</v>
      </c>
      <c r="X120" s="43" t="str">
        <f t="shared" si="13"/>
        <v>*0.5</v>
      </c>
      <c r="AC120" s="33" t="s">
        <v>187</v>
      </c>
      <c r="AD120" s="44" t="s">
        <v>57</v>
      </c>
      <c r="AE120" s="33">
        <v>2035</v>
      </c>
      <c r="AF120" s="45" t="str">
        <f t="shared" si="14"/>
        <v>*0.56</v>
      </c>
      <c r="AG120" s="43" t="str">
        <f t="shared" si="16"/>
        <v>REZoning_Sol-Win</v>
      </c>
      <c r="AI120" s="33" t="s">
        <v>187</v>
      </c>
      <c r="AJ120" s="44" t="s">
        <v>57</v>
      </c>
      <c r="AK120" s="33">
        <v>2050</v>
      </c>
      <c r="AL120" s="45" t="str">
        <f t="shared" si="15"/>
        <v>*0.45</v>
      </c>
      <c r="AM120" s="43" t="str">
        <f t="shared" si="17"/>
        <v>REZoning_Sol-Win</v>
      </c>
      <c r="AP120" t="s">
        <v>187</v>
      </c>
      <c r="AQ120" t="s">
        <v>57</v>
      </c>
      <c r="AR120">
        <v>2100</v>
      </c>
      <c r="AS120" t="s">
        <v>100</v>
      </c>
      <c r="AT120" t="s">
        <v>58</v>
      </c>
    </row>
    <row r="121" ht="29" spans="1:46">
      <c r="A121" s="31" t="s">
        <v>98</v>
      </c>
      <c r="C121" t="s">
        <v>188</v>
      </c>
      <c r="D121" s="5" t="s">
        <v>57</v>
      </c>
      <c r="E121">
        <v>2035</v>
      </c>
      <c r="F121" s="6" t="str">
        <f t="shared" si="10"/>
        <v>*0.64</v>
      </c>
      <c r="H121" t="s">
        <v>188</v>
      </c>
      <c r="I121" s="5" t="s">
        <v>57</v>
      </c>
      <c r="J121">
        <v>2050</v>
      </c>
      <c r="K121" s="38" t="str">
        <f t="shared" si="11"/>
        <v>*0.54</v>
      </c>
      <c r="P121" s="32" t="s">
        <v>188</v>
      </c>
      <c r="Q121" s="42" t="s">
        <v>57</v>
      </c>
      <c r="R121" s="32">
        <v>2035</v>
      </c>
      <c r="S121" s="43" t="str">
        <f t="shared" si="12"/>
        <v>*0.62</v>
      </c>
      <c r="U121" s="32" t="s">
        <v>188</v>
      </c>
      <c r="V121" s="42" t="s">
        <v>57</v>
      </c>
      <c r="W121" s="32">
        <v>2050</v>
      </c>
      <c r="X121" s="43" t="str">
        <f t="shared" si="13"/>
        <v>*0.5</v>
      </c>
      <c r="AC121" s="33" t="s">
        <v>188</v>
      </c>
      <c r="AD121" s="44" t="s">
        <v>57</v>
      </c>
      <c r="AE121" s="33">
        <v>2035</v>
      </c>
      <c r="AF121" s="45" t="str">
        <f t="shared" si="14"/>
        <v>*0.56</v>
      </c>
      <c r="AG121" s="43" t="str">
        <f t="shared" si="16"/>
        <v>REZoning_Sol-Win</v>
      </c>
      <c r="AI121" s="33" t="s">
        <v>188</v>
      </c>
      <c r="AJ121" s="44" t="s">
        <v>57</v>
      </c>
      <c r="AK121" s="33">
        <v>2050</v>
      </c>
      <c r="AL121" s="45" t="str">
        <f t="shared" si="15"/>
        <v>*0.45</v>
      </c>
      <c r="AM121" s="43" t="str">
        <f t="shared" si="17"/>
        <v>REZoning_Sol-Win</v>
      </c>
      <c r="AP121" t="s">
        <v>188</v>
      </c>
      <c r="AQ121" t="s">
        <v>57</v>
      </c>
      <c r="AR121">
        <v>2100</v>
      </c>
      <c r="AS121" t="s">
        <v>100</v>
      </c>
      <c r="AT121" t="s">
        <v>58</v>
      </c>
    </row>
    <row r="122" ht="29" spans="1:46">
      <c r="A122" s="31" t="s">
        <v>98</v>
      </c>
      <c r="C122" t="s">
        <v>189</v>
      </c>
      <c r="D122" s="5" t="s">
        <v>57</v>
      </c>
      <c r="E122">
        <v>2035</v>
      </c>
      <c r="F122" s="6" t="str">
        <f t="shared" si="10"/>
        <v>*0.64</v>
      </c>
      <c r="H122" t="s">
        <v>189</v>
      </c>
      <c r="I122" s="5" t="s">
        <v>57</v>
      </c>
      <c r="J122">
        <v>2050</v>
      </c>
      <c r="K122" s="38" t="str">
        <f t="shared" si="11"/>
        <v>*0.54</v>
      </c>
      <c r="P122" s="32" t="s">
        <v>189</v>
      </c>
      <c r="Q122" s="42" t="s">
        <v>57</v>
      </c>
      <c r="R122" s="32">
        <v>2035</v>
      </c>
      <c r="S122" s="43" t="str">
        <f t="shared" si="12"/>
        <v>*0.62</v>
      </c>
      <c r="U122" s="32" t="s">
        <v>189</v>
      </c>
      <c r="V122" s="42" t="s">
        <v>57</v>
      </c>
      <c r="W122" s="32">
        <v>2050</v>
      </c>
      <c r="X122" s="43" t="str">
        <f t="shared" si="13"/>
        <v>*0.5</v>
      </c>
      <c r="AC122" s="33" t="s">
        <v>189</v>
      </c>
      <c r="AD122" s="44" t="s">
        <v>57</v>
      </c>
      <c r="AE122" s="33">
        <v>2035</v>
      </c>
      <c r="AF122" s="45" t="str">
        <f t="shared" si="14"/>
        <v>*0.56</v>
      </c>
      <c r="AG122" s="43" t="str">
        <f t="shared" si="16"/>
        <v>REZoning_Sol-Win</v>
      </c>
      <c r="AI122" s="33" t="s">
        <v>189</v>
      </c>
      <c r="AJ122" s="44" t="s">
        <v>57</v>
      </c>
      <c r="AK122" s="33">
        <v>2050</v>
      </c>
      <c r="AL122" s="45" t="str">
        <f t="shared" si="15"/>
        <v>*0.45</v>
      </c>
      <c r="AM122" s="43" t="str">
        <f t="shared" si="17"/>
        <v>REZoning_Sol-Win</v>
      </c>
      <c r="AP122" t="s">
        <v>189</v>
      </c>
      <c r="AQ122" t="s">
        <v>57</v>
      </c>
      <c r="AR122">
        <v>2100</v>
      </c>
      <c r="AS122" t="s">
        <v>100</v>
      </c>
      <c r="AT122" t="s">
        <v>58</v>
      </c>
    </row>
    <row r="123" ht="29" spans="1:46">
      <c r="A123" s="31" t="s">
        <v>98</v>
      </c>
      <c r="C123" t="s">
        <v>190</v>
      </c>
      <c r="D123" s="5" t="s">
        <v>57</v>
      </c>
      <c r="E123">
        <v>2035</v>
      </c>
      <c r="F123" s="6" t="str">
        <f t="shared" si="10"/>
        <v>*0.64</v>
      </c>
      <c r="H123" t="s">
        <v>190</v>
      </c>
      <c r="I123" s="5" t="s">
        <v>57</v>
      </c>
      <c r="J123">
        <v>2050</v>
      </c>
      <c r="K123" s="38" t="str">
        <f t="shared" si="11"/>
        <v>*0.54</v>
      </c>
      <c r="P123" s="32" t="s">
        <v>190</v>
      </c>
      <c r="Q123" s="42" t="s">
        <v>57</v>
      </c>
      <c r="R123" s="32">
        <v>2035</v>
      </c>
      <c r="S123" s="43" t="str">
        <f t="shared" si="12"/>
        <v>*0.62</v>
      </c>
      <c r="U123" s="32" t="s">
        <v>190</v>
      </c>
      <c r="V123" s="42" t="s">
        <v>57</v>
      </c>
      <c r="W123" s="32">
        <v>2050</v>
      </c>
      <c r="X123" s="43" t="str">
        <f t="shared" si="13"/>
        <v>*0.5</v>
      </c>
      <c r="AC123" s="33" t="s">
        <v>190</v>
      </c>
      <c r="AD123" s="44" t="s">
        <v>57</v>
      </c>
      <c r="AE123" s="33">
        <v>2035</v>
      </c>
      <c r="AF123" s="45" t="str">
        <f t="shared" si="14"/>
        <v>*0.56</v>
      </c>
      <c r="AG123" s="43" t="str">
        <f t="shared" si="16"/>
        <v>REZoning_Sol-Win</v>
      </c>
      <c r="AI123" s="33" t="s">
        <v>190</v>
      </c>
      <c r="AJ123" s="44" t="s">
        <v>57</v>
      </c>
      <c r="AK123" s="33">
        <v>2050</v>
      </c>
      <c r="AL123" s="45" t="str">
        <f t="shared" si="15"/>
        <v>*0.45</v>
      </c>
      <c r="AM123" s="43" t="str">
        <f t="shared" si="17"/>
        <v>REZoning_Sol-Win</v>
      </c>
      <c r="AP123" t="s">
        <v>190</v>
      </c>
      <c r="AQ123" t="s">
        <v>57</v>
      </c>
      <c r="AR123">
        <v>2100</v>
      </c>
      <c r="AS123" t="s">
        <v>100</v>
      </c>
      <c r="AT123" t="s">
        <v>58</v>
      </c>
    </row>
    <row r="124" ht="29" spans="1:46">
      <c r="A124" s="31" t="s">
        <v>98</v>
      </c>
      <c r="C124" t="s">
        <v>191</v>
      </c>
      <c r="D124" s="5" t="s">
        <v>57</v>
      </c>
      <c r="E124">
        <v>2035</v>
      </c>
      <c r="F124" s="6" t="str">
        <f t="shared" si="10"/>
        <v>*0.64</v>
      </c>
      <c r="H124" t="s">
        <v>191</v>
      </c>
      <c r="I124" s="5" t="s">
        <v>57</v>
      </c>
      <c r="J124">
        <v>2050</v>
      </c>
      <c r="K124" s="38" t="str">
        <f t="shared" si="11"/>
        <v>*0.54</v>
      </c>
      <c r="P124" s="32" t="s">
        <v>191</v>
      </c>
      <c r="Q124" s="42" t="s">
        <v>57</v>
      </c>
      <c r="R124" s="32">
        <v>2035</v>
      </c>
      <c r="S124" s="43" t="str">
        <f t="shared" si="12"/>
        <v>*0.62</v>
      </c>
      <c r="U124" s="32" t="s">
        <v>191</v>
      </c>
      <c r="V124" s="42" t="s">
        <v>57</v>
      </c>
      <c r="W124" s="32">
        <v>2050</v>
      </c>
      <c r="X124" s="43" t="str">
        <f t="shared" si="13"/>
        <v>*0.5</v>
      </c>
      <c r="AC124" s="33" t="s">
        <v>191</v>
      </c>
      <c r="AD124" s="44" t="s">
        <v>57</v>
      </c>
      <c r="AE124" s="33">
        <v>2035</v>
      </c>
      <c r="AF124" s="45" t="str">
        <f t="shared" si="14"/>
        <v>*0.56</v>
      </c>
      <c r="AG124" s="43" t="str">
        <f t="shared" si="16"/>
        <v>REZoning_Sol-Win</v>
      </c>
      <c r="AI124" s="33" t="s">
        <v>191</v>
      </c>
      <c r="AJ124" s="44" t="s">
        <v>57</v>
      </c>
      <c r="AK124" s="33">
        <v>2050</v>
      </c>
      <c r="AL124" s="45" t="str">
        <f t="shared" si="15"/>
        <v>*0.45</v>
      </c>
      <c r="AM124" s="43" t="str">
        <f t="shared" si="17"/>
        <v>REZoning_Sol-Win</v>
      </c>
      <c r="AP124" t="s">
        <v>191</v>
      </c>
      <c r="AQ124" t="s">
        <v>57</v>
      </c>
      <c r="AR124">
        <v>2100</v>
      </c>
      <c r="AS124" t="s">
        <v>100</v>
      </c>
      <c r="AT124" t="s">
        <v>58</v>
      </c>
    </row>
    <row r="125" ht="29" spans="1:46">
      <c r="A125" s="31" t="s">
        <v>98</v>
      </c>
      <c r="C125" t="s">
        <v>192</v>
      </c>
      <c r="D125" s="5" t="s">
        <v>57</v>
      </c>
      <c r="E125">
        <v>2035</v>
      </c>
      <c r="F125" s="6" t="str">
        <f t="shared" si="10"/>
        <v>*0.64</v>
      </c>
      <c r="H125" t="s">
        <v>192</v>
      </c>
      <c r="I125" s="5" t="s">
        <v>57</v>
      </c>
      <c r="J125">
        <v>2050</v>
      </c>
      <c r="K125" s="38" t="str">
        <f t="shared" si="11"/>
        <v>*0.54</v>
      </c>
      <c r="P125" s="32" t="s">
        <v>192</v>
      </c>
      <c r="Q125" s="42" t="s">
        <v>57</v>
      </c>
      <c r="R125" s="32">
        <v>2035</v>
      </c>
      <c r="S125" s="43" t="str">
        <f t="shared" si="12"/>
        <v>*0.62</v>
      </c>
      <c r="U125" s="32" t="s">
        <v>192</v>
      </c>
      <c r="V125" s="42" t="s">
        <v>57</v>
      </c>
      <c r="W125" s="32">
        <v>2050</v>
      </c>
      <c r="X125" s="43" t="str">
        <f t="shared" si="13"/>
        <v>*0.5</v>
      </c>
      <c r="AC125" s="33" t="s">
        <v>192</v>
      </c>
      <c r="AD125" s="44" t="s">
        <v>57</v>
      </c>
      <c r="AE125" s="33">
        <v>2035</v>
      </c>
      <c r="AF125" s="45" t="str">
        <f t="shared" si="14"/>
        <v>*0.56</v>
      </c>
      <c r="AG125" s="43" t="str">
        <f t="shared" si="16"/>
        <v>REZoning_Sol-Win</v>
      </c>
      <c r="AI125" s="33" t="s">
        <v>192</v>
      </c>
      <c r="AJ125" s="44" t="s">
        <v>57</v>
      </c>
      <c r="AK125" s="33">
        <v>2050</v>
      </c>
      <c r="AL125" s="45" t="str">
        <f t="shared" si="15"/>
        <v>*0.45</v>
      </c>
      <c r="AM125" s="43" t="str">
        <f t="shared" si="17"/>
        <v>REZoning_Sol-Win</v>
      </c>
      <c r="AP125" t="s">
        <v>192</v>
      </c>
      <c r="AQ125" t="s">
        <v>57</v>
      </c>
      <c r="AR125">
        <v>2100</v>
      </c>
      <c r="AS125" t="s">
        <v>100</v>
      </c>
      <c r="AT125" t="s">
        <v>58</v>
      </c>
    </row>
    <row r="126" ht="29" spans="1:46">
      <c r="A126" s="31" t="s">
        <v>98</v>
      </c>
      <c r="C126" t="s">
        <v>193</v>
      </c>
      <c r="D126" s="5" t="s">
        <v>57</v>
      </c>
      <c r="E126">
        <v>2035</v>
      </c>
      <c r="F126" s="6" t="str">
        <f t="shared" si="10"/>
        <v>*0.64</v>
      </c>
      <c r="H126" t="s">
        <v>193</v>
      </c>
      <c r="I126" s="5" t="s">
        <v>57</v>
      </c>
      <c r="J126">
        <v>2050</v>
      </c>
      <c r="K126" s="38" t="str">
        <f t="shared" si="11"/>
        <v>*0.54</v>
      </c>
      <c r="P126" s="32" t="s">
        <v>193</v>
      </c>
      <c r="Q126" s="42" t="s">
        <v>57</v>
      </c>
      <c r="R126" s="32">
        <v>2035</v>
      </c>
      <c r="S126" s="43" t="str">
        <f t="shared" si="12"/>
        <v>*0.62</v>
      </c>
      <c r="U126" s="32" t="s">
        <v>193</v>
      </c>
      <c r="V126" s="42" t="s">
        <v>57</v>
      </c>
      <c r="W126" s="32">
        <v>2050</v>
      </c>
      <c r="X126" s="43" t="str">
        <f t="shared" si="13"/>
        <v>*0.5</v>
      </c>
      <c r="AC126" s="33" t="s">
        <v>193</v>
      </c>
      <c r="AD126" s="44" t="s">
        <v>57</v>
      </c>
      <c r="AE126" s="33">
        <v>2035</v>
      </c>
      <c r="AF126" s="45" t="str">
        <f t="shared" si="14"/>
        <v>*0.56</v>
      </c>
      <c r="AG126" s="43" t="str">
        <f t="shared" si="16"/>
        <v>REZoning_Sol-Win</v>
      </c>
      <c r="AI126" s="33" t="s">
        <v>193</v>
      </c>
      <c r="AJ126" s="44" t="s">
        <v>57</v>
      </c>
      <c r="AK126" s="33">
        <v>2050</v>
      </c>
      <c r="AL126" s="45" t="str">
        <f t="shared" si="15"/>
        <v>*0.45</v>
      </c>
      <c r="AM126" s="43" t="str">
        <f t="shared" si="17"/>
        <v>REZoning_Sol-Win</v>
      </c>
      <c r="AP126" t="s">
        <v>193</v>
      </c>
      <c r="AQ126" t="s">
        <v>57</v>
      </c>
      <c r="AR126">
        <v>2100</v>
      </c>
      <c r="AS126" t="s">
        <v>100</v>
      </c>
      <c r="AT126" t="s">
        <v>58</v>
      </c>
    </row>
    <row r="127" ht="29" spans="1:46">
      <c r="A127" s="31" t="s">
        <v>98</v>
      </c>
      <c r="C127" t="s">
        <v>194</v>
      </c>
      <c r="D127" s="5" t="s">
        <v>57</v>
      </c>
      <c r="E127">
        <v>2035</v>
      </c>
      <c r="F127" s="6" t="str">
        <f t="shared" si="10"/>
        <v>*0.64</v>
      </c>
      <c r="H127" t="s">
        <v>194</v>
      </c>
      <c r="I127" s="5" t="s">
        <v>57</v>
      </c>
      <c r="J127">
        <v>2050</v>
      </c>
      <c r="K127" s="38" t="str">
        <f t="shared" si="11"/>
        <v>*0.54</v>
      </c>
      <c r="P127" s="32" t="s">
        <v>194</v>
      </c>
      <c r="Q127" s="42" t="s">
        <v>57</v>
      </c>
      <c r="R127" s="32">
        <v>2035</v>
      </c>
      <c r="S127" s="43" t="str">
        <f t="shared" si="12"/>
        <v>*0.62</v>
      </c>
      <c r="U127" s="32" t="s">
        <v>194</v>
      </c>
      <c r="V127" s="42" t="s">
        <v>57</v>
      </c>
      <c r="W127" s="32">
        <v>2050</v>
      </c>
      <c r="X127" s="43" t="str">
        <f t="shared" si="13"/>
        <v>*0.5</v>
      </c>
      <c r="AC127" s="33" t="s">
        <v>194</v>
      </c>
      <c r="AD127" s="44" t="s">
        <v>57</v>
      </c>
      <c r="AE127" s="33">
        <v>2035</v>
      </c>
      <c r="AF127" s="45" t="str">
        <f t="shared" si="14"/>
        <v>*0.56</v>
      </c>
      <c r="AG127" s="43" t="str">
        <f t="shared" si="16"/>
        <v>REZoning_Sol-Win</v>
      </c>
      <c r="AI127" s="33" t="s">
        <v>194</v>
      </c>
      <c r="AJ127" s="44" t="s">
        <v>57</v>
      </c>
      <c r="AK127" s="33">
        <v>2050</v>
      </c>
      <c r="AL127" s="45" t="str">
        <f t="shared" si="15"/>
        <v>*0.45</v>
      </c>
      <c r="AM127" s="43" t="str">
        <f t="shared" si="17"/>
        <v>REZoning_Sol-Win</v>
      </c>
      <c r="AP127" t="s">
        <v>194</v>
      </c>
      <c r="AQ127" t="s">
        <v>57</v>
      </c>
      <c r="AR127">
        <v>2100</v>
      </c>
      <c r="AS127" t="s">
        <v>100</v>
      </c>
      <c r="AT127" t="s">
        <v>58</v>
      </c>
    </row>
    <row r="128" ht="29" spans="1:46">
      <c r="A128" s="31" t="s">
        <v>98</v>
      </c>
      <c r="C128" t="s">
        <v>195</v>
      </c>
      <c r="D128" s="5" t="s">
        <v>57</v>
      </c>
      <c r="E128">
        <v>2035</v>
      </c>
      <c r="F128" s="6" t="str">
        <f t="shared" si="10"/>
        <v>*0.64</v>
      </c>
      <c r="H128" t="s">
        <v>195</v>
      </c>
      <c r="I128" s="5" t="s">
        <v>57</v>
      </c>
      <c r="J128">
        <v>2050</v>
      </c>
      <c r="K128" s="38" t="str">
        <f t="shared" si="11"/>
        <v>*0.54</v>
      </c>
      <c r="P128" s="32" t="s">
        <v>195</v>
      </c>
      <c r="Q128" s="42" t="s">
        <v>57</v>
      </c>
      <c r="R128" s="32">
        <v>2035</v>
      </c>
      <c r="S128" s="43" t="str">
        <f t="shared" si="12"/>
        <v>*0.62</v>
      </c>
      <c r="U128" s="32" t="s">
        <v>195</v>
      </c>
      <c r="V128" s="42" t="s">
        <v>57</v>
      </c>
      <c r="W128" s="32">
        <v>2050</v>
      </c>
      <c r="X128" s="43" t="str">
        <f t="shared" si="13"/>
        <v>*0.5</v>
      </c>
      <c r="AC128" s="33" t="s">
        <v>195</v>
      </c>
      <c r="AD128" s="44" t="s">
        <v>57</v>
      </c>
      <c r="AE128" s="33">
        <v>2035</v>
      </c>
      <c r="AF128" s="45" t="str">
        <f t="shared" si="14"/>
        <v>*0.56</v>
      </c>
      <c r="AG128" s="43" t="str">
        <f t="shared" si="16"/>
        <v>REZoning_Sol-Win</v>
      </c>
      <c r="AI128" s="33" t="s">
        <v>195</v>
      </c>
      <c r="AJ128" s="44" t="s">
        <v>57</v>
      </c>
      <c r="AK128" s="33">
        <v>2050</v>
      </c>
      <c r="AL128" s="45" t="str">
        <f t="shared" si="15"/>
        <v>*0.45</v>
      </c>
      <c r="AM128" s="43" t="str">
        <f t="shared" si="17"/>
        <v>REZoning_Sol-Win</v>
      </c>
      <c r="AP128" t="s">
        <v>195</v>
      </c>
      <c r="AQ128" t="s">
        <v>57</v>
      </c>
      <c r="AR128">
        <v>2100</v>
      </c>
      <c r="AS128" t="s">
        <v>100</v>
      </c>
      <c r="AT128" t="s">
        <v>58</v>
      </c>
    </row>
    <row r="129" ht="29" spans="1:46">
      <c r="A129" s="31" t="s">
        <v>98</v>
      </c>
      <c r="C129" t="s">
        <v>196</v>
      </c>
      <c r="D129" s="5" t="s">
        <v>57</v>
      </c>
      <c r="E129">
        <v>2035</v>
      </c>
      <c r="F129" s="6" t="str">
        <f t="shared" si="10"/>
        <v>*0.64</v>
      </c>
      <c r="H129" t="s">
        <v>196</v>
      </c>
      <c r="I129" s="5" t="s">
        <v>57</v>
      </c>
      <c r="J129">
        <v>2050</v>
      </c>
      <c r="K129" s="38" t="str">
        <f t="shared" si="11"/>
        <v>*0.54</v>
      </c>
      <c r="P129" s="32" t="s">
        <v>196</v>
      </c>
      <c r="Q129" s="42" t="s">
        <v>57</v>
      </c>
      <c r="R129" s="32">
        <v>2035</v>
      </c>
      <c r="S129" s="43" t="str">
        <f t="shared" si="12"/>
        <v>*0.62</v>
      </c>
      <c r="U129" s="32" t="s">
        <v>196</v>
      </c>
      <c r="V129" s="42" t="s">
        <v>57</v>
      </c>
      <c r="W129" s="32">
        <v>2050</v>
      </c>
      <c r="X129" s="43" t="str">
        <f t="shared" si="13"/>
        <v>*0.5</v>
      </c>
      <c r="AC129" s="33" t="s">
        <v>196</v>
      </c>
      <c r="AD129" s="44" t="s">
        <v>57</v>
      </c>
      <c r="AE129" s="33">
        <v>2035</v>
      </c>
      <c r="AF129" s="45" t="str">
        <f t="shared" si="14"/>
        <v>*0.56</v>
      </c>
      <c r="AG129" s="43" t="str">
        <f t="shared" si="16"/>
        <v>REZoning_Sol-Win</v>
      </c>
      <c r="AI129" s="33" t="s">
        <v>196</v>
      </c>
      <c r="AJ129" s="44" t="s">
        <v>57</v>
      </c>
      <c r="AK129" s="33">
        <v>2050</v>
      </c>
      <c r="AL129" s="45" t="str">
        <f t="shared" si="15"/>
        <v>*0.45</v>
      </c>
      <c r="AM129" s="43" t="str">
        <f t="shared" si="17"/>
        <v>REZoning_Sol-Win</v>
      </c>
      <c r="AP129" t="s">
        <v>196</v>
      </c>
      <c r="AQ129" t="s">
        <v>57</v>
      </c>
      <c r="AR129">
        <v>2100</v>
      </c>
      <c r="AS129" t="s">
        <v>100</v>
      </c>
      <c r="AT129" t="s">
        <v>58</v>
      </c>
    </row>
    <row r="130" ht="29" spans="1:46">
      <c r="A130" s="31" t="s">
        <v>98</v>
      </c>
      <c r="C130" t="s">
        <v>197</v>
      </c>
      <c r="D130" s="5" t="s">
        <v>57</v>
      </c>
      <c r="E130">
        <v>2035</v>
      </c>
      <c r="F130" s="6" t="str">
        <f t="shared" si="10"/>
        <v>*0.64</v>
      </c>
      <c r="H130" t="s">
        <v>197</v>
      </c>
      <c r="I130" s="5" t="s">
        <v>57</v>
      </c>
      <c r="J130">
        <v>2050</v>
      </c>
      <c r="K130" s="38" t="str">
        <f t="shared" si="11"/>
        <v>*0.54</v>
      </c>
      <c r="P130" s="32" t="s">
        <v>197</v>
      </c>
      <c r="Q130" s="42" t="s">
        <v>57</v>
      </c>
      <c r="R130" s="32">
        <v>2035</v>
      </c>
      <c r="S130" s="43" t="str">
        <f t="shared" si="12"/>
        <v>*0.62</v>
      </c>
      <c r="U130" s="32" t="s">
        <v>197</v>
      </c>
      <c r="V130" s="42" t="s">
        <v>57</v>
      </c>
      <c r="W130" s="32">
        <v>2050</v>
      </c>
      <c r="X130" s="43" t="str">
        <f t="shared" si="13"/>
        <v>*0.5</v>
      </c>
      <c r="AC130" s="33" t="s">
        <v>197</v>
      </c>
      <c r="AD130" s="44" t="s">
        <v>57</v>
      </c>
      <c r="AE130" s="33">
        <v>2035</v>
      </c>
      <c r="AF130" s="45" t="str">
        <f t="shared" si="14"/>
        <v>*0.56</v>
      </c>
      <c r="AG130" s="43" t="str">
        <f t="shared" si="16"/>
        <v>REZoning_Sol-Win</v>
      </c>
      <c r="AI130" s="33" t="s">
        <v>197</v>
      </c>
      <c r="AJ130" s="44" t="s">
        <v>57</v>
      </c>
      <c r="AK130" s="33">
        <v>2050</v>
      </c>
      <c r="AL130" s="45" t="str">
        <f t="shared" si="15"/>
        <v>*0.45</v>
      </c>
      <c r="AM130" s="43" t="str">
        <f t="shared" si="17"/>
        <v>REZoning_Sol-Win</v>
      </c>
      <c r="AP130" t="s">
        <v>197</v>
      </c>
      <c r="AQ130" t="s">
        <v>57</v>
      </c>
      <c r="AR130">
        <v>2100</v>
      </c>
      <c r="AS130" t="s">
        <v>100</v>
      </c>
      <c r="AT130" t="s">
        <v>58</v>
      </c>
    </row>
    <row r="131" ht="29" spans="1:46">
      <c r="A131" s="31" t="s">
        <v>98</v>
      </c>
      <c r="C131" t="s">
        <v>198</v>
      </c>
      <c r="D131" s="5" t="s">
        <v>57</v>
      </c>
      <c r="E131">
        <v>2035</v>
      </c>
      <c r="F131" s="6" t="str">
        <f t="shared" si="10"/>
        <v>*0.64</v>
      </c>
      <c r="H131" t="s">
        <v>198</v>
      </c>
      <c r="I131" s="5" t="s">
        <v>57</v>
      </c>
      <c r="J131">
        <v>2050</v>
      </c>
      <c r="K131" s="38" t="str">
        <f t="shared" si="11"/>
        <v>*0.54</v>
      </c>
      <c r="P131" s="32" t="s">
        <v>198</v>
      </c>
      <c r="Q131" s="42" t="s">
        <v>57</v>
      </c>
      <c r="R131" s="32">
        <v>2035</v>
      </c>
      <c r="S131" s="43" t="str">
        <f t="shared" si="12"/>
        <v>*0.62</v>
      </c>
      <c r="U131" s="32" t="s">
        <v>198</v>
      </c>
      <c r="V131" s="42" t="s">
        <v>57</v>
      </c>
      <c r="W131" s="32">
        <v>2050</v>
      </c>
      <c r="X131" s="43" t="str">
        <f t="shared" si="13"/>
        <v>*0.5</v>
      </c>
      <c r="AC131" s="33" t="s">
        <v>198</v>
      </c>
      <c r="AD131" s="44" t="s">
        <v>57</v>
      </c>
      <c r="AE131" s="33">
        <v>2035</v>
      </c>
      <c r="AF131" s="45" t="str">
        <f t="shared" si="14"/>
        <v>*0.56</v>
      </c>
      <c r="AG131" s="43" t="str">
        <f t="shared" si="16"/>
        <v>REZoning_Sol-Win</v>
      </c>
      <c r="AI131" s="33" t="s">
        <v>198</v>
      </c>
      <c r="AJ131" s="44" t="s">
        <v>57</v>
      </c>
      <c r="AK131" s="33">
        <v>2050</v>
      </c>
      <c r="AL131" s="45" t="str">
        <f t="shared" si="15"/>
        <v>*0.45</v>
      </c>
      <c r="AM131" s="43" t="str">
        <f t="shared" si="17"/>
        <v>REZoning_Sol-Win</v>
      </c>
      <c r="AP131" t="s">
        <v>198</v>
      </c>
      <c r="AQ131" t="s">
        <v>57</v>
      </c>
      <c r="AR131">
        <v>2100</v>
      </c>
      <c r="AS131" t="s">
        <v>100</v>
      </c>
      <c r="AT131" t="s">
        <v>58</v>
      </c>
    </row>
    <row r="132" ht="29" spans="1:46">
      <c r="A132" s="31" t="s">
        <v>73</v>
      </c>
      <c r="C132" t="s">
        <v>199</v>
      </c>
      <c r="D132" s="5" t="s">
        <v>57</v>
      </c>
      <c r="E132">
        <v>2035</v>
      </c>
      <c r="F132" s="6" t="str">
        <f t="shared" ref="F132:F195" si="18">"*"&amp;IF(AND(A132="EU",E132=2035),0.63,IF(AND(A132="EU",E132=2050),0.54,IF(AND(A132="USA",E132=2035),0.64,IF(AND(A132="USA",E132=2050),0.54,IF(AND(A132="Japan",E132=2035),0.68,IF(AND(A132="Japan",E132=2050),0.58,IF(AND(A132="Russia",E132=2035),0.65,IF(AND(A132="Russia",E132=2050),0.54,IF(AND(A132="China",E132=2035),0.61,IF(AND(A132="China",E132=2050),0.49,IF(AND(A132="India",E132=2035),0.6,IF(AND(A132="India",E132=2050),0.49,IF(AND(A132="Middle East",E132=2035),0.6,IF(AND(A132="Middle East",E132=2050),0.5,IF(AND(A132="Africa",E132=2035),0.61,IF(AND(A132="Africa",E132=2050),0.5,IF(AND(A132="Brazil",E132=2035),0.64,IF(AND(A132="Brazil",E132=2050),0.54,""))))))))))))))))))</f>
        <v>*0.63</v>
      </c>
      <c r="H132" t="s">
        <v>199</v>
      </c>
      <c r="I132" s="5" t="s">
        <v>57</v>
      </c>
      <c r="J132">
        <v>2050</v>
      </c>
      <c r="K132" s="38" t="str">
        <f t="shared" ref="K132:K195" si="19">"*"&amp;IF(AND(A132="EU",J132=2035),0.63,IF(AND(A132="EU",J132=2050),0.54,IF(AND(A132="USA",J132=2035),0.64,IF(AND(A132="USA",J132=2050),0.54,IF(AND(A132="Japan",J132=2035),0.68,IF(AND(A132="Japan",J132=2050),0.58,IF(AND(A132="Russia",J132=2035),0.65,IF(AND(A132="Russia",J132=2050),0.54,IF(AND(A132="China",J132=2035),0.61,IF(AND(A132="China",J132=2050),0.49,IF(AND(A132="India",J132=2035),0.6,IF(AND(A132="India",J132=2050),0.49,IF(AND(A132="Middle East",J132=2035),0.6,IF(AND(A132="Middle East",J132=2050),0.5,IF(AND(A132="Africa",J132=2035),0.61,IF(AND(A132="Africa",J132=2050),0.5,IF(AND(A132="Brazil",J132=2035),0.64,IF(AND(A132="Brazil",J132=2050),0.54,""))))))))))))))))))</f>
        <v>*0.54</v>
      </c>
      <c r="P132" s="32" t="s">
        <v>199</v>
      </c>
      <c r="Q132" s="42" t="s">
        <v>57</v>
      </c>
      <c r="R132" s="32">
        <v>2035</v>
      </c>
      <c r="S132" s="43" t="str">
        <f t="shared" ref="S132:S195" si="20">"*"&amp;IF(AND(A132="EU",R132=2035),0.62,IF(AND(A132="EU",R132=2050),0.51,IF(AND(A132="USA",R132=2035),0.62,IF(AND(A132="USA",R132=2050),0.5,IF(AND(A132="Japan",R132=2035),0.65,IF(AND(A132="Japan",R132=2050),0.55,IF(AND(A132="Russia",R132=2035),0.63,IF(AND(A132="Russia",R132=2050),0.52,IF(AND(A132="China",R132=2035),0.59,IF(AND(A132="China",R132=2050),0.47,IF(AND(A132="India",R132=2035),0.58,IF(AND(A132="India",R132=2050),0.47,IF(AND(A132="Middle East",R132=2035),0.59,IF(AND(A132="Middle East",R132=2050),0.47,IF(AND(A132="Africa",R132=2035),0.58,IF(AND(A132="Africa",R132=2050),0.47,IF(AND(A132="Brazil",R132=2035),0.64,IF(AND(A132="Brazil",R132=2050),0.53,""))))))))))))))))))</f>
        <v>*0.62</v>
      </c>
      <c r="U132" s="32" t="s">
        <v>199</v>
      </c>
      <c r="V132" s="42" t="s">
        <v>57</v>
      </c>
      <c r="W132" s="32">
        <v>2050</v>
      </c>
      <c r="X132" s="43" t="str">
        <f t="shared" ref="X132:X195" si="21">"*"&amp;IF(AND(A132="EU",W132=2035),0.62,IF(AND(A132="EU",W132=2050),0.51,IF(AND(A132="USA",W132=2035),0.62,IF(AND(A132="USA",W132=2050),0.5,IF(AND(A132="Japan",W132=2035),0.65,IF(AND(A132="Japan",W132=2050),0.55,IF(AND(A132="Russia",W132=2035),0.63,IF(AND(A132="Russia",W132=2050),0.52,IF(AND(A132="China",W132=2035),0.59,IF(AND(A132="China",W132=2050),0.47,IF(AND(A132="India",W132=2035),0.58,IF(AND(A132="India",W132=2050),0.47,IF(AND(A132="Middle East",W132=2035),0.59,IF(AND(A132="Middle East",W132=2050),0.47,IF(AND(A132="Africa",W132=2035),0.58,IF(AND(A132="Africa",W132=2050),0.47,IF(AND(A132="Brazil",W132=2035),0.64,IF(AND(A132="Brazil",W132=2050),0.53,""))))))))))))))))))</f>
        <v>*0.51</v>
      </c>
      <c r="AC132" s="33" t="s">
        <v>199</v>
      </c>
      <c r="AD132" s="44" t="s">
        <v>57</v>
      </c>
      <c r="AE132" s="33">
        <v>2035</v>
      </c>
      <c r="AF132" s="45" t="str">
        <f t="shared" ref="AF132:AF195" si="22">"*"&amp;IF(AND(A132="EU",AE132=2035),0.58,IF(AND(A132="EU",AE132=2050),0.49,IF(AND(A132="USA",AE132=2035),0.56,IF(AND(A132="USA",AE132=2050),0.45,IF(AND(A132="Japan",AE132=2035),0.62,IF(AND(A132="Japan",AE132=2050),0.51,IF(AND(A132="Russia",AE132=2035),0.55,IF(AND(A132="Russia",AE132=2050),0.41,IF(AND(A132="China",AE132=2035),0.54,IF(AND(A132="China",AE132=2050),0.44,IF(AND(A132="India",AE132=2035),0.55,IF(AND(A132="India",AE132=2050),0.42,IF(AND(A132="Middle East",AE132=2035),0.53,IF(AND(A132="Middle East",AE132=2050),0.41,IF(AND(A132="Africa",AE132=2035),0.53,IF(AND(A132="Africa",AE132=2050),0.41,IF(AND(A132="Brazil",AE132=2035),0.6,IF(AND(A132="Brazil",AE132=2050),0.5,""))))))))))))))))))</f>
        <v>*0.58</v>
      </c>
      <c r="AG132" s="43" t="str">
        <f t="shared" si="16"/>
        <v>REZoning_Sol-Win</v>
      </c>
      <c r="AI132" s="33" t="s">
        <v>199</v>
      </c>
      <c r="AJ132" s="44" t="s">
        <v>57</v>
      </c>
      <c r="AK132" s="33">
        <v>2050</v>
      </c>
      <c r="AL132" s="45" t="str">
        <f t="shared" ref="AL132:AL195" si="23">"*"&amp;IF(AND(A132="EU",AK132=2035),0.58,IF(AND(A132="EU",AK132=2050),0.49,IF(AND(A132="USA",AK132=2035),0.56,IF(AND(A132="USA",AK132=2050),0.45,IF(AND(A132="Japan",AK132=2035),0.62,IF(AND(A132="Japan",AK132=2050),0.51,IF(AND(A132="Russia",AK132=2035),0.55,IF(AND(A132="Russia",AK132=2050),0.41,IF(AND(A132="China",AK132=2035),0.54,IF(AND(A132="China",AK132=2050),0.44,IF(AND(A132="India",AK132=2035),0.55,IF(AND(A132="India",AK132=2050),0.42,IF(AND(A132="Middle East",AK132=2035),0.53,IF(AND(A132="Middle East",AK132=2050),0.41,IF(AND(A132="Africa",AK132=2035),0.53,IF(AND(A132="Africa",AK132=2050),0.41,IF(AND(A132="Brazil",AK132=2035),0.6,IF(AND(A132="Brazil",AK132=2050),0.5,""))))))))))))))))))</f>
        <v>*0.49</v>
      </c>
      <c r="AM132" s="43" t="str">
        <f t="shared" si="17"/>
        <v>REZoning_Sol-Win</v>
      </c>
      <c r="AP132" t="s">
        <v>199</v>
      </c>
      <c r="AQ132" t="s">
        <v>57</v>
      </c>
      <c r="AR132">
        <v>2100</v>
      </c>
      <c r="AS132" t="s">
        <v>75</v>
      </c>
      <c r="AT132" t="s">
        <v>58</v>
      </c>
    </row>
    <row r="133" ht="29" spans="1:46">
      <c r="A133" s="31" t="s">
        <v>73</v>
      </c>
      <c r="C133" t="s">
        <v>200</v>
      </c>
      <c r="D133" s="5" t="s">
        <v>57</v>
      </c>
      <c r="E133">
        <v>2035</v>
      </c>
      <c r="F133" s="6" t="str">
        <f t="shared" si="18"/>
        <v>*0.63</v>
      </c>
      <c r="H133" t="s">
        <v>200</v>
      </c>
      <c r="I133" s="5" t="s">
        <v>57</v>
      </c>
      <c r="J133">
        <v>2050</v>
      </c>
      <c r="K133" s="38" t="str">
        <f t="shared" si="19"/>
        <v>*0.54</v>
      </c>
      <c r="P133" s="32" t="s">
        <v>200</v>
      </c>
      <c r="Q133" s="42" t="s">
        <v>57</v>
      </c>
      <c r="R133" s="32">
        <v>2035</v>
      </c>
      <c r="S133" s="43" t="str">
        <f t="shared" si="20"/>
        <v>*0.62</v>
      </c>
      <c r="U133" s="32" t="s">
        <v>200</v>
      </c>
      <c r="V133" s="42" t="s">
        <v>57</v>
      </c>
      <c r="W133" s="32">
        <v>2050</v>
      </c>
      <c r="X133" s="43" t="str">
        <f t="shared" si="21"/>
        <v>*0.51</v>
      </c>
      <c r="AC133" s="33" t="s">
        <v>200</v>
      </c>
      <c r="AD133" s="44" t="s">
        <v>57</v>
      </c>
      <c r="AE133" s="33">
        <v>2035</v>
      </c>
      <c r="AF133" s="45" t="str">
        <f t="shared" si="22"/>
        <v>*0.58</v>
      </c>
      <c r="AG133" s="43" t="str">
        <f t="shared" si="16"/>
        <v>REZoning_Sol-Win</v>
      </c>
      <c r="AI133" s="33" t="s">
        <v>200</v>
      </c>
      <c r="AJ133" s="44" t="s">
        <v>57</v>
      </c>
      <c r="AK133" s="33">
        <v>2050</v>
      </c>
      <c r="AL133" s="45" t="str">
        <f t="shared" si="23"/>
        <v>*0.49</v>
      </c>
      <c r="AM133" s="43" t="str">
        <f t="shared" si="17"/>
        <v>REZoning_Sol-Win</v>
      </c>
      <c r="AP133" t="s">
        <v>200</v>
      </c>
      <c r="AQ133" t="s">
        <v>57</v>
      </c>
      <c r="AR133">
        <v>2100</v>
      </c>
      <c r="AS133" t="s">
        <v>75</v>
      </c>
      <c r="AT133" t="s">
        <v>58</v>
      </c>
    </row>
    <row r="134" ht="29" spans="1:46">
      <c r="A134" s="31" t="s">
        <v>73</v>
      </c>
      <c r="C134" t="s">
        <v>201</v>
      </c>
      <c r="D134" s="5" t="s">
        <v>57</v>
      </c>
      <c r="E134">
        <v>2035</v>
      </c>
      <c r="F134" s="6" t="str">
        <f t="shared" si="18"/>
        <v>*0.63</v>
      </c>
      <c r="H134" t="s">
        <v>201</v>
      </c>
      <c r="I134" s="5" t="s">
        <v>57</v>
      </c>
      <c r="J134">
        <v>2050</v>
      </c>
      <c r="K134" s="38" t="str">
        <f t="shared" si="19"/>
        <v>*0.54</v>
      </c>
      <c r="P134" s="32" t="s">
        <v>201</v>
      </c>
      <c r="Q134" s="42" t="s">
        <v>57</v>
      </c>
      <c r="R134" s="32">
        <v>2035</v>
      </c>
      <c r="S134" s="43" t="str">
        <f t="shared" si="20"/>
        <v>*0.62</v>
      </c>
      <c r="U134" s="32" t="s">
        <v>201</v>
      </c>
      <c r="V134" s="42" t="s">
        <v>57</v>
      </c>
      <c r="W134" s="32">
        <v>2050</v>
      </c>
      <c r="X134" s="43" t="str">
        <f t="shared" si="21"/>
        <v>*0.51</v>
      </c>
      <c r="AC134" s="33" t="s">
        <v>201</v>
      </c>
      <c r="AD134" s="44" t="s">
        <v>57</v>
      </c>
      <c r="AE134" s="33">
        <v>2035</v>
      </c>
      <c r="AF134" s="45" t="str">
        <f t="shared" si="22"/>
        <v>*0.58</v>
      </c>
      <c r="AG134" s="43" t="str">
        <f t="shared" si="16"/>
        <v>REZoning_Sol-Win</v>
      </c>
      <c r="AI134" s="33" t="s">
        <v>201</v>
      </c>
      <c r="AJ134" s="44" t="s">
        <v>57</v>
      </c>
      <c r="AK134" s="33">
        <v>2050</v>
      </c>
      <c r="AL134" s="45" t="str">
        <f t="shared" si="23"/>
        <v>*0.49</v>
      </c>
      <c r="AM134" s="43" t="str">
        <f t="shared" si="17"/>
        <v>REZoning_Sol-Win</v>
      </c>
      <c r="AP134" t="s">
        <v>201</v>
      </c>
      <c r="AQ134" t="s">
        <v>57</v>
      </c>
      <c r="AR134">
        <v>2100</v>
      </c>
      <c r="AS134" t="s">
        <v>75</v>
      </c>
      <c r="AT134" t="s">
        <v>58</v>
      </c>
    </row>
    <row r="135" ht="29" spans="1:46">
      <c r="A135" s="31" t="s">
        <v>73</v>
      </c>
      <c r="C135" t="s">
        <v>202</v>
      </c>
      <c r="D135" s="5" t="s">
        <v>57</v>
      </c>
      <c r="E135">
        <v>2035</v>
      </c>
      <c r="F135" s="6" t="str">
        <f t="shared" si="18"/>
        <v>*0.63</v>
      </c>
      <c r="H135" t="s">
        <v>202</v>
      </c>
      <c r="I135" s="5" t="s">
        <v>57</v>
      </c>
      <c r="J135">
        <v>2050</v>
      </c>
      <c r="K135" s="38" t="str">
        <f t="shared" si="19"/>
        <v>*0.54</v>
      </c>
      <c r="P135" s="32" t="s">
        <v>202</v>
      </c>
      <c r="Q135" s="42" t="s">
        <v>57</v>
      </c>
      <c r="R135" s="32">
        <v>2035</v>
      </c>
      <c r="S135" s="43" t="str">
        <f t="shared" si="20"/>
        <v>*0.62</v>
      </c>
      <c r="U135" s="32" t="s">
        <v>202</v>
      </c>
      <c r="V135" s="42" t="s">
        <v>57</v>
      </c>
      <c r="W135" s="32">
        <v>2050</v>
      </c>
      <c r="X135" s="43" t="str">
        <f t="shared" si="21"/>
        <v>*0.51</v>
      </c>
      <c r="AC135" s="33" t="s">
        <v>202</v>
      </c>
      <c r="AD135" s="44" t="s">
        <v>57</v>
      </c>
      <c r="AE135" s="33">
        <v>2035</v>
      </c>
      <c r="AF135" s="45" t="str">
        <f t="shared" si="22"/>
        <v>*0.58</v>
      </c>
      <c r="AG135" s="43" t="str">
        <f t="shared" si="16"/>
        <v>REZoning_Sol-Win</v>
      </c>
      <c r="AI135" s="33" t="s">
        <v>202</v>
      </c>
      <c r="AJ135" s="44" t="s">
        <v>57</v>
      </c>
      <c r="AK135" s="33">
        <v>2050</v>
      </c>
      <c r="AL135" s="45" t="str">
        <f t="shared" si="23"/>
        <v>*0.49</v>
      </c>
      <c r="AM135" s="43" t="str">
        <f t="shared" si="17"/>
        <v>REZoning_Sol-Win</v>
      </c>
      <c r="AP135" t="s">
        <v>202</v>
      </c>
      <c r="AQ135" t="s">
        <v>57</v>
      </c>
      <c r="AR135">
        <v>2100</v>
      </c>
      <c r="AS135" t="s">
        <v>75</v>
      </c>
      <c r="AT135" t="s">
        <v>58</v>
      </c>
    </row>
    <row r="136" ht="29" spans="1:46">
      <c r="A136" s="31" t="s">
        <v>83</v>
      </c>
      <c r="C136" t="s">
        <v>203</v>
      </c>
      <c r="D136" s="5" t="s">
        <v>57</v>
      </c>
      <c r="E136">
        <v>2035</v>
      </c>
      <c r="F136" s="6" t="str">
        <f t="shared" si="18"/>
        <v>*0.64</v>
      </c>
      <c r="H136" t="s">
        <v>203</v>
      </c>
      <c r="I136" s="5" t="s">
        <v>57</v>
      </c>
      <c r="J136">
        <v>2050</v>
      </c>
      <c r="K136" s="38" t="str">
        <f t="shared" si="19"/>
        <v>*0.54</v>
      </c>
      <c r="P136" s="32" t="s">
        <v>203</v>
      </c>
      <c r="Q136" s="42" t="s">
        <v>57</v>
      </c>
      <c r="R136" s="32">
        <v>2035</v>
      </c>
      <c r="S136" s="43" t="str">
        <f t="shared" si="20"/>
        <v>*0.64</v>
      </c>
      <c r="U136" s="32" t="s">
        <v>203</v>
      </c>
      <c r="V136" s="42" t="s">
        <v>57</v>
      </c>
      <c r="W136" s="32">
        <v>2050</v>
      </c>
      <c r="X136" s="43" t="str">
        <f t="shared" si="21"/>
        <v>*0.53</v>
      </c>
      <c r="AC136" s="33" t="s">
        <v>203</v>
      </c>
      <c r="AD136" s="44" t="s">
        <v>57</v>
      </c>
      <c r="AE136" s="33">
        <v>2035</v>
      </c>
      <c r="AF136" s="45" t="str">
        <f t="shared" si="22"/>
        <v>*0.6</v>
      </c>
      <c r="AG136" s="43" t="str">
        <f t="shared" si="16"/>
        <v>REZoning_Sol-Win</v>
      </c>
      <c r="AI136" s="33" t="s">
        <v>203</v>
      </c>
      <c r="AJ136" s="44" t="s">
        <v>57</v>
      </c>
      <c r="AK136" s="33">
        <v>2050</v>
      </c>
      <c r="AL136" s="45" t="str">
        <f t="shared" si="23"/>
        <v>*0.5</v>
      </c>
      <c r="AM136" s="43" t="str">
        <f t="shared" si="17"/>
        <v>REZoning_Sol-Win</v>
      </c>
      <c r="AP136" t="s">
        <v>203</v>
      </c>
      <c r="AQ136" t="s">
        <v>57</v>
      </c>
      <c r="AR136">
        <v>2100</v>
      </c>
      <c r="AS136" t="s">
        <v>85</v>
      </c>
      <c r="AT136" t="s">
        <v>58</v>
      </c>
    </row>
    <row r="137" ht="29" spans="1:46">
      <c r="A137" s="31" t="s">
        <v>83</v>
      </c>
      <c r="C137" t="s">
        <v>204</v>
      </c>
      <c r="D137" s="5" t="s">
        <v>57</v>
      </c>
      <c r="E137">
        <v>2035</v>
      </c>
      <c r="F137" s="6" t="str">
        <f t="shared" si="18"/>
        <v>*0.64</v>
      </c>
      <c r="H137" t="s">
        <v>204</v>
      </c>
      <c r="I137" s="5" t="s">
        <v>57</v>
      </c>
      <c r="J137">
        <v>2050</v>
      </c>
      <c r="K137" s="38" t="str">
        <f t="shared" si="19"/>
        <v>*0.54</v>
      </c>
      <c r="P137" s="32" t="s">
        <v>204</v>
      </c>
      <c r="Q137" s="42" t="s">
        <v>57</v>
      </c>
      <c r="R137" s="32">
        <v>2035</v>
      </c>
      <c r="S137" s="43" t="str">
        <f t="shared" si="20"/>
        <v>*0.64</v>
      </c>
      <c r="U137" s="32" t="s">
        <v>204</v>
      </c>
      <c r="V137" s="42" t="s">
        <v>57</v>
      </c>
      <c r="W137" s="32">
        <v>2050</v>
      </c>
      <c r="X137" s="43" t="str">
        <f t="shared" si="21"/>
        <v>*0.53</v>
      </c>
      <c r="AC137" s="33" t="s">
        <v>204</v>
      </c>
      <c r="AD137" s="44" t="s">
        <v>57</v>
      </c>
      <c r="AE137" s="33">
        <v>2035</v>
      </c>
      <c r="AF137" s="45" t="str">
        <f t="shared" si="22"/>
        <v>*0.6</v>
      </c>
      <c r="AG137" s="43" t="str">
        <f t="shared" ref="AG137:AG200" si="24">AG136</f>
        <v>REZoning_Sol-Win</v>
      </c>
      <c r="AI137" s="33" t="s">
        <v>204</v>
      </c>
      <c r="AJ137" s="44" t="s">
        <v>57</v>
      </c>
      <c r="AK137" s="33">
        <v>2050</v>
      </c>
      <c r="AL137" s="45" t="str">
        <f t="shared" si="23"/>
        <v>*0.5</v>
      </c>
      <c r="AM137" s="43" t="str">
        <f t="shared" ref="AM137:AM200" si="25">AM136</f>
        <v>REZoning_Sol-Win</v>
      </c>
      <c r="AP137" t="s">
        <v>204</v>
      </c>
      <c r="AQ137" t="s">
        <v>57</v>
      </c>
      <c r="AR137">
        <v>2100</v>
      </c>
      <c r="AS137" t="s">
        <v>85</v>
      </c>
      <c r="AT137" t="s">
        <v>58</v>
      </c>
    </row>
    <row r="138" ht="29" spans="1:46">
      <c r="A138" s="31" t="s">
        <v>83</v>
      </c>
      <c r="C138" t="s">
        <v>205</v>
      </c>
      <c r="D138" s="5" t="s">
        <v>57</v>
      </c>
      <c r="E138">
        <v>2035</v>
      </c>
      <c r="F138" s="6" t="str">
        <f t="shared" si="18"/>
        <v>*0.64</v>
      </c>
      <c r="H138" t="s">
        <v>205</v>
      </c>
      <c r="I138" s="5" t="s">
        <v>57</v>
      </c>
      <c r="J138">
        <v>2050</v>
      </c>
      <c r="K138" s="38" t="str">
        <f t="shared" si="19"/>
        <v>*0.54</v>
      </c>
      <c r="P138" s="32" t="s">
        <v>205</v>
      </c>
      <c r="Q138" s="42" t="s">
        <v>57</v>
      </c>
      <c r="R138" s="32">
        <v>2035</v>
      </c>
      <c r="S138" s="43" t="str">
        <f t="shared" si="20"/>
        <v>*0.64</v>
      </c>
      <c r="U138" s="32" t="s">
        <v>205</v>
      </c>
      <c r="V138" s="42" t="s">
        <v>57</v>
      </c>
      <c r="W138" s="32">
        <v>2050</v>
      </c>
      <c r="X138" s="43" t="str">
        <f t="shared" si="21"/>
        <v>*0.53</v>
      </c>
      <c r="AC138" s="33" t="s">
        <v>205</v>
      </c>
      <c r="AD138" s="44" t="s">
        <v>57</v>
      </c>
      <c r="AE138" s="33">
        <v>2035</v>
      </c>
      <c r="AF138" s="45" t="str">
        <f t="shared" si="22"/>
        <v>*0.6</v>
      </c>
      <c r="AG138" s="43" t="str">
        <f t="shared" si="24"/>
        <v>REZoning_Sol-Win</v>
      </c>
      <c r="AI138" s="33" t="s">
        <v>205</v>
      </c>
      <c r="AJ138" s="44" t="s">
        <v>57</v>
      </c>
      <c r="AK138" s="33">
        <v>2050</v>
      </c>
      <c r="AL138" s="45" t="str">
        <f t="shared" si="23"/>
        <v>*0.5</v>
      </c>
      <c r="AM138" s="43" t="str">
        <f t="shared" si="25"/>
        <v>REZoning_Sol-Win</v>
      </c>
      <c r="AP138" t="s">
        <v>205</v>
      </c>
      <c r="AQ138" t="s">
        <v>57</v>
      </c>
      <c r="AR138">
        <v>2100</v>
      </c>
      <c r="AS138" t="s">
        <v>85</v>
      </c>
      <c r="AT138" t="s">
        <v>58</v>
      </c>
    </row>
    <row r="139" ht="29" spans="1:46">
      <c r="A139" s="31" t="s">
        <v>83</v>
      </c>
      <c r="C139" t="s">
        <v>206</v>
      </c>
      <c r="D139" s="5" t="s">
        <v>57</v>
      </c>
      <c r="E139">
        <v>2035</v>
      </c>
      <c r="F139" s="6" t="str">
        <f t="shared" si="18"/>
        <v>*0.64</v>
      </c>
      <c r="H139" t="s">
        <v>206</v>
      </c>
      <c r="I139" s="5" t="s">
        <v>57</v>
      </c>
      <c r="J139">
        <v>2050</v>
      </c>
      <c r="K139" s="38" t="str">
        <f t="shared" si="19"/>
        <v>*0.54</v>
      </c>
      <c r="P139" s="32" t="s">
        <v>206</v>
      </c>
      <c r="Q139" s="42" t="s">
        <v>57</v>
      </c>
      <c r="R139" s="32">
        <v>2035</v>
      </c>
      <c r="S139" s="43" t="str">
        <f t="shared" si="20"/>
        <v>*0.64</v>
      </c>
      <c r="U139" s="32" t="s">
        <v>206</v>
      </c>
      <c r="V139" s="42" t="s">
        <v>57</v>
      </c>
      <c r="W139" s="32">
        <v>2050</v>
      </c>
      <c r="X139" s="43" t="str">
        <f t="shared" si="21"/>
        <v>*0.53</v>
      </c>
      <c r="AC139" s="33" t="s">
        <v>206</v>
      </c>
      <c r="AD139" s="44" t="s">
        <v>57</v>
      </c>
      <c r="AE139" s="33">
        <v>2035</v>
      </c>
      <c r="AF139" s="45" t="str">
        <f t="shared" si="22"/>
        <v>*0.6</v>
      </c>
      <c r="AG139" s="43" t="str">
        <f t="shared" si="24"/>
        <v>REZoning_Sol-Win</v>
      </c>
      <c r="AI139" s="33" t="s">
        <v>206</v>
      </c>
      <c r="AJ139" s="44" t="s">
        <v>57</v>
      </c>
      <c r="AK139" s="33">
        <v>2050</v>
      </c>
      <c r="AL139" s="45" t="str">
        <f t="shared" si="23"/>
        <v>*0.5</v>
      </c>
      <c r="AM139" s="43" t="str">
        <f t="shared" si="25"/>
        <v>REZoning_Sol-Win</v>
      </c>
      <c r="AP139" t="s">
        <v>206</v>
      </c>
      <c r="AQ139" t="s">
        <v>57</v>
      </c>
      <c r="AR139">
        <v>2100</v>
      </c>
      <c r="AS139" t="s">
        <v>85</v>
      </c>
      <c r="AT139" t="s">
        <v>58</v>
      </c>
    </row>
    <row r="140" ht="29" spans="1:46">
      <c r="A140" s="31" t="s">
        <v>83</v>
      </c>
      <c r="C140" t="s">
        <v>207</v>
      </c>
      <c r="D140" s="5" t="s">
        <v>57</v>
      </c>
      <c r="E140">
        <v>2035</v>
      </c>
      <c r="F140" s="6" t="str">
        <f t="shared" si="18"/>
        <v>*0.64</v>
      </c>
      <c r="H140" t="s">
        <v>207</v>
      </c>
      <c r="I140" s="5" t="s">
        <v>57</v>
      </c>
      <c r="J140">
        <v>2050</v>
      </c>
      <c r="K140" s="38" t="str">
        <f t="shared" si="19"/>
        <v>*0.54</v>
      </c>
      <c r="P140" s="32" t="s">
        <v>207</v>
      </c>
      <c r="Q140" s="42" t="s">
        <v>57</v>
      </c>
      <c r="R140" s="32">
        <v>2035</v>
      </c>
      <c r="S140" s="43" t="str">
        <f t="shared" si="20"/>
        <v>*0.64</v>
      </c>
      <c r="U140" s="32" t="s">
        <v>207</v>
      </c>
      <c r="V140" s="42" t="s">
        <v>57</v>
      </c>
      <c r="W140" s="32">
        <v>2050</v>
      </c>
      <c r="X140" s="43" t="str">
        <f t="shared" si="21"/>
        <v>*0.53</v>
      </c>
      <c r="AC140" s="33" t="s">
        <v>207</v>
      </c>
      <c r="AD140" s="44" t="s">
        <v>57</v>
      </c>
      <c r="AE140" s="33">
        <v>2035</v>
      </c>
      <c r="AF140" s="45" t="str">
        <f t="shared" si="22"/>
        <v>*0.6</v>
      </c>
      <c r="AG140" s="43" t="str">
        <f t="shared" si="24"/>
        <v>REZoning_Sol-Win</v>
      </c>
      <c r="AI140" s="33" t="s">
        <v>207</v>
      </c>
      <c r="AJ140" s="44" t="s">
        <v>57</v>
      </c>
      <c r="AK140" s="33">
        <v>2050</v>
      </c>
      <c r="AL140" s="45" t="str">
        <f t="shared" si="23"/>
        <v>*0.5</v>
      </c>
      <c r="AM140" s="43" t="str">
        <f t="shared" si="25"/>
        <v>REZoning_Sol-Win</v>
      </c>
      <c r="AP140" t="s">
        <v>207</v>
      </c>
      <c r="AQ140" t="s">
        <v>57</v>
      </c>
      <c r="AR140">
        <v>2100</v>
      </c>
      <c r="AS140" t="s">
        <v>85</v>
      </c>
      <c r="AT140" t="s">
        <v>58</v>
      </c>
    </row>
    <row r="141" ht="29" spans="1:46">
      <c r="A141" s="31" t="s">
        <v>83</v>
      </c>
      <c r="C141" t="s">
        <v>208</v>
      </c>
      <c r="D141" s="5" t="s">
        <v>57</v>
      </c>
      <c r="E141">
        <v>2035</v>
      </c>
      <c r="F141" s="6" t="str">
        <f t="shared" si="18"/>
        <v>*0.64</v>
      </c>
      <c r="H141" t="s">
        <v>208</v>
      </c>
      <c r="I141" s="5" t="s">
        <v>57</v>
      </c>
      <c r="J141">
        <v>2050</v>
      </c>
      <c r="K141" s="38" t="str">
        <f t="shared" si="19"/>
        <v>*0.54</v>
      </c>
      <c r="P141" s="32" t="s">
        <v>208</v>
      </c>
      <c r="Q141" s="42" t="s">
        <v>57</v>
      </c>
      <c r="R141" s="32">
        <v>2035</v>
      </c>
      <c r="S141" s="43" t="str">
        <f t="shared" si="20"/>
        <v>*0.64</v>
      </c>
      <c r="U141" s="32" t="s">
        <v>208</v>
      </c>
      <c r="V141" s="42" t="s">
        <v>57</v>
      </c>
      <c r="W141" s="32">
        <v>2050</v>
      </c>
      <c r="X141" s="43" t="str">
        <f t="shared" si="21"/>
        <v>*0.53</v>
      </c>
      <c r="AC141" s="33" t="s">
        <v>208</v>
      </c>
      <c r="AD141" s="44" t="s">
        <v>57</v>
      </c>
      <c r="AE141" s="33">
        <v>2035</v>
      </c>
      <c r="AF141" s="45" t="str">
        <f t="shared" si="22"/>
        <v>*0.6</v>
      </c>
      <c r="AG141" s="43" t="str">
        <f t="shared" si="24"/>
        <v>REZoning_Sol-Win</v>
      </c>
      <c r="AI141" s="33" t="s">
        <v>208</v>
      </c>
      <c r="AJ141" s="44" t="s">
        <v>57</v>
      </c>
      <c r="AK141" s="33">
        <v>2050</v>
      </c>
      <c r="AL141" s="45" t="str">
        <f t="shared" si="23"/>
        <v>*0.5</v>
      </c>
      <c r="AM141" s="43" t="str">
        <f t="shared" si="25"/>
        <v>REZoning_Sol-Win</v>
      </c>
      <c r="AP141" t="s">
        <v>208</v>
      </c>
      <c r="AQ141" t="s">
        <v>57</v>
      </c>
      <c r="AR141">
        <v>2100</v>
      </c>
      <c r="AS141" t="s">
        <v>85</v>
      </c>
      <c r="AT141" t="s">
        <v>58</v>
      </c>
    </row>
    <row r="142" ht="29" spans="1:46">
      <c r="A142" s="31" t="s">
        <v>83</v>
      </c>
      <c r="C142" t="s">
        <v>209</v>
      </c>
      <c r="D142" s="5" t="s">
        <v>57</v>
      </c>
      <c r="E142">
        <v>2035</v>
      </c>
      <c r="F142" s="6" t="str">
        <f t="shared" si="18"/>
        <v>*0.64</v>
      </c>
      <c r="H142" t="s">
        <v>209</v>
      </c>
      <c r="I142" s="5" t="s">
        <v>57</v>
      </c>
      <c r="J142">
        <v>2050</v>
      </c>
      <c r="K142" s="38" t="str">
        <f t="shared" si="19"/>
        <v>*0.54</v>
      </c>
      <c r="P142" s="32" t="s">
        <v>209</v>
      </c>
      <c r="Q142" s="42" t="s">
        <v>57</v>
      </c>
      <c r="R142" s="32">
        <v>2035</v>
      </c>
      <c r="S142" s="43" t="str">
        <f t="shared" si="20"/>
        <v>*0.64</v>
      </c>
      <c r="U142" s="32" t="s">
        <v>209</v>
      </c>
      <c r="V142" s="42" t="s">
        <v>57</v>
      </c>
      <c r="W142" s="32">
        <v>2050</v>
      </c>
      <c r="X142" s="43" t="str">
        <f t="shared" si="21"/>
        <v>*0.53</v>
      </c>
      <c r="AC142" s="33" t="s">
        <v>209</v>
      </c>
      <c r="AD142" s="44" t="s">
        <v>57</v>
      </c>
      <c r="AE142" s="33">
        <v>2035</v>
      </c>
      <c r="AF142" s="45" t="str">
        <f t="shared" si="22"/>
        <v>*0.6</v>
      </c>
      <c r="AG142" s="43" t="str">
        <f t="shared" si="24"/>
        <v>REZoning_Sol-Win</v>
      </c>
      <c r="AI142" s="33" t="s">
        <v>209</v>
      </c>
      <c r="AJ142" s="44" t="s">
        <v>57</v>
      </c>
      <c r="AK142" s="33">
        <v>2050</v>
      </c>
      <c r="AL142" s="45" t="str">
        <f t="shared" si="23"/>
        <v>*0.5</v>
      </c>
      <c r="AM142" s="43" t="str">
        <f t="shared" si="25"/>
        <v>REZoning_Sol-Win</v>
      </c>
      <c r="AP142" t="s">
        <v>209</v>
      </c>
      <c r="AQ142" t="s">
        <v>57</v>
      </c>
      <c r="AR142">
        <v>2100</v>
      </c>
      <c r="AS142" t="s">
        <v>85</v>
      </c>
      <c r="AT142" t="s">
        <v>58</v>
      </c>
    </row>
    <row r="143" ht="29" spans="1:46">
      <c r="A143" s="31" t="s">
        <v>83</v>
      </c>
      <c r="C143" t="s">
        <v>210</v>
      </c>
      <c r="D143" s="5" t="s">
        <v>57</v>
      </c>
      <c r="E143">
        <v>2035</v>
      </c>
      <c r="F143" s="6" t="str">
        <f t="shared" si="18"/>
        <v>*0.64</v>
      </c>
      <c r="H143" t="s">
        <v>210</v>
      </c>
      <c r="I143" s="5" t="s">
        <v>57</v>
      </c>
      <c r="J143">
        <v>2050</v>
      </c>
      <c r="K143" s="38" t="str">
        <f t="shared" si="19"/>
        <v>*0.54</v>
      </c>
      <c r="P143" s="32" t="s">
        <v>210</v>
      </c>
      <c r="Q143" s="42" t="s">
        <v>57</v>
      </c>
      <c r="R143" s="32">
        <v>2035</v>
      </c>
      <c r="S143" s="43" t="str">
        <f t="shared" si="20"/>
        <v>*0.64</v>
      </c>
      <c r="U143" s="32" t="s">
        <v>210</v>
      </c>
      <c r="V143" s="42" t="s">
        <v>57</v>
      </c>
      <c r="W143" s="32">
        <v>2050</v>
      </c>
      <c r="X143" s="43" t="str">
        <f t="shared" si="21"/>
        <v>*0.53</v>
      </c>
      <c r="AC143" s="33" t="s">
        <v>210</v>
      </c>
      <c r="AD143" s="44" t="s">
        <v>57</v>
      </c>
      <c r="AE143" s="33">
        <v>2035</v>
      </c>
      <c r="AF143" s="45" t="str">
        <f t="shared" si="22"/>
        <v>*0.6</v>
      </c>
      <c r="AG143" s="43" t="str">
        <f t="shared" si="24"/>
        <v>REZoning_Sol-Win</v>
      </c>
      <c r="AI143" s="33" t="s">
        <v>210</v>
      </c>
      <c r="AJ143" s="44" t="s">
        <v>57</v>
      </c>
      <c r="AK143" s="33">
        <v>2050</v>
      </c>
      <c r="AL143" s="45" t="str">
        <f t="shared" si="23"/>
        <v>*0.5</v>
      </c>
      <c r="AM143" s="43" t="str">
        <f t="shared" si="25"/>
        <v>REZoning_Sol-Win</v>
      </c>
      <c r="AP143" t="s">
        <v>210</v>
      </c>
      <c r="AQ143" t="s">
        <v>57</v>
      </c>
      <c r="AR143">
        <v>2100</v>
      </c>
      <c r="AS143" t="s">
        <v>85</v>
      </c>
      <c r="AT143" t="s">
        <v>58</v>
      </c>
    </row>
    <row r="144" ht="29" spans="1:46">
      <c r="A144" s="31" t="s">
        <v>83</v>
      </c>
      <c r="C144" t="s">
        <v>211</v>
      </c>
      <c r="D144" s="5" t="s">
        <v>57</v>
      </c>
      <c r="E144">
        <v>2035</v>
      </c>
      <c r="F144" s="6" t="str">
        <f t="shared" si="18"/>
        <v>*0.64</v>
      </c>
      <c r="H144" t="s">
        <v>211</v>
      </c>
      <c r="I144" s="5" t="s">
        <v>57</v>
      </c>
      <c r="J144">
        <v>2050</v>
      </c>
      <c r="K144" s="38" t="str">
        <f t="shared" si="19"/>
        <v>*0.54</v>
      </c>
      <c r="P144" s="32" t="s">
        <v>211</v>
      </c>
      <c r="Q144" s="42" t="s">
        <v>57</v>
      </c>
      <c r="R144" s="32">
        <v>2035</v>
      </c>
      <c r="S144" s="43" t="str">
        <f t="shared" si="20"/>
        <v>*0.64</v>
      </c>
      <c r="U144" s="32" t="s">
        <v>211</v>
      </c>
      <c r="V144" s="42" t="s">
        <v>57</v>
      </c>
      <c r="W144" s="32">
        <v>2050</v>
      </c>
      <c r="X144" s="43" t="str">
        <f t="shared" si="21"/>
        <v>*0.53</v>
      </c>
      <c r="AC144" s="33" t="s">
        <v>211</v>
      </c>
      <c r="AD144" s="44" t="s">
        <v>57</v>
      </c>
      <c r="AE144" s="33">
        <v>2035</v>
      </c>
      <c r="AF144" s="45" t="str">
        <f t="shared" si="22"/>
        <v>*0.6</v>
      </c>
      <c r="AG144" s="43" t="str">
        <f t="shared" si="24"/>
        <v>REZoning_Sol-Win</v>
      </c>
      <c r="AI144" s="33" t="s">
        <v>211</v>
      </c>
      <c r="AJ144" s="44" t="s">
        <v>57</v>
      </c>
      <c r="AK144" s="33">
        <v>2050</v>
      </c>
      <c r="AL144" s="45" t="str">
        <f t="shared" si="23"/>
        <v>*0.5</v>
      </c>
      <c r="AM144" s="43" t="str">
        <f t="shared" si="25"/>
        <v>REZoning_Sol-Win</v>
      </c>
      <c r="AP144" t="s">
        <v>211</v>
      </c>
      <c r="AQ144" t="s">
        <v>57</v>
      </c>
      <c r="AR144">
        <v>2100</v>
      </c>
      <c r="AS144" t="s">
        <v>85</v>
      </c>
      <c r="AT144" t="s">
        <v>58</v>
      </c>
    </row>
    <row r="145" ht="29" spans="1:46">
      <c r="A145" s="31" t="s">
        <v>169</v>
      </c>
      <c r="C145" t="s">
        <v>212</v>
      </c>
      <c r="D145" s="5" t="s">
        <v>57</v>
      </c>
      <c r="E145">
        <v>2035</v>
      </c>
      <c r="F145" s="6" t="str">
        <f t="shared" si="18"/>
        <v>*0.61</v>
      </c>
      <c r="H145" t="s">
        <v>212</v>
      </c>
      <c r="I145" s="5" t="s">
        <v>57</v>
      </c>
      <c r="J145">
        <v>2050</v>
      </c>
      <c r="K145" s="38" t="str">
        <f t="shared" si="19"/>
        <v>*0.49</v>
      </c>
      <c r="P145" s="32" t="s">
        <v>212</v>
      </c>
      <c r="Q145" s="42" t="s">
        <v>57</v>
      </c>
      <c r="R145" s="32">
        <v>2035</v>
      </c>
      <c r="S145" s="43" t="str">
        <f t="shared" si="20"/>
        <v>*0.59</v>
      </c>
      <c r="U145" s="32" t="s">
        <v>212</v>
      </c>
      <c r="V145" s="42" t="s">
        <v>57</v>
      </c>
      <c r="W145" s="32">
        <v>2050</v>
      </c>
      <c r="X145" s="43" t="str">
        <f t="shared" si="21"/>
        <v>*0.47</v>
      </c>
      <c r="AC145" s="33" t="s">
        <v>212</v>
      </c>
      <c r="AD145" s="44" t="s">
        <v>57</v>
      </c>
      <c r="AE145" s="33">
        <v>2035</v>
      </c>
      <c r="AF145" s="45" t="str">
        <f t="shared" si="22"/>
        <v>*0.54</v>
      </c>
      <c r="AG145" s="43" t="str">
        <f t="shared" si="24"/>
        <v>REZoning_Sol-Win</v>
      </c>
      <c r="AI145" s="33" t="s">
        <v>212</v>
      </c>
      <c r="AJ145" s="44" t="s">
        <v>57</v>
      </c>
      <c r="AK145" s="33">
        <v>2050</v>
      </c>
      <c r="AL145" s="45" t="str">
        <f t="shared" si="23"/>
        <v>*0.44</v>
      </c>
      <c r="AM145" s="43" t="str">
        <f t="shared" si="25"/>
        <v>REZoning_Sol-Win</v>
      </c>
      <c r="AP145" t="s">
        <v>212</v>
      </c>
      <c r="AQ145" t="s">
        <v>57</v>
      </c>
      <c r="AR145">
        <v>2100</v>
      </c>
      <c r="AS145" t="s">
        <v>171</v>
      </c>
      <c r="AT145" t="s">
        <v>58</v>
      </c>
    </row>
    <row r="146" ht="29" spans="1:46">
      <c r="A146" s="31" t="s">
        <v>169</v>
      </c>
      <c r="C146" t="s">
        <v>213</v>
      </c>
      <c r="D146" s="5" t="s">
        <v>57</v>
      </c>
      <c r="E146">
        <v>2035</v>
      </c>
      <c r="F146" s="6" t="str">
        <f t="shared" si="18"/>
        <v>*0.61</v>
      </c>
      <c r="H146" t="s">
        <v>213</v>
      </c>
      <c r="I146" s="5" t="s">
        <v>57</v>
      </c>
      <c r="J146">
        <v>2050</v>
      </c>
      <c r="K146" s="38" t="str">
        <f t="shared" si="19"/>
        <v>*0.49</v>
      </c>
      <c r="P146" s="32" t="s">
        <v>213</v>
      </c>
      <c r="Q146" s="42" t="s">
        <v>57</v>
      </c>
      <c r="R146" s="32">
        <v>2035</v>
      </c>
      <c r="S146" s="43" t="str">
        <f t="shared" si="20"/>
        <v>*0.59</v>
      </c>
      <c r="U146" s="32" t="s">
        <v>213</v>
      </c>
      <c r="V146" s="42" t="s">
        <v>57</v>
      </c>
      <c r="W146" s="32">
        <v>2050</v>
      </c>
      <c r="X146" s="43" t="str">
        <f t="shared" si="21"/>
        <v>*0.47</v>
      </c>
      <c r="AC146" s="33" t="s">
        <v>213</v>
      </c>
      <c r="AD146" s="44" t="s">
        <v>57</v>
      </c>
      <c r="AE146" s="33">
        <v>2035</v>
      </c>
      <c r="AF146" s="45" t="str">
        <f t="shared" si="22"/>
        <v>*0.54</v>
      </c>
      <c r="AG146" s="43" t="str">
        <f t="shared" si="24"/>
        <v>REZoning_Sol-Win</v>
      </c>
      <c r="AI146" s="33" t="s">
        <v>213</v>
      </c>
      <c r="AJ146" s="44" t="s">
        <v>57</v>
      </c>
      <c r="AK146" s="33">
        <v>2050</v>
      </c>
      <c r="AL146" s="45" t="str">
        <f t="shared" si="23"/>
        <v>*0.44</v>
      </c>
      <c r="AM146" s="43" t="str">
        <f t="shared" si="25"/>
        <v>REZoning_Sol-Win</v>
      </c>
      <c r="AP146" t="s">
        <v>213</v>
      </c>
      <c r="AQ146" t="s">
        <v>57</v>
      </c>
      <c r="AR146">
        <v>2100</v>
      </c>
      <c r="AS146" t="s">
        <v>171</v>
      </c>
      <c r="AT146" t="s">
        <v>58</v>
      </c>
    </row>
    <row r="147" ht="29" spans="1:46">
      <c r="A147" s="31" t="s">
        <v>169</v>
      </c>
      <c r="C147" t="s">
        <v>214</v>
      </c>
      <c r="D147" s="5" t="s">
        <v>57</v>
      </c>
      <c r="E147">
        <v>2035</v>
      </c>
      <c r="F147" s="6" t="str">
        <f t="shared" si="18"/>
        <v>*0.61</v>
      </c>
      <c r="H147" t="s">
        <v>214</v>
      </c>
      <c r="I147" s="5" t="s">
        <v>57</v>
      </c>
      <c r="J147">
        <v>2050</v>
      </c>
      <c r="K147" s="38" t="str">
        <f t="shared" si="19"/>
        <v>*0.49</v>
      </c>
      <c r="P147" s="32" t="s">
        <v>214</v>
      </c>
      <c r="Q147" s="42" t="s">
        <v>57</v>
      </c>
      <c r="R147" s="32">
        <v>2035</v>
      </c>
      <c r="S147" s="43" t="str">
        <f t="shared" si="20"/>
        <v>*0.59</v>
      </c>
      <c r="U147" s="32" t="s">
        <v>214</v>
      </c>
      <c r="V147" s="42" t="s">
        <v>57</v>
      </c>
      <c r="W147" s="32">
        <v>2050</v>
      </c>
      <c r="X147" s="43" t="str">
        <f t="shared" si="21"/>
        <v>*0.47</v>
      </c>
      <c r="AC147" s="33" t="s">
        <v>214</v>
      </c>
      <c r="AD147" s="44" t="s">
        <v>57</v>
      </c>
      <c r="AE147" s="33">
        <v>2035</v>
      </c>
      <c r="AF147" s="45" t="str">
        <f t="shared" si="22"/>
        <v>*0.54</v>
      </c>
      <c r="AG147" s="43" t="str">
        <f t="shared" si="24"/>
        <v>REZoning_Sol-Win</v>
      </c>
      <c r="AI147" s="33" t="s">
        <v>214</v>
      </c>
      <c r="AJ147" s="44" t="s">
        <v>57</v>
      </c>
      <c r="AK147" s="33">
        <v>2050</v>
      </c>
      <c r="AL147" s="45" t="str">
        <f t="shared" si="23"/>
        <v>*0.44</v>
      </c>
      <c r="AM147" s="43" t="str">
        <f t="shared" si="25"/>
        <v>REZoning_Sol-Win</v>
      </c>
      <c r="AP147" t="s">
        <v>214</v>
      </c>
      <c r="AQ147" t="s">
        <v>57</v>
      </c>
      <c r="AR147">
        <v>2100</v>
      </c>
      <c r="AS147" t="s">
        <v>171</v>
      </c>
      <c r="AT147" t="s">
        <v>58</v>
      </c>
    </row>
    <row r="148" ht="29" spans="1:46">
      <c r="A148" s="31" t="s">
        <v>169</v>
      </c>
      <c r="C148" t="s">
        <v>215</v>
      </c>
      <c r="D148" s="5" t="s">
        <v>57</v>
      </c>
      <c r="E148">
        <v>2035</v>
      </c>
      <c r="F148" s="6" t="str">
        <f t="shared" si="18"/>
        <v>*0.61</v>
      </c>
      <c r="H148" t="s">
        <v>215</v>
      </c>
      <c r="I148" s="5" t="s">
        <v>57</v>
      </c>
      <c r="J148">
        <v>2050</v>
      </c>
      <c r="K148" s="38" t="str">
        <f t="shared" si="19"/>
        <v>*0.49</v>
      </c>
      <c r="P148" s="32" t="s">
        <v>215</v>
      </c>
      <c r="Q148" s="42" t="s">
        <v>57</v>
      </c>
      <c r="R148" s="32">
        <v>2035</v>
      </c>
      <c r="S148" s="43" t="str">
        <f t="shared" si="20"/>
        <v>*0.59</v>
      </c>
      <c r="U148" s="32" t="s">
        <v>215</v>
      </c>
      <c r="V148" s="42" t="s">
        <v>57</v>
      </c>
      <c r="W148" s="32">
        <v>2050</v>
      </c>
      <c r="X148" s="43" t="str">
        <f t="shared" si="21"/>
        <v>*0.47</v>
      </c>
      <c r="AC148" s="33" t="s">
        <v>215</v>
      </c>
      <c r="AD148" s="44" t="s">
        <v>57</v>
      </c>
      <c r="AE148" s="33">
        <v>2035</v>
      </c>
      <c r="AF148" s="45" t="str">
        <f t="shared" si="22"/>
        <v>*0.54</v>
      </c>
      <c r="AG148" s="43" t="str">
        <f t="shared" si="24"/>
        <v>REZoning_Sol-Win</v>
      </c>
      <c r="AI148" s="33" t="s">
        <v>215</v>
      </c>
      <c r="AJ148" s="44" t="s">
        <v>57</v>
      </c>
      <c r="AK148" s="33">
        <v>2050</v>
      </c>
      <c r="AL148" s="45" t="str">
        <f t="shared" si="23"/>
        <v>*0.44</v>
      </c>
      <c r="AM148" s="43" t="str">
        <f t="shared" si="25"/>
        <v>REZoning_Sol-Win</v>
      </c>
      <c r="AP148" t="s">
        <v>215</v>
      </c>
      <c r="AQ148" t="s">
        <v>57</v>
      </c>
      <c r="AR148">
        <v>2100</v>
      </c>
      <c r="AS148" t="s">
        <v>171</v>
      </c>
      <c r="AT148" t="s">
        <v>58</v>
      </c>
    </row>
    <row r="149" ht="29" spans="1:46">
      <c r="A149" s="31" t="s">
        <v>169</v>
      </c>
      <c r="C149" t="s">
        <v>216</v>
      </c>
      <c r="D149" s="5" t="s">
        <v>57</v>
      </c>
      <c r="E149">
        <v>2035</v>
      </c>
      <c r="F149" s="6" t="str">
        <f t="shared" si="18"/>
        <v>*0.61</v>
      </c>
      <c r="H149" t="s">
        <v>216</v>
      </c>
      <c r="I149" s="5" t="s">
        <v>57</v>
      </c>
      <c r="J149">
        <v>2050</v>
      </c>
      <c r="K149" s="38" t="str">
        <f t="shared" si="19"/>
        <v>*0.49</v>
      </c>
      <c r="P149" s="32" t="s">
        <v>216</v>
      </c>
      <c r="Q149" s="42" t="s">
        <v>57</v>
      </c>
      <c r="R149" s="32">
        <v>2035</v>
      </c>
      <c r="S149" s="43" t="str">
        <f t="shared" si="20"/>
        <v>*0.59</v>
      </c>
      <c r="U149" s="32" t="s">
        <v>216</v>
      </c>
      <c r="V149" s="42" t="s">
        <v>57</v>
      </c>
      <c r="W149" s="32">
        <v>2050</v>
      </c>
      <c r="X149" s="43" t="str">
        <f t="shared" si="21"/>
        <v>*0.47</v>
      </c>
      <c r="AC149" s="33" t="s">
        <v>216</v>
      </c>
      <c r="AD149" s="44" t="s">
        <v>57</v>
      </c>
      <c r="AE149" s="33">
        <v>2035</v>
      </c>
      <c r="AF149" s="45" t="str">
        <f t="shared" si="22"/>
        <v>*0.54</v>
      </c>
      <c r="AG149" s="43" t="str">
        <f t="shared" si="24"/>
        <v>REZoning_Sol-Win</v>
      </c>
      <c r="AI149" s="33" t="s">
        <v>216</v>
      </c>
      <c r="AJ149" s="44" t="s">
        <v>57</v>
      </c>
      <c r="AK149" s="33">
        <v>2050</v>
      </c>
      <c r="AL149" s="45" t="str">
        <f t="shared" si="23"/>
        <v>*0.44</v>
      </c>
      <c r="AM149" s="43" t="str">
        <f t="shared" si="25"/>
        <v>REZoning_Sol-Win</v>
      </c>
      <c r="AP149" t="s">
        <v>216</v>
      </c>
      <c r="AQ149" t="s">
        <v>57</v>
      </c>
      <c r="AR149">
        <v>2100</v>
      </c>
      <c r="AS149" t="s">
        <v>171</v>
      </c>
      <c r="AT149" t="s">
        <v>58</v>
      </c>
    </row>
    <row r="150" ht="29" spans="1:46">
      <c r="A150" s="31" t="s">
        <v>169</v>
      </c>
      <c r="C150" t="s">
        <v>217</v>
      </c>
      <c r="D150" s="5" t="s">
        <v>57</v>
      </c>
      <c r="E150">
        <v>2035</v>
      </c>
      <c r="F150" s="6" t="str">
        <f t="shared" si="18"/>
        <v>*0.61</v>
      </c>
      <c r="H150" t="s">
        <v>217</v>
      </c>
      <c r="I150" s="5" t="s">
        <v>57</v>
      </c>
      <c r="J150">
        <v>2050</v>
      </c>
      <c r="K150" s="38" t="str">
        <f t="shared" si="19"/>
        <v>*0.49</v>
      </c>
      <c r="P150" s="32" t="s">
        <v>217</v>
      </c>
      <c r="Q150" s="42" t="s">
        <v>57</v>
      </c>
      <c r="R150" s="32">
        <v>2035</v>
      </c>
      <c r="S150" s="43" t="str">
        <f t="shared" si="20"/>
        <v>*0.59</v>
      </c>
      <c r="U150" s="32" t="s">
        <v>217</v>
      </c>
      <c r="V150" s="42" t="s">
        <v>57</v>
      </c>
      <c r="W150" s="32">
        <v>2050</v>
      </c>
      <c r="X150" s="43" t="str">
        <f t="shared" si="21"/>
        <v>*0.47</v>
      </c>
      <c r="AC150" s="33" t="s">
        <v>217</v>
      </c>
      <c r="AD150" s="44" t="s">
        <v>57</v>
      </c>
      <c r="AE150" s="33">
        <v>2035</v>
      </c>
      <c r="AF150" s="45" t="str">
        <f t="shared" si="22"/>
        <v>*0.54</v>
      </c>
      <c r="AG150" s="43" t="str">
        <f t="shared" si="24"/>
        <v>REZoning_Sol-Win</v>
      </c>
      <c r="AI150" s="33" t="s">
        <v>217</v>
      </c>
      <c r="AJ150" s="44" t="s">
        <v>57</v>
      </c>
      <c r="AK150" s="33">
        <v>2050</v>
      </c>
      <c r="AL150" s="45" t="str">
        <f t="shared" si="23"/>
        <v>*0.44</v>
      </c>
      <c r="AM150" s="43" t="str">
        <f t="shared" si="25"/>
        <v>REZoning_Sol-Win</v>
      </c>
      <c r="AP150" t="s">
        <v>217</v>
      </c>
      <c r="AQ150" t="s">
        <v>57</v>
      </c>
      <c r="AR150">
        <v>2100</v>
      </c>
      <c r="AS150" t="s">
        <v>171</v>
      </c>
      <c r="AT150" t="s">
        <v>58</v>
      </c>
    </row>
    <row r="151" ht="29" spans="1:46">
      <c r="A151" s="31" t="s">
        <v>169</v>
      </c>
      <c r="C151" t="s">
        <v>218</v>
      </c>
      <c r="D151" s="5" t="s">
        <v>57</v>
      </c>
      <c r="E151">
        <v>2035</v>
      </c>
      <c r="F151" s="6" t="str">
        <f t="shared" si="18"/>
        <v>*0.61</v>
      </c>
      <c r="H151" t="s">
        <v>218</v>
      </c>
      <c r="I151" s="5" t="s">
        <v>57</v>
      </c>
      <c r="J151">
        <v>2050</v>
      </c>
      <c r="K151" s="38" t="str">
        <f t="shared" si="19"/>
        <v>*0.49</v>
      </c>
      <c r="P151" s="32" t="s">
        <v>218</v>
      </c>
      <c r="Q151" s="42" t="s">
        <v>57</v>
      </c>
      <c r="R151" s="32">
        <v>2035</v>
      </c>
      <c r="S151" s="43" t="str">
        <f t="shared" si="20"/>
        <v>*0.59</v>
      </c>
      <c r="U151" s="32" t="s">
        <v>218</v>
      </c>
      <c r="V151" s="42" t="s">
        <v>57</v>
      </c>
      <c r="W151" s="32">
        <v>2050</v>
      </c>
      <c r="X151" s="43" t="str">
        <f t="shared" si="21"/>
        <v>*0.47</v>
      </c>
      <c r="AC151" s="33" t="s">
        <v>218</v>
      </c>
      <c r="AD151" s="44" t="s">
        <v>57</v>
      </c>
      <c r="AE151" s="33">
        <v>2035</v>
      </c>
      <c r="AF151" s="45" t="str">
        <f t="shared" si="22"/>
        <v>*0.54</v>
      </c>
      <c r="AG151" s="43" t="str">
        <f t="shared" si="24"/>
        <v>REZoning_Sol-Win</v>
      </c>
      <c r="AI151" s="33" t="s">
        <v>218</v>
      </c>
      <c r="AJ151" s="44" t="s">
        <v>57</v>
      </c>
      <c r="AK151" s="33">
        <v>2050</v>
      </c>
      <c r="AL151" s="45" t="str">
        <f t="shared" si="23"/>
        <v>*0.44</v>
      </c>
      <c r="AM151" s="43" t="str">
        <f t="shared" si="25"/>
        <v>REZoning_Sol-Win</v>
      </c>
      <c r="AP151" t="s">
        <v>218</v>
      </c>
      <c r="AQ151" t="s">
        <v>57</v>
      </c>
      <c r="AR151">
        <v>2100</v>
      </c>
      <c r="AS151" t="s">
        <v>171</v>
      </c>
      <c r="AT151" t="s">
        <v>58</v>
      </c>
    </row>
    <row r="152" ht="29" spans="1:46">
      <c r="A152" s="31" t="s">
        <v>169</v>
      </c>
      <c r="C152" t="s">
        <v>219</v>
      </c>
      <c r="D152" s="5" t="s">
        <v>57</v>
      </c>
      <c r="E152">
        <v>2035</v>
      </c>
      <c r="F152" s="6" t="str">
        <f t="shared" si="18"/>
        <v>*0.61</v>
      </c>
      <c r="H152" t="s">
        <v>219</v>
      </c>
      <c r="I152" s="5" t="s">
        <v>57</v>
      </c>
      <c r="J152">
        <v>2050</v>
      </c>
      <c r="K152" s="38" t="str">
        <f t="shared" si="19"/>
        <v>*0.49</v>
      </c>
      <c r="P152" s="32" t="s">
        <v>219</v>
      </c>
      <c r="Q152" s="42" t="s">
        <v>57</v>
      </c>
      <c r="R152" s="32">
        <v>2035</v>
      </c>
      <c r="S152" s="43" t="str">
        <f t="shared" si="20"/>
        <v>*0.59</v>
      </c>
      <c r="U152" s="32" t="s">
        <v>219</v>
      </c>
      <c r="V152" s="42" t="s">
        <v>57</v>
      </c>
      <c r="W152" s="32">
        <v>2050</v>
      </c>
      <c r="X152" s="43" t="str">
        <f t="shared" si="21"/>
        <v>*0.47</v>
      </c>
      <c r="AC152" s="33" t="s">
        <v>219</v>
      </c>
      <c r="AD152" s="44" t="s">
        <v>57</v>
      </c>
      <c r="AE152" s="33">
        <v>2035</v>
      </c>
      <c r="AF152" s="45" t="str">
        <f t="shared" si="22"/>
        <v>*0.54</v>
      </c>
      <c r="AG152" s="43" t="str">
        <f t="shared" si="24"/>
        <v>REZoning_Sol-Win</v>
      </c>
      <c r="AI152" s="33" t="s">
        <v>219</v>
      </c>
      <c r="AJ152" s="44" t="s">
        <v>57</v>
      </c>
      <c r="AK152" s="33">
        <v>2050</v>
      </c>
      <c r="AL152" s="45" t="str">
        <f t="shared" si="23"/>
        <v>*0.44</v>
      </c>
      <c r="AM152" s="43" t="str">
        <f t="shared" si="25"/>
        <v>REZoning_Sol-Win</v>
      </c>
      <c r="AP152" t="s">
        <v>219</v>
      </c>
      <c r="AQ152" t="s">
        <v>57</v>
      </c>
      <c r="AR152">
        <v>2100</v>
      </c>
      <c r="AS152" t="s">
        <v>171</v>
      </c>
      <c r="AT152" t="s">
        <v>58</v>
      </c>
    </row>
    <row r="153" ht="29" spans="1:46">
      <c r="A153" s="31" t="s">
        <v>169</v>
      </c>
      <c r="C153" t="s">
        <v>220</v>
      </c>
      <c r="D153" s="5" t="s">
        <v>57</v>
      </c>
      <c r="E153">
        <v>2035</v>
      </c>
      <c r="F153" s="6" t="str">
        <f t="shared" si="18"/>
        <v>*0.61</v>
      </c>
      <c r="H153" t="s">
        <v>220</v>
      </c>
      <c r="I153" s="5" t="s">
        <v>57</v>
      </c>
      <c r="J153">
        <v>2050</v>
      </c>
      <c r="K153" s="38" t="str">
        <f t="shared" si="19"/>
        <v>*0.49</v>
      </c>
      <c r="P153" s="32" t="s">
        <v>220</v>
      </c>
      <c r="Q153" s="42" t="s">
        <v>57</v>
      </c>
      <c r="R153" s="32">
        <v>2035</v>
      </c>
      <c r="S153" s="43" t="str">
        <f t="shared" si="20"/>
        <v>*0.59</v>
      </c>
      <c r="U153" s="32" t="s">
        <v>220</v>
      </c>
      <c r="V153" s="42" t="s">
        <v>57</v>
      </c>
      <c r="W153" s="32">
        <v>2050</v>
      </c>
      <c r="X153" s="43" t="str">
        <f t="shared" si="21"/>
        <v>*0.47</v>
      </c>
      <c r="AC153" s="33" t="s">
        <v>220</v>
      </c>
      <c r="AD153" s="44" t="s">
        <v>57</v>
      </c>
      <c r="AE153" s="33">
        <v>2035</v>
      </c>
      <c r="AF153" s="45" t="str">
        <f t="shared" si="22"/>
        <v>*0.54</v>
      </c>
      <c r="AG153" s="43" t="str">
        <f t="shared" si="24"/>
        <v>REZoning_Sol-Win</v>
      </c>
      <c r="AI153" s="33" t="s">
        <v>220</v>
      </c>
      <c r="AJ153" s="44" t="s">
        <v>57</v>
      </c>
      <c r="AK153" s="33">
        <v>2050</v>
      </c>
      <c r="AL153" s="45" t="str">
        <f t="shared" si="23"/>
        <v>*0.44</v>
      </c>
      <c r="AM153" s="43" t="str">
        <f t="shared" si="25"/>
        <v>REZoning_Sol-Win</v>
      </c>
      <c r="AP153" t="s">
        <v>220</v>
      </c>
      <c r="AQ153" t="s">
        <v>57</v>
      </c>
      <c r="AR153">
        <v>2100</v>
      </c>
      <c r="AS153" t="s">
        <v>171</v>
      </c>
      <c r="AT153" t="s">
        <v>58</v>
      </c>
    </row>
    <row r="154" ht="29" spans="1:46">
      <c r="A154" s="31" t="s">
        <v>169</v>
      </c>
      <c r="C154" t="s">
        <v>221</v>
      </c>
      <c r="D154" s="5" t="s">
        <v>57</v>
      </c>
      <c r="E154">
        <v>2035</v>
      </c>
      <c r="F154" s="6" t="str">
        <f t="shared" si="18"/>
        <v>*0.61</v>
      </c>
      <c r="H154" t="s">
        <v>221</v>
      </c>
      <c r="I154" s="5" t="s">
        <v>57</v>
      </c>
      <c r="J154">
        <v>2050</v>
      </c>
      <c r="K154" s="38" t="str">
        <f t="shared" si="19"/>
        <v>*0.49</v>
      </c>
      <c r="P154" s="32" t="s">
        <v>221</v>
      </c>
      <c r="Q154" s="42" t="s">
        <v>57</v>
      </c>
      <c r="R154" s="32">
        <v>2035</v>
      </c>
      <c r="S154" s="43" t="str">
        <f t="shared" si="20"/>
        <v>*0.59</v>
      </c>
      <c r="U154" s="32" t="s">
        <v>221</v>
      </c>
      <c r="V154" s="42" t="s">
        <v>57</v>
      </c>
      <c r="W154" s="32">
        <v>2050</v>
      </c>
      <c r="X154" s="43" t="str">
        <f t="shared" si="21"/>
        <v>*0.47</v>
      </c>
      <c r="AC154" s="33" t="s">
        <v>221</v>
      </c>
      <c r="AD154" s="44" t="s">
        <v>57</v>
      </c>
      <c r="AE154" s="33">
        <v>2035</v>
      </c>
      <c r="AF154" s="45" t="str">
        <f t="shared" si="22"/>
        <v>*0.54</v>
      </c>
      <c r="AG154" s="43" t="str">
        <f t="shared" si="24"/>
        <v>REZoning_Sol-Win</v>
      </c>
      <c r="AI154" s="33" t="s">
        <v>221</v>
      </c>
      <c r="AJ154" s="44" t="s">
        <v>57</v>
      </c>
      <c r="AK154" s="33">
        <v>2050</v>
      </c>
      <c r="AL154" s="45" t="str">
        <f t="shared" si="23"/>
        <v>*0.44</v>
      </c>
      <c r="AM154" s="43" t="str">
        <f t="shared" si="25"/>
        <v>REZoning_Sol-Win</v>
      </c>
      <c r="AP154" t="s">
        <v>221</v>
      </c>
      <c r="AQ154" t="s">
        <v>57</v>
      </c>
      <c r="AR154">
        <v>2100</v>
      </c>
      <c r="AS154" t="s">
        <v>171</v>
      </c>
      <c r="AT154" t="s">
        <v>58</v>
      </c>
    </row>
    <row r="155" ht="29" spans="1:46">
      <c r="A155" s="31" t="s">
        <v>169</v>
      </c>
      <c r="C155" t="s">
        <v>222</v>
      </c>
      <c r="D155" s="5" t="s">
        <v>57</v>
      </c>
      <c r="E155">
        <v>2035</v>
      </c>
      <c r="F155" s="6" t="str">
        <f t="shared" si="18"/>
        <v>*0.61</v>
      </c>
      <c r="H155" t="s">
        <v>222</v>
      </c>
      <c r="I155" s="5" t="s">
        <v>57</v>
      </c>
      <c r="J155">
        <v>2050</v>
      </c>
      <c r="K155" s="38" t="str">
        <f t="shared" si="19"/>
        <v>*0.49</v>
      </c>
      <c r="P155" s="32" t="s">
        <v>222</v>
      </c>
      <c r="Q155" s="42" t="s">
        <v>57</v>
      </c>
      <c r="R155" s="32">
        <v>2035</v>
      </c>
      <c r="S155" s="43" t="str">
        <f t="shared" si="20"/>
        <v>*0.59</v>
      </c>
      <c r="U155" s="32" t="s">
        <v>222</v>
      </c>
      <c r="V155" s="42" t="s">
        <v>57</v>
      </c>
      <c r="W155" s="32">
        <v>2050</v>
      </c>
      <c r="X155" s="43" t="str">
        <f t="shared" si="21"/>
        <v>*0.47</v>
      </c>
      <c r="AC155" s="33" t="s">
        <v>222</v>
      </c>
      <c r="AD155" s="44" t="s">
        <v>57</v>
      </c>
      <c r="AE155" s="33">
        <v>2035</v>
      </c>
      <c r="AF155" s="45" t="str">
        <f t="shared" si="22"/>
        <v>*0.54</v>
      </c>
      <c r="AG155" s="43" t="str">
        <f t="shared" si="24"/>
        <v>REZoning_Sol-Win</v>
      </c>
      <c r="AI155" s="33" t="s">
        <v>222</v>
      </c>
      <c r="AJ155" s="44" t="s">
        <v>57</v>
      </c>
      <c r="AK155" s="33">
        <v>2050</v>
      </c>
      <c r="AL155" s="45" t="str">
        <f t="shared" si="23"/>
        <v>*0.44</v>
      </c>
      <c r="AM155" s="43" t="str">
        <f t="shared" si="25"/>
        <v>REZoning_Sol-Win</v>
      </c>
      <c r="AP155" t="s">
        <v>222</v>
      </c>
      <c r="AQ155" t="s">
        <v>57</v>
      </c>
      <c r="AR155">
        <v>2100</v>
      </c>
      <c r="AS155" t="s">
        <v>171</v>
      </c>
      <c r="AT155" t="s">
        <v>58</v>
      </c>
    </row>
    <row r="156" ht="29" spans="1:46">
      <c r="A156" s="31" t="s">
        <v>169</v>
      </c>
      <c r="C156" t="s">
        <v>223</v>
      </c>
      <c r="D156" s="5" t="s">
        <v>57</v>
      </c>
      <c r="E156">
        <v>2035</v>
      </c>
      <c r="F156" s="6" t="str">
        <f t="shared" si="18"/>
        <v>*0.61</v>
      </c>
      <c r="H156" t="s">
        <v>223</v>
      </c>
      <c r="I156" s="5" t="s">
        <v>57</v>
      </c>
      <c r="J156">
        <v>2050</v>
      </c>
      <c r="K156" s="38" t="str">
        <f t="shared" si="19"/>
        <v>*0.49</v>
      </c>
      <c r="P156" s="32" t="s">
        <v>223</v>
      </c>
      <c r="Q156" s="42" t="s">
        <v>57</v>
      </c>
      <c r="R156" s="32">
        <v>2035</v>
      </c>
      <c r="S156" s="43" t="str">
        <f t="shared" si="20"/>
        <v>*0.59</v>
      </c>
      <c r="U156" s="32" t="s">
        <v>223</v>
      </c>
      <c r="V156" s="42" t="s">
        <v>57</v>
      </c>
      <c r="W156" s="32">
        <v>2050</v>
      </c>
      <c r="X156" s="43" t="str">
        <f t="shared" si="21"/>
        <v>*0.47</v>
      </c>
      <c r="AC156" s="33" t="s">
        <v>223</v>
      </c>
      <c r="AD156" s="44" t="s">
        <v>57</v>
      </c>
      <c r="AE156" s="33">
        <v>2035</v>
      </c>
      <c r="AF156" s="45" t="str">
        <f t="shared" si="22"/>
        <v>*0.54</v>
      </c>
      <c r="AG156" s="43" t="str">
        <f t="shared" si="24"/>
        <v>REZoning_Sol-Win</v>
      </c>
      <c r="AI156" s="33" t="s">
        <v>223</v>
      </c>
      <c r="AJ156" s="44" t="s">
        <v>57</v>
      </c>
      <c r="AK156" s="33">
        <v>2050</v>
      </c>
      <c r="AL156" s="45" t="str">
        <f t="shared" si="23"/>
        <v>*0.44</v>
      </c>
      <c r="AM156" s="43" t="str">
        <f t="shared" si="25"/>
        <v>REZoning_Sol-Win</v>
      </c>
      <c r="AP156" t="s">
        <v>223</v>
      </c>
      <c r="AQ156" t="s">
        <v>57</v>
      </c>
      <c r="AR156">
        <v>2100</v>
      </c>
      <c r="AS156" t="s">
        <v>171</v>
      </c>
      <c r="AT156" t="s">
        <v>58</v>
      </c>
    </row>
    <row r="157" ht="29" spans="1:46">
      <c r="A157" s="31" t="s">
        <v>169</v>
      </c>
      <c r="C157" t="s">
        <v>224</v>
      </c>
      <c r="D157" s="5" t="s">
        <v>57</v>
      </c>
      <c r="E157">
        <v>2035</v>
      </c>
      <c r="F157" s="6" t="str">
        <f t="shared" si="18"/>
        <v>*0.61</v>
      </c>
      <c r="H157" t="s">
        <v>224</v>
      </c>
      <c r="I157" s="5" t="s">
        <v>57</v>
      </c>
      <c r="J157">
        <v>2050</v>
      </c>
      <c r="K157" s="38" t="str">
        <f t="shared" si="19"/>
        <v>*0.49</v>
      </c>
      <c r="P157" s="32" t="s">
        <v>224</v>
      </c>
      <c r="Q157" s="42" t="s">
        <v>57</v>
      </c>
      <c r="R157" s="32">
        <v>2035</v>
      </c>
      <c r="S157" s="43" t="str">
        <f t="shared" si="20"/>
        <v>*0.59</v>
      </c>
      <c r="U157" s="32" t="s">
        <v>224</v>
      </c>
      <c r="V157" s="42" t="s">
        <v>57</v>
      </c>
      <c r="W157" s="32">
        <v>2050</v>
      </c>
      <c r="X157" s="43" t="str">
        <f t="shared" si="21"/>
        <v>*0.47</v>
      </c>
      <c r="AC157" s="33" t="s">
        <v>224</v>
      </c>
      <c r="AD157" s="44" t="s">
        <v>57</v>
      </c>
      <c r="AE157" s="33">
        <v>2035</v>
      </c>
      <c r="AF157" s="45" t="str">
        <f t="shared" si="22"/>
        <v>*0.54</v>
      </c>
      <c r="AG157" s="43" t="str">
        <f t="shared" si="24"/>
        <v>REZoning_Sol-Win</v>
      </c>
      <c r="AI157" s="33" t="s">
        <v>224</v>
      </c>
      <c r="AJ157" s="44" t="s">
        <v>57</v>
      </c>
      <c r="AK157" s="33">
        <v>2050</v>
      </c>
      <c r="AL157" s="45" t="str">
        <f t="shared" si="23"/>
        <v>*0.44</v>
      </c>
      <c r="AM157" s="43" t="str">
        <f t="shared" si="25"/>
        <v>REZoning_Sol-Win</v>
      </c>
      <c r="AP157" t="s">
        <v>224</v>
      </c>
      <c r="AQ157" t="s">
        <v>57</v>
      </c>
      <c r="AR157">
        <v>2100</v>
      </c>
      <c r="AS157" t="s">
        <v>171</v>
      </c>
      <c r="AT157" t="s">
        <v>58</v>
      </c>
    </row>
    <row r="158" ht="29" spans="1:46">
      <c r="A158" s="31" t="s">
        <v>169</v>
      </c>
      <c r="C158" t="s">
        <v>225</v>
      </c>
      <c r="D158" s="5" t="s">
        <v>57</v>
      </c>
      <c r="E158">
        <v>2035</v>
      </c>
      <c r="F158" s="6" t="str">
        <f t="shared" si="18"/>
        <v>*0.61</v>
      </c>
      <c r="H158" t="s">
        <v>225</v>
      </c>
      <c r="I158" s="5" t="s">
        <v>57</v>
      </c>
      <c r="J158">
        <v>2050</v>
      </c>
      <c r="K158" s="38" t="str">
        <f t="shared" si="19"/>
        <v>*0.49</v>
      </c>
      <c r="P158" s="32" t="s">
        <v>225</v>
      </c>
      <c r="Q158" s="42" t="s">
        <v>57</v>
      </c>
      <c r="R158" s="32">
        <v>2035</v>
      </c>
      <c r="S158" s="43" t="str">
        <f t="shared" si="20"/>
        <v>*0.59</v>
      </c>
      <c r="U158" s="32" t="s">
        <v>225</v>
      </c>
      <c r="V158" s="42" t="s">
        <v>57</v>
      </c>
      <c r="W158" s="32">
        <v>2050</v>
      </c>
      <c r="X158" s="43" t="str">
        <f t="shared" si="21"/>
        <v>*0.47</v>
      </c>
      <c r="AC158" s="33" t="s">
        <v>225</v>
      </c>
      <c r="AD158" s="44" t="s">
        <v>57</v>
      </c>
      <c r="AE158" s="33">
        <v>2035</v>
      </c>
      <c r="AF158" s="45" t="str">
        <f t="shared" si="22"/>
        <v>*0.54</v>
      </c>
      <c r="AG158" s="43" t="str">
        <f t="shared" si="24"/>
        <v>REZoning_Sol-Win</v>
      </c>
      <c r="AI158" s="33" t="s">
        <v>225</v>
      </c>
      <c r="AJ158" s="44" t="s">
        <v>57</v>
      </c>
      <c r="AK158" s="33">
        <v>2050</v>
      </c>
      <c r="AL158" s="45" t="str">
        <f t="shared" si="23"/>
        <v>*0.44</v>
      </c>
      <c r="AM158" s="43" t="str">
        <f t="shared" si="25"/>
        <v>REZoning_Sol-Win</v>
      </c>
      <c r="AP158" t="s">
        <v>225</v>
      </c>
      <c r="AQ158" t="s">
        <v>57</v>
      </c>
      <c r="AR158">
        <v>2100</v>
      </c>
      <c r="AS158" t="s">
        <v>171</v>
      </c>
      <c r="AT158" t="s">
        <v>58</v>
      </c>
    </row>
    <row r="159" ht="29" spans="1:46">
      <c r="A159" s="31" t="s">
        <v>169</v>
      </c>
      <c r="C159" t="s">
        <v>226</v>
      </c>
      <c r="D159" s="5" t="s">
        <v>57</v>
      </c>
      <c r="E159">
        <v>2035</v>
      </c>
      <c r="F159" s="6" t="str">
        <f t="shared" si="18"/>
        <v>*0.61</v>
      </c>
      <c r="H159" t="s">
        <v>226</v>
      </c>
      <c r="I159" s="5" t="s">
        <v>57</v>
      </c>
      <c r="J159">
        <v>2050</v>
      </c>
      <c r="K159" s="38" t="str">
        <f t="shared" si="19"/>
        <v>*0.49</v>
      </c>
      <c r="P159" s="32" t="s">
        <v>226</v>
      </c>
      <c r="Q159" s="42" t="s">
        <v>57</v>
      </c>
      <c r="R159" s="32">
        <v>2035</v>
      </c>
      <c r="S159" s="43" t="str">
        <f t="shared" si="20"/>
        <v>*0.59</v>
      </c>
      <c r="U159" s="32" t="s">
        <v>226</v>
      </c>
      <c r="V159" s="42" t="s">
        <v>57</v>
      </c>
      <c r="W159" s="32">
        <v>2050</v>
      </c>
      <c r="X159" s="43" t="str">
        <f t="shared" si="21"/>
        <v>*0.47</v>
      </c>
      <c r="AC159" s="33" t="s">
        <v>226</v>
      </c>
      <c r="AD159" s="44" t="s">
        <v>57</v>
      </c>
      <c r="AE159" s="33">
        <v>2035</v>
      </c>
      <c r="AF159" s="45" t="str">
        <f t="shared" si="22"/>
        <v>*0.54</v>
      </c>
      <c r="AG159" s="43" t="str">
        <f t="shared" si="24"/>
        <v>REZoning_Sol-Win</v>
      </c>
      <c r="AI159" s="33" t="s">
        <v>226</v>
      </c>
      <c r="AJ159" s="44" t="s">
        <v>57</v>
      </c>
      <c r="AK159" s="33">
        <v>2050</v>
      </c>
      <c r="AL159" s="45" t="str">
        <f t="shared" si="23"/>
        <v>*0.44</v>
      </c>
      <c r="AM159" s="43" t="str">
        <f t="shared" si="25"/>
        <v>REZoning_Sol-Win</v>
      </c>
      <c r="AP159" t="s">
        <v>226</v>
      </c>
      <c r="AQ159" t="s">
        <v>57</v>
      </c>
      <c r="AR159">
        <v>2100</v>
      </c>
      <c r="AS159" t="s">
        <v>171</v>
      </c>
      <c r="AT159" t="s">
        <v>58</v>
      </c>
    </row>
    <row r="160" ht="29" spans="1:46">
      <c r="A160" s="31" t="s">
        <v>169</v>
      </c>
      <c r="C160" t="s">
        <v>227</v>
      </c>
      <c r="D160" s="5" t="s">
        <v>57</v>
      </c>
      <c r="E160">
        <v>2035</v>
      </c>
      <c r="F160" s="6" t="str">
        <f t="shared" si="18"/>
        <v>*0.61</v>
      </c>
      <c r="H160" t="s">
        <v>227</v>
      </c>
      <c r="I160" s="5" t="s">
        <v>57</v>
      </c>
      <c r="J160">
        <v>2050</v>
      </c>
      <c r="K160" s="38" t="str">
        <f t="shared" si="19"/>
        <v>*0.49</v>
      </c>
      <c r="P160" s="32" t="s">
        <v>227</v>
      </c>
      <c r="Q160" s="42" t="s">
        <v>57</v>
      </c>
      <c r="R160" s="32">
        <v>2035</v>
      </c>
      <c r="S160" s="43" t="str">
        <f t="shared" si="20"/>
        <v>*0.59</v>
      </c>
      <c r="U160" s="32" t="s">
        <v>227</v>
      </c>
      <c r="V160" s="42" t="s">
        <v>57</v>
      </c>
      <c r="W160" s="32">
        <v>2050</v>
      </c>
      <c r="X160" s="43" t="str">
        <f t="shared" si="21"/>
        <v>*0.47</v>
      </c>
      <c r="AC160" s="33" t="s">
        <v>227</v>
      </c>
      <c r="AD160" s="44" t="s">
        <v>57</v>
      </c>
      <c r="AE160" s="33">
        <v>2035</v>
      </c>
      <c r="AF160" s="45" t="str">
        <f t="shared" si="22"/>
        <v>*0.54</v>
      </c>
      <c r="AG160" s="43" t="str">
        <f t="shared" si="24"/>
        <v>REZoning_Sol-Win</v>
      </c>
      <c r="AI160" s="33" t="s">
        <v>227</v>
      </c>
      <c r="AJ160" s="44" t="s">
        <v>57</v>
      </c>
      <c r="AK160" s="33">
        <v>2050</v>
      </c>
      <c r="AL160" s="45" t="str">
        <f t="shared" si="23"/>
        <v>*0.44</v>
      </c>
      <c r="AM160" s="43" t="str">
        <f t="shared" si="25"/>
        <v>REZoning_Sol-Win</v>
      </c>
      <c r="AP160" t="s">
        <v>227</v>
      </c>
      <c r="AQ160" t="s">
        <v>57</v>
      </c>
      <c r="AR160">
        <v>2100</v>
      </c>
      <c r="AS160" t="s">
        <v>171</v>
      </c>
      <c r="AT160" t="s">
        <v>58</v>
      </c>
    </row>
    <row r="161" ht="29" spans="1:46">
      <c r="A161" s="31" t="s">
        <v>169</v>
      </c>
      <c r="C161" t="s">
        <v>228</v>
      </c>
      <c r="D161" s="5" t="s">
        <v>57</v>
      </c>
      <c r="E161">
        <v>2035</v>
      </c>
      <c r="F161" s="6" t="str">
        <f t="shared" si="18"/>
        <v>*0.61</v>
      </c>
      <c r="H161" t="s">
        <v>228</v>
      </c>
      <c r="I161" s="5" t="s">
        <v>57</v>
      </c>
      <c r="J161">
        <v>2050</v>
      </c>
      <c r="K161" s="38" t="str">
        <f t="shared" si="19"/>
        <v>*0.49</v>
      </c>
      <c r="P161" s="32" t="s">
        <v>228</v>
      </c>
      <c r="Q161" s="42" t="s">
        <v>57</v>
      </c>
      <c r="R161" s="32">
        <v>2035</v>
      </c>
      <c r="S161" s="43" t="str">
        <f t="shared" si="20"/>
        <v>*0.59</v>
      </c>
      <c r="U161" s="32" t="s">
        <v>228</v>
      </c>
      <c r="V161" s="42" t="s">
        <v>57</v>
      </c>
      <c r="W161" s="32">
        <v>2050</v>
      </c>
      <c r="X161" s="43" t="str">
        <f t="shared" si="21"/>
        <v>*0.47</v>
      </c>
      <c r="AC161" s="33" t="s">
        <v>228</v>
      </c>
      <c r="AD161" s="44" t="s">
        <v>57</v>
      </c>
      <c r="AE161" s="33">
        <v>2035</v>
      </c>
      <c r="AF161" s="45" t="str">
        <f t="shared" si="22"/>
        <v>*0.54</v>
      </c>
      <c r="AG161" s="43" t="str">
        <f t="shared" si="24"/>
        <v>REZoning_Sol-Win</v>
      </c>
      <c r="AI161" s="33" t="s">
        <v>228</v>
      </c>
      <c r="AJ161" s="44" t="s">
        <v>57</v>
      </c>
      <c r="AK161" s="33">
        <v>2050</v>
      </c>
      <c r="AL161" s="45" t="str">
        <f t="shared" si="23"/>
        <v>*0.44</v>
      </c>
      <c r="AM161" s="43" t="str">
        <f t="shared" si="25"/>
        <v>REZoning_Sol-Win</v>
      </c>
      <c r="AP161" t="s">
        <v>228</v>
      </c>
      <c r="AQ161" t="s">
        <v>57</v>
      </c>
      <c r="AR161">
        <v>2100</v>
      </c>
      <c r="AS161" t="s">
        <v>171</v>
      </c>
      <c r="AT161" t="s">
        <v>58</v>
      </c>
    </row>
    <row r="162" ht="29" spans="1:46">
      <c r="A162" s="31" t="s">
        <v>169</v>
      </c>
      <c r="C162" t="s">
        <v>229</v>
      </c>
      <c r="D162" s="5" t="s">
        <v>57</v>
      </c>
      <c r="E162">
        <v>2035</v>
      </c>
      <c r="F162" s="6" t="str">
        <f t="shared" si="18"/>
        <v>*0.61</v>
      </c>
      <c r="H162" t="s">
        <v>229</v>
      </c>
      <c r="I162" s="5" t="s">
        <v>57</v>
      </c>
      <c r="J162">
        <v>2050</v>
      </c>
      <c r="K162" s="38" t="str">
        <f t="shared" si="19"/>
        <v>*0.49</v>
      </c>
      <c r="P162" s="32" t="s">
        <v>229</v>
      </c>
      <c r="Q162" s="42" t="s">
        <v>57</v>
      </c>
      <c r="R162" s="32">
        <v>2035</v>
      </c>
      <c r="S162" s="43" t="str">
        <f t="shared" si="20"/>
        <v>*0.59</v>
      </c>
      <c r="U162" s="32" t="s">
        <v>229</v>
      </c>
      <c r="V162" s="42" t="s">
        <v>57</v>
      </c>
      <c r="W162" s="32">
        <v>2050</v>
      </c>
      <c r="X162" s="43" t="str">
        <f t="shared" si="21"/>
        <v>*0.47</v>
      </c>
      <c r="AC162" s="33" t="s">
        <v>229</v>
      </c>
      <c r="AD162" s="44" t="s">
        <v>57</v>
      </c>
      <c r="AE162" s="33">
        <v>2035</v>
      </c>
      <c r="AF162" s="45" t="str">
        <f t="shared" si="22"/>
        <v>*0.54</v>
      </c>
      <c r="AG162" s="43" t="str">
        <f t="shared" si="24"/>
        <v>REZoning_Sol-Win</v>
      </c>
      <c r="AI162" s="33" t="s">
        <v>229</v>
      </c>
      <c r="AJ162" s="44" t="s">
        <v>57</v>
      </c>
      <c r="AK162" s="33">
        <v>2050</v>
      </c>
      <c r="AL162" s="45" t="str">
        <f t="shared" si="23"/>
        <v>*0.44</v>
      </c>
      <c r="AM162" s="43" t="str">
        <f t="shared" si="25"/>
        <v>REZoning_Sol-Win</v>
      </c>
      <c r="AP162" t="s">
        <v>229</v>
      </c>
      <c r="AQ162" t="s">
        <v>57</v>
      </c>
      <c r="AR162">
        <v>2100</v>
      </c>
      <c r="AS162" t="s">
        <v>171</v>
      </c>
      <c r="AT162" t="s">
        <v>58</v>
      </c>
    </row>
    <row r="163" ht="29" spans="1:46">
      <c r="A163" s="31" t="s">
        <v>169</v>
      </c>
      <c r="C163" t="s">
        <v>230</v>
      </c>
      <c r="D163" s="5" t="s">
        <v>57</v>
      </c>
      <c r="E163">
        <v>2035</v>
      </c>
      <c r="F163" s="6" t="str">
        <f t="shared" si="18"/>
        <v>*0.61</v>
      </c>
      <c r="H163" t="s">
        <v>230</v>
      </c>
      <c r="I163" s="5" t="s">
        <v>57</v>
      </c>
      <c r="J163">
        <v>2050</v>
      </c>
      <c r="K163" s="38" t="str">
        <f t="shared" si="19"/>
        <v>*0.49</v>
      </c>
      <c r="P163" s="32" t="s">
        <v>230</v>
      </c>
      <c r="Q163" s="42" t="s">
        <v>57</v>
      </c>
      <c r="R163" s="32">
        <v>2035</v>
      </c>
      <c r="S163" s="43" t="str">
        <f t="shared" si="20"/>
        <v>*0.59</v>
      </c>
      <c r="U163" s="32" t="s">
        <v>230</v>
      </c>
      <c r="V163" s="42" t="s">
        <v>57</v>
      </c>
      <c r="W163" s="32">
        <v>2050</v>
      </c>
      <c r="X163" s="43" t="str">
        <f t="shared" si="21"/>
        <v>*0.47</v>
      </c>
      <c r="AC163" s="33" t="s">
        <v>230</v>
      </c>
      <c r="AD163" s="44" t="s">
        <v>57</v>
      </c>
      <c r="AE163" s="33">
        <v>2035</v>
      </c>
      <c r="AF163" s="45" t="str">
        <f t="shared" si="22"/>
        <v>*0.54</v>
      </c>
      <c r="AG163" s="43" t="str">
        <f t="shared" si="24"/>
        <v>REZoning_Sol-Win</v>
      </c>
      <c r="AI163" s="33" t="s">
        <v>230</v>
      </c>
      <c r="AJ163" s="44" t="s">
        <v>57</v>
      </c>
      <c r="AK163" s="33">
        <v>2050</v>
      </c>
      <c r="AL163" s="45" t="str">
        <f t="shared" si="23"/>
        <v>*0.44</v>
      </c>
      <c r="AM163" s="43" t="str">
        <f t="shared" si="25"/>
        <v>REZoning_Sol-Win</v>
      </c>
      <c r="AP163" t="s">
        <v>230</v>
      </c>
      <c r="AQ163" t="s">
        <v>57</v>
      </c>
      <c r="AR163">
        <v>2100</v>
      </c>
      <c r="AS163" t="s">
        <v>171</v>
      </c>
      <c r="AT163" t="s">
        <v>58</v>
      </c>
    </row>
    <row r="164" ht="29" spans="1:46">
      <c r="A164" s="31" t="s">
        <v>169</v>
      </c>
      <c r="C164" t="s">
        <v>231</v>
      </c>
      <c r="D164" s="5" t="s">
        <v>57</v>
      </c>
      <c r="E164">
        <v>2035</v>
      </c>
      <c r="F164" s="6" t="str">
        <f t="shared" si="18"/>
        <v>*0.61</v>
      </c>
      <c r="H164" t="s">
        <v>231</v>
      </c>
      <c r="I164" s="5" t="s">
        <v>57</v>
      </c>
      <c r="J164">
        <v>2050</v>
      </c>
      <c r="K164" s="38" t="str">
        <f t="shared" si="19"/>
        <v>*0.49</v>
      </c>
      <c r="P164" s="32" t="s">
        <v>231</v>
      </c>
      <c r="Q164" s="42" t="s">
        <v>57</v>
      </c>
      <c r="R164" s="32">
        <v>2035</v>
      </c>
      <c r="S164" s="43" t="str">
        <f t="shared" si="20"/>
        <v>*0.59</v>
      </c>
      <c r="U164" s="32" t="s">
        <v>231</v>
      </c>
      <c r="V164" s="42" t="s">
        <v>57</v>
      </c>
      <c r="W164" s="32">
        <v>2050</v>
      </c>
      <c r="X164" s="43" t="str">
        <f t="shared" si="21"/>
        <v>*0.47</v>
      </c>
      <c r="AC164" s="33" t="s">
        <v>231</v>
      </c>
      <c r="AD164" s="44" t="s">
        <v>57</v>
      </c>
      <c r="AE164" s="33">
        <v>2035</v>
      </c>
      <c r="AF164" s="45" t="str">
        <f t="shared" si="22"/>
        <v>*0.54</v>
      </c>
      <c r="AG164" s="43" t="str">
        <f t="shared" si="24"/>
        <v>REZoning_Sol-Win</v>
      </c>
      <c r="AI164" s="33" t="s">
        <v>231</v>
      </c>
      <c r="AJ164" s="44" t="s">
        <v>57</v>
      </c>
      <c r="AK164" s="33">
        <v>2050</v>
      </c>
      <c r="AL164" s="45" t="str">
        <f t="shared" si="23"/>
        <v>*0.44</v>
      </c>
      <c r="AM164" s="43" t="str">
        <f t="shared" si="25"/>
        <v>REZoning_Sol-Win</v>
      </c>
      <c r="AP164" t="s">
        <v>231</v>
      </c>
      <c r="AQ164" t="s">
        <v>57</v>
      </c>
      <c r="AR164">
        <v>2100</v>
      </c>
      <c r="AS164" t="s">
        <v>171</v>
      </c>
      <c r="AT164" t="s">
        <v>58</v>
      </c>
    </row>
    <row r="165" ht="29" spans="1:46">
      <c r="A165" s="31" t="s">
        <v>169</v>
      </c>
      <c r="C165" t="s">
        <v>232</v>
      </c>
      <c r="D165" s="5" t="s">
        <v>57</v>
      </c>
      <c r="E165">
        <v>2035</v>
      </c>
      <c r="F165" s="6" t="str">
        <f t="shared" si="18"/>
        <v>*0.61</v>
      </c>
      <c r="H165" t="s">
        <v>232</v>
      </c>
      <c r="I165" s="5" t="s">
        <v>57</v>
      </c>
      <c r="J165">
        <v>2050</v>
      </c>
      <c r="K165" s="38" t="str">
        <f t="shared" si="19"/>
        <v>*0.49</v>
      </c>
      <c r="P165" s="32" t="s">
        <v>232</v>
      </c>
      <c r="Q165" s="42" t="s">
        <v>57</v>
      </c>
      <c r="R165" s="32">
        <v>2035</v>
      </c>
      <c r="S165" s="43" t="str">
        <f t="shared" si="20"/>
        <v>*0.59</v>
      </c>
      <c r="U165" s="32" t="s">
        <v>232</v>
      </c>
      <c r="V165" s="42" t="s">
        <v>57</v>
      </c>
      <c r="W165" s="32">
        <v>2050</v>
      </c>
      <c r="X165" s="43" t="str">
        <f t="shared" si="21"/>
        <v>*0.47</v>
      </c>
      <c r="AC165" s="33" t="s">
        <v>232</v>
      </c>
      <c r="AD165" s="44" t="s">
        <v>57</v>
      </c>
      <c r="AE165" s="33">
        <v>2035</v>
      </c>
      <c r="AF165" s="45" t="str">
        <f t="shared" si="22"/>
        <v>*0.54</v>
      </c>
      <c r="AG165" s="43" t="str">
        <f t="shared" si="24"/>
        <v>REZoning_Sol-Win</v>
      </c>
      <c r="AI165" s="33" t="s">
        <v>232</v>
      </c>
      <c r="AJ165" s="44" t="s">
        <v>57</v>
      </c>
      <c r="AK165" s="33">
        <v>2050</v>
      </c>
      <c r="AL165" s="45" t="str">
        <f t="shared" si="23"/>
        <v>*0.44</v>
      </c>
      <c r="AM165" s="43" t="str">
        <f t="shared" si="25"/>
        <v>REZoning_Sol-Win</v>
      </c>
      <c r="AP165" t="s">
        <v>232</v>
      </c>
      <c r="AQ165" t="s">
        <v>57</v>
      </c>
      <c r="AR165">
        <v>2100</v>
      </c>
      <c r="AS165" t="s">
        <v>171</v>
      </c>
      <c r="AT165" t="s">
        <v>58</v>
      </c>
    </row>
    <row r="166" ht="29" spans="1:46">
      <c r="A166" s="31" t="s">
        <v>169</v>
      </c>
      <c r="C166" t="s">
        <v>233</v>
      </c>
      <c r="D166" s="5" t="s">
        <v>57</v>
      </c>
      <c r="E166">
        <v>2035</v>
      </c>
      <c r="F166" s="6" t="str">
        <f t="shared" si="18"/>
        <v>*0.61</v>
      </c>
      <c r="H166" t="s">
        <v>233</v>
      </c>
      <c r="I166" s="5" t="s">
        <v>57</v>
      </c>
      <c r="J166">
        <v>2050</v>
      </c>
      <c r="K166" s="38" t="str">
        <f t="shared" si="19"/>
        <v>*0.49</v>
      </c>
      <c r="P166" s="32" t="s">
        <v>233</v>
      </c>
      <c r="Q166" s="42" t="s">
        <v>57</v>
      </c>
      <c r="R166" s="32">
        <v>2035</v>
      </c>
      <c r="S166" s="43" t="str">
        <f t="shared" si="20"/>
        <v>*0.59</v>
      </c>
      <c r="U166" s="32" t="s">
        <v>233</v>
      </c>
      <c r="V166" s="42" t="s">
        <v>57</v>
      </c>
      <c r="W166" s="32">
        <v>2050</v>
      </c>
      <c r="X166" s="43" t="str">
        <f t="shared" si="21"/>
        <v>*0.47</v>
      </c>
      <c r="AC166" s="33" t="s">
        <v>233</v>
      </c>
      <c r="AD166" s="44" t="s">
        <v>57</v>
      </c>
      <c r="AE166" s="33">
        <v>2035</v>
      </c>
      <c r="AF166" s="45" t="str">
        <f t="shared" si="22"/>
        <v>*0.54</v>
      </c>
      <c r="AG166" s="43" t="str">
        <f t="shared" si="24"/>
        <v>REZoning_Sol-Win</v>
      </c>
      <c r="AI166" s="33" t="s">
        <v>233</v>
      </c>
      <c r="AJ166" s="44" t="s">
        <v>57</v>
      </c>
      <c r="AK166" s="33">
        <v>2050</v>
      </c>
      <c r="AL166" s="45" t="str">
        <f t="shared" si="23"/>
        <v>*0.44</v>
      </c>
      <c r="AM166" s="43" t="str">
        <f t="shared" si="25"/>
        <v>REZoning_Sol-Win</v>
      </c>
      <c r="AP166" t="s">
        <v>233</v>
      </c>
      <c r="AQ166" t="s">
        <v>57</v>
      </c>
      <c r="AR166">
        <v>2100</v>
      </c>
      <c r="AS166" t="s">
        <v>171</v>
      </c>
      <c r="AT166" t="s">
        <v>58</v>
      </c>
    </row>
    <row r="167" ht="29" spans="1:46">
      <c r="A167" s="31" t="s">
        <v>169</v>
      </c>
      <c r="C167" t="s">
        <v>234</v>
      </c>
      <c r="D167" s="5" t="s">
        <v>57</v>
      </c>
      <c r="E167">
        <v>2035</v>
      </c>
      <c r="F167" s="6" t="str">
        <f t="shared" si="18"/>
        <v>*0.61</v>
      </c>
      <c r="H167" t="s">
        <v>234</v>
      </c>
      <c r="I167" s="5" t="s">
        <v>57</v>
      </c>
      <c r="J167">
        <v>2050</v>
      </c>
      <c r="K167" s="38" t="str">
        <f t="shared" si="19"/>
        <v>*0.49</v>
      </c>
      <c r="P167" s="32" t="s">
        <v>234</v>
      </c>
      <c r="Q167" s="42" t="s">
        <v>57</v>
      </c>
      <c r="R167" s="32">
        <v>2035</v>
      </c>
      <c r="S167" s="43" t="str">
        <f t="shared" si="20"/>
        <v>*0.59</v>
      </c>
      <c r="U167" s="32" t="s">
        <v>234</v>
      </c>
      <c r="V167" s="42" t="s">
        <v>57</v>
      </c>
      <c r="W167" s="32">
        <v>2050</v>
      </c>
      <c r="X167" s="43" t="str">
        <f t="shared" si="21"/>
        <v>*0.47</v>
      </c>
      <c r="AC167" s="33" t="s">
        <v>234</v>
      </c>
      <c r="AD167" s="44" t="s">
        <v>57</v>
      </c>
      <c r="AE167" s="33">
        <v>2035</v>
      </c>
      <c r="AF167" s="45" t="str">
        <f t="shared" si="22"/>
        <v>*0.54</v>
      </c>
      <c r="AG167" s="43" t="str">
        <f t="shared" si="24"/>
        <v>REZoning_Sol-Win</v>
      </c>
      <c r="AI167" s="33" t="s">
        <v>234</v>
      </c>
      <c r="AJ167" s="44" t="s">
        <v>57</v>
      </c>
      <c r="AK167" s="33">
        <v>2050</v>
      </c>
      <c r="AL167" s="45" t="str">
        <f t="shared" si="23"/>
        <v>*0.44</v>
      </c>
      <c r="AM167" s="43" t="str">
        <f t="shared" si="25"/>
        <v>REZoning_Sol-Win</v>
      </c>
      <c r="AP167" t="s">
        <v>234</v>
      </c>
      <c r="AQ167" t="s">
        <v>57</v>
      </c>
      <c r="AR167">
        <v>2100</v>
      </c>
      <c r="AS167" t="s">
        <v>171</v>
      </c>
      <c r="AT167" t="s">
        <v>58</v>
      </c>
    </row>
    <row r="168" ht="29" spans="1:46">
      <c r="A168" s="31" t="s">
        <v>169</v>
      </c>
      <c r="C168" t="s">
        <v>235</v>
      </c>
      <c r="D168" s="5" t="s">
        <v>57</v>
      </c>
      <c r="E168">
        <v>2035</v>
      </c>
      <c r="F168" s="6" t="str">
        <f t="shared" si="18"/>
        <v>*0.61</v>
      </c>
      <c r="H168" t="s">
        <v>235</v>
      </c>
      <c r="I168" s="5" t="s">
        <v>57</v>
      </c>
      <c r="J168">
        <v>2050</v>
      </c>
      <c r="K168" s="38" t="str">
        <f t="shared" si="19"/>
        <v>*0.49</v>
      </c>
      <c r="P168" s="32" t="s">
        <v>235</v>
      </c>
      <c r="Q168" s="42" t="s">
        <v>57</v>
      </c>
      <c r="R168" s="32">
        <v>2035</v>
      </c>
      <c r="S168" s="43" t="str">
        <f t="shared" si="20"/>
        <v>*0.59</v>
      </c>
      <c r="U168" s="32" t="s">
        <v>235</v>
      </c>
      <c r="V168" s="42" t="s">
        <v>57</v>
      </c>
      <c r="W168" s="32">
        <v>2050</v>
      </c>
      <c r="X168" s="43" t="str">
        <f t="shared" si="21"/>
        <v>*0.47</v>
      </c>
      <c r="AC168" s="33" t="s">
        <v>235</v>
      </c>
      <c r="AD168" s="44" t="s">
        <v>57</v>
      </c>
      <c r="AE168" s="33">
        <v>2035</v>
      </c>
      <c r="AF168" s="45" t="str">
        <f t="shared" si="22"/>
        <v>*0.54</v>
      </c>
      <c r="AG168" s="43" t="str">
        <f t="shared" si="24"/>
        <v>REZoning_Sol-Win</v>
      </c>
      <c r="AI168" s="33" t="s">
        <v>235</v>
      </c>
      <c r="AJ168" s="44" t="s">
        <v>57</v>
      </c>
      <c r="AK168" s="33">
        <v>2050</v>
      </c>
      <c r="AL168" s="45" t="str">
        <f t="shared" si="23"/>
        <v>*0.44</v>
      </c>
      <c r="AM168" s="43" t="str">
        <f t="shared" si="25"/>
        <v>REZoning_Sol-Win</v>
      </c>
      <c r="AP168" t="s">
        <v>235</v>
      </c>
      <c r="AQ168" t="s">
        <v>57</v>
      </c>
      <c r="AR168">
        <v>2100</v>
      </c>
      <c r="AS168" t="s">
        <v>171</v>
      </c>
      <c r="AT168" t="s">
        <v>58</v>
      </c>
    </row>
    <row r="169" ht="29" spans="1:46">
      <c r="A169" s="31" t="s">
        <v>169</v>
      </c>
      <c r="C169" t="s">
        <v>236</v>
      </c>
      <c r="D169" s="5" t="s">
        <v>57</v>
      </c>
      <c r="E169">
        <v>2035</v>
      </c>
      <c r="F169" s="6" t="str">
        <f t="shared" si="18"/>
        <v>*0.61</v>
      </c>
      <c r="H169" t="s">
        <v>236</v>
      </c>
      <c r="I169" s="5" t="s">
        <v>57</v>
      </c>
      <c r="J169">
        <v>2050</v>
      </c>
      <c r="K169" s="38" t="str">
        <f t="shared" si="19"/>
        <v>*0.49</v>
      </c>
      <c r="P169" s="32" t="s">
        <v>236</v>
      </c>
      <c r="Q169" s="42" t="s">
        <v>57</v>
      </c>
      <c r="R169" s="32">
        <v>2035</v>
      </c>
      <c r="S169" s="43" t="str">
        <f t="shared" si="20"/>
        <v>*0.59</v>
      </c>
      <c r="U169" s="32" t="s">
        <v>236</v>
      </c>
      <c r="V169" s="42" t="s">
        <v>57</v>
      </c>
      <c r="W169" s="32">
        <v>2050</v>
      </c>
      <c r="X169" s="43" t="str">
        <f t="shared" si="21"/>
        <v>*0.47</v>
      </c>
      <c r="AC169" s="33" t="s">
        <v>236</v>
      </c>
      <c r="AD169" s="44" t="s">
        <v>57</v>
      </c>
      <c r="AE169" s="33">
        <v>2035</v>
      </c>
      <c r="AF169" s="45" t="str">
        <f t="shared" si="22"/>
        <v>*0.54</v>
      </c>
      <c r="AG169" s="43" t="str">
        <f t="shared" si="24"/>
        <v>REZoning_Sol-Win</v>
      </c>
      <c r="AI169" s="33" t="s">
        <v>236</v>
      </c>
      <c r="AJ169" s="44" t="s">
        <v>57</v>
      </c>
      <c r="AK169" s="33">
        <v>2050</v>
      </c>
      <c r="AL169" s="45" t="str">
        <f t="shared" si="23"/>
        <v>*0.44</v>
      </c>
      <c r="AM169" s="43" t="str">
        <f t="shared" si="25"/>
        <v>REZoning_Sol-Win</v>
      </c>
      <c r="AP169" t="s">
        <v>236</v>
      </c>
      <c r="AQ169" t="s">
        <v>57</v>
      </c>
      <c r="AR169">
        <v>2100</v>
      </c>
      <c r="AS169" t="s">
        <v>171</v>
      </c>
      <c r="AT169" t="s">
        <v>58</v>
      </c>
    </row>
    <row r="170" ht="29" spans="1:46">
      <c r="A170" s="31" t="s">
        <v>169</v>
      </c>
      <c r="C170" t="s">
        <v>237</v>
      </c>
      <c r="D170" s="5" t="s">
        <v>57</v>
      </c>
      <c r="E170">
        <v>2035</v>
      </c>
      <c r="F170" s="6" t="str">
        <f t="shared" si="18"/>
        <v>*0.61</v>
      </c>
      <c r="H170" t="s">
        <v>237</v>
      </c>
      <c r="I170" s="5" t="s">
        <v>57</v>
      </c>
      <c r="J170">
        <v>2050</v>
      </c>
      <c r="K170" s="38" t="str">
        <f t="shared" si="19"/>
        <v>*0.49</v>
      </c>
      <c r="P170" s="32" t="s">
        <v>237</v>
      </c>
      <c r="Q170" s="42" t="s">
        <v>57</v>
      </c>
      <c r="R170" s="32">
        <v>2035</v>
      </c>
      <c r="S170" s="43" t="str">
        <f t="shared" si="20"/>
        <v>*0.59</v>
      </c>
      <c r="U170" s="32" t="s">
        <v>237</v>
      </c>
      <c r="V170" s="42" t="s">
        <v>57</v>
      </c>
      <c r="W170" s="32">
        <v>2050</v>
      </c>
      <c r="X170" s="43" t="str">
        <f t="shared" si="21"/>
        <v>*0.47</v>
      </c>
      <c r="AC170" s="33" t="s">
        <v>237</v>
      </c>
      <c r="AD170" s="44" t="s">
        <v>57</v>
      </c>
      <c r="AE170" s="33">
        <v>2035</v>
      </c>
      <c r="AF170" s="45" t="str">
        <f t="shared" si="22"/>
        <v>*0.54</v>
      </c>
      <c r="AG170" s="43" t="str">
        <f t="shared" si="24"/>
        <v>REZoning_Sol-Win</v>
      </c>
      <c r="AI170" s="33" t="s">
        <v>237</v>
      </c>
      <c r="AJ170" s="44" t="s">
        <v>57</v>
      </c>
      <c r="AK170" s="33">
        <v>2050</v>
      </c>
      <c r="AL170" s="45" t="str">
        <f t="shared" si="23"/>
        <v>*0.44</v>
      </c>
      <c r="AM170" s="43" t="str">
        <f t="shared" si="25"/>
        <v>REZoning_Sol-Win</v>
      </c>
      <c r="AP170" t="s">
        <v>237</v>
      </c>
      <c r="AQ170" t="s">
        <v>57</v>
      </c>
      <c r="AR170">
        <v>2100</v>
      </c>
      <c r="AS170" t="s">
        <v>171</v>
      </c>
      <c r="AT170" t="s">
        <v>58</v>
      </c>
    </row>
    <row r="171" ht="29" spans="1:46">
      <c r="A171" s="31" t="s">
        <v>169</v>
      </c>
      <c r="C171" t="s">
        <v>238</v>
      </c>
      <c r="D171" s="5" t="s">
        <v>57</v>
      </c>
      <c r="E171">
        <v>2035</v>
      </c>
      <c r="F171" s="6" t="str">
        <f t="shared" si="18"/>
        <v>*0.61</v>
      </c>
      <c r="H171" t="s">
        <v>238</v>
      </c>
      <c r="I171" s="5" t="s">
        <v>57</v>
      </c>
      <c r="J171">
        <v>2050</v>
      </c>
      <c r="K171" s="38" t="str">
        <f t="shared" si="19"/>
        <v>*0.49</v>
      </c>
      <c r="P171" s="32" t="s">
        <v>238</v>
      </c>
      <c r="Q171" s="42" t="s">
        <v>57</v>
      </c>
      <c r="R171" s="32">
        <v>2035</v>
      </c>
      <c r="S171" s="43" t="str">
        <f t="shared" si="20"/>
        <v>*0.59</v>
      </c>
      <c r="U171" s="32" t="s">
        <v>238</v>
      </c>
      <c r="V171" s="42" t="s">
        <v>57</v>
      </c>
      <c r="W171" s="32">
        <v>2050</v>
      </c>
      <c r="X171" s="43" t="str">
        <f t="shared" si="21"/>
        <v>*0.47</v>
      </c>
      <c r="AC171" s="33" t="s">
        <v>238</v>
      </c>
      <c r="AD171" s="44" t="s">
        <v>57</v>
      </c>
      <c r="AE171" s="33">
        <v>2035</v>
      </c>
      <c r="AF171" s="45" t="str">
        <f t="shared" si="22"/>
        <v>*0.54</v>
      </c>
      <c r="AG171" s="43" t="str">
        <f t="shared" si="24"/>
        <v>REZoning_Sol-Win</v>
      </c>
      <c r="AI171" s="33" t="s">
        <v>238</v>
      </c>
      <c r="AJ171" s="44" t="s">
        <v>57</v>
      </c>
      <c r="AK171" s="33">
        <v>2050</v>
      </c>
      <c r="AL171" s="45" t="str">
        <f t="shared" si="23"/>
        <v>*0.44</v>
      </c>
      <c r="AM171" s="43" t="str">
        <f t="shared" si="25"/>
        <v>REZoning_Sol-Win</v>
      </c>
      <c r="AP171" t="s">
        <v>238</v>
      </c>
      <c r="AQ171" t="s">
        <v>57</v>
      </c>
      <c r="AR171">
        <v>2100</v>
      </c>
      <c r="AS171" t="s">
        <v>171</v>
      </c>
      <c r="AT171" t="s">
        <v>58</v>
      </c>
    </row>
    <row r="172" ht="29" spans="1:46">
      <c r="A172" s="31" t="s">
        <v>169</v>
      </c>
      <c r="C172" t="s">
        <v>239</v>
      </c>
      <c r="D172" s="5" t="s">
        <v>57</v>
      </c>
      <c r="E172">
        <v>2035</v>
      </c>
      <c r="F172" s="6" t="str">
        <f t="shared" si="18"/>
        <v>*0.61</v>
      </c>
      <c r="H172" t="s">
        <v>239</v>
      </c>
      <c r="I172" s="5" t="s">
        <v>57</v>
      </c>
      <c r="J172">
        <v>2050</v>
      </c>
      <c r="K172" s="38" t="str">
        <f t="shared" si="19"/>
        <v>*0.49</v>
      </c>
      <c r="P172" s="32" t="s">
        <v>239</v>
      </c>
      <c r="Q172" s="42" t="s">
        <v>57</v>
      </c>
      <c r="R172" s="32">
        <v>2035</v>
      </c>
      <c r="S172" s="43" t="str">
        <f t="shared" si="20"/>
        <v>*0.59</v>
      </c>
      <c r="U172" s="32" t="s">
        <v>239</v>
      </c>
      <c r="V172" s="42" t="s">
        <v>57</v>
      </c>
      <c r="W172" s="32">
        <v>2050</v>
      </c>
      <c r="X172" s="43" t="str">
        <f t="shared" si="21"/>
        <v>*0.47</v>
      </c>
      <c r="AC172" s="33" t="s">
        <v>239</v>
      </c>
      <c r="AD172" s="44" t="s">
        <v>57</v>
      </c>
      <c r="AE172" s="33">
        <v>2035</v>
      </c>
      <c r="AF172" s="45" t="str">
        <f t="shared" si="22"/>
        <v>*0.54</v>
      </c>
      <c r="AG172" s="43" t="str">
        <f t="shared" si="24"/>
        <v>REZoning_Sol-Win</v>
      </c>
      <c r="AI172" s="33" t="s">
        <v>239</v>
      </c>
      <c r="AJ172" s="44" t="s">
        <v>57</v>
      </c>
      <c r="AK172" s="33">
        <v>2050</v>
      </c>
      <c r="AL172" s="45" t="str">
        <f t="shared" si="23"/>
        <v>*0.44</v>
      </c>
      <c r="AM172" s="43" t="str">
        <f t="shared" si="25"/>
        <v>REZoning_Sol-Win</v>
      </c>
      <c r="AP172" t="s">
        <v>239</v>
      </c>
      <c r="AQ172" t="s">
        <v>57</v>
      </c>
      <c r="AR172">
        <v>2100</v>
      </c>
      <c r="AS172" t="s">
        <v>171</v>
      </c>
      <c r="AT172" t="s">
        <v>58</v>
      </c>
    </row>
    <row r="173" ht="29" spans="1:46">
      <c r="A173" s="31" t="s">
        <v>169</v>
      </c>
      <c r="C173" t="s">
        <v>240</v>
      </c>
      <c r="D173" s="5" t="s">
        <v>57</v>
      </c>
      <c r="E173">
        <v>2035</v>
      </c>
      <c r="F173" s="6" t="str">
        <f t="shared" si="18"/>
        <v>*0.61</v>
      </c>
      <c r="H173" t="s">
        <v>240</v>
      </c>
      <c r="I173" s="5" t="s">
        <v>57</v>
      </c>
      <c r="J173">
        <v>2050</v>
      </c>
      <c r="K173" s="38" t="str">
        <f t="shared" si="19"/>
        <v>*0.49</v>
      </c>
      <c r="P173" s="32" t="s">
        <v>240</v>
      </c>
      <c r="Q173" s="42" t="s">
        <v>57</v>
      </c>
      <c r="R173" s="32">
        <v>2035</v>
      </c>
      <c r="S173" s="43" t="str">
        <f t="shared" si="20"/>
        <v>*0.59</v>
      </c>
      <c r="U173" s="32" t="s">
        <v>240</v>
      </c>
      <c r="V173" s="42" t="s">
        <v>57</v>
      </c>
      <c r="W173" s="32">
        <v>2050</v>
      </c>
      <c r="X173" s="43" t="str">
        <f t="shared" si="21"/>
        <v>*0.47</v>
      </c>
      <c r="AC173" s="33" t="s">
        <v>240</v>
      </c>
      <c r="AD173" s="44" t="s">
        <v>57</v>
      </c>
      <c r="AE173" s="33">
        <v>2035</v>
      </c>
      <c r="AF173" s="45" t="str">
        <f t="shared" si="22"/>
        <v>*0.54</v>
      </c>
      <c r="AG173" s="43" t="str">
        <f t="shared" si="24"/>
        <v>REZoning_Sol-Win</v>
      </c>
      <c r="AI173" s="33" t="s">
        <v>240</v>
      </c>
      <c r="AJ173" s="44" t="s">
        <v>57</v>
      </c>
      <c r="AK173" s="33">
        <v>2050</v>
      </c>
      <c r="AL173" s="45" t="str">
        <f t="shared" si="23"/>
        <v>*0.44</v>
      </c>
      <c r="AM173" s="43" t="str">
        <f t="shared" si="25"/>
        <v>REZoning_Sol-Win</v>
      </c>
      <c r="AP173" t="s">
        <v>240</v>
      </c>
      <c r="AQ173" t="s">
        <v>57</v>
      </c>
      <c r="AR173">
        <v>2100</v>
      </c>
      <c r="AS173" t="s">
        <v>171</v>
      </c>
      <c r="AT173" t="s">
        <v>58</v>
      </c>
    </row>
    <row r="174" ht="29" spans="1:46">
      <c r="A174" s="31" t="s">
        <v>169</v>
      </c>
      <c r="C174" s="46" t="s">
        <v>241</v>
      </c>
      <c r="D174" s="5" t="s">
        <v>57</v>
      </c>
      <c r="E174">
        <v>2035</v>
      </c>
      <c r="F174" s="6" t="str">
        <f t="shared" si="18"/>
        <v>*0.61</v>
      </c>
      <c r="H174" s="46" t="s">
        <v>241</v>
      </c>
      <c r="I174" s="5" t="s">
        <v>57</v>
      </c>
      <c r="J174">
        <v>2050</v>
      </c>
      <c r="K174" s="38" t="str">
        <f t="shared" si="19"/>
        <v>*0.49</v>
      </c>
      <c r="P174" s="32" t="s">
        <v>241</v>
      </c>
      <c r="Q174" s="42" t="s">
        <v>57</v>
      </c>
      <c r="R174" s="32">
        <v>2035</v>
      </c>
      <c r="S174" s="43" t="str">
        <f t="shared" si="20"/>
        <v>*0.59</v>
      </c>
      <c r="U174" s="32" t="s">
        <v>241</v>
      </c>
      <c r="V174" s="42" t="s">
        <v>57</v>
      </c>
      <c r="W174" s="32">
        <v>2050</v>
      </c>
      <c r="X174" s="43" t="str">
        <f t="shared" si="21"/>
        <v>*0.47</v>
      </c>
      <c r="AC174" s="33" t="s">
        <v>241</v>
      </c>
      <c r="AD174" s="44" t="s">
        <v>57</v>
      </c>
      <c r="AE174" s="33">
        <v>2035</v>
      </c>
      <c r="AF174" s="45" t="str">
        <f t="shared" si="22"/>
        <v>*0.54</v>
      </c>
      <c r="AG174" s="43" t="str">
        <f t="shared" si="24"/>
        <v>REZoning_Sol-Win</v>
      </c>
      <c r="AI174" s="33" t="s">
        <v>241</v>
      </c>
      <c r="AJ174" s="44" t="s">
        <v>57</v>
      </c>
      <c r="AK174" s="33">
        <v>2050</v>
      </c>
      <c r="AL174" s="45" t="str">
        <f t="shared" si="23"/>
        <v>*0.44</v>
      </c>
      <c r="AM174" s="43" t="str">
        <f t="shared" si="25"/>
        <v>REZoning_Sol-Win</v>
      </c>
      <c r="AP174" t="s">
        <v>241</v>
      </c>
      <c r="AQ174" t="s">
        <v>57</v>
      </c>
      <c r="AR174">
        <v>2100</v>
      </c>
      <c r="AS174" t="s">
        <v>171</v>
      </c>
      <c r="AT174" t="s">
        <v>58</v>
      </c>
    </row>
    <row r="175" ht="29" spans="1:46">
      <c r="A175" s="31" t="s">
        <v>169</v>
      </c>
      <c r="C175" t="s">
        <v>242</v>
      </c>
      <c r="D175" s="5" t="s">
        <v>57</v>
      </c>
      <c r="E175">
        <v>2035</v>
      </c>
      <c r="F175" s="6" t="str">
        <f t="shared" si="18"/>
        <v>*0.61</v>
      </c>
      <c r="H175" t="s">
        <v>242</v>
      </c>
      <c r="I175" s="5" t="s">
        <v>57</v>
      </c>
      <c r="J175">
        <v>2050</v>
      </c>
      <c r="K175" s="38" t="str">
        <f t="shared" si="19"/>
        <v>*0.49</v>
      </c>
      <c r="P175" s="32" t="s">
        <v>242</v>
      </c>
      <c r="Q175" s="42" t="s">
        <v>57</v>
      </c>
      <c r="R175" s="32">
        <v>2035</v>
      </c>
      <c r="S175" s="43" t="str">
        <f t="shared" si="20"/>
        <v>*0.59</v>
      </c>
      <c r="U175" s="32" t="s">
        <v>242</v>
      </c>
      <c r="V175" s="42" t="s">
        <v>57</v>
      </c>
      <c r="W175" s="32">
        <v>2050</v>
      </c>
      <c r="X175" s="43" t="str">
        <f t="shared" si="21"/>
        <v>*0.47</v>
      </c>
      <c r="AC175" s="33" t="s">
        <v>242</v>
      </c>
      <c r="AD175" s="44" t="s">
        <v>57</v>
      </c>
      <c r="AE175" s="33">
        <v>2035</v>
      </c>
      <c r="AF175" s="45" t="str">
        <f t="shared" si="22"/>
        <v>*0.54</v>
      </c>
      <c r="AG175" s="43" t="str">
        <f t="shared" si="24"/>
        <v>REZoning_Sol-Win</v>
      </c>
      <c r="AI175" s="33" t="s">
        <v>242</v>
      </c>
      <c r="AJ175" s="44" t="s">
        <v>57</v>
      </c>
      <c r="AK175" s="33">
        <v>2050</v>
      </c>
      <c r="AL175" s="45" t="str">
        <f t="shared" si="23"/>
        <v>*0.44</v>
      </c>
      <c r="AM175" s="43" t="str">
        <f t="shared" si="25"/>
        <v>REZoning_Sol-Win</v>
      </c>
      <c r="AP175" t="s">
        <v>242</v>
      </c>
      <c r="AQ175" t="s">
        <v>57</v>
      </c>
      <c r="AR175">
        <v>2100</v>
      </c>
      <c r="AS175" t="s">
        <v>171</v>
      </c>
      <c r="AT175" t="s">
        <v>58</v>
      </c>
    </row>
    <row r="176" ht="29" spans="1:46">
      <c r="A176" s="31" t="s">
        <v>169</v>
      </c>
      <c r="C176" t="s">
        <v>243</v>
      </c>
      <c r="D176" s="5" t="s">
        <v>57</v>
      </c>
      <c r="E176">
        <v>2035</v>
      </c>
      <c r="F176" s="6" t="str">
        <f t="shared" si="18"/>
        <v>*0.61</v>
      </c>
      <c r="H176" t="s">
        <v>243</v>
      </c>
      <c r="I176" s="5" t="s">
        <v>57</v>
      </c>
      <c r="J176">
        <v>2050</v>
      </c>
      <c r="K176" s="38" t="str">
        <f t="shared" si="19"/>
        <v>*0.49</v>
      </c>
      <c r="P176" s="32" t="s">
        <v>243</v>
      </c>
      <c r="Q176" s="42" t="s">
        <v>57</v>
      </c>
      <c r="R176" s="32">
        <v>2035</v>
      </c>
      <c r="S176" s="43" t="str">
        <f t="shared" si="20"/>
        <v>*0.59</v>
      </c>
      <c r="U176" s="32" t="s">
        <v>243</v>
      </c>
      <c r="V176" s="42" t="s">
        <v>57</v>
      </c>
      <c r="W176" s="32">
        <v>2050</v>
      </c>
      <c r="X176" s="43" t="str">
        <f t="shared" si="21"/>
        <v>*0.47</v>
      </c>
      <c r="AC176" s="33" t="s">
        <v>243</v>
      </c>
      <c r="AD176" s="44" t="s">
        <v>57</v>
      </c>
      <c r="AE176" s="33">
        <v>2035</v>
      </c>
      <c r="AF176" s="45" t="str">
        <f t="shared" si="22"/>
        <v>*0.54</v>
      </c>
      <c r="AG176" s="43" t="str">
        <f t="shared" si="24"/>
        <v>REZoning_Sol-Win</v>
      </c>
      <c r="AI176" s="33" t="s">
        <v>243</v>
      </c>
      <c r="AJ176" s="44" t="s">
        <v>57</v>
      </c>
      <c r="AK176" s="33">
        <v>2050</v>
      </c>
      <c r="AL176" s="45" t="str">
        <f t="shared" si="23"/>
        <v>*0.44</v>
      </c>
      <c r="AM176" s="43" t="str">
        <f t="shared" si="25"/>
        <v>REZoning_Sol-Win</v>
      </c>
      <c r="AP176" t="s">
        <v>243</v>
      </c>
      <c r="AQ176" t="s">
        <v>57</v>
      </c>
      <c r="AR176">
        <v>2100</v>
      </c>
      <c r="AS176" t="s">
        <v>171</v>
      </c>
      <c r="AT176" t="s">
        <v>58</v>
      </c>
    </row>
    <row r="177" ht="29" spans="1:46">
      <c r="A177" s="31" t="s">
        <v>169</v>
      </c>
      <c r="C177" t="s">
        <v>244</v>
      </c>
      <c r="D177" s="5" t="s">
        <v>57</v>
      </c>
      <c r="E177">
        <v>2035</v>
      </c>
      <c r="F177" s="6" t="str">
        <f t="shared" si="18"/>
        <v>*0.61</v>
      </c>
      <c r="H177" t="s">
        <v>244</v>
      </c>
      <c r="I177" s="5" t="s">
        <v>57</v>
      </c>
      <c r="J177">
        <v>2050</v>
      </c>
      <c r="K177" s="38" t="str">
        <f t="shared" si="19"/>
        <v>*0.49</v>
      </c>
      <c r="P177" s="32" t="s">
        <v>244</v>
      </c>
      <c r="Q177" s="42" t="s">
        <v>57</v>
      </c>
      <c r="R177" s="32">
        <v>2035</v>
      </c>
      <c r="S177" s="43" t="str">
        <f t="shared" si="20"/>
        <v>*0.59</v>
      </c>
      <c r="U177" s="32" t="s">
        <v>244</v>
      </c>
      <c r="V177" s="42" t="s">
        <v>57</v>
      </c>
      <c r="W177" s="32">
        <v>2050</v>
      </c>
      <c r="X177" s="43" t="str">
        <f t="shared" si="21"/>
        <v>*0.47</v>
      </c>
      <c r="AC177" s="33" t="s">
        <v>244</v>
      </c>
      <c r="AD177" s="44" t="s">
        <v>57</v>
      </c>
      <c r="AE177" s="33">
        <v>2035</v>
      </c>
      <c r="AF177" s="45" t="str">
        <f t="shared" si="22"/>
        <v>*0.54</v>
      </c>
      <c r="AG177" s="43" t="str">
        <f t="shared" si="24"/>
        <v>REZoning_Sol-Win</v>
      </c>
      <c r="AI177" s="33" t="s">
        <v>244</v>
      </c>
      <c r="AJ177" s="44" t="s">
        <v>57</v>
      </c>
      <c r="AK177" s="33">
        <v>2050</v>
      </c>
      <c r="AL177" s="45" t="str">
        <f t="shared" si="23"/>
        <v>*0.44</v>
      </c>
      <c r="AM177" s="43" t="str">
        <f t="shared" si="25"/>
        <v>REZoning_Sol-Win</v>
      </c>
      <c r="AP177" t="s">
        <v>244</v>
      </c>
      <c r="AQ177" t="s">
        <v>57</v>
      </c>
      <c r="AR177">
        <v>2100</v>
      </c>
      <c r="AS177" t="s">
        <v>171</v>
      </c>
      <c r="AT177" t="s">
        <v>58</v>
      </c>
    </row>
    <row r="178" ht="29" spans="1:46">
      <c r="A178" s="31" t="s">
        <v>169</v>
      </c>
      <c r="C178" t="s">
        <v>245</v>
      </c>
      <c r="D178" s="5" t="s">
        <v>57</v>
      </c>
      <c r="E178">
        <v>2035</v>
      </c>
      <c r="F178" s="6" t="str">
        <f t="shared" si="18"/>
        <v>*0.61</v>
      </c>
      <c r="H178" t="s">
        <v>245</v>
      </c>
      <c r="I178" s="5" t="s">
        <v>57</v>
      </c>
      <c r="J178">
        <v>2050</v>
      </c>
      <c r="K178" s="38" t="str">
        <f t="shared" si="19"/>
        <v>*0.49</v>
      </c>
      <c r="P178" s="32" t="s">
        <v>245</v>
      </c>
      <c r="Q178" s="42" t="s">
        <v>57</v>
      </c>
      <c r="R178" s="32">
        <v>2035</v>
      </c>
      <c r="S178" s="43" t="str">
        <f t="shared" si="20"/>
        <v>*0.59</v>
      </c>
      <c r="U178" s="32" t="s">
        <v>245</v>
      </c>
      <c r="V178" s="42" t="s">
        <v>57</v>
      </c>
      <c r="W178" s="32">
        <v>2050</v>
      </c>
      <c r="X178" s="43" t="str">
        <f t="shared" si="21"/>
        <v>*0.47</v>
      </c>
      <c r="AC178" s="33" t="s">
        <v>245</v>
      </c>
      <c r="AD178" s="44" t="s">
        <v>57</v>
      </c>
      <c r="AE178" s="33">
        <v>2035</v>
      </c>
      <c r="AF178" s="45" t="str">
        <f t="shared" si="22"/>
        <v>*0.54</v>
      </c>
      <c r="AG178" s="43" t="str">
        <f t="shared" si="24"/>
        <v>REZoning_Sol-Win</v>
      </c>
      <c r="AI178" s="33" t="s">
        <v>245</v>
      </c>
      <c r="AJ178" s="44" t="s">
        <v>57</v>
      </c>
      <c r="AK178" s="33">
        <v>2050</v>
      </c>
      <c r="AL178" s="45" t="str">
        <f t="shared" si="23"/>
        <v>*0.44</v>
      </c>
      <c r="AM178" s="43" t="str">
        <f t="shared" si="25"/>
        <v>REZoning_Sol-Win</v>
      </c>
      <c r="AP178" t="s">
        <v>245</v>
      </c>
      <c r="AQ178" t="s">
        <v>57</v>
      </c>
      <c r="AR178">
        <v>2100</v>
      </c>
      <c r="AS178" t="s">
        <v>171</v>
      </c>
      <c r="AT178" t="s">
        <v>58</v>
      </c>
    </row>
    <row r="179" ht="29" spans="1:46">
      <c r="A179" s="31" t="s">
        <v>169</v>
      </c>
      <c r="C179" t="s">
        <v>246</v>
      </c>
      <c r="D179" s="5" t="s">
        <v>57</v>
      </c>
      <c r="E179">
        <v>2035</v>
      </c>
      <c r="F179" s="6" t="str">
        <f t="shared" si="18"/>
        <v>*0.61</v>
      </c>
      <c r="H179" t="s">
        <v>246</v>
      </c>
      <c r="I179" s="5" t="s">
        <v>57</v>
      </c>
      <c r="J179">
        <v>2050</v>
      </c>
      <c r="K179" s="38" t="str">
        <f t="shared" si="19"/>
        <v>*0.49</v>
      </c>
      <c r="P179" s="32" t="s">
        <v>246</v>
      </c>
      <c r="Q179" s="42" t="s">
        <v>57</v>
      </c>
      <c r="R179" s="32">
        <v>2035</v>
      </c>
      <c r="S179" s="43" t="str">
        <f t="shared" si="20"/>
        <v>*0.59</v>
      </c>
      <c r="U179" s="32" t="s">
        <v>246</v>
      </c>
      <c r="V179" s="42" t="s">
        <v>57</v>
      </c>
      <c r="W179" s="32">
        <v>2050</v>
      </c>
      <c r="X179" s="43" t="str">
        <f t="shared" si="21"/>
        <v>*0.47</v>
      </c>
      <c r="AC179" s="33" t="s">
        <v>246</v>
      </c>
      <c r="AD179" s="44" t="s">
        <v>57</v>
      </c>
      <c r="AE179" s="33">
        <v>2035</v>
      </c>
      <c r="AF179" s="45" t="str">
        <f t="shared" si="22"/>
        <v>*0.54</v>
      </c>
      <c r="AG179" s="43" t="str">
        <f t="shared" si="24"/>
        <v>REZoning_Sol-Win</v>
      </c>
      <c r="AI179" s="33" t="s">
        <v>246</v>
      </c>
      <c r="AJ179" s="44" t="s">
        <v>57</v>
      </c>
      <c r="AK179" s="33">
        <v>2050</v>
      </c>
      <c r="AL179" s="45" t="str">
        <f t="shared" si="23"/>
        <v>*0.44</v>
      </c>
      <c r="AM179" s="43" t="str">
        <f t="shared" si="25"/>
        <v>REZoning_Sol-Win</v>
      </c>
      <c r="AP179" t="s">
        <v>246</v>
      </c>
      <c r="AQ179" t="s">
        <v>57</v>
      </c>
      <c r="AR179">
        <v>2100</v>
      </c>
      <c r="AS179" t="s">
        <v>171</v>
      </c>
      <c r="AT179" t="s">
        <v>58</v>
      </c>
    </row>
    <row r="180" ht="29" spans="1:46">
      <c r="A180" s="31" t="s">
        <v>169</v>
      </c>
      <c r="C180" t="s">
        <v>247</v>
      </c>
      <c r="D180" s="5" t="s">
        <v>57</v>
      </c>
      <c r="E180">
        <v>2035</v>
      </c>
      <c r="F180" s="6" t="str">
        <f t="shared" si="18"/>
        <v>*0.61</v>
      </c>
      <c r="H180" t="s">
        <v>247</v>
      </c>
      <c r="I180" s="5" t="s">
        <v>57</v>
      </c>
      <c r="J180">
        <v>2050</v>
      </c>
      <c r="K180" s="38" t="str">
        <f t="shared" si="19"/>
        <v>*0.49</v>
      </c>
      <c r="P180" s="32" t="s">
        <v>247</v>
      </c>
      <c r="Q180" s="42" t="s">
        <v>57</v>
      </c>
      <c r="R180" s="32">
        <v>2035</v>
      </c>
      <c r="S180" s="43" t="str">
        <f t="shared" si="20"/>
        <v>*0.59</v>
      </c>
      <c r="U180" s="32" t="s">
        <v>247</v>
      </c>
      <c r="V180" s="42" t="s">
        <v>57</v>
      </c>
      <c r="W180" s="32">
        <v>2050</v>
      </c>
      <c r="X180" s="43" t="str">
        <f t="shared" si="21"/>
        <v>*0.47</v>
      </c>
      <c r="AC180" s="33" t="s">
        <v>247</v>
      </c>
      <c r="AD180" s="44" t="s">
        <v>57</v>
      </c>
      <c r="AE180" s="33">
        <v>2035</v>
      </c>
      <c r="AF180" s="45" t="str">
        <f t="shared" si="22"/>
        <v>*0.54</v>
      </c>
      <c r="AG180" s="43" t="str">
        <f t="shared" si="24"/>
        <v>REZoning_Sol-Win</v>
      </c>
      <c r="AI180" s="33" t="s">
        <v>247</v>
      </c>
      <c r="AJ180" s="44" t="s">
        <v>57</v>
      </c>
      <c r="AK180" s="33">
        <v>2050</v>
      </c>
      <c r="AL180" s="45" t="str">
        <f t="shared" si="23"/>
        <v>*0.44</v>
      </c>
      <c r="AM180" s="43" t="str">
        <f t="shared" si="25"/>
        <v>REZoning_Sol-Win</v>
      </c>
      <c r="AP180" t="s">
        <v>247</v>
      </c>
      <c r="AQ180" t="s">
        <v>57</v>
      </c>
      <c r="AR180">
        <v>2100</v>
      </c>
      <c r="AS180" t="s">
        <v>171</v>
      </c>
      <c r="AT180" t="s">
        <v>58</v>
      </c>
    </row>
    <row r="181" ht="29" spans="1:46">
      <c r="A181" s="31" t="s">
        <v>169</v>
      </c>
      <c r="C181" t="s">
        <v>248</v>
      </c>
      <c r="D181" s="5" t="s">
        <v>57</v>
      </c>
      <c r="E181">
        <v>2035</v>
      </c>
      <c r="F181" s="6" t="str">
        <f t="shared" si="18"/>
        <v>*0.61</v>
      </c>
      <c r="H181" t="s">
        <v>248</v>
      </c>
      <c r="I181" s="5" t="s">
        <v>57</v>
      </c>
      <c r="J181">
        <v>2050</v>
      </c>
      <c r="K181" s="38" t="str">
        <f t="shared" si="19"/>
        <v>*0.49</v>
      </c>
      <c r="P181" s="32" t="s">
        <v>248</v>
      </c>
      <c r="Q181" s="42" t="s">
        <v>57</v>
      </c>
      <c r="R181" s="32">
        <v>2035</v>
      </c>
      <c r="S181" s="43" t="str">
        <f t="shared" si="20"/>
        <v>*0.59</v>
      </c>
      <c r="U181" s="32" t="s">
        <v>248</v>
      </c>
      <c r="V181" s="42" t="s">
        <v>57</v>
      </c>
      <c r="W181" s="32">
        <v>2050</v>
      </c>
      <c r="X181" s="43" t="str">
        <f t="shared" si="21"/>
        <v>*0.47</v>
      </c>
      <c r="AC181" s="33" t="s">
        <v>248</v>
      </c>
      <c r="AD181" s="44" t="s">
        <v>57</v>
      </c>
      <c r="AE181" s="33">
        <v>2035</v>
      </c>
      <c r="AF181" s="45" t="str">
        <f t="shared" si="22"/>
        <v>*0.54</v>
      </c>
      <c r="AG181" s="43" t="str">
        <f t="shared" si="24"/>
        <v>REZoning_Sol-Win</v>
      </c>
      <c r="AI181" s="33" t="s">
        <v>248</v>
      </c>
      <c r="AJ181" s="44" t="s">
        <v>57</v>
      </c>
      <c r="AK181" s="33">
        <v>2050</v>
      </c>
      <c r="AL181" s="45" t="str">
        <f t="shared" si="23"/>
        <v>*0.44</v>
      </c>
      <c r="AM181" s="43" t="str">
        <f t="shared" si="25"/>
        <v>REZoning_Sol-Win</v>
      </c>
      <c r="AP181" t="s">
        <v>248</v>
      </c>
      <c r="AQ181" t="s">
        <v>57</v>
      </c>
      <c r="AR181">
        <v>2100</v>
      </c>
      <c r="AS181" t="s">
        <v>171</v>
      </c>
      <c r="AT181" t="s">
        <v>58</v>
      </c>
    </row>
    <row r="182" ht="29" spans="1:46">
      <c r="A182" s="31" t="s">
        <v>65</v>
      </c>
      <c r="C182" t="s">
        <v>249</v>
      </c>
      <c r="D182" s="5" t="s">
        <v>57</v>
      </c>
      <c r="E182">
        <v>2035</v>
      </c>
      <c r="F182" s="6" t="str">
        <f t="shared" si="18"/>
        <v>*0.61</v>
      </c>
      <c r="H182" t="s">
        <v>249</v>
      </c>
      <c r="I182" s="5" t="s">
        <v>57</v>
      </c>
      <c r="J182">
        <v>2050</v>
      </c>
      <c r="K182" s="38" t="str">
        <f t="shared" si="19"/>
        <v>*0.5</v>
      </c>
      <c r="P182" s="32" t="s">
        <v>249</v>
      </c>
      <c r="Q182" s="42" t="s">
        <v>57</v>
      </c>
      <c r="R182" s="32">
        <v>2035</v>
      </c>
      <c r="S182" s="43" t="str">
        <f t="shared" si="20"/>
        <v>*0.58</v>
      </c>
      <c r="U182" s="32" t="s">
        <v>249</v>
      </c>
      <c r="V182" s="42" t="s">
        <v>57</v>
      </c>
      <c r="W182" s="32">
        <v>2050</v>
      </c>
      <c r="X182" s="43" t="str">
        <f t="shared" si="21"/>
        <v>*0.47</v>
      </c>
      <c r="AC182" s="33" t="s">
        <v>249</v>
      </c>
      <c r="AD182" s="44" t="s">
        <v>57</v>
      </c>
      <c r="AE182" s="33">
        <v>2035</v>
      </c>
      <c r="AF182" s="45" t="str">
        <f t="shared" si="22"/>
        <v>*0.53</v>
      </c>
      <c r="AG182" s="43" t="str">
        <f t="shared" si="24"/>
        <v>REZoning_Sol-Win</v>
      </c>
      <c r="AI182" s="33" t="s">
        <v>249</v>
      </c>
      <c r="AJ182" s="44" t="s">
        <v>57</v>
      </c>
      <c r="AK182" s="33">
        <v>2050</v>
      </c>
      <c r="AL182" s="45" t="str">
        <f t="shared" si="23"/>
        <v>*0.41</v>
      </c>
      <c r="AM182" s="43" t="str">
        <f t="shared" si="25"/>
        <v>REZoning_Sol-Win</v>
      </c>
      <c r="AP182" t="s">
        <v>249</v>
      </c>
      <c r="AQ182" t="s">
        <v>57</v>
      </c>
      <c r="AR182">
        <v>2100</v>
      </c>
      <c r="AS182" t="s">
        <v>67</v>
      </c>
      <c r="AT182" t="s">
        <v>58</v>
      </c>
    </row>
    <row r="183" ht="29" spans="1:46">
      <c r="A183" s="31" t="s">
        <v>65</v>
      </c>
      <c r="C183" t="s">
        <v>250</v>
      </c>
      <c r="D183" s="5" t="s">
        <v>57</v>
      </c>
      <c r="E183">
        <v>2035</v>
      </c>
      <c r="F183" s="6" t="str">
        <f t="shared" si="18"/>
        <v>*0.61</v>
      </c>
      <c r="H183" t="s">
        <v>250</v>
      </c>
      <c r="I183" s="5" t="s">
        <v>57</v>
      </c>
      <c r="J183">
        <v>2050</v>
      </c>
      <c r="K183" s="38" t="str">
        <f t="shared" si="19"/>
        <v>*0.5</v>
      </c>
      <c r="P183" s="32" t="s">
        <v>250</v>
      </c>
      <c r="Q183" s="42" t="s">
        <v>57</v>
      </c>
      <c r="R183" s="32">
        <v>2035</v>
      </c>
      <c r="S183" s="43" t="str">
        <f t="shared" si="20"/>
        <v>*0.58</v>
      </c>
      <c r="U183" s="32" t="s">
        <v>250</v>
      </c>
      <c r="V183" s="42" t="s">
        <v>57</v>
      </c>
      <c r="W183" s="32">
        <v>2050</v>
      </c>
      <c r="X183" s="43" t="str">
        <f t="shared" si="21"/>
        <v>*0.47</v>
      </c>
      <c r="AC183" s="33" t="s">
        <v>250</v>
      </c>
      <c r="AD183" s="44" t="s">
        <v>57</v>
      </c>
      <c r="AE183" s="33">
        <v>2035</v>
      </c>
      <c r="AF183" s="45" t="str">
        <f t="shared" si="22"/>
        <v>*0.53</v>
      </c>
      <c r="AG183" s="43" t="str">
        <f t="shared" si="24"/>
        <v>REZoning_Sol-Win</v>
      </c>
      <c r="AI183" s="33" t="s">
        <v>250</v>
      </c>
      <c r="AJ183" s="44" t="s">
        <v>57</v>
      </c>
      <c r="AK183" s="33">
        <v>2050</v>
      </c>
      <c r="AL183" s="45" t="str">
        <f t="shared" si="23"/>
        <v>*0.41</v>
      </c>
      <c r="AM183" s="43" t="str">
        <f t="shared" si="25"/>
        <v>REZoning_Sol-Win</v>
      </c>
      <c r="AP183" t="s">
        <v>250</v>
      </c>
      <c r="AQ183" t="s">
        <v>57</v>
      </c>
      <c r="AR183">
        <v>2100</v>
      </c>
      <c r="AS183" t="s">
        <v>67</v>
      </c>
      <c r="AT183" t="s">
        <v>58</v>
      </c>
    </row>
    <row r="184" ht="29" spans="1:46">
      <c r="A184" s="31" t="s">
        <v>65</v>
      </c>
      <c r="C184" t="s">
        <v>251</v>
      </c>
      <c r="D184" s="5" t="s">
        <v>57</v>
      </c>
      <c r="E184">
        <v>2035</v>
      </c>
      <c r="F184" s="6" t="str">
        <f t="shared" si="18"/>
        <v>*0.61</v>
      </c>
      <c r="H184" t="s">
        <v>251</v>
      </c>
      <c r="I184" s="5" t="s">
        <v>57</v>
      </c>
      <c r="J184">
        <v>2050</v>
      </c>
      <c r="K184" s="38" t="str">
        <f t="shared" si="19"/>
        <v>*0.5</v>
      </c>
      <c r="P184" s="32" t="s">
        <v>251</v>
      </c>
      <c r="Q184" s="42" t="s">
        <v>57</v>
      </c>
      <c r="R184" s="32">
        <v>2035</v>
      </c>
      <c r="S184" s="43" t="str">
        <f t="shared" si="20"/>
        <v>*0.58</v>
      </c>
      <c r="U184" s="32" t="s">
        <v>251</v>
      </c>
      <c r="V184" s="42" t="s">
        <v>57</v>
      </c>
      <c r="W184" s="32">
        <v>2050</v>
      </c>
      <c r="X184" s="43" t="str">
        <f t="shared" si="21"/>
        <v>*0.47</v>
      </c>
      <c r="AC184" s="33" t="s">
        <v>251</v>
      </c>
      <c r="AD184" s="44" t="s">
        <v>57</v>
      </c>
      <c r="AE184" s="33">
        <v>2035</v>
      </c>
      <c r="AF184" s="45" t="str">
        <f t="shared" si="22"/>
        <v>*0.53</v>
      </c>
      <c r="AG184" s="43" t="str">
        <f t="shared" si="24"/>
        <v>REZoning_Sol-Win</v>
      </c>
      <c r="AI184" s="33" t="s">
        <v>251</v>
      </c>
      <c r="AJ184" s="44" t="s">
        <v>57</v>
      </c>
      <c r="AK184" s="33">
        <v>2050</v>
      </c>
      <c r="AL184" s="45" t="str">
        <f t="shared" si="23"/>
        <v>*0.41</v>
      </c>
      <c r="AM184" s="43" t="str">
        <f t="shared" si="25"/>
        <v>REZoning_Sol-Win</v>
      </c>
      <c r="AP184" t="s">
        <v>251</v>
      </c>
      <c r="AQ184" t="s">
        <v>57</v>
      </c>
      <c r="AR184">
        <v>2100</v>
      </c>
      <c r="AS184" t="s">
        <v>67</v>
      </c>
      <c r="AT184" t="s">
        <v>58</v>
      </c>
    </row>
    <row r="185" ht="29" spans="1:46">
      <c r="A185" s="31" t="s">
        <v>65</v>
      </c>
      <c r="C185" t="s">
        <v>252</v>
      </c>
      <c r="D185" s="5" t="s">
        <v>57</v>
      </c>
      <c r="E185">
        <v>2035</v>
      </c>
      <c r="F185" s="6" t="str">
        <f t="shared" si="18"/>
        <v>*0.61</v>
      </c>
      <c r="H185" t="s">
        <v>252</v>
      </c>
      <c r="I185" s="5" t="s">
        <v>57</v>
      </c>
      <c r="J185">
        <v>2050</v>
      </c>
      <c r="K185" s="38" t="str">
        <f t="shared" si="19"/>
        <v>*0.5</v>
      </c>
      <c r="P185" s="32" t="s">
        <v>252</v>
      </c>
      <c r="Q185" s="42" t="s">
        <v>57</v>
      </c>
      <c r="R185" s="32">
        <v>2035</v>
      </c>
      <c r="S185" s="43" t="str">
        <f t="shared" si="20"/>
        <v>*0.58</v>
      </c>
      <c r="U185" s="32" t="s">
        <v>252</v>
      </c>
      <c r="V185" s="42" t="s">
        <v>57</v>
      </c>
      <c r="W185" s="32">
        <v>2050</v>
      </c>
      <c r="X185" s="43" t="str">
        <f t="shared" si="21"/>
        <v>*0.47</v>
      </c>
      <c r="AC185" s="33" t="s">
        <v>252</v>
      </c>
      <c r="AD185" s="44" t="s">
        <v>57</v>
      </c>
      <c r="AE185" s="33">
        <v>2035</v>
      </c>
      <c r="AF185" s="45" t="str">
        <f t="shared" si="22"/>
        <v>*0.53</v>
      </c>
      <c r="AG185" s="43" t="str">
        <f t="shared" si="24"/>
        <v>REZoning_Sol-Win</v>
      </c>
      <c r="AI185" s="33" t="s">
        <v>252</v>
      </c>
      <c r="AJ185" s="44" t="s">
        <v>57</v>
      </c>
      <c r="AK185" s="33">
        <v>2050</v>
      </c>
      <c r="AL185" s="45" t="str">
        <f t="shared" si="23"/>
        <v>*0.41</v>
      </c>
      <c r="AM185" s="43" t="str">
        <f t="shared" si="25"/>
        <v>REZoning_Sol-Win</v>
      </c>
      <c r="AP185" t="s">
        <v>252</v>
      </c>
      <c r="AQ185" t="s">
        <v>57</v>
      </c>
      <c r="AR185">
        <v>2100</v>
      </c>
      <c r="AS185" t="s">
        <v>67</v>
      </c>
      <c r="AT185" t="s">
        <v>58</v>
      </c>
    </row>
    <row r="186" ht="29" spans="1:46">
      <c r="A186" s="31" t="s">
        <v>65</v>
      </c>
      <c r="C186" t="s">
        <v>253</v>
      </c>
      <c r="D186" s="5" t="s">
        <v>57</v>
      </c>
      <c r="E186">
        <v>2035</v>
      </c>
      <c r="F186" s="6" t="str">
        <f t="shared" si="18"/>
        <v>*0.61</v>
      </c>
      <c r="H186" t="s">
        <v>253</v>
      </c>
      <c r="I186" s="5" t="s">
        <v>57</v>
      </c>
      <c r="J186">
        <v>2050</v>
      </c>
      <c r="K186" s="38" t="str">
        <f t="shared" si="19"/>
        <v>*0.5</v>
      </c>
      <c r="P186" s="32" t="s">
        <v>253</v>
      </c>
      <c r="Q186" s="42" t="s">
        <v>57</v>
      </c>
      <c r="R186" s="32">
        <v>2035</v>
      </c>
      <c r="S186" s="43" t="str">
        <f t="shared" si="20"/>
        <v>*0.58</v>
      </c>
      <c r="U186" s="32" t="s">
        <v>253</v>
      </c>
      <c r="V186" s="42" t="s">
        <v>57</v>
      </c>
      <c r="W186" s="32">
        <v>2050</v>
      </c>
      <c r="X186" s="43" t="str">
        <f t="shared" si="21"/>
        <v>*0.47</v>
      </c>
      <c r="AC186" s="33" t="s">
        <v>253</v>
      </c>
      <c r="AD186" s="44" t="s">
        <v>57</v>
      </c>
      <c r="AE186" s="33">
        <v>2035</v>
      </c>
      <c r="AF186" s="45" t="str">
        <f t="shared" si="22"/>
        <v>*0.53</v>
      </c>
      <c r="AG186" s="43" t="str">
        <f t="shared" si="24"/>
        <v>REZoning_Sol-Win</v>
      </c>
      <c r="AI186" s="33" t="s">
        <v>253</v>
      </c>
      <c r="AJ186" s="44" t="s">
        <v>57</v>
      </c>
      <c r="AK186" s="33">
        <v>2050</v>
      </c>
      <c r="AL186" s="45" t="str">
        <f t="shared" si="23"/>
        <v>*0.41</v>
      </c>
      <c r="AM186" s="43" t="str">
        <f t="shared" si="25"/>
        <v>REZoning_Sol-Win</v>
      </c>
      <c r="AP186" t="s">
        <v>253</v>
      </c>
      <c r="AQ186" t="s">
        <v>57</v>
      </c>
      <c r="AR186">
        <v>2100</v>
      </c>
      <c r="AS186" t="s">
        <v>67</v>
      </c>
      <c r="AT186" t="s">
        <v>58</v>
      </c>
    </row>
    <row r="187" ht="29" spans="1:46">
      <c r="A187" s="31" t="s">
        <v>65</v>
      </c>
      <c r="C187" t="s">
        <v>254</v>
      </c>
      <c r="D187" s="5" t="s">
        <v>57</v>
      </c>
      <c r="E187">
        <v>2035</v>
      </c>
      <c r="F187" s="6" t="str">
        <f t="shared" si="18"/>
        <v>*0.61</v>
      </c>
      <c r="H187" t="s">
        <v>254</v>
      </c>
      <c r="I187" s="5" t="s">
        <v>57</v>
      </c>
      <c r="J187">
        <v>2050</v>
      </c>
      <c r="K187" s="38" t="str">
        <f t="shared" si="19"/>
        <v>*0.5</v>
      </c>
      <c r="P187" s="32" t="s">
        <v>254</v>
      </c>
      <c r="Q187" s="42" t="s">
        <v>57</v>
      </c>
      <c r="R187" s="32">
        <v>2035</v>
      </c>
      <c r="S187" s="43" t="str">
        <f t="shared" si="20"/>
        <v>*0.58</v>
      </c>
      <c r="U187" s="32" t="s">
        <v>254</v>
      </c>
      <c r="V187" s="42" t="s">
        <v>57</v>
      </c>
      <c r="W187" s="32">
        <v>2050</v>
      </c>
      <c r="X187" s="43" t="str">
        <f t="shared" si="21"/>
        <v>*0.47</v>
      </c>
      <c r="AC187" s="33" t="s">
        <v>254</v>
      </c>
      <c r="AD187" s="44" t="s">
        <v>57</v>
      </c>
      <c r="AE187" s="33">
        <v>2035</v>
      </c>
      <c r="AF187" s="45" t="str">
        <f t="shared" si="22"/>
        <v>*0.53</v>
      </c>
      <c r="AG187" s="43" t="str">
        <f t="shared" si="24"/>
        <v>REZoning_Sol-Win</v>
      </c>
      <c r="AI187" s="33" t="s">
        <v>254</v>
      </c>
      <c r="AJ187" s="44" t="s">
        <v>57</v>
      </c>
      <c r="AK187" s="33">
        <v>2050</v>
      </c>
      <c r="AL187" s="45" t="str">
        <f t="shared" si="23"/>
        <v>*0.41</v>
      </c>
      <c r="AM187" s="43" t="str">
        <f t="shared" si="25"/>
        <v>REZoning_Sol-Win</v>
      </c>
      <c r="AP187" t="s">
        <v>254</v>
      </c>
      <c r="AQ187" t="s">
        <v>57</v>
      </c>
      <c r="AR187">
        <v>2100</v>
      </c>
      <c r="AS187" t="s">
        <v>67</v>
      </c>
      <c r="AT187" t="s">
        <v>58</v>
      </c>
    </row>
    <row r="188" ht="29" spans="1:46">
      <c r="A188" s="31" t="s">
        <v>65</v>
      </c>
      <c r="C188" t="s">
        <v>255</v>
      </c>
      <c r="D188" s="5" t="s">
        <v>57</v>
      </c>
      <c r="E188">
        <v>2035</v>
      </c>
      <c r="F188" s="6" t="str">
        <f t="shared" si="18"/>
        <v>*0.61</v>
      </c>
      <c r="H188" t="s">
        <v>255</v>
      </c>
      <c r="I188" s="5" t="s">
        <v>57</v>
      </c>
      <c r="J188">
        <v>2050</v>
      </c>
      <c r="K188" s="38" t="str">
        <f t="shared" si="19"/>
        <v>*0.5</v>
      </c>
      <c r="P188" s="32" t="s">
        <v>255</v>
      </c>
      <c r="Q188" s="42" t="s">
        <v>57</v>
      </c>
      <c r="R188" s="32">
        <v>2035</v>
      </c>
      <c r="S188" s="43" t="str">
        <f t="shared" si="20"/>
        <v>*0.58</v>
      </c>
      <c r="U188" s="32" t="s">
        <v>255</v>
      </c>
      <c r="V188" s="42" t="s">
        <v>57</v>
      </c>
      <c r="W188" s="32">
        <v>2050</v>
      </c>
      <c r="X188" s="43" t="str">
        <f t="shared" si="21"/>
        <v>*0.47</v>
      </c>
      <c r="AC188" s="33" t="s">
        <v>255</v>
      </c>
      <c r="AD188" s="44" t="s">
        <v>57</v>
      </c>
      <c r="AE188" s="33">
        <v>2035</v>
      </c>
      <c r="AF188" s="45" t="str">
        <f t="shared" si="22"/>
        <v>*0.53</v>
      </c>
      <c r="AG188" s="43" t="str">
        <f t="shared" si="24"/>
        <v>REZoning_Sol-Win</v>
      </c>
      <c r="AI188" s="33" t="s">
        <v>255</v>
      </c>
      <c r="AJ188" s="44" t="s">
        <v>57</v>
      </c>
      <c r="AK188" s="33">
        <v>2050</v>
      </c>
      <c r="AL188" s="45" t="str">
        <f t="shared" si="23"/>
        <v>*0.41</v>
      </c>
      <c r="AM188" s="43" t="str">
        <f t="shared" si="25"/>
        <v>REZoning_Sol-Win</v>
      </c>
      <c r="AP188" t="s">
        <v>255</v>
      </c>
      <c r="AQ188" t="s">
        <v>57</v>
      </c>
      <c r="AR188">
        <v>2100</v>
      </c>
      <c r="AS188" t="s">
        <v>67</v>
      </c>
      <c r="AT188" t="s">
        <v>58</v>
      </c>
    </row>
    <row r="189" ht="29" spans="1:46">
      <c r="A189" s="31" t="s">
        <v>65</v>
      </c>
      <c r="C189" t="s">
        <v>256</v>
      </c>
      <c r="D189" s="5" t="s">
        <v>57</v>
      </c>
      <c r="E189">
        <v>2035</v>
      </c>
      <c r="F189" s="6" t="str">
        <f t="shared" si="18"/>
        <v>*0.61</v>
      </c>
      <c r="H189" t="s">
        <v>256</v>
      </c>
      <c r="I189" s="5" t="s">
        <v>57</v>
      </c>
      <c r="J189">
        <v>2050</v>
      </c>
      <c r="K189" s="38" t="str">
        <f t="shared" si="19"/>
        <v>*0.5</v>
      </c>
      <c r="P189" s="32" t="s">
        <v>256</v>
      </c>
      <c r="Q189" s="42" t="s">
        <v>57</v>
      </c>
      <c r="R189" s="32">
        <v>2035</v>
      </c>
      <c r="S189" s="43" t="str">
        <f t="shared" si="20"/>
        <v>*0.58</v>
      </c>
      <c r="U189" s="32" t="s">
        <v>256</v>
      </c>
      <c r="V189" s="42" t="s">
        <v>57</v>
      </c>
      <c r="W189" s="32">
        <v>2050</v>
      </c>
      <c r="X189" s="43" t="str">
        <f t="shared" si="21"/>
        <v>*0.47</v>
      </c>
      <c r="AC189" s="33" t="s">
        <v>256</v>
      </c>
      <c r="AD189" s="44" t="s">
        <v>57</v>
      </c>
      <c r="AE189" s="33">
        <v>2035</v>
      </c>
      <c r="AF189" s="45" t="str">
        <f t="shared" si="22"/>
        <v>*0.53</v>
      </c>
      <c r="AG189" s="43" t="str">
        <f t="shared" si="24"/>
        <v>REZoning_Sol-Win</v>
      </c>
      <c r="AI189" s="33" t="s">
        <v>256</v>
      </c>
      <c r="AJ189" s="44" t="s">
        <v>57</v>
      </c>
      <c r="AK189" s="33">
        <v>2050</v>
      </c>
      <c r="AL189" s="45" t="str">
        <f t="shared" si="23"/>
        <v>*0.41</v>
      </c>
      <c r="AM189" s="43" t="str">
        <f t="shared" si="25"/>
        <v>REZoning_Sol-Win</v>
      </c>
      <c r="AP189" t="s">
        <v>256</v>
      </c>
      <c r="AQ189" t="s">
        <v>57</v>
      </c>
      <c r="AR189">
        <v>2100</v>
      </c>
      <c r="AS189" t="s">
        <v>67</v>
      </c>
      <c r="AT189" t="s">
        <v>58</v>
      </c>
    </row>
    <row r="190" ht="29" spans="1:46">
      <c r="A190" s="31" t="s">
        <v>65</v>
      </c>
      <c r="C190" t="s">
        <v>257</v>
      </c>
      <c r="D190" s="5" t="s">
        <v>57</v>
      </c>
      <c r="E190">
        <v>2035</v>
      </c>
      <c r="F190" s="6" t="str">
        <f t="shared" si="18"/>
        <v>*0.61</v>
      </c>
      <c r="H190" t="s">
        <v>257</v>
      </c>
      <c r="I190" s="5" t="s">
        <v>57</v>
      </c>
      <c r="J190">
        <v>2050</v>
      </c>
      <c r="K190" s="38" t="str">
        <f t="shared" si="19"/>
        <v>*0.5</v>
      </c>
      <c r="P190" s="32" t="s">
        <v>257</v>
      </c>
      <c r="Q190" s="42" t="s">
        <v>57</v>
      </c>
      <c r="R190" s="32">
        <v>2035</v>
      </c>
      <c r="S190" s="43" t="str">
        <f t="shared" si="20"/>
        <v>*0.58</v>
      </c>
      <c r="U190" s="32" t="s">
        <v>257</v>
      </c>
      <c r="V190" s="42" t="s">
        <v>57</v>
      </c>
      <c r="W190" s="32">
        <v>2050</v>
      </c>
      <c r="X190" s="43" t="str">
        <f t="shared" si="21"/>
        <v>*0.47</v>
      </c>
      <c r="AC190" s="33" t="s">
        <v>257</v>
      </c>
      <c r="AD190" s="44" t="s">
        <v>57</v>
      </c>
      <c r="AE190" s="33">
        <v>2035</v>
      </c>
      <c r="AF190" s="45" t="str">
        <f t="shared" si="22"/>
        <v>*0.53</v>
      </c>
      <c r="AG190" s="43" t="str">
        <f t="shared" si="24"/>
        <v>REZoning_Sol-Win</v>
      </c>
      <c r="AI190" s="33" t="s">
        <v>257</v>
      </c>
      <c r="AJ190" s="44" t="s">
        <v>57</v>
      </c>
      <c r="AK190" s="33">
        <v>2050</v>
      </c>
      <c r="AL190" s="45" t="str">
        <f t="shared" si="23"/>
        <v>*0.41</v>
      </c>
      <c r="AM190" s="43" t="str">
        <f t="shared" si="25"/>
        <v>REZoning_Sol-Win</v>
      </c>
      <c r="AP190" t="s">
        <v>257</v>
      </c>
      <c r="AQ190" t="s">
        <v>57</v>
      </c>
      <c r="AR190">
        <v>2100</v>
      </c>
      <c r="AS190" t="s">
        <v>67</v>
      </c>
      <c r="AT190" t="s">
        <v>58</v>
      </c>
    </row>
    <row r="191" ht="29" spans="1:46">
      <c r="A191" s="31" t="s">
        <v>65</v>
      </c>
      <c r="C191" t="s">
        <v>258</v>
      </c>
      <c r="D191" s="5" t="s">
        <v>57</v>
      </c>
      <c r="E191">
        <v>2035</v>
      </c>
      <c r="F191" s="6" t="str">
        <f t="shared" si="18"/>
        <v>*0.61</v>
      </c>
      <c r="H191" t="s">
        <v>258</v>
      </c>
      <c r="I191" s="5" t="s">
        <v>57</v>
      </c>
      <c r="J191">
        <v>2050</v>
      </c>
      <c r="K191" s="38" t="str">
        <f t="shared" si="19"/>
        <v>*0.5</v>
      </c>
      <c r="P191" s="32" t="s">
        <v>258</v>
      </c>
      <c r="Q191" s="42" t="s">
        <v>57</v>
      </c>
      <c r="R191" s="32">
        <v>2035</v>
      </c>
      <c r="S191" s="43" t="str">
        <f t="shared" si="20"/>
        <v>*0.58</v>
      </c>
      <c r="U191" s="32" t="s">
        <v>258</v>
      </c>
      <c r="V191" s="42" t="s">
        <v>57</v>
      </c>
      <c r="W191" s="32">
        <v>2050</v>
      </c>
      <c r="X191" s="43" t="str">
        <f t="shared" si="21"/>
        <v>*0.47</v>
      </c>
      <c r="AC191" s="33" t="s">
        <v>258</v>
      </c>
      <c r="AD191" s="44" t="s">
        <v>57</v>
      </c>
      <c r="AE191" s="33">
        <v>2035</v>
      </c>
      <c r="AF191" s="45" t="str">
        <f t="shared" si="22"/>
        <v>*0.53</v>
      </c>
      <c r="AG191" s="43" t="str">
        <f t="shared" si="24"/>
        <v>REZoning_Sol-Win</v>
      </c>
      <c r="AI191" s="33" t="s">
        <v>258</v>
      </c>
      <c r="AJ191" s="44" t="s">
        <v>57</v>
      </c>
      <c r="AK191" s="33">
        <v>2050</v>
      </c>
      <c r="AL191" s="45" t="str">
        <f t="shared" si="23"/>
        <v>*0.41</v>
      </c>
      <c r="AM191" s="43" t="str">
        <f t="shared" si="25"/>
        <v>REZoning_Sol-Win</v>
      </c>
      <c r="AP191" t="s">
        <v>258</v>
      </c>
      <c r="AQ191" t="s">
        <v>57</v>
      </c>
      <c r="AR191">
        <v>2100</v>
      </c>
      <c r="AS191" t="s">
        <v>67</v>
      </c>
      <c r="AT191" t="s">
        <v>58</v>
      </c>
    </row>
    <row r="192" ht="29" spans="1:46">
      <c r="A192" s="31" t="s">
        <v>65</v>
      </c>
      <c r="C192" t="s">
        <v>259</v>
      </c>
      <c r="D192" s="5" t="s">
        <v>57</v>
      </c>
      <c r="E192">
        <v>2035</v>
      </c>
      <c r="F192" s="6" t="str">
        <f t="shared" si="18"/>
        <v>*0.61</v>
      </c>
      <c r="H192" t="s">
        <v>259</v>
      </c>
      <c r="I192" s="5" t="s">
        <v>57</v>
      </c>
      <c r="J192">
        <v>2050</v>
      </c>
      <c r="K192" s="38" t="str">
        <f t="shared" si="19"/>
        <v>*0.5</v>
      </c>
      <c r="P192" s="32" t="s">
        <v>259</v>
      </c>
      <c r="Q192" s="42" t="s">
        <v>57</v>
      </c>
      <c r="R192" s="32">
        <v>2035</v>
      </c>
      <c r="S192" s="43" t="str">
        <f t="shared" si="20"/>
        <v>*0.58</v>
      </c>
      <c r="U192" s="32" t="s">
        <v>259</v>
      </c>
      <c r="V192" s="42" t="s">
        <v>57</v>
      </c>
      <c r="W192" s="32">
        <v>2050</v>
      </c>
      <c r="X192" s="43" t="str">
        <f t="shared" si="21"/>
        <v>*0.47</v>
      </c>
      <c r="AC192" s="33" t="s">
        <v>259</v>
      </c>
      <c r="AD192" s="44" t="s">
        <v>57</v>
      </c>
      <c r="AE192" s="33">
        <v>2035</v>
      </c>
      <c r="AF192" s="45" t="str">
        <f t="shared" si="22"/>
        <v>*0.53</v>
      </c>
      <c r="AG192" s="43" t="str">
        <f t="shared" si="24"/>
        <v>REZoning_Sol-Win</v>
      </c>
      <c r="AI192" s="33" t="s">
        <v>259</v>
      </c>
      <c r="AJ192" s="44" t="s">
        <v>57</v>
      </c>
      <c r="AK192" s="33">
        <v>2050</v>
      </c>
      <c r="AL192" s="45" t="str">
        <f t="shared" si="23"/>
        <v>*0.41</v>
      </c>
      <c r="AM192" s="43" t="str">
        <f t="shared" si="25"/>
        <v>REZoning_Sol-Win</v>
      </c>
      <c r="AP192" t="s">
        <v>259</v>
      </c>
      <c r="AQ192" t="s">
        <v>57</v>
      </c>
      <c r="AR192">
        <v>2100</v>
      </c>
      <c r="AS192" t="s">
        <v>67</v>
      </c>
      <c r="AT192" t="s">
        <v>58</v>
      </c>
    </row>
    <row r="193" ht="29" spans="1:46">
      <c r="A193" s="31" t="s">
        <v>65</v>
      </c>
      <c r="C193" t="s">
        <v>260</v>
      </c>
      <c r="D193" s="5" t="s">
        <v>57</v>
      </c>
      <c r="E193">
        <v>2035</v>
      </c>
      <c r="F193" s="6" t="str">
        <f t="shared" si="18"/>
        <v>*0.61</v>
      </c>
      <c r="H193" t="s">
        <v>260</v>
      </c>
      <c r="I193" s="5" t="s">
        <v>57</v>
      </c>
      <c r="J193">
        <v>2050</v>
      </c>
      <c r="K193" s="38" t="str">
        <f t="shared" si="19"/>
        <v>*0.5</v>
      </c>
      <c r="P193" s="32" t="s">
        <v>260</v>
      </c>
      <c r="Q193" s="42" t="s">
        <v>57</v>
      </c>
      <c r="R193" s="32">
        <v>2035</v>
      </c>
      <c r="S193" s="43" t="str">
        <f t="shared" si="20"/>
        <v>*0.58</v>
      </c>
      <c r="U193" s="32" t="s">
        <v>260</v>
      </c>
      <c r="V193" s="42" t="s">
        <v>57</v>
      </c>
      <c r="W193" s="32">
        <v>2050</v>
      </c>
      <c r="X193" s="43" t="str">
        <f t="shared" si="21"/>
        <v>*0.47</v>
      </c>
      <c r="AC193" s="33" t="s">
        <v>260</v>
      </c>
      <c r="AD193" s="44" t="s">
        <v>57</v>
      </c>
      <c r="AE193" s="33">
        <v>2035</v>
      </c>
      <c r="AF193" s="45" t="str">
        <f t="shared" si="22"/>
        <v>*0.53</v>
      </c>
      <c r="AG193" s="43" t="str">
        <f t="shared" si="24"/>
        <v>REZoning_Sol-Win</v>
      </c>
      <c r="AI193" s="33" t="s">
        <v>260</v>
      </c>
      <c r="AJ193" s="44" t="s">
        <v>57</v>
      </c>
      <c r="AK193" s="33">
        <v>2050</v>
      </c>
      <c r="AL193" s="45" t="str">
        <f t="shared" si="23"/>
        <v>*0.41</v>
      </c>
      <c r="AM193" s="43" t="str">
        <f t="shared" si="25"/>
        <v>REZoning_Sol-Win</v>
      </c>
      <c r="AP193" t="s">
        <v>260</v>
      </c>
      <c r="AQ193" t="s">
        <v>57</v>
      </c>
      <c r="AR193">
        <v>2100</v>
      </c>
      <c r="AS193" t="s">
        <v>67</v>
      </c>
      <c r="AT193" t="s">
        <v>58</v>
      </c>
    </row>
    <row r="194" ht="29" spans="1:46">
      <c r="A194" s="31" t="s">
        <v>65</v>
      </c>
      <c r="C194" t="s">
        <v>261</v>
      </c>
      <c r="D194" s="5" t="s">
        <v>57</v>
      </c>
      <c r="E194">
        <v>2035</v>
      </c>
      <c r="F194" s="6" t="str">
        <f t="shared" si="18"/>
        <v>*0.61</v>
      </c>
      <c r="H194" t="s">
        <v>261</v>
      </c>
      <c r="I194" s="5" t="s">
        <v>57</v>
      </c>
      <c r="J194">
        <v>2050</v>
      </c>
      <c r="K194" s="38" t="str">
        <f t="shared" si="19"/>
        <v>*0.5</v>
      </c>
      <c r="P194" s="32" t="s">
        <v>261</v>
      </c>
      <c r="Q194" s="42" t="s">
        <v>57</v>
      </c>
      <c r="R194" s="32">
        <v>2035</v>
      </c>
      <c r="S194" s="43" t="str">
        <f t="shared" si="20"/>
        <v>*0.58</v>
      </c>
      <c r="U194" s="32" t="s">
        <v>261</v>
      </c>
      <c r="V194" s="42" t="s">
        <v>57</v>
      </c>
      <c r="W194" s="32">
        <v>2050</v>
      </c>
      <c r="X194" s="43" t="str">
        <f t="shared" si="21"/>
        <v>*0.47</v>
      </c>
      <c r="AC194" s="33" t="s">
        <v>261</v>
      </c>
      <c r="AD194" s="44" t="s">
        <v>57</v>
      </c>
      <c r="AE194" s="33">
        <v>2035</v>
      </c>
      <c r="AF194" s="45" t="str">
        <f t="shared" si="22"/>
        <v>*0.53</v>
      </c>
      <c r="AG194" s="43" t="str">
        <f t="shared" si="24"/>
        <v>REZoning_Sol-Win</v>
      </c>
      <c r="AI194" s="33" t="s">
        <v>261</v>
      </c>
      <c r="AJ194" s="44" t="s">
        <v>57</v>
      </c>
      <c r="AK194" s="33">
        <v>2050</v>
      </c>
      <c r="AL194" s="45" t="str">
        <f t="shared" si="23"/>
        <v>*0.41</v>
      </c>
      <c r="AM194" s="43" t="str">
        <f t="shared" si="25"/>
        <v>REZoning_Sol-Win</v>
      </c>
      <c r="AP194" t="s">
        <v>261</v>
      </c>
      <c r="AQ194" t="s">
        <v>57</v>
      </c>
      <c r="AR194">
        <v>2100</v>
      </c>
      <c r="AS194" t="s">
        <v>67</v>
      </c>
      <c r="AT194" t="s">
        <v>58</v>
      </c>
    </row>
    <row r="195" ht="29" spans="1:46">
      <c r="A195" s="31" t="s">
        <v>65</v>
      </c>
      <c r="C195" t="s">
        <v>262</v>
      </c>
      <c r="D195" s="5" t="s">
        <v>57</v>
      </c>
      <c r="E195">
        <v>2035</v>
      </c>
      <c r="F195" s="6" t="str">
        <f t="shared" si="18"/>
        <v>*0.61</v>
      </c>
      <c r="H195" t="s">
        <v>262</v>
      </c>
      <c r="I195" s="5" t="s">
        <v>57</v>
      </c>
      <c r="J195">
        <v>2050</v>
      </c>
      <c r="K195" s="38" t="str">
        <f t="shared" si="19"/>
        <v>*0.5</v>
      </c>
      <c r="P195" s="32" t="s">
        <v>262</v>
      </c>
      <c r="Q195" s="42" t="s">
        <v>57</v>
      </c>
      <c r="R195" s="32">
        <v>2035</v>
      </c>
      <c r="S195" s="43" t="str">
        <f t="shared" si="20"/>
        <v>*0.58</v>
      </c>
      <c r="U195" s="32" t="s">
        <v>262</v>
      </c>
      <c r="V195" s="42" t="s">
        <v>57</v>
      </c>
      <c r="W195" s="32">
        <v>2050</v>
      </c>
      <c r="X195" s="43" t="str">
        <f t="shared" si="21"/>
        <v>*0.47</v>
      </c>
      <c r="AC195" s="33" t="s">
        <v>262</v>
      </c>
      <c r="AD195" s="44" t="s">
        <v>57</v>
      </c>
      <c r="AE195" s="33">
        <v>2035</v>
      </c>
      <c r="AF195" s="45" t="str">
        <f t="shared" si="22"/>
        <v>*0.53</v>
      </c>
      <c r="AG195" s="43" t="str">
        <f t="shared" si="24"/>
        <v>REZoning_Sol-Win</v>
      </c>
      <c r="AI195" s="33" t="s">
        <v>262</v>
      </c>
      <c r="AJ195" s="44" t="s">
        <v>57</v>
      </c>
      <c r="AK195" s="33">
        <v>2050</v>
      </c>
      <c r="AL195" s="45" t="str">
        <f t="shared" si="23"/>
        <v>*0.41</v>
      </c>
      <c r="AM195" s="43" t="str">
        <f t="shared" si="25"/>
        <v>REZoning_Sol-Win</v>
      </c>
      <c r="AP195" t="s">
        <v>262</v>
      </c>
      <c r="AQ195" t="s">
        <v>57</v>
      </c>
      <c r="AR195">
        <v>2100</v>
      </c>
      <c r="AS195" t="s">
        <v>67</v>
      </c>
      <c r="AT195" t="s">
        <v>58</v>
      </c>
    </row>
    <row r="196" ht="29" spans="1:46">
      <c r="A196" s="31" t="s">
        <v>65</v>
      </c>
      <c r="C196" t="s">
        <v>263</v>
      </c>
      <c r="D196" s="5" t="s">
        <v>57</v>
      </c>
      <c r="E196">
        <v>2035</v>
      </c>
      <c r="F196" s="6" t="str">
        <f t="shared" ref="F196:F259" si="26">"*"&amp;IF(AND(A196="EU",E196=2035),0.63,IF(AND(A196="EU",E196=2050),0.54,IF(AND(A196="USA",E196=2035),0.64,IF(AND(A196="USA",E196=2050),0.54,IF(AND(A196="Japan",E196=2035),0.68,IF(AND(A196="Japan",E196=2050),0.58,IF(AND(A196="Russia",E196=2035),0.65,IF(AND(A196="Russia",E196=2050),0.54,IF(AND(A196="China",E196=2035),0.61,IF(AND(A196="China",E196=2050),0.49,IF(AND(A196="India",E196=2035),0.6,IF(AND(A196="India",E196=2050),0.49,IF(AND(A196="Middle East",E196=2035),0.6,IF(AND(A196="Middle East",E196=2050),0.5,IF(AND(A196="Africa",E196=2035),0.61,IF(AND(A196="Africa",E196=2050),0.5,IF(AND(A196="Brazil",E196=2035),0.64,IF(AND(A196="Brazil",E196=2050),0.54,""))))))))))))))))))</f>
        <v>*0.61</v>
      </c>
      <c r="H196" t="s">
        <v>263</v>
      </c>
      <c r="I196" s="5" t="s">
        <v>57</v>
      </c>
      <c r="J196">
        <v>2050</v>
      </c>
      <c r="K196" s="38" t="str">
        <f t="shared" ref="K196:K259" si="27">"*"&amp;IF(AND(A196="EU",J196=2035),0.63,IF(AND(A196="EU",J196=2050),0.54,IF(AND(A196="USA",J196=2035),0.64,IF(AND(A196="USA",J196=2050),0.54,IF(AND(A196="Japan",J196=2035),0.68,IF(AND(A196="Japan",J196=2050),0.58,IF(AND(A196="Russia",J196=2035),0.65,IF(AND(A196="Russia",J196=2050),0.54,IF(AND(A196="China",J196=2035),0.61,IF(AND(A196="China",J196=2050),0.49,IF(AND(A196="India",J196=2035),0.6,IF(AND(A196="India",J196=2050),0.49,IF(AND(A196="Middle East",J196=2035),0.6,IF(AND(A196="Middle East",J196=2050),0.5,IF(AND(A196="Africa",J196=2035),0.61,IF(AND(A196="Africa",J196=2050),0.5,IF(AND(A196="Brazil",J196=2035),0.64,IF(AND(A196="Brazil",J196=2050),0.54,""))))))))))))))))))</f>
        <v>*0.5</v>
      </c>
      <c r="P196" s="32" t="s">
        <v>263</v>
      </c>
      <c r="Q196" s="42" t="s">
        <v>57</v>
      </c>
      <c r="R196" s="32">
        <v>2035</v>
      </c>
      <c r="S196" s="43" t="str">
        <f t="shared" ref="S196:S259" si="28">"*"&amp;IF(AND(A196="EU",R196=2035),0.62,IF(AND(A196="EU",R196=2050),0.51,IF(AND(A196="USA",R196=2035),0.62,IF(AND(A196="USA",R196=2050),0.5,IF(AND(A196="Japan",R196=2035),0.65,IF(AND(A196="Japan",R196=2050),0.55,IF(AND(A196="Russia",R196=2035),0.63,IF(AND(A196="Russia",R196=2050),0.52,IF(AND(A196="China",R196=2035),0.59,IF(AND(A196="China",R196=2050),0.47,IF(AND(A196="India",R196=2035),0.58,IF(AND(A196="India",R196=2050),0.47,IF(AND(A196="Middle East",R196=2035),0.59,IF(AND(A196="Middle East",R196=2050),0.47,IF(AND(A196="Africa",R196=2035),0.58,IF(AND(A196="Africa",R196=2050),0.47,IF(AND(A196="Brazil",R196=2035),0.64,IF(AND(A196="Brazil",R196=2050),0.53,""))))))))))))))))))</f>
        <v>*0.58</v>
      </c>
      <c r="U196" s="32" t="s">
        <v>263</v>
      </c>
      <c r="V196" s="42" t="s">
        <v>57</v>
      </c>
      <c r="W196" s="32">
        <v>2050</v>
      </c>
      <c r="X196" s="43" t="str">
        <f t="shared" ref="X196:X259" si="29">"*"&amp;IF(AND(A196="EU",W196=2035),0.62,IF(AND(A196="EU",W196=2050),0.51,IF(AND(A196="USA",W196=2035),0.62,IF(AND(A196="USA",W196=2050),0.5,IF(AND(A196="Japan",W196=2035),0.65,IF(AND(A196="Japan",W196=2050),0.55,IF(AND(A196="Russia",W196=2035),0.63,IF(AND(A196="Russia",W196=2050),0.52,IF(AND(A196="China",W196=2035),0.59,IF(AND(A196="China",W196=2050),0.47,IF(AND(A196="India",W196=2035),0.58,IF(AND(A196="India",W196=2050),0.47,IF(AND(A196="Middle East",W196=2035),0.59,IF(AND(A196="Middle East",W196=2050),0.47,IF(AND(A196="Africa",W196=2035),0.58,IF(AND(A196="Africa",W196=2050),0.47,IF(AND(A196="Brazil",W196=2035),0.64,IF(AND(A196="Brazil",W196=2050),0.53,""))))))))))))))))))</f>
        <v>*0.47</v>
      </c>
      <c r="AC196" s="33" t="s">
        <v>263</v>
      </c>
      <c r="AD196" s="44" t="s">
        <v>57</v>
      </c>
      <c r="AE196" s="33">
        <v>2035</v>
      </c>
      <c r="AF196" s="45" t="str">
        <f t="shared" ref="AF196:AF259" si="30">"*"&amp;IF(AND(A196="EU",AE196=2035),0.58,IF(AND(A196="EU",AE196=2050),0.49,IF(AND(A196="USA",AE196=2035),0.56,IF(AND(A196="USA",AE196=2050),0.45,IF(AND(A196="Japan",AE196=2035),0.62,IF(AND(A196="Japan",AE196=2050),0.51,IF(AND(A196="Russia",AE196=2035),0.55,IF(AND(A196="Russia",AE196=2050),0.41,IF(AND(A196="China",AE196=2035),0.54,IF(AND(A196="China",AE196=2050),0.44,IF(AND(A196="India",AE196=2035),0.55,IF(AND(A196="India",AE196=2050),0.42,IF(AND(A196="Middle East",AE196=2035),0.53,IF(AND(A196="Middle East",AE196=2050),0.41,IF(AND(A196="Africa",AE196=2035),0.53,IF(AND(A196="Africa",AE196=2050),0.41,IF(AND(A196="Brazil",AE196=2035),0.6,IF(AND(A196="Brazil",AE196=2050),0.5,""))))))))))))))))))</f>
        <v>*0.53</v>
      </c>
      <c r="AG196" s="43" t="str">
        <f t="shared" si="24"/>
        <v>REZoning_Sol-Win</v>
      </c>
      <c r="AI196" s="33" t="s">
        <v>263</v>
      </c>
      <c r="AJ196" s="44" t="s">
        <v>57</v>
      </c>
      <c r="AK196" s="33">
        <v>2050</v>
      </c>
      <c r="AL196" s="45" t="str">
        <f t="shared" ref="AL196:AL259" si="31">"*"&amp;IF(AND(A196="EU",AK196=2035),0.58,IF(AND(A196="EU",AK196=2050),0.49,IF(AND(A196="USA",AK196=2035),0.56,IF(AND(A196="USA",AK196=2050),0.45,IF(AND(A196="Japan",AK196=2035),0.62,IF(AND(A196="Japan",AK196=2050),0.51,IF(AND(A196="Russia",AK196=2035),0.55,IF(AND(A196="Russia",AK196=2050),0.41,IF(AND(A196="China",AK196=2035),0.54,IF(AND(A196="China",AK196=2050),0.44,IF(AND(A196="India",AK196=2035),0.55,IF(AND(A196="India",AK196=2050),0.42,IF(AND(A196="Middle East",AK196=2035),0.53,IF(AND(A196="Middle East",AK196=2050),0.41,IF(AND(A196="Africa",AK196=2035),0.53,IF(AND(A196="Africa",AK196=2050),0.41,IF(AND(A196="Brazil",AK196=2035),0.6,IF(AND(A196="Brazil",AK196=2050),0.5,""))))))))))))))))))</f>
        <v>*0.41</v>
      </c>
      <c r="AM196" s="43" t="str">
        <f t="shared" si="25"/>
        <v>REZoning_Sol-Win</v>
      </c>
      <c r="AP196" t="s">
        <v>263</v>
      </c>
      <c r="AQ196" t="s">
        <v>57</v>
      </c>
      <c r="AR196">
        <v>2100</v>
      </c>
      <c r="AS196" t="s">
        <v>67</v>
      </c>
      <c r="AT196" t="s">
        <v>58</v>
      </c>
    </row>
    <row r="197" ht="29" spans="1:46">
      <c r="A197" s="31" t="s">
        <v>65</v>
      </c>
      <c r="C197" t="s">
        <v>264</v>
      </c>
      <c r="D197" s="5" t="s">
        <v>57</v>
      </c>
      <c r="E197">
        <v>2035</v>
      </c>
      <c r="F197" s="6" t="str">
        <f t="shared" si="26"/>
        <v>*0.61</v>
      </c>
      <c r="H197" t="s">
        <v>264</v>
      </c>
      <c r="I197" s="5" t="s">
        <v>57</v>
      </c>
      <c r="J197">
        <v>2050</v>
      </c>
      <c r="K197" s="38" t="str">
        <f t="shared" si="27"/>
        <v>*0.5</v>
      </c>
      <c r="P197" s="32" t="s">
        <v>264</v>
      </c>
      <c r="Q197" s="42" t="s">
        <v>57</v>
      </c>
      <c r="R197" s="32">
        <v>2035</v>
      </c>
      <c r="S197" s="43" t="str">
        <f t="shared" si="28"/>
        <v>*0.58</v>
      </c>
      <c r="U197" s="32" t="s">
        <v>264</v>
      </c>
      <c r="V197" s="42" t="s">
        <v>57</v>
      </c>
      <c r="W197" s="32">
        <v>2050</v>
      </c>
      <c r="X197" s="43" t="str">
        <f t="shared" si="29"/>
        <v>*0.47</v>
      </c>
      <c r="AC197" s="33" t="s">
        <v>264</v>
      </c>
      <c r="AD197" s="44" t="s">
        <v>57</v>
      </c>
      <c r="AE197" s="33">
        <v>2035</v>
      </c>
      <c r="AF197" s="45" t="str">
        <f t="shared" si="30"/>
        <v>*0.53</v>
      </c>
      <c r="AG197" s="43" t="str">
        <f t="shared" si="24"/>
        <v>REZoning_Sol-Win</v>
      </c>
      <c r="AI197" s="33" t="s">
        <v>264</v>
      </c>
      <c r="AJ197" s="44" t="s">
        <v>57</v>
      </c>
      <c r="AK197" s="33">
        <v>2050</v>
      </c>
      <c r="AL197" s="45" t="str">
        <f t="shared" si="31"/>
        <v>*0.41</v>
      </c>
      <c r="AM197" s="43" t="str">
        <f t="shared" si="25"/>
        <v>REZoning_Sol-Win</v>
      </c>
      <c r="AP197" t="s">
        <v>264</v>
      </c>
      <c r="AQ197" t="s">
        <v>57</v>
      </c>
      <c r="AR197">
        <v>2100</v>
      </c>
      <c r="AS197" t="s">
        <v>67</v>
      </c>
      <c r="AT197" t="s">
        <v>58</v>
      </c>
    </row>
    <row r="198" ht="29" spans="1:46">
      <c r="A198" s="31" t="s">
        <v>65</v>
      </c>
      <c r="C198" t="s">
        <v>265</v>
      </c>
      <c r="D198" s="5" t="s">
        <v>57</v>
      </c>
      <c r="E198">
        <v>2035</v>
      </c>
      <c r="F198" s="6" t="str">
        <f t="shared" si="26"/>
        <v>*0.61</v>
      </c>
      <c r="H198" t="s">
        <v>265</v>
      </c>
      <c r="I198" s="5" t="s">
        <v>57</v>
      </c>
      <c r="J198">
        <v>2050</v>
      </c>
      <c r="K198" s="38" t="str">
        <f t="shared" si="27"/>
        <v>*0.5</v>
      </c>
      <c r="P198" s="32" t="s">
        <v>265</v>
      </c>
      <c r="Q198" s="42" t="s">
        <v>57</v>
      </c>
      <c r="R198" s="32">
        <v>2035</v>
      </c>
      <c r="S198" s="43" t="str">
        <f t="shared" si="28"/>
        <v>*0.58</v>
      </c>
      <c r="U198" s="32" t="s">
        <v>265</v>
      </c>
      <c r="V198" s="42" t="s">
        <v>57</v>
      </c>
      <c r="W198" s="32">
        <v>2050</v>
      </c>
      <c r="X198" s="43" t="str">
        <f t="shared" si="29"/>
        <v>*0.47</v>
      </c>
      <c r="AC198" s="33" t="s">
        <v>265</v>
      </c>
      <c r="AD198" s="44" t="s">
        <v>57</v>
      </c>
      <c r="AE198" s="33">
        <v>2035</v>
      </c>
      <c r="AF198" s="45" t="str">
        <f t="shared" si="30"/>
        <v>*0.53</v>
      </c>
      <c r="AG198" s="43" t="str">
        <f t="shared" si="24"/>
        <v>REZoning_Sol-Win</v>
      </c>
      <c r="AI198" s="33" t="s">
        <v>265</v>
      </c>
      <c r="AJ198" s="44" t="s">
        <v>57</v>
      </c>
      <c r="AK198" s="33">
        <v>2050</v>
      </c>
      <c r="AL198" s="45" t="str">
        <f t="shared" si="31"/>
        <v>*0.41</v>
      </c>
      <c r="AM198" s="43" t="str">
        <f t="shared" si="25"/>
        <v>REZoning_Sol-Win</v>
      </c>
      <c r="AP198" t="s">
        <v>265</v>
      </c>
      <c r="AQ198" t="s">
        <v>57</v>
      </c>
      <c r="AR198">
        <v>2100</v>
      </c>
      <c r="AS198" t="s">
        <v>67</v>
      </c>
      <c r="AT198" t="s">
        <v>58</v>
      </c>
    </row>
    <row r="199" ht="29" spans="1:46">
      <c r="A199" s="31" t="s">
        <v>83</v>
      </c>
      <c r="C199" t="s">
        <v>266</v>
      </c>
      <c r="D199" s="5" t="s">
        <v>57</v>
      </c>
      <c r="E199">
        <v>2035</v>
      </c>
      <c r="F199" s="6" t="str">
        <f t="shared" si="26"/>
        <v>*0.64</v>
      </c>
      <c r="H199" t="s">
        <v>266</v>
      </c>
      <c r="I199" s="5" t="s">
        <v>57</v>
      </c>
      <c r="J199">
        <v>2050</v>
      </c>
      <c r="K199" s="38" t="str">
        <f t="shared" si="27"/>
        <v>*0.54</v>
      </c>
      <c r="P199" s="32" t="s">
        <v>266</v>
      </c>
      <c r="Q199" s="42" t="s">
        <v>57</v>
      </c>
      <c r="R199" s="32">
        <v>2035</v>
      </c>
      <c r="S199" s="43" t="str">
        <f t="shared" si="28"/>
        <v>*0.64</v>
      </c>
      <c r="U199" s="32" t="s">
        <v>266</v>
      </c>
      <c r="V199" s="42" t="s">
        <v>57</v>
      </c>
      <c r="W199" s="32">
        <v>2050</v>
      </c>
      <c r="X199" s="43" t="str">
        <f t="shared" si="29"/>
        <v>*0.53</v>
      </c>
      <c r="AC199" s="33" t="s">
        <v>266</v>
      </c>
      <c r="AD199" s="44" t="s">
        <v>57</v>
      </c>
      <c r="AE199" s="33">
        <v>2035</v>
      </c>
      <c r="AF199" s="45" t="str">
        <f t="shared" si="30"/>
        <v>*0.6</v>
      </c>
      <c r="AG199" s="43" t="str">
        <f t="shared" si="24"/>
        <v>REZoning_Sol-Win</v>
      </c>
      <c r="AI199" s="33" t="s">
        <v>266</v>
      </c>
      <c r="AJ199" s="44" t="s">
        <v>57</v>
      </c>
      <c r="AK199" s="33">
        <v>2050</v>
      </c>
      <c r="AL199" s="45" t="str">
        <f t="shared" si="31"/>
        <v>*0.5</v>
      </c>
      <c r="AM199" s="43" t="str">
        <f t="shared" si="25"/>
        <v>REZoning_Sol-Win</v>
      </c>
      <c r="AP199" t="s">
        <v>266</v>
      </c>
      <c r="AQ199" t="s">
        <v>57</v>
      </c>
      <c r="AR199">
        <v>2100</v>
      </c>
      <c r="AS199" t="s">
        <v>85</v>
      </c>
      <c r="AT199" t="s">
        <v>58</v>
      </c>
    </row>
    <row r="200" ht="29" spans="1:46">
      <c r="A200" s="31" t="s">
        <v>83</v>
      </c>
      <c r="C200" t="s">
        <v>267</v>
      </c>
      <c r="D200" s="5" t="s">
        <v>57</v>
      </c>
      <c r="E200">
        <v>2035</v>
      </c>
      <c r="F200" s="6" t="str">
        <f t="shared" si="26"/>
        <v>*0.64</v>
      </c>
      <c r="H200" t="s">
        <v>267</v>
      </c>
      <c r="I200" s="5" t="s">
        <v>57</v>
      </c>
      <c r="J200">
        <v>2050</v>
      </c>
      <c r="K200" s="38" t="str">
        <f t="shared" si="27"/>
        <v>*0.54</v>
      </c>
      <c r="P200" s="32" t="s">
        <v>267</v>
      </c>
      <c r="Q200" s="42" t="s">
        <v>57</v>
      </c>
      <c r="R200" s="32">
        <v>2035</v>
      </c>
      <c r="S200" s="43" t="str">
        <f t="shared" si="28"/>
        <v>*0.64</v>
      </c>
      <c r="U200" s="32" t="s">
        <v>267</v>
      </c>
      <c r="V200" s="42" t="s">
        <v>57</v>
      </c>
      <c r="W200" s="32">
        <v>2050</v>
      </c>
      <c r="X200" s="43" t="str">
        <f t="shared" si="29"/>
        <v>*0.53</v>
      </c>
      <c r="AC200" s="33" t="s">
        <v>267</v>
      </c>
      <c r="AD200" s="44" t="s">
        <v>57</v>
      </c>
      <c r="AE200" s="33">
        <v>2035</v>
      </c>
      <c r="AF200" s="45" t="str">
        <f t="shared" si="30"/>
        <v>*0.6</v>
      </c>
      <c r="AG200" s="43" t="str">
        <f t="shared" si="24"/>
        <v>REZoning_Sol-Win</v>
      </c>
      <c r="AI200" s="33" t="s">
        <v>267</v>
      </c>
      <c r="AJ200" s="44" t="s">
        <v>57</v>
      </c>
      <c r="AK200" s="33">
        <v>2050</v>
      </c>
      <c r="AL200" s="45" t="str">
        <f t="shared" si="31"/>
        <v>*0.5</v>
      </c>
      <c r="AM200" s="43" t="str">
        <f t="shared" si="25"/>
        <v>REZoning_Sol-Win</v>
      </c>
      <c r="AP200" t="s">
        <v>267</v>
      </c>
      <c r="AQ200" t="s">
        <v>57</v>
      </c>
      <c r="AR200">
        <v>2100</v>
      </c>
      <c r="AS200" t="s">
        <v>85</v>
      </c>
      <c r="AT200" t="s">
        <v>58</v>
      </c>
    </row>
    <row r="201" ht="29" spans="1:46">
      <c r="A201" s="31" t="s">
        <v>83</v>
      </c>
      <c r="C201" t="s">
        <v>268</v>
      </c>
      <c r="D201" s="5" t="s">
        <v>57</v>
      </c>
      <c r="E201">
        <v>2035</v>
      </c>
      <c r="F201" s="6" t="str">
        <f t="shared" si="26"/>
        <v>*0.64</v>
      </c>
      <c r="H201" t="s">
        <v>268</v>
      </c>
      <c r="I201" s="5" t="s">
        <v>57</v>
      </c>
      <c r="J201">
        <v>2050</v>
      </c>
      <c r="K201" s="38" t="str">
        <f t="shared" si="27"/>
        <v>*0.54</v>
      </c>
      <c r="P201" s="32" t="s">
        <v>268</v>
      </c>
      <c r="Q201" s="42" t="s">
        <v>57</v>
      </c>
      <c r="R201" s="32">
        <v>2035</v>
      </c>
      <c r="S201" s="43" t="str">
        <f t="shared" si="28"/>
        <v>*0.64</v>
      </c>
      <c r="U201" s="32" t="s">
        <v>268</v>
      </c>
      <c r="V201" s="42" t="s">
        <v>57</v>
      </c>
      <c r="W201" s="32">
        <v>2050</v>
      </c>
      <c r="X201" s="43" t="str">
        <f t="shared" si="29"/>
        <v>*0.53</v>
      </c>
      <c r="AC201" s="33" t="s">
        <v>268</v>
      </c>
      <c r="AD201" s="44" t="s">
        <v>57</v>
      </c>
      <c r="AE201" s="33">
        <v>2035</v>
      </c>
      <c r="AF201" s="45" t="str">
        <f t="shared" si="30"/>
        <v>*0.6</v>
      </c>
      <c r="AG201" s="43" t="str">
        <f t="shared" ref="AG201:AG264" si="32">AG200</f>
        <v>REZoning_Sol-Win</v>
      </c>
      <c r="AI201" s="33" t="s">
        <v>268</v>
      </c>
      <c r="AJ201" s="44" t="s">
        <v>57</v>
      </c>
      <c r="AK201" s="33">
        <v>2050</v>
      </c>
      <c r="AL201" s="45" t="str">
        <f t="shared" si="31"/>
        <v>*0.5</v>
      </c>
      <c r="AM201" s="43" t="str">
        <f t="shared" ref="AM201:AM264" si="33">AM200</f>
        <v>REZoning_Sol-Win</v>
      </c>
      <c r="AP201" t="s">
        <v>268</v>
      </c>
      <c r="AQ201" t="s">
        <v>57</v>
      </c>
      <c r="AR201">
        <v>2100</v>
      </c>
      <c r="AS201" t="s">
        <v>85</v>
      </c>
      <c r="AT201" t="s">
        <v>58</v>
      </c>
    </row>
    <row r="202" ht="29" spans="1:46">
      <c r="A202" s="31" t="s">
        <v>83</v>
      </c>
      <c r="C202" t="s">
        <v>269</v>
      </c>
      <c r="D202" s="5" t="s">
        <v>57</v>
      </c>
      <c r="E202">
        <v>2035</v>
      </c>
      <c r="F202" s="6" t="str">
        <f t="shared" si="26"/>
        <v>*0.64</v>
      </c>
      <c r="H202" t="s">
        <v>269</v>
      </c>
      <c r="I202" s="5" t="s">
        <v>57</v>
      </c>
      <c r="J202">
        <v>2050</v>
      </c>
      <c r="K202" s="38" t="str">
        <f t="shared" si="27"/>
        <v>*0.54</v>
      </c>
      <c r="P202" s="32" t="s">
        <v>269</v>
      </c>
      <c r="Q202" s="42" t="s">
        <v>57</v>
      </c>
      <c r="R202" s="32">
        <v>2035</v>
      </c>
      <c r="S202" s="43" t="str">
        <f t="shared" si="28"/>
        <v>*0.64</v>
      </c>
      <c r="U202" s="32" t="s">
        <v>269</v>
      </c>
      <c r="V202" s="42" t="s">
        <v>57</v>
      </c>
      <c r="W202" s="32">
        <v>2050</v>
      </c>
      <c r="X202" s="43" t="str">
        <f t="shared" si="29"/>
        <v>*0.53</v>
      </c>
      <c r="AC202" s="33" t="s">
        <v>269</v>
      </c>
      <c r="AD202" s="44" t="s">
        <v>57</v>
      </c>
      <c r="AE202" s="33">
        <v>2035</v>
      </c>
      <c r="AF202" s="45" t="str">
        <f t="shared" si="30"/>
        <v>*0.6</v>
      </c>
      <c r="AG202" s="43" t="str">
        <f t="shared" si="32"/>
        <v>REZoning_Sol-Win</v>
      </c>
      <c r="AI202" s="33" t="s">
        <v>269</v>
      </c>
      <c r="AJ202" s="44" t="s">
        <v>57</v>
      </c>
      <c r="AK202" s="33">
        <v>2050</v>
      </c>
      <c r="AL202" s="45" t="str">
        <f t="shared" si="31"/>
        <v>*0.5</v>
      </c>
      <c r="AM202" s="43" t="str">
        <f t="shared" si="33"/>
        <v>REZoning_Sol-Win</v>
      </c>
      <c r="AP202" t="s">
        <v>269</v>
      </c>
      <c r="AQ202" t="s">
        <v>57</v>
      </c>
      <c r="AR202">
        <v>2100</v>
      </c>
      <c r="AS202" t="s">
        <v>85</v>
      </c>
      <c r="AT202" t="s">
        <v>58</v>
      </c>
    </row>
    <row r="203" ht="29" spans="1:46">
      <c r="A203" s="31" t="s">
        <v>83</v>
      </c>
      <c r="C203" t="s">
        <v>270</v>
      </c>
      <c r="D203" s="5" t="s">
        <v>57</v>
      </c>
      <c r="E203">
        <v>2035</v>
      </c>
      <c r="F203" s="6" t="str">
        <f t="shared" si="26"/>
        <v>*0.64</v>
      </c>
      <c r="H203" t="s">
        <v>270</v>
      </c>
      <c r="I203" s="5" t="s">
        <v>57</v>
      </c>
      <c r="J203">
        <v>2050</v>
      </c>
      <c r="K203" s="38" t="str">
        <f t="shared" si="27"/>
        <v>*0.54</v>
      </c>
      <c r="P203" s="32" t="s">
        <v>270</v>
      </c>
      <c r="Q203" s="42" t="s">
        <v>57</v>
      </c>
      <c r="R203" s="32">
        <v>2035</v>
      </c>
      <c r="S203" s="43" t="str">
        <f t="shared" si="28"/>
        <v>*0.64</v>
      </c>
      <c r="U203" s="32" t="s">
        <v>270</v>
      </c>
      <c r="V203" s="42" t="s">
        <v>57</v>
      </c>
      <c r="W203" s="32">
        <v>2050</v>
      </c>
      <c r="X203" s="43" t="str">
        <f t="shared" si="29"/>
        <v>*0.53</v>
      </c>
      <c r="AC203" s="33" t="s">
        <v>270</v>
      </c>
      <c r="AD203" s="44" t="s">
        <v>57</v>
      </c>
      <c r="AE203" s="33">
        <v>2035</v>
      </c>
      <c r="AF203" s="45" t="str">
        <f t="shared" si="30"/>
        <v>*0.6</v>
      </c>
      <c r="AG203" s="43" t="str">
        <f t="shared" si="32"/>
        <v>REZoning_Sol-Win</v>
      </c>
      <c r="AI203" s="33" t="s">
        <v>270</v>
      </c>
      <c r="AJ203" s="44" t="s">
        <v>57</v>
      </c>
      <c r="AK203" s="33">
        <v>2050</v>
      </c>
      <c r="AL203" s="45" t="str">
        <f t="shared" si="31"/>
        <v>*0.5</v>
      </c>
      <c r="AM203" s="43" t="str">
        <f t="shared" si="33"/>
        <v>REZoning_Sol-Win</v>
      </c>
      <c r="AP203" t="s">
        <v>270</v>
      </c>
      <c r="AQ203" t="s">
        <v>57</v>
      </c>
      <c r="AR203">
        <v>2100</v>
      </c>
      <c r="AS203" t="s">
        <v>85</v>
      </c>
      <c r="AT203" t="s">
        <v>58</v>
      </c>
    </row>
    <row r="204" ht="29" spans="1:46">
      <c r="A204" s="31" t="s">
        <v>83</v>
      </c>
      <c r="C204" t="s">
        <v>271</v>
      </c>
      <c r="D204" s="5" t="s">
        <v>57</v>
      </c>
      <c r="E204">
        <v>2035</v>
      </c>
      <c r="F204" s="6" t="str">
        <f t="shared" si="26"/>
        <v>*0.64</v>
      </c>
      <c r="H204" t="s">
        <v>271</v>
      </c>
      <c r="I204" s="5" t="s">
        <v>57</v>
      </c>
      <c r="J204">
        <v>2050</v>
      </c>
      <c r="K204" s="38" t="str">
        <f t="shared" si="27"/>
        <v>*0.54</v>
      </c>
      <c r="P204" s="32" t="s">
        <v>271</v>
      </c>
      <c r="Q204" s="42" t="s">
        <v>57</v>
      </c>
      <c r="R204" s="32">
        <v>2035</v>
      </c>
      <c r="S204" s="43" t="str">
        <f t="shared" si="28"/>
        <v>*0.64</v>
      </c>
      <c r="U204" s="32" t="s">
        <v>271</v>
      </c>
      <c r="V204" s="42" t="s">
        <v>57</v>
      </c>
      <c r="W204" s="32">
        <v>2050</v>
      </c>
      <c r="X204" s="43" t="str">
        <f t="shared" si="29"/>
        <v>*0.53</v>
      </c>
      <c r="AC204" s="33" t="s">
        <v>271</v>
      </c>
      <c r="AD204" s="44" t="s">
        <v>57</v>
      </c>
      <c r="AE204" s="33">
        <v>2035</v>
      </c>
      <c r="AF204" s="45" t="str">
        <f t="shared" si="30"/>
        <v>*0.6</v>
      </c>
      <c r="AG204" s="43" t="str">
        <f t="shared" si="32"/>
        <v>REZoning_Sol-Win</v>
      </c>
      <c r="AI204" s="33" t="s">
        <v>271</v>
      </c>
      <c r="AJ204" s="44" t="s">
        <v>57</v>
      </c>
      <c r="AK204" s="33">
        <v>2050</v>
      </c>
      <c r="AL204" s="45" t="str">
        <f t="shared" si="31"/>
        <v>*0.5</v>
      </c>
      <c r="AM204" s="43" t="str">
        <f t="shared" si="33"/>
        <v>REZoning_Sol-Win</v>
      </c>
      <c r="AP204" t="s">
        <v>271</v>
      </c>
      <c r="AQ204" t="s">
        <v>57</v>
      </c>
      <c r="AR204">
        <v>2100</v>
      </c>
      <c r="AS204" t="s">
        <v>85</v>
      </c>
      <c r="AT204" t="s">
        <v>58</v>
      </c>
    </row>
    <row r="205" ht="29" spans="1:46">
      <c r="A205" s="31" t="s">
        <v>83</v>
      </c>
      <c r="C205" t="s">
        <v>272</v>
      </c>
      <c r="D205" s="5" t="s">
        <v>57</v>
      </c>
      <c r="E205">
        <v>2035</v>
      </c>
      <c r="F205" s="6" t="str">
        <f t="shared" si="26"/>
        <v>*0.64</v>
      </c>
      <c r="H205" t="s">
        <v>272</v>
      </c>
      <c r="I205" s="5" t="s">
        <v>57</v>
      </c>
      <c r="J205">
        <v>2050</v>
      </c>
      <c r="K205" s="38" t="str">
        <f t="shared" si="27"/>
        <v>*0.54</v>
      </c>
      <c r="P205" s="32" t="s">
        <v>272</v>
      </c>
      <c r="Q205" s="42" t="s">
        <v>57</v>
      </c>
      <c r="R205" s="32">
        <v>2035</v>
      </c>
      <c r="S205" s="43" t="str">
        <f t="shared" si="28"/>
        <v>*0.64</v>
      </c>
      <c r="U205" s="32" t="s">
        <v>272</v>
      </c>
      <c r="V205" s="42" t="s">
        <v>57</v>
      </c>
      <c r="W205" s="32">
        <v>2050</v>
      </c>
      <c r="X205" s="43" t="str">
        <f t="shared" si="29"/>
        <v>*0.53</v>
      </c>
      <c r="AC205" s="33" t="s">
        <v>272</v>
      </c>
      <c r="AD205" s="44" t="s">
        <v>57</v>
      </c>
      <c r="AE205" s="33">
        <v>2035</v>
      </c>
      <c r="AF205" s="45" t="str">
        <f t="shared" si="30"/>
        <v>*0.6</v>
      </c>
      <c r="AG205" s="43" t="str">
        <f t="shared" si="32"/>
        <v>REZoning_Sol-Win</v>
      </c>
      <c r="AI205" s="33" t="s">
        <v>272</v>
      </c>
      <c r="AJ205" s="44" t="s">
        <v>57</v>
      </c>
      <c r="AK205" s="33">
        <v>2050</v>
      </c>
      <c r="AL205" s="45" t="str">
        <f t="shared" si="31"/>
        <v>*0.5</v>
      </c>
      <c r="AM205" s="43" t="str">
        <f t="shared" si="33"/>
        <v>REZoning_Sol-Win</v>
      </c>
      <c r="AP205" t="s">
        <v>272</v>
      </c>
      <c r="AQ205" t="s">
        <v>57</v>
      </c>
      <c r="AR205">
        <v>2100</v>
      </c>
      <c r="AS205" t="s">
        <v>85</v>
      </c>
      <c r="AT205" t="s">
        <v>58</v>
      </c>
    </row>
    <row r="206" ht="29" spans="1:46">
      <c r="A206" s="31" t="s">
        <v>83</v>
      </c>
      <c r="C206" t="s">
        <v>273</v>
      </c>
      <c r="D206" s="5" t="s">
        <v>57</v>
      </c>
      <c r="E206">
        <v>2035</v>
      </c>
      <c r="F206" s="6" t="str">
        <f t="shared" si="26"/>
        <v>*0.64</v>
      </c>
      <c r="H206" t="s">
        <v>273</v>
      </c>
      <c r="I206" s="5" t="s">
        <v>57</v>
      </c>
      <c r="J206">
        <v>2050</v>
      </c>
      <c r="K206" s="38" t="str">
        <f t="shared" si="27"/>
        <v>*0.54</v>
      </c>
      <c r="P206" s="32" t="s">
        <v>273</v>
      </c>
      <c r="Q206" s="42" t="s">
        <v>57</v>
      </c>
      <c r="R206" s="32">
        <v>2035</v>
      </c>
      <c r="S206" s="43" t="str">
        <f t="shared" si="28"/>
        <v>*0.64</v>
      </c>
      <c r="U206" s="32" t="s">
        <v>273</v>
      </c>
      <c r="V206" s="42" t="s">
        <v>57</v>
      </c>
      <c r="W206" s="32">
        <v>2050</v>
      </c>
      <c r="X206" s="43" t="str">
        <f t="shared" si="29"/>
        <v>*0.53</v>
      </c>
      <c r="AC206" s="33" t="s">
        <v>273</v>
      </c>
      <c r="AD206" s="44" t="s">
        <v>57</v>
      </c>
      <c r="AE206" s="33">
        <v>2035</v>
      </c>
      <c r="AF206" s="45" t="str">
        <f t="shared" si="30"/>
        <v>*0.6</v>
      </c>
      <c r="AG206" s="43" t="str">
        <f t="shared" si="32"/>
        <v>REZoning_Sol-Win</v>
      </c>
      <c r="AI206" s="33" t="s">
        <v>273</v>
      </c>
      <c r="AJ206" s="44" t="s">
        <v>57</v>
      </c>
      <c r="AK206" s="33">
        <v>2050</v>
      </c>
      <c r="AL206" s="45" t="str">
        <f t="shared" si="31"/>
        <v>*0.5</v>
      </c>
      <c r="AM206" s="43" t="str">
        <f t="shared" si="33"/>
        <v>REZoning_Sol-Win</v>
      </c>
      <c r="AP206" t="s">
        <v>273</v>
      </c>
      <c r="AQ206" t="s">
        <v>57</v>
      </c>
      <c r="AR206">
        <v>2100</v>
      </c>
      <c r="AS206" t="s">
        <v>85</v>
      </c>
      <c r="AT206" t="s">
        <v>58</v>
      </c>
    </row>
    <row r="207" ht="29" spans="1:46">
      <c r="A207" s="31" t="s">
        <v>83</v>
      </c>
      <c r="C207" t="s">
        <v>274</v>
      </c>
      <c r="D207" s="5" t="s">
        <v>57</v>
      </c>
      <c r="E207">
        <v>2035</v>
      </c>
      <c r="F207" s="6" t="str">
        <f t="shared" si="26"/>
        <v>*0.64</v>
      </c>
      <c r="H207" t="s">
        <v>274</v>
      </c>
      <c r="I207" s="5" t="s">
        <v>57</v>
      </c>
      <c r="J207">
        <v>2050</v>
      </c>
      <c r="K207" s="38" t="str">
        <f t="shared" si="27"/>
        <v>*0.54</v>
      </c>
      <c r="P207" s="32" t="s">
        <v>274</v>
      </c>
      <c r="Q207" s="42" t="s">
        <v>57</v>
      </c>
      <c r="R207" s="32">
        <v>2035</v>
      </c>
      <c r="S207" s="43" t="str">
        <f t="shared" si="28"/>
        <v>*0.64</v>
      </c>
      <c r="U207" s="32" t="s">
        <v>274</v>
      </c>
      <c r="V207" s="42" t="s">
        <v>57</v>
      </c>
      <c r="W207" s="32">
        <v>2050</v>
      </c>
      <c r="X207" s="43" t="str">
        <f t="shared" si="29"/>
        <v>*0.53</v>
      </c>
      <c r="AC207" s="33" t="s">
        <v>274</v>
      </c>
      <c r="AD207" s="44" t="s">
        <v>57</v>
      </c>
      <c r="AE207" s="33">
        <v>2035</v>
      </c>
      <c r="AF207" s="45" t="str">
        <f t="shared" si="30"/>
        <v>*0.6</v>
      </c>
      <c r="AG207" s="43" t="str">
        <f t="shared" si="32"/>
        <v>REZoning_Sol-Win</v>
      </c>
      <c r="AI207" s="33" t="s">
        <v>274</v>
      </c>
      <c r="AJ207" s="44" t="s">
        <v>57</v>
      </c>
      <c r="AK207" s="33">
        <v>2050</v>
      </c>
      <c r="AL207" s="45" t="str">
        <f t="shared" si="31"/>
        <v>*0.5</v>
      </c>
      <c r="AM207" s="43" t="str">
        <f t="shared" si="33"/>
        <v>REZoning_Sol-Win</v>
      </c>
      <c r="AP207" t="s">
        <v>274</v>
      </c>
      <c r="AQ207" t="s">
        <v>57</v>
      </c>
      <c r="AR207">
        <v>2100</v>
      </c>
      <c r="AS207" t="s">
        <v>85</v>
      </c>
      <c r="AT207" t="s">
        <v>58</v>
      </c>
    </row>
    <row r="208" ht="29" spans="1:46">
      <c r="A208" s="31" t="s">
        <v>83</v>
      </c>
      <c r="C208" t="s">
        <v>275</v>
      </c>
      <c r="D208" s="5" t="s">
        <v>57</v>
      </c>
      <c r="E208">
        <v>2035</v>
      </c>
      <c r="F208" s="6" t="str">
        <f t="shared" si="26"/>
        <v>*0.64</v>
      </c>
      <c r="H208" t="s">
        <v>275</v>
      </c>
      <c r="I208" s="5" t="s">
        <v>57</v>
      </c>
      <c r="J208">
        <v>2050</v>
      </c>
      <c r="K208" s="38" t="str">
        <f t="shared" si="27"/>
        <v>*0.54</v>
      </c>
      <c r="P208" s="32" t="s">
        <v>275</v>
      </c>
      <c r="Q208" s="42" t="s">
        <v>57</v>
      </c>
      <c r="R208" s="32">
        <v>2035</v>
      </c>
      <c r="S208" s="43" t="str">
        <f t="shared" si="28"/>
        <v>*0.64</v>
      </c>
      <c r="U208" s="32" t="s">
        <v>275</v>
      </c>
      <c r="V208" s="42" t="s">
        <v>57</v>
      </c>
      <c r="W208" s="32">
        <v>2050</v>
      </c>
      <c r="X208" s="43" t="str">
        <f t="shared" si="29"/>
        <v>*0.53</v>
      </c>
      <c r="AC208" s="33" t="s">
        <v>275</v>
      </c>
      <c r="AD208" s="44" t="s">
        <v>57</v>
      </c>
      <c r="AE208" s="33">
        <v>2035</v>
      </c>
      <c r="AF208" s="45" t="str">
        <f t="shared" si="30"/>
        <v>*0.6</v>
      </c>
      <c r="AG208" s="43" t="str">
        <f t="shared" si="32"/>
        <v>REZoning_Sol-Win</v>
      </c>
      <c r="AI208" s="33" t="s">
        <v>275</v>
      </c>
      <c r="AJ208" s="44" t="s">
        <v>57</v>
      </c>
      <c r="AK208" s="33">
        <v>2050</v>
      </c>
      <c r="AL208" s="45" t="str">
        <f t="shared" si="31"/>
        <v>*0.5</v>
      </c>
      <c r="AM208" s="43" t="str">
        <f t="shared" si="33"/>
        <v>REZoning_Sol-Win</v>
      </c>
      <c r="AP208" t="s">
        <v>275</v>
      </c>
      <c r="AQ208" t="s">
        <v>57</v>
      </c>
      <c r="AR208">
        <v>2100</v>
      </c>
      <c r="AS208" t="s">
        <v>85</v>
      </c>
      <c r="AT208" t="s">
        <v>58</v>
      </c>
    </row>
    <row r="209" ht="29" spans="1:46">
      <c r="A209" s="31" t="s">
        <v>83</v>
      </c>
      <c r="C209" t="s">
        <v>276</v>
      </c>
      <c r="D209" s="5" t="s">
        <v>57</v>
      </c>
      <c r="E209">
        <v>2035</v>
      </c>
      <c r="F209" s="6" t="str">
        <f t="shared" si="26"/>
        <v>*0.64</v>
      </c>
      <c r="H209" t="s">
        <v>276</v>
      </c>
      <c r="I209" s="5" t="s">
        <v>57</v>
      </c>
      <c r="J209">
        <v>2050</v>
      </c>
      <c r="K209" s="38" t="str">
        <f t="shared" si="27"/>
        <v>*0.54</v>
      </c>
      <c r="P209" s="32" t="s">
        <v>276</v>
      </c>
      <c r="Q209" s="42" t="s">
        <v>57</v>
      </c>
      <c r="R209" s="32">
        <v>2035</v>
      </c>
      <c r="S209" s="43" t="str">
        <f t="shared" si="28"/>
        <v>*0.64</v>
      </c>
      <c r="U209" s="32" t="s">
        <v>276</v>
      </c>
      <c r="V209" s="42" t="s">
        <v>57</v>
      </c>
      <c r="W209" s="32">
        <v>2050</v>
      </c>
      <c r="X209" s="43" t="str">
        <f t="shared" si="29"/>
        <v>*0.53</v>
      </c>
      <c r="AC209" s="33" t="s">
        <v>276</v>
      </c>
      <c r="AD209" s="44" t="s">
        <v>57</v>
      </c>
      <c r="AE209" s="33">
        <v>2035</v>
      </c>
      <c r="AF209" s="45" t="str">
        <f t="shared" si="30"/>
        <v>*0.6</v>
      </c>
      <c r="AG209" s="43" t="str">
        <f t="shared" si="32"/>
        <v>REZoning_Sol-Win</v>
      </c>
      <c r="AI209" s="33" t="s">
        <v>276</v>
      </c>
      <c r="AJ209" s="44" t="s">
        <v>57</v>
      </c>
      <c r="AK209" s="33">
        <v>2050</v>
      </c>
      <c r="AL209" s="45" t="str">
        <f t="shared" si="31"/>
        <v>*0.5</v>
      </c>
      <c r="AM209" s="43" t="str">
        <f t="shared" si="33"/>
        <v>REZoning_Sol-Win</v>
      </c>
      <c r="AP209" t="s">
        <v>276</v>
      </c>
      <c r="AQ209" t="s">
        <v>57</v>
      </c>
      <c r="AR209">
        <v>2100</v>
      </c>
      <c r="AS209" t="s">
        <v>85</v>
      </c>
      <c r="AT209" t="s">
        <v>58</v>
      </c>
    </row>
    <row r="210" ht="29" spans="1:46">
      <c r="A210" s="31" t="s">
        <v>83</v>
      </c>
      <c r="C210" t="s">
        <v>277</v>
      </c>
      <c r="D210" s="5" t="s">
        <v>57</v>
      </c>
      <c r="E210">
        <v>2035</v>
      </c>
      <c r="F210" s="6" t="str">
        <f t="shared" si="26"/>
        <v>*0.64</v>
      </c>
      <c r="H210" t="s">
        <v>277</v>
      </c>
      <c r="I210" s="5" t="s">
        <v>57</v>
      </c>
      <c r="J210">
        <v>2050</v>
      </c>
      <c r="K210" s="38" t="str">
        <f t="shared" si="27"/>
        <v>*0.54</v>
      </c>
      <c r="P210" s="32" t="s">
        <v>277</v>
      </c>
      <c r="Q210" s="42" t="s">
        <v>57</v>
      </c>
      <c r="R210" s="32">
        <v>2035</v>
      </c>
      <c r="S210" s="43" t="str">
        <f t="shared" si="28"/>
        <v>*0.64</v>
      </c>
      <c r="U210" s="32" t="s">
        <v>277</v>
      </c>
      <c r="V210" s="42" t="s">
        <v>57</v>
      </c>
      <c r="W210" s="32">
        <v>2050</v>
      </c>
      <c r="X210" s="43" t="str">
        <f t="shared" si="29"/>
        <v>*0.53</v>
      </c>
      <c r="AC210" s="33" t="s">
        <v>277</v>
      </c>
      <c r="AD210" s="44" t="s">
        <v>57</v>
      </c>
      <c r="AE210" s="33">
        <v>2035</v>
      </c>
      <c r="AF210" s="45" t="str">
        <f t="shared" si="30"/>
        <v>*0.6</v>
      </c>
      <c r="AG210" s="43" t="str">
        <f t="shared" si="32"/>
        <v>REZoning_Sol-Win</v>
      </c>
      <c r="AI210" s="33" t="s">
        <v>277</v>
      </c>
      <c r="AJ210" s="44" t="s">
        <v>57</v>
      </c>
      <c r="AK210" s="33">
        <v>2050</v>
      </c>
      <c r="AL210" s="45" t="str">
        <f t="shared" si="31"/>
        <v>*0.5</v>
      </c>
      <c r="AM210" s="43" t="str">
        <f t="shared" si="33"/>
        <v>REZoning_Sol-Win</v>
      </c>
      <c r="AP210" t="s">
        <v>277</v>
      </c>
      <c r="AQ210" t="s">
        <v>57</v>
      </c>
      <c r="AR210">
        <v>2100</v>
      </c>
      <c r="AS210" t="s">
        <v>85</v>
      </c>
      <c r="AT210" t="s">
        <v>58</v>
      </c>
    </row>
    <row r="211" ht="29" spans="1:46">
      <c r="A211" s="31" t="s">
        <v>83</v>
      </c>
      <c r="C211" t="s">
        <v>278</v>
      </c>
      <c r="D211" s="5" t="s">
        <v>57</v>
      </c>
      <c r="E211">
        <v>2035</v>
      </c>
      <c r="F211" s="6" t="str">
        <f t="shared" si="26"/>
        <v>*0.64</v>
      </c>
      <c r="H211" t="s">
        <v>278</v>
      </c>
      <c r="I211" s="5" t="s">
        <v>57</v>
      </c>
      <c r="J211">
        <v>2050</v>
      </c>
      <c r="K211" s="38" t="str">
        <f t="shared" si="27"/>
        <v>*0.54</v>
      </c>
      <c r="P211" s="32" t="s">
        <v>278</v>
      </c>
      <c r="Q211" s="42" t="s">
        <v>57</v>
      </c>
      <c r="R211" s="32">
        <v>2035</v>
      </c>
      <c r="S211" s="43" t="str">
        <f t="shared" si="28"/>
        <v>*0.64</v>
      </c>
      <c r="U211" s="32" t="s">
        <v>278</v>
      </c>
      <c r="V211" s="42" t="s">
        <v>57</v>
      </c>
      <c r="W211" s="32">
        <v>2050</v>
      </c>
      <c r="X211" s="43" t="str">
        <f t="shared" si="29"/>
        <v>*0.53</v>
      </c>
      <c r="AC211" s="33" t="s">
        <v>278</v>
      </c>
      <c r="AD211" s="44" t="s">
        <v>57</v>
      </c>
      <c r="AE211" s="33">
        <v>2035</v>
      </c>
      <c r="AF211" s="45" t="str">
        <f t="shared" si="30"/>
        <v>*0.6</v>
      </c>
      <c r="AG211" s="43" t="str">
        <f t="shared" si="32"/>
        <v>REZoning_Sol-Win</v>
      </c>
      <c r="AI211" s="33" t="s">
        <v>278</v>
      </c>
      <c r="AJ211" s="44" t="s">
        <v>57</v>
      </c>
      <c r="AK211" s="33">
        <v>2050</v>
      </c>
      <c r="AL211" s="45" t="str">
        <f t="shared" si="31"/>
        <v>*0.5</v>
      </c>
      <c r="AM211" s="43" t="str">
        <f t="shared" si="33"/>
        <v>REZoning_Sol-Win</v>
      </c>
      <c r="AP211" t="s">
        <v>278</v>
      </c>
      <c r="AQ211" t="s">
        <v>57</v>
      </c>
      <c r="AR211">
        <v>2100</v>
      </c>
      <c r="AS211" t="s">
        <v>85</v>
      </c>
      <c r="AT211" t="s">
        <v>58</v>
      </c>
    </row>
    <row r="212" ht="29" spans="1:46">
      <c r="A212" s="31" t="s">
        <v>83</v>
      </c>
      <c r="C212" t="s">
        <v>279</v>
      </c>
      <c r="D212" s="5" t="s">
        <v>57</v>
      </c>
      <c r="E212">
        <v>2035</v>
      </c>
      <c r="F212" s="6" t="str">
        <f t="shared" si="26"/>
        <v>*0.64</v>
      </c>
      <c r="H212" t="s">
        <v>279</v>
      </c>
      <c r="I212" s="5" t="s">
        <v>57</v>
      </c>
      <c r="J212">
        <v>2050</v>
      </c>
      <c r="K212" s="38" t="str">
        <f t="shared" si="27"/>
        <v>*0.54</v>
      </c>
      <c r="P212" s="32" t="s">
        <v>279</v>
      </c>
      <c r="Q212" s="42" t="s">
        <v>57</v>
      </c>
      <c r="R212" s="32">
        <v>2035</v>
      </c>
      <c r="S212" s="43" t="str">
        <f t="shared" si="28"/>
        <v>*0.64</v>
      </c>
      <c r="U212" s="32" t="s">
        <v>279</v>
      </c>
      <c r="V212" s="42" t="s">
        <v>57</v>
      </c>
      <c r="W212" s="32">
        <v>2050</v>
      </c>
      <c r="X212" s="43" t="str">
        <f t="shared" si="29"/>
        <v>*0.53</v>
      </c>
      <c r="AC212" s="33" t="s">
        <v>279</v>
      </c>
      <c r="AD212" s="44" t="s">
        <v>57</v>
      </c>
      <c r="AE212" s="33">
        <v>2035</v>
      </c>
      <c r="AF212" s="45" t="str">
        <f t="shared" si="30"/>
        <v>*0.6</v>
      </c>
      <c r="AG212" s="43" t="str">
        <f t="shared" si="32"/>
        <v>REZoning_Sol-Win</v>
      </c>
      <c r="AI212" s="33" t="s">
        <v>279</v>
      </c>
      <c r="AJ212" s="44" t="s">
        <v>57</v>
      </c>
      <c r="AK212" s="33">
        <v>2050</v>
      </c>
      <c r="AL212" s="45" t="str">
        <f t="shared" si="31"/>
        <v>*0.5</v>
      </c>
      <c r="AM212" s="43" t="str">
        <f t="shared" si="33"/>
        <v>REZoning_Sol-Win</v>
      </c>
      <c r="AP212" t="s">
        <v>279</v>
      </c>
      <c r="AQ212" t="s">
        <v>57</v>
      </c>
      <c r="AR212">
        <v>2100</v>
      </c>
      <c r="AS212" t="s">
        <v>85</v>
      </c>
      <c r="AT212" t="s">
        <v>58</v>
      </c>
    </row>
    <row r="213" ht="29" spans="1:46">
      <c r="A213" s="31" t="s">
        <v>83</v>
      </c>
      <c r="C213" t="s">
        <v>280</v>
      </c>
      <c r="D213" s="5" t="s">
        <v>57</v>
      </c>
      <c r="E213">
        <v>2035</v>
      </c>
      <c r="F213" s="6" t="str">
        <f t="shared" si="26"/>
        <v>*0.64</v>
      </c>
      <c r="H213" t="s">
        <v>280</v>
      </c>
      <c r="I213" s="5" t="s">
        <v>57</v>
      </c>
      <c r="J213">
        <v>2050</v>
      </c>
      <c r="K213" s="38" t="str">
        <f t="shared" si="27"/>
        <v>*0.54</v>
      </c>
      <c r="P213" s="32" t="s">
        <v>280</v>
      </c>
      <c r="Q213" s="42" t="s">
        <v>57</v>
      </c>
      <c r="R213" s="32">
        <v>2035</v>
      </c>
      <c r="S213" s="43" t="str">
        <f t="shared" si="28"/>
        <v>*0.64</v>
      </c>
      <c r="U213" s="32" t="s">
        <v>280</v>
      </c>
      <c r="V213" s="42" t="s">
        <v>57</v>
      </c>
      <c r="W213" s="32">
        <v>2050</v>
      </c>
      <c r="X213" s="43" t="str">
        <f t="shared" si="29"/>
        <v>*0.53</v>
      </c>
      <c r="AC213" s="33" t="s">
        <v>280</v>
      </c>
      <c r="AD213" s="44" t="s">
        <v>57</v>
      </c>
      <c r="AE213" s="33">
        <v>2035</v>
      </c>
      <c r="AF213" s="45" t="str">
        <f t="shared" si="30"/>
        <v>*0.6</v>
      </c>
      <c r="AG213" s="43" t="str">
        <f t="shared" si="32"/>
        <v>REZoning_Sol-Win</v>
      </c>
      <c r="AI213" s="33" t="s">
        <v>280</v>
      </c>
      <c r="AJ213" s="44" t="s">
        <v>57</v>
      </c>
      <c r="AK213" s="33">
        <v>2050</v>
      </c>
      <c r="AL213" s="45" t="str">
        <f t="shared" si="31"/>
        <v>*0.5</v>
      </c>
      <c r="AM213" s="43" t="str">
        <f t="shared" si="33"/>
        <v>REZoning_Sol-Win</v>
      </c>
      <c r="AP213" t="s">
        <v>280</v>
      </c>
      <c r="AQ213" t="s">
        <v>57</v>
      </c>
      <c r="AR213">
        <v>2100</v>
      </c>
      <c r="AS213" t="s">
        <v>85</v>
      </c>
      <c r="AT213" t="s">
        <v>58</v>
      </c>
    </row>
    <row r="214" ht="29" spans="1:46">
      <c r="A214" s="31" t="s">
        <v>83</v>
      </c>
      <c r="C214" t="s">
        <v>281</v>
      </c>
      <c r="D214" s="5" t="s">
        <v>57</v>
      </c>
      <c r="E214">
        <v>2035</v>
      </c>
      <c r="F214" s="6" t="str">
        <f t="shared" si="26"/>
        <v>*0.64</v>
      </c>
      <c r="H214" t="s">
        <v>281</v>
      </c>
      <c r="I214" s="5" t="s">
        <v>57</v>
      </c>
      <c r="J214">
        <v>2050</v>
      </c>
      <c r="K214" s="38" t="str">
        <f t="shared" si="27"/>
        <v>*0.54</v>
      </c>
      <c r="P214" s="32" t="s">
        <v>281</v>
      </c>
      <c r="Q214" s="42" t="s">
        <v>57</v>
      </c>
      <c r="R214" s="32">
        <v>2035</v>
      </c>
      <c r="S214" s="43" t="str">
        <f t="shared" si="28"/>
        <v>*0.64</v>
      </c>
      <c r="U214" s="32" t="s">
        <v>281</v>
      </c>
      <c r="V214" s="42" t="s">
        <v>57</v>
      </c>
      <c r="W214" s="32">
        <v>2050</v>
      </c>
      <c r="X214" s="43" t="str">
        <f t="shared" si="29"/>
        <v>*0.53</v>
      </c>
      <c r="AC214" s="33" t="s">
        <v>281</v>
      </c>
      <c r="AD214" s="44" t="s">
        <v>57</v>
      </c>
      <c r="AE214" s="33">
        <v>2035</v>
      </c>
      <c r="AF214" s="45" t="str">
        <f t="shared" si="30"/>
        <v>*0.6</v>
      </c>
      <c r="AG214" s="43" t="str">
        <f t="shared" si="32"/>
        <v>REZoning_Sol-Win</v>
      </c>
      <c r="AI214" s="33" t="s">
        <v>281</v>
      </c>
      <c r="AJ214" s="44" t="s">
        <v>57</v>
      </c>
      <c r="AK214" s="33">
        <v>2050</v>
      </c>
      <c r="AL214" s="45" t="str">
        <f t="shared" si="31"/>
        <v>*0.5</v>
      </c>
      <c r="AM214" s="43" t="str">
        <f t="shared" si="33"/>
        <v>REZoning_Sol-Win</v>
      </c>
      <c r="AP214" t="s">
        <v>281</v>
      </c>
      <c r="AQ214" t="s">
        <v>57</v>
      </c>
      <c r="AR214">
        <v>2100</v>
      </c>
      <c r="AS214" t="s">
        <v>85</v>
      </c>
      <c r="AT214" t="s">
        <v>58</v>
      </c>
    </row>
    <row r="215" ht="29" spans="1:46">
      <c r="A215" s="31" t="s">
        <v>83</v>
      </c>
      <c r="C215" t="s">
        <v>282</v>
      </c>
      <c r="D215" s="5" t="s">
        <v>57</v>
      </c>
      <c r="E215">
        <v>2035</v>
      </c>
      <c r="F215" s="6" t="str">
        <f t="shared" si="26"/>
        <v>*0.64</v>
      </c>
      <c r="H215" t="s">
        <v>282</v>
      </c>
      <c r="I215" s="5" t="s">
        <v>57</v>
      </c>
      <c r="J215">
        <v>2050</v>
      </c>
      <c r="K215" s="38" t="str">
        <f t="shared" si="27"/>
        <v>*0.54</v>
      </c>
      <c r="P215" s="32" t="s">
        <v>282</v>
      </c>
      <c r="Q215" s="42" t="s">
        <v>57</v>
      </c>
      <c r="R215" s="32">
        <v>2035</v>
      </c>
      <c r="S215" s="43" t="str">
        <f t="shared" si="28"/>
        <v>*0.64</v>
      </c>
      <c r="U215" s="32" t="s">
        <v>282</v>
      </c>
      <c r="V215" s="42" t="s">
        <v>57</v>
      </c>
      <c r="W215" s="32">
        <v>2050</v>
      </c>
      <c r="X215" s="43" t="str">
        <f t="shared" si="29"/>
        <v>*0.53</v>
      </c>
      <c r="AC215" s="33" t="s">
        <v>282</v>
      </c>
      <c r="AD215" s="44" t="s">
        <v>57</v>
      </c>
      <c r="AE215" s="33">
        <v>2035</v>
      </c>
      <c r="AF215" s="45" t="str">
        <f t="shared" si="30"/>
        <v>*0.6</v>
      </c>
      <c r="AG215" s="43" t="str">
        <f t="shared" si="32"/>
        <v>REZoning_Sol-Win</v>
      </c>
      <c r="AI215" s="33" t="s">
        <v>282</v>
      </c>
      <c r="AJ215" s="44" t="s">
        <v>57</v>
      </c>
      <c r="AK215" s="33">
        <v>2050</v>
      </c>
      <c r="AL215" s="45" t="str">
        <f t="shared" si="31"/>
        <v>*0.5</v>
      </c>
      <c r="AM215" s="43" t="str">
        <f t="shared" si="33"/>
        <v>REZoning_Sol-Win</v>
      </c>
      <c r="AP215" t="s">
        <v>282</v>
      </c>
      <c r="AQ215" t="s">
        <v>57</v>
      </c>
      <c r="AR215">
        <v>2100</v>
      </c>
      <c r="AS215" t="s">
        <v>85</v>
      </c>
      <c r="AT215" t="s">
        <v>58</v>
      </c>
    </row>
    <row r="216" ht="29" spans="1:46">
      <c r="A216" s="31" t="s">
        <v>83</v>
      </c>
      <c r="C216" t="s">
        <v>283</v>
      </c>
      <c r="D216" s="5" t="s">
        <v>57</v>
      </c>
      <c r="E216">
        <v>2035</v>
      </c>
      <c r="F216" s="6" t="str">
        <f t="shared" si="26"/>
        <v>*0.64</v>
      </c>
      <c r="H216" t="s">
        <v>283</v>
      </c>
      <c r="I216" s="5" t="s">
        <v>57</v>
      </c>
      <c r="J216">
        <v>2050</v>
      </c>
      <c r="K216" s="38" t="str">
        <f t="shared" si="27"/>
        <v>*0.54</v>
      </c>
      <c r="P216" s="32" t="s">
        <v>283</v>
      </c>
      <c r="Q216" s="42" t="s">
        <v>57</v>
      </c>
      <c r="R216" s="32">
        <v>2035</v>
      </c>
      <c r="S216" s="43" t="str">
        <f t="shared" si="28"/>
        <v>*0.64</v>
      </c>
      <c r="U216" s="32" t="s">
        <v>283</v>
      </c>
      <c r="V216" s="42" t="s">
        <v>57</v>
      </c>
      <c r="W216" s="32">
        <v>2050</v>
      </c>
      <c r="X216" s="43" t="str">
        <f t="shared" si="29"/>
        <v>*0.53</v>
      </c>
      <c r="AC216" s="33" t="s">
        <v>283</v>
      </c>
      <c r="AD216" s="44" t="s">
        <v>57</v>
      </c>
      <c r="AE216" s="33">
        <v>2035</v>
      </c>
      <c r="AF216" s="45" t="str">
        <f t="shared" si="30"/>
        <v>*0.6</v>
      </c>
      <c r="AG216" s="43" t="str">
        <f t="shared" si="32"/>
        <v>REZoning_Sol-Win</v>
      </c>
      <c r="AI216" s="33" t="s">
        <v>283</v>
      </c>
      <c r="AJ216" s="44" t="s">
        <v>57</v>
      </c>
      <c r="AK216" s="33">
        <v>2050</v>
      </c>
      <c r="AL216" s="45" t="str">
        <f t="shared" si="31"/>
        <v>*0.5</v>
      </c>
      <c r="AM216" s="43" t="str">
        <f t="shared" si="33"/>
        <v>REZoning_Sol-Win</v>
      </c>
      <c r="AP216" t="s">
        <v>283</v>
      </c>
      <c r="AQ216" t="s">
        <v>57</v>
      </c>
      <c r="AR216">
        <v>2100</v>
      </c>
      <c r="AS216" t="s">
        <v>85</v>
      </c>
      <c r="AT216" t="s">
        <v>58</v>
      </c>
    </row>
    <row r="217" ht="29" spans="1:46">
      <c r="A217" s="31" t="s">
        <v>83</v>
      </c>
      <c r="C217" t="s">
        <v>284</v>
      </c>
      <c r="D217" s="5" t="s">
        <v>57</v>
      </c>
      <c r="E217">
        <v>2035</v>
      </c>
      <c r="F217" s="6" t="str">
        <f t="shared" si="26"/>
        <v>*0.64</v>
      </c>
      <c r="H217" t="s">
        <v>284</v>
      </c>
      <c r="I217" s="5" t="s">
        <v>57</v>
      </c>
      <c r="J217">
        <v>2050</v>
      </c>
      <c r="K217" s="38" t="str">
        <f t="shared" si="27"/>
        <v>*0.54</v>
      </c>
      <c r="P217" s="32" t="s">
        <v>284</v>
      </c>
      <c r="Q217" s="42" t="s">
        <v>57</v>
      </c>
      <c r="R217" s="32">
        <v>2035</v>
      </c>
      <c r="S217" s="43" t="str">
        <f t="shared" si="28"/>
        <v>*0.64</v>
      </c>
      <c r="U217" s="32" t="s">
        <v>284</v>
      </c>
      <c r="V217" s="42" t="s">
        <v>57</v>
      </c>
      <c r="W217" s="32">
        <v>2050</v>
      </c>
      <c r="X217" s="43" t="str">
        <f t="shared" si="29"/>
        <v>*0.53</v>
      </c>
      <c r="AC217" s="33" t="s">
        <v>284</v>
      </c>
      <c r="AD217" s="44" t="s">
        <v>57</v>
      </c>
      <c r="AE217" s="33">
        <v>2035</v>
      </c>
      <c r="AF217" s="45" t="str">
        <f t="shared" si="30"/>
        <v>*0.6</v>
      </c>
      <c r="AG217" s="43" t="str">
        <f t="shared" si="32"/>
        <v>REZoning_Sol-Win</v>
      </c>
      <c r="AI217" s="33" t="s">
        <v>284</v>
      </c>
      <c r="AJ217" s="44" t="s">
        <v>57</v>
      </c>
      <c r="AK217" s="33">
        <v>2050</v>
      </c>
      <c r="AL217" s="45" t="str">
        <f t="shared" si="31"/>
        <v>*0.5</v>
      </c>
      <c r="AM217" s="43" t="str">
        <f t="shared" si="33"/>
        <v>REZoning_Sol-Win</v>
      </c>
      <c r="AP217" t="s">
        <v>284</v>
      </c>
      <c r="AQ217" t="s">
        <v>57</v>
      </c>
      <c r="AR217">
        <v>2100</v>
      </c>
      <c r="AS217" t="s">
        <v>85</v>
      </c>
      <c r="AT217" t="s">
        <v>58</v>
      </c>
    </row>
    <row r="218" ht="29" spans="1:46">
      <c r="A218" s="31" t="s">
        <v>73</v>
      </c>
      <c r="C218" t="s">
        <v>285</v>
      </c>
      <c r="D218" s="5" t="s">
        <v>57</v>
      </c>
      <c r="E218">
        <v>2035</v>
      </c>
      <c r="F218" s="6" t="str">
        <f t="shared" si="26"/>
        <v>*0.63</v>
      </c>
      <c r="H218" t="s">
        <v>285</v>
      </c>
      <c r="I218" s="5" t="s">
        <v>57</v>
      </c>
      <c r="J218">
        <v>2050</v>
      </c>
      <c r="K218" s="38" t="str">
        <f t="shared" si="27"/>
        <v>*0.54</v>
      </c>
      <c r="P218" s="32" t="s">
        <v>285</v>
      </c>
      <c r="Q218" s="42" t="s">
        <v>57</v>
      </c>
      <c r="R218" s="32">
        <v>2035</v>
      </c>
      <c r="S218" s="43" t="str">
        <f t="shared" si="28"/>
        <v>*0.62</v>
      </c>
      <c r="U218" s="32" t="s">
        <v>285</v>
      </c>
      <c r="V218" s="42" t="s">
        <v>57</v>
      </c>
      <c r="W218" s="32">
        <v>2050</v>
      </c>
      <c r="X218" s="43" t="str">
        <f t="shared" si="29"/>
        <v>*0.51</v>
      </c>
      <c r="AC218" s="33" t="s">
        <v>285</v>
      </c>
      <c r="AD218" s="44" t="s">
        <v>57</v>
      </c>
      <c r="AE218" s="33">
        <v>2035</v>
      </c>
      <c r="AF218" s="45" t="str">
        <f t="shared" si="30"/>
        <v>*0.58</v>
      </c>
      <c r="AG218" s="43" t="str">
        <f t="shared" si="32"/>
        <v>REZoning_Sol-Win</v>
      </c>
      <c r="AI218" s="33" t="s">
        <v>285</v>
      </c>
      <c r="AJ218" s="44" t="s">
        <v>57</v>
      </c>
      <c r="AK218" s="33">
        <v>2050</v>
      </c>
      <c r="AL218" s="45" t="str">
        <f t="shared" si="31"/>
        <v>*0.49</v>
      </c>
      <c r="AM218" s="43" t="str">
        <f t="shared" si="33"/>
        <v>REZoning_Sol-Win</v>
      </c>
      <c r="AP218" t="s">
        <v>285</v>
      </c>
      <c r="AQ218" t="s">
        <v>57</v>
      </c>
      <c r="AR218">
        <v>2100</v>
      </c>
      <c r="AS218" t="s">
        <v>75</v>
      </c>
      <c r="AT218" t="s">
        <v>58</v>
      </c>
    </row>
    <row r="219" ht="29" spans="1:46">
      <c r="A219" s="31" t="s">
        <v>73</v>
      </c>
      <c r="C219" t="s">
        <v>286</v>
      </c>
      <c r="D219" s="5" t="s">
        <v>57</v>
      </c>
      <c r="E219">
        <v>2035</v>
      </c>
      <c r="F219" s="6" t="str">
        <f t="shared" si="26"/>
        <v>*0.63</v>
      </c>
      <c r="H219" t="s">
        <v>286</v>
      </c>
      <c r="I219" s="5" t="s">
        <v>57</v>
      </c>
      <c r="J219">
        <v>2050</v>
      </c>
      <c r="K219" s="38" t="str">
        <f t="shared" si="27"/>
        <v>*0.54</v>
      </c>
      <c r="P219" s="32" t="s">
        <v>286</v>
      </c>
      <c r="Q219" s="42" t="s">
        <v>57</v>
      </c>
      <c r="R219" s="32">
        <v>2035</v>
      </c>
      <c r="S219" s="43" t="str">
        <f t="shared" si="28"/>
        <v>*0.62</v>
      </c>
      <c r="U219" s="32" t="s">
        <v>286</v>
      </c>
      <c r="V219" s="42" t="s">
        <v>57</v>
      </c>
      <c r="W219" s="32">
        <v>2050</v>
      </c>
      <c r="X219" s="43" t="str">
        <f t="shared" si="29"/>
        <v>*0.51</v>
      </c>
      <c r="AC219" s="33" t="s">
        <v>286</v>
      </c>
      <c r="AD219" s="44" t="s">
        <v>57</v>
      </c>
      <c r="AE219" s="33">
        <v>2035</v>
      </c>
      <c r="AF219" s="45" t="str">
        <f t="shared" si="30"/>
        <v>*0.58</v>
      </c>
      <c r="AG219" s="43" t="str">
        <f t="shared" si="32"/>
        <v>REZoning_Sol-Win</v>
      </c>
      <c r="AI219" s="33" t="s">
        <v>286</v>
      </c>
      <c r="AJ219" s="44" t="s">
        <v>57</v>
      </c>
      <c r="AK219" s="33">
        <v>2050</v>
      </c>
      <c r="AL219" s="45" t="str">
        <f t="shared" si="31"/>
        <v>*0.49</v>
      </c>
      <c r="AM219" s="43" t="str">
        <f t="shared" si="33"/>
        <v>REZoning_Sol-Win</v>
      </c>
      <c r="AP219" t="s">
        <v>286</v>
      </c>
      <c r="AQ219" t="s">
        <v>57</v>
      </c>
      <c r="AR219">
        <v>2100</v>
      </c>
      <c r="AS219" t="s">
        <v>75</v>
      </c>
      <c r="AT219" t="s">
        <v>58</v>
      </c>
    </row>
    <row r="220" ht="29" spans="1:46">
      <c r="A220" s="31" t="s">
        <v>73</v>
      </c>
      <c r="C220" t="s">
        <v>287</v>
      </c>
      <c r="D220" s="5" t="s">
        <v>57</v>
      </c>
      <c r="E220">
        <v>2035</v>
      </c>
      <c r="F220" s="6" t="str">
        <f t="shared" si="26"/>
        <v>*0.63</v>
      </c>
      <c r="H220" t="s">
        <v>287</v>
      </c>
      <c r="I220" s="5" t="s">
        <v>57</v>
      </c>
      <c r="J220">
        <v>2050</v>
      </c>
      <c r="K220" s="38" t="str">
        <f t="shared" si="27"/>
        <v>*0.54</v>
      </c>
      <c r="P220" s="32" t="s">
        <v>287</v>
      </c>
      <c r="Q220" s="42" t="s">
        <v>57</v>
      </c>
      <c r="R220" s="32">
        <v>2035</v>
      </c>
      <c r="S220" s="43" t="str">
        <f t="shared" si="28"/>
        <v>*0.62</v>
      </c>
      <c r="U220" s="32" t="s">
        <v>287</v>
      </c>
      <c r="V220" s="42" t="s">
        <v>57</v>
      </c>
      <c r="W220" s="32">
        <v>2050</v>
      </c>
      <c r="X220" s="43" t="str">
        <f t="shared" si="29"/>
        <v>*0.51</v>
      </c>
      <c r="AC220" s="33" t="s">
        <v>287</v>
      </c>
      <c r="AD220" s="44" t="s">
        <v>57</v>
      </c>
      <c r="AE220" s="33">
        <v>2035</v>
      </c>
      <c r="AF220" s="45" t="str">
        <f t="shared" si="30"/>
        <v>*0.58</v>
      </c>
      <c r="AG220" s="43" t="str">
        <f t="shared" si="32"/>
        <v>REZoning_Sol-Win</v>
      </c>
      <c r="AI220" s="33" t="s">
        <v>287</v>
      </c>
      <c r="AJ220" s="44" t="s">
        <v>57</v>
      </c>
      <c r="AK220" s="33">
        <v>2050</v>
      </c>
      <c r="AL220" s="45" t="str">
        <f t="shared" si="31"/>
        <v>*0.49</v>
      </c>
      <c r="AM220" s="43" t="str">
        <f t="shared" si="33"/>
        <v>REZoning_Sol-Win</v>
      </c>
      <c r="AP220" t="s">
        <v>287</v>
      </c>
      <c r="AQ220" t="s">
        <v>57</v>
      </c>
      <c r="AR220">
        <v>2100</v>
      </c>
      <c r="AS220" t="s">
        <v>75</v>
      </c>
      <c r="AT220" t="s">
        <v>58</v>
      </c>
    </row>
    <row r="221" ht="29" spans="1:46">
      <c r="A221" s="31" t="s">
        <v>73</v>
      </c>
      <c r="C221" t="s">
        <v>288</v>
      </c>
      <c r="D221" s="5" t="s">
        <v>57</v>
      </c>
      <c r="E221">
        <v>2035</v>
      </c>
      <c r="F221" s="6" t="str">
        <f t="shared" si="26"/>
        <v>*0.63</v>
      </c>
      <c r="H221" t="s">
        <v>288</v>
      </c>
      <c r="I221" s="5" t="s">
        <v>57</v>
      </c>
      <c r="J221">
        <v>2050</v>
      </c>
      <c r="K221" s="38" t="str">
        <f t="shared" si="27"/>
        <v>*0.54</v>
      </c>
      <c r="P221" s="32" t="s">
        <v>288</v>
      </c>
      <c r="Q221" s="42" t="s">
        <v>57</v>
      </c>
      <c r="R221" s="32">
        <v>2035</v>
      </c>
      <c r="S221" s="43" t="str">
        <f t="shared" si="28"/>
        <v>*0.62</v>
      </c>
      <c r="U221" s="32" t="s">
        <v>288</v>
      </c>
      <c r="V221" s="42" t="s">
        <v>57</v>
      </c>
      <c r="W221" s="32">
        <v>2050</v>
      </c>
      <c r="X221" s="43" t="str">
        <f t="shared" si="29"/>
        <v>*0.51</v>
      </c>
      <c r="AC221" s="33" t="s">
        <v>288</v>
      </c>
      <c r="AD221" s="44" t="s">
        <v>57</v>
      </c>
      <c r="AE221" s="33">
        <v>2035</v>
      </c>
      <c r="AF221" s="45" t="str">
        <f t="shared" si="30"/>
        <v>*0.58</v>
      </c>
      <c r="AG221" s="43" t="str">
        <f t="shared" si="32"/>
        <v>REZoning_Sol-Win</v>
      </c>
      <c r="AI221" s="33" t="s">
        <v>288</v>
      </c>
      <c r="AJ221" s="44" t="s">
        <v>57</v>
      </c>
      <c r="AK221" s="33">
        <v>2050</v>
      </c>
      <c r="AL221" s="45" t="str">
        <f t="shared" si="31"/>
        <v>*0.49</v>
      </c>
      <c r="AM221" s="43" t="str">
        <f t="shared" si="33"/>
        <v>REZoning_Sol-Win</v>
      </c>
      <c r="AP221" t="s">
        <v>288</v>
      </c>
      <c r="AQ221" t="s">
        <v>57</v>
      </c>
      <c r="AR221">
        <v>2100</v>
      </c>
      <c r="AS221" t="s">
        <v>75</v>
      </c>
      <c r="AT221" t="s">
        <v>58</v>
      </c>
    </row>
    <row r="222" ht="29" spans="1:46">
      <c r="A222" s="31" t="s">
        <v>73</v>
      </c>
      <c r="C222" t="s">
        <v>289</v>
      </c>
      <c r="D222" s="5" t="s">
        <v>57</v>
      </c>
      <c r="E222">
        <v>2035</v>
      </c>
      <c r="F222" s="6" t="str">
        <f t="shared" si="26"/>
        <v>*0.63</v>
      </c>
      <c r="H222" t="s">
        <v>289</v>
      </c>
      <c r="I222" s="5" t="s">
        <v>57</v>
      </c>
      <c r="J222">
        <v>2050</v>
      </c>
      <c r="K222" s="38" t="str">
        <f t="shared" si="27"/>
        <v>*0.54</v>
      </c>
      <c r="P222" s="32" t="s">
        <v>289</v>
      </c>
      <c r="Q222" s="42" t="s">
        <v>57</v>
      </c>
      <c r="R222" s="32">
        <v>2035</v>
      </c>
      <c r="S222" s="43" t="str">
        <f t="shared" si="28"/>
        <v>*0.62</v>
      </c>
      <c r="U222" s="32" t="s">
        <v>289</v>
      </c>
      <c r="V222" s="42" t="s">
        <v>57</v>
      </c>
      <c r="W222" s="32">
        <v>2050</v>
      </c>
      <c r="X222" s="43" t="str">
        <f t="shared" si="29"/>
        <v>*0.51</v>
      </c>
      <c r="AC222" s="33" t="s">
        <v>289</v>
      </c>
      <c r="AD222" s="44" t="s">
        <v>57</v>
      </c>
      <c r="AE222" s="33">
        <v>2035</v>
      </c>
      <c r="AF222" s="45" t="str">
        <f t="shared" si="30"/>
        <v>*0.58</v>
      </c>
      <c r="AG222" s="43" t="str">
        <f t="shared" si="32"/>
        <v>REZoning_Sol-Win</v>
      </c>
      <c r="AI222" s="33" t="s">
        <v>289</v>
      </c>
      <c r="AJ222" s="44" t="s">
        <v>57</v>
      </c>
      <c r="AK222" s="33">
        <v>2050</v>
      </c>
      <c r="AL222" s="45" t="str">
        <f t="shared" si="31"/>
        <v>*0.49</v>
      </c>
      <c r="AM222" s="43" t="str">
        <f t="shared" si="33"/>
        <v>REZoning_Sol-Win</v>
      </c>
      <c r="AP222" t="s">
        <v>289</v>
      </c>
      <c r="AQ222" t="s">
        <v>57</v>
      </c>
      <c r="AR222">
        <v>2100</v>
      </c>
      <c r="AS222" t="s">
        <v>75</v>
      </c>
      <c r="AT222" t="s">
        <v>58</v>
      </c>
    </row>
    <row r="223" ht="29" spans="1:46">
      <c r="A223" s="31" t="s">
        <v>73</v>
      </c>
      <c r="C223" t="s">
        <v>290</v>
      </c>
      <c r="D223" s="5" t="s">
        <v>57</v>
      </c>
      <c r="E223">
        <v>2035</v>
      </c>
      <c r="F223" s="6" t="str">
        <f t="shared" si="26"/>
        <v>*0.63</v>
      </c>
      <c r="H223" t="s">
        <v>290</v>
      </c>
      <c r="I223" s="5" t="s">
        <v>57</v>
      </c>
      <c r="J223">
        <v>2050</v>
      </c>
      <c r="K223" s="38" t="str">
        <f t="shared" si="27"/>
        <v>*0.54</v>
      </c>
      <c r="P223" s="32" t="s">
        <v>290</v>
      </c>
      <c r="Q223" s="42" t="s">
        <v>57</v>
      </c>
      <c r="R223" s="32">
        <v>2035</v>
      </c>
      <c r="S223" s="43" t="str">
        <f t="shared" si="28"/>
        <v>*0.62</v>
      </c>
      <c r="U223" s="32" t="s">
        <v>290</v>
      </c>
      <c r="V223" s="42" t="s">
        <v>57</v>
      </c>
      <c r="W223" s="32">
        <v>2050</v>
      </c>
      <c r="X223" s="43" t="str">
        <f t="shared" si="29"/>
        <v>*0.51</v>
      </c>
      <c r="AC223" s="33" t="s">
        <v>290</v>
      </c>
      <c r="AD223" s="44" t="s">
        <v>57</v>
      </c>
      <c r="AE223" s="33">
        <v>2035</v>
      </c>
      <c r="AF223" s="45" t="str">
        <f t="shared" si="30"/>
        <v>*0.58</v>
      </c>
      <c r="AG223" s="43" t="str">
        <f t="shared" si="32"/>
        <v>REZoning_Sol-Win</v>
      </c>
      <c r="AI223" s="33" t="s">
        <v>290</v>
      </c>
      <c r="AJ223" s="44" t="s">
        <v>57</v>
      </c>
      <c r="AK223" s="33">
        <v>2050</v>
      </c>
      <c r="AL223" s="45" t="str">
        <f t="shared" si="31"/>
        <v>*0.49</v>
      </c>
      <c r="AM223" s="43" t="str">
        <f t="shared" si="33"/>
        <v>REZoning_Sol-Win</v>
      </c>
      <c r="AP223" t="s">
        <v>290</v>
      </c>
      <c r="AQ223" t="s">
        <v>57</v>
      </c>
      <c r="AR223">
        <v>2100</v>
      </c>
      <c r="AS223" t="s">
        <v>75</v>
      </c>
      <c r="AT223" t="s">
        <v>58</v>
      </c>
    </row>
    <row r="224" ht="29" spans="1:46">
      <c r="A224" s="31" t="s">
        <v>73</v>
      </c>
      <c r="C224" t="s">
        <v>291</v>
      </c>
      <c r="D224" s="5" t="s">
        <v>57</v>
      </c>
      <c r="E224">
        <v>2035</v>
      </c>
      <c r="F224" s="6" t="str">
        <f t="shared" si="26"/>
        <v>*0.63</v>
      </c>
      <c r="H224" t="s">
        <v>291</v>
      </c>
      <c r="I224" s="5" t="s">
        <v>57</v>
      </c>
      <c r="J224">
        <v>2050</v>
      </c>
      <c r="K224" s="38" t="str">
        <f t="shared" si="27"/>
        <v>*0.54</v>
      </c>
      <c r="P224" s="32" t="s">
        <v>291</v>
      </c>
      <c r="Q224" s="42" t="s">
        <v>57</v>
      </c>
      <c r="R224" s="32">
        <v>2035</v>
      </c>
      <c r="S224" s="43" t="str">
        <f t="shared" si="28"/>
        <v>*0.62</v>
      </c>
      <c r="U224" s="32" t="s">
        <v>291</v>
      </c>
      <c r="V224" s="42" t="s">
        <v>57</v>
      </c>
      <c r="W224" s="32">
        <v>2050</v>
      </c>
      <c r="X224" s="43" t="str">
        <f t="shared" si="29"/>
        <v>*0.51</v>
      </c>
      <c r="AC224" s="33" t="s">
        <v>291</v>
      </c>
      <c r="AD224" s="44" t="s">
        <v>57</v>
      </c>
      <c r="AE224" s="33">
        <v>2035</v>
      </c>
      <c r="AF224" s="45" t="str">
        <f t="shared" si="30"/>
        <v>*0.58</v>
      </c>
      <c r="AG224" s="43" t="str">
        <f t="shared" si="32"/>
        <v>REZoning_Sol-Win</v>
      </c>
      <c r="AI224" s="33" t="s">
        <v>291</v>
      </c>
      <c r="AJ224" s="44" t="s">
        <v>57</v>
      </c>
      <c r="AK224" s="33">
        <v>2050</v>
      </c>
      <c r="AL224" s="45" t="str">
        <f t="shared" si="31"/>
        <v>*0.49</v>
      </c>
      <c r="AM224" s="43" t="str">
        <f t="shared" si="33"/>
        <v>REZoning_Sol-Win</v>
      </c>
      <c r="AP224" t="s">
        <v>291</v>
      </c>
      <c r="AQ224" t="s">
        <v>57</v>
      </c>
      <c r="AR224">
        <v>2100</v>
      </c>
      <c r="AS224" t="s">
        <v>75</v>
      </c>
      <c r="AT224" t="s">
        <v>58</v>
      </c>
    </row>
    <row r="225" ht="29" spans="1:46">
      <c r="A225" s="31" t="s">
        <v>73</v>
      </c>
      <c r="C225" t="s">
        <v>292</v>
      </c>
      <c r="D225" s="5" t="s">
        <v>57</v>
      </c>
      <c r="E225">
        <v>2035</v>
      </c>
      <c r="F225" s="6" t="str">
        <f t="shared" si="26"/>
        <v>*0.63</v>
      </c>
      <c r="H225" t="s">
        <v>292</v>
      </c>
      <c r="I225" s="5" t="s">
        <v>57</v>
      </c>
      <c r="J225">
        <v>2050</v>
      </c>
      <c r="K225" s="38" t="str">
        <f t="shared" si="27"/>
        <v>*0.54</v>
      </c>
      <c r="P225" s="32" t="s">
        <v>292</v>
      </c>
      <c r="Q225" s="42" t="s">
        <v>57</v>
      </c>
      <c r="R225" s="32">
        <v>2035</v>
      </c>
      <c r="S225" s="43" t="str">
        <f t="shared" si="28"/>
        <v>*0.62</v>
      </c>
      <c r="U225" s="32" t="s">
        <v>292</v>
      </c>
      <c r="V225" s="42" t="s">
        <v>57</v>
      </c>
      <c r="W225" s="32">
        <v>2050</v>
      </c>
      <c r="X225" s="43" t="str">
        <f t="shared" si="29"/>
        <v>*0.51</v>
      </c>
      <c r="AC225" s="33" t="s">
        <v>292</v>
      </c>
      <c r="AD225" s="44" t="s">
        <v>57</v>
      </c>
      <c r="AE225" s="33">
        <v>2035</v>
      </c>
      <c r="AF225" s="45" t="str">
        <f t="shared" si="30"/>
        <v>*0.58</v>
      </c>
      <c r="AG225" s="43" t="str">
        <f t="shared" si="32"/>
        <v>REZoning_Sol-Win</v>
      </c>
      <c r="AI225" s="33" t="s">
        <v>292</v>
      </c>
      <c r="AJ225" s="44" t="s">
        <v>57</v>
      </c>
      <c r="AK225" s="33">
        <v>2050</v>
      </c>
      <c r="AL225" s="45" t="str">
        <f t="shared" si="31"/>
        <v>*0.49</v>
      </c>
      <c r="AM225" s="43" t="str">
        <f t="shared" si="33"/>
        <v>REZoning_Sol-Win</v>
      </c>
      <c r="AP225" t="s">
        <v>292</v>
      </c>
      <c r="AQ225" t="s">
        <v>57</v>
      </c>
      <c r="AR225">
        <v>2100</v>
      </c>
      <c r="AS225" t="s">
        <v>75</v>
      </c>
      <c r="AT225" t="s">
        <v>58</v>
      </c>
    </row>
    <row r="226" ht="29" spans="1:46">
      <c r="A226" s="31" t="s">
        <v>73</v>
      </c>
      <c r="C226" t="s">
        <v>293</v>
      </c>
      <c r="D226" s="5" t="s">
        <v>57</v>
      </c>
      <c r="E226">
        <v>2035</v>
      </c>
      <c r="F226" s="6" t="str">
        <f t="shared" si="26"/>
        <v>*0.63</v>
      </c>
      <c r="H226" t="s">
        <v>293</v>
      </c>
      <c r="I226" s="5" t="s">
        <v>57</v>
      </c>
      <c r="J226">
        <v>2050</v>
      </c>
      <c r="K226" s="38" t="str">
        <f t="shared" si="27"/>
        <v>*0.54</v>
      </c>
      <c r="P226" s="32" t="s">
        <v>293</v>
      </c>
      <c r="Q226" s="42" t="s">
        <v>57</v>
      </c>
      <c r="R226" s="32">
        <v>2035</v>
      </c>
      <c r="S226" s="43" t="str">
        <f t="shared" si="28"/>
        <v>*0.62</v>
      </c>
      <c r="U226" s="32" t="s">
        <v>293</v>
      </c>
      <c r="V226" s="42" t="s">
        <v>57</v>
      </c>
      <c r="W226" s="32">
        <v>2050</v>
      </c>
      <c r="X226" s="43" t="str">
        <f t="shared" si="29"/>
        <v>*0.51</v>
      </c>
      <c r="AC226" s="33" t="s">
        <v>293</v>
      </c>
      <c r="AD226" s="44" t="s">
        <v>57</v>
      </c>
      <c r="AE226" s="33">
        <v>2035</v>
      </c>
      <c r="AF226" s="45" t="str">
        <f t="shared" si="30"/>
        <v>*0.58</v>
      </c>
      <c r="AG226" s="43" t="str">
        <f t="shared" si="32"/>
        <v>REZoning_Sol-Win</v>
      </c>
      <c r="AI226" s="33" t="s">
        <v>293</v>
      </c>
      <c r="AJ226" s="44" t="s">
        <v>57</v>
      </c>
      <c r="AK226" s="33">
        <v>2050</v>
      </c>
      <c r="AL226" s="45" t="str">
        <f t="shared" si="31"/>
        <v>*0.49</v>
      </c>
      <c r="AM226" s="43" t="str">
        <f t="shared" si="33"/>
        <v>REZoning_Sol-Win</v>
      </c>
      <c r="AP226" t="s">
        <v>293</v>
      </c>
      <c r="AQ226" t="s">
        <v>57</v>
      </c>
      <c r="AR226">
        <v>2100</v>
      </c>
      <c r="AS226" t="s">
        <v>75</v>
      </c>
      <c r="AT226" t="s">
        <v>58</v>
      </c>
    </row>
    <row r="227" ht="29" spans="1:46">
      <c r="A227" s="31" t="s">
        <v>73</v>
      </c>
      <c r="C227" t="s">
        <v>294</v>
      </c>
      <c r="D227" s="5" t="s">
        <v>57</v>
      </c>
      <c r="E227">
        <v>2035</v>
      </c>
      <c r="F227" s="6" t="str">
        <f t="shared" si="26"/>
        <v>*0.63</v>
      </c>
      <c r="H227" t="s">
        <v>294</v>
      </c>
      <c r="I227" s="5" t="s">
        <v>57</v>
      </c>
      <c r="J227">
        <v>2050</v>
      </c>
      <c r="K227" s="38" t="str">
        <f t="shared" si="27"/>
        <v>*0.54</v>
      </c>
      <c r="P227" s="32" t="s">
        <v>294</v>
      </c>
      <c r="Q227" s="42" t="s">
        <v>57</v>
      </c>
      <c r="R227" s="32">
        <v>2035</v>
      </c>
      <c r="S227" s="43" t="str">
        <f t="shared" si="28"/>
        <v>*0.62</v>
      </c>
      <c r="U227" s="32" t="s">
        <v>294</v>
      </c>
      <c r="V227" s="42" t="s">
        <v>57</v>
      </c>
      <c r="W227" s="32">
        <v>2050</v>
      </c>
      <c r="X227" s="43" t="str">
        <f t="shared" si="29"/>
        <v>*0.51</v>
      </c>
      <c r="AC227" s="33" t="s">
        <v>294</v>
      </c>
      <c r="AD227" s="44" t="s">
        <v>57</v>
      </c>
      <c r="AE227" s="33">
        <v>2035</v>
      </c>
      <c r="AF227" s="45" t="str">
        <f t="shared" si="30"/>
        <v>*0.58</v>
      </c>
      <c r="AG227" s="43" t="str">
        <f t="shared" si="32"/>
        <v>REZoning_Sol-Win</v>
      </c>
      <c r="AI227" s="33" t="s">
        <v>294</v>
      </c>
      <c r="AJ227" s="44" t="s">
        <v>57</v>
      </c>
      <c r="AK227" s="33">
        <v>2050</v>
      </c>
      <c r="AL227" s="45" t="str">
        <f t="shared" si="31"/>
        <v>*0.49</v>
      </c>
      <c r="AM227" s="43" t="str">
        <f t="shared" si="33"/>
        <v>REZoning_Sol-Win</v>
      </c>
      <c r="AP227" t="s">
        <v>294</v>
      </c>
      <c r="AQ227" t="s">
        <v>57</v>
      </c>
      <c r="AR227">
        <v>2100</v>
      </c>
      <c r="AS227" t="s">
        <v>75</v>
      </c>
      <c r="AT227" t="s">
        <v>58</v>
      </c>
    </row>
    <row r="228" ht="29" spans="1:46">
      <c r="A228" s="31" t="s">
        <v>65</v>
      </c>
      <c r="C228" t="s">
        <v>295</v>
      </c>
      <c r="D228" s="5" t="s">
        <v>57</v>
      </c>
      <c r="E228">
        <v>2035</v>
      </c>
      <c r="F228" s="6" t="str">
        <f t="shared" si="26"/>
        <v>*0.61</v>
      </c>
      <c r="H228" t="s">
        <v>295</v>
      </c>
      <c r="I228" s="5" t="s">
        <v>57</v>
      </c>
      <c r="J228">
        <v>2050</v>
      </c>
      <c r="K228" s="38" t="str">
        <f t="shared" si="27"/>
        <v>*0.5</v>
      </c>
      <c r="P228" s="32" t="s">
        <v>295</v>
      </c>
      <c r="Q228" s="42" t="s">
        <v>57</v>
      </c>
      <c r="R228" s="32">
        <v>2035</v>
      </c>
      <c r="S228" s="43" t="str">
        <f t="shared" si="28"/>
        <v>*0.58</v>
      </c>
      <c r="U228" s="32" t="s">
        <v>295</v>
      </c>
      <c r="V228" s="42" t="s">
        <v>57</v>
      </c>
      <c r="W228" s="32">
        <v>2050</v>
      </c>
      <c r="X228" s="43" t="str">
        <f t="shared" si="29"/>
        <v>*0.47</v>
      </c>
      <c r="AC228" s="33" t="s">
        <v>295</v>
      </c>
      <c r="AD228" s="44" t="s">
        <v>57</v>
      </c>
      <c r="AE228" s="33">
        <v>2035</v>
      </c>
      <c r="AF228" s="45" t="str">
        <f t="shared" si="30"/>
        <v>*0.53</v>
      </c>
      <c r="AG228" s="43" t="str">
        <f t="shared" si="32"/>
        <v>REZoning_Sol-Win</v>
      </c>
      <c r="AI228" s="33" t="s">
        <v>295</v>
      </c>
      <c r="AJ228" s="44" t="s">
        <v>57</v>
      </c>
      <c r="AK228" s="33">
        <v>2050</v>
      </c>
      <c r="AL228" s="45" t="str">
        <f t="shared" si="31"/>
        <v>*0.41</v>
      </c>
      <c r="AM228" s="43" t="str">
        <f t="shared" si="33"/>
        <v>REZoning_Sol-Win</v>
      </c>
      <c r="AP228" t="s">
        <v>295</v>
      </c>
      <c r="AQ228" t="s">
        <v>57</v>
      </c>
      <c r="AR228">
        <v>2100</v>
      </c>
      <c r="AS228" t="s">
        <v>67</v>
      </c>
      <c r="AT228" t="s">
        <v>58</v>
      </c>
    </row>
    <row r="229" ht="29" spans="1:46">
      <c r="A229" s="31" t="s">
        <v>65</v>
      </c>
      <c r="C229" t="s">
        <v>296</v>
      </c>
      <c r="D229" s="5" t="s">
        <v>57</v>
      </c>
      <c r="E229">
        <v>2035</v>
      </c>
      <c r="F229" s="6" t="str">
        <f t="shared" si="26"/>
        <v>*0.61</v>
      </c>
      <c r="H229" t="s">
        <v>296</v>
      </c>
      <c r="I229" s="5" t="s">
        <v>57</v>
      </c>
      <c r="J229">
        <v>2050</v>
      </c>
      <c r="K229" s="38" t="str">
        <f t="shared" si="27"/>
        <v>*0.5</v>
      </c>
      <c r="P229" s="32" t="s">
        <v>296</v>
      </c>
      <c r="Q229" s="42" t="s">
        <v>57</v>
      </c>
      <c r="R229" s="32">
        <v>2035</v>
      </c>
      <c r="S229" s="43" t="str">
        <f t="shared" si="28"/>
        <v>*0.58</v>
      </c>
      <c r="U229" s="32" t="s">
        <v>296</v>
      </c>
      <c r="V229" s="42" t="s">
        <v>57</v>
      </c>
      <c r="W229" s="32">
        <v>2050</v>
      </c>
      <c r="X229" s="43" t="str">
        <f t="shared" si="29"/>
        <v>*0.47</v>
      </c>
      <c r="AC229" s="33" t="s">
        <v>296</v>
      </c>
      <c r="AD229" s="44" t="s">
        <v>57</v>
      </c>
      <c r="AE229" s="33">
        <v>2035</v>
      </c>
      <c r="AF229" s="45" t="str">
        <f t="shared" si="30"/>
        <v>*0.53</v>
      </c>
      <c r="AG229" s="43" t="str">
        <f t="shared" si="32"/>
        <v>REZoning_Sol-Win</v>
      </c>
      <c r="AI229" s="33" t="s">
        <v>296</v>
      </c>
      <c r="AJ229" s="44" t="s">
        <v>57</v>
      </c>
      <c r="AK229" s="33">
        <v>2050</v>
      </c>
      <c r="AL229" s="45" t="str">
        <f t="shared" si="31"/>
        <v>*0.41</v>
      </c>
      <c r="AM229" s="43" t="str">
        <f t="shared" si="33"/>
        <v>REZoning_Sol-Win</v>
      </c>
      <c r="AP229" t="s">
        <v>296</v>
      </c>
      <c r="AQ229" t="s">
        <v>57</v>
      </c>
      <c r="AR229">
        <v>2100</v>
      </c>
      <c r="AS229" t="s">
        <v>67</v>
      </c>
      <c r="AT229" t="s">
        <v>58</v>
      </c>
    </row>
    <row r="230" ht="29" spans="1:46">
      <c r="A230" s="31" t="s">
        <v>73</v>
      </c>
      <c r="C230" t="s">
        <v>297</v>
      </c>
      <c r="D230" s="5" t="s">
        <v>57</v>
      </c>
      <c r="E230">
        <v>2035</v>
      </c>
      <c r="F230" s="6" t="str">
        <f t="shared" si="26"/>
        <v>*0.63</v>
      </c>
      <c r="H230" t="s">
        <v>297</v>
      </c>
      <c r="I230" s="5" t="s">
        <v>57</v>
      </c>
      <c r="J230">
        <v>2050</v>
      </c>
      <c r="K230" s="38" t="str">
        <f t="shared" si="27"/>
        <v>*0.54</v>
      </c>
      <c r="P230" s="32" t="s">
        <v>297</v>
      </c>
      <c r="Q230" s="42" t="s">
        <v>57</v>
      </c>
      <c r="R230" s="32">
        <v>2035</v>
      </c>
      <c r="S230" s="43" t="str">
        <f t="shared" si="28"/>
        <v>*0.62</v>
      </c>
      <c r="U230" s="32" t="s">
        <v>297</v>
      </c>
      <c r="V230" s="42" t="s">
        <v>57</v>
      </c>
      <c r="W230" s="32">
        <v>2050</v>
      </c>
      <c r="X230" s="43" t="str">
        <f t="shared" si="29"/>
        <v>*0.51</v>
      </c>
      <c r="AC230" s="33" t="s">
        <v>297</v>
      </c>
      <c r="AD230" s="44" t="s">
        <v>57</v>
      </c>
      <c r="AE230" s="33">
        <v>2035</v>
      </c>
      <c r="AF230" s="45" t="str">
        <f t="shared" si="30"/>
        <v>*0.58</v>
      </c>
      <c r="AG230" s="43" t="str">
        <f t="shared" si="32"/>
        <v>REZoning_Sol-Win</v>
      </c>
      <c r="AI230" s="33" t="s">
        <v>297</v>
      </c>
      <c r="AJ230" s="44" t="s">
        <v>57</v>
      </c>
      <c r="AK230" s="33">
        <v>2050</v>
      </c>
      <c r="AL230" s="45" t="str">
        <f t="shared" si="31"/>
        <v>*0.49</v>
      </c>
      <c r="AM230" s="43" t="str">
        <f t="shared" si="33"/>
        <v>REZoning_Sol-Win</v>
      </c>
      <c r="AP230" t="s">
        <v>297</v>
      </c>
      <c r="AQ230" t="s">
        <v>57</v>
      </c>
      <c r="AR230">
        <v>2100</v>
      </c>
      <c r="AS230" t="s">
        <v>75</v>
      </c>
      <c r="AT230" t="s">
        <v>58</v>
      </c>
    </row>
    <row r="231" ht="29" spans="1:46">
      <c r="A231" s="31" t="s">
        <v>73</v>
      </c>
      <c r="C231" t="s">
        <v>298</v>
      </c>
      <c r="D231" s="5" t="s">
        <v>57</v>
      </c>
      <c r="E231">
        <v>2035</v>
      </c>
      <c r="F231" s="6" t="str">
        <f t="shared" si="26"/>
        <v>*0.63</v>
      </c>
      <c r="H231" t="s">
        <v>298</v>
      </c>
      <c r="I231" s="5" t="s">
        <v>57</v>
      </c>
      <c r="J231">
        <v>2050</v>
      </c>
      <c r="K231" s="38" t="str">
        <f t="shared" si="27"/>
        <v>*0.54</v>
      </c>
      <c r="P231" s="32" t="s">
        <v>298</v>
      </c>
      <c r="Q231" s="42" t="s">
        <v>57</v>
      </c>
      <c r="R231" s="32">
        <v>2035</v>
      </c>
      <c r="S231" s="43" t="str">
        <f t="shared" si="28"/>
        <v>*0.62</v>
      </c>
      <c r="U231" s="32" t="s">
        <v>298</v>
      </c>
      <c r="V231" s="42" t="s">
        <v>57</v>
      </c>
      <c r="W231" s="32">
        <v>2050</v>
      </c>
      <c r="X231" s="43" t="str">
        <f t="shared" si="29"/>
        <v>*0.51</v>
      </c>
      <c r="AC231" s="33" t="s">
        <v>298</v>
      </c>
      <c r="AD231" s="44" t="s">
        <v>57</v>
      </c>
      <c r="AE231" s="33">
        <v>2035</v>
      </c>
      <c r="AF231" s="45" t="str">
        <f t="shared" si="30"/>
        <v>*0.58</v>
      </c>
      <c r="AG231" s="43" t="str">
        <f t="shared" si="32"/>
        <v>REZoning_Sol-Win</v>
      </c>
      <c r="AI231" s="33" t="s">
        <v>298</v>
      </c>
      <c r="AJ231" s="44" t="s">
        <v>57</v>
      </c>
      <c r="AK231" s="33">
        <v>2050</v>
      </c>
      <c r="AL231" s="45" t="str">
        <f t="shared" si="31"/>
        <v>*0.49</v>
      </c>
      <c r="AM231" s="43" t="str">
        <f t="shared" si="33"/>
        <v>REZoning_Sol-Win</v>
      </c>
      <c r="AP231" t="s">
        <v>298</v>
      </c>
      <c r="AQ231" t="s">
        <v>57</v>
      </c>
      <c r="AR231">
        <v>2100</v>
      </c>
      <c r="AS231" t="s">
        <v>75</v>
      </c>
      <c r="AT231" t="s">
        <v>58</v>
      </c>
    </row>
    <row r="232" ht="29" spans="1:46">
      <c r="A232" s="31" t="s">
        <v>73</v>
      </c>
      <c r="C232" t="s">
        <v>299</v>
      </c>
      <c r="D232" s="5" t="s">
        <v>57</v>
      </c>
      <c r="E232">
        <v>2035</v>
      </c>
      <c r="F232" s="6" t="str">
        <f t="shared" si="26"/>
        <v>*0.63</v>
      </c>
      <c r="H232" t="s">
        <v>299</v>
      </c>
      <c r="I232" s="5" t="s">
        <v>57</v>
      </c>
      <c r="J232">
        <v>2050</v>
      </c>
      <c r="K232" s="38" t="str">
        <f t="shared" si="27"/>
        <v>*0.54</v>
      </c>
      <c r="P232" s="32" t="s">
        <v>299</v>
      </c>
      <c r="Q232" s="42" t="s">
        <v>57</v>
      </c>
      <c r="R232" s="32">
        <v>2035</v>
      </c>
      <c r="S232" s="43" t="str">
        <f t="shared" si="28"/>
        <v>*0.62</v>
      </c>
      <c r="U232" s="32" t="s">
        <v>299</v>
      </c>
      <c r="V232" s="42" t="s">
        <v>57</v>
      </c>
      <c r="W232" s="32">
        <v>2050</v>
      </c>
      <c r="X232" s="43" t="str">
        <f t="shared" si="29"/>
        <v>*0.51</v>
      </c>
      <c r="AC232" s="33" t="s">
        <v>299</v>
      </c>
      <c r="AD232" s="44" t="s">
        <v>57</v>
      </c>
      <c r="AE232" s="33">
        <v>2035</v>
      </c>
      <c r="AF232" s="45" t="str">
        <f t="shared" si="30"/>
        <v>*0.58</v>
      </c>
      <c r="AG232" s="43" t="str">
        <f t="shared" si="32"/>
        <v>REZoning_Sol-Win</v>
      </c>
      <c r="AI232" s="33" t="s">
        <v>299</v>
      </c>
      <c r="AJ232" s="44" t="s">
        <v>57</v>
      </c>
      <c r="AK232" s="33">
        <v>2050</v>
      </c>
      <c r="AL232" s="45" t="str">
        <f t="shared" si="31"/>
        <v>*0.49</v>
      </c>
      <c r="AM232" s="43" t="str">
        <f t="shared" si="33"/>
        <v>REZoning_Sol-Win</v>
      </c>
      <c r="AP232" t="s">
        <v>299</v>
      </c>
      <c r="AQ232" t="s">
        <v>57</v>
      </c>
      <c r="AR232">
        <v>2100</v>
      </c>
      <c r="AS232" t="s">
        <v>75</v>
      </c>
      <c r="AT232" t="s">
        <v>58</v>
      </c>
    </row>
    <row r="233" ht="29" spans="1:46">
      <c r="A233" s="31" t="s">
        <v>83</v>
      </c>
      <c r="C233" t="s">
        <v>300</v>
      </c>
      <c r="D233" s="5" t="s">
        <v>57</v>
      </c>
      <c r="E233">
        <v>2035</v>
      </c>
      <c r="F233" s="6" t="str">
        <f t="shared" si="26"/>
        <v>*0.64</v>
      </c>
      <c r="H233" t="s">
        <v>300</v>
      </c>
      <c r="I233" s="5" t="s">
        <v>57</v>
      </c>
      <c r="J233">
        <v>2050</v>
      </c>
      <c r="K233" s="38" t="str">
        <f t="shared" si="27"/>
        <v>*0.54</v>
      </c>
      <c r="P233" s="32" t="s">
        <v>300</v>
      </c>
      <c r="Q233" s="42" t="s">
        <v>57</v>
      </c>
      <c r="R233" s="32">
        <v>2035</v>
      </c>
      <c r="S233" s="43" t="str">
        <f t="shared" si="28"/>
        <v>*0.64</v>
      </c>
      <c r="U233" s="32" t="s">
        <v>300</v>
      </c>
      <c r="V233" s="42" t="s">
        <v>57</v>
      </c>
      <c r="W233" s="32">
        <v>2050</v>
      </c>
      <c r="X233" s="43" t="str">
        <f t="shared" si="29"/>
        <v>*0.53</v>
      </c>
      <c r="AC233" s="33" t="s">
        <v>300</v>
      </c>
      <c r="AD233" s="44" t="s">
        <v>57</v>
      </c>
      <c r="AE233" s="33">
        <v>2035</v>
      </c>
      <c r="AF233" s="45" t="str">
        <f t="shared" si="30"/>
        <v>*0.6</v>
      </c>
      <c r="AG233" s="43" t="str">
        <f t="shared" si="32"/>
        <v>REZoning_Sol-Win</v>
      </c>
      <c r="AI233" s="33" t="s">
        <v>300</v>
      </c>
      <c r="AJ233" s="44" t="s">
        <v>57</v>
      </c>
      <c r="AK233" s="33">
        <v>2050</v>
      </c>
      <c r="AL233" s="45" t="str">
        <f t="shared" si="31"/>
        <v>*0.5</v>
      </c>
      <c r="AM233" s="43" t="str">
        <f t="shared" si="33"/>
        <v>REZoning_Sol-Win</v>
      </c>
      <c r="AP233" t="s">
        <v>300</v>
      </c>
      <c r="AQ233" t="s">
        <v>57</v>
      </c>
      <c r="AR233">
        <v>2100</v>
      </c>
      <c r="AS233" t="s">
        <v>85</v>
      </c>
      <c r="AT233" t="s">
        <v>58</v>
      </c>
    </row>
    <row r="234" ht="29" spans="1:46">
      <c r="A234" s="31" t="s">
        <v>83</v>
      </c>
      <c r="C234" t="s">
        <v>301</v>
      </c>
      <c r="D234" s="5" t="s">
        <v>57</v>
      </c>
      <c r="E234">
        <v>2035</v>
      </c>
      <c r="F234" s="6" t="str">
        <f t="shared" si="26"/>
        <v>*0.64</v>
      </c>
      <c r="H234" t="s">
        <v>301</v>
      </c>
      <c r="I234" s="5" t="s">
        <v>57</v>
      </c>
      <c r="J234">
        <v>2050</v>
      </c>
      <c r="K234" s="38" t="str">
        <f t="shared" si="27"/>
        <v>*0.54</v>
      </c>
      <c r="P234" s="32" t="s">
        <v>301</v>
      </c>
      <c r="Q234" s="42" t="s">
        <v>57</v>
      </c>
      <c r="R234" s="32">
        <v>2035</v>
      </c>
      <c r="S234" s="43" t="str">
        <f t="shared" si="28"/>
        <v>*0.64</v>
      </c>
      <c r="U234" s="32" t="s">
        <v>301</v>
      </c>
      <c r="V234" s="42" t="s">
        <v>57</v>
      </c>
      <c r="W234" s="32">
        <v>2050</v>
      </c>
      <c r="X234" s="43" t="str">
        <f t="shared" si="29"/>
        <v>*0.53</v>
      </c>
      <c r="AC234" s="33" t="s">
        <v>301</v>
      </c>
      <c r="AD234" s="44" t="s">
        <v>57</v>
      </c>
      <c r="AE234" s="33">
        <v>2035</v>
      </c>
      <c r="AF234" s="45" t="str">
        <f t="shared" si="30"/>
        <v>*0.6</v>
      </c>
      <c r="AG234" s="43" t="str">
        <f t="shared" si="32"/>
        <v>REZoning_Sol-Win</v>
      </c>
      <c r="AI234" s="33" t="s">
        <v>301</v>
      </c>
      <c r="AJ234" s="44" t="s">
        <v>57</v>
      </c>
      <c r="AK234" s="33">
        <v>2050</v>
      </c>
      <c r="AL234" s="45" t="str">
        <f t="shared" si="31"/>
        <v>*0.5</v>
      </c>
      <c r="AM234" s="43" t="str">
        <f t="shared" si="33"/>
        <v>REZoning_Sol-Win</v>
      </c>
      <c r="AP234" t="s">
        <v>301</v>
      </c>
      <c r="AQ234" t="s">
        <v>57</v>
      </c>
      <c r="AR234">
        <v>2100</v>
      </c>
      <c r="AS234" t="s">
        <v>85</v>
      </c>
      <c r="AT234" t="s">
        <v>58</v>
      </c>
    </row>
    <row r="235" ht="29" spans="1:46">
      <c r="A235" s="31" t="s">
        <v>83</v>
      </c>
      <c r="C235" t="s">
        <v>302</v>
      </c>
      <c r="D235" s="5" t="s">
        <v>57</v>
      </c>
      <c r="E235">
        <v>2035</v>
      </c>
      <c r="F235" s="6" t="str">
        <f t="shared" si="26"/>
        <v>*0.64</v>
      </c>
      <c r="H235" t="s">
        <v>302</v>
      </c>
      <c r="I235" s="5" t="s">
        <v>57</v>
      </c>
      <c r="J235">
        <v>2050</v>
      </c>
      <c r="K235" s="38" t="str">
        <f t="shared" si="27"/>
        <v>*0.54</v>
      </c>
      <c r="P235" s="32" t="s">
        <v>302</v>
      </c>
      <c r="Q235" s="42" t="s">
        <v>57</v>
      </c>
      <c r="R235" s="32">
        <v>2035</v>
      </c>
      <c r="S235" s="43" t="str">
        <f t="shared" si="28"/>
        <v>*0.64</v>
      </c>
      <c r="U235" s="32" t="s">
        <v>302</v>
      </c>
      <c r="V235" s="42" t="s">
        <v>57</v>
      </c>
      <c r="W235" s="32">
        <v>2050</v>
      </c>
      <c r="X235" s="43" t="str">
        <f t="shared" si="29"/>
        <v>*0.53</v>
      </c>
      <c r="AC235" s="33" t="s">
        <v>302</v>
      </c>
      <c r="AD235" s="44" t="s">
        <v>57</v>
      </c>
      <c r="AE235" s="33">
        <v>2035</v>
      </c>
      <c r="AF235" s="45" t="str">
        <f t="shared" si="30"/>
        <v>*0.6</v>
      </c>
      <c r="AG235" s="43" t="str">
        <f t="shared" si="32"/>
        <v>REZoning_Sol-Win</v>
      </c>
      <c r="AI235" s="33" t="s">
        <v>302</v>
      </c>
      <c r="AJ235" s="44" t="s">
        <v>57</v>
      </c>
      <c r="AK235" s="33">
        <v>2050</v>
      </c>
      <c r="AL235" s="45" t="str">
        <f t="shared" si="31"/>
        <v>*0.5</v>
      </c>
      <c r="AM235" s="43" t="str">
        <f t="shared" si="33"/>
        <v>REZoning_Sol-Win</v>
      </c>
      <c r="AP235" t="s">
        <v>302</v>
      </c>
      <c r="AQ235" t="s">
        <v>57</v>
      </c>
      <c r="AR235">
        <v>2100</v>
      </c>
      <c r="AS235" t="s">
        <v>85</v>
      </c>
      <c r="AT235" t="s">
        <v>58</v>
      </c>
    </row>
    <row r="236" ht="29" spans="1:46">
      <c r="A236" s="31" t="s">
        <v>83</v>
      </c>
      <c r="C236" t="s">
        <v>303</v>
      </c>
      <c r="D236" s="5" t="s">
        <v>57</v>
      </c>
      <c r="E236">
        <v>2035</v>
      </c>
      <c r="F236" s="6" t="str">
        <f t="shared" si="26"/>
        <v>*0.64</v>
      </c>
      <c r="H236" t="s">
        <v>303</v>
      </c>
      <c r="I236" s="5" t="s">
        <v>57</v>
      </c>
      <c r="J236">
        <v>2050</v>
      </c>
      <c r="K236" s="38" t="str">
        <f t="shared" si="27"/>
        <v>*0.54</v>
      </c>
      <c r="P236" s="32" t="s">
        <v>303</v>
      </c>
      <c r="Q236" s="42" t="s">
        <v>57</v>
      </c>
      <c r="R236" s="32">
        <v>2035</v>
      </c>
      <c r="S236" s="43" t="str">
        <f t="shared" si="28"/>
        <v>*0.64</v>
      </c>
      <c r="U236" s="32" t="s">
        <v>303</v>
      </c>
      <c r="V236" s="42" t="s">
        <v>57</v>
      </c>
      <c r="W236" s="32">
        <v>2050</v>
      </c>
      <c r="X236" s="43" t="str">
        <f t="shared" si="29"/>
        <v>*0.53</v>
      </c>
      <c r="AC236" s="33" t="s">
        <v>303</v>
      </c>
      <c r="AD236" s="44" t="s">
        <v>57</v>
      </c>
      <c r="AE236" s="33">
        <v>2035</v>
      </c>
      <c r="AF236" s="45" t="str">
        <f t="shared" si="30"/>
        <v>*0.6</v>
      </c>
      <c r="AG236" s="43" t="str">
        <f t="shared" si="32"/>
        <v>REZoning_Sol-Win</v>
      </c>
      <c r="AI236" s="33" t="s">
        <v>303</v>
      </c>
      <c r="AJ236" s="44" t="s">
        <v>57</v>
      </c>
      <c r="AK236" s="33">
        <v>2050</v>
      </c>
      <c r="AL236" s="45" t="str">
        <f t="shared" si="31"/>
        <v>*0.5</v>
      </c>
      <c r="AM236" s="43" t="str">
        <f t="shared" si="33"/>
        <v>REZoning_Sol-Win</v>
      </c>
      <c r="AP236" t="s">
        <v>303</v>
      </c>
      <c r="AQ236" t="s">
        <v>57</v>
      </c>
      <c r="AR236">
        <v>2100</v>
      </c>
      <c r="AS236" t="s">
        <v>85</v>
      </c>
      <c r="AT236" t="s">
        <v>58</v>
      </c>
    </row>
    <row r="237" ht="29" spans="1:46">
      <c r="A237" s="31" t="s">
        <v>83</v>
      </c>
      <c r="C237" t="s">
        <v>304</v>
      </c>
      <c r="D237" s="5" t="s">
        <v>57</v>
      </c>
      <c r="E237">
        <v>2035</v>
      </c>
      <c r="F237" s="6" t="str">
        <f t="shared" si="26"/>
        <v>*0.64</v>
      </c>
      <c r="H237" t="s">
        <v>304</v>
      </c>
      <c r="I237" s="5" t="s">
        <v>57</v>
      </c>
      <c r="J237">
        <v>2050</v>
      </c>
      <c r="K237" s="38" t="str">
        <f t="shared" si="27"/>
        <v>*0.54</v>
      </c>
      <c r="P237" s="32" t="s">
        <v>304</v>
      </c>
      <c r="Q237" s="42" t="s">
        <v>57</v>
      </c>
      <c r="R237" s="32">
        <v>2035</v>
      </c>
      <c r="S237" s="43" t="str">
        <f t="shared" si="28"/>
        <v>*0.64</v>
      </c>
      <c r="U237" s="32" t="s">
        <v>304</v>
      </c>
      <c r="V237" s="42" t="s">
        <v>57</v>
      </c>
      <c r="W237" s="32">
        <v>2050</v>
      </c>
      <c r="X237" s="43" t="str">
        <f t="shared" si="29"/>
        <v>*0.53</v>
      </c>
      <c r="AC237" s="33" t="s">
        <v>304</v>
      </c>
      <c r="AD237" s="44" t="s">
        <v>57</v>
      </c>
      <c r="AE237" s="33">
        <v>2035</v>
      </c>
      <c r="AF237" s="45" t="str">
        <f t="shared" si="30"/>
        <v>*0.6</v>
      </c>
      <c r="AG237" s="43" t="str">
        <f t="shared" si="32"/>
        <v>REZoning_Sol-Win</v>
      </c>
      <c r="AI237" s="33" t="s">
        <v>304</v>
      </c>
      <c r="AJ237" s="44" t="s">
        <v>57</v>
      </c>
      <c r="AK237" s="33">
        <v>2050</v>
      </c>
      <c r="AL237" s="45" t="str">
        <f t="shared" si="31"/>
        <v>*0.5</v>
      </c>
      <c r="AM237" s="43" t="str">
        <f t="shared" si="33"/>
        <v>REZoning_Sol-Win</v>
      </c>
      <c r="AP237" t="s">
        <v>304</v>
      </c>
      <c r="AQ237" t="s">
        <v>57</v>
      </c>
      <c r="AR237">
        <v>2100</v>
      </c>
      <c r="AS237" t="s">
        <v>85</v>
      </c>
      <c r="AT237" t="s">
        <v>58</v>
      </c>
    </row>
    <row r="238" ht="29" spans="1:46">
      <c r="A238" s="31" t="s">
        <v>79</v>
      </c>
      <c r="C238" t="s">
        <v>305</v>
      </c>
      <c r="D238" s="5" t="s">
        <v>57</v>
      </c>
      <c r="E238">
        <v>2035</v>
      </c>
      <c r="F238" s="6" t="str">
        <f t="shared" si="26"/>
        <v>*0.6</v>
      </c>
      <c r="H238" t="s">
        <v>305</v>
      </c>
      <c r="I238" s="5" t="s">
        <v>57</v>
      </c>
      <c r="J238">
        <v>2050</v>
      </c>
      <c r="K238" s="38" t="str">
        <f t="shared" si="27"/>
        <v>*0.5</v>
      </c>
      <c r="P238" s="32" t="s">
        <v>305</v>
      </c>
      <c r="Q238" s="42" t="s">
        <v>57</v>
      </c>
      <c r="R238" s="32">
        <v>2035</v>
      </c>
      <c r="S238" s="43" t="str">
        <f t="shared" si="28"/>
        <v>*0.59</v>
      </c>
      <c r="U238" s="32" t="s">
        <v>305</v>
      </c>
      <c r="V238" s="42" t="s">
        <v>57</v>
      </c>
      <c r="W238" s="32">
        <v>2050</v>
      </c>
      <c r="X238" s="43" t="str">
        <f t="shared" si="29"/>
        <v>*0.47</v>
      </c>
      <c r="AC238" s="33" t="s">
        <v>305</v>
      </c>
      <c r="AD238" s="44" t="s">
        <v>57</v>
      </c>
      <c r="AE238" s="33">
        <v>2035</v>
      </c>
      <c r="AF238" s="45" t="str">
        <f t="shared" si="30"/>
        <v>*0.53</v>
      </c>
      <c r="AG238" s="43" t="str">
        <f t="shared" si="32"/>
        <v>REZoning_Sol-Win</v>
      </c>
      <c r="AI238" s="33" t="s">
        <v>305</v>
      </c>
      <c r="AJ238" s="44" t="s">
        <v>57</v>
      </c>
      <c r="AK238" s="33">
        <v>2050</v>
      </c>
      <c r="AL238" s="45" t="str">
        <f t="shared" si="31"/>
        <v>*0.41</v>
      </c>
      <c r="AM238" s="43" t="str">
        <f t="shared" si="33"/>
        <v>REZoning_Sol-Win</v>
      </c>
      <c r="AP238" t="s">
        <v>305</v>
      </c>
      <c r="AQ238" t="s">
        <v>57</v>
      </c>
      <c r="AR238">
        <v>2100</v>
      </c>
      <c r="AS238" t="s">
        <v>67</v>
      </c>
      <c r="AT238" t="s">
        <v>58</v>
      </c>
    </row>
    <row r="239" ht="29" spans="1:46">
      <c r="A239" s="31" t="s">
        <v>79</v>
      </c>
      <c r="C239" t="s">
        <v>306</v>
      </c>
      <c r="D239" s="5" t="s">
        <v>57</v>
      </c>
      <c r="E239">
        <v>2035</v>
      </c>
      <c r="F239" s="6" t="str">
        <f t="shared" si="26"/>
        <v>*0.6</v>
      </c>
      <c r="H239" t="s">
        <v>306</v>
      </c>
      <c r="I239" s="5" t="s">
        <v>57</v>
      </c>
      <c r="J239">
        <v>2050</v>
      </c>
      <c r="K239" s="38" t="str">
        <f t="shared" si="27"/>
        <v>*0.5</v>
      </c>
      <c r="P239" s="32" t="s">
        <v>306</v>
      </c>
      <c r="Q239" s="42" t="s">
        <v>57</v>
      </c>
      <c r="R239" s="32">
        <v>2035</v>
      </c>
      <c r="S239" s="43" t="str">
        <f t="shared" si="28"/>
        <v>*0.59</v>
      </c>
      <c r="U239" s="32" t="s">
        <v>306</v>
      </c>
      <c r="V239" s="42" t="s">
        <v>57</v>
      </c>
      <c r="W239" s="32">
        <v>2050</v>
      </c>
      <c r="X239" s="43" t="str">
        <f t="shared" si="29"/>
        <v>*0.47</v>
      </c>
      <c r="AC239" s="33" t="s">
        <v>306</v>
      </c>
      <c r="AD239" s="44" t="s">
        <v>57</v>
      </c>
      <c r="AE239" s="33">
        <v>2035</v>
      </c>
      <c r="AF239" s="45" t="str">
        <f t="shared" si="30"/>
        <v>*0.53</v>
      </c>
      <c r="AG239" s="43" t="str">
        <f t="shared" si="32"/>
        <v>REZoning_Sol-Win</v>
      </c>
      <c r="AI239" s="33" t="s">
        <v>306</v>
      </c>
      <c r="AJ239" s="44" t="s">
        <v>57</v>
      </c>
      <c r="AK239" s="33">
        <v>2050</v>
      </c>
      <c r="AL239" s="45" t="str">
        <f t="shared" si="31"/>
        <v>*0.41</v>
      </c>
      <c r="AM239" s="43" t="str">
        <f t="shared" si="33"/>
        <v>REZoning_Sol-Win</v>
      </c>
      <c r="AP239" t="s">
        <v>306</v>
      </c>
      <c r="AQ239" t="s">
        <v>57</v>
      </c>
      <c r="AR239">
        <v>2100</v>
      </c>
      <c r="AS239" t="s">
        <v>67</v>
      </c>
      <c r="AT239" t="s">
        <v>58</v>
      </c>
    </row>
    <row r="240" ht="29" spans="1:46">
      <c r="A240" s="31" t="s">
        <v>79</v>
      </c>
      <c r="C240" t="s">
        <v>307</v>
      </c>
      <c r="D240" s="5" t="s">
        <v>57</v>
      </c>
      <c r="E240">
        <v>2035</v>
      </c>
      <c r="F240" s="6" t="str">
        <f t="shared" si="26"/>
        <v>*0.6</v>
      </c>
      <c r="H240" t="s">
        <v>307</v>
      </c>
      <c r="I240" s="5" t="s">
        <v>57</v>
      </c>
      <c r="J240">
        <v>2050</v>
      </c>
      <c r="K240" s="38" t="str">
        <f t="shared" si="27"/>
        <v>*0.5</v>
      </c>
      <c r="P240" s="32" t="s">
        <v>307</v>
      </c>
      <c r="Q240" s="42" t="s">
        <v>57</v>
      </c>
      <c r="R240" s="32">
        <v>2035</v>
      </c>
      <c r="S240" s="43" t="str">
        <f t="shared" si="28"/>
        <v>*0.59</v>
      </c>
      <c r="U240" s="32" t="s">
        <v>307</v>
      </c>
      <c r="V240" s="42" t="s">
        <v>57</v>
      </c>
      <c r="W240" s="32">
        <v>2050</v>
      </c>
      <c r="X240" s="43" t="str">
        <f t="shared" si="29"/>
        <v>*0.47</v>
      </c>
      <c r="AC240" s="33" t="s">
        <v>307</v>
      </c>
      <c r="AD240" s="44" t="s">
        <v>57</v>
      </c>
      <c r="AE240" s="33">
        <v>2035</v>
      </c>
      <c r="AF240" s="45" t="str">
        <f t="shared" si="30"/>
        <v>*0.53</v>
      </c>
      <c r="AG240" s="43" t="str">
        <f t="shared" si="32"/>
        <v>REZoning_Sol-Win</v>
      </c>
      <c r="AI240" s="33" t="s">
        <v>307</v>
      </c>
      <c r="AJ240" s="44" t="s">
        <v>57</v>
      </c>
      <c r="AK240" s="33">
        <v>2050</v>
      </c>
      <c r="AL240" s="45" t="str">
        <f t="shared" si="31"/>
        <v>*0.41</v>
      </c>
      <c r="AM240" s="43" t="str">
        <f t="shared" si="33"/>
        <v>REZoning_Sol-Win</v>
      </c>
      <c r="AP240" t="s">
        <v>307</v>
      </c>
      <c r="AQ240" t="s">
        <v>57</v>
      </c>
      <c r="AR240">
        <v>2100</v>
      </c>
      <c r="AS240" t="s">
        <v>67</v>
      </c>
      <c r="AT240" t="s">
        <v>58</v>
      </c>
    </row>
    <row r="241" ht="29" spans="1:46">
      <c r="A241" s="31" t="s">
        <v>79</v>
      </c>
      <c r="C241" t="s">
        <v>308</v>
      </c>
      <c r="D241" s="5" t="s">
        <v>57</v>
      </c>
      <c r="E241">
        <v>2035</v>
      </c>
      <c r="F241" s="6" t="str">
        <f t="shared" si="26"/>
        <v>*0.6</v>
      </c>
      <c r="H241" t="s">
        <v>308</v>
      </c>
      <c r="I241" s="5" t="s">
        <v>57</v>
      </c>
      <c r="J241">
        <v>2050</v>
      </c>
      <c r="K241" s="38" t="str">
        <f t="shared" si="27"/>
        <v>*0.5</v>
      </c>
      <c r="P241" s="32" t="s">
        <v>308</v>
      </c>
      <c r="Q241" s="42" t="s">
        <v>57</v>
      </c>
      <c r="R241" s="32">
        <v>2035</v>
      </c>
      <c r="S241" s="43" t="str">
        <f t="shared" si="28"/>
        <v>*0.59</v>
      </c>
      <c r="U241" s="32" t="s">
        <v>308</v>
      </c>
      <c r="V241" s="42" t="s">
        <v>57</v>
      </c>
      <c r="W241" s="32">
        <v>2050</v>
      </c>
      <c r="X241" s="43" t="str">
        <f t="shared" si="29"/>
        <v>*0.47</v>
      </c>
      <c r="AC241" s="33" t="s">
        <v>308</v>
      </c>
      <c r="AD241" s="44" t="s">
        <v>57</v>
      </c>
      <c r="AE241" s="33">
        <v>2035</v>
      </c>
      <c r="AF241" s="45" t="str">
        <f t="shared" si="30"/>
        <v>*0.53</v>
      </c>
      <c r="AG241" s="43" t="str">
        <f t="shared" si="32"/>
        <v>REZoning_Sol-Win</v>
      </c>
      <c r="AI241" s="33" t="s">
        <v>308</v>
      </c>
      <c r="AJ241" s="44" t="s">
        <v>57</v>
      </c>
      <c r="AK241" s="33">
        <v>2050</v>
      </c>
      <c r="AL241" s="45" t="str">
        <f t="shared" si="31"/>
        <v>*0.41</v>
      </c>
      <c r="AM241" s="43" t="str">
        <f t="shared" si="33"/>
        <v>REZoning_Sol-Win</v>
      </c>
      <c r="AP241" t="s">
        <v>308</v>
      </c>
      <c r="AQ241" t="s">
        <v>57</v>
      </c>
      <c r="AR241">
        <v>2100</v>
      </c>
      <c r="AS241" t="s">
        <v>67</v>
      </c>
      <c r="AT241" t="s">
        <v>58</v>
      </c>
    </row>
    <row r="242" ht="29" spans="1:46">
      <c r="A242" s="31" t="s">
        <v>79</v>
      </c>
      <c r="C242" t="s">
        <v>309</v>
      </c>
      <c r="D242" s="5" t="s">
        <v>57</v>
      </c>
      <c r="E242">
        <v>2035</v>
      </c>
      <c r="F242" s="6" t="str">
        <f t="shared" si="26"/>
        <v>*0.6</v>
      </c>
      <c r="H242" t="s">
        <v>309</v>
      </c>
      <c r="I242" s="5" t="s">
        <v>57</v>
      </c>
      <c r="J242">
        <v>2050</v>
      </c>
      <c r="K242" s="38" t="str">
        <f t="shared" si="27"/>
        <v>*0.5</v>
      </c>
      <c r="P242" s="32" t="s">
        <v>309</v>
      </c>
      <c r="Q242" s="42" t="s">
        <v>57</v>
      </c>
      <c r="R242" s="32">
        <v>2035</v>
      </c>
      <c r="S242" s="43" t="str">
        <f t="shared" si="28"/>
        <v>*0.59</v>
      </c>
      <c r="U242" s="32" t="s">
        <v>309</v>
      </c>
      <c r="V242" s="42" t="s">
        <v>57</v>
      </c>
      <c r="W242" s="32">
        <v>2050</v>
      </c>
      <c r="X242" s="43" t="str">
        <f t="shared" si="29"/>
        <v>*0.47</v>
      </c>
      <c r="AC242" s="33" t="s">
        <v>309</v>
      </c>
      <c r="AD242" s="44" t="s">
        <v>57</v>
      </c>
      <c r="AE242" s="33">
        <v>2035</v>
      </c>
      <c r="AF242" s="45" t="str">
        <f t="shared" si="30"/>
        <v>*0.53</v>
      </c>
      <c r="AG242" s="43" t="str">
        <f t="shared" si="32"/>
        <v>REZoning_Sol-Win</v>
      </c>
      <c r="AI242" s="33" t="s">
        <v>309</v>
      </c>
      <c r="AJ242" s="44" t="s">
        <v>57</v>
      </c>
      <c r="AK242" s="33">
        <v>2050</v>
      </c>
      <c r="AL242" s="45" t="str">
        <f t="shared" si="31"/>
        <v>*0.41</v>
      </c>
      <c r="AM242" s="43" t="str">
        <f t="shared" si="33"/>
        <v>REZoning_Sol-Win</v>
      </c>
      <c r="AP242" t="s">
        <v>309</v>
      </c>
      <c r="AQ242" t="s">
        <v>57</v>
      </c>
      <c r="AR242">
        <v>2100</v>
      </c>
      <c r="AS242" t="s">
        <v>67</v>
      </c>
      <c r="AT242" t="s">
        <v>58</v>
      </c>
    </row>
    <row r="243" ht="29" spans="1:46">
      <c r="A243" s="31" t="s">
        <v>83</v>
      </c>
      <c r="C243" t="s">
        <v>310</v>
      </c>
      <c r="D243" s="5" t="s">
        <v>57</v>
      </c>
      <c r="E243">
        <v>2035</v>
      </c>
      <c r="F243" s="6" t="str">
        <f t="shared" si="26"/>
        <v>*0.64</v>
      </c>
      <c r="H243" t="s">
        <v>310</v>
      </c>
      <c r="I243" s="5" t="s">
        <v>57</v>
      </c>
      <c r="J243">
        <v>2050</v>
      </c>
      <c r="K243" s="38" t="str">
        <f t="shared" si="27"/>
        <v>*0.54</v>
      </c>
      <c r="P243" s="32" t="s">
        <v>310</v>
      </c>
      <c r="Q243" s="42" t="s">
        <v>57</v>
      </c>
      <c r="R243" s="32">
        <v>2035</v>
      </c>
      <c r="S243" s="43" t="str">
        <f t="shared" si="28"/>
        <v>*0.64</v>
      </c>
      <c r="U243" s="32" t="s">
        <v>310</v>
      </c>
      <c r="V243" s="42" t="s">
        <v>57</v>
      </c>
      <c r="W243" s="32">
        <v>2050</v>
      </c>
      <c r="X243" s="43" t="str">
        <f t="shared" si="29"/>
        <v>*0.53</v>
      </c>
      <c r="AC243" s="33" t="s">
        <v>310</v>
      </c>
      <c r="AD243" s="44" t="s">
        <v>57</v>
      </c>
      <c r="AE243" s="33">
        <v>2035</v>
      </c>
      <c r="AF243" s="45" t="str">
        <f t="shared" si="30"/>
        <v>*0.6</v>
      </c>
      <c r="AG243" s="43" t="str">
        <f t="shared" si="32"/>
        <v>REZoning_Sol-Win</v>
      </c>
      <c r="AI243" s="33" t="s">
        <v>310</v>
      </c>
      <c r="AJ243" s="44" t="s">
        <v>57</v>
      </c>
      <c r="AK243" s="33">
        <v>2050</v>
      </c>
      <c r="AL243" s="45" t="str">
        <f t="shared" si="31"/>
        <v>*0.5</v>
      </c>
      <c r="AM243" s="43" t="str">
        <f t="shared" si="33"/>
        <v>REZoning_Sol-Win</v>
      </c>
      <c r="AP243" t="s">
        <v>310</v>
      </c>
      <c r="AQ243" t="s">
        <v>57</v>
      </c>
      <c r="AR243">
        <v>2100</v>
      </c>
      <c r="AS243" t="s">
        <v>85</v>
      </c>
      <c r="AT243" t="s">
        <v>58</v>
      </c>
    </row>
    <row r="244" ht="29" spans="1:46">
      <c r="A244" s="31" t="s">
        <v>83</v>
      </c>
      <c r="C244" t="s">
        <v>311</v>
      </c>
      <c r="D244" s="5" t="s">
        <v>57</v>
      </c>
      <c r="E244">
        <v>2035</v>
      </c>
      <c r="F244" s="6" t="str">
        <f t="shared" si="26"/>
        <v>*0.64</v>
      </c>
      <c r="H244" t="s">
        <v>311</v>
      </c>
      <c r="I244" s="5" t="s">
        <v>57</v>
      </c>
      <c r="J244">
        <v>2050</v>
      </c>
      <c r="K244" s="38" t="str">
        <f t="shared" si="27"/>
        <v>*0.54</v>
      </c>
      <c r="P244" s="32" t="s">
        <v>311</v>
      </c>
      <c r="Q244" s="42" t="s">
        <v>57</v>
      </c>
      <c r="R244" s="32">
        <v>2035</v>
      </c>
      <c r="S244" s="43" t="str">
        <f t="shared" si="28"/>
        <v>*0.64</v>
      </c>
      <c r="U244" s="32" t="s">
        <v>311</v>
      </c>
      <c r="V244" s="42" t="s">
        <v>57</v>
      </c>
      <c r="W244" s="32">
        <v>2050</v>
      </c>
      <c r="X244" s="43" t="str">
        <f t="shared" si="29"/>
        <v>*0.53</v>
      </c>
      <c r="AC244" s="33" t="s">
        <v>311</v>
      </c>
      <c r="AD244" s="44" t="s">
        <v>57</v>
      </c>
      <c r="AE244" s="33">
        <v>2035</v>
      </c>
      <c r="AF244" s="45" t="str">
        <f t="shared" si="30"/>
        <v>*0.6</v>
      </c>
      <c r="AG244" s="43" t="str">
        <f t="shared" si="32"/>
        <v>REZoning_Sol-Win</v>
      </c>
      <c r="AI244" s="33" t="s">
        <v>311</v>
      </c>
      <c r="AJ244" s="44" t="s">
        <v>57</v>
      </c>
      <c r="AK244" s="33">
        <v>2050</v>
      </c>
      <c r="AL244" s="45" t="str">
        <f t="shared" si="31"/>
        <v>*0.5</v>
      </c>
      <c r="AM244" s="43" t="str">
        <f t="shared" si="33"/>
        <v>REZoning_Sol-Win</v>
      </c>
      <c r="AP244" t="s">
        <v>311</v>
      </c>
      <c r="AQ244" t="s">
        <v>57</v>
      </c>
      <c r="AR244">
        <v>2100</v>
      </c>
      <c r="AS244" t="s">
        <v>85</v>
      </c>
      <c r="AT244" t="s">
        <v>58</v>
      </c>
    </row>
    <row r="245" ht="29" spans="1:46">
      <c r="A245" s="31" t="s">
        <v>83</v>
      </c>
      <c r="C245" t="s">
        <v>312</v>
      </c>
      <c r="D245" s="5" t="s">
        <v>57</v>
      </c>
      <c r="E245">
        <v>2035</v>
      </c>
      <c r="F245" s="6" t="str">
        <f t="shared" si="26"/>
        <v>*0.64</v>
      </c>
      <c r="H245" t="s">
        <v>312</v>
      </c>
      <c r="I245" s="5" t="s">
        <v>57</v>
      </c>
      <c r="J245">
        <v>2050</v>
      </c>
      <c r="K245" s="38" t="str">
        <f t="shared" si="27"/>
        <v>*0.54</v>
      </c>
      <c r="P245" s="32" t="s">
        <v>312</v>
      </c>
      <c r="Q245" s="42" t="s">
        <v>57</v>
      </c>
      <c r="R245" s="32">
        <v>2035</v>
      </c>
      <c r="S245" s="43" t="str">
        <f t="shared" si="28"/>
        <v>*0.64</v>
      </c>
      <c r="U245" s="32" t="s">
        <v>312</v>
      </c>
      <c r="V245" s="42" t="s">
        <v>57</v>
      </c>
      <c r="W245" s="32">
        <v>2050</v>
      </c>
      <c r="X245" s="43" t="str">
        <f t="shared" si="29"/>
        <v>*0.53</v>
      </c>
      <c r="AC245" s="33" t="s">
        <v>312</v>
      </c>
      <c r="AD245" s="44" t="s">
        <v>57</v>
      </c>
      <c r="AE245" s="33">
        <v>2035</v>
      </c>
      <c r="AF245" s="45" t="str">
        <f t="shared" si="30"/>
        <v>*0.6</v>
      </c>
      <c r="AG245" s="43" t="str">
        <f t="shared" si="32"/>
        <v>REZoning_Sol-Win</v>
      </c>
      <c r="AI245" s="33" t="s">
        <v>312</v>
      </c>
      <c r="AJ245" s="44" t="s">
        <v>57</v>
      </c>
      <c r="AK245" s="33">
        <v>2050</v>
      </c>
      <c r="AL245" s="45" t="str">
        <f t="shared" si="31"/>
        <v>*0.5</v>
      </c>
      <c r="AM245" s="43" t="str">
        <f t="shared" si="33"/>
        <v>REZoning_Sol-Win</v>
      </c>
      <c r="AP245" t="s">
        <v>312</v>
      </c>
      <c r="AQ245" t="s">
        <v>57</v>
      </c>
      <c r="AR245">
        <v>2100</v>
      </c>
      <c r="AS245" t="s">
        <v>85</v>
      </c>
      <c r="AT245" t="s">
        <v>58</v>
      </c>
    </row>
    <row r="246" ht="29" spans="1:46">
      <c r="A246" s="31" t="s">
        <v>83</v>
      </c>
      <c r="C246" t="s">
        <v>313</v>
      </c>
      <c r="D246" s="5" t="s">
        <v>57</v>
      </c>
      <c r="E246">
        <v>2035</v>
      </c>
      <c r="F246" s="6" t="str">
        <f t="shared" si="26"/>
        <v>*0.64</v>
      </c>
      <c r="H246" t="s">
        <v>313</v>
      </c>
      <c r="I246" s="5" t="s">
        <v>57</v>
      </c>
      <c r="J246">
        <v>2050</v>
      </c>
      <c r="K246" s="38" t="str">
        <f t="shared" si="27"/>
        <v>*0.54</v>
      </c>
      <c r="P246" s="32" t="s">
        <v>313</v>
      </c>
      <c r="Q246" s="42" t="s">
        <v>57</v>
      </c>
      <c r="R246" s="32">
        <v>2035</v>
      </c>
      <c r="S246" s="43" t="str">
        <f t="shared" si="28"/>
        <v>*0.64</v>
      </c>
      <c r="U246" s="32" t="s">
        <v>313</v>
      </c>
      <c r="V246" s="42" t="s">
        <v>57</v>
      </c>
      <c r="W246" s="32">
        <v>2050</v>
      </c>
      <c r="X246" s="43" t="str">
        <f t="shared" si="29"/>
        <v>*0.53</v>
      </c>
      <c r="AC246" s="33" t="s">
        <v>313</v>
      </c>
      <c r="AD246" s="44" t="s">
        <v>57</v>
      </c>
      <c r="AE246" s="33">
        <v>2035</v>
      </c>
      <c r="AF246" s="45" t="str">
        <f t="shared" si="30"/>
        <v>*0.6</v>
      </c>
      <c r="AG246" s="43" t="str">
        <f t="shared" si="32"/>
        <v>REZoning_Sol-Win</v>
      </c>
      <c r="AI246" s="33" t="s">
        <v>313</v>
      </c>
      <c r="AJ246" s="44" t="s">
        <v>57</v>
      </c>
      <c r="AK246" s="33">
        <v>2050</v>
      </c>
      <c r="AL246" s="45" t="str">
        <f t="shared" si="31"/>
        <v>*0.5</v>
      </c>
      <c r="AM246" s="43" t="str">
        <f t="shared" si="33"/>
        <v>REZoning_Sol-Win</v>
      </c>
      <c r="AP246" t="s">
        <v>313</v>
      </c>
      <c r="AQ246" t="s">
        <v>57</v>
      </c>
      <c r="AR246">
        <v>2100</v>
      </c>
      <c r="AS246" t="s">
        <v>85</v>
      </c>
      <c r="AT246" t="s">
        <v>58</v>
      </c>
    </row>
    <row r="247" ht="29" spans="1:46">
      <c r="A247" s="31" t="s">
        <v>83</v>
      </c>
      <c r="C247" t="s">
        <v>314</v>
      </c>
      <c r="D247" s="5" t="s">
        <v>57</v>
      </c>
      <c r="E247">
        <v>2035</v>
      </c>
      <c r="F247" s="6" t="str">
        <f t="shared" si="26"/>
        <v>*0.64</v>
      </c>
      <c r="H247" t="s">
        <v>314</v>
      </c>
      <c r="I247" s="5" t="s">
        <v>57</v>
      </c>
      <c r="J247">
        <v>2050</v>
      </c>
      <c r="K247" s="38" t="str">
        <f t="shared" si="27"/>
        <v>*0.54</v>
      </c>
      <c r="P247" s="32" t="s">
        <v>314</v>
      </c>
      <c r="Q247" s="42" t="s">
        <v>57</v>
      </c>
      <c r="R247" s="32">
        <v>2035</v>
      </c>
      <c r="S247" s="43" t="str">
        <f t="shared" si="28"/>
        <v>*0.64</v>
      </c>
      <c r="U247" s="32" t="s">
        <v>314</v>
      </c>
      <c r="V247" s="42" t="s">
        <v>57</v>
      </c>
      <c r="W247" s="32">
        <v>2050</v>
      </c>
      <c r="X247" s="43" t="str">
        <f t="shared" si="29"/>
        <v>*0.53</v>
      </c>
      <c r="AC247" s="33" t="s">
        <v>314</v>
      </c>
      <c r="AD247" s="44" t="s">
        <v>57</v>
      </c>
      <c r="AE247" s="33">
        <v>2035</v>
      </c>
      <c r="AF247" s="45" t="str">
        <f t="shared" si="30"/>
        <v>*0.6</v>
      </c>
      <c r="AG247" s="43" t="str">
        <f t="shared" si="32"/>
        <v>REZoning_Sol-Win</v>
      </c>
      <c r="AI247" s="33" t="s">
        <v>314</v>
      </c>
      <c r="AJ247" s="44" t="s">
        <v>57</v>
      </c>
      <c r="AK247" s="33">
        <v>2050</v>
      </c>
      <c r="AL247" s="45" t="str">
        <f t="shared" si="31"/>
        <v>*0.5</v>
      </c>
      <c r="AM247" s="43" t="str">
        <f t="shared" si="33"/>
        <v>REZoning_Sol-Win</v>
      </c>
      <c r="AP247" t="s">
        <v>314</v>
      </c>
      <c r="AQ247" t="s">
        <v>57</v>
      </c>
      <c r="AR247">
        <v>2100</v>
      </c>
      <c r="AS247" t="s">
        <v>85</v>
      </c>
      <c r="AT247" t="s">
        <v>58</v>
      </c>
    </row>
    <row r="248" ht="29" spans="1:46">
      <c r="A248" s="31" t="s">
        <v>83</v>
      </c>
      <c r="C248" t="s">
        <v>315</v>
      </c>
      <c r="D248" s="5" t="s">
        <v>57</v>
      </c>
      <c r="E248">
        <v>2035</v>
      </c>
      <c r="F248" s="6" t="str">
        <f t="shared" si="26"/>
        <v>*0.64</v>
      </c>
      <c r="H248" t="s">
        <v>315</v>
      </c>
      <c r="I248" s="5" t="s">
        <v>57</v>
      </c>
      <c r="J248">
        <v>2050</v>
      </c>
      <c r="K248" s="38" t="str">
        <f t="shared" si="27"/>
        <v>*0.54</v>
      </c>
      <c r="P248" s="32" t="s">
        <v>315</v>
      </c>
      <c r="Q248" s="42" t="s">
        <v>57</v>
      </c>
      <c r="R248" s="32">
        <v>2035</v>
      </c>
      <c r="S248" s="43" t="str">
        <f t="shared" si="28"/>
        <v>*0.64</v>
      </c>
      <c r="U248" s="32" t="s">
        <v>315</v>
      </c>
      <c r="V248" s="42" t="s">
        <v>57</v>
      </c>
      <c r="W248" s="32">
        <v>2050</v>
      </c>
      <c r="X248" s="43" t="str">
        <f t="shared" si="29"/>
        <v>*0.53</v>
      </c>
      <c r="AC248" s="33" t="s">
        <v>315</v>
      </c>
      <c r="AD248" s="44" t="s">
        <v>57</v>
      </c>
      <c r="AE248" s="33">
        <v>2035</v>
      </c>
      <c r="AF248" s="45" t="str">
        <f t="shared" si="30"/>
        <v>*0.6</v>
      </c>
      <c r="AG248" s="43" t="str">
        <f t="shared" si="32"/>
        <v>REZoning_Sol-Win</v>
      </c>
      <c r="AI248" s="33" t="s">
        <v>315</v>
      </c>
      <c r="AJ248" s="44" t="s">
        <v>57</v>
      </c>
      <c r="AK248" s="33">
        <v>2050</v>
      </c>
      <c r="AL248" s="45" t="str">
        <f t="shared" si="31"/>
        <v>*0.5</v>
      </c>
      <c r="AM248" s="43" t="str">
        <f t="shared" si="33"/>
        <v>REZoning_Sol-Win</v>
      </c>
      <c r="AP248" t="s">
        <v>315</v>
      </c>
      <c r="AQ248" t="s">
        <v>57</v>
      </c>
      <c r="AR248">
        <v>2100</v>
      </c>
      <c r="AS248" t="s">
        <v>85</v>
      </c>
      <c r="AT248" t="s">
        <v>58</v>
      </c>
    </row>
    <row r="249" ht="29" spans="1:46">
      <c r="A249" s="31" t="s">
        <v>83</v>
      </c>
      <c r="C249" t="s">
        <v>316</v>
      </c>
      <c r="D249" s="5" t="s">
        <v>57</v>
      </c>
      <c r="E249">
        <v>2035</v>
      </c>
      <c r="F249" s="6" t="str">
        <f t="shared" si="26"/>
        <v>*0.64</v>
      </c>
      <c r="H249" t="s">
        <v>316</v>
      </c>
      <c r="I249" s="5" t="s">
        <v>57</v>
      </c>
      <c r="J249">
        <v>2050</v>
      </c>
      <c r="K249" s="38" t="str">
        <f t="shared" si="27"/>
        <v>*0.54</v>
      </c>
      <c r="P249" s="32" t="s">
        <v>316</v>
      </c>
      <c r="Q249" s="42" t="s">
        <v>57</v>
      </c>
      <c r="R249" s="32">
        <v>2035</v>
      </c>
      <c r="S249" s="43" t="str">
        <f t="shared" si="28"/>
        <v>*0.64</v>
      </c>
      <c r="U249" s="32" t="s">
        <v>316</v>
      </c>
      <c r="V249" s="42" t="s">
        <v>57</v>
      </c>
      <c r="W249" s="32">
        <v>2050</v>
      </c>
      <c r="X249" s="43" t="str">
        <f t="shared" si="29"/>
        <v>*0.53</v>
      </c>
      <c r="AC249" s="33" t="s">
        <v>316</v>
      </c>
      <c r="AD249" s="44" t="s">
        <v>57</v>
      </c>
      <c r="AE249" s="33">
        <v>2035</v>
      </c>
      <c r="AF249" s="45" t="str">
        <f t="shared" si="30"/>
        <v>*0.6</v>
      </c>
      <c r="AG249" s="43" t="str">
        <f t="shared" si="32"/>
        <v>REZoning_Sol-Win</v>
      </c>
      <c r="AI249" s="33" t="s">
        <v>316</v>
      </c>
      <c r="AJ249" s="44" t="s">
        <v>57</v>
      </c>
      <c r="AK249" s="33">
        <v>2050</v>
      </c>
      <c r="AL249" s="45" t="str">
        <f t="shared" si="31"/>
        <v>*0.5</v>
      </c>
      <c r="AM249" s="43" t="str">
        <f t="shared" si="33"/>
        <v>REZoning_Sol-Win</v>
      </c>
      <c r="AP249" t="s">
        <v>316</v>
      </c>
      <c r="AQ249" t="s">
        <v>57</v>
      </c>
      <c r="AR249">
        <v>2100</v>
      </c>
      <c r="AS249" t="s">
        <v>85</v>
      </c>
      <c r="AT249" t="s">
        <v>58</v>
      </c>
    </row>
    <row r="250" ht="29" spans="1:46">
      <c r="A250" s="31" t="s">
        <v>83</v>
      </c>
      <c r="C250" t="s">
        <v>317</v>
      </c>
      <c r="D250" s="5" t="s">
        <v>57</v>
      </c>
      <c r="E250">
        <v>2035</v>
      </c>
      <c r="F250" s="6" t="str">
        <f t="shared" si="26"/>
        <v>*0.64</v>
      </c>
      <c r="H250" t="s">
        <v>317</v>
      </c>
      <c r="I250" s="5" t="s">
        <v>57</v>
      </c>
      <c r="J250">
        <v>2050</v>
      </c>
      <c r="K250" s="38" t="str">
        <f t="shared" si="27"/>
        <v>*0.54</v>
      </c>
      <c r="P250" s="32" t="s">
        <v>317</v>
      </c>
      <c r="Q250" s="42" t="s">
        <v>57</v>
      </c>
      <c r="R250" s="32">
        <v>2035</v>
      </c>
      <c r="S250" s="43" t="str">
        <f t="shared" si="28"/>
        <v>*0.64</v>
      </c>
      <c r="U250" s="32" t="s">
        <v>317</v>
      </c>
      <c r="V250" s="42" t="s">
        <v>57</v>
      </c>
      <c r="W250" s="32">
        <v>2050</v>
      </c>
      <c r="X250" s="43" t="str">
        <f t="shared" si="29"/>
        <v>*0.53</v>
      </c>
      <c r="AC250" s="33" t="s">
        <v>317</v>
      </c>
      <c r="AD250" s="44" t="s">
        <v>57</v>
      </c>
      <c r="AE250" s="33">
        <v>2035</v>
      </c>
      <c r="AF250" s="45" t="str">
        <f t="shared" si="30"/>
        <v>*0.6</v>
      </c>
      <c r="AG250" s="43" t="str">
        <f t="shared" si="32"/>
        <v>REZoning_Sol-Win</v>
      </c>
      <c r="AI250" s="33" t="s">
        <v>317</v>
      </c>
      <c r="AJ250" s="44" t="s">
        <v>57</v>
      </c>
      <c r="AK250" s="33">
        <v>2050</v>
      </c>
      <c r="AL250" s="45" t="str">
        <f t="shared" si="31"/>
        <v>*0.5</v>
      </c>
      <c r="AM250" s="43" t="str">
        <f t="shared" si="33"/>
        <v>REZoning_Sol-Win</v>
      </c>
      <c r="AP250" t="s">
        <v>317</v>
      </c>
      <c r="AQ250" t="s">
        <v>57</v>
      </c>
      <c r="AR250">
        <v>2100</v>
      </c>
      <c r="AS250" t="s">
        <v>85</v>
      </c>
      <c r="AT250" t="s">
        <v>58</v>
      </c>
    </row>
    <row r="251" ht="29" spans="1:46">
      <c r="A251" s="31" t="s">
        <v>83</v>
      </c>
      <c r="C251" t="s">
        <v>318</v>
      </c>
      <c r="D251" s="5" t="s">
        <v>57</v>
      </c>
      <c r="E251">
        <v>2035</v>
      </c>
      <c r="F251" s="6" t="str">
        <f t="shared" si="26"/>
        <v>*0.64</v>
      </c>
      <c r="H251" t="s">
        <v>318</v>
      </c>
      <c r="I251" s="5" t="s">
        <v>57</v>
      </c>
      <c r="J251">
        <v>2050</v>
      </c>
      <c r="K251" s="38" t="str">
        <f t="shared" si="27"/>
        <v>*0.54</v>
      </c>
      <c r="P251" s="32" t="s">
        <v>318</v>
      </c>
      <c r="Q251" s="42" t="s">
        <v>57</v>
      </c>
      <c r="R251" s="32">
        <v>2035</v>
      </c>
      <c r="S251" s="43" t="str">
        <f t="shared" si="28"/>
        <v>*0.64</v>
      </c>
      <c r="U251" s="32" t="s">
        <v>318</v>
      </c>
      <c r="V251" s="42" t="s">
        <v>57</v>
      </c>
      <c r="W251" s="32">
        <v>2050</v>
      </c>
      <c r="X251" s="43" t="str">
        <f t="shared" si="29"/>
        <v>*0.53</v>
      </c>
      <c r="AC251" s="33" t="s">
        <v>318</v>
      </c>
      <c r="AD251" s="44" t="s">
        <v>57</v>
      </c>
      <c r="AE251" s="33">
        <v>2035</v>
      </c>
      <c r="AF251" s="45" t="str">
        <f t="shared" si="30"/>
        <v>*0.6</v>
      </c>
      <c r="AG251" s="43" t="str">
        <f t="shared" si="32"/>
        <v>REZoning_Sol-Win</v>
      </c>
      <c r="AI251" s="33" t="s">
        <v>318</v>
      </c>
      <c r="AJ251" s="44" t="s">
        <v>57</v>
      </c>
      <c r="AK251" s="33">
        <v>2050</v>
      </c>
      <c r="AL251" s="45" t="str">
        <f t="shared" si="31"/>
        <v>*0.5</v>
      </c>
      <c r="AM251" s="43" t="str">
        <f t="shared" si="33"/>
        <v>REZoning_Sol-Win</v>
      </c>
      <c r="AP251" t="s">
        <v>318</v>
      </c>
      <c r="AQ251" t="s">
        <v>57</v>
      </c>
      <c r="AR251">
        <v>2100</v>
      </c>
      <c r="AS251" t="s">
        <v>85</v>
      </c>
      <c r="AT251" t="s">
        <v>58</v>
      </c>
    </row>
    <row r="252" ht="29" spans="1:46">
      <c r="A252" s="31" t="s">
        <v>83</v>
      </c>
      <c r="C252" t="s">
        <v>319</v>
      </c>
      <c r="D252" s="5" t="s">
        <v>57</v>
      </c>
      <c r="E252">
        <v>2035</v>
      </c>
      <c r="F252" s="6" t="str">
        <f t="shared" si="26"/>
        <v>*0.64</v>
      </c>
      <c r="H252" t="s">
        <v>319</v>
      </c>
      <c r="I252" s="5" t="s">
        <v>57</v>
      </c>
      <c r="J252">
        <v>2050</v>
      </c>
      <c r="K252" s="38" t="str">
        <f t="shared" si="27"/>
        <v>*0.54</v>
      </c>
      <c r="P252" s="32" t="s">
        <v>319</v>
      </c>
      <c r="Q252" s="42" t="s">
        <v>57</v>
      </c>
      <c r="R252" s="32">
        <v>2035</v>
      </c>
      <c r="S252" s="43" t="str">
        <f t="shared" si="28"/>
        <v>*0.64</v>
      </c>
      <c r="U252" s="32" t="s">
        <v>319</v>
      </c>
      <c r="V252" s="42" t="s">
        <v>57</v>
      </c>
      <c r="W252" s="32">
        <v>2050</v>
      </c>
      <c r="X252" s="43" t="str">
        <f t="shared" si="29"/>
        <v>*0.53</v>
      </c>
      <c r="AC252" s="33" t="s">
        <v>319</v>
      </c>
      <c r="AD252" s="44" t="s">
        <v>57</v>
      </c>
      <c r="AE252" s="33">
        <v>2035</v>
      </c>
      <c r="AF252" s="45" t="str">
        <f t="shared" si="30"/>
        <v>*0.6</v>
      </c>
      <c r="AG252" s="43" t="str">
        <f t="shared" si="32"/>
        <v>REZoning_Sol-Win</v>
      </c>
      <c r="AI252" s="33" t="s">
        <v>319</v>
      </c>
      <c r="AJ252" s="44" t="s">
        <v>57</v>
      </c>
      <c r="AK252" s="33">
        <v>2050</v>
      </c>
      <c r="AL252" s="45" t="str">
        <f t="shared" si="31"/>
        <v>*0.5</v>
      </c>
      <c r="AM252" s="43" t="str">
        <f t="shared" si="33"/>
        <v>REZoning_Sol-Win</v>
      </c>
      <c r="AP252" t="s">
        <v>319</v>
      </c>
      <c r="AQ252" t="s">
        <v>57</v>
      </c>
      <c r="AR252">
        <v>2100</v>
      </c>
      <c r="AS252" t="s">
        <v>85</v>
      </c>
      <c r="AT252" t="s">
        <v>58</v>
      </c>
    </row>
    <row r="253" ht="29" spans="1:46">
      <c r="A253" s="31" t="s">
        <v>79</v>
      </c>
      <c r="C253" t="s">
        <v>320</v>
      </c>
      <c r="D253" s="5" t="s">
        <v>57</v>
      </c>
      <c r="E253">
        <v>2035</v>
      </c>
      <c r="F253" s="6" t="str">
        <f t="shared" si="26"/>
        <v>*0.6</v>
      </c>
      <c r="H253" t="s">
        <v>320</v>
      </c>
      <c r="I253" s="5" t="s">
        <v>57</v>
      </c>
      <c r="J253">
        <v>2050</v>
      </c>
      <c r="K253" s="38" t="str">
        <f t="shared" si="27"/>
        <v>*0.5</v>
      </c>
      <c r="P253" s="32" t="s">
        <v>320</v>
      </c>
      <c r="Q253" s="42" t="s">
        <v>57</v>
      </c>
      <c r="R253" s="32">
        <v>2035</v>
      </c>
      <c r="S253" s="43" t="str">
        <f t="shared" si="28"/>
        <v>*0.59</v>
      </c>
      <c r="U253" s="32" t="s">
        <v>320</v>
      </c>
      <c r="V253" s="42" t="s">
        <v>57</v>
      </c>
      <c r="W253" s="32">
        <v>2050</v>
      </c>
      <c r="X253" s="43" t="str">
        <f t="shared" si="29"/>
        <v>*0.47</v>
      </c>
      <c r="AC253" s="33" t="s">
        <v>320</v>
      </c>
      <c r="AD253" s="44" t="s">
        <v>57</v>
      </c>
      <c r="AE253" s="33">
        <v>2035</v>
      </c>
      <c r="AF253" s="45" t="str">
        <f t="shared" si="30"/>
        <v>*0.53</v>
      </c>
      <c r="AG253" s="43" t="str">
        <f t="shared" si="32"/>
        <v>REZoning_Sol-Win</v>
      </c>
      <c r="AI253" s="33" t="s">
        <v>320</v>
      </c>
      <c r="AJ253" s="44" t="s">
        <v>57</v>
      </c>
      <c r="AK253" s="33">
        <v>2050</v>
      </c>
      <c r="AL253" s="45" t="str">
        <f t="shared" si="31"/>
        <v>*0.41</v>
      </c>
      <c r="AM253" s="43" t="str">
        <f t="shared" si="33"/>
        <v>REZoning_Sol-Win</v>
      </c>
      <c r="AP253" t="s">
        <v>320</v>
      </c>
      <c r="AQ253" t="s">
        <v>57</v>
      </c>
      <c r="AR253">
        <v>2100</v>
      </c>
      <c r="AS253" t="s">
        <v>67</v>
      </c>
      <c r="AT253" t="s">
        <v>58</v>
      </c>
    </row>
    <row r="254" ht="29" spans="1:46">
      <c r="A254" s="31" t="s">
        <v>79</v>
      </c>
      <c r="C254" t="s">
        <v>321</v>
      </c>
      <c r="D254" s="5" t="s">
        <v>57</v>
      </c>
      <c r="E254">
        <v>2035</v>
      </c>
      <c r="F254" s="6" t="str">
        <f t="shared" si="26"/>
        <v>*0.6</v>
      </c>
      <c r="H254" t="s">
        <v>321</v>
      </c>
      <c r="I254" s="5" t="s">
        <v>57</v>
      </c>
      <c r="J254">
        <v>2050</v>
      </c>
      <c r="K254" s="38" t="str">
        <f t="shared" si="27"/>
        <v>*0.5</v>
      </c>
      <c r="P254" s="32" t="s">
        <v>321</v>
      </c>
      <c r="Q254" s="42" t="s">
        <v>57</v>
      </c>
      <c r="R254" s="32">
        <v>2035</v>
      </c>
      <c r="S254" s="43" t="str">
        <f t="shared" si="28"/>
        <v>*0.59</v>
      </c>
      <c r="U254" s="32" t="s">
        <v>321</v>
      </c>
      <c r="V254" s="42" t="s">
        <v>57</v>
      </c>
      <c r="W254" s="32">
        <v>2050</v>
      </c>
      <c r="X254" s="43" t="str">
        <f t="shared" si="29"/>
        <v>*0.47</v>
      </c>
      <c r="AC254" s="33" t="s">
        <v>321</v>
      </c>
      <c r="AD254" s="44" t="s">
        <v>57</v>
      </c>
      <c r="AE254" s="33">
        <v>2035</v>
      </c>
      <c r="AF254" s="45" t="str">
        <f t="shared" si="30"/>
        <v>*0.53</v>
      </c>
      <c r="AG254" s="43" t="str">
        <f t="shared" si="32"/>
        <v>REZoning_Sol-Win</v>
      </c>
      <c r="AI254" s="33" t="s">
        <v>321</v>
      </c>
      <c r="AJ254" s="44" t="s">
        <v>57</v>
      </c>
      <c r="AK254" s="33">
        <v>2050</v>
      </c>
      <c r="AL254" s="45" t="str">
        <f t="shared" si="31"/>
        <v>*0.41</v>
      </c>
      <c r="AM254" s="43" t="str">
        <f t="shared" si="33"/>
        <v>REZoning_Sol-Win</v>
      </c>
      <c r="AP254" t="s">
        <v>321</v>
      </c>
      <c r="AQ254" t="s">
        <v>57</v>
      </c>
      <c r="AR254">
        <v>2100</v>
      </c>
      <c r="AS254" t="s">
        <v>67</v>
      </c>
      <c r="AT254" t="s">
        <v>58</v>
      </c>
    </row>
    <row r="255" ht="29" spans="1:46">
      <c r="A255" s="31" t="s">
        <v>79</v>
      </c>
      <c r="C255" t="s">
        <v>322</v>
      </c>
      <c r="D255" s="5" t="s">
        <v>57</v>
      </c>
      <c r="E255">
        <v>2035</v>
      </c>
      <c r="F255" s="6" t="str">
        <f t="shared" si="26"/>
        <v>*0.6</v>
      </c>
      <c r="H255" t="s">
        <v>322</v>
      </c>
      <c r="I255" s="5" t="s">
        <v>57</v>
      </c>
      <c r="J255">
        <v>2050</v>
      </c>
      <c r="K255" s="38" t="str">
        <f t="shared" si="27"/>
        <v>*0.5</v>
      </c>
      <c r="P255" s="32" t="s">
        <v>322</v>
      </c>
      <c r="Q255" s="42" t="s">
        <v>57</v>
      </c>
      <c r="R255" s="32">
        <v>2035</v>
      </c>
      <c r="S255" s="43" t="str">
        <f t="shared" si="28"/>
        <v>*0.59</v>
      </c>
      <c r="U255" s="32" t="s">
        <v>322</v>
      </c>
      <c r="V255" s="42" t="s">
        <v>57</v>
      </c>
      <c r="W255" s="32">
        <v>2050</v>
      </c>
      <c r="X255" s="43" t="str">
        <f t="shared" si="29"/>
        <v>*0.47</v>
      </c>
      <c r="AC255" s="33" t="s">
        <v>322</v>
      </c>
      <c r="AD255" s="44" t="s">
        <v>57</v>
      </c>
      <c r="AE255" s="33">
        <v>2035</v>
      </c>
      <c r="AF255" s="45" t="str">
        <f t="shared" si="30"/>
        <v>*0.53</v>
      </c>
      <c r="AG255" s="43" t="str">
        <f t="shared" si="32"/>
        <v>REZoning_Sol-Win</v>
      </c>
      <c r="AI255" s="33" t="s">
        <v>322</v>
      </c>
      <c r="AJ255" s="44" t="s">
        <v>57</v>
      </c>
      <c r="AK255" s="33">
        <v>2050</v>
      </c>
      <c r="AL255" s="45" t="str">
        <f t="shared" si="31"/>
        <v>*0.41</v>
      </c>
      <c r="AM255" s="43" t="str">
        <f t="shared" si="33"/>
        <v>REZoning_Sol-Win</v>
      </c>
      <c r="AP255" t="s">
        <v>322</v>
      </c>
      <c r="AQ255" t="s">
        <v>57</v>
      </c>
      <c r="AR255">
        <v>2100</v>
      </c>
      <c r="AS255" t="s">
        <v>67</v>
      </c>
      <c r="AT255" t="s">
        <v>58</v>
      </c>
    </row>
    <row r="256" ht="29" spans="1:46">
      <c r="A256" s="31" t="s">
        <v>79</v>
      </c>
      <c r="C256" t="s">
        <v>323</v>
      </c>
      <c r="D256" s="5" t="s">
        <v>57</v>
      </c>
      <c r="E256">
        <v>2035</v>
      </c>
      <c r="F256" s="6" t="str">
        <f t="shared" si="26"/>
        <v>*0.6</v>
      </c>
      <c r="H256" t="s">
        <v>323</v>
      </c>
      <c r="I256" s="5" t="s">
        <v>57</v>
      </c>
      <c r="J256">
        <v>2050</v>
      </c>
      <c r="K256" s="38" t="str">
        <f t="shared" si="27"/>
        <v>*0.5</v>
      </c>
      <c r="P256" s="32" t="s">
        <v>323</v>
      </c>
      <c r="Q256" s="42" t="s">
        <v>57</v>
      </c>
      <c r="R256" s="32">
        <v>2035</v>
      </c>
      <c r="S256" s="43" t="str">
        <f t="shared" si="28"/>
        <v>*0.59</v>
      </c>
      <c r="U256" s="32" t="s">
        <v>323</v>
      </c>
      <c r="V256" s="42" t="s">
        <v>57</v>
      </c>
      <c r="W256" s="32">
        <v>2050</v>
      </c>
      <c r="X256" s="43" t="str">
        <f t="shared" si="29"/>
        <v>*0.47</v>
      </c>
      <c r="AC256" s="33" t="s">
        <v>323</v>
      </c>
      <c r="AD256" s="44" t="s">
        <v>57</v>
      </c>
      <c r="AE256" s="33">
        <v>2035</v>
      </c>
      <c r="AF256" s="45" t="str">
        <f t="shared" si="30"/>
        <v>*0.53</v>
      </c>
      <c r="AG256" s="43" t="str">
        <f t="shared" si="32"/>
        <v>REZoning_Sol-Win</v>
      </c>
      <c r="AI256" s="33" t="s">
        <v>323</v>
      </c>
      <c r="AJ256" s="44" t="s">
        <v>57</v>
      </c>
      <c r="AK256" s="33">
        <v>2050</v>
      </c>
      <c r="AL256" s="45" t="str">
        <f t="shared" si="31"/>
        <v>*0.41</v>
      </c>
      <c r="AM256" s="43" t="str">
        <f t="shared" si="33"/>
        <v>REZoning_Sol-Win</v>
      </c>
      <c r="AP256" t="s">
        <v>323</v>
      </c>
      <c r="AQ256" t="s">
        <v>57</v>
      </c>
      <c r="AR256">
        <v>2100</v>
      </c>
      <c r="AS256" t="s">
        <v>67</v>
      </c>
      <c r="AT256" t="s">
        <v>58</v>
      </c>
    </row>
    <row r="257" ht="29" spans="1:46">
      <c r="A257" s="31" t="s">
        <v>79</v>
      </c>
      <c r="C257" t="s">
        <v>324</v>
      </c>
      <c r="D257" s="5" t="s">
        <v>57</v>
      </c>
      <c r="E257">
        <v>2035</v>
      </c>
      <c r="F257" s="6" t="str">
        <f t="shared" si="26"/>
        <v>*0.6</v>
      </c>
      <c r="H257" t="s">
        <v>324</v>
      </c>
      <c r="I257" s="5" t="s">
        <v>57</v>
      </c>
      <c r="J257">
        <v>2050</v>
      </c>
      <c r="K257" s="38" t="str">
        <f t="shared" si="27"/>
        <v>*0.5</v>
      </c>
      <c r="P257" s="32" t="s">
        <v>324</v>
      </c>
      <c r="Q257" s="42" t="s">
        <v>57</v>
      </c>
      <c r="R257" s="32">
        <v>2035</v>
      </c>
      <c r="S257" s="43" t="str">
        <f t="shared" si="28"/>
        <v>*0.59</v>
      </c>
      <c r="U257" s="32" t="s">
        <v>324</v>
      </c>
      <c r="V257" s="42" t="s">
        <v>57</v>
      </c>
      <c r="W257" s="32">
        <v>2050</v>
      </c>
      <c r="X257" s="43" t="str">
        <f t="shared" si="29"/>
        <v>*0.47</v>
      </c>
      <c r="AC257" s="33" t="s">
        <v>324</v>
      </c>
      <c r="AD257" s="44" t="s">
        <v>57</v>
      </c>
      <c r="AE257" s="33">
        <v>2035</v>
      </c>
      <c r="AF257" s="45" t="str">
        <f t="shared" si="30"/>
        <v>*0.53</v>
      </c>
      <c r="AG257" s="43" t="str">
        <f t="shared" si="32"/>
        <v>REZoning_Sol-Win</v>
      </c>
      <c r="AI257" s="33" t="s">
        <v>324</v>
      </c>
      <c r="AJ257" s="44" t="s">
        <v>57</v>
      </c>
      <c r="AK257" s="33">
        <v>2050</v>
      </c>
      <c r="AL257" s="45" t="str">
        <f t="shared" si="31"/>
        <v>*0.41</v>
      </c>
      <c r="AM257" s="43" t="str">
        <f t="shared" si="33"/>
        <v>REZoning_Sol-Win</v>
      </c>
      <c r="AP257" t="s">
        <v>324</v>
      </c>
      <c r="AQ257" t="s">
        <v>57</v>
      </c>
      <c r="AR257">
        <v>2100</v>
      </c>
      <c r="AS257" t="s">
        <v>67</v>
      </c>
      <c r="AT257" t="s">
        <v>58</v>
      </c>
    </row>
    <row r="258" ht="29" spans="1:46">
      <c r="A258" s="31" t="s">
        <v>79</v>
      </c>
      <c r="C258" t="s">
        <v>325</v>
      </c>
      <c r="D258" s="5" t="s">
        <v>57</v>
      </c>
      <c r="E258">
        <v>2035</v>
      </c>
      <c r="F258" s="6" t="str">
        <f t="shared" si="26"/>
        <v>*0.6</v>
      </c>
      <c r="H258" t="s">
        <v>325</v>
      </c>
      <c r="I258" s="5" t="s">
        <v>57</v>
      </c>
      <c r="J258">
        <v>2050</v>
      </c>
      <c r="K258" s="38" t="str">
        <f t="shared" si="27"/>
        <v>*0.5</v>
      </c>
      <c r="P258" s="32" t="s">
        <v>325</v>
      </c>
      <c r="Q258" s="42" t="s">
        <v>57</v>
      </c>
      <c r="R258" s="32">
        <v>2035</v>
      </c>
      <c r="S258" s="43" t="str">
        <f t="shared" si="28"/>
        <v>*0.59</v>
      </c>
      <c r="U258" s="32" t="s">
        <v>325</v>
      </c>
      <c r="V258" s="42" t="s">
        <v>57</v>
      </c>
      <c r="W258" s="32">
        <v>2050</v>
      </c>
      <c r="X258" s="43" t="str">
        <f t="shared" si="29"/>
        <v>*0.47</v>
      </c>
      <c r="AC258" s="33" t="s">
        <v>325</v>
      </c>
      <c r="AD258" s="44" t="s">
        <v>57</v>
      </c>
      <c r="AE258" s="33">
        <v>2035</v>
      </c>
      <c r="AF258" s="45" t="str">
        <f t="shared" si="30"/>
        <v>*0.53</v>
      </c>
      <c r="AG258" s="43" t="str">
        <f t="shared" si="32"/>
        <v>REZoning_Sol-Win</v>
      </c>
      <c r="AI258" s="33" t="s">
        <v>325</v>
      </c>
      <c r="AJ258" s="44" t="s">
        <v>57</v>
      </c>
      <c r="AK258" s="33">
        <v>2050</v>
      </c>
      <c r="AL258" s="45" t="str">
        <f t="shared" si="31"/>
        <v>*0.41</v>
      </c>
      <c r="AM258" s="43" t="str">
        <f t="shared" si="33"/>
        <v>REZoning_Sol-Win</v>
      </c>
      <c r="AP258" t="s">
        <v>325</v>
      </c>
      <c r="AQ258" t="s">
        <v>57</v>
      </c>
      <c r="AR258">
        <v>2100</v>
      </c>
      <c r="AS258" t="s">
        <v>67</v>
      </c>
      <c r="AT258" t="s">
        <v>58</v>
      </c>
    </row>
    <row r="259" ht="29" spans="1:46">
      <c r="A259" s="31" t="s">
        <v>79</v>
      </c>
      <c r="C259" t="s">
        <v>326</v>
      </c>
      <c r="D259" s="5" t="s">
        <v>57</v>
      </c>
      <c r="E259">
        <v>2035</v>
      </c>
      <c r="F259" s="6" t="str">
        <f t="shared" si="26"/>
        <v>*0.6</v>
      </c>
      <c r="H259" t="s">
        <v>326</v>
      </c>
      <c r="I259" s="5" t="s">
        <v>57</v>
      </c>
      <c r="J259">
        <v>2050</v>
      </c>
      <c r="K259" s="38" t="str">
        <f t="shared" si="27"/>
        <v>*0.5</v>
      </c>
      <c r="P259" s="32" t="s">
        <v>326</v>
      </c>
      <c r="Q259" s="42" t="s">
        <v>57</v>
      </c>
      <c r="R259" s="32">
        <v>2035</v>
      </c>
      <c r="S259" s="43" t="str">
        <f t="shared" si="28"/>
        <v>*0.59</v>
      </c>
      <c r="U259" s="32" t="s">
        <v>326</v>
      </c>
      <c r="V259" s="42" t="s">
        <v>57</v>
      </c>
      <c r="W259" s="32">
        <v>2050</v>
      </c>
      <c r="X259" s="43" t="str">
        <f t="shared" si="29"/>
        <v>*0.47</v>
      </c>
      <c r="AC259" s="33" t="s">
        <v>326</v>
      </c>
      <c r="AD259" s="44" t="s">
        <v>57</v>
      </c>
      <c r="AE259" s="33">
        <v>2035</v>
      </c>
      <c r="AF259" s="45" t="str">
        <f t="shared" si="30"/>
        <v>*0.53</v>
      </c>
      <c r="AG259" s="43" t="str">
        <f t="shared" si="32"/>
        <v>REZoning_Sol-Win</v>
      </c>
      <c r="AI259" s="33" t="s">
        <v>326</v>
      </c>
      <c r="AJ259" s="44" t="s">
        <v>57</v>
      </c>
      <c r="AK259" s="33">
        <v>2050</v>
      </c>
      <c r="AL259" s="45" t="str">
        <f t="shared" si="31"/>
        <v>*0.41</v>
      </c>
      <c r="AM259" s="43" t="str">
        <f t="shared" si="33"/>
        <v>REZoning_Sol-Win</v>
      </c>
      <c r="AP259" t="s">
        <v>326</v>
      </c>
      <c r="AQ259" t="s">
        <v>57</v>
      </c>
      <c r="AR259">
        <v>2100</v>
      </c>
      <c r="AS259" t="s">
        <v>67</v>
      </c>
      <c r="AT259" t="s">
        <v>58</v>
      </c>
    </row>
    <row r="260" ht="29" spans="1:46">
      <c r="A260" s="31" t="s">
        <v>79</v>
      </c>
      <c r="C260" t="s">
        <v>327</v>
      </c>
      <c r="D260" s="5" t="s">
        <v>57</v>
      </c>
      <c r="E260">
        <v>2035</v>
      </c>
      <c r="F260" s="6" t="str">
        <f t="shared" ref="F260:F323" si="34">"*"&amp;IF(AND(A260="EU",E260=2035),0.63,IF(AND(A260="EU",E260=2050),0.54,IF(AND(A260="USA",E260=2035),0.64,IF(AND(A260="USA",E260=2050),0.54,IF(AND(A260="Japan",E260=2035),0.68,IF(AND(A260="Japan",E260=2050),0.58,IF(AND(A260="Russia",E260=2035),0.65,IF(AND(A260="Russia",E260=2050),0.54,IF(AND(A260="China",E260=2035),0.61,IF(AND(A260="China",E260=2050),0.49,IF(AND(A260="India",E260=2035),0.6,IF(AND(A260="India",E260=2050),0.49,IF(AND(A260="Middle East",E260=2035),0.6,IF(AND(A260="Middle East",E260=2050),0.5,IF(AND(A260="Africa",E260=2035),0.61,IF(AND(A260="Africa",E260=2050),0.5,IF(AND(A260="Brazil",E260=2035),0.64,IF(AND(A260="Brazil",E260=2050),0.54,""))))))))))))))))))</f>
        <v>*0.6</v>
      </c>
      <c r="H260" t="s">
        <v>327</v>
      </c>
      <c r="I260" s="5" t="s">
        <v>57</v>
      </c>
      <c r="J260">
        <v>2050</v>
      </c>
      <c r="K260" s="38" t="str">
        <f t="shared" ref="K260:K323" si="35">"*"&amp;IF(AND(A260="EU",J260=2035),0.63,IF(AND(A260="EU",J260=2050),0.54,IF(AND(A260="USA",J260=2035),0.64,IF(AND(A260="USA",J260=2050),0.54,IF(AND(A260="Japan",J260=2035),0.68,IF(AND(A260="Japan",J260=2050),0.58,IF(AND(A260="Russia",J260=2035),0.65,IF(AND(A260="Russia",J260=2050),0.54,IF(AND(A260="China",J260=2035),0.61,IF(AND(A260="China",J260=2050),0.49,IF(AND(A260="India",J260=2035),0.6,IF(AND(A260="India",J260=2050),0.49,IF(AND(A260="Middle East",J260=2035),0.6,IF(AND(A260="Middle East",J260=2050),0.5,IF(AND(A260="Africa",J260=2035),0.61,IF(AND(A260="Africa",J260=2050),0.5,IF(AND(A260="Brazil",J260=2035),0.64,IF(AND(A260="Brazil",J260=2050),0.54,""))))))))))))))))))</f>
        <v>*0.5</v>
      </c>
      <c r="P260" s="32" t="s">
        <v>327</v>
      </c>
      <c r="Q260" s="42" t="s">
        <v>57</v>
      </c>
      <c r="R260" s="32">
        <v>2035</v>
      </c>
      <c r="S260" s="43" t="str">
        <f t="shared" ref="S260:S323" si="36">"*"&amp;IF(AND(A260="EU",R260=2035),0.62,IF(AND(A260="EU",R260=2050),0.51,IF(AND(A260="USA",R260=2035),0.62,IF(AND(A260="USA",R260=2050),0.5,IF(AND(A260="Japan",R260=2035),0.65,IF(AND(A260="Japan",R260=2050),0.55,IF(AND(A260="Russia",R260=2035),0.63,IF(AND(A260="Russia",R260=2050),0.52,IF(AND(A260="China",R260=2035),0.59,IF(AND(A260="China",R260=2050),0.47,IF(AND(A260="India",R260=2035),0.58,IF(AND(A260="India",R260=2050),0.47,IF(AND(A260="Middle East",R260=2035),0.59,IF(AND(A260="Middle East",R260=2050),0.47,IF(AND(A260="Africa",R260=2035),0.58,IF(AND(A260="Africa",R260=2050),0.47,IF(AND(A260="Brazil",R260=2035),0.64,IF(AND(A260="Brazil",R260=2050),0.53,""))))))))))))))))))</f>
        <v>*0.59</v>
      </c>
      <c r="U260" s="32" t="s">
        <v>327</v>
      </c>
      <c r="V260" s="42" t="s">
        <v>57</v>
      </c>
      <c r="W260" s="32">
        <v>2050</v>
      </c>
      <c r="X260" s="43" t="str">
        <f t="shared" ref="X260:X323" si="37">"*"&amp;IF(AND(A260="EU",W260=2035),0.62,IF(AND(A260="EU",W260=2050),0.51,IF(AND(A260="USA",W260=2035),0.62,IF(AND(A260="USA",W260=2050),0.5,IF(AND(A260="Japan",W260=2035),0.65,IF(AND(A260="Japan",W260=2050),0.55,IF(AND(A260="Russia",W260=2035),0.63,IF(AND(A260="Russia",W260=2050),0.52,IF(AND(A260="China",W260=2035),0.59,IF(AND(A260="China",W260=2050),0.47,IF(AND(A260="India",W260=2035),0.58,IF(AND(A260="India",W260=2050),0.47,IF(AND(A260="Middle East",W260=2035),0.59,IF(AND(A260="Middle East",W260=2050),0.47,IF(AND(A260="Africa",W260=2035),0.58,IF(AND(A260="Africa",W260=2050),0.47,IF(AND(A260="Brazil",W260=2035),0.64,IF(AND(A260="Brazil",W260=2050),0.53,""))))))))))))))))))</f>
        <v>*0.47</v>
      </c>
      <c r="AC260" s="33" t="s">
        <v>327</v>
      </c>
      <c r="AD260" s="44" t="s">
        <v>57</v>
      </c>
      <c r="AE260" s="33">
        <v>2035</v>
      </c>
      <c r="AF260" s="45" t="str">
        <f t="shared" ref="AF260:AF323" si="38">"*"&amp;IF(AND(A260="EU",AE260=2035),0.58,IF(AND(A260="EU",AE260=2050),0.49,IF(AND(A260="USA",AE260=2035),0.56,IF(AND(A260="USA",AE260=2050),0.45,IF(AND(A260="Japan",AE260=2035),0.62,IF(AND(A260="Japan",AE260=2050),0.51,IF(AND(A260="Russia",AE260=2035),0.55,IF(AND(A260="Russia",AE260=2050),0.41,IF(AND(A260="China",AE260=2035),0.54,IF(AND(A260="China",AE260=2050),0.44,IF(AND(A260="India",AE260=2035),0.55,IF(AND(A260="India",AE260=2050),0.42,IF(AND(A260="Middle East",AE260=2035),0.53,IF(AND(A260="Middle East",AE260=2050),0.41,IF(AND(A260="Africa",AE260=2035),0.53,IF(AND(A260="Africa",AE260=2050),0.41,IF(AND(A260="Brazil",AE260=2035),0.6,IF(AND(A260="Brazil",AE260=2050),0.5,""))))))))))))))))))</f>
        <v>*0.53</v>
      </c>
      <c r="AG260" s="43" t="str">
        <f t="shared" si="32"/>
        <v>REZoning_Sol-Win</v>
      </c>
      <c r="AI260" s="33" t="s">
        <v>327</v>
      </c>
      <c r="AJ260" s="44" t="s">
        <v>57</v>
      </c>
      <c r="AK260" s="33">
        <v>2050</v>
      </c>
      <c r="AL260" s="45" t="str">
        <f t="shared" ref="AL260:AL323" si="39">"*"&amp;IF(AND(A260="EU",AK260=2035),0.58,IF(AND(A260="EU",AK260=2050),0.49,IF(AND(A260="USA",AK260=2035),0.56,IF(AND(A260="USA",AK260=2050),0.45,IF(AND(A260="Japan",AK260=2035),0.62,IF(AND(A260="Japan",AK260=2050),0.51,IF(AND(A260="Russia",AK260=2035),0.55,IF(AND(A260="Russia",AK260=2050),0.41,IF(AND(A260="China",AK260=2035),0.54,IF(AND(A260="China",AK260=2050),0.44,IF(AND(A260="India",AK260=2035),0.55,IF(AND(A260="India",AK260=2050),0.42,IF(AND(A260="Middle East",AK260=2035),0.53,IF(AND(A260="Middle East",AK260=2050),0.41,IF(AND(A260="Africa",AK260=2035),0.53,IF(AND(A260="Africa",AK260=2050),0.41,IF(AND(A260="Brazil",AK260=2035),0.6,IF(AND(A260="Brazil",AK260=2050),0.5,""))))))))))))))))))</f>
        <v>*0.41</v>
      </c>
      <c r="AM260" s="43" t="str">
        <f t="shared" si="33"/>
        <v>REZoning_Sol-Win</v>
      </c>
      <c r="AP260" t="s">
        <v>327</v>
      </c>
      <c r="AQ260" t="s">
        <v>57</v>
      </c>
      <c r="AR260">
        <v>2100</v>
      </c>
      <c r="AS260" t="s">
        <v>67</v>
      </c>
      <c r="AT260" t="s">
        <v>58</v>
      </c>
    </row>
    <row r="261" ht="29" spans="1:46">
      <c r="A261" s="31" t="s">
        <v>65</v>
      </c>
      <c r="C261" t="s">
        <v>328</v>
      </c>
      <c r="D261" s="5" t="s">
        <v>57</v>
      </c>
      <c r="E261">
        <v>2035</v>
      </c>
      <c r="F261" s="6" t="str">
        <f t="shared" si="34"/>
        <v>*0.61</v>
      </c>
      <c r="H261" t="s">
        <v>328</v>
      </c>
      <c r="I261" s="5" t="s">
        <v>57</v>
      </c>
      <c r="J261">
        <v>2050</v>
      </c>
      <c r="K261" s="38" t="str">
        <f t="shared" si="35"/>
        <v>*0.5</v>
      </c>
      <c r="P261" s="32" t="s">
        <v>328</v>
      </c>
      <c r="Q261" s="42" t="s">
        <v>57</v>
      </c>
      <c r="R261" s="32">
        <v>2035</v>
      </c>
      <c r="S261" s="43" t="str">
        <f t="shared" si="36"/>
        <v>*0.58</v>
      </c>
      <c r="U261" s="32" t="s">
        <v>328</v>
      </c>
      <c r="V261" s="42" t="s">
        <v>57</v>
      </c>
      <c r="W261" s="32">
        <v>2050</v>
      </c>
      <c r="X261" s="43" t="str">
        <f t="shared" si="37"/>
        <v>*0.47</v>
      </c>
      <c r="AC261" s="33" t="s">
        <v>328</v>
      </c>
      <c r="AD261" s="44" t="s">
        <v>57</v>
      </c>
      <c r="AE261" s="33">
        <v>2035</v>
      </c>
      <c r="AF261" s="45" t="str">
        <f t="shared" si="38"/>
        <v>*0.53</v>
      </c>
      <c r="AG261" s="43" t="str">
        <f t="shared" si="32"/>
        <v>REZoning_Sol-Win</v>
      </c>
      <c r="AI261" s="33" t="s">
        <v>328</v>
      </c>
      <c r="AJ261" s="44" t="s">
        <v>57</v>
      </c>
      <c r="AK261" s="33">
        <v>2050</v>
      </c>
      <c r="AL261" s="45" t="str">
        <f t="shared" si="39"/>
        <v>*0.41</v>
      </c>
      <c r="AM261" s="43" t="str">
        <f t="shared" si="33"/>
        <v>REZoning_Sol-Win</v>
      </c>
      <c r="AP261" t="s">
        <v>328</v>
      </c>
      <c r="AQ261" t="s">
        <v>57</v>
      </c>
      <c r="AR261">
        <v>2100</v>
      </c>
      <c r="AS261" t="s">
        <v>67</v>
      </c>
      <c r="AT261" t="s">
        <v>58</v>
      </c>
    </row>
    <row r="262" ht="29" spans="1:46">
      <c r="A262" s="31" t="s">
        <v>73</v>
      </c>
      <c r="C262" t="s">
        <v>329</v>
      </c>
      <c r="D262" s="5" t="s">
        <v>57</v>
      </c>
      <c r="E262">
        <v>2035</v>
      </c>
      <c r="F262" s="6" t="str">
        <f t="shared" si="34"/>
        <v>*0.63</v>
      </c>
      <c r="H262" t="s">
        <v>329</v>
      </c>
      <c r="I262" s="5" t="s">
        <v>57</v>
      </c>
      <c r="J262">
        <v>2050</v>
      </c>
      <c r="K262" s="38" t="str">
        <f t="shared" si="35"/>
        <v>*0.54</v>
      </c>
      <c r="P262" s="32" t="s">
        <v>329</v>
      </c>
      <c r="Q262" s="42" t="s">
        <v>57</v>
      </c>
      <c r="R262" s="32">
        <v>2035</v>
      </c>
      <c r="S262" s="43" t="str">
        <f t="shared" si="36"/>
        <v>*0.62</v>
      </c>
      <c r="U262" s="32" t="s">
        <v>329</v>
      </c>
      <c r="V262" s="42" t="s">
        <v>57</v>
      </c>
      <c r="W262" s="32">
        <v>2050</v>
      </c>
      <c r="X262" s="43" t="str">
        <f t="shared" si="37"/>
        <v>*0.51</v>
      </c>
      <c r="AC262" s="33" t="s">
        <v>329</v>
      </c>
      <c r="AD262" s="44" t="s">
        <v>57</v>
      </c>
      <c r="AE262" s="33">
        <v>2035</v>
      </c>
      <c r="AF262" s="45" t="str">
        <f t="shared" si="38"/>
        <v>*0.58</v>
      </c>
      <c r="AG262" s="43" t="str">
        <f t="shared" si="32"/>
        <v>REZoning_Sol-Win</v>
      </c>
      <c r="AI262" s="33" t="s">
        <v>329</v>
      </c>
      <c r="AJ262" s="44" t="s">
        <v>57</v>
      </c>
      <c r="AK262" s="33">
        <v>2050</v>
      </c>
      <c r="AL262" s="45" t="str">
        <f t="shared" si="39"/>
        <v>*0.49</v>
      </c>
      <c r="AM262" s="43" t="str">
        <f t="shared" si="33"/>
        <v>REZoning_Sol-Win</v>
      </c>
      <c r="AP262" t="s">
        <v>329</v>
      </c>
      <c r="AQ262" t="s">
        <v>57</v>
      </c>
      <c r="AR262">
        <v>2100</v>
      </c>
      <c r="AS262" t="s">
        <v>75</v>
      </c>
      <c r="AT262" t="s">
        <v>58</v>
      </c>
    </row>
    <row r="263" ht="29" spans="1:46">
      <c r="A263" s="31" t="s">
        <v>73</v>
      </c>
      <c r="C263" t="s">
        <v>330</v>
      </c>
      <c r="D263" s="5" t="s">
        <v>57</v>
      </c>
      <c r="E263">
        <v>2035</v>
      </c>
      <c r="F263" s="6" t="str">
        <f t="shared" si="34"/>
        <v>*0.63</v>
      </c>
      <c r="H263" t="s">
        <v>330</v>
      </c>
      <c r="I263" s="5" t="s">
        <v>57</v>
      </c>
      <c r="J263">
        <v>2050</v>
      </c>
      <c r="K263" s="38" t="str">
        <f t="shared" si="35"/>
        <v>*0.54</v>
      </c>
      <c r="P263" s="32" t="s">
        <v>330</v>
      </c>
      <c r="Q263" s="42" t="s">
        <v>57</v>
      </c>
      <c r="R263" s="32">
        <v>2035</v>
      </c>
      <c r="S263" s="43" t="str">
        <f t="shared" si="36"/>
        <v>*0.62</v>
      </c>
      <c r="U263" s="32" t="s">
        <v>330</v>
      </c>
      <c r="V263" s="42" t="s">
        <v>57</v>
      </c>
      <c r="W263" s="32">
        <v>2050</v>
      </c>
      <c r="X263" s="43" t="str">
        <f t="shared" si="37"/>
        <v>*0.51</v>
      </c>
      <c r="AC263" s="33" t="s">
        <v>330</v>
      </c>
      <c r="AD263" s="44" t="s">
        <v>57</v>
      </c>
      <c r="AE263" s="33">
        <v>2035</v>
      </c>
      <c r="AF263" s="45" t="str">
        <f t="shared" si="38"/>
        <v>*0.58</v>
      </c>
      <c r="AG263" s="43" t="str">
        <f t="shared" si="32"/>
        <v>REZoning_Sol-Win</v>
      </c>
      <c r="AI263" s="33" t="s">
        <v>330</v>
      </c>
      <c r="AJ263" s="44" t="s">
        <v>57</v>
      </c>
      <c r="AK263" s="33">
        <v>2050</v>
      </c>
      <c r="AL263" s="45" t="str">
        <f t="shared" si="39"/>
        <v>*0.49</v>
      </c>
      <c r="AM263" s="43" t="str">
        <f t="shared" si="33"/>
        <v>REZoning_Sol-Win</v>
      </c>
      <c r="AP263" t="s">
        <v>330</v>
      </c>
      <c r="AQ263" t="s">
        <v>57</v>
      </c>
      <c r="AR263">
        <v>2100</v>
      </c>
      <c r="AS263" t="s">
        <v>75</v>
      </c>
      <c r="AT263" t="s">
        <v>58</v>
      </c>
    </row>
    <row r="264" ht="29" spans="1:46">
      <c r="A264" s="31" t="s">
        <v>73</v>
      </c>
      <c r="C264" t="s">
        <v>331</v>
      </c>
      <c r="D264" s="5" t="s">
        <v>57</v>
      </c>
      <c r="E264">
        <v>2035</v>
      </c>
      <c r="F264" s="6" t="str">
        <f t="shared" si="34"/>
        <v>*0.63</v>
      </c>
      <c r="H264" t="s">
        <v>331</v>
      </c>
      <c r="I264" s="5" t="s">
        <v>57</v>
      </c>
      <c r="J264">
        <v>2050</v>
      </c>
      <c r="K264" s="38" t="str">
        <f t="shared" si="35"/>
        <v>*0.54</v>
      </c>
      <c r="P264" s="32" t="s">
        <v>331</v>
      </c>
      <c r="Q264" s="42" t="s">
        <v>57</v>
      </c>
      <c r="R264" s="32">
        <v>2035</v>
      </c>
      <c r="S264" s="43" t="str">
        <f t="shared" si="36"/>
        <v>*0.62</v>
      </c>
      <c r="U264" s="32" t="s">
        <v>331</v>
      </c>
      <c r="V264" s="42" t="s">
        <v>57</v>
      </c>
      <c r="W264" s="32">
        <v>2050</v>
      </c>
      <c r="X264" s="43" t="str">
        <f t="shared" si="37"/>
        <v>*0.51</v>
      </c>
      <c r="AC264" s="33" t="s">
        <v>331</v>
      </c>
      <c r="AD264" s="44" t="s">
        <v>57</v>
      </c>
      <c r="AE264" s="33">
        <v>2035</v>
      </c>
      <c r="AF264" s="45" t="str">
        <f t="shared" si="38"/>
        <v>*0.58</v>
      </c>
      <c r="AG264" s="43" t="str">
        <f t="shared" si="32"/>
        <v>REZoning_Sol-Win</v>
      </c>
      <c r="AI264" s="33" t="s">
        <v>331</v>
      </c>
      <c r="AJ264" s="44" t="s">
        <v>57</v>
      </c>
      <c r="AK264" s="33">
        <v>2050</v>
      </c>
      <c r="AL264" s="45" t="str">
        <f t="shared" si="39"/>
        <v>*0.49</v>
      </c>
      <c r="AM264" s="43" t="str">
        <f t="shared" si="33"/>
        <v>REZoning_Sol-Win</v>
      </c>
      <c r="AP264" t="s">
        <v>331</v>
      </c>
      <c r="AQ264" t="s">
        <v>57</v>
      </c>
      <c r="AR264">
        <v>2100</v>
      </c>
      <c r="AS264" t="s">
        <v>75</v>
      </c>
      <c r="AT264" t="s">
        <v>58</v>
      </c>
    </row>
    <row r="265" ht="29" spans="1:46">
      <c r="A265" s="31" t="s">
        <v>73</v>
      </c>
      <c r="C265" t="s">
        <v>332</v>
      </c>
      <c r="D265" s="5" t="s">
        <v>57</v>
      </c>
      <c r="E265">
        <v>2035</v>
      </c>
      <c r="F265" s="6" t="str">
        <f t="shared" si="34"/>
        <v>*0.63</v>
      </c>
      <c r="H265" t="s">
        <v>332</v>
      </c>
      <c r="I265" s="5" t="s">
        <v>57</v>
      </c>
      <c r="J265">
        <v>2050</v>
      </c>
      <c r="K265" s="38" t="str">
        <f t="shared" si="35"/>
        <v>*0.54</v>
      </c>
      <c r="P265" s="32" t="s">
        <v>332</v>
      </c>
      <c r="Q265" s="42" t="s">
        <v>57</v>
      </c>
      <c r="R265" s="32">
        <v>2035</v>
      </c>
      <c r="S265" s="43" t="str">
        <f t="shared" si="36"/>
        <v>*0.62</v>
      </c>
      <c r="U265" s="32" t="s">
        <v>332</v>
      </c>
      <c r="V265" s="42" t="s">
        <v>57</v>
      </c>
      <c r="W265" s="32">
        <v>2050</v>
      </c>
      <c r="X265" s="43" t="str">
        <f t="shared" si="37"/>
        <v>*0.51</v>
      </c>
      <c r="AC265" s="33" t="s">
        <v>332</v>
      </c>
      <c r="AD265" s="44" t="s">
        <v>57</v>
      </c>
      <c r="AE265" s="33">
        <v>2035</v>
      </c>
      <c r="AF265" s="45" t="str">
        <f t="shared" si="38"/>
        <v>*0.58</v>
      </c>
      <c r="AG265" s="43" t="str">
        <f t="shared" ref="AG265:AG328" si="40">AG264</f>
        <v>REZoning_Sol-Win</v>
      </c>
      <c r="AI265" s="33" t="s">
        <v>332</v>
      </c>
      <c r="AJ265" s="44" t="s">
        <v>57</v>
      </c>
      <c r="AK265" s="33">
        <v>2050</v>
      </c>
      <c r="AL265" s="45" t="str">
        <f t="shared" si="39"/>
        <v>*0.49</v>
      </c>
      <c r="AM265" s="43" t="str">
        <f t="shared" ref="AM265:AM328" si="41">AM264</f>
        <v>REZoning_Sol-Win</v>
      </c>
      <c r="AP265" t="s">
        <v>332</v>
      </c>
      <c r="AQ265" t="s">
        <v>57</v>
      </c>
      <c r="AR265">
        <v>2100</v>
      </c>
      <c r="AS265" t="s">
        <v>75</v>
      </c>
      <c r="AT265" t="s">
        <v>58</v>
      </c>
    </row>
    <row r="266" ht="29" spans="1:46">
      <c r="A266" s="31" t="s">
        <v>73</v>
      </c>
      <c r="C266" t="s">
        <v>333</v>
      </c>
      <c r="D266" s="5" t="s">
        <v>57</v>
      </c>
      <c r="E266">
        <v>2035</v>
      </c>
      <c r="F266" s="6" t="str">
        <f t="shared" si="34"/>
        <v>*0.63</v>
      </c>
      <c r="H266" t="s">
        <v>333</v>
      </c>
      <c r="I266" s="5" t="s">
        <v>57</v>
      </c>
      <c r="J266">
        <v>2050</v>
      </c>
      <c r="K266" s="38" t="str">
        <f t="shared" si="35"/>
        <v>*0.54</v>
      </c>
      <c r="P266" s="32" t="s">
        <v>333</v>
      </c>
      <c r="Q266" s="42" t="s">
        <v>57</v>
      </c>
      <c r="R266" s="32">
        <v>2035</v>
      </c>
      <c r="S266" s="43" t="str">
        <f t="shared" si="36"/>
        <v>*0.62</v>
      </c>
      <c r="U266" s="32" t="s">
        <v>333</v>
      </c>
      <c r="V266" s="42" t="s">
        <v>57</v>
      </c>
      <c r="W266" s="32">
        <v>2050</v>
      </c>
      <c r="X266" s="43" t="str">
        <f t="shared" si="37"/>
        <v>*0.51</v>
      </c>
      <c r="AC266" s="33" t="s">
        <v>333</v>
      </c>
      <c r="AD266" s="44" t="s">
        <v>57</v>
      </c>
      <c r="AE266" s="33">
        <v>2035</v>
      </c>
      <c r="AF266" s="45" t="str">
        <f t="shared" si="38"/>
        <v>*0.58</v>
      </c>
      <c r="AG266" s="43" t="str">
        <f t="shared" si="40"/>
        <v>REZoning_Sol-Win</v>
      </c>
      <c r="AI266" s="33" t="s">
        <v>333</v>
      </c>
      <c r="AJ266" s="44" t="s">
        <v>57</v>
      </c>
      <c r="AK266" s="33">
        <v>2050</v>
      </c>
      <c r="AL266" s="45" t="str">
        <f t="shared" si="39"/>
        <v>*0.49</v>
      </c>
      <c r="AM266" s="43" t="str">
        <f t="shared" si="41"/>
        <v>REZoning_Sol-Win</v>
      </c>
      <c r="AP266" t="s">
        <v>333</v>
      </c>
      <c r="AQ266" t="s">
        <v>57</v>
      </c>
      <c r="AR266">
        <v>2100</v>
      </c>
      <c r="AS266" t="s">
        <v>75</v>
      </c>
      <c r="AT266" t="s">
        <v>58</v>
      </c>
    </row>
    <row r="267" ht="29" spans="1:46">
      <c r="A267" s="31" t="s">
        <v>73</v>
      </c>
      <c r="C267" t="s">
        <v>334</v>
      </c>
      <c r="D267" s="5" t="s">
        <v>57</v>
      </c>
      <c r="E267">
        <v>2035</v>
      </c>
      <c r="F267" s="6" t="str">
        <f t="shared" si="34"/>
        <v>*0.63</v>
      </c>
      <c r="H267" t="s">
        <v>334</v>
      </c>
      <c r="I267" s="5" t="s">
        <v>57</v>
      </c>
      <c r="J267">
        <v>2050</v>
      </c>
      <c r="K267" s="38" t="str">
        <f t="shared" si="35"/>
        <v>*0.54</v>
      </c>
      <c r="P267" s="32" t="s">
        <v>334</v>
      </c>
      <c r="Q267" s="42" t="s">
        <v>57</v>
      </c>
      <c r="R267" s="32">
        <v>2035</v>
      </c>
      <c r="S267" s="43" t="str">
        <f t="shared" si="36"/>
        <v>*0.62</v>
      </c>
      <c r="U267" s="32" t="s">
        <v>334</v>
      </c>
      <c r="V267" s="42" t="s">
        <v>57</v>
      </c>
      <c r="W267" s="32">
        <v>2050</v>
      </c>
      <c r="X267" s="43" t="str">
        <f t="shared" si="37"/>
        <v>*0.51</v>
      </c>
      <c r="AC267" s="33" t="s">
        <v>334</v>
      </c>
      <c r="AD267" s="44" t="s">
        <v>57</v>
      </c>
      <c r="AE267" s="33">
        <v>2035</v>
      </c>
      <c r="AF267" s="45" t="str">
        <f t="shared" si="38"/>
        <v>*0.58</v>
      </c>
      <c r="AG267" s="43" t="str">
        <f t="shared" si="40"/>
        <v>REZoning_Sol-Win</v>
      </c>
      <c r="AI267" s="33" t="s">
        <v>334</v>
      </c>
      <c r="AJ267" s="44" t="s">
        <v>57</v>
      </c>
      <c r="AK267" s="33">
        <v>2050</v>
      </c>
      <c r="AL267" s="45" t="str">
        <f t="shared" si="39"/>
        <v>*0.49</v>
      </c>
      <c r="AM267" s="43" t="str">
        <f t="shared" si="41"/>
        <v>REZoning_Sol-Win</v>
      </c>
      <c r="AP267" t="s">
        <v>334</v>
      </c>
      <c r="AQ267" t="s">
        <v>57</v>
      </c>
      <c r="AR267">
        <v>2100</v>
      </c>
      <c r="AS267" t="s">
        <v>75</v>
      </c>
      <c r="AT267" t="s">
        <v>58</v>
      </c>
    </row>
    <row r="268" ht="29" spans="1:46">
      <c r="A268" s="31" t="s">
        <v>73</v>
      </c>
      <c r="C268" t="s">
        <v>335</v>
      </c>
      <c r="D268" s="5" t="s">
        <v>57</v>
      </c>
      <c r="E268">
        <v>2035</v>
      </c>
      <c r="F268" s="6" t="str">
        <f t="shared" si="34"/>
        <v>*0.63</v>
      </c>
      <c r="H268" t="s">
        <v>335</v>
      </c>
      <c r="I268" s="5" t="s">
        <v>57</v>
      </c>
      <c r="J268">
        <v>2050</v>
      </c>
      <c r="K268" s="38" t="str">
        <f t="shared" si="35"/>
        <v>*0.54</v>
      </c>
      <c r="P268" s="32" t="s">
        <v>335</v>
      </c>
      <c r="Q268" s="42" t="s">
        <v>57</v>
      </c>
      <c r="R268" s="32">
        <v>2035</v>
      </c>
      <c r="S268" s="43" t="str">
        <f t="shared" si="36"/>
        <v>*0.62</v>
      </c>
      <c r="U268" s="32" t="s">
        <v>335</v>
      </c>
      <c r="V268" s="42" t="s">
        <v>57</v>
      </c>
      <c r="W268" s="32">
        <v>2050</v>
      </c>
      <c r="X268" s="43" t="str">
        <f t="shared" si="37"/>
        <v>*0.51</v>
      </c>
      <c r="AC268" s="33" t="s">
        <v>335</v>
      </c>
      <c r="AD268" s="44" t="s">
        <v>57</v>
      </c>
      <c r="AE268" s="33">
        <v>2035</v>
      </c>
      <c r="AF268" s="45" t="str">
        <f t="shared" si="38"/>
        <v>*0.58</v>
      </c>
      <c r="AG268" s="43" t="str">
        <f t="shared" si="40"/>
        <v>REZoning_Sol-Win</v>
      </c>
      <c r="AI268" s="33" t="s">
        <v>335</v>
      </c>
      <c r="AJ268" s="44" t="s">
        <v>57</v>
      </c>
      <c r="AK268" s="33">
        <v>2050</v>
      </c>
      <c r="AL268" s="45" t="str">
        <f t="shared" si="39"/>
        <v>*0.49</v>
      </c>
      <c r="AM268" s="43" t="str">
        <f t="shared" si="41"/>
        <v>REZoning_Sol-Win</v>
      </c>
      <c r="AP268" t="s">
        <v>335</v>
      </c>
      <c r="AQ268" t="s">
        <v>57</v>
      </c>
      <c r="AR268">
        <v>2100</v>
      </c>
      <c r="AS268" t="s">
        <v>75</v>
      </c>
      <c r="AT268" t="s">
        <v>58</v>
      </c>
    </row>
    <row r="269" ht="29" spans="1:46">
      <c r="A269" s="31" t="s">
        <v>73</v>
      </c>
      <c r="C269" t="s">
        <v>336</v>
      </c>
      <c r="D269" s="5" t="s">
        <v>57</v>
      </c>
      <c r="E269">
        <v>2035</v>
      </c>
      <c r="F269" s="6" t="str">
        <f t="shared" si="34"/>
        <v>*0.63</v>
      </c>
      <c r="H269" t="s">
        <v>336</v>
      </c>
      <c r="I269" s="5" t="s">
        <v>57</v>
      </c>
      <c r="J269">
        <v>2050</v>
      </c>
      <c r="K269" s="38" t="str">
        <f t="shared" si="35"/>
        <v>*0.54</v>
      </c>
      <c r="P269" s="32" t="s">
        <v>336</v>
      </c>
      <c r="Q269" s="42" t="s">
        <v>57</v>
      </c>
      <c r="R269" s="32">
        <v>2035</v>
      </c>
      <c r="S269" s="43" t="str">
        <f t="shared" si="36"/>
        <v>*0.62</v>
      </c>
      <c r="U269" s="32" t="s">
        <v>336</v>
      </c>
      <c r="V269" s="42" t="s">
        <v>57</v>
      </c>
      <c r="W269" s="32">
        <v>2050</v>
      </c>
      <c r="X269" s="43" t="str">
        <f t="shared" si="37"/>
        <v>*0.51</v>
      </c>
      <c r="AC269" s="33" t="s">
        <v>336</v>
      </c>
      <c r="AD269" s="44" t="s">
        <v>57</v>
      </c>
      <c r="AE269" s="33">
        <v>2035</v>
      </c>
      <c r="AF269" s="45" t="str">
        <f t="shared" si="38"/>
        <v>*0.58</v>
      </c>
      <c r="AG269" s="43" t="str">
        <f t="shared" si="40"/>
        <v>REZoning_Sol-Win</v>
      </c>
      <c r="AI269" s="33" t="s">
        <v>336</v>
      </c>
      <c r="AJ269" s="44" t="s">
        <v>57</v>
      </c>
      <c r="AK269" s="33">
        <v>2050</v>
      </c>
      <c r="AL269" s="45" t="str">
        <f t="shared" si="39"/>
        <v>*0.49</v>
      </c>
      <c r="AM269" s="43" t="str">
        <f t="shared" si="41"/>
        <v>REZoning_Sol-Win</v>
      </c>
      <c r="AP269" t="s">
        <v>336</v>
      </c>
      <c r="AQ269" t="s">
        <v>57</v>
      </c>
      <c r="AR269">
        <v>2100</v>
      </c>
      <c r="AS269" t="s">
        <v>75</v>
      </c>
      <c r="AT269" t="s">
        <v>58</v>
      </c>
    </row>
    <row r="270" ht="29" spans="1:46">
      <c r="A270" s="31" t="s">
        <v>73</v>
      </c>
      <c r="C270" t="s">
        <v>337</v>
      </c>
      <c r="D270" s="5" t="s">
        <v>57</v>
      </c>
      <c r="E270">
        <v>2035</v>
      </c>
      <c r="F270" s="6" t="str">
        <f t="shared" si="34"/>
        <v>*0.63</v>
      </c>
      <c r="H270" t="s">
        <v>337</v>
      </c>
      <c r="I270" s="5" t="s">
        <v>57</v>
      </c>
      <c r="J270">
        <v>2050</v>
      </c>
      <c r="K270" s="38" t="str">
        <f t="shared" si="35"/>
        <v>*0.54</v>
      </c>
      <c r="P270" s="32" t="s">
        <v>337</v>
      </c>
      <c r="Q270" s="42" t="s">
        <v>57</v>
      </c>
      <c r="R270" s="32">
        <v>2035</v>
      </c>
      <c r="S270" s="43" t="str">
        <f t="shared" si="36"/>
        <v>*0.62</v>
      </c>
      <c r="U270" s="32" t="s">
        <v>337</v>
      </c>
      <c r="V270" s="42" t="s">
        <v>57</v>
      </c>
      <c r="W270" s="32">
        <v>2050</v>
      </c>
      <c r="X270" s="43" t="str">
        <f t="shared" si="37"/>
        <v>*0.51</v>
      </c>
      <c r="AC270" s="33" t="s">
        <v>337</v>
      </c>
      <c r="AD270" s="44" t="s">
        <v>57</v>
      </c>
      <c r="AE270" s="33">
        <v>2035</v>
      </c>
      <c r="AF270" s="45" t="str">
        <f t="shared" si="38"/>
        <v>*0.58</v>
      </c>
      <c r="AG270" s="43" t="str">
        <f t="shared" si="40"/>
        <v>REZoning_Sol-Win</v>
      </c>
      <c r="AI270" s="33" t="s">
        <v>337</v>
      </c>
      <c r="AJ270" s="44" t="s">
        <v>57</v>
      </c>
      <c r="AK270" s="33">
        <v>2050</v>
      </c>
      <c r="AL270" s="45" t="str">
        <f t="shared" si="39"/>
        <v>*0.49</v>
      </c>
      <c r="AM270" s="43" t="str">
        <f t="shared" si="41"/>
        <v>REZoning_Sol-Win</v>
      </c>
      <c r="AP270" t="s">
        <v>337</v>
      </c>
      <c r="AQ270" t="s">
        <v>57</v>
      </c>
      <c r="AR270">
        <v>2100</v>
      </c>
      <c r="AS270" t="s">
        <v>75</v>
      </c>
      <c r="AT270" t="s">
        <v>58</v>
      </c>
    </row>
    <row r="271" ht="29" spans="1:46">
      <c r="A271" s="31" t="s">
        <v>73</v>
      </c>
      <c r="C271" t="s">
        <v>338</v>
      </c>
      <c r="D271" s="5" t="s">
        <v>57</v>
      </c>
      <c r="E271">
        <v>2035</v>
      </c>
      <c r="F271" s="6" t="str">
        <f t="shared" si="34"/>
        <v>*0.63</v>
      </c>
      <c r="H271" t="s">
        <v>338</v>
      </c>
      <c r="I271" s="5" t="s">
        <v>57</v>
      </c>
      <c r="J271">
        <v>2050</v>
      </c>
      <c r="K271" s="38" t="str">
        <f t="shared" si="35"/>
        <v>*0.54</v>
      </c>
      <c r="P271" s="32" t="s">
        <v>338</v>
      </c>
      <c r="Q271" s="42" t="s">
        <v>57</v>
      </c>
      <c r="R271" s="32">
        <v>2035</v>
      </c>
      <c r="S271" s="43" t="str">
        <f t="shared" si="36"/>
        <v>*0.62</v>
      </c>
      <c r="U271" s="32" t="s">
        <v>338</v>
      </c>
      <c r="V271" s="42" t="s">
        <v>57</v>
      </c>
      <c r="W271" s="32">
        <v>2050</v>
      </c>
      <c r="X271" s="43" t="str">
        <f t="shared" si="37"/>
        <v>*0.51</v>
      </c>
      <c r="AC271" s="33" t="s">
        <v>338</v>
      </c>
      <c r="AD271" s="44" t="s">
        <v>57</v>
      </c>
      <c r="AE271" s="33">
        <v>2035</v>
      </c>
      <c r="AF271" s="45" t="str">
        <f t="shared" si="38"/>
        <v>*0.58</v>
      </c>
      <c r="AG271" s="43" t="str">
        <f t="shared" si="40"/>
        <v>REZoning_Sol-Win</v>
      </c>
      <c r="AI271" s="33" t="s">
        <v>338</v>
      </c>
      <c r="AJ271" s="44" t="s">
        <v>57</v>
      </c>
      <c r="AK271" s="33">
        <v>2050</v>
      </c>
      <c r="AL271" s="45" t="str">
        <f t="shared" si="39"/>
        <v>*0.49</v>
      </c>
      <c r="AM271" s="43" t="str">
        <f t="shared" si="41"/>
        <v>REZoning_Sol-Win</v>
      </c>
      <c r="AP271" t="s">
        <v>338</v>
      </c>
      <c r="AQ271" t="s">
        <v>57</v>
      </c>
      <c r="AR271">
        <v>2100</v>
      </c>
      <c r="AS271" t="s">
        <v>75</v>
      </c>
      <c r="AT271" t="s">
        <v>58</v>
      </c>
    </row>
    <row r="272" ht="29" spans="1:46">
      <c r="A272" s="31" t="s">
        <v>73</v>
      </c>
      <c r="C272" t="s">
        <v>339</v>
      </c>
      <c r="D272" s="5" t="s">
        <v>57</v>
      </c>
      <c r="E272">
        <v>2035</v>
      </c>
      <c r="F272" s="6" t="str">
        <f t="shared" si="34"/>
        <v>*0.63</v>
      </c>
      <c r="H272" t="s">
        <v>339</v>
      </c>
      <c r="I272" s="5" t="s">
        <v>57</v>
      </c>
      <c r="J272">
        <v>2050</v>
      </c>
      <c r="K272" s="38" t="str">
        <f t="shared" si="35"/>
        <v>*0.54</v>
      </c>
      <c r="P272" s="32" t="s">
        <v>339</v>
      </c>
      <c r="Q272" s="42" t="s">
        <v>57</v>
      </c>
      <c r="R272" s="32">
        <v>2035</v>
      </c>
      <c r="S272" s="43" t="str">
        <f t="shared" si="36"/>
        <v>*0.62</v>
      </c>
      <c r="U272" s="32" t="s">
        <v>339</v>
      </c>
      <c r="V272" s="42" t="s">
        <v>57</v>
      </c>
      <c r="W272" s="32">
        <v>2050</v>
      </c>
      <c r="X272" s="43" t="str">
        <f t="shared" si="37"/>
        <v>*0.51</v>
      </c>
      <c r="AC272" s="33" t="s">
        <v>339</v>
      </c>
      <c r="AD272" s="44" t="s">
        <v>57</v>
      </c>
      <c r="AE272" s="33">
        <v>2035</v>
      </c>
      <c r="AF272" s="45" t="str">
        <f t="shared" si="38"/>
        <v>*0.58</v>
      </c>
      <c r="AG272" s="43" t="str">
        <f t="shared" si="40"/>
        <v>REZoning_Sol-Win</v>
      </c>
      <c r="AI272" s="33" t="s">
        <v>339</v>
      </c>
      <c r="AJ272" s="44" t="s">
        <v>57</v>
      </c>
      <c r="AK272" s="33">
        <v>2050</v>
      </c>
      <c r="AL272" s="45" t="str">
        <f t="shared" si="39"/>
        <v>*0.49</v>
      </c>
      <c r="AM272" s="43" t="str">
        <f t="shared" si="41"/>
        <v>REZoning_Sol-Win</v>
      </c>
      <c r="AP272" t="s">
        <v>339</v>
      </c>
      <c r="AQ272" t="s">
        <v>57</v>
      </c>
      <c r="AR272">
        <v>2100</v>
      </c>
      <c r="AS272" t="s">
        <v>75</v>
      </c>
      <c r="AT272" t="s">
        <v>58</v>
      </c>
    </row>
    <row r="273" ht="29" spans="1:46">
      <c r="A273" s="31" t="s">
        <v>73</v>
      </c>
      <c r="C273" t="s">
        <v>340</v>
      </c>
      <c r="D273" s="5" t="s">
        <v>57</v>
      </c>
      <c r="E273">
        <v>2035</v>
      </c>
      <c r="F273" s="6" t="str">
        <f t="shared" si="34"/>
        <v>*0.63</v>
      </c>
      <c r="H273" t="s">
        <v>340</v>
      </c>
      <c r="I273" s="5" t="s">
        <v>57</v>
      </c>
      <c r="J273">
        <v>2050</v>
      </c>
      <c r="K273" s="38" t="str">
        <f t="shared" si="35"/>
        <v>*0.54</v>
      </c>
      <c r="P273" s="32" t="s">
        <v>340</v>
      </c>
      <c r="Q273" s="42" t="s">
        <v>57</v>
      </c>
      <c r="R273" s="32">
        <v>2035</v>
      </c>
      <c r="S273" s="43" t="str">
        <f t="shared" si="36"/>
        <v>*0.62</v>
      </c>
      <c r="U273" s="32" t="s">
        <v>340</v>
      </c>
      <c r="V273" s="42" t="s">
        <v>57</v>
      </c>
      <c r="W273" s="32">
        <v>2050</v>
      </c>
      <c r="X273" s="43" t="str">
        <f t="shared" si="37"/>
        <v>*0.51</v>
      </c>
      <c r="AC273" s="33" t="s">
        <v>340</v>
      </c>
      <c r="AD273" s="44" t="s">
        <v>57</v>
      </c>
      <c r="AE273" s="33">
        <v>2035</v>
      </c>
      <c r="AF273" s="45" t="str">
        <f t="shared" si="38"/>
        <v>*0.58</v>
      </c>
      <c r="AG273" s="43" t="str">
        <f t="shared" si="40"/>
        <v>REZoning_Sol-Win</v>
      </c>
      <c r="AI273" s="33" t="s">
        <v>340</v>
      </c>
      <c r="AJ273" s="44" t="s">
        <v>57</v>
      </c>
      <c r="AK273" s="33">
        <v>2050</v>
      </c>
      <c r="AL273" s="45" t="str">
        <f t="shared" si="39"/>
        <v>*0.49</v>
      </c>
      <c r="AM273" s="43" t="str">
        <f t="shared" si="41"/>
        <v>REZoning_Sol-Win</v>
      </c>
      <c r="AP273" t="s">
        <v>340</v>
      </c>
      <c r="AQ273" t="s">
        <v>57</v>
      </c>
      <c r="AR273">
        <v>2100</v>
      </c>
      <c r="AS273" t="s">
        <v>75</v>
      </c>
      <c r="AT273" t="s">
        <v>58</v>
      </c>
    </row>
    <row r="274" ht="29" spans="1:46">
      <c r="A274" s="31" t="s">
        <v>73</v>
      </c>
      <c r="C274" t="s">
        <v>341</v>
      </c>
      <c r="D274" s="5" t="s">
        <v>57</v>
      </c>
      <c r="E274">
        <v>2035</v>
      </c>
      <c r="F274" s="6" t="str">
        <f t="shared" si="34"/>
        <v>*0.63</v>
      </c>
      <c r="H274" t="s">
        <v>341</v>
      </c>
      <c r="I274" s="5" t="s">
        <v>57</v>
      </c>
      <c r="J274">
        <v>2050</v>
      </c>
      <c r="K274" s="38" t="str">
        <f t="shared" si="35"/>
        <v>*0.54</v>
      </c>
      <c r="P274" s="32" t="s">
        <v>341</v>
      </c>
      <c r="Q274" s="42" t="s">
        <v>57</v>
      </c>
      <c r="R274" s="32">
        <v>2035</v>
      </c>
      <c r="S274" s="43" t="str">
        <f t="shared" si="36"/>
        <v>*0.62</v>
      </c>
      <c r="U274" s="32" t="s">
        <v>341</v>
      </c>
      <c r="V274" s="42" t="s">
        <v>57</v>
      </c>
      <c r="W274" s="32">
        <v>2050</v>
      </c>
      <c r="X274" s="43" t="str">
        <f t="shared" si="37"/>
        <v>*0.51</v>
      </c>
      <c r="AC274" s="33" t="s">
        <v>341</v>
      </c>
      <c r="AD274" s="44" t="s">
        <v>57</v>
      </c>
      <c r="AE274" s="33">
        <v>2035</v>
      </c>
      <c r="AF274" s="45" t="str">
        <f t="shared" si="38"/>
        <v>*0.58</v>
      </c>
      <c r="AG274" s="43" t="str">
        <f t="shared" si="40"/>
        <v>REZoning_Sol-Win</v>
      </c>
      <c r="AI274" s="33" t="s">
        <v>341</v>
      </c>
      <c r="AJ274" s="44" t="s">
        <v>57</v>
      </c>
      <c r="AK274" s="33">
        <v>2050</v>
      </c>
      <c r="AL274" s="45" t="str">
        <f t="shared" si="39"/>
        <v>*0.49</v>
      </c>
      <c r="AM274" s="43" t="str">
        <f t="shared" si="41"/>
        <v>REZoning_Sol-Win</v>
      </c>
      <c r="AP274" t="s">
        <v>341</v>
      </c>
      <c r="AQ274" t="s">
        <v>57</v>
      </c>
      <c r="AR274">
        <v>2100</v>
      </c>
      <c r="AS274" t="s">
        <v>75</v>
      </c>
      <c r="AT274" t="s">
        <v>58</v>
      </c>
    </row>
    <row r="275" ht="29" spans="1:46">
      <c r="A275" s="31" t="s">
        <v>65</v>
      </c>
      <c r="C275" t="s">
        <v>342</v>
      </c>
      <c r="D275" s="5" t="s">
        <v>57</v>
      </c>
      <c r="E275">
        <v>2035</v>
      </c>
      <c r="F275" s="6" t="str">
        <f t="shared" si="34"/>
        <v>*0.61</v>
      </c>
      <c r="H275" t="s">
        <v>342</v>
      </c>
      <c r="I275" s="5" t="s">
        <v>57</v>
      </c>
      <c r="J275">
        <v>2050</v>
      </c>
      <c r="K275" s="38" t="str">
        <f t="shared" si="35"/>
        <v>*0.5</v>
      </c>
      <c r="P275" s="32" t="s">
        <v>342</v>
      </c>
      <c r="Q275" s="42" t="s">
        <v>57</v>
      </c>
      <c r="R275" s="32">
        <v>2035</v>
      </c>
      <c r="S275" s="43" t="str">
        <f t="shared" si="36"/>
        <v>*0.58</v>
      </c>
      <c r="U275" s="32" t="s">
        <v>342</v>
      </c>
      <c r="V275" s="42" t="s">
        <v>57</v>
      </c>
      <c r="W275" s="32">
        <v>2050</v>
      </c>
      <c r="X275" s="43" t="str">
        <f t="shared" si="37"/>
        <v>*0.47</v>
      </c>
      <c r="AC275" s="33" t="s">
        <v>342</v>
      </c>
      <c r="AD275" s="44" t="s">
        <v>57</v>
      </c>
      <c r="AE275" s="33">
        <v>2035</v>
      </c>
      <c r="AF275" s="45" t="str">
        <f t="shared" si="38"/>
        <v>*0.53</v>
      </c>
      <c r="AG275" s="43" t="str">
        <f t="shared" si="40"/>
        <v>REZoning_Sol-Win</v>
      </c>
      <c r="AI275" s="33" t="s">
        <v>342</v>
      </c>
      <c r="AJ275" s="44" t="s">
        <v>57</v>
      </c>
      <c r="AK275" s="33">
        <v>2050</v>
      </c>
      <c r="AL275" s="45" t="str">
        <f t="shared" si="39"/>
        <v>*0.41</v>
      </c>
      <c r="AM275" s="43" t="str">
        <f t="shared" si="41"/>
        <v>REZoning_Sol-Win</v>
      </c>
      <c r="AP275" t="s">
        <v>342</v>
      </c>
      <c r="AQ275" t="s">
        <v>57</v>
      </c>
      <c r="AR275">
        <v>2100</v>
      </c>
      <c r="AS275" t="s">
        <v>67</v>
      </c>
      <c r="AT275" t="s">
        <v>58</v>
      </c>
    </row>
    <row r="276" ht="29" spans="1:46">
      <c r="A276" s="31" t="s">
        <v>65</v>
      </c>
      <c r="C276" t="s">
        <v>343</v>
      </c>
      <c r="D276" s="5" t="s">
        <v>57</v>
      </c>
      <c r="E276">
        <v>2035</v>
      </c>
      <c r="F276" s="6" t="str">
        <f t="shared" si="34"/>
        <v>*0.61</v>
      </c>
      <c r="H276" t="s">
        <v>343</v>
      </c>
      <c r="I276" s="5" t="s">
        <v>57</v>
      </c>
      <c r="J276">
        <v>2050</v>
      </c>
      <c r="K276" s="38" t="str">
        <f t="shared" si="35"/>
        <v>*0.5</v>
      </c>
      <c r="P276" s="32" t="s">
        <v>343</v>
      </c>
      <c r="Q276" s="42" t="s">
        <v>57</v>
      </c>
      <c r="R276" s="32">
        <v>2035</v>
      </c>
      <c r="S276" s="43" t="str">
        <f t="shared" si="36"/>
        <v>*0.58</v>
      </c>
      <c r="U276" s="32" t="s">
        <v>343</v>
      </c>
      <c r="V276" s="42" t="s">
        <v>57</v>
      </c>
      <c r="W276" s="32">
        <v>2050</v>
      </c>
      <c r="X276" s="43" t="str">
        <f t="shared" si="37"/>
        <v>*0.47</v>
      </c>
      <c r="AC276" s="33" t="s">
        <v>343</v>
      </c>
      <c r="AD276" s="44" t="s">
        <v>57</v>
      </c>
      <c r="AE276" s="33">
        <v>2035</v>
      </c>
      <c r="AF276" s="45" t="str">
        <f t="shared" si="38"/>
        <v>*0.53</v>
      </c>
      <c r="AG276" s="43" t="str">
        <f t="shared" si="40"/>
        <v>REZoning_Sol-Win</v>
      </c>
      <c r="AI276" s="33" t="s">
        <v>343</v>
      </c>
      <c r="AJ276" s="44" t="s">
        <v>57</v>
      </c>
      <c r="AK276" s="33">
        <v>2050</v>
      </c>
      <c r="AL276" s="45" t="str">
        <f t="shared" si="39"/>
        <v>*0.41</v>
      </c>
      <c r="AM276" s="43" t="str">
        <f t="shared" si="41"/>
        <v>REZoning_Sol-Win</v>
      </c>
      <c r="AP276" t="s">
        <v>343</v>
      </c>
      <c r="AQ276" t="s">
        <v>57</v>
      </c>
      <c r="AR276">
        <v>2100</v>
      </c>
      <c r="AS276" t="s">
        <v>67</v>
      </c>
      <c r="AT276" t="s">
        <v>58</v>
      </c>
    </row>
    <row r="277" ht="29" spans="1:46">
      <c r="A277" s="31" t="s">
        <v>65</v>
      </c>
      <c r="C277" t="s">
        <v>344</v>
      </c>
      <c r="D277" s="5" t="s">
        <v>57</v>
      </c>
      <c r="E277">
        <v>2035</v>
      </c>
      <c r="F277" s="6" t="str">
        <f t="shared" si="34"/>
        <v>*0.61</v>
      </c>
      <c r="H277" t="s">
        <v>344</v>
      </c>
      <c r="I277" s="5" t="s">
        <v>57</v>
      </c>
      <c r="J277">
        <v>2050</v>
      </c>
      <c r="K277" s="38" t="str">
        <f t="shared" si="35"/>
        <v>*0.5</v>
      </c>
      <c r="P277" s="32" t="s">
        <v>344</v>
      </c>
      <c r="Q277" s="42" t="s">
        <v>57</v>
      </c>
      <c r="R277" s="32">
        <v>2035</v>
      </c>
      <c r="S277" s="43" t="str">
        <f t="shared" si="36"/>
        <v>*0.58</v>
      </c>
      <c r="U277" s="32" t="s">
        <v>344</v>
      </c>
      <c r="V277" s="42" t="s">
        <v>57</v>
      </c>
      <c r="W277" s="32">
        <v>2050</v>
      </c>
      <c r="X277" s="43" t="str">
        <f t="shared" si="37"/>
        <v>*0.47</v>
      </c>
      <c r="AC277" s="33" t="s">
        <v>344</v>
      </c>
      <c r="AD277" s="44" t="s">
        <v>57</v>
      </c>
      <c r="AE277" s="33">
        <v>2035</v>
      </c>
      <c r="AF277" s="45" t="str">
        <f t="shared" si="38"/>
        <v>*0.53</v>
      </c>
      <c r="AG277" s="43" t="str">
        <f t="shared" si="40"/>
        <v>REZoning_Sol-Win</v>
      </c>
      <c r="AI277" s="33" t="s">
        <v>344</v>
      </c>
      <c r="AJ277" s="44" t="s">
        <v>57</v>
      </c>
      <c r="AK277" s="33">
        <v>2050</v>
      </c>
      <c r="AL277" s="45" t="str">
        <f t="shared" si="39"/>
        <v>*0.41</v>
      </c>
      <c r="AM277" s="43" t="str">
        <f t="shared" si="41"/>
        <v>REZoning_Sol-Win</v>
      </c>
      <c r="AP277" t="s">
        <v>344</v>
      </c>
      <c r="AQ277" t="s">
        <v>57</v>
      </c>
      <c r="AR277">
        <v>2100</v>
      </c>
      <c r="AS277" t="s">
        <v>67</v>
      </c>
      <c r="AT277" t="s">
        <v>58</v>
      </c>
    </row>
    <row r="278" ht="29" spans="1:46">
      <c r="A278" s="31" t="s">
        <v>65</v>
      </c>
      <c r="C278" t="s">
        <v>345</v>
      </c>
      <c r="D278" s="5" t="s">
        <v>57</v>
      </c>
      <c r="E278">
        <v>2035</v>
      </c>
      <c r="F278" s="6" t="str">
        <f t="shared" si="34"/>
        <v>*0.61</v>
      </c>
      <c r="H278" t="s">
        <v>345</v>
      </c>
      <c r="I278" s="5" t="s">
        <v>57</v>
      </c>
      <c r="J278">
        <v>2050</v>
      </c>
      <c r="K278" s="38" t="str">
        <f t="shared" si="35"/>
        <v>*0.5</v>
      </c>
      <c r="P278" s="32" t="s">
        <v>345</v>
      </c>
      <c r="Q278" s="42" t="s">
        <v>57</v>
      </c>
      <c r="R278" s="32">
        <v>2035</v>
      </c>
      <c r="S278" s="43" t="str">
        <f t="shared" si="36"/>
        <v>*0.58</v>
      </c>
      <c r="U278" s="32" t="s">
        <v>345</v>
      </c>
      <c r="V278" s="42" t="s">
        <v>57</v>
      </c>
      <c r="W278" s="32">
        <v>2050</v>
      </c>
      <c r="X278" s="43" t="str">
        <f t="shared" si="37"/>
        <v>*0.47</v>
      </c>
      <c r="AC278" s="33" t="s">
        <v>345</v>
      </c>
      <c r="AD278" s="44" t="s">
        <v>57</v>
      </c>
      <c r="AE278" s="33">
        <v>2035</v>
      </c>
      <c r="AF278" s="45" t="str">
        <f t="shared" si="38"/>
        <v>*0.53</v>
      </c>
      <c r="AG278" s="43" t="str">
        <f t="shared" si="40"/>
        <v>REZoning_Sol-Win</v>
      </c>
      <c r="AI278" s="33" t="s">
        <v>345</v>
      </c>
      <c r="AJ278" s="44" t="s">
        <v>57</v>
      </c>
      <c r="AK278" s="33">
        <v>2050</v>
      </c>
      <c r="AL278" s="45" t="str">
        <f t="shared" si="39"/>
        <v>*0.41</v>
      </c>
      <c r="AM278" s="43" t="str">
        <f t="shared" si="41"/>
        <v>REZoning_Sol-Win</v>
      </c>
      <c r="AP278" t="s">
        <v>345</v>
      </c>
      <c r="AQ278" t="s">
        <v>57</v>
      </c>
      <c r="AR278">
        <v>2100</v>
      </c>
      <c r="AS278" t="s">
        <v>67</v>
      </c>
      <c r="AT278" t="s">
        <v>58</v>
      </c>
    </row>
    <row r="279" ht="29" spans="1:46">
      <c r="A279" s="31" t="s">
        <v>65</v>
      </c>
      <c r="C279" t="s">
        <v>346</v>
      </c>
      <c r="D279" s="5" t="s">
        <v>57</v>
      </c>
      <c r="E279">
        <v>2035</v>
      </c>
      <c r="F279" s="6" t="str">
        <f t="shared" si="34"/>
        <v>*0.61</v>
      </c>
      <c r="H279" t="s">
        <v>346</v>
      </c>
      <c r="I279" s="5" t="s">
        <v>57</v>
      </c>
      <c r="J279">
        <v>2050</v>
      </c>
      <c r="K279" s="38" t="str">
        <f t="shared" si="35"/>
        <v>*0.5</v>
      </c>
      <c r="P279" s="32" t="s">
        <v>346</v>
      </c>
      <c r="Q279" s="42" t="s">
        <v>57</v>
      </c>
      <c r="R279" s="32">
        <v>2035</v>
      </c>
      <c r="S279" s="43" t="str">
        <f t="shared" si="36"/>
        <v>*0.58</v>
      </c>
      <c r="U279" s="32" t="s">
        <v>346</v>
      </c>
      <c r="V279" s="42" t="s">
        <v>57</v>
      </c>
      <c r="W279" s="32">
        <v>2050</v>
      </c>
      <c r="X279" s="43" t="str">
        <f t="shared" si="37"/>
        <v>*0.47</v>
      </c>
      <c r="AC279" s="33" t="s">
        <v>346</v>
      </c>
      <c r="AD279" s="44" t="s">
        <v>57</v>
      </c>
      <c r="AE279" s="33">
        <v>2035</v>
      </c>
      <c r="AF279" s="45" t="str">
        <f t="shared" si="38"/>
        <v>*0.53</v>
      </c>
      <c r="AG279" s="43" t="str">
        <f t="shared" si="40"/>
        <v>REZoning_Sol-Win</v>
      </c>
      <c r="AI279" s="33" t="s">
        <v>346</v>
      </c>
      <c r="AJ279" s="44" t="s">
        <v>57</v>
      </c>
      <c r="AK279" s="33">
        <v>2050</v>
      </c>
      <c r="AL279" s="45" t="str">
        <f t="shared" si="39"/>
        <v>*0.41</v>
      </c>
      <c r="AM279" s="43" t="str">
        <f t="shared" si="41"/>
        <v>REZoning_Sol-Win</v>
      </c>
      <c r="AP279" t="s">
        <v>346</v>
      </c>
      <c r="AQ279" t="s">
        <v>57</v>
      </c>
      <c r="AR279">
        <v>2100</v>
      </c>
      <c r="AS279" t="s">
        <v>67</v>
      </c>
      <c r="AT279" t="s">
        <v>58</v>
      </c>
    </row>
    <row r="280" ht="29" spans="1:46">
      <c r="A280" s="31" t="s">
        <v>65</v>
      </c>
      <c r="C280" t="s">
        <v>347</v>
      </c>
      <c r="D280" s="5" t="s">
        <v>57</v>
      </c>
      <c r="E280">
        <v>2035</v>
      </c>
      <c r="F280" s="6" t="str">
        <f t="shared" si="34"/>
        <v>*0.61</v>
      </c>
      <c r="H280" t="s">
        <v>347</v>
      </c>
      <c r="I280" s="5" t="s">
        <v>57</v>
      </c>
      <c r="J280">
        <v>2050</v>
      </c>
      <c r="K280" s="38" t="str">
        <f t="shared" si="35"/>
        <v>*0.5</v>
      </c>
      <c r="P280" s="32" t="s">
        <v>347</v>
      </c>
      <c r="Q280" s="42" t="s">
        <v>57</v>
      </c>
      <c r="R280" s="32">
        <v>2035</v>
      </c>
      <c r="S280" s="43" t="str">
        <f t="shared" si="36"/>
        <v>*0.58</v>
      </c>
      <c r="U280" s="32" t="s">
        <v>347</v>
      </c>
      <c r="V280" s="42" t="s">
        <v>57</v>
      </c>
      <c r="W280" s="32">
        <v>2050</v>
      </c>
      <c r="X280" s="43" t="str">
        <f t="shared" si="37"/>
        <v>*0.47</v>
      </c>
      <c r="AC280" s="33" t="s">
        <v>347</v>
      </c>
      <c r="AD280" s="44" t="s">
        <v>57</v>
      </c>
      <c r="AE280" s="33">
        <v>2035</v>
      </c>
      <c r="AF280" s="45" t="str">
        <f t="shared" si="38"/>
        <v>*0.53</v>
      </c>
      <c r="AG280" s="43" t="str">
        <f t="shared" si="40"/>
        <v>REZoning_Sol-Win</v>
      </c>
      <c r="AI280" s="33" t="s">
        <v>347</v>
      </c>
      <c r="AJ280" s="44" t="s">
        <v>57</v>
      </c>
      <c r="AK280" s="33">
        <v>2050</v>
      </c>
      <c r="AL280" s="45" t="str">
        <f t="shared" si="39"/>
        <v>*0.41</v>
      </c>
      <c r="AM280" s="43" t="str">
        <f t="shared" si="41"/>
        <v>REZoning_Sol-Win</v>
      </c>
      <c r="AP280" t="s">
        <v>347</v>
      </c>
      <c r="AQ280" t="s">
        <v>57</v>
      </c>
      <c r="AR280">
        <v>2100</v>
      </c>
      <c r="AS280" t="s">
        <v>67</v>
      </c>
      <c r="AT280" t="s">
        <v>58</v>
      </c>
    </row>
    <row r="281" ht="29" spans="1:46">
      <c r="A281" s="31" t="s">
        <v>73</v>
      </c>
      <c r="C281" t="s">
        <v>348</v>
      </c>
      <c r="D281" s="5" t="s">
        <v>57</v>
      </c>
      <c r="E281">
        <v>2035</v>
      </c>
      <c r="F281" s="6" t="str">
        <f t="shared" si="34"/>
        <v>*0.63</v>
      </c>
      <c r="H281" t="s">
        <v>348</v>
      </c>
      <c r="I281" s="5" t="s">
        <v>57</v>
      </c>
      <c r="J281">
        <v>2050</v>
      </c>
      <c r="K281" s="38" t="str">
        <f t="shared" si="35"/>
        <v>*0.54</v>
      </c>
      <c r="P281" s="32" t="s">
        <v>348</v>
      </c>
      <c r="Q281" s="42" t="s">
        <v>57</v>
      </c>
      <c r="R281" s="32">
        <v>2035</v>
      </c>
      <c r="S281" s="43" t="str">
        <f t="shared" si="36"/>
        <v>*0.62</v>
      </c>
      <c r="U281" s="32" t="s">
        <v>348</v>
      </c>
      <c r="V281" s="42" t="s">
        <v>57</v>
      </c>
      <c r="W281" s="32">
        <v>2050</v>
      </c>
      <c r="X281" s="43" t="str">
        <f t="shared" si="37"/>
        <v>*0.51</v>
      </c>
      <c r="AC281" s="33" t="s">
        <v>348</v>
      </c>
      <c r="AD281" s="44" t="s">
        <v>57</v>
      </c>
      <c r="AE281" s="33">
        <v>2035</v>
      </c>
      <c r="AF281" s="45" t="str">
        <f t="shared" si="38"/>
        <v>*0.58</v>
      </c>
      <c r="AG281" s="43" t="str">
        <f t="shared" si="40"/>
        <v>REZoning_Sol-Win</v>
      </c>
      <c r="AI281" s="33" t="s">
        <v>348</v>
      </c>
      <c r="AJ281" s="44" t="s">
        <v>57</v>
      </c>
      <c r="AK281" s="33">
        <v>2050</v>
      </c>
      <c r="AL281" s="45" t="str">
        <f t="shared" si="39"/>
        <v>*0.49</v>
      </c>
      <c r="AM281" s="43" t="str">
        <f t="shared" si="41"/>
        <v>REZoning_Sol-Win</v>
      </c>
      <c r="AP281" t="s">
        <v>348</v>
      </c>
      <c r="AQ281" t="s">
        <v>57</v>
      </c>
      <c r="AR281">
        <v>2100</v>
      </c>
      <c r="AS281" t="s">
        <v>75</v>
      </c>
      <c r="AT281" t="s">
        <v>58</v>
      </c>
    </row>
    <row r="282" ht="29" spans="1:46">
      <c r="A282" s="31" t="s">
        <v>73</v>
      </c>
      <c r="C282" t="s">
        <v>349</v>
      </c>
      <c r="D282" s="5" t="s">
        <v>57</v>
      </c>
      <c r="E282">
        <v>2035</v>
      </c>
      <c r="F282" s="6" t="str">
        <f t="shared" si="34"/>
        <v>*0.63</v>
      </c>
      <c r="H282" t="s">
        <v>349</v>
      </c>
      <c r="I282" s="5" t="s">
        <v>57</v>
      </c>
      <c r="J282">
        <v>2050</v>
      </c>
      <c r="K282" s="38" t="str">
        <f t="shared" si="35"/>
        <v>*0.54</v>
      </c>
      <c r="P282" s="32" t="s">
        <v>349</v>
      </c>
      <c r="Q282" s="42" t="s">
        <v>57</v>
      </c>
      <c r="R282" s="32">
        <v>2035</v>
      </c>
      <c r="S282" s="43" t="str">
        <f t="shared" si="36"/>
        <v>*0.62</v>
      </c>
      <c r="U282" s="32" t="s">
        <v>349</v>
      </c>
      <c r="V282" s="42" t="s">
        <v>57</v>
      </c>
      <c r="W282" s="32">
        <v>2050</v>
      </c>
      <c r="X282" s="43" t="str">
        <f t="shared" si="37"/>
        <v>*0.51</v>
      </c>
      <c r="AC282" s="33" t="s">
        <v>349</v>
      </c>
      <c r="AD282" s="44" t="s">
        <v>57</v>
      </c>
      <c r="AE282" s="33">
        <v>2035</v>
      </c>
      <c r="AF282" s="45" t="str">
        <f t="shared" si="38"/>
        <v>*0.58</v>
      </c>
      <c r="AG282" s="43" t="str">
        <f t="shared" si="40"/>
        <v>REZoning_Sol-Win</v>
      </c>
      <c r="AI282" s="33" t="s">
        <v>349</v>
      </c>
      <c r="AJ282" s="44" t="s">
        <v>57</v>
      </c>
      <c r="AK282" s="33">
        <v>2050</v>
      </c>
      <c r="AL282" s="45" t="str">
        <f t="shared" si="39"/>
        <v>*0.49</v>
      </c>
      <c r="AM282" s="43" t="str">
        <f t="shared" si="41"/>
        <v>REZoning_Sol-Win</v>
      </c>
      <c r="AP282" t="s">
        <v>349</v>
      </c>
      <c r="AQ282" t="s">
        <v>57</v>
      </c>
      <c r="AR282">
        <v>2100</v>
      </c>
      <c r="AS282" t="s">
        <v>75</v>
      </c>
      <c r="AT282" t="s">
        <v>58</v>
      </c>
    </row>
    <row r="283" ht="29" spans="1:46">
      <c r="A283" s="31" t="s">
        <v>73</v>
      </c>
      <c r="C283" t="s">
        <v>350</v>
      </c>
      <c r="D283" s="5" t="s">
        <v>57</v>
      </c>
      <c r="E283">
        <v>2035</v>
      </c>
      <c r="F283" s="6" t="str">
        <f t="shared" si="34"/>
        <v>*0.63</v>
      </c>
      <c r="H283" t="s">
        <v>350</v>
      </c>
      <c r="I283" s="5" t="s">
        <v>57</v>
      </c>
      <c r="J283">
        <v>2050</v>
      </c>
      <c r="K283" s="38" t="str">
        <f t="shared" si="35"/>
        <v>*0.54</v>
      </c>
      <c r="P283" s="32" t="s">
        <v>350</v>
      </c>
      <c r="Q283" s="42" t="s">
        <v>57</v>
      </c>
      <c r="R283" s="32">
        <v>2035</v>
      </c>
      <c r="S283" s="43" t="str">
        <f t="shared" si="36"/>
        <v>*0.62</v>
      </c>
      <c r="U283" s="32" t="s">
        <v>350</v>
      </c>
      <c r="V283" s="42" t="s">
        <v>57</v>
      </c>
      <c r="W283" s="32">
        <v>2050</v>
      </c>
      <c r="X283" s="43" t="str">
        <f t="shared" si="37"/>
        <v>*0.51</v>
      </c>
      <c r="AC283" s="33" t="s">
        <v>350</v>
      </c>
      <c r="AD283" s="44" t="s">
        <v>57</v>
      </c>
      <c r="AE283" s="33">
        <v>2035</v>
      </c>
      <c r="AF283" s="45" t="str">
        <f t="shared" si="38"/>
        <v>*0.58</v>
      </c>
      <c r="AG283" s="43" t="str">
        <f t="shared" si="40"/>
        <v>REZoning_Sol-Win</v>
      </c>
      <c r="AI283" s="33" t="s">
        <v>350</v>
      </c>
      <c r="AJ283" s="44" t="s">
        <v>57</v>
      </c>
      <c r="AK283" s="33">
        <v>2050</v>
      </c>
      <c r="AL283" s="45" t="str">
        <f t="shared" si="39"/>
        <v>*0.49</v>
      </c>
      <c r="AM283" s="43" t="str">
        <f t="shared" si="41"/>
        <v>REZoning_Sol-Win</v>
      </c>
      <c r="AP283" t="s">
        <v>350</v>
      </c>
      <c r="AQ283" t="s">
        <v>57</v>
      </c>
      <c r="AR283">
        <v>2100</v>
      </c>
      <c r="AS283" t="s">
        <v>75</v>
      </c>
      <c r="AT283" t="s">
        <v>58</v>
      </c>
    </row>
    <row r="284" ht="29" spans="1:46">
      <c r="A284" s="31" t="s">
        <v>73</v>
      </c>
      <c r="C284" t="s">
        <v>351</v>
      </c>
      <c r="D284" s="5" t="s">
        <v>57</v>
      </c>
      <c r="E284">
        <v>2035</v>
      </c>
      <c r="F284" s="6" t="str">
        <f t="shared" si="34"/>
        <v>*0.63</v>
      </c>
      <c r="H284" t="s">
        <v>351</v>
      </c>
      <c r="I284" s="5" t="s">
        <v>57</v>
      </c>
      <c r="J284">
        <v>2050</v>
      </c>
      <c r="K284" s="38" t="str">
        <f t="shared" si="35"/>
        <v>*0.54</v>
      </c>
      <c r="P284" s="32" t="s">
        <v>351</v>
      </c>
      <c r="Q284" s="42" t="s">
        <v>57</v>
      </c>
      <c r="R284" s="32">
        <v>2035</v>
      </c>
      <c r="S284" s="43" t="str">
        <f t="shared" si="36"/>
        <v>*0.62</v>
      </c>
      <c r="U284" s="32" t="s">
        <v>351</v>
      </c>
      <c r="V284" s="42" t="s">
        <v>57</v>
      </c>
      <c r="W284" s="32">
        <v>2050</v>
      </c>
      <c r="X284" s="43" t="str">
        <f t="shared" si="37"/>
        <v>*0.51</v>
      </c>
      <c r="AC284" s="33" t="s">
        <v>351</v>
      </c>
      <c r="AD284" s="44" t="s">
        <v>57</v>
      </c>
      <c r="AE284" s="33">
        <v>2035</v>
      </c>
      <c r="AF284" s="45" t="str">
        <f t="shared" si="38"/>
        <v>*0.58</v>
      </c>
      <c r="AG284" s="43" t="str">
        <f t="shared" si="40"/>
        <v>REZoning_Sol-Win</v>
      </c>
      <c r="AI284" s="33" t="s">
        <v>351</v>
      </c>
      <c r="AJ284" s="44" t="s">
        <v>57</v>
      </c>
      <c r="AK284" s="33">
        <v>2050</v>
      </c>
      <c r="AL284" s="45" t="str">
        <f t="shared" si="39"/>
        <v>*0.49</v>
      </c>
      <c r="AM284" s="43" t="str">
        <f t="shared" si="41"/>
        <v>REZoning_Sol-Win</v>
      </c>
      <c r="AP284" t="s">
        <v>351</v>
      </c>
      <c r="AQ284" t="s">
        <v>57</v>
      </c>
      <c r="AR284">
        <v>2100</v>
      </c>
      <c r="AS284" t="s">
        <v>75</v>
      </c>
      <c r="AT284" t="s">
        <v>58</v>
      </c>
    </row>
    <row r="285" ht="29" spans="1:46">
      <c r="A285" s="31" t="s">
        <v>73</v>
      </c>
      <c r="C285" t="s">
        <v>352</v>
      </c>
      <c r="D285" s="5" t="s">
        <v>57</v>
      </c>
      <c r="E285">
        <v>2035</v>
      </c>
      <c r="F285" s="6" t="str">
        <f t="shared" si="34"/>
        <v>*0.63</v>
      </c>
      <c r="H285" t="s">
        <v>352</v>
      </c>
      <c r="I285" s="5" t="s">
        <v>57</v>
      </c>
      <c r="J285">
        <v>2050</v>
      </c>
      <c r="K285" s="38" t="str">
        <f t="shared" si="35"/>
        <v>*0.54</v>
      </c>
      <c r="P285" s="32" t="s">
        <v>352</v>
      </c>
      <c r="Q285" s="42" t="s">
        <v>57</v>
      </c>
      <c r="R285" s="32">
        <v>2035</v>
      </c>
      <c r="S285" s="43" t="str">
        <f t="shared" si="36"/>
        <v>*0.62</v>
      </c>
      <c r="U285" s="32" t="s">
        <v>352</v>
      </c>
      <c r="V285" s="42" t="s">
        <v>57</v>
      </c>
      <c r="W285" s="32">
        <v>2050</v>
      </c>
      <c r="X285" s="43" t="str">
        <f t="shared" si="37"/>
        <v>*0.51</v>
      </c>
      <c r="AC285" s="33" t="s">
        <v>352</v>
      </c>
      <c r="AD285" s="44" t="s">
        <v>57</v>
      </c>
      <c r="AE285" s="33">
        <v>2035</v>
      </c>
      <c r="AF285" s="45" t="str">
        <f t="shared" si="38"/>
        <v>*0.58</v>
      </c>
      <c r="AG285" s="43" t="str">
        <f t="shared" si="40"/>
        <v>REZoning_Sol-Win</v>
      </c>
      <c r="AI285" s="33" t="s">
        <v>352</v>
      </c>
      <c r="AJ285" s="44" t="s">
        <v>57</v>
      </c>
      <c r="AK285" s="33">
        <v>2050</v>
      </c>
      <c r="AL285" s="45" t="str">
        <f t="shared" si="39"/>
        <v>*0.49</v>
      </c>
      <c r="AM285" s="43" t="str">
        <f t="shared" si="41"/>
        <v>REZoning_Sol-Win</v>
      </c>
      <c r="AP285" t="s">
        <v>352</v>
      </c>
      <c r="AQ285" t="s">
        <v>57</v>
      </c>
      <c r="AR285">
        <v>2100</v>
      </c>
      <c r="AS285" t="s">
        <v>75</v>
      </c>
      <c r="AT285" t="s">
        <v>58</v>
      </c>
    </row>
    <row r="286" ht="29" spans="1:46">
      <c r="A286" s="31" t="s">
        <v>73</v>
      </c>
      <c r="C286" t="s">
        <v>353</v>
      </c>
      <c r="D286" s="5" t="s">
        <v>57</v>
      </c>
      <c r="E286">
        <v>2035</v>
      </c>
      <c r="F286" s="6" t="str">
        <f t="shared" si="34"/>
        <v>*0.63</v>
      </c>
      <c r="H286" t="s">
        <v>353</v>
      </c>
      <c r="I286" s="5" t="s">
        <v>57</v>
      </c>
      <c r="J286">
        <v>2050</v>
      </c>
      <c r="K286" s="38" t="str">
        <f t="shared" si="35"/>
        <v>*0.54</v>
      </c>
      <c r="P286" s="32" t="s">
        <v>353</v>
      </c>
      <c r="Q286" s="42" t="s">
        <v>57</v>
      </c>
      <c r="R286" s="32">
        <v>2035</v>
      </c>
      <c r="S286" s="43" t="str">
        <f t="shared" si="36"/>
        <v>*0.62</v>
      </c>
      <c r="U286" s="32" t="s">
        <v>353</v>
      </c>
      <c r="V286" s="42" t="s">
        <v>57</v>
      </c>
      <c r="W286" s="32">
        <v>2050</v>
      </c>
      <c r="X286" s="43" t="str">
        <f t="shared" si="37"/>
        <v>*0.51</v>
      </c>
      <c r="AC286" s="33" t="s">
        <v>353</v>
      </c>
      <c r="AD286" s="44" t="s">
        <v>57</v>
      </c>
      <c r="AE286" s="33">
        <v>2035</v>
      </c>
      <c r="AF286" s="45" t="str">
        <f t="shared" si="38"/>
        <v>*0.58</v>
      </c>
      <c r="AG286" s="43" t="str">
        <f t="shared" si="40"/>
        <v>REZoning_Sol-Win</v>
      </c>
      <c r="AI286" s="33" t="s">
        <v>353</v>
      </c>
      <c r="AJ286" s="44" t="s">
        <v>57</v>
      </c>
      <c r="AK286" s="33">
        <v>2050</v>
      </c>
      <c r="AL286" s="45" t="str">
        <f t="shared" si="39"/>
        <v>*0.49</v>
      </c>
      <c r="AM286" s="43" t="str">
        <f t="shared" si="41"/>
        <v>REZoning_Sol-Win</v>
      </c>
      <c r="AP286" t="s">
        <v>353</v>
      </c>
      <c r="AQ286" t="s">
        <v>57</v>
      </c>
      <c r="AR286">
        <v>2100</v>
      </c>
      <c r="AS286" t="s">
        <v>75</v>
      </c>
      <c r="AT286" t="s">
        <v>58</v>
      </c>
    </row>
    <row r="287" ht="29" spans="1:46">
      <c r="A287" s="31" t="s">
        <v>73</v>
      </c>
      <c r="C287" t="s">
        <v>354</v>
      </c>
      <c r="D287" s="5" t="s">
        <v>57</v>
      </c>
      <c r="E287">
        <v>2035</v>
      </c>
      <c r="F287" s="6" t="str">
        <f t="shared" si="34"/>
        <v>*0.63</v>
      </c>
      <c r="H287" t="s">
        <v>354</v>
      </c>
      <c r="I287" s="5" t="s">
        <v>57</v>
      </c>
      <c r="J287">
        <v>2050</v>
      </c>
      <c r="K287" s="38" t="str">
        <f t="shared" si="35"/>
        <v>*0.54</v>
      </c>
      <c r="P287" s="32" t="s">
        <v>354</v>
      </c>
      <c r="Q287" s="42" t="s">
        <v>57</v>
      </c>
      <c r="R287" s="32">
        <v>2035</v>
      </c>
      <c r="S287" s="43" t="str">
        <f t="shared" si="36"/>
        <v>*0.62</v>
      </c>
      <c r="U287" s="32" t="s">
        <v>354</v>
      </c>
      <c r="V287" s="42" t="s">
        <v>57</v>
      </c>
      <c r="W287" s="32">
        <v>2050</v>
      </c>
      <c r="X287" s="43" t="str">
        <f t="shared" si="37"/>
        <v>*0.51</v>
      </c>
      <c r="AC287" s="33" t="s">
        <v>354</v>
      </c>
      <c r="AD287" s="44" t="s">
        <v>57</v>
      </c>
      <c r="AE287" s="33">
        <v>2035</v>
      </c>
      <c r="AF287" s="45" t="str">
        <f t="shared" si="38"/>
        <v>*0.58</v>
      </c>
      <c r="AG287" s="43" t="str">
        <f t="shared" si="40"/>
        <v>REZoning_Sol-Win</v>
      </c>
      <c r="AI287" s="33" t="s">
        <v>354</v>
      </c>
      <c r="AJ287" s="44" t="s">
        <v>57</v>
      </c>
      <c r="AK287" s="33">
        <v>2050</v>
      </c>
      <c r="AL287" s="45" t="str">
        <f t="shared" si="39"/>
        <v>*0.49</v>
      </c>
      <c r="AM287" s="43" t="str">
        <f t="shared" si="41"/>
        <v>REZoning_Sol-Win</v>
      </c>
      <c r="AP287" t="s">
        <v>354</v>
      </c>
      <c r="AQ287" t="s">
        <v>57</v>
      </c>
      <c r="AR287">
        <v>2100</v>
      </c>
      <c r="AS287" t="s">
        <v>75</v>
      </c>
      <c r="AT287" t="s">
        <v>58</v>
      </c>
    </row>
    <row r="288" ht="29" spans="1:46">
      <c r="A288" s="31" t="s">
        <v>73</v>
      </c>
      <c r="C288" t="s">
        <v>355</v>
      </c>
      <c r="D288" s="5" t="s">
        <v>57</v>
      </c>
      <c r="E288">
        <v>2035</v>
      </c>
      <c r="F288" s="6" t="str">
        <f t="shared" si="34"/>
        <v>*0.63</v>
      </c>
      <c r="H288" t="s">
        <v>355</v>
      </c>
      <c r="I288" s="5" t="s">
        <v>57</v>
      </c>
      <c r="J288">
        <v>2050</v>
      </c>
      <c r="K288" s="38" t="str">
        <f t="shared" si="35"/>
        <v>*0.54</v>
      </c>
      <c r="P288" s="32" t="s">
        <v>355</v>
      </c>
      <c r="Q288" s="42" t="s">
        <v>57</v>
      </c>
      <c r="R288" s="32">
        <v>2035</v>
      </c>
      <c r="S288" s="43" t="str">
        <f t="shared" si="36"/>
        <v>*0.62</v>
      </c>
      <c r="U288" s="32" t="s">
        <v>355</v>
      </c>
      <c r="V288" s="42" t="s">
        <v>57</v>
      </c>
      <c r="W288" s="32">
        <v>2050</v>
      </c>
      <c r="X288" s="43" t="str">
        <f t="shared" si="37"/>
        <v>*0.51</v>
      </c>
      <c r="AC288" s="33" t="s">
        <v>355</v>
      </c>
      <c r="AD288" s="44" t="s">
        <v>57</v>
      </c>
      <c r="AE288" s="33">
        <v>2035</v>
      </c>
      <c r="AF288" s="45" t="str">
        <f t="shared" si="38"/>
        <v>*0.58</v>
      </c>
      <c r="AG288" s="43" t="str">
        <f t="shared" si="40"/>
        <v>REZoning_Sol-Win</v>
      </c>
      <c r="AI288" s="33" t="s">
        <v>355</v>
      </c>
      <c r="AJ288" s="44" t="s">
        <v>57</v>
      </c>
      <c r="AK288" s="33">
        <v>2050</v>
      </c>
      <c r="AL288" s="45" t="str">
        <f t="shared" si="39"/>
        <v>*0.49</v>
      </c>
      <c r="AM288" s="43" t="str">
        <f t="shared" si="41"/>
        <v>REZoning_Sol-Win</v>
      </c>
      <c r="AP288" t="s">
        <v>355</v>
      </c>
      <c r="AQ288" t="s">
        <v>57</v>
      </c>
      <c r="AR288">
        <v>2100</v>
      </c>
      <c r="AS288" t="s">
        <v>75</v>
      </c>
      <c r="AT288" t="s">
        <v>58</v>
      </c>
    </row>
    <row r="289" ht="29" spans="1:46">
      <c r="A289" s="31" t="s">
        <v>73</v>
      </c>
      <c r="C289" t="s">
        <v>356</v>
      </c>
      <c r="D289" s="5" t="s">
        <v>57</v>
      </c>
      <c r="E289">
        <v>2035</v>
      </c>
      <c r="F289" s="6" t="str">
        <f t="shared" si="34"/>
        <v>*0.63</v>
      </c>
      <c r="H289" t="s">
        <v>356</v>
      </c>
      <c r="I289" s="5" t="s">
        <v>57</v>
      </c>
      <c r="J289">
        <v>2050</v>
      </c>
      <c r="K289" s="38" t="str">
        <f t="shared" si="35"/>
        <v>*0.54</v>
      </c>
      <c r="P289" s="32" t="s">
        <v>356</v>
      </c>
      <c r="Q289" s="42" t="s">
        <v>57</v>
      </c>
      <c r="R289" s="32">
        <v>2035</v>
      </c>
      <c r="S289" s="43" t="str">
        <f t="shared" si="36"/>
        <v>*0.62</v>
      </c>
      <c r="U289" s="32" t="s">
        <v>356</v>
      </c>
      <c r="V289" s="42" t="s">
        <v>57</v>
      </c>
      <c r="W289" s="32">
        <v>2050</v>
      </c>
      <c r="X289" s="43" t="str">
        <f t="shared" si="37"/>
        <v>*0.51</v>
      </c>
      <c r="AC289" s="33" t="s">
        <v>356</v>
      </c>
      <c r="AD289" s="44" t="s">
        <v>57</v>
      </c>
      <c r="AE289" s="33">
        <v>2035</v>
      </c>
      <c r="AF289" s="45" t="str">
        <f t="shared" si="38"/>
        <v>*0.58</v>
      </c>
      <c r="AG289" s="43" t="str">
        <f t="shared" si="40"/>
        <v>REZoning_Sol-Win</v>
      </c>
      <c r="AI289" s="33" t="s">
        <v>356</v>
      </c>
      <c r="AJ289" s="44" t="s">
        <v>57</v>
      </c>
      <c r="AK289" s="33">
        <v>2050</v>
      </c>
      <c r="AL289" s="45" t="str">
        <f t="shared" si="39"/>
        <v>*0.49</v>
      </c>
      <c r="AM289" s="43" t="str">
        <f t="shared" si="41"/>
        <v>REZoning_Sol-Win</v>
      </c>
      <c r="AP289" t="s">
        <v>356</v>
      </c>
      <c r="AQ289" t="s">
        <v>57</v>
      </c>
      <c r="AR289">
        <v>2100</v>
      </c>
      <c r="AS289" t="s">
        <v>75</v>
      </c>
      <c r="AT289" t="s">
        <v>58</v>
      </c>
    </row>
    <row r="290" ht="29" spans="1:46">
      <c r="A290" s="31" t="s">
        <v>73</v>
      </c>
      <c r="C290" t="s">
        <v>357</v>
      </c>
      <c r="D290" s="5" t="s">
        <v>57</v>
      </c>
      <c r="E290">
        <v>2035</v>
      </c>
      <c r="F290" s="6" t="str">
        <f t="shared" si="34"/>
        <v>*0.63</v>
      </c>
      <c r="H290" t="s">
        <v>357</v>
      </c>
      <c r="I290" s="5" t="s">
        <v>57</v>
      </c>
      <c r="J290">
        <v>2050</v>
      </c>
      <c r="K290" s="38" t="str">
        <f t="shared" si="35"/>
        <v>*0.54</v>
      </c>
      <c r="P290" s="32" t="s">
        <v>357</v>
      </c>
      <c r="Q290" s="42" t="s">
        <v>57</v>
      </c>
      <c r="R290" s="32">
        <v>2035</v>
      </c>
      <c r="S290" s="43" t="str">
        <f t="shared" si="36"/>
        <v>*0.62</v>
      </c>
      <c r="U290" s="32" t="s">
        <v>357</v>
      </c>
      <c r="V290" s="42" t="s">
        <v>57</v>
      </c>
      <c r="W290" s="32">
        <v>2050</v>
      </c>
      <c r="X290" s="43" t="str">
        <f t="shared" si="37"/>
        <v>*0.51</v>
      </c>
      <c r="AC290" s="33" t="s">
        <v>357</v>
      </c>
      <c r="AD290" s="44" t="s">
        <v>57</v>
      </c>
      <c r="AE290" s="33">
        <v>2035</v>
      </c>
      <c r="AF290" s="45" t="str">
        <f t="shared" si="38"/>
        <v>*0.58</v>
      </c>
      <c r="AG290" s="43" t="str">
        <f t="shared" si="40"/>
        <v>REZoning_Sol-Win</v>
      </c>
      <c r="AI290" s="33" t="s">
        <v>357</v>
      </c>
      <c r="AJ290" s="44" t="s">
        <v>57</v>
      </c>
      <c r="AK290" s="33">
        <v>2050</v>
      </c>
      <c r="AL290" s="45" t="str">
        <f t="shared" si="39"/>
        <v>*0.49</v>
      </c>
      <c r="AM290" s="43" t="str">
        <f t="shared" si="41"/>
        <v>REZoning_Sol-Win</v>
      </c>
      <c r="AP290" t="s">
        <v>357</v>
      </c>
      <c r="AQ290" t="s">
        <v>57</v>
      </c>
      <c r="AR290">
        <v>2100</v>
      </c>
      <c r="AS290" t="s">
        <v>75</v>
      </c>
      <c r="AT290" t="s">
        <v>58</v>
      </c>
    </row>
    <row r="291" ht="29" spans="1:46">
      <c r="A291" s="31" t="s">
        <v>65</v>
      </c>
      <c r="C291" t="s">
        <v>358</v>
      </c>
      <c r="D291" s="5" t="s">
        <v>57</v>
      </c>
      <c r="E291">
        <v>2035</v>
      </c>
      <c r="F291" s="6" t="str">
        <f t="shared" si="34"/>
        <v>*0.61</v>
      </c>
      <c r="H291" t="s">
        <v>358</v>
      </c>
      <c r="I291" s="5" t="s">
        <v>57</v>
      </c>
      <c r="J291">
        <v>2050</v>
      </c>
      <c r="K291" s="38" t="str">
        <f t="shared" si="35"/>
        <v>*0.5</v>
      </c>
      <c r="P291" s="32" t="s">
        <v>358</v>
      </c>
      <c r="Q291" s="42" t="s">
        <v>57</v>
      </c>
      <c r="R291" s="32">
        <v>2035</v>
      </c>
      <c r="S291" s="43" t="str">
        <f t="shared" si="36"/>
        <v>*0.58</v>
      </c>
      <c r="U291" s="32" t="s">
        <v>358</v>
      </c>
      <c r="V291" s="42" t="s">
        <v>57</v>
      </c>
      <c r="W291" s="32">
        <v>2050</v>
      </c>
      <c r="X291" s="43" t="str">
        <f t="shared" si="37"/>
        <v>*0.47</v>
      </c>
      <c r="AC291" s="33" t="s">
        <v>358</v>
      </c>
      <c r="AD291" s="44" t="s">
        <v>57</v>
      </c>
      <c r="AE291" s="33">
        <v>2035</v>
      </c>
      <c r="AF291" s="45" t="str">
        <f t="shared" si="38"/>
        <v>*0.53</v>
      </c>
      <c r="AG291" s="43" t="str">
        <f t="shared" si="40"/>
        <v>REZoning_Sol-Win</v>
      </c>
      <c r="AI291" s="33" t="s">
        <v>358</v>
      </c>
      <c r="AJ291" s="44" t="s">
        <v>57</v>
      </c>
      <c r="AK291" s="33">
        <v>2050</v>
      </c>
      <c r="AL291" s="45" t="str">
        <f t="shared" si="39"/>
        <v>*0.41</v>
      </c>
      <c r="AM291" s="43" t="str">
        <f t="shared" si="41"/>
        <v>REZoning_Sol-Win</v>
      </c>
      <c r="AP291" t="s">
        <v>358</v>
      </c>
      <c r="AQ291" t="s">
        <v>57</v>
      </c>
      <c r="AR291">
        <v>2100</v>
      </c>
      <c r="AS291" t="s">
        <v>67</v>
      </c>
      <c r="AT291" t="s">
        <v>58</v>
      </c>
    </row>
    <row r="292" ht="29" spans="1:46">
      <c r="A292" s="31" t="s">
        <v>65</v>
      </c>
      <c r="C292" t="s">
        <v>359</v>
      </c>
      <c r="D292" s="5" t="s">
        <v>57</v>
      </c>
      <c r="E292">
        <v>2035</v>
      </c>
      <c r="F292" s="6" t="str">
        <f t="shared" si="34"/>
        <v>*0.61</v>
      </c>
      <c r="H292" t="s">
        <v>359</v>
      </c>
      <c r="I292" s="5" t="s">
        <v>57</v>
      </c>
      <c r="J292">
        <v>2050</v>
      </c>
      <c r="K292" s="38" t="str">
        <f t="shared" si="35"/>
        <v>*0.5</v>
      </c>
      <c r="P292" s="32" t="s">
        <v>359</v>
      </c>
      <c r="Q292" s="42" t="s">
        <v>57</v>
      </c>
      <c r="R292" s="32">
        <v>2035</v>
      </c>
      <c r="S292" s="43" t="str">
        <f t="shared" si="36"/>
        <v>*0.58</v>
      </c>
      <c r="U292" s="32" t="s">
        <v>359</v>
      </c>
      <c r="V292" s="42" t="s">
        <v>57</v>
      </c>
      <c r="W292" s="32">
        <v>2050</v>
      </c>
      <c r="X292" s="43" t="str">
        <f t="shared" si="37"/>
        <v>*0.47</v>
      </c>
      <c r="AC292" s="33" t="s">
        <v>359</v>
      </c>
      <c r="AD292" s="44" t="s">
        <v>57</v>
      </c>
      <c r="AE292" s="33">
        <v>2035</v>
      </c>
      <c r="AF292" s="45" t="str">
        <f t="shared" si="38"/>
        <v>*0.53</v>
      </c>
      <c r="AG292" s="43" t="str">
        <f t="shared" si="40"/>
        <v>REZoning_Sol-Win</v>
      </c>
      <c r="AI292" s="33" t="s">
        <v>359</v>
      </c>
      <c r="AJ292" s="44" t="s">
        <v>57</v>
      </c>
      <c r="AK292" s="33">
        <v>2050</v>
      </c>
      <c r="AL292" s="45" t="str">
        <f t="shared" si="39"/>
        <v>*0.41</v>
      </c>
      <c r="AM292" s="43" t="str">
        <f t="shared" si="41"/>
        <v>REZoning_Sol-Win</v>
      </c>
      <c r="AP292" t="s">
        <v>359</v>
      </c>
      <c r="AQ292" t="s">
        <v>57</v>
      </c>
      <c r="AR292">
        <v>2100</v>
      </c>
      <c r="AS292" t="s">
        <v>67</v>
      </c>
      <c r="AT292" t="s">
        <v>58</v>
      </c>
    </row>
    <row r="293" ht="29" spans="1:46">
      <c r="A293" s="31" t="s">
        <v>65</v>
      </c>
      <c r="C293" t="s">
        <v>360</v>
      </c>
      <c r="D293" s="5" t="s">
        <v>57</v>
      </c>
      <c r="E293">
        <v>2035</v>
      </c>
      <c r="F293" s="6" t="str">
        <f t="shared" si="34"/>
        <v>*0.61</v>
      </c>
      <c r="H293" t="s">
        <v>360</v>
      </c>
      <c r="I293" s="5" t="s">
        <v>57</v>
      </c>
      <c r="J293">
        <v>2050</v>
      </c>
      <c r="K293" s="38" t="str">
        <f t="shared" si="35"/>
        <v>*0.5</v>
      </c>
      <c r="P293" s="32" t="s">
        <v>360</v>
      </c>
      <c r="Q293" s="42" t="s">
        <v>57</v>
      </c>
      <c r="R293" s="32">
        <v>2035</v>
      </c>
      <c r="S293" s="43" t="str">
        <f t="shared" si="36"/>
        <v>*0.58</v>
      </c>
      <c r="U293" s="32" t="s">
        <v>360</v>
      </c>
      <c r="V293" s="42" t="s">
        <v>57</v>
      </c>
      <c r="W293" s="32">
        <v>2050</v>
      </c>
      <c r="X293" s="43" t="str">
        <f t="shared" si="37"/>
        <v>*0.47</v>
      </c>
      <c r="AC293" s="33" t="s">
        <v>360</v>
      </c>
      <c r="AD293" s="44" t="s">
        <v>57</v>
      </c>
      <c r="AE293" s="33">
        <v>2035</v>
      </c>
      <c r="AF293" s="45" t="str">
        <f t="shared" si="38"/>
        <v>*0.53</v>
      </c>
      <c r="AG293" s="43" t="str">
        <f t="shared" si="40"/>
        <v>REZoning_Sol-Win</v>
      </c>
      <c r="AI293" s="33" t="s">
        <v>360</v>
      </c>
      <c r="AJ293" s="44" t="s">
        <v>57</v>
      </c>
      <c r="AK293" s="33">
        <v>2050</v>
      </c>
      <c r="AL293" s="45" t="str">
        <f t="shared" si="39"/>
        <v>*0.41</v>
      </c>
      <c r="AM293" s="43" t="str">
        <f t="shared" si="41"/>
        <v>REZoning_Sol-Win</v>
      </c>
      <c r="AP293" t="s">
        <v>360</v>
      </c>
      <c r="AQ293" t="s">
        <v>57</v>
      </c>
      <c r="AR293">
        <v>2100</v>
      </c>
      <c r="AS293" t="s">
        <v>67</v>
      </c>
      <c r="AT293" t="s">
        <v>58</v>
      </c>
    </row>
    <row r="294" ht="29" spans="1:46">
      <c r="A294" s="31" t="s">
        <v>65</v>
      </c>
      <c r="C294" t="s">
        <v>361</v>
      </c>
      <c r="D294" s="5" t="s">
        <v>57</v>
      </c>
      <c r="E294">
        <v>2035</v>
      </c>
      <c r="F294" s="6" t="str">
        <f t="shared" si="34"/>
        <v>*0.61</v>
      </c>
      <c r="H294" t="s">
        <v>361</v>
      </c>
      <c r="I294" s="5" t="s">
        <v>57</v>
      </c>
      <c r="J294">
        <v>2050</v>
      </c>
      <c r="K294" s="38" t="str">
        <f t="shared" si="35"/>
        <v>*0.5</v>
      </c>
      <c r="P294" s="32" t="s">
        <v>361</v>
      </c>
      <c r="Q294" s="42" t="s">
        <v>57</v>
      </c>
      <c r="R294" s="32">
        <v>2035</v>
      </c>
      <c r="S294" s="43" t="str">
        <f t="shared" si="36"/>
        <v>*0.58</v>
      </c>
      <c r="U294" s="32" t="s">
        <v>361</v>
      </c>
      <c r="V294" s="42" t="s">
        <v>57</v>
      </c>
      <c r="W294" s="32">
        <v>2050</v>
      </c>
      <c r="X294" s="43" t="str">
        <f t="shared" si="37"/>
        <v>*0.47</v>
      </c>
      <c r="AC294" s="33" t="s">
        <v>361</v>
      </c>
      <c r="AD294" s="44" t="s">
        <v>57</v>
      </c>
      <c r="AE294" s="33">
        <v>2035</v>
      </c>
      <c r="AF294" s="45" t="str">
        <f t="shared" si="38"/>
        <v>*0.53</v>
      </c>
      <c r="AG294" s="43" t="str">
        <f t="shared" si="40"/>
        <v>REZoning_Sol-Win</v>
      </c>
      <c r="AI294" s="33" t="s">
        <v>361</v>
      </c>
      <c r="AJ294" s="44" t="s">
        <v>57</v>
      </c>
      <c r="AK294" s="33">
        <v>2050</v>
      </c>
      <c r="AL294" s="45" t="str">
        <f t="shared" si="39"/>
        <v>*0.41</v>
      </c>
      <c r="AM294" s="43" t="str">
        <f t="shared" si="41"/>
        <v>REZoning_Sol-Win</v>
      </c>
      <c r="AP294" t="s">
        <v>361</v>
      </c>
      <c r="AQ294" t="s">
        <v>57</v>
      </c>
      <c r="AR294">
        <v>2100</v>
      </c>
      <c r="AS294" t="s">
        <v>67</v>
      </c>
      <c r="AT294" t="s">
        <v>58</v>
      </c>
    </row>
    <row r="295" ht="29" spans="1:46">
      <c r="A295" s="31" t="s">
        <v>65</v>
      </c>
      <c r="C295" t="s">
        <v>362</v>
      </c>
      <c r="D295" s="5" t="s">
        <v>57</v>
      </c>
      <c r="E295">
        <v>2035</v>
      </c>
      <c r="F295" s="6" t="str">
        <f t="shared" si="34"/>
        <v>*0.61</v>
      </c>
      <c r="H295" t="s">
        <v>362</v>
      </c>
      <c r="I295" s="5" t="s">
        <v>57</v>
      </c>
      <c r="J295">
        <v>2050</v>
      </c>
      <c r="K295" s="38" t="str">
        <f t="shared" si="35"/>
        <v>*0.5</v>
      </c>
      <c r="P295" s="32" t="s">
        <v>362</v>
      </c>
      <c r="Q295" s="42" t="s">
        <v>57</v>
      </c>
      <c r="R295" s="32">
        <v>2035</v>
      </c>
      <c r="S295" s="43" t="str">
        <f t="shared" si="36"/>
        <v>*0.58</v>
      </c>
      <c r="U295" s="32" t="s">
        <v>362</v>
      </c>
      <c r="V295" s="42" t="s">
        <v>57</v>
      </c>
      <c r="W295" s="32">
        <v>2050</v>
      </c>
      <c r="X295" s="43" t="str">
        <f t="shared" si="37"/>
        <v>*0.47</v>
      </c>
      <c r="AC295" s="33" t="s">
        <v>362</v>
      </c>
      <c r="AD295" s="44" t="s">
        <v>57</v>
      </c>
      <c r="AE295" s="33">
        <v>2035</v>
      </c>
      <c r="AF295" s="45" t="str">
        <f t="shared" si="38"/>
        <v>*0.53</v>
      </c>
      <c r="AG295" s="43" t="str">
        <f t="shared" si="40"/>
        <v>REZoning_Sol-Win</v>
      </c>
      <c r="AI295" s="33" t="s">
        <v>362</v>
      </c>
      <c r="AJ295" s="44" t="s">
        <v>57</v>
      </c>
      <c r="AK295" s="33">
        <v>2050</v>
      </c>
      <c r="AL295" s="45" t="str">
        <f t="shared" si="39"/>
        <v>*0.41</v>
      </c>
      <c r="AM295" s="43" t="str">
        <f t="shared" si="41"/>
        <v>REZoning_Sol-Win</v>
      </c>
      <c r="AP295" t="s">
        <v>362</v>
      </c>
      <c r="AQ295" t="s">
        <v>57</v>
      </c>
      <c r="AR295">
        <v>2100</v>
      </c>
      <c r="AS295" t="s">
        <v>67</v>
      </c>
      <c r="AT295" t="s">
        <v>58</v>
      </c>
    </row>
    <row r="296" ht="29" spans="1:46">
      <c r="A296" s="31" t="s">
        <v>65</v>
      </c>
      <c r="C296" t="s">
        <v>363</v>
      </c>
      <c r="D296" s="5" t="s">
        <v>57</v>
      </c>
      <c r="E296">
        <v>2035</v>
      </c>
      <c r="F296" s="6" t="str">
        <f t="shared" si="34"/>
        <v>*0.61</v>
      </c>
      <c r="H296" t="s">
        <v>363</v>
      </c>
      <c r="I296" s="5" t="s">
        <v>57</v>
      </c>
      <c r="J296">
        <v>2050</v>
      </c>
      <c r="K296" s="38" t="str">
        <f t="shared" si="35"/>
        <v>*0.5</v>
      </c>
      <c r="P296" s="32" t="s">
        <v>363</v>
      </c>
      <c r="Q296" s="42" t="s">
        <v>57</v>
      </c>
      <c r="R296" s="32">
        <v>2035</v>
      </c>
      <c r="S296" s="43" t="str">
        <f t="shared" si="36"/>
        <v>*0.58</v>
      </c>
      <c r="U296" s="32" t="s">
        <v>363</v>
      </c>
      <c r="V296" s="42" t="s">
        <v>57</v>
      </c>
      <c r="W296" s="32">
        <v>2050</v>
      </c>
      <c r="X296" s="43" t="str">
        <f t="shared" si="37"/>
        <v>*0.47</v>
      </c>
      <c r="AC296" s="33" t="s">
        <v>363</v>
      </c>
      <c r="AD296" s="44" t="s">
        <v>57</v>
      </c>
      <c r="AE296" s="33">
        <v>2035</v>
      </c>
      <c r="AF296" s="45" t="str">
        <f t="shared" si="38"/>
        <v>*0.53</v>
      </c>
      <c r="AG296" s="43" t="str">
        <f t="shared" si="40"/>
        <v>REZoning_Sol-Win</v>
      </c>
      <c r="AI296" s="33" t="s">
        <v>363</v>
      </c>
      <c r="AJ296" s="44" t="s">
        <v>57</v>
      </c>
      <c r="AK296" s="33">
        <v>2050</v>
      </c>
      <c r="AL296" s="45" t="str">
        <f t="shared" si="39"/>
        <v>*0.41</v>
      </c>
      <c r="AM296" s="43" t="str">
        <f t="shared" si="41"/>
        <v>REZoning_Sol-Win</v>
      </c>
      <c r="AP296" t="s">
        <v>363</v>
      </c>
      <c r="AQ296" t="s">
        <v>57</v>
      </c>
      <c r="AR296">
        <v>2100</v>
      </c>
      <c r="AS296" t="s">
        <v>67</v>
      </c>
      <c r="AT296" t="s">
        <v>58</v>
      </c>
    </row>
    <row r="297" ht="29" spans="1:46">
      <c r="A297" s="31" t="s">
        <v>73</v>
      </c>
      <c r="C297" t="s">
        <v>364</v>
      </c>
      <c r="D297" s="5" t="s">
        <v>57</v>
      </c>
      <c r="E297">
        <v>2035</v>
      </c>
      <c r="F297" s="6" t="str">
        <f t="shared" si="34"/>
        <v>*0.63</v>
      </c>
      <c r="H297" t="s">
        <v>364</v>
      </c>
      <c r="I297" s="5" t="s">
        <v>57</v>
      </c>
      <c r="J297">
        <v>2050</v>
      </c>
      <c r="K297" s="38" t="str">
        <f t="shared" si="35"/>
        <v>*0.54</v>
      </c>
      <c r="P297" s="32" t="s">
        <v>364</v>
      </c>
      <c r="Q297" s="42" t="s">
        <v>57</v>
      </c>
      <c r="R297" s="32">
        <v>2035</v>
      </c>
      <c r="S297" s="43" t="str">
        <f t="shared" si="36"/>
        <v>*0.62</v>
      </c>
      <c r="U297" s="32" t="s">
        <v>364</v>
      </c>
      <c r="V297" s="42" t="s">
        <v>57</v>
      </c>
      <c r="W297" s="32">
        <v>2050</v>
      </c>
      <c r="X297" s="43" t="str">
        <f t="shared" si="37"/>
        <v>*0.51</v>
      </c>
      <c r="AC297" s="33" t="s">
        <v>364</v>
      </c>
      <c r="AD297" s="44" t="s">
        <v>57</v>
      </c>
      <c r="AE297" s="33">
        <v>2035</v>
      </c>
      <c r="AF297" s="45" t="str">
        <f t="shared" si="38"/>
        <v>*0.58</v>
      </c>
      <c r="AG297" s="43" t="str">
        <f t="shared" si="40"/>
        <v>REZoning_Sol-Win</v>
      </c>
      <c r="AI297" s="33" t="s">
        <v>364</v>
      </c>
      <c r="AJ297" s="44" t="s">
        <v>57</v>
      </c>
      <c r="AK297" s="33">
        <v>2050</v>
      </c>
      <c r="AL297" s="45" t="str">
        <f t="shared" si="39"/>
        <v>*0.49</v>
      </c>
      <c r="AM297" s="43" t="str">
        <f t="shared" si="41"/>
        <v>REZoning_Sol-Win</v>
      </c>
      <c r="AP297" t="s">
        <v>364</v>
      </c>
      <c r="AQ297" t="s">
        <v>57</v>
      </c>
      <c r="AR297">
        <v>2100</v>
      </c>
      <c r="AS297" t="s">
        <v>75</v>
      </c>
      <c r="AT297" t="s">
        <v>58</v>
      </c>
    </row>
    <row r="298" ht="29" spans="1:46">
      <c r="A298" s="31" t="s">
        <v>73</v>
      </c>
      <c r="C298" t="s">
        <v>365</v>
      </c>
      <c r="D298" s="5" t="s">
        <v>57</v>
      </c>
      <c r="E298">
        <v>2035</v>
      </c>
      <c r="F298" s="6" t="str">
        <f t="shared" si="34"/>
        <v>*0.63</v>
      </c>
      <c r="H298" t="s">
        <v>365</v>
      </c>
      <c r="I298" s="5" t="s">
        <v>57</v>
      </c>
      <c r="J298">
        <v>2050</v>
      </c>
      <c r="K298" s="38" t="str">
        <f t="shared" si="35"/>
        <v>*0.54</v>
      </c>
      <c r="P298" s="32" t="s">
        <v>365</v>
      </c>
      <c r="Q298" s="42" t="s">
        <v>57</v>
      </c>
      <c r="R298" s="32">
        <v>2035</v>
      </c>
      <c r="S298" s="43" t="str">
        <f t="shared" si="36"/>
        <v>*0.62</v>
      </c>
      <c r="U298" s="32" t="s">
        <v>365</v>
      </c>
      <c r="V298" s="42" t="s">
        <v>57</v>
      </c>
      <c r="W298" s="32">
        <v>2050</v>
      </c>
      <c r="X298" s="43" t="str">
        <f t="shared" si="37"/>
        <v>*0.51</v>
      </c>
      <c r="AC298" s="33" t="s">
        <v>365</v>
      </c>
      <c r="AD298" s="44" t="s">
        <v>57</v>
      </c>
      <c r="AE298" s="33">
        <v>2035</v>
      </c>
      <c r="AF298" s="45" t="str">
        <f t="shared" si="38"/>
        <v>*0.58</v>
      </c>
      <c r="AG298" s="43" t="str">
        <f t="shared" si="40"/>
        <v>REZoning_Sol-Win</v>
      </c>
      <c r="AI298" s="33" t="s">
        <v>365</v>
      </c>
      <c r="AJ298" s="44" t="s">
        <v>57</v>
      </c>
      <c r="AK298" s="33">
        <v>2050</v>
      </c>
      <c r="AL298" s="45" t="str">
        <f t="shared" si="39"/>
        <v>*0.49</v>
      </c>
      <c r="AM298" s="43" t="str">
        <f t="shared" si="41"/>
        <v>REZoning_Sol-Win</v>
      </c>
      <c r="AP298" t="s">
        <v>365</v>
      </c>
      <c r="AQ298" t="s">
        <v>57</v>
      </c>
      <c r="AR298">
        <v>2100</v>
      </c>
      <c r="AS298" t="s">
        <v>75</v>
      </c>
      <c r="AT298" t="s">
        <v>58</v>
      </c>
    </row>
    <row r="299" ht="29" spans="1:46">
      <c r="A299" s="31" t="s">
        <v>73</v>
      </c>
      <c r="C299" t="s">
        <v>366</v>
      </c>
      <c r="D299" s="5" t="s">
        <v>57</v>
      </c>
      <c r="E299">
        <v>2035</v>
      </c>
      <c r="F299" s="6" t="str">
        <f t="shared" si="34"/>
        <v>*0.63</v>
      </c>
      <c r="H299" t="s">
        <v>366</v>
      </c>
      <c r="I299" s="5" t="s">
        <v>57</v>
      </c>
      <c r="J299">
        <v>2050</v>
      </c>
      <c r="K299" s="38" t="str">
        <f t="shared" si="35"/>
        <v>*0.54</v>
      </c>
      <c r="P299" s="32" t="s">
        <v>366</v>
      </c>
      <c r="Q299" s="42" t="s">
        <v>57</v>
      </c>
      <c r="R299" s="32">
        <v>2035</v>
      </c>
      <c r="S299" s="43" t="str">
        <f t="shared" si="36"/>
        <v>*0.62</v>
      </c>
      <c r="U299" s="32" t="s">
        <v>366</v>
      </c>
      <c r="V299" s="42" t="s">
        <v>57</v>
      </c>
      <c r="W299" s="32">
        <v>2050</v>
      </c>
      <c r="X299" s="43" t="str">
        <f t="shared" si="37"/>
        <v>*0.51</v>
      </c>
      <c r="AC299" s="33" t="s">
        <v>366</v>
      </c>
      <c r="AD299" s="44" t="s">
        <v>57</v>
      </c>
      <c r="AE299" s="33">
        <v>2035</v>
      </c>
      <c r="AF299" s="45" t="str">
        <f t="shared" si="38"/>
        <v>*0.58</v>
      </c>
      <c r="AG299" s="43" t="str">
        <f t="shared" si="40"/>
        <v>REZoning_Sol-Win</v>
      </c>
      <c r="AI299" s="33" t="s">
        <v>366</v>
      </c>
      <c r="AJ299" s="44" t="s">
        <v>57</v>
      </c>
      <c r="AK299" s="33">
        <v>2050</v>
      </c>
      <c r="AL299" s="45" t="str">
        <f t="shared" si="39"/>
        <v>*0.49</v>
      </c>
      <c r="AM299" s="43" t="str">
        <f t="shared" si="41"/>
        <v>REZoning_Sol-Win</v>
      </c>
      <c r="AP299" t="s">
        <v>366</v>
      </c>
      <c r="AQ299" t="s">
        <v>57</v>
      </c>
      <c r="AR299">
        <v>2100</v>
      </c>
      <c r="AS299" t="s">
        <v>75</v>
      </c>
      <c r="AT299" t="s">
        <v>58</v>
      </c>
    </row>
    <row r="300" ht="29" spans="1:46">
      <c r="A300" s="31" t="s">
        <v>73</v>
      </c>
      <c r="C300" t="s">
        <v>367</v>
      </c>
      <c r="D300" s="5" t="s">
        <v>57</v>
      </c>
      <c r="E300">
        <v>2035</v>
      </c>
      <c r="F300" s="6" t="str">
        <f t="shared" si="34"/>
        <v>*0.63</v>
      </c>
      <c r="H300" t="s">
        <v>367</v>
      </c>
      <c r="I300" s="5" t="s">
        <v>57</v>
      </c>
      <c r="J300">
        <v>2050</v>
      </c>
      <c r="K300" s="38" t="str">
        <f t="shared" si="35"/>
        <v>*0.54</v>
      </c>
      <c r="P300" s="32" t="s">
        <v>367</v>
      </c>
      <c r="Q300" s="42" t="s">
        <v>57</v>
      </c>
      <c r="R300" s="32">
        <v>2035</v>
      </c>
      <c r="S300" s="43" t="str">
        <f t="shared" si="36"/>
        <v>*0.62</v>
      </c>
      <c r="U300" s="32" t="s">
        <v>367</v>
      </c>
      <c r="V300" s="42" t="s">
        <v>57</v>
      </c>
      <c r="W300" s="32">
        <v>2050</v>
      </c>
      <c r="X300" s="43" t="str">
        <f t="shared" si="37"/>
        <v>*0.51</v>
      </c>
      <c r="AC300" s="33" t="s">
        <v>367</v>
      </c>
      <c r="AD300" s="44" t="s">
        <v>57</v>
      </c>
      <c r="AE300" s="33">
        <v>2035</v>
      </c>
      <c r="AF300" s="45" t="str">
        <f t="shared" si="38"/>
        <v>*0.58</v>
      </c>
      <c r="AG300" s="43" t="str">
        <f t="shared" si="40"/>
        <v>REZoning_Sol-Win</v>
      </c>
      <c r="AI300" s="33" t="s">
        <v>367</v>
      </c>
      <c r="AJ300" s="44" t="s">
        <v>57</v>
      </c>
      <c r="AK300" s="33">
        <v>2050</v>
      </c>
      <c r="AL300" s="45" t="str">
        <f t="shared" si="39"/>
        <v>*0.49</v>
      </c>
      <c r="AM300" s="43" t="str">
        <f t="shared" si="41"/>
        <v>REZoning_Sol-Win</v>
      </c>
      <c r="AP300" t="s">
        <v>367</v>
      </c>
      <c r="AQ300" t="s">
        <v>57</v>
      </c>
      <c r="AR300">
        <v>2100</v>
      </c>
      <c r="AS300" t="s">
        <v>75</v>
      </c>
      <c r="AT300" t="s">
        <v>58</v>
      </c>
    </row>
    <row r="301" ht="29" spans="1:46">
      <c r="A301" s="31" t="s">
        <v>73</v>
      </c>
      <c r="C301" t="s">
        <v>368</v>
      </c>
      <c r="D301" s="5" t="s">
        <v>57</v>
      </c>
      <c r="E301">
        <v>2035</v>
      </c>
      <c r="F301" s="6" t="str">
        <f t="shared" si="34"/>
        <v>*0.63</v>
      </c>
      <c r="H301" t="s">
        <v>368</v>
      </c>
      <c r="I301" s="5" t="s">
        <v>57</v>
      </c>
      <c r="J301">
        <v>2050</v>
      </c>
      <c r="K301" s="38" t="str">
        <f t="shared" si="35"/>
        <v>*0.54</v>
      </c>
      <c r="P301" s="32" t="s">
        <v>368</v>
      </c>
      <c r="Q301" s="42" t="s">
        <v>57</v>
      </c>
      <c r="R301" s="32">
        <v>2035</v>
      </c>
      <c r="S301" s="43" t="str">
        <f t="shared" si="36"/>
        <v>*0.62</v>
      </c>
      <c r="U301" s="32" t="s">
        <v>368</v>
      </c>
      <c r="V301" s="42" t="s">
        <v>57</v>
      </c>
      <c r="W301" s="32">
        <v>2050</v>
      </c>
      <c r="X301" s="43" t="str">
        <f t="shared" si="37"/>
        <v>*0.51</v>
      </c>
      <c r="AC301" s="33" t="s">
        <v>368</v>
      </c>
      <c r="AD301" s="44" t="s">
        <v>57</v>
      </c>
      <c r="AE301" s="33">
        <v>2035</v>
      </c>
      <c r="AF301" s="45" t="str">
        <f t="shared" si="38"/>
        <v>*0.58</v>
      </c>
      <c r="AG301" s="43" t="str">
        <f t="shared" si="40"/>
        <v>REZoning_Sol-Win</v>
      </c>
      <c r="AI301" s="33" t="s">
        <v>368</v>
      </c>
      <c r="AJ301" s="44" t="s">
        <v>57</v>
      </c>
      <c r="AK301" s="33">
        <v>2050</v>
      </c>
      <c r="AL301" s="45" t="str">
        <f t="shared" si="39"/>
        <v>*0.49</v>
      </c>
      <c r="AM301" s="43" t="str">
        <f t="shared" si="41"/>
        <v>REZoning_Sol-Win</v>
      </c>
      <c r="AP301" t="s">
        <v>368</v>
      </c>
      <c r="AQ301" t="s">
        <v>57</v>
      </c>
      <c r="AR301">
        <v>2100</v>
      </c>
      <c r="AS301" t="s">
        <v>75</v>
      </c>
      <c r="AT301" t="s">
        <v>58</v>
      </c>
    </row>
    <row r="302" ht="29" spans="1:46">
      <c r="A302" s="31" t="s">
        <v>73</v>
      </c>
      <c r="C302" t="s">
        <v>369</v>
      </c>
      <c r="D302" s="5" t="s">
        <v>57</v>
      </c>
      <c r="E302">
        <v>2035</v>
      </c>
      <c r="F302" s="6" t="str">
        <f t="shared" si="34"/>
        <v>*0.63</v>
      </c>
      <c r="H302" t="s">
        <v>369</v>
      </c>
      <c r="I302" s="5" t="s">
        <v>57</v>
      </c>
      <c r="J302">
        <v>2050</v>
      </c>
      <c r="K302" s="38" t="str">
        <f t="shared" si="35"/>
        <v>*0.54</v>
      </c>
      <c r="P302" s="32" t="s">
        <v>369</v>
      </c>
      <c r="Q302" s="42" t="s">
        <v>57</v>
      </c>
      <c r="R302" s="32">
        <v>2035</v>
      </c>
      <c r="S302" s="43" t="str">
        <f t="shared" si="36"/>
        <v>*0.62</v>
      </c>
      <c r="U302" s="32" t="s">
        <v>369</v>
      </c>
      <c r="V302" s="42" t="s">
        <v>57</v>
      </c>
      <c r="W302" s="32">
        <v>2050</v>
      </c>
      <c r="X302" s="43" t="str">
        <f t="shared" si="37"/>
        <v>*0.51</v>
      </c>
      <c r="AC302" s="33" t="s">
        <v>369</v>
      </c>
      <c r="AD302" s="44" t="s">
        <v>57</v>
      </c>
      <c r="AE302" s="33">
        <v>2035</v>
      </c>
      <c r="AF302" s="45" t="str">
        <f t="shared" si="38"/>
        <v>*0.58</v>
      </c>
      <c r="AG302" s="43" t="str">
        <f t="shared" si="40"/>
        <v>REZoning_Sol-Win</v>
      </c>
      <c r="AI302" s="33" t="s">
        <v>369</v>
      </c>
      <c r="AJ302" s="44" t="s">
        <v>57</v>
      </c>
      <c r="AK302" s="33">
        <v>2050</v>
      </c>
      <c r="AL302" s="45" t="str">
        <f t="shared" si="39"/>
        <v>*0.49</v>
      </c>
      <c r="AM302" s="43" t="str">
        <f t="shared" si="41"/>
        <v>REZoning_Sol-Win</v>
      </c>
      <c r="AP302" t="s">
        <v>369</v>
      </c>
      <c r="AQ302" t="s">
        <v>57</v>
      </c>
      <c r="AR302">
        <v>2100</v>
      </c>
      <c r="AS302" t="s">
        <v>75</v>
      </c>
      <c r="AT302" t="s">
        <v>58</v>
      </c>
    </row>
    <row r="303" ht="29" spans="1:46">
      <c r="A303" s="31" t="s">
        <v>95</v>
      </c>
      <c r="C303" t="s">
        <v>370</v>
      </c>
      <c r="D303" s="5" t="s">
        <v>57</v>
      </c>
      <c r="E303">
        <v>2035</v>
      </c>
      <c r="F303" s="6" t="str">
        <f t="shared" si="34"/>
        <v>*0.65</v>
      </c>
      <c r="H303" t="s">
        <v>370</v>
      </c>
      <c r="I303" s="5" t="s">
        <v>57</v>
      </c>
      <c r="J303">
        <v>2050</v>
      </c>
      <c r="K303" s="38" t="str">
        <f t="shared" si="35"/>
        <v>*0.54</v>
      </c>
      <c r="P303" s="32" t="s">
        <v>370</v>
      </c>
      <c r="Q303" s="42" t="s">
        <v>57</v>
      </c>
      <c r="R303" s="32">
        <v>2035</v>
      </c>
      <c r="S303" s="43" t="str">
        <f t="shared" si="36"/>
        <v>*0.63</v>
      </c>
      <c r="U303" s="32" t="s">
        <v>370</v>
      </c>
      <c r="V303" s="42" t="s">
        <v>57</v>
      </c>
      <c r="W303" s="32">
        <v>2050</v>
      </c>
      <c r="X303" s="43" t="str">
        <f t="shared" si="37"/>
        <v>*0.52</v>
      </c>
      <c r="AC303" s="33" t="s">
        <v>370</v>
      </c>
      <c r="AD303" s="44" t="s">
        <v>57</v>
      </c>
      <c r="AE303" s="33">
        <v>2035</v>
      </c>
      <c r="AF303" s="45" t="str">
        <f t="shared" si="38"/>
        <v>*0.55</v>
      </c>
      <c r="AG303" s="43" t="str">
        <f t="shared" si="40"/>
        <v>REZoning_Sol-Win</v>
      </c>
      <c r="AI303" s="33" t="s">
        <v>370</v>
      </c>
      <c r="AJ303" s="44" t="s">
        <v>57</v>
      </c>
      <c r="AK303" s="33">
        <v>2050</v>
      </c>
      <c r="AL303" s="45" t="str">
        <f t="shared" si="39"/>
        <v>*0.41</v>
      </c>
      <c r="AM303" s="43" t="str">
        <f t="shared" si="41"/>
        <v>REZoning_Sol-Win</v>
      </c>
      <c r="AP303" t="s">
        <v>370</v>
      </c>
      <c r="AQ303" t="s">
        <v>57</v>
      </c>
      <c r="AR303">
        <v>2100</v>
      </c>
      <c r="AS303" t="s">
        <v>67</v>
      </c>
      <c r="AT303" t="s">
        <v>58</v>
      </c>
    </row>
    <row r="304" ht="29" spans="1:46">
      <c r="A304" s="31" t="s">
        <v>95</v>
      </c>
      <c r="C304" t="s">
        <v>371</v>
      </c>
      <c r="D304" s="5" t="s">
        <v>57</v>
      </c>
      <c r="E304">
        <v>2035</v>
      </c>
      <c r="F304" s="6" t="str">
        <f t="shared" si="34"/>
        <v>*0.65</v>
      </c>
      <c r="H304" t="s">
        <v>371</v>
      </c>
      <c r="I304" s="5" t="s">
        <v>57</v>
      </c>
      <c r="J304">
        <v>2050</v>
      </c>
      <c r="K304" s="38" t="str">
        <f t="shared" si="35"/>
        <v>*0.54</v>
      </c>
      <c r="P304" s="32" t="s">
        <v>371</v>
      </c>
      <c r="Q304" s="42" t="s">
        <v>57</v>
      </c>
      <c r="R304" s="32">
        <v>2035</v>
      </c>
      <c r="S304" s="43" t="str">
        <f t="shared" si="36"/>
        <v>*0.63</v>
      </c>
      <c r="U304" s="32" t="s">
        <v>371</v>
      </c>
      <c r="V304" s="42" t="s">
        <v>57</v>
      </c>
      <c r="W304" s="32">
        <v>2050</v>
      </c>
      <c r="X304" s="43" t="str">
        <f t="shared" si="37"/>
        <v>*0.52</v>
      </c>
      <c r="AC304" s="33" t="s">
        <v>371</v>
      </c>
      <c r="AD304" s="44" t="s">
        <v>57</v>
      </c>
      <c r="AE304" s="33">
        <v>2035</v>
      </c>
      <c r="AF304" s="45" t="str">
        <f t="shared" si="38"/>
        <v>*0.55</v>
      </c>
      <c r="AG304" s="43" t="str">
        <f t="shared" si="40"/>
        <v>REZoning_Sol-Win</v>
      </c>
      <c r="AI304" s="33" t="s">
        <v>371</v>
      </c>
      <c r="AJ304" s="44" t="s">
        <v>57</v>
      </c>
      <c r="AK304" s="33">
        <v>2050</v>
      </c>
      <c r="AL304" s="45" t="str">
        <f t="shared" si="39"/>
        <v>*0.41</v>
      </c>
      <c r="AM304" s="43" t="str">
        <f t="shared" si="41"/>
        <v>REZoning_Sol-Win</v>
      </c>
      <c r="AP304" t="s">
        <v>371</v>
      </c>
      <c r="AQ304" t="s">
        <v>57</v>
      </c>
      <c r="AR304">
        <v>2100</v>
      </c>
      <c r="AS304" t="s">
        <v>67</v>
      </c>
      <c r="AT304" t="s">
        <v>58</v>
      </c>
    </row>
    <row r="305" ht="29" spans="1:46">
      <c r="A305" s="31" t="s">
        <v>95</v>
      </c>
      <c r="C305" t="s">
        <v>372</v>
      </c>
      <c r="D305" s="5" t="s">
        <v>57</v>
      </c>
      <c r="E305">
        <v>2035</v>
      </c>
      <c r="F305" s="6" t="str">
        <f t="shared" si="34"/>
        <v>*0.65</v>
      </c>
      <c r="H305" t="s">
        <v>372</v>
      </c>
      <c r="I305" s="5" t="s">
        <v>57</v>
      </c>
      <c r="J305">
        <v>2050</v>
      </c>
      <c r="K305" s="38" t="str">
        <f t="shared" si="35"/>
        <v>*0.54</v>
      </c>
      <c r="P305" s="32" t="s">
        <v>372</v>
      </c>
      <c r="Q305" s="42" t="s">
        <v>57</v>
      </c>
      <c r="R305" s="32">
        <v>2035</v>
      </c>
      <c r="S305" s="43" t="str">
        <f t="shared" si="36"/>
        <v>*0.63</v>
      </c>
      <c r="U305" s="32" t="s">
        <v>372</v>
      </c>
      <c r="V305" s="42" t="s">
        <v>57</v>
      </c>
      <c r="W305" s="32">
        <v>2050</v>
      </c>
      <c r="X305" s="43" t="str">
        <f t="shared" si="37"/>
        <v>*0.52</v>
      </c>
      <c r="AC305" s="33" t="s">
        <v>372</v>
      </c>
      <c r="AD305" s="44" t="s">
        <v>57</v>
      </c>
      <c r="AE305" s="33">
        <v>2035</v>
      </c>
      <c r="AF305" s="45" t="str">
        <f t="shared" si="38"/>
        <v>*0.55</v>
      </c>
      <c r="AG305" s="43" t="str">
        <f t="shared" si="40"/>
        <v>REZoning_Sol-Win</v>
      </c>
      <c r="AI305" s="33" t="s">
        <v>372</v>
      </c>
      <c r="AJ305" s="44" t="s">
        <v>57</v>
      </c>
      <c r="AK305" s="33">
        <v>2050</v>
      </c>
      <c r="AL305" s="45" t="str">
        <f t="shared" si="39"/>
        <v>*0.41</v>
      </c>
      <c r="AM305" s="43" t="str">
        <f t="shared" si="41"/>
        <v>REZoning_Sol-Win</v>
      </c>
      <c r="AP305" t="s">
        <v>372</v>
      </c>
      <c r="AQ305" t="s">
        <v>57</v>
      </c>
      <c r="AR305">
        <v>2100</v>
      </c>
      <c r="AS305" t="s">
        <v>67</v>
      </c>
      <c r="AT305" t="s">
        <v>58</v>
      </c>
    </row>
    <row r="306" ht="29" spans="1:46">
      <c r="A306" s="31" t="s">
        <v>95</v>
      </c>
      <c r="C306" t="s">
        <v>373</v>
      </c>
      <c r="D306" s="5" t="s">
        <v>57</v>
      </c>
      <c r="E306">
        <v>2035</v>
      </c>
      <c r="F306" s="6" t="str">
        <f t="shared" si="34"/>
        <v>*0.65</v>
      </c>
      <c r="H306" t="s">
        <v>373</v>
      </c>
      <c r="I306" s="5" t="s">
        <v>57</v>
      </c>
      <c r="J306">
        <v>2050</v>
      </c>
      <c r="K306" s="38" t="str">
        <f t="shared" si="35"/>
        <v>*0.54</v>
      </c>
      <c r="P306" s="32" t="s">
        <v>373</v>
      </c>
      <c r="Q306" s="42" t="s">
        <v>57</v>
      </c>
      <c r="R306" s="32">
        <v>2035</v>
      </c>
      <c r="S306" s="43" t="str">
        <f t="shared" si="36"/>
        <v>*0.63</v>
      </c>
      <c r="U306" s="32" t="s">
        <v>373</v>
      </c>
      <c r="V306" s="42" t="s">
        <v>57</v>
      </c>
      <c r="W306" s="32">
        <v>2050</v>
      </c>
      <c r="X306" s="43" t="str">
        <f t="shared" si="37"/>
        <v>*0.52</v>
      </c>
      <c r="AC306" s="33" t="s">
        <v>373</v>
      </c>
      <c r="AD306" s="44" t="s">
        <v>57</v>
      </c>
      <c r="AE306" s="33">
        <v>2035</v>
      </c>
      <c r="AF306" s="45" t="str">
        <f t="shared" si="38"/>
        <v>*0.55</v>
      </c>
      <c r="AG306" s="43" t="str">
        <f t="shared" si="40"/>
        <v>REZoning_Sol-Win</v>
      </c>
      <c r="AI306" s="33" t="s">
        <v>373</v>
      </c>
      <c r="AJ306" s="44" t="s">
        <v>57</v>
      </c>
      <c r="AK306" s="33">
        <v>2050</v>
      </c>
      <c r="AL306" s="45" t="str">
        <f t="shared" si="39"/>
        <v>*0.41</v>
      </c>
      <c r="AM306" s="43" t="str">
        <f t="shared" si="41"/>
        <v>REZoning_Sol-Win</v>
      </c>
      <c r="AP306" t="s">
        <v>373</v>
      </c>
      <c r="AQ306" t="s">
        <v>57</v>
      </c>
      <c r="AR306">
        <v>2100</v>
      </c>
      <c r="AS306" t="s">
        <v>67</v>
      </c>
      <c r="AT306" t="s">
        <v>58</v>
      </c>
    </row>
    <row r="307" ht="29" spans="1:46">
      <c r="A307" s="31" t="s">
        <v>95</v>
      </c>
      <c r="C307" t="s">
        <v>374</v>
      </c>
      <c r="D307" s="5" t="s">
        <v>57</v>
      </c>
      <c r="E307">
        <v>2035</v>
      </c>
      <c r="F307" s="6" t="str">
        <f t="shared" si="34"/>
        <v>*0.65</v>
      </c>
      <c r="H307" t="s">
        <v>374</v>
      </c>
      <c r="I307" s="5" t="s">
        <v>57</v>
      </c>
      <c r="J307">
        <v>2050</v>
      </c>
      <c r="K307" s="38" t="str">
        <f t="shared" si="35"/>
        <v>*0.54</v>
      </c>
      <c r="P307" s="32" t="s">
        <v>374</v>
      </c>
      <c r="Q307" s="42" t="s">
        <v>57</v>
      </c>
      <c r="R307" s="32">
        <v>2035</v>
      </c>
      <c r="S307" s="43" t="str">
        <f t="shared" si="36"/>
        <v>*0.63</v>
      </c>
      <c r="U307" s="32" t="s">
        <v>374</v>
      </c>
      <c r="V307" s="42" t="s">
        <v>57</v>
      </c>
      <c r="W307" s="32">
        <v>2050</v>
      </c>
      <c r="X307" s="43" t="str">
        <f t="shared" si="37"/>
        <v>*0.52</v>
      </c>
      <c r="AC307" s="33" t="s">
        <v>374</v>
      </c>
      <c r="AD307" s="44" t="s">
        <v>57</v>
      </c>
      <c r="AE307" s="33">
        <v>2035</v>
      </c>
      <c r="AF307" s="45" t="str">
        <f t="shared" si="38"/>
        <v>*0.55</v>
      </c>
      <c r="AG307" s="43" t="str">
        <f t="shared" si="40"/>
        <v>REZoning_Sol-Win</v>
      </c>
      <c r="AI307" s="33" t="s">
        <v>374</v>
      </c>
      <c r="AJ307" s="44" t="s">
        <v>57</v>
      </c>
      <c r="AK307" s="33">
        <v>2050</v>
      </c>
      <c r="AL307" s="45" t="str">
        <f t="shared" si="39"/>
        <v>*0.41</v>
      </c>
      <c r="AM307" s="43" t="str">
        <f t="shared" si="41"/>
        <v>REZoning_Sol-Win</v>
      </c>
      <c r="AP307" t="s">
        <v>374</v>
      </c>
      <c r="AQ307" t="s">
        <v>57</v>
      </c>
      <c r="AR307">
        <v>2100</v>
      </c>
      <c r="AS307" t="s">
        <v>67</v>
      </c>
      <c r="AT307" t="s">
        <v>58</v>
      </c>
    </row>
    <row r="308" ht="29" spans="1:46">
      <c r="A308" s="31" t="s">
        <v>65</v>
      </c>
      <c r="C308" t="s">
        <v>375</v>
      </c>
      <c r="D308" s="5" t="s">
        <v>57</v>
      </c>
      <c r="E308">
        <v>2035</v>
      </c>
      <c r="F308" s="6" t="str">
        <f t="shared" si="34"/>
        <v>*0.61</v>
      </c>
      <c r="H308" t="s">
        <v>375</v>
      </c>
      <c r="I308" s="5" t="s">
        <v>57</v>
      </c>
      <c r="J308">
        <v>2050</v>
      </c>
      <c r="K308" s="38" t="str">
        <f t="shared" si="35"/>
        <v>*0.5</v>
      </c>
      <c r="P308" s="32" t="s">
        <v>375</v>
      </c>
      <c r="Q308" s="42" t="s">
        <v>57</v>
      </c>
      <c r="R308" s="32">
        <v>2035</v>
      </c>
      <c r="S308" s="43" t="str">
        <f t="shared" si="36"/>
        <v>*0.58</v>
      </c>
      <c r="U308" s="32" t="s">
        <v>375</v>
      </c>
      <c r="V308" s="42" t="s">
        <v>57</v>
      </c>
      <c r="W308" s="32">
        <v>2050</v>
      </c>
      <c r="X308" s="43" t="str">
        <f t="shared" si="37"/>
        <v>*0.47</v>
      </c>
      <c r="AC308" s="33" t="s">
        <v>375</v>
      </c>
      <c r="AD308" s="44" t="s">
        <v>57</v>
      </c>
      <c r="AE308" s="33">
        <v>2035</v>
      </c>
      <c r="AF308" s="45" t="str">
        <f t="shared" si="38"/>
        <v>*0.53</v>
      </c>
      <c r="AG308" s="43" t="str">
        <f t="shared" si="40"/>
        <v>REZoning_Sol-Win</v>
      </c>
      <c r="AI308" s="33" t="s">
        <v>375</v>
      </c>
      <c r="AJ308" s="44" t="s">
        <v>57</v>
      </c>
      <c r="AK308" s="33">
        <v>2050</v>
      </c>
      <c r="AL308" s="45" t="str">
        <f t="shared" si="39"/>
        <v>*0.41</v>
      </c>
      <c r="AM308" s="43" t="str">
        <f t="shared" si="41"/>
        <v>REZoning_Sol-Win</v>
      </c>
      <c r="AP308" t="s">
        <v>375</v>
      </c>
      <c r="AQ308" t="s">
        <v>57</v>
      </c>
      <c r="AR308">
        <v>2100</v>
      </c>
      <c r="AS308" t="s">
        <v>67</v>
      </c>
      <c r="AT308" t="s">
        <v>58</v>
      </c>
    </row>
    <row r="309" ht="29" spans="1:46">
      <c r="A309" s="31" t="s">
        <v>65</v>
      </c>
      <c r="C309" t="s">
        <v>376</v>
      </c>
      <c r="D309" s="5" t="s">
        <v>57</v>
      </c>
      <c r="E309">
        <v>2035</v>
      </c>
      <c r="F309" s="6" t="str">
        <f t="shared" si="34"/>
        <v>*0.61</v>
      </c>
      <c r="H309" t="s">
        <v>376</v>
      </c>
      <c r="I309" s="5" t="s">
        <v>57</v>
      </c>
      <c r="J309">
        <v>2050</v>
      </c>
      <c r="K309" s="38" t="str">
        <f t="shared" si="35"/>
        <v>*0.5</v>
      </c>
      <c r="P309" s="32" t="s">
        <v>376</v>
      </c>
      <c r="Q309" s="42" t="s">
        <v>57</v>
      </c>
      <c r="R309" s="32">
        <v>2035</v>
      </c>
      <c r="S309" s="43" t="str">
        <f t="shared" si="36"/>
        <v>*0.58</v>
      </c>
      <c r="U309" s="32" t="s">
        <v>376</v>
      </c>
      <c r="V309" s="42" t="s">
        <v>57</v>
      </c>
      <c r="W309" s="32">
        <v>2050</v>
      </c>
      <c r="X309" s="43" t="str">
        <f t="shared" si="37"/>
        <v>*0.47</v>
      </c>
      <c r="AC309" s="33" t="s">
        <v>376</v>
      </c>
      <c r="AD309" s="44" t="s">
        <v>57</v>
      </c>
      <c r="AE309" s="33">
        <v>2035</v>
      </c>
      <c r="AF309" s="45" t="str">
        <f t="shared" si="38"/>
        <v>*0.53</v>
      </c>
      <c r="AG309" s="43" t="str">
        <f t="shared" si="40"/>
        <v>REZoning_Sol-Win</v>
      </c>
      <c r="AI309" s="33" t="s">
        <v>376</v>
      </c>
      <c r="AJ309" s="44" t="s">
        <v>57</v>
      </c>
      <c r="AK309" s="33">
        <v>2050</v>
      </c>
      <c r="AL309" s="45" t="str">
        <f t="shared" si="39"/>
        <v>*0.41</v>
      </c>
      <c r="AM309" s="43" t="str">
        <f t="shared" si="41"/>
        <v>REZoning_Sol-Win</v>
      </c>
      <c r="AP309" t="s">
        <v>376</v>
      </c>
      <c r="AQ309" t="s">
        <v>57</v>
      </c>
      <c r="AR309">
        <v>2100</v>
      </c>
      <c r="AS309" t="s">
        <v>67</v>
      </c>
      <c r="AT309" t="s">
        <v>58</v>
      </c>
    </row>
    <row r="310" ht="29" spans="1:46">
      <c r="A310" s="31" t="s">
        <v>65</v>
      </c>
      <c r="C310" t="s">
        <v>377</v>
      </c>
      <c r="D310" s="5" t="s">
        <v>57</v>
      </c>
      <c r="E310">
        <v>2035</v>
      </c>
      <c r="F310" s="6" t="str">
        <f t="shared" si="34"/>
        <v>*0.61</v>
      </c>
      <c r="H310" t="s">
        <v>377</v>
      </c>
      <c r="I310" s="5" t="s">
        <v>57</v>
      </c>
      <c r="J310">
        <v>2050</v>
      </c>
      <c r="K310" s="38" t="str">
        <f t="shared" si="35"/>
        <v>*0.5</v>
      </c>
      <c r="P310" s="32" t="s">
        <v>377</v>
      </c>
      <c r="Q310" s="42" t="s">
        <v>57</v>
      </c>
      <c r="R310" s="32">
        <v>2035</v>
      </c>
      <c r="S310" s="43" t="str">
        <f t="shared" si="36"/>
        <v>*0.58</v>
      </c>
      <c r="U310" s="32" t="s">
        <v>377</v>
      </c>
      <c r="V310" s="42" t="s">
        <v>57</v>
      </c>
      <c r="W310" s="32">
        <v>2050</v>
      </c>
      <c r="X310" s="43" t="str">
        <f t="shared" si="37"/>
        <v>*0.47</v>
      </c>
      <c r="AC310" s="33" t="s">
        <v>377</v>
      </c>
      <c r="AD310" s="44" t="s">
        <v>57</v>
      </c>
      <c r="AE310" s="33">
        <v>2035</v>
      </c>
      <c r="AF310" s="45" t="str">
        <f t="shared" si="38"/>
        <v>*0.53</v>
      </c>
      <c r="AG310" s="43" t="str">
        <f t="shared" si="40"/>
        <v>REZoning_Sol-Win</v>
      </c>
      <c r="AI310" s="33" t="s">
        <v>377</v>
      </c>
      <c r="AJ310" s="44" t="s">
        <v>57</v>
      </c>
      <c r="AK310" s="33">
        <v>2050</v>
      </c>
      <c r="AL310" s="45" t="str">
        <f t="shared" si="39"/>
        <v>*0.41</v>
      </c>
      <c r="AM310" s="43" t="str">
        <f t="shared" si="41"/>
        <v>REZoning_Sol-Win</v>
      </c>
      <c r="AP310" t="s">
        <v>377</v>
      </c>
      <c r="AQ310" t="s">
        <v>57</v>
      </c>
      <c r="AR310">
        <v>2100</v>
      </c>
      <c r="AS310" t="s">
        <v>67</v>
      </c>
      <c r="AT310" t="s">
        <v>58</v>
      </c>
    </row>
    <row r="311" ht="29" spans="1:46">
      <c r="A311" s="31" t="s">
        <v>65</v>
      </c>
      <c r="C311" t="s">
        <v>378</v>
      </c>
      <c r="D311" s="5" t="s">
        <v>57</v>
      </c>
      <c r="E311">
        <v>2035</v>
      </c>
      <c r="F311" s="6" t="str">
        <f t="shared" si="34"/>
        <v>*0.61</v>
      </c>
      <c r="H311" t="s">
        <v>378</v>
      </c>
      <c r="I311" s="5" t="s">
        <v>57</v>
      </c>
      <c r="J311">
        <v>2050</v>
      </c>
      <c r="K311" s="38" t="str">
        <f t="shared" si="35"/>
        <v>*0.5</v>
      </c>
      <c r="P311" s="32" t="s">
        <v>378</v>
      </c>
      <c r="Q311" s="42" t="s">
        <v>57</v>
      </c>
      <c r="R311" s="32">
        <v>2035</v>
      </c>
      <c r="S311" s="43" t="str">
        <f t="shared" si="36"/>
        <v>*0.58</v>
      </c>
      <c r="U311" s="32" t="s">
        <v>378</v>
      </c>
      <c r="V311" s="42" t="s">
        <v>57</v>
      </c>
      <c r="W311" s="32">
        <v>2050</v>
      </c>
      <c r="X311" s="43" t="str">
        <f t="shared" si="37"/>
        <v>*0.47</v>
      </c>
      <c r="AC311" s="33" t="s">
        <v>378</v>
      </c>
      <c r="AD311" s="44" t="s">
        <v>57</v>
      </c>
      <c r="AE311" s="33">
        <v>2035</v>
      </c>
      <c r="AF311" s="45" t="str">
        <f t="shared" si="38"/>
        <v>*0.53</v>
      </c>
      <c r="AG311" s="43" t="str">
        <f t="shared" si="40"/>
        <v>REZoning_Sol-Win</v>
      </c>
      <c r="AI311" s="33" t="s">
        <v>378</v>
      </c>
      <c r="AJ311" s="44" t="s">
        <v>57</v>
      </c>
      <c r="AK311" s="33">
        <v>2050</v>
      </c>
      <c r="AL311" s="45" t="str">
        <f t="shared" si="39"/>
        <v>*0.41</v>
      </c>
      <c r="AM311" s="43" t="str">
        <f t="shared" si="41"/>
        <v>REZoning_Sol-Win</v>
      </c>
      <c r="AP311" t="s">
        <v>378</v>
      </c>
      <c r="AQ311" t="s">
        <v>57</v>
      </c>
      <c r="AR311">
        <v>2100</v>
      </c>
      <c r="AS311" t="s">
        <v>67</v>
      </c>
      <c r="AT311" t="s">
        <v>58</v>
      </c>
    </row>
    <row r="312" ht="29" spans="1:46">
      <c r="A312" s="31" t="s">
        <v>65</v>
      </c>
      <c r="C312" t="s">
        <v>379</v>
      </c>
      <c r="D312" s="5" t="s">
        <v>57</v>
      </c>
      <c r="E312">
        <v>2035</v>
      </c>
      <c r="F312" s="6" t="str">
        <f t="shared" si="34"/>
        <v>*0.61</v>
      </c>
      <c r="H312" t="s">
        <v>379</v>
      </c>
      <c r="I312" s="5" t="s">
        <v>57</v>
      </c>
      <c r="J312">
        <v>2050</v>
      </c>
      <c r="K312" s="38" t="str">
        <f t="shared" si="35"/>
        <v>*0.5</v>
      </c>
      <c r="P312" s="32" t="s">
        <v>379</v>
      </c>
      <c r="Q312" s="42" t="s">
        <v>57</v>
      </c>
      <c r="R312" s="32">
        <v>2035</v>
      </c>
      <c r="S312" s="43" t="str">
        <f t="shared" si="36"/>
        <v>*0.58</v>
      </c>
      <c r="U312" s="32" t="s">
        <v>379</v>
      </c>
      <c r="V312" s="42" t="s">
        <v>57</v>
      </c>
      <c r="W312" s="32">
        <v>2050</v>
      </c>
      <c r="X312" s="43" t="str">
        <f t="shared" si="37"/>
        <v>*0.47</v>
      </c>
      <c r="AC312" s="33" t="s">
        <v>379</v>
      </c>
      <c r="AD312" s="44" t="s">
        <v>57</v>
      </c>
      <c r="AE312" s="33">
        <v>2035</v>
      </c>
      <c r="AF312" s="45" t="str">
        <f t="shared" si="38"/>
        <v>*0.53</v>
      </c>
      <c r="AG312" s="43" t="str">
        <f t="shared" si="40"/>
        <v>REZoning_Sol-Win</v>
      </c>
      <c r="AI312" s="33" t="s">
        <v>379</v>
      </c>
      <c r="AJ312" s="44" t="s">
        <v>57</v>
      </c>
      <c r="AK312" s="33">
        <v>2050</v>
      </c>
      <c r="AL312" s="45" t="str">
        <f t="shared" si="39"/>
        <v>*0.41</v>
      </c>
      <c r="AM312" s="43" t="str">
        <f t="shared" si="41"/>
        <v>REZoning_Sol-Win</v>
      </c>
      <c r="AP312" t="s">
        <v>379</v>
      </c>
      <c r="AQ312" t="s">
        <v>57</v>
      </c>
      <c r="AR312">
        <v>2100</v>
      </c>
      <c r="AS312" t="s">
        <v>67</v>
      </c>
      <c r="AT312" t="s">
        <v>58</v>
      </c>
    </row>
    <row r="313" ht="29" spans="1:46">
      <c r="A313" s="31" t="s">
        <v>65</v>
      </c>
      <c r="C313" t="s">
        <v>380</v>
      </c>
      <c r="D313" s="5" t="s">
        <v>57</v>
      </c>
      <c r="E313">
        <v>2035</v>
      </c>
      <c r="F313" s="6" t="str">
        <f t="shared" si="34"/>
        <v>*0.61</v>
      </c>
      <c r="H313" t="s">
        <v>380</v>
      </c>
      <c r="I313" s="5" t="s">
        <v>57</v>
      </c>
      <c r="J313">
        <v>2050</v>
      </c>
      <c r="K313" s="38" t="str">
        <f t="shared" si="35"/>
        <v>*0.5</v>
      </c>
      <c r="P313" s="32" t="s">
        <v>380</v>
      </c>
      <c r="Q313" s="42" t="s">
        <v>57</v>
      </c>
      <c r="R313" s="32">
        <v>2035</v>
      </c>
      <c r="S313" s="43" t="str">
        <f t="shared" si="36"/>
        <v>*0.58</v>
      </c>
      <c r="U313" s="32" t="s">
        <v>380</v>
      </c>
      <c r="V313" s="42" t="s">
        <v>57</v>
      </c>
      <c r="W313" s="32">
        <v>2050</v>
      </c>
      <c r="X313" s="43" t="str">
        <f t="shared" si="37"/>
        <v>*0.47</v>
      </c>
      <c r="AC313" s="33" t="s">
        <v>380</v>
      </c>
      <c r="AD313" s="44" t="s">
        <v>57</v>
      </c>
      <c r="AE313" s="33">
        <v>2035</v>
      </c>
      <c r="AF313" s="45" t="str">
        <f t="shared" si="38"/>
        <v>*0.53</v>
      </c>
      <c r="AG313" s="43" t="str">
        <f t="shared" si="40"/>
        <v>REZoning_Sol-Win</v>
      </c>
      <c r="AI313" s="33" t="s">
        <v>380</v>
      </c>
      <c r="AJ313" s="44" t="s">
        <v>57</v>
      </c>
      <c r="AK313" s="33">
        <v>2050</v>
      </c>
      <c r="AL313" s="45" t="str">
        <f t="shared" si="39"/>
        <v>*0.41</v>
      </c>
      <c r="AM313" s="43" t="str">
        <f t="shared" si="41"/>
        <v>REZoning_Sol-Win</v>
      </c>
      <c r="AP313" t="s">
        <v>380</v>
      </c>
      <c r="AQ313" t="s">
        <v>57</v>
      </c>
      <c r="AR313">
        <v>2100</v>
      </c>
      <c r="AS313" t="s">
        <v>67</v>
      </c>
      <c r="AT313" t="s">
        <v>58</v>
      </c>
    </row>
    <row r="314" ht="29" spans="1:46">
      <c r="A314" s="31" t="s">
        <v>65</v>
      </c>
      <c r="C314" t="s">
        <v>381</v>
      </c>
      <c r="D314" s="5" t="s">
        <v>57</v>
      </c>
      <c r="E314">
        <v>2035</v>
      </c>
      <c r="F314" s="6" t="str">
        <f t="shared" si="34"/>
        <v>*0.61</v>
      </c>
      <c r="H314" t="s">
        <v>381</v>
      </c>
      <c r="I314" s="5" t="s">
        <v>57</v>
      </c>
      <c r="J314">
        <v>2050</v>
      </c>
      <c r="K314" s="38" t="str">
        <f t="shared" si="35"/>
        <v>*0.5</v>
      </c>
      <c r="P314" s="32" t="s">
        <v>381</v>
      </c>
      <c r="Q314" s="42" t="s">
        <v>57</v>
      </c>
      <c r="R314" s="32">
        <v>2035</v>
      </c>
      <c r="S314" s="43" t="str">
        <f t="shared" si="36"/>
        <v>*0.58</v>
      </c>
      <c r="U314" s="32" t="s">
        <v>381</v>
      </c>
      <c r="V314" s="42" t="s">
        <v>57</v>
      </c>
      <c r="W314" s="32">
        <v>2050</v>
      </c>
      <c r="X314" s="43" t="str">
        <f t="shared" si="37"/>
        <v>*0.47</v>
      </c>
      <c r="AC314" s="33" t="s">
        <v>381</v>
      </c>
      <c r="AD314" s="44" t="s">
        <v>57</v>
      </c>
      <c r="AE314" s="33">
        <v>2035</v>
      </c>
      <c r="AF314" s="45" t="str">
        <f t="shared" si="38"/>
        <v>*0.53</v>
      </c>
      <c r="AG314" s="43" t="str">
        <f t="shared" si="40"/>
        <v>REZoning_Sol-Win</v>
      </c>
      <c r="AI314" s="33" t="s">
        <v>381</v>
      </c>
      <c r="AJ314" s="44" t="s">
        <v>57</v>
      </c>
      <c r="AK314" s="33">
        <v>2050</v>
      </c>
      <c r="AL314" s="45" t="str">
        <f t="shared" si="39"/>
        <v>*0.41</v>
      </c>
      <c r="AM314" s="43" t="str">
        <f t="shared" si="41"/>
        <v>REZoning_Sol-Win</v>
      </c>
      <c r="AP314" t="s">
        <v>381</v>
      </c>
      <c r="AQ314" t="s">
        <v>57</v>
      </c>
      <c r="AR314">
        <v>2100</v>
      </c>
      <c r="AS314" t="s">
        <v>67</v>
      </c>
      <c r="AT314" t="s">
        <v>58</v>
      </c>
    </row>
    <row r="315" ht="29" spans="1:46">
      <c r="A315" s="31" t="s">
        <v>65</v>
      </c>
      <c r="C315" t="s">
        <v>382</v>
      </c>
      <c r="D315" s="5" t="s">
        <v>57</v>
      </c>
      <c r="E315">
        <v>2035</v>
      </c>
      <c r="F315" s="6" t="str">
        <f t="shared" si="34"/>
        <v>*0.61</v>
      </c>
      <c r="H315" t="s">
        <v>382</v>
      </c>
      <c r="I315" s="5" t="s">
        <v>57</v>
      </c>
      <c r="J315">
        <v>2050</v>
      </c>
      <c r="K315" s="38" t="str">
        <f t="shared" si="35"/>
        <v>*0.5</v>
      </c>
      <c r="P315" s="32" t="s">
        <v>382</v>
      </c>
      <c r="Q315" s="42" t="s">
        <v>57</v>
      </c>
      <c r="R315" s="32">
        <v>2035</v>
      </c>
      <c r="S315" s="43" t="str">
        <f t="shared" si="36"/>
        <v>*0.58</v>
      </c>
      <c r="U315" s="32" t="s">
        <v>382</v>
      </c>
      <c r="V315" s="42" t="s">
        <v>57</v>
      </c>
      <c r="W315" s="32">
        <v>2050</v>
      </c>
      <c r="X315" s="43" t="str">
        <f t="shared" si="37"/>
        <v>*0.47</v>
      </c>
      <c r="AC315" s="33" t="s">
        <v>382</v>
      </c>
      <c r="AD315" s="44" t="s">
        <v>57</v>
      </c>
      <c r="AE315" s="33">
        <v>2035</v>
      </c>
      <c r="AF315" s="45" t="str">
        <f t="shared" si="38"/>
        <v>*0.53</v>
      </c>
      <c r="AG315" s="43" t="str">
        <f t="shared" si="40"/>
        <v>REZoning_Sol-Win</v>
      </c>
      <c r="AI315" s="33" t="s">
        <v>382</v>
      </c>
      <c r="AJ315" s="44" t="s">
        <v>57</v>
      </c>
      <c r="AK315" s="33">
        <v>2050</v>
      </c>
      <c r="AL315" s="45" t="str">
        <f t="shared" si="39"/>
        <v>*0.41</v>
      </c>
      <c r="AM315" s="43" t="str">
        <f t="shared" si="41"/>
        <v>REZoning_Sol-Win</v>
      </c>
      <c r="AP315" t="s">
        <v>382</v>
      </c>
      <c r="AQ315" t="s">
        <v>57</v>
      </c>
      <c r="AR315">
        <v>2100</v>
      </c>
      <c r="AS315" t="s">
        <v>67</v>
      </c>
      <c r="AT315" t="s">
        <v>58</v>
      </c>
    </row>
    <row r="316" ht="29" spans="1:46">
      <c r="A316" s="31" t="s">
        <v>65</v>
      </c>
      <c r="C316" t="s">
        <v>383</v>
      </c>
      <c r="D316" s="5" t="s">
        <v>57</v>
      </c>
      <c r="E316">
        <v>2035</v>
      </c>
      <c r="F316" s="6" t="str">
        <f t="shared" si="34"/>
        <v>*0.61</v>
      </c>
      <c r="H316" t="s">
        <v>383</v>
      </c>
      <c r="I316" s="5" t="s">
        <v>57</v>
      </c>
      <c r="J316">
        <v>2050</v>
      </c>
      <c r="K316" s="38" t="str">
        <f t="shared" si="35"/>
        <v>*0.5</v>
      </c>
      <c r="P316" s="32" t="s">
        <v>383</v>
      </c>
      <c r="Q316" s="42" t="s">
        <v>57</v>
      </c>
      <c r="R316" s="32">
        <v>2035</v>
      </c>
      <c r="S316" s="43" t="str">
        <f t="shared" si="36"/>
        <v>*0.58</v>
      </c>
      <c r="U316" s="32" t="s">
        <v>383</v>
      </c>
      <c r="V316" s="42" t="s">
        <v>57</v>
      </c>
      <c r="W316" s="32">
        <v>2050</v>
      </c>
      <c r="X316" s="43" t="str">
        <f t="shared" si="37"/>
        <v>*0.47</v>
      </c>
      <c r="AC316" s="33" t="s">
        <v>383</v>
      </c>
      <c r="AD316" s="44" t="s">
        <v>57</v>
      </c>
      <c r="AE316" s="33">
        <v>2035</v>
      </c>
      <c r="AF316" s="45" t="str">
        <f t="shared" si="38"/>
        <v>*0.53</v>
      </c>
      <c r="AG316" s="43" t="str">
        <f t="shared" si="40"/>
        <v>REZoning_Sol-Win</v>
      </c>
      <c r="AI316" s="33" t="s">
        <v>383</v>
      </c>
      <c r="AJ316" s="44" t="s">
        <v>57</v>
      </c>
      <c r="AK316" s="33">
        <v>2050</v>
      </c>
      <c r="AL316" s="45" t="str">
        <f t="shared" si="39"/>
        <v>*0.41</v>
      </c>
      <c r="AM316" s="43" t="str">
        <f t="shared" si="41"/>
        <v>REZoning_Sol-Win</v>
      </c>
      <c r="AP316" t="s">
        <v>383</v>
      </c>
      <c r="AQ316" t="s">
        <v>57</v>
      </c>
      <c r="AR316">
        <v>2100</v>
      </c>
      <c r="AS316" t="s">
        <v>67</v>
      </c>
      <c r="AT316" t="s">
        <v>58</v>
      </c>
    </row>
    <row r="317" ht="29" spans="1:46">
      <c r="A317" s="31" t="s">
        <v>65</v>
      </c>
      <c r="C317" t="s">
        <v>384</v>
      </c>
      <c r="D317" s="5" t="s">
        <v>57</v>
      </c>
      <c r="E317">
        <v>2035</v>
      </c>
      <c r="F317" s="6" t="str">
        <f t="shared" si="34"/>
        <v>*0.61</v>
      </c>
      <c r="H317" t="s">
        <v>384</v>
      </c>
      <c r="I317" s="5" t="s">
        <v>57</v>
      </c>
      <c r="J317">
        <v>2050</v>
      </c>
      <c r="K317" s="38" t="str">
        <f t="shared" si="35"/>
        <v>*0.5</v>
      </c>
      <c r="P317" s="32" t="s">
        <v>384</v>
      </c>
      <c r="Q317" s="42" t="s">
        <v>57</v>
      </c>
      <c r="R317" s="32">
        <v>2035</v>
      </c>
      <c r="S317" s="43" t="str">
        <f t="shared" si="36"/>
        <v>*0.58</v>
      </c>
      <c r="U317" s="32" t="s">
        <v>384</v>
      </c>
      <c r="V317" s="42" t="s">
        <v>57</v>
      </c>
      <c r="W317" s="32">
        <v>2050</v>
      </c>
      <c r="X317" s="43" t="str">
        <f t="shared" si="37"/>
        <v>*0.47</v>
      </c>
      <c r="AC317" s="33" t="s">
        <v>384</v>
      </c>
      <c r="AD317" s="44" t="s">
        <v>57</v>
      </c>
      <c r="AE317" s="33">
        <v>2035</v>
      </c>
      <c r="AF317" s="45" t="str">
        <f t="shared" si="38"/>
        <v>*0.53</v>
      </c>
      <c r="AG317" s="43" t="str">
        <f t="shared" si="40"/>
        <v>REZoning_Sol-Win</v>
      </c>
      <c r="AI317" s="33" t="s">
        <v>384</v>
      </c>
      <c r="AJ317" s="44" t="s">
        <v>57</v>
      </c>
      <c r="AK317" s="33">
        <v>2050</v>
      </c>
      <c r="AL317" s="45" t="str">
        <f t="shared" si="39"/>
        <v>*0.41</v>
      </c>
      <c r="AM317" s="43" t="str">
        <f t="shared" si="41"/>
        <v>REZoning_Sol-Win</v>
      </c>
      <c r="AP317" t="s">
        <v>384</v>
      </c>
      <c r="AQ317" t="s">
        <v>57</v>
      </c>
      <c r="AR317">
        <v>2100</v>
      </c>
      <c r="AS317" t="s">
        <v>67</v>
      </c>
      <c r="AT317" t="s">
        <v>58</v>
      </c>
    </row>
    <row r="318" ht="29" spans="1:46">
      <c r="A318" s="31" t="s">
        <v>65</v>
      </c>
      <c r="C318" t="s">
        <v>385</v>
      </c>
      <c r="D318" s="5" t="s">
        <v>57</v>
      </c>
      <c r="E318">
        <v>2035</v>
      </c>
      <c r="F318" s="6" t="str">
        <f t="shared" si="34"/>
        <v>*0.61</v>
      </c>
      <c r="H318" t="s">
        <v>385</v>
      </c>
      <c r="I318" s="5" t="s">
        <v>57</v>
      </c>
      <c r="J318">
        <v>2050</v>
      </c>
      <c r="K318" s="38" t="str">
        <f t="shared" si="35"/>
        <v>*0.5</v>
      </c>
      <c r="P318" s="32" t="s">
        <v>385</v>
      </c>
      <c r="Q318" s="42" t="s">
        <v>57</v>
      </c>
      <c r="R318" s="32">
        <v>2035</v>
      </c>
      <c r="S318" s="43" t="str">
        <f t="shared" si="36"/>
        <v>*0.58</v>
      </c>
      <c r="U318" s="32" t="s">
        <v>385</v>
      </c>
      <c r="V318" s="42" t="s">
        <v>57</v>
      </c>
      <c r="W318" s="32">
        <v>2050</v>
      </c>
      <c r="X318" s="43" t="str">
        <f t="shared" si="37"/>
        <v>*0.47</v>
      </c>
      <c r="AC318" s="33" t="s">
        <v>385</v>
      </c>
      <c r="AD318" s="44" t="s">
        <v>57</v>
      </c>
      <c r="AE318" s="33">
        <v>2035</v>
      </c>
      <c r="AF318" s="45" t="str">
        <f t="shared" si="38"/>
        <v>*0.53</v>
      </c>
      <c r="AG318" s="43" t="str">
        <f t="shared" si="40"/>
        <v>REZoning_Sol-Win</v>
      </c>
      <c r="AI318" s="33" t="s">
        <v>385</v>
      </c>
      <c r="AJ318" s="44" t="s">
        <v>57</v>
      </c>
      <c r="AK318" s="33">
        <v>2050</v>
      </c>
      <c r="AL318" s="45" t="str">
        <f t="shared" si="39"/>
        <v>*0.41</v>
      </c>
      <c r="AM318" s="43" t="str">
        <f t="shared" si="41"/>
        <v>REZoning_Sol-Win</v>
      </c>
      <c r="AP318" t="s">
        <v>385</v>
      </c>
      <c r="AQ318" t="s">
        <v>57</v>
      </c>
      <c r="AR318">
        <v>2100</v>
      </c>
      <c r="AS318" t="s">
        <v>67</v>
      </c>
      <c r="AT318" t="s">
        <v>58</v>
      </c>
    </row>
    <row r="319" ht="29" spans="1:46">
      <c r="A319" s="31" t="s">
        <v>65</v>
      </c>
      <c r="C319" t="s">
        <v>386</v>
      </c>
      <c r="D319" s="5" t="s">
        <v>57</v>
      </c>
      <c r="E319">
        <v>2035</v>
      </c>
      <c r="F319" s="6" t="str">
        <f t="shared" si="34"/>
        <v>*0.61</v>
      </c>
      <c r="H319" t="s">
        <v>386</v>
      </c>
      <c r="I319" s="5" t="s">
        <v>57</v>
      </c>
      <c r="J319">
        <v>2050</v>
      </c>
      <c r="K319" s="38" t="str">
        <f t="shared" si="35"/>
        <v>*0.5</v>
      </c>
      <c r="P319" s="32" t="s">
        <v>386</v>
      </c>
      <c r="Q319" s="42" t="s">
        <v>57</v>
      </c>
      <c r="R319" s="32">
        <v>2035</v>
      </c>
      <c r="S319" s="43" t="str">
        <f t="shared" si="36"/>
        <v>*0.58</v>
      </c>
      <c r="U319" s="32" t="s">
        <v>386</v>
      </c>
      <c r="V319" s="42" t="s">
        <v>57</v>
      </c>
      <c r="W319" s="32">
        <v>2050</v>
      </c>
      <c r="X319" s="43" t="str">
        <f t="shared" si="37"/>
        <v>*0.47</v>
      </c>
      <c r="AC319" s="33" t="s">
        <v>386</v>
      </c>
      <c r="AD319" s="44" t="s">
        <v>57</v>
      </c>
      <c r="AE319" s="33">
        <v>2035</v>
      </c>
      <c r="AF319" s="45" t="str">
        <f t="shared" si="38"/>
        <v>*0.53</v>
      </c>
      <c r="AG319" s="43" t="str">
        <f t="shared" si="40"/>
        <v>REZoning_Sol-Win</v>
      </c>
      <c r="AI319" s="33" t="s">
        <v>386</v>
      </c>
      <c r="AJ319" s="44" t="s">
        <v>57</v>
      </c>
      <c r="AK319" s="33">
        <v>2050</v>
      </c>
      <c r="AL319" s="45" t="str">
        <f t="shared" si="39"/>
        <v>*0.41</v>
      </c>
      <c r="AM319" s="43" t="str">
        <f t="shared" si="41"/>
        <v>REZoning_Sol-Win</v>
      </c>
      <c r="AP319" t="s">
        <v>386</v>
      </c>
      <c r="AQ319" t="s">
        <v>57</v>
      </c>
      <c r="AR319">
        <v>2100</v>
      </c>
      <c r="AS319" t="s">
        <v>67</v>
      </c>
      <c r="AT319" t="s">
        <v>58</v>
      </c>
    </row>
    <row r="320" ht="29" spans="1:46">
      <c r="A320" s="31" t="s">
        <v>65</v>
      </c>
      <c r="C320" t="s">
        <v>387</v>
      </c>
      <c r="D320" s="5" t="s">
        <v>57</v>
      </c>
      <c r="E320">
        <v>2035</v>
      </c>
      <c r="F320" s="6" t="str">
        <f t="shared" si="34"/>
        <v>*0.61</v>
      </c>
      <c r="H320" t="s">
        <v>387</v>
      </c>
      <c r="I320" s="5" t="s">
        <v>57</v>
      </c>
      <c r="J320">
        <v>2050</v>
      </c>
      <c r="K320" s="38" t="str">
        <f t="shared" si="35"/>
        <v>*0.5</v>
      </c>
      <c r="P320" s="32" t="s">
        <v>387</v>
      </c>
      <c r="Q320" s="42" t="s">
        <v>57</v>
      </c>
      <c r="R320" s="32">
        <v>2035</v>
      </c>
      <c r="S320" s="43" t="str">
        <f t="shared" si="36"/>
        <v>*0.58</v>
      </c>
      <c r="U320" s="32" t="s">
        <v>387</v>
      </c>
      <c r="V320" s="42" t="s">
        <v>57</v>
      </c>
      <c r="W320" s="32">
        <v>2050</v>
      </c>
      <c r="X320" s="43" t="str">
        <f t="shared" si="37"/>
        <v>*0.47</v>
      </c>
      <c r="AC320" s="33" t="s">
        <v>387</v>
      </c>
      <c r="AD320" s="44" t="s">
        <v>57</v>
      </c>
      <c r="AE320" s="33">
        <v>2035</v>
      </c>
      <c r="AF320" s="45" t="str">
        <f t="shared" si="38"/>
        <v>*0.53</v>
      </c>
      <c r="AG320" s="43" t="str">
        <f t="shared" si="40"/>
        <v>REZoning_Sol-Win</v>
      </c>
      <c r="AI320" s="33" t="s">
        <v>387</v>
      </c>
      <c r="AJ320" s="44" t="s">
        <v>57</v>
      </c>
      <c r="AK320" s="33">
        <v>2050</v>
      </c>
      <c r="AL320" s="45" t="str">
        <f t="shared" si="39"/>
        <v>*0.41</v>
      </c>
      <c r="AM320" s="43" t="str">
        <f t="shared" si="41"/>
        <v>REZoning_Sol-Win</v>
      </c>
      <c r="AP320" t="s">
        <v>387</v>
      </c>
      <c r="AQ320" t="s">
        <v>57</v>
      </c>
      <c r="AR320">
        <v>2100</v>
      </c>
      <c r="AS320" t="s">
        <v>67</v>
      </c>
      <c r="AT320" t="s">
        <v>58</v>
      </c>
    </row>
    <row r="321" ht="29" spans="1:46">
      <c r="A321" s="31" t="s">
        <v>65</v>
      </c>
      <c r="C321" t="s">
        <v>388</v>
      </c>
      <c r="D321" s="5" t="s">
        <v>57</v>
      </c>
      <c r="E321">
        <v>2035</v>
      </c>
      <c r="F321" s="6" t="str">
        <f t="shared" si="34"/>
        <v>*0.61</v>
      </c>
      <c r="H321" t="s">
        <v>388</v>
      </c>
      <c r="I321" s="5" t="s">
        <v>57</v>
      </c>
      <c r="J321">
        <v>2050</v>
      </c>
      <c r="K321" s="38" t="str">
        <f t="shared" si="35"/>
        <v>*0.5</v>
      </c>
      <c r="P321" s="32" t="s">
        <v>388</v>
      </c>
      <c r="Q321" s="42" t="s">
        <v>57</v>
      </c>
      <c r="R321" s="32">
        <v>2035</v>
      </c>
      <c r="S321" s="43" t="str">
        <f t="shared" si="36"/>
        <v>*0.58</v>
      </c>
      <c r="U321" s="32" t="s">
        <v>388</v>
      </c>
      <c r="V321" s="42" t="s">
        <v>57</v>
      </c>
      <c r="W321" s="32">
        <v>2050</v>
      </c>
      <c r="X321" s="43" t="str">
        <f t="shared" si="37"/>
        <v>*0.47</v>
      </c>
      <c r="AC321" s="33" t="s">
        <v>388</v>
      </c>
      <c r="AD321" s="44" t="s">
        <v>57</v>
      </c>
      <c r="AE321" s="33">
        <v>2035</v>
      </c>
      <c r="AF321" s="45" t="str">
        <f t="shared" si="38"/>
        <v>*0.53</v>
      </c>
      <c r="AG321" s="43" t="str">
        <f t="shared" si="40"/>
        <v>REZoning_Sol-Win</v>
      </c>
      <c r="AI321" s="33" t="s">
        <v>388</v>
      </c>
      <c r="AJ321" s="44" t="s">
        <v>57</v>
      </c>
      <c r="AK321" s="33">
        <v>2050</v>
      </c>
      <c r="AL321" s="45" t="str">
        <f t="shared" si="39"/>
        <v>*0.41</v>
      </c>
      <c r="AM321" s="43" t="str">
        <f t="shared" si="41"/>
        <v>REZoning_Sol-Win</v>
      </c>
      <c r="AP321" t="s">
        <v>388</v>
      </c>
      <c r="AQ321" t="s">
        <v>57</v>
      </c>
      <c r="AR321">
        <v>2100</v>
      </c>
      <c r="AS321" t="s">
        <v>67</v>
      </c>
      <c r="AT321" t="s">
        <v>58</v>
      </c>
    </row>
    <row r="322" ht="29" spans="1:46">
      <c r="A322" s="31" t="s">
        <v>65</v>
      </c>
      <c r="C322" t="s">
        <v>389</v>
      </c>
      <c r="D322" s="5" t="s">
        <v>57</v>
      </c>
      <c r="E322">
        <v>2035</v>
      </c>
      <c r="F322" s="6" t="str">
        <f t="shared" si="34"/>
        <v>*0.61</v>
      </c>
      <c r="H322" t="s">
        <v>389</v>
      </c>
      <c r="I322" s="5" t="s">
        <v>57</v>
      </c>
      <c r="J322">
        <v>2050</v>
      </c>
      <c r="K322" s="38" t="str">
        <f t="shared" si="35"/>
        <v>*0.5</v>
      </c>
      <c r="P322" s="32" t="s">
        <v>389</v>
      </c>
      <c r="Q322" s="42" t="s">
        <v>57</v>
      </c>
      <c r="R322" s="32">
        <v>2035</v>
      </c>
      <c r="S322" s="43" t="str">
        <f t="shared" si="36"/>
        <v>*0.58</v>
      </c>
      <c r="U322" s="32" t="s">
        <v>389</v>
      </c>
      <c r="V322" s="42" t="s">
        <v>57</v>
      </c>
      <c r="W322" s="32">
        <v>2050</v>
      </c>
      <c r="X322" s="43" t="str">
        <f t="shared" si="37"/>
        <v>*0.47</v>
      </c>
      <c r="AC322" s="33" t="s">
        <v>389</v>
      </c>
      <c r="AD322" s="44" t="s">
        <v>57</v>
      </c>
      <c r="AE322" s="33">
        <v>2035</v>
      </c>
      <c r="AF322" s="45" t="str">
        <f t="shared" si="38"/>
        <v>*0.53</v>
      </c>
      <c r="AG322" s="43" t="str">
        <f t="shared" si="40"/>
        <v>REZoning_Sol-Win</v>
      </c>
      <c r="AI322" s="33" t="s">
        <v>389</v>
      </c>
      <c r="AJ322" s="44" t="s">
        <v>57</v>
      </c>
      <c r="AK322" s="33">
        <v>2050</v>
      </c>
      <c r="AL322" s="45" t="str">
        <f t="shared" si="39"/>
        <v>*0.41</v>
      </c>
      <c r="AM322" s="43" t="str">
        <f t="shared" si="41"/>
        <v>REZoning_Sol-Win</v>
      </c>
      <c r="AP322" t="s">
        <v>389</v>
      </c>
      <c r="AQ322" t="s">
        <v>57</v>
      </c>
      <c r="AR322">
        <v>2100</v>
      </c>
      <c r="AS322" t="s">
        <v>67</v>
      </c>
      <c r="AT322" t="s">
        <v>58</v>
      </c>
    </row>
    <row r="323" ht="29" spans="1:46">
      <c r="A323" s="31" t="s">
        <v>65</v>
      </c>
      <c r="C323" t="s">
        <v>390</v>
      </c>
      <c r="D323" s="5" t="s">
        <v>57</v>
      </c>
      <c r="E323">
        <v>2035</v>
      </c>
      <c r="F323" s="6" t="str">
        <f t="shared" si="34"/>
        <v>*0.61</v>
      </c>
      <c r="H323" t="s">
        <v>390</v>
      </c>
      <c r="I323" s="5" t="s">
        <v>57</v>
      </c>
      <c r="J323">
        <v>2050</v>
      </c>
      <c r="K323" s="38" t="str">
        <f t="shared" si="35"/>
        <v>*0.5</v>
      </c>
      <c r="P323" s="32" t="s">
        <v>390</v>
      </c>
      <c r="Q323" s="42" t="s">
        <v>57</v>
      </c>
      <c r="R323" s="32">
        <v>2035</v>
      </c>
      <c r="S323" s="43" t="str">
        <f t="shared" si="36"/>
        <v>*0.58</v>
      </c>
      <c r="U323" s="32" t="s">
        <v>390</v>
      </c>
      <c r="V323" s="42" t="s">
        <v>57</v>
      </c>
      <c r="W323" s="32">
        <v>2050</v>
      </c>
      <c r="X323" s="43" t="str">
        <f t="shared" si="37"/>
        <v>*0.47</v>
      </c>
      <c r="AC323" s="33" t="s">
        <v>390</v>
      </c>
      <c r="AD323" s="44" t="s">
        <v>57</v>
      </c>
      <c r="AE323" s="33">
        <v>2035</v>
      </c>
      <c r="AF323" s="45" t="str">
        <f t="shared" si="38"/>
        <v>*0.53</v>
      </c>
      <c r="AG323" s="43" t="str">
        <f t="shared" si="40"/>
        <v>REZoning_Sol-Win</v>
      </c>
      <c r="AI323" s="33" t="s">
        <v>390</v>
      </c>
      <c r="AJ323" s="44" t="s">
        <v>57</v>
      </c>
      <c r="AK323" s="33">
        <v>2050</v>
      </c>
      <c r="AL323" s="45" t="str">
        <f t="shared" si="39"/>
        <v>*0.41</v>
      </c>
      <c r="AM323" s="43" t="str">
        <f t="shared" si="41"/>
        <v>REZoning_Sol-Win</v>
      </c>
      <c r="AP323" t="s">
        <v>390</v>
      </c>
      <c r="AQ323" t="s">
        <v>57</v>
      </c>
      <c r="AR323">
        <v>2100</v>
      </c>
      <c r="AS323" t="s">
        <v>67</v>
      </c>
      <c r="AT323" t="s">
        <v>58</v>
      </c>
    </row>
    <row r="324" ht="29" spans="1:46">
      <c r="A324" s="31" t="s">
        <v>65</v>
      </c>
      <c r="C324" t="s">
        <v>391</v>
      </c>
      <c r="D324" s="5" t="s">
        <v>57</v>
      </c>
      <c r="E324">
        <v>2035</v>
      </c>
      <c r="F324" s="6" t="str">
        <f t="shared" ref="F324:F387" si="42">"*"&amp;IF(AND(A324="EU",E324=2035),0.63,IF(AND(A324="EU",E324=2050),0.54,IF(AND(A324="USA",E324=2035),0.64,IF(AND(A324="USA",E324=2050),0.54,IF(AND(A324="Japan",E324=2035),0.68,IF(AND(A324="Japan",E324=2050),0.58,IF(AND(A324="Russia",E324=2035),0.65,IF(AND(A324="Russia",E324=2050),0.54,IF(AND(A324="China",E324=2035),0.61,IF(AND(A324="China",E324=2050),0.49,IF(AND(A324="India",E324=2035),0.6,IF(AND(A324="India",E324=2050),0.49,IF(AND(A324="Middle East",E324=2035),0.6,IF(AND(A324="Middle East",E324=2050),0.5,IF(AND(A324="Africa",E324=2035),0.61,IF(AND(A324="Africa",E324=2050),0.5,IF(AND(A324="Brazil",E324=2035),0.64,IF(AND(A324="Brazil",E324=2050),0.54,""))))))))))))))))))</f>
        <v>*0.61</v>
      </c>
      <c r="H324" t="s">
        <v>391</v>
      </c>
      <c r="I324" s="5" t="s">
        <v>57</v>
      </c>
      <c r="J324">
        <v>2050</v>
      </c>
      <c r="K324" s="38" t="str">
        <f t="shared" ref="K324:K387" si="43">"*"&amp;IF(AND(A324="EU",J324=2035),0.63,IF(AND(A324="EU",J324=2050),0.54,IF(AND(A324="USA",J324=2035),0.64,IF(AND(A324="USA",J324=2050),0.54,IF(AND(A324="Japan",J324=2035),0.68,IF(AND(A324="Japan",J324=2050),0.58,IF(AND(A324="Russia",J324=2035),0.65,IF(AND(A324="Russia",J324=2050),0.54,IF(AND(A324="China",J324=2035),0.61,IF(AND(A324="China",J324=2050),0.49,IF(AND(A324="India",J324=2035),0.6,IF(AND(A324="India",J324=2050),0.49,IF(AND(A324="Middle East",J324=2035),0.6,IF(AND(A324="Middle East",J324=2050),0.5,IF(AND(A324="Africa",J324=2035),0.61,IF(AND(A324="Africa",J324=2050),0.5,IF(AND(A324="Brazil",J324=2035),0.64,IF(AND(A324="Brazil",J324=2050),0.54,""))))))))))))))))))</f>
        <v>*0.5</v>
      </c>
      <c r="P324" s="32" t="s">
        <v>391</v>
      </c>
      <c r="Q324" s="42" t="s">
        <v>57</v>
      </c>
      <c r="R324" s="32">
        <v>2035</v>
      </c>
      <c r="S324" s="43" t="str">
        <f t="shared" ref="S324:S387" si="44">"*"&amp;IF(AND(A324="EU",R324=2035),0.62,IF(AND(A324="EU",R324=2050),0.51,IF(AND(A324="USA",R324=2035),0.62,IF(AND(A324="USA",R324=2050),0.5,IF(AND(A324="Japan",R324=2035),0.65,IF(AND(A324="Japan",R324=2050),0.55,IF(AND(A324="Russia",R324=2035),0.63,IF(AND(A324="Russia",R324=2050),0.52,IF(AND(A324="China",R324=2035),0.59,IF(AND(A324="China",R324=2050),0.47,IF(AND(A324="India",R324=2035),0.58,IF(AND(A324="India",R324=2050),0.47,IF(AND(A324="Middle East",R324=2035),0.59,IF(AND(A324="Middle East",R324=2050),0.47,IF(AND(A324="Africa",R324=2035),0.58,IF(AND(A324="Africa",R324=2050),0.47,IF(AND(A324="Brazil",R324=2035),0.64,IF(AND(A324="Brazil",R324=2050),0.53,""))))))))))))))))))</f>
        <v>*0.58</v>
      </c>
      <c r="U324" s="32" t="s">
        <v>391</v>
      </c>
      <c r="V324" s="42" t="s">
        <v>57</v>
      </c>
      <c r="W324" s="32">
        <v>2050</v>
      </c>
      <c r="X324" s="43" t="str">
        <f t="shared" ref="X324:X387" si="45">"*"&amp;IF(AND(A324="EU",W324=2035),0.62,IF(AND(A324="EU",W324=2050),0.51,IF(AND(A324="USA",W324=2035),0.62,IF(AND(A324="USA",W324=2050),0.5,IF(AND(A324="Japan",W324=2035),0.65,IF(AND(A324="Japan",W324=2050),0.55,IF(AND(A324="Russia",W324=2035),0.63,IF(AND(A324="Russia",W324=2050),0.52,IF(AND(A324="China",W324=2035),0.59,IF(AND(A324="China",W324=2050),0.47,IF(AND(A324="India",W324=2035),0.58,IF(AND(A324="India",W324=2050),0.47,IF(AND(A324="Middle East",W324=2035),0.59,IF(AND(A324="Middle East",W324=2050),0.47,IF(AND(A324="Africa",W324=2035),0.58,IF(AND(A324="Africa",W324=2050),0.47,IF(AND(A324="Brazil",W324=2035),0.64,IF(AND(A324="Brazil",W324=2050),0.53,""))))))))))))))))))</f>
        <v>*0.47</v>
      </c>
      <c r="AC324" s="33" t="s">
        <v>391</v>
      </c>
      <c r="AD324" s="44" t="s">
        <v>57</v>
      </c>
      <c r="AE324" s="33">
        <v>2035</v>
      </c>
      <c r="AF324" s="45" t="str">
        <f t="shared" ref="AF324:AF387" si="46">"*"&amp;IF(AND(A324="EU",AE324=2035),0.58,IF(AND(A324="EU",AE324=2050),0.49,IF(AND(A324="USA",AE324=2035),0.56,IF(AND(A324="USA",AE324=2050),0.45,IF(AND(A324="Japan",AE324=2035),0.62,IF(AND(A324="Japan",AE324=2050),0.51,IF(AND(A324="Russia",AE324=2035),0.55,IF(AND(A324="Russia",AE324=2050),0.41,IF(AND(A324="China",AE324=2035),0.54,IF(AND(A324="China",AE324=2050),0.44,IF(AND(A324="India",AE324=2035),0.55,IF(AND(A324="India",AE324=2050),0.42,IF(AND(A324="Middle East",AE324=2035),0.53,IF(AND(A324="Middle East",AE324=2050),0.41,IF(AND(A324="Africa",AE324=2035),0.53,IF(AND(A324="Africa",AE324=2050),0.41,IF(AND(A324="Brazil",AE324=2035),0.6,IF(AND(A324="Brazil",AE324=2050),0.5,""))))))))))))))))))</f>
        <v>*0.53</v>
      </c>
      <c r="AG324" s="43" t="str">
        <f t="shared" si="40"/>
        <v>REZoning_Sol-Win</v>
      </c>
      <c r="AI324" s="33" t="s">
        <v>391</v>
      </c>
      <c r="AJ324" s="44" t="s">
        <v>57</v>
      </c>
      <c r="AK324" s="33">
        <v>2050</v>
      </c>
      <c r="AL324" s="45" t="str">
        <f t="shared" ref="AL324:AL387" si="47">"*"&amp;IF(AND(A324="EU",AK324=2035),0.58,IF(AND(A324="EU",AK324=2050),0.49,IF(AND(A324="USA",AK324=2035),0.56,IF(AND(A324="USA",AK324=2050),0.45,IF(AND(A324="Japan",AK324=2035),0.62,IF(AND(A324="Japan",AK324=2050),0.51,IF(AND(A324="Russia",AK324=2035),0.55,IF(AND(A324="Russia",AK324=2050),0.41,IF(AND(A324="China",AK324=2035),0.54,IF(AND(A324="China",AK324=2050),0.44,IF(AND(A324="India",AK324=2035),0.55,IF(AND(A324="India",AK324=2050),0.42,IF(AND(A324="Middle East",AK324=2035),0.53,IF(AND(A324="Middle East",AK324=2050),0.41,IF(AND(A324="Africa",AK324=2035),0.53,IF(AND(A324="Africa",AK324=2050),0.41,IF(AND(A324="Brazil",AK324=2035),0.6,IF(AND(A324="Brazil",AK324=2050),0.5,""))))))))))))))))))</f>
        <v>*0.41</v>
      </c>
      <c r="AM324" s="43" t="str">
        <f t="shared" si="41"/>
        <v>REZoning_Sol-Win</v>
      </c>
      <c r="AP324" t="s">
        <v>391</v>
      </c>
      <c r="AQ324" t="s">
        <v>57</v>
      </c>
      <c r="AR324">
        <v>2100</v>
      </c>
      <c r="AS324" t="s">
        <v>67</v>
      </c>
      <c r="AT324" t="s">
        <v>58</v>
      </c>
    </row>
    <row r="325" ht="29" spans="1:46">
      <c r="A325" s="31" t="s">
        <v>65</v>
      </c>
      <c r="C325" t="s">
        <v>392</v>
      </c>
      <c r="D325" s="5" t="s">
        <v>57</v>
      </c>
      <c r="E325">
        <v>2035</v>
      </c>
      <c r="F325" s="6" t="str">
        <f t="shared" si="42"/>
        <v>*0.61</v>
      </c>
      <c r="H325" t="s">
        <v>392</v>
      </c>
      <c r="I325" s="5" t="s">
        <v>57</v>
      </c>
      <c r="J325">
        <v>2050</v>
      </c>
      <c r="K325" s="38" t="str">
        <f t="shared" si="43"/>
        <v>*0.5</v>
      </c>
      <c r="P325" s="32" t="s">
        <v>392</v>
      </c>
      <c r="Q325" s="42" t="s">
        <v>57</v>
      </c>
      <c r="R325" s="32">
        <v>2035</v>
      </c>
      <c r="S325" s="43" t="str">
        <f t="shared" si="44"/>
        <v>*0.58</v>
      </c>
      <c r="U325" s="32" t="s">
        <v>392</v>
      </c>
      <c r="V325" s="42" t="s">
        <v>57</v>
      </c>
      <c r="W325" s="32">
        <v>2050</v>
      </c>
      <c r="X325" s="43" t="str">
        <f t="shared" si="45"/>
        <v>*0.47</v>
      </c>
      <c r="AC325" s="33" t="s">
        <v>392</v>
      </c>
      <c r="AD325" s="44" t="s">
        <v>57</v>
      </c>
      <c r="AE325" s="33">
        <v>2035</v>
      </c>
      <c r="AF325" s="45" t="str">
        <f t="shared" si="46"/>
        <v>*0.53</v>
      </c>
      <c r="AG325" s="43" t="str">
        <f t="shared" si="40"/>
        <v>REZoning_Sol-Win</v>
      </c>
      <c r="AI325" s="33" t="s">
        <v>392</v>
      </c>
      <c r="AJ325" s="44" t="s">
        <v>57</v>
      </c>
      <c r="AK325" s="33">
        <v>2050</v>
      </c>
      <c r="AL325" s="45" t="str">
        <f t="shared" si="47"/>
        <v>*0.41</v>
      </c>
      <c r="AM325" s="43" t="str">
        <f t="shared" si="41"/>
        <v>REZoning_Sol-Win</v>
      </c>
      <c r="AP325" t="s">
        <v>392</v>
      </c>
      <c r="AQ325" t="s">
        <v>57</v>
      </c>
      <c r="AR325">
        <v>2100</v>
      </c>
      <c r="AS325" t="s">
        <v>67</v>
      </c>
      <c r="AT325" t="s">
        <v>58</v>
      </c>
    </row>
    <row r="326" ht="29" spans="1:46">
      <c r="A326" s="31" t="s">
        <v>65</v>
      </c>
      <c r="C326" t="s">
        <v>393</v>
      </c>
      <c r="D326" s="5" t="s">
        <v>57</v>
      </c>
      <c r="E326">
        <v>2035</v>
      </c>
      <c r="F326" s="6" t="str">
        <f t="shared" si="42"/>
        <v>*0.61</v>
      </c>
      <c r="H326" t="s">
        <v>393</v>
      </c>
      <c r="I326" s="5" t="s">
        <v>57</v>
      </c>
      <c r="J326">
        <v>2050</v>
      </c>
      <c r="K326" s="38" t="str">
        <f t="shared" si="43"/>
        <v>*0.5</v>
      </c>
      <c r="P326" s="32" t="s">
        <v>393</v>
      </c>
      <c r="Q326" s="42" t="s">
        <v>57</v>
      </c>
      <c r="R326" s="32">
        <v>2035</v>
      </c>
      <c r="S326" s="43" t="str">
        <f t="shared" si="44"/>
        <v>*0.58</v>
      </c>
      <c r="U326" s="32" t="s">
        <v>393</v>
      </c>
      <c r="V326" s="42" t="s">
        <v>57</v>
      </c>
      <c r="W326" s="32">
        <v>2050</v>
      </c>
      <c r="X326" s="43" t="str">
        <f t="shared" si="45"/>
        <v>*0.47</v>
      </c>
      <c r="AC326" s="33" t="s">
        <v>393</v>
      </c>
      <c r="AD326" s="44" t="s">
        <v>57</v>
      </c>
      <c r="AE326" s="33">
        <v>2035</v>
      </c>
      <c r="AF326" s="45" t="str">
        <f t="shared" si="46"/>
        <v>*0.53</v>
      </c>
      <c r="AG326" s="43" t="str">
        <f t="shared" si="40"/>
        <v>REZoning_Sol-Win</v>
      </c>
      <c r="AI326" s="33" t="s">
        <v>393</v>
      </c>
      <c r="AJ326" s="44" t="s">
        <v>57</v>
      </c>
      <c r="AK326" s="33">
        <v>2050</v>
      </c>
      <c r="AL326" s="45" t="str">
        <f t="shared" si="47"/>
        <v>*0.41</v>
      </c>
      <c r="AM326" s="43" t="str">
        <f t="shared" si="41"/>
        <v>REZoning_Sol-Win</v>
      </c>
      <c r="AP326" t="s">
        <v>393</v>
      </c>
      <c r="AQ326" t="s">
        <v>57</v>
      </c>
      <c r="AR326">
        <v>2100</v>
      </c>
      <c r="AS326" t="s">
        <v>67</v>
      </c>
      <c r="AT326" t="s">
        <v>58</v>
      </c>
    </row>
    <row r="327" ht="29" spans="1:46">
      <c r="A327" s="31" t="s">
        <v>65</v>
      </c>
      <c r="C327" t="s">
        <v>394</v>
      </c>
      <c r="D327" s="5" t="s">
        <v>57</v>
      </c>
      <c r="E327">
        <v>2035</v>
      </c>
      <c r="F327" s="6" t="str">
        <f t="shared" si="42"/>
        <v>*0.61</v>
      </c>
      <c r="H327" t="s">
        <v>394</v>
      </c>
      <c r="I327" s="5" t="s">
        <v>57</v>
      </c>
      <c r="J327">
        <v>2050</v>
      </c>
      <c r="K327" s="38" t="str">
        <f t="shared" si="43"/>
        <v>*0.5</v>
      </c>
      <c r="P327" s="32" t="s">
        <v>394</v>
      </c>
      <c r="Q327" s="42" t="s">
        <v>57</v>
      </c>
      <c r="R327" s="32">
        <v>2035</v>
      </c>
      <c r="S327" s="43" t="str">
        <f t="shared" si="44"/>
        <v>*0.58</v>
      </c>
      <c r="U327" s="32" t="s">
        <v>394</v>
      </c>
      <c r="V327" s="42" t="s">
        <v>57</v>
      </c>
      <c r="W327" s="32">
        <v>2050</v>
      </c>
      <c r="X327" s="43" t="str">
        <f t="shared" si="45"/>
        <v>*0.47</v>
      </c>
      <c r="AC327" s="33" t="s">
        <v>394</v>
      </c>
      <c r="AD327" s="44" t="s">
        <v>57</v>
      </c>
      <c r="AE327" s="33">
        <v>2035</v>
      </c>
      <c r="AF327" s="45" t="str">
        <f t="shared" si="46"/>
        <v>*0.53</v>
      </c>
      <c r="AG327" s="43" t="str">
        <f t="shared" si="40"/>
        <v>REZoning_Sol-Win</v>
      </c>
      <c r="AI327" s="33" t="s">
        <v>394</v>
      </c>
      <c r="AJ327" s="44" t="s">
        <v>57</v>
      </c>
      <c r="AK327" s="33">
        <v>2050</v>
      </c>
      <c r="AL327" s="45" t="str">
        <f t="shared" si="47"/>
        <v>*0.41</v>
      </c>
      <c r="AM327" s="43" t="str">
        <f t="shared" si="41"/>
        <v>REZoning_Sol-Win</v>
      </c>
      <c r="AP327" t="s">
        <v>394</v>
      </c>
      <c r="AQ327" t="s">
        <v>57</v>
      </c>
      <c r="AR327">
        <v>2100</v>
      </c>
      <c r="AS327" t="s">
        <v>67</v>
      </c>
      <c r="AT327" t="s">
        <v>58</v>
      </c>
    </row>
    <row r="328" ht="29" spans="1:46">
      <c r="A328" s="31" t="s">
        <v>73</v>
      </c>
      <c r="C328" t="s">
        <v>395</v>
      </c>
      <c r="D328" s="5" t="s">
        <v>57</v>
      </c>
      <c r="E328">
        <v>2035</v>
      </c>
      <c r="F328" s="6" t="str">
        <f t="shared" si="42"/>
        <v>*0.63</v>
      </c>
      <c r="H328" t="s">
        <v>395</v>
      </c>
      <c r="I328" s="5" t="s">
        <v>57</v>
      </c>
      <c r="J328">
        <v>2050</v>
      </c>
      <c r="K328" s="38" t="str">
        <f t="shared" si="43"/>
        <v>*0.54</v>
      </c>
      <c r="P328" s="32" t="s">
        <v>395</v>
      </c>
      <c r="Q328" s="42" t="s">
        <v>57</v>
      </c>
      <c r="R328" s="32">
        <v>2035</v>
      </c>
      <c r="S328" s="43" t="str">
        <f t="shared" si="44"/>
        <v>*0.62</v>
      </c>
      <c r="U328" s="32" t="s">
        <v>395</v>
      </c>
      <c r="V328" s="42" t="s">
        <v>57</v>
      </c>
      <c r="W328" s="32">
        <v>2050</v>
      </c>
      <c r="X328" s="43" t="str">
        <f t="shared" si="45"/>
        <v>*0.51</v>
      </c>
      <c r="AC328" s="33" t="s">
        <v>395</v>
      </c>
      <c r="AD328" s="44" t="s">
        <v>57</v>
      </c>
      <c r="AE328" s="33">
        <v>2035</v>
      </c>
      <c r="AF328" s="45" t="str">
        <f t="shared" si="46"/>
        <v>*0.58</v>
      </c>
      <c r="AG328" s="43" t="str">
        <f t="shared" si="40"/>
        <v>REZoning_Sol-Win</v>
      </c>
      <c r="AI328" s="33" t="s">
        <v>395</v>
      </c>
      <c r="AJ328" s="44" t="s">
        <v>57</v>
      </c>
      <c r="AK328" s="33">
        <v>2050</v>
      </c>
      <c r="AL328" s="45" t="str">
        <f t="shared" si="47"/>
        <v>*0.49</v>
      </c>
      <c r="AM328" s="43" t="str">
        <f t="shared" si="41"/>
        <v>REZoning_Sol-Win</v>
      </c>
      <c r="AP328" t="s">
        <v>395</v>
      </c>
      <c r="AQ328" t="s">
        <v>57</v>
      </c>
      <c r="AR328">
        <v>2100</v>
      </c>
      <c r="AS328" t="s">
        <v>75</v>
      </c>
      <c r="AT328" t="s">
        <v>58</v>
      </c>
    </row>
    <row r="329" ht="29" spans="1:46">
      <c r="A329" s="31" t="s">
        <v>73</v>
      </c>
      <c r="C329" t="s">
        <v>396</v>
      </c>
      <c r="D329" s="5" t="s">
        <v>57</v>
      </c>
      <c r="E329">
        <v>2035</v>
      </c>
      <c r="F329" s="6" t="str">
        <f t="shared" si="42"/>
        <v>*0.63</v>
      </c>
      <c r="H329" t="s">
        <v>396</v>
      </c>
      <c r="I329" s="5" t="s">
        <v>57</v>
      </c>
      <c r="J329">
        <v>2050</v>
      </c>
      <c r="K329" s="38" t="str">
        <f t="shared" si="43"/>
        <v>*0.54</v>
      </c>
      <c r="P329" s="32" t="s">
        <v>396</v>
      </c>
      <c r="Q329" s="42" t="s">
        <v>57</v>
      </c>
      <c r="R329" s="32">
        <v>2035</v>
      </c>
      <c r="S329" s="43" t="str">
        <f t="shared" si="44"/>
        <v>*0.62</v>
      </c>
      <c r="U329" s="32" t="s">
        <v>396</v>
      </c>
      <c r="V329" s="42" t="s">
        <v>57</v>
      </c>
      <c r="W329" s="32">
        <v>2050</v>
      </c>
      <c r="X329" s="43" t="str">
        <f t="shared" si="45"/>
        <v>*0.51</v>
      </c>
      <c r="AC329" s="33" t="s">
        <v>396</v>
      </c>
      <c r="AD329" s="44" t="s">
        <v>57</v>
      </c>
      <c r="AE329" s="33">
        <v>2035</v>
      </c>
      <c r="AF329" s="45" t="str">
        <f t="shared" si="46"/>
        <v>*0.58</v>
      </c>
      <c r="AG329" s="43" t="str">
        <f t="shared" ref="AG329:AG392" si="48">AG328</f>
        <v>REZoning_Sol-Win</v>
      </c>
      <c r="AI329" s="33" t="s">
        <v>396</v>
      </c>
      <c r="AJ329" s="44" t="s">
        <v>57</v>
      </c>
      <c r="AK329" s="33">
        <v>2050</v>
      </c>
      <c r="AL329" s="45" t="str">
        <f t="shared" si="47"/>
        <v>*0.49</v>
      </c>
      <c r="AM329" s="43" t="str">
        <f t="shared" ref="AM329:AM392" si="49">AM328</f>
        <v>REZoning_Sol-Win</v>
      </c>
      <c r="AP329" t="s">
        <v>396</v>
      </c>
      <c r="AQ329" t="s">
        <v>57</v>
      </c>
      <c r="AR329">
        <v>2100</v>
      </c>
      <c r="AS329" t="s">
        <v>75</v>
      </c>
      <c r="AT329" t="s">
        <v>58</v>
      </c>
    </row>
    <row r="330" ht="29" spans="1:46">
      <c r="A330" s="31" t="s">
        <v>73</v>
      </c>
      <c r="C330" t="s">
        <v>397</v>
      </c>
      <c r="D330" s="5" t="s">
        <v>57</v>
      </c>
      <c r="E330">
        <v>2035</v>
      </c>
      <c r="F330" s="6" t="str">
        <f t="shared" si="42"/>
        <v>*0.63</v>
      </c>
      <c r="H330" t="s">
        <v>397</v>
      </c>
      <c r="I330" s="5" t="s">
        <v>57</v>
      </c>
      <c r="J330">
        <v>2050</v>
      </c>
      <c r="K330" s="38" t="str">
        <f t="shared" si="43"/>
        <v>*0.54</v>
      </c>
      <c r="P330" s="32" t="s">
        <v>397</v>
      </c>
      <c r="Q330" s="42" t="s">
        <v>57</v>
      </c>
      <c r="R330" s="32">
        <v>2035</v>
      </c>
      <c r="S330" s="43" t="str">
        <f t="shared" si="44"/>
        <v>*0.62</v>
      </c>
      <c r="U330" s="32" t="s">
        <v>397</v>
      </c>
      <c r="V330" s="42" t="s">
        <v>57</v>
      </c>
      <c r="W330" s="32">
        <v>2050</v>
      </c>
      <c r="X330" s="43" t="str">
        <f t="shared" si="45"/>
        <v>*0.51</v>
      </c>
      <c r="AC330" s="33" t="s">
        <v>397</v>
      </c>
      <c r="AD330" s="44" t="s">
        <v>57</v>
      </c>
      <c r="AE330" s="33">
        <v>2035</v>
      </c>
      <c r="AF330" s="45" t="str">
        <f t="shared" si="46"/>
        <v>*0.58</v>
      </c>
      <c r="AG330" s="43" t="str">
        <f t="shared" si="48"/>
        <v>REZoning_Sol-Win</v>
      </c>
      <c r="AI330" s="33" t="s">
        <v>397</v>
      </c>
      <c r="AJ330" s="44" t="s">
        <v>57</v>
      </c>
      <c r="AK330" s="33">
        <v>2050</v>
      </c>
      <c r="AL330" s="45" t="str">
        <f t="shared" si="47"/>
        <v>*0.49</v>
      </c>
      <c r="AM330" s="43" t="str">
        <f t="shared" si="49"/>
        <v>REZoning_Sol-Win</v>
      </c>
      <c r="AP330" t="s">
        <v>397</v>
      </c>
      <c r="AQ330" t="s">
        <v>57</v>
      </c>
      <c r="AR330">
        <v>2100</v>
      </c>
      <c r="AS330" t="s">
        <v>75</v>
      </c>
      <c r="AT330" t="s">
        <v>58</v>
      </c>
    </row>
    <row r="331" ht="29" spans="1:46">
      <c r="A331" s="31" t="s">
        <v>73</v>
      </c>
      <c r="C331" t="s">
        <v>398</v>
      </c>
      <c r="D331" s="5" t="s">
        <v>57</v>
      </c>
      <c r="E331">
        <v>2035</v>
      </c>
      <c r="F331" s="6" t="str">
        <f t="shared" si="42"/>
        <v>*0.63</v>
      </c>
      <c r="H331" t="s">
        <v>398</v>
      </c>
      <c r="I331" s="5" t="s">
        <v>57</v>
      </c>
      <c r="J331">
        <v>2050</v>
      </c>
      <c r="K331" s="38" t="str">
        <f t="shared" si="43"/>
        <v>*0.54</v>
      </c>
      <c r="P331" s="32" t="s">
        <v>398</v>
      </c>
      <c r="Q331" s="42" t="s">
        <v>57</v>
      </c>
      <c r="R331" s="32">
        <v>2035</v>
      </c>
      <c r="S331" s="43" t="str">
        <f t="shared" si="44"/>
        <v>*0.62</v>
      </c>
      <c r="U331" s="32" t="s">
        <v>398</v>
      </c>
      <c r="V331" s="42" t="s">
        <v>57</v>
      </c>
      <c r="W331" s="32">
        <v>2050</v>
      </c>
      <c r="X331" s="43" t="str">
        <f t="shared" si="45"/>
        <v>*0.51</v>
      </c>
      <c r="AC331" s="33" t="s">
        <v>398</v>
      </c>
      <c r="AD331" s="44" t="s">
        <v>57</v>
      </c>
      <c r="AE331" s="33">
        <v>2035</v>
      </c>
      <c r="AF331" s="45" t="str">
        <f t="shared" si="46"/>
        <v>*0.58</v>
      </c>
      <c r="AG331" s="43" t="str">
        <f t="shared" si="48"/>
        <v>REZoning_Sol-Win</v>
      </c>
      <c r="AI331" s="33" t="s">
        <v>398</v>
      </c>
      <c r="AJ331" s="44" t="s">
        <v>57</v>
      </c>
      <c r="AK331" s="33">
        <v>2050</v>
      </c>
      <c r="AL331" s="45" t="str">
        <f t="shared" si="47"/>
        <v>*0.49</v>
      </c>
      <c r="AM331" s="43" t="str">
        <f t="shared" si="49"/>
        <v>REZoning_Sol-Win</v>
      </c>
      <c r="AP331" t="s">
        <v>398</v>
      </c>
      <c r="AQ331" t="s">
        <v>57</v>
      </c>
      <c r="AR331">
        <v>2100</v>
      </c>
      <c r="AS331" t="s">
        <v>75</v>
      </c>
      <c r="AT331" t="s">
        <v>58</v>
      </c>
    </row>
    <row r="332" ht="29" spans="1:46">
      <c r="A332" s="31" t="s">
        <v>73</v>
      </c>
      <c r="C332" t="s">
        <v>399</v>
      </c>
      <c r="D332" s="5" t="s">
        <v>57</v>
      </c>
      <c r="E332">
        <v>2035</v>
      </c>
      <c r="F332" s="6" t="str">
        <f t="shared" si="42"/>
        <v>*0.63</v>
      </c>
      <c r="H332" t="s">
        <v>399</v>
      </c>
      <c r="I332" s="5" t="s">
        <v>57</v>
      </c>
      <c r="J332">
        <v>2050</v>
      </c>
      <c r="K332" s="38" t="str">
        <f t="shared" si="43"/>
        <v>*0.54</v>
      </c>
      <c r="P332" s="32" t="s">
        <v>399</v>
      </c>
      <c r="Q332" s="42" t="s">
        <v>57</v>
      </c>
      <c r="R332" s="32">
        <v>2035</v>
      </c>
      <c r="S332" s="43" t="str">
        <f t="shared" si="44"/>
        <v>*0.62</v>
      </c>
      <c r="U332" s="32" t="s">
        <v>399</v>
      </c>
      <c r="V332" s="42" t="s">
        <v>57</v>
      </c>
      <c r="W332" s="32">
        <v>2050</v>
      </c>
      <c r="X332" s="43" t="str">
        <f t="shared" si="45"/>
        <v>*0.51</v>
      </c>
      <c r="AC332" s="33" t="s">
        <v>399</v>
      </c>
      <c r="AD332" s="44" t="s">
        <v>57</v>
      </c>
      <c r="AE332" s="33">
        <v>2035</v>
      </c>
      <c r="AF332" s="45" t="str">
        <f t="shared" si="46"/>
        <v>*0.58</v>
      </c>
      <c r="AG332" s="43" t="str">
        <f t="shared" si="48"/>
        <v>REZoning_Sol-Win</v>
      </c>
      <c r="AI332" s="33" t="s">
        <v>399</v>
      </c>
      <c r="AJ332" s="44" t="s">
        <v>57</v>
      </c>
      <c r="AK332" s="33">
        <v>2050</v>
      </c>
      <c r="AL332" s="45" t="str">
        <f t="shared" si="47"/>
        <v>*0.49</v>
      </c>
      <c r="AM332" s="43" t="str">
        <f t="shared" si="49"/>
        <v>REZoning_Sol-Win</v>
      </c>
      <c r="AP332" t="s">
        <v>399</v>
      </c>
      <c r="AQ332" t="s">
        <v>57</v>
      </c>
      <c r="AR332">
        <v>2100</v>
      </c>
      <c r="AS332" t="s">
        <v>75</v>
      </c>
      <c r="AT332" t="s">
        <v>58</v>
      </c>
    </row>
    <row r="333" ht="29" spans="1:46">
      <c r="A333" s="31" t="s">
        <v>73</v>
      </c>
      <c r="C333" t="s">
        <v>400</v>
      </c>
      <c r="D333" s="5" t="s">
        <v>57</v>
      </c>
      <c r="E333">
        <v>2035</v>
      </c>
      <c r="F333" s="6" t="str">
        <f t="shared" si="42"/>
        <v>*0.63</v>
      </c>
      <c r="H333" t="s">
        <v>400</v>
      </c>
      <c r="I333" s="5" t="s">
        <v>57</v>
      </c>
      <c r="J333">
        <v>2050</v>
      </c>
      <c r="K333" s="38" t="str">
        <f t="shared" si="43"/>
        <v>*0.54</v>
      </c>
      <c r="P333" s="32" t="s">
        <v>400</v>
      </c>
      <c r="Q333" s="42" t="s">
        <v>57</v>
      </c>
      <c r="R333" s="32">
        <v>2035</v>
      </c>
      <c r="S333" s="43" t="str">
        <f t="shared" si="44"/>
        <v>*0.62</v>
      </c>
      <c r="U333" s="32" t="s">
        <v>400</v>
      </c>
      <c r="V333" s="42" t="s">
        <v>57</v>
      </c>
      <c r="W333" s="32">
        <v>2050</v>
      </c>
      <c r="X333" s="43" t="str">
        <f t="shared" si="45"/>
        <v>*0.51</v>
      </c>
      <c r="AC333" s="33" t="s">
        <v>400</v>
      </c>
      <c r="AD333" s="44" t="s">
        <v>57</v>
      </c>
      <c r="AE333" s="33">
        <v>2035</v>
      </c>
      <c r="AF333" s="45" t="str">
        <f t="shared" si="46"/>
        <v>*0.58</v>
      </c>
      <c r="AG333" s="43" t="str">
        <f t="shared" si="48"/>
        <v>REZoning_Sol-Win</v>
      </c>
      <c r="AI333" s="33" t="s">
        <v>400</v>
      </c>
      <c r="AJ333" s="44" t="s">
        <v>57</v>
      </c>
      <c r="AK333" s="33">
        <v>2050</v>
      </c>
      <c r="AL333" s="45" t="str">
        <f t="shared" si="47"/>
        <v>*0.49</v>
      </c>
      <c r="AM333" s="43" t="str">
        <f t="shared" si="49"/>
        <v>REZoning_Sol-Win</v>
      </c>
      <c r="AP333" t="s">
        <v>400</v>
      </c>
      <c r="AQ333" t="s">
        <v>57</v>
      </c>
      <c r="AR333">
        <v>2100</v>
      </c>
      <c r="AS333" t="s">
        <v>75</v>
      </c>
      <c r="AT333" t="s">
        <v>58</v>
      </c>
    </row>
    <row r="334" ht="29" spans="1:46">
      <c r="A334" s="31" t="s">
        <v>83</v>
      </c>
      <c r="C334" t="s">
        <v>401</v>
      </c>
      <c r="D334" s="5" t="s">
        <v>57</v>
      </c>
      <c r="E334">
        <v>2035</v>
      </c>
      <c r="F334" s="6" t="str">
        <f t="shared" si="42"/>
        <v>*0.64</v>
      </c>
      <c r="H334" t="s">
        <v>401</v>
      </c>
      <c r="I334" s="5" t="s">
        <v>57</v>
      </c>
      <c r="J334">
        <v>2050</v>
      </c>
      <c r="K334" s="38" t="str">
        <f t="shared" si="43"/>
        <v>*0.54</v>
      </c>
      <c r="P334" s="32" t="s">
        <v>401</v>
      </c>
      <c r="Q334" s="42" t="s">
        <v>57</v>
      </c>
      <c r="R334" s="32">
        <v>2035</v>
      </c>
      <c r="S334" s="43" t="str">
        <f t="shared" si="44"/>
        <v>*0.64</v>
      </c>
      <c r="U334" s="32" t="s">
        <v>401</v>
      </c>
      <c r="V334" s="42" t="s">
        <v>57</v>
      </c>
      <c r="W334" s="32">
        <v>2050</v>
      </c>
      <c r="X334" s="43" t="str">
        <f t="shared" si="45"/>
        <v>*0.53</v>
      </c>
      <c r="AC334" s="33" t="s">
        <v>401</v>
      </c>
      <c r="AD334" s="44" t="s">
        <v>57</v>
      </c>
      <c r="AE334" s="33">
        <v>2035</v>
      </c>
      <c r="AF334" s="45" t="str">
        <f t="shared" si="46"/>
        <v>*0.6</v>
      </c>
      <c r="AG334" s="43" t="str">
        <f t="shared" si="48"/>
        <v>REZoning_Sol-Win</v>
      </c>
      <c r="AI334" s="33" t="s">
        <v>401</v>
      </c>
      <c r="AJ334" s="44" t="s">
        <v>57</v>
      </c>
      <c r="AK334" s="33">
        <v>2050</v>
      </c>
      <c r="AL334" s="45" t="str">
        <f t="shared" si="47"/>
        <v>*0.5</v>
      </c>
      <c r="AM334" s="43" t="str">
        <f t="shared" si="49"/>
        <v>REZoning_Sol-Win</v>
      </c>
      <c r="AP334" t="s">
        <v>401</v>
      </c>
      <c r="AQ334" t="s">
        <v>57</v>
      </c>
      <c r="AR334">
        <v>2100</v>
      </c>
      <c r="AS334" t="s">
        <v>85</v>
      </c>
      <c r="AT334" t="s">
        <v>58</v>
      </c>
    </row>
    <row r="335" ht="29" spans="1:46">
      <c r="A335" s="31" t="s">
        <v>83</v>
      </c>
      <c r="C335" t="s">
        <v>402</v>
      </c>
      <c r="D335" s="5" t="s">
        <v>57</v>
      </c>
      <c r="E335">
        <v>2035</v>
      </c>
      <c r="F335" s="6" t="str">
        <f t="shared" si="42"/>
        <v>*0.64</v>
      </c>
      <c r="H335" t="s">
        <v>402</v>
      </c>
      <c r="I335" s="5" t="s">
        <v>57</v>
      </c>
      <c r="J335">
        <v>2050</v>
      </c>
      <c r="K335" s="38" t="str">
        <f t="shared" si="43"/>
        <v>*0.54</v>
      </c>
      <c r="P335" s="32" t="s">
        <v>402</v>
      </c>
      <c r="Q335" s="42" t="s">
        <v>57</v>
      </c>
      <c r="R335" s="32">
        <v>2035</v>
      </c>
      <c r="S335" s="43" t="str">
        <f t="shared" si="44"/>
        <v>*0.64</v>
      </c>
      <c r="U335" s="32" t="s">
        <v>402</v>
      </c>
      <c r="V335" s="42" t="s">
        <v>57</v>
      </c>
      <c r="W335" s="32">
        <v>2050</v>
      </c>
      <c r="X335" s="43" t="str">
        <f t="shared" si="45"/>
        <v>*0.53</v>
      </c>
      <c r="AC335" s="33" t="s">
        <v>402</v>
      </c>
      <c r="AD335" s="44" t="s">
        <v>57</v>
      </c>
      <c r="AE335" s="33">
        <v>2035</v>
      </c>
      <c r="AF335" s="45" t="str">
        <f t="shared" si="46"/>
        <v>*0.6</v>
      </c>
      <c r="AG335" s="43" t="str">
        <f t="shared" si="48"/>
        <v>REZoning_Sol-Win</v>
      </c>
      <c r="AI335" s="33" t="s">
        <v>402</v>
      </c>
      <c r="AJ335" s="44" t="s">
        <v>57</v>
      </c>
      <c r="AK335" s="33">
        <v>2050</v>
      </c>
      <c r="AL335" s="45" t="str">
        <f t="shared" si="47"/>
        <v>*0.5</v>
      </c>
      <c r="AM335" s="43" t="str">
        <f t="shared" si="49"/>
        <v>REZoning_Sol-Win</v>
      </c>
      <c r="AP335" t="s">
        <v>402</v>
      </c>
      <c r="AQ335" t="s">
        <v>57</v>
      </c>
      <c r="AR335">
        <v>2100</v>
      </c>
      <c r="AS335" t="s">
        <v>85</v>
      </c>
      <c r="AT335" t="s">
        <v>58</v>
      </c>
    </row>
    <row r="336" ht="29" spans="1:46">
      <c r="A336" s="31" t="s">
        <v>83</v>
      </c>
      <c r="C336" t="s">
        <v>403</v>
      </c>
      <c r="D336" s="5" t="s">
        <v>57</v>
      </c>
      <c r="E336">
        <v>2035</v>
      </c>
      <c r="F336" s="6" t="str">
        <f t="shared" si="42"/>
        <v>*0.64</v>
      </c>
      <c r="H336" t="s">
        <v>403</v>
      </c>
      <c r="I336" s="5" t="s">
        <v>57</v>
      </c>
      <c r="J336">
        <v>2050</v>
      </c>
      <c r="K336" s="38" t="str">
        <f t="shared" si="43"/>
        <v>*0.54</v>
      </c>
      <c r="P336" s="32" t="s">
        <v>403</v>
      </c>
      <c r="Q336" s="42" t="s">
        <v>57</v>
      </c>
      <c r="R336" s="32">
        <v>2035</v>
      </c>
      <c r="S336" s="43" t="str">
        <f t="shared" si="44"/>
        <v>*0.64</v>
      </c>
      <c r="U336" s="32" t="s">
        <v>403</v>
      </c>
      <c r="V336" s="42" t="s">
        <v>57</v>
      </c>
      <c r="W336" s="32">
        <v>2050</v>
      </c>
      <c r="X336" s="43" t="str">
        <f t="shared" si="45"/>
        <v>*0.53</v>
      </c>
      <c r="AC336" s="33" t="s">
        <v>403</v>
      </c>
      <c r="AD336" s="44" t="s">
        <v>57</v>
      </c>
      <c r="AE336" s="33">
        <v>2035</v>
      </c>
      <c r="AF336" s="45" t="str">
        <f t="shared" si="46"/>
        <v>*0.6</v>
      </c>
      <c r="AG336" s="43" t="str">
        <f t="shared" si="48"/>
        <v>REZoning_Sol-Win</v>
      </c>
      <c r="AI336" s="33" t="s">
        <v>403</v>
      </c>
      <c r="AJ336" s="44" t="s">
        <v>57</v>
      </c>
      <c r="AK336" s="33">
        <v>2050</v>
      </c>
      <c r="AL336" s="45" t="str">
        <f t="shared" si="47"/>
        <v>*0.5</v>
      </c>
      <c r="AM336" s="43" t="str">
        <f t="shared" si="49"/>
        <v>REZoning_Sol-Win</v>
      </c>
      <c r="AP336" t="s">
        <v>403</v>
      </c>
      <c r="AQ336" t="s">
        <v>57</v>
      </c>
      <c r="AR336">
        <v>2100</v>
      </c>
      <c r="AS336" t="s">
        <v>85</v>
      </c>
      <c r="AT336" t="s">
        <v>58</v>
      </c>
    </row>
    <row r="337" ht="29" spans="1:46">
      <c r="A337" s="31" t="s">
        <v>83</v>
      </c>
      <c r="C337" t="s">
        <v>404</v>
      </c>
      <c r="D337" s="5" t="s">
        <v>57</v>
      </c>
      <c r="E337">
        <v>2035</v>
      </c>
      <c r="F337" s="6" t="str">
        <f t="shared" si="42"/>
        <v>*0.64</v>
      </c>
      <c r="H337" t="s">
        <v>404</v>
      </c>
      <c r="I337" s="5" t="s">
        <v>57</v>
      </c>
      <c r="J337">
        <v>2050</v>
      </c>
      <c r="K337" s="38" t="str">
        <f t="shared" si="43"/>
        <v>*0.54</v>
      </c>
      <c r="P337" s="32" t="s">
        <v>404</v>
      </c>
      <c r="Q337" s="42" t="s">
        <v>57</v>
      </c>
      <c r="R337" s="32">
        <v>2035</v>
      </c>
      <c r="S337" s="43" t="str">
        <f t="shared" si="44"/>
        <v>*0.64</v>
      </c>
      <c r="U337" s="32" t="s">
        <v>404</v>
      </c>
      <c r="V337" s="42" t="s">
        <v>57</v>
      </c>
      <c r="W337" s="32">
        <v>2050</v>
      </c>
      <c r="X337" s="43" t="str">
        <f t="shared" si="45"/>
        <v>*0.53</v>
      </c>
      <c r="AC337" s="33" t="s">
        <v>404</v>
      </c>
      <c r="AD337" s="44" t="s">
        <v>57</v>
      </c>
      <c r="AE337" s="33">
        <v>2035</v>
      </c>
      <c r="AF337" s="45" t="str">
        <f t="shared" si="46"/>
        <v>*0.6</v>
      </c>
      <c r="AG337" s="43" t="str">
        <f t="shared" si="48"/>
        <v>REZoning_Sol-Win</v>
      </c>
      <c r="AI337" s="33" t="s">
        <v>404</v>
      </c>
      <c r="AJ337" s="44" t="s">
        <v>57</v>
      </c>
      <c r="AK337" s="33">
        <v>2050</v>
      </c>
      <c r="AL337" s="45" t="str">
        <f t="shared" si="47"/>
        <v>*0.5</v>
      </c>
      <c r="AM337" s="43" t="str">
        <f t="shared" si="49"/>
        <v>REZoning_Sol-Win</v>
      </c>
      <c r="AP337" t="s">
        <v>404</v>
      </c>
      <c r="AQ337" t="s">
        <v>57</v>
      </c>
      <c r="AR337">
        <v>2100</v>
      </c>
      <c r="AS337" t="s">
        <v>85</v>
      </c>
      <c r="AT337" t="s">
        <v>58</v>
      </c>
    </row>
    <row r="338" ht="29" spans="1:46">
      <c r="A338" s="31" t="s">
        <v>83</v>
      </c>
      <c r="C338" t="s">
        <v>405</v>
      </c>
      <c r="D338" s="5" t="s">
        <v>57</v>
      </c>
      <c r="E338">
        <v>2035</v>
      </c>
      <c r="F338" s="6" t="str">
        <f t="shared" si="42"/>
        <v>*0.64</v>
      </c>
      <c r="H338" t="s">
        <v>405</v>
      </c>
      <c r="I338" s="5" t="s">
        <v>57</v>
      </c>
      <c r="J338">
        <v>2050</v>
      </c>
      <c r="K338" s="38" t="str">
        <f t="shared" si="43"/>
        <v>*0.54</v>
      </c>
      <c r="P338" s="32" t="s">
        <v>405</v>
      </c>
      <c r="Q338" s="42" t="s">
        <v>57</v>
      </c>
      <c r="R338" s="32">
        <v>2035</v>
      </c>
      <c r="S338" s="43" t="str">
        <f t="shared" si="44"/>
        <v>*0.64</v>
      </c>
      <c r="U338" s="32" t="s">
        <v>405</v>
      </c>
      <c r="V338" s="42" t="s">
        <v>57</v>
      </c>
      <c r="W338" s="32">
        <v>2050</v>
      </c>
      <c r="X338" s="43" t="str">
        <f t="shared" si="45"/>
        <v>*0.53</v>
      </c>
      <c r="AC338" s="33" t="s">
        <v>405</v>
      </c>
      <c r="AD338" s="44" t="s">
        <v>57</v>
      </c>
      <c r="AE338" s="33">
        <v>2035</v>
      </c>
      <c r="AF338" s="45" t="str">
        <f t="shared" si="46"/>
        <v>*0.6</v>
      </c>
      <c r="AG338" s="43" t="str">
        <f t="shared" si="48"/>
        <v>REZoning_Sol-Win</v>
      </c>
      <c r="AI338" s="33" t="s">
        <v>405</v>
      </c>
      <c r="AJ338" s="44" t="s">
        <v>57</v>
      </c>
      <c r="AK338" s="33">
        <v>2050</v>
      </c>
      <c r="AL338" s="45" t="str">
        <f t="shared" si="47"/>
        <v>*0.5</v>
      </c>
      <c r="AM338" s="43" t="str">
        <f t="shared" si="49"/>
        <v>REZoning_Sol-Win</v>
      </c>
      <c r="AP338" t="s">
        <v>405</v>
      </c>
      <c r="AQ338" t="s">
        <v>57</v>
      </c>
      <c r="AR338">
        <v>2100</v>
      </c>
      <c r="AS338" t="s">
        <v>85</v>
      </c>
      <c r="AT338" t="s">
        <v>58</v>
      </c>
    </row>
    <row r="339" ht="29" spans="1:46">
      <c r="A339" s="31" t="s">
        <v>83</v>
      </c>
      <c r="C339" t="s">
        <v>406</v>
      </c>
      <c r="D339" s="5" t="s">
        <v>57</v>
      </c>
      <c r="E339">
        <v>2035</v>
      </c>
      <c r="F339" s="6" t="str">
        <f t="shared" si="42"/>
        <v>*0.64</v>
      </c>
      <c r="H339" t="s">
        <v>406</v>
      </c>
      <c r="I339" s="5" t="s">
        <v>57</v>
      </c>
      <c r="J339">
        <v>2050</v>
      </c>
      <c r="K339" s="38" t="str">
        <f t="shared" si="43"/>
        <v>*0.54</v>
      </c>
      <c r="P339" s="32" t="s">
        <v>406</v>
      </c>
      <c r="Q339" s="42" t="s">
        <v>57</v>
      </c>
      <c r="R339" s="32">
        <v>2035</v>
      </c>
      <c r="S339" s="43" t="str">
        <f t="shared" si="44"/>
        <v>*0.64</v>
      </c>
      <c r="U339" s="32" t="s">
        <v>406</v>
      </c>
      <c r="V339" s="42" t="s">
        <v>57</v>
      </c>
      <c r="W339" s="32">
        <v>2050</v>
      </c>
      <c r="X339" s="43" t="str">
        <f t="shared" si="45"/>
        <v>*0.53</v>
      </c>
      <c r="AC339" s="33" t="s">
        <v>406</v>
      </c>
      <c r="AD339" s="44" t="s">
        <v>57</v>
      </c>
      <c r="AE339" s="33">
        <v>2035</v>
      </c>
      <c r="AF339" s="45" t="str">
        <f t="shared" si="46"/>
        <v>*0.6</v>
      </c>
      <c r="AG339" s="43" t="str">
        <f t="shared" si="48"/>
        <v>REZoning_Sol-Win</v>
      </c>
      <c r="AI339" s="33" t="s">
        <v>406</v>
      </c>
      <c r="AJ339" s="44" t="s">
        <v>57</v>
      </c>
      <c r="AK339" s="33">
        <v>2050</v>
      </c>
      <c r="AL339" s="45" t="str">
        <f t="shared" si="47"/>
        <v>*0.5</v>
      </c>
      <c r="AM339" s="43" t="str">
        <f t="shared" si="49"/>
        <v>REZoning_Sol-Win</v>
      </c>
      <c r="AP339" t="s">
        <v>406</v>
      </c>
      <c r="AQ339" t="s">
        <v>57</v>
      </c>
      <c r="AR339">
        <v>2100</v>
      </c>
      <c r="AS339" t="s">
        <v>85</v>
      </c>
      <c r="AT339" t="s">
        <v>58</v>
      </c>
    </row>
    <row r="340" ht="29" spans="1:46">
      <c r="A340" s="31" t="s">
        <v>83</v>
      </c>
      <c r="C340" t="s">
        <v>407</v>
      </c>
      <c r="D340" s="5" t="s">
        <v>57</v>
      </c>
      <c r="E340">
        <v>2035</v>
      </c>
      <c r="F340" s="6" t="str">
        <f t="shared" si="42"/>
        <v>*0.64</v>
      </c>
      <c r="H340" t="s">
        <v>407</v>
      </c>
      <c r="I340" s="5" t="s">
        <v>57</v>
      </c>
      <c r="J340">
        <v>2050</v>
      </c>
      <c r="K340" s="38" t="str">
        <f t="shared" si="43"/>
        <v>*0.54</v>
      </c>
      <c r="P340" s="32" t="s">
        <v>407</v>
      </c>
      <c r="Q340" s="42" t="s">
        <v>57</v>
      </c>
      <c r="R340" s="32">
        <v>2035</v>
      </c>
      <c r="S340" s="43" t="str">
        <f t="shared" si="44"/>
        <v>*0.64</v>
      </c>
      <c r="U340" s="32" t="s">
        <v>407</v>
      </c>
      <c r="V340" s="42" t="s">
        <v>57</v>
      </c>
      <c r="W340" s="32">
        <v>2050</v>
      </c>
      <c r="X340" s="43" t="str">
        <f t="shared" si="45"/>
        <v>*0.53</v>
      </c>
      <c r="AC340" s="33" t="s">
        <v>407</v>
      </c>
      <c r="AD340" s="44" t="s">
        <v>57</v>
      </c>
      <c r="AE340" s="33">
        <v>2035</v>
      </c>
      <c r="AF340" s="45" t="str">
        <f t="shared" si="46"/>
        <v>*0.6</v>
      </c>
      <c r="AG340" s="43" t="str">
        <f t="shared" si="48"/>
        <v>REZoning_Sol-Win</v>
      </c>
      <c r="AI340" s="33" t="s">
        <v>407</v>
      </c>
      <c r="AJ340" s="44" t="s">
        <v>57</v>
      </c>
      <c r="AK340" s="33">
        <v>2050</v>
      </c>
      <c r="AL340" s="45" t="str">
        <f t="shared" si="47"/>
        <v>*0.5</v>
      </c>
      <c r="AM340" s="43" t="str">
        <f t="shared" si="49"/>
        <v>REZoning_Sol-Win</v>
      </c>
      <c r="AP340" t="s">
        <v>407</v>
      </c>
      <c r="AQ340" t="s">
        <v>57</v>
      </c>
      <c r="AR340">
        <v>2100</v>
      </c>
      <c r="AS340" t="s">
        <v>85</v>
      </c>
      <c r="AT340" t="s">
        <v>58</v>
      </c>
    </row>
    <row r="341" ht="29" spans="1:46">
      <c r="A341" s="31" t="s">
        <v>83</v>
      </c>
      <c r="C341" t="s">
        <v>408</v>
      </c>
      <c r="D341" s="5" t="s">
        <v>57</v>
      </c>
      <c r="E341">
        <v>2035</v>
      </c>
      <c r="F341" s="6" t="str">
        <f t="shared" si="42"/>
        <v>*0.64</v>
      </c>
      <c r="H341" t="s">
        <v>408</v>
      </c>
      <c r="I341" s="5" t="s">
        <v>57</v>
      </c>
      <c r="J341">
        <v>2050</v>
      </c>
      <c r="K341" s="38" t="str">
        <f t="shared" si="43"/>
        <v>*0.54</v>
      </c>
      <c r="P341" s="32" t="s">
        <v>408</v>
      </c>
      <c r="Q341" s="42" t="s">
        <v>57</v>
      </c>
      <c r="R341" s="32">
        <v>2035</v>
      </c>
      <c r="S341" s="43" t="str">
        <f t="shared" si="44"/>
        <v>*0.64</v>
      </c>
      <c r="U341" s="32" t="s">
        <v>408</v>
      </c>
      <c r="V341" s="42" t="s">
        <v>57</v>
      </c>
      <c r="W341" s="32">
        <v>2050</v>
      </c>
      <c r="X341" s="43" t="str">
        <f t="shared" si="45"/>
        <v>*0.53</v>
      </c>
      <c r="AC341" s="33" t="s">
        <v>408</v>
      </c>
      <c r="AD341" s="44" t="s">
        <v>57</v>
      </c>
      <c r="AE341" s="33">
        <v>2035</v>
      </c>
      <c r="AF341" s="45" t="str">
        <f t="shared" si="46"/>
        <v>*0.6</v>
      </c>
      <c r="AG341" s="43" t="str">
        <f t="shared" si="48"/>
        <v>REZoning_Sol-Win</v>
      </c>
      <c r="AI341" s="33" t="s">
        <v>408</v>
      </c>
      <c r="AJ341" s="44" t="s">
        <v>57</v>
      </c>
      <c r="AK341" s="33">
        <v>2050</v>
      </c>
      <c r="AL341" s="45" t="str">
        <f t="shared" si="47"/>
        <v>*0.5</v>
      </c>
      <c r="AM341" s="43" t="str">
        <f t="shared" si="49"/>
        <v>REZoning_Sol-Win</v>
      </c>
      <c r="AP341" t="s">
        <v>408</v>
      </c>
      <c r="AQ341" t="s">
        <v>57</v>
      </c>
      <c r="AR341">
        <v>2100</v>
      </c>
      <c r="AS341" t="s">
        <v>85</v>
      </c>
      <c r="AT341" t="s">
        <v>58</v>
      </c>
    </row>
    <row r="342" ht="29" spans="1:46">
      <c r="A342" s="31" t="s">
        <v>83</v>
      </c>
      <c r="C342" t="s">
        <v>409</v>
      </c>
      <c r="D342" s="5" t="s">
        <v>57</v>
      </c>
      <c r="E342">
        <v>2035</v>
      </c>
      <c r="F342" s="6" t="str">
        <f t="shared" si="42"/>
        <v>*0.64</v>
      </c>
      <c r="H342" t="s">
        <v>409</v>
      </c>
      <c r="I342" s="5" t="s">
        <v>57</v>
      </c>
      <c r="J342">
        <v>2050</v>
      </c>
      <c r="K342" s="38" t="str">
        <f t="shared" si="43"/>
        <v>*0.54</v>
      </c>
      <c r="P342" s="32" t="s">
        <v>409</v>
      </c>
      <c r="Q342" s="42" t="s">
        <v>57</v>
      </c>
      <c r="R342" s="32">
        <v>2035</v>
      </c>
      <c r="S342" s="43" t="str">
        <f t="shared" si="44"/>
        <v>*0.64</v>
      </c>
      <c r="U342" s="32" t="s">
        <v>409</v>
      </c>
      <c r="V342" s="42" t="s">
        <v>57</v>
      </c>
      <c r="W342" s="32">
        <v>2050</v>
      </c>
      <c r="X342" s="43" t="str">
        <f t="shared" si="45"/>
        <v>*0.53</v>
      </c>
      <c r="AC342" s="33" t="s">
        <v>409</v>
      </c>
      <c r="AD342" s="44" t="s">
        <v>57</v>
      </c>
      <c r="AE342" s="33">
        <v>2035</v>
      </c>
      <c r="AF342" s="45" t="str">
        <f t="shared" si="46"/>
        <v>*0.6</v>
      </c>
      <c r="AG342" s="43" t="str">
        <f t="shared" si="48"/>
        <v>REZoning_Sol-Win</v>
      </c>
      <c r="AI342" s="33" t="s">
        <v>409</v>
      </c>
      <c r="AJ342" s="44" t="s">
        <v>57</v>
      </c>
      <c r="AK342" s="33">
        <v>2050</v>
      </c>
      <c r="AL342" s="45" t="str">
        <f t="shared" si="47"/>
        <v>*0.5</v>
      </c>
      <c r="AM342" s="43" t="str">
        <f t="shared" si="49"/>
        <v>REZoning_Sol-Win</v>
      </c>
      <c r="AP342" t="s">
        <v>409</v>
      </c>
      <c r="AQ342" t="s">
        <v>57</v>
      </c>
      <c r="AR342">
        <v>2100</v>
      </c>
      <c r="AS342" t="s">
        <v>85</v>
      </c>
      <c r="AT342" t="s">
        <v>58</v>
      </c>
    </row>
    <row r="343" ht="29" spans="1:46">
      <c r="A343" s="31" t="s">
        <v>83</v>
      </c>
      <c r="C343" t="s">
        <v>410</v>
      </c>
      <c r="D343" s="5" t="s">
        <v>57</v>
      </c>
      <c r="E343">
        <v>2035</v>
      </c>
      <c r="F343" s="6" t="str">
        <f t="shared" si="42"/>
        <v>*0.64</v>
      </c>
      <c r="H343" t="s">
        <v>410</v>
      </c>
      <c r="I343" s="5" t="s">
        <v>57</v>
      </c>
      <c r="J343">
        <v>2050</v>
      </c>
      <c r="K343" s="38" t="str">
        <f t="shared" si="43"/>
        <v>*0.54</v>
      </c>
      <c r="P343" s="32" t="s">
        <v>410</v>
      </c>
      <c r="Q343" s="42" t="s">
        <v>57</v>
      </c>
      <c r="R343" s="32">
        <v>2035</v>
      </c>
      <c r="S343" s="43" t="str">
        <f t="shared" si="44"/>
        <v>*0.64</v>
      </c>
      <c r="U343" s="32" t="s">
        <v>410</v>
      </c>
      <c r="V343" s="42" t="s">
        <v>57</v>
      </c>
      <c r="W343" s="32">
        <v>2050</v>
      </c>
      <c r="X343" s="43" t="str">
        <f t="shared" si="45"/>
        <v>*0.53</v>
      </c>
      <c r="AC343" s="33" t="s">
        <v>410</v>
      </c>
      <c r="AD343" s="44" t="s">
        <v>57</v>
      </c>
      <c r="AE343" s="33">
        <v>2035</v>
      </c>
      <c r="AF343" s="45" t="str">
        <f t="shared" si="46"/>
        <v>*0.6</v>
      </c>
      <c r="AG343" s="43" t="str">
        <f t="shared" si="48"/>
        <v>REZoning_Sol-Win</v>
      </c>
      <c r="AI343" s="33" t="s">
        <v>410</v>
      </c>
      <c r="AJ343" s="44" t="s">
        <v>57</v>
      </c>
      <c r="AK343" s="33">
        <v>2050</v>
      </c>
      <c r="AL343" s="45" t="str">
        <f t="shared" si="47"/>
        <v>*0.5</v>
      </c>
      <c r="AM343" s="43" t="str">
        <f t="shared" si="49"/>
        <v>REZoning_Sol-Win</v>
      </c>
      <c r="AP343" t="s">
        <v>410</v>
      </c>
      <c r="AQ343" t="s">
        <v>57</v>
      </c>
      <c r="AR343">
        <v>2100</v>
      </c>
      <c r="AS343" t="s">
        <v>85</v>
      </c>
      <c r="AT343" t="s">
        <v>58</v>
      </c>
    </row>
    <row r="344" ht="29" spans="1:46">
      <c r="A344" s="31" t="s">
        <v>73</v>
      </c>
      <c r="C344" t="s">
        <v>411</v>
      </c>
      <c r="D344" s="5" t="s">
        <v>57</v>
      </c>
      <c r="E344">
        <v>2035</v>
      </c>
      <c r="F344" s="6" t="str">
        <f t="shared" si="42"/>
        <v>*0.63</v>
      </c>
      <c r="H344" t="s">
        <v>411</v>
      </c>
      <c r="I344" s="5" t="s">
        <v>57</v>
      </c>
      <c r="J344">
        <v>2050</v>
      </c>
      <c r="K344" s="38" t="str">
        <f t="shared" si="43"/>
        <v>*0.54</v>
      </c>
      <c r="P344" s="32" t="s">
        <v>411</v>
      </c>
      <c r="Q344" s="42" t="s">
        <v>57</v>
      </c>
      <c r="R344" s="32">
        <v>2035</v>
      </c>
      <c r="S344" s="43" t="str">
        <f t="shared" si="44"/>
        <v>*0.62</v>
      </c>
      <c r="U344" s="32" t="s">
        <v>411</v>
      </c>
      <c r="V344" s="42" t="s">
        <v>57</v>
      </c>
      <c r="W344" s="32">
        <v>2050</v>
      </c>
      <c r="X344" s="43" t="str">
        <f t="shared" si="45"/>
        <v>*0.51</v>
      </c>
      <c r="AC344" s="33" t="s">
        <v>411</v>
      </c>
      <c r="AD344" s="44" t="s">
        <v>57</v>
      </c>
      <c r="AE344" s="33">
        <v>2035</v>
      </c>
      <c r="AF344" s="45" t="str">
        <f t="shared" si="46"/>
        <v>*0.58</v>
      </c>
      <c r="AG344" s="43" t="str">
        <f t="shared" si="48"/>
        <v>REZoning_Sol-Win</v>
      </c>
      <c r="AI344" s="33" t="s">
        <v>411</v>
      </c>
      <c r="AJ344" s="44" t="s">
        <v>57</v>
      </c>
      <c r="AK344" s="33">
        <v>2050</v>
      </c>
      <c r="AL344" s="45" t="str">
        <f t="shared" si="47"/>
        <v>*0.49</v>
      </c>
      <c r="AM344" s="43" t="str">
        <f t="shared" si="49"/>
        <v>REZoning_Sol-Win</v>
      </c>
      <c r="AP344" t="s">
        <v>411</v>
      </c>
      <c r="AQ344" t="s">
        <v>57</v>
      </c>
      <c r="AR344">
        <v>2100</v>
      </c>
      <c r="AS344" t="s">
        <v>75</v>
      </c>
      <c r="AT344" t="s">
        <v>58</v>
      </c>
    </row>
    <row r="345" ht="29" spans="1:46">
      <c r="A345" s="31" t="s">
        <v>73</v>
      </c>
      <c r="C345" t="s">
        <v>412</v>
      </c>
      <c r="D345" s="5" t="s">
        <v>57</v>
      </c>
      <c r="E345">
        <v>2035</v>
      </c>
      <c r="F345" s="6" t="str">
        <f t="shared" si="42"/>
        <v>*0.63</v>
      </c>
      <c r="H345" t="s">
        <v>412</v>
      </c>
      <c r="I345" s="5" t="s">
        <v>57</v>
      </c>
      <c r="J345">
        <v>2050</v>
      </c>
      <c r="K345" s="38" t="str">
        <f t="shared" si="43"/>
        <v>*0.54</v>
      </c>
      <c r="P345" s="32" t="s">
        <v>412</v>
      </c>
      <c r="Q345" s="42" t="s">
        <v>57</v>
      </c>
      <c r="R345" s="32">
        <v>2035</v>
      </c>
      <c r="S345" s="43" t="str">
        <f t="shared" si="44"/>
        <v>*0.62</v>
      </c>
      <c r="U345" s="32" t="s">
        <v>412</v>
      </c>
      <c r="V345" s="42" t="s">
        <v>57</v>
      </c>
      <c r="W345" s="32">
        <v>2050</v>
      </c>
      <c r="X345" s="43" t="str">
        <f t="shared" si="45"/>
        <v>*0.51</v>
      </c>
      <c r="AC345" s="33" t="s">
        <v>412</v>
      </c>
      <c r="AD345" s="44" t="s">
        <v>57</v>
      </c>
      <c r="AE345" s="33">
        <v>2035</v>
      </c>
      <c r="AF345" s="45" t="str">
        <f t="shared" si="46"/>
        <v>*0.58</v>
      </c>
      <c r="AG345" s="43" t="str">
        <f t="shared" si="48"/>
        <v>REZoning_Sol-Win</v>
      </c>
      <c r="AI345" s="33" t="s">
        <v>412</v>
      </c>
      <c r="AJ345" s="44" t="s">
        <v>57</v>
      </c>
      <c r="AK345" s="33">
        <v>2050</v>
      </c>
      <c r="AL345" s="45" t="str">
        <f t="shared" si="47"/>
        <v>*0.49</v>
      </c>
      <c r="AM345" s="43" t="str">
        <f t="shared" si="49"/>
        <v>REZoning_Sol-Win</v>
      </c>
      <c r="AP345" t="s">
        <v>412</v>
      </c>
      <c r="AQ345" t="s">
        <v>57</v>
      </c>
      <c r="AR345">
        <v>2100</v>
      </c>
      <c r="AS345" t="s">
        <v>75</v>
      </c>
      <c r="AT345" t="s">
        <v>58</v>
      </c>
    </row>
    <row r="346" ht="29" spans="1:46">
      <c r="A346" s="31" t="s">
        <v>73</v>
      </c>
      <c r="C346" t="s">
        <v>413</v>
      </c>
      <c r="D346" s="5" t="s">
        <v>57</v>
      </c>
      <c r="E346">
        <v>2035</v>
      </c>
      <c r="F346" s="6" t="str">
        <f t="shared" si="42"/>
        <v>*0.63</v>
      </c>
      <c r="H346" t="s">
        <v>413</v>
      </c>
      <c r="I346" s="5" t="s">
        <v>57</v>
      </c>
      <c r="J346">
        <v>2050</v>
      </c>
      <c r="K346" s="38" t="str">
        <f t="shared" si="43"/>
        <v>*0.54</v>
      </c>
      <c r="P346" s="32" t="s">
        <v>413</v>
      </c>
      <c r="Q346" s="42" t="s">
        <v>57</v>
      </c>
      <c r="R346" s="32">
        <v>2035</v>
      </c>
      <c r="S346" s="43" t="str">
        <f t="shared" si="44"/>
        <v>*0.62</v>
      </c>
      <c r="U346" s="32" t="s">
        <v>413</v>
      </c>
      <c r="V346" s="42" t="s">
        <v>57</v>
      </c>
      <c r="W346" s="32">
        <v>2050</v>
      </c>
      <c r="X346" s="43" t="str">
        <f t="shared" si="45"/>
        <v>*0.51</v>
      </c>
      <c r="AC346" s="33" t="s">
        <v>413</v>
      </c>
      <c r="AD346" s="44" t="s">
        <v>57</v>
      </c>
      <c r="AE346" s="33">
        <v>2035</v>
      </c>
      <c r="AF346" s="45" t="str">
        <f t="shared" si="46"/>
        <v>*0.58</v>
      </c>
      <c r="AG346" s="43" t="str">
        <f t="shared" si="48"/>
        <v>REZoning_Sol-Win</v>
      </c>
      <c r="AI346" s="33" t="s">
        <v>413</v>
      </c>
      <c r="AJ346" s="44" t="s">
        <v>57</v>
      </c>
      <c r="AK346" s="33">
        <v>2050</v>
      </c>
      <c r="AL346" s="45" t="str">
        <f t="shared" si="47"/>
        <v>*0.49</v>
      </c>
      <c r="AM346" s="43" t="str">
        <f t="shared" si="49"/>
        <v>REZoning_Sol-Win</v>
      </c>
      <c r="AP346" t="s">
        <v>413</v>
      </c>
      <c r="AQ346" t="s">
        <v>57</v>
      </c>
      <c r="AR346">
        <v>2100</v>
      </c>
      <c r="AS346" t="s">
        <v>75</v>
      </c>
      <c r="AT346" t="s">
        <v>58</v>
      </c>
    </row>
    <row r="347" ht="29" spans="1:46">
      <c r="A347" s="31" t="s">
        <v>73</v>
      </c>
      <c r="C347" t="s">
        <v>414</v>
      </c>
      <c r="D347" s="5" t="s">
        <v>57</v>
      </c>
      <c r="E347">
        <v>2035</v>
      </c>
      <c r="F347" s="6" t="str">
        <f t="shared" si="42"/>
        <v>*0.63</v>
      </c>
      <c r="H347" t="s">
        <v>414</v>
      </c>
      <c r="I347" s="5" t="s">
        <v>57</v>
      </c>
      <c r="J347">
        <v>2050</v>
      </c>
      <c r="K347" s="38" t="str">
        <f t="shared" si="43"/>
        <v>*0.54</v>
      </c>
      <c r="P347" s="32" t="s">
        <v>414</v>
      </c>
      <c r="Q347" s="42" t="s">
        <v>57</v>
      </c>
      <c r="R347" s="32">
        <v>2035</v>
      </c>
      <c r="S347" s="43" t="str">
        <f t="shared" si="44"/>
        <v>*0.62</v>
      </c>
      <c r="U347" s="32" t="s">
        <v>414</v>
      </c>
      <c r="V347" s="42" t="s">
        <v>57</v>
      </c>
      <c r="W347" s="32">
        <v>2050</v>
      </c>
      <c r="X347" s="43" t="str">
        <f t="shared" si="45"/>
        <v>*0.51</v>
      </c>
      <c r="AC347" s="33" t="s">
        <v>414</v>
      </c>
      <c r="AD347" s="44" t="s">
        <v>57</v>
      </c>
      <c r="AE347" s="33">
        <v>2035</v>
      </c>
      <c r="AF347" s="45" t="str">
        <f t="shared" si="46"/>
        <v>*0.58</v>
      </c>
      <c r="AG347" s="43" t="str">
        <f t="shared" si="48"/>
        <v>REZoning_Sol-Win</v>
      </c>
      <c r="AI347" s="33" t="s">
        <v>414</v>
      </c>
      <c r="AJ347" s="44" t="s">
        <v>57</v>
      </c>
      <c r="AK347" s="33">
        <v>2050</v>
      </c>
      <c r="AL347" s="45" t="str">
        <f t="shared" si="47"/>
        <v>*0.49</v>
      </c>
      <c r="AM347" s="43" t="str">
        <f t="shared" si="49"/>
        <v>REZoning_Sol-Win</v>
      </c>
      <c r="AP347" t="s">
        <v>414</v>
      </c>
      <c r="AQ347" t="s">
        <v>57</v>
      </c>
      <c r="AR347">
        <v>2100</v>
      </c>
      <c r="AS347" t="s">
        <v>75</v>
      </c>
      <c r="AT347" t="s">
        <v>58</v>
      </c>
    </row>
    <row r="348" ht="29" spans="1:46">
      <c r="A348" s="31" t="s">
        <v>83</v>
      </c>
      <c r="C348" t="s">
        <v>415</v>
      </c>
      <c r="D348" s="5" t="s">
        <v>57</v>
      </c>
      <c r="E348">
        <v>2035</v>
      </c>
      <c r="F348" s="6" t="str">
        <f t="shared" si="42"/>
        <v>*0.64</v>
      </c>
      <c r="H348" t="s">
        <v>415</v>
      </c>
      <c r="I348" s="5" t="s">
        <v>57</v>
      </c>
      <c r="J348">
        <v>2050</v>
      </c>
      <c r="K348" s="38" t="str">
        <f t="shared" si="43"/>
        <v>*0.54</v>
      </c>
      <c r="P348" s="32" t="s">
        <v>415</v>
      </c>
      <c r="Q348" s="42" t="s">
        <v>57</v>
      </c>
      <c r="R348" s="32">
        <v>2035</v>
      </c>
      <c r="S348" s="43" t="str">
        <f t="shared" si="44"/>
        <v>*0.64</v>
      </c>
      <c r="U348" s="32" t="s">
        <v>415</v>
      </c>
      <c r="V348" s="42" t="s">
        <v>57</v>
      </c>
      <c r="W348" s="32">
        <v>2050</v>
      </c>
      <c r="X348" s="43" t="str">
        <f t="shared" si="45"/>
        <v>*0.53</v>
      </c>
      <c r="AC348" s="33" t="s">
        <v>415</v>
      </c>
      <c r="AD348" s="44" t="s">
        <v>57</v>
      </c>
      <c r="AE348" s="33">
        <v>2035</v>
      </c>
      <c r="AF348" s="45" t="str">
        <f t="shared" si="46"/>
        <v>*0.6</v>
      </c>
      <c r="AG348" s="43" t="str">
        <f t="shared" si="48"/>
        <v>REZoning_Sol-Win</v>
      </c>
      <c r="AI348" s="33" t="s">
        <v>415</v>
      </c>
      <c r="AJ348" s="44" t="s">
        <v>57</v>
      </c>
      <c r="AK348" s="33">
        <v>2050</v>
      </c>
      <c r="AL348" s="45" t="str">
        <f t="shared" si="47"/>
        <v>*0.5</v>
      </c>
      <c r="AM348" s="43" t="str">
        <f t="shared" si="49"/>
        <v>REZoning_Sol-Win</v>
      </c>
      <c r="AP348" t="s">
        <v>415</v>
      </c>
      <c r="AQ348" t="s">
        <v>57</v>
      </c>
      <c r="AR348">
        <v>2100</v>
      </c>
      <c r="AS348" t="s">
        <v>85</v>
      </c>
      <c r="AT348" t="s">
        <v>58</v>
      </c>
    </row>
    <row r="349" ht="29" spans="1:46">
      <c r="A349" s="31" t="s">
        <v>83</v>
      </c>
      <c r="C349" t="s">
        <v>416</v>
      </c>
      <c r="D349" s="5" t="s">
        <v>57</v>
      </c>
      <c r="E349">
        <v>2035</v>
      </c>
      <c r="F349" s="6" t="str">
        <f t="shared" si="42"/>
        <v>*0.64</v>
      </c>
      <c r="H349" t="s">
        <v>416</v>
      </c>
      <c r="I349" s="5" t="s">
        <v>57</v>
      </c>
      <c r="J349">
        <v>2050</v>
      </c>
      <c r="K349" s="38" t="str">
        <f t="shared" si="43"/>
        <v>*0.54</v>
      </c>
      <c r="P349" s="32" t="s">
        <v>416</v>
      </c>
      <c r="Q349" s="42" t="s">
        <v>57</v>
      </c>
      <c r="R349" s="32">
        <v>2035</v>
      </c>
      <c r="S349" s="43" t="str">
        <f t="shared" si="44"/>
        <v>*0.64</v>
      </c>
      <c r="U349" s="32" t="s">
        <v>416</v>
      </c>
      <c r="V349" s="42" t="s">
        <v>57</v>
      </c>
      <c r="W349" s="32">
        <v>2050</v>
      </c>
      <c r="X349" s="43" t="str">
        <f t="shared" si="45"/>
        <v>*0.53</v>
      </c>
      <c r="AC349" s="33" t="s">
        <v>416</v>
      </c>
      <c r="AD349" s="44" t="s">
        <v>57</v>
      </c>
      <c r="AE349" s="33">
        <v>2035</v>
      </c>
      <c r="AF349" s="45" t="str">
        <f t="shared" si="46"/>
        <v>*0.6</v>
      </c>
      <c r="AG349" s="43" t="str">
        <f t="shared" si="48"/>
        <v>REZoning_Sol-Win</v>
      </c>
      <c r="AI349" s="33" t="s">
        <v>416</v>
      </c>
      <c r="AJ349" s="44" t="s">
        <v>57</v>
      </c>
      <c r="AK349" s="33">
        <v>2050</v>
      </c>
      <c r="AL349" s="45" t="str">
        <f t="shared" si="47"/>
        <v>*0.5</v>
      </c>
      <c r="AM349" s="43" t="str">
        <f t="shared" si="49"/>
        <v>REZoning_Sol-Win</v>
      </c>
      <c r="AP349" t="s">
        <v>416</v>
      </c>
      <c r="AQ349" t="s">
        <v>57</v>
      </c>
      <c r="AR349">
        <v>2100</v>
      </c>
      <c r="AS349" t="s">
        <v>85</v>
      </c>
      <c r="AT349" t="s">
        <v>58</v>
      </c>
    </row>
    <row r="350" ht="29" spans="1:46">
      <c r="A350" s="31" t="s">
        <v>83</v>
      </c>
      <c r="C350" t="s">
        <v>417</v>
      </c>
      <c r="D350" s="5" t="s">
        <v>57</v>
      </c>
      <c r="E350">
        <v>2035</v>
      </c>
      <c r="F350" s="6" t="str">
        <f t="shared" si="42"/>
        <v>*0.64</v>
      </c>
      <c r="H350" t="s">
        <v>417</v>
      </c>
      <c r="I350" s="5" t="s">
        <v>57</v>
      </c>
      <c r="J350">
        <v>2050</v>
      </c>
      <c r="K350" s="38" t="str">
        <f t="shared" si="43"/>
        <v>*0.54</v>
      </c>
      <c r="P350" s="32" t="s">
        <v>417</v>
      </c>
      <c r="Q350" s="42" t="s">
        <v>57</v>
      </c>
      <c r="R350" s="32">
        <v>2035</v>
      </c>
      <c r="S350" s="43" t="str">
        <f t="shared" si="44"/>
        <v>*0.64</v>
      </c>
      <c r="U350" s="32" t="s">
        <v>417</v>
      </c>
      <c r="V350" s="42" t="s">
        <v>57</v>
      </c>
      <c r="W350" s="32">
        <v>2050</v>
      </c>
      <c r="X350" s="43" t="str">
        <f t="shared" si="45"/>
        <v>*0.53</v>
      </c>
      <c r="AC350" s="33" t="s">
        <v>417</v>
      </c>
      <c r="AD350" s="44" t="s">
        <v>57</v>
      </c>
      <c r="AE350" s="33">
        <v>2035</v>
      </c>
      <c r="AF350" s="45" t="str">
        <f t="shared" si="46"/>
        <v>*0.6</v>
      </c>
      <c r="AG350" s="43" t="str">
        <f t="shared" si="48"/>
        <v>REZoning_Sol-Win</v>
      </c>
      <c r="AI350" s="33" t="s">
        <v>417</v>
      </c>
      <c r="AJ350" s="44" t="s">
        <v>57</v>
      </c>
      <c r="AK350" s="33">
        <v>2050</v>
      </c>
      <c r="AL350" s="45" t="str">
        <f t="shared" si="47"/>
        <v>*0.5</v>
      </c>
      <c r="AM350" s="43" t="str">
        <f t="shared" si="49"/>
        <v>REZoning_Sol-Win</v>
      </c>
      <c r="AP350" t="s">
        <v>417</v>
      </c>
      <c r="AQ350" t="s">
        <v>57</v>
      </c>
      <c r="AR350">
        <v>2100</v>
      </c>
      <c r="AS350" t="s">
        <v>85</v>
      </c>
      <c r="AT350" t="s">
        <v>58</v>
      </c>
    </row>
    <row r="351" ht="29" spans="1:46">
      <c r="A351" s="31" t="s">
        <v>73</v>
      </c>
      <c r="C351" t="s">
        <v>418</v>
      </c>
      <c r="D351" s="5" t="s">
        <v>57</v>
      </c>
      <c r="E351">
        <v>2035</v>
      </c>
      <c r="F351" s="6" t="str">
        <f t="shared" si="42"/>
        <v>*0.63</v>
      </c>
      <c r="H351" t="s">
        <v>418</v>
      </c>
      <c r="I351" s="5" t="s">
        <v>57</v>
      </c>
      <c r="J351">
        <v>2050</v>
      </c>
      <c r="K351" s="38" t="str">
        <f t="shared" si="43"/>
        <v>*0.54</v>
      </c>
      <c r="P351" s="32" t="s">
        <v>418</v>
      </c>
      <c r="Q351" s="42" t="s">
        <v>57</v>
      </c>
      <c r="R351" s="32">
        <v>2035</v>
      </c>
      <c r="S351" s="43" t="str">
        <f t="shared" si="44"/>
        <v>*0.62</v>
      </c>
      <c r="U351" s="32" t="s">
        <v>418</v>
      </c>
      <c r="V351" s="42" t="s">
        <v>57</v>
      </c>
      <c r="W351" s="32">
        <v>2050</v>
      </c>
      <c r="X351" s="43" t="str">
        <f t="shared" si="45"/>
        <v>*0.51</v>
      </c>
      <c r="AC351" s="33" t="s">
        <v>418</v>
      </c>
      <c r="AD351" s="44" t="s">
        <v>57</v>
      </c>
      <c r="AE351" s="33">
        <v>2035</v>
      </c>
      <c r="AF351" s="45" t="str">
        <f t="shared" si="46"/>
        <v>*0.58</v>
      </c>
      <c r="AG351" s="43" t="str">
        <f t="shared" si="48"/>
        <v>REZoning_Sol-Win</v>
      </c>
      <c r="AI351" s="33" t="s">
        <v>418</v>
      </c>
      <c r="AJ351" s="44" t="s">
        <v>57</v>
      </c>
      <c r="AK351" s="33">
        <v>2050</v>
      </c>
      <c r="AL351" s="45" t="str">
        <f t="shared" si="47"/>
        <v>*0.49</v>
      </c>
      <c r="AM351" s="43" t="str">
        <f t="shared" si="49"/>
        <v>REZoning_Sol-Win</v>
      </c>
      <c r="AP351" t="s">
        <v>418</v>
      </c>
      <c r="AQ351" t="s">
        <v>57</v>
      </c>
      <c r="AR351">
        <v>2100</v>
      </c>
      <c r="AS351" t="s">
        <v>75</v>
      </c>
      <c r="AT351" t="s">
        <v>58</v>
      </c>
    </row>
    <row r="352" ht="29" spans="1:46">
      <c r="A352" s="31" t="s">
        <v>73</v>
      </c>
      <c r="C352" t="s">
        <v>419</v>
      </c>
      <c r="D352" s="5" t="s">
        <v>57</v>
      </c>
      <c r="E352">
        <v>2035</v>
      </c>
      <c r="F352" s="6" t="str">
        <f t="shared" si="42"/>
        <v>*0.63</v>
      </c>
      <c r="H352" t="s">
        <v>419</v>
      </c>
      <c r="I352" s="5" t="s">
        <v>57</v>
      </c>
      <c r="J352">
        <v>2050</v>
      </c>
      <c r="K352" s="38" t="str">
        <f t="shared" si="43"/>
        <v>*0.54</v>
      </c>
      <c r="P352" s="32" t="s">
        <v>419</v>
      </c>
      <c r="Q352" s="42" t="s">
        <v>57</v>
      </c>
      <c r="R352" s="32">
        <v>2035</v>
      </c>
      <c r="S352" s="43" t="str">
        <f t="shared" si="44"/>
        <v>*0.62</v>
      </c>
      <c r="U352" s="32" t="s">
        <v>419</v>
      </c>
      <c r="V352" s="42" t="s">
        <v>57</v>
      </c>
      <c r="W352" s="32">
        <v>2050</v>
      </c>
      <c r="X352" s="43" t="str">
        <f t="shared" si="45"/>
        <v>*0.51</v>
      </c>
      <c r="AC352" s="33" t="s">
        <v>419</v>
      </c>
      <c r="AD352" s="44" t="s">
        <v>57</v>
      </c>
      <c r="AE352" s="33">
        <v>2035</v>
      </c>
      <c r="AF352" s="45" t="str">
        <f t="shared" si="46"/>
        <v>*0.58</v>
      </c>
      <c r="AG352" s="43" t="str">
        <f t="shared" si="48"/>
        <v>REZoning_Sol-Win</v>
      </c>
      <c r="AI352" s="33" t="s">
        <v>419</v>
      </c>
      <c r="AJ352" s="44" t="s">
        <v>57</v>
      </c>
      <c r="AK352" s="33">
        <v>2050</v>
      </c>
      <c r="AL352" s="45" t="str">
        <f t="shared" si="47"/>
        <v>*0.49</v>
      </c>
      <c r="AM352" s="43" t="str">
        <f t="shared" si="49"/>
        <v>REZoning_Sol-Win</v>
      </c>
      <c r="AP352" t="s">
        <v>419</v>
      </c>
      <c r="AQ352" t="s">
        <v>57</v>
      </c>
      <c r="AR352">
        <v>2100</v>
      </c>
      <c r="AS352" t="s">
        <v>75</v>
      </c>
      <c r="AT352" t="s">
        <v>58</v>
      </c>
    </row>
    <row r="353" ht="29" spans="1:46">
      <c r="A353" s="31" t="s">
        <v>73</v>
      </c>
      <c r="C353" t="s">
        <v>420</v>
      </c>
      <c r="D353" s="5" t="s">
        <v>57</v>
      </c>
      <c r="E353">
        <v>2035</v>
      </c>
      <c r="F353" s="6" t="str">
        <f t="shared" si="42"/>
        <v>*0.63</v>
      </c>
      <c r="H353" t="s">
        <v>420</v>
      </c>
      <c r="I353" s="5" t="s">
        <v>57</v>
      </c>
      <c r="J353">
        <v>2050</v>
      </c>
      <c r="K353" s="38" t="str">
        <f t="shared" si="43"/>
        <v>*0.54</v>
      </c>
      <c r="P353" s="32" t="s">
        <v>420</v>
      </c>
      <c r="Q353" s="42" t="s">
        <v>57</v>
      </c>
      <c r="R353" s="32">
        <v>2035</v>
      </c>
      <c r="S353" s="43" t="str">
        <f t="shared" si="44"/>
        <v>*0.62</v>
      </c>
      <c r="U353" s="32" t="s">
        <v>420</v>
      </c>
      <c r="V353" s="42" t="s">
        <v>57</v>
      </c>
      <c r="W353" s="32">
        <v>2050</v>
      </c>
      <c r="X353" s="43" t="str">
        <f t="shared" si="45"/>
        <v>*0.51</v>
      </c>
      <c r="AC353" s="33" t="s">
        <v>420</v>
      </c>
      <c r="AD353" s="44" t="s">
        <v>57</v>
      </c>
      <c r="AE353" s="33">
        <v>2035</v>
      </c>
      <c r="AF353" s="45" t="str">
        <f t="shared" si="46"/>
        <v>*0.58</v>
      </c>
      <c r="AG353" s="43" t="str">
        <f t="shared" si="48"/>
        <v>REZoning_Sol-Win</v>
      </c>
      <c r="AI353" s="33" t="s">
        <v>420</v>
      </c>
      <c r="AJ353" s="44" t="s">
        <v>57</v>
      </c>
      <c r="AK353" s="33">
        <v>2050</v>
      </c>
      <c r="AL353" s="45" t="str">
        <f t="shared" si="47"/>
        <v>*0.49</v>
      </c>
      <c r="AM353" s="43" t="str">
        <f t="shared" si="49"/>
        <v>REZoning_Sol-Win</v>
      </c>
      <c r="AP353" t="s">
        <v>420</v>
      </c>
      <c r="AQ353" t="s">
        <v>57</v>
      </c>
      <c r="AR353">
        <v>2100</v>
      </c>
      <c r="AS353" t="s">
        <v>75</v>
      </c>
      <c r="AT353" t="s">
        <v>58</v>
      </c>
    </row>
    <row r="354" ht="29" spans="1:46">
      <c r="A354" s="31" t="s">
        <v>73</v>
      </c>
      <c r="C354" t="s">
        <v>421</v>
      </c>
      <c r="D354" s="5" t="s">
        <v>57</v>
      </c>
      <c r="E354">
        <v>2035</v>
      </c>
      <c r="F354" s="6" t="str">
        <f t="shared" si="42"/>
        <v>*0.63</v>
      </c>
      <c r="H354" t="s">
        <v>421</v>
      </c>
      <c r="I354" s="5" t="s">
        <v>57</v>
      </c>
      <c r="J354">
        <v>2050</v>
      </c>
      <c r="K354" s="38" t="str">
        <f t="shared" si="43"/>
        <v>*0.54</v>
      </c>
      <c r="P354" s="32" t="s">
        <v>421</v>
      </c>
      <c r="Q354" s="42" t="s">
        <v>57</v>
      </c>
      <c r="R354" s="32">
        <v>2035</v>
      </c>
      <c r="S354" s="43" t="str">
        <f t="shared" si="44"/>
        <v>*0.62</v>
      </c>
      <c r="U354" s="32" t="s">
        <v>421</v>
      </c>
      <c r="V354" s="42" t="s">
        <v>57</v>
      </c>
      <c r="W354" s="32">
        <v>2050</v>
      </c>
      <c r="X354" s="43" t="str">
        <f t="shared" si="45"/>
        <v>*0.51</v>
      </c>
      <c r="AC354" s="33" t="s">
        <v>421</v>
      </c>
      <c r="AD354" s="44" t="s">
        <v>57</v>
      </c>
      <c r="AE354" s="33">
        <v>2035</v>
      </c>
      <c r="AF354" s="45" t="str">
        <f t="shared" si="46"/>
        <v>*0.58</v>
      </c>
      <c r="AG354" s="43" t="str">
        <f t="shared" si="48"/>
        <v>REZoning_Sol-Win</v>
      </c>
      <c r="AI354" s="33" t="s">
        <v>421</v>
      </c>
      <c r="AJ354" s="44" t="s">
        <v>57</v>
      </c>
      <c r="AK354" s="33">
        <v>2050</v>
      </c>
      <c r="AL354" s="45" t="str">
        <f t="shared" si="47"/>
        <v>*0.49</v>
      </c>
      <c r="AM354" s="43" t="str">
        <f t="shared" si="49"/>
        <v>REZoning_Sol-Win</v>
      </c>
      <c r="AP354" t="s">
        <v>421</v>
      </c>
      <c r="AQ354" t="s">
        <v>57</v>
      </c>
      <c r="AR354">
        <v>2100</v>
      </c>
      <c r="AS354" t="s">
        <v>75</v>
      </c>
      <c r="AT354" t="s">
        <v>58</v>
      </c>
    </row>
    <row r="355" ht="29" spans="1:46">
      <c r="A355" s="31" t="s">
        <v>169</v>
      </c>
      <c r="C355" t="s">
        <v>422</v>
      </c>
      <c r="D355" s="5" t="s">
        <v>57</v>
      </c>
      <c r="E355">
        <v>2035</v>
      </c>
      <c r="F355" s="6" t="str">
        <f t="shared" si="42"/>
        <v>*0.61</v>
      </c>
      <c r="H355" t="s">
        <v>422</v>
      </c>
      <c r="I355" s="5" t="s">
        <v>57</v>
      </c>
      <c r="J355">
        <v>2050</v>
      </c>
      <c r="K355" s="38" t="str">
        <f t="shared" si="43"/>
        <v>*0.49</v>
      </c>
      <c r="P355" s="32" t="s">
        <v>422</v>
      </c>
      <c r="Q355" s="42" t="s">
        <v>57</v>
      </c>
      <c r="R355" s="32">
        <v>2035</v>
      </c>
      <c r="S355" s="43" t="str">
        <f t="shared" si="44"/>
        <v>*0.59</v>
      </c>
      <c r="U355" s="32" t="s">
        <v>422</v>
      </c>
      <c r="V355" s="42" t="s">
        <v>57</v>
      </c>
      <c r="W355" s="32">
        <v>2050</v>
      </c>
      <c r="X355" s="43" t="str">
        <f t="shared" si="45"/>
        <v>*0.47</v>
      </c>
      <c r="AC355" s="33" t="s">
        <v>422</v>
      </c>
      <c r="AD355" s="44" t="s">
        <v>57</v>
      </c>
      <c r="AE355" s="33">
        <v>2035</v>
      </c>
      <c r="AF355" s="45" t="str">
        <f t="shared" si="46"/>
        <v>*0.54</v>
      </c>
      <c r="AG355" s="43" t="str">
        <f t="shared" si="48"/>
        <v>REZoning_Sol-Win</v>
      </c>
      <c r="AI355" s="33" t="s">
        <v>422</v>
      </c>
      <c r="AJ355" s="44" t="s">
        <v>57</v>
      </c>
      <c r="AK355" s="33">
        <v>2050</v>
      </c>
      <c r="AL355" s="45" t="str">
        <f t="shared" si="47"/>
        <v>*0.44</v>
      </c>
      <c r="AM355" s="43" t="str">
        <f t="shared" si="49"/>
        <v>REZoning_Sol-Win</v>
      </c>
      <c r="AP355" t="s">
        <v>422</v>
      </c>
      <c r="AQ355" t="s">
        <v>57</v>
      </c>
      <c r="AR355">
        <v>2100</v>
      </c>
      <c r="AS355" t="s">
        <v>171</v>
      </c>
      <c r="AT355" t="s">
        <v>58</v>
      </c>
    </row>
    <row r="356" ht="29" spans="1:46">
      <c r="A356" s="31" t="s">
        <v>169</v>
      </c>
      <c r="C356" t="s">
        <v>423</v>
      </c>
      <c r="D356" s="5" t="s">
        <v>57</v>
      </c>
      <c r="E356">
        <v>2035</v>
      </c>
      <c r="F356" s="6" t="str">
        <f t="shared" si="42"/>
        <v>*0.61</v>
      </c>
      <c r="H356" t="s">
        <v>423</v>
      </c>
      <c r="I356" s="5" t="s">
        <v>57</v>
      </c>
      <c r="J356">
        <v>2050</v>
      </c>
      <c r="K356" s="38" t="str">
        <f t="shared" si="43"/>
        <v>*0.49</v>
      </c>
      <c r="P356" s="32" t="s">
        <v>423</v>
      </c>
      <c r="Q356" s="42" t="s">
        <v>57</v>
      </c>
      <c r="R356" s="32">
        <v>2035</v>
      </c>
      <c r="S356" s="43" t="str">
        <f t="shared" si="44"/>
        <v>*0.59</v>
      </c>
      <c r="U356" s="32" t="s">
        <v>423</v>
      </c>
      <c r="V356" s="42" t="s">
        <v>57</v>
      </c>
      <c r="W356" s="32">
        <v>2050</v>
      </c>
      <c r="X356" s="43" t="str">
        <f t="shared" si="45"/>
        <v>*0.47</v>
      </c>
      <c r="AC356" s="33" t="s">
        <v>423</v>
      </c>
      <c r="AD356" s="44" t="s">
        <v>57</v>
      </c>
      <c r="AE356" s="33">
        <v>2035</v>
      </c>
      <c r="AF356" s="45" t="str">
        <f t="shared" si="46"/>
        <v>*0.54</v>
      </c>
      <c r="AG356" s="43" t="str">
        <f t="shared" si="48"/>
        <v>REZoning_Sol-Win</v>
      </c>
      <c r="AI356" s="33" t="s">
        <v>423</v>
      </c>
      <c r="AJ356" s="44" t="s">
        <v>57</v>
      </c>
      <c r="AK356" s="33">
        <v>2050</v>
      </c>
      <c r="AL356" s="45" t="str">
        <f t="shared" si="47"/>
        <v>*0.44</v>
      </c>
      <c r="AM356" s="43" t="str">
        <f t="shared" si="49"/>
        <v>REZoning_Sol-Win</v>
      </c>
      <c r="AP356" t="s">
        <v>423</v>
      </c>
      <c r="AQ356" t="s">
        <v>57</v>
      </c>
      <c r="AR356">
        <v>2100</v>
      </c>
      <c r="AS356" t="s">
        <v>171</v>
      </c>
      <c r="AT356" t="s">
        <v>58</v>
      </c>
    </row>
    <row r="357" ht="29" spans="1:46">
      <c r="A357" s="31" t="s">
        <v>169</v>
      </c>
      <c r="C357" t="s">
        <v>424</v>
      </c>
      <c r="D357" s="5" t="s">
        <v>57</v>
      </c>
      <c r="E357">
        <v>2035</v>
      </c>
      <c r="F357" s="6" t="str">
        <f t="shared" si="42"/>
        <v>*0.61</v>
      </c>
      <c r="H357" t="s">
        <v>424</v>
      </c>
      <c r="I357" s="5" t="s">
        <v>57</v>
      </c>
      <c r="J357">
        <v>2050</v>
      </c>
      <c r="K357" s="38" t="str">
        <f t="shared" si="43"/>
        <v>*0.49</v>
      </c>
      <c r="P357" s="32" t="s">
        <v>424</v>
      </c>
      <c r="Q357" s="42" t="s">
        <v>57</v>
      </c>
      <c r="R357" s="32">
        <v>2035</v>
      </c>
      <c r="S357" s="43" t="str">
        <f t="shared" si="44"/>
        <v>*0.59</v>
      </c>
      <c r="U357" s="32" t="s">
        <v>424</v>
      </c>
      <c r="V357" s="42" t="s">
        <v>57</v>
      </c>
      <c r="W357" s="32">
        <v>2050</v>
      </c>
      <c r="X357" s="43" t="str">
        <f t="shared" si="45"/>
        <v>*0.47</v>
      </c>
      <c r="AC357" s="33" t="s">
        <v>424</v>
      </c>
      <c r="AD357" s="44" t="s">
        <v>57</v>
      </c>
      <c r="AE357" s="33">
        <v>2035</v>
      </c>
      <c r="AF357" s="45" t="str">
        <f t="shared" si="46"/>
        <v>*0.54</v>
      </c>
      <c r="AG357" s="43" t="str">
        <f t="shared" si="48"/>
        <v>REZoning_Sol-Win</v>
      </c>
      <c r="AI357" s="33" t="s">
        <v>424</v>
      </c>
      <c r="AJ357" s="44" t="s">
        <v>57</v>
      </c>
      <c r="AK357" s="33">
        <v>2050</v>
      </c>
      <c r="AL357" s="45" t="str">
        <f t="shared" si="47"/>
        <v>*0.44</v>
      </c>
      <c r="AM357" s="43" t="str">
        <f t="shared" si="49"/>
        <v>REZoning_Sol-Win</v>
      </c>
      <c r="AP357" t="s">
        <v>424</v>
      </c>
      <c r="AQ357" t="s">
        <v>57</v>
      </c>
      <c r="AR357">
        <v>2100</v>
      </c>
      <c r="AS357" t="s">
        <v>171</v>
      </c>
      <c r="AT357" t="s">
        <v>58</v>
      </c>
    </row>
    <row r="358" ht="29" spans="1:46">
      <c r="A358" s="31" t="s">
        <v>169</v>
      </c>
      <c r="C358" t="s">
        <v>425</v>
      </c>
      <c r="D358" s="5" t="s">
        <v>57</v>
      </c>
      <c r="E358">
        <v>2035</v>
      </c>
      <c r="F358" s="6" t="str">
        <f t="shared" si="42"/>
        <v>*0.61</v>
      </c>
      <c r="H358" t="s">
        <v>425</v>
      </c>
      <c r="I358" s="5" t="s">
        <v>57</v>
      </c>
      <c r="J358">
        <v>2050</v>
      </c>
      <c r="K358" s="38" t="str">
        <f t="shared" si="43"/>
        <v>*0.49</v>
      </c>
      <c r="P358" s="32" t="s">
        <v>425</v>
      </c>
      <c r="Q358" s="42" t="s">
        <v>57</v>
      </c>
      <c r="R358" s="32">
        <v>2035</v>
      </c>
      <c r="S358" s="43" t="str">
        <f t="shared" si="44"/>
        <v>*0.59</v>
      </c>
      <c r="U358" s="32" t="s">
        <v>425</v>
      </c>
      <c r="V358" s="42" t="s">
        <v>57</v>
      </c>
      <c r="W358" s="32">
        <v>2050</v>
      </c>
      <c r="X358" s="43" t="str">
        <f t="shared" si="45"/>
        <v>*0.47</v>
      </c>
      <c r="AC358" s="33" t="s">
        <v>425</v>
      </c>
      <c r="AD358" s="44" t="s">
        <v>57</v>
      </c>
      <c r="AE358" s="33">
        <v>2035</v>
      </c>
      <c r="AF358" s="45" t="str">
        <f t="shared" si="46"/>
        <v>*0.54</v>
      </c>
      <c r="AG358" s="43" t="str">
        <f t="shared" si="48"/>
        <v>REZoning_Sol-Win</v>
      </c>
      <c r="AI358" s="33" t="s">
        <v>425</v>
      </c>
      <c r="AJ358" s="44" t="s">
        <v>57</v>
      </c>
      <c r="AK358" s="33">
        <v>2050</v>
      </c>
      <c r="AL358" s="45" t="str">
        <f t="shared" si="47"/>
        <v>*0.44</v>
      </c>
      <c r="AM358" s="43" t="str">
        <f t="shared" si="49"/>
        <v>REZoning_Sol-Win</v>
      </c>
      <c r="AP358" t="s">
        <v>425</v>
      </c>
      <c r="AQ358" t="s">
        <v>57</v>
      </c>
      <c r="AR358">
        <v>2100</v>
      </c>
      <c r="AS358" t="s">
        <v>171</v>
      </c>
      <c r="AT358" t="s">
        <v>58</v>
      </c>
    </row>
    <row r="359" ht="29" spans="1:46">
      <c r="A359" s="31" t="s">
        <v>169</v>
      </c>
      <c r="C359" t="s">
        <v>426</v>
      </c>
      <c r="D359" s="5" t="s">
        <v>57</v>
      </c>
      <c r="E359">
        <v>2035</v>
      </c>
      <c r="F359" s="6" t="str">
        <f t="shared" si="42"/>
        <v>*0.61</v>
      </c>
      <c r="H359" t="s">
        <v>426</v>
      </c>
      <c r="I359" s="5" t="s">
        <v>57</v>
      </c>
      <c r="J359">
        <v>2050</v>
      </c>
      <c r="K359" s="38" t="str">
        <f t="shared" si="43"/>
        <v>*0.49</v>
      </c>
      <c r="P359" s="32" t="s">
        <v>426</v>
      </c>
      <c r="Q359" s="42" t="s">
        <v>57</v>
      </c>
      <c r="R359" s="32">
        <v>2035</v>
      </c>
      <c r="S359" s="43" t="str">
        <f t="shared" si="44"/>
        <v>*0.59</v>
      </c>
      <c r="U359" s="32" t="s">
        <v>426</v>
      </c>
      <c r="V359" s="42" t="s">
        <v>57</v>
      </c>
      <c r="W359" s="32">
        <v>2050</v>
      </c>
      <c r="X359" s="43" t="str">
        <f t="shared" si="45"/>
        <v>*0.47</v>
      </c>
      <c r="AC359" s="33" t="s">
        <v>426</v>
      </c>
      <c r="AD359" s="44" t="s">
        <v>57</v>
      </c>
      <c r="AE359" s="33">
        <v>2035</v>
      </c>
      <c r="AF359" s="45" t="str">
        <f t="shared" si="46"/>
        <v>*0.54</v>
      </c>
      <c r="AG359" s="43" t="str">
        <f t="shared" si="48"/>
        <v>REZoning_Sol-Win</v>
      </c>
      <c r="AI359" s="33" t="s">
        <v>426</v>
      </c>
      <c r="AJ359" s="44" t="s">
        <v>57</v>
      </c>
      <c r="AK359" s="33">
        <v>2050</v>
      </c>
      <c r="AL359" s="45" t="str">
        <f t="shared" si="47"/>
        <v>*0.44</v>
      </c>
      <c r="AM359" s="43" t="str">
        <f t="shared" si="49"/>
        <v>REZoning_Sol-Win</v>
      </c>
      <c r="AP359" t="s">
        <v>426</v>
      </c>
      <c r="AQ359" t="s">
        <v>57</v>
      </c>
      <c r="AR359">
        <v>2100</v>
      </c>
      <c r="AS359" t="s">
        <v>171</v>
      </c>
      <c r="AT359" t="s">
        <v>58</v>
      </c>
    </row>
    <row r="360" ht="29" spans="1:46">
      <c r="A360" s="31" t="s">
        <v>169</v>
      </c>
      <c r="C360" t="s">
        <v>427</v>
      </c>
      <c r="D360" s="5" t="s">
        <v>57</v>
      </c>
      <c r="E360">
        <v>2035</v>
      </c>
      <c r="F360" s="6" t="str">
        <f t="shared" si="42"/>
        <v>*0.61</v>
      </c>
      <c r="H360" t="s">
        <v>427</v>
      </c>
      <c r="I360" s="5" t="s">
        <v>57</v>
      </c>
      <c r="J360">
        <v>2050</v>
      </c>
      <c r="K360" s="38" t="str">
        <f t="shared" si="43"/>
        <v>*0.49</v>
      </c>
      <c r="P360" s="32" t="s">
        <v>427</v>
      </c>
      <c r="Q360" s="42" t="s">
        <v>57</v>
      </c>
      <c r="R360" s="32">
        <v>2035</v>
      </c>
      <c r="S360" s="43" t="str">
        <f t="shared" si="44"/>
        <v>*0.59</v>
      </c>
      <c r="U360" s="32" t="s">
        <v>427</v>
      </c>
      <c r="V360" s="42" t="s">
        <v>57</v>
      </c>
      <c r="W360" s="32">
        <v>2050</v>
      </c>
      <c r="X360" s="43" t="str">
        <f t="shared" si="45"/>
        <v>*0.47</v>
      </c>
      <c r="AC360" s="33" t="s">
        <v>427</v>
      </c>
      <c r="AD360" s="44" t="s">
        <v>57</v>
      </c>
      <c r="AE360" s="33">
        <v>2035</v>
      </c>
      <c r="AF360" s="45" t="str">
        <f t="shared" si="46"/>
        <v>*0.54</v>
      </c>
      <c r="AG360" s="43" t="str">
        <f t="shared" si="48"/>
        <v>REZoning_Sol-Win</v>
      </c>
      <c r="AI360" s="33" t="s">
        <v>427</v>
      </c>
      <c r="AJ360" s="44" t="s">
        <v>57</v>
      </c>
      <c r="AK360" s="33">
        <v>2050</v>
      </c>
      <c r="AL360" s="45" t="str">
        <f t="shared" si="47"/>
        <v>*0.44</v>
      </c>
      <c r="AM360" s="43" t="str">
        <f t="shared" si="49"/>
        <v>REZoning_Sol-Win</v>
      </c>
      <c r="AP360" t="s">
        <v>427</v>
      </c>
      <c r="AQ360" t="s">
        <v>57</v>
      </c>
      <c r="AR360">
        <v>2100</v>
      </c>
      <c r="AS360" t="s">
        <v>171</v>
      </c>
      <c r="AT360" t="s">
        <v>58</v>
      </c>
    </row>
    <row r="361" ht="29" spans="1:46">
      <c r="A361" s="31" t="s">
        <v>169</v>
      </c>
      <c r="C361" t="s">
        <v>428</v>
      </c>
      <c r="D361" s="5" t="s">
        <v>57</v>
      </c>
      <c r="E361">
        <v>2035</v>
      </c>
      <c r="F361" s="6" t="str">
        <f t="shared" si="42"/>
        <v>*0.61</v>
      </c>
      <c r="H361" t="s">
        <v>428</v>
      </c>
      <c r="I361" s="5" t="s">
        <v>57</v>
      </c>
      <c r="J361">
        <v>2050</v>
      </c>
      <c r="K361" s="38" t="str">
        <f t="shared" si="43"/>
        <v>*0.49</v>
      </c>
      <c r="P361" s="32" t="s">
        <v>428</v>
      </c>
      <c r="Q361" s="42" t="s">
        <v>57</v>
      </c>
      <c r="R361" s="32">
        <v>2035</v>
      </c>
      <c r="S361" s="43" t="str">
        <f t="shared" si="44"/>
        <v>*0.59</v>
      </c>
      <c r="U361" s="32" t="s">
        <v>428</v>
      </c>
      <c r="V361" s="42" t="s">
        <v>57</v>
      </c>
      <c r="W361" s="32">
        <v>2050</v>
      </c>
      <c r="X361" s="43" t="str">
        <f t="shared" si="45"/>
        <v>*0.47</v>
      </c>
      <c r="AC361" s="33" t="s">
        <v>428</v>
      </c>
      <c r="AD361" s="44" t="s">
        <v>57</v>
      </c>
      <c r="AE361" s="33">
        <v>2035</v>
      </c>
      <c r="AF361" s="45" t="str">
        <f t="shared" si="46"/>
        <v>*0.54</v>
      </c>
      <c r="AG361" s="43" t="str">
        <f t="shared" si="48"/>
        <v>REZoning_Sol-Win</v>
      </c>
      <c r="AI361" s="33" t="s">
        <v>428</v>
      </c>
      <c r="AJ361" s="44" t="s">
        <v>57</v>
      </c>
      <c r="AK361" s="33">
        <v>2050</v>
      </c>
      <c r="AL361" s="45" t="str">
        <f t="shared" si="47"/>
        <v>*0.44</v>
      </c>
      <c r="AM361" s="43" t="str">
        <f t="shared" si="49"/>
        <v>REZoning_Sol-Win</v>
      </c>
      <c r="AP361" t="s">
        <v>428</v>
      </c>
      <c r="AQ361" t="s">
        <v>57</v>
      </c>
      <c r="AR361">
        <v>2100</v>
      </c>
      <c r="AS361" t="s">
        <v>171</v>
      </c>
      <c r="AT361" t="s">
        <v>58</v>
      </c>
    </row>
    <row r="362" ht="29" spans="1:46">
      <c r="A362" s="31" t="s">
        <v>169</v>
      </c>
      <c r="C362" t="s">
        <v>429</v>
      </c>
      <c r="D362" s="5" t="s">
        <v>57</v>
      </c>
      <c r="E362">
        <v>2035</v>
      </c>
      <c r="F362" s="6" t="str">
        <f t="shared" si="42"/>
        <v>*0.61</v>
      </c>
      <c r="H362" t="s">
        <v>429</v>
      </c>
      <c r="I362" s="5" t="s">
        <v>57</v>
      </c>
      <c r="J362">
        <v>2050</v>
      </c>
      <c r="K362" s="38" t="str">
        <f t="shared" si="43"/>
        <v>*0.49</v>
      </c>
      <c r="P362" s="32" t="s">
        <v>429</v>
      </c>
      <c r="Q362" s="42" t="s">
        <v>57</v>
      </c>
      <c r="R362" s="32">
        <v>2035</v>
      </c>
      <c r="S362" s="43" t="str">
        <f t="shared" si="44"/>
        <v>*0.59</v>
      </c>
      <c r="U362" s="32" t="s">
        <v>429</v>
      </c>
      <c r="V362" s="42" t="s">
        <v>57</v>
      </c>
      <c r="W362" s="32">
        <v>2050</v>
      </c>
      <c r="X362" s="43" t="str">
        <f t="shared" si="45"/>
        <v>*0.47</v>
      </c>
      <c r="AC362" s="33" t="s">
        <v>429</v>
      </c>
      <c r="AD362" s="44" t="s">
        <v>57</v>
      </c>
      <c r="AE362" s="33">
        <v>2035</v>
      </c>
      <c r="AF362" s="45" t="str">
        <f t="shared" si="46"/>
        <v>*0.54</v>
      </c>
      <c r="AG362" s="43" t="str">
        <f t="shared" si="48"/>
        <v>REZoning_Sol-Win</v>
      </c>
      <c r="AI362" s="33" t="s">
        <v>429</v>
      </c>
      <c r="AJ362" s="44" t="s">
        <v>57</v>
      </c>
      <c r="AK362" s="33">
        <v>2050</v>
      </c>
      <c r="AL362" s="45" t="str">
        <f t="shared" si="47"/>
        <v>*0.44</v>
      </c>
      <c r="AM362" s="43" t="str">
        <f t="shared" si="49"/>
        <v>REZoning_Sol-Win</v>
      </c>
      <c r="AP362" t="s">
        <v>429</v>
      </c>
      <c r="AQ362" t="s">
        <v>57</v>
      </c>
      <c r="AR362">
        <v>2100</v>
      </c>
      <c r="AS362" t="s">
        <v>171</v>
      </c>
      <c r="AT362" t="s">
        <v>58</v>
      </c>
    </row>
    <row r="363" ht="29" spans="1:46">
      <c r="A363" s="31" t="s">
        <v>169</v>
      </c>
      <c r="C363" t="s">
        <v>430</v>
      </c>
      <c r="D363" s="5" t="s">
        <v>57</v>
      </c>
      <c r="E363">
        <v>2035</v>
      </c>
      <c r="F363" s="6" t="str">
        <f t="shared" si="42"/>
        <v>*0.61</v>
      </c>
      <c r="H363" t="s">
        <v>430</v>
      </c>
      <c r="I363" s="5" t="s">
        <v>57</v>
      </c>
      <c r="J363">
        <v>2050</v>
      </c>
      <c r="K363" s="38" t="str">
        <f t="shared" si="43"/>
        <v>*0.49</v>
      </c>
      <c r="P363" s="32" t="s">
        <v>430</v>
      </c>
      <c r="Q363" s="42" t="s">
        <v>57</v>
      </c>
      <c r="R363" s="32">
        <v>2035</v>
      </c>
      <c r="S363" s="43" t="str">
        <f t="shared" si="44"/>
        <v>*0.59</v>
      </c>
      <c r="U363" s="32" t="s">
        <v>430</v>
      </c>
      <c r="V363" s="42" t="s">
        <v>57</v>
      </c>
      <c r="W363" s="32">
        <v>2050</v>
      </c>
      <c r="X363" s="43" t="str">
        <f t="shared" si="45"/>
        <v>*0.47</v>
      </c>
      <c r="AC363" s="33" t="s">
        <v>430</v>
      </c>
      <c r="AD363" s="44" t="s">
        <v>57</v>
      </c>
      <c r="AE363" s="33">
        <v>2035</v>
      </c>
      <c r="AF363" s="45" t="str">
        <f t="shared" si="46"/>
        <v>*0.54</v>
      </c>
      <c r="AG363" s="43" t="str">
        <f t="shared" si="48"/>
        <v>REZoning_Sol-Win</v>
      </c>
      <c r="AI363" s="33" t="s">
        <v>430</v>
      </c>
      <c r="AJ363" s="44" t="s">
        <v>57</v>
      </c>
      <c r="AK363" s="33">
        <v>2050</v>
      </c>
      <c r="AL363" s="45" t="str">
        <f t="shared" si="47"/>
        <v>*0.44</v>
      </c>
      <c r="AM363" s="43" t="str">
        <f t="shared" si="49"/>
        <v>REZoning_Sol-Win</v>
      </c>
      <c r="AP363" t="s">
        <v>430</v>
      </c>
      <c r="AQ363" t="s">
        <v>57</v>
      </c>
      <c r="AR363">
        <v>2100</v>
      </c>
      <c r="AS363" t="s">
        <v>171</v>
      </c>
      <c r="AT363" t="s">
        <v>58</v>
      </c>
    </row>
    <row r="364" ht="29" spans="1:46">
      <c r="A364" s="31" t="s">
        <v>169</v>
      </c>
      <c r="C364" t="s">
        <v>431</v>
      </c>
      <c r="D364" s="5" t="s">
        <v>57</v>
      </c>
      <c r="E364">
        <v>2035</v>
      </c>
      <c r="F364" s="6" t="str">
        <f t="shared" si="42"/>
        <v>*0.61</v>
      </c>
      <c r="H364" t="s">
        <v>431</v>
      </c>
      <c r="I364" s="5" t="s">
        <v>57</v>
      </c>
      <c r="J364">
        <v>2050</v>
      </c>
      <c r="K364" s="38" t="str">
        <f t="shared" si="43"/>
        <v>*0.49</v>
      </c>
      <c r="P364" s="32" t="s">
        <v>431</v>
      </c>
      <c r="Q364" s="42" t="s">
        <v>57</v>
      </c>
      <c r="R364" s="32">
        <v>2035</v>
      </c>
      <c r="S364" s="43" t="str">
        <f t="shared" si="44"/>
        <v>*0.59</v>
      </c>
      <c r="U364" s="32" t="s">
        <v>431</v>
      </c>
      <c r="V364" s="42" t="s">
        <v>57</v>
      </c>
      <c r="W364" s="32">
        <v>2050</v>
      </c>
      <c r="X364" s="43" t="str">
        <f t="shared" si="45"/>
        <v>*0.47</v>
      </c>
      <c r="AC364" s="33" t="s">
        <v>431</v>
      </c>
      <c r="AD364" s="44" t="s">
        <v>57</v>
      </c>
      <c r="AE364" s="33">
        <v>2035</v>
      </c>
      <c r="AF364" s="45" t="str">
        <f t="shared" si="46"/>
        <v>*0.54</v>
      </c>
      <c r="AG364" s="43" t="str">
        <f t="shared" si="48"/>
        <v>REZoning_Sol-Win</v>
      </c>
      <c r="AI364" s="33" t="s">
        <v>431</v>
      </c>
      <c r="AJ364" s="44" t="s">
        <v>57</v>
      </c>
      <c r="AK364" s="33">
        <v>2050</v>
      </c>
      <c r="AL364" s="45" t="str">
        <f t="shared" si="47"/>
        <v>*0.44</v>
      </c>
      <c r="AM364" s="43" t="str">
        <f t="shared" si="49"/>
        <v>REZoning_Sol-Win</v>
      </c>
      <c r="AP364" t="s">
        <v>431</v>
      </c>
      <c r="AQ364" t="s">
        <v>57</v>
      </c>
      <c r="AR364">
        <v>2100</v>
      </c>
      <c r="AS364" t="s">
        <v>171</v>
      </c>
      <c r="AT364" t="s">
        <v>58</v>
      </c>
    </row>
    <row r="365" ht="29" spans="1:46">
      <c r="A365" s="31" t="s">
        <v>169</v>
      </c>
      <c r="C365" t="s">
        <v>432</v>
      </c>
      <c r="D365" s="5" t="s">
        <v>57</v>
      </c>
      <c r="E365">
        <v>2035</v>
      </c>
      <c r="F365" s="6" t="str">
        <f t="shared" si="42"/>
        <v>*0.61</v>
      </c>
      <c r="H365" t="s">
        <v>432</v>
      </c>
      <c r="I365" s="5" t="s">
        <v>57</v>
      </c>
      <c r="J365">
        <v>2050</v>
      </c>
      <c r="K365" s="38" t="str">
        <f t="shared" si="43"/>
        <v>*0.49</v>
      </c>
      <c r="P365" s="32" t="s">
        <v>432</v>
      </c>
      <c r="Q365" s="42" t="s">
        <v>57</v>
      </c>
      <c r="R365" s="32">
        <v>2035</v>
      </c>
      <c r="S365" s="43" t="str">
        <f t="shared" si="44"/>
        <v>*0.59</v>
      </c>
      <c r="U365" s="32" t="s">
        <v>432</v>
      </c>
      <c r="V365" s="42" t="s">
        <v>57</v>
      </c>
      <c r="W365" s="32">
        <v>2050</v>
      </c>
      <c r="X365" s="43" t="str">
        <f t="shared" si="45"/>
        <v>*0.47</v>
      </c>
      <c r="AC365" s="33" t="s">
        <v>432</v>
      </c>
      <c r="AD365" s="44" t="s">
        <v>57</v>
      </c>
      <c r="AE365" s="33">
        <v>2035</v>
      </c>
      <c r="AF365" s="45" t="str">
        <f t="shared" si="46"/>
        <v>*0.54</v>
      </c>
      <c r="AG365" s="43" t="str">
        <f t="shared" si="48"/>
        <v>REZoning_Sol-Win</v>
      </c>
      <c r="AI365" s="33" t="s">
        <v>432</v>
      </c>
      <c r="AJ365" s="44" t="s">
        <v>57</v>
      </c>
      <c r="AK365" s="33">
        <v>2050</v>
      </c>
      <c r="AL365" s="45" t="str">
        <f t="shared" si="47"/>
        <v>*0.44</v>
      </c>
      <c r="AM365" s="43" t="str">
        <f t="shared" si="49"/>
        <v>REZoning_Sol-Win</v>
      </c>
      <c r="AP365" t="s">
        <v>432</v>
      </c>
      <c r="AQ365" t="s">
        <v>57</v>
      </c>
      <c r="AR365">
        <v>2100</v>
      </c>
      <c r="AS365" t="s">
        <v>171</v>
      </c>
      <c r="AT365" t="s">
        <v>58</v>
      </c>
    </row>
    <row r="366" ht="29" spans="1:46">
      <c r="A366" s="31" t="s">
        <v>169</v>
      </c>
      <c r="C366" t="s">
        <v>433</v>
      </c>
      <c r="D366" s="5" t="s">
        <v>57</v>
      </c>
      <c r="E366">
        <v>2035</v>
      </c>
      <c r="F366" s="6" t="str">
        <f t="shared" si="42"/>
        <v>*0.61</v>
      </c>
      <c r="H366" t="s">
        <v>433</v>
      </c>
      <c r="I366" s="5" t="s">
        <v>57</v>
      </c>
      <c r="J366">
        <v>2050</v>
      </c>
      <c r="K366" s="38" t="str">
        <f t="shared" si="43"/>
        <v>*0.49</v>
      </c>
      <c r="P366" s="32" t="s">
        <v>433</v>
      </c>
      <c r="Q366" s="42" t="s">
        <v>57</v>
      </c>
      <c r="R366" s="32">
        <v>2035</v>
      </c>
      <c r="S366" s="43" t="str">
        <f t="shared" si="44"/>
        <v>*0.59</v>
      </c>
      <c r="U366" s="32" t="s">
        <v>433</v>
      </c>
      <c r="V366" s="42" t="s">
        <v>57</v>
      </c>
      <c r="W366" s="32">
        <v>2050</v>
      </c>
      <c r="X366" s="43" t="str">
        <f t="shared" si="45"/>
        <v>*0.47</v>
      </c>
      <c r="AC366" s="33" t="s">
        <v>433</v>
      </c>
      <c r="AD366" s="44" t="s">
        <v>57</v>
      </c>
      <c r="AE366" s="33">
        <v>2035</v>
      </c>
      <c r="AF366" s="45" t="str">
        <f t="shared" si="46"/>
        <v>*0.54</v>
      </c>
      <c r="AG366" s="43" t="str">
        <f t="shared" si="48"/>
        <v>REZoning_Sol-Win</v>
      </c>
      <c r="AI366" s="33" t="s">
        <v>433</v>
      </c>
      <c r="AJ366" s="44" t="s">
        <v>57</v>
      </c>
      <c r="AK366" s="33">
        <v>2050</v>
      </c>
      <c r="AL366" s="45" t="str">
        <f t="shared" si="47"/>
        <v>*0.44</v>
      </c>
      <c r="AM366" s="43" t="str">
        <f t="shared" si="49"/>
        <v>REZoning_Sol-Win</v>
      </c>
      <c r="AP366" t="s">
        <v>433</v>
      </c>
      <c r="AQ366" t="s">
        <v>57</v>
      </c>
      <c r="AR366">
        <v>2100</v>
      </c>
      <c r="AS366" t="s">
        <v>171</v>
      </c>
      <c r="AT366" t="s">
        <v>58</v>
      </c>
    </row>
    <row r="367" ht="29" spans="1:46">
      <c r="A367" s="31" t="s">
        <v>169</v>
      </c>
      <c r="C367" t="s">
        <v>434</v>
      </c>
      <c r="D367" s="5" t="s">
        <v>57</v>
      </c>
      <c r="E367">
        <v>2035</v>
      </c>
      <c r="F367" s="6" t="str">
        <f t="shared" si="42"/>
        <v>*0.61</v>
      </c>
      <c r="H367" t="s">
        <v>434</v>
      </c>
      <c r="I367" s="5" t="s">
        <v>57</v>
      </c>
      <c r="J367">
        <v>2050</v>
      </c>
      <c r="K367" s="38" t="str">
        <f t="shared" si="43"/>
        <v>*0.49</v>
      </c>
      <c r="P367" s="32" t="s">
        <v>434</v>
      </c>
      <c r="Q367" s="42" t="s">
        <v>57</v>
      </c>
      <c r="R367" s="32">
        <v>2035</v>
      </c>
      <c r="S367" s="43" t="str">
        <f t="shared" si="44"/>
        <v>*0.59</v>
      </c>
      <c r="U367" s="32" t="s">
        <v>434</v>
      </c>
      <c r="V367" s="42" t="s">
        <v>57</v>
      </c>
      <c r="W367" s="32">
        <v>2050</v>
      </c>
      <c r="X367" s="43" t="str">
        <f t="shared" si="45"/>
        <v>*0.47</v>
      </c>
      <c r="AC367" s="33" t="s">
        <v>434</v>
      </c>
      <c r="AD367" s="44" t="s">
        <v>57</v>
      </c>
      <c r="AE367" s="33">
        <v>2035</v>
      </c>
      <c r="AF367" s="45" t="str">
        <f t="shared" si="46"/>
        <v>*0.54</v>
      </c>
      <c r="AG367" s="43" t="str">
        <f t="shared" si="48"/>
        <v>REZoning_Sol-Win</v>
      </c>
      <c r="AI367" s="33" t="s">
        <v>434</v>
      </c>
      <c r="AJ367" s="44" t="s">
        <v>57</v>
      </c>
      <c r="AK367" s="33">
        <v>2050</v>
      </c>
      <c r="AL367" s="45" t="str">
        <f t="shared" si="47"/>
        <v>*0.44</v>
      </c>
      <c r="AM367" s="43" t="str">
        <f t="shared" si="49"/>
        <v>REZoning_Sol-Win</v>
      </c>
      <c r="AP367" t="s">
        <v>434</v>
      </c>
      <c r="AQ367" t="s">
        <v>57</v>
      </c>
      <c r="AR367">
        <v>2100</v>
      </c>
      <c r="AS367" t="s">
        <v>171</v>
      </c>
      <c r="AT367" t="s">
        <v>58</v>
      </c>
    </row>
    <row r="368" ht="29" spans="1:46">
      <c r="A368" s="31" t="s">
        <v>169</v>
      </c>
      <c r="C368" t="s">
        <v>435</v>
      </c>
      <c r="D368" s="5" t="s">
        <v>57</v>
      </c>
      <c r="E368">
        <v>2035</v>
      </c>
      <c r="F368" s="6" t="str">
        <f t="shared" si="42"/>
        <v>*0.61</v>
      </c>
      <c r="H368" t="s">
        <v>435</v>
      </c>
      <c r="I368" s="5" t="s">
        <v>57</v>
      </c>
      <c r="J368">
        <v>2050</v>
      </c>
      <c r="K368" s="38" t="str">
        <f t="shared" si="43"/>
        <v>*0.49</v>
      </c>
      <c r="P368" s="32" t="s">
        <v>435</v>
      </c>
      <c r="Q368" s="42" t="s">
        <v>57</v>
      </c>
      <c r="R368" s="32">
        <v>2035</v>
      </c>
      <c r="S368" s="43" t="str">
        <f t="shared" si="44"/>
        <v>*0.59</v>
      </c>
      <c r="U368" s="32" t="s">
        <v>435</v>
      </c>
      <c r="V368" s="42" t="s">
        <v>57</v>
      </c>
      <c r="W368" s="32">
        <v>2050</v>
      </c>
      <c r="X368" s="43" t="str">
        <f t="shared" si="45"/>
        <v>*0.47</v>
      </c>
      <c r="AC368" s="33" t="s">
        <v>435</v>
      </c>
      <c r="AD368" s="44" t="s">
        <v>57</v>
      </c>
      <c r="AE368" s="33">
        <v>2035</v>
      </c>
      <c r="AF368" s="45" t="str">
        <f t="shared" si="46"/>
        <v>*0.54</v>
      </c>
      <c r="AG368" s="43" t="str">
        <f t="shared" si="48"/>
        <v>REZoning_Sol-Win</v>
      </c>
      <c r="AI368" s="33" t="s">
        <v>435</v>
      </c>
      <c r="AJ368" s="44" t="s">
        <v>57</v>
      </c>
      <c r="AK368" s="33">
        <v>2050</v>
      </c>
      <c r="AL368" s="45" t="str">
        <f t="shared" si="47"/>
        <v>*0.44</v>
      </c>
      <c r="AM368" s="43" t="str">
        <f t="shared" si="49"/>
        <v>REZoning_Sol-Win</v>
      </c>
      <c r="AP368" t="s">
        <v>435</v>
      </c>
      <c r="AQ368" t="s">
        <v>57</v>
      </c>
      <c r="AR368">
        <v>2100</v>
      </c>
      <c r="AS368" t="s">
        <v>171</v>
      </c>
      <c r="AT368" t="s">
        <v>58</v>
      </c>
    </row>
    <row r="369" ht="29" spans="1:46">
      <c r="A369" s="31" t="s">
        <v>169</v>
      </c>
      <c r="C369" t="s">
        <v>436</v>
      </c>
      <c r="D369" s="5" t="s">
        <v>57</v>
      </c>
      <c r="E369">
        <v>2035</v>
      </c>
      <c r="F369" s="6" t="str">
        <f t="shared" si="42"/>
        <v>*0.61</v>
      </c>
      <c r="H369" t="s">
        <v>436</v>
      </c>
      <c r="I369" s="5" t="s">
        <v>57</v>
      </c>
      <c r="J369">
        <v>2050</v>
      </c>
      <c r="K369" s="38" t="str">
        <f t="shared" si="43"/>
        <v>*0.49</v>
      </c>
      <c r="P369" s="32" t="s">
        <v>436</v>
      </c>
      <c r="Q369" s="42" t="s">
        <v>57</v>
      </c>
      <c r="R369" s="32">
        <v>2035</v>
      </c>
      <c r="S369" s="43" t="str">
        <f t="shared" si="44"/>
        <v>*0.59</v>
      </c>
      <c r="U369" s="32" t="s">
        <v>436</v>
      </c>
      <c r="V369" s="42" t="s">
        <v>57</v>
      </c>
      <c r="W369" s="32">
        <v>2050</v>
      </c>
      <c r="X369" s="43" t="str">
        <f t="shared" si="45"/>
        <v>*0.47</v>
      </c>
      <c r="AC369" s="33" t="s">
        <v>436</v>
      </c>
      <c r="AD369" s="44" t="s">
        <v>57</v>
      </c>
      <c r="AE369" s="33">
        <v>2035</v>
      </c>
      <c r="AF369" s="45" t="str">
        <f t="shared" si="46"/>
        <v>*0.54</v>
      </c>
      <c r="AG369" s="43" t="str">
        <f t="shared" si="48"/>
        <v>REZoning_Sol-Win</v>
      </c>
      <c r="AI369" s="33" t="s">
        <v>436</v>
      </c>
      <c r="AJ369" s="44" t="s">
        <v>57</v>
      </c>
      <c r="AK369" s="33">
        <v>2050</v>
      </c>
      <c r="AL369" s="45" t="str">
        <f t="shared" si="47"/>
        <v>*0.44</v>
      </c>
      <c r="AM369" s="43" t="str">
        <f t="shared" si="49"/>
        <v>REZoning_Sol-Win</v>
      </c>
      <c r="AP369" t="s">
        <v>436</v>
      </c>
      <c r="AQ369" t="s">
        <v>57</v>
      </c>
      <c r="AR369">
        <v>2100</v>
      </c>
      <c r="AS369" t="s">
        <v>171</v>
      </c>
      <c r="AT369" t="s">
        <v>58</v>
      </c>
    </row>
    <row r="370" ht="29" spans="1:46">
      <c r="A370" s="31" t="s">
        <v>169</v>
      </c>
      <c r="C370" t="s">
        <v>437</v>
      </c>
      <c r="D370" s="5" t="s">
        <v>57</v>
      </c>
      <c r="E370">
        <v>2035</v>
      </c>
      <c r="F370" s="6" t="str">
        <f t="shared" si="42"/>
        <v>*0.61</v>
      </c>
      <c r="H370" t="s">
        <v>437</v>
      </c>
      <c r="I370" s="5" t="s">
        <v>57</v>
      </c>
      <c r="J370">
        <v>2050</v>
      </c>
      <c r="K370" s="38" t="str">
        <f t="shared" si="43"/>
        <v>*0.49</v>
      </c>
      <c r="P370" s="32" t="s">
        <v>437</v>
      </c>
      <c r="Q370" s="42" t="s">
        <v>57</v>
      </c>
      <c r="R370" s="32">
        <v>2035</v>
      </c>
      <c r="S370" s="43" t="str">
        <f t="shared" si="44"/>
        <v>*0.59</v>
      </c>
      <c r="U370" s="32" t="s">
        <v>437</v>
      </c>
      <c r="V370" s="42" t="s">
        <v>57</v>
      </c>
      <c r="W370" s="32">
        <v>2050</v>
      </c>
      <c r="X370" s="43" t="str">
        <f t="shared" si="45"/>
        <v>*0.47</v>
      </c>
      <c r="AC370" s="33" t="s">
        <v>437</v>
      </c>
      <c r="AD370" s="44" t="s">
        <v>57</v>
      </c>
      <c r="AE370" s="33">
        <v>2035</v>
      </c>
      <c r="AF370" s="45" t="str">
        <f t="shared" si="46"/>
        <v>*0.54</v>
      </c>
      <c r="AG370" s="43" t="str">
        <f t="shared" si="48"/>
        <v>REZoning_Sol-Win</v>
      </c>
      <c r="AI370" s="33" t="s">
        <v>437</v>
      </c>
      <c r="AJ370" s="44" t="s">
        <v>57</v>
      </c>
      <c r="AK370" s="33">
        <v>2050</v>
      </c>
      <c r="AL370" s="45" t="str">
        <f t="shared" si="47"/>
        <v>*0.44</v>
      </c>
      <c r="AM370" s="43" t="str">
        <f t="shared" si="49"/>
        <v>REZoning_Sol-Win</v>
      </c>
      <c r="AP370" t="s">
        <v>437</v>
      </c>
      <c r="AQ370" t="s">
        <v>57</v>
      </c>
      <c r="AR370">
        <v>2100</v>
      </c>
      <c r="AS370" t="s">
        <v>171</v>
      </c>
      <c r="AT370" t="s">
        <v>58</v>
      </c>
    </row>
    <row r="371" ht="29" spans="1:46">
      <c r="A371" s="31" t="s">
        <v>169</v>
      </c>
      <c r="C371" t="s">
        <v>438</v>
      </c>
      <c r="D371" s="5" t="s">
        <v>57</v>
      </c>
      <c r="E371">
        <v>2035</v>
      </c>
      <c r="F371" s="6" t="str">
        <f t="shared" si="42"/>
        <v>*0.61</v>
      </c>
      <c r="H371" t="s">
        <v>438</v>
      </c>
      <c r="I371" s="5" t="s">
        <v>57</v>
      </c>
      <c r="J371">
        <v>2050</v>
      </c>
      <c r="K371" s="38" t="str">
        <f t="shared" si="43"/>
        <v>*0.49</v>
      </c>
      <c r="P371" s="32" t="s">
        <v>438</v>
      </c>
      <c r="Q371" s="42" t="s">
        <v>57</v>
      </c>
      <c r="R371" s="32">
        <v>2035</v>
      </c>
      <c r="S371" s="43" t="str">
        <f t="shared" si="44"/>
        <v>*0.59</v>
      </c>
      <c r="U371" s="32" t="s">
        <v>438</v>
      </c>
      <c r="V371" s="42" t="s">
        <v>57</v>
      </c>
      <c r="W371" s="32">
        <v>2050</v>
      </c>
      <c r="X371" s="43" t="str">
        <f t="shared" si="45"/>
        <v>*0.47</v>
      </c>
      <c r="AC371" s="33" t="s">
        <v>438</v>
      </c>
      <c r="AD371" s="44" t="s">
        <v>57</v>
      </c>
      <c r="AE371" s="33">
        <v>2035</v>
      </c>
      <c r="AF371" s="45" t="str">
        <f t="shared" si="46"/>
        <v>*0.54</v>
      </c>
      <c r="AG371" s="43" t="str">
        <f t="shared" si="48"/>
        <v>REZoning_Sol-Win</v>
      </c>
      <c r="AI371" s="33" t="s">
        <v>438</v>
      </c>
      <c r="AJ371" s="44" t="s">
        <v>57</v>
      </c>
      <c r="AK371" s="33">
        <v>2050</v>
      </c>
      <c r="AL371" s="45" t="str">
        <f t="shared" si="47"/>
        <v>*0.44</v>
      </c>
      <c r="AM371" s="43" t="str">
        <f t="shared" si="49"/>
        <v>REZoning_Sol-Win</v>
      </c>
      <c r="AP371" t="s">
        <v>438</v>
      </c>
      <c r="AQ371" t="s">
        <v>57</v>
      </c>
      <c r="AR371">
        <v>2100</v>
      </c>
      <c r="AS371" t="s">
        <v>171</v>
      </c>
      <c r="AT371" t="s">
        <v>58</v>
      </c>
    </row>
    <row r="372" ht="29" spans="1:46">
      <c r="A372" s="31" t="s">
        <v>169</v>
      </c>
      <c r="C372" t="s">
        <v>439</v>
      </c>
      <c r="D372" s="5" t="s">
        <v>57</v>
      </c>
      <c r="E372">
        <v>2035</v>
      </c>
      <c r="F372" s="6" t="str">
        <f t="shared" si="42"/>
        <v>*0.61</v>
      </c>
      <c r="H372" t="s">
        <v>439</v>
      </c>
      <c r="I372" s="5" t="s">
        <v>57</v>
      </c>
      <c r="J372">
        <v>2050</v>
      </c>
      <c r="K372" s="38" t="str">
        <f t="shared" si="43"/>
        <v>*0.49</v>
      </c>
      <c r="P372" s="32" t="s">
        <v>439</v>
      </c>
      <c r="Q372" s="42" t="s">
        <v>57</v>
      </c>
      <c r="R372" s="32">
        <v>2035</v>
      </c>
      <c r="S372" s="43" t="str">
        <f t="shared" si="44"/>
        <v>*0.59</v>
      </c>
      <c r="U372" s="32" t="s">
        <v>439</v>
      </c>
      <c r="V372" s="42" t="s">
        <v>57</v>
      </c>
      <c r="W372" s="32">
        <v>2050</v>
      </c>
      <c r="X372" s="43" t="str">
        <f t="shared" si="45"/>
        <v>*0.47</v>
      </c>
      <c r="AC372" s="33" t="s">
        <v>439</v>
      </c>
      <c r="AD372" s="44" t="s">
        <v>57</v>
      </c>
      <c r="AE372" s="33">
        <v>2035</v>
      </c>
      <c r="AF372" s="45" t="str">
        <f t="shared" si="46"/>
        <v>*0.54</v>
      </c>
      <c r="AG372" s="43" t="str">
        <f t="shared" si="48"/>
        <v>REZoning_Sol-Win</v>
      </c>
      <c r="AI372" s="33" t="s">
        <v>439</v>
      </c>
      <c r="AJ372" s="44" t="s">
        <v>57</v>
      </c>
      <c r="AK372" s="33">
        <v>2050</v>
      </c>
      <c r="AL372" s="45" t="str">
        <f t="shared" si="47"/>
        <v>*0.44</v>
      </c>
      <c r="AM372" s="43" t="str">
        <f t="shared" si="49"/>
        <v>REZoning_Sol-Win</v>
      </c>
      <c r="AP372" t="s">
        <v>439</v>
      </c>
      <c r="AQ372" t="s">
        <v>57</v>
      </c>
      <c r="AR372">
        <v>2100</v>
      </c>
      <c r="AS372" t="s">
        <v>171</v>
      </c>
      <c r="AT372" t="s">
        <v>58</v>
      </c>
    </row>
    <row r="373" ht="29" spans="1:46">
      <c r="A373" s="31" t="s">
        <v>169</v>
      </c>
      <c r="C373" t="s">
        <v>440</v>
      </c>
      <c r="D373" s="5" t="s">
        <v>57</v>
      </c>
      <c r="E373">
        <v>2035</v>
      </c>
      <c r="F373" s="6" t="str">
        <f t="shared" si="42"/>
        <v>*0.61</v>
      </c>
      <c r="H373" t="s">
        <v>440</v>
      </c>
      <c r="I373" s="5" t="s">
        <v>57</v>
      </c>
      <c r="J373">
        <v>2050</v>
      </c>
      <c r="K373" s="38" t="str">
        <f t="shared" si="43"/>
        <v>*0.49</v>
      </c>
      <c r="P373" s="32" t="s">
        <v>440</v>
      </c>
      <c r="Q373" s="42" t="s">
        <v>57</v>
      </c>
      <c r="R373" s="32">
        <v>2035</v>
      </c>
      <c r="S373" s="43" t="str">
        <f t="shared" si="44"/>
        <v>*0.59</v>
      </c>
      <c r="U373" s="32" t="s">
        <v>440</v>
      </c>
      <c r="V373" s="42" t="s">
        <v>57</v>
      </c>
      <c r="W373" s="32">
        <v>2050</v>
      </c>
      <c r="X373" s="43" t="str">
        <f t="shared" si="45"/>
        <v>*0.47</v>
      </c>
      <c r="AC373" s="33" t="s">
        <v>440</v>
      </c>
      <c r="AD373" s="44" t="s">
        <v>57</v>
      </c>
      <c r="AE373" s="33">
        <v>2035</v>
      </c>
      <c r="AF373" s="45" t="str">
        <f t="shared" si="46"/>
        <v>*0.54</v>
      </c>
      <c r="AG373" s="43" t="str">
        <f t="shared" si="48"/>
        <v>REZoning_Sol-Win</v>
      </c>
      <c r="AI373" s="33" t="s">
        <v>440</v>
      </c>
      <c r="AJ373" s="44" t="s">
        <v>57</v>
      </c>
      <c r="AK373" s="33">
        <v>2050</v>
      </c>
      <c r="AL373" s="45" t="str">
        <f t="shared" si="47"/>
        <v>*0.44</v>
      </c>
      <c r="AM373" s="43" t="str">
        <f t="shared" si="49"/>
        <v>REZoning_Sol-Win</v>
      </c>
      <c r="AP373" t="s">
        <v>440</v>
      </c>
      <c r="AQ373" t="s">
        <v>57</v>
      </c>
      <c r="AR373">
        <v>2100</v>
      </c>
      <c r="AS373" t="s">
        <v>171</v>
      </c>
      <c r="AT373" t="s">
        <v>58</v>
      </c>
    </row>
    <row r="374" ht="29" spans="1:46">
      <c r="A374" s="31" t="s">
        <v>169</v>
      </c>
      <c r="C374" t="s">
        <v>441</v>
      </c>
      <c r="D374" s="5" t="s">
        <v>57</v>
      </c>
      <c r="E374">
        <v>2035</v>
      </c>
      <c r="F374" s="6" t="str">
        <f t="shared" si="42"/>
        <v>*0.61</v>
      </c>
      <c r="H374" t="s">
        <v>441</v>
      </c>
      <c r="I374" s="5" t="s">
        <v>57</v>
      </c>
      <c r="J374">
        <v>2050</v>
      </c>
      <c r="K374" s="38" t="str">
        <f t="shared" si="43"/>
        <v>*0.49</v>
      </c>
      <c r="P374" s="32" t="s">
        <v>441</v>
      </c>
      <c r="Q374" s="42" t="s">
        <v>57</v>
      </c>
      <c r="R374" s="32">
        <v>2035</v>
      </c>
      <c r="S374" s="43" t="str">
        <f t="shared" si="44"/>
        <v>*0.59</v>
      </c>
      <c r="U374" s="32" t="s">
        <v>441</v>
      </c>
      <c r="V374" s="42" t="s">
        <v>57</v>
      </c>
      <c r="W374" s="32">
        <v>2050</v>
      </c>
      <c r="X374" s="43" t="str">
        <f t="shared" si="45"/>
        <v>*0.47</v>
      </c>
      <c r="AC374" s="33" t="s">
        <v>441</v>
      </c>
      <c r="AD374" s="44" t="s">
        <v>57</v>
      </c>
      <c r="AE374" s="33">
        <v>2035</v>
      </c>
      <c r="AF374" s="45" t="str">
        <f t="shared" si="46"/>
        <v>*0.54</v>
      </c>
      <c r="AG374" s="43" t="str">
        <f t="shared" si="48"/>
        <v>REZoning_Sol-Win</v>
      </c>
      <c r="AI374" s="33" t="s">
        <v>441</v>
      </c>
      <c r="AJ374" s="44" t="s">
        <v>57</v>
      </c>
      <c r="AK374" s="33">
        <v>2050</v>
      </c>
      <c r="AL374" s="45" t="str">
        <f t="shared" si="47"/>
        <v>*0.44</v>
      </c>
      <c r="AM374" s="43" t="str">
        <f t="shared" si="49"/>
        <v>REZoning_Sol-Win</v>
      </c>
      <c r="AP374" t="s">
        <v>441</v>
      </c>
      <c r="AQ374" t="s">
        <v>57</v>
      </c>
      <c r="AR374">
        <v>2100</v>
      </c>
      <c r="AS374" t="s">
        <v>171</v>
      </c>
      <c r="AT374" t="s">
        <v>58</v>
      </c>
    </row>
    <row r="375" ht="29" spans="1:46">
      <c r="A375" s="31" t="s">
        <v>169</v>
      </c>
      <c r="C375" t="s">
        <v>442</v>
      </c>
      <c r="D375" s="5" t="s">
        <v>57</v>
      </c>
      <c r="E375">
        <v>2035</v>
      </c>
      <c r="F375" s="6" t="str">
        <f t="shared" si="42"/>
        <v>*0.61</v>
      </c>
      <c r="H375" t="s">
        <v>442</v>
      </c>
      <c r="I375" s="5" t="s">
        <v>57</v>
      </c>
      <c r="J375">
        <v>2050</v>
      </c>
      <c r="K375" s="38" t="str">
        <f t="shared" si="43"/>
        <v>*0.49</v>
      </c>
      <c r="P375" s="32" t="s">
        <v>442</v>
      </c>
      <c r="Q375" s="42" t="s">
        <v>57</v>
      </c>
      <c r="R375" s="32">
        <v>2035</v>
      </c>
      <c r="S375" s="43" t="str">
        <f t="shared" si="44"/>
        <v>*0.59</v>
      </c>
      <c r="U375" s="32" t="s">
        <v>442</v>
      </c>
      <c r="V375" s="42" t="s">
        <v>57</v>
      </c>
      <c r="W375" s="32">
        <v>2050</v>
      </c>
      <c r="X375" s="43" t="str">
        <f t="shared" si="45"/>
        <v>*0.47</v>
      </c>
      <c r="AC375" s="33" t="s">
        <v>442</v>
      </c>
      <c r="AD375" s="44" t="s">
        <v>57</v>
      </c>
      <c r="AE375" s="33">
        <v>2035</v>
      </c>
      <c r="AF375" s="45" t="str">
        <f t="shared" si="46"/>
        <v>*0.54</v>
      </c>
      <c r="AG375" s="43" t="str">
        <f t="shared" si="48"/>
        <v>REZoning_Sol-Win</v>
      </c>
      <c r="AI375" s="33" t="s">
        <v>442</v>
      </c>
      <c r="AJ375" s="44" t="s">
        <v>57</v>
      </c>
      <c r="AK375" s="33">
        <v>2050</v>
      </c>
      <c r="AL375" s="45" t="str">
        <f t="shared" si="47"/>
        <v>*0.44</v>
      </c>
      <c r="AM375" s="43" t="str">
        <f t="shared" si="49"/>
        <v>REZoning_Sol-Win</v>
      </c>
      <c r="AP375" t="s">
        <v>442</v>
      </c>
      <c r="AQ375" t="s">
        <v>57</v>
      </c>
      <c r="AR375">
        <v>2100</v>
      </c>
      <c r="AS375" t="s">
        <v>171</v>
      </c>
      <c r="AT375" t="s">
        <v>58</v>
      </c>
    </row>
    <row r="376" ht="29" spans="1:46">
      <c r="A376" s="31" t="s">
        <v>169</v>
      </c>
      <c r="C376" t="s">
        <v>443</v>
      </c>
      <c r="D376" s="5" t="s">
        <v>57</v>
      </c>
      <c r="E376">
        <v>2035</v>
      </c>
      <c r="F376" s="6" t="str">
        <f t="shared" si="42"/>
        <v>*0.61</v>
      </c>
      <c r="H376" t="s">
        <v>443</v>
      </c>
      <c r="I376" s="5" t="s">
        <v>57</v>
      </c>
      <c r="J376">
        <v>2050</v>
      </c>
      <c r="K376" s="38" t="str">
        <f t="shared" si="43"/>
        <v>*0.49</v>
      </c>
      <c r="P376" s="32" t="s">
        <v>443</v>
      </c>
      <c r="Q376" s="42" t="s">
        <v>57</v>
      </c>
      <c r="R376" s="32">
        <v>2035</v>
      </c>
      <c r="S376" s="43" t="str">
        <f t="shared" si="44"/>
        <v>*0.59</v>
      </c>
      <c r="U376" s="32" t="s">
        <v>443</v>
      </c>
      <c r="V376" s="42" t="s">
        <v>57</v>
      </c>
      <c r="W376" s="32">
        <v>2050</v>
      </c>
      <c r="X376" s="43" t="str">
        <f t="shared" si="45"/>
        <v>*0.47</v>
      </c>
      <c r="AC376" s="33" t="s">
        <v>443</v>
      </c>
      <c r="AD376" s="44" t="s">
        <v>57</v>
      </c>
      <c r="AE376" s="33">
        <v>2035</v>
      </c>
      <c r="AF376" s="45" t="str">
        <f t="shared" si="46"/>
        <v>*0.54</v>
      </c>
      <c r="AG376" s="43" t="str">
        <f t="shared" si="48"/>
        <v>REZoning_Sol-Win</v>
      </c>
      <c r="AI376" s="33" t="s">
        <v>443</v>
      </c>
      <c r="AJ376" s="44" t="s">
        <v>57</v>
      </c>
      <c r="AK376" s="33">
        <v>2050</v>
      </c>
      <c r="AL376" s="45" t="str">
        <f t="shared" si="47"/>
        <v>*0.44</v>
      </c>
      <c r="AM376" s="43" t="str">
        <f t="shared" si="49"/>
        <v>REZoning_Sol-Win</v>
      </c>
      <c r="AP376" t="s">
        <v>443</v>
      </c>
      <c r="AQ376" t="s">
        <v>57</v>
      </c>
      <c r="AR376">
        <v>2100</v>
      </c>
      <c r="AS376" t="s">
        <v>171</v>
      </c>
      <c r="AT376" t="s">
        <v>58</v>
      </c>
    </row>
    <row r="377" ht="29" spans="1:46">
      <c r="A377" s="31" t="s">
        <v>55</v>
      </c>
      <c r="C377" t="s">
        <v>444</v>
      </c>
      <c r="D377" s="5" t="s">
        <v>57</v>
      </c>
      <c r="E377">
        <v>2035</v>
      </c>
      <c r="F377" s="6" t="str">
        <f t="shared" si="42"/>
        <v>*0.6</v>
      </c>
      <c r="H377" t="s">
        <v>444</v>
      </c>
      <c r="I377" s="5" t="s">
        <v>57</v>
      </c>
      <c r="J377">
        <v>2050</v>
      </c>
      <c r="K377" s="38" t="str">
        <f t="shared" si="43"/>
        <v>*0.49</v>
      </c>
      <c r="P377" s="32" t="s">
        <v>444</v>
      </c>
      <c r="Q377" s="42" t="s">
        <v>57</v>
      </c>
      <c r="R377" s="32">
        <v>2035</v>
      </c>
      <c r="S377" s="43" t="str">
        <f t="shared" si="44"/>
        <v>*0.58</v>
      </c>
      <c r="U377" s="32" t="s">
        <v>444</v>
      </c>
      <c r="V377" s="42" t="s">
        <v>57</v>
      </c>
      <c r="W377" s="32">
        <v>2050</v>
      </c>
      <c r="X377" s="43" t="str">
        <f t="shared" si="45"/>
        <v>*0.47</v>
      </c>
      <c r="AC377" s="33" t="s">
        <v>444</v>
      </c>
      <c r="AD377" s="44" t="s">
        <v>57</v>
      </c>
      <c r="AE377" s="33">
        <v>2035</v>
      </c>
      <c r="AF377" s="45" t="str">
        <f t="shared" si="46"/>
        <v>*0.55</v>
      </c>
      <c r="AG377" s="43" t="str">
        <f t="shared" si="48"/>
        <v>REZoning_Sol-Win</v>
      </c>
      <c r="AI377" s="33" t="s">
        <v>444</v>
      </c>
      <c r="AJ377" s="44" t="s">
        <v>57</v>
      </c>
      <c r="AK377" s="33">
        <v>2050</v>
      </c>
      <c r="AL377" s="45" t="str">
        <f t="shared" si="47"/>
        <v>*0.42</v>
      </c>
      <c r="AM377" s="43" t="str">
        <f t="shared" si="49"/>
        <v>REZoning_Sol-Win</v>
      </c>
      <c r="AP377" t="s">
        <v>444</v>
      </c>
      <c r="AQ377" t="s">
        <v>57</v>
      </c>
      <c r="AR377">
        <v>2100</v>
      </c>
      <c r="AS377" t="s">
        <v>59</v>
      </c>
      <c r="AT377" t="s">
        <v>58</v>
      </c>
    </row>
    <row r="378" ht="29" spans="1:46">
      <c r="A378" s="31" t="s">
        <v>55</v>
      </c>
      <c r="C378" t="s">
        <v>445</v>
      </c>
      <c r="D378" s="5" t="s">
        <v>57</v>
      </c>
      <c r="E378">
        <v>2035</v>
      </c>
      <c r="F378" s="6" t="str">
        <f t="shared" si="42"/>
        <v>*0.6</v>
      </c>
      <c r="H378" t="s">
        <v>445</v>
      </c>
      <c r="I378" s="5" t="s">
        <v>57</v>
      </c>
      <c r="J378">
        <v>2050</v>
      </c>
      <c r="K378" s="38" t="str">
        <f t="shared" si="43"/>
        <v>*0.49</v>
      </c>
      <c r="P378" s="32" t="s">
        <v>445</v>
      </c>
      <c r="Q378" s="42" t="s">
        <v>57</v>
      </c>
      <c r="R378" s="32">
        <v>2035</v>
      </c>
      <c r="S378" s="43" t="str">
        <f t="shared" si="44"/>
        <v>*0.58</v>
      </c>
      <c r="U378" s="32" t="s">
        <v>445</v>
      </c>
      <c r="V378" s="42" t="s">
        <v>57</v>
      </c>
      <c r="W378" s="32">
        <v>2050</v>
      </c>
      <c r="X378" s="43" t="str">
        <f t="shared" si="45"/>
        <v>*0.47</v>
      </c>
      <c r="AC378" s="33" t="s">
        <v>445</v>
      </c>
      <c r="AD378" s="44" t="s">
        <v>57</v>
      </c>
      <c r="AE378" s="33">
        <v>2035</v>
      </c>
      <c r="AF378" s="45" t="str">
        <f t="shared" si="46"/>
        <v>*0.55</v>
      </c>
      <c r="AG378" s="43" t="str">
        <f t="shared" si="48"/>
        <v>REZoning_Sol-Win</v>
      </c>
      <c r="AI378" s="33" t="s">
        <v>445</v>
      </c>
      <c r="AJ378" s="44" t="s">
        <v>57</v>
      </c>
      <c r="AK378" s="33">
        <v>2050</v>
      </c>
      <c r="AL378" s="45" t="str">
        <f t="shared" si="47"/>
        <v>*0.42</v>
      </c>
      <c r="AM378" s="43" t="str">
        <f t="shared" si="49"/>
        <v>REZoning_Sol-Win</v>
      </c>
      <c r="AP378" t="s">
        <v>445</v>
      </c>
      <c r="AQ378" t="s">
        <v>57</v>
      </c>
      <c r="AR378">
        <v>2100</v>
      </c>
      <c r="AS378" t="s">
        <v>59</v>
      </c>
      <c r="AT378" t="s">
        <v>58</v>
      </c>
    </row>
    <row r="379" ht="29" spans="1:46">
      <c r="A379" s="31" t="s">
        <v>55</v>
      </c>
      <c r="C379" t="s">
        <v>446</v>
      </c>
      <c r="D379" s="5" t="s">
        <v>57</v>
      </c>
      <c r="E379">
        <v>2035</v>
      </c>
      <c r="F379" s="6" t="str">
        <f t="shared" si="42"/>
        <v>*0.6</v>
      </c>
      <c r="H379" t="s">
        <v>446</v>
      </c>
      <c r="I379" s="5" t="s">
        <v>57</v>
      </c>
      <c r="J379">
        <v>2050</v>
      </c>
      <c r="K379" s="38" t="str">
        <f t="shared" si="43"/>
        <v>*0.49</v>
      </c>
      <c r="P379" s="32" t="s">
        <v>446</v>
      </c>
      <c r="Q379" s="42" t="s">
        <v>57</v>
      </c>
      <c r="R379" s="32">
        <v>2035</v>
      </c>
      <c r="S379" s="43" t="str">
        <f t="shared" si="44"/>
        <v>*0.58</v>
      </c>
      <c r="U379" s="32" t="s">
        <v>446</v>
      </c>
      <c r="V379" s="42" t="s">
        <v>57</v>
      </c>
      <c r="W379" s="32">
        <v>2050</v>
      </c>
      <c r="X379" s="43" t="str">
        <f t="shared" si="45"/>
        <v>*0.47</v>
      </c>
      <c r="AC379" s="33" t="s">
        <v>446</v>
      </c>
      <c r="AD379" s="44" t="s">
        <v>57</v>
      </c>
      <c r="AE379" s="33">
        <v>2035</v>
      </c>
      <c r="AF379" s="45" t="str">
        <f t="shared" si="46"/>
        <v>*0.55</v>
      </c>
      <c r="AG379" s="43" t="str">
        <f t="shared" si="48"/>
        <v>REZoning_Sol-Win</v>
      </c>
      <c r="AI379" s="33" t="s">
        <v>446</v>
      </c>
      <c r="AJ379" s="44" t="s">
        <v>57</v>
      </c>
      <c r="AK379" s="33">
        <v>2050</v>
      </c>
      <c r="AL379" s="45" t="str">
        <f t="shared" si="47"/>
        <v>*0.42</v>
      </c>
      <c r="AM379" s="43" t="str">
        <f t="shared" si="49"/>
        <v>REZoning_Sol-Win</v>
      </c>
      <c r="AP379" t="s">
        <v>446</v>
      </c>
      <c r="AQ379" t="s">
        <v>57</v>
      </c>
      <c r="AR379">
        <v>2100</v>
      </c>
      <c r="AS379" t="s">
        <v>59</v>
      </c>
      <c r="AT379" t="s">
        <v>58</v>
      </c>
    </row>
    <row r="380" ht="29" spans="1:46">
      <c r="A380" s="31" t="s">
        <v>55</v>
      </c>
      <c r="C380" t="s">
        <v>447</v>
      </c>
      <c r="D380" s="5" t="s">
        <v>57</v>
      </c>
      <c r="E380">
        <v>2035</v>
      </c>
      <c r="F380" s="6" t="str">
        <f t="shared" si="42"/>
        <v>*0.6</v>
      </c>
      <c r="H380" t="s">
        <v>447</v>
      </c>
      <c r="I380" s="5" t="s">
        <v>57</v>
      </c>
      <c r="J380">
        <v>2050</v>
      </c>
      <c r="K380" s="38" t="str">
        <f t="shared" si="43"/>
        <v>*0.49</v>
      </c>
      <c r="P380" s="32" t="s">
        <v>447</v>
      </c>
      <c r="Q380" s="42" t="s">
        <v>57</v>
      </c>
      <c r="R380" s="32">
        <v>2035</v>
      </c>
      <c r="S380" s="43" t="str">
        <f t="shared" si="44"/>
        <v>*0.58</v>
      </c>
      <c r="U380" s="32" t="s">
        <v>447</v>
      </c>
      <c r="V380" s="42" t="s">
        <v>57</v>
      </c>
      <c r="W380" s="32">
        <v>2050</v>
      </c>
      <c r="X380" s="43" t="str">
        <f t="shared" si="45"/>
        <v>*0.47</v>
      </c>
      <c r="AC380" s="33" t="s">
        <v>447</v>
      </c>
      <c r="AD380" s="44" t="s">
        <v>57</v>
      </c>
      <c r="AE380" s="33">
        <v>2035</v>
      </c>
      <c r="AF380" s="45" t="str">
        <f t="shared" si="46"/>
        <v>*0.55</v>
      </c>
      <c r="AG380" s="43" t="str">
        <f t="shared" si="48"/>
        <v>REZoning_Sol-Win</v>
      </c>
      <c r="AI380" s="33" t="s">
        <v>447</v>
      </c>
      <c r="AJ380" s="44" t="s">
        <v>57</v>
      </c>
      <c r="AK380" s="33">
        <v>2050</v>
      </c>
      <c r="AL380" s="45" t="str">
        <f t="shared" si="47"/>
        <v>*0.42</v>
      </c>
      <c r="AM380" s="43" t="str">
        <f t="shared" si="49"/>
        <v>REZoning_Sol-Win</v>
      </c>
      <c r="AP380" t="s">
        <v>447</v>
      </c>
      <c r="AQ380" t="s">
        <v>57</v>
      </c>
      <c r="AR380">
        <v>2100</v>
      </c>
      <c r="AS380" t="s">
        <v>59</v>
      </c>
      <c r="AT380" t="s">
        <v>58</v>
      </c>
    </row>
    <row r="381" ht="29" spans="1:46">
      <c r="A381" s="31" t="s">
        <v>55</v>
      </c>
      <c r="C381" t="s">
        <v>448</v>
      </c>
      <c r="D381" s="5" t="s">
        <v>57</v>
      </c>
      <c r="E381">
        <v>2035</v>
      </c>
      <c r="F381" s="6" t="str">
        <f t="shared" si="42"/>
        <v>*0.6</v>
      </c>
      <c r="H381" t="s">
        <v>448</v>
      </c>
      <c r="I381" s="5" t="s">
        <v>57</v>
      </c>
      <c r="J381">
        <v>2050</v>
      </c>
      <c r="K381" s="38" t="str">
        <f t="shared" si="43"/>
        <v>*0.49</v>
      </c>
      <c r="P381" s="32" t="s">
        <v>448</v>
      </c>
      <c r="Q381" s="42" t="s">
        <v>57</v>
      </c>
      <c r="R381" s="32">
        <v>2035</v>
      </c>
      <c r="S381" s="43" t="str">
        <f t="shared" si="44"/>
        <v>*0.58</v>
      </c>
      <c r="U381" s="32" t="s">
        <v>448</v>
      </c>
      <c r="V381" s="42" t="s">
        <v>57</v>
      </c>
      <c r="W381" s="32">
        <v>2050</v>
      </c>
      <c r="X381" s="43" t="str">
        <f t="shared" si="45"/>
        <v>*0.47</v>
      </c>
      <c r="AC381" s="33" t="s">
        <v>448</v>
      </c>
      <c r="AD381" s="44" t="s">
        <v>57</v>
      </c>
      <c r="AE381" s="33">
        <v>2035</v>
      </c>
      <c r="AF381" s="45" t="str">
        <f t="shared" si="46"/>
        <v>*0.55</v>
      </c>
      <c r="AG381" s="43" t="str">
        <f t="shared" si="48"/>
        <v>REZoning_Sol-Win</v>
      </c>
      <c r="AI381" s="33" t="s">
        <v>448</v>
      </c>
      <c r="AJ381" s="44" t="s">
        <v>57</v>
      </c>
      <c r="AK381" s="33">
        <v>2050</v>
      </c>
      <c r="AL381" s="45" t="str">
        <f t="shared" si="47"/>
        <v>*0.42</v>
      </c>
      <c r="AM381" s="43" t="str">
        <f t="shared" si="49"/>
        <v>REZoning_Sol-Win</v>
      </c>
      <c r="AP381" t="s">
        <v>448</v>
      </c>
      <c r="AQ381" t="s">
        <v>57</v>
      </c>
      <c r="AR381">
        <v>2100</v>
      </c>
      <c r="AS381" t="s">
        <v>59</v>
      </c>
      <c r="AT381" t="s">
        <v>58</v>
      </c>
    </row>
    <row r="382" ht="29" spans="1:46">
      <c r="A382" s="31" t="s">
        <v>55</v>
      </c>
      <c r="C382" t="s">
        <v>449</v>
      </c>
      <c r="D382" s="5" t="s">
        <v>57</v>
      </c>
      <c r="E382">
        <v>2035</v>
      </c>
      <c r="F382" s="6" t="str">
        <f t="shared" si="42"/>
        <v>*0.6</v>
      </c>
      <c r="H382" t="s">
        <v>449</v>
      </c>
      <c r="I382" s="5" t="s">
        <v>57</v>
      </c>
      <c r="J382">
        <v>2050</v>
      </c>
      <c r="K382" s="38" t="str">
        <f t="shared" si="43"/>
        <v>*0.49</v>
      </c>
      <c r="P382" s="32" t="s">
        <v>449</v>
      </c>
      <c r="Q382" s="42" t="s">
        <v>57</v>
      </c>
      <c r="R382" s="32">
        <v>2035</v>
      </c>
      <c r="S382" s="43" t="str">
        <f t="shared" si="44"/>
        <v>*0.58</v>
      </c>
      <c r="U382" s="32" t="s">
        <v>449</v>
      </c>
      <c r="V382" s="42" t="s">
        <v>57</v>
      </c>
      <c r="W382" s="32">
        <v>2050</v>
      </c>
      <c r="X382" s="43" t="str">
        <f t="shared" si="45"/>
        <v>*0.47</v>
      </c>
      <c r="AC382" s="33" t="s">
        <v>449</v>
      </c>
      <c r="AD382" s="44" t="s">
        <v>57</v>
      </c>
      <c r="AE382" s="33">
        <v>2035</v>
      </c>
      <c r="AF382" s="45" t="str">
        <f t="shared" si="46"/>
        <v>*0.55</v>
      </c>
      <c r="AG382" s="43" t="str">
        <f t="shared" si="48"/>
        <v>REZoning_Sol-Win</v>
      </c>
      <c r="AI382" s="33" t="s">
        <v>449</v>
      </c>
      <c r="AJ382" s="44" t="s">
        <v>57</v>
      </c>
      <c r="AK382" s="33">
        <v>2050</v>
      </c>
      <c r="AL382" s="45" t="str">
        <f t="shared" si="47"/>
        <v>*0.42</v>
      </c>
      <c r="AM382" s="43" t="str">
        <f t="shared" si="49"/>
        <v>REZoning_Sol-Win</v>
      </c>
      <c r="AP382" t="s">
        <v>449</v>
      </c>
      <c r="AQ382" t="s">
        <v>57</v>
      </c>
      <c r="AR382">
        <v>2100</v>
      </c>
      <c r="AS382" t="s">
        <v>59</v>
      </c>
      <c r="AT382" t="s">
        <v>58</v>
      </c>
    </row>
    <row r="383" ht="29" spans="1:46">
      <c r="A383" s="31" t="s">
        <v>55</v>
      </c>
      <c r="C383" t="s">
        <v>450</v>
      </c>
      <c r="D383" s="5" t="s">
        <v>57</v>
      </c>
      <c r="E383">
        <v>2035</v>
      </c>
      <c r="F383" s="6" t="str">
        <f t="shared" si="42"/>
        <v>*0.6</v>
      </c>
      <c r="H383" t="s">
        <v>450</v>
      </c>
      <c r="I383" s="5" t="s">
        <v>57</v>
      </c>
      <c r="J383">
        <v>2050</v>
      </c>
      <c r="K383" s="38" t="str">
        <f t="shared" si="43"/>
        <v>*0.49</v>
      </c>
      <c r="P383" s="32" t="s">
        <v>450</v>
      </c>
      <c r="Q383" s="42" t="s">
        <v>57</v>
      </c>
      <c r="R383" s="32">
        <v>2035</v>
      </c>
      <c r="S383" s="43" t="str">
        <f t="shared" si="44"/>
        <v>*0.58</v>
      </c>
      <c r="U383" s="32" t="s">
        <v>450</v>
      </c>
      <c r="V383" s="42" t="s">
        <v>57</v>
      </c>
      <c r="W383" s="32">
        <v>2050</v>
      </c>
      <c r="X383" s="43" t="str">
        <f t="shared" si="45"/>
        <v>*0.47</v>
      </c>
      <c r="AC383" s="33" t="s">
        <v>450</v>
      </c>
      <c r="AD383" s="44" t="s">
        <v>57</v>
      </c>
      <c r="AE383" s="33">
        <v>2035</v>
      </c>
      <c r="AF383" s="45" t="str">
        <f t="shared" si="46"/>
        <v>*0.55</v>
      </c>
      <c r="AG383" s="43" t="str">
        <f t="shared" si="48"/>
        <v>REZoning_Sol-Win</v>
      </c>
      <c r="AI383" s="33" t="s">
        <v>450</v>
      </c>
      <c r="AJ383" s="44" t="s">
        <v>57</v>
      </c>
      <c r="AK383" s="33">
        <v>2050</v>
      </c>
      <c r="AL383" s="45" t="str">
        <f t="shared" si="47"/>
        <v>*0.42</v>
      </c>
      <c r="AM383" s="43" t="str">
        <f t="shared" si="49"/>
        <v>REZoning_Sol-Win</v>
      </c>
      <c r="AP383" t="s">
        <v>450</v>
      </c>
      <c r="AQ383" t="s">
        <v>57</v>
      </c>
      <c r="AR383">
        <v>2100</v>
      </c>
      <c r="AS383" t="s">
        <v>59</v>
      </c>
      <c r="AT383" t="s">
        <v>58</v>
      </c>
    </row>
    <row r="384" ht="29" spans="1:46">
      <c r="A384" s="31" t="s">
        <v>55</v>
      </c>
      <c r="C384" t="s">
        <v>451</v>
      </c>
      <c r="D384" s="5" t="s">
        <v>57</v>
      </c>
      <c r="E384">
        <v>2035</v>
      </c>
      <c r="F384" s="6" t="str">
        <f t="shared" si="42"/>
        <v>*0.6</v>
      </c>
      <c r="H384" t="s">
        <v>451</v>
      </c>
      <c r="I384" s="5" t="s">
        <v>57</v>
      </c>
      <c r="J384">
        <v>2050</v>
      </c>
      <c r="K384" s="38" t="str">
        <f t="shared" si="43"/>
        <v>*0.49</v>
      </c>
      <c r="P384" s="32" t="s">
        <v>451</v>
      </c>
      <c r="Q384" s="42" t="s">
        <v>57</v>
      </c>
      <c r="R384" s="32">
        <v>2035</v>
      </c>
      <c r="S384" s="43" t="str">
        <f t="shared" si="44"/>
        <v>*0.58</v>
      </c>
      <c r="U384" s="32" t="s">
        <v>451</v>
      </c>
      <c r="V384" s="42" t="s">
        <v>57</v>
      </c>
      <c r="W384" s="32">
        <v>2050</v>
      </c>
      <c r="X384" s="43" t="str">
        <f t="shared" si="45"/>
        <v>*0.47</v>
      </c>
      <c r="AC384" s="33" t="s">
        <v>451</v>
      </c>
      <c r="AD384" s="44" t="s">
        <v>57</v>
      </c>
      <c r="AE384" s="33">
        <v>2035</v>
      </c>
      <c r="AF384" s="45" t="str">
        <f t="shared" si="46"/>
        <v>*0.55</v>
      </c>
      <c r="AG384" s="43" t="str">
        <f t="shared" si="48"/>
        <v>REZoning_Sol-Win</v>
      </c>
      <c r="AI384" s="33" t="s">
        <v>451</v>
      </c>
      <c r="AJ384" s="44" t="s">
        <v>57</v>
      </c>
      <c r="AK384" s="33">
        <v>2050</v>
      </c>
      <c r="AL384" s="45" t="str">
        <f t="shared" si="47"/>
        <v>*0.42</v>
      </c>
      <c r="AM384" s="43" t="str">
        <f t="shared" si="49"/>
        <v>REZoning_Sol-Win</v>
      </c>
      <c r="AP384" t="s">
        <v>451</v>
      </c>
      <c r="AQ384" t="s">
        <v>57</v>
      </c>
      <c r="AR384">
        <v>2100</v>
      </c>
      <c r="AS384" t="s">
        <v>59</v>
      </c>
      <c r="AT384" t="s">
        <v>58</v>
      </c>
    </row>
    <row r="385" ht="29" spans="1:46">
      <c r="A385" s="31" t="s">
        <v>55</v>
      </c>
      <c r="C385" t="s">
        <v>452</v>
      </c>
      <c r="D385" s="5" t="s">
        <v>57</v>
      </c>
      <c r="E385">
        <v>2035</v>
      </c>
      <c r="F385" s="6" t="str">
        <f t="shared" si="42"/>
        <v>*0.6</v>
      </c>
      <c r="H385" t="s">
        <v>452</v>
      </c>
      <c r="I385" s="5" t="s">
        <v>57</v>
      </c>
      <c r="J385">
        <v>2050</v>
      </c>
      <c r="K385" s="38" t="str">
        <f t="shared" si="43"/>
        <v>*0.49</v>
      </c>
      <c r="P385" s="32" t="s">
        <v>452</v>
      </c>
      <c r="Q385" s="42" t="s">
        <v>57</v>
      </c>
      <c r="R385" s="32">
        <v>2035</v>
      </c>
      <c r="S385" s="43" t="str">
        <f t="shared" si="44"/>
        <v>*0.58</v>
      </c>
      <c r="U385" s="32" t="s">
        <v>452</v>
      </c>
      <c r="V385" s="42" t="s">
        <v>57</v>
      </c>
      <c r="W385" s="32">
        <v>2050</v>
      </c>
      <c r="X385" s="43" t="str">
        <f t="shared" si="45"/>
        <v>*0.47</v>
      </c>
      <c r="AC385" s="33" t="s">
        <v>452</v>
      </c>
      <c r="AD385" s="44" t="s">
        <v>57</v>
      </c>
      <c r="AE385" s="33">
        <v>2035</v>
      </c>
      <c r="AF385" s="45" t="str">
        <f t="shared" si="46"/>
        <v>*0.55</v>
      </c>
      <c r="AG385" s="43" t="str">
        <f t="shared" si="48"/>
        <v>REZoning_Sol-Win</v>
      </c>
      <c r="AI385" s="33" t="s">
        <v>452</v>
      </c>
      <c r="AJ385" s="44" t="s">
        <v>57</v>
      </c>
      <c r="AK385" s="33">
        <v>2050</v>
      </c>
      <c r="AL385" s="45" t="str">
        <f t="shared" si="47"/>
        <v>*0.42</v>
      </c>
      <c r="AM385" s="43" t="str">
        <f t="shared" si="49"/>
        <v>REZoning_Sol-Win</v>
      </c>
      <c r="AP385" t="s">
        <v>452</v>
      </c>
      <c r="AQ385" t="s">
        <v>57</v>
      </c>
      <c r="AR385">
        <v>2100</v>
      </c>
      <c r="AS385" t="s">
        <v>59</v>
      </c>
      <c r="AT385" t="s">
        <v>58</v>
      </c>
    </row>
    <row r="386" ht="29" spans="1:46">
      <c r="A386" s="31" t="s">
        <v>55</v>
      </c>
      <c r="C386" t="s">
        <v>453</v>
      </c>
      <c r="D386" s="5" t="s">
        <v>57</v>
      </c>
      <c r="E386">
        <v>2035</v>
      </c>
      <c r="F386" s="6" t="str">
        <f t="shared" si="42"/>
        <v>*0.6</v>
      </c>
      <c r="H386" t="s">
        <v>453</v>
      </c>
      <c r="I386" s="5" t="s">
        <v>57</v>
      </c>
      <c r="J386">
        <v>2050</v>
      </c>
      <c r="K386" s="38" t="str">
        <f t="shared" si="43"/>
        <v>*0.49</v>
      </c>
      <c r="P386" s="32" t="s">
        <v>453</v>
      </c>
      <c r="Q386" s="42" t="s">
        <v>57</v>
      </c>
      <c r="R386" s="32">
        <v>2035</v>
      </c>
      <c r="S386" s="43" t="str">
        <f t="shared" si="44"/>
        <v>*0.58</v>
      </c>
      <c r="U386" s="32" t="s">
        <v>453</v>
      </c>
      <c r="V386" s="42" t="s">
        <v>57</v>
      </c>
      <c r="W386" s="32">
        <v>2050</v>
      </c>
      <c r="X386" s="43" t="str">
        <f t="shared" si="45"/>
        <v>*0.47</v>
      </c>
      <c r="AC386" s="33" t="s">
        <v>453</v>
      </c>
      <c r="AD386" s="44" t="s">
        <v>57</v>
      </c>
      <c r="AE386" s="33">
        <v>2035</v>
      </c>
      <c r="AF386" s="45" t="str">
        <f t="shared" si="46"/>
        <v>*0.55</v>
      </c>
      <c r="AG386" s="43" t="str">
        <f t="shared" si="48"/>
        <v>REZoning_Sol-Win</v>
      </c>
      <c r="AI386" s="33" t="s">
        <v>453</v>
      </c>
      <c r="AJ386" s="44" t="s">
        <v>57</v>
      </c>
      <c r="AK386" s="33">
        <v>2050</v>
      </c>
      <c r="AL386" s="45" t="str">
        <f t="shared" si="47"/>
        <v>*0.42</v>
      </c>
      <c r="AM386" s="43" t="str">
        <f t="shared" si="49"/>
        <v>REZoning_Sol-Win</v>
      </c>
      <c r="AP386" t="s">
        <v>453</v>
      </c>
      <c r="AQ386" t="s">
        <v>57</v>
      </c>
      <c r="AR386">
        <v>2100</v>
      </c>
      <c r="AS386" t="s">
        <v>59</v>
      </c>
      <c r="AT386" t="s">
        <v>58</v>
      </c>
    </row>
    <row r="387" ht="29" spans="1:46">
      <c r="A387" s="31" t="s">
        <v>55</v>
      </c>
      <c r="C387" t="s">
        <v>454</v>
      </c>
      <c r="D387" s="5" t="s">
        <v>57</v>
      </c>
      <c r="E387">
        <v>2035</v>
      </c>
      <c r="F387" s="6" t="str">
        <f t="shared" si="42"/>
        <v>*0.6</v>
      </c>
      <c r="H387" t="s">
        <v>454</v>
      </c>
      <c r="I387" s="5" t="s">
        <v>57</v>
      </c>
      <c r="J387">
        <v>2050</v>
      </c>
      <c r="K387" s="38" t="str">
        <f t="shared" si="43"/>
        <v>*0.49</v>
      </c>
      <c r="P387" s="32" t="s">
        <v>454</v>
      </c>
      <c r="Q387" s="42" t="s">
        <v>57</v>
      </c>
      <c r="R387" s="32">
        <v>2035</v>
      </c>
      <c r="S387" s="43" t="str">
        <f t="shared" si="44"/>
        <v>*0.58</v>
      </c>
      <c r="U387" s="32" t="s">
        <v>454</v>
      </c>
      <c r="V387" s="42" t="s">
        <v>57</v>
      </c>
      <c r="W387" s="32">
        <v>2050</v>
      </c>
      <c r="X387" s="43" t="str">
        <f t="shared" si="45"/>
        <v>*0.47</v>
      </c>
      <c r="AC387" s="33" t="s">
        <v>454</v>
      </c>
      <c r="AD387" s="44" t="s">
        <v>57</v>
      </c>
      <c r="AE387" s="33">
        <v>2035</v>
      </c>
      <c r="AF387" s="45" t="str">
        <f t="shared" si="46"/>
        <v>*0.55</v>
      </c>
      <c r="AG387" s="43" t="str">
        <f t="shared" si="48"/>
        <v>REZoning_Sol-Win</v>
      </c>
      <c r="AI387" s="33" t="s">
        <v>454</v>
      </c>
      <c r="AJ387" s="44" t="s">
        <v>57</v>
      </c>
      <c r="AK387" s="33">
        <v>2050</v>
      </c>
      <c r="AL387" s="45" t="str">
        <f t="shared" si="47"/>
        <v>*0.42</v>
      </c>
      <c r="AM387" s="43" t="str">
        <f t="shared" si="49"/>
        <v>REZoning_Sol-Win</v>
      </c>
      <c r="AP387" t="s">
        <v>454</v>
      </c>
      <c r="AQ387" t="s">
        <v>57</v>
      </c>
      <c r="AR387">
        <v>2100</v>
      </c>
      <c r="AS387" t="s">
        <v>59</v>
      </c>
      <c r="AT387" t="s">
        <v>58</v>
      </c>
    </row>
    <row r="388" ht="29" spans="1:46">
      <c r="A388" s="31" t="s">
        <v>55</v>
      </c>
      <c r="C388" t="s">
        <v>455</v>
      </c>
      <c r="D388" s="5" t="s">
        <v>57</v>
      </c>
      <c r="E388">
        <v>2035</v>
      </c>
      <c r="F388" s="6" t="str">
        <f t="shared" ref="F388:F451" si="50">"*"&amp;IF(AND(A388="EU",E388=2035),0.63,IF(AND(A388="EU",E388=2050),0.54,IF(AND(A388="USA",E388=2035),0.64,IF(AND(A388="USA",E388=2050),0.54,IF(AND(A388="Japan",E388=2035),0.68,IF(AND(A388="Japan",E388=2050),0.58,IF(AND(A388="Russia",E388=2035),0.65,IF(AND(A388="Russia",E388=2050),0.54,IF(AND(A388="China",E388=2035),0.61,IF(AND(A388="China",E388=2050),0.49,IF(AND(A388="India",E388=2035),0.6,IF(AND(A388="India",E388=2050),0.49,IF(AND(A388="Middle East",E388=2035),0.6,IF(AND(A388="Middle East",E388=2050),0.5,IF(AND(A388="Africa",E388=2035),0.61,IF(AND(A388="Africa",E388=2050),0.5,IF(AND(A388="Brazil",E388=2035),0.64,IF(AND(A388="Brazil",E388=2050),0.54,""))))))))))))))))))</f>
        <v>*0.6</v>
      </c>
      <c r="H388" t="s">
        <v>455</v>
      </c>
      <c r="I388" s="5" t="s">
        <v>57</v>
      </c>
      <c r="J388">
        <v>2050</v>
      </c>
      <c r="K388" s="38" t="str">
        <f t="shared" ref="K388:K451" si="51">"*"&amp;IF(AND(A388="EU",J388=2035),0.63,IF(AND(A388="EU",J388=2050),0.54,IF(AND(A388="USA",J388=2035),0.64,IF(AND(A388="USA",J388=2050),0.54,IF(AND(A388="Japan",J388=2035),0.68,IF(AND(A388="Japan",J388=2050),0.58,IF(AND(A388="Russia",J388=2035),0.65,IF(AND(A388="Russia",J388=2050),0.54,IF(AND(A388="China",J388=2035),0.61,IF(AND(A388="China",J388=2050),0.49,IF(AND(A388="India",J388=2035),0.6,IF(AND(A388="India",J388=2050),0.49,IF(AND(A388="Middle East",J388=2035),0.6,IF(AND(A388="Middle East",J388=2050),0.5,IF(AND(A388="Africa",J388=2035),0.61,IF(AND(A388="Africa",J388=2050),0.5,IF(AND(A388="Brazil",J388=2035),0.64,IF(AND(A388="Brazil",J388=2050),0.54,""))))))))))))))))))</f>
        <v>*0.49</v>
      </c>
      <c r="P388" s="32" t="s">
        <v>455</v>
      </c>
      <c r="Q388" s="42" t="s">
        <v>57</v>
      </c>
      <c r="R388" s="32">
        <v>2035</v>
      </c>
      <c r="S388" s="43" t="str">
        <f t="shared" ref="S388:S451" si="52">"*"&amp;IF(AND(A388="EU",R388=2035),0.62,IF(AND(A388="EU",R388=2050),0.51,IF(AND(A388="USA",R388=2035),0.62,IF(AND(A388="USA",R388=2050),0.5,IF(AND(A388="Japan",R388=2035),0.65,IF(AND(A388="Japan",R388=2050),0.55,IF(AND(A388="Russia",R388=2035),0.63,IF(AND(A388="Russia",R388=2050),0.52,IF(AND(A388="China",R388=2035),0.59,IF(AND(A388="China",R388=2050),0.47,IF(AND(A388="India",R388=2035),0.58,IF(AND(A388="India",R388=2050),0.47,IF(AND(A388="Middle East",R388=2035),0.59,IF(AND(A388="Middle East",R388=2050),0.47,IF(AND(A388="Africa",R388=2035),0.58,IF(AND(A388="Africa",R388=2050),0.47,IF(AND(A388="Brazil",R388=2035),0.64,IF(AND(A388="Brazil",R388=2050),0.53,""))))))))))))))))))</f>
        <v>*0.58</v>
      </c>
      <c r="U388" s="32" t="s">
        <v>455</v>
      </c>
      <c r="V388" s="42" t="s">
        <v>57</v>
      </c>
      <c r="W388" s="32">
        <v>2050</v>
      </c>
      <c r="X388" s="43" t="str">
        <f t="shared" ref="X388:X451" si="53">"*"&amp;IF(AND(A388="EU",W388=2035),0.62,IF(AND(A388="EU",W388=2050),0.51,IF(AND(A388="USA",W388=2035),0.62,IF(AND(A388="USA",W388=2050),0.5,IF(AND(A388="Japan",W388=2035),0.65,IF(AND(A388="Japan",W388=2050),0.55,IF(AND(A388="Russia",W388=2035),0.63,IF(AND(A388="Russia",W388=2050),0.52,IF(AND(A388="China",W388=2035),0.59,IF(AND(A388="China",W388=2050),0.47,IF(AND(A388="India",W388=2035),0.58,IF(AND(A388="India",W388=2050),0.47,IF(AND(A388="Middle East",W388=2035),0.59,IF(AND(A388="Middle East",W388=2050),0.47,IF(AND(A388="Africa",W388=2035),0.58,IF(AND(A388="Africa",W388=2050),0.47,IF(AND(A388="Brazil",W388=2035),0.64,IF(AND(A388="Brazil",W388=2050),0.53,""))))))))))))))))))</f>
        <v>*0.47</v>
      </c>
      <c r="AC388" s="33" t="s">
        <v>455</v>
      </c>
      <c r="AD388" s="44" t="s">
        <v>57</v>
      </c>
      <c r="AE388" s="33">
        <v>2035</v>
      </c>
      <c r="AF388" s="45" t="str">
        <f t="shared" ref="AF388:AF451" si="54">"*"&amp;IF(AND(A388="EU",AE388=2035),0.58,IF(AND(A388="EU",AE388=2050),0.49,IF(AND(A388="USA",AE388=2035),0.56,IF(AND(A388="USA",AE388=2050),0.45,IF(AND(A388="Japan",AE388=2035),0.62,IF(AND(A388="Japan",AE388=2050),0.51,IF(AND(A388="Russia",AE388=2035),0.55,IF(AND(A388="Russia",AE388=2050),0.41,IF(AND(A388="China",AE388=2035),0.54,IF(AND(A388="China",AE388=2050),0.44,IF(AND(A388="India",AE388=2035),0.55,IF(AND(A388="India",AE388=2050),0.42,IF(AND(A388="Middle East",AE388=2035),0.53,IF(AND(A388="Middle East",AE388=2050),0.41,IF(AND(A388="Africa",AE388=2035),0.53,IF(AND(A388="Africa",AE388=2050),0.41,IF(AND(A388="Brazil",AE388=2035),0.6,IF(AND(A388="Brazil",AE388=2050),0.5,""))))))))))))))))))</f>
        <v>*0.55</v>
      </c>
      <c r="AG388" s="43" t="str">
        <f t="shared" si="48"/>
        <v>REZoning_Sol-Win</v>
      </c>
      <c r="AI388" s="33" t="s">
        <v>455</v>
      </c>
      <c r="AJ388" s="44" t="s">
        <v>57</v>
      </c>
      <c r="AK388" s="33">
        <v>2050</v>
      </c>
      <c r="AL388" s="45" t="str">
        <f t="shared" ref="AL388:AL451" si="55">"*"&amp;IF(AND(A388="EU",AK388=2035),0.58,IF(AND(A388="EU",AK388=2050),0.49,IF(AND(A388="USA",AK388=2035),0.56,IF(AND(A388="USA",AK388=2050),0.45,IF(AND(A388="Japan",AK388=2035),0.62,IF(AND(A388="Japan",AK388=2050),0.51,IF(AND(A388="Russia",AK388=2035),0.55,IF(AND(A388="Russia",AK388=2050),0.41,IF(AND(A388="China",AK388=2035),0.54,IF(AND(A388="China",AK388=2050),0.44,IF(AND(A388="India",AK388=2035),0.55,IF(AND(A388="India",AK388=2050),0.42,IF(AND(A388="Middle East",AK388=2035),0.53,IF(AND(A388="Middle East",AK388=2050),0.41,IF(AND(A388="Africa",AK388=2035),0.53,IF(AND(A388="Africa",AK388=2050),0.41,IF(AND(A388="Brazil",AK388=2035),0.6,IF(AND(A388="Brazil",AK388=2050),0.5,""))))))))))))))))))</f>
        <v>*0.42</v>
      </c>
      <c r="AM388" s="43" t="str">
        <f t="shared" si="49"/>
        <v>REZoning_Sol-Win</v>
      </c>
      <c r="AP388" t="s">
        <v>455</v>
      </c>
      <c r="AQ388" t="s">
        <v>57</v>
      </c>
      <c r="AR388">
        <v>2100</v>
      </c>
      <c r="AS388" t="s">
        <v>59</v>
      </c>
      <c r="AT388" t="s">
        <v>58</v>
      </c>
    </row>
    <row r="389" ht="29" spans="1:46">
      <c r="A389" s="31" t="s">
        <v>55</v>
      </c>
      <c r="C389" t="s">
        <v>456</v>
      </c>
      <c r="D389" s="5" t="s">
        <v>57</v>
      </c>
      <c r="E389">
        <v>2035</v>
      </c>
      <c r="F389" s="6" t="str">
        <f t="shared" si="50"/>
        <v>*0.6</v>
      </c>
      <c r="H389" t="s">
        <v>456</v>
      </c>
      <c r="I389" s="5" t="s">
        <v>57</v>
      </c>
      <c r="J389">
        <v>2050</v>
      </c>
      <c r="K389" s="38" t="str">
        <f t="shared" si="51"/>
        <v>*0.49</v>
      </c>
      <c r="P389" s="32" t="s">
        <v>456</v>
      </c>
      <c r="Q389" s="42" t="s">
        <v>57</v>
      </c>
      <c r="R389" s="32">
        <v>2035</v>
      </c>
      <c r="S389" s="43" t="str">
        <f t="shared" si="52"/>
        <v>*0.58</v>
      </c>
      <c r="U389" s="32" t="s">
        <v>456</v>
      </c>
      <c r="V389" s="42" t="s">
        <v>57</v>
      </c>
      <c r="W389" s="32">
        <v>2050</v>
      </c>
      <c r="X389" s="43" t="str">
        <f t="shared" si="53"/>
        <v>*0.47</v>
      </c>
      <c r="AC389" s="33" t="s">
        <v>456</v>
      </c>
      <c r="AD389" s="44" t="s">
        <v>57</v>
      </c>
      <c r="AE389" s="33">
        <v>2035</v>
      </c>
      <c r="AF389" s="45" t="str">
        <f t="shared" si="54"/>
        <v>*0.55</v>
      </c>
      <c r="AG389" s="43" t="str">
        <f t="shared" si="48"/>
        <v>REZoning_Sol-Win</v>
      </c>
      <c r="AI389" s="33" t="s">
        <v>456</v>
      </c>
      <c r="AJ389" s="44" t="s">
        <v>57</v>
      </c>
      <c r="AK389" s="33">
        <v>2050</v>
      </c>
      <c r="AL389" s="45" t="str">
        <f t="shared" si="55"/>
        <v>*0.42</v>
      </c>
      <c r="AM389" s="43" t="str">
        <f t="shared" si="49"/>
        <v>REZoning_Sol-Win</v>
      </c>
      <c r="AP389" t="s">
        <v>456</v>
      </c>
      <c r="AQ389" t="s">
        <v>57</v>
      </c>
      <c r="AR389">
        <v>2100</v>
      </c>
      <c r="AS389" t="s">
        <v>59</v>
      </c>
      <c r="AT389" t="s">
        <v>58</v>
      </c>
    </row>
    <row r="390" ht="29" spans="1:46">
      <c r="A390" s="31" t="s">
        <v>55</v>
      </c>
      <c r="C390" t="s">
        <v>457</v>
      </c>
      <c r="D390" s="5" t="s">
        <v>57</v>
      </c>
      <c r="E390">
        <v>2035</v>
      </c>
      <c r="F390" s="6" t="str">
        <f t="shared" si="50"/>
        <v>*0.6</v>
      </c>
      <c r="H390" t="s">
        <v>457</v>
      </c>
      <c r="I390" s="5" t="s">
        <v>57</v>
      </c>
      <c r="J390">
        <v>2050</v>
      </c>
      <c r="K390" s="38" t="str">
        <f t="shared" si="51"/>
        <v>*0.49</v>
      </c>
      <c r="P390" s="32" t="s">
        <v>457</v>
      </c>
      <c r="Q390" s="42" t="s">
        <v>57</v>
      </c>
      <c r="R390" s="32">
        <v>2035</v>
      </c>
      <c r="S390" s="43" t="str">
        <f t="shared" si="52"/>
        <v>*0.58</v>
      </c>
      <c r="U390" s="32" t="s">
        <v>457</v>
      </c>
      <c r="V390" s="42" t="s">
        <v>57</v>
      </c>
      <c r="W390" s="32">
        <v>2050</v>
      </c>
      <c r="X390" s="43" t="str">
        <f t="shared" si="53"/>
        <v>*0.47</v>
      </c>
      <c r="AC390" s="33" t="s">
        <v>457</v>
      </c>
      <c r="AD390" s="44" t="s">
        <v>57</v>
      </c>
      <c r="AE390" s="33">
        <v>2035</v>
      </c>
      <c r="AF390" s="45" t="str">
        <f t="shared" si="54"/>
        <v>*0.55</v>
      </c>
      <c r="AG390" s="43" t="str">
        <f t="shared" si="48"/>
        <v>REZoning_Sol-Win</v>
      </c>
      <c r="AI390" s="33" t="s">
        <v>457</v>
      </c>
      <c r="AJ390" s="44" t="s">
        <v>57</v>
      </c>
      <c r="AK390" s="33">
        <v>2050</v>
      </c>
      <c r="AL390" s="45" t="str">
        <f t="shared" si="55"/>
        <v>*0.42</v>
      </c>
      <c r="AM390" s="43" t="str">
        <f t="shared" si="49"/>
        <v>REZoning_Sol-Win</v>
      </c>
      <c r="AP390" t="s">
        <v>457</v>
      </c>
      <c r="AQ390" t="s">
        <v>57</v>
      </c>
      <c r="AR390">
        <v>2100</v>
      </c>
      <c r="AS390" t="s">
        <v>59</v>
      </c>
      <c r="AT390" t="s">
        <v>58</v>
      </c>
    </row>
    <row r="391" ht="29" spans="1:46">
      <c r="A391" s="31" t="s">
        <v>55</v>
      </c>
      <c r="C391" t="s">
        <v>458</v>
      </c>
      <c r="D391" s="5" t="s">
        <v>57</v>
      </c>
      <c r="E391">
        <v>2035</v>
      </c>
      <c r="F391" s="6" t="str">
        <f t="shared" si="50"/>
        <v>*0.6</v>
      </c>
      <c r="H391" t="s">
        <v>458</v>
      </c>
      <c r="I391" s="5" t="s">
        <v>57</v>
      </c>
      <c r="J391">
        <v>2050</v>
      </c>
      <c r="K391" s="38" t="str">
        <f t="shared" si="51"/>
        <v>*0.49</v>
      </c>
      <c r="P391" s="32" t="s">
        <v>458</v>
      </c>
      <c r="Q391" s="42" t="s">
        <v>57</v>
      </c>
      <c r="R391" s="32">
        <v>2035</v>
      </c>
      <c r="S391" s="43" t="str">
        <f t="shared" si="52"/>
        <v>*0.58</v>
      </c>
      <c r="U391" s="32" t="s">
        <v>458</v>
      </c>
      <c r="V391" s="42" t="s">
        <v>57</v>
      </c>
      <c r="W391" s="32">
        <v>2050</v>
      </c>
      <c r="X391" s="43" t="str">
        <f t="shared" si="53"/>
        <v>*0.47</v>
      </c>
      <c r="AC391" s="33" t="s">
        <v>458</v>
      </c>
      <c r="AD391" s="44" t="s">
        <v>57</v>
      </c>
      <c r="AE391" s="33">
        <v>2035</v>
      </c>
      <c r="AF391" s="45" t="str">
        <f t="shared" si="54"/>
        <v>*0.55</v>
      </c>
      <c r="AG391" s="43" t="str">
        <f t="shared" si="48"/>
        <v>REZoning_Sol-Win</v>
      </c>
      <c r="AI391" s="33" t="s">
        <v>458</v>
      </c>
      <c r="AJ391" s="44" t="s">
        <v>57</v>
      </c>
      <c r="AK391" s="33">
        <v>2050</v>
      </c>
      <c r="AL391" s="45" t="str">
        <f t="shared" si="55"/>
        <v>*0.42</v>
      </c>
      <c r="AM391" s="43" t="str">
        <f t="shared" si="49"/>
        <v>REZoning_Sol-Win</v>
      </c>
      <c r="AP391" t="s">
        <v>458</v>
      </c>
      <c r="AQ391" t="s">
        <v>57</v>
      </c>
      <c r="AR391">
        <v>2100</v>
      </c>
      <c r="AS391" t="s">
        <v>59</v>
      </c>
      <c r="AT391" t="s">
        <v>58</v>
      </c>
    </row>
    <row r="392" ht="29" spans="1:46">
      <c r="A392" s="31" t="s">
        <v>55</v>
      </c>
      <c r="C392" t="s">
        <v>459</v>
      </c>
      <c r="D392" s="5" t="s">
        <v>57</v>
      </c>
      <c r="E392">
        <v>2035</v>
      </c>
      <c r="F392" s="6" t="str">
        <f t="shared" si="50"/>
        <v>*0.6</v>
      </c>
      <c r="H392" t="s">
        <v>459</v>
      </c>
      <c r="I392" s="5" t="s">
        <v>57</v>
      </c>
      <c r="J392">
        <v>2050</v>
      </c>
      <c r="K392" s="38" t="str">
        <f t="shared" si="51"/>
        <v>*0.49</v>
      </c>
      <c r="P392" s="32" t="s">
        <v>459</v>
      </c>
      <c r="Q392" s="42" t="s">
        <v>57</v>
      </c>
      <c r="R392" s="32">
        <v>2035</v>
      </c>
      <c r="S392" s="43" t="str">
        <f t="shared" si="52"/>
        <v>*0.58</v>
      </c>
      <c r="U392" s="32" t="s">
        <v>459</v>
      </c>
      <c r="V392" s="42" t="s">
        <v>57</v>
      </c>
      <c r="W392" s="32">
        <v>2050</v>
      </c>
      <c r="X392" s="43" t="str">
        <f t="shared" si="53"/>
        <v>*0.47</v>
      </c>
      <c r="AC392" s="33" t="s">
        <v>459</v>
      </c>
      <c r="AD392" s="44" t="s">
        <v>57</v>
      </c>
      <c r="AE392" s="33">
        <v>2035</v>
      </c>
      <c r="AF392" s="45" t="str">
        <f t="shared" si="54"/>
        <v>*0.55</v>
      </c>
      <c r="AG392" s="43" t="str">
        <f t="shared" si="48"/>
        <v>REZoning_Sol-Win</v>
      </c>
      <c r="AI392" s="33" t="s">
        <v>459</v>
      </c>
      <c r="AJ392" s="44" t="s">
        <v>57</v>
      </c>
      <c r="AK392" s="33">
        <v>2050</v>
      </c>
      <c r="AL392" s="45" t="str">
        <f t="shared" si="55"/>
        <v>*0.42</v>
      </c>
      <c r="AM392" s="43" t="str">
        <f t="shared" si="49"/>
        <v>REZoning_Sol-Win</v>
      </c>
      <c r="AP392" t="s">
        <v>459</v>
      </c>
      <c r="AQ392" t="s">
        <v>57</v>
      </c>
      <c r="AR392">
        <v>2100</v>
      </c>
      <c r="AS392" t="s">
        <v>59</v>
      </c>
      <c r="AT392" t="s">
        <v>58</v>
      </c>
    </row>
    <row r="393" ht="29" spans="1:46">
      <c r="A393" s="31" t="s">
        <v>55</v>
      </c>
      <c r="C393" t="s">
        <v>460</v>
      </c>
      <c r="D393" s="5" t="s">
        <v>57</v>
      </c>
      <c r="E393">
        <v>2035</v>
      </c>
      <c r="F393" s="6" t="str">
        <f t="shared" si="50"/>
        <v>*0.6</v>
      </c>
      <c r="H393" t="s">
        <v>460</v>
      </c>
      <c r="I393" s="5" t="s">
        <v>57</v>
      </c>
      <c r="J393">
        <v>2050</v>
      </c>
      <c r="K393" s="38" t="str">
        <f t="shared" si="51"/>
        <v>*0.49</v>
      </c>
      <c r="P393" s="32" t="s">
        <v>460</v>
      </c>
      <c r="Q393" s="42" t="s">
        <v>57</v>
      </c>
      <c r="R393" s="32">
        <v>2035</v>
      </c>
      <c r="S393" s="43" t="str">
        <f t="shared" si="52"/>
        <v>*0.58</v>
      </c>
      <c r="U393" s="32" t="s">
        <v>460</v>
      </c>
      <c r="V393" s="42" t="s">
        <v>57</v>
      </c>
      <c r="W393" s="32">
        <v>2050</v>
      </c>
      <c r="X393" s="43" t="str">
        <f t="shared" si="53"/>
        <v>*0.47</v>
      </c>
      <c r="AC393" s="33" t="s">
        <v>460</v>
      </c>
      <c r="AD393" s="44" t="s">
        <v>57</v>
      </c>
      <c r="AE393" s="33">
        <v>2035</v>
      </c>
      <c r="AF393" s="45" t="str">
        <f t="shared" si="54"/>
        <v>*0.55</v>
      </c>
      <c r="AG393" s="43" t="str">
        <f t="shared" ref="AG393:AG456" si="56">AG392</f>
        <v>REZoning_Sol-Win</v>
      </c>
      <c r="AI393" s="33" t="s">
        <v>460</v>
      </c>
      <c r="AJ393" s="44" t="s">
        <v>57</v>
      </c>
      <c r="AK393" s="33">
        <v>2050</v>
      </c>
      <c r="AL393" s="45" t="str">
        <f t="shared" si="55"/>
        <v>*0.42</v>
      </c>
      <c r="AM393" s="43" t="str">
        <f t="shared" ref="AM393:AM456" si="57">AM392</f>
        <v>REZoning_Sol-Win</v>
      </c>
      <c r="AP393" t="s">
        <v>460</v>
      </c>
      <c r="AQ393" t="s">
        <v>57</v>
      </c>
      <c r="AR393">
        <v>2100</v>
      </c>
      <c r="AS393" t="s">
        <v>59</v>
      </c>
      <c r="AT393" t="s">
        <v>58</v>
      </c>
    </row>
    <row r="394" ht="29" spans="1:46">
      <c r="A394" s="31" t="s">
        <v>55</v>
      </c>
      <c r="C394" t="s">
        <v>461</v>
      </c>
      <c r="D394" s="5" t="s">
        <v>57</v>
      </c>
      <c r="E394">
        <v>2035</v>
      </c>
      <c r="F394" s="6" t="str">
        <f t="shared" si="50"/>
        <v>*0.6</v>
      </c>
      <c r="H394" t="s">
        <v>461</v>
      </c>
      <c r="I394" s="5" t="s">
        <v>57</v>
      </c>
      <c r="J394">
        <v>2050</v>
      </c>
      <c r="K394" s="38" t="str">
        <f t="shared" si="51"/>
        <v>*0.49</v>
      </c>
      <c r="P394" s="32" t="s">
        <v>461</v>
      </c>
      <c r="Q394" s="42" t="s">
        <v>57</v>
      </c>
      <c r="R394" s="32">
        <v>2035</v>
      </c>
      <c r="S394" s="43" t="str">
        <f t="shared" si="52"/>
        <v>*0.58</v>
      </c>
      <c r="U394" s="32" t="s">
        <v>461</v>
      </c>
      <c r="V394" s="42" t="s">
        <v>57</v>
      </c>
      <c r="W394" s="32">
        <v>2050</v>
      </c>
      <c r="X394" s="43" t="str">
        <f t="shared" si="53"/>
        <v>*0.47</v>
      </c>
      <c r="AC394" s="33" t="s">
        <v>461</v>
      </c>
      <c r="AD394" s="44" t="s">
        <v>57</v>
      </c>
      <c r="AE394" s="33">
        <v>2035</v>
      </c>
      <c r="AF394" s="45" t="str">
        <f t="shared" si="54"/>
        <v>*0.55</v>
      </c>
      <c r="AG394" s="43" t="str">
        <f t="shared" si="56"/>
        <v>REZoning_Sol-Win</v>
      </c>
      <c r="AI394" s="33" t="s">
        <v>461</v>
      </c>
      <c r="AJ394" s="44" t="s">
        <v>57</v>
      </c>
      <c r="AK394" s="33">
        <v>2050</v>
      </c>
      <c r="AL394" s="45" t="str">
        <f t="shared" si="55"/>
        <v>*0.42</v>
      </c>
      <c r="AM394" s="43" t="str">
        <f t="shared" si="57"/>
        <v>REZoning_Sol-Win</v>
      </c>
      <c r="AP394" t="s">
        <v>461</v>
      </c>
      <c r="AQ394" t="s">
        <v>57</v>
      </c>
      <c r="AR394">
        <v>2100</v>
      </c>
      <c r="AS394" t="s">
        <v>59</v>
      </c>
      <c r="AT394" t="s">
        <v>58</v>
      </c>
    </row>
    <row r="395" ht="29" spans="1:46">
      <c r="A395" s="31" t="s">
        <v>55</v>
      </c>
      <c r="C395" t="s">
        <v>462</v>
      </c>
      <c r="D395" s="5" t="s">
        <v>57</v>
      </c>
      <c r="E395">
        <v>2035</v>
      </c>
      <c r="F395" s="6" t="str">
        <f t="shared" si="50"/>
        <v>*0.6</v>
      </c>
      <c r="H395" t="s">
        <v>462</v>
      </c>
      <c r="I395" s="5" t="s">
        <v>57</v>
      </c>
      <c r="J395">
        <v>2050</v>
      </c>
      <c r="K395" s="38" t="str">
        <f t="shared" si="51"/>
        <v>*0.49</v>
      </c>
      <c r="P395" s="32" t="s">
        <v>462</v>
      </c>
      <c r="Q395" s="42" t="s">
        <v>57</v>
      </c>
      <c r="R395" s="32">
        <v>2035</v>
      </c>
      <c r="S395" s="43" t="str">
        <f t="shared" si="52"/>
        <v>*0.58</v>
      </c>
      <c r="U395" s="32" t="s">
        <v>462</v>
      </c>
      <c r="V395" s="42" t="s">
        <v>57</v>
      </c>
      <c r="W395" s="32">
        <v>2050</v>
      </c>
      <c r="X395" s="43" t="str">
        <f t="shared" si="53"/>
        <v>*0.47</v>
      </c>
      <c r="AC395" s="33" t="s">
        <v>462</v>
      </c>
      <c r="AD395" s="44" t="s">
        <v>57</v>
      </c>
      <c r="AE395" s="33">
        <v>2035</v>
      </c>
      <c r="AF395" s="45" t="str">
        <f t="shared" si="54"/>
        <v>*0.55</v>
      </c>
      <c r="AG395" s="43" t="str">
        <f t="shared" si="56"/>
        <v>REZoning_Sol-Win</v>
      </c>
      <c r="AI395" s="33" t="s">
        <v>462</v>
      </c>
      <c r="AJ395" s="44" t="s">
        <v>57</v>
      </c>
      <c r="AK395" s="33">
        <v>2050</v>
      </c>
      <c r="AL395" s="45" t="str">
        <f t="shared" si="55"/>
        <v>*0.42</v>
      </c>
      <c r="AM395" s="43" t="str">
        <f t="shared" si="57"/>
        <v>REZoning_Sol-Win</v>
      </c>
      <c r="AP395" t="s">
        <v>462</v>
      </c>
      <c r="AQ395" t="s">
        <v>57</v>
      </c>
      <c r="AR395">
        <v>2100</v>
      </c>
      <c r="AS395" t="s">
        <v>59</v>
      </c>
      <c r="AT395" t="s">
        <v>58</v>
      </c>
    </row>
    <row r="396" ht="29" spans="1:46">
      <c r="A396" s="31" t="s">
        <v>73</v>
      </c>
      <c r="C396" t="s">
        <v>463</v>
      </c>
      <c r="D396" s="5" t="s">
        <v>57</v>
      </c>
      <c r="E396">
        <v>2035</v>
      </c>
      <c r="F396" s="6" t="str">
        <f t="shared" si="50"/>
        <v>*0.63</v>
      </c>
      <c r="H396" t="s">
        <v>463</v>
      </c>
      <c r="I396" s="5" t="s">
        <v>57</v>
      </c>
      <c r="J396">
        <v>2050</v>
      </c>
      <c r="K396" s="38" t="str">
        <f t="shared" si="51"/>
        <v>*0.54</v>
      </c>
      <c r="P396" s="32" t="s">
        <v>463</v>
      </c>
      <c r="Q396" s="42" t="s">
        <v>57</v>
      </c>
      <c r="R396" s="32">
        <v>2035</v>
      </c>
      <c r="S396" s="43" t="str">
        <f t="shared" si="52"/>
        <v>*0.62</v>
      </c>
      <c r="U396" s="32" t="s">
        <v>463</v>
      </c>
      <c r="V396" s="42" t="s">
        <v>57</v>
      </c>
      <c r="W396" s="32">
        <v>2050</v>
      </c>
      <c r="X396" s="43" t="str">
        <f t="shared" si="53"/>
        <v>*0.51</v>
      </c>
      <c r="AC396" s="33" t="s">
        <v>463</v>
      </c>
      <c r="AD396" s="44" t="s">
        <v>57</v>
      </c>
      <c r="AE396" s="33">
        <v>2035</v>
      </c>
      <c r="AF396" s="45" t="str">
        <f t="shared" si="54"/>
        <v>*0.58</v>
      </c>
      <c r="AG396" s="43" t="str">
        <f t="shared" si="56"/>
        <v>REZoning_Sol-Win</v>
      </c>
      <c r="AI396" s="33" t="s">
        <v>463</v>
      </c>
      <c r="AJ396" s="44" t="s">
        <v>57</v>
      </c>
      <c r="AK396" s="33">
        <v>2050</v>
      </c>
      <c r="AL396" s="45" t="str">
        <f t="shared" si="55"/>
        <v>*0.49</v>
      </c>
      <c r="AM396" s="43" t="str">
        <f t="shared" si="57"/>
        <v>REZoning_Sol-Win</v>
      </c>
      <c r="AP396" t="s">
        <v>463</v>
      </c>
      <c r="AQ396" t="s">
        <v>57</v>
      </c>
      <c r="AR396">
        <v>2100</v>
      </c>
      <c r="AS396" t="s">
        <v>75</v>
      </c>
      <c r="AT396" t="s">
        <v>58</v>
      </c>
    </row>
    <row r="397" ht="29" spans="1:46">
      <c r="A397" s="31" t="s">
        <v>73</v>
      </c>
      <c r="C397" t="s">
        <v>464</v>
      </c>
      <c r="D397" s="5" t="s">
        <v>57</v>
      </c>
      <c r="E397">
        <v>2035</v>
      </c>
      <c r="F397" s="6" t="str">
        <f t="shared" si="50"/>
        <v>*0.63</v>
      </c>
      <c r="H397" t="s">
        <v>464</v>
      </c>
      <c r="I397" s="5" t="s">
        <v>57</v>
      </c>
      <c r="J397">
        <v>2050</v>
      </c>
      <c r="K397" s="38" t="str">
        <f t="shared" si="51"/>
        <v>*0.54</v>
      </c>
      <c r="P397" s="32" t="s">
        <v>464</v>
      </c>
      <c r="Q397" s="42" t="s">
        <v>57</v>
      </c>
      <c r="R397" s="32">
        <v>2035</v>
      </c>
      <c r="S397" s="43" t="str">
        <f t="shared" si="52"/>
        <v>*0.62</v>
      </c>
      <c r="U397" s="32" t="s">
        <v>464</v>
      </c>
      <c r="V397" s="42" t="s">
        <v>57</v>
      </c>
      <c r="W397" s="32">
        <v>2050</v>
      </c>
      <c r="X397" s="43" t="str">
        <f t="shared" si="53"/>
        <v>*0.51</v>
      </c>
      <c r="AC397" s="33" t="s">
        <v>464</v>
      </c>
      <c r="AD397" s="44" t="s">
        <v>57</v>
      </c>
      <c r="AE397" s="33">
        <v>2035</v>
      </c>
      <c r="AF397" s="45" t="str">
        <f t="shared" si="54"/>
        <v>*0.58</v>
      </c>
      <c r="AG397" s="43" t="str">
        <f t="shared" si="56"/>
        <v>REZoning_Sol-Win</v>
      </c>
      <c r="AI397" s="33" t="s">
        <v>464</v>
      </c>
      <c r="AJ397" s="44" t="s">
        <v>57</v>
      </c>
      <c r="AK397" s="33">
        <v>2050</v>
      </c>
      <c r="AL397" s="45" t="str">
        <f t="shared" si="55"/>
        <v>*0.49</v>
      </c>
      <c r="AM397" s="43" t="str">
        <f t="shared" si="57"/>
        <v>REZoning_Sol-Win</v>
      </c>
      <c r="AP397" t="s">
        <v>464</v>
      </c>
      <c r="AQ397" t="s">
        <v>57</v>
      </c>
      <c r="AR397">
        <v>2100</v>
      </c>
      <c r="AS397" t="s">
        <v>75</v>
      </c>
      <c r="AT397" t="s">
        <v>58</v>
      </c>
    </row>
    <row r="398" ht="29" spans="1:46">
      <c r="A398" s="31" t="s">
        <v>79</v>
      </c>
      <c r="C398" t="s">
        <v>465</v>
      </c>
      <c r="D398" s="5" t="s">
        <v>57</v>
      </c>
      <c r="E398">
        <v>2035</v>
      </c>
      <c r="F398" s="6" t="str">
        <f t="shared" si="50"/>
        <v>*0.6</v>
      </c>
      <c r="H398" t="s">
        <v>465</v>
      </c>
      <c r="I398" s="5" t="s">
        <v>57</v>
      </c>
      <c r="J398">
        <v>2050</v>
      </c>
      <c r="K398" s="38" t="str">
        <f t="shared" si="51"/>
        <v>*0.5</v>
      </c>
      <c r="P398" s="32" t="s">
        <v>465</v>
      </c>
      <c r="Q398" s="42" t="s">
        <v>57</v>
      </c>
      <c r="R398" s="32">
        <v>2035</v>
      </c>
      <c r="S398" s="43" t="str">
        <f t="shared" si="52"/>
        <v>*0.59</v>
      </c>
      <c r="U398" s="32" t="s">
        <v>465</v>
      </c>
      <c r="V398" s="42" t="s">
        <v>57</v>
      </c>
      <c r="W398" s="32">
        <v>2050</v>
      </c>
      <c r="X398" s="43" t="str">
        <f t="shared" si="53"/>
        <v>*0.47</v>
      </c>
      <c r="AC398" s="33" t="s">
        <v>465</v>
      </c>
      <c r="AD398" s="44" t="s">
        <v>57</v>
      </c>
      <c r="AE398" s="33">
        <v>2035</v>
      </c>
      <c r="AF398" s="45" t="str">
        <f t="shared" si="54"/>
        <v>*0.53</v>
      </c>
      <c r="AG398" s="43" t="str">
        <f t="shared" si="56"/>
        <v>REZoning_Sol-Win</v>
      </c>
      <c r="AI398" s="33" t="s">
        <v>465</v>
      </c>
      <c r="AJ398" s="44" t="s">
        <v>57</v>
      </c>
      <c r="AK398" s="33">
        <v>2050</v>
      </c>
      <c r="AL398" s="45" t="str">
        <f t="shared" si="55"/>
        <v>*0.41</v>
      </c>
      <c r="AM398" s="43" t="str">
        <f t="shared" si="57"/>
        <v>REZoning_Sol-Win</v>
      </c>
      <c r="AP398" t="s">
        <v>465</v>
      </c>
      <c r="AQ398" t="s">
        <v>57</v>
      </c>
      <c r="AR398">
        <v>2100</v>
      </c>
      <c r="AS398" t="s">
        <v>67</v>
      </c>
      <c r="AT398" t="s">
        <v>58</v>
      </c>
    </row>
    <row r="399" ht="29" spans="1:46">
      <c r="A399" s="31" t="s">
        <v>79</v>
      </c>
      <c r="C399" t="s">
        <v>466</v>
      </c>
      <c r="D399" s="5" t="s">
        <v>57</v>
      </c>
      <c r="E399">
        <v>2035</v>
      </c>
      <c r="F399" s="6" t="str">
        <f t="shared" si="50"/>
        <v>*0.6</v>
      </c>
      <c r="H399" t="s">
        <v>466</v>
      </c>
      <c r="I399" s="5" t="s">
        <v>57</v>
      </c>
      <c r="J399">
        <v>2050</v>
      </c>
      <c r="K399" s="38" t="str">
        <f t="shared" si="51"/>
        <v>*0.5</v>
      </c>
      <c r="P399" s="32" t="s">
        <v>466</v>
      </c>
      <c r="Q399" s="42" t="s">
        <v>57</v>
      </c>
      <c r="R399" s="32">
        <v>2035</v>
      </c>
      <c r="S399" s="43" t="str">
        <f t="shared" si="52"/>
        <v>*0.59</v>
      </c>
      <c r="U399" s="32" t="s">
        <v>466</v>
      </c>
      <c r="V399" s="42" t="s">
        <v>57</v>
      </c>
      <c r="W399" s="32">
        <v>2050</v>
      </c>
      <c r="X399" s="43" t="str">
        <f t="shared" si="53"/>
        <v>*0.47</v>
      </c>
      <c r="AC399" s="33" t="s">
        <v>466</v>
      </c>
      <c r="AD399" s="44" t="s">
        <v>57</v>
      </c>
      <c r="AE399" s="33">
        <v>2035</v>
      </c>
      <c r="AF399" s="45" t="str">
        <f t="shared" si="54"/>
        <v>*0.53</v>
      </c>
      <c r="AG399" s="43" t="str">
        <f t="shared" si="56"/>
        <v>REZoning_Sol-Win</v>
      </c>
      <c r="AI399" s="33" t="s">
        <v>466</v>
      </c>
      <c r="AJ399" s="44" t="s">
        <v>57</v>
      </c>
      <c r="AK399" s="33">
        <v>2050</v>
      </c>
      <c r="AL399" s="45" t="str">
        <f t="shared" si="55"/>
        <v>*0.41</v>
      </c>
      <c r="AM399" s="43" t="str">
        <f t="shared" si="57"/>
        <v>REZoning_Sol-Win</v>
      </c>
      <c r="AP399" t="s">
        <v>466</v>
      </c>
      <c r="AQ399" t="s">
        <v>57</v>
      </c>
      <c r="AR399">
        <v>2100</v>
      </c>
      <c r="AS399" t="s">
        <v>67</v>
      </c>
      <c r="AT399" t="s">
        <v>58</v>
      </c>
    </row>
    <row r="400" ht="29" spans="1:46">
      <c r="A400" s="31" t="s">
        <v>79</v>
      </c>
      <c r="C400" t="s">
        <v>467</v>
      </c>
      <c r="D400" s="5" t="s">
        <v>57</v>
      </c>
      <c r="E400">
        <v>2035</v>
      </c>
      <c r="F400" s="6" t="str">
        <f t="shared" si="50"/>
        <v>*0.6</v>
      </c>
      <c r="H400" t="s">
        <v>467</v>
      </c>
      <c r="I400" s="5" t="s">
        <v>57</v>
      </c>
      <c r="J400">
        <v>2050</v>
      </c>
      <c r="K400" s="38" t="str">
        <f t="shared" si="51"/>
        <v>*0.5</v>
      </c>
      <c r="P400" s="32" t="s">
        <v>467</v>
      </c>
      <c r="Q400" s="42" t="s">
        <v>57</v>
      </c>
      <c r="R400" s="32">
        <v>2035</v>
      </c>
      <c r="S400" s="43" t="str">
        <f t="shared" si="52"/>
        <v>*0.59</v>
      </c>
      <c r="U400" s="32" t="s">
        <v>467</v>
      </c>
      <c r="V400" s="42" t="s">
        <v>57</v>
      </c>
      <c r="W400" s="32">
        <v>2050</v>
      </c>
      <c r="X400" s="43" t="str">
        <f t="shared" si="53"/>
        <v>*0.47</v>
      </c>
      <c r="AC400" s="33" t="s">
        <v>467</v>
      </c>
      <c r="AD400" s="44" t="s">
        <v>57</v>
      </c>
      <c r="AE400" s="33">
        <v>2035</v>
      </c>
      <c r="AF400" s="45" t="str">
        <f t="shared" si="54"/>
        <v>*0.53</v>
      </c>
      <c r="AG400" s="43" t="str">
        <f t="shared" si="56"/>
        <v>REZoning_Sol-Win</v>
      </c>
      <c r="AI400" s="33" t="s">
        <v>467</v>
      </c>
      <c r="AJ400" s="44" t="s">
        <v>57</v>
      </c>
      <c r="AK400" s="33">
        <v>2050</v>
      </c>
      <c r="AL400" s="45" t="str">
        <f t="shared" si="55"/>
        <v>*0.41</v>
      </c>
      <c r="AM400" s="43" t="str">
        <f t="shared" si="57"/>
        <v>REZoning_Sol-Win</v>
      </c>
      <c r="AP400" t="s">
        <v>467</v>
      </c>
      <c r="AQ400" t="s">
        <v>57</v>
      </c>
      <c r="AR400">
        <v>2100</v>
      </c>
      <c r="AS400" t="s">
        <v>67</v>
      </c>
      <c r="AT400" t="s">
        <v>58</v>
      </c>
    </row>
    <row r="401" ht="29" spans="1:46">
      <c r="A401" s="31" t="s">
        <v>79</v>
      </c>
      <c r="C401" t="s">
        <v>468</v>
      </c>
      <c r="D401" s="5" t="s">
        <v>57</v>
      </c>
      <c r="E401">
        <v>2035</v>
      </c>
      <c r="F401" s="6" t="str">
        <f t="shared" si="50"/>
        <v>*0.6</v>
      </c>
      <c r="H401" t="s">
        <v>468</v>
      </c>
      <c r="I401" s="5" t="s">
        <v>57</v>
      </c>
      <c r="J401">
        <v>2050</v>
      </c>
      <c r="K401" s="38" t="str">
        <f t="shared" si="51"/>
        <v>*0.5</v>
      </c>
      <c r="P401" s="32" t="s">
        <v>468</v>
      </c>
      <c r="Q401" s="42" t="s">
        <v>57</v>
      </c>
      <c r="R401" s="32">
        <v>2035</v>
      </c>
      <c r="S401" s="43" t="str">
        <f t="shared" si="52"/>
        <v>*0.59</v>
      </c>
      <c r="U401" s="32" t="s">
        <v>468</v>
      </c>
      <c r="V401" s="42" t="s">
        <v>57</v>
      </c>
      <c r="W401" s="32">
        <v>2050</v>
      </c>
      <c r="X401" s="43" t="str">
        <f t="shared" si="53"/>
        <v>*0.47</v>
      </c>
      <c r="AC401" s="33" t="s">
        <v>468</v>
      </c>
      <c r="AD401" s="44" t="s">
        <v>57</v>
      </c>
      <c r="AE401" s="33">
        <v>2035</v>
      </c>
      <c r="AF401" s="45" t="str">
        <f t="shared" si="54"/>
        <v>*0.53</v>
      </c>
      <c r="AG401" s="43" t="str">
        <f t="shared" si="56"/>
        <v>REZoning_Sol-Win</v>
      </c>
      <c r="AI401" s="33" t="s">
        <v>468</v>
      </c>
      <c r="AJ401" s="44" t="s">
        <v>57</v>
      </c>
      <c r="AK401" s="33">
        <v>2050</v>
      </c>
      <c r="AL401" s="45" t="str">
        <f t="shared" si="55"/>
        <v>*0.41</v>
      </c>
      <c r="AM401" s="43" t="str">
        <f t="shared" si="57"/>
        <v>REZoning_Sol-Win</v>
      </c>
      <c r="AP401" t="s">
        <v>468</v>
      </c>
      <c r="AQ401" t="s">
        <v>57</v>
      </c>
      <c r="AR401">
        <v>2100</v>
      </c>
      <c r="AS401" t="s">
        <v>67</v>
      </c>
      <c r="AT401" t="s">
        <v>58</v>
      </c>
    </row>
    <row r="402" ht="29" spans="1:46">
      <c r="A402" s="31" t="s">
        <v>79</v>
      </c>
      <c r="C402" t="s">
        <v>469</v>
      </c>
      <c r="D402" s="5" t="s">
        <v>57</v>
      </c>
      <c r="E402">
        <v>2035</v>
      </c>
      <c r="F402" s="6" t="str">
        <f t="shared" si="50"/>
        <v>*0.6</v>
      </c>
      <c r="H402" t="s">
        <v>469</v>
      </c>
      <c r="I402" s="5" t="s">
        <v>57</v>
      </c>
      <c r="J402">
        <v>2050</v>
      </c>
      <c r="K402" s="38" t="str">
        <f t="shared" si="51"/>
        <v>*0.5</v>
      </c>
      <c r="P402" s="32" t="s">
        <v>469</v>
      </c>
      <c r="Q402" s="42" t="s">
        <v>57</v>
      </c>
      <c r="R402" s="32">
        <v>2035</v>
      </c>
      <c r="S402" s="43" t="str">
        <f t="shared" si="52"/>
        <v>*0.59</v>
      </c>
      <c r="U402" s="32" t="s">
        <v>469</v>
      </c>
      <c r="V402" s="42" t="s">
        <v>57</v>
      </c>
      <c r="W402" s="32">
        <v>2050</v>
      </c>
      <c r="X402" s="43" t="str">
        <f t="shared" si="53"/>
        <v>*0.47</v>
      </c>
      <c r="AC402" s="33" t="s">
        <v>469</v>
      </c>
      <c r="AD402" s="44" t="s">
        <v>57</v>
      </c>
      <c r="AE402" s="33">
        <v>2035</v>
      </c>
      <c r="AF402" s="45" t="str">
        <f t="shared" si="54"/>
        <v>*0.53</v>
      </c>
      <c r="AG402" s="43" t="str">
        <f t="shared" si="56"/>
        <v>REZoning_Sol-Win</v>
      </c>
      <c r="AI402" s="33" t="s">
        <v>469</v>
      </c>
      <c r="AJ402" s="44" t="s">
        <v>57</v>
      </c>
      <c r="AK402" s="33">
        <v>2050</v>
      </c>
      <c r="AL402" s="45" t="str">
        <f t="shared" si="55"/>
        <v>*0.41</v>
      </c>
      <c r="AM402" s="43" t="str">
        <f t="shared" si="57"/>
        <v>REZoning_Sol-Win</v>
      </c>
      <c r="AP402" t="s">
        <v>469</v>
      </c>
      <c r="AQ402" t="s">
        <v>57</v>
      </c>
      <c r="AR402">
        <v>2100</v>
      </c>
      <c r="AS402" t="s">
        <v>67</v>
      </c>
      <c r="AT402" t="s">
        <v>58</v>
      </c>
    </row>
    <row r="403" ht="29" spans="1:46">
      <c r="A403" s="31" t="s">
        <v>79</v>
      </c>
      <c r="C403" t="s">
        <v>470</v>
      </c>
      <c r="D403" s="5" t="s">
        <v>57</v>
      </c>
      <c r="E403">
        <v>2035</v>
      </c>
      <c r="F403" s="6" t="str">
        <f t="shared" si="50"/>
        <v>*0.6</v>
      </c>
      <c r="H403" t="s">
        <v>470</v>
      </c>
      <c r="I403" s="5" t="s">
        <v>57</v>
      </c>
      <c r="J403">
        <v>2050</v>
      </c>
      <c r="K403" s="38" t="str">
        <f t="shared" si="51"/>
        <v>*0.5</v>
      </c>
      <c r="P403" s="32" t="s">
        <v>470</v>
      </c>
      <c r="Q403" s="42" t="s">
        <v>57</v>
      </c>
      <c r="R403" s="32">
        <v>2035</v>
      </c>
      <c r="S403" s="43" t="str">
        <f t="shared" si="52"/>
        <v>*0.59</v>
      </c>
      <c r="U403" s="32" t="s">
        <v>470</v>
      </c>
      <c r="V403" s="42" t="s">
        <v>57</v>
      </c>
      <c r="W403" s="32">
        <v>2050</v>
      </c>
      <c r="X403" s="43" t="str">
        <f t="shared" si="53"/>
        <v>*0.47</v>
      </c>
      <c r="AC403" s="33" t="s">
        <v>470</v>
      </c>
      <c r="AD403" s="44" t="s">
        <v>57</v>
      </c>
      <c r="AE403" s="33">
        <v>2035</v>
      </c>
      <c r="AF403" s="45" t="str">
        <f t="shared" si="54"/>
        <v>*0.53</v>
      </c>
      <c r="AG403" s="43" t="str">
        <f t="shared" si="56"/>
        <v>REZoning_Sol-Win</v>
      </c>
      <c r="AI403" s="33" t="s">
        <v>470</v>
      </c>
      <c r="AJ403" s="44" t="s">
        <v>57</v>
      </c>
      <c r="AK403" s="33">
        <v>2050</v>
      </c>
      <c r="AL403" s="45" t="str">
        <f t="shared" si="55"/>
        <v>*0.41</v>
      </c>
      <c r="AM403" s="43" t="str">
        <f t="shared" si="57"/>
        <v>REZoning_Sol-Win</v>
      </c>
      <c r="AP403" t="s">
        <v>470</v>
      </c>
      <c r="AQ403" t="s">
        <v>57</v>
      </c>
      <c r="AR403">
        <v>2100</v>
      </c>
      <c r="AS403" t="s">
        <v>67</v>
      </c>
      <c r="AT403" t="s">
        <v>58</v>
      </c>
    </row>
    <row r="404" ht="29" spans="1:46">
      <c r="A404" s="31" t="s">
        <v>79</v>
      </c>
      <c r="C404" t="s">
        <v>471</v>
      </c>
      <c r="D404" s="5" t="s">
        <v>57</v>
      </c>
      <c r="E404">
        <v>2035</v>
      </c>
      <c r="F404" s="6" t="str">
        <f t="shared" si="50"/>
        <v>*0.6</v>
      </c>
      <c r="H404" t="s">
        <v>471</v>
      </c>
      <c r="I404" s="5" t="s">
        <v>57</v>
      </c>
      <c r="J404">
        <v>2050</v>
      </c>
      <c r="K404" s="38" t="str">
        <f t="shared" si="51"/>
        <v>*0.5</v>
      </c>
      <c r="P404" s="32" t="s">
        <v>471</v>
      </c>
      <c r="Q404" s="42" t="s">
        <v>57</v>
      </c>
      <c r="R404" s="32">
        <v>2035</v>
      </c>
      <c r="S404" s="43" t="str">
        <f t="shared" si="52"/>
        <v>*0.59</v>
      </c>
      <c r="U404" s="32" t="s">
        <v>471</v>
      </c>
      <c r="V404" s="42" t="s">
        <v>57</v>
      </c>
      <c r="W404" s="32">
        <v>2050</v>
      </c>
      <c r="X404" s="43" t="str">
        <f t="shared" si="53"/>
        <v>*0.47</v>
      </c>
      <c r="AC404" s="33" t="s">
        <v>471</v>
      </c>
      <c r="AD404" s="44" t="s">
        <v>57</v>
      </c>
      <c r="AE404" s="33">
        <v>2035</v>
      </c>
      <c r="AF404" s="45" t="str">
        <f t="shared" si="54"/>
        <v>*0.53</v>
      </c>
      <c r="AG404" s="43" t="str">
        <f t="shared" si="56"/>
        <v>REZoning_Sol-Win</v>
      </c>
      <c r="AI404" s="33" t="s">
        <v>471</v>
      </c>
      <c r="AJ404" s="44" t="s">
        <v>57</v>
      </c>
      <c r="AK404" s="33">
        <v>2050</v>
      </c>
      <c r="AL404" s="45" t="str">
        <f t="shared" si="55"/>
        <v>*0.41</v>
      </c>
      <c r="AM404" s="43" t="str">
        <f t="shared" si="57"/>
        <v>REZoning_Sol-Win</v>
      </c>
      <c r="AP404" t="s">
        <v>471</v>
      </c>
      <c r="AQ404" t="s">
        <v>57</v>
      </c>
      <c r="AR404">
        <v>2100</v>
      </c>
      <c r="AS404" t="s">
        <v>67</v>
      </c>
      <c r="AT404" t="s">
        <v>58</v>
      </c>
    </row>
    <row r="405" ht="29" spans="1:46">
      <c r="A405" s="31" t="s">
        <v>79</v>
      </c>
      <c r="C405" t="s">
        <v>472</v>
      </c>
      <c r="D405" s="5" t="s">
        <v>57</v>
      </c>
      <c r="E405">
        <v>2035</v>
      </c>
      <c r="F405" s="6" t="str">
        <f t="shared" si="50"/>
        <v>*0.6</v>
      </c>
      <c r="H405" t="s">
        <v>472</v>
      </c>
      <c r="I405" s="5" t="s">
        <v>57</v>
      </c>
      <c r="J405">
        <v>2050</v>
      </c>
      <c r="K405" s="38" t="str">
        <f t="shared" si="51"/>
        <v>*0.5</v>
      </c>
      <c r="P405" s="32" t="s">
        <v>472</v>
      </c>
      <c r="Q405" s="42" t="s">
        <v>57</v>
      </c>
      <c r="R405" s="32">
        <v>2035</v>
      </c>
      <c r="S405" s="43" t="str">
        <f t="shared" si="52"/>
        <v>*0.59</v>
      </c>
      <c r="U405" s="32" t="s">
        <v>472</v>
      </c>
      <c r="V405" s="42" t="s">
        <v>57</v>
      </c>
      <c r="W405" s="32">
        <v>2050</v>
      </c>
      <c r="X405" s="43" t="str">
        <f t="shared" si="53"/>
        <v>*0.47</v>
      </c>
      <c r="AC405" s="33" t="s">
        <v>472</v>
      </c>
      <c r="AD405" s="44" t="s">
        <v>57</v>
      </c>
      <c r="AE405" s="33">
        <v>2035</v>
      </c>
      <c r="AF405" s="45" t="str">
        <f t="shared" si="54"/>
        <v>*0.53</v>
      </c>
      <c r="AG405" s="43" t="str">
        <f t="shared" si="56"/>
        <v>REZoning_Sol-Win</v>
      </c>
      <c r="AI405" s="33" t="s">
        <v>472</v>
      </c>
      <c r="AJ405" s="44" t="s">
        <v>57</v>
      </c>
      <c r="AK405" s="33">
        <v>2050</v>
      </c>
      <c r="AL405" s="45" t="str">
        <f t="shared" si="55"/>
        <v>*0.41</v>
      </c>
      <c r="AM405" s="43" t="str">
        <f t="shared" si="57"/>
        <v>REZoning_Sol-Win</v>
      </c>
      <c r="AP405" t="s">
        <v>472</v>
      </c>
      <c r="AQ405" t="s">
        <v>57</v>
      </c>
      <c r="AR405">
        <v>2100</v>
      </c>
      <c r="AS405" t="s">
        <v>67</v>
      </c>
      <c r="AT405" t="s">
        <v>58</v>
      </c>
    </row>
    <row r="406" ht="29" spans="1:46">
      <c r="A406" s="31" t="s">
        <v>79</v>
      </c>
      <c r="C406" t="s">
        <v>473</v>
      </c>
      <c r="D406" s="5" t="s">
        <v>57</v>
      </c>
      <c r="E406">
        <v>2035</v>
      </c>
      <c r="F406" s="6" t="str">
        <f t="shared" si="50"/>
        <v>*0.6</v>
      </c>
      <c r="H406" t="s">
        <v>473</v>
      </c>
      <c r="I406" s="5" t="s">
        <v>57</v>
      </c>
      <c r="J406">
        <v>2050</v>
      </c>
      <c r="K406" s="38" t="str">
        <f t="shared" si="51"/>
        <v>*0.5</v>
      </c>
      <c r="P406" s="32" t="s">
        <v>473</v>
      </c>
      <c r="Q406" s="42" t="s">
        <v>57</v>
      </c>
      <c r="R406" s="32">
        <v>2035</v>
      </c>
      <c r="S406" s="43" t="str">
        <f t="shared" si="52"/>
        <v>*0.59</v>
      </c>
      <c r="U406" s="32" t="s">
        <v>473</v>
      </c>
      <c r="V406" s="42" t="s">
        <v>57</v>
      </c>
      <c r="W406" s="32">
        <v>2050</v>
      </c>
      <c r="X406" s="43" t="str">
        <f t="shared" si="53"/>
        <v>*0.47</v>
      </c>
      <c r="AC406" s="33" t="s">
        <v>473</v>
      </c>
      <c r="AD406" s="44" t="s">
        <v>57</v>
      </c>
      <c r="AE406" s="33">
        <v>2035</v>
      </c>
      <c r="AF406" s="45" t="str">
        <f t="shared" si="54"/>
        <v>*0.53</v>
      </c>
      <c r="AG406" s="43" t="str">
        <f t="shared" si="56"/>
        <v>REZoning_Sol-Win</v>
      </c>
      <c r="AI406" s="33" t="s">
        <v>473</v>
      </c>
      <c r="AJ406" s="44" t="s">
        <v>57</v>
      </c>
      <c r="AK406" s="33">
        <v>2050</v>
      </c>
      <c r="AL406" s="45" t="str">
        <f t="shared" si="55"/>
        <v>*0.41</v>
      </c>
      <c r="AM406" s="43" t="str">
        <f t="shared" si="57"/>
        <v>REZoning_Sol-Win</v>
      </c>
      <c r="AP406" t="s">
        <v>473</v>
      </c>
      <c r="AQ406" t="s">
        <v>57</v>
      </c>
      <c r="AR406">
        <v>2100</v>
      </c>
      <c r="AS406" t="s">
        <v>67</v>
      </c>
      <c r="AT406" t="s">
        <v>58</v>
      </c>
    </row>
    <row r="407" ht="29" spans="1:46">
      <c r="A407" s="31" t="s">
        <v>79</v>
      </c>
      <c r="C407" t="s">
        <v>474</v>
      </c>
      <c r="D407" s="5" t="s">
        <v>57</v>
      </c>
      <c r="E407">
        <v>2035</v>
      </c>
      <c r="F407" s="6" t="str">
        <f t="shared" si="50"/>
        <v>*0.6</v>
      </c>
      <c r="H407" t="s">
        <v>474</v>
      </c>
      <c r="I407" s="5" t="s">
        <v>57</v>
      </c>
      <c r="J407">
        <v>2050</v>
      </c>
      <c r="K407" s="38" t="str">
        <f t="shared" si="51"/>
        <v>*0.5</v>
      </c>
      <c r="P407" s="32" t="s">
        <v>474</v>
      </c>
      <c r="Q407" s="42" t="s">
        <v>57</v>
      </c>
      <c r="R407" s="32">
        <v>2035</v>
      </c>
      <c r="S407" s="43" t="str">
        <f t="shared" si="52"/>
        <v>*0.59</v>
      </c>
      <c r="U407" s="32" t="s">
        <v>474</v>
      </c>
      <c r="V407" s="42" t="s">
        <v>57</v>
      </c>
      <c r="W407" s="32">
        <v>2050</v>
      </c>
      <c r="X407" s="43" t="str">
        <f t="shared" si="53"/>
        <v>*0.47</v>
      </c>
      <c r="AC407" s="33" t="s">
        <v>474</v>
      </c>
      <c r="AD407" s="44" t="s">
        <v>57</v>
      </c>
      <c r="AE407" s="33">
        <v>2035</v>
      </c>
      <c r="AF407" s="45" t="str">
        <f t="shared" si="54"/>
        <v>*0.53</v>
      </c>
      <c r="AG407" s="43" t="str">
        <f t="shared" si="56"/>
        <v>REZoning_Sol-Win</v>
      </c>
      <c r="AI407" s="33" t="s">
        <v>474</v>
      </c>
      <c r="AJ407" s="44" t="s">
        <v>57</v>
      </c>
      <c r="AK407" s="33">
        <v>2050</v>
      </c>
      <c r="AL407" s="45" t="str">
        <f t="shared" si="55"/>
        <v>*0.41</v>
      </c>
      <c r="AM407" s="43" t="str">
        <f t="shared" si="57"/>
        <v>REZoning_Sol-Win</v>
      </c>
      <c r="AP407" t="s">
        <v>474</v>
      </c>
      <c r="AQ407" t="s">
        <v>57</v>
      </c>
      <c r="AR407">
        <v>2100</v>
      </c>
      <c r="AS407" t="s">
        <v>67</v>
      </c>
      <c r="AT407" t="s">
        <v>58</v>
      </c>
    </row>
    <row r="408" ht="29" spans="1:46">
      <c r="A408" s="31" t="s">
        <v>79</v>
      </c>
      <c r="C408" t="s">
        <v>475</v>
      </c>
      <c r="D408" s="5" t="s">
        <v>57</v>
      </c>
      <c r="E408">
        <v>2035</v>
      </c>
      <c r="F408" s="6" t="str">
        <f t="shared" si="50"/>
        <v>*0.6</v>
      </c>
      <c r="H408" t="s">
        <v>475</v>
      </c>
      <c r="I408" s="5" t="s">
        <v>57</v>
      </c>
      <c r="J408">
        <v>2050</v>
      </c>
      <c r="K408" s="38" t="str">
        <f t="shared" si="51"/>
        <v>*0.5</v>
      </c>
      <c r="P408" s="32" t="s">
        <v>475</v>
      </c>
      <c r="Q408" s="42" t="s">
        <v>57</v>
      </c>
      <c r="R408" s="32">
        <v>2035</v>
      </c>
      <c r="S408" s="43" t="str">
        <f t="shared" si="52"/>
        <v>*0.59</v>
      </c>
      <c r="U408" s="32" t="s">
        <v>475</v>
      </c>
      <c r="V408" s="42" t="s">
        <v>57</v>
      </c>
      <c r="W408" s="32">
        <v>2050</v>
      </c>
      <c r="X408" s="43" t="str">
        <f t="shared" si="53"/>
        <v>*0.47</v>
      </c>
      <c r="AC408" s="33" t="s">
        <v>475</v>
      </c>
      <c r="AD408" s="44" t="s">
        <v>57</v>
      </c>
      <c r="AE408" s="33">
        <v>2035</v>
      </c>
      <c r="AF408" s="45" t="str">
        <f t="shared" si="54"/>
        <v>*0.53</v>
      </c>
      <c r="AG408" s="43" t="str">
        <f t="shared" si="56"/>
        <v>REZoning_Sol-Win</v>
      </c>
      <c r="AI408" s="33" t="s">
        <v>475</v>
      </c>
      <c r="AJ408" s="44" t="s">
        <v>57</v>
      </c>
      <c r="AK408" s="33">
        <v>2050</v>
      </c>
      <c r="AL408" s="45" t="str">
        <f t="shared" si="55"/>
        <v>*0.41</v>
      </c>
      <c r="AM408" s="43" t="str">
        <f t="shared" si="57"/>
        <v>REZoning_Sol-Win</v>
      </c>
      <c r="AP408" t="s">
        <v>475</v>
      </c>
      <c r="AQ408" t="s">
        <v>57</v>
      </c>
      <c r="AR408">
        <v>2100</v>
      </c>
      <c r="AS408" t="s">
        <v>67</v>
      </c>
      <c r="AT408" t="s">
        <v>58</v>
      </c>
    </row>
    <row r="409" ht="29" spans="1:46">
      <c r="A409" s="31" t="s">
        <v>79</v>
      </c>
      <c r="C409" t="s">
        <v>476</v>
      </c>
      <c r="D409" s="5" t="s">
        <v>57</v>
      </c>
      <c r="E409">
        <v>2035</v>
      </c>
      <c r="F409" s="6" t="str">
        <f t="shared" si="50"/>
        <v>*0.6</v>
      </c>
      <c r="H409" t="s">
        <v>476</v>
      </c>
      <c r="I409" s="5" t="s">
        <v>57</v>
      </c>
      <c r="J409">
        <v>2050</v>
      </c>
      <c r="K409" s="38" t="str">
        <f t="shared" si="51"/>
        <v>*0.5</v>
      </c>
      <c r="P409" s="32" t="s">
        <v>476</v>
      </c>
      <c r="Q409" s="42" t="s">
        <v>57</v>
      </c>
      <c r="R409" s="32">
        <v>2035</v>
      </c>
      <c r="S409" s="43" t="str">
        <f t="shared" si="52"/>
        <v>*0.59</v>
      </c>
      <c r="U409" s="32" t="s">
        <v>476</v>
      </c>
      <c r="V409" s="42" t="s">
        <v>57</v>
      </c>
      <c r="W409" s="32">
        <v>2050</v>
      </c>
      <c r="X409" s="43" t="str">
        <f t="shared" si="53"/>
        <v>*0.47</v>
      </c>
      <c r="AC409" s="33" t="s">
        <v>476</v>
      </c>
      <c r="AD409" s="44" t="s">
        <v>57</v>
      </c>
      <c r="AE409" s="33">
        <v>2035</v>
      </c>
      <c r="AF409" s="45" t="str">
        <f t="shared" si="54"/>
        <v>*0.53</v>
      </c>
      <c r="AG409" s="43" t="str">
        <f t="shared" si="56"/>
        <v>REZoning_Sol-Win</v>
      </c>
      <c r="AI409" s="33" t="s">
        <v>476</v>
      </c>
      <c r="AJ409" s="44" t="s">
        <v>57</v>
      </c>
      <c r="AK409" s="33">
        <v>2050</v>
      </c>
      <c r="AL409" s="45" t="str">
        <f t="shared" si="55"/>
        <v>*0.41</v>
      </c>
      <c r="AM409" s="43" t="str">
        <f t="shared" si="57"/>
        <v>REZoning_Sol-Win</v>
      </c>
      <c r="AP409" t="s">
        <v>476</v>
      </c>
      <c r="AQ409" t="s">
        <v>57</v>
      </c>
      <c r="AR409">
        <v>2100</v>
      </c>
      <c r="AS409" t="s">
        <v>67</v>
      </c>
      <c r="AT409" t="s">
        <v>58</v>
      </c>
    </row>
    <row r="410" ht="29" spans="1:46">
      <c r="A410" s="31" t="s">
        <v>79</v>
      </c>
      <c r="C410" t="s">
        <v>477</v>
      </c>
      <c r="D410" s="5" t="s">
        <v>57</v>
      </c>
      <c r="E410">
        <v>2035</v>
      </c>
      <c r="F410" s="6" t="str">
        <f t="shared" si="50"/>
        <v>*0.6</v>
      </c>
      <c r="H410" t="s">
        <v>477</v>
      </c>
      <c r="I410" s="5" t="s">
        <v>57</v>
      </c>
      <c r="J410">
        <v>2050</v>
      </c>
      <c r="K410" s="38" t="str">
        <f t="shared" si="51"/>
        <v>*0.5</v>
      </c>
      <c r="P410" s="32" t="s">
        <v>477</v>
      </c>
      <c r="Q410" s="42" t="s">
        <v>57</v>
      </c>
      <c r="R410" s="32">
        <v>2035</v>
      </c>
      <c r="S410" s="43" t="str">
        <f t="shared" si="52"/>
        <v>*0.59</v>
      </c>
      <c r="U410" s="32" t="s">
        <v>477</v>
      </c>
      <c r="V410" s="42" t="s">
        <v>57</v>
      </c>
      <c r="W410" s="32">
        <v>2050</v>
      </c>
      <c r="X410" s="43" t="str">
        <f t="shared" si="53"/>
        <v>*0.47</v>
      </c>
      <c r="AC410" s="33" t="s">
        <v>477</v>
      </c>
      <c r="AD410" s="44" t="s">
        <v>57</v>
      </c>
      <c r="AE410" s="33">
        <v>2035</v>
      </c>
      <c r="AF410" s="45" t="str">
        <f t="shared" si="54"/>
        <v>*0.53</v>
      </c>
      <c r="AG410" s="43" t="str">
        <f t="shared" si="56"/>
        <v>REZoning_Sol-Win</v>
      </c>
      <c r="AI410" s="33" t="s">
        <v>477</v>
      </c>
      <c r="AJ410" s="44" t="s">
        <v>57</v>
      </c>
      <c r="AK410" s="33">
        <v>2050</v>
      </c>
      <c r="AL410" s="45" t="str">
        <f t="shared" si="55"/>
        <v>*0.41</v>
      </c>
      <c r="AM410" s="43" t="str">
        <f t="shared" si="57"/>
        <v>REZoning_Sol-Win</v>
      </c>
      <c r="AP410" t="s">
        <v>477</v>
      </c>
      <c r="AQ410" t="s">
        <v>57</v>
      </c>
      <c r="AR410">
        <v>2100</v>
      </c>
      <c r="AS410" t="s">
        <v>67</v>
      </c>
      <c r="AT410" t="s">
        <v>58</v>
      </c>
    </row>
    <row r="411" ht="29" spans="1:46">
      <c r="A411" s="31" t="s">
        <v>79</v>
      </c>
      <c r="C411" t="s">
        <v>478</v>
      </c>
      <c r="D411" s="5" t="s">
        <v>57</v>
      </c>
      <c r="E411">
        <v>2035</v>
      </c>
      <c r="F411" s="6" t="str">
        <f t="shared" si="50"/>
        <v>*0.6</v>
      </c>
      <c r="H411" t="s">
        <v>478</v>
      </c>
      <c r="I411" s="5" t="s">
        <v>57</v>
      </c>
      <c r="J411">
        <v>2050</v>
      </c>
      <c r="K411" s="38" t="str">
        <f t="shared" si="51"/>
        <v>*0.5</v>
      </c>
      <c r="P411" s="32" t="s">
        <v>478</v>
      </c>
      <c r="Q411" s="42" t="s">
        <v>57</v>
      </c>
      <c r="R411" s="32">
        <v>2035</v>
      </c>
      <c r="S411" s="43" t="str">
        <f t="shared" si="52"/>
        <v>*0.59</v>
      </c>
      <c r="U411" s="32" t="s">
        <v>478</v>
      </c>
      <c r="V411" s="42" t="s">
        <v>57</v>
      </c>
      <c r="W411" s="32">
        <v>2050</v>
      </c>
      <c r="X411" s="43" t="str">
        <f t="shared" si="53"/>
        <v>*0.47</v>
      </c>
      <c r="AC411" s="33" t="s">
        <v>478</v>
      </c>
      <c r="AD411" s="44" t="s">
        <v>57</v>
      </c>
      <c r="AE411" s="33">
        <v>2035</v>
      </c>
      <c r="AF411" s="45" t="str">
        <f t="shared" si="54"/>
        <v>*0.53</v>
      </c>
      <c r="AG411" s="43" t="str">
        <f t="shared" si="56"/>
        <v>REZoning_Sol-Win</v>
      </c>
      <c r="AI411" s="33" t="s">
        <v>478</v>
      </c>
      <c r="AJ411" s="44" t="s">
        <v>57</v>
      </c>
      <c r="AK411" s="33">
        <v>2050</v>
      </c>
      <c r="AL411" s="45" t="str">
        <f t="shared" si="55"/>
        <v>*0.41</v>
      </c>
      <c r="AM411" s="43" t="str">
        <f t="shared" si="57"/>
        <v>REZoning_Sol-Win</v>
      </c>
      <c r="AP411" t="s">
        <v>478</v>
      </c>
      <c r="AQ411" t="s">
        <v>57</v>
      </c>
      <c r="AR411">
        <v>2100</v>
      </c>
      <c r="AS411" t="s">
        <v>67</v>
      </c>
      <c r="AT411" t="s">
        <v>58</v>
      </c>
    </row>
    <row r="412" ht="29" spans="1:46">
      <c r="A412" s="31" t="s">
        <v>79</v>
      </c>
      <c r="C412" t="s">
        <v>479</v>
      </c>
      <c r="D412" s="5" t="s">
        <v>57</v>
      </c>
      <c r="E412">
        <v>2035</v>
      </c>
      <c r="F412" s="6" t="str">
        <f t="shared" si="50"/>
        <v>*0.6</v>
      </c>
      <c r="H412" t="s">
        <v>479</v>
      </c>
      <c r="I412" s="5" t="s">
        <v>57</v>
      </c>
      <c r="J412">
        <v>2050</v>
      </c>
      <c r="K412" s="38" t="str">
        <f t="shared" si="51"/>
        <v>*0.5</v>
      </c>
      <c r="P412" s="32" t="s">
        <v>479</v>
      </c>
      <c r="Q412" s="42" t="s">
        <v>57</v>
      </c>
      <c r="R412" s="32">
        <v>2035</v>
      </c>
      <c r="S412" s="43" t="str">
        <f t="shared" si="52"/>
        <v>*0.59</v>
      </c>
      <c r="U412" s="32" t="s">
        <v>479</v>
      </c>
      <c r="V412" s="42" t="s">
        <v>57</v>
      </c>
      <c r="W412" s="32">
        <v>2050</v>
      </c>
      <c r="X412" s="43" t="str">
        <f t="shared" si="53"/>
        <v>*0.47</v>
      </c>
      <c r="AC412" s="33" t="s">
        <v>479</v>
      </c>
      <c r="AD412" s="44" t="s">
        <v>57</v>
      </c>
      <c r="AE412" s="33">
        <v>2035</v>
      </c>
      <c r="AF412" s="45" t="str">
        <f t="shared" si="54"/>
        <v>*0.53</v>
      </c>
      <c r="AG412" s="43" t="str">
        <f t="shared" si="56"/>
        <v>REZoning_Sol-Win</v>
      </c>
      <c r="AI412" s="33" t="s">
        <v>479</v>
      </c>
      <c r="AJ412" s="44" t="s">
        <v>57</v>
      </c>
      <c r="AK412" s="33">
        <v>2050</v>
      </c>
      <c r="AL412" s="45" t="str">
        <f t="shared" si="55"/>
        <v>*0.41</v>
      </c>
      <c r="AM412" s="43" t="str">
        <f t="shared" si="57"/>
        <v>REZoning_Sol-Win</v>
      </c>
      <c r="AP412" t="s">
        <v>479</v>
      </c>
      <c r="AQ412" t="s">
        <v>57</v>
      </c>
      <c r="AR412">
        <v>2100</v>
      </c>
      <c r="AS412" t="s">
        <v>67</v>
      </c>
      <c r="AT412" t="s">
        <v>58</v>
      </c>
    </row>
    <row r="413" ht="29" spans="1:46">
      <c r="A413" s="31" t="s">
        <v>79</v>
      </c>
      <c r="C413" t="s">
        <v>480</v>
      </c>
      <c r="D413" s="5" t="s">
        <v>57</v>
      </c>
      <c r="E413">
        <v>2035</v>
      </c>
      <c r="F413" s="6" t="str">
        <f t="shared" si="50"/>
        <v>*0.6</v>
      </c>
      <c r="H413" t="s">
        <v>480</v>
      </c>
      <c r="I413" s="5" t="s">
        <v>57</v>
      </c>
      <c r="J413">
        <v>2050</v>
      </c>
      <c r="K413" s="38" t="str">
        <f t="shared" si="51"/>
        <v>*0.5</v>
      </c>
      <c r="P413" s="32" t="s">
        <v>480</v>
      </c>
      <c r="Q413" s="42" t="s">
        <v>57</v>
      </c>
      <c r="R413" s="32">
        <v>2035</v>
      </c>
      <c r="S413" s="43" t="str">
        <f t="shared" si="52"/>
        <v>*0.59</v>
      </c>
      <c r="U413" s="32" t="s">
        <v>480</v>
      </c>
      <c r="V413" s="42" t="s">
        <v>57</v>
      </c>
      <c r="W413" s="32">
        <v>2050</v>
      </c>
      <c r="X413" s="43" t="str">
        <f t="shared" si="53"/>
        <v>*0.47</v>
      </c>
      <c r="AC413" s="33" t="s">
        <v>480</v>
      </c>
      <c r="AD413" s="44" t="s">
        <v>57</v>
      </c>
      <c r="AE413" s="33">
        <v>2035</v>
      </c>
      <c r="AF413" s="45" t="str">
        <f t="shared" si="54"/>
        <v>*0.53</v>
      </c>
      <c r="AG413" s="43" t="str">
        <f t="shared" si="56"/>
        <v>REZoning_Sol-Win</v>
      </c>
      <c r="AI413" s="33" t="s">
        <v>480</v>
      </c>
      <c r="AJ413" s="44" t="s">
        <v>57</v>
      </c>
      <c r="AK413" s="33">
        <v>2050</v>
      </c>
      <c r="AL413" s="45" t="str">
        <f t="shared" si="55"/>
        <v>*0.41</v>
      </c>
      <c r="AM413" s="43" t="str">
        <f t="shared" si="57"/>
        <v>REZoning_Sol-Win</v>
      </c>
      <c r="AP413" t="s">
        <v>480</v>
      </c>
      <c r="AQ413" t="s">
        <v>57</v>
      </c>
      <c r="AR413">
        <v>2100</v>
      </c>
      <c r="AS413" t="s">
        <v>67</v>
      </c>
      <c r="AT413" t="s">
        <v>58</v>
      </c>
    </row>
    <row r="414" ht="29" spans="1:46">
      <c r="A414" s="31" t="s">
        <v>73</v>
      </c>
      <c r="C414" t="s">
        <v>481</v>
      </c>
      <c r="D414" s="5" t="s">
        <v>57</v>
      </c>
      <c r="E414">
        <v>2035</v>
      </c>
      <c r="F414" s="6" t="str">
        <f t="shared" si="50"/>
        <v>*0.63</v>
      </c>
      <c r="H414" t="s">
        <v>481</v>
      </c>
      <c r="I414" s="5" t="s">
        <v>57</v>
      </c>
      <c r="J414">
        <v>2050</v>
      </c>
      <c r="K414" s="38" t="str">
        <f t="shared" si="51"/>
        <v>*0.54</v>
      </c>
      <c r="P414" s="32" t="s">
        <v>481</v>
      </c>
      <c r="Q414" s="42" t="s">
        <v>57</v>
      </c>
      <c r="R414" s="32">
        <v>2035</v>
      </c>
      <c r="S414" s="43" t="str">
        <f t="shared" si="52"/>
        <v>*0.62</v>
      </c>
      <c r="U414" s="32" t="s">
        <v>481</v>
      </c>
      <c r="V414" s="42" t="s">
        <v>57</v>
      </c>
      <c r="W414" s="32">
        <v>2050</v>
      </c>
      <c r="X414" s="43" t="str">
        <f t="shared" si="53"/>
        <v>*0.51</v>
      </c>
      <c r="AC414" s="33" t="s">
        <v>481</v>
      </c>
      <c r="AD414" s="44" t="s">
        <v>57</v>
      </c>
      <c r="AE414" s="33">
        <v>2035</v>
      </c>
      <c r="AF414" s="45" t="str">
        <f t="shared" si="54"/>
        <v>*0.58</v>
      </c>
      <c r="AG414" s="43" t="str">
        <f t="shared" si="56"/>
        <v>REZoning_Sol-Win</v>
      </c>
      <c r="AI414" s="33" t="s">
        <v>481</v>
      </c>
      <c r="AJ414" s="44" t="s">
        <v>57</v>
      </c>
      <c r="AK414" s="33">
        <v>2050</v>
      </c>
      <c r="AL414" s="45" t="str">
        <f t="shared" si="55"/>
        <v>*0.49</v>
      </c>
      <c r="AM414" s="43" t="str">
        <f t="shared" si="57"/>
        <v>REZoning_Sol-Win</v>
      </c>
      <c r="AP414" t="s">
        <v>481</v>
      </c>
      <c r="AQ414" t="s">
        <v>57</v>
      </c>
      <c r="AR414">
        <v>2100</v>
      </c>
      <c r="AS414" t="s">
        <v>75</v>
      </c>
      <c r="AT414" t="s">
        <v>58</v>
      </c>
    </row>
    <row r="415" ht="29" spans="1:46">
      <c r="A415" s="31" t="s">
        <v>73</v>
      </c>
      <c r="C415" t="s">
        <v>482</v>
      </c>
      <c r="D415" s="5" t="s">
        <v>57</v>
      </c>
      <c r="E415">
        <v>2035</v>
      </c>
      <c r="F415" s="6" t="str">
        <f t="shared" si="50"/>
        <v>*0.63</v>
      </c>
      <c r="H415" t="s">
        <v>482</v>
      </c>
      <c r="I415" s="5" t="s">
        <v>57</v>
      </c>
      <c r="J415">
        <v>2050</v>
      </c>
      <c r="K415" s="38" t="str">
        <f t="shared" si="51"/>
        <v>*0.54</v>
      </c>
      <c r="P415" s="32" t="s">
        <v>482</v>
      </c>
      <c r="Q415" s="42" t="s">
        <v>57</v>
      </c>
      <c r="R415" s="32">
        <v>2035</v>
      </c>
      <c r="S415" s="43" t="str">
        <f t="shared" si="52"/>
        <v>*0.62</v>
      </c>
      <c r="U415" s="32" t="s">
        <v>482</v>
      </c>
      <c r="V415" s="42" t="s">
        <v>57</v>
      </c>
      <c r="W415" s="32">
        <v>2050</v>
      </c>
      <c r="X415" s="43" t="str">
        <f t="shared" si="53"/>
        <v>*0.51</v>
      </c>
      <c r="AC415" s="33" t="s">
        <v>482</v>
      </c>
      <c r="AD415" s="44" t="s">
        <v>57</v>
      </c>
      <c r="AE415" s="33">
        <v>2035</v>
      </c>
      <c r="AF415" s="45" t="str">
        <f t="shared" si="54"/>
        <v>*0.58</v>
      </c>
      <c r="AG415" s="43" t="str">
        <f t="shared" si="56"/>
        <v>REZoning_Sol-Win</v>
      </c>
      <c r="AI415" s="33" t="s">
        <v>482</v>
      </c>
      <c r="AJ415" s="44" t="s">
        <v>57</v>
      </c>
      <c r="AK415" s="33">
        <v>2050</v>
      </c>
      <c r="AL415" s="45" t="str">
        <f t="shared" si="55"/>
        <v>*0.49</v>
      </c>
      <c r="AM415" s="43" t="str">
        <f t="shared" si="57"/>
        <v>REZoning_Sol-Win</v>
      </c>
      <c r="AP415" t="s">
        <v>482</v>
      </c>
      <c r="AQ415" t="s">
        <v>57</v>
      </c>
      <c r="AR415">
        <v>2100</v>
      </c>
      <c r="AS415" t="s">
        <v>75</v>
      </c>
      <c r="AT415" t="s">
        <v>58</v>
      </c>
    </row>
    <row r="416" ht="29" spans="1:46">
      <c r="A416" s="31" t="s">
        <v>73</v>
      </c>
      <c r="C416" t="s">
        <v>483</v>
      </c>
      <c r="D416" s="5" t="s">
        <v>57</v>
      </c>
      <c r="E416">
        <v>2035</v>
      </c>
      <c r="F416" s="6" t="str">
        <f t="shared" si="50"/>
        <v>*0.63</v>
      </c>
      <c r="H416" t="s">
        <v>483</v>
      </c>
      <c r="I416" s="5" t="s">
        <v>57</v>
      </c>
      <c r="J416">
        <v>2050</v>
      </c>
      <c r="K416" s="38" t="str">
        <f t="shared" si="51"/>
        <v>*0.54</v>
      </c>
      <c r="P416" s="32" t="s">
        <v>483</v>
      </c>
      <c r="Q416" s="42" t="s">
        <v>57</v>
      </c>
      <c r="R416" s="32">
        <v>2035</v>
      </c>
      <c r="S416" s="43" t="str">
        <f t="shared" si="52"/>
        <v>*0.62</v>
      </c>
      <c r="U416" s="32" t="s">
        <v>483</v>
      </c>
      <c r="V416" s="42" t="s">
        <v>57</v>
      </c>
      <c r="W416" s="32">
        <v>2050</v>
      </c>
      <c r="X416" s="43" t="str">
        <f t="shared" si="53"/>
        <v>*0.51</v>
      </c>
      <c r="AC416" s="33" t="s">
        <v>483</v>
      </c>
      <c r="AD416" s="44" t="s">
        <v>57</v>
      </c>
      <c r="AE416" s="33">
        <v>2035</v>
      </c>
      <c r="AF416" s="45" t="str">
        <f t="shared" si="54"/>
        <v>*0.58</v>
      </c>
      <c r="AG416" s="43" t="str">
        <f t="shared" si="56"/>
        <v>REZoning_Sol-Win</v>
      </c>
      <c r="AI416" s="33" t="s">
        <v>483</v>
      </c>
      <c r="AJ416" s="44" t="s">
        <v>57</v>
      </c>
      <c r="AK416" s="33">
        <v>2050</v>
      </c>
      <c r="AL416" s="45" t="str">
        <f t="shared" si="55"/>
        <v>*0.49</v>
      </c>
      <c r="AM416" s="43" t="str">
        <f t="shared" si="57"/>
        <v>REZoning_Sol-Win</v>
      </c>
      <c r="AP416" t="s">
        <v>483</v>
      </c>
      <c r="AQ416" t="s">
        <v>57</v>
      </c>
      <c r="AR416">
        <v>2100</v>
      </c>
      <c r="AS416" t="s">
        <v>75</v>
      </c>
      <c r="AT416" t="s">
        <v>58</v>
      </c>
    </row>
    <row r="417" ht="29" spans="1:46">
      <c r="A417" s="31" t="s">
        <v>73</v>
      </c>
      <c r="C417" t="s">
        <v>484</v>
      </c>
      <c r="D417" s="5" t="s">
        <v>57</v>
      </c>
      <c r="E417">
        <v>2035</v>
      </c>
      <c r="F417" s="6" t="str">
        <f t="shared" si="50"/>
        <v>*0.63</v>
      </c>
      <c r="H417" t="s">
        <v>484</v>
      </c>
      <c r="I417" s="5" t="s">
        <v>57</v>
      </c>
      <c r="J417">
        <v>2050</v>
      </c>
      <c r="K417" s="38" t="str">
        <f t="shared" si="51"/>
        <v>*0.54</v>
      </c>
      <c r="P417" s="32" t="s">
        <v>484</v>
      </c>
      <c r="Q417" s="42" t="s">
        <v>57</v>
      </c>
      <c r="R417" s="32">
        <v>2035</v>
      </c>
      <c r="S417" s="43" t="str">
        <f t="shared" si="52"/>
        <v>*0.62</v>
      </c>
      <c r="U417" s="32" t="s">
        <v>484</v>
      </c>
      <c r="V417" s="42" t="s">
        <v>57</v>
      </c>
      <c r="W417" s="32">
        <v>2050</v>
      </c>
      <c r="X417" s="43" t="str">
        <f t="shared" si="53"/>
        <v>*0.51</v>
      </c>
      <c r="AC417" s="33" t="s">
        <v>484</v>
      </c>
      <c r="AD417" s="44" t="s">
        <v>57</v>
      </c>
      <c r="AE417" s="33">
        <v>2035</v>
      </c>
      <c r="AF417" s="45" t="str">
        <f t="shared" si="54"/>
        <v>*0.58</v>
      </c>
      <c r="AG417" s="43" t="str">
        <f t="shared" si="56"/>
        <v>REZoning_Sol-Win</v>
      </c>
      <c r="AI417" s="33" t="s">
        <v>484</v>
      </c>
      <c r="AJ417" s="44" t="s">
        <v>57</v>
      </c>
      <c r="AK417" s="33">
        <v>2050</v>
      </c>
      <c r="AL417" s="45" t="str">
        <f t="shared" si="55"/>
        <v>*0.49</v>
      </c>
      <c r="AM417" s="43" t="str">
        <f t="shared" si="57"/>
        <v>REZoning_Sol-Win</v>
      </c>
      <c r="AP417" t="s">
        <v>484</v>
      </c>
      <c r="AQ417" t="s">
        <v>57</v>
      </c>
      <c r="AR417">
        <v>2100</v>
      </c>
      <c r="AS417" t="s">
        <v>75</v>
      </c>
      <c r="AT417" t="s">
        <v>58</v>
      </c>
    </row>
    <row r="418" ht="29" spans="1:46">
      <c r="A418" s="31" t="s">
        <v>73</v>
      </c>
      <c r="C418" t="s">
        <v>485</v>
      </c>
      <c r="D418" s="5" t="s">
        <v>57</v>
      </c>
      <c r="E418">
        <v>2035</v>
      </c>
      <c r="F418" s="6" t="str">
        <f t="shared" si="50"/>
        <v>*0.63</v>
      </c>
      <c r="H418" t="s">
        <v>485</v>
      </c>
      <c r="I418" s="5" t="s">
        <v>57</v>
      </c>
      <c r="J418">
        <v>2050</v>
      </c>
      <c r="K418" s="38" t="str">
        <f t="shared" si="51"/>
        <v>*0.54</v>
      </c>
      <c r="P418" s="32" t="s">
        <v>485</v>
      </c>
      <c r="Q418" s="42" t="s">
        <v>57</v>
      </c>
      <c r="R418" s="32">
        <v>2035</v>
      </c>
      <c r="S418" s="43" t="str">
        <f t="shared" si="52"/>
        <v>*0.62</v>
      </c>
      <c r="U418" s="32" t="s">
        <v>485</v>
      </c>
      <c r="V418" s="42" t="s">
        <v>57</v>
      </c>
      <c r="W418" s="32">
        <v>2050</v>
      </c>
      <c r="X418" s="43" t="str">
        <f t="shared" si="53"/>
        <v>*0.51</v>
      </c>
      <c r="AC418" s="33" t="s">
        <v>485</v>
      </c>
      <c r="AD418" s="44" t="s">
        <v>57</v>
      </c>
      <c r="AE418" s="33">
        <v>2035</v>
      </c>
      <c r="AF418" s="45" t="str">
        <f t="shared" si="54"/>
        <v>*0.58</v>
      </c>
      <c r="AG418" s="43" t="str">
        <f t="shared" si="56"/>
        <v>REZoning_Sol-Win</v>
      </c>
      <c r="AI418" s="33" t="s">
        <v>485</v>
      </c>
      <c r="AJ418" s="44" t="s">
        <v>57</v>
      </c>
      <c r="AK418" s="33">
        <v>2050</v>
      </c>
      <c r="AL418" s="45" t="str">
        <f t="shared" si="55"/>
        <v>*0.49</v>
      </c>
      <c r="AM418" s="43" t="str">
        <f t="shared" si="57"/>
        <v>REZoning_Sol-Win</v>
      </c>
      <c r="AP418" t="s">
        <v>485</v>
      </c>
      <c r="AQ418" t="s">
        <v>57</v>
      </c>
      <c r="AR418">
        <v>2100</v>
      </c>
      <c r="AS418" t="s">
        <v>75</v>
      </c>
      <c r="AT418" t="s">
        <v>58</v>
      </c>
    </row>
    <row r="419" ht="29" spans="1:46">
      <c r="A419" s="31" t="s">
        <v>73</v>
      </c>
      <c r="C419" t="s">
        <v>486</v>
      </c>
      <c r="D419" s="5" t="s">
        <v>57</v>
      </c>
      <c r="E419">
        <v>2035</v>
      </c>
      <c r="F419" s="6" t="str">
        <f t="shared" si="50"/>
        <v>*0.63</v>
      </c>
      <c r="H419" t="s">
        <v>486</v>
      </c>
      <c r="I419" s="5" t="s">
        <v>57</v>
      </c>
      <c r="J419">
        <v>2050</v>
      </c>
      <c r="K419" s="38" t="str">
        <f t="shared" si="51"/>
        <v>*0.54</v>
      </c>
      <c r="P419" s="32" t="s">
        <v>486</v>
      </c>
      <c r="Q419" s="42" t="s">
        <v>57</v>
      </c>
      <c r="R419" s="32">
        <v>2035</v>
      </c>
      <c r="S419" s="43" t="str">
        <f t="shared" si="52"/>
        <v>*0.62</v>
      </c>
      <c r="U419" s="32" t="s">
        <v>486</v>
      </c>
      <c r="V419" s="42" t="s">
        <v>57</v>
      </c>
      <c r="W419" s="32">
        <v>2050</v>
      </c>
      <c r="X419" s="43" t="str">
        <f t="shared" si="53"/>
        <v>*0.51</v>
      </c>
      <c r="AC419" s="33" t="s">
        <v>486</v>
      </c>
      <c r="AD419" s="44" t="s">
        <v>57</v>
      </c>
      <c r="AE419" s="33">
        <v>2035</v>
      </c>
      <c r="AF419" s="45" t="str">
        <f t="shared" si="54"/>
        <v>*0.58</v>
      </c>
      <c r="AG419" s="43" t="str">
        <f t="shared" si="56"/>
        <v>REZoning_Sol-Win</v>
      </c>
      <c r="AI419" s="33" t="s">
        <v>486</v>
      </c>
      <c r="AJ419" s="44" t="s">
        <v>57</v>
      </c>
      <c r="AK419" s="33">
        <v>2050</v>
      </c>
      <c r="AL419" s="45" t="str">
        <f t="shared" si="55"/>
        <v>*0.49</v>
      </c>
      <c r="AM419" s="43" t="str">
        <f t="shared" si="57"/>
        <v>REZoning_Sol-Win</v>
      </c>
      <c r="AP419" t="s">
        <v>486</v>
      </c>
      <c r="AQ419" t="s">
        <v>57</v>
      </c>
      <c r="AR419">
        <v>2100</v>
      </c>
      <c r="AS419" t="s">
        <v>75</v>
      </c>
      <c r="AT419" t="s">
        <v>58</v>
      </c>
    </row>
    <row r="420" ht="29" spans="1:46">
      <c r="A420" s="31" t="s">
        <v>73</v>
      </c>
      <c r="C420" t="s">
        <v>487</v>
      </c>
      <c r="D420" s="5" t="s">
        <v>57</v>
      </c>
      <c r="E420">
        <v>2035</v>
      </c>
      <c r="F420" s="6" t="str">
        <f t="shared" si="50"/>
        <v>*0.63</v>
      </c>
      <c r="H420" t="s">
        <v>487</v>
      </c>
      <c r="I420" s="5" t="s">
        <v>57</v>
      </c>
      <c r="J420">
        <v>2050</v>
      </c>
      <c r="K420" s="38" t="str">
        <f t="shared" si="51"/>
        <v>*0.54</v>
      </c>
      <c r="P420" s="32" t="s">
        <v>487</v>
      </c>
      <c r="Q420" s="42" t="s">
        <v>57</v>
      </c>
      <c r="R420" s="32">
        <v>2035</v>
      </c>
      <c r="S420" s="43" t="str">
        <f t="shared" si="52"/>
        <v>*0.62</v>
      </c>
      <c r="U420" s="32" t="s">
        <v>487</v>
      </c>
      <c r="V420" s="42" t="s">
        <v>57</v>
      </c>
      <c r="W420" s="32">
        <v>2050</v>
      </c>
      <c r="X420" s="43" t="str">
        <f t="shared" si="53"/>
        <v>*0.51</v>
      </c>
      <c r="AC420" s="33" t="s">
        <v>487</v>
      </c>
      <c r="AD420" s="44" t="s">
        <v>57</v>
      </c>
      <c r="AE420" s="33">
        <v>2035</v>
      </c>
      <c r="AF420" s="45" t="str">
        <f t="shared" si="54"/>
        <v>*0.58</v>
      </c>
      <c r="AG420" s="43" t="str">
        <f t="shared" si="56"/>
        <v>REZoning_Sol-Win</v>
      </c>
      <c r="AI420" s="33" t="s">
        <v>487</v>
      </c>
      <c r="AJ420" s="44" t="s">
        <v>57</v>
      </c>
      <c r="AK420" s="33">
        <v>2050</v>
      </c>
      <c r="AL420" s="45" t="str">
        <f t="shared" si="55"/>
        <v>*0.49</v>
      </c>
      <c r="AM420" s="43" t="str">
        <f t="shared" si="57"/>
        <v>REZoning_Sol-Win</v>
      </c>
      <c r="AP420" t="s">
        <v>487</v>
      </c>
      <c r="AQ420" t="s">
        <v>57</v>
      </c>
      <c r="AR420">
        <v>2100</v>
      </c>
      <c r="AS420" t="s">
        <v>75</v>
      </c>
      <c r="AT420" t="s">
        <v>58</v>
      </c>
    </row>
    <row r="421" ht="29" spans="1:46">
      <c r="A421" s="31" t="s">
        <v>73</v>
      </c>
      <c r="C421" t="s">
        <v>488</v>
      </c>
      <c r="D421" s="5" t="s">
        <v>57</v>
      </c>
      <c r="E421">
        <v>2035</v>
      </c>
      <c r="F421" s="6" t="str">
        <f t="shared" si="50"/>
        <v>*0.63</v>
      </c>
      <c r="H421" t="s">
        <v>488</v>
      </c>
      <c r="I421" s="5" t="s">
        <v>57</v>
      </c>
      <c r="J421">
        <v>2050</v>
      </c>
      <c r="K421" s="38" t="str">
        <f t="shared" si="51"/>
        <v>*0.54</v>
      </c>
      <c r="P421" s="32" t="s">
        <v>488</v>
      </c>
      <c r="Q421" s="42" t="s">
        <v>57</v>
      </c>
      <c r="R421" s="32">
        <v>2035</v>
      </c>
      <c r="S421" s="43" t="str">
        <f t="shared" si="52"/>
        <v>*0.62</v>
      </c>
      <c r="U421" s="32" t="s">
        <v>488</v>
      </c>
      <c r="V421" s="42" t="s">
        <v>57</v>
      </c>
      <c r="W421" s="32">
        <v>2050</v>
      </c>
      <c r="X421" s="43" t="str">
        <f t="shared" si="53"/>
        <v>*0.51</v>
      </c>
      <c r="AC421" s="33" t="s">
        <v>488</v>
      </c>
      <c r="AD421" s="44" t="s">
        <v>57</v>
      </c>
      <c r="AE421" s="33">
        <v>2035</v>
      </c>
      <c r="AF421" s="45" t="str">
        <f t="shared" si="54"/>
        <v>*0.58</v>
      </c>
      <c r="AG421" s="43" t="str">
        <f t="shared" si="56"/>
        <v>REZoning_Sol-Win</v>
      </c>
      <c r="AI421" s="33" t="s">
        <v>488</v>
      </c>
      <c r="AJ421" s="44" t="s">
        <v>57</v>
      </c>
      <c r="AK421" s="33">
        <v>2050</v>
      </c>
      <c r="AL421" s="45" t="str">
        <f t="shared" si="55"/>
        <v>*0.49</v>
      </c>
      <c r="AM421" s="43" t="str">
        <f t="shared" si="57"/>
        <v>REZoning_Sol-Win</v>
      </c>
      <c r="AP421" t="s">
        <v>488</v>
      </c>
      <c r="AQ421" t="s">
        <v>57</v>
      </c>
      <c r="AR421">
        <v>2100</v>
      </c>
      <c r="AS421" t="s">
        <v>75</v>
      </c>
      <c r="AT421" t="s">
        <v>58</v>
      </c>
    </row>
    <row r="422" ht="29" spans="1:46">
      <c r="A422" s="31" t="s">
        <v>73</v>
      </c>
      <c r="C422" t="s">
        <v>489</v>
      </c>
      <c r="D422" s="5" t="s">
        <v>57</v>
      </c>
      <c r="E422">
        <v>2035</v>
      </c>
      <c r="F422" s="6" t="str">
        <f t="shared" si="50"/>
        <v>*0.63</v>
      </c>
      <c r="H422" t="s">
        <v>489</v>
      </c>
      <c r="I422" s="5" t="s">
        <v>57</v>
      </c>
      <c r="J422">
        <v>2050</v>
      </c>
      <c r="K422" s="38" t="str">
        <f t="shared" si="51"/>
        <v>*0.54</v>
      </c>
      <c r="P422" s="32" t="s">
        <v>489</v>
      </c>
      <c r="Q422" s="42" t="s">
        <v>57</v>
      </c>
      <c r="R422" s="32">
        <v>2035</v>
      </c>
      <c r="S422" s="43" t="str">
        <f t="shared" si="52"/>
        <v>*0.62</v>
      </c>
      <c r="U422" s="32" t="s">
        <v>489</v>
      </c>
      <c r="V422" s="42" t="s">
        <v>57</v>
      </c>
      <c r="W422" s="32">
        <v>2050</v>
      </c>
      <c r="X422" s="43" t="str">
        <f t="shared" si="53"/>
        <v>*0.51</v>
      </c>
      <c r="AC422" s="33" t="s">
        <v>489</v>
      </c>
      <c r="AD422" s="44" t="s">
        <v>57</v>
      </c>
      <c r="AE422" s="33">
        <v>2035</v>
      </c>
      <c r="AF422" s="45" t="str">
        <f t="shared" si="54"/>
        <v>*0.58</v>
      </c>
      <c r="AG422" s="43" t="str">
        <f t="shared" si="56"/>
        <v>REZoning_Sol-Win</v>
      </c>
      <c r="AI422" s="33" t="s">
        <v>489</v>
      </c>
      <c r="AJ422" s="44" t="s">
        <v>57</v>
      </c>
      <c r="AK422" s="33">
        <v>2050</v>
      </c>
      <c r="AL422" s="45" t="str">
        <f t="shared" si="55"/>
        <v>*0.49</v>
      </c>
      <c r="AM422" s="43" t="str">
        <f t="shared" si="57"/>
        <v>REZoning_Sol-Win</v>
      </c>
      <c r="AP422" t="s">
        <v>489</v>
      </c>
      <c r="AQ422" t="s">
        <v>57</v>
      </c>
      <c r="AR422">
        <v>2100</v>
      </c>
      <c r="AS422" t="s">
        <v>75</v>
      </c>
      <c r="AT422" t="s">
        <v>58</v>
      </c>
    </row>
    <row r="423" ht="29" spans="1:46">
      <c r="A423" s="31" t="s">
        <v>83</v>
      </c>
      <c r="C423" t="s">
        <v>490</v>
      </c>
      <c r="D423" s="5" t="s">
        <v>57</v>
      </c>
      <c r="E423">
        <v>2035</v>
      </c>
      <c r="F423" s="6" t="str">
        <f t="shared" si="50"/>
        <v>*0.64</v>
      </c>
      <c r="H423" t="s">
        <v>490</v>
      </c>
      <c r="I423" s="5" t="s">
        <v>57</v>
      </c>
      <c r="J423">
        <v>2050</v>
      </c>
      <c r="K423" s="38" t="str">
        <f t="shared" si="51"/>
        <v>*0.54</v>
      </c>
      <c r="P423" s="32" t="s">
        <v>490</v>
      </c>
      <c r="Q423" s="42" t="s">
        <v>57</v>
      </c>
      <c r="R423" s="32">
        <v>2035</v>
      </c>
      <c r="S423" s="43" t="str">
        <f t="shared" si="52"/>
        <v>*0.64</v>
      </c>
      <c r="U423" s="32" t="s">
        <v>490</v>
      </c>
      <c r="V423" s="42" t="s">
        <v>57</v>
      </c>
      <c r="W423" s="32">
        <v>2050</v>
      </c>
      <c r="X423" s="43" t="str">
        <f t="shared" si="53"/>
        <v>*0.53</v>
      </c>
      <c r="AC423" s="33" t="s">
        <v>490</v>
      </c>
      <c r="AD423" s="44" t="s">
        <v>57</v>
      </c>
      <c r="AE423" s="33">
        <v>2035</v>
      </c>
      <c r="AF423" s="45" t="str">
        <f t="shared" si="54"/>
        <v>*0.6</v>
      </c>
      <c r="AG423" s="43" t="str">
        <f t="shared" si="56"/>
        <v>REZoning_Sol-Win</v>
      </c>
      <c r="AI423" s="33" t="s">
        <v>490</v>
      </c>
      <c r="AJ423" s="44" t="s">
        <v>57</v>
      </c>
      <c r="AK423" s="33">
        <v>2050</v>
      </c>
      <c r="AL423" s="45" t="str">
        <f t="shared" si="55"/>
        <v>*0.5</v>
      </c>
      <c r="AM423" s="43" t="str">
        <f t="shared" si="57"/>
        <v>REZoning_Sol-Win</v>
      </c>
      <c r="AP423" t="s">
        <v>490</v>
      </c>
      <c r="AQ423" t="s">
        <v>57</v>
      </c>
      <c r="AR423">
        <v>2100</v>
      </c>
      <c r="AS423" t="s">
        <v>85</v>
      </c>
      <c r="AT423" t="s">
        <v>58</v>
      </c>
    </row>
    <row r="424" ht="29" spans="1:46">
      <c r="A424" s="31" t="s">
        <v>83</v>
      </c>
      <c r="C424" t="s">
        <v>491</v>
      </c>
      <c r="D424" s="5" t="s">
        <v>57</v>
      </c>
      <c r="E424">
        <v>2035</v>
      </c>
      <c r="F424" s="6" t="str">
        <f t="shared" si="50"/>
        <v>*0.64</v>
      </c>
      <c r="H424" t="s">
        <v>491</v>
      </c>
      <c r="I424" s="5" t="s">
        <v>57</v>
      </c>
      <c r="J424">
        <v>2050</v>
      </c>
      <c r="K424" s="38" t="str">
        <f t="shared" si="51"/>
        <v>*0.54</v>
      </c>
      <c r="P424" s="32" t="s">
        <v>491</v>
      </c>
      <c r="Q424" s="42" t="s">
        <v>57</v>
      </c>
      <c r="R424" s="32">
        <v>2035</v>
      </c>
      <c r="S424" s="43" t="str">
        <f t="shared" si="52"/>
        <v>*0.64</v>
      </c>
      <c r="U424" s="32" t="s">
        <v>491</v>
      </c>
      <c r="V424" s="42" t="s">
        <v>57</v>
      </c>
      <c r="W424" s="32">
        <v>2050</v>
      </c>
      <c r="X424" s="43" t="str">
        <f t="shared" si="53"/>
        <v>*0.53</v>
      </c>
      <c r="AC424" s="33" t="s">
        <v>491</v>
      </c>
      <c r="AD424" s="44" t="s">
        <v>57</v>
      </c>
      <c r="AE424" s="33">
        <v>2035</v>
      </c>
      <c r="AF424" s="45" t="str">
        <f t="shared" si="54"/>
        <v>*0.6</v>
      </c>
      <c r="AG424" s="43" t="str">
        <f t="shared" si="56"/>
        <v>REZoning_Sol-Win</v>
      </c>
      <c r="AI424" s="33" t="s">
        <v>491</v>
      </c>
      <c r="AJ424" s="44" t="s">
        <v>57</v>
      </c>
      <c r="AK424" s="33">
        <v>2050</v>
      </c>
      <c r="AL424" s="45" t="str">
        <f t="shared" si="55"/>
        <v>*0.5</v>
      </c>
      <c r="AM424" s="43" t="str">
        <f t="shared" si="57"/>
        <v>REZoning_Sol-Win</v>
      </c>
      <c r="AP424" t="s">
        <v>491</v>
      </c>
      <c r="AQ424" t="s">
        <v>57</v>
      </c>
      <c r="AR424">
        <v>2100</v>
      </c>
      <c r="AS424" t="s">
        <v>85</v>
      </c>
      <c r="AT424" t="s">
        <v>58</v>
      </c>
    </row>
    <row r="425" ht="29" spans="1:46">
      <c r="A425" s="31" t="s">
        <v>79</v>
      </c>
      <c r="C425" t="s">
        <v>492</v>
      </c>
      <c r="D425" s="5" t="s">
        <v>57</v>
      </c>
      <c r="E425">
        <v>2035</v>
      </c>
      <c r="F425" s="6" t="str">
        <f t="shared" si="50"/>
        <v>*0.6</v>
      </c>
      <c r="H425" t="s">
        <v>492</v>
      </c>
      <c r="I425" s="5" t="s">
        <v>57</v>
      </c>
      <c r="J425">
        <v>2050</v>
      </c>
      <c r="K425" s="38" t="str">
        <f t="shared" si="51"/>
        <v>*0.5</v>
      </c>
      <c r="P425" s="32" t="s">
        <v>492</v>
      </c>
      <c r="Q425" s="42" t="s">
        <v>57</v>
      </c>
      <c r="R425" s="32">
        <v>2035</v>
      </c>
      <c r="S425" s="43" t="str">
        <f t="shared" si="52"/>
        <v>*0.59</v>
      </c>
      <c r="U425" s="32" t="s">
        <v>492</v>
      </c>
      <c r="V425" s="42" t="s">
        <v>57</v>
      </c>
      <c r="W425" s="32">
        <v>2050</v>
      </c>
      <c r="X425" s="43" t="str">
        <f t="shared" si="53"/>
        <v>*0.47</v>
      </c>
      <c r="AC425" s="33" t="s">
        <v>492</v>
      </c>
      <c r="AD425" s="44" t="s">
        <v>57</v>
      </c>
      <c r="AE425" s="33">
        <v>2035</v>
      </c>
      <c r="AF425" s="45" t="str">
        <f t="shared" si="54"/>
        <v>*0.53</v>
      </c>
      <c r="AG425" s="43" t="str">
        <f t="shared" si="56"/>
        <v>REZoning_Sol-Win</v>
      </c>
      <c r="AI425" s="33" t="s">
        <v>492</v>
      </c>
      <c r="AJ425" s="44" t="s">
        <v>57</v>
      </c>
      <c r="AK425" s="33">
        <v>2050</v>
      </c>
      <c r="AL425" s="45" t="str">
        <f t="shared" si="55"/>
        <v>*0.41</v>
      </c>
      <c r="AM425" s="43" t="str">
        <f t="shared" si="57"/>
        <v>REZoning_Sol-Win</v>
      </c>
      <c r="AP425" t="s">
        <v>492</v>
      </c>
      <c r="AQ425" t="s">
        <v>57</v>
      </c>
      <c r="AR425">
        <v>2100</v>
      </c>
      <c r="AS425" t="s">
        <v>67</v>
      </c>
      <c r="AT425" t="s">
        <v>58</v>
      </c>
    </row>
    <row r="426" ht="29" spans="1:46">
      <c r="A426" s="31" t="s">
        <v>79</v>
      </c>
      <c r="C426" t="s">
        <v>493</v>
      </c>
      <c r="D426" s="5" t="s">
        <v>57</v>
      </c>
      <c r="E426">
        <v>2035</v>
      </c>
      <c r="F426" s="6" t="str">
        <f t="shared" si="50"/>
        <v>*0.6</v>
      </c>
      <c r="H426" t="s">
        <v>493</v>
      </c>
      <c r="I426" s="5" t="s">
        <v>57</v>
      </c>
      <c r="J426">
        <v>2050</v>
      </c>
      <c r="K426" s="38" t="str">
        <f t="shared" si="51"/>
        <v>*0.5</v>
      </c>
      <c r="P426" s="32" t="s">
        <v>493</v>
      </c>
      <c r="Q426" s="42" t="s">
        <v>57</v>
      </c>
      <c r="R426" s="32">
        <v>2035</v>
      </c>
      <c r="S426" s="43" t="str">
        <f t="shared" si="52"/>
        <v>*0.59</v>
      </c>
      <c r="U426" s="32" t="s">
        <v>493</v>
      </c>
      <c r="V426" s="42" t="s">
        <v>57</v>
      </c>
      <c r="W426" s="32">
        <v>2050</v>
      </c>
      <c r="X426" s="43" t="str">
        <f t="shared" si="53"/>
        <v>*0.47</v>
      </c>
      <c r="AC426" s="33" t="s">
        <v>493</v>
      </c>
      <c r="AD426" s="44" t="s">
        <v>57</v>
      </c>
      <c r="AE426" s="33">
        <v>2035</v>
      </c>
      <c r="AF426" s="45" t="str">
        <f t="shared" si="54"/>
        <v>*0.53</v>
      </c>
      <c r="AG426" s="43" t="str">
        <f t="shared" si="56"/>
        <v>REZoning_Sol-Win</v>
      </c>
      <c r="AI426" s="33" t="s">
        <v>493</v>
      </c>
      <c r="AJ426" s="44" t="s">
        <v>57</v>
      </c>
      <c r="AK426" s="33">
        <v>2050</v>
      </c>
      <c r="AL426" s="45" t="str">
        <f t="shared" si="55"/>
        <v>*0.41</v>
      </c>
      <c r="AM426" s="43" t="str">
        <f t="shared" si="57"/>
        <v>REZoning_Sol-Win</v>
      </c>
      <c r="AP426" t="s">
        <v>493</v>
      </c>
      <c r="AQ426" t="s">
        <v>57</v>
      </c>
      <c r="AR426">
        <v>2100</v>
      </c>
      <c r="AS426" t="s">
        <v>67</v>
      </c>
      <c r="AT426" t="s">
        <v>58</v>
      </c>
    </row>
    <row r="427" ht="29" spans="1:46">
      <c r="A427" s="31" t="s">
        <v>494</v>
      </c>
      <c r="C427" t="s">
        <v>495</v>
      </c>
      <c r="D427" s="5" t="s">
        <v>57</v>
      </c>
      <c r="E427">
        <v>2035</v>
      </c>
      <c r="F427" s="6" t="str">
        <f t="shared" si="50"/>
        <v>*0.68</v>
      </c>
      <c r="H427" t="s">
        <v>495</v>
      </c>
      <c r="I427" s="5" t="s">
        <v>57</v>
      </c>
      <c r="J427">
        <v>2050</v>
      </c>
      <c r="K427" s="38" t="str">
        <f t="shared" si="51"/>
        <v>*0.58</v>
      </c>
      <c r="P427" s="32" t="s">
        <v>495</v>
      </c>
      <c r="Q427" s="42" t="s">
        <v>57</v>
      </c>
      <c r="R427" s="32">
        <v>2035</v>
      </c>
      <c r="S427" s="43" t="str">
        <f t="shared" si="52"/>
        <v>*0.65</v>
      </c>
      <c r="U427" s="32" t="s">
        <v>495</v>
      </c>
      <c r="V427" s="42" t="s">
        <v>57</v>
      </c>
      <c r="W427" s="32">
        <v>2050</v>
      </c>
      <c r="X427" s="43" t="str">
        <f t="shared" si="53"/>
        <v>*0.55</v>
      </c>
      <c r="AC427" s="33" t="s">
        <v>495</v>
      </c>
      <c r="AD427" s="44" t="s">
        <v>57</v>
      </c>
      <c r="AE427" s="33">
        <v>2035</v>
      </c>
      <c r="AF427" s="45" t="str">
        <f t="shared" si="54"/>
        <v>*0.62</v>
      </c>
      <c r="AG427" s="43" t="str">
        <f t="shared" si="56"/>
        <v>REZoning_Sol-Win</v>
      </c>
      <c r="AI427" s="33" t="s">
        <v>495</v>
      </c>
      <c r="AJ427" s="44" t="s">
        <v>57</v>
      </c>
      <c r="AK427" s="33">
        <v>2050</v>
      </c>
      <c r="AL427" s="45" t="str">
        <f t="shared" si="55"/>
        <v>*0.51</v>
      </c>
      <c r="AM427" s="43" t="str">
        <f t="shared" si="57"/>
        <v>REZoning_Sol-Win</v>
      </c>
      <c r="AP427" t="s">
        <v>495</v>
      </c>
      <c r="AQ427" t="s">
        <v>57</v>
      </c>
      <c r="AR427">
        <v>2100</v>
      </c>
      <c r="AS427" t="s">
        <v>496</v>
      </c>
      <c r="AT427" t="s">
        <v>58</v>
      </c>
    </row>
    <row r="428" ht="29" spans="1:46">
      <c r="A428" s="31" t="s">
        <v>494</v>
      </c>
      <c r="C428" t="s">
        <v>497</v>
      </c>
      <c r="D428" s="5" t="s">
        <v>57</v>
      </c>
      <c r="E428">
        <v>2035</v>
      </c>
      <c r="F428" s="6" t="str">
        <f t="shared" si="50"/>
        <v>*0.68</v>
      </c>
      <c r="H428" t="s">
        <v>497</v>
      </c>
      <c r="I428" s="5" t="s">
        <v>57</v>
      </c>
      <c r="J428">
        <v>2050</v>
      </c>
      <c r="K428" s="38" t="str">
        <f t="shared" si="51"/>
        <v>*0.58</v>
      </c>
      <c r="P428" s="32" t="s">
        <v>497</v>
      </c>
      <c r="Q428" s="42" t="s">
        <v>57</v>
      </c>
      <c r="R428" s="32">
        <v>2035</v>
      </c>
      <c r="S428" s="43" t="str">
        <f t="shared" si="52"/>
        <v>*0.65</v>
      </c>
      <c r="U428" s="32" t="s">
        <v>497</v>
      </c>
      <c r="V428" s="42" t="s">
        <v>57</v>
      </c>
      <c r="W428" s="32">
        <v>2050</v>
      </c>
      <c r="X428" s="43" t="str">
        <f t="shared" si="53"/>
        <v>*0.55</v>
      </c>
      <c r="AC428" s="33" t="s">
        <v>497</v>
      </c>
      <c r="AD428" s="44" t="s">
        <v>57</v>
      </c>
      <c r="AE428" s="33">
        <v>2035</v>
      </c>
      <c r="AF428" s="45" t="str">
        <f t="shared" si="54"/>
        <v>*0.62</v>
      </c>
      <c r="AG428" s="43" t="str">
        <f t="shared" si="56"/>
        <v>REZoning_Sol-Win</v>
      </c>
      <c r="AI428" s="33" t="s">
        <v>497</v>
      </c>
      <c r="AJ428" s="44" t="s">
        <v>57</v>
      </c>
      <c r="AK428" s="33">
        <v>2050</v>
      </c>
      <c r="AL428" s="45" t="str">
        <f t="shared" si="55"/>
        <v>*0.51</v>
      </c>
      <c r="AM428" s="43" t="str">
        <f t="shared" si="57"/>
        <v>REZoning_Sol-Win</v>
      </c>
      <c r="AP428" t="s">
        <v>497</v>
      </c>
      <c r="AQ428" t="s">
        <v>57</v>
      </c>
      <c r="AR428">
        <v>2100</v>
      </c>
      <c r="AS428" t="s">
        <v>496</v>
      </c>
      <c r="AT428" t="s">
        <v>58</v>
      </c>
    </row>
    <row r="429" ht="29" spans="1:46">
      <c r="A429" s="31" t="s">
        <v>494</v>
      </c>
      <c r="C429" t="s">
        <v>498</v>
      </c>
      <c r="D429" s="5" t="s">
        <v>57</v>
      </c>
      <c r="E429">
        <v>2035</v>
      </c>
      <c r="F429" s="6" t="str">
        <f t="shared" si="50"/>
        <v>*0.68</v>
      </c>
      <c r="H429" t="s">
        <v>498</v>
      </c>
      <c r="I429" s="5" t="s">
        <v>57</v>
      </c>
      <c r="J429">
        <v>2050</v>
      </c>
      <c r="K429" s="38" t="str">
        <f t="shared" si="51"/>
        <v>*0.58</v>
      </c>
      <c r="P429" s="32" t="s">
        <v>498</v>
      </c>
      <c r="Q429" s="42" t="s">
        <v>57</v>
      </c>
      <c r="R429" s="32">
        <v>2035</v>
      </c>
      <c r="S429" s="43" t="str">
        <f t="shared" si="52"/>
        <v>*0.65</v>
      </c>
      <c r="U429" s="32" t="s">
        <v>498</v>
      </c>
      <c r="V429" s="42" t="s">
        <v>57</v>
      </c>
      <c r="W429" s="32">
        <v>2050</v>
      </c>
      <c r="X429" s="43" t="str">
        <f t="shared" si="53"/>
        <v>*0.55</v>
      </c>
      <c r="AC429" s="33" t="s">
        <v>498</v>
      </c>
      <c r="AD429" s="44" t="s">
        <v>57</v>
      </c>
      <c r="AE429" s="33">
        <v>2035</v>
      </c>
      <c r="AF429" s="45" t="str">
        <f t="shared" si="54"/>
        <v>*0.62</v>
      </c>
      <c r="AG429" s="43" t="str">
        <f t="shared" si="56"/>
        <v>REZoning_Sol-Win</v>
      </c>
      <c r="AI429" s="33" t="s">
        <v>498</v>
      </c>
      <c r="AJ429" s="44" t="s">
        <v>57</v>
      </c>
      <c r="AK429" s="33">
        <v>2050</v>
      </c>
      <c r="AL429" s="45" t="str">
        <f t="shared" si="55"/>
        <v>*0.51</v>
      </c>
      <c r="AM429" s="43" t="str">
        <f t="shared" si="57"/>
        <v>REZoning_Sol-Win</v>
      </c>
      <c r="AP429" t="s">
        <v>498</v>
      </c>
      <c r="AQ429" t="s">
        <v>57</v>
      </c>
      <c r="AR429">
        <v>2100</v>
      </c>
      <c r="AS429" t="s">
        <v>496</v>
      </c>
      <c r="AT429" t="s">
        <v>58</v>
      </c>
    </row>
    <row r="430" ht="29" spans="1:46">
      <c r="A430" s="31" t="s">
        <v>494</v>
      </c>
      <c r="C430" t="s">
        <v>499</v>
      </c>
      <c r="D430" s="5" t="s">
        <v>57</v>
      </c>
      <c r="E430">
        <v>2035</v>
      </c>
      <c r="F430" s="6" t="str">
        <f t="shared" si="50"/>
        <v>*0.68</v>
      </c>
      <c r="H430" t="s">
        <v>499</v>
      </c>
      <c r="I430" s="5" t="s">
        <v>57</v>
      </c>
      <c r="J430">
        <v>2050</v>
      </c>
      <c r="K430" s="38" t="str">
        <f t="shared" si="51"/>
        <v>*0.58</v>
      </c>
      <c r="P430" s="32" t="s">
        <v>499</v>
      </c>
      <c r="Q430" s="42" t="s">
        <v>57</v>
      </c>
      <c r="R430" s="32">
        <v>2035</v>
      </c>
      <c r="S430" s="43" t="str">
        <f t="shared" si="52"/>
        <v>*0.65</v>
      </c>
      <c r="U430" s="32" t="s">
        <v>499</v>
      </c>
      <c r="V430" s="42" t="s">
        <v>57</v>
      </c>
      <c r="W430" s="32">
        <v>2050</v>
      </c>
      <c r="X430" s="43" t="str">
        <f t="shared" si="53"/>
        <v>*0.55</v>
      </c>
      <c r="AC430" s="33" t="s">
        <v>499</v>
      </c>
      <c r="AD430" s="44" t="s">
        <v>57</v>
      </c>
      <c r="AE430" s="33">
        <v>2035</v>
      </c>
      <c r="AF430" s="45" t="str">
        <f t="shared" si="54"/>
        <v>*0.62</v>
      </c>
      <c r="AG430" s="43" t="str">
        <f t="shared" si="56"/>
        <v>REZoning_Sol-Win</v>
      </c>
      <c r="AI430" s="33" t="s">
        <v>499</v>
      </c>
      <c r="AJ430" s="44" t="s">
        <v>57</v>
      </c>
      <c r="AK430" s="33">
        <v>2050</v>
      </c>
      <c r="AL430" s="45" t="str">
        <f t="shared" si="55"/>
        <v>*0.51</v>
      </c>
      <c r="AM430" s="43" t="str">
        <f t="shared" si="57"/>
        <v>REZoning_Sol-Win</v>
      </c>
      <c r="AP430" t="s">
        <v>499</v>
      </c>
      <c r="AQ430" t="s">
        <v>57</v>
      </c>
      <c r="AR430">
        <v>2100</v>
      </c>
      <c r="AS430" t="s">
        <v>496</v>
      </c>
      <c r="AT430" t="s">
        <v>58</v>
      </c>
    </row>
    <row r="431" ht="29" spans="1:46">
      <c r="A431" s="31" t="s">
        <v>494</v>
      </c>
      <c r="C431" t="s">
        <v>500</v>
      </c>
      <c r="D431" s="5" t="s">
        <v>57</v>
      </c>
      <c r="E431">
        <v>2035</v>
      </c>
      <c r="F431" s="6" t="str">
        <f t="shared" si="50"/>
        <v>*0.68</v>
      </c>
      <c r="H431" t="s">
        <v>500</v>
      </c>
      <c r="I431" s="5" t="s">
        <v>57</v>
      </c>
      <c r="J431">
        <v>2050</v>
      </c>
      <c r="K431" s="38" t="str">
        <f t="shared" si="51"/>
        <v>*0.58</v>
      </c>
      <c r="P431" s="32" t="s">
        <v>500</v>
      </c>
      <c r="Q431" s="42" t="s">
        <v>57</v>
      </c>
      <c r="R431" s="32">
        <v>2035</v>
      </c>
      <c r="S431" s="43" t="str">
        <f t="shared" si="52"/>
        <v>*0.65</v>
      </c>
      <c r="U431" s="32" t="s">
        <v>500</v>
      </c>
      <c r="V431" s="42" t="s">
        <v>57</v>
      </c>
      <c r="W431" s="32">
        <v>2050</v>
      </c>
      <c r="X431" s="43" t="str">
        <f t="shared" si="53"/>
        <v>*0.55</v>
      </c>
      <c r="AC431" s="33" t="s">
        <v>500</v>
      </c>
      <c r="AD431" s="44" t="s">
        <v>57</v>
      </c>
      <c r="AE431" s="33">
        <v>2035</v>
      </c>
      <c r="AF431" s="45" t="str">
        <f t="shared" si="54"/>
        <v>*0.62</v>
      </c>
      <c r="AG431" s="43" t="str">
        <f t="shared" si="56"/>
        <v>REZoning_Sol-Win</v>
      </c>
      <c r="AI431" s="33" t="s">
        <v>500</v>
      </c>
      <c r="AJ431" s="44" t="s">
        <v>57</v>
      </c>
      <c r="AK431" s="33">
        <v>2050</v>
      </c>
      <c r="AL431" s="45" t="str">
        <f t="shared" si="55"/>
        <v>*0.51</v>
      </c>
      <c r="AM431" s="43" t="str">
        <f t="shared" si="57"/>
        <v>REZoning_Sol-Win</v>
      </c>
      <c r="AP431" t="s">
        <v>500</v>
      </c>
      <c r="AQ431" t="s">
        <v>57</v>
      </c>
      <c r="AR431">
        <v>2100</v>
      </c>
      <c r="AS431" t="s">
        <v>496</v>
      </c>
      <c r="AT431" t="s">
        <v>58</v>
      </c>
    </row>
    <row r="432" ht="29" spans="1:46">
      <c r="A432" s="31" t="s">
        <v>494</v>
      </c>
      <c r="C432" t="s">
        <v>501</v>
      </c>
      <c r="D432" s="5" t="s">
        <v>57</v>
      </c>
      <c r="E432">
        <v>2035</v>
      </c>
      <c r="F432" s="6" t="str">
        <f t="shared" si="50"/>
        <v>*0.68</v>
      </c>
      <c r="H432" t="s">
        <v>501</v>
      </c>
      <c r="I432" s="5" t="s">
        <v>57</v>
      </c>
      <c r="J432">
        <v>2050</v>
      </c>
      <c r="K432" s="38" t="str">
        <f t="shared" si="51"/>
        <v>*0.58</v>
      </c>
      <c r="P432" s="32" t="s">
        <v>501</v>
      </c>
      <c r="Q432" s="42" t="s">
        <v>57</v>
      </c>
      <c r="R432" s="32">
        <v>2035</v>
      </c>
      <c r="S432" s="43" t="str">
        <f t="shared" si="52"/>
        <v>*0.65</v>
      </c>
      <c r="U432" s="32" t="s">
        <v>501</v>
      </c>
      <c r="V432" s="42" t="s">
        <v>57</v>
      </c>
      <c r="W432" s="32">
        <v>2050</v>
      </c>
      <c r="X432" s="43" t="str">
        <f t="shared" si="53"/>
        <v>*0.55</v>
      </c>
      <c r="AC432" s="33" t="s">
        <v>501</v>
      </c>
      <c r="AD432" s="44" t="s">
        <v>57</v>
      </c>
      <c r="AE432" s="33">
        <v>2035</v>
      </c>
      <c r="AF432" s="45" t="str">
        <f t="shared" si="54"/>
        <v>*0.62</v>
      </c>
      <c r="AG432" s="43" t="str">
        <f t="shared" si="56"/>
        <v>REZoning_Sol-Win</v>
      </c>
      <c r="AI432" s="33" t="s">
        <v>501</v>
      </c>
      <c r="AJ432" s="44" t="s">
        <v>57</v>
      </c>
      <c r="AK432" s="33">
        <v>2050</v>
      </c>
      <c r="AL432" s="45" t="str">
        <f t="shared" si="55"/>
        <v>*0.51</v>
      </c>
      <c r="AM432" s="43" t="str">
        <f t="shared" si="57"/>
        <v>REZoning_Sol-Win</v>
      </c>
      <c r="AP432" t="s">
        <v>501</v>
      </c>
      <c r="AQ432" t="s">
        <v>57</v>
      </c>
      <c r="AR432">
        <v>2100</v>
      </c>
      <c r="AS432" t="s">
        <v>496</v>
      </c>
      <c r="AT432" t="s">
        <v>58</v>
      </c>
    </row>
    <row r="433" ht="29" spans="1:46">
      <c r="A433" s="31" t="s">
        <v>494</v>
      </c>
      <c r="C433" t="s">
        <v>502</v>
      </c>
      <c r="D433" s="5" t="s">
        <v>57</v>
      </c>
      <c r="E433">
        <v>2035</v>
      </c>
      <c r="F433" s="6" t="str">
        <f t="shared" si="50"/>
        <v>*0.68</v>
      </c>
      <c r="H433" t="s">
        <v>502</v>
      </c>
      <c r="I433" s="5" t="s">
        <v>57</v>
      </c>
      <c r="J433">
        <v>2050</v>
      </c>
      <c r="K433" s="38" t="str">
        <f t="shared" si="51"/>
        <v>*0.58</v>
      </c>
      <c r="P433" s="32" t="s">
        <v>502</v>
      </c>
      <c r="Q433" s="42" t="s">
        <v>57</v>
      </c>
      <c r="R433" s="32">
        <v>2035</v>
      </c>
      <c r="S433" s="43" t="str">
        <f t="shared" si="52"/>
        <v>*0.65</v>
      </c>
      <c r="U433" s="32" t="s">
        <v>502</v>
      </c>
      <c r="V433" s="42" t="s">
        <v>57</v>
      </c>
      <c r="W433" s="32">
        <v>2050</v>
      </c>
      <c r="X433" s="43" t="str">
        <f t="shared" si="53"/>
        <v>*0.55</v>
      </c>
      <c r="AC433" s="33" t="s">
        <v>502</v>
      </c>
      <c r="AD433" s="44" t="s">
        <v>57</v>
      </c>
      <c r="AE433" s="33">
        <v>2035</v>
      </c>
      <c r="AF433" s="45" t="str">
        <f t="shared" si="54"/>
        <v>*0.62</v>
      </c>
      <c r="AG433" s="43" t="str">
        <f t="shared" si="56"/>
        <v>REZoning_Sol-Win</v>
      </c>
      <c r="AI433" s="33" t="s">
        <v>502</v>
      </c>
      <c r="AJ433" s="44" t="s">
        <v>57</v>
      </c>
      <c r="AK433" s="33">
        <v>2050</v>
      </c>
      <c r="AL433" s="45" t="str">
        <f t="shared" si="55"/>
        <v>*0.51</v>
      </c>
      <c r="AM433" s="43" t="str">
        <f t="shared" si="57"/>
        <v>REZoning_Sol-Win</v>
      </c>
      <c r="AP433" t="s">
        <v>502</v>
      </c>
      <c r="AQ433" t="s">
        <v>57</v>
      </c>
      <c r="AR433">
        <v>2100</v>
      </c>
      <c r="AS433" t="s">
        <v>496</v>
      </c>
      <c r="AT433" t="s">
        <v>58</v>
      </c>
    </row>
    <row r="434" ht="29" spans="1:46">
      <c r="A434" s="31" t="s">
        <v>494</v>
      </c>
      <c r="C434" t="s">
        <v>503</v>
      </c>
      <c r="D434" s="5" t="s">
        <v>57</v>
      </c>
      <c r="E434">
        <v>2035</v>
      </c>
      <c r="F434" s="6" t="str">
        <f t="shared" si="50"/>
        <v>*0.68</v>
      </c>
      <c r="H434" t="s">
        <v>503</v>
      </c>
      <c r="I434" s="5" t="s">
        <v>57</v>
      </c>
      <c r="J434">
        <v>2050</v>
      </c>
      <c r="K434" s="38" t="str">
        <f t="shared" si="51"/>
        <v>*0.58</v>
      </c>
      <c r="P434" s="32" t="s">
        <v>503</v>
      </c>
      <c r="Q434" s="42" t="s">
        <v>57</v>
      </c>
      <c r="R434" s="32">
        <v>2035</v>
      </c>
      <c r="S434" s="43" t="str">
        <f t="shared" si="52"/>
        <v>*0.65</v>
      </c>
      <c r="U434" s="32" t="s">
        <v>503</v>
      </c>
      <c r="V434" s="42" t="s">
        <v>57</v>
      </c>
      <c r="W434" s="32">
        <v>2050</v>
      </c>
      <c r="X434" s="43" t="str">
        <f t="shared" si="53"/>
        <v>*0.55</v>
      </c>
      <c r="AC434" s="33" t="s">
        <v>503</v>
      </c>
      <c r="AD434" s="44" t="s">
        <v>57</v>
      </c>
      <c r="AE434" s="33">
        <v>2035</v>
      </c>
      <c r="AF434" s="45" t="str">
        <f t="shared" si="54"/>
        <v>*0.62</v>
      </c>
      <c r="AG434" s="43" t="str">
        <f t="shared" si="56"/>
        <v>REZoning_Sol-Win</v>
      </c>
      <c r="AI434" s="33" t="s">
        <v>503</v>
      </c>
      <c r="AJ434" s="44" t="s">
        <v>57</v>
      </c>
      <c r="AK434" s="33">
        <v>2050</v>
      </c>
      <c r="AL434" s="45" t="str">
        <f t="shared" si="55"/>
        <v>*0.51</v>
      </c>
      <c r="AM434" s="43" t="str">
        <f t="shared" si="57"/>
        <v>REZoning_Sol-Win</v>
      </c>
      <c r="AP434" t="s">
        <v>503</v>
      </c>
      <c r="AQ434" t="s">
        <v>57</v>
      </c>
      <c r="AR434">
        <v>2100</v>
      </c>
      <c r="AS434" t="s">
        <v>496</v>
      </c>
      <c r="AT434" t="s">
        <v>58</v>
      </c>
    </row>
    <row r="435" ht="29" spans="1:46">
      <c r="A435" s="31" t="s">
        <v>494</v>
      </c>
      <c r="C435" t="s">
        <v>504</v>
      </c>
      <c r="D435" s="5" t="s">
        <v>57</v>
      </c>
      <c r="E435">
        <v>2035</v>
      </c>
      <c r="F435" s="6" t="str">
        <f t="shared" si="50"/>
        <v>*0.68</v>
      </c>
      <c r="H435" t="s">
        <v>504</v>
      </c>
      <c r="I435" s="5" t="s">
        <v>57</v>
      </c>
      <c r="J435">
        <v>2050</v>
      </c>
      <c r="K435" s="38" t="str">
        <f t="shared" si="51"/>
        <v>*0.58</v>
      </c>
      <c r="P435" s="32" t="s">
        <v>504</v>
      </c>
      <c r="Q435" s="42" t="s">
        <v>57</v>
      </c>
      <c r="R435" s="32">
        <v>2035</v>
      </c>
      <c r="S435" s="43" t="str">
        <f t="shared" si="52"/>
        <v>*0.65</v>
      </c>
      <c r="U435" s="32" t="s">
        <v>504</v>
      </c>
      <c r="V435" s="42" t="s">
        <v>57</v>
      </c>
      <c r="W435" s="32">
        <v>2050</v>
      </c>
      <c r="X435" s="43" t="str">
        <f t="shared" si="53"/>
        <v>*0.55</v>
      </c>
      <c r="AC435" s="33" t="s">
        <v>504</v>
      </c>
      <c r="AD435" s="44" t="s">
        <v>57</v>
      </c>
      <c r="AE435" s="33">
        <v>2035</v>
      </c>
      <c r="AF435" s="45" t="str">
        <f t="shared" si="54"/>
        <v>*0.62</v>
      </c>
      <c r="AG435" s="43" t="str">
        <f t="shared" si="56"/>
        <v>REZoning_Sol-Win</v>
      </c>
      <c r="AI435" s="33" t="s">
        <v>504</v>
      </c>
      <c r="AJ435" s="44" t="s">
        <v>57</v>
      </c>
      <c r="AK435" s="33">
        <v>2050</v>
      </c>
      <c r="AL435" s="45" t="str">
        <f t="shared" si="55"/>
        <v>*0.51</v>
      </c>
      <c r="AM435" s="43" t="str">
        <f t="shared" si="57"/>
        <v>REZoning_Sol-Win</v>
      </c>
      <c r="AP435" t="s">
        <v>504</v>
      </c>
      <c r="AQ435" t="s">
        <v>57</v>
      </c>
      <c r="AR435">
        <v>2100</v>
      </c>
      <c r="AS435" t="s">
        <v>496</v>
      </c>
      <c r="AT435" t="s">
        <v>58</v>
      </c>
    </row>
    <row r="436" ht="29" spans="1:46">
      <c r="A436" s="31" t="s">
        <v>494</v>
      </c>
      <c r="C436" t="s">
        <v>505</v>
      </c>
      <c r="D436" s="5" t="s">
        <v>57</v>
      </c>
      <c r="E436">
        <v>2035</v>
      </c>
      <c r="F436" s="6" t="str">
        <f t="shared" si="50"/>
        <v>*0.68</v>
      </c>
      <c r="H436" t="s">
        <v>505</v>
      </c>
      <c r="I436" s="5" t="s">
        <v>57</v>
      </c>
      <c r="J436">
        <v>2050</v>
      </c>
      <c r="K436" s="38" t="str">
        <f t="shared" si="51"/>
        <v>*0.58</v>
      </c>
      <c r="P436" s="32" t="s">
        <v>505</v>
      </c>
      <c r="Q436" s="42" t="s">
        <v>57</v>
      </c>
      <c r="R436" s="32">
        <v>2035</v>
      </c>
      <c r="S436" s="43" t="str">
        <f t="shared" si="52"/>
        <v>*0.65</v>
      </c>
      <c r="U436" s="32" t="s">
        <v>505</v>
      </c>
      <c r="V436" s="42" t="s">
        <v>57</v>
      </c>
      <c r="W436" s="32">
        <v>2050</v>
      </c>
      <c r="X436" s="43" t="str">
        <f t="shared" si="53"/>
        <v>*0.55</v>
      </c>
      <c r="AC436" s="33" t="s">
        <v>505</v>
      </c>
      <c r="AD436" s="44" t="s">
        <v>57</v>
      </c>
      <c r="AE436" s="33">
        <v>2035</v>
      </c>
      <c r="AF436" s="45" t="str">
        <f t="shared" si="54"/>
        <v>*0.62</v>
      </c>
      <c r="AG436" s="43" t="str">
        <f t="shared" si="56"/>
        <v>REZoning_Sol-Win</v>
      </c>
      <c r="AI436" s="33" t="s">
        <v>505</v>
      </c>
      <c r="AJ436" s="44" t="s">
        <v>57</v>
      </c>
      <c r="AK436" s="33">
        <v>2050</v>
      </c>
      <c r="AL436" s="45" t="str">
        <f t="shared" si="55"/>
        <v>*0.51</v>
      </c>
      <c r="AM436" s="43" t="str">
        <f t="shared" si="57"/>
        <v>REZoning_Sol-Win</v>
      </c>
      <c r="AP436" t="s">
        <v>505</v>
      </c>
      <c r="AQ436" t="s">
        <v>57</v>
      </c>
      <c r="AR436">
        <v>2100</v>
      </c>
      <c r="AS436" t="s">
        <v>496</v>
      </c>
      <c r="AT436" t="s">
        <v>58</v>
      </c>
    </row>
    <row r="437" ht="29" spans="1:46">
      <c r="A437" s="31" t="s">
        <v>494</v>
      </c>
      <c r="C437" t="s">
        <v>506</v>
      </c>
      <c r="D437" s="5" t="s">
        <v>57</v>
      </c>
      <c r="E437">
        <v>2035</v>
      </c>
      <c r="F437" s="6" t="str">
        <f t="shared" si="50"/>
        <v>*0.68</v>
      </c>
      <c r="H437" t="s">
        <v>506</v>
      </c>
      <c r="I437" s="5" t="s">
        <v>57</v>
      </c>
      <c r="J437">
        <v>2050</v>
      </c>
      <c r="K437" s="38" t="str">
        <f t="shared" si="51"/>
        <v>*0.58</v>
      </c>
      <c r="P437" s="32" t="s">
        <v>506</v>
      </c>
      <c r="Q437" s="42" t="s">
        <v>57</v>
      </c>
      <c r="R437" s="32">
        <v>2035</v>
      </c>
      <c r="S437" s="43" t="str">
        <f t="shared" si="52"/>
        <v>*0.65</v>
      </c>
      <c r="U437" s="32" t="s">
        <v>506</v>
      </c>
      <c r="V437" s="42" t="s">
        <v>57</v>
      </c>
      <c r="W437" s="32">
        <v>2050</v>
      </c>
      <c r="X437" s="43" t="str">
        <f t="shared" si="53"/>
        <v>*0.55</v>
      </c>
      <c r="AC437" s="33" t="s">
        <v>506</v>
      </c>
      <c r="AD437" s="44" t="s">
        <v>57</v>
      </c>
      <c r="AE437" s="33">
        <v>2035</v>
      </c>
      <c r="AF437" s="45" t="str">
        <f t="shared" si="54"/>
        <v>*0.62</v>
      </c>
      <c r="AG437" s="43" t="str">
        <f t="shared" si="56"/>
        <v>REZoning_Sol-Win</v>
      </c>
      <c r="AI437" s="33" t="s">
        <v>506</v>
      </c>
      <c r="AJ437" s="44" t="s">
        <v>57</v>
      </c>
      <c r="AK437" s="33">
        <v>2050</v>
      </c>
      <c r="AL437" s="45" t="str">
        <f t="shared" si="55"/>
        <v>*0.51</v>
      </c>
      <c r="AM437" s="43" t="str">
        <f t="shared" si="57"/>
        <v>REZoning_Sol-Win</v>
      </c>
      <c r="AP437" t="s">
        <v>506</v>
      </c>
      <c r="AQ437" t="s">
        <v>57</v>
      </c>
      <c r="AR437">
        <v>2100</v>
      </c>
      <c r="AS437" t="s">
        <v>496</v>
      </c>
      <c r="AT437" t="s">
        <v>58</v>
      </c>
    </row>
    <row r="438" ht="29" spans="1:46">
      <c r="A438" s="31" t="s">
        <v>494</v>
      </c>
      <c r="C438" t="s">
        <v>507</v>
      </c>
      <c r="D438" s="5" t="s">
        <v>57</v>
      </c>
      <c r="E438">
        <v>2035</v>
      </c>
      <c r="F438" s="6" t="str">
        <f t="shared" si="50"/>
        <v>*0.68</v>
      </c>
      <c r="H438" t="s">
        <v>507</v>
      </c>
      <c r="I438" s="5" t="s">
        <v>57</v>
      </c>
      <c r="J438">
        <v>2050</v>
      </c>
      <c r="K438" s="38" t="str">
        <f t="shared" si="51"/>
        <v>*0.58</v>
      </c>
      <c r="P438" s="32" t="s">
        <v>507</v>
      </c>
      <c r="Q438" s="42" t="s">
        <v>57</v>
      </c>
      <c r="R438" s="32">
        <v>2035</v>
      </c>
      <c r="S438" s="43" t="str">
        <f t="shared" si="52"/>
        <v>*0.65</v>
      </c>
      <c r="U438" s="32" t="s">
        <v>507</v>
      </c>
      <c r="V438" s="42" t="s">
        <v>57</v>
      </c>
      <c r="W438" s="32">
        <v>2050</v>
      </c>
      <c r="X438" s="43" t="str">
        <f t="shared" si="53"/>
        <v>*0.55</v>
      </c>
      <c r="AC438" s="33" t="s">
        <v>507</v>
      </c>
      <c r="AD438" s="44" t="s">
        <v>57</v>
      </c>
      <c r="AE438" s="33">
        <v>2035</v>
      </c>
      <c r="AF438" s="45" t="str">
        <f t="shared" si="54"/>
        <v>*0.62</v>
      </c>
      <c r="AG438" s="43" t="str">
        <f t="shared" si="56"/>
        <v>REZoning_Sol-Win</v>
      </c>
      <c r="AI438" s="33" t="s">
        <v>507</v>
      </c>
      <c r="AJ438" s="44" t="s">
        <v>57</v>
      </c>
      <c r="AK438" s="33">
        <v>2050</v>
      </c>
      <c r="AL438" s="45" t="str">
        <f t="shared" si="55"/>
        <v>*0.51</v>
      </c>
      <c r="AM438" s="43" t="str">
        <f t="shared" si="57"/>
        <v>REZoning_Sol-Win</v>
      </c>
      <c r="AP438" t="s">
        <v>507</v>
      </c>
      <c r="AQ438" t="s">
        <v>57</v>
      </c>
      <c r="AR438">
        <v>2100</v>
      </c>
      <c r="AS438" t="s">
        <v>496</v>
      </c>
      <c r="AT438" t="s">
        <v>58</v>
      </c>
    </row>
    <row r="439" ht="29" spans="1:46">
      <c r="A439" s="31" t="s">
        <v>494</v>
      </c>
      <c r="C439" t="s">
        <v>508</v>
      </c>
      <c r="D439" s="5" t="s">
        <v>57</v>
      </c>
      <c r="E439">
        <v>2035</v>
      </c>
      <c r="F439" s="6" t="str">
        <f t="shared" si="50"/>
        <v>*0.68</v>
      </c>
      <c r="H439" t="s">
        <v>508</v>
      </c>
      <c r="I439" s="5" t="s">
        <v>57</v>
      </c>
      <c r="J439">
        <v>2050</v>
      </c>
      <c r="K439" s="38" t="str">
        <f t="shared" si="51"/>
        <v>*0.58</v>
      </c>
      <c r="P439" s="32" t="s">
        <v>508</v>
      </c>
      <c r="Q439" s="42" t="s">
        <v>57</v>
      </c>
      <c r="R439" s="32">
        <v>2035</v>
      </c>
      <c r="S439" s="43" t="str">
        <f t="shared" si="52"/>
        <v>*0.65</v>
      </c>
      <c r="U439" s="32" t="s">
        <v>508</v>
      </c>
      <c r="V439" s="42" t="s">
        <v>57</v>
      </c>
      <c r="W439" s="32">
        <v>2050</v>
      </c>
      <c r="X439" s="43" t="str">
        <f t="shared" si="53"/>
        <v>*0.55</v>
      </c>
      <c r="AC439" s="33" t="s">
        <v>508</v>
      </c>
      <c r="AD439" s="44" t="s">
        <v>57</v>
      </c>
      <c r="AE439" s="33">
        <v>2035</v>
      </c>
      <c r="AF439" s="45" t="str">
        <f t="shared" si="54"/>
        <v>*0.62</v>
      </c>
      <c r="AG439" s="43" t="str">
        <f t="shared" si="56"/>
        <v>REZoning_Sol-Win</v>
      </c>
      <c r="AI439" s="33" t="s">
        <v>508</v>
      </c>
      <c r="AJ439" s="44" t="s">
        <v>57</v>
      </c>
      <c r="AK439" s="33">
        <v>2050</v>
      </c>
      <c r="AL439" s="45" t="str">
        <f t="shared" si="55"/>
        <v>*0.51</v>
      </c>
      <c r="AM439" s="43" t="str">
        <f t="shared" si="57"/>
        <v>REZoning_Sol-Win</v>
      </c>
      <c r="AP439" t="s">
        <v>508</v>
      </c>
      <c r="AQ439" t="s">
        <v>57</v>
      </c>
      <c r="AR439">
        <v>2100</v>
      </c>
      <c r="AS439" t="s">
        <v>496</v>
      </c>
      <c r="AT439" t="s">
        <v>58</v>
      </c>
    </row>
    <row r="440" ht="29" spans="1:46">
      <c r="A440" s="31" t="s">
        <v>95</v>
      </c>
      <c r="C440" t="s">
        <v>509</v>
      </c>
      <c r="D440" s="5" t="s">
        <v>57</v>
      </c>
      <c r="E440">
        <v>2035</v>
      </c>
      <c r="F440" s="6" t="str">
        <f t="shared" si="50"/>
        <v>*0.65</v>
      </c>
      <c r="H440" t="s">
        <v>509</v>
      </c>
      <c r="I440" s="5" t="s">
        <v>57</v>
      </c>
      <c r="J440">
        <v>2050</v>
      </c>
      <c r="K440" s="38" t="str">
        <f t="shared" si="51"/>
        <v>*0.54</v>
      </c>
      <c r="P440" s="32" t="s">
        <v>509</v>
      </c>
      <c r="Q440" s="42" t="s">
        <v>57</v>
      </c>
      <c r="R440" s="32">
        <v>2035</v>
      </c>
      <c r="S440" s="43" t="str">
        <f t="shared" si="52"/>
        <v>*0.63</v>
      </c>
      <c r="U440" s="32" t="s">
        <v>509</v>
      </c>
      <c r="V440" s="42" t="s">
        <v>57</v>
      </c>
      <c r="W440" s="32">
        <v>2050</v>
      </c>
      <c r="X440" s="43" t="str">
        <f t="shared" si="53"/>
        <v>*0.52</v>
      </c>
      <c r="AC440" s="33" t="s">
        <v>509</v>
      </c>
      <c r="AD440" s="44" t="s">
        <v>57</v>
      </c>
      <c r="AE440" s="33">
        <v>2035</v>
      </c>
      <c r="AF440" s="45" t="str">
        <f t="shared" si="54"/>
        <v>*0.55</v>
      </c>
      <c r="AG440" s="43" t="str">
        <f t="shared" si="56"/>
        <v>REZoning_Sol-Win</v>
      </c>
      <c r="AI440" s="33" t="s">
        <v>509</v>
      </c>
      <c r="AJ440" s="44" t="s">
        <v>57</v>
      </c>
      <c r="AK440" s="33">
        <v>2050</v>
      </c>
      <c r="AL440" s="45" t="str">
        <f t="shared" si="55"/>
        <v>*0.41</v>
      </c>
      <c r="AM440" s="43" t="str">
        <f t="shared" si="57"/>
        <v>REZoning_Sol-Win</v>
      </c>
      <c r="AP440" t="s">
        <v>509</v>
      </c>
      <c r="AQ440" t="s">
        <v>57</v>
      </c>
      <c r="AR440">
        <v>2100</v>
      </c>
      <c r="AS440" t="s">
        <v>67</v>
      </c>
      <c r="AT440" t="s">
        <v>58</v>
      </c>
    </row>
    <row r="441" ht="29" spans="1:46">
      <c r="A441" s="31" t="s">
        <v>95</v>
      </c>
      <c r="C441" t="s">
        <v>510</v>
      </c>
      <c r="D441" s="5" t="s">
        <v>57</v>
      </c>
      <c r="E441">
        <v>2035</v>
      </c>
      <c r="F441" s="6" t="str">
        <f t="shared" si="50"/>
        <v>*0.65</v>
      </c>
      <c r="H441" t="s">
        <v>510</v>
      </c>
      <c r="I441" s="5" t="s">
        <v>57</v>
      </c>
      <c r="J441">
        <v>2050</v>
      </c>
      <c r="K441" s="38" t="str">
        <f t="shared" si="51"/>
        <v>*0.54</v>
      </c>
      <c r="P441" s="32" t="s">
        <v>510</v>
      </c>
      <c r="Q441" s="42" t="s">
        <v>57</v>
      </c>
      <c r="R441" s="32">
        <v>2035</v>
      </c>
      <c r="S441" s="43" t="str">
        <f t="shared" si="52"/>
        <v>*0.63</v>
      </c>
      <c r="U441" s="32" t="s">
        <v>510</v>
      </c>
      <c r="V441" s="42" t="s">
        <v>57</v>
      </c>
      <c r="W441" s="32">
        <v>2050</v>
      </c>
      <c r="X441" s="43" t="str">
        <f t="shared" si="53"/>
        <v>*0.52</v>
      </c>
      <c r="AC441" s="33" t="s">
        <v>510</v>
      </c>
      <c r="AD441" s="44" t="s">
        <v>57</v>
      </c>
      <c r="AE441" s="33">
        <v>2035</v>
      </c>
      <c r="AF441" s="45" t="str">
        <f t="shared" si="54"/>
        <v>*0.55</v>
      </c>
      <c r="AG441" s="43" t="str">
        <f t="shared" si="56"/>
        <v>REZoning_Sol-Win</v>
      </c>
      <c r="AI441" s="33" t="s">
        <v>510</v>
      </c>
      <c r="AJ441" s="44" t="s">
        <v>57</v>
      </c>
      <c r="AK441" s="33">
        <v>2050</v>
      </c>
      <c r="AL441" s="45" t="str">
        <f t="shared" si="55"/>
        <v>*0.41</v>
      </c>
      <c r="AM441" s="43" t="str">
        <f t="shared" si="57"/>
        <v>REZoning_Sol-Win</v>
      </c>
      <c r="AP441" t="s">
        <v>510</v>
      </c>
      <c r="AQ441" t="s">
        <v>57</v>
      </c>
      <c r="AR441">
        <v>2100</v>
      </c>
      <c r="AS441" t="s">
        <v>67</v>
      </c>
      <c r="AT441" t="s">
        <v>58</v>
      </c>
    </row>
    <row r="442" ht="29" spans="1:46">
      <c r="A442" s="31" t="s">
        <v>65</v>
      </c>
      <c r="C442" t="s">
        <v>511</v>
      </c>
      <c r="D442" s="5" t="s">
        <v>57</v>
      </c>
      <c r="E442">
        <v>2035</v>
      </c>
      <c r="F442" s="6" t="str">
        <f t="shared" si="50"/>
        <v>*0.61</v>
      </c>
      <c r="H442" t="s">
        <v>511</v>
      </c>
      <c r="I442" s="5" t="s">
        <v>57</v>
      </c>
      <c r="J442">
        <v>2050</v>
      </c>
      <c r="K442" s="38" t="str">
        <f t="shared" si="51"/>
        <v>*0.5</v>
      </c>
      <c r="P442" s="32" t="s">
        <v>511</v>
      </c>
      <c r="Q442" s="42" t="s">
        <v>57</v>
      </c>
      <c r="R442" s="32">
        <v>2035</v>
      </c>
      <c r="S442" s="43" t="str">
        <f t="shared" si="52"/>
        <v>*0.58</v>
      </c>
      <c r="U442" s="32" t="s">
        <v>511</v>
      </c>
      <c r="V442" s="42" t="s">
        <v>57</v>
      </c>
      <c r="W442" s="32">
        <v>2050</v>
      </c>
      <c r="X442" s="43" t="str">
        <f t="shared" si="53"/>
        <v>*0.47</v>
      </c>
      <c r="AC442" s="33" t="s">
        <v>511</v>
      </c>
      <c r="AD442" s="44" t="s">
        <v>57</v>
      </c>
      <c r="AE442" s="33">
        <v>2035</v>
      </c>
      <c r="AF442" s="45" t="str">
        <f t="shared" si="54"/>
        <v>*0.53</v>
      </c>
      <c r="AG442" s="43" t="str">
        <f t="shared" si="56"/>
        <v>REZoning_Sol-Win</v>
      </c>
      <c r="AI442" s="33" t="s">
        <v>511</v>
      </c>
      <c r="AJ442" s="44" t="s">
        <v>57</v>
      </c>
      <c r="AK442" s="33">
        <v>2050</v>
      </c>
      <c r="AL442" s="45" t="str">
        <f t="shared" si="55"/>
        <v>*0.41</v>
      </c>
      <c r="AM442" s="43" t="str">
        <f t="shared" si="57"/>
        <v>REZoning_Sol-Win</v>
      </c>
      <c r="AP442" t="s">
        <v>511</v>
      </c>
      <c r="AQ442" t="s">
        <v>57</v>
      </c>
      <c r="AR442">
        <v>2100</v>
      </c>
      <c r="AS442" t="s">
        <v>67</v>
      </c>
      <c r="AT442" t="s">
        <v>58</v>
      </c>
    </row>
    <row r="443" ht="29" spans="1:46">
      <c r="A443" s="31" t="s">
        <v>65</v>
      </c>
      <c r="C443" t="s">
        <v>512</v>
      </c>
      <c r="D443" s="5" t="s">
        <v>57</v>
      </c>
      <c r="E443">
        <v>2035</v>
      </c>
      <c r="F443" s="6" t="str">
        <f t="shared" si="50"/>
        <v>*0.61</v>
      </c>
      <c r="H443" t="s">
        <v>512</v>
      </c>
      <c r="I443" s="5" t="s">
        <v>57</v>
      </c>
      <c r="J443">
        <v>2050</v>
      </c>
      <c r="K443" s="38" t="str">
        <f t="shared" si="51"/>
        <v>*0.5</v>
      </c>
      <c r="P443" s="32" t="s">
        <v>512</v>
      </c>
      <c r="Q443" s="42" t="s">
        <v>57</v>
      </c>
      <c r="R443" s="32">
        <v>2035</v>
      </c>
      <c r="S443" s="43" t="str">
        <f t="shared" si="52"/>
        <v>*0.58</v>
      </c>
      <c r="U443" s="32" t="s">
        <v>512</v>
      </c>
      <c r="V443" s="42" t="s">
        <v>57</v>
      </c>
      <c r="W443" s="32">
        <v>2050</v>
      </c>
      <c r="X443" s="43" t="str">
        <f t="shared" si="53"/>
        <v>*0.47</v>
      </c>
      <c r="AC443" s="33" t="s">
        <v>512</v>
      </c>
      <c r="AD443" s="44" t="s">
        <v>57</v>
      </c>
      <c r="AE443" s="33">
        <v>2035</v>
      </c>
      <c r="AF443" s="45" t="str">
        <f t="shared" si="54"/>
        <v>*0.53</v>
      </c>
      <c r="AG443" s="43" t="str">
        <f t="shared" si="56"/>
        <v>REZoning_Sol-Win</v>
      </c>
      <c r="AI443" s="33" t="s">
        <v>512</v>
      </c>
      <c r="AJ443" s="44" t="s">
        <v>57</v>
      </c>
      <c r="AK443" s="33">
        <v>2050</v>
      </c>
      <c r="AL443" s="45" t="str">
        <f t="shared" si="55"/>
        <v>*0.41</v>
      </c>
      <c r="AM443" s="43" t="str">
        <f t="shared" si="57"/>
        <v>REZoning_Sol-Win</v>
      </c>
      <c r="AP443" t="s">
        <v>512</v>
      </c>
      <c r="AQ443" t="s">
        <v>57</v>
      </c>
      <c r="AR443">
        <v>2100</v>
      </c>
      <c r="AS443" t="s">
        <v>67</v>
      </c>
      <c r="AT443" t="s">
        <v>58</v>
      </c>
    </row>
    <row r="444" ht="29" spans="1:46">
      <c r="A444" s="31" t="s">
        <v>65</v>
      </c>
      <c r="C444" t="s">
        <v>513</v>
      </c>
      <c r="D444" s="5" t="s">
        <v>57</v>
      </c>
      <c r="E444">
        <v>2035</v>
      </c>
      <c r="F444" s="6" t="str">
        <f t="shared" si="50"/>
        <v>*0.61</v>
      </c>
      <c r="H444" t="s">
        <v>513</v>
      </c>
      <c r="I444" s="5" t="s">
        <v>57</v>
      </c>
      <c r="J444">
        <v>2050</v>
      </c>
      <c r="K444" s="38" t="str">
        <f t="shared" si="51"/>
        <v>*0.5</v>
      </c>
      <c r="P444" s="32" t="s">
        <v>513</v>
      </c>
      <c r="Q444" s="42" t="s">
        <v>57</v>
      </c>
      <c r="R444" s="32">
        <v>2035</v>
      </c>
      <c r="S444" s="43" t="str">
        <f t="shared" si="52"/>
        <v>*0.58</v>
      </c>
      <c r="U444" s="32" t="s">
        <v>513</v>
      </c>
      <c r="V444" s="42" t="s">
        <v>57</v>
      </c>
      <c r="W444" s="32">
        <v>2050</v>
      </c>
      <c r="X444" s="43" t="str">
        <f t="shared" si="53"/>
        <v>*0.47</v>
      </c>
      <c r="AC444" s="33" t="s">
        <v>513</v>
      </c>
      <c r="AD444" s="44" t="s">
        <v>57</v>
      </c>
      <c r="AE444" s="33">
        <v>2035</v>
      </c>
      <c r="AF444" s="45" t="str">
        <f t="shared" si="54"/>
        <v>*0.53</v>
      </c>
      <c r="AG444" s="43" t="str">
        <f t="shared" si="56"/>
        <v>REZoning_Sol-Win</v>
      </c>
      <c r="AI444" s="33" t="s">
        <v>513</v>
      </c>
      <c r="AJ444" s="44" t="s">
        <v>57</v>
      </c>
      <c r="AK444" s="33">
        <v>2050</v>
      </c>
      <c r="AL444" s="45" t="str">
        <f t="shared" si="55"/>
        <v>*0.41</v>
      </c>
      <c r="AM444" s="43" t="str">
        <f t="shared" si="57"/>
        <v>REZoning_Sol-Win</v>
      </c>
      <c r="AP444" t="s">
        <v>513</v>
      </c>
      <c r="AQ444" t="s">
        <v>57</v>
      </c>
      <c r="AR444">
        <v>2100</v>
      </c>
      <c r="AS444" t="s">
        <v>67</v>
      </c>
      <c r="AT444" t="s">
        <v>58</v>
      </c>
    </row>
    <row r="445" ht="29" spans="1:46">
      <c r="A445" s="31" t="s">
        <v>65</v>
      </c>
      <c r="C445" t="s">
        <v>514</v>
      </c>
      <c r="D445" s="5" t="s">
        <v>57</v>
      </c>
      <c r="E445">
        <v>2035</v>
      </c>
      <c r="F445" s="6" t="str">
        <f t="shared" si="50"/>
        <v>*0.61</v>
      </c>
      <c r="H445" t="s">
        <v>514</v>
      </c>
      <c r="I445" s="5" t="s">
        <v>57</v>
      </c>
      <c r="J445">
        <v>2050</v>
      </c>
      <c r="K445" s="38" t="str">
        <f t="shared" si="51"/>
        <v>*0.5</v>
      </c>
      <c r="P445" s="32" t="s">
        <v>514</v>
      </c>
      <c r="Q445" s="42" t="s">
        <v>57</v>
      </c>
      <c r="R445" s="32">
        <v>2035</v>
      </c>
      <c r="S445" s="43" t="str">
        <f t="shared" si="52"/>
        <v>*0.58</v>
      </c>
      <c r="U445" s="32" t="s">
        <v>514</v>
      </c>
      <c r="V445" s="42" t="s">
        <v>57</v>
      </c>
      <c r="W445" s="32">
        <v>2050</v>
      </c>
      <c r="X445" s="43" t="str">
        <f t="shared" si="53"/>
        <v>*0.47</v>
      </c>
      <c r="AC445" s="33" t="s">
        <v>514</v>
      </c>
      <c r="AD445" s="44" t="s">
        <v>57</v>
      </c>
      <c r="AE445" s="33">
        <v>2035</v>
      </c>
      <c r="AF445" s="45" t="str">
        <f t="shared" si="54"/>
        <v>*0.53</v>
      </c>
      <c r="AG445" s="43" t="str">
        <f t="shared" si="56"/>
        <v>REZoning_Sol-Win</v>
      </c>
      <c r="AI445" s="33" t="s">
        <v>514</v>
      </c>
      <c r="AJ445" s="44" t="s">
        <v>57</v>
      </c>
      <c r="AK445" s="33">
        <v>2050</v>
      </c>
      <c r="AL445" s="45" t="str">
        <f t="shared" si="55"/>
        <v>*0.41</v>
      </c>
      <c r="AM445" s="43" t="str">
        <f t="shared" si="57"/>
        <v>REZoning_Sol-Win</v>
      </c>
      <c r="AP445" t="s">
        <v>514</v>
      </c>
      <c r="AQ445" t="s">
        <v>57</v>
      </c>
      <c r="AR445">
        <v>2100</v>
      </c>
      <c r="AS445" t="s">
        <v>67</v>
      </c>
      <c r="AT445" t="s">
        <v>58</v>
      </c>
    </row>
    <row r="446" ht="29" spans="1:46">
      <c r="A446" s="31" t="s">
        <v>65</v>
      </c>
      <c r="C446" t="s">
        <v>515</v>
      </c>
      <c r="D446" s="5" t="s">
        <v>57</v>
      </c>
      <c r="E446">
        <v>2035</v>
      </c>
      <c r="F446" s="6" t="str">
        <f t="shared" si="50"/>
        <v>*0.61</v>
      </c>
      <c r="H446" t="s">
        <v>515</v>
      </c>
      <c r="I446" s="5" t="s">
        <v>57</v>
      </c>
      <c r="J446">
        <v>2050</v>
      </c>
      <c r="K446" s="38" t="str">
        <f t="shared" si="51"/>
        <v>*0.5</v>
      </c>
      <c r="P446" s="32" t="s">
        <v>515</v>
      </c>
      <c r="Q446" s="42" t="s">
        <v>57</v>
      </c>
      <c r="R446" s="32">
        <v>2035</v>
      </c>
      <c r="S446" s="43" t="str">
        <f t="shared" si="52"/>
        <v>*0.58</v>
      </c>
      <c r="U446" s="32" t="s">
        <v>515</v>
      </c>
      <c r="V446" s="42" t="s">
        <v>57</v>
      </c>
      <c r="W446" s="32">
        <v>2050</v>
      </c>
      <c r="X446" s="43" t="str">
        <f t="shared" si="53"/>
        <v>*0.47</v>
      </c>
      <c r="AC446" s="33" t="s">
        <v>515</v>
      </c>
      <c r="AD446" s="44" t="s">
        <v>57</v>
      </c>
      <c r="AE446" s="33">
        <v>2035</v>
      </c>
      <c r="AF446" s="45" t="str">
        <f t="shared" si="54"/>
        <v>*0.53</v>
      </c>
      <c r="AG446" s="43" t="str">
        <f t="shared" si="56"/>
        <v>REZoning_Sol-Win</v>
      </c>
      <c r="AI446" s="33" t="s">
        <v>515</v>
      </c>
      <c r="AJ446" s="44" t="s">
        <v>57</v>
      </c>
      <c r="AK446" s="33">
        <v>2050</v>
      </c>
      <c r="AL446" s="45" t="str">
        <f t="shared" si="55"/>
        <v>*0.41</v>
      </c>
      <c r="AM446" s="43" t="str">
        <f t="shared" si="57"/>
        <v>REZoning_Sol-Win</v>
      </c>
      <c r="AP446" t="s">
        <v>515</v>
      </c>
      <c r="AQ446" t="s">
        <v>57</v>
      </c>
      <c r="AR446">
        <v>2100</v>
      </c>
      <c r="AS446" t="s">
        <v>67</v>
      </c>
      <c r="AT446" t="s">
        <v>58</v>
      </c>
    </row>
    <row r="447" ht="29" spans="1:46">
      <c r="A447" s="31" t="s">
        <v>95</v>
      </c>
      <c r="C447" t="s">
        <v>516</v>
      </c>
      <c r="D447" s="5" t="s">
        <v>57</v>
      </c>
      <c r="E447">
        <v>2035</v>
      </c>
      <c r="F447" s="6" t="str">
        <f t="shared" si="50"/>
        <v>*0.65</v>
      </c>
      <c r="H447" t="s">
        <v>516</v>
      </c>
      <c r="I447" s="5" t="s">
        <v>57</v>
      </c>
      <c r="J447">
        <v>2050</v>
      </c>
      <c r="K447" s="38" t="str">
        <f t="shared" si="51"/>
        <v>*0.54</v>
      </c>
      <c r="P447" s="32" t="s">
        <v>516</v>
      </c>
      <c r="Q447" s="42" t="s">
        <v>57</v>
      </c>
      <c r="R447" s="32">
        <v>2035</v>
      </c>
      <c r="S447" s="43" t="str">
        <f t="shared" si="52"/>
        <v>*0.63</v>
      </c>
      <c r="U447" s="32" t="s">
        <v>516</v>
      </c>
      <c r="V447" s="42" t="s">
        <v>57</v>
      </c>
      <c r="W447" s="32">
        <v>2050</v>
      </c>
      <c r="X447" s="43" t="str">
        <f t="shared" si="53"/>
        <v>*0.52</v>
      </c>
      <c r="AC447" s="33" t="s">
        <v>516</v>
      </c>
      <c r="AD447" s="44" t="s">
        <v>57</v>
      </c>
      <c r="AE447" s="33">
        <v>2035</v>
      </c>
      <c r="AF447" s="45" t="str">
        <f t="shared" si="54"/>
        <v>*0.55</v>
      </c>
      <c r="AG447" s="43" t="str">
        <f t="shared" si="56"/>
        <v>REZoning_Sol-Win</v>
      </c>
      <c r="AI447" s="33" t="s">
        <v>516</v>
      </c>
      <c r="AJ447" s="44" t="s">
        <v>57</v>
      </c>
      <c r="AK447" s="33">
        <v>2050</v>
      </c>
      <c r="AL447" s="45" t="str">
        <f t="shared" si="55"/>
        <v>*0.41</v>
      </c>
      <c r="AM447" s="43" t="str">
        <f t="shared" si="57"/>
        <v>REZoning_Sol-Win</v>
      </c>
      <c r="AP447" t="s">
        <v>516</v>
      </c>
      <c r="AQ447" t="s">
        <v>57</v>
      </c>
      <c r="AR447">
        <v>2100</v>
      </c>
      <c r="AS447" t="s">
        <v>67</v>
      </c>
      <c r="AT447" t="s">
        <v>58</v>
      </c>
    </row>
    <row r="448" ht="29" spans="1:46">
      <c r="A448" s="31" t="s">
        <v>95</v>
      </c>
      <c r="C448" t="s">
        <v>517</v>
      </c>
      <c r="D448" s="5" t="s">
        <v>57</v>
      </c>
      <c r="E448">
        <v>2035</v>
      </c>
      <c r="F448" s="6" t="str">
        <f t="shared" si="50"/>
        <v>*0.65</v>
      </c>
      <c r="H448" t="s">
        <v>517</v>
      </c>
      <c r="I448" s="5" t="s">
        <v>57</v>
      </c>
      <c r="J448">
        <v>2050</v>
      </c>
      <c r="K448" s="38" t="str">
        <f t="shared" si="51"/>
        <v>*0.54</v>
      </c>
      <c r="P448" s="32" t="s">
        <v>517</v>
      </c>
      <c r="Q448" s="42" t="s">
        <v>57</v>
      </c>
      <c r="R448" s="32">
        <v>2035</v>
      </c>
      <c r="S448" s="43" t="str">
        <f t="shared" si="52"/>
        <v>*0.63</v>
      </c>
      <c r="U448" s="32" t="s">
        <v>517</v>
      </c>
      <c r="V448" s="42" t="s">
        <v>57</v>
      </c>
      <c r="W448" s="32">
        <v>2050</v>
      </c>
      <c r="X448" s="43" t="str">
        <f t="shared" si="53"/>
        <v>*0.52</v>
      </c>
      <c r="AC448" s="33" t="s">
        <v>517</v>
      </c>
      <c r="AD448" s="44" t="s">
        <v>57</v>
      </c>
      <c r="AE448" s="33">
        <v>2035</v>
      </c>
      <c r="AF448" s="45" t="str">
        <f t="shared" si="54"/>
        <v>*0.55</v>
      </c>
      <c r="AG448" s="43" t="str">
        <f t="shared" si="56"/>
        <v>REZoning_Sol-Win</v>
      </c>
      <c r="AI448" s="33" t="s">
        <v>517</v>
      </c>
      <c r="AJ448" s="44" t="s">
        <v>57</v>
      </c>
      <c r="AK448" s="33">
        <v>2050</v>
      </c>
      <c r="AL448" s="45" t="str">
        <f t="shared" si="55"/>
        <v>*0.41</v>
      </c>
      <c r="AM448" s="43" t="str">
        <f t="shared" si="57"/>
        <v>REZoning_Sol-Win</v>
      </c>
      <c r="AP448" t="s">
        <v>517</v>
      </c>
      <c r="AQ448" t="s">
        <v>57</v>
      </c>
      <c r="AR448">
        <v>2100</v>
      </c>
      <c r="AS448" t="s">
        <v>67</v>
      </c>
      <c r="AT448" t="s">
        <v>58</v>
      </c>
    </row>
    <row r="449" ht="29" spans="1:46">
      <c r="A449" s="31" t="s">
        <v>95</v>
      </c>
      <c r="C449" t="s">
        <v>518</v>
      </c>
      <c r="D449" s="5" t="s">
        <v>57</v>
      </c>
      <c r="E449">
        <v>2035</v>
      </c>
      <c r="F449" s="6" t="str">
        <f t="shared" si="50"/>
        <v>*0.65</v>
      </c>
      <c r="H449" t="s">
        <v>518</v>
      </c>
      <c r="I449" s="5" t="s">
        <v>57</v>
      </c>
      <c r="J449">
        <v>2050</v>
      </c>
      <c r="K449" s="38" t="str">
        <f t="shared" si="51"/>
        <v>*0.54</v>
      </c>
      <c r="P449" s="32" t="s">
        <v>518</v>
      </c>
      <c r="Q449" s="42" t="s">
        <v>57</v>
      </c>
      <c r="R449" s="32">
        <v>2035</v>
      </c>
      <c r="S449" s="43" t="str">
        <f t="shared" si="52"/>
        <v>*0.63</v>
      </c>
      <c r="U449" s="32" t="s">
        <v>518</v>
      </c>
      <c r="V449" s="42" t="s">
        <v>57</v>
      </c>
      <c r="W449" s="32">
        <v>2050</v>
      </c>
      <c r="X449" s="43" t="str">
        <f t="shared" si="53"/>
        <v>*0.52</v>
      </c>
      <c r="AC449" s="33" t="s">
        <v>518</v>
      </c>
      <c r="AD449" s="44" t="s">
        <v>57</v>
      </c>
      <c r="AE449" s="33">
        <v>2035</v>
      </c>
      <c r="AF449" s="45" t="str">
        <f t="shared" si="54"/>
        <v>*0.55</v>
      </c>
      <c r="AG449" s="43" t="str">
        <f t="shared" si="56"/>
        <v>REZoning_Sol-Win</v>
      </c>
      <c r="AI449" s="33" t="s">
        <v>518</v>
      </c>
      <c r="AJ449" s="44" t="s">
        <v>57</v>
      </c>
      <c r="AK449" s="33">
        <v>2050</v>
      </c>
      <c r="AL449" s="45" t="str">
        <f t="shared" si="55"/>
        <v>*0.41</v>
      </c>
      <c r="AM449" s="43" t="str">
        <f t="shared" si="57"/>
        <v>REZoning_Sol-Win</v>
      </c>
      <c r="AP449" t="s">
        <v>518</v>
      </c>
      <c r="AQ449" t="s">
        <v>57</v>
      </c>
      <c r="AR449">
        <v>2100</v>
      </c>
      <c r="AS449" t="s">
        <v>67</v>
      </c>
      <c r="AT449" t="s">
        <v>58</v>
      </c>
    </row>
    <row r="450" ht="29" spans="1:46">
      <c r="A450" s="31" t="s">
        <v>95</v>
      </c>
      <c r="C450" t="s">
        <v>519</v>
      </c>
      <c r="D450" s="5" t="s">
        <v>57</v>
      </c>
      <c r="E450">
        <v>2035</v>
      </c>
      <c r="F450" s="6" t="str">
        <f t="shared" si="50"/>
        <v>*0.65</v>
      </c>
      <c r="H450" t="s">
        <v>519</v>
      </c>
      <c r="I450" s="5" t="s">
        <v>57</v>
      </c>
      <c r="J450">
        <v>2050</v>
      </c>
      <c r="K450" s="38" t="str">
        <f t="shared" si="51"/>
        <v>*0.54</v>
      </c>
      <c r="P450" s="32" t="s">
        <v>519</v>
      </c>
      <c r="Q450" s="42" t="s">
        <v>57</v>
      </c>
      <c r="R450" s="32">
        <v>2035</v>
      </c>
      <c r="S450" s="43" t="str">
        <f t="shared" si="52"/>
        <v>*0.63</v>
      </c>
      <c r="U450" s="32" t="s">
        <v>519</v>
      </c>
      <c r="V450" s="42" t="s">
        <v>57</v>
      </c>
      <c r="W450" s="32">
        <v>2050</v>
      </c>
      <c r="X450" s="43" t="str">
        <f t="shared" si="53"/>
        <v>*0.52</v>
      </c>
      <c r="AC450" s="33" t="s">
        <v>519</v>
      </c>
      <c r="AD450" s="44" t="s">
        <v>57</v>
      </c>
      <c r="AE450" s="33">
        <v>2035</v>
      </c>
      <c r="AF450" s="45" t="str">
        <f t="shared" si="54"/>
        <v>*0.55</v>
      </c>
      <c r="AG450" s="43" t="str">
        <f t="shared" si="56"/>
        <v>REZoning_Sol-Win</v>
      </c>
      <c r="AI450" s="33" t="s">
        <v>519</v>
      </c>
      <c r="AJ450" s="44" t="s">
        <v>57</v>
      </c>
      <c r="AK450" s="33">
        <v>2050</v>
      </c>
      <c r="AL450" s="45" t="str">
        <f t="shared" si="55"/>
        <v>*0.41</v>
      </c>
      <c r="AM450" s="43" t="str">
        <f t="shared" si="57"/>
        <v>REZoning_Sol-Win</v>
      </c>
      <c r="AP450" t="s">
        <v>519</v>
      </c>
      <c r="AQ450" t="s">
        <v>57</v>
      </c>
      <c r="AR450">
        <v>2100</v>
      </c>
      <c r="AS450" t="s">
        <v>67</v>
      </c>
      <c r="AT450" t="s">
        <v>58</v>
      </c>
    </row>
    <row r="451" ht="29" spans="1:46">
      <c r="A451" s="31" t="s">
        <v>169</v>
      </c>
      <c r="C451" t="s">
        <v>520</v>
      </c>
      <c r="D451" s="5" t="s">
        <v>57</v>
      </c>
      <c r="E451">
        <v>2035</v>
      </c>
      <c r="F451" s="6" t="str">
        <f t="shared" si="50"/>
        <v>*0.61</v>
      </c>
      <c r="H451" t="s">
        <v>520</v>
      </c>
      <c r="I451" s="5" t="s">
        <v>57</v>
      </c>
      <c r="J451">
        <v>2050</v>
      </c>
      <c r="K451" s="38" t="str">
        <f t="shared" si="51"/>
        <v>*0.49</v>
      </c>
      <c r="P451" s="32" t="s">
        <v>520</v>
      </c>
      <c r="Q451" s="42" t="s">
        <v>57</v>
      </c>
      <c r="R451" s="32">
        <v>2035</v>
      </c>
      <c r="S451" s="43" t="str">
        <f t="shared" si="52"/>
        <v>*0.59</v>
      </c>
      <c r="U451" s="32" t="s">
        <v>520</v>
      </c>
      <c r="V451" s="42" t="s">
        <v>57</v>
      </c>
      <c r="W451" s="32">
        <v>2050</v>
      </c>
      <c r="X451" s="43" t="str">
        <f t="shared" si="53"/>
        <v>*0.47</v>
      </c>
      <c r="AC451" s="33" t="s">
        <v>520</v>
      </c>
      <c r="AD451" s="44" t="s">
        <v>57</v>
      </c>
      <c r="AE451" s="33">
        <v>2035</v>
      </c>
      <c r="AF451" s="45" t="str">
        <f t="shared" si="54"/>
        <v>*0.54</v>
      </c>
      <c r="AG451" s="43" t="str">
        <f t="shared" si="56"/>
        <v>REZoning_Sol-Win</v>
      </c>
      <c r="AI451" s="33" t="s">
        <v>520</v>
      </c>
      <c r="AJ451" s="44" t="s">
        <v>57</v>
      </c>
      <c r="AK451" s="33">
        <v>2050</v>
      </c>
      <c r="AL451" s="45" t="str">
        <f t="shared" si="55"/>
        <v>*0.44</v>
      </c>
      <c r="AM451" s="43" t="str">
        <f t="shared" si="57"/>
        <v>REZoning_Sol-Win</v>
      </c>
      <c r="AP451" t="s">
        <v>520</v>
      </c>
      <c r="AQ451" t="s">
        <v>57</v>
      </c>
      <c r="AR451">
        <v>2100</v>
      </c>
      <c r="AS451" t="s">
        <v>171</v>
      </c>
      <c r="AT451" t="s">
        <v>58</v>
      </c>
    </row>
    <row r="452" ht="29" spans="1:46">
      <c r="A452" s="31" t="s">
        <v>169</v>
      </c>
      <c r="C452" t="s">
        <v>521</v>
      </c>
      <c r="D452" s="5" t="s">
        <v>57</v>
      </c>
      <c r="E452">
        <v>2035</v>
      </c>
      <c r="F452" s="6" t="str">
        <f t="shared" ref="F452:F515" si="58">"*"&amp;IF(AND(A452="EU",E452=2035),0.63,IF(AND(A452="EU",E452=2050),0.54,IF(AND(A452="USA",E452=2035),0.64,IF(AND(A452="USA",E452=2050),0.54,IF(AND(A452="Japan",E452=2035),0.68,IF(AND(A452="Japan",E452=2050),0.58,IF(AND(A452="Russia",E452=2035),0.65,IF(AND(A452="Russia",E452=2050),0.54,IF(AND(A452="China",E452=2035),0.61,IF(AND(A452="China",E452=2050),0.49,IF(AND(A452="India",E452=2035),0.6,IF(AND(A452="India",E452=2050),0.49,IF(AND(A452="Middle East",E452=2035),0.6,IF(AND(A452="Middle East",E452=2050),0.5,IF(AND(A452="Africa",E452=2035),0.61,IF(AND(A452="Africa",E452=2050),0.5,IF(AND(A452="Brazil",E452=2035),0.64,IF(AND(A452="Brazil",E452=2050),0.54,""))))))))))))))))))</f>
        <v>*0.61</v>
      </c>
      <c r="H452" t="s">
        <v>521</v>
      </c>
      <c r="I452" s="5" t="s">
        <v>57</v>
      </c>
      <c r="J452">
        <v>2050</v>
      </c>
      <c r="K452" s="38" t="str">
        <f t="shared" ref="K452:K515" si="59">"*"&amp;IF(AND(A452="EU",J452=2035),0.63,IF(AND(A452="EU",J452=2050),0.54,IF(AND(A452="USA",J452=2035),0.64,IF(AND(A452="USA",J452=2050),0.54,IF(AND(A452="Japan",J452=2035),0.68,IF(AND(A452="Japan",J452=2050),0.58,IF(AND(A452="Russia",J452=2035),0.65,IF(AND(A452="Russia",J452=2050),0.54,IF(AND(A452="China",J452=2035),0.61,IF(AND(A452="China",J452=2050),0.49,IF(AND(A452="India",J452=2035),0.6,IF(AND(A452="India",J452=2050),0.49,IF(AND(A452="Middle East",J452=2035),0.6,IF(AND(A452="Middle East",J452=2050),0.5,IF(AND(A452="Africa",J452=2035),0.61,IF(AND(A452="Africa",J452=2050),0.5,IF(AND(A452="Brazil",J452=2035),0.64,IF(AND(A452="Brazil",J452=2050),0.54,""))))))))))))))))))</f>
        <v>*0.49</v>
      </c>
      <c r="P452" s="32" t="s">
        <v>521</v>
      </c>
      <c r="Q452" s="42" t="s">
        <v>57</v>
      </c>
      <c r="R452" s="32">
        <v>2035</v>
      </c>
      <c r="S452" s="43" t="str">
        <f t="shared" ref="S452:S515" si="60">"*"&amp;IF(AND(A452="EU",R452=2035),0.62,IF(AND(A452="EU",R452=2050),0.51,IF(AND(A452="USA",R452=2035),0.62,IF(AND(A452="USA",R452=2050),0.5,IF(AND(A452="Japan",R452=2035),0.65,IF(AND(A452="Japan",R452=2050),0.55,IF(AND(A452="Russia",R452=2035),0.63,IF(AND(A452="Russia",R452=2050),0.52,IF(AND(A452="China",R452=2035),0.59,IF(AND(A452="China",R452=2050),0.47,IF(AND(A452="India",R452=2035),0.58,IF(AND(A452="India",R452=2050),0.47,IF(AND(A452="Middle East",R452=2035),0.59,IF(AND(A452="Middle East",R452=2050),0.47,IF(AND(A452="Africa",R452=2035),0.58,IF(AND(A452="Africa",R452=2050),0.47,IF(AND(A452="Brazil",R452=2035),0.64,IF(AND(A452="Brazil",R452=2050),0.53,""))))))))))))))))))</f>
        <v>*0.59</v>
      </c>
      <c r="U452" s="32" t="s">
        <v>521</v>
      </c>
      <c r="V452" s="42" t="s">
        <v>57</v>
      </c>
      <c r="W452" s="32">
        <v>2050</v>
      </c>
      <c r="X452" s="43" t="str">
        <f t="shared" ref="X452:X515" si="61">"*"&amp;IF(AND(A452="EU",W452=2035),0.62,IF(AND(A452="EU",W452=2050),0.51,IF(AND(A452="USA",W452=2035),0.62,IF(AND(A452="USA",W452=2050),0.5,IF(AND(A452="Japan",W452=2035),0.65,IF(AND(A452="Japan",W452=2050),0.55,IF(AND(A452="Russia",W452=2035),0.63,IF(AND(A452="Russia",W452=2050),0.52,IF(AND(A452="China",W452=2035),0.59,IF(AND(A452="China",W452=2050),0.47,IF(AND(A452="India",W452=2035),0.58,IF(AND(A452="India",W452=2050),0.47,IF(AND(A452="Middle East",W452=2035),0.59,IF(AND(A452="Middle East",W452=2050),0.47,IF(AND(A452="Africa",W452=2035),0.58,IF(AND(A452="Africa",W452=2050),0.47,IF(AND(A452="Brazil",W452=2035),0.64,IF(AND(A452="Brazil",W452=2050),0.53,""))))))))))))))))))</f>
        <v>*0.47</v>
      </c>
      <c r="AC452" s="33" t="s">
        <v>521</v>
      </c>
      <c r="AD452" s="44" t="s">
        <v>57</v>
      </c>
      <c r="AE452" s="33">
        <v>2035</v>
      </c>
      <c r="AF452" s="45" t="str">
        <f t="shared" ref="AF452:AF515" si="62">"*"&amp;IF(AND(A452="EU",AE452=2035),0.58,IF(AND(A452="EU",AE452=2050),0.49,IF(AND(A452="USA",AE452=2035),0.56,IF(AND(A452="USA",AE452=2050),0.45,IF(AND(A452="Japan",AE452=2035),0.62,IF(AND(A452="Japan",AE452=2050),0.51,IF(AND(A452="Russia",AE452=2035),0.55,IF(AND(A452="Russia",AE452=2050),0.41,IF(AND(A452="China",AE452=2035),0.54,IF(AND(A452="China",AE452=2050),0.44,IF(AND(A452="India",AE452=2035),0.55,IF(AND(A452="India",AE452=2050),0.42,IF(AND(A452="Middle East",AE452=2035),0.53,IF(AND(A452="Middle East",AE452=2050),0.41,IF(AND(A452="Africa",AE452=2035),0.53,IF(AND(A452="Africa",AE452=2050),0.41,IF(AND(A452="Brazil",AE452=2035),0.6,IF(AND(A452="Brazil",AE452=2050),0.5,""))))))))))))))))))</f>
        <v>*0.54</v>
      </c>
      <c r="AG452" s="43" t="str">
        <f t="shared" si="56"/>
        <v>REZoning_Sol-Win</v>
      </c>
      <c r="AI452" s="33" t="s">
        <v>521</v>
      </c>
      <c r="AJ452" s="44" t="s">
        <v>57</v>
      </c>
      <c r="AK452" s="33">
        <v>2050</v>
      </c>
      <c r="AL452" s="45" t="str">
        <f t="shared" ref="AL452:AL515" si="63">"*"&amp;IF(AND(A452="EU",AK452=2035),0.58,IF(AND(A452="EU",AK452=2050),0.49,IF(AND(A452="USA",AK452=2035),0.56,IF(AND(A452="USA",AK452=2050),0.45,IF(AND(A452="Japan",AK452=2035),0.62,IF(AND(A452="Japan",AK452=2050),0.51,IF(AND(A452="Russia",AK452=2035),0.55,IF(AND(A452="Russia",AK452=2050),0.41,IF(AND(A452="China",AK452=2035),0.54,IF(AND(A452="China",AK452=2050),0.44,IF(AND(A452="India",AK452=2035),0.55,IF(AND(A452="India",AK452=2050),0.42,IF(AND(A452="Middle East",AK452=2035),0.53,IF(AND(A452="Middle East",AK452=2050),0.41,IF(AND(A452="Africa",AK452=2035),0.53,IF(AND(A452="Africa",AK452=2050),0.41,IF(AND(A452="Brazil",AK452=2035),0.6,IF(AND(A452="Brazil",AK452=2050),0.5,""))))))))))))))))))</f>
        <v>*0.44</v>
      </c>
      <c r="AM452" s="43" t="str">
        <f t="shared" si="57"/>
        <v>REZoning_Sol-Win</v>
      </c>
      <c r="AP452" t="s">
        <v>521</v>
      </c>
      <c r="AQ452" t="s">
        <v>57</v>
      </c>
      <c r="AR452">
        <v>2100</v>
      </c>
      <c r="AS452" t="s">
        <v>171</v>
      </c>
      <c r="AT452" t="s">
        <v>58</v>
      </c>
    </row>
    <row r="453" ht="29" spans="1:46">
      <c r="A453" s="31" t="s">
        <v>169</v>
      </c>
      <c r="C453" t="s">
        <v>522</v>
      </c>
      <c r="D453" s="5" t="s">
        <v>57</v>
      </c>
      <c r="E453">
        <v>2035</v>
      </c>
      <c r="F453" s="6" t="str">
        <f t="shared" si="58"/>
        <v>*0.61</v>
      </c>
      <c r="H453" t="s">
        <v>522</v>
      </c>
      <c r="I453" s="5" t="s">
        <v>57</v>
      </c>
      <c r="J453">
        <v>2050</v>
      </c>
      <c r="K453" s="38" t="str">
        <f t="shared" si="59"/>
        <v>*0.49</v>
      </c>
      <c r="P453" s="32" t="s">
        <v>522</v>
      </c>
      <c r="Q453" s="42" t="s">
        <v>57</v>
      </c>
      <c r="R453" s="32">
        <v>2035</v>
      </c>
      <c r="S453" s="43" t="str">
        <f t="shared" si="60"/>
        <v>*0.59</v>
      </c>
      <c r="U453" s="32" t="s">
        <v>522</v>
      </c>
      <c r="V453" s="42" t="s">
        <v>57</v>
      </c>
      <c r="W453" s="32">
        <v>2050</v>
      </c>
      <c r="X453" s="43" t="str">
        <f t="shared" si="61"/>
        <v>*0.47</v>
      </c>
      <c r="AC453" s="33" t="s">
        <v>522</v>
      </c>
      <c r="AD453" s="44" t="s">
        <v>57</v>
      </c>
      <c r="AE453" s="33">
        <v>2035</v>
      </c>
      <c r="AF453" s="45" t="str">
        <f t="shared" si="62"/>
        <v>*0.54</v>
      </c>
      <c r="AG453" s="43" t="str">
        <f t="shared" si="56"/>
        <v>REZoning_Sol-Win</v>
      </c>
      <c r="AI453" s="33" t="s">
        <v>522</v>
      </c>
      <c r="AJ453" s="44" t="s">
        <v>57</v>
      </c>
      <c r="AK453" s="33">
        <v>2050</v>
      </c>
      <c r="AL453" s="45" t="str">
        <f t="shared" si="63"/>
        <v>*0.44</v>
      </c>
      <c r="AM453" s="43" t="str">
        <f t="shared" si="57"/>
        <v>REZoning_Sol-Win</v>
      </c>
      <c r="AP453" t="s">
        <v>522</v>
      </c>
      <c r="AQ453" t="s">
        <v>57</v>
      </c>
      <c r="AR453">
        <v>2100</v>
      </c>
      <c r="AS453" t="s">
        <v>171</v>
      </c>
      <c r="AT453" t="s">
        <v>58</v>
      </c>
    </row>
    <row r="454" ht="29" spans="1:46">
      <c r="A454" s="31" t="s">
        <v>494</v>
      </c>
      <c r="C454" t="s">
        <v>523</v>
      </c>
      <c r="D454" s="5" t="s">
        <v>57</v>
      </c>
      <c r="E454">
        <v>2035</v>
      </c>
      <c r="F454" s="6" t="str">
        <f t="shared" si="58"/>
        <v>*0.68</v>
      </c>
      <c r="H454" t="s">
        <v>523</v>
      </c>
      <c r="I454" s="5" t="s">
        <v>57</v>
      </c>
      <c r="J454">
        <v>2050</v>
      </c>
      <c r="K454" s="38" t="str">
        <f t="shared" si="59"/>
        <v>*0.58</v>
      </c>
      <c r="P454" s="32" t="s">
        <v>523</v>
      </c>
      <c r="Q454" s="42" t="s">
        <v>57</v>
      </c>
      <c r="R454" s="32">
        <v>2035</v>
      </c>
      <c r="S454" s="43" t="str">
        <f t="shared" si="60"/>
        <v>*0.65</v>
      </c>
      <c r="U454" s="32" t="s">
        <v>523</v>
      </c>
      <c r="V454" s="42" t="s">
        <v>57</v>
      </c>
      <c r="W454" s="32">
        <v>2050</v>
      </c>
      <c r="X454" s="43" t="str">
        <f t="shared" si="61"/>
        <v>*0.55</v>
      </c>
      <c r="AC454" s="33" t="s">
        <v>523</v>
      </c>
      <c r="AD454" s="44" t="s">
        <v>57</v>
      </c>
      <c r="AE454" s="33">
        <v>2035</v>
      </c>
      <c r="AF454" s="45" t="str">
        <f t="shared" si="62"/>
        <v>*0.62</v>
      </c>
      <c r="AG454" s="43" t="str">
        <f t="shared" si="56"/>
        <v>REZoning_Sol-Win</v>
      </c>
      <c r="AI454" s="33" t="s">
        <v>523</v>
      </c>
      <c r="AJ454" s="44" t="s">
        <v>57</v>
      </c>
      <c r="AK454" s="33">
        <v>2050</v>
      </c>
      <c r="AL454" s="45" t="str">
        <f t="shared" si="63"/>
        <v>*0.51</v>
      </c>
      <c r="AM454" s="43" t="str">
        <f t="shared" si="57"/>
        <v>REZoning_Sol-Win</v>
      </c>
      <c r="AP454" t="s">
        <v>523</v>
      </c>
      <c r="AQ454" t="s">
        <v>57</v>
      </c>
      <c r="AR454">
        <v>2100</v>
      </c>
      <c r="AS454" t="s">
        <v>496</v>
      </c>
      <c r="AT454" t="s">
        <v>58</v>
      </c>
    </row>
    <row r="455" ht="29" spans="1:46">
      <c r="A455" s="31" t="s">
        <v>494</v>
      </c>
      <c r="C455" t="s">
        <v>524</v>
      </c>
      <c r="D455" s="5" t="s">
        <v>57</v>
      </c>
      <c r="E455">
        <v>2035</v>
      </c>
      <c r="F455" s="6" t="str">
        <f t="shared" si="58"/>
        <v>*0.68</v>
      </c>
      <c r="H455" t="s">
        <v>524</v>
      </c>
      <c r="I455" s="5" t="s">
        <v>57</v>
      </c>
      <c r="J455">
        <v>2050</v>
      </c>
      <c r="K455" s="38" t="str">
        <f t="shared" si="59"/>
        <v>*0.58</v>
      </c>
      <c r="P455" s="32" t="s">
        <v>524</v>
      </c>
      <c r="Q455" s="42" t="s">
        <v>57</v>
      </c>
      <c r="R455" s="32">
        <v>2035</v>
      </c>
      <c r="S455" s="43" t="str">
        <f t="shared" si="60"/>
        <v>*0.65</v>
      </c>
      <c r="U455" s="32" t="s">
        <v>524</v>
      </c>
      <c r="V455" s="42" t="s">
        <v>57</v>
      </c>
      <c r="W455" s="32">
        <v>2050</v>
      </c>
      <c r="X455" s="43" t="str">
        <f t="shared" si="61"/>
        <v>*0.55</v>
      </c>
      <c r="AC455" s="33" t="s">
        <v>524</v>
      </c>
      <c r="AD455" s="44" t="s">
        <v>57</v>
      </c>
      <c r="AE455" s="33">
        <v>2035</v>
      </c>
      <c r="AF455" s="45" t="str">
        <f t="shared" si="62"/>
        <v>*0.62</v>
      </c>
      <c r="AG455" s="43" t="str">
        <f t="shared" si="56"/>
        <v>REZoning_Sol-Win</v>
      </c>
      <c r="AI455" s="33" t="s">
        <v>524</v>
      </c>
      <c r="AJ455" s="44" t="s">
        <v>57</v>
      </c>
      <c r="AK455" s="33">
        <v>2050</v>
      </c>
      <c r="AL455" s="45" t="str">
        <f t="shared" si="63"/>
        <v>*0.51</v>
      </c>
      <c r="AM455" s="43" t="str">
        <f t="shared" si="57"/>
        <v>REZoning_Sol-Win</v>
      </c>
      <c r="AP455" t="s">
        <v>524</v>
      </c>
      <c r="AQ455" t="s">
        <v>57</v>
      </c>
      <c r="AR455">
        <v>2100</v>
      </c>
      <c r="AS455" t="s">
        <v>496</v>
      </c>
      <c r="AT455" t="s">
        <v>58</v>
      </c>
    </row>
    <row r="456" ht="29" spans="1:46">
      <c r="A456" s="31" t="s">
        <v>494</v>
      </c>
      <c r="C456" t="s">
        <v>525</v>
      </c>
      <c r="D456" s="5" t="s">
        <v>57</v>
      </c>
      <c r="E456">
        <v>2035</v>
      </c>
      <c r="F456" s="6" t="str">
        <f t="shared" si="58"/>
        <v>*0.68</v>
      </c>
      <c r="H456" t="s">
        <v>525</v>
      </c>
      <c r="I456" s="5" t="s">
        <v>57</v>
      </c>
      <c r="J456">
        <v>2050</v>
      </c>
      <c r="K456" s="38" t="str">
        <f t="shared" si="59"/>
        <v>*0.58</v>
      </c>
      <c r="P456" s="32" t="s">
        <v>525</v>
      </c>
      <c r="Q456" s="42" t="s">
        <v>57</v>
      </c>
      <c r="R456" s="32">
        <v>2035</v>
      </c>
      <c r="S456" s="43" t="str">
        <f t="shared" si="60"/>
        <v>*0.65</v>
      </c>
      <c r="U456" s="32" t="s">
        <v>525</v>
      </c>
      <c r="V456" s="42" t="s">
        <v>57</v>
      </c>
      <c r="W456" s="32">
        <v>2050</v>
      </c>
      <c r="X456" s="43" t="str">
        <f t="shared" si="61"/>
        <v>*0.55</v>
      </c>
      <c r="AC456" s="33" t="s">
        <v>525</v>
      </c>
      <c r="AD456" s="44" t="s">
        <v>57</v>
      </c>
      <c r="AE456" s="33">
        <v>2035</v>
      </c>
      <c r="AF456" s="45" t="str">
        <f t="shared" si="62"/>
        <v>*0.62</v>
      </c>
      <c r="AG456" s="43" t="str">
        <f t="shared" si="56"/>
        <v>REZoning_Sol-Win</v>
      </c>
      <c r="AI456" s="33" t="s">
        <v>525</v>
      </c>
      <c r="AJ456" s="44" t="s">
        <v>57</v>
      </c>
      <c r="AK456" s="33">
        <v>2050</v>
      </c>
      <c r="AL456" s="45" t="str">
        <f t="shared" si="63"/>
        <v>*0.51</v>
      </c>
      <c r="AM456" s="43" t="str">
        <f t="shared" si="57"/>
        <v>REZoning_Sol-Win</v>
      </c>
      <c r="AP456" t="s">
        <v>525</v>
      </c>
      <c r="AQ456" t="s">
        <v>57</v>
      </c>
      <c r="AR456">
        <v>2100</v>
      </c>
      <c r="AS456" t="s">
        <v>496</v>
      </c>
      <c r="AT456" t="s">
        <v>58</v>
      </c>
    </row>
    <row r="457" ht="29" spans="1:46">
      <c r="A457" s="31" t="s">
        <v>494</v>
      </c>
      <c r="C457" t="s">
        <v>526</v>
      </c>
      <c r="D457" s="5" t="s">
        <v>57</v>
      </c>
      <c r="E457">
        <v>2035</v>
      </c>
      <c r="F457" s="6" t="str">
        <f t="shared" si="58"/>
        <v>*0.68</v>
      </c>
      <c r="H457" t="s">
        <v>526</v>
      </c>
      <c r="I457" s="5" t="s">
        <v>57</v>
      </c>
      <c r="J457">
        <v>2050</v>
      </c>
      <c r="K457" s="38" t="str">
        <f t="shared" si="59"/>
        <v>*0.58</v>
      </c>
      <c r="P457" s="32" t="s">
        <v>526</v>
      </c>
      <c r="Q457" s="42" t="s">
        <v>57</v>
      </c>
      <c r="R457" s="32">
        <v>2035</v>
      </c>
      <c r="S457" s="43" t="str">
        <f t="shared" si="60"/>
        <v>*0.65</v>
      </c>
      <c r="U457" s="32" t="s">
        <v>526</v>
      </c>
      <c r="V457" s="42" t="s">
        <v>57</v>
      </c>
      <c r="W457" s="32">
        <v>2050</v>
      </c>
      <c r="X457" s="43" t="str">
        <f t="shared" si="61"/>
        <v>*0.55</v>
      </c>
      <c r="AC457" s="33" t="s">
        <v>526</v>
      </c>
      <c r="AD457" s="44" t="s">
        <v>57</v>
      </c>
      <c r="AE457" s="33">
        <v>2035</v>
      </c>
      <c r="AF457" s="45" t="str">
        <f t="shared" si="62"/>
        <v>*0.62</v>
      </c>
      <c r="AG457" s="43" t="str">
        <f t="shared" ref="AG457:AG520" si="64">AG456</f>
        <v>REZoning_Sol-Win</v>
      </c>
      <c r="AI457" s="33" t="s">
        <v>526</v>
      </c>
      <c r="AJ457" s="44" t="s">
        <v>57</v>
      </c>
      <c r="AK457" s="33">
        <v>2050</v>
      </c>
      <c r="AL457" s="45" t="str">
        <f t="shared" si="63"/>
        <v>*0.51</v>
      </c>
      <c r="AM457" s="43" t="str">
        <f t="shared" ref="AM457:AM520" si="65">AM456</f>
        <v>REZoning_Sol-Win</v>
      </c>
      <c r="AP457" t="s">
        <v>526</v>
      </c>
      <c r="AQ457" t="s">
        <v>57</v>
      </c>
      <c r="AR457">
        <v>2100</v>
      </c>
      <c r="AS457" t="s">
        <v>496</v>
      </c>
      <c r="AT457" t="s">
        <v>58</v>
      </c>
    </row>
    <row r="458" ht="29" spans="1:46">
      <c r="A458" s="31" t="s">
        <v>494</v>
      </c>
      <c r="C458" t="s">
        <v>527</v>
      </c>
      <c r="D458" s="5" t="s">
        <v>57</v>
      </c>
      <c r="E458">
        <v>2035</v>
      </c>
      <c r="F458" s="6" t="str">
        <f t="shared" si="58"/>
        <v>*0.68</v>
      </c>
      <c r="H458" t="s">
        <v>527</v>
      </c>
      <c r="I458" s="5" t="s">
        <v>57</v>
      </c>
      <c r="J458">
        <v>2050</v>
      </c>
      <c r="K458" s="38" t="str">
        <f t="shared" si="59"/>
        <v>*0.58</v>
      </c>
      <c r="P458" s="32" t="s">
        <v>527</v>
      </c>
      <c r="Q458" s="42" t="s">
        <v>57</v>
      </c>
      <c r="R458" s="32">
        <v>2035</v>
      </c>
      <c r="S458" s="43" t="str">
        <f t="shared" si="60"/>
        <v>*0.65</v>
      </c>
      <c r="U458" s="32" t="s">
        <v>527</v>
      </c>
      <c r="V458" s="42" t="s">
        <v>57</v>
      </c>
      <c r="W458" s="32">
        <v>2050</v>
      </c>
      <c r="X458" s="43" t="str">
        <f t="shared" si="61"/>
        <v>*0.55</v>
      </c>
      <c r="AC458" s="33" t="s">
        <v>527</v>
      </c>
      <c r="AD458" s="44" t="s">
        <v>57</v>
      </c>
      <c r="AE458" s="33">
        <v>2035</v>
      </c>
      <c r="AF458" s="45" t="str">
        <f t="shared" si="62"/>
        <v>*0.62</v>
      </c>
      <c r="AG458" s="43" t="str">
        <f t="shared" si="64"/>
        <v>REZoning_Sol-Win</v>
      </c>
      <c r="AI458" s="33" t="s">
        <v>527</v>
      </c>
      <c r="AJ458" s="44" t="s">
        <v>57</v>
      </c>
      <c r="AK458" s="33">
        <v>2050</v>
      </c>
      <c r="AL458" s="45" t="str">
        <f t="shared" si="63"/>
        <v>*0.51</v>
      </c>
      <c r="AM458" s="43" t="str">
        <f t="shared" si="65"/>
        <v>REZoning_Sol-Win</v>
      </c>
      <c r="AP458" t="s">
        <v>527</v>
      </c>
      <c r="AQ458" t="s">
        <v>57</v>
      </c>
      <c r="AR458">
        <v>2100</v>
      </c>
      <c r="AS458" t="s">
        <v>496</v>
      </c>
      <c r="AT458" t="s">
        <v>58</v>
      </c>
    </row>
    <row r="459" ht="29" spans="1:46">
      <c r="A459" s="31" t="s">
        <v>494</v>
      </c>
      <c r="C459" t="s">
        <v>528</v>
      </c>
      <c r="D459" s="5" t="s">
        <v>57</v>
      </c>
      <c r="E459">
        <v>2035</v>
      </c>
      <c r="F459" s="6" t="str">
        <f t="shared" si="58"/>
        <v>*0.68</v>
      </c>
      <c r="H459" t="s">
        <v>528</v>
      </c>
      <c r="I459" s="5" t="s">
        <v>57</v>
      </c>
      <c r="J459">
        <v>2050</v>
      </c>
      <c r="K459" s="38" t="str">
        <f t="shared" si="59"/>
        <v>*0.58</v>
      </c>
      <c r="P459" s="32" t="s">
        <v>528</v>
      </c>
      <c r="Q459" s="42" t="s">
        <v>57</v>
      </c>
      <c r="R459" s="32">
        <v>2035</v>
      </c>
      <c r="S459" s="43" t="str">
        <f t="shared" si="60"/>
        <v>*0.65</v>
      </c>
      <c r="U459" s="32" t="s">
        <v>528</v>
      </c>
      <c r="V459" s="42" t="s">
        <v>57</v>
      </c>
      <c r="W459" s="32">
        <v>2050</v>
      </c>
      <c r="X459" s="43" t="str">
        <f t="shared" si="61"/>
        <v>*0.55</v>
      </c>
      <c r="AC459" s="33" t="s">
        <v>528</v>
      </c>
      <c r="AD459" s="44" t="s">
        <v>57</v>
      </c>
      <c r="AE459" s="33">
        <v>2035</v>
      </c>
      <c r="AF459" s="45" t="str">
        <f t="shared" si="62"/>
        <v>*0.62</v>
      </c>
      <c r="AG459" s="43" t="str">
        <f t="shared" si="64"/>
        <v>REZoning_Sol-Win</v>
      </c>
      <c r="AI459" s="33" t="s">
        <v>528</v>
      </c>
      <c r="AJ459" s="44" t="s">
        <v>57</v>
      </c>
      <c r="AK459" s="33">
        <v>2050</v>
      </c>
      <c r="AL459" s="45" t="str">
        <f t="shared" si="63"/>
        <v>*0.51</v>
      </c>
      <c r="AM459" s="43" t="str">
        <f t="shared" si="65"/>
        <v>REZoning_Sol-Win</v>
      </c>
      <c r="AP459" t="s">
        <v>528</v>
      </c>
      <c r="AQ459" t="s">
        <v>57</v>
      </c>
      <c r="AR459">
        <v>2100</v>
      </c>
      <c r="AS459" t="s">
        <v>496</v>
      </c>
      <c r="AT459" t="s">
        <v>58</v>
      </c>
    </row>
    <row r="460" ht="29" spans="1:46">
      <c r="A460" s="31" t="s">
        <v>494</v>
      </c>
      <c r="C460" t="s">
        <v>529</v>
      </c>
      <c r="D460" s="5" t="s">
        <v>57</v>
      </c>
      <c r="E460">
        <v>2035</v>
      </c>
      <c r="F460" s="6" t="str">
        <f t="shared" si="58"/>
        <v>*0.68</v>
      </c>
      <c r="H460" t="s">
        <v>529</v>
      </c>
      <c r="I460" s="5" t="s">
        <v>57</v>
      </c>
      <c r="J460">
        <v>2050</v>
      </c>
      <c r="K460" s="38" t="str">
        <f t="shared" si="59"/>
        <v>*0.58</v>
      </c>
      <c r="P460" s="32" t="s">
        <v>529</v>
      </c>
      <c r="Q460" s="42" t="s">
        <v>57</v>
      </c>
      <c r="R460" s="32">
        <v>2035</v>
      </c>
      <c r="S460" s="43" t="str">
        <f t="shared" si="60"/>
        <v>*0.65</v>
      </c>
      <c r="U460" s="32" t="s">
        <v>529</v>
      </c>
      <c r="V460" s="42" t="s">
        <v>57</v>
      </c>
      <c r="W460" s="32">
        <v>2050</v>
      </c>
      <c r="X460" s="43" t="str">
        <f t="shared" si="61"/>
        <v>*0.55</v>
      </c>
      <c r="AC460" s="33" t="s">
        <v>529</v>
      </c>
      <c r="AD460" s="44" t="s">
        <v>57</v>
      </c>
      <c r="AE460" s="33">
        <v>2035</v>
      </c>
      <c r="AF460" s="45" t="str">
        <f t="shared" si="62"/>
        <v>*0.62</v>
      </c>
      <c r="AG460" s="43" t="str">
        <f t="shared" si="64"/>
        <v>REZoning_Sol-Win</v>
      </c>
      <c r="AI460" s="33" t="s">
        <v>529</v>
      </c>
      <c r="AJ460" s="44" t="s">
        <v>57</v>
      </c>
      <c r="AK460" s="33">
        <v>2050</v>
      </c>
      <c r="AL460" s="45" t="str">
        <f t="shared" si="63"/>
        <v>*0.51</v>
      </c>
      <c r="AM460" s="43" t="str">
        <f t="shared" si="65"/>
        <v>REZoning_Sol-Win</v>
      </c>
      <c r="AP460" t="s">
        <v>529</v>
      </c>
      <c r="AQ460" t="s">
        <v>57</v>
      </c>
      <c r="AR460">
        <v>2100</v>
      </c>
      <c r="AS460" t="s">
        <v>496</v>
      </c>
      <c r="AT460" t="s">
        <v>58</v>
      </c>
    </row>
    <row r="461" ht="29" spans="1:46">
      <c r="A461" s="31" t="s">
        <v>79</v>
      </c>
      <c r="C461" t="s">
        <v>530</v>
      </c>
      <c r="D461" s="5" t="s">
        <v>57</v>
      </c>
      <c r="E461">
        <v>2035</v>
      </c>
      <c r="F461" s="6" t="str">
        <f t="shared" si="58"/>
        <v>*0.6</v>
      </c>
      <c r="H461" t="s">
        <v>530</v>
      </c>
      <c r="I461" s="5" t="s">
        <v>57</v>
      </c>
      <c r="J461">
        <v>2050</v>
      </c>
      <c r="K461" s="38" t="str">
        <f t="shared" si="59"/>
        <v>*0.5</v>
      </c>
      <c r="P461" s="32" t="s">
        <v>530</v>
      </c>
      <c r="Q461" s="42" t="s">
        <v>57</v>
      </c>
      <c r="R461" s="32">
        <v>2035</v>
      </c>
      <c r="S461" s="43" t="str">
        <f t="shared" si="60"/>
        <v>*0.59</v>
      </c>
      <c r="U461" s="32" t="s">
        <v>530</v>
      </c>
      <c r="V461" s="42" t="s">
        <v>57</v>
      </c>
      <c r="W461" s="32">
        <v>2050</v>
      </c>
      <c r="X461" s="43" t="str">
        <f t="shared" si="61"/>
        <v>*0.47</v>
      </c>
      <c r="AC461" s="33" t="s">
        <v>530</v>
      </c>
      <c r="AD461" s="44" t="s">
        <v>57</v>
      </c>
      <c r="AE461" s="33">
        <v>2035</v>
      </c>
      <c r="AF461" s="45" t="str">
        <f t="shared" si="62"/>
        <v>*0.53</v>
      </c>
      <c r="AG461" s="43" t="str">
        <f t="shared" si="64"/>
        <v>REZoning_Sol-Win</v>
      </c>
      <c r="AI461" s="33" t="s">
        <v>530</v>
      </c>
      <c r="AJ461" s="44" t="s">
        <v>57</v>
      </c>
      <c r="AK461" s="33">
        <v>2050</v>
      </c>
      <c r="AL461" s="45" t="str">
        <f t="shared" si="63"/>
        <v>*0.41</v>
      </c>
      <c r="AM461" s="43" t="str">
        <f t="shared" si="65"/>
        <v>REZoning_Sol-Win</v>
      </c>
      <c r="AP461" t="s">
        <v>530</v>
      </c>
      <c r="AQ461" t="s">
        <v>57</v>
      </c>
      <c r="AR461">
        <v>2100</v>
      </c>
      <c r="AS461" t="s">
        <v>67</v>
      </c>
      <c r="AT461" t="s">
        <v>58</v>
      </c>
    </row>
    <row r="462" ht="29" spans="1:46">
      <c r="A462" s="31" t="s">
        <v>79</v>
      </c>
      <c r="C462" t="s">
        <v>531</v>
      </c>
      <c r="D462" s="5" t="s">
        <v>57</v>
      </c>
      <c r="E462">
        <v>2035</v>
      </c>
      <c r="F462" s="6" t="str">
        <f t="shared" si="58"/>
        <v>*0.6</v>
      </c>
      <c r="H462" t="s">
        <v>531</v>
      </c>
      <c r="I462" s="5" t="s">
        <v>57</v>
      </c>
      <c r="J462">
        <v>2050</v>
      </c>
      <c r="K462" s="38" t="str">
        <f t="shared" si="59"/>
        <v>*0.5</v>
      </c>
      <c r="P462" s="32" t="s">
        <v>531</v>
      </c>
      <c r="Q462" s="42" t="s">
        <v>57</v>
      </c>
      <c r="R462" s="32">
        <v>2035</v>
      </c>
      <c r="S462" s="43" t="str">
        <f t="shared" si="60"/>
        <v>*0.59</v>
      </c>
      <c r="U462" s="32" t="s">
        <v>531</v>
      </c>
      <c r="V462" s="42" t="s">
        <v>57</v>
      </c>
      <c r="W462" s="32">
        <v>2050</v>
      </c>
      <c r="X462" s="43" t="str">
        <f t="shared" si="61"/>
        <v>*0.47</v>
      </c>
      <c r="AC462" s="33" t="s">
        <v>531</v>
      </c>
      <c r="AD462" s="44" t="s">
        <v>57</v>
      </c>
      <c r="AE462" s="33">
        <v>2035</v>
      </c>
      <c r="AF462" s="45" t="str">
        <f t="shared" si="62"/>
        <v>*0.53</v>
      </c>
      <c r="AG462" s="43" t="str">
        <f t="shared" si="64"/>
        <v>REZoning_Sol-Win</v>
      </c>
      <c r="AI462" s="33" t="s">
        <v>531</v>
      </c>
      <c r="AJ462" s="44" t="s">
        <v>57</v>
      </c>
      <c r="AK462" s="33">
        <v>2050</v>
      </c>
      <c r="AL462" s="45" t="str">
        <f t="shared" si="63"/>
        <v>*0.41</v>
      </c>
      <c r="AM462" s="43" t="str">
        <f t="shared" si="65"/>
        <v>REZoning_Sol-Win</v>
      </c>
      <c r="AP462" t="s">
        <v>531</v>
      </c>
      <c r="AQ462" t="s">
        <v>57</v>
      </c>
      <c r="AR462">
        <v>2100</v>
      </c>
      <c r="AS462" t="s">
        <v>67</v>
      </c>
      <c r="AT462" t="s">
        <v>58</v>
      </c>
    </row>
    <row r="463" ht="29" spans="1:46">
      <c r="A463" s="31" t="s">
        <v>169</v>
      </c>
      <c r="C463" t="s">
        <v>532</v>
      </c>
      <c r="D463" s="5" t="s">
        <v>57</v>
      </c>
      <c r="E463">
        <v>2035</v>
      </c>
      <c r="F463" s="6" t="str">
        <f t="shared" si="58"/>
        <v>*0.61</v>
      </c>
      <c r="H463" t="s">
        <v>532</v>
      </c>
      <c r="I463" s="5" t="s">
        <v>57</v>
      </c>
      <c r="J463">
        <v>2050</v>
      </c>
      <c r="K463" s="38" t="str">
        <f t="shared" si="59"/>
        <v>*0.49</v>
      </c>
      <c r="P463" s="32" t="s">
        <v>532</v>
      </c>
      <c r="Q463" s="42" t="s">
        <v>57</v>
      </c>
      <c r="R463" s="32">
        <v>2035</v>
      </c>
      <c r="S463" s="43" t="str">
        <f t="shared" si="60"/>
        <v>*0.59</v>
      </c>
      <c r="U463" s="32" t="s">
        <v>532</v>
      </c>
      <c r="V463" s="42" t="s">
        <v>57</v>
      </c>
      <c r="W463" s="32">
        <v>2050</v>
      </c>
      <c r="X463" s="43" t="str">
        <f t="shared" si="61"/>
        <v>*0.47</v>
      </c>
      <c r="AC463" s="33" t="s">
        <v>532</v>
      </c>
      <c r="AD463" s="44" t="s">
        <v>57</v>
      </c>
      <c r="AE463" s="33">
        <v>2035</v>
      </c>
      <c r="AF463" s="45" t="str">
        <f t="shared" si="62"/>
        <v>*0.54</v>
      </c>
      <c r="AG463" s="43" t="str">
        <f t="shared" si="64"/>
        <v>REZoning_Sol-Win</v>
      </c>
      <c r="AI463" s="33" t="s">
        <v>532</v>
      </c>
      <c r="AJ463" s="44" t="s">
        <v>57</v>
      </c>
      <c r="AK463" s="33">
        <v>2050</v>
      </c>
      <c r="AL463" s="45" t="str">
        <f t="shared" si="63"/>
        <v>*0.44</v>
      </c>
      <c r="AM463" s="43" t="str">
        <f t="shared" si="65"/>
        <v>REZoning_Sol-Win</v>
      </c>
      <c r="AP463" t="s">
        <v>532</v>
      </c>
      <c r="AQ463" t="s">
        <v>57</v>
      </c>
      <c r="AR463">
        <v>2100</v>
      </c>
      <c r="AS463" t="s">
        <v>171</v>
      </c>
      <c r="AT463" t="s">
        <v>58</v>
      </c>
    </row>
    <row r="464" ht="29" spans="1:46">
      <c r="A464" s="31" t="s">
        <v>169</v>
      </c>
      <c r="C464" t="s">
        <v>533</v>
      </c>
      <c r="D464" s="5" t="s">
        <v>57</v>
      </c>
      <c r="E464">
        <v>2035</v>
      </c>
      <c r="F464" s="6" t="str">
        <f t="shared" si="58"/>
        <v>*0.61</v>
      </c>
      <c r="H464" t="s">
        <v>533</v>
      </c>
      <c r="I464" s="5" t="s">
        <v>57</v>
      </c>
      <c r="J464">
        <v>2050</v>
      </c>
      <c r="K464" s="38" t="str">
        <f t="shared" si="59"/>
        <v>*0.49</v>
      </c>
      <c r="P464" s="32" t="s">
        <v>533</v>
      </c>
      <c r="Q464" s="42" t="s">
        <v>57</v>
      </c>
      <c r="R464" s="32">
        <v>2035</v>
      </c>
      <c r="S464" s="43" t="str">
        <f t="shared" si="60"/>
        <v>*0.59</v>
      </c>
      <c r="U464" s="32" t="s">
        <v>533</v>
      </c>
      <c r="V464" s="42" t="s">
        <v>57</v>
      </c>
      <c r="W464" s="32">
        <v>2050</v>
      </c>
      <c r="X464" s="43" t="str">
        <f t="shared" si="61"/>
        <v>*0.47</v>
      </c>
      <c r="AC464" s="33" t="s">
        <v>533</v>
      </c>
      <c r="AD464" s="44" t="s">
        <v>57</v>
      </c>
      <c r="AE464" s="33">
        <v>2035</v>
      </c>
      <c r="AF464" s="45" t="str">
        <f t="shared" si="62"/>
        <v>*0.54</v>
      </c>
      <c r="AG464" s="43" t="str">
        <f t="shared" si="64"/>
        <v>REZoning_Sol-Win</v>
      </c>
      <c r="AI464" s="33" t="s">
        <v>533</v>
      </c>
      <c r="AJ464" s="44" t="s">
        <v>57</v>
      </c>
      <c r="AK464" s="33">
        <v>2050</v>
      </c>
      <c r="AL464" s="45" t="str">
        <f t="shared" si="63"/>
        <v>*0.44</v>
      </c>
      <c r="AM464" s="43" t="str">
        <f t="shared" si="65"/>
        <v>REZoning_Sol-Win</v>
      </c>
      <c r="AP464" t="s">
        <v>533</v>
      </c>
      <c r="AQ464" t="s">
        <v>57</v>
      </c>
      <c r="AR464">
        <v>2100</v>
      </c>
      <c r="AS464" t="s">
        <v>171</v>
      </c>
      <c r="AT464" t="s">
        <v>58</v>
      </c>
    </row>
    <row r="465" ht="29" spans="1:46">
      <c r="A465" s="31" t="s">
        <v>79</v>
      </c>
      <c r="C465" t="s">
        <v>534</v>
      </c>
      <c r="D465" s="5" t="s">
        <v>57</v>
      </c>
      <c r="E465">
        <v>2035</v>
      </c>
      <c r="F465" s="6" t="str">
        <f t="shared" si="58"/>
        <v>*0.6</v>
      </c>
      <c r="H465" t="s">
        <v>534</v>
      </c>
      <c r="I465" s="5" t="s">
        <v>57</v>
      </c>
      <c r="J465">
        <v>2050</v>
      </c>
      <c r="K465" s="38" t="str">
        <f t="shared" si="59"/>
        <v>*0.5</v>
      </c>
      <c r="P465" s="32" t="s">
        <v>534</v>
      </c>
      <c r="Q465" s="42" t="s">
        <v>57</v>
      </c>
      <c r="R465" s="32">
        <v>2035</v>
      </c>
      <c r="S465" s="43" t="str">
        <f t="shared" si="60"/>
        <v>*0.59</v>
      </c>
      <c r="U465" s="32" t="s">
        <v>534</v>
      </c>
      <c r="V465" s="42" t="s">
        <v>57</v>
      </c>
      <c r="W465" s="32">
        <v>2050</v>
      </c>
      <c r="X465" s="43" t="str">
        <f t="shared" si="61"/>
        <v>*0.47</v>
      </c>
      <c r="AC465" s="33" t="s">
        <v>534</v>
      </c>
      <c r="AD465" s="44" t="s">
        <v>57</v>
      </c>
      <c r="AE465" s="33">
        <v>2035</v>
      </c>
      <c r="AF465" s="45" t="str">
        <f t="shared" si="62"/>
        <v>*0.53</v>
      </c>
      <c r="AG465" s="43" t="str">
        <f t="shared" si="64"/>
        <v>REZoning_Sol-Win</v>
      </c>
      <c r="AI465" s="33" t="s">
        <v>534</v>
      </c>
      <c r="AJ465" s="44" t="s">
        <v>57</v>
      </c>
      <c r="AK465" s="33">
        <v>2050</v>
      </c>
      <c r="AL465" s="45" t="str">
        <f t="shared" si="63"/>
        <v>*0.41</v>
      </c>
      <c r="AM465" s="43" t="str">
        <f t="shared" si="65"/>
        <v>REZoning_Sol-Win</v>
      </c>
      <c r="AP465" t="s">
        <v>534</v>
      </c>
      <c r="AQ465" t="s">
        <v>57</v>
      </c>
      <c r="AR465">
        <v>2100</v>
      </c>
      <c r="AS465" t="s">
        <v>67</v>
      </c>
      <c r="AT465" t="s">
        <v>58</v>
      </c>
    </row>
    <row r="466" ht="29" spans="1:46">
      <c r="A466" s="31" t="s">
        <v>79</v>
      </c>
      <c r="C466" t="s">
        <v>535</v>
      </c>
      <c r="D466" s="5" t="s">
        <v>57</v>
      </c>
      <c r="E466">
        <v>2035</v>
      </c>
      <c r="F466" s="6" t="str">
        <f t="shared" si="58"/>
        <v>*0.6</v>
      </c>
      <c r="H466" t="s">
        <v>535</v>
      </c>
      <c r="I466" s="5" t="s">
        <v>57</v>
      </c>
      <c r="J466">
        <v>2050</v>
      </c>
      <c r="K466" s="38" t="str">
        <f t="shared" si="59"/>
        <v>*0.5</v>
      </c>
      <c r="P466" s="32" t="s">
        <v>535</v>
      </c>
      <c r="Q466" s="42" t="s">
        <v>57</v>
      </c>
      <c r="R466" s="32">
        <v>2035</v>
      </c>
      <c r="S466" s="43" t="str">
        <f t="shared" si="60"/>
        <v>*0.59</v>
      </c>
      <c r="U466" s="32" t="s">
        <v>535</v>
      </c>
      <c r="V466" s="42" t="s">
        <v>57</v>
      </c>
      <c r="W466" s="32">
        <v>2050</v>
      </c>
      <c r="X466" s="43" t="str">
        <f t="shared" si="61"/>
        <v>*0.47</v>
      </c>
      <c r="AC466" s="33" t="s">
        <v>535</v>
      </c>
      <c r="AD466" s="44" t="s">
        <v>57</v>
      </c>
      <c r="AE466" s="33">
        <v>2035</v>
      </c>
      <c r="AF466" s="45" t="str">
        <f t="shared" si="62"/>
        <v>*0.53</v>
      </c>
      <c r="AG466" s="43" t="str">
        <f t="shared" si="64"/>
        <v>REZoning_Sol-Win</v>
      </c>
      <c r="AI466" s="33" t="s">
        <v>535</v>
      </c>
      <c r="AJ466" s="44" t="s">
        <v>57</v>
      </c>
      <c r="AK466" s="33">
        <v>2050</v>
      </c>
      <c r="AL466" s="45" t="str">
        <f t="shared" si="63"/>
        <v>*0.41</v>
      </c>
      <c r="AM466" s="43" t="str">
        <f t="shared" si="65"/>
        <v>REZoning_Sol-Win</v>
      </c>
      <c r="AP466" t="s">
        <v>535</v>
      </c>
      <c r="AQ466" t="s">
        <v>57</v>
      </c>
      <c r="AR466">
        <v>2100</v>
      </c>
      <c r="AS466" t="s">
        <v>67</v>
      </c>
      <c r="AT466" t="s">
        <v>58</v>
      </c>
    </row>
    <row r="467" ht="29" spans="1:46">
      <c r="A467" s="31" t="s">
        <v>79</v>
      </c>
      <c r="C467" t="s">
        <v>536</v>
      </c>
      <c r="D467" s="5" t="s">
        <v>57</v>
      </c>
      <c r="E467">
        <v>2035</v>
      </c>
      <c r="F467" s="6" t="str">
        <f t="shared" si="58"/>
        <v>*0.6</v>
      </c>
      <c r="H467" t="s">
        <v>536</v>
      </c>
      <c r="I467" s="5" t="s">
        <v>57</v>
      </c>
      <c r="J467">
        <v>2050</v>
      </c>
      <c r="K467" s="38" t="str">
        <f t="shared" si="59"/>
        <v>*0.5</v>
      </c>
      <c r="P467" s="32" t="s">
        <v>536</v>
      </c>
      <c r="Q467" s="42" t="s">
        <v>57</v>
      </c>
      <c r="R467" s="32">
        <v>2035</v>
      </c>
      <c r="S467" s="43" t="str">
        <f t="shared" si="60"/>
        <v>*0.59</v>
      </c>
      <c r="U467" s="32" t="s">
        <v>536</v>
      </c>
      <c r="V467" s="42" t="s">
        <v>57</v>
      </c>
      <c r="W467" s="32">
        <v>2050</v>
      </c>
      <c r="X467" s="43" t="str">
        <f t="shared" si="61"/>
        <v>*0.47</v>
      </c>
      <c r="AC467" s="33" t="s">
        <v>536</v>
      </c>
      <c r="AD467" s="44" t="s">
        <v>57</v>
      </c>
      <c r="AE467" s="33">
        <v>2035</v>
      </c>
      <c r="AF467" s="45" t="str">
        <f t="shared" si="62"/>
        <v>*0.53</v>
      </c>
      <c r="AG467" s="43" t="str">
        <f t="shared" si="64"/>
        <v>REZoning_Sol-Win</v>
      </c>
      <c r="AI467" s="33" t="s">
        <v>536</v>
      </c>
      <c r="AJ467" s="44" t="s">
        <v>57</v>
      </c>
      <c r="AK467" s="33">
        <v>2050</v>
      </c>
      <c r="AL467" s="45" t="str">
        <f t="shared" si="63"/>
        <v>*0.41</v>
      </c>
      <c r="AM467" s="43" t="str">
        <f t="shared" si="65"/>
        <v>REZoning_Sol-Win</v>
      </c>
      <c r="AP467" t="s">
        <v>536</v>
      </c>
      <c r="AQ467" t="s">
        <v>57</v>
      </c>
      <c r="AR467">
        <v>2100</v>
      </c>
      <c r="AS467" t="s">
        <v>67</v>
      </c>
      <c r="AT467" t="s">
        <v>58</v>
      </c>
    </row>
    <row r="468" ht="29" spans="1:46">
      <c r="A468" s="31" t="s">
        <v>65</v>
      </c>
      <c r="C468" t="s">
        <v>537</v>
      </c>
      <c r="D468" s="5" t="s">
        <v>57</v>
      </c>
      <c r="E468">
        <v>2035</v>
      </c>
      <c r="F468" s="6" t="str">
        <f t="shared" si="58"/>
        <v>*0.61</v>
      </c>
      <c r="H468" t="s">
        <v>537</v>
      </c>
      <c r="I468" s="5" t="s">
        <v>57</v>
      </c>
      <c r="J468">
        <v>2050</v>
      </c>
      <c r="K468" s="38" t="str">
        <f t="shared" si="59"/>
        <v>*0.5</v>
      </c>
      <c r="P468" s="32" t="s">
        <v>537</v>
      </c>
      <c r="Q468" s="42" t="s">
        <v>57</v>
      </c>
      <c r="R468" s="32">
        <v>2035</v>
      </c>
      <c r="S468" s="43" t="str">
        <f t="shared" si="60"/>
        <v>*0.58</v>
      </c>
      <c r="U468" s="32" t="s">
        <v>537</v>
      </c>
      <c r="V468" s="42" t="s">
        <v>57</v>
      </c>
      <c r="W468" s="32">
        <v>2050</v>
      </c>
      <c r="X468" s="43" t="str">
        <f t="shared" si="61"/>
        <v>*0.47</v>
      </c>
      <c r="AC468" s="33" t="s">
        <v>537</v>
      </c>
      <c r="AD468" s="44" t="s">
        <v>57</v>
      </c>
      <c r="AE468" s="33">
        <v>2035</v>
      </c>
      <c r="AF468" s="45" t="str">
        <f t="shared" si="62"/>
        <v>*0.53</v>
      </c>
      <c r="AG468" s="43" t="str">
        <f t="shared" si="64"/>
        <v>REZoning_Sol-Win</v>
      </c>
      <c r="AI468" s="33" t="s">
        <v>537</v>
      </c>
      <c r="AJ468" s="44" t="s">
        <v>57</v>
      </c>
      <c r="AK468" s="33">
        <v>2050</v>
      </c>
      <c r="AL468" s="45" t="str">
        <f t="shared" si="63"/>
        <v>*0.41</v>
      </c>
      <c r="AM468" s="43" t="str">
        <f t="shared" si="65"/>
        <v>REZoning_Sol-Win</v>
      </c>
      <c r="AP468" t="s">
        <v>537</v>
      </c>
      <c r="AQ468" t="s">
        <v>57</v>
      </c>
      <c r="AR468">
        <v>2100</v>
      </c>
      <c r="AS468" t="s">
        <v>67</v>
      </c>
      <c r="AT468" t="s">
        <v>58</v>
      </c>
    </row>
    <row r="469" ht="29" spans="1:46">
      <c r="A469" s="31" t="s">
        <v>65</v>
      </c>
      <c r="C469" t="s">
        <v>538</v>
      </c>
      <c r="D469" s="5" t="s">
        <v>57</v>
      </c>
      <c r="E469">
        <v>2035</v>
      </c>
      <c r="F469" s="6" t="str">
        <f t="shared" si="58"/>
        <v>*0.61</v>
      </c>
      <c r="H469" t="s">
        <v>538</v>
      </c>
      <c r="I469" s="5" t="s">
        <v>57</v>
      </c>
      <c r="J469">
        <v>2050</v>
      </c>
      <c r="K469" s="38" t="str">
        <f t="shared" si="59"/>
        <v>*0.5</v>
      </c>
      <c r="P469" s="32" t="s">
        <v>538</v>
      </c>
      <c r="Q469" s="42" t="s">
        <v>57</v>
      </c>
      <c r="R469" s="32">
        <v>2035</v>
      </c>
      <c r="S469" s="43" t="str">
        <f t="shared" si="60"/>
        <v>*0.58</v>
      </c>
      <c r="U469" s="32" t="s">
        <v>538</v>
      </c>
      <c r="V469" s="42" t="s">
        <v>57</v>
      </c>
      <c r="W469" s="32">
        <v>2050</v>
      </c>
      <c r="X469" s="43" t="str">
        <f t="shared" si="61"/>
        <v>*0.47</v>
      </c>
      <c r="AC469" s="33" t="s">
        <v>538</v>
      </c>
      <c r="AD469" s="44" t="s">
        <v>57</v>
      </c>
      <c r="AE469" s="33">
        <v>2035</v>
      </c>
      <c r="AF469" s="45" t="str">
        <f t="shared" si="62"/>
        <v>*0.53</v>
      </c>
      <c r="AG469" s="43" t="str">
        <f t="shared" si="64"/>
        <v>REZoning_Sol-Win</v>
      </c>
      <c r="AI469" s="33" t="s">
        <v>538</v>
      </c>
      <c r="AJ469" s="44" t="s">
        <v>57</v>
      </c>
      <c r="AK469" s="33">
        <v>2050</v>
      </c>
      <c r="AL469" s="45" t="str">
        <f t="shared" si="63"/>
        <v>*0.41</v>
      </c>
      <c r="AM469" s="43" t="str">
        <f t="shared" si="65"/>
        <v>REZoning_Sol-Win</v>
      </c>
      <c r="AP469" t="s">
        <v>538</v>
      </c>
      <c r="AQ469" t="s">
        <v>57</v>
      </c>
      <c r="AR469">
        <v>2100</v>
      </c>
      <c r="AS469" t="s">
        <v>67</v>
      </c>
      <c r="AT469" t="s">
        <v>58</v>
      </c>
    </row>
    <row r="470" ht="29" spans="1:46">
      <c r="A470" s="31" t="s">
        <v>79</v>
      </c>
      <c r="C470" t="s">
        <v>539</v>
      </c>
      <c r="D470" s="5" t="s">
        <v>57</v>
      </c>
      <c r="E470">
        <v>2035</v>
      </c>
      <c r="F470" s="6" t="str">
        <f t="shared" si="58"/>
        <v>*0.6</v>
      </c>
      <c r="H470" t="s">
        <v>539</v>
      </c>
      <c r="I470" s="5" t="s">
        <v>57</v>
      </c>
      <c r="J470">
        <v>2050</v>
      </c>
      <c r="K470" s="38" t="str">
        <f t="shared" si="59"/>
        <v>*0.5</v>
      </c>
      <c r="P470" s="32" t="s">
        <v>539</v>
      </c>
      <c r="Q470" s="42" t="s">
        <v>57</v>
      </c>
      <c r="R470" s="32">
        <v>2035</v>
      </c>
      <c r="S470" s="43" t="str">
        <f t="shared" si="60"/>
        <v>*0.59</v>
      </c>
      <c r="U470" s="32" t="s">
        <v>539</v>
      </c>
      <c r="V470" s="42" t="s">
        <v>57</v>
      </c>
      <c r="W470" s="32">
        <v>2050</v>
      </c>
      <c r="X470" s="43" t="str">
        <f t="shared" si="61"/>
        <v>*0.47</v>
      </c>
      <c r="AC470" s="33" t="s">
        <v>539</v>
      </c>
      <c r="AD470" s="44" t="s">
        <v>57</v>
      </c>
      <c r="AE470" s="33">
        <v>2035</v>
      </c>
      <c r="AF470" s="45" t="str">
        <f t="shared" si="62"/>
        <v>*0.53</v>
      </c>
      <c r="AG470" s="43" t="str">
        <f t="shared" si="64"/>
        <v>REZoning_Sol-Win</v>
      </c>
      <c r="AI470" s="33" t="s">
        <v>539</v>
      </c>
      <c r="AJ470" s="44" t="s">
        <v>57</v>
      </c>
      <c r="AK470" s="33">
        <v>2050</v>
      </c>
      <c r="AL470" s="45" t="str">
        <f t="shared" si="63"/>
        <v>*0.41</v>
      </c>
      <c r="AM470" s="43" t="str">
        <f t="shared" si="65"/>
        <v>REZoning_Sol-Win</v>
      </c>
      <c r="AP470" t="s">
        <v>539</v>
      </c>
      <c r="AQ470" t="s">
        <v>57</v>
      </c>
      <c r="AR470">
        <v>2100</v>
      </c>
      <c r="AS470" t="s">
        <v>67</v>
      </c>
      <c r="AT470" t="s">
        <v>58</v>
      </c>
    </row>
    <row r="471" ht="29" spans="1:46">
      <c r="A471" s="31" t="s">
        <v>79</v>
      </c>
      <c r="C471" t="s">
        <v>540</v>
      </c>
      <c r="D471" s="5" t="s">
        <v>57</v>
      </c>
      <c r="E471">
        <v>2035</v>
      </c>
      <c r="F471" s="6" t="str">
        <f t="shared" si="58"/>
        <v>*0.6</v>
      </c>
      <c r="H471" t="s">
        <v>540</v>
      </c>
      <c r="I471" s="5" t="s">
        <v>57</v>
      </c>
      <c r="J471">
        <v>2050</v>
      </c>
      <c r="K471" s="38" t="str">
        <f t="shared" si="59"/>
        <v>*0.5</v>
      </c>
      <c r="P471" s="32" t="s">
        <v>540</v>
      </c>
      <c r="Q471" s="42" t="s">
        <v>57</v>
      </c>
      <c r="R471" s="32">
        <v>2035</v>
      </c>
      <c r="S471" s="43" t="str">
        <f t="shared" si="60"/>
        <v>*0.59</v>
      </c>
      <c r="U471" s="32" t="s">
        <v>540</v>
      </c>
      <c r="V471" s="42" t="s">
        <v>57</v>
      </c>
      <c r="W471" s="32">
        <v>2050</v>
      </c>
      <c r="X471" s="43" t="str">
        <f t="shared" si="61"/>
        <v>*0.47</v>
      </c>
      <c r="AC471" s="33" t="s">
        <v>540</v>
      </c>
      <c r="AD471" s="44" t="s">
        <v>57</v>
      </c>
      <c r="AE471" s="33">
        <v>2035</v>
      </c>
      <c r="AF471" s="45" t="str">
        <f t="shared" si="62"/>
        <v>*0.53</v>
      </c>
      <c r="AG471" s="43" t="str">
        <f t="shared" si="64"/>
        <v>REZoning_Sol-Win</v>
      </c>
      <c r="AI471" s="33" t="s">
        <v>540</v>
      </c>
      <c r="AJ471" s="44" t="s">
        <v>57</v>
      </c>
      <c r="AK471" s="33">
        <v>2050</v>
      </c>
      <c r="AL471" s="45" t="str">
        <f t="shared" si="63"/>
        <v>*0.41</v>
      </c>
      <c r="AM471" s="43" t="str">
        <f t="shared" si="65"/>
        <v>REZoning_Sol-Win</v>
      </c>
      <c r="AP471" t="s">
        <v>540</v>
      </c>
      <c r="AQ471" t="s">
        <v>57</v>
      </c>
      <c r="AR471">
        <v>2100</v>
      </c>
      <c r="AS471" t="s">
        <v>67</v>
      </c>
      <c r="AT471" t="s">
        <v>58</v>
      </c>
    </row>
    <row r="472" ht="29" spans="1:46">
      <c r="A472" s="31" t="s">
        <v>55</v>
      </c>
      <c r="C472" t="s">
        <v>541</v>
      </c>
      <c r="D472" s="5" t="s">
        <v>57</v>
      </c>
      <c r="E472">
        <v>2035</v>
      </c>
      <c r="F472" s="6" t="str">
        <f t="shared" si="58"/>
        <v>*0.6</v>
      </c>
      <c r="H472" t="s">
        <v>541</v>
      </c>
      <c r="I472" s="5" t="s">
        <v>57</v>
      </c>
      <c r="J472">
        <v>2050</v>
      </c>
      <c r="K472" s="38" t="str">
        <f t="shared" si="59"/>
        <v>*0.49</v>
      </c>
      <c r="P472" s="32" t="s">
        <v>541</v>
      </c>
      <c r="Q472" s="42" t="s">
        <v>57</v>
      </c>
      <c r="R472" s="32">
        <v>2035</v>
      </c>
      <c r="S472" s="43" t="str">
        <f t="shared" si="60"/>
        <v>*0.58</v>
      </c>
      <c r="U472" s="32" t="s">
        <v>541</v>
      </c>
      <c r="V472" s="42" t="s">
        <v>57</v>
      </c>
      <c r="W472" s="32">
        <v>2050</v>
      </c>
      <c r="X472" s="43" t="str">
        <f t="shared" si="61"/>
        <v>*0.47</v>
      </c>
      <c r="AC472" s="33" t="s">
        <v>541</v>
      </c>
      <c r="AD472" s="44" t="s">
        <v>57</v>
      </c>
      <c r="AE472" s="33">
        <v>2035</v>
      </c>
      <c r="AF472" s="45" t="str">
        <f t="shared" si="62"/>
        <v>*0.55</v>
      </c>
      <c r="AG472" s="43" t="str">
        <f t="shared" si="64"/>
        <v>REZoning_Sol-Win</v>
      </c>
      <c r="AI472" s="33" t="s">
        <v>541</v>
      </c>
      <c r="AJ472" s="44" t="s">
        <v>57</v>
      </c>
      <c r="AK472" s="33">
        <v>2050</v>
      </c>
      <c r="AL472" s="45" t="str">
        <f t="shared" si="63"/>
        <v>*0.42</v>
      </c>
      <c r="AM472" s="43" t="str">
        <f t="shared" si="65"/>
        <v>REZoning_Sol-Win</v>
      </c>
      <c r="AP472" t="s">
        <v>541</v>
      </c>
      <c r="AQ472" t="s">
        <v>57</v>
      </c>
      <c r="AR472">
        <v>2100</v>
      </c>
      <c r="AS472" t="s">
        <v>59</v>
      </c>
      <c r="AT472" t="s">
        <v>58</v>
      </c>
    </row>
    <row r="473" ht="29" spans="1:46">
      <c r="A473" s="31" t="s">
        <v>55</v>
      </c>
      <c r="C473" t="s">
        <v>542</v>
      </c>
      <c r="D473" s="5" t="s">
        <v>57</v>
      </c>
      <c r="E473">
        <v>2035</v>
      </c>
      <c r="F473" s="6" t="str">
        <f t="shared" si="58"/>
        <v>*0.6</v>
      </c>
      <c r="H473" t="s">
        <v>542</v>
      </c>
      <c r="I473" s="5" t="s">
        <v>57</v>
      </c>
      <c r="J473">
        <v>2050</v>
      </c>
      <c r="K473" s="38" t="str">
        <f t="shared" si="59"/>
        <v>*0.49</v>
      </c>
      <c r="P473" s="32" t="s">
        <v>542</v>
      </c>
      <c r="Q473" s="42" t="s">
        <v>57</v>
      </c>
      <c r="R473" s="32">
        <v>2035</v>
      </c>
      <c r="S473" s="43" t="str">
        <f t="shared" si="60"/>
        <v>*0.58</v>
      </c>
      <c r="U473" s="32" t="s">
        <v>542</v>
      </c>
      <c r="V473" s="42" t="s">
        <v>57</v>
      </c>
      <c r="W473" s="32">
        <v>2050</v>
      </c>
      <c r="X473" s="43" t="str">
        <f t="shared" si="61"/>
        <v>*0.47</v>
      </c>
      <c r="AC473" s="33" t="s">
        <v>542</v>
      </c>
      <c r="AD473" s="44" t="s">
        <v>57</v>
      </c>
      <c r="AE473" s="33">
        <v>2035</v>
      </c>
      <c r="AF473" s="45" t="str">
        <f t="shared" si="62"/>
        <v>*0.55</v>
      </c>
      <c r="AG473" s="43" t="str">
        <f t="shared" si="64"/>
        <v>REZoning_Sol-Win</v>
      </c>
      <c r="AI473" s="33" t="s">
        <v>542</v>
      </c>
      <c r="AJ473" s="44" t="s">
        <v>57</v>
      </c>
      <c r="AK473" s="33">
        <v>2050</v>
      </c>
      <c r="AL473" s="45" t="str">
        <f t="shared" si="63"/>
        <v>*0.42</v>
      </c>
      <c r="AM473" s="43" t="str">
        <f t="shared" si="65"/>
        <v>REZoning_Sol-Win</v>
      </c>
      <c r="AP473" t="s">
        <v>542</v>
      </c>
      <c r="AQ473" t="s">
        <v>57</v>
      </c>
      <c r="AR473">
        <v>2100</v>
      </c>
      <c r="AS473" t="s">
        <v>59</v>
      </c>
      <c r="AT473" t="s">
        <v>58</v>
      </c>
    </row>
    <row r="474" ht="29" spans="1:46">
      <c r="A474" s="31" t="s">
        <v>55</v>
      </c>
      <c r="C474" t="s">
        <v>543</v>
      </c>
      <c r="D474" s="5" t="s">
        <v>57</v>
      </c>
      <c r="E474">
        <v>2035</v>
      </c>
      <c r="F474" s="6" t="str">
        <f t="shared" si="58"/>
        <v>*0.6</v>
      </c>
      <c r="H474" t="s">
        <v>543</v>
      </c>
      <c r="I474" s="5" t="s">
        <v>57</v>
      </c>
      <c r="J474">
        <v>2050</v>
      </c>
      <c r="K474" s="38" t="str">
        <f t="shared" si="59"/>
        <v>*0.49</v>
      </c>
      <c r="P474" s="32" t="s">
        <v>543</v>
      </c>
      <c r="Q474" s="42" t="s">
        <v>57</v>
      </c>
      <c r="R474" s="32">
        <v>2035</v>
      </c>
      <c r="S474" s="43" t="str">
        <f t="shared" si="60"/>
        <v>*0.58</v>
      </c>
      <c r="U474" s="32" t="s">
        <v>543</v>
      </c>
      <c r="V474" s="42" t="s">
        <v>57</v>
      </c>
      <c r="W474" s="32">
        <v>2050</v>
      </c>
      <c r="X474" s="43" t="str">
        <f t="shared" si="61"/>
        <v>*0.47</v>
      </c>
      <c r="AC474" s="33" t="s">
        <v>543</v>
      </c>
      <c r="AD474" s="44" t="s">
        <v>57</v>
      </c>
      <c r="AE474" s="33">
        <v>2035</v>
      </c>
      <c r="AF474" s="45" t="str">
        <f t="shared" si="62"/>
        <v>*0.55</v>
      </c>
      <c r="AG474" s="43" t="str">
        <f t="shared" si="64"/>
        <v>REZoning_Sol-Win</v>
      </c>
      <c r="AI474" s="33" t="s">
        <v>543</v>
      </c>
      <c r="AJ474" s="44" t="s">
        <v>57</v>
      </c>
      <c r="AK474" s="33">
        <v>2050</v>
      </c>
      <c r="AL474" s="45" t="str">
        <f t="shared" si="63"/>
        <v>*0.42</v>
      </c>
      <c r="AM474" s="43" t="str">
        <f t="shared" si="65"/>
        <v>REZoning_Sol-Win</v>
      </c>
      <c r="AP474" t="s">
        <v>543</v>
      </c>
      <c r="AQ474" t="s">
        <v>57</v>
      </c>
      <c r="AR474">
        <v>2100</v>
      </c>
      <c r="AS474" t="s">
        <v>59</v>
      </c>
      <c r="AT474" t="s">
        <v>58</v>
      </c>
    </row>
    <row r="475" ht="29" spans="1:46">
      <c r="A475" s="31" t="s">
        <v>55</v>
      </c>
      <c r="C475" t="s">
        <v>544</v>
      </c>
      <c r="D475" s="5" t="s">
        <v>57</v>
      </c>
      <c r="E475">
        <v>2035</v>
      </c>
      <c r="F475" s="6" t="str">
        <f t="shared" si="58"/>
        <v>*0.6</v>
      </c>
      <c r="H475" t="s">
        <v>544</v>
      </c>
      <c r="I475" s="5" t="s">
        <v>57</v>
      </c>
      <c r="J475">
        <v>2050</v>
      </c>
      <c r="K475" s="38" t="str">
        <f t="shared" si="59"/>
        <v>*0.49</v>
      </c>
      <c r="P475" s="32" t="s">
        <v>544</v>
      </c>
      <c r="Q475" s="42" t="s">
        <v>57</v>
      </c>
      <c r="R475" s="32">
        <v>2035</v>
      </c>
      <c r="S475" s="43" t="str">
        <f t="shared" si="60"/>
        <v>*0.58</v>
      </c>
      <c r="U475" s="32" t="s">
        <v>544</v>
      </c>
      <c r="V475" s="42" t="s">
        <v>57</v>
      </c>
      <c r="W475" s="32">
        <v>2050</v>
      </c>
      <c r="X475" s="43" t="str">
        <f t="shared" si="61"/>
        <v>*0.47</v>
      </c>
      <c r="AC475" s="33" t="s">
        <v>544</v>
      </c>
      <c r="AD475" s="44" t="s">
        <v>57</v>
      </c>
      <c r="AE475" s="33">
        <v>2035</v>
      </c>
      <c r="AF475" s="45" t="str">
        <f t="shared" si="62"/>
        <v>*0.55</v>
      </c>
      <c r="AG475" s="43" t="str">
        <f t="shared" si="64"/>
        <v>REZoning_Sol-Win</v>
      </c>
      <c r="AI475" s="33" t="s">
        <v>544</v>
      </c>
      <c r="AJ475" s="44" t="s">
        <v>57</v>
      </c>
      <c r="AK475" s="33">
        <v>2050</v>
      </c>
      <c r="AL475" s="45" t="str">
        <f t="shared" si="63"/>
        <v>*0.42</v>
      </c>
      <c r="AM475" s="43" t="str">
        <f t="shared" si="65"/>
        <v>REZoning_Sol-Win</v>
      </c>
      <c r="AP475" t="s">
        <v>544</v>
      </c>
      <c r="AQ475" t="s">
        <v>57</v>
      </c>
      <c r="AR475">
        <v>2100</v>
      </c>
      <c r="AS475" t="s">
        <v>59</v>
      </c>
      <c r="AT475" t="s">
        <v>58</v>
      </c>
    </row>
    <row r="476" ht="29" spans="1:46">
      <c r="A476" s="31" t="s">
        <v>55</v>
      </c>
      <c r="C476" t="s">
        <v>545</v>
      </c>
      <c r="D476" s="5" t="s">
        <v>57</v>
      </c>
      <c r="E476">
        <v>2035</v>
      </c>
      <c r="F476" s="6" t="str">
        <f t="shared" si="58"/>
        <v>*0.6</v>
      </c>
      <c r="H476" t="s">
        <v>545</v>
      </c>
      <c r="I476" s="5" t="s">
        <v>57</v>
      </c>
      <c r="J476">
        <v>2050</v>
      </c>
      <c r="K476" s="38" t="str">
        <f t="shared" si="59"/>
        <v>*0.49</v>
      </c>
      <c r="P476" s="32" t="s">
        <v>545</v>
      </c>
      <c r="Q476" s="42" t="s">
        <v>57</v>
      </c>
      <c r="R476" s="32">
        <v>2035</v>
      </c>
      <c r="S476" s="43" t="str">
        <f t="shared" si="60"/>
        <v>*0.58</v>
      </c>
      <c r="U476" s="32" t="s">
        <v>545</v>
      </c>
      <c r="V476" s="42" t="s">
        <v>57</v>
      </c>
      <c r="W476" s="32">
        <v>2050</v>
      </c>
      <c r="X476" s="43" t="str">
        <f t="shared" si="61"/>
        <v>*0.47</v>
      </c>
      <c r="AC476" s="33" t="s">
        <v>545</v>
      </c>
      <c r="AD476" s="44" t="s">
        <v>57</v>
      </c>
      <c r="AE476" s="33">
        <v>2035</v>
      </c>
      <c r="AF476" s="45" t="str">
        <f t="shared" si="62"/>
        <v>*0.55</v>
      </c>
      <c r="AG476" s="43" t="str">
        <f t="shared" si="64"/>
        <v>REZoning_Sol-Win</v>
      </c>
      <c r="AI476" s="33" t="s">
        <v>545</v>
      </c>
      <c r="AJ476" s="44" t="s">
        <v>57</v>
      </c>
      <c r="AK476" s="33">
        <v>2050</v>
      </c>
      <c r="AL476" s="45" t="str">
        <f t="shared" si="63"/>
        <v>*0.42</v>
      </c>
      <c r="AM476" s="43" t="str">
        <f t="shared" si="65"/>
        <v>REZoning_Sol-Win</v>
      </c>
      <c r="AP476" t="s">
        <v>545</v>
      </c>
      <c r="AQ476" t="s">
        <v>57</v>
      </c>
      <c r="AR476">
        <v>2100</v>
      </c>
      <c r="AS476" t="s">
        <v>59</v>
      </c>
      <c r="AT476" t="s">
        <v>58</v>
      </c>
    </row>
    <row r="477" ht="29" spans="1:46">
      <c r="A477" s="31" t="s">
        <v>65</v>
      </c>
      <c r="C477" t="s">
        <v>546</v>
      </c>
      <c r="D477" s="5" t="s">
        <v>57</v>
      </c>
      <c r="E477">
        <v>2035</v>
      </c>
      <c r="F477" s="6" t="str">
        <f t="shared" si="58"/>
        <v>*0.61</v>
      </c>
      <c r="H477" t="s">
        <v>546</v>
      </c>
      <c r="I477" s="5" t="s">
        <v>57</v>
      </c>
      <c r="J477">
        <v>2050</v>
      </c>
      <c r="K477" s="38" t="str">
        <f t="shared" si="59"/>
        <v>*0.5</v>
      </c>
      <c r="P477" s="32" t="s">
        <v>546</v>
      </c>
      <c r="Q477" s="42" t="s">
        <v>57</v>
      </c>
      <c r="R477" s="32">
        <v>2035</v>
      </c>
      <c r="S477" s="43" t="str">
        <f t="shared" si="60"/>
        <v>*0.58</v>
      </c>
      <c r="U477" s="32" t="s">
        <v>546</v>
      </c>
      <c r="V477" s="42" t="s">
        <v>57</v>
      </c>
      <c r="W477" s="32">
        <v>2050</v>
      </c>
      <c r="X477" s="43" t="str">
        <f t="shared" si="61"/>
        <v>*0.47</v>
      </c>
      <c r="AC477" s="33" t="s">
        <v>546</v>
      </c>
      <c r="AD477" s="44" t="s">
        <v>57</v>
      </c>
      <c r="AE477" s="33">
        <v>2035</v>
      </c>
      <c r="AF477" s="45" t="str">
        <f t="shared" si="62"/>
        <v>*0.53</v>
      </c>
      <c r="AG477" s="43" t="str">
        <f t="shared" si="64"/>
        <v>REZoning_Sol-Win</v>
      </c>
      <c r="AI477" s="33" t="s">
        <v>546</v>
      </c>
      <c r="AJ477" s="44" t="s">
        <v>57</v>
      </c>
      <c r="AK477" s="33">
        <v>2050</v>
      </c>
      <c r="AL477" s="45" t="str">
        <f t="shared" si="63"/>
        <v>*0.41</v>
      </c>
      <c r="AM477" s="43" t="str">
        <f t="shared" si="65"/>
        <v>REZoning_Sol-Win</v>
      </c>
      <c r="AP477" t="s">
        <v>546</v>
      </c>
      <c r="AQ477" t="s">
        <v>57</v>
      </c>
      <c r="AR477">
        <v>2100</v>
      </c>
      <c r="AS477" t="s">
        <v>67</v>
      </c>
      <c r="AT477" t="s">
        <v>58</v>
      </c>
    </row>
    <row r="478" ht="29" spans="1:46">
      <c r="A478" s="31" t="s">
        <v>73</v>
      </c>
      <c r="C478" t="s">
        <v>547</v>
      </c>
      <c r="D478" s="5" t="s">
        <v>57</v>
      </c>
      <c r="E478">
        <v>2035</v>
      </c>
      <c r="F478" s="6" t="str">
        <f t="shared" si="58"/>
        <v>*0.63</v>
      </c>
      <c r="H478" t="s">
        <v>547</v>
      </c>
      <c r="I478" s="5" t="s">
        <v>57</v>
      </c>
      <c r="J478">
        <v>2050</v>
      </c>
      <c r="K478" s="38" t="str">
        <f t="shared" si="59"/>
        <v>*0.54</v>
      </c>
      <c r="P478" s="32" t="s">
        <v>547</v>
      </c>
      <c r="Q478" s="42" t="s">
        <v>57</v>
      </c>
      <c r="R478" s="32">
        <v>2035</v>
      </c>
      <c r="S478" s="43" t="str">
        <f t="shared" si="60"/>
        <v>*0.62</v>
      </c>
      <c r="U478" s="32" t="s">
        <v>547</v>
      </c>
      <c r="V478" s="42" t="s">
        <v>57</v>
      </c>
      <c r="W478" s="32">
        <v>2050</v>
      </c>
      <c r="X478" s="43" t="str">
        <f t="shared" si="61"/>
        <v>*0.51</v>
      </c>
      <c r="AC478" s="33" t="s">
        <v>547</v>
      </c>
      <c r="AD478" s="44" t="s">
        <v>57</v>
      </c>
      <c r="AE478" s="33">
        <v>2035</v>
      </c>
      <c r="AF478" s="45" t="str">
        <f t="shared" si="62"/>
        <v>*0.58</v>
      </c>
      <c r="AG478" s="43" t="str">
        <f t="shared" si="64"/>
        <v>REZoning_Sol-Win</v>
      </c>
      <c r="AI478" s="33" t="s">
        <v>547</v>
      </c>
      <c r="AJ478" s="44" t="s">
        <v>57</v>
      </c>
      <c r="AK478" s="33">
        <v>2050</v>
      </c>
      <c r="AL478" s="45" t="str">
        <f t="shared" si="63"/>
        <v>*0.49</v>
      </c>
      <c r="AM478" s="43" t="str">
        <f t="shared" si="65"/>
        <v>REZoning_Sol-Win</v>
      </c>
      <c r="AP478" t="s">
        <v>547</v>
      </c>
      <c r="AQ478" t="s">
        <v>57</v>
      </c>
      <c r="AR478">
        <v>2100</v>
      </c>
      <c r="AS478" t="s">
        <v>75</v>
      </c>
      <c r="AT478" t="s">
        <v>58</v>
      </c>
    </row>
    <row r="479" ht="29" spans="1:46">
      <c r="A479" s="31" t="s">
        <v>73</v>
      </c>
      <c r="C479" t="s">
        <v>548</v>
      </c>
      <c r="D479" s="5" t="s">
        <v>57</v>
      </c>
      <c r="E479">
        <v>2035</v>
      </c>
      <c r="F479" s="6" t="str">
        <f t="shared" si="58"/>
        <v>*0.63</v>
      </c>
      <c r="H479" t="s">
        <v>548</v>
      </c>
      <c r="I479" s="5" t="s">
        <v>57</v>
      </c>
      <c r="J479">
        <v>2050</v>
      </c>
      <c r="K479" s="38" t="str">
        <f t="shared" si="59"/>
        <v>*0.54</v>
      </c>
      <c r="P479" s="32" t="s">
        <v>548</v>
      </c>
      <c r="Q479" s="42" t="s">
        <v>57</v>
      </c>
      <c r="R479" s="32">
        <v>2035</v>
      </c>
      <c r="S479" s="43" t="str">
        <f t="shared" si="60"/>
        <v>*0.62</v>
      </c>
      <c r="U479" s="32" t="s">
        <v>548</v>
      </c>
      <c r="V479" s="42" t="s">
        <v>57</v>
      </c>
      <c r="W479" s="32">
        <v>2050</v>
      </c>
      <c r="X479" s="43" t="str">
        <f t="shared" si="61"/>
        <v>*0.51</v>
      </c>
      <c r="AC479" s="33" t="s">
        <v>548</v>
      </c>
      <c r="AD479" s="44" t="s">
        <v>57</v>
      </c>
      <c r="AE479" s="33">
        <v>2035</v>
      </c>
      <c r="AF479" s="45" t="str">
        <f t="shared" si="62"/>
        <v>*0.58</v>
      </c>
      <c r="AG479" s="43" t="str">
        <f t="shared" si="64"/>
        <v>REZoning_Sol-Win</v>
      </c>
      <c r="AI479" s="33" t="s">
        <v>548</v>
      </c>
      <c r="AJ479" s="44" t="s">
        <v>57</v>
      </c>
      <c r="AK479" s="33">
        <v>2050</v>
      </c>
      <c r="AL479" s="45" t="str">
        <f t="shared" si="63"/>
        <v>*0.49</v>
      </c>
      <c r="AM479" s="43" t="str">
        <f t="shared" si="65"/>
        <v>REZoning_Sol-Win</v>
      </c>
      <c r="AP479" t="s">
        <v>548</v>
      </c>
      <c r="AQ479" t="s">
        <v>57</v>
      </c>
      <c r="AR479">
        <v>2100</v>
      </c>
      <c r="AS479" t="s">
        <v>75</v>
      </c>
      <c r="AT479" t="s">
        <v>58</v>
      </c>
    </row>
    <row r="480" ht="29" spans="1:46">
      <c r="A480" s="31" t="s">
        <v>73</v>
      </c>
      <c r="C480" t="s">
        <v>549</v>
      </c>
      <c r="D480" s="5" t="s">
        <v>57</v>
      </c>
      <c r="E480">
        <v>2035</v>
      </c>
      <c r="F480" s="6" t="str">
        <f t="shared" si="58"/>
        <v>*0.63</v>
      </c>
      <c r="H480" t="s">
        <v>549</v>
      </c>
      <c r="I480" s="5" t="s">
        <v>57</v>
      </c>
      <c r="J480">
        <v>2050</v>
      </c>
      <c r="K480" s="38" t="str">
        <f t="shared" si="59"/>
        <v>*0.54</v>
      </c>
      <c r="P480" s="32" t="s">
        <v>549</v>
      </c>
      <c r="Q480" s="42" t="s">
        <v>57</v>
      </c>
      <c r="R480" s="32">
        <v>2035</v>
      </c>
      <c r="S480" s="43" t="str">
        <f t="shared" si="60"/>
        <v>*0.62</v>
      </c>
      <c r="U480" s="32" t="s">
        <v>549</v>
      </c>
      <c r="V480" s="42" t="s">
        <v>57</v>
      </c>
      <c r="W480" s="32">
        <v>2050</v>
      </c>
      <c r="X480" s="43" t="str">
        <f t="shared" si="61"/>
        <v>*0.51</v>
      </c>
      <c r="AC480" s="33" t="s">
        <v>549</v>
      </c>
      <c r="AD480" s="44" t="s">
        <v>57</v>
      </c>
      <c r="AE480" s="33">
        <v>2035</v>
      </c>
      <c r="AF480" s="45" t="str">
        <f t="shared" si="62"/>
        <v>*0.58</v>
      </c>
      <c r="AG480" s="43" t="str">
        <f t="shared" si="64"/>
        <v>REZoning_Sol-Win</v>
      </c>
      <c r="AI480" s="33" t="s">
        <v>549</v>
      </c>
      <c r="AJ480" s="44" t="s">
        <v>57</v>
      </c>
      <c r="AK480" s="33">
        <v>2050</v>
      </c>
      <c r="AL480" s="45" t="str">
        <f t="shared" si="63"/>
        <v>*0.49</v>
      </c>
      <c r="AM480" s="43" t="str">
        <f t="shared" si="65"/>
        <v>REZoning_Sol-Win</v>
      </c>
      <c r="AP480" t="s">
        <v>549</v>
      </c>
      <c r="AQ480" t="s">
        <v>57</v>
      </c>
      <c r="AR480">
        <v>2100</v>
      </c>
      <c r="AS480" t="s">
        <v>75</v>
      </c>
      <c r="AT480" t="s">
        <v>58</v>
      </c>
    </row>
    <row r="481" ht="29" spans="1:46">
      <c r="A481" s="31" t="s">
        <v>73</v>
      </c>
      <c r="C481" t="s">
        <v>550</v>
      </c>
      <c r="D481" s="5" t="s">
        <v>57</v>
      </c>
      <c r="E481">
        <v>2035</v>
      </c>
      <c r="F481" s="6" t="str">
        <f t="shared" si="58"/>
        <v>*0.63</v>
      </c>
      <c r="H481" t="s">
        <v>550</v>
      </c>
      <c r="I481" s="5" t="s">
        <v>57</v>
      </c>
      <c r="J481">
        <v>2050</v>
      </c>
      <c r="K481" s="38" t="str">
        <f t="shared" si="59"/>
        <v>*0.54</v>
      </c>
      <c r="P481" s="32" t="s">
        <v>550</v>
      </c>
      <c r="Q481" s="42" t="s">
        <v>57</v>
      </c>
      <c r="R481" s="32">
        <v>2035</v>
      </c>
      <c r="S481" s="43" t="str">
        <f t="shared" si="60"/>
        <v>*0.62</v>
      </c>
      <c r="U481" s="32" t="s">
        <v>550</v>
      </c>
      <c r="V481" s="42" t="s">
        <v>57</v>
      </c>
      <c r="W481" s="32">
        <v>2050</v>
      </c>
      <c r="X481" s="43" t="str">
        <f t="shared" si="61"/>
        <v>*0.51</v>
      </c>
      <c r="AC481" s="33" t="s">
        <v>550</v>
      </c>
      <c r="AD481" s="44" t="s">
        <v>57</v>
      </c>
      <c r="AE481" s="33">
        <v>2035</v>
      </c>
      <c r="AF481" s="45" t="str">
        <f t="shared" si="62"/>
        <v>*0.58</v>
      </c>
      <c r="AG481" s="43" t="str">
        <f t="shared" si="64"/>
        <v>REZoning_Sol-Win</v>
      </c>
      <c r="AI481" s="33" t="s">
        <v>550</v>
      </c>
      <c r="AJ481" s="44" t="s">
        <v>57</v>
      </c>
      <c r="AK481" s="33">
        <v>2050</v>
      </c>
      <c r="AL481" s="45" t="str">
        <f t="shared" si="63"/>
        <v>*0.49</v>
      </c>
      <c r="AM481" s="43" t="str">
        <f t="shared" si="65"/>
        <v>REZoning_Sol-Win</v>
      </c>
      <c r="AP481" t="s">
        <v>550</v>
      </c>
      <c r="AQ481" t="s">
        <v>57</v>
      </c>
      <c r="AR481">
        <v>2100</v>
      </c>
      <c r="AS481" t="s">
        <v>75</v>
      </c>
      <c r="AT481" t="s">
        <v>58</v>
      </c>
    </row>
    <row r="482" ht="29" spans="1:46">
      <c r="A482" s="31" t="s">
        <v>73</v>
      </c>
      <c r="C482" t="s">
        <v>551</v>
      </c>
      <c r="D482" s="5" t="s">
        <v>57</v>
      </c>
      <c r="E482">
        <v>2035</v>
      </c>
      <c r="F482" s="6" t="str">
        <f t="shared" si="58"/>
        <v>*0.63</v>
      </c>
      <c r="H482" t="s">
        <v>551</v>
      </c>
      <c r="I482" s="5" t="s">
        <v>57</v>
      </c>
      <c r="J482">
        <v>2050</v>
      </c>
      <c r="K482" s="38" t="str">
        <f t="shared" si="59"/>
        <v>*0.54</v>
      </c>
      <c r="P482" s="32" t="s">
        <v>551</v>
      </c>
      <c r="Q482" s="42" t="s">
        <v>57</v>
      </c>
      <c r="R482" s="32">
        <v>2035</v>
      </c>
      <c r="S482" s="43" t="str">
        <f t="shared" si="60"/>
        <v>*0.62</v>
      </c>
      <c r="U482" s="32" t="s">
        <v>551</v>
      </c>
      <c r="V482" s="42" t="s">
        <v>57</v>
      </c>
      <c r="W482" s="32">
        <v>2050</v>
      </c>
      <c r="X482" s="43" t="str">
        <f t="shared" si="61"/>
        <v>*0.51</v>
      </c>
      <c r="AC482" s="33" t="s">
        <v>551</v>
      </c>
      <c r="AD482" s="44" t="s">
        <v>57</v>
      </c>
      <c r="AE482" s="33">
        <v>2035</v>
      </c>
      <c r="AF482" s="45" t="str">
        <f t="shared" si="62"/>
        <v>*0.58</v>
      </c>
      <c r="AG482" s="43" t="str">
        <f t="shared" si="64"/>
        <v>REZoning_Sol-Win</v>
      </c>
      <c r="AI482" s="33" t="s">
        <v>551</v>
      </c>
      <c r="AJ482" s="44" t="s">
        <v>57</v>
      </c>
      <c r="AK482" s="33">
        <v>2050</v>
      </c>
      <c r="AL482" s="45" t="str">
        <f t="shared" si="63"/>
        <v>*0.49</v>
      </c>
      <c r="AM482" s="43" t="str">
        <f t="shared" si="65"/>
        <v>REZoning_Sol-Win</v>
      </c>
      <c r="AP482" t="s">
        <v>551</v>
      </c>
      <c r="AQ482" t="s">
        <v>57</v>
      </c>
      <c r="AR482">
        <v>2100</v>
      </c>
      <c r="AS482" t="s">
        <v>75</v>
      </c>
      <c r="AT482" t="s">
        <v>58</v>
      </c>
    </row>
    <row r="483" ht="29" spans="1:46">
      <c r="A483" s="31" t="s">
        <v>79</v>
      </c>
      <c r="C483" t="s">
        <v>552</v>
      </c>
      <c r="D483" s="5" t="s">
        <v>57</v>
      </c>
      <c r="E483">
        <v>2035</v>
      </c>
      <c r="F483" s="6" t="str">
        <f t="shared" si="58"/>
        <v>*0.6</v>
      </c>
      <c r="H483" t="s">
        <v>552</v>
      </c>
      <c r="I483" s="5" t="s">
        <v>57</v>
      </c>
      <c r="J483">
        <v>2050</v>
      </c>
      <c r="K483" s="38" t="str">
        <f t="shared" si="59"/>
        <v>*0.5</v>
      </c>
      <c r="P483" s="32" t="s">
        <v>552</v>
      </c>
      <c r="Q483" s="42" t="s">
        <v>57</v>
      </c>
      <c r="R483" s="32">
        <v>2035</v>
      </c>
      <c r="S483" s="43" t="str">
        <f t="shared" si="60"/>
        <v>*0.59</v>
      </c>
      <c r="U483" s="32" t="s">
        <v>552</v>
      </c>
      <c r="V483" s="42" t="s">
        <v>57</v>
      </c>
      <c r="W483" s="32">
        <v>2050</v>
      </c>
      <c r="X483" s="43" t="str">
        <f t="shared" si="61"/>
        <v>*0.47</v>
      </c>
      <c r="AC483" s="33" t="s">
        <v>552</v>
      </c>
      <c r="AD483" s="44" t="s">
        <v>57</v>
      </c>
      <c r="AE483" s="33">
        <v>2035</v>
      </c>
      <c r="AF483" s="45" t="str">
        <f t="shared" si="62"/>
        <v>*0.53</v>
      </c>
      <c r="AG483" s="43" t="str">
        <f t="shared" si="64"/>
        <v>REZoning_Sol-Win</v>
      </c>
      <c r="AI483" s="33" t="s">
        <v>552</v>
      </c>
      <c r="AJ483" s="44" t="s">
        <v>57</v>
      </c>
      <c r="AK483" s="33">
        <v>2050</v>
      </c>
      <c r="AL483" s="45" t="str">
        <f t="shared" si="63"/>
        <v>*0.41</v>
      </c>
      <c r="AM483" s="43" t="str">
        <f t="shared" si="65"/>
        <v>REZoning_Sol-Win</v>
      </c>
      <c r="AP483" t="s">
        <v>552</v>
      </c>
      <c r="AQ483" t="s">
        <v>57</v>
      </c>
      <c r="AR483">
        <v>2100</v>
      </c>
      <c r="AS483" t="s">
        <v>67</v>
      </c>
      <c r="AT483" t="s">
        <v>58</v>
      </c>
    </row>
    <row r="484" ht="29" spans="1:46">
      <c r="A484" s="31" t="s">
        <v>79</v>
      </c>
      <c r="C484" t="s">
        <v>553</v>
      </c>
      <c r="D484" s="5" t="s">
        <v>57</v>
      </c>
      <c r="E484">
        <v>2035</v>
      </c>
      <c r="F484" s="6" t="str">
        <f t="shared" si="58"/>
        <v>*0.6</v>
      </c>
      <c r="H484" t="s">
        <v>553</v>
      </c>
      <c r="I484" s="5" t="s">
        <v>57</v>
      </c>
      <c r="J484">
        <v>2050</v>
      </c>
      <c r="K484" s="38" t="str">
        <f t="shared" si="59"/>
        <v>*0.5</v>
      </c>
      <c r="P484" s="32" t="s">
        <v>553</v>
      </c>
      <c r="Q484" s="42" t="s">
        <v>57</v>
      </c>
      <c r="R484" s="32">
        <v>2035</v>
      </c>
      <c r="S484" s="43" t="str">
        <f t="shared" si="60"/>
        <v>*0.59</v>
      </c>
      <c r="U484" s="32" t="s">
        <v>553</v>
      </c>
      <c r="V484" s="42" t="s">
        <v>57</v>
      </c>
      <c r="W484" s="32">
        <v>2050</v>
      </c>
      <c r="X484" s="43" t="str">
        <f t="shared" si="61"/>
        <v>*0.47</v>
      </c>
      <c r="AC484" s="33" t="s">
        <v>553</v>
      </c>
      <c r="AD484" s="44" t="s">
        <v>57</v>
      </c>
      <c r="AE484" s="33">
        <v>2035</v>
      </c>
      <c r="AF484" s="45" t="str">
        <f t="shared" si="62"/>
        <v>*0.53</v>
      </c>
      <c r="AG484" s="43" t="str">
        <f t="shared" si="64"/>
        <v>REZoning_Sol-Win</v>
      </c>
      <c r="AI484" s="33" t="s">
        <v>553</v>
      </c>
      <c r="AJ484" s="44" t="s">
        <v>57</v>
      </c>
      <c r="AK484" s="33">
        <v>2050</v>
      </c>
      <c r="AL484" s="45" t="str">
        <f t="shared" si="63"/>
        <v>*0.41</v>
      </c>
      <c r="AM484" s="43" t="str">
        <f t="shared" si="65"/>
        <v>REZoning_Sol-Win</v>
      </c>
      <c r="AP484" t="s">
        <v>553</v>
      </c>
      <c r="AQ484" t="s">
        <v>57</v>
      </c>
      <c r="AR484">
        <v>2100</v>
      </c>
      <c r="AS484" t="s">
        <v>67</v>
      </c>
      <c r="AT484" t="s">
        <v>58</v>
      </c>
    </row>
    <row r="485" ht="29" spans="1:46">
      <c r="A485" s="31" t="s">
        <v>79</v>
      </c>
      <c r="C485" t="s">
        <v>554</v>
      </c>
      <c r="D485" s="5" t="s">
        <v>57</v>
      </c>
      <c r="E485">
        <v>2035</v>
      </c>
      <c r="F485" s="6" t="str">
        <f t="shared" si="58"/>
        <v>*0.6</v>
      </c>
      <c r="H485" t="s">
        <v>554</v>
      </c>
      <c r="I485" s="5" t="s">
        <v>57</v>
      </c>
      <c r="J485">
        <v>2050</v>
      </c>
      <c r="K485" s="38" t="str">
        <f t="shared" si="59"/>
        <v>*0.5</v>
      </c>
      <c r="P485" s="32" t="s">
        <v>554</v>
      </c>
      <c r="Q485" s="42" t="s">
        <v>57</v>
      </c>
      <c r="R485" s="32">
        <v>2035</v>
      </c>
      <c r="S485" s="43" t="str">
        <f t="shared" si="60"/>
        <v>*0.59</v>
      </c>
      <c r="U485" s="32" t="s">
        <v>554</v>
      </c>
      <c r="V485" s="42" t="s">
        <v>57</v>
      </c>
      <c r="W485" s="32">
        <v>2050</v>
      </c>
      <c r="X485" s="43" t="str">
        <f t="shared" si="61"/>
        <v>*0.47</v>
      </c>
      <c r="AC485" s="33" t="s">
        <v>554</v>
      </c>
      <c r="AD485" s="44" t="s">
        <v>57</v>
      </c>
      <c r="AE485" s="33">
        <v>2035</v>
      </c>
      <c r="AF485" s="45" t="str">
        <f t="shared" si="62"/>
        <v>*0.53</v>
      </c>
      <c r="AG485" s="43" t="str">
        <f t="shared" si="64"/>
        <v>REZoning_Sol-Win</v>
      </c>
      <c r="AI485" s="33" t="s">
        <v>554</v>
      </c>
      <c r="AJ485" s="44" t="s">
        <v>57</v>
      </c>
      <c r="AK485" s="33">
        <v>2050</v>
      </c>
      <c r="AL485" s="45" t="str">
        <f t="shared" si="63"/>
        <v>*0.41</v>
      </c>
      <c r="AM485" s="43" t="str">
        <f t="shared" si="65"/>
        <v>REZoning_Sol-Win</v>
      </c>
      <c r="AP485" t="s">
        <v>554</v>
      </c>
      <c r="AQ485" t="s">
        <v>57</v>
      </c>
      <c r="AR485">
        <v>2100</v>
      </c>
      <c r="AS485" t="s">
        <v>67</v>
      </c>
      <c r="AT485" t="s">
        <v>58</v>
      </c>
    </row>
    <row r="486" ht="29" spans="1:46">
      <c r="A486" s="31" t="s">
        <v>79</v>
      </c>
      <c r="C486" t="s">
        <v>555</v>
      </c>
      <c r="D486" s="5" t="s">
        <v>57</v>
      </c>
      <c r="E486">
        <v>2035</v>
      </c>
      <c r="F486" s="6" t="str">
        <f t="shared" si="58"/>
        <v>*0.6</v>
      </c>
      <c r="H486" t="s">
        <v>555</v>
      </c>
      <c r="I486" s="5" t="s">
        <v>57</v>
      </c>
      <c r="J486">
        <v>2050</v>
      </c>
      <c r="K486" s="38" t="str">
        <f t="shared" si="59"/>
        <v>*0.5</v>
      </c>
      <c r="P486" s="32" t="s">
        <v>555</v>
      </c>
      <c r="Q486" s="42" t="s">
        <v>57</v>
      </c>
      <c r="R486" s="32">
        <v>2035</v>
      </c>
      <c r="S486" s="43" t="str">
        <f t="shared" si="60"/>
        <v>*0.59</v>
      </c>
      <c r="U486" s="32" t="s">
        <v>555</v>
      </c>
      <c r="V486" s="42" t="s">
        <v>57</v>
      </c>
      <c r="W486" s="32">
        <v>2050</v>
      </c>
      <c r="X486" s="43" t="str">
        <f t="shared" si="61"/>
        <v>*0.47</v>
      </c>
      <c r="AC486" s="33" t="s">
        <v>555</v>
      </c>
      <c r="AD486" s="44" t="s">
        <v>57</v>
      </c>
      <c r="AE486" s="33">
        <v>2035</v>
      </c>
      <c r="AF486" s="45" t="str">
        <f t="shared" si="62"/>
        <v>*0.53</v>
      </c>
      <c r="AG486" s="43" t="str">
        <f t="shared" si="64"/>
        <v>REZoning_Sol-Win</v>
      </c>
      <c r="AI486" s="33" t="s">
        <v>555</v>
      </c>
      <c r="AJ486" s="44" t="s">
        <v>57</v>
      </c>
      <c r="AK486" s="33">
        <v>2050</v>
      </c>
      <c r="AL486" s="45" t="str">
        <f t="shared" si="63"/>
        <v>*0.41</v>
      </c>
      <c r="AM486" s="43" t="str">
        <f t="shared" si="65"/>
        <v>REZoning_Sol-Win</v>
      </c>
      <c r="AP486" t="s">
        <v>555</v>
      </c>
      <c r="AQ486" t="s">
        <v>57</v>
      </c>
      <c r="AR486">
        <v>2100</v>
      </c>
      <c r="AS486" t="s">
        <v>67</v>
      </c>
      <c r="AT486" t="s">
        <v>58</v>
      </c>
    </row>
    <row r="487" ht="29" spans="1:46">
      <c r="A487" s="31" t="s">
        <v>79</v>
      </c>
      <c r="C487" t="s">
        <v>556</v>
      </c>
      <c r="D487" s="5" t="s">
        <v>57</v>
      </c>
      <c r="E487">
        <v>2035</v>
      </c>
      <c r="F487" s="6" t="str">
        <f t="shared" si="58"/>
        <v>*0.6</v>
      </c>
      <c r="H487" t="s">
        <v>556</v>
      </c>
      <c r="I487" s="5" t="s">
        <v>57</v>
      </c>
      <c r="J487">
        <v>2050</v>
      </c>
      <c r="K487" s="38" t="str">
        <f t="shared" si="59"/>
        <v>*0.5</v>
      </c>
      <c r="P487" s="32" t="s">
        <v>556</v>
      </c>
      <c r="Q487" s="42" t="s">
        <v>57</v>
      </c>
      <c r="R487" s="32">
        <v>2035</v>
      </c>
      <c r="S487" s="43" t="str">
        <f t="shared" si="60"/>
        <v>*0.59</v>
      </c>
      <c r="U487" s="32" t="s">
        <v>556</v>
      </c>
      <c r="V487" s="42" t="s">
        <v>57</v>
      </c>
      <c r="W487" s="32">
        <v>2050</v>
      </c>
      <c r="X487" s="43" t="str">
        <f t="shared" si="61"/>
        <v>*0.47</v>
      </c>
      <c r="AC487" s="33" t="s">
        <v>556</v>
      </c>
      <c r="AD487" s="44" t="s">
        <v>57</v>
      </c>
      <c r="AE487" s="33">
        <v>2035</v>
      </c>
      <c r="AF487" s="45" t="str">
        <f t="shared" si="62"/>
        <v>*0.53</v>
      </c>
      <c r="AG487" s="43" t="str">
        <f t="shared" si="64"/>
        <v>REZoning_Sol-Win</v>
      </c>
      <c r="AI487" s="33" t="s">
        <v>556</v>
      </c>
      <c r="AJ487" s="44" t="s">
        <v>57</v>
      </c>
      <c r="AK487" s="33">
        <v>2050</v>
      </c>
      <c r="AL487" s="45" t="str">
        <f t="shared" si="63"/>
        <v>*0.41</v>
      </c>
      <c r="AM487" s="43" t="str">
        <f t="shared" si="65"/>
        <v>REZoning_Sol-Win</v>
      </c>
      <c r="AP487" t="s">
        <v>556</v>
      </c>
      <c r="AQ487" t="s">
        <v>57</v>
      </c>
      <c r="AR487">
        <v>2100</v>
      </c>
      <c r="AS487" t="s">
        <v>67</v>
      </c>
      <c r="AT487" t="s">
        <v>58</v>
      </c>
    </row>
    <row r="488" ht="29" spans="1:46">
      <c r="A488" s="31" t="s">
        <v>95</v>
      </c>
      <c r="C488" t="s">
        <v>557</v>
      </c>
      <c r="D488" s="5" t="s">
        <v>57</v>
      </c>
      <c r="E488">
        <v>2035</v>
      </c>
      <c r="F488" s="6" t="str">
        <f t="shared" si="58"/>
        <v>*0.65</v>
      </c>
      <c r="H488" t="s">
        <v>557</v>
      </c>
      <c r="I488" s="5" t="s">
        <v>57</v>
      </c>
      <c r="J488">
        <v>2050</v>
      </c>
      <c r="K488" s="38" t="str">
        <f t="shared" si="59"/>
        <v>*0.54</v>
      </c>
      <c r="P488" s="32" t="s">
        <v>557</v>
      </c>
      <c r="Q488" s="42" t="s">
        <v>57</v>
      </c>
      <c r="R488" s="32">
        <v>2035</v>
      </c>
      <c r="S488" s="43" t="str">
        <f t="shared" si="60"/>
        <v>*0.63</v>
      </c>
      <c r="U488" s="32" t="s">
        <v>557</v>
      </c>
      <c r="V488" s="42" t="s">
        <v>57</v>
      </c>
      <c r="W488" s="32">
        <v>2050</v>
      </c>
      <c r="X488" s="43" t="str">
        <f t="shared" si="61"/>
        <v>*0.52</v>
      </c>
      <c r="AC488" s="33" t="s">
        <v>557</v>
      </c>
      <c r="AD488" s="44" t="s">
        <v>57</v>
      </c>
      <c r="AE488" s="33">
        <v>2035</v>
      </c>
      <c r="AF488" s="45" t="str">
        <f t="shared" si="62"/>
        <v>*0.55</v>
      </c>
      <c r="AG488" s="43" t="str">
        <f t="shared" si="64"/>
        <v>REZoning_Sol-Win</v>
      </c>
      <c r="AI488" s="33" t="s">
        <v>557</v>
      </c>
      <c r="AJ488" s="44" t="s">
        <v>57</v>
      </c>
      <c r="AK488" s="33">
        <v>2050</v>
      </c>
      <c r="AL488" s="45" t="str">
        <f t="shared" si="63"/>
        <v>*0.41</v>
      </c>
      <c r="AM488" s="43" t="str">
        <f t="shared" si="65"/>
        <v>REZoning_Sol-Win</v>
      </c>
      <c r="AP488" t="s">
        <v>557</v>
      </c>
      <c r="AQ488" t="s">
        <v>57</v>
      </c>
      <c r="AR488">
        <v>2100</v>
      </c>
      <c r="AS488" t="s">
        <v>67</v>
      </c>
      <c r="AT488" t="s">
        <v>58</v>
      </c>
    </row>
    <row r="489" ht="29" spans="1:46">
      <c r="A489" s="31" t="s">
        <v>65</v>
      </c>
      <c r="C489" t="s">
        <v>558</v>
      </c>
      <c r="D489" s="5" t="s">
        <v>57</v>
      </c>
      <c r="E489">
        <v>2035</v>
      </c>
      <c r="F489" s="6" t="str">
        <f t="shared" si="58"/>
        <v>*0.61</v>
      </c>
      <c r="H489" t="s">
        <v>558</v>
      </c>
      <c r="I489" s="5" t="s">
        <v>57</v>
      </c>
      <c r="J489">
        <v>2050</v>
      </c>
      <c r="K489" s="38" t="str">
        <f t="shared" si="59"/>
        <v>*0.5</v>
      </c>
      <c r="P489" s="32" t="s">
        <v>558</v>
      </c>
      <c r="Q489" s="42" t="s">
        <v>57</v>
      </c>
      <c r="R489" s="32">
        <v>2035</v>
      </c>
      <c r="S489" s="43" t="str">
        <f t="shared" si="60"/>
        <v>*0.58</v>
      </c>
      <c r="U489" s="32" t="s">
        <v>558</v>
      </c>
      <c r="V489" s="42" t="s">
        <v>57</v>
      </c>
      <c r="W489" s="32">
        <v>2050</v>
      </c>
      <c r="X489" s="43" t="str">
        <f t="shared" si="61"/>
        <v>*0.47</v>
      </c>
      <c r="AC489" s="33" t="s">
        <v>558</v>
      </c>
      <c r="AD489" s="44" t="s">
        <v>57</v>
      </c>
      <c r="AE489" s="33">
        <v>2035</v>
      </c>
      <c r="AF489" s="45" t="str">
        <f t="shared" si="62"/>
        <v>*0.53</v>
      </c>
      <c r="AG489" s="43" t="str">
        <f t="shared" si="64"/>
        <v>REZoning_Sol-Win</v>
      </c>
      <c r="AI489" s="33" t="s">
        <v>558</v>
      </c>
      <c r="AJ489" s="44" t="s">
        <v>57</v>
      </c>
      <c r="AK489" s="33">
        <v>2050</v>
      </c>
      <c r="AL489" s="45" t="str">
        <f t="shared" si="63"/>
        <v>*0.41</v>
      </c>
      <c r="AM489" s="43" t="str">
        <f t="shared" si="65"/>
        <v>REZoning_Sol-Win</v>
      </c>
      <c r="AP489" t="s">
        <v>558</v>
      </c>
      <c r="AQ489" t="s">
        <v>57</v>
      </c>
      <c r="AR489">
        <v>2100</v>
      </c>
      <c r="AS489" t="s">
        <v>67</v>
      </c>
      <c r="AT489" t="s">
        <v>58</v>
      </c>
    </row>
    <row r="490" ht="29" spans="1:46">
      <c r="A490" s="31" t="s">
        <v>65</v>
      </c>
      <c r="C490" t="s">
        <v>559</v>
      </c>
      <c r="D490" s="5" t="s">
        <v>57</v>
      </c>
      <c r="E490">
        <v>2035</v>
      </c>
      <c r="F490" s="6" t="str">
        <f t="shared" si="58"/>
        <v>*0.61</v>
      </c>
      <c r="H490" t="s">
        <v>559</v>
      </c>
      <c r="I490" s="5" t="s">
        <v>57</v>
      </c>
      <c r="J490">
        <v>2050</v>
      </c>
      <c r="K490" s="38" t="str">
        <f t="shared" si="59"/>
        <v>*0.5</v>
      </c>
      <c r="P490" s="32" t="s">
        <v>559</v>
      </c>
      <c r="Q490" s="42" t="s">
        <v>57</v>
      </c>
      <c r="R490" s="32">
        <v>2035</v>
      </c>
      <c r="S490" s="43" t="str">
        <f t="shared" si="60"/>
        <v>*0.58</v>
      </c>
      <c r="U490" s="32" t="s">
        <v>559</v>
      </c>
      <c r="V490" s="42" t="s">
        <v>57</v>
      </c>
      <c r="W490" s="32">
        <v>2050</v>
      </c>
      <c r="X490" s="43" t="str">
        <f t="shared" si="61"/>
        <v>*0.47</v>
      </c>
      <c r="AC490" s="33" t="s">
        <v>559</v>
      </c>
      <c r="AD490" s="44" t="s">
        <v>57</v>
      </c>
      <c r="AE490" s="33">
        <v>2035</v>
      </c>
      <c r="AF490" s="45" t="str">
        <f t="shared" si="62"/>
        <v>*0.53</v>
      </c>
      <c r="AG490" s="43" t="str">
        <f t="shared" si="64"/>
        <v>REZoning_Sol-Win</v>
      </c>
      <c r="AI490" s="33" t="s">
        <v>559</v>
      </c>
      <c r="AJ490" s="44" t="s">
        <v>57</v>
      </c>
      <c r="AK490" s="33">
        <v>2050</v>
      </c>
      <c r="AL490" s="45" t="str">
        <f t="shared" si="63"/>
        <v>*0.41</v>
      </c>
      <c r="AM490" s="43" t="str">
        <f t="shared" si="65"/>
        <v>REZoning_Sol-Win</v>
      </c>
      <c r="AP490" t="s">
        <v>559</v>
      </c>
      <c r="AQ490" t="s">
        <v>57</v>
      </c>
      <c r="AR490">
        <v>2100</v>
      </c>
      <c r="AS490" t="s">
        <v>67</v>
      </c>
      <c r="AT490" t="s">
        <v>58</v>
      </c>
    </row>
    <row r="491" ht="29" spans="1:46">
      <c r="A491" s="31" t="s">
        <v>65</v>
      </c>
      <c r="C491" t="s">
        <v>560</v>
      </c>
      <c r="D491" s="5" t="s">
        <v>57</v>
      </c>
      <c r="E491">
        <v>2035</v>
      </c>
      <c r="F491" s="6" t="str">
        <f t="shared" si="58"/>
        <v>*0.61</v>
      </c>
      <c r="H491" t="s">
        <v>560</v>
      </c>
      <c r="I491" s="5" t="s">
        <v>57</v>
      </c>
      <c r="J491">
        <v>2050</v>
      </c>
      <c r="K491" s="38" t="str">
        <f t="shared" si="59"/>
        <v>*0.5</v>
      </c>
      <c r="P491" s="32" t="s">
        <v>560</v>
      </c>
      <c r="Q491" s="42" t="s">
        <v>57</v>
      </c>
      <c r="R491" s="32">
        <v>2035</v>
      </c>
      <c r="S491" s="43" t="str">
        <f t="shared" si="60"/>
        <v>*0.58</v>
      </c>
      <c r="U491" s="32" t="s">
        <v>560</v>
      </c>
      <c r="V491" s="42" t="s">
        <v>57</v>
      </c>
      <c r="W491" s="32">
        <v>2050</v>
      </c>
      <c r="X491" s="43" t="str">
        <f t="shared" si="61"/>
        <v>*0.47</v>
      </c>
      <c r="AC491" s="33" t="s">
        <v>560</v>
      </c>
      <c r="AD491" s="44" t="s">
        <v>57</v>
      </c>
      <c r="AE491" s="33">
        <v>2035</v>
      </c>
      <c r="AF491" s="45" t="str">
        <f t="shared" si="62"/>
        <v>*0.53</v>
      </c>
      <c r="AG491" s="43" t="str">
        <f t="shared" si="64"/>
        <v>REZoning_Sol-Win</v>
      </c>
      <c r="AI491" s="33" t="s">
        <v>560</v>
      </c>
      <c r="AJ491" s="44" t="s">
        <v>57</v>
      </c>
      <c r="AK491" s="33">
        <v>2050</v>
      </c>
      <c r="AL491" s="45" t="str">
        <f t="shared" si="63"/>
        <v>*0.41</v>
      </c>
      <c r="AM491" s="43" t="str">
        <f t="shared" si="65"/>
        <v>REZoning_Sol-Win</v>
      </c>
      <c r="AP491" t="s">
        <v>560</v>
      </c>
      <c r="AQ491" t="s">
        <v>57</v>
      </c>
      <c r="AR491">
        <v>2100</v>
      </c>
      <c r="AS491" t="s">
        <v>67</v>
      </c>
      <c r="AT491" t="s">
        <v>58</v>
      </c>
    </row>
    <row r="492" ht="29" spans="1:46">
      <c r="A492" s="31" t="s">
        <v>83</v>
      </c>
      <c r="C492" t="s">
        <v>561</v>
      </c>
      <c r="D492" s="5" t="s">
        <v>57</v>
      </c>
      <c r="E492">
        <v>2035</v>
      </c>
      <c r="F492" s="6" t="str">
        <f t="shared" si="58"/>
        <v>*0.64</v>
      </c>
      <c r="H492" t="s">
        <v>561</v>
      </c>
      <c r="I492" s="5" t="s">
        <v>57</v>
      </c>
      <c r="J492">
        <v>2050</v>
      </c>
      <c r="K492" s="38" t="str">
        <f t="shared" si="59"/>
        <v>*0.54</v>
      </c>
      <c r="P492" s="32" t="s">
        <v>561</v>
      </c>
      <c r="Q492" s="42" t="s">
        <v>57</v>
      </c>
      <c r="R492" s="32">
        <v>2035</v>
      </c>
      <c r="S492" s="43" t="str">
        <f t="shared" si="60"/>
        <v>*0.64</v>
      </c>
      <c r="U492" s="32" t="s">
        <v>561</v>
      </c>
      <c r="V492" s="42" t="s">
        <v>57</v>
      </c>
      <c r="W492" s="32">
        <v>2050</v>
      </c>
      <c r="X492" s="43" t="str">
        <f t="shared" si="61"/>
        <v>*0.53</v>
      </c>
      <c r="AC492" s="33" t="s">
        <v>561</v>
      </c>
      <c r="AD492" s="44" t="s">
        <v>57</v>
      </c>
      <c r="AE492" s="33">
        <v>2035</v>
      </c>
      <c r="AF492" s="45" t="str">
        <f t="shared" si="62"/>
        <v>*0.6</v>
      </c>
      <c r="AG492" s="43" t="str">
        <f t="shared" si="64"/>
        <v>REZoning_Sol-Win</v>
      </c>
      <c r="AI492" s="33" t="s">
        <v>561</v>
      </c>
      <c r="AJ492" s="44" t="s">
        <v>57</v>
      </c>
      <c r="AK492" s="33">
        <v>2050</v>
      </c>
      <c r="AL492" s="45" t="str">
        <f t="shared" si="63"/>
        <v>*0.5</v>
      </c>
      <c r="AM492" s="43" t="str">
        <f t="shared" si="65"/>
        <v>REZoning_Sol-Win</v>
      </c>
      <c r="AP492" t="s">
        <v>561</v>
      </c>
      <c r="AQ492" t="s">
        <v>57</v>
      </c>
      <c r="AR492">
        <v>2100</v>
      </c>
      <c r="AS492" t="s">
        <v>85</v>
      </c>
      <c r="AT492" t="s">
        <v>58</v>
      </c>
    </row>
    <row r="493" ht="29" spans="1:46">
      <c r="A493" s="31" t="s">
        <v>83</v>
      </c>
      <c r="C493" t="s">
        <v>562</v>
      </c>
      <c r="D493" s="5" t="s">
        <v>57</v>
      </c>
      <c r="E493">
        <v>2035</v>
      </c>
      <c r="F493" s="6" t="str">
        <f t="shared" si="58"/>
        <v>*0.64</v>
      </c>
      <c r="H493" t="s">
        <v>562</v>
      </c>
      <c r="I493" s="5" t="s">
        <v>57</v>
      </c>
      <c r="J493">
        <v>2050</v>
      </c>
      <c r="K493" s="38" t="str">
        <f t="shared" si="59"/>
        <v>*0.54</v>
      </c>
      <c r="P493" s="32" t="s">
        <v>562</v>
      </c>
      <c r="Q493" s="42" t="s">
        <v>57</v>
      </c>
      <c r="R493" s="32">
        <v>2035</v>
      </c>
      <c r="S493" s="43" t="str">
        <f t="shared" si="60"/>
        <v>*0.64</v>
      </c>
      <c r="U493" s="32" t="s">
        <v>562</v>
      </c>
      <c r="V493" s="42" t="s">
        <v>57</v>
      </c>
      <c r="W493" s="32">
        <v>2050</v>
      </c>
      <c r="X493" s="43" t="str">
        <f t="shared" si="61"/>
        <v>*0.53</v>
      </c>
      <c r="AC493" s="33" t="s">
        <v>562</v>
      </c>
      <c r="AD493" s="44" t="s">
        <v>57</v>
      </c>
      <c r="AE493" s="33">
        <v>2035</v>
      </c>
      <c r="AF493" s="45" t="str">
        <f t="shared" si="62"/>
        <v>*0.6</v>
      </c>
      <c r="AG493" s="43" t="str">
        <f t="shared" si="64"/>
        <v>REZoning_Sol-Win</v>
      </c>
      <c r="AI493" s="33" t="s">
        <v>562</v>
      </c>
      <c r="AJ493" s="44" t="s">
        <v>57</v>
      </c>
      <c r="AK493" s="33">
        <v>2050</v>
      </c>
      <c r="AL493" s="45" t="str">
        <f t="shared" si="63"/>
        <v>*0.5</v>
      </c>
      <c r="AM493" s="43" t="str">
        <f t="shared" si="65"/>
        <v>REZoning_Sol-Win</v>
      </c>
      <c r="AP493" t="s">
        <v>562</v>
      </c>
      <c r="AQ493" t="s">
        <v>57</v>
      </c>
      <c r="AR493">
        <v>2100</v>
      </c>
      <c r="AS493" t="s">
        <v>85</v>
      </c>
      <c r="AT493" t="s">
        <v>58</v>
      </c>
    </row>
    <row r="494" ht="29" spans="1:46">
      <c r="A494" s="31" t="s">
        <v>83</v>
      </c>
      <c r="C494" t="s">
        <v>563</v>
      </c>
      <c r="D494" s="5" t="s">
        <v>57</v>
      </c>
      <c r="E494">
        <v>2035</v>
      </c>
      <c r="F494" s="6" t="str">
        <f t="shared" si="58"/>
        <v>*0.64</v>
      </c>
      <c r="H494" t="s">
        <v>563</v>
      </c>
      <c r="I494" s="5" t="s">
        <v>57</v>
      </c>
      <c r="J494">
        <v>2050</v>
      </c>
      <c r="K494" s="38" t="str">
        <f t="shared" si="59"/>
        <v>*0.54</v>
      </c>
      <c r="P494" s="32" t="s">
        <v>563</v>
      </c>
      <c r="Q494" s="42" t="s">
        <v>57</v>
      </c>
      <c r="R494" s="32">
        <v>2035</v>
      </c>
      <c r="S494" s="43" t="str">
        <f t="shared" si="60"/>
        <v>*0.64</v>
      </c>
      <c r="U494" s="32" t="s">
        <v>563</v>
      </c>
      <c r="V494" s="42" t="s">
        <v>57</v>
      </c>
      <c r="W494" s="32">
        <v>2050</v>
      </c>
      <c r="X494" s="43" t="str">
        <f t="shared" si="61"/>
        <v>*0.53</v>
      </c>
      <c r="AC494" s="33" t="s">
        <v>563</v>
      </c>
      <c r="AD494" s="44" t="s">
        <v>57</v>
      </c>
      <c r="AE494" s="33">
        <v>2035</v>
      </c>
      <c r="AF494" s="45" t="str">
        <f t="shared" si="62"/>
        <v>*0.6</v>
      </c>
      <c r="AG494" s="43" t="str">
        <f t="shared" si="64"/>
        <v>REZoning_Sol-Win</v>
      </c>
      <c r="AI494" s="33" t="s">
        <v>563</v>
      </c>
      <c r="AJ494" s="44" t="s">
        <v>57</v>
      </c>
      <c r="AK494" s="33">
        <v>2050</v>
      </c>
      <c r="AL494" s="45" t="str">
        <f t="shared" si="63"/>
        <v>*0.5</v>
      </c>
      <c r="AM494" s="43" t="str">
        <f t="shared" si="65"/>
        <v>REZoning_Sol-Win</v>
      </c>
      <c r="AP494" t="s">
        <v>563</v>
      </c>
      <c r="AQ494" t="s">
        <v>57</v>
      </c>
      <c r="AR494">
        <v>2100</v>
      </c>
      <c r="AS494" t="s">
        <v>85</v>
      </c>
      <c r="AT494" t="s">
        <v>58</v>
      </c>
    </row>
    <row r="495" ht="29" spans="1:46">
      <c r="A495" s="31" t="s">
        <v>83</v>
      </c>
      <c r="C495" t="s">
        <v>564</v>
      </c>
      <c r="D495" s="5" t="s">
        <v>57</v>
      </c>
      <c r="E495">
        <v>2035</v>
      </c>
      <c r="F495" s="6" t="str">
        <f t="shared" si="58"/>
        <v>*0.64</v>
      </c>
      <c r="H495" t="s">
        <v>564</v>
      </c>
      <c r="I495" s="5" t="s">
        <v>57</v>
      </c>
      <c r="J495">
        <v>2050</v>
      </c>
      <c r="K495" s="38" t="str">
        <f t="shared" si="59"/>
        <v>*0.54</v>
      </c>
      <c r="P495" s="32" t="s">
        <v>564</v>
      </c>
      <c r="Q495" s="42" t="s">
        <v>57</v>
      </c>
      <c r="R495" s="32">
        <v>2035</v>
      </c>
      <c r="S495" s="43" t="str">
        <f t="shared" si="60"/>
        <v>*0.64</v>
      </c>
      <c r="U495" s="32" t="s">
        <v>564</v>
      </c>
      <c r="V495" s="42" t="s">
        <v>57</v>
      </c>
      <c r="W495" s="32">
        <v>2050</v>
      </c>
      <c r="X495" s="43" t="str">
        <f t="shared" si="61"/>
        <v>*0.53</v>
      </c>
      <c r="AC495" s="33" t="s">
        <v>564</v>
      </c>
      <c r="AD495" s="44" t="s">
        <v>57</v>
      </c>
      <c r="AE495" s="33">
        <v>2035</v>
      </c>
      <c r="AF495" s="45" t="str">
        <f t="shared" si="62"/>
        <v>*0.6</v>
      </c>
      <c r="AG495" s="43" t="str">
        <f t="shared" si="64"/>
        <v>REZoning_Sol-Win</v>
      </c>
      <c r="AI495" s="33" t="s">
        <v>564</v>
      </c>
      <c r="AJ495" s="44" t="s">
        <v>57</v>
      </c>
      <c r="AK495" s="33">
        <v>2050</v>
      </c>
      <c r="AL495" s="45" t="str">
        <f t="shared" si="63"/>
        <v>*0.5</v>
      </c>
      <c r="AM495" s="43" t="str">
        <f t="shared" si="65"/>
        <v>REZoning_Sol-Win</v>
      </c>
      <c r="AP495" t="s">
        <v>564</v>
      </c>
      <c r="AQ495" t="s">
        <v>57</v>
      </c>
      <c r="AR495">
        <v>2100</v>
      </c>
      <c r="AS495" t="s">
        <v>85</v>
      </c>
      <c r="AT495" t="s">
        <v>58</v>
      </c>
    </row>
    <row r="496" ht="29" spans="1:46">
      <c r="A496" s="31" t="s">
        <v>83</v>
      </c>
      <c r="C496" t="s">
        <v>565</v>
      </c>
      <c r="D496" s="5" t="s">
        <v>57</v>
      </c>
      <c r="E496">
        <v>2035</v>
      </c>
      <c r="F496" s="6" t="str">
        <f t="shared" si="58"/>
        <v>*0.64</v>
      </c>
      <c r="H496" t="s">
        <v>565</v>
      </c>
      <c r="I496" s="5" t="s">
        <v>57</v>
      </c>
      <c r="J496">
        <v>2050</v>
      </c>
      <c r="K496" s="38" t="str">
        <f t="shared" si="59"/>
        <v>*0.54</v>
      </c>
      <c r="P496" s="32" t="s">
        <v>565</v>
      </c>
      <c r="Q496" s="42" t="s">
        <v>57</v>
      </c>
      <c r="R496" s="32">
        <v>2035</v>
      </c>
      <c r="S496" s="43" t="str">
        <f t="shared" si="60"/>
        <v>*0.64</v>
      </c>
      <c r="U496" s="32" t="s">
        <v>565</v>
      </c>
      <c r="V496" s="42" t="s">
        <v>57</v>
      </c>
      <c r="W496" s="32">
        <v>2050</v>
      </c>
      <c r="X496" s="43" t="str">
        <f t="shared" si="61"/>
        <v>*0.53</v>
      </c>
      <c r="AC496" s="33" t="s">
        <v>565</v>
      </c>
      <c r="AD496" s="44" t="s">
        <v>57</v>
      </c>
      <c r="AE496" s="33">
        <v>2035</v>
      </c>
      <c r="AF496" s="45" t="str">
        <f t="shared" si="62"/>
        <v>*0.6</v>
      </c>
      <c r="AG496" s="43" t="str">
        <f t="shared" si="64"/>
        <v>REZoning_Sol-Win</v>
      </c>
      <c r="AI496" s="33" t="s">
        <v>565</v>
      </c>
      <c r="AJ496" s="44" t="s">
        <v>57</v>
      </c>
      <c r="AK496" s="33">
        <v>2050</v>
      </c>
      <c r="AL496" s="45" t="str">
        <f t="shared" si="63"/>
        <v>*0.5</v>
      </c>
      <c r="AM496" s="43" t="str">
        <f t="shared" si="65"/>
        <v>REZoning_Sol-Win</v>
      </c>
      <c r="AP496" t="s">
        <v>565</v>
      </c>
      <c r="AQ496" t="s">
        <v>57</v>
      </c>
      <c r="AR496">
        <v>2100</v>
      </c>
      <c r="AS496" t="s">
        <v>85</v>
      </c>
      <c r="AT496" t="s">
        <v>58</v>
      </c>
    </row>
    <row r="497" ht="29" spans="1:46">
      <c r="A497" s="31" t="s">
        <v>83</v>
      </c>
      <c r="C497" t="s">
        <v>566</v>
      </c>
      <c r="D497" s="5" t="s">
        <v>57</v>
      </c>
      <c r="E497">
        <v>2035</v>
      </c>
      <c r="F497" s="6" t="str">
        <f t="shared" si="58"/>
        <v>*0.64</v>
      </c>
      <c r="H497" t="s">
        <v>566</v>
      </c>
      <c r="I497" s="5" t="s">
        <v>57</v>
      </c>
      <c r="J497">
        <v>2050</v>
      </c>
      <c r="K497" s="38" t="str">
        <f t="shared" si="59"/>
        <v>*0.54</v>
      </c>
      <c r="P497" s="32" t="s">
        <v>566</v>
      </c>
      <c r="Q497" s="42" t="s">
        <v>57</v>
      </c>
      <c r="R497" s="32">
        <v>2035</v>
      </c>
      <c r="S497" s="43" t="str">
        <f t="shared" si="60"/>
        <v>*0.64</v>
      </c>
      <c r="U497" s="32" t="s">
        <v>566</v>
      </c>
      <c r="V497" s="42" t="s">
        <v>57</v>
      </c>
      <c r="W497" s="32">
        <v>2050</v>
      </c>
      <c r="X497" s="43" t="str">
        <f t="shared" si="61"/>
        <v>*0.53</v>
      </c>
      <c r="AC497" s="33" t="s">
        <v>566</v>
      </c>
      <c r="AD497" s="44" t="s">
        <v>57</v>
      </c>
      <c r="AE497" s="33">
        <v>2035</v>
      </c>
      <c r="AF497" s="45" t="str">
        <f t="shared" si="62"/>
        <v>*0.6</v>
      </c>
      <c r="AG497" s="43" t="str">
        <f t="shared" si="64"/>
        <v>REZoning_Sol-Win</v>
      </c>
      <c r="AI497" s="33" t="s">
        <v>566</v>
      </c>
      <c r="AJ497" s="44" t="s">
        <v>57</v>
      </c>
      <c r="AK497" s="33">
        <v>2050</v>
      </c>
      <c r="AL497" s="45" t="str">
        <f t="shared" si="63"/>
        <v>*0.5</v>
      </c>
      <c r="AM497" s="43" t="str">
        <f t="shared" si="65"/>
        <v>REZoning_Sol-Win</v>
      </c>
      <c r="AP497" t="s">
        <v>566</v>
      </c>
      <c r="AQ497" t="s">
        <v>57</v>
      </c>
      <c r="AR497">
        <v>2100</v>
      </c>
      <c r="AS497" t="s">
        <v>85</v>
      </c>
      <c r="AT497" t="s">
        <v>58</v>
      </c>
    </row>
    <row r="498" ht="29" spans="1:46">
      <c r="A498" s="31" t="s">
        <v>73</v>
      </c>
      <c r="C498" t="s">
        <v>567</v>
      </c>
      <c r="D498" s="5" t="s">
        <v>57</v>
      </c>
      <c r="E498">
        <v>2035</v>
      </c>
      <c r="F498" s="6" t="str">
        <f t="shared" si="58"/>
        <v>*0.63</v>
      </c>
      <c r="H498" t="s">
        <v>567</v>
      </c>
      <c r="I498" s="5" t="s">
        <v>57</v>
      </c>
      <c r="J498">
        <v>2050</v>
      </c>
      <c r="K498" s="38" t="str">
        <f t="shared" si="59"/>
        <v>*0.54</v>
      </c>
      <c r="P498" s="32" t="s">
        <v>567</v>
      </c>
      <c r="Q498" s="42" t="s">
        <v>57</v>
      </c>
      <c r="R498" s="32">
        <v>2035</v>
      </c>
      <c r="S498" s="43" t="str">
        <f t="shared" si="60"/>
        <v>*0.62</v>
      </c>
      <c r="U498" s="32" t="s">
        <v>567</v>
      </c>
      <c r="V498" s="42" t="s">
        <v>57</v>
      </c>
      <c r="W498" s="32">
        <v>2050</v>
      </c>
      <c r="X498" s="43" t="str">
        <f t="shared" si="61"/>
        <v>*0.51</v>
      </c>
      <c r="AC498" s="33" t="s">
        <v>567</v>
      </c>
      <c r="AD498" s="44" t="s">
        <v>57</v>
      </c>
      <c r="AE498" s="33">
        <v>2035</v>
      </c>
      <c r="AF498" s="45" t="str">
        <f t="shared" si="62"/>
        <v>*0.58</v>
      </c>
      <c r="AG498" s="43" t="str">
        <f t="shared" si="64"/>
        <v>REZoning_Sol-Win</v>
      </c>
      <c r="AI498" s="33" t="s">
        <v>567</v>
      </c>
      <c r="AJ498" s="44" t="s">
        <v>57</v>
      </c>
      <c r="AK498" s="33">
        <v>2050</v>
      </c>
      <c r="AL498" s="45" t="str">
        <f t="shared" si="63"/>
        <v>*0.49</v>
      </c>
      <c r="AM498" s="43" t="str">
        <f t="shared" si="65"/>
        <v>REZoning_Sol-Win</v>
      </c>
      <c r="AP498" t="s">
        <v>567</v>
      </c>
      <c r="AQ498" t="s">
        <v>57</v>
      </c>
      <c r="AR498">
        <v>2100</v>
      </c>
      <c r="AS498" t="s">
        <v>75</v>
      </c>
      <c r="AT498" t="s">
        <v>58</v>
      </c>
    </row>
    <row r="499" ht="29" spans="1:46">
      <c r="A499" s="31" t="s">
        <v>65</v>
      </c>
      <c r="C499" t="s">
        <v>568</v>
      </c>
      <c r="D499" s="5" t="s">
        <v>57</v>
      </c>
      <c r="E499">
        <v>2035</v>
      </c>
      <c r="F499" s="6" t="str">
        <f t="shared" si="58"/>
        <v>*0.61</v>
      </c>
      <c r="H499" t="s">
        <v>568</v>
      </c>
      <c r="I499" s="5" t="s">
        <v>57</v>
      </c>
      <c r="J499">
        <v>2050</v>
      </c>
      <c r="K499" s="38" t="str">
        <f t="shared" si="59"/>
        <v>*0.5</v>
      </c>
      <c r="P499" s="32" t="s">
        <v>568</v>
      </c>
      <c r="Q499" s="42" t="s">
        <v>57</v>
      </c>
      <c r="R499" s="32">
        <v>2035</v>
      </c>
      <c r="S499" s="43" t="str">
        <f t="shared" si="60"/>
        <v>*0.58</v>
      </c>
      <c r="U499" s="32" t="s">
        <v>568</v>
      </c>
      <c r="V499" s="42" t="s">
        <v>57</v>
      </c>
      <c r="W499" s="32">
        <v>2050</v>
      </c>
      <c r="X499" s="43" t="str">
        <f t="shared" si="61"/>
        <v>*0.47</v>
      </c>
      <c r="AC499" s="33" t="s">
        <v>568</v>
      </c>
      <c r="AD499" s="44" t="s">
        <v>57</v>
      </c>
      <c r="AE499" s="33">
        <v>2035</v>
      </c>
      <c r="AF499" s="45" t="str">
        <f t="shared" si="62"/>
        <v>*0.53</v>
      </c>
      <c r="AG499" s="43" t="str">
        <f t="shared" si="64"/>
        <v>REZoning_Sol-Win</v>
      </c>
      <c r="AI499" s="33" t="s">
        <v>568</v>
      </c>
      <c r="AJ499" s="44" t="s">
        <v>57</v>
      </c>
      <c r="AK499" s="33">
        <v>2050</v>
      </c>
      <c r="AL499" s="45" t="str">
        <f t="shared" si="63"/>
        <v>*0.41</v>
      </c>
      <c r="AM499" s="43" t="str">
        <f t="shared" si="65"/>
        <v>REZoning_Sol-Win</v>
      </c>
      <c r="AP499" t="s">
        <v>568</v>
      </c>
      <c r="AQ499" t="s">
        <v>57</v>
      </c>
      <c r="AR499">
        <v>2100</v>
      </c>
      <c r="AS499" t="s">
        <v>67</v>
      </c>
      <c r="AT499" t="s">
        <v>58</v>
      </c>
    </row>
    <row r="500" ht="29" spans="1:46">
      <c r="A500" s="31" t="s">
        <v>65</v>
      </c>
      <c r="C500" t="s">
        <v>569</v>
      </c>
      <c r="D500" s="5" t="s">
        <v>57</v>
      </c>
      <c r="E500">
        <v>2035</v>
      </c>
      <c r="F500" s="6" t="str">
        <f t="shared" si="58"/>
        <v>*0.61</v>
      </c>
      <c r="H500" t="s">
        <v>569</v>
      </c>
      <c r="I500" s="5" t="s">
        <v>57</v>
      </c>
      <c r="J500">
        <v>2050</v>
      </c>
      <c r="K500" s="38" t="str">
        <f t="shared" si="59"/>
        <v>*0.5</v>
      </c>
      <c r="P500" s="32" t="s">
        <v>569</v>
      </c>
      <c r="Q500" s="42" t="s">
        <v>57</v>
      </c>
      <c r="R500" s="32">
        <v>2035</v>
      </c>
      <c r="S500" s="43" t="str">
        <f t="shared" si="60"/>
        <v>*0.58</v>
      </c>
      <c r="U500" s="32" t="s">
        <v>569</v>
      </c>
      <c r="V500" s="42" t="s">
        <v>57</v>
      </c>
      <c r="W500" s="32">
        <v>2050</v>
      </c>
      <c r="X500" s="43" t="str">
        <f t="shared" si="61"/>
        <v>*0.47</v>
      </c>
      <c r="AC500" s="33" t="s">
        <v>569</v>
      </c>
      <c r="AD500" s="44" t="s">
        <v>57</v>
      </c>
      <c r="AE500" s="33">
        <v>2035</v>
      </c>
      <c r="AF500" s="45" t="str">
        <f t="shared" si="62"/>
        <v>*0.53</v>
      </c>
      <c r="AG500" s="43" t="str">
        <f t="shared" si="64"/>
        <v>REZoning_Sol-Win</v>
      </c>
      <c r="AI500" s="33" t="s">
        <v>569</v>
      </c>
      <c r="AJ500" s="44" t="s">
        <v>57</v>
      </c>
      <c r="AK500" s="33">
        <v>2050</v>
      </c>
      <c r="AL500" s="45" t="str">
        <f t="shared" si="63"/>
        <v>*0.41</v>
      </c>
      <c r="AM500" s="43" t="str">
        <f t="shared" si="65"/>
        <v>REZoning_Sol-Win</v>
      </c>
      <c r="AP500" t="s">
        <v>569</v>
      </c>
      <c r="AQ500" t="s">
        <v>57</v>
      </c>
      <c r="AR500">
        <v>2100</v>
      </c>
      <c r="AS500" t="s">
        <v>67</v>
      </c>
      <c r="AT500" t="s">
        <v>58</v>
      </c>
    </row>
    <row r="501" ht="29" spans="1:46">
      <c r="A501" s="31" t="s">
        <v>55</v>
      </c>
      <c r="C501" t="s">
        <v>570</v>
      </c>
      <c r="D501" s="5" t="s">
        <v>57</v>
      </c>
      <c r="E501">
        <v>2035</v>
      </c>
      <c r="F501" s="6" t="str">
        <f t="shared" si="58"/>
        <v>*0.6</v>
      </c>
      <c r="H501" t="s">
        <v>570</v>
      </c>
      <c r="I501" s="5" t="s">
        <v>57</v>
      </c>
      <c r="J501">
        <v>2050</v>
      </c>
      <c r="K501" s="38" t="str">
        <f t="shared" si="59"/>
        <v>*0.49</v>
      </c>
      <c r="P501" s="32" t="s">
        <v>570</v>
      </c>
      <c r="Q501" s="42" t="s">
        <v>57</v>
      </c>
      <c r="R501" s="32">
        <v>2035</v>
      </c>
      <c r="S501" s="43" t="str">
        <f t="shared" si="60"/>
        <v>*0.58</v>
      </c>
      <c r="U501" s="32" t="s">
        <v>570</v>
      </c>
      <c r="V501" s="42" t="s">
        <v>57</v>
      </c>
      <c r="W501" s="32">
        <v>2050</v>
      </c>
      <c r="X501" s="43" t="str">
        <f t="shared" si="61"/>
        <v>*0.47</v>
      </c>
      <c r="AC501" s="33" t="s">
        <v>570</v>
      </c>
      <c r="AD501" s="44" t="s">
        <v>57</v>
      </c>
      <c r="AE501" s="33">
        <v>2035</v>
      </c>
      <c r="AF501" s="45" t="str">
        <f t="shared" si="62"/>
        <v>*0.55</v>
      </c>
      <c r="AG501" s="43" t="str">
        <f t="shared" si="64"/>
        <v>REZoning_Sol-Win</v>
      </c>
      <c r="AI501" s="33" t="s">
        <v>570</v>
      </c>
      <c r="AJ501" s="44" t="s">
        <v>57</v>
      </c>
      <c r="AK501" s="33">
        <v>2050</v>
      </c>
      <c r="AL501" s="45" t="str">
        <f t="shared" si="63"/>
        <v>*0.42</v>
      </c>
      <c r="AM501" s="43" t="str">
        <f t="shared" si="65"/>
        <v>REZoning_Sol-Win</v>
      </c>
      <c r="AP501" t="s">
        <v>570</v>
      </c>
      <c r="AQ501" t="s">
        <v>57</v>
      </c>
      <c r="AR501">
        <v>2100</v>
      </c>
      <c r="AS501" t="s">
        <v>59</v>
      </c>
      <c r="AT501" t="s">
        <v>58</v>
      </c>
    </row>
    <row r="502" ht="29" spans="1:46">
      <c r="A502" s="31" t="s">
        <v>73</v>
      </c>
      <c r="C502" t="s">
        <v>571</v>
      </c>
      <c r="D502" s="5" t="s">
        <v>57</v>
      </c>
      <c r="E502">
        <v>2035</v>
      </c>
      <c r="F502" s="6" t="str">
        <f t="shared" si="58"/>
        <v>*0.63</v>
      </c>
      <c r="H502" t="s">
        <v>571</v>
      </c>
      <c r="I502" s="5" t="s">
        <v>57</v>
      </c>
      <c r="J502">
        <v>2050</v>
      </c>
      <c r="K502" s="38" t="str">
        <f t="shared" si="59"/>
        <v>*0.54</v>
      </c>
      <c r="P502" s="32" t="s">
        <v>571</v>
      </c>
      <c r="Q502" s="42" t="s">
        <v>57</v>
      </c>
      <c r="R502" s="32">
        <v>2035</v>
      </c>
      <c r="S502" s="43" t="str">
        <f t="shared" si="60"/>
        <v>*0.62</v>
      </c>
      <c r="U502" s="32" t="s">
        <v>571</v>
      </c>
      <c r="V502" s="42" t="s">
        <v>57</v>
      </c>
      <c r="W502" s="32">
        <v>2050</v>
      </c>
      <c r="X502" s="43" t="str">
        <f t="shared" si="61"/>
        <v>*0.51</v>
      </c>
      <c r="AC502" s="33" t="s">
        <v>571</v>
      </c>
      <c r="AD502" s="44" t="s">
        <v>57</v>
      </c>
      <c r="AE502" s="33">
        <v>2035</v>
      </c>
      <c r="AF502" s="45" t="str">
        <f t="shared" si="62"/>
        <v>*0.58</v>
      </c>
      <c r="AG502" s="43" t="str">
        <f t="shared" si="64"/>
        <v>REZoning_Sol-Win</v>
      </c>
      <c r="AI502" s="33" t="s">
        <v>571</v>
      </c>
      <c r="AJ502" s="44" t="s">
        <v>57</v>
      </c>
      <c r="AK502" s="33">
        <v>2050</v>
      </c>
      <c r="AL502" s="45" t="str">
        <f t="shared" si="63"/>
        <v>*0.49</v>
      </c>
      <c r="AM502" s="43" t="str">
        <f t="shared" si="65"/>
        <v>REZoning_Sol-Win</v>
      </c>
      <c r="AP502" t="s">
        <v>571</v>
      </c>
      <c r="AQ502" t="s">
        <v>57</v>
      </c>
      <c r="AR502">
        <v>2100</v>
      </c>
      <c r="AS502" t="s">
        <v>75</v>
      </c>
      <c r="AT502" t="s">
        <v>58</v>
      </c>
    </row>
    <row r="503" ht="29" spans="1:46">
      <c r="A503" s="31" t="s">
        <v>73</v>
      </c>
      <c r="C503" t="s">
        <v>572</v>
      </c>
      <c r="D503" s="5" t="s">
        <v>57</v>
      </c>
      <c r="E503">
        <v>2035</v>
      </c>
      <c r="F503" s="6" t="str">
        <f t="shared" si="58"/>
        <v>*0.63</v>
      </c>
      <c r="H503" t="s">
        <v>572</v>
      </c>
      <c r="I503" s="5" t="s">
        <v>57</v>
      </c>
      <c r="J503">
        <v>2050</v>
      </c>
      <c r="K503" s="38" t="str">
        <f t="shared" si="59"/>
        <v>*0.54</v>
      </c>
      <c r="P503" s="32" t="s">
        <v>572</v>
      </c>
      <c r="Q503" s="42" t="s">
        <v>57</v>
      </c>
      <c r="R503" s="32">
        <v>2035</v>
      </c>
      <c r="S503" s="43" t="str">
        <f t="shared" si="60"/>
        <v>*0.62</v>
      </c>
      <c r="U503" s="32" t="s">
        <v>572</v>
      </c>
      <c r="V503" s="42" t="s">
        <v>57</v>
      </c>
      <c r="W503" s="32">
        <v>2050</v>
      </c>
      <c r="X503" s="43" t="str">
        <f t="shared" si="61"/>
        <v>*0.51</v>
      </c>
      <c r="AC503" s="33" t="s">
        <v>572</v>
      </c>
      <c r="AD503" s="44" t="s">
        <v>57</v>
      </c>
      <c r="AE503" s="33">
        <v>2035</v>
      </c>
      <c r="AF503" s="45" t="str">
        <f t="shared" si="62"/>
        <v>*0.58</v>
      </c>
      <c r="AG503" s="43" t="str">
        <f t="shared" si="64"/>
        <v>REZoning_Sol-Win</v>
      </c>
      <c r="AI503" s="33" t="s">
        <v>572</v>
      </c>
      <c r="AJ503" s="44" t="s">
        <v>57</v>
      </c>
      <c r="AK503" s="33">
        <v>2050</v>
      </c>
      <c r="AL503" s="45" t="str">
        <f t="shared" si="63"/>
        <v>*0.49</v>
      </c>
      <c r="AM503" s="43" t="str">
        <f t="shared" si="65"/>
        <v>REZoning_Sol-Win</v>
      </c>
      <c r="AP503" t="s">
        <v>572</v>
      </c>
      <c r="AQ503" t="s">
        <v>57</v>
      </c>
      <c r="AR503">
        <v>2100</v>
      </c>
      <c r="AS503" t="s">
        <v>75</v>
      </c>
      <c r="AT503" t="s">
        <v>58</v>
      </c>
    </row>
    <row r="504" ht="29" spans="1:46">
      <c r="A504" s="31" t="s">
        <v>73</v>
      </c>
      <c r="C504" t="s">
        <v>573</v>
      </c>
      <c r="D504" s="5" t="s">
        <v>57</v>
      </c>
      <c r="E504">
        <v>2035</v>
      </c>
      <c r="F504" s="6" t="str">
        <f t="shared" si="58"/>
        <v>*0.63</v>
      </c>
      <c r="H504" t="s">
        <v>573</v>
      </c>
      <c r="I504" s="5" t="s">
        <v>57</v>
      </c>
      <c r="J504">
        <v>2050</v>
      </c>
      <c r="K504" s="38" t="str">
        <f t="shared" si="59"/>
        <v>*0.54</v>
      </c>
      <c r="P504" s="32" t="s">
        <v>573</v>
      </c>
      <c r="Q504" s="42" t="s">
        <v>57</v>
      </c>
      <c r="R504" s="32">
        <v>2035</v>
      </c>
      <c r="S504" s="43" t="str">
        <f t="shared" si="60"/>
        <v>*0.62</v>
      </c>
      <c r="U504" s="32" t="s">
        <v>573</v>
      </c>
      <c r="V504" s="42" t="s">
        <v>57</v>
      </c>
      <c r="W504" s="32">
        <v>2050</v>
      </c>
      <c r="X504" s="43" t="str">
        <f t="shared" si="61"/>
        <v>*0.51</v>
      </c>
      <c r="AC504" s="33" t="s">
        <v>573</v>
      </c>
      <c r="AD504" s="44" t="s">
        <v>57</v>
      </c>
      <c r="AE504" s="33">
        <v>2035</v>
      </c>
      <c r="AF504" s="45" t="str">
        <f t="shared" si="62"/>
        <v>*0.58</v>
      </c>
      <c r="AG504" s="43" t="str">
        <f t="shared" si="64"/>
        <v>REZoning_Sol-Win</v>
      </c>
      <c r="AI504" s="33" t="s">
        <v>573</v>
      </c>
      <c r="AJ504" s="44" t="s">
        <v>57</v>
      </c>
      <c r="AK504" s="33">
        <v>2050</v>
      </c>
      <c r="AL504" s="45" t="str">
        <f t="shared" si="63"/>
        <v>*0.49</v>
      </c>
      <c r="AM504" s="43" t="str">
        <f t="shared" si="65"/>
        <v>REZoning_Sol-Win</v>
      </c>
      <c r="AP504" t="s">
        <v>573</v>
      </c>
      <c r="AQ504" t="s">
        <v>57</v>
      </c>
      <c r="AR504">
        <v>2100</v>
      </c>
      <c r="AS504" t="s">
        <v>75</v>
      </c>
      <c r="AT504" t="s">
        <v>58</v>
      </c>
    </row>
    <row r="505" ht="29" spans="1:46">
      <c r="A505" s="31" t="s">
        <v>169</v>
      </c>
      <c r="C505" t="s">
        <v>574</v>
      </c>
      <c r="D505" s="5" t="s">
        <v>57</v>
      </c>
      <c r="E505">
        <v>2035</v>
      </c>
      <c r="F505" s="6" t="str">
        <f t="shared" si="58"/>
        <v>*0.61</v>
      </c>
      <c r="H505" t="s">
        <v>574</v>
      </c>
      <c r="I505" s="5" t="s">
        <v>57</v>
      </c>
      <c r="J505">
        <v>2050</v>
      </c>
      <c r="K505" s="38" t="str">
        <f t="shared" si="59"/>
        <v>*0.49</v>
      </c>
      <c r="P505" s="32" t="s">
        <v>574</v>
      </c>
      <c r="Q505" s="42" t="s">
        <v>57</v>
      </c>
      <c r="R505" s="32">
        <v>2035</v>
      </c>
      <c r="S505" s="43" t="str">
        <f t="shared" si="60"/>
        <v>*0.59</v>
      </c>
      <c r="U505" s="32" t="s">
        <v>574</v>
      </c>
      <c r="V505" s="42" t="s">
        <v>57</v>
      </c>
      <c r="W505" s="32">
        <v>2050</v>
      </c>
      <c r="X505" s="43" t="str">
        <f t="shared" si="61"/>
        <v>*0.47</v>
      </c>
      <c r="AC505" s="33" t="s">
        <v>574</v>
      </c>
      <c r="AD505" s="44" t="s">
        <v>57</v>
      </c>
      <c r="AE505" s="33">
        <v>2035</v>
      </c>
      <c r="AF505" s="45" t="str">
        <f t="shared" si="62"/>
        <v>*0.54</v>
      </c>
      <c r="AG505" s="43" t="str">
        <f t="shared" si="64"/>
        <v>REZoning_Sol-Win</v>
      </c>
      <c r="AI505" s="33" t="s">
        <v>574</v>
      </c>
      <c r="AJ505" s="44" t="s">
        <v>57</v>
      </c>
      <c r="AK505" s="33">
        <v>2050</v>
      </c>
      <c r="AL505" s="45" t="str">
        <f t="shared" si="63"/>
        <v>*0.44</v>
      </c>
      <c r="AM505" s="43" t="str">
        <f t="shared" si="65"/>
        <v>REZoning_Sol-Win</v>
      </c>
      <c r="AP505" t="s">
        <v>574</v>
      </c>
      <c r="AQ505" t="s">
        <v>57</v>
      </c>
      <c r="AR505">
        <v>2100</v>
      </c>
      <c r="AS505" t="s">
        <v>171</v>
      </c>
      <c r="AT505" t="s">
        <v>58</v>
      </c>
    </row>
    <row r="506" ht="29" spans="1:46">
      <c r="A506" s="31" t="s">
        <v>169</v>
      </c>
      <c r="C506" t="s">
        <v>575</v>
      </c>
      <c r="D506" s="5" t="s">
        <v>57</v>
      </c>
      <c r="E506">
        <v>2035</v>
      </c>
      <c r="F506" s="6" t="str">
        <f t="shared" si="58"/>
        <v>*0.61</v>
      </c>
      <c r="H506" t="s">
        <v>575</v>
      </c>
      <c r="I506" s="5" t="s">
        <v>57</v>
      </c>
      <c r="J506">
        <v>2050</v>
      </c>
      <c r="K506" s="38" t="str">
        <f t="shared" si="59"/>
        <v>*0.49</v>
      </c>
      <c r="P506" s="32" t="s">
        <v>575</v>
      </c>
      <c r="Q506" s="42" t="s">
        <v>57</v>
      </c>
      <c r="R506" s="32">
        <v>2035</v>
      </c>
      <c r="S506" s="43" t="str">
        <f t="shared" si="60"/>
        <v>*0.59</v>
      </c>
      <c r="U506" s="32" t="s">
        <v>575</v>
      </c>
      <c r="V506" s="42" t="s">
        <v>57</v>
      </c>
      <c r="W506" s="32">
        <v>2050</v>
      </c>
      <c r="X506" s="43" t="str">
        <f t="shared" si="61"/>
        <v>*0.47</v>
      </c>
      <c r="AC506" s="33" t="s">
        <v>575</v>
      </c>
      <c r="AD506" s="44" t="s">
        <v>57</v>
      </c>
      <c r="AE506" s="33">
        <v>2035</v>
      </c>
      <c r="AF506" s="45" t="str">
        <f t="shared" si="62"/>
        <v>*0.54</v>
      </c>
      <c r="AG506" s="43" t="str">
        <f t="shared" si="64"/>
        <v>REZoning_Sol-Win</v>
      </c>
      <c r="AI506" s="33" t="s">
        <v>575</v>
      </c>
      <c r="AJ506" s="44" t="s">
        <v>57</v>
      </c>
      <c r="AK506" s="33">
        <v>2050</v>
      </c>
      <c r="AL506" s="45" t="str">
        <f t="shared" si="63"/>
        <v>*0.44</v>
      </c>
      <c r="AM506" s="43" t="str">
        <f t="shared" si="65"/>
        <v>REZoning_Sol-Win</v>
      </c>
      <c r="AP506" t="s">
        <v>575</v>
      </c>
      <c r="AQ506" t="s">
        <v>57</v>
      </c>
      <c r="AR506">
        <v>2100</v>
      </c>
      <c r="AS506" t="s">
        <v>171</v>
      </c>
      <c r="AT506" t="s">
        <v>58</v>
      </c>
    </row>
    <row r="507" ht="29" spans="1:46">
      <c r="A507" s="31" t="s">
        <v>65</v>
      </c>
      <c r="C507" t="s">
        <v>576</v>
      </c>
      <c r="D507" s="5" t="s">
        <v>57</v>
      </c>
      <c r="E507">
        <v>2035</v>
      </c>
      <c r="F507" s="6" t="str">
        <f t="shared" si="58"/>
        <v>*0.61</v>
      </c>
      <c r="H507" t="s">
        <v>576</v>
      </c>
      <c r="I507" s="5" t="s">
        <v>57</v>
      </c>
      <c r="J507">
        <v>2050</v>
      </c>
      <c r="K507" s="38" t="str">
        <f t="shared" si="59"/>
        <v>*0.5</v>
      </c>
      <c r="P507" s="32" t="s">
        <v>576</v>
      </c>
      <c r="Q507" s="42" t="s">
        <v>57</v>
      </c>
      <c r="R507" s="32">
        <v>2035</v>
      </c>
      <c r="S507" s="43" t="str">
        <f t="shared" si="60"/>
        <v>*0.58</v>
      </c>
      <c r="U507" s="32" t="s">
        <v>576</v>
      </c>
      <c r="V507" s="42" t="s">
        <v>57</v>
      </c>
      <c r="W507" s="32">
        <v>2050</v>
      </c>
      <c r="X507" s="43" t="str">
        <f t="shared" si="61"/>
        <v>*0.47</v>
      </c>
      <c r="AC507" s="33" t="s">
        <v>576</v>
      </c>
      <c r="AD507" s="44" t="s">
        <v>57</v>
      </c>
      <c r="AE507" s="33">
        <v>2035</v>
      </c>
      <c r="AF507" s="45" t="str">
        <f t="shared" si="62"/>
        <v>*0.53</v>
      </c>
      <c r="AG507" s="43" t="str">
        <f t="shared" si="64"/>
        <v>REZoning_Sol-Win</v>
      </c>
      <c r="AI507" s="33" t="s">
        <v>576</v>
      </c>
      <c r="AJ507" s="44" t="s">
        <v>57</v>
      </c>
      <c r="AK507" s="33">
        <v>2050</v>
      </c>
      <c r="AL507" s="45" t="str">
        <f t="shared" si="63"/>
        <v>*0.41</v>
      </c>
      <c r="AM507" s="43" t="str">
        <f t="shared" si="65"/>
        <v>REZoning_Sol-Win</v>
      </c>
      <c r="AP507" t="s">
        <v>576</v>
      </c>
      <c r="AQ507" t="s">
        <v>57</v>
      </c>
      <c r="AR507">
        <v>2100</v>
      </c>
      <c r="AS507" t="s">
        <v>67</v>
      </c>
      <c r="AT507" t="s">
        <v>58</v>
      </c>
    </row>
    <row r="508" ht="29" spans="1:46">
      <c r="A508" s="31" t="s">
        <v>65</v>
      </c>
      <c r="C508" t="s">
        <v>577</v>
      </c>
      <c r="D508" s="5" t="s">
        <v>57</v>
      </c>
      <c r="E508">
        <v>2035</v>
      </c>
      <c r="F508" s="6" t="str">
        <f t="shared" si="58"/>
        <v>*0.61</v>
      </c>
      <c r="H508" t="s">
        <v>577</v>
      </c>
      <c r="I508" s="5" t="s">
        <v>57</v>
      </c>
      <c r="J508">
        <v>2050</v>
      </c>
      <c r="K508" s="38" t="str">
        <f t="shared" si="59"/>
        <v>*0.5</v>
      </c>
      <c r="P508" s="32" t="s">
        <v>577</v>
      </c>
      <c r="Q508" s="42" t="s">
        <v>57</v>
      </c>
      <c r="R508" s="32">
        <v>2035</v>
      </c>
      <c r="S508" s="43" t="str">
        <f t="shared" si="60"/>
        <v>*0.58</v>
      </c>
      <c r="U508" s="32" t="s">
        <v>577</v>
      </c>
      <c r="V508" s="42" t="s">
        <v>57</v>
      </c>
      <c r="W508" s="32">
        <v>2050</v>
      </c>
      <c r="X508" s="43" t="str">
        <f t="shared" si="61"/>
        <v>*0.47</v>
      </c>
      <c r="AC508" s="33" t="s">
        <v>577</v>
      </c>
      <c r="AD508" s="44" t="s">
        <v>57</v>
      </c>
      <c r="AE508" s="33">
        <v>2035</v>
      </c>
      <c r="AF508" s="45" t="str">
        <f t="shared" si="62"/>
        <v>*0.53</v>
      </c>
      <c r="AG508" s="43" t="str">
        <f t="shared" si="64"/>
        <v>REZoning_Sol-Win</v>
      </c>
      <c r="AI508" s="33" t="s">
        <v>577</v>
      </c>
      <c r="AJ508" s="44" t="s">
        <v>57</v>
      </c>
      <c r="AK508" s="33">
        <v>2050</v>
      </c>
      <c r="AL508" s="45" t="str">
        <f t="shared" si="63"/>
        <v>*0.41</v>
      </c>
      <c r="AM508" s="43" t="str">
        <f t="shared" si="65"/>
        <v>REZoning_Sol-Win</v>
      </c>
      <c r="AP508" t="s">
        <v>577</v>
      </c>
      <c r="AQ508" t="s">
        <v>57</v>
      </c>
      <c r="AR508">
        <v>2100</v>
      </c>
      <c r="AS508" t="s">
        <v>67</v>
      </c>
      <c r="AT508" t="s">
        <v>58</v>
      </c>
    </row>
    <row r="509" ht="29" spans="1:46">
      <c r="A509" s="31" t="s">
        <v>65</v>
      </c>
      <c r="C509" t="s">
        <v>578</v>
      </c>
      <c r="D509" s="5" t="s">
        <v>57</v>
      </c>
      <c r="E509">
        <v>2035</v>
      </c>
      <c r="F509" s="6" t="str">
        <f t="shared" si="58"/>
        <v>*0.61</v>
      </c>
      <c r="H509" t="s">
        <v>578</v>
      </c>
      <c r="I509" s="5" t="s">
        <v>57</v>
      </c>
      <c r="J509">
        <v>2050</v>
      </c>
      <c r="K509" s="38" t="str">
        <f t="shared" si="59"/>
        <v>*0.5</v>
      </c>
      <c r="P509" s="32" t="s">
        <v>578</v>
      </c>
      <c r="Q509" s="42" t="s">
        <v>57</v>
      </c>
      <c r="R509" s="32">
        <v>2035</v>
      </c>
      <c r="S509" s="43" t="str">
        <f t="shared" si="60"/>
        <v>*0.58</v>
      </c>
      <c r="U509" s="32" t="s">
        <v>578</v>
      </c>
      <c r="V509" s="42" t="s">
        <v>57</v>
      </c>
      <c r="W509" s="32">
        <v>2050</v>
      </c>
      <c r="X509" s="43" t="str">
        <f t="shared" si="61"/>
        <v>*0.47</v>
      </c>
      <c r="AC509" s="33" t="s">
        <v>578</v>
      </c>
      <c r="AD509" s="44" t="s">
        <v>57</v>
      </c>
      <c r="AE509" s="33">
        <v>2035</v>
      </c>
      <c r="AF509" s="45" t="str">
        <f t="shared" si="62"/>
        <v>*0.53</v>
      </c>
      <c r="AG509" s="43" t="str">
        <f t="shared" si="64"/>
        <v>REZoning_Sol-Win</v>
      </c>
      <c r="AI509" s="33" t="s">
        <v>578</v>
      </c>
      <c r="AJ509" s="44" t="s">
        <v>57</v>
      </c>
      <c r="AK509" s="33">
        <v>2050</v>
      </c>
      <c r="AL509" s="45" t="str">
        <f t="shared" si="63"/>
        <v>*0.41</v>
      </c>
      <c r="AM509" s="43" t="str">
        <f t="shared" si="65"/>
        <v>REZoning_Sol-Win</v>
      </c>
      <c r="AP509" t="s">
        <v>578</v>
      </c>
      <c r="AQ509" t="s">
        <v>57</v>
      </c>
      <c r="AR509">
        <v>2100</v>
      </c>
      <c r="AS509" t="s">
        <v>67</v>
      </c>
      <c r="AT509" t="s">
        <v>58</v>
      </c>
    </row>
    <row r="510" ht="29" spans="1:46">
      <c r="A510" s="31" t="s">
        <v>65</v>
      </c>
      <c r="C510" t="s">
        <v>579</v>
      </c>
      <c r="D510" s="5" t="s">
        <v>57</v>
      </c>
      <c r="E510">
        <v>2035</v>
      </c>
      <c r="F510" s="6" t="str">
        <f t="shared" si="58"/>
        <v>*0.61</v>
      </c>
      <c r="H510" t="s">
        <v>579</v>
      </c>
      <c r="I510" s="5" t="s">
        <v>57</v>
      </c>
      <c r="J510">
        <v>2050</v>
      </c>
      <c r="K510" s="38" t="str">
        <f t="shared" si="59"/>
        <v>*0.5</v>
      </c>
      <c r="P510" s="32" t="s">
        <v>579</v>
      </c>
      <c r="Q510" s="42" t="s">
        <v>57</v>
      </c>
      <c r="R510" s="32">
        <v>2035</v>
      </c>
      <c r="S510" s="43" t="str">
        <f t="shared" si="60"/>
        <v>*0.58</v>
      </c>
      <c r="U510" s="32" t="s">
        <v>579</v>
      </c>
      <c r="V510" s="42" t="s">
        <v>57</v>
      </c>
      <c r="W510" s="32">
        <v>2050</v>
      </c>
      <c r="X510" s="43" t="str">
        <f t="shared" si="61"/>
        <v>*0.47</v>
      </c>
      <c r="AC510" s="33" t="s">
        <v>579</v>
      </c>
      <c r="AD510" s="44" t="s">
        <v>57</v>
      </c>
      <c r="AE510" s="33">
        <v>2035</v>
      </c>
      <c r="AF510" s="45" t="str">
        <f t="shared" si="62"/>
        <v>*0.53</v>
      </c>
      <c r="AG510" s="43" t="str">
        <f t="shared" si="64"/>
        <v>REZoning_Sol-Win</v>
      </c>
      <c r="AI510" s="33" t="s">
        <v>579</v>
      </c>
      <c r="AJ510" s="44" t="s">
        <v>57</v>
      </c>
      <c r="AK510" s="33">
        <v>2050</v>
      </c>
      <c r="AL510" s="45" t="str">
        <f t="shared" si="63"/>
        <v>*0.41</v>
      </c>
      <c r="AM510" s="43" t="str">
        <f t="shared" si="65"/>
        <v>REZoning_Sol-Win</v>
      </c>
      <c r="AP510" t="s">
        <v>579</v>
      </c>
      <c r="AQ510" t="s">
        <v>57</v>
      </c>
      <c r="AR510">
        <v>2100</v>
      </c>
      <c r="AS510" t="s">
        <v>67</v>
      </c>
      <c r="AT510" t="s">
        <v>58</v>
      </c>
    </row>
    <row r="511" ht="29" spans="1:46">
      <c r="A511" s="31" t="s">
        <v>65</v>
      </c>
      <c r="C511" t="s">
        <v>580</v>
      </c>
      <c r="D511" s="5" t="s">
        <v>57</v>
      </c>
      <c r="E511">
        <v>2035</v>
      </c>
      <c r="F511" s="6" t="str">
        <f t="shared" si="58"/>
        <v>*0.61</v>
      </c>
      <c r="H511" t="s">
        <v>580</v>
      </c>
      <c r="I511" s="5" t="s">
        <v>57</v>
      </c>
      <c r="J511">
        <v>2050</v>
      </c>
      <c r="K511" s="38" t="str">
        <f t="shared" si="59"/>
        <v>*0.5</v>
      </c>
      <c r="P511" s="32" t="s">
        <v>580</v>
      </c>
      <c r="Q511" s="42" t="s">
        <v>57</v>
      </c>
      <c r="R511" s="32">
        <v>2035</v>
      </c>
      <c r="S511" s="43" t="str">
        <f t="shared" si="60"/>
        <v>*0.58</v>
      </c>
      <c r="U511" s="32" t="s">
        <v>580</v>
      </c>
      <c r="V511" s="42" t="s">
        <v>57</v>
      </c>
      <c r="W511" s="32">
        <v>2050</v>
      </c>
      <c r="X511" s="43" t="str">
        <f t="shared" si="61"/>
        <v>*0.47</v>
      </c>
      <c r="AC511" s="33" t="s">
        <v>580</v>
      </c>
      <c r="AD511" s="44" t="s">
        <v>57</v>
      </c>
      <c r="AE511" s="33">
        <v>2035</v>
      </c>
      <c r="AF511" s="45" t="str">
        <f t="shared" si="62"/>
        <v>*0.53</v>
      </c>
      <c r="AG511" s="43" t="str">
        <f t="shared" si="64"/>
        <v>REZoning_Sol-Win</v>
      </c>
      <c r="AI511" s="33" t="s">
        <v>580</v>
      </c>
      <c r="AJ511" s="44" t="s">
        <v>57</v>
      </c>
      <c r="AK511" s="33">
        <v>2050</v>
      </c>
      <c r="AL511" s="45" t="str">
        <f t="shared" si="63"/>
        <v>*0.41</v>
      </c>
      <c r="AM511" s="43" t="str">
        <f t="shared" si="65"/>
        <v>REZoning_Sol-Win</v>
      </c>
      <c r="AP511" t="s">
        <v>580</v>
      </c>
      <c r="AQ511" t="s">
        <v>57</v>
      </c>
      <c r="AR511">
        <v>2100</v>
      </c>
      <c r="AS511" t="s">
        <v>67</v>
      </c>
      <c r="AT511" t="s">
        <v>58</v>
      </c>
    </row>
    <row r="512" ht="29" spans="1:46">
      <c r="A512" s="31" t="s">
        <v>65</v>
      </c>
      <c r="C512" t="s">
        <v>581</v>
      </c>
      <c r="D512" s="5" t="s">
        <v>57</v>
      </c>
      <c r="E512">
        <v>2035</v>
      </c>
      <c r="F512" s="6" t="str">
        <f t="shared" si="58"/>
        <v>*0.61</v>
      </c>
      <c r="H512" t="s">
        <v>581</v>
      </c>
      <c r="I512" s="5" t="s">
        <v>57</v>
      </c>
      <c r="J512">
        <v>2050</v>
      </c>
      <c r="K512" s="38" t="str">
        <f t="shared" si="59"/>
        <v>*0.5</v>
      </c>
      <c r="P512" s="32" t="s">
        <v>581</v>
      </c>
      <c r="Q512" s="42" t="s">
        <v>57</v>
      </c>
      <c r="R512" s="32">
        <v>2035</v>
      </c>
      <c r="S512" s="43" t="str">
        <f t="shared" si="60"/>
        <v>*0.58</v>
      </c>
      <c r="U512" s="32" t="s">
        <v>581</v>
      </c>
      <c r="V512" s="42" t="s">
        <v>57</v>
      </c>
      <c r="W512" s="32">
        <v>2050</v>
      </c>
      <c r="X512" s="43" t="str">
        <f t="shared" si="61"/>
        <v>*0.47</v>
      </c>
      <c r="AC512" s="33" t="s">
        <v>581</v>
      </c>
      <c r="AD512" s="44" t="s">
        <v>57</v>
      </c>
      <c r="AE512" s="33">
        <v>2035</v>
      </c>
      <c r="AF512" s="45" t="str">
        <f t="shared" si="62"/>
        <v>*0.53</v>
      </c>
      <c r="AG512" s="43" t="str">
        <f t="shared" si="64"/>
        <v>REZoning_Sol-Win</v>
      </c>
      <c r="AI512" s="33" t="s">
        <v>581</v>
      </c>
      <c r="AJ512" s="44" t="s">
        <v>57</v>
      </c>
      <c r="AK512" s="33">
        <v>2050</v>
      </c>
      <c r="AL512" s="45" t="str">
        <f t="shared" si="63"/>
        <v>*0.41</v>
      </c>
      <c r="AM512" s="43" t="str">
        <f t="shared" si="65"/>
        <v>REZoning_Sol-Win</v>
      </c>
      <c r="AP512" t="s">
        <v>581</v>
      </c>
      <c r="AQ512" t="s">
        <v>57</v>
      </c>
      <c r="AR512">
        <v>2100</v>
      </c>
      <c r="AS512" t="s">
        <v>67</v>
      </c>
      <c r="AT512" t="s">
        <v>58</v>
      </c>
    </row>
    <row r="513" ht="29" spans="1:46">
      <c r="A513" s="31" t="s">
        <v>65</v>
      </c>
      <c r="C513" t="s">
        <v>582</v>
      </c>
      <c r="D513" s="5" t="s">
        <v>57</v>
      </c>
      <c r="E513">
        <v>2035</v>
      </c>
      <c r="F513" s="6" t="str">
        <f t="shared" si="58"/>
        <v>*0.61</v>
      </c>
      <c r="H513" t="s">
        <v>582</v>
      </c>
      <c r="I513" s="5" t="s">
        <v>57</v>
      </c>
      <c r="J513">
        <v>2050</v>
      </c>
      <c r="K513" s="38" t="str">
        <f t="shared" si="59"/>
        <v>*0.5</v>
      </c>
      <c r="P513" s="32" t="s">
        <v>582</v>
      </c>
      <c r="Q513" s="42" t="s">
        <v>57</v>
      </c>
      <c r="R513" s="32">
        <v>2035</v>
      </c>
      <c r="S513" s="43" t="str">
        <f t="shared" si="60"/>
        <v>*0.58</v>
      </c>
      <c r="U513" s="32" t="s">
        <v>582</v>
      </c>
      <c r="V513" s="42" t="s">
        <v>57</v>
      </c>
      <c r="W513" s="32">
        <v>2050</v>
      </c>
      <c r="X513" s="43" t="str">
        <f t="shared" si="61"/>
        <v>*0.47</v>
      </c>
      <c r="AC513" s="33" t="s">
        <v>582</v>
      </c>
      <c r="AD513" s="44" t="s">
        <v>57</v>
      </c>
      <c r="AE513" s="33">
        <v>2035</v>
      </c>
      <c r="AF513" s="45" t="str">
        <f t="shared" si="62"/>
        <v>*0.53</v>
      </c>
      <c r="AG513" s="43" t="str">
        <f t="shared" si="64"/>
        <v>REZoning_Sol-Win</v>
      </c>
      <c r="AI513" s="33" t="s">
        <v>582</v>
      </c>
      <c r="AJ513" s="44" t="s">
        <v>57</v>
      </c>
      <c r="AK513" s="33">
        <v>2050</v>
      </c>
      <c r="AL513" s="45" t="str">
        <f t="shared" si="63"/>
        <v>*0.41</v>
      </c>
      <c r="AM513" s="43" t="str">
        <f t="shared" si="65"/>
        <v>REZoning_Sol-Win</v>
      </c>
      <c r="AP513" t="s">
        <v>582</v>
      </c>
      <c r="AQ513" t="s">
        <v>57</v>
      </c>
      <c r="AR513">
        <v>2100</v>
      </c>
      <c r="AS513" t="s">
        <v>67</v>
      </c>
      <c r="AT513" t="s">
        <v>58</v>
      </c>
    </row>
    <row r="514" ht="29" spans="1:46">
      <c r="A514" s="31" t="s">
        <v>65</v>
      </c>
      <c r="C514" t="s">
        <v>583</v>
      </c>
      <c r="D514" s="5" t="s">
        <v>57</v>
      </c>
      <c r="E514">
        <v>2035</v>
      </c>
      <c r="F514" s="6" t="str">
        <f t="shared" si="58"/>
        <v>*0.61</v>
      </c>
      <c r="H514" t="s">
        <v>583</v>
      </c>
      <c r="I514" s="5" t="s">
        <v>57</v>
      </c>
      <c r="J514">
        <v>2050</v>
      </c>
      <c r="K514" s="38" t="str">
        <f t="shared" si="59"/>
        <v>*0.5</v>
      </c>
      <c r="P514" s="32" t="s">
        <v>583</v>
      </c>
      <c r="Q514" s="42" t="s">
        <v>57</v>
      </c>
      <c r="R514" s="32">
        <v>2035</v>
      </c>
      <c r="S514" s="43" t="str">
        <f t="shared" si="60"/>
        <v>*0.58</v>
      </c>
      <c r="U514" s="32" t="s">
        <v>583</v>
      </c>
      <c r="V514" s="42" t="s">
        <v>57</v>
      </c>
      <c r="W514" s="32">
        <v>2050</v>
      </c>
      <c r="X514" s="43" t="str">
        <f t="shared" si="61"/>
        <v>*0.47</v>
      </c>
      <c r="AC514" s="33" t="s">
        <v>583</v>
      </c>
      <c r="AD514" s="44" t="s">
        <v>57</v>
      </c>
      <c r="AE514" s="33">
        <v>2035</v>
      </c>
      <c r="AF514" s="45" t="str">
        <f t="shared" si="62"/>
        <v>*0.53</v>
      </c>
      <c r="AG514" s="43" t="str">
        <f t="shared" si="64"/>
        <v>REZoning_Sol-Win</v>
      </c>
      <c r="AI514" s="33" t="s">
        <v>583</v>
      </c>
      <c r="AJ514" s="44" t="s">
        <v>57</v>
      </c>
      <c r="AK514" s="33">
        <v>2050</v>
      </c>
      <c r="AL514" s="45" t="str">
        <f t="shared" si="63"/>
        <v>*0.41</v>
      </c>
      <c r="AM514" s="43" t="str">
        <f t="shared" si="65"/>
        <v>REZoning_Sol-Win</v>
      </c>
      <c r="AP514" t="s">
        <v>583</v>
      </c>
      <c r="AQ514" t="s">
        <v>57</v>
      </c>
      <c r="AR514">
        <v>2100</v>
      </c>
      <c r="AS514" t="s">
        <v>67</v>
      </c>
      <c r="AT514" t="s">
        <v>58</v>
      </c>
    </row>
    <row r="515" ht="29" spans="1:46">
      <c r="A515" s="31" t="s">
        <v>65</v>
      </c>
      <c r="C515" t="s">
        <v>584</v>
      </c>
      <c r="D515" s="5" t="s">
        <v>57</v>
      </c>
      <c r="E515">
        <v>2035</v>
      </c>
      <c r="F515" s="6" t="str">
        <f t="shared" si="58"/>
        <v>*0.61</v>
      </c>
      <c r="H515" t="s">
        <v>584</v>
      </c>
      <c r="I515" s="5" t="s">
        <v>57</v>
      </c>
      <c r="J515">
        <v>2050</v>
      </c>
      <c r="K515" s="38" t="str">
        <f t="shared" si="59"/>
        <v>*0.5</v>
      </c>
      <c r="P515" s="32" t="s">
        <v>584</v>
      </c>
      <c r="Q515" s="42" t="s">
        <v>57</v>
      </c>
      <c r="R515" s="32">
        <v>2035</v>
      </c>
      <c r="S515" s="43" t="str">
        <f t="shared" si="60"/>
        <v>*0.58</v>
      </c>
      <c r="U515" s="32" t="s">
        <v>584</v>
      </c>
      <c r="V515" s="42" t="s">
        <v>57</v>
      </c>
      <c r="W515" s="32">
        <v>2050</v>
      </c>
      <c r="X515" s="43" t="str">
        <f t="shared" si="61"/>
        <v>*0.47</v>
      </c>
      <c r="AC515" s="33" t="s">
        <v>584</v>
      </c>
      <c r="AD515" s="44" t="s">
        <v>57</v>
      </c>
      <c r="AE515" s="33">
        <v>2035</v>
      </c>
      <c r="AF515" s="45" t="str">
        <f t="shared" si="62"/>
        <v>*0.53</v>
      </c>
      <c r="AG515" s="43" t="str">
        <f t="shared" si="64"/>
        <v>REZoning_Sol-Win</v>
      </c>
      <c r="AI515" s="33" t="s">
        <v>584</v>
      </c>
      <c r="AJ515" s="44" t="s">
        <v>57</v>
      </c>
      <c r="AK515" s="33">
        <v>2050</v>
      </c>
      <c r="AL515" s="45" t="str">
        <f t="shared" si="63"/>
        <v>*0.41</v>
      </c>
      <c r="AM515" s="43" t="str">
        <f t="shared" si="65"/>
        <v>REZoning_Sol-Win</v>
      </c>
      <c r="AP515" t="s">
        <v>584</v>
      </c>
      <c r="AQ515" t="s">
        <v>57</v>
      </c>
      <c r="AR515">
        <v>2100</v>
      </c>
      <c r="AS515" t="s">
        <v>67</v>
      </c>
      <c r="AT515" t="s">
        <v>58</v>
      </c>
    </row>
    <row r="516" ht="29" spans="1:46">
      <c r="A516" s="31" t="s">
        <v>65</v>
      </c>
      <c r="C516" t="s">
        <v>585</v>
      </c>
      <c r="D516" s="5" t="s">
        <v>57</v>
      </c>
      <c r="E516">
        <v>2035</v>
      </c>
      <c r="F516" s="6" t="str">
        <f t="shared" ref="F516:F579" si="66">"*"&amp;IF(AND(A516="EU",E516=2035),0.63,IF(AND(A516="EU",E516=2050),0.54,IF(AND(A516="USA",E516=2035),0.64,IF(AND(A516="USA",E516=2050),0.54,IF(AND(A516="Japan",E516=2035),0.68,IF(AND(A516="Japan",E516=2050),0.58,IF(AND(A516="Russia",E516=2035),0.65,IF(AND(A516="Russia",E516=2050),0.54,IF(AND(A516="China",E516=2035),0.61,IF(AND(A516="China",E516=2050),0.49,IF(AND(A516="India",E516=2035),0.6,IF(AND(A516="India",E516=2050),0.49,IF(AND(A516="Middle East",E516=2035),0.6,IF(AND(A516="Middle East",E516=2050),0.5,IF(AND(A516="Africa",E516=2035),0.61,IF(AND(A516="Africa",E516=2050),0.5,IF(AND(A516="Brazil",E516=2035),0.64,IF(AND(A516="Brazil",E516=2050),0.54,""))))))))))))))))))</f>
        <v>*0.61</v>
      </c>
      <c r="H516" t="s">
        <v>585</v>
      </c>
      <c r="I516" s="5" t="s">
        <v>57</v>
      </c>
      <c r="J516">
        <v>2050</v>
      </c>
      <c r="K516" s="38" t="str">
        <f t="shared" ref="K516:K579" si="67">"*"&amp;IF(AND(A516="EU",J516=2035),0.63,IF(AND(A516="EU",J516=2050),0.54,IF(AND(A516="USA",J516=2035),0.64,IF(AND(A516="USA",J516=2050),0.54,IF(AND(A516="Japan",J516=2035),0.68,IF(AND(A516="Japan",J516=2050),0.58,IF(AND(A516="Russia",J516=2035),0.65,IF(AND(A516="Russia",J516=2050),0.54,IF(AND(A516="China",J516=2035),0.61,IF(AND(A516="China",J516=2050),0.49,IF(AND(A516="India",J516=2035),0.6,IF(AND(A516="India",J516=2050),0.49,IF(AND(A516="Middle East",J516=2035),0.6,IF(AND(A516="Middle East",J516=2050),0.5,IF(AND(A516="Africa",J516=2035),0.61,IF(AND(A516="Africa",J516=2050),0.5,IF(AND(A516="Brazil",J516=2035),0.64,IF(AND(A516="Brazil",J516=2050),0.54,""))))))))))))))))))</f>
        <v>*0.5</v>
      </c>
      <c r="P516" s="32" t="s">
        <v>585</v>
      </c>
      <c r="Q516" s="42" t="s">
        <v>57</v>
      </c>
      <c r="R516" s="32">
        <v>2035</v>
      </c>
      <c r="S516" s="43" t="str">
        <f t="shared" ref="S516:S579" si="68">"*"&amp;IF(AND(A516="EU",R516=2035),0.62,IF(AND(A516="EU",R516=2050),0.51,IF(AND(A516="USA",R516=2035),0.62,IF(AND(A516="USA",R516=2050),0.5,IF(AND(A516="Japan",R516=2035),0.65,IF(AND(A516="Japan",R516=2050),0.55,IF(AND(A516="Russia",R516=2035),0.63,IF(AND(A516="Russia",R516=2050),0.52,IF(AND(A516="China",R516=2035),0.59,IF(AND(A516="China",R516=2050),0.47,IF(AND(A516="India",R516=2035),0.58,IF(AND(A516="India",R516=2050),0.47,IF(AND(A516="Middle East",R516=2035),0.59,IF(AND(A516="Middle East",R516=2050),0.47,IF(AND(A516="Africa",R516=2035),0.58,IF(AND(A516="Africa",R516=2050),0.47,IF(AND(A516="Brazil",R516=2035),0.64,IF(AND(A516="Brazil",R516=2050),0.53,""))))))))))))))))))</f>
        <v>*0.58</v>
      </c>
      <c r="U516" s="32" t="s">
        <v>585</v>
      </c>
      <c r="V516" s="42" t="s">
        <v>57</v>
      </c>
      <c r="W516" s="32">
        <v>2050</v>
      </c>
      <c r="X516" s="43" t="str">
        <f t="shared" ref="X516:X579" si="69">"*"&amp;IF(AND(A516="EU",W516=2035),0.62,IF(AND(A516="EU",W516=2050),0.51,IF(AND(A516="USA",W516=2035),0.62,IF(AND(A516="USA",W516=2050),0.5,IF(AND(A516="Japan",W516=2035),0.65,IF(AND(A516="Japan",W516=2050),0.55,IF(AND(A516="Russia",W516=2035),0.63,IF(AND(A516="Russia",W516=2050),0.52,IF(AND(A516="China",W516=2035),0.59,IF(AND(A516="China",W516=2050),0.47,IF(AND(A516="India",W516=2035),0.58,IF(AND(A516="India",W516=2050),0.47,IF(AND(A516="Middle East",W516=2035),0.59,IF(AND(A516="Middle East",W516=2050),0.47,IF(AND(A516="Africa",W516=2035),0.58,IF(AND(A516="Africa",W516=2050),0.47,IF(AND(A516="Brazil",W516=2035),0.64,IF(AND(A516="Brazil",W516=2050),0.53,""))))))))))))))))))</f>
        <v>*0.47</v>
      </c>
      <c r="AC516" s="33" t="s">
        <v>585</v>
      </c>
      <c r="AD516" s="44" t="s">
        <v>57</v>
      </c>
      <c r="AE516" s="33">
        <v>2035</v>
      </c>
      <c r="AF516" s="45" t="str">
        <f t="shared" ref="AF516:AF579" si="70">"*"&amp;IF(AND(A516="EU",AE516=2035),0.58,IF(AND(A516="EU",AE516=2050),0.49,IF(AND(A516="USA",AE516=2035),0.56,IF(AND(A516="USA",AE516=2050),0.45,IF(AND(A516="Japan",AE516=2035),0.62,IF(AND(A516="Japan",AE516=2050),0.51,IF(AND(A516="Russia",AE516=2035),0.55,IF(AND(A516="Russia",AE516=2050),0.41,IF(AND(A516="China",AE516=2035),0.54,IF(AND(A516="China",AE516=2050),0.44,IF(AND(A516="India",AE516=2035),0.55,IF(AND(A516="India",AE516=2050),0.42,IF(AND(A516="Middle East",AE516=2035),0.53,IF(AND(A516="Middle East",AE516=2050),0.41,IF(AND(A516="Africa",AE516=2035),0.53,IF(AND(A516="Africa",AE516=2050),0.41,IF(AND(A516="Brazil",AE516=2035),0.6,IF(AND(A516="Brazil",AE516=2050),0.5,""))))))))))))))))))</f>
        <v>*0.53</v>
      </c>
      <c r="AG516" s="43" t="str">
        <f t="shared" si="64"/>
        <v>REZoning_Sol-Win</v>
      </c>
      <c r="AI516" s="33" t="s">
        <v>585</v>
      </c>
      <c r="AJ516" s="44" t="s">
        <v>57</v>
      </c>
      <c r="AK516" s="33">
        <v>2050</v>
      </c>
      <c r="AL516" s="45" t="str">
        <f t="shared" ref="AL516:AL579" si="71">"*"&amp;IF(AND(A516="EU",AK516=2035),0.58,IF(AND(A516="EU",AK516=2050),0.49,IF(AND(A516="USA",AK516=2035),0.56,IF(AND(A516="USA",AK516=2050),0.45,IF(AND(A516="Japan",AK516=2035),0.62,IF(AND(A516="Japan",AK516=2050),0.51,IF(AND(A516="Russia",AK516=2035),0.55,IF(AND(A516="Russia",AK516=2050),0.41,IF(AND(A516="China",AK516=2035),0.54,IF(AND(A516="China",AK516=2050),0.44,IF(AND(A516="India",AK516=2035),0.55,IF(AND(A516="India",AK516=2050),0.42,IF(AND(A516="Middle East",AK516=2035),0.53,IF(AND(A516="Middle East",AK516=2050),0.41,IF(AND(A516="Africa",AK516=2035),0.53,IF(AND(A516="Africa",AK516=2050),0.41,IF(AND(A516="Brazil",AK516=2035),0.6,IF(AND(A516="Brazil",AK516=2050),0.5,""))))))))))))))))))</f>
        <v>*0.41</v>
      </c>
      <c r="AM516" s="43" t="str">
        <f t="shared" si="65"/>
        <v>REZoning_Sol-Win</v>
      </c>
      <c r="AP516" t="s">
        <v>585</v>
      </c>
      <c r="AQ516" t="s">
        <v>57</v>
      </c>
      <c r="AR516">
        <v>2100</v>
      </c>
      <c r="AS516" t="s">
        <v>67</v>
      </c>
      <c r="AT516" t="s">
        <v>58</v>
      </c>
    </row>
    <row r="517" ht="29" spans="1:46">
      <c r="A517" s="31" t="s">
        <v>65</v>
      </c>
      <c r="C517" t="s">
        <v>586</v>
      </c>
      <c r="D517" s="5" t="s">
        <v>57</v>
      </c>
      <c r="E517">
        <v>2035</v>
      </c>
      <c r="F517" s="6" t="str">
        <f t="shared" si="66"/>
        <v>*0.61</v>
      </c>
      <c r="H517" t="s">
        <v>586</v>
      </c>
      <c r="I517" s="5" t="s">
        <v>57</v>
      </c>
      <c r="J517">
        <v>2050</v>
      </c>
      <c r="K517" s="38" t="str">
        <f t="shared" si="67"/>
        <v>*0.5</v>
      </c>
      <c r="P517" s="32" t="s">
        <v>586</v>
      </c>
      <c r="Q517" s="42" t="s">
        <v>57</v>
      </c>
      <c r="R517" s="32">
        <v>2035</v>
      </c>
      <c r="S517" s="43" t="str">
        <f t="shared" si="68"/>
        <v>*0.58</v>
      </c>
      <c r="U517" s="32" t="s">
        <v>586</v>
      </c>
      <c r="V517" s="42" t="s">
        <v>57</v>
      </c>
      <c r="W517" s="32">
        <v>2050</v>
      </c>
      <c r="X517" s="43" t="str">
        <f t="shared" si="69"/>
        <v>*0.47</v>
      </c>
      <c r="AC517" s="33" t="s">
        <v>586</v>
      </c>
      <c r="AD517" s="44" t="s">
        <v>57</v>
      </c>
      <c r="AE517" s="33">
        <v>2035</v>
      </c>
      <c r="AF517" s="45" t="str">
        <f t="shared" si="70"/>
        <v>*0.53</v>
      </c>
      <c r="AG517" s="43" t="str">
        <f t="shared" si="64"/>
        <v>REZoning_Sol-Win</v>
      </c>
      <c r="AI517" s="33" t="s">
        <v>586</v>
      </c>
      <c r="AJ517" s="44" t="s">
        <v>57</v>
      </c>
      <c r="AK517" s="33">
        <v>2050</v>
      </c>
      <c r="AL517" s="45" t="str">
        <f t="shared" si="71"/>
        <v>*0.41</v>
      </c>
      <c r="AM517" s="43" t="str">
        <f t="shared" si="65"/>
        <v>REZoning_Sol-Win</v>
      </c>
      <c r="AP517" t="s">
        <v>586</v>
      </c>
      <c r="AQ517" t="s">
        <v>57</v>
      </c>
      <c r="AR517">
        <v>2100</v>
      </c>
      <c r="AS517" t="s">
        <v>67</v>
      </c>
      <c r="AT517" t="s">
        <v>58</v>
      </c>
    </row>
    <row r="518" ht="29" spans="1:46">
      <c r="A518" s="31" t="s">
        <v>65</v>
      </c>
      <c r="C518" t="s">
        <v>587</v>
      </c>
      <c r="D518" s="5" t="s">
        <v>57</v>
      </c>
      <c r="E518">
        <v>2035</v>
      </c>
      <c r="F518" s="6" t="str">
        <f t="shared" si="66"/>
        <v>*0.61</v>
      </c>
      <c r="H518" t="s">
        <v>587</v>
      </c>
      <c r="I518" s="5" t="s">
        <v>57</v>
      </c>
      <c r="J518">
        <v>2050</v>
      </c>
      <c r="K518" s="38" t="str">
        <f t="shared" si="67"/>
        <v>*0.5</v>
      </c>
      <c r="P518" s="32" t="s">
        <v>587</v>
      </c>
      <c r="Q518" s="42" t="s">
        <v>57</v>
      </c>
      <c r="R518" s="32">
        <v>2035</v>
      </c>
      <c r="S518" s="43" t="str">
        <f t="shared" si="68"/>
        <v>*0.58</v>
      </c>
      <c r="U518" s="32" t="s">
        <v>587</v>
      </c>
      <c r="V518" s="42" t="s">
        <v>57</v>
      </c>
      <c r="W518" s="32">
        <v>2050</v>
      </c>
      <c r="X518" s="43" t="str">
        <f t="shared" si="69"/>
        <v>*0.47</v>
      </c>
      <c r="AC518" s="33" t="s">
        <v>587</v>
      </c>
      <c r="AD518" s="44" t="s">
        <v>57</v>
      </c>
      <c r="AE518" s="33">
        <v>2035</v>
      </c>
      <c r="AF518" s="45" t="str">
        <f t="shared" si="70"/>
        <v>*0.53</v>
      </c>
      <c r="AG518" s="43" t="str">
        <f t="shared" si="64"/>
        <v>REZoning_Sol-Win</v>
      </c>
      <c r="AI518" s="33" t="s">
        <v>587</v>
      </c>
      <c r="AJ518" s="44" t="s">
        <v>57</v>
      </c>
      <c r="AK518" s="33">
        <v>2050</v>
      </c>
      <c r="AL518" s="45" t="str">
        <f t="shared" si="71"/>
        <v>*0.41</v>
      </c>
      <c r="AM518" s="43" t="str">
        <f t="shared" si="65"/>
        <v>REZoning_Sol-Win</v>
      </c>
      <c r="AP518" t="s">
        <v>587</v>
      </c>
      <c r="AQ518" t="s">
        <v>57</v>
      </c>
      <c r="AR518">
        <v>2100</v>
      </c>
      <c r="AS518" t="s">
        <v>67</v>
      </c>
      <c r="AT518" t="s">
        <v>58</v>
      </c>
    </row>
    <row r="519" ht="29" spans="1:46">
      <c r="A519" s="31" t="s">
        <v>65</v>
      </c>
      <c r="C519" t="s">
        <v>588</v>
      </c>
      <c r="D519" s="5" t="s">
        <v>57</v>
      </c>
      <c r="E519">
        <v>2035</v>
      </c>
      <c r="F519" s="6" t="str">
        <f t="shared" si="66"/>
        <v>*0.61</v>
      </c>
      <c r="H519" t="s">
        <v>588</v>
      </c>
      <c r="I519" s="5" t="s">
        <v>57</v>
      </c>
      <c r="J519">
        <v>2050</v>
      </c>
      <c r="K519" s="38" t="str">
        <f t="shared" si="67"/>
        <v>*0.5</v>
      </c>
      <c r="P519" s="32" t="s">
        <v>588</v>
      </c>
      <c r="Q519" s="42" t="s">
        <v>57</v>
      </c>
      <c r="R519" s="32">
        <v>2035</v>
      </c>
      <c r="S519" s="43" t="str">
        <f t="shared" si="68"/>
        <v>*0.58</v>
      </c>
      <c r="U519" s="32" t="s">
        <v>588</v>
      </c>
      <c r="V519" s="42" t="s">
        <v>57</v>
      </c>
      <c r="W519" s="32">
        <v>2050</v>
      </c>
      <c r="X519" s="43" t="str">
        <f t="shared" si="69"/>
        <v>*0.47</v>
      </c>
      <c r="AC519" s="33" t="s">
        <v>588</v>
      </c>
      <c r="AD519" s="44" t="s">
        <v>57</v>
      </c>
      <c r="AE519" s="33">
        <v>2035</v>
      </c>
      <c r="AF519" s="45" t="str">
        <f t="shared" si="70"/>
        <v>*0.53</v>
      </c>
      <c r="AG519" s="43" t="str">
        <f t="shared" si="64"/>
        <v>REZoning_Sol-Win</v>
      </c>
      <c r="AI519" s="33" t="s">
        <v>588</v>
      </c>
      <c r="AJ519" s="44" t="s">
        <v>57</v>
      </c>
      <c r="AK519" s="33">
        <v>2050</v>
      </c>
      <c r="AL519" s="45" t="str">
        <f t="shared" si="71"/>
        <v>*0.41</v>
      </c>
      <c r="AM519" s="43" t="str">
        <f t="shared" si="65"/>
        <v>REZoning_Sol-Win</v>
      </c>
      <c r="AP519" t="s">
        <v>588</v>
      </c>
      <c r="AQ519" t="s">
        <v>57</v>
      </c>
      <c r="AR519">
        <v>2100</v>
      </c>
      <c r="AS519" t="s">
        <v>67</v>
      </c>
      <c r="AT519" t="s">
        <v>58</v>
      </c>
    </row>
    <row r="520" ht="29" spans="1:46">
      <c r="A520" s="31" t="s">
        <v>65</v>
      </c>
      <c r="C520" t="s">
        <v>589</v>
      </c>
      <c r="D520" s="5" t="s">
        <v>57</v>
      </c>
      <c r="E520">
        <v>2035</v>
      </c>
      <c r="F520" s="6" t="str">
        <f t="shared" si="66"/>
        <v>*0.61</v>
      </c>
      <c r="H520" t="s">
        <v>589</v>
      </c>
      <c r="I520" s="5" t="s">
        <v>57</v>
      </c>
      <c r="J520">
        <v>2050</v>
      </c>
      <c r="K520" s="38" t="str">
        <f t="shared" si="67"/>
        <v>*0.5</v>
      </c>
      <c r="P520" s="32" t="s">
        <v>589</v>
      </c>
      <c r="Q520" s="42" t="s">
        <v>57</v>
      </c>
      <c r="R520" s="32">
        <v>2035</v>
      </c>
      <c r="S520" s="43" t="str">
        <f t="shared" si="68"/>
        <v>*0.58</v>
      </c>
      <c r="U520" s="32" t="s">
        <v>589</v>
      </c>
      <c r="V520" s="42" t="s">
        <v>57</v>
      </c>
      <c r="W520" s="32">
        <v>2050</v>
      </c>
      <c r="X520" s="43" t="str">
        <f t="shared" si="69"/>
        <v>*0.47</v>
      </c>
      <c r="AC520" s="33" t="s">
        <v>589</v>
      </c>
      <c r="AD520" s="44" t="s">
        <v>57</v>
      </c>
      <c r="AE520" s="33">
        <v>2035</v>
      </c>
      <c r="AF520" s="45" t="str">
        <f t="shared" si="70"/>
        <v>*0.53</v>
      </c>
      <c r="AG520" s="43" t="str">
        <f t="shared" si="64"/>
        <v>REZoning_Sol-Win</v>
      </c>
      <c r="AI520" s="33" t="s">
        <v>589</v>
      </c>
      <c r="AJ520" s="44" t="s">
        <v>57</v>
      </c>
      <c r="AK520" s="33">
        <v>2050</v>
      </c>
      <c r="AL520" s="45" t="str">
        <f t="shared" si="71"/>
        <v>*0.41</v>
      </c>
      <c r="AM520" s="43" t="str">
        <f t="shared" si="65"/>
        <v>REZoning_Sol-Win</v>
      </c>
      <c r="AP520" t="s">
        <v>589</v>
      </c>
      <c r="AQ520" t="s">
        <v>57</v>
      </c>
      <c r="AR520">
        <v>2100</v>
      </c>
      <c r="AS520" t="s">
        <v>67</v>
      </c>
      <c r="AT520" t="s">
        <v>58</v>
      </c>
    </row>
    <row r="521" ht="29" spans="1:46">
      <c r="A521" s="31" t="s">
        <v>65</v>
      </c>
      <c r="C521" t="s">
        <v>590</v>
      </c>
      <c r="D521" s="5" t="s">
        <v>57</v>
      </c>
      <c r="E521">
        <v>2035</v>
      </c>
      <c r="F521" s="6" t="str">
        <f t="shared" si="66"/>
        <v>*0.61</v>
      </c>
      <c r="H521" t="s">
        <v>590</v>
      </c>
      <c r="I521" s="5" t="s">
        <v>57</v>
      </c>
      <c r="J521">
        <v>2050</v>
      </c>
      <c r="K521" s="38" t="str">
        <f t="shared" si="67"/>
        <v>*0.5</v>
      </c>
      <c r="P521" s="32" t="s">
        <v>590</v>
      </c>
      <c r="Q521" s="42" t="s">
        <v>57</v>
      </c>
      <c r="R521" s="32">
        <v>2035</v>
      </c>
      <c r="S521" s="43" t="str">
        <f t="shared" si="68"/>
        <v>*0.58</v>
      </c>
      <c r="U521" s="32" t="s">
        <v>590</v>
      </c>
      <c r="V521" s="42" t="s">
        <v>57</v>
      </c>
      <c r="W521" s="32">
        <v>2050</v>
      </c>
      <c r="X521" s="43" t="str">
        <f t="shared" si="69"/>
        <v>*0.47</v>
      </c>
      <c r="AC521" s="33" t="s">
        <v>590</v>
      </c>
      <c r="AD521" s="44" t="s">
        <v>57</v>
      </c>
      <c r="AE521" s="33">
        <v>2035</v>
      </c>
      <c r="AF521" s="45" t="str">
        <f t="shared" si="70"/>
        <v>*0.53</v>
      </c>
      <c r="AG521" s="43" t="str">
        <f t="shared" ref="AG521:AG584" si="72">AG520</f>
        <v>REZoning_Sol-Win</v>
      </c>
      <c r="AI521" s="33" t="s">
        <v>590</v>
      </c>
      <c r="AJ521" s="44" t="s">
        <v>57</v>
      </c>
      <c r="AK521" s="33">
        <v>2050</v>
      </c>
      <c r="AL521" s="45" t="str">
        <f t="shared" si="71"/>
        <v>*0.41</v>
      </c>
      <c r="AM521" s="43" t="str">
        <f t="shared" ref="AM521:AM584" si="73">AM520</f>
        <v>REZoning_Sol-Win</v>
      </c>
      <c r="AP521" t="s">
        <v>590</v>
      </c>
      <c r="AQ521" t="s">
        <v>57</v>
      </c>
      <c r="AR521">
        <v>2100</v>
      </c>
      <c r="AS521" t="s">
        <v>67</v>
      </c>
      <c r="AT521" t="s">
        <v>58</v>
      </c>
    </row>
    <row r="522" ht="29" spans="1:46">
      <c r="A522" s="31" t="s">
        <v>65</v>
      </c>
      <c r="C522" t="s">
        <v>591</v>
      </c>
      <c r="D522" s="5" t="s">
        <v>57</v>
      </c>
      <c r="E522">
        <v>2035</v>
      </c>
      <c r="F522" s="6" t="str">
        <f t="shared" si="66"/>
        <v>*0.61</v>
      </c>
      <c r="H522" t="s">
        <v>591</v>
      </c>
      <c r="I522" s="5" t="s">
        <v>57</v>
      </c>
      <c r="J522">
        <v>2050</v>
      </c>
      <c r="K522" s="38" t="str">
        <f t="shared" si="67"/>
        <v>*0.5</v>
      </c>
      <c r="P522" s="32" t="s">
        <v>591</v>
      </c>
      <c r="Q522" s="42" t="s">
        <v>57</v>
      </c>
      <c r="R522" s="32">
        <v>2035</v>
      </c>
      <c r="S522" s="43" t="str">
        <f t="shared" si="68"/>
        <v>*0.58</v>
      </c>
      <c r="U522" s="32" t="s">
        <v>591</v>
      </c>
      <c r="V522" s="42" t="s">
        <v>57</v>
      </c>
      <c r="W522" s="32">
        <v>2050</v>
      </c>
      <c r="X522" s="43" t="str">
        <f t="shared" si="69"/>
        <v>*0.47</v>
      </c>
      <c r="AC522" s="33" t="s">
        <v>591</v>
      </c>
      <c r="AD522" s="44" t="s">
        <v>57</v>
      </c>
      <c r="AE522" s="33">
        <v>2035</v>
      </c>
      <c r="AF522" s="45" t="str">
        <f t="shared" si="70"/>
        <v>*0.53</v>
      </c>
      <c r="AG522" s="43" t="str">
        <f t="shared" si="72"/>
        <v>REZoning_Sol-Win</v>
      </c>
      <c r="AI522" s="33" t="s">
        <v>591</v>
      </c>
      <c r="AJ522" s="44" t="s">
        <v>57</v>
      </c>
      <c r="AK522" s="33">
        <v>2050</v>
      </c>
      <c r="AL522" s="45" t="str">
        <f t="shared" si="71"/>
        <v>*0.41</v>
      </c>
      <c r="AM522" s="43" t="str">
        <f t="shared" si="73"/>
        <v>REZoning_Sol-Win</v>
      </c>
      <c r="AP522" t="s">
        <v>591</v>
      </c>
      <c r="AQ522" t="s">
        <v>57</v>
      </c>
      <c r="AR522">
        <v>2100</v>
      </c>
      <c r="AS522" t="s">
        <v>67</v>
      </c>
      <c r="AT522" t="s">
        <v>58</v>
      </c>
    </row>
    <row r="523" ht="29" spans="1:46">
      <c r="A523" s="31" t="s">
        <v>169</v>
      </c>
      <c r="C523" t="s">
        <v>592</v>
      </c>
      <c r="D523" s="5" t="s">
        <v>57</v>
      </c>
      <c r="E523">
        <v>2035</v>
      </c>
      <c r="F523" s="6" t="str">
        <f t="shared" si="66"/>
        <v>*0.61</v>
      </c>
      <c r="H523" t="s">
        <v>592</v>
      </c>
      <c r="I523" s="5" t="s">
        <v>57</v>
      </c>
      <c r="J523">
        <v>2050</v>
      </c>
      <c r="K523" s="38" t="str">
        <f t="shared" si="67"/>
        <v>*0.49</v>
      </c>
      <c r="P523" s="32" t="s">
        <v>592</v>
      </c>
      <c r="Q523" s="42" t="s">
        <v>57</v>
      </c>
      <c r="R523" s="32">
        <v>2035</v>
      </c>
      <c r="S523" s="43" t="str">
        <f t="shared" si="68"/>
        <v>*0.59</v>
      </c>
      <c r="U523" s="32" t="s">
        <v>592</v>
      </c>
      <c r="V523" s="42" t="s">
        <v>57</v>
      </c>
      <c r="W523" s="32">
        <v>2050</v>
      </c>
      <c r="X523" s="43" t="str">
        <f t="shared" si="69"/>
        <v>*0.47</v>
      </c>
      <c r="AC523" s="33" t="s">
        <v>592</v>
      </c>
      <c r="AD523" s="44" t="s">
        <v>57</v>
      </c>
      <c r="AE523" s="33">
        <v>2035</v>
      </c>
      <c r="AF523" s="45" t="str">
        <f t="shared" si="70"/>
        <v>*0.54</v>
      </c>
      <c r="AG523" s="43" t="str">
        <f t="shared" si="72"/>
        <v>REZoning_Sol-Win</v>
      </c>
      <c r="AI523" s="33" t="s">
        <v>592</v>
      </c>
      <c r="AJ523" s="44" t="s">
        <v>57</v>
      </c>
      <c r="AK523" s="33">
        <v>2050</v>
      </c>
      <c r="AL523" s="45" t="str">
        <f t="shared" si="71"/>
        <v>*0.44</v>
      </c>
      <c r="AM523" s="43" t="str">
        <f t="shared" si="73"/>
        <v>REZoning_Sol-Win</v>
      </c>
      <c r="AP523" t="s">
        <v>592</v>
      </c>
      <c r="AQ523" t="s">
        <v>57</v>
      </c>
      <c r="AR523">
        <v>2100</v>
      </c>
      <c r="AS523" t="s">
        <v>171</v>
      </c>
      <c r="AT523" t="s">
        <v>58</v>
      </c>
    </row>
    <row r="524" ht="29" spans="1:46">
      <c r="A524" s="31" t="s">
        <v>169</v>
      </c>
      <c r="C524" t="s">
        <v>593</v>
      </c>
      <c r="D524" s="5" t="s">
        <v>57</v>
      </c>
      <c r="E524">
        <v>2035</v>
      </c>
      <c r="F524" s="6" t="str">
        <f t="shared" si="66"/>
        <v>*0.61</v>
      </c>
      <c r="H524" t="s">
        <v>593</v>
      </c>
      <c r="I524" s="5" t="s">
        <v>57</v>
      </c>
      <c r="J524">
        <v>2050</v>
      </c>
      <c r="K524" s="38" t="str">
        <f t="shared" si="67"/>
        <v>*0.49</v>
      </c>
      <c r="P524" s="32" t="s">
        <v>593</v>
      </c>
      <c r="Q524" s="42" t="s">
        <v>57</v>
      </c>
      <c r="R524" s="32">
        <v>2035</v>
      </c>
      <c r="S524" s="43" t="str">
        <f t="shared" si="68"/>
        <v>*0.59</v>
      </c>
      <c r="U524" s="32" t="s">
        <v>593</v>
      </c>
      <c r="V524" s="42" t="s">
        <v>57</v>
      </c>
      <c r="W524" s="32">
        <v>2050</v>
      </c>
      <c r="X524" s="43" t="str">
        <f t="shared" si="69"/>
        <v>*0.47</v>
      </c>
      <c r="AC524" s="33" t="s">
        <v>593</v>
      </c>
      <c r="AD524" s="44" t="s">
        <v>57</v>
      </c>
      <c r="AE524" s="33">
        <v>2035</v>
      </c>
      <c r="AF524" s="45" t="str">
        <f t="shared" si="70"/>
        <v>*0.54</v>
      </c>
      <c r="AG524" s="43" t="str">
        <f t="shared" si="72"/>
        <v>REZoning_Sol-Win</v>
      </c>
      <c r="AI524" s="33" t="s">
        <v>593</v>
      </c>
      <c r="AJ524" s="44" t="s">
        <v>57</v>
      </c>
      <c r="AK524" s="33">
        <v>2050</v>
      </c>
      <c r="AL524" s="45" t="str">
        <f t="shared" si="71"/>
        <v>*0.44</v>
      </c>
      <c r="AM524" s="43" t="str">
        <f t="shared" si="73"/>
        <v>REZoning_Sol-Win</v>
      </c>
      <c r="AP524" t="s">
        <v>593</v>
      </c>
      <c r="AQ524" t="s">
        <v>57</v>
      </c>
      <c r="AR524">
        <v>2100</v>
      </c>
      <c r="AS524" t="s">
        <v>171</v>
      </c>
      <c r="AT524" t="s">
        <v>58</v>
      </c>
    </row>
    <row r="525" ht="29" spans="1:46">
      <c r="A525" s="31" t="s">
        <v>169</v>
      </c>
      <c r="C525" t="s">
        <v>594</v>
      </c>
      <c r="D525" s="5" t="s">
        <v>57</v>
      </c>
      <c r="E525">
        <v>2035</v>
      </c>
      <c r="F525" s="6" t="str">
        <f t="shared" si="66"/>
        <v>*0.61</v>
      </c>
      <c r="H525" t="s">
        <v>594</v>
      </c>
      <c r="I525" s="5" t="s">
        <v>57</v>
      </c>
      <c r="J525">
        <v>2050</v>
      </c>
      <c r="K525" s="38" t="str">
        <f t="shared" si="67"/>
        <v>*0.49</v>
      </c>
      <c r="P525" s="32" t="s">
        <v>594</v>
      </c>
      <c r="Q525" s="42" t="s">
        <v>57</v>
      </c>
      <c r="R525" s="32">
        <v>2035</v>
      </c>
      <c r="S525" s="43" t="str">
        <f t="shared" si="68"/>
        <v>*0.59</v>
      </c>
      <c r="U525" s="32" t="s">
        <v>594</v>
      </c>
      <c r="V525" s="42" t="s">
        <v>57</v>
      </c>
      <c r="W525" s="32">
        <v>2050</v>
      </c>
      <c r="X525" s="43" t="str">
        <f t="shared" si="69"/>
        <v>*0.47</v>
      </c>
      <c r="AC525" s="33" t="s">
        <v>594</v>
      </c>
      <c r="AD525" s="44" t="s">
        <v>57</v>
      </c>
      <c r="AE525" s="33">
        <v>2035</v>
      </c>
      <c r="AF525" s="45" t="str">
        <f t="shared" si="70"/>
        <v>*0.54</v>
      </c>
      <c r="AG525" s="43" t="str">
        <f t="shared" si="72"/>
        <v>REZoning_Sol-Win</v>
      </c>
      <c r="AI525" s="33" t="s">
        <v>594</v>
      </c>
      <c r="AJ525" s="44" t="s">
        <v>57</v>
      </c>
      <c r="AK525" s="33">
        <v>2050</v>
      </c>
      <c r="AL525" s="45" t="str">
        <f t="shared" si="71"/>
        <v>*0.44</v>
      </c>
      <c r="AM525" s="43" t="str">
        <f t="shared" si="73"/>
        <v>REZoning_Sol-Win</v>
      </c>
      <c r="AP525" t="s">
        <v>594</v>
      </c>
      <c r="AQ525" t="s">
        <v>57</v>
      </c>
      <c r="AR525">
        <v>2100</v>
      </c>
      <c r="AS525" t="s">
        <v>171</v>
      </c>
      <c r="AT525" t="s">
        <v>58</v>
      </c>
    </row>
    <row r="526" ht="29" spans="1:46">
      <c r="A526" s="31" t="s">
        <v>169</v>
      </c>
      <c r="C526" t="s">
        <v>595</v>
      </c>
      <c r="D526" s="5" t="s">
        <v>57</v>
      </c>
      <c r="E526">
        <v>2035</v>
      </c>
      <c r="F526" s="6" t="str">
        <f t="shared" si="66"/>
        <v>*0.61</v>
      </c>
      <c r="H526" t="s">
        <v>595</v>
      </c>
      <c r="I526" s="5" t="s">
        <v>57</v>
      </c>
      <c r="J526">
        <v>2050</v>
      </c>
      <c r="K526" s="38" t="str">
        <f t="shared" si="67"/>
        <v>*0.49</v>
      </c>
      <c r="P526" s="32" t="s">
        <v>595</v>
      </c>
      <c r="Q526" s="42" t="s">
        <v>57</v>
      </c>
      <c r="R526" s="32">
        <v>2035</v>
      </c>
      <c r="S526" s="43" t="str">
        <f t="shared" si="68"/>
        <v>*0.59</v>
      </c>
      <c r="U526" s="32" t="s">
        <v>595</v>
      </c>
      <c r="V526" s="42" t="s">
        <v>57</v>
      </c>
      <c r="W526" s="32">
        <v>2050</v>
      </c>
      <c r="X526" s="43" t="str">
        <f t="shared" si="69"/>
        <v>*0.47</v>
      </c>
      <c r="AC526" s="33" t="s">
        <v>595</v>
      </c>
      <c r="AD526" s="44" t="s">
        <v>57</v>
      </c>
      <c r="AE526" s="33">
        <v>2035</v>
      </c>
      <c r="AF526" s="45" t="str">
        <f t="shared" si="70"/>
        <v>*0.54</v>
      </c>
      <c r="AG526" s="43" t="str">
        <f t="shared" si="72"/>
        <v>REZoning_Sol-Win</v>
      </c>
      <c r="AI526" s="33" t="s">
        <v>595</v>
      </c>
      <c r="AJ526" s="44" t="s">
        <v>57</v>
      </c>
      <c r="AK526" s="33">
        <v>2050</v>
      </c>
      <c r="AL526" s="45" t="str">
        <f t="shared" si="71"/>
        <v>*0.44</v>
      </c>
      <c r="AM526" s="43" t="str">
        <f t="shared" si="73"/>
        <v>REZoning_Sol-Win</v>
      </c>
      <c r="AP526" t="s">
        <v>595</v>
      </c>
      <c r="AQ526" t="s">
        <v>57</v>
      </c>
      <c r="AR526">
        <v>2100</v>
      </c>
      <c r="AS526" t="s">
        <v>171</v>
      </c>
      <c r="AT526" t="s">
        <v>58</v>
      </c>
    </row>
    <row r="527" ht="29" spans="1:46">
      <c r="A527" s="31" t="s">
        <v>169</v>
      </c>
      <c r="C527" t="s">
        <v>596</v>
      </c>
      <c r="D527" s="5" t="s">
        <v>57</v>
      </c>
      <c r="E527">
        <v>2035</v>
      </c>
      <c r="F527" s="6" t="str">
        <f t="shared" si="66"/>
        <v>*0.61</v>
      </c>
      <c r="H527" t="s">
        <v>596</v>
      </c>
      <c r="I527" s="5" t="s">
        <v>57</v>
      </c>
      <c r="J527">
        <v>2050</v>
      </c>
      <c r="K527" s="38" t="str">
        <f t="shared" si="67"/>
        <v>*0.49</v>
      </c>
      <c r="P527" s="32" t="s">
        <v>596</v>
      </c>
      <c r="Q527" s="42" t="s">
        <v>57</v>
      </c>
      <c r="R527" s="32">
        <v>2035</v>
      </c>
      <c r="S527" s="43" t="str">
        <f t="shared" si="68"/>
        <v>*0.59</v>
      </c>
      <c r="U527" s="32" t="s">
        <v>596</v>
      </c>
      <c r="V527" s="42" t="s">
        <v>57</v>
      </c>
      <c r="W527" s="32">
        <v>2050</v>
      </c>
      <c r="X527" s="43" t="str">
        <f t="shared" si="69"/>
        <v>*0.47</v>
      </c>
      <c r="AC527" s="33" t="s">
        <v>596</v>
      </c>
      <c r="AD527" s="44" t="s">
        <v>57</v>
      </c>
      <c r="AE527" s="33">
        <v>2035</v>
      </c>
      <c r="AF527" s="45" t="str">
        <f t="shared" si="70"/>
        <v>*0.54</v>
      </c>
      <c r="AG527" s="43" t="str">
        <f t="shared" si="72"/>
        <v>REZoning_Sol-Win</v>
      </c>
      <c r="AI527" s="33" t="s">
        <v>596</v>
      </c>
      <c r="AJ527" s="44" t="s">
        <v>57</v>
      </c>
      <c r="AK527" s="33">
        <v>2050</v>
      </c>
      <c r="AL527" s="45" t="str">
        <f t="shared" si="71"/>
        <v>*0.44</v>
      </c>
      <c r="AM527" s="43" t="str">
        <f t="shared" si="73"/>
        <v>REZoning_Sol-Win</v>
      </c>
      <c r="AP527" t="s">
        <v>596</v>
      </c>
      <c r="AQ527" t="s">
        <v>57</v>
      </c>
      <c r="AR527">
        <v>2100</v>
      </c>
      <c r="AS527" t="s">
        <v>171</v>
      </c>
      <c r="AT527" t="s">
        <v>58</v>
      </c>
    </row>
    <row r="528" ht="29" spans="1:46">
      <c r="A528" s="31" t="s">
        <v>169</v>
      </c>
      <c r="C528" t="s">
        <v>597</v>
      </c>
      <c r="D528" s="5" t="s">
        <v>57</v>
      </c>
      <c r="E528">
        <v>2035</v>
      </c>
      <c r="F528" s="6" t="str">
        <f t="shared" si="66"/>
        <v>*0.61</v>
      </c>
      <c r="H528" t="s">
        <v>597</v>
      </c>
      <c r="I528" s="5" t="s">
        <v>57</v>
      </c>
      <c r="J528">
        <v>2050</v>
      </c>
      <c r="K528" s="38" t="str">
        <f t="shared" si="67"/>
        <v>*0.49</v>
      </c>
      <c r="P528" s="32" t="s">
        <v>597</v>
      </c>
      <c r="Q528" s="42" t="s">
        <v>57</v>
      </c>
      <c r="R528" s="32">
        <v>2035</v>
      </c>
      <c r="S528" s="43" t="str">
        <f t="shared" si="68"/>
        <v>*0.59</v>
      </c>
      <c r="U528" s="32" t="s">
        <v>597</v>
      </c>
      <c r="V528" s="42" t="s">
        <v>57</v>
      </c>
      <c r="W528" s="32">
        <v>2050</v>
      </c>
      <c r="X528" s="43" t="str">
        <f t="shared" si="69"/>
        <v>*0.47</v>
      </c>
      <c r="AC528" s="33" t="s">
        <v>597</v>
      </c>
      <c r="AD528" s="44" t="s">
        <v>57</v>
      </c>
      <c r="AE528" s="33">
        <v>2035</v>
      </c>
      <c r="AF528" s="45" t="str">
        <f t="shared" si="70"/>
        <v>*0.54</v>
      </c>
      <c r="AG528" s="43" t="str">
        <f t="shared" si="72"/>
        <v>REZoning_Sol-Win</v>
      </c>
      <c r="AI528" s="33" t="s">
        <v>597</v>
      </c>
      <c r="AJ528" s="44" t="s">
        <v>57</v>
      </c>
      <c r="AK528" s="33">
        <v>2050</v>
      </c>
      <c r="AL528" s="45" t="str">
        <f t="shared" si="71"/>
        <v>*0.44</v>
      </c>
      <c r="AM528" s="43" t="str">
        <f t="shared" si="73"/>
        <v>REZoning_Sol-Win</v>
      </c>
      <c r="AP528" t="s">
        <v>597</v>
      </c>
      <c r="AQ528" t="s">
        <v>57</v>
      </c>
      <c r="AR528">
        <v>2100</v>
      </c>
      <c r="AS528" t="s">
        <v>171</v>
      </c>
      <c r="AT528" t="s">
        <v>58</v>
      </c>
    </row>
    <row r="529" ht="29" spans="1:46">
      <c r="A529" s="31" t="s">
        <v>169</v>
      </c>
      <c r="C529" t="s">
        <v>598</v>
      </c>
      <c r="D529" s="5" t="s">
        <v>57</v>
      </c>
      <c r="E529">
        <v>2035</v>
      </c>
      <c r="F529" s="6" t="str">
        <f t="shared" si="66"/>
        <v>*0.61</v>
      </c>
      <c r="H529" t="s">
        <v>598</v>
      </c>
      <c r="I529" s="5" t="s">
        <v>57</v>
      </c>
      <c r="J529">
        <v>2050</v>
      </c>
      <c r="K529" s="38" t="str">
        <f t="shared" si="67"/>
        <v>*0.49</v>
      </c>
      <c r="P529" s="32" t="s">
        <v>598</v>
      </c>
      <c r="Q529" s="42" t="s">
        <v>57</v>
      </c>
      <c r="R529" s="32">
        <v>2035</v>
      </c>
      <c r="S529" s="43" t="str">
        <f t="shared" si="68"/>
        <v>*0.59</v>
      </c>
      <c r="U529" s="32" t="s">
        <v>598</v>
      </c>
      <c r="V529" s="42" t="s">
        <v>57</v>
      </c>
      <c r="W529" s="32">
        <v>2050</v>
      </c>
      <c r="X529" s="43" t="str">
        <f t="shared" si="69"/>
        <v>*0.47</v>
      </c>
      <c r="AC529" s="33" t="s">
        <v>598</v>
      </c>
      <c r="AD529" s="44" t="s">
        <v>57</v>
      </c>
      <c r="AE529" s="33">
        <v>2035</v>
      </c>
      <c r="AF529" s="45" t="str">
        <f t="shared" si="70"/>
        <v>*0.54</v>
      </c>
      <c r="AG529" s="43" t="str">
        <f t="shared" si="72"/>
        <v>REZoning_Sol-Win</v>
      </c>
      <c r="AI529" s="33" t="s">
        <v>598</v>
      </c>
      <c r="AJ529" s="44" t="s">
        <v>57</v>
      </c>
      <c r="AK529" s="33">
        <v>2050</v>
      </c>
      <c r="AL529" s="45" t="str">
        <f t="shared" si="71"/>
        <v>*0.44</v>
      </c>
      <c r="AM529" s="43" t="str">
        <f t="shared" si="73"/>
        <v>REZoning_Sol-Win</v>
      </c>
      <c r="AP529" t="s">
        <v>598</v>
      </c>
      <c r="AQ529" t="s">
        <v>57</v>
      </c>
      <c r="AR529">
        <v>2100</v>
      </c>
      <c r="AS529" t="s">
        <v>171</v>
      </c>
      <c r="AT529" t="s">
        <v>58</v>
      </c>
    </row>
    <row r="530" ht="29" spans="1:46">
      <c r="A530" s="31" t="s">
        <v>169</v>
      </c>
      <c r="C530" t="s">
        <v>599</v>
      </c>
      <c r="D530" s="5" t="s">
        <v>57</v>
      </c>
      <c r="E530">
        <v>2035</v>
      </c>
      <c r="F530" s="6" t="str">
        <f t="shared" si="66"/>
        <v>*0.61</v>
      </c>
      <c r="H530" t="s">
        <v>599</v>
      </c>
      <c r="I530" s="5" t="s">
        <v>57</v>
      </c>
      <c r="J530">
        <v>2050</v>
      </c>
      <c r="K530" s="38" t="str">
        <f t="shared" si="67"/>
        <v>*0.49</v>
      </c>
      <c r="P530" s="32" t="s">
        <v>599</v>
      </c>
      <c r="Q530" s="42" t="s">
        <v>57</v>
      </c>
      <c r="R530" s="32">
        <v>2035</v>
      </c>
      <c r="S530" s="43" t="str">
        <f t="shared" si="68"/>
        <v>*0.59</v>
      </c>
      <c r="U530" s="32" t="s">
        <v>599</v>
      </c>
      <c r="V530" s="42" t="s">
        <v>57</v>
      </c>
      <c r="W530" s="32">
        <v>2050</v>
      </c>
      <c r="X530" s="43" t="str">
        <f t="shared" si="69"/>
        <v>*0.47</v>
      </c>
      <c r="AC530" s="33" t="s">
        <v>599</v>
      </c>
      <c r="AD530" s="44" t="s">
        <v>57</v>
      </c>
      <c r="AE530" s="33">
        <v>2035</v>
      </c>
      <c r="AF530" s="45" t="str">
        <f t="shared" si="70"/>
        <v>*0.54</v>
      </c>
      <c r="AG530" s="43" t="str">
        <f t="shared" si="72"/>
        <v>REZoning_Sol-Win</v>
      </c>
      <c r="AI530" s="33" t="s">
        <v>599</v>
      </c>
      <c r="AJ530" s="44" t="s">
        <v>57</v>
      </c>
      <c r="AK530" s="33">
        <v>2050</v>
      </c>
      <c r="AL530" s="45" t="str">
        <f t="shared" si="71"/>
        <v>*0.44</v>
      </c>
      <c r="AM530" s="43" t="str">
        <f t="shared" si="73"/>
        <v>REZoning_Sol-Win</v>
      </c>
      <c r="AP530" t="s">
        <v>599</v>
      </c>
      <c r="AQ530" t="s">
        <v>57</v>
      </c>
      <c r="AR530">
        <v>2100</v>
      </c>
      <c r="AS530" t="s">
        <v>171</v>
      </c>
      <c r="AT530" t="s">
        <v>58</v>
      </c>
    </row>
    <row r="531" ht="29" spans="1:46">
      <c r="A531" s="31" t="s">
        <v>169</v>
      </c>
      <c r="C531" t="s">
        <v>600</v>
      </c>
      <c r="D531" s="5" t="s">
        <v>57</v>
      </c>
      <c r="E531">
        <v>2035</v>
      </c>
      <c r="F531" s="6" t="str">
        <f t="shared" si="66"/>
        <v>*0.61</v>
      </c>
      <c r="H531" t="s">
        <v>600</v>
      </c>
      <c r="I531" s="5" t="s">
        <v>57</v>
      </c>
      <c r="J531">
        <v>2050</v>
      </c>
      <c r="K531" s="38" t="str">
        <f t="shared" si="67"/>
        <v>*0.49</v>
      </c>
      <c r="P531" s="32" t="s">
        <v>600</v>
      </c>
      <c r="Q531" s="42" t="s">
        <v>57</v>
      </c>
      <c r="R531" s="32">
        <v>2035</v>
      </c>
      <c r="S531" s="43" t="str">
        <f t="shared" si="68"/>
        <v>*0.59</v>
      </c>
      <c r="U531" s="32" t="s">
        <v>600</v>
      </c>
      <c r="V531" s="42" t="s">
        <v>57</v>
      </c>
      <c r="W531" s="32">
        <v>2050</v>
      </c>
      <c r="X531" s="43" t="str">
        <f t="shared" si="69"/>
        <v>*0.47</v>
      </c>
      <c r="AC531" s="33" t="s">
        <v>600</v>
      </c>
      <c r="AD531" s="44" t="s">
        <v>57</v>
      </c>
      <c r="AE531" s="33">
        <v>2035</v>
      </c>
      <c r="AF531" s="45" t="str">
        <f t="shared" si="70"/>
        <v>*0.54</v>
      </c>
      <c r="AG531" s="43" t="str">
        <f t="shared" si="72"/>
        <v>REZoning_Sol-Win</v>
      </c>
      <c r="AI531" s="33" t="s">
        <v>600</v>
      </c>
      <c r="AJ531" s="44" t="s">
        <v>57</v>
      </c>
      <c r="AK531" s="33">
        <v>2050</v>
      </c>
      <c r="AL531" s="45" t="str">
        <f t="shared" si="71"/>
        <v>*0.44</v>
      </c>
      <c r="AM531" s="43" t="str">
        <f t="shared" si="73"/>
        <v>REZoning_Sol-Win</v>
      </c>
      <c r="AP531" t="s">
        <v>600</v>
      </c>
      <c r="AQ531" t="s">
        <v>57</v>
      </c>
      <c r="AR531">
        <v>2100</v>
      </c>
      <c r="AS531" t="s">
        <v>171</v>
      </c>
      <c r="AT531" t="s">
        <v>58</v>
      </c>
    </row>
    <row r="532" ht="29" spans="1:46">
      <c r="A532" s="31" t="s">
        <v>169</v>
      </c>
      <c r="C532" t="s">
        <v>601</v>
      </c>
      <c r="D532" s="5" t="s">
        <v>57</v>
      </c>
      <c r="E532">
        <v>2035</v>
      </c>
      <c r="F532" s="6" t="str">
        <f t="shared" si="66"/>
        <v>*0.61</v>
      </c>
      <c r="H532" t="s">
        <v>601</v>
      </c>
      <c r="I532" s="5" t="s">
        <v>57</v>
      </c>
      <c r="J532">
        <v>2050</v>
      </c>
      <c r="K532" s="38" t="str">
        <f t="shared" si="67"/>
        <v>*0.49</v>
      </c>
      <c r="P532" s="32" t="s">
        <v>601</v>
      </c>
      <c r="Q532" s="42" t="s">
        <v>57</v>
      </c>
      <c r="R532" s="32">
        <v>2035</v>
      </c>
      <c r="S532" s="43" t="str">
        <f t="shared" si="68"/>
        <v>*0.59</v>
      </c>
      <c r="U532" s="32" t="s">
        <v>601</v>
      </c>
      <c r="V532" s="42" t="s">
        <v>57</v>
      </c>
      <c r="W532" s="32">
        <v>2050</v>
      </c>
      <c r="X532" s="43" t="str">
        <f t="shared" si="69"/>
        <v>*0.47</v>
      </c>
      <c r="AC532" s="33" t="s">
        <v>601</v>
      </c>
      <c r="AD532" s="44" t="s">
        <v>57</v>
      </c>
      <c r="AE532" s="33">
        <v>2035</v>
      </c>
      <c r="AF532" s="45" t="str">
        <f t="shared" si="70"/>
        <v>*0.54</v>
      </c>
      <c r="AG532" s="43" t="str">
        <f t="shared" si="72"/>
        <v>REZoning_Sol-Win</v>
      </c>
      <c r="AI532" s="33" t="s">
        <v>601</v>
      </c>
      <c r="AJ532" s="44" t="s">
        <v>57</v>
      </c>
      <c r="AK532" s="33">
        <v>2050</v>
      </c>
      <c r="AL532" s="45" t="str">
        <f t="shared" si="71"/>
        <v>*0.44</v>
      </c>
      <c r="AM532" s="43" t="str">
        <f t="shared" si="73"/>
        <v>REZoning_Sol-Win</v>
      </c>
      <c r="AP532" t="s">
        <v>601</v>
      </c>
      <c r="AQ532" t="s">
        <v>57</v>
      </c>
      <c r="AR532">
        <v>2100</v>
      </c>
      <c r="AS532" t="s">
        <v>171</v>
      </c>
      <c r="AT532" t="s">
        <v>58</v>
      </c>
    </row>
    <row r="533" ht="29" spans="1:46">
      <c r="A533" s="31" t="s">
        <v>65</v>
      </c>
      <c r="C533" t="s">
        <v>602</v>
      </c>
      <c r="D533" s="5" t="s">
        <v>57</v>
      </c>
      <c r="E533">
        <v>2035</v>
      </c>
      <c r="F533" s="6" t="str">
        <f t="shared" si="66"/>
        <v>*0.61</v>
      </c>
      <c r="H533" t="s">
        <v>602</v>
      </c>
      <c r="I533" s="5" t="s">
        <v>57</v>
      </c>
      <c r="J533">
        <v>2050</v>
      </c>
      <c r="K533" s="38" t="str">
        <f t="shared" si="67"/>
        <v>*0.5</v>
      </c>
      <c r="P533" s="32" t="s">
        <v>602</v>
      </c>
      <c r="Q533" s="42" t="s">
        <v>57</v>
      </c>
      <c r="R533" s="32">
        <v>2035</v>
      </c>
      <c r="S533" s="43" t="str">
        <f t="shared" si="68"/>
        <v>*0.58</v>
      </c>
      <c r="U533" s="32" t="s">
        <v>602</v>
      </c>
      <c r="V533" s="42" t="s">
        <v>57</v>
      </c>
      <c r="W533" s="32">
        <v>2050</v>
      </c>
      <c r="X533" s="43" t="str">
        <f t="shared" si="69"/>
        <v>*0.47</v>
      </c>
      <c r="AC533" s="33" t="s">
        <v>602</v>
      </c>
      <c r="AD533" s="44" t="s">
        <v>57</v>
      </c>
      <c r="AE533" s="33">
        <v>2035</v>
      </c>
      <c r="AF533" s="45" t="str">
        <f t="shared" si="70"/>
        <v>*0.53</v>
      </c>
      <c r="AG533" s="43" t="str">
        <f t="shared" si="72"/>
        <v>REZoning_Sol-Win</v>
      </c>
      <c r="AI533" s="33" t="s">
        <v>602</v>
      </c>
      <c r="AJ533" s="44" t="s">
        <v>57</v>
      </c>
      <c r="AK533" s="33">
        <v>2050</v>
      </c>
      <c r="AL533" s="45" t="str">
        <f t="shared" si="71"/>
        <v>*0.41</v>
      </c>
      <c r="AM533" s="43" t="str">
        <f t="shared" si="73"/>
        <v>REZoning_Sol-Win</v>
      </c>
      <c r="AP533" t="s">
        <v>602</v>
      </c>
      <c r="AQ533" t="s">
        <v>57</v>
      </c>
      <c r="AR533">
        <v>2100</v>
      </c>
      <c r="AS533" t="s">
        <v>67</v>
      </c>
      <c r="AT533" t="s">
        <v>58</v>
      </c>
    </row>
    <row r="534" ht="29" spans="1:46">
      <c r="A534" s="31" t="s">
        <v>65</v>
      </c>
      <c r="C534" t="s">
        <v>603</v>
      </c>
      <c r="D534" s="5" t="s">
        <v>57</v>
      </c>
      <c r="E534">
        <v>2035</v>
      </c>
      <c r="F534" s="6" t="str">
        <f t="shared" si="66"/>
        <v>*0.61</v>
      </c>
      <c r="H534" t="s">
        <v>603</v>
      </c>
      <c r="I534" s="5" t="s">
        <v>57</v>
      </c>
      <c r="J534">
        <v>2050</v>
      </c>
      <c r="K534" s="38" t="str">
        <f t="shared" si="67"/>
        <v>*0.5</v>
      </c>
      <c r="P534" s="32" t="s">
        <v>603</v>
      </c>
      <c r="Q534" s="42" t="s">
        <v>57</v>
      </c>
      <c r="R534" s="32">
        <v>2035</v>
      </c>
      <c r="S534" s="43" t="str">
        <f t="shared" si="68"/>
        <v>*0.58</v>
      </c>
      <c r="U534" s="32" t="s">
        <v>603</v>
      </c>
      <c r="V534" s="42" t="s">
        <v>57</v>
      </c>
      <c r="W534" s="32">
        <v>2050</v>
      </c>
      <c r="X534" s="43" t="str">
        <f t="shared" si="69"/>
        <v>*0.47</v>
      </c>
      <c r="AC534" s="33" t="s">
        <v>603</v>
      </c>
      <c r="AD534" s="44" t="s">
        <v>57</v>
      </c>
      <c r="AE534" s="33">
        <v>2035</v>
      </c>
      <c r="AF534" s="45" t="str">
        <f t="shared" si="70"/>
        <v>*0.53</v>
      </c>
      <c r="AG534" s="43" t="str">
        <f t="shared" si="72"/>
        <v>REZoning_Sol-Win</v>
      </c>
      <c r="AI534" s="33" t="s">
        <v>603</v>
      </c>
      <c r="AJ534" s="44" t="s">
        <v>57</v>
      </c>
      <c r="AK534" s="33">
        <v>2050</v>
      </c>
      <c r="AL534" s="45" t="str">
        <f t="shared" si="71"/>
        <v>*0.41</v>
      </c>
      <c r="AM534" s="43" t="str">
        <f t="shared" si="73"/>
        <v>REZoning_Sol-Win</v>
      </c>
      <c r="AP534" t="s">
        <v>603</v>
      </c>
      <c r="AQ534" t="s">
        <v>57</v>
      </c>
      <c r="AR534">
        <v>2100</v>
      </c>
      <c r="AS534" t="s">
        <v>67</v>
      </c>
      <c r="AT534" t="s">
        <v>58</v>
      </c>
    </row>
    <row r="535" ht="29" spans="1:46">
      <c r="A535" s="31" t="s">
        <v>65</v>
      </c>
      <c r="C535" t="s">
        <v>604</v>
      </c>
      <c r="D535" s="5" t="s">
        <v>57</v>
      </c>
      <c r="E535">
        <v>2035</v>
      </c>
      <c r="F535" s="6" t="str">
        <f t="shared" si="66"/>
        <v>*0.61</v>
      </c>
      <c r="H535" t="s">
        <v>604</v>
      </c>
      <c r="I535" s="5" t="s">
        <v>57</v>
      </c>
      <c r="J535">
        <v>2050</v>
      </c>
      <c r="K535" s="38" t="str">
        <f t="shared" si="67"/>
        <v>*0.5</v>
      </c>
      <c r="P535" s="32" t="s">
        <v>604</v>
      </c>
      <c r="Q535" s="42" t="s">
        <v>57</v>
      </c>
      <c r="R535" s="32">
        <v>2035</v>
      </c>
      <c r="S535" s="43" t="str">
        <f t="shared" si="68"/>
        <v>*0.58</v>
      </c>
      <c r="U535" s="32" t="s">
        <v>604</v>
      </c>
      <c r="V535" s="42" t="s">
        <v>57</v>
      </c>
      <c r="W535" s="32">
        <v>2050</v>
      </c>
      <c r="X535" s="43" t="str">
        <f t="shared" si="69"/>
        <v>*0.47</v>
      </c>
      <c r="AC535" s="33" t="s">
        <v>604</v>
      </c>
      <c r="AD535" s="44" t="s">
        <v>57</v>
      </c>
      <c r="AE535" s="33">
        <v>2035</v>
      </c>
      <c r="AF535" s="45" t="str">
        <f t="shared" si="70"/>
        <v>*0.53</v>
      </c>
      <c r="AG535" s="43" t="str">
        <f t="shared" si="72"/>
        <v>REZoning_Sol-Win</v>
      </c>
      <c r="AI535" s="33" t="s">
        <v>604</v>
      </c>
      <c r="AJ535" s="44" t="s">
        <v>57</v>
      </c>
      <c r="AK535" s="33">
        <v>2050</v>
      </c>
      <c r="AL535" s="45" t="str">
        <f t="shared" si="71"/>
        <v>*0.41</v>
      </c>
      <c r="AM535" s="43" t="str">
        <f t="shared" si="73"/>
        <v>REZoning_Sol-Win</v>
      </c>
      <c r="AP535" t="s">
        <v>604</v>
      </c>
      <c r="AQ535" t="s">
        <v>57</v>
      </c>
      <c r="AR535">
        <v>2100</v>
      </c>
      <c r="AS535" t="s">
        <v>67</v>
      </c>
      <c r="AT535" t="s">
        <v>58</v>
      </c>
    </row>
    <row r="536" ht="29" spans="1:46">
      <c r="A536" s="31" t="s">
        <v>65</v>
      </c>
      <c r="C536" t="s">
        <v>605</v>
      </c>
      <c r="D536" s="5" t="s">
        <v>57</v>
      </c>
      <c r="E536">
        <v>2035</v>
      </c>
      <c r="F536" s="6" t="str">
        <f t="shared" si="66"/>
        <v>*0.61</v>
      </c>
      <c r="H536" t="s">
        <v>605</v>
      </c>
      <c r="I536" s="5" t="s">
        <v>57</v>
      </c>
      <c r="J536">
        <v>2050</v>
      </c>
      <c r="K536" s="38" t="str">
        <f t="shared" si="67"/>
        <v>*0.5</v>
      </c>
      <c r="P536" s="32" t="s">
        <v>605</v>
      </c>
      <c r="Q536" s="42" t="s">
        <v>57</v>
      </c>
      <c r="R536" s="32">
        <v>2035</v>
      </c>
      <c r="S536" s="43" t="str">
        <f t="shared" si="68"/>
        <v>*0.58</v>
      </c>
      <c r="U536" s="32" t="s">
        <v>605</v>
      </c>
      <c r="V536" s="42" t="s">
        <v>57</v>
      </c>
      <c r="W536" s="32">
        <v>2050</v>
      </c>
      <c r="X536" s="43" t="str">
        <f t="shared" si="69"/>
        <v>*0.47</v>
      </c>
      <c r="AC536" s="33" t="s">
        <v>605</v>
      </c>
      <c r="AD536" s="44" t="s">
        <v>57</v>
      </c>
      <c r="AE536" s="33">
        <v>2035</v>
      </c>
      <c r="AF536" s="45" t="str">
        <f t="shared" si="70"/>
        <v>*0.53</v>
      </c>
      <c r="AG536" s="43" t="str">
        <f t="shared" si="72"/>
        <v>REZoning_Sol-Win</v>
      </c>
      <c r="AI536" s="33" t="s">
        <v>605</v>
      </c>
      <c r="AJ536" s="44" t="s">
        <v>57</v>
      </c>
      <c r="AK536" s="33">
        <v>2050</v>
      </c>
      <c r="AL536" s="45" t="str">
        <f t="shared" si="71"/>
        <v>*0.41</v>
      </c>
      <c r="AM536" s="43" t="str">
        <f t="shared" si="73"/>
        <v>REZoning_Sol-Win</v>
      </c>
      <c r="AP536" t="s">
        <v>605</v>
      </c>
      <c r="AQ536" t="s">
        <v>57</v>
      </c>
      <c r="AR536">
        <v>2100</v>
      </c>
      <c r="AS536" t="s">
        <v>67</v>
      </c>
      <c r="AT536" t="s">
        <v>58</v>
      </c>
    </row>
    <row r="537" ht="29" spans="1:46">
      <c r="A537" s="31" t="s">
        <v>65</v>
      </c>
      <c r="C537" t="s">
        <v>606</v>
      </c>
      <c r="D537" s="5" t="s">
        <v>57</v>
      </c>
      <c r="E537">
        <v>2035</v>
      </c>
      <c r="F537" s="6" t="str">
        <f t="shared" si="66"/>
        <v>*0.61</v>
      </c>
      <c r="H537" t="s">
        <v>606</v>
      </c>
      <c r="I537" s="5" t="s">
        <v>57</v>
      </c>
      <c r="J537">
        <v>2050</v>
      </c>
      <c r="K537" s="38" t="str">
        <f t="shared" si="67"/>
        <v>*0.5</v>
      </c>
      <c r="P537" s="32" t="s">
        <v>606</v>
      </c>
      <c r="Q537" s="42" t="s">
        <v>57</v>
      </c>
      <c r="R537" s="32">
        <v>2035</v>
      </c>
      <c r="S537" s="43" t="str">
        <f t="shared" si="68"/>
        <v>*0.58</v>
      </c>
      <c r="U537" s="32" t="s">
        <v>606</v>
      </c>
      <c r="V537" s="42" t="s">
        <v>57</v>
      </c>
      <c r="W537" s="32">
        <v>2050</v>
      </c>
      <c r="X537" s="43" t="str">
        <f t="shared" si="69"/>
        <v>*0.47</v>
      </c>
      <c r="AC537" s="33" t="s">
        <v>606</v>
      </c>
      <c r="AD537" s="44" t="s">
        <v>57</v>
      </c>
      <c r="AE537" s="33">
        <v>2035</v>
      </c>
      <c r="AF537" s="45" t="str">
        <f t="shared" si="70"/>
        <v>*0.53</v>
      </c>
      <c r="AG537" s="43" t="str">
        <f t="shared" si="72"/>
        <v>REZoning_Sol-Win</v>
      </c>
      <c r="AI537" s="33" t="s">
        <v>606</v>
      </c>
      <c r="AJ537" s="44" t="s">
        <v>57</v>
      </c>
      <c r="AK537" s="33">
        <v>2050</v>
      </c>
      <c r="AL537" s="45" t="str">
        <f t="shared" si="71"/>
        <v>*0.41</v>
      </c>
      <c r="AM537" s="43" t="str">
        <f t="shared" si="73"/>
        <v>REZoning_Sol-Win</v>
      </c>
      <c r="AP537" t="s">
        <v>606</v>
      </c>
      <c r="AQ537" t="s">
        <v>57</v>
      </c>
      <c r="AR537">
        <v>2100</v>
      </c>
      <c r="AS537" t="s">
        <v>67</v>
      </c>
      <c r="AT537" t="s">
        <v>58</v>
      </c>
    </row>
    <row r="538" ht="29" spans="1:46">
      <c r="A538" s="31" t="s">
        <v>65</v>
      </c>
      <c r="C538" t="s">
        <v>607</v>
      </c>
      <c r="D538" s="5" t="s">
        <v>57</v>
      </c>
      <c r="E538">
        <v>2035</v>
      </c>
      <c r="F538" s="6" t="str">
        <f t="shared" si="66"/>
        <v>*0.61</v>
      </c>
      <c r="H538" t="s">
        <v>607</v>
      </c>
      <c r="I538" s="5" t="s">
        <v>57</v>
      </c>
      <c r="J538">
        <v>2050</v>
      </c>
      <c r="K538" s="38" t="str">
        <f t="shared" si="67"/>
        <v>*0.5</v>
      </c>
      <c r="P538" s="32" t="s">
        <v>607</v>
      </c>
      <c r="Q538" s="42" t="s">
        <v>57</v>
      </c>
      <c r="R538" s="32">
        <v>2035</v>
      </c>
      <c r="S538" s="43" t="str">
        <f t="shared" si="68"/>
        <v>*0.58</v>
      </c>
      <c r="U538" s="32" t="s">
        <v>607</v>
      </c>
      <c r="V538" s="42" t="s">
        <v>57</v>
      </c>
      <c r="W538" s="32">
        <v>2050</v>
      </c>
      <c r="X538" s="43" t="str">
        <f t="shared" si="69"/>
        <v>*0.47</v>
      </c>
      <c r="AC538" s="33" t="s">
        <v>607</v>
      </c>
      <c r="AD538" s="44" t="s">
        <v>57</v>
      </c>
      <c r="AE538" s="33">
        <v>2035</v>
      </c>
      <c r="AF538" s="45" t="str">
        <f t="shared" si="70"/>
        <v>*0.53</v>
      </c>
      <c r="AG538" s="43" t="str">
        <f t="shared" si="72"/>
        <v>REZoning_Sol-Win</v>
      </c>
      <c r="AI538" s="33" t="s">
        <v>607</v>
      </c>
      <c r="AJ538" s="44" t="s">
        <v>57</v>
      </c>
      <c r="AK538" s="33">
        <v>2050</v>
      </c>
      <c r="AL538" s="45" t="str">
        <f t="shared" si="71"/>
        <v>*0.41</v>
      </c>
      <c r="AM538" s="43" t="str">
        <f t="shared" si="73"/>
        <v>REZoning_Sol-Win</v>
      </c>
      <c r="AP538" t="s">
        <v>607</v>
      </c>
      <c r="AQ538" t="s">
        <v>57</v>
      </c>
      <c r="AR538">
        <v>2100</v>
      </c>
      <c r="AS538" t="s">
        <v>67</v>
      </c>
      <c r="AT538" t="s">
        <v>58</v>
      </c>
    </row>
    <row r="539" ht="29" spans="1:46">
      <c r="A539" s="31" t="s">
        <v>65</v>
      </c>
      <c r="C539" t="s">
        <v>608</v>
      </c>
      <c r="D539" s="5" t="s">
        <v>57</v>
      </c>
      <c r="E539">
        <v>2035</v>
      </c>
      <c r="F539" s="6" t="str">
        <f t="shared" si="66"/>
        <v>*0.61</v>
      </c>
      <c r="H539" t="s">
        <v>608</v>
      </c>
      <c r="I539" s="5" t="s">
        <v>57</v>
      </c>
      <c r="J539">
        <v>2050</v>
      </c>
      <c r="K539" s="38" t="str">
        <f t="shared" si="67"/>
        <v>*0.5</v>
      </c>
      <c r="P539" s="32" t="s">
        <v>608</v>
      </c>
      <c r="Q539" s="42" t="s">
        <v>57</v>
      </c>
      <c r="R539" s="32">
        <v>2035</v>
      </c>
      <c r="S539" s="43" t="str">
        <f t="shared" si="68"/>
        <v>*0.58</v>
      </c>
      <c r="U539" s="32" t="s">
        <v>608</v>
      </c>
      <c r="V539" s="42" t="s">
        <v>57</v>
      </c>
      <c r="W539" s="32">
        <v>2050</v>
      </c>
      <c r="X539" s="43" t="str">
        <f t="shared" si="69"/>
        <v>*0.47</v>
      </c>
      <c r="AC539" s="33" t="s">
        <v>608</v>
      </c>
      <c r="AD539" s="44" t="s">
        <v>57</v>
      </c>
      <c r="AE539" s="33">
        <v>2035</v>
      </c>
      <c r="AF539" s="45" t="str">
        <f t="shared" si="70"/>
        <v>*0.53</v>
      </c>
      <c r="AG539" s="43" t="str">
        <f t="shared" si="72"/>
        <v>REZoning_Sol-Win</v>
      </c>
      <c r="AI539" s="33" t="s">
        <v>608</v>
      </c>
      <c r="AJ539" s="44" t="s">
        <v>57</v>
      </c>
      <c r="AK539" s="33">
        <v>2050</v>
      </c>
      <c r="AL539" s="45" t="str">
        <f t="shared" si="71"/>
        <v>*0.41</v>
      </c>
      <c r="AM539" s="43" t="str">
        <f t="shared" si="73"/>
        <v>REZoning_Sol-Win</v>
      </c>
      <c r="AP539" t="s">
        <v>608</v>
      </c>
      <c r="AQ539" t="s">
        <v>57</v>
      </c>
      <c r="AR539">
        <v>2100</v>
      </c>
      <c r="AS539" t="s">
        <v>67</v>
      </c>
      <c r="AT539" t="s">
        <v>58</v>
      </c>
    </row>
    <row r="540" ht="29" spans="1:46">
      <c r="A540" s="31" t="s">
        <v>65</v>
      </c>
      <c r="C540" t="s">
        <v>609</v>
      </c>
      <c r="D540" s="5" t="s">
        <v>57</v>
      </c>
      <c r="E540">
        <v>2035</v>
      </c>
      <c r="F540" s="6" t="str">
        <f t="shared" si="66"/>
        <v>*0.61</v>
      </c>
      <c r="H540" t="s">
        <v>609</v>
      </c>
      <c r="I540" s="5" t="s">
        <v>57</v>
      </c>
      <c r="J540">
        <v>2050</v>
      </c>
      <c r="K540" s="38" t="str">
        <f t="shared" si="67"/>
        <v>*0.5</v>
      </c>
      <c r="P540" s="32" t="s">
        <v>609</v>
      </c>
      <c r="Q540" s="42" t="s">
        <v>57</v>
      </c>
      <c r="R540" s="32">
        <v>2035</v>
      </c>
      <c r="S540" s="43" t="str">
        <f t="shared" si="68"/>
        <v>*0.58</v>
      </c>
      <c r="U540" s="32" t="s">
        <v>609</v>
      </c>
      <c r="V540" s="42" t="s">
        <v>57</v>
      </c>
      <c r="W540" s="32">
        <v>2050</v>
      </c>
      <c r="X540" s="43" t="str">
        <f t="shared" si="69"/>
        <v>*0.47</v>
      </c>
      <c r="AC540" s="33" t="s">
        <v>609</v>
      </c>
      <c r="AD540" s="44" t="s">
        <v>57</v>
      </c>
      <c r="AE540" s="33">
        <v>2035</v>
      </c>
      <c r="AF540" s="45" t="str">
        <f t="shared" si="70"/>
        <v>*0.53</v>
      </c>
      <c r="AG540" s="43" t="str">
        <f t="shared" si="72"/>
        <v>REZoning_Sol-Win</v>
      </c>
      <c r="AI540" s="33" t="s">
        <v>609</v>
      </c>
      <c r="AJ540" s="44" t="s">
        <v>57</v>
      </c>
      <c r="AK540" s="33">
        <v>2050</v>
      </c>
      <c r="AL540" s="45" t="str">
        <f t="shared" si="71"/>
        <v>*0.41</v>
      </c>
      <c r="AM540" s="43" t="str">
        <f t="shared" si="73"/>
        <v>REZoning_Sol-Win</v>
      </c>
      <c r="AP540" t="s">
        <v>609</v>
      </c>
      <c r="AQ540" t="s">
        <v>57</v>
      </c>
      <c r="AR540">
        <v>2100</v>
      </c>
      <c r="AS540" t="s">
        <v>67</v>
      </c>
      <c r="AT540" t="s">
        <v>58</v>
      </c>
    </row>
    <row r="541" ht="29" spans="1:46">
      <c r="A541" s="31" t="s">
        <v>65</v>
      </c>
      <c r="C541" t="s">
        <v>610</v>
      </c>
      <c r="D541" s="5" t="s">
        <v>57</v>
      </c>
      <c r="E541">
        <v>2035</v>
      </c>
      <c r="F541" s="6" t="str">
        <f t="shared" si="66"/>
        <v>*0.61</v>
      </c>
      <c r="H541" t="s">
        <v>610</v>
      </c>
      <c r="I541" s="5" t="s">
        <v>57</v>
      </c>
      <c r="J541">
        <v>2050</v>
      </c>
      <c r="K541" s="38" t="str">
        <f t="shared" si="67"/>
        <v>*0.5</v>
      </c>
      <c r="P541" s="32" t="s">
        <v>610</v>
      </c>
      <c r="Q541" s="42" t="s">
        <v>57</v>
      </c>
      <c r="R541" s="32">
        <v>2035</v>
      </c>
      <c r="S541" s="43" t="str">
        <f t="shared" si="68"/>
        <v>*0.58</v>
      </c>
      <c r="U541" s="32" t="s">
        <v>610</v>
      </c>
      <c r="V541" s="42" t="s">
        <v>57</v>
      </c>
      <c r="W541" s="32">
        <v>2050</v>
      </c>
      <c r="X541" s="43" t="str">
        <f t="shared" si="69"/>
        <v>*0.47</v>
      </c>
      <c r="AC541" s="33" t="s">
        <v>610</v>
      </c>
      <c r="AD541" s="44" t="s">
        <v>57</v>
      </c>
      <c r="AE541" s="33">
        <v>2035</v>
      </c>
      <c r="AF541" s="45" t="str">
        <f t="shared" si="70"/>
        <v>*0.53</v>
      </c>
      <c r="AG541" s="43" t="str">
        <f t="shared" si="72"/>
        <v>REZoning_Sol-Win</v>
      </c>
      <c r="AI541" s="33" t="s">
        <v>610</v>
      </c>
      <c r="AJ541" s="44" t="s">
        <v>57</v>
      </c>
      <c r="AK541" s="33">
        <v>2050</v>
      </c>
      <c r="AL541" s="45" t="str">
        <f t="shared" si="71"/>
        <v>*0.41</v>
      </c>
      <c r="AM541" s="43" t="str">
        <f t="shared" si="73"/>
        <v>REZoning_Sol-Win</v>
      </c>
      <c r="AP541" t="s">
        <v>610</v>
      </c>
      <c r="AQ541" t="s">
        <v>57</v>
      </c>
      <c r="AR541">
        <v>2100</v>
      </c>
      <c r="AS541" t="s">
        <v>67</v>
      </c>
      <c r="AT541" t="s">
        <v>58</v>
      </c>
    </row>
    <row r="542" ht="29" spans="1:46">
      <c r="A542" s="31" t="s">
        <v>83</v>
      </c>
      <c r="C542" t="s">
        <v>611</v>
      </c>
      <c r="D542" s="5" t="s">
        <v>57</v>
      </c>
      <c r="E542">
        <v>2035</v>
      </c>
      <c r="F542" s="6" t="str">
        <f t="shared" si="66"/>
        <v>*0.64</v>
      </c>
      <c r="H542" t="s">
        <v>611</v>
      </c>
      <c r="I542" s="5" t="s">
        <v>57</v>
      </c>
      <c r="J542">
        <v>2050</v>
      </c>
      <c r="K542" s="38" t="str">
        <f t="shared" si="67"/>
        <v>*0.54</v>
      </c>
      <c r="P542" s="32" t="s">
        <v>611</v>
      </c>
      <c r="Q542" s="42" t="s">
        <v>57</v>
      </c>
      <c r="R542" s="32">
        <v>2035</v>
      </c>
      <c r="S542" s="43" t="str">
        <f t="shared" si="68"/>
        <v>*0.64</v>
      </c>
      <c r="U542" s="32" t="s">
        <v>611</v>
      </c>
      <c r="V542" s="42" t="s">
        <v>57</v>
      </c>
      <c r="W542" s="32">
        <v>2050</v>
      </c>
      <c r="X542" s="43" t="str">
        <f t="shared" si="69"/>
        <v>*0.53</v>
      </c>
      <c r="AC542" s="33" t="s">
        <v>611</v>
      </c>
      <c r="AD542" s="44" t="s">
        <v>57</v>
      </c>
      <c r="AE542" s="33">
        <v>2035</v>
      </c>
      <c r="AF542" s="45" t="str">
        <f t="shared" si="70"/>
        <v>*0.6</v>
      </c>
      <c r="AG542" s="43" t="str">
        <f t="shared" si="72"/>
        <v>REZoning_Sol-Win</v>
      </c>
      <c r="AI542" s="33" t="s">
        <v>611</v>
      </c>
      <c r="AJ542" s="44" t="s">
        <v>57</v>
      </c>
      <c r="AK542" s="33">
        <v>2050</v>
      </c>
      <c r="AL542" s="45" t="str">
        <f t="shared" si="71"/>
        <v>*0.5</v>
      </c>
      <c r="AM542" s="43" t="str">
        <f t="shared" si="73"/>
        <v>REZoning_Sol-Win</v>
      </c>
      <c r="AP542" t="s">
        <v>611</v>
      </c>
      <c r="AQ542" t="s">
        <v>57</v>
      </c>
      <c r="AR542">
        <v>2100</v>
      </c>
      <c r="AS542" t="s">
        <v>85</v>
      </c>
      <c r="AT542" t="s">
        <v>58</v>
      </c>
    </row>
    <row r="543" ht="29" spans="1:46">
      <c r="A543" s="31" t="s">
        <v>83</v>
      </c>
      <c r="C543" t="s">
        <v>612</v>
      </c>
      <c r="D543" s="5" t="s">
        <v>57</v>
      </c>
      <c r="E543">
        <v>2035</v>
      </c>
      <c r="F543" s="6" t="str">
        <f t="shared" si="66"/>
        <v>*0.64</v>
      </c>
      <c r="H543" t="s">
        <v>612</v>
      </c>
      <c r="I543" s="5" t="s">
        <v>57</v>
      </c>
      <c r="J543">
        <v>2050</v>
      </c>
      <c r="K543" s="38" t="str">
        <f t="shared" si="67"/>
        <v>*0.54</v>
      </c>
      <c r="P543" s="32" t="s">
        <v>612</v>
      </c>
      <c r="Q543" s="42" t="s">
        <v>57</v>
      </c>
      <c r="R543" s="32">
        <v>2035</v>
      </c>
      <c r="S543" s="43" t="str">
        <f t="shared" si="68"/>
        <v>*0.64</v>
      </c>
      <c r="U543" s="32" t="s">
        <v>612</v>
      </c>
      <c r="V543" s="42" t="s">
        <v>57</v>
      </c>
      <c r="W543" s="32">
        <v>2050</v>
      </c>
      <c r="X543" s="43" t="str">
        <f t="shared" si="69"/>
        <v>*0.53</v>
      </c>
      <c r="AC543" s="33" t="s">
        <v>612</v>
      </c>
      <c r="AD543" s="44" t="s">
        <v>57</v>
      </c>
      <c r="AE543" s="33">
        <v>2035</v>
      </c>
      <c r="AF543" s="45" t="str">
        <f t="shared" si="70"/>
        <v>*0.6</v>
      </c>
      <c r="AG543" s="43" t="str">
        <f t="shared" si="72"/>
        <v>REZoning_Sol-Win</v>
      </c>
      <c r="AI543" s="33" t="s">
        <v>612</v>
      </c>
      <c r="AJ543" s="44" t="s">
        <v>57</v>
      </c>
      <c r="AK543" s="33">
        <v>2050</v>
      </c>
      <c r="AL543" s="45" t="str">
        <f t="shared" si="71"/>
        <v>*0.5</v>
      </c>
      <c r="AM543" s="43" t="str">
        <f t="shared" si="73"/>
        <v>REZoning_Sol-Win</v>
      </c>
      <c r="AP543" t="s">
        <v>612</v>
      </c>
      <c r="AQ543" t="s">
        <v>57</v>
      </c>
      <c r="AR543">
        <v>2100</v>
      </c>
      <c r="AS543" t="s">
        <v>85</v>
      </c>
      <c r="AT543" t="s">
        <v>58</v>
      </c>
    </row>
    <row r="544" ht="29" spans="1:46">
      <c r="A544" s="31" t="s">
        <v>83</v>
      </c>
      <c r="C544" t="s">
        <v>613</v>
      </c>
      <c r="D544" s="5" t="s">
        <v>57</v>
      </c>
      <c r="E544">
        <v>2035</v>
      </c>
      <c r="F544" s="6" t="str">
        <f t="shared" si="66"/>
        <v>*0.64</v>
      </c>
      <c r="H544" t="s">
        <v>613</v>
      </c>
      <c r="I544" s="5" t="s">
        <v>57</v>
      </c>
      <c r="J544">
        <v>2050</v>
      </c>
      <c r="K544" s="38" t="str">
        <f t="shared" si="67"/>
        <v>*0.54</v>
      </c>
      <c r="P544" s="32" t="s">
        <v>613</v>
      </c>
      <c r="Q544" s="42" t="s">
        <v>57</v>
      </c>
      <c r="R544" s="32">
        <v>2035</v>
      </c>
      <c r="S544" s="43" t="str">
        <f t="shared" si="68"/>
        <v>*0.64</v>
      </c>
      <c r="U544" s="32" t="s">
        <v>613</v>
      </c>
      <c r="V544" s="42" t="s">
        <v>57</v>
      </c>
      <c r="W544" s="32">
        <v>2050</v>
      </c>
      <c r="X544" s="43" t="str">
        <f t="shared" si="69"/>
        <v>*0.53</v>
      </c>
      <c r="AC544" s="33" t="s">
        <v>613</v>
      </c>
      <c r="AD544" s="44" t="s">
        <v>57</v>
      </c>
      <c r="AE544" s="33">
        <v>2035</v>
      </c>
      <c r="AF544" s="45" t="str">
        <f t="shared" si="70"/>
        <v>*0.6</v>
      </c>
      <c r="AG544" s="43" t="str">
        <f t="shared" si="72"/>
        <v>REZoning_Sol-Win</v>
      </c>
      <c r="AI544" s="33" t="s">
        <v>613</v>
      </c>
      <c r="AJ544" s="44" t="s">
        <v>57</v>
      </c>
      <c r="AK544" s="33">
        <v>2050</v>
      </c>
      <c r="AL544" s="45" t="str">
        <f t="shared" si="71"/>
        <v>*0.5</v>
      </c>
      <c r="AM544" s="43" t="str">
        <f t="shared" si="73"/>
        <v>REZoning_Sol-Win</v>
      </c>
      <c r="AP544" t="s">
        <v>613</v>
      </c>
      <c r="AQ544" t="s">
        <v>57</v>
      </c>
      <c r="AR544">
        <v>2100</v>
      </c>
      <c r="AS544" t="s">
        <v>85</v>
      </c>
      <c r="AT544" t="s">
        <v>58</v>
      </c>
    </row>
    <row r="545" ht="29" spans="1:46">
      <c r="A545" s="31" t="s">
        <v>83</v>
      </c>
      <c r="C545" t="s">
        <v>614</v>
      </c>
      <c r="D545" s="5" t="s">
        <v>57</v>
      </c>
      <c r="E545">
        <v>2035</v>
      </c>
      <c r="F545" s="6" t="str">
        <f t="shared" si="66"/>
        <v>*0.64</v>
      </c>
      <c r="H545" t="s">
        <v>614</v>
      </c>
      <c r="I545" s="5" t="s">
        <v>57</v>
      </c>
      <c r="J545">
        <v>2050</v>
      </c>
      <c r="K545" s="38" t="str">
        <f t="shared" si="67"/>
        <v>*0.54</v>
      </c>
      <c r="P545" s="32" t="s">
        <v>614</v>
      </c>
      <c r="Q545" s="42" t="s">
        <v>57</v>
      </c>
      <c r="R545" s="32">
        <v>2035</v>
      </c>
      <c r="S545" s="43" t="str">
        <f t="shared" si="68"/>
        <v>*0.64</v>
      </c>
      <c r="U545" s="32" t="s">
        <v>614</v>
      </c>
      <c r="V545" s="42" t="s">
        <v>57</v>
      </c>
      <c r="W545" s="32">
        <v>2050</v>
      </c>
      <c r="X545" s="43" t="str">
        <f t="shared" si="69"/>
        <v>*0.53</v>
      </c>
      <c r="AC545" s="33" t="s">
        <v>614</v>
      </c>
      <c r="AD545" s="44" t="s">
        <v>57</v>
      </c>
      <c r="AE545" s="33">
        <v>2035</v>
      </c>
      <c r="AF545" s="45" t="str">
        <f t="shared" si="70"/>
        <v>*0.6</v>
      </c>
      <c r="AG545" s="43" t="str">
        <f t="shared" si="72"/>
        <v>REZoning_Sol-Win</v>
      </c>
      <c r="AI545" s="33" t="s">
        <v>614</v>
      </c>
      <c r="AJ545" s="44" t="s">
        <v>57</v>
      </c>
      <c r="AK545" s="33">
        <v>2050</v>
      </c>
      <c r="AL545" s="45" t="str">
        <f t="shared" si="71"/>
        <v>*0.5</v>
      </c>
      <c r="AM545" s="43" t="str">
        <f t="shared" si="73"/>
        <v>REZoning_Sol-Win</v>
      </c>
      <c r="AP545" t="s">
        <v>614</v>
      </c>
      <c r="AQ545" t="s">
        <v>57</v>
      </c>
      <c r="AR545">
        <v>2100</v>
      </c>
      <c r="AS545" t="s">
        <v>85</v>
      </c>
      <c r="AT545" t="s">
        <v>58</v>
      </c>
    </row>
    <row r="546" ht="29" spans="1:46">
      <c r="A546" s="31" t="s">
        <v>83</v>
      </c>
      <c r="C546" t="s">
        <v>615</v>
      </c>
      <c r="D546" s="5" t="s">
        <v>57</v>
      </c>
      <c r="E546">
        <v>2035</v>
      </c>
      <c r="F546" s="6" t="str">
        <f t="shared" si="66"/>
        <v>*0.64</v>
      </c>
      <c r="H546" t="s">
        <v>615</v>
      </c>
      <c r="I546" s="5" t="s">
        <v>57</v>
      </c>
      <c r="J546">
        <v>2050</v>
      </c>
      <c r="K546" s="38" t="str">
        <f t="shared" si="67"/>
        <v>*0.54</v>
      </c>
      <c r="P546" s="32" t="s">
        <v>615</v>
      </c>
      <c r="Q546" s="42" t="s">
        <v>57</v>
      </c>
      <c r="R546" s="32">
        <v>2035</v>
      </c>
      <c r="S546" s="43" t="str">
        <f t="shared" si="68"/>
        <v>*0.64</v>
      </c>
      <c r="U546" s="32" t="s">
        <v>615</v>
      </c>
      <c r="V546" s="42" t="s">
        <v>57</v>
      </c>
      <c r="W546" s="32">
        <v>2050</v>
      </c>
      <c r="X546" s="43" t="str">
        <f t="shared" si="69"/>
        <v>*0.53</v>
      </c>
      <c r="AC546" s="33" t="s">
        <v>615</v>
      </c>
      <c r="AD546" s="44" t="s">
        <v>57</v>
      </c>
      <c r="AE546" s="33">
        <v>2035</v>
      </c>
      <c r="AF546" s="45" t="str">
        <f t="shared" si="70"/>
        <v>*0.6</v>
      </c>
      <c r="AG546" s="43" t="str">
        <f t="shared" si="72"/>
        <v>REZoning_Sol-Win</v>
      </c>
      <c r="AI546" s="33" t="s">
        <v>615</v>
      </c>
      <c r="AJ546" s="44" t="s">
        <v>57</v>
      </c>
      <c r="AK546" s="33">
        <v>2050</v>
      </c>
      <c r="AL546" s="45" t="str">
        <f t="shared" si="71"/>
        <v>*0.5</v>
      </c>
      <c r="AM546" s="43" t="str">
        <f t="shared" si="73"/>
        <v>REZoning_Sol-Win</v>
      </c>
      <c r="AP546" t="s">
        <v>615</v>
      </c>
      <c r="AQ546" t="s">
        <v>57</v>
      </c>
      <c r="AR546">
        <v>2100</v>
      </c>
      <c r="AS546" t="s">
        <v>85</v>
      </c>
      <c r="AT546" t="s">
        <v>58</v>
      </c>
    </row>
    <row r="547" ht="29" spans="1:46">
      <c r="A547" s="31" t="s">
        <v>83</v>
      </c>
      <c r="C547" t="s">
        <v>616</v>
      </c>
      <c r="D547" s="5" t="s">
        <v>57</v>
      </c>
      <c r="E547">
        <v>2035</v>
      </c>
      <c r="F547" s="6" t="str">
        <f t="shared" si="66"/>
        <v>*0.64</v>
      </c>
      <c r="H547" t="s">
        <v>616</v>
      </c>
      <c r="I547" s="5" t="s">
        <v>57</v>
      </c>
      <c r="J547">
        <v>2050</v>
      </c>
      <c r="K547" s="38" t="str">
        <f t="shared" si="67"/>
        <v>*0.54</v>
      </c>
      <c r="P547" s="32" t="s">
        <v>616</v>
      </c>
      <c r="Q547" s="42" t="s">
        <v>57</v>
      </c>
      <c r="R547" s="32">
        <v>2035</v>
      </c>
      <c r="S547" s="43" t="str">
        <f t="shared" si="68"/>
        <v>*0.64</v>
      </c>
      <c r="U547" s="32" t="s">
        <v>616</v>
      </c>
      <c r="V547" s="42" t="s">
        <v>57</v>
      </c>
      <c r="W547" s="32">
        <v>2050</v>
      </c>
      <c r="X547" s="43" t="str">
        <f t="shared" si="69"/>
        <v>*0.53</v>
      </c>
      <c r="AC547" s="33" t="s">
        <v>616</v>
      </c>
      <c r="AD547" s="44" t="s">
        <v>57</v>
      </c>
      <c r="AE547" s="33">
        <v>2035</v>
      </c>
      <c r="AF547" s="45" t="str">
        <f t="shared" si="70"/>
        <v>*0.6</v>
      </c>
      <c r="AG547" s="43" t="str">
        <f t="shared" si="72"/>
        <v>REZoning_Sol-Win</v>
      </c>
      <c r="AI547" s="33" t="s">
        <v>616</v>
      </c>
      <c r="AJ547" s="44" t="s">
        <v>57</v>
      </c>
      <c r="AK547" s="33">
        <v>2050</v>
      </c>
      <c r="AL547" s="45" t="str">
        <f t="shared" si="71"/>
        <v>*0.5</v>
      </c>
      <c r="AM547" s="43" t="str">
        <f t="shared" si="73"/>
        <v>REZoning_Sol-Win</v>
      </c>
      <c r="AP547" t="s">
        <v>616</v>
      </c>
      <c r="AQ547" t="s">
        <v>57</v>
      </c>
      <c r="AR547">
        <v>2100</v>
      </c>
      <c r="AS547" t="s">
        <v>85</v>
      </c>
      <c r="AT547" t="s">
        <v>58</v>
      </c>
    </row>
    <row r="548" ht="29" spans="1:46">
      <c r="A548" s="31" t="s">
        <v>83</v>
      </c>
      <c r="C548" t="s">
        <v>617</v>
      </c>
      <c r="D548" s="5" t="s">
        <v>57</v>
      </c>
      <c r="E548">
        <v>2035</v>
      </c>
      <c r="F548" s="6" t="str">
        <f t="shared" si="66"/>
        <v>*0.64</v>
      </c>
      <c r="H548" t="s">
        <v>617</v>
      </c>
      <c r="I548" s="5" t="s">
        <v>57</v>
      </c>
      <c r="J548">
        <v>2050</v>
      </c>
      <c r="K548" s="38" t="str">
        <f t="shared" si="67"/>
        <v>*0.54</v>
      </c>
      <c r="P548" s="32" t="s">
        <v>617</v>
      </c>
      <c r="Q548" s="42" t="s">
        <v>57</v>
      </c>
      <c r="R548" s="32">
        <v>2035</v>
      </c>
      <c r="S548" s="43" t="str">
        <f t="shared" si="68"/>
        <v>*0.64</v>
      </c>
      <c r="U548" s="32" t="s">
        <v>617</v>
      </c>
      <c r="V548" s="42" t="s">
        <v>57</v>
      </c>
      <c r="W548" s="32">
        <v>2050</v>
      </c>
      <c r="X548" s="43" t="str">
        <f t="shared" si="69"/>
        <v>*0.53</v>
      </c>
      <c r="AC548" s="33" t="s">
        <v>617</v>
      </c>
      <c r="AD548" s="44" t="s">
        <v>57</v>
      </c>
      <c r="AE548" s="33">
        <v>2035</v>
      </c>
      <c r="AF548" s="45" t="str">
        <f t="shared" si="70"/>
        <v>*0.6</v>
      </c>
      <c r="AG548" s="43" t="str">
        <f t="shared" si="72"/>
        <v>REZoning_Sol-Win</v>
      </c>
      <c r="AI548" s="33" t="s">
        <v>617</v>
      </c>
      <c r="AJ548" s="44" t="s">
        <v>57</v>
      </c>
      <c r="AK548" s="33">
        <v>2050</v>
      </c>
      <c r="AL548" s="45" t="str">
        <f t="shared" si="71"/>
        <v>*0.5</v>
      </c>
      <c r="AM548" s="43" t="str">
        <f t="shared" si="73"/>
        <v>REZoning_Sol-Win</v>
      </c>
      <c r="AP548" t="s">
        <v>617</v>
      </c>
      <c r="AQ548" t="s">
        <v>57</v>
      </c>
      <c r="AR548">
        <v>2100</v>
      </c>
      <c r="AS548" t="s">
        <v>85</v>
      </c>
      <c r="AT548" t="s">
        <v>58</v>
      </c>
    </row>
    <row r="549" ht="29" spans="1:46">
      <c r="A549" s="31" t="s">
        <v>83</v>
      </c>
      <c r="C549" t="s">
        <v>618</v>
      </c>
      <c r="D549" s="5" t="s">
        <v>57</v>
      </c>
      <c r="E549">
        <v>2035</v>
      </c>
      <c r="F549" s="6" t="str">
        <f t="shared" si="66"/>
        <v>*0.64</v>
      </c>
      <c r="H549" t="s">
        <v>618</v>
      </c>
      <c r="I549" s="5" t="s">
        <v>57</v>
      </c>
      <c r="J549">
        <v>2050</v>
      </c>
      <c r="K549" s="38" t="str">
        <f t="shared" si="67"/>
        <v>*0.54</v>
      </c>
      <c r="P549" s="32" t="s">
        <v>618</v>
      </c>
      <c r="Q549" s="42" t="s">
        <v>57</v>
      </c>
      <c r="R549" s="32">
        <v>2035</v>
      </c>
      <c r="S549" s="43" t="str">
        <f t="shared" si="68"/>
        <v>*0.64</v>
      </c>
      <c r="U549" s="32" t="s">
        <v>618</v>
      </c>
      <c r="V549" s="42" t="s">
        <v>57</v>
      </c>
      <c r="W549" s="32">
        <v>2050</v>
      </c>
      <c r="X549" s="43" t="str">
        <f t="shared" si="69"/>
        <v>*0.53</v>
      </c>
      <c r="AC549" s="33" t="s">
        <v>618</v>
      </c>
      <c r="AD549" s="44" t="s">
        <v>57</v>
      </c>
      <c r="AE549" s="33">
        <v>2035</v>
      </c>
      <c r="AF549" s="45" t="str">
        <f t="shared" si="70"/>
        <v>*0.6</v>
      </c>
      <c r="AG549" s="43" t="str">
        <f t="shared" si="72"/>
        <v>REZoning_Sol-Win</v>
      </c>
      <c r="AI549" s="33" t="s">
        <v>618</v>
      </c>
      <c r="AJ549" s="44" t="s">
        <v>57</v>
      </c>
      <c r="AK549" s="33">
        <v>2050</v>
      </c>
      <c r="AL549" s="45" t="str">
        <f t="shared" si="71"/>
        <v>*0.5</v>
      </c>
      <c r="AM549" s="43" t="str">
        <f t="shared" si="73"/>
        <v>REZoning_Sol-Win</v>
      </c>
      <c r="AP549" t="s">
        <v>618</v>
      </c>
      <c r="AQ549" t="s">
        <v>57</v>
      </c>
      <c r="AR549">
        <v>2100</v>
      </c>
      <c r="AS549" t="s">
        <v>85</v>
      </c>
      <c r="AT549" t="s">
        <v>58</v>
      </c>
    </row>
    <row r="550" ht="29" spans="1:46">
      <c r="A550" s="31" t="s">
        <v>73</v>
      </c>
      <c r="C550" t="s">
        <v>619</v>
      </c>
      <c r="D550" s="5" t="s">
        <v>57</v>
      </c>
      <c r="E550">
        <v>2035</v>
      </c>
      <c r="F550" s="6" t="str">
        <f t="shared" si="66"/>
        <v>*0.63</v>
      </c>
      <c r="H550" t="s">
        <v>619</v>
      </c>
      <c r="I550" s="5" t="s">
        <v>57</v>
      </c>
      <c r="J550">
        <v>2050</v>
      </c>
      <c r="K550" s="38" t="str">
        <f t="shared" si="67"/>
        <v>*0.54</v>
      </c>
      <c r="P550" s="32" t="s">
        <v>619</v>
      </c>
      <c r="Q550" s="42" t="s">
        <v>57</v>
      </c>
      <c r="R550" s="32">
        <v>2035</v>
      </c>
      <c r="S550" s="43" t="str">
        <f t="shared" si="68"/>
        <v>*0.62</v>
      </c>
      <c r="U550" s="32" t="s">
        <v>619</v>
      </c>
      <c r="V550" s="42" t="s">
        <v>57</v>
      </c>
      <c r="W550" s="32">
        <v>2050</v>
      </c>
      <c r="X550" s="43" t="str">
        <f t="shared" si="69"/>
        <v>*0.51</v>
      </c>
      <c r="AC550" s="33" t="s">
        <v>619</v>
      </c>
      <c r="AD550" s="44" t="s">
        <v>57</v>
      </c>
      <c r="AE550" s="33">
        <v>2035</v>
      </c>
      <c r="AF550" s="45" t="str">
        <f t="shared" si="70"/>
        <v>*0.58</v>
      </c>
      <c r="AG550" s="43" t="str">
        <f t="shared" si="72"/>
        <v>REZoning_Sol-Win</v>
      </c>
      <c r="AI550" s="33" t="s">
        <v>619</v>
      </c>
      <c r="AJ550" s="44" t="s">
        <v>57</v>
      </c>
      <c r="AK550" s="33">
        <v>2050</v>
      </c>
      <c r="AL550" s="45" t="str">
        <f t="shared" si="71"/>
        <v>*0.49</v>
      </c>
      <c r="AM550" s="43" t="str">
        <f t="shared" si="73"/>
        <v>REZoning_Sol-Win</v>
      </c>
      <c r="AP550" t="s">
        <v>619</v>
      </c>
      <c r="AQ550" t="s">
        <v>57</v>
      </c>
      <c r="AR550">
        <v>2100</v>
      </c>
      <c r="AS550" t="s">
        <v>75</v>
      </c>
      <c r="AT550" t="s">
        <v>58</v>
      </c>
    </row>
    <row r="551" ht="29" spans="1:46">
      <c r="A551" s="31" t="s">
        <v>73</v>
      </c>
      <c r="C551" t="s">
        <v>620</v>
      </c>
      <c r="D551" s="5" t="s">
        <v>57</v>
      </c>
      <c r="E551">
        <v>2035</v>
      </c>
      <c r="F551" s="6" t="str">
        <f t="shared" si="66"/>
        <v>*0.63</v>
      </c>
      <c r="H551" t="s">
        <v>620</v>
      </c>
      <c r="I551" s="5" t="s">
        <v>57</v>
      </c>
      <c r="J551">
        <v>2050</v>
      </c>
      <c r="K551" s="38" t="str">
        <f t="shared" si="67"/>
        <v>*0.54</v>
      </c>
      <c r="P551" s="32" t="s">
        <v>620</v>
      </c>
      <c r="Q551" s="42" t="s">
        <v>57</v>
      </c>
      <c r="R551" s="32">
        <v>2035</v>
      </c>
      <c r="S551" s="43" t="str">
        <f t="shared" si="68"/>
        <v>*0.62</v>
      </c>
      <c r="U551" s="32" t="s">
        <v>620</v>
      </c>
      <c r="V551" s="42" t="s">
        <v>57</v>
      </c>
      <c r="W551" s="32">
        <v>2050</v>
      </c>
      <c r="X551" s="43" t="str">
        <f t="shared" si="69"/>
        <v>*0.51</v>
      </c>
      <c r="AC551" s="33" t="s">
        <v>620</v>
      </c>
      <c r="AD551" s="44" t="s">
        <v>57</v>
      </c>
      <c r="AE551" s="33">
        <v>2035</v>
      </c>
      <c r="AF551" s="45" t="str">
        <f t="shared" si="70"/>
        <v>*0.58</v>
      </c>
      <c r="AG551" s="43" t="str">
        <f t="shared" si="72"/>
        <v>REZoning_Sol-Win</v>
      </c>
      <c r="AI551" s="33" t="s">
        <v>620</v>
      </c>
      <c r="AJ551" s="44" t="s">
        <v>57</v>
      </c>
      <c r="AK551" s="33">
        <v>2050</v>
      </c>
      <c r="AL551" s="45" t="str">
        <f t="shared" si="71"/>
        <v>*0.49</v>
      </c>
      <c r="AM551" s="43" t="str">
        <f t="shared" si="73"/>
        <v>REZoning_Sol-Win</v>
      </c>
      <c r="AP551" t="s">
        <v>620</v>
      </c>
      <c r="AQ551" t="s">
        <v>57</v>
      </c>
      <c r="AR551">
        <v>2100</v>
      </c>
      <c r="AS551" t="s">
        <v>75</v>
      </c>
      <c r="AT551" t="s">
        <v>58</v>
      </c>
    </row>
    <row r="552" ht="29" spans="1:46">
      <c r="A552" s="31" t="s">
        <v>73</v>
      </c>
      <c r="C552" t="s">
        <v>621</v>
      </c>
      <c r="D552" s="5" t="s">
        <v>57</v>
      </c>
      <c r="E552">
        <v>2035</v>
      </c>
      <c r="F552" s="6" t="str">
        <f t="shared" si="66"/>
        <v>*0.63</v>
      </c>
      <c r="H552" t="s">
        <v>621</v>
      </c>
      <c r="I552" s="5" t="s">
        <v>57</v>
      </c>
      <c r="J552">
        <v>2050</v>
      </c>
      <c r="K552" s="38" t="str">
        <f t="shared" si="67"/>
        <v>*0.54</v>
      </c>
      <c r="P552" s="32" t="s">
        <v>621</v>
      </c>
      <c r="Q552" s="42" t="s">
        <v>57</v>
      </c>
      <c r="R552" s="32">
        <v>2035</v>
      </c>
      <c r="S552" s="43" t="str">
        <f t="shared" si="68"/>
        <v>*0.62</v>
      </c>
      <c r="U552" s="32" t="s">
        <v>621</v>
      </c>
      <c r="V552" s="42" t="s">
        <v>57</v>
      </c>
      <c r="W552" s="32">
        <v>2050</v>
      </c>
      <c r="X552" s="43" t="str">
        <f t="shared" si="69"/>
        <v>*0.51</v>
      </c>
      <c r="AC552" s="33" t="s">
        <v>621</v>
      </c>
      <c r="AD552" s="44" t="s">
        <v>57</v>
      </c>
      <c r="AE552" s="33">
        <v>2035</v>
      </c>
      <c r="AF552" s="45" t="str">
        <f t="shared" si="70"/>
        <v>*0.58</v>
      </c>
      <c r="AG552" s="43" t="str">
        <f t="shared" si="72"/>
        <v>REZoning_Sol-Win</v>
      </c>
      <c r="AI552" s="33" t="s">
        <v>621</v>
      </c>
      <c r="AJ552" s="44" t="s">
        <v>57</v>
      </c>
      <c r="AK552" s="33">
        <v>2050</v>
      </c>
      <c r="AL552" s="45" t="str">
        <f t="shared" si="71"/>
        <v>*0.49</v>
      </c>
      <c r="AM552" s="43" t="str">
        <f t="shared" si="73"/>
        <v>REZoning_Sol-Win</v>
      </c>
      <c r="AP552" t="s">
        <v>621</v>
      </c>
      <c r="AQ552" t="s">
        <v>57</v>
      </c>
      <c r="AR552">
        <v>2100</v>
      </c>
      <c r="AS552" t="s">
        <v>75</v>
      </c>
      <c r="AT552" t="s">
        <v>58</v>
      </c>
    </row>
    <row r="553" ht="29" spans="1:46">
      <c r="A553" s="31" t="s">
        <v>73</v>
      </c>
      <c r="C553" t="s">
        <v>622</v>
      </c>
      <c r="D553" s="5" t="s">
        <v>57</v>
      </c>
      <c r="E553">
        <v>2035</v>
      </c>
      <c r="F553" s="6" t="str">
        <f t="shared" si="66"/>
        <v>*0.63</v>
      </c>
      <c r="H553" t="s">
        <v>622</v>
      </c>
      <c r="I553" s="5" t="s">
        <v>57</v>
      </c>
      <c r="J553">
        <v>2050</v>
      </c>
      <c r="K553" s="38" t="str">
        <f t="shared" si="67"/>
        <v>*0.54</v>
      </c>
      <c r="P553" s="32" t="s">
        <v>622</v>
      </c>
      <c r="Q553" s="42" t="s">
        <v>57</v>
      </c>
      <c r="R553" s="32">
        <v>2035</v>
      </c>
      <c r="S553" s="43" t="str">
        <f t="shared" si="68"/>
        <v>*0.62</v>
      </c>
      <c r="U553" s="32" t="s">
        <v>622</v>
      </c>
      <c r="V553" s="42" t="s">
        <v>57</v>
      </c>
      <c r="W553" s="32">
        <v>2050</v>
      </c>
      <c r="X553" s="43" t="str">
        <f t="shared" si="69"/>
        <v>*0.51</v>
      </c>
      <c r="AC553" s="33" t="s">
        <v>622</v>
      </c>
      <c r="AD553" s="44" t="s">
        <v>57</v>
      </c>
      <c r="AE553" s="33">
        <v>2035</v>
      </c>
      <c r="AF553" s="45" t="str">
        <f t="shared" si="70"/>
        <v>*0.58</v>
      </c>
      <c r="AG553" s="43" t="str">
        <f t="shared" si="72"/>
        <v>REZoning_Sol-Win</v>
      </c>
      <c r="AI553" s="33" t="s">
        <v>622</v>
      </c>
      <c r="AJ553" s="44" t="s">
        <v>57</v>
      </c>
      <c r="AK553" s="33">
        <v>2050</v>
      </c>
      <c r="AL553" s="45" t="str">
        <f t="shared" si="71"/>
        <v>*0.49</v>
      </c>
      <c r="AM553" s="43" t="str">
        <f t="shared" si="73"/>
        <v>REZoning_Sol-Win</v>
      </c>
      <c r="AP553" t="s">
        <v>622</v>
      </c>
      <c r="AQ553" t="s">
        <v>57</v>
      </c>
      <c r="AR553">
        <v>2100</v>
      </c>
      <c r="AS553" t="s">
        <v>75</v>
      </c>
      <c r="AT553" t="s">
        <v>58</v>
      </c>
    </row>
    <row r="554" ht="29" spans="1:46">
      <c r="A554" s="31" t="s">
        <v>73</v>
      </c>
      <c r="C554" t="s">
        <v>623</v>
      </c>
      <c r="D554" s="5" t="s">
        <v>57</v>
      </c>
      <c r="E554">
        <v>2035</v>
      </c>
      <c r="F554" s="6" t="str">
        <f t="shared" si="66"/>
        <v>*0.63</v>
      </c>
      <c r="H554" t="s">
        <v>623</v>
      </c>
      <c r="I554" s="5" t="s">
        <v>57</v>
      </c>
      <c r="J554">
        <v>2050</v>
      </c>
      <c r="K554" s="38" t="str">
        <f t="shared" si="67"/>
        <v>*0.54</v>
      </c>
      <c r="P554" s="32" t="s">
        <v>623</v>
      </c>
      <c r="Q554" s="42" t="s">
        <v>57</v>
      </c>
      <c r="R554" s="32">
        <v>2035</v>
      </c>
      <c r="S554" s="43" t="str">
        <f t="shared" si="68"/>
        <v>*0.62</v>
      </c>
      <c r="U554" s="32" t="s">
        <v>623</v>
      </c>
      <c r="V554" s="42" t="s">
        <v>57</v>
      </c>
      <c r="W554" s="32">
        <v>2050</v>
      </c>
      <c r="X554" s="43" t="str">
        <f t="shared" si="69"/>
        <v>*0.51</v>
      </c>
      <c r="AC554" s="33" t="s">
        <v>623</v>
      </c>
      <c r="AD554" s="44" t="s">
        <v>57</v>
      </c>
      <c r="AE554" s="33">
        <v>2035</v>
      </c>
      <c r="AF554" s="45" t="str">
        <f t="shared" si="70"/>
        <v>*0.58</v>
      </c>
      <c r="AG554" s="43" t="str">
        <f t="shared" si="72"/>
        <v>REZoning_Sol-Win</v>
      </c>
      <c r="AI554" s="33" t="s">
        <v>623</v>
      </c>
      <c r="AJ554" s="44" t="s">
        <v>57</v>
      </c>
      <c r="AK554" s="33">
        <v>2050</v>
      </c>
      <c r="AL554" s="45" t="str">
        <f t="shared" si="71"/>
        <v>*0.49</v>
      </c>
      <c r="AM554" s="43" t="str">
        <f t="shared" si="73"/>
        <v>REZoning_Sol-Win</v>
      </c>
      <c r="AP554" t="s">
        <v>623</v>
      </c>
      <c r="AQ554" t="s">
        <v>57</v>
      </c>
      <c r="AR554">
        <v>2100</v>
      </c>
      <c r="AS554" t="s">
        <v>75</v>
      </c>
      <c r="AT554" t="s">
        <v>58</v>
      </c>
    </row>
    <row r="555" ht="29" spans="1:46">
      <c r="A555" s="31" t="s">
        <v>55</v>
      </c>
      <c r="C555" t="s">
        <v>624</v>
      </c>
      <c r="D555" s="5" t="s">
        <v>57</v>
      </c>
      <c r="E555">
        <v>2035</v>
      </c>
      <c r="F555" s="6" t="str">
        <f t="shared" si="66"/>
        <v>*0.6</v>
      </c>
      <c r="H555" t="s">
        <v>624</v>
      </c>
      <c r="I555" s="5" t="s">
        <v>57</v>
      </c>
      <c r="J555">
        <v>2050</v>
      </c>
      <c r="K555" s="38" t="str">
        <f t="shared" si="67"/>
        <v>*0.49</v>
      </c>
      <c r="P555" s="32" t="s">
        <v>624</v>
      </c>
      <c r="Q555" s="42" t="s">
        <v>57</v>
      </c>
      <c r="R555" s="32">
        <v>2035</v>
      </c>
      <c r="S555" s="43" t="str">
        <f t="shared" si="68"/>
        <v>*0.58</v>
      </c>
      <c r="U555" s="32" t="s">
        <v>624</v>
      </c>
      <c r="V555" s="42" t="s">
        <v>57</v>
      </c>
      <c r="W555" s="32">
        <v>2050</v>
      </c>
      <c r="X555" s="43" t="str">
        <f t="shared" si="69"/>
        <v>*0.47</v>
      </c>
      <c r="AC555" s="33" t="s">
        <v>624</v>
      </c>
      <c r="AD555" s="44" t="s">
        <v>57</v>
      </c>
      <c r="AE555" s="33">
        <v>2035</v>
      </c>
      <c r="AF555" s="45" t="str">
        <f t="shared" si="70"/>
        <v>*0.55</v>
      </c>
      <c r="AG555" s="43" t="str">
        <f t="shared" si="72"/>
        <v>REZoning_Sol-Win</v>
      </c>
      <c r="AI555" s="33" t="s">
        <v>624</v>
      </c>
      <c r="AJ555" s="44" t="s">
        <v>57</v>
      </c>
      <c r="AK555" s="33">
        <v>2050</v>
      </c>
      <c r="AL555" s="45" t="str">
        <f t="shared" si="71"/>
        <v>*0.42</v>
      </c>
      <c r="AM555" s="43" t="str">
        <f t="shared" si="73"/>
        <v>REZoning_Sol-Win</v>
      </c>
      <c r="AP555" t="s">
        <v>624</v>
      </c>
      <c r="AQ555" t="s">
        <v>57</v>
      </c>
      <c r="AR555">
        <v>2100</v>
      </c>
      <c r="AS555" t="s">
        <v>59</v>
      </c>
      <c r="AT555" t="s">
        <v>58</v>
      </c>
    </row>
    <row r="556" ht="29" spans="1:46">
      <c r="A556" s="31" t="s">
        <v>55</v>
      </c>
      <c r="C556" t="s">
        <v>625</v>
      </c>
      <c r="D556" s="5" t="s">
        <v>57</v>
      </c>
      <c r="E556">
        <v>2035</v>
      </c>
      <c r="F556" s="6" t="str">
        <f t="shared" si="66"/>
        <v>*0.6</v>
      </c>
      <c r="H556" t="s">
        <v>625</v>
      </c>
      <c r="I556" s="5" t="s">
        <v>57</v>
      </c>
      <c r="J556">
        <v>2050</v>
      </c>
      <c r="K556" s="38" t="str">
        <f t="shared" si="67"/>
        <v>*0.49</v>
      </c>
      <c r="P556" s="32" t="s">
        <v>625</v>
      </c>
      <c r="Q556" s="42" t="s">
        <v>57</v>
      </c>
      <c r="R556" s="32">
        <v>2035</v>
      </c>
      <c r="S556" s="43" t="str">
        <f t="shared" si="68"/>
        <v>*0.58</v>
      </c>
      <c r="U556" s="32" t="s">
        <v>625</v>
      </c>
      <c r="V556" s="42" t="s">
        <v>57</v>
      </c>
      <c r="W556" s="32">
        <v>2050</v>
      </c>
      <c r="X556" s="43" t="str">
        <f t="shared" si="69"/>
        <v>*0.47</v>
      </c>
      <c r="AC556" s="33" t="s">
        <v>625</v>
      </c>
      <c r="AD556" s="44" t="s">
        <v>57</v>
      </c>
      <c r="AE556" s="33">
        <v>2035</v>
      </c>
      <c r="AF556" s="45" t="str">
        <f t="shared" si="70"/>
        <v>*0.55</v>
      </c>
      <c r="AG556" s="43" t="str">
        <f t="shared" si="72"/>
        <v>REZoning_Sol-Win</v>
      </c>
      <c r="AI556" s="33" t="s">
        <v>625</v>
      </c>
      <c r="AJ556" s="44" t="s">
        <v>57</v>
      </c>
      <c r="AK556" s="33">
        <v>2050</v>
      </c>
      <c r="AL556" s="45" t="str">
        <f t="shared" si="71"/>
        <v>*0.42</v>
      </c>
      <c r="AM556" s="43" t="str">
        <f t="shared" si="73"/>
        <v>REZoning_Sol-Win</v>
      </c>
      <c r="AP556" t="s">
        <v>625</v>
      </c>
      <c r="AQ556" t="s">
        <v>57</v>
      </c>
      <c r="AR556">
        <v>2100</v>
      </c>
      <c r="AS556" t="s">
        <v>59</v>
      </c>
      <c r="AT556" t="s">
        <v>58</v>
      </c>
    </row>
    <row r="557" ht="29" spans="1:46">
      <c r="A557" s="31" t="s">
        <v>55</v>
      </c>
      <c r="C557" t="s">
        <v>626</v>
      </c>
      <c r="D557" s="5" t="s">
        <v>57</v>
      </c>
      <c r="E557">
        <v>2035</v>
      </c>
      <c r="F557" s="6" t="str">
        <f t="shared" si="66"/>
        <v>*0.6</v>
      </c>
      <c r="H557" t="s">
        <v>626</v>
      </c>
      <c r="I557" s="5" t="s">
        <v>57</v>
      </c>
      <c r="J557">
        <v>2050</v>
      </c>
      <c r="K557" s="38" t="str">
        <f t="shared" si="67"/>
        <v>*0.49</v>
      </c>
      <c r="P557" s="32" t="s">
        <v>626</v>
      </c>
      <c r="Q557" s="42" t="s">
        <v>57</v>
      </c>
      <c r="R557" s="32">
        <v>2035</v>
      </c>
      <c r="S557" s="43" t="str">
        <f t="shared" si="68"/>
        <v>*0.58</v>
      </c>
      <c r="U557" s="32" t="s">
        <v>626</v>
      </c>
      <c r="V557" s="42" t="s">
        <v>57</v>
      </c>
      <c r="W557" s="32">
        <v>2050</v>
      </c>
      <c r="X557" s="43" t="str">
        <f t="shared" si="69"/>
        <v>*0.47</v>
      </c>
      <c r="AC557" s="33" t="s">
        <v>626</v>
      </c>
      <c r="AD557" s="44" t="s">
        <v>57</v>
      </c>
      <c r="AE557" s="33">
        <v>2035</v>
      </c>
      <c r="AF557" s="45" t="str">
        <f t="shared" si="70"/>
        <v>*0.55</v>
      </c>
      <c r="AG557" s="43" t="str">
        <f t="shared" si="72"/>
        <v>REZoning_Sol-Win</v>
      </c>
      <c r="AI557" s="33" t="s">
        <v>626</v>
      </c>
      <c r="AJ557" s="44" t="s">
        <v>57</v>
      </c>
      <c r="AK557" s="33">
        <v>2050</v>
      </c>
      <c r="AL557" s="45" t="str">
        <f t="shared" si="71"/>
        <v>*0.42</v>
      </c>
      <c r="AM557" s="43" t="str">
        <f t="shared" si="73"/>
        <v>REZoning_Sol-Win</v>
      </c>
      <c r="AP557" t="s">
        <v>626</v>
      </c>
      <c r="AQ557" t="s">
        <v>57</v>
      </c>
      <c r="AR557">
        <v>2100</v>
      </c>
      <c r="AS557" t="s">
        <v>59</v>
      </c>
      <c r="AT557" t="s">
        <v>58</v>
      </c>
    </row>
    <row r="558" ht="29" spans="1:46">
      <c r="A558" s="31" t="s">
        <v>55</v>
      </c>
      <c r="C558" t="s">
        <v>627</v>
      </c>
      <c r="D558" s="5" t="s">
        <v>57</v>
      </c>
      <c r="E558">
        <v>2035</v>
      </c>
      <c r="F558" s="6" t="str">
        <f t="shared" si="66"/>
        <v>*0.6</v>
      </c>
      <c r="H558" t="s">
        <v>627</v>
      </c>
      <c r="I558" s="5" t="s">
        <v>57</v>
      </c>
      <c r="J558">
        <v>2050</v>
      </c>
      <c r="K558" s="38" t="str">
        <f t="shared" si="67"/>
        <v>*0.49</v>
      </c>
      <c r="P558" s="32" t="s">
        <v>627</v>
      </c>
      <c r="Q558" s="42" t="s">
        <v>57</v>
      </c>
      <c r="R558" s="32">
        <v>2035</v>
      </c>
      <c r="S558" s="43" t="str">
        <f t="shared" si="68"/>
        <v>*0.58</v>
      </c>
      <c r="U558" s="32" t="s">
        <v>627</v>
      </c>
      <c r="V558" s="42" t="s">
        <v>57</v>
      </c>
      <c r="W558" s="32">
        <v>2050</v>
      </c>
      <c r="X558" s="43" t="str">
        <f t="shared" si="69"/>
        <v>*0.47</v>
      </c>
      <c r="AC558" s="33" t="s">
        <v>627</v>
      </c>
      <c r="AD558" s="44" t="s">
        <v>57</v>
      </c>
      <c r="AE558" s="33">
        <v>2035</v>
      </c>
      <c r="AF558" s="45" t="str">
        <f t="shared" si="70"/>
        <v>*0.55</v>
      </c>
      <c r="AG558" s="43" t="str">
        <f t="shared" si="72"/>
        <v>REZoning_Sol-Win</v>
      </c>
      <c r="AI558" s="33" t="s">
        <v>627</v>
      </c>
      <c r="AJ558" s="44" t="s">
        <v>57</v>
      </c>
      <c r="AK558" s="33">
        <v>2050</v>
      </c>
      <c r="AL558" s="45" t="str">
        <f t="shared" si="71"/>
        <v>*0.42</v>
      </c>
      <c r="AM558" s="43" t="str">
        <f t="shared" si="73"/>
        <v>REZoning_Sol-Win</v>
      </c>
      <c r="AP558" t="s">
        <v>627</v>
      </c>
      <c r="AQ558" t="s">
        <v>57</v>
      </c>
      <c r="AR558">
        <v>2100</v>
      </c>
      <c r="AS558" t="s">
        <v>59</v>
      </c>
      <c r="AT558" t="s">
        <v>58</v>
      </c>
    </row>
    <row r="559" ht="29" spans="1:46">
      <c r="A559" s="31" t="s">
        <v>55</v>
      </c>
      <c r="C559" t="s">
        <v>628</v>
      </c>
      <c r="D559" s="5" t="s">
        <v>57</v>
      </c>
      <c r="E559">
        <v>2035</v>
      </c>
      <c r="F559" s="6" t="str">
        <f t="shared" si="66"/>
        <v>*0.6</v>
      </c>
      <c r="H559" t="s">
        <v>628</v>
      </c>
      <c r="I559" s="5" t="s">
        <v>57</v>
      </c>
      <c r="J559">
        <v>2050</v>
      </c>
      <c r="K559" s="38" t="str">
        <f t="shared" si="67"/>
        <v>*0.49</v>
      </c>
      <c r="P559" s="32" t="s">
        <v>628</v>
      </c>
      <c r="Q559" s="42" t="s">
        <v>57</v>
      </c>
      <c r="R559" s="32">
        <v>2035</v>
      </c>
      <c r="S559" s="43" t="str">
        <f t="shared" si="68"/>
        <v>*0.58</v>
      </c>
      <c r="U559" s="32" t="s">
        <v>628</v>
      </c>
      <c r="V559" s="42" t="s">
        <v>57</v>
      </c>
      <c r="W559" s="32">
        <v>2050</v>
      </c>
      <c r="X559" s="43" t="str">
        <f t="shared" si="69"/>
        <v>*0.47</v>
      </c>
      <c r="AC559" s="33" t="s">
        <v>628</v>
      </c>
      <c r="AD559" s="44" t="s">
        <v>57</v>
      </c>
      <c r="AE559" s="33">
        <v>2035</v>
      </c>
      <c r="AF559" s="45" t="str">
        <f t="shared" si="70"/>
        <v>*0.55</v>
      </c>
      <c r="AG559" s="43" t="str">
        <f t="shared" si="72"/>
        <v>REZoning_Sol-Win</v>
      </c>
      <c r="AI559" s="33" t="s">
        <v>628</v>
      </c>
      <c r="AJ559" s="44" t="s">
        <v>57</v>
      </c>
      <c r="AK559" s="33">
        <v>2050</v>
      </c>
      <c r="AL559" s="45" t="str">
        <f t="shared" si="71"/>
        <v>*0.42</v>
      </c>
      <c r="AM559" s="43" t="str">
        <f t="shared" si="73"/>
        <v>REZoning_Sol-Win</v>
      </c>
      <c r="AP559" t="s">
        <v>628</v>
      </c>
      <c r="AQ559" t="s">
        <v>57</v>
      </c>
      <c r="AR559">
        <v>2100</v>
      </c>
      <c r="AS559" t="s">
        <v>59</v>
      </c>
      <c r="AT559" t="s">
        <v>58</v>
      </c>
    </row>
    <row r="560" ht="29" spans="1:46">
      <c r="A560" s="31" t="s">
        <v>55</v>
      </c>
      <c r="C560" t="s">
        <v>629</v>
      </c>
      <c r="D560" s="5" t="s">
        <v>57</v>
      </c>
      <c r="E560">
        <v>2035</v>
      </c>
      <c r="F560" s="6" t="str">
        <f t="shared" si="66"/>
        <v>*0.6</v>
      </c>
      <c r="H560" t="s">
        <v>629</v>
      </c>
      <c r="I560" s="5" t="s">
        <v>57</v>
      </c>
      <c r="J560">
        <v>2050</v>
      </c>
      <c r="K560" s="38" t="str">
        <f t="shared" si="67"/>
        <v>*0.49</v>
      </c>
      <c r="P560" s="32" t="s">
        <v>629</v>
      </c>
      <c r="Q560" s="42" t="s">
        <v>57</v>
      </c>
      <c r="R560" s="32">
        <v>2035</v>
      </c>
      <c r="S560" s="43" t="str">
        <f t="shared" si="68"/>
        <v>*0.58</v>
      </c>
      <c r="U560" s="32" t="s">
        <v>629</v>
      </c>
      <c r="V560" s="42" t="s">
        <v>57</v>
      </c>
      <c r="W560" s="32">
        <v>2050</v>
      </c>
      <c r="X560" s="43" t="str">
        <f t="shared" si="69"/>
        <v>*0.47</v>
      </c>
      <c r="AC560" s="33" t="s">
        <v>629</v>
      </c>
      <c r="AD560" s="44" t="s">
        <v>57</v>
      </c>
      <c r="AE560" s="33">
        <v>2035</v>
      </c>
      <c r="AF560" s="45" t="str">
        <f t="shared" si="70"/>
        <v>*0.55</v>
      </c>
      <c r="AG560" s="43" t="str">
        <f t="shared" si="72"/>
        <v>REZoning_Sol-Win</v>
      </c>
      <c r="AI560" s="33" t="s">
        <v>629</v>
      </c>
      <c r="AJ560" s="44" t="s">
        <v>57</v>
      </c>
      <c r="AK560" s="33">
        <v>2050</v>
      </c>
      <c r="AL560" s="45" t="str">
        <f t="shared" si="71"/>
        <v>*0.42</v>
      </c>
      <c r="AM560" s="43" t="str">
        <f t="shared" si="73"/>
        <v>REZoning_Sol-Win</v>
      </c>
      <c r="AP560" t="s">
        <v>629</v>
      </c>
      <c r="AQ560" t="s">
        <v>57</v>
      </c>
      <c r="AR560">
        <v>2100</v>
      </c>
      <c r="AS560" t="s">
        <v>59</v>
      </c>
      <c r="AT560" t="s">
        <v>58</v>
      </c>
    </row>
    <row r="561" ht="29" spans="1:46">
      <c r="A561" s="31" t="s">
        <v>55</v>
      </c>
      <c r="C561" t="s">
        <v>630</v>
      </c>
      <c r="D561" s="5" t="s">
        <v>57</v>
      </c>
      <c r="E561">
        <v>2035</v>
      </c>
      <c r="F561" s="6" t="str">
        <f t="shared" si="66"/>
        <v>*0.6</v>
      </c>
      <c r="H561" t="s">
        <v>630</v>
      </c>
      <c r="I561" s="5" t="s">
        <v>57</v>
      </c>
      <c r="J561">
        <v>2050</v>
      </c>
      <c r="K561" s="38" t="str">
        <f t="shared" si="67"/>
        <v>*0.49</v>
      </c>
      <c r="P561" s="32" t="s">
        <v>630</v>
      </c>
      <c r="Q561" s="42" t="s">
        <v>57</v>
      </c>
      <c r="R561" s="32">
        <v>2035</v>
      </c>
      <c r="S561" s="43" t="str">
        <f t="shared" si="68"/>
        <v>*0.58</v>
      </c>
      <c r="U561" s="32" t="s">
        <v>630</v>
      </c>
      <c r="V561" s="42" t="s">
        <v>57</v>
      </c>
      <c r="W561" s="32">
        <v>2050</v>
      </c>
      <c r="X561" s="43" t="str">
        <f t="shared" si="69"/>
        <v>*0.47</v>
      </c>
      <c r="AC561" s="33" t="s">
        <v>630</v>
      </c>
      <c r="AD561" s="44" t="s">
        <v>57</v>
      </c>
      <c r="AE561" s="33">
        <v>2035</v>
      </c>
      <c r="AF561" s="45" t="str">
        <f t="shared" si="70"/>
        <v>*0.55</v>
      </c>
      <c r="AG561" s="43" t="str">
        <f t="shared" si="72"/>
        <v>REZoning_Sol-Win</v>
      </c>
      <c r="AI561" s="33" t="s">
        <v>630</v>
      </c>
      <c r="AJ561" s="44" t="s">
        <v>57</v>
      </c>
      <c r="AK561" s="33">
        <v>2050</v>
      </c>
      <c r="AL561" s="45" t="str">
        <f t="shared" si="71"/>
        <v>*0.42</v>
      </c>
      <c r="AM561" s="43" t="str">
        <f t="shared" si="73"/>
        <v>REZoning_Sol-Win</v>
      </c>
      <c r="AP561" t="s">
        <v>630</v>
      </c>
      <c r="AQ561" t="s">
        <v>57</v>
      </c>
      <c r="AR561">
        <v>2100</v>
      </c>
      <c r="AS561" t="s">
        <v>59</v>
      </c>
      <c r="AT561" t="s">
        <v>58</v>
      </c>
    </row>
    <row r="562" ht="29" spans="1:46">
      <c r="A562" s="31" t="s">
        <v>79</v>
      </c>
      <c r="C562" t="s">
        <v>631</v>
      </c>
      <c r="D562" s="5" t="s">
        <v>57</v>
      </c>
      <c r="E562">
        <v>2035</v>
      </c>
      <c r="F562" s="6" t="str">
        <f t="shared" si="66"/>
        <v>*0.6</v>
      </c>
      <c r="H562" t="s">
        <v>631</v>
      </c>
      <c r="I562" s="5" t="s">
        <v>57</v>
      </c>
      <c r="J562">
        <v>2050</v>
      </c>
      <c r="K562" s="38" t="str">
        <f t="shared" si="67"/>
        <v>*0.5</v>
      </c>
      <c r="P562" s="32" t="s">
        <v>631</v>
      </c>
      <c r="Q562" s="42" t="s">
        <v>57</v>
      </c>
      <c r="R562" s="32">
        <v>2035</v>
      </c>
      <c r="S562" s="43" t="str">
        <f t="shared" si="68"/>
        <v>*0.59</v>
      </c>
      <c r="U562" s="32" t="s">
        <v>631</v>
      </c>
      <c r="V562" s="42" t="s">
        <v>57</v>
      </c>
      <c r="W562" s="32">
        <v>2050</v>
      </c>
      <c r="X562" s="43" t="str">
        <f t="shared" si="69"/>
        <v>*0.47</v>
      </c>
      <c r="AC562" s="33" t="s">
        <v>631</v>
      </c>
      <c r="AD562" s="44" t="s">
        <v>57</v>
      </c>
      <c r="AE562" s="33">
        <v>2035</v>
      </c>
      <c r="AF562" s="45" t="str">
        <f t="shared" si="70"/>
        <v>*0.53</v>
      </c>
      <c r="AG562" s="43" t="str">
        <f t="shared" si="72"/>
        <v>REZoning_Sol-Win</v>
      </c>
      <c r="AI562" s="33" t="s">
        <v>631</v>
      </c>
      <c r="AJ562" s="44" t="s">
        <v>57</v>
      </c>
      <c r="AK562" s="33">
        <v>2050</v>
      </c>
      <c r="AL562" s="45" t="str">
        <f t="shared" si="71"/>
        <v>*0.41</v>
      </c>
      <c r="AM562" s="43" t="str">
        <f t="shared" si="73"/>
        <v>REZoning_Sol-Win</v>
      </c>
      <c r="AP562" t="s">
        <v>631</v>
      </c>
      <c r="AQ562" t="s">
        <v>57</v>
      </c>
      <c r="AR562">
        <v>2100</v>
      </c>
      <c r="AS562" t="s">
        <v>67</v>
      </c>
      <c r="AT562" t="s">
        <v>58</v>
      </c>
    </row>
    <row r="563" ht="29" spans="1:46">
      <c r="A563" s="31" t="s">
        <v>79</v>
      </c>
      <c r="C563" t="s">
        <v>632</v>
      </c>
      <c r="D563" s="5" t="s">
        <v>57</v>
      </c>
      <c r="E563">
        <v>2035</v>
      </c>
      <c r="F563" s="6" t="str">
        <f t="shared" si="66"/>
        <v>*0.6</v>
      </c>
      <c r="H563" t="s">
        <v>632</v>
      </c>
      <c r="I563" s="5" t="s">
        <v>57</v>
      </c>
      <c r="J563">
        <v>2050</v>
      </c>
      <c r="K563" s="38" t="str">
        <f t="shared" si="67"/>
        <v>*0.5</v>
      </c>
      <c r="P563" s="32" t="s">
        <v>632</v>
      </c>
      <c r="Q563" s="42" t="s">
        <v>57</v>
      </c>
      <c r="R563" s="32">
        <v>2035</v>
      </c>
      <c r="S563" s="43" t="str">
        <f t="shared" si="68"/>
        <v>*0.59</v>
      </c>
      <c r="U563" s="32" t="s">
        <v>632</v>
      </c>
      <c r="V563" s="42" t="s">
        <v>57</v>
      </c>
      <c r="W563" s="32">
        <v>2050</v>
      </c>
      <c r="X563" s="43" t="str">
        <f t="shared" si="69"/>
        <v>*0.47</v>
      </c>
      <c r="AC563" s="33" t="s">
        <v>632</v>
      </c>
      <c r="AD563" s="44" t="s">
        <v>57</v>
      </c>
      <c r="AE563" s="33">
        <v>2035</v>
      </c>
      <c r="AF563" s="45" t="str">
        <f t="shared" si="70"/>
        <v>*0.53</v>
      </c>
      <c r="AG563" s="43" t="str">
        <f t="shared" si="72"/>
        <v>REZoning_Sol-Win</v>
      </c>
      <c r="AI563" s="33" t="s">
        <v>632</v>
      </c>
      <c r="AJ563" s="44" t="s">
        <v>57</v>
      </c>
      <c r="AK563" s="33">
        <v>2050</v>
      </c>
      <c r="AL563" s="45" t="str">
        <f t="shared" si="71"/>
        <v>*0.41</v>
      </c>
      <c r="AM563" s="43" t="str">
        <f t="shared" si="73"/>
        <v>REZoning_Sol-Win</v>
      </c>
      <c r="AP563" t="s">
        <v>632</v>
      </c>
      <c r="AQ563" t="s">
        <v>57</v>
      </c>
      <c r="AR563">
        <v>2100</v>
      </c>
      <c r="AS563" t="s">
        <v>67</v>
      </c>
      <c r="AT563" t="s">
        <v>58</v>
      </c>
    </row>
    <row r="564" ht="29" spans="1:46">
      <c r="A564" s="31" t="s">
        <v>79</v>
      </c>
      <c r="C564" t="s">
        <v>633</v>
      </c>
      <c r="D564" s="5" t="s">
        <v>57</v>
      </c>
      <c r="E564">
        <v>2035</v>
      </c>
      <c r="F564" s="6" t="str">
        <f t="shared" si="66"/>
        <v>*0.6</v>
      </c>
      <c r="H564" t="s">
        <v>633</v>
      </c>
      <c r="I564" s="5" t="s">
        <v>57</v>
      </c>
      <c r="J564">
        <v>2050</v>
      </c>
      <c r="K564" s="38" t="str">
        <f t="shared" si="67"/>
        <v>*0.5</v>
      </c>
      <c r="P564" s="32" t="s">
        <v>633</v>
      </c>
      <c r="Q564" s="42" t="s">
        <v>57</v>
      </c>
      <c r="R564" s="32">
        <v>2035</v>
      </c>
      <c r="S564" s="43" t="str">
        <f t="shared" si="68"/>
        <v>*0.59</v>
      </c>
      <c r="U564" s="32" t="s">
        <v>633</v>
      </c>
      <c r="V564" s="42" t="s">
        <v>57</v>
      </c>
      <c r="W564" s="32">
        <v>2050</v>
      </c>
      <c r="X564" s="43" t="str">
        <f t="shared" si="69"/>
        <v>*0.47</v>
      </c>
      <c r="AC564" s="33" t="s">
        <v>633</v>
      </c>
      <c r="AD564" s="44" t="s">
        <v>57</v>
      </c>
      <c r="AE564" s="33">
        <v>2035</v>
      </c>
      <c r="AF564" s="45" t="str">
        <f t="shared" si="70"/>
        <v>*0.53</v>
      </c>
      <c r="AG564" s="43" t="str">
        <f t="shared" si="72"/>
        <v>REZoning_Sol-Win</v>
      </c>
      <c r="AI564" s="33" t="s">
        <v>633</v>
      </c>
      <c r="AJ564" s="44" t="s">
        <v>57</v>
      </c>
      <c r="AK564" s="33">
        <v>2050</v>
      </c>
      <c r="AL564" s="45" t="str">
        <f t="shared" si="71"/>
        <v>*0.41</v>
      </c>
      <c r="AM564" s="43" t="str">
        <f t="shared" si="73"/>
        <v>REZoning_Sol-Win</v>
      </c>
      <c r="AP564" t="s">
        <v>633</v>
      </c>
      <c r="AQ564" t="s">
        <v>57</v>
      </c>
      <c r="AR564">
        <v>2100</v>
      </c>
      <c r="AS564" t="s">
        <v>67</v>
      </c>
      <c r="AT564" t="s">
        <v>58</v>
      </c>
    </row>
    <row r="565" ht="29" spans="1:46">
      <c r="A565" s="31" t="s">
        <v>55</v>
      </c>
      <c r="C565" t="s">
        <v>634</v>
      </c>
      <c r="D565" s="5" t="s">
        <v>57</v>
      </c>
      <c r="E565">
        <v>2035</v>
      </c>
      <c r="F565" s="6" t="str">
        <f t="shared" si="66"/>
        <v>*0.6</v>
      </c>
      <c r="H565" t="s">
        <v>634</v>
      </c>
      <c r="I565" s="5" t="s">
        <v>57</v>
      </c>
      <c r="J565">
        <v>2050</v>
      </c>
      <c r="K565" s="38" t="str">
        <f t="shared" si="67"/>
        <v>*0.49</v>
      </c>
      <c r="P565" s="32" t="s">
        <v>634</v>
      </c>
      <c r="Q565" s="42" t="s">
        <v>57</v>
      </c>
      <c r="R565" s="32">
        <v>2035</v>
      </c>
      <c r="S565" s="43" t="str">
        <f t="shared" si="68"/>
        <v>*0.58</v>
      </c>
      <c r="U565" s="32" t="s">
        <v>634</v>
      </c>
      <c r="V565" s="42" t="s">
        <v>57</v>
      </c>
      <c r="W565" s="32">
        <v>2050</v>
      </c>
      <c r="X565" s="43" t="str">
        <f t="shared" si="69"/>
        <v>*0.47</v>
      </c>
      <c r="AC565" s="33" t="s">
        <v>634</v>
      </c>
      <c r="AD565" s="44" t="s">
        <v>57</v>
      </c>
      <c r="AE565" s="33">
        <v>2035</v>
      </c>
      <c r="AF565" s="45" t="str">
        <f t="shared" si="70"/>
        <v>*0.55</v>
      </c>
      <c r="AG565" s="43" t="str">
        <f t="shared" si="72"/>
        <v>REZoning_Sol-Win</v>
      </c>
      <c r="AI565" s="33" t="s">
        <v>634</v>
      </c>
      <c r="AJ565" s="44" t="s">
        <v>57</v>
      </c>
      <c r="AK565" s="33">
        <v>2050</v>
      </c>
      <c r="AL565" s="45" t="str">
        <f t="shared" si="71"/>
        <v>*0.42</v>
      </c>
      <c r="AM565" s="43" t="str">
        <f t="shared" si="73"/>
        <v>REZoning_Sol-Win</v>
      </c>
      <c r="AP565" t="s">
        <v>634</v>
      </c>
      <c r="AQ565" t="s">
        <v>57</v>
      </c>
      <c r="AR565">
        <v>2100</v>
      </c>
      <c r="AS565" t="s">
        <v>59</v>
      </c>
      <c r="AT565" t="s">
        <v>58</v>
      </c>
    </row>
    <row r="566" ht="29" spans="1:46">
      <c r="A566" s="31" t="s">
        <v>55</v>
      </c>
      <c r="C566" t="s">
        <v>635</v>
      </c>
      <c r="D566" s="5" t="s">
        <v>57</v>
      </c>
      <c r="E566">
        <v>2035</v>
      </c>
      <c r="F566" s="6" t="str">
        <f t="shared" si="66"/>
        <v>*0.6</v>
      </c>
      <c r="H566" t="s">
        <v>635</v>
      </c>
      <c r="I566" s="5" t="s">
        <v>57</v>
      </c>
      <c r="J566">
        <v>2050</v>
      </c>
      <c r="K566" s="38" t="str">
        <f t="shared" si="67"/>
        <v>*0.49</v>
      </c>
      <c r="P566" s="32" t="s">
        <v>635</v>
      </c>
      <c r="Q566" s="42" t="s">
        <v>57</v>
      </c>
      <c r="R566" s="32">
        <v>2035</v>
      </c>
      <c r="S566" s="43" t="str">
        <f t="shared" si="68"/>
        <v>*0.58</v>
      </c>
      <c r="U566" s="32" t="s">
        <v>635</v>
      </c>
      <c r="V566" s="42" t="s">
        <v>57</v>
      </c>
      <c r="W566" s="32">
        <v>2050</v>
      </c>
      <c r="X566" s="43" t="str">
        <f t="shared" si="69"/>
        <v>*0.47</v>
      </c>
      <c r="AC566" s="33" t="s">
        <v>635</v>
      </c>
      <c r="AD566" s="44" t="s">
        <v>57</v>
      </c>
      <c r="AE566" s="33">
        <v>2035</v>
      </c>
      <c r="AF566" s="45" t="str">
        <f t="shared" si="70"/>
        <v>*0.55</v>
      </c>
      <c r="AG566" s="43" t="str">
        <f t="shared" si="72"/>
        <v>REZoning_Sol-Win</v>
      </c>
      <c r="AI566" s="33" t="s">
        <v>635</v>
      </c>
      <c r="AJ566" s="44" t="s">
        <v>57</v>
      </c>
      <c r="AK566" s="33">
        <v>2050</v>
      </c>
      <c r="AL566" s="45" t="str">
        <f t="shared" si="71"/>
        <v>*0.42</v>
      </c>
      <c r="AM566" s="43" t="str">
        <f t="shared" si="73"/>
        <v>REZoning_Sol-Win</v>
      </c>
      <c r="AP566" t="s">
        <v>635</v>
      </c>
      <c r="AQ566" t="s">
        <v>57</v>
      </c>
      <c r="AR566">
        <v>2100</v>
      </c>
      <c r="AS566" t="s">
        <v>59</v>
      </c>
      <c r="AT566" t="s">
        <v>58</v>
      </c>
    </row>
    <row r="567" ht="29" spans="1:46">
      <c r="A567" s="31" t="s">
        <v>55</v>
      </c>
      <c r="C567" t="s">
        <v>636</v>
      </c>
      <c r="D567" s="5" t="s">
        <v>57</v>
      </c>
      <c r="E567">
        <v>2035</v>
      </c>
      <c r="F567" s="6" t="str">
        <f t="shared" si="66"/>
        <v>*0.6</v>
      </c>
      <c r="H567" t="s">
        <v>636</v>
      </c>
      <c r="I567" s="5" t="s">
        <v>57</v>
      </c>
      <c r="J567">
        <v>2050</v>
      </c>
      <c r="K567" s="38" t="str">
        <f t="shared" si="67"/>
        <v>*0.49</v>
      </c>
      <c r="P567" s="32" t="s">
        <v>636</v>
      </c>
      <c r="Q567" s="42" t="s">
        <v>57</v>
      </c>
      <c r="R567" s="32">
        <v>2035</v>
      </c>
      <c r="S567" s="43" t="str">
        <f t="shared" si="68"/>
        <v>*0.58</v>
      </c>
      <c r="U567" s="32" t="s">
        <v>636</v>
      </c>
      <c r="V567" s="42" t="s">
        <v>57</v>
      </c>
      <c r="W567" s="32">
        <v>2050</v>
      </c>
      <c r="X567" s="43" t="str">
        <f t="shared" si="69"/>
        <v>*0.47</v>
      </c>
      <c r="AC567" s="33" t="s">
        <v>636</v>
      </c>
      <c r="AD567" s="44" t="s">
        <v>57</v>
      </c>
      <c r="AE567" s="33">
        <v>2035</v>
      </c>
      <c r="AF567" s="45" t="str">
        <f t="shared" si="70"/>
        <v>*0.55</v>
      </c>
      <c r="AG567" s="43" t="str">
        <f t="shared" si="72"/>
        <v>REZoning_Sol-Win</v>
      </c>
      <c r="AI567" s="33" t="s">
        <v>636</v>
      </c>
      <c r="AJ567" s="44" t="s">
        <v>57</v>
      </c>
      <c r="AK567" s="33">
        <v>2050</v>
      </c>
      <c r="AL567" s="45" t="str">
        <f t="shared" si="71"/>
        <v>*0.42</v>
      </c>
      <c r="AM567" s="43" t="str">
        <f t="shared" si="73"/>
        <v>REZoning_Sol-Win</v>
      </c>
      <c r="AP567" t="s">
        <v>636</v>
      </c>
      <c r="AQ567" t="s">
        <v>57</v>
      </c>
      <c r="AR567">
        <v>2100</v>
      </c>
      <c r="AS567" t="s">
        <v>59</v>
      </c>
      <c r="AT567" t="s">
        <v>58</v>
      </c>
    </row>
    <row r="568" ht="29" spans="1:46">
      <c r="A568" s="31" t="s">
        <v>55</v>
      </c>
      <c r="C568" t="s">
        <v>637</v>
      </c>
      <c r="D568" s="5" t="s">
        <v>57</v>
      </c>
      <c r="E568">
        <v>2035</v>
      </c>
      <c r="F568" s="6" t="str">
        <f t="shared" si="66"/>
        <v>*0.6</v>
      </c>
      <c r="H568" t="s">
        <v>637</v>
      </c>
      <c r="I568" s="5" t="s">
        <v>57</v>
      </c>
      <c r="J568">
        <v>2050</v>
      </c>
      <c r="K568" s="38" t="str">
        <f t="shared" si="67"/>
        <v>*0.49</v>
      </c>
      <c r="P568" s="32" t="s">
        <v>637</v>
      </c>
      <c r="Q568" s="42" t="s">
        <v>57</v>
      </c>
      <c r="R568" s="32">
        <v>2035</v>
      </c>
      <c r="S568" s="43" t="str">
        <f t="shared" si="68"/>
        <v>*0.58</v>
      </c>
      <c r="U568" s="32" t="s">
        <v>637</v>
      </c>
      <c r="V568" s="42" t="s">
        <v>57</v>
      </c>
      <c r="W568" s="32">
        <v>2050</v>
      </c>
      <c r="X568" s="43" t="str">
        <f t="shared" si="69"/>
        <v>*0.47</v>
      </c>
      <c r="AC568" s="33" t="s">
        <v>637</v>
      </c>
      <c r="AD568" s="44" t="s">
        <v>57</v>
      </c>
      <c r="AE568" s="33">
        <v>2035</v>
      </c>
      <c r="AF568" s="45" t="str">
        <f t="shared" si="70"/>
        <v>*0.55</v>
      </c>
      <c r="AG568" s="43" t="str">
        <f t="shared" si="72"/>
        <v>REZoning_Sol-Win</v>
      </c>
      <c r="AI568" s="33" t="s">
        <v>637</v>
      </c>
      <c r="AJ568" s="44" t="s">
        <v>57</v>
      </c>
      <c r="AK568" s="33">
        <v>2050</v>
      </c>
      <c r="AL568" s="45" t="str">
        <f t="shared" si="71"/>
        <v>*0.42</v>
      </c>
      <c r="AM568" s="43" t="str">
        <f t="shared" si="73"/>
        <v>REZoning_Sol-Win</v>
      </c>
      <c r="AP568" t="s">
        <v>637</v>
      </c>
      <c r="AQ568" t="s">
        <v>57</v>
      </c>
      <c r="AR568">
        <v>2100</v>
      </c>
      <c r="AS568" t="s">
        <v>59</v>
      </c>
      <c r="AT568" t="s">
        <v>58</v>
      </c>
    </row>
    <row r="569" ht="29" spans="1:46">
      <c r="A569" s="31" t="s">
        <v>55</v>
      </c>
      <c r="C569" t="s">
        <v>638</v>
      </c>
      <c r="D569" s="5" t="s">
        <v>57</v>
      </c>
      <c r="E569">
        <v>2035</v>
      </c>
      <c r="F569" s="6" t="str">
        <f t="shared" si="66"/>
        <v>*0.6</v>
      </c>
      <c r="H569" t="s">
        <v>638</v>
      </c>
      <c r="I569" s="5" t="s">
        <v>57</v>
      </c>
      <c r="J569">
        <v>2050</v>
      </c>
      <c r="K569" s="38" t="str">
        <f t="shared" si="67"/>
        <v>*0.49</v>
      </c>
      <c r="P569" s="32" t="s">
        <v>638</v>
      </c>
      <c r="Q569" s="42" t="s">
        <v>57</v>
      </c>
      <c r="R569" s="32">
        <v>2035</v>
      </c>
      <c r="S569" s="43" t="str">
        <f t="shared" si="68"/>
        <v>*0.58</v>
      </c>
      <c r="U569" s="32" t="s">
        <v>638</v>
      </c>
      <c r="V569" s="42" t="s">
        <v>57</v>
      </c>
      <c r="W569" s="32">
        <v>2050</v>
      </c>
      <c r="X569" s="43" t="str">
        <f t="shared" si="69"/>
        <v>*0.47</v>
      </c>
      <c r="AC569" s="33" t="s">
        <v>638</v>
      </c>
      <c r="AD569" s="44" t="s">
        <v>57</v>
      </c>
      <c r="AE569" s="33">
        <v>2035</v>
      </c>
      <c r="AF569" s="45" t="str">
        <f t="shared" si="70"/>
        <v>*0.55</v>
      </c>
      <c r="AG569" s="43" t="str">
        <f t="shared" si="72"/>
        <v>REZoning_Sol-Win</v>
      </c>
      <c r="AI569" s="33" t="s">
        <v>638</v>
      </c>
      <c r="AJ569" s="44" t="s">
        <v>57</v>
      </c>
      <c r="AK569" s="33">
        <v>2050</v>
      </c>
      <c r="AL569" s="45" t="str">
        <f t="shared" si="71"/>
        <v>*0.42</v>
      </c>
      <c r="AM569" s="43" t="str">
        <f t="shared" si="73"/>
        <v>REZoning_Sol-Win</v>
      </c>
      <c r="AP569" t="s">
        <v>638</v>
      </c>
      <c r="AQ569" t="s">
        <v>57</v>
      </c>
      <c r="AR569">
        <v>2100</v>
      </c>
      <c r="AS569" t="s">
        <v>59</v>
      </c>
      <c r="AT569" t="s">
        <v>58</v>
      </c>
    </row>
    <row r="570" ht="29" spans="1:46">
      <c r="A570" s="31" t="s">
        <v>55</v>
      </c>
      <c r="C570" t="s">
        <v>639</v>
      </c>
      <c r="D570" s="5" t="s">
        <v>57</v>
      </c>
      <c r="E570">
        <v>2035</v>
      </c>
      <c r="F570" s="6" t="str">
        <f t="shared" si="66"/>
        <v>*0.6</v>
      </c>
      <c r="H570" t="s">
        <v>639</v>
      </c>
      <c r="I570" s="5" t="s">
        <v>57</v>
      </c>
      <c r="J570">
        <v>2050</v>
      </c>
      <c r="K570" s="38" t="str">
        <f t="shared" si="67"/>
        <v>*0.49</v>
      </c>
      <c r="P570" s="32" t="s">
        <v>639</v>
      </c>
      <c r="Q570" s="42" t="s">
        <v>57</v>
      </c>
      <c r="R570" s="32">
        <v>2035</v>
      </c>
      <c r="S570" s="43" t="str">
        <f t="shared" si="68"/>
        <v>*0.58</v>
      </c>
      <c r="U570" s="32" t="s">
        <v>639</v>
      </c>
      <c r="V570" s="42" t="s">
        <v>57</v>
      </c>
      <c r="W570" s="32">
        <v>2050</v>
      </c>
      <c r="X570" s="43" t="str">
        <f t="shared" si="69"/>
        <v>*0.47</v>
      </c>
      <c r="AC570" s="33" t="s">
        <v>639</v>
      </c>
      <c r="AD570" s="44" t="s">
        <v>57</v>
      </c>
      <c r="AE570" s="33">
        <v>2035</v>
      </c>
      <c r="AF570" s="45" t="str">
        <f t="shared" si="70"/>
        <v>*0.55</v>
      </c>
      <c r="AG570" s="43" t="str">
        <f t="shared" si="72"/>
        <v>REZoning_Sol-Win</v>
      </c>
      <c r="AI570" s="33" t="s">
        <v>639</v>
      </c>
      <c r="AJ570" s="44" t="s">
        <v>57</v>
      </c>
      <c r="AK570" s="33">
        <v>2050</v>
      </c>
      <c r="AL570" s="45" t="str">
        <f t="shared" si="71"/>
        <v>*0.42</v>
      </c>
      <c r="AM570" s="43" t="str">
        <f t="shared" si="73"/>
        <v>REZoning_Sol-Win</v>
      </c>
      <c r="AP570" t="s">
        <v>639</v>
      </c>
      <c r="AQ570" t="s">
        <v>57</v>
      </c>
      <c r="AR570">
        <v>2100</v>
      </c>
      <c r="AS570" t="s">
        <v>59</v>
      </c>
      <c r="AT570" t="s">
        <v>58</v>
      </c>
    </row>
    <row r="571" ht="29" spans="1:46">
      <c r="A571" s="31" t="s">
        <v>55</v>
      </c>
      <c r="C571" t="s">
        <v>640</v>
      </c>
      <c r="D571" s="5" t="s">
        <v>57</v>
      </c>
      <c r="E571">
        <v>2035</v>
      </c>
      <c r="F571" s="6" t="str">
        <f t="shared" si="66"/>
        <v>*0.6</v>
      </c>
      <c r="H571" t="s">
        <v>640</v>
      </c>
      <c r="I571" s="5" t="s">
        <v>57</v>
      </c>
      <c r="J571">
        <v>2050</v>
      </c>
      <c r="K571" s="38" t="str">
        <f t="shared" si="67"/>
        <v>*0.49</v>
      </c>
      <c r="P571" s="32" t="s">
        <v>640</v>
      </c>
      <c r="Q571" s="42" t="s">
        <v>57</v>
      </c>
      <c r="R571" s="32">
        <v>2035</v>
      </c>
      <c r="S571" s="43" t="str">
        <f t="shared" si="68"/>
        <v>*0.58</v>
      </c>
      <c r="U571" s="32" t="s">
        <v>640</v>
      </c>
      <c r="V571" s="42" t="s">
        <v>57</v>
      </c>
      <c r="W571" s="32">
        <v>2050</v>
      </c>
      <c r="X571" s="43" t="str">
        <f t="shared" si="69"/>
        <v>*0.47</v>
      </c>
      <c r="AC571" s="33" t="s">
        <v>640</v>
      </c>
      <c r="AD571" s="44" t="s">
        <v>57</v>
      </c>
      <c r="AE571" s="33">
        <v>2035</v>
      </c>
      <c r="AF571" s="45" t="str">
        <f t="shared" si="70"/>
        <v>*0.55</v>
      </c>
      <c r="AG571" s="43" t="str">
        <f t="shared" si="72"/>
        <v>REZoning_Sol-Win</v>
      </c>
      <c r="AI571" s="33" t="s">
        <v>640</v>
      </c>
      <c r="AJ571" s="44" t="s">
        <v>57</v>
      </c>
      <c r="AK571" s="33">
        <v>2050</v>
      </c>
      <c r="AL571" s="45" t="str">
        <f t="shared" si="71"/>
        <v>*0.42</v>
      </c>
      <c r="AM571" s="43" t="str">
        <f t="shared" si="73"/>
        <v>REZoning_Sol-Win</v>
      </c>
      <c r="AP571" t="s">
        <v>640</v>
      </c>
      <c r="AQ571" t="s">
        <v>57</v>
      </c>
      <c r="AR571">
        <v>2100</v>
      </c>
      <c r="AS571" t="s">
        <v>59</v>
      </c>
      <c r="AT571" t="s">
        <v>58</v>
      </c>
    </row>
    <row r="572" ht="29" spans="1:46">
      <c r="A572" s="31" t="s">
        <v>55</v>
      </c>
      <c r="C572" t="s">
        <v>641</v>
      </c>
      <c r="D572" s="5" t="s">
        <v>57</v>
      </c>
      <c r="E572">
        <v>2035</v>
      </c>
      <c r="F572" s="6" t="str">
        <f t="shared" si="66"/>
        <v>*0.6</v>
      </c>
      <c r="H572" t="s">
        <v>641</v>
      </c>
      <c r="I572" s="5" t="s">
        <v>57</v>
      </c>
      <c r="J572">
        <v>2050</v>
      </c>
      <c r="K572" s="38" t="str">
        <f t="shared" si="67"/>
        <v>*0.49</v>
      </c>
      <c r="P572" s="32" t="s">
        <v>641</v>
      </c>
      <c r="Q572" s="42" t="s">
        <v>57</v>
      </c>
      <c r="R572" s="32">
        <v>2035</v>
      </c>
      <c r="S572" s="43" t="str">
        <f t="shared" si="68"/>
        <v>*0.58</v>
      </c>
      <c r="U572" s="32" t="s">
        <v>641</v>
      </c>
      <c r="V572" s="42" t="s">
        <v>57</v>
      </c>
      <c r="W572" s="32">
        <v>2050</v>
      </c>
      <c r="X572" s="43" t="str">
        <f t="shared" si="69"/>
        <v>*0.47</v>
      </c>
      <c r="AC572" s="33" t="s">
        <v>641</v>
      </c>
      <c r="AD572" s="44" t="s">
        <v>57</v>
      </c>
      <c r="AE572" s="33">
        <v>2035</v>
      </c>
      <c r="AF572" s="45" t="str">
        <f t="shared" si="70"/>
        <v>*0.55</v>
      </c>
      <c r="AG572" s="43" t="str">
        <f t="shared" si="72"/>
        <v>REZoning_Sol-Win</v>
      </c>
      <c r="AI572" s="33" t="s">
        <v>641</v>
      </c>
      <c r="AJ572" s="44" t="s">
        <v>57</v>
      </c>
      <c r="AK572" s="33">
        <v>2050</v>
      </c>
      <c r="AL572" s="45" t="str">
        <f t="shared" si="71"/>
        <v>*0.42</v>
      </c>
      <c r="AM572" s="43" t="str">
        <f t="shared" si="73"/>
        <v>REZoning_Sol-Win</v>
      </c>
      <c r="AP572" t="s">
        <v>641</v>
      </c>
      <c r="AQ572" t="s">
        <v>57</v>
      </c>
      <c r="AR572">
        <v>2100</v>
      </c>
      <c r="AS572" t="s">
        <v>59</v>
      </c>
      <c r="AT572" t="s">
        <v>58</v>
      </c>
    </row>
    <row r="573" ht="29" spans="1:46">
      <c r="A573" s="31" t="s">
        <v>55</v>
      </c>
      <c r="C573" t="s">
        <v>642</v>
      </c>
      <c r="D573" s="5" t="s">
        <v>57</v>
      </c>
      <c r="E573">
        <v>2035</v>
      </c>
      <c r="F573" s="6" t="str">
        <f t="shared" si="66"/>
        <v>*0.6</v>
      </c>
      <c r="H573" t="s">
        <v>642</v>
      </c>
      <c r="I573" s="5" t="s">
        <v>57</v>
      </c>
      <c r="J573">
        <v>2050</v>
      </c>
      <c r="K573" s="38" t="str">
        <f t="shared" si="67"/>
        <v>*0.49</v>
      </c>
      <c r="P573" s="32" t="s">
        <v>642</v>
      </c>
      <c r="Q573" s="42" t="s">
        <v>57</v>
      </c>
      <c r="R573" s="32">
        <v>2035</v>
      </c>
      <c r="S573" s="43" t="str">
        <f t="shared" si="68"/>
        <v>*0.58</v>
      </c>
      <c r="U573" s="32" t="s">
        <v>642</v>
      </c>
      <c r="V573" s="42" t="s">
        <v>57</v>
      </c>
      <c r="W573" s="32">
        <v>2050</v>
      </c>
      <c r="X573" s="43" t="str">
        <f t="shared" si="69"/>
        <v>*0.47</v>
      </c>
      <c r="AC573" s="33" t="s">
        <v>642</v>
      </c>
      <c r="AD573" s="44" t="s">
        <v>57</v>
      </c>
      <c r="AE573" s="33">
        <v>2035</v>
      </c>
      <c r="AF573" s="45" t="str">
        <f t="shared" si="70"/>
        <v>*0.55</v>
      </c>
      <c r="AG573" s="43" t="str">
        <f t="shared" si="72"/>
        <v>REZoning_Sol-Win</v>
      </c>
      <c r="AI573" s="33" t="s">
        <v>642</v>
      </c>
      <c r="AJ573" s="44" t="s">
        <v>57</v>
      </c>
      <c r="AK573" s="33">
        <v>2050</v>
      </c>
      <c r="AL573" s="45" t="str">
        <f t="shared" si="71"/>
        <v>*0.42</v>
      </c>
      <c r="AM573" s="43" t="str">
        <f t="shared" si="73"/>
        <v>REZoning_Sol-Win</v>
      </c>
      <c r="AP573" t="s">
        <v>642</v>
      </c>
      <c r="AQ573" t="s">
        <v>57</v>
      </c>
      <c r="AR573">
        <v>2100</v>
      </c>
      <c r="AS573" t="s">
        <v>59</v>
      </c>
      <c r="AT573" t="s">
        <v>58</v>
      </c>
    </row>
    <row r="574" ht="29" spans="1:46">
      <c r="A574" s="31" t="s">
        <v>55</v>
      </c>
      <c r="C574" t="s">
        <v>643</v>
      </c>
      <c r="D574" s="5" t="s">
        <v>57</v>
      </c>
      <c r="E574">
        <v>2035</v>
      </c>
      <c r="F574" s="6" t="str">
        <f t="shared" si="66"/>
        <v>*0.6</v>
      </c>
      <c r="H574" t="s">
        <v>643</v>
      </c>
      <c r="I574" s="5" t="s">
        <v>57</v>
      </c>
      <c r="J574">
        <v>2050</v>
      </c>
      <c r="K574" s="38" t="str">
        <f t="shared" si="67"/>
        <v>*0.49</v>
      </c>
      <c r="P574" s="32" t="s">
        <v>643</v>
      </c>
      <c r="Q574" s="42" t="s">
        <v>57</v>
      </c>
      <c r="R574" s="32">
        <v>2035</v>
      </c>
      <c r="S574" s="43" t="str">
        <f t="shared" si="68"/>
        <v>*0.58</v>
      </c>
      <c r="U574" s="32" t="s">
        <v>643</v>
      </c>
      <c r="V574" s="42" t="s">
        <v>57</v>
      </c>
      <c r="W574" s="32">
        <v>2050</v>
      </c>
      <c r="X574" s="43" t="str">
        <f t="shared" si="69"/>
        <v>*0.47</v>
      </c>
      <c r="AC574" s="33" t="s">
        <v>643</v>
      </c>
      <c r="AD574" s="44" t="s">
        <v>57</v>
      </c>
      <c r="AE574" s="33">
        <v>2035</v>
      </c>
      <c r="AF574" s="45" t="str">
        <f t="shared" si="70"/>
        <v>*0.55</v>
      </c>
      <c r="AG574" s="43" t="str">
        <f t="shared" si="72"/>
        <v>REZoning_Sol-Win</v>
      </c>
      <c r="AI574" s="33" t="s">
        <v>643</v>
      </c>
      <c r="AJ574" s="44" t="s">
        <v>57</v>
      </c>
      <c r="AK574" s="33">
        <v>2050</v>
      </c>
      <c r="AL574" s="45" t="str">
        <f t="shared" si="71"/>
        <v>*0.42</v>
      </c>
      <c r="AM574" s="43" t="str">
        <f t="shared" si="73"/>
        <v>REZoning_Sol-Win</v>
      </c>
      <c r="AP574" t="s">
        <v>643</v>
      </c>
      <c r="AQ574" t="s">
        <v>57</v>
      </c>
      <c r="AR574">
        <v>2100</v>
      </c>
      <c r="AS574" t="s">
        <v>59</v>
      </c>
      <c r="AT574" t="s">
        <v>58</v>
      </c>
    </row>
    <row r="575" ht="29" spans="1:46">
      <c r="A575" s="31" t="s">
        <v>55</v>
      </c>
      <c r="C575" t="s">
        <v>644</v>
      </c>
      <c r="D575" s="5" t="s">
        <v>57</v>
      </c>
      <c r="E575">
        <v>2035</v>
      </c>
      <c r="F575" s="6" t="str">
        <f t="shared" si="66"/>
        <v>*0.6</v>
      </c>
      <c r="H575" t="s">
        <v>644</v>
      </c>
      <c r="I575" s="5" t="s">
        <v>57</v>
      </c>
      <c r="J575">
        <v>2050</v>
      </c>
      <c r="K575" s="38" t="str">
        <f t="shared" si="67"/>
        <v>*0.49</v>
      </c>
      <c r="P575" s="32" t="s">
        <v>644</v>
      </c>
      <c r="Q575" s="42" t="s">
        <v>57</v>
      </c>
      <c r="R575" s="32">
        <v>2035</v>
      </c>
      <c r="S575" s="43" t="str">
        <f t="shared" si="68"/>
        <v>*0.58</v>
      </c>
      <c r="U575" s="32" t="s">
        <v>644</v>
      </c>
      <c r="V575" s="42" t="s">
        <v>57</v>
      </c>
      <c r="W575" s="32">
        <v>2050</v>
      </c>
      <c r="X575" s="43" t="str">
        <f t="shared" si="69"/>
        <v>*0.47</v>
      </c>
      <c r="AC575" s="33" t="s">
        <v>644</v>
      </c>
      <c r="AD575" s="44" t="s">
        <v>57</v>
      </c>
      <c r="AE575" s="33">
        <v>2035</v>
      </c>
      <c r="AF575" s="45" t="str">
        <f t="shared" si="70"/>
        <v>*0.55</v>
      </c>
      <c r="AG575" s="43" t="str">
        <f t="shared" si="72"/>
        <v>REZoning_Sol-Win</v>
      </c>
      <c r="AI575" s="33" t="s">
        <v>644</v>
      </c>
      <c r="AJ575" s="44" t="s">
        <v>57</v>
      </c>
      <c r="AK575" s="33">
        <v>2050</v>
      </c>
      <c r="AL575" s="45" t="str">
        <f t="shared" si="71"/>
        <v>*0.42</v>
      </c>
      <c r="AM575" s="43" t="str">
        <f t="shared" si="73"/>
        <v>REZoning_Sol-Win</v>
      </c>
      <c r="AP575" t="s">
        <v>644</v>
      </c>
      <c r="AQ575" t="s">
        <v>57</v>
      </c>
      <c r="AR575">
        <v>2100</v>
      </c>
      <c r="AS575" t="s">
        <v>59</v>
      </c>
      <c r="AT575" t="s">
        <v>58</v>
      </c>
    </row>
    <row r="576" ht="29" spans="1:46">
      <c r="A576" s="31" t="s">
        <v>55</v>
      </c>
      <c r="C576" t="s">
        <v>645</v>
      </c>
      <c r="D576" s="5" t="s">
        <v>57</v>
      </c>
      <c r="E576">
        <v>2035</v>
      </c>
      <c r="F576" s="6" t="str">
        <f t="shared" si="66"/>
        <v>*0.6</v>
      </c>
      <c r="H576" t="s">
        <v>645</v>
      </c>
      <c r="I576" s="5" t="s">
        <v>57</v>
      </c>
      <c r="J576">
        <v>2050</v>
      </c>
      <c r="K576" s="38" t="str">
        <f t="shared" si="67"/>
        <v>*0.49</v>
      </c>
      <c r="P576" s="32" t="s">
        <v>645</v>
      </c>
      <c r="Q576" s="42" t="s">
        <v>57</v>
      </c>
      <c r="R576" s="32">
        <v>2035</v>
      </c>
      <c r="S576" s="43" t="str">
        <f t="shared" si="68"/>
        <v>*0.58</v>
      </c>
      <c r="U576" s="32" t="s">
        <v>645</v>
      </c>
      <c r="V576" s="42" t="s">
        <v>57</v>
      </c>
      <c r="W576" s="32">
        <v>2050</v>
      </c>
      <c r="X576" s="43" t="str">
        <f t="shared" si="69"/>
        <v>*0.47</v>
      </c>
      <c r="AC576" s="33" t="s">
        <v>645</v>
      </c>
      <c r="AD576" s="44" t="s">
        <v>57</v>
      </c>
      <c r="AE576" s="33">
        <v>2035</v>
      </c>
      <c r="AF576" s="45" t="str">
        <f t="shared" si="70"/>
        <v>*0.55</v>
      </c>
      <c r="AG576" s="43" t="str">
        <f t="shared" si="72"/>
        <v>REZoning_Sol-Win</v>
      </c>
      <c r="AI576" s="33" t="s">
        <v>645</v>
      </c>
      <c r="AJ576" s="44" t="s">
        <v>57</v>
      </c>
      <c r="AK576" s="33">
        <v>2050</v>
      </c>
      <c r="AL576" s="45" t="str">
        <f t="shared" si="71"/>
        <v>*0.42</v>
      </c>
      <c r="AM576" s="43" t="str">
        <f t="shared" si="73"/>
        <v>REZoning_Sol-Win</v>
      </c>
      <c r="AP576" t="s">
        <v>645</v>
      </c>
      <c r="AQ576" t="s">
        <v>57</v>
      </c>
      <c r="AR576">
        <v>2100</v>
      </c>
      <c r="AS576" t="s">
        <v>59</v>
      </c>
      <c r="AT576" t="s">
        <v>58</v>
      </c>
    </row>
    <row r="577" ht="29" spans="1:46">
      <c r="A577" s="31" t="s">
        <v>55</v>
      </c>
      <c r="C577" t="s">
        <v>646</v>
      </c>
      <c r="D577" s="5" t="s">
        <v>57</v>
      </c>
      <c r="E577">
        <v>2035</v>
      </c>
      <c r="F577" s="6" t="str">
        <f t="shared" si="66"/>
        <v>*0.6</v>
      </c>
      <c r="H577" t="s">
        <v>646</v>
      </c>
      <c r="I577" s="5" t="s">
        <v>57</v>
      </c>
      <c r="J577">
        <v>2050</v>
      </c>
      <c r="K577" s="38" t="str">
        <f t="shared" si="67"/>
        <v>*0.49</v>
      </c>
      <c r="P577" s="32" t="s">
        <v>646</v>
      </c>
      <c r="Q577" s="42" t="s">
        <v>57</v>
      </c>
      <c r="R577" s="32">
        <v>2035</v>
      </c>
      <c r="S577" s="43" t="str">
        <f t="shared" si="68"/>
        <v>*0.58</v>
      </c>
      <c r="U577" s="32" t="s">
        <v>646</v>
      </c>
      <c r="V577" s="42" t="s">
        <v>57</v>
      </c>
      <c r="W577" s="32">
        <v>2050</v>
      </c>
      <c r="X577" s="43" t="str">
        <f t="shared" si="69"/>
        <v>*0.47</v>
      </c>
      <c r="AC577" s="33" t="s">
        <v>646</v>
      </c>
      <c r="AD577" s="44" t="s">
        <v>57</v>
      </c>
      <c r="AE577" s="33">
        <v>2035</v>
      </c>
      <c r="AF577" s="45" t="str">
        <f t="shared" si="70"/>
        <v>*0.55</v>
      </c>
      <c r="AG577" s="43" t="str">
        <f t="shared" si="72"/>
        <v>REZoning_Sol-Win</v>
      </c>
      <c r="AI577" s="33" t="s">
        <v>646</v>
      </c>
      <c r="AJ577" s="44" t="s">
        <v>57</v>
      </c>
      <c r="AK577" s="33">
        <v>2050</v>
      </c>
      <c r="AL577" s="45" t="str">
        <f t="shared" si="71"/>
        <v>*0.42</v>
      </c>
      <c r="AM577" s="43" t="str">
        <f t="shared" si="73"/>
        <v>REZoning_Sol-Win</v>
      </c>
      <c r="AP577" t="s">
        <v>646</v>
      </c>
      <c r="AQ577" t="s">
        <v>57</v>
      </c>
      <c r="AR577">
        <v>2100</v>
      </c>
      <c r="AS577" t="s">
        <v>59</v>
      </c>
      <c r="AT577" t="s">
        <v>58</v>
      </c>
    </row>
    <row r="578" ht="29" spans="1:46">
      <c r="A578" s="31" t="s">
        <v>55</v>
      </c>
      <c r="C578" t="s">
        <v>647</v>
      </c>
      <c r="D578" s="5" t="s">
        <v>57</v>
      </c>
      <c r="E578">
        <v>2035</v>
      </c>
      <c r="F578" s="6" t="str">
        <f t="shared" si="66"/>
        <v>*0.6</v>
      </c>
      <c r="H578" t="s">
        <v>647</v>
      </c>
      <c r="I578" s="5" t="s">
        <v>57</v>
      </c>
      <c r="J578">
        <v>2050</v>
      </c>
      <c r="K578" s="38" t="str">
        <f t="shared" si="67"/>
        <v>*0.49</v>
      </c>
      <c r="P578" s="32" t="s">
        <v>647</v>
      </c>
      <c r="Q578" s="42" t="s">
        <v>57</v>
      </c>
      <c r="R578" s="32">
        <v>2035</v>
      </c>
      <c r="S578" s="43" t="str">
        <f t="shared" si="68"/>
        <v>*0.58</v>
      </c>
      <c r="U578" s="32" t="s">
        <v>647</v>
      </c>
      <c r="V578" s="42" t="s">
        <v>57</v>
      </c>
      <c r="W578" s="32">
        <v>2050</v>
      </c>
      <c r="X578" s="43" t="str">
        <f t="shared" si="69"/>
        <v>*0.47</v>
      </c>
      <c r="AC578" s="33" t="s">
        <v>647</v>
      </c>
      <c r="AD578" s="44" t="s">
        <v>57</v>
      </c>
      <c r="AE578" s="33">
        <v>2035</v>
      </c>
      <c r="AF578" s="45" t="str">
        <f t="shared" si="70"/>
        <v>*0.55</v>
      </c>
      <c r="AG578" s="43" t="str">
        <f t="shared" si="72"/>
        <v>REZoning_Sol-Win</v>
      </c>
      <c r="AI578" s="33" t="s">
        <v>647</v>
      </c>
      <c r="AJ578" s="44" t="s">
        <v>57</v>
      </c>
      <c r="AK578" s="33">
        <v>2050</v>
      </c>
      <c r="AL578" s="45" t="str">
        <f t="shared" si="71"/>
        <v>*0.42</v>
      </c>
      <c r="AM578" s="43" t="str">
        <f t="shared" si="73"/>
        <v>REZoning_Sol-Win</v>
      </c>
      <c r="AP578" t="s">
        <v>647</v>
      </c>
      <c r="AQ578" t="s">
        <v>57</v>
      </c>
      <c r="AR578">
        <v>2100</v>
      </c>
      <c r="AS578" t="s">
        <v>59</v>
      </c>
      <c r="AT578" t="s">
        <v>58</v>
      </c>
    </row>
    <row r="579" ht="29" spans="1:46">
      <c r="A579" s="31" t="s">
        <v>83</v>
      </c>
      <c r="C579" t="s">
        <v>648</v>
      </c>
      <c r="D579" s="5" t="s">
        <v>57</v>
      </c>
      <c r="E579">
        <v>2035</v>
      </c>
      <c r="F579" s="6" t="str">
        <f t="shared" si="66"/>
        <v>*0.64</v>
      </c>
      <c r="H579" t="s">
        <v>648</v>
      </c>
      <c r="I579" s="5" t="s">
        <v>57</v>
      </c>
      <c r="J579">
        <v>2050</v>
      </c>
      <c r="K579" s="38" t="str">
        <f t="shared" si="67"/>
        <v>*0.54</v>
      </c>
      <c r="P579" s="32" t="s">
        <v>648</v>
      </c>
      <c r="Q579" s="42" t="s">
        <v>57</v>
      </c>
      <c r="R579" s="32">
        <v>2035</v>
      </c>
      <c r="S579" s="43" t="str">
        <f t="shared" si="68"/>
        <v>*0.64</v>
      </c>
      <c r="U579" s="32" t="s">
        <v>648</v>
      </c>
      <c r="V579" s="42" t="s">
        <v>57</v>
      </c>
      <c r="W579" s="32">
        <v>2050</v>
      </c>
      <c r="X579" s="43" t="str">
        <f t="shared" si="69"/>
        <v>*0.53</v>
      </c>
      <c r="AC579" s="33" t="s">
        <v>648</v>
      </c>
      <c r="AD579" s="44" t="s">
        <v>57</v>
      </c>
      <c r="AE579" s="33">
        <v>2035</v>
      </c>
      <c r="AF579" s="45" t="str">
        <f t="shared" si="70"/>
        <v>*0.6</v>
      </c>
      <c r="AG579" s="43" t="str">
        <f t="shared" si="72"/>
        <v>REZoning_Sol-Win</v>
      </c>
      <c r="AI579" s="33" t="s">
        <v>648</v>
      </c>
      <c r="AJ579" s="44" t="s">
        <v>57</v>
      </c>
      <c r="AK579" s="33">
        <v>2050</v>
      </c>
      <c r="AL579" s="45" t="str">
        <f t="shared" si="71"/>
        <v>*0.5</v>
      </c>
      <c r="AM579" s="43" t="str">
        <f t="shared" si="73"/>
        <v>REZoning_Sol-Win</v>
      </c>
      <c r="AP579" t="s">
        <v>648</v>
      </c>
      <c r="AQ579" t="s">
        <v>57</v>
      </c>
      <c r="AR579">
        <v>2100</v>
      </c>
      <c r="AS579" t="s">
        <v>85</v>
      </c>
      <c r="AT579" t="s">
        <v>58</v>
      </c>
    </row>
    <row r="580" ht="29" spans="1:46">
      <c r="A580" s="31" t="s">
        <v>83</v>
      </c>
      <c r="C580" t="s">
        <v>649</v>
      </c>
      <c r="D580" s="5" t="s">
        <v>57</v>
      </c>
      <c r="E580">
        <v>2035</v>
      </c>
      <c r="F580" s="6" t="str">
        <f t="shared" ref="F580:F643" si="74">"*"&amp;IF(AND(A580="EU",E580=2035),0.63,IF(AND(A580="EU",E580=2050),0.54,IF(AND(A580="USA",E580=2035),0.64,IF(AND(A580="USA",E580=2050),0.54,IF(AND(A580="Japan",E580=2035),0.68,IF(AND(A580="Japan",E580=2050),0.58,IF(AND(A580="Russia",E580=2035),0.65,IF(AND(A580="Russia",E580=2050),0.54,IF(AND(A580="China",E580=2035),0.61,IF(AND(A580="China",E580=2050),0.49,IF(AND(A580="India",E580=2035),0.6,IF(AND(A580="India",E580=2050),0.49,IF(AND(A580="Middle East",E580=2035),0.6,IF(AND(A580="Middle East",E580=2050),0.5,IF(AND(A580="Africa",E580=2035),0.61,IF(AND(A580="Africa",E580=2050),0.5,IF(AND(A580="Brazil",E580=2035),0.64,IF(AND(A580="Brazil",E580=2050),0.54,""))))))))))))))))))</f>
        <v>*0.64</v>
      </c>
      <c r="H580" t="s">
        <v>649</v>
      </c>
      <c r="I580" s="5" t="s">
        <v>57</v>
      </c>
      <c r="J580">
        <v>2050</v>
      </c>
      <c r="K580" s="38" t="str">
        <f t="shared" ref="K580:K643" si="75">"*"&amp;IF(AND(A580="EU",J580=2035),0.63,IF(AND(A580="EU",J580=2050),0.54,IF(AND(A580="USA",J580=2035),0.64,IF(AND(A580="USA",J580=2050),0.54,IF(AND(A580="Japan",J580=2035),0.68,IF(AND(A580="Japan",J580=2050),0.58,IF(AND(A580="Russia",J580=2035),0.65,IF(AND(A580="Russia",J580=2050),0.54,IF(AND(A580="China",J580=2035),0.61,IF(AND(A580="China",J580=2050),0.49,IF(AND(A580="India",J580=2035),0.6,IF(AND(A580="India",J580=2050),0.49,IF(AND(A580="Middle East",J580=2035),0.6,IF(AND(A580="Middle East",J580=2050),0.5,IF(AND(A580="Africa",J580=2035),0.61,IF(AND(A580="Africa",J580=2050),0.5,IF(AND(A580="Brazil",J580=2035),0.64,IF(AND(A580="Brazil",J580=2050),0.54,""))))))))))))))))))</f>
        <v>*0.54</v>
      </c>
      <c r="P580" s="32" t="s">
        <v>649</v>
      </c>
      <c r="Q580" s="42" t="s">
        <v>57</v>
      </c>
      <c r="R580" s="32">
        <v>2035</v>
      </c>
      <c r="S580" s="43" t="str">
        <f t="shared" ref="S580:S643" si="76">"*"&amp;IF(AND(A580="EU",R580=2035),0.62,IF(AND(A580="EU",R580=2050),0.51,IF(AND(A580="USA",R580=2035),0.62,IF(AND(A580="USA",R580=2050),0.5,IF(AND(A580="Japan",R580=2035),0.65,IF(AND(A580="Japan",R580=2050),0.55,IF(AND(A580="Russia",R580=2035),0.63,IF(AND(A580="Russia",R580=2050),0.52,IF(AND(A580="China",R580=2035),0.59,IF(AND(A580="China",R580=2050),0.47,IF(AND(A580="India",R580=2035),0.58,IF(AND(A580="India",R580=2050),0.47,IF(AND(A580="Middle East",R580=2035),0.59,IF(AND(A580="Middle East",R580=2050),0.47,IF(AND(A580="Africa",R580=2035),0.58,IF(AND(A580="Africa",R580=2050),0.47,IF(AND(A580="Brazil",R580=2035),0.64,IF(AND(A580="Brazil",R580=2050),0.53,""))))))))))))))))))</f>
        <v>*0.64</v>
      </c>
      <c r="U580" s="32" t="s">
        <v>649</v>
      </c>
      <c r="V580" s="42" t="s">
        <v>57</v>
      </c>
      <c r="W580" s="32">
        <v>2050</v>
      </c>
      <c r="X580" s="43" t="str">
        <f t="shared" ref="X580:X643" si="77">"*"&amp;IF(AND(A580="EU",W580=2035),0.62,IF(AND(A580="EU",W580=2050),0.51,IF(AND(A580="USA",W580=2035),0.62,IF(AND(A580="USA",W580=2050),0.5,IF(AND(A580="Japan",W580=2035),0.65,IF(AND(A580="Japan",W580=2050),0.55,IF(AND(A580="Russia",W580=2035),0.63,IF(AND(A580="Russia",W580=2050),0.52,IF(AND(A580="China",W580=2035),0.59,IF(AND(A580="China",W580=2050),0.47,IF(AND(A580="India",W580=2035),0.58,IF(AND(A580="India",W580=2050),0.47,IF(AND(A580="Middle East",W580=2035),0.59,IF(AND(A580="Middle East",W580=2050),0.47,IF(AND(A580="Africa",W580=2035),0.58,IF(AND(A580="Africa",W580=2050),0.47,IF(AND(A580="Brazil",W580=2035),0.64,IF(AND(A580="Brazil",W580=2050),0.53,""))))))))))))))))))</f>
        <v>*0.53</v>
      </c>
      <c r="AC580" s="33" t="s">
        <v>649</v>
      </c>
      <c r="AD580" s="44" t="s">
        <v>57</v>
      </c>
      <c r="AE580" s="33">
        <v>2035</v>
      </c>
      <c r="AF580" s="45" t="str">
        <f t="shared" ref="AF580:AF643" si="78">"*"&amp;IF(AND(A580="EU",AE580=2035),0.58,IF(AND(A580="EU",AE580=2050),0.49,IF(AND(A580="USA",AE580=2035),0.56,IF(AND(A580="USA",AE580=2050),0.45,IF(AND(A580="Japan",AE580=2035),0.62,IF(AND(A580="Japan",AE580=2050),0.51,IF(AND(A580="Russia",AE580=2035),0.55,IF(AND(A580="Russia",AE580=2050),0.41,IF(AND(A580="China",AE580=2035),0.54,IF(AND(A580="China",AE580=2050),0.44,IF(AND(A580="India",AE580=2035),0.55,IF(AND(A580="India",AE580=2050),0.42,IF(AND(A580="Middle East",AE580=2035),0.53,IF(AND(A580="Middle East",AE580=2050),0.41,IF(AND(A580="Africa",AE580=2035),0.53,IF(AND(A580="Africa",AE580=2050),0.41,IF(AND(A580="Brazil",AE580=2035),0.6,IF(AND(A580="Brazil",AE580=2050),0.5,""))))))))))))))))))</f>
        <v>*0.6</v>
      </c>
      <c r="AG580" s="43" t="str">
        <f t="shared" si="72"/>
        <v>REZoning_Sol-Win</v>
      </c>
      <c r="AI580" s="33" t="s">
        <v>649</v>
      </c>
      <c r="AJ580" s="44" t="s">
        <v>57</v>
      </c>
      <c r="AK580" s="33">
        <v>2050</v>
      </c>
      <c r="AL580" s="45" t="str">
        <f t="shared" ref="AL580:AL643" si="79">"*"&amp;IF(AND(A580="EU",AK580=2035),0.58,IF(AND(A580="EU",AK580=2050),0.49,IF(AND(A580="USA",AK580=2035),0.56,IF(AND(A580="USA",AK580=2050),0.45,IF(AND(A580="Japan",AK580=2035),0.62,IF(AND(A580="Japan",AK580=2050),0.51,IF(AND(A580="Russia",AK580=2035),0.55,IF(AND(A580="Russia",AK580=2050),0.41,IF(AND(A580="China",AK580=2035),0.54,IF(AND(A580="China",AK580=2050),0.44,IF(AND(A580="India",AK580=2035),0.55,IF(AND(A580="India",AK580=2050),0.42,IF(AND(A580="Middle East",AK580=2035),0.53,IF(AND(A580="Middle East",AK580=2050),0.41,IF(AND(A580="Africa",AK580=2035),0.53,IF(AND(A580="Africa",AK580=2050),0.41,IF(AND(A580="Brazil",AK580=2035),0.6,IF(AND(A580="Brazil",AK580=2050),0.5,""))))))))))))))))))</f>
        <v>*0.5</v>
      </c>
      <c r="AM580" s="43" t="str">
        <f t="shared" si="73"/>
        <v>REZoning_Sol-Win</v>
      </c>
      <c r="AP580" t="s">
        <v>649</v>
      </c>
      <c r="AQ580" t="s">
        <v>57</v>
      </c>
      <c r="AR580">
        <v>2100</v>
      </c>
      <c r="AS580" t="s">
        <v>85</v>
      </c>
      <c r="AT580" t="s">
        <v>58</v>
      </c>
    </row>
    <row r="581" ht="29" spans="1:46">
      <c r="A581" s="31" t="s">
        <v>83</v>
      </c>
      <c r="C581" t="s">
        <v>650</v>
      </c>
      <c r="D581" s="5" t="s">
        <v>57</v>
      </c>
      <c r="E581">
        <v>2035</v>
      </c>
      <c r="F581" s="6" t="str">
        <f t="shared" si="74"/>
        <v>*0.64</v>
      </c>
      <c r="H581" t="s">
        <v>650</v>
      </c>
      <c r="I581" s="5" t="s">
        <v>57</v>
      </c>
      <c r="J581">
        <v>2050</v>
      </c>
      <c r="K581" s="38" t="str">
        <f t="shared" si="75"/>
        <v>*0.54</v>
      </c>
      <c r="P581" s="32" t="s">
        <v>650</v>
      </c>
      <c r="Q581" s="42" t="s">
        <v>57</v>
      </c>
      <c r="R581" s="32">
        <v>2035</v>
      </c>
      <c r="S581" s="43" t="str">
        <f t="shared" si="76"/>
        <v>*0.64</v>
      </c>
      <c r="U581" s="32" t="s">
        <v>650</v>
      </c>
      <c r="V581" s="42" t="s">
        <v>57</v>
      </c>
      <c r="W581" s="32">
        <v>2050</v>
      </c>
      <c r="X581" s="43" t="str">
        <f t="shared" si="77"/>
        <v>*0.53</v>
      </c>
      <c r="AC581" s="33" t="s">
        <v>650</v>
      </c>
      <c r="AD581" s="44" t="s">
        <v>57</v>
      </c>
      <c r="AE581" s="33">
        <v>2035</v>
      </c>
      <c r="AF581" s="45" t="str">
        <f t="shared" si="78"/>
        <v>*0.6</v>
      </c>
      <c r="AG581" s="43" t="str">
        <f t="shared" si="72"/>
        <v>REZoning_Sol-Win</v>
      </c>
      <c r="AI581" s="33" t="s">
        <v>650</v>
      </c>
      <c r="AJ581" s="44" t="s">
        <v>57</v>
      </c>
      <c r="AK581" s="33">
        <v>2050</v>
      </c>
      <c r="AL581" s="45" t="str">
        <f t="shared" si="79"/>
        <v>*0.5</v>
      </c>
      <c r="AM581" s="43" t="str">
        <f t="shared" si="73"/>
        <v>REZoning_Sol-Win</v>
      </c>
      <c r="AP581" t="s">
        <v>650</v>
      </c>
      <c r="AQ581" t="s">
        <v>57</v>
      </c>
      <c r="AR581">
        <v>2100</v>
      </c>
      <c r="AS581" t="s">
        <v>85</v>
      </c>
      <c r="AT581" t="s">
        <v>58</v>
      </c>
    </row>
    <row r="582" ht="29" spans="1:46">
      <c r="A582" s="31" t="s">
        <v>83</v>
      </c>
      <c r="C582" t="s">
        <v>651</v>
      </c>
      <c r="D582" s="5" t="s">
        <v>57</v>
      </c>
      <c r="E582">
        <v>2035</v>
      </c>
      <c r="F582" s="6" t="str">
        <f t="shared" si="74"/>
        <v>*0.64</v>
      </c>
      <c r="H582" t="s">
        <v>651</v>
      </c>
      <c r="I582" s="5" t="s">
        <v>57</v>
      </c>
      <c r="J582">
        <v>2050</v>
      </c>
      <c r="K582" s="38" t="str">
        <f t="shared" si="75"/>
        <v>*0.54</v>
      </c>
      <c r="P582" s="32" t="s">
        <v>651</v>
      </c>
      <c r="Q582" s="42" t="s">
        <v>57</v>
      </c>
      <c r="R582" s="32">
        <v>2035</v>
      </c>
      <c r="S582" s="43" t="str">
        <f t="shared" si="76"/>
        <v>*0.64</v>
      </c>
      <c r="U582" s="32" t="s">
        <v>651</v>
      </c>
      <c r="V582" s="42" t="s">
        <v>57</v>
      </c>
      <c r="W582" s="32">
        <v>2050</v>
      </c>
      <c r="X582" s="43" t="str">
        <f t="shared" si="77"/>
        <v>*0.53</v>
      </c>
      <c r="AC582" s="33" t="s">
        <v>651</v>
      </c>
      <c r="AD582" s="44" t="s">
        <v>57</v>
      </c>
      <c r="AE582" s="33">
        <v>2035</v>
      </c>
      <c r="AF582" s="45" t="str">
        <f t="shared" si="78"/>
        <v>*0.6</v>
      </c>
      <c r="AG582" s="43" t="str">
        <f t="shared" si="72"/>
        <v>REZoning_Sol-Win</v>
      </c>
      <c r="AI582" s="33" t="s">
        <v>651</v>
      </c>
      <c r="AJ582" s="44" t="s">
        <v>57</v>
      </c>
      <c r="AK582" s="33">
        <v>2050</v>
      </c>
      <c r="AL582" s="45" t="str">
        <f t="shared" si="79"/>
        <v>*0.5</v>
      </c>
      <c r="AM582" s="43" t="str">
        <f t="shared" si="73"/>
        <v>REZoning_Sol-Win</v>
      </c>
      <c r="AP582" t="s">
        <v>651</v>
      </c>
      <c r="AQ582" t="s">
        <v>57</v>
      </c>
      <c r="AR582">
        <v>2100</v>
      </c>
      <c r="AS582" t="s">
        <v>85</v>
      </c>
      <c r="AT582" t="s">
        <v>58</v>
      </c>
    </row>
    <row r="583" ht="29" spans="1:46">
      <c r="A583" s="31" t="s">
        <v>83</v>
      </c>
      <c r="C583" t="s">
        <v>652</v>
      </c>
      <c r="D583" s="5" t="s">
        <v>57</v>
      </c>
      <c r="E583">
        <v>2035</v>
      </c>
      <c r="F583" s="6" t="str">
        <f t="shared" si="74"/>
        <v>*0.64</v>
      </c>
      <c r="H583" t="s">
        <v>652</v>
      </c>
      <c r="I583" s="5" t="s">
        <v>57</v>
      </c>
      <c r="J583">
        <v>2050</v>
      </c>
      <c r="K583" s="38" t="str">
        <f t="shared" si="75"/>
        <v>*0.54</v>
      </c>
      <c r="P583" s="32" t="s">
        <v>652</v>
      </c>
      <c r="Q583" s="42" t="s">
        <v>57</v>
      </c>
      <c r="R583" s="32">
        <v>2035</v>
      </c>
      <c r="S583" s="43" t="str">
        <f t="shared" si="76"/>
        <v>*0.64</v>
      </c>
      <c r="U583" s="32" t="s">
        <v>652</v>
      </c>
      <c r="V583" s="42" t="s">
        <v>57</v>
      </c>
      <c r="W583" s="32">
        <v>2050</v>
      </c>
      <c r="X583" s="43" t="str">
        <f t="shared" si="77"/>
        <v>*0.53</v>
      </c>
      <c r="AC583" s="33" t="s">
        <v>652</v>
      </c>
      <c r="AD583" s="44" t="s">
        <v>57</v>
      </c>
      <c r="AE583" s="33">
        <v>2035</v>
      </c>
      <c r="AF583" s="45" t="str">
        <f t="shared" si="78"/>
        <v>*0.6</v>
      </c>
      <c r="AG583" s="43" t="str">
        <f t="shared" si="72"/>
        <v>REZoning_Sol-Win</v>
      </c>
      <c r="AI583" s="33" t="s">
        <v>652</v>
      </c>
      <c r="AJ583" s="44" t="s">
        <v>57</v>
      </c>
      <c r="AK583" s="33">
        <v>2050</v>
      </c>
      <c r="AL583" s="45" t="str">
        <f t="shared" si="79"/>
        <v>*0.5</v>
      </c>
      <c r="AM583" s="43" t="str">
        <f t="shared" si="73"/>
        <v>REZoning_Sol-Win</v>
      </c>
      <c r="AP583" t="s">
        <v>652</v>
      </c>
      <c r="AQ583" t="s">
        <v>57</v>
      </c>
      <c r="AR583">
        <v>2100</v>
      </c>
      <c r="AS583" t="s">
        <v>85</v>
      </c>
      <c r="AT583" t="s">
        <v>58</v>
      </c>
    </row>
    <row r="584" ht="29" spans="1:46">
      <c r="A584" s="31" t="s">
        <v>83</v>
      </c>
      <c r="C584" t="s">
        <v>653</v>
      </c>
      <c r="D584" s="5" t="s">
        <v>57</v>
      </c>
      <c r="E584">
        <v>2035</v>
      </c>
      <c r="F584" s="6" t="str">
        <f t="shared" si="74"/>
        <v>*0.64</v>
      </c>
      <c r="H584" t="s">
        <v>653</v>
      </c>
      <c r="I584" s="5" t="s">
        <v>57</v>
      </c>
      <c r="J584">
        <v>2050</v>
      </c>
      <c r="K584" s="38" t="str">
        <f t="shared" si="75"/>
        <v>*0.54</v>
      </c>
      <c r="P584" s="32" t="s">
        <v>653</v>
      </c>
      <c r="Q584" s="42" t="s">
        <v>57</v>
      </c>
      <c r="R584" s="32">
        <v>2035</v>
      </c>
      <c r="S584" s="43" t="str">
        <f t="shared" si="76"/>
        <v>*0.64</v>
      </c>
      <c r="U584" s="32" t="s">
        <v>653</v>
      </c>
      <c r="V584" s="42" t="s">
        <v>57</v>
      </c>
      <c r="W584" s="32">
        <v>2050</v>
      </c>
      <c r="X584" s="43" t="str">
        <f t="shared" si="77"/>
        <v>*0.53</v>
      </c>
      <c r="AC584" s="33" t="s">
        <v>653</v>
      </c>
      <c r="AD584" s="44" t="s">
        <v>57</v>
      </c>
      <c r="AE584" s="33">
        <v>2035</v>
      </c>
      <c r="AF584" s="45" t="str">
        <f t="shared" si="78"/>
        <v>*0.6</v>
      </c>
      <c r="AG584" s="43" t="str">
        <f t="shared" si="72"/>
        <v>REZoning_Sol-Win</v>
      </c>
      <c r="AI584" s="33" t="s">
        <v>653</v>
      </c>
      <c r="AJ584" s="44" t="s">
        <v>57</v>
      </c>
      <c r="AK584" s="33">
        <v>2050</v>
      </c>
      <c r="AL584" s="45" t="str">
        <f t="shared" si="79"/>
        <v>*0.5</v>
      </c>
      <c r="AM584" s="43" t="str">
        <f t="shared" si="73"/>
        <v>REZoning_Sol-Win</v>
      </c>
      <c r="AP584" t="s">
        <v>653</v>
      </c>
      <c r="AQ584" t="s">
        <v>57</v>
      </c>
      <c r="AR584">
        <v>2100</v>
      </c>
      <c r="AS584" t="s">
        <v>85</v>
      </c>
      <c r="AT584" t="s">
        <v>58</v>
      </c>
    </row>
    <row r="585" ht="29" spans="1:46">
      <c r="A585" s="31" t="s">
        <v>83</v>
      </c>
      <c r="C585" t="s">
        <v>654</v>
      </c>
      <c r="D585" s="5" t="s">
        <v>57</v>
      </c>
      <c r="E585">
        <v>2035</v>
      </c>
      <c r="F585" s="6" t="str">
        <f t="shared" si="74"/>
        <v>*0.64</v>
      </c>
      <c r="H585" t="s">
        <v>654</v>
      </c>
      <c r="I585" s="5" t="s">
        <v>57</v>
      </c>
      <c r="J585">
        <v>2050</v>
      </c>
      <c r="K585" s="38" t="str">
        <f t="shared" si="75"/>
        <v>*0.54</v>
      </c>
      <c r="P585" s="32" t="s">
        <v>654</v>
      </c>
      <c r="Q585" s="42" t="s">
        <v>57</v>
      </c>
      <c r="R585" s="32">
        <v>2035</v>
      </c>
      <c r="S585" s="43" t="str">
        <f t="shared" si="76"/>
        <v>*0.64</v>
      </c>
      <c r="U585" s="32" t="s">
        <v>654</v>
      </c>
      <c r="V585" s="42" t="s">
        <v>57</v>
      </c>
      <c r="W585" s="32">
        <v>2050</v>
      </c>
      <c r="X585" s="43" t="str">
        <f t="shared" si="77"/>
        <v>*0.53</v>
      </c>
      <c r="AC585" s="33" t="s">
        <v>654</v>
      </c>
      <c r="AD585" s="44" t="s">
        <v>57</v>
      </c>
      <c r="AE585" s="33">
        <v>2035</v>
      </c>
      <c r="AF585" s="45" t="str">
        <f t="shared" si="78"/>
        <v>*0.6</v>
      </c>
      <c r="AG585" s="43" t="str">
        <f t="shared" ref="AG585:AG648" si="80">AG584</f>
        <v>REZoning_Sol-Win</v>
      </c>
      <c r="AI585" s="33" t="s">
        <v>654</v>
      </c>
      <c r="AJ585" s="44" t="s">
        <v>57</v>
      </c>
      <c r="AK585" s="33">
        <v>2050</v>
      </c>
      <c r="AL585" s="45" t="str">
        <f t="shared" si="79"/>
        <v>*0.5</v>
      </c>
      <c r="AM585" s="43" t="str">
        <f t="shared" ref="AM585:AM648" si="81">AM584</f>
        <v>REZoning_Sol-Win</v>
      </c>
      <c r="AP585" t="s">
        <v>654</v>
      </c>
      <c r="AQ585" t="s">
        <v>57</v>
      </c>
      <c r="AR585">
        <v>2100</v>
      </c>
      <c r="AS585" t="s">
        <v>85</v>
      </c>
      <c r="AT585" t="s">
        <v>58</v>
      </c>
    </row>
    <row r="586" ht="29" spans="1:46">
      <c r="A586" s="31" t="s">
        <v>83</v>
      </c>
      <c r="C586" t="s">
        <v>655</v>
      </c>
      <c r="D586" s="5" t="s">
        <v>57</v>
      </c>
      <c r="E586">
        <v>2035</v>
      </c>
      <c r="F586" s="6" t="str">
        <f t="shared" si="74"/>
        <v>*0.64</v>
      </c>
      <c r="H586" t="s">
        <v>655</v>
      </c>
      <c r="I586" s="5" t="s">
        <v>57</v>
      </c>
      <c r="J586">
        <v>2050</v>
      </c>
      <c r="K586" s="38" t="str">
        <f t="shared" si="75"/>
        <v>*0.54</v>
      </c>
      <c r="P586" s="32" t="s">
        <v>655</v>
      </c>
      <c r="Q586" s="42" t="s">
        <v>57</v>
      </c>
      <c r="R586" s="32">
        <v>2035</v>
      </c>
      <c r="S586" s="43" t="str">
        <f t="shared" si="76"/>
        <v>*0.64</v>
      </c>
      <c r="U586" s="32" t="s">
        <v>655</v>
      </c>
      <c r="V586" s="42" t="s">
        <v>57</v>
      </c>
      <c r="W586" s="32">
        <v>2050</v>
      </c>
      <c r="X586" s="43" t="str">
        <f t="shared" si="77"/>
        <v>*0.53</v>
      </c>
      <c r="AC586" s="33" t="s">
        <v>655</v>
      </c>
      <c r="AD586" s="44" t="s">
        <v>57</v>
      </c>
      <c r="AE586" s="33">
        <v>2035</v>
      </c>
      <c r="AF586" s="45" t="str">
        <f t="shared" si="78"/>
        <v>*0.6</v>
      </c>
      <c r="AG586" s="43" t="str">
        <f t="shared" si="80"/>
        <v>REZoning_Sol-Win</v>
      </c>
      <c r="AI586" s="33" t="s">
        <v>655</v>
      </c>
      <c r="AJ586" s="44" t="s">
        <v>57</v>
      </c>
      <c r="AK586" s="33">
        <v>2050</v>
      </c>
      <c r="AL586" s="45" t="str">
        <f t="shared" si="79"/>
        <v>*0.5</v>
      </c>
      <c r="AM586" s="43" t="str">
        <f t="shared" si="81"/>
        <v>REZoning_Sol-Win</v>
      </c>
      <c r="AP586" t="s">
        <v>655</v>
      </c>
      <c r="AQ586" t="s">
        <v>57</v>
      </c>
      <c r="AR586">
        <v>2100</v>
      </c>
      <c r="AS586" t="s">
        <v>85</v>
      </c>
      <c r="AT586" t="s">
        <v>58</v>
      </c>
    </row>
    <row r="587" ht="29" spans="1:46">
      <c r="A587" s="31" t="s">
        <v>83</v>
      </c>
      <c r="C587" t="s">
        <v>656</v>
      </c>
      <c r="D587" s="5" t="s">
        <v>57</v>
      </c>
      <c r="E587">
        <v>2035</v>
      </c>
      <c r="F587" s="6" t="str">
        <f t="shared" si="74"/>
        <v>*0.64</v>
      </c>
      <c r="H587" t="s">
        <v>656</v>
      </c>
      <c r="I587" s="5" t="s">
        <v>57</v>
      </c>
      <c r="J587">
        <v>2050</v>
      </c>
      <c r="K587" s="38" t="str">
        <f t="shared" si="75"/>
        <v>*0.54</v>
      </c>
      <c r="P587" s="32" t="s">
        <v>656</v>
      </c>
      <c r="Q587" s="42" t="s">
        <v>57</v>
      </c>
      <c r="R587" s="32">
        <v>2035</v>
      </c>
      <c r="S587" s="43" t="str">
        <f t="shared" si="76"/>
        <v>*0.64</v>
      </c>
      <c r="U587" s="32" t="s">
        <v>656</v>
      </c>
      <c r="V587" s="42" t="s">
        <v>57</v>
      </c>
      <c r="W587" s="32">
        <v>2050</v>
      </c>
      <c r="X587" s="43" t="str">
        <f t="shared" si="77"/>
        <v>*0.53</v>
      </c>
      <c r="AC587" s="33" t="s">
        <v>656</v>
      </c>
      <c r="AD587" s="44" t="s">
        <v>57</v>
      </c>
      <c r="AE587" s="33">
        <v>2035</v>
      </c>
      <c r="AF587" s="45" t="str">
        <f t="shared" si="78"/>
        <v>*0.6</v>
      </c>
      <c r="AG587" s="43" t="str">
        <f t="shared" si="80"/>
        <v>REZoning_Sol-Win</v>
      </c>
      <c r="AI587" s="33" t="s">
        <v>656</v>
      </c>
      <c r="AJ587" s="44" t="s">
        <v>57</v>
      </c>
      <c r="AK587" s="33">
        <v>2050</v>
      </c>
      <c r="AL587" s="45" t="str">
        <f t="shared" si="79"/>
        <v>*0.5</v>
      </c>
      <c r="AM587" s="43" t="str">
        <f t="shared" si="81"/>
        <v>REZoning_Sol-Win</v>
      </c>
      <c r="AP587" t="s">
        <v>656</v>
      </c>
      <c r="AQ587" t="s">
        <v>57</v>
      </c>
      <c r="AR587">
        <v>2100</v>
      </c>
      <c r="AS587" t="s">
        <v>85</v>
      </c>
      <c r="AT587" t="s">
        <v>58</v>
      </c>
    </row>
    <row r="588" ht="29" spans="1:46">
      <c r="A588" s="31" t="s">
        <v>83</v>
      </c>
      <c r="C588" t="s">
        <v>657</v>
      </c>
      <c r="D588" s="5" t="s">
        <v>57</v>
      </c>
      <c r="E588">
        <v>2035</v>
      </c>
      <c r="F588" s="6" t="str">
        <f t="shared" si="74"/>
        <v>*0.64</v>
      </c>
      <c r="H588" t="s">
        <v>657</v>
      </c>
      <c r="I588" s="5" t="s">
        <v>57</v>
      </c>
      <c r="J588">
        <v>2050</v>
      </c>
      <c r="K588" s="38" t="str">
        <f t="shared" si="75"/>
        <v>*0.54</v>
      </c>
      <c r="P588" s="32" t="s">
        <v>657</v>
      </c>
      <c r="Q588" s="42" t="s">
        <v>57</v>
      </c>
      <c r="R588" s="32">
        <v>2035</v>
      </c>
      <c r="S588" s="43" t="str">
        <f t="shared" si="76"/>
        <v>*0.64</v>
      </c>
      <c r="U588" s="32" t="s">
        <v>657</v>
      </c>
      <c r="V588" s="42" t="s">
        <v>57</v>
      </c>
      <c r="W588" s="32">
        <v>2050</v>
      </c>
      <c r="X588" s="43" t="str">
        <f t="shared" si="77"/>
        <v>*0.53</v>
      </c>
      <c r="AC588" s="33" t="s">
        <v>657</v>
      </c>
      <c r="AD588" s="44" t="s">
        <v>57</v>
      </c>
      <c r="AE588" s="33">
        <v>2035</v>
      </c>
      <c r="AF588" s="45" t="str">
        <f t="shared" si="78"/>
        <v>*0.6</v>
      </c>
      <c r="AG588" s="43" t="str">
        <f t="shared" si="80"/>
        <v>REZoning_Sol-Win</v>
      </c>
      <c r="AI588" s="33" t="s">
        <v>657</v>
      </c>
      <c r="AJ588" s="44" t="s">
        <v>57</v>
      </c>
      <c r="AK588" s="33">
        <v>2050</v>
      </c>
      <c r="AL588" s="45" t="str">
        <f t="shared" si="79"/>
        <v>*0.5</v>
      </c>
      <c r="AM588" s="43" t="str">
        <f t="shared" si="81"/>
        <v>REZoning_Sol-Win</v>
      </c>
      <c r="AP588" t="s">
        <v>657</v>
      </c>
      <c r="AQ588" t="s">
        <v>57</v>
      </c>
      <c r="AR588">
        <v>2100</v>
      </c>
      <c r="AS588" t="s">
        <v>85</v>
      </c>
      <c r="AT588" t="s">
        <v>58</v>
      </c>
    </row>
    <row r="589" ht="29" spans="1:46">
      <c r="A589" s="31" t="s">
        <v>83</v>
      </c>
      <c r="C589" t="s">
        <v>658</v>
      </c>
      <c r="D589" s="5" t="s">
        <v>57</v>
      </c>
      <c r="E589">
        <v>2035</v>
      </c>
      <c r="F589" s="6" t="str">
        <f t="shared" si="74"/>
        <v>*0.64</v>
      </c>
      <c r="H589" t="s">
        <v>658</v>
      </c>
      <c r="I589" s="5" t="s">
        <v>57</v>
      </c>
      <c r="J589">
        <v>2050</v>
      </c>
      <c r="K589" s="38" t="str">
        <f t="shared" si="75"/>
        <v>*0.54</v>
      </c>
      <c r="P589" s="32" t="s">
        <v>658</v>
      </c>
      <c r="Q589" s="42" t="s">
        <v>57</v>
      </c>
      <c r="R589" s="32">
        <v>2035</v>
      </c>
      <c r="S589" s="43" t="str">
        <f t="shared" si="76"/>
        <v>*0.64</v>
      </c>
      <c r="U589" s="32" t="s">
        <v>658</v>
      </c>
      <c r="V589" s="42" t="s">
        <v>57</v>
      </c>
      <c r="W589" s="32">
        <v>2050</v>
      </c>
      <c r="X589" s="43" t="str">
        <f t="shared" si="77"/>
        <v>*0.53</v>
      </c>
      <c r="AC589" s="33" t="s">
        <v>658</v>
      </c>
      <c r="AD589" s="44" t="s">
        <v>57</v>
      </c>
      <c r="AE589" s="33">
        <v>2035</v>
      </c>
      <c r="AF589" s="45" t="str">
        <f t="shared" si="78"/>
        <v>*0.6</v>
      </c>
      <c r="AG589" s="43" t="str">
        <f t="shared" si="80"/>
        <v>REZoning_Sol-Win</v>
      </c>
      <c r="AI589" s="33" t="s">
        <v>658</v>
      </c>
      <c r="AJ589" s="44" t="s">
        <v>57</v>
      </c>
      <c r="AK589" s="33">
        <v>2050</v>
      </c>
      <c r="AL589" s="45" t="str">
        <f t="shared" si="79"/>
        <v>*0.5</v>
      </c>
      <c r="AM589" s="43" t="str">
        <f t="shared" si="81"/>
        <v>REZoning_Sol-Win</v>
      </c>
      <c r="AP589" t="s">
        <v>658</v>
      </c>
      <c r="AQ589" t="s">
        <v>57</v>
      </c>
      <c r="AR589">
        <v>2100</v>
      </c>
      <c r="AS589" t="s">
        <v>85</v>
      </c>
      <c r="AT589" t="s">
        <v>58</v>
      </c>
    </row>
    <row r="590" ht="29" spans="1:46">
      <c r="A590" s="31" t="s">
        <v>83</v>
      </c>
      <c r="C590" t="s">
        <v>659</v>
      </c>
      <c r="D590" s="5" t="s">
        <v>57</v>
      </c>
      <c r="E590">
        <v>2035</v>
      </c>
      <c r="F590" s="6" t="str">
        <f t="shared" si="74"/>
        <v>*0.64</v>
      </c>
      <c r="H590" t="s">
        <v>659</v>
      </c>
      <c r="I590" s="5" t="s">
        <v>57</v>
      </c>
      <c r="J590">
        <v>2050</v>
      </c>
      <c r="K590" s="38" t="str">
        <f t="shared" si="75"/>
        <v>*0.54</v>
      </c>
      <c r="P590" s="32" t="s">
        <v>659</v>
      </c>
      <c r="Q590" s="42" t="s">
        <v>57</v>
      </c>
      <c r="R590" s="32">
        <v>2035</v>
      </c>
      <c r="S590" s="43" t="str">
        <f t="shared" si="76"/>
        <v>*0.64</v>
      </c>
      <c r="U590" s="32" t="s">
        <v>659</v>
      </c>
      <c r="V590" s="42" t="s">
        <v>57</v>
      </c>
      <c r="W590" s="32">
        <v>2050</v>
      </c>
      <c r="X590" s="43" t="str">
        <f t="shared" si="77"/>
        <v>*0.53</v>
      </c>
      <c r="AC590" s="33" t="s">
        <v>659</v>
      </c>
      <c r="AD590" s="44" t="s">
        <v>57</v>
      </c>
      <c r="AE590" s="33">
        <v>2035</v>
      </c>
      <c r="AF590" s="45" t="str">
        <f t="shared" si="78"/>
        <v>*0.6</v>
      </c>
      <c r="AG590" s="43" t="str">
        <f t="shared" si="80"/>
        <v>REZoning_Sol-Win</v>
      </c>
      <c r="AI590" s="33" t="s">
        <v>659</v>
      </c>
      <c r="AJ590" s="44" t="s">
        <v>57</v>
      </c>
      <c r="AK590" s="33">
        <v>2050</v>
      </c>
      <c r="AL590" s="45" t="str">
        <f t="shared" si="79"/>
        <v>*0.5</v>
      </c>
      <c r="AM590" s="43" t="str">
        <f t="shared" si="81"/>
        <v>REZoning_Sol-Win</v>
      </c>
      <c r="AP590" t="s">
        <v>659</v>
      </c>
      <c r="AQ590" t="s">
        <v>57</v>
      </c>
      <c r="AR590">
        <v>2100</v>
      </c>
      <c r="AS590" t="s">
        <v>85</v>
      </c>
      <c r="AT590" t="s">
        <v>58</v>
      </c>
    </row>
    <row r="591" ht="29" spans="1:46">
      <c r="A591" s="31" t="s">
        <v>83</v>
      </c>
      <c r="C591" t="s">
        <v>660</v>
      </c>
      <c r="D591" s="5" t="s">
        <v>57</v>
      </c>
      <c r="E591">
        <v>2035</v>
      </c>
      <c r="F591" s="6" t="str">
        <f t="shared" si="74"/>
        <v>*0.64</v>
      </c>
      <c r="H591" t="s">
        <v>660</v>
      </c>
      <c r="I591" s="5" t="s">
        <v>57</v>
      </c>
      <c r="J591">
        <v>2050</v>
      </c>
      <c r="K591" s="38" t="str">
        <f t="shared" si="75"/>
        <v>*0.54</v>
      </c>
      <c r="P591" s="32" t="s">
        <v>660</v>
      </c>
      <c r="Q591" s="42" t="s">
        <v>57</v>
      </c>
      <c r="R591" s="32">
        <v>2035</v>
      </c>
      <c r="S591" s="43" t="str">
        <f t="shared" si="76"/>
        <v>*0.64</v>
      </c>
      <c r="U591" s="32" t="s">
        <v>660</v>
      </c>
      <c r="V591" s="42" t="s">
        <v>57</v>
      </c>
      <c r="W591" s="32">
        <v>2050</v>
      </c>
      <c r="X591" s="43" t="str">
        <f t="shared" si="77"/>
        <v>*0.53</v>
      </c>
      <c r="AC591" s="33" t="s">
        <v>660</v>
      </c>
      <c r="AD591" s="44" t="s">
        <v>57</v>
      </c>
      <c r="AE591" s="33">
        <v>2035</v>
      </c>
      <c r="AF591" s="45" t="str">
        <f t="shared" si="78"/>
        <v>*0.6</v>
      </c>
      <c r="AG591" s="43" t="str">
        <f t="shared" si="80"/>
        <v>REZoning_Sol-Win</v>
      </c>
      <c r="AI591" s="33" t="s">
        <v>660</v>
      </c>
      <c r="AJ591" s="44" t="s">
        <v>57</v>
      </c>
      <c r="AK591" s="33">
        <v>2050</v>
      </c>
      <c r="AL591" s="45" t="str">
        <f t="shared" si="79"/>
        <v>*0.5</v>
      </c>
      <c r="AM591" s="43" t="str">
        <f t="shared" si="81"/>
        <v>REZoning_Sol-Win</v>
      </c>
      <c r="AP591" t="s">
        <v>660</v>
      </c>
      <c r="AQ591" t="s">
        <v>57</v>
      </c>
      <c r="AR591">
        <v>2100</v>
      </c>
      <c r="AS591" t="s">
        <v>85</v>
      </c>
      <c r="AT591" t="s">
        <v>58</v>
      </c>
    </row>
    <row r="592" ht="29" spans="1:46">
      <c r="A592" s="31" t="s">
        <v>83</v>
      </c>
      <c r="C592" t="s">
        <v>661</v>
      </c>
      <c r="D592" s="5" t="s">
        <v>57</v>
      </c>
      <c r="E592">
        <v>2035</v>
      </c>
      <c r="F592" s="6" t="str">
        <f t="shared" si="74"/>
        <v>*0.64</v>
      </c>
      <c r="H592" t="s">
        <v>661</v>
      </c>
      <c r="I592" s="5" t="s">
        <v>57</v>
      </c>
      <c r="J592">
        <v>2050</v>
      </c>
      <c r="K592" s="38" t="str">
        <f t="shared" si="75"/>
        <v>*0.54</v>
      </c>
      <c r="P592" s="32" t="s">
        <v>661</v>
      </c>
      <c r="Q592" s="42" t="s">
        <v>57</v>
      </c>
      <c r="R592" s="32">
        <v>2035</v>
      </c>
      <c r="S592" s="43" t="str">
        <f t="shared" si="76"/>
        <v>*0.64</v>
      </c>
      <c r="U592" s="32" t="s">
        <v>661</v>
      </c>
      <c r="V592" s="42" t="s">
        <v>57</v>
      </c>
      <c r="W592" s="32">
        <v>2050</v>
      </c>
      <c r="X592" s="43" t="str">
        <f t="shared" si="77"/>
        <v>*0.53</v>
      </c>
      <c r="AC592" s="33" t="s">
        <v>661</v>
      </c>
      <c r="AD592" s="44" t="s">
        <v>57</v>
      </c>
      <c r="AE592" s="33">
        <v>2035</v>
      </c>
      <c r="AF592" s="45" t="str">
        <f t="shared" si="78"/>
        <v>*0.6</v>
      </c>
      <c r="AG592" s="43" t="str">
        <f t="shared" si="80"/>
        <v>REZoning_Sol-Win</v>
      </c>
      <c r="AI592" s="33" t="s">
        <v>661</v>
      </c>
      <c r="AJ592" s="44" t="s">
        <v>57</v>
      </c>
      <c r="AK592" s="33">
        <v>2050</v>
      </c>
      <c r="AL592" s="45" t="str">
        <f t="shared" si="79"/>
        <v>*0.5</v>
      </c>
      <c r="AM592" s="43" t="str">
        <f t="shared" si="81"/>
        <v>REZoning_Sol-Win</v>
      </c>
      <c r="AP592" t="s">
        <v>661</v>
      </c>
      <c r="AQ592" t="s">
        <v>57</v>
      </c>
      <c r="AR592">
        <v>2100</v>
      </c>
      <c r="AS592" t="s">
        <v>85</v>
      </c>
      <c r="AT592" t="s">
        <v>58</v>
      </c>
    </row>
    <row r="593" ht="29" spans="1:46">
      <c r="A593" s="31" t="s">
        <v>83</v>
      </c>
      <c r="C593" t="s">
        <v>662</v>
      </c>
      <c r="D593" s="5" t="s">
        <v>57</v>
      </c>
      <c r="E593">
        <v>2035</v>
      </c>
      <c r="F593" s="6" t="str">
        <f t="shared" si="74"/>
        <v>*0.64</v>
      </c>
      <c r="H593" t="s">
        <v>662</v>
      </c>
      <c r="I593" s="5" t="s">
        <v>57</v>
      </c>
      <c r="J593">
        <v>2050</v>
      </c>
      <c r="K593" s="38" t="str">
        <f t="shared" si="75"/>
        <v>*0.54</v>
      </c>
      <c r="P593" s="32" t="s">
        <v>662</v>
      </c>
      <c r="Q593" s="42" t="s">
        <v>57</v>
      </c>
      <c r="R593" s="32">
        <v>2035</v>
      </c>
      <c r="S593" s="43" t="str">
        <f t="shared" si="76"/>
        <v>*0.64</v>
      </c>
      <c r="U593" s="32" t="s">
        <v>662</v>
      </c>
      <c r="V593" s="42" t="s">
        <v>57</v>
      </c>
      <c r="W593" s="32">
        <v>2050</v>
      </c>
      <c r="X593" s="43" t="str">
        <f t="shared" si="77"/>
        <v>*0.53</v>
      </c>
      <c r="AC593" s="33" t="s">
        <v>662</v>
      </c>
      <c r="AD593" s="44" t="s">
        <v>57</v>
      </c>
      <c r="AE593" s="33">
        <v>2035</v>
      </c>
      <c r="AF593" s="45" t="str">
        <f t="shared" si="78"/>
        <v>*0.6</v>
      </c>
      <c r="AG593" s="43" t="str">
        <f t="shared" si="80"/>
        <v>REZoning_Sol-Win</v>
      </c>
      <c r="AI593" s="33" t="s">
        <v>662</v>
      </c>
      <c r="AJ593" s="44" t="s">
        <v>57</v>
      </c>
      <c r="AK593" s="33">
        <v>2050</v>
      </c>
      <c r="AL593" s="45" t="str">
        <f t="shared" si="79"/>
        <v>*0.5</v>
      </c>
      <c r="AM593" s="43" t="str">
        <f t="shared" si="81"/>
        <v>REZoning_Sol-Win</v>
      </c>
      <c r="AP593" t="s">
        <v>662</v>
      </c>
      <c r="AQ593" t="s">
        <v>57</v>
      </c>
      <c r="AR593">
        <v>2100</v>
      </c>
      <c r="AS593" t="s">
        <v>85</v>
      </c>
      <c r="AT593" t="s">
        <v>58</v>
      </c>
    </row>
    <row r="594" ht="29" spans="1:46">
      <c r="A594" s="31" t="s">
        <v>83</v>
      </c>
      <c r="C594" t="s">
        <v>663</v>
      </c>
      <c r="D594" s="5" t="s">
        <v>57</v>
      </c>
      <c r="E594">
        <v>2035</v>
      </c>
      <c r="F594" s="6" t="str">
        <f t="shared" si="74"/>
        <v>*0.64</v>
      </c>
      <c r="H594" t="s">
        <v>663</v>
      </c>
      <c r="I594" s="5" t="s">
        <v>57</v>
      </c>
      <c r="J594">
        <v>2050</v>
      </c>
      <c r="K594" s="38" t="str">
        <f t="shared" si="75"/>
        <v>*0.54</v>
      </c>
      <c r="P594" s="32" t="s">
        <v>663</v>
      </c>
      <c r="Q594" s="42" t="s">
        <v>57</v>
      </c>
      <c r="R594" s="32">
        <v>2035</v>
      </c>
      <c r="S594" s="43" t="str">
        <f t="shared" si="76"/>
        <v>*0.64</v>
      </c>
      <c r="U594" s="32" t="s">
        <v>663</v>
      </c>
      <c r="V594" s="42" t="s">
        <v>57</v>
      </c>
      <c r="W594" s="32">
        <v>2050</v>
      </c>
      <c r="X594" s="43" t="str">
        <f t="shared" si="77"/>
        <v>*0.53</v>
      </c>
      <c r="AC594" s="33" t="s">
        <v>663</v>
      </c>
      <c r="AD594" s="44" t="s">
        <v>57</v>
      </c>
      <c r="AE594" s="33">
        <v>2035</v>
      </c>
      <c r="AF594" s="45" t="str">
        <f t="shared" si="78"/>
        <v>*0.6</v>
      </c>
      <c r="AG594" s="43" t="str">
        <f t="shared" si="80"/>
        <v>REZoning_Sol-Win</v>
      </c>
      <c r="AI594" s="33" t="s">
        <v>663</v>
      </c>
      <c r="AJ594" s="44" t="s">
        <v>57</v>
      </c>
      <c r="AK594" s="33">
        <v>2050</v>
      </c>
      <c r="AL594" s="45" t="str">
        <f t="shared" si="79"/>
        <v>*0.5</v>
      </c>
      <c r="AM594" s="43" t="str">
        <f t="shared" si="81"/>
        <v>REZoning_Sol-Win</v>
      </c>
      <c r="AP594" t="s">
        <v>663</v>
      </c>
      <c r="AQ594" t="s">
        <v>57</v>
      </c>
      <c r="AR594">
        <v>2100</v>
      </c>
      <c r="AS594" t="s">
        <v>85</v>
      </c>
      <c r="AT594" t="s">
        <v>58</v>
      </c>
    </row>
    <row r="595" ht="29" spans="1:46">
      <c r="A595" s="31" t="s">
        <v>83</v>
      </c>
      <c r="C595" t="s">
        <v>664</v>
      </c>
      <c r="D595" s="5" t="s">
        <v>57</v>
      </c>
      <c r="E595">
        <v>2035</v>
      </c>
      <c r="F595" s="6" t="str">
        <f t="shared" si="74"/>
        <v>*0.64</v>
      </c>
      <c r="H595" t="s">
        <v>664</v>
      </c>
      <c r="I595" s="5" t="s">
        <v>57</v>
      </c>
      <c r="J595">
        <v>2050</v>
      </c>
      <c r="K595" s="38" t="str">
        <f t="shared" si="75"/>
        <v>*0.54</v>
      </c>
      <c r="P595" s="32" t="s">
        <v>664</v>
      </c>
      <c r="Q595" s="42" t="s">
        <v>57</v>
      </c>
      <c r="R595" s="32">
        <v>2035</v>
      </c>
      <c r="S595" s="43" t="str">
        <f t="shared" si="76"/>
        <v>*0.64</v>
      </c>
      <c r="U595" s="32" t="s">
        <v>664</v>
      </c>
      <c r="V595" s="42" t="s">
        <v>57</v>
      </c>
      <c r="W595" s="32">
        <v>2050</v>
      </c>
      <c r="X595" s="43" t="str">
        <f t="shared" si="77"/>
        <v>*0.53</v>
      </c>
      <c r="AC595" s="33" t="s">
        <v>664</v>
      </c>
      <c r="AD595" s="44" t="s">
        <v>57</v>
      </c>
      <c r="AE595" s="33">
        <v>2035</v>
      </c>
      <c r="AF595" s="45" t="str">
        <f t="shared" si="78"/>
        <v>*0.6</v>
      </c>
      <c r="AG595" s="43" t="str">
        <f t="shared" si="80"/>
        <v>REZoning_Sol-Win</v>
      </c>
      <c r="AI595" s="33" t="s">
        <v>664</v>
      </c>
      <c r="AJ595" s="44" t="s">
        <v>57</v>
      </c>
      <c r="AK595" s="33">
        <v>2050</v>
      </c>
      <c r="AL595" s="45" t="str">
        <f t="shared" si="79"/>
        <v>*0.5</v>
      </c>
      <c r="AM595" s="43" t="str">
        <f t="shared" si="81"/>
        <v>REZoning_Sol-Win</v>
      </c>
      <c r="AP595" t="s">
        <v>664</v>
      </c>
      <c r="AQ595" t="s">
        <v>57</v>
      </c>
      <c r="AR595">
        <v>2100</v>
      </c>
      <c r="AS595" t="s">
        <v>85</v>
      </c>
      <c r="AT595" t="s">
        <v>58</v>
      </c>
    </row>
    <row r="596" ht="29" spans="1:46">
      <c r="A596" s="31" t="s">
        <v>83</v>
      </c>
      <c r="C596" t="s">
        <v>665</v>
      </c>
      <c r="D596" s="5" t="s">
        <v>57</v>
      </c>
      <c r="E596">
        <v>2035</v>
      </c>
      <c r="F596" s="6" t="str">
        <f t="shared" si="74"/>
        <v>*0.64</v>
      </c>
      <c r="H596" t="s">
        <v>665</v>
      </c>
      <c r="I596" s="5" t="s">
        <v>57</v>
      </c>
      <c r="J596">
        <v>2050</v>
      </c>
      <c r="K596" s="38" t="str">
        <f t="shared" si="75"/>
        <v>*0.54</v>
      </c>
      <c r="P596" s="32" t="s">
        <v>665</v>
      </c>
      <c r="Q596" s="42" t="s">
        <v>57</v>
      </c>
      <c r="R596" s="32">
        <v>2035</v>
      </c>
      <c r="S596" s="43" t="str">
        <f t="shared" si="76"/>
        <v>*0.64</v>
      </c>
      <c r="U596" s="32" t="s">
        <v>665</v>
      </c>
      <c r="V596" s="42" t="s">
        <v>57</v>
      </c>
      <c r="W596" s="32">
        <v>2050</v>
      </c>
      <c r="X596" s="43" t="str">
        <f t="shared" si="77"/>
        <v>*0.53</v>
      </c>
      <c r="AC596" s="33" t="s">
        <v>665</v>
      </c>
      <c r="AD596" s="44" t="s">
        <v>57</v>
      </c>
      <c r="AE596" s="33">
        <v>2035</v>
      </c>
      <c r="AF596" s="45" t="str">
        <f t="shared" si="78"/>
        <v>*0.6</v>
      </c>
      <c r="AG596" s="43" t="str">
        <f t="shared" si="80"/>
        <v>REZoning_Sol-Win</v>
      </c>
      <c r="AI596" s="33" t="s">
        <v>665</v>
      </c>
      <c r="AJ596" s="44" t="s">
        <v>57</v>
      </c>
      <c r="AK596" s="33">
        <v>2050</v>
      </c>
      <c r="AL596" s="45" t="str">
        <f t="shared" si="79"/>
        <v>*0.5</v>
      </c>
      <c r="AM596" s="43" t="str">
        <f t="shared" si="81"/>
        <v>REZoning_Sol-Win</v>
      </c>
      <c r="AP596" t="s">
        <v>665</v>
      </c>
      <c r="AQ596" t="s">
        <v>57</v>
      </c>
      <c r="AR596">
        <v>2100</v>
      </c>
      <c r="AS596" t="s">
        <v>85</v>
      </c>
      <c r="AT596" t="s">
        <v>58</v>
      </c>
    </row>
    <row r="597" ht="29" spans="1:46">
      <c r="A597" s="31" t="s">
        <v>83</v>
      </c>
      <c r="C597" t="s">
        <v>666</v>
      </c>
      <c r="D597" s="5" t="s">
        <v>57</v>
      </c>
      <c r="E597">
        <v>2035</v>
      </c>
      <c r="F597" s="6" t="str">
        <f t="shared" si="74"/>
        <v>*0.64</v>
      </c>
      <c r="H597" t="s">
        <v>666</v>
      </c>
      <c r="I597" s="5" t="s">
        <v>57</v>
      </c>
      <c r="J597">
        <v>2050</v>
      </c>
      <c r="K597" s="38" t="str">
        <f t="shared" si="75"/>
        <v>*0.54</v>
      </c>
      <c r="P597" s="32" t="s">
        <v>666</v>
      </c>
      <c r="Q597" s="42" t="s">
        <v>57</v>
      </c>
      <c r="R597" s="32">
        <v>2035</v>
      </c>
      <c r="S597" s="43" t="str">
        <f t="shared" si="76"/>
        <v>*0.64</v>
      </c>
      <c r="U597" s="32" t="s">
        <v>666</v>
      </c>
      <c r="V597" s="42" t="s">
        <v>57</v>
      </c>
      <c r="W597" s="32">
        <v>2050</v>
      </c>
      <c r="X597" s="43" t="str">
        <f t="shared" si="77"/>
        <v>*0.53</v>
      </c>
      <c r="AC597" s="33" t="s">
        <v>666</v>
      </c>
      <c r="AD597" s="44" t="s">
        <v>57</v>
      </c>
      <c r="AE597" s="33">
        <v>2035</v>
      </c>
      <c r="AF597" s="45" t="str">
        <f t="shared" si="78"/>
        <v>*0.6</v>
      </c>
      <c r="AG597" s="43" t="str">
        <f t="shared" si="80"/>
        <v>REZoning_Sol-Win</v>
      </c>
      <c r="AI597" s="33" t="s">
        <v>666</v>
      </c>
      <c r="AJ597" s="44" t="s">
        <v>57</v>
      </c>
      <c r="AK597" s="33">
        <v>2050</v>
      </c>
      <c r="AL597" s="45" t="str">
        <f t="shared" si="79"/>
        <v>*0.5</v>
      </c>
      <c r="AM597" s="43" t="str">
        <f t="shared" si="81"/>
        <v>REZoning_Sol-Win</v>
      </c>
      <c r="AP597" t="s">
        <v>666</v>
      </c>
      <c r="AQ597" t="s">
        <v>57</v>
      </c>
      <c r="AR597">
        <v>2100</v>
      </c>
      <c r="AS597" t="s">
        <v>85</v>
      </c>
      <c r="AT597" t="s">
        <v>58</v>
      </c>
    </row>
    <row r="598" ht="29" spans="1:46">
      <c r="A598" s="31" t="s">
        <v>83</v>
      </c>
      <c r="C598" t="s">
        <v>667</v>
      </c>
      <c r="D598" s="5" t="s">
        <v>57</v>
      </c>
      <c r="E598">
        <v>2035</v>
      </c>
      <c r="F598" s="6" t="str">
        <f t="shared" si="74"/>
        <v>*0.64</v>
      </c>
      <c r="H598" t="s">
        <v>667</v>
      </c>
      <c r="I598" s="5" t="s">
        <v>57</v>
      </c>
      <c r="J598">
        <v>2050</v>
      </c>
      <c r="K598" s="38" t="str">
        <f t="shared" si="75"/>
        <v>*0.54</v>
      </c>
      <c r="P598" s="32" t="s">
        <v>667</v>
      </c>
      <c r="Q598" s="42" t="s">
        <v>57</v>
      </c>
      <c r="R598" s="32">
        <v>2035</v>
      </c>
      <c r="S598" s="43" t="str">
        <f t="shared" si="76"/>
        <v>*0.64</v>
      </c>
      <c r="U598" s="32" t="s">
        <v>667</v>
      </c>
      <c r="V598" s="42" t="s">
        <v>57</v>
      </c>
      <c r="W598" s="32">
        <v>2050</v>
      </c>
      <c r="X598" s="43" t="str">
        <f t="shared" si="77"/>
        <v>*0.53</v>
      </c>
      <c r="AC598" s="33" t="s">
        <v>667</v>
      </c>
      <c r="AD598" s="44" t="s">
        <v>57</v>
      </c>
      <c r="AE598" s="33">
        <v>2035</v>
      </c>
      <c r="AF598" s="45" t="str">
        <f t="shared" si="78"/>
        <v>*0.6</v>
      </c>
      <c r="AG598" s="43" t="str">
        <f t="shared" si="80"/>
        <v>REZoning_Sol-Win</v>
      </c>
      <c r="AI598" s="33" t="s">
        <v>667</v>
      </c>
      <c r="AJ598" s="44" t="s">
        <v>57</v>
      </c>
      <c r="AK598" s="33">
        <v>2050</v>
      </c>
      <c r="AL598" s="45" t="str">
        <f t="shared" si="79"/>
        <v>*0.5</v>
      </c>
      <c r="AM598" s="43" t="str">
        <f t="shared" si="81"/>
        <v>REZoning_Sol-Win</v>
      </c>
      <c r="AP598" t="s">
        <v>667</v>
      </c>
      <c r="AQ598" t="s">
        <v>57</v>
      </c>
      <c r="AR598">
        <v>2100</v>
      </c>
      <c r="AS598" t="s">
        <v>85</v>
      </c>
      <c r="AT598" t="s">
        <v>58</v>
      </c>
    </row>
    <row r="599" ht="29" spans="1:46">
      <c r="A599" s="31" t="s">
        <v>169</v>
      </c>
      <c r="C599" t="s">
        <v>668</v>
      </c>
      <c r="D599" s="5" t="s">
        <v>57</v>
      </c>
      <c r="E599">
        <v>2035</v>
      </c>
      <c r="F599" s="6" t="str">
        <f t="shared" si="74"/>
        <v>*0.61</v>
      </c>
      <c r="H599" t="s">
        <v>668</v>
      </c>
      <c r="I599" s="5" t="s">
        <v>57</v>
      </c>
      <c r="J599">
        <v>2050</v>
      </c>
      <c r="K599" s="38" t="str">
        <f t="shared" si="75"/>
        <v>*0.49</v>
      </c>
      <c r="P599" s="32" t="s">
        <v>668</v>
      </c>
      <c r="Q599" s="42" t="s">
        <v>57</v>
      </c>
      <c r="R599" s="32">
        <v>2035</v>
      </c>
      <c r="S599" s="43" t="str">
        <f t="shared" si="76"/>
        <v>*0.59</v>
      </c>
      <c r="U599" s="32" t="s">
        <v>668</v>
      </c>
      <c r="V599" s="42" t="s">
        <v>57</v>
      </c>
      <c r="W599" s="32">
        <v>2050</v>
      </c>
      <c r="X599" s="43" t="str">
        <f t="shared" si="77"/>
        <v>*0.47</v>
      </c>
      <c r="AC599" s="33" t="s">
        <v>668</v>
      </c>
      <c r="AD599" s="44" t="s">
        <v>57</v>
      </c>
      <c r="AE599" s="33">
        <v>2035</v>
      </c>
      <c r="AF599" s="45" t="str">
        <f t="shared" si="78"/>
        <v>*0.54</v>
      </c>
      <c r="AG599" s="43" t="str">
        <f t="shared" si="80"/>
        <v>REZoning_Sol-Win</v>
      </c>
      <c r="AI599" s="33" t="s">
        <v>668</v>
      </c>
      <c r="AJ599" s="44" t="s">
        <v>57</v>
      </c>
      <c r="AK599" s="33">
        <v>2050</v>
      </c>
      <c r="AL599" s="45" t="str">
        <f t="shared" si="79"/>
        <v>*0.44</v>
      </c>
      <c r="AM599" s="43" t="str">
        <f t="shared" si="81"/>
        <v>REZoning_Sol-Win</v>
      </c>
      <c r="AP599" t="s">
        <v>668</v>
      </c>
      <c r="AQ599" t="s">
        <v>57</v>
      </c>
      <c r="AR599">
        <v>2100</v>
      </c>
      <c r="AS599" t="s">
        <v>171</v>
      </c>
      <c r="AT599" t="s">
        <v>58</v>
      </c>
    </row>
    <row r="600" ht="29" spans="1:46">
      <c r="A600" s="31" t="s">
        <v>169</v>
      </c>
      <c r="C600" t="s">
        <v>669</v>
      </c>
      <c r="D600" s="5" t="s">
        <v>57</v>
      </c>
      <c r="E600">
        <v>2035</v>
      </c>
      <c r="F600" s="6" t="str">
        <f t="shared" si="74"/>
        <v>*0.61</v>
      </c>
      <c r="H600" t="s">
        <v>669</v>
      </c>
      <c r="I600" s="5" t="s">
        <v>57</v>
      </c>
      <c r="J600">
        <v>2050</v>
      </c>
      <c r="K600" s="38" t="str">
        <f t="shared" si="75"/>
        <v>*0.49</v>
      </c>
      <c r="P600" s="32" t="s">
        <v>669</v>
      </c>
      <c r="Q600" s="42" t="s">
        <v>57</v>
      </c>
      <c r="R600" s="32">
        <v>2035</v>
      </c>
      <c r="S600" s="43" t="str">
        <f t="shared" si="76"/>
        <v>*0.59</v>
      </c>
      <c r="U600" s="32" t="s">
        <v>669</v>
      </c>
      <c r="V600" s="42" t="s">
        <v>57</v>
      </c>
      <c r="W600" s="32">
        <v>2050</v>
      </c>
      <c r="X600" s="43" t="str">
        <f t="shared" si="77"/>
        <v>*0.47</v>
      </c>
      <c r="AC600" s="33" t="s">
        <v>669</v>
      </c>
      <c r="AD600" s="44" t="s">
        <v>57</v>
      </c>
      <c r="AE600" s="33">
        <v>2035</v>
      </c>
      <c r="AF600" s="45" t="str">
        <f t="shared" si="78"/>
        <v>*0.54</v>
      </c>
      <c r="AG600" s="43" t="str">
        <f t="shared" si="80"/>
        <v>REZoning_Sol-Win</v>
      </c>
      <c r="AI600" s="33" t="s">
        <v>669</v>
      </c>
      <c r="AJ600" s="44" t="s">
        <v>57</v>
      </c>
      <c r="AK600" s="33">
        <v>2050</v>
      </c>
      <c r="AL600" s="45" t="str">
        <f t="shared" si="79"/>
        <v>*0.44</v>
      </c>
      <c r="AM600" s="43" t="str">
        <f t="shared" si="81"/>
        <v>REZoning_Sol-Win</v>
      </c>
      <c r="AP600" t="s">
        <v>669</v>
      </c>
      <c r="AQ600" t="s">
        <v>57</v>
      </c>
      <c r="AR600">
        <v>2100</v>
      </c>
      <c r="AS600" t="s">
        <v>171</v>
      </c>
      <c r="AT600" t="s">
        <v>58</v>
      </c>
    </row>
    <row r="601" ht="29" spans="1:46">
      <c r="A601" s="31" t="s">
        <v>169</v>
      </c>
      <c r="C601" t="s">
        <v>670</v>
      </c>
      <c r="D601" s="5" t="s">
        <v>57</v>
      </c>
      <c r="E601">
        <v>2035</v>
      </c>
      <c r="F601" s="6" t="str">
        <f t="shared" si="74"/>
        <v>*0.61</v>
      </c>
      <c r="H601" t="s">
        <v>670</v>
      </c>
      <c r="I601" s="5" t="s">
        <v>57</v>
      </c>
      <c r="J601">
        <v>2050</v>
      </c>
      <c r="K601" s="38" t="str">
        <f t="shared" si="75"/>
        <v>*0.49</v>
      </c>
      <c r="P601" s="32" t="s">
        <v>670</v>
      </c>
      <c r="Q601" s="42" t="s">
        <v>57</v>
      </c>
      <c r="R601" s="32">
        <v>2035</v>
      </c>
      <c r="S601" s="43" t="str">
        <f t="shared" si="76"/>
        <v>*0.59</v>
      </c>
      <c r="U601" s="32" t="s">
        <v>670</v>
      </c>
      <c r="V601" s="42" t="s">
        <v>57</v>
      </c>
      <c r="W601" s="32">
        <v>2050</v>
      </c>
      <c r="X601" s="43" t="str">
        <f t="shared" si="77"/>
        <v>*0.47</v>
      </c>
      <c r="AC601" s="33" t="s">
        <v>670</v>
      </c>
      <c r="AD601" s="44" t="s">
        <v>57</v>
      </c>
      <c r="AE601" s="33">
        <v>2035</v>
      </c>
      <c r="AF601" s="45" t="str">
        <f t="shared" si="78"/>
        <v>*0.54</v>
      </c>
      <c r="AG601" s="43" t="str">
        <f t="shared" si="80"/>
        <v>REZoning_Sol-Win</v>
      </c>
      <c r="AI601" s="33" t="s">
        <v>670</v>
      </c>
      <c r="AJ601" s="44" t="s">
        <v>57</v>
      </c>
      <c r="AK601" s="33">
        <v>2050</v>
      </c>
      <c r="AL601" s="45" t="str">
        <f t="shared" si="79"/>
        <v>*0.44</v>
      </c>
      <c r="AM601" s="43" t="str">
        <f t="shared" si="81"/>
        <v>REZoning_Sol-Win</v>
      </c>
      <c r="AP601" t="s">
        <v>670</v>
      </c>
      <c r="AQ601" t="s">
        <v>57</v>
      </c>
      <c r="AR601">
        <v>2100</v>
      </c>
      <c r="AS601" t="s">
        <v>171</v>
      </c>
      <c r="AT601" t="s">
        <v>58</v>
      </c>
    </row>
    <row r="602" ht="29" spans="1:46">
      <c r="A602" s="31" t="s">
        <v>169</v>
      </c>
      <c r="C602" t="s">
        <v>671</v>
      </c>
      <c r="D602" s="5" t="s">
        <v>57</v>
      </c>
      <c r="E602">
        <v>2035</v>
      </c>
      <c r="F602" s="6" t="str">
        <f t="shared" si="74"/>
        <v>*0.61</v>
      </c>
      <c r="H602" t="s">
        <v>671</v>
      </c>
      <c r="I602" s="5" t="s">
        <v>57</v>
      </c>
      <c r="J602">
        <v>2050</v>
      </c>
      <c r="K602" s="38" t="str">
        <f t="shared" si="75"/>
        <v>*0.49</v>
      </c>
      <c r="P602" s="32" t="s">
        <v>671</v>
      </c>
      <c r="Q602" s="42" t="s">
        <v>57</v>
      </c>
      <c r="R602" s="32">
        <v>2035</v>
      </c>
      <c r="S602" s="43" t="str">
        <f t="shared" si="76"/>
        <v>*0.59</v>
      </c>
      <c r="U602" s="32" t="s">
        <v>671</v>
      </c>
      <c r="V602" s="42" t="s">
        <v>57</v>
      </c>
      <c r="W602" s="32">
        <v>2050</v>
      </c>
      <c r="X602" s="43" t="str">
        <f t="shared" si="77"/>
        <v>*0.47</v>
      </c>
      <c r="AC602" s="33" t="s">
        <v>671</v>
      </c>
      <c r="AD602" s="44" t="s">
        <v>57</v>
      </c>
      <c r="AE602" s="33">
        <v>2035</v>
      </c>
      <c r="AF602" s="45" t="str">
        <f t="shared" si="78"/>
        <v>*0.54</v>
      </c>
      <c r="AG602" s="43" t="str">
        <f t="shared" si="80"/>
        <v>REZoning_Sol-Win</v>
      </c>
      <c r="AI602" s="33" t="s">
        <v>671</v>
      </c>
      <c r="AJ602" s="44" t="s">
        <v>57</v>
      </c>
      <c r="AK602" s="33">
        <v>2050</v>
      </c>
      <c r="AL602" s="45" t="str">
        <f t="shared" si="79"/>
        <v>*0.44</v>
      </c>
      <c r="AM602" s="43" t="str">
        <f t="shared" si="81"/>
        <v>REZoning_Sol-Win</v>
      </c>
      <c r="AP602" t="s">
        <v>671</v>
      </c>
      <c r="AQ602" t="s">
        <v>57</v>
      </c>
      <c r="AR602">
        <v>2100</v>
      </c>
      <c r="AS602" t="s">
        <v>171</v>
      </c>
      <c r="AT602" t="s">
        <v>58</v>
      </c>
    </row>
    <row r="603" ht="29" spans="1:46">
      <c r="A603" s="31" t="s">
        <v>169</v>
      </c>
      <c r="C603" t="s">
        <v>672</v>
      </c>
      <c r="D603" s="5" t="s">
        <v>57</v>
      </c>
      <c r="E603">
        <v>2035</v>
      </c>
      <c r="F603" s="6" t="str">
        <f t="shared" si="74"/>
        <v>*0.61</v>
      </c>
      <c r="H603" t="s">
        <v>672</v>
      </c>
      <c r="I603" s="5" t="s">
        <v>57</v>
      </c>
      <c r="J603">
        <v>2050</v>
      </c>
      <c r="K603" s="38" t="str">
        <f t="shared" si="75"/>
        <v>*0.49</v>
      </c>
      <c r="P603" s="32" t="s">
        <v>672</v>
      </c>
      <c r="Q603" s="42" t="s">
        <v>57</v>
      </c>
      <c r="R603" s="32">
        <v>2035</v>
      </c>
      <c r="S603" s="43" t="str">
        <f t="shared" si="76"/>
        <v>*0.59</v>
      </c>
      <c r="U603" s="32" t="s">
        <v>672</v>
      </c>
      <c r="V603" s="42" t="s">
        <v>57</v>
      </c>
      <c r="W603" s="32">
        <v>2050</v>
      </c>
      <c r="X603" s="43" t="str">
        <f t="shared" si="77"/>
        <v>*0.47</v>
      </c>
      <c r="AC603" s="33" t="s">
        <v>672</v>
      </c>
      <c r="AD603" s="44" t="s">
        <v>57</v>
      </c>
      <c r="AE603" s="33">
        <v>2035</v>
      </c>
      <c r="AF603" s="45" t="str">
        <f t="shared" si="78"/>
        <v>*0.54</v>
      </c>
      <c r="AG603" s="43" t="str">
        <f t="shared" si="80"/>
        <v>REZoning_Sol-Win</v>
      </c>
      <c r="AI603" s="33" t="s">
        <v>672</v>
      </c>
      <c r="AJ603" s="44" t="s">
        <v>57</v>
      </c>
      <c r="AK603" s="33">
        <v>2050</v>
      </c>
      <c r="AL603" s="45" t="str">
        <f t="shared" si="79"/>
        <v>*0.44</v>
      </c>
      <c r="AM603" s="43" t="str">
        <f t="shared" si="81"/>
        <v>REZoning_Sol-Win</v>
      </c>
      <c r="AP603" t="s">
        <v>672</v>
      </c>
      <c r="AQ603" t="s">
        <v>57</v>
      </c>
      <c r="AR603">
        <v>2100</v>
      </c>
      <c r="AS603" t="s">
        <v>171</v>
      </c>
      <c r="AT603" t="s">
        <v>58</v>
      </c>
    </row>
    <row r="604" ht="29" spans="1:46">
      <c r="A604" s="31" t="s">
        <v>169</v>
      </c>
      <c r="C604" t="s">
        <v>673</v>
      </c>
      <c r="D604" s="5" t="s">
        <v>57</v>
      </c>
      <c r="E604">
        <v>2035</v>
      </c>
      <c r="F604" s="6" t="str">
        <f t="shared" si="74"/>
        <v>*0.61</v>
      </c>
      <c r="H604" t="s">
        <v>673</v>
      </c>
      <c r="I604" s="5" t="s">
        <v>57</v>
      </c>
      <c r="J604">
        <v>2050</v>
      </c>
      <c r="K604" s="38" t="str">
        <f t="shared" si="75"/>
        <v>*0.49</v>
      </c>
      <c r="P604" s="32" t="s">
        <v>673</v>
      </c>
      <c r="Q604" s="42" t="s">
        <v>57</v>
      </c>
      <c r="R604" s="32">
        <v>2035</v>
      </c>
      <c r="S604" s="43" t="str">
        <f t="shared" si="76"/>
        <v>*0.59</v>
      </c>
      <c r="U604" s="32" t="s">
        <v>673</v>
      </c>
      <c r="V604" s="42" t="s">
        <v>57</v>
      </c>
      <c r="W604" s="32">
        <v>2050</v>
      </c>
      <c r="X604" s="43" t="str">
        <f t="shared" si="77"/>
        <v>*0.47</v>
      </c>
      <c r="AC604" s="33" t="s">
        <v>673</v>
      </c>
      <c r="AD604" s="44" t="s">
        <v>57</v>
      </c>
      <c r="AE604" s="33">
        <v>2035</v>
      </c>
      <c r="AF604" s="45" t="str">
        <f t="shared" si="78"/>
        <v>*0.54</v>
      </c>
      <c r="AG604" s="43" t="str">
        <f t="shared" si="80"/>
        <v>REZoning_Sol-Win</v>
      </c>
      <c r="AI604" s="33" t="s">
        <v>673</v>
      </c>
      <c r="AJ604" s="44" t="s">
        <v>57</v>
      </c>
      <c r="AK604" s="33">
        <v>2050</v>
      </c>
      <c r="AL604" s="45" t="str">
        <f t="shared" si="79"/>
        <v>*0.44</v>
      </c>
      <c r="AM604" s="43" t="str">
        <f t="shared" si="81"/>
        <v>REZoning_Sol-Win</v>
      </c>
      <c r="AP604" t="s">
        <v>673</v>
      </c>
      <c r="AQ604" t="s">
        <v>57</v>
      </c>
      <c r="AR604">
        <v>2100</v>
      </c>
      <c r="AS604" t="s">
        <v>171</v>
      </c>
      <c r="AT604" t="s">
        <v>58</v>
      </c>
    </row>
    <row r="605" ht="29" spans="1:46">
      <c r="A605" s="31" t="s">
        <v>169</v>
      </c>
      <c r="C605" t="s">
        <v>674</v>
      </c>
      <c r="D605" s="5" t="s">
        <v>57</v>
      </c>
      <c r="E605">
        <v>2035</v>
      </c>
      <c r="F605" s="6" t="str">
        <f t="shared" si="74"/>
        <v>*0.61</v>
      </c>
      <c r="H605" t="s">
        <v>674</v>
      </c>
      <c r="I605" s="5" t="s">
        <v>57</v>
      </c>
      <c r="J605">
        <v>2050</v>
      </c>
      <c r="K605" s="38" t="str">
        <f t="shared" si="75"/>
        <v>*0.49</v>
      </c>
      <c r="P605" s="32" t="s">
        <v>674</v>
      </c>
      <c r="Q605" s="42" t="s">
        <v>57</v>
      </c>
      <c r="R605" s="32">
        <v>2035</v>
      </c>
      <c r="S605" s="43" t="str">
        <f t="shared" si="76"/>
        <v>*0.59</v>
      </c>
      <c r="U605" s="32" t="s">
        <v>674</v>
      </c>
      <c r="V605" s="42" t="s">
        <v>57</v>
      </c>
      <c r="W605" s="32">
        <v>2050</v>
      </c>
      <c r="X605" s="43" t="str">
        <f t="shared" si="77"/>
        <v>*0.47</v>
      </c>
      <c r="AC605" s="33" t="s">
        <v>674</v>
      </c>
      <c r="AD605" s="44" t="s">
        <v>57</v>
      </c>
      <c r="AE605" s="33">
        <v>2035</v>
      </c>
      <c r="AF605" s="45" t="str">
        <f t="shared" si="78"/>
        <v>*0.54</v>
      </c>
      <c r="AG605" s="43" t="str">
        <f t="shared" si="80"/>
        <v>REZoning_Sol-Win</v>
      </c>
      <c r="AI605" s="33" t="s">
        <v>674</v>
      </c>
      <c r="AJ605" s="44" t="s">
        <v>57</v>
      </c>
      <c r="AK605" s="33">
        <v>2050</v>
      </c>
      <c r="AL605" s="45" t="str">
        <f t="shared" si="79"/>
        <v>*0.44</v>
      </c>
      <c r="AM605" s="43" t="str">
        <f t="shared" si="81"/>
        <v>REZoning_Sol-Win</v>
      </c>
      <c r="AP605" t="s">
        <v>674</v>
      </c>
      <c r="AQ605" t="s">
        <v>57</v>
      </c>
      <c r="AR605">
        <v>2100</v>
      </c>
      <c r="AS605" t="s">
        <v>171</v>
      </c>
      <c r="AT605" t="s">
        <v>58</v>
      </c>
    </row>
    <row r="606" ht="29" spans="1:46">
      <c r="A606" s="31" t="s">
        <v>169</v>
      </c>
      <c r="C606" t="s">
        <v>675</v>
      </c>
      <c r="D606" s="5" t="s">
        <v>57</v>
      </c>
      <c r="E606">
        <v>2035</v>
      </c>
      <c r="F606" s="6" t="str">
        <f t="shared" si="74"/>
        <v>*0.61</v>
      </c>
      <c r="H606" t="s">
        <v>675</v>
      </c>
      <c r="I606" s="5" t="s">
        <v>57</v>
      </c>
      <c r="J606">
        <v>2050</v>
      </c>
      <c r="K606" s="38" t="str">
        <f t="shared" si="75"/>
        <v>*0.49</v>
      </c>
      <c r="P606" s="32" t="s">
        <v>675</v>
      </c>
      <c r="Q606" s="42" t="s">
        <v>57</v>
      </c>
      <c r="R606" s="32">
        <v>2035</v>
      </c>
      <c r="S606" s="43" t="str">
        <f t="shared" si="76"/>
        <v>*0.59</v>
      </c>
      <c r="U606" s="32" t="s">
        <v>675</v>
      </c>
      <c r="V606" s="42" t="s">
        <v>57</v>
      </c>
      <c r="W606" s="32">
        <v>2050</v>
      </c>
      <c r="X606" s="43" t="str">
        <f t="shared" si="77"/>
        <v>*0.47</v>
      </c>
      <c r="AC606" s="33" t="s">
        <v>675</v>
      </c>
      <c r="AD606" s="44" t="s">
        <v>57</v>
      </c>
      <c r="AE606" s="33">
        <v>2035</v>
      </c>
      <c r="AF606" s="45" t="str">
        <f t="shared" si="78"/>
        <v>*0.54</v>
      </c>
      <c r="AG606" s="43" t="str">
        <f t="shared" si="80"/>
        <v>REZoning_Sol-Win</v>
      </c>
      <c r="AI606" s="33" t="s">
        <v>675</v>
      </c>
      <c r="AJ606" s="44" t="s">
        <v>57</v>
      </c>
      <c r="AK606" s="33">
        <v>2050</v>
      </c>
      <c r="AL606" s="45" t="str">
        <f t="shared" si="79"/>
        <v>*0.44</v>
      </c>
      <c r="AM606" s="43" t="str">
        <f t="shared" si="81"/>
        <v>REZoning_Sol-Win</v>
      </c>
      <c r="AP606" t="s">
        <v>675</v>
      </c>
      <c r="AQ606" t="s">
        <v>57</v>
      </c>
      <c r="AR606">
        <v>2100</v>
      </c>
      <c r="AS606" t="s">
        <v>171</v>
      </c>
      <c r="AT606" t="s">
        <v>58</v>
      </c>
    </row>
    <row r="607" ht="29" spans="1:46">
      <c r="A607" s="31" t="s">
        <v>169</v>
      </c>
      <c r="C607" t="s">
        <v>676</v>
      </c>
      <c r="D607" s="5" t="s">
        <v>57</v>
      </c>
      <c r="E607">
        <v>2035</v>
      </c>
      <c r="F607" s="6" t="str">
        <f t="shared" si="74"/>
        <v>*0.61</v>
      </c>
      <c r="H607" t="s">
        <v>676</v>
      </c>
      <c r="I607" s="5" t="s">
        <v>57</v>
      </c>
      <c r="J607">
        <v>2050</v>
      </c>
      <c r="K607" s="38" t="str">
        <f t="shared" si="75"/>
        <v>*0.49</v>
      </c>
      <c r="P607" s="32" t="s">
        <v>676</v>
      </c>
      <c r="Q607" s="42" t="s">
        <v>57</v>
      </c>
      <c r="R607" s="32">
        <v>2035</v>
      </c>
      <c r="S607" s="43" t="str">
        <f t="shared" si="76"/>
        <v>*0.59</v>
      </c>
      <c r="U607" s="32" t="s">
        <v>676</v>
      </c>
      <c r="V607" s="42" t="s">
        <v>57</v>
      </c>
      <c r="W607" s="32">
        <v>2050</v>
      </c>
      <c r="X607" s="43" t="str">
        <f t="shared" si="77"/>
        <v>*0.47</v>
      </c>
      <c r="AC607" s="33" t="s">
        <v>676</v>
      </c>
      <c r="AD607" s="44" t="s">
        <v>57</v>
      </c>
      <c r="AE607" s="33">
        <v>2035</v>
      </c>
      <c r="AF607" s="45" t="str">
        <f t="shared" si="78"/>
        <v>*0.54</v>
      </c>
      <c r="AG607" s="43" t="str">
        <f t="shared" si="80"/>
        <v>REZoning_Sol-Win</v>
      </c>
      <c r="AI607" s="33" t="s">
        <v>676</v>
      </c>
      <c r="AJ607" s="44" t="s">
        <v>57</v>
      </c>
      <c r="AK607" s="33">
        <v>2050</v>
      </c>
      <c r="AL607" s="45" t="str">
        <f t="shared" si="79"/>
        <v>*0.44</v>
      </c>
      <c r="AM607" s="43" t="str">
        <f t="shared" si="81"/>
        <v>REZoning_Sol-Win</v>
      </c>
      <c r="AP607" t="s">
        <v>676</v>
      </c>
      <c r="AQ607" t="s">
        <v>57</v>
      </c>
      <c r="AR607">
        <v>2100</v>
      </c>
      <c r="AS607" t="s">
        <v>171</v>
      </c>
      <c r="AT607" t="s">
        <v>58</v>
      </c>
    </row>
    <row r="608" ht="29" spans="1:46">
      <c r="A608" s="31" t="s">
        <v>169</v>
      </c>
      <c r="C608" t="s">
        <v>677</v>
      </c>
      <c r="D608" s="5" t="s">
        <v>57</v>
      </c>
      <c r="E608">
        <v>2035</v>
      </c>
      <c r="F608" s="6" t="str">
        <f t="shared" si="74"/>
        <v>*0.61</v>
      </c>
      <c r="H608" t="s">
        <v>677</v>
      </c>
      <c r="I608" s="5" t="s">
        <v>57</v>
      </c>
      <c r="J608">
        <v>2050</v>
      </c>
      <c r="K608" s="38" t="str">
        <f t="shared" si="75"/>
        <v>*0.49</v>
      </c>
      <c r="P608" s="32" t="s">
        <v>677</v>
      </c>
      <c r="Q608" s="42" t="s">
        <v>57</v>
      </c>
      <c r="R608" s="32">
        <v>2035</v>
      </c>
      <c r="S608" s="43" t="str">
        <f t="shared" si="76"/>
        <v>*0.59</v>
      </c>
      <c r="U608" s="32" t="s">
        <v>677</v>
      </c>
      <c r="V608" s="42" t="s">
        <v>57</v>
      </c>
      <c r="W608" s="32">
        <v>2050</v>
      </c>
      <c r="X608" s="43" t="str">
        <f t="shared" si="77"/>
        <v>*0.47</v>
      </c>
      <c r="AC608" s="33" t="s">
        <v>677</v>
      </c>
      <c r="AD608" s="44" t="s">
        <v>57</v>
      </c>
      <c r="AE608" s="33">
        <v>2035</v>
      </c>
      <c r="AF608" s="45" t="str">
        <f t="shared" si="78"/>
        <v>*0.54</v>
      </c>
      <c r="AG608" s="43" t="str">
        <f t="shared" si="80"/>
        <v>REZoning_Sol-Win</v>
      </c>
      <c r="AI608" s="33" t="s">
        <v>677</v>
      </c>
      <c r="AJ608" s="44" t="s">
        <v>57</v>
      </c>
      <c r="AK608" s="33">
        <v>2050</v>
      </c>
      <c r="AL608" s="45" t="str">
        <f t="shared" si="79"/>
        <v>*0.44</v>
      </c>
      <c r="AM608" s="43" t="str">
        <f t="shared" si="81"/>
        <v>REZoning_Sol-Win</v>
      </c>
      <c r="AP608" t="s">
        <v>677</v>
      </c>
      <c r="AQ608" t="s">
        <v>57</v>
      </c>
      <c r="AR608">
        <v>2100</v>
      </c>
      <c r="AS608" t="s">
        <v>171</v>
      </c>
      <c r="AT608" t="s">
        <v>58</v>
      </c>
    </row>
    <row r="609" ht="29" spans="1:46">
      <c r="A609" s="31" t="s">
        <v>169</v>
      </c>
      <c r="C609" t="s">
        <v>678</v>
      </c>
      <c r="D609" s="5" t="s">
        <v>57</v>
      </c>
      <c r="E609">
        <v>2035</v>
      </c>
      <c r="F609" s="6" t="str">
        <f t="shared" si="74"/>
        <v>*0.61</v>
      </c>
      <c r="H609" t="s">
        <v>678</v>
      </c>
      <c r="I609" s="5" t="s">
        <v>57</v>
      </c>
      <c r="J609">
        <v>2050</v>
      </c>
      <c r="K609" s="38" t="str">
        <f t="shared" si="75"/>
        <v>*0.49</v>
      </c>
      <c r="P609" s="32" t="s">
        <v>678</v>
      </c>
      <c r="Q609" s="42" t="s">
        <v>57</v>
      </c>
      <c r="R609" s="32">
        <v>2035</v>
      </c>
      <c r="S609" s="43" t="str">
        <f t="shared" si="76"/>
        <v>*0.59</v>
      </c>
      <c r="U609" s="32" t="s">
        <v>678</v>
      </c>
      <c r="V609" s="42" t="s">
        <v>57</v>
      </c>
      <c r="W609" s="32">
        <v>2050</v>
      </c>
      <c r="X609" s="43" t="str">
        <f t="shared" si="77"/>
        <v>*0.47</v>
      </c>
      <c r="AC609" s="33" t="s">
        <v>678</v>
      </c>
      <c r="AD609" s="44" t="s">
        <v>57</v>
      </c>
      <c r="AE609" s="33">
        <v>2035</v>
      </c>
      <c r="AF609" s="45" t="str">
        <f t="shared" si="78"/>
        <v>*0.54</v>
      </c>
      <c r="AG609" s="43" t="str">
        <f t="shared" si="80"/>
        <v>REZoning_Sol-Win</v>
      </c>
      <c r="AI609" s="33" t="s">
        <v>678</v>
      </c>
      <c r="AJ609" s="44" t="s">
        <v>57</v>
      </c>
      <c r="AK609" s="33">
        <v>2050</v>
      </c>
      <c r="AL609" s="45" t="str">
        <f t="shared" si="79"/>
        <v>*0.44</v>
      </c>
      <c r="AM609" s="43" t="str">
        <f t="shared" si="81"/>
        <v>REZoning_Sol-Win</v>
      </c>
      <c r="AP609" t="s">
        <v>678</v>
      </c>
      <c r="AQ609" t="s">
        <v>57</v>
      </c>
      <c r="AR609">
        <v>2100</v>
      </c>
      <c r="AS609" t="s">
        <v>171</v>
      </c>
      <c r="AT609" t="s">
        <v>58</v>
      </c>
    </row>
    <row r="610" ht="29" spans="1:46">
      <c r="A610" s="31" t="s">
        <v>169</v>
      </c>
      <c r="C610" t="s">
        <v>679</v>
      </c>
      <c r="D610" s="5" t="s">
        <v>57</v>
      </c>
      <c r="E610">
        <v>2035</v>
      </c>
      <c r="F610" s="6" t="str">
        <f t="shared" si="74"/>
        <v>*0.61</v>
      </c>
      <c r="H610" t="s">
        <v>679</v>
      </c>
      <c r="I610" s="5" t="s">
        <v>57</v>
      </c>
      <c r="J610">
        <v>2050</v>
      </c>
      <c r="K610" s="38" t="str">
        <f t="shared" si="75"/>
        <v>*0.49</v>
      </c>
      <c r="P610" s="32" t="s">
        <v>679</v>
      </c>
      <c r="Q610" s="42" t="s">
        <v>57</v>
      </c>
      <c r="R610" s="32">
        <v>2035</v>
      </c>
      <c r="S610" s="43" t="str">
        <f t="shared" si="76"/>
        <v>*0.59</v>
      </c>
      <c r="U610" s="32" t="s">
        <v>679</v>
      </c>
      <c r="V610" s="42" t="s">
        <v>57</v>
      </c>
      <c r="W610" s="32">
        <v>2050</v>
      </c>
      <c r="X610" s="43" t="str">
        <f t="shared" si="77"/>
        <v>*0.47</v>
      </c>
      <c r="AC610" s="33" t="s">
        <v>679</v>
      </c>
      <c r="AD610" s="44" t="s">
        <v>57</v>
      </c>
      <c r="AE610" s="33">
        <v>2035</v>
      </c>
      <c r="AF610" s="45" t="str">
        <f t="shared" si="78"/>
        <v>*0.54</v>
      </c>
      <c r="AG610" s="43" t="str">
        <f t="shared" si="80"/>
        <v>REZoning_Sol-Win</v>
      </c>
      <c r="AI610" s="33" t="s">
        <v>679</v>
      </c>
      <c r="AJ610" s="44" t="s">
        <v>57</v>
      </c>
      <c r="AK610" s="33">
        <v>2050</v>
      </c>
      <c r="AL610" s="45" t="str">
        <f t="shared" si="79"/>
        <v>*0.44</v>
      </c>
      <c r="AM610" s="43" t="str">
        <f t="shared" si="81"/>
        <v>REZoning_Sol-Win</v>
      </c>
      <c r="AP610" t="s">
        <v>679</v>
      </c>
      <c r="AQ610" t="s">
        <v>57</v>
      </c>
      <c r="AR610">
        <v>2100</v>
      </c>
      <c r="AS610" t="s">
        <v>171</v>
      </c>
      <c r="AT610" t="s">
        <v>58</v>
      </c>
    </row>
    <row r="611" ht="29" spans="1:46">
      <c r="A611" s="31" t="s">
        <v>169</v>
      </c>
      <c r="C611" t="s">
        <v>680</v>
      </c>
      <c r="D611" s="5" t="s">
        <v>57</v>
      </c>
      <c r="E611">
        <v>2035</v>
      </c>
      <c r="F611" s="6" t="str">
        <f t="shared" si="74"/>
        <v>*0.61</v>
      </c>
      <c r="H611" t="s">
        <v>680</v>
      </c>
      <c r="I611" s="5" t="s">
        <v>57</v>
      </c>
      <c r="J611">
        <v>2050</v>
      </c>
      <c r="K611" s="38" t="str">
        <f t="shared" si="75"/>
        <v>*0.49</v>
      </c>
      <c r="P611" s="32" t="s">
        <v>680</v>
      </c>
      <c r="Q611" s="42" t="s">
        <v>57</v>
      </c>
      <c r="R611" s="32">
        <v>2035</v>
      </c>
      <c r="S611" s="43" t="str">
        <f t="shared" si="76"/>
        <v>*0.59</v>
      </c>
      <c r="U611" s="32" t="s">
        <v>680</v>
      </c>
      <c r="V611" s="42" t="s">
        <v>57</v>
      </c>
      <c r="W611" s="32">
        <v>2050</v>
      </c>
      <c r="X611" s="43" t="str">
        <f t="shared" si="77"/>
        <v>*0.47</v>
      </c>
      <c r="AC611" s="33" t="s">
        <v>680</v>
      </c>
      <c r="AD611" s="44" t="s">
        <v>57</v>
      </c>
      <c r="AE611" s="33">
        <v>2035</v>
      </c>
      <c r="AF611" s="45" t="str">
        <f t="shared" si="78"/>
        <v>*0.54</v>
      </c>
      <c r="AG611" s="43" t="str">
        <f t="shared" si="80"/>
        <v>REZoning_Sol-Win</v>
      </c>
      <c r="AI611" s="33" t="s">
        <v>680</v>
      </c>
      <c r="AJ611" s="44" t="s">
        <v>57</v>
      </c>
      <c r="AK611" s="33">
        <v>2050</v>
      </c>
      <c r="AL611" s="45" t="str">
        <f t="shared" si="79"/>
        <v>*0.44</v>
      </c>
      <c r="AM611" s="43" t="str">
        <f t="shared" si="81"/>
        <v>REZoning_Sol-Win</v>
      </c>
      <c r="AP611" t="s">
        <v>680</v>
      </c>
      <c r="AQ611" t="s">
        <v>57</v>
      </c>
      <c r="AR611">
        <v>2100</v>
      </c>
      <c r="AS611" t="s">
        <v>171</v>
      </c>
      <c r="AT611" t="s">
        <v>58</v>
      </c>
    </row>
    <row r="612" ht="29" spans="1:46">
      <c r="A612" s="31" t="s">
        <v>169</v>
      </c>
      <c r="C612" t="s">
        <v>681</v>
      </c>
      <c r="D612" s="5" t="s">
        <v>57</v>
      </c>
      <c r="E612">
        <v>2035</v>
      </c>
      <c r="F612" s="6" t="str">
        <f t="shared" si="74"/>
        <v>*0.61</v>
      </c>
      <c r="H612" t="s">
        <v>681</v>
      </c>
      <c r="I612" s="5" t="s">
        <v>57</v>
      </c>
      <c r="J612">
        <v>2050</v>
      </c>
      <c r="K612" s="38" t="str">
        <f t="shared" si="75"/>
        <v>*0.49</v>
      </c>
      <c r="P612" s="32" t="s">
        <v>681</v>
      </c>
      <c r="Q612" s="42" t="s">
        <v>57</v>
      </c>
      <c r="R612" s="32">
        <v>2035</v>
      </c>
      <c r="S612" s="43" t="str">
        <f t="shared" si="76"/>
        <v>*0.59</v>
      </c>
      <c r="U612" s="32" t="s">
        <v>681</v>
      </c>
      <c r="V612" s="42" t="s">
        <v>57</v>
      </c>
      <c r="W612" s="32">
        <v>2050</v>
      </c>
      <c r="X612" s="43" t="str">
        <f t="shared" si="77"/>
        <v>*0.47</v>
      </c>
      <c r="AC612" s="33" t="s">
        <v>681</v>
      </c>
      <c r="AD612" s="44" t="s">
        <v>57</v>
      </c>
      <c r="AE612" s="33">
        <v>2035</v>
      </c>
      <c r="AF612" s="45" t="str">
        <f t="shared" si="78"/>
        <v>*0.54</v>
      </c>
      <c r="AG612" s="43" t="str">
        <f t="shared" si="80"/>
        <v>REZoning_Sol-Win</v>
      </c>
      <c r="AI612" s="33" t="s">
        <v>681</v>
      </c>
      <c r="AJ612" s="44" t="s">
        <v>57</v>
      </c>
      <c r="AK612" s="33">
        <v>2050</v>
      </c>
      <c r="AL612" s="45" t="str">
        <f t="shared" si="79"/>
        <v>*0.44</v>
      </c>
      <c r="AM612" s="43" t="str">
        <f t="shared" si="81"/>
        <v>REZoning_Sol-Win</v>
      </c>
      <c r="AP612" t="s">
        <v>681</v>
      </c>
      <c r="AQ612" t="s">
        <v>57</v>
      </c>
      <c r="AR612">
        <v>2100</v>
      </c>
      <c r="AS612" t="s">
        <v>171</v>
      </c>
      <c r="AT612" t="s">
        <v>58</v>
      </c>
    </row>
    <row r="613" ht="29" spans="1:46">
      <c r="A613" s="31" t="s">
        <v>169</v>
      </c>
      <c r="C613" t="s">
        <v>682</v>
      </c>
      <c r="D613" s="5" t="s">
        <v>57</v>
      </c>
      <c r="E613">
        <v>2035</v>
      </c>
      <c r="F613" s="6" t="str">
        <f t="shared" si="74"/>
        <v>*0.61</v>
      </c>
      <c r="H613" t="s">
        <v>682</v>
      </c>
      <c r="I613" s="5" t="s">
        <v>57</v>
      </c>
      <c r="J613">
        <v>2050</v>
      </c>
      <c r="K613" s="38" t="str">
        <f t="shared" si="75"/>
        <v>*0.49</v>
      </c>
      <c r="P613" s="32" t="s">
        <v>682</v>
      </c>
      <c r="Q613" s="42" t="s">
        <v>57</v>
      </c>
      <c r="R613" s="32">
        <v>2035</v>
      </c>
      <c r="S613" s="43" t="str">
        <f t="shared" si="76"/>
        <v>*0.59</v>
      </c>
      <c r="U613" s="32" t="s">
        <v>682</v>
      </c>
      <c r="V613" s="42" t="s">
        <v>57</v>
      </c>
      <c r="W613" s="32">
        <v>2050</v>
      </c>
      <c r="X613" s="43" t="str">
        <f t="shared" si="77"/>
        <v>*0.47</v>
      </c>
      <c r="AC613" s="33" t="s">
        <v>682</v>
      </c>
      <c r="AD613" s="44" t="s">
        <v>57</v>
      </c>
      <c r="AE613" s="33">
        <v>2035</v>
      </c>
      <c r="AF613" s="45" t="str">
        <f t="shared" si="78"/>
        <v>*0.54</v>
      </c>
      <c r="AG613" s="43" t="str">
        <f t="shared" si="80"/>
        <v>REZoning_Sol-Win</v>
      </c>
      <c r="AI613" s="33" t="s">
        <v>682</v>
      </c>
      <c r="AJ613" s="44" t="s">
        <v>57</v>
      </c>
      <c r="AK613" s="33">
        <v>2050</v>
      </c>
      <c r="AL613" s="45" t="str">
        <f t="shared" si="79"/>
        <v>*0.44</v>
      </c>
      <c r="AM613" s="43" t="str">
        <f t="shared" si="81"/>
        <v>REZoning_Sol-Win</v>
      </c>
      <c r="AP613" t="s">
        <v>682</v>
      </c>
      <c r="AQ613" t="s">
        <v>57</v>
      </c>
      <c r="AR613">
        <v>2100</v>
      </c>
      <c r="AS613" t="s">
        <v>171</v>
      </c>
      <c r="AT613" t="s">
        <v>58</v>
      </c>
    </row>
    <row r="614" ht="29" spans="1:46">
      <c r="A614" s="31" t="s">
        <v>169</v>
      </c>
      <c r="C614" t="s">
        <v>683</v>
      </c>
      <c r="D614" s="5" t="s">
        <v>57</v>
      </c>
      <c r="E614">
        <v>2035</v>
      </c>
      <c r="F614" s="6" t="str">
        <f t="shared" si="74"/>
        <v>*0.61</v>
      </c>
      <c r="H614" t="s">
        <v>683</v>
      </c>
      <c r="I614" s="5" t="s">
        <v>57</v>
      </c>
      <c r="J614">
        <v>2050</v>
      </c>
      <c r="K614" s="38" t="str">
        <f t="shared" si="75"/>
        <v>*0.49</v>
      </c>
      <c r="P614" s="32" t="s">
        <v>683</v>
      </c>
      <c r="Q614" s="42" t="s">
        <v>57</v>
      </c>
      <c r="R614" s="32">
        <v>2035</v>
      </c>
      <c r="S614" s="43" t="str">
        <f t="shared" si="76"/>
        <v>*0.59</v>
      </c>
      <c r="U614" s="32" t="s">
        <v>683</v>
      </c>
      <c r="V614" s="42" t="s">
        <v>57</v>
      </c>
      <c r="W614" s="32">
        <v>2050</v>
      </c>
      <c r="X614" s="43" t="str">
        <f t="shared" si="77"/>
        <v>*0.47</v>
      </c>
      <c r="AC614" s="33" t="s">
        <v>683</v>
      </c>
      <c r="AD614" s="44" t="s">
        <v>57</v>
      </c>
      <c r="AE614" s="33">
        <v>2035</v>
      </c>
      <c r="AF614" s="45" t="str">
        <f t="shared" si="78"/>
        <v>*0.54</v>
      </c>
      <c r="AG614" s="43" t="str">
        <f t="shared" si="80"/>
        <v>REZoning_Sol-Win</v>
      </c>
      <c r="AI614" s="33" t="s">
        <v>683</v>
      </c>
      <c r="AJ614" s="44" t="s">
        <v>57</v>
      </c>
      <c r="AK614" s="33">
        <v>2050</v>
      </c>
      <c r="AL614" s="45" t="str">
        <f t="shared" si="79"/>
        <v>*0.44</v>
      </c>
      <c r="AM614" s="43" t="str">
        <f t="shared" si="81"/>
        <v>REZoning_Sol-Win</v>
      </c>
      <c r="AP614" t="s">
        <v>683</v>
      </c>
      <c r="AQ614" t="s">
        <v>57</v>
      </c>
      <c r="AR614">
        <v>2100</v>
      </c>
      <c r="AS614" t="s">
        <v>171</v>
      </c>
      <c r="AT614" t="s">
        <v>58</v>
      </c>
    </row>
    <row r="615" ht="29" spans="1:46">
      <c r="A615" s="31" t="s">
        <v>169</v>
      </c>
      <c r="C615" t="s">
        <v>684</v>
      </c>
      <c r="D615" s="5" t="s">
        <v>57</v>
      </c>
      <c r="E615">
        <v>2035</v>
      </c>
      <c r="F615" s="6" t="str">
        <f t="shared" si="74"/>
        <v>*0.61</v>
      </c>
      <c r="H615" t="s">
        <v>684</v>
      </c>
      <c r="I615" s="5" t="s">
        <v>57</v>
      </c>
      <c r="J615">
        <v>2050</v>
      </c>
      <c r="K615" s="38" t="str">
        <f t="shared" si="75"/>
        <v>*0.49</v>
      </c>
      <c r="P615" s="32" t="s">
        <v>684</v>
      </c>
      <c r="Q615" s="42" t="s">
        <v>57</v>
      </c>
      <c r="R615" s="32">
        <v>2035</v>
      </c>
      <c r="S615" s="43" t="str">
        <f t="shared" si="76"/>
        <v>*0.59</v>
      </c>
      <c r="U615" s="32" t="s">
        <v>684</v>
      </c>
      <c r="V615" s="42" t="s">
        <v>57</v>
      </c>
      <c r="W615" s="32">
        <v>2050</v>
      </c>
      <c r="X615" s="43" t="str">
        <f t="shared" si="77"/>
        <v>*0.47</v>
      </c>
      <c r="AC615" s="33" t="s">
        <v>684</v>
      </c>
      <c r="AD615" s="44" t="s">
        <v>57</v>
      </c>
      <c r="AE615" s="33">
        <v>2035</v>
      </c>
      <c r="AF615" s="45" t="str">
        <f t="shared" si="78"/>
        <v>*0.54</v>
      </c>
      <c r="AG615" s="43" t="str">
        <f t="shared" si="80"/>
        <v>REZoning_Sol-Win</v>
      </c>
      <c r="AI615" s="33" t="s">
        <v>684</v>
      </c>
      <c r="AJ615" s="44" t="s">
        <v>57</v>
      </c>
      <c r="AK615" s="33">
        <v>2050</v>
      </c>
      <c r="AL615" s="45" t="str">
        <f t="shared" si="79"/>
        <v>*0.44</v>
      </c>
      <c r="AM615" s="43" t="str">
        <f t="shared" si="81"/>
        <v>REZoning_Sol-Win</v>
      </c>
      <c r="AP615" t="s">
        <v>684</v>
      </c>
      <c r="AQ615" t="s">
        <v>57</v>
      </c>
      <c r="AR615">
        <v>2100</v>
      </c>
      <c r="AS615" t="s">
        <v>171</v>
      </c>
      <c r="AT615" t="s">
        <v>58</v>
      </c>
    </row>
    <row r="616" ht="29" spans="1:46">
      <c r="A616" s="31" t="s">
        <v>169</v>
      </c>
      <c r="C616" t="s">
        <v>685</v>
      </c>
      <c r="D616" s="5" t="s">
        <v>57</v>
      </c>
      <c r="E616">
        <v>2035</v>
      </c>
      <c r="F616" s="6" t="str">
        <f t="shared" si="74"/>
        <v>*0.61</v>
      </c>
      <c r="H616" t="s">
        <v>685</v>
      </c>
      <c r="I616" s="5" t="s">
        <v>57</v>
      </c>
      <c r="J616">
        <v>2050</v>
      </c>
      <c r="K616" s="38" t="str">
        <f t="shared" si="75"/>
        <v>*0.49</v>
      </c>
      <c r="P616" s="32" t="s">
        <v>685</v>
      </c>
      <c r="Q616" s="42" t="s">
        <v>57</v>
      </c>
      <c r="R616" s="32">
        <v>2035</v>
      </c>
      <c r="S616" s="43" t="str">
        <f t="shared" si="76"/>
        <v>*0.59</v>
      </c>
      <c r="U616" s="32" t="s">
        <v>685</v>
      </c>
      <c r="V616" s="42" t="s">
        <v>57</v>
      </c>
      <c r="W616" s="32">
        <v>2050</v>
      </c>
      <c r="X616" s="43" t="str">
        <f t="shared" si="77"/>
        <v>*0.47</v>
      </c>
      <c r="AC616" s="33" t="s">
        <v>685</v>
      </c>
      <c r="AD616" s="44" t="s">
        <v>57</v>
      </c>
      <c r="AE616" s="33">
        <v>2035</v>
      </c>
      <c r="AF616" s="45" t="str">
        <f t="shared" si="78"/>
        <v>*0.54</v>
      </c>
      <c r="AG616" s="43" t="str">
        <f t="shared" si="80"/>
        <v>REZoning_Sol-Win</v>
      </c>
      <c r="AI616" s="33" t="s">
        <v>685</v>
      </c>
      <c r="AJ616" s="44" t="s">
        <v>57</v>
      </c>
      <c r="AK616" s="33">
        <v>2050</v>
      </c>
      <c r="AL616" s="45" t="str">
        <f t="shared" si="79"/>
        <v>*0.44</v>
      </c>
      <c r="AM616" s="43" t="str">
        <f t="shared" si="81"/>
        <v>REZoning_Sol-Win</v>
      </c>
      <c r="AP616" t="s">
        <v>685</v>
      </c>
      <c r="AQ616" t="s">
        <v>57</v>
      </c>
      <c r="AR616">
        <v>2100</v>
      </c>
      <c r="AS616" t="s">
        <v>171</v>
      </c>
      <c r="AT616" t="s">
        <v>58</v>
      </c>
    </row>
    <row r="617" ht="29" spans="1:46">
      <c r="A617" s="31" t="s">
        <v>169</v>
      </c>
      <c r="C617" t="s">
        <v>686</v>
      </c>
      <c r="D617" s="5" t="s">
        <v>57</v>
      </c>
      <c r="E617">
        <v>2035</v>
      </c>
      <c r="F617" s="6" t="str">
        <f t="shared" si="74"/>
        <v>*0.61</v>
      </c>
      <c r="H617" t="s">
        <v>686</v>
      </c>
      <c r="I617" s="5" t="s">
        <v>57</v>
      </c>
      <c r="J617">
        <v>2050</v>
      </c>
      <c r="K617" s="38" t="str">
        <f t="shared" si="75"/>
        <v>*0.49</v>
      </c>
      <c r="P617" s="32" t="s">
        <v>686</v>
      </c>
      <c r="Q617" s="42" t="s">
        <v>57</v>
      </c>
      <c r="R617" s="32">
        <v>2035</v>
      </c>
      <c r="S617" s="43" t="str">
        <f t="shared" si="76"/>
        <v>*0.59</v>
      </c>
      <c r="U617" s="32" t="s">
        <v>686</v>
      </c>
      <c r="V617" s="42" t="s">
        <v>57</v>
      </c>
      <c r="W617" s="32">
        <v>2050</v>
      </c>
      <c r="X617" s="43" t="str">
        <f t="shared" si="77"/>
        <v>*0.47</v>
      </c>
      <c r="AC617" s="33" t="s">
        <v>686</v>
      </c>
      <c r="AD617" s="44" t="s">
        <v>57</v>
      </c>
      <c r="AE617" s="33">
        <v>2035</v>
      </c>
      <c r="AF617" s="45" t="str">
        <f t="shared" si="78"/>
        <v>*0.54</v>
      </c>
      <c r="AG617" s="43" t="str">
        <f t="shared" si="80"/>
        <v>REZoning_Sol-Win</v>
      </c>
      <c r="AI617" s="33" t="s">
        <v>686</v>
      </c>
      <c r="AJ617" s="44" t="s">
        <v>57</v>
      </c>
      <c r="AK617" s="33">
        <v>2050</v>
      </c>
      <c r="AL617" s="45" t="str">
        <f t="shared" si="79"/>
        <v>*0.44</v>
      </c>
      <c r="AM617" s="43" t="str">
        <f t="shared" si="81"/>
        <v>REZoning_Sol-Win</v>
      </c>
      <c r="AP617" t="s">
        <v>686</v>
      </c>
      <c r="AQ617" t="s">
        <v>57</v>
      </c>
      <c r="AR617">
        <v>2100</v>
      </c>
      <c r="AS617" t="s">
        <v>171</v>
      </c>
      <c r="AT617" t="s">
        <v>58</v>
      </c>
    </row>
    <row r="618" ht="29" spans="1:46">
      <c r="A618" s="31" t="s">
        <v>169</v>
      </c>
      <c r="C618" t="s">
        <v>687</v>
      </c>
      <c r="D618" s="5" t="s">
        <v>57</v>
      </c>
      <c r="E618">
        <v>2035</v>
      </c>
      <c r="F618" s="6" t="str">
        <f t="shared" si="74"/>
        <v>*0.61</v>
      </c>
      <c r="H618" t="s">
        <v>687</v>
      </c>
      <c r="I618" s="5" t="s">
        <v>57</v>
      </c>
      <c r="J618">
        <v>2050</v>
      </c>
      <c r="K618" s="38" t="str">
        <f t="shared" si="75"/>
        <v>*0.49</v>
      </c>
      <c r="P618" s="32" t="s">
        <v>687</v>
      </c>
      <c r="Q618" s="42" t="s">
        <v>57</v>
      </c>
      <c r="R618" s="32">
        <v>2035</v>
      </c>
      <c r="S618" s="43" t="str">
        <f t="shared" si="76"/>
        <v>*0.59</v>
      </c>
      <c r="U618" s="32" t="s">
        <v>687</v>
      </c>
      <c r="V618" s="42" t="s">
        <v>57</v>
      </c>
      <c r="W618" s="32">
        <v>2050</v>
      </c>
      <c r="X618" s="43" t="str">
        <f t="shared" si="77"/>
        <v>*0.47</v>
      </c>
      <c r="AC618" s="33" t="s">
        <v>687</v>
      </c>
      <c r="AD618" s="44" t="s">
        <v>57</v>
      </c>
      <c r="AE618" s="33">
        <v>2035</v>
      </c>
      <c r="AF618" s="45" t="str">
        <f t="shared" si="78"/>
        <v>*0.54</v>
      </c>
      <c r="AG618" s="43" t="str">
        <f t="shared" si="80"/>
        <v>REZoning_Sol-Win</v>
      </c>
      <c r="AI618" s="33" t="s">
        <v>687</v>
      </c>
      <c r="AJ618" s="44" t="s">
        <v>57</v>
      </c>
      <c r="AK618" s="33">
        <v>2050</v>
      </c>
      <c r="AL618" s="45" t="str">
        <f t="shared" si="79"/>
        <v>*0.44</v>
      </c>
      <c r="AM618" s="43" t="str">
        <f t="shared" si="81"/>
        <v>REZoning_Sol-Win</v>
      </c>
      <c r="AP618" t="s">
        <v>687</v>
      </c>
      <c r="AQ618" t="s">
        <v>57</v>
      </c>
      <c r="AR618">
        <v>2100</v>
      </c>
      <c r="AS618" t="s">
        <v>171</v>
      </c>
      <c r="AT618" t="s">
        <v>58</v>
      </c>
    </row>
    <row r="619" ht="29" spans="1:46">
      <c r="A619" s="31" t="s">
        <v>169</v>
      </c>
      <c r="C619" t="s">
        <v>688</v>
      </c>
      <c r="D619" s="5" t="s">
        <v>57</v>
      </c>
      <c r="E619">
        <v>2035</v>
      </c>
      <c r="F619" s="6" t="str">
        <f t="shared" si="74"/>
        <v>*0.61</v>
      </c>
      <c r="H619" t="s">
        <v>688</v>
      </c>
      <c r="I619" s="5" t="s">
        <v>57</v>
      </c>
      <c r="J619">
        <v>2050</v>
      </c>
      <c r="K619" s="38" t="str">
        <f t="shared" si="75"/>
        <v>*0.49</v>
      </c>
      <c r="P619" s="32" t="s">
        <v>688</v>
      </c>
      <c r="Q619" s="42" t="s">
        <v>57</v>
      </c>
      <c r="R619" s="32">
        <v>2035</v>
      </c>
      <c r="S619" s="43" t="str">
        <f t="shared" si="76"/>
        <v>*0.59</v>
      </c>
      <c r="U619" s="32" t="s">
        <v>688</v>
      </c>
      <c r="V619" s="42" t="s">
        <v>57</v>
      </c>
      <c r="W619" s="32">
        <v>2050</v>
      </c>
      <c r="X619" s="43" t="str">
        <f t="shared" si="77"/>
        <v>*0.47</v>
      </c>
      <c r="AC619" s="33" t="s">
        <v>688</v>
      </c>
      <c r="AD619" s="44" t="s">
        <v>57</v>
      </c>
      <c r="AE619" s="33">
        <v>2035</v>
      </c>
      <c r="AF619" s="45" t="str">
        <f t="shared" si="78"/>
        <v>*0.54</v>
      </c>
      <c r="AG619" s="43" t="str">
        <f t="shared" si="80"/>
        <v>REZoning_Sol-Win</v>
      </c>
      <c r="AI619" s="33" t="s">
        <v>688</v>
      </c>
      <c r="AJ619" s="44" t="s">
        <v>57</v>
      </c>
      <c r="AK619" s="33">
        <v>2050</v>
      </c>
      <c r="AL619" s="45" t="str">
        <f t="shared" si="79"/>
        <v>*0.44</v>
      </c>
      <c r="AM619" s="43" t="str">
        <f t="shared" si="81"/>
        <v>REZoning_Sol-Win</v>
      </c>
      <c r="AP619" t="s">
        <v>688</v>
      </c>
      <c r="AQ619" t="s">
        <v>57</v>
      </c>
      <c r="AR619">
        <v>2100</v>
      </c>
      <c r="AS619" t="s">
        <v>171</v>
      </c>
      <c r="AT619" t="s">
        <v>58</v>
      </c>
    </row>
    <row r="620" ht="29" spans="1:46">
      <c r="A620" s="31" t="s">
        <v>169</v>
      </c>
      <c r="C620" t="s">
        <v>689</v>
      </c>
      <c r="D620" s="5" t="s">
        <v>57</v>
      </c>
      <c r="E620">
        <v>2035</v>
      </c>
      <c r="F620" s="6" t="str">
        <f t="shared" si="74"/>
        <v>*0.61</v>
      </c>
      <c r="H620" t="s">
        <v>689</v>
      </c>
      <c r="I620" s="5" t="s">
        <v>57</v>
      </c>
      <c r="J620">
        <v>2050</v>
      </c>
      <c r="K620" s="38" t="str">
        <f t="shared" si="75"/>
        <v>*0.49</v>
      </c>
      <c r="P620" s="32" t="s">
        <v>689</v>
      </c>
      <c r="Q620" s="42" t="s">
        <v>57</v>
      </c>
      <c r="R620" s="32">
        <v>2035</v>
      </c>
      <c r="S620" s="43" t="str">
        <f t="shared" si="76"/>
        <v>*0.59</v>
      </c>
      <c r="U620" s="32" t="s">
        <v>689</v>
      </c>
      <c r="V620" s="42" t="s">
        <v>57</v>
      </c>
      <c r="W620" s="32">
        <v>2050</v>
      </c>
      <c r="X620" s="43" t="str">
        <f t="shared" si="77"/>
        <v>*0.47</v>
      </c>
      <c r="AC620" s="33" t="s">
        <v>689</v>
      </c>
      <c r="AD620" s="44" t="s">
        <v>57</v>
      </c>
      <c r="AE620" s="33">
        <v>2035</v>
      </c>
      <c r="AF620" s="45" t="str">
        <f t="shared" si="78"/>
        <v>*0.54</v>
      </c>
      <c r="AG620" s="43" t="str">
        <f t="shared" si="80"/>
        <v>REZoning_Sol-Win</v>
      </c>
      <c r="AI620" s="33" t="s">
        <v>689</v>
      </c>
      <c r="AJ620" s="44" t="s">
        <v>57</v>
      </c>
      <c r="AK620" s="33">
        <v>2050</v>
      </c>
      <c r="AL620" s="45" t="str">
        <f t="shared" si="79"/>
        <v>*0.44</v>
      </c>
      <c r="AM620" s="43" t="str">
        <f t="shared" si="81"/>
        <v>REZoning_Sol-Win</v>
      </c>
      <c r="AP620" t="s">
        <v>689</v>
      </c>
      <c r="AQ620" t="s">
        <v>57</v>
      </c>
      <c r="AR620">
        <v>2100</v>
      </c>
      <c r="AS620" t="s">
        <v>171</v>
      </c>
      <c r="AT620" t="s">
        <v>58</v>
      </c>
    </row>
    <row r="621" ht="29" spans="1:46">
      <c r="A621" s="31" t="s">
        <v>73</v>
      </c>
      <c r="C621" t="s">
        <v>690</v>
      </c>
      <c r="D621" s="5" t="s">
        <v>57</v>
      </c>
      <c r="E621">
        <v>2035</v>
      </c>
      <c r="F621" s="6" t="str">
        <f t="shared" si="74"/>
        <v>*0.63</v>
      </c>
      <c r="H621" t="s">
        <v>690</v>
      </c>
      <c r="I621" s="5" t="s">
        <v>57</v>
      </c>
      <c r="J621">
        <v>2050</v>
      </c>
      <c r="K621" s="38" t="str">
        <f t="shared" si="75"/>
        <v>*0.54</v>
      </c>
      <c r="P621" s="32" t="s">
        <v>690</v>
      </c>
      <c r="Q621" s="42" t="s">
        <v>57</v>
      </c>
      <c r="R621" s="32">
        <v>2035</v>
      </c>
      <c r="S621" s="43" t="str">
        <f t="shared" si="76"/>
        <v>*0.62</v>
      </c>
      <c r="U621" s="32" t="s">
        <v>690</v>
      </c>
      <c r="V621" s="42" t="s">
        <v>57</v>
      </c>
      <c r="W621" s="32">
        <v>2050</v>
      </c>
      <c r="X621" s="43" t="str">
        <f t="shared" si="77"/>
        <v>*0.51</v>
      </c>
      <c r="AC621" s="33" t="s">
        <v>690</v>
      </c>
      <c r="AD621" s="44" t="s">
        <v>57</v>
      </c>
      <c r="AE621" s="33">
        <v>2035</v>
      </c>
      <c r="AF621" s="45" t="str">
        <f t="shared" si="78"/>
        <v>*0.58</v>
      </c>
      <c r="AG621" s="43" t="str">
        <f t="shared" si="80"/>
        <v>REZoning_Sol-Win</v>
      </c>
      <c r="AI621" s="33" t="s">
        <v>690</v>
      </c>
      <c r="AJ621" s="44" t="s">
        <v>57</v>
      </c>
      <c r="AK621" s="33">
        <v>2050</v>
      </c>
      <c r="AL621" s="45" t="str">
        <f t="shared" si="79"/>
        <v>*0.49</v>
      </c>
      <c r="AM621" s="43" t="str">
        <f t="shared" si="81"/>
        <v>REZoning_Sol-Win</v>
      </c>
      <c r="AP621" t="s">
        <v>690</v>
      </c>
      <c r="AQ621" t="s">
        <v>57</v>
      </c>
      <c r="AR621">
        <v>2100</v>
      </c>
      <c r="AS621" t="s">
        <v>75</v>
      </c>
      <c r="AT621" t="s">
        <v>58</v>
      </c>
    </row>
    <row r="622" ht="29" spans="1:46">
      <c r="A622" s="31" t="s">
        <v>73</v>
      </c>
      <c r="C622" t="s">
        <v>691</v>
      </c>
      <c r="D622" s="5" t="s">
        <v>57</v>
      </c>
      <c r="E622">
        <v>2035</v>
      </c>
      <c r="F622" s="6" t="str">
        <f t="shared" si="74"/>
        <v>*0.63</v>
      </c>
      <c r="H622" t="s">
        <v>691</v>
      </c>
      <c r="I622" s="5" t="s">
        <v>57</v>
      </c>
      <c r="J622">
        <v>2050</v>
      </c>
      <c r="K622" s="38" t="str">
        <f t="shared" si="75"/>
        <v>*0.54</v>
      </c>
      <c r="P622" s="32" t="s">
        <v>691</v>
      </c>
      <c r="Q622" s="42" t="s">
        <v>57</v>
      </c>
      <c r="R622" s="32">
        <v>2035</v>
      </c>
      <c r="S622" s="43" t="str">
        <f t="shared" si="76"/>
        <v>*0.62</v>
      </c>
      <c r="U622" s="32" t="s">
        <v>691</v>
      </c>
      <c r="V622" s="42" t="s">
        <v>57</v>
      </c>
      <c r="W622" s="32">
        <v>2050</v>
      </c>
      <c r="X622" s="43" t="str">
        <f t="shared" si="77"/>
        <v>*0.51</v>
      </c>
      <c r="AC622" s="33" t="s">
        <v>691</v>
      </c>
      <c r="AD622" s="44" t="s">
        <v>57</v>
      </c>
      <c r="AE622" s="33">
        <v>2035</v>
      </c>
      <c r="AF622" s="45" t="str">
        <f t="shared" si="78"/>
        <v>*0.58</v>
      </c>
      <c r="AG622" s="43" t="str">
        <f t="shared" si="80"/>
        <v>REZoning_Sol-Win</v>
      </c>
      <c r="AI622" s="33" t="s">
        <v>691</v>
      </c>
      <c r="AJ622" s="44" t="s">
        <v>57</v>
      </c>
      <c r="AK622" s="33">
        <v>2050</v>
      </c>
      <c r="AL622" s="45" t="str">
        <f t="shared" si="79"/>
        <v>*0.49</v>
      </c>
      <c r="AM622" s="43" t="str">
        <f t="shared" si="81"/>
        <v>REZoning_Sol-Win</v>
      </c>
      <c r="AP622" t="s">
        <v>691</v>
      </c>
      <c r="AQ622" t="s">
        <v>57</v>
      </c>
      <c r="AR622">
        <v>2100</v>
      </c>
      <c r="AS622" t="s">
        <v>75</v>
      </c>
      <c r="AT622" t="s">
        <v>58</v>
      </c>
    </row>
    <row r="623" ht="29" spans="1:46">
      <c r="A623" s="31" t="s">
        <v>73</v>
      </c>
      <c r="C623" t="s">
        <v>692</v>
      </c>
      <c r="D623" s="5" t="s">
        <v>57</v>
      </c>
      <c r="E623">
        <v>2035</v>
      </c>
      <c r="F623" s="6" t="str">
        <f t="shared" si="74"/>
        <v>*0.63</v>
      </c>
      <c r="H623" t="s">
        <v>692</v>
      </c>
      <c r="I623" s="5" t="s">
        <v>57</v>
      </c>
      <c r="J623">
        <v>2050</v>
      </c>
      <c r="K623" s="38" t="str">
        <f t="shared" si="75"/>
        <v>*0.54</v>
      </c>
      <c r="P623" s="32" t="s">
        <v>692</v>
      </c>
      <c r="Q623" s="42" t="s">
        <v>57</v>
      </c>
      <c r="R623" s="32">
        <v>2035</v>
      </c>
      <c r="S623" s="43" t="str">
        <f t="shared" si="76"/>
        <v>*0.62</v>
      </c>
      <c r="U623" s="32" t="s">
        <v>692</v>
      </c>
      <c r="V623" s="42" t="s">
        <v>57</v>
      </c>
      <c r="W623" s="32">
        <v>2050</v>
      </c>
      <c r="X623" s="43" t="str">
        <f t="shared" si="77"/>
        <v>*0.51</v>
      </c>
      <c r="AC623" s="33" t="s">
        <v>692</v>
      </c>
      <c r="AD623" s="44" t="s">
        <v>57</v>
      </c>
      <c r="AE623" s="33">
        <v>2035</v>
      </c>
      <c r="AF623" s="45" t="str">
        <f t="shared" si="78"/>
        <v>*0.58</v>
      </c>
      <c r="AG623" s="43" t="str">
        <f t="shared" si="80"/>
        <v>REZoning_Sol-Win</v>
      </c>
      <c r="AI623" s="33" t="s">
        <v>692</v>
      </c>
      <c r="AJ623" s="44" t="s">
        <v>57</v>
      </c>
      <c r="AK623" s="33">
        <v>2050</v>
      </c>
      <c r="AL623" s="45" t="str">
        <f t="shared" si="79"/>
        <v>*0.49</v>
      </c>
      <c r="AM623" s="43" t="str">
        <f t="shared" si="81"/>
        <v>REZoning_Sol-Win</v>
      </c>
      <c r="AP623" t="s">
        <v>692</v>
      </c>
      <c r="AQ623" t="s">
        <v>57</v>
      </c>
      <c r="AR623">
        <v>2100</v>
      </c>
      <c r="AS623" t="s">
        <v>75</v>
      </c>
      <c r="AT623" t="s">
        <v>58</v>
      </c>
    </row>
    <row r="624" ht="29" spans="1:46">
      <c r="A624" s="31" t="s">
        <v>169</v>
      </c>
      <c r="C624" t="s">
        <v>693</v>
      </c>
      <c r="D624" s="5" t="s">
        <v>57</v>
      </c>
      <c r="E624">
        <v>2035</v>
      </c>
      <c r="F624" s="6" t="str">
        <f t="shared" si="74"/>
        <v>*0.61</v>
      </c>
      <c r="H624" t="s">
        <v>693</v>
      </c>
      <c r="I624" s="5" t="s">
        <v>57</v>
      </c>
      <c r="J624">
        <v>2050</v>
      </c>
      <c r="K624" s="38" t="str">
        <f t="shared" si="75"/>
        <v>*0.49</v>
      </c>
      <c r="P624" s="32" t="s">
        <v>693</v>
      </c>
      <c r="Q624" s="42" t="s">
        <v>57</v>
      </c>
      <c r="R624" s="32">
        <v>2035</v>
      </c>
      <c r="S624" s="43" t="str">
        <f t="shared" si="76"/>
        <v>*0.59</v>
      </c>
      <c r="U624" s="32" t="s">
        <v>693</v>
      </c>
      <c r="V624" s="42" t="s">
        <v>57</v>
      </c>
      <c r="W624" s="32">
        <v>2050</v>
      </c>
      <c r="X624" s="43" t="str">
        <f t="shared" si="77"/>
        <v>*0.47</v>
      </c>
      <c r="AC624" s="33" t="s">
        <v>693</v>
      </c>
      <c r="AD624" s="44" t="s">
        <v>57</v>
      </c>
      <c r="AE624" s="33">
        <v>2035</v>
      </c>
      <c r="AF624" s="45" t="str">
        <f t="shared" si="78"/>
        <v>*0.54</v>
      </c>
      <c r="AG624" s="43" t="str">
        <f t="shared" si="80"/>
        <v>REZoning_Sol-Win</v>
      </c>
      <c r="AI624" s="33" t="s">
        <v>693</v>
      </c>
      <c r="AJ624" s="44" t="s">
        <v>57</v>
      </c>
      <c r="AK624" s="33">
        <v>2050</v>
      </c>
      <c r="AL624" s="45" t="str">
        <f t="shared" si="79"/>
        <v>*0.44</v>
      </c>
      <c r="AM624" s="43" t="str">
        <f t="shared" si="81"/>
        <v>REZoning_Sol-Win</v>
      </c>
      <c r="AP624" t="s">
        <v>693</v>
      </c>
      <c r="AQ624" t="s">
        <v>57</v>
      </c>
      <c r="AR624">
        <v>2100</v>
      </c>
      <c r="AS624" t="s">
        <v>171</v>
      </c>
      <c r="AT624" t="s">
        <v>58</v>
      </c>
    </row>
    <row r="625" ht="29" spans="1:46">
      <c r="A625" s="31" t="s">
        <v>169</v>
      </c>
      <c r="C625" t="s">
        <v>694</v>
      </c>
      <c r="D625" s="5" t="s">
        <v>57</v>
      </c>
      <c r="E625">
        <v>2035</v>
      </c>
      <c r="F625" s="6" t="str">
        <f t="shared" si="74"/>
        <v>*0.61</v>
      </c>
      <c r="H625" t="s">
        <v>694</v>
      </c>
      <c r="I625" s="5" t="s">
        <v>57</v>
      </c>
      <c r="J625">
        <v>2050</v>
      </c>
      <c r="K625" s="38" t="str">
        <f t="shared" si="75"/>
        <v>*0.49</v>
      </c>
      <c r="P625" s="32" t="s">
        <v>694</v>
      </c>
      <c r="Q625" s="42" t="s">
        <v>57</v>
      </c>
      <c r="R625" s="32">
        <v>2035</v>
      </c>
      <c r="S625" s="43" t="str">
        <f t="shared" si="76"/>
        <v>*0.59</v>
      </c>
      <c r="U625" s="32" t="s">
        <v>694</v>
      </c>
      <c r="V625" s="42" t="s">
        <v>57</v>
      </c>
      <c r="W625" s="32">
        <v>2050</v>
      </c>
      <c r="X625" s="43" t="str">
        <f t="shared" si="77"/>
        <v>*0.47</v>
      </c>
      <c r="AC625" s="33" t="s">
        <v>694</v>
      </c>
      <c r="AD625" s="44" t="s">
        <v>57</v>
      </c>
      <c r="AE625" s="33">
        <v>2035</v>
      </c>
      <c r="AF625" s="45" t="str">
        <f t="shared" si="78"/>
        <v>*0.54</v>
      </c>
      <c r="AG625" s="43" t="str">
        <f t="shared" si="80"/>
        <v>REZoning_Sol-Win</v>
      </c>
      <c r="AI625" s="33" t="s">
        <v>694</v>
      </c>
      <c r="AJ625" s="44" t="s">
        <v>57</v>
      </c>
      <c r="AK625" s="33">
        <v>2050</v>
      </c>
      <c r="AL625" s="45" t="str">
        <f t="shared" si="79"/>
        <v>*0.44</v>
      </c>
      <c r="AM625" s="43" t="str">
        <f t="shared" si="81"/>
        <v>REZoning_Sol-Win</v>
      </c>
      <c r="AP625" t="s">
        <v>694</v>
      </c>
      <c r="AQ625" t="s">
        <v>57</v>
      </c>
      <c r="AR625">
        <v>2100</v>
      </c>
      <c r="AS625" t="s">
        <v>171</v>
      </c>
      <c r="AT625" t="s">
        <v>58</v>
      </c>
    </row>
    <row r="626" ht="29" spans="1:46">
      <c r="A626" s="31" t="s">
        <v>169</v>
      </c>
      <c r="C626" t="s">
        <v>695</v>
      </c>
      <c r="D626" s="5" t="s">
        <v>57</v>
      </c>
      <c r="E626">
        <v>2035</v>
      </c>
      <c r="F626" s="6" t="str">
        <f t="shared" si="74"/>
        <v>*0.61</v>
      </c>
      <c r="H626" t="s">
        <v>695</v>
      </c>
      <c r="I626" s="5" t="s">
        <v>57</v>
      </c>
      <c r="J626">
        <v>2050</v>
      </c>
      <c r="K626" s="38" t="str">
        <f t="shared" si="75"/>
        <v>*0.49</v>
      </c>
      <c r="P626" s="32" t="s">
        <v>695</v>
      </c>
      <c r="Q626" s="42" t="s">
        <v>57</v>
      </c>
      <c r="R626" s="32">
        <v>2035</v>
      </c>
      <c r="S626" s="43" t="str">
        <f t="shared" si="76"/>
        <v>*0.59</v>
      </c>
      <c r="U626" s="32" t="s">
        <v>695</v>
      </c>
      <c r="V626" s="42" t="s">
        <v>57</v>
      </c>
      <c r="W626" s="32">
        <v>2050</v>
      </c>
      <c r="X626" s="43" t="str">
        <f t="shared" si="77"/>
        <v>*0.47</v>
      </c>
      <c r="AC626" s="33" t="s">
        <v>695</v>
      </c>
      <c r="AD626" s="44" t="s">
        <v>57</v>
      </c>
      <c r="AE626" s="33">
        <v>2035</v>
      </c>
      <c r="AF626" s="45" t="str">
        <f t="shared" si="78"/>
        <v>*0.54</v>
      </c>
      <c r="AG626" s="43" t="str">
        <f t="shared" si="80"/>
        <v>REZoning_Sol-Win</v>
      </c>
      <c r="AI626" s="33" t="s">
        <v>695</v>
      </c>
      <c r="AJ626" s="44" t="s">
        <v>57</v>
      </c>
      <c r="AK626" s="33">
        <v>2050</v>
      </c>
      <c r="AL626" s="45" t="str">
        <f t="shared" si="79"/>
        <v>*0.44</v>
      </c>
      <c r="AM626" s="43" t="str">
        <f t="shared" si="81"/>
        <v>REZoning_Sol-Win</v>
      </c>
      <c r="AP626" t="s">
        <v>695</v>
      </c>
      <c r="AQ626" t="s">
        <v>57</v>
      </c>
      <c r="AR626">
        <v>2100</v>
      </c>
      <c r="AS626" t="s">
        <v>171</v>
      </c>
      <c r="AT626" t="s">
        <v>58</v>
      </c>
    </row>
    <row r="627" ht="29" spans="1:46">
      <c r="A627" s="31" t="s">
        <v>169</v>
      </c>
      <c r="C627" t="s">
        <v>696</v>
      </c>
      <c r="D627" s="5" t="s">
        <v>57</v>
      </c>
      <c r="E627">
        <v>2035</v>
      </c>
      <c r="F627" s="6" t="str">
        <f t="shared" si="74"/>
        <v>*0.61</v>
      </c>
      <c r="H627" t="s">
        <v>696</v>
      </c>
      <c r="I627" s="5" t="s">
        <v>57</v>
      </c>
      <c r="J627">
        <v>2050</v>
      </c>
      <c r="K627" s="38" t="str">
        <f t="shared" si="75"/>
        <v>*0.49</v>
      </c>
      <c r="P627" s="32" t="s">
        <v>696</v>
      </c>
      <c r="Q627" s="42" t="s">
        <v>57</v>
      </c>
      <c r="R627" s="32">
        <v>2035</v>
      </c>
      <c r="S627" s="43" t="str">
        <f t="shared" si="76"/>
        <v>*0.59</v>
      </c>
      <c r="U627" s="32" t="s">
        <v>696</v>
      </c>
      <c r="V627" s="42" t="s">
        <v>57</v>
      </c>
      <c r="W627" s="32">
        <v>2050</v>
      </c>
      <c r="X627" s="43" t="str">
        <f t="shared" si="77"/>
        <v>*0.47</v>
      </c>
      <c r="AC627" s="33" t="s">
        <v>696</v>
      </c>
      <c r="AD627" s="44" t="s">
        <v>57</v>
      </c>
      <c r="AE627" s="33">
        <v>2035</v>
      </c>
      <c r="AF627" s="45" t="str">
        <f t="shared" si="78"/>
        <v>*0.54</v>
      </c>
      <c r="AG627" s="43" t="str">
        <f t="shared" si="80"/>
        <v>REZoning_Sol-Win</v>
      </c>
      <c r="AI627" s="33" t="s">
        <v>696</v>
      </c>
      <c r="AJ627" s="44" t="s">
        <v>57</v>
      </c>
      <c r="AK627" s="33">
        <v>2050</v>
      </c>
      <c r="AL627" s="45" t="str">
        <f t="shared" si="79"/>
        <v>*0.44</v>
      </c>
      <c r="AM627" s="43" t="str">
        <f t="shared" si="81"/>
        <v>REZoning_Sol-Win</v>
      </c>
      <c r="AP627" t="s">
        <v>696</v>
      </c>
      <c r="AQ627" t="s">
        <v>57</v>
      </c>
      <c r="AR627">
        <v>2100</v>
      </c>
      <c r="AS627" t="s">
        <v>171</v>
      </c>
      <c r="AT627" t="s">
        <v>58</v>
      </c>
    </row>
    <row r="628" ht="29" spans="1:46">
      <c r="A628" s="31" t="s">
        <v>169</v>
      </c>
      <c r="C628" t="s">
        <v>697</v>
      </c>
      <c r="D628" s="5" t="s">
        <v>57</v>
      </c>
      <c r="E628">
        <v>2035</v>
      </c>
      <c r="F628" s="6" t="str">
        <f t="shared" si="74"/>
        <v>*0.61</v>
      </c>
      <c r="H628" t="s">
        <v>697</v>
      </c>
      <c r="I628" s="5" t="s">
        <v>57</v>
      </c>
      <c r="J628">
        <v>2050</v>
      </c>
      <c r="K628" s="38" t="str">
        <f t="shared" si="75"/>
        <v>*0.49</v>
      </c>
      <c r="P628" s="32" t="s">
        <v>697</v>
      </c>
      <c r="Q628" s="42" t="s">
        <v>57</v>
      </c>
      <c r="R628" s="32">
        <v>2035</v>
      </c>
      <c r="S628" s="43" t="str">
        <f t="shared" si="76"/>
        <v>*0.59</v>
      </c>
      <c r="U628" s="32" t="s">
        <v>697</v>
      </c>
      <c r="V628" s="42" t="s">
        <v>57</v>
      </c>
      <c r="W628" s="32">
        <v>2050</v>
      </c>
      <c r="X628" s="43" t="str">
        <f t="shared" si="77"/>
        <v>*0.47</v>
      </c>
      <c r="AC628" s="33" t="s">
        <v>697</v>
      </c>
      <c r="AD628" s="44" t="s">
        <v>57</v>
      </c>
      <c r="AE628" s="33">
        <v>2035</v>
      </c>
      <c r="AF628" s="45" t="str">
        <f t="shared" si="78"/>
        <v>*0.54</v>
      </c>
      <c r="AG628" s="43" t="str">
        <f t="shared" si="80"/>
        <v>REZoning_Sol-Win</v>
      </c>
      <c r="AI628" s="33" t="s">
        <v>697</v>
      </c>
      <c r="AJ628" s="44" t="s">
        <v>57</v>
      </c>
      <c r="AK628" s="33">
        <v>2050</v>
      </c>
      <c r="AL628" s="45" t="str">
        <f t="shared" si="79"/>
        <v>*0.44</v>
      </c>
      <c r="AM628" s="43" t="str">
        <f t="shared" si="81"/>
        <v>REZoning_Sol-Win</v>
      </c>
      <c r="AP628" t="s">
        <v>697</v>
      </c>
      <c r="AQ628" t="s">
        <v>57</v>
      </c>
      <c r="AR628">
        <v>2100</v>
      </c>
      <c r="AS628" t="s">
        <v>171</v>
      </c>
      <c r="AT628" t="s">
        <v>58</v>
      </c>
    </row>
    <row r="629" ht="29" spans="1:46">
      <c r="A629" s="31" t="s">
        <v>169</v>
      </c>
      <c r="C629" t="s">
        <v>698</v>
      </c>
      <c r="D629" s="5" t="s">
        <v>57</v>
      </c>
      <c r="E629">
        <v>2035</v>
      </c>
      <c r="F629" s="6" t="str">
        <f t="shared" si="74"/>
        <v>*0.61</v>
      </c>
      <c r="H629" t="s">
        <v>698</v>
      </c>
      <c r="I629" s="5" t="s">
        <v>57</v>
      </c>
      <c r="J629">
        <v>2050</v>
      </c>
      <c r="K629" s="38" t="str">
        <f t="shared" si="75"/>
        <v>*0.49</v>
      </c>
      <c r="P629" s="32" t="s">
        <v>698</v>
      </c>
      <c r="Q629" s="42" t="s">
        <v>57</v>
      </c>
      <c r="R629" s="32">
        <v>2035</v>
      </c>
      <c r="S629" s="43" t="str">
        <f t="shared" si="76"/>
        <v>*0.59</v>
      </c>
      <c r="U629" s="32" t="s">
        <v>698</v>
      </c>
      <c r="V629" s="42" t="s">
        <v>57</v>
      </c>
      <c r="W629" s="32">
        <v>2050</v>
      </c>
      <c r="X629" s="43" t="str">
        <f t="shared" si="77"/>
        <v>*0.47</v>
      </c>
      <c r="AC629" s="33" t="s">
        <v>698</v>
      </c>
      <c r="AD629" s="44" t="s">
        <v>57</v>
      </c>
      <c r="AE629" s="33">
        <v>2035</v>
      </c>
      <c r="AF629" s="45" t="str">
        <f t="shared" si="78"/>
        <v>*0.54</v>
      </c>
      <c r="AG629" s="43" t="str">
        <f t="shared" si="80"/>
        <v>REZoning_Sol-Win</v>
      </c>
      <c r="AI629" s="33" t="s">
        <v>698</v>
      </c>
      <c r="AJ629" s="44" t="s">
        <v>57</v>
      </c>
      <c r="AK629" s="33">
        <v>2050</v>
      </c>
      <c r="AL629" s="45" t="str">
        <f t="shared" si="79"/>
        <v>*0.44</v>
      </c>
      <c r="AM629" s="43" t="str">
        <f t="shared" si="81"/>
        <v>REZoning_Sol-Win</v>
      </c>
      <c r="AP629" t="s">
        <v>698</v>
      </c>
      <c r="AQ629" t="s">
        <v>57</v>
      </c>
      <c r="AR629">
        <v>2100</v>
      </c>
      <c r="AS629" t="s">
        <v>171</v>
      </c>
      <c r="AT629" t="s">
        <v>58</v>
      </c>
    </row>
    <row r="630" ht="29" spans="1:46">
      <c r="A630" s="31" t="s">
        <v>73</v>
      </c>
      <c r="C630" t="s">
        <v>699</v>
      </c>
      <c r="D630" s="5" t="s">
        <v>57</v>
      </c>
      <c r="E630">
        <v>2035</v>
      </c>
      <c r="F630" s="6" t="str">
        <f t="shared" si="74"/>
        <v>*0.63</v>
      </c>
      <c r="H630" t="s">
        <v>699</v>
      </c>
      <c r="I630" s="5" t="s">
        <v>57</v>
      </c>
      <c r="J630">
        <v>2050</v>
      </c>
      <c r="K630" s="38" t="str">
        <f t="shared" si="75"/>
        <v>*0.54</v>
      </c>
      <c r="P630" s="32" t="s">
        <v>699</v>
      </c>
      <c r="Q630" s="42" t="s">
        <v>57</v>
      </c>
      <c r="R630" s="32">
        <v>2035</v>
      </c>
      <c r="S630" s="43" t="str">
        <f t="shared" si="76"/>
        <v>*0.62</v>
      </c>
      <c r="U630" s="32" t="s">
        <v>699</v>
      </c>
      <c r="V630" s="42" t="s">
        <v>57</v>
      </c>
      <c r="W630" s="32">
        <v>2050</v>
      </c>
      <c r="X630" s="43" t="str">
        <f t="shared" si="77"/>
        <v>*0.51</v>
      </c>
      <c r="AC630" s="33" t="s">
        <v>699</v>
      </c>
      <c r="AD630" s="44" t="s">
        <v>57</v>
      </c>
      <c r="AE630" s="33">
        <v>2035</v>
      </c>
      <c r="AF630" s="45" t="str">
        <f t="shared" si="78"/>
        <v>*0.58</v>
      </c>
      <c r="AG630" s="43" t="str">
        <f t="shared" si="80"/>
        <v>REZoning_Sol-Win</v>
      </c>
      <c r="AI630" s="33" t="s">
        <v>699</v>
      </c>
      <c r="AJ630" s="44" t="s">
        <v>57</v>
      </c>
      <c r="AK630" s="33">
        <v>2050</v>
      </c>
      <c r="AL630" s="45" t="str">
        <f t="shared" si="79"/>
        <v>*0.49</v>
      </c>
      <c r="AM630" s="43" t="str">
        <f t="shared" si="81"/>
        <v>REZoning_Sol-Win</v>
      </c>
      <c r="AP630" t="s">
        <v>699</v>
      </c>
      <c r="AQ630" t="s">
        <v>57</v>
      </c>
      <c r="AR630">
        <v>2100</v>
      </c>
      <c r="AS630" t="s">
        <v>75</v>
      </c>
      <c r="AT630" t="s">
        <v>58</v>
      </c>
    </row>
    <row r="631" ht="29" spans="1:46">
      <c r="A631" s="31" t="s">
        <v>73</v>
      </c>
      <c r="C631" t="s">
        <v>700</v>
      </c>
      <c r="D631" s="5" t="s">
        <v>57</v>
      </c>
      <c r="E631">
        <v>2035</v>
      </c>
      <c r="F631" s="6" t="str">
        <f t="shared" si="74"/>
        <v>*0.63</v>
      </c>
      <c r="H631" t="s">
        <v>700</v>
      </c>
      <c r="I631" s="5" t="s">
        <v>57</v>
      </c>
      <c r="J631">
        <v>2050</v>
      </c>
      <c r="K631" s="38" t="str">
        <f t="shared" si="75"/>
        <v>*0.54</v>
      </c>
      <c r="P631" s="32" t="s">
        <v>700</v>
      </c>
      <c r="Q631" s="42" t="s">
        <v>57</v>
      </c>
      <c r="R631" s="32">
        <v>2035</v>
      </c>
      <c r="S631" s="43" t="str">
        <f t="shared" si="76"/>
        <v>*0.62</v>
      </c>
      <c r="U631" s="32" t="s">
        <v>700</v>
      </c>
      <c r="V631" s="42" t="s">
        <v>57</v>
      </c>
      <c r="W631" s="32">
        <v>2050</v>
      </c>
      <c r="X631" s="43" t="str">
        <f t="shared" si="77"/>
        <v>*0.51</v>
      </c>
      <c r="AC631" s="33" t="s">
        <v>700</v>
      </c>
      <c r="AD631" s="44" t="s">
        <v>57</v>
      </c>
      <c r="AE631" s="33">
        <v>2035</v>
      </c>
      <c r="AF631" s="45" t="str">
        <f t="shared" si="78"/>
        <v>*0.58</v>
      </c>
      <c r="AG631" s="43" t="str">
        <f t="shared" si="80"/>
        <v>REZoning_Sol-Win</v>
      </c>
      <c r="AI631" s="33" t="s">
        <v>700</v>
      </c>
      <c r="AJ631" s="44" t="s">
        <v>57</v>
      </c>
      <c r="AK631" s="33">
        <v>2050</v>
      </c>
      <c r="AL631" s="45" t="str">
        <f t="shared" si="79"/>
        <v>*0.49</v>
      </c>
      <c r="AM631" s="43" t="str">
        <f t="shared" si="81"/>
        <v>REZoning_Sol-Win</v>
      </c>
      <c r="AP631" t="s">
        <v>700</v>
      </c>
      <c r="AQ631" t="s">
        <v>57</v>
      </c>
      <c r="AR631">
        <v>2100</v>
      </c>
      <c r="AS631" t="s">
        <v>75</v>
      </c>
      <c r="AT631" t="s">
        <v>58</v>
      </c>
    </row>
    <row r="632" ht="29" spans="1:46">
      <c r="A632" s="31" t="s">
        <v>73</v>
      </c>
      <c r="C632" t="s">
        <v>701</v>
      </c>
      <c r="D632" s="5" t="s">
        <v>57</v>
      </c>
      <c r="E632">
        <v>2035</v>
      </c>
      <c r="F632" s="6" t="str">
        <f t="shared" si="74"/>
        <v>*0.63</v>
      </c>
      <c r="H632" t="s">
        <v>701</v>
      </c>
      <c r="I632" s="5" t="s">
        <v>57</v>
      </c>
      <c r="J632">
        <v>2050</v>
      </c>
      <c r="K632" s="38" t="str">
        <f t="shared" si="75"/>
        <v>*0.54</v>
      </c>
      <c r="P632" s="32" t="s">
        <v>701</v>
      </c>
      <c r="Q632" s="42" t="s">
        <v>57</v>
      </c>
      <c r="R632" s="32">
        <v>2035</v>
      </c>
      <c r="S632" s="43" t="str">
        <f t="shared" si="76"/>
        <v>*0.62</v>
      </c>
      <c r="U632" s="32" t="s">
        <v>701</v>
      </c>
      <c r="V632" s="42" t="s">
        <v>57</v>
      </c>
      <c r="W632" s="32">
        <v>2050</v>
      </c>
      <c r="X632" s="43" t="str">
        <f t="shared" si="77"/>
        <v>*0.51</v>
      </c>
      <c r="AC632" s="33" t="s">
        <v>701</v>
      </c>
      <c r="AD632" s="44" t="s">
        <v>57</v>
      </c>
      <c r="AE632" s="33">
        <v>2035</v>
      </c>
      <c r="AF632" s="45" t="str">
        <f t="shared" si="78"/>
        <v>*0.58</v>
      </c>
      <c r="AG632" s="43" t="str">
        <f t="shared" si="80"/>
        <v>REZoning_Sol-Win</v>
      </c>
      <c r="AI632" s="33" t="s">
        <v>701</v>
      </c>
      <c r="AJ632" s="44" t="s">
        <v>57</v>
      </c>
      <c r="AK632" s="33">
        <v>2050</v>
      </c>
      <c r="AL632" s="45" t="str">
        <f t="shared" si="79"/>
        <v>*0.49</v>
      </c>
      <c r="AM632" s="43" t="str">
        <f t="shared" si="81"/>
        <v>REZoning_Sol-Win</v>
      </c>
      <c r="AP632" t="s">
        <v>701</v>
      </c>
      <c r="AQ632" t="s">
        <v>57</v>
      </c>
      <c r="AR632">
        <v>2100</v>
      </c>
      <c r="AS632" t="s">
        <v>75</v>
      </c>
      <c r="AT632" t="s">
        <v>58</v>
      </c>
    </row>
    <row r="633" ht="29" spans="1:46">
      <c r="A633" s="31" t="s">
        <v>83</v>
      </c>
      <c r="C633" t="s">
        <v>702</v>
      </c>
      <c r="D633" s="5" t="s">
        <v>57</v>
      </c>
      <c r="E633">
        <v>2035</v>
      </c>
      <c r="F633" s="6" t="str">
        <f t="shared" si="74"/>
        <v>*0.64</v>
      </c>
      <c r="H633" t="s">
        <v>702</v>
      </c>
      <c r="I633" s="5" t="s">
        <v>57</v>
      </c>
      <c r="J633">
        <v>2050</v>
      </c>
      <c r="K633" s="38" t="str">
        <f t="shared" si="75"/>
        <v>*0.54</v>
      </c>
      <c r="P633" s="32" t="s">
        <v>702</v>
      </c>
      <c r="Q633" s="42" t="s">
        <v>57</v>
      </c>
      <c r="R633" s="32">
        <v>2035</v>
      </c>
      <c r="S633" s="43" t="str">
        <f t="shared" si="76"/>
        <v>*0.64</v>
      </c>
      <c r="U633" s="32" t="s">
        <v>702</v>
      </c>
      <c r="V633" s="42" t="s">
        <v>57</v>
      </c>
      <c r="W633" s="32">
        <v>2050</v>
      </c>
      <c r="X633" s="43" t="str">
        <f t="shared" si="77"/>
        <v>*0.53</v>
      </c>
      <c r="AC633" s="33" t="s">
        <v>702</v>
      </c>
      <c r="AD633" s="44" t="s">
        <v>57</v>
      </c>
      <c r="AE633" s="33">
        <v>2035</v>
      </c>
      <c r="AF633" s="45" t="str">
        <f t="shared" si="78"/>
        <v>*0.6</v>
      </c>
      <c r="AG633" s="43" t="str">
        <f t="shared" si="80"/>
        <v>REZoning_Sol-Win</v>
      </c>
      <c r="AI633" s="33" t="s">
        <v>702</v>
      </c>
      <c r="AJ633" s="44" t="s">
        <v>57</v>
      </c>
      <c r="AK633" s="33">
        <v>2050</v>
      </c>
      <c r="AL633" s="45" t="str">
        <f t="shared" si="79"/>
        <v>*0.5</v>
      </c>
      <c r="AM633" s="43" t="str">
        <f t="shared" si="81"/>
        <v>REZoning_Sol-Win</v>
      </c>
      <c r="AP633" t="s">
        <v>702</v>
      </c>
      <c r="AQ633" t="s">
        <v>57</v>
      </c>
      <c r="AR633">
        <v>2100</v>
      </c>
      <c r="AS633" t="s">
        <v>85</v>
      </c>
      <c r="AT633" t="s">
        <v>58</v>
      </c>
    </row>
    <row r="634" ht="29" spans="1:46">
      <c r="A634" s="31" t="s">
        <v>79</v>
      </c>
      <c r="C634" t="s">
        <v>703</v>
      </c>
      <c r="D634" s="5" t="s">
        <v>57</v>
      </c>
      <c r="E634">
        <v>2035</v>
      </c>
      <c r="F634" s="6" t="str">
        <f t="shared" si="74"/>
        <v>*0.6</v>
      </c>
      <c r="H634" t="s">
        <v>703</v>
      </c>
      <c r="I634" s="5" t="s">
        <v>57</v>
      </c>
      <c r="J634">
        <v>2050</v>
      </c>
      <c r="K634" s="38" t="str">
        <f t="shared" si="75"/>
        <v>*0.5</v>
      </c>
      <c r="P634" s="32" t="s">
        <v>703</v>
      </c>
      <c r="Q634" s="42" t="s">
        <v>57</v>
      </c>
      <c r="R634" s="32">
        <v>2035</v>
      </c>
      <c r="S634" s="43" t="str">
        <f t="shared" si="76"/>
        <v>*0.59</v>
      </c>
      <c r="U634" s="32" t="s">
        <v>703</v>
      </c>
      <c r="V634" s="42" t="s">
        <v>57</v>
      </c>
      <c r="W634" s="32">
        <v>2050</v>
      </c>
      <c r="X634" s="43" t="str">
        <f t="shared" si="77"/>
        <v>*0.47</v>
      </c>
      <c r="AC634" s="33" t="s">
        <v>703</v>
      </c>
      <c r="AD634" s="44" t="s">
        <v>57</v>
      </c>
      <c r="AE634" s="33">
        <v>2035</v>
      </c>
      <c r="AF634" s="45" t="str">
        <f t="shared" si="78"/>
        <v>*0.53</v>
      </c>
      <c r="AG634" s="43" t="str">
        <f t="shared" si="80"/>
        <v>REZoning_Sol-Win</v>
      </c>
      <c r="AI634" s="33" t="s">
        <v>703</v>
      </c>
      <c r="AJ634" s="44" t="s">
        <v>57</v>
      </c>
      <c r="AK634" s="33">
        <v>2050</v>
      </c>
      <c r="AL634" s="45" t="str">
        <f t="shared" si="79"/>
        <v>*0.41</v>
      </c>
      <c r="AM634" s="43" t="str">
        <f t="shared" si="81"/>
        <v>REZoning_Sol-Win</v>
      </c>
      <c r="AP634" t="s">
        <v>703</v>
      </c>
      <c r="AQ634" t="s">
        <v>57</v>
      </c>
      <c r="AR634">
        <v>2100</v>
      </c>
      <c r="AS634" t="s">
        <v>67</v>
      </c>
      <c r="AT634" t="s">
        <v>58</v>
      </c>
    </row>
    <row r="635" ht="29" spans="1:46">
      <c r="A635" s="31" t="s">
        <v>79</v>
      </c>
      <c r="C635" t="s">
        <v>704</v>
      </c>
      <c r="D635" s="5" t="s">
        <v>57</v>
      </c>
      <c r="E635">
        <v>2035</v>
      </c>
      <c r="F635" s="6" t="str">
        <f t="shared" si="74"/>
        <v>*0.6</v>
      </c>
      <c r="H635" t="s">
        <v>704</v>
      </c>
      <c r="I635" s="5" t="s">
        <v>57</v>
      </c>
      <c r="J635">
        <v>2050</v>
      </c>
      <c r="K635" s="38" t="str">
        <f t="shared" si="75"/>
        <v>*0.5</v>
      </c>
      <c r="P635" s="32" t="s">
        <v>704</v>
      </c>
      <c r="Q635" s="42" t="s">
        <v>57</v>
      </c>
      <c r="R635" s="32">
        <v>2035</v>
      </c>
      <c r="S635" s="43" t="str">
        <f t="shared" si="76"/>
        <v>*0.59</v>
      </c>
      <c r="U635" s="32" t="s">
        <v>704</v>
      </c>
      <c r="V635" s="42" t="s">
        <v>57</v>
      </c>
      <c r="W635" s="32">
        <v>2050</v>
      </c>
      <c r="X635" s="43" t="str">
        <f t="shared" si="77"/>
        <v>*0.47</v>
      </c>
      <c r="AC635" s="33" t="s">
        <v>704</v>
      </c>
      <c r="AD635" s="44" t="s">
        <v>57</v>
      </c>
      <c r="AE635" s="33">
        <v>2035</v>
      </c>
      <c r="AF635" s="45" t="str">
        <f t="shared" si="78"/>
        <v>*0.53</v>
      </c>
      <c r="AG635" s="43" t="str">
        <f t="shared" si="80"/>
        <v>REZoning_Sol-Win</v>
      </c>
      <c r="AI635" s="33" t="s">
        <v>704</v>
      </c>
      <c r="AJ635" s="44" t="s">
        <v>57</v>
      </c>
      <c r="AK635" s="33">
        <v>2050</v>
      </c>
      <c r="AL635" s="45" t="str">
        <f t="shared" si="79"/>
        <v>*0.41</v>
      </c>
      <c r="AM635" s="43" t="str">
        <f t="shared" si="81"/>
        <v>REZoning_Sol-Win</v>
      </c>
      <c r="AP635" t="s">
        <v>704</v>
      </c>
      <c r="AQ635" t="s">
        <v>57</v>
      </c>
      <c r="AR635">
        <v>2100</v>
      </c>
      <c r="AS635" t="s">
        <v>67</v>
      </c>
      <c r="AT635" t="s">
        <v>58</v>
      </c>
    </row>
    <row r="636" ht="29" spans="1:46">
      <c r="A636" s="31" t="s">
        <v>79</v>
      </c>
      <c r="C636" t="s">
        <v>705</v>
      </c>
      <c r="D636" s="5" t="s">
        <v>57</v>
      </c>
      <c r="E636">
        <v>2035</v>
      </c>
      <c r="F636" s="6" t="str">
        <f t="shared" si="74"/>
        <v>*0.6</v>
      </c>
      <c r="H636" t="s">
        <v>705</v>
      </c>
      <c r="I636" s="5" t="s">
        <v>57</v>
      </c>
      <c r="J636">
        <v>2050</v>
      </c>
      <c r="K636" s="38" t="str">
        <f t="shared" si="75"/>
        <v>*0.5</v>
      </c>
      <c r="P636" s="32" t="s">
        <v>705</v>
      </c>
      <c r="Q636" s="42" t="s">
        <v>57</v>
      </c>
      <c r="R636" s="32">
        <v>2035</v>
      </c>
      <c r="S636" s="43" t="str">
        <f t="shared" si="76"/>
        <v>*0.59</v>
      </c>
      <c r="U636" s="32" t="s">
        <v>705</v>
      </c>
      <c r="V636" s="42" t="s">
        <v>57</v>
      </c>
      <c r="W636" s="32">
        <v>2050</v>
      </c>
      <c r="X636" s="43" t="str">
        <f t="shared" si="77"/>
        <v>*0.47</v>
      </c>
      <c r="AC636" s="33" t="s">
        <v>705</v>
      </c>
      <c r="AD636" s="44" t="s">
        <v>57</v>
      </c>
      <c r="AE636" s="33">
        <v>2035</v>
      </c>
      <c r="AF636" s="45" t="str">
        <f t="shared" si="78"/>
        <v>*0.53</v>
      </c>
      <c r="AG636" s="43" t="str">
        <f t="shared" si="80"/>
        <v>REZoning_Sol-Win</v>
      </c>
      <c r="AI636" s="33" t="s">
        <v>705</v>
      </c>
      <c r="AJ636" s="44" t="s">
        <v>57</v>
      </c>
      <c r="AK636" s="33">
        <v>2050</v>
      </c>
      <c r="AL636" s="45" t="str">
        <f t="shared" si="79"/>
        <v>*0.41</v>
      </c>
      <c r="AM636" s="43" t="str">
        <f t="shared" si="81"/>
        <v>REZoning_Sol-Win</v>
      </c>
      <c r="AP636" t="s">
        <v>705</v>
      </c>
      <c r="AQ636" t="s">
        <v>57</v>
      </c>
      <c r="AR636">
        <v>2100</v>
      </c>
      <c r="AS636" t="s">
        <v>67</v>
      </c>
      <c r="AT636" t="s">
        <v>58</v>
      </c>
    </row>
    <row r="637" ht="29" spans="1:46">
      <c r="A637" s="31" t="s">
        <v>73</v>
      </c>
      <c r="C637" t="s">
        <v>706</v>
      </c>
      <c r="D637" s="5" t="s">
        <v>57</v>
      </c>
      <c r="E637">
        <v>2035</v>
      </c>
      <c r="F637" s="6" t="str">
        <f t="shared" si="74"/>
        <v>*0.63</v>
      </c>
      <c r="H637" t="s">
        <v>706</v>
      </c>
      <c r="I637" s="5" t="s">
        <v>57</v>
      </c>
      <c r="J637">
        <v>2050</v>
      </c>
      <c r="K637" s="38" t="str">
        <f t="shared" si="75"/>
        <v>*0.54</v>
      </c>
      <c r="P637" s="32" t="s">
        <v>706</v>
      </c>
      <c r="Q637" s="42" t="s">
        <v>57</v>
      </c>
      <c r="R637" s="32">
        <v>2035</v>
      </c>
      <c r="S637" s="43" t="str">
        <f t="shared" si="76"/>
        <v>*0.62</v>
      </c>
      <c r="U637" s="32" t="s">
        <v>706</v>
      </c>
      <c r="V637" s="42" t="s">
        <v>57</v>
      </c>
      <c r="W637" s="32">
        <v>2050</v>
      </c>
      <c r="X637" s="43" t="str">
        <f t="shared" si="77"/>
        <v>*0.51</v>
      </c>
      <c r="AC637" s="33" t="s">
        <v>706</v>
      </c>
      <c r="AD637" s="44" t="s">
        <v>57</v>
      </c>
      <c r="AE637" s="33">
        <v>2035</v>
      </c>
      <c r="AF637" s="45" t="str">
        <f t="shared" si="78"/>
        <v>*0.58</v>
      </c>
      <c r="AG637" s="43" t="str">
        <f t="shared" si="80"/>
        <v>REZoning_Sol-Win</v>
      </c>
      <c r="AI637" s="33" t="s">
        <v>706</v>
      </c>
      <c r="AJ637" s="44" t="s">
        <v>57</v>
      </c>
      <c r="AK637" s="33">
        <v>2050</v>
      </c>
      <c r="AL637" s="45" t="str">
        <f t="shared" si="79"/>
        <v>*0.49</v>
      </c>
      <c r="AM637" s="43" t="str">
        <f t="shared" si="81"/>
        <v>REZoning_Sol-Win</v>
      </c>
      <c r="AP637" t="s">
        <v>706</v>
      </c>
      <c r="AQ637" t="s">
        <v>57</v>
      </c>
      <c r="AR637">
        <v>2100</v>
      </c>
      <c r="AS637" t="s">
        <v>75</v>
      </c>
      <c r="AT637" t="s">
        <v>58</v>
      </c>
    </row>
    <row r="638" ht="29" spans="1:46">
      <c r="A638" s="31" t="s">
        <v>73</v>
      </c>
      <c r="C638" t="s">
        <v>707</v>
      </c>
      <c r="D638" s="5" t="s">
        <v>57</v>
      </c>
      <c r="E638">
        <v>2035</v>
      </c>
      <c r="F638" s="6" t="str">
        <f t="shared" si="74"/>
        <v>*0.63</v>
      </c>
      <c r="H638" t="s">
        <v>707</v>
      </c>
      <c r="I638" s="5" t="s">
        <v>57</v>
      </c>
      <c r="J638">
        <v>2050</v>
      </c>
      <c r="K638" s="38" t="str">
        <f t="shared" si="75"/>
        <v>*0.54</v>
      </c>
      <c r="P638" s="32" t="s">
        <v>707</v>
      </c>
      <c r="Q638" s="42" t="s">
        <v>57</v>
      </c>
      <c r="R638" s="32">
        <v>2035</v>
      </c>
      <c r="S638" s="43" t="str">
        <f t="shared" si="76"/>
        <v>*0.62</v>
      </c>
      <c r="U638" s="32" t="s">
        <v>707</v>
      </c>
      <c r="V638" s="42" t="s">
        <v>57</v>
      </c>
      <c r="W638" s="32">
        <v>2050</v>
      </c>
      <c r="X638" s="43" t="str">
        <f t="shared" si="77"/>
        <v>*0.51</v>
      </c>
      <c r="AC638" s="33" t="s">
        <v>707</v>
      </c>
      <c r="AD638" s="44" t="s">
        <v>57</v>
      </c>
      <c r="AE638" s="33">
        <v>2035</v>
      </c>
      <c r="AF638" s="45" t="str">
        <f t="shared" si="78"/>
        <v>*0.58</v>
      </c>
      <c r="AG638" s="43" t="str">
        <f t="shared" si="80"/>
        <v>REZoning_Sol-Win</v>
      </c>
      <c r="AI638" s="33" t="s">
        <v>707</v>
      </c>
      <c r="AJ638" s="44" t="s">
        <v>57</v>
      </c>
      <c r="AK638" s="33">
        <v>2050</v>
      </c>
      <c r="AL638" s="45" t="str">
        <f t="shared" si="79"/>
        <v>*0.49</v>
      </c>
      <c r="AM638" s="43" t="str">
        <f t="shared" si="81"/>
        <v>REZoning_Sol-Win</v>
      </c>
      <c r="AP638" t="s">
        <v>707</v>
      </c>
      <c r="AQ638" t="s">
        <v>57</v>
      </c>
      <c r="AR638">
        <v>2100</v>
      </c>
      <c r="AS638" t="s">
        <v>75</v>
      </c>
      <c r="AT638" t="s">
        <v>58</v>
      </c>
    </row>
    <row r="639" ht="29" spans="1:46">
      <c r="A639" s="31" t="s">
        <v>95</v>
      </c>
      <c r="C639" t="s">
        <v>708</v>
      </c>
      <c r="D639" s="5" t="s">
        <v>57</v>
      </c>
      <c r="E639">
        <v>2035</v>
      </c>
      <c r="F639" s="6" t="str">
        <f t="shared" si="74"/>
        <v>*0.65</v>
      </c>
      <c r="H639" t="s">
        <v>708</v>
      </c>
      <c r="I639" s="5" t="s">
        <v>57</v>
      </c>
      <c r="J639">
        <v>2050</v>
      </c>
      <c r="K639" s="38" t="str">
        <f t="shared" si="75"/>
        <v>*0.54</v>
      </c>
      <c r="P639" s="32" t="s">
        <v>708</v>
      </c>
      <c r="Q639" s="42" t="s">
        <v>57</v>
      </c>
      <c r="R639" s="32">
        <v>2035</v>
      </c>
      <c r="S639" s="43" t="str">
        <f t="shared" si="76"/>
        <v>*0.63</v>
      </c>
      <c r="U639" s="32" t="s">
        <v>708</v>
      </c>
      <c r="V639" s="42" t="s">
        <v>57</v>
      </c>
      <c r="W639" s="32">
        <v>2050</v>
      </c>
      <c r="X639" s="43" t="str">
        <f t="shared" si="77"/>
        <v>*0.52</v>
      </c>
      <c r="AC639" s="33" t="s">
        <v>708</v>
      </c>
      <c r="AD639" s="44" t="s">
        <v>57</v>
      </c>
      <c r="AE639" s="33">
        <v>2035</v>
      </c>
      <c r="AF639" s="45" t="str">
        <f t="shared" si="78"/>
        <v>*0.55</v>
      </c>
      <c r="AG639" s="43" t="str">
        <f t="shared" si="80"/>
        <v>REZoning_Sol-Win</v>
      </c>
      <c r="AI639" s="33" t="s">
        <v>708</v>
      </c>
      <c r="AJ639" s="44" t="s">
        <v>57</v>
      </c>
      <c r="AK639" s="33">
        <v>2050</v>
      </c>
      <c r="AL639" s="45" t="str">
        <f t="shared" si="79"/>
        <v>*0.41</v>
      </c>
      <c r="AM639" s="43" t="str">
        <f t="shared" si="81"/>
        <v>REZoning_Sol-Win</v>
      </c>
      <c r="AP639" t="s">
        <v>708</v>
      </c>
      <c r="AQ639" t="s">
        <v>57</v>
      </c>
      <c r="AR639">
        <v>2100</v>
      </c>
      <c r="AS639" t="s">
        <v>67</v>
      </c>
      <c r="AT639" t="s">
        <v>58</v>
      </c>
    </row>
    <row r="640" ht="29" spans="1:46">
      <c r="A640" s="31" t="s">
        <v>95</v>
      </c>
      <c r="C640" t="s">
        <v>709</v>
      </c>
      <c r="D640" s="5" t="s">
        <v>57</v>
      </c>
      <c r="E640">
        <v>2035</v>
      </c>
      <c r="F640" s="6" t="str">
        <f t="shared" si="74"/>
        <v>*0.65</v>
      </c>
      <c r="H640" t="s">
        <v>709</v>
      </c>
      <c r="I640" s="5" t="s">
        <v>57</v>
      </c>
      <c r="J640">
        <v>2050</v>
      </c>
      <c r="K640" s="38" t="str">
        <f t="shared" si="75"/>
        <v>*0.54</v>
      </c>
      <c r="P640" s="32" t="s">
        <v>709</v>
      </c>
      <c r="Q640" s="42" t="s">
        <v>57</v>
      </c>
      <c r="R640" s="32">
        <v>2035</v>
      </c>
      <c r="S640" s="43" t="str">
        <f t="shared" si="76"/>
        <v>*0.63</v>
      </c>
      <c r="U640" s="32" t="s">
        <v>709</v>
      </c>
      <c r="V640" s="42" t="s">
        <v>57</v>
      </c>
      <c r="W640" s="32">
        <v>2050</v>
      </c>
      <c r="X640" s="43" t="str">
        <f t="shared" si="77"/>
        <v>*0.52</v>
      </c>
      <c r="AC640" s="33" t="s">
        <v>709</v>
      </c>
      <c r="AD640" s="44" t="s">
        <v>57</v>
      </c>
      <c r="AE640" s="33">
        <v>2035</v>
      </c>
      <c r="AF640" s="45" t="str">
        <f t="shared" si="78"/>
        <v>*0.55</v>
      </c>
      <c r="AG640" s="43" t="str">
        <f t="shared" si="80"/>
        <v>REZoning_Sol-Win</v>
      </c>
      <c r="AI640" s="33" t="s">
        <v>709</v>
      </c>
      <c r="AJ640" s="44" t="s">
        <v>57</v>
      </c>
      <c r="AK640" s="33">
        <v>2050</v>
      </c>
      <c r="AL640" s="45" t="str">
        <f t="shared" si="79"/>
        <v>*0.41</v>
      </c>
      <c r="AM640" s="43" t="str">
        <f t="shared" si="81"/>
        <v>REZoning_Sol-Win</v>
      </c>
      <c r="AP640" t="s">
        <v>709</v>
      </c>
      <c r="AQ640" t="s">
        <v>57</v>
      </c>
      <c r="AR640">
        <v>2100</v>
      </c>
      <c r="AS640" t="s">
        <v>67</v>
      </c>
      <c r="AT640" t="s">
        <v>58</v>
      </c>
    </row>
    <row r="641" ht="29" spans="1:46">
      <c r="A641" s="31" t="s">
        <v>95</v>
      </c>
      <c r="C641" t="s">
        <v>710</v>
      </c>
      <c r="D641" s="5" t="s">
        <v>57</v>
      </c>
      <c r="E641">
        <v>2035</v>
      </c>
      <c r="F641" s="6" t="str">
        <f t="shared" si="74"/>
        <v>*0.65</v>
      </c>
      <c r="H641" t="s">
        <v>710</v>
      </c>
      <c r="I641" s="5" t="s">
        <v>57</v>
      </c>
      <c r="J641">
        <v>2050</v>
      </c>
      <c r="K641" s="38" t="str">
        <f t="shared" si="75"/>
        <v>*0.54</v>
      </c>
      <c r="P641" s="32" t="s">
        <v>710</v>
      </c>
      <c r="Q641" s="42" t="s">
        <v>57</v>
      </c>
      <c r="R641" s="32">
        <v>2035</v>
      </c>
      <c r="S641" s="43" t="str">
        <f t="shared" si="76"/>
        <v>*0.63</v>
      </c>
      <c r="U641" s="32" t="s">
        <v>710</v>
      </c>
      <c r="V641" s="42" t="s">
        <v>57</v>
      </c>
      <c r="W641" s="32">
        <v>2050</v>
      </c>
      <c r="X641" s="43" t="str">
        <f t="shared" si="77"/>
        <v>*0.52</v>
      </c>
      <c r="AC641" s="33" t="s">
        <v>710</v>
      </c>
      <c r="AD641" s="44" t="s">
        <v>57</v>
      </c>
      <c r="AE641" s="33">
        <v>2035</v>
      </c>
      <c r="AF641" s="45" t="str">
        <f t="shared" si="78"/>
        <v>*0.55</v>
      </c>
      <c r="AG641" s="43" t="str">
        <f t="shared" si="80"/>
        <v>REZoning_Sol-Win</v>
      </c>
      <c r="AI641" s="33" t="s">
        <v>710</v>
      </c>
      <c r="AJ641" s="44" t="s">
        <v>57</v>
      </c>
      <c r="AK641" s="33">
        <v>2050</v>
      </c>
      <c r="AL641" s="45" t="str">
        <f t="shared" si="79"/>
        <v>*0.41</v>
      </c>
      <c r="AM641" s="43" t="str">
        <f t="shared" si="81"/>
        <v>REZoning_Sol-Win</v>
      </c>
      <c r="AP641" t="s">
        <v>710</v>
      </c>
      <c r="AQ641" t="s">
        <v>57</v>
      </c>
      <c r="AR641">
        <v>2100</v>
      </c>
      <c r="AS641" t="s">
        <v>67</v>
      </c>
      <c r="AT641" t="s">
        <v>58</v>
      </c>
    </row>
    <row r="642" ht="29" spans="1:46">
      <c r="A642" s="31" t="s">
        <v>95</v>
      </c>
      <c r="C642" t="s">
        <v>711</v>
      </c>
      <c r="D642" s="5" t="s">
        <v>57</v>
      </c>
      <c r="E642">
        <v>2035</v>
      </c>
      <c r="F642" s="6" t="str">
        <f t="shared" si="74"/>
        <v>*0.65</v>
      </c>
      <c r="H642" t="s">
        <v>711</v>
      </c>
      <c r="I642" s="5" t="s">
        <v>57</v>
      </c>
      <c r="J642">
        <v>2050</v>
      </c>
      <c r="K642" s="38" t="str">
        <f t="shared" si="75"/>
        <v>*0.54</v>
      </c>
      <c r="P642" s="32" t="s">
        <v>711</v>
      </c>
      <c r="Q642" s="42" t="s">
        <v>57</v>
      </c>
      <c r="R642" s="32">
        <v>2035</v>
      </c>
      <c r="S642" s="43" t="str">
        <f t="shared" si="76"/>
        <v>*0.63</v>
      </c>
      <c r="U642" s="32" t="s">
        <v>711</v>
      </c>
      <c r="V642" s="42" t="s">
        <v>57</v>
      </c>
      <c r="W642" s="32">
        <v>2050</v>
      </c>
      <c r="X642" s="43" t="str">
        <f t="shared" si="77"/>
        <v>*0.52</v>
      </c>
      <c r="AC642" s="33" t="s">
        <v>711</v>
      </c>
      <c r="AD642" s="44" t="s">
        <v>57</v>
      </c>
      <c r="AE642" s="33">
        <v>2035</v>
      </c>
      <c r="AF642" s="45" t="str">
        <f t="shared" si="78"/>
        <v>*0.55</v>
      </c>
      <c r="AG642" s="43" t="str">
        <f t="shared" si="80"/>
        <v>REZoning_Sol-Win</v>
      </c>
      <c r="AI642" s="33" t="s">
        <v>711</v>
      </c>
      <c r="AJ642" s="44" t="s">
        <v>57</v>
      </c>
      <c r="AK642" s="33">
        <v>2050</v>
      </c>
      <c r="AL642" s="45" t="str">
        <f t="shared" si="79"/>
        <v>*0.41</v>
      </c>
      <c r="AM642" s="43" t="str">
        <f t="shared" si="81"/>
        <v>REZoning_Sol-Win</v>
      </c>
      <c r="AP642" t="s">
        <v>711</v>
      </c>
      <c r="AQ642" t="s">
        <v>57</v>
      </c>
      <c r="AR642">
        <v>2100</v>
      </c>
      <c r="AS642" t="s">
        <v>67</v>
      </c>
      <c r="AT642" t="s">
        <v>58</v>
      </c>
    </row>
    <row r="643" ht="29" spans="1:46">
      <c r="A643" s="31" t="s">
        <v>95</v>
      </c>
      <c r="C643" t="s">
        <v>712</v>
      </c>
      <c r="D643" s="5" t="s">
        <v>57</v>
      </c>
      <c r="E643">
        <v>2035</v>
      </c>
      <c r="F643" s="6" t="str">
        <f t="shared" si="74"/>
        <v>*0.65</v>
      </c>
      <c r="H643" t="s">
        <v>712</v>
      </c>
      <c r="I643" s="5" t="s">
        <v>57</v>
      </c>
      <c r="J643">
        <v>2050</v>
      </c>
      <c r="K643" s="38" t="str">
        <f t="shared" si="75"/>
        <v>*0.54</v>
      </c>
      <c r="P643" s="32" t="s">
        <v>712</v>
      </c>
      <c r="Q643" s="42" t="s">
        <v>57</v>
      </c>
      <c r="R643" s="32">
        <v>2035</v>
      </c>
      <c r="S643" s="43" t="str">
        <f t="shared" si="76"/>
        <v>*0.63</v>
      </c>
      <c r="U643" s="32" t="s">
        <v>712</v>
      </c>
      <c r="V643" s="42" t="s">
        <v>57</v>
      </c>
      <c r="W643" s="32">
        <v>2050</v>
      </c>
      <c r="X643" s="43" t="str">
        <f t="shared" si="77"/>
        <v>*0.52</v>
      </c>
      <c r="AC643" s="33" t="s">
        <v>712</v>
      </c>
      <c r="AD643" s="44" t="s">
        <v>57</v>
      </c>
      <c r="AE643" s="33">
        <v>2035</v>
      </c>
      <c r="AF643" s="45" t="str">
        <f t="shared" si="78"/>
        <v>*0.55</v>
      </c>
      <c r="AG643" s="43" t="str">
        <f t="shared" si="80"/>
        <v>REZoning_Sol-Win</v>
      </c>
      <c r="AI643" s="33" t="s">
        <v>712</v>
      </c>
      <c r="AJ643" s="44" t="s">
        <v>57</v>
      </c>
      <c r="AK643" s="33">
        <v>2050</v>
      </c>
      <c r="AL643" s="45" t="str">
        <f t="shared" si="79"/>
        <v>*0.41</v>
      </c>
      <c r="AM643" s="43" t="str">
        <f t="shared" si="81"/>
        <v>REZoning_Sol-Win</v>
      </c>
      <c r="AP643" t="s">
        <v>712</v>
      </c>
      <c r="AQ643" t="s">
        <v>57</v>
      </c>
      <c r="AR643">
        <v>2100</v>
      </c>
      <c r="AS643" t="s">
        <v>67</v>
      </c>
      <c r="AT643" t="s">
        <v>58</v>
      </c>
    </row>
    <row r="644" ht="29" spans="1:46">
      <c r="A644" s="31" t="s">
        <v>95</v>
      </c>
      <c r="C644" t="s">
        <v>713</v>
      </c>
      <c r="D644" s="5" t="s">
        <v>57</v>
      </c>
      <c r="E644">
        <v>2035</v>
      </c>
      <c r="F644" s="6" t="str">
        <f t="shared" ref="F644:F707" si="82">"*"&amp;IF(AND(A644="EU",E644=2035),0.63,IF(AND(A644="EU",E644=2050),0.54,IF(AND(A644="USA",E644=2035),0.64,IF(AND(A644="USA",E644=2050),0.54,IF(AND(A644="Japan",E644=2035),0.68,IF(AND(A644="Japan",E644=2050),0.58,IF(AND(A644="Russia",E644=2035),0.65,IF(AND(A644="Russia",E644=2050),0.54,IF(AND(A644="China",E644=2035),0.61,IF(AND(A644="China",E644=2050),0.49,IF(AND(A644="India",E644=2035),0.6,IF(AND(A644="India",E644=2050),0.49,IF(AND(A644="Middle East",E644=2035),0.6,IF(AND(A644="Middle East",E644=2050),0.5,IF(AND(A644="Africa",E644=2035),0.61,IF(AND(A644="Africa",E644=2050),0.5,IF(AND(A644="Brazil",E644=2035),0.64,IF(AND(A644="Brazil",E644=2050),0.54,""))))))))))))))))))</f>
        <v>*0.65</v>
      </c>
      <c r="H644" t="s">
        <v>713</v>
      </c>
      <c r="I644" s="5" t="s">
        <v>57</v>
      </c>
      <c r="J644">
        <v>2050</v>
      </c>
      <c r="K644" s="38" t="str">
        <f t="shared" ref="K644:K707" si="83">"*"&amp;IF(AND(A644="EU",J644=2035),0.63,IF(AND(A644="EU",J644=2050),0.54,IF(AND(A644="USA",J644=2035),0.64,IF(AND(A644="USA",J644=2050),0.54,IF(AND(A644="Japan",J644=2035),0.68,IF(AND(A644="Japan",J644=2050),0.58,IF(AND(A644="Russia",J644=2035),0.65,IF(AND(A644="Russia",J644=2050),0.54,IF(AND(A644="China",J644=2035),0.61,IF(AND(A644="China",J644=2050),0.49,IF(AND(A644="India",J644=2035),0.6,IF(AND(A644="India",J644=2050),0.49,IF(AND(A644="Middle East",J644=2035),0.6,IF(AND(A644="Middle East",J644=2050),0.5,IF(AND(A644="Africa",J644=2035),0.61,IF(AND(A644="Africa",J644=2050),0.5,IF(AND(A644="Brazil",J644=2035),0.64,IF(AND(A644="Brazil",J644=2050),0.54,""))))))))))))))))))</f>
        <v>*0.54</v>
      </c>
      <c r="P644" s="32" t="s">
        <v>713</v>
      </c>
      <c r="Q644" s="42" t="s">
        <v>57</v>
      </c>
      <c r="R644" s="32">
        <v>2035</v>
      </c>
      <c r="S644" s="43" t="str">
        <f t="shared" ref="S644:S707" si="84">"*"&amp;IF(AND(A644="EU",R644=2035),0.62,IF(AND(A644="EU",R644=2050),0.51,IF(AND(A644="USA",R644=2035),0.62,IF(AND(A644="USA",R644=2050),0.5,IF(AND(A644="Japan",R644=2035),0.65,IF(AND(A644="Japan",R644=2050),0.55,IF(AND(A644="Russia",R644=2035),0.63,IF(AND(A644="Russia",R644=2050),0.52,IF(AND(A644="China",R644=2035),0.59,IF(AND(A644="China",R644=2050),0.47,IF(AND(A644="India",R644=2035),0.58,IF(AND(A644="India",R644=2050),0.47,IF(AND(A644="Middle East",R644=2035),0.59,IF(AND(A644="Middle East",R644=2050),0.47,IF(AND(A644="Africa",R644=2035),0.58,IF(AND(A644="Africa",R644=2050),0.47,IF(AND(A644="Brazil",R644=2035),0.64,IF(AND(A644="Brazil",R644=2050),0.53,""))))))))))))))))))</f>
        <v>*0.63</v>
      </c>
      <c r="U644" s="32" t="s">
        <v>713</v>
      </c>
      <c r="V644" s="42" t="s">
        <v>57</v>
      </c>
      <c r="W644" s="32">
        <v>2050</v>
      </c>
      <c r="X644" s="43" t="str">
        <f t="shared" ref="X644:X707" si="85">"*"&amp;IF(AND(A644="EU",W644=2035),0.62,IF(AND(A644="EU",W644=2050),0.51,IF(AND(A644="USA",W644=2035),0.62,IF(AND(A644="USA",W644=2050),0.5,IF(AND(A644="Japan",W644=2035),0.65,IF(AND(A644="Japan",W644=2050),0.55,IF(AND(A644="Russia",W644=2035),0.63,IF(AND(A644="Russia",W644=2050),0.52,IF(AND(A644="China",W644=2035),0.59,IF(AND(A644="China",W644=2050),0.47,IF(AND(A644="India",W644=2035),0.58,IF(AND(A644="India",W644=2050),0.47,IF(AND(A644="Middle East",W644=2035),0.59,IF(AND(A644="Middle East",W644=2050),0.47,IF(AND(A644="Africa",W644=2035),0.58,IF(AND(A644="Africa",W644=2050),0.47,IF(AND(A644="Brazil",W644=2035),0.64,IF(AND(A644="Brazil",W644=2050),0.53,""))))))))))))))))))</f>
        <v>*0.52</v>
      </c>
      <c r="AC644" s="33" t="s">
        <v>713</v>
      </c>
      <c r="AD644" s="44" t="s">
        <v>57</v>
      </c>
      <c r="AE644" s="33">
        <v>2035</v>
      </c>
      <c r="AF644" s="45" t="str">
        <f t="shared" ref="AF644:AF707" si="86">"*"&amp;IF(AND(A644="EU",AE644=2035),0.58,IF(AND(A644="EU",AE644=2050),0.49,IF(AND(A644="USA",AE644=2035),0.56,IF(AND(A644="USA",AE644=2050),0.45,IF(AND(A644="Japan",AE644=2035),0.62,IF(AND(A644="Japan",AE644=2050),0.51,IF(AND(A644="Russia",AE644=2035),0.55,IF(AND(A644="Russia",AE644=2050),0.41,IF(AND(A644="China",AE644=2035),0.54,IF(AND(A644="China",AE644=2050),0.44,IF(AND(A644="India",AE644=2035),0.55,IF(AND(A644="India",AE644=2050),0.42,IF(AND(A644="Middle East",AE644=2035),0.53,IF(AND(A644="Middle East",AE644=2050),0.41,IF(AND(A644="Africa",AE644=2035),0.53,IF(AND(A644="Africa",AE644=2050),0.41,IF(AND(A644="Brazil",AE644=2035),0.6,IF(AND(A644="Brazil",AE644=2050),0.5,""))))))))))))))))))</f>
        <v>*0.55</v>
      </c>
      <c r="AG644" s="43" t="str">
        <f t="shared" si="80"/>
        <v>REZoning_Sol-Win</v>
      </c>
      <c r="AI644" s="33" t="s">
        <v>713</v>
      </c>
      <c r="AJ644" s="44" t="s">
        <v>57</v>
      </c>
      <c r="AK644" s="33">
        <v>2050</v>
      </c>
      <c r="AL644" s="45" t="str">
        <f t="shared" ref="AL644:AL707" si="87">"*"&amp;IF(AND(A644="EU",AK644=2035),0.58,IF(AND(A644="EU",AK644=2050),0.49,IF(AND(A644="USA",AK644=2035),0.56,IF(AND(A644="USA",AK644=2050),0.45,IF(AND(A644="Japan",AK644=2035),0.62,IF(AND(A644="Japan",AK644=2050),0.51,IF(AND(A644="Russia",AK644=2035),0.55,IF(AND(A644="Russia",AK644=2050),0.41,IF(AND(A644="China",AK644=2035),0.54,IF(AND(A644="China",AK644=2050),0.44,IF(AND(A644="India",AK644=2035),0.55,IF(AND(A644="India",AK644=2050),0.42,IF(AND(A644="Middle East",AK644=2035),0.53,IF(AND(A644="Middle East",AK644=2050),0.41,IF(AND(A644="Africa",AK644=2035),0.53,IF(AND(A644="Africa",AK644=2050),0.41,IF(AND(A644="Brazil",AK644=2035),0.6,IF(AND(A644="Brazil",AK644=2050),0.5,""))))))))))))))))))</f>
        <v>*0.41</v>
      </c>
      <c r="AM644" s="43" t="str">
        <f t="shared" si="81"/>
        <v>REZoning_Sol-Win</v>
      </c>
      <c r="AP644" t="s">
        <v>713</v>
      </c>
      <c r="AQ644" t="s">
        <v>57</v>
      </c>
      <c r="AR644">
        <v>2100</v>
      </c>
      <c r="AS644" t="s">
        <v>67</v>
      </c>
      <c r="AT644" t="s">
        <v>58</v>
      </c>
    </row>
    <row r="645" ht="29" spans="1:46">
      <c r="A645" s="31" t="s">
        <v>95</v>
      </c>
      <c r="C645" t="s">
        <v>714</v>
      </c>
      <c r="D645" s="5" t="s">
        <v>57</v>
      </c>
      <c r="E645">
        <v>2035</v>
      </c>
      <c r="F645" s="6" t="str">
        <f t="shared" si="82"/>
        <v>*0.65</v>
      </c>
      <c r="H645" t="s">
        <v>714</v>
      </c>
      <c r="I645" s="5" t="s">
        <v>57</v>
      </c>
      <c r="J645">
        <v>2050</v>
      </c>
      <c r="K645" s="38" t="str">
        <f t="shared" si="83"/>
        <v>*0.54</v>
      </c>
      <c r="P645" s="32" t="s">
        <v>714</v>
      </c>
      <c r="Q645" s="42" t="s">
        <v>57</v>
      </c>
      <c r="R645" s="32">
        <v>2035</v>
      </c>
      <c r="S645" s="43" t="str">
        <f t="shared" si="84"/>
        <v>*0.63</v>
      </c>
      <c r="U645" s="32" t="s">
        <v>714</v>
      </c>
      <c r="V645" s="42" t="s">
        <v>57</v>
      </c>
      <c r="W645" s="32">
        <v>2050</v>
      </c>
      <c r="X645" s="43" t="str">
        <f t="shared" si="85"/>
        <v>*0.52</v>
      </c>
      <c r="AC645" s="33" t="s">
        <v>714</v>
      </c>
      <c r="AD645" s="44" t="s">
        <v>57</v>
      </c>
      <c r="AE645" s="33">
        <v>2035</v>
      </c>
      <c r="AF645" s="45" t="str">
        <f t="shared" si="86"/>
        <v>*0.55</v>
      </c>
      <c r="AG645" s="43" t="str">
        <f t="shared" si="80"/>
        <v>REZoning_Sol-Win</v>
      </c>
      <c r="AI645" s="33" t="s">
        <v>714</v>
      </c>
      <c r="AJ645" s="44" t="s">
        <v>57</v>
      </c>
      <c r="AK645" s="33">
        <v>2050</v>
      </c>
      <c r="AL645" s="45" t="str">
        <f t="shared" si="87"/>
        <v>*0.41</v>
      </c>
      <c r="AM645" s="43" t="str">
        <f t="shared" si="81"/>
        <v>REZoning_Sol-Win</v>
      </c>
      <c r="AP645" t="s">
        <v>714</v>
      </c>
      <c r="AQ645" t="s">
        <v>57</v>
      </c>
      <c r="AR645">
        <v>2100</v>
      </c>
      <c r="AS645" t="s">
        <v>67</v>
      </c>
      <c r="AT645" t="s">
        <v>58</v>
      </c>
    </row>
    <row r="646" ht="29" spans="1:46">
      <c r="A646" s="31" t="s">
        <v>95</v>
      </c>
      <c r="C646" t="s">
        <v>715</v>
      </c>
      <c r="D646" s="5" t="s">
        <v>57</v>
      </c>
      <c r="E646">
        <v>2035</v>
      </c>
      <c r="F646" s="6" t="str">
        <f t="shared" si="82"/>
        <v>*0.65</v>
      </c>
      <c r="H646" t="s">
        <v>715</v>
      </c>
      <c r="I646" s="5" t="s">
        <v>57</v>
      </c>
      <c r="J646">
        <v>2050</v>
      </c>
      <c r="K646" s="38" t="str">
        <f t="shared" si="83"/>
        <v>*0.54</v>
      </c>
      <c r="P646" s="32" t="s">
        <v>715</v>
      </c>
      <c r="Q646" s="42" t="s">
        <v>57</v>
      </c>
      <c r="R646" s="32">
        <v>2035</v>
      </c>
      <c r="S646" s="43" t="str">
        <f t="shared" si="84"/>
        <v>*0.63</v>
      </c>
      <c r="U646" s="32" t="s">
        <v>715</v>
      </c>
      <c r="V646" s="42" t="s">
        <v>57</v>
      </c>
      <c r="W646" s="32">
        <v>2050</v>
      </c>
      <c r="X646" s="43" t="str">
        <f t="shared" si="85"/>
        <v>*0.52</v>
      </c>
      <c r="AC646" s="33" t="s">
        <v>715</v>
      </c>
      <c r="AD646" s="44" t="s">
        <v>57</v>
      </c>
      <c r="AE646" s="33">
        <v>2035</v>
      </c>
      <c r="AF646" s="45" t="str">
        <f t="shared" si="86"/>
        <v>*0.55</v>
      </c>
      <c r="AG646" s="43" t="str">
        <f t="shared" si="80"/>
        <v>REZoning_Sol-Win</v>
      </c>
      <c r="AI646" s="33" t="s">
        <v>715</v>
      </c>
      <c r="AJ646" s="44" t="s">
        <v>57</v>
      </c>
      <c r="AK646" s="33">
        <v>2050</v>
      </c>
      <c r="AL646" s="45" t="str">
        <f t="shared" si="87"/>
        <v>*0.41</v>
      </c>
      <c r="AM646" s="43" t="str">
        <f t="shared" si="81"/>
        <v>REZoning_Sol-Win</v>
      </c>
      <c r="AP646" t="s">
        <v>715</v>
      </c>
      <c r="AQ646" t="s">
        <v>57</v>
      </c>
      <c r="AR646">
        <v>2100</v>
      </c>
      <c r="AS646" t="s">
        <v>67</v>
      </c>
      <c r="AT646" t="s">
        <v>58</v>
      </c>
    </row>
    <row r="647" ht="29" spans="1:46">
      <c r="A647" s="31" t="s">
        <v>95</v>
      </c>
      <c r="C647" t="s">
        <v>716</v>
      </c>
      <c r="D647" s="5" t="s">
        <v>57</v>
      </c>
      <c r="E647">
        <v>2035</v>
      </c>
      <c r="F647" s="6" t="str">
        <f t="shared" si="82"/>
        <v>*0.65</v>
      </c>
      <c r="H647" t="s">
        <v>716</v>
      </c>
      <c r="I647" s="5" t="s">
        <v>57</v>
      </c>
      <c r="J647">
        <v>2050</v>
      </c>
      <c r="K647" s="38" t="str">
        <f t="shared" si="83"/>
        <v>*0.54</v>
      </c>
      <c r="P647" s="32" t="s">
        <v>716</v>
      </c>
      <c r="Q647" s="42" t="s">
        <v>57</v>
      </c>
      <c r="R647" s="32">
        <v>2035</v>
      </c>
      <c r="S647" s="43" t="str">
        <f t="shared" si="84"/>
        <v>*0.63</v>
      </c>
      <c r="U647" s="32" t="s">
        <v>716</v>
      </c>
      <c r="V647" s="42" t="s">
        <v>57</v>
      </c>
      <c r="W647" s="32">
        <v>2050</v>
      </c>
      <c r="X647" s="43" t="str">
        <f t="shared" si="85"/>
        <v>*0.52</v>
      </c>
      <c r="AC647" s="33" t="s">
        <v>716</v>
      </c>
      <c r="AD647" s="44" t="s">
        <v>57</v>
      </c>
      <c r="AE647" s="33">
        <v>2035</v>
      </c>
      <c r="AF647" s="45" t="str">
        <f t="shared" si="86"/>
        <v>*0.55</v>
      </c>
      <c r="AG647" s="43" t="str">
        <f t="shared" si="80"/>
        <v>REZoning_Sol-Win</v>
      </c>
      <c r="AI647" s="33" t="s">
        <v>716</v>
      </c>
      <c r="AJ647" s="44" t="s">
        <v>57</v>
      </c>
      <c r="AK647" s="33">
        <v>2050</v>
      </c>
      <c r="AL647" s="45" t="str">
        <f t="shared" si="87"/>
        <v>*0.41</v>
      </c>
      <c r="AM647" s="43" t="str">
        <f t="shared" si="81"/>
        <v>REZoning_Sol-Win</v>
      </c>
      <c r="AP647" t="s">
        <v>716</v>
      </c>
      <c r="AQ647" t="s">
        <v>57</v>
      </c>
      <c r="AR647">
        <v>2100</v>
      </c>
      <c r="AS647" t="s">
        <v>67</v>
      </c>
      <c r="AT647" t="s">
        <v>58</v>
      </c>
    </row>
    <row r="648" ht="29" spans="1:46">
      <c r="A648" s="31" t="s">
        <v>95</v>
      </c>
      <c r="C648" t="s">
        <v>717</v>
      </c>
      <c r="D648" s="5" t="s">
        <v>57</v>
      </c>
      <c r="E648">
        <v>2035</v>
      </c>
      <c r="F648" s="6" t="str">
        <f t="shared" si="82"/>
        <v>*0.65</v>
      </c>
      <c r="H648" t="s">
        <v>717</v>
      </c>
      <c r="I648" s="5" t="s">
        <v>57</v>
      </c>
      <c r="J648">
        <v>2050</v>
      </c>
      <c r="K648" s="38" t="str">
        <f t="shared" si="83"/>
        <v>*0.54</v>
      </c>
      <c r="P648" s="32" t="s">
        <v>717</v>
      </c>
      <c r="Q648" s="42" t="s">
        <v>57</v>
      </c>
      <c r="R648" s="32">
        <v>2035</v>
      </c>
      <c r="S648" s="43" t="str">
        <f t="shared" si="84"/>
        <v>*0.63</v>
      </c>
      <c r="U648" s="32" t="s">
        <v>717</v>
      </c>
      <c r="V648" s="42" t="s">
        <v>57</v>
      </c>
      <c r="W648" s="32">
        <v>2050</v>
      </c>
      <c r="X648" s="43" t="str">
        <f t="shared" si="85"/>
        <v>*0.52</v>
      </c>
      <c r="AC648" s="33" t="s">
        <v>717</v>
      </c>
      <c r="AD648" s="44" t="s">
        <v>57</v>
      </c>
      <c r="AE648" s="33">
        <v>2035</v>
      </c>
      <c r="AF648" s="45" t="str">
        <f t="shared" si="86"/>
        <v>*0.55</v>
      </c>
      <c r="AG648" s="43" t="str">
        <f t="shared" si="80"/>
        <v>REZoning_Sol-Win</v>
      </c>
      <c r="AI648" s="33" t="s">
        <v>717</v>
      </c>
      <c r="AJ648" s="44" t="s">
        <v>57</v>
      </c>
      <c r="AK648" s="33">
        <v>2050</v>
      </c>
      <c r="AL648" s="45" t="str">
        <f t="shared" si="87"/>
        <v>*0.41</v>
      </c>
      <c r="AM648" s="43" t="str">
        <f t="shared" si="81"/>
        <v>REZoning_Sol-Win</v>
      </c>
      <c r="AP648" t="s">
        <v>717</v>
      </c>
      <c r="AQ648" t="s">
        <v>57</v>
      </c>
      <c r="AR648">
        <v>2100</v>
      </c>
      <c r="AS648" t="s">
        <v>67</v>
      </c>
      <c r="AT648" t="s">
        <v>58</v>
      </c>
    </row>
    <row r="649" ht="29" spans="1:46">
      <c r="A649" s="31" t="s">
        <v>95</v>
      </c>
      <c r="C649" t="s">
        <v>718</v>
      </c>
      <c r="D649" s="5" t="s">
        <v>57</v>
      </c>
      <c r="E649">
        <v>2035</v>
      </c>
      <c r="F649" s="6" t="str">
        <f t="shared" si="82"/>
        <v>*0.65</v>
      </c>
      <c r="H649" t="s">
        <v>718</v>
      </c>
      <c r="I649" s="5" t="s">
        <v>57</v>
      </c>
      <c r="J649">
        <v>2050</v>
      </c>
      <c r="K649" s="38" t="str">
        <f t="shared" si="83"/>
        <v>*0.54</v>
      </c>
      <c r="P649" s="32" t="s">
        <v>718</v>
      </c>
      <c r="Q649" s="42" t="s">
        <v>57</v>
      </c>
      <c r="R649" s="32">
        <v>2035</v>
      </c>
      <c r="S649" s="43" t="str">
        <f t="shared" si="84"/>
        <v>*0.63</v>
      </c>
      <c r="U649" s="32" t="s">
        <v>718</v>
      </c>
      <c r="V649" s="42" t="s">
        <v>57</v>
      </c>
      <c r="W649" s="32">
        <v>2050</v>
      </c>
      <c r="X649" s="43" t="str">
        <f t="shared" si="85"/>
        <v>*0.52</v>
      </c>
      <c r="AC649" s="33" t="s">
        <v>718</v>
      </c>
      <c r="AD649" s="44" t="s">
        <v>57</v>
      </c>
      <c r="AE649" s="33">
        <v>2035</v>
      </c>
      <c r="AF649" s="45" t="str">
        <f t="shared" si="86"/>
        <v>*0.55</v>
      </c>
      <c r="AG649" s="43" t="str">
        <f t="shared" ref="AG649:AG712" si="88">AG648</f>
        <v>REZoning_Sol-Win</v>
      </c>
      <c r="AI649" s="33" t="s">
        <v>718</v>
      </c>
      <c r="AJ649" s="44" t="s">
        <v>57</v>
      </c>
      <c r="AK649" s="33">
        <v>2050</v>
      </c>
      <c r="AL649" s="45" t="str">
        <f t="shared" si="87"/>
        <v>*0.41</v>
      </c>
      <c r="AM649" s="43" t="str">
        <f t="shared" ref="AM649:AM712" si="89">AM648</f>
        <v>REZoning_Sol-Win</v>
      </c>
      <c r="AP649" t="s">
        <v>718</v>
      </c>
      <c r="AQ649" t="s">
        <v>57</v>
      </c>
      <c r="AR649">
        <v>2100</v>
      </c>
      <c r="AS649" t="s">
        <v>67</v>
      </c>
      <c r="AT649" t="s">
        <v>58</v>
      </c>
    </row>
    <row r="650" ht="29" spans="1:46">
      <c r="A650" s="31" t="s">
        <v>95</v>
      </c>
      <c r="C650" t="s">
        <v>719</v>
      </c>
      <c r="D650" s="5" t="s">
        <v>57</v>
      </c>
      <c r="E650">
        <v>2035</v>
      </c>
      <c r="F650" s="6" t="str">
        <f t="shared" si="82"/>
        <v>*0.65</v>
      </c>
      <c r="H650" t="s">
        <v>719</v>
      </c>
      <c r="I650" s="5" t="s">
        <v>57</v>
      </c>
      <c r="J650">
        <v>2050</v>
      </c>
      <c r="K650" s="38" t="str">
        <f t="shared" si="83"/>
        <v>*0.54</v>
      </c>
      <c r="P650" s="32" t="s">
        <v>719</v>
      </c>
      <c r="Q650" s="42" t="s">
        <v>57</v>
      </c>
      <c r="R650" s="32">
        <v>2035</v>
      </c>
      <c r="S650" s="43" t="str">
        <f t="shared" si="84"/>
        <v>*0.63</v>
      </c>
      <c r="U650" s="32" t="s">
        <v>719</v>
      </c>
      <c r="V650" s="42" t="s">
        <v>57</v>
      </c>
      <c r="W650" s="32">
        <v>2050</v>
      </c>
      <c r="X650" s="43" t="str">
        <f t="shared" si="85"/>
        <v>*0.52</v>
      </c>
      <c r="AC650" s="33" t="s">
        <v>719</v>
      </c>
      <c r="AD650" s="44" t="s">
        <v>57</v>
      </c>
      <c r="AE650" s="33">
        <v>2035</v>
      </c>
      <c r="AF650" s="45" t="str">
        <f t="shared" si="86"/>
        <v>*0.55</v>
      </c>
      <c r="AG650" s="43" t="str">
        <f t="shared" si="88"/>
        <v>REZoning_Sol-Win</v>
      </c>
      <c r="AI650" s="33" t="s">
        <v>719</v>
      </c>
      <c r="AJ650" s="44" t="s">
        <v>57</v>
      </c>
      <c r="AK650" s="33">
        <v>2050</v>
      </c>
      <c r="AL650" s="45" t="str">
        <f t="shared" si="87"/>
        <v>*0.41</v>
      </c>
      <c r="AM650" s="43" t="str">
        <f t="shared" si="89"/>
        <v>REZoning_Sol-Win</v>
      </c>
      <c r="AP650" t="s">
        <v>719</v>
      </c>
      <c r="AQ650" t="s">
        <v>57</v>
      </c>
      <c r="AR650">
        <v>2100</v>
      </c>
      <c r="AS650" t="s">
        <v>67</v>
      </c>
      <c r="AT650" t="s">
        <v>58</v>
      </c>
    </row>
    <row r="651" ht="29" spans="1:46">
      <c r="A651" s="31" t="s">
        <v>95</v>
      </c>
      <c r="C651" t="s">
        <v>720</v>
      </c>
      <c r="D651" s="5" t="s">
        <v>57</v>
      </c>
      <c r="E651">
        <v>2035</v>
      </c>
      <c r="F651" s="6" t="str">
        <f t="shared" si="82"/>
        <v>*0.65</v>
      </c>
      <c r="H651" t="s">
        <v>720</v>
      </c>
      <c r="I651" s="5" t="s">
        <v>57</v>
      </c>
      <c r="J651">
        <v>2050</v>
      </c>
      <c r="K651" s="38" t="str">
        <f t="shared" si="83"/>
        <v>*0.54</v>
      </c>
      <c r="P651" s="32" t="s">
        <v>720</v>
      </c>
      <c r="Q651" s="42" t="s">
        <v>57</v>
      </c>
      <c r="R651" s="32">
        <v>2035</v>
      </c>
      <c r="S651" s="43" t="str">
        <f t="shared" si="84"/>
        <v>*0.63</v>
      </c>
      <c r="U651" s="32" t="s">
        <v>720</v>
      </c>
      <c r="V651" s="42" t="s">
        <v>57</v>
      </c>
      <c r="W651" s="32">
        <v>2050</v>
      </c>
      <c r="X651" s="43" t="str">
        <f t="shared" si="85"/>
        <v>*0.52</v>
      </c>
      <c r="AC651" s="33" t="s">
        <v>720</v>
      </c>
      <c r="AD651" s="44" t="s">
        <v>57</v>
      </c>
      <c r="AE651" s="33">
        <v>2035</v>
      </c>
      <c r="AF651" s="45" t="str">
        <f t="shared" si="86"/>
        <v>*0.55</v>
      </c>
      <c r="AG651" s="43" t="str">
        <f t="shared" si="88"/>
        <v>REZoning_Sol-Win</v>
      </c>
      <c r="AI651" s="33" t="s">
        <v>720</v>
      </c>
      <c r="AJ651" s="44" t="s">
        <v>57</v>
      </c>
      <c r="AK651" s="33">
        <v>2050</v>
      </c>
      <c r="AL651" s="45" t="str">
        <f t="shared" si="87"/>
        <v>*0.41</v>
      </c>
      <c r="AM651" s="43" t="str">
        <f t="shared" si="89"/>
        <v>REZoning_Sol-Win</v>
      </c>
      <c r="AP651" t="s">
        <v>720</v>
      </c>
      <c r="AQ651" t="s">
        <v>57</v>
      </c>
      <c r="AR651">
        <v>2100</v>
      </c>
      <c r="AS651" t="s">
        <v>67</v>
      </c>
      <c r="AT651" t="s">
        <v>58</v>
      </c>
    </row>
    <row r="652" ht="29" spans="1:46">
      <c r="A652" s="31" t="s">
        <v>95</v>
      </c>
      <c r="C652" t="s">
        <v>721</v>
      </c>
      <c r="D652" s="5" t="s">
        <v>57</v>
      </c>
      <c r="E652">
        <v>2035</v>
      </c>
      <c r="F652" s="6" t="str">
        <f t="shared" si="82"/>
        <v>*0.65</v>
      </c>
      <c r="H652" t="s">
        <v>721</v>
      </c>
      <c r="I652" s="5" t="s">
        <v>57</v>
      </c>
      <c r="J652">
        <v>2050</v>
      </c>
      <c r="K652" s="38" t="str">
        <f t="shared" si="83"/>
        <v>*0.54</v>
      </c>
      <c r="P652" s="32" t="s">
        <v>721</v>
      </c>
      <c r="Q652" s="42" t="s">
        <v>57</v>
      </c>
      <c r="R652" s="32">
        <v>2035</v>
      </c>
      <c r="S652" s="43" t="str">
        <f t="shared" si="84"/>
        <v>*0.63</v>
      </c>
      <c r="U652" s="32" t="s">
        <v>721</v>
      </c>
      <c r="V652" s="42" t="s">
        <v>57</v>
      </c>
      <c r="W652" s="32">
        <v>2050</v>
      </c>
      <c r="X652" s="43" t="str">
        <f t="shared" si="85"/>
        <v>*0.52</v>
      </c>
      <c r="AC652" s="33" t="s">
        <v>721</v>
      </c>
      <c r="AD652" s="44" t="s">
        <v>57</v>
      </c>
      <c r="AE652" s="33">
        <v>2035</v>
      </c>
      <c r="AF652" s="45" t="str">
        <f t="shared" si="86"/>
        <v>*0.55</v>
      </c>
      <c r="AG652" s="43" t="str">
        <f t="shared" si="88"/>
        <v>REZoning_Sol-Win</v>
      </c>
      <c r="AI652" s="33" t="s">
        <v>721</v>
      </c>
      <c r="AJ652" s="44" t="s">
        <v>57</v>
      </c>
      <c r="AK652" s="33">
        <v>2050</v>
      </c>
      <c r="AL652" s="45" t="str">
        <f t="shared" si="87"/>
        <v>*0.41</v>
      </c>
      <c r="AM652" s="43" t="str">
        <f t="shared" si="89"/>
        <v>REZoning_Sol-Win</v>
      </c>
      <c r="AP652" t="s">
        <v>721</v>
      </c>
      <c r="AQ652" t="s">
        <v>57</v>
      </c>
      <c r="AR652">
        <v>2100</v>
      </c>
      <c r="AS652" t="s">
        <v>67</v>
      </c>
      <c r="AT652" t="s">
        <v>58</v>
      </c>
    </row>
    <row r="653" ht="29" spans="1:46">
      <c r="A653" s="31" t="s">
        <v>95</v>
      </c>
      <c r="C653" t="s">
        <v>722</v>
      </c>
      <c r="D653" s="5" t="s">
        <v>57</v>
      </c>
      <c r="E653">
        <v>2035</v>
      </c>
      <c r="F653" s="6" t="str">
        <f t="shared" si="82"/>
        <v>*0.65</v>
      </c>
      <c r="H653" t="s">
        <v>722</v>
      </c>
      <c r="I653" s="5" t="s">
        <v>57</v>
      </c>
      <c r="J653">
        <v>2050</v>
      </c>
      <c r="K653" s="38" t="str">
        <f t="shared" si="83"/>
        <v>*0.54</v>
      </c>
      <c r="P653" s="32" t="s">
        <v>722</v>
      </c>
      <c r="Q653" s="42" t="s">
        <v>57</v>
      </c>
      <c r="R653" s="32">
        <v>2035</v>
      </c>
      <c r="S653" s="43" t="str">
        <f t="shared" si="84"/>
        <v>*0.63</v>
      </c>
      <c r="U653" s="32" t="s">
        <v>722</v>
      </c>
      <c r="V653" s="42" t="s">
        <v>57</v>
      </c>
      <c r="W653" s="32">
        <v>2050</v>
      </c>
      <c r="X653" s="43" t="str">
        <f t="shared" si="85"/>
        <v>*0.52</v>
      </c>
      <c r="AC653" s="33" t="s">
        <v>722</v>
      </c>
      <c r="AD653" s="44" t="s">
        <v>57</v>
      </c>
      <c r="AE653" s="33">
        <v>2035</v>
      </c>
      <c r="AF653" s="45" t="str">
        <f t="shared" si="86"/>
        <v>*0.55</v>
      </c>
      <c r="AG653" s="43" t="str">
        <f t="shared" si="88"/>
        <v>REZoning_Sol-Win</v>
      </c>
      <c r="AI653" s="33" t="s">
        <v>722</v>
      </c>
      <c r="AJ653" s="44" t="s">
        <v>57</v>
      </c>
      <c r="AK653" s="33">
        <v>2050</v>
      </c>
      <c r="AL653" s="45" t="str">
        <f t="shared" si="87"/>
        <v>*0.41</v>
      </c>
      <c r="AM653" s="43" t="str">
        <f t="shared" si="89"/>
        <v>REZoning_Sol-Win</v>
      </c>
      <c r="AP653" t="s">
        <v>722</v>
      </c>
      <c r="AQ653" t="s">
        <v>57</v>
      </c>
      <c r="AR653">
        <v>2100</v>
      </c>
      <c r="AS653" t="s">
        <v>67</v>
      </c>
      <c r="AT653" t="s">
        <v>58</v>
      </c>
    </row>
    <row r="654" ht="29" spans="1:46">
      <c r="A654" s="31" t="s">
        <v>65</v>
      </c>
      <c r="C654" t="s">
        <v>723</v>
      </c>
      <c r="D654" s="5" t="s">
        <v>57</v>
      </c>
      <c r="E654">
        <v>2035</v>
      </c>
      <c r="F654" s="6" t="str">
        <f t="shared" si="82"/>
        <v>*0.61</v>
      </c>
      <c r="H654" t="s">
        <v>723</v>
      </c>
      <c r="I654" s="5" t="s">
        <v>57</v>
      </c>
      <c r="J654">
        <v>2050</v>
      </c>
      <c r="K654" s="38" t="str">
        <f t="shared" si="83"/>
        <v>*0.5</v>
      </c>
      <c r="P654" s="32" t="s">
        <v>723</v>
      </c>
      <c r="Q654" s="42" t="s">
        <v>57</v>
      </c>
      <c r="R654" s="32">
        <v>2035</v>
      </c>
      <c r="S654" s="43" t="str">
        <f t="shared" si="84"/>
        <v>*0.58</v>
      </c>
      <c r="U654" s="32" t="s">
        <v>723</v>
      </c>
      <c r="V654" s="42" t="s">
        <v>57</v>
      </c>
      <c r="W654" s="32">
        <v>2050</v>
      </c>
      <c r="X654" s="43" t="str">
        <f t="shared" si="85"/>
        <v>*0.47</v>
      </c>
      <c r="AC654" s="33" t="s">
        <v>723</v>
      </c>
      <c r="AD654" s="44" t="s">
        <v>57</v>
      </c>
      <c r="AE654" s="33">
        <v>2035</v>
      </c>
      <c r="AF654" s="45" t="str">
        <f t="shared" si="86"/>
        <v>*0.53</v>
      </c>
      <c r="AG654" s="43" t="str">
        <f t="shared" si="88"/>
        <v>REZoning_Sol-Win</v>
      </c>
      <c r="AI654" s="33" t="s">
        <v>723</v>
      </c>
      <c r="AJ654" s="44" t="s">
        <v>57</v>
      </c>
      <c r="AK654" s="33">
        <v>2050</v>
      </c>
      <c r="AL654" s="45" t="str">
        <f t="shared" si="87"/>
        <v>*0.41</v>
      </c>
      <c r="AM654" s="43" t="str">
        <f t="shared" si="89"/>
        <v>REZoning_Sol-Win</v>
      </c>
      <c r="AP654" t="s">
        <v>723</v>
      </c>
      <c r="AQ654" t="s">
        <v>57</v>
      </c>
      <c r="AR654">
        <v>2100</v>
      </c>
      <c r="AS654" t="s">
        <v>67</v>
      </c>
      <c r="AT654" t="s">
        <v>58</v>
      </c>
    </row>
    <row r="655" ht="29" spans="1:46">
      <c r="A655" s="31" t="s">
        <v>65</v>
      </c>
      <c r="C655" t="s">
        <v>724</v>
      </c>
      <c r="D655" s="5" t="s">
        <v>57</v>
      </c>
      <c r="E655">
        <v>2035</v>
      </c>
      <c r="F655" s="6" t="str">
        <f t="shared" si="82"/>
        <v>*0.61</v>
      </c>
      <c r="H655" t="s">
        <v>724</v>
      </c>
      <c r="I655" s="5" t="s">
        <v>57</v>
      </c>
      <c r="J655">
        <v>2050</v>
      </c>
      <c r="K655" s="38" t="str">
        <f t="shared" si="83"/>
        <v>*0.5</v>
      </c>
      <c r="P655" s="32" t="s">
        <v>724</v>
      </c>
      <c r="Q655" s="42" t="s">
        <v>57</v>
      </c>
      <c r="R655" s="32">
        <v>2035</v>
      </c>
      <c r="S655" s="43" t="str">
        <f t="shared" si="84"/>
        <v>*0.58</v>
      </c>
      <c r="U655" s="32" t="s">
        <v>724</v>
      </c>
      <c r="V655" s="42" t="s">
        <v>57</v>
      </c>
      <c r="W655" s="32">
        <v>2050</v>
      </c>
      <c r="X655" s="43" t="str">
        <f t="shared" si="85"/>
        <v>*0.47</v>
      </c>
      <c r="AC655" s="33" t="s">
        <v>724</v>
      </c>
      <c r="AD655" s="44" t="s">
        <v>57</v>
      </c>
      <c r="AE655" s="33">
        <v>2035</v>
      </c>
      <c r="AF655" s="45" t="str">
        <f t="shared" si="86"/>
        <v>*0.53</v>
      </c>
      <c r="AG655" s="43" t="str">
        <f t="shared" si="88"/>
        <v>REZoning_Sol-Win</v>
      </c>
      <c r="AI655" s="33" t="s">
        <v>724</v>
      </c>
      <c r="AJ655" s="44" t="s">
        <v>57</v>
      </c>
      <c r="AK655" s="33">
        <v>2050</v>
      </c>
      <c r="AL655" s="45" t="str">
        <f t="shared" si="87"/>
        <v>*0.41</v>
      </c>
      <c r="AM655" s="43" t="str">
        <f t="shared" si="89"/>
        <v>REZoning_Sol-Win</v>
      </c>
      <c r="AP655" t="s">
        <v>724</v>
      </c>
      <c r="AQ655" t="s">
        <v>57</v>
      </c>
      <c r="AR655">
        <v>2100</v>
      </c>
      <c r="AS655" t="s">
        <v>67</v>
      </c>
      <c r="AT655" t="s">
        <v>58</v>
      </c>
    </row>
    <row r="656" ht="29" spans="1:46">
      <c r="A656" s="31" t="s">
        <v>65</v>
      </c>
      <c r="C656" t="s">
        <v>725</v>
      </c>
      <c r="D656" s="5" t="s">
        <v>57</v>
      </c>
      <c r="E656">
        <v>2035</v>
      </c>
      <c r="F656" s="6" t="str">
        <f t="shared" si="82"/>
        <v>*0.61</v>
      </c>
      <c r="H656" t="s">
        <v>725</v>
      </c>
      <c r="I656" s="5" t="s">
        <v>57</v>
      </c>
      <c r="J656">
        <v>2050</v>
      </c>
      <c r="K656" s="38" t="str">
        <f t="shared" si="83"/>
        <v>*0.5</v>
      </c>
      <c r="P656" s="32" t="s">
        <v>725</v>
      </c>
      <c r="Q656" s="42" t="s">
        <v>57</v>
      </c>
      <c r="R656" s="32">
        <v>2035</v>
      </c>
      <c r="S656" s="43" t="str">
        <f t="shared" si="84"/>
        <v>*0.58</v>
      </c>
      <c r="U656" s="32" t="s">
        <v>725</v>
      </c>
      <c r="V656" s="42" t="s">
        <v>57</v>
      </c>
      <c r="W656" s="32">
        <v>2050</v>
      </c>
      <c r="X656" s="43" t="str">
        <f t="shared" si="85"/>
        <v>*0.47</v>
      </c>
      <c r="AC656" s="33" t="s">
        <v>725</v>
      </c>
      <c r="AD656" s="44" t="s">
        <v>57</v>
      </c>
      <c r="AE656" s="33">
        <v>2035</v>
      </c>
      <c r="AF656" s="45" t="str">
        <f t="shared" si="86"/>
        <v>*0.53</v>
      </c>
      <c r="AG656" s="43" t="str">
        <f t="shared" si="88"/>
        <v>REZoning_Sol-Win</v>
      </c>
      <c r="AI656" s="33" t="s">
        <v>725</v>
      </c>
      <c r="AJ656" s="44" t="s">
        <v>57</v>
      </c>
      <c r="AK656" s="33">
        <v>2050</v>
      </c>
      <c r="AL656" s="45" t="str">
        <f t="shared" si="87"/>
        <v>*0.41</v>
      </c>
      <c r="AM656" s="43" t="str">
        <f t="shared" si="89"/>
        <v>REZoning_Sol-Win</v>
      </c>
      <c r="AP656" t="s">
        <v>725</v>
      </c>
      <c r="AQ656" t="s">
        <v>57</v>
      </c>
      <c r="AR656">
        <v>2100</v>
      </c>
      <c r="AS656" t="s">
        <v>67</v>
      </c>
      <c r="AT656" t="s">
        <v>58</v>
      </c>
    </row>
    <row r="657" ht="29" spans="1:46">
      <c r="A657" s="31" t="s">
        <v>65</v>
      </c>
      <c r="C657" t="s">
        <v>726</v>
      </c>
      <c r="D657" s="5" t="s">
        <v>57</v>
      </c>
      <c r="E657">
        <v>2035</v>
      </c>
      <c r="F657" s="6" t="str">
        <f t="shared" si="82"/>
        <v>*0.61</v>
      </c>
      <c r="H657" t="s">
        <v>726</v>
      </c>
      <c r="I657" s="5" t="s">
        <v>57</v>
      </c>
      <c r="J657">
        <v>2050</v>
      </c>
      <c r="K657" s="38" t="str">
        <f t="shared" si="83"/>
        <v>*0.5</v>
      </c>
      <c r="P657" s="32" t="s">
        <v>726</v>
      </c>
      <c r="Q657" s="42" t="s">
        <v>57</v>
      </c>
      <c r="R657" s="32">
        <v>2035</v>
      </c>
      <c r="S657" s="43" t="str">
        <f t="shared" si="84"/>
        <v>*0.58</v>
      </c>
      <c r="U657" s="32" t="s">
        <v>726</v>
      </c>
      <c r="V657" s="42" t="s">
        <v>57</v>
      </c>
      <c r="W657" s="32">
        <v>2050</v>
      </c>
      <c r="X657" s="43" t="str">
        <f t="shared" si="85"/>
        <v>*0.47</v>
      </c>
      <c r="AC657" s="33" t="s">
        <v>726</v>
      </c>
      <c r="AD657" s="44" t="s">
        <v>57</v>
      </c>
      <c r="AE657" s="33">
        <v>2035</v>
      </c>
      <c r="AF657" s="45" t="str">
        <f t="shared" si="86"/>
        <v>*0.53</v>
      </c>
      <c r="AG657" s="43" t="str">
        <f t="shared" si="88"/>
        <v>REZoning_Sol-Win</v>
      </c>
      <c r="AI657" s="33" t="s">
        <v>726</v>
      </c>
      <c r="AJ657" s="44" t="s">
        <v>57</v>
      </c>
      <c r="AK657" s="33">
        <v>2050</v>
      </c>
      <c r="AL657" s="45" t="str">
        <f t="shared" si="87"/>
        <v>*0.41</v>
      </c>
      <c r="AM657" s="43" t="str">
        <f t="shared" si="89"/>
        <v>REZoning_Sol-Win</v>
      </c>
      <c r="AP657" t="s">
        <v>726</v>
      </c>
      <c r="AQ657" t="s">
        <v>57</v>
      </c>
      <c r="AR657">
        <v>2100</v>
      </c>
      <c r="AS657" t="s">
        <v>67</v>
      </c>
      <c r="AT657" t="s">
        <v>58</v>
      </c>
    </row>
    <row r="658" ht="29" spans="1:46">
      <c r="A658" s="31" t="s">
        <v>79</v>
      </c>
      <c r="C658" t="s">
        <v>727</v>
      </c>
      <c r="D658" s="5" t="s">
        <v>57</v>
      </c>
      <c r="E658">
        <v>2035</v>
      </c>
      <c r="F658" s="6" t="str">
        <f t="shared" si="82"/>
        <v>*0.6</v>
      </c>
      <c r="H658" t="s">
        <v>727</v>
      </c>
      <c r="I658" s="5" t="s">
        <v>57</v>
      </c>
      <c r="J658">
        <v>2050</v>
      </c>
      <c r="K658" s="38" t="str">
        <f t="shared" si="83"/>
        <v>*0.5</v>
      </c>
      <c r="P658" s="32" t="s">
        <v>727</v>
      </c>
      <c r="Q658" s="42" t="s">
        <v>57</v>
      </c>
      <c r="R658" s="32">
        <v>2035</v>
      </c>
      <c r="S658" s="43" t="str">
        <f t="shared" si="84"/>
        <v>*0.59</v>
      </c>
      <c r="U658" s="32" t="s">
        <v>727</v>
      </c>
      <c r="V658" s="42" t="s">
        <v>57</v>
      </c>
      <c r="W658" s="32">
        <v>2050</v>
      </c>
      <c r="X658" s="43" t="str">
        <f t="shared" si="85"/>
        <v>*0.47</v>
      </c>
      <c r="AC658" s="33" t="s">
        <v>727</v>
      </c>
      <c r="AD658" s="44" t="s">
        <v>57</v>
      </c>
      <c r="AE658" s="33">
        <v>2035</v>
      </c>
      <c r="AF658" s="45" t="str">
        <f t="shared" si="86"/>
        <v>*0.53</v>
      </c>
      <c r="AG658" s="43" t="str">
        <f t="shared" si="88"/>
        <v>REZoning_Sol-Win</v>
      </c>
      <c r="AI658" s="33" t="s">
        <v>727</v>
      </c>
      <c r="AJ658" s="44" t="s">
        <v>57</v>
      </c>
      <c r="AK658" s="33">
        <v>2050</v>
      </c>
      <c r="AL658" s="45" t="str">
        <f t="shared" si="87"/>
        <v>*0.41</v>
      </c>
      <c r="AM658" s="43" t="str">
        <f t="shared" si="89"/>
        <v>REZoning_Sol-Win</v>
      </c>
      <c r="AP658" t="s">
        <v>727</v>
      </c>
      <c r="AQ658" t="s">
        <v>57</v>
      </c>
      <c r="AR658">
        <v>2100</v>
      </c>
      <c r="AS658" t="s">
        <v>67</v>
      </c>
      <c r="AT658" t="s">
        <v>58</v>
      </c>
    </row>
    <row r="659" ht="29" spans="1:46">
      <c r="A659" s="31" t="s">
        <v>79</v>
      </c>
      <c r="C659" t="s">
        <v>728</v>
      </c>
      <c r="D659" s="5" t="s">
        <v>57</v>
      </c>
      <c r="E659">
        <v>2035</v>
      </c>
      <c r="F659" s="6" t="str">
        <f t="shared" si="82"/>
        <v>*0.6</v>
      </c>
      <c r="H659" t="s">
        <v>728</v>
      </c>
      <c r="I659" s="5" t="s">
        <v>57</v>
      </c>
      <c r="J659">
        <v>2050</v>
      </c>
      <c r="K659" s="38" t="str">
        <f t="shared" si="83"/>
        <v>*0.5</v>
      </c>
      <c r="P659" s="32" t="s">
        <v>728</v>
      </c>
      <c r="Q659" s="42" t="s">
        <v>57</v>
      </c>
      <c r="R659" s="32">
        <v>2035</v>
      </c>
      <c r="S659" s="43" t="str">
        <f t="shared" si="84"/>
        <v>*0.59</v>
      </c>
      <c r="U659" s="32" t="s">
        <v>728</v>
      </c>
      <c r="V659" s="42" t="s">
        <v>57</v>
      </c>
      <c r="W659" s="32">
        <v>2050</v>
      </c>
      <c r="X659" s="43" t="str">
        <f t="shared" si="85"/>
        <v>*0.47</v>
      </c>
      <c r="AC659" s="33" t="s">
        <v>728</v>
      </c>
      <c r="AD659" s="44" t="s">
        <v>57</v>
      </c>
      <c r="AE659" s="33">
        <v>2035</v>
      </c>
      <c r="AF659" s="45" t="str">
        <f t="shared" si="86"/>
        <v>*0.53</v>
      </c>
      <c r="AG659" s="43" t="str">
        <f t="shared" si="88"/>
        <v>REZoning_Sol-Win</v>
      </c>
      <c r="AI659" s="33" t="s">
        <v>728</v>
      </c>
      <c r="AJ659" s="44" t="s">
        <v>57</v>
      </c>
      <c r="AK659" s="33">
        <v>2050</v>
      </c>
      <c r="AL659" s="45" t="str">
        <f t="shared" si="87"/>
        <v>*0.41</v>
      </c>
      <c r="AM659" s="43" t="str">
        <f t="shared" si="89"/>
        <v>REZoning_Sol-Win</v>
      </c>
      <c r="AP659" t="s">
        <v>728</v>
      </c>
      <c r="AQ659" t="s">
        <v>57</v>
      </c>
      <c r="AR659">
        <v>2100</v>
      </c>
      <c r="AS659" t="s">
        <v>67</v>
      </c>
      <c r="AT659" t="s">
        <v>58</v>
      </c>
    </row>
    <row r="660" ht="29" spans="1:46">
      <c r="A660" s="31" t="s">
        <v>79</v>
      </c>
      <c r="C660" t="s">
        <v>729</v>
      </c>
      <c r="D660" s="5" t="s">
        <v>57</v>
      </c>
      <c r="E660">
        <v>2035</v>
      </c>
      <c r="F660" s="6" t="str">
        <f t="shared" si="82"/>
        <v>*0.6</v>
      </c>
      <c r="H660" t="s">
        <v>729</v>
      </c>
      <c r="I660" s="5" t="s">
        <v>57</v>
      </c>
      <c r="J660">
        <v>2050</v>
      </c>
      <c r="K660" s="38" t="str">
        <f t="shared" si="83"/>
        <v>*0.5</v>
      </c>
      <c r="P660" s="32" t="s">
        <v>729</v>
      </c>
      <c r="Q660" s="42" t="s">
        <v>57</v>
      </c>
      <c r="R660" s="32">
        <v>2035</v>
      </c>
      <c r="S660" s="43" t="str">
        <f t="shared" si="84"/>
        <v>*0.59</v>
      </c>
      <c r="U660" s="32" t="s">
        <v>729</v>
      </c>
      <c r="V660" s="42" t="s">
        <v>57</v>
      </c>
      <c r="W660" s="32">
        <v>2050</v>
      </c>
      <c r="X660" s="43" t="str">
        <f t="shared" si="85"/>
        <v>*0.47</v>
      </c>
      <c r="AC660" s="33" t="s">
        <v>729</v>
      </c>
      <c r="AD660" s="44" t="s">
        <v>57</v>
      </c>
      <c r="AE660" s="33">
        <v>2035</v>
      </c>
      <c r="AF660" s="45" t="str">
        <f t="shared" si="86"/>
        <v>*0.53</v>
      </c>
      <c r="AG660" s="43" t="str">
        <f t="shared" si="88"/>
        <v>REZoning_Sol-Win</v>
      </c>
      <c r="AI660" s="33" t="s">
        <v>729</v>
      </c>
      <c r="AJ660" s="44" t="s">
        <v>57</v>
      </c>
      <c r="AK660" s="33">
        <v>2050</v>
      </c>
      <c r="AL660" s="45" t="str">
        <f t="shared" si="87"/>
        <v>*0.41</v>
      </c>
      <c r="AM660" s="43" t="str">
        <f t="shared" si="89"/>
        <v>REZoning_Sol-Win</v>
      </c>
      <c r="AP660" t="s">
        <v>729</v>
      </c>
      <c r="AQ660" t="s">
        <v>57</v>
      </c>
      <c r="AR660">
        <v>2100</v>
      </c>
      <c r="AS660" t="s">
        <v>67</v>
      </c>
      <c r="AT660" t="s">
        <v>58</v>
      </c>
    </row>
    <row r="661" ht="29" spans="1:46">
      <c r="A661" s="31" t="s">
        <v>79</v>
      </c>
      <c r="C661" t="s">
        <v>730</v>
      </c>
      <c r="D661" s="5" t="s">
        <v>57</v>
      </c>
      <c r="E661">
        <v>2035</v>
      </c>
      <c r="F661" s="6" t="str">
        <f t="shared" si="82"/>
        <v>*0.6</v>
      </c>
      <c r="H661" t="s">
        <v>730</v>
      </c>
      <c r="I661" s="5" t="s">
        <v>57</v>
      </c>
      <c r="J661">
        <v>2050</v>
      </c>
      <c r="K661" s="38" t="str">
        <f t="shared" si="83"/>
        <v>*0.5</v>
      </c>
      <c r="P661" s="32" t="s">
        <v>730</v>
      </c>
      <c r="Q661" s="42" t="s">
        <v>57</v>
      </c>
      <c r="R661" s="32">
        <v>2035</v>
      </c>
      <c r="S661" s="43" t="str">
        <f t="shared" si="84"/>
        <v>*0.59</v>
      </c>
      <c r="U661" s="32" t="s">
        <v>730</v>
      </c>
      <c r="V661" s="42" t="s">
        <v>57</v>
      </c>
      <c r="W661" s="32">
        <v>2050</v>
      </c>
      <c r="X661" s="43" t="str">
        <f t="shared" si="85"/>
        <v>*0.47</v>
      </c>
      <c r="AC661" s="33" t="s">
        <v>730</v>
      </c>
      <c r="AD661" s="44" t="s">
        <v>57</v>
      </c>
      <c r="AE661" s="33">
        <v>2035</v>
      </c>
      <c r="AF661" s="45" t="str">
        <f t="shared" si="86"/>
        <v>*0.53</v>
      </c>
      <c r="AG661" s="43" t="str">
        <f t="shared" si="88"/>
        <v>REZoning_Sol-Win</v>
      </c>
      <c r="AI661" s="33" t="s">
        <v>730</v>
      </c>
      <c r="AJ661" s="44" t="s">
        <v>57</v>
      </c>
      <c r="AK661" s="33">
        <v>2050</v>
      </c>
      <c r="AL661" s="45" t="str">
        <f t="shared" si="87"/>
        <v>*0.41</v>
      </c>
      <c r="AM661" s="43" t="str">
        <f t="shared" si="89"/>
        <v>REZoning_Sol-Win</v>
      </c>
      <c r="AP661" t="s">
        <v>730</v>
      </c>
      <c r="AQ661" t="s">
        <v>57</v>
      </c>
      <c r="AR661">
        <v>2100</v>
      </c>
      <c r="AS661" t="s">
        <v>67</v>
      </c>
      <c r="AT661" t="s">
        <v>58</v>
      </c>
    </row>
    <row r="662" ht="29" spans="1:46">
      <c r="A662" s="31" t="s">
        <v>79</v>
      </c>
      <c r="C662" t="s">
        <v>731</v>
      </c>
      <c r="D662" s="5" t="s">
        <v>57</v>
      </c>
      <c r="E662">
        <v>2035</v>
      </c>
      <c r="F662" s="6" t="str">
        <f t="shared" si="82"/>
        <v>*0.6</v>
      </c>
      <c r="H662" t="s">
        <v>731</v>
      </c>
      <c r="I662" s="5" t="s">
        <v>57</v>
      </c>
      <c r="J662">
        <v>2050</v>
      </c>
      <c r="K662" s="38" t="str">
        <f t="shared" si="83"/>
        <v>*0.5</v>
      </c>
      <c r="P662" s="32" t="s">
        <v>731</v>
      </c>
      <c r="Q662" s="42" t="s">
        <v>57</v>
      </c>
      <c r="R662" s="32">
        <v>2035</v>
      </c>
      <c r="S662" s="43" t="str">
        <f t="shared" si="84"/>
        <v>*0.59</v>
      </c>
      <c r="U662" s="32" t="s">
        <v>731</v>
      </c>
      <c r="V662" s="42" t="s">
        <v>57</v>
      </c>
      <c r="W662" s="32">
        <v>2050</v>
      </c>
      <c r="X662" s="43" t="str">
        <f t="shared" si="85"/>
        <v>*0.47</v>
      </c>
      <c r="AC662" s="33" t="s">
        <v>731</v>
      </c>
      <c r="AD662" s="44" t="s">
        <v>57</v>
      </c>
      <c r="AE662" s="33">
        <v>2035</v>
      </c>
      <c r="AF662" s="45" t="str">
        <f t="shared" si="86"/>
        <v>*0.53</v>
      </c>
      <c r="AG662" s="43" t="str">
        <f t="shared" si="88"/>
        <v>REZoning_Sol-Win</v>
      </c>
      <c r="AI662" s="33" t="s">
        <v>731</v>
      </c>
      <c r="AJ662" s="44" t="s">
        <v>57</v>
      </c>
      <c r="AK662" s="33">
        <v>2050</v>
      </c>
      <c r="AL662" s="45" t="str">
        <f t="shared" si="87"/>
        <v>*0.41</v>
      </c>
      <c r="AM662" s="43" t="str">
        <f t="shared" si="89"/>
        <v>REZoning_Sol-Win</v>
      </c>
      <c r="AP662" t="s">
        <v>731</v>
      </c>
      <c r="AQ662" t="s">
        <v>57</v>
      </c>
      <c r="AR662">
        <v>2100</v>
      </c>
      <c r="AS662" t="s">
        <v>67</v>
      </c>
      <c r="AT662" t="s">
        <v>58</v>
      </c>
    </row>
    <row r="663" ht="29" spans="1:46">
      <c r="A663" s="31" t="s">
        <v>65</v>
      </c>
      <c r="C663" t="s">
        <v>732</v>
      </c>
      <c r="D663" s="5" t="s">
        <v>57</v>
      </c>
      <c r="E663">
        <v>2035</v>
      </c>
      <c r="F663" s="6" t="str">
        <f t="shared" si="82"/>
        <v>*0.61</v>
      </c>
      <c r="H663" t="s">
        <v>732</v>
      </c>
      <c r="I663" s="5" t="s">
        <v>57</v>
      </c>
      <c r="J663">
        <v>2050</v>
      </c>
      <c r="K663" s="38" t="str">
        <f t="shared" si="83"/>
        <v>*0.5</v>
      </c>
      <c r="P663" s="32" t="s">
        <v>732</v>
      </c>
      <c r="Q663" s="42" t="s">
        <v>57</v>
      </c>
      <c r="R663" s="32">
        <v>2035</v>
      </c>
      <c r="S663" s="43" t="str">
        <f t="shared" si="84"/>
        <v>*0.58</v>
      </c>
      <c r="U663" s="32" t="s">
        <v>732</v>
      </c>
      <c r="V663" s="42" t="s">
        <v>57</v>
      </c>
      <c r="W663" s="32">
        <v>2050</v>
      </c>
      <c r="X663" s="43" t="str">
        <f t="shared" si="85"/>
        <v>*0.47</v>
      </c>
      <c r="AC663" s="33" t="s">
        <v>732</v>
      </c>
      <c r="AD663" s="44" t="s">
        <v>57</v>
      </c>
      <c r="AE663" s="33">
        <v>2035</v>
      </c>
      <c r="AF663" s="45" t="str">
        <f t="shared" si="86"/>
        <v>*0.53</v>
      </c>
      <c r="AG663" s="43" t="str">
        <f t="shared" si="88"/>
        <v>REZoning_Sol-Win</v>
      </c>
      <c r="AI663" s="33" t="s">
        <v>732</v>
      </c>
      <c r="AJ663" s="44" t="s">
        <v>57</v>
      </c>
      <c r="AK663" s="33">
        <v>2050</v>
      </c>
      <c r="AL663" s="45" t="str">
        <f t="shared" si="87"/>
        <v>*0.41</v>
      </c>
      <c r="AM663" s="43" t="str">
        <f t="shared" si="89"/>
        <v>REZoning_Sol-Win</v>
      </c>
      <c r="AP663" t="s">
        <v>732</v>
      </c>
      <c r="AQ663" t="s">
        <v>57</v>
      </c>
      <c r="AR663">
        <v>2100</v>
      </c>
      <c r="AS663" t="s">
        <v>67</v>
      </c>
      <c r="AT663" t="s">
        <v>58</v>
      </c>
    </row>
    <row r="664" ht="29" spans="1:46">
      <c r="A664" s="31" t="s">
        <v>65</v>
      </c>
      <c r="C664" t="s">
        <v>733</v>
      </c>
      <c r="D664" s="5" t="s">
        <v>57</v>
      </c>
      <c r="E664">
        <v>2035</v>
      </c>
      <c r="F664" s="6" t="str">
        <f t="shared" si="82"/>
        <v>*0.61</v>
      </c>
      <c r="H664" t="s">
        <v>733</v>
      </c>
      <c r="I664" s="5" t="s">
        <v>57</v>
      </c>
      <c r="J664">
        <v>2050</v>
      </c>
      <c r="K664" s="38" t="str">
        <f t="shared" si="83"/>
        <v>*0.5</v>
      </c>
      <c r="P664" s="32" t="s">
        <v>733</v>
      </c>
      <c r="Q664" s="42" t="s">
        <v>57</v>
      </c>
      <c r="R664" s="32">
        <v>2035</v>
      </c>
      <c r="S664" s="43" t="str">
        <f t="shared" si="84"/>
        <v>*0.58</v>
      </c>
      <c r="U664" s="32" t="s">
        <v>733</v>
      </c>
      <c r="V664" s="42" t="s">
        <v>57</v>
      </c>
      <c r="W664" s="32">
        <v>2050</v>
      </c>
      <c r="X664" s="43" t="str">
        <f t="shared" si="85"/>
        <v>*0.47</v>
      </c>
      <c r="AC664" s="33" t="s">
        <v>733</v>
      </c>
      <c r="AD664" s="44" t="s">
        <v>57</v>
      </c>
      <c r="AE664" s="33">
        <v>2035</v>
      </c>
      <c r="AF664" s="45" t="str">
        <f t="shared" si="86"/>
        <v>*0.53</v>
      </c>
      <c r="AG664" s="43" t="str">
        <f t="shared" si="88"/>
        <v>REZoning_Sol-Win</v>
      </c>
      <c r="AI664" s="33" t="s">
        <v>733</v>
      </c>
      <c r="AJ664" s="44" t="s">
        <v>57</v>
      </c>
      <c r="AK664" s="33">
        <v>2050</v>
      </c>
      <c r="AL664" s="45" t="str">
        <f t="shared" si="87"/>
        <v>*0.41</v>
      </c>
      <c r="AM664" s="43" t="str">
        <f t="shared" si="89"/>
        <v>REZoning_Sol-Win</v>
      </c>
      <c r="AP664" t="s">
        <v>733</v>
      </c>
      <c r="AQ664" t="s">
        <v>57</v>
      </c>
      <c r="AR664">
        <v>2100</v>
      </c>
      <c r="AS664" t="s">
        <v>67</v>
      </c>
      <c r="AT664" t="s">
        <v>58</v>
      </c>
    </row>
    <row r="665" ht="29" spans="1:46">
      <c r="A665" s="31" t="s">
        <v>65</v>
      </c>
      <c r="C665" t="s">
        <v>734</v>
      </c>
      <c r="D665" s="5" t="s">
        <v>57</v>
      </c>
      <c r="E665">
        <v>2035</v>
      </c>
      <c r="F665" s="6" t="str">
        <f t="shared" si="82"/>
        <v>*0.61</v>
      </c>
      <c r="H665" t="s">
        <v>734</v>
      </c>
      <c r="I665" s="5" t="s">
        <v>57</v>
      </c>
      <c r="J665">
        <v>2050</v>
      </c>
      <c r="K665" s="38" t="str">
        <f t="shared" si="83"/>
        <v>*0.5</v>
      </c>
      <c r="P665" s="32" t="s">
        <v>734</v>
      </c>
      <c r="Q665" s="42" t="s">
        <v>57</v>
      </c>
      <c r="R665" s="32">
        <v>2035</v>
      </c>
      <c r="S665" s="43" t="str">
        <f t="shared" si="84"/>
        <v>*0.58</v>
      </c>
      <c r="U665" s="32" t="s">
        <v>734</v>
      </c>
      <c r="V665" s="42" t="s">
        <v>57</v>
      </c>
      <c r="W665" s="32">
        <v>2050</v>
      </c>
      <c r="X665" s="43" t="str">
        <f t="shared" si="85"/>
        <v>*0.47</v>
      </c>
      <c r="AC665" s="33" t="s">
        <v>734</v>
      </c>
      <c r="AD665" s="44" t="s">
        <v>57</v>
      </c>
      <c r="AE665" s="33">
        <v>2035</v>
      </c>
      <c r="AF665" s="45" t="str">
        <f t="shared" si="86"/>
        <v>*0.53</v>
      </c>
      <c r="AG665" s="43" t="str">
        <f t="shared" si="88"/>
        <v>REZoning_Sol-Win</v>
      </c>
      <c r="AI665" s="33" t="s">
        <v>734</v>
      </c>
      <c r="AJ665" s="44" t="s">
        <v>57</v>
      </c>
      <c r="AK665" s="33">
        <v>2050</v>
      </c>
      <c r="AL665" s="45" t="str">
        <f t="shared" si="87"/>
        <v>*0.41</v>
      </c>
      <c r="AM665" s="43" t="str">
        <f t="shared" si="89"/>
        <v>REZoning_Sol-Win</v>
      </c>
      <c r="AP665" t="s">
        <v>734</v>
      </c>
      <c r="AQ665" t="s">
        <v>57</v>
      </c>
      <c r="AR665">
        <v>2100</v>
      </c>
      <c r="AS665" t="s">
        <v>67</v>
      </c>
      <c r="AT665" t="s">
        <v>58</v>
      </c>
    </row>
    <row r="666" ht="29" spans="1:46">
      <c r="A666" s="31" t="s">
        <v>65</v>
      </c>
      <c r="C666" t="s">
        <v>735</v>
      </c>
      <c r="D666" s="5" t="s">
        <v>57</v>
      </c>
      <c r="E666">
        <v>2035</v>
      </c>
      <c r="F666" s="6" t="str">
        <f t="shared" si="82"/>
        <v>*0.61</v>
      </c>
      <c r="H666" t="s">
        <v>735</v>
      </c>
      <c r="I666" s="5" t="s">
        <v>57</v>
      </c>
      <c r="J666">
        <v>2050</v>
      </c>
      <c r="K666" s="38" t="str">
        <f t="shared" si="83"/>
        <v>*0.5</v>
      </c>
      <c r="P666" s="32" t="s">
        <v>735</v>
      </c>
      <c r="Q666" s="42" t="s">
        <v>57</v>
      </c>
      <c r="R666" s="32">
        <v>2035</v>
      </c>
      <c r="S666" s="43" t="str">
        <f t="shared" si="84"/>
        <v>*0.58</v>
      </c>
      <c r="U666" s="32" t="s">
        <v>735</v>
      </c>
      <c r="V666" s="42" t="s">
        <v>57</v>
      </c>
      <c r="W666" s="32">
        <v>2050</v>
      </c>
      <c r="X666" s="43" t="str">
        <f t="shared" si="85"/>
        <v>*0.47</v>
      </c>
      <c r="AC666" s="33" t="s">
        <v>735</v>
      </c>
      <c r="AD666" s="44" t="s">
        <v>57</v>
      </c>
      <c r="AE666" s="33">
        <v>2035</v>
      </c>
      <c r="AF666" s="45" t="str">
        <f t="shared" si="86"/>
        <v>*0.53</v>
      </c>
      <c r="AG666" s="43" t="str">
        <f t="shared" si="88"/>
        <v>REZoning_Sol-Win</v>
      </c>
      <c r="AI666" s="33" t="s">
        <v>735</v>
      </c>
      <c r="AJ666" s="44" t="s">
        <v>57</v>
      </c>
      <c r="AK666" s="33">
        <v>2050</v>
      </c>
      <c r="AL666" s="45" t="str">
        <f t="shared" si="87"/>
        <v>*0.41</v>
      </c>
      <c r="AM666" s="43" t="str">
        <f t="shared" si="89"/>
        <v>REZoning_Sol-Win</v>
      </c>
      <c r="AP666" t="s">
        <v>735</v>
      </c>
      <c r="AQ666" t="s">
        <v>57</v>
      </c>
      <c r="AR666">
        <v>2100</v>
      </c>
      <c r="AS666" t="s">
        <v>67</v>
      </c>
      <c r="AT666" t="s">
        <v>58</v>
      </c>
    </row>
    <row r="667" ht="29" spans="1:46">
      <c r="A667" s="31" t="s">
        <v>65</v>
      </c>
      <c r="C667" t="s">
        <v>736</v>
      </c>
      <c r="D667" s="5" t="s">
        <v>57</v>
      </c>
      <c r="E667">
        <v>2035</v>
      </c>
      <c r="F667" s="6" t="str">
        <f t="shared" si="82"/>
        <v>*0.61</v>
      </c>
      <c r="H667" t="s">
        <v>736</v>
      </c>
      <c r="I667" s="5" t="s">
        <v>57</v>
      </c>
      <c r="J667">
        <v>2050</v>
      </c>
      <c r="K667" s="38" t="str">
        <f t="shared" si="83"/>
        <v>*0.5</v>
      </c>
      <c r="P667" s="32" t="s">
        <v>736</v>
      </c>
      <c r="Q667" s="42" t="s">
        <v>57</v>
      </c>
      <c r="R667" s="32">
        <v>2035</v>
      </c>
      <c r="S667" s="43" t="str">
        <f t="shared" si="84"/>
        <v>*0.58</v>
      </c>
      <c r="U667" s="32" t="s">
        <v>736</v>
      </c>
      <c r="V667" s="42" t="s">
        <v>57</v>
      </c>
      <c r="W667" s="32">
        <v>2050</v>
      </c>
      <c r="X667" s="43" t="str">
        <f t="shared" si="85"/>
        <v>*0.47</v>
      </c>
      <c r="AC667" s="33" t="s">
        <v>736</v>
      </c>
      <c r="AD667" s="44" t="s">
        <v>57</v>
      </c>
      <c r="AE667" s="33">
        <v>2035</v>
      </c>
      <c r="AF667" s="45" t="str">
        <f t="shared" si="86"/>
        <v>*0.53</v>
      </c>
      <c r="AG667" s="43" t="str">
        <f t="shared" si="88"/>
        <v>REZoning_Sol-Win</v>
      </c>
      <c r="AI667" s="33" t="s">
        <v>736</v>
      </c>
      <c r="AJ667" s="44" t="s">
        <v>57</v>
      </c>
      <c r="AK667" s="33">
        <v>2050</v>
      </c>
      <c r="AL667" s="45" t="str">
        <f t="shared" si="87"/>
        <v>*0.41</v>
      </c>
      <c r="AM667" s="43" t="str">
        <f t="shared" si="89"/>
        <v>REZoning_Sol-Win</v>
      </c>
      <c r="AP667" t="s">
        <v>736</v>
      </c>
      <c r="AQ667" t="s">
        <v>57</v>
      </c>
      <c r="AR667">
        <v>2100</v>
      </c>
      <c r="AS667" t="s">
        <v>67</v>
      </c>
      <c r="AT667" t="s">
        <v>58</v>
      </c>
    </row>
    <row r="668" ht="29" spans="1:46">
      <c r="A668" s="31" t="s">
        <v>65</v>
      </c>
      <c r="C668" t="s">
        <v>737</v>
      </c>
      <c r="D668" s="5" t="s">
        <v>57</v>
      </c>
      <c r="E668">
        <v>2035</v>
      </c>
      <c r="F668" s="6" t="str">
        <f t="shared" si="82"/>
        <v>*0.61</v>
      </c>
      <c r="H668" t="s">
        <v>737</v>
      </c>
      <c r="I668" s="5" t="s">
        <v>57</v>
      </c>
      <c r="J668">
        <v>2050</v>
      </c>
      <c r="K668" s="38" t="str">
        <f t="shared" si="83"/>
        <v>*0.5</v>
      </c>
      <c r="P668" s="32" t="s">
        <v>737</v>
      </c>
      <c r="Q668" s="42" t="s">
        <v>57</v>
      </c>
      <c r="R668" s="32">
        <v>2035</v>
      </c>
      <c r="S668" s="43" t="str">
        <f t="shared" si="84"/>
        <v>*0.58</v>
      </c>
      <c r="U668" s="32" t="s">
        <v>737</v>
      </c>
      <c r="V668" s="42" t="s">
        <v>57</v>
      </c>
      <c r="W668" s="32">
        <v>2050</v>
      </c>
      <c r="X668" s="43" t="str">
        <f t="shared" si="85"/>
        <v>*0.47</v>
      </c>
      <c r="AC668" s="33" t="s">
        <v>737</v>
      </c>
      <c r="AD668" s="44" t="s">
        <v>57</v>
      </c>
      <c r="AE668" s="33">
        <v>2035</v>
      </c>
      <c r="AF668" s="45" t="str">
        <f t="shared" si="86"/>
        <v>*0.53</v>
      </c>
      <c r="AG668" s="43" t="str">
        <f t="shared" si="88"/>
        <v>REZoning_Sol-Win</v>
      </c>
      <c r="AI668" s="33" t="s">
        <v>737</v>
      </c>
      <c r="AJ668" s="44" t="s">
        <v>57</v>
      </c>
      <c r="AK668" s="33">
        <v>2050</v>
      </c>
      <c r="AL668" s="45" t="str">
        <f t="shared" si="87"/>
        <v>*0.41</v>
      </c>
      <c r="AM668" s="43" t="str">
        <f t="shared" si="89"/>
        <v>REZoning_Sol-Win</v>
      </c>
      <c r="AP668" t="s">
        <v>737</v>
      </c>
      <c r="AQ668" t="s">
        <v>57</v>
      </c>
      <c r="AR668">
        <v>2100</v>
      </c>
      <c r="AS668" t="s">
        <v>67</v>
      </c>
      <c r="AT668" t="s">
        <v>58</v>
      </c>
    </row>
    <row r="669" ht="29" spans="1:46">
      <c r="A669" s="31" t="s">
        <v>83</v>
      </c>
      <c r="C669" t="s">
        <v>738</v>
      </c>
      <c r="D669" s="5" t="s">
        <v>57</v>
      </c>
      <c r="E669">
        <v>2035</v>
      </c>
      <c r="F669" s="6" t="str">
        <f t="shared" si="82"/>
        <v>*0.64</v>
      </c>
      <c r="H669" t="s">
        <v>738</v>
      </c>
      <c r="I669" s="5" t="s">
        <v>57</v>
      </c>
      <c r="J669">
        <v>2050</v>
      </c>
      <c r="K669" s="38" t="str">
        <f t="shared" si="83"/>
        <v>*0.54</v>
      </c>
      <c r="P669" s="32" t="s">
        <v>738</v>
      </c>
      <c r="Q669" s="42" t="s">
        <v>57</v>
      </c>
      <c r="R669" s="32">
        <v>2035</v>
      </c>
      <c r="S669" s="43" t="str">
        <f t="shared" si="84"/>
        <v>*0.64</v>
      </c>
      <c r="U669" s="32" t="s">
        <v>738</v>
      </c>
      <c r="V669" s="42" t="s">
        <v>57</v>
      </c>
      <c r="W669" s="32">
        <v>2050</v>
      </c>
      <c r="X669" s="43" t="str">
        <f t="shared" si="85"/>
        <v>*0.53</v>
      </c>
      <c r="AC669" s="33" t="s">
        <v>738</v>
      </c>
      <c r="AD669" s="44" t="s">
        <v>57</v>
      </c>
      <c r="AE669" s="33">
        <v>2035</v>
      </c>
      <c r="AF669" s="45" t="str">
        <f t="shared" si="86"/>
        <v>*0.6</v>
      </c>
      <c r="AG669" s="43" t="str">
        <f t="shared" si="88"/>
        <v>REZoning_Sol-Win</v>
      </c>
      <c r="AI669" s="33" t="s">
        <v>738</v>
      </c>
      <c r="AJ669" s="44" t="s">
        <v>57</v>
      </c>
      <c r="AK669" s="33">
        <v>2050</v>
      </c>
      <c r="AL669" s="45" t="str">
        <f t="shared" si="87"/>
        <v>*0.5</v>
      </c>
      <c r="AM669" s="43" t="str">
        <f t="shared" si="89"/>
        <v>REZoning_Sol-Win</v>
      </c>
      <c r="AP669" t="s">
        <v>738</v>
      </c>
      <c r="AQ669" t="s">
        <v>57</v>
      </c>
      <c r="AR669">
        <v>2100</v>
      </c>
      <c r="AS669" t="s">
        <v>85</v>
      </c>
      <c r="AT669" t="s">
        <v>58</v>
      </c>
    </row>
    <row r="670" ht="29" spans="1:46">
      <c r="A670" s="31" t="s">
        <v>65</v>
      </c>
      <c r="C670" t="s">
        <v>739</v>
      </c>
      <c r="D670" s="5" t="s">
        <v>57</v>
      </c>
      <c r="E670">
        <v>2035</v>
      </c>
      <c r="F670" s="6" t="str">
        <f t="shared" si="82"/>
        <v>*0.61</v>
      </c>
      <c r="H670" t="s">
        <v>739</v>
      </c>
      <c r="I670" s="5" t="s">
        <v>57</v>
      </c>
      <c r="J670">
        <v>2050</v>
      </c>
      <c r="K670" s="38" t="str">
        <f t="shared" si="83"/>
        <v>*0.5</v>
      </c>
      <c r="P670" s="32" t="s">
        <v>739</v>
      </c>
      <c r="Q670" s="42" t="s">
        <v>57</v>
      </c>
      <c r="R670" s="32">
        <v>2035</v>
      </c>
      <c r="S670" s="43" t="str">
        <f t="shared" si="84"/>
        <v>*0.58</v>
      </c>
      <c r="U670" s="32" t="s">
        <v>739</v>
      </c>
      <c r="V670" s="42" t="s">
        <v>57</v>
      </c>
      <c r="W670" s="32">
        <v>2050</v>
      </c>
      <c r="X670" s="43" t="str">
        <f t="shared" si="85"/>
        <v>*0.47</v>
      </c>
      <c r="AC670" s="33" t="s">
        <v>739</v>
      </c>
      <c r="AD670" s="44" t="s">
        <v>57</v>
      </c>
      <c r="AE670" s="33">
        <v>2035</v>
      </c>
      <c r="AF670" s="45" t="str">
        <f t="shared" si="86"/>
        <v>*0.53</v>
      </c>
      <c r="AG670" s="43" t="str">
        <f t="shared" si="88"/>
        <v>REZoning_Sol-Win</v>
      </c>
      <c r="AI670" s="33" t="s">
        <v>739</v>
      </c>
      <c r="AJ670" s="44" t="s">
        <v>57</v>
      </c>
      <c r="AK670" s="33">
        <v>2050</v>
      </c>
      <c r="AL670" s="45" t="str">
        <f t="shared" si="87"/>
        <v>*0.41</v>
      </c>
      <c r="AM670" s="43" t="str">
        <f t="shared" si="89"/>
        <v>REZoning_Sol-Win</v>
      </c>
      <c r="AP670" t="s">
        <v>739</v>
      </c>
      <c r="AQ670" t="s">
        <v>57</v>
      </c>
      <c r="AR670">
        <v>2100</v>
      </c>
      <c r="AS670" t="s">
        <v>67</v>
      </c>
      <c r="AT670" t="s">
        <v>58</v>
      </c>
    </row>
    <row r="671" ht="29" spans="1:46">
      <c r="A671" s="31" t="s">
        <v>73</v>
      </c>
      <c r="C671" t="s">
        <v>740</v>
      </c>
      <c r="D671" s="5" t="s">
        <v>57</v>
      </c>
      <c r="E671">
        <v>2035</v>
      </c>
      <c r="F671" s="6" t="str">
        <f t="shared" si="82"/>
        <v>*0.63</v>
      </c>
      <c r="H671" t="s">
        <v>740</v>
      </c>
      <c r="I671" s="5" t="s">
        <v>57</v>
      </c>
      <c r="J671">
        <v>2050</v>
      </c>
      <c r="K671" s="38" t="str">
        <f t="shared" si="83"/>
        <v>*0.54</v>
      </c>
      <c r="P671" s="32" t="s">
        <v>740</v>
      </c>
      <c r="Q671" s="42" t="s">
        <v>57</v>
      </c>
      <c r="R671" s="32">
        <v>2035</v>
      </c>
      <c r="S671" s="43" t="str">
        <f t="shared" si="84"/>
        <v>*0.62</v>
      </c>
      <c r="U671" s="32" t="s">
        <v>740</v>
      </c>
      <c r="V671" s="42" t="s">
        <v>57</v>
      </c>
      <c r="W671" s="32">
        <v>2050</v>
      </c>
      <c r="X671" s="43" t="str">
        <f t="shared" si="85"/>
        <v>*0.51</v>
      </c>
      <c r="AC671" s="33" t="s">
        <v>740</v>
      </c>
      <c r="AD671" s="44" t="s">
        <v>57</v>
      </c>
      <c r="AE671" s="33">
        <v>2035</v>
      </c>
      <c r="AF671" s="45" t="str">
        <f t="shared" si="86"/>
        <v>*0.58</v>
      </c>
      <c r="AG671" s="43" t="str">
        <f t="shared" si="88"/>
        <v>REZoning_Sol-Win</v>
      </c>
      <c r="AI671" s="33" t="s">
        <v>740</v>
      </c>
      <c r="AJ671" s="44" t="s">
        <v>57</v>
      </c>
      <c r="AK671" s="33">
        <v>2050</v>
      </c>
      <c r="AL671" s="45" t="str">
        <f t="shared" si="87"/>
        <v>*0.49</v>
      </c>
      <c r="AM671" s="43" t="str">
        <f t="shared" si="89"/>
        <v>REZoning_Sol-Win</v>
      </c>
      <c r="AP671" t="s">
        <v>740</v>
      </c>
      <c r="AQ671" t="s">
        <v>57</v>
      </c>
      <c r="AR671">
        <v>2100</v>
      </c>
      <c r="AS671" t="s">
        <v>75</v>
      </c>
      <c r="AT671" t="s">
        <v>58</v>
      </c>
    </row>
    <row r="672" ht="29" spans="1:46">
      <c r="A672" s="31" t="s">
        <v>73</v>
      </c>
      <c r="C672" t="s">
        <v>741</v>
      </c>
      <c r="D672" s="5" t="s">
        <v>57</v>
      </c>
      <c r="E672">
        <v>2035</v>
      </c>
      <c r="F672" s="6" t="str">
        <f t="shared" si="82"/>
        <v>*0.63</v>
      </c>
      <c r="H672" t="s">
        <v>741</v>
      </c>
      <c r="I672" s="5" t="s">
        <v>57</v>
      </c>
      <c r="J672">
        <v>2050</v>
      </c>
      <c r="K672" s="38" t="str">
        <f t="shared" si="83"/>
        <v>*0.54</v>
      </c>
      <c r="P672" s="32" t="s">
        <v>741</v>
      </c>
      <c r="Q672" s="42" t="s">
        <v>57</v>
      </c>
      <c r="R672" s="32">
        <v>2035</v>
      </c>
      <c r="S672" s="43" t="str">
        <f t="shared" si="84"/>
        <v>*0.62</v>
      </c>
      <c r="U672" s="32" t="s">
        <v>741</v>
      </c>
      <c r="V672" s="42" t="s">
        <v>57</v>
      </c>
      <c r="W672" s="32">
        <v>2050</v>
      </c>
      <c r="X672" s="43" t="str">
        <f t="shared" si="85"/>
        <v>*0.51</v>
      </c>
      <c r="AC672" s="33" t="s">
        <v>741</v>
      </c>
      <c r="AD672" s="44" t="s">
        <v>57</v>
      </c>
      <c r="AE672" s="33">
        <v>2035</v>
      </c>
      <c r="AF672" s="45" t="str">
        <f t="shared" si="86"/>
        <v>*0.58</v>
      </c>
      <c r="AG672" s="43" t="str">
        <f t="shared" si="88"/>
        <v>REZoning_Sol-Win</v>
      </c>
      <c r="AI672" s="33" t="s">
        <v>741</v>
      </c>
      <c r="AJ672" s="44" t="s">
        <v>57</v>
      </c>
      <c r="AK672" s="33">
        <v>2050</v>
      </c>
      <c r="AL672" s="45" t="str">
        <f t="shared" si="87"/>
        <v>*0.49</v>
      </c>
      <c r="AM672" s="43" t="str">
        <f t="shared" si="89"/>
        <v>REZoning_Sol-Win</v>
      </c>
      <c r="AP672" t="s">
        <v>741</v>
      </c>
      <c r="AQ672" t="s">
        <v>57</v>
      </c>
      <c r="AR672">
        <v>2100</v>
      </c>
      <c r="AS672" t="s">
        <v>75</v>
      </c>
      <c r="AT672" t="s">
        <v>58</v>
      </c>
    </row>
    <row r="673" ht="29" spans="1:46">
      <c r="A673" s="31" t="s">
        <v>65</v>
      </c>
      <c r="C673" t="s">
        <v>742</v>
      </c>
      <c r="D673" s="5" t="s">
        <v>57</v>
      </c>
      <c r="E673">
        <v>2035</v>
      </c>
      <c r="F673" s="6" t="str">
        <f t="shared" si="82"/>
        <v>*0.61</v>
      </c>
      <c r="H673" t="s">
        <v>742</v>
      </c>
      <c r="I673" s="5" t="s">
        <v>57</v>
      </c>
      <c r="J673">
        <v>2050</v>
      </c>
      <c r="K673" s="38" t="str">
        <f t="shared" si="83"/>
        <v>*0.5</v>
      </c>
      <c r="P673" s="32" t="s">
        <v>742</v>
      </c>
      <c r="Q673" s="42" t="s">
        <v>57</v>
      </c>
      <c r="R673" s="32">
        <v>2035</v>
      </c>
      <c r="S673" s="43" t="str">
        <f t="shared" si="84"/>
        <v>*0.58</v>
      </c>
      <c r="U673" s="32" t="s">
        <v>742</v>
      </c>
      <c r="V673" s="42" t="s">
        <v>57</v>
      </c>
      <c r="W673" s="32">
        <v>2050</v>
      </c>
      <c r="X673" s="43" t="str">
        <f t="shared" si="85"/>
        <v>*0.47</v>
      </c>
      <c r="AC673" s="33" t="s">
        <v>742</v>
      </c>
      <c r="AD673" s="44" t="s">
        <v>57</v>
      </c>
      <c r="AE673" s="33">
        <v>2035</v>
      </c>
      <c r="AF673" s="45" t="str">
        <f t="shared" si="86"/>
        <v>*0.53</v>
      </c>
      <c r="AG673" s="43" t="str">
        <f t="shared" si="88"/>
        <v>REZoning_Sol-Win</v>
      </c>
      <c r="AI673" s="33" t="s">
        <v>742</v>
      </c>
      <c r="AJ673" s="44" t="s">
        <v>57</v>
      </c>
      <c r="AK673" s="33">
        <v>2050</v>
      </c>
      <c r="AL673" s="45" t="str">
        <f t="shared" si="87"/>
        <v>*0.41</v>
      </c>
      <c r="AM673" s="43" t="str">
        <f t="shared" si="89"/>
        <v>REZoning_Sol-Win</v>
      </c>
      <c r="AP673" t="s">
        <v>742</v>
      </c>
      <c r="AQ673" t="s">
        <v>57</v>
      </c>
      <c r="AR673">
        <v>2100</v>
      </c>
      <c r="AS673" t="s">
        <v>67</v>
      </c>
      <c r="AT673" t="s">
        <v>58</v>
      </c>
    </row>
    <row r="674" ht="29" spans="1:46">
      <c r="A674" s="31" t="s">
        <v>65</v>
      </c>
      <c r="C674" t="s">
        <v>743</v>
      </c>
      <c r="D674" s="5" t="s">
        <v>57</v>
      </c>
      <c r="E674">
        <v>2035</v>
      </c>
      <c r="F674" s="6" t="str">
        <f t="shared" si="82"/>
        <v>*0.61</v>
      </c>
      <c r="H674" t="s">
        <v>743</v>
      </c>
      <c r="I674" s="5" t="s">
        <v>57</v>
      </c>
      <c r="J674">
        <v>2050</v>
      </c>
      <c r="K674" s="38" t="str">
        <f t="shared" si="83"/>
        <v>*0.5</v>
      </c>
      <c r="P674" s="32" t="s">
        <v>743</v>
      </c>
      <c r="Q674" s="42" t="s">
        <v>57</v>
      </c>
      <c r="R674" s="32">
        <v>2035</v>
      </c>
      <c r="S674" s="43" t="str">
        <f t="shared" si="84"/>
        <v>*0.58</v>
      </c>
      <c r="U674" s="32" t="s">
        <v>743</v>
      </c>
      <c r="V674" s="42" t="s">
        <v>57</v>
      </c>
      <c r="W674" s="32">
        <v>2050</v>
      </c>
      <c r="X674" s="43" t="str">
        <f t="shared" si="85"/>
        <v>*0.47</v>
      </c>
      <c r="AC674" s="33" t="s">
        <v>743</v>
      </c>
      <c r="AD674" s="44" t="s">
        <v>57</v>
      </c>
      <c r="AE674" s="33">
        <v>2035</v>
      </c>
      <c r="AF674" s="45" t="str">
        <f t="shared" si="86"/>
        <v>*0.53</v>
      </c>
      <c r="AG674" s="43" t="str">
        <f t="shared" si="88"/>
        <v>REZoning_Sol-Win</v>
      </c>
      <c r="AI674" s="33" t="s">
        <v>743</v>
      </c>
      <c r="AJ674" s="44" t="s">
        <v>57</v>
      </c>
      <c r="AK674" s="33">
        <v>2050</v>
      </c>
      <c r="AL674" s="45" t="str">
        <f t="shared" si="87"/>
        <v>*0.41</v>
      </c>
      <c r="AM674" s="43" t="str">
        <f t="shared" si="89"/>
        <v>REZoning_Sol-Win</v>
      </c>
      <c r="AP674" t="s">
        <v>743</v>
      </c>
      <c r="AQ674" t="s">
        <v>57</v>
      </c>
      <c r="AR674">
        <v>2100</v>
      </c>
      <c r="AS674" t="s">
        <v>67</v>
      </c>
      <c r="AT674" t="s">
        <v>58</v>
      </c>
    </row>
    <row r="675" ht="29" spans="1:46">
      <c r="A675" s="31" t="s">
        <v>65</v>
      </c>
      <c r="C675" t="s">
        <v>744</v>
      </c>
      <c r="D675" s="5" t="s">
        <v>57</v>
      </c>
      <c r="E675">
        <v>2035</v>
      </c>
      <c r="F675" s="6" t="str">
        <f t="shared" si="82"/>
        <v>*0.61</v>
      </c>
      <c r="H675" t="s">
        <v>744</v>
      </c>
      <c r="I675" s="5" t="s">
        <v>57</v>
      </c>
      <c r="J675">
        <v>2050</v>
      </c>
      <c r="K675" s="38" t="str">
        <f t="shared" si="83"/>
        <v>*0.5</v>
      </c>
      <c r="P675" s="32" t="s">
        <v>744</v>
      </c>
      <c r="Q675" s="42" t="s">
        <v>57</v>
      </c>
      <c r="R675" s="32">
        <v>2035</v>
      </c>
      <c r="S675" s="43" t="str">
        <f t="shared" si="84"/>
        <v>*0.58</v>
      </c>
      <c r="U675" s="32" t="s">
        <v>744</v>
      </c>
      <c r="V675" s="42" t="s">
        <v>57</v>
      </c>
      <c r="W675" s="32">
        <v>2050</v>
      </c>
      <c r="X675" s="43" t="str">
        <f t="shared" si="85"/>
        <v>*0.47</v>
      </c>
      <c r="AC675" s="33" t="s">
        <v>744</v>
      </c>
      <c r="AD675" s="44" t="s">
        <v>57</v>
      </c>
      <c r="AE675" s="33">
        <v>2035</v>
      </c>
      <c r="AF675" s="45" t="str">
        <f t="shared" si="86"/>
        <v>*0.53</v>
      </c>
      <c r="AG675" s="43" t="str">
        <f t="shared" si="88"/>
        <v>REZoning_Sol-Win</v>
      </c>
      <c r="AI675" s="33" t="s">
        <v>744</v>
      </c>
      <c r="AJ675" s="44" t="s">
        <v>57</v>
      </c>
      <c r="AK675" s="33">
        <v>2050</v>
      </c>
      <c r="AL675" s="45" t="str">
        <f t="shared" si="87"/>
        <v>*0.41</v>
      </c>
      <c r="AM675" s="43" t="str">
        <f t="shared" si="89"/>
        <v>REZoning_Sol-Win</v>
      </c>
      <c r="AP675" t="s">
        <v>744</v>
      </c>
      <c r="AQ675" t="s">
        <v>57</v>
      </c>
      <c r="AR675">
        <v>2100</v>
      </c>
      <c r="AS675" t="s">
        <v>67</v>
      </c>
      <c r="AT675" t="s">
        <v>58</v>
      </c>
    </row>
    <row r="676" ht="29" spans="1:46">
      <c r="A676" s="31" t="s">
        <v>65</v>
      </c>
      <c r="C676" t="s">
        <v>745</v>
      </c>
      <c r="D676" s="5" t="s">
        <v>57</v>
      </c>
      <c r="E676">
        <v>2035</v>
      </c>
      <c r="F676" s="6" t="str">
        <f t="shared" si="82"/>
        <v>*0.61</v>
      </c>
      <c r="H676" t="s">
        <v>745</v>
      </c>
      <c r="I676" s="5" t="s">
        <v>57</v>
      </c>
      <c r="J676">
        <v>2050</v>
      </c>
      <c r="K676" s="38" t="str">
        <f t="shared" si="83"/>
        <v>*0.5</v>
      </c>
      <c r="P676" s="32" t="s">
        <v>745</v>
      </c>
      <c r="Q676" s="42" t="s">
        <v>57</v>
      </c>
      <c r="R676" s="32">
        <v>2035</v>
      </c>
      <c r="S676" s="43" t="str">
        <f t="shared" si="84"/>
        <v>*0.58</v>
      </c>
      <c r="U676" s="32" t="s">
        <v>745</v>
      </c>
      <c r="V676" s="42" t="s">
        <v>57</v>
      </c>
      <c r="W676" s="32">
        <v>2050</v>
      </c>
      <c r="X676" s="43" t="str">
        <f t="shared" si="85"/>
        <v>*0.47</v>
      </c>
      <c r="AC676" s="33" t="s">
        <v>745</v>
      </c>
      <c r="AD676" s="44" t="s">
        <v>57</v>
      </c>
      <c r="AE676" s="33">
        <v>2035</v>
      </c>
      <c r="AF676" s="45" t="str">
        <f t="shared" si="86"/>
        <v>*0.53</v>
      </c>
      <c r="AG676" s="43" t="str">
        <f t="shared" si="88"/>
        <v>REZoning_Sol-Win</v>
      </c>
      <c r="AI676" s="33" t="s">
        <v>745</v>
      </c>
      <c r="AJ676" s="44" t="s">
        <v>57</v>
      </c>
      <c r="AK676" s="33">
        <v>2050</v>
      </c>
      <c r="AL676" s="45" t="str">
        <f t="shared" si="87"/>
        <v>*0.41</v>
      </c>
      <c r="AM676" s="43" t="str">
        <f t="shared" si="89"/>
        <v>REZoning_Sol-Win</v>
      </c>
      <c r="AP676" t="s">
        <v>745</v>
      </c>
      <c r="AQ676" t="s">
        <v>57</v>
      </c>
      <c r="AR676">
        <v>2100</v>
      </c>
      <c r="AS676" t="s">
        <v>67</v>
      </c>
      <c r="AT676" t="s">
        <v>58</v>
      </c>
    </row>
    <row r="677" ht="29" spans="1:46">
      <c r="A677" s="31" t="s">
        <v>65</v>
      </c>
      <c r="C677" t="s">
        <v>746</v>
      </c>
      <c r="D677" s="5" t="s">
        <v>57</v>
      </c>
      <c r="E677">
        <v>2035</v>
      </c>
      <c r="F677" s="6" t="str">
        <f t="shared" si="82"/>
        <v>*0.61</v>
      </c>
      <c r="H677" t="s">
        <v>746</v>
      </c>
      <c r="I677" s="5" t="s">
        <v>57</v>
      </c>
      <c r="J677">
        <v>2050</v>
      </c>
      <c r="K677" s="38" t="str">
        <f t="shared" si="83"/>
        <v>*0.5</v>
      </c>
      <c r="P677" s="32" t="s">
        <v>746</v>
      </c>
      <c r="Q677" s="42" t="s">
        <v>57</v>
      </c>
      <c r="R677" s="32">
        <v>2035</v>
      </c>
      <c r="S677" s="43" t="str">
        <f t="shared" si="84"/>
        <v>*0.58</v>
      </c>
      <c r="U677" s="32" t="s">
        <v>746</v>
      </c>
      <c r="V677" s="42" t="s">
        <v>57</v>
      </c>
      <c r="W677" s="32">
        <v>2050</v>
      </c>
      <c r="X677" s="43" t="str">
        <f t="shared" si="85"/>
        <v>*0.47</v>
      </c>
      <c r="AC677" s="33" t="s">
        <v>746</v>
      </c>
      <c r="AD677" s="44" t="s">
        <v>57</v>
      </c>
      <c r="AE677" s="33">
        <v>2035</v>
      </c>
      <c r="AF677" s="45" t="str">
        <f t="shared" si="86"/>
        <v>*0.53</v>
      </c>
      <c r="AG677" s="43" t="str">
        <f t="shared" si="88"/>
        <v>REZoning_Sol-Win</v>
      </c>
      <c r="AI677" s="33" t="s">
        <v>746</v>
      </c>
      <c r="AJ677" s="44" t="s">
        <v>57</v>
      </c>
      <c r="AK677" s="33">
        <v>2050</v>
      </c>
      <c r="AL677" s="45" t="str">
        <f t="shared" si="87"/>
        <v>*0.41</v>
      </c>
      <c r="AM677" s="43" t="str">
        <f t="shared" si="89"/>
        <v>REZoning_Sol-Win</v>
      </c>
      <c r="AP677" t="s">
        <v>746</v>
      </c>
      <c r="AQ677" t="s">
        <v>57</v>
      </c>
      <c r="AR677">
        <v>2100</v>
      </c>
      <c r="AS677" t="s">
        <v>67</v>
      </c>
      <c r="AT677" t="s">
        <v>58</v>
      </c>
    </row>
    <row r="678" ht="29" spans="1:46">
      <c r="A678" s="31" t="s">
        <v>65</v>
      </c>
      <c r="C678" t="s">
        <v>747</v>
      </c>
      <c r="D678" s="5" t="s">
        <v>57</v>
      </c>
      <c r="E678">
        <v>2035</v>
      </c>
      <c r="F678" s="6" t="str">
        <f t="shared" si="82"/>
        <v>*0.61</v>
      </c>
      <c r="H678" t="s">
        <v>747</v>
      </c>
      <c r="I678" s="5" t="s">
        <v>57</v>
      </c>
      <c r="J678">
        <v>2050</v>
      </c>
      <c r="K678" s="38" t="str">
        <f t="shared" si="83"/>
        <v>*0.5</v>
      </c>
      <c r="P678" s="32" t="s">
        <v>747</v>
      </c>
      <c r="Q678" s="42" t="s">
        <v>57</v>
      </c>
      <c r="R678" s="32">
        <v>2035</v>
      </c>
      <c r="S678" s="43" t="str">
        <f t="shared" si="84"/>
        <v>*0.58</v>
      </c>
      <c r="U678" s="32" t="s">
        <v>747</v>
      </c>
      <c r="V678" s="42" t="s">
        <v>57</v>
      </c>
      <c r="W678" s="32">
        <v>2050</v>
      </c>
      <c r="X678" s="43" t="str">
        <f t="shared" si="85"/>
        <v>*0.47</v>
      </c>
      <c r="AC678" s="33" t="s">
        <v>747</v>
      </c>
      <c r="AD678" s="44" t="s">
        <v>57</v>
      </c>
      <c r="AE678" s="33">
        <v>2035</v>
      </c>
      <c r="AF678" s="45" t="str">
        <f t="shared" si="86"/>
        <v>*0.53</v>
      </c>
      <c r="AG678" s="43" t="str">
        <f t="shared" si="88"/>
        <v>REZoning_Sol-Win</v>
      </c>
      <c r="AI678" s="33" t="s">
        <v>747</v>
      </c>
      <c r="AJ678" s="44" t="s">
        <v>57</v>
      </c>
      <c r="AK678" s="33">
        <v>2050</v>
      </c>
      <c r="AL678" s="45" t="str">
        <f t="shared" si="87"/>
        <v>*0.41</v>
      </c>
      <c r="AM678" s="43" t="str">
        <f t="shared" si="89"/>
        <v>REZoning_Sol-Win</v>
      </c>
      <c r="AP678" t="s">
        <v>747</v>
      </c>
      <c r="AQ678" t="s">
        <v>57</v>
      </c>
      <c r="AR678">
        <v>2100</v>
      </c>
      <c r="AS678" t="s">
        <v>67</v>
      </c>
      <c r="AT678" t="s">
        <v>58</v>
      </c>
    </row>
    <row r="679" ht="29" spans="1:46">
      <c r="A679" s="31" t="s">
        <v>65</v>
      </c>
      <c r="C679" t="s">
        <v>748</v>
      </c>
      <c r="D679" s="5" t="s">
        <v>57</v>
      </c>
      <c r="E679">
        <v>2035</v>
      </c>
      <c r="F679" s="6" t="str">
        <f t="shared" si="82"/>
        <v>*0.61</v>
      </c>
      <c r="H679" t="s">
        <v>748</v>
      </c>
      <c r="I679" s="5" t="s">
        <v>57</v>
      </c>
      <c r="J679">
        <v>2050</v>
      </c>
      <c r="K679" s="38" t="str">
        <f t="shared" si="83"/>
        <v>*0.5</v>
      </c>
      <c r="P679" s="32" t="s">
        <v>748</v>
      </c>
      <c r="Q679" s="42" t="s">
        <v>57</v>
      </c>
      <c r="R679" s="32">
        <v>2035</v>
      </c>
      <c r="S679" s="43" t="str">
        <f t="shared" si="84"/>
        <v>*0.58</v>
      </c>
      <c r="U679" s="32" t="s">
        <v>748</v>
      </c>
      <c r="V679" s="42" t="s">
        <v>57</v>
      </c>
      <c r="W679" s="32">
        <v>2050</v>
      </c>
      <c r="X679" s="43" t="str">
        <f t="shared" si="85"/>
        <v>*0.47</v>
      </c>
      <c r="AC679" s="33" t="s">
        <v>748</v>
      </c>
      <c r="AD679" s="44" t="s">
        <v>57</v>
      </c>
      <c r="AE679" s="33">
        <v>2035</v>
      </c>
      <c r="AF679" s="45" t="str">
        <f t="shared" si="86"/>
        <v>*0.53</v>
      </c>
      <c r="AG679" s="43" t="str">
        <f t="shared" si="88"/>
        <v>REZoning_Sol-Win</v>
      </c>
      <c r="AI679" s="33" t="s">
        <v>748</v>
      </c>
      <c r="AJ679" s="44" t="s">
        <v>57</v>
      </c>
      <c r="AK679" s="33">
        <v>2050</v>
      </c>
      <c r="AL679" s="45" t="str">
        <f t="shared" si="87"/>
        <v>*0.41</v>
      </c>
      <c r="AM679" s="43" t="str">
        <f t="shared" si="89"/>
        <v>REZoning_Sol-Win</v>
      </c>
      <c r="AP679" t="s">
        <v>748</v>
      </c>
      <c r="AQ679" t="s">
        <v>57</v>
      </c>
      <c r="AR679">
        <v>2100</v>
      </c>
      <c r="AS679" t="s">
        <v>67</v>
      </c>
      <c r="AT679" t="s">
        <v>58</v>
      </c>
    </row>
    <row r="680" ht="29" spans="1:46">
      <c r="A680" s="31" t="s">
        <v>65</v>
      </c>
      <c r="C680" t="s">
        <v>749</v>
      </c>
      <c r="D680" s="5" t="s">
        <v>57</v>
      </c>
      <c r="E680">
        <v>2035</v>
      </c>
      <c r="F680" s="6" t="str">
        <f t="shared" si="82"/>
        <v>*0.61</v>
      </c>
      <c r="H680" t="s">
        <v>749</v>
      </c>
      <c r="I680" s="5" t="s">
        <v>57</v>
      </c>
      <c r="J680">
        <v>2050</v>
      </c>
      <c r="K680" s="38" t="str">
        <f t="shared" si="83"/>
        <v>*0.5</v>
      </c>
      <c r="P680" s="32" t="s">
        <v>749</v>
      </c>
      <c r="Q680" s="42" t="s">
        <v>57</v>
      </c>
      <c r="R680" s="32">
        <v>2035</v>
      </c>
      <c r="S680" s="43" t="str">
        <f t="shared" si="84"/>
        <v>*0.58</v>
      </c>
      <c r="U680" s="32" t="s">
        <v>749</v>
      </c>
      <c r="V680" s="42" t="s">
        <v>57</v>
      </c>
      <c r="W680" s="32">
        <v>2050</v>
      </c>
      <c r="X680" s="43" t="str">
        <f t="shared" si="85"/>
        <v>*0.47</v>
      </c>
      <c r="AC680" s="33" t="s">
        <v>749</v>
      </c>
      <c r="AD680" s="44" t="s">
        <v>57</v>
      </c>
      <c r="AE680" s="33">
        <v>2035</v>
      </c>
      <c r="AF680" s="45" t="str">
        <f t="shared" si="86"/>
        <v>*0.53</v>
      </c>
      <c r="AG680" s="43" t="str">
        <f t="shared" si="88"/>
        <v>REZoning_Sol-Win</v>
      </c>
      <c r="AI680" s="33" t="s">
        <v>749</v>
      </c>
      <c r="AJ680" s="44" t="s">
        <v>57</v>
      </c>
      <c r="AK680" s="33">
        <v>2050</v>
      </c>
      <c r="AL680" s="45" t="str">
        <f t="shared" si="87"/>
        <v>*0.41</v>
      </c>
      <c r="AM680" s="43" t="str">
        <f t="shared" si="89"/>
        <v>REZoning_Sol-Win</v>
      </c>
      <c r="AP680" t="s">
        <v>749</v>
      </c>
      <c r="AQ680" t="s">
        <v>57</v>
      </c>
      <c r="AR680">
        <v>2100</v>
      </c>
      <c r="AS680" t="s">
        <v>67</v>
      </c>
      <c r="AT680" t="s">
        <v>58</v>
      </c>
    </row>
    <row r="681" ht="29" spans="1:46">
      <c r="A681" s="31" t="s">
        <v>83</v>
      </c>
      <c r="C681" t="s">
        <v>750</v>
      </c>
      <c r="D681" s="5" t="s">
        <v>57</v>
      </c>
      <c r="E681">
        <v>2035</v>
      </c>
      <c r="F681" s="6" t="str">
        <f t="shared" si="82"/>
        <v>*0.64</v>
      </c>
      <c r="H681" t="s">
        <v>750</v>
      </c>
      <c r="I681" s="5" t="s">
        <v>57</v>
      </c>
      <c r="J681">
        <v>2050</v>
      </c>
      <c r="K681" s="38" t="str">
        <f t="shared" si="83"/>
        <v>*0.54</v>
      </c>
      <c r="P681" s="32" t="s">
        <v>750</v>
      </c>
      <c r="Q681" s="42" t="s">
        <v>57</v>
      </c>
      <c r="R681" s="32">
        <v>2035</v>
      </c>
      <c r="S681" s="43" t="str">
        <f t="shared" si="84"/>
        <v>*0.64</v>
      </c>
      <c r="U681" s="32" t="s">
        <v>750</v>
      </c>
      <c r="V681" s="42" t="s">
        <v>57</v>
      </c>
      <c r="W681" s="32">
        <v>2050</v>
      </c>
      <c r="X681" s="43" t="str">
        <f t="shared" si="85"/>
        <v>*0.53</v>
      </c>
      <c r="AC681" s="33" t="s">
        <v>750</v>
      </c>
      <c r="AD681" s="44" t="s">
        <v>57</v>
      </c>
      <c r="AE681" s="33">
        <v>2035</v>
      </c>
      <c r="AF681" s="45" t="str">
        <f t="shared" si="86"/>
        <v>*0.6</v>
      </c>
      <c r="AG681" s="43" t="str">
        <f t="shared" si="88"/>
        <v>REZoning_Sol-Win</v>
      </c>
      <c r="AI681" s="33" t="s">
        <v>750</v>
      </c>
      <c r="AJ681" s="44" t="s">
        <v>57</v>
      </c>
      <c r="AK681" s="33">
        <v>2050</v>
      </c>
      <c r="AL681" s="45" t="str">
        <f t="shared" si="87"/>
        <v>*0.5</v>
      </c>
      <c r="AM681" s="43" t="str">
        <f t="shared" si="89"/>
        <v>REZoning_Sol-Win</v>
      </c>
      <c r="AP681" t="s">
        <v>750</v>
      </c>
      <c r="AQ681" t="s">
        <v>57</v>
      </c>
      <c r="AR681">
        <v>2100</v>
      </c>
      <c r="AS681" t="s">
        <v>85</v>
      </c>
      <c r="AT681" t="s">
        <v>58</v>
      </c>
    </row>
    <row r="682" ht="29" spans="1:46">
      <c r="A682" s="31" t="s">
        <v>83</v>
      </c>
      <c r="C682" t="s">
        <v>751</v>
      </c>
      <c r="D682" s="5" t="s">
        <v>57</v>
      </c>
      <c r="E682">
        <v>2035</v>
      </c>
      <c r="F682" s="6" t="str">
        <f t="shared" si="82"/>
        <v>*0.64</v>
      </c>
      <c r="H682" t="s">
        <v>751</v>
      </c>
      <c r="I682" s="5" t="s">
        <v>57</v>
      </c>
      <c r="J682">
        <v>2050</v>
      </c>
      <c r="K682" s="38" t="str">
        <f t="shared" si="83"/>
        <v>*0.54</v>
      </c>
      <c r="P682" s="32" t="s">
        <v>751</v>
      </c>
      <c r="Q682" s="42" t="s">
        <v>57</v>
      </c>
      <c r="R682" s="32">
        <v>2035</v>
      </c>
      <c r="S682" s="43" t="str">
        <f t="shared" si="84"/>
        <v>*0.64</v>
      </c>
      <c r="U682" s="32" t="s">
        <v>751</v>
      </c>
      <c r="V682" s="42" t="s">
        <v>57</v>
      </c>
      <c r="W682" s="32">
        <v>2050</v>
      </c>
      <c r="X682" s="43" t="str">
        <f t="shared" si="85"/>
        <v>*0.53</v>
      </c>
      <c r="AC682" s="33" t="s">
        <v>751</v>
      </c>
      <c r="AD682" s="44" t="s">
        <v>57</v>
      </c>
      <c r="AE682" s="33">
        <v>2035</v>
      </c>
      <c r="AF682" s="45" t="str">
        <f t="shared" si="86"/>
        <v>*0.6</v>
      </c>
      <c r="AG682" s="43" t="str">
        <f t="shared" si="88"/>
        <v>REZoning_Sol-Win</v>
      </c>
      <c r="AI682" s="33" t="s">
        <v>751</v>
      </c>
      <c r="AJ682" s="44" t="s">
        <v>57</v>
      </c>
      <c r="AK682" s="33">
        <v>2050</v>
      </c>
      <c r="AL682" s="45" t="str">
        <f t="shared" si="87"/>
        <v>*0.5</v>
      </c>
      <c r="AM682" s="43" t="str">
        <f t="shared" si="89"/>
        <v>REZoning_Sol-Win</v>
      </c>
      <c r="AP682" t="s">
        <v>751</v>
      </c>
      <c r="AQ682" t="s">
        <v>57</v>
      </c>
      <c r="AR682">
        <v>2100</v>
      </c>
      <c r="AS682" t="s">
        <v>85</v>
      </c>
      <c r="AT682" t="s">
        <v>58</v>
      </c>
    </row>
    <row r="683" ht="29" spans="1:46">
      <c r="A683" s="31" t="s">
        <v>83</v>
      </c>
      <c r="C683" t="s">
        <v>752</v>
      </c>
      <c r="D683" s="5" t="s">
        <v>57</v>
      </c>
      <c r="E683">
        <v>2035</v>
      </c>
      <c r="F683" s="6" t="str">
        <f t="shared" si="82"/>
        <v>*0.64</v>
      </c>
      <c r="H683" t="s">
        <v>752</v>
      </c>
      <c r="I683" s="5" t="s">
        <v>57</v>
      </c>
      <c r="J683">
        <v>2050</v>
      </c>
      <c r="K683" s="38" t="str">
        <f t="shared" si="83"/>
        <v>*0.54</v>
      </c>
      <c r="P683" s="32" t="s">
        <v>752</v>
      </c>
      <c r="Q683" s="42" t="s">
        <v>57</v>
      </c>
      <c r="R683" s="32">
        <v>2035</v>
      </c>
      <c r="S683" s="43" t="str">
        <f t="shared" si="84"/>
        <v>*0.64</v>
      </c>
      <c r="U683" s="32" t="s">
        <v>752</v>
      </c>
      <c r="V683" s="42" t="s">
        <v>57</v>
      </c>
      <c r="W683" s="32">
        <v>2050</v>
      </c>
      <c r="X683" s="43" t="str">
        <f t="shared" si="85"/>
        <v>*0.53</v>
      </c>
      <c r="AC683" s="33" t="s">
        <v>752</v>
      </c>
      <c r="AD683" s="44" t="s">
        <v>57</v>
      </c>
      <c r="AE683" s="33">
        <v>2035</v>
      </c>
      <c r="AF683" s="45" t="str">
        <f t="shared" si="86"/>
        <v>*0.6</v>
      </c>
      <c r="AG683" s="43" t="str">
        <f t="shared" si="88"/>
        <v>REZoning_Sol-Win</v>
      </c>
      <c r="AI683" s="33" t="s">
        <v>752</v>
      </c>
      <c r="AJ683" s="44" t="s">
        <v>57</v>
      </c>
      <c r="AK683" s="33">
        <v>2050</v>
      </c>
      <c r="AL683" s="45" t="str">
        <f t="shared" si="87"/>
        <v>*0.5</v>
      </c>
      <c r="AM683" s="43" t="str">
        <f t="shared" si="89"/>
        <v>REZoning_Sol-Win</v>
      </c>
      <c r="AP683" t="s">
        <v>752</v>
      </c>
      <c r="AQ683" t="s">
        <v>57</v>
      </c>
      <c r="AR683">
        <v>2100</v>
      </c>
      <c r="AS683" t="s">
        <v>85</v>
      </c>
      <c r="AT683" t="s">
        <v>58</v>
      </c>
    </row>
    <row r="684" ht="29" spans="1:46">
      <c r="A684" s="31" t="s">
        <v>83</v>
      </c>
      <c r="C684" t="s">
        <v>753</v>
      </c>
      <c r="D684" s="5" t="s">
        <v>57</v>
      </c>
      <c r="E684">
        <v>2035</v>
      </c>
      <c r="F684" s="6" t="str">
        <f t="shared" si="82"/>
        <v>*0.64</v>
      </c>
      <c r="H684" t="s">
        <v>753</v>
      </c>
      <c r="I684" s="5" t="s">
        <v>57</v>
      </c>
      <c r="J684">
        <v>2050</v>
      </c>
      <c r="K684" s="38" t="str">
        <f t="shared" si="83"/>
        <v>*0.54</v>
      </c>
      <c r="P684" s="32" t="s">
        <v>753</v>
      </c>
      <c r="Q684" s="42" t="s">
        <v>57</v>
      </c>
      <c r="R684" s="32">
        <v>2035</v>
      </c>
      <c r="S684" s="43" t="str">
        <f t="shared" si="84"/>
        <v>*0.64</v>
      </c>
      <c r="U684" s="32" t="s">
        <v>753</v>
      </c>
      <c r="V684" s="42" t="s">
        <v>57</v>
      </c>
      <c r="W684" s="32">
        <v>2050</v>
      </c>
      <c r="X684" s="43" t="str">
        <f t="shared" si="85"/>
        <v>*0.53</v>
      </c>
      <c r="AC684" s="33" t="s">
        <v>753</v>
      </c>
      <c r="AD684" s="44" t="s">
        <v>57</v>
      </c>
      <c r="AE684" s="33">
        <v>2035</v>
      </c>
      <c r="AF684" s="45" t="str">
        <f t="shared" si="86"/>
        <v>*0.6</v>
      </c>
      <c r="AG684" s="43" t="str">
        <f t="shared" si="88"/>
        <v>REZoning_Sol-Win</v>
      </c>
      <c r="AI684" s="33" t="s">
        <v>753</v>
      </c>
      <c r="AJ684" s="44" t="s">
        <v>57</v>
      </c>
      <c r="AK684" s="33">
        <v>2050</v>
      </c>
      <c r="AL684" s="45" t="str">
        <f t="shared" si="87"/>
        <v>*0.5</v>
      </c>
      <c r="AM684" s="43" t="str">
        <f t="shared" si="89"/>
        <v>REZoning_Sol-Win</v>
      </c>
      <c r="AP684" t="s">
        <v>753</v>
      </c>
      <c r="AQ684" t="s">
        <v>57</v>
      </c>
      <c r="AR684">
        <v>2100</v>
      </c>
      <c r="AS684" t="s">
        <v>85</v>
      </c>
      <c r="AT684" t="s">
        <v>58</v>
      </c>
    </row>
    <row r="685" ht="29" spans="1:46">
      <c r="A685" s="31" t="s">
        <v>73</v>
      </c>
      <c r="C685" t="s">
        <v>754</v>
      </c>
      <c r="D685" s="5" t="s">
        <v>57</v>
      </c>
      <c r="E685">
        <v>2035</v>
      </c>
      <c r="F685" s="6" t="str">
        <f t="shared" si="82"/>
        <v>*0.63</v>
      </c>
      <c r="H685" t="s">
        <v>754</v>
      </c>
      <c r="I685" s="5" t="s">
        <v>57</v>
      </c>
      <c r="J685">
        <v>2050</v>
      </c>
      <c r="K685" s="38" t="str">
        <f t="shared" si="83"/>
        <v>*0.54</v>
      </c>
      <c r="P685" s="32" t="s">
        <v>754</v>
      </c>
      <c r="Q685" s="42" t="s">
        <v>57</v>
      </c>
      <c r="R685" s="32">
        <v>2035</v>
      </c>
      <c r="S685" s="43" t="str">
        <f t="shared" si="84"/>
        <v>*0.62</v>
      </c>
      <c r="U685" s="32" t="s">
        <v>754</v>
      </c>
      <c r="V685" s="42" t="s">
        <v>57</v>
      </c>
      <c r="W685" s="32">
        <v>2050</v>
      </c>
      <c r="X685" s="43" t="str">
        <f t="shared" si="85"/>
        <v>*0.51</v>
      </c>
      <c r="AC685" s="33" t="s">
        <v>754</v>
      </c>
      <c r="AD685" s="44" t="s">
        <v>57</v>
      </c>
      <c r="AE685" s="33">
        <v>2035</v>
      </c>
      <c r="AF685" s="45" t="str">
        <f t="shared" si="86"/>
        <v>*0.58</v>
      </c>
      <c r="AG685" s="43" t="str">
        <f t="shared" si="88"/>
        <v>REZoning_Sol-Win</v>
      </c>
      <c r="AI685" s="33" t="s">
        <v>754</v>
      </c>
      <c r="AJ685" s="44" t="s">
        <v>57</v>
      </c>
      <c r="AK685" s="33">
        <v>2050</v>
      </c>
      <c r="AL685" s="45" t="str">
        <f t="shared" si="87"/>
        <v>*0.49</v>
      </c>
      <c r="AM685" s="43" t="str">
        <f t="shared" si="89"/>
        <v>REZoning_Sol-Win</v>
      </c>
      <c r="AP685" t="s">
        <v>754</v>
      </c>
      <c r="AQ685" t="s">
        <v>57</v>
      </c>
      <c r="AR685">
        <v>2100</v>
      </c>
      <c r="AS685" t="s">
        <v>75</v>
      </c>
      <c r="AT685" t="s">
        <v>58</v>
      </c>
    </row>
    <row r="686" ht="29" spans="1:46">
      <c r="A686" s="31" t="s">
        <v>73</v>
      </c>
      <c r="C686" t="s">
        <v>755</v>
      </c>
      <c r="D686" s="5" t="s">
        <v>57</v>
      </c>
      <c r="E686">
        <v>2035</v>
      </c>
      <c r="F686" s="6" t="str">
        <f t="shared" si="82"/>
        <v>*0.63</v>
      </c>
      <c r="H686" t="s">
        <v>755</v>
      </c>
      <c r="I686" s="5" t="s">
        <v>57</v>
      </c>
      <c r="J686">
        <v>2050</v>
      </c>
      <c r="K686" s="38" t="str">
        <f t="shared" si="83"/>
        <v>*0.54</v>
      </c>
      <c r="P686" s="32" t="s">
        <v>755</v>
      </c>
      <c r="Q686" s="42" t="s">
        <v>57</v>
      </c>
      <c r="R686" s="32">
        <v>2035</v>
      </c>
      <c r="S686" s="43" t="str">
        <f t="shared" si="84"/>
        <v>*0.62</v>
      </c>
      <c r="U686" s="32" t="s">
        <v>755</v>
      </c>
      <c r="V686" s="42" t="s">
        <v>57</v>
      </c>
      <c r="W686" s="32">
        <v>2050</v>
      </c>
      <c r="X686" s="43" t="str">
        <f t="shared" si="85"/>
        <v>*0.51</v>
      </c>
      <c r="AC686" s="33" t="s">
        <v>755</v>
      </c>
      <c r="AD686" s="44" t="s">
        <v>57</v>
      </c>
      <c r="AE686" s="33">
        <v>2035</v>
      </c>
      <c r="AF686" s="45" t="str">
        <f t="shared" si="86"/>
        <v>*0.58</v>
      </c>
      <c r="AG686" s="43" t="str">
        <f t="shared" si="88"/>
        <v>REZoning_Sol-Win</v>
      </c>
      <c r="AI686" s="33" t="s">
        <v>755</v>
      </c>
      <c r="AJ686" s="44" t="s">
        <v>57</v>
      </c>
      <c r="AK686" s="33">
        <v>2050</v>
      </c>
      <c r="AL686" s="45" t="str">
        <f t="shared" si="87"/>
        <v>*0.49</v>
      </c>
      <c r="AM686" s="43" t="str">
        <f t="shared" si="89"/>
        <v>REZoning_Sol-Win</v>
      </c>
      <c r="AP686" t="s">
        <v>755</v>
      </c>
      <c r="AQ686" t="s">
        <v>57</v>
      </c>
      <c r="AR686">
        <v>2100</v>
      </c>
      <c r="AS686" t="s">
        <v>75</v>
      </c>
      <c r="AT686" t="s">
        <v>58</v>
      </c>
    </row>
    <row r="687" ht="29" spans="1:46">
      <c r="A687" s="31" t="s">
        <v>73</v>
      </c>
      <c r="C687" t="s">
        <v>756</v>
      </c>
      <c r="D687" s="5" t="s">
        <v>57</v>
      </c>
      <c r="E687">
        <v>2035</v>
      </c>
      <c r="F687" s="6" t="str">
        <f t="shared" si="82"/>
        <v>*0.63</v>
      </c>
      <c r="H687" t="s">
        <v>756</v>
      </c>
      <c r="I687" s="5" t="s">
        <v>57</v>
      </c>
      <c r="J687">
        <v>2050</v>
      </c>
      <c r="K687" s="38" t="str">
        <f t="shared" si="83"/>
        <v>*0.54</v>
      </c>
      <c r="P687" s="32" t="s">
        <v>756</v>
      </c>
      <c r="Q687" s="42" t="s">
        <v>57</v>
      </c>
      <c r="R687" s="32">
        <v>2035</v>
      </c>
      <c r="S687" s="43" t="str">
        <f t="shared" si="84"/>
        <v>*0.62</v>
      </c>
      <c r="U687" s="32" t="s">
        <v>756</v>
      </c>
      <c r="V687" s="42" t="s">
        <v>57</v>
      </c>
      <c r="W687" s="32">
        <v>2050</v>
      </c>
      <c r="X687" s="43" t="str">
        <f t="shared" si="85"/>
        <v>*0.51</v>
      </c>
      <c r="AC687" s="33" t="s">
        <v>756</v>
      </c>
      <c r="AD687" s="44" t="s">
        <v>57</v>
      </c>
      <c r="AE687" s="33">
        <v>2035</v>
      </c>
      <c r="AF687" s="45" t="str">
        <f t="shared" si="86"/>
        <v>*0.58</v>
      </c>
      <c r="AG687" s="43" t="str">
        <f t="shared" si="88"/>
        <v>REZoning_Sol-Win</v>
      </c>
      <c r="AI687" s="33" t="s">
        <v>756</v>
      </c>
      <c r="AJ687" s="44" t="s">
        <v>57</v>
      </c>
      <c r="AK687" s="33">
        <v>2050</v>
      </c>
      <c r="AL687" s="45" t="str">
        <f t="shared" si="87"/>
        <v>*0.49</v>
      </c>
      <c r="AM687" s="43" t="str">
        <f t="shared" si="89"/>
        <v>REZoning_Sol-Win</v>
      </c>
      <c r="AP687" t="s">
        <v>756</v>
      </c>
      <c r="AQ687" t="s">
        <v>57</v>
      </c>
      <c r="AR687">
        <v>2100</v>
      </c>
      <c r="AS687" t="s">
        <v>75</v>
      </c>
      <c r="AT687" t="s">
        <v>58</v>
      </c>
    </row>
    <row r="688" ht="29" spans="1:46">
      <c r="A688" s="31" t="s">
        <v>73</v>
      </c>
      <c r="C688" t="s">
        <v>757</v>
      </c>
      <c r="D688" s="5" t="s">
        <v>57</v>
      </c>
      <c r="E688">
        <v>2035</v>
      </c>
      <c r="F688" s="6" t="str">
        <f t="shared" si="82"/>
        <v>*0.63</v>
      </c>
      <c r="H688" t="s">
        <v>757</v>
      </c>
      <c r="I688" s="5" t="s">
        <v>57</v>
      </c>
      <c r="J688">
        <v>2050</v>
      </c>
      <c r="K688" s="38" t="str">
        <f t="shared" si="83"/>
        <v>*0.54</v>
      </c>
      <c r="P688" s="32" t="s">
        <v>757</v>
      </c>
      <c r="Q688" s="42" t="s">
        <v>57</v>
      </c>
      <c r="R688" s="32">
        <v>2035</v>
      </c>
      <c r="S688" s="43" t="str">
        <f t="shared" si="84"/>
        <v>*0.62</v>
      </c>
      <c r="U688" s="32" t="s">
        <v>757</v>
      </c>
      <c r="V688" s="42" t="s">
        <v>57</v>
      </c>
      <c r="W688" s="32">
        <v>2050</v>
      </c>
      <c r="X688" s="43" t="str">
        <f t="shared" si="85"/>
        <v>*0.51</v>
      </c>
      <c r="AC688" s="33" t="s">
        <v>757</v>
      </c>
      <c r="AD688" s="44" t="s">
        <v>57</v>
      </c>
      <c r="AE688" s="33">
        <v>2035</v>
      </c>
      <c r="AF688" s="45" t="str">
        <f t="shared" si="86"/>
        <v>*0.58</v>
      </c>
      <c r="AG688" s="43" t="str">
        <f t="shared" si="88"/>
        <v>REZoning_Sol-Win</v>
      </c>
      <c r="AI688" s="33" t="s">
        <v>757</v>
      </c>
      <c r="AJ688" s="44" t="s">
        <v>57</v>
      </c>
      <c r="AK688" s="33">
        <v>2050</v>
      </c>
      <c r="AL688" s="45" t="str">
        <f t="shared" si="87"/>
        <v>*0.49</v>
      </c>
      <c r="AM688" s="43" t="str">
        <f t="shared" si="89"/>
        <v>REZoning_Sol-Win</v>
      </c>
      <c r="AP688" t="s">
        <v>757</v>
      </c>
      <c r="AQ688" t="s">
        <v>57</v>
      </c>
      <c r="AR688">
        <v>2100</v>
      </c>
      <c r="AS688" t="s">
        <v>75</v>
      </c>
      <c r="AT688" t="s">
        <v>58</v>
      </c>
    </row>
    <row r="689" ht="29" spans="1:46">
      <c r="A689" s="31" t="s">
        <v>73</v>
      </c>
      <c r="C689" t="s">
        <v>758</v>
      </c>
      <c r="D689" s="5" t="s">
        <v>57</v>
      </c>
      <c r="E689">
        <v>2035</v>
      </c>
      <c r="F689" s="6" t="str">
        <f t="shared" si="82"/>
        <v>*0.63</v>
      </c>
      <c r="H689" t="s">
        <v>758</v>
      </c>
      <c r="I689" s="5" t="s">
        <v>57</v>
      </c>
      <c r="J689">
        <v>2050</v>
      </c>
      <c r="K689" s="38" t="str">
        <f t="shared" si="83"/>
        <v>*0.54</v>
      </c>
      <c r="P689" s="32" t="s">
        <v>758</v>
      </c>
      <c r="Q689" s="42" t="s">
        <v>57</v>
      </c>
      <c r="R689" s="32">
        <v>2035</v>
      </c>
      <c r="S689" s="43" t="str">
        <f t="shared" si="84"/>
        <v>*0.62</v>
      </c>
      <c r="U689" s="32" t="s">
        <v>758</v>
      </c>
      <c r="V689" s="42" t="s">
        <v>57</v>
      </c>
      <c r="W689" s="32">
        <v>2050</v>
      </c>
      <c r="X689" s="43" t="str">
        <f t="shared" si="85"/>
        <v>*0.51</v>
      </c>
      <c r="AC689" s="33" t="s">
        <v>758</v>
      </c>
      <c r="AD689" s="44" t="s">
        <v>57</v>
      </c>
      <c r="AE689" s="33">
        <v>2035</v>
      </c>
      <c r="AF689" s="45" t="str">
        <f t="shared" si="86"/>
        <v>*0.58</v>
      </c>
      <c r="AG689" s="43" t="str">
        <f t="shared" si="88"/>
        <v>REZoning_Sol-Win</v>
      </c>
      <c r="AI689" s="33" t="s">
        <v>758</v>
      </c>
      <c r="AJ689" s="44" t="s">
        <v>57</v>
      </c>
      <c r="AK689" s="33">
        <v>2050</v>
      </c>
      <c r="AL689" s="45" t="str">
        <f t="shared" si="87"/>
        <v>*0.49</v>
      </c>
      <c r="AM689" s="43" t="str">
        <f t="shared" si="89"/>
        <v>REZoning_Sol-Win</v>
      </c>
      <c r="AP689" t="s">
        <v>758</v>
      </c>
      <c r="AQ689" t="s">
        <v>57</v>
      </c>
      <c r="AR689">
        <v>2100</v>
      </c>
      <c r="AS689" t="s">
        <v>75</v>
      </c>
      <c r="AT689" t="s">
        <v>58</v>
      </c>
    </row>
    <row r="690" ht="29" spans="1:46">
      <c r="A690" s="31" t="s">
        <v>73</v>
      </c>
      <c r="C690" t="s">
        <v>759</v>
      </c>
      <c r="D690" s="5" t="s">
        <v>57</v>
      </c>
      <c r="E690">
        <v>2035</v>
      </c>
      <c r="F690" s="6" t="str">
        <f t="shared" si="82"/>
        <v>*0.63</v>
      </c>
      <c r="H690" t="s">
        <v>759</v>
      </c>
      <c r="I690" s="5" t="s">
        <v>57</v>
      </c>
      <c r="J690">
        <v>2050</v>
      </c>
      <c r="K690" s="38" t="str">
        <f t="shared" si="83"/>
        <v>*0.54</v>
      </c>
      <c r="P690" s="32" t="s">
        <v>759</v>
      </c>
      <c r="Q690" s="42" t="s">
        <v>57</v>
      </c>
      <c r="R690" s="32">
        <v>2035</v>
      </c>
      <c r="S690" s="43" t="str">
        <f t="shared" si="84"/>
        <v>*0.62</v>
      </c>
      <c r="U690" s="32" t="s">
        <v>759</v>
      </c>
      <c r="V690" s="42" t="s">
        <v>57</v>
      </c>
      <c r="W690" s="32">
        <v>2050</v>
      </c>
      <c r="X690" s="43" t="str">
        <f t="shared" si="85"/>
        <v>*0.51</v>
      </c>
      <c r="AC690" s="33" t="s">
        <v>759</v>
      </c>
      <c r="AD690" s="44" t="s">
        <v>57</v>
      </c>
      <c r="AE690" s="33">
        <v>2035</v>
      </c>
      <c r="AF690" s="45" t="str">
        <f t="shared" si="86"/>
        <v>*0.58</v>
      </c>
      <c r="AG690" s="43" t="str">
        <f t="shared" si="88"/>
        <v>REZoning_Sol-Win</v>
      </c>
      <c r="AI690" s="33" t="s">
        <v>759</v>
      </c>
      <c r="AJ690" s="44" t="s">
        <v>57</v>
      </c>
      <c r="AK690" s="33">
        <v>2050</v>
      </c>
      <c r="AL690" s="45" t="str">
        <f t="shared" si="87"/>
        <v>*0.49</v>
      </c>
      <c r="AM690" s="43" t="str">
        <f t="shared" si="89"/>
        <v>REZoning_Sol-Win</v>
      </c>
      <c r="AP690" t="s">
        <v>759</v>
      </c>
      <c r="AQ690" t="s">
        <v>57</v>
      </c>
      <c r="AR690">
        <v>2100</v>
      </c>
      <c r="AS690" t="s">
        <v>75</v>
      </c>
      <c r="AT690" t="s">
        <v>58</v>
      </c>
    </row>
    <row r="691" ht="29" spans="1:46">
      <c r="A691" s="31" t="s">
        <v>65</v>
      </c>
      <c r="C691" t="s">
        <v>760</v>
      </c>
      <c r="D691" s="5" t="s">
        <v>57</v>
      </c>
      <c r="E691">
        <v>2035</v>
      </c>
      <c r="F691" s="6" t="str">
        <f t="shared" si="82"/>
        <v>*0.61</v>
      </c>
      <c r="H691" t="s">
        <v>760</v>
      </c>
      <c r="I691" s="5" t="s">
        <v>57</v>
      </c>
      <c r="J691">
        <v>2050</v>
      </c>
      <c r="K691" s="38" t="str">
        <f t="shared" si="83"/>
        <v>*0.5</v>
      </c>
      <c r="P691" s="32" t="s">
        <v>760</v>
      </c>
      <c r="Q691" s="42" t="s">
        <v>57</v>
      </c>
      <c r="R691" s="32">
        <v>2035</v>
      </c>
      <c r="S691" s="43" t="str">
        <f t="shared" si="84"/>
        <v>*0.58</v>
      </c>
      <c r="U691" s="32" t="s">
        <v>760</v>
      </c>
      <c r="V691" s="42" t="s">
        <v>57</v>
      </c>
      <c r="W691" s="32">
        <v>2050</v>
      </c>
      <c r="X691" s="43" t="str">
        <f t="shared" si="85"/>
        <v>*0.47</v>
      </c>
      <c r="AC691" s="33" t="s">
        <v>760</v>
      </c>
      <c r="AD691" s="44" t="s">
        <v>57</v>
      </c>
      <c r="AE691" s="33">
        <v>2035</v>
      </c>
      <c r="AF691" s="45" t="str">
        <f t="shared" si="86"/>
        <v>*0.53</v>
      </c>
      <c r="AG691" s="43" t="str">
        <f t="shared" si="88"/>
        <v>REZoning_Sol-Win</v>
      </c>
      <c r="AI691" s="33" t="s">
        <v>760</v>
      </c>
      <c r="AJ691" s="44" t="s">
        <v>57</v>
      </c>
      <c r="AK691" s="33">
        <v>2050</v>
      </c>
      <c r="AL691" s="45" t="str">
        <f t="shared" si="87"/>
        <v>*0.41</v>
      </c>
      <c r="AM691" s="43" t="str">
        <f t="shared" si="89"/>
        <v>REZoning_Sol-Win</v>
      </c>
      <c r="AP691" t="s">
        <v>760</v>
      </c>
      <c r="AQ691" t="s">
        <v>57</v>
      </c>
      <c r="AR691">
        <v>2100</v>
      </c>
      <c r="AS691" t="s">
        <v>67</v>
      </c>
      <c r="AT691" t="s">
        <v>58</v>
      </c>
    </row>
    <row r="692" ht="29" spans="1:46">
      <c r="A692" s="31" t="s">
        <v>65</v>
      </c>
      <c r="C692" t="s">
        <v>761</v>
      </c>
      <c r="D692" s="5" t="s">
        <v>57</v>
      </c>
      <c r="E692">
        <v>2035</v>
      </c>
      <c r="F692" s="6" t="str">
        <f t="shared" si="82"/>
        <v>*0.61</v>
      </c>
      <c r="H692" t="s">
        <v>761</v>
      </c>
      <c r="I692" s="5" t="s">
        <v>57</v>
      </c>
      <c r="J692">
        <v>2050</v>
      </c>
      <c r="K692" s="38" t="str">
        <f t="shared" si="83"/>
        <v>*0.5</v>
      </c>
      <c r="P692" s="32" t="s">
        <v>761</v>
      </c>
      <c r="Q692" s="42" t="s">
        <v>57</v>
      </c>
      <c r="R692" s="32">
        <v>2035</v>
      </c>
      <c r="S692" s="43" t="str">
        <f t="shared" si="84"/>
        <v>*0.58</v>
      </c>
      <c r="U692" s="32" t="s">
        <v>761</v>
      </c>
      <c r="V692" s="42" t="s">
        <v>57</v>
      </c>
      <c r="W692" s="32">
        <v>2050</v>
      </c>
      <c r="X692" s="43" t="str">
        <f t="shared" si="85"/>
        <v>*0.47</v>
      </c>
      <c r="AC692" s="33" t="s">
        <v>761</v>
      </c>
      <c r="AD692" s="44" t="s">
        <v>57</v>
      </c>
      <c r="AE692" s="33">
        <v>2035</v>
      </c>
      <c r="AF692" s="45" t="str">
        <f t="shared" si="86"/>
        <v>*0.53</v>
      </c>
      <c r="AG692" s="43" t="str">
        <f t="shared" si="88"/>
        <v>REZoning_Sol-Win</v>
      </c>
      <c r="AI692" s="33" t="s">
        <v>761</v>
      </c>
      <c r="AJ692" s="44" t="s">
        <v>57</v>
      </c>
      <c r="AK692" s="33">
        <v>2050</v>
      </c>
      <c r="AL692" s="45" t="str">
        <f t="shared" si="87"/>
        <v>*0.41</v>
      </c>
      <c r="AM692" s="43" t="str">
        <f t="shared" si="89"/>
        <v>REZoning_Sol-Win</v>
      </c>
      <c r="AP692" t="s">
        <v>761</v>
      </c>
      <c r="AQ692" t="s">
        <v>57</v>
      </c>
      <c r="AR692">
        <v>2100</v>
      </c>
      <c r="AS692" t="s">
        <v>67</v>
      </c>
      <c r="AT692" t="s">
        <v>58</v>
      </c>
    </row>
    <row r="693" ht="29" spans="1:46">
      <c r="A693" s="31" t="s">
        <v>65</v>
      </c>
      <c r="C693" t="s">
        <v>762</v>
      </c>
      <c r="D693" s="5" t="s">
        <v>57</v>
      </c>
      <c r="E693">
        <v>2035</v>
      </c>
      <c r="F693" s="6" t="str">
        <f t="shared" si="82"/>
        <v>*0.61</v>
      </c>
      <c r="H693" t="s">
        <v>762</v>
      </c>
      <c r="I693" s="5" t="s">
        <v>57</v>
      </c>
      <c r="J693">
        <v>2050</v>
      </c>
      <c r="K693" s="38" t="str">
        <f t="shared" si="83"/>
        <v>*0.5</v>
      </c>
      <c r="P693" s="32" t="s">
        <v>762</v>
      </c>
      <c r="Q693" s="42" t="s">
        <v>57</v>
      </c>
      <c r="R693" s="32">
        <v>2035</v>
      </c>
      <c r="S693" s="43" t="str">
        <f t="shared" si="84"/>
        <v>*0.58</v>
      </c>
      <c r="U693" s="32" t="s">
        <v>762</v>
      </c>
      <c r="V693" s="42" t="s">
        <v>57</v>
      </c>
      <c r="W693" s="32">
        <v>2050</v>
      </c>
      <c r="X693" s="43" t="str">
        <f t="shared" si="85"/>
        <v>*0.47</v>
      </c>
      <c r="AC693" s="33" t="s">
        <v>762</v>
      </c>
      <c r="AD693" s="44" t="s">
        <v>57</v>
      </c>
      <c r="AE693" s="33">
        <v>2035</v>
      </c>
      <c r="AF693" s="45" t="str">
        <f t="shared" si="86"/>
        <v>*0.53</v>
      </c>
      <c r="AG693" s="43" t="str">
        <f t="shared" si="88"/>
        <v>REZoning_Sol-Win</v>
      </c>
      <c r="AI693" s="33" t="s">
        <v>762</v>
      </c>
      <c r="AJ693" s="44" t="s">
        <v>57</v>
      </c>
      <c r="AK693" s="33">
        <v>2050</v>
      </c>
      <c r="AL693" s="45" t="str">
        <f t="shared" si="87"/>
        <v>*0.41</v>
      </c>
      <c r="AM693" s="43" t="str">
        <f t="shared" si="89"/>
        <v>REZoning_Sol-Win</v>
      </c>
      <c r="AP693" t="s">
        <v>762</v>
      </c>
      <c r="AQ693" t="s">
        <v>57</v>
      </c>
      <c r="AR693">
        <v>2100</v>
      </c>
      <c r="AS693" t="s">
        <v>67</v>
      </c>
      <c r="AT693" t="s">
        <v>58</v>
      </c>
    </row>
    <row r="694" ht="29" spans="1:46">
      <c r="A694" s="31" t="s">
        <v>79</v>
      </c>
      <c r="C694" t="s">
        <v>763</v>
      </c>
      <c r="D694" s="5" t="s">
        <v>57</v>
      </c>
      <c r="E694">
        <v>2035</v>
      </c>
      <c r="F694" s="6" t="str">
        <f t="shared" si="82"/>
        <v>*0.6</v>
      </c>
      <c r="H694" t="s">
        <v>763</v>
      </c>
      <c r="I694" s="5" t="s">
        <v>57</v>
      </c>
      <c r="J694">
        <v>2050</v>
      </c>
      <c r="K694" s="38" t="str">
        <f t="shared" si="83"/>
        <v>*0.5</v>
      </c>
      <c r="P694" s="32" t="s">
        <v>763</v>
      </c>
      <c r="Q694" s="42" t="s">
        <v>57</v>
      </c>
      <c r="R694" s="32">
        <v>2035</v>
      </c>
      <c r="S694" s="43" t="str">
        <f t="shared" si="84"/>
        <v>*0.59</v>
      </c>
      <c r="U694" s="32" t="s">
        <v>763</v>
      </c>
      <c r="V694" s="42" t="s">
        <v>57</v>
      </c>
      <c r="W694" s="32">
        <v>2050</v>
      </c>
      <c r="X694" s="43" t="str">
        <f t="shared" si="85"/>
        <v>*0.47</v>
      </c>
      <c r="AC694" s="33" t="s">
        <v>763</v>
      </c>
      <c r="AD694" s="44" t="s">
        <v>57</v>
      </c>
      <c r="AE694" s="33">
        <v>2035</v>
      </c>
      <c r="AF694" s="45" t="str">
        <f t="shared" si="86"/>
        <v>*0.53</v>
      </c>
      <c r="AG694" s="43" t="str">
        <f t="shared" si="88"/>
        <v>REZoning_Sol-Win</v>
      </c>
      <c r="AI694" s="33" t="s">
        <v>763</v>
      </c>
      <c r="AJ694" s="44" t="s">
        <v>57</v>
      </c>
      <c r="AK694" s="33">
        <v>2050</v>
      </c>
      <c r="AL694" s="45" t="str">
        <f t="shared" si="87"/>
        <v>*0.41</v>
      </c>
      <c r="AM694" s="43" t="str">
        <f t="shared" si="89"/>
        <v>REZoning_Sol-Win</v>
      </c>
      <c r="AP694" t="s">
        <v>763</v>
      </c>
      <c r="AQ694" t="s">
        <v>57</v>
      </c>
      <c r="AR694">
        <v>2100</v>
      </c>
      <c r="AS694" t="s">
        <v>67</v>
      </c>
      <c r="AT694" t="s">
        <v>58</v>
      </c>
    </row>
    <row r="695" ht="29" spans="1:46">
      <c r="A695" s="31" t="s">
        <v>79</v>
      </c>
      <c r="C695" t="s">
        <v>764</v>
      </c>
      <c r="D695" s="5" t="s">
        <v>57</v>
      </c>
      <c r="E695">
        <v>2035</v>
      </c>
      <c r="F695" s="6" t="str">
        <f t="shared" si="82"/>
        <v>*0.6</v>
      </c>
      <c r="H695" t="s">
        <v>764</v>
      </c>
      <c r="I695" s="5" t="s">
        <v>57</v>
      </c>
      <c r="J695">
        <v>2050</v>
      </c>
      <c r="K695" s="38" t="str">
        <f t="shared" si="83"/>
        <v>*0.5</v>
      </c>
      <c r="P695" s="32" t="s">
        <v>764</v>
      </c>
      <c r="Q695" s="42" t="s">
        <v>57</v>
      </c>
      <c r="R695" s="32">
        <v>2035</v>
      </c>
      <c r="S695" s="43" t="str">
        <f t="shared" si="84"/>
        <v>*0.59</v>
      </c>
      <c r="U695" s="32" t="s">
        <v>764</v>
      </c>
      <c r="V695" s="42" t="s">
        <v>57</v>
      </c>
      <c r="W695" s="32">
        <v>2050</v>
      </c>
      <c r="X695" s="43" t="str">
        <f t="shared" si="85"/>
        <v>*0.47</v>
      </c>
      <c r="AC695" s="33" t="s">
        <v>764</v>
      </c>
      <c r="AD695" s="44" t="s">
        <v>57</v>
      </c>
      <c r="AE695" s="33">
        <v>2035</v>
      </c>
      <c r="AF695" s="45" t="str">
        <f t="shared" si="86"/>
        <v>*0.53</v>
      </c>
      <c r="AG695" s="43" t="str">
        <f t="shared" si="88"/>
        <v>REZoning_Sol-Win</v>
      </c>
      <c r="AI695" s="33" t="s">
        <v>764</v>
      </c>
      <c r="AJ695" s="44" t="s">
        <v>57</v>
      </c>
      <c r="AK695" s="33">
        <v>2050</v>
      </c>
      <c r="AL695" s="45" t="str">
        <f t="shared" si="87"/>
        <v>*0.41</v>
      </c>
      <c r="AM695" s="43" t="str">
        <f t="shared" si="89"/>
        <v>REZoning_Sol-Win</v>
      </c>
      <c r="AP695" t="s">
        <v>764</v>
      </c>
      <c r="AQ695" t="s">
        <v>57</v>
      </c>
      <c r="AR695">
        <v>2100</v>
      </c>
      <c r="AS695" t="s">
        <v>67</v>
      </c>
      <c r="AT695" t="s">
        <v>58</v>
      </c>
    </row>
    <row r="696" ht="29" spans="1:46">
      <c r="A696" s="31" t="s">
        <v>79</v>
      </c>
      <c r="C696" t="s">
        <v>765</v>
      </c>
      <c r="D696" s="5" t="s">
        <v>57</v>
      </c>
      <c r="E696">
        <v>2035</v>
      </c>
      <c r="F696" s="6" t="str">
        <f t="shared" si="82"/>
        <v>*0.6</v>
      </c>
      <c r="H696" t="s">
        <v>765</v>
      </c>
      <c r="I696" s="5" t="s">
        <v>57</v>
      </c>
      <c r="J696">
        <v>2050</v>
      </c>
      <c r="K696" s="38" t="str">
        <f t="shared" si="83"/>
        <v>*0.5</v>
      </c>
      <c r="P696" s="32" t="s">
        <v>765</v>
      </c>
      <c r="Q696" s="42" t="s">
        <v>57</v>
      </c>
      <c r="R696" s="32">
        <v>2035</v>
      </c>
      <c r="S696" s="43" t="str">
        <f t="shared" si="84"/>
        <v>*0.59</v>
      </c>
      <c r="U696" s="32" t="s">
        <v>765</v>
      </c>
      <c r="V696" s="42" t="s">
        <v>57</v>
      </c>
      <c r="W696" s="32">
        <v>2050</v>
      </c>
      <c r="X696" s="43" t="str">
        <f t="shared" si="85"/>
        <v>*0.47</v>
      </c>
      <c r="AC696" s="33" t="s">
        <v>765</v>
      </c>
      <c r="AD696" s="44" t="s">
        <v>57</v>
      </c>
      <c r="AE696" s="33">
        <v>2035</v>
      </c>
      <c r="AF696" s="45" t="str">
        <f t="shared" si="86"/>
        <v>*0.53</v>
      </c>
      <c r="AG696" s="43" t="str">
        <f t="shared" si="88"/>
        <v>REZoning_Sol-Win</v>
      </c>
      <c r="AI696" s="33" t="s">
        <v>765</v>
      </c>
      <c r="AJ696" s="44" t="s">
        <v>57</v>
      </c>
      <c r="AK696" s="33">
        <v>2050</v>
      </c>
      <c r="AL696" s="45" t="str">
        <f t="shared" si="87"/>
        <v>*0.41</v>
      </c>
      <c r="AM696" s="43" t="str">
        <f t="shared" si="89"/>
        <v>REZoning_Sol-Win</v>
      </c>
      <c r="AP696" t="s">
        <v>765</v>
      </c>
      <c r="AQ696" t="s">
        <v>57</v>
      </c>
      <c r="AR696">
        <v>2100</v>
      </c>
      <c r="AS696" t="s">
        <v>67</v>
      </c>
      <c r="AT696" t="s">
        <v>58</v>
      </c>
    </row>
    <row r="697" ht="29" spans="1:46">
      <c r="A697" s="31" t="s">
        <v>79</v>
      </c>
      <c r="C697" t="s">
        <v>766</v>
      </c>
      <c r="D697" s="5" t="s">
        <v>57</v>
      </c>
      <c r="E697">
        <v>2035</v>
      </c>
      <c r="F697" s="6" t="str">
        <f t="shared" si="82"/>
        <v>*0.6</v>
      </c>
      <c r="H697" t="s">
        <v>766</v>
      </c>
      <c r="I697" s="5" t="s">
        <v>57</v>
      </c>
      <c r="J697">
        <v>2050</v>
      </c>
      <c r="K697" s="38" t="str">
        <f t="shared" si="83"/>
        <v>*0.5</v>
      </c>
      <c r="P697" s="32" t="s">
        <v>766</v>
      </c>
      <c r="Q697" s="42" t="s">
        <v>57</v>
      </c>
      <c r="R697" s="32">
        <v>2035</v>
      </c>
      <c r="S697" s="43" t="str">
        <f t="shared" si="84"/>
        <v>*0.59</v>
      </c>
      <c r="U697" s="32" t="s">
        <v>766</v>
      </c>
      <c r="V697" s="42" t="s">
        <v>57</v>
      </c>
      <c r="W697" s="32">
        <v>2050</v>
      </c>
      <c r="X697" s="43" t="str">
        <f t="shared" si="85"/>
        <v>*0.47</v>
      </c>
      <c r="AC697" s="33" t="s">
        <v>766</v>
      </c>
      <c r="AD697" s="44" t="s">
        <v>57</v>
      </c>
      <c r="AE697" s="33">
        <v>2035</v>
      </c>
      <c r="AF697" s="45" t="str">
        <f t="shared" si="86"/>
        <v>*0.53</v>
      </c>
      <c r="AG697" s="43" t="str">
        <f t="shared" si="88"/>
        <v>REZoning_Sol-Win</v>
      </c>
      <c r="AI697" s="33" t="s">
        <v>766</v>
      </c>
      <c r="AJ697" s="44" t="s">
        <v>57</v>
      </c>
      <c r="AK697" s="33">
        <v>2050</v>
      </c>
      <c r="AL697" s="45" t="str">
        <f t="shared" si="87"/>
        <v>*0.41</v>
      </c>
      <c r="AM697" s="43" t="str">
        <f t="shared" si="89"/>
        <v>REZoning_Sol-Win</v>
      </c>
      <c r="AP697" t="s">
        <v>766</v>
      </c>
      <c r="AQ697" t="s">
        <v>57</v>
      </c>
      <c r="AR697">
        <v>2100</v>
      </c>
      <c r="AS697" t="s">
        <v>67</v>
      </c>
      <c r="AT697" t="s">
        <v>58</v>
      </c>
    </row>
    <row r="698" ht="29" spans="1:46">
      <c r="A698" s="31" t="s">
        <v>79</v>
      </c>
      <c r="C698" t="s">
        <v>767</v>
      </c>
      <c r="D698" s="5" t="s">
        <v>57</v>
      </c>
      <c r="E698">
        <v>2035</v>
      </c>
      <c r="F698" s="6" t="str">
        <f t="shared" si="82"/>
        <v>*0.6</v>
      </c>
      <c r="H698" t="s">
        <v>767</v>
      </c>
      <c r="I698" s="5" t="s">
        <v>57</v>
      </c>
      <c r="J698">
        <v>2050</v>
      </c>
      <c r="K698" s="38" t="str">
        <f t="shared" si="83"/>
        <v>*0.5</v>
      </c>
      <c r="P698" s="32" t="s">
        <v>767</v>
      </c>
      <c r="Q698" s="42" t="s">
        <v>57</v>
      </c>
      <c r="R698" s="32">
        <v>2035</v>
      </c>
      <c r="S698" s="43" t="str">
        <f t="shared" si="84"/>
        <v>*0.59</v>
      </c>
      <c r="U698" s="32" t="s">
        <v>767</v>
      </c>
      <c r="V698" s="42" t="s">
        <v>57</v>
      </c>
      <c r="W698" s="32">
        <v>2050</v>
      </c>
      <c r="X698" s="43" t="str">
        <f t="shared" si="85"/>
        <v>*0.47</v>
      </c>
      <c r="AC698" s="33" t="s">
        <v>767</v>
      </c>
      <c r="AD698" s="44" t="s">
        <v>57</v>
      </c>
      <c r="AE698" s="33">
        <v>2035</v>
      </c>
      <c r="AF698" s="45" t="str">
        <f t="shared" si="86"/>
        <v>*0.53</v>
      </c>
      <c r="AG698" s="43" t="str">
        <f t="shared" si="88"/>
        <v>REZoning_Sol-Win</v>
      </c>
      <c r="AI698" s="33" t="s">
        <v>767</v>
      </c>
      <c r="AJ698" s="44" t="s">
        <v>57</v>
      </c>
      <c r="AK698" s="33">
        <v>2050</v>
      </c>
      <c r="AL698" s="45" t="str">
        <f t="shared" si="87"/>
        <v>*0.41</v>
      </c>
      <c r="AM698" s="43" t="str">
        <f t="shared" si="89"/>
        <v>REZoning_Sol-Win</v>
      </c>
      <c r="AP698" t="s">
        <v>767</v>
      </c>
      <c r="AQ698" t="s">
        <v>57</v>
      </c>
      <c r="AR698">
        <v>2100</v>
      </c>
      <c r="AS698" t="s">
        <v>67</v>
      </c>
      <c r="AT698" t="s">
        <v>58</v>
      </c>
    </row>
    <row r="699" ht="29" spans="1:46">
      <c r="A699" s="31" t="s">
        <v>65</v>
      </c>
      <c r="C699" t="s">
        <v>768</v>
      </c>
      <c r="D699" s="5" t="s">
        <v>57</v>
      </c>
      <c r="E699">
        <v>2035</v>
      </c>
      <c r="F699" s="6" t="str">
        <f t="shared" si="82"/>
        <v>*0.61</v>
      </c>
      <c r="H699" t="s">
        <v>768</v>
      </c>
      <c r="I699" s="5" t="s">
        <v>57</v>
      </c>
      <c r="J699">
        <v>2050</v>
      </c>
      <c r="K699" s="38" t="str">
        <f t="shared" si="83"/>
        <v>*0.5</v>
      </c>
      <c r="P699" s="32" t="s">
        <v>768</v>
      </c>
      <c r="Q699" s="42" t="s">
        <v>57</v>
      </c>
      <c r="R699" s="32">
        <v>2035</v>
      </c>
      <c r="S699" s="43" t="str">
        <f t="shared" si="84"/>
        <v>*0.58</v>
      </c>
      <c r="U699" s="32" t="s">
        <v>768</v>
      </c>
      <c r="V699" s="42" t="s">
        <v>57</v>
      </c>
      <c r="W699" s="32">
        <v>2050</v>
      </c>
      <c r="X699" s="43" t="str">
        <f t="shared" si="85"/>
        <v>*0.47</v>
      </c>
      <c r="AC699" s="33" t="s">
        <v>768</v>
      </c>
      <c r="AD699" s="44" t="s">
        <v>57</v>
      </c>
      <c r="AE699" s="33">
        <v>2035</v>
      </c>
      <c r="AF699" s="45" t="str">
        <f t="shared" si="86"/>
        <v>*0.53</v>
      </c>
      <c r="AG699" s="43" t="str">
        <f t="shared" si="88"/>
        <v>REZoning_Sol-Win</v>
      </c>
      <c r="AI699" s="33" t="s">
        <v>768</v>
      </c>
      <c r="AJ699" s="44" t="s">
        <v>57</v>
      </c>
      <c r="AK699" s="33">
        <v>2050</v>
      </c>
      <c r="AL699" s="45" t="str">
        <f t="shared" si="87"/>
        <v>*0.41</v>
      </c>
      <c r="AM699" s="43" t="str">
        <f t="shared" si="89"/>
        <v>REZoning_Sol-Win</v>
      </c>
      <c r="AP699" t="s">
        <v>768</v>
      </c>
      <c r="AQ699" t="s">
        <v>57</v>
      </c>
      <c r="AR699">
        <v>2100</v>
      </c>
      <c r="AS699" t="s">
        <v>67</v>
      </c>
      <c r="AT699" t="s">
        <v>58</v>
      </c>
    </row>
    <row r="700" ht="29" spans="1:46">
      <c r="A700" s="31" t="s">
        <v>65</v>
      </c>
      <c r="C700" t="s">
        <v>769</v>
      </c>
      <c r="D700" s="5" t="s">
        <v>57</v>
      </c>
      <c r="E700">
        <v>2035</v>
      </c>
      <c r="F700" s="6" t="str">
        <f t="shared" si="82"/>
        <v>*0.61</v>
      </c>
      <c r="H700" t="s">
        <v>769</v>
      </c>
      <c r="I700" s="5" t="s">
        <v>57</v>
      </c>
      <c r="J700">
        <v>2050</v>
      </c>
      <c r="K700" s="38" t="str">
        <f t="shared" si="83"/>
        <v>*0.5</v>
      </c>
      <c r="P700" s="32" t="s">
        <v>769</v>
      </c>
      <c r="Q700" s="42" t="s">
        <v>57</v>
      </c>
      <c r="R700" s="32">
        <v>2035</v>
      </c>
      <c r="S700" s="43" t="str">
        <f t="shared" si="84"/>
        <v>*0.58</v>
      </c>
      <c r="U700" s="32" t="s">
        <v>769</v>
      </c>
      <c r="V700" s="42" t="s">
        <v>57</v>
      </c>
      <c r="W700" s="32">
        <v>2050</v>
      </c>
      <c r="X700" s="43" t="str">
        <f t="shared" si="85"/>
        <v>*0.47</v>
      </c>
      <c r="AC700" s="33" t="s">
        <v>769</v>
      </c>
      <c r="AD700" s="44" t="s">
        <v>57</v>
      </c>
      <c r="AE700" s="33">
        <v>2035</v>
      </c>
      <c r="AF700" s="45" t="str">
        <f t="shared" si="86"/>
        <v>*0.53</v>
      </c>
      <c r="AG700" s="43" t="str">
        <f t="shared" si="88"/>
        <v>REZoning_Sol-Win</v>
      </c>
      <c r="AI700" s="33" t="s">
        <v>769</v>
      </c>
      <c r="AJ700" s="44" t="s">
        <v>57</v>
      </c>
      <c r="AK700" s="33">
        <v>2050</v>
      </c>
      <c r="AL700" s="45" t="str">
        <f t="shared" si="87"/>
        <v>*0.41</v>
      </c>
      <c r="AM700" s="43" t="str">
        <f t="shared" si="89"/>
        <v>REZoning_Sol-Win</v>
      </c>
      <c r="AP700" t="s">
        <v>769</v>
      </c>
      <c r="AQ700" t="s">
        <v>57</v>
      </c>
      <c r="AR700">
        <v>2100</v>
      </c>
      <c r="AS700" t="s">
        <v>67</v>
      </c>
      <c r="AT700" t="s">
        <v>58</v>
      </c>
    </row>
    <row r="701" ht="29" spans="1:46">
      <c r="A701" s="31" t="s">
        <v>65</v>
      </c>
      <c r="C701" t="s">
        <v>770</v>
      </c>
      <c r="D701" s="5" t="s">
        <v>57</v>
      </c>
      <c r="E701">
        <v>2035</v>
      </c>
      <c r="F701" s="6" t="str">
        <f t="shared" si="82"/>
        <v>*0.61</v>
      </c>
      <c r="H701" t="s">
        <v>770</v>
      </c>
      <c r="I701" s="5" t="s">
        <v>57</v>
      </c>
      <c r="J701">
        <v>2050</v>
      </c>
      <c r="K701" s="38" t="str">
        <f t="shared" si="83"/>
        <v>*0.5</v>
      </c>
      <c r="P701" s="32" t="s">
        <v>770</v>
      </c>
      <c r="Q701" s="42" t="s">
        <v>57</v>
      </c>
      <c r="R701" s="32">
        <v>2035</v>
      </c>
      <c r="S701" s="43" t="str">
        <f t="shared" si="84"/>
        <v>*0.58</v>
      </c>
      <c r="U701" s="32" t="s">
        <v>770</v>
      </c>
      <c r="V701" s="42" t="s">
        <v>57</v>
      </c>
      <c r="W701" s="32">
        <v>2050</v>
      </c>
      <c r="X701" s="43" t="str">
        <f t="shared" si="85"/>
        <v>*0.47</v>
      </c>
      <c r="AC701" s="33" t="s">
        <v>770</v>
      </c>
      <c r="AD701" s="44" t="s">
        <v>57</v>
      </c>
      <c r="AE701" s="33">
        <v>2035</v>
      </c>
      <c r="AF701" s="45" t="str">
        <f t="shared" si="86"/>
        <v>*0.53</v>
      </c>
      <c r="AG701" s="43" t="str">
        <f t="shared" si="88"/>
        <v>REZoning_Sol-Win</v>
      </c>
      <c r="AI701" s="33" t="s">
        <v>770</v>
      </c>
      <c r="AJ701" s="44" t="s">
        <v>57</v>
      </c>
      <c r="AK701" s="33">
        <v>2050</v>
      </c>
      <c r="AL701" s="45" t="str">
        <f t="shared" si="87"/>
        <v>*0.41</v>
      </c>
      <c r="AM701" s="43" t="str">
        <f t="shared" si="89"/>
        <v>REZoning_Sol-Win</v>
      </c>
      <c r="AP701" t="s">
        <v>770</v>
      </c>
      <c r="AQ701" t="s">
        <v>57</v>
      </c>
      <c r="AR701">
        <v>2100</v>
      </c>
      <c r="AS701" t="s">
        <v>67</v>
      </c>
      <c r="AT701" t="s">
        <v>58</v>
      </c>
    </row>
    <row r="702" ht="29" spans="1:46">
      <c r="A702" s="31" t="s">
        <v>169</v>
      </c>
      <c r="C702" t="s">
        <v>771</v>
      </c>
      <c r="D702" s="5" t="s">
        <v>57</v>
      </c>
      <c r="E702">
        <v>2035</v>
      </c>
      <c r="F702" s="6" t="str">
        <f t="shared" si="82"/>
        <v>*0.61</v>
      </c>
      <c r="H702" t="s">
        <v>771</v>
      </c>
      <c r="I702" s="5" t="s">
        <v>57</v>
      </c>
      <c r="J702">
        <v>2050</v>
      </c>
      <c r="K702" s="38" t="str">
        <f t="shared" si="83"/>
        <v>*0.49</v>
      </c>
      <c r="P702" s="32" t="s">
        <v>771</v>
      </c>
      <c r="Q702" s="42" t="s">
        <v>57</v>
      </c>
      <c r="R702" s="32">
        <v>2035</v>
      </c>
      <c r="S702" s="43" t="str">
        <f t="shared" si="84"/>
        <v>*0.59</v>
      </c>
      <c r="U702" s="32" t="s">
        <v>771</v>
      </c>
      <c r="V702" s="42" t="s">
        <v>57</v>
      </c>
      <c r="W702" s="32">
        <v>2050</v>
      </c>
      <c r="X702" s="43" t="str">
        <f t="shared" si="85"/>
        <v>*0.47</v>
      </c>
      <c r="AC702" s="33" t="s">
        <v>771</v>
      </c>
      <c r="AD702" s="44" t="s">
        <v>57</v>
      </c>
      <c r="AE702" s="33">
        <v>2035</v>
      </c>
      <c r="AF702" s="45" t="str">
        <f t="shared" si="86"/>
        <v>*0.54</v>
      </c>
      <c r="AG702" s="43" t="str">
        <f t="shared" si="88"/>
        <v>REZoning_Sol-Win</v>
      </c>
      <c r="AI702" s="33" t="s">
        <v>771</v>
      </c>
      <c r="AJ702" s="44" t="s">
        <v>57</v>
      </c>
      <c r="AK702" s="33">
        <v>2050</v>
      </c>
      <c r="AL702" s="45" t="str">
        <f t="shared" si="87"/>
        <v>*0.44</v>
      </c>
      <c r="AM702" s="43" t="str">
        <f t="shared" si="89"/>
        <v>REZoning_Sol-Win</v>
      </c>
      <c r="AP702" t="s">
        <v>771</v>
      </c>
      <c r="AQ702" t="s">
        <v>57</v>
      </c>
      <c r="AR702">
        <v>2100</v>
      </c>
      <c r="AS702" t="s">
        <v>171</v>
      </c>
      <c r="AT702" t="s">
        <v>58</v>
      </c>
    </row>
    <row r="703" ht="29" spans="1:46">
      <c r="A703" s="31" t="s">
        <v>169</v>
      </c>
      <c r="C703" t="s">
        <v>772</v>
      </c>
      <c r="D703" s="5" t="s">
        <v>57</v>
      </c>
      <c r="E703">
        <v>2035</v>
      </c>
      <c r="F703" s="6" t="str">
        <f t="shared" si="82"/>
        <v>*0.61</v>
      </c>
      <c r="H703" t="s">
        <v>772</v>
      </c>
      <c r="I703" s="5" t="s">
        <v>57</v>
      </c>
      <c r="J703">
        <v>2050</v>
      </c>
      <c r="K703" s="38" t="str">
        <f t="shared" si="83"/>
        <v>*0.49</v>
      </c>
      <c r="P703" s="32" t="s">
        <v>772</v>
      </c>
      <c r="Q703" s="42" t="s">
        <v>57</v>
      </c>
      <c r="R703" s="32">
        <v>2035</v>
      </c>
      <c r="S703" s="43" t="str">
        <f t="shared" si="84"/>
        <v>*0.59</v>
      </c>
      <c r="U703" s="32" t="s">
        <v>772</v>
      </c>
      <c r="V703" s="42" t="s">
        <v>57</v>
      </c>
      <c r="W703" s="32">
        <v>2050</v>
      </c>
      <c r="X703" s="43" t="str">
        <f t="shared" si="85"/>
        <v>*0.47</v>
      </c>
      <c r="AC703" s="33" t="s">
        <v>772</v>
      </c>
      <c r="AD703" s="44" t="s">
        <v>57</v>
      </c>
      <c r="AE703" s="33">
        <v>2035</v>
      </c>
      <c r="AF703" s="45" t="str">
        <f t="shared" si="86"/>
        <v>*0.54</v>
      </c>
      <c r="AG703" s="43" t="str">
        <f t="shared" si="88"/>
        <v>REZoning_Sol-Win</v>
      </c>
      <c r="AI703" s="33" t="s">
        <v>772</v>
      </c>
      <c r="AJ703" s="44" t="s">
        <v>57</v>
      </c>
      <c r="AK703" s="33">
        <v>2050</v>
      </c>
      <c r="AL703" s="45" t="str">
        <f t="shared" si="87"/>
        <v>*0.44</v>
      </c>
      <c r="AM703" s="43" t="str">
        <f t="shared" si="89"/>
        <v>REZoning_Sol-Win</v>
      </c>
      <c r="AP703" t="s">
        <v>772</v>
      </c>
      <c r="AQ703" t="s">
        <v>57</v>
      </c>
      <c r="AR703">
        <v>2100</v>
      </c>
      <c r="AS703" t="s">
        <v>171</v>
      </c>
      <c r="AT703" t="s">
        <v>58</v>
      </c>
    </row>
    <row r="704" ht="29" spans="1:46">
      <c r="A704" s="31" t="s">
        <v>169</v>
      </c>
      <c r="C704" t="s">
        <v>773</v>
      </c>
      <c r="D704" s="5" t="s">
        <v>57</v>
      </c>
      <c r="E704">
        <v>2035</v>
      </c>
      <c r="F704" s="6" t="str">
        <f t="shared" si="82"/>
        <v>*0.61</v>
      </c>
      <c r="H704" t="s">
        <v>773</v>
      </c>
      <c r="I704" s="5" t="s">
        <v>57</v>
      </c>
      <c r="J704">
        <v>2050</v>
      </c>
      <c r="K704" s="38" t="str">
        <f t="shared" si="83"/>
        <v>*0.49</v>
      </c>
      <c r="P704" s="32" t="s">
        <v>773</v>
      </c>
      <c r="Q704" s="42" t="s">
        <v>57</v>
      </c>
      <c r="R704" s="32">
        <v>2035</v>
      </c>
      <c r="S704" s="43" t="str">
        <f t="shared" si="84"/>
        <v>*0.59</v>
      </c>
      <c r="U704" s="32" t="s">
        <v>773</v>
      </c>
      <c r="V704" s="42" t="s">
        <v>57</v>
      </c>
      <c r="W704" s="32">
        <v>2050</v>
      </c>
      <c r="X704" s="43" t="str">
        <f t="shared" si="85"/>
        <v>*0.47</v>
      </c>
      <c r="AC704" s="33" t="s">
        <v>773</v>
      </c>
      <c r="AD704" s="44" t="s">
        <v>57</v>
      </c>
      <c r="AE704" s="33">
        <v>2035</v>
      </c>
      <c r="AF704" s="45" t="str">
        <f t="shared" si="86"/>
        <v>*0.54</v>
      </c>
      <c r="AG704" s="43" t="str">
        <f t="shared" si="88"/>
        <v>REZoning_Sol-Win</v>
      </c>
      <c r="AI704" s="33" t="s">
        <v>773</v>
      </c>
      <c r="AJ704" s="44" t="s">
        <v>57</v>
      </c>
      <c r="AK704" s="33">
        <v>2050</v>
      </c>
      <c r="AL704" s="45" t="str">
        <f t="shared" si="87"/>
        <v>*0.44</v>
      </c>
      <c r="AM704" s="43" t="str">
        <f t="shared" si="89"/>
        <v>REZoning_Sol-Win</v>
      </c>
      <c r="AP704" t="s">
        <v>773</v>
      </c>
      <c r="AQ704" t="s">
        <v>57</v>
      </c>
      <c r="AR704">
        <v>2100</v>
      </c>
      <c r="AS704" t="s">
        <v>171</v>
      </c>
      <c r="AT704" t="s">
        <v>58</v>
      </c>
    </row>
    <row r="705" ht="29" spans="1:46">
      <c r="A705" s="31" t="s">
        <v>95</v>
      </c>
      <c r="C705" t="s">
        <v>774</v>
      </c>
      <c r="D705" s="5" t="s">
        <v>57</v>
      </c>
      <c r="E705">
        <v>2035</v>
      </c>
      <c r="F705" s="6" t="str">
        <f t="shared" si="82"/>
        <v>*0.65</v>
      </c>
      <c r="H705" t="s">
        <v>774</v>
      </c>
      <c r="I705" s="5" t="s">
        <v>57</v>
      </c>
      <c r="J705">
        <v>2050</v>
      </c>
      <c r="K705" s="38" t="str">
        <f t="shared" si="83"/>
        <v>*0.54</v>
      </c>
      <c r="P705" s="32" t="s">
        <v>774</v>
      </c>
      <c r="Q705" s="42" t="s">
        <v>57</v>
      </c>
      <c r="R705" s="32">
        <v>2035</v>
      </c>
      <c r="S705" s="43" t="str">
        <f t="shared" si="84"/>
        <v>*0.63</v>
      </c>
      <c r="U705" s="32" t="s">
        <v>774</v>
      </c>
      <c r="V705" s="42" t="s">
        <v>57</v>
      </c>
      <c r="W705" s="32">
        <v>2050</v>
      </c>
      <c r="X705" s="43" t="str">
        <f t="shared" si="85"/>
        <v>*0.52</v>
      </c>
      <c r="AC705" s="33" t="s">
        <v>774</v>
      </c>
      <c r="AD705" s="44" t="s">
        <v>57</v>
      </c>
      <c r="AE705" s="33">
        <v>2035</v>
      </c>
      <c r="AF705" s="45" t="str">
        <f t="shared" si="86"/>
        <v>*0.55</v>
      </c>
      <c r="AG705" s="43" t="str">
        <f t="shared" si="88"/>
        <v>REZoning_Sol-Win</v>
      </c>
      <c r="AI705" s="33" t="s">
        <v>774</v>
      </c>
      <c r="AJ705" s="44" t="s">
        <v>57</v>
      </c>
      <c r="AK705" s="33">
        <v>2050</v>
      </c>
      <c r="AL705" s="45" t="str">
        <f t="shared" si="87"/>
        <v>*0.41</v>
      </c>
      <c r="AM705" s="43" t="str">
        <f t="shared" si="89"/>
        <v>REZoning_Sol-Win</v>
      </c>
      <c r="AP705" t="s">
        <v>774</v>
      </c>
      <c r="AQ705" t="s">
        <v>57</v>
      </c>
      <c r="AR705">
        <v>2100</v>
      </c>
      <c r="AS705" t="s">
        <v>67</v>
      </c>
      <c r="AT705" t="s">
        <v>58</v>
      </c>
    </row>
    <row r="706" ht="29" spans="1:46">
      <c r="A706" s="31" t="s">
        <v>95</v>
      </c>
      <c r="C706" t="s">
        <v>775</v>
      </c>
      <c r="D706" s="5" t="s">
        <v>57</v>
      </c>
      <c r="E706">
        <v>2035</v>
      </c>
      <c r="F706" s="6" t="str">
        <f t="shared" si="82"/>
        <v>*0.65</v>
      </c>
      <c r="H706" t="s">
        <v>775</v>
      </c>
      <c r="I706" s="5" t="s">
        <v>57</v>
      </c>
      <c r="J706">
        <v>2050</v>
      </c>
      <c r="K706" s="38" t="str">
        <f t="shared" si="83"/>
        <v>*0.54</v>
      </c>
      <c r="P706" s="32" t="s">
        <v>775</v>
      </c>
      <c r="Q706" s="42" t="s">
        <v>57</v>
      </c>
      <c r="R706" s="32">
        <v>2035</v>
      </c>
      <c r="S706" s="43" t="str">
        <f t="shared" si="84"/>
        <v>*0.63</v>
      </c>
      <c r="U706" s="32" t="s">
        <v>775</v>
      </c>
      <c r="V706" s="42" t="s">
        <v>57</v>
      </c>
      <c r="W706" s="32">
        <v>2050</v>
      </c>
      <c r="X706" s="43" t="str">
        <f t="shared" si="85"/>
        <v>*0.52</v>
      </c>
      <c r="AC706" s="33" t="s">
        <v>775</v>
      </c>
      <c r="AD706" s="44" t="s">
        <v>57</v>
      </c>
      <c r="AE706" s="33">
        <v>2035</v>
      </c>
      <c r="AF706" s="45" t="str">
        <f t="shared" si="86"/>
        <v>*0.55</v>
      </c>
      <c r="AG706" s="43" t="str">
        <f t="shared" si="88"/>
        <v>REZoning_Sol-Win</v>
      </c>
      <c r="AI706" s="33" t="s">
        <v>775</v>
      </c>
      <c r="AJ706" s="44" t="s">
        <v>57</v>
      </c>
      <c r="AK706" s="33">
        <v>2050</v>
      </c>
      <c r="AL706" s="45" t="str">
        <f t="shared" si="87"/>
        <v>*0.41</v>
      </c>
      <c r="AM706" s="43" t="str">
        <f t="shared" si="89"/>
        <v>REZoning_Sol-Win</v>
      </c>
      <c r="AP706" t="s">
        <v>775</v>
      </c>
      <c r="AQ706" t="s">
        <v>57</v>
      </c>
      <c r="AR706">
        <v>2100</v>
      </c>
      <c r="AS706" t="s">
        <v>67</v>
      </c>
      <c r="AT706" t="s">
        <v>58</v>
      </c>
    </row>
    <row r="707" ht="29" spans="1:46">
      <c r="A707" s="31" t="s">
        <v>95</v>
      </c>
      <c r="C707" t="s">
        <v>776</v>
      </c>
      <c r="D707" s="5" t="s">
        <v>57</v>
      </c>
      <c r="E707">
        <v>2035</v>
      </c>
      <c r="F707" s="6" t="str">
        <f t="shared" si="82"/>
        <v>*0.65</v>
      </c>
      <c r="H707" t="s">
        <v>776</v>
      </c>
      <c r="I707" s="5" t="s">
        <v>57</v>
      </c>
      <c r="J707">
        <v>2050</v>
      </c>
      <c r="K707" s="38" t="str">
        <f t="shared" si="83"/>
        <v>*0.54</v>
      </c>
      <c r="P707" s="32" t="s">
        <v>776</v>
      </c>
      <c r="Q707" s="42" t="s">
        <v>57</v>
      </c>
      <c r="R707" s="32">
        <v>2035</v>
      </c>
      <c r="S707" s="43" t="str">
        <f t="shared" si="84"/>
        <v>*0.63</v>
      </c>
      <c r="U707" s="32" t="s">
        <v>776</v>
      </c>
      <c r="V707" s="42" t="s">
        <v>57</v>
      </c>
      <c r="W707" s="32">
        <v>2050</v>
      </c>
      <c r="X707" s="43" t="str">
        <f t="shared" si="85"/>
        <v>*0.52</v>
      </c>
      <c r="AC707" s="33" t="s">
        <v>776</v>
      </c>
      <c r="AD707" s="44" t="s">
        <v>57</v>
      </c>
      <c r="AE707" s="33">
        <v>2035</v>
      </c>
      <c r="AF707" s="45" t="str">
        <f t="shared" si="86"/>
        <v>*0.55</v>
      </c>
      <c r="AG707" s="43" t="str">
        <f t="shared" si="88"/>
        <v>REZoning_Sol-Win</v>
      </c>
      <c r="AI707" s="33" t="s">
        <v>776</v>
      </c>
      <c r="AJ707" s="44" t="s">
        <v>57</v>
      </c>
      <c r="AK707" s="33">
        <v>2050</v>
      </c>
      <c r="AL707" s="45" t="str">
        <f t="shared" si="87"/>
        <v>*0.41</v>
      </c>
      <c r="AM707" s="43" t="str">
        <f t="shared" si="89"/>
        <v>REZoning_Sol-Win</v>
      </c>
      <c r="AP707" t="s">
        <v>776</v>
      </c>
      <c r="AQ707" t="s">
        <v>57</v>
      </c>
      <c r="AR707">
        <v>2100</v>
      </c>
      <c r="AS707" t="s">
        <v>67</v>
      </c>
      <c r="AT707" t="s">
        <v>58</v>
      </c>
    </row>
    <row r="708" ht="29" spans="1:46">
      <c r="A708" s="31" t="s">
        <v>95</v>
      </c>
      <c r="C708" t="s">
        <v>777</v>
      </c>
      <c r="D708" s="5" t="s">
        <v>57</v>
      </c>
      <c r="E708">
        <v>2035</v>
      </c>
      <c r="F708" s="6" t="str">
        <f t="shared" ref="F708:F771" si="90">"*"&amp;IF(AND(A708="EU",E708=2035),0.63,IF(AND(A708="EU",E708=2050),0.54,IF(AND(A708="USA",E708=2035),0.64,IF(AND(A708="USA",E708=2050),0.54,IF(AND(A708="Japan",E708=2035),0.68,IF(AND(A708="Japan",E708=2050),0.58,IF(AND(A708="Russia",E708=2035),0.65,IF(AND(A708="Russia",E708=2050),0.54,IF(AND(A708="China",E708=2035),0.61,IF(AND(A708="China",E708=2050),0.49,IF(AND(A708="India",E708=2035),0.6,IF(AND(A708="India",E708=2050),0.49,IF(AND(A708="Middle East",E708=2035),0.6,IF(AND(A708="Middle East",E708=2050),0.5,IF(AND(A708="Africa",E708=2035),0.61,IF(AND(A708="Africa",E708=2050),0.5,IF(AND(A708="Brazil",E708=2035),0.64,IF(AND(A708="Brazil",E708=2050),0.54,""))))))))))))))))))</f>
        <v>*0.65</v>
      </c>
      <c r="H708" t="s">
        <v>777</v>
      </c>
      <c r="I708" s="5" t="s">
        <v>57</v>
      </c>
      <c r="J708">
        <v>2050</v>
      </c>
      <c r="K708" s="38" t="str">
        <f t="shared" ref="K708:K771" si="91">"*"&amp;IF(AND(A708="EU",J708=2035),0.63,IF(AND(A708="EU",J708=2050),0.54,IF(AND(A708="USA",J708=2035),0.64,IF(AND(A708="USA",J708=2050),0.54,IF(AND(A708="Japan",J708=2035),0.68,IF(AND(A708="Japan",J708=2050),0.58,IF(AND(A708="Russia",J708=2035),0.65,IF(AND(A708="Russia",J708=2050),0.54,IF(AND(A708="China",J708=2035),0.61,IF(AND(A708="China",J708=2050),0.49,IF(AND(A708="India",J708=2035),0.6,IF(AND(A708="India",J708=2050),0.49,IF(AND(A708="Middle East",J708=2035),0.6,IF(AND(A708="Middle East",J708=2050),0.5,IF(AND(A708="Africa",J708=2035),0.61,IF(AND(A708="Africa",J708=2050),0.5,IF(AND(A708="Brazil",J708=2035),0.64,IF(AND(A708="Brazil",J708=2050),0.54,""))))))))))))))))))</f>
        <v>*0.54</v>
      </c>
      <c r="P708" s="32" t="s">
        <v>777</v>
      </c>
      <c r="Q708" s="42" t="s">
        <v>57</v>
      </c>
      <c r="R708" s="32">
        <v>2035</v>
      </c>
      <c r="S708" s="43" t="str">
        <f t="shared" ref="S708:S771" si="92">"*"&amp;IF(AND(A708="EU",R708=2035),0.62,IF(AND(A708="EU",R708=2050),0.51,IF(AND(A708="USA",R708=2035),0.62,IF(AND(A708="USA",R708=2050),0.5,IF(AND(A708="Japan",R708=2035),0.65,IF(AND(A708="Japan",R708=2050),0.55,IF(AND(A708="Russia",R708=2035),0.63,IF(AND(A708="Russia",R708=2050),0.52,IF(AND(A708="China",R708=2035),0.59,IF(AND(A708="China",R708=2050),0.47,IF(AND(A708="India",R708=2035),0.58,IF(AND(A708="India",R708=2050),0.47,IF(AND(A708="Middle East",R708=2035),0.59,IF(AND(A708="Middle East",R708=2050),0.47,IF(AND(A708="Africa",R708=2035),0.58,IF(AND(A708="Africa",R708=2050),0.47,IF(AND(A708="Brazil",R708=2035),0.64,IF(AND(A708="Brazil",R708=2050),0.53,""))))))))))))))))))</f>
        <v>*0.63</v>
      </c>
      <c r="U708" s="32" t="s">
        <v>777</v>
      </c>
      <c r="V708" s="42" t="s">
        <v>57</v>
      </c>
      <c r="W708" s="32">
        <v>2050</v>
      </c>
      <c r="X708" s="43" t="str">
        <f t="shared" ref="X708:X771" si="93">"*"&amp;IF(AND(A708="EU",W708=2035),0.62,IF(AND(A708="EU",W708=2050),0.51,IF(AND(A708="USA",W708=2035),0.62,IF(AND(A708="USA",W708=2050),0.5,IF(AND(A708="Japan",W708=2035),0.65,IF(AND(A708="Japan",W708=2050),0.55,IF(AND(A708="Russia",W708=2035),0.63,IF(AND(A708="Russia",W708=2050),0.52,IF(AND(A708="China",W708=2035),0.59,IF(AND(A708="China",W708=2050),0.47,IF(AND(A708="India",W708=2035),0.58,IF(AND(A708="India",W708=2050),0.47,IF(AND(A708="Middle East",W708=2035),0.59,IF(AND(A708="Middle East",W708=2050),0.47,IF(AND(A708="Africa",W708=2035),0.58,IF(AND(A708="Africa",W708=2050),0.47,IF(AND(A708="Brazil",W708=2035),0.64,IF(AND(A708="Brazil",W708=2050),0.53,""))))))))))))))))))</f>
        <v>*0.52</v>
      </c>
      <c r="AC708" s="33" t="s">
        <v>777</v>
      </c>
      <c r="AD708" s="44" t="s">
        <v>57</v>
      </c>
      <c r="AE708" s="33">
        <v>2035</v>
      </c>
      <c r="AF708" s="45" t="str">
        <f t="shared" ref="AF708:AF771" si="94">"*"&amp;IF(AND(A708="EU",AE708=2035),0.58,IF(AND(A708="EU",AE708=2050),0.49,IF(AND(A708="USA",AE708=2035),0.56,IF(AND(A708="USA",AE708=2050),0.45,IF(AND(A708="Japan",AE708=2035),0.62,IF(AND(A708="Japan",AE708=2050),0.51,IF(AND(A708="Russia",AE708=2035),0.55,IF(AND(A708="Russia",AE708=2050),0.41,IF(AND(A708="China",AE708=2035),0.54,IF(AND(A708="China",AE708=2050),0.44,IF(AND(A708="India",AE708=2035),0.55,IF(AND(A708="India",AE708=2050),0.42,IF(AND(A708="Middle East",AE708=2035),0.53,IF(AND(A708="Middle East",AE708=2050),0.41,IF(AND(A708="Africa",AE708=2035),0.53,IF(AND(A708="Africa",AE708=2050),0.41,IF(AND(A708="Brazil",AE708=2035),0.6,IF(AND(A708="Brazil",AE708=2050),0.5,""))))))))))))))))))</f>
        <v>*0.55</v>
      </c>
      <c r="AG708" s="43" t="str">
        <f t="shared" si="88"/>
        <v>REZoning_Sol-Win</v>
      </c>
      <c r="AI708" s="33" t="s">
        <v>777</v>
      </c>
      <c r="AJ708" s="44" t="s">
        <v>57</v>
      </c>
      <c r="AK708" s="33">
        <v>2050</v>
      </c>
      <c r="AL708" s="45" t="str">
        <f t="shared" ref="AL708:AL771" si="95">"*"&amp;IF(AND(A708="EU",AK708=2035),0.58,IF(AND(A708="EU",AK708=2050),0.49,IF(AND(A708="USA",AK708=2035),0.56,IF(AND(A708="USA",AK708=2050),0.45,IF(AND(A708="Japan",AK708=2035),0.62,IF(AND(A708="Japan",AK708=2050),0.51,IF(AND(A708="Russia",AK708=2035),0.55,IF(AND(A708="Russia",AK708=2050),0.41,IF(AND(A708="China",AK708=2035),0.54,IF(AND(A708="China",AK708=2050),0.44,IF(AND(A708="India",AK708=2035),0.55,IF(AND(A708="India",AK708=2050),0.42,IF(AND(A708="Middle East",AK708=2035),0.53,IF(AND(A708="Middle East",AK708=2050),0.41,IF(AND(A708="Africa",AK708=2035),0.53,IF(AND(A708="Africa",AK708=2050),0.41,IF(AND(A708="Brazil",AK708=2035),0.6,IF(AND(A708="Brazil",AK708=2050),0.5,""))))))))))))))))))</f>
        <v>*0.41</v>
      </c>
      <c r="AM708" s="43" t="str">
        <f t="shared" si="89"/>
        <v>REZoning_Sol-Win</v>
      </c>
      <c r="AP708" t="s">
        <v>777</v>
      </c>
      <c r="AQ708" t="s">
        <v>57</v>
      </c>
      <c r="AR708">
        <v>2100</v>
      </c>
      <c r="AS708" t="s">
        <v>67</v>
      </c>
      <c r="AT708" t="s">
        <v>58</v>
      </c>
    </row>
    <row r="709" ht="29" spans="1:46">
      <c r="A709" s="31" t="s">
        <v>95</v>
      </c>
      <c r="C709" t="s">
        <v>778</v>
      </c>
      <c r="D709" s="5" t="s">
        <v>57</v>
      </c>
      <c r="E709">
        <v>2035</v>
      </c>
      <c r="F709" s="6" t="str">
        <f t="shared" si="90"/>
        <v>*0.65</v>
      </c>
      <c r="H709" t="s">
        <v>778</v>
      </c>
      <c r="I709" s="5" t="s">
        <v>57</v>
      </c>
      <c r="J709">
        <v>2050</v>
      </c>
      <c r="K709" s="38" t="str">
        <f t="shared" si="91"/>
        <v>*0.54</v>
      </c>
      <c r="P709" s="32" t="s">
        <v>778</v>
      </c>
      <c r="Q709" s="42" t="s">
        <v>57</v>
      </c>
      <c r="R709" s="32">
        <v>2035</v>
      </c>
      <c r="S709" s="43" t="str">
        <f t="shared" si="92"/>
        <v>*0.63</v>
      </c>
      <c r="U709" s="32" t="s">
        <v>778</v>
      </c>
      <c r="V709" s="42" t="s">
        <v>57</v>
      </c>
      <c r="W709" s="32">
        <v>2050</v>
      </c>
      <c r="X709" s="43" t="str">
        <f t="shared" si="93"/>
        <v>*0.52</v>
      </c>
      <c r="AC709" s="33" t="s">
        <v>778</v>
      </c>
      <c r="AD709" s="44" t="s">
        <v>57</v>
      </c>
      <c r="AE709" s="33">
        <v>2035</v>
      </c>
      <c r="AF709" s="45" t="str">
        <f t="shared" si="94"/>
        <v>*0.55</v>
      </c>
      <c r="AG709" s="43" t="str">
        <f t="shared" si="88"/>
        <v>REZoning_Sol-Win</v>
      </c>
      <c r="AI709" s="33" t="s">
        <v>778</v>
      </c>
      <c r="AJ709" s="44" t="s">
        <v>57</v>
      </c>
      <c r="AK709" s="33">
        <v>2050</v>
      </c>
      <c r="AL709" s="45" t="str">
        <f t="shared" si="95"/>
        <v>*0.41</v>
      </c>
      <c r="AM709" s="43" t="str">
        <f t="shared" si="89"/>
        <v>REZoning_Sol-Win</v>
      </c>
      <c r="AP709" t="s">
        <v>778</v>
      </c>
      <c r="AQ709" t="s">
        <v>57</v>
      </c>
      <c r="AR709">
        <v>2100</v>
      </c>
      <c r="AS709" t="s">
        <v>67</v>
      </c>
      <c r="AT709" t="s">
        <v>58</v>
      </c>
    </row>
    <row r="710" ht="29" spans="1:46">
      <c r="A710" s="31" t="s">
        <v>95</v>
      </c>
      <c r="C710" t="s">
        <v>779</v>
      </c>
      <c r="D710" s="5" t="s">
        <v>57</v>
      </c>
      <c r="E710">
        <v>2035</v>
      </c>
      <c r="F710" s="6" t="str">
        <f t="shared" si="90"/>
        <v>*0.65</v>
      </c>
      <c r="H710" t="s">
        <v>779</v>
      </c>
      <c r="I710" s="5" t="s">
        <v>57</v>
      </c>
      <c r="J710">
        <v>2050</v>
      </c>
      <c r="K710" s="38" t="str">
        <f t="shared" si="91"/>
        <v>*0.54</v>
      </c>
      <c r="P710" s="32" t="s">
        <v>779</v>
      </c>
      <c r="Q710" s="42" t="s">
        <v>57</v>
      </c>
      <c r="R710" s="32">
        <v>2035</v>
      </c>
      <c r="S710" s="43" t="str">
        <f t="shared" si="92"/>
        <v>*0.63</v>
      </c>
      <c r="U710" s="32" t="s">
        <v>779</v>
      </c>
      <c r="V710" s="42" t="s">
        <v>57</v>
      </c>
      <c r="W710" s="32">
        <v>2050</v>
      </c>
      <c r="X710" s="43" t="str">
        <f t="shared" si="93"/>
        <v>*0.52</v>
      </c>
      <c r="AC710" s="33" t="s">
        <v>779</v>
      </c>
      <c r="AD710" s="44" t="s">
        <v>57</v>
      </c>
      <c r="AE710" s="33">
        <v>2035</v>
      </c>
      <c r="AF710" s="45" t="str">
        <f t="shared" si="94"/>
        <v>*0.55</v>
      </c>
      <c r="AG710" s="43" t="str">
        <f t="shared" si="88"/>
        <v>REZoning_Sol-Win</v>
      </c>
      <c r="AI710" s="33" t="s">
        <v>779</v>
      </c>
      <c r="AJ710" s="44" t="s">
        <v>57</v>
      </c>
      <c r="AK710" s="33">
        <v>2050</v>
      </c>
      <c r="AL710" s="45" t="str">
        <f t="shared" si="95"/>
        <v>*0.41</v>
      </c>
      <c r="AM710" s="43" t="str">
        <f t="shared" si="89"/>
        <v>REZoning_Sol-Win</v>
      </c>
      <c r="AP710" t="s">
        <v>779</v>
      </c>
      <c r="AQ710" t="s">
        <v>57</v>
      </c>
      <c r="AR710">
        <v>2100</v>
      </c>
      <c r="AS710" t="s">
        <v>67</v>
      </c>
      <c r="AT710" t="s">
        <v>58</v>
      </c>
    </row>
    <row r="711" ht="29" spans="1:46">
      <c r="A711" s="31" t="s">
        <v>95</v>
      </c>
      <c r="C711" t="s">
        <v>780</v>
      </c>
      <c r="D711" s="5" t="s">
        <v>57</v>
      </c>
      <c r="E711">
        <v>2035</v>
      </c>
      <c r="F711" s="6" t="str">
        <f t="shared" si="90"/>
        <v>*0.65</v>
      </c>
      <c r="H711" t="s">
        <v>780</v>
      </c>
      <c r="I711" s="5" t="s">
        <v>57</v>
      </c>
      <c r="J711">
        <v>2050</v>
      </c>
      <c r="K711" s="38" t="str">
        <f t="shared" si="91"/>
        <v>*0.54</v>
      </c>
      <c r="P711" s="32" t="s">
        <v>780</v>
      </c>
      <c r="Q711" s="42" t="s">
        <v>57</v>
      </c>
      <c r="R711" s="32">
        <v>2035</v>
      </c>
      <c r="S711" s="43" t="str">
        <f t="shared" si="92"/>
        <v>*0.63</v>
      </c>
      <c r="U711" s="32" t="s">
        <v>780</v>
      </c>
      <c r="V711" s="42" t="s">
        <v>57</v>
      </c>
      <c r="W711" s="32">
        <v>2050</v>
      </c>
      <c r="X711" s="43" t="str">
        <f t="shared" si="93"/>
        <v>*0.52</v>
      </c>
      <c r="AC711" s="33" t="s">
        <v>780</v>
      </c>
      <c r="AD711" s="44" t="s">
        <v>57</v>
      </c>
      <c r="AE711" s="33">
        <v>2035</v>
      </c>
      <c r="AF711" s="45" t="str">
        <f t="shared" si="94"/>
        <v>*0.55</v>
      </c>
      <c r="AG711" s="43" t="str">
        <f t="shared" si="88"/>
        <v>REZoning_Sol-Win</v>
      </c>
      <c r="AI711" s="33" t="s">
        <v>780</v>
      </c>
      <c r="AJ711" s="44" t="s">
        <v>57</v>
      </c>
      <c r="AK711" s="33">
        <v>2050</v>
      </c>
      <c r="AL711" s="45" t="str">
        <f t="shared" si="95"/>
        <v>*0.41</v>
      </c>
      <c r="AM711" s="43" t="str">
        <f t="shared" si="89"/>
        <v>REZoning_Sol-Win</v>
      </c>
      <c r="AP711" t="s">
        <v>780</v>
      </c>
      <c r="AQ711" t="s">
        <v>57</v>
      </c>
      <c r="AR711">
        <v>2100</v>
      </c>
      <c r="AS711" t="s">
        <v>67</v>
      </c>
      <c r="AT711" t="s">
        <v>58</v>
      </c>
    </row>
    <row r="712" ht="29" spans="1:46">
      <c r="A712" s="31" t="s">
        <v>83</v>
      </c>
      <c r="C712" t="s">
        <v>781</v>
      </c>
      <c r="D712" s="5" t="s">
        <v>57</v>
      </c>
      <c r="E712">
        <v>2035</v>
      </c>
      <c r="F712" s="6" t="str">
        <f t="shared" si="90"/>
        <v>*0.64</v>
      </c>
      <c r="H712" t="s">
        <v>781</v>
      </c>
      <c r="I712" s="5" t="s">
        <v>57</v>
      </c>
      <c r="J712">
        <v>2050</v>
      </c>
      <c r="K712" s="38" t="str">
        <f t="shared" si="91"/>
        <v>*0.54</v>
      </c>
      <c r="P712" s="32" t="s">
        <v>781</v>
      </c>
      <c r="Q712" s="42" t="s">
        <v>57</v>
      </c>
      <c r="R712" s="32">
        <v>2035</v>
      </c>
      <c r="S712" s="43" t="str">
        <f t="shared" si="92"/>
        <v>*0.64</v>
      </c>
      <c r="U712" s="32" t="s">
        <v>781</v>
      </c>
      <c r="V712" s="42" t="s">
        <v>57</v>
      </c>
      <c r="W712" s="32">
        <v>2050</v>
      </c>
      <c r="X712" s="43" t="str">
        <f t="shared" si="93"/>
        <v>*0.53</v>
      </c>
      <c r="AC712" s="33" t="s">
        <v>781</v>
      </c>
      <c r="AD712" s="44" t="s">
        <v>57</v>
      </c>
      <c r="AE712" s="33">
        <v>2035</v>
      </c>
      <c r="AF712" s="45" t="str">
        <f t="shared" si="94"/>
        <v>*0.6</v>
      </c>
      <c r="AG712" s="43" t="str">
        <f t="shared" si="88"/>
        <v>REZoning_Sol-Win</v>
      </c>
      <c r="AI712" s="33" t="s">
        <v>781</v>
      </c>
      <c r="AJ712" s="44" t="s">
        <v>57</v>
      </c>
      <c r="AK712" s="33">
        <v>2050</v>
      </c>
      <c r="AL712" s="45" t="str">
        <f t="shared" si="95"/>
        <v>*0.5</v>
      </c>
      <c r="AM712" s="43" t="str">
        <f t="shared" si="89"/>
        <v>REZoning_Sol-Win</v>
      </c>
      <c r="AP712" t="s">
        <v>781</v>
      </c>
      <c r="AQ712" t="s">
        <v>57</v>
      </c>
      <c r="AR712">
        <v>2100</v>
      </c>
      <c r="AS712" t="s">
        <v>85</v>
      </c>
      <c r="AT712" t="s">
        <v>58</v>
      </c>
    </row>
    <row r="713" ht="29" spans="1:46">
      <c r="A713" s="31" t="s">
        <v>79</v>
      </c>
      <c r="C713" t="s">
        <v>782</v>
      </c>
      <c r="D713" s="5" t="s">
        <v>57</v>
      </c>
      <c r="E713">
        <v>2035</v>
      </c>
      <c r="F713" s="6" t="str">
        <f t="shared" si="90"/>
        <v>*0.6</v>
      </c>
      <c r="H713" t="s">
        <v>782</v>
      </c>
      <c r="I713" s="5" t="s">
        <v>57</v>
      </c>
      <c r="J713">
        <v>2050</v>
      </c>
      <c r="K713" s="38" t="str">
        <f t="shared" si="91"/>
        <v>*0.5</v>
      </c>
      <c r="P713" s="32" t="s">
        <v>782</v>
      </c>
      <c r="Q713" s="42" t="s">
        <v>57</v>
      </c>
      <c r="R713" s="32">
        <v>2035</v>
      </c>
      <c r="S713" s="43" t="str">
        <f t="shared" si="92"/>
        <v>*0.59</v>
      </c>
      <c r="U713" s="32" t="s">
        <v>782</v>
      </c>
      <c r="V713" s="42" t="s">
        <v>57</v>
      </c>
      <c r="W713" s="32">
        <v>2050</v>
      </c>
      <c r="X713" s="43" t="str">
        <f t="shared" si="93"/>
        <v>*0.47</v>
      </c>
      <c r="AC713" s="33" t="s">
        <v>782</v>
      </c>
      <c r="AD713" s="44" t="s">
        <v>57</v>
      </c>
      <c r="AE713" s="33">
        <v>2035</v>
      </c>
      <c r="AF713" s="45" t="str">
        <f t="shared" si="94"/>
        <v>*0.53</v>
      </c>
      <c r="AG713" s="43" t="str">
        <f t="shared" ref="AG713:AG776" si="96">AG712</f>
        <v>REZoning_Sol-Win</v>
      </c>
      <c r="AI713" s="33" t="s">
        <v>782</v>
      </c>
      <c r="AJ713" s="44" t="s">
        <v>57</v>
      </c>
      <c r="AK713" s="33">
        <v>2050</v>
      </c>
      <c r="AL713" s="45" t="str">
        <f t="shared" si="95"/>
        <v>*0.41</v>
      </c>
      <c r="AM713" s="43" t="str">
        <f t="shared" ref="AM713:AM776" si="97">AM712</f>
        <v>REZoning_Sol-Win</v>
      </c>
      <c r="AP713" t="s">
        <v>782</v>
      </c>
      <c r="AQ713" t="s">
        <v>57</v>
      </c>
      <c r="AR713">
        <v>2100</v>
      </c>
      <c r="AS713" t="s">
        <v>67</v>
      </c>
      <c r="AT713" t="s">
        <v>58</v>
      </c>
    </row>
    <row r="714" ht="29" spans="1:46">
      <c r="A714" s="31" t="s">
        <v>79</v>
      </c>
      <c r="C714" t="s">
        <v>783</v>
      </c>
      <c r="D714" s="5" t="s">
        <v>57</v>
      </c>
      <c r="E714">
        <v>2035</v>
      </c>
      <c r="F714" s="6" t="str">
        <f t="shared" si="90"/>
        <v>*0.6</v>
      </c>
      <c r="H714" t="s">
        <v>783</v>
      </c>
      <c r="I714" s="5" t="s">
        <v>57</v>
      </c>
      <c r="J714">
        <v>2050</v>
      </c>
      <c r="K714" s="38" t="str">
        <f t="shared" si="91"/>
        <v>*0.5</v>
      </c>
      <c r="P714" s="32" t="s">
        <v>783</v>
      </c>
      <c r="Q714" s="42" t="s">
        <v>57</v>
      </c>
      <c r="R714" s="32">
        <v>2035</v>
      </c>
      <c r="S714" s="43" t="str">
        <f t="shared" si="92"/>
        <v>*0.59</v>
      </c>
      <c r="U714" s="32" t="s">
        <v>783</v>
      </c>
      <c r="V714" s="42" t="s">
        <v>57</v>
      </c>
      <c r="W714" s="32">
        <v>2050</v>
      </c>
      <c r="X714" s="43" t="str">
        <f t="shared" si="93"/>
        <v>*0.47</v>
      </c>
      <c r="AC714" s="33" t="s">
        <v>783</v>
      </c>
      <c r="AD714" s="44" t="s">
        <v>57</v>
      </c>
      <c r="AE714" s="33">
        <v>2035</v>
      </c>
      <c r="AF714" s="45" t="str">
        <f t="shared" si="94"/>
        <v>*0.53</v>
      </c>
      <c r="AG714" s="43" t="str">
        <f t="shared" si="96"/>
        <v>REZoning_Sol-Win</v>
      </c>
      <c r="AI714" s="33" t="s">
        <v>783</v>
      </c>
      <c r="AJ714" s="44" t="s">
        <v>57</v>
      </c>
      <c r="AK714" s="33">
        <v>2050</v>
      </c>
      <c r="AL714" s="45" t="str">
        <f t="shared" si="95"/>
        <v>*0.41</v>
      </c>
      <c r="AM714" s="43" t="str">
        <f t="shared" si="97"/>
        <v>REZoning_Sol-Win</v>
      </c>
      <c r="AP714" t="s">
        <v>783</v>
      </c>
      <c r="AQ714" t="s">
        <v>57</v>
      </c>
      <c r="AR714">
        <v>2100</v>
      </c>
      <c r="AS714" t="s">
        <v>67</v>
      </c>
      <c r="AT714" t="s">
        <v>58</v>
      </c>
    </row>
    <row r="715" ht="29" spans="1:46">
      <c r="A715" s="31" t="s">
        <v>79</v>
      </c>
      <c r="C715" t="s">
        <v>784</v>
      </c>
      <c r="D715" s="5" t="s">
        <v>57</v>
      </c>
      <c r="E715">
        <v>2035</v>
      </c>
      <c r="F715" s="6" t="str">
        <f t="shared" si="90"/>
        <v>*0.6</v>
      </c>
      <c r="H715" t="s">
        <v>784</v>
      </c>
      <c r="I715" s="5" t="s">
        <v>57</v>
      </c>
      <c r="J715">
        <v>2050</v>
      </c>
      <c r="K715" s="38" t="str">
        <f t="shared" si="91"/>
        <v>*0.5</v>
      </c>
      <c r="P715" s="32" t="s">
        <v>784</v>
      </c>
      <c r="Q715" s="42" t="s">
        <v>57</v>
      </c>
      <c r="R715" s="32">
        <v>2035</v>
      </c>
      <c r="S715" s="43" t="str">
        <f t="shared" si="92"/>
        <v>*0.59</v>
      </c>
      <c r="U715" s="32" t="s">
        <v>784</v>
      </c>
      <c r="V715" s="42" t="s">
        <v>57</v>
      </c>
      <c r="W715" s="32">
        <v>2050</v>
      </c>
      <c r="X715" s="43" t="str">
        <f t="shared" si="93"/>
        <v>*0.47</v>
      </c>
      <c r="AC715" s="33" t="s">
        <v>784</v>
      </c>
      <c r="AD715" s="44" t="s">
        <v>57</v>
      </c>
      <c r="AE715" s="33">
        <v>2035</v>
      </c>
      <c r="AF715" s="45" t="str">
        <f t="shared" si="94"/>
        <v>*0.53</v>
      </c>
      <c r="AG715" s="43" t="str">
        <f t="shared" si="96"/>
        <v>REZoning_Sol-Win</v>
      </c>
      <c r="AI715" s="33" t="s">
        <v>784</v>
      </c>
      <c r="AJ715" s="44" t="s">
        <v>57</v>
      </c>
      <c r="AK715" s="33">
        <v>2050</v>
      </c>
      <c r="AL715" s="45" t="str">
        <f t="shared" si="95"/>
        <v>*0.41</v>
      </c>
      <c r="AM715" s="43" t="str">
        <f t="shared" si="97"/>
        <v>REZoning_Sol-Win</v>
      </c>
      <c r="AP715" t="s">
        <v>784</v>
      </c>
      <c r="AQ715" t="s">
        <v>57</v>
      </c>
      <c r="AR715">
        <v>2100</v>
      </c>
      <c r="AS715" t="s">
        <v>67</v>
      </c>
      <c r="AT715" t="s">
        <v>58</v>
      </c>
    </row>
    <row r="716" ht="29" spans="1:46">
      <c r="A716" s="31" t="s">
        <v>79</v>
      </c>
      <c r="C716" t="s">
        <v>785</v>
      </c>
      <c r="D716" s="5" t="s">
        <v>57</v>
      </c>
      <c r="E716">
        <v>2035</v>
      </c>
      <c r="F716" s="6" t="str">
        <f t="shared" si="90"/>
        <v>*0.6</v>
      </c>
      <c r="H716" t="s">
        <v>785</v>
      </c>
      <c r="I716" s="5" t="s">
        <v>57</v>
      </c>
      <c r="J716">
        <v>2050</v>
      </c>
      <c r="K716" s="38" t="str">
        <f t="shared" si="91"/>
        <v>*0.5</v>
      </c>
      <c r="P716" s="32" t="s">
        <v>785</v>
      </c>
      <c r="Q716" s="42" t="s">
        <v>57</v>
      </c>
      <c r="R716" s="32">
        <v>2035</v>
      </c>
      <c r="S716" s="43" t="str">
        <f t="shared" si="92"/>
        <v>*0.59</v>
      </c>
      <c r="U716" s="32" t="s">
        <v>785</v>
      </c>
      <c r="V716" s="42" t="s">
        <v>57</v>
      </c>
      <c r="W716" s="32">
        <v>2050</v>
      </c>
      <c r="X716" s="43" t="str">
        <f t="shared" si="93"/>
        <v>*0.47</v>
      </c>
      <c r="AC716" s="33" t="s">
        <v>785</v>
      </c>
      <c r="AD716" s="44" t="s">
        <v>57</v>
      </c>
      <c r="AE716" s="33">
        <v>2035</v>
      </c>
      <c r="AF716" s="45" t="str">
        <f t="shared" si="94"/>
        <v>*0.53</v>
      </c>
      <c r="AG716" s="43" t="str">
        <f t="shared" si="96"/>
        <v>REZoning_Sol-Win</v>
      </c>
      <c r="AI716" s="33" t="s">
        <v>785</v>
      </c>
      <c r="AJ716" s="44" t="s">
        <v>57</v>
      </c>
      <c r="AK716" s="33">
        <v>2050</v>
      </c>
      <c r="AL716" s="45" t="str">
        <f t="shared" si="95"/>
        <v>*0.41</v>
      </c>
      <c r="AM716" s="43" t="str">
        <f t="shared" si="97"/>
        <v>REZoning_Sol-Win</v>
      </c>
      <c r="AP716" t="s">
        <v>785</v>
      </c>
      <c r="AQ716" t="s">
        <v>57</v>
      </c>
      <c r="AR716">
        <v>2100</v>
      </c>
      <c r="AS716" t="s">
        <v>67</v>
      </c>
      <c r="AT716" t="s">
        <v>58</v>
      </c>
    </row>
    <row r="717" ht="29" spans="1:46">
      <c r="A717" s="31" t="s">
        <v>79</v>
      </c>
      <c r="C717" t="s">
        <v>786</v>
      </c>
      <c r="D717" s="5" t="s">
        <v>57</v>
      </c>
      <c r="E717">
        <v>2035</v>
      </c>
      <c r="F717" s="6" t="str">
        <f t="shared" si="90"/>
        <v>*0.6</v>
      </c>
      <c r="H717" t="s">
        <v>786</v>
      </c>
      <c r="I717" s="5" t="s">
        <v>57</v>
      </c>
      <c r="J717">
        <v>2050</v>
      </c>
      <c r="K717" s="38" t="str">
        <f t="shared" si="91"/>
        <v>*0.5</v>
      </c>
      <c r="P717" s="32" t="s">
        <v>786</v>
      </c>
      <c r="Q717" s="42" t="s">
        <v>57</v>
      </c>
      <c r="R717" s="32">
        <v>2035</v>
      </c>
      <c r="S717" s="43" t="str">
        <f t="shared" si="92"/>
        <v>*0.59</v>
      </c>
      <c r="U717" s="32" t="s">
        <v>786</v>
      </c>
      <c r="V717" s="42" t="s">
        <v>57</v>
      </c>
      <c r="W717" s="32">
        <v>2050</v>
      </c>
      <c r="X717" s="43" t="str">
        <f t="shared" si="93"/>
        <v>*0.47</v>
      </c>
      <c r="AC717" s="33" t="s">
        <v>786</v>
      </c>
      <c r="AD717" s="44" t="s">
        <v>57</v>
      </c>
      <c r="AE717" s="33">
        <v>2035</v>
      </c>
      <c r="AF717" s="45" t="str">
        <f t="shared" si="94"/>
        <v>*0.53</v>
      </c>
      <c r="AG717" s="43" t="str">
        <f t="shared" si="96"/>
        <v>REZoning_Sol-Win</v>
      </c>
      <c r="AI717" s="33" t="s">
        <v>786</v>
      </c>
      <c r="AJ717" s="44" t="s">
        <v>57</v>
      </c>
      <c r="AK717" s="33">
        <v>2050</v>
      </c>
      <c r="AL717" s="45" t="str">
        <f t="shared" si="95"/>
        <v>*0.41</v>
      </c>
      <c r="AM717" s="43" t="str">
        <f t="shared" si="97"/>
        <v>REZoning_Sol-Win</v>
      </c>
      <c r="AP717" t="s">
        <v>786</v>
      </c>
      <c r="AQ717" t="s">
        <v>57</v>
      </c>
      <c r="AR717">
        <v>2100</v>
      </c>
      <c r="AS717" t="s">
        <v>67</v>
      </c>
      <c r="AT717" t="s">
        <v>58</v>
      </c>
    </row>
    <row r="718" ht="29" spans="1:46">
      <c r="A718" s="31" t="s">
        <v>79</v>
      </c>
      <c r="C718" t="s">
        <v>787</v>
      </c>
      <c r="D718" s="5" t="s">
        <v>57</v>
      </c>
      <c r="E718">
        <v>2035</v>
      </c>
      <c r="F718" s="6" t="str">
        <f t="shared" si="90"/>
        <v>*0.6</v>
      </c>
      <c r="H718" t="s">
        <v>787</v>
      </c>
      <c r="I718" s="5" t="s">
        <v>57</v>
      </c>
      <c r="J718">
        <v>2050</v>
      </c>
      <c r="K718" s="38" t="str">
        <f t="shared" si="91"/>
        <v>*0.5</v>
      </c>
      <c r="P718" s="32" t="s">
        <v>787</v>
      </c>
      <c r="Q718" s="42" t="s">
        <v>57</v>
      </c>
      <c r="R718" s="32">
        <v>2035</v>
      </c>
      <c r="S718" s="43" t="str">
        <f t="shared" si="92"/>
        <v>*0.59</v>
      </c>
      <c r="U718" s="32" t="s">
        <v>787</v>
      </c>
      <c r="V718" s="42" t="s">
        <v>57</v>
      </c>
      <c r="W718" s="32">
        <v>2050</v>
      </c>
      <c r="X718" s="43" t="str">
        <f t="shared" si="93"/>
        <v>*0.47</v>
      </c>
      <c r="AC718" s="33" t="s">
        <v>787</v>
      </c>
      <c r="AD718" s="44" t="s">
        <v>57</v>
      </c>
      <c r="AE718" s="33">
        <v>2035</v>
      </c>
      <c r="AF718" s="45" t="str">
        <f t="shared" si="94"/>
        <v>*0.53</v>
      </c>
      <c r="AG718" s="43" t="str">
        <f t="shared" si="96"/>
        <v>REZoning_Sol-Win</v>
      </c>
      <c r="AI718" s="33" t="s">
        <v>787</v>
      </c>
      <c r="AJ718" s="44" t="s">
        <v>57</v>
      </c>
      <c r="AK718" s="33">
        <v>2050</v>
      </c>
      <c r="AL718" s="45" t="str">
        <f t="shared" si="95"/>
        <v>*0.41</v>
      </c>
      <c r="AM718" s="43" t="str">
        <f t="shared" si="97"/>
        <v>REZoning_Sol-Win</v>
      </c>
      <c r="AP718" t="s">
        <v>787</v>
      </c>
      <c r="AQ718" t="s">
        <v>57</v>
      </c>
      <c r="AR718">
        <v>2100</v>
      </c>
      <c r="AS718" t="s">
        <v>67</v>
      </c>
      <c r="AT718" t="s">
        <v>58</v>
      </c>
    </row>
    <row r="719" ht="29" spans="1:46">
      <c r="A719" s="31" t="s">
        <v>79</v>
      </c>
      <c r="C719" t="s">
        <v>788</v>
      </c>
      <c r="D719" s="5" t="s">
        <v>57</v>
      </c>
      <c r="E719">
        <v>2035</v>
      </c>
      <c r="F719" s="6" t="str">
        <f t="shared" si="90"/>
        <v>*0.6</v>
      </c>
      <c r="H719" t="s">
        <v>788</v>
      </c>
      <c r="I719" s="5" t="s">
        <v>57</v>
      </c>
      <c r="J719">
        <v>2050</v>
      </c>
      <c r="K719" s="38" t="str">
        <f t="shared" si="91"/>
        <v>*0.5</v>
      </c>
      <c r="P719" s="32" t="s">
        <v>788</v>
      </c>
      <c r="Q719" s="42" t="s">
        <v>57</v>
      </c>
      <c r="R719" s="32">
        <v>2035</v>
      </c>
      <c r="S719" s="43" t="str">
        <f t="shared" si="92"/>
        <v>*0.59</v>
      </c>
      <c r="U719" s="32" t="s">
        <v>788</v>
      </c>
      <c r="V719" s="42" t="s">
        <v>57</v>
      </c>
      <c r="W719" s="32">
        <v>2050</v>
      </c>
      <c r="X719" s="43" t="str">
        <f t="shared" si="93"/>
        <v>*0.47</v>
      </c>
      <c r="AC719" s="33" t="s">
        <v>788</v>
      </c>
      <c r="AD719" s="44" t="s">
        <v>57</v>
      </c>
      <c r="AE719" s="33">
        <v>2035</v>
      </c>
      <c r="AF719" s="45" t="str">
        <f t="shared" si="94"/>
        <v>*0.53</v>
      </c>
      <c r="AG719" s="43" t="str">
        <f t="shared" si="96"/>
        <v>REZoning_Sol-Win</v>
      </c>
      <c r="AI719" s="33" t="s">
        <v>788</v>
      </c>
      <c r="AJ719" s="44" t="s">
        <v>57</v>
      </c>
      <c r="AK719" s="33">
        <v>2050</v>
      </c>
      <c r="AL719" s="45" t="str">
        <f t="shared" si="95"/>
        <v>*0.41</v>
      </c>
      <c r="AM719" s="43" t="str">
        <f t="shared" si="97"/>
        <v>REZoning_Sol-Win</v>
      </c>
      <c r="AP719" t="s">
        <v>788</v>
      </c>
      <c r="AQ719" t="s">
        <v>57</v>
      </c>
      <c r="AR719">
        <v>2100</v>
      </c>
      <c r="AS719" t="s">
        <v>67</v>
      </c>
      <c r="AT719" t="s">
        <v>58</v>
      </c>
    </row>
    <row r="720" ht="29" spans="1:46">
      <c r="A720" s="31" t="s">
        <v>79</v>
      </c>
      <c r="C720" t="s">
        <v>789</v>
      </c>
      <c r="D720" s="5" t="s">
        <v>57</v>
      </c>
      <c r="E720">
        <v>2035</v>
      </c>
      <c r="F720" s="6" t="str">
        <f t="shared" si="90"/>
        <v>*0.6</v>
      </c>
      <c r="H720" t="s">
        <v>789</v>
      </c>
      <c r="I720" s="5" t="s">
        <v>57</v>
      </c>
      <c r="J720">
        <v>2050</v>
      </c>
      <c r="K720" s="38" t="str">
        <f t="shared" si="91"/>
        <v>*0.5</v>
      </c>
      <c r="P720" s="32" t="s">
        <v>789</v>
      </c>
      <c r="Q720" s="42" t="s">
        <v>57</v>
      </c>
      <c r="R720" s="32">
        <v>2035</v>
      </c>
      <c r="S720" s="43" t="str">
        <f t="shared" si="92"/>
        <v>*0.59</v>
      </c>
      <c r="U720" s="32" t="s">
        <v>789</v>
      </c>
      <c r="V720" s="42" t="s">
        <v>57</v>
      </c>
      <c r="W720" s="32">
        <v>2050</v>
      </c>
      <c r="X720" s="43" t="str">
        <f t="shared" si="93"/>
        <v>*0.47</v>
      </c>
      <c r="AC720" s="33" t="s">
        <v>789</v>
      </c>
      <c r="AD720" s="44" t="s">
        <v>57</v>
      </c>
      <c r="AE720" s="33">
        <v>2035</v>
      </c>
      <c r="AF720" s="45" t="str">
        <f t="shared" si="94"/>
        <v>*0.53</v>
      </c>
      <c r="AG720" s="43" t="str">
        <f t="shared" si="96"/>
        <v>REZoning_Sol-Win</v>
      </c>
      <c r="AI720" s="33" t="s">
        <v>789</v>
      </c>
      <c r="AJ720" s="44" t="s">
        <v>57</v>
      </c>
      <c r="AK720" s="33">
        <v>2050</v>
      </c>
      <c r="AL720" s="45" t="str">
        <f t="shared" si="95"/>
        <v>*0.41</v>
      </c>
      <c r="AM720" s="43" t="str">
        <f t="shared" si="97"/>
        <v>REZoning_Sol-Win</v>
      </c>
      <c r="AP720" t="s">
        <v>789</v>
      </c>
      <c r="AQ720" t="s">
        <v>57</v>
      </c>
      <c r="AR720">
        <v>2100</v>
      </c>
      <c r="AS720" t="s">
        <v>67</v>
      </c>
      <c r="AT720" t="s">
        <v>58</v>
      </c>
    </row>
    <row r="721" ht="29" spans="1:46">
      <c r="A721" s="31" t="s">
        <v>79</v>
      </c>
      <c r="C721" t="s">
        <v>790</v>
      </c>
      <c r="D721" s="5" t="s">
        <v>57</v>
      </c>
      <c r="E721">
        <v>2035</v>
      </c>
      <c r="F721" s="6" t="str">
        <f t="shared" si="90"/>
        <v>*0.6</v>
      </c>
      <c r="H721" t="s">
        <v>790</v>
      </c>
      <c r="I721" s="5" t="s">
        <v>57</v>
      </c>
      <c r="J721">
        <v>2050</v>
      </c>
      <c r="K721" s="38" t="str">
        <f t="shared" si="91"/>
        <v>*0.5</v>
      </c>
      <c r="P721" s="32" t="s">
        <v>790</v>
      </c>
      <c r="Q721" s="42" t="s">
        <v>57</v>
      </c>
      <c r="R721" s="32">
        <v>2035</v>
      </c>
      <c r="S721" s="43" t="str">
        <f t="shared" si="92"/>
        <v>*0.59</v>
      </c>
      <c r="U721" s="32" t="s">
        <v>790</v>
      </c>
      <c r="V721" s="42" t="s">
        <v>57</v>
      </c>
      <c r="W721" s="32">
        <v>2050</v>
      </c>
      <c r="X721" s="43" t="str">
        <f t="shared" si="93"/>
        <v>*0.47</v>
      </c>
      <c r="AC721" s="33" t="s">
        <v>790</v>
      </c>
      <c r="AD721" s="44" t="s">
        <v>57</v>
      </c>
      <c r="AE721" s="33">
        <v>2035</v>
      </c>
      <c r="AF721" s="45" t="str">
        <f t="shared" si="94"/>
        <v>*0.53</v>
      </c>
      <c r="AG721" s="43" t="str">
        <f t="shared" si="96"/>
        <v>REZoning_Sol-Win</v>
      </c>
      <c r="AI721" s="33" t="s">
        <v>790</v>
      </c>
      <c r="AJ721" s="44" t="s">
        <v>57</v>
      </c>
      <c r="AK721" s="33">
        <v>2050</v>
      </c>
      <c r="AL721" s="45" t="str">
        <f t="shared" si="95"/>
        <v>*0.41</v>
      </c>
      <c r="AM721" s="43" t="str">
        <f t="shared" si="97"/>
        <v>REZoning_Sol-Win</v>
      </c>
      <c r="AP721" t="s">
        <v>790</v>
      </c>
      <c r="AQ721" t="s">
        <v>57</v>
      </c>
      <c r="AR721">
        <v>2100</v>
      </c>
      <c r="AS721" t="s">
        <v>67</v>
      </c>
      <c r="AT721" t="s">
        <v>58</v>
      </c>
    </row>
    <row r="722" ht="29" spans="1:46">
      <c r="A722" s="31" t="s">
        <v>79</v>
      </c>
      <c r="C722" t="s">
        <v>791</v>
      </c>
      <c r="D722" s="5" t="s">
        <v>57</v>
      </c>
      <c r="E722">
        <v>2035</v>
      </c>
      <c r="F722" s="6" t="str">
        <f t="shared" si="90"/>
        <v>*0.6</v>
      </c>
      <c r="H722" t="s">
        <v>791</v>
      </c>
      <c r="I722" s="5" t="s">
        <v>57</v>
      </c>
      <c r="J722">
        <v>2050</v>
      </c>
      <c r="K722" s="38" t="str">
        <f t="shared" si="91"/>
        <v>*0.5</v>
      </c>
      <c r="P722" s="32" t="s">
        <v>791</v>
      </c>
      <c r="Q722" s="42" t="s">
        <v>57</v>
      </c>
      <c r="R722" s="32">
        <v>2035</v>
      </c>
      <c r="S722" s="43" t="str">
        <f t="shared" si="92"/>
        <v>*0.59</v>
      </c>
      <c r="U722" s="32" t="s">
        <v>791</v>
      </c>
      <c r="V722" s="42" t="s">
        <v>57</v>
      </c>
      <c r="W722" s="32">
        <v>2050</v>
      </c>
      <c r="X722" s="43" t="str">
        <f t="shared" si="93"/>
        <v>*0.47</v>
      </c>
      <c r="AC722" s="33" t="s">
        <v>791</v>
      </c>
      <c r="AD722" s="44" t="s">
        <v>57</v>
      </c>
      <c r="AE722" s="33">
        <v>2035</v>
      </c>
      <c r="AF722" s="45" t="str">
        <f t="shared" si="94"/>
        <v>*0.53</v>
      </c>
      <c r="AG722" s="43" t="str">
        <f t="shared" si="96"/>
        <v>REZoning_Sol-Win</v>
      </c>
      <c r="AI722" s="33" t="s">
        <v>791</v>
      </c>
      <c r="AJ722" s="44" t="s">
        <v>57</v>
      </c>
      <c r="AK722" s="33">
        <v>2050</v>
      </c>
      <c r="AL722" s="45" t="str">
        <f t="shared" si="95"/>
        <v>*0.41</v>
      </c>
      <c r="AM722" s="43" t="str">
        <f t="shared" si="97"/>
        <v>REZoning_Sol-Win</v>
      </c>
      <c r="AP722" t="s">
        <v>791</v>
      </c>
      <c r="AQ722" t="s">
        <v>57</v>
      </c>
      <c r="AR722">
        <v>2100</v>
      </c>
      <c r="AS722" t="s">
        <v>67</v>
      </c>
      <c r="AT722" t="s">
        <v>58</v>
      </c>
    </row>
    <row r="723" ht="29" spans="1:46">
      <c r="A723" s="31" t="s">
        <v>79</v>
      </c>
      <c r="C723" t="s">
        <v>792</v>
      </c>
      <c r="D723" s="5" t="s">
        <v>57</v>
      </c>
      <c r="E723">
        <v>2035</v>
      </c>
      <c r="F723" s="6" t="str">
        <f t="shared" si="90"/>
        <v>*0.6</v>
      </c>
      <c r="H723" t="s">
        <v>792</v>
      </c>
      <c r="I723" s="5" t="s">
        <v>57</v>
      </c>
      <c r="J723">
        <v>2050</v>
      </c>
      <c r="K723" s="38" t="str">
        <f t="shared" si="91"/>
        <v>*0.5</v>
      </c>
      <c r="P723" s="32" t="s">
        <v>792</v>
      </c>
      <c r="Q723" s="42" t="s">
        <v>57</v>
      </c>
      <c r="R723" s="32">
        <v>2035</v>
      </c>
      <c r="S723" s="43" t="str">
        <f t="shared" si="92"/>
        <v>*0.59</v>
      </c>
      <c r="U723" s="32" t="s">
        <v>792</v>
      </c>
      <c r="V723" s="42" t="s">
        <v>57</v>
      </c>
      <c r="W723" s="32">
        <v>2050</v>
      </c>
      <c r="X723" s="43" t="str">
        <f t="shared" si="93"/>
        <v>*0.47</v>
      </c>
      <c r="AC723" s="33" t="s">
        <v>792</v>
      </c>
      <c r="AD723" s="44" t="s">
        <v>57</v>
      </c>
      <c r="AE723" s="33">
        <v>2035</v>
      </c>
      <c r="AF723" s="45" t="str">
        <f t="shared" si="94"/>
        <v>*0.53</v>
      </c>
      <c r="AG723" s="43" t="str">
        <f t="shared" si="96"/>
        <v>REZoning_Sol-Win</v>
      </c>
      <c r="AI723" s="33" t="s">
        <v>792</v>
      </c>
      <c r="AJ723" s="44" t="s">
        <v>57</v>
      </c>
      <c r="AK723" s="33">
        <v>2050</v>
      </c>
      <c r="AL723" s="45" t="str">
        <f t="shared" si="95"/>
        <v>*0.41</v>
      </c>
      <c r="AM723" s="43" t="str">
        <f t="shared" si="97"/>
        <v>REZoning_Sol-Win</v>
      </c>
      <c r="AP723" t="s">
        <v>792</v>
      </c>
      <c r="AQ723" t="s">
        <v>57</v>
      </c>
      <c r="AR723">
        <v>2100</v>
      </c>
      <c r="AS723" t="s">
        <v>67</v>
      </c>
      <c r="AT723" t="s">
        <v>58</v>
      </c>
    </row>
    <row r="724" ht="29" spans="1:46">
      <c r="A724" s="31" t="s">
        <v>79</v>
      </c>
      <c r="C724" t="s">
        <v>793</v>
      </c>
      <c r="D724" s="5" t="s">
        <v>57</v>
      </c>
      <c r="E724">
        <v>2035</v>
      </c>
      <c r="F724" s="6" t="str">
        <f t="shared" si="90"/>
        <v>*0.6</v>
      </c>
      <c r="H724" t="s">
        <v>793</v>
      </c>
      <c r="I724" s="5" t="s">
        <v>57</v>
      </c>
      <c r="J724">
        <v>2050</v>
      </c>
      <c r="K724" s="38" t="str">
        <f t="shared" si="91"/>
        <v>*0.5</v>
      </c>
      <c r="P724" s="32" t="s">
        <v>793</v>
      </c>
      <c r="Q724" s="42" t="s">
        <v>57</v>
      </c>
      <c r="R724" s="32">
        <v>2035</v>
      </c>
      <c r="S724" s="43" t="str">
        <f t="shared" si="92"/>
        <v>*0.59</v>
      </c>
      <c r="U724" s="32" t="s">
        <v>793</v>
      </c>
      <c r="V724" s="42" t="s">
        <v>57</v>
      </c>
      <c r="W724" s="32">
        <v>2050</v>
      </c>
      <c r="X724" s="43" t="str">
        <f t="shared" si="93"/>
        <v>*0.47</v>
      </c>
      <c r="AC724" s="33" t="s">
        <v>793</v>
      </c>
      <c r="AD724" s="44" t="s">
        <v>57</v>
      </c>
      <c r="AE724" s="33">
        <v>2035</v>
      </c>
      <c r="AF724" s="45" t="str">
        <f t="shared" si="94"/>
        <v>*0.53</v>
      </c>
      <c r="AG724" s="43" t="str">
        <f t="shared" si="96"/>
        <v>REZoning_Sol-Win</v>
      </c>
      <c r="AI724" s="33" t="s">
        <v>793</v>
      </c>
      <c r="AJ724" s="44" t="s">
        <v>57</v>
      </c>
      <c r="AK724" s="33">
        <v>2050</v>
      </c>
      <c r="AL724" s="45" t="str">
        <f t="shared" si="95"/>
        <v>*0.41</v>
      </c>
      <c r="AM724" s="43" t="str">
        <f t="shared" si="97"/>
        <v>REZoning_Sol-Win</v>
      </c>
      <c r="AP724" t="s">
        <v>793</v>
      </c>
      <c r="AQ724" t="s">
        <v>57</v>
      </c>
      <c r="AR724">
        <v>2100</v>
      </c>
      <c r="AS724" t="s">
        <v>67</v>
      </c>
      <c r="AT724" t="s">
        <v>58</v>
      </c>
    </row>
    <row r="725" ht="29" spans="1:46">
      <c r="A725" s="31" t="s">
        <v>65</v>
      </c>
      <c r="C725" t="s">
        <v>794</v>
      </c>
      <c r="D725" s="5" t="s">
        <v>57</v>
      </c>
      <c r="E725">
        <v>2035</v>
      </c>
      <c r="F725" s="6" t="str">
        <f t="shared" si="90"/>
        <v>*0.61</v>
      </c>
      <c r="H725" t="s">
        <v>794</v>
      </c>
      <c r="I725" s="5" t="s">
        <v>57</v>
      </c>
      <c r="J725">
        <v>2050</v>
      </c>
      <c r="K725" s="38" t="str">
        <f t="shared" si="91"/>
        <v>*0.5</v>
      </c>
      <c r="P725" s="32" t="s">
        <v>794</v>
      </c>
      <c r="Q725" s="42" t="s">
        <v>57</v>
      </c>
      <c r="R725" s="32">
        <v>2035</v>
      </c>
      <c r="S725" s="43" t="str">
        <f t="shared" si="92"/>
        <v>*0.58</v>
      </c>
      <c r="U725" s="32" t="s">
        <v>794</v>
      </c>
      <c r="V725" s="42" t="s">
        <v>57</v>
      </c>
      <c r="W725" s="32">
        <v>2050</v>
      </c>
      <c r="X725" s="43" t="str">
        <f t="shared" si="93"/>
        <v>*0.47</v>
      </c>
      <c r="AC725" s="33" t="s">
        <v>794</v>
      </c>
      <c r="AD725" s="44" t="s">
        <v>57</v>
      </c>
      <c r="AE725" s="33">
        <v>2035</v>
      </c>
      <c r="AF725" s="45" t="str">
        <f t="shared" si="94"/>
        <v>*0.53</v>
      </c>
      <c r="AG725" s="43" t="str">
        <f t="shared" si="96"/>
        <v>REZoning_Sol-Win</v>
      </c>
      <c r="AI725" s="33" t="s">
        <v>794</v>
      </c>
      <c r="AJ725" s="44" t="s">
        <v>57</v>
      </c>
      <c r="AK725" s="33">
        <v>2050</v>
      </c>
      <c r="AL725" s="45" t="str">
        <f t="shared" si="95"/>
        <v>*0.41</v>
      </c>
      <c r="AM725" s="43" t="str">
        <f t="shared" si="97"/>
        <v>REZoning_Sol-Win</v>
      </c>
      <c r="AP725" t="s">
        <v>794</v>
      </c>
      <c r="AQ725" t="s">
        <v>57</v>
      </c>
      <c r="AR725">
        <v>2100</v>
      </c>
      <c r="AS725" t="s">
        <v>67</v>
      </c>
      <c r="AT725" t="s">
        <v>58</v>
      </c>
    </row>
    <row r="726" ht="29" spans="1:46">
      <c r="A726" s="31" t="s">
        <v>65</v>
      </c>
      <c r="C726" t="s">
        <v>795</v>
      </c>
      <c r="D726" s="5" t="s">
        <v>57</v>
      </c>
      <c r="E726">
        <v>2035</v>
      </c>
      <c r="F726" s="6" t="str">
        <f t="shared" si="90"/>
        <v>*0.61</v>
      </c>
      <c r="H726" t="s">
        <v>795</v>
      </c>
      <c r="I726" s="5" t="s">
        <v>57</v>
      </c>
      <c r="J726">
        <v>2050</v>
      </c>
      <c r="K726" s="38" t="str">
        <f t="shared" si="91"/>
        <v>*0.5</v>
      </c>
      <c r="P726" s="32" t="s">
        <v>795</v>
      </c>
      <c r="Q726" s="42" t="s">
        <v>57</v>
      </c>
      <c r="R726" s="32">
        <v>2035</v>
      </c>
      <c r="S726" s="43" t="str">
        <f t="shared" si="92"/>
        <v>*0.58</v>
      </c>
      <c r="U726" s="32" t="s">
        <v>795</v>
      </c>
      <c r="V726" s="42" t="s">
        <v>57</v>
      </c>
      <c r="W726" s="32">
        <v>2050</v>
      </c>
      <c r="X726" s="43" t="str">
        <f t="shared" si="93"/>
        <v>*0.47</v>
      </c>
      <c r="AC726" s="33" t="s">
        <v>795</v>
      </c>
      <c r="AD726" s="44" t="s">
        <v>57</v>
      </c>
      <c r="AE726" s="33">
        <v>2035</v>
      </c>
      <c r="AF726" s="45" t="str">
        <f t="shared" si="94"/>
        <v>*0.53</v>
      </c>
      <c r="AG726" s="43" t="str">
        <f t="shared" si="96"/>
        <v>REZoning_Sol-Win</v>
      </c>
      <c r="AI726" s="33" t="s">
        <v>795</v>
      </c>
      <c r="AJ726" s="44" t="s">
        <v>57</v>
      </c>
      <c r="AK726" s="33">
        <v>2050</v>
      </c>
      <c r="AL726" s="45" t="str">
        <f t="shared" si="95"/>
        <v>*0.41</v>
      </c>
      <c r="AM726" s="43" t="str">
        <f t="shared" si="97"/>
        <v>REZoning_Sol-Win</v>
      </c>
      <c r="AP726" t="s">
        <v>795</v>
      </c>
      <c r="AQ726" t="s">
        <v>57</v>
      </c>
      <c r="AR726">
        <v>2100</v>
      </c>
      <c r="AS726" t="s">
        <v>67</v>
      </c>
      <c r="AT726" t="s">
        <v>58</v>
      </c>
    </row>
    <row r="727" ht="29" spans="1:46">
      <c r="A727" s="31" t="s">
        <v>65</v>
      </c>
      <c r="C727" t="s">
        <v>796</v>
      </c>
      <c r="D727" s="5" t="s">
        <v>57</v>
      </c>
      <c r="E727">
        <v>2035</v>
      </c>
      <c r="F727" s="6" t="str">
        <f t="shared" si="90"/>
        <v>*0.61</v>
      </c>
      <c r="H727" t="s">
        <v>796</v>
      </c>
      <c r="I727" s="5" t="s">
        <v>57</v>
      </c>
      <c r="J727">
        <v>2050</v>
      </c>
      <c r="K727" s="38" t="str">
        <f t="shared" si="91"/>
        <v>*0.5</v>
      </c>
      <c r="P727" s="32" t="s">
        <v>796</v>
      </c>
      <c r="Q727" s="42" t="s">
        <v>57</v>
      </c>
      <c r="R727" s="32">
        <v>2035</v>
      </c>
      <c r="S727" s="43" t="str">
        <f t="shared" si="92"/>
        <v>*0.58</v>
      </c>
      <c r="U727" s="32" t="s">
        <v>796</v>
      </c>
      <c r="V727" s="42" t="s">
        <v>57</v>
      </c>
      <c r="W727" s="32">
        <v>2050</v>
      </c>
      <c r="X727" s="43" t="str">
        <f t="shared" si="93"/>
        <v>*0.47</v>
      </c>
      <c r="AC727" s="33" t="s">
        <v>796</v>
      </c>
      <c r="AD727" s="44" t="s">
        <v>57</v>
      </c>
      <c r="AE727" s="33">
        <v>2035</v>
      </c>
      <c r="AF727" s="45" t="str">
        <f t="shared" si="94"/>
        <v>*0.53</v>
      </c>
      <c r="AG727" s="43" t="str">
        <f t="shared" si="96"/>
        <v>REZoning_Sol-Win</v>
      </c>
      <c r="AI727" s="33" t="s">
        <v>796</v>
      </c>
      <c r="AJ727" s="44" t="s">
        <v>57</v>
      </c>
      <c r="AK727" s="33">
        <v>2050</v>
      </c>
      <c r="AL727" s="45" t="str">
        <f t="shared" si="95"/>
        <v>*0.41</v>
      </c>
      <c r="AM727" s="43" t="str">
        <f t="shared" si="97"/>
        <v>REZoning_Sol-Win</v>
      </c>
      <c r="AP727" t="s">
        <v>796</v>
      </c>
      <c r="AQ727" t="s">
        <v>57</v>
      </c>
      <c r="AR727">
        <v>2100</v>
      </c>
      <c r="AS727" t="s">
        <v>67</v>
      </c>
      <c r="AT727" t="s">
        <v>58</v>
      </c>
    </row>
    <row r="728" ht="29" spans="1:46">
      <c r="A728" s="31" t="s">
        <v>65</v>
      </c>
      <c r="C728" t="s">
        <v>797</v>
      </c>
      <c r="D728" s="5" t="s">
        <v>57</v>
      </c>
      <c r="E728">
        <v>2035</v>
      </c>
      <c r="F728" s="6" t="str">
        <f t="shared" si="90"/>
        <v>*0.61</v>
      </c>
      <c r="H728" t="s">
        <v>797</v>
      </c>
      <c r="I728" s="5" t="s">
        <v>57</v>
      </c>
      <c r="J728">
        <v>2050</v>
      </c>
      <c r="K728" s="38" t="str">
        <f t="shared" si="91"/>
        <v>*0.5</v>
      </c>
      <c r="P728" s="32" t="s">
        <v>797</v>
      </c>
      <c r="Q728" s="42" t="s">
        <v>57</v>
      </c>
      <c r="R728" s="32">
        <v>2035</v>
      </c>
      <c r="S728" s="43" t="str">
        <f t="shared" si="92"/>
        <v>*0.58</v>
      </c>
      <c r="U728" s="32" t="s">
        <v>797</v>
      </c>
      <c r="V728" s="42" t="s">
        <v>57</v>
      </c>
      <c r="W728" s="32">
        <v>2050</v>
      </c>
      <c r="X728" s="43" t="str">
        <f t="shared" si="93"/>
        <v>*0.47</v>
      </c>
      <c r="AC728" s="33" t="s">
        <v>797</v>
      </c>
      <c r="AD728" s="44" t="s">
        <v>57</v>
      </c>
      <c r="AE728" s="33">
        <v>2035</v>
      </c>
      <c r="AF728" s="45" t="str">
        <f t="shared" si="94"/>
        <v>*0.53</v>
      </c>
      <c r="AG728" s="43" t="str">
        <f t="shared" si="96"/>
        <v>REZoning_Sol-Win</v>
      </c>
      <c r="AI728" s="33" t="s">
        <v>797</v>
      </c>
      <c r="AJ728" s="44" t="s">
        <v>57</v>
      </c>
      <c r="AK728" s="33">
        <v>2050</v>
      </c>
      <c r="AL728" s="45" t="str">
        <f t="shared" si="95"/>
        <v>*0.41</v>
      </c>
      <c r="AM728" s="43" t="str">
        <f t="shared" si="97"/>
        <v>REZoning_Sol-Win</v>
      </c>
      <c r="AP728" t="s">
        <v>797</v>
      </c>
      <c r="AQ728" t="s">
        <v>57</v>
      </c>
      <c r="AR728">
        <v>2100</v>
      </c>
      <c r="AS728" t="s">
        <v>67</v>
      </c>
      <c r="AT728" t="s">
        <v>58</v>
      </c>
    </row>
    <row r="729" ht="29" spans="1:46">
      <c r="A729" s="31" t="s">
        <v>65</v>
      </c>
      <c r="C729" t="s">
        <v>798</v>
      </c>
      <c r="D729" s="5" t="s">
        <v>57</v>
      </c>
      <c r="E729">
        <v>2035</v>
      </c>
      <c r="F729" s="6" t="str">
        <f t="shared" si="90"/>
        <v>*0.61</v>
      </c>
      <c r="H729" t="s">
        <v>798</v>
      </c>
      <c r="I729" s="5" t="s">
        <v>57</v>
      </c>
      <c r="J729">
        <v>2050</v>
      </c>
      <c r="K729" s="38" t="str">
        <f t="shared" si="91"/>
        <v>*0.5</v>
      </c>
      <c r="P729" s="32" t="s">
        <v>798</v>
      </c>
      <c r="Q729" s="42" t="s">
        <v>57</v>
      </c>
      <c r="R729" s="32">
        <v>2035</v>
      </c>
      <c r="S729" s="43" t="str">
        <f t="shared" si="92"/>
        <v>*0.58</v>
      </c>
      <c r="U729" s="32" t="s">
        <v>798</v>
      </c>
      <c r="V729" s="42" t="s">
        <v>57</v>
      </c>
      <c r="W729" s="32">
        <v>2050</v>
      </c>
      <c r="X729" s="43" t="str">
        <f t="shared" si="93"/>
        <v>*0.47</v>
      </c>
      <c r="AC729" s="33" t="s">
        <v>798</v>
      </c>
      <c r="AD729" s="44" t="s">
        <v>57</v>
      </c>
      <c r="AE729" s="33">
        <v>2035</v>
      </c>
      <c r="AF729" s="45" t="str">
        <f t="shared" si="94"/>
        <v>*0.53</v>
      </c>
      <c r="AG729" s="43" t="str">
        <f t="shared" si="96"/>
        <v>REZoning_Sol-Win</v>
      </c>
      <c r="AI729" s="33" t="s">
        <v>798</v>
      </c>
      <c r="AJ729" s="44" t="s">
        <v>57</v>
      </c>
      <c r="AK729" s="33">
        <v>2050</v>
      </c>
      <c r="AL729" s="45" t="str">
        <f t="shared" si="95"/>
        <v>*0.41</v>
      </c>
      <c r="AM729" s="43" t="str">
        <f t="shared" si="97"/>
        <v>REZoning_Sol-Win</v>
      </c>
      <c r="AP729" t="s">
        <v>798</v>
      </c>
      <c r="AQ729" t="s">
        <v>57</v>
      </c>
      <c r="AR729">
        <v>2100</v>
      </c>
      <c r="AS729" t="s">
        <v>67</v>
      </c>
      <c r="AT729" t="s">
        <v>58</v>
      </c>
    </row>
    <row r="730" ht="29" spans="1:46">
      <c r="A730" s="31" t="s">
        <v>65</v>
      </c>
      <c r="C730" t="s">
        <v>799</v>
      </c>
      <c r="D730" s="5" t="s">
        <v>57</v>
      </c>
      <c r="E730">
        <v>2035</v>
      </c>
      <c r="F730" s="6" t="str">
        <f t="shared" si="90"/>
        <v>*0.61</v>
      </c>
      <c r="H730" t="s">
        <v>799</v>
      </c>
      <c r="I730" s="5" t="s">
        <v>57</v>
      </c>
      <c r="J730">
        <v>2050</v>
      </c>
      <c r="K730" s="38" t="str">
        <f t="shared" si="91"/>
        <v>*0.5</v>
      </c>
      <c r="P730" s="32" t="s">
        <v>799</v>
      </c>
      <c r="Q730" s="42" t="s">
        <v>57</v>
      </c>
      <c r="R730" s="32">
        <v>2035</v>
      </c>
      <c r="S730" s="43" t="str">
        <f t="shared" si="92"/>
        <v>*0.58</v>
      </c>
      <c r="U730" s="32" t="s">
        <v>799</v>
      </c>
      <c r="V730" s="42" t="s">
        <v>57</v>
      </c>
      <c r="W730" s="32">
        <v>2050</v>
      </c>
      <c r="X730" s="43" t="str">
        <f t="shared" si="93"/>
        <v>*0.47</v>
      </c>
      <c r="AC730" s="33" t="s">
        <v>799</v>
      </c>
      <c r="AD730" s="44" t="s">
        <v>57</v>
      </c>
      <c r="AE730" s="33">
        <v>2035</v>
      </c>
      <c r="AF730" s="45" t="str">
        <f t="shared" si="94"/>
        <v>*0.53</v>
      </c>
      <c r="AG730" s="43" t="str">
        <f t="shared" si="96"/>
        <v>REZoning_Sol-Win</v>
      </c>
      <c r="AI730" s="33" t="s">
        <v>799</v>
      </c>
      <c r="AJ730" s="44" t="s">
        <v>57</v>
      </c>
      <c r="AK730" s="33">
        <v>2050</v>
      </c>
      <c r="AL730" s="45" t="str">
        <f t="shared" si="95"/>
        <v>*0.41</v>
      </c>
      <c r="AM730" s="43" t="str">
        <f t="shared" si="97"/>
        <v>REZoning_Sol-Win</v>
      </c>
      <c r="AP730" t="s">
        <v>799</v>
      </c>
      <c r="AQ730" t="s">
        <v>57</v>
      </c>
      <c r="AR730">
        <v>2100</v>
      </c>
      <c r="AS730" t="s">
        <v>67</v>
      </c>
      <c r="AT730" t="s">
        <v>58</v>
      </c>
    </row>
    <row r="731" ht="29" spans="1:46">
      <c r="A731" s="31" t="s">
        <v>95</v>
      </c>
      <c r="C731" t="s">
        <v>800</v>
      </c>
      <c r="D731" s="5" t="s">
        <v>57</v>
      </c>
      <c r="E731">
        <v>2035</v>
      </c>
      <c r="F731" s="6" t="str">
        <f t="shared" si="90"/>
        <v>*0.65</v>
      </c>
      <c r="H731" t="s">
        <v>800</v>
      </c>
      <c r="I731" s="5" t="s">
        <v>57</v>
      </c>
      <c r="J731">
        <v>2050</v>
      </c>
      <c r="K731" s="38" t="str">
        <f t="shared" si="91"/>
        <v>*0.54</v>
      </c>
      <c r="P731" s="32" t="s">
        <v>800</v>
      </c>
      <c r="Q731" s="42" t="s">
        <v>57</v>
      </c>
      <c r="R731" s="32">
        <v>2035</v>
      </c>
      <c r="S731" s="43" t="str">
        <f t="shared" si="92"/>
        <v>*0.63</v>
      </c>
      <c r="U731" s="32" t="s">
        <v>800</v>
      </c>
      <c r="V731" s="42" t="s">
        <v>57</v>
      </c>
      <c r="W731" s="32">
        <v>2050</v>
      </c>
      <c r="X731" s="43" t="str">
        <f t="shared" si="93"/>
        <v>*0.52</v>
      </c>
      <c r="AC731" s="33" t="s">
        <v>800</v>
      </c>
      <c r="AD731" s="44" t="s">
        <v>57</v>
      </c>
      <c r="AE731" s="33">
        <v>2035</v>
      </c>
      <c r="AF731" s="45" t="str">
        <f t="shared" si="94"/>
        <v>*0.55</v>
      </c>
      <c r="AG731" s="43" t="str">
        <f t="shared" si="96"/>
        <v>REZoning_Sol-Win</v>
      </c>
      <c r="AI731" s="33" t="s">
        <v>800</v>
      </c>
      <c r="AJ731" s="44" t="s">
        <v>57</v>
      </c>
      <c r="AK731" s="33">
        <v>2050</v>
      </c>
      <c r="AL731" s="45" t="str">
        <f t="shared" si="95"/>
        <v>*0.41</v>
      </c>
      <c r="AM731" s="43" t="str">
        <f t="shared" si="97"/>
        <v>REZoning_Sol-Win</v>
      </c>
      <c r="AP731" t="s">
        <v>800</v>
      </c>
      <c r="AQ731" t="s">
        <v>57</v>
      </c>
      <c r="AR731">
        <v>2100</v>
      </c>
      <c r="AS731" t="s">
        <v>67</v>
      </c>
      <c r="AT731" t="s">
        <v>58</v>
      </c>
    </row>
    <row r="732" ht="29" spans="1:46">
      <c r="A732" s="31" t="s">
        <v>95</v>
      </c>
      <c r="C732" t="s">
        <v>801</v>
      </c>
      <c r="D732" s="5" t="s">
        <v>57</v>
      </c>
      <c r="E732">
        <v>2035</v>
      </c>
      <c r="F732" s="6" t="str">
        <f t="shared" si="90"/>
        <v>*0.65</v>
      </c>
      <c r="H732" t="s">
        <v>801</v>
      </c>
      <c r="I732" s="5" t="s">
        <v>57</v>
      </c>
      <c r="J732">
        <v>2050</v>
      </c>
      <c r="K732" s="38" t="str">
        <f t="shared" si="91"/>
        <v>*0.54</v>
      </c>
      <c r="P732" s="32" t="s">
        <v>801</v>
      </c>
      <c r="Q732" s="42" t="s">
        <v>57</v>
      </c>
      <c r="R732" s="32">
        <v>2035</v>
      </c>
      <c r="S732" s="43" t="str">
        <f t="shared" si="92"/>
        <v>*0.63</v>
      </c>
      <c r="U732" s="32" t="s">
        <v>801</v>
      </c>
      <c r="V732" s="42" t="s">
        <v>57</v>
      </c>
      <c r="W732" s="32">
        <v>2050</v>
      </c>
      <c r="X732" s="43" t="str">
        <f t="shared" si="93"/>
        <v>*0.52</v>
      </c>
      <c r="AC732" s="33" t="s">
        <v>801</v>
      </c>
      <c r="AD732" s="44" t="s">
        <v>57</v>
      </c>
      <c r="AE732" s="33">
        <v>2035</v>
      </c>
      <c r="AF732" s="45" t="str">
        <f t="shared" si="94"/>
        <v>*0.55</v>
      </c>
      <c r="AG732" s="43" t="str">
        <f t="shared" si="96"/>
        <v>REZoning_Sol-Win</v>
      </c>
      <c r="AI732" s="33" t="s">
        <v>801</v>
      </c>
      <c r="AJ732" s="44" t="s">
        <v>57</v>
      </c>
      <c r="AK732" s="33">
        <v>2050</v>
      </c>
      <c r="AL732" s="45" t="str">
        <f t="shared" si="95"/>
        <v>*0.41</v>
      </c>
      <c r="AM732" s="43" t="str">
        <f t="shared" si="97"/>
        <v>REZoning_Sol-Win</v>
      </c>
      <c r="AP732" t="s">
        <v>801</v>
      </c>
      <c r="AQ732" t="s">
        <v>57</v>
      </c>
      <c r="AR732">
        <v>2100</v>
      </c>
      <c r="AS732" t="s">
        <v>67</v>
      </c>
      <c r="AT732" t="s">
        <v>58</v>
      </c>
    </row>
    <row r="733" ht="29" spans="1:46">
      <c r="A733" s="31" t="s">
        <v>83</v>
      </c>
      <c r="C733" t="s">
        <v>802</v>
      </c>
      <c r="D733" s="5" t="s">
        <v>57</v>
      </c>
      <c r="E733">
        <v>2035</v>
      </c>
      <c r="F733" s="6" t="str">
        <f t="shared" si="90"/>
        <v>*0.64</v>
      </c>
      <c r="H733" t="s">
        <v>802</v>
      </c>
      <c r="I733" s="5" t="s">
        <v>57</v>
      </c>
      <c r="J733">
        <v>2050</v>
      </c>
      <c r="K733" s="38" t="str">
        <f t="shared" si="91"/>
        <v>*0.54</v>
      </c>
      <c r="P733" s="32" t="s">
        <v>802</v>
      </c>
      <c r="Q733" s="42" t="s">
        <v>57</v>
      </c>
      <c r="R733" s="32">
        <v>2035</v>
      </c>
      <c r="S733" s="43" t="str">
        <f t="shared" si="92"/>
        <v>*0.64</v>
      </c>
      <c r="U733" s="32" t="s">
        <v>802</v>
      </c>
      <c r="V733" s="42" t="s">
        <v>57</v>
      </c>
      <c r="W733" s="32">
        <v>2050</v>
      </c>
      <c r="X733" s="43" t="str">
        <f t="shared" si="93"/>
        <v>*0.53</v>
      </c>
      <c r="AC733" s="33" t="s">
        <v>802</v>
      </c>
      <c r="AD733" s="44" t="s">
        <v>57</v>
      </c>
      <c r="AE733" s="33">
        <v>2035</v>
      </c>
      <c r="AF733" s="45" t="str">
        <f t="shared" si="94"/>
        <v>*0.6</v>
      </c>
      <c r="AG733" s="43" t="str">
        <f t="shared" si="96"/>
        <v>REZoning_Sol-Win</v>
      </c>
      <c r="AI733" s="33" t="s">
        <v>802</v>
      </c>
      <c r="AJ733" s="44" t="s">
        <v>57</v>
      </c>
      <c r="AK733" s="33">
        <v>2050</v>
      </c>
      <c r="AL733" s="45" t="str">
        <f t="shared" si="95"/>
        <v>*0.5</v>
      </c>
      <c r="AM733" s="43" t="str">
        <f t="shared" si="97"/>
        <v>REZoning_Sol-Win</v>
      </c>
      <c r="AP733" t="s">
        <v>802</v>
      </c>
      <c r="AQ733" t="s">
        <v>57</v>
      </c>
      <c r="AR733">
        <v>2100</v>
      </c>
      <c r="AS733" t="s">
        <v>85</v>
      </c>
      <c r="AT733" t="s">
        <v>58</v>
      </c>
    </row>
    <row r="734" ht="29" spans="1:46">
      <c r="A734" s="31" t="s">
        <v>98</v>
      </c>
      <c r="C734" t="s">
        <v>803</v>
      </c>
      <c r="D734" s="5" t="s">
        <v>57</v>
      </c>
      <c r="E734">
        <v>2035</v>
      </c>
      <c r="F734" s="6" t="str">
        <f t="shared" si="90"/>
        <v>*0.64</v>
      </c>
      <c r="H734" t="s">
        <v>803</v>
      </c>
      <c r="I734" s="5" t="s">
        <v>57</v>
      </c>
      <c r="J734">
        <v>2050</v>
      </c>
      <c r="K734" s="38" t="str">
        <f t="shared" si="91"/>
        <v>*0.54</v>
      </c>
      <c r="P734" s="32" t="s">
        <v>803</v>
      </c>
      <c r="Q734" s="42" t="s">
        <v>57</v>
      </c>
      <c r="R734" s="32">
        <v>2035</v>
      </c>
      <c r="S734" s="43" t="str">
        <f t="shared" si="92"/>
        <v>*0.62</v>
      </c>
      <c r="U734" s="32" t="s">
        <v>803</v>
      </c>
      <c r="V734" s="42" t="s">
        <v>57</v>
      </c>
      <c r="W734" s="32">
        <v>2050</v>
      </c>
      <c r="X734" s="43" t="str">
        <f t="shared" si="93"/>
        <v>*0.5</v>
      </c>
      <c r="AC734" s="33" t="s">
        <v>803</v>
      </c>
      <c r="AD734" s="44" t="s">
        <v>57</v>
      </c>
      <c r="AE734" s="33">
        <v>2035</v>
      </c>
      <c r="AF734" s="45" t="str">
        <f t="shared" si="94"/>
        <v>*0.56</v>
      </c>
      <c r="AG734" s="43" t="str">
        <f t="shared" si="96"/>
        <v>REZoning_Sol-Win</v>
      </c>
      <c r="AI734" s="33" t="s">
        <v>803</v>
      </c>
      <c r="AJ734" s="44" t="s">
        <v>57</v>
      </c>
      <c r="AK734" s="33">
        <v>2050</v>
      </c>
      <c r="AL734" s="45" t="str">
        <f t="shared" si="95"/>
        <v>*0.45</v>
      </c>
      <c r="AM734" s="43" t="str">
        <f t="shared" si="97"/>
        <v>REZoning_Sol-Win</v>
      </c>
      <c r="AP734" t="s">
        <v>803</v>
      </c>
      <c r="AQ734" t="s">
        <v>57</v>
      </c>
      <c r="AR734">
        <v>2100</v>
      </c>
      <c r="AS734" t="s">
        <v>100</v>
      </c>
      <c r="AT734" t="s">
        <v>58</v>
      </c>
    </row>
    <row r="735" ht="29" spans="1:46">
      <c r="A735" s="31" t="s">
        <v>98</v>
      </c>
      <c r="C735" t="s">
        <v>804</v>
      </c>
      <c r="D735" s="5" t="s">
        <v>57</v>
      </c>
      <c r="E735">
        <v>2035</v>
      </c>
      <c r="F735" s="6" t="str">
        <f t="shared" si="90"/>
        <v>*0.64</v>
      </c>
      <c r="H735" t="s">
        <v>804</v>
      </c>
      <c r="I735" s="5" t="s">
        <v>57</v>
      </c>
      <c r="J735">
        <v>2050</v>
      </c>
      <c r="K735" s="38" t="str">
        <f t="shared" si="91"/>
        <v>*0.54</v>
      </c>
      <c r="P735" s="32" t="s">
        <v>804</v>
      </c>
      <c r="Q735" s="42" t="s">
        <v>57</v>
      </c>
      <c r="R735" s="32">
        <v>2035</v>
      </c>
      <c r="S735" s="43" t="str">
        <f t="shared" si="92"/>
        <v>*0.62</v>
      </c>
      <c r="U735" s="32" t="s">
        <v>804</v>
      </c>
      <c r="V735" s="42" t="s">
        <v>57</v>
      </c>
      <c r="W735" s="32">
        <v>2050</v>
      </c>
      <c r="X735" s="43" t="str">
        <f t="shared" si="93"/>
        <v>*0.5</v>
      </c>
      <c r="AC735" s="33" t="s">
        <v>804</v>
      </c>
      <c r="AD735" s="44" t="s">
        <v>57</v>
      </c>
      <c r="AE735" s="33">
        <v>2035</v>
      </c>
      <c r="AF735" s="45" t="str">
        <f t="shared" si="94"/>
        <v>*0.56</v>
      </c>
      <c r="AG735" s="43" t="str">
        <f t="shared" si="96"/>
        <v>REZoning_Sol-Win</v>
      </c>
      <c r="AI735" s="33" t="s">
        <v>804</v>
      </c>
      <c r="AJ735" s="44" t="s">
        <v>57</v>
      </c>
      <c r="AK735" s="33">
        <v>2050</v>
      </c>
      <c r="AL735" s="45" t="str">
        <f t="shared" si="95"/>
        <v>*0.45</v>
      </c>
      <c r="AM735" s="43" t="str">
        <f t="shared" si="97"/>
        <v>REZoning_Sol-Win</v>
      </c>
      <c r="AP735" t="s">
        <v>804</v>
      </c>
      <c r="AQ735" t="s">
        <v>57</v>
      </c>
      <c r="AR735">
        <v>2100</v>
      </c>
      <c r="AS735" t="s">
        <v>100</v>
      </c>
      <c r="AT735" t="s">
        <v>58</v>
      </c>
    </row>
    <row r="736" ht="29" spans="1:46">
      <c r="A736" s="31" t="s">
        <v>98</v>
      </c>
      <c r="C736" t="s">
        <v>805</v>
      </c>
      <c r="D736" s="5" t="s">
        <v>57</v>
      </c>
      <c r="E736">
        <v>2035</v>
      </c>
      <c r="F736" s="6" t="str">
        <f t="shared" si="90"/>
        <v>*0.64</v>
      </c>
      <c r="H736" t="s">
        <v>805</v>
      </c>
      <c r="I736" s="5" t="s">
        <v>57</v>
      </c>
      <c r="J736">
        <v>2050</v>
      </c>
      <c r="K736" s="38" t="str">
        <f t="shared" si="91"/>
        <v>*0.54</v>
      </c>
      <c r="P736" s="32" t="s">
        <v>805</v>
      </c>
      <c r="Q736" s="42" t="s">
        <v>57</v>
      </c>
      <c r="R736" s="32">
        <v>2035</v>
      </c>
      <c r="S736" s="43" t="str">
        <f t="shared" si="92"/>
        <v>*0.62</v>
      </c>
      <c r="U736" s="32" t="s">
        <v>805</v>
      </c>
      <c r="V736" s="42" t="s">
        <v>57</v>
      </c>
      <c r="W736" s="32">
        <v>2050</v>
      </c>
      <c r="X736" s="43" t="str">
        <f t="shared" si="93"/>
        <v>*0.5</v>
      </c>
      <c r="AC736" s="33" t="s">
        <v>805</v>
      </c>
      <c r="AD736" s="44" t="s">
        <v>57</v>
      </c>
      <c r="AE736" s="33">
        <v>2035</v>
      </c>
      <c r="AF736" s="45" t="str">
        <f t="shared" si="94"/>
        <v>*0.56</v>
      </c>
      <c r="AG736" s="43" t="str">
        <f t="shared" si="96"/>
        <v>REZoning_Sol-Win</v>
      </c>
      <c r="AI736" s="33" t="s">
        <v>805</v>
      </c>
      <c r="AJ736" s="44" t="s">
        <v>57</v>
      </c>
      <c r="AK736" s="33">
        <v>2050</v>
      </c>
      <c r="AL736" s="45" t="str">
        <f t="shared" si="95"/>
        <v>*0.45</v>
      </c>
      <c r="AM736" s="43" t="str">
        <f t="shared" si="97"/>
        <v>REZoning_Sol-Win</v>
      </c>
      <c r="AP736" t="s">
        <v>805</v>
      </c>
      <c r="AQ736" t="s">
        <v>57</v>
      </c>
      <c r="AR736">
        <v>2100</v>
      </c>
      <c r="AS736" t="s">
        <v>100</v>
      </c>
      <c r="AT736" t="s">
        <v>58</v>
      </c>
    </row>
    <row r="737" ht="29" spans="1:46">
      <c r="A737" s="31" t="s">
        <v>98</v>
      </c>
      <c r="C737" t="s">
        <v>806</v>
      </c>
      <c r="D737" s="5" t="s">
        <v>57</v>
      </c>
      <c r="E737">
        <v>2035</v>
      </c>
      <c r="F737" s="6" t="str">
        <f t="shared" si="90"/>
        <v>*0.64</v>
      </c>
      <c r="H737" t="s">
        <v>806</v>
      </c>
      <c r="I737" s="5" t="s">
        <v>57</v>
      </c>
      <c r="J737">
        <v>2050</v>
      </c>
      <c r="K737" s="38" t="str">
        <f t="shared" si="91"/>
        <v>*0.54</v>
      </c>
      <c r="P737" s="32" t="s">
        <v>806</v>
      </c>
      <c r="Q737" s="42" t="s">
        <v>57</v>
      </c>
      <c r="R737" s="32">
        <v>2035</v>
      </c>
      <c r="S737" s="43" t="str">
        <f t="shared" si="92"/>
        <v>*0.62</v>
      </c>
      <c r="U737" s="32" t="s">
        <v>806</v>
      </c>
      <c r="V737" s="42" t="s">
        <v>57</v>
      </c>
      <c r="W737" s="32">
        <v>2050</v>
      </c>
      <c r="X737" s="43" t="str">
        <f t="shared" si="93"/>
        <v>*0.5</v>
      </c>
      <c r="AC737" s="33" t="s">
        <v>806</v>
      </c>
      <c r="AD737" s="44" t="s">
        <v>57</v>
      </c>
      <c r="AE737" s="33">
        <v>2035</v>
      </c>
      <c r="AF737" s="45" t="str">
        <f t="shared" si="94"/>
        <v>*0.56</v>
      </c>
      <c r="AG737" s="43" t="str">
        <f t="shared" si="96"/>
        <v>REZoning_Sol-Win</v>
      </c>
      <c r="AI737" s="33" t="s">
        <v>806</v>
      </c>
      <c r="AJ737" s="44" t="s">
        <v>57</v>
      </c>
      <c r="AK737" s="33">
        <v>2050</v>
      </c>
      <c r="AL737" s="45" t="str">
        <f t="shared" si="95"/>
        <v>*0.45</v>
      </c>
      <c r="AM737" s="43" t="str">
        <f t="shared" si="97"/>
        <v>REZoning_Sol-Win</v>
      </c>
      <c r="AP737" t="s">
        <v>806</v>
      </c>
      <c r="AQ737" t="s">
        <v>57</v>
      </c>
      <c r="AR737">
        <v>2100</v>
      </c>
      <c r="AS737" t="s">
        <v>100</v>
      </c>
      <c r="AT737" t="s">
        <v>58</v>
      </c>
    </row>
    <row r="738" ht="29" spans="1:46">
      <c r="A738" s="31" t="s">
        <v>98</v>
      </c>
      <c r="C738" t="s">
        <v>807</v>
      </c>
      <c r="D738" s="5" t="s">
        <v>57</v>
      </c>
      <c r="E738">
        <v>2035</v>
      </c>
      <c r="F738" s="6" t="str">
        <f t="shared" si="90"/>
        <v>*0.64</v>
      </c>
      <c r="H738" t="s">
        <v>807</v>
      </c>
      <c r="I738" s="5" t="s">
        <v>57</v>
      </c>
      <c r="J738">
        <v>2050</v>
      </c>
      <c r="K738" s="38" t="str">
        <f t="shared" si="91"/>
        <v>*0.54</v>
      </c>
      <c r="P738" s="32" t="s">
        <v>807</v>
      </c>
      <c r="Q738" s="42" t="s">
        <v>57</v>
      </c>
      <c r="R738" s="32">
        <v>2035</v>
      </c>
      <c r="S738" s="43" t="str">
        <f t="shared" si="92"/>
        <v>*0.62</v>
      </c>
      <c r="U738" s="32" t="s">
        <v>807</v>
      </c>
      <c r="V738" s="42" t="s">
        <v>57</v>
      </c>
      <c r="W738" s="32">
        <v>2050</v>
      </c>
      <c r="X738" s="43" t="str">
        <f t="shared" si="93"/>
        <v>*0.5</v>
      </c>
      <c r="AC738" s="33" t="s">
        <v>807</v>
      </c>
      <c r="AD738" s="44" t="s">
        <v>57</v>
      </c>
      <c r="AE738" s="33">
        <v>2035</v>
      </c>
      <c r="AF738" s="45" t="str">
        <f t="shared" si="94"/>
        <v>*0.56</v>
      </c>
      <c r="AG738" s="43" t="str">
        <f t="shared" si="96"/>
        <v>REZoning_Sol-Win</v>
      </c>
      <c r="AI738" s="33" t="s">
        <v>807</v>
      </c>
      <c r="AJ738" s="44" t="s">
        <v>57</v>
      </c>
      <c r="AK738" s="33">
        <v>2050</v>
      </c>
      <c r="AL738" s="45" t="str">
        <f t="shared" si="95"/>
        <v>*0.45</v>
      </c>
      <c r="AM738" s="43" t="str">
        <f t="shared" si="97"/>
        <v>REZoning_Sol-Win</v>
      </c>
      <c r="AP738" t="s">
        <v>807</v>
      </c>
      <c r="AQ738" t="s">
        <v>57</v>
      </c>
      <c r="AR738">
        <v>2100</v>
      </c>
      <c r="AS738" t="s">
        <v>100</v>
      </c>
      <c r="AT738" t="s">
        <v>58</v>
      </c>
    </row>
    <row r="739" ht="29" spans="1:46">
      <c r="A739" s="31" t="s">
        <v>98</v>
      </c>
      <c r="C739" t="s">
        <v>808</v>
      </c>
      <c r="D739" s="5" t="s">
        <v>57</v>
      </c>
      <c r="E739">
        <v>2035</v>
      </c>
      <c r="F739" s="6" t="str">
        <f t="shared" si="90"/>
        <v>*0.64</v>
      </c>
      <c r="H739" t="s">
        <v>808</v>
      </c>
      <c r="I739" s="5" t="s">
        <v>57</v>
      </c>
      <c r="J739">
        <v>2050</v>
      </c>
      <c r="K739" s="38" t="str">
        <f t="shared" si="91"/>
        <v>*0.54</v>
      </c>
      <c r="P739" s="32" t="s">
        <v>808</v>
      </c>
      <c r="Q739" s="42" t="s">
        <v>57</v>
      </c>
      <c r="R739" s="32">
        <v>2035</v>
      </c>
      <c r="S739" s="43" t="str">
        <f t="shared" si="92"/>
        <v>*0.62</v>
      </c>
      <c r="U739" s="32" t="s">
        <v>808</v>
      </c>
      <c r="V739" s="42" t="s">
        <v>57</v>
      </c>
      <c r="W739" s="32">
        <v>2050</v>
      </c>
      <c r="X739" s="43" t="str">
        <f t="shared" si="93"/>
        <v>*0.5</v>
      </c>
      <c r="AC739" s="33" t="s">
        <v>808</v>
      </c>
      <c r="AD739" s="44" t="s">
        <v>57</v>
      </c>
      <c r="AE739" s="33">
        <v>2035</v>
      </c>
      <c r="AF739" s="45" t="str">
        <f t="shared" si="94"/>
        <v>*0.56</v>
      </c>
      <c r="AG739" s="43" t="str">
        <f t="shared" si="96"/>
        <v>REZoning_Sol-Win</v>
      </c>
      <c r="AI739" s="33" t="s">
        <v>808</v>
      </c>
      <c r="AJ739" s="44" t="s">
        <v>57</v>
      </c>
      <c r="AK739" s="33">
        <v>2050</v>
      </c>
      <c r="AL739" s="45" t="str">
        <f t="shared" si="95"/>
        <v>*0.45</v>
      </c>
      <c r="AM739" s="43" t="str">
        <f t="shared" si="97"/>
        <v>REZoning_Sol-Win</v>
      </c>
      <c r="AP739" t="s">
        <v>808</v>
      </c>
      <c r="AQ739" t="s">
        <v>57</v>
      </c>
      <c r="AR739">
        <v>2100</v>
      </c>
      <c r="AS739" t="s">
        <v>100</v>
      </c>
      <c r="AT739" t="s">
        <v>58</v>
      </c>
    </row>
    <row r="740" ht="29" spans="1:46">
      <c r="A740" s="31" t="s">
        <v>98</v>
      </c>
      <c r="C740" t="s">
        <v>809</v>
      </c>
      <c r="D740" s="5" t="s">
        <v>57</v>
      </c>
      <c r="E740">
        <v>2035</v>
      </c>
      <c r="F740" s="6" t="str">
        <f t="shared" si="90"/>
        <v>*0.64</v>
      </c>
      <c r="H740" t="s">
        <v>809</v>
      </c>
      <c r="I740" s="5" t="s">
        <v>57</v>
      </c>
      <c r="J740">
        <v>2050</v>
      </c>
      <c r="K740" s="38" t="str">
        <f t="shared" si="91"/>
        <v>*0.54</v>
      </c>
      <c r="P740" s="32" t="s">
        <v>809</v>
      </c>
      <c r="Q740" s="42" t="s">
        <v>57</v>
      </c>
      <c r="R740" s="32">
        <v>2035</v>
      </c>
      <c r="S740" s="43" t="str">
        <f t="shared" si="92"/>
        <v>*0.62</v>
      </c>
      <c r="U740" s="32" t="s">
        <v>809</v>
      </c>
      <c r="V740" s="42" t="s">
        <v>57</v>
      </c>
      <c r="W740" s="32">
        <v>2050</v>
      </c>
      <c r="X740" s="43" t="str">
        <f t="shared" si="93"/>
        <v>*0.5</v>
      </c>
      <c r="AC740" s="33" t="s">
        <v>809</v>
      </c>
      <c r="AD740" s="44" t="s">
        <v>57</v>
      </c>
      <c r="AE740" s="33">
        <v>2035</v>
      </c>
      <c r="AF740" s="45" t="str">
        <f t="shared" si="94"/>
        <v>*0.56</v>
      </c>
      <c r="AG740" s="43" t="str">
        <f t="shared" si="96"/>
        <v>REZoning_Sol-Win</v>
      </c>
      <c r="AI740" s="33" t="s">
        <v>809</v>
      </c>
      <c r="AJ740" s="44" t="s">
        <v>57</v>
      </c>
      <c r="AK740" s="33">
        <v>2050</v>
      </c>
      <c r="AL740" s="45" t="str">
        <f t="shared" si="95"/>
        <v>*0.45</v>
      </c>
      <c r="AM740" s="43" t="str">
        <f t="shared" si="97"/>
        <v>REZoning_Sol-Win</v>
      </c>
      <c r="AP740" t="s">
        <v>809</v>
      </c>
      <c r="AQ740" t="s">
        <v>57</v>
      </c>
      <c r="AR740">
        <v>2100</v>
      </c>
      <c r="AS740" t="s">
        <v>100</v>
      </c>
      <c r="AT740" t="s">
        <v>58</v>
      </c>
    </row>
    <row r="741" ht="29" spans="1:46">
      <c r="A741" s="31" t="s">
        <v>98</v>
      </c>
      <c r="C741" t="s">
        <v>810</v>
      </c>
      <c r="D741" s="5" t="s">
        <v>57</v>
      </c>
      <c r="E741">
        <v>2035</v>
      </c>
      <c r="F741" s="6" t="str">
        <f t="shared" si="90"/>
        <v>*0.64</v>
      </c>
      <c r="H741" t="s">
        <v>810</v>
      </c>
      <c r="I741" s="5" t="s">
        <v>57</v>
      </c>
      <c r="J741">
        <v>2050</v>
      </c>
      <c r="K741" s="38" t="str">
        <f t="shared" si="91"/>
        <v>*0.54</v>
      </c>
      <c r="P741" s="32" t="s">
        <v>810</v>
      </c>
      <c r="Q741" s="42" t="s">
        <v>57</v>
      </c>
      <c r="R741" s="32">
        <v>2035</v>
      </c>
      <c r="S741" s="43" t="str">
        <f t="shared" si="92"/>
        <v>*0.62</v>
      </c>
      <c r="U741" s="32" t="s">
        <v>810</v>
      </c>
      <c r="V741" s="42" t="s">
        <v>57</v>
      </c>
      <c r="W741" s="32">
        <v>2050</v>
      </c>
      <c r="X741" s="43" t="str">
        <f t="shared" si="93"/>
        <v>*0.5</v>
      </c>
      <c r="AC741" s="33" t="s">
        <v>810</v>
      </c>
      <c r="AD741" s="44" t="s">
        <v>57</v>
      </c>
      <c r="AE741" s="33">
        <v>2035</v>
      </c>
      <c r="AF741" s="45" t="str">
        <f t="shared" si="94"/>
        <v>*0.56</v>
      </c>
      <c r="AG741" s="43" t="str">
        <f t="shared" si="96"/>
        <v>REZoning_Sol-Win</v>
      </c>
      <c r="AI741" s="33" t="s">
        <v>810</v>
      </c>
      <c r="AJ741" s="44" t="s">
        <v>57</v>
      </c>
      <c r="AK741" s="33">
        <v>2050</v>
      </c>
      <c r="AL741" s="45" t="str">
        <f t="shared" si="95"/>
        <v>*0.45</v>
      </c>
      <c r="AM741" s="43" t="str">
        <f t="shared" si="97"/>
        <v>REZoning_Sol-Win</v>
      </c>
      <c r="AP741" t="s">
        <v>810</v>
      </c>
      <c r="AQ741" t="s">
        <v>57</v>
      </c>
      <c r="AR741">
        <v>2100</v>
      </c>
      <c r="AS741" t="s">
        <v>100</v>
      </c>
      <c r="AT741" t="s">
        <v>58</v>
      </c>
    </row>
    <row r="742" ht="29" spans="1:46">
      <c r="A742" s="31" t="s">
        <v>98</v>
      </c>
      <c r="C742" t="s">
        <v>811</v>
      </c>
      <c r="D742" s="5" t="s">
        <v>57</v>
      </c>
      <c r="E742">
        <v>2035</v>
      </c>
      <c r="F742" s="6" t="str">
        <f t="shared" si="90"/>
        <v>*0.64</v>
      </c>
      <c r="H742" t="s">
        <v>811</v>
      </c>
      <c r="I742" s="5" t="s">
        <v>57</v>
      </c>
      <c r="J742">
        <v>2050</v>
      </c>
      <c r="K742" s="38" t="str">
        <f t="shared" si="91"/>
        <v>*0.54</v>
      </c>
      <c r="P742" s="32" t="s">
        <v>811</v>
      </c>
      <c r="Q742" s="42" t="s">
        <v>57</v>
      </c>
      <c r="R742" s="32">
        <v>2035</v>
      </c>
      <c r="S742" s="43" t="str">
        <f t="shared" si="92"/>
        <v>*0.62</v>
      </c>
      <c r="U742" s="32" t="s">
        <v>811</v>
      </c>
      <c r="V742" s="42" t="s">
        <v>57</v>
      </c>
      <c r="W742" s="32">
        <v>2050</v>
      </c>
      <c r="X742" s="43" t="str">
        <f t="shared" si="93"/>
        <v>*0.5</v>
      </c>
      <c r="AC742" s="33" t="s">
        <v>811</v>
      </c>
      <c r="AD742" s="44" t="s">
        <v>57</v>
      </c>
      <c r="AE742" s="33">
        <v>2035</v>
      </c>
      <c r="AF742" s="45" t="str">
        <f t="shared" si="94"/>
        <v>*0.56</v>
      </c>
      <c r="AG742" s="43" t="str">
        <f t="shared" si="96"/>
        <v>REZoning_Sol-Win</v>
      </c>
      <c r="AI742" s="33" t="s">
        <v>811</v>
      </c>
      <c r="AJ742" s="44" t="s">
        <v>57</v>
      </c>
      <c r="AK742" s="33">
        <v>2050</v>
      </c>
      <c r="AL742" s="45" t="str">
        <f t="shared" si="95"/>
        <v>*0.45</v>
      </c>
      <c r="AM742" s="43" t="str">
        <f t="shared" si="97"/>
        <v>REZoning_Sol-Win</v>
      </c>
      <c r="AP742" t="s">
        <v>811</v>
      </c>
      <c r="AQ742" t="s">
        <v>57</v>
      </c>
      <c r="AR742">
        <v>2100</v>
      </c>
      <c r="AS742" t="s">
        <v>100</v>
      </c>
      <c r="AT742" t="s">
        <v>58</v>
      </c>
    </row>
    <row r="743" ht="29" spans="1:46">
      <c r="A743" s="31" t="s">
        <v>98</v>
      </c>
      <c r="C743" t="s">
        <v>812</v>
      </c>
      <c r="D743" s="5" t="s">
        <v>57</v>
      </c>
      <c r="E743">
        <v>2035</v>
      </c>
      <c r="F743" s="6" t="str">
        <f t="shared" si="90"/>
        <v>*0.64</v>
      </c>
      <c r="H743" t="s">
        <v>812</v>
      </c>
      <c r="I743" s="5" t="s">
        <v>57</v>
      </c>
      <c r="J743">
        <v>2050</v>
      </c>
      <c r="K743" s="38" t="str">
        <f t="shared" si="91"/>
        <v>*0.54</v>
      </c>
      <c r="P743" s="32" t="s">
        <v>812</v>
      </c>
      <c r="Q743" s="42" t="s">
        <v>57</v>
      </c>
      <c r="R743" s="32">
        <v>2035</v>
      </c>
      <c r="S743" s="43" t="str">
        <f t="shared" si="92"/>
        <v>*0.62</v>
      </c>
      <c r="U743" s="32" t="s">
        <v>812</v>
      </c>
      <c r="V743" s="42" t="s">
        <v>57</v>
      </c>
      <c r="W743" s="32">
        <v>2050</v>
      </c>
      <c r="X743" s="43" t="str">
        <f t="shared" si="93"/>
        <v>*0.5</v>
      </c>
      <c r="AC743" s="33" t="s">
        <v>812</v>
      </c>
      <c r="AD743" s="44" t="s">
        <v>57</v>
      </c>
      <c r="AE743" s="33">
        <v>2035</v>
      </c>
      <c r="AF743" s="45" t="str">
        <f t="shared" si="94"/>
        <v>*0.56</v>
      </c>
      <c r="AG743" s="43" t="str">
        <f t="shared" si="96"/>
        <v>REZoning_Sol-Win</v>
      </c>
      <c r="AI743" s="33" t="s">
        <v>812</v>
      </c>
      <c r="AJ743" s="44" t="s">
        <v>57</v>
      </c>
      <c r="AK743" s="33">
        <v>2050</v>
      </c>
      <c r="AL743" s="45" t="str">
        <f t="shared" si="95"/>
        <v>*0.45</v>
      </c>
      <c r="AM743" s="43" t="str">
        <f t="shared" si="97"/>
        <v>REZoning_Sol-Win</v>
      </c>
      <c r="AP743" t="s">
        <v>812</v>
      </c>
      <c r="AQ743" t="s">
        <v>57</v>
      </c>
      <c r="AR743">
        <v>2100</v>
      </c>
      <c r="AS743" t="s">
        <v>100</v>
      </c>
      <c r="AT743" t="s">
        <v>58</v>
      </c>
    </row>
    <row r="744" ht="29" spans="1:46">
      <c r="A744" s="31" t="s">
        <v>98</v>
      </c>
      <c r="C744" t="s">
        <v>813</v>
      </c>
      <c r="D744" s="5" t="s">
        <v>57</v>
      </c>
      <c r="E744">
        <v>2035</v>
      </c>
      <c r="F744" s="6" t="str">
        <f t="shared" si="90"/>
        <v>*0.64</v>
      </c>
      <c r="H744" t="s">
        <v>813</v>
      </c>
      <c r="I744" s="5" t="s">
        <v>57</v>
      </c>
      <c r="J744">
        <v>2050</v>
      </c>
      <c r="K744" s="38" t="str">
        <f t="shared" si="91"/>
        <v>*0.54</v>
      </c>
      <c r="P744" s="32" t="s">
        <v>813</v>
      </c>
      <c r="Q744" s="42" t="s">
        <v>57</v>
      </c>
      <c r="R744" s="32">
        <v>2035</v>
      </c>
      <c r="S744" s="43" t="str">
        <f t="shared" si="92"/>
        <v>*0.62</v>
      </c>
      <c r="U744" s="32" t="s">
        <v>813</v>
      </c>
      <c r="V744" s="42" t="s">
        <v>57</v>
      </c>
      <c r="W744" s="32">
        <v>2050</v>
      </c>
      <c r="X744" s="43" t="str">
        <f t="shared" si="93"/>
        <v>*0.5</v>
      </c>
      <c r="AC744" s="33" t="s">
        <v>813</v>
      </c>
      <c r="AD744" s="44" t="s">
        <v>57</v>
      </c>
      <c r="AE744" s="33">
        <v>2035</v>
      </c>
      <c r="AF744" s="45" t="str">
        <f t="shared" si="94"/>
        <v>*0.56</v>
      </c>
      <c r="AG744" s="43" t="str">
        <f t="shared" si="96"/>
        <v>REZoning_Sol-Win</v>
      </c>
      <c r="AI744" s="33" t="s">
        <v>813</v>
      </c>
      <c r="AJ744" s="44" t="s">
        <v>57</v>
      </c>
      <c r="AK744" s="33">
        <v>2050</v>
      </c>
      <c r="AL744" s="45" t="str">
        <f t="shared" si="95"/>
        <v>*0.45</v>
      </c>
      <c r="AM744" s="43" t="str">
        <f t="shared" si="97"/>
        <v>REZoning_Sol-Win</v>
      </c>
      <c r="AP744" t="s">
        <v>813</v>
      </c>
      <c r="AQ744" t="s">
        <v>57</v>
      </c>
      <c r="AR744">
        <v>2100</v>
      </c>
      <c r="AS744" t="s">
        <v>100</v>
      </c>
      <c r="AT744" t="s">
        <v>58</v>
      </c>
    </row>
    <row r="745" ht="29" spans="1:46">
      <c r="A745" s="31" t="s">
        <v>98</v>
      </c>
      <c r="C745" t="s">
        <v>814</v>
      </c>
      <c r="D745" s="5" t="s">
        <v>57</v>
      </c>
      <c r="E745">
        <v>2035</v>
      </c>
      <c r="F745" s="6" t="str">
        <f t="shared" si="90"/>
        <v>*0.64</v>
      </c>
      <c r="H745" t="s">
        <v>814</v>
      </c>
      <c r="I745" s="5" t="s">
        <v>57</v>
      </c>
      <c r="J745">
        <v>2050</v>
      </c>
      <c r="K745" s="38" t="str">
        <f t="shared" si="91"/>
        <v>*0.54</v>
      </c>
      <c r="P745" s="32" t="s">
        <v>814</v>
      </c>
      <c r="Q745" s="42" t="s">
        <v>57</v>
      </c>
      <c r="R745" s="32">
        <v>2035</v>
      </c>
      <c r="S745" s="43" t="str">
        <f t="shared" si="92"/>
        <v>*0.62</v>
      </c>
      <c r="U745" s="32" t="s">
        <v>814</v>
      </c>
      <c r="V745" s="42" t="s">
        <v>57</v>
      </c>
      <c r="W745" s="32">
        <v>2050</v>
      </c>
      <c r="X745" s="43" t="str">
        <f t="shared" si="93"/>
        <v>*0.5</v>
      </c>
      <c r="AC745" s="33" t="s">
        <v>814</v>
      </c>
      <c r="AD745" s="44" t="s">
        <v>57</v>
      </c>
      <c r="AE745" s="33">
        <v>2035</v>
      </c>
      <c r="AF745" s="45" t="str">
        <f t="shared" si="94"/>
        <v>*0.56</v>
      </c>
      <c r="AG745" s="43" t="str">
        <f t="shared" si="96"/>
        <v>REZoning_Sol-Win</v>
      </c>
      <c r="AI745" s="33" t="s">
        <v>814</v>
      </c>
      <c r="AJ745" s="44" t="s">
        <v>57</v>
      </c>
      <c r="AK745" s="33">
        <v>2050</v>
      </c>
      <c r="AL745" s="45" t="str">
        <f t="shared" si="95"/>
        <v>*0.45</v>
      </c>
      <c r="AM745" s="43" t="str">
        <f t="shared" si="97"/>
        <v>REZoning_Sol-Win</v>
      </c>
      <c r="AP745" t="s">
        <v>814</v>
      </c>
      <c r="AQ745" t="s">
        <v>57</v>
      </c>
      <c r="AR745">
        <v>2100</v>
      </c>
      <c r="AS745" t="s">
        <v>100</v>
      </c>
      <c r="AT745" t="s">
        <v>58</v>
      </c>
    </row>
    <row r="746" ht="29" spans="1:46">
      <c r="A746" s="31" t="s">
        <v>98</v>
      </c>
      <c r="C746" t="s">
        <v>815</v>
      </c>
      <c r="D746" s="5" t="s">
        <v>57</v>
      </c>
      <c r="E746">
        <v>2035</v>
      </c>
      <c r="F746" s="6" t="str">
        <f t="shared" si="90"/>
        <v>*0.64</v>
      </c>
      <c r="H746" t="s">
        <v>815</v>
      </c>
      <c r="I746" s="5" t="s">
        <v>57</v>
      </c>
      <c r="J746">
        <v>2050</v>
      </c>
      <c r="K746" s="38" t="str">
        <f t="shared" si="91"/>
        <v>*0.54</v>
      </c>
      <c r="P746" s="32" t="s">
        <v>815</v>
      </c>
      <c r="Q746" s="42" t="s">
        <v>57</v>
      </c>
      <c r="R746" s="32">
        <v>2035</v>
      </c>
      <c r="S746" s="43" t="str">
        <f t="shared" si="92"/>
        <v>*0.62</v>
      </c>
      <c r="U746" s="32" t="s">
        <v>815</v>
      </c>
      <c r="V746" s="42" t="s">
        <v>57</v>
      </c>
      <c r="W746" s="32">
        <v>2050</v>
      </c>
      <c r="X746" s="43" t="str">
        <f t="shared" si="93"/>
        <v>*0.5</v>
      </c>
      <c r="AC746" s="33" t="s">
        <v>815</v>
      </c>
      <c r="AD746" s="44" t="s">
        <v>57</v>
      </c>
      <c r="AE746" s="33">
        <v>2035</v>
      </c>
      <c r="AF746" s="45" t="str">
        <f t="shared" si="94"/>
        <v>*0.56</v>
      </c>
      <c r="AG746" s="43" t="str">
        <f t="shared" si="96"/>
        <v>REZoning_Sol-Win</v>
      </c>
      <c r="AI746" s="33" t="s">
        <v>815</v>
      </c>
      <c r="AJ746" s="44" t="s">
        <v>57</v>
      </c>
      <c r="AK746" s="33">
        <v>2050</v>
      </c>
      <c r="AL746" s="45" t="str">
        <f t="shared" si="95"/>
        <v>*0.45</v>
      </c>
      <c r="AM746" s="43" t="str">
        <f t="shared" si="97"/>
        <v>REZoning_Sol-Win</v>
      </c>
      <c r="AP746" t="s">
        <v>815</v>
      </c>
      <c r="AQ746" t="s">
        <v>57</v>
      </c>
      <c r="AR746">
        <v>2100</v>
      </c>
      <c r="AS746" t="s">
        <v>100</v>
      </c>
      <c r="AT746" t="s">
        <v>58</v>
      </c>
    </row>
    <row r="747" ht="29" spans="1:46">
      <c r="A747" s="31" t="s">
        <v>98</v>
      </c>
      <c r="C747" t="s">
        <v>816</v>
      </c>
      <c r="D747" s="5" t="s">
        <v>57</v>
      </c>
      <c r="E747">
        <v>2035</v>
      </c>
      <c r="F747" s="6" t="str">
        <f t="shared" si="90"/>
        <v>*0.64</v>
      </c>
      <c r="H747" t="s">
        <v>816</v>
      </c>
      <c r="I747" s="5" t="s">
        <v>57</v>
      </c>
      <c r="J747">
        <v>2050</v>
      </c>
      <c r="K747" s="38" t="str">
        <f t="shared" si="91"/>
        <v>*0.54</v>
      </c>
      <c r="P747" s="32" t="s">
        <v>816</v>
      </c>
      <c r="Q747" s="42" t="s">
        <v>57</v>
      </c>
      <c r="R747" s="32">
        <v>2035</v>
      </c>
      <c r="S747" s="43" t="str">
        <f t="shared" si="92"/>
        <v>*0.62</v>
      </c>
      <c r="U747" s="32" t="s">
        <v>816</v>
      </c>
      <c r="V747" s="42" t="s">
        <v>57</v>
      </c>
      <c r="W747" s="32">
        <v>2050</v>
      </c>
      <c r="X747" s="43" t="str">
        <f t="shared" si="93"/>
        <v>*0.5</v>
      </c>
      <c r="AC747" s="33" t="s">
        <v>816</v>
      </c>
      <c r="AD747" s="44" t="s">
        <v>57</v>
      </c>
      <c r="AE747" s="33">
        <v>2035</v>
      </c>
      <c r="AF747" s="45" t="str">
        <f t="shared" si="94"/>
        <v>*0.56</v>
      </c>
      <c r="AG747" s="43" t="str">
        <f t="shared" si="96"/>
        <v>REZoning_Sol-Win</v>
      </c>
      <c r="AI747" s="33" t="s">
        <v>816</v>
      </c>
      <c r="AJ747" s="44" t="s">
        <v>57</v>
      </c>
      <c r="AK747" s="33">
        <v>2050</v>
      </c>
      <c r="AL747" s="45" t="str">
        <f t="shared" si="95"/>
        <v>*0.45</v>
      </c>
      <c r="AM747" s="43" t="str">
        <f t="shared" si="97"/>
        <v>REZoning_Sol-Win</v>
      </c>
      <c r="AP747" t="s">
        <v>816</v>
      </c>
      <c r="AQ747" t="s">
        <v>57</v>
      </c>
      <c r="AR747">
        <v>2100</v>
      </c>
      <c r="AS747" t="s">
        <v>100</v>
      </c>
      <c r="AT747" t="s">
        <v>58</v>
      </c>
    </row>
    <row r="748" ht="29" spans="1:46">
      <c r="A748" s="31" t="s">
        <v>98</v>
      </c>
      <c r="C748" t="s">
        <v>817</v>
      </c>
      <c r="D748" s="5" t="s">
        <v>57</v>
      </c>
      <c r="E748">
        <v>2035</v>
      </c>
      <c r="F748" s="6" t="str">
        <f t="shared" si="90"/>
        <v>*0.64</v>
      </c>
      <c r="H748" t="s">
        <v>817</v>
      </c>
      <c r="I748" s="5" t="s">
        <v>57</v>
      </c>
      <c r="J748">
        <v>2050</v>
      </c>
      <c r="K748" s="38" t="str">
        <f t="shared" si="91"/>
        <v>*0.54</v>
      </c>
      <c r="P748" s="32" t="s">
        <v>817</v>
      </c>
      <c r="Q748" s="42" t="s">
        <v>57</v>
      </c>
      <c r="R748" s="32">
        <v>2035</v>
      </c>
      <c r="S748" s="43" t="str">
        <f t="shared" si="92"/>
        <v>*0.62</v>
      </c>
      <c r="U748" s="32" t="s">
        <v>817</v>
      </c>
      <c r="V748" s="42" t="s">
        <v>57</v>
      </c>
      <c r="W748" s="32">
        <v>2050</v>
      </c>
      <c r="X748" s="43" t="str">
        <f t="shared" si="93"/>
        <v>*0.5</v>
      </c>
      <c r="AC748" s="33" t="s">
        <v>817</v>
      </c>
      <c r="AD748" s="44" t="s">
        <v>57</v>
      </c>
      <c r="AE748" s="33">
        <v>2035</v>
      </c>
      <c r="AF748" s="45" t="str">
        <f t="shared" si="94"/>
        <v>*0.56</v>
      </c>
      <c r="AG748" s="43" t="str">
        <f t="shared" si="96"/>
        <v>REZoning_Sol-Win</v>
      </c>
      <c r="AI748" s="33" t="s">
        <v>817</v>
      </c>
      <c r="AJ748" s="44" t="s">
        <v>57</v>
      </c>
      <c r="AK748" s="33">
        <v>2050</v>
      </c>
      <c r="AL748" s="45" t="str">
        <f t="shared" si="95"/>
        <v>*0.45</v>
      </c>
      <c r="AM748" s="43" t="str">
        <f t="shared" si="97"/>
        <v>REZoning_Sol-Win</v>
      </c>
      <c r="AP748" t="s">
        <v>817</v>
      </c>
      <c r="AQ748" t="s">
        <v>57</v>
      </c>
      <c r="AR748">
        <v>2100</v>
      </c>
      <c r="AS748" t="s">
        <v>100</v>
      </c>
      <c r="AT748" t="s">
        <v>58</v>
      </c>
    </row>
    <row r="749" ht="29" spans="1:46">
      <c r="A749" s="31" t="s">
        <v>98</v>
      </c>
      <c r="C749" t="s">
        <v>818</v>
      </c>
      <c r="D749" s="5" t="s">
        <v>57</v>
      </c>
      <c r="E749">
        <v>2035</v>
      </c>
      <c r="F749" s="6" t="str">
        <f t="shared" si="90"/>
        <v>*0.64</v>
      </c>
      <c r="H749" t="s">
        <v>818</v>
      </c>
      <c r="I749" s="5" t="s">
        <v>57</v>
      </c>
      <c r="J749">
        <v>2050</v>
      </c>
      <c r="K749" s="38" t="str">
        <f t="shared" si="91"/>
        <v>*0.54</v>
      </c>
      <c r="P749" s="32" t="s">
        <v>818</v>
      </c>
      <c r="Q749" s="42" t="s">
        <v>57</v>
      </c>
      <c r="R749" s="32">
        <v>2035</v>
      </c>
      <c r="S749" s="43" t="str">
        <f t="shared" si="92"/>
        <v>*0.62</v>
      </c>
      <c r="U749" s="32" t="s">
        <v>818</v>
      </c>
      <c r="V749" s="42" t="s">
        <v>57</v>
      </c>
      <c r="W749" s="32">
        <v>2050</v>
      </c>
      <c r="X749" s="43" t="str">
        <f t="shared" si="93"/>
        <v>*0.5</v>
      </c>
      <c r="AC749" s="33" t="s">
        <v>818</v>
      </c>
      <c r="AD749" s="44" t="s">
        <v>57</v>
      </c>
      <c r="AE749" s="33">
        <v>2035</v>
      </c>
      <c r="AF749" s="45" t="str">
        <f t="shared" si="94"/>
        <v>*0.56</v>
      </c>
      <c r="AG749" s="43" t="str">
        <f t="shared" si="96"/>
        <v>REZoning_Sol-Win</v>
      </c>
      <c r="AI749" s="33" t="s">
        <v>818</v>
      </c>
      <c r="AJ749" s="44" t="s">
        <v>57</v>
      </c>
      <c r="AK749" s="33">
        <v>2050</v>
      </c>
      <c r="AL749" s="45" t="str">
        <f t="shared" si="95"/>
        <v>*0.45</v>
      </c>
      <c r="AM749" s="43" t="str">
        <f t="shared" si="97"/>
        <v>REZoning_Sol-Win</v>
      </c>
      <c r="AP749" t="s">
        <v>818</v>
      </c>
      <c r="AQ749" t="s">
        <v>57</v>
      </c>
      <c r="AR749">
        <v>2100</v>
      </c>
      <c r="AS749" t="s">
        <v>100</v>
      </c>
      <c r="AT749" t="s">
        <v>58</v>
      </c>
    </row>
    <row r="750" ht="29" spans="1:46">
      <c r="A750" s="31" t="s">
        <v>98</v>
      </c>
      <c r="C750" t="s">
        <v>819</v>
      </c>
      <c r="D750" s="5" t="s">
        <v>57</v>
      </c>
      <c r="E750">
        <v>2035</v>
      </c>
      <c r="F750" s="6" t="str">
        <f t="shared" si="90"/>
        <v>*0.64</v>
      </c>
      <c r="H750" t="s">
        <v>819</v>
      </c>
      <c r="I750" s="5" t="s">
        <v>57</v>
      </c>
      <c r="J750">
        <v>2050</v>
      </c>
      <c r="K750" s="38" t="str">
        <f t="shared" si="91"/>
        <v>*0.54</v>
      </c>
      <c r="P750" s="32" t="s">
        <v>819</v>
      </c>
      <c r="Q750" s="42" t="s">
        <v>57</v>
      </c>
      <c r="R750" s="32">
        <v>2035</v>
      </c>
      <c r="S750" s="43" t="str">
        <f t="shared" si="92"/>
        <v>*0.62</v>
      </c>
      <c r="U750" s="32" t="s">
        <v>819</v>
      </c>
      <c r="V750" s="42" t="s">
        <v>57</v>
      </c>
      <c r="W750" s="32">
        <v>2050</v>
      </c>
      <c r="X750" s="43" t="str">
        <f t="shared" si="93"/>
        <v>*0.5</v>
      </c>
      <c r="AC750" s="33" t="s">
        <v>819</v>
      </c>
      <c r="AD750" s="44" t="s">
        <v>57</v>
      </c>
      <c r="AE750" s="33">
        <v>2035</v>
      </c>
      <c r="AF750" s="45" t="str">
        <f t="shared" si="94"/>
        <v>*0.56</v>
      </c>
      <c r="AG750" s="43" t="str">
        <f t="shared" si="96"/>
        <v>REZoning_Sol-Win</v>
      </c>
      <c r="AI750" s="33" t="s">
        <v>819</v>
      </c>
      <c r="AJ750" s="44" t="s">
        <v>57</v>
      </c>
      <c r="AK750" s="33">
        <v>2050</v>
      </c>
      <c r="AL750" s="45" t="str">
        <f t="shared" si="95"/>
        <v>*0.45</v>
      </c>
      <c r="AM750" s="43" t="str">
        <f t="shared" si="97"/>
        <v>REZoning_Sol-Win</v>
      </c>
      <c r="AP750" t="s">
        <v>819</v>
      </c>
      <c r="AQ750" t="s">
        <v>57</v>
      </c>
      <c r="AR750">
        <v>2100</v>
      </c>
      <c r="AS750" t="s">
        <v>100</v>
      </c>
      <c r="AT750" t="s">
        <v>58</v>
      </c>
    </row>
    <row r="751" ht="29" spans="1:46">
      <c r="A751" s="31" t="s">
        <v>98</v>
      </c>
      <c r="C751" t="s">
        <v>820</v>
      </c>
      <c r="D751" s="5" t="s">
        <v>57</v>
      </c>
      <c r="E751">
        <v>2035</v>
      </c>
      <c r="F751" s="6" t="str">
        <f t="shared" si="90"/>
        <v>*0.64</v>
      </c>
      <c r="H751" t="s">
        <v>820</v>
      </c>
      <c r="I751" s="5" t="s">
        <v>57</v>
      </c>
      <c r="J751">
        <v>2050</v>
      </c>
      <c r="K751" s="38" t="str">
        <f t="shared" si="91"/>
        <v>*0.54</v>
      </c>
      <c r="P751" s="32" t="s">
        <v>820</v>
      </c>
      <c r="Q751" s="42" t="s">
        <v>57</v>
      </c>
      <c r="R751" s="32">
        <v>2035</v>
      </c>
      <c r="S751" s="43" t="str">
        <f t="shared" si="92"/>
        <v>*0.62</v>
      </c>
      <c r="U751" s="32" t="s">
        <v>820</v>
      </c>
      <c r="V751" s="42" t="s">
        <v>57</v>
      </c>
      <c r="W751" s="32">
        <v>2050</v>
      </c>
      <c r="X751" s="43" t="str">
        <f t="shared" si="93"/>
        <v>*0.5</v>
      </c>
      <c r="AC751" s="33" t="s">
        <v>820</v>
      </c>
      <c r="AD751" s="44" t="s">
        <v>57</v>
      </c>
      <c r="AE751" s="33">
        <v>2035</v>
      </c>
      <c r="AF751" s="45" t="str">
        <f t="shared" si="94"/>
        <v>*0.56</v>
      </c>
      <c r="AG751" s="43" t="str">
        <f t="shared" si="96"/>
        <v>REZoning_Sol-Win</v>
      </c>
      <c r="AI751" s="33" t="s">
        <v>820</v>
      </c>
      <c r="AJ751" s="44" t="s">
        <v>57</v>
      </c>
      <c r="AK751" s="33">
        <v>2050</v>
      </c>
      <c r="AL751" s="45" t="str">
        <f t="shared" si="95"/>
        <v>*0.45</v>
      </c>
      <c r="AM751" s="43" t="str">
        <f t="shared" si="97"/>
        <v>REZoning_Sol-Win</v>
      </c>
      <c r="AP751" t="s">
        <v>820</v>
      </c>
      <c r="AQ751" t="s">
        <v>57</v>
      </c>
      <c r="AR751">
        <v>2100</v>
      </c>
      <c r="AS751" t="s">
        <v>100</v>
      </c>
      <c r="AT751" t="s">
        <v>58</v>
      </c>
    </row>
    <row r="752" ht="29" spans="1:46">
      <c r="A752" s="31" t="s">
        <v>98</v>
      </c>
      <c r="C752" t="s">
        <v>821</v>
      </c>
      <c r="D752" s="5" t="s">
        <v>57</v>
      </c>
      <c r="E752">
        <v>2035</v>
      </c>
      <c r="F752" s="6" t="str">
        <f t="shared" si="90"/>
        <v>*0.64</v>
      </c>
      <c r="H752" t="s">
        <v>821</v>
      </c>
      <c r="I752" s="5" t="s">
        <v>57</v>
      </c>
      <c r="J752">
        <v>2050</v>
      </c>
      <c r="K752" s="38" t="str">
        <f t="shared" si="91"/>
        <v>*0.54</v>
      </c>
      <c r="P752" s="32" t="s">
        <v>821</v>
      </c>
      <c r="Q752" s="42" t="s">
        <v>57</v>
      </c>
      <c r="R752" s="32">
        <v>2035</v>
      </c>
      <c r="S752" s="43" t="str">
        <f t="shared" si="92"/>
        <v>*0.62</v>
      </c>
      <c r="U752" s="32" t="s">
        <v>821</v>
      </c>
      <c r="V752" s="42" t="s">
        <v>57</v>
      </c>
      <c r="W752" s="32">
        <v>2050</v>
      </c>
      <c r="X752" s="43" t="str">
        <f t="shared" si="93"/>
        <v>*0.5</v>
      </c>
      <c r="AC752" s="33" t="s">
        <v>821</v>
      </c>
      <c r="AD752" s="44" t="s">
        <v>57</v>
      </c>
      <c r="AE752" s="33">
        <v>2035</v>
      </c>
      <c r="AF752" s="45" t="str">
        <f t="shared" si="94"/>
        <v>*0.56</v>
      </c>
      <c r="AG752" s="43" t="str">
        <f t="shared" si="96"/>
        <v>REZoning_Sol-Win</v>
      </c>
      <c r="AI752" s="33" t="s">
        <v>821</v>
      </c>
      <c r="AJ752" s="44" t="s">
        <v>57</v>
      </c>
      <c r="AK752" s="33">
        <v>2050</v>
      </c>
      <c r="AL752" s="45" t="str">
        <f t="shared" si="95"/>
        <v>*0.45</v>
      </c>
      <c r="AM752" s="43" t="str">
        <f t="shared" si="97"/>
        <v>REZoning_Sol-Win</v>
      </c>
      <c r="AP752" t="s">
        <v>821</v>
      </c>
      <c r="AQ752" t="s">
        <v>57</v>
      </c>
      <c r="AR752">
        <v>2100</v>
      </c>
      <c r="AS752" t="s">
        <v>100</v>
      </c>
      <c r="AT752" t="s">
        <v>58</v>
      </c>
    </row>
    <row r="753" ht="29" spans="1:46">
      <c r="A753" s="31" t="s">
        <v>98</v>
      </c>
      <c r="C753" t="s">
        <v>822</v>
      </c>
      <c r="D753" s="5" t="s">
        <v>57</v>
      </c>
      <c r="E753">
        <v>2035</v>
      </c>
      <c r="F753" s="6" t="str">
        <f t="shared" si="90"/>
        <v>*0.64</v>
      </c>
      <c r="H753" t="s">
        <v>822</v>
      </c>
      <c r="I753" s="5" t="s">
        <v>57</v>
      </c>
      <c r="J753">
        <v>2050</v>
      </c>
      <c r="K753" s="38" t="str">
        <f t="shared" si="91"/>
        <v>*0.54</v>
      </c>
      <c r="P753" s="32" t="s">
        <v>822</v>
      </c>
      <c r="Q753" s="42" t="s">
        <v>57</v>
      </c>
      <c r="R753" s="32">
        <v>2035</v>
      </c>
      <c r="S753" s="43" t="str">
        <f t="shared" si="92"/>
        <v>*0.62</v>
      </c>
      <c r="U753" s="32" t="s">
        <v>822</v>
      </c>
      <c r="V753" s="42" t="s">
        <v>57</v>
      </c>
      <c r="W753" s="32">
        <v>2050</v>
      </c>
      <c r="X753" s="43" t="str">
        <f t="shared" si="93"/>
        <v>*0.5</v>
      </c>
      <c r="AC753" s="33" t="s">
        <v>822</v>
      </c>
      <c r="AD753" s="44" t="s">
        <v>57</v>
      </c>
      <c r="AE753" s="33">
        <v>2035</v>
      </c>
      <c r="AF753" s="45" t="str">
        <f t="shared" si="94"/>
        <v>*0.56</v>
      </c>
      <c r="AG753" s="43" t="str">
        <f t="shared" si="96"/>
        <v>REZoning_Sol-Win</v>
      </c>
      <c r="AI753" s="33" t="s">
        <v>822</v>
      </c>
      <c r="AJ753" s="44" t="s">
        <v>57</v>
      </c>
      <c r="AK753" s="33">
        <v>2050</v>
      </c>
      <c r="AL753" s="45" t="str">
        <f t="shared" si="95"/>
        <v>*0.45</v>
      </c>
      <c r="AM753" s="43" t="str">
        <f t="shared" si="97"/>
        <v>REZoning_Sol-Win</v>
      </c>
      <c r="AP753" t="s">
        <v>822</v>
      </c>
      <c r="AQ753" t="s">
        <v>57</v>
      </c>
      <c r="AR753">
        <v>2100</v>
      </c>
      <c r="AS753" t="s">
        <v>100</v>
      </c>
      <c r="AT753" t="s">
        <v>58</v>
      </c>
    </row>
    <row r="754" ht="29" spans="1:46">
      <c r="A754" s="31" t="s">
        <v>98</v>
      </c>
      <c r="C754" t="s">
        <v>823</v>
      </c>
      <c r="D754" s="5" t="s">
        <v>57</v>
      </c>
      <c r="E754">
        <v>2035</v>
      </c>
      <c r="F754" s="6" t="str">
        <f t="shared" si="90"/>
        <v>*0.64</v>
      </c>
      <c r="H754" t="s">
        <v>823</v>
      </c>
      <c r="I754" s="5" t="s">
        <v>57</v>
      </c>
      <c r="J754">
        <v>2050</v>
      </c>
      <c r="K754" s="38" t="str">
        <f t="shared" si="91"/>
        <v>*0.54</v>
      </c>
      <c r="P754" s="32" t="s">
        <v>823</v>
      </c>
      <c r="Q754" s="42" t="s">
        <v>57</v>
      </c>
      <c r="R754" s="32">
        <v>2035</v>
      </c>
      <c r="S754" s="43" t="str">
        <f t="shared" si="92"/>
        <v>*0.62</v>
      </c>
      <c r="U754" s="32" t="s">
        <v>823</v>
      </c>
      <c r="V754" s="42" t="s">
        <v>57</v>
      </c>
      <c r="W754" s="32">
        <v>2050</v>
      </c>
      <c r="X754" s="43" t="str">
        <f t="shared" si="93"/>
        <v>*0.5</v>
      </c>
      <c r="AC754" s="33" t="s">
        <v>823</v>
      </c>
      <c r="AD754" s="44" t="s">
        <v>57</v>
      </c>
      <c r="AE754" s="33">
        <v>2035</v>
      </c>
      <c r="AF754" s="45" t="str">
        <f t="shared" si="94"/>
        <v>*0.56</v>
      </c>
      <c r="AG754" s="43" t="str">
        <f t="shared" si="96"/>
        <v>REZoning_Sol-Win</v>
      </c>
      <c r="AI754" s="33" t="s">
        <v>823</v>
      </c>
      <c r="AJ754" s="44" t="s">
        <v>57</v>
      </c>
      <c r="AK754" s="33">
        <v>2050</v>
      </c>
      <c r="AL754" s="45" t="str">
        <f t="shared" si="95"/>
        <v>*0.45</v>
      </c>
      <c r="AM754" s="43" t="str">
        <f t="shared" si="97"/>
        <v>REZoning_Sol-Win</v>
      </c>
      <c r="AP754" t="s">
        <v>823</v>
      </c>
      <c r="AQ754" t="s">
        <v>57</v>
      </c>
      <c r="AR754">
        <v>2100</v>
      </c>
      <c r="AS754" t="s">
        <v>100</v>
      </c>
      <c r="AT754" t="s">
        <v>58</v>
      </c>
    </row>
    <row r="755" ht="29" spans="1:46">
      <c r="A755" s="31" t="s">
        <v>98</v>
      </c>
      <c r="C755" t="s">
        <v>824</v>
      </c>
      <c r="D755" s="5" t="s">
        <v>57</v>
      </c>
      <c r="E755">
        <v>2035</v>
      </c>
      <c r="F755" s="6" t="str">
        <f t="shared" si="90"/>
        <v>*0.64</v>
      </c>
      <c r="H755" t="s">
        <v>824</v>
      </c>
      <c r="I755" s="5" t="s">
        <v>57</v>
      </c>
      <c r="J755">
        <v>2050</v>
      </c>
      <c r="K755" s="38" t="str">
        <f t="shared" si="91"/>
        <v>*0.54</v>
      </c>
      <c r="P755" s="32" t="s">
        <v>824</v>
      </c>
      <c r="Q755" s="42" t="s">
        <v>57</v>
      </c>
      <c r="R755" s="32">
        <v>2035</v>
      </c>
      <c r="S755" s="43" t="str">
        <f t="shared" si="92"/>
        <v>*0.62</v>
      </c>
      <c r="U755" s="32" t="s">
        <v>824</v>
      </c>
      <c r="V755" s="42" t="s">
        <v>57</v>
      </c>
      <c r="W755" s="32">
        <v>2050</v>
      </c>
      <c r="X755" s="43" t="str">
        <f t="shared" si="93"/>
        <v>*0.5</v>
      </c>
      <c r="AC755" s="33" t="s">
        <v>824</v>
      </c>
      <c r="AD755" s="44" t="s">
        <v>57</v>
      </c>
      <c r="AE755" s="33">
        <v>2035</v>
      </c>
      <c r="AF755" s="45" t="str">
        <f t="shared" si="94"/>
        <v>*0.56</v>
      </c>
      <c r="AG755" s="43" t="str">
        <f t="shared" si="96"/>
        <v>REZoning_Sol-Win</v>
      </c>
      <c r="AI755" s="33" t="s">
        <v>824</v>
      </c>
      <c r="AJ755" s="44" t="s">
        <v>57</v>
      </c>
      <c r="AK755" s="33">
        <v>2050</v>
      </c>
      <c r="AL755" s="45" t="str">
        <f t="shared" si="95"/>
        <v>*0.45</v>
      </c>
      <c r="AM755" s="43" t="str">
        <f t="shared" si="97"/>
        <v>REZoning_Sol-Win</v>
      </c>
      <c r="AP755" t="s">
        <v>824</v>
      </c>
      <c r="AQ755" t="s">
        <v>57</v>
      </c>
      <c r="AR755">
        <v>2100</v>
      </c>
      <c r="AS755" t="s">
        <v>100</v>
      </c>
      <c r="AT755" t="s">
        <v>58</v>
      </c>
    </row>
    <row r="756" ht="29" spans="1:46">
      <c r="A756" s="31" t="s">
        <v>98</v>
      </c>
      <c r="C756" t="s">
        <v>825</v>
      </c>
      <c r="D756" s="5" t="s">
        <v>57</v>
      </c>
      <c r="E756">
        <v>2035</v>
      </c>
      <c r="F756" s="6" t="str">
        <f t="shared" si="90"/>
        <v>*0.64</v>
      </c>
      <c r="H756" t="s">
        <v>825</v>
      </c>
      <c r="I756" s="5" t="s">
        <v>57</v>
      </c>
      <c r="J756">
        <v>2050</v>
      </c>
      <c r="K756" s="38" t="str">
        <f t="shared" si="91"/>
        <v>*0.54</v>
      </c>
      <c r="P756" s="32" t="s">
        <v>825</v>
      </c>
      <c r="Q756" s="42" t="s">
        <v>57</v>
      </c>
      <c r="R756" s="32">
        <v>2035</v>
      </c>
      <c r="S756" s="43" t="str">
        <f t="shared" si="92"/>
        <v>*0.62</v>
      </c>
      <c r="U756" s="32" t="s">
        <v>825</v>
      </c>
      <c r="V756" s="42" t="s">
        <v>57</v>
      </c>
      <c r="W756" s="32">
        <v>2050</v>
      </c>
      <c r="X756" s="43" t="str">
        <f t="shared" si="93"/>
        <v>*0.5</v>
      </c>
      <c r="AC756" s="33" t="s">
        <v>825</v>
      </c>
      <c r="AD756" s="44" t="s">
        <v>57</v>
      </c>
      <c r="AE756" s="33">
        <v>2035</v>
      </c>
      <c r="AF756" s="45" t="str">
        <f t="shared" si="94"/>
        <v>*0.56</v>
      </c>
      <c r="AG756" s="43" t="str">
        <f t="shared" si="96"/>
        <v>REZoning_Sol-Win</v>
      </c>
      <c r="AI756" s="33" t="s">
        <v>825</v>
      </c>
      <c r="AJ756" s="44" t="s">
        <v>57</v>
      </c>
      <c r="AK756" s="33">
        <v>2050</v>
      </c>
      <c r="AL756" s="45" t="str">
        <f t="shared" si="95"/>
        <v>*0.45</v>
      </c>
      <c r="AM756" s="43" t="str">
        <f t="shared" si="97"/>
        <v>REZoning_Sol-Win</v>
      </c>
      <c r="AP756" t="s">
        <v>825</v>
      </c>
      <c r="AQ756" t="s">
        <v>57</v>
      </c>
      <c r="AR756">
        <v>2100</v>
      </c>
      <c r="AS756" t="s">
        <v>100</v>
      </c>
      <c r="AT756" t="s">
        <v>58</v>
      </c>
    </row>
    <row r="757" ht="29" spans="1:46">
      <c r="A757" s="31" t="s">
        <v>98</v>
      </c>
      <c r="C757" t="s">
        <v>826</v>
      </c>
      <c r="D757" s="5" t="s">
        <v>57</v>
      </c>
      <c r="E757">
        <v>2035</v>
      </c>
      <c r="F757" s="6" t="str">
        <f t="shared" si="90"/>
        <v>*0.64</v>
      </c>
      <c r="H757" t="s">
        <v>826</v>
      </c>
      <c r="I757" s="5" t="s">
        <v>57</v>
      </c>
      <c r="J757">
        <v>2050</v>
      </c>
      <c r="K757" s="38" t="str">
        <f t="shared" si="91"/>
        <v>*0.54</v>
      </c>
      <c r="P757" s="32" t="s">
        <v>826</v>
      </c>
      <c r="Q757" s="42" t="s">
        <v>57</v>
      </c>
      <c r="R757" s="32">
        <v>2035</v>
      </c>
      <c r="S757" s="43" t="str">
        <f t="shared" si="92"/>
        <v>*0.62</v>
      </c>
      <c r="U757" s="32" t="s">
        <v>826</v>
      </c>
      <c r="V757" s="42" t="s">
        <v>57</v>
      </c>
      <c r="W757" s="32">
        <v>2050</v>
      </c>
      <c r="X757" s="43" t="str">
        <f t="shared" si="93"/>
        <v>*0.5</v>
      </c>
      <c r="AC757" s="33" t="s">
        <v>826</v>
      </c>
      <c r="AD757" s="44" t="s">
        <v>57</v>
      </c>
      <c r="AE757" s="33">
        <v>2035</v>
      </c>
      <c r="AF757" s="45" t="str">
        <f t="shared" si="94"/>
        <v>*0.56</v>
      </c>
      <c r="AG757" s="43" t="str">
        <f t="shared" si="96"/>
        <v>REZoning_Sol-Win</v>
      </c>
      <c r="AI757" s="33" t="s">
        <v>826</v>
      </c>
      <c r="AJ757" s="44" t="s">
        <v>57</v>
      </c>
      <c r="AK757" s="33">
        <v>2050</v>
      </c>
      <c r="AL757" s="45" t="str">
        <f t="shared" si="95"/>
        <v>*0.45</v>
      </c>
      <c r="AM757" s="43" t="str">
        <f t="shared" si="97"/>
        <v>REZoning_Sol-Win</v>
      </c>
      <c r="AP757" t="s">
        <v>826</v>
      </c>
      <c r="AQ757" t="s">
        <v>57</v>
      </c>
      <c r="AR757">
        <v>2100</v>
      </c>
      <c r="AS757" t="s">
        <v>100</v>
      </c>
      <c r="AT757" t="s">
        <v>58</v>
      </c>
    </row>
    <row r="758" ht="29" spans="1:46">
      <c r="A758" s="31" t="s">
        <v>98</v>
      </c>
      <c r="C758" t="s">
        <v>827</v>
      </c>
      <c r="D758" s="5" t="s">
        <v>57</v>
      </c>
      <c r="E758">
        <v>2035</v>
      </c>
      <c r="F758" s="6" t="str">
        <f t="shared" si="90"/>
        <v>*0.64</v>
      </c>
      <c r="H758" t="s">
        <v>827</v>
      </c>
      <c r="I758" s="5" t="s">
        <v>57</v>
      </c>
      <c r="J758">
        <v>2050</v>
      </c>
      <c r="K758" s="38" t="str">
        <f t="shared" si="91"/>
        <v>*0.54</v>
      </c>
      <c r="P758" s="32" t="s">
        <v>827</v>
      </c>
      <c r="Q758" s="42" t="s">
        <v>57</v>
      </c>
      <c r="R758" s="32">
        <v>2035</v>
      </c>
      <c r="S758" s="43" t="str">
        <f t="shared" si="92"/>
        <v>*0.62</v>
      </c>
      <c r="U758" s="32" t="s">
        <v>827</v>
      </c>
      <c r="V758" s="42" t="s">
        <v>57</v>
      </c>
      <c r="W758" s="32">
        <v>2050</v>
      </c>
      <c r="X758" s="43" t="str">
        <f t="shared" si="93"/>
        <v>*0.5</v>
      </c>
      <c r="AC758" s="33" t="s">
        <v>827</v>
      </c>
      <c r="AD758" s="44" t="s">
        <v>57</v>
      </c>
      <c r="AE758" s="33">
        <v>2035</v>
      </c>
      <c r="AF758" s="45" t="str">
        <f t="shared" si="94"/>
        <v>*0.56</v>
      </c>
      <c r="AG758" s="43" t="str">
        <f t="shared" si="96"/>
        <v>REZoning_Sol-Win</v>
      </c>
      <c r="AI758" s="33" t="s">
        <v>827</v>
      </c>
      <c r="AJ758" s="44" t="s">
        <v>57</v>
      </c>
      <c r="AK758" s="33">
        <v>2050</v>
      </c>
      <c r="AL758" s="45" t="str">
        <f t="shared" si="95"/>
        <v>*0.45</v>
      </c>
      <c r="AM758" s="43" t="str">
        <f t="shared" si="97"/>
        <v>REZoning_Sol-Win</v>
      </c>
      <c r="AP758" t="s">
        <v>827</v>
      </c>
      <c r="AQ758" t="s">
        <v>57</v>
      </c>
      <c r="AR758">
        <v>2100</v>
      </c>
      <c r="AS758" t="s">
        <v>100</v>
      </c>
      <c r="AT758" t="s">
        <v>58</v>
      </c>
    </row>
    <row r="759" ht="29" spans="1:46">
      <c r="A759" s="31" t="s">
        <v>98</v>
      </c>
      <c r="C759" t="s">
        <v>828</v>
      </c>
      <c r="D759" s="5" t="s">
        <v>57</v>
      </c>
      <c r="E759">
        <v>2035</v>
      </c>
      <c r="F759" s="6" t="str">
        <f t="shared" si="90"/>
        <v>*0.64</v>
      </c>
      <c r="H759" t="s">
        <v>828</v>
      </c>
      <c r="I759" s="5" t="s">
        <v>57</v>
      </c>
      <c r="J759">
        <v>2050</v>
      </c>
      <c r="K759" s="38" t="str">
        <f t="shared" si="91"/>
        <v>*0.54</v>
      </c>
      <c r="P759" s="32" t="s">
        <v>828</v>
      </c>
      <c r="Q759" s="42" t="s">
        <v>57</v>
      </c>
      <c r="R759" s="32">
        <v>2035</v>
      </c>
      <c r="S759" s="43" t="str">
        <f t="shared" si="92"/>
        <v>*0.62</v>
      </c>
      <c r="U759" s="32" t="s">
        <v>828</v>
      </c>
      <c r="V759" s="42" t="s">
        <v>57</v>
      </c>
      <c r="W759" s="32">
        <v>2050</v>
      </c>
      <c r="X759" s="43" t="str">
        <f t="shared" si="93"/>
        <v>*0.5</v>
      </c>
      <c r="AC759" s="33" t="s">
        <v>828</v>
      </c>
      <c r="AD759" s="44" t="s">
        <v>57</v>
      </c>
      <c r="AE759" s="33">
        <v>2035</v>
      </c>
      <c r="AF759" s="45" t="str">
        <f t="shared" si="94"/>
        <v>*0.56</v>
      </c>
      <c r="AG759" s="43" t="str">
        <f t="shared" si="96"/>
        <v>REZoning_Sol-Win</v>
      </c>
      <c r="AI759" s="33" t="s">
        <v>828</v>
      </c>
      <c r="AJ759" s="44" t="s">
        <v>57</v>
      </c>
      <c r="AK759" s="33">
        <v>2050</v>
      </c>
      <c r="AL759" s="45" t="str">
        <f t="shared" si="95"/>
        <v>*0.45</v>
      </c>
      <c r="AM759" s="43" t="str">
        <f t="shared" si="97"/>
        <v>REZoning_Sol-Win</v>
      </c>
      <c r="AP759" t="s">
        <v>828</v>
      </c>
      <c r="AQ759" t="s">
        <v>57</v>
      </c>
      <c r="AR759">
        <v>2100</v>
      </c>
      <c r="AS759" t="s">
        <v>100</v>
      </c>
      <c r="AT759" t="s">
        <v>58</v>
      </c>
    </row>
    <row r="760" ht="29" spans="1:46">
      <c r="A760" s="31" t="s">
        <v>98</v>
      </c>
      <c r="C760" t="s">
        <v>829</v>
      </c>
      <c r="D760" s="5" t="s">
        <v>57</v>
      </c>
      <c r="E760">
        <v>2035</v>
      </c>
      <c r="F760" s="6" t="str">
        <f t="shared" si="90"/>
        <v>*0.64</v>
      </c>
      <c r="H760" t="s">
        <v>829</v>
      </c>
      <c r="I760" s="5" t="s">
        <v>57</v>
      </c>
      <c r="J760">
        <v>2050</v>
      </c>
      <c r="K760" s="38" t="str">
        <f t="shared" si="91"/>
        <v>*0.54</v>
      </c>
      <c r="P760" s="32" t="s">
        <v>829</v>
      </c>
      <c r="Q760" s="42" t="s">
        <v>57</v>
      </c>
      <c r="R760" s="32">
        <v>2035</v>
      </c>
      <c r="S760" s="43" t="str">
        <f t="shared" si="92"/>
        <v>*0.62</v>
      </c>
      <c r="U760" s="32" t="s">
        <v>829</v>
      </c>
      <c r="V760" s="42" t="s">
        <v>57</v>
      </c>
      <c r="W760" s="32">
        <v>2050</v>
      </c>
      <c r="X760" s="43" t="str">
        <f t="shared" si="93"/>
        <v>*0.5</v>
      </c>
      <c r="AC760" s="33" t="s">
        <v>829</v>
      </c>
      <c r="AD760" s="44" t="s">
        <v>57</v>
      </c>
      <c r="AE760" s="33">
        <v>2035</v>
      </c>
      <c r="AF760" s="45" t="str">
        <f t="shared" si="94"/>
        <v>*0.56</v>
      </c>
      <c r="AG760" s="43" t="str">
        <f t="shared" si="96"/>
        <v>REZoning_Sol-Win</v>
      </c>
      <c r="AI760" s="33" t="s">
        <v>829</v>
      </c>
      <c r="AJ760" s="44" t="s">
        <v>57</v>
      </c>
      <c r="AK760" s="33">
        <v>2050</v>
      </c>
      <c r="AL760" s="45" t="str">
        <f t="shared" si="95"/>
        <v>*0.45</v>
      </c>
      <c r="AM760" s="43" t="str">
        <f t="shared" si="97"/>
        <v>REZoning_Sol-Win</v>
      </c>
      <c r="AP760" t="s">
        <v>829</v>
      </c>
      <c r="AQ760" t="s">
        <v>57</v>
      </c>
      <c r="AR760">
        <v>2100</v>
      </c>
      <c r="AS760" t="s">
        <v>100</v>
      </c>
      <c r="AT760" t="s">
        <v>58</v>
      </c>
    </row>
    <row r="761" ht="29" spans="1:46">
      <c r="A761" s="31" t="s">
        <v>98</v>
      </c>
      <c r="C761" t="s">
        <v>830</v>
      </c>
      <c r="D761" s="5" t="s">
        <v>57</v>
      </c>
      <c r="E761">
        <v>2035</v>
      </c>
      <c r="F761" s="6" t="str">
        <f t="shared" si="90"/>
        <v>*0.64</v>
      </c>
      <c r="H761" t="s">
        <v>830</v>
      </c>
      <c r="I761" s="5" t="s">
        <v>57</v>
      </c>
      <c r="J761">
        <v>2050</v>
      </c>
      <c r="K761" s="38" t="str">
        <f t="shared" si="91"/>
        <v>*0.54</v>
      </c>
      <c r="P761" s="32" t="s">
        <v>830</v>
      </c>
      <c r="Q761" s="42" t="s">
        <v>57</v>
      </c>
      <c r="R761" s="32">
        <v>2035</v>
      </c>
      <c r="S761" s="43" t="str">
        <f t="shared" si="92"/>
        <v>*0.62</v>
      </c>
      <c r="U761" s="32" t="s">
        <v>830</v>
      </c>
      <c r="V761" s="42" t="s">
        <v>57</v>
      </c>
      <c r="W761" s="32">
        <v>2050</v>
      </c>
      <c r="X761" s="43" t="str">
        <f t="shared" si="93"/>
        <v>*0.5</v>
      </c>
      <c r="AC761" s="33" t="s">
        <v>830</v>
      </c>
      <c r="AD761" s="44" t="s">
        <v>57</v>
      </c>
      <c r="AE761" s="33">
        <v>2035</v>
      </c>
      <c r="AF761" s="45" t="str">
        <f t="shared" si="94"/>
        <v>*0.56</v>
      </c>
      <c r="AG761" s="43" t="str">
        <f t="shared" si="96"/>
        <v>REZoning_Sol-Win</v>
      </c>
      <c r="AI761" s="33" t="s">
        <v>830</v>
      </c>
      <c r="AJ761" s="44" t="s">
        <v>57</v>
      </c>
      <c r="AK761" s="33">
        <v>2050</v>
      </c>
      <c r="AL761" s="45" t="str">
        <f t="shared" si="95"/>
        <v>*0.45</v>
      </c>
      <c r="AM761" s="43" t="str">
        <f t="shared" si="97"/>
        <v>REZoning_Sol-Win</v>
      </c>
      <c r="AP761" t="s">
        <v>830</v>
      </c>
      <c r="AQ761" t="s">
        <v>57</v>
      </c>
      <c r="AR761">
        <v>2100</v>
      </c>
      <c r="AS761" t="s">
        <v>100</v>
      </c>
      <c r="AT761" t="s">
        <v>58</v>
      </c>
    </row>
    <row r="762" ht="29" spans="1:46">
      <c r="A762" s="31" t="s">
        <v>98</v>
      </c>
      <c r="C762" t="s">
        <v>831</v>
      </c>
      <c r="D762" s="5" t="s">
        <v>57</v>
      </c>
      <c r="E762">
        <v>2035</v>
      </c>
      <c r="F762" s="6" t="str">
        <f t="shared" si="90"/>
        <v>*0.64</v>
      </c>
      <c r="H762" t="s">
        <v>831</v>
      </c>
      <c r="I762" s="5" t="s">
        <v>57</v>
      </c>
      <c r="J762">
        <v>2050</v>
      </c>
      <c r="K762" s="38" t="str">
        <f t="shared" si="91"/>
        <v>*0.54</v>
      </c>
      <c r="P762" s="32" t="s">
        <v>831</v>
      </c>
      <c r="Q762" s="42" t="s">
        <v>57</v>
      </c>
      <c r="R762" s="32">
        <v>2035</v>
      </c>
      <c r="S762" s="43" t="str">
        <f t="shared" si="92"/>
        <v>*0.62</v>
      </c>
      <c r="U762" s="32" t="s">
        <v>831</v>
      </c>
      <c r="V762" s="42" t="s">
        <v>57</v>
      </c>
      <c r="W762" s="32">
        <v>2050</v>
      </c>
      <c r="X762" s="43" t="str">
        <f t="shared" si="93"/>
        <v>*0.5</v>
      </c>
      <c r="AC762" s="33" t="s">
        <v>831</v>
      </c>
      <c r="AD762" s="44" t="s">
        <v>57</v>
      </c>
      <c r="AE762" s="33">
        <v>2035</v>
      </c>
      <c r="AF762" s="45" t="str">
        <f t="shared" si="94"/>
        <v>*0.56</v>
      </c>
      <c r="AG762" s="43" t="str">
        <f t="shared" si="96"/>
        <v>REZoning_Sol-Win</v>
      </c>
      <c r="AI762" s="33" t="s">
        <v>831</v>
      </c>
      <c r="AJ762" s="44" t="s">
        <v>57</v>
      </c>
      <c r="AK762" s="33">
        <v>2050</v>
      </c>
      <c r="AL762" s="45" t="str">
        <f t="shared" si="95"/>
        <v>*0.45</v>
      </c>
      <c r="AM762" s="43" t="str">
        <f t="shared" si="97"/>
        <v>REZoning_Sol-Win</v>
      </c>
      <c r="AP762" t="s">
        <v>831</v>
      </c>
      <c r="AQ762" t="s">
        <v>57</v>
      </c>
      <c r="AR762">
        <v>2100</v>
      </c>
      <c r="AS762" t="s">
        <v>100</v>
      </c>
      <c r="AT762" t="s">
        <v>58</v>
      </c>
    </row>
    <row r="763" ht="29" spans="1:46">
      <c r="A763" s="31" t="s">
        <v>95</v>
      </c>
      <c r="C763" t="s">
        <v>832</v>
      </c>
      <c r="D763" s="5" t="s">
        <v>57</v>
      </c>
      <c r="E763">
        <v>2035</v>
      </c>
      <c r="F763" s="6" t="str">
        <f t="shared" si="90"/>
        <v>*0.65</v>
      </c>
      <c r="H763" t="s">
        <v>832</v>
      </c>
      <c r="I763" s="5" t="s">
        <v>57</v>
      </c>
      <c r="J763">
        <v>2050</v>
      </c>
      <c r="K763" s="38" t="str">
        <f t="shared" si="91"/>
        <v>*0.54</v>
      </c>
      <c r="P763" s="32" t="s">
        <v>832</v>
      </c>
      <c r="Q763" s="42" t="s">
        <v>57</v>
      </c>
      <c r="R763" s="32">
        <v>2035</v>
      </c>
      <c r="S763" s="43" t="str">
        <f t="shared" si="92"/>
        <v>*0.63</v>
      </c>
      <c r="U763" s="32" t="s">
        <v>832</v>
      </c>
      <c r="V763" s="42" t="s">
        <v>57</v>
      </c>
      <c r="W763" s="32">
        <v>2050</v>
      </c>
      <c r="X763" s="43" t="str">
        <f t="shared" si="93"/>
        <v>*0.52</v>
      </c>
      <c r="AC763" s="33" t="s">
        <v>832</v>
      </c>
      <c r="AD763" s="44" t="s">
        <v>57</v>
      </c>
      <c r="AE763" s="33">
        <v>2035</v>
      </c>
      <c r="AF763" s="45" t="str">
        <f t="shared" si="94"/>
        <v>*0.55</v>
      </c>
      <c r="AG763" s="43" t="str">
        <f t="shared" si="96"/>
        <v>REZoning_Sol-Win</v>
      </c>
      <c r="AI763" s="33" t="s">
        <v>832</v>
      </c>
      <c r="AJ763" s="44" t="s">
        <v>57</v>
      </c>
      <c r="AK763" s="33">
        <v>2050</v>
      </c>
      <c r="AL763" s="45" t="str">
        <f t="shared" si="95"/>
        <v>*0.41</v>
      </c>
      <c r="AM763" s="43" t="str">
        <f t="shared" si="97"/>
        <v>REZoning_Sol-Win</v>
      </c>
      <c r="AP763" t="s">
        <v>832</v>
      </c>
      <c r="AQ763" t="s">
        <v>57</v>
      </c>
      <c r="AR763">
        <v>2100</v>
      </c>
      <c r="AS763" t="s">
        <v>67</v>
      </c>
      <c r="AT763" t="s">
        <v>58</v>
      </c>
    </row>
    <row r="764" ht="29" spans="1:46">
      <c r="A764" s="31" t="s">
        <v>95</v>
      </c>
      <c r="C764" t="s">
        <v>833</v>
      </c>
      <c r="D764" s="5" t="s">
        <v>57</v>
      </c>
      <c r="E764">
        <v>2035</v>
      </c>
      <c r="F764" s="6" t="str">
        <f t="shared" si="90"/>
        <v>*0.65</v>
      </c>
      <c r="H764" t="s">
        <v>833</v>
      </c>
      <c r="I764" s="5" t="s">
        <v>57</v>
      </c>
      <c r="J764">
        <v>2050</v>
      </c>
      <c r="K764" s="38" t="str">
        <f t="shared" si="91"/>
        <v>*0.54</v>
      </c>
      <c r="P764" s="32" t="s">
        <v>833</v>
      </c>
      <c r="Q764" s="42" t="s">
        <v>57</v>
      </c>
      <c r="R764" s="32">
        <v>2035</v>
      </c>
      <c r="S764" s="43" t="str">
        <f t="shared" si="92"/>
        <v>*0.63</v>
      </c>
      <c r="U764" s="32" t="s">
        <v>833</v>
      </c>
      <c r="V764" s="42" t="s">
        <v>57</v>
      </c>
      <c r="W764" s="32">
        <v>2050</v>
      </c>
      <c r="X764" s="43" t="str">
        <f t="shared" si="93"/>
        <v>*0.52</v>
      </c>
      <c r="AC764" s="33" t="s">
        <v>833</v>
      </c>
      <c r="AD764" s="44" t="s">
        <v>57</v>
      </c>
      <c r="AE764" s="33">
        <v>2035</v>
      </c>
      <c r="AF764" s="45" t="str">
        <f t="shared" si="94"/>
        <v>*0.55</v>
      </c>
      <c r="AG764" s="43" t="str">
        <f t="shared" si="96"/>
        <v>REZoning_Sol-Win</v>
      </c>
      <c r="AI764" s="33" t="s">
        <v>833</v>
      </c>
      <c r="AJ764" s="44" t="s">
        <v>57</v>
      </c>
      <c r="AK764" s="33">
        <v>2050</v>
      </c>
      <c r="AL764" s="45" t="str">
        <f t="shared" si="95"/>
        <v>*0.41</v>
      </c>
      <c r="AM764" s="43" t="str">
        <f t="shared" si="97"/>
        <v>REZoning_Sol-Win</v>
      </c>
      <c r="AP764" t="s">
        <v>833</v>
      </c>
      <c r="AQ764" t="s">
        <v>57</v>
      </c>
      <c r="AR764">
        <v>2100</v>
      </c>
      <c r="AS764" t="s">
        <v>67</v>
      </c>
      <c r="AT764" t="s">
        <v>58</v>
      </c>
    </row>
    <row r="765" ht="29" spans="1:46">
      <c r="A765" s="31" t="s">
        <v>83</v>
      </c>
      <c r="C765" t="s">
        <v>834</v>
      </c>
      <c r="D765" s="5" t="s">
        <v>57</v>
      </c>
      <c r="E765">
        <v>2035</v>
      </c>
      <c r="F765" s="6" t="str">
        <f t="shared" si="90"/>
        <v>*0.64</v>
      </c>
      <c r="H765" t="s">
        <v>834</v>
      </c>
      <c r="I765" s="5" t="s">
        <v>57</v>
      </c>
      <c r="J765">
        <v>2050</v>
      </c>
      <c r="K765" s="38" t="str">
        <f t="shared" si="91"/>
        <v>*0.54</v>
      </c>
      <c r="P765" s="32" t="s">
        <v>834</v>
      </c>
      <c r="Q765" s="42" t="s">
        <v>57</v>
      </c>
      <c r="R765" s="32">
        <v>2035</v>
      </c>
      <c r="S765" s="43" t="str">
        <f t="shared" si="92"/>
        <v>*0.64</v>
      </c>
      <c r="U765" s="32" t="s">
        <v>834</v>
      </c>
      <c r="V765" s="42" t="s">
        <v>57</v>
      </c>
      <c r="W765" s="32">
        <v>2050</v>
      </c>
      <c r="X765" s="43" t="str">
        <f t="shared" si="93"/>
        <v>*0.53</v>
      </c>
      <c r="AC765" s="33" t="s">
        <v>834</v>
      </c>
      <c r="AD765" s="44" t="s">
        <v>57</v>
      </c>
      <c r="AE765" s="33">
        <v>2035</v>
      </c>
      <c r="AF765" s="45" t="str">
        <f t="shared" si="94"/>
        <v>*0.6</v>
      </c>
      <c r="AG765" s="43" t="str">
        <f t="shared" si="96"/>
        <v>REZoning_Sol-Win</v>
      </c>
      <c r="AI765" s="33" t="s">
        <v>834</v>
      </c>
      <c r="AJ765" s="44" t="s">
        <v>57</v>
      </c>
      <c r="AK765" s="33">
        <v>2050</v>
      </c>
      <c r="AL765" s="45" t="str">
        <f t="shared" si="95"/>
        <v>*0.5</v>
      </c>
      <c r="AM765" s="43" t="str">
        <f t="shared" si="97"/>
        <v>REZoning_Sol-Win</v>
      </c>
      <c r="AP765" t="s">
        <v>834</v>
      </c>
      <c r="AQ765" t="s">
        <v>57</v>
      </c>
      <c r="AR765">
        <v>2100</v>
      </c>
      <c r="AS765" t="s">
        <v>85</v>
      </c>
      <c r="AT765" t="s">
        <v>58</v>
      </c>
    </row>
    <row r="766" ht="29" spans="1:46">
      <c r="A766" s="31" t="s">
        <v>83</v>
      </c>
      <c r="C766" t="s">
        <v>835</v>
      </c>
      <c r="D766" s="5" t="s">
        <v>57</v>
      </c>
      <c r="E766">
        <v>2035</v>
      </c>
      <c r="F766" s="6" t="str">
        <f t="shared" si="90"/>
        <v>*0.64</v>
      </c>
      <c r="H766" t="s">
        <v>835</v>
      </c>
      <c r="I766" s="5" t="s">
        <v>57</v>
      </c>
      <c r="J766">
        <v>2050</v>
      </c>
      <c r="K766" s="38" t="str">
        <f t="shared" si="91"/>
        <v>*0.54</v>
      </c>
      <c r="P766" s="32" t="s">
        <v>835</v>
      </c>
      <c r="Q766" s="42" t="s">
        <v>57</v>
      </c>
      <c r="R766" s="32">
        <v>2035</v>
      </c>
      <c r="S766" s="43" t="str">
        <f t="shared" si="92"/>
        <v>*0.64</v>
      </c>
      <c r="U766" s="32" t="s">
        <v>835</v>
      </c>
      <c r="V766" s="42" t="s">
        <v>57</v>
      </c>
      <c r="W766" s="32">
        <v>2050</v>
      </c>
      <c r="X766" s="43" t="str">
        <f t="shared" si="93"/>
        <v>*0.53</v>
      </c>
      <c r="AC766" s="33" t="s">
        <v>835</v>
      </c>
      <c r="AD766" s="44" t="s">
        <v>57</v>
      </c>
      <c r="AE766" s="33">
        <v>2035</v>
      </c>
      <c r="AF766" s="45" t="str">
        <f t="shared" si="94"/>
        <v>*0.6</v>
      </c>
      <c r="AG766" s="43" t="str">
        <f t="shared" si="96"/>
        <v>REZoning_Sol-Win</v>
      </c>
      <c r="AI766" s="33" t="s">
        <v>835</v>
      </c>
      <c r="AJ766" s="44" t="s">
        <v>57</v>
      </c>
      <c r="AK766" s="33">
        <v>2050</v>
      </c>
      <c r="AL766" s="45" t="str">
        <f t="shared" si="95"/>
        <v>*0.5</v>
      </c>
      <c r="AM766" s="43" t="str">
        <f t="shared" si="97"/>
        <v>REZoning_Sol-Win</v>
      </c>
      <c r="AP766" t="s">
        <v>835</v>
      </c>
      <c r="AQ766" t="s">
        <v>57</v>
      </c>
      <c r="AR766">
        <v>2100</v>
      </c>
      <c r="AS766" t="s">
        <v>85</v>
      </c>
      <c r="AT766" t="s">
        <v>58</v>
      </c>
    </row>
    <row r="767" ht="29" spans="1:46">
      <c r="A767" s="31" t="s">
        <v>83</v>
      </c>
      <c r="C767" t="s">
        <v>836</v>
      </c>
      <c r="D767" s="5" t="s">
        <v>57</v>
      </c>
      <c r="E767">
        <v>2035</v>
      </c>
      <c r="F767" s="6" t="str">
        <f t="shared" si="90"/>
        <v>*0.64</v>
      </c>
      <c r="H767" t="s">
        <v>836</v>
      </c>
      <c r="I767" s="5" t="s">
        <v>57</v>
      </c>
      <c r="J767">
        <v>2050</v>
      </c>
      <c r="K767" s="38" t="str">
        <f t="shared" si="91"/>
        <v>*0.54</v>
      </c>
      <c r="P767" s="32" t="s">
        <v>836</v>
      </c>
      <c r="Q767" s="42" t="s">
        <v>57</v>
      </c>
      <c r="R767" s="32">
        <v>2035</v>
      </c>
      <c r="S767" s="43" t="str">
        <f t="shared" si="92"/>
        <v>*0.64</v>
      </c>
      <c r="U767" s="32" t="s">
        <v>836</v>
      </c>
      <c r="V767" s="42" t="s">
        <v>57</v>
      </c>
      <c r="W767" s="32">
        <v>2050</v>
      </c>
      <c r="X767" s="43" t="str">
        <f t="shared" si="93"/>
        <v>*0.53</v>
      </c>
      <c r="AC767" s="33" t="s">
        <v>836</v>
      </c>
      <c r="AD767" s="44" t="s">
        <v>57</v>
      </c>
      <c r="AE767" s="33">
        <v>2035</v>
      </c>
      <c r="AF767" s="45" t="str">
        <f t="shared" si="94"/>
        <v>*0.6</v>
      </c>
      <c r="AG767" s="43" t="str">
        <f t="shared" si="96"/>
        <v>REZoning_Sol-Win</v>
      </c>
      <c r="AI767" s="33" t="s">
        <v>836</v>
      </c>
      <c r="AJ767" s="44" t="s">
        <v>57</v>
      </c>
      <c r="AK767" s="33">
        <v>2050</v>
      </c>
      <c r="AL767" s="45" t="str">
        <f t="shared" si="95"/>
        <v>*0.5</v>
      </c>
      <c r="AM767" s="43" t="str">
        <f t="shared" si="97"/>
        <v>REZoning_Sol-Win</v>
      </c>
      <c r="AP767" t="s">
        <v>836</v>
      </c>
      <c r="AQ767" t="s">
        <v>57</v>
      </c>
      <c r="AR767">
        <v>2100</v>
      </c>
      <c r="AS767" t="s">
        <v>85</v>
      </c>
      <c r="AT767" t="s">
        <v>58</v>
      </c>
    </row>
    <row r="768" ht="29" spans="1:46">
      <c r="A768" s="31" t="s">
        <v>83</v>
      </c>
      <c r="C768" t="s">
        <v>837</v>
      </c>
      <c r="D768" s="5" t="s">
        <v>57</v>
      </c>
      <c r="E768">
        <v>2035</v>
      </c>
      <c r="F768" s="6" t="str">
        <f t="shared" si="90"/>
        <v>*0.64</v>
      </c>
      <c r="H768" t="s">
        <v>837</v>
      </c>
      <c r="I768" s="5" t="s">
        <v>57</v>
      </c>
      <c r="J768">
        <v>2050</v>
      </c>
      <c r="K768" s="38" t="str">
        <f t="shared" si="91"/>
        <v>*0.54</v>
      </c>
      <c r="P768" s="32" t="s">
        <v>837</v>
      </c>
      <c r="Q768" s="42" t="s">
        <v>57</v>
      </c>
      <c r="R768" s="32">
        <v>2035</v>
      </c>
      <c r="S768" s="43" t="str">
        <f t="shared" si="92"/>
        <v>*0.64</v>
      </c>
      <c r="U768" s="32" t="s">
        <v>837</v>
      </c>
      <c r="V768" s="42" t="s">
        <v>57</v>
      </c>
      <c r="W768" s="32">
        <v>2050</v>
      </c>
      <c r="X768" s="43" t="str">
        <f t="shared" si="93"/>
        <v>*0.53</v>
      </c>
      <c r="AC768" s="33" t="s">
        <v>837</v>
      </c>
      <c r="AD768" s="44" t="s">
        <v>57</v>
      </c>
      <c r="AE768" s="33">
        <v>2035</v>
      </c>
      <c r="AF768" s="45" t="str">
        <f t="shared" si="94"/>
        <v>*0.6</v>
      </c>
      <c r="AG768" s="43" t="str">
        <f t="shared" si="96"/>
        <v>REZoning_Sol-Win</v>
      </c>
      <c r="AI768" s="33" t="s">
        <v>837</v>
      </c>
      <c r="AJ768" s="44" t="s">
        <v>57</v>
      </c>
      <c r="AK768" s="33">
        <v>2050</v>
      </c>
      <c r="AL768" s="45" t="str">
        <f t="shared" si="95"/>
        <v>*0.5</v>
      </c>
      <c r="AM768" s="43" t="str">
        <f t="shared" si="97"/>
        <v>REZoning_Sol-Win</v>
      </c>
      <c r="AP768" t="s">
        <v>837</v>
      </c>
      <c r="AQ768" t="s">
        <v>57</v>
      </c>
      <c r="AR768">
        <v>2100</v>
      </c>
      <c r="AS768" t="s">
        <v>85</v>
      </c>
      <c r="AT768" t="s">
        <v>58</v>
      </c>
    </row>
    <row r="769" ht="29" spans="1:46">
      <c r="A769" s="31" t="s">
        <v>83</v>
      </c>
      <c r="C769" t="s">
        <v>838</v>
      </c>
      <c r="D769" s="5" t="s">
        <v>57</v>
      </c>
      <c r="E769">
        <v>2035</v>
      </c>
      <c r="F769" s="6" t="str">
        <f t="shared" si="90"/>
        <v>*0.64</v>
      </c>
      <c r="H769" t="s">
        <v>838</v>
      </c>
      <c r="I769" s="5" t="s">
        <v>57</v>
      </c>
      <c r="J769">
        <v>2050</v>
      </c>
      <c r="K769" s="38" t="str">
        <f t="shared" si="91"/>
        <v>*0.54</v>
      </c>
      <c r="P769" s="32" t="s">
        <v>838</v>
      </c>
      <c r="Q769" s="42" t="s">
        <v>57</v>
      </c>
      <c r="R769" s="32">
        <v>2035</v>
      </c>
      <c r="S769" s="43" t="str">
        <f t="shared" si="92"/>
        <v>*0.64</v>
      </c>
      <c r="U769" s="32" t="s">
        <v>838</v>
      </c>
      <c r="V769" s="42" t="s">
        <v>57</v>
      </c>
      <c r="W769" s="32">
        <v>2050</v>
      </c>
      <c r="X769" s="43" t="str">
        <f t="shared" si="93"/>
        <v>*0.53</v>
      </c>
      <c r="AC769" s="33" t="s">
        <v>838</v>
      </c>
      <c r="AD769" s="44" t="s">
        <v>57</v>
      </c>
      <c r="AE769" s="33">
        <v>2035</v>
      </c>
      <c r="AF769" s="45" t="str">
        <f t="shared" si="94"/>
        <v>*0.6</v>
      </c>
      <c r="AG769" s="43" t="str">
        <f t="shared" si="96"/>
        <v>REZoning_Sol-Win</v>
      </c>
      <c r="AI769" s="33" t="s">
        <v>838</v>
      </c>
      <c r="AJ769" s="44" t="s">
        <v>57</v>
      </c>
      <c r="AK769" s="33">
        <v>2050</v>
      </c>
      <c r="AL769" s="45" t="str">
        <f t="shared" si="95"/>
        <v>*0.5</v>
      </c>
      <c r="AM769" s="43" t="str">
        <f t="shared" si="97"/>
        <v>REZoning_Sol-Win</v>
      </c>
      <c r="AP769" t="s">
        <v>838</v>
      </c>
      <c r="AQ769" t="s">
        <v>57</v>
      </c>
      <c r="AR769">
        <v>2100</v>
      </c>
      <c r="AS769" t="s">
        <v>85</v>
      </c>
      <c r="AT769" t="s">
        <v>58</v>
      </c>
    </row>
    <row r="770" ht="29" spans="1:46">
      <c r="A770" s="31" t="s">
        <v>83</v>
      </c>
      <c r="C770" t="s">
        <v>839</v>
      </c>
      <c r="D770" s="5" t="s">
        <v>57</v>
      </c>
      <c r="E770">
        <v>2035</v>
      </c>
      <c r="F770" s="6" t="str">
        <f t="shared" si="90"/>
        <v>*0.64</v>
      </c>
      <c r="H770" t="s">
        <v>839</v>
      </c>
      <c r="I770" s="5" t="s">
        <v>57</v>
      </c>
      <c r="J770">
        <v>2050</v>
      </c>
      <c r="K770" s="38" t="str">
        <f t="shared" si="91"/>
        <v>*0.54</v>
      </c>
      <c r="P770" s="32" t="s">
        <v>839</v>
      </c>
      <c r="Q770" s="42" t="s">
        <v>57</v>
      </c>
      <c r="R770" s="32">
        <v>2035</v>
      </c>
      <c r="S770" s="43" t="str">
        <f t="shared" si="92"/>
        <v>*0.64</v>
      </c>
      <c r="U770" s="32" t="s">
        <v>839</v>
      </c>
      <c r="V770" s="42" t="s">
        <v>57</v>
      </c>
      <c r="W770" s="32">
        <v>2050</v>
      </c>
      <c r="X770" s="43" t="str">
        <f t="shared" si="93"/>
        <v>*0.53</v>
      </c>
      <c r="AC770" s="33" t="s">
        <v>839</v>
      </c>
      <c r="AD770" s="44" t="s">
        <v>57</v>
      </c>
      <c r="AE770" s="33">
        <v>2035</v>
      </c>
      <c r="AF770" s="45" t="str">
        <f t="shared" si="94"/>
        <v>*0.6</v>
      </c>
      <c r="AG770" s="43" t="str">
        <f t="shared" si="96"/>
        <v>REZoning_Sol-Win</v>
      </c>
      <c r="AI770" s="33" t="s">
        <v>839</v>
      </c>
      <c r="AJ770" s="44" t="s">
        <v>57</v>
      </c>
      <c r="AK770" s="33">
        <v>2050</v>
      </c>
      <c r="AL770" s="45" t="str">
        <f t="shared" si="95"/>
        <v>*0.5</v>
      </c>
      <c r="AM770" s="43" t="str">
        <f t="shared" si="97"/>
        <v>REZoning_Sol-Win</v>
      </c>
      <c r="AP770" t="s">
        <v>839</v>
      </c>
      <c r="AQ770" t="s">
        <v>57</v>
      </c>
      <c r="AR770">
        <v>2100</v>
      </c>
      <c r="AS770" t="s">
        <v>85</v>
      </c>
      <c r="AT770" t="s">
        <v>58</v>
      </c>
    </row>
    <row r="771" ht="29" spans="1:46">
      <c r="A771" s="31" t="s">
        <v>83</v>
      </c>
      <c r="C771" t="s">
        <v>840</v>
      </c>
      <c r="D771" s="5" t="s">
        <v>57</v>
      </c>
      <c r="E771">
        <v>2035</v>
      </c>
      <c r="F771" s="6" t="str">
        <f t="shared" si="90"/>
        <v>*0.64</v>
      </c>
      <c r="H771" t="s">
        <v>840</v>
      </c>
      <c r="I771" s="5" t="s">
        <v>57</v>
      </c>
      <c r="J771">
        <v>2050</v>
      </c>
      <c r="K771" s="38" t="str">
        <f t="shared" si="91"/>
        <v>*0.54</v>
      </c>
      <c r="P771" s="32" t="s">
        <v>840</v>
      </c>
      <c r="Q771" s="42" t="s">
        <v>57</v>
      </c>
      <c r="R771" s="32">
        <v>2035</v>
      </c>
      <c r="S771" s="43" t="str">
        <f t="shared" si="92"/>
        <v>*0.64</v>
      </c>
      <c r="U771" s="32" t="s">
        <v>840</v>
      </c>
      <c r="V771" s="42" t="s">
        <v>57</v>
      </c>
      <c r="W771" s="32">
        <v>2050</v>
      </c>
      <c r="X771" s="43" t="str">
        <f t="shared" si="93"/>
        <v>*0.53</v>
      </c>
      <c r="AC771" s="33" t="s">
        <v>840</v>
      </c>
      <c r="AD771" s="44" t="s">
        <v>57</v>
      </c>
      <c r="AE771" s="33">
        <v>2035</v>
      </c>
      <c r="AF771" s="45" t="str">
        <f t="shared" si="94"/>
        <v>*0.6</v>
      </c>
      <c r="AG771" s="43" t="str">
        <f t="shared" si="96"/>
        <v>REZoning_Sol-Win</v>
      </c>
      <c r="AI771" s="33" t="s">
        <v>840</v>
      </c>
      <c r="AJ771" s="44" t="s">
        <v>57</v>
      </c>
      <c r="AK771" s="33">
        <v>2050</v>
      </c>
      <c r="AL771" s="45" t="str">
        <f t="shared" si="95"/>
        <v>*0.5</v>
      </c>
      <c r="AM771" s="43" t="str">
        <f t="shared" si="97"/>
        <v>REZoning_Sol-Win</v>
      </c>
      <c r="AP771" t="s">
        <v>840</v>
      </c>
      <c r="AQ771" t="s">
        <v>57</v>
      </c>
      <c r="AR771">
        <v>2100</v>
      </c>
      <c r="AS771" t="s">
        <v>85</v>
      </c>
      <c r="AT771" t="s">
        <v>58</v>
      </c>
    </row>
    <row r="772" ht="29" spans="1:46">
      <c r="A772" s="31" t="s">
        <v>83</v>
      </c>
      <c r="C772" t="s">
        <v>841</v>
      </c>
      <c r="D772" s="5" t="s">
        <v>57</v>
      </c>
      <c r="E772">
        <v>2035</v>
      </c>
      <c r="F772" s="6" t="str">
        <f t="shared" ref="F772:F802" si="98">"*"&amp;IF(AND(A772="EU",E772=2035),0.63,IF(AND(A772="EU",E772=2050),0.54,IF(AND(A772="USA",E772=2035),0.64,IF(AND(A772="USA",E772=2050),0.54,IF(AND(A772="Japan",E772=2035),0.68,IF(AND(A772="Japan",E772=2050),0.58,IF(AND(A772="Russia",E772=2035),0.65,IF(AND(A772="Russia",E772=2050),0.54,IF(AND(A772="China",E772=2035),0.61,IF(AND(A772="China",E772=2050),0.49,IF(AND(A772="India",E772=2035),0.6,IF(AND(A772="India",E772=2050),0.49,IF(AND(A772="Middle East",E772=2035),0.6,IF(AND(A772="Middle East",E772=2050),0.5,IF(AND(A772="Africa",E772=2035),0.61,IF(AND(A772="Africa",E772=2050),0.5,IF(AND(A772="Brazil",E772=2035),0.64,IF(AND(A772="Brazil",E772=2050),0.54,""))))))))))))))))))</f>
        <v>*0.64</v>
      </c>
      <c r="H772" t="s">
        <v>841</v>
      </c>
      <c r="I772" s="5" t="s">
        <v>57</v>
      </c>
      <c r="J772">
        <v>2050</v>
      </c>
      <c r="K772" s="38" t="str">
        <f t="shared" ref="K772:K802" si="99">"*"&amp;IF(AND(A772="EU",J772=2035),0.63,IF(AND(A772="EU",J772=2050),0.54,IF(AND(A772="USA",J772=2035),0.64,IF(AND(A772="USA",J772=2050),0.54,IF(AND(A772="Japan",J772=2035),0.68,IF(AND(A772="Japan",J772=2050),0.58,IF(AND(A772="Russia",J772=2035),0.65,IF(AND(A772="Russia",J772=2050),0.54,IF(AND(A772="China",J772=2035),0.61,IF(AND(A772="China",J772=2050),0.49,IF(AND(A772="India",J772=2035),0.6,IF(AND(A772="India",J772=2050),0.49,IF(AND(A772="Middle East",J772=2035),0.6,IF(AND(A772="Middle East",J772=2050),0.5,IF(AND(A772="Africa",J772=2035),0.61,IF(AND(A772="Africa",J772=2050),0.5,IF(AND(A772="Brazil",J772=2035),0.64,IF(AND(A772="Brazil",J772=2050),0.54,""))))))))))))))))))</f>
        <v>*0.54</v>
      </c>
      <c r="P772" s="32" t="s">
        <v>841</v>
      </c>
      <c r="Q772" s="42" t="s">
        <v>57</v>
      </c>
      <c r="R772" s="32">
        <v>2035</v>
      </c>
      <c r="S772" s="43" t="str">
        <f t="shared" ref="S772:S802" si="100">"*"&amp;IF(AND(A772="EU",R772=2035),0.62,IF(AND(A772="EU",R772=2050),0.51,IF(AND(A772="USA",R772=2035),0.62,IF(AND(A772="USA",R772=2050),0.5,IF(AND(A772="Japan",R772=2035),0.65,IF(AND(A772="Japan",R772=2050),0.55,IF(AND(A772="Russia",R772=2035),0.63,IF(AND(A772="Russia",R772=2050),0.52,IF(AND(A772="China",R772=2035),0.59,IF(AND(A772="China",R772=2050),0.47,IF(AND(A772="India",R772=2035),0.58,IF(AND(A772="India",R772=2050),0.47,IF(AND(A772="Middle East",R772=2035),0.59,IF(AND(A772="Middle East",R772=2050),0.47,IF(AND(A772="Africa",R772=2035),0.58,IF(AND(A772="Africa",R772=2050),0.47,IF(AND(A772="Brazil",R772=2035),0.64,IF(AND(A772="Brazil",R772=2050),0.53,""))))))))))))))))))</f>
        <v>*0.64</v>
      </c>
      <c r="U772" s="32" t="s">
        <v>841</v>
      </c>
      <c r="V772" s="42" t="s">
        <v>57</v>
      </c>
      <c r="W772" s="32">
        <v>2050</v>
      </c>
      <c r="X772" s="43" t="str">
        <f t="shared" ref="X772:X802" si="101">"*"&amp;IF(AND(A772="EU",W772=2035),0.62,IF(AND(A772="EU",W772=2050),0.51,IF(AND(A772="USA",W772=2035),0.62,IF(AND(A772="USA",W772=2050),0.5,IF(AND(A772="Japan",W772=2035),0.65,IF(AND(A772="Japan",W772=2050),0.55,IF(AND(A772="Russia",W772=2035),0.63,IF(AND(A772="Russia",W772=2050),0.52,IF(AND(A772="China",W772=2035),0.59,IF(AND(A772="China",W772=2050),0.47,IF(AND(A772="India",W772=2035),0.58,IF(AND(A772="India",W772=2050),0.47,IF(AND(A772="Middle East",W772=2035),0.59,IF(AND(A772="Middle East",W772=2050),0.47,IF(AND(A772="Africa",W772=2035),0.58,IF(AND(A772="Africa",W772=2050),0.47,IF(AND(A772="Brazil",W772=2035),0.64,IF(AND(A772="Brazil",W772=2050),0.53,""))))))))))))))))))</f>
        <v>*0.53</v>
      </c>
      <c r="AC772" s="33" t="s">
        <v>841</v>
      </c>
      <c r="AD772" s="44" t="s">
        <v>57</v>
      </c>
      <c r="AE772" s="33">
        <v>2035</v>
      </c>
      <c r="AF772" s="45" t="str">
        <f t="shared" ref="AF772:AF802" si="102">"*"&amp;IF(AND(A772="EU",AE772=2035),0.58,IF(AND(A772="EU",AE772=2050),0.49,IF(AND(A772="USA",AE772=2035),0.56,IF(AND(A772="USA",AE772=2050),0.45,IF(AND(A772="Japan",AE772=2035),0.62,IF(AND(A772="Japan",AE772=2050),0.51,IF(AND(A772="Russia",AE772=2035),0.55,IF(AND(A772="Russia",AE772=2050),0.41,IF(AND(A772="China",AE772=2035),0.54,IF(AND(A772="China",AE772=2050),0.44,IF(AND(A772="India",AE772=2035),0.55,IF(AND(A772="India",AE772=2050),0.42,IF(AND(A772="Middle East",AE772=2035),0.53,IF(AND(A772="Middle East",AE772=2050),0.41,IF(AND(A772="Africa",AE772=2035),0.53,IF(AND(A772="Africa",AE772=2050),0.41,IF(AND(A772="Brazil",AE772=2035),0.6,IF(AND(A772="Brazil",AE772=2050),0.5,""))))))))))))))))))</f>
        <v>*0.6</v>
      </c>
      <c r="AG772" s="43" t="str">
        <f t="shared" si="96"/>
        <v>REZoning_Sol-Win</v>
      </c>
      <c r="AI772" s="33" t="s">
        <v>841</v>
      </c>
      <c r="AJ772" s="44" t="s">
        <v>57</v>
      </c>
      <c r="AK772" s="33">
        <v>2050</v>
      </c>
      <c r="AL772" s="45" t="str">
        <f t="shared" ref="AL772:AL802" si="103">"*"&amp;IF(AND(A772="EU",AK772=2035),0.58,IF(AND(A772="EU",AK772=2050),0.49,IF(AND(A772="USA",AK772=2035),0.56,IF(AND(A772="USA",AK772=2050),0.45,IF(AND(A772="Japan",AK772=2035),0.62,IF(AND(A772="Japan",AK772=2050),0.51,IF(AND(A772="Russia",AK772=2035),0.55,IF(AND(A772="Russia",AK772=2050),0.41,IF(AND(A772="China",AK772=2035),0.54,IF(AND(A772="China",AK772=2050),0.44,IF(AND(A772="India",AK772=2035),0.55,IF(AND(A772="India",AK772=2050),0.42,IF(AND(A772="Middle East",AK772=2035),0.53,IF(AND(A772="Middle East",AK772=2050),0.41,IF(AND(A772="Africa",AK772=2035),0.53,IF(AND(A772="Africa",AK772=2050),0.41,IF(AND(A772="Brazil",AK772=2035),0.6,IF(AND(A772="Brazil",AK772=2050),0.5,""))))))))))))))))))</f>
        <v>*0.5</v>
      </c>
      <c r="AM772" s="43" t="str">
        <f t="shared" si="97"/>
        <v>REZoning_Sol-Win</v>
      </c>
      <c r="AP772" t="s">
        <v>841</v>
      </c>
      <c r="AQ772" t="s">
        <v>57</v>
      </c>
      <c r="AR772">
        <v>2100</v>
      </c>
      <c r="AS772" t="s">
        <v>85</v>
      </c>
      <c r="AT772" t="s">
        <v>58</v>
      </c>
    </row>
    <row r="773" ht="29" spans="1:46">
      <c r="A773" s="31" t="s">
        <v>83</v>
      </c>
      <c r="C773" t="s">
        <v>842</v>
      </c>
      <c r="D773" s="5" t="s">
        <v>57</v>
      </c>
      <c r="E773">
        <v>2035</v>
      </c>
      <c r="F773" s="6" t="str">
        <f t="shared" si="98"/>
        <v>*0.64</v>
      </c>
      <c r="H773" t="s">
        <v>842</v>
      </c>
      <c r="I773" s="5" t="s">
        <v>57</v>
      </c>
      <c r="J773">
        <v>2050</v>
      </c>
      <c r="K773" s="38" t="str">
        <f t="shared" si="99"/>
        <v>*0.54</v>
      </c>
      <c r="P773" s="32" t="s">
        <v>842</v>
      </c>
      <c r="Q773" s="42" t="s">
        <v>57</v>
      </c>
      <c r="R773" s="32">
        <v>2035</v>
      </c>
      <c r="S773" s="43" t="str">
        <f t="shared" si="100"/>
        <v>*0.64</v>
      </c>
      <c r="U773" s="32" t="s">
        <v>842</v>
      </c>
      <c r="V773" s="42" t="s">
        <v>57</v>
      </c>
      <c r="W773" s="32">
        <v>2050</v>
      </c>
      <c r="X773" s="43" t="str">
        <f t="shared" si="101"/>
        <v>*0.53</v>
      </c>
      <c r="AC773" s="33" t="s">
        <v>842</v>
      </c>
      <c r="AD773" s="44" t="s">
        <v>57</v>
      </c>
      <c r="AE773" s="33">
        <v>2035</v>
      </c>
      <c r="AF773" s="45" t="str">
        <f t="shared" si="102"/>
        <v>*0.6</v>
      </c>
      <c r="AG773" s="43" t="str">
        <f t="shared" si="96"/>
        <v>REZoning_Sol-Win</v>
      </c>
      <c r="AI773" s="33" t="s">
        <v>842</v>
      </c>
      <c r="AJ773" s="44" t="s">
        <v>57</v>
      </c>
      <c r="AK773" s="33">
        <v>2050</v>
      </c>
      <c r="AL773" s="45" t="str">
        <f t="shared" si="103"/>
        <v>*0.5</v>
      </c>
      <c r="AM773" s="43" t="str">
        <f t="shared" si="97"/>
        <v>REZoning_Sol-Win</v>
      </c>
      <c r="AP773" t="s">
        <v>842</v>
      </c>
      <c r="AQ773" t="s">
        <v>57</v>
      </c>
      <c r="AR773">
        <v>2100</v>
      </c>
      <c r="AS773" t="s">
        <v>85</v>
      </c>
      <c r="AT773" t="s">
        <v>58</v>
      </c>
    </row>
    <row r="774" ht="29" spans="1:46">
      <c r="A774" s="31" t="s">
        <v>83</v>
      </c>
      <c r="C774" t="s">
        <v>843</v>
      </c>
      <c r="D774" s="5" t="s">
        <v>57</v>
      </c>
      <c r="E774">
        <v>2035</v>
      </c>
      <c r="F774" s="6" t="str">
        <f t="shared" si="98"/>
        <v>*0.64</v>
      </c>
      <c r="H774" t="s">
        <v>843</v>
      </c>
      <c r="I774" s="5" t="s">
        <v>57</v>
      </c>
      <c r="J774">
        <v>2050</v>
      </c>
      <c r="K774" s="38" t="str">
        <f t="shared" si="99"/>
        <v>*0.54</v>
      </c>
      <c r="P774" s="32" t="s">
        <v>843</v>
      </c>
      <c r="Q774" s="42" t="s">
        <v>57</v>
      </c>
      <c r="R774" s="32">
        <v>2035</v>
      </c>
      <c r="S774" s="43" t="str">
        <f t="shared" si="100"/>
        <v>*0.64</v>
      </c>
      <c r="U774" s="32" t="s">
        <v>843</v>
      </c>
      <c r="V774" s="42" t="s">
        <v>57</v>
      </c>
      <c r="W774" s="32">
        <v>2050</v>
      </c>
      <c r="X774" s="43" t="str">
        <f t="shared" si="101"/>
        <v>*0.53</v>
      </c>
      <c r="AC774" s="33" t="s">
        <v>843</v>
      </c>
      <c r="AD774" s="44" t="s">
        <v>57</v>
      </c>
      <c r="AE774" s="33">
        <v>2035</v>
      </c>
      <c r="AF774" s="45" t="str">
        <f t="shared" si="102"/>
        <v>*0.6</v>
      </c>
      <c r="AG774" s="43" t="str">
        <f t="shared" si="96"/>
        <v>REZoning_Sol-Win</v>
      </c>
      <c r="AI774" s="33" t="s">
        <v>843</v>
      </c>
      <c r="AJ774" s="44" t="s">
        <v>57</v>
      </c>
      <c r="AK774" s="33">
        <v>2050</v>
      </c>
      <c r="AL774" s="45" t="str">
        <f t="shared" si="103"/>
        <v>*0.5</v>
      </c>
      <c r="AM774" s="43" t="str">
        <f t="shared" si="97"/>
        <v>REZoning_Sol-Win</v>
      </c>
      <c r="AP774" t="s">
        <v>843</v>
      </c>
      <c r="AQ774" t="s">
        <v>57</v>
      </c>
      <c r="AR774">
        <v>2100</v>
      </c>
      <c r="AS774" t="s">
        <v>85</v>
      </c>
      <c r="AT774" t="s">
        <v>58</v>
      </c>
    </row>
    <row r="775" ht="29" spans="1:46">
      <c r="A775" s="31" t="s">
        <v>83</v>
      </c>
      <c r="C775" t="s">
        <v>844</v>
      </c>
      <c r="D775" s="5" t="s">
        <v>57</v>
      </c>
      <c r="E775">
        <v>2035</v>
      </c>
      <c r="F775" s="6" t="str">
        <f t="shared" si="98"/>
        <v>*0.64</v>
      </c>
      <c r="H775" t="s">
        <v>844</v>
      </c>
      <c r="I775" s="5" t="s">
        <v>57</v>
      </c>
      <c r="J775">
        <v>2050</v>
      </c>
      <c r="K775" s="38" t="str">
        <f t="shared" si="99"/>
        <v>*0.54</v>
      </c>
      <c r="P775" s="32" t="s">
        <v>844</v>
      </c>
      <c r="Q775" s="42" t="s">
        <v>57</v>
      </c>
      <c r="R775" s="32">
        <v>2035</v>
      </c>
      <c r="S775" s="43" t="str">
        <f t="shared" si="100"/>
        <v>*0.64</v>
      </c>
      <c r="U775" s="32" t="s">
        <v>844</v>
      </c>
      <c r="V775" s="42" t="s">
        <v>57</v>
      </c>
      <c r="W775" s="32">
        <v>2050</v>
      </c>
      <c r="X775" s="43" t="str">
        <f t="shared" si="101"/>
        <v>*0.53</v>
      </c>
      <c r="AC775" s="33" t="s">
        <v>844</v>
      </c>
      <c r="AD775" s="44" t="s">
        <v>57</v>
      </c>
      <c r="AE775" s="33">
        <v>2035</v>
      </c>
      <c r="AF775" s="45" t="str">
        <f t="shared" si="102"/>
        <v>*0.6</v>
      </c>
      <c r="AG775" s="43" t="str">
        <f t="shared" si="96"/>
        <v>REZoning_Sol-Win</v>
      </c>
      <c r="AI775" s="33" t="s">
        <v>844</v>
      </c>
      <c r="AJ775" s="44" t="s">
        <v>57</v>
      </c>
      <c r="AK775" s="33">
        <v>2050</v>
      </c>
      <c r="AL775" s="45" t="str">
        <f t="shared" si="103"/>
        <v>*0.5</v>
      </c>
      <c r="AM775" s="43" t="str">
        <f t="shared" si="97"/>
        <v>REZoning_Sol-Win</v>
      </c>
      <c r="AP775" t="s">
        <v>844</v>
      </c>
      <c r="AQ775" t="s">
        <v>57</v>
      </c>
      <c r="AR775">
        <v>2100</v>
      </c>
      <c r="AS775" t="s">
        <v>85</v>
      </c>
      <c r="AT775" t="s">
        <v>58</v>
      </c>
    </row>
    <row r="776" ht="29" spans="1:46">
      <c r="A776" s="31" t="s">
        <v>83</v>
      </c>
      <c r="C776" t="s">
        <v>845</v>
      </c>
      <c r="D776" s="5" t="s">
        <v>57</v>
      </c>
      <c r="E776">
        <v>2035</v>
      </c>
      <c r="F776" s="6" t="str">
        <f t="shared" si="98"/>
        <v>*0.64</v>
      </c>
      <c r="H776" t="s">
        <v>845</v>
      </c>
      <c r="I776" s="5" t="s">
        <v>57</v>
      </c>
      <c r="J776">
        <v>2050</v>
      </c>
      <c r="K776" s="38" t="str">
        <f t="shared" si="99"/>
        <v>*0.54</v>
      </c>
      <c r="P776" s="32" t="s">
        <v>845</v>
      </c>
      <c r="Q776" s="42" t="s">
        <v>57</v>
      </c>
      <c r="R776" s="32">
        <v>2035</v>
      </c>
      <c r="S776" s="43" t="str">
        <f t="shared" si="100"/>
        <v>*0.64</v>
      </c>
      <c r="U776" s="32" t="s">
        <v>845</v>
      </c>
      <c r="V776" s="42" t="s">
        <v>57</v>
      </c>
      <c r="W776" s="32">
        <v>2050</v>
      </c>
      <c r="X776" s="43" t="str">
        <f t="shared" si="101"/>
        <v>*0.53</v>
      </c>
      <c r="AC776" s="33" t="s">
        <v>845</v>
      </c>
      <c r="AD776" s="44" t="s">
        <v>57</v>
      </c>
      <c r="AE776" s="33">
        <v>2035</v>
      </c>
      <c r="AF776" s="45" t="str">
        <f t="shared" si="102"/>
        <v>*0.6</v>
      </c>
      <c r="AG776" s="43" t="str">
        <f t="shared" si="96"/>
        <v>REZoning_Sol-Win</v>
      </c>
      <c r="AI776" s="33" t="s">
        <v>845</v>
      </c>
      <c r="AJ776" s="44" t="s">
        <v>57</v>
      </c>
      <c r="AK776" s="33">
        <v>2050</v>
      </c>
      <c r="AL776" s="45" t="str">
        <f t="shared" si="103"/>
        <v>*0.5</v>
      </c>
      <c r="AM776" s="43" t="str">
        <f t="shared" si="97"/>
        <v>REZoning_Sol-Win</v>
      </c>
      <c r="AP776" t="s">
        <v>845</v>
      </c>
      <c r="AQ776" t="s">
        <v>57</v>
      </c>
      <c r="AR776">
        <v>2100</v>
      </c>
      <c r="AS776" t="s">
        <v>85</v>
      </c>
      <c r="AT776" t="s">
        <v>58</v>
      </c>
    </row>
    <row r="777" ht="29" spans="1:46">
      <c r="A777" s="31" t="s">
        <v>169</v>
      </c>
      <c r="C777" t="s">
        <v>846</v>
      </c>
      <c r="D777" s="5" t="s">
        <v>57</v>
      </c>
      <c r="E777">
        <v>2035</v>
      </c>
      <c r="F777" s="6" t="str">
        <f t="shared" si="98"/>
        <v>*0.61</v>
      </c>
      <c r="H777" t="s">
        <v>846</v>
      </c>
      <c r="I777" s="5" t="s">
        <v>57</v>
      </c>
      <c r="J777">
        <v>2050</v>
      </c>
      <c r="K777" s="38" t="str">
        <f t="shared" si="99"/>
        <v>*0.49</v>
      </c>
      <c r="P777" s="32" t="s">
        <v>846</v>
      </c>
      <c r="Q777" s="42" t="s">
        <v>57</v>
      </c>
      <c r="R777" s="32">
        <v>2035</v>
      </c>
      <c r="S777" s="43" t="str">
        <f t="shared" si="100"/>
        <v>*0.59</v>
      </c>
      <c r="U777" s="32" t="s">
        <v>846</v>
      </c>
      <c r="V777" s="42" t="s">
        <v>57</v>
      </c>
      <c r="W777" s="32">
        <v>2050</v>
      </c>
      <c r="X777" s="43" t="str">
        <f t="shared" si="101"/>
        <v>*0.47</v>
      </c>
      <c r="AC777" s="33" t="s">
        <v>846</v>
      </c>
      <c r="AD777" s="44" t="s">
        <v>57</v>
      </c>
      <c r="AE777" s="33">
        <v>2035</v>
      </c>
      <c r="AF777" s="45" t="str">
        <f t="shared" si="102"/>
        <v>*0.54</v>
      </c>
      <c r="AG777" s="43" t="str">
        <f t="shared" ref="AG777:AG802" si="104">AG776</f>
        <v>REZoning_Sol-Win</v>
      </c>
      <c r="AI777" s="33" t="s">
        <v>846</v>
      </c>
      <c r="AJ777" s="44" t="s">
        <v>57</v>
      </c>
      <c r="AK777" s="33">
        <v>2050</v>
      </c>
      <c r="AL777" s="45" t="str">
        <f t="shared" si="103"/>
        <v>*0.44</v>
      </c>
      <c r="AM777" s="43" t="str">
        <f t="shared" ref="AM777:AM802" si="105">AM776</f>
        <v>REZoning_Sol-Win</v>
      </c>
      <c r="AP777" t="s">
        <v>846</v>
      </c>
      <c r="AQ777" t="s">
        <v>57</v>
      </c>
      <c r="AR777">
        <v>2100</v>
      </c>
      <c r="AS777" t="s">
        <v>171</v>
      </c>
      <c r="AT777" t="s">
        <v>58</v>
      </c>
    </row>
    <row r="778" ht="29" spans="1:46">
      <c r="A778" s="31" t="s">
        <v>169</v>
      </c>
      <c r="C778" t="s">
        <v>847</v>
      </c>
      <c r="D778" s="5" t="s">
        <v>57</v>
      </c>
      <c r="E778">
        <v>2035</v>
      </c>
      <c r="F778" s="6" t="str">
        <f t="shared" si="98"/>
        <v>*0.61</v>
      </c>
      <c r="H778" t="s">
        <v>847</v>
      </c>
      <c r="I778" s="5" t="s">
        <v>57</v>
      </c>
      <c r="J778">
        <v>2050</v>
      </c>
      <c r="K778" s="38" t="str">
        <f t="shared" si="99"/>
        <v>*0.49</v>
      </c>
      <c r="P778" s="32" t="s">
        <v>847</v>
      </c>
      <c r="Q778" s="42" t="s">
        <v>57</v>
      </c>
      <c r="R778" s="32">
        <v>2035</v>
      </c>
      <c r="S778" s="43" t="str">
        <f t="shared" si="100"/>
        <v>*0.59</v>
      </c>
      <c r="U778" s="32" t="s">
        <v>847</v>
      </c>
      <c r="V778" s="42" t="s">
        <v>57</v>
      </c>
      <c r="W778" s="32">
        <v>2050</v>
      </c>
      <c r="X778" s="43" t="str">
        <f t="shared" si="101"/>
        <v>*0.47</v>
      </c>
      <c r="AC778" s="33" t="s">
        <v>847</v>
      </c>
      <c r="AD778" s="44" t="s">
        <v>57</v>
      </c>
      <c r="AE778" s="33">
        <v>2035</v>
      </c>
      <c r="AF778" s="45" t="str">
        <f t="shared" si="102"/>
        <v>*0.54</v>
      </c>
      <c r="AG778" s="43" t="str">
        <f t="shared" si="104"/>
        <v>REZoning_Sol-Win</v>
      </c>
      <c r="AI778" s="33" t="s">
        <v>847</v>
      </c>
      <c r="AJ778" s="44" t="s">
        <v>57</v>
      </c>
      <c r="AK778" s="33">
        <v>2050</v>
      </c>
      <c r="AL778" s="45" t="str">
        <f t="shared" si="103"/>
        <v>*0.44</v>
      </c>
      <c r="AM778" s="43" t="str">
        <f t="shared" si="105"/>
        <v>REZoning_Sol-Win</v>
      </c>
      <c r="AP778" t="s">
        <v>847</v>
      </c>
      <c r="AQ778" t="s">
        <v>57</v>
      </c>
      <c r="AR778">
        <v>2100</v>
      </c>
      <c r="AS778" t="s">
        <v>171</v>
      </c>
      <c r="AT778" t="s">
        <v>58</v>
      </c>
    </row>
    <row r="779" ht="29" spans="1:46">
      <c r="A779" s="31" t="s">
        <v>169</v>
      </c>
      <c r="C779" t="s">
        <v>848</v>
      </c>
      <c r="D779" s="5" t="s">
        <v>57</v>
      </c>
      <c r="E779">
        <v>2035</v>
      </c>
      <c r="F779" s="6" t="str">
        <f t="shared" si="98"/>
        <v>*0.61</v>
      </c>
      <c r="H779" t="s">
        <v>848</v>
      </c>
      <c r="I779" s="5" t="s">
        <v>57</v>
      </c>
      <c r="J779">
        <v>2050</v>
      </c>
      <c r="K779" s="38" t="str">
        <f t="shared" si="99"/>
        <v>*0.49</v>
      </c>
      <c r="P779" s="32" t="s">
        <v>848</v>
      </c>
      <c r="Q779" s="42" t="s">
        <v>57</v>
      </c>
      <c r="R779" s="32">
        <v>2035</v>
      </c>
      <c r="S779" s="43" t="str">
        <f t="shared" si="100"/>
        <v>*0.59</v>
      </c>
      <c r="U779" s="32" t="s">
        <v>848</v>
      </c>
      <c r="V779" s="42" t="s">
        <v>57</v>
      </c>
      <c r="W779" s="32">
        <v>2050</v>
      </c>
      <c r="X779" s="43" t="str">
        <f t="shared" si="101"/>
        <v>*0.47</v>
      </c>
      <c r="AC779" s="33" t="s">
        <v>848</v>
      </c>
      <c r="AD779" s="44" t="s">
        <v>57</v>
      </c>
      <c r="AE779" s="33">
        <v>2035</v>
      </c>
      <c r="AF779" s="45" t="str">
        <f t="shared" si="102"/>
        <v>*0.54</v>
      </c>
      <c r="AG779" s="43" t="str">
        <f t="shared" si="104"/>
        <v>REZoning_Sol-Win</v>
      </c>
      <c r="AI779" s="33" t="s">
        <v>848</v>
      </c>
      <c r="AJ779" s="44" t="s">
        <v>57</v>
      </c>
      <c r="AK779" s="33">
        <v>2050</v>
      </c>
      <c r="AL779" s="45" t="str">
        <f t="shared" si="103"/>
        <v>*0.44</v>
      </c>
      <c r="AM779" s="43" t="str">
        <f t="shared" si="105"/>
        <v>REZoning_Sol-Win</v>
      </c>
      <c r="AP779" t="s">
        <v>848</v>
      </c>
      <c r="AQ779" t="s">
        <v>57</v>
      </c>
      <c r="AR779">
        <v>2100</v>
      </c>
      <c r="AS779" t="s">
        <v>171</v>
      </c>
      <c r="AT779" t="s">
        <v>58</v>
      </c>
    </row>
    <row r="780" ht="29" spans="1:46">
      <c r="A780" s="31" t="s">
        <v>169</v>
      </c>
      <c r="C780" t="s">
        <v>849</v>
      </c>
      <c r="D780" s="5" t="s">
        <v>57</v>
      </c>
      <c r="E780">
        <v>2035</v>
      </c>
      <c r="F780" s="6" t="str">
        <f t="shared" si="98"/>
        <v>*0.61</v>
      </c>
      <c r="H780" t="s">
        <v>849</v>
      </c>
      <c r="I780" s="5" t="s">
        <v>57</v>
      </c>
      <c r="J780">
        <v>2050</v>
      </c>
      <c r="K780" s="38" t="str">
        <f t="shared" si="99"/>
        <v>*0.49</v>
      </c>
      <c r="P780" s="32" t="s">
        <v>849</v>
      </c>
      <c r="Q780" s="42" t="s">
        <v>57</v>
      </c>
      <c r="R780" s="32">
        <v>2035</v>
      </c>
      <c r="S780" s="43" t="str">
        <f t="shared" si="100"/>
        <v>*0.59</v>
      </c>
      <c r="U780" s="32" t="s">
        <v>849</v>
      </c>
      <c r="V780" s="42" t="s">
        <v>57</v>
      </c>
      <c r="W780" s="32">
        <v>2050</v>
      </c>
      <c r="X780" s="43" t="str">
        <f t="shared" si="101"/>
        <v>*0.47</v>
      </c>
      <c r="AC780" s="33" t="s">
        <v>849</v>
      </c>
      <c r="AD780" s="44" t="s">
        <v>57</v>
      </c>
      <c r="AE780" s="33">
        <v>2035</v>
      </c>
      <c r="AF780" s="45" t="str">
        <f t="shared" si="102"/>
        <v>*0.54</v>
      </c>
      <c r="AG780" s="43" t="str">
        <f t="shared" si="104"/>
        <v>REZoning_Sol-Win</v>
      </c>
      <c r="AI780" s="33" t="s">
        <v>849</v>
      </c>
      <c r="AJ780" s="44" t="s">
        <v>57</v>
      </c>
      <c r="AK780" s="33">
        <v>2050</v>
      </c>
      <c r="AL780" s="45" t="str">
        <f t="shared" si="103"/>
        <v>*0.44</v>
      </c>
      <c r="AM780" s="43" t="str">
        <f t="shared" si="105"/>
        <v>REZoning_Sol-Win</v>
      </c>
      <c r="AP780" t="s">
        <v>849</v>
      </c>
      <c r="AQ780" t="s">
        <v>57</v>
      </c>
      <c r="AR780">
        <v>2100</v>
      </c>
      <c r="AS780" t="s">
        <v>171</v>
      </c>
      <c r="AT780" t="s">
        <v>58</v>
      </c>
    </row>
    <row r="781" ht="29" spans="1:46">
      <c r="A781" s="31" t="s">
        <v>169</v>
      </c>
      <c r="C781" t="s">
        <v>850</v>
      </c>
      <c r="D781" s="5" t="s">
        <v>57</v>
      </c>
      <c r="E781">
        <v>2035</v>
      </c>
      <c r="F781" s="6" t="str">
        <f t="shared" si="98"/>
        <v>*0.61</v>
      </c>
      <c r="H781" t="s">
        <v>850</v>
      </c>
      <c r="I781" s="5" t="s">
        <v>57</v>
      </c>
      <c r="J781">
        <v>2050</v>
      </c>
      <c r="K781" s="38" t="str">
        <f t="shared" si="99"/>
        <v>*0.49</v>
      </c>
      <c r="P781" s="32" t="s">
        <v>850</v>
      </c>
      <c r="Q781" s="42" t="s">
        <v>57</v>
      </c>
      <c r="R781" s="32">
        <v>2035</v>
      </c>
      <c r="S781" s="43" t="str">
        <f t="shared" si="100"/>
        <v>*0.59</v>
      </c>
      <c r="U781" s="32" t="s">
        <v>850</v>
      </c>
      <c r="V781" s="42" t="s">
        <v>57</v>
      </c>
      <c r="W781" s="32">
        <v>2050</v>
      </c>
      <c r="X781" s="43" t="str">
        <f t="shared" si="101"/>
        <v>*0.47</v>
      </c>
      <c r="AC781" s="33" t="s">
        <v>850</v>
      </c>
      <c r="AD781" s="44" t="s">
        <v>57</v>
      </c>
      <c r="AE781" s="33">
        <v>2035</v>
      </c>
      <c r="AF781" s="45" t="str">
        <f t="shared" si="102"/>
        <v>*0.54</v>
      </c>
      <c r="AG781" s="43" t="str">
        <f t="shared" si="104"/>
        <v>REZoning_Sol-Win</v>
      </c>
      <c r="AI781" s="33" t="s">
        <v>850</v>
      </c>
      <c r="AJ781" s="44" t="s">
        <v>57</v>
      </c>
      <c r="AK781" s="33">
        <v>2050</v>
      </c>
      <c r="AL781" s="45" t="str">
        <f t="shared" si="103"/>
        <v>*0.44</v>
      </c>
      <c r="AM781" s="43" t="str">
        <f t="shared" si="105"/>
        <v>REZoning_Sol-Win</v>
      </c>
      <c r="AP781" t="s">
        <v>850</v>
      </c>
      <c r="AQ781" t="s">
        <v>57</v>
      </c>
      <c r="AR781">
        <v>2100</v>
      </c>
      <c r="AS781" t="s">
        <v>171</v>
      </c>
      <c r="AT781" t="s">
        <v>58</v>
      </c>
    </row>
    <row r="782" ht="29" spans="1:46">
      <c r="A782" s="31" t="s">
        <v>169</v>
      </c>
      <c r="C782" t="s">
        <v>851</v>
      </c>
      <c r="D782" s="5" t="s">
        <v>57</v>
      </c>
      <c r="E782">
        <v>2035</v>
      </c>
      <c r="F782" s="6" t="str">
        <f t="shared" si="98"/>
        <v>*0.61</v>
      </c>
      <c r="H782" t="s">
        <v>851</v>
      </c>
      <c r="I782" s="5" t="s">
        <v>57</v>
      </c>
      <c r="J782">
        <v>2050</v>
      </c>
      <c r="K782" s="38" t="str">
        <f t="shared" si="99"/>
        <v>*0.49</v>
      </c>
      <c r="P782" s="32" t="s">
        <v>851</v>
      </c>
      <c r="Q782" s="42" t="s">
        <v>57</v>
      </c>
      <c r="R782" s="32">
        <v>2035</v>
      </c>
      <c r="S782" s="43" t="str">
        <f t="shared" si="100"/>
        <v>*0.59</v>
      </c>
      <c r="U782" s="32" t="s">
        <v>851</v>
      </c>
      <c r="V782" s="42" t="s">
        <v>57</v>
      </c>
      <c r="W782" s="32">
        <v>2050</v>
      </c>
      <c r="X782" s="43" t="str">
        <f t="shared" si="101"/>
        <v>*0.47</v>
      </c>
      <c r="AC782" s="33" t="s">
        <v>851</v>
      </c>
      <c r="AD782" s="44" t="s">
        <v>57</v>
      </c>
      <c r="AE782" s="33">
        <v>2035</v>
      </c>
      <c r="AF782" s="45" t="str">
        <f t="shared" si="102"/>
        <v>*0.54</v>
      </c>
      <c r="AG782" s="43" t="str">
        <f t="shared" si="104"/>
        <v>REZoning_Sol-Win</v>
      </c>
      <c r="AI782" s="33" t="s">
        <v>851</v>
      </c>
      <c r="AJ782" s="44" t="s">
        <v>57</v>
      </c>
      <c r="AK782" s="33">
        <v>2050</v>
      </c>
      <c r="AL782" s="45" t="str">
        <f t="shared" si="103"/>
        <v>*0.44</v>
      </c>
      <c r="AM782" s="43" t="str">
        <f t="shared" si="105"/>
        <v>REZoning_Sol-Win</v>
      </c>
      <c r="AP782" t="s">
        <v>851</v>
      </c>
      <c r="AQ782" t="s">
        <v>57</v>
      </c>
      <c r="AR782">
        <v>2100</v>
      </c>
      <c r="AS782" t="s">
        <v>171</v>
      </c>
      <c r="AT782" t="s">
        <v>58</v>
      </c>
    </row>
    <row r="783" ht="29" spans="1:46">
      <c r="A783" s="31" t="s">
        <v>169</v>
      </c>
      <c r="C783" t="s">
        <v>852</v>
      </c>
      <c r="D783" s="5" t="s">
        <v>57</v>
      </c>
      <c r="E783">
        <v>2035</v>
      </c>
      <c r="F783" s="6" t="str">
        <f t="shared" si="98"/>
        <v>*0.61</v>
      </c>
      <c r="H783" t="s">
        <v>852</v>
      </c>
      <c r="I783" s="5" t="s">
        <v>57</v>
      </c>
      <c r="J783">
        <v>2050</v>
      </c>
      <c r="K783" s="38" t="str">
        <f t="shared" si="99"/>
        <v>*0.49</v>
      </c>
      <c r="P783" s="32" t="s">
        <v>852</v>
      </c>
      <c r="Q783" s="42" t="s">
        <v>57</v>
      </c>
      <c r="R783" s="32">
        <v>2035</v>
      </c>
      <c r="S783" s="43" t="str">
        <f t="shared" si="100"/>
        <v>*0.59</v>
      </c>
      <c r="U783" s="32" t="s">
        <v>852</v>
      </c>
      <c r="V783" s="42" t="s">
        <v>57</v>
      </c>
      <c r="W783" s="32">
        <v>2050</v>
      </c>
      <c r="X783" s="43" t="str">
        <f t="shared" si="101"/>
        <v>*0.47</v>
      </c>
      <c r="AC783" s="33" t="s">
        <v>852</v>
      </c>
      <c r="AD783" s="44" t="s">
        <v>57</v>
      </c>
      <c r="AE783" s="33">
        <v>2035</v>
      </c>
      <c r="AF783" s="45" t="str">
        <f t="shared" si="102"/>
        <v>*0.54</v>
      </c>
      <c r="AG783" s="43" t="str">
        <f t="shared" si="104"/>
        <v>REZoning_Sol-Win</v>
      </c>
      <c r="AI783" s="33" t="s">
        <v>852</v>
      </c>
      <c r="AJ783" s="44" t="s">
        <v>57</v>
      </c>
      <c r="AK783" s="33">
        <v>2050</v>
      </c>
      <c r="AL783" s="45" t="str">
        <f t="shared" si="103"/>
        <v>*0.44</v>
      </c>
      <c r="AM783" s="43" t="str">
        <f t="shared" si="105"/>
        <v>REZoning_Sol-Win</v>
      </c>
      <c r="AP783" t="s">
        <v>852</v>
      </c>
      <c r="AQ783" t="s">
        <v>57</v>
      </c>
      <c r="AR783">
        <v>2100</v>
      </c>
      <c r="AS783" t="s">
        <v>171</v>
      </c>
      <c r="AT783" t="s">
        <v>58</v>
      </c>
    </row>
    <row r="784" ht="29" spans="1:46">
      <c r="A784" s="31" t="s">
        <v>169</v>
      </c>
      <c r="C784" t="s">
        <v>853</v>
      </c>
      <c r="D784" s="5" t="s">
        <v>57</v>
      </c>
      <c r="E784">
        <v>2035</v>
      </c>
      <c r="F784" s="6" t="str">
        <f t="shared" si="98"/>
        <v>*0.61</v>
      </c>
      <c r="H784" t="s">
        <v>853</v>
      </c>
      <c r="I784" s="5" t="s">
        <v>57</v>
      </c>
      <c r="J784">
        <v>2050</v>
      </c>
      <c r="K784" s="38" t="str">
        <f t="shared" si="99"/>
        <v>*0.49</v>
      </c>
      <c r="P784" s="32" t="s">
        <v>853</v>
      </c>
      <c r="Q784" s="42" t="s">
        <v>57</v>
      </c>
      <c r="R784" s="32">
        <v>2035</v>
      </c>
      <c r="S784" s="43" t="str">
        <f t="shared" si="100"/>
        <v>*0.59</v>
      </c>
      <c r="U784" s="32" t="s">
        <v>853</v>
      </c>
      <c r="V784" s="42" t="s">
        <v>57</v>
      </c>
      <c r="W784" s="32">
        <v>2050</v>
      </c>
      <c r="X784" s="43" t="str">
        <f t="shared" si="101"/>
        <v>*0.47</v>
      </c>
      <c r="AC784" s="33" t="s">
        <v>853</v>
      </c>
      <c r="AD784" s="44" t="s">
        <v>57</v>
      </c>
      <c r="AE784" s="33">
        <v>2035</v>
      </c>
      <c r="AF784" s="45" t="str">
        <f t="shared" si="102"/>
        <v>*0.54</v>
      </c>
      <c r="AG784" s="43" t="str">
        <f t="shared" si="104"/>
        <v>REZoning_Sol-Win</v>
      </c>
      <c r="AI784" s="33" t="s">
        <v>853</v>
      </c>
      <c r="AJ784" s="44" t="s">
        <v>57</v>
      </c>
      <c r="AK784" s="33">
        <v>2050</v>
      </c>
      <c r="AL784" s="45" t="str">
        <f t="shared" si="103"/>
        <v>*0.44</v>
      </c>
      <c r="AM784" s="43" t="str">
        <f t="shared" si="105"/>
        <v>REZoning_Sol-Win</v>
      </c>
      <c r="AP784" t="s">
        <v>853</v>
      </c>
      <c r="AQ784" t="s">
        <v>57</v>
      </c>
      <c r="AR784">
        <v>2100</v>
      </c>
      <c r="AS784" t="s">
        <v>171</v>
      </c>
      <c r="AT784" t="s">
        <v>58</v>
      </c>
    </row>
    <row r="785" ht="29" spans="1:46">
      <c r="A785" s="31" t="s">
        <v>169</v>
      </c>
      <c r="C785" t="s">
        <v>854</v>
      </c>
      <c r="D785" s="5" t="s">
        <v>57</v>
      </c>
      <c r="E785">
        <v>2035</v>
      </c>
      <c r="F785" s="6" t="str">
        <f t="shared" si="98"/>
        <v>*0.61</v>
      </c>
      <c r="H785" t="s">
        <v>854</v>
      </c>
      <c r="I785" s="5" t="s">
        <v>57</v>
      </c>
      <c r="J785">
        <v>2050</v>
      </c>
      <c r="K785" s="38" t="str">
        <f t="shared" si="99"/>
        <v>*0.49</v>
      </c>
      <c r="P785" s="32" t="s">
        <v>854</v>
      </c>
      <c r="Q785" s="42" t="s">
        <v>57</v>
      </c>
      <c r="R785" s="32">
        <v>2035</v>
      </c>
      <c r="S785" s="43" t="str">
        <f t="shared" si="100"/>
        <v>*0.59</v>
      </c>
      <c r="U785" s="32" t="s">
        <v>854</v>
      </c>
      <c r="V785" s="42" t="s">
        <v>57</v>
      </c>
      <c r="W785" s="32">
        <v>2050</v>
      </c>
      <c r="X785" s="43" t="str">
        <f t="shared" si="101"/>
        <v>*0.47</v>
      </c>
      <c r="AC785" s="33" t="s">
        <v>854</v>
      </c>
      <c r="AD785" s="44" t="s">
        <v>57</v>
      </c>
      <c r="AE785" s="33">
        <v>2035</v>
      </c>
      <c r="AF785" s="45" t="str">
        <f t="shared" si="102"/>
        <v>*0.54</v>
      </c>
      <c r="AG785" s="43" t="str">
        <f t="shared" si="104"/>
        <v>REZoning_Sol-Win</v>
      </c>
      <c r="AI785" s="33" t="s">
        <v>854</v>
      </c>
      <c r="AJ785" s="44" t="s">
        <v>57</v>
      </c>
      <c r="AK785" s="33">
        <v>2050</v>
      </c>
      <c r="AL785" s="45" t="str">
        <f t="shared" si="103"/>
        <v>*0.44</v>
      </c>
      <c r="AM785" s="43" t="str">
        <f t="shared" si="105"/>
        <v>REZoning_Sol-Win</v>
      </c>
      <c r="AP785" t="s">
        <v>854</v>
      </c>
      <c r="AQ785" t="s">
        <v>57</v>
      </c>
      <c r="AR785">
        <v>2100</v>
      </c>
      <c r="AS785" t="s">
        <v>171</v>
      </c>
      <c r="AT785" t="s">
        <v>58</v>
      </c>
    </row>
    <row r="786" ht="29" spans="1:46">
      <c r="A786" s="31" t="s">
        <v>169</v>
      </c>
      <c r="C786" t="s">
        <v>855</v>
      </c>
      <c r="D786" s="5" t="s">
        <v>57</v>
      </c>
      <c r="E786">
        <v>2035</v>
      </c>
      <c r="F786" s="6" t="str">
        <f t="shared" si="98"/>
        <v>*0.61</v>
      </c>
      <c r="H786" t="s">
        <v>855</v>
      </c>
      <c r="I786" s="5" t="s">
        <v>57</v>
      </c>
      <c r="J786">
        <v>2050</v>
      </c>
      <c r="K786" s="38" t="str">
        <f t="shared" si="99"/>
        <v>*0.49</v>
      </c>
      <c r="P786" s="32" t="s">
        <v>855</v>
      </c>
      <c r="Q786" s="42" t="s">
        <v>57</v>
      </c>
      <c r="R786" s="32">
        <v>2035</v>
      </c>
      <c r="S786" s="43" t="str">
        <f t="shared" si="100"/>
        <v>*0.59</v>
      </c>
      <c r="U786" s="32" t="s">
        <v>855</v>
      </c>
      <c r="V786" s="42" t="s">
        <v>57</v>
      </c>
      <c r="W786" s="32">
        <v>2050</v>
      </c>
      <c r="X786" s="43" t="str">
        <f t="shared" si="101"/>
        <v>*0.47</v>
      </c>
      <c r="AC786" s="33" t="s">
        <v>855</v>
      </c>
      <c r="AD786" s="44" t="s">
        <v>57</v>
      </c>
      <c r="AE786" s="33">
        <v>2035</v>
      </c>
      <c r="AF786" s="45" t="str">
        <f t="shared" si="102"/>
        <v>*0.54</v>
      </c>
      <c r="AG786" s="43" t="str">
        <f t="shared" si="104"/>
        <v>REZoning_Sol-Win</v>
      </c>
      <c r="AI786" s="33" t="s">
        <v>855</v>
      </c>
      <c r="AJ786" s="44" t="s">
        <v>57</v>
      </c>
      <c r="AK786" s="33">
        <v>2050</v>
      </c>
      <c r="AL786" s="45" t="str">
        <f t="shared" si="103"/>
        <v>*0.44</v>
      </c>
      <c r="AM786" s="43" t="str">
        <f t="shared" si="105"/>
        <v>REZoning_Sol-Win</v>
      </c>
      <c r="AP786" t="s">
        <v>855</v>
      </c>
      <c r="AQ786" t="s">
        <v>57</v>
      </c>
      <c r="AR786">
        <v>2100</v>
      </c>
      <c r="AS786" t="s">
        <v>171</v>
      </c>
      <c r="AT786" t="s">
        <v>58</v>
      </c>
    </row>
    <row r="787" ht="29" spans="1:46">
      <c r="A787" s="31" t="s">
        <v>169</v>
      </c>
      <c r="C787" t="s">
        <v>856</v>
      </c>
      <c r="D787" s="5" t="s">
        <v>57</v>
      </c>
      <c r="E787">
        <v>2035</v>
      </c>
      <c r="F787" s="6" t="str">
        <f t="shared" si="98"/>
        <v>*0.61</v>
      </c>
      <c r="H787" t="s">
        <v>856</v>
      </c>
      <c r="I787" s="5" t="s">
        <v>57</v>
      </c>
      <c r="J787">
        <v>2050</v>
      </c>
      <c r="K787" s="38" t="str">
        <f t="shared" si="99"/>
        <v>*0.49</v>
      </c>
      <c r="P787" s="32" t="s">
        <v>856</v>
      </c>
      <c r="Q787" s="42" t="s">
        <v>57</v>
      </c>
      <c r="R787" s="32">
        <v>2035</v>
      </c>
      <c r="S787" s="43" t="str">
        <f t="shared" si="100"/>
        <v>*0.59</v>
      </c>
      <c r="U787" s="32" t="s">
        <v>856</v>
      </c>
      <c r="V787" s="42" t="s">
        <v>57</v>
      </c>
      <c r="W787" s="32">
        <v>2050</v>
      </c>
      <c r="X787" s="43" t="str">
        <f t="shared" si="101"/>
        <v>*0.47</v>
      </c>
      <c r="AC787" s="33" t="s">
        <v>856</v>
      </c>
      <c r="AD787" s="44" t="s">
        <v>57</v>
      </c>
      <c r="AE787" s="33">
        <v>2035</v>
      </c>
      <c r="AF787" s="45" t="str">
        <f t="shared" si="102"/>
        <v>*0.54</v>
      </c>
      <c r="AG787" s="43" t="str">
        <f t="shared" si="104"/>
        <v>REZoning_Sol-Win</v>
      </c>
      <c r="AI787" s="33" t="s">
        <v>856</v>
      </c>
      <c r="AJ787" s="44" t="s">
        <v>57</v>
      </c>
      <c r="AK787" s="33">
        <v>2050</v>
      </c>
      <c r="AL787" s="45" t="str">
        <f t="shared" si="103"/>
        <v>*0.44</v>
      </c>
      <c r="AM787" s="43" t="str">
        <f t="shared" si="105"/>
        <v>REZoning_Sol-Win</v>
      </c>
      <c r="AP787" t="s">
        <v>856</v>
      </c>
      <c r="AQ787" t="s">
        <v>57</v>
      </c>
      <c r="AR787">
        <v>2100</v>
      </c>
      <c r="AS787" t="s">
        <v>171</v>
      </c>
      <c r="AT787" t="s">
        <v>58</v>
      </c>
    </row>
    <row r="788" ht="29" spans="1:46">
      <c r="A788" s="31" t="s">
        <v>169</v>
      </c>
      <c r="C788" t="s">
        <v>857</v>
      </c>
      <c r="D788" s="5" t="s">
        <v>57</v>
      </c>
      <c r="E788">
        <v>2035</v>
      </c>
      <c r="F788" s="6" t="str">
        <f t="shared" si="98"/>
        <v>*0.61</v>
      </c>
      <c r="H788" t="s">
        <v>857</v>
      </c>
      <c r="I788" s="5" t="s">
        <v>57</v>
      </c>
      <c r="J788">
        <v>2050</v>
      </c>
      <c r="K788" s="38" t="str">
        <f t="shared" si="99"/>
        <v>*0.49</v>
      </c>
      <c r="P788" s="32" t="s">
        <v>857</v>
      </c>
      <c r="Q788" s="42" t="s">
        <v>57</v>
      </c>
      <c r="R788" s="32">
        <v>2035</v>
      </c>
      <c r="S788" s="43" t="str">
        <f t="shared" si="100"/>
        <v>*0.59</v>
      </c>
      <c r="U788" s="32" t="s">
        <v>857</v>
      </c>
      <c r="V788" s="42" t="s">
        <v>57</v>
      </c>
      <c r="W788" s="32">
        <v>2050</v>
      </c>
      <c r="X788" s="43" t="str">
        <f t="shared" si="101"/>
        <v>*0.47</v>
      </c>
      <c r="AC788" s="33" t="s">
        <v>857</v>
      </c>
      <c r="AD788" s="44" t="s">
        <v>57</v>
      </c>
      <c r="AE788" s="33">
        <v>2035</v>
      </c>
      <c r="AF788" s="45" t="str">
        <f t="shared" si="102"/>
        <v>*0.54</v>
      </c>
      <c r="AG788" s="43" t="str">
        <f t="shared" si="104"/>
        <v>REZoning_Sol-Win</v>
      </c>
      <c r="AI788" s="33" t="s">
        <v>857</v>
      </c>
      <c r="AJ788" s="44" t="s">
        <v>57</v>
      </c>
      <c r="AK788" s="33">
        <v>2050</v>
      </c>
      <c r="AL788" s="45" t="str">
        <f t="shared" si="103"/>
        <v>*0.44</v>
      </c>
      <c r="AM788" s="43" t="str">
        <f t="shared" si="105"/>
        <v>REZoning_Sol-Win</v>
      </c>
      <c r="AP788" t="s">
        <v>857</v>
      </c>
      <c r="AQ788" t="s">
        <v>57</v>
      </c>
      <c r="AR788">
        <v>2100</v>
      </c>
      <c r="AS788" t="s">
        <v>171</v>
      </c>
      <c r="AT788" t="s">
        <v>58</v>
      </c>
    </row>
    <row r="789" ht="29" spans="1:46">
      <c r="A789" s="31" t="s">
        <v>79</v>
      </c>
      <c r="C789" t="s">
        <v>858</v>
      </c>
      <c r="D789" s="5" t="s">
        <v>57</v>
      </c>
      <c r="E789">
        <v>2035</v>
      </c>
      <c r="F789" s="6" t="str">
        <f t="shared" si="98"/>
        <v>*0.6</v>
      </c>
      <c r="H789" t="s">
        <v>858</v>
      </c>
      <c r="I789" s="5" t="s">
        <v>57</v>
      </c>
      <c r="J789">
        <v>2050</v>
      </c>
      <c r="K789" s="38" t="str">
        <f t="shared" si="99"/>
        <v>*0.5</v>
      </c>
      <c r="P789" s="32" t="s">
        <v>858</v>
      </c>
      <c r="Q789" s="42" t="s">
        <v>57</v>
      </c>
      <c r="R789" s="32">
        <v>2035</v>
      </c>
      <c r="S789" s="43" t="str">
        <f t="shared" si="100"/>
        <v>*0.59</v>
      </c>
      <c r="U789" s="32" t="s">
        <v>858</v>
      </c>
      <c r="V789" s="42" t="s">
        <v>57</v>
      </c>
      <c r="W789" s="32">
        <v>2050</v>
      </c>
      <c r="X789" s="43" t="str">
        <f t="shared" si="101"/>
        <v>*0.47</v>
      </c>
      <c r="AC789" s="33" t="s">
        <v>858</v>
      </c>
      <c r="AD789" s="44" t="s">
        <v>57</v>
      </c>
      <c r="AE789" s="33">
        <v>2035</v>
      </c>
      <c r="AF789" s="45" t="str">
        <f t="shared" si="102"/>
        <v>*0.53</v>
      </c>
      <c r="AG789" s="43" t="str">
        <f t="shared" si="104"/>
        <v>REZoning_Sol-Win</v>
      </c>
      <c r="AI789" s="33" t="s">
        <v>858</v>
      </c>
      <c r="AJ789" s="44" t="s">
        <v>57</v>
      </c>
      <c r="AK789" s="33">
        <v>2050</v>
      </c>
      <c r="AL789" s="45" t="str">
        <f t="shared" si="103"/>
        <v>*0.41</v>
      </c>
      <c r="AM789" s="43" t="str">
        <f t="shared" si="105"/>
        <v>REZoning_Sol-Win</v>
      </c>
      <c r="AP789" t="s">
        <v>858</v>
      </c>
      <c r="AQ789" t="s">
        <v>57</v>
      </c>
      <c r="AR789">
        <v>2100</v>
      </c>
      <c r="AS789" t="s">
        <v>67</v>
      </c>
      <c r="AT789" t="s">
        <v>58</v>
      </c>
    </row>
    <row r="790" ht="29" spans="1:46">
      <c r="A790" s="31" t="s">
        <v>65</v>
      </c>
      <c r="C790" t="s">
        <v>859</v>
      </c>
      <c r="D790" s="5" t="s">
        <v>57</v>
      </c>
      <c r="E790">
        <v>2035</v>
      </c>
      <c r="F790" s="6" t="str">
        <f t="shared" si="98"/>
        <v>*0.61</v>
      </c>
      <c r="H790" t="s">
        <v>859</v>
      </c>
      <c r="I790" s="5" t="s">
        <v>57</v>
      </c>
      <c r="J790">
        <v>2050</v>
      </c>
      <c r="K790" s="38" t="str">
        <f t="shared" si="99"/>
        <v>*0.5</v>
      </c>
      <c r="P790" s="32" t="s">
        <v>859</v>
      </c>
      <c r="Q790" s="42" t="s">
        <v>57</v>
      </c>
      <c r="R790" s="32">
        <v>2035</v>
      </c>
      <c r="S790" s="43" t="str">
        <f t="shared" si="100"/>
        <v>*0.58</v>
      </c>
      <c r="U790" s="32" t="s">
        <v>859</v>
      </c>
      <c r="V790" s="42" t="s">
        <v>57</v>
      </c>
      <c r="W790" s="32">
        <v>2050</v>
      </c>
      <c r="X790" s="43" t="str">
        <f t="shared" si="101"/>
        <v>*0.47</v>
      </c>
      <c r="AC790" s="33" t="s">
        <v>859</v>
      </c>
      <c r="AD790" s="44" t="s">
        <v>57</v>
      </c>
      <c r="AE790" s="33">
        <v>2035</v>
      </c>
      <c r="AF790" s="45" t="str">
        <f t="shared" si="102"/>
        <v>*0.53</v>
      </c>
      <c r="AG790" s="43" t="str">
        <f t="shared" si="104"/>
        <v>REZoning_Sol-Win</v>
      </c>
      <c r="AI790" s="33" t="s">
        <v>859</v>
      </c>
      <c r="AJ790" s="44" t="s">
        <v>57</v>
      </c>
      <c r="AK790" s="33">
        <v>2050</v>
      </c>
      <c r="AL790" s="45" t="str">
        <f t="shared" si="103"/>
        <v>*0.41</v>
      </c>
      <c r="AM790" s="43" t="str">
        <f t="shared" si="105"/>
        <v>REZoning_Sol-Win</v>
      </c>
      <c r="AP790" t="s">
        <v>859</v>
      </c>
      <c r="AQ790" t="s">
        <v>57</v>
      </c>
      <c r="AR790">
        <v>2100</v>
      </c>
      <c r="AS790" t="s">
        <v>67</v>
      </c>
      <c r="AT790" t="s">
        <v>58</v>
      </c>
    </row>
    <row r="791" ht="29" spans="1:46">
      <c r="A791" s="31" t="s">
        <v>65</v>
      </c>
      <c r="C791" t="s">
        <v>860</v>
      </c>
      <c r="D791" s="5" t="s">
        <v>57</v>
      </c>
      <c r="E791">
        <v>2035</v>
      </c>
      <c r="F791" s="6" t="str">
        <f t="shared" si="98"/>
        <v>*0.61</v>
      </c>
      <c r="H791" t="s">
        <v>860</v>
      </c>
      <c r="I791" s="5" t="s">
        <v>57</v>
      </c>
      <c r="J791">
        <v>2050</v>
      </c>
      <c r="K791" s="38" t="str">
        <f t="shared" si="99"/>
        <v>*0.5</v>
      </c>
      <c r="P791" s="32" t="s">
        <v>860</v>
      </c>
      <c r="Q791" s="42" t="s">
        <v>57</v>
      </c>
      <c r="R791" s="32">
        <v>2035</v>
      </c>
      <c r="S791" s="43" t="str">
        <f t="shared" si="100"/>
        <v>*0.58</v>
      </c>
      <c r="U791" s="32" t="s">
        <v>860</v>
      </c>
      <c r="V791" s="42" t="s">
        <v>57</v>
      </c>
      <c r="W791" s="32">
        <v>2050</v>
      </c>
      <c r="X791" s="43" t="str">
        <f t="shared" si="101"/>
        <v>*0.47</v>
      </c>
      <c r="AC791" s="33" t="s">
        <v>860</v>
      </c>
      <c r="AD791" s="44" t="s">
        <v>57</v>
      </c>
      <c r="AE791" s="33">
        <v>2035</v>
      </c>
      <c r="AF791" s="45" t="str">
        <f t="shared" si="102"/>
        <v>*0.53</v>
      </c>
      <c r="AG791" s="43" t="str">
        <f t="shared" si="104"/>
        <v>REZoning_Sol-Win</v>
      </c>
      <c r="AI791" s="33" t="s">
        <v>860</v>
      </c>
      <c r="AJ791" s="44" t="s">
        <v>57</v>
      </c>
      <c r="AK791" s="33">
        <v>2050</v>
      </c>
      <c r="AL791" s="45" t="str">
        <f t="shared" si="103"/>
        <v>*0.41</v>
      </c>
      <c r="AM791" s="43" t="str">
        <f t="shared" si="105"/>
        <v>REZoning_Sol-Win</v>
      </c>
      <c r="AP791" t="s">
        <v>860</v>
      </c>
      <c r="AQ791" t="s">
        <v>57</v>
      </c>
      <c r="AR791">
        <v>2100</v>
      </c>
      <c r="AS791" t="s">
        <v>67</v>
      </c>
      <c r="AT791" t="s">
        <v>58</v>
      </c>
    </row>
    <row r="792" ht="29" spans="1:46">
      <c r="A792" s="31" t="s">
        <v>65</v>
      </c>
      <c r="C792" t="s">
        <v>861</v>
      </c>
      <c r="D792" s="5" t="s">
        <v>57</v>
      </c>
      <c r="E792">
        <v>2035</v>
      </c>
      <c r="F792" s="6" t="str">
        <f t="shared" si="98"/>
        <v>*0.61</v>
      </c>
      <c r="H792" t="s">
        <v>861</v>
      </c>
      <c r="I792" s="5" t="s">
        <v>57</v>
      </c>
      <c r="J792">
        <v>2050</v>
      </c>
      <c r="K792" s="38" t="str">
        <f t="shared" si="99"/>
        <v>*0.5</v>
      </c>
      <c r="P792" s="32" t="s">
        <v>861</v>
      </c>
      <c r="Q792" s="42" t="s">
        <v>57</v>
      </c>
      <c r="R792" s="32">
        <v>2035</v>
      </c>
      <c r="S792" s="43" t="str">
        <f t="shared" si="100"/>
        <v>*0.58</v>
      </c>
      <c r="U792" s="32" t="s">
        <v>861</v>
      </c>
      <c r="V792" s="42" t="s">
        <v>57</v>
      </c>
      <c r="W792" s="32">
        <v>2050</v>
      </c>
      <c r="X792" s="43" t="str">
        <f t="shared" si="101"/>
        <v>*0.47</v>
      </c>
      <c r="AC792" s="33" t="s">
        <v>861</v>
      </c>
      <c r="AD792" s="44" t="s">
        <v>57</v>
      </c>
      <c r="AE792" s="33">
        <v>2035</v>
      </c>
      <c r="AF792" s="45" t="str">
        <f t="shared" si="102"/>
        <v>*0.53</v>
      </c>
      <c r="AG792" s="43" t="str">
        <f t="shared" si="104"/>
        <v>REZoning_Sol-Win</v>
      </c>
      <c r="AI792" s="33" t="s">
        <v>861</v>
      </c>
      <c r="AJ792" s="44" t="s">
        <v>57</v>
      </c>
      <c r="AK792" s="33">
        <v>2050</v>
      </c>
      <c r="AL792" s="45" t="str">
        <f t="shared" si="103"/>
        <v>*0.41</v>
      </c>
      <c r="AM792" s="43" t="str">
        <f t="shared" si="105"/>
        <v>REZoning_Sol-Win</v>
      </c>
      <c r="AP792" t="s">
        <v>861</v>
      </c>
      <c r="AQ792" t="s">
        <v>57</v>
      </c>
      <c r="AR792">
        <v>2100</v>
      </c>
      <c r="AS792" t="s">
        <v>67</v>
      </c>
      <c r="AT792" t="s">
        <v>58</v>
      </c>
    </row>
    <row r="793" ht="29" spans="1:46">
      <c r="A793" s="31" t="s">
        <v>65</v>
      </c>
      <c r="C793" t="s">
        <v>862</v>
      </c>
      <c r="D793" s="5" t="s">
        <v>57</v>
      </c>
      <c r="E793">
        <v>2035</v>
      </c>
      <c r="F793" s="6" t="str">
        <f t="shared" si="98"/>
        <v>*0.61</v>
      </c>
      <c r="H793" t="s">
        <v>862</v>
      </c>
      <c r="I793" s="5" t="s">
        <v>57</v>
      </c>
      <c r="J793">
        <v>2050</v>
      </c>
      <c r="K793" s="38" t="str">
        <f t="shared" si="99"/>
        <v>*0.5</v>
      </c>
      <c r="P793" s="32" t="s">
        <v>862</v>
      </c>
      <c r="Q793" s="42" t="s">
        <v>57</v>
      </c>
      <c r="R793" s="32">
        <v>2035</v>
      </c>
      <c r="S793" s="43" t="str">
        <f t="shared" si="100"/>
        <v>*0.58</v>
      </c>
      <c r="U793" s="32" t="s">
        <v>862</v>
      </c>
      <c r="V793" s="42" t="s">
        <v>57</v>
      </c>
      <c r="W793" s="32">
        <v>2050</v>
      </c>
      <c r="X793" s="43" t="str">
        <f t="shared" si="101"/>
        <v>*0.47</v>
      </c>
      <c r="AC793" s="33" t="s">
        <v>862</v>
      </c>
      <c r="AD793" s="44" t="s">
        <v>57</v>
      </c>
      <c r="AE793" s="33">
        <v>2035</v>
      </c>
      <c r="AF793" s="45" t="str">
        <f t="shared" si="102"/>
        <v>*0.53</v>
      </c>
      <c r="AG793" s="43" t="str">
        <f t="shared" si="104"/>
        <v>REZoning_Sol-Win</v>
      </c>
      <c r="AI793" s="33" t="s">
        <v>862</v>
      </c>
      <c r="AJ793" s="44" t="s">
        <v>57</v>
      </c>
      <c r="AK793" s="33">
        <v>2050</v>
      </c>
      <c r="AL793" s="45" t="str">
        <f t="shared" si="103"/>
        <v>*0.41</v>
      </c>
      <c r="AM793" s="43" t="str">
        <f t="shared" si="105"/>
        <v>REZoning_Sol-Win</v>
      </c>
      <c r="AP793" t="s">
        <v>862</v>
      </c>
      <c r="AQ793" t="s">
        <v>57</v>
      </c>
      <c r="AR793">
        <v>2100</v>
      </c>
      <c r="AS793" t="s">
        <v>67</v>
      </c>
      <c r="AT793" t="s">
        <v>58</v>
      </c>
    </row>
    <row r="794" ht="29" spans="1:46">
      <c r="A794" s="31" t="s">
        <v>65</v>
      </c>
      <c r="C794" t="s">
        <v>863</v>
      </c>
      <c r="D794" s="5" t="s">
        <v>57</v>
      </c>
      <c r="E794">
        <v>2035</v>
      </c>
      <c r="F794" s="6" t="str">
        <f t="shared" si="98"/>
        <v>*0.61</v>
      </c>
      <c r="H794" t="s">
        <v>863</v>
      </c>
      <c r="I794" s="5" t="s">
        <v>57</v>
      </c>
      <c r="J794">
        <v>2050</v>
      </c>
      <c r="K794" s="38" t="str">
        <f t="shared" si="99"/>
        <v>*0.5</v>
      </c>
      <c r="P794" s="32" t="s">
        <v>863</v>
      </c>
      <c r="Q794" s="42" t="s">
        <v>57</v>
      </c>
      <c r="R794" s="32">
        <v>2035</v>
      </c>
      <c r="S794" s="43" t="str">
        <f t="shared" si="100"/>
        <v>*0.58</v>
      </c>
      <c r="U794" s="32" t="s">
        <v>863</v>
      </c>
      <c r="V794" s="42" t="s">
        <v>57</v>
      </c>
      <c r="W794" s="32">
        <v>2050</v>
      </c>
      <c r="X794" s="43" t="str">
        <f t="shared" si="101"/>
        <v>*0.47</v>
      </c>
      <c r="AC794" s="33" t="s">
        <v>863</v>
      </c>
      <c r="AD794" s="44" t="s">
        <v>57</v>
      </c>
      <c r="AE794" s="33">
        <v>2035</v>
      </c>
      <c r="AF794" s="45" t="str">
        <f t="shared" si="102"/>
        <v>*0.53</v>
      </c>
      <c r="AG794" s="43" t="str">
        <f t="shared" si="104"/>
        <v>REZoning_Sol-Win</v>
      </c>
      <c r="AI794" s="33" t="s">
        <v>863</v>
      </c>
      <c r="AJ794" s="44" t="s">
        <v>57</v>
      </c>
      <c r="AK794" s="33">
        <v>2050</v>
      </c>
      <c r="AL794" s="45" t="str">
        <f t="shared" si="103"/>
        <v>*0.41</v>
      </c>
      <c r="AM794" s="43" t="str">
        <f t="shared" si="105"/>
        <v>REZoning_Sol-Win</v>
      </c>
      <c r="AP794" t="s">
        <v>863</v>
      </c>
      <c r="AQ794" t="s">
        <v>57</v>
      </c>
      <c r="AR794">
        <v>2100</v>
      </c>
      <c r="AS794" t="s">
        <v>67</v>
      </c>
      <c r="AT794" t="s">
        <v>58</v>
      </c>
    </row>
    <row r="795" ht="29" spans="1:46">
      <c r="A795" s="31" t="s">
        <v>65</v>
      </c>
      <c r="C795" t="s">
        <v>864</v>
      </c>
      <c r="D795" s="5" t="s">
        <v>57</v>
      </c>
      <c r="E795">
        <v>2035</v>
      </c>
      <c r="F795" s="6" t="str">
        <f t="shared" si="98"/>
        <v>*0.61</v>
      </c>
      <c r="H795" t="s">
        <v>864</v>
      </c>
      <c r="I795" s="5" t="s">
        <v>57</v>
      </c>
      <c r="J795">
        <v>2050</v>
      </c>
      <c r="K795" s="38" t="str">
        <f t="shared" si="99"/>
        <v>*0.5</v>
      </c>
      <c r="P795" s="32" t="s">
        <v>864</v>
      </c>
      <c r="Q795" s="42" t="s">
        <v>57</v>
      </c>
      <c r="R795" s="32">
        <v>2035</v>
      </c>
      <c r="S795" s="43" t="str">
        <f t="shared" si="100"/>
        <v>*0.58</v>
      </c>
      <c r="U795" s="32" t="s">
        <v>864</v>
      </c>
      <c r="V795" s="42" t="s">
        <v>57</v>
      </c>
      <c r="W795" s="32">
        <v>2050</v>
      </c>
      <c r="X795" s="43" t="str">
        <f t="shared" si="101"/>
        <v>*0.47</v>
      </c>
      <c r="AC795" s="33" t="s">
        <v>864</v>
      </c>
      <c r="AD795" s="44" t="s">
        <v>57</v>
      </c>
      <c r="AE795" s="33">
        <v>2035</v>
      </c>
      <c r="AF795" s="45" t="str">
        <f t="shared" si="102"/>
        <v>*0.53</v>
      </c>
      <c r="AG795" s="43" t="str">
        <f t="shared" si="104"/>
        <v>REZoning_Sol-Win</v>
      </c>
      <c r="AI795" s="33" t="s">
        <v>864</v>
      </c>
      <c r="AJ795" s="44" t="s">
        <v>57</v>
      </c>
      <c r="AK795" s="33">
        <v>2050</v>
      </c>
      <c r="AL795" s="45" t="str">
        <f t="shared" si="103"/>
        <v>*0.41</v>
      </c>
      <c r="AM795" s="43" t="str">
        <f t="shared" si="105"/>
        <v>REZoning_Sol-Win</v>
      </c>
      <c r="AP795" t="s">
        <v>864</v>
      </c>
      <c r="AQ795" t="s">
        <v>57</v>
      </c>
      <c r="AR795">
        <v>2100</v>
      </c>
      <c r="AS795" t="s">
        <v>67</v>
      </c>
      <c r="AT795" t="s">
        <v>58</v>
      </c>
    </row>
    <row r="796" ht="29" spans="1:46">
      <c r="A796" s="31" t="s">
        <v>65</v>
      </c>
      <c r="C796" t="s">
        <v>865</v>
      </c>
      <c r="D796" s="5" t="s">
        <v>57</v>
      </c>
      <c r="E796">
        <v>2035</v>
      </c>
      <c r="F796" s="6" t="str">
        <f t="shared" si="98"/>
        <v>*0.61</v>
      </c>
      <c r="H796" t="s">
        <v>865</v>
      </c>
      <c r="I796" s="5" t="s">
        <v>57</v>
      </c>
      <c r="J796">
        <v>2050</v>
      </c>
      <c r="K796" s="38" t="str">
        <f t="shared" si="99"/>
        <v>*0.5</v>
      </c>
      <c r="P796" s="32" t="s">
        <v>865</v>
      </c>
      <c r="Q796" s="42" t="s">
        <v>57</v>
      </c>
      <c r="R796" s="32">
        <v>2035</v>
      </c>
      <c r="S796" s="43" t="str">
        <f t="shared" si="100"/>
        <v>*0.58</v>
      </c>
      <c r="U796" s="32" t="s">
        <v>865</v>
      </c>
      <c r="V796" s="42" t="s">
        <v>57</v>
      </c>
      <c r="W796" s="32">
        <v>2050</v>
      </c>
      <c r="X796" s="43" t="str">
        <f t="shared" si="101"/>
        <v>*0.47</v>
      </c>
      <c r="AC796" s="33" t="s">
        <v>865</v>
      </c>
      <c r="AD796" s="44" t="s">
        <v>57</v>
      </c>
      <c r="AE796" s="33">
        <v>2035</v>
      </c>
      <c r="AF796" s="45" t="str">
        <f t="shared" si="102"/>
        <v>*0.53</v>
      </c>
      <c r="AG796" s="43" t="str">
        <f t="shared" si="104"/>
        <v>REZoning_Sol-Win</v>
      </c>
      <c r="AI796" s="33" t="s">
        <v>865</v>
      </c>
      <c r="AJ796" s="44" t="s">
        <v>57</v>
      </c>
      <c r="AK796" s="33">
        <v>2050</v>
      </c>
      <c r="AL796" s="45" t="str">
        <f t="shared" si="103"/>
        <v>*0.41</v>
      </c>
      <c r="AM796" s="43" t="str">
        <f t="shared" si="105"/>
        <v>REZoning_Sol-Win</v>
      </c>
      <c r="AP796" t="s">
        <v>865</v>
      </c>
      <c r="AQ796" t="s">
        <v>57</v>
      </c>
      <c r="AR796">
        <v>2100</v>
      </c>
      <c r="AS796" t="s">
        <v>67</v>
      </c>
      <c r="AT796" t="s">
        <v>58</v>
      </c>
    </row>
    <row r="797" ht="29" spans="1:46">
      <c r="A797" s="31" t="s">
        <v>65</v>
      </c>
      <c r="C797" t="s">
        <v>866</v>
      </c>
      <c r="D797" s="5" t="s">
        <v>57</v>
      </c>
      <c r="E797">
        <v>2035</v>
      </c>
      <c r="F797" s="6" t="str">
        <f t="shared" si="98"/>
        <v>*0.61</v>
      </c>
      <c r="H797" t="s">
        <v>866</v>
      </c>
      <c r="I797" s="5" t="s">
        <v>57</v>
      </c>
      <c r="J797">
        <v>2050</v>
      </c>
      <c r="K797" s="38" t="str">
        <f t="shared" si="99"/>
        <v>*0.5</v>
      </c>
      <c r="P797" s="32" t="s">
        <v>866</v>
      </c>
      <c r="Q797" s="42" t="s">
        <v>57</v>
      </c>
      <c r="R797" s="32">
        <v>2035</v>
      </c>
      <c r="S797" s="43" t="str">
        <f t="shared" si="100"/>
        <v>*0.58</v>
      </c>
      <c r="U797" s="32" t="s">
        <v>866</v>
      </c>
      <c r="V797" s="42" t="s">
        <v>57</v>
      </c>
      <c r="W797" s="32">
        <v>2050</v>
      </c>
      <c r="X797" s="43" t="str">
        <f t="shared" si="101"/>
        <v>*0.47</v>
      </c>
      <c r="AC797" s="33" t="s">
        <v>866</v>
      </c>
      <c r="AD797" s="44" t="s">
        <v>57</v>
      </c>
      <c r="AE797" s="33">
        <v>2035</v>
      </c>
      <c r="AF797" s="45" t="str">
        <f t="shared" si="102"/>
        <v>*0.53</v>
      </c>
      <c r="AG797" s="43" t="str">
        <f t="shared" si="104"/>
        <v>REZoning_Sol-Win</v>
      </c>
      <c r="AI797" s="33" t="s">
        <v>866</v>
      </c>
      <c r="AJ797" s="44" t="s">
        <v>57</v>
      </c>
      <c r="AK797" s="33">
        <v>2050</v>
      </c>
      <c r="AL797" s="45" t="str">
        <f t="shared" si="103"/>
        <v>*0.41</v>
      </c>
      <c r="AM797" s="43" t="str">
        <f t="shared" si="105"/>
        <v>REZoning_Sol-Win</v>
      </c>
      <c r="AP797" t="s">
        <v>866</v>
      </c>
      <c r="AQ797" t="s">
        <v>57</v>
      </c>
      <c r="AR797">
        <v>2100</v>
      </c>
      <c r="AS797" t="s">
        <v>67</v>
      </c>
      <c r="AT797" t="s">
        <v>58</v>
      </c>
    </row>
    <row r="798" ht="29" spans="1:46">
      <c r="A798" s="31" t="s">
        <v>65</v>
      </c>
      <c r="C798" t="s">
        <v>867</v>
      </c>
      <c r="D798" s="5" t="s">
        <v>57</v>
      </c>
      <c r="E798">
        <v>2035</v>
      </c>
      <c r="F798" s="6" t="str">
        <f t="shared" si="98"/>
        <v>*0.61</v>
      </c>
      <c r="H798" t="s">
        <v>867</v>
      </c>
      <c r="I798" s="5" t="s">
        <v>57</v>
      </c>
      <c r="J798">
        <v>2050</v>
      </c>
      <c r="K798" s="38" t="str">
        <f t="shared" si="99"/>
        <v>*0.5</v>
      </c>
      <c r="P798" s="32" t="s">
        <v>867</v>
      </c>
      <c r="Q798" s="42" t="s">
        <v>57</v>
      </c>
      <c r="R798" s="32">
        <v>2035</v>
      </c>
      <c r="S798" s="43" t="str">
        <f t="shared" si="100"/>
        <v>*0.58</v>
      </c>
      <c r="U798" s="32" t="s">
        <v>867</v>
      </c>
      <c r="V798" s="42" t="s">
        <v>57</v>
      </c>
      <c r="W798" s="32">
        <v>2050</v>
      </c>
      <c r="X798" s="43" t="str">
        <f t="shared" si="101"/>
        <v>*0.47</v>
      </c>
      <c r="AC798" s="33" t="s">
        <v>867</v>
      </c>
      <c r="AD798" s="44" t="s">
        <v>57</v>
      </c>
      <c r="AE798" s="33">
        <v>2035</v>
      </c>
      <c r="AF798" s="45" t="str">
        <f t="shared" si="102"/>
        <v>*0.53</v>
      </c>
      <c r="AG798" s="43" t="str">
        <f t="shared" si="104"/>
        <v>REZoning_Sol-Win</v>
      </c>
      <c r="AI798" s="33" t="s">
        <v>867</v>
      </c>
      <c r="AJ798" s="44" t="s">
        <v>57</v>
      </c>
      <c r="AK798" s="33">
        <v>2050</v>
      </c>
      <c r="AL798" s="45" t="str">
        <f t="shared" si="103"/>
        <v>*0.41</v>
      </c>
      <c r="AM798" s="43" t="str">
        <f t="shared" si="105"/>
        <v>REZoning_Sol-Win</v>
      </c>
      <c r="AP798" t="s">
        <v>867</v>
      </c>
      <c r="AQ798" t="s">
        <v>57</v>
      </c>
      <c r="AR798">
        <v>2100</v>
      </c>
      <c r="AS798" t="s">
        <v>67</v>
      </c>
      <c r="AT798" t="s">
        <v>58</v>
      </c>
    </row>
    <row r="799" ht="29" spans="1:46">
      <c r="A799" s="31" t="s">
        <v>65</v>
      </c>
      <c r="C799" t="s">
        <v>868</v>
      </c>
      <c r="D799" s="5" t="s">
        <v>57</v>
      </c>
      <c r="E799">
        <v>2035</v>
      </c>
      <c r="F799" s="6" t="str">
        <f t="shared" si="98"/>
        <v>*0.61</v>
      </c>
      <c r="H799" t="s">
        <v>868</v>
      </c>
      <c r="I799" s="5" t="s">
        <v>57</v>
      </c>
      <c r="J799">
        <v>2050</v>
      </c>
      <c r="K799" s="38" t="str">
        <f t="shared" si="99"/>
        <v>*0.5</v>
      </c>
      <c r="P799" s="32" t="s">
        <v>868</v>
      </c>
      <c r="Q799" s="42" t="s">
        <v>57</v>
      </c>
      <c r="R799" s="32">
        <v>2035</v>
      </c>
      <c r="S799" s="43" t="str">
        <f t="shared" si="100"/>
        <v>*0.58</v>
      </c>
      <c r="U799" s="32" t="s">
        <v>868</v>
      </c>
      <c r="V799" s="42" t="s">
        <v>57</v>
      </c>
      <c r="W799" s="32">
        <v>2050</v>
      </c>
      <c r="X799" s="43" t="str">
        <f t="shared" si="101"/>
        <v>*0.47</v>
      </c>
      <c r="AC799" s="33" t="s">
        <v>868</v>
      </c>
      <c r="AD799" s="44" t="s">
        <v>57</v>
      </c>
      <c r="AE799" s="33">
        <v>2035</v>
      </c>
      <c r="AF799" s="45" t="str">
        <f t="shared" si="102"/>
        <v>*0.53</v>
      </c>
      <c r="AG799" s="43" t="str">
        <f t="shared" si="104"/>
        <v>REZoning_Sol-Win</v>
      </c>
      <c r="AI799" s="33" t="s">
        <v>868</v>
      </c>
      <c r="AJ799" s="44" t="s">
        <v>57</v>
      </c>
      <c r="AK799" s="33">
        <v>2050</v>
      </c>
      <c r="AL799" s="45" t="str">
        <f t="shared" si="103"/>
        <v>*0.41</v>
      </c>
      <c r="AM799" s="43" t="str">
        <f t="shared" si="105"/>
        <v>REZoning_Sol-Win</v>
      </c>
      <c r="AP799" t="s">
        <v>868</v>
      </c>
      <c r="AQ799" t="s">
        <v>57</v>
      </c>
      <c r="AR799">
        <v>2100</v>
      </c>
      <c r="AS799" t="s">
        <v>67</v>
      </c>
      <c r="AT799" t="s">
        <v>58</v>
      </c>
    </row>
    <row r="800" ht="29" spans="1:46">
      <c r="A800" s="31" t="s">
        <v>65</v>
      </c>
      <c r="C800" t="s">
        <v>869</v>
      </c>
      <c r="D800" s="5" t="s">
        <v>57</v>
      </c>
      <c r="E800">
        <v>2035</v>
      </c>
      <c r="F800" s="6" t="str">
        <f t="shared" si="98"/>
        <v>*0.61</v>
      </c>
      <c r="H800" t="s">
        <v>869</v>
      </c>
      <c r="I800" s="5" t="s">
        <v>57</v>
      </c>
      <c r="J800">
        <v>2050</v>
      </c>
      <c r="K800" s="38" t="str">
        <f t="shared" si="99"/>
        <v>*0.5</v>
      </c>
      <c r="P800" s="32" t="s">
        <v>869</v>
      </c>
      <c r="Q800" s="42" t="s">
        <v>57</v>
      </c>
      <c r="R800" s="32">
        <v>2035</v>
      </c>
      <c r="S800" s="43" t="str">
        <f t="shared" si="100"/>
        <v>*0.58</v>
      </c>
      <c r="U800" s="32" t="s">
        <v>869</v>
      </c>
      <c r="V800" s="42" t="s">
        <v>57</v>
      </c>
      <c r="W800" s="32">
        <v>2050</v>
      </c>
      <c r="X800" s="43" t="str">
        <f t="shared" si="101"/>
        <v>*0.47</v>
      </c>
      <c r="AC800" s="33" t="s">
        <v>869</v>
      </c>
      <c r="AD800" s="44" t="s">
        <v>57</v>
      </c>
      <c r="AE800" s="33">
        <v>2035</v>
      </c>
      <c r="AF800" s="45" t="str">
        <f t="shared" si="102"/>
        <v>*0.53</v>
      </c>
      <c r="AG800" s="43" t="str">
        <f t="shared" si="104"/>
        <v>REZoning_Sol-Win</v>
      </c>
      <c r="AI800" s="33" t="s">
        <v>869</v>
      </c>
      <c r="AJ800" s="44" t="s">
        <v>57</v>
      </c>
      <c r="AK800" s="33">
        <v>2050</v>
      </c>
      <c r="AL800" s="45" t="str">
        <f t="shared" si="103"/>
        <v>*0.41</v>
      </c>
      <c r="AM800" s="43" t="str">
        <f t="shared" si="105"/>
        <v>REZoning_Sol-Win</v>
      </c>
      <c r="AP800" t="s">
        <v>869</v>
      </c>
      <c r="AQ800" t="s">
        <v>57</v>
      </c>
      <c r="AR800">
        <v>2100</v>
      </c>
      <c r="AS800" t="s">
        <v>67</v>
      </c>
      <c r="AT800" t="s">
        <v>58</v>
      </c>
    </row>
    <row r="801" ht="29" spans="1:46">
      <c r="A801" s="31" t="s">
        <v>65</v>
      </c>
      <c r="C801" t="s">
        <v>870</v>
      </c>
      <c r="D801" s="5" t="s">
        <v>57</v>
      </c>
      <c r="E801">
        <v>2035</v>
      </c>
      <c r="F801" s="6" t="str">
        <f t="shared" si="98"/>
        <v>*0.61</v>
      </c>
      <c r="H801" t="s">
        <v>870</v>
      </c>
      <c r="I801" s="5" t="s">
        <v>57</v>
      </c>
      <c r="J801">
        <v>2050</v>
      </c>
      <c r="K801" s="38" t="str">
        <f t="shared" si="99"/>
        <v>*0.5</v>
      </c>
      <c r="P801" s="32" t="s">
        <v>870</v>
      </c>
      <c r="Q801" s="42" t="s">
        <v>57</v>
      </c>
      <c r="R801" s="32">
        <v>2035</v>
      </c>
      <c r="S801" s="43" t="str">
        <f t="shared" si="100"/>
        <v>*0.58</v>
      </c>
      <c r="U801" s="32" t="s">
        <v>870</v>
      </c>
      <c r="V801" s="42" t="s">
        <v>57</v>
      </c>
      <c r="W801" s="32">
        <v>2050</v>
      </c>
      <c r="X801" s="43" t="str">
        <f t="shared" si="101"/>
        <v>*0.47</v>
      </c>
      <c r="AC801" s="33" t="s">
        <v>870</v>
      </c>
      <c r="AD801" s="44" t="s">
        <v>57</v>
      </c>
      <c r="AE801" s="33">
        <v>2035</v>
      </c>
      <c r="AF801" s="45" t="str">
        <f t="shared" si="102"/>
        <v>*0.53</v>
      </c>
      <c r="AG801" s="43" t="str">
        <f t="shared" si="104"/>
        <v>REZoning_Sol-Win</v>
      </c>
      <c r="AI801" s="33" t="s">
        <v>870</v>
      </c>
      <c r="AJ801" s="44" t="s">
        <v>57</v>
      </c>
      <c r="AK801" s="33">
        <v>2050</v>
      </c>
      <c r="AL801" s="45" t="str">
        <f t="shared" si="103"/>
        <v>*0.41</v>
      </c>
      <c r="AM801" s="43" t="str">
        <f t="shared" si="105"/>
        <v>REZoning_Sol-Win</v>
      </c>
      <c r="AP801" t="s">
        <v>870</v>
      </c>
      <c r="AQ801" t="s">
        <v>57</v>
      </c>
      <c r="AR801">
        <v>2100</v>
      </c>
      <c r="AS801" t="s">
        <v>67</v>
      </c>
      <c r="AT801" t="s">
        <v>58</v>
      </c>
    </row>
    <row r="802" ht="29" spans="1:46">
      <c r="A802" s="31" t="s">
        <v>65</v>
      </c>
      <c r="C802" t="s">
        <v>871</v>
      </c>
      <c r="D802" s="5" t="s">
        <v>57</v>
      </c>
      <c r="E802">
        <v>2035</v>
      </c>
      <c r="F802" s="6" t="str">
        <f t="shared" si="98"/>
        <v>*0.61</v>
      </c>
      <c r="H802" t="s">
        <v>871</v>
      </c>
      <c r="I802" s="5" t="s">
        <v>57</v>
      </c>
      <c r="J802">
        <v>2050</v>
      </c>
      <c r="K802" s="38" t="str">
        <f t="shared" si="99"/>
        <v>*0.5</v>
      </c>
      <c r="P802" s="32" t="s">
        <v>871</v>
      </c>
      <c r="Q802" s="42" t="s">
        <v>57</v>
      </c>
      <c r="R802" s="32">
        <v>2035</v>
      </c>
      <c r="S802" s="43" t="str">
        <f t="shared" si="100"/>
        <v>*0.58</v>
      </c>
      <c r="U802" s="32" t="s">
        <v>871</v>
      </c>
      <c r="V802" s="42" t="s">
        <v>57</v>
      </c>
      <c r="W802" s="32">
        <v>2050</v>
      </c>
      <c r="X802" s="43" t="str">
        <f t="shared" si="101"/>
        <v>*0.47</v>
      </c>
      <c r="AC802" s="33" t="s">
        <v>871</v>
      </c>
      <c r="AD802" s="44" t="s">
        <v>57</v>
      </c>
      <c r="AE802" s="33">
        <v>2035</v>
      </c>
      <c r="AF802" s="45" t="str">
        <f t="shared" si="102"/>
        <v>*0.53</v>
      </c>
      <c r="AG802" s="43" t="str">
        <f t="shared" si="104"/>
        <v>REZoning_Sol-Win</v>
      </c>
      <c r="AI802" s="33" t="s">
        <v>871</v>
      </c>
      <c r="AJ802" s="44" t="s">
        <v>57</v>
      </c>
      <c r="AK802" s="33">
        <v>2050</v>
      </c>
      <c r="AL802" s="45" t="str">
        <f t="shared" si="103"/>
        <v>*0.41</v>
      </c>
      <c r="AM802" s="43" t="str">
        <f t="shared" si="105"/>
        <v>REZoning_Sol-Win</v>
      </c>
      <c r="AP802" t="s">
        <v>871</v>
      </c>
      <c r="AQ802" t="s">
        <v>57</v>
      </c>
      <c r="AR802">
        <v>2100</v>
      </c>
      <c r="AS802" t="s">
        <v>67</v>
      </c>
      <c r="AT802" t="s">
        <v>58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2460"/>
  <sheetViews>
    <sheetView topLeftCell="AR1" workbookViewId="0">
      <selection activeCell="AG6" sqref="AG6"/>
    </sheetView>
  </sheetViews>
  <sheetFormatPr defaultColWidth="8.72727272727273" defaultRowHeight="14.5"/>
  <cols>
    <col min="1" max="1" width="31.8" style="31" customWidth="1"/>
    <col min="3" max="3" width="21.4636363636364" customWidth="1"/>
    <col min="4" max="4" width="12" customWidth="1"/>
    <col min="8" max="8" width="21.4636363636364" customWidth="1"/>
    <col min="9" max="9" width="12" customWidth="1"/>
    <col min="11" max="11" width="10.2" customWidth="1"/>
    <col min="12" max="12" width="9.26363636363636" customWidth="1"/>
    <col min="16" max="16" width="21.4636363636364" style="32" customWidth="1"/>
    <col min="17" max="17" width="12" style="32" customWidth="1"/>
    <col min="18" max="20" width="8.72727272727273" style="32"/>
    <col min="21" max="21" width="21.4636363636364" style="32" customWidth="1"/>
    <col min="22" max="22" width="12" style="32" customWidth="1"/>
    <col min="23" max="23" width="8.72727272727273" style="32"/>
    <col min="24" max="24" width="10.2" style="32" customWidth="1"/>
    <col min="29" max="29" width="21.4636363636364" style="33" customWidth="1"/>
    <col min="30" max="30" width="12" style="33" customWidth="1"/>
    <col min="31" max="34" width="8.72727272727273" style="33"/>
    <col min="35" max="35" width="21.4636363636364" style="33" customWidth="1"/>
    <col min="36" max="36" width="12" style="33" customWidth="1"/>
    <col min="37" max="37" width="8.72727272727273" style="33"/>
    <col min="38" max="38" width="10.2" style="33" customWidth="1"/>
  </cols>
  <sheetData>
    <row r="2" spans="1:46">
      <c r="K2" s="2"/>
      <c r="P2" s="34" t="s">
        <v>26</v>
      </c>
      <c r="S2" s="35"/>
      <c r="U2" s="34" t="s">
        <v>26</v>
      </c>
      <c r="X2" s="35"/>
      <c r="AC2" s="1" t="s">
        <v>872</v>
      </c>
      <c r="AD2"/>
      <c r="AE2"/>
      <c r="AF2" s="2"/>
      <c r="AG2"/>
      <c r="AH2"/>
      <c r="AI2" s="1" t="s">
        <v>872</v>
      </c>
      <c r="AL2" s="36"/>
      <c r="AP2" t="s">
        <v>872</v>
      </c>
    </row>
    <row r="3" ht="15.25" spans="1:46">
      <c r="A3" s="37" t="s">
        <v>52</v>
      </c>
      <c r="C3" t="s">
        <v>53</v>
      </c>
      <c r="D3" s="3" t="s">
        <v>11</v>
      </c>
      <c r="E3" s="3" t="s">
        <v>12</v>
      </c>
      <c r="F3" s="4" t="s">
        <v>15</v>
      </c>
      <c r="H3" t="s">
        <v>53</v>
      </c>
      <c r="I3" s="3" t="s">
        <v>11</v>
      </c>
      <c r="J3" s="3" t="s">
        <v>12</v>
      </c>
      <c r="K3" s="4" t="s">
        <v>15</v>
      </c>
      <c r="L3" s="38"/>
      <c r="P3" s="32" t="s">
        <v>53</v>
      </c>
      <c r="Q3" s="39" t="s">
        <v>11</v>
      </c>
      <c r="R3" s="39" t="s">
        <v>12</v>
      </c>
      <c r="S3" s="4" t="s">
        <v>15</v>
      </c>
      <c r="U3" s="32" t="s">
        <v>53</v>
      </c>
      <c r="V3" s="39" t="s">
        <v>11</v>
      </c>
      <c r="W3" s="39" t="s">
        <v>12</v>
      </c>
      <c r="X3" s="4" t="s">
        <v>15</v>
      </c>
      <c r="AC3" s="33" t="s">
        <v>53</v>
      </c>
      <c r="AD3" s="41" t="s">
        <v>11</v>
      </c>
      <c r="AE3" s="41" t="s">
        <v>12</v>
      </c>
      <c r="AF3" s="4" t="s">
        <v>15</v>
      </c>
      <c r="AG3" s="4" t="s">
        <v>54</v>
      </c>
      <c r="AH3" s="4"/>
      <c r="AI3" s="33" t="s">
        <v>53</v>
      </c>
      <c r="AJ3" s="41" t="s">
        <v>11</v>
      </c>
      <c r="AK3" s="41" t="s">
        <v>12</v>
      </c>
      <c r="AL3" s="4" t="s">
        <v>15</v>
      </c>
      <c r="AM3" s="4" t="s">
        <v>54</v>
      </c>
      <c r="AP3" t="s">
        <v>53</v>
      </c>
      <c r="AQ3" t="s">
        <v>11</v>
      </c>
      <c r="AR3" t="s">
        <v>12</v>
      </c>
      <c r="AS3" t="s">
        <v>15</v>
      </c>
      <c r="AT3" t="s">
        <v>54</v>
      </c>
    </row>
    <row r="4" ht="29" spans="1:46">
      <c r="A4" s="31" t="s">
        <v>55</v>
      </c>
      <c r="C4" t="s">
        <v>873</v>
      </c>
      <c r="D4" s="5" t="s">
        <v>57</v>
      </c>
      <c r="E4">
        <v>2035</v>
      </c>
      <c r="F4" s="6" t="str">
        <f t="shared" ref="F4:F67" si="0">"*"&amp;IF(AND(A4="EU",E4=2035),0.95,IF(AND(A4="EU",E4=2050),0.93,IF(AND(A4="USA",E4=2035),0.96,IF(AND(A4="USA",E4=2050),0.94,IF(AND(A4="Japan",E4=2035),0.94,IF(AND(A4="Japan",E4=2050),0.92,IF(AND(A4="Russia",E4=2035),0.95,IF(AND(A4="Russia",E4=2050),0.93,IF(AND(A4="China",E4=2035),0.94,IF(AND(A4="China",E4=2050),0.92,IF(AND(A4="India",E4=2035),0.95,IF(AND(A4="India",E4=2050),0.92,IF(AND(A4="Middle East",E4=2035),0.94,IF(AND(A4="Middle East",E4=2050),0.9,IF(AND(A4="Africa",E4=2035),0.94,IF(AND(A4="Africa",E4=2050),0.91,IF(AND(A4="Brazil",E4=2035),0.95,IF(AND(A4="Brazil",E4=2050),0.92,""))))))))))))))))))</f>
        <v>*0.95</v>
      </c>
      <c r="H4" t="s">
        <v>873</v>
      </c>
      <c r="I4" s="5" t="s">
        <v>57</v>
      </c>
      <c r="J4">
        <v>2050</v>
      </c>
      <c r="K4" s="38" t="str">
        <f t="shared" ref="K4:K67" si="1">"*"&amp;IF(AND(A4="EU",J4=2035),0.95,IF(AND(A4="EU",J4=2050),0.93,IF(AND(A4="USA",J4=2035),0.96,IF(AND(A4="USA",J4=2050),0.94,IF(AND(A4="Japan",J4=2035),0.94,IF(AND(A4="Japan",J4=2050),0.92,IF(AND(A4="Russia",J4=2035),0.95,IF(AND(A4="Russia",J4=2050),0.93,IF(AND(A4="China",J4=2035),0.94,IF(AND(A4="China",J4=2050),0.92,IF(AND(A4="India",J4=2035),0.95,IF(AND(A4="India",J4=2050),0.92,IF(AND(A4="Middle East",J4=2035),0.94,IF(AND(A4="Middle East",J4=2050),0.9,IF(AND(A4="Africa",J4=2035),0.94,IF(AND(A4="Africa",J4=2050),0.91,IF(AND(A4="Brazil",J4=2035),0.95,IF(AND(A4="Brazil",J4=2050),0.92,""))))))))))))))))))</f>
        <v>*0.92</v>
      </c>
      <c r="P4" s="32" t="s">
        <v>873</v>
      </c>
      <c r="Q4" s="42" t="s">
        <v>57</v>
      </c>
      <c r="R4" s="32">
        <v>2035</v>
      </c>
      <c r="S4" s="43" t="str">
        <f t="shared" ref="S4:S67" si="2">"*"&amp;IF(AND(A4="EU",R4=2035),0.95,IF(AND(A4="EU",R4=2050),0.93,IF(AND(A4="USA",R4=2035),0.96,IF(AND(A4="USA",R4=2050),0.93,IF(AND(A4="Japan",R4=2035),0.94,IF(AND(A4="Japan",R4=2050),0.92,IF(AND(A4="Russia",R4=2035),0.95,IF(AND(A4="Russia",R4=2050),0.91,IF(AND(A4="China",R4=2035),0.93,IF(AND(A4="China",R4=2050),0.92,IF(AND(A4="India",R4=2035),0.94,IF(AND(A4="India",R4=2050),0.91,IF(AND(A4="Middle East",R4=2035),0.92,IF(AND(A4="Middle East",R4=2050),0.89,IF(AND(A4="Africa",R4=2035),0.93,IF(AND(A4="Africa",R4=2050),0.9,IF(AND(A4="Brazil",R4=2035),0.95,IF(AND(A4="Brazil",R4=2050),0.92,""))))))))))))))))))</f>
        <v>*0.94</v>
      </c>
      <c r="U4" s="32" t="s">
        <v>873</v>
      </c>
      <c r="V4" s="42" t="s">
        <v>57</v>
      </c>
      <c r="W4" s="32">
        <v>2050</v>
      </c>
      <c r="X4" s="43" t="str">
        <f t="shared" ref="X4:X67" si="3">"*"&amp;IF(AND(A4="EU",W4=2035),0.95,IF(AND(A4="EU",W4=2050),0.93,IF(AND(A4="USA",W4=2035),0.96,IF(AND(A4="USA",W4=2050),0.93,IF(AND(A4="Japan",W4=2035),0.94,IF(AND(A4="Japan",W4=2050),0.92,IF(AND(A4="Russia",W4=2035),0.95,IF(AND(A4="Russia",W4=2050),0.91,IF(AND(A4="China",W4=2035),0.93,IF(AND(A4="China",W4=2050),0.92,IF(AND(A4="India",W4=2035),0.94,IF(AND(A4="India",W4=2050),0.91,IF(AND(A4="Middle East",W4=2035),0.92,IF(AND(A4="Middle East",W4=2050),0.89,IF(AND(A4="Africa",W4=2035),0.93,IF(AND(A4="Africa",W4=2050),0.9,IF(AND(A4="Brazil",W4=2035),0.95,IF(AND(A4="Brazil",W4=2050),0.92,""))))))))))))))))))</f>
        <v>*0.91</v>
      </c>
      <c r="AC4" s="33" t="s">
        <v>873</v>
      </c>
      <c r="AD4" s="44" t="s">
        <v>57</v>
      </c>
      <c r="AE4" s="33">
        <v>2035</v>
      </c>
      <c r="AF4" s="45" t="str">
        <f t="shared" ref="AF4:AF67" si="4">"*"&amp;IF(AND(A4="EU",AE4=2035),0.93,IF(AND(A4="EU",AE4=2050),0.9,IF(AND(A4="USA",AE4=2035),0.92,IF(AND(A4="USA",AE4=2050),0.89,IF(AND(A4="Japan",AE4=2035),0.92,IF(AND(A4="Japan",AE4=2050),0.89,IF(AND(A4="Russia",AE4=2035),0.91,IF(AND(A4="Russia",AE4=2050),0.86,IF(AND(A4="China",AE4=2035),0.91,IF(AND(A4="China",AE4=2050),0.87,IF(AND(A4="India",AE4=2035),0.92,IF(AND(A4="India",AE4=2050),0.87,IF(AND(A4="Middle East",AE4=2035),0.89,IF(AND(A4="Middle East",AE4=2050),0.84,IF(AND(A4="Africa",AE4=2035),0.9,IF(AND(A4="Africa",AE4=2050),0.86,IF(AND(A4="Brazil",AE4=2035),0.93,IF(AND(A4="Brazil",AE4=2050),0.89,""))))))))))))))))))</f>
        <v>*0.92</v>
      </c>
      <c r="AG4" s="43" t="s">
        <v>58</v>
      </c>
      <c r="AH4" s="43"/>
      <c r="AI4" s="33" t="s">
        <v>873</v>
      </c>
      <c r="AJ4" s="44" t="s">
        <v>57</v>
      </c>
      <c r="AK4" s="33">
        <v>2050</v>
      </c>
      <c r="AL4" s="45" t="str">
        <f t="shared" ref="AL4:AL67" si="5">"*"&amp;IF(AND(A4="EU",AK4=2035),0.93,IF(AND(A4="EU",AK4=2050),0.9,IF(AND(A4="USA",AK4=2035),0.92,IF(AND(A4="USA",AK4=2050),0.89,IF(AND(A4="Japan",AK4=2035),0.92,IF(AND(A4="Japan",AK4=2050),0.89,IF(AND(A4="Russia",AK4=2035),0.91,IF(AND(A4="Russia",AK4=2050),0.86,IF(AND(A4="China",AK4=2035),0.91,IF(AND(A4="China",AK4=2050),0.87,IF(AND(A4="India",AK4=2035),0.92,IF(AND(A4="India",AK4=2050),0.87,IF(AND(A4="Middle East",AK4=2035),0.89,IF(AND(A4="Middle East",AK4=2050),0.84,IF(AND(A4="Africa",AK4=2035),0.9,IF(AND(A4="Africa",AK4=2050),0.86,IF(AND(A4="Brazil",AK4=2035),0.93,IF(AND(A4="Brazil",AK4=2050),0.89,""))))))))))))))))))</f>
        <v>*0.87</v>
      </c>
      <c r="AM4" s="43" t="s">
        <v>58</v>
      </c>
      <c r="AP4" t="s">
        <v>873</v>
      </c>
      <c r="AQ4" t="s">
        <v>57</v>
      </c>
      <c r="AR4">
        <v>2100</v>
      </c>
      <c r="AS4" t="s">
        <v>874</v>
      </c>
      <c r="AT4" t="s">
        <v>58</v>
      </c>
    </row>
    <row r="5" ht="29" spans="1:46">
      <c r="A5" s="31" t="s">
        <v>55</v>
      </c>
      <c r="C5" t="s">
        <v>875</v>
      </c>
      <c r="D5" s="5" t="s">
        <v>57</v>
      </c>
      <c r="E5">
        <v>2035</v>
      </c>
      <c r="F5" s="6" t="str">
        <f t="shared" si="0"/>
        <v>*0.95</v>
      </c>
      <c r="H5" t="s">
        <v>875</v>
      </c>
      <c r="I5" s="5" t="s">
        <v>57</v>
      </c>
      <c r="J5">
        <v>2050</v>
      </c>
      <c r="K5" s="38" t="str">
        <f t="shared" si="1"/>
        <v>*0.92</v>
      </c>
      <c r="P5" s="32" t="s">
        <v>875</v>
      </c>
      <c r="Q5" s="42" t="s">
        <v>57</v>
      </c>
      <c r="R5" s="32">
        <v>2035</v>
      </c>
      <c r="S5" s="43" t="str">
        <f t="shared" si="2"/>
        <v>*0.94</v>
      </c>
      <c r="U5" s="32" t="s">
        <v>875</v>
      </c>
      <c r="V5" s="42" t="s">
        <v>57</v>
      </c>
      <c r="W5" s="32">
        <v>2050</v>
      </c>
      <c r="X5" s="43" t="str">
        <f t="shared" si="3"/>
        <v>*0.91</v>
      </c>
      <c r="AC5" s="33" t="s">
        <v>875</v>
      </c>
      <c r="AD5" s="44" t="s">
        <v>57</v>
      </c>
      <c r="AE5" s="33">
        <v>2035</v>
      </c>
      <c r="AF5" s="45" t="str">
        <f t="shared" si="4"/>
        <v>*0.92</v>
      </c>
      <c r="AG5" s="43" t="str">
        <f t="shared" ref="AG5:AG8" si="6">AG4</f>
        <v>REZoning_Sol-Win</v>
      </c>
      <c r="AH5" s="43"/>
      <c r="AI5" s="33" t="s">
        <v>875</v>
      </c>
      <c r="AJ5" s="44" t="s">
        <v>57</v>
      </c>
      <c r="AK5" s="33">
        <v>2050</v>
      </c>
      <c r="AL5" s="45" t="str">
        <f t="shared" si="5"/>
        <v>*0.87</v>
      </c>
      <c r="AM5" s="43" t="str">
        <f t="shared" ref="AM5:AM9" si="7">AM4</f>
        <v>REZoning_Sol-Win</v>
      </c>
      <c r="AP5" t="s">
        <v>875</v>
      </c>
      <c r="AQ5" t="s">
        <v>57</v>
      </c>
      <c r="AR5">
        <v>2100</v>
      </c>
      <c r="AS5" t="s">
        <v>874</v>
      </c>
      <c r="AT5" t="s">
        <v>58</v>
      </c>
    </row>
    <row r="6" ht="29" spans="1:46">
      <c r="A6" s="31" t="s">
        <v>55</v>
      </c>
      <c r="C6" t="s">
        <v>876</v>
      </c>
      <c r="D6" s="5" t="s">
        <v>57</v>
      </c>
      <c r="E6">
        <v>2035</v>
      </c>
      <c r="F6" s="6" t="str">
        <f t="shared" si="0"/>
        <v>*0.95</v>
      </c>
      <c r="H6" t="s">
        <v>876</v>
      </c>
      <c r="I6" s="5" t="s">
        <v>57</v>
      </c>
      <c r="J6">
        <v>2050</v>
      </c>
      <c r="K6" s="38" t="str">
        <f t="shared" si="1"/>
        <v>*0.92</v>
      </c>
      <c r="P6" s="32" t="s">
        <v>876</v>
      </c>
      <c r="Q6" s="42" t="s">
        <v>57</v>
      </c>
      <c r="R6" s="32">
        <v>2035</v>
      </c>
      <c r="S6" s="43" t="str">
        <f t="shared" si="2"/>
        <v>*0.94</v>
      </c>
      <c r="U6" s="32" t="s">
        <v>876</v>
      </c>
      <c r="V6" s="42" t="s">
        <v>57</v>
      </c>
      <c r="W6" s="32">
        <v>2050</v>
      </c>
      <c r="X6" s="43" t="str">
        <f t="shared" si="3"/>
        <v>*0.91</v>
      </c>
      <c r="AC6" s="33" t="s">
        <v>876</v>
      </c>
      <c r="AD6" s="44" t="s">
        <v>57</v>
      </c>
      <c r="AE6" s="33">
        <v>2035</v>
      </c>
      <c r="AF6" s="45" t="str">
        <f t="shared" si="4"/>
        <v>*0.92</v>
      </c>
      <c r="AG6" s="43" t="str">
        <f t="shared" si="6"/>
        <v>REZoning_Sol-Win</v>
      </c>
      <c r="AH6" s="43"/>
      <c r="AI6" s="33" t="s">
        <v>876</v>
      </c>
      <c r="AJ6" s="44" t="s">
        <v>57</v>
      </c>
      <c r="AK6" s="33">
        <v>2050</v>
      </c>
      <c r="AL6" s="45" t="str">
        <f t="shared" si="5"/>
        <v>*0.87</v>
      </c>
      <c r="AM6" s="43" t="str">
        <f t="shared" si="7"/>
        <v>REZoning_Sol-Win</v>
      </c>
      <c r="AP6" t="s">
        <v>876</v>
      </c>
      <c r="AQ6" t="s">
        <v>57</v>
      </c>
      <c r="AR6">
        <v>2100</v>
      </c>
      <c r="AS6" t="s">
        <v>874</v>
      </c>
      <c r="AT6" t="s">
        <v>58</v>
      </c>
    </row>
    <row r="7" ht="29" spans="1:46">
      <c r="A7" s="31" t="s">
        <v>55</v>
      </c>
      <c r="C7" t="s">
        <v>877</v>
      </c>
      <c r="D7" s="5" t="s">
        <v>57</v>
      </c>
      <c r="E7">
        <v>2035</v>
      </c>
      <c r="F7" s="6" t="str">
        <f t="shared" si="0"/>
        <v>*0.95</v>
      </c>
      <c r="H7" t="s">
        <v>877</v>
      </c>
      <c r="I7" s="5" t="s">
        <v>57</v>
      </c>
      <c r="J7">
        <v>2050</v>
      </c>
      <c r="K7" s="38" t="str">
        <f t="shared" si="1"/>
        <v>*0.92</v>
      </c>
      <c r="P7" s="32" t="s">
        <v>877</v>
      </c>
      <c r="Q7" s="42" t="s">
        <v>57</v>
      </c>
      <c r="R7" s="32">
        <v>2035</v>
      </c>
      <c r="S7" s="43" t="str">
        <f t="shared" si="2"/>
        <v>*0.94</v>
      </c>
      <c r="U7" s="32" t="s">
        <v>877</v>
      </c>
      <c r="V7" s="42" t="s">
        <v>57</v>
      </c>
      <c r="W7" s="32">
        <v>2050</v>
      </c>
      <c r="X7" s="43" t="str">
        <f t="shared" si="3"/>
        <v>*0.91</v>
      </c>
      <c r="AC7" s="33" t="s">
        <v>877</v>
      </c>
      <c r="AD7" s="44" t="s">
        <v>57</v>
      </c>
      <c r="AE7" s="33">
        <v>2035</v>
      </c>
      <c r="AF7" s="45" t="str">
        <f t="shared" si="4"/>
        <v>*0.92</v>
      </c>
      <c r="AG7" s="43" t="str">
        <f t="shared" si="6"/>
        <v>REZoning_Sol-Win</v>
      </c>
      <c r="AH7" s="43"/>
      <c r="AI7" s="33" t="s">
        <v>877</v>
      </c>
      <c r="AJ7" s="44" t="s">
        <v>57</v>
      </c>
      <c r="AK7" s="33">
        <v>2050</v>
      </c>
      <c r="AL7" s="45" t="str">
        <f t="shared" si="5"/>
        <v>*0.87</v>
      </c>
      <c r="AM7" s="43" t="str">
        <f t="shared" si="7"/>
        <v>REZoning_Sol-Win</v>
      </c>
      <c r="AP7" t="s">
        <v>877</v>
      </c>
      <c r="AQ7" t="s">
        <v>57</v>
      </c>
      <c r="AR7">
        <v>2100</v>
      </c>
      <c r="AS7" t="s">
        <v>874</v>
      </c>
      <c r="AT7" t="s">
        <v>58</v>
      </c>
    </row>
    <row r="8" ht="29" spans="1:46">
      <c r="A8" s="31" t="s">
        <v>55</v>
      </c>
      <c r="C8" t="s">
        <v>878</v>
      </c>
      <c r="D8" s="5" t="s">
        <v>57</v>
      </c>
      <c r="E8">
        <v>2035</v>
      </c>
      <c r="F8" s="6" t="str">
        <f t="shared" si="0"/>
        <v>*0.95</v>
      </c>
      <c r="H8" t="s">
        <v>878</v>
      </c>
      <c r="I8" s="5" t="s">
        <v>57</v>
      </c>
      <c r="J8">
        <v>2050</v>
      </c>
      <c r="K8" s="38" t="str">
        <f t="shared" si="1"/>
        <v>*0.92</v>
      </c>
      <c r="P8" s="32" t="s">
        <v>878</v>
      </c>
      <c r="Q8" s="42" t="s">
        <v>57</v>
      </c>
      <c r="R8" s="32">
        <v>2035</v>
      </c>
      <c r="S8" s="43" t="str">
        <f t="shared" si="2"/>
        <v>*0.94</v>
      </c>
      <c r="U8" s="32" t="s">
        <v>878</v>
      </c>
      <c r="V8" s="42" t="s">
        <v>57</v>
      </c>
      <c r="W8" s="32">
        <v>2050</v>
      </c>
      <c r="X8" s="43" t="str">
        <f t="shared" si="3"/>
        <v>*0.91</v>
      </c>
      <c r="AC8" s="33" t="s">
        <v>878</v>
      </c>
      <c r="AD8" s="44" t="s">
        <v>57</v>
      </c>
      <c r="AE8" s="33">
        <v>2035</v>
      </c>
      <c r="AF8" s="45" t="str">
        <f t="shared" si="4"/>
        <v>*0.92</v>
      </c>
      <c r="AG8" s="43" t="str">
        <f t="shared" si="6"/>
        <v>REZoning_Sol-Win</v>
      </c>
      <c r="AH8" s="43"/>
      <c r="AI8" s="33" t="s">
        <v>878</v>
      </c>
      <c r="AJ8" s="44" t="s">
        <v>57</v>
      </c>
      <c r="AK8" s="33">
        <v>2050</v>
      </c>
      <c r="AL8" s="45" t="str">
        <f t="shared" si="5"/>
        <v>*0.87</v>
      </c>
      <c r="AM8" s="43" t="str">
        <f t="shared" si="7"/>
        <v>REZoning_Sol-Win</v>
      </c>
      <c r="AP8" t="s">
        <v>878</v>
      </c>
      <c r="AQ8" t="s">
        <v>57</v>
      </c>
      <c r="AR8">
        <v>2100</v>
      </c>
      <c r="AS8" t="s">
        <v>874</v>
      </c>
      <c r="AT8" t="s">
        <v>58</v>
      </c>
    </row>
    <row r="9" ht="29" spans="1:46">
      <c r="A9" s="31" t="s">
        <v>55</v>
      </c>
      <c r="C9" t="s">
        <v>879</v>
      </c>
      <c r="D9" s="5" t="s">
        <v>57</v>
      </c>
      <c r="E9">
        <v>2035</v>
      </c>
      <c r="F9" s="6" t="str">
        <f t="shared" si="0"/>
        <v>*0.95</v>
      </c>
      <c r="H9" t="s">
        <v>879</v>
      </c>
      <c r="I9" s="5" t="s">
        <v>57</v>
      </c>
      <c r="J9">
        <v>2050</v>
      </c>
      <c r="K9" s="38" t="str">
        <f t="shared" si="1"/>
        <v>*0.92</v>
      </c>
      <c r="P9" s="32" t="s">
        <v>879</v>
      </c>
      <c r="Q9" s="42" t="s">
        <v>57</v>
      </c>
      <c r="R9" s="32">
        <v>2035</v>
      </c>
      <c r="S9" s="43" t="str">
        <f t="shared" si="2"/>
        <v>*0.94</v>
      </c>
      <c r="U9" s="32" t="s">
        <v>879</v>
      </c>
      <c r="V9" s="42" t="s">
        <v>57</v>
      </c>
      <c r="W9" s="32">
        <v>2050</v>
      </c>
      <c r="X9" s="43" t="str">
        <f t="shared" si="3"/>
        <v>*0.91</v>
      </c>
      <c r="AC9" s="33" t="s">
        <v>879</v>
      </c>
      <c r="AD9" s="44" t="s">
        <v>57</v>
      </c>
      <c r="AE9" s="33">
        <v>2035</v>
      </c>
      <c r="AF9" s="45" t="str">
        <f t="shared" si="4"/>
        <v>*0.92</v>
      </c>
      <c r="AG9" s="43" t="str">
        <f t="shared" ref="AG9:AG72" si="8">AG8</f>
        <v>REZoning_Sol-Win</v>
      </c>
      <c r="AI9" s="33" t="s">
        <v>879</v>
      </c>
      <c r="AJ9" s="44" t="s">
        <v>57</v>
      </c>
      <c r="AK9" s="33">
        <v>2050</v>
      </c>
      <c r="AL9" s="45" t="str">
        <f t="shared" si="5"/>
        <v>*0.87</v>
      </c>
      <c r="AM9" s="43" t="str">
        <f t="shared" si="7"/>
        <v>REZoning_Sol-Win</v>
      </c>
      <c r="AP9" t="s">
        <v>879</v>
      </c>
      <c r="AQ9" t="s">
        <v>57</v>
      </c>
      <c r="AR9">
        <v>2100</v>
      </c>
      <c r="AS9" t="s">
        <v>874</v>
      </c>
      <c r="AT9" t="s">
        <v>58</v>
      </c>
    </row>
    <row r="10" ht="29" spans="1:46">
      <c r="A10" s="31" t="s">
        <v>55</v>
      </c>
      <c r="C10" t="s">
        <v>880</v>
      </c>
      <c r="D10" s="5" t="s">
        <v>57</v>
      </c>
      <c r="E10">
        <v>2035</v>
      </c>
      <c r="F10" s="6" t="str">
        <f t="shared" si="0"/>
        <v>*0.95</v>
      </c>
      <c r="H10" t="s">
        <v>880</v>
      </c>
      <c r="I10" s="5" t="s">
        <v>57</v>
      </c>
      <c r="J10">
        <v>2050</v>
      </c>
      <c r="K10" s="38" t="str">
        <f t="shared" si="1"/>
        <v>*0.92</v>
      </c>
      <c r="P10" s="32" t="s">
        <v>880</v>
      </c>
      <c r="Q10" s="42" t="s">
        <v>57</v>
      </c>
      <c r="R10" s="32">
        <v>2035</v>
      </c>
      <c r="S10" s="43" t="str">
        <f t="shared" si="2"/>
        <v>*0.94</v>
      </c>
      <c r="U10" s="32" t="s">
        <v>880</v>
      </c>
      <c r="V10" s="42" t="s">
        <v>57</v>
      </c>
      <c r="W10" s="32">
        <v>2050</v>
      </c>
      <c r="X10" s="43" t="str">
        <f t="shared" si="3"/>
        <v>*0.91</v>
      </c>
      <c r="AC10" s="33" t="s">
        <v>880</v>
      </c>
      <c r="AD10" s="44" t="s">
        <v>57</v>
      </c>
      <c r="AE10" s="33">
        <v>2035</v>
      </c>
      <c r="AF10" s="45" t="str">
        <f t="shared" si="4"/>
        <v>*0.92</v>
      </c>
      <c r="AG10" s="43" t="str">
        <f t="shared" si="8"/>
        <v>REZoning_Sol-Win</v>
      </c>
      <c r="AI10" s="33" t="s">
        <v>880</v>
      </c>
      <c r="AJ10" s="44" t="s">
        <v>57</v>
      </c>
      <c r="AK10" s="33">
        <v>2050</v>
      </c>
      <c r="AL10" s="45" t="str">
        <f t="shared" si="5"/>
        <v>*0.87</v>
      </c>
      <c r="AM10" s="43" t="str">
        <f t="shared" ref="AM10:AM73" si="9">AM9</f>
        <v>REZoning_Sol-Win</v>
      </c>
      <c r="AP10" t="s">
        <v>880</v>
      </c>
      <c r="AQ10" t="s">
        <v>57</v>
      </c>
      <c r="AR10">
        <v>2100</v>
      </c>
      <c r="AS10" t="s">
        <v>874</v>
      </c>
      <c r="AT10" t="s">
        <v>58</v>
      </c>
    </row>
    <row r="11" ht="29" spans="1:46">
      <c r="A11" s="31" t="s">
        <v>55</v>
      </c>
      <c r="C11" t="s">
        <v>881</v>
      </c>
      <c r="D11" s="5" t="s">
        <v>57</v>
      </c>
      <c r="E11">
        <v>2035</v>
      </c>
      <c r="F11" s="6" t="str">
        <f t="shared" si="0"/>
        <v>*0.95</v>
      </c>
      <c r="H11" t="s">
        <v>881</v>
      </c>
      <c r="I11" s="5" t="s">
        <v>57</v>
      </c>
      <c r="J11">
        <v>2050</v>
      </c>
      <c r="K11" s="38" t="str">
        <f t="shared" si="1"/>
        <v>*0.92</v>
      </c>
      <c r="P11" s="32" t="s">
        <v>881</v>
      </c>
      <c r="Q11" s="42" t="s">
        <v>57</v>
      </c>
      <c r="R11" s="32">
        <v>2035</v>
      </c>
      <c r="S11" s="43" t="str">
        <f t="shared" si="2"/>
        <v>*0.94</v>
      </c>
      <c r="U11" s="32" t="s">
        <v>881</v>
      </c>
      <c r="V11" s="42" t="s">
        <v>57</v>
      </c>
      <c r="W11" s="32">
        <v>2050</v>
      </c>
      <c r="X11" s="43" t="str">
        <f t="shared" si="3"/>
        <v>*0.91</v>
      </c>
      <c r="AC11" s="33" t="s">
        <v>881</v>
      </c>
      <c r="AD11" s="44" t="s">
        <v>57</v>
      </c>
      <c r="AE11" s="33">
        <v>2035</v>
      </c>
      <c r="AF11" s="45" t="str">
        <f t="shared" si="4"/>
        <v>*0.92</v>
      </c>
      <c r="AG11" s="43" t="str">
        <f t="shared" si="8"/>
        <v>REZoning_Sol-Win</v>
      </c>
      <c r="AI11" s="33" t="s">
        <v>881</v>
      </c>
      <c r="AJ11" s="44" t="s">
        <v>57</v>
      </c>
      <c r="AK11" s="33">
        <v>2050</v>
      </c>
      <c r="AL11" s="45" t="str">
        <f t="shared" si="5"/>
        <v>*0.87</v>
      </c>
      <c r="AM11" s="43" t="str">
        <f t="shared" si="9"/>
        <v>REZoning_Sol-Win</v>
      </c>
      <c r="AP11" t="s">
        <v>881</v>
      </c>
      <c r="AQ11" t="s">
        <v>57</v>
      </c>
      <c r="AR11">
        <v>2100</v>
      </c>
      <c r="AS11" t="s">
        <v>874</v>
      </c>
      <c r="AT11" t="s">
        <v>58</v>
      </c>
    </row>
    <row r="12" ht="29" spans="1:46">
      <c r="A12" s="31" t="s">
        <v>65</v>
      </c>
      <c r="C12" t="s">
        <v>882</v>
      </c>
      <c r="D12" s="5" t="s">
        <v>57</v>
      </c>
      <c r="E12">
        <v>2035</v>
      </c>
      <c r="F12" s="6" t="str">
        <f t="shared" si="0"/>
        <v>*0.94</v>
      </c>
      <c r="H12" t="s">
        <v>882</v>
      </c>
      <c r="I12" s="5" t="s">
        <v>57</v>
      </c>
      <c r="J12">
        <v>2050</v>
      </c>
      <c r="K12" s="38" t="str">
        <f t="shared" si="1"/>
        <v>*0.91</v>
      </c>
      <c r="P12" s="32" t="s">
        <v>882</v>
      </c>
      <c r="Q12" s="42" t="s">
        <v>57</v>
      </c>
      <c r="R12" s="32">
        <v>2035</v>
      </c>
      <c r="S12" s="43" t="str">
        <f t="shared" si="2"/>
        <v>*0.93</v>
      </c>
      <c r="U12" s="32" t="s">
        <v>882</v>
      </c>
      <c r="V12" s="42" t="s">
        <v>57</v>
      </c>
      <c r="W12" s="32">
        <v>2050</v>
      </c>
      <c r="X12" s="43" t="str">
        <f t="shared" si="3"/>
        <v>*0.9</v>
      </c>
      <c r="AC12" s="33" t="s">
        <v>882</v>
      </c>
      <c r="AD12" s="44" t="s">
        <v>57</v>
      </c>
      <c r="AE12" s="33">
        <v>2035</v>
      </c>
      <c r="AF12" s="45" t="str">
        <f t="shared" si="4"/>
        <v>*0.9</v>
      </c>
      <c r="AG12" s="43" t="str">
        <f t="shared" si="8"/>
        <v>REZoning_Sol-Win</v>
      </c>
      <c r="AI12" s="33" t="s">
        <v>882</v>
      </c>
      <c r="AJ12" s="44" t="s">
        <v>57</v>
      </c>
      <c r="AK12" s="33">
        <v>2050</v>
      </c>
      <c r="AL12" s="45" t="str">
        <f t="shared" si="5"/>
        <v>*0.86</v>
      </c>
      <c r="AM12" s="43" t="str">
        <f t="shared" si="9"/>
        <v>REZoning_Sol-Win</v>
      </c>
      <c r="AP12" t="s">
        <v>882</v>
      </c>
      <c r="AQ12" t="s">
        <v>57</v>
      </c>
      <c r="AR12">
        <v>2100</v>
      </c>
      <c r="AS12" t="s">
        <v>883</v>
      </c>
      <c r="AT12" t="s">
        <v>58</v>
      </c>
    </row>
    <row r="13" ht="29" spans="1:46">
      <c r="A13" s="31" t="s">
        <v>65</v>
      </c>
      <c r="C13" t="s">
        <v>884</v>
      </c>
      <c r="D13" s="5" t="s">
        <v>57</v>
      </c>
      <c r="E13">
        <v>2035</v>
      </c>
      <c r="F13" s="6" t="str">
        <f t="shared" si="0"/>
        <v>*0.94</v>
      </c>
      <c r="H13" t="s">
        <v>884</v>
      </c>
      <c r="I13" s="5" t="s">
        <v>57</v>
      </c>
      <c r="J13">
        <v>2050</v>
      </c>
      <c r="K13" s="38" t="str">
        <f t="shared" si="1"/>
        <v>*0.91</v>
      </c>
      <c r="P13" s="32" t="s">
        <v>884</v>
      </c>
      <c r="Q13" s="42" t="s">
        <v>57</v>
      </c>
      <c r="R13" s="32">
        <v>2035</v>
      </c>
      <c r="S13" s="43" t="str">
        <f t="shared" si="2"/>
        <v>*0.93</v>
      </c>
      <c r="U13" s="32" t="s">
        <v>884</v>
      </c>
      <c r="V13" s="42" t="s">
        <v>57</v>
      </c>
      <c r="W13" s="32">
        <v>2050</v>
      </c>
      <c r="X13" s="43" t="str">
        <f t="shared" si="3"/>
        <v>*0.9</v>
      </c>
      <c r="AC13" s="33" t="s">
        <v>884</v>
      </c>
      <c r="AD13" s="44" t="s">
        <v>57</v>
      </c>
      <c r="AE13" s="33">
        <v>2035</v>
      </c>
      <c r="AF13" s="45" t="str">
        <f t="shared" si="4"/>
        <v>*0.9</v>
      </c>
      <c r="AG13" s="43" t="str">
        <f t="shared" si="8"/>
        <v>REZoning_Sol-Win</v>
      </c>
      <c r="AI13" s="33" t="s">
        <v>884</v>
      </c>
      <c r="AJ13" s="44" t="s">
        <v>57</v>
      </c>
      <c r="AK13" s="33">
        <v>2050</v>
      </c>
      <c r="AL13" s="45" t="str">
        <f t="shared" si="5"/>
        <v>*0.86</v>
      </c>
      <c r="AM13" s="43" t="str">
        <f t="shared" si="9"/>
        <v>REZoning_Sol-Win</v>
      </c>
      <c r="AP13" t="s">
        <v>884</v>
      </c>
      <c r="AQ13" t="s">
        <v>57</v>
      </c>
      <c r="AR13">
        <v>2100</v>
      </c>
      <c r="AS13" t="s">
        <v>883</v>
      </c>
      <c r="AT13" t="s">
        <v>58</v>
      </c>
    </row>
    <row r="14" ht="29" spans="1:46">
      <c r="A14" s="31" t="s">
        <v>65</v>
      </c>
      <c r="C14" t="s">
        <v>885</v>
      </c>
      <c r="D14" s="5" t="s">
        <v>57</v>
      </c>
      <c r="E14">
        <v>2035</v>
      </c>
      <c r="F14" s="6" t="str">
        <f t="shared" si="0"/>
        <v>*0.94</v>
      </c>
      <c r="H14" t="s">
        <v>885</v>
      </c>
      <c r="I14" s="5" t="s">
        <v>57</v>
      </c>
      <c r="J14">
        <v>2050</v>
      </c>
      <c r="K14" s="38" t="str">
        <f t="shared" si="1"/>
        <v>*0.91</v>
      </c>
      <c r="P14" s="32" t="s">
        <v>885</v>
      </c>
      <c r="Q14" s="42" t="s">
        <v>57</v>
      </c>
      <c r="R14" s="32">
        <v>2035</v>
      </c>
      <c r="S14" s="43" t="str">
        <f t="shared" si="2"/>
        <v>*0.93</v>
      </c>
      <c r="U14" s="32" t="s">
        <v>885</v>
      </c>
      <c r="V14" s="42" t="s">
        <v>57</v>
      </c>
      <c r="W14" s="32">
        <v>2050</v>
      </c>
      <c r="X14" s="43" t="str">
        <f t="shared" si="3"/>
        <v>*0.9</v>
      </c>
      <c r="AC14" s="33" t="s">
        <v>885</v>
      </c>
      <c r="AD14" s="44" t="s">
        <v>57</v>
      </c>
      <c r="AE14" s="33">
        <v>2035</v>
      </c>
      <c r="AF14" s="45" t="str">
        <f t="shared" si="4"/>
        <v>*0.9</v>
      </c>
      <c r="AG14" s="43" t="str">
        <f t="shared" si="8"/>
        <v>REZoning_Sol-Win</v>
      </c>
      <c r="AI14" s="33" t="s">
        <v>885</v>
      </c>
      <c r="AJ14" s="44" t="s">
        <v>57</v>
      </c>
      <c r="AK14" s="33">
        <v>2050</v>
      </c>
      <c r="AL14" s="45" t="str">
        <f t="shared" si="5"/>
        <v>*0.86</v>
      </c>
      <c r="AM14" s="43" t="str">
        <f t="shared" si="9"/>
        <v>REZoning_Sol-Win</v>
      </c>
      <c r="AP14" t="s">
        <v>885</v>
      </c>
      <c r="AQ14" t="s">
        <v>57</v>
      </c>
      <c r="AR14">
        <v>2100</v>
      </c>
      <c r="AS14" t="s">
        <v>883</v>
      </c>
      <c r="AT14" t="s">
        <v>58</v>
      </c>
    </row>
    <row r="15" ht="29" spans="1:46">
      <c r="A15" s="31" t="s">
        <v>65</v>
      </c>
      <c r="C15" t="s">
        <v>886</v>
      </c>
      <c r="D15" s="5" t="s">
        <v>57</v>
      </c>
      <c r="E15">
        <v>2035</v>
      </c>
      <c r="F15" s="6" t="str">
        <f t="shared" si="0"/>
        <v>*0.94</v>
      </c>
      <c r="H15" t="s">
        <v>886</v>
      </c>
      <c r="I15" s="5" t="s">
        <v>57</v>
      </c>
      <c r="J15">
        <v>2050</v>
      </c>
      <c r="K15" s="38" t="str">
        <f t="shared" si="1"/>
        <v>*0.91</v>
      </c>
      <c r="P15" s="32" t="s">
        <v>886</v>
      </c>
      <c r="Q15" s="42" t="s">
        <v>57</v>
      </c>
      <c r="R15" s="32">
        <v>2035</v>
      </c>
      <c r="S15" s="43" t="str">
        <f t="shared" si="2"/>
        <v>*0.93</v>
      </c>
      <c r="U15" s="32" t="s">
        <v>886</v>
      </c>
      <c r="V15" s="42" t="s">
        <v>57</v>
      </c>
      <c r="W15" s="32">
        <v>2050</v>
      </c>
      <c r="X15" s="43" t="str">
        <f t="shared" si="3"/>
        <v>*0.9</v>
      </c>
      <c r="AC15" s="33" t="s">
        <v>886</v>
      </c>
      <c r="AD15" s="44" t="s">
        <v>57</v>
      </c>
      <c r="AE15" s="33">
        <v>2035</v>
      </c>
      <c r="AF15" s="45" t="str">
        <f t="shared" si="4"/>
        <v>*0.9</v>
      </c>
      <c r="AG15" s="43" t="str">
        <f t="shared" si="8"/>
        <v>REZoning_Sol-Win</v>
      </c>
      <c r="AI15" s="33" t="s">
        <v>886</v>
      </c>
      <c r="AJ15" s="44" t="s">
        <v>57</v>
      </c>
      <c r="AK15" s="33">
        <v>2050</v>
      </c>
      <c r="AL15" s="45" t="str">
        <f t="shared" si="5"/>
        <v>*0.86</v>
      </c>
      <c r="AM15" s="43" t="str">
        <f t="shared" si="9"/>
        <v>REZoning_Sol-Win</v>
      </c>
      <c r="AP15" t="s">
        <v>886</v>
      </c>
      <c r="AQ15" t="s">
        <v>57</v>
      </c>
      <c r="AR15">
        <v>2100</v>
      </c>
      <c r="AS15" t="s">
        <v>883</v>
      </c>
      <c r="AT15" t="s">
        <v>58</v>
      </c>
    </row>
    <row r="16" ht="29" spans="1:46">
      <c r="A16" s="31" t="s">
        <v>65</v>
      </c>
      <c r="C16" t="s">
        <v>887</v>
      </c>
      <c r="D16" s="5" t="s">
        <v>57</v>
      </c>
      <c r="E16">
        <v>2035</v>
      </c>
      <c r="F16" s="6" t="str">
        <f t="shared" si="0"/>
        <v>*0.94</v>
      </c>
      <c r="H16" t="s">
        <v>887</v>
      </c>
      <c r="I16" s="5" t="s">
        <v>57</v>
      </c>
      <c r="J16">
        <v>2050</v>
      </c>
      <c r="K16" s="38" t="str">
        <f t="shared" si="1"/>
        <v>*0.91</v>
      </c>
      <c r="P16" s="32" t="s">
        <v>887</v>
      </c>
      <c r="Q16" s="42" t="s">
        <v>57</v>
      </c>
      <c r="R16" s="32">
        <v>2035</v>
      </c>
      <c r="S16" s="43" t="str">
        <f t="shared" si="2"/>
        <v>*0.93</v>
      </c>
      <c r="U16" s="32" t="s">
        <v>887</v>
      </c>
      <c r="V16" s="42" t="s">
        <v>57</v>
      </c>
      <c r="W16" s="32">
        <v>2050</v>
      </c>
      <c r="X16" s="43" t="str">
        <f t="shared" si="3"/>
        <v>*0.9</v>
      </c>
      <c r="AC16" s="33" t="s">
        <v>887</v>
      </c>
      <c r="AD16" s="44" t="s">
        <v>57</v>
      </c>
      <c r="AE16" s="33">
        <v>2035</v>
      </c>
      <c r="AF16" s="45" t="str">
        <f t="shared" si="4"/>
        <v>*0.9</v>
      </c>
      <c r="AG16" s="43" t="str">
        <f t="shared" si="8"/>
        <v>REZoning_Sol-Win</v>
      </c>
      <c r="AI16" s="33" t="s">
        <v>887</v>
      </c>
      <c r="AJ16" s="44" t="s">
        <v>57</v>
      </c>
      <c r="AK16" s="33">
        <v>2050</v>
      </c>
      <c r="AL16" s="45" t="str">
        <f t="shared" si="5"/>
        <v>*0.86</v>
      </c>
      <c r="AM16" s="43" t="str">
        <f t="shared" si="9"/>
        <v>REZoning_Sol-Win</v>
      </c>
      <c r="AP16" t="s">
        <v>887</v>
      </c>
      <c r="AQ16" t="s">
        <v>57</v>
      </c>
      <c r="AR16">
        <v>2100</v>
      </c>
      <c r="AS16" t="s">
        <v>883</v>
      </c>
      <c r="AT16" t="s">
        <v>58</v>
      </c>
    </row>
    <row r="17" ht="29" spans="1:46">
      <c r="A17" s="31" t="s">
        <v>65</v>
      </c>
      <c r="C17" t="s">
        <v>888</v>
      </c>
      <c r="D17" s="5" t="s">
        <v>57</v>
      </c>
      <c r="E17">
        <v>2035</v>
      </c>
      <c r="F17" s="6" t="str">
        <f t="shared" si="0"/>
        <v>*0.94</v>
      </c>
      <c r="H17" t="s">
        <v>888</v>
      </c>
      <c r="I17" s="5" t="s">
        <v>57</v>
      </c>
      <c r="J17">
        <v>2050</v>
      </c>
      <c r="K17" s="38" t="str">
        <f t="shared" si="1"/>
        <v>*0.91</v>
      </c>
      <c r="P17" s="32" t="s">
        <v>888</v>
      </c>
      <c r="Q17" s="42" t="s">
        <v>57</v>
      </c>
      <c r="R17" s="32">
        <v>2035</v>
      </c>
      <c r="S17" s="43" t="str">
        <f t="shared" si="2"/>
        <v>*0.93</v>
      </c>
      <c r="U17" s="32" t="s">
        <v>888</v>
      </c>
      <c r="V17" s="42" t="s">
        <v>57</v>
      </c>
      <c r="W17" s="32">
        <v>2050</v>
      </c>
      <c r="X17" s="43" t="str">
        <f t="shared" si="3"/>
        <v>*0.9</v>
      </c>
      <c r="AC17" s="33" t="s">
        <v>888</v>
      </c>
      <c r="AD17" s="44" t="s">
        <v>57</v>
      </c>
      <c r="AE17" s="33">
        <v>2035</v>
      </c>
      <c r="AF17" s="45" t="str">
        <f t="shared" si="4"/>
        <v>*0.9</v>
      </c>
      <c r="AG17" s="43" t="str">
        <f t="shared" si="8"/>
        <v>REZoning_Sol-Win</v>
      </c>
      <c r="AI17" s="33" t="s">
        <v>888</v>
      </c>
      <c r="AJ17" s="44" t="s">
        <v>57</v>
      </c>
      <c r="AK17" s="33">
        <v>2050</v>
      </c>
      <c r="AL17" s="45" t="str">
        <f t="shared" si="5"/>
        <v>*0.86</v>
      </c>
      <c r="AM17" s="43" t="str">
        <f t="shared" si="9"/>
        <v>REZoning_Sol-Win</v>
      </c>
      <c r="AP17" t="s">
        <v>888</v>
      </c>
      <c r="AQ17" t="s">
        <v>57</v>
      </c>
      <c r="AR17">
        <v>2100</v>
      </c>
      <c r="AS17" t="s">
        <v>883</v>
      </c>
      <c r="AT17" t="s">
        <v>58</v>
      </c>
    </row>
    <row r="18" ht="29" spans="1:46">
      <c r="A18" s="31" t="s">
        <v>65</v>
      </c>
      <c r="C18" t="s">
        <v>889</v>
      </c>
      <c r="D18" s="5" t="s">
        <v>57</v>
      </c>
      <c r="E18">
        <v>2035</v>
      </c>
      <c r="F18" s="6" t="str">
        <f t="shared" si="0"/>
        <v>*0.94</v>
      </c>
      <c r="H18" t="s">
        <v>889</v>
      </c>
      <c r="I18" s="5" t="s">
        <v>57</v>
      </c>
      <c r="J18">
        <v>2050</v>
      </c>
      <c r="K18" s="38" t="str">
        <f t="shared" si="1"/>
        <v>*0.91</v>
      </c>
      <c r="P18" s="32" t="s">
        <v>889</v>
      </c>
      <c r="Q18" s="42" t="s">
        <v>57</v>
      </c>
      <c r="R18" s="32">
        <v>2035</v>
      </c>
      <c r="S18" s="43" t="str">
        <f t="shared" si="2"/>
        <v>*0.93</v>
      </c>
      <c r="U18" s="32" t="s">
        <v>889</v>
      </c>
      <c r="V18" s="42" t="s">
        <v>57</v>
      </c>
      <c r="W18" s="32">
        <v>2050</v>
      </c>
      <c r="X18" s="43" t="str">
        <f t="shared" si="3"/>
        <v>*0.9</v>
      </c>
      <c r="AC18" s="33" t="s">
        <v>889</v>
      </c>
      <c r="AD18" s="44" t="s">
        <v>57</v>
      </c>
      <c r="AE18" s="33">
        <v>2035</v>
      </c>
      <c r="AF18" s="45" t="str">
        <f t="shared" si="4"/>
        <v>*0.9</v>
      </c>
      <c r="AG18" s="43" t="str">
        <f t="shared" si="8"/>
        <v>REZoning_Sol-Win</v>
      </c>
      <c r="AI18" s="33" t="s">
        <v>889</v>
      </c>
      <c r="AJ18" s="44" t="s">
        <v>57</v>
      </c>
      <c r="AK18" s="33">
        <v>2050</v>
      </c>
      <c r="AL18" s="45" t="str">
        <f t="shared" si="5"/>
        <v>*0.86</v>
      </c>
      <c r="AM18" s="43" t="str">
        <f t="shared" si="9"/>
        <v>REZoning_Sol-Win</v>
      </c>
      <c r="AP18" t="s">
        <v>889</v>
      </c>
      <c r="AQ18" t="s">
        <v>57</v>
      </c>
      <c r="AR18">
        <v>2100</v>
      </c>
      <c r="AS18" t="s">
        <v>883</v>
      </c>
      <c r="AT18" t="s">
        <v>58</v>
      </c>
    </row>
    <row r="19" ht="29" spans="1:46">
      <c r="A19" s="31" t="s">
        <v>65</v>
      </c>
      <c r="C19" t="s">
        <v>890</v>
      </c>
      <c r="D19" s="5" t="s">
        <v>57</v>
      </c>
      <c r="E19">
        <v>2035</v>
      </c>
      <c r="F19" s="6" t="str">
        <f t="shared" si="0"/>
        <v>*0.94</v>
      </c>
      <c r="H19" t="s">
        <v>890</v>
      </c>
      <c r="I19" s="5" t="s">
        <v>57</v>
      </c>
      <c r="J19">
        <v>2050</v>
      </c>
      <c r="K19" s="38" t="str">
        <f t="shared" si="1"/>
        <v>*0.91</v>
      </c>
      <c r="P19" s="32" t="s">
        <v>890</v>
      </c>
      <c r="Q19" s="42" t="s">
        <v>57</v>
      </c>
      <c r="R19" s="32">
        <v>2035</v>
      </c>
      <c r="S19" s="43" t="str">
        <f t="shared" si="2"/>
        <v>*0.93</v>
      </c>
      <c r="U19" s="32" t="s">
        <v>890</v>
      </c>
      <c r="V19" s="42" t="s">
        <v>57</v>
      </c>
      <c r="W19" s="32">
        <v>2050</v>
      </c>
      <c r="X19" s="43" t="str">
        <f t="shared" si="3"/>
        <v>*0.9</v>
      </c>
      <c r="AC19" s="33" t="s">
        <v>890</v>
      </c>
      <c r="AD19" s="44" t="s">
        <v>57</v>
      </c>
      <c r="AE19" s="33">
        <v>2035</v>
      </c>
      <c r="AF19" s="45" t="str">
        <f t="shared" si="4"/>
        <v>*0.9</v>
      </c>
      <c r="AG19" s="43" t="str">
        <f t="shared" si="8"/>
        <v>REZoning_Sol-Win</v>
      </c>
      <c r="AI19" s="33" t="s">
        <v>890</v>
      </c>
      <c r="AJ19" s="44" t="s">
        <v>57</v>
      </c>
      <c r="AK19" s="33">
        <v>2050</v>
      </c>
      <c r="AL19" s="45" t="str">
        <f t="shared" si="5"/>
        <v>*0.86</v>
      </c>
      <c r="AM19" s="43" t="str">
        <f t="shared" si="9"/>
        <v>REZoning_Sol-Win</v>
      </c>
      <c r="AP19" t="s">
        <v>890</v>
      </c>
      <c r="AQ19" t="s">
        <v>57</v>
      </c>
      <c r="AR19">
        <v>2100</v>
      </c>
      <c r="AS19" t="s">
        <v>883</v>
      </c>
      <c r="AT19" t="s">
        <v>58</v>
      </c>
    </row>
    <row r="20" ht="29" spans="1:46">
      <c r="A20" s="31" t="s">
        <v>65</v>
      </c>
      <c r="C20" t="s">
        <v>891</v>
      </c>
      <c r="D20" s="5" t="s">
        <v>57</v>
      </c>
      <c r="E20">
        <v>2035</v>
      </c>
      <c r="F20" s="6" t="str">
        <f t="shared" si="0"/>
        <v>*0.94</v>
      </c>
      <c r="H20" t="s">
        <v>891</v>
      </c>
      <c r="I20" s="5" t="s">
        <v>57</v>
      </c>
      <c r="J20">
        <v>2050</v>
      </c>
      <c r="K20" s="38" t="str">
        <f t="shared" si="1"/>
        <v>*0.91</v>
      </c>
      <c r="P20" s="32" t="s">
        <v>891</v>
      </c>
      <c r="Q20" s="42" t="s">
        <v>57</v>
      </c>
      <c r="R20" s="32">
        <v>2035</v>
      </c>
      <c r="S20" s="43" t="str">
        <f t="shared" si="2"/>
        <v>*0.93</v>
      </c>
      <c r="U20" s="32" t="s">
        <v>891</v>
      </c>
      <c r="V20" s="42" t="s">
        <v>57</v>
      </c>
      <c r="W20" s="32">
        <v>2050</v>
      </c>
      <c r="X20" s="43" t="str">
        <f t="shared" si="3"/>
        <v>*0.9</v>
      </c>
      <c r="AC20" s="33" t="s">
        <v>891</v>
      </c>
      <c r="AD20" s="44" t="s">
        <v>57</v>
      </c>
      <c r="AE20" s="33">
        <v>2035</v>
      </c>
      <c r="AF20" s="45" t="str">
        <f t="shared" si="4"/>
        <v>*0.9</v>
      </c>
      <c r="AG20" s="43" t="str">
        <f t="shared" si="8"/>
        <v>REZoning_Sol-Win</v>
      </c>
      <c r="AI20" s="33" t="s">
        <v>891</v>
      </c>
      <c r="AJ20" s="44" t="s">
        <v>57</v>
      </c>
      <c r="AK20" s="33">
        <v>2050</v>
      </c>
      <c r="AL20" s="45" t="str">
        <f t="shared" si="5"/>
        <v>*0.86</v>
      </c>
      <c r="AM20" s="43" t="str">
        <f t="shared" si="9"/>
        <v>REZoning_Sol-Win</v>
      </c>
      <c r="AP20" t="s">
        <v>891</v>
      </c>
      <c r="AQ20" t="s">
        <v>57</v>
      </c>
      <c r="AR20">
        <v>2100</v>
      </c>
      <c r="AS20" t="s">
        <v>883</v>
      </c>
      <c r="AT20" t="s">
        <v>58</v>
      </c>
    </row>
    <row r="21" ht="29" spans="1:46">
      <c r="A21" s="31" t="s">
        <v>65</v>
      </c>
      <c r="C21" t="s">
        <v>892</v>
      </c>
      <c r="D21" s="5" t="s">
        <v>57</v>
      </c>
      <c r="E21">
        <v>2035</v>
      </c>
      <c r="F21" s="6" t="str">
        <f t="shared" si="0"/>
        <v>*0.94</v>
      </c>
      <c r="H21" t="s">
        <v>892</v>
      </c>
      <c r="I21" s="5" t="s">
        <v>57</v>
      </c>
      <c r="J21">
        <v>2050</v>
      </c>
      <c r="K21" s="38" t="str">
        <f t="shared" si="1"/>
        <v>*0.91</v>
      </c>
      <c r="P21" s="32" t="s">
        <v>892</v>
      </c>
      <c r="Q21" s="42" t="s">
        <v>57</v>
      </c>
      <c r="R21" s="32">
        <v>2035</v>
      </c>
      <c r="S21" s="43" t="str">
        <f t="shared" si="2"/>
        <v>*0.93</v>
      </c>
      <c r="U21" s="32" t="s">
        <v>892</v>
      </c>
      <c r="V21" s="42" t="s">
        <v>57</v>
      </c>
      <c r="W21" s="32">
        <v>2050</v>
      </c>
      <c r="X21" s="43" t="str">
        <f t="shared" si="3"/>
        <v>*0.9</v>
      </c>
      <c r="AC21" s="33" t="s">
        <v>892</v>
      </c>
      <c r="AD21" s="44" t="s">
        <v>57</v>
      </c>
      <c r="AE21" s="33">
        <v>2035</v>
      </c>
      <c r="AF21" s="45" t="str">
        <f t="shared" si="4"/>
        <v>*0.9</v>
      </c>
      <c r="AG21" s="43" t="str">
        <f t="shared" si="8"/>
        <v>REZoning_Sol-Win</v>
      </c>
      <c r="AI21" s="33" t="s">
        <v>892</v>
      </c>
      <c r="AJ21" s="44" t="s">
        <v>57</v>
      </c>
      <c r="AK21" s="33">
        <v>2050</v>
      </c>
      <c r="AL21" s="45" t="str">
        <f t="shared" si="5"/>
        <v>*0.86</v>
      </c>
      <c r="AM21" s="43" t="str">
        <f t="shared" si="9"/>
        <v>REZoning_Sol-Win</v>
      </c>
      <c r="AP21" t="s">
        <v>892</v>
      </c>
      <c r="AQ21" t="s">
        <v>57</v>
      </c>
      <c r="AR21">
        <v>2100</v>
      </c>
      <c r="AS21" t="s">
        <v>883</v>
      </c>
      <c r="AT21" t="s">
        <v>58</v>
      </c>
    </row>
    <row r="22" ht="29" spans="1:46">
      <c r="A22" s="31" t="s">
        <v>65</v>
      </c>
      <c r="C22" t="s">
        <v>893</v>
      </c>
      <c r="D22" s="5" t="s">
        <v>57</v>
      </c>
      <c r="E22">
        <v>2035</v>
      </c>
      <c r="F22" s="6" t="str">
        <f t="shared" si="0"/>
        <v>*0.94</v>
      </c>
      <c r="H22" t="s">
        <v>893</v>
      </c>
      <c r="I22" s="5" t="s">
        <v>57</v>
      </c>
      <c r="J22">
        <v>2050</v>
      </c>
      <c r="K22" s="38" t="str">
        <f t="shared" si="1"/>
        <v>*0.91</v>
      </c>
      <c r="P22" s="32" t="s">
        <v>893</v>
      </c>
      <c r="Q22" s="42" t="s">
        <v>57</v>
      </c>
      <c r="R22" s="32">
        <v>2035</v>
      </c>
      <c r="S22" s="43" t="str">
        <f t="shared" si="2"/>
        <v>*0.93</v>
      </c>
      <c r="U22" s="32" t="s">
        <v>893</v>
      </c>
      <c r="V22" s="42" t="s">
        <v>57</v>
      </c>
      <c r="W22" s="32">
        <v>2050</v>
      </c>
      <c r="X22" s="43" t="str">
        <f t="shared" si="3"/>
        <v>*0.9</v>
      </c>
      <c r="AC22" s="33" t="s">
        <v>893</v>
      </c>
      <c r="AD22" s="44" t="s">
        <v>57</v>
      </c>
      <c r="AE22" s="33">
        <v>2035</v>
      </c>
      <c r="AF22" s="45" t="str">
        <f t="shared" si="4"/>
        <v>*0.9</v>
      </c>
      <c r="AG22" s="43" t="str">
        <f t="shared" si="8"/>
        <v>REZoning_Sol-Win</v>
      </c>
      <c r="AI22" s="33" t="s">
        <v>893</v>
      </c>
      <c r="AJ22" s="44" t="s">
        <v>57</v>
      </c>
      <c r="AK22" s="33">
        <v>2050</v>
      </c>
      <c r="AL22" s="45" t="str">
        <f t="shared" si="5"/>
        <v>*0.86</v>
      </c>
      <c r="AM22" s="43" t="str">
        <f t="shared" si="9"/>
        <v>REZoning_Sol-Win</v>
      </c>
      <c r="AP22" t="s">
        <v>893</v>
      </c>
      <c r="AQ22" t="s">
        <v>57</v>
      </c>
      <c r="AR22">
        <v>2100</v>
      </c>
      <c r="AS22" t="s">
        <v>883</v>
      </c>
      <c r="AT22" t="s">
        <v>58</v>
      </c>
    </row>
    <row r="23" ht="29" spans="1:46">
      <c r="A23" s="31" t="s">
        <v>65</v>
      </c>
      <c r="C23" t="s">
        <v>894</v>
      </c>
      <c r="D23" s="5" t="s">
        <v>57</v>
      </c>
      <c r="E23">
        <v>2035</v>
      </c>
      <c r="F23" s="6" t="str">
        <f t="shared" si="0"/>
        <v>*0.94</v>
      </c>
      <c r="H23" t="s">
        <v>894</v>
      </c>
      <c r="I23" s="5" t="s">
        <v>57</v>
      </c>
      <c r="J23">
        <v>2050</v>
      </c>
      <c r="K23" s="38" t="str">
        <f t="shared" si="1"/>
        <v>*0.91</v>
      </c>
      <c r="P23" s="32" t="s">
        <v>894</v>
      </c>
      <c r="Q23" s="42" t="s">
        <v>57</v>
      </c>
      <c r="R23" s="32">
        <v>2035</v>
      </c>
      <c r="S23" s="43" t="str">
        <f t="shared" si="2"/>
        <v>*0.93</v>
      </c>
      <c r="U23" s="32" t="s">
        <v>894</v>
      </c>
      <c r="V23" s="42" t="s">
        <v>57</v>
      </c>
      <c r="W23" s="32">
        <v>2050</v>
      </c>
      <c r="X23" s="43" t="str">
        <f t="shared" si="3"/>
        <v>*0.9</v>
      </c>
      <c r="AC23" s="33" t="s">
        <v>894</v>
      </c>
      <c r="AD23" s="44" t="s">
        <v>57</v>
      </c>
      <c r="AE23" s="33">
        <v>2035</v>
      </c>
      <c r="AF23" s="45" t="str">
        <f t="shared" si="4"/>
        <v>*0.9</v>
      </c>
      <c r="AG23" s="43" t="str">
        <f t="shared" si="8"/>
        <v>REZoning_Sol-Win</v>
      </c>
      <c r="AI23" s="33" t="s">
        <v>894</v>
      </c>
      <c r="AJ23" s="44" t="s">
        <v>57</v>
      </c>
      <c r="AK23" s="33">
        <v>2050</v>
      </c>
      <c r="AL23" s="45" t="str">
        <f t="shared" si="5"/>
        <v>*0.86</v>
      </c>
      <c r="AM23" s="43" t="str">
        <f t="shared" si="9"/>
        <v>REZoning_Sol-Win</v>
      </c>
      <c r="AP23" t="s">
        <v>894</v>
      </c>
      <c r="AQ23" t="s">
        <v>57</v>
      </c>
      <c r="AR23">
        <v>2100</v>
      </c>
      <c r="AS23" t="s">
        <v>883</v>
      </c>
      <c r="AT23" t="s">
        <v>58</v>
      </c>
    </row>
    <row r="24" ht="29" spans="1:46">
      <c r="A24" s="31" t="s">
        <v>65</v>
      </c>
      <c r="C24" t="s">
        <v>895</v>
      </c>
      <c r="D24" s="5" t="s">
        <v>57</v>
      </c>
      <c r="E24">
        <v>2035</v>
      </c>
      <c r="F24" s="6" t="str">
        <f t="shared" si="0"/>
        <v>*0.94</v>
      </c>
      <c r="H24" t="s">
        <v>895</v>
      </c>
      <c r="I24" s="5" t="s">
        <v>57</v>
      </c>
      <c r="J24">
        <v>2050</v>
      </c>
      <c r="K24" s="38" t="str">
        <f t="shared" si="1"/>
        <v>*0.91</v>
      </c>
      <c r="P24" s="32" t="s">
        <v>895</v>
      </c>
      <c r="Q24" s="42" t="s">
        <v>57</v>
      </c>
      <c r="R24" s="32">
        <v>2035</v>
      </c>
      <c r="S24" s="43" t="str">
        <f t="shared" si="2"/>
        <v>*0.93</v>
      </c>
      <c r="U24" s="32" t="s">
        <v>895</v>
      </c>
      <c r="V24" s="42" t="s">
        <v>57</v>
      </c>
      <c r="W24" s="32">
        <v>2050</v>
      </c>
      <c r="X24" s="43" t="str">
        <f t="shared" si="3"/>
        <v>*0.9</v>
      </c>
      <c r="AC24" s="33" t="s">
        <v>895</v>
      </c>
      <c r="AD24" s="44" t="s">
        <v>57</v>
      </c>
      <c r="AE24" s="33">
        <v>2035</v>
      </c>
      <c r="AF24" s="45" t="str">
        <f t="shared" si="4"/>
        <v>*0.9</v>
      </c>
      <c r="AG24" s="43" t="str">
        <f t="shared" si="8"/>
        <v>REZoning_Sol-Win</v>
      </c>
      <c r="AI24" s="33" t="s">
        <v>895</v>
      </c>
      <c r="AJ24" s="44" t="s">
        <v>57</v>
      </c>
      <c r="AK24" s="33">
        <v>2050</v>
      </c>
      <c r="AL24" s="45" t="str">
        <f t="shared" si="5"/>
        <v>*0.86</v>
      </c>
      <c r="AM24" s="43" t="str">
        <f t="shared" si="9"/>
        <v>REZoning_Sol-Win</v>
      </c>
      <c r="AP24" t="s">
        <v>895</v>
      </c>
      <c r="AQ24" t="s">
        <v>57</v>
      </c>
      <c r="AR24">
        <v>2100</v>
      </c>
      <c r="AS24" t="s">
        <v>883</v>
      </c>
      <c r="AT24" t="s">
        <v>58</v>
      </c>
    </row>
    <row r="25" ht="29" spans="1:46">
      <c r="A25" s="31" t="s">
        <v>73</v>
      </c>
      <c r="C25" t="s">
        <v>896</v>
      </c>
      <c r="D25" s="5" t="s">
        <v>57</v>
      </c>
      <c r="E25">
        <v>2035</v>
      </c>
      <c r="F25" s="6" t="str">
        <f t="shared" si="0"/>
        <v>*0.95</v>
      </c>
      <c r="H25" t="s">
        <v>896</v>
      </c>
      <c r="I25" s="5" t="s">
        <v>57</v>
      </c>
      <c r="J25">
        <v>2050</v>
      </c>
      <c r="K25" s="38" t="str">
        <f t="shared" si="1"/>
        <v>*0.93</v>
      </c>
      <c r="P25" s="32" t="s">
        <v>896</v>
      </c>
      <c r="Q25" s="42" t="s">
        <v>57</v>
      </c>
      <c r="R25" s="32">
        <v>2035</v>
      </c>
      <c r="S25" s="43" t="str">
        <f t="shared" si="2"/>
        <v>*0.95</v>
      </c>
      <c r="U25" s="32" t="s">
        <v>896</v>
      </c>
      <c r="V25" s="42" t="s">
        <v>57</v>
      </c>
      <c r="W25" s="32">
        <v>2050</v>
      </c>
      <c r="X25" s="43" t="str">
        <f t="shared" si="3"/>
        <v>*0.93</v>
      </c>
      <c r="AC25" s="33" t="s">
        <v>896</v>
      </c>
      <c r="AD25" s="44" t="s">
        <v>57</v>
      </c>
      <c r="AE25" s="33">
        <v>2035</v>
      </c>
      <c r="AF25" s="45" t="str">
        <f t="shared" si="4"/>
        <v>*0.93</v>
      </c>
      <c r="AG25" s="43" t="str">
        <f t="shared" si="8"/>
        <v>REZoning_Sol-Win</v>
      </c>
      <c r="AI25" s="33" t="s">
        <v>896</v>
      </c>
      <c r="AJ25" s="44" t="s">
        <v>57</v>
      </c>
      <c r="AK25" s="33">
        <v>2050</v>
      </c>
      <c r="AL25" s="45" t="str">
        <f t="shared" si="5"/>
        <v>*0.9</v>
      </c>
      <c r="AM25" s="43" t="str">
        <f t="shared" si="9"/>
        <v>REZoning_Sol-Win</v>
      </c>
      <c r="AP25" t="s">
        <v>896</v>
      </c>
      <c r="AQ25" t="s">
        <v>57</v>
      </c>
      <c r="AR25">
        <v>2100</v>
      </c>
      <c r="AS25" t="s">
        <v>897</v>
      </c>
      <c r="AT25" t="s">
        <v>58</v>
      </c>
    </row>
    <row r="26" ht="29" spans="1:46">
      <c r="A26" s="31" t="s">
        <v>73</v>
      </c>
      <c r="C26" t="s">
        <v>898</v>
      </c>
      <c r="D26" s="5" t="s">
        <v>57</v>
      </c>
      <c r="E26">
        <v>2035</v>
      </c>
      <c r="F26" s="6" t="str">
        <f t="shared" si="0"/>
        <v>*0.95</v>
      </c>
      <c r="H26" t="s">
        <v>898</v>
      </c>
      <c r="I26" s="5" t="s">
        <v>57</v>
      </c>
      <c r="J26">
        <v>2050</v>
      </c>
      <c r="K26" s="38" t="str">
        <f t="shared" si="1"/>
        <v>*0.93</v>
      </c>
      <c r="P26" s="32" t="s">
        <v>898</v>
      </c>
      <c r="Q26" s="42" t="s">
        <v>57</v>
      </c>
      <c r="R26" s="32">
        <v>2035</v>
      </c>
      <c r="S26" s="43" t="str">
        <f t="shared" si="2"/>
        <v>*0.95</v>
      </c>
      <c r="U26" s="32" t="s">
        <v>898</v>
      </c>
      <c r="V26" s="42" t="s">
        <v>57</v>
      </c>
      <c r="W26" s="32">
        <v>2050</v>
      </c>
      <c r="X26" s="43" t="str">
        <f t="shared" si="3"/>
        <v>*0.93</v>
      </c>
      <c r="AC26" s="33" t="s">
        <v>898</v>
      </c>
      <c r="AD26" s="44" t="s">
        <v>57</v>
      </c>
      <c r="AE26" s="33">
        <v>2035</v>
      </c>
      <c r="AF26" s="45" t="str">
        <f t="shared" si="4"/>
        <v>*0.93</v>
      </c>
      <c r="AG26" s="43" t="str">
        <f t="shared" si="8"/>
        <v>REZoning_Sol-Win</v>
      </c>
      <c r="AI26" s="33" t="s">
        <v>898</v>
      </c>
      <c r="AJ26" s="44" t="s">
        <v>57</v>
      </c>
      <c r="AK26" s="33">
        <v>2050</v>
      </c>
      <c r="AL26" s="45" t="str">
        <f t="shared" si="5"/>
        <v>*0.9</v>
      </c>
      <c r="AM26" s="43" t="str">
        <f t="shared" si="9"/>
        <v>REZoning_Sol-Win</v>
      </c>
      <c r="AP26" t="s">
        <v>898</v>
      </c>
      <c r="AQ26" t="s">
        <v>57</v>
      </c>
      <c r="AR26">
        <v>2100</v>
      </c>
      <c r="AS26" t="s">
        <v>897</v>
      </c>
      <c r="AT26" t="s">
        <v>58</v>
      </c>
    </row>
    <row r="27" ht="29" spans="1:46">
      <c r="A27" s="31" t="s">
        <v>73</v>
      </c>
      <c r="C27" t="s">
        <v>899</v>
      </c>
      <c r="D27" s="5" t="s">
        <v>57</v>
      </c>
      <c r="E27">
        <v>2035</v>
      </c>
      <c r="F27" s="6" t="str">
        <f t="shared" si="0"/>
        <v>*0.95</v>
      </c>
      <c r="H27" t="s">
        <v>899</v>
      </c>
      <c r="I27" s="5" t="s">
        <v>57</v>
      </c>
      <c r="J27">
        <v>2050</v>
      </c>
      <c r="K27" s="38" t="str">
        <f t="shared" si="1"/>
        <v>*0.93</v>
      </c>
      <c r="P27" s="32" t="s">
        <v>899</v>
      </c>
      <c r="Q27" s="42" t="s">
        <v>57</v>
      </c>
      <c r="R27" s="32">
        <v>2035</v>
      </c>
      <c r="S27" s="43" t="str">
        <f t="shared" si="2"/>
        <v>*0.95</v>
      </c>
      <c r="U27" s="32" t="s">
        <v>899</v>
      </c>
      <c r="V27" s="42" t="s">
        <v>57</v>
      </c>
      <c r="W27" s="32">
        <v>2050</v>
      </c>
      <c r="X27" s="43" t="str">
        <f t="shared" si="3"/>
        <v>*0.93</v>
      </c>
      <c r="AC27" s="33" t="s">
        <v>899</v>
      </c>
      <c r="AD27" s="44" t="s">
        <v>57</v>
      </c>
      <c r="AE27" s="33">
        <v>2035</v>
      </c>
      <c r="AF27" s="45" t="str">
        <f t="shared" si="4"/>
        <v>*0.93</v>
      </c>
      <c r="AG27" s="43" t="str">
        <f t="shared" si="8"/>
        <v>REZoning_Sol-Win</v>
      </c>
      <c r="AI27" s="33" t="s">
        <v>899</v>
      </c>
      <c r="AJ27" s="44" t="s">
        <v>57</v>
      </c>
      <c r="AK27" s="33">
        <v>2050</v>
      </c>
      <c r="AL27" s="45" t="str">
        <f t="shared" si="5"/>
        <v>*0.9</v>
      </c>
      <c r="AM27" s="43" t="str">
        <f t="shared" si="9"/>
        <v>REZoning_Sol-Win</v>
      </c>
      <c r="AP27" t="s">
        <v>899</v>
      </c>
      <c r="AQ27" t="s">
        <v>57</v>
      </c>
      <c r="AR27">
        <v>2100</v>
      </c>
      <c r="AS27" t="s">
        <v>897</v>
      </c>
      <c r="AT27" t="s">
        <v>58</v>
      </c>
    </row>
    <row r="28" ht="29" spans="1:46">
      <c r="A28" s="31" t="s">
        <v>73</v>
      </c>
      <c r="C28" t="s">
        <v>900</v>
      </c>
      <c r="D28" s="5" t="s">
        <v>57</v>
      </c>
      <c r="E28">
        <v>2035</v>
      </c>
      <c r="F28" s="6" t="str">
        <f t="shared" si="0"/>
        <v>*0.95</v>
      </c>
      <c r="H28" t="s">
        <v>900</v>
      </c>
      <c r="I28" s="5" t="s">
        <v>57</v>
      </c>
      <c r="J28">
        <v>2050</v>
      </c>
      <c r="K28" s="38" t="str">
        <f t="shared" si="1"/>
        <v>*0.93</v>
      </c>
      <c r="P28" s="32" t="s">
        <v>900</v>
      </c>
      <c r="Q28" s="42" t="s">
        <v>57</v>
      </c>
      <c r="R28" s="32">
        <v>2035</v>
      </c>
      <c r="S28" s="43" t="str">
        <f t="shared" si="2"/>
        <v>*0.95</v>
      </c>
      <c r="U28" s="32" t="s">
        <v>900</v>
      </c>
      <c r="V28" s="42" t="s">
        <v>57</v>
      </c>
      <c r="W28" s="32">
        <v>2050</v>
      </c>
      <c r="X28" s="43" t="str">
        <f t="shared" si="3"/>
        <v>*0.93</v>
      </c>
      <c r="AC28" s="33" t="s">
        <v>900</v>
      </c>
      <c r="AD28" s="44" t="s">
        <v>57</v>
      </c>
      <c r="AE28" s="33">
        <v>2035</v>
      </c>
      <c r="AF28" s="45" t="str">
        <f t="shared" si="4"/>
        <v>*0.93</v>
      </c>
      <c r="AG28" s="43" t="str">
        <f t="shared" si="8"/>
        <v>REZoning_Sol-Win</v>
      </c>
      <c r="AI28" s="33" t="s">
        <v>900</v>
      </c>
      <c r="AJ28" s="44" t="s">
        <v>57</v>
      </c>
      <c r="AK28" s="33">
        <v>2050</v>
      </c>
      <c r="AL28" s="45" t="str">
        <f t="shared" si="5"/>
        <v>*0.9</v>
      </c>
      <c r="AM28" s="43" t="str">
        <f t="shared" si="9"/>
        <v>REZoning_Sol-Win</v>
      </c>
      <c r="AP28" t="s">
        <v>900</v>
      </c>
      <c r="AQ28" t="s">
        <v>57</v>
      </c>
      <c r="AR28">
        <v>2100</v>
      </c>
      <c r="AS28" t="s">
        <v>897</v>
      </c>
      <c r="AT28" t="s">
        <v>58</v>
      </c>
    </row>
    <row r="29" ht="29" spans="1:46">
      <c r="A29" s="31" t="s">
        <v>73</v>
      </c>
      <c r="C29" t="s">
        <v>901</v>
      </c>
      <c r="D29" s="5" t="s">
        <v>57</v>
      </c>
      <c r="E29">
        <v>2035</v>
      </c>
      <c r="F29" s="6" t="str">
        <f t="shared" si="0"/>
        <v>*0.95</v>
      </c>
      <c r="H29" t="s">
        <v>901</v>
      </c>
      <c r="I29" s="5" t="s">
        <v>57</v>
      </c>
      <c r="J29">
        <v>2050</v>
      </c>
      <c r="K29" s="38" t="str">
        <f t="shared" si="1"/>
        <v>*0.93</v>
      </c>
      <c r="P29" s="32" t="s">
        <v>901</v>
      </c>
      <c r="Q29" s="42" t="s">
        <v>57</v>
      </c>
      <c r="R29" s="32">
        <v>2035</v>
      </c>
      <c r="S29" s="43" t="str">
        <f t="shared" si="2"/>
        <v>*0.95</v>
      </c>
      <c r="U29" s="32" t="s">
        <v>901</v>
      </c>
      <c r="V29" s="42" t="s">
        <v>57</v>
      </c>
      <c r="W29" s="32">
        <v>2050</v>
      </c>
      <c r="X29" s="43" t="str">
        <f t="shared" si="3"/>
        <v>*0.93</v>
      </c>
      <c r="AC29" s="33" t="s">
        <v>901</v>
      </c>
      <c r="AD29" s="44" t="s">
        <v>57</v>
      </c>
      <c r="AE29" s="33">
        <v>2035</v>
      </c>
      <c r="AF29" s="45" t="str">
        <f t="shared" si="4"/>
        <v>*0.93</v>
      </c>
      <c r="AG29" s="43" t="str">
        <f t="shared" si="8"/>
        <v>REZoning_Sol-Win</v>
      </c>
      <c r="AI29" s="33" t="s">
        <v>901</v>
      </c>
      <c r="AJ29" s="44" t="s">
        <v>57</v>
      </c>
      <c r="AK29" s="33">
        <v>2050</v>
      </c>
      <c r="AL29" s="45" t="str">
        <f t="shared" si="5"/>
        <v>*0.9</v>
      </c>
      <c r="AM29" s="43" t="str">
        <f t="shared" si="9"/>
        <v>REZoning_Sol-Win</v>
      </c>
      <c r="AP29" t="s">
        <v>901</v>
      </c>
      <c r="AQ29" t="s">
        <v>57</v>
      </c>
      <c r="AR29">
        <v>2100</v>
      </c>
      <c r="AS29" t="s">
        <v>897</v>
      </c>
      <c r="AT29" t="s">
        <v>58</v>
      </c>
    </row>
    <row r="30" ht="29" spans="1:46">
      <c r="A30" s="31" t="s">
        <v>73</v>
      </c>
      <c r="C30" t="s">
        <v>902</v>
      </c>
      <c r="D30" s="5" t="s">
        <v>57</v>
      </c>
      <c r="E30">
        <v>2035</v>
      </c>
      <c r="F30" s="6" t="str">
        <f t="shared" si="0"/>
        <v>*0.95</v>
      </c>
      <c r="H30" t="s">
        <v>902</v>
      </c>
      <c r="I30" s="5" t="s">
        <v>57</v>
      </c>
      <c r="J30">
        <v>2050</v>
      </c>
      <c r="K30" s="38" t="str">
        <f t="shared" si="1"/>
        <v>*0.93</v>
      </c>
      <c r="P30" s="32" t="s">
        <v>902</v>
      </c>
      <c r="Q30" s="42" t="s">
        <v>57</v>
      </c>
      <c r="R30" s="32">
        <v>2035</v>
      </c>
      <c r="S30" s="43" t="str">
        <f t="shared" si="2"/>
        <v>*0.95</v>
      </c>
      <c r="U30" s="32" t="s">
        <v>902</v>
      </c>
      <c r="V30" s="42" t="s">
        <v>57</v>
      </c>
      <c r="W30" s="32">
        <v>2050</v>
      </c>
      <c r="X30" s="43" t="str">
        <f t="shared" si="3"/>
        <v>*0.93</v>
      </c>
      <c r="AC30" s="33" t="s">
        <v>902</v>
      </c>
      <c r="AD30" s="44" t="s">
        <v>57</v>
      </c>
      <c r="AE30" s="33">
        <v>2035</v>
      </c>
      <c r="AF30" s="45" t="str">
        <f t="shared" si="4"/>
        <v>*0.93</v>
      </c>
      <c r="AG30" s="43" t="str">
        <f t="shared" si="8"/>
        <v>REZoning_Sol-Win</v>
      </c>
      <c r="AI30" s="33" t="s">
        <v>902</v>
      </c>
      <c r="AJ30" s="44" t="s">
        <v>57</v>
      </c>
      <c r="AK30" s="33">
        <v>2050</v>
      </c>
      <c r="AL30" s="45" t="str">
        <f t="shared" si="5"/>
        <v>*0.9</v>
      </c>
      <c r="AM30" s="43" t="str">
        <f t="shared" si="9"/>
        <v>REZoning_Sol-Win</v>
      </c>
      <c r="AP30" t="s">
        <v>902</v>
      </c>
      <c r="AQ30" t="s">
        <v>57</v>
      </c>
      <c r="AR30">
        <v>2100</v>
      </c>
      <c r="AS30" t="s">
        <v>897</v>
      </c>
      <c r="AT30" t="s">
        <v>58</v>
      </c>
    </row>
    <row r="31" ht="29" spans="1:46">
      <c r="A31" s="31" t="s">
        <v>73</v>
      </c>
      <c r="C31" t="s">
        <v>903</v>
      </c>
      <c r="D31" s="5" t="s">
        <v>57</v>
      </c>
      <c r="E31">
        <v>2035</v>
      </c>
      <c r="F31" s="6" t="str">
        <f t="shared" si="0"/>
        <v>*0.95</v>
      </c>
      <c r="H31" t="s">
        <v>903</v>
      </c>
      <c r="I31" s="5" t="s">
        <v>57</v>
      </c>
      <c r="J31">
        <v>2050</v>
      </c>
      <c r="K31" s="38" t="str">
        <f t="shared" si="1"/>
        <v>*0.93</v>
      </c>
      <c r="P31" s="32" t="s">
        <v>903</v>
      </c>
      <c r="Q31" s="42" t="s">
        <v>57</v>
      </c>
      <c r="R31" s="32">
        <v>2035</v>
      </c>
      <c r="S31" s="43" t="str">
        <f t="shared" si="2"/>
        <v>*0.95</v>
      </c>
      <c r="U31" s="32" t="s">
        <v>903</v>
      </c>
      <c r="V31" s="42" t="s">
        <v>57</v>
      </c>
      <c r="W31" s="32">
        <v>2050</v>
      </c>
      <c r="X31" s="43" t="str">
        <f t="shared" si="3"/>
        <v>*0.93</v>
      </c>
      <c r="AC31" s="33" t="s">
        <v>903</v>
      </c>
      <c r="AD31" s="44" t="s">
        <v>57</v>
      </c>
      <c r="AE31" s="33">
        <v>2035</v>
      </c>
      <c r="AF31" s="45" t="str">
        <f t="shared" si="4"/>
        <v>*0.93</v>
      </c>
      <c r="AG31" s="43" t="str">
        <f t="shared" si="8"/>
        <v>REZoning_Sol-Win</v>
      </c>
      <c r="AI31" s="33" t="s">
        <v>903</v>
      </c>
      <c r="AJ31" s="44" t="s">
        <v>57</v>
      </c>
      <c r="AK31" s="33">
        <v>2050</v>
      </c>
      <c r="AL31" s="45" t="str">
        <f t="shared" si="5"/>
        <v>*0.9</v>
      </c>
      <c r="AM31" s="43" t="str">
        <f t="shared" si="9"/>
        <v>REZoning_Sol-Win</v>
      </c>
      <c r="AP31" t="s">
        <v>903</v>
      </c>
      <c r="AQ31" t="s">
        <v>57</v>
      </c>
      <c r="AR31">
        <v>2100</v>
      </c>
      <c r="AS31" t="s">
        <v>897</v>
      </c>
      <c r="AT31" t="s">
        <v>58</v>
      </c>
    </row>
    <row r="32" ht="29" spans="1:46">
      <c r="A32" s="31" t="s">
        <v>73</v>
      </c>
      <c r="C32" t="s">
        <v>904</v>
      </c>
      <c r="D32" s="5" t="s">
        <v>57</v>
      </c>
      <c r="E32">
        <v>2035</v>
      </c>
      <c r="F32" s="6" t="str">
        <f t="shared" si="0"/>
        <v>*0.95</v>
      </c>
      <c r="H32" t="s">
        <v>904</v>
      </c>
      <c r="I32" s="5" t="s">
        <v>57</v>
      </c>
      <c r="J32">
        <v>2050</v>
      </c>
      <c r="K32" s="38" t="str">
        <f t="shared" si="1"/>
        <v>*0.93</v>
      </c>
      <c r="P32" s="32" t="s">
        <v>904</v>
      </c>
      <c r="Q32" s="42" t="s">
        <v>57</v>
      </c>
      <c r="R32" s="32">
        <v>2035</v>
      </c>
      <c r="S32" s="43" t="str">
        <f t="shared" si="2"/>
        <v>*0.95</v>
      </c>
      <c r="U32" s="32" t="s">
        <v>904</v>
      </c>
      <c r="V32" s="42" t="s">
        <v>57</v>
      </c>
      <c r="W32" s="32">
        <v>2050</v>
      </c>
      <c r="X32" s="43" t="str">
        <f t="shared" si="3"/>
        <v>*0.93</v>
      </c>
      <c r="AC32" s="33" t="s">
        <v>904</v>
      </c>
      <c r="AD32" s="44" t="s">
        <v>57</v>
      </c>
      <c r="AE32" s="33">
        <v>2035</v>
      </c>
      <c r="AF32" s="45" t="str">
        <f t="shared" si="4"/>
        <v>*0.93</v>
      </c>
      <c r="AG32" s="43" t="str">
        <f t="shared" si="8"/>
        <v>REZoning_Sol-Win</v>
      </c>
      <c r="AI32" s="33" t="s">
        <v>904</v>
      </c>
      <c r="AJ32" s="44" t="s">
        <v>57</v>
      </c>
      <c r="AK32" s="33">
        <v>2050</v>
      </c>
      <c r="AL32" s="45" t="str">
        <f t="shared" si="5"/>
        <v>*0.9</v>
      </c>
      <c r="AM32" s="43" t="str">
        <f t="shared" si="9"/>
        <v>REZoning_Sol-Win</v>
      </c>
      <c r="AP32" t="s">
        <v>904</v>
      </c>
      <c r="AQ32" t="s">
        <v>57</v>
      </c>
      <c r="AR32">
        <v>2100</v>
      </c>
      <c r="AS32" t="s">
        <v>897</v>
      </c>
      <c r="AT32" t="s">
        <v>58</v>
      </c>
    </row>
    <row r="33" ht="29" spans="1:46">
      <c r="A33" s="31" t="s">
        <v>73</v>
      </c>
      <c r="C33" t="s">
        <v>905</v>
      </c>
      <c r="D33" s="5" t="s">
        <v>57</v>
      </c>
      <c r="E33">
        <v>2035</v>
      </c>
      <c r="F33" s="6" t="str">
        <f t="shared" si="0"/>
        <v>*0.95</v>
      </c>
      <c r="H33" t="s">
        <v>905</v>
      </c>
      <c r="I33" s="5" t="s">
        <v>57</v>
      </c>
      <c r="J33">
        <v>2050</v>
      </c>
      <c r="K33" s="38" t="str">
        <f t="shared" si="1"/>
        <v>*0.93</v>
      </c>
      <c r="P33" s="32" t="s">
        <v>905</v>
      </c>
      <c r="Q33" s="42" t="s">
        <v>57</v>
      </c>
      <c r="R33" s="32">
        <v>2035</v>
      </c>
      <c r="S33" s="43" t="str">
        <f t="shared" si="2"/>
        <v>*0.95</v>
      </c>
      <c r="U33" s="32" t="s">
        <v>905</v>
      </c>
      <c r="V33" s="42" t="s">
        <v>57</v>
      </c>
      <c r="W33" s="32">
        <v>2050</v>
      </c>
      <c r="X33" s="43" t="str">
        <f t="shared" si="3"/>
        <v>*0.93</v>
      </c>
      <c r="AC33" s="33" t="s">
        <v>905</v>
      </c>
      <c r="AD33" s="44" t="s">
        <v>57</v>
      </c>
      <c r="AE33" s="33">
        <v>2035</v>
      </c>
      <c r="AF33" s="45" t="str">
        <f t="shared" si="4"/>
        <v>*0.93</v>
      </c>
      <c r="AG33" s="43" t="str">
        <f t="shared" si="8"/>
        <v>REZoning_Sol-Win</v>
      </c>
      <c r="AI33" s="33" t="s">
        <v>905</v>
      </c>
      <c r="AJ33" s="44" t="s">
        <v>57</v>
      </c>
      <c r="AK33" s="33">
        <v>2050</v>
      </c>
      <c r="AL33" s="45" t="str">
        <f t="shared" si="5"/>
        <v>*0.9</v>
      </c>
      <c r="AM33" s="43" t="str">
        <f t="shared" si="9"/>
        <v>REZoning_Sol-Win</v>
      </c>
      <c r="AP33" t="s">
        <v>905</v>
      </c>
      <c r="AQ33" t="s">
        <v>57</v>
      </c>
      <c r="AR33">
        <v>2100</v>
      </c>
      <c r="AS33" t="s">
        <v>897</v>
      </c>
      <c r="AT33" t="s">
        <v>58</v>
      </c>
    </row>
    <row r="34" ht="29" spans="1:46">
      <c r="A34" s="31" t="s">
        <v>73</v>
      </c>
      <c r="C34" t="s">
        <v>906</v>
      </c>
      <c r="D34" s="5" t="s">
        <v>57</v>
      </c>
      <c r="E34">
        <v>2035</v>
      </c>
      <c r="F34" s="6" t="str">
        <f t="shared" si="0"/>
        <v>*0.95</v>
      </c>
      <c r="H34" t="s">
        <v>906</v>
      </c>
      <c r="I34" s="5" t="s">
        <v>57</v>
      </c>
      <c r="J34">
        <v>2050</v>
      </c>
      <c r="K34" s="38" t="str">
        <f t="shared" si="1"/>
        <v>*0.93</v>
      </c>
      <c r="P34" s="32" t="s">
        <v>906</v>
      </c>
      <c r="Q34" s="42" t="s">
        <v>57</v>
      </c>
      <c r="R34" s="32">
        <v>2035</v>
      </c>
      <c r="S34" s="43" t="str">
        <f t="shared" si="2"/>
        <v>*0.95</v>
      </c>
      <c r="U34" s="32" t="s">
        <v>906</v>
      </c>
      <c r="V34" s="42" t="s">
        <v>57</v>
      </c>
      <c r="W34" s="32">
        <v>2050</v>
      </c>
      <c r="X34" s="43" t="str">
        <f t="shared" si="3"/>
        <v>*0.93</v>
      </c>
      <c r="AC34" s="33" t="s">
        <v>906</v>
      </c>
      <c r="AD34" s="44" t="s">
        <v>57</v>
      </c>
      <c r="AE34" s="33">
        <v>2035</v>
      </c>
      <c r="AF34" s="45" t="str">
        <f t="shared" si="4"/>
        <v>*0.93</v>
      </c>
      <c r="AG34" s="43" t="str">
        <f t="shared" si="8"/>
        <v>REZoning_Sol-Win</v>
      </c>
      <c r="AI34" s="33" t="s">
        <v>906</v>
      </c>
      <c r="AJ34" s="44" t="s">
        <v>57</v>
      </c>
      <c r="AK34" s="33">
        <v>2050</v>
      </c>
      <c r="AL34" s="45" t="str">
        <f t="shared" si="5"/>
        <v>*0.9</v>
      </c>
      <c r="AM34" s="43" t="str">
        <f t="shared" si="9"/>
        <v>REZoning_Sol-Win</v>
      </c>
      <c r="AP34" t="s">
        <v>906</v>
      </c>
      <c r="AQ34" t="s">
        <v>57</v>
      </c>
      <c r="AR34">
        <v>2100</v>
      </c>
      <c r="AS34" t="s">
        <v>897</v>
      </c>
      <c r="AT34" t="s">
        <v>58</v>
      </c>
    </row>
    <row r="35" ht="29" spans="1:46">
      <c r="A35" s="31" t="s">
        <v>73</v>
      </c>
      <c r="C35" t="s">
        <v>907</v>
      </c>
      <c r="D35" s="5" t="s">
        <v>57</v>
      </c>
      <c r="E35">
        <v>2035</v>
      </c>
      <c r="F35" s="6" t="str">
        <f t="shared" si="0"/>
        <v>*0.95</v>
      </c>
      <c r="H35" t="s">
        <v>907</v>
      </c>
      <c r="I35" s="5" t="s">
        <v>57</v>
      </c>
      <c r="J35">
        <v>2050</v>
      </c>
      <c r="K35" s="38" t="str">
        <f t="shared" si="1"/>
        <v>*0.93</v>
      </c>
      <c r="P35" s="32" t="s">
        <v>907</v>
      </c>
      <c r="Q35" s="42" t="s">
        <v>57</v>
      </c>
      <c r="R35" s="32">
        <v>2035</v>
      </c>
      <c r="S35" s="43" t="str">
        <f t="shared" si="2"/>
        <v>*0.95</v>
      </c>
      <c r="U35" s="32" t="s">
        <v>907</v>
      </c>
      <c r="V35" s="42" t="s">
        <v>57</v>
      </c>
      <c r="W35" s="32">
        <v>2050</v>
      </c>
      <c r="X35" s="43" t="str">
        <f t="shared" si="3"/>
        <v>*0.93</v>
      </c>
      <c r="AC35" s="33" t="s">
        <v>907</v>
      </c>
      <c r="AD35" s="44" t="s">
        <v>57</v>
      </c>
      <c r="AE35" s="33">
        <v>2035</v>
      </c>
      <c r="AF35" s="45" t="str">
        <f t="shared" si="4"/>
        <v>*0.93</v>
      </c>
      <c r="AG35" s="43" t="str">
        <f t="shared" si="8"/>
        <v>REZoning_Sol-Win</v>
      </c>
      <c r="AI35" s="33" t="s">
        <v>907</v>
      </c>
      <c r="AJ35" s="44" t="s">
        <v>57</v>
      </c>
      <c r="AK35" s="33">
        <v>2050</v>
      </c>
      <c r="AL35" s="45" t="str">
        <f t="shared" si="5"/>
        <v>*0.9</v>
      </c>
      <c r="AM35" s="43" t="str">
        <f t="shared" si="9"/>
        <v>REZoning_Sol-Win</v>
      </c>
      <c r="AP35" t="s">
        <v>907</v>
      </c>
      <c r="AQ35" t="s">
        <v>57</v>
      </c>
      <c r="AR35">
        <v>2100</v>
      </c>
      <c r="AS35" t="s">
        <v>897</v>
      </c>
      <c r="AT35" t="s">
        <v>58</v>
      </c>
    </row>
    <row r="36" ht="29" spans="1:46">
      <c r="A36" s="31" t="s">
        <v>73</v>
      </c>
      <c r="C36" t="s">
        <v>908</v>
      </c>
      <c r="D36" s="5" t="s">
        <v>57</v>
      </c>
      <c r="E36">
        <v>2035</v>
      </c>
      <c r="F36" s="6" t="str">
        <f t="shared" si="0"/>
        <v>*0.95</v>
      </c>
      <c r="H36" t="s">
        <v>908</v>
      </c>
      <c r="I36" s="5" t="s">
        <v>57</v>
      </c>
      <c r="J36">
        <v>2050</v>
      </c>
      <c r="K36" s="38" t="str">
        <f t="shared" si="1"/>
        <v>*0.93</v>
      </c>
      <c r="P36" s="32" t="s">
        <v>908</v>
      </c>
      <c r="Q36" s="42" t="s">
        <v>57</v>
      </c>
      <c r="R36" s="32">
        <v>2035</v>
      </c>
      <c r="S36" s="43" t="str">
        <f t="shared" si="2"/>
        <v>*0.95</v>
      </c>
      <c r="U36" s="32" t="s">
        <v>908</v>
      </c>
      <c r="V36" s="42" t="s">
        <v>57</v>
      </c>
      <c r="W36" s="32">
        <v>2050</v>
      </c>
      <c r="X36" s="43" t="str">
        <f t="shared" si="3"/>
        <v>*0.93</v>
      </c>
      <c r="AC36" s="33" t="s">
        <v>908</v>
      </c>
      <c r="AD36" s="44" t="s">
        <v>57</v>
      </c>
      <c r="AE36" s="33">
        <v>2035</v>
      </c>
      <c r="AF36" s="45" t="str">
        <f t="shared" si="4"/>
        <v>*0.93</v>
      </c>
      <c r="AG36" s="43" t="str">
        <f t="shared" si="8"/>
        <v>REZoning_Sol-Win</v>
      </c>
      <c r="AI36" s="33" t="s">
        <v>908</v>
      </c>
      <c r="AJ36" s="44" t="s">
        <v>57</v>
      </c>
      <c r="AK36" s="33">
        <v>2050</v>
      </c>
      <c r="AL36" s="45" t="str">
        <f t="shared" si="5"/>
        <v>*0.9</v>
      </c>
      <c r="AM36" s="43" t="str">
        <f t="shared" si="9"/>
        <v>REZoning_Sol-Win</v>
      </c>
      <c r="AP36" t="s">
        <v>908</v>
      </c>
      <c r="AQ36" t="s">
        <v>57</v>
      </c>
      <c r="AR36">
        <v>2100</v>
      </c>
      <c r="AS36" t="s">
        <v>897</v>
      </c>
      <c r="AT36" t="s">
        <v>58</v>
      </c>
    </row>
    <row r="37" ht="29" spans="1:46">
      <c r="A37" s="31" t="s">
        <v>73</v>
      </c>
      <c r="C37" t="s">
        <v>909</v>
      </c>
      <c r="D37" s="5" t="s">
        <v>57</v>
      </c>
      <c r="E37">
        <v>2035</v>
      </c>
      <c r="F37" s="6" t="str">
        <f t="shared" si="0"/>
        <v>*0.95</v>
      </c>
      <c r="H37" t="s">
        <v>909</v>
      </c>
      <c r="I37" s="5" t="s">
        <v>57</v>
      </c>
      <c r="J37">
        <v>2050</v>
      </c>
      <c r="K37" s="38" t="str">
        <f t="shared" si="1"/>
        <v>*0.93</v>
      </c>
      <c r="P37" s="32" t="s">
        <v>909</v>
      </c>
      <c r="Q37" s="42" t="s">
        <v>57</v>
      </c>
      <c r="R37" s="32">
        <v>2035</v>
      </c>
      <c r="S37" s="43" t="str">
        <f t="shared" si="2"/>
        <v>*0.95</v>
      </c>
      <c r="U37" s="32" t="s">
        <v>909</v>
      </c>
      <c r="V37" s="42" t="s">
        <v>57</v>
      </c>
      <c r="W37" s="32">
        <v>2050</v>
      </c>
      <c r="X37" s="43" t="str">
        <f t="shared" si="3"/>
        <v>*0.93</v>
      </c>
      <c r="AC37" s="33" t="s">
        <v>909</v>
      </c>
      <c r="AD37" s="44" t="s">
        <v>57</v>
      </c>
      <c r="AE37" s="33">
        <v>2035</v>
      </c>
      <c r="AF37" s="45" t="str">
        <f t="shared" si="4"/>
        <v>*0.93</v>
      </c>
      <c r="AG37" s="43" t="str">
        <f t="shared" si="8"/>
        <v>REZoning_Sol-Win</v>
      </c>
      <c r="AI37" s="33" t="s">
        <v>909</v>
      </c>
      <c r="AJ37" s="44" t="s">
        <v>57</v>
      </c>
      <c r="AK37" s="33">
        <v>2050</v>
      </c>
      <c r="AL37" s="45" t="str">
        <f t="shared" si="5"/>
        <v>*0.9</v>
      </c>
      <c r="AM37" s="43" t="str">
        <f t="shared" si="9"/>
        <v>REZoning_Sol-Win</v>
      </c>
      <c r="AP37" t="s">
        <v>909</v>
      </c>
      <c r="AQ37" t="s">
        <v>57</v>
      </c>
      <c r="AR37">
        <v>2100</v>
      </c>
      <c r="AS37" t="s">
        <v>897</v>
      </c>
      <c r="AT37" t="s">
        <v>58</v>
      </c>
    </row>
    <row r="38" ht="29" spans="1:46">
      <c r="A38" s="31" t="s">
        <v>73</v>
      </c>
      <c r="C38" t="s">
        <v>910</v>
      </c>
      <c r="D38" s="5" t="s">
        <v>57</v>
      </c>
      <c r="E38">
        <v>2035</v>
      </c>
      <c r="F38" s="6" t="str">
        <f t="shared" si="0"/>
        <v>*0.95</v>
      </c>
      <c r="H38" t="s">
        <v>910</v>
      </c>
      <c r="I38" s="5" t="s">
        <v>57</v>
      </c>
      <c r="J38">
        <v>2050</v>
      </c>
      <c r="K38" s="38" t="str">
        <f t="shared" si="1"/>
        <v>*0.93</v>
      </c>
      <c r="P38" s="32" t="s">
        <v>910</v>
      </c>
      <c r="Q38" s="42" t="s">
        <v>57</v>
      </c>
      <c r="R38" s="32">
        <v>2035</v>
      </c>
      <c r="S38" s="43" t="str">
        <f t="shared" si="2"/>
        <v>*0.95</v>
      </c>
      <c r="U38" s="32" t="s">
        <v>910</v>
      </c>
      <c r="V38" s="42" t="s">
        <v>57</v>
      </c>
      <c r="W38" s="32">
        <v>2050</v>
      </c>
      <c r="X38" s="43" t="str">
        <f t="shared" si="3"/>
        <v>*0.93</v>
      </c>
      <c r="AC38" s="33" t="s">
        <v>910</v>
      </c>
      <c r="AD38" s="44" t="s">
        <v>57</v>
      </c>
      <c r="AE38" s="33">
        <v>2035</v>
      </c>
      <c r="AF38" s="45" t="str">
        <f t="shared" si="4"/>
        <v>*0.93</v>
      </c>
      <c r="AG38" s="43" t="str">
        <f t="shared" si="8"/>
        <v>REZoning_Sol-Win</v>
      </c>
      <c r="AI38" s="33" t="s">
        <v>910</v>
      </c>
      <c r="AJ38" s="44" t="s">
        <v>57</v>
      </c>
      <c r="AK38" s="33">
        <v>2050</v>
      </c>
      <c r="AL38" s="45" t="str">
        <f t="shared" si="5"/>
        <v>*0.9</v>
      </c>
      <c r="AM38" s="43" t="str">
        <f t="shared" si="9"/>
        <v>REZoning_Sol-Win</v>
      </c>
      <c r="AP38" t="s">
        <v>910</v>
      </c>
      <c r="AQ38" t="s">
        <v>57</v>
      </c>
      <c r="AR38">
        <v>2100</v>
      </c>
      <c r="AS38" t="s">
        <v>897</v>
      </c>
      <c r="AT38" t="s">
        <v>58</v>
      </c>
    </row>
    <row r="39" ht="29" spans="1:46">
      <c r="A39" s="31" t="s">
        <v>73</v>
      </c>
      <c r="C39" t="s">
        <v>911</v>
      </c>
      <c r="D39" s="5" t="s">
        <v>57</v>
      </c>
      <c r="E39">
        <v>2035</v>
      </c>
      <c r="F39" s="6" t="str">
        <f t="shared" si="0"/>
        <v>*0.95</v>
      </c>
      <c r="H39" t="s">
        <v>911</v>
      </c>
      <c r="I39" s="5" t="s">
        <v>57</v>
      </c>
      <c r="J39">
        <v>2050</v>
      </c>
      <c r="K39" s="38" t="str">
        <f t="shared" si="1"/>
        <v>*0.93</v>
      </c>
      <c r="P39" s="32" t="s">
        <v>911</v>
      </c>
      <c r="Q39" s="42" t="s">
        <v>57</v>
      </c>
      <c r="R39" s="32">
        <v>2035</v>
      </c>
      <c r="S39" s="43" t="str">
        <f t="shared" si="2"/>
        <v>*0.95</v>
      </c>
      <c r="U39" s="32" t="s">
        <v>911</v>
      </c>
      <c r="V39" s="42" t="s">
        <v>57</v>
      </c>
      <c r="W39" s="32">
        <v>2050</v>
      </c>
      <c r="X39" s="43" t="str">
        <f t="shared" si="3"/>
        <v>*0.93</v>
      </c>
      <c r="AC39" s="33" t="s">
        <v>911</v>
      </c>
      <c r="AD39" s="44" t="s">
        <v>57</v>
      </c>
      <c r="AE39" s="33">
        <v>2035</v>
      </c>
      <c r="AF39" s="45" t="str">
        <f t="shared" si="4"/>
        <v>*0.93</v>
      </c>
      <c r="AG39" s="43" t="str">
        <f t="shared" si="8"/>
        <v>REZoning_Sol-Win</v>
      </c>
      <c r="AI39" s="33" t="s">
        <v>911</v>
      </c>
      <c r="AJ39" s="44" t="s">
        <v>57</v>
      </c>
      <c r="AK39" s="33">
        <v>2050</v>
      </c>
      <c r="AL39" s="45" t="str">
        <f t="shared" si="5"/>
        <v>*0.9</v>
      </c>
      <c r="AM39" s="43" t="str">
        <f t="shared" si="9"/>
        <v>REZoning_Sol-Win</v>
      </c>
      <c r="AP39" t="s">
        <v>911</v>
      </c>
      <c r="AQ39" t="s">
        <v>57</v>
      </c>
      <c r="AR39">
        <v>2100</v>
      </c>
      <c r="AS39" t="s">
        <v>897</v>
      </c>
      <c r="AT39" t="s">
        <v>58</v>
      </c>
    </row>
    <row r="40" ht="29" spans="1:46">
      <c r="A40" s="31" t="s">
        <v>73</v>
      </c>
      <c r="C40" t="s">
        <v>912</v>
      </c>
      <c r="D40" s="5" t="s">
        <v>57</v>
      </c>
      <c r="E40">
        <v>2035</v>
      </c>
      <c r="F40" s="6" t="str">
        <f t="shared" si="0"/>
        <v>*0.95</v>
      </c>
      <c r="H40" t="s">
        <v>912</v>
      </c>
      <c r="I40" s="5" t="s">
        <v>57</v>
      </c>
      <c r="J40">
        <v>2050</v>
      </c>
      <c r="K40" s="38" t="str">
        <f t="shared" si="1"/>
        <v>*0.93</v>
      </c>
      <c r="P40" s="32" t="s">
        <v>912</v>
      </c>
      <c r="Q40" s="42" t="s">
        <v>57</v>
      </c>
      <c r="R40" s="32">
        <v>2035</v>
      </c>
      <c r="S40" s="43" t="str">
        <f t="shared" si="2"/>
        <v>*0.95</v>
      </c>
      <c r="U40" s="32" t="s">
        <v>912</v>
      </c>
      <c r="V40" s="42" t="s">
        <v>57</v>
      </c>
      <c r="W40" s="32">
        <v>2050</v>
      </c>
      <c r="X40" s="43" t="str">
        <f t="shared" si="3"/>
        <v>*0.93</v>
      </c>
      <c r="AC40" s="33" t="s">
        <v>912</v>
      </c>
      <c r="AD40" s="44" t="s">
        <v>57</v>
      </c>
      <c r="AE40" s="33">
        <v>2035</v>
      </c>
      <c r="AF40" s="45" t="str">
        <f t="shared" si="4"/>
        <v>*0.93</v>
      </c>
      <c r="AG40" s="43" t="str">
        <f t="shared" si="8"/>
        <v>REZoning_Sol-Win</v>
      </c>
      <c r="AI40" s="33" t="s">
        <v>912</v>
      </c>
      <c r="AJ40" s="44" t="s">
        <v>57</v>
      </c>
      <c r="AK40" s="33">
        <v>2050</v>
      </c>
      <c r="AL40" s="45" t="str">
        <f t="shared" si="5"/>
        <v>*0.9</v>
      </c>
      <c r="AM40" s="43" t="str">
        <f t="shared" si="9"/>
        <v>REZoning_Sol-Win</v>
      </c>
      <c r="AP40" t="s">
        <v>912</v>
      </c>
      <c r="AQ40" t="s">
        <v>57</v>
      </c>
      <c r="AR40">
        <v>2100</v>
      </c>
      <c r="AS40" t="s">
        <v>897</v>
      </c>
      <c r="AT40" t="s">
        <v>58</v>
      </c>
    </row>
    <row r="41" ht="29" spans="1:46">
      <c r="A41" s="31" t="s">
        <v>73</v>
      </c>
      <c r="C41" t="s">
        <v>913</v>
      </c>
      <c r="D41" s="5" t="s">
        <v>57</v>
      </c>
      <c r="E41">
        <v>2035</v>
      </c>
      <c r="F41" s="6" t="str">
        <f t="shared" si="0"/>
        <v>*0.95</v>
      </c>
      <c r="H41" t="s">
        <v>913</v>
      </c>
      <c r="I41" s="5" t="s">
        <v>57</v>
      </c>
      <c r="J41">
        <v>2050</v>
      </c>
      <c r="K41" s="38" t="str">
        <f t="shared" si="1"/>
        <v>*0.93</v>
      </c>
      <c r="P41" s="32" t="s">
        <v>913</v>
      </c>
      <c r="Q41" s="42" t="s">
        <v>57</v>
      </c>
      <c r="R41" s="32">
        <v>2035</v>
      </c>
      <c r="S41" s="43" t="str">
        <f t="shared" si="2"/>
        <v>*0.95</v>
      </c>
      <c r="U41" s="32" t="s">
        <v>913</v>
      </c>
      <c r="V41" s="42" t="s">
        <v>57</v>
      </c>
      <c r="W41" s="32">
        <v>2050</v>
      </c>
      <c r="X41" s="43" t="str">
        <f t="shared" si="3"/>
        <v>*0.93</v>
      </c>
      <c r="AC41" s="33" t="s">
        <v>913</v>
      </c>
      <c r="AD41" s="44" t="s">
        <v>57</v>
      </c>
      <c r="AE41" s="33">
        <v>2035</v>
      </c>
      <c r="AF41" s="45" t="str">
        <f t="shared" si="4"/>
        <v>*0.93</v>
      </c>
      <c r="AG41" s="43" t="str">
        <f t="shared" si="8"/>
        <v>REZoning_Sol-Win</v>
      </c>
      <c r="AI41" s="33" t="s">
        <v>913</v>
      </c>
      <c r="AJ41" s="44" t="s">
        <v>57</v>
      </c>
      <c r="AK41" s="33">
        <v>2050</v>
      </c>
      <c r="AL41" s="45" t="str">
        <f t="shared" si="5"/>
        <v>*0.9</v>
      </c>
      <c r="AM41" s="43" t="str">
        <f t="shared" si="9"/>
        <v>REZoning_Sol-Win</v>
      </c>
      <c r="AP41" t="s">
        <v>913</v>
      </c>
      <c r="AQ41" t="s">
        <v>57</v>
      </c>
      <c r="AR41">
        <v>2100</v>
      </c>
      <c r="AS41" t="s">
        <v>897</v>
      </c>
      <c r="AT41" t="s">
        <v>58</v>
      </c>
    </row>
    <row r="42" ht="29" spans="1:46">
      <c r="A42" s="31" t="s">
        <v>73</v>
      </c>
      <c r="C42" t="s">
        <v>914</v>
      </c>
      <c r="D42" s="5" t="s">
        <v>57</v>
      </c>
      <c r="E42">
        <v>2035</v>
      </c>
      <c r="F42" s="6" t="str">
        <f t="shared" si="0"/>
        <v>*0.95</v>
      </c>
      <c r="H42" t="s">
        <v>914</v>
      </c>
      <c r="I42" s="5" t="s">
        <v>57</v>
      </c>
      <c r="J42">
        <v>2050</v>
      </c>
      <c r="K42" s="38" t="str">
        <f t="shared" si="1"/>
        <v>*0.93</v>
      </c>
      <c r="P42" s="32" t="s">
        <v>914</v>
      </c>
      <c r="Q42" s="42" t="s">
        <v>57</v>
      </c>
      <c r="R42" s="32">
        <v>2035</v>
      </c>
      <c r="S42" s="43" t="str">
        <f t="shared" si="2"/>
        <v>*0.95</v>
      </c>
      <c r="U42" s="32" t="s">
        <v>914</v>
      </c>
      <c r="V42" s="42" t="s">
        <v>57</v>
      </c>
      <c r="W42" s="32">
        <v>2050</v>
      </c>
      <c r="X42" s="43" t="str">
        <f t="shared" si="3"/>
        <v>*0.93</v>
      </c>
      <c r="AC42" s="33" t="s">
        <v>914</v>
      </c>
      <c r="AD42" s="44" t="s">
        <v>57</v>
      </c>
      <c r="AE42" s="33">
        <v>2035</v>
      </c>
      <c r="AF42" s="45" t="str">
        <f t="shared" si="4"/>
        <v>*0.93</v>
      </c>
      <c r="AG42" s="43" t="str">
        <f t="shared" si="8"/>
        <v>REZoning_Sol-Win</v>
      </c>
      <c r="AI42" s="33" t="s">
        <v>914</v>
      </c>
      <c r="AJ42" s="44" t="s">
        <v>57</v>
      </c>
      <c r="AK42" s="33">
        <v>2050</v>
      </c>
      <c r="AL42" s="45" t="str">
        <f t="shared" si="5"/>
        <v>*0.9</v>
      </c>
      <c r="AM42" s="43" t="str">
        <f t="shared" si="9"/>
        <v>REZoning_Sol-Win</v>
      </c>
      <c r="AP42" t="s">
        <v>914</v>
      </c>
      <c r="AQ42" t="s">
        <v>57</v>
      </c>
      <c r="AR42">
        <v>2100</v>
      </c>
      <c r="AS42" t="s">
        <v>897</v>
      </c>
      <c r="AT42" t="s">
        <v>58</v>
      </c>
    </row>
    <row r="43" ht="29" spans="1:46">
      <c r="A43" s="31" t="s">
        <v>73</v>
      </c>
      <c r="C43" t="s">
        <v>915</v>
      </c>
      <c r="D43" s="5" t="s">
        <v>57</v>
      </c>
      <c r="E43">
        <v>2035</v>
      </c>
      <c r="F43" s="6" t="str">
        <f t="shared" si="0"/>
        <v>*0.95</v>
      </c>
      <c r="H43" t="s">
        <v>915</v>
      </c>
      <c r="I43" s="5" t="s">
        <v>57</v>
      </c>
      <c r="J43">
        <v>2050</v>
      </c>
      <c r="K43" s="38" t="str">
        <f t="shared" si="1"/>
        <v>*0.93</v>
      </c>
      <c r="P43" s="32" t="s">
        <v>915</v>
      </c>
      <c r="Q43" s="42" t="s">
        <v>57</v>
      </c>
      <c r="R43" s="32">
        <v>2035</v>
      </c>
      <c r="S43" s="43" t="str">
        <f t="shared" si="2"/>
        <v>*0.95</v>
      </c>
      <c r="U43" s="32" t="s">
        <v>915</v>
      </c>
      <c r="V43" s="42" t="s">
        <v>57</v>
      </c>
      <c r="W43" s="32">
        <v>2050</v>
      </c>
      <c r="X43" s="43" t="str">
        <f t="shared" si="3"/>
        <v>*0.93</v>
      </c>
      <c r="AC43" s="33" t="s">
        <v>915</v>
      </c>
      <c r="AD43" s="44" t="s">
        <v>57</v>
      </c>
      <c r="AE43" s="33">
        <v>2035</v>
      </c>
      <c r="AF43" s="45" t="str">
        <f t="shared" si="4"/>
        <v>*0.93</v>
      </c>
      <c r="AG43" s="43" t="str">
        <f t="shared" si="8"/>
        <v>REZoning_Sol-Win</v>
      </c>
      <c r="AI43" s="33" t="s">
        <v>915</v>
      </c>
      <c r="AJ43" s="44" t="s">
        <v>57</v>
      </c>
      <c r="AK43" s="33">
        <v>2050</v>
      </c>
      <c r="AL43" s="45" t="str">
        <f t="shared" si="5"/>
        <v>*0.9</v>
      </c>
      <c r="AM43" s="43" t="str">
        <f t="shared" si="9"/>
        <v>REZoning_Sol-Win</v>
      </c>
      <c r="AP43" t="s">
        <v>915</v>
      </c>
      <c r="AQ43" t="s">
        <v>57</v>
      </c>
      <c r="AR43">
        <v>2100</v>
      </c>
      <c r="AS43" t="s">
        <v>897</v>
      </c>
      <c r="AT43" t="s">
        <v>58</v>
      </c>
    </row>
    <row r="44" ht="29" spans="1:46">
      <c r="A44" s="31" t="s">
        <v>73</v>
      </c>
      <c r="C44" t="s">
        <v>916</v>
      </c>
      <c r="D44" s="5" t="s">
        <v>57</v>
      </c>
      <c r="E44">
        <v>2035</v>
      </c>
      <c r="F44" s="6" t="str">
        <f t="shared" si="0"/>
        <v>*0.95</v>
      </c>
      <c r="H44" t="s">
        <v>916</v>
      </c>
      <c r="I44" s="5" t="s">
        <v>57</v>
      </c>
      <c r="J44">
        <v>2050</v>
      </c>
      <c r="K44" s="38" t="str">
        <f t="shared" si="1"/>
        <v>*0.93</v>
      </c>
      <c r="P44" s="32" t="s">
        <v>916</v>
      </c>
      <c r="Q44" s="42" t="s">
        <v>57</v>
      </c>
      <c r="R44" s="32">
        <v>2035</v>
      </c>
      <c r="S44" s="43" t="str">
        <f t="shared" si="2"/>
        <v>*0.95</v>
      </c>
      <c r="U44" s="32" t="s">
        <v>916</v>
      </c>
      <c r="V44" s="42" t="s">
        <v>57</v>
      </c>
      <c r="W44" s="32">
        <v>2050</v>
      </c>
      <c r="X44" s="43" t="str">
        <f t="shared" si="3"/>
        <v>*0.93</v>
      </c>
      <c r="AC44" s="33" t="s">
        <v>916</v>
      </c>
      <c r="AD44" s="44" t="s">
        <v>57</v>
      </c>
      <c r="AE44" s="33">
        <v>2035</v>
      </c>
      <c r="AF44" s="45" t="str">
        <f t="shared" si="4"/>
        <v>*0.93</v>
      </c>
      <c r="AG44" s="43" t="str">
        <f t="shared" si="8"/>
        <v>REZoning_Sol-Win</v>
      </c>
      <c r="AI44" s="33" t="s">
        <v>916</v>
      </c>
      <c r="AJ44" s="44" t="s">
        <v>57</v>
      </c>
      <c r="AK44" s="33">
        <v>2050</v>
      </c>
      <c r="AL44" s="45" t="str">
        <f t="shared" si="5"/>
        <v>*0.9</v>
      </c>
      <c r="AM44" s="43" t="str">
        <f t="shared" si="9"/>
        <v>REZoning_Sol-Win</v>
      </c>
      <c r="AP44" t="s">
        <v>916</v>
      </c>
      <c r="AQ44" t="s">
        <v>57</v>
      </c>
      <c r="AR44">
        <v>2100</v>
      </c>
      <c r="AS44" t="s">
        <v>897</v>
      </c>
      <c r="AT44" t="s">
        <v>58</v>
      </c>
    </row>
    <row r="45" ht="29" spans="1:46">
      <c r="A45" s="31" t="s">
        <v>73</v>
      </c>
      <c r="C45" t="s">
        <v>917</v>
      </c>
      <c r="D45" s="5" t="s">
        <v>57</v>
      </c>
      <c r="E45">
        <v>2035</v>
      </c>
      <c r="F45" s="6" t="str">
        <f t="shared" si="0"/>
        <v>*0.95</v>
      </c>
      <c r="H45" t="s">
        <v>917</v>
      </c>
      <c r="I45" s="5" t="s">
        <v>57</v>
      </c>
      <c r="J45">
        <v>2050</v>
      </c>
      <c r="K45" s="38" t="str">
        <f t="shared" si="1"/>
        <v>*0.93</v>
      </c>
      <c r="P45" s="32" t="s">
        <v>917</v>
      </c>
      <c r="Q45" s="42" t="s">
        <v>57</v>
      </c>
      <c r="R45" s="32">
        <v>2035</v>
      </c>
      <c r="S45" s="43" t="str">
        <f t="shared" si="2"/>
        <v>*0.95</v>
      </c>
      <c r="U45" s="32" t="s">
        <v>917</v>
      </c>
      <c r="V45" s="42" t="s">
        <v>57</v>
      </c>
      <c r="W45" s="32">
        <v>2050</v>
      </c>
      <c r="X45" s="43" t="str">
        <f t="shared" si="3"/>
        <v>*0.93</v>
      </c>
      <c r="AC45" s="33" t="s">
        <v>917</v>
      </c>
      <c r="AD45" s="44" t="s">
        <v>57</v>
      </c>
      <c r="AE45" s="33">
        <v>2035</v>
      </c>
      <c r="AF45" s="45" t="str">
        <f t="shared" si="4"/>
        <v>*0.93</v>
      </c>
      <c r="AG45" s="43" t="str">
        <f t="shared" si="8"/>
        <v>REZoning_Sol-Win</v>
      </c>
      <c r="AI45" s="33" t="s">
        <v>917</v>
      </c>
      <c r="AJ45" s="44" t="s">
        <v>57</v>
      </c>
      <c r="AK45" s="33">
        <v>2050</v>
      </c>
      <c r="AL45" s="45" t="str">
        <f t="shared" si="5"/>
        <v>*0.9</v>
      </c>
      <c r="AM45" s="43" t="str">
        <f t="shared" si="9"/>
        <v>REZoning_Sol-Win</v>
      </c>
      <c r="AP45" t="s">
        <v>917</v>
      </c>
      <c r="AQ45" t="s">
        <v>57</v>
      </c>
      <c r="AR45">
        <v>2100</v>
      </c>
      <c r="AS45" t="s">
        <v>897</v>
      </c>
      <c r="AT45" t="s">
        <v>58</v>
      </c>
    </row>
    <row r="46" ht="29" spans="1:46">
      <c r="A46" s="31" t="s">
        <v>79</v>
      </c>
      <c r="C46" t="s">
        <v>918</v>
      </c>
      <c r="D46" s="5" t="s">
        <v>57</v>
      </c>
      <c r="E46">
        <v>2035</v>
      </c>
      <c r="F46" s="6" t="str">
        <f t="shared" si="0"/>
        <v>*0.94</v>
      </c>
      <c r="H46" t="s">
        <v>918</v>
      </c>
      <c r="I46" s="5" t="s">
        <v>57</v>
      </c>
      <c r="J46">
        <v>2050</v>
      </c>
      <c r="K46" s="38" t="str">
        <f t="shared" si="1"/>
        <v>*0.9</v>
      </c>
      <c r="P46" s="32" t="s">
        <v>918</v>
      </c>
      <c r="Q46" s="42" t="s">
        <v>57</v>
      </c>
      <c r="R46" s="32">
        <v>2035</v>
      </c>
      <c r="S46" s="43" t="str">
        <f t="shared" si="2"/>
        <v>*0.92</v>
      </c>
      <c r="U46" s="32" t="s">
        <v>918</v>
      </c>
      <c r="V46" s="42" t="s">
        <v>57</v>
      </c>
      <c r="W46" s="32">
        <v>2050</v>
      </c>
      <c r="X46" s="43" t="str">
        <f t="shared" si="3"/>
        <v>*0.89</v>
      </c>
      <c r="AC46" s="33" t="s">
        <v>918</v>
      </c>
      <c r="AD46" s="44" t="s">
        <v>57</v>
      </c>
      <c r="AE46" s="33">
        <v>2035</v>
      </c>
      <c r="AF46" s="45" t="str">
        <f t="shared" si="4"/>
        <v>*0.89</v>
      </c>
      <c r="AG46" s="43" t="str">
        <f t="shared" si="8"/>
        <v>REZoning_Sol-Win</v>
      </c>
      <c r="AI46" s="33" t="s">
        <v>918</v>
      </c>
      <c r="AJ46" s="44" t="s">
        <v>57</v>
      </c>
      <c r="AK46" s="33">
        <v>2050</v>
      </c>
      <c r="AL46" s="45" t="str">
        <f t="shared" si="5"/>
        <v>*0.84</v>
      </c>
      <c r="AM46" s="43" t="str">
        <f t="shared" si="9"/>
        <v>REZoning_Sol-Win</v>
      </c>
      <c r="AP46" t="s">
        <v>918</v>
      </c>
      <c r="AQ46" t="s">
        <v>57</v>
      </c>
      <c r="AR46">
        <v>2100</v>
      </c>
      <c r="AS46" t="s">
        <v>919</v>
      </c>
      <c r="AT46" t="s">
        <v>58</v>
      </c>
    </row>
    <row r="47" ht="29" spans="1:46">
      <c r="A47" s="31" t="s">
        <v>79</v>
      </c>
      <c r="C47" t="s">
        <v>920</v>
      </c>
      <c r="D47" s="5" t="s">
        <v>57</v>
      </c>
      <c r="E47">
        <v>2035</v>
      </c>
      <c r="F47" s="6" t="str">
        <f t="shared" si="0"/>
        <v>*0.94</v>
      </c>
      <c r="H47" t="s">
        <v>920</v>
      </c>
      <c r="I47" s="5" t="s">
        <v>57</v>
      </c>
      <c r="J47">
        <v>2050</v>
      </c>
      <c r="K47" s="38" t="str">
        <f t="shared" si="1"/>
        <v>*0.9</v>
      </c>
      <c r="P47" s="32" t="s">
        <v>920</v>
      </c>
      <c r="Q47" s="42" t="s">
        <v>57</v>
      </c>
      <c r="R47" s="32">
        <v>2035</v>
      </c>
      <c r="S47" s="43" t="str">
        <f t="shared" si="2"/>
        <v>*0.92</v>
      </c>
      <c r="U47" s="32" t="s">
        <v>920</v>
      </c>
      <c r="V47" s="42" t="s">
        <v>57</v>
      </c>
      <c r="W47" s="32">
        <v>2050</v>
      </c>
      <c r="X47" s="43" t="str">
        <f t="shared" si="3"/>
        <v>*0.89</v>
      </c>
      <c r="AC47" s="33" t="s">
        <v>920</v>
      </c>
      <c r="AD47" s="44" t="s">
        <v>57</v>
      </c>
      <c r="AE47" s="33">
        <v>2035</v>
      </c>
      <c r="AF47" s="45" t="str">
        <f t="shared" si="4"/>
        <v>*0.89</v>
      </c>
      <c r="AG47" s="43" t="str">
        <f t="shared" si="8"/>
        <v>REZoning_Sol-Win</v>
      </c>
      <c r="AI47" s="33" t="s">
        <v>920</v>
      </c>
      <c r="AJ47" s="44" t="s">
        <v>57</v>
      </c>
      <c r="AK47" s="33">
        <v>2050</v>
      </c>
      <c r="AL47" s="45" t="str">
        <f t="shared" si="5"/>
        <v>*0.84</v>
      </c>
      <c r="AM47" s="43" t="str">
        <f t="shared" si="9"/>
        <v>REZoning_Sol-Win</v>
      </c>
      <c r="AP47" t="s">
        <v>920</v>
      </c>
      <c r="AQ47" t="s">
        <v>57</v>
      </c>
      <c r="AR47">
        <v>2100</v>
      </c>
      <c r="AS47" t="s">
        <v>919</v>
      </c>
      <c r="AT47" t="s">
        <v>58</v>
      </c>
    </row>
    <row r="48" ht="29" spans="1:46">
      <c r="A48" s="31" t="s">
        <v>79</v>
      </c>
      <c r="C48" t="s">
        <v>921</v>
      </c>
      <c r="D48" s="5" t="s">
        <v>57</v>
      </c>
      <c r="E48">
        <v>2035</v>
      </c>
      <c r="F48" s="6" t="str">
        <f t="shared" si="0"/>
        <v>*0.94</v>
      </c>
      <c r="H48" t="s">
        <v>921</v>
      </c>
      <c r="I48" s="5" t="s">
        <v>57</v>
      </c>
      <c r="J48">
        <v>2050</v>
      </c>
      <c r="K48" s="38" t="str">
        <f t="shared" si="1"/>
        <v>*0.9</v>
      </c>
      <c r="P48" s="32" t="s">
        <v>921</v>
      </c>
      <c r="Q48" s="42" t="s">
        <v>57</v>
      </c>
      <c r="R48" s="32">
        <v>2035</v>
      </c>
      <c r="S48" s="43" t="str">
        <f t="shared" si="2"/>
        <v>*0.92</v>
      </c>
      <c r="U48" s="32" t="s">
        <v>921</v>
      </c>
      <c r="V48" s="42" t="s">
        <v>57</v>
      </c>
      <c r="W48" s="32">
        <v>2050</v>
      </c>
      <c r="X48" s="43" t="str">
        <f t="shared" si="3"/>
        <v>*0.89</v>
      </c>
      <c r="AC48" s="33" t="s">
        <v>921</v>
      </c>
      <c r="AD48" s="44" t="s">
        <v>57</v>
      </c>
      <c r="AE48" s="33">
        <v>2035</v>
      </c>
      <c r="AF48" s="45" t="str">
        <f t="shared" si="4"/>
        <v>*0.89</v>
      </c>
      <c r="AG48" s="43" t="str">
        <f t="shared" si="8"/>
        <v>REZoning_Sol-Win</v>
      </c>
      <c r="AI48" s="33" t="s">
        <v>921</v>
      </c>
      <c r="AJ48" s="44" t="s">
        <v>57</v>
      </c>
      <c r="AK48" s="33">
        <v>2050</v>
      </c>
      <c r="AL48" s="45" t="str">
        <f t="shared" si="5"/>
        <v>*0.84</v>
      </c>
      <c r="AM48" s="43" t="str">
        <f t="shared" si="9"/>
        <v>REZoning_Sol-Win</v>
      </c>
      <c r="AP48" t="s">
        <v>921</v>
      </c>
      <c r="AQ48" t="s">
        <v>57</v>
      </c>
      <c r="AR48">
        <v>2100</v>
      </c>
      <c r="AS48" t="s">
        <v>919</v>
      </c>
      <c r="AT48" t="s">
        <v>58</v>
      </c>
    </row>
    <row r="49" ht="29" spans="1:46">
      <c r="A49" s="31" t="s">
        <v>79</v>
      </c>
      <c r="C49" t="s">
        <v>922</v>
      </c>
      <c r="D49" s="5" t="s">
        <v>57</v>
      </c>
      <c r="E49">
        <v>2035</v>
      </c>
      <c r="F49" s="6" t="str">
        <f t="shared" si="0"/>
        <v>*0.94</v>
      </c>
      <c r="H49" t="s">
        <v>922</v>
      </c>
      <c r="I49" s="5" t="s">
        <v>57</v>
      </c>
      <c r="J49">
        <v>2050</v>
      </c>
      <c r="K49" s="38" t="str">
        <f t="shared" si="1"/>
        <v>*0.9</v>
      </c>
      <c r="P49" s="32" t="s">
        <v>922</v>
      </c>
      <c r="Q49" s="42" t="s">
        <v>57</v>
      </c>
      <c r="R49" s="32">
        <v>2035</v>
      </c>
      <c r="S49" s="43" t="str">
        <f t="shared" si="2"/>
        <v>*0.92</v>
      </c>
      <c r="U49" s="32" t="s">
        <v>922</v>
      </c>
      <c r="V49" s="42" t="s">
        <v>57</v>
      </c>
      <c r="W49" s="32">
        <v>2050</v>
      </c>
      <c r="X49" s="43" t="str">
        <f t="shared" si="3"/>
        <v>*0.89</v>
      </c>
      <c r="AC49" s="33" t="s">
        <v>922</v>
      </c>
      <c r="AD49" s="44" t="s">
        <v>57</v>
      </c>
      <c r="AE49" s="33">
        <v>2035</v>
      </c>
      <c r="AF49" s="45" t="str">
        <f t="shared" si="4"/>
        <v>*0.89</v>
      </c>
      <c r="AG49" s="43" t="str">
        <f t="shared" si="8"/>
        <v>REZoning_Sol-Win</v>
      </c>
      <c r="AI49" s="33" t="s">
        <v>922</v>
      </c>
      <c r="AJ49" s="44" t="s">
        <v>57</v>
      </c>
      <c r="AK49" s="33">
        <v>2050</v>
      </c>
      <c r="AL49" s="45" t="str">
        <f t="shared" si="5"/>
        <v>*0.84</v>
      </c>
      <c r="AM49" s="43" t="str">
        <f t="shared" si="9"/>
        <v>REZoning_Sol-Win</v>
      </c>
      <c r="AP49" t="s">
        <v>922</v>
      </c>
      <c r="AQ49" t="s">
        <v>57</v>
      </c>
      <c r="AR49">
        <v>2100</v>
      </c>
      <c r="AS49" t="s">
        <v>919</v>
      </c>
      <c r="AT49" t="s">
        <v>58</v>
      </c>
    </row>
    <row r="50" ht="29" spans="1:46">
      <c r="A50" s="31" t="s">
        <v>79</v>
      </c>
      <c r="C50" t="s">
        <v>923</v>
      </c>
      <c r="D50" s="5" t="s">
        <v>57</v>
      </c>
      <c r="E50">
        <v>2035</v>
      </c>
      <c r="F50" s="6" t="str">
        <f t="shared" si="0"/>
        <v>*0.94</v>
      </c>
      <c r="H50" t="s">
        <v>923</v>
      </c>
      <c r="I50" s="5" t="s">
        <v>57</v>
      </c>
      <c r="J50">
        <v>2050</v>
      </c>
      <c r="K50" s="38" t="str">
        <f t="shared" si="1"/>
        <v>*0.9</v>
      </c>
      <c r="P50" s="32" t="s">
        <v>923</v>
      </c>
      <c r="Q50" s="42" t="s">
        <v>57</v>
      </c>
      <c r="R50" s="32">
        <v>2035</v>
      </c>
      <c r="S50" s="43" t="str">
        <f t="shared" si="2"/>
        <v>*0.92</v>
      </c>
      <c r="U50" s="32" t="s">
        <v>923</v>
      </c>
      <c r="V50" s="42" t="s">
        <v>57</v>
      </c>
      <c r="W50" s="32">
        <v>2050</v>
      </c>
      <c r="X50" s="43" t="str">
        <f t="shared" si="3"/>
        <v>*0.89</v>
      </c>
      <c r="AC50" s="33" t="s">
        <v>923</v>
      </c>
      <c r="AD50" s="44" t="s">
        <v>57</v>
      </c>
      <c r="AE50" s="33">
        <v>2035</v>
      </c>
      <c r="AF50" s="45" t="str">
        <f t="shared" si="4"/>
        <v>*0.89</v>
      </c>
      <c r="AG50" s="43" t="str">
        <f t="shared" si="8"/>
        <v>REZoning_Sol-Win</v>
      </c>
      <c r="AI50" s="33" t="s">
        <v>923</v>
      </c>
      <c r="AJ50" s="44" t="s">
        <v>57</v>
      </c>
      <c r="AK50" s="33">
        <v>2050</v>
      </c>
      <c r="AL50" s="45" t="str">
        <f t="shared" si="5"/>
        <v>*0.84</v>
      </c>
      <c r="AM50" s="43" t="str">
        <f t="shared" si="9"/>
        <v>REZoning_Sol-Win</v>
      </c>
      <c r="AP50" t="s">
        <v>923</v>
      </c>
      <c r="AQ50" t="s">
        <v>57</v>
      </c>
      <c r="AR50">
        <v>2100</v>
      </c>
      <c r="AS50" t="s">
        <v>919</v>
      </c>
      <c r="AT50" t="s">
        <v>58</v>
      </c>
    </row>
    <row r="51" ht="29" spans="1:46">
      <c r="A51" s="31" t="s">
        <v>79</v>
      </c>
      <c r="C51" t="s">
        <v>924</v>
      </c>
      <c r="D51" s="5" t="s">
        <v>57</v>
      </c>
      <c r="E51">
        <v>2035</v>
      </c>
      <c r="F51" s="6" t="str">
        <f t="shared" si="0"/>
        <v>*0.94</v>
      </c>
      <c r="H51" t="s">
        <v>924</v>
      </c>
      <c r="I51" s="5" t="s">
        <v>57</v>
      </c>
      <c r="J51">
        <v>2050</v>
      </c>
      <c r="K51" s="38" t="str">
        <f t="shared" si="1"/>
        <v>*0.9</v>
      </c>
      <c r="P51" s="32" t="s">
        <v>924</v>
      </c>
      <c r="Q51" s="42" t="s">
        <v>57</v>
      </c>
      <c r="R51" s="32">
        <v>2035</v>
      </c>
      <c r="S51" s="43" t="str">
        <f t="shared" si="2"/>
        <v>*0.92</v>
      </c>
      <c r="U51" s="32" t="s">
        <v>924</v>
      </c>
      <c r="V51" s="42" t="s">
        <v>57</v>
      </c>
      <c r="W51" s="32">
        <v>2050</v>
      </c>
      <c r="X51" s="43" t="str">
        <f t="shared" si="3"/>
        <v>*0.89</v>
      </c>
      <c r="AC51" s="33" t="s">
        <v>924</v>
      </c>
      <c r="AD51" s="44" t="s">
        <v>57</v>
      </c>
      <c r="AE51" s="33">
        <v>2035</v>
      </c>
      <c r="AF51" s="45" t="str">
        <f t="shared" si="4"/>
        <v>*0.89</v>
      </c>
      <c r="AG51" s="43" t="str">
        <f t="shared" si="8"/>
        <v>REZoning_Sol-Win</v>
      </c>
      <c r="AI51" s="33" t="s">
        <v>924</v>
      </c>
      <c r="AJ51" s="44" t="s">
        <v>57</v>
      </c>
      <c r="AK51" s="33">
        <v>2050</v>
      </c>
      <c r="AL51" s="45" t="str">
        <f t="shared" si="5"/>
        <v>*0.84</v>
      </c>
      <c r="AM51" s="43" t="str">
        <f t="shared" si="9"/>
        <v>REZoning_Sol-Win</v>
      </c>
      <c r="AP51" t="s">
        <v>924</v>
      </c>
      <c r="AQ51" t="s">
        <v>57</v>
      </c>
      <c r="AR51">
        <v>2100</v>
      </c>
      <c r="AS51" t="s">
        <v>919</v>
      </c>
      <c r="AT51" t="s">
        <v>58</v>
      </c>
    </row>
    <row r="52" ht="29" spans="1:46">
      <c r="A52" s="31" t="s">
        <v>79</v>
      </c>
      <c r="C52" t="s">
        <v>925</v>
      </c>
      <c r="D52" s="5" t="s">
        <v>57</v>
      </c>
      <c r="E52">
        <v>2035</v>
      </c>
      <c r="F52" s="6" t="str">
        <f t="shared" si="0"/>
        <v>*0.94</v>
      </c>
      <c r="H52" t="s">
        <v>925</v>
      </c>
      <c r="I52" s="5" t="s">
        <v>57</v>
      </c>
      <c r="J52">
        <v>2050</v>
      </c>
      <c r="K52" s="38" t="str">
        <f t="shared" si="1"/>
        <v>*0.9</v>
      </c>
      <c r="P52" s="32" t="s">
        <v>925</v>
      </c>
      <c r="Q52" s="42" t="s">
        <v>57</v>
      </c>
      <c r="R52" s="32">
        <v>2035</v>
      </c>
      <c r="S52" s="43" t="str">
        <f t="shared" si="2"/>
        <v>*0.92</v>
      </c>
      <c r="U52" s="32" t="s">
        <v>925</v>
      </c>
      <c r="V52" s="42" t="s">
        <v>57</v>
      </c>
      <c r="W52" s="32">
        <v>2050</v>
      </c>
      <c r="X52" s="43" t="str">
        <f t="shared" si="3"/>
        <v>*0.89</v>
      </c>
      <c r="AC52" s="33" t="s">
        <v>925</v>
      </c>
      <c r="AD52" s="44" t="s">
        <v>57</v>
      </c>
      <c r="AE52" s="33">
        <v>2035</v>
      </c>
      <c r="AF52" s="45" t="str">
        <f t="shared" si="4"/>
        <v>*0.89</v>
      </c>
      <c r="AG52" s="43" t="str">
        <f t="shared" si="8"/>
        <v>REZoning_Sol-Win</v>
      </c>
      <c r="AI52" s="33" t="s">
        <v>925</v>
      </c>
      <c r="AJ52" s="44" t="s">
        <v>57</v>
      </c>
      <c r="AK52" s="33">
        <v>2050</v>
      </c>
      <c r="AL52" s="45" t="str">
        <f t="shared" si="5"/>
        <v>*0.84</v>
      </c>
      <c r="AM52" s="43" t="str">
        <f t="shared" si="9"/>
        <v>REZoning_Sol-Win</v>
      </c>
      <c r="AP52" t="s">
        <v>925</v>
      </c>
      <c r="AQ52" t="s">
        <v>57</v>
      </c>
      <c r="AR52">
        <v>2100</v>
      </c>
      <c r="AS52" t="s">
        <v>919</v>
      </c>
      <c r="AT52" t="s">
        <v>58</v>
      </c>
    </row>
    <row r="53" ht="29" spans="1:46">
      <c r="A53" s="31" t="s">
        <v>79</v>
      </c>
      <c r="C53" t="s">
        <v>926</v>
      </c>
      <c r="D53" s="5" t="s">
        <v>57</v>
      </c>
      <c r="E53">
        <v>2035</v>
      </c>
      <c r="F53" s="6" t="str">
        <f t="shared" si="0"/>
        <v>*0.94</v>
      </c>
      <c r="H53" t="s">
        <v>926</v>
      </c>
      <c r="I53" s="5" t="s">
        <v>57</v>
      </c>
      <c r="J53">
        <v>2050</v>
      </c>
      <c r="K53" s="38" t="str">
        <f t="shared" si="1"/>
        <v>*0.9</v>
      </c>
      <c r="P53" s="32" t="s">
        <v>926</v>
      </c>
      <c r="Q53" s="42" t="s">
        <v>57</v>
      </c>
      <c r="R53" s="32">
        <v>2035</v>
      </c>
      <c r="S53" s="43" t="str">
        <f t="shared" si="2"/>
        <v>*0.92</v>
      </c>
      <c r="U53" s="32" t="s">
        <v>926</v>
      </c>
      <c r="V53" s="42" t="s">
        <v>57</v>
      </c>
      <c r="W53" s="32">
        <v>2050</v>
      </c>
      <c r="X53" s="43" t="str">
        <f t="shared" si="3"/>
        <v>*0.89</v>
      </c>
      <c r="AC53" s="33" t="s">
        <v>926</v>
      </c>
      <c r="AD53" s="44" t="s">
        <v>57</v>
      </c>
      <c r="AE53" s="33">
        <v>2035</v>
      </c>
      <c r="AF53" s="45" t="str">
        <f t="shared" si="4"/>
        <v>*0.89</v>
      </c>
      <c r="AG53" s="43" t="str">
        <f t="shared" si="8"/>
        <v>REZoning_Sol-Win</v>
      </c>
      <c r="AI53" s="33" t="s">
        <v>926</v>
      </c>
      <c r="AJ53" s="44" t="s">
        <v>57</v>
      </c>
      <c r="AK53" s="33">
        <v>2050</v>
      </c>
      <c r="AL53" s="45" t="str">
        <f t="shared" si="5"/>
        <v>*0.84</v>
      </c>
      <c r="AM53" s="43" t="str">
        <f t="shared" si="9"/>
        <v>REZoning_Sol-Win</v>
      </c>
      <c r="AP53" t="s">
        <v>926</v>
      </c>
      <c r="AQ53" t="s">
        <v>57</v>
      </c>
      <c r="AR53">
        <v>2100</v>
      </c>
      <c r="AS53" t="s">
        <v>919</v>
      </c>
      <c r="AT53" t="s">
        <v>58</v>
      </c>
    </row>
    <row r="54" ht="29" spans="1:46">
      <c r="A54" s="31" t="s">
        <v>79</v>
      </c>
      <c r="C54" t="s">
        <v>927</v>
      </c>
      <c r="D54" s="5" t="s">
        <v>57</v>
      </c>
      <c r="E54">
        <v>2035</v>
      </c>
      <c r="F54" s="6" t="str">
        <f t="shared" si="0"/>
        <v>*0.94</v>
      </c>
      <c r="H54" t="s">
        <v>927</v>
      </c>
      <c r="I54" s="5" t="s">
        <v>57</v>
      </c>
      <c r="J54">
        <v>2050</v>
      </c>
      <c r="K54" s="38" t="str">
        <f t="shared" si="1"/>
        <v>*0.9</v>
      </c>
      <c r="P54" s="32" t="s">
        <v>927</v>
      </c>
      <c r="Q54" s="42" t="s">
        <v>57</v>
      </c>
      <c r="R54" s="32">
        <v>2035</v>
      </c>
      <c r="S54" s="43" t="str">
        <f t="shared" si="2"/>
        <v>*0.92</v>
      </c>
      <c r="U54" s="32" t="s">
        <v>927</v>
      </c>
      <c r="V54" s="42" t="s">
        <v>57</v>
      </c>
      <c r="W54" s="32">
        <v>2050</v>
      </c>
      <c r="X54" s="43" t="str">
        <f t="shared" si="3"/>
        <v>*0.89</v>
      </c>
      <c r="AC54" s="33" t="s">
        <v>927</v>
      </c>
      <c r="AD54" s="44" t="s">
        <v>57</v>
      </c>
      <c r="AE54" s="33">
        <v>2035</v>
      </c>
      <c r="AF54" s="45" t="str">
        <f t="shared" si="4"/>
        <v>*0.89</v>
      </c>
      <c r="AG54" s="43" t="str">
        <f t="shared" si="8"/>
        <v>REZoning_Sol-Win</v>
      </c>
      <c r="AI54" s="33" t="s">
        <v>927</v>
      </c>
      <c r="AJ54" s="44" t="s">
        <v>57</v>
      </c>
      <c r="AK54" s="33">
        <v>2050</v>
      </c>
      <c r="AL54" s="45" t="str">
        <f t="shared" si="5"/>
        <v>*0.84</v>
      </c>
      <c r="AM54" s="43" t="str">
        <f t="shared" si="9"/>
        <v>REZoning_Sol-Win</v>
      </c>
      <c r="AP54" t="s">
        <v>927</v>
      </c>
      <c r="AQ54" t="s">
        <v>57</v>
      </c>
      <c r="AR54">
        <v>2100</v>
      </c>
      <c r="AS54" t="s">
        <v>919</v>
      </c>
      <c r="AT54" t="s">
        <v>58</v>
      </c>
    </row>
    <row r="55" ht="29" spans="1:46">
      <c r="A55" s="31" t="s">
        <v>79</v>
      </c>
      <c r="C55" t="s">
        <v>928</v>
      </c>
      <c r="D55" s="5" t="s">
        <v>57</v>
      </c>
      <c r="E55">
        <v>2035</v>
      </c>
      <c r="F55" s="6" t="str">
        <f t="shared" si="0"/>
        <v>*0.94</v>
      </c>
      <c r="H55" t="s">
        <v>928</v>
      </c>
      <c r="I55" s="5" t="s">
        <v>57</v>
      </c>
      <c r="J55">
        <v>2050</v>
      </c>
      <c r="K55" s="38" t="str">
        <f t="shared" si="1"/>
        <v>*0.9</v>
      </c>
      <c r="P55" s="32" t="s">
        <v>928</v>
      </c>
      <c r="Q55" s="42" t="s">
        <v>57</v>
      </c>
      <c r="R55" s="32">
        <v>2035</v>
      </c>
      <c r="S55" s="43" t="str">
        <f t="shared" si="2"/>
        <v>*0.92</v>
      </c>
      <c r="U55" s="32" t="s">
        <v>928</v>
      </c>
      <c r="V55" s="42" t="s">
        <v>57</v>
      </c>
      <c r="W55" s="32">
        <v>2050</v>
      </c>
      <c r="X55" s="43" t="str">
        <f t="shared" si="3"/>
        <v>*0.89</v>
      </c>
      <c r="AC55" s="33" t="s">
        <v>928</v>
      </c>
      <c r="AD55" s="44" t="s">
        <v>57</v>
      </c>
      <c r="AE55" s="33">
        <v>2035</v>
      </c>
      <c r="AF55" s="45" t="str">
        <f t="shared" si="4"/>
        <v>*0.89</v>
      </c>
      <c r="AG55" s="43" t="str">
        <f t="shared" si="8"/>
        <v>REZoning_Sol-Win</v>
      </c>
      <c r="AI55" s="33" t="s">
        <v>928</v>
      </c>
      <c r="AJ55" s="44" t="s">
        <v>57</v>
      </c>
      <c r="AK55" s="33">
        <v>2050</v>
      </c>
      <c r="AL55" s="45" t="str">
        <f t="shared" si="5"/>
        <v>*0.84</v>
      </c>
      <c r="AM55" s="43" t="str">
        <f t="shared" si="9"/>
        <v>REZoning_Sol-Win</v>
      </c>
      <c r="AP55" t="s">
        <v>928</v>
      </c>
      <c r="AQ55" t="s">
        <v>57</v>
      </c>
      <c r="AR55">
        <v>2100</v>
      </c>
      <c r="AS55" t="s">
        <v>919</v>
      </c>
      <c r="AT55" t="s">
        <v>58</v>
      </c>
    </row>
    <row r="56" ht="29" spans="1:46">
      <c r="A56" s="31" t="s">
        <v>79</v>
      </c>
      <c r="C56" t="s">
        <v>929</v>
      </c>
      <c r="D56" s="5" t="s">
        <v>57</v>
      </c>
      <c r="E56">
        <v>2035</v>
      </c>
      <c r="F56" s="6" t="str">
        <f t="shared" si="0"/>
        <v>*0.94</v>
      </c>
      <c r="H56" t="s">
        <v>929</v>
      </c>
      <c r="I56" s="5" t="s">
        <v>57</v>
      </c>
      <c r="J56">
        <v>2050</v>
      </c>
      <c r="K56" s="38" t="str">
        <f t="shared" si="1"/>
        <v>*0.9</v>
      </c>
      <c r="P56" s="32" t="s">
        <v>929</v>
      </c>
      <c r="Q56" s="42" t="s">
        <v>57</v>
      </c>
      <c r="R56" s="32">
        <v>2035</v>
      </c>
      <c r="S56" s="43" t="str">
        <f t="shared" si="2"/>
        <v>*0.92</v>
      </c>
      <c r="U56" s="32" t="s">
        <v>929</v>
      </c>
      <c r="V56" s="42" t="s">
        <v>57</v>
      </c>
      <c r="W56" s="32">
        <v>2050</v>
      </c>
      <c r="X56" s="43" t="str">
        <f t="shared" si="3"/>
        <v>*0.89</v>
      </c>
      <c r="AC56" s="33" t="s">
        <v>929</v>
      </c>
      <c r="AD56" s="44" t="s">
        <v>57</v>
      </c>
      <c r="AE56" s="33">
        <v>2035</v>
      </c>
      <c r="AF56" s="45" t="str">
        <f t="shared" si="4"/>
        <v>*0.89</v>
      </c>
      <c r="AG56" s="43" t="str">
        <f t="shared" si="8"/>
        <v>REZoning_Sol-Win</v>
      </c>
      <c r="AI56" s="33" t="s">
        <v>929</v>
      </c>
      <c r="AJ56" s="44" t="s">
        <v>57</v>
      </c>
      <c r="AK56" s="33">
        <v>2050</v>
      </c>
      <c r="AL56" s="45" t="str">
        <f t="shared" si="5"/>
        <v>*0.84</v>
      </c>
      <c r="AM56" s="43" t="str">
        <f t="shared" si="9"/>
        <v>REZoning_Sol-Win</v>
      </c>
      <c r="AP56" t="s">
        <v>929</v>
      </c>
      <c r="AQ56" t="s">
        <v>57</v>
      </c>
      <c r="AR56">
        <v>2100</v>
      </c>
      <c r="AS56" t="s">
        <v>919</v>
      </c>
      <c r="AT56" t="s">
        <v>58</v>
      </c>
    </row>
    <row r="57" ht="29" spans="1:46">
      <c r="A57" s="31" t="s">
        <v>79</v>
      </c>
      <c r="C57" t="s">
        <v>930</v>
      </c>
      <c r="D57" s="5" t="s">
        <v>57</v>
      </c>
      <c r="E57">
        <v>2035</v>
      </c>
      <c r="F57" s="6" t="str">
        <f t="shared" si="0"/>
        <v>*0.94</v>
      </c>
      <c r="H57" t="s">
        <v>930</v>
      </c>
      <c r="I57" s="5" t="s">
        <v>57</v>
      </c>
      <c r="J57">
        <v>2050</v>
      </c>
      <c r="K57" s="38" t="str">
        <f t="shared" si="1"/>
        <v>*0.9</v>
      </c>
      <c r="P57" s="32" t="s">
        <v>930</v>
      </c>
      <c r="Q57" s="42" t="s">
        <v>57</v>
      </c>
      <c r="R57" s="32">
        <v>2035</v>
      </c>
      <c r="S57" s="43" t="str">
        <f t="shared" si="2"/>
        <v>*0.92</v>
      </c>
      <c r="U57" s="32" t="s">
        <v>930</v>
      </c>
      <c r="V57" s="42" t="s">
        <v>57</v>
      </c>
      <c r="W57" s="32">
        <v>2050</v>
      </c>
      <c r="X57" s="43" t="str">
        <f t="shared" si="3"/>
        <v>*0.89</v>
      </c>
      <c r="AC57" s="33" t="s">
        <v>930</v>
      </c>
      <c r="AD57" s="44" t="s">
        <v>57</v>
      </c>
      <c r="AE57" s="33">
        <v>2035</v>
      </c>
      <c r="AF57" s="45" t="str">
        <f t="shared" si="4"/>
        <v>*0.89</v>
      </c>
      <c r="AG57" s="43" t="str">
        <f t="shared" si="8"/>
        <v>REZoning_Sol-Win</v>
      </c>
      <c r="AI57" s="33" t="s">
        <v>930</v>
      </c>
      <c r="AJ57" s="44" t="s">
        <v>57</v>
      </c>
      <c r="AK57" s="33">
        <v>2050</v>
      </c>
      <c r="AL57" s="45" t="str">
        <f t="shared" si="5"/>
        <v>*0.84</v>
      </c>
      <c r="AM57" s="43" t="str">
        <f t="shared" si="9"/>
        <v>REZoning_Sol-Win</v>
      </c>
      <c r="AP57" t="s">
        <v>930</v>
      </c>
      <c r="AQ57" t="s">
        <v>57</v>
      </c>
      <c r="AR57">
        <v>2100</v>
      </c>
      <c r="AS57" t="s">
        <v>919</v>
      </c>
      <c r="AT57" t="s">
        <v>58</v>
      </c>
    </row>
    <row r="58" ht="29" spans="1:46">
      <c r="A58" s="31" t="s">
        <v>79</v>
      </c>
      <c r="C58" t="s">
        <v>931</v>
      </c>
      <c r="D58" s="5" t="s">
        <v>57</v>
      </c>
      <c r="E58">
        <v>2035</v>
      </c>
      <c r="F58" s="6" t="str">
        <f t="shared" si="0"/>
        <v>*0.94</v>
      </c>
      <c r="H58" t="s">
        <v>931</v>
      </c>
      <c r="I58" s="5" t="s">
        <v>57</v>
      </c>
      <c r="J58">
        <v>2050</v>
      </c>
      <c r="K58" s="38" t="str">
        <f t="shared" si="1"/>
        <v>*0.9</v>
      </c>
      <c r="P58" s="32" t="s">
        <v>931</v>
      </c>
      <c r="Q58" s="42" t="s">
        <v>57</v>
      </c>
      <c r="R58" s="32">
        <v>2035</v>
      </c>
      <c r="S58" s="43" t="str">
        <f t="shared" si="2"/>
        <v>*0.92</v>
      </c>
      <c r="U58" s="32" t="s">
        <v>931</v>
      </c>
      <c r="V58" s="42" t="s">
        <v>57</v>
      </c>
      <c r="W58" s="32">
        <v>2050</v>
      </c>
      <c r="X58" s="43" t="str">
        <f t="shared" si="3"/>
        <v>*0.89</v>
      </c>
      <c r="AC58" s="33" t="s">
        <v>931</v>
      </c>
      <c r="AD58" s="44" t="s">
        <v>57</v>
      </c>
      <c r="AE58" s="33">
        <v>2035</v>
      </c>
      <c r="AF58" s="45" t="str">
        <f t="shared" si="4"/>
        <v>*0.89</v>
      </c>
      <c r="AG58" s="43" t="str">
        <f t="shared" si="8"/>
        <v>REZoning_Sol-Win</v>
      </c>
      <c r="AI58" s="33" t="s">
        <v>931</v>
      </c>
      <c r="AJ58" s="44" t="s">
        <v>57</v>
      </c>
      <c r="AK58" s="33">
        <v>2050</v>
      </c>
      <c r="AL58" s="45" t="str">
        <f t="shared" si="5"/>
        <v>*0.84</v>
      </c>
      <c r="AM58" s="43" t="str">
        <f t="shared" si="9"/>
        <v>REZoning_Sol-Win</v>
      </c>
      <c r="AP58" t="s">
        <v>931</v>
      </c>
      <c r="AQ58" t="s">
        <v>57</v>
      </c>
      <c r="AR58">
        <v>2100</v>
      </c>
      <c r="AS58" t="s">
        <v>919</v>
      </c>
      <c r="AT58" t="s">
        <v>58</v>
      </c>
    </row>
    <row r="59" ht="29" spans="1:46">
      <c r="A59" s="31" t="s">
        <v>79</v>
      </c>
      <c r="C59" t="s">
        <v>932</v>
      </c>
      <c r="D59" s="5" t="s">
        <v>57</v>
      </c>
      <c r="E59">
        <v>2035</v>
      </c>
      <c r="F59" s="6" t="str">
        <f t="shared" si="0"/>
        <v>*0.94</v>
      </c>
      <c r="H59" t="s">
        <v>932</v>
      </c>
      <c r="I59" s="5" t="s">
        <v>57</v>
      </c>
      <c r="J59">
        <v>2050</v>
      </c>
      <c r="K59" s="38" t="str">
        <f t="shared" si="1"/>
        <v>*0.9</v>
      </c>
      <c r="P59" s="32" t="s">
        <v>932</v>
      </c>
      <c r="Q59" s="42" t="s">
        <v>57</v>
      </c>
      <c r="R59" s="32">
        <v>2035</v>
      </c>
      <c r="S59" s="43" t="str">
        <f t="shared" si="2"/>
        <v>*0.92</v>
      </c>
      <c r="U59" s="32" t="s">
        <v>932</v>
      </c>
      <c r="V59" s="42" t="s">
        <v>57</v>
      </c>
      <c r="W59" s="32">
        <v>2050</v>
      </c>
      <c r="X59" s="43" t="str">
        <f t="shared" si="3"/>
        <v>*0.89</v>
      </c>
      <c r="AC59" s="33" t="s">
        <v>932</v>
      </c>
      <c r="AD59" s="44" t="s">
        <v>57</v>
      </c>
      <c r="AE59" s="33">
        <v>2035</v>
      </c>
      <c r="AF59" s="45" t="str">
        <f t="shared" si="4"/>
        <v>*0.89</v>
      </c>
      <c r="AG59" s="43" t="str">
        <f t="shared" si="8"/>
        <v>REZoning_Sol-Win</v>
      </c>
      <c r="AI59" s="33" t="s">
        <v>932</v>
      </c>
      <c r="AJ59" s="44" t="s">
        <v>57</v>
      </c>
      <c r="AK59" s="33">
        <v>2050</v>
      </c>
      <c r="AL59" s="45" t="str">
        <f t="shared" si="5"/>
        <v>*0.84</v>
      </c>
      <c r="AM59" s="43" t="str">
        <f t="shared" si="9"/>
        <v>REZoning_Sol-Win</v>
      </c>
      <c r="AP59" t="s">
        <v>932</v>
      </c>
      <c r="AQ59" t="s">
        <v>57</v>
      </c>
      <c r="AR59">
        <v>2100</v>
      </c>
      <c r="AS59" t="s">
        <v>919</v>
      </c>
      <c r="AT59" t="s">
        <v>58</v>
      </c>
    </row>
    <row r="60" ht="29" spans="1:46">
      <c r="A60" s="31" t="s">
        <v>79</v>
      </c>
      <c r="C60" t="s">
        <v>933</v>
      </c>
      <c r="D60" s="5" t="s">
        <v>57</v>
      </c>
      <c r="E60">
        <v>2035</v>
      </c>
      <c r="F60" s="6" t="str">
        <f t="shared" si="0"/>
        <v>*0.94</v>
      </c>
      <c r="H60" t="s">
        <v>933</v>
      </c>
      <c r="I60" s="5" t="s">
        <v>57</v>
      </c>
      <c r="J60">
        <v>2050</v>
      </c>
      <c r="K60" s="38" t="str">
        <f t="shared" si="1"/>
        <v>*0.9</v>
      </c>
      <c r="P60" s="32" t="s">
        <v>933</v>
      </c>
      <c r="Q60" s="42" t="s">
        <v>57</v>
      </c>
      <c r="R60" s="32">
        <v>2035</v>
      </c>
      <c r="S60" s="43" t="str">
        <f t="shared" si="2"/>
        <v>*0.92</v>
      </c>
      <c r="U60" s="32" t="s">
        <v>933</v>
      </c>
      <c r="V60" s="42" t="s">
        <v>57</v>
      </c>
      <c r="W60" s="32">
        <v>2050</v>
      </c>
      <c r="X60" s="43" t="str">
        <f t="shared" si="3"/>
        <v>*0.89</v>
      </c>
      <c r="AC60" s="33" t="s">
        <v>933</v>
      </c>
      <c r="AD60" s="44" t="s">
        <v>57</v>
      </c>
      <c r="AE60" s="33">
        <v>2035</v>
      </c>
      <c r="AF60" s="45" t="str">
        <f t="shared" si="4"/>
        <v>*0.89</v>
      </c>
      <c r="AG60" s="43" t="str">
        <f t="shared" si="8"/>
        <v>REZoning_Sol-Win</v>
      </c>
      <c r="AI60" s="33" t="s">
        <v>933</v>
      </c>
      <c r="AJ60" s="44" t="s">
        <v>57</v>
      </c>
      <c r="AK60" s="33">
        <v>2050</v>
      </c>
      <c r="AL60" s="45" t="str">
        <f t="shared" si="5"/>
        <v>*0.84</v>
      </c>
      <c r="AM60" s="43" t="str">
        <f t="shared" si="9"/>
        <v>REZoning_Sol-Win</v>
      </c>
      <c r="AP60" t="s">
        <v>933</v>
      </c>
      <c r="AQ60" t="s">
        <v>57</v>
      </c>
      <c r="AR60">
        <v>2100</v>
      </c>
      <c r="AS60" t="s">
        <v>919</v>
      </c>
      <c r="AT60" t="s">
        <v>58</v>
      </c>
    </row>
    <row r="61" ht="29" spans="1:46">
      <c r="A61" s="31" t="s">
        <v>79</v>
      </c>
      <c r="C61" t="s">
        <v>934</v>
      </c>
      <c r="D61" s="5" t="s">
        <v>57</v>
      </c>
      <c r="E61">
        <v>2035</v>
      </c>
      <c r="F61" s="6" t="str">
        <f t="shared" si="0"/>
        <v>*0.94</v>
      </c>
      <c r="H61" t="s">
        <v>934</v>
      </c>
      <c r="I61" s="5" t="s">
        <v>57</v>
      </c>
      <c r="J61">
        <v>2050</v>
      </c>
      <c r="K61" s="38" t="str">
        <f t="shared" si="1"/>
        <v>*0.9</v>
      </c>
      <c r="P61" s="32" t="s">
        <v>934</v>
      </c>
      <c r="Q61" s="42" t="s">
        <v>57</v>
      </c>
      <c r="R61" s="32">
        <v>2035</v>
      </c>
      <c r="S61" s="43" t="str">
        <f t="shared" si="2"/>
        <v>*0.92</v>
      </c>
      <c r="U61" s="32" t="s">
        <v>934</v>
      </c>
      <c r="V61" s="42" t="s">
        <v>57</v>
      </c>
      <c r="W61" s="32">
        <v>2050</v>
      </c>
      <c r="X61" s="43" t="str">
        <f t="shared" si="3"/>
        <v>*0.89</v>
      </c>
      <c r="AC61" s="33" t="s">
        <v>934</v>
      </c>
      <c r="AD61" s="44" t="s">
        <v>57</v>
      </c>
      <c r="AE61" s="33">
        <v>2035</v>
      </c>
      <c r="AF61" s="45" t="str">
        <f t="shared" si="4"/>
        <v>*0.89</v>
      </c>
      <c r="AG61" s="43" t="str">
        <f t="shared" si="8"/>
        <v>REZoning_Sol-Win</v>
      </c>
      <c r="AI61" s="33" t="s">
        <v>934</v>
      </c>
      <c r="AJ61" s="44" t="s">
        <v>57</v>
      </c>
      <c r="AK61" s="33">
        <v>2050</v>
      </c>
      <c r="AL61" s="45" t="str">
        <f t="shared" si="5"/>
        <v>*0.84</v>
      </c>
      <c r="AM61" s="43" t="str">
        <f t="shared" si="9"/>
        <v>REZoning_Sol-Win</v>
      </c>
      <c r="AP61" t="s">
        <v>934</v>
      </c>
      <c r="AQ61" t="s">
        <v>57</v>
      </c>
      <c r="AR61">
        <v>2100</v>
      </c>
      <c r="AS61" t="s">
        <v>919</v>
      </c>
      <c r="AT61" t="s">
        <v>58</v>
      </c>
    </row>
    <row r="62" ht="29" spans="1:46">
      <c r="A62" s="31" t="s">
        <v>79</v>
      </c>
      <c r="C62" t="s">
        <v>935</v>
      </c>
      <c r="D62" s="5" t="s">
        <v>57</v>
      </c>
      <c r="E62">
        <v>2035</v>
      </c>
      <c r="F62" s="6" t="str">
        <f t="shared" si="0"/>
        <v>*0.94</v>
      </c>
      <c r="H62" t="s">
        <v>935</v>
      </c>
      <c r="I62" s="5" t="s">
        <v>57</v>
      </c>
      <c r="J62">
        <v>2050</v>
      </c>
      <c r="K62" s="38" t="str">
        <f t="shared" si="1"/>
        <v>*0.9</v>
      </c>
      <c r="P62" s="32" t="s">
        <v>935</v>
      </c>
      <c r="Q62" s="42" t="s">
        <v>57</v>
      </c>
      <c r="R62" s="32">
        <v>2035</v>
      </c>
      <c r="S62" s="43" t="str">
        <f t="shared" si="2"/>
        <v>*0.92</v>
      </c>
      <c r="U62" s="32" t="s">
        <v>935</v>
      </c>
      <c r="V62" s="42" t="s">
        <v>57</v>
      </c>
      <c r="W62" s="32">
        <v>2050</v>
      </c>
      <c r="X62" s="43" t="str">
        <f t="shared" si="3"/>
        <v>*0.89</v>
      </c>
      <c r="AC62" s="33" t="s">
        <v>935</v>
      </c>
      <c r="AD62" s="44" t="s">
        <v>57</v>
      </c>
      <c r="AE62" s="33">
        <v>2035</v>
      </c>
      <c r="AF62" s="45" t="str">
        <f t="shared" si="4"/>
        <v>*0.89</v>
      </c>
      <c r="AG62" s="43" t="str">
        <f t="shared" si="8"/>
        <v>REZoning_Sol-Win</v>
      </c>
      <c r="AI62" s="33" t="s">
        <v>935</v>
      </c>
      <c r="AJ62" s="44" t="s">
        <v>57</v>
      </c>
      <c r="AK62" s="33">
        <v>2050</v>
      </c>
      <c r="AL62" s="45" t="str">
        <f t="shared" si="5"/>
        <v>*0.84</v>
      </c>
      <c r="AM62" s="43" t="str">
        <f t="shared" si="9"/>
        <v>REZoning_Sol-Win</v>
      </c>
      <c r="AP62" t="s">
        <v>935</v>
      </c>
      <c r="AQ62" t="s">
        <v>57</v>
      </c>
      <c r="AR62">
        <v>2100</v>
      </c>
      <c r="AS62" t="s">
        <v>919</v>
      </c>
      <c r="AT62" t="s">
        <v>58</v>
      </c>
    </row>
    <row r="63" ht="29" spans="1:46">
      <c r="A63" s="31" t="s">
        <v>83</v>
      </c>
      <c r="C63" t="s">
        <v>936</v>
      </c>
      <c r="D63" s="5" t="s">
        <v>57</v>
      </c>
      <c r="E63">
        <v>2035</v>
      </c>
      <c r="F63" s="6" t="str">
        <f t="shared" si="0"/>
        <v>*0.95</v>
      </c>
      <c r="H63" t="s">
        <v>936</v>
      </c>
      <c r="I63" s="5" t="s">
        <v>57</v>
      </c>
      <c r="J63">
        <v>2050</v>
      </c>
      <c r="K63" s="38" t="str">
        <f t="shared" si="1"/>
        <v>*0.92</v>
      </c>
      <c r="P63" s="32" t="s">
        <v>936</v>
      </c>
      <c r="Q63" s="42" t="s">
        <v>57</v>
      </c>
      <c r="R63" s="32">
        <v>2035</v>
      </c>
      <c r="S63" s="43" t="str">
        <f t="shared" si="2"/>
        <v>*0.95</v>
      </c>
      <c r="U63" s="32" t="s">
        <v>936</v>
      </c>
      <c r="V63" s="42" t="s">
        <v>57</v>
      </c>
      <c r="W63" s="32">
        <v>2050</v>
      </c>
      <c r="X63" s="43" t="str">
        <f t="shared" si="3"/>
        <v>*0.92</v>
      </c>
      <c r="AC63" s="33" t="s">
        <v>936</v>
      </c>
      <c r="AD63" s="44" t="s">
        <v>57</v>
      </c>
      <c r="AE63" s="33">
        <v>2035</v>
      </c>
      <c r="AF63" s="45" t="str">
        <f t="shared" si="4"/>
        <v>*0.93</v>
      </c>
      <c r="AG63" s="43" t="str">
        <f t="shared" si="8"/>
        <v>REZoning_Sol-Win</v>
      </c>
      <c r="AI63" s="33" t="s">
        <v>936</v>
      </c>
      <c r="AJ63" s="44" t="s">
        <v>57</v>
      </c>
      <c r="AK63" s="33">
        <v>2050</v>
      </c>
      <c r="AL63" s="45" t="str">
        <f t="shared" si="5"/>
        <v>*0.89</v>
      </c>
      <c r="AM63" s="43" t="str">
        <f t="shared" si="9"/>
        <v>REZoning_Sol-Win</v>
      </c>
      <c r="AP63" t="s">
        <v>936</v>
      </c>
      <c r="AQ63" t="s">
        <v>57</v>
      </c>
      <c r="AR63">
        <v>2100</v>
      </c>
      <c r="AS63" t="s">
        <v>937</v>
      </c>
      <c r="AT63" t="s">
        <v>58</v>
      </c>
    </row>
    <row r="64" ht="29" spans="1:46">
      <c r="A64" s="31" t="s">
        <v>83</v>
      </c>
      <c r="C64" t="s">
        <v>938</v>
      </c>
      <c r="D64" s="5" t="s">
        <v>57</v>
      </c>
      <c r="E64">
        <v>2035</v>
      </c>
      <c r="F64" s="6" t="str">
        <f t="shared" si="0"/>
        <v>*0.95</v>
      </c>
      <c r="H64" t="s">
        <v>938</v>
      </c>
      <c r="I64" s="5" t="s">
        <v>57</v>
      </c>
      <c r="J64">
        <v>2050</v>
      </c>
      <c r="K64" s="38" t="str">
        <f t="shared" si="1"/>
        <v>*0.92</v>
      </c>
      <c r="P64" s="32" t="s">
        <v>938</v>
      </c>
      <c r="Q64" s="42" t="s">
        <v>57</v>
      </c>
      <c r="R64" s="32">
        <v>2035</v>
      </c>
      <c r="S64" s="43" t="str">
        <f t="shared" si="2"/>
        <v>*0.95</v>
      </c>
      <c r="U64" s="32" t="s">
        <v>938</v>
      </c>
      <c r="V64" s="42" t="s">
        <v>57</v>
      </c>
      <c r="W64" s="32">
        <v>2050</v>
      </c>
      <c r="X64" s="43" t="str">
        <f t="shared" si="3"/>
        <v>*0.92</v>
      </c>
      <c r="AC64" s="33" t="s">
        <v>938</v>
      </c>
      <c r="AD64" s="44" t="s">
        <v>57</v>
      </c>
      <c r="AE64" s="33">
        <v>2035</v>
      </c>
      <c r="AF64" s="45" t="str">
        <f t="shared" si="4"/>
        <v>*0.93</v>
      </c>
      <c r="AG64" s="43" t="str">
        <f t="shared" si="8"/>
        <v>REZoning_Sol-Win</v>
      </c>
      <c r="AI64" s="33" t="s">
        <v>938</v>
      </c>
      <c r="AJ64" s="44" t="s">
        <v>57</v>
      </c>
      <c r="AK64" s="33">
        <v>2050</v>
      </c>
      <c r="AL64" s="45" t="str">
        <f t="shared" si="5"/>
        <v>*0.89</v>
      </c>
      <c r="AM64" s="43" t="str">
        <f t="shared" si="9"/>
        <v>REZoning_Sol-Win</v>
      </c>
      <c r="AP64" t="s">
        <v>938</v>
      </c>
      <c r="AQ64" t="s">
        <v>57</v>
      </c>
      <c r="AR64">
        <v>2100</v>
      </c>
      <c r="AS64" t="s">
        <v>937</v>
      </c>
      <c r="AT64" t="s">
        <v>58</v>
      </c>
    </row>
    <row r="65" ht="29" spans="1:46">
      <c r="A65" s="31" t="s">
        <v>83</v>
      </c>
      <c r="C65" t="s">
        <v>939</v>
      </c>
      <c r="D65" s="5" t="s">
        <v>57</v>
      </c>
      <c r="E65">
        <v>2035</v>
      </c>
      <c r="F65" s="6" t="str">
        <f t="shared" si="0"/>
        <v>*0.95</v>
      </c>
      <c r="H65" t="s">
        <v>939</v>
      </c>
      <c r="I65" s="5" t="s">
        <v>57</v>
      </c>
      <c r="J65">
        <v>2050</v>
      </c>
      <c r="K65" s="38" t="str">
        <f t="shared" si="1"/>
        <v>*0.92</v>
      </c>
      <c r="P65" s="32" t="s">
        <v>939</v>
      </c>
      <c r="Q65" s="42" t="s">
        <v>57</v>
      </c>
      <c r="R65" s="32">
        <v>2035</v>
      </c>
      <c r="S65" s="43" t="str">
        <f t="shared" si="2"/>
        <v>*0.95</v>
      </c>
      <c r="U65" s="32" t="s">
        <v>939</v>
      </c>
      <c r="V65" s="42" t="s">
        <v>57</v>
      </c>
      <c r="W65" s="32">
        <v>2050</v>
      </c>
      <c r="X65" s="43" t="str">
        <f t="shared" si="3"/>
        <v>*0.92</v>
      </c>
      <c r="AC65" s="33" t="s">
        <v>939</v>
      </c>
      <c r="AD65" s="44" t="s">
        <v>57</v>
      </c>
      <c r="AE65" s="33">
        <v>2035</v>
      </c>
      <c r="AF65" s="45" t="str">
        <f t="shared" si="4"/>
        <v>*0.93</v>
      </c>
      <c r="AG65" s="43" t="str">
        <f t="shared" si="8"/>
        <v>REZoning_Sol-Win</v>
      </c>
      <c r="AI65" s="33" t="s">
        <v>939</v>
      </c>
      <c r="AJ65" s="44" t="s">
        <v>57</v>
      </c>
      <c r="AK65" s="33">
        <v>2050</v>
      </c>
      <c r="AL65" s="45" t="str">
        <f t="shared" si="5"/>
        <v>*0.89</v>
      </c>
      <c r="AM65" s="43" t="str">
        <f t="shared" si="9"/>
        <v>REZoning_Sol-Win</v>
      </c>
      <c r="AP65" t="s">
        <v>939</v>
      </c>
      <c r="AQ65" t="s">
        <v>57</v>
      </c>
      <c r="AR65">
        <v>2100</v>
      </c>
      <c r="AS65" t="s">
        <v>937</v>
      </c>
      <c r="AT65" t="s">
        <v>58</v>
      </c>
    </row>
    <row r="66" ht="29" spans="1:46">
      <c r="A66" s="31" t="s">
        <v>83</v>
      </c>
      <c r="C66" t="s">
        <v>940</v>
      </c>
      <c r="D66" s="5" t="s">
        <v>57</v>
      </c>
      <c r="E66">
        <v>2035</v>
      </c>
      <c r="F66" s="6" t="str">
        <f t="shared" si="0"/>
        <v>*0.95</v>
      </c>
      <c r="H66" t="s">
        <v>940</v>
      </c>
      <c r="I66" s="5" t="s">
        <v>57</v>
      </c>
      <c r="J66">
        <v>2050</v>
      </c>
      <c r="K66" s="38" t="str">
        <f t="shared" si="1"/>
        <v>*0.92</v>
      </c>
      <c r="P66" s="32" t="s">
        <v>940</v>
      </c>
      <c r="Q66" s="42" t="s">
        <v>57</v>
      </c>
      <c r="R66" s="32">
        <v>2035</v>
      </c>
      <c r="S66" s="43" t="str">
        <f t="shared" si="2"/>
        <v>*0.95</v>
      </c>
      <c r="U66" s="32" t="s">
        <v>940</v>
      </c>
      <c r="V66" s="42" t="s">
        <v>57</v>
      </c>
      <c r="W66" s="32">
        <v>2050</v>
      </c>
      <c r="X66" s="43" t="str">
        <f t="shared" si="3"/>
        <v>*0.92</v>
      </c>
      <c r="AC66" s="33" t="s">
        <v>940</v>
      </c>
      <c r="AD66" s="44" t="s">
        <v>57</v>
      </c>
      <c r="AE66" s="33">
        <v>2035</v>
      </c>
      <c r="AF66" s="45" t="str">
        <f t="shared" si="4"/>
        <v>*0.93</v>
      </c>
      <c r="AG66" s="43" t="str">
        <f t="shared" si="8"/>
        <v>REZoning_Sol-Win</v>
      </c>
      <c r="AI66" s="33" t="s">
        <v>940</v>
      </c>
      <c r="AJ66" s="44" t="s">
        <v>57</v>
      </c>
      <c r="AK66" s="33">
        <v>2050</v>
      </c>
      <c r="AL66" s="45" t="str">
        <f t="shared" si="5"/>
        <v>*0.89</v>
      </c>
      <c r="AM66" s="43" t="str">
        <f t="shared" si="9"/>
        <v>REZoning_Sol-Win</v>
      </c>
      <c r="AP66" t="s">
        <v>940</v>
      </c>
      <c r="AQ66" t="s">
        <v>57</v>
      </c>
      <c r="AR66">
        <v>2100</v>
      </c>
      <c r="AS66" t="s">
        <v>937</v>
      </c>
      <c r="AT66" t="s">
        <v>58</v>
      </c>
    </row>
    <row r="67" ht="29" spans="1:46">
      <c r="A67" s="31" t="s">
        <v>83</v>
      </c>
      <c r="C67" t="s">
        <v>941</v>
      </c>
      <c r="D67" s="5" t="s">
        <v>57</v>
      </c>
      <c r="E67">
        <v>2035</v>
      </c>
      <c r="F67" s="6" t="str">
        <f t="shared" si="0"/>
        <v>*0.95</v>
      </c>
      <c r="H67" t="s">
        <v>941</v>
      </c>
      <c r="I67" s="5" t="s">
        <v>57</v>
      </c>
      <c r="J67">
        <v>2050</v>
      </c>
      <c r="K67" s="38" t="str">
        <f t="shared" si="1"/>
        <v>*0.92</v>
      </c>
      <c r="P67" s="32" t="s">
        <v>941</v>
      </c>
      <c r="Q67" s="42" t="s">
        <v>57</v>
      </c>
      <c r="R67" s="32">
        <v>2035</v>
      </c>
      <c r="S67" s="43" t="str">
        <f t="shared" si="2"/>
        <v>*0.95</v>
      </c>
      <c r="U67" s="32" t="s">
        <v>941</v>
      </c>
      <c r="V67" s="42" t="s">
        <v>57</v>
      </c>
      <c r="W67" s="32">
        <v>2050</v>
      </c>
      <c r="X67" s="43" t="str">
        <f t="shared" si="3"/>
        <v>*0.92</v>
      </c>
      <c r="AC67" s="33" t="s">
        <v>941</v>
      </c>
      <c r="AD67" s="44" t="s">
        <v>57</v>
      </c>
      <c r="AE67" s="33">
        <v>2035</v>
      </c>
      <c r="AF67" s="45" t="str">
        <f t="shared" si="4"/>
        <v>*0.93</v>
      </c>
      <c r="AG67" s="43" t="str">
        <f t="shared" si="8"/>
        <v>REZoning_Sol-Win</v>
      </c>
      <c r="AI67" s="33" t="s">
        <v>941</v>
      </c>
      <c r="AJ67" s="44" t="s">
        <v>57</v>
      </c>
      <c r="AK67" s="33">
        <v>2050</v>
      </c>
      <c r="AL67" s="45" t="str">
        <f t="shared" si="5"/>
        <v>*0.89</v>
      </c>
      <c r="AM67" s="43" t="str">
        <f t="shared" si="9"/>
        <v>REZoning_Sol-Win</v>
      </c>
      <c r="AP67" t="s">
        <v>941</v>
      </c>
      <c r="AQ67" t="s">
        <v>57</v>
      </c>
      <c r="AR67">
        <v>2100</v>
      </c>
      <c r="AS67" t="s">
        <v>937</v>
      </c>
      <c r="AT67" t="s">
        <v>58</v>
      </c>
    </row>
    <row r="68" ht="29" spans="1:46">
      <c r="A68" s="31" t="s">
        <v>83</v>
      </c>
      <c r="C68" t="s">
        <v>942</v>
      </c>
      <c r="D68" s="5" t="s">
        <v>57</v>
      </c>
      <c r="E68">
        <v>2035</v>
      </c>
      <c r="F68" s="6" t="str">
        <f t="shared" ref="F68:F131" si="10">"*"&amp;IF(AND(A68="EU",E68=2035),0.95,IF(AND(A68="EU",E68=2050),0.93,IF(AND(A68="USA",E68=2035),0.96,IF(AND(A68="USA",E68=2050),0.94,IF(AND(A68="Japan",E68=2035),0.94,IF(AND(A68="Japan",E68=2050),0.92,IF(AND(A68="Russia",E68=2035),0.95,IF(AND(A68="Russia",E68=2050),0.93,IF(AND(A68="China",E68=2035),0.94,IF(AND(A68="China",E68=2050),0.92,IF(AND(A68="India",E68=2035),0.95,IF(AND(A68="India",E68=2050),0.92,IF(AND(A68="Middle East",E68=2035),0.94,IF(AND(A68="Middle East",E68=2050),0.9,IF(AND(A68="Africa",E68=2035),0.94,IF(AND(A68="Africa",E68=2050),0.91,IF(AND(A68="Brazil",E68=2035),0.95,IF(AND(A68="Brazil",E68=2050),0.92,""))))))))))))))))))</f>
        <v>*0.95</v>
      </c>
      <c r="H68" t="s">
        <v>942</v>
      </c>
      <c r="I68" s="5" t="s">
        <v>57</v>
      </c>
      <c r="J68">
        <v>2050</v>
      </c>
      <c r="K68" s="38" t="str">
        <f t="shared" ref="K68:K131" si="11">"*"&amp;IF(AND(A68="EU",J68=2035),0.95,IF(AND(A68="EU",J68=2050),0.93,IF(AND(A68="USA",J68=2035),0.96,IF(AND(A68="USA",J68=2050),0.94,IF(AND(A68="Japan",J68=2035),0.94,IF(AND(A68="Japan",J68=2050),0.92,IF(AND(A68="Russia",J68=2035),0.95,IF(AND(A68="Russia",J68=2050),0.93,IF(AND(A68="China",J68=2035),0.94,IF(AND(A68="China",J68=2050),0.92,IF(AND(A68="India",J68=2035),0.95,IF(AND(A68="India",J68=2050),0.92,IF(AND(A68="Middle East",J68=2035),0.94,IF(AND(A68="Middle East",J68=2050),0.9,IF(AND(A68="Africa",J68=2035),0.94,IF(AND(A68="Africa",J68=2050),0.91,IF(AND(A68="Brazil",J68=2035),0.95,IF(AND(A68="Brazil",J68=2050),0.92,""))))))))))))))))))</f>
        <v>*0.92</v>
      </c>
      <c r="P68" s="32" t="s">
        <v>942</v>
      </c>
      <c r="Q68" s="42" t="s">
        <v>57</v>
      </c>
      <c r="R68" s="32">
        <v>2035</v>
      </c>
      <c r="S68" s="43" t="str">
        <f t="shared" ref="S68:S131" si="12">"*"&amp;IF(AND(A68="EU",R68=2035),0.95,IF(AND(A68="EU",R68=2050),0.93,IF(AND(A68="USA",R68=2035),0.96,IF(AND(A68="USA",R68=2050),0.93,IF(AND(A68="Japan",R68=2035),0.94,IF(AND(A68="Japan",R68=2050),0.92,IF(AND(A68="Russia",R68=2035),0.95,IF(AND(A68="Russia",R68=2050),0.91,IF(AND(A68="China",R68=2035),0.93,IF(AND(A68="China",R68=2050),0.92,IF(AND(A68="India",R68=2035),0.94,IF(AND(A68="India",R68=2050),0.91,IF(AND(A68="Middle East",R68=2035),0.92,IF(AND(A68="Middle East",R68=2050),0.89,IF(AND(A68="Africa",R68=2035),0.93,IF(AND(A68="Africa",R68=2050),0.9,IF(AND(A68="Brazil",R68=2035),0.95,IF(AND(A68="Brazil",R68=2050),0.92,""))))))))))))))))))</f>
        <v>*0.95</v>
      </c>
      <c r="U68" s="32" t="s">
        <v>942</v>
      </c>
      <c r="V68" s="42" t="s">
        <v>57</v>
      </c>
      <c r="W68" s="32">
        <v>2050</v>
      </c>
      <c r="X68" s="43" t="str">
        <f t="shared" ref="X68:X131" si="13">"*"&amp;IF(AND(A68="EU",W68=2035),0.95,IF(AND(A68="EU",W68=2050),0.93,IF(AND(A68="USA",W68=2035),0.96,IF(AND(A68="USA",W68=2050),0.93,IF(AND(A68="Japan",W68=2035),0.94,IF(AND(A68="Japan",W68=2050),0.92,IF(AND(A68="Russia",W68=2035),0.95,IF(AND(A68="Russia",W68=2050),0.91,IF(AND(A68="China",W68=2035),0.93,IF(AND(A68="China",W68=2050),0.92,IF(AND(A68="India",W68=2035),0.94,IF(AND(A68="India",W68=2050),0.91,IF(AND(A68="Middle East",W68=2035),0.92,IF(AND(A68="Middle East",W68=2050),0.89,IF(AND(A68="Africa",W68=2035),0.93,IF(AND(A68="Africa",W68=2050),0.9,IF(AND(A68="Brazil",W68=2035),0.95,IF(AND(A68="Brazil",W68=2050),0.92,""))))))))))))))))))</f>
        <v>*0.92</v>
      </c>
      <c r="AC68" s="33" t="s">
        <v>942</v>
      </c>
      <c r="AD68" s="44" t="s">
        <v>57</v>
      </c>
      <c r="AE68" s="33">
        <v>2035</v>
      </c>
      <c r="AF68" s="45" t="str">
        <f t="shared" ref="AF68:AF131" si="14">"*"&amp;IF(AND(A68="EU",AE68=2035),0.93,IF(AND(A68="EU",AE68=2050),0.9,IF(AND(A68="USA",AE68=2035),0.92,IF(AND(A68="USA",AE68=2050),0.89,IF(AND(A68="Japan",AE68=2035),0.92,IF(AND(A68="Japan",AE68=2050),0.89,IF(AND(A68="Russia",AE68=2035),0.91,IF(AND(A68="Russia",AE68=2050),0.86,IF(AND(A68="China",AE68=2035),0.91,IF(AND(A68="China",AE68=2050),0.87,IF(AND(A68="India",AE68=2035),0.92,IF(AND(A68="India",AE68=2050),0.87,IF(AND(A68="Middle East",AE68=2035),0.89,IF(AND(A68="Middle East",AE68=2050),0.84,IF(AND(A68="Africa",AE68=2035),0.9,IF(AND(A68="Africa",AE68=2050),0.86,IF(AND(A68="Brazil",AE68=2035),0.93,IF(AND(A68="Brazil",AE68=2050),0.89,""))))))))))))))))))</f>
        <v>*0.93</v>
      </c>
      <c r="AG68" s="43" t="str">
        <f t="shared" si="8"/>
        <v>REZoning_Sol-Win</v>
      </c>
      <c r="AI68" s="33" t="s">
        <v>942</v>
      </c>
      <c r="AJ68" s="44" t="s">
        <v>57</v>
      </c>
      <c r="AK68" s="33">
        <v>2050</v>
      </c>
      <c r="AL68" s="45" t="str">
        <f t="shared" ref="AL68:AL131" si="15">"*"&amp;IF(AND(A68="EU",AK68=2035),0.93,IF(AND(A68="EU",AK68=2050),0.9,IF(AND(A68="USA",AK68=2035),0.92,IF(AND(A68="USA",AK68=2050),0.89,IF(AND(A68="Japan",AK68=2035),0.92,IF(AND(A68="Japan",AK68=2050),0.89,IF(AND(A68="Russia",AK68=2035),0.91,IF(AND(A68="Russia",AK68=2050),0.86,IF(AND(A68="China",AK68=2035),0.91,IF(AND(A68="China",AK68=2050),0.87,IF(AND(A68="India",AK68=2035),0.92,IF(AND(A68="India",AK68=2050),0.87,IF(AND(A68="Middle East",AK68=2035),0.89,IF(AND(A68="Middle East",AK68=2050),0.84,IF(AND(A68="Africa",AK68=2035),0.9,IF(AND(A68="Africa",AK68=2050),0.86,IF(AND(A68="Brazil",AK68=2035),0.93,IF(AND(A68="Brazil",AK68=2050),0.89,""))))))))))))))))))</f>
        <v>*0.89</v>
      </c>
      <c r="AM68" s="43" t="str">
        <f t="shared" si="9"/>
        <v>REZoning_Sol-Win</v>
      </c>
      <c r="AP68" t="s">
        <v>942</v>
      </c>
      <c r="AQ68" t="s">
        <v>57</v>
      </c>
      <c r="AR68">
        <v>2100</v>
      </c>
      <c r="AS68" t="s">
        <v>937</v>
      </c>
      <c r="AT68" t="s">
        <v>58</v>
      </c>
    </row>
    <row r="69" ht="29" spans="1:46">
      <c r="A69" s="31" t="s">
        <v>83</v>
      </c>
      <c r="C69" t="s">
        <v>943</v>
      </c>
      <c r="D69" s="5" t="s">
        <v>57</v>
      </c>
      <c r="E69">
        <v>2035</v>
      </c>
      <c r="F69" s="6" t="str">
        <f t="shared" si="10"/>
        <v>*0.95</v>
      </c>
      <c r="H69" t="s">
        <v>943</v>
      </c>
      <c r="I69" s="5" t="s">
        <v>57</v>
      </c>
      <c r="J69">
        <v>2050</v>
      </c>
      <c r="K69" s="38" t="str">
        <f t="shared" si="11"/>
        <v>*0.92</v>
      </c>
      <c r="P69" s="32" t="s">
        <v>943</v>
      </c>
      <c r="Q69" s="42" t="s">
        <v>57</v>
      </c>
      <c r="R69" s="32">
        <v>2035</v>
      </c>
      <c r="S69" s="43" t="str">
        <f t="shared" si="12"/>
        <v>*0.95</v>
      </c>
      <c r="U69" s="32" t="s">
        <v>943</v>
      </c>
      <c r="V69" s="42" t="s">
        <v>57</v>
      </c>
      <c r="W69" s="32">
        <v>2050</v>
      </c>
      <c r="X69" s="43" t="str">
        <f t="shared" si="13"/>
        <v>*0.92</v>
      </c>
      <c r="AC69" s="33" t="s">
        <v>943</v>
      </c>
      <c r="AD69" s="44" t="s">
        <v>57</v>
      </c>
      <c r="AE69" s="33">
        <v>2035</v>
      </c>
      <c r="AF69" s="45" t="str">
        <f t="shared" si="14"/>
        <v>*0.93</v>
      </c>
      <c r="AG69" s="43" t="str">
        <f t="shared" si="8"/>
        <v>REZoning_Sol-Win</v>
      </c>
      <c r="AI69" s="33" t="s">
        <v>943</v>
      </c>
      <c r="AJ69" s="44" t="s">
        <v>57</v>
      </c>
      <c r="AK69" s="33">
        <v>2050</v>
      </c>
      <c r="AL69" s="45" t="str">
        <f t="shared" si="15"/>
        <v>*0.89</v>
      </c>
      <c r="AM69" s="43" t="str">
        <f t="shared" si="9"/>
        <v>REZoning_Sol-Win</v>
      </c>
      <c r="AP69" t="s">
        <v>943</v>
      </c>
      <c r="AQ69" t="s">
        <v>57</v>
      </c>
      <c r="AR69">
        <v>2100</v>
      </c>
      <c r="AS69" t="s">
        <v>937</v>
      </c>
      <c r="AT69" t="s">
        <v>58</v>
      </c>
    </row>
    <row r="70" ht="29" spans="1:46">
      <c r="A70" s="31" t="s">
        <v>83</v>
      </c>
      <c r="C70" t="s">
        <v>944</v>
      </c>
      <c r="D70" s="5" t="s">
        <v>57</v>
      </c>
      <c r="E70">
        <v>2035</v>
      </c>
      <c r="F70" s="6" t="str">
        <f t="shared" si="10"/>
        <v>*0.95</v>
      </c>
      <c r="H70" t="s">
        <v>944</v>
      </c>
      <c r="I70" s="5" t="s">
        <v>57</v>
      </c>
      <c r="J70">
        <v>2050</v>
      </c>
      <c r="K70" s="38" t="str">
        <f t="shared" si="11"/>
        <v>*0.92</v>
      </c>
      <c r="P70" s="32" t="s">
        <v>944</v>
      </c>
      <c r="Q70" s="42" t="s">
        <v>57</v>
      </c>
      <c r="R70" s="32">
        <v>2035</v>
      </c>
      <c r="S70" s="43" t="str">
        <f t="shared" si="12"/>
        <v>*0.95</v>
      </c>
      <c r="U70" s="32" t="s">
        <v>944</v>
      </c>
      <c r="V70" s="42" t="s">
        <v>57</v>
      </c>
      <c r="W70" s="32">
        <v>2050</v>
      </c>
      <c r="X70" s="43" t="str">
        <f t="shared" si="13"/>
        <v>*0.92</v>
      </c>
      <c r="AC70" s="33" t="s">
        <v>944</v>
      </c>
      <c r="AD70" s="44" t="s">
        <v>57</v>
      </c>
      <c r="AE70" s="33">
        <v>2035</v>
      </c>
      <c r="AF70" s="45" t="str">
        <f t="shared" si="14"/>
        <v>*0.93</v>
      </c>
      <c r="AG70" s="43" t="str">
        <f t="shared" si="8"/>
        <v>REZoning_Sol-Win</v>
      </c>
      <c r="AI70" s="33" t="s">
        <v>944</v>
      </c>
      <c r="AJ70" s="44" t="s">
        <v>57</v>
      </c>
      <c r="AK70" s="33">
        <v>2050</v>
      </c>
      <c r="AL70" s="45" t="str">
        <f t="shared" si="15"/>
        <v>*0.89</v>
      </c>
      <c r="AM70" s="43" t="str">
        <f t="shared" si="9"/>
        <v>REZoning_Sol-Win</v>
      </c>
      <c r="AP70" t="s">
        <v>944</v>
      </c>
      <c r="AQ70" t="s">
        <v>57</v>
      </c>
      <c r="AR70">
        <v>2100</v>
      </c>
      <c r="AS70" t="s">
        <v>937</v>
      </c>
      <c r="AT70" t="s">
        <v>58</v>
      </c>
    </row>
    <row r="71" ht="29" spans="1:46">
      <c r="A71" s="31" t="s">
        <v>83</v>
      </c>
      <c r="C71" t="s">
        <v>945</v>
      </c>
      <c r="D71" s="5" t="s">
        <v>57</v>
      </c>
      <c r="E71">
        <v>2035</v>
      </c>
      <c r="F71" s="6" t="str">
        <f t="shared" si="10"/>
        <v>*0.95</v>
      </c>
      <c r="H71" t="s">
        <v>945</v>
      </c>
      <c r="I71" s="5" t="s">
        <v>57</v>
      </c>
      <c r="J71">
        <v>2050</v>
      </c>
      <c r="K71" s="38" t="str">
        <f t="shared" si="11"/>
        <v>*0.92</v>
      </c>
      <c r="P71" s="32" t="s">
        <v>945</v>
      </c>
      <c r="Q71" s="42" t="s">
        <v>57</v>
      </c>
      <c r="R71" s="32">
        <v>2035</v>
      </c>
      <c r="S71" s="43" t="str">
        <f t="shared" si="12"/>
        <v>*0.95</v>
      </c>
      <c r="U71" s="32" t="s">
        <v>945</v>
      </c>
      <c r="V71" s="42" t="s">
        <v>57</v>
      </c>
      <c r="W71" s="32">
        <v>2050</v>
      </c>
      <c r="X71" s="43" t="str">
        <f t="shared" si="13"/>
        <v>*0.92</v>
      </c>
      <c r="AC71" s="33" t="s">
        <v>945</v>
      </c>
      <c r="AD71" s="44" t="s">
        <v>57</v>
      </c>
      <c r="AE71" s="33">
        <v>2035</v>
      </c>
      <c r="AF71" s="45" t="str">
        <f t="shared" si="14"/>
        <v>*0.93</v>
      </c>
      <c r="AG71" s="43" t="str">
        <f t="shared" si="8"/>
        <v>REZoning_Sol-Win</v>
      </c>
      <c r="AI71" s="33" t="s">
        <v>945</v>
      </c>
      <c r="AJ71" s="44" t="s">
        <v>57</v>
      </c>
      <c r="AK71" s="33">
        <v>2050</v>
      </c>
      <c r="AL71" s="45" t="str">
        <f t="shared" si="15"/>
        <v>*0.89</v>
      </c>
      <c r="AM71" s="43" t="str">
        <f t="shared" si="9"/>
        <v>REZoning_Sol-Win</v>
      </c>
      <c r="AP71" t="s">
        <v>945</v>
      </c>
      <c r="AQ71" t="s">
        <v>57</v>
      </c>
      <c r="AR71">
        <v>2100</v>
      </c>
      <c r="AS71" t="s">
        <v>937</v>
      </c>
      <c r="AT71" t="s">
        <v>58</v>
      </c>
    </row>
    <row r="72" ht="29" spans="1:46">
      <c r="A72" s="31" t="s">
        <v>83</v>
      </c>
      <c r="C72" t="s">
        <v>946</v>
      </c>
      <c r="D72" s="5" t="s">
        <v>57</v>
      </c>
      <c r="E72">
        <v>2035</v>
      </c>
      <c r="F72" s="6" t="str">
        <f t="shared" si="10"/>
        <v>*0.95</v>
      </c>
      <c r="H72" t="s">
        <v>946</v>
      </c>
      <c r="I72" s="5" t="s">
        <v>57</v>
      </c>
      <c r="J72">
        <v>2050</v>
      </c>
      <c r="K72" s="38" t="str">
        <f t="shared" si="11"/>
        <v>*0.92</v>
      </c>
      <c r="P72" s="32" t="s">
        <v>946</v>
      </c>
      <c r="Q72" s="42" t="s">
        <v>57</v>
      </c>
      <c r="R72" s="32">
        <v>2035</v>
      </c>
      <c r="S72" s="43" t="str">
        <f t="shared" si="12"/>
        <v>*0.95</v>
      </c>
      <c r="U72" s="32" t="s">
        <v>946</v>
      </c>
      <c r="V72" s="42" t="s">
        <v>57</v>
      </c>
      <c r="W72" s="32">
        <v>2050</v>
      </c>
      <c r="X72" s="43" t="str">
        <f t="shared" si="13"/>
        <v>*0.92</v>
      </c>
      <c r="AC72" s="33" t="s">
        <v>946</v>
      </c>
      <c r="AD72" s="44" t="s">
        <v>57</v>
      </c>
      <c r="AE72" s="33">
        <v>2035</v>
      </c>
      <c r="AF72" s="45" t="str">
        <f t="shared" si="14"/>
        <v>*0.93</v>
      </c>
      <c r="AG72" s="43" t="str">
        <f t="shared" si="8"/>
        <v>REZoning_Sol-Win</v>
      </c>
      <c r="AI72" s="33" t="s">
        <v>946</v>
      </c>
      <c r="AJ72" s="44" t="s">
        <v>57</v>
      </c>
      <c r="AK72" s="33">
        <v>2050</v>
      </c>
      <c r="AL72" s="45" t="str">
        <f t="shared" si="15"/>
        <v>*0.89</v>
      </c>
      <c r="AM72" s="43" t="str">
        <f t="shared" si="9"/>
        <v>REZoning_Sol-Win</v>
      </c>
      <c r="AP72" t="s">
        <v>946</v>
      </c>
      <c r="AQ72" t="s">
        <v>57</v>
      </c>
      <c r="AR72">
        <v>2100</v>
      </c>
      <c r="AS72" t="s">
        <v>937</v>
      </c>
      <c r="AT72" t="s">
        <v>58</v>
      </c>
    </row>
    <row r="73" ht="29" spans="1:46">
      <c r="A73" s="31" t="s">
        <v>83</v>
      </c>
      <c r="C73" t="s">
        <v>947</v>
      </c>
      <c r="D73" s="5" t="s">
        <v>57</v>
      </c>
      <c r="E73">
        <v>2035</v>
      </c>
      <c r="F73" s="6" t="str">
        <f t="shared" si="10"/>
        <v>*0.95</v>
      </c>
      <c r="H73" t="s">
        <v>947</v>
      </c>
      <c r="I73" s="5" t="s">
        <v>57</v>
      </c>
      <c r="J73">
        <v>2050</v>
      </c>
      <c r="K73" s="38" t="str">
        <f t="shared" si="11"/>
        <v>*0.92</v>
      </c>
      <c r="P73" s="32" t="s">
        <v>947</v>
      </c>
      <c r="Q73" s="42" t="s">
        <v>57</v>
      </c>
      <c r="R73" s="32">
        <v>2035</v>
      </c>
      <c r="S73" s="43" t="str">
        <f t="shared" si="12"/>
        <v>*0.95</v>
      </c>
      <c r="U73" s="32" t="s">
        <v>947</v>
      </c>
      <c r="V73" s="42" t="s">
        <v>57</v>
      </c>
      <c r="W73" s="32">
        <v>2050</v>
      </c>
      <c r="X73" s="43" t="str">
        <f t="shared" si="13"/>
        <v>*0.92</v>
      </c>
      <c r="AC73" s="33" t="s">
        <v>947</v>
      </c>
      <c r="AD73" s="44" t="s">
        <v>57</v>
      </c>
      <c r="AE73" s="33">
        <v>2035</v>
      </c>
      <c r="AF73" s="45" t="str">
        <f t="shared" si="14"/>
        <v>*0.93</v>
      </c>
      <c r="AG73" s="43" t="str">
        <f t="shared" ref="AG73:AG136" si="16">AG72</f>
        <v>REZoning_Sol-Win</v>
      </c>
      <c r="AI73" s="33" t="s">
        <v>947</v>
      </c>
      <c r="AJ73" s="44" t="s">
        <v>57</v>
      </c>
      <c r="AK73" s="33">
        <v>2050</v>
      </c>
      <c r="AL73" s="45" t="str">
        <f t="shared" si="15"/>
        <v>*0.89</v>
      </c>
      <c r="AM73" s="43" t="str">
        <f t="shared" si="9"/>
        <v>REZoning_Sol-Win</v>
      </c>
      <c r="AP73" t="s">
        <v>947</v>
      </c>
      <c r="AQ73" t="s">
        <v>57</v>
      </c>
      <c r="AR73">
        <v>2100</v>
      </c>
      <c r="AS73" t="s">
        <v>937</v>
      </c>
      <c r="AT73" t="s">
        <v>58</v>
      </c>
    </row>
    <row r="74" ht="29" spans="1:46">
      <c r="A74" s="31" t="s">
        <v>83</v>
      </c>
      <c r="C74" t="s">
        <v>948</v>
      </c>
      <c r="D74" s="5" t="s">
        <v>57</v>
      </c>
      <c r="E74">
        <v>2035</v>
      </c>
      <c r="F74" s="6" t="str">
        <f t="shared" si="10"/>
        <v>*0.95</v>
      </c>
      <c r="H74" t="s">
        <v>948</v>
      </c>
      <c r="I74" s="5" t="s">
        <v>57</v>
      </c>
      <c r="J74">
        <v>2050</v>
      </c>
      <c r="K74" s="38" t="str">
        <f t="shared" si="11"/>
        <v>*0.92</v>
      </c>
      <c r="P74" s="32" t="s">
        <v>948</v>
      </c>
      <c r="Q74" s="42" t="s">
        <v>57</v>
      </c>
      <c r="R74" s="32">
        <v>2035</v>
      </c>
      <c r="S74" s="43" t="str">
        <f t="shared" si="12"/>
        <v>*0.95</v>
      </c>
      <c r="U74" s="32" t="s">
        <v>948</v>
      </c>
      <c r="V74" s="42" t="s">
        <v>57</v>
      </c>
      <c r="W74" s="32">
        <v>2050</v>
      </c>
      <c r="X74" s="43" t="str">
        <f t="shared" si="13"/>
        <v>*0.92</v>
      </c>
      <c r="AC74" s="33" t="s">
        <v>948</v>
      </c>
      <c r="AD74" s="44" t="s">
        <v>57</v>
      </c>
      <c r="AE74" s="33">
        <v>2035</v>
      </c>
      <c r="AF74" s="45" t="str">
        <f t="shared" si="14"/>
        <v>*0.93</v>
      </c>
      <c r="AG74" s="43" t="str">
        <f t="shared" si="16"/>
        <v>REZoning_Sol-Win</v>
      </c>
      <c r="AI74" s="33" t="s">
        <v>948</v>
      </c>
      <c r="AJ74" s="44" t="s">
        <v>57</v>
      </c>
      <c r="AK74" s="33">
        <v>2050</v>
      </c>
      <c r="AL74" s="45" t="str">
        <f t="shared" si="15"/>
        <v>*0.89</v>
      </c>
      <c r="AM74" s="43" t="str">
        <f t="shared" ref="AM74:AM137" si="17">AM73</f>
        <v>REZoning_Sol-Win</v>
      </c>
      <c r="AP74" t="s">
        <v>948</v>
      </c>
      <c r="AQ74" t="s">
        <v>57</v>
      </c>
      <c r="AR74">
        <v>2100</v>
      </c>
      <c r="AS74" t="s">
        <v>937</v>
      </c>
      <c r="AT74" t="s">
        <v>58</v>
      </c>
    </row>
    <row r="75" ht="29" spans="1:46">
      <c r="A75" s="31" t="s">
        <v>83</v>
      </c>
      <c r="C75" t="s">
        <v>949</v>
      </c>
      <c r="D75" s="5" t="s">
        <v>57</v>
      </c>
      <c r="E75">
        <v>2035</v>
      </c>
      <c r="F75" s="6" t="str">
        <f t="shared" si="10"/>
        <v>*0.95</v>
      </c>
      <c r="H75" t="s">
        <v>949</v>
      </c>
      <c r="I75" s="5" t="s">
        <v>57</v>
      </c>
      <c r="J75">
        <v>2050</v>
      </c>
      <c r="K75" s="38" t="str">
        <f t="shared" si="11"/>
        <v>*0.92</v>
      </c>
      <c r="P75" s="32" t="s">
        <v>949</v>
      </c>
      <c r="Q75" s="42" t="s">
        <v>57</v>
      </c>
      <c r="R75" s="32">
        <v>2035</v>
      </c>
      <c r="S75" s="43" t="str">
        <f t="shared" si="12"/>
        <v>*0.95</v>
      </c>
      <c r="U75" s="32" t="s">
        <v>949</v>
      </c>
      <c r="V75" s="42" t="s">
        <v>57</v>
      </c>
      <c r="W75" s="32">
        <v>2050</v>
      </c>
      <c r="X75" s="43" t="str">
        <f t="shared" si="13"/>
        <v>*0.92</v>
      </c>
      <c r="AC75" s="33" t="s">
        <v>949</v>
      </c>
      <c r="AD75" s="44" t="s">
        <v>57</v>
      </c>
      <c r="AE75" s="33">
        <v>2035</v>
      </c>
      <c r="AF75" s="45" t="str">
        <f t="shared" si="14"/>
        <v>*0.93</v>
      </c>
      <c r="AG75" s="43" t="str">
        <f t="shared" si="16"/>
        <v>REZoning_Sol-Win</v>
      </c>
      <c r="AI75" s="33" t="s">
        <v>949</v>
      </c>
      <c r="AJ75" s="44" t="s">
        <v>57</v>
      </c>
      <c r="AK75" s="33">
        <v>2050</v>
      </c>
      <c r="AL75" s="45" t="str">
        <f t="shared" si="15"/>
        <v>*0.89</v>
      </c>
      <c r="AM75" s="43" t="str">
        <f t="shared" si="17"/>
        <v>REZoning_Sol-Win</v>
      </c>
      <c r="AP75" t="s">
        <v>949</v>
      </c>
      <c r="AQ75" t="s">
        <v>57</v>
      </c>
      <c r="AR75">
        <v>2100</v>
      </c>
      <c r="AS75" t="s">
        <v>937</v>
      </c>
      <c r="AT75" t="s">
        <v>58</v>
      </c>
    </row>
    <row r="76" ht="29" spans="1:46">
      <c r="A76" s="31" t="s">
        <v>83</v>
      </c>
      <c r="C76" t="s">
        <v>950</v>
      </c>
      <c r="D76" s="5" t="s">
        <v>57</v>
      </c>
      <c r="E76">
        <v>2035</v>
      </c>
      <c r="F76" s="6" t="str">
        <f t="shared" si="10"/>
        <v>*0.95</v>
      </c>
      <c r="H76" t="s">
        <v>950</v>
      </c>
      <c r="I76" s="5" t="s">
        <v>57</v>
      </c>
      <c r="J76">
        <v>2050</v>
      </c>
      <c r="K76" s="38" t="str">
        <f t="shared" si="11"/>
        <v>*0.92</v>
      </c>
      <c r="P76" s="32" t="s">
        <v>950</v>
      </c>
      <c r="Q76" s="42" t="s">
        <v>57</v>
      </c>
      <c r="R76" s="32">
        <v>2035</v>
      </c>
      <c r="S76" s="43" t="str">
        <f t="shared" si="12"/>
        <v>*0.95</v>
      </c>
      <c r="U76" s="32" t="s">
        <v>950</v>
      </c>
      <c r="V76" s="42" t="s">
        <v>57</v>
      </c>
      <c r="W76" s="32">
        <v>2050</v>
      </c>
      <c r="X76" s="43" t="str">
        <f t="shared" si="13"/>
        <v>*0.92</v>
      </c>
      <c r="AC76" s="33" t="s">
        <v>950</v>
      </c>
      <c r="AD76" s="44" t="s">
        <v>57</v>
      </c>
      <c r="AE76" s="33">
        <v>2035</v>
      </c>
      <c r="AF76" s="45" t="str">
        <f t="shared" si="14"/>
        <v>*0.93</v>
      </c>
      <c r="AG76" s="43" t="str">
        <f t="shared" si="16"/>
        <v>REZoning_Sol-Win</v>
      </c>
      <c r="AI76" s="33" t="s">
        <v>950</v>
      </c>
      <c r="AJ76" s="44" t="s">
        <v>57</v>
      </c>
      <c r="AK76" s="33">
        <v>2050</v>
      </c>
      <c r="AL76" s="45" t="str">
        <f t="shared" si="15"/>
        <v>*0.89</v>
      </c>
      <c r="AM76" s="43" t="str">
        <f t="shared" si="17"/>
        <v>REZoning_Sol-Win</v>
      </c>
      <c r="AP76" t="s">
        <v>950</v>
      </c>
      <c r="AQ76" t="s">
        <v>57</v>
      </c>
      <c r="AR76">
        <v>2100</v>
      </c>
      <c r="AS76" t="s">
        <v>937</v>
      </c>
      <c r="AT76" t="s">
        <v>58</v>
      </c>
    </row>
    <row r="77" ht="29" spans="1:46">
      <c r="A77" s="31" t="s">
        <v>83</v>
      </c>
      <c r="C77" t="s">
        <v>951</v>
      </c>
      <c r="D77" s="5" t="s">
        <v>57</v>
      </c>
      <c r="E77">
        <v>2035</v>
      </c>
      <c r="F77" s="6" t="str">
        <f t="shared" si="10"/>
        <v>*0.95</v>
      </c>
      <c r="H77" t="s">
        <v>951</v>
      </c>
      <c r="I77" s="5" t="s">
        <v>57</v>
      </c>
      <c r="J77">
        <v>2050</v>
      </c>
      <c r="K77" s="38" t="str">
        <f t="shared" si="11"/>
        <v>*0.92</v>
      </c>
      <c r="P77" s="32" t="s">
        <v>951</v>
      </c>
      <c r="Q77" s="42" t="s">
        <v>57</v>
      </c>
      <c r="R77" s="32">
        <v>2035</v>
      </c>
      <c r="S77" s="43" t="str">
        <f t="shared" si="12"/>
        <v>*0.95</v>
      </c>
      <c r="U77" s="32" t="s">
        <v>951</v>
      </c>
      <c r="V77" s="42" t="s">
        <v>57</v>
      </c>
      <c r="W77" s="32">
        <v>2050</v>
      </c>
      <c r="X77" s="43" t="str">
        <f t="shared" si="13"/>
        <v>*0.92</v>
      </c>
      <c r="AC77" s="33" t="s">
        <v>951</v>
      </c>
      <c r="AD77" s="44" t="s">
        <v>57</v>
      </c>
      <c r="AE77" s="33">
        <v>2035</v>
      </c>
      <c r="AF77" s="45" t="str">
        <f t="shared" si="14"/>
        <v>*0.93</v>
      </c>
      <c r="AG77" s="43" t="str">
        <f t="shared" si="16"/>
        <v>REZoning_Sol-Win</v>
      </c>
      <c r="AI77" s="33" t="s">
        <v>951</v>
      </c>
      <c r="AJ77" s="44" t="s">
        <v>57</v>
      </c>
      <c r="AK77" s="33">
        <v>2050</v>
      </c>
      <c r="AL77" s="45" t="str">
        <f t="shared" si="15"/>
        <v>*0.89</v>
      </c>
      <c r="AM77" s="43" t="str">
        <f t="shared" si="17"/>
        <v>REZoning_Sol-Win</v>
      </c>
      <c r="AP77" t="s">
        <v>951</v>
      </c>
      <c r="AQ77" t="s">
        <v>57</v>
      </c>
      <c r="AR77">
        <v>2100</v>
      </c>
      <c r="AS77" t="s">
        <v>937</v>
      </c>
      <c r="AT77" t="s">
        <v>58</v>
      </c>
    </row>
    <row r="78" ht="29" spans="1:46">
      <c r="A78" s="31" t="s">
        <v>83</v>
      </c>
      <c r="C78" t="s">
        <v>952</v>
      </c>
      <c r="D78" s="5" t="s">
        <v>57</v>
      </c>
      <c r="E78">
        <v>2035</v>
      </c>
      <c r="F78" s="6" t="str">
        <f t="shared" si="10"/>
        <v>*0.95</v>
      </c>
      <c r="H78" t="s">
        <v>952</v>
      </c>
      <c r="I78" s="5" t="s">
        <v>57</v>
      </c>
      <c r="J78">
        <v>2050</v>
      </c>
      <c r="K78" s="38" t="str">
        <f t="shared" si="11"/>
        <v>*0.92</v>
      </c>
      <c r="P78" s="32" t="s">
        <v>952</v>
      </c>
      <c r="Q78" s="42" t="s">
        <v>57</v>
      </c>
      <c r="R78" s="32">
        <v>2035</v>
      </c>
      <c r="S78" s="43" t="str">
        <f t="shared" si="12"/>
        <v>*0.95</v>
      </c>
      <c r="U78" s="32" t="s">
        <v>952</v>
      </c>
      <c r="V78" s="42" t="s">
        <v>57</v>
      </c>
      <c r="W78" s="32">
        <v>2050</v>
      </c>
      <c r="X78" s="43" t="str">
        <f t="shared" si="13"/>
        <v>*0.92</v>
      </c>
      <c r="AC78" s="33" t="s">
        <v>952</v>
      </c>
      <c r="AD78" s="44" t="s">
        <v>57</v>
      </c>
      <c r="AE78" s="33">
        <v>2035</v>
      </c>
      <c r="AF78" s="45" t="str">
        <f t="shared" si="14"/>
        <v>*0.93</v>
      </c>
      <c r="AG78" s="43" t="str">
        <f t="shared" si="16"/>
        <v>REZoning_Sol-Win</v>
      </c>
      <c r="AI78" s="33" t="s">
        <v>952</v>
      </c>
      <c r="AJ78" s="44" t="s">
        <v>57</v>
      </c>
      <c r="AK78" s="33">
        <v>2050</v>
      </c>
      <c r="AL78" s="45" t="str">
        <f t="shared" si="15"/>
        <v>*0.89</v>
      </c>
      <c r="AM78" s="43" t="str">
        <f t="shared" si="17"/>
        <v>REZoning_Sol-Win</v>
      </c>
      <c r="AP78" t="s">
        <v>952</v>
      </c>
      <c r="AQ78" t="s">
        <v>57</v>
      </c>
      <c r="AR78">
        <v>2100</v>
      </c>
      <c r="AS78" t="s">
        <v>937</v>
      </c>
      <c r="AT78" t="s">
        <v>58</v>
      </c>
    </row>
    <row r="79" ht="29" spans="1:46">
      <c r="A79" s="31" t="s">
        <v>83</v>
      </c>
      <c r="C79" t="s">
        <v>953</v>
      </c>
      <c r="D79" s="5" t="s">
        <v>57</v>
      </c>
      <c r="E79">
        <v>2035</v>
      </c>
      <c r="F79" s="6" t="str">
        <f t="shared" si="10"/>
        <v>*0.95</v>
      </c>
      <c r="H79" t="s">
        <v>953</v>
      </c>
      <c r="I79" s="5" t="s">
        <v>57</v>
      </c>
      <c r="J79">
        <v>2050</v>
      </c>
      <c r="K79" s="38" t="str">
        <f t="shared" si="11"/>
        <v>*0.92</v>
      </c>
      <c r="P79" s="32" t="s">
        <v>953</v>
      </c>
      <c r="Q79" s="42" t="s">
        <v>57</v>
      </c>
      <c r="R79" s="32">
        <v>2035</v>
      </c>
      <c r="S79" s="43" t="str">
        <f t="shared" si="12"/>
        <v>*0.95</v>
      </c>
      <c r="U79" s="32" t="s">
        <v>953</v>
      </c>
      <c r="V79" s="42" t="s">
        <v>57</v>
      </c>
      <c r="W79" s="32">
        <v>2050</v>
      </c>
      <c r="X79" s="43" t="str">
        <f t="shared" si="13"/>
        <v>*0.92</v>
      </c>
      <c r="AC79" s="33" t="s">
        <v>953</v>
      </c>
      <c r="AD79" s="44" t="s">
        <v>57</v>
      </c>
      <c r="AE79" s="33">
        <v>2035</v>
      </c>
      <c r="AF79" s="45" t="str">
        <f t="shared" si="14"/>
        <v>*0.93</v>
      </c>
      <c r="AG79" s="43" t="str">
        <f t="shared" si="16"/>
        <v>REZoning_Sol-Win</v>
      </c>
      <c r="AI79" s="33" t="s">
        <v>953</v>
      </c>
      <c r="AJ79" s="44" t="s">
        <v>57</v>
      </c>
      <c r="AK79" s="33">
        <v>2050</v>
      </c>
      <c r="AL79" s="45" t="str">
        <f t="shared" si="15"/>
        <v>*0.89</v>
      </c>
      <c r="AM79" s="43" t="str">
        <f t="shared" si="17"/>
        <v>REZoning_Sol-Win</v>
      </c>
      <c r="AP79" t="s">
        <v>953</v>
      </c>
      <c r="AQ79" t="s">
        <v>57</v>
      </c>
      <c r="AR79">
        <v>2100</v>
      </c>
      <c r="AS79" t="s">
        <v>937</v>
      </c>
      <c r="AT79" t="s">
        <v>58</v>
      </c>
    </row>
    <row r="80" ht="29" spans="1:46">
      <c r="A80" s="31" t="s">
        <v>95</v>
      </c>
      <c r="C80" t="s">
        <v>954</v>
      </c>
      <c r="D80" s="5" t="s">
        <v>57</v>
      </c>
      <c r="E80">
        <v>2035</v>
      </c>
      <c r="F80" s="6" t="str">
        <f t="shared" si="10"/>
        <v>*0.95</v>
      </c>
      <c r="H80" t="s">
        <v>954</v>
      </c>
      <c r="I80" s="5" t="s">
        <v>57</v>
      </c>
      <c r="J80">
        <v>2050</v>
      </c>
      <c r="K80" s="38" t="str">
        <f t="shared" si="11"/>
        <v>*0.93</v>
      </c>
      <c r="P80" s="32" t="s">
        <v>954</v>
      </c>
      <c r="Q80" s="42" t="s">
        <v>57</v>
      </c>
      <c r="R80" s="32">
        <v>2035</v>
      </c>
      <c r="S80" s="43" t="str">
        <f t="shared" si="12"/>
        <v>*0.95</v>
      </c>
      <c r="U80" s="32" t="s">
        <v>954</v>
      </c>
      <c r="V80" s="42" t="s">
        <v>57</v>
      </c>
      <c r="W80" s="32">
        <v>2050</v>
      </c>
      <c r="X80" s="43" t="str">
        <f t="shared" si="13"/>
        <v>*0.91</v>
      </c>
      <c r="AC80" s="33" t="s">
        <v>954</v>
      </c>
      <c r="AD80" s="44" t="s">
        <v>57</v>
      </c>
      <c r="AE80" s="33">
        <v>2035</v>
      </c>
      <c r="AF80" s="45" t="str">
        <f t="shared" si="14"/>
        <v>*0.91</v>
      </c>
      <c r="AG80" s="43" t="str">
        <f t="shared" si="16"/>
        <v>REZoning_Sol-Win</v>
      </c>
      <c r="AI80" s="33" t="s">
        <v>954</v>
      </c>
      <c r="AJ80" s="44" t="s">
        <v>57</v>
      </c>
      <c r="AK80" s="33">
        <v>2050</v>
      </c>
      <c r="AL80" s="45" t="str">
        <f t="shared" si="15"/>
        <v>*0.86</v>
      </c>
      <c r="AM80" s="43" t="str">
        <f t="shared" si="17"/>
        <v>REZoning_Sol-Win</v>
      </c>
      <c r="AP80" t="s">
        <v>954</v>
      </c>
      <c r="AQ80" t="s">
        <v>57</v>
      </c>
      <c r="AR80">
        <v>2100</v>
      </c>
      <c r="AS80" t="s">
        <v>883</v>
      </c>
      <c r="AT80" t="s">
        <v>58</v>
      </c>
    </row>
    <row r="81" ht="29" spans="1:46">
      <c r="A81" s="31" t="s">
        <v>95</v>
      </c>
      <c r="C81" t="s">
        <v>955</v>
      </c>
      <c r="D81" s="5" t="s">
        <v>57</v>
      </c>
      <c r="E81">
        <v>2035</v>
      </c>
      <c r="F81" s="6" t="str">
        <f t="shared" si="10"/>
        <v>*0.95</v>
      </c>
      <c r="H81" t="s">
        <v>955</v>
      </c>
      <c r="I81" s="5" t="s">
        <v>57</v>
      </c>
      <c r="J81">
        <v>2050</v>
      </c>
      <c r="K81" s="38" t="str">
        <f t="shared" si="11"/>
        <v>*0.93</v>
      </c>
      <c r="P81" s="32" t="s">
        <v>955</v>
      </c>
      <c r="Q81" s="42" t="s">
        <v>57</v>
      </c>
      <c r="R81" s="32">
        <v>2035</v>
      </c>
      <c r="S81" s="43" t="str">
        <f t="shared" si="12"/>
        <v>*0.95</v>
      </c>
      <c r="U81" s="32" t="s">
        <v>955</v>
      </c>
      <c r="V81" s="42" t="s">
        <v>57</v>
      </c>
      <c r="W81" s="32">
        <v>2050</v>
      </c>
      <c r="X81" s="43" t="str">
        <f t="shared" si="13"/>
        <v>*0.91</v>
      </c>
      <c r="AC81" s="33" t="s">
        <v>955</v>
      </c>
      <c r="AD81" s="44" t="s">
        <v>57</v>
      </c>
      <c r="AE81" s="33">
        <v>2035</v>
      </c>
      <c r="AF81" s="45" t="str">
        <f t="shared" si="14"/>
        <v>*0.91</v>
      </c>
      <c r="AG81" s="43" t="str">
        <f t="shared" si="16"/>
        <v>REZoning_Sol-Win</v>
      </c>
      <c r="AI81" s="33" t="s">
        <v>955</v>
      </c>
      <c r="AJ81" s="44" t="s">
        <v>57</v>
      </c>
      <c r="AK81" s="33">
        <v>2050</v>
      </c>
      <c r="AL81" s="45" t="str">
        <f t="shared" si="15"/>
        <v>*0.86</v>
      </c>
      <c r="AM81" s="43" t="str">
        <f t="shared" si="17"/>
        <v>REZoning_Sol-Win</v>
      </c>
      <c r="AP81" t="s">
        <v>955</v>
      </c>
      <c r="AQ81" t="s">
        <v>57</v>
      </c>
      <c r="AR81">
        <v>2100</v>
      </c>
      <c r="AS81" t="s">
        <v>883</v>
      </c>
      <c r="AT81" t="s">
        <v>58</v>
      </c>
    </row>
    <row r="82" ht="29" spans="1:46">
      <c r="A82" s="31" t="s">
        <v>95</v>
      </c>
      <c r="C82" t="s">
        <v>956</v>
      </c>
      <c r="D82" s="5" t="s">
        <v>57</v>
      </c>
      <c r="E82">
        <v>2035</v>
      </c>
      <c r="F82" s="6" t="str">
        <f t="shared" si="10"/>
        <v>*0.95</v>
      </c>
      <c r="H82" t="s">
        <v>956</v>
      </c>
      <c r="I82" s="5" t="s">
        <v>57</v>
      </c>
      <c r="J82">
        <v>2050</v>
      </c>
      <c r="K82" s="38" t="str">
        <f t="shared" si="11"/>
        <v>*0.93</v>
      </c>
      <c r="P82" s="32" t="s">
        <v>956</v>
      </c>
      <c r="Q82" s="42" t="s">
        <v>57</v>
      </c>
      <c r="R82" s="32">
        <v>2035</v>
      </c>
      <c r="S82" s="43" t="str">
        <f t="shared" si="12"/>
        <v>*0.95</v>
      </c>
      <c r="U82" s="32" t="s">
        <v>956</v>
      </c>
      <c r="V82" s="42" t="s">
        <v>57</v>
      </c>
      <c r="W82" s="32">
        <v>2050</v>
      </c>
      <c r="X82" s="43" t="str">
        <f t="shared" si="13"/>
        <v>*0.91</v>
      </c>
      <c r="AC82" s="33" t="s">
        <v>956</v>
      </c>
      <c r="AD82" s="44" t="s">
        <v>57</v>
      </c>
      <c r="AE82" s="33">
        <v>2035</v>
      </c>
      <c r="AF82" s="45" t="str">
        <f t="shared" si="14"/>
        <v>*0.91</v>
      </c>
      <c r="AG82" s="43" t="str">
        <f t="shared" si="16"/>
        <v>REZoning_Sol-Win</v>
      </c>
      <c r="AI82" s="33" t="s">
        <v>956</v>
      </c>
      <c r="AJ82" s="44" t="s">
        <v>57</v>
      </c>
      <c r="AK82" s="33">
        <v>2050</v>
      </c>
      <c r="AL82" s="45" t="str">
        <f t="shared" si="15"/>
        <v>*0.86</v>
      </c>
      <c r="AM82" s="43" t="str">
        <f t="shared" si="17"/>
        <v>REZoning_Sol-Win</v>
      </c>
      <c r="AP82" t="s">
        <v>956</v>
      </c>
      <c r="AQ82" t="s">
        <v>57</v>
      </c>
      <c r="AR82">
        <v>2100</v>
      </c>
      <c r="AS82" t="s">
        <v>883</v>
      </c>
      <c r="AT82" t="s">
        <v>58</v>
      </c>
    </row>
    <row r="83" ht="29" spans="1:46">
      <c r="A83" s="31" t="s">
        <v>95</v>
      </c>
      <c r="C83" t="s">
        <v>957</v>
      </c>
      <c r="D83" s="5" t="s">
        <v>57</v>
      </c>
      <c r="E83">
        <v>2035</v>
      </c>
      <c r="F83" s="6" t="str">
        <f t="shared" si="10"/>
        <v>*0.95</v>
      </c>
      <c r="H83" t="s">
        <v>957</v>
      </c>
      <c r="I83" s="5" t="s">
        <v>57</v>
      </c>
      <c r="J83">
        <v>2050</v>
      </c>
      <c r="K83" s="38" t="str">
        <f t="shared" si="11"/>
        <v>*0.93</v>
      </c>
      <c r="P83" s="32" t="s">
        <v>957</v>
      </c>
      <c r="Q83" s="42" t="s">
        <v>57</v>
      </c>
      <c r="R83" s="32">
        <v>2035</v>
      </c>
      <c r="S83" s="43" t="str">
        <f t="shared" si="12"/>
        <v>*0.95</v>
      </c>
      <c r="U83" s="32" t="s">
        <v>957</v>
      </c>
      <c r="V83" s="42" t="s">
        <v>57</v>
      </c>
      <c r="W83" s="32">
        <v>2050</v>
      </c>
      <c r="X83" s="43" t="str">
        <f t="shared" si="13"/>
        <v>*0.91</v>
      </c>
      <c r="AC83" s="33" t="s">
        <v>957</v>
      </c>
      <c r="AD83" s="44" t="s">
        <v>57</v>
      </c>
      <c r="AE83" s="33">
        <v>2035</v>
      </c>
      <c r="AF83" s="45" t="str">
        <f t="shared" si="14"/>
        <v>*0.91</v>
      </c>
      <c r="AG83" s="43" t="str">
        <f t="shared" si="16"/>
        <v>REZoning_Sol-Win</v>
      </c>
      <c r="AI83" s="33" t="s">
        <v>957</v>
      </c>
      <c r="AJ83" s="44" t="s">
        <v>57</v>
      </c>
      <c r="AK83" s="33">
        <v>2050</v>
      </c>
      <c r="AL83" s="45" t="str">
        <f t="shared" si="15"/>
        <v>*0.86</v>
      </c>
      <c r="AM83" s="43" t="str">
        <f t="shared" si="17"/>
        <v>REZoning_Sol-Win</v>
      </c>
      <c r="AP83" t="s">
        <v>957</v>
      </c>
      <c r="AQ83" t="s">
        <v>57</v>
      </c>
      <c r="AR83">
        <v>2100</v>
      </c>
      <c r="AS83" t="s">
        <v>883</v>
      </c>
      <c r="AT83" t="s">
        <v>58</v>
      </c>
    </row>
    <row r="84" ht="29" spans="1:46">
      <c r="A84" s="31" t="s">
        <v>95</v>
      </c>
      <c r="C84" t="s">
        <v>958</v>
      </c>
      <c r="D84" s="5" t="s">
        <v>57</v>
      </c>
      <c r="E84">
        <v>2035</v>
      </c>
      <c r="F84" s="6" t="str">
        <f t="shared" si="10"/>
        <v>*0.95</v>
      </c>
      <c r="H84" t="s">
        <v>958</v>
      </c>
      <c r="I84" s="5" t="s">
        <v>57</v>
      </c>
      <c r="J84">
        <v>2050</v>
      </c>
      <c r="K84" s="38" t="str">
        <f t="shared" si="11"/>
        <v>*0.93</v>
      </c>
      <c r="P84" s="32" t="s">
        <v>958</v>
      </c>
      <c r="Q84" s="42" t="s">
        <v>57</v>
      </c>
      <c r="R84" s="32">
        <v>2035</v>
      </c>
      <c r="S84" s="43" t="str">
        <f t="shared" si="12"/>
        <v>*0.95</v>
      </c>
      <c r="U84" s="32" t="s">
        <v>958</v>
      </c>
      <c r="V84" s="42" t="s">
        <v>57</v>
      </c>
      <c r="W84" s="32">
        <v>2050</v>
      </c>
      <c r="X84" s="43" t="str">
        <f t="shared" si="13"/>
        <v>*0.91</v>
      </c>
      <c r="AC84" s="33" t="s">
        <v>958</v>
      </c>
      <c r="AD84" s="44" t="s">
        <v>57</v>
      </c>
      <c r="AE84" s="33">
        <v>2035</v>
      </c>
      <c r="AF84" s="45" t="str">
        <f t="shared" si="14"/>
        <v>*0.91</v>
      </c>
      <c r="AG84" s="43" t="str">
        <f t="shared" si="16"/>
        <v>REZoning_Sol-Win</v>
      </c>
      <c r="AI84" s="33" t="s">
        <v>958</v>
      </c>
      <c r="AJ84" s="44" t="s">
        <v>57</v>
      </c>
      <c r="AK84" s="33">
        <v>2050</v>
      </c>
      <c r="AL84" s="45" t="str">
        <f t="shared" si="15"/>
        <v>*0.86</v>
      </c>
      <c r="AM84" s="43" t="str">
        <f t="shared" si="17"/>
        <v>REZoning_Sol-Win</v>
      </c>
      <c r="AP84" t="s">
        <v>958</v>
      </c>
      <c r="AQ84" t="s">
        <v>57</v>
      </c>
      <c r="AR84">
        <v>2100</v>
      </c>
      <c r="AS84" t="s">
        <v>883</v>
      </c>
      <c r="AT84" t="s">
        <v>58</v>
      </c>
    </row>
    <row r="85" ht="29" spans="1:46">
      <c r="A85" s="31" t="s">
        <v>95</v>
      </c>
      <c r="C85" t="s">
        <v>959</v>
      </c>
      <c r="D85" s="5" t="s">
        <v>57</v>
      </c>
      <c r="E85">
        <v>2035</v>
      </c>
      <c r="F85" s="6" t="str">
        <f t="shared" si="10"/>
        <v>*0.95</v>
      </c>
      <c r="H85" t="s">
        <v>959</v>
      </c>
      <c r="I85" s="5" t="s">
        <v>57</v>
      </c>
      <c r="J85">
        <v>2050</v>
      </c>
      <c r="K85" s="38" t="str">
        <f t="shared" si="11"/>
        <v>*0.93</v>
      </c>
      <c r="P85" s="32" t="s">
        <v>959</v>
      </c>
      <c r="Q85" s="42" t="s">
        <v>57</v>
      </c>
      <c r="R85" s="32">
        <v>2035</v>
      </c>
      <c r="S85" s="43" t="str">
        <f t="shared" si="12"/>
        <v>*0.95</v>
      </c>
      <c r="U85" s="32" t="s">
        <v>959</v>
      </c>
      <c r="V85" s="42" t="s">
        <v>57</v>
      </c>
      <c r="W85" s="32">
        <v>2050</v>
      </c>
      <c r="X85" s="43" t="str">
        <f t="shared" si="13"/>
        <v>*0.91</v>
      </c>
      <c r="AC85" s="33" t="s">
        <v>959</v>
      </c>
      <c r="AD85" s="44" t="s">
        <v>57</v>
      </c>
      <c r="AE85" s="33">
        <v>2035</v>
      </c>
      <c r="AF85" s="45" t="str">
        <f t="shared" si="14"/>
        <v>*0.91</v>
      </c>
      <c r="AG85" s="43" t="str">
        <f t="shared" si="16"/>
        <v>REZoning_Sol-Win</v>
      </c>
      <c r="AI85" s="33" t="s">
        <v>959</v>
      </c>
      <c r="AJ85" s="44" t="s">
        <v>57</v>
      </c>
      <c r="AK85" s="33">
        <v>2050</v>
      </c>
      <c r="AL85" s="45" t="str">
        <f t="shared" si="15"/>
        <v>*0.86</v>
      </c>
      <c r="AM85" s="43" t="str">
        <f t="shared" si="17"/>
        <v>REZoning_Sol-Win</v>
      </c>
      <c r="AP85" t="s">
        <v>959</v>
      </c>
      <c r="AQ85" t="s">
        <v>57</v>
      </c>
      <c r="AR85">
        <v>2100</v>
      </c>
      <c r="AS85" t="s">
        <v>883</v>
      </c>
      <c r="AT85" t="s">
        <v>58</v>
      </c>
    </row>
    <row r="86" ht="29" spans="1:46">
      <c r="A86" s="31" t="s">
        <v>83</v>
      </c>
      <c r="C86" t="s">
        <v>960</v>
      </c>
      <c r="D86" s="5" t="s">
        <v>57</v>
      </c>
      <c r="E86">
        <v>2035</v>
      </c>
      <c r="F86" s="6" t="str">
        <f t="shared" si="10"/>
        <v>*0.95</v>
      </c>
      <c r="H86" t="s">
        <v>960</v>
      </c>
      <c r="I86" s="5" t="s">
        <v>57</v>
      </c>
      <c r="J86">
        <v>2050</v>
      </c>
      <c r="K86" s="38" t="str">
        <f t="shared" si="11"/>
        <v>*0.92</v>
      </c>
      <c r="P86" s="32" t="s">
        <v>960</v>
      </c>
      <c r="Q86" s="42" t="s">
        <v>57</v>
      </c>
      <c r="R86" s="32">
        <v>2035</v>
      </c>
      <c r="S86" s="43" t="str">
        <f t="shared" si="12"/>
        <v>*0.95</v>
      </c>
      <c r="U86" s="32" t="s">
        <v>960</v>
      </c>
      <c r="V86" s="42" t="s">
        <v>57</v>
      </c>
      <c r="W86" s="32">
        <v>2050</v>
      </c>
      <c r="X86" s="43" t="str">
        <f t="shared" si="13"/>
        <v>*0.92</v>
      </c>
      <c r="AC86" s="33" t="s">
        <v>960</v>
      </c>
      <c r="AD86" s="44" t="s">
        <v>57</v>
      </c>
      <c r="AE86" s="33">
        <v>2035</v>
      </c>
      <c r="AF86" s="45" t="str">
        <f t="shared" si="14"/>
        <v>*0.93</v>
      </c>
      <c r="AG86" s="43" t="str">
        <f t="shared" si="16"/>
        <v>REZoning_Sol-Win</v>
      </c>
      <c r="AI86" s="33" t="s">
        <v>960</v>
      </c>
      <c r="AJ86" s="44" t="s">
        <v>57</v>
      </c>
      <c r="AK86" s="33">
        <v>2050</v>
      </c>
      <c r="AL86" s="45" t="str">
        <f t="shared" si="15"/>
        <v>*0.89</v>
      </c>
      <c r="AM86" s="43" t="str">
        <f t="shared" si="17"/>
        <v>REZoning_Sol-Win</v>
      </c>
      <c r="AP86" t="s">
        <v>960</v>
      </c>
      <c r="AQ86" t="s">
        <v>57</v>
      </c>
      <c r="AR86">
        <v>2100</v>
      </c>
      <c r="AS86" t="s">
        <v>937</v>
      </c>
      <c r="AT86" t="s">
        <v>58</v>
      </c>
    </row>
    <row r="87" ht="29" spans="1:46">
      <c r="A87" s="31" t="s">
        <v>98</v>
      </c>
      <c r="C87" t="s">
        <v>961</v>
      </c>
      <c r="D87" s="5" t="s">
        <v>57</v>
      </c>
      <c r="E87">
        <v>2035</v>
      </c>
      <c r="F87" s="6" t="str">
        <f t="shared" si="10"/>
        <v>*0.96</v>
      </c>
      <c r="H87" t="s">
        <v>961</v>
      </c>
      <c r="I87" s="5" t="s">
        <v>57</v>
      </c>
      <c r="J87">
        <v>2050</v>
      </c>
      <c r="K87" s="38" t="str">
        <f t="shared" si="11"/>
        <v>*0.94</v>
      </c>
      <c r="P87" s="32" t="s">
        <v>961</v>
      </c>
      <c r="Q87" s="42" t="s">
        <v>57</v>
      </c>
      <c r="R87" s="32">
        <v>2035</v>
      </c>
      <c r="S87" s="43" t="str">
        <f t="shared" si="12"/>
        <v>*0.96</v>
      </c>
      <c r="U87" s="32" t="s">
        <v>961</v>
      </c>
      <c r="V87" s="42" t="s">
        <v>57</v>
      </c>
      <c r="W87" s="32">
        <v>2050</v>
      </c>
      <c r="X87" s="43" t="str">
        <f t="shared" si="13"/>
        <v>*0.93</v>
      </c>
      <c r="AC87" s="33" t="s">
        <v>961</v>
      </c>
      <c r="AD87" s="44" t="s">
        <v>57</v>
      </c>
      <c r="AE87" s="33">
        <v>2035</v>
      </c>
      <c r="AF87" s="45" t="str">
        <f t="shared" si="14"/>
        <v>*0.92</v>
      </c>
      <c r="AG87" s="43" t="str">
        <f t="shared" si="16"/>
        <v>REZoning_Sol-Win</v>
      </c>
      <c r="AI87" s="33" t="s">
        <v>961</v>
      </c>
      <c r="AJ87" s="44" t="s">
        <v>57</v>
      </c>
      <c r="AK87" s="33">
        <v>2050</v>
      </c>
      <c r="AL87" s="45" t="str">
        <f t="shared" si="15"/>
        <v>*0.89</v>
      </c>
      <c r="AM87" s="43" t="str">
        <f t="shared" si="17"/>
        <v>REZoning_Sol-Win</v>
      </c>
      <c r="AP87" t="s">
        <v>961</v>
      </c>
      <c r="AQ87" t="s">
        <v>57</v>
      </c>
      <c r="AR87">
        <v>2100</v>
      </c>
      <c r="AS87" t="s">
        <v>937</v>
      </c>
      <c r="AT87" t="s">
        <v>58</v>
      </c>
    </row>
    <row r="88" ht="29" spans="1:46">
      <c r="A88" s="31" t="s">
        <v>98</v>
      </c>
      <c r="C88" t="s">
        <v>962</v>
      </c>
      <c r="D88" s="5" t="s">
        <v>57</v>
      </c>
      <c r="E88">
        <v>2035</v>
      </c>
      <c r="F88" s="6" t="str">
        <f t="shared" si="10"/>
        <v>*0.96</v>
      </c>
      <c r="H88" t="s">
        <v>962</v>
      </c>
      <c r="I88" s="5" t="s">
        <v>57</v>
      </c>
      <c r="J88">
        <v>2050</v>
      </c>
      <c r="K88" s="38" t="str">
        <f t="shared" si="11"/>
        <v>*0.94</v>
      </c>
      <c r="P88" s="32" t="s">
        <v>962</v>
      </c>
      <c r="Q88" s="42" t="s">
        <v>57</v>
      </c>
      <c r="R88" s="32">
        <v>2035</v>
      </c>
      <c r="S88" s="43" t="str">
        <f t="shared" si="12"/>
        <v>*0.96</v>
      </c>
      <c r="U88" s="32" t="s">
        <v>962</v>
      </c>
      <c r="V88" s="42" t="s">
        <v>57</v>
      </c>
      <c r="W88" s="32">
        <v>2050</v>
      </c>
      <c r="X88" s="43" t="str">
        <f t="shared" si="13"/>
        <v>*0.93</v>
      </c>
      <c r="AC88" s="33" t="s">
        <v>962</v>
      </c>
      <c r="AD88" s="44" t="s">
        <v>57</v>
      </c>
      <c r="AE88" s="33">
        <v>2035</v>
      </c>
      <c r="AF88" s="45" t="str">
        <f t="shared" si="14"/>
        <v>*0.92</v>
      </c>
      <c r="AG88" s="43" t="str">
        <f t="shared" si="16"/>
        <v>REZoning_Sol-Win</v>
      </c>
      <c r="AI88" s="33" t="s">
        <v>962</v>
      </c>
      <c r="AJ88" s="44" t="s">
        <v>57</v>
      </c>
      <c r="AK88" s="33">
        <v>2050</v>
      </c>
      <c r="AL88" s="45" t="str">
        <f t="shared" si="15"/>
        <v>*0.89</v>
      </c>
      <c r="AM88" s="43" t="str">
        <f t="shared" si="17"/>
        <v>REZoning_Sol-Win</v>
      </c>
      <c r="AP88" t="s">
        <v>962</v>
      </c>
      <c r="AQ88" t="s">
        <v>57</v>
      </c>
      <c r="AR88">
        <v>2100</v>
      </c>
      <c r="AS88" t="s">
        <v>937</v>
      </c>
      <c r="AT88" t="s">
        <v>58</v>
      </c>
    </row>
    <row r="89" ht="29" spans="1:46">
      <c r="A89" s="31" t="s">
        <v>98</v>
      </c>
      <c r="C89" t="s">
        <v>963</v>
      </c>
      <c r="D89" s="5" t="s">
        <v>57</v>
      </c>
      <c r="E89">
        <v>2035</v>
      </c>
      <c r="F89" s="6" t="str">
        <f t="shared" si="10"/>
        <v>*0.96</v>
      </c>
      <c r="H89" t="s">
        <v>963</v>
      </c>
      <c r="I89" s="5" t="s">
        <v>57</v>
      </c>
      <c r="J89">
        <v>2050</v>
      </c>
      <c r="K89" s="38" t="str">
        <f t="shared" si="11"/>
        <v>*0.94</v>
      </c>
      <c r="P89" s="32" t="s">
        <v>963</v>
      </c>
      <c r="Q89" s="42" t="s">
        <v>57</v>
      </c>
      <c r="R89" s="32">
        <v>2035</v>
      </c>
      <c r="S89" s="43" t="str">
        <f t="shared" si="12"/>
        <v>*0.96</v>
      </c>
      <c r="U89" s="32" t="s">
        <v>963</v>
      </c>
      <c r="V89" s="42" t="s">
        <v>57</v>
      </c>
      <c r="W89" s="32">
        <v>2050</v>
      </c>
      <c r="X89" s="43" t="str">
        <f t="shared" si="13"/>
        <v>*0.93</v>
      </c>
      <c r="AC89" s="33" t="s">
        <v>963</v>
      </c>
      <c r="AD89" s="44" t="s">
        <v>57</v>
      </c>
      <c r="AE89" s="33">
        <v>2035</v>
      </c>
      <c r="AF89" s="45" t="str">
        <f t="shared" si="14"/>
        <v>*0.92</v>
      </c>
      <c r="AG89" s="43" t="str">
        <f t="shared" si="16"/>
        <v>REZoning_Sol-Win</v>
      </c>
      <c r="AI89" s="33" t="s">
        <v>963</v>
      </c>
      <c r="AJ89" s="44" t="s">
        <v>57</v>
      </c>
      <c r="AK89" s="33">
        <v>2050</v>
      </c>
      <c r="AL89" s="45" t="str">
        <f t="shared" si="15"/>
        <v>*0.89</v>
      </c>
      <c r="AM89" s="43" t="str">
        <f t="shared" si="17"/>
        <v>REZoning_Sol-Win</v>
      </c>
      <c r="AP89" t="s">
        <v>963</v>
      </c>
      <c r="AQ89" t="s">
        <v>57</v>
      </c>
      <c r="AR89">
        <v>2100</v>
      </c>
      <c r="AS89" t="s">
        <v>937</v>
      </c>
      <c r="AT89" t="s">
        <v>58</v>
      </c>
    </row>
    <row r="90" ht="29" spans="1:46">
      <c r="A90" s="31" t="s">
        <v>98</v>
      </c>
      <c r="C90" t="s">
        <v>964</v>
      </c>
      <c r="D90" s="5" t="s">
        <v>57</v>
      </c>
      <c r="E90">
        <v>2035</v>
      </c>
      <c r="F90" s="6" t="str">
        <f t="shared" si="10"/>
        <v>*0.96</v>
      </c>
      <c r="H90" t="s">
        <v>964</v>
      </c>
      <c r="I90" s="5" t="s">
        <v>57</v>
      </c>
      <c r="J90">
        <v>2050</v>
      </c>
      <c r="K90" s="38" t="str">
        <f t="shared" si="11"/>
        <v>*0.94</v>
      </c>
      <c r="P90" s="32" t="s">
        <v>964</v>
      </c>
      <c r="Q90" s="42" t="s">
        <v>57</v>
      </c>
      <c r="R90" s="32">
        <v>2035</v>
      </c>
      <c r="S90" s="43" t="str">
        <f t="shared" si="12"/>
        <v>*0.96</v>
      </c>
      <c r="U90" s="32" t="s">
        <v>964</v>
      </c>
      <c r="V90" s="42" t="s">
        <v>57</v>
      </c>
      <c r="W90" s="32">
        <v>2050</v>
      </c>
      <c r="X90" s="43" t="str">
        <f t="shared" si="13"/>
        <v>*0.93</v>
      </c>
      <c r="AC90" s="33" t="s">
        <v>964</v>
      </c>
      <c r="AD90" s="44" t="s">
        <v>57</v>
      </c>
      <c r="AE90" s="33">
        <v>2035</v>
      </c>
      <c r="AF90" s="45" t="str">
        <f t="shared" si="14"/>
        <v>*0.92</v>
      </c>
      <c r="AG90" s="43" t="str">
        <f t="shared" si="16"/>
        <v>REZoning_Sol-Win</v>
      </c>
      <c r="AI90" s="33" t="s">
        <v>964</v>
      </c>
      <c r="AJ90" s="44" t="s">
        <v>57</v>
      </c>
      <c r="AK90" s="33">
        <v>2050</v>
      </c>
      <c r="AL90" s="45" t="str">
        <f t="shared" si="15"/>
        <v>*0.89</v>
      </c>
      <c r="AM90" s="43" t="str">
        <f t="shared" si="17"/>
        <v>REZoning_Sol-Win</v>
      </c>
      <c r="AP90" t="s">
        <v>964</v>
      </c>
      <c r="AQ90" t="s">
        <v>57</v>
      </c>
      <c r="AR90">
        <v>2100</v>
      </c>
      <c r="AS90" t="s">
        <v>937</v>
      </c>
      <c r="AT90" t="s">
        <v>58</v>
      </c>
    </row>
    <row r="91" ht="29" spans="1:46">
      <c r="A91" s="31" t="s">
        <v>98</v>
      </c>
      <c r="C91" t="s">
        <v>965</v>
      </c>
      <c r="D91" s="5" t="s">
        <v>57</v>
      </c>
      <c r="E91">
        <v>2035</v>
      </c>
      <c r="F91" s="6" t="str">
        <f t="shared" si="10"/>
        <v>*0.96</v>
      </c>
      <c r="H91" t="s">
        <v>965</v>
      </c>
      <c r="I91" s="5" t="s">
        <v>57</v>
      </c>
      <c r="J91">
        <v>2050</v>
      </c>
      <c r="K91" s="38" t="str">
        <f t="shared" si="11"/>
        <v>*0.94</v>
      </c>
      <c r="P91" s="32" t="s">
        <v>965</v>
      </c>
      <c r="Q91" s="42" t="s">
        <v>57</v>
      </c>
      <c r="R91" s="32">
        <v>2035</v>
      </c>
      <c r="S91" s="43" t="str">
        <f t="shared" si="12"/>
        <v>*0.96</v>
      </c>
      <c r="U91" s="32" t="s">
        <v>965</v>
      </c>
      <c r="V91" s="42" t="s">
        <v>57</v>
      </c>
      <c r="W91" s="32">
        <v>2050</v>
      </c>
      <c r="X91" s="43" t="str">
        <f t="shared" si="13"/>
        <v>*0.93</v>
      </c>
      <c r="AC91" s="33" t="s">
        <v>965</v>
      </c>
      <c r="AD91" s="44" t="s">
        <v>57</v>
      </c>
      <c r="AE91" s="33">
        <v>2035</v>
      </c>
      <c r="AF91" s="45" t="str">
        <f t="shared" si="14"/>
        <v>*0.92</v>
      </c>
      <c r="AG91" s="43" t="str">
        <f t="shared" si="16"/>
        <v>REZoning_Sol-Win</v>
      </c>
      <c r="AI91" s="33" t="s">
        <v>965</v>
      </c>
      <c r="AJ91" s="44" t="s">
        <v>57</v>
      </c>
      <c r="AK91" s="33">
        <v>2050</v>
      </c>
      <c r="AL91" s="45" t="str">
        <f t="shared" si="15"/>
        <v>*0.89</v>
      </c>
      <c r="AM91" s="43" t="str">
        <f t="shared" si="17"/>
        <v>REZoning_Sol-Win</v>
      </c>
      <c r="AP91" t="s">
        <v>965</v>
      </c>
      <c r="AQ91" t="s">
        <v>57</v>
      </c>
      <c r="AR91">
        <v>2100</v>
      </c>
      <c r="AS91" t="s">
        <v>937</v>
      </c>
      <c r="AT91" t="s">
        <v>58</v>
      </c>
    </row>
    <row r="92" ht="29" spans="1:46">
      <c r="A92" s="31" t="s">
        <v>98</v>
      </c>
      <c r="C92" t="s">
        <v>966</v>
      </c>
      <c r="D92" s="5" t="s">
        <v>57</v>
      </c>
      <c r="E92">
        <v>2035</v>
      </c>
      <c r="F92" s="6" t="str">
        <f t="shared" si="10"/>
        <v>*0.96</v>
      </c>
      <c r="H92" t="s">
        <v>966</v>
      </c>
      <c r="I92" s="5" t="s">
        <v>57</v>
      </c>
      <c r="J92">
        <v>2050</v>
      </c>
      <c r="K92" s="38" t="str">
        <f t="shared" si="11"/>
        <v>*0.94</v>
      </c>
      <c r="P92" s="32" t="s">
        <v>966</v>
      </c>
      <c r="Q92" s="42" t="s">
        <v>57</v>
      </c>
      <c r="R92" s="32">
        <v>2035</v>
      </c>
      <c r="S92" s="43" t="str">
        <f t="shared" si="12"/>
        <v>*0.96</v>
      </c>
      <c r="U92" s="32" t="s">
        <v>966</v>
      </c>
      <c r="V92" s="42" t="s">
        <v>57</v>
      </c>
      <c r="W92" s="32">
        <v>2050</v>
      </c>
      <c r="X92" s="43" t="str">
        <f t="shared" si="13"/>
        <v>*0.93</v>
      </c>
      <c r="AC92" s="33" t="s">
        <v>966</v>
      </c>
      <c r="AD92" s="44" t="s">
        <v>57</v>
      </c>
      <c r="AE92" s="33">
        <v>2035</v>
      </c>
      <c r="AF92" s="45" t="str">
        <f t="shared" si="14"/>
        <v>*0.92</v>
      </c>
      <c r="AG92" s="43" t="str">
        <f t="shared" si="16"/>
        <v>REZoning_Sol-Win</v>
      </c>
      <c r="AI92" s="33" t="s">
        <v>966</v>
      </c>
      <c r="AJ92" s="44" t="s">
        <v>57</v>
      </c>
      <c r="AK92" s="33">
        <v>2050</v>
      </c>
      <c r="AL92" s="45" t="str">
        <f t="shared" si="15"/>
        <v>*0.89</v>
      </c>
      <c r="AM92" s="43" t="str">
        <f t="shared" si="17"/>
        <v>REZoning_Sol-Win</v>
      </c>
      <c r="AP92" t="s">
        <v>966</v>
      </c>
      <c r="AQ92" t="s">
        <v>57</v>
      </c>
      <c r="AR92">
        <v>2100</v>
      </c>
      <c r="AS92" t="s">
        <v>937</v>
      </c>
      <c r="AT92" t="s">
        <v>58</v>
      </c>
    </row>
    <row r="93" ht="29" spans="1:46">
      <c r="A93" s="31" t="s">
        <v>98</v>
      </c>
      <c r="C93" t="s">
        <v>967</v>
      </c>
      <c r="D93" s="5" t="s">
        <v>57</v>
      </c>
      <c r="E93">
        <v>2035</v>
      </c>
      <c r="F93" s="6" t="str">
        <f t="shared" si="10"/>
        <v>*0.96</v>
      </c>
      <c r="H93" t="s">
        <v>967</v>
      </c>
      <c r="I93" s="5" t="s">
        <v>57</v>
      </c>
      <c r="J93">
        <v>2050</v>
      </c>
      <c r="K93" s="38" t="str">
        <f t="shared" si="11"/>
        <v>*0.94</v>
      </c>
      <c r="P93" s="32" t="s">
        <v>967</v>
      </c>
      <c r="Q93" s="42" t="s">
        <v>57</v>
      </c>
      <c r="R93" s="32">
        <v>2035</v>
      </c>
      <c r="S93" s="43" t="str">
        <f t="shared" si="12"/>
        <v>*0.96</v>
      </c>
      <c r="U93" s="32" t="s">
        <v>967</v>
      </c>
      <c r="V93" s="42" t="s">
        <v>57</v>
      </c>
      <c r="W93" s="32">
        <v>2050</v>
      </c>
      <c r="X93" s="43" t="str">
        <f t="shared" si="13"/>
        <v>*0.93</v>
      </c>
      <c r="AC93" s="33" t="s">
        <v>967</v>
      </c>
      <c r="AD93" s="44" t="s">
        <v>57</v>
      </c>
      <c r="AE93" s="33">
        <v>2035</v>
      </c>
      <c r="AF93" s="45" t="str">
        <f t="shared" si="14"/>
        <v>*0.92</v>
      </c>
      <c r="AG93" s="43" t="str">
        <f t="shared" si="16"/>
        <v>REZoning_Sol-Win</v>
      </c>
      <c r="AI93" s="33" t="s">
        <v>967</v>
      </c>
      <c r="AJ93" s="44" t="s">
        <v>57</v>
      </c>
      <c r="AK93" s="33">
        <v>2050</v>
      </c>
      <c r="AL93" s="45" t="str">
        <f t="shared" si="15"/>
        <v>*0.89</v>
      </c>
      <c r="AM93" s="43" t="str">
        <f t="shared" si="17"/>
        <v>REZoning_Sol-Win</v>
      </c>
      <c r="AP93" t="s">
        <v>967</v>
      </c>
      <c r="AQ93" t="s">
        <v>57</v>
      </c>
      <c r="AR93">
        <v>2100</v>
      </c>
      <c r="AS93" t="s">
        <v>937</v>
      </c>
      <c r="AT93" t="s">
        <v>58</v>
      </c>
    </row>
    <row r="94" ht="29" spans="1:46">
      <c r="A94" s="31" t="s">
        <v>98</v>
      </c>
      <c r="C94" t="s">
        <v>968</v>
      </c>
      <c r="D94" s="5" t="s">
        <v>57</v>
      </c>
      <c r="E94">
        <v>2035</v>
      </c>
      <c r="F94" s="6" t="str">
        <f t="shared" si="10"/>
        <v>*0.96</v>
      </c>
      <c r="H94" t="s">
        <v>968</v>
      </c>
      <c r="I94" s="5" t="s">
        <v>57</v>
      </c>
      <c r="J94">
        <v>2050</v>
      </c>
      <c r="K94" s="38" t="str">
        <f t="shared" si="11"/>
        <v>*0.94</v>
      </c>
      <c r="P94" s="32" t="s">
        <v>968</v>
      </c>
      <c r="Q94" s="42" t="s">
        <v>57</v>
      </c>
      <c r="R94" s="32">
        <v>2035</v>
      </c>
      <c r="S94" s="43" t="str">
        <f t="shared" si="12"/>
        <v>*0.96</v>
      </c>
      <c r="U94" s="32" t="s">
        <v>968</v>
      </c>
      <c r="V94" s="42" t="s">
        <v>57</v>
      </c>
      <c r="W94" s="32">
        <v>2050</v>
      </c>
      <c r="X94" s="43" t="str">
        <f t="shared" si="13"/>
        <v>*0.93</v>
      </c>
      <c r="AC94" s="33" t="s">
        <v>968</v>
      </c>
      <c r="AD94" s="44" t="s">
        <v>57</v>
      </c>
      <c r="AE94" s="33">
        <v>2035</v>
      </c>
      <c r="AF94" s="45" t="str">
        <f t="shared" si="14"/>
        <v>*0.92</v>
      </c>
      <c r="AG94" s="43" t="str">
        <f t="shared" si="16"/>
        <v>REZoning_Sol-Win</v>
      </c>
      <c r="AI94" s="33" t="s">
        <v>968</v>
      </c>
      <c r="AJ94" s="44" t="s">
        <v>57</v>
      </c>
      <c r="AK94" s="33">
        <v>2050</v>
      </c>
      <c r="AL94" s="45" t="str">
        <f t="shared" si="15"/>
        <v>*0.89</v>
      </c>
      <c r="AM94" s="43" t="str">
        <f t="shared" si="17"/>
        <v>REZoning_Sol-Win</v>
      </c>
      <c r="AP94" t="s">
        <v>968</v>
      </c>
      <c r="AQ94" t="s">
        <v>57</v>
      </c>
      <c r="AR94">
        <v>2100</v>
      </c>
      <c r="AS94" t="s">
        <v>937</v>
      </c>
      <c r="AT94" t="s">
        <v>58</v>
      </c>
    </row>
    <row r="95" ht="29" spans="1:46">
      <c r="A95" s="31" t="s">
        <v>98</v>
      </c>
      <c r="C95" t="s">
        <v>969</v>
      </c>
      <c r="D95" s="5" t="s">
        <v>57</v>
      </c>
      <c r="E95">
        <v>2035</v>
      </c>
      <c r="F95" s="6" t="str">
        <f t="shared" si="10"/>
        <v>*0.96</v>
      </c>
      <c r="H95" t="s">
        <v>969</v>
      </c>
      <c r="I95" s="5" t="s">
        <v>57</v>
      </c>
      <c r="J95">
        <v>2050</v>
      </c>
      <c r="K95" s="38" t="str">
        <f t="shared" si="11"/>
        <v>*0.94</v>
      </c>
      <c r="P95" s="32" t="s">
        <v>969</v>
      </c>
      <c r="Q95" s="42" t="s">
        <v>57</v>
      </c>
      <c r="R95" s="32">
        <v>2035</v>
      </c>
      <c r="S95" s="43" t="str">
        <f t="shared" si="12"/>
        <v>*0.96</v>
      </c>
      <c r="U95" s="32" t="s">
        <v>969</v>
      </c>
      <c r="V95" s="42" t="s">
        <v>57</v>
      </c>
      <c r="W95" s="32">
        <v>2050</v>
      </c>
      <c r="X95" s="43" t="str">
        <f t="shared" si="13"/>
        <v>*0.93</v>
      </c>
      <c r="AC95" s="33" t="s">
        <v>969</v>
      </c>
      <c r="AD95" s="44" t="s">
        <v>57</v>
      </c>
      <c r="AE95" s="33">
        <v>2035</v>
      </c>
      <c r="AF95" s="45" t="str">
        <f t="shared" si="14"/>
        <v>*0.92</v>
      </c>
      <c r="AG95" s="43" t="str">
        <f t="shared" si="16"/>
        <v>REZoning_Sol-Win</v>
      </c>
      <c r="AI95" s="33" t="s">
        <v>969</v>
      </c>
      <c r="AJ95" s="44" t="s">
        <v>57</v>
      </c>
      <c r="AK95" s="33">
        <v>2050</v>
      </c>
      <c r="AL95" s="45" t="str">
        <f t="shared" si="15"/>
        <v>*0.89</v>
      </c>
      <c r="AM95" s="43" t="str">
        <f t="shared" si="17"/>
        <v>REZoning_Sol-Win</v>
      </c>
      <c r="AP95" t="s">
        <v>969</v>
      </c>
      <c r="AQ95" t="s">
        <v>57</v>
      </c>
      <c r="AR95">
        <v>2100</v>
      </c>
      <c r="AS95" t="s">
        <v>937</v>
      </c>
      <c r="AT95" t="s">
        <v>58</v>
      </c>
    </row>
    <row r="96" ht="29" spans="1:46">
      <c r="A96" s="31" t="s">
        <v>98</v>
      </c>
      <c r="C96" t="s">
        <v>970</v>
      </c>
      <c r="D96" s="5" t="s">
        <v>57</v>
      </c>
      <c r="E96">
        <v>2035</v>
      </c>
      <c r="F96" s="6" t="str">
        <f t="shared" si="10"/>
        <v>*0.96</v>
      </c>
      <c r="H96" t="s">
        <v>970</v>
      </c>
      <c r="I96" s="5" t="s">
        <v>57</v>
      </c>
      <c r="J96">
        <v>2050</v>
      </c>
      <c r="K96" s="38" t="str">
        <f t="shared" si="11"/>
        <v>*0.94</v>
      </c>
      <c r="P96" s="32" t="s">
        <v>970</v>
      </c>
      <c r="Q96" s="42" t="s">
        <v>57</v>
      </c>
      <c r="R96" s="32">
        <v>2035</v>
      </c>
      <c r="S96" s="43" t="str">
        <f t="shared" si="12"/>
        <v>*0.96</v>
      </c>
      <c r="U96" s="32" t="s">
        <v>970</v>
      </c>
      <c r="V96" s="42" t="s">
        <v>57</v>
      </c>
      <c r="W96" s="32">
        <v>2050</v>
      </c>
      <c r="X96" s="43" t="str">
        <f t="shared" si="13"/>
        <v>*0.93</v>
      </c>
      <c r="AC96" s="33" t="s">
        <v>970</v>
      </c>
      <c r="AD96" s="44" t="s">
        <v>57</v>
      </c>
      <c r="AE96" s="33">
        <v>2035</v>
      </c>
      <c r="AF96" s="45" t="str">
        <f t="shared" si="14"/>
        <v>*0.92</v>
      </c>
      <c r="AG96" s="43" t="str">
        <f t="shared" si="16"/>
        <v>REZoning_Sol-Win</v>
      </c>
      <c r="AI96" s="33" t="s">
        <v>970</v>
      </c>
      <c r="AJ96" s="44" t="s">
        <v>57</v>
      </c>
      <c r="AK96" s="33">
        <v>2050</v>
      </c>
      <c r="AL96" s="45" t="str">
        <f t="shared" si="15"/>
        <v>*0.89</v>
      </c>
      <c r="AM96" s="43" t="str">
        <f t="shared" si="17"/>
        <v>REZoning_Sol-Win</v>
      </c>
      <c r="AP96" t="s">
        <v>970</v>
      </c>
      <c r="AQ96" t="s">
        <v>57</v>
      </c>
      <c r="AR96">
        <v>2100</v>
      </c>
      <c r="AS96" t="s">
        <v>937</v>
      </c>
      <c r="AT96" t="s">
        <v>58</v>
      </c>
    </row>
    <row r="97" ht="29" spans="1:46">
      <c r="A97" s="31" t="s">
        <v>98</v>
      </c>
      <c r="C97" t="s">
        <v>971</v>
      </c>
      <c r="D97" s="5" t="s">
        <v>57</v>
      </c>
      <c r="E97">
        <v>2035</v>
      </c>
      <c r="F97" s="6" t="str">
        <f t="shared" si="10"/>
        <v>*0.96</v>
      </c>
      <c r="H97" t="s">
        <v>971</v>
      </c>
      <c r="I97" s="5" t="s">
        <v>57</v>
      </c>
      <c r="J97">
        <v>2050</v>
      </c>
      <c r="K97" s="38" t="str">
        <f t="shared" si="11"/>
        <v>*0.94</v>
      </c>
      <c r="P97" s="32" t="s">
        <v>971</v>
      </c>
      <c r="Q97" s="42" t="s">
        <v>57</v>
      </c>
      <c r="R97" s="32">
        <v>2035</v>
      </c>
      <c r="S97" s="43" t="str">
        <f t="shared" si="12"/>
        <v>*0.96</v>
      </c>
      <c r="U97" s="32" t="s">
        <v>971</v>
      </c>
      <c r="V97" s="42" t="s">
        <v>57</v>
      </c>
      <c r="W97" s="32">
        <v>2050</v>
      </c>
      <c r="X97" s="43" t="str">
        <f t="shared" si="13"/>
        <v>*0.93</v>
      </c>
      <c r="AC97" s="33" t="s">
        <v>971</v>
      </c>
      <c r="AD97" s="44" t="s">
        <v>57</v>
      </c>
      <c r="AE97" s="33">
        <v>2035</v>
      </c>
      <c r="AF97" s="45" t="str">
        <f t="shared" si="14"/>
        <v>*0.92</v>
      </c>
      <c r="AG97" s="43" t="str">
        <f t="shared" si="16"/>
        <v>REZoning_Sol-Win</v>
      </c>
      <c r="AI97" s="33" t="s">
        <v>971</v>
      </c>
      <c r="AJ97" s="44" t="s">
        <v>57</v>
      </c>
      <c r="AK97" s="33">
        <v>2050</v>
      </c>
      <c r="AL97" s="45" t="str">
        <f t="shared" si="15"/>
        <v>*0.89</v>
      </c>
      <c r="AM97" s="43" t="str">
        <f t="shared" si="17"/>
        <v>REZoning_Sol-Win</v>
      </c>
      <c r="AP97" t="s">
        <v>971</v>
      </c>
      <c r="AQ97" t="s">
        <v>57</v>
      </c>
      <c r="AR97">
        <v>2100</v>
      </c>
      <c r="AS97" t="s">
        <v>937</v>
      </c>
      <c r="AT97" t="s">
        <v>58</v>
      </c>
    </row>
    <row r="98" ht="29" spans="1:46">
      <c r="A98" s="31" t="s">
        <v>98</v>
      </c>
      <c r="C98" t="s">
        <v>972</v>
      </c>
      <c r="D98" s="5" t="s">
        <v>57</v>
      </c>
      <c r="E98">
        <v>2035</v>
      </c>
      <c r="F98" s="6" t="str">
        <f t="shared" si="10"/>
        <v>*0.96</v>
      </c>
      <c r="H98" t="s">
        <v>972</v>
      </c>
      <c r="I98" s="5" t="s">
        <v>57</v>
      </c>
      <c r="J98">
        <v>2050</v>
      </c>
      <c r="K98" s="38" t="str">
        <f t="shared" si="11"/>
        <v>*0.94</v>
      </c>
      <c r="P98" s="32" t="s">
        <v>972</v>
      </c>
      <c r="Q98" s="42" t="s">
        <v>57</v>
      </c>
      <c r="R98" s="32">
        <v>2035</v>
      </c>
      <c r="S98" s="43" t="str">
        <f t="shared" si="12"/>
        <v>*0.96</v>
      </c>
      <c r="U98" s="32" t="s">
        <v>972</v>
      </c>
      <c r="V98" s="42" t="s">
        <v>57</v>
      </c>
      <c r="W98" s="32">
        <v>2050</v>
      </c>
      <c r="X98" s="43" t="str">
        <f t="shared" si="13"/>
        <v>*0.93</v>
      </c>
      <c r="AC98" s="33" t="s">
        <v>972</v>
      </c>
      <c r="AD98" s="44" t="s">
        <v>57</v>
      </c>
      <c r="AE98" s="33">
        <v>2035</v>
      </c>
      <c r="AF98" s="45" t="str">
        <f t="shared" si="14"/>
        <v>*0.92</v>
      </c>
      <c r="AG98" s="43" t="str">
        <f t="shared" si="16"/>
        <v>REZoning_Sol-Win</v>
      </c>
      <c r="AI98" s="33" t="s">
        <v>972</v>
      </c>
      <c r="AJ98" s="44" t="s">
        <v>57</v>
      </c>
      <c r="AK98" s="33">
        <v>2050</v>
      </c>
      <c r="AL98" s="45" t="str">
        <f t="shared" si="15"/>
        <v>*0.89</v>
      </c>
      <c r="AM98" s="43" t="str">
        <f t="shared" si="17"/>
        <v>REZoning_Sol-Win</v>
      </c>
      <c r="AP98" t="s">
        <v>972</v>
      </c>
      <c r="AQ98" t="s">
        <v>57</v>
      </c>
      <c r="AR98">
        <v>2100</v>
      </c>
      <c r="AS98" t="s">
        <v>937</v>
      </c>
      <c r="AT98" t="s">
        <v>58</v>
      </c>
    </row>
    <row r="99" ht="29" spans="1:46">
      <c r="A99" s="31" t="s">
        <v>98</v>
      </c>
      <c r="C99" t="s">
        <v>973</v>
      </c>
      <c r="D99" s="5" t="s">
        <v>57</v>
      </c>
      <c r="E99">
        <v>2035</v>
      </c>
      <c r="F99" s="6" t="str">
        <f t="shared" si="10"/>
        <v>*0.96</v>
      </c>
      <c r="H99" t="s">
        <v>973</v>
      </c>
      <c r="I99" s="5" t="s">
        <v>57</v>
      </c>
      <c r="J99">
        <v>2050</v>
      </c>
      <c r="K99" s="38" t="str">
        <f t="shared" si="11"/>
        <v>*0.94</v>
      </c>
      <c r="P99" s="32" t="s">
        <v>973</v>
      </c>
      <c r="Q99" s="42" t="s">
        <v>57</v>
      </c>
      <c r="R99" s="32">
        <v>2035</v>
      </c>
      <c r="S99" s="43" t="str">
        <f t="shared" si="12"/>
        <v>*0.96</v>
      </c>
      <c r="U99" s="32" t="s">
        <v>973</v>
      </c>
      <c r="V99" s="42" t="s">
        <v>57</v>
      </c>
      <c r="W99" s="32">
        <v>2050</v>
      </c>
      <c r="X99" s="43" t="str">
        <f t="shared" si="13"/>
        <v>*0.93</v>
      </c>
      <c r="AC99" s="33" t="s">
        <v>973</v>
      </c>
      <c r="AD99" s="44" t="s">
        <v>57</v>
      </c>
      <c r="AE99" s="33">
        <v>2035</v>
      </c>
      <c r="AF99" s="45" t="str">
        <f t="shared" si="14"/>
        <v>*0.92</v>
      </c>
      <c r="AG99" s="43" t="str">
        <f t="shared" si="16"/>
        <v>REZoning_Sol-Win</v>
      </c>
      <c r="AI99" s="33" t="s">
        <v>973</v>
      </c>
      <c r="AJ99" s="44" t="s">
        <v>57</v>
      </c>
      <c r="AK99" s="33">
        <v>2050</v>
      </c>
      <c r="AL99" s="45" t="str">
        <f t="shared" si="15"/>
        <v>*0.89</v>
      </c>
      <c r="AM99" s="43" t="str">
        <f t="shared" si="17"/>
        <v>REZoning_Sol-Win</v>
      </c>
      <c r="AP99" t="s">
        <v>973</v>
      </c>
      <c r="AQ99" t="s">
        <v>57</v>
      </c>
      <c r="AR99">
        <v>2100</v>
      </c>
      <c r="AS99" t="s">
        <v>937</v>
      </c>
      <c r="AT99" t="s">
        <v>58</v>
      </c>
    </row>
    <row r="100" ht="29" spans="1:46">
      <c r="A100" s="31" t="s">
        <v>98</v>
      </c>
      <c r="C100" t="s">
        <v>974</v>
      </c>
      <c r="D100" s="5" t="s">
        <v>57</v>
      </c>
      <c r="E100">
        <v>2035</v>
      </c>
      <c r="F100" s="6" t="str">
        <f t="shared" si="10"/>
        <v>*0.96</v>
      </c>
      <c r="H100" t="s">
        <v>974</v>
      </c>
      <c r="I100" s="5" t="s">
        <v>57</v>
      </c>
      <c r="J100">
        <v>2050</v>
      </c>
      <c r="K100" s="38" t="str">
        <f t="shared" si="11"/>
        <v>*0.94</v>
      </c>
      <c r="P100" s="32" t="s">
        <v>974</v>
      </c>
      <c r="Q100" s="42" t="s">
        <v>57</v>
      </c>
      <c r="R100" s="32">
        <v>2035</v>
      </c>
      <c r="S100" s="43" t="str">
        <f t="shared" si="12"/>
        <v>*0.96</v>
      </c>
      <c r="U100" s="32" t="s">
        <v>974</v>
      </c>
      <c r="V100" s="42" t="s">
        <v>57</v>
      </c>
      <c r="W100" s="32">
        <v>2050</v>
      </c>
      <c r="X100" s="43" t="str">
        <f t="shared" si="13"/>
        <v>*0.93</v>
      </c>
      <c r="AC100" s="33" t="s">
        <v>974</v>
      </c>
      <c r="AD100" s="44" t="s">
        <v>57</v>
      </c>
      <c r="AE100" s="33">
        <v>2035</v>
      </c>
      <c r="AF100" s="45" t="str">
        <f t="shared" si="14"/>
        <v>*0.92</v>
      </c>
      <c r="AG100" s="43" t="str">
        <f t="shared" si="16"/>
        <v>REZoning_Sol-Win</v>
      </c>
      <c r="AI100" s="33" t="s">
        <v>974</v>
      </c>
      <c r="AJ100" s="44" t="s">
        <v>57</v>
      </c>
      <c r="AK100" s="33">
        <v>2050</v>
      </c>
      <c r="AL100" s="45" t="str">
        <f t="shared" si="15"/>
        <v>*0.89</v>
      </c>
      <c r="AM100" s="43" t="str">
        <f t="shared" si="17"/>
        <v>REZoning_Sol-Win</v>
      </c>
      <c r="AP100" t="s">
        <v>974</v>
      </c>
      <c r="AQ100" t="s">
        <v>57</v>
      </c>
      <c r="AR100">
        <v>2100</v>
      </c>
      <c r="AS100" t="s">
        <v>937</v>
      </c>
      <c r="AT100" t="s">
        <v>58</v>
      </c>
    </row>
    <row r="101" ht="29" spans="1:46">
      <c r="A101" s="31" t="s">
        <v>98</v>
      </c>
      <c r="C101" t="s">
        <v>975</v>
      </c>
      <c r="D101" s="5" t="s">
        <v>57</v>
      </c>
      <c r="E101">
        <v>2035</v>
      </c>
      <c r="F101" s="6" t="str">
        <f t="shared" si="10"/>
        <v>*0.96</v>
      </c>
      <c r="H101" t="s">
        <v>975</v>
      </c>
      <c r="I101" s="5" t="s">
        <v>57</v>
      </c>
      <c r="J101">
        <v>2050</v>
      </c>
      <c r="K101" s="38" t="str">
        <f t="shared" si="11"/>
        <v>*0.94</v>
      </c>
      <c r="P101" s="32" t="s">
        <v>975</v>
      </c>
      <c r="Q101" s="42" t="s">
        <v>57</v>
      </c>
      <c r="R101" s="32">
        <v>2035</v>
      </c>
      <c r="S101" s="43" t="str">
        <f t="shared" si="12"/>
        <v>*0.96</v>
      </c>
      <c r="U101" s="32" t="s">
        <v>975</v>
      </c>
      <c r="V101" s="42" t="s">
        <v>57</v>
      </c>
      <c r="W101" s="32">
        <v>2050</v>
      </c>
      <c r="X101" s="43" t="str">
        <f t="shared" si="13"/>
        <v>*0.93</v>
      </c>
      <c r="AC101" s="33" t="s">
        <v>975</v>
      </c>
      <c r="AD101" s="44" t="s">
        <v>57</v>
      </c>
      <c r="AE101" s="33">
        <v>2035</v>
      </c>
      <c r="AF101" s="45" t="str">
        <f t="shared" si="14"/>
        <v>*0.92</v>
      </c>
      <c r="AG101" s="43" t="str">
        <f t="shared" si="16"/>
        <v>REZoning_Sol-Win</v>
      </c>
      <c r="AI101" s="33" t="s">
        <v>975</v>
      </c>
      <c r="AJ101" s="44" t="s">
        <v>57</v>
      </c>
      <c r="AK101" s="33">
        <v>2050</v>
      </c>
      <c r="AL101" s="45" t="str">
        <f t="shared" si="15"/>
        <v>*0.89</v>
      </c>
      <c r="AM101" s="43" t="str">
        <f t="shared" si="17"/>
        <v>REZoning_Sol-Win</v>
      </c>
      <c r="AP101" t="s">
        <v>975</v>
      </c>
      <c r="AQ101" t="s">
        <v>57</v>
      </c>
      <c r="AR101">
        <v>2100</v>
      </c>
      <c r="AS101" t="s">
        <v>937</v>
      </c>
      <c r="AT101" t="s">
        <v>58</v>
      </c>
    </row>
    <row r="102" ht="29" spans="1:46">
      <c r="A102" s="31" t="s">
        <v>98</v>
      </c>
      <c r="C102" t="s">
        <v>976</v>
      </c>
      <c r="D102" s="5" t="s">
        <v>57</v>
      </c>
      <c r="E102">
        <v>2035</v>
      </c>
      <c r="F102" s="6" t="str">
        <f t="shared" si="10"/>
        <v>*0.96</v>
      </c>
      <c r="H102" t="s">
        <v>976</v>
      </c>
      <c r="I102" s="5" t="s">
        <v>57</v>
      </c>
      <c r="J102">
        <v>2050</v>
      </c>
      <c r="K102" s="38" t="str">
        <f t="shared" si="11"/>
        <v>*0.94</v>
      </c>
      <c r="P102" s="32" t="s">
        <v>976</v>
      </c>
      <c r="Q102" s="42" t="s">
        <v>57</v>
      </c>
      <c r="R102" s="32">
        <v>2035</v>
      </c>
      <c r="S102" s="43" t="str">
        <f t="shared" si="12"/>
        <v>*0.96</v>
      </c>
      <c r="U102" s="32" t="s">
        <v>976</v>
      </c>
      <c r="V102" s="42" t="s">
        <v>57</v>
      </c>
      <c r="W102" s="32">
        <v>2050</v>
      </c>
      <c r="X102" s="43" t="str">
        <f t="shared" si="13"/>
        <v>*0.93</v>
      </c>
      <c r="AC102" s="33" t="s">
        <v>976</v>
      </c>
      <c r="AD102" s="44" t="s">
        <v>57</v>
      </c>
      <c r="AE102" s="33">
        <v>2035</v>
      </c>
      <c r="AF102" s="45" t="str">
        <f t="shared" si="14"/>
        <v>*0.92</v>
      </c>
      <c r="AG102" s="43" t="str">
        <f t="shared" si="16"/>
        <v>REZoning_Sol-Win</v>
      </c>
      <c r="AI102" s="33" t="s">
        <v>976</v>
      </c>
      <c r="AJ102" s="44" t="s">
        <v>57</v>
      </c>
      <c r="AK102" s="33">
        <v>2050</v>
      </c>
      <c r="AL102" s="45" t="str">
        <f t="shared" si="15"/>
        <v>*0.89</v>
      </c>
      <c r="AM102" s="43" t="str">
        <f t="shared" si="17"/>
        <v>REZoning_Sol-Win</v>
      </c>
      <c r="AP102" t="s">
        <v>976</v>
      </c>
      <c r="AQ102" t="s">
        <v>57</v>
      </c>
      <c r="AR102">
        <v>2100</v>
      </c>
      <c r="AS102" t="s">
        <v>937</v>
      </c>
      <c r="AT102" t="s">
        <v>58</v>
      </c>
    </row>
    <row r="103" ht="29" spans="1:46">
      <c r="A103" s="31" t="s">
        <v>98</v>
      </c>
      <c r="C103" t="s">
        <v>977</v>
      </c>
      <c r="D103" s="5" t="s">
        <v>57</v>
      </c>
      <c r="E103">
        <v>2035</v>
      </c>
      <c r="F103" s="6" t="str">
        <f t="shared" si="10"/>
        <v>*0.96</v>
      </c>
      <c r="H103" t="s">
        <v>977</v>
      </c>
      <c r="I103" s="5" t="s">
        <v>57</v>
      </c>
      <c r="J103">
        <v>2050</v>
      </c>
      <c r="K103" s="38" t="str">
        <f t="shared" si="11"/>
        <v>*0.94</v>
      </c>
      <c r="P103" s="32" t="s">
        <v>977</v>
      </c>
      <c r="Q103" s="42" t="s">
        <v>57</v>
      </c>
      <c r="R103" s="32">
        <v>2035</v>
      </c>
      <c r="S103" s="43" t="str">
        <f t="shared" si="12"/>
        <v>*0.96</v>
      </c>
      <c r="U103" s="32" t="s">
        <v>977</v>
      </c>
      <c r="V103" s="42" t="s">
        <v>57</v>
      </c>
      <c r="W103" s="32">
        <v>2050</v>
      </c>
      <c r="X103" s="43" t="str">
        <f t="shared" si="13"/>
        <v>*0.93</v>
      </c>
      <c r="AC103" s="33" t="s">
        <v>977</v>
      </c>
      <c r="AD103" s="44" t="s">
        <v>57</v>
      </c>
      <c r="AE103" s="33">
        <v>2035</v>
      </c>
      <c r="AF103" s="45" t="str">
        <f t="shared" si="14"/>
        <v>*0.92</v>
      </c>
      <c r="AG103" s="43" t="str">
        <f t="shared" si="16"/>
        <v>REZoning_Sol-Win</v>
      </c>
      <c r="AI103" s="33" t="s">
        <v>977</v>
      </c>
      <c r="AJ103" s="44" t="s">
        <v>57</v>
      </c>
      <c r="AK103" s="33">
        <v>2050</v>
      </c>
      <c r="AL103" s="45" t="str">
        <f t="shared" si="15"/>
        <v>*0.89</v>
      </c>
      <c r="AM103" s="43" t="str">
        <f t="shared" si="17"/>
        <v>REZoning_Sol-Win</v>
      </c>
      <c r="AP103" t="s">
        <v>977</v>
      </c>
      <c r="AQ103" t="s">
        <v>57</v>
      </c>
      <c r="AR103">
        <v>2100</v>
      </c>
      <c r="AS103" t="s">
        <v>937</v>
      </c>
      <c r="AT103" t="s">
        <v>58</v>
      </c>
    </row>
    <row r="104" ht="29" spans="1:46">
      <c r="A104" s="31" t="s">
        <v>73</v>
      </c>
      <c r="C104" t="s">
        <v>978</v>
      </c>
      <c r="D104" s="5" t="s">
        <v>57</v>
      </c>
      <c r="E104">
        <v>2035</v>
      </c>
      <c r="F104" s="6" t="str">
        <f t="shared" si="10"/>
        <v>*0.95</v>
      </c>
      <c r="H104" t="s">
        <v>978</v>
      </c>
      <c r="I104" s="5" t="s">
        <v>57</v>
      </c>
      <c r="J104">
        <v>2050</v>
      </c>
      <c r="K104" s="38" t="str">
        <f t="shared" si="11"/>
        <v>*0.93</v>
      </c>
      <c r="P104" s="32" t="s">
        <v>978</v>
      </c>
      <c r="Q104" s="42" t="s">
        <v>57</v>
      </c>
      <c r="R104" s="32">
        <v>2035</v>
      </c>
      <c r="S104" s="43" t="str">
        <f t="shared" si="12"/>
        <v>*0.95</v>
      </c>
      <c r="U104" s="32" t="s">
        <v>978</v>
      </c>
      <c r="V104" s="42" t="s">
        <v>57</v>
      </c>
      <c r="W104" s="32">
        <v>2050</v>
      </c>
      <c r="X104" s="43" t="str">
        <f t="shared" si="13"/>
        <v>*0.93</v>
      </c>
      <c r="AC104" s="33" t="s">
        <v>978</v>
      </c>
      <c r="AD104" s="44" t="s">
        <v>57</v>
      </c>
      <c r="AE104" s="33">
        <v>2035</v>
      </c>
      <c r="AF104" s="45" t="str">
        <f t="shared" si="14"/>
        <v>*0.93</v>
      </c>
      <c r="AG104" s="43" t="str">
        <f t="shared" si="16"/>
        <v>REZoning_Sol-Win</v>
      </c>
      <c r="AI104" s="33" t="s">
        <v>978</v>
      </c>
      <c r="AJ104" s="44" t="s">
        <v>57</v>
      </c>
      <c r="AK104" s="33">
        <v>2050</v>
      </c>
      <c r="AL104" s="45" t="str">
        <f t="shared" si="15"/>
        <v>*0.9</v>
      </c>
      <c r="AM104" s="43" t="str">
        <f t="shared" si="17"/>
        <v>REZoning_Sol-Win</v>
      </c>
      <c r="AP104" t="s">
        <v>978</v>
      </c>
      <c r="AQ104" t="s">
        <v>57</v>
      </c>
      <c r="AR104">
        <v>2100</v>
      </c>
      <c r="AS104" t="s">
        <v>897</v>
      </c>
      <c r="AT104" t="s">
        <v>58</v>
      </c>
    </row>
    <row r="105" ht="29" spans="1:46">
      <c r="A105" s="31" t="s">
        <v>73</v>
      </c>
      <c r="C105" t="s">
        <v>979</v>
      </c>
      <c r="D105" s="5" t="s">
        <v>57</v>
      </c>
      <c r="E105">
        <v>2035</v>
      </c>
      <c r="F105" s="6" t="str">
        <f t="shared" si="10"/>
        <v>*0.95</v>
      </c>
      <c r="H105" t="s">
        <v>979</v>
      </c>
      <c r="I105" s="5" t="s">
        <v>57</v>
      </c>
      <c r="J105">
        <v>2050</v>
      </c>
      <c r="K105" s="38" t="str">
        <f t="shared" si="11"/>
        <v>*0.93</v>
      </c>
      <c r="P105" s="32" t="s">
        <v>979</v>
      </c>
      <c r="Q105" s="42" t="s">
        <v>57</v>
      </c>
      <c r="R105" s="32">
        <v>2035</v>
      </c>
      <c r="S105" s="43" t="str">
        <f t="shared" si="12"/>
        <v>*0.95</v>
      </c>
      <c r="U105" s="32" t="s">
        <v>979</v>
      </c>
      <c r="V105" s="42" t="s">
        <v>57</v>
      </c>
      <c r="W105" s="32">
        <v>2050</v>
      </c>
      <c r="X105" s="43" t="str">
        <f t="shared" si="13"/>
        <v>*0.93</v>
      </c>
      <c r="AC105" s="33" t="s">
        <v>979</v>
      </c>
      <c r="AD105" s="44" t="s">
        <v>57</v>
      </c>
      <c r="AE105" s="33">
        <v>2035</v>
      </c>
      <c r="AF105" s="45" t="str">
        <f t="shared" si="14"/>
        <v>*0.93</v>
      </c>
      <c r="AG105" s="43" t="str">
        <f t="shared" si="16"/>
        <v>REZoning_Sol-Win</v>
      </c>
      <c r="AI105" s="33" t="s">
        <v>979</v>
      </c>
      <c r="AJ105" s="44" t="s">
        <v>57</v>
      </c>
      <c r="AK105" s="33">
        <v>2050</v>
      </c>
      <c r="AL105" s="45" t="str">
        <f t="shared" si="15"/>
        <v>*0.9</v>
      </c>
      <c r="AM105" s="43" t="str">
        <f t="shared" si="17"/>
        <v>REZoning_Sol-Win</v>
      </c>
      <c r="AP105" t="s">
        <v>979</v>
      </c>
      <c r="AQ105" t="s">
        <v>57</v>
      </c>
      <c r="AR105">
        <v>2100</v>
      </c>
      <c r="AS105" t="s">
        <v>897</v>
      </c>
      <c r="AT105" t="s">
        <v>58</v>
      </c>
    </row>
    <row r="106" ht="29" spans="1:46">
      <c r="A106" s="31" t="s">
        <v>73</v>
      </c>
      <c r="C106" t="s">
        <v>980</v>
      </c>
      <c r="D106" s="5" t="s">
        <v>57</v>
      </c>
      <c r="E106">
        <v>2035</v>
      </c>
      <c r="F106" s="6" t="str">
        <f t="shared" si="10"/>
        <v>*0.95</v>
      </c>
      <c r="H106" t="s">
        <v>980</v>
      </c>
      <c r="I106" s="5" t="s">
        <v>57</v>
      </c>
      <c r="J106">
        <v>2050</v>
      </c>
      <c r="K106" s="38" t="str">
        <f t="shared" si="11"/>
        <v>*0.93</v>
      </c>
      <c r="P106" s="32" t="s">
        <v>980</v>
      </c>
      <c r="Q106" s="42" t="s">
        <v>57</v>
      </c>
      <c r="R106" s="32">
        <v>2035</v>
      </c>
      <c r="S106" s="43" t="str">
        <f t="shared" si="12"/>
        <v>*0.95</v>
      </c>
      <c r="U106" s="32" t="s">
        <v>980</v>
      </c>
      <c r="V106" s="42" t="s">
        <v>57</v>
      </c>
      <c r="W106" s="32">
        <v>2050</v>
      </c>
      <c r="X106" s="43" t="str">
        <f t="shared" si="13"/>
        <v>*0.93</v>
      </c>
      <c r="AC106" s="33" t="s">
        <v>980</v>
      </c>
      <c r="AD106" s="44" t="s">
        <v>57</v>
      </c>
      <c r="AE106" s="33">
        <v>2035</v>
      </c>
      <c r="AF106" s="45" t="str">
        <f t="shared" si="14"/>
        <v>*0.93</v>
      </c>
      <c r="AG106" s="43" t="str">
        <f t="shared" si="16"/>
        <v>REZoning_Sol-Win</v>
      </c>
      <c r="AI106" s="33" t="s">
        <v>980</v>
      </c>
      <c r="AJ106" s="44" t="s">
        <v>57</v>
      </c>
      <c r="AK106" s="33">
        <v>2050</v>
      </c>
      <c r="AL106" s="45" t="str">
        <f t="shared" si="15"/>
        <v>*0.9</v>
      </c>
      <c r="AM106" s="43" t="str">
        <f t="shared" si="17"/>
        <v>REZoning_Sol-Win</v>
      </c>
      <c r="AP106" t="s">
        <v>980</v>
      </c>
      <c r="AQ106" t="s">
        <v>57</v>
      </c>
      <c r="AR106">
        <v>2100</v>
      </c>
      <c r="AS106" t="s">
        <v>897</v>
      </c>
      <c r="AT106" t="s">
        <v>58</v>
      </c>
    </row>
    <row r="107" ht="29" spans="1:46">
      <c r="A107" s="31" t="s">
        <v>73</v>
      </c>
      <c r="C107" t="s">
        <v>981</v>
      </c>
      <c r="D107" s="5" t="s">
        <v>57</v>
      </c>
      <c r="E107">
        <v>2035</v>
      </c>
      <c r="F107" s="6" t="str">
        <f t="shared" si="10"/>
        <v>*0.95</v>
      </c>
      <c r="H107" t="s">
        <v>981</v>
      </c>
      <c r="I107" s="5" t="s">
        <v>57</v>
      </c>
      <c r="J107">
        <v>2050</v>
      </c>
      <c r="K107" s="38" t="str">
        <f t="shared" si="11"/>
        <v>*0.93</v>
      </c>
      <c r="P107" s="32" t="s">
        <v>981</v>
      </c>
      <c r="Q107" s="42" t="s">
        <v>57</v>
      </c>
      <c r="R107" s="32">
        <v>2035</v>
      </c>
      <c r="S107" s="43" t="str">
        <f t="shared" si="12"/>
        <v>*0.95</v>
      </c>
      <c r="U107" s="32" t="s">
        <v>981</v>
      </c>
      <c r="V107" s="42" t="s">
        <v>57</v>
      </c>
      <c r="W107" s="32">
        <v>2050</v>
      </c>
      <c r="X107" s="43" t="str">
        <f t="shared" si="13"/>
        <v>*0.93</v>
      </c>
      <c r="AC107" s="33" t="s">
        <v>981</v>
      </c>
      <c r="AD107" s="44" t="s">
        <v>57</v>
      </c>
      <c r="AE107" s="33">
        <v>2035</v>
      </c>
      <c r="AF107" s="45" t="str">
        <f t="shared" si="14"/>
        <v>*0.93</v>
      </c>
      <c r="AG107" s="43" t="str">
        <f t="shared" si="16"/>
        <v>REZoning_Sol-Win</v>
      </c>
      <c r="AI107" s="33" t="s">
        <v>981</v>
      </c>
      <c r="AJ107" s="44" t="s">
        <v>57</v>
      </c>
      <c r="AK107" s="33">
        <v>2050</v>
      </c>
      <c r="AL107" s="45" t="str">
        <f t="shared" si="15"/>
        <v>*0.9</v>
      </c>
      <c r="AM107" s="43" t="str">
        <f t="shared" si="17"/>
        <v>REZoning_Sol-Win</v>
      </c>
      <c r="AP107" t="s">
        <v>981</v>
      </c>
      <c r="AQ107" t="s">
        <v>57</v>
      </c>
      <c r="AR107">
        <v>2100</v>
      </c>
      <c r="AS107" t="s">
        <v>897</v>
      </c>
      <c r="AT107" t="s">
        <v>58</v>
      </c>
    </row>
    <row r="108" ht="29" spans="1:46">
      <c r="A108" s="31" t="s">
        <v>73</v>
      </c>
      <c r="C108" t="s">
        <v>982</v>
      </c>
      <c r="D108" s="5" t="s">
        <v>57</v>
      </c>
      <c r="E108">
        <v>2035</v>
      </c>
      <c r="F108" s="6" t="str">
        <f t="shared" si="10"/>
        <v>*0.95</v>
      </c>
      <c r="H108" t="s">
        <v>982</v>
      </c>
      <c r="I108" s="5" t="s">
        <v>57</v>
      </c>
      <c r="J108">
        <v>2050</v>
      </c>
      <c r="K108" s="38" t="str">
        <f t="shared" si="11"/>
        <v>*0.93</v>
      </c>
      <c r="P108" s="32" t="s">
        <v>982</v>
      </c>
      <c r="Q108" s="42" t="s">
        <v>57</v>
      </c>
      <c r="R108" s="32">
        <v>2035</v>
      </c>
      <c r="S108" s="43" t="str">
        <f t="shared" si="12"/>
        <v>*0.95</v>
      </c>
      <c r="U108" s="32" t="s">
        <v>982</v>
      </c>
      <c r="V108" s="42" t="s">
        <v>57</v>
      </c>
      <c r="W108" s="32">
        <v>2050</v>
      </c>
      <c r="X108" s="43" t="str">
        <f t="shared" si="13"/>
        <v>*0.93</v>
      </c>
      <c r="AC108" s="33" t="s">
        <v>982</v>
      </c>
      <c r="AD108" s="44" t="s">
        <v>57</v>
      </c>
      <c r="AE108" s="33">
        <v>2035</v>
      </c>
      <c r="AF108" s="45" t="str">
        <f t="shared" si="14"/>
        <v>*0.93</v>
      </c>
      <c r="AG108" s="43" t="str">
        <f t="shared" si="16"/>
        <v>REZoning_Sol-Win</v>
      </c>
      <c r="AI108" s="33" t="s">
        <v>982</v>
      </c>
      <c r="AJ108" s="44" t="s">
        <v>57</v>
      </c>
      <c r="AK108" s="33">
        <v>2050</v>
      </c>
      <c r="AL108" s="45" t="str">
        <f t="shared" si="15"/>
        <v>*0.9</v>
      </c>
      <c r="AM108" s="43" t="str">
        <f t="shared" si="17"/>
        <v>REZoning_Sol-Win</v>
      </c>
      <c r="AP108" t="s">
        <v>982</v>
      </c>
      <c r="AQ108" t="s">
        <v>57</v>
      </c>
      <c r="AR108">
        <v>2100</v>
      </c>
      <c r="AS108" t="s">
        <v>897</v>
      </c>
      <c r="AT108" t="s">
        <v>58</v>
      </c>
    </row>
    <row r="109" ht="29" spans="1:46">
      <c r="A109" s="31" t="s">
        <v>73</v>
      </c>
      <c r="C109" t="s">
        <v>983</v>
      </c>
      <c r="D109" s="5" t="s">
        <v>57</v>
      </c>
      <c r="E109">
        <v>2035</v>
      </c>
      <c r="F109" s="6" t="str">
        <f t="shared" si="10"/>
        <v>*0.95</v>
      </c>
      <c r="H109" t="s">
        <v>983</v>
      </c>
      <c r="I109" s="5" t="s">
        <v>57</v>
      </c>
      <c r="J109">
        <v>2050</v>
      </c>
      <c r="K109" s="38" t="str">
        <f t="shared" si="11"/>
        <v>*0.93</v>
      </c>
      <c r="P109" s="32" t="s">
        <v>983</v>
      </c>
      <c r="Q109" s="42" t="s">
        <v>57</v>
      </c>
      <c r="R109" s="32">
        <v>2035</v>
      </c>
      <c r="S109" s="43" t="str">
        <f t="shared" si="12"/>
        <v>*0.95</v>
      </c>
      <c r="U109" s="32" t="s">
        <v>983</v>
      </c>
      <c r="V109" s="42" t="s">
        <v>57</v>
      </c>
      <c r="W109" s="32">
        <v>2050</v>
      </c>
      <c r="X109" s="43" t="str">
        <f t="shared" si="13"/>
        <v>*0.93</v>
      </c>
      <c r="AC109" s="33" t="s">
        <v>983</v>
      </c>
      <c r="AD109" s="44" t="s">
        <v>57</v>
      </c>
      <c r="AE109" s="33">
        <v>2035</v>
      </c>
      <c r="AF109" s="45" t="str">
        <f t="shared" si="14"/>
        <v>*0.93</v>
      </c>
      <c r="AG109" s="43" t="str">
        <f t="shared" si="16"/>
        <v>REZoning_Sol-Win</v>
      </c>
      <c r="AI109" s="33" t="s">
        <v>983</v>
      </c>
      <c r="AJ109" s="44" t="s">
        <v>57</v>
      </c>
      <c r="AK109" s="33">
        <v>2050</v>
      </c>
      <c r="AL109" s="45" t="str">
        <f t="shared" si="15"/>
        <v>*0.9</v>
      </c>
      <c r="AM109" s="43" t="str">
        <f t="shared" si="17"/>
        <v>REZoning_Sol-Win</v>
      </c>
      <c r="AP109" t="s">
        <v>983</v>
      </c>
      <c r="AQ109" t="s">
        <v>57</v>
      </c>
      <c r="AR109">
        <v>2100</v>
      </c>
      <c r="AS109" t="s">
        <v>897</v>
      </c>
      <c r="AT109" t="s">
        <v>58</v>
      </c>
    </row>
    <row r="110" ht="29" spans="1:46">
      <c r="A110" s="31" t="s">
        <v>95</v>
      </c>
      <c r="C110" t="s">
        <v>984</v>
      </c>
      <c r="D110" s="5" t="s">
        <v>57</v>
      </c>
      <c r="E110">
        <v>2035</v>
      </c>
      <c r="F110" s="6" t="str">
        <f t="shared" si="10"/>
        <v>*0.95</v>
      </c>
      <c r="H110" t="s">
        <v>984</v>
      </c>
      <c r="I110" s="5" t="s">
        <v>57</v>
      </c>
      <c r="J110">
        <v>2050</v>
      </c>
      <c r="K110" s="38" t="str">
        <f t="shared" si="11"/>
        <v>*0.93</v>
      </c>
      <c r="P110" s="32" t="s">
        <v>984</v>
      </c>
      <c r="Q110" s="42" t="s">
        <v>57</v>
      </c>
      <c r="R110" s="32">
        <v>2035</v>
      </c>
      <c r="S110" s="43" t="str">
        <f t="shared" si="12"/>
        <v>*0.95</v>
      </c>
      <c r="U110" s="32" t="s">
        <v>984</v>
      </c>
      <c r="V110" s="42" t="s">
        <v>57</v>
      </c>
      <c r="W110" s="32">
        <v>2050</v>
      </c>
      <c r="X110" s="43" t="str">
        <f t="shared" si="13"/>
        <v>*0.91</v>
      </c>
      <c r="AC110" s="33" t="s">
        <v>984</v>
      </c>
      <c r="AD110" s="44" t="s">
        <v>57</v>
      </c>
      <c r="AE110" s="33">
        <v>2035</v>
      </c>
      <c r="AF110" s="45" t="str">
        <f t="shared" si="14"/>
        <v>*0.91</v>
      </c>
      <c r="AG110" s="43" t="str">
        <f t="shared" si="16"/>
        <v>REZoning_Sol-Win</v>
      </c>
      <c r="AI110" s="33" t="s">
        <v>984</v>
      </c>
      <c r="AJ110" s="44" t="s">
        <v>57</v>
      </c>
      <c r="AK110" s="33">
        <v>2050</v>
      </c>
      <c r="AL110" s="45" t="str">
        <f t="shared" si="15"/>
        <v>*0.86</v>
      </c>
      <c r="AM110" s="43" t="str">
        <f t="shared" si="17"/>
        <v>REZoning_Sol-Win</v>
      </c>
      <c r="AP110" t="s">
        <v>984</v>
      </c>
      <c r="AQ110" t="s">
        <v>57</v>
      </c>
      <c r="AR110">
        <v>2100</v>
      </c>
      <c r="AS110" t="s">
        <v>883</v>
      </c>
      <c r="AT110" t="s">
        <v>58</v>
      </c>
    </row>
    <row r="111" ht="29" spans="1:46">
      <c r="A111" s="31" t="s">
        <v>95</v>
      </c>
      <c r="C111" t="s">
        <v>985</v>
      </c>
      <c r="D111" s="5" t="s">
        <v>57</v>
      </c>
      <c r="E111">
        <v>2035</v>
      </c>
      <c r="F111" s="6" t="str">
        <f t="shared" si="10"/>
        <v>*0.95</v>
      </c>
      <c r="H111" t="s">
        <v>985</v>
      </c>
      <c r="I111" s="5" t="s">
        <v>57</v>
      </c>
      <c r="J111">
        <v>2050</v>
      </c>
      <c r="K111" s="38" t="str">
        <f t="shared" si="11"/>
        <v>*0.93</v>
      </c>
      <c r="P111" s="32" t="s">
        <v>985</v>
      </c>
      <c r="Q111" s="42" t="s">
        <v>57</v>
      </c>
      <c r="R111" s="32">
        <v>2035</v>
      </c>
      <c r="S111" s="43" t="str">
        <f t="shared" si="12"/>
        <v>*0.95</v>
      </c>
      <c r="U111" s="32" t="s">
        <v>985</v>
      </c>
      <c r="V111" s="42" t="s">
        <v>57</v>
      </c>
      <c r="W111" s="32">
        <v>2050</v>
      </c>
      <c r="X111" s="43" t="str">
        <f t="shared" si="13"/>
        <v>*0.91</v>
      </c>
      <c r="AC111" s="33" t="s">
        <v>985</v>
      </c>
      <c r="AD111" s="44" t="s">
        <v>57</v>
      </c>
      <c r="AE111" s="33">
        <v>2035</v>
      </c>
      <c r="AF111" s="45" t="str">
        <f t="shared" si="14"/>
        <v>*0.91</v>
      </c>
      <c r="AG111" s="43" t="str">
        <f t="shared" si="16"/>
        <v>REZoning_Sol-Win</v>
      </c>
      <c r="AI111" s="33" t="s">
        <v>985</v>
      </c>
      <c r="AJ111" s="44" t="s">
        <v>57</v>
      </c>
      <c r="AK111" s="33">
        <v>2050</v>
      </c>
      <c r="AL111" s="45" t="str">
        <f t="shared" si="15"/>
        <v>*0.86</v>
      </c>
      <c r="AM111" s="43" t="str">
        <f t="shared" si="17"/>
        <v>REZoning_Sol-Win</v>
      </c>
      <c r="AP111" t="s">
        <v>985</v>
      </c>
      <c r="AQ111" t="s">
        <v>57</v>
      </c>
      <c r="AR111">
        <v>2100</v>
      </c>
      <c r="AS111" t="s">
        <v>883</v>
      </c>
      <c r="AT111" t="s">
        <v>58</v>
      </c>
    </row>
    <row r="112" ht="29" spans="1:46">
      <c r="A112" s="31" t="s">
        <v>95</v>
      </c>
      <c r="C112" t="s">
        <v>986</v>
      </c>
      <c r="D112" s="5" t="s">
        <v>57</v>
      </c>
      <c r="E112">
        <v>2035</v>
      </c>
      <c r="F112" s="6" t="str">
        <f t="shared" si="10"/>
        <v>*0.95</v>
      </c>
      <c r="H112" t="s">
        <v>986</v>
      </c>
      <c r="I112" s="5" t="s">
        <v>57</v>
      </c>
      <c r="J112">
        <v>2050</v>
      </c>
      <c r="K112" s="38" t="str">
        <f t="shared" si="11"/>
        <v>*0.93</v>
      </c>
      <c r="P112" s="32" t="s">
        <v>986</v>
      </c>
      <c r="Q112" s="42" t="s">
        <v>57</v>
      </c>
      <c r="R112" s="32">
        <v>2035</v>
      </c>
      <c r="S112" s="43" t="str">
        <f t="shared" si="12"/>
        <v>*0.95</v>
      </c>
      <c r="U112" s="32" t="s">
        <v>986</v>
      </c>
      <c r="V112" s="42" t="s">
        <v>57</v>
      </c>
      <c r="W112" s="32">
        <v>2050</v>
      </c>
      <c r="X112" s="43" t="str">
        <f t="shared" si="13"/>
        <v>*0.91</v>
      </c>
      <c r="AC112" s="33" t="s">
        <v>986</v>
      </c>
      <c r="AD112" s="44" t="s">
        <v>57</v>
      </c>
      <c r="AE112" s="33">
        <v>2035</v>
      </c>
      <c r="AF112" s="45" t="str">
        <f t="shared" si="14"/>
        <v>*0.91</v>
      </c>
      <c r="AG112" s="43" t="str">
        <f t="shared" si="16"/>
        <v>REZoning_Sol-Win</v>
      </c>
      <c r="AI112" s="33" t="s">
        <v>986</v>
      </c>
      <c r="AJ112" s="44" t="s">
        <v>57</v>
      </c>
      <c r="AK112" s="33">
        <v>2050</v>
      </c>
      <c r="AL112" s="45" t="str">
        <f t="shared" si="15"/>
        <v>*0.86</v>
      </c>
      <c r="AM112" s="43" t="str">
        <f t="shared" si="17"/>
        <v>REZoning_Sol-Win</v>
      </c>
      <c r="AP112" t="s">
        <v>986</v>
      </c>
      <c r="AQ112" t="s">
        <v>57</v>
      </c>
      <c r="AR112">
        <v>2100</v>
      </c>
      <c r="AS112" t="s">
        <v>883</v>
      </c>
      <c r="AT112" t="s">
        <v>58</v>
      </c>
    </row>
    <row r="113" ht="29" spans="1:46">
      <c r="A113" s="31" t="s">
        <v>95</v>
      </c>
      <c r="C113" t="s">
        <v>987</v>
      </c>
      <c r="D113" s="5" t="s">
        <v>57</v>
      </c>
      <c r="E113">
        <v>2035</v>
      </c>
      <c r="F113" s="6" t="str">
        <f t="shared" si="10"/>
        <v>*0.95</v>
      </c>
      <c r="H113" t="s">
        <v>987</v>
      </c>
      <c r="I113" s="5" t="s">
        <v>57</v>
      </c>
      <c r="J113">
        <v>2050</v>
      </c>
      <c r="K113" s="38" t="str">
        <f t="shared" si="11"/>
        <v>*0.93</v>
      </c>
      <c r="P113" s="32" t="s">
        <v>987</v>
      </c>
      <c r="Q113" s="42" t="s">
        <v>57</v>
      </c>
      <c r="R113" s="32">
        <v>2035</v>
      </c>
      <c r="S113" s="43" t="str">
        <f t="shared" si="12"/>
        <v>*0.95</v>
      </c>
      <c r="U113" s="32" t="s">
        <v>987</v>
      </c>
      <c r="V113" s="42" t="s">
        <v>57</v>
      </c>
      <c r="W113" s="32">
        <v>2050</v>
      </c>
      <c r="X113" s="43" t="str">
        <f t="shared" si="13"/>
        <v>*0.91</v>
      </c>
      <c r="AC113" s="33" t="s">
        <v>987</v>
      </c>
      <c r="AD113" s="44" t="s">
        <v>57</v>
      </c>
      <c r="AE113" s="33">
        <v>2035</v>
      </c>
      <c r="AF113" s="45" t="str">
        <f t="shared" si="14"/>
        <v>*0.91</v>
      </c>
      <c r="AG113" s="43" t="str">
        <f t="shared" si="16"/>
        <v>REZoning_Sol-Win</v>
      </c>
      <c r="AI113" s="33" t="s">
        <v>987</v>
      </c>
      <c r="AJ113" s="44" t="s">
        <v>57</v>
      </c>
      <c r="AK113" s="33">
        <v>2050</v>
      </c>
      <c r="AL113" s="45" t="str">
        <f t="shared" si="15"/>
        <v>*0.86</v>
      </c>
      <c r="AM113" s="43" t="str">
        <f t="shared" si="17"/>
        <v>REZoning_Sol-Win</v>
      </c>
      <c r="AP113" t="s">
        <v>987</v>
      </c>
      <c r="AQ113" t="s">
        <v>57</v>
      </c>
      <c r="AR113">
        <v>2100</v>
      </c>
      <c r="AS113" t="s">
        <v>883</v>
      </c>
      <c r="AT113" t="s">
        <v>58</v>
      </c>
    </row>
    <row r="114" ht="29" spans="1:46">
      <c r="A114" s="31" t="s">
        <v>95</v>
      </c>
      <c r="C114" t="s">
        <v>988</v>
      </c>
      <c r="D114" s="5" t="s">
        <v>57</v>
      </c>
      <c r="E114">
        <v>2035</v>
      </c>
      <c r="F114" s="6" t="str">
        <f t="shared" si="10"/>
        <v>*0.95</v>
      </c>
      <c r="H114" t="s">
        <v>988</v>
      </c>
      <c r="I114" s="5" t="s">
        <v>57</v>
      </c>
      <c r="J114">
        <v>2050</v>
      </c>
      <c r="K114" s="38" t="str">
        <f t="shared" si="11"/>
        <v>*0.93</v>
      </c>
      <c r="P114" s="32" t="s">
        <v>988</v>
      </c>
      <c r="Q114" s="42" t="s">
        <v>57</v>
      </c>
      <c r="R114" s="32">
        <v>2035</v>
      </c>
      <c r="S114" s="43" t="str">
        <f t="shared" si="12"/>
        <v>*0.95</v>
      </c>
      <c r="U114" s="32" t="s">
        <v>988</v>
      </c>
      <c r="V114" s="42" t="s">
        <v>57</v>
      </c>
      <c r="W114" s="32">
        <v>2050</v>
      </c>
      <c r="X114" s="43" t="str">
        <f t="shared" si="13"/>
        <v>*0.91</v>
      </c>
      <c r="AC114" s="33" t="s">
        <v>988</v>
      </c>
      <c r="AD114" s="44" t="s">
        <v>57</v>
      </c>
      <c r="AE114" s="33">
        <v>2035</v>
      </c>
      <c r="AF114" s="45" t="str">
        <f t="shared" si="14"/>
        <v>*0.91</v>
      </c>
      <c r="AG114" s="43" t="str">
        <f t="shared" si="16"/>
        <v>REZoning_Sol-Win</v>
      </c>
      <c r="AI114" s="33" t="s">
        <v>988</v>
      </c>
      <c r="AJ114" s="44" t="s">
        <v>57</v>
      </c>
      <c r="AK114" s="33">
        <v>2050</v>
      </c>
      <c r="AL114" s="45" t="str">
        <f t="shared" si="15"/>
        <v>*0.86</v>
      </c>
      <c r="AM114" s="43" t="str">
        <f t="shared" si="17"/>
        <v>REZoning_Sol-Win</v>
      </c>
      <c r="AP114" t="s">
        <v>988</v>
      </c>
      <c r="AQ114" t="s">
        <v>57</v>
      </c>
      <c r="AR114">
        <v>2100</v>
      </c>
      <c r="AS114" t="s">
        <v>883</v>
      </c>
      <c r="AT114" t="s">
        <v>58</v>
      </c>
    </row>
    <row r="115" ht="29" spans="1:46">
      <c r="A115" s="31" t="s">
        <v>95</v>
      </c>
      <c r="C115" t="s">
        <v>989</v>
      </c>
      <c r="D115" s="5" t="s">
        <v>57</v>
      </c>
      <c r="E115">
        <v>2035</v>
      </c>
      <c r="F115" s="6" t="str">
        <f t="shared" si="10"/>
        <v>*0.95</v>
      </c>
      <c r="H115" t="s">
        <v>989</v>
      </c>
      <c r="I115" s="5" t="s">
        <v>57</v>
      </c>
      <c r="J115">
        <v>2050</v>
      </c>
      <c r="K115" s="38" t="str">
        <f t="shared" si="11"/>
        <v>*0.93</v>
      </c>
      <c r="P115" s="32" t="s">
        <v>989</v>
      </c>
      <c r="Q115" s="42" t="s">
        <v>57</v>
      </c>
      <c r="R115" s="32">
        <v>2035</v>
      </c>
      <c r="S115" s="43" t="str">
        <f t="shared" si="12"/>
        <v>*0.95</v>
      </c>
      <c r="U115" s="32" t="s">
        <v>989</v>
      </c>
      <c r="V115" s="42" t="s">
        <v>57</v>
      </c>
      <c r="W115" s="32">
        <v>2050</v>
      </c>
      <c r="X115" s="43" t="str">
        <f t="shared" si="13"/>
        <v>*0.91</v>
      </c>
      <c r="AC115" s="33" t="s">
        <v>989</v>
      </c>
      <c r="AD115" s="44" t="s">
        <v>57</v>
      </c>
      <c r="AE115" s="33">
        <v>2035</v>
      </c>
      <c r="AF115" s="45" t="str">
        <f t="shared" si="14"/>
        <v>*0.91</v>
      </c>
      <c r="AG115" s="43" t="str">
        <f t="shared" si="16"/>
        <v>REZoning_Sol-Win</v>
      </c>
      <c r="AI115" s="33" t="s">
        <v>989</v>
      </c>
      <c r="AJ115" s="44" t="s">
        <v>57</v>
      </c>
      <c r="AK115" s="33">
        <v>2050</v>
      </c>
      <c r="AL115" s="45" t="str">
        <f t="shared" si="15"/>
        <v>*0.86</v>
      </c>
      <c r="AM115" s="43" t="str">
        <f t="shared" si="17"/>
        <v>REZoning_Sol-Win</v>
      </c>
      <c r="AP115" t="s">
        <v>989</v>
      </c>
      <c r="AQ115" t="s">
        <v>57</v>
      </c>
      <c r="AR115">
        <v>2100</v>
      </c>
      <c r="AS115" t="s">
        <v>883</v>
      </c>
      <c r="AT115" t="s">
        <v>58</v>
      </c>
    </row>
    <row r="116" ht="29" spans="1:46">
      <c r="A116" s="31" t="s">
        <v>95</v>
      </c>
      <c r="C116" t="s">
        <v>990</v>
      </c>
      <c r="D116" s="5" t="s">
        <v>57</v>
      </c>
      <c r="E116">
        <v>2035</v>
      </c>
      <c r="F116" s="6" t="str">
        <f t="shared" si="10"/>
        <v>*0.95</v>
      </c>
      <c r="H116" t="s">
        <v>990</v>
      </c>
      <c r="I116" s="5" t="s">
        <v>57</v>
      </c>
      <c r="J116">
        <v>2050</v>
      </c>
      <c r="K116" s="38" t="str">
        <f t="shared" si="11"/>
        <v>*0.93</v>
      </c>
      <c r="P116" s="32" t="s">
        <v>990</v>
      </c>
      <c r="Q116" s="42" t="s">
        <v>57</v>
      </c>
      <c r="R116" s="32">
        <v>2035</v>
      </c>
      <c r="S116" s="43" t="str">
        <f t="shared" si="12"/>
        <v>*0.95</v>
      </c>
      <c r="U116" s="32" t="s">
        <v>990</v>
      </c>
      <c r="V116" s="42" t="s">
        <v>57</v>
      </c>
      <c r="W116" s="32">
        <v>2050</v>
      </c>
      <c r="X116" s="43" t="str">
        <f t="shared" si="13"/>
        <v>*0.91</v>
      </c>
      <c r="AC116" s="33" t="s">
        <v>990</v>
      </c>
      <c r="AD116" s="44" t="s">
        <v>57</v>
      </c>
      <c r="AE116" s="33">
        <v>2035</v>
      </c>
      <c r="AF116" s="45" t="str">
        <f t="shared" si="14"/>
        <v>*0.91</v>
      </c>
      <c r="AG116" s="43" t="str">
        <f t="shared" si="16"/>
        <v>REZoning_Sol-Win</v>
      </c>
      <c r="AI116" s="33" t="s">
        <v>990</v>
      </c>
      <c r="AJ116" s="44" t="s">
        <v>57</v>
      </c>
      <c r="AK116" s="33">
        <v>2050</v>
      </c>
      <c r="AL116" s="45" t="str">
        <f t="shared" si="15"/>
        <v>*0.86</v>
      </c>
      <c r="AM116" s="43" t="str">
        <f t="shared" si="17"/>
        <v>REZoning_Sol-Win</v>
      </c>
      <c r="AP116" t="s">
        <v>990</v>
      </c>
      <c r="AQ116" t="s">
        <v>57</v>
      </c>
      <c r="AR116">
        <v>2100</v>
      </c>
      <c r="AS116" t="s">
        <v>883</v>
      </c>
      <c r="AT116" t="s">
        <v>58</v>
      </c>
    </row>
    <row r="117" ht="29" spans="1:46">
      <c r="A117" s="31" t="s">
        <v>95</v>
      </c>
      <c r="C117" t="s">
        <v>991</v>
      </c>
      <c r="D117" s="5" t="s">
        <v>57</v>
      </c>
      <c r="E117">
        <v>2035</v>
      </c>
      <c r="F117" s="6" t="str">
        <f t="shared" si="10"/>
        <v>*0.95</v>
      </c>
      <c r="H117" t="s">
        <v>991</v>
      </c>
      <c r="I117" s="5" t="s">
        <v>57</v>
      </c>
      <c r="J117">
        <v>2050</v>
      </c>
      <c r="K117" s="38" t="str">
        <f t="shared" si="11"/>
        <v>*0.93</v>
      </c>
      <c r="P117" s="32" t="s">
        <v>991</v>
      </c>
      <c r="Q117" s="42" t="s">
        <v>57</v>
      </c>
      <c r="R117" s="32">
        <v>2035</v>
      </c>
      <c r="S117" s="43" t="str">
        <f t="shared" si="12"/>
        <v>*0.95</v>
      </c>
      <c r="U117" s="32" t="s">
        <v>991</v>
      </c>
      <c r="V117" s="42" t="s">
        <v>57</v>
      </c>
      <c r="W117" s="32">
        <v>2050</v>
      </c>
      <c r="X117" s="43" t="str">
        <f t="shared" si="13"/>
        <v>*0.91</v>
      </c>
      <c r="AC117" s="33" t="s">
        <v>991</v>
      </c>
      <c r="AD117" s="44" t="s">
        <v>57</v>
      </c>
      <c r="AE117" s="33">
        <v>2035</v>
      </c>
      <c r="AF117" s="45" t="str">
        <f t="shared" si="14"/>
        <v>*0.91</v>
      </c>
      <c r="AG117" s="43" t="str">
        <f t="shared" si="16"/>
        <v>REZoning_Sol-Win</v>
      </c>
      <c r="AI117" s="33" t="s">
        <v>991</v>
      </c>
      <c r="AJ117" s="44" t="s">
        <v>57</v>
      </c>
      <c r="AK117" s="33">
        <v>2050</v>
      </c>
      <c r="AL117" s="45" t="str">
        <f t="shared" si="15"/>
        <v>*0.86</v>
      </c>
      <c r="AM117" s="43" t="str">
        <f t="shared" si="17"/>
        <v>REZoning_Sol-Win</v>
      </c>
      <c r="AP117" t="s">
        <v>991</v>
      </c>
      <c r="AQ117" t="s">
        <v>57</v>
      </c>
      <c r="AR117">
        <v>2100</v>
      </c>
      <c r="AS117" t="s">
        <v>883</v>
      </c>
      <c r="AT117" t="s">
        <v>58</v>
      </c>
    </row>
    <row r="118" ht="29" spans="1:46">
      <c r="A118" s="31" t="s">
        <v>95</v>
      </c>
      <c r="C118" t="s">
        <v>992</v>
      </c>
      <c r="D118" s="5" t="s">
        <v>57</v>
      </c>
      <c r="E118">
        <v>2035</v>
      </c>
      <c r="F118" s="6" t="str">
        <f t="shared" si="10"/>
        <v>*0.95</v>
      </c>
      <c r="H118" t="s">
        <v>992</v>
      </c>
      <c r="I118" s="5" t="s">
        <v>57</v>
      </c>
      <c r="J118">
        <v>2050</v>
      </c>
      <c r="K118" s="38" t="str">
        <f t="shared" si="11"/>
        <v>*0.93</v>
      </c>
      <c r="P118" s="32" t="s">
        <v>992</v>
      </c>
      <c r="Q118" s="42" t="s">
        <v>57</v>
      </c>
      <c r="R118" s="32">
        <v>2035</v>
      </c>
      <c r="S118" s="43" t="str">
        <f t="shared" si="12"/>
        <v>*0.95</v>
      </c>
      <c r="U118" s="32" t="s">
        <v>992</v>
      </c>
      <c r="V118" s="42" t="s">
        <v>57</v>
      </c>
      <c r="W118" s="32">
        <v>2050</v>
      </c>
      <c r="X118" s="43" t="str">
        <f t="shared" si="13"/>
        <v>*0.91</v>
      </c>
      <c r="AC118" s="33" t="s">
        <v>992</v>
      </c>
      <c r="AD118" s="44" t="s">
        <v>57</v>
      </c>
      <c r="AE118" s="33">
        <v>2035</v>
      </c>
      <c r="AF118" s="45" t="str">
        <f t="shared" si="14"/>
        <v>*0.91</v>
      </c>
      <c r="AG118" s="43" t="str">
        <f t="shared" si="16"/>
        <v>REZoning_Sol-Win</v>
      </c>
      <c r="AI118" s="33" t="s">
        <v>992</v>
      </c>
      <c r="AJ118" s="44" t="s">
        <v>57</v>
      </c>
      <c r="AK118" s="33">
        <v>2050</v>
      </c>
      <c r="AL118" s="45" t="str">
        <f t="shared" si="15"/>
        <v>*0.86</v>
      </c>
      <c r="AM118" s="43" t="str">
        <f t="shared" si="17"/>
        <v>REZoning_Sol-Win</v>
      </c>
      <c r="AP118" t="s">
        <v>992</v>
      </c>
      <c r="AQ118" t="s">
        <v>57</v>
      </c>
      <c r="AR118">
        <v>2100</v>
      </c>
      <c r="AS118" t="s">
        <v>883</v>
      </c>
      <c r="AT118" t="s">
        <v>58</v>
      </c>
    </row>
    <row r="119" ht="29" spans="1:46">
      <c r="A119" s="31" t="s">
        <v>95</v>
      </c>
      <c r="C119" t="s">
        <v>993</v>
      </c>
      <c r="D119" s="5" t="s">
        <v>57</v>
      </c>
      <c r="E119">
        <v>2035</v>
      </c>
      <c r="F119" s="6" t="str">
        <f t="shared" si="10"/>
        <v>*0.95</v>
      </c>
      <c r="H119" t="s">
        <v>993</v>
      </c>
      <c r="I119" s="5" t="s">
        <v>57</v>
      </c>
      <c r="J119">
        <v>2050</v>
      </c>
      <c r="K119" s="38" t="str">
        <f t="shared" si="11"/>
        <v>*0.93</v>
      </c>
      <c r="P119" s="32" t="s">
        <v>993</v>
      </c>
      <c r="Q119" s="42" t="s">
        <v>57</v>
      </c>
      <c r="R119" s="32">
        <v>2035</v>
      </c>
      <c r="S119" s="43" t="str">
        <f t="shared" si="12"/>
        <v>*0.95</v>
      </c>
      <c r="U119" s="32" t="s">
        <v>993</v>
      </c>
      <c r="V119" s="42" t="s">
        <v>57</v>
      </c>
      <c r="W119" s="32">
        <v>2050</v>
      </c>
      <c r="X119" s="43" t="str">
        <f t="shared" si="13"/>
        <v>*0.91</v>
      </c>
      <c r="AC119" s="33" t="s">
        <v>993</v>
      </c>
      <c r="AD119" s="44" t="s">
        <v>57</v>
      </c>
      <c r="AE119" s="33">
        <v>2035</v>
      </c>
      <c r="AF119" s="45" t="str">
        <f t="shared" si="14"/>
        <v>*0.91</v>
      </c>
      <c r="AG119" s="43" t="str">
        <f t="shared" si="16"/>
        <v>REZoning_Sol-Win</v>
      </c>
      <c r="AI119" s="33" t="s">
        <v>993</v>
      </c>
      <c r="AJ119" s="44" t="s">
        <v>57</v>
      </c>
      <c r="AK119" s="33">
        <v>2050</v>
      </c>
      <c r="AL119" s="45" t="str">
        <f t="shared" si="15"/>
        <v>*0.86</v>
      </c>
      <c r="AM119" s="43" t="str">
        <f t="shared" si="17"/>
        <v>REZoning_Sol-Win</v>
      </c>
      <c r="AP119" t="s">
        <v>993</v>
      </c>
      <c r="AQ119" t="s">
        <v>57</v>
      </c>
      <c r="AR119">
        <v>2100</v>
      </c>
      <c r="AS119" t="s">
        <v>883</v>
      </c>
      <c r="AT119" t="s">
        <v>58</v>
      </c>
    </row>
    <row r="120" ht="29" spans="1:46">
      <c r="A120" s="31" t="s">
        <v>95</v>
      </c>
      <c r="C120" t="s">
        <v>994</v>
      </c>
      <c r="D120" s="5" t="s">
        <v>57</v>
      </c>
      <c r="E120">
        <v>2035</v>
      </c>
      <c r="F120" s="6" t="str">
        <f t="shared" si="10"/>
        <v>*0.95</v>
      </c>
      <c r="H120" t="s">
        <v>994</v>
      </c>
      <c r="I120" s="5" t="s">
        <v>57</v>
      </c>
      <c r="J120">
        <v>2050</v>
      </c>
      <c r="K120" s="38" t="str">
        <f t="shared" si="11"/>
        <v>*0.93</v>
      </c>
      <c r="P120" s="32" t="s">
        <v>994</v>
      </c>
      <c r="Q120" s="42" t="s">
        <v>57</v>
      </c>
      <c r="R120" s="32">
        <v>2035</v>
      </c>
      <c r="S120" s="43" t="str">
        <f t="shared" si="12"/>
        <v>*0.95</v>
      </c>
      <c r="U120" s="32" t="s">
        <v>994</v>
      </c>
      <c r="V120" s="42" t="s">
        <v>57</v>
      </c>
      <c r="W120" s="32">
        <v>2050</v>
      </c>
      <c r="X120" s="43" t="str">
        <f t="shared" si="13"/>
        <v>*0.91</v>
      </c>
      <c r="AC120" s="33" t="s">
        <v>994</v>
      </c>
      <c r="AD120" s="44" t="s">
        <v>57</v>
      </c>
      <c r="AE120" s="33">
        <v>2035</v>
      </c>
      <c r="AF120" s="45" t="str">
        <f t="shared" si="14"/>
        <v>*0.91</v>
      </c>
      <c r="AG120" s="43" t="str">
        <f t="shared" si="16"/>
        <v>REZoning_Sol-Win</v>
      </c>
      <c r="AI120" s="33" t="s">
        <v>994</v>
      </c>
      <c r="AJ120" s="44" t="s">
        <v>57</v>
      </c>
      <c r="AK120" s="33">
        <v>2050</v>
      </c>
      <c r="AL120" s="45" t="str">
        <f t="shared" si="15"/>
        <v>*0.86</v>
      </c>
      <c r="AM120" s="43" t="str">
        <f t="shared" si="17"/>
        <v>REZoning_Sol-Win</v>
      </c>
      <c r="AP120" t="s">
        <v>994</v>
      </c>
      <c r="AQ120" t="s">
        <v>57</v>
      </c>
      <c r="AR120">
        <v>2100</v>
      </c>
      <c r="AS120" t="s">
        <v>883</v>
      </c>
      <c r="AT120" t="s">
        <v>58</v>
      </c>
    </row>
    <row r="121" ht="29" spans="1:46">
      <c r="A121" s="31" t="s">
        <v>95</v>
      </c>
      <c r="C121" t="s">
        <v>995</v>
      </c>
      <c r="D121" s="5" t="s">
        <v>57</v>
      </c>
      <c r="E121">
        <v>2035</v>
      </c>
      <c r="F121" s="6" t="str">
        <f t="shared" si="10"/>
        <v>*0.95</v>
      </c>
      <c r="H121" t="s">
        <v>995</v>
      </c>
      <c r="I121" s="5" t="s">
        <v>57</v>
      </c>
      <c r="J121">
        <v>2050</v>
      </c>
      <c r="K121" s="38" t="str">
        <f t="shared" si="11"/>
        <v>*0.93</v>
      </c>
      <c r="P121" s="32" t="s">
        <v>995</v>
      </c>
      <c r="Q121" s="42" t="s">
        <v>57</v>
      </c>
      <c r="R121" s="32">
        <v>2035</v>
      </c>
      <c r="S121" s="43" t="str">
        <f t="shared" si="12"/>
        <v>*0.95</v>
      </c>
      <c r="U121" s="32" t="s">
        <v>995</v>
      </c>
      <c r="V121" s="42" t="s">
        <v>57</v>
      </c>
      <c r="W121" s="32">
        <v>2050</v>
      </c>
      <c r="X121" s="43" t="str">
        <f t="shared" si="13"/>
        <v>*0.91</v>
      </c>
      <c r="AC121" s="33" t="s">
        <v>995</v>
      </c>
      <c r="AD121" s="44" t="s">
        <v>57</v>
      </c>
      <c r="AE121" s="33">
        <v>2035</v>
      </c>
      <c r="AF121" s="45" t="str">
        <f t="shared" si="14"/>
        <v>*0.91</v>
      </c>
      <c r="AG121" s="43" t="str">
        <f t="shared" si="16"/>
        <v>REZoning_Sol-Win</v>
      </c>
      <c r="AI121" s="33" t="s">
        <v>995</v>
      </c>
      <c r="AJ121" s="44" t="s">
        <v>57</v>
      </c>
      <c r="AK121" s="33">
        <v>2050</v>
      </c>
      <c r="AL121" s="45" t="str">
        <f t="shared" si="15"/>
        <v>*0.86</v>
      </c>
      <c r="AM121" s="43" t="str">
        <f t="shared" si="17"/>
        <v>REZoning_Sol-Win</v>
      </c>
      <c r="AP121" t="s">
        <v>995</v>
      </c>
      <c r="AQ121" t="s">
        <v>57</v>
      </c>
      <c r="AR121">
        <v>2100</v>
      </c>
      <c r="AS121" t="s">
        <v>883</v>
      </c>
      <c r="AT121" t="s">
        <v>58</v>
      </c>
    </row>
    <row r="122" ht="29" spans="1:46">
      <c r="A122" s="31" t="s">
        <v>95</v>
      </c>
      <c r="C122" t="s">
        <v>996</v>
      </c>
      <c r="D122" s="5" t="s">
        <v>57</v>
      </c>
      <c r="E122">
        <v>2035</v>
      </c>
      <c r="F122" s="6" t="str">
        <f t="shared" si="10"/>
        <v>*0.95</v>
      </c>
      <c r="H122" t="s">
        <v>996</v>
      </c>
      <c r="I122" s="5" t="s">
        <v>57</v>
      </c>
      <c r="J122">
        <v>2050</v>
      </c>
      <c r="K122" s="38" t="str">
        <f t="shared" si="11"/>
        <v>*0.93</v>
      </c>
      <c r="P122" s="32" t="s">
        <v>996</v>
      </c>
      <c r="Q122" s="42" t="s">
        <v>57</v>
      </c>
      <c r="R122" s="32">
        <v>2035</v>
      </c>
      <c r="S122" s="43" t="str">
        <f t="shared" si="12"/>
        <v>*0.95</v>
      </c>
      <c r="U122" s="32" t="s">
        <v>996</v>
      </c>
      <c r="V122" s="42" t="s">
        <v>57</v>
      </c>
      <c r="W122" s="32">
        <v>2050</v>
      </c>
      <c r="X122" s="43" t="str">
        <f t="shared" si="13"/>
        <v>*0.91</v>
      </c>
      <c r="AC122" s="33" t="s">
        <v>996</v>
      </c>
      <c r="AD122" s="44" t="s">
        <v>57</v>
      </c>
      <c r="AE122" s="33">
        <v>2035</v>
      </c>
      <c r="AF122" s="45" t="str">
        <f t="shared" si="14"/>
        <v>*0.91</v>
      </c>
      <c r="AG122" s="43" t="str">
        <f t="shared" si="16"/>
        <v>REZoning_Sol-Win</v>
      </c>
      <c r="AI122" s="33" t="s">
        <v>996</v>
      </c>
      <c r="AJ122" s="44" t="s">
        <v>57</v>
      </c>
      <c r="AK122" s="33">
        <v>2050</v>
      </c>
      <c r="AL122" s="45" t="str">
        <f t="shared" si="15"/>
        <v>*0.86</v>
      </c>
      <c r="AM122" s="43" t="str">
        <f t="shared" si="17"/>
        <v>REZoning_Sol-Win</v>
      </c>
      <c r="AP122" t="s">
        <v>996</v>
      </c>
      <c r="AQ122" t="s">
        <v>57</v>
      </c>
      <c r="AR122">
        <v>2100</v>
      </c>
      <c r="AS122" t="s">
        <v>883</v>
      </c>
      <c r="AT122" t="s">
        <v>58</v>
      </c>
    </row>
    <row r="123" ht="29" spans="1:46">
      <c r="A123" s="31" t="s">
        <v>95</v>
      </c>
      <c r="C123" t="s">
        <v>997</v>
      </c>
      <c r="D123" s="5" t="s">
        <v>57</v>
      </c>
      <c r="E123">
        <v>2035</v>
      </c>
      <c r="F123" s="6" t="str">
        <f t="shared" si="10"/>
        <v>*0.95</v>
      </c>
      <c r="H123" t="s">
        <v>997</v>
      </c>
      <c r="I123" s="5" t="s">
        <v>57</v>
      </c>
      <c r="J123">
        <v>2050</v>
      </c>
      <c r="K123" s="38" t="str">
        <f t="shared" si="11"/>
        <v>*0.93</v>
      </c>
      <c r="P123" s="32" t="s">
        <v>997</v>
      </c>
      <c r="Q123" s="42" t="s">
        <v>57</v>
      </c>
      <c r="R123" s="32">
        <v>2035</v>
      </c>
      <c r="S123" s="43" t="str">
        <f t="shared" si="12"/>
        <v>*0.95</v>
      </c>
      <c r="U123" s="32" t="s">
        <v>997</v>
      </c>
      <c r="V123" s="42" t="s">
        <v>57</v>
      </c>
      <c r="W123" s="32">
        <v>2050</v>
      </c>
      <c r="X123" s="43" t="str">
        <f t="shared" si="13"/>
        <v>*0.91</v>
      </c>
      <c r="AC123" s="33" t="s">
        <v>997</v>
      </c>
      <c r="AD123" s="44" t="s">
        <v>57</v>
      </c>
      <c r="AE123" s="33">
        <v>2035</v>
      </c>
      <c r="AF123" s="45" t="str">
        <f t="shared" si="14"/>
        <v>*0.91</v>
      </c>
      <c r="AG123" s="43" t="str">
        <f t="shared" si="16"/>
        <v>REZoning_Sol-Win</v>
      </c>
      <c r="AI123" s="33" t="s">
        <v>997</v>
      </c>
      <c r="AJ123" s="44" t="s">
        <v>57</v>
      </c>
      <c r="AK123" s="33">
        <v>2050</v>
      </c>
      <c r="AL123" s="45" t="str">
        <f t="shared" si="15"/>
        <v>*0.86</v>
      </c>
      <c r="AM123" s="43" t="str">
        <f t="shared" si="17"/>
        <v>REZoning_Sol-Win</v>
      </c>
      <c r="AP123" t="s">
        <v>997</v>
      </c>
      <c r="AQ123" t="s">
        <v>57</v>
      </c>
      <c r="AR123">
        <v>2100</v>
      </c>
      <c r="AS123" t="s">
        <v>883</v>
      </c>
      <c r="AT123" t="s">
        <v>58</v>
      </c>
    </row>
    <row r="124" ht="29" spans="1:46">
      <c r="A124" s="31" t="s">
        <v>95</v>
      </c>
      <c r="C124" t="s">
        <v>998</v>
      </c>
      <c r="D124" s="5" t="s">
        <v>57</v>
      </c>
      <c r="E124">
        <v>2035</v>
      </c>
      <c r="F124" s="6" t="str">
        <f t="shared" si="10"/>
        <v>*0.95</v>
      </c>
      <c r="H124" t="s">
        <v>998</v>
      </c>
      <c r="I124" s="5" t="s">
        <v>57</v>
      </c>
      <c r="J124">
        <v>2050</v>
      </c>
      <c r="K124" s="38" t="str">
        <f t="shared" si="11"/>
        <v>*0.93</v>
      </c>
      <c r="P124" s="32" t="s">
        <v>998</v>
      </c>
      <c r="Q124" s="42" t="s">
        <v>57</v>
      </c>
      <c r="R124" s="32">
        <v>2035</v>
      </c>
      <c r="S124" s="43" t="str">
        <f t="shared" si="12"/>
        <v>*0.95</v>
      </c>
      <c r="U124" s="32" t="s">
        <v>998</v>
      </c>
      <c r="V124" s="42" t="s">
        <v>57</v>
      </c>
      <c r="W124" s="32">
        <v>2050</v>
      </c>
      <c r="X124" s="43" t="str">
        <f t="shared" si="13"/>
        <v>*0.91</v>
      </c>
      <c r="AC124" s="33" t="s">
        <v>998</v>
      </c>
      <c r="AD124" s="44" t="s">
        <v>57</v>
      </c>
      <c r="AE124" s="33">
        <v>2035</v>
      </c>
      <c r="AF124" s="45" t="str">
        <f t="shared" si="14"/>
        <v>*0.91</v>
      </c>
      <c r="AG124" s="43" t="str">
        <f t="shared" si="16"/>
        <v>REZoning_Sol-Win</v>
      </c>
      <c r="AI124" s="33" t="s">
        <v>998</v>
      </c>
      <c r="AJ124" s="44" t="s">
        <v>57</v>
      </c>
      <c r="AK124" s="33">
        <v>2050</v>
      </c>
      <c r="AL124" s="45" t="str">
        <f t="shared" si="15"/>
        <v>*0.86</v>
      </c>
      <c r="AM124" s="43" t="str">
        <f t="shared" si="17"/>
        <v>REZoning_Sol-Win</v>
      </c>
      <c r="AP124" t="s">
        <v>998</v>
      </c>
      <c r="AQ124" t="s">
        <v>57</v>
      </c>
      <c r="AR124">
        <v>2100</v>
      </c>
      <c r="AS124" t="s">
        <v>883</v>
      </c>
      <c r="AT124" t="s">
        <v>58</v>
      </c>
    </row>
    <row r="125" ht="29" spans="1:46">
      <c r="A125" s="31" t="s">
        <v>95</v>
      </c>
      <c r="C125" t="s">
        <v>999</v>
      </c>
      <c r="D125" s="5" t="s">
        <v>57</v>
      </c>
      <c r="E125">
        <v>2035</v>
      </c>
      <c r="F125" s="6" t="str">
        <f t="shared" si="10"/>
        <v>*0.95</v>
      </c>
      <c r="H125" t="s">
        <v>999</v>
      </c>
      <c r="I125" s="5" t="s">
        <v>57</v>
      </c>
      <c r="J125">
        <v>2050</v>
      </c>
      <c r="K125" s="38" t="str">
        <f t="shared" si="11"/>
        <v>*0.93</v>
      </c>
      <c r="P125" s="32" t="s">
        <v>999</v>
      </c>
      <c r="Q125" s="42" t="s">
        <v>57</v>
      </c>
      <c r="R125" s="32">
        <v>2035</v>
      </c>
      <c r="S125" s="43" t="str">
        <f t="shared" si="12"/>
        <v>*0.95</v>
      </c>
      <c r="U125" s="32" t="s">
        <v>999</v>
      </c>
      <c r="V125" s="42" t="s">
        <v>57</v>
      </c>
      <c r="W125" s="32">
        <v>2050</v>
      </c>
      <c r="X125" s="43" t="str">
        <f t="shared" si="13"/>
        <v>*0.91</v>
      </c>
      <c r="AC125" s="33" t="s">
        <v>999</v>
      </c>
      <c r="AD125" s="44" t="s">
        <v>57</v>
      </c>
      <c r="AE125" s="33">
        <v>2035</v>
      </c>
      <c r="AF125" s="45" t="str">
        <f t="shared" si="14"/>
        <v>*0.91</v>
      </c>
      <c r="AG125" s="43" t="str">
        <f t="shared" si="16"/>
        <v>REZoning_Sol-Win</v>
      </c>
      <c r="AI125" s="33" t="s">
        <v>999</v>
      </c>
      <c r="AJ125" s="44" t="s">
        <v>57</v>
      </c>
      <c r="AK125" s="33">
        <v>2050</v>
      </c>
      <c r="AL125" s="45" t="str">
        <f t="shared" si="15"/>
        <v>*0.86</v>
      </c>
      <c r="AM125" s="43" t="str">
        <f t="shared" si="17"/>
        <v>REZoning_Sol-Win</v>
      </c>
      <c r="AP125" t="s">
        <v>999</v>
      </c>
      <c r="AQ125" t="s">
        <v>57</v>
      </c>
      <c r="AR125">
        <v>2100</v>
      </c>
      <c r="AS125" t="s">
        <v>883</v>
      </c>
      <c r="AT125" t="s">
        <v>58</v>
      </c>
    </row>
    <row r="126" ht="29" spans="1:46">
      <c r="A126" s="31" t="s">
        <v>95</v>
      </c>
      <c r="C126" t="s">
        <v>1000</v>
      </c>
      <c r="D126" s="5" t="s">
        <v>57</v>
      </c>
      <c r="E126">
        <v>2035</v>
      </c>
      <c r="F126" s="6" t="str">
        <f t="shared" si="10"/>
        <v>*0.95</v>
      </c>
      <c r="H126" t="s">
        <v>1000</v>
      </c>
      <c r="I126" s="5" t="s">
        <v>57</v>
      </c>
      <c r="J126">
        <v>2050</v>
      </c>
      <c r="K126" s="38" t="str">
        <f t="shared" si="11"/>
        <v>*0.93</v>
      </c>
      <c r="P126" s="32" t="s">
        <v>1000</v>
      </c>
      <c r="Q126" s="42" t="s">
        <v>57</v>
      </c>
      <c r="R126" s="32">
        <v>2035</v>
      </c>
      <c r="S126" s="43" t="str">
        <f t="shared" si="12"/>
        <v>*0.95</v>
      </c>
      <c r="U126" s="32" t="s">
        <v>1000</v>
      </c>
      <c r="V126" s="42" t="s">
        <v>57</v>
      </c>
      <c r="W126" s="32">
        <v>2050</v>
      </c>
      <c r="X126" s="43" t="str">
        <f t="shared" si="13"/>
        <v>*0.91</v>
      </c>
      <c r="AC126" s="33" t="s">
        <v>1000</v>
      </c>
      <c r="AD126" s="44" t="s">
        <v>57</v>
      </c>
      <c r="AE126" s="33">
        <v>2035</v>
      </c>
      <c r="AF126" s="45" t="str">
        <f t="shared" si="14"/>
        <v>*0.91</v>
      </c>
      <c r="AG126" s="43" t="str">
        <f t="shared" si="16"/>
        <v>REZoning_Sol-Win</v>
      </c>
      <c r="AI126" s="33" t="s">
        <v>1000</v>
      </c>
      <c r="AJ126" s="44" t="s">
        <v>57</v>
      </c>
      <c r="AK126" s="33">
        <v>2050</v>
      </c>
      <c r="AL126" s="45" t="str">
        <f t="shared" si="15"/>
        <v>*0.86</v>
      </c>
      <c r="AM126" s="43" t="str">
        <f t="shared" si="17"/>
        <v>REZoning_Sol-Win</v>
      </c>
      <c r="AP126" t="s">
        <v>1000</v>
      </c>
      <c r="AQ126" t="s">
        <v>57</v>
      </c>
      <c r="AR126">
        <v>2100</v>
      </c>
      <c r="AS126" t="s">
        <v>883</v>
      </c>
      <c r="AT126" t="s">
        <v>58</v>
      </c>
    </row>
    <row r="127" ht="29" spans="1:46">
      <c r="A127" s="31" t="s">
        <v>95</v>
      </c>
      <c r="C127" t="s">
        <v>1001</v>
      </c>
      <c r="D127" s="5" t="s">
        <v>57</v>
      </c>
      <c r="E127">
        <v>2035</v>
      </c>
      <c r="F127" s="6" t="str">
        <f t="shared" si="10"/>
        <v>*0.95</v>
      </c>
      <c r="H127" t="s">
        <v>1001</v>
      </c>
      <c r="I127" s="5" t="s">
        <v>57</v>
      </c>
      <c r="J127">
        <v>2050</v>
      </c>
      <c r="K127" s="38" t="str">
        <f t="shared" si="11"/>
        <v>*0.93</v>
      </c>
      <c r="P127" s="32" t="s">
        <v>1001</v>
      </c>
      <c r="Q127" s="42" t="s">
        <v>57</v>
      </c>
      <c r="R127" s="32">
        <v>2035</v>
      </c>
      <c r="S127" s="43" t="str">
        <f t="shared" si="12"/>
        <v>*0.95</v>
      </c>
      <c r="U127" s="32" t="s">
        <v>1001</v>
      </c>
      <c r="V127" s="42" t="s">
        <v>57</v>
      </c>
      <c r="W127" s="32">
        <v>2050</v>
      </c>
      <c r="X127" s="43" t="str">
        <f t="shared" si="13"/>
        <v>*0.91</v>
      </c>
      <c r="AC127" s="33" t="s">
        <v>1001</v>
      </c>
      <c r="AD127" s="44" t="s">
        <v>57</v>
      </c>
      <c r="AE127" s="33">
        <v>2035</v>
      </c>
      <c r="AF127" s="45" t="str">
        <f t="shared" si="14"/>
        <v>*0.91</v>
      </c>
      <c r="AG127" s="43" t="str">
        <f t="shared" si="16"/>
        <v>REZoning_Sol-Win</v>
      </c>
      <c r="AI127" s="33" t="s">
        <v>1001</v>
      </c>
      <c r="AJ127" s="44" t="s">
        <v>57</v>
      </c>
      <c r="AK127" s="33">
        <v>2050</v>
      </c>
      <c r="AL127" s="45" t="str">
        <f t="shared" si="15"/>
        <v>*0.86</v>
      </c>
      <c r="AM127" s="43" t="str">
        <f t="shared" si="17"/>
        <v>REZoning_Sol-Win</v>
      </c>
      <c r="AP127" t="s">
        <v>1001</v>
      </c>
      <c r="AQ127" t="s">
        <v>57</v>
      </c>
      <c r="AR127">
        <v>2100</v>
      </c>
      <c r="AS127" t="s">
        <v>883</v>
      </c>
      <c r="AT127" t="s">
        <v>58</v>
      </c>
    </row>
    <row r="128" ht="29" spans="1:46">
      <c r="A128" s="31" t="s">
        <v>95</v>
      </c>
      <c r="C128" t="s">
        <v>1002</v>
      </c>
      <c r="D128" s="5" t="s">
        <v>57</v>
      </c>
      <c r="E128">
        <v>2035</v>
      </c>
      <c r="F128" s="6" t="str">
        <f t="shared" si="10"/>
        <v>*0.95</v>
      </c>
      <c r="H128" t="s">
        <v>1002</v>
      </c>
      <c r="I128" s="5" t="s">
        <v>57</v>
      </c>
      <c r="J128">
        <v>2050</v>
      </c>
      <c r="K128" s="38" t="str">
        <f t="shared" si="11"/>
        <v>*0.93</v>
      </c>
      <c r="P128" s="32" t="s">
        <v>1002</v>
      </c>
      <c r="Q128" s="42" t="s">
        <v>57</v>
      </c>
      <c r="R128" s="32">
        <v>2035</v>
      </c>
      <c r="S128" s="43" t="str">
        <f t="shared" si="12"/>
        <v>*0.95</v>
      </c>
      <c r="U128" s="32" t="s">
        <v>1002</v>
      </c>
      <c r="V128" s="42" t="s">
        <v>57</v>
      </c>
      <c r="W128" s="32">
        <v>2050</v>
      </c>
      <c r="X128" s="43" t="str">
        <f t="shared" si="13"/>
        <v>*0.91</v>
      </c>
      <c r="AC128" s="33" t="s">
        <v>1002</v>
      </c>
      <c r="AD128" s="44" t="s">
        <v>57</v>
      </c>
      <c r="AE128" s="33">
        <v>2035</v>
      </c>
      <c r="AF128" s="45" t="str">
        <f t="shared" si="14"/>
        <v>*0.91</v>
      </c>
      <c r="AG128" s="43" t="str">
        <f t="shared" si="16"/>
        <v>REZoning_Sol-Win</v>
      </c>
      <c r="AI128" s="33" t="s">
        <v>1002</v>
      </c>
      <c r="AJ128" s="44" t="s">
        <v>57</v>
      </c>
      <c r="AK128" s="33">
        <v>2050</v>
      </c>
      <c r="AL128" s="45" t="str">
        <f t="shared" si="15"/>
        <v>*0.86</v>
      </c>
      <c r="AM128" s="43" t="str">
        <f t="shared" si="17"/>
        <v>REZoning_Sol-Win</v>
      </c>
      <c r="AP128" t="s">
        <v>1002</v>
      </c>
      <c r="AQ128" t="s">
        <v>57</v>
      </c>
      <c r="AR128">
        <v>2100</v>
      </c>
      <c r="AS128" t="s">
        <v>883</v>
      </c>
      <c r="AT128" t="s">
        <v>58</v>
      </c>
    </row>
    <row r="129" ht="29" spans="1:46">
      <c r="A129" s="31" t="s">
        <v>95</v>
      </c>
      <c r="C129" t="s">
        <v>1003</v>
      </c>
      <c r="D129" s="5" t="s">
        <v>57</v>
      </c>
      <c r="E129">
        <v>2035</v>
      </c>
      <c r="F129" s="6" t="str">
        <f t="shared" si="10"/>
        <v>*0.95</v>
      </c>
      <c r="H129" t="s">
        <v>1003</v>
      </c>
      <c r="I129" s="5" t="s">
        <v>57</v>
      </c>
      <c r="J129">
        <v>2050</v>
      </c>
      <c r="K129" s="38" t="str">
        <f t="shared" si="11"/>
        <v>*0.93</v>
      </c>
      <c r="P129" s="32" t="s">
        <v>1003</v>
      </c>
      <c r="Q129" s="42" t="s">
        <v>57</v>
      </c>
      <c r="R129" s="32">
        <v>2035</v>
      </c>
      <c r="S129" s="43" t="str">
        <f t="shared" si="12"/>
        <v>*0.95</v>
      </c>
      <c r="U129" s="32" t="s">
        <v>1003</v>
      </c>
      <c r="V129" s="42" t="s">
        <v>57</v>
      </c>
      <c r="W129" s="32">
        <v>2050</v>
      </c>
      <c r="X129" s="43" t="str">
        <f t="shared" si="13"/>
        <v>*0.91</v>
      </c>
      <c r="AC129" s="33" t="s">
        <v>1003</v>
      </c>
      <c r="AD129" s="44" t="s">
        <v>57</v>
      </c>
      <c r="AE129" s="33">
        <v>2035</v>
      </c>
      <c r="AF129" s="45" t="str">
        <f t="shared" si="14"/>
        <v>*0.91</v>
      </c>
      <c r="AG129" s="43" t="str">
        <f t="shared" si="16"/>
        <v>REZoning_Sol-Win</v>
      </c>
      <c r="AI129" s="33" t="s">
        <v>1003</v>
      </c>
      <c r="AJ129" s="44" t="s">
        <v>57</v>
      </c>
      <c r="AK129" s="33">
        <v>2050</v>
      </c>
      <c r="AL129" s="45" t="str">
        <f t="shared" si="15"/>
        <v>*0.86</v>
      </c>
      <c r="AM129" s="43" t="str">
        <f t="shared" si="17"/>
        <v>REZoning_Sol-Win</v>
      </c>
      <c r="AP129" t="s">
        <v>1003</v>
      </c>
      <c r="AQ129" t="s">
        <v>57</v>
      </c>
      <c r="AR129">
        <v>2100</v>
      </c>
      <c r="AS129" t="s">
        <v>883</v>
      </c>
      <c r="AT129" t="s">
        <v>58</v>
      </c>
    </row>
    <row r="130" ht="29" spans="1:46">
      <c r="A130" s="31" t="s">
        <v>95</v>
      </c>
      <c r="C130" t="s">
        <v>1004</v>
      </c>
      <c r="D130" s="5" t="s">
        <v>57</v>
      </c>
      <c r="E130">
        <v>2035</v>
      </c>
      <c r="F130" s="6" t="str">
        <f t="shared" si="10"/>
        <v>*0.95</v>
      </c>
      <c r="H130" t="s">
        <v>1004</v>
      </c>
      <c r="I130" s="5" t="s">
        <v>57</v>
      </c>
      <c r="J130">
        <v>2050</v>
      </c>
      <c r="K130" s="38" t="str">
        <f t="shared" si="11"/>
        <v>*0.93</v>
      </c>
      <c r="P130" s="32" t="s">
        <v>1004</v>
      </c>
      <c r="Q130" s="42" t="s">
        <v>57</v>
      </c>
      <c r="R130" s="32">
        <v>2035</v>
      </c>
      <c r="S130" s="43" t="str">
        <f t="shared" si="12"/>
        <v>*0.95</v>
      </c>
      <c r="U130" s="32" t="s">
        <v>1004</v>
      </c>
      <c r="V130" s="42" t="s">
        <v>57</v>
      </c>
      <c r="W130" s="32">
        <v>2050</v>
      </c>
      <c r="X130" s="43" t="str">
        <f t="shared" si="13"/>
        <v>*0.91</v>
      </c>
      <c r="AC130" s="33" t="s">
        <v>1004</v>
      </c>
      <c r="AD130" s="44" t="s">
        <v>57</v>
      </c>
      <c r="AE130" s="33">
        <v>2035</v>
      </c>
      <c r="AF130" s="45" t="str">
        <f t="shared" si="14"/>
        <v>*0.91</v>
      </c>
      <c r="AG130" s="43" t="str">
        <f t="shared" si="16"/>
        <v>REZoning_Sol-Win</v>
      </c>
      <c r="AI130" s="33" t="s">
        <v>1004</v>
      </c>
      <c r="AJ130" s="44" t="s">
        <v>57</v>
      </c>
      <c r="AK130" s="33">
        <v>2050</v>
      </c>
      <c r="AL130" s="45" t="str">
        <f t="shared" si="15"/>
        <v>*0.86</v>
      </c>
      <c r="AM130" s="43" t="str">
        <f t="shared" si="17"/>
        <v>REZoning_Sol-Win</v>
      </c>
      <c r="AP130" t="s">
        <v>1004</v>
      </c>
      <c r="AQ130" t="s">
        <v>57</v>
      </c>
      <c r="AR130">
        <v>2100</v>
      </c>
      <c r="AS130" t="s">
        <v>883</v>
      </c>
      <c r="AT130" t="s">
        <v>58</v>
      </c>
    </row>
    <row r="131" ht="29" spans="1:46">
      <c r="A131" s="31" t="s">
        <v>95</v>
      </c>
      <c r="C131" t="s">
        <v>1005</v>
      </c>
      <c r="D131" s="5" t="s">
        <v>57</v>
      </c>
      <c r="E131">
        <v>2035</v>
      </c>
      <c r="F131" s="6" t="str">
        <f t="shared" si="10"/>
        <v>*0.95</v>
      </c>
      <c r="H131" t="s">
        <v>1005</v>
      </c>
      <c r="I131" s="5" t="s">
        <v>57</v>
      </c>
      <c r="J131">
        <v>2050</v>
      </c>
      <c r="K131" s="38" t="str">
        <f t="shared" si="11"/>
        <v>*0.93</v>
      </c>
      <c r="P131" s="32" t="s">
        <v>1005</v>
      </c>
      <c r="Q131" s="42" t="s">
        <v>57</v>
      </c>
      <c r="R131" s="32">
        <v>2035</v>
      </c>
      <c r="S131" s="43" t="str">
        <f t="shared" si="12"/>
        <v>*0.95</v>
      </c>
      <c r="U131" s="32" t="s">
        <v>1005</v>
      </c>
      <c r="V131" s="42" t="s">
        <v>57</v>
      </c>
      <c r="W131" s="32">
        <v>2050</v>
      </c>
      <c r="X131" s="43" t="str">
        <f t="shared" si="13"/>
        <v>*0.91</v>
      </c>
      <c r="AC131" s="33" t="s">
        <v>1005</v>
      </c>
      <c r="AD131" s="44" t="s">
        <v>57</v>
      </c>
      <c r="AE131" s="33">
        <v>2035</v>
      </c>
      <c r="AF131" s="45" t="str">
        <f t="shared" si="14"/>
        <v>*0.91</v>
      </c>
      <c r="AG131" s="43" t="str">
        <f t="shared" si="16"/>
        <v>REZoning_Sol-Win</v>
      </c>
      <c r="AI131" s="33" t="s">
        <v>1005</v>
      </c>
      <c r="AJ131" s="44" t="s">
        <v>57</v>
      </c>
      <c r="AK131" s="33">
        <v>2050</v>
      </c>
      <c r="AL131" s="45" t="str">
        <f t="shared" si="15"/>
        <v>*0.86</v>
      </c>
      <c r="AM131" s="43" t="str">
        <f t="shared" si="17"/>
        <v>REZoning_Sol-Win</v>
      </c>
      <c r="AP131" t="s">
        <v>1005</v>
      </c>
      <c r="AQ131" t="s">
        <v>57</v>
      </c>
      <c r="AR131">
        <v>2100</v>
      </c>
      <c r="AS131" t="s">
        <v>883</v>
      </c>
      <c r="AT131" t="s">
        <v>58</v>
      </c>
    </row>
    <row r="132" ht="29" spans="1:46">
      <c r="A132" s="31" t="s">
        <v>95</v>
      </c>
      <c r="C132" t="s">
        <v>1006</v>
      </c>
      <c r="D132" s="5" t="s">
        <v>57</v>
      </c>
      <c r="E132">
        <v>2035</v>
      </c>
      <c r="F132" s="6" t="str">
        <f t="shared" ref="F132:F195" si="18">"*"&amp;IF(AND(A132="EU",E132=2035),0.95,IF(AND(A132="EU",E132=2050),0.93,IF(AND(A132="USA",E132=2035),0.96,IF(AND(A132="USA",E132=2050),0.94,IF(AND(A132="Japan",E132=2035),0.94,IF(AND(A132="Japan",E132=2050),0.92,IF(AND(A132="Russia",E132=2035),0.95,IF(AND(A132="Russia",E132=2050),0.93,IF(AND(A132="China",E132=2035),0.94,IF(AND(A132="China",E132=2050),0.92,IF(AND(A132="India",E132=2035),0.95,IF(AND(A132="India",E132=2050),0.92,IF(AND(A132="Middle East",E132=2035),0.94,IF(AND(A132="Middle East",E132=2050),0.9,IF(AND(A132="Africa",E132=2035),0.94,IF(AND(A132="Africa",E132=2050),0.91,IF(AND(A132="Brazil",E132=2035),0.95,IF(AND(A132="Brazil",E132=2050),0.92,""))))))))))))))))))</f>
        <v>*0.95</v>
      </c>
      <c r="H132" t="s">
        <v>1006</v>
      </c>
      <c r="I132" s="5" t="s">
        <v>57</v>
      </c>
      <c r="J132">
        <v>2050</v>
      </c>
      <c r="K132" s="38" t="str">
        <f t="shared" ref="K132:K195" si="19">"*"&amp;IF(AND(A132="EU",J132=2035),0.95,IF(AND(A132="EU",J132=2050),0.93,IF(AND(A132="USA",J132=2035),0.96,IF(AND(A132="USA",J132=2050),0.94,IF(AND(A132="Japan",J132=2035),0.94,IF(AND(A132="Japan",J132=2050),0.92,IF(AND(A132="Russia",J132=2035),0.95,IF(AND(A132="Russia",J132=2050),0.93,IF(AND(A132="China",J132=2035),0.94,IF(AND(A132="China",J132=2050),0.92,IF(AND(A132="India",J132=2035),0.95,IF(AND(A132="India",J132=2050),0.92,IF(AND(A132="Middle East",J132=2035),0.94,IF(AND(A132="Middle East",J132=2050),0.9,IF(AND(A132="Africa",J132=2035),0.94,IF(AND(A132="Africa",J132=2050),0.91,IF(AND(A132="Brazil",J132=2035),0.95,IF(AND(A132="Brazil",J132=2050),0.92,""))))))))))))))))))</f>
        <v>*0.93</v>
      </c>
      <c r="P132" s="32" t="s">
        <v>1006</v>
      </c>
      <c r="Q132" s="42" t="s">
        <v>57</v>
      </c>
      <c r="R132" s="32">
        <v>2035</v>
      </c>
      <c r="S132" s="43" t="str">
        <f t="shared" ref="S132:S195" si="20">"*"&amp;IF(AND(A132="EU",R132=2035),0.95,IF(AND(A132="EU",R132=2050),0.93,IF(AND(A132="USA",R132=2035),0.96,IF(AND(A132="USA",R132=2050),0.93,IF(AND(A132="Japan",R132=2035),0.94,IF(AND(A132="Japan",R132=2050),0.92,IF(AND(A132="Russia",R132=2035),0.95,IF(AND(A132="Russia",R132=2050),0.91,IF(AND(A132="China",R132=2035),0.93,IF(AND(A132="China",R132=2050),0.92,IF(AND(A132="India",R132=2035),0.94,IF(AND(A132="India",R132=2050),0.91,IF(AND(A132="Middle East",R132=2035),0.92,IF(AND(A132="Middle East",R132=2050),0.89,IF(AND(A132="Africa",R132=2035),0.93,IF(AND(A132="Africa",R132=2050),0.9,IF(AND(A132="Brazil",R132=2035),0.95,IF(AND(A132="Brazil",R132=2050),0.92,""))))))))))))))))))</f>
        <v>*0.95</v>
      </c>
      <c r="U132" s="32" t="s">
        <v>1006</v>
      </c>
      <c r="V132" s="42" t="s">
        <v>57</v>
      </c>
      <c r="W132" s="32">
        <v>2050</v>
      </c>
      <c r="X132" s="43" t="str">
        <f t="shared" ref="X132:X195" si="21">"*"&amp;IF(AND(A132="EU",W132=2035),0.95,IF(AND(A132="EU",W132=2050),0.93,IF(AND(A132="USA",W132=2035),0.96,IF(AND(A132="USA",W132=2050),0.93,IF(AND(A132="Japan",W132=2035),0.94,IF(AND(A132="Japan",W132=2050),0.92,IF(AND(A132="Russia",W132=2035),0.95,IF(AND(A132="Russia",W132=2050),0.91,IF(AND(A132="China",W132=2035),0.93,IF(AND(A132="China",W132=2050),0.92,IF(AND(A132="India",W132=2035),0.94,IF(AND(A132="India",W132=2050),0.91,IF(AND(A132="Middle East",W132=2035),0.92,IF(AND(A132="Middle East",W132=2050),0.89,IF(AND(A132="Africa",W132=2035),0.93,IF(AND(A132="Africa",W132=2050),0.9,IF(AND(A132="Brazil",W132=2035),0.95,IF(AND(A132="Brazil",W132=2050),0.92,""))))))))))))))))))</f>
        <v>*0.91</v>
      </c>
      <c r="AC132" s="33" t="s">
        <v>1006</v>
      </c>
      <c r="AD132" s="44" t="s">
        <v>57</v>
      </c>
      <c r="AE132" s="33">
        <v>2035</v>
      </c>
      <c r="AF132" s="45" t="str">
        <f t="shared" ref="AF132:AF195" si="22">"*"&amp;IF(AND(A132="EU",AE132=2035),0.93,IF(AND(A132="EU",AE132=2050),0.9,IF(AND(A132="USA",AE132=2035),0.92,IF(AND(A132="USA",AE132=2050),0.89,IF(AND(A132="Japan",AE132=2035),0.92,IF(AND(A132="Japan",AE132=2050),0.89,IF(AND(A132="Russia",AE132=2035),0.91,IF(AND(A132="Russia",AE132=2050),0.86,IF(AND(A132="China",AE132=2035),0.91,IF(AND(A132="China",AE132=2050),0.87,IF(AND(A132="India",AE132=2035),0.92,IF(AND(A132="India",AE132=2050),0.87,IF(AND(A132="Middle East",AE132=2035),0.89,IF(AND(A132="Middle East",AE132=2050),0.84,IF(AND(A132="Africa",AE132=2035),0.9,IF(AND(A132="Africa",AE132=2050),0.86,IF(AND(A132="Brazil",AE132=2035),0.93,IF(AND(A132="Brazil",AE132=2050),0.89,""))))))))))))))))))</f>
        <v>*0.91</v>
      </c>
      <c r="AG132" s="43" t="str">
        <f t="shared" si="16"/>
        <v>REZoning_Sol-Win</v>
      </c>
      <c r="AI132" s="33" t="s">
        <v>1006</v>
      </c>
      <c r="AJ132" s="44" t="s">
        <v>57</v>
      </c>
      <c r="AK132" s="33">
        <v>2050</v>
      </c>
      <c r="AL132" s="45" t="str">
        <f t="shared" ref="AL132:AL195" si="23">"*"&amp;IF(AND(A132="EU",AK132=2035),0.93,IF(AND(A132="EU",AK132=2050),0.9,IF(AND(A132="USA",AK132=2035),0.92,IF(AND(A132="USA",AK132=2050),0.89,IF(AND(A132="Japan",AK132=2035),0.92,IF(AND(A132="Japan",AK132=2050),0.89,IF(AND(A132="Russia",AK132=2035),0.91,IF(AND(A132="Russia",AK132=2050),0.86,IF(AND(A132="China",AK132=2035),0.91,IF(AND(A132="China",AK132=2050),0.87,IF(AND(A132="India",AK132=2035),0.92,IF(AND(A132="India",AK132=2050),0.87,IF(AND(A132="Middle East",AK132=2035),0.89,IF(AND(A132="Middle East",AK132=2050),0.84,IF(AND(A132="Africa",AK132=2035),0.9,IF(AND(A132="Africa",AK132=2050),0.86,IF(AND(A132="Brazil",AK132=2035),0.93,IF(AND(A132="Brazil",AK132=2050),0.89,""))))))))))))))))))</f>
        <v>*0.86</v>
      </c>
      <c r="AM132" s="43" t="str">
        <f t="shared" si="17"/>
        <v>REZoning_Sol-Win</v>
      </c>
      <c r="AP132" t="s">
        <v>1006</v>
      </c>
      <c r="AQ132" t="s">
        <v>57</v>
      </c>
      <c r="AR132">
        <v>2100</v>
      </c>
      <c r="AS132" t="s">
        <v>883</v>
      </c>
      <c r="AT132" t="s">
        <v>58</v>
      </c>
    </row>
    <row r="133" ht="29" spans="1:46">
      <c r="A133" s="31" t="s">
        <v>95</v>
      </c>
      <c r="C133" t="s">
        <v>1007</v>
      </c>
      <c r="D133" s="5" t="s">
        <v>57</v>
      </c>
      <c r="E133">
        <v>2035</v>
      </c>
      <c r="F133" s="6" t="str">
        <f t="shared" si="18"/>
        <v>*0.95</v>
      </c>
      <c r="H133" t="s">
        <v>1007</v>
      </c>
      <c r="I133" s="5" t="s">
        <v>57</v>
      </c>
      <c r="J133">
        <v>2050</v>
      </c>
      <c r="K133" s="38" t="str">
        <f t="shared" si="19"/>
        <v>*0.93</v>
      </c>
      <c r="P133" s="32" t="s">
        <v>1007</v>
      </c>
      <c r="Q133" s="42" t="s">
        <v>57</v>
      </c>
      <c r="R133" s="32">
        <v>2035</v>
      </c>
      <c r="S133" s="43" t="str">
        <f t="shared" si="20"/>
        <v>*0.95</v>
      </c>
      <c r="U133" s="32" t="s">
        <v>1007</v>
      </c>
      <c r="V133" s="42" t="s">
        <v>57</v>
      </c>
      <c r="W133" s="32">
        <v>2050</v>
      </c>
      <c r="X133" s="43" t="str">
        <f t="shared" si="21"/>
        <v>*0.91</v>
      </c>
      <c r="AC133" s="33" t="s">
        <v>1007</v>
      </c>
      <c r="AD133" s="44" t="s">
        <v>57</v>
      </c>
      <c r="AE133" s="33">
        <v>2035</v>
      </c>
      <c r="AF133" s="45" t="str">
        <f t="shared" si="22"/>
        <v>*0.91</v>
      </c>
      <c r="AG133" s="43" t="str">
        <f t="shared" si="16"/>
        <v>REZoning_Sol-Win</v>
      </c>
      <c r="AI133" s="33" t="s">
        <v>1007</v>
      </c>
      <c r="AJ133" s="44" t="s">
        <v>57</v>
      </c>
      <c r="AK133" s="33">
        <v>2050</v>
      </c>
      <c r="AL133" s="45" t="str">
        <f t="shared" si="23"/>
        <v>*0.86</v>
      </c>
      <c r="AM133" s="43" t="str">
        <f t="shared" si="17"/>
        <v>REZoning_Sol-Win</v>
      </c>
      <c r="AP133" t="s">
        <v>1007</v>
      </c>
      <c r="AQ133" t="s">
        <v>57</v>
      </c>
      <c r="AR133">
        <v>2100</v>
      </c>
      <c r="AS133" t="s">
        <v>883</v>
      </c>
      <c r="AT133" t="s">
        <v>58</v>
      </c>
    </row>
    <row r="134" ht="29" spans="1:46">
      <c r="A134" s="31" t="s">
        <v>65</v>
      </c>
      <c r="C134" t="s">
        <v>1008</v>
      </c>
      <c r="D134" s="5" t="s">
        <v>57</v>
      </c>
      <c r="E134">
        <v>2035</v>
      </c>
      <c r="F134" s="6" t="str">
        <f t="shared" si="18"/>
        <v>*0.94</v>
      </c>
      <c r="H134" t="s">
        <v>1008</v>
      </c>
      <c r="I134" s="5" t="s">
        <v>57</v>
      </c>
      <c r="J134">
        <v>2050</v>
      </c>
      <c r="K134" s="38" t="str">
        <f t="shared" si="19"/>
        <v>*0.91</v>
      </c>
      <c r="P134" s="32" t="s">
        <v>1008</v>
      </c>
      <c r="Q134" s="42" t="s">
        <v>57</v>
      </c>
      <c r="R134" s="32">
        <v>2035</v>
      </c>
      <c r="S134" s="43" t="str">
        <f t="shared" si="20"/>
        <v>*0.93</v>
      </c>
      <c r="U134" s="32" t="s">
        <v>1008</v>
      </c>
      <c r="V134" s="42" t="s">
        <v>57</v>
      </c>
      <c r="W134" s="32">
        <v>2050</v>
      </c>
      <c r="X134" s="43" t="str">
        <f t="shared" si="21"/>
        <v>*0.9</v>
      </c>
      <c r="AC134" s="33" t="s">
        <v>1008</v>
      </c>
      <c r="AD134" s="44" t="s">
        <v>57</v>
      </c>
      <c r="AE134" s="33">
        <v>2035</v>
      </c>
      <c r="AF134" s="45" t="str">
        <f t="shared" si="22"/>
        <v>*0.9</v>
      </c>
      <c r="AG134" s="43" t="str">
        <f t="shared" si="16"/>
        <v>REZoning_Sol-Win</v>
      </c>
      <c r="AI134" s="33" t="s">
        <v>1008</v>
      </c>
      <c r="AJ134" s="44" t="s">
        <v>57</v>
      </c>
      <c r="AK134" s="33">
        <v>2050</v>
      </c>
      <c r="AL134" s="45" t="str">
        <f t="shared" si="23"/>
        <v>*0.86</v>
      </c>
      <c r="AM134" s="43" t="str">
        <f t="shared" si="17"/>
        <v>REZoning_Sol-Win</v>
      </c>
      <c r="AP134" t="s">
        <v>1008</v>
      </c>
      <c r="AQ134" t="s">
        <v>57</v>
      </c>
      <c r="AR134">
        <v>2100</v>
      </c>
      <c r="AS134" t="s">
        <v>883</v>
      </c>
      <c r="AT134" t="s">
        <v>58</v>
      </c>
    </row>
    <row r="135" ht="29" spans="1:46">
      <c r="A135" s="31" t="s">
        <v>65</v>
      </c>
      <c r="C135" t="s">
        <v>1009</v>
      </c>
      <c r="D135" s="5" t="s">
        <v>57</v>
      </c>
      <c r="E135">
        <v>2035</v>
      </c>
      <c r="F135" s="6" t="str">
        <f t="shared" si="18"/>
        <v>*0.94</v>
      </c>
      <c r="H135" t="s">
        <v>1009</v>
      </c>
      <c r="I135" s="5" t="s">
        <v>57</v>
      </c>
      <c r="J135">
        <v>2050</v>
      </c>
      <c r="K135" s="38" t="str">
        <f t="shared" si="19"/>
        <v>*0.91</v>
      </c>
      <c r="P135" s="32" t="s">
        <v>1009</v>
      </c>
      <c r="Q135" s="42" t="s">
        <v>57</v>
      </c>
      <c r="R135" s="32">
        <v>2035</v>
      </c>
      <c r="S135" s="43" t="str">
        <f t="shared" si="20"/>
        <v>*0.93</v>
      </c>
      <c r="U135" s="32" t="s">
        <v>1009</v>
      </c>
      <c r="V135" s="42" t="s">
        <v>57</v>
      </c>
      <c r="W135" s="32">
        <v>2050</v>
      </c>
      <c r="X135" s="43" t="str">
        <f t="shared" si="21"/>
        <v>*0.9</v>
      </c>
      <c r="AC135" s="33" t="s">
        <v>1009</v>
      </c>
      <c r="AD135" s="44" t="s">
        <v>57</v>
      </c>
      <c r="AE135" s="33">
        <v>2035</v>
      </c>
      <c r="AF135" s="45" t="str">
        <f t="shared" si="22"/>
        <v>*0.9</v>
      </c>
      <c r="AG135" s="43" t="str">
        <f t="shared" si="16"/>
        <v>REZoning_Sol-Win</v>
      </c>
      <c r="AI135" s="33" t="s">
        <v>1009</v>
      </c>
      <c r="AJ135" s="44" t="s">
        <v>57</v>
      </c>
      <c r="AK135" s="33">
        <v>2050</v>
      </c>
      <c r="AL135" s="45" t="str">
        <f t="shared" si="23"/>
        <v>*0.86</v>
      </c>
      <c r="AM135" s="43" t="str">
        <f t="shared" si="17"/>
        <v>REZoning_Sol-Win</v>
      </c>
      <c r="AP135" t="s">
        <v>1009</v>
      </c>
      <c r="AQ135" t="s">
        <v>57</v>
      </c>
      <c r="AR135">
        <v>2100</v>
      </c>
      <c r="AS135" t="s">
        <v>883</v>
      </c>
      <c r="AT135" t="s">
        <v>58</v>
      </c>
    </row>
    <row r="136" ht="29" spans="1:46">
      <c r="A136" s="31" t="s">
        <v>65</v>
      </c>
      <c r="C136" t="s">
        <v>1010</v>
      </c>
      <c r="D136" s="5" t="s">
        <v>57</v>
      </c>
      <c r="E136">
        <v>2035</v>
      </c>
      <c r="F136" s="6" t="str">
        <f t="shared" si="18"/>
        <v>*0.94</v>
      </c>
      <c r="H136" t="s">
        <v>1010</v>
      </c>
      <c r="I136" s="5" t="s">
        <v>57</v>
      </c>
      <c r="J136">
        <v>2050</v>
      </c>
      <c r="K136" s="38" t="str">
        <f t="shared" si="19"/>
        <v>*0.91</v>
      </c>
      <c r="P136" s="32" t="s">
        <v>1010</v>
      </c>
      <c r="Q136" s="42" t="s">
        <v>57</v>
      </c>
      <c r="R136" s="32">
        <v>2035</v>
      </c>
      <c r="S136" s="43" t="str">
        <f t="shared" si="20"/>
        <v>*0.93</v>
      </c>
      <c r="U136" s="32" t="s">
        <v>1010</v>
      </c>
      <c r="V136" s="42" t="s">
        <v>57</v>
      </c>
      <c r="W136" s="32">
        <v>2050</v>
      </c>
      <c r="X136" s="43" t="str">
        <f t="shared" si="21"/>
        <v>*0.9</v>
      </c>
      <c r="AC136" s="33" t="s">
        <v>1010</v>
      </c>
      <c r="AD136" s="44" t="s">
        <v>57</v>
      </c>
      <c r="AE136" s="33">
        <v>2035</v>
      </c>
      <c r="AF136" s="45" t="str">
        <f t="shared" si="22"/>
        <v>*0.9</v>
      </c>
      <c r="AG136" s="43" t="str">
        <f t="shared" si="16"/>
        <v>REZoning_Sol-Win</v>
      </c>
      <c r="AI136" s="33" t="s">
        <v>1010</v>
      </c>
      <c r="AJ136" s="44" t="s">
        <v>57</v>
      </c>
      <c r="AK136" s="33">
        <v>2050</v>
      </c>
      <c r="AL136" s="45" t="str">
        <f t="shared" si="23"/>
        <v>*0.86</v>
      </c>
      <c r="AM136" s="43" t="str">
        <f t="shared" si="17"/>
        <v>REZoning_Sol-Win</v>
      </c>
      <c r="AP136" t="s">
        <v>1010</v>
      </c>
      <c r="AQ136" t="s">
        <v>57</v>
      </c>
      <c r="AR136">
        <v>2100</v>
      </c>
      <c r="AS136" t="s">
        <v>883</v>
      </c>
      <c r="AT136" t="s">
        <v>58</v>
      </c>
    </row>
    <row r="137" ht="29" spans="1:46">
      <c r="A137" s="31" t="s">
        <v>73</v>
      </c>
      <c r="C137" t="s">
        <v>1011</v>
      </c>
      <c r="D137" s="5" t="s">
        <v>57</v>
      </c>
      <c r="E137">
        <v>2035</v>
      </c>
      <c r="F137" s="6" t="str">
        <f t="shared" si="18"/>
        <v>*0.95</v>
      </c>
      <c r="H137" t="s">
        <v>1011</v>
      </c>
      <c r="I137" s="5" t="s">
        <v>57</v>
      </c>
      <c r="J137">
        <v>2050</v>
      </c>
      <c r="K137" s="38" t="str">
        <f t="shared" si="19"/>
        <v>*0.93</v>
      </c>
      <c r="P137" s="32" t="s">
        <v>1011</v>
      </c>
      <c r="Q137" s="42" t="s">
        <v>57</v>
      </c>
      <c r="R137" s="32">
        <v>2035</v>
      </c>
      <c r="S137" s="43" t="str">
        <f t="shared" si="20"/>
        <v>*0.95</v>
      </c>
      <c r="U137" s="32" t="s">
        <v>1011</v>
      </c>
      <c r="V137" s="42" t="s">
        <v>57</v>
      </c>
      <c r="W137" s="32">
        <v>2050</v>
      </c>
      <c r="X137" s="43" t="str">
        <f t="shared" si="21"/>
        <v>*0.93</v>
      </c>
      <c r="AC137" s="33" t="s">
        <v>1011</v>
      </c>
      <c r="AD137" s="44" t="s">
        <v>57</v>
      </c>
      <c r="AE137" s="33">
        <v>2035</v>
      </c>
      <c r="AF137" s="45" t="str">
        <f t="shared" si="22"/>
        <v>*0.93</v>
      </c>
      <c r="AG137" s="43" t="str">
        <f t="shared" ref="AG137:AG200" si="24">AG136</f>
        <v>REZoning_Sol-Win</v>
      </c>
      <c r="AI137" s="33" t="s">
        <v>1011</v>
      </c>
      <c r="AJ137" s="44" t="s">
        <v>57</v>
      </c>
      <c r="AK137" s="33">
        <v>2050</v>
      </c>
      <c r="AL137" s="45" t="str">
        <f t="shared" si="23"/>
        <v>*0.9</v>
      </c>
      <c r="AM137" s="43" t="str">
        <f t="shared" si="17"/>
        <v>REZoning_Sol-Win</v>
      </c>
      <c r="AP137" t="s">
        <v>1011</v>
      </c>
      <c r="AQ137" t="s">
        <v>57</v>
      </c>
      <c r="AR137">
        <v>2100</v>
      </c>
      <c r="AS137" t="s">
        <v>897</v>
      </c>
      <c r="AT137" t="s">
        <v>58</v>
      </c>
    </row>
    <row r="138" ht="29" spans="1:46">
      <c r="A138" s="31" t="s">
        <v>73</v>
      </c>
      <c r="C138" t="s">
        <v>1012</v>
      </c>
      <c r="D138" s="5" t="s">
        <v>57</v>
      </c>
      <c r="E138">
        <v>2035</v>
      </c>
      <c r="F138" s="6" t="str">
        <f t="shared" si="18"/>
        <v>*0.95</v>
      </c>
      <c r="H138" t="s">
        <v>1012</v>
      </c>
      <c r="I138" s="5" t="s">
        <v>57</v>
      </c>
      <c r="J138">
        <v>2050</v>
      </c>
      <c r="K138" s="38" t="str">
        <f t="shared" si="19"/>
        <v>*0.93</v>
      </c>
      <c r="P138" s="32" t="s">
        <v>1012</v>
      </c>
      <c r="Q138" s="42" t="s">
        <v>57</v>
      </c>
      <c r="R138" s="32">
        <v>2035</v>
      </c>
      <c r="S138" s="43" t="str">
        <f t="shared" si="20"/>
        <v>*0.95</v>
      </c>
      <c r="U138" s="32" t="s">
        <v>1012</v>
      </c>
      <c r="V138" s="42" t="s">
        <v>57</v>
      </c>
      <c r="W138" s="32">
        <v>2050</v>
      </c>
      <c r="X138" s="43" t="str">
        <f t="shared" si="21"/>
        <v>*0.93</v>
      </c>
      <c r="AC138" s="33" t="s">
        <v>1012</v>
      </c>
      <c r="AD138" s="44" t="s">
        <v>57</v>
      </c>
      <c r="AE138" s="33">
        <v>2035</v>
      </c>
      <c r="AF138" s="45" t="str">
        <f t="shared" si="22"/>
        <v>*0.93</v>
      </c>
      <c r="AG138" s="43" t="str">
        <f t="shared" si="24"/>
        <v>REZoning_Sol-Win</v>
      </c>
      <c r="AI138" s="33" t="s">
        <v>1012</v>
      </c>
      <c r="AJ138" s="44" t="s">
        <v>57</v>
      </c>
      <c r="AK138" s="33">
        <v>2050</v>
      </c>
      <c r="AL138" s="45" t="str">
        <f t="shared" si="23"/>
        <v>*0.9</v>
      </c>
      <c r="AM138" s="43" t="str">
        <f t="shared" ref="AM138:AM201" si="25">AM137</f>
        <v>REZoning_Sol-Win</v>
      </c>
      <c r="AP138" t="s">
        <v>1012</v>
      </c>
      <c r="AQ138" t="s">
        <v>57</v>
      </c>
      <c r="AR138">
        <v>2100</v>
      </c>
      <c r="AS138" t="s">
        <v>897</v>
      </c>
      <c r="AT138" t="s">
        <v>58</v>
      </c>
    </row>
    <row r="139" ht="29" spans="1:46">
      <c r="A139" s="31" t="s">
        <v>73</v>
      </c>
      <c r="C139" t="s">
        <v>1013</v>
      </c>
      <c r="D139" s="5" t="s">
        <v>57</v>
      </c>
      <c r="E139">
        <v>2035</v>
      </c>
      <c r="F139" s="6" t="str">
        <f t="shared" si="18"/>
        <v>*0.95</v>
      </c>
      <c r="H139" t="s">
        <v>1013</v>
      </c>
      <c r="I139" s="5" t="s">
        <v>57</v>
      </c>
      <c r="J139">
        <v>2050</v>
      </c>
      <c r="K139" s="38" t="str">
        <f t="shared" si="19"/>
        <v>*0.93</v>
      </c>
      <c r="P139" s="32" t="s">
        <v>1013</v>
      </c>
      <c r="Q139" s="42" t="s">
        <v>57</v>
      </c>
      <c r="R139" s="32">
        <v>2035</v>
      </c>
      <c r="S139" s="43" t="str">
        <f t="shared" si="20"/>
        <v>*0.95</v>
      </c>
      <c r="U139" s="32" t="s">
        <v>1013</v>
      </c>
      <c r="V139" s="42" t="s">
        <v>57</v>
      </c>
      <c r="W139" s="32">
        <v>2050</v>
      </c>
      <c r="X139" s="43" t="str">
        <f t="shared" si="21"/>
        <v>*0.93</v>
      </c>
      <c r="AC139" s="33" t="s">
        <v>1013</v>
      </c>
      <c r="AD139" s="44" t="s">
        <v>57</v>
      </c>
      <c r="AE139" s="33">
        <v>2035</v>
      </c>
      <c r="AF139" s="45" t="str">
        <f t="shared" si="22"/>
        <v>*0.93</v>
      </c>
      <c r="AG139" s="43" t="str">
        <f t="shared" si="24"/>
        <v>REZoning_Sol-Win</v>
      </c>
      <c r="AI139" s="33" t="s">
        <v>1013</v>
      </c>
      <c r="AJ139" s="44" t="s">
        <v>57</v>
      </c>
      <c r="AK139" s="33">
        <v>2050</v>
      </c>
      <c r="AL139" s="45" t="str">
        <f t="shared" si="23"/>
        <v>*0.9</v>
      </c>
      <c r="AM139" s="43" t="str">
        <f t="shared" si="25"/>
        <v>REZoning_Sol-Win</v>
      </c>
      <c r="AP139" t="s">
        <v>1013</v>
      </c>
      <c r="AQ139" t="s">
        <v>57</v>
      </c>
      <c r="AR139">
        <v>2100</v>
      </c>
      <c r="AS139" t="s">
        <v>897</v>
      </c>
      <c r="AT139" t="s">
        <v>58</v>
      </c>
    </row>
    <row r="140" ht="29" spans="1:46">
      <c r="A140" s="31" t="s">
        <v>73</v>
      </c>
      <c r="C140" t="s">
        <v>1014</v>
      </c>
      <c r="D140" s="5" t="s">
        <v>57</v>
      </c>
      <c r="E140">
        <v>2035</v>
      </c>
      <c r="F140" s="6" t="str">
        <f t="shared" si="18"/>
        <v>*0.95</v>
      </c>
      <c r="H140" t="s">
        <v>1014</v>
      </c>
      <c r="I140" s="5" t="s">
        <v>57</v>
      </c>
      <c r="J140">
        <v>2050</v>
      </c>
      <c r="K140" s="38" t="str">
        <f t="shared" si="19"/>
        <v>*0.93</v>
      </c>
      <c r="P140" s="32" t="s">
        <v>1014</v>
      </c>
      <c r="Q140" s="42" t="s">
        <v>57</v>
      </c>
      <c r="R140" s="32">
        <v>2035</v>
      </c>
      <c r="S140" s="43" t="str">
        <f t="shared" si="20"/>
        <v>*0.95</v>
      </c>
      <c r="U140" s="32" t="s">
        <v>1014</v>
      </c>
      <c r="V140" s="42" t="s">
        <v>57</v>
      </c>
      <c r="W140" s="32">
        <v>2050</v>
      </c>
      <c r="X140" s="43" t="str">
        <f t="shared" si="21"/>
        <v>*0.93</v>
      </c>
      <c r="AC140" s="33" t="s">
        <v>1014</v>
      </c>
      <c r="AD140" s="44" t="s">
        <v>57</v>
      </c>
      <c r="AE140" s="33">
        <v>2035</v>
      </c>
      <c r="AF140" s="45" t="str">
        <f t="shared" si="22"/>
        <v>*0.93</v>
      </c>
      <c r="AG140" s="43" t="str">
        <f t="shared" si="24"/>
        <v>REZoning_Sol-Win</v>
      </c>
      <c r="AI140" s="33" t="s">
        <v>1014</v>
      </c>
      <c r="AJ140" s="44" t="s">
        <v>57</v>
      </c>
      <c r="AK140" s="33">
        <v>2050</v>
      </c>
      <c r="AL140" s="45" t="str">
        <f t="shared" si="23"/>
        <v>*0.9</v>
      </c>
      <c r="AM140" s="43" t="str">
        <f t="shared" si="25"/>
        <v>REZoning_Sol-Win</v>
      </c>
      <c r="AP140" t="s">
        <v>1014</v>
      </c>
      <c r="AQ140" t="s">
        <v>57</v>
      </c>
      <c r="AR140">
        <v>2100</v>
      </c>
      <c r="AS140" t="s">
        <v>897</v>
      </c>
      <c r="AT140" t="s">
        <v>58</v>
      </c>
    </row>
    <row r="141" ht="29" spans="1:46">
      <c r="A141" s="31" t="s">
        <v>65</v>
      </c>
      <c r="C141" t="s">
        <v>1015</v>
      </c>
      <c r="D141" s="5" t="s">
        <v>57</v>
      </c>
      <c r="E141">
        <v>2035</v>
      </c>
      <c r="F141" s="6" t="str">
        <f t="shared" si="18"/>
        <v>*0.94</v>
      </c>
      <c r="H141" t="s">
        <v>1015</v>
      </c>
      <c r="I141" s="5" t="s">
        <v>57</v>
      </c>
      <c r="J141">
        <v>2050</v>
      </c>
      <c r="K141" s="38" t="str">
        <f t="shared" si="19"/>
        <v>*0.91</v>
      </c>
      <c r="P141" s="32" t="s">
        <v>1015</v>
      </c>
      <c r="Q141" s="42" t="s">
        <v>57</v>
      </c>
      <c r="R141" s="32">
        <v>2035</v>
      </c>
      <c r="S141" s="43" t="str">
        <f t="shared" si="20"/>
        <v>*0.93</v>
      </c>
      <c r="U141" s="32" t="s">
        <v>1015</v>
      </c>
      <c r="V141" s="42" t="s">
        <v>57</v>
      </c>
      <c r="W141" s="32">
        <v>2050</v>
      </c>
      <c r="X141" s="43" t="str">
        <f t="shared" si="21"/>
        <v>*0.9</v>
      </c>
      <c r="AC141" s="33" t="s">
        <v>1015</v>
      </c>
      <c r="AD141" s="44" t="s">
        <v>57</v>
      </c>
      <c r="AE141" s="33">
        <v>2035</v>
      </c>
      <c r="AF141" s="45" t="str">
        <f t="shared" si="22"/>
        <v>*0.9</v>
      </c>
      <c r="AG141" s="43" t="str">
        <f t="shared" si="24"/>
        <v>REZoning_Sol-Win</v>
      </c>
      <c r="AI141" s="33" t="s">
        <v>1015</v>
      </c>
      <c r="AJ141" s="44" t="s">
        <v>57</v>
      </c>
      <c r="AK141" s="33">
        <v>2050</v>
      </c>
      <c r="AL141" s="45" t="str">
        <f t="shared" si="23"/>
        <v>*0.86</v>
      </c>
      <c r="AM141" s="43" t="str">
        <f t="shared" si="25"/>
        <v>REZoning_Sol-Win</v>
      </c>
      <c r="AP141" t="s">
        <v>1015</v>
      </c>
      <c r="AQ141" t="s">
        <v>57</v>
      </c>
      <c r="AR141">
        <v>2100</v>
      </c>
      <c r="AS141" t="s">
        <v>883</v>
      </c>
      <c r="AT141" t="s">
        <v>58</v>
      </c>
    </row>
    <row r="142" ht="29" spans="1:46">
      <c r="A142" s="31" t="s">
        <v>65</v>
      </c>
      <c r="C142" t="s">
        <v>1016</v>
      </c>
      <c r="D142" s="5" t="s">
        <v>57</v>
      </c>
      <c r="E142">
        <v>2035</v>
      </c>
      <c r="F142" s="6" t="str">
        <f t="shared" si="18"/>
        <v>*0.94</v>
      </c>
      <c r="H142" t="s">
        <v>1016</v>
      </c>
      <c r="I142" s="5" t="s">
        <v>57</v>
      </c>
      <c r="J142">
        <v>2050</v>
      </c>
      <c r="K142" s="38" t="str">
        <f t="shared" si="19"/>
        <v>*0.91</v>
      </c>
      <c r="P142" s="32" t="s">
        <v>1016</v>
      </c>
      <c r="Q142" s="42" t="s">
        <v>57</v>
      </c>
      <c r="R142" s="32">
        <v>2035</v>
      </c>
      <c r="S142" s="43" t="str">
        <f t="shared" si="20"/>
        <v>*0.93</v>
      </c>
      <c r="U142" s="32" t="s">
        <v>1016</v>
      </c>
      <c r="V142" s="42" t="s">
        <v>57</v>
      </c>
      <c r="W142" s="32">
        <v>2050</v>
      </c>
      <c r="X142" s="43" t="str">
        <f t="shared" si="21"/>
        <v>*0.9</v>
      </c>
      <c r="AC142" s="33" t="s">
        <v>1016</v>
      </c>
      <c r="AD142" s="44" t="s">
        <v>57</v>
      </c>
      <c r="AE142" s="33">
        <v>2035</v>
      </c>
      <c r="AF142" s="45" t="str">
        <f t="shared" si="22"/>
        <v>*0.9</v>
      </c>
      <c r="AG142" s="43" t="str">
        <f t="shared" si="24"/>
        <v>REZoning_Sol-Win</v>
      </c>
      <c r="AI142" s="33" t="s">
        <v>1016</v>
      </c>
      <c r="AJ142" s="44" t="s">
        <v>57</v>
      </c>
      <c r="AK142" s="33">
        <v>2050</v>
      </c>
      <c r="AL142" s="45" t="str">
        <f t="shared" si="23"/>
        <v>*0.86</v>
      </c>
      <c r="AM142" s="43" t="str">
        <f t="shared" si="25"/>
        <v>REZoning_Sol-Win</v>
      </c>
      <c r="AP142" t="s">
        <v>1016</v>
      </c>
      <c r="AQ142" t="s">
        <v>57</v>
      </c>
      <c r="AR142">
        <v>2100</v>
      </c>
      <c r="AS142" t="s">
        <v>883</v>
      </c>
      <c r="AT142" t="s">
        <v>58</v>
      </c>
    </row>
    <row r="143" ht="29" spans="1:46">
      <c r="A143" s="31" t="s">
        <v>65</v>
      </c>
      <c r="C143" t="s">
        <v>1017</v>
      </c>
      <c r="D143" s="5" t="s">
        <v>57</v>
      </c>
      <c r="E143">
        <v>2035</v>
      </c>
      <c r="F143" s="6" t="str">
        <f t="shared" si="18"/>
        <v>*0.94</v>
      </c>
      <c r="H143" t="s">
        <v>1017</v>
      </c>
      <c r="I143" s="5" t="s">
        <v>57</v>
      </c>
      <c r="J143">
        <v>2050</v>
      </c>
      <c r="K143" s="38" t="str">
        <f t="shared" si="19"/>
        <v>*0.91</v>
      </c>
      <c r="P143" s="32" t="s">
        <v>1017</v>
      </c>
      <c r="Q143" s="42" t="s">
        <v>57</v>
      </c>
      <c r="R143" s="32">
        <v>2035</v>
      </c>
      <c r="S143" s="43" t="str">
        <f t="shared" si="20"/>
        <v>*0.93</v>
      </c>
      <c r="U143" s="32" t="s">
        <v>1017</v>
      </c>
      <c r="V143" s="42" t="s">
        <v>57</v>
      </c>
      <c r="W143" s="32">
        <v>2050</v>
      </c>
      <c r="X143" s="43" t="str">
        <f t="shared" si="21"/>
        <v>*0.9</v>
      </c>
      <c r="AC143" s="33" t="s">
        <v>1017</v>
      </c>
      <c r="AD143" s="44" t="s">
        <v>57</v>
      </c>
      <c r="AE143" s="33">
        <v>2035</v>
      </c>
      <c r="AF143" s="45" t="str">
        <f t="shared" si="22"/>
        <v>*0.9</v>
      </c>
      <c r="AG143" s="43" t="str">
        <f t="shared" si="24"/>
        <v>REZoning_Sol-Win</v>
      </c>
      <c r="AI143" s="33" t="s">
        <v>1017</v>
      </c>
      <c r="AJ143" s="44" t="s">
        <v>57</v>
      </c>
      <c r="AK143" s="33">
        <v>2050</v>
      </c>
      <c r="AL143" s="45" t="str">
        <f t="shared" si="23"/>
        <v>*0.86</v>
      </c>
      <c r="AM143" s="43" t="str">
        <f t="shared" si="25"/>
        <v>REZoning_Sol-Win</v>
      </c>
      <c r="AP143" t="s">
        <v>1017</v>
      </c>
      <c r="AQ143" t="s">
        <v>57</v>
      </c>
      <c r="AR143">
        <v>2100</v>
      </c>
      <c r="AS143" t="s">
        <v>883</v>
      </c>
      <c r="AT143" t="s">
        <v>58</v>
      </c>
    </row>
    <row r="144" ht="29" spans="1:46">
      <c r="A144" s="31" t="s">
        <v>65</v>
      </c>
      <c r="C144" t="s">
        <v>1018</v>
      </c>
      <c r="D144" s="5" t="s">
        <v>57</v>
      </c>
      <c r="E144">
        <v>2035</v>
      </c>
      <c r="F144" s="6" t="str">
        <f t="shared" si="18"/>
        <v>*0.94</v>
      </c>
      <c r="H144" t="s">
        <v>1018</v>
      </c>
      <c r="I144" s="5" t="s">
        <v>57</v>
      </c>
      <c r="J144">
        <v>2050</v>
      </c>
      <c r="K144" s="38" t="str">
        <f t="shared" si="19"/>
        <v>*0.91</v>
      </c>
      <c r="P144" s="32" t="s">
        <v>1018</v>
      </c>
      <c r="Q144" s="42" t="s">
        <v>57</v>
      </c>
      <c r="R144" s="32">
        <v>2035</v>
      </c>
      <c r="S144" s="43" t="str">
        <f t="shared" si="20"/>
        <v>*0.93</v>
      </c>
      <c r="U144" s="32" t="s">
        <v>1018</v>
      </c>
      <c r="V144" s="42" t="s">
        <v>57</v>
      </c>
      <c r="W144" s="32">
        <v>2050</v>
      </c>
      <c r="X144" s="43" t="str">
        <f t="shared" si="21"/>
        <v>*0.9</v>
      </c>
      <c r="AC144" s="33" t="s">
        <v>1018</v>
      </c>
      <c r="AD144" s="44" t="s">
        <v>57</v>
      </c>
      <c r="AE144" s="33">
        <v>2035</v>
      </c>
      <c r="AF144" s="45" t="str">
        <f t="shared" si="22"/>
        <v>*0.9</v>
      </c>
      <c r="AG144" s="43" t="str">
        <f t="shared" si="24"/>
        <v>REZoning_Sol-Win</v>
      </c>
      <c r="AI144" s="33" t="s">
        <v>1018</v>
      </c>
      <c r="AJ144" s="44" t="s">
        <v>57</v>
      </c>
      <c r="AK144" s="33">
        <v>2050</v>
      </c>
      <c r="AL144" s="45" t="str">
        <f t="shared" si="23"/>
        <v>*0.86</v>
      </c>
      <c r="AM144" s="43" t="str">
        <f t="shared" si="25"/>
        <v>REZoning_Sol-Win</v>
      </c>
      <c r="AP144" t="s">
        <v>1018</v>
      </c>
      <c r="AQ144" t="s">
        <v>57</v>
      </c>
      <c r="AR144">
        <v>2100</v>
      </c>
      <c r="AS144" t="s">
        <v>883</v>
      </c>
      <c r="AT144" t="s">
        <v>58</v>
      </c>
    </row>
    <row r="145" ht="29" spans="1:46">
      <c r="A145" s="31" t="s">
        <v>65</v>
      </c>
      <c r="C145" t="s">
        <v>1019</v>
      </c>
      <c r="D145" s="5" t="s">
        <v>57</v>
      </c>
      <c r="E145">
        <v>2035</v>
      </c>
      <c r="F145" s="6" t="str">
        <f t="shared" si="18"/>
        <v>*0.94</v>
      </c>
      <c r="H145" t="s">
        <v>1019</v>
      </c>
      <c r="I145" s="5" t="s">
        <v>57</v>
      </c>
      <c r="J145">
        <v>2050</v>
      </c>
      <c r="K145" s="38" t="str">
        <f t="shared" si="19"/>
        <v>*0.91</v>
      </c>
      <c r="P145" s="32" t="s">
        <v>1019</v>
      </c>
      <c r="Q145" s="42" t="s">
        <v>57</v>
      </c>
      <c r="R145" s="32">
        <v>2035</v>
      </c>
      <c r="S145" s="43" t="str">
        <f t="shared" si="20"/>
        <v>*0.93</v>
      </c>
      <c r="U145" s="32" t="s">
        <v>1019</v>
      </c>
      <c r="V145" s="42" t="s">
        <v>57</v>
      </c>
      <c r="W145" s="32">
        <v>2050</v>
      </c>
      <c r="X145" s="43" t="str">
        <f t="shared" si="21"/>
        <v>*0.9</v>
      </c>
      <c r="AC145" s="33" t="s">
        <v>1019</v>
      </c>
      <c r="AD145" s="44" t="s">
        <v>57</v>
      </c>
      <c r="AE145" s="33">
        <v>2035</v>
      </c>
      <c r="AF145" s="45" t="str">
        <f t="shared" si="22"/>
        <v>*0.9</v>
      </c>
      <c r="AG145" s="43" t="str">
        <f t="shared" si="24"/>
        <v>REZoning_Sol-Win</v>
      </c>
      <c r="AI145" s="33" t="s">
        <v>1019</v>
      </c>
      <c r="AJ145" s="44" t="s">
        <v>57</v>
      </c>
      <c r="AK145" s="33">
        <v>2050</v>
      </c>
      <c r="AL145" s="45" t="str">
        <f t="shared" si="23"/>
        <v>*0.86</v>
      </c>
      <c r="AM145" s="43" t="str">
        <f t="shared" si="25"/>
        <v>REZoning_Sol-Win</v>
      </c>
      <c r="AP145" t="s">
        <v>1019</v>
      </c>
      <c r="AQ145" t="s">
        <v>57</v>
      </c>
      <c r="AR145">
        <v>2100</v>
      </c>
      <c r="AS145" t="s">
        <v>883</v>
      </c>
      <c r="AT145" t="s">
        <v>58</v>
      </c>
    </row>
    <row r="146" ht="29" spans="1:46">
      <c r="A146" s="31" t="s">
        <v>65</v>
      </c>
      <c r="C146" t="s">
        <v>1020</v>
      </c>
      <c r="D146" s="5" t="s">
        <v>57</v>
      </c>
      <c r="E146">
        <v>2035</v>
      </c>
      <c r="F146" s="6" t="str">
        <f t="shared" si="18"/>
        <v>*0.94</v>
      </c>
      <c r="H146" t="s">
        <v>1020</v>
      </c>
      <c r="I146" s="5" t="s">
        <v>57</v>
      </c>
      <c r="J146">
        <v>2050</v>
      </c>
      <c r="K146" s="38" t="str">
        <f t="shared" si="19"/>
        <v>*0.91</v>
      </c>
      <c r="P146" s="32" t="s">
        <v>1020</v>
      </c>
      <c r="Q146" s="42" t="s">
        <v>57</v>
      </c>
      <c r="R146" s="32">
        <v>2035</v>
      </c>
      <c r="S146" s="43" t="str">
        <f t="shared" si="20"/>
        <v>*0.93</v>
      </c>
      <c r="U146" s="32" t="s">
        <v>1020</v>
      </c>
      <c r="V146" s="42" t="s">
        <v>57</v>
      </c>
      <c r="W146" s="32">
        <v>2050</v>
      </c>
      <c r="X146" s="43" t="str">
        <f t="shared" si="21"/>
        <v>*0.9</v>
      </c>
      <c r="AC146" s="33" t="s">
        <v>1020</v>
      </c>
      <c r="AD146" s="44" t="s">
        <v>57</v>
      </c>
      <c r="AE146" s="33">
        <v>2035</v>
      </c>
      <c r="AF146" s="45" t="str">
        <f t="shared" si="22"/>
        <v>*0.9</v>
      </c>
      <c r="AG146" s="43" t="str">
        <f t="shared" si="24"/>
        <v>REZoning_Sol-Win</v>
      </c>
      <c r="AI146" s="33" t="s">
        <v>1020</v>
      </c>
      <c r="AJ146" s="44" t="s">
        <v>57</v>
      </c>
      <c r="AK146" s="33">
        <v>2050</v>
      </c>
      <c r="AL146" s="45" t="str">
        <f t="shared" si="23"/>
        <v>*0.86</v>
      </c>
      <c r="AM146" s="43" t="str">
        <f t="shared" si="25"/>
        <v>REZoning_Sol-Win</v>
      </c>
      <c r="AP146" t="s">
        <v>1020</v>
      </c>
      <c r="AQ146" t="s">
        <v>57</v>
      </c>
      <c r="AR146">
        <v>2100</v>
      </c>
      <c r="AS146" t="s">
        <v>883</v>
      </c>
      <c r="AT146" t="s">
        <v>58</v>
      </c>
    </row>
    <row r="147" ht="29" spans="1:46">
      <c r="A147" s="31" t="s">
        <v>65</v>
      </c>
      <c r="C147" t="s">
        <v>1021</v>
      </c>
      <c r="D147" s="5" t="s">
        <v>57</v>
      </c>
      <c r="E147">
        <v>2035</v>
      </c>
      <c r="F147" s="6" t="str">
        <f t="shared" si="18"/>
        <v>*0.94</v>
      </c>
      <c r="H147" t="s">
        <v>1021</v>
      </c>
      <c r="I147" s="5" t="s">
        <v>57</v>
      </c>
      <c r="J147">
        <v>2050</v>
      </c>
      <c r="K147" s="38" t="str">
        <f t="shared" si="19"/>
        <v>*0.91</v>
      </c>
      <c r="P147" s="32" t="s">
        <v>1021</v>
      </c>
      <c r="Q147" s="42" t="s">
        <v>57</v>
      </c>
      <c r="R147" s="32">
        <v>2035</v>
      </c>
      <c r="S147" s="43" t="str">
        <f t="shared" si="20"/>
        <v>*0.93</v>
      </c>
      <c r="U147" s="32" t="s">
        <v>1021</v>
      </c>
      <c r="V147" s="42" t="s">
        <v>57</v>
      </c>
      <c r="W147" s="32">
        <v>2050</v>
      </c>
      <c r="X147" s="43" t="str">
        <f t="shared" si="21"/>
        <v>*0.9</v>
      </c>
      <c r="AC147" s="33" t="s">
        <v>1021</v>
      </c>
      <c r="AD147" s="44" t="s">
        <v>57</v>
      </c>
      <c r="AE147" s="33">
        <v>2035</v>
      </c>
      <c r="AF147" s="45" t="str">
        <f t="shared" si="22"/>
        <v>*0.9</v>
      </c>
      <c r="AG147" s="43" t="str">
        <f t="shared" si="24"/>
        <v>REZoning_Sol-Win</v>
      </c>
      <c r="AI147" s="33" t="s">
        <v>1021</v>
      </c>
      <c r="AJ147" s="44" t="s">
        <v>57</v>
      </c>
      <c r="AK147" s="33">
        <v>2050</v>
      </c>
      <c r="AL147" s="45" t="str">
        <f t="shared" si="23"/>
        <v>*0.86</v>
      </c>
      <c r="AM147" s="43" t="str">
        <f t="shared" si="25"/>
        <v>REZoning_Sol-Win</v>
      </c>
      <c r="AP147" t="s">
        <v>1021</v>
      </c>
      <c r="AQ147" t="s">
        <v>57</v>
      </c>
      <c r="AR147">
        <v>2100</v>
      </c>
      <c r="AS147" t="s">
        <v>883</v>
      </c>
      <c r="AT147" t="s">
        <v>58</v>
      </c>
    </row>
    <row r="148" ht="29" spans="1:46">
      <c r="A148" s="31" t="s">
        <v>65</v>
      </c>
      <c r="C148" t="s">
        <v>1022</v>
      </c>
      <c r="D148" s="5" t="s">
        <v>57</v>
      </c>
      <c r="E148">
        <v>2035</v>
      </c>
      <c r="F148" s="6" t="str">
        <f t="shared" si="18"/>
        <v>*0.94</v>
      </c>
      <c r="H148" t="s">
        <v>1022</v>
      </c>
      <c r="I148" s="5" t="s">
        <v>57</v>
      </c>
      <c r="J148">
        <v>2050</v>
      </c>
      <c r="K148" s="38" t="str">
        <f t="shared" si="19"/>
        <v>*0.91</v>
      </c>
      <c r="P148" s="32" t="s">
        <v>1022</v>
      </c>
      <c r="Q148" s="42" t="s">
        <v>57</v>
      </c>
      <c r="R148" s="32">
        <v>2035</v>
      </c>
      <c r="S148" s="43" t="str">
        <f t="shared" si="20"/>
        <v>*0.93</v>
      </c>
      <c r="U148" s="32" t="s">
        <v>1022</v>
      </c>
      <c r="V148" s="42" t="s">
        <v>57</v>
      </c>
      <c r="W148" s="32">
        <v>2050</v>
      </c>
      <c r="X148" s="43" t="str">
        <f t="shared" si="21"/>
        <v>*0.9</v>
      </c>
      <c r="AC148" s="33" t="s">
        <v>1022</v>
      </c>
      <c r="AD148" s="44" t="s">
        <v>57</v>
      </c>
      <c r="AE148" s="33">
        <v>2035</v>
      </c>
      <c r="AF148" s="45" t="str">
        <f t="shared" si="22"/>
        <v>*0.9</v>
      </c>
      <c r="AG148" s="43" t="str">
        <f t="shared" si="24"/>
        <v>REZoning_Sol-Win</v>
      </c>
      <c r="AI148" s="33" t="s">
        <v>1022</v>
      </c>
      <c r="AJ148" s="44" t="s">
        <v>57</v>
      </c>
      <c r="AK148" s="33">
        <v>2050</v>
      </c>
      <c r="AL148" s="45" t="str">
        <f t="shared" si="23"/>
        <v>*0.86</v>
      </c>
      <c r="AM148" s="43" t="str">
        <f t="shared" si="25"/>
        <v>REZoning_Sol-Win</v>
      </c>
      <c r="AP148" t="s">
        <v>1022</v>
      </c>
      <c r="AQ148" t="s">
        <v>57</v>
      </c>
      <c r="AR148">
        <v>2100</v>
      </c>
      <c r="AS148" t="s">
        <v>883</v>
      </c>
      <c r="AT148" t="s">
        <v>58</v>
      </c>
    </row>
    <row r="149" ht="29" spans="1:46">
      <c r="A149" s="31" t="s">
        <v>65</v>
      </c>
      <c r="C149" t="s">
        <v>1023</v>
      </c>
      <c r="D149" s="5" t="s">
        <v>57</v>
      </c>
      <c r="E149">
        <v>2035</v>
      </c>
      <c r="F149" s="6" t="str">
        <f t="shared" si="18"/>
        <v>*0.94</v>
      </c>
      <c r="H149" t="s">
        <v>1023</v>
      </c>
      <c r="I149" s="5" t="s">
        <v>57</v>
      </c>
      <c r="J149">
        <v>2050</v>
      </c>
      <c r="K149" s="38" t="str">
        <f t="shared" si="19"/>
        <v>*0.91</v>
      </c>
      <c r="P149" s="32" t="s">
        <v>1023</v>
      </c>
      <c r="Q149" s="42" t="s">
        <v>57</v>
      </c>
      <c r="R149" s="32">
        <v>2035</v>
      </c>
      <c r="S149" s="43" t="str">
        <f t="shared" si="20"/>
        <v>*0.93</v>
      </c>
      <c r="U149" s="32" t="s">
        <v>1023</v>
      </c>
      <c r="V149" s="42" t="s">
        <v>57</v>
      </c>
      <c r="W149" s="32">
        <v>2050</v>
      </c>
      <c r="X149" s="43" t="str">
        <f t="shared" si="21"/>
        <v>*0.9</v>
      </c>
      <c r="AC149" s="33" t="s">
        <v>1023</v>
      </c>
      <c r="AD149" s="44" t="s">
        <v>57</v>
      </c>
      <c r="AE149" s="33">
        <v>2035</v>
      </c>
      <c r="AF149" s="45" t="str">
        <f t="shared" si="22"/>
        <v>*0.9</v>
      </c>
      <c r="AG149" s="43" t="str">
        <f t="shared" si="24"/>
        <v>REZoning_Sol-Win</v>
      </c>
      <c r="AI149" s="33" t="s">
        <v>1023</v>
      </c>
      <c r="AJ149" s="44" t="s">
        <v>57</v>
      </c>
      <c r="AK149" s="33">
        <v>2050</v>
      </c>
      <c r="AL149" s="45" t="str">
        <f t="shared" si="23"/>
        <v>*0.86</v>
      </c>
      <c r="AM149" s="43" t="str">
        <f t="shared" si="25"/>
        <v>REZoning_Sol-Win</v>
      </c>
      <c r="AP149" t="s">
        <v>1023</v>
      </c>
      <c r="AQ149" t="s">
        <v>57</v>
      </c>
      <c r="AR149">
        <v>2100</v>
      </c>
      <c r="AS149" t="s">
        <v>883</v>
      </c>
      <c r="AT149" t="s">
        <v>58</v>
      </c>
    </row>
    <row r="150" ht="29" spans="1:46">
      <c r="A150" s="31" t="s">
        <v>65</v>
      </c>
      <c r="C150" t="s">
        <v>1024</v>
      </c>
      <c r="D150" s="5" t="s">
        <v>57</v>
      </c>
      <c r="E150">
        <v>2035</v>
      </c>
      <c r="F150" s="6" t="str">
        <f t="shared" si="18"/>
        <v>*0.94</v>
      </c>
      <c r="H150" t="s">
        <v>1024</v>
      </c>
      <c r="I150" s="5" t="s">
        <v>57</v>
      </c>
      <c r="J150">
        <v>2050</v>
      </c>
      <c r="K150" s="38" t="str">
        <f t="shared" si="19"/>
        <v>*0.91</v>
      </c>
      <c r="P150" s="32" t="s">
        <v>1024</v>
      </c>
      <c r="Q150" s="42" t="s">
        <v>57</v>
      </c>
      <c r="R150" s="32">
        <v>2035</v>
      </c>
      <c r="S150" s="43" t="str">
        <f t="shared" si="20"/>
        <v>*0.93</v>
      </c>
      <c r="U150" s="32" t="s">
        <v>1024</v>
      </c>
      <c r="V150" s="42" t="s">
        <v>57</v>
      </c>
      <c r="W150" s="32">
        <v>2050</v>
      </c>
      <c r="X150" s="43" t="str">
        <f t="shared" si="21"/>
        <v>*0.9</v>
      </c>
      <c r="AC150" s="33" t="s">
        <v>1024</v>
      </c>
      <c r="AD150" s="44" t="s">
        <v>57</v>
      </c>
      <c r="AE150" s="33">
        <v>2035</v>
      </c>
      <c r="AF150" s="45" t="str">
        <f t="shared" si="22"/>
        <v>*0.9</v>
      </c>
      <c r="AG150" s="43" t="str">
        <f t="shared" si="24"/>
        <v>REZoning_Sol-Win</v>
      </c>
      <c r="AI150" s="33" t="s">
        <v>1024</v>
      </c>
      <c r="AJ150" s="44" t="s">
        <v>57</v>
      </c>
      <c r="AK150" s="33">
        <v>2050</v>
      </c>
      <c r="AL150" s="45" t="str">
        <f t="shared" si="23"/>
        <v>*0.86</v>
      </c>
      <c r="AM150" s="43" t="str">
        <f t="shared" si="25"/>
        <v>REZoning_Sol-Win</v>
      </c>
      <c r="AP150" t="s">
        <v>1024</v>
      </c>
      <c r="AQ150" t="s">
        <v>57</v>
      </c>
      <c r="AR150">
        <v>2100</v>
      </c>
      <c r="AS150" t="s">
        <v>883</v>
      </c>
      <c r="AT150" t="s">
        <v>58</v>
      </c>
    </row>
    <row r="151" ht="29" spans="1:46">
      <c r="A151" s="31" t="s">
        <v>65</v>
      </c>
      <c r="C151" t="s">
        <v>1025</v>
      </c>
      <c r="D151" s="5" t="s">
        <v>57</v>
      </c>
      <c r="E151">
        <v>2035</v>
      </c>
      <c r="F151" s="6" t="str">
        <f t="shared" si="18"/>
        <v>*0.94</v>
      </c>
      <c r="H151" t="s">
        <v>1025</v>
      </c>
      <c r="I151" s="5" t="s">
        <v>57</v>
      </c>
      <c r="J151">
        <v>2050</v>
      </c>
      <c r="K151" s="38" t="str">
        <f t="shared" si="19"/>
        <v>*0.91</v>
      </c>
      <c r="P151" s="32" t="s">
        <v>1025</v>
      </c>
      <c r="Q151" s="42" t="s">
        <v>57</v>
      </c>
      <c r="R151" s="32">
        <v>2035</v>
      </c>
      <c r="S151" s="43" t="str">
        <f t="shared" si="20"/>
        <v>*0.93</v>
      </c>
      <c r="U151" s="32" t="s">
        <v>1025</v>
      </c>
      <c r="V151" s="42" t="s">
        <v>57</v>
      </c>
      <c r="W151" s="32">
        <v>2050</v>
      </c>
      <c r="X151" s="43" t="str">
        <f t="shared" si="21"/>
        <v>*0.9</v>
      </c>
      <c r="AC151" s="33" t="s">
        <v>1025</v>
      </c>
      <c r="AD151" s="44" t="s">
        <v>57</v>
      </c>
      <c r="AE151" s="33">
        <v>2035</v>
      </c>
      <c r="AF151" s="45" t="str">
        <f t="shared" si="22"/>
        <v>*0.9</v>
      </c>
      <c r="AG151" s="43" t="str">
        <f t="shared" si="24"/>
        <v>REZoning_Sol-Win</v>
      </c>
      <c r="AI151" s="33" t="s">
        <v>1025</v>
      </c>
      <c r="AJ151" s="44" t="s">
        <v>57</v>
      </c>
      <c r="AK151" s="33">
        <v>2050</v>
      </c>
      <c r="AL151" s="45" t="str">
        <f t="shared" si="23"/>
        <v>*0.86</v>
      </c>
      <c r="AM151" s="43" t="str">
        <f t="shared" si="25"/>
        <v>REZoning_Sol-Win</v>
      </c>
      <c r="AP151" t="s">
        <v>1025</v>
      </c>
      <c r="AQ151" t="s">
        <v>57</v>
      </c>
      <c r="AR151">
        <v>2100</v>
      </c>
      <c r="AS151" t="s">
        <v>883</v>
      </c>
      <c r="AT151" t="s">
        <v>58</v>
      </c>
    </row>
    <row r="152" ht="29" spans="1:46">
      <c r="A152" s="31" t="s">
        <v>65</v>
      </c>
      <c r="C152" t="s">
        <v>1026</v>
      </c>
      <c r="D152" s="5" t="s">
        <v>57</v>
      </c>
      <c r="E152">
        <v>2035</v>
      </c>
      <c r="F152" s="6" t="str">
        <f t="shared" si="18"/>
        <v>*0.94</v>
      </c>
      <c r="H152" t="s">
        <v>1026</v>
      </c>
      <c r="I152" s="5" t="s">
        <v>57</v>
      </c>
      <c r="J152">
        <v>2050</v>
      </c>
      <c r="K152" s="38" t="str">
        <f t="shared" si="19"/>
        <v>*0.91</v>
      </c>
      <c r="P152" s="32" t="s">
        <v>1026</v>
      </c>
      <c r="Q152" s="42" t="s">
        <v>57</v>
      </c>
      <c r="R152" s="32">
        <v>2035</v>
      </c>
      <c r="S152" s="43" t="str">
        <f t="shared" si="20"/>
        <v>*0.93</v>
      </c>
      <c r="U152" s="32" t="s">
        <v>1026</v>
      </c>
      <c r="V152" s="42" t="s">
        <v>57</v>
      </c>
      <c r="W152" s="32">
        <v>2050</v>
      </c>
      <c r="X152" s="43" t="str">
        <f t="shared" si="21"/>
        <v>*0.9</v>
      </c>
      <c r="AC152" s="33" t="s">
        <v>1026</v>
      </c>
      <c r="AD152" s="44" t="s">
        <v>57</v>
      </c>
      <c r="AE152" s="33">
        <v>2035</v>
      </c>
      <c r="AF152" s="45" t="str">
        <f t="shared" si="22"/>
        <v>*0.9</v>
      </c>
      <c r="AG152" s="43" t="str">
        <f t="shared" si="24"/>
        <v>REZoning_Sol-Win</v>
      </c>
      <c r="AI152" s="33" t="s">
        <v>1026</v>
      </c>
      <c r="AJ152" s="44" t="s">
        <v>57</v>
      </c>
      <c r="AK152" s="33">
        <v>2050</v>
      </c>
      <c r="AL152" s="45" t="str">
        <f t="shared" si="23"/>
        <v>*0.86</v>
      </c>
      <c r="AM152" s="43" t="str">
        <f t="shared" si="25"/>
        <v>REZoning_Sol-Win</v>
      </c>
      <c r="AP152" t="s">
        <v>1026</v>
      </c>
      <c r="AQ152" t="s">
        <v>57</v>
      </c>
      <c r="AR152">
        <v>2100</v>
      </c>
      <c r="AS152" t="s">
        <v>883</v>
      </c>
      <c r="AT152" t="s">
        <v>58</v>
      </c>
    </row>
    <row r="153" ht="29" spans="1:46">
      <c r="A153" s="31" t="s">
        <v>55</v>
      </c>
      <c r="C153" t="s">
        <v>1027</v>
      </c>
      <c r="D153" s="5" t="s">
        <v>57</v>
      </c>
      <c r="E153">
        <v>2035</v>
      </c>
      <c r="F153" s="6" t="str">
        <f t="shared" si="18"/>
        <v>*0.95</v>
      </c>
      <c r="H153" t="s">
        <v>1027</v>
      </c>
      <c r="I153" s="5" t="s">
        <v>57</v>
      </c>
      <c r="J153">
        <v>2050</v>
      </c>
      <c r="K153" s="38" t="str">
        <f t="shared" si="19"/>
        <v>*0.92</v>
      </c>
      <c r="P153" s="32" t="s">
        <v>1027</v>
      </c>
      <c r="Q153" s="42" t="s">
        <v>57</v>
      </c>
      <c r="R153" s="32">
        <v>2035</v>
      </c>
      <c r="S153" s="43" t="str">
        <f t="shared" si="20"/>
        <v>*0.94</v>
      </c>
      <c r="U153" s="32" t="s">
        <v>1027</v>
      </c>
      <c r="V153" s="42" t="s">
        <v>57</v>
      </c>
      <c r="W153" s="32">
        <v>2050</v>
      </c>
      <c r="X153" s="43" t="str">
        <f t="shared" si="21"/>
        <v>*0.91</v>
      </c>
      <c r="AC153" s="33" t="s">
        <v>1027</v>
      </c>
      <c r="AD153" s="44" t="s">
        <v>57</v>
      </c>
      <c r="AE153" s="33">
        <v>2035</v>
      </c>
      <c r="AF153" s="45" t="str">
        <f t="shared" si="22"/>
        <v>*0.92</v>
      </c>
      <c r="AG153" s="43" t="str">
        <f t="shared" si="24"/>
        <v>REZoning_Sol-Win</v>
      </c>
      <c r="AI153" s="33" t="s">
        <v>1027</v>
      </c>
      <c r="AJ153" s="44" t="s">
        <v>57</v>
      </c>
      <c r="AK153" s="33">
        <v>2050</v>
      </c>
      <c r="AL153" s="45" t="str">
        <f t="shared" si="23"/>
        <v>*0.87</v>
      </c>
      <c r="AM153" s="43" t="str">
        <f t="shared" si="25"/>
        <v>REZoning_Sol-Win</v>
      </c>
      <c r="AP153" t="s">
        <v>1027</v>
      </c>
      <c r="AQ153" t="s">
        <v>57</v>
      </c>
      <c r="AR153">
        <v>2100</v>
      </c>
      <c r="AS153" t="s">
        <v>874</v>
      </c>
      <c r="AT153" t="s">
        <v>58</v>
      </c>
    </row>
    <row r="154" ht="29" spans="1:46">
      <c r="A154" s="31" t="s">
        <v>55</v>
      </c>
      <c r="C154" t="s">
        <v>1028</v>
      </c>
      <c r="D154" s="5" t="s">
        <v>57</v>
      </c>
      <c r="E154">
        <v>2035</v>
      </c>
      <c r="F154" s="6" t="str">
        <f t="shared" si="18"/>
        <v>*0.95</v>
      </c>
      <c r="H154" t="s">
        <v>1028</v>
      </c>
      <c r="I154" s="5" t="s">
        <v>57</v>
      </c>
      <c r="J154">
        <v>2050</v>
      </c>
      <c r="K154" s="38" t="str">
        <f t="shared" si="19"/>
        <v>*0.92</v>
      </c>
      <c r="P154" s="32" t="s">
        <v>1028</v>
      </c>
      <c r="Q154" s="42" t="s">
        <v>57</v>
      </c>
      <c r="R154" s="32">
        <v>2035</v>
      </c>
      <c r="S154" s="43" t="str">
        <f t="shared" si="20"/>
        <v>*0.94</v>
      </c>
      <c r="U154" s="32" t="s">
        <v>1028</v>
      </c>
      <c r="V154" s="42" t="s">
        <v>57</v>
      </c>
      <c r="W154" s="32">
        <v>2050</v>
      </c>
      <c r="X154" s="43" t="str">
        <f t="shared" si="21"/>
        <v>*0.91</v>
      </c>
      <c r="AC154" s="33" t="s">
        <v>1028</v>
      </c>
      <c r="AD154" s="44" t="s">
        <v>57</v>
      </c>
      <c r="AE154" s="33">
        <v>2035</v>
      </c>
      <c r="AF154" s="45" t="str">
        <f t="shared" si="22"/>
        <v>*0.92</v>
      </c>
      <c r="AG154" s="43" t="str">
        <f t="shared" si="24"/>
        <v>REZoning_Sol-Win</v>
      </c>
      <c r="AI154" s="33" t="s">
        <v>1028</v>
      </c>
      <c r="AJ154" s="44" t="s">
        <v>57</v>
      </c>
      <c r="AK154" s="33">
        <v>2050</v>
      </c>
      <c r="AL154" s="45" t="str">
        <f t="shared" si="23"/>
        <v>*0.87</v>
      </c>
      <c r="AM154" s="43" t="str">
        <f t="shared" si="25"/>
        <v>REZoning_Sol-Win</v>
      </c>
      <c r="AP154" t="s">
        <v>1028</v>
      </c>
      <c r="AQ154" t="s">
        <v>57</v>
      </c>
      <c r="AR154">
        <v>2100</v>
      </c>
      <c r="AS154" t="s">
        <v>874</v>
      </c>
      <c r="AT154" t="s">
        <v>58</v>
      </c>
    </row>
    <row r="155" ht="29" spans="1:46">
      <c r="A155" s="31" t="s">
        <v>55</v>
      </c>
      <c r="C155" t="s">
        <v>1029</v>
      </c>
      <c r="D155" s="5" t="s">
        <v>57</v>
      </c>
      <c r="E155">
        <v>2035</v>
      </c>
      <c r="F155" s="6" t="str">
        <f t="shared" si="18"/>
        <v>*0.95</v>
      </c>
      <c r="H155" t="s">
        <v>1029</v>
      </c>
      <c r="I155" s="5" t="s">
        <v>57</v>
      </c>
      <c r="J155">
        <v>2050</v>
      </c>
      <c r="K155" s="38" t="str">
        <f t="shared" si="19"/>
        <v>*0.92</v>
      </c>
      <c r="P155" s="32" t="s">
        <v>1029</v>
      </c>
      <c r="Q155" s="42" t="s">
        <v>57</v>
      </c>
      <c r="R155" s="32">
        <v>2035</v>
      </c>
      <c r="S155" s="43" t="str">
        <f t="shared" si="20"/>
        <v>*0.94</v>
      </c>
      <c r="U155" s="32" t="s">
        <v>1029</v>
      </c>
      <c r="V155" s="42" t="s">
        <v>57</v>
      </c>
      <c r="W155" s="32">
        <v>2050</v>
      </c>
      <c r="X155" s="43" t="str">
        <f t="shared" si="21"/>
        <v>*0.91</v>
      </c>
      <c r="AC155" s="33" t="s">
        <v>1029</v>
      </c>
      <c r="AD155" s="44" t="s">
        <v>57</v>
      </c>
      <c r="AE155" s="33">
        <v>2035</v>
      </c>
      <c r="AF155" s="45" t="str">
        <f t="shared" si="22"/>
        <v>*0.92</v>
      </c>
      <c r="AG155" s="43" t="str">
        <f t="shared" si="24"/>
        <v>REZoning_Sol-Win</v>
      </c>
      <c r="AI155" s="33" t="s">
        <v>1029</v>
      </c>
      <c r="AJ155" s="44" t="s">
        <v>57</v>
      </c>
      <c r="AK155" s="33">
        <v>2050</v>
      </c>
      <c r="AL155" s="45" t="str">
        <f t="shared" si="23"/>
        <v>*0.87</v>
      </c>
      <c r="AM155" s="43" t="str">
        <f t="shared" si="25"/>
        <v>REZoning_Sol-Win</v>
      </c>
      <c r="AP155" t="s">
        <v>1029</v>
      </c>
      <c r="AQ155" t="s">
        <v>57</v>
      </c>
      <c r="AR155">
        <v>2100</v>
      </c>
      <c r="AS155" t="s">
        <v>874</v>
      </c>
      <c r="AT155" t="s">
        <v>58</v>
      </c>
    </row>
    <row r="156" ht="29" spans="1:46">
      <c r="A156" s="31" t="s">
        <v>55</v>
      </c>
      <c r="C156" t="s">
        <v>1030</v>
      </c>
      <c r="D156" s="5" t="s">
        <v>57</v>
      </c>
      <c r="E156">
        <v>2035</v>
      </c>
      <c r="F156" s="6" t="str">
        <f t="shared" si="18"/>
        <v>*0.95</v>
      </c>
      <c r="H156" t="s">
        <v>1030</v>
      </c>
      <c r="I156" s="5" t="s">
        <v>57</v>
      </c>
      <c r="J156">
        <v>2050</v>
      </c>
      <c r="K156" s="38" t="str">
        <f t="shared" si="19"/>
        <v>*0.92</v>
      </c>
      <c r="P156" s="32" t="s">
        <v>1030</v>
      </c>
      <c r="Q156" s="42" t="s">
        <v>57</v>
      </c>
      <c r="R156" s="32">
        <v>2035</v>
      </c>
      <c r="S156" s="43" t="str">
        <f t="shared" si="20"/>
        <v>*0.94</v>
      </c>
      <c r="U156" s="32" t="s">
        <v>1030</v>
      </c>
      <c r="V156" s="42" t="s">
        <v>57</v>
      </c>
      <c r="W156" s="32">
        <v>2050</v>
      </c>
      <c r="X156" s="43" t="str">
        <f t="shared" si="21"/>
        <v>*0.91</v>
      </c>
      <c r="AC156" s="33" t="s">
        <v>1030</v>
      </c>
      <c r="AD156" s="44" t="s">
        <v>57</v>
      </c>
      <c r="AE156" s="33">
        <v>2035</v>
      </c>
      <c r="AF156" s="45" t="str">
        <f t="shared" si="22"/>
        <v>*0.92</v>
      </c>
      <c r="AG156" s="43" t="str">
        <f t="shared" si="24"/>
        <v>REZoning_Sol-Win</v>
      </c>
      <c r="AI156" s="33" t="s">
        <v>1030</v>
      </c>
      <c r="AJ156" s="44" t="s">
        <v>57</v>
      </c>
      <c r="AK156" s="33">
        <v>2050</v>
      </c>
      <c r="AL156" s="45" t="str">
        <f t="shared" si="23"/>
        <v>*0.87</v>
      </c>
      <c r="AM156" s="43" t="str">
        <f t="shared" si="25"/>
        <v>REZoning_Sol-Win</v>
      </c>
      <c r="AP156" t="s">
        <v>1030</v>
      </c>
      <c r="AQ156" t="s">
        <v>57</v>
      </c>
      <c r="AR156">
        <v>2100</v>
      </c>
      <c r="AS156" t="s">
        <v>874</v>
      </c>
      <c r="AT156" t="s">
        <v>58</v>
      </c>
    </row>
    <row r="157" ht="29" spans="1:46">
      <c r="A157" s="31" t="s">
        <v>55</v>
      </c>
      <c r="C157" t="s">
        <v>1031</v>
      </c>
      <c r="D157" s="5" t="s">
        <v>57</v>
      </c>
      <c r="E157">
        <v>2035</v>
      </c>
      <c r="F157" s="6" t="str">
        <f t="shared" si="18"/>
        <v>*0.95</v>
      </c>
      <c r="H157" t="s">
        <v>1031</v>
      </c>
      <c r="I157" s="5" t="s">
        <v>57</v>
      </c>
      <c r="J157">
        <v>2050</v>
      </c>
      <c r="K157" s="38" t="str">
        <f t="shared" si="19"/>
        <v>*0.92</v>
      </c>
      <c r="P157" s="32" t="s">
        <v>1031</v>
      </c>
      <c r="Q157" s="42" t="s">
        <v>57</v>
      </c>
      <c r="R157" s="32">
        <v>2035</v>
      </c>
      <c r="S157" s="43" t="str">
        <f t="shared" si="20"/>
        <v>*0.94</v>
      </c>
      <c r="U157" s="32" t="s">
        <v>1031</v>
      </c>
      <c r="V157" s="42" t="s">
        <v>57</v>
      </c>
      <c r="W157" s="32">
        <v>2050</v>
      </c>
      <c r="X157" s="43" t="str">
        <f t="shared" si="21"/>
        <v>*0.91</v>
      </c>
      <c r="AC157" s="33" t="s">
        <v>1031</v>
      </c>
      <c r="AD157" s="44" t="s">
        <v>57</v>
      </c>
      <c r="AE157" s="33">
        <v>2035</v>
      </c>
      <c r="AF157" s="45" t="str">
        <f t="shared" si="22"/>
        <v>*0.92</v>
      </c>
      <c r="AG157" s="43" t="str">
        <f t="shared" si="24"/>
        <v>REZoning_Sol-Win</v>
      </c>
      <c r="AI157" s="33" t="s">
        <v>1031</v>
      </c>
      <c r="AJ157" s="44" t="s">
        <v>57</v>
      </c>
      <c r="AK157" s="33">
        <v>2050</v>
      </c>
      <c r="AL157" s="45" t="str">
        <f t="shared" si="23"/>
        <v>*0.87</v>
      </c>
      <c r="AM157" s="43" t="str">
        <f t="shared" si="25"/>
        <v>REZoning_Sol-Win</v>
      </c>
      <c r="AP157" t="s">
        <v>1031</v>
      </c>
      <c r="AQ157" t="s">
        <v>57</v>
      </c>
      <c r="AR157">
        <v>2100</v>
      </c>
      <c r="AS157" t="s">
        <v>874</v>
      </c>
      <c r="AT157" t="s">
        <v>58</v>
      </c>
    </row>
    <row r="158" ht="29" spans="1:46">
      <c r="A158" s="31" t="s">
        <v>55</v>
      </c>
      <c r="C158" t="s">
        <v>1032</v>
      </c>
      <c r="D158" s="5" t="s">
        <v>57</v>
      </c>
      <c r="E158">
        <v>2035</v>
      </c>
      <c r="F158" s="6" t="str">
        <f t="shared" si="18"/>
        <v>*0.95</v>
      </c>
      <c r="H158" t="s">
        <v>1032</v>
      </c>
      <c r="I158" s="5" t="s">
        <v>57</v>
      </c>
      <c r="J158">
        <v>2050</v>
      </c>
      <c r="K158" s="38" t="str">
        <f t="shared" si="19"/>
        <v>*0.92</v>
      </c>
      <c r="P158" s="32" t="s">
        <v>1032</v>
      </c>
      <c r="Q158" s="42" t="s">
        <v>57</v>
      </c>
      <c r="R158" s="32">
        <v>2035</v>
      </c>
      <c r="S158" s="43" t="str">
        <f t="shared" si="20"/>
        <v>*0.94</v>
      </c>
      <c r="U158" s="32" t="s">
        <v>1032</v>
      </c>
      <c r="V158" s="42" t="s">
        <v>57</v>
      </c>
      <c r="W158" s="32">
        <v>2050</v>
      </c>
      <c r="X158" s="43" t="str">
        <f t="shared" si="21"/>
        <v>*0.91</v>
      </c>
      <c r="AC158" s="33" t="s">
        <v>1032</v>
      </c>
      <c r="AD158" s="44" t="s">
        <v>57</v>
      </c>
      <c r="AE158" s="33">
        <v>2035</v>
      </c>
      <c r="AF158" s="45" t="str">
        <f t="shared" si="22"/>
        <v>*0.92</v>
      </c>
      <c r="AG158" s="43" t="str">
        <f t="shared" si="24"/>
        <v>REZoning_Sol-Win</v>
      </c>
      <c r="AI158" s="33" t="s">
        <v>1032</v>
      </c>
      <c r="AJ158" s="44" t="s">
        <v>57</v>
      </c>
      <c r="AK158" s="33">
        <v>2050</v>
      </c>
      <c r="AL158" s="45" t="str">
        <f t="shared" si="23"/>
        <v>*0.87</v>
      </c>
      <c r="AM158" s="43" t="str">
        <f t="shared" si="25"/>
        <v>REZoning_Sol-Win</v>
      </c>
      <c r="AP158" t="s">
        <v>1032</v>
      </c>
      <c r="AQ158" t="s">
        <v>57</v>
      </c>
      <c r="AR158">
        <v>2100</v>
      </c>
      <c r="AS158" t="s">
        <v>874</v>
      </c>
      <c r="AT158" t="s">
        <v>58</v>
      </c>
    </row>
    <row r="159" ht="29" spans="1:46">
      <c r="A159" s="31" t="s">
        <v>73</v>
      </c>
      <c r="C159" t="s">
        <v>1033</v>
      </c>
      <c r="D159" s="5" t="s">
        <v>57</v>
      </c>
      <c r="E159">
        <v>2035</v>
      </c>
      <c r="F159" s="6" t="str">
        <f t="shared" si="18"/>
        <v>*0.95</v>
      </c>
      <c r="H159" t="s">
        <v>1033</v>
      </c>
      <c r="I159" s="5" t="s">
        <v>57</v>
      </c>
      <c r="J159">
        <v>2050</v>
      </c>
      <c r="K159" s="38" t="str">
        <f t="shared" si="19"/>
        <v>*0.93</v>
      </c>
      <c r="P159" s="32" t="s">
        <v>1033</v>
      </c>
      <c r="Q159" s="42" t="s">
        <v>57</v>
      </c>
      <c r="R159" s="32">
        <v>2035</v>
      </c>
      <c r="S159" s="43" t="str">
        <f t="shared" si="20"/>
        <v>*0.95</v>
      </c>
      <c r="U159" s="32" t="s">
        <v>1033</v>
      </c>
      <c r="V159" s="42" t="s">
        <v>57</v>
      </c>
      <c r="W159" s="32">
        <v>2050</v>
      </c>
      <c r="X159" s="43" t="str">
        <f t="shared" si="21"/>
        <v>*0.93</v>
      </c>
      <c r="AC159" s="33" t="s">
        <v>1033</v>
      </c>
      <c r="AD159" s="44" t="s">
        <v>57</v>
      </c>
      <c r="AE159" s="33">
        <v>2035</v>
      </c>
      <c r="AF159" s="45" t="str">
        <f t="shared" si="22"/>
        <v>*0.93</v>
      </c>
      <c r="AG159" s="43" t="str">
        <f t="shared" si="24"/>
        <v>REZoning_Sol-Win</v>
      </c>
      <c r="AI159" s="33" t="s">
        <v>1033</v>
      </c>
      <c r="AJ159" s="44" t="s">
        <v>57</v>
      </c>
      <c r="AK159" s="33">
        <v>2050</v>
      </c>
      <c r="AL159" s="45" t="str">
        <f t="shared" si="23"/>
        <v>*0.9</v>
      </c>
      <c r="AM159" s="43" t="str">
        <f t="shared" si="25"/>
        <v>REZoning_Sol-Win</v>
      </c>
      <c r="AP159" t="s">
        <v>1033</v>
      </c>
      <c r="AQ159" t="s">
        <v>57</v>
      </c>
      <c r="AR159">
        <v>2100</v>
      </c>
      <c r="AS159" t="s">
        <v>897</v>
      </c>
      <c r="AT159" t="s">
        <v>58</v>
      </c>
    </row>
    <row r="160" ht="29" spans="1:46">
      <c r="A160" s="31" t="s">
        <v>73</v>
      </c>
      <c r="C160" t="s">
        <v>1034</v>
      </c>
      <c r="D160" s="5" t="s">
        <v>57</v>
      </c>
      <c r="E160">
        <v>2035</v>
      </c>
      <c r="F160" s="6" t="str">
        <f t="shared" si="18"/>
        <v>*0.95</v>
      </c>
      <c r="H160" t="s">
        <v>1034</v>
      </c>
      <c r="I160" s="5" t="s">
        <v>57</v>
      </c>
      <c r="J160">
        <v>2050</v>
      </c>
      <c r="K160" s="38" t="str">
        <f t="shared" si="19"/>
        <v>*0.93</v>
      </c>
      <c r="P160" s="32" t="s">
        <v>1034</v>
      </c>
      <c r="Q160" s="42" t="s">
        <v>57</v>
      </c>
      <c r="R160" s="32">
        <v>2035</v>
      </c>
      <c r="S160" s="43" t="str">
        <f t="shared" si="20"/>
        <v>*0.95</v>
      </c>
      <c r="U160" s="32" t="s">
        <v>1034</v>
      </c>
      <c r="V160" s="42" t="s">
        <v>57</v>
      </c>
      <c r="W160" s="32">
        <v>2050</v>
      </c>
      <c r="X160" s="43" t="str">
        <f t="shared" si="21"/>
        <v>*0.93</v>
      </c>
      <c r="AC160" s="33" t="s">
        <v>1034</v>
      </c>
      <c r="AD160" s="44" t="s">
        <v>57</v>
      </c>
      <c r="AE160" s="33">
        <v>2035</v>
      </c>
      <c r="AF160" s="45" t="str">
        <f t="shared" si="22"/>
        <v>*0.93</v>
      </c>
      <c r="AG160" s="43" t="str">
        <f t="shared" si="24"/>
        <v>REZoning_Sol-Win</v>
      </c>
      <c r="AI160" s="33" t="s">
        <v>1034</v>
      </c>
      <c r="AJ160" s="44" t="s">
        <v>57</v>
      </c>
      <c r="AK160" s="33">
        <v>2050</v>
      </c>
      <c r="AL160" s="45" t="str">
        <f t="shared" si="23"/>
        <v>*0.9</v>
      </c>
      <c r="AM160" s="43" t="str">
        <f t="shared" si="25"/>
        <v>REZoning_Sol-Win</v>
      </c>
      <c r="AP160" t="s">
        <v>1034</v>
      </c>
      <c r="AQ160" t="s">
        <v>57</v>
      </c>
      <c r="AR160">
        <v>2100</v>
      </c>
      <c r="AS160" t="s">
        <v>897</v>
      </c>
      <c r="AT160" t="s">
        <v>58</v>
      </c>
    </row>
    <row r="161" ht="29" spans="1:46">
      <c r="A161" s="31" t="s">
        <v>73</v>
      </c>
      <c r="C161" t="s">
        <v>1035</v>
      </c>
      <c r="D161" s="5" t="s">
        <v>57</v>
      </c>
      <c r="E161">
        <v>2035</v>
      </c>
      <c r="F161" s="6" t="str">
        <f t="shared" si="18"/>
        <v>*0.95</v>
      </c>
      <c r="H161" t="s">
        <v>1035</v>
      </c>
      <c r="I161" s="5" t="s">
        <v>57</v>
      </c>
      <c r="J161">
        <v>2050</v>
      </c>
      <c r="K161" s="38" t="str">
        <f t="shared" si="19"/>
        <v>*0.93</v>
      </c>
      <c r="P161" s="32" t="s">
        <v>1035</v>
      </c>
      <c r="Q161" s="42" t="s">
        <v>57</v>
      </c>
      <c r="R161" s="32">
        <v>2035</v>
      </c>
      <c r="S161" s="43" t="str">
        <f t="shared" si="20"/>
        <v>*0.95</v>
      </c>
      <c r="U161" s="32" t="s">
        <v>1035</v>
      </c>
      <c r="V161" s="42" t="s">
        <v>57</v>
      </c>
      <c r="W161" s="32">
        <v>2050</v>
      </c>
      <c r="X161" s="43" t="str">
        <f t="shared" si="21"/>
        <v>*0.93</v>
      </c>
      <c r="AC161" s="33" t="s">
        <v>1035</v>
      </c>
      <c r="AD161" s="44" t="s">
        <v>57</v>
      </c>
      <c r="AE161" s="33">
        <v>2035</v>
      </c>
      <c r="AF161" s="45" t="str">
        <f t="shared" si="22"/>
        <v>*0.93</v>
      </c>
      <c r="AG161" s="43" t="str">
        <f t="shared" si="24"/>
        <v>REZoning_Sol-Win</v>
      </c>
      <c r="AI161" s="33" t="s">
        <v>1035</v>
      </c>
      <c r="AJ161" s="44" t="s">
        <v>57</v>
      </c>
      <c r="AK161" s="33">
        <v>2050</v>
      </c>
      <c r="AL161" s="45" t="str">
        <f t="shared" si="23"/>
        <v>*0.9</v>
      </c>
      <c r="AM161" s="43" t="str">
        <f t="shared" si="25"/>
        <v>REZoning_Sol-Win</v>
      </c>
      <c r="AP161" t="s">
        <v>1035</v>
      </c>
      <c r="AQ161" t="s">
        <v>57</v>
      </c>
      <c r="AR161">
        <v>2100</v>
      </c>
      <c r="AS161" t="s">
        <v>897</v>
      </c>
      <c r="AT161" t="s">
        <v>58</v>
      </c>
    </row>
    <row r="162" ht="29" spans="1:46">
      <c r="A162" s="31" t="s">
        <v>73</v>
      </c>
      <c r="C162" t="s">
        <v>1036</v>
      </c>
      <c r="D162" s="5" t="s">
        <v>57</v>
      </c>
      <c r="E162">
        <v>2035</v>
      </c>
      <c r="F162" s="6" t="str">
        <f t="shared" si="18"/>
        <v>*0.95</v>
      </c>
      <c r="H162" t="s">
        <v>1036</v>
      </c>
      <c r="I162" s="5" t="s">
        <v>57</v>
      </c>
      <c r="J162">
        <v>2050</v>
      </c>
      <c r="K162" s="38" t="str">
        <f t="shared" si="19"/>
        <v>*0.93</v>
      </c>
      <c r="P162" s="32" t="s">
        <v>1036</v>
      </c>
      <c r="Q162" s="42" t="s">
        <v>57</v>
      </c>
      <c r="R162" s="32">
        <v>2035</v>
      </c>
      <c r="S162" s="43" t="str">
        <f t="shared" si="20"/>
        <v>*0.95</v>
      </c>
      <c r="U162" s="32" t="s">
        <v>1036</v>
      </c>
      <c r="V162" s="42" t="s">
        <v>57</v>
      </c>
      <c r="W162" s="32">
        <v>2050</v>
      </c>
      <c r="X162" s="43" t="str">
        <f t="shared" si="21"/>
        <v>*0.93</v>
      </c>
      <c r="AC162" s="33" t="s">
        <v>1036</v>
      </c>
      <c r="AD162" s="44" t="s">
        <v>57</v>
      </c>
      <c r="AE162" s="33">
        <v>2035</v>
      </c>
      <c r="AF162" s="45" t="str">
        <f t="shared" si="22"/>
        <v>*0.93</v>
      </c>
      <c r="AG162" s="43" t="str">
        <f t="shared" si="24"/>
        <v>REZoning_Sol-Win</v>
      </c>
      <c r="AI162" s="33" t="s">
        <v>1036</v>
      </c>
      <c r="AJ162" s="44" t="s">
        <v>57</v>
      </c>
      <c r="AK162" s="33">
        <v>2050</v>
      </c>
      <c r="AL162" s="45" t="str">
        <f t="shared" si="23"/>
        <v>*0.9</v>
      </c>
      <c r="AM162" s="43" t="str">
        <f t="shared" si="25"/>
        <v>REZoning_Sol-Win</v>
      </c>
      <c r="AP162" t="s">
        <v>1036</v>
      </c>
      <c r="AQ162" t="s">
        <v>57</v>
      </c>
      <c r="AR162">
        <v>2100</v>
      </c>
      <c r="AS162" t="s">
        <v>897</v>
      </c>
      <c r="AT162" t="s">
        <v>58</v>
      </c>
    </row>
    <row r="163" ht="29" spans="1:46">
      <c r="A163" s="31" t="s">
        <v>73</v>
      </c>
      <c r="C163" t="s">
        <v>1037</v>
      </c>
      <c r="D163" s="5" t="s">
        <v>57</v>
      </c>
      <c r="E163">
        <v>2035</v>
      </c>
      <c r="F163" s="6" t="str">
        <f t="shared" si="18"/>
        <v>*0.95</v>
      </c>
      <c r="H163" t="s">
        <v>1037</v>
      </c>
      <c r="I163" s="5" t="s">
        <v>57</v>
      </c>
      <c r="J163">
        <v>2050</v>
      </c>
      <c r="K163" s="38" t="str">
        <f t="shared" si="19"/>
        <v>*0.93</v>
      </c>
      <c r="P163" s="32" t="s">
        <v>1037</v>
      </c>
      <c r="Q163" s="42" t="s">
        <v>57</v>
      </c>
      <c r="R163" s="32">
        <v>2035</v>
      </c>
      <c r="S163" s="43" t="str">
        <f t="shared" si="20"/>
        <v>*0.95</v>
      </c>
      <c r="U163" s="32" t="s">
        <v>1037</v>
      </c>
      <c r="V163" s="42" t="s">
        <v>57</v>
      </c>
      <c r="W163" s="32">
        <v>2050</v>
      </c>
      <c r="X163" s="43" t="str">
        <f t="shared" si="21"/>
        <v>*0.93</v>
      </c>
      <c r="AC163" s="33" t="s">
        <v>1037</v>
      </c>
      <c r="AD163" s="44" t="s">
        <v>57</v>
      </c>
      <c r="AE163" s="33">
        <v>2035</v>
      </c>
      <c r="AF163" s="45" t="str">
        <f t="shared" si="22"/>
        <v>*0.93</v>
      </c>
      <c r="AG163" s="43" t="str">
        <f t="shared" si="24"/>
        <v>REZoning_Sol-Win</v>
      </c>
      <c r="AI163" s="33" t="s">
        <v>1037</v>
      </c>
      <c r="AJ163" s="44" t="s">
        <v>57</v>
      </c>
      <c r="AK163" s="33">
        <v>2050</v>
      </c>
      <c r="AL163" s="45" t="str">
        <f t="shared" si="23"/>
        <v>*0.9</v>
      </c>
      <c r="AM163" s="43" t="str">
        <f t="shared" si="25"/>
        <v>REZoning_Sol-Win</v>
      </c>
      <c r="AP163" t="s">
        <v>1037</v>
      </c>
      <c r="AQ163" t="s">
        <v>57</v>
      </c>
      <c r="AR163">
        <v>2100</v>
      </c>
      <c r="AS163" t="s">
        <v>897</v>
      </c>
      <c r="AT163" t="s">
        <v>58</v>
      </c>
    </row>
    <row r="164" ht="29" spans="1:46">
      <c r="A164" s="31" t="s">
        <v>73</v>
      </c>
      <c r="C164" t="s">
        <v>1038</v>
      </c>
      <c r="D164" s="5" t="s">
        <v>57</v>
      </c>
      <c r="E164">
        <v>2035</v>
      </c>
      <c r="F164" s="6" t="str">
        <f t="shared" si="18"/>
        <v>*0.95</v>
      </c>
      <c r="H164" t="s">
        <v>1038</v>
      </c>
      <c r="I164" s="5" t="s">
        <v>57</v>
      </c>
      <c r="J164">
        <v>2050</v>
      </c>
      <c r="K164" s="38" t="str">
        <f t="shared" si="19"/>
        <v>*0.93</v>
      </c>
      <c r="P164" s="32" t="s">
        <v>1038</v>
      </c>
      <c r="Q164" s="42" t="s">
        <v>57</v>
      </c>
      <c r="R164" s="32">
        <v>2035</v>
      </c>
      <c r="S164" s="43" t="str">
        <f t="shared" si="20"/>
        <v>*0.95</v>
      </c>
      <c r="U164" s="32" t="s">
        <v>1038</v>
      </c>
      <c r="V164" s="42" t="s">
        <v>57</v>
      </c>
      <c r="W164" s="32">
        <v>2050</v>
      </c>
      <c r="X164" s="43" t="str">
        <f t="shared" si="21"/>
        <v>*0.93</v>
      </c>
      <c r="AC164" s="33" t="s">
        <v>1038</v>
      </c>
      <c r="AD164" s="44" t="s">
        <v>57</v>
      </c>
      <c r="AE164" s="33">
        <v>2035</v>
      </c>
      <c r="AF164" s="45" t="str">
        <f t="shared" si="22"/>
        <v>*0.93</v>
      </c>
      <c r="AG164" s="43" t="str">
        <f t="shared" si="24"/>
        <v>REZoning_Sol-Win</v>
      </c>
      <c r="AI164" s="33" t="s">
        <v>1038</v>
      </c>
      <c r="AJ164" s="44" t="s">
        <v>57</v>
      </c>
      <c r="AK164" s="33">
        <v>2050</v>
      </c>
      <c r="AL164" s="45" t="str">
        <f t="shared" si="23"/>
        <v>*0.9</v>
      </c>
      <c r="AM164" s="43" t="str">
        <f t="shared" si="25"/>
        <v>REZoning_Sol-Win</v>
      </c>
      <c r="AP164" t="s">
        <v>1038</v>
      </c>
      <c r="AQ164" t="s">
        <v>57</v>
      </c>
      <c r="AR164">
        <v>2100</v>
      </c>
      <c r="AS164" t="s">
        <v>897</v>
      </c>
      <c r="AT164" t="s">
        <v>58</v>
      </c>
    </row>
    <row r="165" ht="29" spans="1:46">
      <c r="A165" s="31" t="s">
        <v>73</v>
      </c>
      <c r="C165" t="s">
        <v>1039</v>
      </c>
      <c r="D165" s="5" t="s">
        <v>57</v>
      </c>
      <c r="E165">
        <v>2035</v>
      </c>
      <c r="F165" s="6" t="str">
        <f t="shared" si="18"/>
        <v>*0.95</v>
      </c>
      <c r="H165" t="s">
        <v>1039</v>
      </c>
      <c r="I165" s="5" t="s">
        <v>57</v>
      </c>
      <c r="J165">
        <v>2050</v>
      </c>
      <c r="K165" s="38" t="str">
        <f t="shared" si="19"/>
        <v>*0.93</v>
      </c>
      <c r="P165" s="32" t="s">
        <v>1039</v>
      </c>
      <c r="Q165" s="42" t="s">
        <v>57</v>
      </c>
      <c r="R165" s="32">
        <v>2035</v>
      </c>
      <c r="S165" s="43" t="str">
        <f t="shared" si="20"/>
        <v>*0.95</v>
      </c>
      <c r="U165" s="32" t="s">
        <v>1039</v>
      </c>
      <c r="V165" s="42" t="s">
        <v>57</v>
      </c>
      <c r="W165" s="32">
        <v>2050</v>
      </c>
      <c r="X165" s="43" t="str">
        <f t="shared" si="21"/>
        <v>*0.93</v>
      </c>
      <c r="AC165" s="33" t="s">
        <v>1039</v>
      </c>
      <c r="AD165" s="44" t="s">
        <v>57</v>
      </c>
      <c r="AE165" s="33">
        <v>2035</v>
      </c>
      <c r="AF165" s="45" t="str">
        <f t="shared" si="22"/>
        <v>*0.93</v>
      </c>
      <c r="AG165" s="43" t="str">
        <f t="shared" si="24"/>
        <v>REZoning_Sol-Win</v>
      </c>
      <c r="AI165" s="33" t="s">
        <v>1039</v>
      </c>
      <c r="AJ165" s="44" t="s">
        <v>57</v>
      </c>
      <c r="AK165" s="33">
        <v>2050</v>
      </c>
      <c r="AL165" s="45" t="str">
        <f t="shared" si="23"/>
        <v>*0.9</v>
      </c>
      <c r="AM165" s="43" t="str">
        <f t="shared" si="25"/>
        <v>REZoning_Sol-Win</v>
      </c>
      <c r="AP165" t="s">
        <v>1039</v>
      </c>
      <c r="AQ165" t="s">
        <v>57</v>
      </c>
      <c r="AR165">
        <v>2100</v>
      </c>
      <c r="AS165" t="s">
        <v>897</v>
      </c>
      <c r="AT165" t="s">
        <v>58</v>
      </c>
    </row>
    <row r="166" ht="29" spans="1:46">
      <c r="A166" s="31" t="s">
        <v>73</v>
      </c>
      <c r="C166" t="s">
        <v>1040</v>
      </c>
      <c r="D166" s="5" t="s">
        <v>57</v>
      </c>
      <c r="E166">
        <v>2035</v>
      </c>
      <c r="F166" s="6" t="str">
        <f t="shared" si="18"/>
        <v>*0.95</v>
      </c>
      <c r="H166" t="s">
        <v>1040</v>
      </c>
      <c r="I166" s="5" t="s">
        <v>57</v>
      </c>
      <c r="J166">
        <v>2050</v>
      </c>
      <c r="K166" s="38" t="str">
        <f t="shared" si="19"/>
        <v>*0.93</v>
      </c>
      <c r="P166" s="32" t="s">
        <v>1040</v>
      </c>
      <c r="Q166" s="42" t="s">
        <v>57</v>
      </c>
      <c r="R166" s="32">
        <v>2035</v>
      </c>
      <c r="S166" s="43" t="str">
        <f t="shared" si="20"/>
        <v>*0.95</v>
      </c>
      <c r="U166" s="32" t="s">
        <v>1040</v>
      </c>
      <c r="V166" s="42" t="s">
        <v>57</v>
      </c>
      <c r="W166" s="32">
        <v>2050</v>
      </c>
      <c r="X166" s="43" t="str">
        <f t="shared" si="21"/>
        <v>*0.93</v>
      </c>
      <c r="AC166" s="33" t="s">
        <v>1040</v>
      </c>
      <c r="AD166" s="44" t="s">
        <v>57</v>
      </c>
      <c r="AE166" s="33">
        <v>2035</v>
      </c>
      <c r="AF166" s="45" t="str">
        <f t="shared" si="22"/>
        <v>*0.93</v>
      </c>
      <c r="AG166" s="43" t="str">
        <f t="shared" si="24"/>
        <v>REZoning_Sol-Win</v>
      </c>
      <c r="AI166" s="33" t="s">
        <v>1040</v>
      </c>
      <c r="AJ166" s="44" t="s">
        <v>57</v>
      </c>
      <c r="AK166" s="33">
        <v>2050</v>
      </c>
      <c r="AL166" s="45" t="str">
        <f t="shared" si="23"/>
        <v>*0.9</v>
      </c>
      <c r="AM166" s="43" t="str">
        <f t="shared" si="25"/>
        <v>REZoning_Sol-Win</v>
      </c>
      <c r="AP166" t="s">
        <v>1040</v>
      </c>
      <c r="AQ166" t="s">
        <v>57</v>
      </c>
      <c r="AR166">
        <v>2100</v>
      </c>
      <c r="AS166" t="s">
        <v>897</v>
      </c>
      <c r="AT166" t="s">
        <v>58</v>
      </c>
    </row>
    <row r="167" ht="29" spans="1:46">
      <c r="A167" s="31" t="s">
        <v>73</v>
      </c>
      <c r="C167" t="s">
        <v>1041</v>
      </c>
      <c r="D167" s="5" t="s">
        <v>57</v>
      </c>
      <c r="E167">
        <v>2035</v>
      </c>
      <c r="F167" s="6" t="str">
        <f t="shared" si="18"/>
        <v>*0.95</v>
      </c>
      <c r="H167" t="s">
        <v>1041</v>
      </c>
      <c r="I167" s="5" t="s">
        <v>57</v>
      </c>
      <c r="J167">
        <v>2050</v>
      </c>
      <c r="K167" s="38" t="str">
        <f t="shared" si="19"/>
        <v>*0.93</v>
      </c>
      <c r="P167" s="32" t="s">
        <v>1041</v>
      </c>
      <c r="Q167" s="42" t="s">
        <v>57</v>
      </c>
      <c r="R167" s="32">
        <v>2035</v>
      </c>
      <c r="S167" s="43" t="str">
        <f t="shared" si="20"/>
        <v>*0.95</v>
      </c>
      <c r="U167" s="32" t="s">
        <v>1041</v>
      </c>
      <c r="V167" s="42" t="s">
        <v>57</v>
      </c>
      <c r="W167" s="32">
        <v>2050</v>
      </c>
      <c r="X167" s="43" t="str">
        <f t="shared" si="21"/>
        <v>*0.93</v>
      </c>
      <c r="AC167" s="33" t="s">
        <v>1041</v>
      </c>
      <c r="AD167" s="44" t="s">
        <v>57</v>
      </c>
      <c r="AE167" s="33">
        <v>2035</v>
      </c>
      <c r="AF167" s="45" t="str">
        <f t="shared" si="22"/>
        <v>*0.93</v>
      </c>
      <c r="AG167" s="43" t="str">
        <f t="shared" si="24"/>
        <v>REZoning_Sol-Win</v>
      </c>
      <c r="AI167" s="33" t="s">
        <v>1041</v>
      </c>
      <c r="AJ167" s="44" t="s">
        <v>57</v>
      </c>
      <c r="AK167" s="33">
        <v>2050</v>
      </c>
      <c r="AL167" s="45" t="str">
        <f t="shared" si="23"/>
        <v>*0.9</v>
      </c>
      <c r="AM167" s="43" t="str">
        <f t="shared" si="25"/>
        <v>REZoning_Sol-Win</v>
      </c>
      <c r="AP167" t="s">
        <v>1041</v>
      </c>
      <c r="AQ167" t="s">
        <v>57</v>
      </c>
      <c r="AR167">
        <v>2100</v>
      </c>
      <c r="AS167" t="s">
        <v>897</v>
      </c>
      <c r="AT167" t="s">
        <v>58</v>
      </c>
    </row>
    <row r="168" ht="29" spans="1:46">
      <c r="A168" s="31" t="s">
        <v>73</v>
      </c>
      <c r="C168" t="s">
        <v>1042</v>
      </c>
      <c r="D168" s="5" t="s">
        <v>57</v>
      </c>
      <c r="E168">
        <v>2035</v>
      </c>
      <c r="F168" s="6" t="str">
        <f t="shared" si="18"/>
        <v>*0.95</v>
      </c>
      <c r="H168" t="s">
        <v>1042</v>
      </c>
      <c r="I168" s="5" t="s">
        <v>57</v>
      </c>
      <c r="J168">
        <v>2050</v>
      </c>
      <c r="K168" s="38" t="str">
        <f t="shared" si="19"/>
        <v>*0.93</v>
      </c>
      <c r="P168" s="32" t="s">
        <v>1042</v>
      </c>
      <c r="Q168" s="42" t="s">
        <v>57</v>
      </c>
      <c r="R168" s="32">
        <v>2035</v>
      </c>
      <c r="S168" s="43" t="str">
        <f t="shared" si="20"/>
        <v>*0.95</v>
      </c>
      <c r="U168" s="32" t="s">
        <v>1042</v>
      </c>
      <c r="V168" s="42" t="s">
        <v>57</v>
      </c>
      <c r="W168" s="32">
        <v>2050</v>
      </c>
      <c r="X168" s="43" t="str">
        <f t="shared" si="21"/>
        <v>*0.93</v>
      </c>
      <c r="AC168" s="33" t="s">
        <v>1042</v>
      </c>
      <c r="AD168" s="44" t="s">
        <v>57</v>
      </c>
      <c r="AE168" s="33">
        <v>2035</v>
      </c>
      <c r="AF168" s="45" t="str">
        <f t="shared" si="22"/>
        <v>*0.93</v>
      </c>
      <c r="AG168" s="43" t="str">
        <f t="shared" si="24"/>
        <v>REZoning_Sol-Win</v>
      </c>
      <c r="AI168" s="33" t="s">
        <v>1042</v>
      </c>
      <c r="AJ168" s="44" t="s">
        <v>57</v>
      </c>
      <c r="AK168" s="33">
        <v>2050</v>
      </c>
      <c r="AL168" s="45" t="str">
        <f t="shared" si="23"/>
        <v>*0.9</v>
      </c>
      <c r="AM168" s="43" t="str">
        <f t="shared" si="25"/>
        <v>REZoning_Sol-Win</v>
      </c>
      <c r="AP168" t="s">
        <v>1042</v>
      </c>
      <c r="AQ168" t="s">
        <v>57</v>
      </c>
      <c r="AR168">
        <v>2100</v>
      </c>
      <c r="AS168" t="s">
        <v>897</v>
      </c>
      <c r="AT168" t="s">
        <v>58</v>
      </c>
    </row>
    <row r="169" ht="29" spans="1:46">
      <c r="A169" s="31" t="s">
        <v>73</v>
      </c>
      <c r="C169" t="s">
        <v>1043</v>
      </c>
      <c r="D169" s="5" t="s">
        <v>57</v>
      </c>
      <c r="E169">
        <v>2035</v>
      </c>
      <c r="F169" s="6" t="str">
        <f t="shared" si="18"/>
        <v>*0.95</v>
      </c>
      <c r="H169" t="s">
        <v>1043</v>
      </c>
      <c r="I169" s="5" t="s">
        <v>57</v>
      </c>
      <c r="J169">
        <v>2050</v>
      </c>
      <c r="K169" s="38" t="str">
        <f t="shared" si="19"/>
        <v>*0.93</v>
      </c>
      <c r="P169" s="32" t="s">
        <v>1043</v>
      </c>
      <c r="Q169" s="42" t="s">
        <v>57</v>
      </c>
      <c r="R169" s="32">
        <v>2035</v>
      </c>
      <c r="S169" s="43" t="str">
        <f t="shared" si="20"/>
        <v>*0.95</v>
      </c>
      <c r="U169" s="32" t="s">
        <v>1043</v>
      </c>
      <c r="V169" s="42" t="s">
        <v>57</v>
      </c>
      <c r="W169" s="32">
        <v>2050</v>
      </c>
      <c r="X169" s="43" t="str">
        <f t="shared" si="21"/>
        <v>*0.93</v>
      </c>
      <c r="AC169" s="33" t="s">
        <v>1043</v>
      </c>
      <c r="AD169" s="44" t="s">
        <v>57</v>
      </c>
      <c r="AE169" s="33">
        <v>2035</v>
      </c>
      <c r="AF169" s="45" t="str">
        <f t="shared" si="22"/>
        <v>*0.93</v>
      </c>
      <c r="AG169" s="43" t="str">
        <f t="shared" si="24"/>
        <v>REZoning_Sol-Win</v>
      </c>
      <c r="AI169" s="33" t="s">
        <v>1043</v>
      </c>
      <c r="AJ169" s="44" t="s">
        <v>57</v>
      </c>
      <c r="AK169" s="33">
        <v>2050</v>
      </c>
      <c r="AL169" s="45" t="str">
        <f t="shared" si="23"/>
        <v>*0.9</v>
      </c>
      <c r="AM169" s="43" t="str">
        <f t="shared" si="25"/>
        <v>REZoning_Sol-Win</v>
      </c>
      <c r="AP169" t="s">
        <v>1043</v>
      </c>
      <c r="AQ169" t="s">
        <v>57</v>
      </c>
      <c r="AR169">
        <v>2100</v>
      </c>
      <c r="AS169" t="s">
        <v>897</v>
      </c>
      <c r="AT169" t="s">
        <v>58</v>
      </c>
    </row>
    <row r="170" ht="29" spans="1:46">
      <c r="A170" s="31" t="s">
        <v>73</v>
      </c>
      <c r="C170" t="s">
        <v>1044</v>
      </c>
      <c r="D170" s="5" t="s">
        <v>57</v>
      </c>
      <c r="E170">
        <v>2035</v>
      </c>
      <c r="F170" s="6" t="str">
        <f t="shared" si="18"/>
        <v>*0.95</v>
      </c>
      <c r="H170" t="s">
        <v>1044</v>
      </c>
      <c r="I170" s="5" t="s">
        <v>57</v>
      </c>
      <c r="J170">
        <v>2050</v>
      </c>
      <c r="K170" s="38" t="str">
        <f t="shared" si="19"/>
        <v>*0.93</v>
      </c>
      <c r="P170" s="32" t="s">
        <v>1044</v>
      </c>
      <c r="Q170" s="42" t="s">
        <v>57</v>
      </c>
      <c r="R170" s="32">
        <v>2035</v>
      </c>
      <c r="S170" s="43" t="str">
        <f t="shared" si="20"/>
        <v>*0.95</v>
      </c>
      <c r="U170" s="32" t="s">
        <v>1044</v>
      </c>
      <c r="V170" s="42" t="s">
        <v>57</v>
      </c>
      <c r="W170" s="32">
        <v>2050</v>
      </c>
      <c r="X170" s="43" t="str">
        <f t="shared" si="21"/>
        <v>*0.93</v>
      </c>
      <c r="AC170" s="33" t="s">
        <v>1044</v>
      </c>
      <c r="AD170" s="44" t="s">
        <v>57</v>
      </c>
      <c r="AE170" s="33">
        <v>2035</v>
      </c>
      <c r="AF170" s="45" t="str">
        <f t="shared" si="22"/>
        <v>*0.93</v>
      </c>
      <c r="AG170" s="43" t="str">
        <f t="shared" si="24"/>
        <v>REZoning_Sol-Win</v>
      </c>
      <c r="AI170" s="33" t="s">
        <v>1044</v>
      </c>
      <c r="AJ170" s="44" t="s">
        <v>57</v>
      </c>
      <c r="AK170" s="33">
        <v>2050</v>
      </c>
      <c r="AL170" s="45" t="str">
        <f t="shared" si="23"/>
        <v>*0.9</v>
      </c>
      <c r="AM170" s="43" t="str">
        <f t="shared" si="25"/>
        <v>REZoning_Sol-Win</v>
      </c>
      <c r="AP170" t="s">
        <v>1044</v>
      </c>
      <c r="AQ170" t="s">
        <v>57</v>
      </c>
      <c r="AR170">
        <v>2100</v>
      </c>
      <c r="AS170" t="s">
        <v>897</v>
      </c>
      <c r="AT170" t="s">
        <v>58</v>
      </c>
    </row>
    <row r="171" ht="29" spans="1:46">
      <c r="A171" s="31" t="s">
        <v>73</v>
      </c>
      <c r="C171" t="s">
        <v>1045</v>
      </c>
      <c r="D171" s="5" t="s">
        <v>57</v>
      </c>
      <c r="E171">
        <v>2035</v>
      </c>
      <c r="F171" s="6" t="str">
        <f t="shared" si="18"/>
        <v>*0.95</v>
      </c>
      <c r="H171" t="s">
        <v>1045</v>
      </c>
      <c r="I171" s="5" t="s">
        <v>57</v>
      </c>
      <c r="J171">
        <v>2050</v>
      </c>
      <c r="K171" s="38" t="str">
        <f t="shared" si="19"/>
        <v>*0.93</v>
      </c>
      <c r="P171" s="32" t="s">
        <v>1045</v>
      </c>
      <c r="Q171" s="42" t="s">
        <v>57</v>
      </c>
      <c r="R171" s="32">
        <v>2035</v>
      </c>
      <c r="S171" s="43" t="str">
        <f t="shared" si="20"/>
        <v>*0.95</v>
      </c>
      <c r="U171" s="32" t="s">
        <v>1045</v>
      </c>
      <c r="V171" s="42" t="s">
        <v>57</v>
      </c>
      <c r="W171" s="32">
        <v>2050</v>
      </c>
      <c r="X171" s="43" t="str">
        <f t="shared" si="21"/>
        <v>*0.93</v>
      </c>
      <c r="AC171" s="33" t="s">
        <v>1045</v>
      </c>
      <c r="AD171" s="44" t="s">
        <v>57</v>
      </c>
      <c r="AE171" s="33">
        <v>2035</v>
      </c>
      <c r="AF171" s="45" t="str">
        <f t="shared" si="22"/>
        <v>*0.93</v>
      </c>
      <c r="AG171" s="43" t="str">
        <f t="shared" si="24"/>
        <v>REZoning_Sol-Win</v>
      </c>
      <c r="AI171" s="33" t="s">
        <v>1045</v>
      </c>
      <c r="AJ171" s="44" t="s">
        <v>57</v>
      </c>
      <c r="AK171" s="33">
        <v>2050</v>
      </c>
      <c r="AL171" s="45" t="str">
        <f t="shared" si="23"/>
        <v>*0.9</v>
      </c>
      <c r="AM171" s="43" t="str">
        <f t="shared" si="25"/>
        <v>REZoning_Sol-Win</v>
      </c>
      <c r="AP171" t="s">
        <v>1045</v>
      </c>
      <c r="AQ171" t="s">
        <v>57</v>
      </c>
      <c r="AR171">
        <v>2100</v>
      </c>
      <c r="AS171" t="s">
        <v>897</v>
      </c>
      <c r="AT171" t="s">
        <v>58</v>
      </c>
    </row>
    <row r="172" ht="29" spans="1:46">
      <c r="A172" s="31" t="s">
        <v>73</v>
      </c>
      <c r="C172" t="s">
        <v>1046</v>
      </c>
      <c r="D172" s="5" t="s">
        <v>57</v>
      </c>
      <c r="E172">
        <v>2035</v>
      </c>
      <c r="F172" s="6" t="str">
        <f t="shared" si="18"/>
        <v>*0.95</v>
      </c>
      <c r="H172" t="s">
        <v>1046</v>
      </c>
      <c r="I172" s="5" t="s">
        <v>57</v>
      </c>
      <c r="J172">
        <v>2050</v>
      </c>
      <c r="K172" s="38" t="str">
        <f t="shared" si="19"/>
        <v>*0.93</v>
      </c>
      <c r="P172" s="32" t="s">
        <v>1046</v>
      </c>
      <c r="Q172" s="42" t="s">
        <v>57</v>
      </c>
      <c r="R172" s="32">
        <v>2035</v>
      </c>
      <c r="S172" s="43" t="str">
        <f t="shared" si="20"/>
        <v>*0.95</v>
      </c>
      <c r="U172" s="32" t="s">
        <v>1046</v>
      </c>
      <c r="V172" s="42" t="s">
        <v>57</v>
      </c>
      <c r="W172" s="32">
        <v>2050</v>
      </c>
      <c r="X172" s="43" t="str">
        <f t="shared" si="21"/>
        <v>*0.93</v>
      </c>
      <c r="AC172" s="33" t="s">
        <v>1046</v>
      </c>
      <c r="AD172" s="44" t="s">
        <v>57</v>
      </c>
      <c r="AE172" s="33">
        <v>2035</v>
      </c>
      <c r="AF172" s="45" t="str">
        <f t="shared" si="22"/>
        <v>*0.93</v>
      </c>
      <c r="AG172" s="43" t="str">
        <f t="shared" si="24"/>
        <v>REZoning_Sol-Win</v>
      </c>
      <c r="AI172" s="33" t="s">
        <v>1046</v>
      </c>
      <c r="AJ172" s="44" t="s">
        <v>57</v>
      </c>
      <c r="AK172" s="33">
        <v>2050</v>
      </c>
      <c r="AL172" s="45" t="str">
        <f t="shared" si="23"/>
        <v>*0.9</v>
      </c>
      <c r="AM172" s="43" t="str">
        <f t="shared" si="25"/>
        <v>REZoning_Sol-Win</v>
      </c>
      <c r="AP172" t="s">
        <v>1046</v>
      </c>
      <c r="AQ172" t="s">
        <v>57</v>
      </c>
      <c r="AR172">
        <v>2100</v>
      </c>
      <c r="AS172" t="s">
        <v>897</v>
      </c>
      <c r="AT172" t="s">
        <v>58</v>
      </c>
    </row>
    <row r="173" ht="29" spans="1:46">
      <c r="A173" s="31" t="s">
        <v>73</v>
      </c>
      <c r="C173" t="s">
        <v>1047</v>
      </c>
      <c r="D173" s="5" t="s">
        <v>57</v>
      </c>
      <c r="E173">
        <v>2035</v>
      </c>
      <c r="F173" s="6" t="str">
        <f t="shared" si="18"/>
        <v>*0.95</v>
      </c>
      <c r="H173" t="s">
        <v>1047</v>
      </c>
      <c r="I173" s="5" t="s">
        <v>57</v>
      </c>
      <c r="J173">
        <v>2050</v>
      </c>
      <c r="K173" s="38" t="str">
        <f t="shared" si="19"/>
        <v>*0.93</v>
      </c>
      <c r="P173" s="32" t="s">
        <v>1047</v>
      </c>
      <c r="Q173" s="42" t="s">
        <v>57</v>
      </c>
      <c r="R173" s="32">
        <v>2035</v>
      </c>
      <c r="S173" s="43" t="str">
        <f t="shared" si="20"/>
        <v>*0.95</v>
      </c>
      <c r="U173" s="32" t="s">
        <v>1047</v>
      </c>
      <c r="V173" s="42" t="s">
        <v>57</v>
      </c>
      <c r="W173" s="32">
        <v>2050</v>
      </c>
      <c r="X173" s="43" t="str">
        <f t="shared" si="21"/>
        <v>*0.93</v>
      </c>
      <c r="AC173" s="33" t="s">
        <v>1047</v>
      </c>
      <c r="AD173" s="44" t="s">
        <v>57</v>
      </c>
      <c r="AE173" s="33">
        <v>2035</v>
      </c>
      <c r="AF173" s="45" t="str">
        <f t="shared" si="22"/>
        <v>*0.93</v>
      </c>
      <c r="AG173" s="43" t="str">
        <f t="shared" si="24"/>
        <v>REZoning_Sol-Win</v>
      </c>
      <c r="AI173" s="33" t="s">
        <v>1047</v>
      </c>
      <c r="AJ173" s="44" t="s">
        <v>57</v>
      </c>
      <c r="AK173" s="33">
        <v>2050</v>
      </c>
      <c r="AL173" s="45" t="str">
        <f t="shared" si="23"/>
        <v>*0.9</v>
      </c>
      <c r="AM173" s="43" t="str">
        <f t="shared" si="25"/>
        <v>REZoning_Sol-Win</v>
      </c>
      <c r="AP173" t="s">
        <v>1047</v>
      </c>
      <c r="AQ173" t="s">
        <v>57</v>
      </c>
      <c r="AR173">
        <v>2100</v>
      </c>
      <c r="AS173" t="s">
        <v>897</v>
      </c>
      <c r="AT173" t="s">
        <v>58</v>
      </c>
    </row>
    <row r="174" ht="29" spans="1:46">
      <c r="A174" s="31" t="s">
        <v>79</v>
      </c>
      <c r="C174" t="s">
        <v>1048</v>
      </c>
      <c r="D174" s="5" t="s">
        <v>57</v>
      </c>
      <c r="E174">
        <v>2035</v>
      </c>
      <c r="F174" s="6" t="str">
        <f t="shared" si="18"/>
        <v>*0.94</v>
      </c>
      <c r="H174" t="s">
        <v>1048</v>
      </c>
      <c r="I174" s="5" t="s">
        <v>57</v>
      </c>
      <c r="J174">
        <v>2050</v>
      </c>
      <c r="K174" s="38" t="str">
        <f t="shared" si="19"/>
        <v>*0.9</v>
      </c>
      <c r="P174" s="32" t="s">
        <v>1048</v>
      </c>
      <c r="Q174" s="42" t="s">
        <v>57</v>
      </c>
      <c r="R174" s="32">
        <v>2035</v>
      </c>
      <c r="S174" s="43" t="str">
        <f t="shared" si="20"/>
        <v>*0.92</v>
      </c>
      <c r="U174" s="32" t="s">
        <v>1048</v>
      </c>
      <c r="V174" s="42" t="s">
        <v>57</v>
      </c>
      <c r="W174" s="32">
        <v>2050</v>
      </c>
      <c r="X174" s="43" t="str">
        <f t="shared" si="21"/>
        <v>*0.89</v>
      </c>
      <c r="AC174" s="33" t="s">
        <v>1048</v>
      </c>
      <c r="AD174" s="44" t="s">
        <v>57</v>
      </c>
      <c r="AE174" s="33">
        <v>2035</v>
      </c>
      <c r="AF174" s="45" t="str">
        <f t="shared" si="22"/>
        <v>*0.89</v>
      </c>
      <c r="AG174" s="43" t="str">
        <f t="shared" si="24"/>
        <v>REZoning_Sol-Win</v>
      </c>
      <c r="AI174" s="33" t="s">
        <v>1048</v>
      </c>
      <c r="AJ174" s="44" t="s">
        <v>57</v>
      </c>
      <c r="AK174" s="33">
        <v>2050</v>
      </c>
      <c r="AL174" s="45" t="str">
        <f t="shared" si="23"/>
        <v>*0.84</v>
      </c>
      <c r="AM174" s="43" t="str">
        <f t="shared" si="25"/>
        <v>REZoning_Sol-Win</v>
      </c>
      <c r="AP174" t="s">
        <v>1048</v>
      </c>
      <c r="AQ174" t="s">
        <v>57</v>
      </c>
      <c r="AR174">
        <v>2100</v>
      </c>
      <c r="AS174" t="s">
        <v>919</v>
      </c>
      <c r="AT174" t="s">
        <v>58</v>
      </c>
    </row>
    <row r="175" ht="29" spans="1:46">
      <c r="A175" s="31" t="s">
        <v>98</v>
      </c>
      <c r="C175" t="s">
        <v>1049</v>
      </c>
      <c r="D175" s="5" t="s">
        <v>57</v>
      </c>
      <c r="E175">
        <v>2035</v>
      </c>
      <c r="F175" s="6" t="str">
        <f t="shared" si="18"/>
        <v>*0.96</v>
      </c>
      <c r="H175" t="s">
        <v>1049</v>
      </c>
      <c r="I175" s="5" t="s">
        <v>57</v>
      </c>
      <c r="J175">
        <v>2050</v>
      </c>
      <c r="K175" s="38" t="str">
        <f t="shared" si="19"/>
        <v>*0.94</v>
      </c>
      <c r="P175" s="32" t="s">
        <v>1049</v>
      </c>
      <c r="Q175" s="42" t="s">
        <v>57</v>
      </c>
      <c r="R175" s="32">
        <v>2035</v>
      </c>
      <c r="S175" s="43" t="str">
        <f t="shared" si="20"/>
        <v>*0.96</v>
      </c>
      <c r="U175" s="32" t="s">
        <v>1049</v>
      </c>
      <c r="V175" s="42" t="s">
        <v>57</v>
      </c>
      <c r="W175" s="32">
        <v>2050</v>
      </c>
      <c r="X175" s="43" t="str">
        <f t="shared" si="21"/>
        <v>*0.93</v>
      </c>
      <c r="AC175" s="33" t="s">
        <v>1049</v>
      </c>
      <c r="AD175" s="44" t="s">
        <v>57</v>
      </c>
      <c r="AE175" s="33">
        <v>2035</v>
      </c>
      <c r="AF175" s="45" t="str">
        <f t="shared" si="22"/>
        <v>*0.92</v>
      </c>
      <c r="AG175" s="43" t="str">
        <f t="shared" si="24"/>
        <v>REZoning_Sol-Win</v>
      </c>
      <c r="AI175" s="33" t="s">
        <v>1049</v>
      </c>
      <c r="AJ175" s="44" t="s">
        <v>57</v>
      </c>
      <c r="AK175" s="33">
        <v>2050</v>
      </c>
      <c r="AL175" s="45" t="str">
        <f t="shared" si="23"/>
        <v>*0.89</v>
      </c>
      <c r="AM175" s="43" t="str">
        <f t="shared" si="25"/>
        <v>REZoning_Sol-Win</v>
      </c>
      <c r="AP175" t="s">
        <v>1049</v>
      </c>
      <c r="AQ175" t="s">
        <v>57</v>
      </c>
      <c r="AR175">
        <v>2100</v>
      </c>
      <c r="AS175" t="s">
        <v>937</v>
      </c>
      <c r="AT175" t="s">
        <v>58</v>
      </c>
    </row>
    <row r="176" ht="29" spans="1:46">
      <c r="A176" s="31" t="s">
        <v>98</v>
      </c>
      <c r="C176" t="s">
        <v>1050</v>
      </c>
      <c r="D176" s="5" t="s">
        <v>57</v>
      </c>
      <c r="E176">
        <v>2035</v>
      </c>
      <c r="F176" s="6" t="str">
        <f t="shared" si="18"/>
        <v>*0.96</v>
      </c>
      <c r="H176" t="s">
        <v>1050</v>
      </c>
      <c r="I176" s="5" t="s">
        <v>57</v>
      </c>
      <c r="J176">
        <v>2050</v>
      </c>
      <c r="K176" s="38" t="str">
        <f t="shared" si="19"/>
        <v>*0.94</v>
      </c>
      <c r="P176" s="32" t="s">
        <v>1050</v>
      </c>
      <c r="Q176" s="42" t="s">
        <v>57</v>
      </c>
      <c r="R176" s="32">
        <v>2035</v>
      </c>
      <c r="S176" s="43" t="str">
        <f t="shared" si="20"/>
        <v>*0.96</v>
      </c>
      <c r="U176" s="32" t="s">
        <v>1050</v>
      </c>
      <c r="V176" s="42" t="s">
        <v>57</v>
      </c>
      <c r="W176" s="32">
        <v>2050</v>
      </c>
      <c r="X176" s="43" t="str">
        <f t="shared" si="21"/>
        <v>*0.93</v>
      </c>
      <c r="AC176" s="33" t="s">
        <v>1050</v>
      </c>
      <c r="AD176" s="44" t="s">
        <v>57</v>
      </c>
      <c r="AE176" s="33">
        <v>2035</v>
      </c>
      <c r="AF176" s="45" t="str">
        <f t="shared" si="22"/>
        <v>*0.92</v>
      </c>
      <c r="AG176" s="43" t="str">
        <f t="shared" si="24"/>
        <v>REZoning_Sol-Win</v>
      </c>
      <c r="AI176" s="33" t="s">
        <v>1050</v>
      </c>
      <c r="AJ176" s="44" t="s">
        <v>57</v>
      </c>
      <c r="AK176" s="33">
        <v>2050</v>
      </c>
      <c r="AL176" s="45" t="str">
        <f t="shared" si="23"/>
        <v>*0.89</v>
      </c>
      <c r="AM176" s="43" t="str">
        <f t="shared" si="25"/>
        <v>REZoning_Sol-Win</v>
      </c>
      <c r="AP176" t="s">
        <v>1050</v>
      </c>
      <c r="AQ176" t="s">
        <v>57</v>
      </c>
      <c r="AR176">
        <v>2100</v>
      </c>
      <c r="AS176" t="s">
        <v>937</v>
      </c>
      <c r="AT176" t="s">
        <v>58</v>
      </c>
    </row>
    <row r="177" ht="29" spans="1:46">
      <c r="A177" s="31" t="s">
        <v>98</v>
      </c>
      <c r="C177" t="s">
        <v>1051</v>
      </c>
      <c r="D177" s="5" t="s">
        <v>57</v>
      </c>
      <c r="E177">
        <v>2035</v>
      </c>
      <c r="F177" s="6" t="str">
        <f t="shared" si="18"/>
        <v>*0.96</v>
      </c>
      <c r="H177" t="s">
        <v>1051</v>
      </c>
      <c r="I177" s="5" t="s">
        <v>57</v>
      </c>
      <c r="J177">
        <v>2050</v>
      </c>
      <c r="K177" s="38" t="str">
        <f t="shared" si="19"/>
        <v>*0.94</v>
      </c>
      <c r="P177" s="32" t="s">
        <v>1051</v>
      </c>
      <c r="Q177" s="42" t="s">
        <v>57</v>
      </c>
      <c r="R177" s="32">
        <v>2035</v>
      </c>
      <c r="S177" s="43" t="str">
        <f t="shared" si="20"/>
        <v>*0.96</v>
      </c>
      <c r="U177" s="32" t="s">
        <v>1051</v>
      </c>
      <c r="V177" s="42" t="s">
        <v>57</v>
      </c>
      <c r="W177" s="32">
        <v>2050</v>
      </c>
      <c r="X177" s="43" t="str">
        <f t="shared" si="21"/>
        <v>*0.93</v>
      </c>
      <c r="AC177" s="33" t="s">
        <v>1051</v>
      </c>
      <c r="AD177" s="44" t="s">
        <v>57</v>
      </c>
      <c r="AE177" s="33">
        <v>2035</v>
      </c>
      <c r="AF177" s="45" t="str">
        <f t="shared" si="22"/>
        <v>*0.92</v>
      </c>
      <c r="AG177" s="43" t="str">
        <f t="shared" si="24"/>
        <v>REZoning_Sol-Win</v>
      </c>
      <c r="AI177" s="33" t="s">
        <v>1051</v>
      </c>
      <c r="AJ177" s="44" t="s">
        <v>57</v>
      </c>
      <c r="AK177" s="33">
        <v>2050</v>
      </c>
      <c r="AL177" s="45" t="str">
        <f t="shared" si="23"/>
        <v>*0.89</v>
      </c>
      <c r="AM177" s="43" t="str">
        <f t="shared" si="25"/>
        <v>REZoning_Sol-Win</v>
      </c>
      <c r="AP177" t="s">
        <v>1051</v>
      </c>
      <c r="AQ177" t="s">
        <v>57</v>
      </c>
      <c r="AR177">
        <v>2100</v>
      </c>
      <c r="AS177" t="s">
        <v>937</v>
      </c>
      <c r="AT177" t="s">
        <v>58</v>
      </c>
    </row>
    <row r="178" ht="29" spans="1:46">
      <c r="A178" s="31" t="s">
        <v>98</v>
      </c>
      <c r="C178" t="s">
        <v>1052</v>
      </c>
      <c r="D178" s="5" t="s">
        <v>57</v>
      </c>
      <c r="E178">
        <v>2035</v>
      </c>
      <c r="F178" s="6" t="str">
        <f t="shared" si="18"/>
        <v>*0.96</v>
      </c>
      <c r="H178" t="s">
        <v>1052</v>
      </c>
      <c r="I178" s="5" t="s">
        <v>57</v>
      </c>
      <c r="J178">
        <v>2050</v>
      </c>
      <c r="K178" s="38" t="str">
        <f t="shared" si="19"/>
        <v>*0.94</v>
      </c>
      <c r="P178" s="32" t="s">
        <v>1052</v>
      </c>
      <c r="Q178" s="42" t="s">
        <v>57</v>
      </c>
      <c r="R178" s="32">
        <v>2035</v>
      </c>
      <c r="S178" s="43" t="str">
        <f t="shared" si="20"/>
        <v>*0.96</v>
      </c>
      <c r="U178" s="32" t="s">
        <v>1052</v>
      </c>
      <c r="V178" s="42" t="s">
        <v>57</v>
      </c>
      <c r="W178" s="32">
        <v>2050</v>
      </c>
      <c r="X178" s="43" t="str">
        <f t="shared" si="21"/>
        <v>*0.93</v>
      </c>
      <c r="AC178" s="33" t="s">
        <v>1052</v>
      </c>
      <c r="AD178" s="44" t="s">
        <v>57</v>
      </c>
      <c r="AE178" s="33">
        <v>2035</v>
      </c>
      <c r="AF178" s="45" t="str">
        <f t="shared" si="22"/>
        <v>*0.92</v>
      </c>
      <c r="AG178" s="43" t="str">
        <f t="shared" si="24"/>
        <v>REZoning_Sol-Win</v>
      </c>
      <c r="AI178" s="33" t="s">
        <v>1052</v>
      </c>
      <c r="AJ178" s="44" t="s">
        <v>57</v>
      </c>
      <c r="AK178" s="33">
        <v>2050</v>
      </c>
      <c r="AL178" s="45" t="str">
        <f t="shared" si="23"/>
        <v>*0.89</v>
      </c>
      <c r="AM178" s="43" t="str">
        <f t="shared" si="25"/>
        <v>REZoning_Sol-Win</v>
      </c>
      <c r="AP178" t="s">
        <v>1052</v>
      </c>
      <c r="AQ178" t="s">
        <v>57</v>
      </c>
      <c r="AR178">
        <v>2100</v>
      </c>
      <c r="AS178" t="s">
        <v>937</v>
      </c>
      <c r="AT178" t="s">
        <v>58</v>
      </c>
    </row>
    <row r="179" ht="29" spans="1:46">
      <c r="A179" s="31" t="s">
        <v>98</v>
      </c>
      <c r="C179" t="s">
        <v>1053</v>
      </c>
      <c r="D179" s="5" t="s">
        <v>57</v>
      </c>
      <c r="E179">
        <v>2035</v>
      </c>
      <c r="F179" s="6" t="str">
        <f t="shared" si="18"/>
        <v>*0.96</v>
      </c>
      <c r="H179" t="s">
        <v>1053</v>
      </c>
      <c r="I179" s="5" t="s">
        <v>57</v>
      </c>
      <c r="J179">
        <v>2050</v>
      </c>
      <c r="K179" s="38" t="str">
        <f t="shared" si="19"/>
        <v>*0.94</v>
      </c>
      <c r="P179" s="32" t="s">
        <v>1053</v>
      </c>
      <c r="Q179" s="42" t="s">
        <v>57</v>
      </c>
      <c r="R179" s="32">
        <v>2035</v>
      </c>
      <c r="S179" s="43" t="str">
        <f t="shared" si="20"/>
        <v>*0.96</v>
      </c>
      <c r="U179" s="32" t="s">
        <v>1053</v>
      </c>
      <c r="V179" s="42" t="s">
        <v>57</v>
      </c>
      <c r="W179" s="32">
        <v>2050</v>
      </c>
      <c r="X179" s="43" t="str">
        <f t="shared" si="21"/>
        <v>*0.93</v>
      </c>
      <c r="AC179" s="33" t="s">
        <v>1053</v>
      </c>
      <c r="AD179" s="44" t="s">
        <v>57</v>
      </c>
      <c r="AE179" s="33">
        <v>2035</v>
      </c>
      <c r="AF179" s="45" t="str">
        <f t="shared" si="22"/>
        <v>*0.92</v>
      </c>
      <c r="AG179" s="43" t="str">
        <f t="shared" si="24"/>
        <v>REZoning_Sol-Win</v>
      </c>
      <c r="AI179" s="33" t="s">
        <v>1053</v>
      </c>
      <c r="AJ179" s="44" t="s">
        <v>57</v>
      </c>
      <c r="AK179" s="33">
        <v>2050</v>
      </c>
      <c r="AL179" s="45" t="str">
        <f t="shared" si="23"/>
        <v>*0.89</v>
      </c>
      <c r="AM179" s="43" t="str">
        <f t="shared" si="25"/>
        <v>REZoning_Sol-Win</v>
      </c>
      <c r="AP179" t="s">
        <v>1053</v>
      </c>
      <c r="AQ179" t="s">
        <v>57</v>
      </c>
      <c r="AR179">
        <v>2100</v>
      </c>
      <c r="AS179" t="s">
        <v>937</v>
      </c>
      <c r="AT179" t="s">
        <v>58</v>
      </c>
    </row>
    <row r="180" ht="29" spans="1:46">
      <c r="A180" s="31" t="s">
        <v>98</v>
      </c>
      <c r="C180" t="s">
        <v>1054</v>
      </c>
      <c r="D180" s="5" t="s">
        <v>57</v>
      </c>
      <c r="E180">
        <v>2035</v>
      </c>
      <c r="F180" s="6" t="str">
        <f t="shared" si="18"/>
        <v>*0.96</v>
      </c>
      <c r="H180" t="s">
        <v>1054</v>
      </c>
      <c r="I180" s="5" t="s">
        <v>57</v>
      </c>
      <c r="J180">
        <v>2050</v>
      </c>
      <c r="K180" s="38" t="str">
        <f t="shared" si="19"/>
        <v>*0.94</v>
      </c>
      <c r="P180" s="32" t="s">
        <v>1054</v>
      </c>
      <c r="Q180" s="42" t="s">
        <v>57</v>
      </c>
      <c r="R180" s="32">
        <v>2035</v>
      </c>
      <c r="S180" s="43" t="str">
        <f t="shared" si="20"/>
        <v>*0.96</v>
      </c>
      <c r="U180" s="32" t="s">
        <v>1054</v>
      </c>
      <c r="V180" s="42" t="s">
        <v>57</v>
      </c>
      <c r="W180" s="32">
        <v>2050</v>
      </c>
      <c r="X180" s="43" t="str">
        <f t="shared" si="21"/>
        <v>*0.93</v>
      </c>
      <c r="AC180" s="33" t="s">
        <v>1054</v>
      </c>
      <c r="AD180" s="44" t="s">
        <v>57</v>
      </c>
      <c r="AE180" s="33">
        <v>2035</v>
      </c>
      <c r="AF180" s="45" t="str">
        <f t="shared" si="22"/>
        <v>*0.92</v>
      </c>
      <c r="AG180" s="43" t="str">
        <f t="shared" si="24"/>
        <v>REZoning_Sol-Win</v>
      </c>
      <c r="AI180" s="33" t="s">
        <v>1054</v>
      </c>
      <c r="AJ180" s="44" t="s">
        <v>57</v>
      </c>
      <c r="AK180" s="33">
        <v>2050</v>
      </c>
      <c r="AL180" s="45" t="str">
        <f t="shared" si="23"/>
        <v>*0.89</v>
      </c>
      <c r="AM180" s="43" t="str">
        <f t="shared" si="25"/>
        <v>REZoning_Sol-Win</v>
      </c>
      <c r="AP180" t="s">
        <v>1054</v>
      </c>
      <c r="AQ180" t="s">
        <v>57</v>
      </c>
      <c r="AR180">
        <v>2100</v>
      </c>
      <c r="AS180" t="s">
        <v>937</v>
      </c>
      <c r="AT180" t="s">
        <v>58</v>
      </c>
    </row>
    <row r="181" ht="29" spans="1:46">
      <c r="A181" s="31" t="s">
        <v>98</v>
      </c>
      <c r="C181" t="s">
        <v>1055</v>
      </c>
      <c r="D181" s="5" t="s">
        <v>57</v>
      </c>
      <c r="E181">
        <v>2035</v>
      </c>
      <c r="F181" s="6" t="str">
        <f t="shared" si="18"/>
        <v>*0.96</v>
      </c>
      <c r="H181" t="s">
        <v>1055</v>
      </c>
      <c r="I181" s="5" t="s">
        <v>57</v>
      </c>
      <c r="J181">
        <v>2050</v>
      </c>
      <c r="K181" s="38" t="str">
        <f t="shared" si="19"/>
        <v>*0.94</v>
      </c>
      <c r="P181" s="32" t="s">
        <v>1055</v>
      </c>
      <c r="Q181" s="42" t="s">
        <v>57</v>
      </c>
      <c r="R181" s="32">
        <v>2035</v>
      </c>
      <c r="S181" s="43" t="str">
        <f t="shared" si="20"/>
        <v>*0.96</v>
      </c>
      <c r="U181" s="32" t="s">
        <v>1055</v>
      </c>
      <c r="V181" s="42" t="s">
        <v>57</v>
      </c>
      <c r="W181" s="32">
        <v>2050</v>
      </c>
      <c r="X181" s="43" t="str">
        <f t="shared" si="21"/>
        <v>*0.93</v>
      </c>
      <c r="AC181" s="33" t="s">
        <v>1055</v>
      </c>
      <c r="AD181" s="44" t="s">
        <v>57</v>
      </c>
      <c r="AE181" s="33">
        <v>2035</v>
      </c>
      <c r="AF181" s="45" t="str">
        <f t="shared" si="22"/>
        <v>*0.92</v>
      </c>
      <c r="AG181" s="43" t="str">
        <f t="shared" si="24"/>
        <v>REZoning_Sol-Win</v>
      </c>
      <c r="AI181" s="33" t="s">
        <v>1055</v>
      </c>
      <c r="AJ181" s="44" t="s">
        <v>57</v>
      </c>
      <c r="AK181" s="33">
        <v>2050</v>
      </c>
      <c r="AL181" s="45" t="str">
        <f t="shared" si="23"/>
        <v>*0.89</v>
      </c>
      <c r="AM181" s="43" t="str">
        <f t="shared" si="25"/>
        <v>REZoning_Sol-Win</v>
      </c>
      <c r="AP181" t="s">
        <v>1055</v>
      </c>
      <c r="AQ181" t="s">
        <v>57</v>
      </c>
      <c r="AR181">
        <v>2100</v>
      </c>
      <c r="AS181" t="s">
        <v>937</v>
      </c>
      <c r="AT181" t="s">
        <v>58</v>
      </c>
    </row>
    <row r="182" ht="29" spans="1:46">
      <c r="A182" s="31" t="s">
        <v>98</v>
      </c>
      <c r="C182" t="s">
        <v>1056</v>
      </c>
      <c r="D182" s="5" t="s">
        <v>57</v>
      </c>
      <c r="E182">
        <v>2035</v>
      </c>
      <c r="F182" s="6" t="str">
        <f t="shared" si="18"/>
        <v>*0.96</v>
      </c>
      <c r="H182" t="s">
        <v>1056</v>
      </c>
      <c r="I182" s="5" t="s">
        <v>57</v>
      </c>
      <c r="J182">
        <v>2050</v>
      </c>
      <c r="K182" s="38" t="str">
        <f t="shared" si="19"/>
        <v>*0.94</v>
      </c>
      <c r="P182" s="32" t="s">
        <v>1056</v>
      </c>
      <c r="Q182" s="42" t="s">
        <v>57</v>
      </c>
      <c r="R182" s="32">
        <v>2035</v>
      </c>
      <c r="S182" s="43" t="str">
        <f t="shared" si="20"/>
        <v>*0.96</v>
      </c>
      <c r="U182" s="32" t="s">
        <v>1056</v>
      </c>
      <c r="V182" s="42" t="s">
        <v>57</v>
      </c>
      <c r="W182" s="32">
        <v>2050</v>
      </c>
      <c r="X182" s="43" t="str">
        <f t="shared" si="21"/>
        <v>*0.93</v>
      </c>
      <c r="AC182" s="33" t="s">
        <v>1056</v>
      </c>
      <c r="AD182" s="44" t="s">
        <v>57</v>
      </c>
      <c r="AE182" s="33">
        <v>2035</v>
      </c>
      <c r="AF182" s="45" t="str">
        <f t="shared" si="22"/>
        <v>*0.92</v>
      </c>
      <c r="AG182" s="43" t="str">
        <f t="shared" si="24"/>
        <v>REZoning_Sol-Win</v>
      </c>
      <c r="AI182" s="33" t="s">
        <v>1056</v>
      </c>
      <c r="AJ182" s="44" t="s">
        <v>57</v>
      </c>
      <c r="AK182" s="33">
        <v>2050</v>
      </c>
      <c r="AL182" s="45" t="str">
        <f t="shared" si="23"/>
        <v>*0.89</v>
      </c>
      <c r="AM182" s="43" t="str">
        <f t="shared" si="25"/>
        <v>REZoning_Sol-Win</v>
      </c>
      <c r="AP182" t="s">
        <v>1056</v>
      </c>
      <c r="AQ182" t="s">
        <v>57</v>
      </c>
      <c r="AR182">
        <v>2100</v>
      </c>
      <c r="AS182" t="s">
        <v>937</v>
      </c>
      <c r="AT182" t="s">
        <v>58</v>
      </c>
    </row>
    <row r="183" ht="29" spans="1:46">
      <c r="A183" s="31" t="s">
        <v>98</v>
      </c>
      <c r="C183" t="s">
        <v>1057</v>
      </c>
      <c r="D183" s="5" t="s">
        <v>57</v>
      </c>
      <c r="E183">
        <v>2035</v>
      </c>
      <c r="F183" s="6" t="str">
        <f t="shared" si="18"/>
        <v>*0.96</v>
      </c>
      <c r="H183" t="s">
        <v>1057</v>
      </c>
      <c r="I183" s="5" t="s">
        <v>57</v>
      </c>
      <c r="J183">
        <v>2050</v>
      </c>
      <c r="K183" s="38" t="str">
        <f t="shared" si="19"/>
        <v>*0.94</v>
      </c>
      <c r="P183" s="32" t="s">
        <v>1057</v>
      </c>
      <c r="Q183" s="42" t="s">
        <v>57</v>
      </c>
      <c r="R183" s="32">
        <v>2035</v>
      </c>
      <c r="S183" s="43" t="str">
        <f t="shared" si="20"/>
        <v>*0.96</v>
      </c>
      <c r="U183" s="32" t="s">
        <v>1057</v>
      </c>
      <c r="V183" s="42" t="s">
        <v>57</v>
      </c>
      <c r="W183" s="32">
        <v>2050</v>
      </c>
      <c r="X183" s="43" t="str">
        <f t="shared" si="21"/>
        <v>*0.93</v>
      </c>
      <c r="AC183" s="33" t="s">
        <v>1057</v>
      </c>
      <c r="AD183" s="44" t="s">
        <v>57</v>
      </c>
      <c r="AE183" s="33">
        <v>2035</v>
      </c>
      <c r="AF183" s="45" t="str">
        <f t="shared" si="22"/>
        <v>*0.92</v>
      </c>
      <c r="AG183" s="43" t="str">
        <f t="shared" si="24"/>
        <v>REZoning_Sol-Win</v>
      </c>
      <c r="AI183" s="33" t="s">
        <v>1057</v>
      </c>
      <c r="AJ183" s="44" t="s">
        <v>57</v>
      </c>
      <c r="AK183" s="33">
        <v>2050</v>
      </c>
      <c r="AL183" s="45" t="str">
        <f t="shared" si="23"/>
        <v>*0.89</v>
      </c>
      <c r="AM183" s="43" t="str">
        <f t="shared" si="25"/>
        <v>REZoning_Sol-Win</v>
      </c>
      <c r="AP183" t="s">
        <v>1057</v>
      </c>
      <c r="AQ183" t="s">
        <v>57</v>
      </c>
      <c r="AR183">
        <v>2100</v>
      </c>
      <c r="AS183" t="s">
        <v>937</v>
      </c>
      <c r="AT183" t="s">
        <v>58</v>
      </c>
    </row>
    <row r="184" ht="29" spans="1:46">
      <c r="A184" s="31" t="s">
        <v>98</v>
      </c>
      <c r="C184" t="s">
        <v>1058</v>
      </c>
      <c r="D184" s="5" t="s">
        <v>57</v>
      </c>
      <c r="E184">
        <v>2035</v>
      </c>
      <c r="F184" s="6" t="str">
        <f t="shared" si="18"/>
        <v>*0.96</v>
      </c>
      <c r="H184" t="s">
        <v>1058</v>
      </c>
      <c r="I184" s="5" t="s">
        <v>57</v>
      </c>
      <c r="J184">
        <v>2050</v>
      </c>
      <c r="K184" s="38" t="str">
        <f t="shared" si="19"/>
        <v>*0.94</v>
      </c>
      <c r="P184" s="32" t="s">
        <v>1058</v>
      </c>
      <c r="Q184" s="42" t="s">
        <v>57</v>
      </c>
      <c r="R184" s="32">
        <v>2035</v>
      </c>
      <c r="S184" s="43" t="str">
        <f t="shared" si="20"/>
        <v>*0.96</v>
      </c>
      <c r="U184" s="32" t="s">
        <v>1058</v>
      </c>
      <c r="V184" s="42" t="s">
        <v>57</v>
      </c>
      <c r="W184" s="32">
        <v>2050</v>
      </c>
      <c r="X184" s="43" t="str">
        <f t="shared" si="21"/>
        <v>*0.93</v>
      </c>
      <c r="AC184" s="33" t="s">
        <v>1058</v>
      </c>
      <c r="AD184" s="44" t="s">
        <v>57</v>
      </c>
      <c r="AE184" s="33">
        <v>2035</v>
      </c>
      <c r="AF184" s="45" t="str">
        <f t="shared" si="22"/>
        <v>*0.92</v>
      </c>
      <c r="AG184" s="43" t="str">
        <f t="shared" si="24"/>
        <v>REZoning_Sol-Win</v>
      </c>
      <c r="AI184" s="33" t="s">
        <v>1058</v>
      </c>
      <c r="AJ184" s="44" t="s">
        <v>57</v>
      </c>
      <c r="AK184" s="33">
        <v>2050</v>
      </c>
      <c r="AL184" s="45" t="str">
        <f t="shared" si="23"/>
        <v>*0.89</v>
      </c>
      <c r="AM184" s="43" t="str">
        <f t="shared" si="25"/>
        <v>REZoning_Sol-Win</v>
      </c>
      <c r="AP184" t="s">
        <v>1058</v>
      </c>
      <c r="AQ184" t="s">
        <v>57</v>
      </c>
      <c r="AR184">
        <v>2100</v>
      </c>
      <c r="AS184" t="s">
        <v>937</v>
      </c>
      <c r="AT184" t="s">
        <v>58</v>
      </c>
    </row>
    <row r="185" ht="29" spans="1:46">
      <c r="A185" s="31" t="s">
        <v>98</v>
      </c>
      <c r="C185" t="s">
        <v>1059</v>
      </c>
      <c r="D185" s="5" t="s">
        <v>57</v>
      </c>
      <c r="E185">
        <v>2035</v>
      </c>
      <c r="F185" s="6" t="str">
        <f t="shared" si="18"/>
        <v>*0.96</v>
      </c>
      <c r="H185" t="s">
        <v>1059</v>
      </c>
      <c r="I185" s="5" t="s">
        <v>57</v>
      </c>
      <c r="J185">
        <v>2050</v>
      </c>
      <c r="K185" s="38" t="str">
        <f t="shared" si="19"/>
        <v>*0.94</v>
      </c>
      <c r="P185" s="32" t="s">
        <v>1059</v>
      </c>
      <c r="Q185" s="42" t="s">
        <v>57</v>
      </c>
      <c r="R185" s="32">
        <v>2035</v>
      </c>
      <c r="S185" s="43" t="str">
        <f t="shared" si="20"/>
        <v>*0.96</v>
      </c>
      <c r="U185" s="32" t="s">
        <v>1059</v>
      </c>
      <c r="V185" s="42" t="s">
        <v>57</v>
      </c>
      <c r="W185" s="32">
        <v>2050</v>
      </c>
      <c r="X185" s="43" t="str">
        <f t="shared" si="21"/>
        <v>*0.93</v>
      </c>
      <c r="AC185" s="33" t="s">
        <v>1059</v>
      </c>
      <c r="AD185" s="44" t="s">
        <v>57</v>
      </c>
      <c r="AE185" s="33">
        <v>2035</v>
      </c>
      <c r="AF185" s="45" t="str">
        <f t="shared" si="22"/>
        <v>*0.92</v>
      </c>
      <c r="AG185" s="43" t="str">
        <f t="shared" si="24"/>
        <v>REZoning_Sol-Win</v>
      </c>
      <c r="AI185" s="33" t="s">
        <v>1059</v>
      </c>
      <c r="AJ185" s="44" t="s">
        <v>57</v>
      </c>
      <c r="AK185" s="33">
        <v>2050</v>
      </c>
      <c r="AL185" s="45" t="str">
        <f t="shared" si="23"/>
        <v>*0.89</v>
      </c>
      <c r="AM185" s="43" t="str">
        <f t="shared" si="25"/>
        <v>REZoning_Sol-Win</v>
      </c>
      <c r="AP185" t="s">
        <v>1059</v>
      </c>
      <c r="AQ185" t="s">
        <v>57</v>
      </c>
      <c r="AR185">
        <v>2100</v>
      </c>
      <c r="AS185" t="s">
        <v>937</v>
      </c>
      <c r="AT185" t="s">
        <v>58</v>
      </c>
    </row>
    <row r="186" ht="29" spans="1:46">
      <c r="A186" s="31" t="s">
        <v>98</v>
      </c>
      <c r="C186" t="s">
        <v>1060</v>
      </c>
      <c r="D186" s="5" t="s">
        <v>57</v>
      </c>
      <c r="E186">
        <v>2035</v>
      </c>
      <c r="F186" s="6" t="str">
        <f t="shared" si="18"/>
        <v>*0.96</v>
      </c>
      <c r="H186" t="s">
        <v>1060</v>
      </c>
      <c r="I186" s="5" t="s">
        <v>57</v>
      </c>
      <c r="J186">
        <v>2050</v>
      </c>
      <c r="K186" s="38" t="str">
        <f t="shared" si="19"/>
        <v>*0.94</v>
      </c>
      <c r="P186" s="32" t="s">
        <v>1060</v>
      </c>
      <c r="Q186" s="42" t="s">
        <v>57</v>
      </c>
      <c r="R186" s="32">
        <v>2035</v>
      </c>
      <c r="S186" s="43" t="str">
        <f t="shared" si="20"/>
        <v>*0.96</v>
      </c>
      <c r="U186" s="32" t="s">
        <v>1060</v>
      </c>
      <c r="V186" s="42" t="s">
        <v>57</v>
      </c>
      <c r="W186" s="32">
        <v>2050</v>
      </c>
      <c r="X186" s="43" t="str">
        <f t="shared" si="21"/>
        <v>*0.93</v>
      </c>
      <c r="AC186" s="33" t="s">
        <v>1060</v>
      </c>
      <c r="AD186" s="44" t="s">
        <v>57</v>
      </c>
      <c r="AE186" s="33">
        <v>2035</v>
      </c>
      <c r="AF186" s="45" t="str">
        <f t="shared" si="22"/>
        <v>*0.92</v>
      </c>
      <c r="AG186" s="43" t="str">
        <f t="shared" si="24"/>
        <v>REZoning_Sol-Win</v>
      </c>
      <c r="AI186" s="33" t="s">
        <v>1060</v>
      </c>
      <c r="AJ186" s="44" t="s">
        <v>57</v>
      </c>
      <c r="AK186" s="33">
        <v>2050</v>
      </c>
      <c r="AL186" s="45" t="str">
        <f t="shared" si="23"/>
        <v>*0.89</v>
      </c>
      <c r="AM186" s="43" t="str">
        <f t="shared" si="25"/>
        <v>REZoning_Sol-Win</v>
      </c>
      <c r="AP186" t="s">
        <v>1060</v>
      </c>
      <c r="AQ186" t="s">
        <v>57</v>
      </c>
      <c r="AR186">
        <v>2100</v>
      </c>
      <c r="AS186" t="s">
        <v>937</v>
      </c>
      <c r="AT186" t="s">
        <v>58</v>
      </c>
    </row>
    <row r="187" ht="29" spans="1:46">
      <c r="A187" s="31" t="s">
        <v>98</v>
      </c>
      <c r="C187" t="s">
        <v>1061</v>
      </c>
      <c r="D187" s="5" t="s">
        <v>57</v>
      </c>
      <c r="E187">
        <v>2035</v>
      </c>
      <c r="F187" s="6" t="str">
        <f t="shared" si="18"/>
        <v>*0.96</v>
      </c>
      <c r="H187" t="s">
        <v>1061</v>
      </c>
      <c r="I187" s="5" t="s">
        <v>57</v>
      </c>
      <c r="J187">
        <v>2050</v>
      </c>
      <c r="K187" s="38" t="str">
        <f t="shared" si="19"/>
        <v>*0.94</v>
      </c>
      <c r="P187" s="32" t="s">
        <v>1061</v>
      </c>
      <c r="Q187" s="42" t="s">
        <v>57</v>
      </c>
      <c r="R187" s="32">
        <v>2035</v>
      </c>
      <c r="S187" s="43" t="str">
        <f t="shared" si="20"/>
        <v>*0.96</v>
      </c>
      <c r="U187" s="32" t="s">
        <v>1061</v>
      </c>
      <c r="V187" s="42" t="s">
        <v>57</v>
      </c>
      <c r="W187" s="32">
        <v>2050</v>
      </c>
      <c r="X187" s="43" t="str">
        <f t="shared" si="21"/>
        <v>*0.93</v>
      </c>
      <c r="AC187" s="33" t="s">
        <v>1061</v>
      </c>
      <c r="AD187" s="44" t="s">
        <v>57</v>
      </c>
      <c r="AE187" s="33">
        <v>2035</v>
      </c>
      <c r="AF187" s="45" t="str">
        <f t="shared" si="22"/>
        <v>*0.92</v>
      </c>
      <c r="AG187" s="43" t="str">
        <f t="shared" si="24"/>
        <v>REZoning_Sol-Win</v>
      </c>
      <c r="AI187" s="33" t="s">
        <v>1061</v>
      </c>
      <c r="AJ187" s="44" t="s">
        <v>57</v>
      </c>
      <c r="AK187" s="33">
        <v>2050</v>
      </c>
      <c r="AL187" s="45" t="str">
        <f t="shared" si="23"/>
        <v>*0.89</v>
      </c>
      <c r="AM187" s="43" t="str">
        <f t="shared" si="25"/>
        <v>REZoning_Sol-Win</v>
      </c>
      <c r="AP187" t="s">
        <v>1061</v>
      </c>
      <c r="AQ187" t="s">
        <v>57</v>
      </c>
      <c r="AR187">
        <v>2100</v>
      </c>
      <c r="AS187" t="s">
        <v>937</v>
      </c>
      <c r="AT187" t="s">
        <v>58</v>
      </c>
    </row>
    <row r="188" ht="29" spans="1:46">
      <c r="A188" s="31" t="s">
        <v>98</v>
      </c>
      <c r="C188" t="s">
        <v>1062</v>
      </c>
      <c r="D188" s="5" t="s">
        <v>57</v>
      </c>
      <c r="E188">
        <v>2035</v>
      </c>
      <c r="F188" s="6" t="str">
        <f t="shared" si="18"/>
        <v>*0.96</v>
      </c>
      <c r="H188" t="s">
        <v>1062</v>
      </c>
      <c r="I188" s="5" t="s">
        <v>57</v>
      </c>
      <c r="J188">
        <v>2050</v>
      </c>
      <c r="K188" s="38" t="str">
        <f t="shared" si="19"/>
        <v>*0.94</v>
      </c>
      <c r="P188" s="32" t="s">
        <v>1062</v>
      </c>
      <c r="Q188" s="42" t="s">
        <v>57</v>
      </c>
      <c r="R188" s="32">
        <v>2035</v>
      </c>
      <c r="S188" s="43" t="str">
        <f t="shared" si="20"/>
        <v>*0.96</v>
      </c>
      <c r="U188" s="32" t="s">
        <v>1062</v>
      </c>
      <c r="V188" s="42" t="s">
        <v>57</v>
      </c>
      <c r="W188" s="32">
        <v>2050</v>
      </c>
      <c r="X188" s="43" t="str">
        <f t="shared" si="21"/>
        <v>*0.93</v>
      </c>
      <c r="AC188" s="33" t="s">
        <v>1062</v>
      </c>
      <c r="AD188" s="44" t="s">
        <v>57</v>
      </c>
      <c r="AE188" s="33">
        <v>2035</v>
      </c>
      <c r="AF188" s="45" t="str">
        <f t="shared" si="22"/>
        <v>*0.92</v>
      </c>
      <c r="AG188" s="43" t="str">
        <f t="shared" si="24"/>
        <v>REZoning_Sol-Win</v>
      </c>
      <c r="AI188" s="33" t="s">
        <v>1062</v>
      </c>
      <c r="AJ188" s="44" t="s">
        <v>57</v>
      </c>
      <c r="AK188" s="33">
        <v>2050</v>
      </c>
      <c r="AL188" s="45" t="str">
        <f t="shared" si="23"/>
        <v>*0.89</v>
      </c>
      <c r="AM188" s="43" t="str">
        <f t="shared" si="25"/>
        <v>REZoning_Sol-Win</v>
      </c>
      <c r="AP188" t="s">
        <v>1062</v>
      </c>
      <c r="AQ188" t="s">
        <v>57</v>
      </c>
      <c r="AR188">
        <v>2100</v>
      </c>
      <c r="AS188" t="s">
        <v>937</v>
      </c>
      <c r="AT188" t="s">
        <v>58</v>
      </c>
    </row>
    <row r="189" ht="29" spans="1:46">
      <c r="A189" s="31" t="s">
        <v>98</v>
      </c>
      <c r="C189" t="s">
        <v>1063</v>
      </c>
      <c r="D189" s="5" t="s">
        <v>57</v>
      </c>
      <c r="E189">
        <v>2035</v>
      </c>
      <c r="F189" s="6" t="str">
        <f t="shared" si="18"/>
        <v>*0.96</v>
      </c>
      <c r="H189" t="s">
        <v>1063</v>
      </c>
      <c r="I189" s="5" t="s">
        <v>57</v>
      </c>
      <c r="J189">
        <v>2050</v>
      </c>
      <c r="K189" s="38" t="str">
        <f t="shared" si="19"/>
        <v>*0.94</v>
      </c>
      <c r="P189" s="32" t="s">
        <v>1063</v>
      </c>
      <c r="Q189" s="42" t="s">
        <v>57</v>
      </c>
      <c r="R189" s="32">
        <v>2035</v>
      </c>
      <c r="S189" s="43" t="str">
        <f t="shared" si="20"/>
        <v>*0.96</v>
      </c>
      <c r="U189" s="32" t="s">
        <v>1063</v>
      </c>
      <c r="V189" s="42" t="s">
        <v>57</v>
      </c>
      <c r="W189" s="32">
        <v>2050</v>
      </c>
      <c r="X189" s="43" t="str">
        <f t="shared" si="21"/>
        <v>*0.93</v>
      </c>
      <c r="AC189" s="33" t="s">
        <v>1063</v>
      </c>
      <c r="AD189" s="44" t="s">
        <v>57</v>
      </c>
      <c r="AE189" s="33">
        <v>2035</v>
      </c>
      <c r="AF189" s="45" t="str">
        <f t="shared" si="22"/>
        <v>*0.92</v>
      </c>
      <c r="AG189" s="43" t="str">
        <f t="shared" si="24"/>
        <v>REZoning_Sol-Win</v>
      </c>
      <c r="AI189" s="33" t="s">
        <v>1063</v>
      </c>
      <c r="AJ189" s="44" t="s">
        <v>57</v>
      </c>
      <c r="AK189" s="33">
        <v>2050</v>
      </c>
      <c r="AL189" s="45" t="str">
        <f t="shared" si="23"/>
        <v>*0.89</v>
      </c>
      <c r="AM189" s="43" t="str">
        <f t="shared" si="25"/>
        <v>REZoning_Sol-Win</v>
      </c>
      <c r="AP189" t="s">
        <v>1063</v>
      </c>
      <c r="AQ189" t="s">
        <v>57</v>
      </c>
      <c r="AR189">
        <v>2100</v>
      </c>
      <c r="AS189" t="s">
        <v>937</v>
      </c>
      <c r="AT189" t="s">
        <v>58</v>
      </c>
    </row>
    <row r="190" ht="29" spans="1:46">
      <c r="A190" s="31" t="s">
        <v>73</v>
      </c>
      <c r="C190" t="s">
        <v>1064</v>
      </c>
      <c r="D190" s="5" t="s">
        <v>57</v>
      </c>
      <c r="E190">
        <v>2035</v>
      </c>
      <c r="F190" s="6" t="str">
        <f t="shared" si="18"/>
        <v>*0.95</v>
      </c>
      <c r="H190" t="s">
        <v>1064</v>
      </c>
      <c r="I190" s="5" t="s">
        <v>57</v>
      </c>
      <c r="J190">
        <v>2050</v>
      </c>
      <c r="K190" s="38" t="str">
        <f t="shared" si="19"/>
        <v>*0.93</v>
      </c>
      <c r="P190" s="32" t="s">
        <v>1064</v>
      </c>
      <c r="Q190" s="42" t="s">
        <v>57</v>
      </c>
      <c r="R190" s="32">
        <v>2035</v>
      </c>
      <c r="S190" s="43" t="str">
        <f t="shared" si="20"/>
        <v>*0.95</v>
      </c>
      <c r="U190" s="32" t="s">
        <v>1064</v>
      </c>
      <c r="V190" s="42" t="s">
        <v>57</v>
      </c>
      <c r="W190" s="32">
        <v>2050</v>
      </c>
      <c r="X190" s="43" t="str">
        <f t="shared" si="21"/>
        <v>*0.93</v>
      </c>
      <c r="AC190" s="33" t="s">
        <v>1064</v>
      </c>
      <c r="AD190" s="44" t="s">
        <v>57</v>
      </c>
      <c r="AE190" s="33">
        <v>2035</v>
      </c>
      <c r="AF190" s="45" t="str">
        <f t="shared" si="22"/>
        <v>*0.93</v>
      </c>
      <c r="AG190" s="43" t="str">
        <f t="shared" si="24"/>
        <v>REZoning_Sol-Win</v>
      </c>
      <c r="AI190" s="33" t="s">
        <v>1064</v>
      </c>
      <c r="AJ190" s="44" t="s">
        <v>57</v>
      </c>
      <c r="AK190" s="33">
        <v>2050</v>
      </c>
      <c r="AL190" s="45" t="str">
        <f t="shared" si="23"/>
        <v>*0.9</v>
      </c>
      <c r="AM190" s="43" t="str">
        <f t="shared" si="25"/>
        <v>REZoning_Sol-Win</v>
      </c>
      <c r="AP190" t="s">
        <v>1064</v>
      </c>
      <c r="AQ190" t="s">
        <v>57</v>
      </c>
      <c r="AR190">
        <v>2100</v>
      </c>
      <c r="AS190" t="s">
        <v>897</v>
      </c>
      <c r="AT190" t="s">
        <v>58</v>
      </c>
    </row>
    <row r="191" ht="29" spans="1:46">
      <c r="A191" s="31" t="s">
        <v>73</v>
      </c>
      <c r="C191" t="s">
        <v>1065</v>
      </c>
      <c r="D191" s="5" t="s">
        <v>57</v>
      </c>
      <c r="E191">
        <v>2035</v>
      </c>
      <c r="F191" s="6" t="str">
        <f t="shared" si="18"/>
        <v>*0.95</v>
      </c>
      <c r="H191" t="s">
        <v>1065</v>
      </c>
      <c r="I191" s="5" t="s">
        <v>57</v>
      </c>
      <c r="J191">
        <v>2050</v>
      </c>
      <c r="K191" s="38" t="str">
        <f t="shared" si="19"/>
        <v>*0.93</v>
      </c>
      <c r="P191" s="32" t="s">
        <v>1065</v>
      </c>
      <c r="Q191" s="42" t="s">
        <v>57</v>
      </c>
      <c r="R191" s="32">
        <v>2035</v>
      </c>
      <c r="S191" s="43" t="str">
        <f t="shared" si="20"/>
        <v>*0.95</v>
      </c>
      <c r="U191" s="32" t="s">
        <v>1065</v>
      </c>
      <c r="V191" s="42" t="s">
        <v>57</v>
      </c>
      <c r="W191" s="32">
        <v>2050</v>
      </c>
      <c r="X191" s="43" t="str">
        <f t="shared" si="21"/>
        <v>*0.93</v>
      </c>
      <c r="AC191" s="33" t="s">
        <v>1065</v>
      </c>
      <c r="AD191" s="44" t="s">
        <v>57</v>
      </c>
      <c r="AE191" s="33">
        <v>2035</v>
      </c>
      <c r="AF191" s="45" t="str">
        <f t="shared" si="22"/>
        <v>*0.93</v>
      </c>
      <c r="AG191" s="43" t="str">
        <f t="shared" si="24"/>
        <v>REZoning_Sol-Win</v>
      </c>
      <c r="AI191" s="33" t="s">
        <v>1065</v>
      </c>
      <c r="AJ191" s="44" t="s">
        <v>57</v>
      </c>
      <c r="AK191" s="33">
        <v>2050</v>
      </c>
      <c r="AL191" s="45" t="str">
        <f t="shared" si="23"/>
        <v>*0.9</v>
      </c>
      <c r="AM191" s="43" t="str">
        <f t="shared" si="25"/>
        <v>REZoning_Sol-Win</v>
      </c>
      <c r="AP191" t="s">
        <v>1065</v>
      </c>
      <c r="AQ191" t="s">
        <v>57</v>
      </c>
      <c r="AR191">
        <v>2100</v>
      </c>
      <c r="AS191" t="s">
        <v>897</v>
      </c>
      <c r="AT191" t="s">
        <v>58</v>
      </c>
    </row>
    <row r="192" ht="29" spans="1:46">
      <c r="A192" s="31" t="s">
        <v>73</v>
      </c>
      <c r="C192" t="s">
        <v>1066</v>
      </c>
      <c r="D192" s="5" t="s">
        <v>57</v>
      </c>
      <c r="E192">
        <v>2035</v>
      </c>
      <c r="F192" s="6" t="str">
        <f t="shared" si="18"/>
        <v>*0.95</v>
      </c>
      <c r="H192" t="s">
        <v>1066</v>
      </c>
      <c r="I192" s="5" t="s">
        <v>57</v>
      </c>
      <c r="J192">
        <v>2050</v>
      </c>
      <c r="K192" s="38" t="str">
        <f t="shared" si="19"/>
        <v>*0.93</v>
      </c>
      <c r="P192" s="32" t="s">
        <v>1066</v>
      </c>
      <c r="Q192" s="42" t="s">
        <v>57</v>
      </c>
      <c r="R192" s="32">
        <v>2035</v>
      </c>
      <c r="S192" s="43" t="str">
        <f t="shared" si="20"/>
        <v>*0.95</v>
      </c>
      <c r="U192" s="32" t="s">
        <v>1066</v>
      </c>
      <c r="V192" s="42" t="s">
        <v>57</v>
      </c>
      <c r="W192" s="32">
        <v>2050</v>
      </c>
      <c r="X192" s="43" t="str">
        <f t="shared" si="21"/>
        <v>*0.93</v>
      </c>
      <c r="AC192" s="33" t="s">
        <v>1066</v>
      </c>
      <c r="AD192" s="44" t="s">
        <v>57</v>
      </c>
      <c r="AE192" s="33">
        <v>2035</v>
      </c>
      <c r="AF192" s="45" t="str">
        <f t="shared" si="22"/>
        <v>*0.93</v>
      </c>
      <c r="AG192" s="43" t="str">
        <f t="shared" si="24"/>
        <v>REZoning_Sol-Win</v>
      </c>
      <c r="AI192" s="33" t="s">
        <v>1066</v>
      </c>
      <c r="AJ192" s="44" t="s">
        <v>57</v>
      </c>
      <c r="AK192" s="33">
        <v>2050</v>
      </c>
      <c r="AL192" s="45" t="str">
        <f t="shared" si="23"/>
        <v>*0.9</v>
      </c>
      <c r="AM192" s="43" t="str">
        <f t="shared" si="25"/>
        <v>REZoning_Sol-Win</v>
      </c>
      <c r="AP192" t="s">
        <v>1066</v>
      </c>
      <c r="AQ192" t="s">
        <v>57</v>
      </c>
      <c r="AR192">
        <v>2100</v>
      </c>
      <c r="AS192" t="s">
        <v>897</v>
      </c>
      <c r="AT192" t="s">
        <v>58</v>
      </c>
    </row>
    <row r="193" ht="29" spans="1:46">
      <c r="A193" s="31" t="s">
        <v>73</v>
      </c>
      <c r="C193" t="s">
        <v>1067</v>
      </c>
      <c r="D193" s="5" t="s">
        <v>57</v>
      </c>
      <c r="E193">
        <v>2035</v>
      </c>
      <c r="F193" s="6" t="str">
        <f t="shared" si="18"/>
        <v>*0.95</v>
      </c>
      <c r="H193" t="s">
        <v>1067</v>
      </c>
      <c r="I193" s="5" t="s">
        <v>57</v>
      </c>
      <c r="J193">
        <v>2050</v>
      </c>
      <c r="K193" s="38" t="str">
        <f t="shared" si="19"/>
        <v>*0.93</v>
      </c>
      <c r="P193" s="32" t="s">
        <v>1067</v>
      </c>
      <c r="Q193" s="42" t="s">
        <v>57</v>
      </c>
      <c r="R193" s="32">
        <v>2035</v>
      </c>
      <c r="S193" s="43" t="str">
        <f t="shared" si="20"/>
        <v>*0.95</v>
      </c>
      <c r="U193" s="32" t="s">
        <v>1067</v>
      </c>
      <c r="V193" s="42" t="s">
        <v>57</v>
      </c>
      <c r="W193" s="32">
        <v>2050</v>
      </c>
      <c r="X193" s="43" t="str">
        <f t="shared" si="21"/>
        <v>*0.93</v>
      </c>
      <c r="AC193" s="33" t="s">
        <v>1067</v>
      </c>
      <c r="AD193" s="44" t="s">
        <v>57</v>
      </c>
      <c r="AE193" s="33">
        <v>2035</v>
      </c>
      <c r="AF193" s="45" t="str">
        <f t="shared" si="22"/>
        <v>*0.93</v>
      </c>
      <c r="AG193" s="43" t="str">
        <f t="shared" si="24"/>
        <v>REZoning_Sol-Win</v>
      </c>
      <c r="AI193" s="33" t="s">
        <v>1067</v>
      </c>
      <c r="AJ193" s="44" t="s">
        <v>57</v>
      </c>
      <c r="AK193" s="33">
        <v>2050</v>
      </c>
      <c r="AL193" s="45" t="str">
        <f t="shared" si="23"/>
        <v>*0.9</v>
      </c>
      <c r="AM193" s="43" t="str">
        <f t="shared" si="25"/>
        <v>REZoning_Sol-Win</v>
      </c>
      <c r="AP193" t="s">
        <v>1067</v>
      </c>
      <c r="AQ193" t="s">
        <v>57</v>
      </c>
      <c r="AR193">
        <v>2100</v>
      </c>
      <c r="AS193" t="s">
        <v>897</v>
      </c>
      <c r="AT193" t="s">
        <v>58</v>
      </c>
    </row>
    <row r="194" ht="29" spans="1:46">
      <c r="A194" s="31" t="s">
        <v>73</v>
      </c>
      <c r="C194" t="s">
        <v>1068</v>
      </c>
      <c r="D194" s="5" t="s">
        <v>57</v>
      </c>
      <c r="E194">
        <v>2035</v>
      </c>
      <c r="F194" s="6" t="str">
        <f t="shared" si="18"/>
        <v>*0.95</v>
      </c>
      <c r="H194" t="s">
        <v>1068</v>
      </c>
      <c r="I194" s="5" t="s">
        <v>57</v>
      </c>
      <c r="J194">
        <v>2050</v>
      </c>
      <c r="K194" s="38" t="str">
        <f t="shared" si="19"/>
        <v>*0.93</v>
      </c>
      <c r="P194" s="32" t="s">
        <v>1068</v>
      </c>
      <c r="Q194" s="42" t="s">
        <v>57</v>
      </c>
      <c r="R194" s="32">
        <v>2035</v>
      </c>
      <c r="S194" s="43" t="str">
        <f t="shared" si="20"/>
        <v>*0.95</v>
      </c>
      <c r="U194" s="32" t="s">
        <v>1068</v>
      </c>
      <c r="V194" s="42" t="s">
        <v>57</v>
      </c>
      <c r="W194" s="32">
        <v>2050</v>
      </c>
      <c r="X194" s="43" t="str">
        <f t="shared" si="21"/>
        <v>*0.93</v>
      </c>
      <c r="AC194" s="33" t="s">
        <v>1068</v>
      </c>
      <c r="AD194" s="44" t="s">
        <v>57</v>
      </c>
      <c r="AE194" s="33">
        <v>2035</v>
      </c>
      <c r="AF194" s="45" t="str">
        <f t="shared" si="22"/>
        <v>*0.93</v>
      </c>
      <c r="AG194" s="43" t="str">
        <f t="shared" si="24"/>
        <v>REZoning_Sol-Win</v>
      </c>
      <c r="AI194" s="33" t="s">
        <v>1068</v>
      </c>
      <c r="AJ194" s="44" t="s">
        <v>57</v>
      </c>
      <c r="AK194" s="33">
        <v>2050</v>
      </c>
      <c r="AL194" s="45" t="str">
        <f t="shared" si="23"/>
        <v>*0.9</v>
      </c>
      <c r="AM194" s="43" t="str">
        <f t="shared" si="25"/>
        <v>REZoning_Sol-Win</v>
      </c>
      <c r="AP194" t="s">
        <v>1068</v>
      </c>
      <c r="AQ194" t="s">
        <v>57</v>
      </c>
      <c r="AR194">
        <v>2100</v>
      </c>
      <c r="AS194" t="s">
        <v>897</v>
      </c>
      <c r="AT194" t="s">
        <v>58</v>
      </c>
    </row>
    <row r="195" ht="29" spans="1:46">
      <c r="A195" s="31" t="s">
        <v>73</v>
      </c>
      <c r="C195" t="s">
        <v>1069</v>
      </c>
      <c r="D195" s="5" t="s">
        <v>57</v>
      </c>
      <c r="E195">
        <v>2035</v>
      </c>
      <c r="F195" s="6" t="str">
        <f t="shared" si="18"/>
        <v>*0.95</v>
      </c>
      <c r="H195" t="s">
        <v>1069</v>
      </c>
      <c r="I195" s="5" t="s">
        <v>57</v>
      </c>
      <c r="J195">
        <v>2050</v>
      </c>
      <c r="K195" s="38" t="str">
        <f t="shared" si="19"/>
        <v>*0.93</v>
      </c>
      <c r="P195" s="32" t="s">
        <v>1069</v>
      </c>
      <c r="Q195" s="42" t="s">
        <v>57</v>
      </c>
      <c r="R195" s="32">
        <v>2035</v>
      </c>
      <c r="S195" s="43" t="str">
        <f t="shared" si="20"/>
        <v>*0.95</v>
      </c>
      <c r="U195" s="32" t="s">
        <v>1069</v>
      </c>
      <c r="V195" s="42" t="s">
        <v>57</v>
      </c>
      <c r="W195" s="32">
        <v>2050</v>
      </c>
      <c r="X195" s="43" t="str">
        <f t="shared" si="21"/>
        <v>*0.93</v>
      </c>
      <c r="AC195" s="33" t="s">
        <v>1069</v>
      </c>
      <c r="AD195" s="44" t="s">
        <v>57</v>
      </c>
      <c r="AE195" s="33">
        <v>2035</v>
      </c>
      <c r="AF195" s="45" t="str">
        <f t="shared" si="22"/>
        <v>*0.93</v>
      </c>
      <c r="AG195" s="43" t="str">
        <f t="shared" si="24"/>
        <v>REZoning_Sol-Win</v>
      </c>
      <c r="AI195" s="33" t="s">
        <v>1069</v>
      </c>
      <c r="AJ195" s="44" t="s">
        <v>57</v>
      </c>
      <c r="AK195" s="33">
        <v>2050</v>
      </c>
      <c r="AL195" s="45" t="str">
        <f t="shared" si="23"/>
        <v>*0.9</v>
      </c>
      <c r="AM195" s="43" t="str">
        <f t="shared" si="25"/>
        <v>REZoning_Sol-Win</v>
      </c>
      <c r="AP195" t="s">
        <v>1069</v>
      </c>
      <c r="AQ195" t="s">
        <v>57</v>
      </c>
      <c r="AR195">
        <v>2100</v>
      </c>
      <c r="AS195" t="s">
        <v>897</v>
      </c>
      <c r="AT195" t="s">
        <v>58</v>
      </c>
    </row>
    <row r="196" ht="29" spans="1:46">
      <c r="A196" s="31" t="s">
        <v>73</v>
      </c>
      <c r="C196" t="s">
        <v>1070</v>
      </c>
      <c r="D196" s="5" t="s">
        <v>57</v>
      </c>
      <c r="E196">
        <v>2035</v>
      </c>
      <c r="F196" s="6" t="str">
        <f t="shared" ref="F196:F259" si="26">"*"&amp;IF(AND(A196="EU",E196=2035),0.95,IF(AND(A196="EU",E196=2050),0.93,IF(AND(A196="USA",E196=2035),0.96,IF(AND(A196="USA",E196=2050),0.94,IF(AND(A196="Japan",E196=2035),0.94,IF(AND(A196="Japan",E196=2050),0.92,IF(AND(A196="Russia",E196=2035),0.95,IF(AND(A196="Russia",E196=2050),0.93,IF(AND(A196="China",E196=2035),0.94,IF(AND(A196="China",E196=2050),0.92,IF(AND(A196="India",E196=2035),0.95,IF(AND(A196="India",E196=2050),0.92,IF(AND(A196="Middle East",E196=2035),0.94,IF(AND(A196="Middle East",E196=2050),0.9,IF(AND(A196="Africa",E196=2035),0.94,IF(AND(A196="Africa",E196=2050),0.91,IF(AND(A196="Brazil",E196=2035),0.95,IF(AND(A196="Brazil",E196=2050),0.92,""))))))))))))))))))</f>
        <v>*0.95</v>
      </c>
      <c r="H196" t="s">
        <v>1070</v>
      </c>
      <c r="I196" s="5" t="s">
        <v>57</v>
      </c>
      <c r="J196">
        <v>2050</v>
      </c>
      <c r="K196" s="38" t="str">
        <f t="shared" ref="K196:K259" si="27">"*"&amp;IF(AND(A196="EU",J196=2035),0.95,IF(AND(A196="EU",J196=2050),0.93,IF(AND(A196="USA",J196=2035),0.96,IF(AND(A196="USA",J196=2050),0.94,IF(AND(A196="Japan",J196=2035),0.94,IF(AND(A196="Japan",J196=2050),0.92,IF(AND(A196="Russia",J196=2035),0.95,IF(AND(A196="Russia",J196=2050),0.93,IF(AND(A196="China",J196=2035),0.94,IF(AND(A196="China",J196=2050),0.92,IF(AND(A196="India",J196=2035),0.95,IF(AND(A196="India",J196=2050),0.92,IF(AND(A196="Middle East",J196=2035),0.94,IF(AND(A196="Middle East",J196=2050),0.9,IF(AND(A196="Africa",J196=2035),0.94,IF(AND(A196="Africa",J196=2050),0.91,IF(AND(A196="Brazil",J196=2035),0.95,IF(AND(A196="Brazil",J196=2050),0.92,""))))))))))))))))))</f>
        <v>*0.93</v>
      </c>
      <c r="P196" s="32" t="s">
        <v>1070</v>
      </c>
      <c r="Q196" s="42" t="s">
        <v>57</v>
      </c>
      <c r="R196" s="32">
        <v>2035</v>
      </c>
      <c r="S196" s="43" t="str">
        <f t="shared" ref="S196:S259" si="28">"*"&amp;IF(AND(A196="EU",R196=2035),0.95,IF(AND(A196="EU",R196=2050),0.93,IF(AND(A196="USA",R196=2035),0.96,IF(AND(A196="USA",R196=2050),0.93,IF(AND(A196="Japan",R196=2035),0.94,IF(AND(A196="Japan",R196=2050),0.92,IF(AND(A196="Russia",R196=2035),0.95,IF(AND(A196="Russia",R196=2050),0.91,IF(AND(A196="China",R196=2035),0.93,IF(AND(A196="China",R196=2050),0.92,IF(AND(A196="India",R196=2035),0.94,IF(AND(A196="India",R196=2050),0.91,IF(AND(A196="Middle East",R196=2035),0.92,IF(AND(A196="Middle East",R196=2050),0.89,IF(AND(A196="Africa",R196=2035),0.93,IF(AND(A196="Africa",R196=2050),0.9,IF(AND(A196="Brazil",R196=2035),0.95,IF(AND(A196="Brazil",R196=2050),0.92,""))))))))))))))))))</f>
        <v>*0.95</v>
      </c>
      <c r="U196" s="32" t="s">
        <v>1070</v>
      </c>
      <c r="V196" s="42" t="s">
        <v>57</v>
      </c>
      <c r="W196" s="32">
        <v>2050</v>
      </c>
      <c r="X196" s="43" t="str">
        <f t="shared" ref="X196:X259" si="29">"*"&amp;IF(AND(A196="EU",W196=2035),0.95,IF(AND(A196="EU",W196=2050),0.93,IF(AND(A196="USA",W196=2035),0.96,IF(AND(A196="USA",W196=2050),0.93,IF(AND(A196="Japan",W196=2035),0.94,IF(AND(A196="Japan",W196=2050),0.92,IF(AND(A196="Russia",W196=2035),0.95,IF(AND(A196="Russia",W196=2050),0.91,IF(AND(A196="China",W196=2035),0.93,IF(AND(A196="China",W196=2050),0.92,IF(AND(A196="India",W196=2035),0.94,IF(AND(A196="India",W196=2050),0.91,IF(AND(A196="Middle East",W196=2035),0.92,IF(AND(A196="Middle East",W196=2050),0.89,IF(AND(A196="Africa",W196=2035),0.93,IF(AND(A196="Africa",W196=2050),0.9,IF(AND(A196="Brazil",W196=2035),0.95,IF(AND(A196="Brazil",W196=2050),0.92,""))))))))))))))))))</f>
        <v>*0.93</v>
      </c>
      <c r="AC196" s="33" t="s">
        <v>1070</v>
      </c>
      <c r="AD196" s="44" t="s">
        <v>57</v>
      </c>
      <c r="AE196" s="33">
        <v>2035</v>
      </c>
      <c r="AF196" s="45" t="str">
        <f t="shared" ref="AF196:AF259" si="30">"*"&amp;IF(AND(A196="EU",AE196=2035),0.93,IF(AND(A196="EU",AE196=2050),0.9,IF(AND(A196="USA",AE196=2035),0.92,IF(AND(A196="USA",AE196=2050),0.89,IF(AND(A196="Japan",AE196=2035),0.92,IF(AND(A196="Japan",AE196=2050),0.89,IF(AND(A196="Russia",AE196=2035),0.91,IF(AND(A196="Russia",AE196=2050),0.86,IF(AND(A196="China",AE196=2035),0.91,IF(AND(A196="China",AE196=2050),0.87,IF(AND(A196="India",AE196=2035),0.92,IF(AND(A196="India",AE196=2050),0.87,IF(AND(A196="Middle East",AE196=2035),0.89,IF(AND(A196="Middle East",AE196=2050),0.84,IF(AND(A196="Africa",AE196=2035),0.9,IF(AND(A196="Africa",AE196=2050),0.86,IF(AND(A196="Brazil",AE196=2035),0.93,IF(AND(A196="Brazil",AE196=2050),0.89,""))))))))))))))))))</f>
        <v>*0.93</v>
      </c>
      <c r="AG196" s="43" t="str">
        <f t="shared" si="24"/>
        <v>REZoning_Sol-Win</v>
      </c>
      <c r="AI196" s="33" t="s">
        <v>1070</v>
      </c>
      <c r="AJ196" s="44" t="s">
        <v>57</v>
      </c>
      <c r="AK196" s="33">
        <v>2050</v>
      </c>
      <c r="AL196" s="45" t="str">
        <f t="shared" ref="AL196:AL259" si="31">"*"&amp;IF(AND(A196="EU",AK196=2035),0.93,IF(AND(A196="EU",AK196=2050),0.9,IF(AND(A196="USA",AK196=2035),0.92,IF(AND(A196="USA",AK196=2050),0.89,IF(AND(A196="Japan",AK196=2035),0.92,IF(AND(A196="Japan",AK196=2050),0.89,IF(AND(A196="Russia",AK196=2035),0.91,IF(AND(A196="Russia",AK196=2050),0.86,IF(AND(A196="China",AK196=2035),0.91,IF(AND(A196="China",AK196=2050),0.87,IF(AND(A196="India",AK196=2035),0.92,IF(AND(A196="India",AK196=2050),0.87,IF(AND(A196="Middle East",AK196=2035),0.89,IF(AND(A196="Middle East",AK196=2050),0.84,IF(AND(A196="Africa",AK196=2035),0.9,IF(AND(A196="Africa",AK196=2050),0.86,IF(AND(A196="Brazil",AK196=2035),0.93,IF(AND(A196="Brazil",AK196=2050),0.89,""))))))))))))))))))</f>
        <v>*0.9</v>
      </c>
      <c r="AM196" s="43" t="str">
        <f t="shared" si="25"/>
        <v>REZoning_Sol-Win</v>
      </c>
      <c r="AP196" t="s">
        <v>1070</v>
      </c>
      <c r="AQ196" t="s">
        <v>57</v>
      </c>
      <c r="AR196">
        <v>2100</v>
      </c>
      <c r="AS196" t="s">
        <v>897</v>
      </c>
      <c r="AT196" t="s">
        <v>58</v>
      </c>
    </row>
    <row r="197" ht="29" spans="1:46">
      <c r="A197" s="31" t="s">
        <v>73</v>
      </c>
      <c r="C197" t="s">
        <v>1071</v>
      </c>
      <c r="D197" s="5" t="s">
        <v>57</v>
      </c>
      <c r="E197">
        <v>2035</v>
      </c>
      <c r="F197" s="6" t="str">
        <f t="shared" si="26"/>
        <v>*0.95</v>
      </c>
      <c r="H197" t="s">
        <v>1071</v>
      </c>
      <c r="I197" s="5" t="s">
        <v>57</v>
      </c>
      <c r="J197">
        <v>2050</v>
      </c>
      <c r="K197" s="38" t="str">
        <f t="shared" si="27"/>
        <v>*0.93</v>
      </c>
      <c r="P197" s="32" t="s">
        <v>1071</v>
      </c>
      <c r="Q197" s="42" t="s">
        <v>57</v>
      </c>
      <c r="R197" s="32">
        <v>2035</v>
      </c>
      <c r="S197" s="43" t="str">
        <f t="shared" si="28"/>
        <v>*0.95</v>
      </c>
      <c r="U197" s="32" t="s">
        <v>1071</v>
      </c>
      <c r="V197" s="42" t="s">
        <v>57</v>
      </c>
      <c r="W197" s="32">
        <v>2050</v>
      </c>
      <c r="X197" s="43" t="str">
        <f t="shared" si="29"/>
        <v>*0.93</v>
      </c>
      <c r="AC197" s="33" t="s">
        <v>1071</v>
      </c>
      <c r="AD197" s="44" t="s">
        <v>57</v>
      </c>
      <c r="AE197" s="33">
        <v>2035</v>
      </c>
      <c r="AF197" s="45" t="str">
        <f t="shared" si="30"/>
        <v>*0.93</v>
      </c>
      <c r="AG197" s="43" t="str">
        <f t="shared" si="24"/>
        <v>REZoning_Sol-Win</v>
      </c>
      <c r="AI197" s="33" t="s">
        <v>1071</v>
      </c>
      <c r="AJ197" s="44" t="s">
        <v>57</v>
      </c>
      <c r="AK197" s="33">
        <v>2050</v>
      </c>
      <c r="AL197" s="45" t="str">
        <f t="shared" si="31"/>
        <v>*0.9</v>
      </c>
      <c r="AM197" s="43" t="str">
        <f t="shared" si="25"/>
        <v>REZoning_Sol-Win</v>
      </c>
      <c r="AP197" t="s">
        <v>1071</v>
      </c>
      <c r="AQ197" t="s">
        <v>57</v>
      </c>
      <c r="AR197">
        <v>2100</v>
      </c>
      <c r="AS197" t="s">
        <v>897</v>
      </c>
      <c r="AT197" t="s">
        <v>58</v>
      </c>
    </row>
    <row r="198" ht="29" spans="1:46">
      <c r="A198" s="31" t="s">
        <v>73</v>
      </c>
      <c r="C198" t="s">
        <v>1072</v>
      </c>
      <c r="D198" s="5" t="s">
        <v>57</v>
      </c>
      <c r="E198">
        <v>2035</v>
      </c>
      <c r="F198" s="6" t="str">
        <f t="shared" si="26"/>
        <v>*0.95</v>
      </c>
      <c r="H198" t="s">
        <v>1072</v>
      </c>
      <c r="I198" s="5" t="s">
        <v>57</v>
      </c>
      <c r="J198">
        <v>2050</v>
      </c>
      <c r="K198" s="38" t="str">
        <f t="shared" si="27"/>
        <v>*0.93</v>
      </c>
      <c r="P198" s="32" t="s">
        <v>1072</v>
      </c>
      <c r="Q198" s="42" t="s">
        <v>57</v>
      </c>
      <c r="R198" s="32">
        <v>2035</v>
      </c>
      <c r="S198" s="43" t="str">
        <f t="shared" si="28"/>
        <v>*0.95</v>
      </c>
      <c r="U198" s="32" t="s">
        <v>1072</v>
      </c>
      <c r="V198" s="42" t="s">
        <v>57</v>
      </c>
      <c r="W198" s="32">
        <v>2050</v>
      </c>
      <c r="X198" s="43" t="str">
        <f t="shared" si="29"/>
        <v>*0.93</v>
      </c>
      <c r="AC198" s="33" t="s">
        <v>1072</v>
      </c>
      <c r="AD198" s="44" t="s">
        <v>57</v>
      </c>
      <c r="AE198" s="33">
        <v>2035</v>
      </c>
      <c r="AF198" s="45" t="str">
        <f t="shared" si="30"/>
        <v>*0.93</v>
      </c>
      <c r="AG198" s="43" t="str">
        <f t="shared" si="24"/>
        <v>REZoning_Sol-Win</v>
      </c>
      <c r="AI198" s="33" t="s">
        <v>1072</v>
      </c>
      <c r="AJ198" s="44" t="s">
        <v>57</v>
      </c>
      <c r="AK198" s="33">
        <v>2050</v>
      </c>
      <c r="AL198" s="45" t="str">
        <f t="shared" si="31"/>
        <v>*0.9</v>
      </c>
      <c r="AM198" s="43" t="str">
        <f t="shared" si="25"/>
        <v>REZoning_Sol-Win</v>
      </c>
      <c r="AP198" t="s">
        <v>1072</v>
      </c>
      <c r="AQ198" t="s">
        <v>57</v>
      </c>
      <c r="AR198">
        <v>2100</v>
      </c>
      <c r="AS198" t="s">
        <v>897</v>
      </c>
      <c r="AT198" t="s">
        <v>58</v>
      </c>
    </row>
    <row r="199" ht="29" spans="1:46">
      <c r="A199" s="31" t="s">
        <v>73</v>
      </c>
      <c r="C199" t="s">
        <v>1073</v>
      </c>
      <c r="D199" s="5" t="s">
        <v>57</v>
      </c>
      <c r="E199">
        <v>2035</v>
      </c>
      <c r="F199" s="6" t="str">
        <f t="shared" si="26"/>
        <v>*0.95</v>
      </c>
      <c r="H199" t="s">
        <v>1073</v>
      </c>
      <c r="I199" s="5" t="s">
        <v>57</v>
      </c>
      <c r="J199">
        <v>2050</v>
      </c>
      <c r="K199" s="38" t="str">
        <f t="shared" si="27"/>
        <v>*0.93</v>
      </c>
      <c r="P199" s="32" t="s">
        <v>1073</v>
      </c>
      <c r="Q199" s="42" t="s">
        <v>57</v>
      </c>
      <c r="R199" s="32">
        <v>2035</v>
      </c>
      <c r="S199" s="43" t="str">
        <f t="shared" si="28"/>
        <v>*0.95</v>
      </c>
      <c r="U199" s="32" t="s">
        <v>1073</v>
      </c>
      <c r="V199" s="42" t="s">
        <v>57</v>
      </c>
      <c r="W199" s="32">
        <v>2050</v>
      </c>
      <c r="X199" s="43" t="str">
        <f t="shared" si="29"/>
        <v>*0.93</v>
      </c>
      <c r="AC199" s="33" t="s">
        <v>1073</v>
      </c>
      <c r="AD199" s="44" t="s">
        <v>57</v>
      </c>
      <c r="AE199" s="33">
        <v>2035</v>
      </c>
      <c r="AF199" s="45" t="str">
        <f t="shared" si="30"/>
        <v>*0.93</v>
      </c>
      <c r="AG199" s="43" t="str">
        <f t="shared" si="24"/>
        <v>REZoning_Sol-Win</v>
      </c>
      <c r="AI199" s="33" t="s">
        <v>1073</v>
      </c>
      <c r="AJ199" s="44" t="s">
        <v>57</v>
      </c>
      <c r="AK199" s="33">
        <v>2050</v>
      </c>
      <c r="AL199" s="45" t="str">
        <f t="shared" si="31"/>
        <v>*0.9</v>
      </c>
      <c r="AM199" s="43" t="str">
        <f t="shared" si="25"/>
        <v>REZoning_Sol-Win</v>
      </c>
      <c r="AP199" t="s">
        <v>1073</v>
      </c>
      <c r="AQ199" t="s">
        <v>57</v>
      </c>
      <c r="AR199">
        <v>2100</v>
      </c>
      <c r="AS199" t="s">
        <v>897</v>
      </c>
      <c r="AT199" t="s">
        <v>58</v>
      </c>
    </row>
    <row r="200" ht="29" spans="1:46">
      <c r="A200" s="31" t="s">
        <v>73</v>
      </c>
      <c r="C200" t="s">
        <v>1074</v>
      </c>
      <c r="D200" s="5" t="s">
        <v>57</v>
      </c>
      <c r="E200">
        <v>2035</v>
      </c>
      <c r="F200" s="6" t="str">
        <f t="shared" si="26"/>
        <v>*0.95</v>
      </c>
      <c r="H200" t="s">
        <v>1074</v>
      </c>
      <c r="I200" s="5" t="s">
        <v>57</v>
      </c>
      <c r="J200">
        <v>2050</v>
      </c>
      <c r="K200" s="38" t="str">
        <f t="shared" si="27"/>
        <v>*0.93</v>
      </c>
      <c r="P200" s="32" t="s">
        <v>1074</v>
      </c>
      <c r="Q200" s="42" t="s">
        <v>57</v>
      </c>
      <c r="R200" s="32">
        <v>2035</v>
      </c>
      <c r="S200" s="43" t="str">
        <f t="shared" si="28"/>
        <v>*0.95</v>
      </c>
      <c r="U200" s="32" t="s">
        <v>1074</v>
      </c>
      <c r="V200" s="42" t="s">
        <v>57</v>
      </c>
      <c r="W200" s="32">
        <v>2050</v>
      </c>
      <c r="X200" s="43" t="str">
        <f t="shared" si="29"/>
        <v>*0.93</v>
      </c>
      <c r="AC200" s="33" t="s">
        <v>1074</v>
      </c>
      <c r="AD200" s="44" t="s">
        <v>57</v>
      </c>
      <c r="AE200" s="33">
        <v>2035</v>
      </c>
      <c r="AF200" s="45" t="str">
        <f t="shared" si="30"/>
        <v>*0.93</v>
      </c>
      <c r="AG200" s="43" t="str">
        <f t="shared" si="24"/>
        <v>REZoning_Sol-Win</v>
      </c>
      <c r="AI200" s="33" t="s">
        <v>1074</v>
      </c>
      <c r="AJ200" s="44" t="s">
        <v>57</v>
      </c>
      <c r="AK200" s="33">
        <v>2050</v>
      </c>
      <c r="AL200" s="45" t="str">
        <f t="shared" si="31"/>
        <v>*0.9</v>
      </c>
      <c r="AM200" s="43" t="str">
        <f t="shared" si="25"/>
        <v>REZoning_Sol-Win</v>
      </c>
      <c r="AP200" t="s">
        <v>1074</v>
      </c>
      <c r="AQ200" t="s">
        <v>57</v>
      </c>
      <c r="AR200">
        <v>2100</v>
      </c>
      <c r="AS200" t="s">
        <v>897</v>
      </c>
      <c r="AT200" t="s">
        <v>58</v>
      </c>
    </row>
    <row r="201" ht="29" spans="1:46">
      <c r="A201" s="31" t="s">
        <v>73</v>
      </c>
      <c r="C201" t="s">
        <v>1075</v>
      </c>
      <c r="D201" s="5" t="s">
        <v>57</v>
      </c>
      <c r="E201">
        <v>2035</v>
      </c>
      <c r="F201" s="6" t="str">
        <f t="shared" si="26"/>
        <v>*0.95</v>
      </c>
      <c r="H201" t="s">
        <v>1075</v>
      </c>
      <c r="I201" s="5" t="s">
        <v>57</v>
      </c>
      <c r="J201">
        <v>2050</v>
      </c>
      <c r="K201" s="38" t="str">
        <f t="shared" si="27"/>
        <v>*0.93</v>
      </c>
      <c r="P201" s="32" t="s">
        <v>1075</v>
      </c>
      <c r="Q201" s="42" t="s">
        <v>57</v>
      </c>
      <c r="R201" s="32">
        <v>2035</v>
      </c>
      <c r="S201" s="43" t="str">
        <f t="shared" si="28"/>
        <v>*0.95</v>
      </c>
      <c r="U201" s="32" t="s">
        <v>1075</v>
      </c>
      <c r="V201" s="42" t="s">
        <v>57</v>
      </c>
      <c r="W201" s="32">
        <v>2050</v>
      </c>
      <c r="X201" s="43" t="str">
        <f t="shared" si="29"/>
        <v>*0.93</v>
      </c>
      <c r="AC201" s="33" t="s">
        <v>1075</v>
      </c>
      <c r="AD201" s="44" t="s">
        <v>57</v>
      </c>
      <c r="AE201" s="33">
        <v>2035</v>
      </c>
      <c r="AF201" s="45" t="str">
        <f t="shared" si="30"/>
        <v>*0.93</v>
      </c>
      <c r="AG201" s="43" t="str">
        <f t="shared" ref="AG201:AG264" si="32">AG200</f>
        <v>REZoning_Sol-Win</v>
      </c>
      <c r="AI201" s="33" t="s">
        <v>1075</v>
      </c>
      <c r="AJ201" s="44" t="s">
        <v>57</v>
      </c>
      <c r="AK201" s="33">
        <v>2050</v>
      </c>
      <c r="AL201" s="45" t="str">
        <f t="shared" si="31"/>
        <v>*0.9</v>
      </c>
      <c r="AM201" s="43" t="str">
        <f t="shared" si="25"/>
        <v>REZoning_Sol-Win</v>
      </c>
      <c r="AP201" t="s">
        <v>1075</v>
      </c>
      <c r="AQ201" t="s">
        <v>57</v>
      </c>
      <c r="AR201">
        <v>2100</v>
      </c>
      <c r="AS201" t="s">
        <v>897</v>
      </c>
      <c r="AT201" t="s">
        <v>58</v>
      </c>
    </row>
    <row r="202" ht="29" spans="1:46">
      <c r="A202" s="31" t="s">
        <v>73</v>
      </c>
      <c r="C202" t="s">
        <v>1076</v>
      </c>
      <c r="D202" s="5" t="s">
        <v>57</v>
      </c>
      <c r="E202">
        <v>2035</v>
      </c>
      <c r="F202" s="6" t="str">
        <f t="shared" si="26"/>
        <v>*0.95</v>
      </c>
      <c r="H202" t="s">
        <v>1076</v>
      </c>
      <c r="I202" s="5" t="s">
        <v>57</v>
      </c>
      <c r="J202">
        <v>2050</v>
      </c>
      <c r="K202" s="38" t="str">
        <f t="shared" si="27"/>
        <v>*0.93</v>
      </c>
      <c r="P202" s="32" t="s">
        <v>1076</v>
      </c>
      <c r="Q202" s="42" t="s">
        <v>57</v>
      </c>
      <c r="R202" s="32">
        <v>2035</v>
      </c>
      <c r="S202" s="43" t="str">
        <f t="shared" si="28"/>
        <v>*0.95</v>
      </c>
      <c r="U202" s="32" t="s">
        <v>1076</v>
      </c>
      <c r="V202" s="42" t="s">
        <v>57</v>
      </c>
      <c r="W202" s="32">
        <v>2050</v>
      </c>
      <c r="X202" s="43" t="str">
        <f t="shared" si="29"/>
        <v>*0.93</v>
      </c>
      <c r="AC202" s="33" t="s">
        <v>1076</v>
      </c>
      <c r="AD202" s="44" t="s">
        <v>57</v>
      </c>
      <c r="AE202" s="33">
        <v>2035</v>
      </c>
      <c r="AF202" s="45" t="str">
        <f t="shared" si="30"/>
        <v>*0.93</v>
      </c>
      <c r="AG202" s="43" t="str">
        <f t="shared" si="32"/>
        <v>REZoning_Sol-Win</v>
      </c>
      <c r="AI202" s="33" t="s">
        <v>1076</v>
      </c>
      <c r="AJ202" s="44" t="s">
        <v>57</v>
      </c>
      <c r="AK202" s="33">
        <v>2050</v>
      </c>
      <c r="AL202" s="45" t="str">
        <f t="shared" si="31"/>
        <v>*0.9</v>
      </c>
      <c r="AM202" s="43" t="str">
        <f t="shared" ref="AM202:AM265" si="33">AM201</f>
        <v>REZoning_Sol-Win</v>
      </c>
      <c r="AP202" t="s">
        <v>1076</v>
      </c>
      <c r="AQ202" t="s">
        <v>57</v>
      </c>
      <c r="AR202">
        <v>2100</v>
      </c>
      <c r="AS202" t="s">
        <v>897</v>
      </c>
      <c r="AT202" t="s">
        <v>58</v>
      </c>
    </row>
    <row r="203" ht="29" spans="1:46">
      <c r="A203" s="31" t="s">
        <v>73</v>
      </c>
      <c r="C203" t="s">
        <v>1077</v>
      </c>
      <c r="D203" s="5" t="s">
        <v>57</v>
      </c>
      <c r="E203">
        <v>2035</v>
      </c>
      <c r="F203" s="6" t="str">
        <f t="shared" si="26"/>
        <v>*0.95</v>
      </c>
      <c r="H203" t="s">
        <v>1077</v>
      </c>
      <c r="I203" s="5" t="s">
        <v>57</v>
      </c>
      <c r="J203">
        <v>2050</v>
      </c>
      <c r="K203" s="38" t="str">
        <f t="shared" si="27"/>
        <v>*0.93</v>
      </c>
      <c r="P203" s="32" t="s">
        <v>1077</v>
      </c>
      <c r="Q203" s="42" t="s">
        <v>57</v>
      </c>
      <c r="R203" s="32">
        <v>2035</v>
      </c>
      <c r="S203" s="43" t="str">
        <f t="shared" si="28"/>
        <v>*0.95</v>
      </c>
      <c r="U203" s="32" t="s">
        <v>1077</v>
      </c>
      <c r="V203" s="42" t="s">
        <v>57</v>
      </c>
      <c r="W203" s="32">
        <v>2050</v>
      </c>
      <c r="X203" s="43" t="str">
        <f t="shared" si="29"/>
        <v>*0.93</v>
      </c>
      <c r="AC203" s="33" t="s">
        <v>1077</v>
      </c>
      <c r="AD203" s="44" t="s">
        <v>57</v>
      </c>
      <c r="AE203" s="33">
        <v>2035</v>
      </c>
      <c r="AF203" s="45" t="str">
        <f t="shared" si="30"/>
        <v>*0.93</v>
      </c>
      <c r="AG203" s="43" t="str">
        <f t="shared" si="32"/>
        <v>REZoning_Sol-Win</v>
      </c>
      <c r="AI203" s="33" t="s">
        <v>1077</v>
      </c>
      <c r="AJ203" s="44" t="s">
        <v>57</v>
      </c>
      <c r="AK203" s="33">
        <v>2050</v>
      </c>
      <c r="AL203" s="45" t="str">
        <f t="shared" si="31"/>
        <v>*0.9</v>
      </c>
      <c r="AM203" s="43" t="str">
        <f t="shared" si="33"/>
        <v>REZoning_Sol-Win</v>
      </c>
      <c r="AP203" t="s">
        <v>1077</v>
      </c>
      <c r="AQ203" t="s">
        <v>57</v>
      </c>
      <c r="AR203">
        <v>2100</v>
      </c>
      <c r="AS203" t="s">
        <v>897</v>
      </c>
      <c r="AT203" t="s">
        <v>58</v>
      </c>
    </row>
    <row r="204" ht="29" spans="1:46">
      <c r="A204" s="31" t="s">
        <v>73</v>
      </c>
      <c r="C204" t="s">
        <v>1078</v>
      </c>
      <c r="D204" s="5" t="s">
        <v>57</v>
      </c>
      <c r="E204">
        <v>2035</v>
      </c>
      <c r="F204" s="6" t="str">
        <f t="shared" si="26"/>
        <v>*0.95</v>
      </c>
      <c r="H204" t="s">
        <v>1078</v>
      </c>
      <c r="I204" s="5" t="s">
        <v>57</v>
      </c>
      <c r="J204">
        <v>2050</v>
      </c>
      <c r="K204" s="38" t="str">
        <f t="shared" si="27"/>
        <v>*0.93</v>
      </c>
      <c r="P204" s="32" t="s">
        <v>1078</v>
      </c>
      <c r="Q204" s="42" t="s">
        <v>57</v>
      </c>
      <c r="R204" s="32">
        <v>2035</v>
      </c>
      <c r="S204" s="43" t="str">
        <f t="shared" si="28"/>
        <v>*0.95</v>
      </c>
      <c r="U204" s="32" t="s">
        <v>1078</v>
      </c>
      <c r="V204" s="42" t="s">
        <v>57</v>
      </c>
      <c r="W204" s="32">
        <v>2050</v>
      </c>
      <c r="X204" s="43" t="str">
        <f t="shared" si="29"/>
        <v>*0.93</v>
      </c>
      <c r="AC204" s="33" t="s">
        <v>1078</v>
      </c>
      <c r="AD204" s="44" t="s">
        <v>57</v>
      </c>
      <c r="AE204" s="33">
        <v>2035</v>
      </c>
      <c r="AF204" s="45" t="str">
        <f t="shared" si="30"/>
        <v>*0.93</v>
      </c>
      <c r="AG204" s="43" t="str">
        <f t="shared" si="32"/>
        <v>REZoning_Sol-Win</v>
      </c>
      <c r="AI204" s="33" t="s">
        <v>1078</v>
      </c>
      <c r="AJ204" s="44" t="s">
        <v>57</v>
      </c>
      <c r="AK204" s="33">
        <v>2050</v>
      </c>
      <c r="AL204" s="45" t="str">
        <f t="shared" si="31"/>
        <v>*0.9</v>
      </c>
      <c r="AM204" s="43" t="str">
        <f t="shared" si="33"/>
        <v>REZoning_Sol-Win</v>
      </c>
      <c r="AP204" t="s">
        <v>1078</v>
      </c>
      <c r="AQ204" t="s">
        <v>57</v>
      </c>
      <c r="AR204">
        <v>2100</v>
      </c>
      <c r="AS204" t="s">
        <v>897</v>
      </c>
      <c r="AT204" t="s">
        <v>58</v>
      </c>
    </row>
    <row r="205" ht="29" spans="1:46">
      <c r="A205" s="31" t="s">
        <v>73</v>
      </c>
      <c r="C205" t="s">
        <v>1079</v>
      </c>
      <c r="D205" s="5" t="s">
        <v>57</v>
      </c>
      <c r="E205">
        <v>2035</v>
      </c>
      <c r="F205" s="6" t="str">
        <f t="shared" si="26"/>
        <v>*0.95</v>
      </c>
      <c r="H205" t="s">
        <v>1079</v>
      </c>
      <c r="I205" s="5" t="s">
        <v>57</v>
      </c>
      <c r="J205">
        <v>2050</v>
      </c>
      <c r="K205" s="38" t="str">
        <f t="shared" si="27"/>
        <v>*0.93</v>
      </c>
      <c r="P205" s="32" t="s">
        <v>1079</v>
      </c>
      <c r="Q205" s="42" t="s">
        <v>57</v>
      </c>
      <c r="R205" s="32">
        <v>2035</v>
      </c>
      <c r="S205" s="43" t="str">
        <f t="shared" si="28"/>
        <v>*0.95</v>
      </c>
      <c r="U205" s="32" t="s">
        <v>1079</v>
      </c>
      <c r="V205" s="42" t="s">
        <v>57</v>
      </c>
      <c r="W205" s="32">
        <v>2050</v>
      </c>
      <c r="X205" s="43" t="str">
        <f t="shared" si="29"/>
        <v>*0.93</v>
      </c>
      <c r="AC205" s="33" t="s">
        <v>1079</v>
      </c>
      <c r="AD205" s="44" t="s">
        <v>57</v>
      </c>
      <c r="AE205" s="33">
        <v>2035</v>
      </c>
      <c r="AF205" s="45" t="str">
        <f t="shared" si="30"/>
        <v>*0.93</v>
      </c>
      <c r="AG205" s="43" t="str">
        <f t="shared" si="32"/>
        <v>REZoning_Sol-Win</v>
      </c>
      <c r="AI205" s="33" t="s">
        <v>1079</v>
      </c>
      <c r="AJ205" s="44" t="s">
        <v>57</v>
      </c>
      <c r="AK205" s="33">
        <v>2050</v>
      </c>
      <c r="AL205" s="45" t="str">
        <f t="shared" si="31"/>
        <v>*0.9</v>
      </c>
      <c r="AM205" s="43" t="str">
        <f t="shared" si="33"/>
        <v>REZoning_Sol-Win</v>
      </c>
      <c r="AP205" t="s">
        <v>1079</v>
      </c>
      <c r="AQ205" t="s">
        <v>57</v>
      </c>
      <c r="AR205">
        <v>2100</v>
      </c>
      <c r="AS205" t="s">
        <v>897</v>
      </c>
      <c r="AT205" t="s">
        <v>58</v>
      </c>
    </row>
    <row r="206" ht="29" spans="1:46">
      <c r="A206" s="31" t="s">
        <v>73</v>
      </c>
      <c r="C206" t="s">
        <v>1080</v>
      </c>
      <c r="D206" s="5" t="s">
        <v>57</v>
      </c>
      <c r="E206">
        <v>2035</v>
      </c>
      <c r="F206" s="6" t="str">
        <f t="shared" si="26"/>
        <v>*0.95</v>
      </c>
      <c r="H206" t="s">
        <v>1080</v>
      </c>
      <c r="I206" s="5" t="s">
        <v>57</v>
      </c>
      <c r="J206">
        <v>2050</v>
      </c>
      <c r="K206" s="38" t="str">
        <f t="shared" si="27"/>
        <v>*0.93</v>
      </c>
      <c r="P206" s="32" t="s">
        <v>1080</v>
      </c>
      <c r="Q206" s="42" t="s">
        <v>57</v>
      </c>
      <c r="R206" s="32">
        <v>2035</v>
      </c>
      <c r="S206" s="43" t="str">
        <f t="shared" si="28"/>
        <v>*0.95</v>
      </c>
      <c r="U206" s="32" t="s">
        <v>1080</v>
      </c>
      <c r="V206" s="42" t="s">
        <v>57</v>
      </c>
      <c r="W206" s="32">
        <v>2050</v>
      </c>
      <c r="X206" s="43" t="str">
        <f t="shared" si="29"/>
        <v>*0.93</v>
      </c>
      <c r="AC206" s="33" t="s">
        <v>1080</v>
      </c>
      <c r="AD206" s="44" t="s">
        <v>57</v>
      </c>
      <c r="AE206" s="33">
        <v>2035</v>
      </c>
      <c r="AF206" s="45" t="str">
        <f t="shared" si="30"/>
        <v>*0.93</v>
      </c>
      <c r="AG206" s="43" t="str">
        <f t="shared" si="32"/>
        <v>REZoning_Sol-Win</v>
      </c>
      <c r="AI206" s="33" t="s">
        <v>1080</v>
      </c>
      <c r="AJ206" s="44" t="s">
        <v>57</v>
      </c>
      <c r="AK206" s="33">
        <v>2050</v>
      </c>
      <c r="AL206" s="45" t="str">
        <f t="shared" si="31"/>
        <v>*0.9</v>
      </c>
      <c r="AM206" s="43" t="str">
        <f t="shared" si="33"/>
        <v>REZoning_Sol-Win</v>
      </c>
      <c r="AP206" t="s">
        <v>1080</v>
      </c>
      <c r="AQ206" t="s">
        <v>57</v>
      </c>
      <c r="AR206">
        <v>2100</v>
      </c>
      <c r="AS206" t="s">
        <v>897</v>
      </c>
      <c r="AT206" t="s">
        <v>58</v>
      </c>
    </row>
    <row r="207" ht="29" spans="1:46">
      <c r="A207" s="31" t="s">
        <v>73</v>
      </c>
      <c r="C207" t="s">
        <v>1081</v>
      </c>
      <c r="D207" s="5" t="s">
        <v>57</v>
      </c>
      <c r="E207">
        <v>2035</v>
      </c>
      <c r="F207" s="6" t="str">
        <f t="shared" si="26"/>
        <v>*0.95</v>
      </c>
      <c r="H207" t="s">
        <v>1081</v>
      </c>
      <c r="I207" s="5" t="s">
        <v>57</v>
      </c>
      <c r="J207">
        <v>2050</v>
      </c>
      <c r="K207" s="38" t="str">
        <f t="shared" si="27"/>
        <v>*0.93</v>
      </c>
      <c r="P207" s="32" t="s">
        <v>1081</v>
      </c>
      <c r="Q207" s="42" t="s">
        <v>57</v>
      </c>
      <c r="R207" s="32">
        <v>2035</v>
      </c>
      <c r="S207" s="43" t="str">
        <f t="shared" si="28"/>
        <v>*0.95</v>
      </c>
      <c r="U207" s="32" t="s">
        <v>1081</v>
      </c>
      <c r="V207" s="42" t="s">
        <v>57</v>
      </c>
      <c r="W207" s="32">
        <v>2050</v>
      </c>
      <c r="X207" s="43" t="str">
        <f t="shared" si="29"/>
        <v>*0.93</v>
      </c>
      <c r="AC207" s="33" t="s">
        <v>1081</v>
      </c>
      <c r="AD207" s="44" t="s">
        <v>57</v>
      </c>
      <c r="AE207" s="33">
        <v>2035</v>
      </c>
      <c r="AF207" s="45" t="str">
        <f t="shared" si="30"/>
        <v>*0.93</v>
      </c>
      <c r="AG207" s="43" t="str">
        <f t="shared" si="32"/>
        <v>REZoning_Sol-Win</v>
      </c>
      <c r="AI207" s="33" t="s">
        <v>1081</v>
      </c>
      <c r="AJ207" s="44" t="s">
        <v>57</v>
      </c>
      <c r="AK207" s="33">
        <v>2050</v>
      </c>
      <c r="AL207" s="45" t="str">
        <f t="shared" si="31"/>
        <v>*0.9</v>
      </c>
      <c r="AM207" s="43" t="str">
        <f t="shared" si="33"/>
        <v>REZoning_Sol-Win</v>
      </c>
      <c r="AP207" t="s">
        <v>1081</v>
      </c>
      <c r="AQ207" t="s">
        <v>57</v>
      </c>
      <c r="AR207">
        <v>2100</v>
      </c>
      <c r="AS207" t="s">
        <v>897</v>
      </c>
      <c r="AT207" t="s">
        <v>58</v>
      </c>
    </row>
    <row r="208" ht="29" spans="1:46">
      <c r="A208" s="31" t="s">
        <v>73</v>
      </c>
      <c r="C208" t="s">
        <v>1082</v>
      </c>
      <c r="D208" s="5" t="s">
        <v>57</v>
      </c>
      <c r="E208">
        <v>2035</v>
      </c>
      <c r="F208" s="6" t="str">
        <f t="shared" si="26"/>
        <v>*0.95</v>
      </c>
      <c r="H208" t="s">
        <v>1082</v>
      </c>
      <c r="I208" s="5" t="s">
        <v>57</v>
      </c>
      <c r="J208">
        <v>2050</v>
      </c>
      <c r="K208" s="38" t="str">
        <f t="shared" si="27"/>
        <v>*0.93</v>
      </c>
      <c r="P208" s="32" t="s">
        <v>1082</v>
      </c>
      <c r="Q208" s="42" t="s">
        <v>57</v>
      </c>
      <c r="R208" s="32">
        <v>2035</v>
      </c>
      <c r="S208" s="43" t="str">
        <f t="shared" si="28"/>
        <v>*0.95</v>
      </c>
      <c r="U208" s="32" t="s">
        <v>1082</v>
      </c>
      <c r="V208" s="42" t="s">
        <v>57</v>
      </c>
      <c r="W208" s="32">
        <v>2050</v>
      </c>
      <c r="X208" s="43" t="str">
        <f t="shared" si="29"/>
        <v>*0.93</v>
      </c>
      <c r="AC208" s="33" t="s">
        <v>1082</v>
      </c>
      <c r="AD208" s="44" t="s">
        <v>57</v>
      </c>
      <c r="AE208" s="33">
        <v>2035</v>
      </c>
      <c r="AF208" s="45" t="str">
        <f t="shared" si="30"/>
        <v>*0.93</v>
      </c>
      <c r="AG208" s="43" t="str">
        <f t="shared" si="32"/>
        <v>REZoning_Sol-Win</v>
      </c>
      <c r="AI208" s="33" t="s">
        <v>1082</v>
      </c>
      <c r="AJ208" s="44" t="s">
        <v>57</v>
      </c>
      <c r="AK208" s="33">
        <v>2050</v>
      </c>
      <c r="AL208" s="45" t="str">
        <f t="shared" si="31"/>
        <v>*0.9</v>
      </c>
      <c r="AM208" s="43" t="str">
        <f t="shared" si="33"/>
        <v>REZoning_Sol-Win</v>
      </c>
      <c r="AP208" t="s">
        <v>1082</v>
      </c>
      <c r="AQ208" t="s">
        <v>57</v>
      </c>
      <c r="AR208">
        <v>2100</v>
      </c>
      <c r="AS208" t="s">
        <v>897</v>
      </c>
      <c r="AT208" t="s">
        <v>58</v>
      </c>
    </row>
    <row r="209" ht="29" spans="1:46">
      <c r="A209" s="31" t="s">
        <v>73</v>
      </c>
      <c r="C209" t="s">
        <v>1083</v>
      </c>
      <c r="D209" s="5" t="s">
        <v>57</v>
      </c>
      <c r="E209">
        <v>2035</v>
      </c>
      <c r="F209" s="6" t="str">
        <f t="shared" si="26"/>
        <v>*0.95</v>
      </c>
      <c r="H209" t="s">
        <v>1083</v>
      </c>
      <c r="I209" s="5" t="s">
        <v>57</v>
      </c>
      <c r="J209">
        <v>2050</v>
      </c>
      <c r="K209" s="38" t="str">
        <f t="shared" si="27"/>
        <v>*0.93</v>
      </c>
      <c r="P209" s="32" t="s">
        <v>1083</v>
      </c>
      <c r="Q209" s="42" t="s">
        <v>57</v>
      </c>
      <c r="R209" s="32">
        <v>2035</v>
      </c>
      <c r="S209" s="43" t="str">
        <f t="shared" si="28"/>
        <v>*0.95</v>
      </c>
      <c r="U209" s="32" t="s">
        <v>1083</v>
      </c>
      <c r="V209" s="42" t="s">
        <v>57</v>
      </c>
      <c r="W209" s="32">
        <v>2050</v>
      </c>
      <c r="X209" s="43" t="str">
        <f t="shared" si="29"/>
        <v>*0.93</v>
      </c>
      <c r="AC209" s="33" t="s">
        <v>1083</v>
      </c>
      <c r="AD209" s="44" t="s">
        <v>57</v>
      </c>
      <c r="AE209" s="33">
        <v>2035</v>
      </c>
      <c r="AF209" s="45" t="str">
        <f t="shared" si="30"/>
        <v>*0.93</v>
      </c>
      <c r="AG209" s="43" t="str">
        <f t="shared" si="32"/>
        <v>REZoning_Sol-Win</v>
      </c>
      <c r="AI209" s="33" t="s">
        <v>1083</v>
      </c>
      <c r="AJ209" s="44" t="s">
        <v>57</v>
      </c>
      <c r="AK209" s="33">
        <v>2050</v>
      </c>
      <c r="AL209" s="45" t="str">
        <f t="shared" si="31"/>
        <v>*0.9</v>
      </c>
      <c r="AM209" s="43" t="str">
        <f t="shared" si="33"/>
        <v>REZoning_Sol-Win</v>
      </c>
      <c r="AP209" t="s">
        <v>1083</v>
      </c>
      <c r="AQ209" t="s">
        <v>57</v>
      </c>
      <c r="AR209">
        <v>2100</v>
      </c>
      <c r="AS209" t="s">
        <v>897</v>
      </c>
      <c r="AT209" t="s">
        <v>58</v>
      </c>
    </row>
    <row r="210" ht="29" spans="1:46">
      <c r="A210" s="31" t="s">
        <v>73</v>
      </c>
      <c r="C210" t="s">
        <v>1084</v>
      </c>
      <c r="D210" s="5" t="s">
        <v>57</v>
      </c>
      <c r="E210">
        <v>2035</v>
      </c>
      <c r="F210" s="6" t="str">
        <f t="shared" si="26"/>
        <v>*0.95</v>
      </c>
      <c r="H210" t="s">
        <v>1084</v>
      </c>
      <c r="I210" s="5" t="s">
        <v>57</v>
      </c>
      <c r="J210">
        <v>2050</v>
      </c>
      <c r="K210" s="38" t="str">
        <f t="shared" si="27"/>
        <v>*0.93</v>
      </c>
      <c r="P210" s="32" t="s">
        <v>1084</v>
      </c>
      <c r="Q210" s="42" t="s">
        <v>57</v>
      </c>
      <c r="R210" s="32">
        <v>2035</v>
      </c>
      <c r="S210" s="43" t="str">
        <f t="shared" si="28"/>
        <v>*0.95</v>
      </c>
      <c r="U210" s="32" t="s">
        <v>1084</v>
      </c>
      <c r="V210" s="42" t="s">
        <v>57</v>
      </c>
      <c r="W210" s="32">
        <v>2050</v>
      </c>
      <c r="X210" s="43" t="str">
        <f t="shared" si="29"/>
        <v>*0.93</v>
      </c>
      <c r="AC210" s="33" t="s">
        <v>1084</v>
      </c>
      <c r="AD210" s="44" t="s">
        <v>57</v>
      </c>
      <c r="AE210" s="33">
        <v>2035</v>
      </c>
      <c r="AF210" s="45" t="str">
        <f t="shared" si="30"/>
        <v>*0.93</v>
      </c>
      <c r="AG210" s="43" t="str">
        <f t="shared" si="32"/>
        <v>REZoning_Sol-Win</v>
      </c>
      <c r="AI210" s="33" t="s">
        <v>1084</v>
      </c>
      <c r="AJ210" s="44" t="s">
        <v>57</v>
      </c>
      <c r="AK210" s="33">
        <v>2050</v>
      </c>
      <c r="AL210" s="45" t="str">
        <f t="shared" si="31"/>
        <v>*0.9</v>
      </c>
      <c r="AM210" s="43" t="str">
        <f t="shared" si="33"/>
        <v>REZoning_Sol-Win</v>
      </c>
      <c r="AP210" t="s">
        <v>1084</v>
      </c>
      <c r="AQ210" t="s">
        <v>57</v>
      </c>
      <c r="AR210">
        <v>2100</v>
      </c>
      <c r="AS210" t="s">
        <v>897</v>
      </c>
      <c r="AT210" t="s">
        <v>58</v>
      </c>
    </row>
    <row r="211" ht="29" spans="1:46">
      <c r="A211" s="31" t="s">
        <v>73</v>
      </c>
      <c r="C211" t="s">
        <v>1085</v>
      </c>
      <c r="D211" s="5" t="s">
        <v>57</v>
      </c>
      <c r="E211">
        <v>2035</v>
      </c>
      <c r="F211" s="6" t="str">
        <f t="shared" si="26"/>
        <v>*0.95</v>
      </c>
      <c r="H211" t="s">
        <v>1085</v>
      </c>
      <c r="I211" s="5" t="s">
        <v>57</v>
      </c>
      <c r="J211">
        <v>2050</v>
      </c>
      <c r="K211" s="38" t="str">
        <f t="shared" si="27"/>
        <v>*0.93</v>
      </c>
      <c r="P211" s="32" t="s">
        <v>1085</v>
      </c>
      <c r="Q211" s="42" t="s">
        <v>57</v>
      </c>
      <c r="R211" s="32">
        <v>2035</v>
      </c>
      <c r="S211" s="43" t="str">
        <f t="shared" si="28"/>
        <v>*0.95</v>
      </c>
      <c r="U211" s="32" t="s">
        <v>1085</v>
      </c>
      <c r="V211" s="42" t="s">
        <v>57</v>
      </c>
      <c r="W211" s="32">
        <v>2050</v>
      </c>
      <c r="X211" s="43" t="str">
        <f t="shared" si="29"/>
        <v>*0.93</v>
      </c>
      <c r="AC211" s="33" t="s">
        <v>1085</v>
      </c>
      <c r="AD211" s="44" t="s">
        <v>57</v>
      </c>
      <c r="AE211" s="33">
        <v>2035</v>
      </c>
      <c r="AF211" s="45" t="str">
        <f t="shared" si="30"/>
        <v>*0.93</v>
      </c>
      <c r="AG211" s="43" t="str">
        <f t="shared" si="32"/>
        <v>REZoning_Sol-Win</v>
      </c>
      <c r="AI211" s="33" t="s">
        <v>1085</v>
      </c>
      <c r="AJ211" s="44" t="s">
        <v>57</v>
      </c>
      <c r="AK211" s="33">
        <v>2050</v>
      </c>
      <c r="AL211" s="45" t="str">
        <f t="shared" si="31"/>
        <v>*0.9</v>
      </c>
      <c r="AM211" s="43" t="str">
        <f t="shared" si="33"/>
        <v>REZoning_Sol-Win</v>
      </c>
      <c r="AP211" t="s">
        <v>1085</v>
      </c>
      <c r="AQ211" t="s">
        <v>57</v>
      </c>
      <c r="AR211">
        <v>2100</v>
      </c>
      <c r="AS211" t="s">
        <v>897</v>
      </c>
      <c r="AT211" t="s">
        <v>58</v>
      </c>
    </row>
    <row r="212" ht="29" spans="1:46">
      <c r="A212" s="31" t="s">
        <v>73</v>
      </c>
      <c r="C212" t="s">
        <v>1086</v>
      </c>
      <c r="D212" s="5" t="s">
        <v>57</v>
      </c>
      <c r="E212">
        <v>2035</v>
      </c>
      <c r="F212" s="6" t="str">
        <f t="shared" si="26"/>
        <v>*0.95</v>
      </c>
      <c r="H212" t="s">
        <v>1086</v>
      </c>
      <c r="I212" s="5" t="s">
        <v>57</v>
      </c>
      <c r="J212">
        <v>2050</v>
      </c>
      <c r="K212" s="38" t="str">
        <f t="shared" si="27"/>
        <v>*0.93</v>
      </c>
      <c r="P212" s="32" t="s">
        <v>1086</v>
      </c>
      <c r="Q212" s="42" t="s">
        <v>57</v>
      </c>
      <c r="R212" s="32">
        <v>2035</v>
      </c>
      <c r="S212" s="43" t="str">
        <f t="shared" si="28"/>
        <v>*0.95</v>
      </c>
      <c r="U212" s="32" t="s">
        <v>1086</v>
      </c>
      <c r="V212" s="42" t="s">
        <v>57</v>
      </c>
      <c r="W212" s="32">
        <v>2050</v>
      </c>
      <c r="X212" s="43" t="str">
        <f t="shared" si="29"/>
        <v>*0.93</v>
      </c>
      <c r="AC212" s="33" t="s">
        <v>1086</v>
      </c>
      <c r="AD212" s="44" t="s">
        <v>57</v>
      </c>
      <c r="AE212" s="33">
        <v>2035</v>
      </c>
      <c r="AF212" s="45" t="str">
        <f t="shared" si="30"/>
        <v>*0.93</v>
      </c>
      <c r="AG212" s="43" t="str">
        <f t="shared" si="32"/>
        <v>REZoning_Sol-Win</v>
      </c>
      <c r="AI212" s="33" t="s">
        <v>1086</v>
      </c>
      <c r="AJ212" s="44" t="s">
        <v>57</v>
      </c>
      <c r="AK212" s="33">
        <v>2050</v>
      </c>
      <c r="AL212" s="45" t="str">
        <f t="shared" si="31"/>
        <v>*0.9</v>
      </c>
      <c r="AM212" s="43" t="str">
        <f t="shared" si="33"/>
        <v>REZoning_Sol-Win</v>
      </c>
      <c r="AP212" t="s">
        <v>1086</v>
      </c>
      <c r="AQ212" t="s">
        <v>57</v>
      </c>
      <c r="AR212">
        <v>2100</v>
      </c>
      <c r="AS212" t="s">
        <v>897</v>
      </c>
      <c r="AT212" t="s">
        <v>58</v>
      </c>
    </row>
    <row r="213" ht="29" spans="1:46">
      <c r="A213" s="31" t="s">
        <v>73</v>
      </c>
      <c r="C213" t="s">
        <v>1087</v>
      </c>
      <c r="D213" s="5" t="s">
        <v>57</v>
      </c>
      <c r="E213">
        <v>2035</v>
      </c>
      <c r="F213" s="6" t="str">
        <f t="shared" si="26"/>
        <v>*0.95</v>
      </c>
      <c r="H213" t="s">
        <v>1087</v>
      </c>
      <c r="I213" s="5" t="s">
        <v>57</v>
      </c>
      <c r="J213">
        <v>2050</v>
      </c>
      <c r="K213" s="38" t="str">
        <f t="shared" si="27"/>
        <v>*0.93</v>
      </c>
      <c r="P213" s="32" t="s">
        <v>1087</v>
      </c>
      <c r="Q213" s="42" t="s">
        <v>57</v>
      </c>
      <c r="R213" s="32">
        <v>2035</v>
      </c>
      <c r="S213" s="43" t="str">
        <f t="shared" si="28"/>
        <v>*0.95</v>
      </c>
      <c r="U213" s="32" t="s">
        <v>1087</v>
      </c>
      <c r="V213" s="42" t="s">
        <v>57</v>
      </c>
      <c r="W213" s="32">
        <v>2050</v>
      </c>
      <c r="X213" s="43" t="str">
        <f t="shared" si="29"/>
        <v>*0.93</v>
      </c>
      <c r="AC213" s="33" t="s">
        <v>1087</v>
      </c>
      <c r="AD213" s="44" t="s">
        <v>57</v>
      </c>
      <c r="AE213" s="33">
        <v>2035</v>
      </c>
      <c r="AF213" s="45" t="str">
        <f t="shared" si="30"/>
        <v>*0.93</v>
      </c>
      <c r="AG213" s="43" t="str">
        <f t="shared" si="32"/>
        <v>REZoning_Sol-Win</v>
      </c>
      <c r="AI213" s="33" t="s">
        <v>1087</v>
      </c>
      <c r="AJ213" s="44" t="s">
        <v>57</v>
      </c>
      <c r="AK213" s="33">
        <v>2050</v>
      </c>
      <c r="AL213" s="45" t="str">
        <f t="shared" si="31"/>
        <v>*0.9</v>
      </c>
      <c r="AM213" s="43" t="str">
        <f t="shared" si="33"/>
        <v>REZoning_Sol-Win</v>
      </c>
      <c r="AP213" t="s">
        <v>1087</v>
      </c>
      <c r="AQ213" t="s">
        <v>57</v>
      </c>
      <c r="AR213">
        <v>2100</v>
      </c>
      <c r="AS213" t="s">
        <v>897</v>
      </c>
      <c r="AT213" t="s">
        <v>58</v>
      </c>
    </row>
    <row r="214" ht="29" spans="1:46">
      <c r="A214" s="31" t="s">
        <v>73</v>
      </c>
      <c r="C214" t="s">
        <v>1088</v>
      </c>
      <c r="D214" s="5" t="s">
        <v>57</v>
      </c>
      <c r="E214">
        <v>2035</v>
      </c>
      <c r="F214" s="6" t="str">
        <f t="shared" si="26"/>
        <v>*0.95</v>
      </c>
      <c r="H214" t="s">
        <v>1088</v>
      </c>
      <c r="I214" s="5" t="s">
        <v>57</v>
      </c>
      <c r="J214">
        <v>2050</v>
      </c>
      <c r="K214" s="38" t="str">
        <f t="shared" si="27"/>
        <v>*0.93</v>
      </c>
      <c r="P214" s="32" t="s">
        <v>1088</v>
      </c>
      <c r="Q214" s="42" t="s">
        <v>57</v>
      </c>
      <c r="R214" s="32">
        <v>2035</v>
      </c>
      <c r="S214" s="43" t="str">
        <f t="shared" si="28"/>
        <v>*0.95</v>
      </c>
      <c r="U214" s="32" t="s">
        <v>1088</v>
      </c>
      <c r="V214" s="42" t="s">
        <v>57</v>
      </c>
      <c r="W214" s="32">
        <v>2050</v>
      </c>
      <c r="X214" s="43" t="str">
        <f t="shared" si="29"/>
        <v>*0.93</v>
      </c>
      <c r="AC214" s="33" t="s">
        <v>1088</v>
      </c>
      <c r="AD214" s="44" t="s">
        <v>57</v>
      </c>
      <c r="AE214" s="33">
        <v>2035</v>
      </c>
      <c r="AF214" s="45" t="str">
        <f t="shared" si="30"/>
        <v>*0.93</v>
      </c>
      <c r="AG214" s="43" t="str">
        <f t="shared" si="32"/>
        <v>REZoning_Sol-Win</v>
      </c>
      <c r="AI214" s="33" t="s">
        <v>1088</v>
      </c>
      <c r="AJ214" s="44" t="s">
        <v>57</v>
      </c>
      <c r="AK214" s="33">
        <v>2050</v>
      </c>
      <c r="AL214" s="45" t="str">
        <f t="shared" si="31"/>
        <v>*0.9</v>
      </c>
      <c r="AM214" s="43" t="str">
        <f t="shared" si="33"/>
        <v>REZoning_Sol-Win</v>
      </c>
      <c r="AP214" t="s">
        <v>1088</v>
      </c>
      <c r="AQ214" t="s">
        <v>57</v>
      </c>
      <c r="AR214">
        <v>2100</v>
      </c>
      <c r="AS214" t="s">
        <v>897</v>
      </c>
      <c r="AT214" t="s">
        <v>58</v>
      </c>
    </row>
    <row r="215" ht="29" spans="1:46">
      <c r="A215" s="31" t="s">
        <v>73</v>
      </c>
      <c r="C215" t="s">
        <v>1089</v>
      </c>
      <c r="D215" s="5" t="s">
        <v>57</v>
      </c>
      <c r="E215">
        <v>2035</v>
      </c>
      <c r="F215" s="6" t="str">
        <f t="shared" si="26"/>
        <v>*0.95</v>
      </c>
      <c r="H215" t="s">
        <v>1089</v>
      </c>
      <c r="I215" s="5" t="s">
        <v>57</v>
      </c>
      <c r="J215">
        <v>2050</v>
      </c>
      <c r="K215" s="38" t="str">
        <f t="shared" si="27"/>
        <v>*0.93</v>
      </c>
      <c r="P215" s="32" t="s">
        <v>1089</v>
      </c>
      <c r="Q215" s="42" t="s">
        <v>57</v>
      </c>
      <c r="R215" s="32">
        <v>2035</v>
      </c>
      <c r="S215" s="43" t="str">
        <f t="shared" si="28"/>
        <v>*0.95</v>
      </c>
      <c r="U215" s="32" t="s">
        <v>1089</v>
      </c>
      <c r="V215" s="42" t="s">
        <v>57</v>
      </c>
      <c r="W215" s="32">
        <v>2050</v>
      </c>
      <c r="X215" s="43" t="str">
        <f t="shared" si="29"/>
        <v>*0.93</v>
      </c>
      <c r="AC215" s="33" t="s">
        <v>1089</v>
      </c>
      <c r="AD215" s="44" t="s">
        <v>57</v>
      </c>
      <c r="AE215" s="33">
        <v>2035</v>
      </c>
      <c r="AF215" s="45" t="str">
        <f t="shared" si="30"/>
        <v>*0.93</v>
      </c>
      <c r="AG215" s="43" t="str">
        <f t="shared" si="32"/>
        <v>REZoning_Sol-Win</v>
      </c>
      <c r="AI215" s="33" t="s">
        <v>1089</v>
      </c>
      <c r="AJ215" s="44" t="s">
        <v>57</v>
      </c>
      <c r="AK215" s="33">
        <v>2050</v>
      </c>
      <c r="AL215" s="45" t="str">
        <f t="shared" si="31"/>
        <v>*0.9</v>
      </c>
      <c r="AM215" s="43" t="str">
        <f t="shared" si="33"/>
        <v>REZoning_Sol-Win</v>
      </c>
      <c r="AP215" t="s">
        <v>1089</v>
      </c>
      <c r="AQ215" t="s">
        <v>57</v>
      </c>
      <c r="AR215">
        <v>2100</v>
      </c>
      <c r="AS215" t="s">
        <v>897</v>
      </c>
      <c r="AT215" t="s">
        <v>58</v>
      </c>
    </row>
    <row r="216" ht="29" spans="1:46">
      <c r="A216" s="31" t="s">
        <v>73</v>
      </c>
      <c r="C216" t="s">
        <v>1090</v>
      </c>
      <c r="D216" s="5" t="s">
        <v>57</v>
      </c>
      <c r="E216">
        <v>2035</v>
      </c>
      <c r="F216" s="6" t="str">
        <f t="shared" si="26"/>
        <v>*0.95</v>
      </c>
      <c r="H216" t="s">
        <v>1090</v>
      </c>
      <c r="I216" s="5" t="s">
        <v>57</v>
      </c>
      <c r="J216">
        <v>2050</v>
      </c>
      <c r="K216" s="38" t="str">
        <f t="shared" si="27"/>
        <v>*0.93</v>
      </c>
      <c r="P216" s="32" t="s">
        <v>1090</v>
      </c>
      <c r="Q216" s="42" t="s">
        <v>57</v>
      </c>
      <c r="R216" s="32">
        <v>2035</v>
      </c>
      <c r="S216" s="43" t="str">
        <f t="shared" si="28"/>
        <v>*0.95</v>
      </c>
      <c r="U216" s="32" t="s">
        <v>1090</v>
      </c>
      <c r="V216" s="42" t="s">
        <v>57</v>
      </c>
      <c r="W216" s="32">
        <v>2050</v>
      </c>
      <c r="X216" s="43" t="str">
        <f t="shared" si="29"/>
        <v>*0.93</v>
      </c>
      <c r="AC216" s="33" t="s">
        <v>1090</v>
      </c>
      <c r="AD216" s="44" t="s">
        <v>57</v>
      </c>
      <c r="AE216" s="33">
        <v>2035</v>
      </c>
      <c r="AF216" s="45" t="str">
        <f t="shared" si="30"/>
        <v>*0.93</v>
      </c>
      <c r="AG216" s="43" t="str">
        <f t="shared" si="32"/>
        <v>REZoning_Sol-Win</v>
      </c>
      <c r="AI216" s="33" t="s">
        <v>1090</v>
      </c>
      <c r="AJ216" s="44" t="s">
        <v>57</v>
      </c>
      <c r="AK216" s="33">
        <v>2050</v>
      </c>
      <c r="AL216" s="45" t="str">
        <f t="shared" si="31"/>
        <v>*0.9</v>
      </c>
      <c r="AM216" s="43" t="str">
        <f t="shared" si="33"/>
        <v>REZoning_Sol-Win</v>
      </c>
      <c r="AP216" t="s">
        <v>1090</v>
      </c>
      <c r="AQ216" t="s">
        <v>57</v>
      </c>
      <c r="AR216">
        <v>2100</v>
      </c>
      <c r="AS216" t="s">
        <v>897</v>
      </c>
      <c r="AT216" t="s">
        <v>58</v>
      </c>
    </row>
    <row r="217" ht="29" spans="1:46">
      <c r="A217" s="31" t="s">
        <v>73</v>
      </c>
      <c r="C217" t="s">
        <v>1091</v>
      </c>
      <c r="D217" s="5" t="s">
        <v>57</v>
      </c>
      <c r="E217">
        <v>2035</v>
      </c>
      <c r="F217" s="6" t="str">
        <f t="shared" si="26"/>
        <v>*0.95</v>
      </c>
      <c r="H217" t="s">
        <v>1091</v>
      </c>
      <c r="I217" s="5" t="s">
        <v>57</v>
      </c>
      <c r="J217">
        <v>2050</v>
      </c>
      <c r="K217" s="38" t="str">
        <f t="shared" si="27"/>
        <v>*0.93</v>
      </c>
      <c r="P217" s="32" t="s">
        <v>1091</v>
      </c>
      <c r="Q217" s="42" t="s">
        <v>57</v>
      </c>
      <c r="R217" s="32">
        <v>2035</v>
      </c>
      <c r="S217" s="43" t="str">
        <f t="shared" si="28"/>
        <v>*0.95</v>
      </c>
      <c r="U217" s="32" t="s">
        <v>1091</v>
      </c>
      <c r="V217" s="42" t="s">
        <v>57</v>
      </c>
      <c r="W217" s="32">
        <v>2050</v>
      </c>
      <c r="X217" s="43" t="str">
        <f t="shared" si="29"/>
        <v>*0.93</v>
      </c>
      <c r="AC217" s="33" t="s">
        <v>1091</v>
      </c>
      <c r="AD217" s="44" t="s">
        <v>57</v>
      </c>
      <c r="AE217" s="33">
        <v>2035</v>
      </c>
      <c r="AF217" s="45" t="str">
        <f t="shared" si="30"/>
        <v>*0.93</v>
      </c>
      <c r="AG217" s="43" t="str">
        <f t="shared" si="32"/>
        <v>REZoning_Sol-Win</v>
      </c>
      <c r="AI217" s="33" t="s">
        <v>1091</v>
      </c>
      <c r="AJ217" s="44" t="s">
        <v>57</v>
      </c>
      <c r="AK217" s="33">
        <v>2050</v>
      </c>
      <c r="AL217" s="45" t="str">
        <f t="shared" si="31"/>
        <v>*0.9</v>
      </c>
      <c r="AM217" s="43" t="str">
        <f t="shared" si="33"/>
        <v>REZoning_Sol-Win</v>
      </c>
      <c r="AP217" t="s">
        <v>1091</v>
      </c>
      <c r="AQ217" t="s">
        <v>57</v>
      </c>
      <c r="AR217">
        <v>2100</v>
      </c>
      <c r="AS217" t="s">
        <v>897</v>
      </c>
      <c r="AT217" t="s">
        <v>58</v>
      </c>
    </row>
    <row r="218" ht="29" spans="1:46">
      <c r="A218" s="31" t="s">
        <v>73</v>
      </c>
      <c r="C218" t="s">
        <v>1092</v>
      </c>
      <c r="D218" s="5" t="s">
        <v>57</v>
      </c>
      <c r="E218">
        <v>2035</v>
      </c>
      <c r="F218" s="6" t="str">
        <f t="shared" si="26"/>
        <v>*0.95</v>
      </c>
      <c r="H218" t="s">
        <v>1092</v>
      </c>
      <c r="I218" s="5" t="s">
        <v>57</v>
      </c>
      <c r="J218">
        <v>2050</v>
      </c>
      <c r="K218" s="38" t="str">
        <f t="shared" si="27"/>
        <v>*0.93</v>
      </c>
      <c r="P218" s="32" t="s">
        <v>1092</v>
      </c>
      <c r="Q218" s="42" t="s">
        <v>57</v>
      </c>
      <c r="R218" s="32">
        <v>2035</v>
      </c>
      <c r="S218" s="43" t="str">
        <f t="shared" si="28"/>
        <v>*0.95</v>
      </c>
      <c r="U218" s="32" t="s">
        <v>1092</v>
      </c>
      <c r="V218" s="42" t="s">
        <v>57</v>
      </c>
      <c r="W218" s="32">
        <v>2050</v>
      </c>
      <c r="X218" s="43" t="str">
        <f t="shared" si="29"/>
        <v>*0.93</v>
      </c>
      <c r="AC218" s="33" t="s">
        <v>1092</v>
      </c>
      <c r="AD218" s="44" t="s">
        <v>57</v>
      </c>
      <c r="AE218" s="33">
        <v>2035</v>
      </c>
      <c r="AF218" s="45" t="str">
        <f t="shared" si="30"/>
        <v>*0.93</v>
      </c>
      <c r="AG218" s="43" t="str">
        <f t="shared" si="32"/>
        <v>REZoning_Sol-Win</v>
      </c>
      <c r="AI218" s="33" t="s">
        <v>1092</v>
      </c>
      <c r="AJ218" s="44" t="s">
        <v>57</v>
      </c>
      <c r="AK218" s="33">
        <v>2050</v>
      </c>
      <c r="AL218" s="45" t="str">
        <f t="shared" si="31"/>
        <v>*0.9</v>
      </c>
      <c r="AM218" s="43" t="str">
        <f t="shared" si="33"/>
        <v>REZoning_Sol-Win</v>
      </c>
      <c r="AP218" t="s">
        <v>1092</v>
      </c>
      <c r="AQ218" t="s">
        <v>57</v>
      </c>
      <c r="AR218">
        <v>2100</v>
      </c>
      <c r="AS218" t="s">
        <v>897</v>
      </c>
      <c r="AT218" t="s">
        <v>58</v>
      </c>
    </row>
    <row r="219" ht="29" spans="1:46">
      <c r="A219" s="31" t="s">
        <v>73</v>
      </c>
      <c r="C219" t="s">
        <v>1093</v>
      </c>
      <c r="D219" s="5" t="s">
        <v>57</v>
      </c>
      <c r="E219">
        <v>2035</v>
      </c>
      <c r="F219" s="6" t="str">
        <f t="shared" si="26"/>
        <v>*0.95</v>
      </c>
      <c r="H219" t="s">
        <v>1093</v>
      </c>
      <c r="I219" s="5" t="s">
        <v>57</v>
      </c>
      <c r="J219">
        <v>2050</v>
      </c>
      <c r="K219" s="38" t="str">
        <f t="shared" si="27"/>
        <v>*0.93</v>
      </c>
      <c r="P219" s="32" t="s">
        <v>1093</v>
      </c>
      <c r="Q219" s="42" t="s">
        <v>57</v>
      </c>
      <c r="R219" s="32">
        <v>2035</v>
      </c>
      <c r="S219" s="43" t="str">
        <f t="shared" si="28"/>
        <v>*0.95</v>
      </c>
      <c r="U219" s="32" t="s">
        <v>1093</v>
      </c>
      <c r="V219" s="42" t="s">
        <v>57</v>
      </c>
      <c r="W219" s="32">
        <v>2050</v>
      </c>
      <c r="X219" s="43" t="str">
        <f t="shared" si="29"/>
        <v>*0.93</v>
      </c>
      <c r="AC219" s="33" t="s">
        <v>1093</v>
      </c>
      <c r="AD219" s="44" t="s">
        <v>57</v>
      </c>
      <c r="AE219" s="33">
        <v>2035</v>
      </c>
      <c r="AF219" s="45" t="str">
        <f t="shared" si="30"/>
        <v>*0.93</v>
      </c>
      <c r="AG219" s="43" t="str">
        <f t="shared" si="32"/>
        <v>REZoning_Sol-Win</v>
      </c>
      <c r="AI219" s="33" t="s">
        <v>1093</v>
      </c>
      <c r="AJ219" s="44" t="s">
        <v>57</v>
      </c>
      <c r="AK219" s="33">
        <v>2050</v>
      </c>
      <c r="AL219" s="45" t="str">
        <f t="shared" si="31"/>
        <v>*0.9</v>
      </c>
      <c r="AM219" s="43" t="str">
        <f t="shared" si="33"/>
        <v>REZoning_Sol-Win</v>
      </c>
      <c r="AP219" t="s">
        <v>1093</v>
      </c>
      <c r="AQ219" t="s">
        <v>57</v>
      </c>
      <c r="AR219">
        <v>2100</v>
      </c>
      <c r="AS219" t="s">
        <v>897</v>
      </c>
      <c r="AT219" t="s">
        <v>58</v>
      </c>
    </row>
    <row r="220" ht="29" spans="1:46">
      <c r="A220" s="31" t="s">
        <v>95</v>
      </c>
      <c r="C220" t="s">
        <v>1094</v>
      </c>
      <c r="D220" s="5" t="s">
        <v>57</v>
      </c>
      <c r="E220">
        <v>2035</v>
      </c>
      <c r="F220" s="6" t="str">
        <f t="shared" si="26"/>
        <v>*0.95</v>
      </c>
      <c r="H220" t="s">
        <v>1094</v>
      </c>
      <c r="I220" s="5" t="s">
        <v>57</v>
      </c>
      <c r="J220">
        <v>2050</v>
      </c>
      <c r="K220" s="38" t="str">
        <f t="shared" si="27"/>
        <v>*0.93</v>
      </c>
      <c r="P220" s="32" t="s">
        <v>1094</v>
      </c>
      <c r="Q220" s="42" t="s">
        <v>57</v>
      </c>
      <c r="R220" s="32">
        <v>2035</v>
      </c>
      <c r="S220" s="43" t="str">
        <f t="shared" si="28"/>
        <v>*0.95</v>
      </c>
      <c r="U220" s="32" t="s">
        <v>1094</v>
      </c>
      <c r="V220" s="42" t="s">
        <v>57</v>
      </c>
      <c r="W220" s="32">
        <v>2050</v>
      </c>
      <c r="X220" s="43" t="str">
        <f t="shared" si="29"/>
        <v>*0.91</v>
      </c>
      <c r="AC220" s="33" t="s">
        <v>1094</v>
      </c>
      <c r="AD220" s="44" t="s">
        <v>57</v>
      </c>
      <c r="AE220" s="33">
        <v>2035</v>
      </c>
      <c r="AF220" s="45" t="str">
        <f t="shared" si="30"/>
        <v>*0.91</v>
      </c>
      <c r="AG220" s="43" t="str">
        <f t="shared" si="32"/>
        <v>REZoning_Sol-Win</v>
      </c>
      <c r="AI220" s="33" t="s">
        <v>1094</v>
      </c>
      <c r="AJ220" s="44" t="s">
        <v>57</v>
      </c>
      <c r="AK220" s="33">
        <v>2050</v>
      </c>
      <c r="AL220" s="45" t="str">
        <f t="shared" si="31"/>
        <v>*0.86</v>
      </c>
      <c r="AM220" s="43" t="str">
        <f t="shared" si="33"/>
        <v>REZoning_Sol-Win</v>
      </c>
      <c r="AP220" t="s">
        <v>1094</v>
      </c>
      <c r="AQ220" t="s">
        <v>57</v>
      </c>
      <c r="AR220">
        <v>2100</v>
      </c>
      <c r="AS220" t="s">
        <v>883</v>
      </c>
      <c r="AT220" t="s">
        <v>58</v>
      </c>
    </row>
    <row r="221" ht="29" spans="1:46">
      <c r="A221" s="31" t="s">
        <v>95</v>
      </c>
      <c r="C221" t="s">
        <v>1095</v>
      </c>
      <c r="D221" s="5" t="s">
        <v>57</v>
      </c>
      <c r="E221">
        <v>2035</v>
      </c>
      <c r="F221" s="6" t="str">
        <f t="shared" si="26"/>
        <v>*0.95</v>
      </c>
      <c r="H221" t="s">
        <v>1095</v>
      </c>
      <c r="I221" s="5" t="s">
        <v>57</v>
      </c>
      <c r="J221">
        <v>2050</v>
      </c>
      <c r="K221" s="38" t="str">
        <f t="shared" si="27"/>
        <v>*0.93</v>
      </c>
      <c r="P221" s="32" t="s">
        <v>1095</v>
      </c>
      <c r="Q221" s="42" t="s">
        <v>57</v>
      </c>
      <c r="R221" s="32">
        <v>2035</v>
      </c>
      <c r="S221" s="43" t="str">
        <f t="shared" si="28"/>
        <v>*0.95</v>
      </c>
      <c r="U221" s="32" t="s">
        <v>1095</v>
      </c>
      <c r="V221" s="42" t="s">
        <v>57</v>
      </c>
      <c r="W221" s="32">
        <v>2050</v>
      </c>
      <c r="X221" s="43" t="str">
        <f t="shared" si="29"/>
        <v>*0.91</v>
      </c>
      <c r="AC221" s="33" t="s">
        <v>1095</v>
      </c>
      <c r="AD221" s="44" t="s">
        <v>57</v>
      </c>
      <c r="AE221" s="33">
        <v>2035</v>
      </c>
      <c r="AF221" s="45" t="str">
        <f t="shared" si="30"/>
        <v>*0.91</v>
      </c>
      <c r="AG221" s="43" t="str">
        <f t="shared" si="32"/>
        <v>REZoning_Sol-Win</v>
      </c>
      <c r="AI221" s="33" t="s">
        <v>1095</v>
      </c>
      <c r="AJ221" s="44" t="s">
        <v>57</v>
      </c>
      <c r="AK221" s="33">
        <v>2050</v>
      </c>
      <c r="AL221" s="45" t="str">
        <f t="shared" si="31"/>
        <v>*0.86</v>
      </c>
      <c r="AM221" s="43" t="str">
        <f t="shared" si="33"/>
        <v>REZoning_Sol-Win</v>
      </c>
      <c r="AP221" t="s">
        <v>1095</v>
      </c>
      <c r="AQ221" t="s">
        <v>57</v>
      </c>
      <c r="AR221">
        <v>2100</v>
      </c>
      <c r="AS221" t="s">
        <v>883</v>
      </c>
      <c r="AT221" t="s">
        <v>58</v>
      </c>
    </row>
    <row r="222" ht="29" spans="1:46">
      <c r="A222" s="31" t="s">
        <v>95</v>
      </c>
      <c r="C222" t="s">
        <v>1096</v>
      </c>
      <c r="D222" s="5" t="s">
        <v>57</v>
      </c>
      <c r="E222">
        <v>2035</v>
      </c>
      <c r="F222" s="6" t="str">
        <f t="shared" si="26"/>
        <v>*0.95</v>
      </c>
      <c r="H222" t="s">
        <v>1096</v>
      </c>
      <c r="I222" s="5" t="s">
        <v>57</v>
      </c>
      <c r="J222">
        <v>2050</v>
      </c>
      <c r="K222" s="38" t="str">
        <f t="shared" si="27"/>
        <v>*0.93</v>
      </c>
      <c r="P222" s="32" t="s">
        <v>1096</v>
      </c>
      <c r="Q222" s="42" t="s">
        <v>57</v>
      </c>
      <c r="R222" s="32">
        <v>2035</v>
      </c>
      <c r="S222" s="43" t="str">
        <f t="shared" si="28"/>
        <v>*0.95</v>
      </c>
      <c r="U222" s="32" t="s">
        <v>1096</v>
      </c>
      <c r="V222" s="42" t="s">
        <v>57</v>
      </c>
      <c r="W222" s="32">
        <v>2050</v>
      </c>
      <c r="X222" s="43" t="str">
        <f t="shared" si="29"/>
        <v>*0.91</v>
      </c>
      <c r="AC222" s="33" t="s">
        <v>1096</v>
      </c>
      <c r="AD222" s="44" t="s">
        <v>57</v>
      </c>
      <c r="AE222" s="33">
        <v>2035</v>
      </c>
      <c r="AF222" s="45" t="str">
        <f t="shared" si="30"/>
        <v>*0.91</v>
      </c>
      <c r="AG222" s="43" t="str">
        <f t="shared" si="32"/>
        <v>REZoning_Sol-Win</v>
      </c>
      <c r="AI222" s="33" t="s">
        <v>1096</v>
      </c>
      <c r="AJ222" s="44" t="s">
        <v>57</v>
      </c>
      <c r="AK222" s="33">
        <v>2050</v>
      </c>
      <c r="AL222" s="45" t="str">
        <f t="shared" si="31"/>
        <v>*0.86</v>
      </c>
      <c r="AM222" s="43" t="str">
        <f t="shared" si="33"/>
        <v>REZoning_Sol-Win</v>
      </c>
      <c r="AP222" t="s">
        <v>1096</v>
      </c>
      <c r="AQ222" t="s">
        <v>57</v>
      </c>
      <c r="AR222">
        <v>2100</v>
      </c>
      <c r="AS222" t="s">
        <v>883</v>
      </c>
      <c r="AT222" t="s">
        <v>58</v>
      </c>
    </row>
    <row r="223" ht="29" spans="1:46">
      <c r="A223" s="31" t="s">
        <v>95</v>
      </c>
      <c r="C223" t="s">
        <v>1097</v>
      </c>
      <c r="D223" s="5" t="s">
        <v>57</v>
      </c>
      <c r="E223">
        <v>2035</v>
      </c>
      <c r="F223" s="6" t="str">
        <f t="shared" si="26"/>
        <v>*0.95</v>
      </c>
      <c r="H223" t="s">
        <v>1097</v>
      </c>
      <c r="I223" s="5" t="s">
        <v>57</v>
      </c>
      <c r="J223">
        <v>2050</v>
      </c>
      <c r="K223" s="38" t="str">
        <f t="shared" si="27"/>
        <v>*0.93</v>
      </c>
      <c r="P223" s="32" t="s">
        <v>1097</v>
      </c>
      <c r="Q223" s="42" t="s">
        <v>57</v>
      </c>
      <c r="R223" s="32">
        <v>2035</v>
      </c>
      <c r="S223" s="43" t="str">
        <f t="shared" si="28"/>
        <v>*0.95</v>
      </c>
      <c r="U223" s="32" t="s">
        <v>1097</v>
      </c>
      <c r="V223" s="42" t="s">
        <v>57</v>
      </c>
      <c r="W223" s="32">
        <v>2050</v>
      </c>
      <c r="X223" s="43" t="str">
        <f t="shared" si="29"/>
        <v>*0.91</v>
      </c>
      <c r="AC223" s="33" t="s">
        <v>1097</v>
      </c>
      <c r="AD223" s="44" t="s">
        <v>57</v>
      </c>
      <c r="AE223" s="33">
        <v>2035</v>
      </c>
      <c r="AF223" s="45" t="str">
        <f t="shared" si="30"/>
        <v>*0.91</v>
      </c>
      <c r="AG223" s="43" t="str">
        <f t="shared" si="32"/>
        <v>REZoning_Sol-Win</v>
      </c>
      <c r="AI223" s="33" t="s">
        <v>1097</v>
      </c>
      <c r="AJ223" s="44" t="s">
        <v>57</v>
      </c>
      <c r="AK223" s="33">
        <v>2050</v>
      </c>
      <c r="AL223" s="45" t="str">
        <f t="shared" si="31"/>
        <v>*0.86</v>
      </c>
      <c r="AM223" s="43" t="str">
        <f t="shared" si="33"/>
        <v>REZoning_Sol-Win</v>
      </c>
      <c r="AP223" t="s">
        <v>1097</v>
      </c>
      <c r="AQ223" t="s">
        <v>57</v>
      </c>
      <c r="AR223">
        <v>2100</v>
      </c>
      <c r="AS223" t="s">
        <v>883</v>
      </c>
      <c r="AT223" t="s">
        <v>58</v>
      </c>
    </row>
    <row r="224" ht="29" spans="1:46">
      <c r="A224" s="31" t="s">
        <v>83</v>
      </c>
      <c r="C224" t="s">
        <v>1098</v>
      </c>
      <c r="D224" s="5" t="s">
        <v>57</v>
      </c>
      <c r="E224">
        <v>2035</v>
      </c>
      <c r="F224" s="6" t="str">
        <f t="shared" si="26"/>
        <v>*0.95</v>
      </c>
      <c r="H224" t="s">
        <v>1098</v>
      </c>
      <c r="I224" s="5" t="s">
        <v>57</v>
      </c>
      <c r="J224">
        <v>2050</v>
      </c>
      <c r="K224" s="38" t="str">
        <f t="shared" si="27"/>
        <v>*0.92</v>
      </c>
      <c r="P224" s="32" t="s">
        <v>1098</v>
      </c>
      <c r="Q224" s="42" t="s">
        <v>57</v>
      </c>
      <c r="R224" s="32">
        <v>2035</v>
      </c>
      <c r="S224" s="43" t="str">
        <f t="shared" si="28"/>
        <v>*0.95</v>
      </c>
      <c r="U224" s="32" t="s">
        <v>1098</v>
      </c>
      <c r="V224" s="42" t="s">
        <v>57</v>
      </c>
      <c r="W224" s="32">
        <v>2050</v>
      </c>
      <c r="X224" s="43" t="str">
        <f t="shared" si="29"/>
        <v>*0.92</v>
      </c>
      <c r="AC224" s="33" t="s">
        <v>1098</v>
      </c>
      <c r="AD224" s="44" t="s">
        <v>57</v>
      </c>
      <c r="AE224" s="33">
        <v>2035</v>
      </c>
      <c r="AF224" s="45" t="str">
        <f t="shared" si="30"/>
        <v>*0.93</v>
      </c>
      <c r="AG224" s="43" t="str">
        <f t="shared" si="32"/>
        <v>REZoning_Sol-Win</v>
      </c>
      <c r="AI224" s="33" t="s">
        <v>1098</v>
      </c>
      <c r="AJ224" s="44" t="s">
        <v>57</v>
      </c>
      <c r="AK224" s="33">
        <v>2050</v>
      </c>
      <c r="AL224" s="45" t="str">
        <f t="shared" si="31"/>
        <v>*0.89</v>
      </c>
      <c r="AM224" s="43" t="str">
        <f t="shared" si="33"/>
        <v>REZoning_Sol-Win</v>
      </c>
      <c r="AP224" t="s">
        <v>1098</v>
      </c>
      <c r="AQ224" t="s">
        <v>57</v>
      </c>
      <c r="AR224">
        <v>2100</v>
      </c>
      <c r="AS224" t="s">
        <v>937</v>
      </c>
      <c r="AT224" t="s">
        <v>58</v>
      </c>
    </row>
    <row r="225" ht="29" spans="1:46">
      <c r="A225" s="31" t="s">
        <v>83</v>
      </c>
      <c r="C225" t="s">
        <v>1099</v>
      </c>
      <c r="D225" s="5" t="s">
        <v>57</v>
      </c>
      <c r="E225">
        <v>2035</v>
      </c>
      <c r="F225" s="6" t="str">
        <f t="shared" si="26"/>
        <v>*0.95</v>
      </c>
      <c r="H225" t="s">
        <v>1099</v>
      </c>
      <c r="I225" s="5" t="s">
        <v>57</v>
      </c>
      <c r="J225">
        <v>2050</v>
      </c>
      <c r="K225" s="38" t="str">
        <f t="shared" si="27"/>
        <v>*0.92</v>
      </c>
      <c r="P225" s="32" t="s">
        <v>1099</v>
      </c>
      <c r="Q225" s="42" t="s">
        <v>57</v>
      </c>
      <c r="R225" s="32">
        <v>2035</v>
      </c>
      <c r="S225" s="43" t="str">
        <f t="shared" si="28"/>
        <v>*0.95</v>
      </c>
      <c r="U225" s="32" t="s">
        <v>1099</v>
      </c>
      <c r="V225" s="42" t="s">
        <v>57</v>
      </c>
      <c r="W225" s="32">
        <v>2050</v>
      </c>
      <c r="X225" s="43" t="str">
        <f t="shared" si="29"/>
        <v>*0.92</v>
      </c>
      <c r="AC225" s="33" t="s">
        <v>1099</v>
      </c>
      <c r="AD225" s="44" t="s">
        <v>57</v>
      </c>
      <c r="AE225" s="33">
        <v>2035</v>
      </c>
      <c r="AF225" s="45" t="str">
        <f t="shared" si="30"/>
        <v>*0.93</v>
      </c>
      <c r="AG225" s="43" t="str">
        <f t="shared" si="32"/>
        <v>REZoning_Sol-Win</v>
      </c>
      <c r="AI225" s="33" t="s">
        <v>1099</v>
      </c>
      <c r="AJ225" s="44" t="s">
        <v>57</v>
      </c>
      <c r="AK225" s="33">
        <v>2050</v>
      </c>
      <c r="AL225" s="45" t="str">
        <f t="shared" si="31"/>
        <v>*0.89</v>
      </c>
      <c r="AM225" s="43" t="str">
        <f t="shared" si="33"/>
        <v>REZoning_Sol-Win</v>
      </c>
      <c r="AP225" t="s">
        <v>1099</v>
      </c>
      <c r="AQ225" t="s">
        <v>57</v>
      </c>
      <c r="AR225">
        <v>2100</v>
      </c>
      <c r="AS225" t="s">
        <v>937</v>
      </c>
      <c r="AT225" t="s">
        <v>58</v>
      </c>
    </row>
    <row r="226" ht="29" spans="1:46">
      <c r="A226" s="31" t="s">
        <v>83</v>
      </c>
      <c r="C226" t="s">
        <v>1100</v>
      </c>
      <c r="D226" s="5" t="s">
        <v>57</v>
      </c>
      <c r="E226">
        <v>2035</v>
      </c>
      <c r="F226" s="6" t="str">
        <f t="shared" si="26"/>
        <v>*0.95</v>
      </c>
      <c r="H226" t="s">
        <v>1100</v>
      </c>
      <c r="I226" s="5" t="s">
        <v>57</v>
      </c>
      <c r="J226">
        <v>2050</v>
      </c>
      <c r="K226" s="38" t="str">
        <f t="shared" si="27"/>
        <v>*0.92</v>
      </c>
      <c r="P226" s="32" t="s">
        <v>1100</v>
      </c>
      <c r="Q226" s="42" t="s">
        <v>57</v>
      </c>
      <c r="R226" s="32">
        <v>2035</v>
      </c>
      <c r="S226" s="43" t="str">
        <f t="shared" si="28"/>
        <v>*0.95</v>
      </c>
      <c r="U226" s="32" t="s">
        <v>1100</v>
      </c>
      <c r="V226" s="42" t="s">
        <v>57</v>
      </c>
      <c r="W226" s="32">
        <v>2050</v>
      </c>
      <c r="X226" s="43" t="str">
        <f t="shared" si="29"/>
        <v>*0.92</v>
      </c>
      <c r="AC226" s="33" t="s">
        <v>1100</v>
      </c>
      <c r="AD226" s="44" t="s">
        <v>57</v>
      </c>
      <c r="AE226" s="33">
        <v>2035</v>
      </c>
      <c r="AF226" s="45" t="str">
        <f t="shared" si="30"/>
        <v>*0.93</v>
      </c>
      <c r="AG226" s="43" t="str">
        <f t="shared" si="32"/>
        <v>REZoning_Sol-Win</v>
      </c>
      <c r="AI226" s="33" t="s">
        <v>1100</v>
      </c>
      <c r="AJ226" s="44" t="s">
        <v>57</v>
      </c>
      <c r="AK226" s="33">
        <v>2050</v>
      </c>
      <c r="AL226" s="45" t="str">
        <f t="shared" si="31"/>
        <v>*0.89</v>
      </c>
      <c r="AM226" s="43" t="str">
        <f t="shared" si="33"/>
        <v>REZoning_Sol-Win</v>
      </c>
      <c r="AP226" t="s">
        <v>1100</v>
      </c>
      <c r="AQ226" t="s">
        <v>57</v>
      </c>
      <c r="AR226">
        <v>2100</v>
      </c>
      <c r="AS226" t="s">
        <v>937</v>
      </c>
      <c r="AT226" t="s">
        <v>58</v>
      </c>
    </row>
    <row r="227" ht="29" spans="1:46">
      <c r="A227" s="31" t="s">
        <v>83</v>
      </c>
      <c r="C227" t="s">
        <v>1101</v>
      </c>
      <c r="D227" s="5" t="s">
        <v>57</v>
      </c>
      <c r="E227">
        <v>2035</v>
      </c>
      <c r="F227" s="6" t="str">
        <f t="shared" si="26"/>
        <v>*0.95</v>
      </c>
      <c r="H227" t="s">
        <v>1101</v>
      </c>
      <c r="I227" s="5" t="s">
        <v>57</v>
      </c>
      <c r="J227">
        <v>2050</v>
      </c>
      <c r="K227" s="38" t="str">
        <f t="shared" si="27"/>
        <v>*0.92</v>
      </c>
      <c r="P227" s="32" t="s">
        <v>1101</v>
      </c>
      <c r="Q227" s="42" t="s">
        <v>57</v>
      </c>
      <c r="R227" s="32">
        <v>2035</v>
      </c>
      <c r="S227" s="43" t="str">
        <f t="shared" si="28"/>
        <v>*0.95</v>
      </c>
      <c r="U227" s="32" t="s">
        <v>1101</v>
      </c>
      <c r="V227" s="42" t="s">
        <v>57</v>
      </c>
      <c r="W227" s="32">
        <v>2050</v>
      </c>
      <c r="X227" s="43" t="str">
        <f t="shared" si="29"/>
        <v>*0.92</v>
      </c>
      <c r="AC227" s="33" t="s">
        <v>1101</v>
      </c>
      <c r="AD227" s="44" t="s">
        <v>57</v>
      </c>
      <c r="AE227" s="33">
        <v>2035</v>
      </c>
      <c r="AF227" s="45" t="str">
        <f t="shared" si="30"/>
        <v>*0.93</v>
      </c>
      <c r="AG227" s="43" t="str">
        <f t="shared" si="32"/>
        <v>REZoning_Sol-Win</v>
      </c>
      <c r="AI227" s="33" t="s">
        <v>1101</v>
      </c>
      <c r="AJ227" s="44" t="s">
        <v>57</v>
      </c>
      <c r="AK227" s="33">
        <v>2050</v>
      </c>
      <c r="AL227" s="45" t="str">
        <f t="shared" si="31"/>
        <v>*0.89</v>
      </c>
      <c r="AM227" s="43" t="str">
        <f t="shared" si="33"/>
        <v>REZoning_Sol-Win</v>
      </c>
      <c r="AP227" t="s">
        <v>1101</v>
      </c>
      <c r="AQ227" t="s">
        <v>57</v>
      </c>
      <c r="AR227">
        <v>2100</v>
      </c>
      <c r="AS227" t="s">
        <v>937</v>
      </c>
      <c r="AT227" t="s">
        <v>58</v>
      </c>
    </row>
    <row r="228" ht="29" spans="1:46">
      <c r="A228" s="31" t="s">
        <v>83</v>
      </c>
      <c r="C228" t="s">
        <v>1102</v>
      </c>
      <c r="D228" s="5" t="s">
        <v>57</v>
      </c>
      <c r="E228">
        <v>2035</v>
      </c>
      <c r="F228" s="6" t="str">
        <f t="shared" si="26"/>
        <v>*0.95</v>
      </c>
      <c r="H228" t="s">
        <v>1102</v>
      </c>
      <c r="I228" s="5" t="s">
        <v>57</v>
      </c>
      <c r="J228">
        <v>2050</v>
      </c>
      <c r="K228" s="38" t="str">
        <f t="shared" si="27"/>
        <v>*0.92</v>
      </c>
      <c r="P228" s="32" t="s">
        <v>1102</v>
      </c>
      <c r="Q228" s="42" t="s">
        <v>57</v>
      </c>
      <c r="R228" s="32">
        <v>2035</v>
      </c>
      <c r="S228" s="43" t="str">
        <f t="shared" si="28"/>
        <v>*0.95</v>
      </c>
      <c r="U228" s="32" t="s">
        <v>1102</v>
      </c>
      <c r="V228" s="42" t="s">
        <v>57</v>
      </c>
      <c r="W228" s="32">
        <v>2050</v>
      </c>
      <c r="X228" s="43" t="str">
        <f t="shared" si="29"/>
        <v>*0.92</v>
      </c>
      <c r="AC228" s="33" t="s">
        <v>1102</v>
      </c>
      <c r="AD228" s="44" t="s">
        <v>57</v>
      </c>
      <c r="AE228" s="33">
        <v>2035</v>
      </c>
      <c r="AF228" s="45" t="str">
        <f t="shared" si="30"/>
        <v>*0.93</v>
      </c>
      <c r="AG228" s="43" t="str">
        <f t="shared" si="32"/>
        <v>REZoning_Sol-Win</v>
      </c>
      <c r="AI228" s="33" t="s">
        <v>1102</v>
      </c>
      <c r="AJ228" s="44" t="s">
        <v>57</v>
      </c>
      <c r="AK228" s="33">
        <v>2050</v>
      </c>
      <c r="AL228" s="45" t="str">
        <f t="shared" si="31"/>
        <v>*0.89</v>
      </c>
      <c r="AM228" s="43" t="str">
        <f t="shared" si="33"/>
        <v>REZoning_Sol-Win</v>
      </c>
      <c r="AP228" t="s">
        <v>1102</v>
      </c>
      <c r="AQ228" t="s">
        <v>57</v>
      </c>
      <c r="AR228">
        <v>2100</v>
      </c>
      <c r="AS228" t="s">
        <v>937</v>
      </c>
      <c r="AT228" t="s">
        <v>58</v>
      </c>
    </row>
    <row r="229" ht="29" spans="1:46">
      <c r="A229" s="31" t="s">
        <v>83</v>
      </c>
      <c r="C229" t="s">
        <v>1103</v>
      </c>
      <c r="D229" s="5" t="s">
        <v>57</v>
      </c>
      <c r="E229">
        <v>2035</v>
      </c>
      <c r="F229" s="6" t="str">
        <f t="shared" si="26"/>
        <v>*0.95</v>
      </c>
      <c r="H229" t="s">
        <v>1103</v>
      </c>
      <c r="I229" s="5" t="s">
        <v>57</v>
      </c>
      <c r="J229">
        <v>2050</v>
      </c>
      <c r="K229" s="38" t="str">
        <f t="shared" si="27"/>
        <v>*0.92</v>
      </c>
      <c r="P229" s="32" t="s">
        <v>1103</v>
      </c>
      <c r="Q229" s="42" t="s">
        <v>57</v>
      </c>
      <c r="R229" s="32">
        <v>2035</v>
      </c>
      <c r="S229" s="43" t="str">
        <f t="shared" si="28"/>
        <v>*0.95</v>
      </c>
      <c r="U229" s="32" t="s">
        <v>1103</v>
      </c>
      <c r="V229" s="42" t="s">
        <v>57</v>
      </c>
      <c r="W229" s="32">
        <v>2050</v>
      </c>
      <c r="X229" s="43" t="str">
        <f t="shared" si="29"/>
        <v>*0.92</v>
      </c>
      <c r="AC229" s="33" t="s">
        <v>1103</v>
      </c>
      <c r="AD229" s="44" t="s">
        <v>57</v>
      </c>
      <c r="AE229" s="33">
        <v>2035</v>
      </c>
      <c r="AF229" s="45" t="str">
        <f t="shared" si="30"/>
        <v>*0.93</v>
      </c>
      <c r="AG229" s="43" t="str">
        <f t="shared" si="32"/>
        <v>REZoning_Sol-Win</v>
      </c>
      <c r="AI229" s="33" t="s">
        <v>1103</v>
      </c>
      <c r="AJ229" s="44" t="s">
        <v>57</v>
      </c>
      <c r="AK229" s="33">
        <v>2050</v>
      </c>
      <c r="AL229" s="45" t="str">
        <f t="shared" si="31"/>
        <v>*0.89</v>
      </c>
      <c r="AM229" s="43" t="str">
        <f t="shared" si="33"/>
        <v>REZoning_Sol-Win</v>
      </c>
      <c r="AP229" t="s">
        <v>1103</v>
      </c>
      <c r="AQ229" t="s">
        <v>57</v>
      </c>
      <c r="AR229">
        <v>2100</v>
      </c>
      <c r="AS229" t="s">
        <v>937</v>
      </c>
      <c r="AT229" t="s">
        <v>58</v>
      </c>
    </row>
    <row r="230" ht="29" spans="1:46">
      <c r="A230" s="31" t="s">
        <v>83</v>
      </c>
      <c r="C230" t="s">
        <v>1104</v>
      </c>
      <c r="D230" s="5" t="s">
        <v>57</v>
      </c>
      <c r="E230">
        <v>2035</v>
      </c>
      <c r="F230" s="6" t="str">
        <f t="shared" si="26"/>
        <v>*0.95</v>
      </c>
      <c r="H230" t="s">
        <v>1104</v>
      </c>
      <c r="I230" s="5" t="s">
        <v>57</v>
      </c>
      <c r="J230">
        <v>2050</v>
      </c>
      <c r="K230" s="38" t="str">
        <f t="shared" si="27"/>
        <v>*0.92</v>
      </c>
      <c r="P230" s="32" t="s">
        <v>1104</v>
      </c>
      <c r="Q230" s="42" t="s">
        <v>57</v>
      </c>
      <c r="R230" s="32">
        <v>2035</v>
      </c>
      <c r="S230" s="43" t="str">
        <f t="shared" si="28"/>
        <v>*0.95</v>
      </c>
      <c r="U230" s="32" t="s">
        <v>1104</v>
      </c>
      <c r="V230" s="42" t="s">
        <v>57</v>
      </c>
      <c r="W230" s="32">
        <v>2050</v>
      </c>
      <c r="X230" s="43" t="str">
        <f t="shared" si="29"/>
        <v>*0.92</v>
      </c>
      <c r="AC230" s="33" t="s">
        <v>1104</v>
      </c>
      <c r="AD230" s="44" t="s">
        <v>57</v>
      </c>
      <c r="AE230" s="33">
        <v>2035</v>
      </c>
      <c r="AF230" s="45" t="str">
        <f t="shared" si="30"/>
        <v>*0.93</v>
      </c>
      <c r="AG230" s="43" t="str">
        <f t="shared" si="32"/>
        <v>REZoning_Sol-Win</v>
      </c>
      <c r="AI230" s="33" t="s">
        <v>1104</v>
      </c>
      <c r="AJ230" s="44" t="s">
        <v>57</v>
      </c>
      <c r="AK230" s="33">
        <v>2050</v>
      </c>
      <c r="AL230" s="45" t="str">
        <f t="shared" si="31"/>
        <v>*0.89</v>
      </c>
      <c r="AM230" s="43" t="str">
        <f t="shared" si="33"/>
        <v>REZoning_Sol-Win</v>
      </c>
      <c r="AP230" t="s">
        <v>1104</v>
      </c>
      <c r="AQ230" t="s">
        <v>57</v>
      </c>
      <c r="AR230">
        <v>2100</v>
      </c>
      <c r="AS230" t="s">
        <v>937</v>
      </c>
      <c r="AT230" t="s">
        <v>58</v>
      </c>
    </row>
    <row r="231" ht="29" spans="1:46">
      <c r="A231" s="31" t="s">
        <v>83</v>
      </c>
      <c r="C231" t="s">
        <v>1105</v>
      </c>
      <c r="D231" s="5" t="s">
        <v>57</v>
      </c>
      <c r="E231">
        <v>2035</v>
      </c>
      <c r="F231" s="6" t="str">
        <f t="shared" si="26"/>
        <v>*0.95</v>
      </c>
      <c r="H231" t="s">
        <v>1105</v>
      </c>
      <c r="I231" s="5" t="s">
        <v>57</v>
      </c>
      <c r="J231">
        <v>2050</v>
      </c>
      <c r="K231" s="38" t="str">
        <f t="shared" si="27"/>
        <v>*0.92</v>
      </c>
      <c r="P231" s="32" t="s">
        <v>1105</v>
      </c>
      <c r="Q231" s="42" t="s">
        <v>57</v>
      </c>
      <c r="R231" s="32">
        <v>2035</v>
      </c>
      <c r="S231" s="43" t="str">
        <f t="shared" si="28"/>
        <v>*0.95</v>
      </c>
      <c r="U231" s="32" t="s">
        <v>1105</v>
      </c>
      <c r="V231" s="42" t="s">
        <v>57</v>
      </c>
      <c r="W231" s="32">
        <v>2050</v>
      </c>
      <c r="X231" s="43" t="str">
        <f t="shared" si="29"/>
        <v>*0.92</v>
      </c>
      <c r="AC231" s="33" t="s">
        <v>1105</v>
      </c>
      <c r="AD231" s="44" t="s">
        <v>57</v>
      </c>
      <c r="AE231" s="33">
        <v>2035</v>
      </c>
      <c r="AF231" s="45" t="str">
        <f t="shared" si="30"/>
        <v>*0.93</v>
      </c>
      <c r="AG231" s="43" t="str">
        <f t="shared" si="32"/>
        <v>REZoning_Sol-Win</v>
      </c>
      <c r="AI231" s="33" t="s">
        <v>1105</v>
      </c>
      <c r="AJ231" s="44" t="s">
        <v>57</v>
      </c>
      <c r="AK231" s="33">
        <v>2050</v>
      </c>
      <c r="AL231" s="45" t="str">
        <f t="shared" si="31"/>
        <v>*0.89</v>
      </c>
      <c r="AM231" s="43" t="str">
        <f t="shared" si="33"/>
        <v>REZoning_Sol-Win</v>
      </c>
      <c r="AP231" t="s">
        <v>1105</v>
      </c>
      <c r="AQ231" t="s">
        <v>57</v>
      </c>
      <c r="AR231">
        <v>2100</v>
      </c>
      <c r="AS231" t="s">
        <v>937</v>
      </c>
      <c r="AT231" t="s">
        <v>58</v>
      </c>
    </row>
    <row r="232" ht="29" spans="1:46">
      <c r="A232" s="31" t="s">
        <v>83</v>
      </c>
      <c r="C232" t="s">
        <v>1106</v>
      </c>
      <c r="D232" s="5" t="s">
        <v>57</v>
      </c>
      <c r="E232">
        <v>2035</v>
      </c>
      <c r="F232" s="6" t="str">
        <f t="shared" si="26"/>
        <v>*0.95</v>
      </c>
      <c r="H232" t="s">
        <v>1106</v>
      </c>
      <c r="I232" s="5" t="s">
        <v>57</v>
      </c>
      <c r="J232">
        <v>2050</v>
      </c>
      <c r="K232" s="38" t="str">
        <f t="shared" si="27"/>
        <v>*0.92</v>
      </c>
      <c r="P232" s="32" t="s">
        <v>1106</v>
      </c>
      <c r="Q232" s="42" t="s">
        <v>57</v>
      </c>
      <c r="R232" s="32">
        <v>2035</v>
      </c>
      <c r="S232" s="43" t="str">
        <f t="shared" si="28"/>
        <v>*0.95</v>
      </c>
      <c r="U232" s="32" t="s">
        <v>1106</v>
      </c>
      <c r="V232" s="42" t="s">
        <v>57</v>
      </c>
      <c r="W232" s="32">
        <v>2050</v>
      </c>
      <c r="X232" s="43" t="str">
        <f t="shared" si="29"/>
        <v>*0.92</v>
      </c>
      <c r="AC232" s="33" t="s">
        <v>1106</v>
      </c>
      <c r="AD232" s="44" t="s">
        <v>57</v>
      </c>
      <c r="AE232" s="33">
        <v>2035</v>
      </c>
      <c r="AF232" s="45" t="str">
        <f t="shared" si="30"/>
        <v>*0.93</v>
      </c>
      <c r="AG232" s="43" t="str">
        <f t="shared" si="32"/>
        <v>REZoning_Sol-Win</v>
      </c>
      <c r="AI232" s="33" t="s">
        <v>1106</v>
      </c>
      <c r="AJ232" s="44" t="s">
        <v>57</v>
      </c>
      <c r="AK232" s="33">
        <v>2050</v>
      </c>
      <c r="AL232" s="45" t="str">
        <f t="shared" si="31"/>
        <v>*0.89</v>
      </c>
      <c r="AM232" s="43" t="str">
        <f t="shared" si="33"/>
        <v>REZoning_Sol-Win</v>
      </c>
      <c r="AP232" t="s">
        <v>1106</v>
      </c>
      <c r="AQ232" t="s">
        <v>57</v>
      </c>
      <c r="AR232">
        <v>2100</v>
      </c>
      <c r="AS232" t="s">
        <v>937</v>
      </c>
      <c r="AT232" t="s">
        <v>58</v>
      </c>
    </row>
    <row r="233" ht="29" spans="1:46">
      <c r="A233" s="31" t="s">
        <v>83</v>
      </c>
      <c r="C233" t="s">
        <v>1107</v>
      </c>
      <c r="D233" s="5" t="s">
        <v>57</v>
      </c>
      <c r="E233">
        <v>2035</v>
      </c>
      <c r="F233" s="6" t="str">
        <f t="shared" si="26"/>
        <v>*0.95</v>
      </c>
      <c r="H233" t="s">
        <v>1107</v>
      </c>
      <c r="I233" s="5" t="s">
        <v>57</v>
      </c>
      <c r="J233">
        <v>2050</v>
      </c>
      <c r="K233" s="38" t="str">
        <f t="shared" si="27"/>
        <v>*0.92</v>
      </c>
      <c r="P233" s="32" t="s">
        <v>1107</v>
      </c>
      <c r="Q233" s="42" t="s">
        <v>57</v>
      </c>
      <c r="R233" s="32">
        <v>2035</v>
      </c>
      <c r="S233" s="43" t="str">
        <f t="shared" si="28"/>
        <v>*0.95</v>
      </c>
      <c r="U233" s="32" t="s">
        <v>1107</v>
      </c>
      <c r="V233" s="42" t="s">
        <v>57</v>
      </c>
      <c r="W233" s="32">
        <v>2050</v>
      </c>
      <c r="X233" s="43" t="str">
        <f t="shared" si="29"/>
        <v>*0.92</v>
      </c>
      <c r="AC233" s="33" t="s">
        <v>1107</v>
      </c>
      <c r="AD233" s="44" t="s">
        <v>57</v>
      </c>
      <c r="AE233" s="33">
        <v>2035</v>
      </c>
      <c r="AF233" s="45" t="str">
        <f t="shared" si="30"/>
        <v>*0.93</v>
      </c>
      <c r="AG233" s="43" t="str">
        <f t="shared" si="32"/>
        <v>REZoning_Sol-Win</v>
      </c>
      <c r="AI233" s="33" t="s">
        <v>1107</v>
      </c>
      <c r="AJ233" s="44" t="s">
        <v>57</v>
      </c>
      <c r="AK233" s="33">
        <v>2050</v>
      </c>
      <c r="AL233" s="45" t="str">
        <f t="shared" si="31"/>
        <v>*0.89</v>
      </c>
      <c r="AM233" s="43" t="str">
        <f t="shared" si="33"/>
        <v>REZoning_Sol-Win</v>
      </c>
      <c r="AP233" t="s">
        <v>1107</v>
      </c>
      <c r="AQ233" t="s">
        <v>57</v>
      </c>
      <c r="AR233">
        <v>2100</v>
      </c>
      <c r="AS233" t="s">
        <v>937</v>
      </c>
      <c r="AT233" t="s">
        <v>58</v>
      </c>
    </row>
    <row r="234" ht="29" spans="1:46">
      <c r="A234" s="31" t="s">
        <v>83</v>
      </c>
      <c r="C234" t="s">
        <v>1108</v>
      </c>
      <c r="D234" s="5" t="s">
        <v>57</v>
      </c>
      <c r="E234">
        <v>2035</v>
      </c>
      <c r="F234" s="6" t="str">
        <f t="shared" si="26"/>
        <v>*0.95</v>
      </c>
      <c r="H234" t="s">
        <v>1108</v>
      </c>
      <c r="I234" s="5" t="s">
        <v>57</v>
      </c>
      <c r="J234">
        <v>2050</v>
      </c>
      <c r="K234" s="38" t="str">
        <f t="shared" si="27"/>
        <v>*0.92</v>
      </c>
      <c r="P234" s="32" t="s">
        <v>1108</v>
      </c>
      <c r="Q234" s="42" t="s">
        <v>57</v>
      </c>
      <c r="R234" s="32">
        <v>2035</v>
      </c>
      <c r="S234" s="43" t="str">
        <f t="shared" si="28"/>
        <v>*0.95</v>
      </c>
      <c r="U234" s="32" t="s">
        <v>1108</v>
      </c>
      <c r="V234" s="42" t="s">
        <v>57</v>
      </c>
      <c r="W234" s="32">
        <v>2050</v>
      </c>
      <c r="X234" s="43" t="str">
        <f t="shared" si="29"/>
        <v>*0.92</v>
      </c>
      <c r="AC234" s="33" t="s">
        <v>1108</v>
      </c>
      <c r="AD234" s="44" t="s">
        <v>57</v>
      </c>
      <c r="AE234" s="33">
        <v>2035</v>
      </c>
      <c r="AF234" s="45" t="str">
        <f t="shared" si="30"/>
        <v>*0.93</v>
      </c>
      <c r="AG234" s="43" t="str">
        <f t="shared" si="32"/>
        <v>REZoning_Sol-Win</v>
      </c>
      <c r="AI234" s="33" t="s">
        <v>1108</v>
      </c>
      <c r="AJ234" s="44" t="s">
        <v>57</v>
      </c>
      <c r="AK234" s="33">
        <v>2050</v>
      </c>
      <c r="AL234" s="45" t="str">
        <f t="shared" si="31"/>
        <v>*0.89</v>
      </c>
      <c r="AM234" s="43" t="str">
        <f t="shared" si="33"/>
        <v>REZoning_Sol-Win</v>
      </c>
      <c r="AP234" t="s">
        <v>1108</v>
      </c>
      <c r="AQ234" t="s">
        <v>57</v>
      </c>
      <c r="AR234">
        <v>2100</v>
      </c>
      <c r="AS234" t="s">
        <v>937</v>
      </c>
      <c r="AT234" t="s">
        <v>58</v>
      </c>
    </row>
    <row r="235" ht="29" spans="1:46">
      <c r="A235" s="31" t="s">
        <v>83</v>
      </c>
      <c r="C235" t="s">
        <v>1109</v>
      </c>
      <c r="D235" s="5" t="s">
        <v>57</v>
      </c>
      <c r="E235">
        <v>2035</v>
      </c>
      <c r="F235" s="6" t="str">
        <f t="shared" si="26"/>
        <v>*0.95</v>
      </c>
      <c r="H235" t="s">
        <v>1109</v>
      </c>
      <c r="I235" s="5" t="s">
        <v>57</v>
      </c>
      <c r="J235">
        <v>2050</v>
      </c>
      <c r="K235" s="38" t="str">
        <f t="shared" si="27"/>
        <v>*0.92</v>
      </c>
      <c r="P235" s="32" t="s">
        <v>1109</v>
      </c>
      <c r="Q235" s="42" t="s">
        <v>57</v>
      </c>
      <c r="R235" s="32">
        <v>2035</v>
      </c>
      <c r="S235" s="43" t="str">
        <f t="shared" si="28"/>
        <v>*0.95</v>
      </c>
      <c r="U235" s="32" t="s">
        <v>1109</v>
      </c>
      <c r="V235" s="42" t="s">
        <v>57</v>
      </c>
      <c r="W235" s="32">
        <v>2050</v>
      </c>
      <c r="X235" s="43" t="str">
        <f t="shared" si="29"/>
        <v>*0.92</v>
      </c>
      <c r="AC235" s="33" t="s">
        <v>1109</v>
      </c>
      <c r="AD235" s="44" t="s">
        <v>57</v>
      </c>
      <c r="AE235" s="33">
        <v>2035</v>
      </c>
      <c r="AF235" s="45" t="str">
        <f t="shared" si="30"/>
        <v>*0.93</v>
      </c>
      <c r="AG235" s="43" t="str">
        <f t="shared" si="32"/>
        <v>REZoning_Sol-Win</v>
      </c>
      <c r="AI235" s="33" t="s">
        <v>1109</v>
      </c>
      <c r="AJ235" s="44" t="s">
        <v>57</v>
      </c>
      <c r="AK235" s="33">
        <v>2050</v>
      </c>
      <c r="AL235" s="45" t="str">
        <f t="shared" si="31"/>
        <v>*0.89</v>
      </c>
      <c r="AM235" s="43" t="str">
        <f t="shared" si="33"/>
        <v>REZoning_Sol-Win</v>
      </c>
      <c r="AP235" t="s">
        <v>1109</v>
      </c>
      <c r="AQ235" t="s">
        <v>57</v>
      </c>
      <c r="AR235">
        <v>2100</v>
      </c>
      <c r="AS235" t="s">
        <v>937</v>
      </c>
      <c r="AT235" t="s">
        <v>58</v>
      </c>
    </row>
    <row r="236" ht="29" spans="1:46">
      <c r="A236" s="31" t="s">
        <v>83</v>
      </c>
      <c r="C236" t="s">
        <v>1110</v>
      </c>
      <c r="D236" s="5" t="s">
        <v>57</v>
      </c>
      <c r="E236">
        <v>2035</v>
      </c>
      <c r="F236" s="6" t="str">
        <f t="shared" si="26"/>
        <v>*0.95</v>
      </c>
      <c r="H236" t="s">
        <v>1110</v>
      </c>
      <c r="I236" s="5" t="s">
        <v>57</v>
      </c>
      <c r="J236">
        <v>2050</v>
      </c>
      <c r="K236" s="38" t="str">
        <f t="shared" si="27"/>
        <v>*0.92</v>
      </c>
      <c r="P236" s="32" t="s">
        <v>1110</v>
      </c>
      <c r="Q236" s="42" t="s">
        <v>57</v>
      </c>
      <c r="R236" s="32">
        <v>2035</v>
      </c>
      <c r="S236" s="43" t="str">
        <f t="shared" si="28"/>
        <v>*0.95</v>
      </c>
      <c r="U236" s="32" t="s">
        <v>1110</v>
      </c>
      <c r="V236" s="42" t="s">
        <v>57</v>
      </c>
      <c r="W236" s="32">
        <v>2050</v>
      </c>
      <c r="X236" s="43" t="str">
        <f t="shared" si="29"/>
        <v>*0.92</v>
      </c>
      <c r="AC236" s="33" t="s">
        <v>1110</v>
      </c>
      <c r="AD236" s="44" t="s">
        <v>57</v>
      </c>
      <c r="AE236" s="33">
        <v>2035</v>
      </c>
      <c r="AF236" s="45" t="str">
        <f t="shared" si="30"/>
        <v>*0.93</v>
      </c>
      <c r="AG236" s="43" t="str">
        <f t="shared" si="32"/>
        <v>REZoning_Sol-Win</v>
      </c>
      <c r="AI236" s="33" t="s">
        <v>1110</v>
      </c>
      <c r="AJ236" s="44" t="s">
        <v>57</v>
      </c>
      <c r="AK236" s="33">
        <v>2050</v>
      </c>
      <c r="AL236" s="45" t="str">
        <f t="shared" si="31"/>
        <v>*0.89</v>
      </c>
      <c r="AM236" s="43" t="str">
        <f t="shared" si="33"/>
        <v>REZoning_Sol-Win</v>
      </c>
      <c r="AP236" t="s">
        <v>1110</v>
      </c>
      <c r="AQ236" t="s">
        <v>57</v>
      </c>
      <c r="AR236">
        <v>2100</v>
      </c>
      <c r="AS236" t="s">
        <v>937</v>
      </c>
      <c r="AT236" t="s">
        <v>58</v>
      </c>
    </row>
    <row r="237" ht="29" spans="1:46">
      <c r="A237" s="31" t="s">
        <v>83</v>
      </c>
      <c r="C237" t="s">
        <v>1111</v>
      </c>
      <c r="D237" s="5" t="s">
        <v>57</v>
      </c>
      <c r="E237">
        <v>2035</v>
      </c>
      <c r="F237" s="6" t="str">
        <f t="shared" si="26"/>
        <v>*0.95</v>
      </c>
      <c r="H237" t="s">
        <v>1111</v>
      </c>
      <c r="I237" s="5" t="s">
        <v>57</v>
      </c>
      <c r="J237">
        <v>2050</v>
      </c>
      <c r="K237" s="38" t="str">
        <f t="shared" si="27"/>
        <v>*0.92</v>
      </c>
      <c r="P237" s="32" t="s">
        <v>1111</v>
      </c>
      <c r="Q237" s="42" t="s">
        <v>57</v>
      </c>
      <c r="R237" s="32">
        <v>2035</v>
      </c>
      <c r="S237" s="43" t="str">
        <f t="shared" si="28"/>
        <v>*0.95</v>
      </c>
      <c r="U237" s="32" t="s">
        <v>1111</v>
      </c>
      <c r="V237" s="42" t="s">
        <v>57</v>
      </c>
      <c r="W237" s="32">
        <v>2050</v>
      </c>
      <c r="X237" s="43" t="str">
        <f t="shared" si="29"/>
        <v>*0.92</v>
      </c>
      <c r="AC237" s="33" t="s">
        <v>1111</v>
      </c>
      <c r="AD237" s="44" t="s">
        <v>57</v>
      </c>
      <c r="AE237" s="33">
        <v>2035</v>
      </c>
      <c r="AF237" s="45" t="str">
        <f t="shared" si="30"/>
        <v>*0.93</v>
      </c>
      <c r="AG237" s="43" t="str">
        <f t="shared" si="32"/>
        <v>REZoning_Sol-Win</v>
      </c>
      <c r="AI237" s="33" t="s">
        <v>1111</v>
      </c>
      <c r="AJ237" s="44" t="s">
        <v>57</v>
      </c>
      <c r="AK237" s="33">
        <v>2050</v>
      </c>
      <c r="AL237" s="45" t="str">
        <f t="shared" si="31"/>
        <v>*0.89</v>
      </c>
      <c r="AM237" s="43" t="str">
        <f t="shared" si="33"/>
        <v>REZoning_Sol-Win</v>
      </c>
      <c r="AP237" t="s">
        <v>1111</v>
      </c>
      <c r="AQ237" t="s">
        <v>57</v>
      </c>
      <c r="AR237">
        <v>2100</v>
      </c>
      <c r="AS237" t="s">
        <v>937</v>
      </c>
      <c r="AT237" t="s">
        <v>58</v>
      </c>
    </row>
    <row r="238" ht="29" spans="1:46">
      <c r="A238" s="31" t="s">
        <v>83</v>
      </c>
      <c r="C238" t="s">
        <v>1112</v>
      </c>
      <c r="D238" s="5" t="s">
        <v>57</v>
      </c>
      <c r="E238">
        <v>2035</v>
      </c>
      <c r="F238" s="6" t="str">
        <f t="shared" si="26"/>
        <v>*0.95</v>
      </c>
      <c r="H238" t="s">
        <v>1112</v>
      </c>
      <c r="I238" s="5" t="s">
        <v>57</v>
      </c>
      <c r="J238">
        <v>2050</v>
      </c>
      <c r="K238" s="38" t="str">
        <f t="shared" si="27"/>
        <v>*0.92</v>
      </c>
      <c r="P238" s="32" t="s">
        <v>1112</v>
      </c>
      <c r="Q238" s="42" t="s">
        <v>57</v>
      </c>
      <c r="R238" s="32">
        <v>2035</v>
      </c>
      <c r="S238" s="43" t="str">
        <f t="shared" si="28"/>
        <v>*0.95</v>
      </c>
      <c r="U238" s="32" t="s">
        <v>1112</v>
      </c>
      <c r="V238" s="42" t="s">
        <v>57</v>
      </c>
      <c r="W238" s="32">
        <v>2050</v>
      </c>
      <c r="X238" s="43" t="str">
        <f t="shared" si="29"/>
        <v>*0.92</v>
      </c>
      <c r="AC238" s="33" t="s">
        <v>1112</v>
      </c>
      <c r="AD238" s="44" t="s">
        <v>57</v>
      </c>
      <c r="AE238" s="33">
        <v>2035</v>
      </c>
      <c r="AF238" s="45" t="str">
        <f t="shared" si="30"/>
        <v>*0.93</v>
      </c>
      <c r="AG238" s="43" t="str">
        <f t="shared" si="32"/>
        <v>REZoning_Sol-Win</v>
      </c>
      <c r="AI238" s="33" t="s">
        <v>1112</v>
      </c>
      <c r="AJ238" s="44" t="s">
        <v>57</v>
      </c>
      <c r="AK238" s="33">
        <v>2050</v>
      </c>
      <c r="AL238" s="45" t="str">
        <f t="shared" si="31"/>
        <v>*0.89</v>
      </c>
      <c r="AM238" s="43" t="str">
        <f t="shared" si="33"/>
        <v>REZoning_Sol-Win</v>
      </c>
      <c r="AP238" t="s">
        <v>1112</v>
      </c>
      <c r="AQ238" t="s">
        <v>57</v>
      </c>
      <c r="AR238">
        <v>2100</v>
      </c>
      <c r="AS238" t="s">
        <v>937</v>
      </c>
      <c r="AT238" t="s">
        <v>58</v>
      </c>
    </row>
    <row r="239" ht="29" spans="1:46">
      <c r="A239" s="31" t="s">
        <v>83</v>
      </c>
      <c r="C239" t="s">
        <v>1113</v>
      </c>
      <c r="D239" s="5" t="s">
        <v>57</v>
      </c>
      <c r="E239">
        <v>2035</v>
      </c>
      <c r="F239" s="6" t="str">
        <f t="shared" si="26"/>
        <v>*0.95</v>
      </c>
      <c r="H239" t="s">
        <v>1113</v>
      </c>
      <c r="I239" s="5" t="s">
        <v>57</v>
      </c>
      <c r="J239">
        <v>2050</v>
      </c>
      <c r="K239" s="38" t="str">
        <f t="shared" si="27"/>
        <v>*0.92</v>
      </c>
      <c r="P239" s="32" t="s">
        <v>1113</v>
      </c>
      <c r="Q239" s="42" t="s">
        <v>57</v>
      </c>
      <c r="R239" s="32">
        <v>2035</v>
      </c>
      <c r="S239" s="43" t="str">
        <f t="shared" si="28"/>
        <v>*0.95</v>
      </c>
      <c r="U239" s="32" t="s">
        <v>1113</v>
      </c>
      <c r="V239" s="42" t="s">
        <v>57</v>
      </c>
      <c r="W239" s="32">
        <v>2050</v>
      </c>
      <c r="X239" s="43" t="str">
        <f t="shared" si="29"/>
        <v>*0.92</v>
      </c>
      <c r="AC239" s="33" t="s">
        <v>1113</v>
      </c>
      <c r="AD239" s="44" t="s">
        <v>57</v>
      </c>
      <c r="AE239" s="33">
        <v>2035</v>
      </c>
      <c r="AF239" s="45" t="str">
        <f t="shared" si="30"/>
        <v>*0.93</v>
      </c>
      <c r="AG239" s="43" t="str">
        <f t="shared" si="32"/>
        <v>REZoning_Sol-Win</v>
      </c>
      <c r="AI239" s="33" t="s">
        <v>1113</v>
      </c>
      <c r="AJ239" s="44" t="s">
        <v>57</v>
      </c>
      <c r="AK239" s="33">
        <v>2050</v>
      </c>
      <c r="AL239" s="45" t="str">
        <f t="shared" si="31"/>
        <v>*0.89</v>
      </c>
      <c r="AM239" s="43" t="str">
        <f t="shared" si="33"/>
        <v>REZoning_Sol-Win</v>
      </c>
      <c r="AP239" t="s">
        <v>1113</v>
      </c>
      <c r="AQ239" t="s">
        <v>57</v>
      </c>
      <c r="AR239">
        <v>2100</v>
      </c>
      <c r="AS239" t="s">
        <v>937</v>
      </c>
      <c r="AT239" t="s">
        <v>58</v>
      </c>
    </row>
    <row r="240" ht="29" spans="1:46">
      <c r="A240" s="31" t="s">
        <v>83</v>
      </c>
      <c r="C240" t="s">
        <v>1114</v>
      </c>
      <c r="D240" s="5" t="s">
        <v>57</v>
      </c>
      <c r="E240">
        <v>2035</v>
      </c>
      <c r="F240" s="6" t="str">
        <f t="shared" si="26"/>
        <v>*0.95</v>
      </c>
      <c r="H240" t="s">
        <v>1114</v>
      </c>
      <c r="I240" s="5" t="s">
        <v>57</v>
      </c>
      <c r="J240">
        <v>2050</v>
      </c>
      <c r="K240" s="38" t="str">
        <f t="shared" si="27"/>
        <v>*0.92</v>
      </c>
      <c r="P240" s="32" t="s">
        <v>1114</v>
      </c>
      <c r="Q240" s="42" t="s">
        <v>57</v>
      </c>
      <c r="R240" s="32">
        <v>2035</v>
      </c>
      <c r="S240" s="43" t="str">
        <f t="shared" si="28"/>
        <v>*0.95</v>
      </c>
      <c r="U240" s="32" t="s">
        <v>1114</v>
      </c>
      <c r="V240" s="42" t="s">
        <v>57</v>
      </c>
      <c r="W240" s="32">
        <v>2050</v>
      </c>
      <c r="X240" s="43" t="str">
        <f t="shared" si="29"/>
        <v>*0.92</v>
      </c>
      <c r="AC240" s="33" t="s">
        <v>1114</v>
      </c>
      <c r="AD240" s="44" t="s">
        <v>57</v>
      </c>
      <c r="AE240" s="33">
        <v>2035</v>
      </c>
      <c r="AF240" s="45" t="str">
        <f t="shared" si="30"/>
        <v>*0.93</v>
      </c>
      <c r="AG240" s="43" t="str">
        <f t="shared" si="32"/>
        <v>REZoning_Sol-Win</v>
      </c>
      <c r="AI240" s="33" t="s">
        <v>1114</v>
      </c>
      <c r="AJ240" s="44" t="s">
        <v>57</v>
      </c>
      <c r="AK240" s="33">
        <v>2050</v>
      </c>
      <c r="AL240" s="45" t="str">
        <f t="shared" si="31"/>
        <v>*0.89</v>
      </c>
      <c r="AM240" s="43" t="str">
        <f t="shared" si="33"/>
        <v>REZoning_Sol-Win</v>
      </c>
      <c r="AP240" t="s">
        <v>1114</v>
      </c>
      <c r="AQ240" t="s">
        <v>57</v>
      </c>
      <c r="AR240">
        <v>2100</v>
      </c>
      <c r="AS240" t="s">
        <v>937</v>
      </c>
      <c r="AT240" t="s">
        <v>58</v>
      </c>
    </row>
    <row r="241" ht="29" spans="1:46">
      <c r="A241" s="31" t="s">
        <v>83</v>
      </c>
      <c r="C241" t="s">
        <v>1115</v>
      </c>
      <c r="D241" s="5" t="s">
        <v>57</v>
      </c>
      <c r="E241">
        <v>2035</v>
      </c>
      <c r="F241" s="6" t="str">
        <f t="shared" si="26"/>
        <v>*0.95</v>
      </c>
      <c r="H241" t="s">
        <v>1115</v>
      </c>
      <c r="I241" s="5" t="s">
        <v>57</v>
      </c>
      <c r="J241">
        <v>2050</v>
      </c>
      <c r="K241" s="38" t="str">
        <f t="shared" si="27"/>
        <v>*0.92</v>
      </c>
      <c r="P241" s="32" t="s">
        <v>1115</v>
      </c>
      <c r="Q241" s="42" t="s">
        <v>57</v>
      </c>
      <c r="R241" s="32">
        <v>2035</v>
      </c>
      <c r="S241" s="43" t="str">
        <f t="shared" si="28"/>
        <v>*0.95</v>
      </c>
      <c r="U241" s="32" t="s">
        <v>1115</v>
      </c>
      <c r="V241" s="42" t="s">
        <v>57</v>
      </c>
      <c r="W241" s="32">
        <v>2050</v>
      </c>
      <c r="X241" s="43" t="str">
        <f t="shared" si="29"/>
        <v>*0.92</v>
      </c>
      <c r="AC241" s="33" t="s">
        <v>1115</v>
      </c>
      <c r="AD241" s="44" t="s">
        <v>57</v>
      </c>
      <c r="AE241" s="33">
        <v>2035</v>
      </c>
      <c r="AF241" s="45" t="str">
        <f t="shared" si="30"/>
        <v>*0.93</v>
      </c>
      <c r="AG241" s="43" t="str">
        <f t="shared" si="32"/>
        <v>REZoning_Sol-Win</v>
      </c>
      <c r="AI241" s="33" t="s">
        <v>1115</v>
      </c>
      <c r="AJ241" s="44" t="s">
        <v>57</v>
      </c>
      <c r="AK241" s="33">
        <v>2050</v>
      </c>
      <c r="AL241" s="45" t="str">
        <f t="shared" si="31"/>
        <v>*0.89</v>
      </c>
      <c r="AM241" s="43" t="str">
        <f t="shared" si="33"/>
        <v>REZoning_Sol-Win</v>
      </c>
      <c r="AP241" t="s">
        <v>1115</v>
      </c>
      <c r="AQ241" t="s">
        <v>57</v>
      </c>
      <c r="AR241">
        <v>2100</v>
      </c>
      <c r="AS241" t="s">
        <v>937</v>
      </c>
      <c r="AT241" t="s">
        <v>58</v>
      </c>
    </row>
    <row r="242" ht="29" spans="1:46">
      <c r="A242" s="31" t="s">
        <v>83</v>
      </c>
      <c r="C242" t="s">
        <v>1116</v>
      </c>
      <c r="D242" s="5" t="s">
        <v>57</v>
      </c>
      <c r="E242">
        <v>2035</v>
      </c>
      <c r="F242" s="6" t="str">
        <f t="shared" si="26"/>
        <v>*0.95</v>
      </c>
      <c r="H242" t="s">
        <v>1116</v>
      </c>
      <c r="I242" s="5" t="s">
        <v>57</v>
      </c>
      <c r="J242">
        <v>2050</v>
      </c>
      <c r="K242" s="38" t="str">
        <f t="shared" si="27"/>
        <v>*0.92</v>
      </c>
      <c r="P242" s="32" t="s">
        <v>1116</v>
      </c>
      <c r="Q242" s="42" t="s">
        <v>57</v>
      </c>
      <c r="R242" s="32">
        <v>2035</v>
      </c>
      <c r="S242" s="43" t="str">
        <f t="shared" si="28"/>
        <v>*0.95</v>
      </c>
      <c r="U242" s="32" t="s">
        <v>1116</v>
      </c>
      <c r="V242" s="42" t="s">
        <v>57</v>
      </c>
      <c r="W242" s="32">
        <v>2050</v>
      </c>
      <c r="X242" s="43" t="str">
        <f t="shared" si="29"/>
        <v>*0.92</v>
      </c>
      <c r="AC242" s="33" t="s">
        <v>1116</v>
      </c>
      <c r="AD242" s="44" t="s">
        <v>57</v>
      </c>
      <c r="AE242" s="33">
        <v>2035</v>
      </c>
      <c r="AF242" s="45" t="str">
        <f t="shared" si="30"/>
        <v>*0.93</v>
      </c>
      <c r="AG242" s="43" t="str">
        <f t="shared" si="32"/>
        <v>REZoning_Sol-Win</v>
      </c>
      <c r="AI242" s="33" t="s">
        <v>1116</v>
      </c>
      <c r="AJ242" s="44" t="s">
        <v>57</v>
      </c>
      <c r="AK242" s="33">
        <v>2050</v>
      </c>
      <c r="AL242" s="45" t="str">
        <f t="shared" si="31"/>
        <v>*0.89</v>
      </c>
      <c r="AM242" s="43" t="str">
        <f t="shared" si="33"/>
        <v>REZoning_Sol-Win</v>
      </c>
      <c r="AP242" t="s">
        <v>1116</v>
      </c>
      <c r="AQ242" t="s">
        <v>57</v>
      </c>
      <c r="AR242">
        <v>2100</v>
      </c>
      <c r="AS242" t="s">
        <v>937</v>
      </c>
      <c r="AT242" t="s">
        <v>58</v>
      </c>
    </row>
    <row r="243" ht="29" spans="1:46">
      <c r="A243" s="31" t="s">
        <v>83</v>
      </c>
      <c r="C243" t="s">
        <v>1117</v>
      </c>
      <c r="D243" s="5" t="s">
        <v>57</v>
      </c>
      <c r="E243">
        <v>2035</v>
      </c>
      <c r="F243" s="6" t="str">
        <f t="shared" si="26"/>
        <v>*0.95</v>
      </c>
      <c r="H243" t="s">
        <v>1117</v>
      </c>
      <c r="I243" s="5" t="s">
        <v>57</v>
      </c>
      <c r="J243">
        <v>2050</v>
      </c>
      <c r="K243" s="38" t="str">
        <f t="shared" si="27"/>
        <v>*0.92</v>
      </c>
      <c r="P243" s="32" t="s">
        <v>1117</v>
      </c>
      <c r="Q243" s="42" t="s">
        <v>57</v>
      </c>
      <c r="R243" s="32">
        <v>2035</v>
      </c>
      <c r="S243" s="43" t="str">
        <f t="shared" si="28"/>
        <v>*0.95</v>
      </c>
      <c r="U243" s="32" t="s">
        <v>1117</v>
      </c>
      <c r="V243" s="42" t="s">
        <v>57</v>
      </c>
      <c r="W243" s="32">
        <v>2050</v>
      </c>
      <c r="X243" s="43" t="str">
        <f t="shared" si="29"/>
        <v>*0.92</v>
      </c>
      <c r="AC243" s="33" t="s">
        <v>1117</v>
      </c>
      <c r="AD243" s="44" t="s">
        <v>57</v>
      </c>
      <c r="AE243" s="33">
        <v>2035</v>
      </c>
      <c r="AF243" s="45" t="str">
        <f t="shared" si="30"/>
        <v>*0.93</v>
      </c>
      <c r="AG243" s="43" t="str">
        <f t="shared" si="32"/>
        <v>REZoning_Sol-Win</v>
      </c>
      <c r="AI243" s="33" t="s">
        <v>1117</v>
      </c>
      <c r="AJ243" s="44" t="s">
        <v>57</v>
      </c>
      <c r="AK243" s="33">
        <v>2050</v>
      </c>
      <c r="AL243" s="45" t="str">
        <f t="shared" si="31"/>
        <v>*0.89</v>
      </c>
      <c r="AM243" s="43" t="str">
        <f t="shared" si="33"/>
        <v>REZoning_Sol-Win</v>
      </c>
      <c r="AP243" t="s">
        <v>1117</v>
      </c>
      <c r="AQ243" t="s">
        <v>57</v>
      </c>
      <c r="AR243">
        <v>2100</v>
      </c>
      <c r="AS243" t="s">
        <v>937</v>
      </c>
      <c r="AT243" t="s">
        <v>58</v>
      </c>
    </row>
    <row r="244" ht="29" spans="1:46">
      <c r="A244" s="31" t="s">
        <v>83</v>
      </c>
      <c r="C244" t="s">
        <v>1118</v>
      </c>
      <c r="D244" s="5" t="s">
        <v>57</v>
      </c>
      <c r="E244">
        <v>2035</v>
      </c>
      <c r="F244" s="6" t="str">
        <f t="shared" si="26"/>
        <v>*0.95</v>
      </c>
      <c r="H244" t="s">
        <v>1118</v>
      </c>
      <c r="I244" s="5" t="s">
        <v>57</v>
      </c>
      <c r="J244">
        <v>2050</v>
      </c>
      <c r="K244" s="38" t="str">
        <f t="shared" si="27"/>
        <v>*0.92</v>
      </c>
      <c r="P244" s="32" t="s">
        <v>1118</v>
      </c>
      <c r="Q244" s="42" t="s">
        <v>57</v>
      </c>
      <c r="R244" s="32">
        <v>2035</v>
      </c>
      <c r="S244" s="43" t="str">
        <f t="shared" si="28"/>
        <v>*0.95</v>
      </c>
      <c r="U244" s="32" t="s">
        <v>1118</v>
      </c>
      <c r="V244" s="42" t="s">
        <v>57</v>
      </c>
      <c r="W244" s="32">
        <v>2050</v>
      </c>
      <c r="X244" s="43" t="str">
        <f t="shared" si="29"/>
        <v>*0.92</v>
      </c>
      <c r="AC244" s="33" t="s">
        <v>1118</v>
      </c>
      <c r="AD244" s="44" t="s">
        <v>57</v>
      </c>
      <c r="AE244" s="33">
        <v>2035</v>
      </c>
      <c r="AF244" s="45" t="str">
        <f t="shared" si="30"/>
        <v>*0.93</v>
      </c>
      <c r="AG244" s="43" t="str">
        <f t="shared" si="32"/>
        <v>REZoning_Sol-Win</v>
      </c>
      <c r="AI244" s="33" t="s">
        <v>1118</v>
      </c>
      <c r="AJ244" s="44" t="s">
        <v>57</v>
      </c>
      <c r="AK244" s="33">
        <v>2050</v>
      </c>
      <c r="AL244" s="45" t="str">
        <f t="shared" si="31"/>
        <v>*0.89</v>
      </c>
      <c r="AM244" s="43" t="str">
        <f t="shared" si="33"/>
        <v>REZoning_Sol-Win</v>
      </c>
      <c r="AP244" t="s">
        <v>1118</v>
      </c>
      <c r="AQ244" t="s">
        <v>57</v>
      </c>
      <c r="AR244">
        <v>2100</v>
      </c>
      <c r="AS244" t="s">
        <v>937</v>
      </c>
      <c r="AT244" t="s">
        <v>58</v>
      </c>
    </row>
    <row r="245" ht="29" spans="1:46">
      <c r="A245" s="31" t="s">
        <v>83</v>
      </c>
      <c r="C245" t="s">
        <v>1119</v>
      </c>
      <c r="D245" s="5" t="s">
        <v>57</v>
      </c>
      <c r="E245">
        <v>2035</v>
      </c>
      <c r="F245" s="6" t="str">
        <f t="shared" si="26"/>
        <v>*0.95</v>
      </c>
      <c r="H245" t="s">
        <v>1119</v>
      </c>
      <c r="I245" s="5" t="s">
        <v>57</v>
      </c>
      <c r="J245">
        <v>2050</v>
      </c>
      <c r="K245" s="38" t="str">
        <f t="shared" si="27"/>
        <v>*0.92</v>
      </c>
      <c r="P245" s="32" t="s">
        <v>1119</v>
      </c>
      <c r="Q245" s="42" t="s">
        <v>57</v>
      </c>
      <c r="R245" s="32">
        <v>2035</v>
      </c>
      <c r="S245" s="43" t="str">
        <f t="shared" si="28"/>
        <v>*0.95</v>
      </c>
      <c r="U245" s="32" t="s">
        <v>1119</v>
      </c>
      <c r="V245" s="42" t="s">
        <v>57</v>
      </c>
      <c r="W245" s="32">
        <v>2050</v>
      </c>
      <c r="X245" s="43" t="str">
        <f t="shared" si="29"/>
        <v>*0.92</v>
      </c>
      <c r="AC245" s="33" t="s">
        <v>1119</v>
      </c>
      <c r="AD245" s="44" t="s">
        <v>57</v>
      </c>
      <c r="AE245" s="33">
        <v>2035</v>
      </c>
      <c r="AF245" s="45" t="str">
        <f t="shared" si="30"/>
        <v>*0.93</v>
      </c>
      <c r="AG245" s="43" t="str">
        <f t="shared" si="32"/>
        <v>REZoning_Sol-Win</v>
      </c>
      <c r="AI245" s="33" t="s">
        <v>1119</v>
      </c>
      <c r="AJ245" s="44" t="s">
        <v>57</v>
      </c>
      <c r="AK245" s="33">
        <v>2050</v>
      </c>
      <c r="AL245" s="45" t="str">
        <f t="shared" si="31"/>
        <v>*0.89</v>
      </c>
      <c r="AM245" s="43" t="str">
        <f t="shared" si="33"/>
        <v>REZoning_Sol-Win</v>
      </c>
      <c r="AP245" t="s">
        <v>1119</v>
      </c>
      <c r="AQ245" t="s">
        <v>57</v>
      </c>
      <c r="AR245">
        <v>2100</v>
      </c>
      <c r="AS245" t="s">
        <v>937</v>
      </c>
      <c r="AT245" t="s">
        <v>58</v>
      </c>
    </row>
    <row r="246" ht="29" spans="1:46">
      <c r="A246" s="31" t="s">
        <v>83</v>
      </c>
      <c r="C246" t="s">
        <v>1120</v>
      </c>
      <c r="D246" s="5" t="s">
        <v>57</v>
      </c>
      <c r="E246">
        <v>2035</v>
      </c>
      <c r="F246" s="6" t="str">
        <f t="shared" si="26"/>
        <v>*0.95</v>
      </c>
      <c r="H246" t="s">
        <v>1120</v>
      </c>
      <c r="I246" s="5" t="s">
        <v>57</v>
      </c>
      <c r="J246">
        <v>2050</v>
      </c>
      <c r="K246" s="38" t="str">
        <f t="shared" si="27"/>
        <v>*0.92</v>
      </c>
      <c r="P246" s="32" t="s">
        <v>1120</v>
      </c>
      <c r="Q246" s="42" t="s">
        <v>57</v>
      </c>
      <c r="R246" s="32">
        <v>2035</v>
      </c>
      <c r="S246" s="43" t="str">
        <f t="shared" si="28"/>
        <v>*0.95</v>
      </c>
      <c r="U246" s="32" t="s">
        <v>1120</v>
      </c>
      <c r="V246" s="42" t="s">
        <v>57</v>
      </c>
      <c r="W246" s="32">
        <v>2050</v>
      </c>
      <c r="X246" s="43" t="str">
        <f t="shared" si="29"/>
        <v>*0.92</v>
      </c>
      <c r="AC246" s="33" t="s">
        <v>1120</v>
      </c>
      <c r="AD246" s="44" t="s">
        <v>57</v>
      </c>
      <c r="AE246" s="33">
        <v>2035</v>
      </c>
      <c r="AF246" s="45" t="str">
        <f t="shared" si="30"/>
        <v>*0.93</v>
      </c>
      <c r="AG246" s="43" t="str">
        <f t="shared" si="32"/>
        <v>REZoning_Sol-Win</v>
      </c>
      <c r="AI246" s="33" t="s">
        <v>1120</v>
      </c>
      <c r="AJ246" s="44" t="s">
        <v>57</v>
      </c>
      <c r="AK246" s="33">
        <v>2050</v>
      </c>
      <c r="AL246" s="45" t="str">
        <f t="shared" si="31"/>
        <v>*0.89</v>
      </c>
      <c r="AM246" s="43" t="str">
        <f t="shared" si="33"/>
        <v>REZoning_Sol-Win</v>
      </c>
      <c r="AP246" t="s">
        <v>1120</v>
      </c>
      <c r="AQ246" t="s">
        <v>57</v>
      </c>
      <c r="AR246">
        <v>2100</v>
      </c>
      <c r="AS246" t="s">
        <v>937</v>
      </c>
      <c r="AT246" t="s">
        <v>58</v>
      </c>
    </row>
    <row r="247" ht="29" spans="1:46">
      <c r="A247" s="31" t="s">
        <v>83</v>
      </c>
      <c r="C247" t="s">
        <v>1121</v>
      </c>
      <c r="D247" s="5" t="s">
        <v>57</v>
      </c>
      <c r="E247">
        <v>2035</v>
      </c>
      <c r="F247" s="6" t="str">
        <f t="shared" si="26"/>
        <v>*0.95</v>
      </c>
      <c r="H247" t="s">
        <v>1121</v>
      </c>
      <c r="I247" s="5" t="s">
        <v>57</v>
      </c>
      <c r="J247">
        <v>2050</v>
      </c>
      <c r="K247" s="38" t="str">
        <f t="shared" si="27"/>
        <v>*0.92</v>
      </c>
      <c r="P247" s="32" t="s">
        <v>1121</v>
      </c>
      <c r="Q247" s="42" t="s">
        <v>57</v>
      </c>
      <c r="R247" s="32">
        <v>2035</v>
      </c>
      <c r="S247" s="43" t="str">
        <f t="shared" si="28"/>
        <v>*0.95</v>
      </c>
      <c r="U247" s="32" t="s">
        <v>1121</v>
      </c>
      <c r="V247" s="42" t="s">
        <v>57</v>
      </c>
      <c r="W247" s="32">
        <v>2050</v>
      </c>
      <c r="X247" s="43" t="str">
        <f t="shared" si="29"/>
        <v>*0.92</v>
      </c>
      <c r="AC247" s="33" t="s">
        <v>1121</v>
      </c>
      <c r="AD247" s="44" t="s">
        <v>57</v>
      </c>
      <c r="AE247" s="33">
        <v>2035</v>
      </c>
      <c r="AF247" s="45" t="str">
        <f t="shared" si="30"/>
        <v>*0.93</v>
      </c>
      <c r="AG247" s="43" t="str">
        <f t="shared" si="32"/>
        <v>REZoning_Sol-Win</v>
      </c>
      <c r="AI247" s="33" t="s">
        <v>1121</v>
      </c>
      <c r="AJ247" s="44" t="s">
        <v>57</v>
      </c>
      <c r="AK247" s="33">
        <v>2050</v>
      </c>
      <c r="AL247" s="45" t="str">
        <f t="shared" si="31"/>
        <v>*0.89</v>
      </c>
      <c r="AM247" s="43" t="str">
        <f t="shared" si="33"/>
        <v>REZoning_Sol-Win</v>
      </c>
      <c r="AP247" t="s">
        <v>1121</v>
      </c>
      <c r="AQ247" t="s">
        <v>57</v>
      </c>
      <c r="AR247">
        <v>2100</v>
      </c>
      <c r="AS247" t="s">
        <v>937</v>
      </c>
      <c r="AT247" t="s">
        <v>58</v>
      </c>
    </row>
    <row r="248" ht="29" spans="1:46">
      <c r="A248" s="31" t="s">
        <v>83</v>
      </c>
      <c r="C248" t="s">
        <v>1122</v>
      </c>
      <c r="D248" s="5" t="s">
        <v>57</v>
      </c>
      <c r="E248">
        <v>2035</v>
      </c>
      <c r="F248" s="6" t="str">
        <f t="shared" si="26"/>
        <v>*0.95</v>
      </c>
      <c r="H248" t="s">
        <v>1122</v>
      </c>
      <c r="I248" s="5" t="s">
        <v>57</v>
      </c>
      <c r="J248">
        <v>2050</v>
      </c>
      <c r="K248" s="38" t="str">
        <f t="shared" si="27"/>
        <v>*0.92</v>
      </c>
      <c r="P248" s="32" t="s">
        <v>1122</v>
      </c>
      <c r="Q248" s="42" t="s">
        <v>57</v>
      </c>
      <c r="R248" s="32">
        <v>2035</v>
      </c>
      <c r="S248" s="43" t="str">
        <f t="shared" si="28"/>
        <v>*0.95</v>
      </c>
      <c r="U248" s="32" t="s">
        <v>1122</v>
      </c>
      <c r="V248" s="42" t="s">
        <v>57</v>
      </c>
      <c r="W248" s="32">
        <v>2050</v>
      </c>
      <c r="X248" s="43" t="str">
        <f t="shared" si="29"/>
        <v>*0.92</v>
      </c>
      <c r="AC248" s="33" t="s">
        <v>1122</v>
      </c>
      <c r="AD248" s="44" t="s">
        <v>57</v>
      </c>
      <c r="AE248" s="33">
        <v>2035</v>
      </c>
      <c r="AF248" s="45" t="str">
        <f t="shared" si="30"/>
        <v>*0.93</v>
      </c>
      <c r="AG248" s="43" t="str">
        <f t="shared" si="32"/>
        <v>REZoning_Sol-Win</v>
      </c>
      <c r="AI248" s="33" t="s">
        <v>1122</v>
      </c>
      <c r="AJ248" s="44" t="s">
        <v>57</v>
      </c>
      <c r="AK248" s="33">
        <v>2050</v>
      </c>
      <c r="AL248" s="45" t="str">
        <f t="shared" si="31"/>
        <v>*0.89</v>
      </c>
      <c r="AM248" s="43" t="str">
        <f t="shared" si="33"/>
        <v>REZoning_Sol-Win</v>
      </c>
      <c r="AP248" t="s">
        <v>1122</v>
      </c>
      <c r="AQ248" t="s">
        <v>57</v>
      </c>
      <c r="AR248">
        <v>2100</v>
      </c>
      <c r="AS248" t="s">
        <v>937</v>
      </c>
      <c r="AT248" t="s">
        <v>58</v>
      </c>
    </row>
    <row r="249" ht="29" spans="1:46">
      <c r="A249" s="31" t="s">
        <v>83</v>
      </c>
      <c r="C249" t="s">
        <v>1123</v>
      </c>
      <c r="D249" s="5" t="s">
        <v>57</v>
      </c>
      <c r="E249">
        <v>2035</v>
      </c>
      <c r="F249" s="6" t="str">
        <f t="shared" si="26"/>
        <v>*0.95</v>
      </c>
      <c r="H249" t="s">
        <v>1123</v>
      </c>
      <c r="I249" s="5" t="s">
        <v>57</v>
      </c>
      <c r="J249">
        <v>2050</v>
      </c>
      <c r="K249" s="38" t="str">
        <f t="shared" si="27"/>
        <v>*0.92</v>
      </c>
      <c r="P249" s="32" t="s">
        <v>1123</v>
      </c>
      <c r="Q249" s="42" t="s">
        <v>57</v>
      </c>
      <c r="R249" s="32">
        <v>2035</v>
      </c>
      <c r="S249" s="43" t="str">
        <f t="shared" si="28"/>
        <v>*0.95</v>
      </c>
      <c r="U249" s="32" t="s">
        <v>1123</v>
      </c>
      <c r="V249" s="42" t="s">
        <v>57</v>
      </c>
      <c r="W249" s="32">
        <v>2050</v>
      </c>
      <c r="X249" s="43" t="str">
        <f t="shared" si="29"/>
        <v>*0.92</v>
      </c>
      <c r="AC249" s="33" t="s">
        <v>1123</v>
      </c>
      <c r="AD249" s="44" t="s">
        <v>57</v>
      </c>
      <c r="AE249" s="33">
        <v>2035</v>
      </c>
      <c r="AF249" s="45" t="str">
        <f t="shared" si="30"/>
        <v>*0.93</v>
      </c>
      <c r="AG249" s="43" t="str">
        <f t="shared" si="32"/>
        <v>REZoning_Sol-Win</v>
      </c>
      <c r="AI249" s="33" t="s">
        <v>1123</v>
      </c>
      <c r="AJ249" s="44" t="s">
        <v>57</v>
      </c>
      <c r="AK249" s="33">
        <v>2050</v>
      </c>
      <c r="AL249" s="45" t="str">
        <f t="shared" si="31"/>
        <v>*0.89</v>
      </c>
      <c r="AM249" s="43" t="str">
        <f t="shared" si="33"/>
        <v>REZoning_Sol-Win</v>
      </c>
      <c r="AP249" t="s">
        <v>1123</v>
      </c>
      <c r="AQ249" t="s">
        <v>57</v>
      </c>
      <c r="AR249">
        <v>2100</v>
      </c>
      <c r="AS249" t="s">
        <v>937</v>
      </c>
      <c r="AT249" t="s">
        <v>58</v>
      </c>
    </row>
    <row r="250" ht="29" spans="1:46">
      <c r="A250" s="31" t="s">
        <v>83</v>
      </c>
      <c r="C250" t="s">
        <v>1124</v>
      </c>
      <c r="D250" s="5" t="s">
        <v>57</v>
      </c>
      <c r="E250">
        <v>2035</v>
      </c>
      <c r="F250" s="6" t="str">
        <f t="shared" si="26"/>
        <v>*0.95</v>
      </c>
      <c r="H250" t="s">
        <v>1124</v>
      </c>
      <c r="I250" s="5" t="s">
        <v>57</v>
      </c>
      <c r="J250">
        <v>2050</v>
      </c>
      <c r="K250" s="38" t="str">
        <f t="shared" si="27"/>
        <v>*0.92</v>
      </c>
      <c r="P250" s="32" t="s">
        <v>1124</v>
      </c>
      <c r="Q250" s="42" t="s">
        <v>57</v>
      </c>
      <c r="R250" s="32">
        <v>2035</v>
      </c>
      <c r="S250" s="43" t="str">
        <f t="shared" si="28"/>
        <v>*0.95</v>
      </c>
      <c r="U250" s="32" t="s">
        <v>1124</v>
      </c>
      <c r="V250" s="42" t="s">
        <v>57</v>
      </c>
      <c r="W250" s="32">
        <v>2050</v>
      </c>
      <c r="X250" s="43" t="str">
        <f t="shared" si="29"/>
        <v>*0.92</v>
      </c>
      <c r="AC250" s="33" t="s">
        <v>1124</v>
      </c>
      <c r="AD250" s="44" t="s">
        <v>57</v>
      </c>
      <c r="AE250" s="33">
        <v>2035</v>
      </c>
      <c r="AF250" s="45" t="str">
        <f t="shared" si="30"/>
        <v>*0.93</v>
      </c>
      <c r="AG250" s="43" t="str">
        <f t="shared" si="32"/>
        <v>REZoning_Sol-Win</v>
      </c>
      <c r="AI250" s="33" t="s">
        <v>1124</v>
      </c>
      <c r="AJ250" s="44" t="s">
        <v>57</v>
      </c>
      <c r="AK250" s="33">
        <v>2050</v>
      </c>
      <c r="AL250" s="45" t="str">
        <f t="shared" si="31"/>
        <v>*0.89</v>
      </c>
      <c r="AM250" s="43" t="str">
        <f t="shared" si="33"/>
        <v>REZoning_Sol-Win</v>
      </c>
      <c r="AP250" t="s">
        <v>1124</v>
      </c>
      <c r="AQ250" t="s">
        <v>57</v>
      </c>
      <c r="AR250">
        <v>2100</v>
      </c>
      <c r="AS250" t="s">
        <v>937</v>
      </c>
      <c r="AT250" t="s">
        <v>58</v>
      </c>
    </row>
    <row r="251" ht="29" spans="1:46">
      <c r="A251" s="31" t="s">
        <v>83</v>
      </c>
      <c r="C251" t="s">
        <v>1125</v>
      </c>
      <c r="D251" s="5" t="s">
        <v>57</v>
      </c>
      <c r="E251">
        <v>2035</v>
      </c>
      <c r="F251" s="6" t="str">
        <f t="shared" si="26"/>
        <v>*0.95</v>
      </c>
      <c r="H251" t="s">
        <v>1125</v>
      </c>
      <c r="I251" s="5" t="s">
        <v>57</v>
      </c>
      <c r="J251">
        <v>2050</v>
      </c>
      <c r="K251" s="38" t="str">
        <f t="shared" si="27"/>
        <v>*0.92</v>
      </c>
      <c r="P251" s="32" t="s">
        <v>1125</v>
      </c>
      <c r="Q251" s="42" t="s">
        <v>57</v>
      </c>
      <c r="R251" s="32">
        <v>2035</v>
      </c>
      <c r="S251" s="43" t="str">
        <f t="shared" si="28"/>
        <v>*0.95</v>
      </c>
      <c r="U251" s="32" t="s">
        <v>1125</v>
      </c>
      <c r="V251" s="42" t="s">
        <v>57</v>
      </c>
      <c r="W251" s="32">
        <v>2050</v>
      </c>
      <c r="X251" s="43" t="str">
        <f t="shared" si="29"/>
        <v>*0.92</v>
      </c>
      <c r="AC251" s="33" t="s">
        <v>1125</v>
      </c>
      <c r="AD251" s="44" t="s">
        <v>57</v>
      </c>
      <c r="AE251" s="33">
        <v>2035</v>
      </c>
      <c r="AF251" s="45" t="str">
        <f t="shared" si="30"/>
        <v>*0.93</v>
      </c>
      <c r="AG251" s="43" t="str">
        <f t="shared" si="32"/>
        <v>REZoning_Sol-Win</v>
      </c>
      <c r="AI251" s="33" t="s">
        <v>1125</v>
      </c>
      <c r="AJ251" s="44" t="s">
        <v>57</v>
      </c>
      <c r="AK251" s="33">
        <v>2050</v>
      </c>
      <c r="AL251" s="45" t="str">
        <f t="shared" si="31"/>
        <v>*0.89</v>
      </c>
      <c r="AM251" s="43" t="str">
        <f t="shared" si="33"/>
        <v>REZoning_Sol-Win</v>
      </c>
      <c r="AP251" t="s">
        <v>1125</v>
      </c>
      <c r="AQ251" t="s">
        <v>57</v>
      </c>
      <c r="AR251">
        <v>2100</v>
      </c>
      <c r="AS251" t="s">
        <v>937</v>
      </c>
      <c r="AT251" t="s">
        <v>58</v>
      </c>
    </row>
    <row r="252" ht="29" spans="1:46">
      <c r="A252" s="31" t="s">
        <v>83</v>
      </c>
      <c r="C252" t="s">
        <v>1126</v>
      </c>
      <c r="D252" s="5" t="s">
        <v>57</v>
      </c>
      <c r="E252">
        <v>2035</v>
      </c>
      <c r="F252" s="6" t="str">
        <f t="shared" si="26"/>
        <v>*0.95</v>
      </c>
      <c r="H252" t="s">
        <v>1126</v>
      </c>
      <c r="I252" s="5" t="s">
        <v>57</v>
      </c>
      <c r="J252">
        <v>2050</v>
      </c>
      <c r="K252" s="38" t="str">
        <f t="shared" si="27"/>
        <v>*0.92</v>
      </c>
      <c r="P252" s="32" t="s">
        <v>1126</v>
      </c>
      <c r="Q252" s="42" t="s">
        <v>57</v>
      </c>
      <c r="R252" s="32">
        <v>2035</v>
      </c>
      <c r="S252" s="43" t="str">
        <f t="shared" si="28"/>
        <v>*0.95</v>
      </c>
      <c r="U252" s="32" t="s">
        <v>1126</v>
      </c>
      <c r="V252" s="42" t="s">
        <v>57</v>
      </c>
      <c r="W252" s="32">
        <v>2050</v>
      </c>
      <c r="X252" s="43" t="str">
        <f t="shared" si="29"/>
        <v>*0.92</v>
      </c>
      <c r="AC252" s="33" t="s">
        <v>1126</v>
      </c>
      <c r="AD252" s="44" t="s">
        <v>57</v>
      </c>
      <c r="AE252" s="33">
        <v>2035</v>
      </c>
      <c r="AF252" s="45" t="str">
        <f t="shared" si="30"/>
        <v>*0.93</v>
      </c>
      <c r="AG252" s="43" t="str">
        <f t="shared" si="32"/>
        <v>REZoning_Sol-Win</v>
      </c>
      <c r="AI252" s="33" t="s">
        <v>1126</v>
      </c>
      <c r="AJ252" s="44" t="s">
        <v>57</v>
      </c>
      <c r="AK252" s="33">
        <v>2050</v>
      </c>
      <c r="AL252" s="45" t="str">
        <f t="shared" si="31"/>
        <v>*0.89</v>
      </c>
      <c r="AM252" s="43" t="str">
        <f t="shared" si="33"/>
        <v>REZoning_Sol-Win</v>
      </c>
      <c r="AP252" t="s">
        <v>1126</v>
      </c>
      <c r="AQ252" t="s">
        <v>57</v>
      </c>
      <c r="AR252">
        <v>2100</v>
      </c>
      <c r="AS252" t="s">
        <v>937</v>
      </c>
      <c r="AT252" t="s">
        <v>58</v>
      </c>
    </row>
    <row r="253" ht="29" spans="1:46">
      <c r="A253" s="31" t="s">
        <v>83</v>
      </c>
      <c r="C253" t="s">
        <v>1127</v>
      </c>
      <c r="D253" s="5" t="s">
        <v>57</v>
      </c>
      <c r="E253">
        <v>2035</v>
      </c>
      <c r="F253" s="6" t="str">
        <f t="shared" si="26"/>
        <v>*0.95</v>
      </c>
      <c r="H253" t="s">
        <v>1127</v>
      </c>
      <c r="I253" s="5" t="s">
        <v>57</v>
      </c>
      <c r="J253">
        <v>2050</v>
      </c>
      <c r="K253" s="38" t="str">
        <f t="shared" si="27"/>
        <v>*0.92</v>
      </c>
      <c r="P253" s="32" t="s">
        <v>1127</v>
      </c>
      <c r="Q253" s="42" t="s">
        <v>57</v>
      </c>
      <c r="R253" s="32">
        <v>2035</v>
      </c>
      <c r="S253" s="43" t="str">
        <f t="shared" si="28"/>
        <v>*0.95</v>
      </c>
      <c r="U253" s="32" t="s">
        <v>1127</v>
      </c>
      <c r="V253" s="42" t="s">
        <v>57</v>
      </c>
      <c r="W253" s="32">
        <v>2050</v>
      </c>
      <c r="X253" s="43" t="str">
        <f t="shared" si="29"/>
        <v>*0.92</v>
      </c>
      <c r="AC253" s="33" t="s">
        <v>1127</v>
      </c>
      <c r="AD253" s="44" t="s">
        <v>57</v>
      </c>
      <c r="AE253" s="33">
        <v>2035</v>
      </c>
      <c r="AF253" s="45" t="str">
        <f t="shared" si="30"/>
        <v>*0.93</v>
      </c>
      <c r="AG253" s="43" t="str">
        <f t="shared" si="32"/>
        <v>REZoning_Sol-Win</v>
      </c>
      <c r="AI253" s="33" t="s">
        <v>1127</v>
      </c>
      <c r="AJ253" s="44" t="s">
        <v>57</v>
      </c>
      <c r="AK253" s="33">
        <v>2050</v>
      </c>
      <c r="AL253" s="45" t="str">
        <f t="shared" si="31"/>
        <v>*0.89</v>
      </c>
      <c r="AM253" s="43" t="str">
        <f t="shared" si="33"/>
        <v>REZoning_Sol-Win</v>
      </c>
      <c r="AP253" t="s">
        <v>1127</v>
      </c>
      <c r="AQ253" t="s">
        <v>57</v>
      </c>
      <c r="AR253">
        <v>2100</v>
      </c>
      <c r="AS253" t="s">
        <v>937</v>
      </c>
      <c r="AT253" t="s">
        <v>58</v>
      </c>
    </row>
    <row r="254" ht="29" spans="1:46">
      <c r="A254" s="31" t="s">
        <v>83</v>
      </c>
      <c r="C254" t="s">
        <v>1128</v>
      </c>
      <c r="D254" s="5" t="s">
        <v>57</v>
      </c>
      <c r="E254">
        <v>2035</v>
      </c>
      <c r="F254" s="6" t="str">
        <f t="shared" si="26"/>
        <v>*0.95</v>
      </c>
      <c r="H254" t="s">
        <v>1128</v>
      </c>
      <c r="I254" s="5" t="s">
        <v>57</v>
      </c>
      <c r="J254">
        <v>2050</v>
      </c>
      <c r="K254" s="38" t="str">
        <f t="shared" si="27"/>
        <v>*0.92</v>
      </c>
      <c r="P254" s="32" t="s">
        <v>1128</v>
      </c>
      <c r="Q254" s="42" t="s">
        <v>57</v>
      </c>
      <c r="R254" s="32">
        <v>2035</v>
      </c>
      <c r="S254" s="43" t="str">
        <f t="shared" si="28"/>
        <v>*0.95</v>
      </c>
      <c r="U254" s="32" t="s">
        <v>1128</v>
      </c>
      <c r="V254" s="42" t="s">
        <v>57</v>
      </c>
      <c r="W254" s="32">
        <v>2050</v>
      </c>
      <c r="X254" s="43" t="str">
        <f t="shared" si="29"/>
        <v>*0.92</v>
      </c>
      <c r="AC254" s="33" t="s">
        <v>1128</v>
      </c>
      <c r="AD254" s="44" t="s">
        <v>57</v>
      </c>
      <c r="AE254" s="33">
        <v>2035</v>
      </c>
      <c r="AF254" s="45" t="str">
        <f t="shared" si="30"/>
        <v>*0.93</v>
      </c>
      <c r="AG254" s="43" t="str">
        <f t="shared" si="32"/>
        <v>REZoning_Sol-Win</v>
      </c>
      <c r="AI254" s="33" t="s">
        <v>1128</v>
      </c>
      <c r="AJ254" s="44" t="s">
        <v>57</v>
      </c>
      <c r="AK254" s="33">
        <v>2050</v>
      </c>
      <c r="AL254" s="45" t="str">
        <f t="shared" si="31"/>
        <v>*0.89</v>
      </c>
      <c r="AM254" s="43" t="str">
        <f t="shared" si="33"/>
        <v>REZoning_Sol-Win</v>
      </c>
      <c r="AP254" t="s">
        <v>1128</v>
      </c>
      <c r="AQ254" t="s">
        <v>57</v>
      </c>
      <c r="AR254">
        <v>2100</v>
      </c>
      <c r="AS254" t="s">
        <v>937</v>
      </c>
      <c r="AT254" t="s">
        <v>58</v>
      </c>
    </row>
    <row r="255" ht="29" spans="1:46">
      <c r="A255" s="31" t="s">
        <v>83</v>
      </c>
      <c r="C255" t="s">
        <v>1129</v>
      </c>
      <c r="D255" s="5" t="s">
        <v>57</v>
      </c>
      <c r="E255">
        <v>2035</v>
      </c>
      <c r="F255" s="6" t="str">
        <f t="shared" si="26"/>
        <v>*0.95</v>
      </c>
      <c r="H255" t="s">
        <v>1129</v>
      </c>
      <c r="I255" s="5" t="s">
        <v>57</v>
      </c>
      <c r="J255">
        <v>2050</v>
      </c>
      <c r="K255" s="38" t="str">
        <f t="shared" si="27"/>
        <v>*0.92</v>
      </c>
      <c r="P255" s="32" t="s">
        <v>1129</v>
      </c>
      <c r="Q255" s="42" t="s">
        <v>57</v>
      </c>
      <c r="R255" s="32">
        <v>2035</v>
      </c>
      <c r="S255" s="43" t="str">
        <f t="shared" si="28"/>
        <v>*0.95</v>
      </c>
      <c r="U255" s="32" t="s">
        <v>1129</v>
      </c>
      <c r="V255" s="42" t="s">
        <v>57</v>
      </c>
      <c r="W255" s="32">
        <v>2050</v>
      </c>
      <c r="X255" s="43" t="str">
        <f t="shared" si="29"/>
        <v>*0.92</v>
      </c>
      <c r="AC255" s="33" t="s">
        <v>1129</v>
      </c>
      <c r="AD255" s="44" t="s">
        <v>57</v>
      </c>
      <c r="AE255" s="33">
        <v>2035</v>
      </c>
      <c r="AF255" s="45" t="str">
        <f t="shared" si="30"/>
        <v>*0.93</v>
      </c>
      <c r="AG255" s="43" t="str">
        <f t="shared" si="32"/>
        <v>REZoning_Sol-Win</v>
      </c>
      <c r="AI255" s="33" t="s">
        <v>1129</v>
      </c>
      <c r="AJ255" s="44" t="s">
        <v>57</v>
      </c>
      <c r="AK255" s="33">
        <v>2050</v>
      </c>
      <c r="AL255" s="45" t="str">
        <f t="shared" si="31"/>
        <v>*0.89</v>
      </c>
      <c r="AM255" s="43" t="str">
        <f t="shared" si="33"/>
        <v>REZoning_Sol-Win</v>
      </c>
      <c r="AP255" t="s">
        <v>1129</v>
      </c>
      <c r="AQ255" t="s">
        <v>57</v>
      </c>
      <c r="AR255">
        <v>2100</v>
      </c>
      <c r="AS255" t="s">
        <v>937</v>
      </c>
      <c r="AT255" t="s">
        <v>58</v>
      </c>
    </row>
    <row r="256" ht="29" spans="1:46">
      <c r="A256" s="31" t="s">
        <v>83</v>
      </c>
      <c r="C256" t="s">
        <v>1130</v>
      </c>
      <c r="D256" s="5" t="s">
        <v>57</v>
      </c>
      <c r="E256">
        <v>2035</v>
      </c>
      <c r="F256" s="6" t="str">
        <f t="shared" si="26"/>
        <v>*0.95</v>
      </c>
      <c r="H256" t="s">
        <v>1130</v>
      </c>
      <c r="I256" s="5" t="s">
        <v>57</v>
      </c>
      <c r="J256">
        <v>2050</v>
      </c>
      <c r="K256" s="38" t="str">
        <f t="shared" si="27"/>
        <v>*0.92</v>
      </c>
      <c r="P256" s="32" t="s">
        <v>1130</v>
      </c>
      <c r="Q256" s="42" t="s">
        <v>57</v>
      </c>
      <c r="R256" s="32">
        <v>2035</v>
      </c>
      <c r="S256" s="43" t="str">
        <f t="shared" si="28"/>
        <v>*0.95</v>
      </c>
      <c r="U256" s="32" t="s">
        <v>1130</v>
      </c>
      <c r="V256" s="42" t="s">
        <v>57</v>
      </c>
      <c r="W256" s="32">
        <v>2050</v>
      </c>
      <c r="X256" s="43" t="str">
        <f t="shared" si="29"/>
        <v>*0.92</v>
      </c>
      <c r="AC256" s="33" t="s">
        <v>1130</v>
      </c>
      <c r="AD256" s="44" t="s">
        <v>57</v>
      </c>
      <c r="AE256" s="33">
        <v>2035</v>
      </c>
      <c r="AF256" s="45" t="str">
        <f t="shared" si="30"/>
        <v>*0.93</v>
      </c>
      <c r="AG256" s="43" t="str">
        <f t="shared" si="32"/>
        <v>REZoning_Sol-Win</v>
      </c>
      <c r="AI256" s="33" t="s">
        <v>1130</v>
      </c>
      <c r="AJ256" s="44" t="s">
        <v>57</v>
      </c>
      <c r="AK256" s="33">
        <v>2050</v>
      </c>
      <c r="AL256" s="45" t="str">
        <f t="shared" si="31"/>
        <v>*0.89</v>
      </c>
      <c r="AM256" s="43" t="str">
        <f t="shared" si="33"/>
        <v>REZoning_Sol-Win</v>
      </c>
      <c r="AP256" t="s">
        <v>1130</v>
      </c>
      <c r="AQ256" t="s">
        <v>57</v>
      </c>
      <c r="AR256">
        <v>2100</v>
      </c>
      <c r="AS256" t="s">
        <v>937</v>
      </c>
      <c r="AT256" t="s">
        <v>58</v>
      </c>
    </row>
    <row r="257" ht="29" spans="1:46">
      <c r="A257" s="31" t="s">
        <v>83</v>
      </c>
      <c r="C257" t="s">
        <v>1131</v>
      </c>
      <c r="D257" s="5" t="s">
        <v>57</v>
      </c>
      <c r="E257">
        <v>2035</v>
      </c>
      <c r="F257" s="6" t="str">
        <f t="shared" si="26"/>
        <v>*0.95</v>
      </c>
      <c r="H257" t="s">
        <v>1131</v>
      </c>
      <c r="I257" s="5" t="s">
        <v>57</v>
      </c>
      <c r="J257">
        <v>2050</v>
      </c>
      <c r="K257" s="38" t="str">
        <f t="shared" si="27"/>
        <v>*0.92</v>
      </c>
      <c r="P257" s="32" t="s">
        <v>1131</v>
      </c>
      <c r="Q257" s="42" t="s">
        <v>57</v>
      </c>
      <c r="R257" s="32">
        <v>2035</v>
      </c>
      <c r="S257" s="43" t="str">
        <f t="shared" si="28"/>
        <v>*0.95</v>
      </c>
      <c r="U257" s="32" t="s">
        <v>1131</v>
      </c>
      <c r="V257" s="42" t="s">
        <v>57</v>
      </c>
      <c r="W257" s="32">
        <v>2050</v>
      </c>
      <c r="X257" s="43" t="str">
        <f t="shared" si="29"/>
        <v>*0.92</v>
      </c>
      <c r="AC257" s="33" t="s">
        <v>1131</v>
      </c>
      <c r="AD257" s="44" t="s">
        <v>57</v>
      </c>
      <c r="AE257" s="33">
        <v>2035</v>
      </c>
      <c r="AF257" s="45" t="str">
        <f t="shared" si="30"/>
        <v>*0.93</v>
      </c>
      <c r="AG257" s="43" t="str">
        <f t="shared" si="32"/>
        <v>REZoning_Sol-Win</v>
      </c>
      <c r="AI257" s="33" t="s">
        <v>1131</v>
      </c>
      <c r="AJ257" s="44" t="s">
        <v>57</v>
      </c>
      <c r="AK257" s="33">
        <v>2050</v>
      </c>
      <c r="AL257" s="45" t="str">
        <f t="shared" si="31"/>
        <v>*0.89</v>
      </c>
      <c r="AM257" s="43" t="str">
        <f t="shared" si="33"/>
        <v>REZoning_Sol-Win</v>
      </c>
      <c r="AP257" t="s">
        <v>1131</v>
      </c>
      <c r="AQ257" t="s">
        <v>57</v>
      </c>
      <c r="AR257">
        <v>2100</v>
      </c>
      <c r="AS257" t="s">
        <v>937</v>
      </c>
      <c r="AT257" t="s">
        <v>58</v>
      </c>
    </row>
    <row r="258" ht="29" spans="1:46">
      <c r="A258" s="31" t="s">
        <v>83</v>
      </c>
      <c r="C258" t="s">
        <v>1132</v>
      </c>
      <c r="D258" s="5" t="s">
        <v>57</v>
      </c>
      <c r="E258">
        <v>2035</v>
      </c>
      <c r="F258" s="6" t="str">
        <f t="shared" si="26"/>
        <v>*0.95</v>
      </c>
      <c r="H258" t="s">
        <v>1132</v>
      </c>
      <c r="I258" s="5" t="s">
        <v>57</v>
      </c>
      <c r="J258">
        <v>2050</v>
      </c>
      <c r="K258" s="38" t="str">
        <f t="shared" si="27"/>
        <v>*0.92</v>
      </c>
      <c r="P258" s="32" t="s">
        <v>1132</v>
      </c>
      <c r="Q258" s="42" t="s">
        <v>57</v>
      </c>
      <c r="R258" s="32">
        <v>2035</v>
      </c>
      <c r="S258" s="43" t="str">
        <f t="shared" si="28"/>
        <v>*0.95</v>
      </c>
      <c r="U258" s="32" t="s">
        <v>1132</v>
      </c>
      <c r="V258" s="42" t="s">
        <v>57</v>
      </c>
      <c r="W258" s="32">
        <v>2050</v>
      </c>
      <c r="X258" s="43" t="str">
        <f t="shared" si="29"/>
        <v>*0.92</v>
      </c>
      <c r="AC258" s="33" t="s">
        <v>1132</v>
      </c>
      <c r="AD258" s="44" t="s">
        <v>57</v>
      </c>
      <c r="AE258" s="33">
        <v>2035</v>
      </c>
      <c r="AF258" s="45" t="str">
        <f t="shared" si="30"/>
        <v>*0.93</v>
      </c>
      <c r="AG258" s="43" t="str">
        <f t="shared" si="32"/>
        <v>REZoning_Sol-Win</v>
      </c>
      <c r="AI258" s="33" t="s">
        <v>1132</v>
      </c>
      <c r="AJ258" s="44" t="s">
        <v>57</v>
      </c>
      <c r="AK258" s="33">
        <v>2050</v>
      </c>
      <c r="AL258" s="45" t="str">
        <f t="shared" si="31"/>
        <v>*0.89</v>
      </c>
      <c r="AM258" s="43" t="str">
        <f t="shared" si="33"/>
        <v>REZoning_Sol-Win</v>
      </c>
      <c r="AP258" t="s">
        <v>1132</v>
      </c>
      <c r="AQ258" t="s">
        <v>57</v>
      </c>
      <c r="AR258">
        <v>2100</v>
      </c>
      <c r="AS258" t="s">
        <v>937</v>
      </c>
      <c r="AT258" t="s">
        <v>58</v>
      </c>
    </row>
    <row r="259" ht="29" spans="1:46">
      <c r="A259" s="31" t="s">
        <v>83</v>
      </c>
      <c r="C259" t="s">
        <v>1133</v>
      </c>
      <c r="D259" s="5" t="s">
        <v>57</v>
      </c>
      <c r="E259">
        <v>2035</v>
      </c>
      <c r="F259" s="6" t="str">
        <f t="shared" si="26"/>
        <v>*0.95</v>
      </c>
      <c r="H259" t="s">
        <v>1133</v>
      </c>
      <c r="I259" s="5" t="s">
        <v>57</v>
      </c>
      <c r="J259">
        <v>2050</v>
      </c>
      <c r="K259" s="38" t="str">
        <f t="shared" si="27"/>
        <v>*0.92</v>
      </c>
      <c r="P259" s="32" t="s">
        <v>1133</v>
      </c>
      <c r="Q259" s="42" t="s">
        <v>57</v>
      </c>
      <c r="R259" s="32">
        <v>2035</v>
      </c>
      <c r="S259" s="43" t="str">
        <f t="shared" si="28"/>
        <v>*0.95</v>
      </c>
      <c r="U259" s="32" t="s">
        <v>1133</v>
      </c>
      <c r="V259" s="42" t="s">
        <v>57</v>
      </c>
      <c r="W259" s="32">
        <v>2050</v>
      </c>
      <c r="X259" s="43" t="str">
        <f t="shared" si="29"/>
        <v>*0.92</v>
      </c>
      <c r="AC259" s="33" t="s">
        <v>1133</v>
      </c>
      <c r="AD259" s="44" t="s">
        <v>57</v>
      </c>
      <c r="AE259" s="33">
        <v>2035</v>
      </c>
      <c r="AF259" s="45" t="str">
        <f t="shared" si="30"/>
        <v>*0.93</v>
      </c>
      <c r="AG259" s="43" t="str">
        <f t="shared" si="32"/>
        <v>REZoning_Sol-Win</v>
      </c>
      <c r="AI259" s="33" t="s">
        <v>1133</v>
      </c>
      <c r="AJ259" s="44" t="s">
        <v>57</v>
      </c>
      <c r="AK259" s="33">
        <v>2050</v>
      </c>
      <c r="AL259" s="45" t="str">
        <f t="shared" si="31"/>
        <v>*0.89</v>
      </c>
      <c r="AM259" s="43" t="str">
        <f t="shared" si="33"/>
        <v>REZoning_Sol-Win</v>
      </c>
      <c r="AP259" t="s">
        <v>1133</v>
      </c>
      <c r="AQ259" t="s">
        <v>57</v>
      </c>
      <c r="AR259">
        <v>2100</v>
      </c>
      <c r="AS259" t="s">
        <v>937</v>
      </c>
      <c r="AT259" t="s">
        <v>58</v>
      </c>
    </row>
    <row r="260" ht="29" spans="1:46">
      <c r="A260" s="31" t="s">
        <v>83</v>
      </c>
      <c r="C260" t="s">
        <v>1134</v>
      </c>
      <c r="D260" s="5" t="s">
        <v>57</v>
      </c>
      <c r="E260">
        <v>2035</v>
      </c>
      <c r="F260" s="6" t="str">
        <f t="shared" ref="F260:F323" si="34">"*"&amp;IF(AND(A260="EU",E260=2035),0.95,IF(AND(A260="EU",E260=2050),0.93,IF(AND(A260="USA",E260=2035),0.96,IF(AND(A260="USA",E260=2050),0.94,IF(AND(A260="Japan",E260=2035),0.94,IF(AND(A260="Japan",E260=2050),0.92,IF(AND(A260="Russia",E260=2035),0.95,IF(AND(A260="Russia",E260=2050),0.93,IF(AND(A260="China",E260=2035),0.94,IF(AND(A260="China",E260=2050),0.92,IF(AND(A260="India",E260=2035),0.95,IF(AND(A260="India",E260=2050),0.92,IF(AND(A260="Middle East",E260=2035),0.94,IF(AND(A260="Middle East",E260=2050),0.9,IF(AND(A260="Africa",E260=2035),0.94,IF(AND(A260="Africa",E260=2050),0.91,IF(AND(A260="Brazil",E260=2035),0.95,IF(AND(A260="Brazil",E260=2050),0.92,""))))))))))))))))))</f>
        <v>*0.95</v>
      </c>
      <c r="H260" t="s">
        <v>1134</v>
      </c>
      <c r="I260" s="5" t="s">
        <v>57</v>
      </c>
      <c r="J260">
        <v>2050</v>
      </c>
      <c r="K260" s="38" t="str">
        <f t="shared" ref="K260:K323" si="35">"*"&amp;IF(AND(A260="EU",J260=2035),0.95,IF(AND(A260="EU",J260=2050),0.93,IF(AND(A260="USA",J260=2035),0.96,IF(AND(A260="USA",J260=2050),0.94,IF(AND(A260="Japan",J260=2035),0.94,IF(AND(A260="Japan",J260=2050),0.92,IF(AND(A260="Russia",J260=2035),0.95,IF(AND(A260="Russia",J260=2050),0.93,IF(AND(A260="China",J260=2035),0.94,IF(AND(A260="China",J260=2050),0.92,IF(AND(A260="India",J260=2035),0.95,IF(AND(A260="India",J260=2050),0.92,IF(AND(A260="Middle East",J260=2035),0.94,IF(AND(A260="Middle East",J260=2050),0.9,IF(AND(A260="Africa",J260=2035),0.94,IF(AND(A260="Africa",J260=2050),0.91,IF(AND(A260="Brazil",J260=2035),0.95,IF(AND(A260="Brazil",J260=2050),0.92,""))))))))))))))))))</f>
        <v>*0.92</v>
      </c>
      <c r="P260" s="32" t="s">
        <v>1134</v>
      </c>
      <c r="Q260" s="42" t="s">
        <v>57</v>
      </c>
      <c r="R260" s="32">
        <v>2035</v>
      </c>
      <c r="S260" s="43" t="str">
        <f t="shared" ref="S260:S323" si="36">"*"&amp;IF(AND(A260="EU",R260=2035),0.95,IF(AND(A260="EU",R260=2050),0.93,IF(AND(A260="USA",R260=2035),0.96,IF(AND(A260="USA",R260=2050),0.93,IF(AND(A260="Japan",R260=2035),0.94,IF(AND(A260="Japan",R260=2050),0.92,IF(AND(A260="Russia",R260=2035),0.95,IF(AND(A260="Russia",R260=2050),0.91,IF(AND(A260="China",R260=2035),0.93,IF(AND(A260="China",R260=2050),0.92,IF(AND(A260="India",R260=2035),0.94,IF(AND(A260="India",R260=2050),0.91,IF(AND(A260="Middle East",R260=2035),0.92,IF(AND(A260="Middle East",R260=2050),0.89,IF(AND(A260="Africa",R260=2035),0.93,IF(AND(A260="Africa",R260=2050),0.9,IF(AND(A260="Brazil",R260=2035),0.95,IF(AND(A260="Brazil",R260=2050),0.92,""))))))))))))))))))</f>
        <v>*0.95</v>
      </c>
      <c r="U260" s="32" t="s">
        <v>1134</v>
      </c>
      <c r="V260" s="42" t="s">
        <v>57</v>
      </c>
      <c r="W260" s="32">
        <v>2050</v>
      </c>
      <c r="X260" s="43" t="str">
        <f t="shared" ref="X260:X323" si="37">"*"&amp;IF(AND(A260="EU",W260=2035),0.95,IF(AND(A260="EU",W260=2050),0.93,IF(AND(A260="USA",W260=2035),0.96,IF(AND(A260="USA",W260=2050),0.93,IF(AND(A260="Japan",W260=2035),0.94,IF(AND(A260="Japan",W260=2050),0.92,IF(AND(A260="Russia",W260=2035),0.95,IF(AND(A260="Russia",W260=2050),0.91,IF(AND(A260="China",W260=2035),0.93,IF(AND(A260="China",W260=2050),0.92,IF(AND(A260="India",W260=2035),0.94,IF(AND(A260="India",W260=2050),0.91,IF(AND(A260="Middle East",W260=2035),0.92,IF(AND(A260="Middle East",W260=2050),0.89,IF(AND(A260="Africa",W260=2035),0.93,IF(AND(A260="Africa",W260=2050),0.9,IF(AND(A260="Brazil",W260=2035),0.95,IF(AND(A260="Brazil",W260=2050),0.92,""))))))))))))))))))</f>
        <v>*0.92</v>
      </c>
      <c r="AC260" s="33" t="s">
        <v>1134</v>
      </c>
      <c r="AD260" s="44" t="s">
        <v>57</v>
      </c>
      <c r="AE260" s="33">
        <v>2035</v>
      </c>
      <c r="AF260" s="45" t="str">
        <f t="shared" ref="AF260:AF323" si="38">"*"&amp;IF(AND(A260="EU",AE260=2035),0.93,IF(AND(A260="EU",AE260=2050),0.9,IF(AND(A260="USA",AE260=2035),0.92,IF(AND(A260="USA",AE260=2050),0.89,IF(AND(A260="Japan",AE260=2035),0.92,IF(AND(A260="Japan",AE260=2050),0.89,IF(AND(A260="Russia",AE260=2035),0.91,IF(AND(A260="Russia",AE260=2050),0.86,IF(AND(A260="China",AE260=2035),0.91,IF(AND(A260="China",AE260=2050),0.87,IF(AND(A260="India",AE260=2035),0.92,IF(AND(A260="India",AE260=2050),0.87,IF(AND(A260="Middle East",AE260=2035),0.89,IF(AND(A260="Middle East",AE260=2050),0.84,IF(AND(A260="Africa",AE260=2035),0.9,IF(AND(A260="Africa",AE260=2050),0.86,IF(AND(A260="Brazil",AE260=2035),0.93,IF(AND(A260="Brazil",AE260=2050),0.89,""))))))))))))))))))</f>
        <v>*0.93</v>
      </c>
      <c r="AG260" s="43" t="str">
        <f t="shared" si="32"/>
        <v>REZoning_Sol-Win</v>
      </c>
      <c r="AI260" s="33" t="s">
        <v>1134</v>
      </c>
      <c r="AJ260" s="44" t="s">
        <v>57</v>
      </c>
      <c r="AK260" s="33">
        <v>2050</v>
      </c>
      <c r="AL260" s="45" t="str">
        <f t="shared" ref="AL260:AL323" si="39">"*"&amp;IF(AND(A260="EU",AK260=2035),0.93,IF(AND(A260="EU",AK260=2050),0.9,IF(AND(A260="USA",AK260=2035),0.92,IF(AND(A260="USA",AK260=2050),0.89,IF(AND(A260="Japan",AK260=2035),0.92,IF(AND(A260="Japan",AK260=2050),0.89,IF(AND(A260="Russia",AK260=2035),0.91,IF(AND(A260="Russia",AK260=2050),0.86,IF(AND(A260="China",AK260=2035),0.91,IF(AND(A260="China",AK260=2050),0.87,IF(AND(A260="India",AK260=2035),0.92,IF(AND(A260="India",AK260=2050),0.87,IF(AND(A260="Middle East",AK260=2035),0.89,IF(AND(A260="Middle East",AK260=2050),0.84,IF(AND(A260="Africa",AK260=2035),0.9,IF(AND(A260="Africa",AK260=2050),0.86,IF(AND(A260="Brazil",AK260=2035),0.93,IF(AND(A260="Brazil",AK260=2050),0.89,""))))))))))))))))))</f>
        <v>*0.89</v>
      </c>
      <c r="AM260" s="43" t="str">
        <f t="shared" si="33"/>
        <v>REZoning_Sol-Win</v>
      </c>
      <c r="AP260" t="s">
        <v>1134</v>
      </c>
      <c r="AQ260" t="s">
        <v>57</v>
      </c>
      <c r="AR260">
        <v>2100</v>
      </c>
      <c r="AS260" t="s">
        <v>937</v>
      </c>
      <c r="AT260" t="s">
        <v>58</v>
      </c>
    </row>
    <row r="261" ht="29" spans="1:46">
      <c r="A261" s="31" t="s">
        <v>83</v>
      </c>
      <c r="C261" t="s">
        <v>1135</v>
      </c>
      <c r="D261" s="5" t="s">
        <v>57</v>
      </c>
      <c r="E261">
        <v>2035</v>
      </c>
      <c r="F261" s="6" t="str">
        <f t="shared" si="34"/>
        <v>*0.95</v>
      </c>
      <c r="H261" t="s">
        <v>1135</v>
      </c>
      <c r="I261" s="5" t="s">
        <v>57</v>
      </c>
      <c r="J261">
        <v>2050</v>
      </c>
      <c r="K261" s="38" t="str">
        <f t="shared" si="35"/>
        <v>*0.92</v>
      </c>
      <c r="P261" s="32" t="s">
        <v>1135</v>
      </c>
      <c r="Q261" s="42" t="s">
        <v>57</v>
      </c>
      <c r="R261" s="32">
        <v>2035</v>
      </c>
      <c r="S261" s="43" t="str">
        <f t="shared" si="36"/>
        <v>*0.95</v>
      </c>
      <c r="U261" s="32" t="s">
        <v>1135</v>
      </c>
      <c r="V261" s="42" t="s">
        <v>57</v>
      </c>
      <c r="W261" s="32">
        <v>2050</v>
      </c>
      <c r="X261" s="43" t="str">
        <f t="shared" si="37"/>
        <v>*0.92</v>
      </c>
      <c r="AC261" s="33" t="s">
        <v>1135</v>
      </c>
      <c r="AD261" s="44" t="s">
        <v>57</v>
      </c>
      <c r="AE261" s="33">
        <v>2035</v>
      </c>
      <c r="AF261" s="45" t="str">
        <f t="shared" si="38"/>
        <v>*0.93</v>
      </c>
      <c r="AG261" s="43" t="str">
        <f t="shared" si="32"/>
        <v>REZoning_Sol-Win</v>
      </c>
      <c r="AI261" s="33" t="s">
        <v>1135</v>
      </c>
      <c r="AJ261" s="44" t="s">
        <v>57</v>
      </c>
      <c r="AK261" s="33">
        <v>2050</v>
      </c>
      <c r="AL261" s="45" t="str">
        <f t="shared" si="39"/>
        <v>*0.89</v>
      </c>
      <c r="AM261" s="43" t="str">
        <f t="shared" si="33"/>
        <v>REZoning_Sol-Win</v>
      </c>
      <c r="AP261" t="s">
        <v>1135</v>
      </c>
      <c r="AQ261" t="s">
        <v>57</v>
      </c>
      <c r="AR261">
        <v>2100</v>
      </c>
      <c r="AS261" t="s">
        <v>937</v>
      </c>
      <c r="AT261" t="s">
        <v>58</v>
      </c>
    </row>
    <row r="262" ht="29" spans="1:46">
      <c r="A262" s="31" t="s">
        <v>83</v>
      </c>
      <c r="C262" t="s">
        <v>1136</v>
      </c>
      <c r="D262" s="5" t="s">
        <v>57</v>
      </c>
      <c r="E262">
        <v>2035</v>
      </c>
      <c r="F262" s="6" t="str">
        <f t="shared" si="34"/>
        <v>*0.95</v>
      </c>
      <c r="H262" t="s">
        <v>1136</v>
      </c>
      <c r="I262" s="5" t="s">
        <v>57</v>
      </c>
      <c r="J262">
        <v>2050</v>
      </c>
      <c r="K262" s="38" t="str">
        <f t="shared" si="35"/>
        <v>*0.92</v>
      </c>
      <c r="P262" s="32" t="s">
        <v>1136</v>
      </c>
      <c r="Q262" s="42" t="s">
        <v>57</v>
      </c>
      <c r="R262" s="32">
        <v>2035</v>
      </c>
      <c r="S262" s="43" t="str">
        <f t="shared" si="36"/>
        <v>*0.95</v>
      </c>
      <c r="U262" s="32" t="s">
        <v>1136</v>
      </c>
      <c r="V262" s="42" t="s">
        <v>57</v>
      </c>
      <c r="W262" s="32">
        <v>2050</v>
      </c>
      <c r="X262" s="43" t="str">
        <f t="shared" si="37"/>
        <v>*0.92</v>
      </c>
      <c r="AC262" s="33" t="s">
        <v>1136</v>
      </c>
      <c r="AD262" s="44" t="s">
        <v>57</v>
      </c>
      <c r="AE262" s="33">
        <v>2035</v>
      </c>
      <c r="AF262" s="45" t="str">
        <f t="shared" si="38"/>
        <v>*0.93</v>
      </c>
      <c r="AG262" s="43" t="str">
        <f t="shared" si="32"/>
        <v>REZoning_Sol-Win</v>
      </c>
      <c r="AI262" s="33" t="s">
        <v>1136</v>
      </c>
      <c r="AJ262" s="44" t="s">
        <v>57</v>
      </c>
      <c r="AK262" s="33">
        <v>2050</v>
      </c>
      <c r="AL262" s="45" t="str">
        <f t="shared" si="39"/>
        <v>*0.89</v>
      </c>
      <c r="AM262" s="43" t="str">
        <f t="shared" si="33"/>
        <v>REZoning_Sol-Win</v>
      </c>
      <c r="AP262" t="s">
        <v>1136</v>
      </c>
      <c r="AQ262" t="s">
        <v>57</v>
      </c>
      <c r="AR262">
        <v>2100</v>
      </c>
      <c r="AS262" t="s">
        <v>937</v>
      </c>
      <c r="AT262" t="s">
        <v>58</v>
      </c>
    </row>
    <row r="263" ht="29" spans="1:46">
      <c r="A263" s="31" t="s">
        <v>83</v>
      </c>
      <c r="C263" t="s">
        <v>1137</v>
      </c>
      <c r="D263" s="5" t="s">
        <v>57</v>
      </c>
      <c r="E263">
        <v>2035</v>
      </c>
      <c r="F263" s="6" t="str">
        <f t="shared" si="34"/>
        <v>*0.95</v>
      </c>
      <c r="H263" t="s">
        <v>1137</v>
      </c>
      <c r="I263" s="5" t="s">
        <v>57</v>
      </c>
      <c r="J263">
        <v>2050</v>
      </c>
      <c r="K263" s="38" t="str">
        <f t="shared" si="35"/>
        <v>*0.92</v>
      </c>
      <c r="P263" s="32" t="s">
        <v>1137</v>
      </c>
      <c r="Q263" s="42" t="s">
        <v>57</v>
      </c>
      <c r="R263" s="32">
        <v>2035</v>
      </c>
      <c r="S263" s="43" t="str">
        <f t="shared" si="36"/>
        <v>*0.95</v>
      </c>
      <c r="U263" s="32" t="s">
        <v>1137</v>
      </c>
      <c r="V263" s="42" t="s">
        <v>57</v>
      </c>
      <c r="W263" s="32">
        <v>2050</v>
      </c>
      <c r="X263" s="43" t="str">
        <f t="shared" si="37"/>
        <v>*0.92</v>
      </c>
      <c r="AC263" s="33" t="s">
        <v>1137</v>
      </c>
      <c r="AD263" s="44" t="s">
        <v>57</v>
      </c>
      <c r="AE263" s="33">
        <v>2035</v>
      </c>
      <c r="AF263" s="45" t="str">
        <f t="shared" si="38"/>
        <v>*0.93</v>
      </c>
      <c r="AG263" s="43" t="str">
        <f t="shared" si="32"/>
        <v>REZoning_Sol-Win</v>
      </c>
      <c r="AI263" s="33" t="s">
        <v>1137</v>
      </c>
      <c r="AJ263" s="44" t="s">
        <v>57</v>
      </c>
      <c r="AK263" s="33">
        <v>2050</v>
      </c>
      <c r="AL263" s="45" t="str">
        <f t="shared" si="39"/>
        <v>*0.89</v>
      </c>
      <c r="AM263" s="43" t="str">
        <f t="shared" si="33"/>
        <v>REZoning_Sol-Win</v>
      </c>
      <c r="AP263" t="s">
        <v>1137</v>
      </c>
      <c r="AQ263" t="s">
        <v>57</v>
      </c>
      <c r="AR263">
        <v>2100</v>
      </c>
      <c r="AS263" t="s">
        <v>937</v>
      </c>
      <c r="AT263" t="s">
        <v>58</v>
      </c>
    </row>
    <row r="264" ht="29" spans="1:46">
      <c r="A264" s="31" t="s">
        <v>83</v>
      </c>
      <c r="C264" t="s">
        <v>1138</v>
      </c>
      <c r="D264" s="5" t="s">
        <v>57</v>
      </c>
      <c r="E264">
        <v>2035</v>
      </c>
      <c r="F264" s="6" t="str">
        <f t="shared" si="34"/>
        <v>*0.95</v>
      </c>
      <c r="H264" t="s">
        <v>1138</v>
      </c>
      <c r="I264" s="5" t="s">
        <v>57</v>
      </c>
      <c r="J264">
        <v>2050</v>
      </c>
      <c r="K264" s="38" t="str">
        <f t="shared" si="35"/>
        <v>*0.92</v>
      </c>
      <c r="P264" s="32" t="s">
        <v>1138</v>
      </c>
      <c r="Q264" s="42" t="s">
        <v>57</v>
      </c>
      <c r="R264" s="32">
        <v>2035</v>
      </c>
      <c r="S264" s="43" t="str">
        <f t="shared" si="36"/>
        <v>*0.95</v>
      </c>
      <c r="U264" s="32" t="s">
        <v>1138</v>
      </c>
      <c r="V264" s="42" t="s">
        <v>57</v>
      </c>
      <c r="W264" s="32">
        <v>2050</v>
      </c>
      <c r="X264" s="43" t="str">
        <f t="shared" si="37"/>
        <v>*0.92</v>
      </c>
      <c r="AC264" s="33" t="s">
        <v>1138</v>
      </c>
      <c r="AD264" s="44" t="s">
        <v>57</v>
      </c>
      <c r="AE264" s="33">
        <v>2035</v>
      </c>
      <c r="AF264" s="45" t="str">
        <f t="shared" si="38"/>
        <v>*0.93</v>
      </c>
      <c r="AG264" s="43" t="str">
        <f t="shared" si="32"/>
        <v>REZoning_Sol-Win</v>
      </c>
      <c r="AI264" s="33" t="s">
        <v>1138</v>
      </c>
      <c r="AJ264" s="44" t="s">
        <v>57</v>
      </c>
      <c r="AK264" s="33">
        <v>2050</v>
      </c>
      <c r="AL264" s="45" t="str">
        <f t="shared" si="39"/>
        <v>*0.89</v>
      </c>
      <c r="AM264" s="43" t="str">
        <f t="shared" si="33"/>
        <v>REZoning_Sol-Win</v>
      </c>
      <c r="AP264" t="s">
        <v>1138</v>
      </c>
      <c r="AQ264" t="s">
        <v>57</v>
      </c>
      <c r="AR264">
        <v>2100</v>
      </c>
      <c r="AS264" t="s">
        <v>937</v>
      </c>
      <c r="AT264" t="s">
        <v>58</v>
      </c>
    </row>
    <row r="265" ht="29" spans="1:46">
      <c r="A265" s="31" t="s">
        <v>83</v>
      </c>
      <c r="C265" t="s">
        <v>1139</v>
      </c>
      <c r="D265" s="5" t="s">
        <v>57</v>
      </c>
      <c r="E265">
        <v>2035</v>
      </c>
      <c r="F265" s="6" t="str">
        <f t="shared" si="34"/>
        <v>*0.95</v>
      </c>
      <c r="H265" t="s">
        <v>1139</v>
      </c>
      <c r="I265" s="5" t="s">
        <v>57</v>
      </c>
      <c r="J265">
        <v>2050</v>
      </c>
      <c r="K265" s="38" t="str">
        <f t="shared" si="35"/>
        <v>*0.92</v>
      </c>
      <c r="P265" s="32" t="s">
        <v>1139</v>
      </c>
      <c r="Q265" s="42" t="s">
        <v>57</v>
      </c>
      <c r="R265" s="32">
        <v>2035</v>
      </c>
      <c r="S265" s="43" t="str">
        <f t="shared" si="36"/>
        <v>*0.95</v>
      </c>
      <c r="U265" s="32" t="s">
        <v>1139</v>
      </c>
      <c r="V265" s="42" t="s">
        <v>57</v>
      </c>
      <c r="W265" s="32">
        <v>2050</v>
      </c>
      <c r="X265" s="43" t="str">
        <f t="shared" si="37"/>
        <v>*0.92</v>
      </c>
      <c r="AC265" s="33" t="s">
        <v>1139</v>
      </c>
      <c r="AD265" s="44" t="s">
        <v>57</v>
      </c>
      <c r="AE265" s="33">
        <v>2035</v>
      </c>
      <c r="AF265" s="45" t="str">
        <f t="shared" si="38"/>
        <v>*0.93</v>
      </c>
      <c r="AG265" s="43" t="str">
        <f t="shared" ref="AG265:AG328" si="40">AG264</f>
        <v>REZoning_Sol-Win</v>
      </c>
      <c r="AI265" s="33" t="s">
        <v>1139</v>
      </c>
      <c r="AJ265" s="44" t="s">
        <v>57</v>
      </c>
      <c r="AK265" s="33">
        <v>2050</v>
      </c>
      <c r="AL265" s="45" t="str">
        <f t="shared" si="39"/>
        <v>*0.89</v>
      </c>
      <c r="AM265" s="43" t="str">
        <f t="shared" si="33"/>
        <v>REZoning_Sol-Win</v>
      </c>
      <c r="AP265" t="s">
        <v>1139</v>
      </c>
      <c r="AQ265" t="s">
        <v>57</v>
      </c>
      <c r="AR265">
        <v>2100</v>
      </c>
      <c r="AS265" t="s">
        <v>937</v>
      </c>
      <c r="AT265" t="s">
        <v>58</v>
      </c>
    </row>
    <row r="266" ht="29" spans="1:46">
      <c r="A266" s="31" t="s">
        <v>83</v>
      </c>
      <c r="C266" t="s">
        <v>1140</v>
      </c>
      <c r="D266" s="5" t="s">
        <v>57</v>
      </c>
      <c r="E266">
        <v>2035</v>
      </c>
      <c r="F266" s="6" t="str">
        <f t="shared" si="34"/>
        <v>*0.95</v>
      </c>
      <c r="H266" t="s">
        <v>1140</v>
      </c>
      <c r="I266" s="5" t="s">
        <v>57</v>
      </c>
      <c r="J266">
        <v>2050</v>
      </c>
      <c r="K266" s="38" t="str">
        <f t="shared" si="35"/>
        <v>*0.92</v>
      </c>
      <c r="P266" s="32" t="s">
        <v>1140</v>
      </c>
      <c r="Q266" s="42" t="s">
        <v>57</v>
      </c>
      <c r="R266" s="32">
        <v>2035</v>
      </c>
      <c r="S266" s="43" t="str">
        <f t="shared" si="36"/>
        <v>*0.95</v>
      </c>
      <c r="U266" s="32" t="s">
        <v>1140</v>
      </c>
      <c r="V266" s="42" t="s">
        <v>57</v>
      </c>
      <c r="W266" s="32">
        <v>2050</v>
      </c>
      <c r="X266" s="43" t="str">
        <f t="shared" si="37"/>
        <v>*0.92</v>
      </c>
      <c r="AC266" s="33" t="s">
        <v>1140</v>
      </c>
      <c r="AD266" s="44" t="s">
        <v>57</v>
      </c>
      <c r="AE266" s="33">
        <v>2035</v>
      </c>
      <c r="AF266" s="45" t="str">
        <f t="shared" si="38"/>
        <v>*0.93</v>
      </c>
      <c r="AG266" s="43" t="str">
        <f t="shared" si="40"/>
        <v>REZoning_Sol-Win</v>
      </c>
      <c r="AI266" s="33" t="s">
        <v>1140</v>
      </c>
      <c r="AJ266" s="44" t="s">
        <v>57</v>
      </c>
      <c r="AK266" s="33">
        <v>2050</v>
      </c>
      <c r="AL266" s="45" t="str">
        <f t="shared" si="39"/>
        <v>*0.89</v>
      </c>
      <c r="AM266" s="43" t="str">
        <f t="shared" ref="AM266:AM329" si="41">AM265</f>
        <v>REZoning_Sol-Win</v>
      </c>
      <c r="AP266" t="s">
        <v>1140</v>
      </c>
      <c r="AQ266" t="s">
        <v>57</v>
      </c>
      <c r="AR266">
        <v>2100</v>
      </c>
      <c r="AS266" t="s">
        <v>937</v>
      </c>
      <c r="AT266" t="s">
        <v>58</v>
      </c>
    </row>
    <row r="267" ht="29" spans="1:46">
      <c r="A267" s="31" t="s">
        <v>83</v>
      </c>
      <c r="C267" t="s">
        <v>1141</v>
      </c>
      <c r="D267" s="5" t="s">
        <v>57</v>
      </c>
      <c r="E267">
        <v>2035</v>
      </c>
      <c r="F267" s="6" t="str">
        <f t="shared" si="34"/>
        <v>*0.95</v>
      </c>
      <c r="H267" t="s">
        <v>1141</v>
      </c>
      <c r="I267" s="5" t="s">
        <v>57</v>
      </c>
      <c r="J267">
        <v>2050</v>
      </c>
      <c r="K267" s="38" t="str">
        <f t="shared" si="35"/>
        <v>*0.92</v>
      </c>
      <c r="P267" s="32" t="s">
        <v>1141</v>
      </c>
      <c r="Q267" s="42" t="s">
        <v>57</v>
      </c>
      <c r="R267" s="32">
        <v>2035</v>
      </c>
      <c r="S267" s="43" t="str">
        <f t="shared" si="36"/>
        <v>*0.95</v>
      </c>
      <c r="U267" s="32" t="s">
        <v>1141</v>
      </c>
      <c r="V267" s="42" t="s">
        <v>57</v>
      </c>
      <c r="W267" s="32">
        <v>2050</v>
      </c>
      <c r="X267" s="43" t="str">
        <f t="shared" si="37"/>
        <v>*0.92</v>
      </c>
      <c r="AC267" s="33" t="s">
        <v>1141</v>
      </c>
      <c r="AD267" s="44" t="s">
        <v>57</v>
      </c>
      <c r="AE267" s="33">
        <v>2035</v>
      </c>
      <c r="AF267" s="45" t="str">
        <f t="shared" si="38"/>
        <v>*0.93</v>
      </c>
      <c r="AG267" s="43" t="str">
        <f t="shared" si="40"/>
        <v>REZoning_Sol-Win</v>
      </c>
      <c r="AI267" s="33" t="s">
        <v>1141</v>
      </c>
      <c r="AJ267" s="44" t="s">
        <v>57</v>
      </c>
      <c r="AK267" s="33">
        <v>2050</v>
      </c>
      <c r="AL267" s="45" t="str">
        <f t="shared" si="39"/>
        <v>*0.89</v>
      </c>
      <c r="AM267" s="43" t="str">
        <f t="shared" si="41"/>
        <v>REZoning_Sol-Win</v>
      </c>
      <c r="AP267" t="s">
        <v>1141</v>
      </c>
      <c r="AQ267" t="s">
        <v>57</v>
      </c>
      <c r="AR267">
        <v>2100</v>
      </c>
      <c r="AS267" t="s">
        <v>937</v>
      </c>
      <c r="AT267" t="s">
        <v>58</v>
      </c>
    </row>
    <row r="268" ht="29" spans="1:46">
      <c r="A268" s="31" t="s">
        <v>83</v>
      </c>
      <c r="C268" t="s">
        <v>1142</v>
      </c>
      <c r="D268" s="5" t="s">
        <v>57</v>
      </c>
      <c r="E268">
        <v>2035</v>
      </c>
      <c r="F268" s="6" t="str">
        <f t="shared" si="34"/>
        <v>*0.95</v>
      </c>
      <c r="H268" t="s">
        <v>1142</v>
      </c>
      <c r="I268" s="5" t="s">
        <v>57</v>
      </c>
      <c r="J268">
        <v>2050</v>
      </c>
      <c r="K268" s="38" t="str">
        <f t="shared" si="35"/>
        <v>*0.92</v>
      </c>
      <c r="P268" s="32" t="s">
        <v>1142</v>
      </c>
      <c r="Q268" s="42" t="s">
        <v>57</v>
      </c>
      <c r="R268" s="32">
        <v>2035</v>
      </c>
      <c r="S268" s="43" t="str">
        <f t="shared" si="36"/>
        <v>*0.95</v>
      </c>
      <c r="U268" s="32" t="s">
        <v>1142</v>
      </c>
      <c r="V268" s="42" t="s">
        <v>57</v>
      </c>
      <c r="W268" s="32">
        <v>2050</v>
      </c>
      <c r="X268" s="43" t="str">
        <f t="shared" si="37"/>
        <v>*0.92</v>
      </c>
      <c r="AC268" s="33" t="s">
        <v>1142</v>
      </c>
      <c r="AD268" s="44" t="s">
        <v>57</v>
      </c>
      <c r="AE268" s="33">
        <v>2035</v>
      </c>
      <c r="AF268" s="45" t="str">
        <f t="shared" si="38"/>
        <v>*0.93</v>
      </c>
      <c r="AG268" s="43" t="str">
        <f t="shared" si="40"/>
        <v>REZoning_Sol-Win</v>
      </c>
      <c r="AI268" s="33" t="s">
        <v>1142</v>
      </c>
      <c r="AJ268" s="44" t="s">
        <v>57</v>
      </c>
      <c r="AK268" s="33">
        <v>2050</v>
      </c>
      <c r="AL268" s="45" t="str">
        <f t="shared" si="39"/>
        <v>*0.89</v>
      </c>
      <c r="AM268" s="43" t="str">
        <f t="shared" si="41"/>
        <v>REZoning_Sol-Win</v>
      </c>
      <c r="AP268" t="s">
        <v>1142</v>
      </c>
      <c r="AQ268" t="s">
        <v>57</v>
      </c>
      <c r="AR268">
        <v>2100</v>
      </c>
      <c r="AS268" t="s">
        <v>937</v>
      </c>
      <c r="AT268" t="s">
        <v>58</v>
      </c>
    </row>
    <row r="269" ht="29" spans="1:46">
      <c r="A269" s="31" t="s">
        <v>83</v>
      </c>
      <c r="C269" t="s">
        <v>1143</v>
      </c>
      <c r="D269" s="5" t="s">
        <v>57</v>
      </c>
      <c r="E269">
        <v>2035</v>
      </c>
      <c r="F269" s="6" t="str">
        <f t="shared" si="34"/>
        <v>*0.95</v>
      </c>
      <c r="H269" t="s">
        <v>1143</v>
      </c>
      <c r="I269" s="5" t="s">
        <v>57</v>
      </c>
      <c r="J269">
        <v>2050</v>
      </c>
      <c r="K269" s="38" t="str">
        <f t="shared" si="35"/>
        <v>*0.92</v>
      </c>
      <c r="P269" s="32" t="s">
        <v>1143</v>
      </c>
      <c r="Q269" s="42" t="s">
        <v>57</v>
      </c>
      <c r="R269" s="32">
        <v>2035</v>
      </c>
      <c r="S269" s="43" t="str">
        <f t="shared" si="36"/>
        <v>*0.95</v>
      </c>
      <c r="U269" s="32" t="s">
        <v>1143</v>
      </c>
      <c r="V269" s="42" t="s">
        <v>57</v>
      </c>
      <c r="W269" s="32">
        <v>2050</v>
      </c>
      <c r="X269" s="43" t="str">
        <f t="shared" si="37"/>
        <v>*0.92</v>
      </c>
      <c r="AC269" s="33" t="s">
        <v>1143</v>
      </c>
      <c r="AD269" s="44" t="s">
        <v>57</v>
      </c>
      <c r="AE269" s="33">
        <v>2035</v>
      </c>
      <c r="AF269" s="45" t="str">
        <f t="shared" si="38"/>
        <v>*0.93</v>
      </c>
      <c r="AG269" s="43" t="str">
        <f t="shared" si="40"/>
        <v>REZoning_Sol-Win</v>
      </c>
      <c r="AI269" s="33" t="s">
        <v>1143</v>
      </c>
      <c r="AJ269" s="44" t="s">
        <v>57</v>
      </c>
      <c r="AK269" s="33">
        <v>2050</v>
      </c>
      <c r="AL269" s="45" t="str">
        <f t="shared" si="39"/>
        <v>*0.89</v>
      </c>
      <c r="AM269" s="43" t="str">
        <f t="shared" si="41"/>
        <v>REZoning_Sol-Win</v>
      </c>
      <c r="AP269" t="s">
        <v>1143</v>
      </c>
      <c r="AQ269" t="s">
        <v>57</v>
      </c>
      <c r="AR269">
        <v>2100</v>
      </c>
      <c r="AS269" t="s">
        <v>937</v>
      </c>
      <c r="AT269" t="s">
        <v>58</v>
      </c>
    </row>
    <row r="270" ht="29" spans="1:46">
      <c r="A270" s="31" t="s">
        <v>83</v>
      </c>
      <c r="C270" t="s">
        <v>1144</v>
      </c>
      <c r="D270" s="5" t="s">
        <v>57</v>
      </c>
      <c r="E270">
        <v>2035</v>
      </c>
      <c r="F270" s="6" t="str">
        <f t="shared" si="34"/>
        <v>*0.95</v>
      </c>
      <c r="H270" t="s">
        <v>1144</v>
      </c>
      <c r="I270" s="5" t="s">
        <v>57</v>
      </c>
      <c r="J270">
        <v>2050</v>
      </c>
      <c r="K270" s="38" t="str">
        <f t="shared" si="35"/>
        <v>*0.92</v>
      </c>
      <c r="P270" s="32" t="s">
        <v>1144</v>
      </c>
      <c r="Q270" s="42" t="s">
        <v>57</v>
      </c>
      <c r="R270" s="32">
        <v>2035</v>
      </c>
      <c r="S270" s="43" t="str">
        <f t="shared" si="36"/>
        <v>*0.95</v>
      </c>
      <c r="U270" s="32" t="s">
        <v>1144</v>
      </c>
      <c r="V270" s="42" t="s">
        <v>57</v>
      </c>
      <c r="W270" s="32">
        <v>2050</v>
      </c>
      <c r="X270" s="43" t="str">
        <f t="shared" si="37"/>
        <v>*0.92</v>
      </c>
      <c r="AC270" s="33" t="s">
        <v>1144</v>
      </c>
      <c r="AD270" s="44" t="s">
        <v>57</v>
      </c>
      <c r="AE270" s="33">
        <v>2035</v>
      </c>
      <c r="AF270" s="45" t="str">
        <f t="shared" si="38"/>
        <v>*0.93</v>
      </c>
      <c r="AG270" s="43" t="str">
        <f t="shared" si="40"/>
        <v>REZoning_Sol-Win</v>
      </c>
      <c r="AI270" s="33" t="s">
        <v>1144</v>
      </c>
      <c r="AJ270" s="44" t="s">
        <v>57</v>
      </c>
      <c r="AK270" s="33">
        <v>2050</v>
      </c>
      <c r="AL270" s="45" t="str">
        <f t="shared" si="39"/>
        <v>*0.89</v>
      </c>
      <c r="AM270" s="43" t="str">
        <f t="shared" si="41"/>
        <v>REZoning_Sol-Win</v>
      </c>
      <c r="AP270" t="s">
        <v>1144</v>
      </c>
      <c r="AQ270" t="s">
        <v>57</v>
      </c>
      <c r="AR270">
        <v>2100</v>
      </c>
      <c r="AS270" t="s">
        <v>937</v>
      </c>
      <c r="AT270" t="s">
        <v>58</v>
      </c>
    </row>
    <row r="271" ht="29" spans="1:46">
      <c r="A271" s="31" t="s">
        <v>83</v>
      </c>
      <c r="C271" t="s">
        <v>1145</v>
      </c>
      <c r="D271" s="5" t="s">
        <v>57</v>
      </c>
      <c r="E271">
        <v>2035</v>
      </c>
      <c r="F271" s="6" t="str">
        <f t="shared" si="34"/>
        <v>*0.95</v>
      </c>
      <c r="H271" t="s">
        <v>1145</v>
      </c>
      <c r="I271" s="5" t="s">
        <v>57</v>
      </c>
      <c r="J271">
        <v>2050</v>
      </c>
      <c r="K271" s="38" t="str">
        <f t="shared" si="35"/>
        <v>*0.92</v>
      </c>
      <c r="P271" s="32" t="s">
        <v>1145</v>
      </c>
      <c r="Q271" s="42" t="s">
        <v>57</v>
      </c>
      <c r="R271" s="32">
        <v>2035</v>
      </c>
      <c r="S271" s="43" t="str">
        <f t="shared" si="36"/>
        <v>*0.95</v>
      </c>
      <c r="U271" s="32" t="s">
        <v>1145</v>
      </c>
      <c r="V271" s="42" t="s">
        <v>57</v>
      </c>
      <c r="W271" s="32">
        <v>2050</v>
      </c>
      <c r="X271" s="43" t="str">
        <f t="shared" si="37"/>
        <v>*0.92</v>
      </c>
      <c r="AC271" s="33" t="s">
        <v>1145</v>
      </c>
      <c r="AD271" s="44" t="s">
        <v>57</v>
      </c>
      <c r="AE271" s="33">
        <v>2035</v>
      </c>
      <c r="AF271" s="45" t="str">
        <f t="shared" si="38"/>
        <v>*0.93</v>
      </c>
      <c r="AG271" s="43" t="str">
        <f t="shared" si="40"/>
        <v>REZoning_Sol-Win</v>
      </c>
      <c r="AI271" s="33" t="s">
        <v>1145</v>
      </c>
      <c r="AJ271" s="44" t="s">
        <v>57</v>
      </c>
      <c r="AK271" s="33">
        <v>2050</v>
      </c>
      <c r="AL271" s="45" t="str">
        <f t="shared" si="39"/>
        <v>*0.89</v>
      </c>
      <c r="AM271" s="43" t="str">
        <f t="shared" si="41"/>
        <v>REZoning_Sol-Win</v>
      </c>
      <c r="AP271" t="s">
        <v>1145</v>
      </c>
      <c r="AQ271" t="s">
        <v>57</v>
      </c>
      <c r="AR271">
        <v>2100</v>
      </c>
      <c r="AS271" t="s">
        <v>937</v>
      </c>
      <c r="AT271" t="s">
        <v>58</v>
      </c>
    </row>
    <row r="272" ht="29" spans="1:46">
      <c r="A272" s="31" t="s">
        <v>83</v>
      </c>
      <c r="C272" t="s">
        <v>1146</v>
      </c>
      <c r="D272" s="5" t="s">
        <v>57</v>
      </c>
      <c r="E272">
        <v>2035</v>
      </c>
      <c r="F272" s="6" t="str">
        <f t="shared" si="34"/>
        <v>*0.95</v>
      </c>
      <c r="H272" t="s">
        <v>1146</v>
      </c>
      <c r="I272" s="5" t="s">
        <v>57</v>
      </c>
      <c r="J272">
        <v>2050</v>
      </c>
      <c r="K272" s="38" t="str">
        <f t="shared" si="35"/>
        <v>*0.92</v>
      </c>
      <c r="P272" s="32" t="s">
        <v>1146</v>
      </c>
      <c r="Q272" s="42" t="s">
        <v>57</v>
      </c>
      <c r="R272" s="32">
        <v>2035</v>
      </c>
      <c r="S272" s="43" t="str">
        <f t="shared" si="36"/>
        <v>*0.95</v>
      </c>
      <c r="U272" s="32" t="s">
        <v>1146</v>
      </c>
      <c r="V272" s="42" t="s">
        <v>57</v>
      </c>
      <c r="W272" s="32">
        <v>2050</v>
      </c>
      <c r="X272" s="43" t="str">
        <f t="shared" si="37"/>
        <v>*0.92</v>
      </c>
      <c r="AC272" s="33" t="s">
        <v>1146</v>
      </c>
      <c r="AD272" s="44" t="s">
        <v>57</v>
      </c>
      <c r="AE272" s="33">
        <v>2035</v>
      </c>
      <c r="AF272" s="45" t="str">
        <f t="shared" si="38"/>
        <v>*0.93</v>
      </c>
      <c r="AG272" s="43" t="str">
        <f t="shared" si="40"/>
        <v>REZoning_Sol-Win</v>
      </c>
      <c r="AI272" s="33" t="s">
        <v>1146</v>
      </c>
      <c r="AJ272" s="44" t="s">
        <v>57</v>
      </c>
      <c r="AK272" s="33">
        <v>2050</v>
      </c>
      <c r="AL272" s="45" t="str">
        <f t="shared" si="39"/>
        <v>*0.89</v>
      </c>
      <c r="AM272" s="43" t="str">
        <f t="shared" si="41"/>
        <v>REZoning_Sol-Win</v>
      </c>
      <c r="AP272" t="s">
        <v>1146</v>
      </c>
      <c r="AQ272" t="s">
        <v>57</v>
      </c>
      <c r="AR272">
        <v>2100</v>
      </c>
      <c r="AS272" t="s">
        <v>937</v>
      </c>
      <c r="AT272" t="s">
        <v>58</v>
      </c>
    </row>
    <row r="273" ht="29" spans="1:46">
      <c r="A273" s="31" t="s">
        <v>83</v>
      </c>
      <c r="C273" t="s">
        <v>1147</v>
      </c>
      <c r="D273" s="5" t="s">
        <v>57</v>
      </c>
      <c r="E273">
        <v>2035</v>
      </c>
      <c r="F273" s="6" t="str">
        <f t="shared" si="34"/>
        <v>*0.95</v>
      </c>
      <c r="H273" t="s">
        <v>1147</v>
      </c>
      <c r="I273" s="5" t="s">
        <v>57</v>
      </c>
      <c r="J273">
        <v>2050</v>
      </c>
      <c r="K273" s="38" t="str">
        <f t="shared" si="35"/>
        <v>*0.92</v>
      </c>
      <c r="P273" s="32" t="s">
        <v>1147</v>
      </c>
      <c r="Q273" s="42" t="s">
        <v>57</v>
      </c>
      <c r="R273" s="32">
        <v>2035</v>
      </c>
      <c r="S273" s="43" t="str">
        <f t="shared" si="36"/>
        <v>*0.95</v>
      </c>
      <c r="U273" s="32" t="s">
        <v>1147</v>
      </c>
      <c r="V273" s="42" t="s">
        <v>57</v>
      </c>
      <c r="W273" s="32">
        <v>2050</v>
      </c>
      <c r="X273" s="43" t="str">
        <f t="shared" si="37"/>
        <v>*0.92</v>
      </c>
      <c r="AC273" s="33" t="s">
        <v>1147</v>
      </c>
      <c r="AD273" s="44" t="s">
        <v>57</v>
      </c>
      <c r="AE273" s="33">
        <v>2035</v>
      </c>
      <c r="AF273" s="45" t="str">
        <f t="shared" si="38"/>
        <v>*0.93</v>
      </c>
      <c r="AG273" s="43" t="str">
        <f t="shared" si="40"/>
        <v>REZoning_Sol-Win</v>
      </c>
      <c r="AI273" s="33" t="s">
        <v>1147</v>
      </c>
      <c r="AJ273" s="44" t="s">
        <v>57</v>
      </c>
      <c r="AK273" s="33">
        <v>2050</v>
      </c>
      <c r="AL273" s="45" t="str">
        <f t="shared" si="39"/>
        <v>*0.89</v>
      </c>
      <c r="AM273" s="43" t="str">
        <f t="shared" si="41"/>
        <v>REZoning_Sol-Win</v>
      </c>
      <c r="AP273" t="s">
        <v>1147</v>
      </c>
      <c r="AQ273" t="s">
        <v>57</v>
      </c>
      <c r="AR273">
        <v>2100</v>
      </c>
      <c r="AS273" t="s">
        <v>937</v>
      </c>
      <c r="AT273" t="s">
        <v>58</v>
      </c>
    </row>
    <row r="274" ht="29" spans="1:46">
      <c r="A274" s="31" t="s">
        <v>83</v>
      </c>
      <c r="C274" t="s">
        <v>1148</v>
      </c>
      <c r="D274" s="5" t="s">
        <v>57</v>
      </c>
      <c r="E274">
        <v>2035</v>
      </c>
      <c r="F274" s="6" t="str">
        <f t="shared" si="34"/>
        <v>*0.95</v>
      </c>
      <c r="H274" t="s">
        <v>1148</v>
      </c>
      <c r="I274" s="5" t="s">
        <v>57</v>
      </c>
      <c r="J274">
        <v>2050</v>
      </c>
      <c r="K274" s="38" t="str">
        <f t="shared" si="35"/>
        <v>*0.92</v>
      </c>
      <c r="P274" s="32" t="s">
        <v>1148</v>
      </c>
      <c r="Q274" s="42" t="s">
        <v>57</v>
      </c>
      <c r="R274" s="32">
        <v>2035</v>
      </c>
      <c r="S274" s="43" t="str">
        <f t="shared" si="36"/>
        <v>*0.95</v>
      </c>
      <c r="U274" s="32" t="s">
        <v>1148</v>
      </c>
      <c r="V274" s="42" t="s">
        <v>57</v>
      </c>
      <c r="W274" s="32">
        <v>2050</v>
      </c>
      <c r="X274" s="43" t="str">
        <f t="shared" si="37"/>
        <v>*0.92</v>
      </c>
      <c r="AC274" s="33" t="s">
        <v>1148</v>
      </c>
      <c r="AD274" s="44" t="s">
        <v>57</v>
      </c>
      <c r="AE274" s="33">
        <v>2035</v>
      </c>
      <c r="AF274" s="45" t="str">
        <f t="shared" si="38"/>
        <v>*0.93</v>
      </c>
      <c r="AG274" s="43" t="str">
        <f t="shared" si="40"/>
        <v>REZoning_Sol-Win</v>
      </c>
      <c r="AI274" s="33" t="s">
        <v>1148</v>
      </c>
      <c r="AJ274" s="44" t="s">
        <v>57</v>
      </c>
      <c r="AK274" s="33">
        <v>2050</v>
      </c>
      <c r="AL274" s="45" t="str">
        <f t="shared" si="39"/>
        <v>*0.89</v>
      </c>
      <c r="AM274" s="43" t="str">
        <f t="shared" si="41"/>
        <v>REZoning_Sol-Win</v>
      </c>
      <c r="AP274" t="s">
        <v>1148</v>
      </c>
      <c r="AQ274" t="s">
        <v>57</v>
      </c>
      <c r="AR274">
        <v>2100</v>
      </c>
      <c r="AS274" t="s">
        <v>937</v>
      </c>
      <c r="AT274" t="s">
        <v>58</v>
      </c>
    </row>
    <row r="275" ht="29" spans="1:46">
      <c r="A275" s="31" t="s">
        <v>83</v>
      </c>
      <c r="C275" t="s">
        <v>1149</v>
      </c>
      <c r="D275" s="5" t="s">
        <v>57</v>
      </c>
      <c r="E275">
        <v>2035</v>
      </c>
      <c r="F275" s="6" t="str">
        <f t="shared" si="34"/>
        <v>*0.95</v>
      </c>
      <c r="H275" t="s">
        <v>1149</v>
      </c>
      <c r="I275" s="5" t="s">
        <v>57</v>
      </c>
      <c r="J275">
        <v>2050</v>
      </c>
      <c r="K275" s="38" t="str">
        <f t="shared" si="35"/>
        <v>*0.92</v>
      </c>
      <c r="P275" s="32" t="s">
        <v>1149</v>
      </c>
      <c r="Q275" s="42" t="s">
        <v>57</v>
      </c>
      <c r="R275" s="32">
        <v>2035</v>
      </c>
      <c r="S275" s="43" t="str">
        <f t="shared" si="36"/>
        <v>*0.95</v>
      </c>
      <c r="U275" s="32" t="s">
        <v>1149</v>
      </c>
      <c r="V275" s="42" t="s">
        <v>57</v>
      </c>
      <c r="W275" s="32">
        <v>2050</v>
      </c>
      <c r="X275" s="43" t="str">
        <f t="shared" si="37"/>
        <v>*0.92</v>
      </c>
      <c r="AC275" s="33" t="s">
        <v>1149</v>
      </c>
      <c r="AD275" s="44" t="s">
        <v>57</v>
      </c>
      <c r="AE275" s="33">
        <v>2035</v>
      </c>
      <c r="AF275" s="45" t="str">
        <f t="shared" si="38"/>
        <v>*0.93</v>
      </c>
      <c r="AG275" s="43" t="str">
        <f t="shared" si="40"/>
        <v>REZoning_Sol-Win</v>
      </c>
      <c r="AI275" s="33" t="s">
        <v>1149</v>
      </c>
      <c r="AJ275" s="44" t="s">
        <v>57</v>
      </c>
      <c r="AK275" s="33">
        <v>2050</v>
      </c>
      <c r="AL275" s="45" t="str">
        <f t="shared" si="39"/>
        <v>*0.89</v>
      </c>
      <c r="AM275" s="43" t="str">
        <f t="shared" si="41"/>
        <v>REZoning_Sol-Win</v>
      </c>
      <c r="AP275" t="s">
        <v>1149</v>
      </c>
      <c r="AQ275" t="s">
        <v>57</v>
      </c>
      <c r="AR275">
        <v>2100</v>
      </c>
      <c r="AS275" t="s">
        <v>937</v>
      </c>
      <c r="AT275" t="s">
        <v>58</v>
      </c>
    </row>
    <row r="276" ht="29" spans="1:46">
      <c r="A276" s="31" t="s">
        <v>83</v>
      </c>
      <c r="C276" t="s">
        <v>1150</v>
      </c>
      <c r="D276" s="5" t="s">
        <v>57</v>
      </c>
      <c r="E276">
        <v>2035</v>
      </c>
      <c r="F276" s="6" t="str">
        <f t="shared" si="34"/>
        <v>*0.95</v>
      </c>
      <c r="H276" t="s">
        <v>1150</v>
      </c>
      <c r="I276" s="5" t="s">
        <v>57</v>
      </c>
      <c r="J276">
        <v>2050</v>
      </c>
      <c r="K276" s="38" t="str">
        <f t="shared" si="35"/>
        <v>*0.92</v>
      </c>
      <c r="P276" s="32" t="s">
        <v>1150</v>
      </c>
      <c r="Q276" s="42" t="s">
        <v>57</v>
      </c>
      <c r="R276" s="32">
        <v>2035</v>
      </c>
      <c r="S276" s="43" t="str">
        <f t="shared" si="36"/>
        <v>*0.95</v>
      </c>
      <c r="U276" s="32" t="s">
        <v>1150</v>
      </c>
      <c r="V276" s="42" t="s">
        <v>57</v>
      </c>
      <c r="W276" s="32">
        <v>2050</v>
      </c>
      <c r="X276" s="43" t="str">
        <f t="shared" si="37"/>
        <v>*0.92</v>
      </c>
      <c r="AC276" s="33" t="s">
        <v>1150</v>
      </c>
      <c r="AD276" s="44" t="s">
        <v>57</v>
      </c>
      <c r="AE276" s="33">
        <v>2035</v>
      </c>
      <c r="AF276" s="45" t="str">
        <f t="shared" si="38"/>
        <v>*0.93</v>
      </c>
      <c r="AG276" s="43" t="str">
        <f t="shared" si="40"/>
        <v>REZoning_Sol-Win</v>
      </c>
      <c r="AI276" s="33" t="s">
        <v>1150</v>
      </c>
      <c r="AJ276" s="44" t="s">
        <v>57</v>
      </c>
      <c r="AK276" s="33">
        <v>2050</v>
      </c>
      <c r="AL276" s="45" t="str">
        <f t="shared" si="39"/>
        <v>*0.89</v>
      </c>
      <c r="AM276" s="43" t="str">
        <f t="shared" si="41"/>
        <v>REZoning_Sol-Win</v>
      </c>
      <c r="AP276" t="s">
        <v>1150</v>
      </c>
      <c r="AQ276" t="s">
        <v>57</v>
      </c>
      <c r="AR276">
        <v>2100</v>
      </c>
      <c r="AS276" t="s">
        <v>937</v>
      </c>
      <c r="AT276" t="s">
        <v>58</v>
      </c>
    </row>
    <row r="277" ht="29" spans="1:46">
      <c r="A277" s="31" t="s">
        <v>83</v>
      </c>
      <c r="C277" t="s">
        <v>1151</v>
      </c>
      <c r="D277" s="5" t="s">
        <v>57</v>
      </c>
      <c r="E277">
        <v>2035</v>
      </c>
      <c r="F277" s="6" t="str">
        <f t="shared" si="34"/>
        <v>*0.95</v>
      </c>
      <c r="H277" t="s">
        <v>1151</v>
      </c>
      <c r="I277" s="5" t="s">
        <v>57</v>
      </c>
      <c r="J277">
        <v>2050</v>
      </c>
      <c r="K277" s="38" t="str">
        <f t="shared" si="35"/>
        <v>*0.92</v>
      </c>
      <c r="P277" s="32" t="s">
        <v>1151</v>
      </c>
      <c r="Q277" s="42" t="s">
        <v>57</v>
      </c>
      <c r="R277" s="32">
        <v>2035</v>
      </c>
      <c r="S277" s="43" t="str">
        <f t="shared" si="36"/>
        <v>*0.95</v>
      </c>
      <c r="U277" s="32" t="s">
        <v>1151</v>
      </c>
      <c r="V277" s="42" t="s">
        <v>57</v>
      </c>
      <c r="W277" s="32">
        <v>2050</v>
      </c>
      <c r="X277" s="43" t="str">
        <f t="shared" si="37"/>
        <v>*0.92</v>
      </c>
      <c r="AC277" s="33" t="s">
        <v>1151</v>
      </c>
      <c r="AD277" s="44" t="s">
        <v>57</v>
      </c>
      <c r="AE277" s="33">
        <v>2035</v>
      </c>
      <c r="AF277" s="45" t="str">
        <f t="shared" si="38"/>
        <v>*0.93</v>
      </c>
      <c r="AG277" s="43" t="str">
        <f t="shared" si="40"/>
        <v>REZoning_Sol-Win</v>
      </c>
      <c r="AI277" s="33" t="s">
        <v>1151</v>
      </c>
      <c r="AJ277" s="44" t="s">
        <v>57</v>
      </c>
      <c r="AK277" s="33">
        <v>2050</v>
      </c>
      <c r="AL277" s="45" t="str">
        <f t="shared" si="39"/>
        <v>*0.89</v>
      </c>
      <c r="AM277" s="43" t="str">
        <f t="shared" si="41"/>
        <v>REZoning_Sol-Win</v>
      </c>
      <c r="AP277" t="s">
        <v>1151</v>
      </c>
      <c r="AQ277" t="s">
        <v>57</v>
      </c>
      <c r="AR277">
        <v>2100</v>
      </c>
      <c r="AS277" t="s">
        <v>937</v>
      </c>
      <c r="AT277" t="s">
        <v>58</v>
      </c>
    </row>
    <row r="278" ht="29" spans="1:46">
      <c r="A278" s="31" t="s">
        <v>83</v>
      </c>
      <c r="C278" t="s">
        <v>1152</v>
      </c>
      <c r="D278" s="5" t="s">
        <v>57</v>
      </c>
      <c r="E278">
        <v>2035</v>
      </c>
      <c r="F278" s="6" t="str">
        <f t="shared" si="34"/>
        <v>*0.95</v>
      </c>
      <c r="H278" t="s">
        <v>1152</v>
      </c>
      <c r="I278" s="5" t="s">
        <v>57</v>
      </c>
      <c r="J278">
        <v>2050</v>
      </c>
      <c r="K278" s="38" t="str">
        <f t="shared" si="35"/>
        <v>*0.92</v>
      </c>
      <c r="P278" s="32" t="s">
        <v>1152</v>
      </c>
      <c r="Q278" s="42" t="s">
        <v>57</v>
      </c>
      <c r="R278" s="32">
        <v>2035</v>
      </c>
      <c r="S278" s="43" t="str">
        <f t="shared" si="36"/>
        <v>*0.95</v>
      </c>
      <c r="U278" s="32" t="s">
        <v>1152</v>
      </c>
      <c r="V278" s="42" t="s">
        <v>57</v>
      </c>
      <c r="W278" s="32">
        <v>2050</v>
      </c>
      <c r="X278" s="43" t="str">
        <f t="shared" si="37"/>
        <v>*0.92</v>
      </c>
      <c r="AC278" s="33" t="s">
        <v>1152</v>
      </c>
      <c r="AD278" s="44" t="s">
        <v>57</v>
      </c>
      <c r="AE278" s="33">
        <v>2035</v>
      </c>
      <c r="AF278" s="45" t="str">
        <f t="shared" si="38"/>
        <v>*0.93</v>
      </c>
      <c r="AG278" s="43" t="str">
        <f t="shared" si="40"/>
        <v>REZoning_Sol-Win</v>
      </c>
      <c r="AI278" s="33" t="s">
        <v>1152</v>
      </c>
      <c r="AJ278" s="44" t="s">
        <v>57</v>
      </c>
      <c r="AK278" s="33">
        <v>2050</v>
      </c>
      <c r="AL278" s="45" t="str">
        <f t="shared" si="39"/>
        <v>*0.89</v>
      </c>
      <c r="AM278" s="43" t="str">
        <f t="shared" si="41"/>
        <v>REZoning_Sol-Win</v>
      </c>
      <c r="AP278" t="s">
        <v>1152</v>
      </c>
      <c r="AQ278" t="s">
        <v>57</v>
      </c>
      <c r="AR278">
        <v>2100</v>
      </c>
      <c r="AS278" t="s">
        <v>937</v>
      </c>
      <c r="AT278" t="s">
        <v>58</v>
      </c>
    </row>
    <row r="279" ht="29" spans="1:46">
      <c r="A279" s="31" t="s">
        <v>83</v>
      </c>
      <c r="C279" t="s">
        <v>1153</v>
      </c>
      <c r="D279" s="5" t="s">
        <v>57</v>
      </c>
      <c r="E279">
        <v>2035</v>
      </c>
      <c r="F279" s="6" t="str">
        <f t="shared" si="34"/>
        <v>*0.95</v>
      </c>
      <c r="H279" t="s">
        <v>1153</v>
      </c>
      <c r="I279" s="5" t="s">
        <v>57</v>
      </c>
      <c r="J279">
        <v>2050</v>
      </c>
      <c r="K279" s="38" t="str">
        <f t="shared" si="35"/>
        <v>*0.92</v>
      </c>
      <c r="P279" s="32" t="s">
        <v>1153</v>
      </c>
      <c r="Q279" s="42" t="s">
        <v>57</v>
      </c>
      <c r="R279" s="32">
        <v>2035</v>
      </c>
      <c r="S279" s="43" t="str">
        <f t="shared" si="36"/>
        <v>*0.95</v>
      </c>
      <c r="U279" s="32" t="s">
        <v>1153</v>
      </c>
      <c r="V279" s="42" t="s">
        <v>57</v>
      </c>
      <c r="W279" s="32">
        <v>2050</v>
      </c>
      <c r="X279" s="43" t="str">
        <f t="shared" si="37"/>
        <v>*0.92</v>
      </c>
      <c r="AC279" s="33" t="s">
        <v>1153</v>
      </c>
      <c r="AD279" s="44" t="s">
        <v>57</v>
      </c>
      <c r="AE279" s="33">
        <v>2035</v>
      </c>
      <c r="AF279" s="45" t="str">
        <f t="shared" si="38"/>
        <v>*0.93</v>
      </c>
      <c r="AG279" s="43" t="str">
        <f t="shared" si="40"/>
        <v>REZoning_Sol-Win</v>
      </c>
      <c r="AI279" s="33" t="s">
        <v>1153</v>
      </c>
      <c r="AJ279" s="44" t="s">
        <v>57</v>
      </c>
      <c r="AK279" s="33">
        <v>2050</v>
      </c>
      <c r="AL279" s="45" t="str">
        <f t="shared" si="39"/>
        <v>*0.89</v>
      </c>
      <c r="AM279" s="43" t="str">
        <f t="shared" si="41"/>
        <v>REZoning_Sol-Win</v>
      </c>
      <c r="AP279" t="s">
        <v>1153</v>
      </c>
      <c r="AQ279" t="s">
        <v>57</v>
      </c>
      <c r="AR279">
        <v>2100</v>
      </c>
      <c r="AS279" t="s">
        <v>937</v>
      </c>
      <c r="AT279" t="s">
        <v>58</v>
      </c>
    </row>
    <row r="280" ht="29" spans="1:46">
      <c r="A280" s="31" t="s">
        <v>83</v>
      </c>
      <c r="C280" t="s">
        <v>1154</v>
      </c>
      <c r="D280" s="5" t="s">
        <v>57</v>
      </c>
      <c r="E280">
        <v>2035</v>
      </c>
      <c r="F280" s="6" t="str">
        <f t="shared" si="34"/>
        <v>*0.95</v>
      </c>
      <c r="H280" t="s">
        <v>1154</v>
      </c>
      <c r="I280" s="5" t="s">
        <v>57</v>
      </c>
      <c r="J280">
        <v>2050</v>
      </c>
      <c r="K280" s="38" t="str">
        <f t="shared" si="35"/>
        <v>*0.92</v>
      </c>
      <c r="P280" s="32" t="s">
        <v>1154</v>
      </c>
      <c r="Q280" s="42" t="s">
        <v>57</v>
      </c>
      <c r="R280" s="32">
        <v>2035</v>
      </c>
      <c r="S280" s="43" t="str">
        <f t="shared" si="36"/>
        <v>*0.95</v>
      </c>
      <c r="U280" s="32" t="s">
        <v>1154</v>
      </c>
      <c r="V280" s="42" t="s">
        <v>57</v>
      </c>
      <c r="W280" s="32">
        <v>2050</v>
      </c>
      <c r="X280" s="43" t="str">
        <f t="shared" si="37"/>
        <v>*0.92</v>
      </c>
      <c r="AC280" s="33" t="s">
        <v>1154</v>
      </c>
      <c r="AD280" s="44" t="s">
        <v>57</v>
      </c>
      <c r="AE280" s="33">
        <v>2035</v>
      </c>
      <c r="AF280" s="45" t="str">
        <f t="shared" si="38"/>
        <v>*0.93</v>
      </c>
      <c r="AG280" s="43" t="str">
        <f t="shared" si="40"/>
        <v>REZoning_Sol-Win</v>
      </c>
      <c r="AI280" s="33" t="s">
        <v>1154</v>
      </c>
      <c r="AJ280" s="44" t="s">
        <v>57</v>
      </c>
      <c r="AK280" s="33">
        <v>2050</v>
      </c>
      <c r="AL280" s="45" t="str">
        <f t="shared" si="39"/>
        <v>*0.89</v>
      </c>
      <c r="AM280" s="43" t="str">
        <f t="shared" si="41"/>
        <v>REZoning_Sol-Win</v>
      </c>
      <c r="AP280" t="s">
        <v>1154</v>
      </c>
      <c r="AQ280" t="s">
        <v>57</v>
      </c>
      <c r="AR280">
        <v>2100</v>
      </c>
      <c r="AS280" t="s">
        <v>937</v>
      </c>
      <c r="AT280" t="s">
        <v>58</v>
      </c>
    </row>
    <row r="281" ht="29" spans="1:46">
      <c r="A281" s="31" t="s">
        <v>83</v>
      </c>
      <c r="C281" t="s">
        <v>1155</v>
      </c>
      <c r="D281" s="5" t="s">
        <v>57</v>
      </c>
      <c r="E281">
        <v>2035</v>
      </c>
      <c r="F281" s="6" t="str">
        <f t="shared" si="34"/>
        <v>*0.95</v>
      </c>
      <c r="H281" t="s">
        <v>1155</v>
      </c>
      <c r="I281" s="5" t="s">
        <v>57</v>
      </c>
      <c r="J281">
        <v>2050</v>
      </c>
      <c r="K281" s="38" t="str">
        <f t="shared" si="35"/>
        <v>*0.92</v>
      </c>
      <c r="P281" s="32" t="s">
        <v>1155</v>
      </c>
      <c r="Q281" s="42" t="s">
        <v>57</v>
      </c>
      <c r="R281" s="32">
        <v>2035</v>
      </c>
      <c r="S281" s="43" t="str">
        <f t="shared" si="36"/>
        <v>*0.95</v>
      </c>
      <c r="U281" s="32" t="s">
        <v>1155</v>
      </c>
      <c r="V281" s="42" t="s">
        <v>57</v>
      </c>
      <c r="W281" s="32">
        <v>2050</v>
      </c>
      <c r="X281" s="43" t="str">
        <f t="shared" si="37"/>
        <v>*0.92</v>
      </c>
      <c r="AC281" s="33" t="s">
        <v>1155</v>
      </c>
      <c r="AD281" s="44" t="s">
        <v>57</v>
      </c>
      <c r="AE281" s="33">
        <v>2035</v>
      </c>
      <c r="AF281" s="45" t="str">
        <f t="shared" si="38"/>
        <v>*0.93</v>
      </c>
      <c r="AG281" s="43" t="str">
        <f t="shared" si="40"/>
        <v>REZoning_Sol-Win</v>
      </c>
      <c r="AI281" s="33" t="s">
        <v>1155</v>
      </c>
      <c r="AJ281" s="44" t="s">
        <v>57</v>
      </c>
      <c r="AK281" s="33">
        <v>2050</v>
      </c>
      <c r="AL281" s="45" t="str">
        <f t="shared" si="39"/>
        <v>*0.89</v>
      </c>
      <c r="AM281" s="43" t="str">
        <f t="shared" si="41"/>
        <v>REZoning_Sol-Win</v>
      </c>
      <c r="AP281" t="s">
        <v>1155</v>
      </c>
      <c r="AQ281" t="s">
        <v>57</v>
      </c>
      <c r="AR281">
        <v>2100</v>
      </c>
      <c r="AS281" t="s">
        <v>937</v>
      </c>
      <c r="AT281" t="s">
        <v>58</v>
      </c>
    </row>
    <row r="282" ht="29" spans="1:46">
      <c r="A282" s="31" t="s">
        <v>83</v>
      </c>
      <c r="C282" t="s">
        <v>1156</v>
      </c>
      <c r="D282" s="5" t="s">
        <v>57</v>
      </c>
      <c r="E282">
        <v>2035</v>
      </c>
      <c r="F282" s="6" t="str">
        <f t="shared" si="34"/>
        <v>*0.95</v>
      </c>
      <c r="H282" t="s">
        <v>1156</v>
      </c>
      <c r="I282" s="5" t="s">
        <v>57</v>
      </c>
      <c r="J282">
        <v>2050</v>
      </c>
      <c r="K282" s="38" t="str">
        <f t="shared" si="35"/>
        <v>*0.92</v>
      </c>
      <c r="P282" s="32" t="s">
        <v>1156</v>
      </c>
      <c r="Q282" s="42" t="s">
        <v>57</v>
      </c>
      <c r="R282" s="32">
        <v>2035</v>
      </c>
      <c r="S282" s="43" t="str">
        <f t="shared" si="36"/>
        <v>*0.95</v>
      </c>
      <c r="U282" s="32" t="s">
        <v>1156</v>
      </c>
      <c r="V282" s="42" t="s">
        <v>57</v>
      </c>
      <c r="W282" s="32">
        <v>2050</v>
      </c>
      <c r="X282" s="43" t="str">
        <f t="shared" si="37"/>
        <v>*0.92</v>
      </c>
      <c r="AC282" s="33" t="s">
        <v>1156</v>
      </c>
      <c r="AD282" s="44" t="s">
        <v>57</v>
      </c>
      <c r="AE282" s="33">
        <v>2035</v>
      </c>
      <c r="AF282" s="45" t="str">
        <f t="shared" si="38"/>
        <v>*0.93</v>
      </c>
      <c r="AG282" s="43" t="str">
        <f t="shared" si="40"/>
        <v>REZoning_Sol-Win</v>
      </c>
      <c r="AI282" s="33" t="s">
        <v>1156</v>
      </c>
      <c r="AJ282" s="44" t="s">
        <v>57</v>
      </c>
      <c r="AK282" s="33">
        <v>2050</v>
      </c>
      <c r="AL282" s="45" t="str">
        <f t="shared" si="39"/>
        <v>*0.89</v>
      </c>
      <c r="AM282" s="43" t="str">
        <f t="shared" si="41"/>
        <v>REZoning_Sol-Win</v>
      </c>
      <c r="AP282" t="s">
        <v>1156</v>
      </c>
      <c r="AQ282" t="s">
        <v>57</v>
      </c>
      <c r="AR282">
        <v>2100</v>
      </c>
      <c r="AS282" t="s">
        <v>937</v>
      </c>
      <c r="AT282" t="s">
        <v>58</v>
      </c>
    </row>
    <row r="283" ht="29" spans="1:46">
      <c r="A283" s="31" t="s">
        <v>83</v>
      </c>
      <c r="C283" t="s">
        <v>1157</v>
      </c>
      <c r="D283" s="5" t="s">
        <v>57</v>
      </c>
      <c r="E283">
        <v>2035</v>
      </c>
      <c r="F283" s="6" t="str">
        <f t="shared" si="34"/>
        <v>*0.95</v>
      </c>
      <c r="H283" t="s">
        <v>1157</v>
      </c>
      <c r="I283" s="5" t="s">
        <v>57</v>
      </c>
      <c r="J283">
        <v>2050</v>
      </c>
      <c r="K283" s="38" t="str">
        <f t="shared" si="35"/>
        <v>*0.92</v>
      </c>
      <c r="P283" s="32" t="s">
        <v>1157</v>
      </c>
      <c r="Q283" s="42" t="s">
        <v>57</v>
      </c>
      <c r="R283" s="32">
        <v>2035</v>
      </c>
      <c r="S283" s="43" t="str">
        <f t="shared" si="36"/>
        <v>*0.95</v>
      </c>
      <c r="U283" s="32" t="s">
        <v>1157</v>
      </c>
      <c r="V283" s="42" t="s">
        <v>57</v>
      </c>
      <c r="W283" s="32">
        <v>2050</v>
      </c>
      <c r="X283" s="43" t="str">
        <f t="shared" si="37"/>
        <v>*0.92</v>
      </c>
      <c r="AC283" s="33" t="s">
        <v>1157</v>
      </c>
      <c r="AD283" s="44" t="s">
        <v>57</v>
      </c>
      <c r="AE283" s="33">
        <v>2035</v>
      </c>
      <c r="AF283" s="45" t="str">
        <f t="shared" si="38"/>
        <v>*0.93</v>
      </c>
      <c r="AG283" s="43" t="str">
        <f t="shared" si="40"/>
        <v>REZoning_Sol-Win</v>
      </c>
      <c r="AI283" s="33" t="s">
        <v>1157</v>
      </c>
      <c r="AJ283" s="44" t="s">
        <v>57</v>
      </c>
      <c r="AK283" s="33">
        <v>2050</v>
      </c>
      <c r="AL283" s="45" t="str">
        <f t="shared" si="39"/>
        <v>*0.89</v>
      </c>
      <c r="AM283" s="43" t="str">
        <f t="shared" si="41"/>
        <v>REZoning_Sol-Win</v>
      </c>
      <c r="AP283" t="s">
        <v>1157</v>
      </c>
      <c r="AQ283" t="s">
        <v>57</v>
      </c>
      <c r="AR283">
        <v>2100</v>
      </c>
      <c r="AS283" t="s">
        <v>937</v>
      </c>
      <c r="AT283" t="s">
        <v>58</v>
      </c>
    </row>
    <row r="284" ht="29" spans="1:46">
      <c r="A284" s="31" t="s">
        <v>83</v>
      </c>
      <c r="C284" t="s">
        <v>1158</v>
      </c>
      <c r="D284" s="5" t="s">
        <v>57</v>
      </c>
      <c r="E284">
        <v>2035</v>
      </c>
      <c r="F284" s="6" t="str">
        <f t="shared" si="34"/>
        <v>*0.95</v>
      </c>
      <c r="H284" t="s">
        <v>1158</v>
      </c>
      <c r="I284" s="5" t="s">
        <v>57</v>
      </c>
      <c r="J284">
        <v>2050</v>
      </c>
      <c r="K284" s="38" t="str">
        <f t="shared" si="35"/>
        <v>*0.92</v>
      </c>
      <c r="P284" s="32" t="s">
        <v>1158</v>
      </c>
      <c r="Q284" s="42" t="s">
        <v>57</v>
      </c>
      <c r="R284" s="32">
        <v>2035</v>
      </c>
      <c r="S284" s="43" t="str">
        <f t="shared" si="36"/>
        <v>*0.95</v>
      </c>
      <c r="U284" s="32" t="s">
        <v>1158</v>
      </c>
      <c r="V284" s="42" t="s">
        <v>57</v>
      </c>
      <c r="W284" s="32">
        <v>2050</v>
      </c>
      <c r="X284" s="43" t="str">
        <f t="shared" si="37"/>
        <v>*0.92</v>
      </c>
      <c r="AC284" s="33" t="s">
        <v>1158</v>
      </c>
      <c r="AD284" s="44" t="s">
        <v>57</v>
      </c>
      <c r="AE284" s="33">
        <v>2035</v>
      </c>
      <c r="AF284" s="45" t="str">
        <f t="shared" si="38"/>
        <v>*0.93</v>
      </c>
      <c r="AG284" s="43" t="str">
        <f t="shared" si="40"/>
        <v>REZoning_Sol-Win</v>
      </c>
      <c r="AI284" s="33" t="s">
        <v>1158</v>
      </c>
      <c r="AJ284" s="44" t="s">
        <v>57</v>
      </c>
      <c r="AK284" s="33">
        <v>2050</v>
      </c>
      <c r="AL284" s="45" t="str">
        <f t="shared" si="39"/>
        <v>*0.89</v>
      </c>
      <c r="AM284" s="43" t="str">
        <f t="shared" si="41"/>
        <v>REZoning_Sol-Win</v>
      </c>
      <c r="AP284" t="s">
        <v>1158</v>
      </c>
      <c r="AQ284" t="s">
        <v>57</v>
      </c>
      <c r="AR284">
        <v>2100</v>
      </c>
      <c r="AS284" t="s">
        <v>937</v>
      </c>
      <c r="AT284" t="s">
        <v>58</v>
      </c>
    </row>
    <row r="285" ht="29" spans="1:46">
      <c r="A285" s="31" t="s">
        <v>83</v>
      </c>
      <c r="C285" t="s">
        <v>1159</v>
      </c>
      <c r="D285" s="5" t="s">
        <v>57</v>
      </c>
      <c r="E285">
        <v>2035</v>
      </c>
      <c r="F285" s="6" t="str">
        <f t="shared" si="34"/>
        <v>*0.95</v>
      </c>
      <c r="H285" t="s">
        <v>1159</v>
      </c>
      <c r="I285" s="5" t="s">
        <v>57</v>
      </c>
      <c r="J285">
        <v>2050</v>
      </c>
      <c r="K285" s="38" t="str">
        <f t="shared" si="35"/>
        <v>*0.92</v>
      </c>
      <c r="P285" s="32" t="s">
        <v>1159</v>
      </c>
      <c r="Q285" s="42" t="s">
        <v>57</v>
      </c>
      <c r="R285" s="32">
        <v>2035</v>
      </c>
      <c r="S285" s="43" t="str">
        <f t="shared" si="36"/>
        <v>*0.95</v>
      </c>
      <c r="U285" s="32" t="s">
        <v>1159</v>
      </c>
      <c r="V285" s="42" t="s">
        <v>57</v>
      </c>
      <c r="W285" s="32">
        <v>2050</v>
      </c>
      <c r="X285" s="43" t="str">
        <f t="shared" si="37"/>
        <v>*0.92</v>
      </c>
      <c r="AC285" s="33" t="s">
        <v>1159</v>
      </c>
      <c r="AD285" s="44" t="s">
        <v>57</v>
      </c>
      <c r="AE285" s="33">
        <v>2035</v>
      </c>
      <c r="AF285" s="45" t="str">
        <f t="shared" si="38"/>
        <v>*0.93</v>
      </c>
      <c r="AG285" s="43" t="str">
        <f t="shared" si="40"/>
        <v>REZoning_Sol-Win</v>
      </c>
      <c r="AI285" s="33" t="s">
        <v>1159</v>
      </c>
      <c r="AJ285" s="44" t="s">
        <v>57</v>
      </c>
      <c r="AK285" s="33">
        <v>2050</v>
      </c>
      <c r="AL285" s="45" t="str">
        <f t="shared" si="39"/>
        <v>*0.89</v>
      </c>
      <c r="AM285" s="43" t="str">
        <f t="shared" si="41"/>
        <v>REZoning_Sol-Win</v>
      </c>
      <c r="AP285" t="s">
        <v>1159</v>
      </c>
      <c r="AQ285" t="s">
        <v>57</v>
      </c>
      <c r="AR285">
        <v>2100</v>
      </c>
      <c r="AS285" t="s">
        <v>937</v>
      </c>
      <c r="AT285" t="s">
        <v>58</v>
      </c>
    </row>
    <row r="286" ht="29" spans="1:46">
      <c r="A286" s="31" t="s">
        <v>83</v>
      </c>
      <c r="C286" t="s">
        <v>1160</v>
      </c>
      <c r="D286" s="5" t="s">
        <v>57</v>
      </c>
      <c r="E286">
        <v>2035</v>
      </c>
      <c r="F286" s="6" t="str">
        <f t="shared" si="34"/>
        <v>*0.95</v>
      </c>
      <c r="H286" t="s">
        <v>1160</v>
      </c>
      <c r="I286" s="5" t="s">
        <v>57</v>
      </c>
      <c r="J286">
        <v>2050</v>
      </c>
      <c r="K286" s="38" t="str">
        <f t="shared" si="35"/>
        <v>*0.92</v>
      </c>
      <c r="P286" s="32" t="s">
        <v>1160</v>
      </c>
      <c r="Q286" s="42" t="s">
        <v>57</v>
      </c>
      <c r="R286" s="32">
        <v>2035</v>
      </c>
      <c r="S286" s="43" t="str">
        <f t="shared" si="36"/>
        <v>*0.95</v>
      </c>
      <c r="U286" s="32" t="s">
        <v>1160</v>
      </c>
      <c r="V286" s="42" t="s">
        <v>57</v>
      </c>
      <c r="W286" s="32">
        <v>2050</v>
      </c>
      <c r="X286" s="43" t="str">
        <f t="shared" si="37"/>
        <v>*0.92</v>
      </c>
      <c r="AC286" s="33" t="s">
        <v>1160</v>
      </c>
      <c r="AD286" s="44" t="s">
        <v>57</v>
      </c>
      <c r="AE286" s="33">
        <v>2035</v>
      </c>
      <c r="AF286" s="45" t="str">
        <f t="shared" si="38"/>
        <v>*0.93</v>
      </c>
      <c r="AG286" s="43" t="str">
        <f t="shared" si="40"/>
        <v>REZoning_Sol-Win</v>
      </c>
      <c r="AI286" s="33" t="s">
        <v>1160</v>
      </c>
      <c r="AJ286" s="44" t="s">
        <v>57</v>
      </c>
      <c r="AK286" s="33">
        <v>2050</v>
      </c>
      <c r="AL286" s="45" t="str">
        <f t="shared" si="39"/>
        <v>*0.89</v>
      </c>
      <c r="AM286" s="43" t="str">
        <f t="shared" si="41"/>
        <v>REZoning_Sol-Win</v>
      </c>
      <c r="AP286" t="s">
        <v>1160</v>
      </c>
      <c r="AQ286" t="s">
        <v>57</v>
      </c>
      <c r="AR286">
        <v>2100</v>
      </c>
      <c r="AS286" t="s">
        <v>937</v>
      </c>
      <c r="AT286" t="s">
        <v>58</v>
      </c>
    </row>
    <row r="287" ht="29" spans="1:46">
      <c r="A287" s="31" t="s">
        <v>83</v>
      </c>
      <c r="C287" t="s">
        <v>1161</v>
      </c>
      <c r="D287" s="5" t="s">
        <v>57</v>
      </c>
      <c r="E287">
        <v>2035</v>
      </c>
      <c r="F287" s="6" t="str">
        <f t="shared" si="34"/>
        <v>*0.95</v>
      </c>
      <c r="H287" t="s">
        <v>1161</v>
      </c>
      <c r="I287" s="5" t="s">
        <v>57</v>
      </c>
      <c r="J287">
        <v>2050</v>
      </c>
      <c r="K287" s="38" t="str">
        <f t="shared" si="35"/>
        <v>*0.92</v>
      </c>
      <c r="P287" s="32" t="s">
        <v>1161</v>
      </c>
      <c r="Q287" s="42" t="s">
        <v>57</v>
      </c>
      <c r="R287" s="32">
        <v>2035</v>
      </c>
      <c r="S287" s="43" t="str">
        <f t="shared" si="36"/>
        <v>*0.95</v>
      </c>
      <c r="U287" s="32" t="s">
        <v>1161</v>
      </c>
      <c r="V287" s="42" t="s">
        <v>57</v>
      </c>
      <c r="W287" s="32">
        <v>2050</v>
      </c>
      <c r="X287" s="43" t="str">
        <f t="shared" si="37"/>
        <v>*0.92</v>
      </c>
      <c r="AC287" s="33" t="s">
        <v>1161</v>
      </c>
      <c r="AD287" s="44" t="s">
        <v>57</v>
      </c>
      <c r="AE287" s="33">
        <v>2035</v>
      </c>
      <c r="AF287" s="45" t="str">
        <f t="shared" si="38"/>
        <v>*0.93</v>
      </c>
      <c r="AG287" s="43" t="str">
        <f t="shared" si="40"/>
        <v>REZoning_Sol-Win</v>
      </c>
      <c r="AI287" s="33" t="s">
        <v>1161</v>
      </c>
      <c r="AJ287" s="44" t="s">
        <v>57</v>
      </c>
      <c r="AK287" s="33">
        <v>2050</v>
      </c>
      <c r="AL287" s="45" t="str">
        <f t="shared" si="39"/>
        <v>*0.89</v>
      </c>
      <c r="AM287" s="43" t="str">
        <f t="shared" si="41"/>
        <v>REZoning_Sol-Win</v>
      </c>
      <c r="AP287" t="s">
        <v>1161</v>
      </c>
      <c r="AQ287" t="s">
        <v>57</v>
      </c>
      <c r="AR287">
        <v>2100</v>
      </c>
      <c r="AS287" t="s">
        <v>937</v>
      </c>
      <c r="AT287" t="s">
        <v>58</v>
      </c>
    </row>
    <row r="288" ht="29" spans="1:46">
      <c r="A288" s="31" t="s">
        <v>83</v>
      </c>
      <c r="C288" t="s">
        <v>1162</v>
      </c>
      <c r="D288" s="5" t="s">
        <v>57</v>
      </c>
      <c r="E288">
        <v>2035</v>
      </c>
      <c r="F288" s="6" t="str">
        <f t="shared" si="34"/>
        <v>*0.95</v>
      </c>
      <c r="H288" t="s">
        <v>1162</v>
      </c>
      <c r="I288" s="5" t="s">
        <v>57</v>
      </c>
      <c r="J288">
        <v>2050</v>
      </c>
      <c r="K288" s="38" t="str">
        <f t="shared" si="35"/>
        <v>*0.92</v>
      </c>
      <c r="P288" s="32" t="s">
        <v>1162</v>
      </c>
      <c r="Q288" s="42" t="s">
        <v>57</v>
      </c>
      <c r="R288" s="32">
        <v>2035</v>
      </c>
      <c r="S288" s="43" t="str">
        <f t="shared" si="36"/>
        <v>*0.95</v>
      </c>
      <c r="U288" s="32" t="s">
        <v>1162</v>
      </c>
      <c r="V288" s="42" t="s">
        <v>57</v>
      </c>
      <c r="W288" s="32">
        <v>2050</v>
      </c>
      <c r="X288" s="43" t="str">
        <f t="shared" si="37"/>
        <v>*0.92</v>
      </c>
      <c r="AC288" s="33" t="s">
        <v>1162</v>
      </c>
      <c r="AD288" s="44" t="s">
        <v>57</v>
      </c>
      <c r="AE288" s="33">
        <v>2035</v>
      </c>
      <c r="AF288" s="45" t="str">
        <f t="shared" si="38"/>
        <v>*0.93</v>
      </c>
      <c r="AG288" s="43" t="str">
        <f t="shared" si="40"/>
        <v>REZoning_Sol-Win</v>
      </c>
      <c r="AI288" s="33" t="s">
        <v>1162</v>
      </c>
      <c r="AJ288" s="44" t="s">
        <v>57</v>
      </c>
      <c r="AK288" s="33">
        <v>2050</v>
      </c>
      <c r="AL288" s="45" t="str">
        <f t="shared" si="39"/>
        <v>*0.89</v>
      </c>
      <c r="AM288" s="43" t="str">
        <f t="shared" si="41"/>
        <v>REZoning_Sol-Win</v>
      </c>
      <c r="AP288" t="s">
        <v>1162</v>
      </c>
      <c r="AQ288" t="s">
        <v>57</v>
      </c>
      <c r="AR288">
        <v>2100</v>
      </c>
      <c r="AS288" t="s">
        <v>937</v>
      </c>
      <c r="AT288" t="s">
        <v>58</v>
      </c>
    </row>
    <row r="289" ht="29" spans="1:46">
      <c r="A289" s="31" t="s">
        <v>83</v>
      </c>
      <c r="C289" t="s">
        <v>1163</v>
      </c>
      <c r="D289" s="5" t="s">
        <v>57</v>
      </c>
      <c r="E289">
        <v>2035</v>
      </c>
      <c r="F289" s="6" t="str">
        <f t="shared" si="34"/>
        <v>*0.95</v>
      </c>
      <c r="H289" t="s">
        <v>1163</v>
      </c>
      <c r="I289" s="5" t="s">
        <v>57</v>
      </c>
      <c r="J289">
        <v>2050</v>
      </c>
      <c r="K289" s="38" t="str">
        <f t="shared" si="35"/>
        <v>*0.92</v>
      </c>
      <c r="P289" s="32" t="s">
        <v>1163</v>
      </c>
      <c r="Q289" s="42" t="s">
        <v>57</v>
      </c>
      <c r="R289" s="32">
        <v>2035</v>
      </c>
      <c r="S289" s="43" t="str">
        <f t="shared" si="36"/>
        <v>*0.95</v>
      </c>
      <c r="U289" s="32" t="s">
        <v>1163</v>
      </c>
      <c r="V289" s="42" t="s">
        <v>57</v>
      </c>
      <c r="W289" s="32">
        <v>2050</v>
      </c>
      <c r="X289" s="43" t="str">
        <f t="shared" si="37"/>
        <v>*0.92</v>
      </c>
      <c r="AC289" s="33" t="s">
        <v>1163</v>
      </c>
      <c r="AD289" s="44" t="s">
        <v>57</v>
      </c>
      <c r="AE289" s="33">
        <v>2035</v>
      </c>
      <c r="AF289" s="45" t="str">
        <f t="shared" si="38"/>
        <v>*0.93</v>
      </c>
      <c r="AG289" s="43" t="str">
        <f t="shared" si="40"/>
        <v>REZoning_Sol-Win</v>
      </c>
      <c r="AI289" s="33" t="s">
        <v>1163</v>
      </c>
      <c r="AJ289" s="44" t="s">
        <v>57</v>
      </c>
      <c r="AK289" s="33">
        <v>2050</v>
      </c>
      <c r="AL289" s="45" t="str">
        <f t="shared" si="39"/>
        <v>*0.89</v>
      </c>
      <c r="AM289" s="43" t="str">
        <f t="shared" si="41"/>
        <v>REZoning_Sol-Win</v>
      </c>
      <c r="AP289" t="s">
        <v>1163</v>
      </c>
      <c r="AQ289" t="s">
        <v>57</v>
      </c>
      <c r="AR289">
        <v>2100</v>
      </c>
      <c r="AS289" t="s">
        <v>937</v>
      </c>
      <c r="AT289" t="s">
        <v>58</v>
      </c>
    </row>
    <row r="290" ht="29" spans="1:46">
      <c r="A290" s="31" t="s">
        <v>83</v>
      </c>
      <c r="C290" t="s">
        <v>1164</v>
      </c>
      <c r="D290" s="5" t="s">
        <v>57</v>
      </c>
      <c r="E290">
        <v>2035</v>
      </c>
      <c r="F290" s="6" t="str">
        <f t="shared" si="34"/>
        <v>*0.95</v>
      </c>
      <c r="H290" t="s">
        <v>1164</v>
      </c>
      <c r="I290" s="5" t="s">
        <v>57</v>
      </c>
      <c r="J290">
        <v>2050</v>
      </c>
      <c r="K290" s="38" t="str">
        <f t="shared" si="35"/>
        <v>*0.92</v>
      </c>
      <c r="P290" s="32" t="s">
        <v>1164</v>
      </c>
      <c r="Q290" s="42" t="s">
        <v>57</v>
      </c>
      <c r="R290" s="32">
        <v>2035</v>
      </c>
      <c r="S290" s="43" t="str">
        <f t="shared" si="36"/>
        <v>*0.95</v>
      </c>
      <c r="U290" s="32" t="s">
        <v>1164</v>
      </c>
      <c r="V290" s="42" t="s">
        <v>57</v>
      </c>
      <c r="W290" s="32">
        <v>2050</v>
      </c>
      <c r="X290" s="43" t="str">
        <f t="shared" si="37"/>
        <v>*0.92</v>
      </c>
      <c r="AC290" s="33" t="s">
        <v>1164</v>
      </c>
      <c r="AD290" s="44" t="s">
        <v>57</v>
      </c>
      <c r="AE290" s="33">
        <v>2035</v>
      </c>
      <c r="AF290" s="45" t="str">
        <f t="shared" si="38"/>
        <v>*0.93</v>
      </c>
      <c r="AG290" s="43" t="str">
        <f t="shared" si="40"/>
        <v>REZoning_Sol-Win</v>
      </c>
      <c r="AI290" s="33" t="s">
        <v>1164</v>
      </c>
      <c r="AJ290" s="44" t="s">
        <v>57</v>
      </c>
      <c r="AK290" s="33">
        <v>2050</v>
      </c>
      <c r="AL290" s="45" t="str">
        <f t="shared" si="39"/>
        <v>*0.89</v>
      </c>
      <c r="AM290" s="43" t="str">
        <f t="shared" si="41"/>
        <v>REZoning_Sol-Win</v>
      </c>
      <c r="AP290" t="s">
        <v>1164</v>
      </c>
      <c r="AQ290" t="s">
        <v>57</v>
      </c>
      <c r="AR290">
        <v>2100</v>
      </c>
      <c r="AS290" t="s">
        <v>937</v>
      </c>
      <c r="AT290" t="s">
        <v>58</v>
      </c>
    </row>
    <row r="291" ht="29" spans="1:46">
      <c r="A291" s="31" t="s">
        <v>83</v>
      </c>
      <c r="C291" t="s">
        <v>1165</v>
      </c>
      <c r="D291" s="5" t="s">
        <v>57</v>
      </c>
      <c r="E291">
        <v>2035</v>
      </c>
      <c r="F291" s="6" t="str">
        <f t="shared" si="34"/>
        <v>*0.95</v>
      </c>
      <c r="H291" t="s">
        <v>1165</v>
      </c>
      <c r="I291" s="5" t="s">
        <v>57</v>
      </c>
      <c r="J291">
        <v>2050</v>
      </c>
      <c r="K291" s="38" t="str">
        <f t="shared" si="35"/>
        <v>*0.92</v>
      </c>
      <c r="P291" s="32" t="s">
        <v>1165</v>
      </c>
      <c r="Q291" s="42" t="s">
        <v>57</v>
      </c>
      <c r="R291" s="32">
        <v>2035</v>
      </c>
      <c r="S291" s="43" t="str">
        <f t="shared" si="36"/>
        <v>*0.95</v>
      </c>
      <c r="U291" s="32" t="s">
        <v>1165</v>
      </c>
      <c r="V291" s="42" t="s">
        <v>57</v>
      </c>
      <c r="W291" s="32">
        <v>2050</v>
      </c>
      <c r="X291" s="43" t="str">
        <f t="shared" si="37"/>
        <v>*0.92</v>
      </c>
      <c r="AC291" s="33" t="s">
        <v>1165</v>
      </c>
      <c r="AD291" s="44" t="s">
        <v>57</v>
      </c>
      <c r="AE291" s="33">
        <v>2035</v>
      </c>
      <c r="AF291" s="45" t="str">
        <f t="shared" si="38"/>
        <v>*0.93</v>
      </c>
      <c r="AG291" s="43" t="str">
        <f t="shared" si="40"/>
        <v>REZoning_Sol-Win</v>
      </c>
      <c r="AI291" s="33" t="s">
        <v>1165</v>
      </c>
      <c r="AJ291" s="44" t="s">
        <v>57</v>
      </c>
      <c r="AK291" s="33">
        <v>2050</v>
      </c>
      <c r="AL291" s="45" t="str">
        <f t="shared" si="39"/>
        <v>*0.89</v>
      </c>
      <c r="AM291" s="43" t="str">
        <f t="shared" si="41"/>
        <v>REZoning_Sol-Win</v>
      </c>
      <c r="AP291" t="s">
        <v>1165</v>
      </c>
      <c r="AQ291" t="s">
        <v>57</v>
      </c>
      <c r="AR291">
        <v>2100</v>
      </c>
      <c r="AS291" t="s">
        <v>937</v>
      </c>
      <c r="AT291" t="s">
        <v>58</v>
      </c>
    </row>
    <row r="292" ht="29" spans="1:46">
      <c r="A292" s="31" t="s">
        <v>83</v>
      </c>
      <c r="C292" t="s">
        <v>1166</v>
      </c>
      <c r="D292" s="5" t="s">
        <v>57</v>
      </c>
      <c r="E292">
        <v>2035</v>
      </c>
      <c r="F292" s="6" t="str">
        <f t="shared" si="34"/>
        <v>*0.95</v>
      </c>
      <c r="H292" t="s">
        <v>1166</v>
      </c>
      <c r="I292" s="5" t="s">
        <v>57</v>
      </c>
      <c r="J292">
        <v>2050</v>
      </c>
      <c r="K292" s="38" t="str">
        <f t="shared" si="35"/>
        <v>*0.92</v>
      </c>
      <c r="P292" s="32" t="s">
        <v>1166</v>
      </c>
      <c r="Q292" s="42" t="s">
        <v>57</v>
      </c>
      <c r="R292" s="32">
        <v>2035</v>
      </c>
      <c r="S292" s="43" t="str">
        <f t="shared" si="36"/>
        <v>*0.95</v>
      </c>
      <c r="U292" s="32" t="s">
        <v>1166</v>
      </c>
      <c r="V292" s="42" t="s">
        <v>57</v>
      </c>
      <c r="W292" s="32">
        <v>2050</v>
      </c>
      <c r="X292" s="43" t="str">
        <f t="shared" si="37"/>
        <v>*0.92</v>
      </c>
      <c r="AC292" s="33" t="s">
        <v>1166</v>
      </c>
      <c r="AD292" s="44" t="s">
        <v>57</v>
      </c>
      <c r="AE292" s="33">
        <v>2035</v>
      </c>
      <c r="AF292" s="45" t="str">
        <f t="shared" si="38"/>
        <v>*0.93</v>
      </c>
      <c r="AG292" s="43" t="str">
        <f t="shared" si="40"/>
        <v>REZoning_Sol-Win</v>
      </c>
      <c r="AI292" s="33" t="s">
        <v>1166</v>
      </c>
      <c r="AJ292" s="44" t="s">
        <v>57</v>
      </c>
      <c r="AK292" s="33">
        <v>2050</v>
      </c>
      <c r="AL292" s="45" t="str">
        <f t="shared" si="39"/>
        <v>*0.89</v>
      </c>
      <c r="AM292" s="43" t="str">
        <f t="shared" si="41"/>
        <v>REZoning_Sol-Win</v>
      </c>
      <c r="AP292" t="s">
        <v>1166</v>
      </c>
      <c r="AQ292" t="s">
        <v>57</v>
      </c>
      <c r="AR292">
        <v>2100</v>
      </c>
      <c r="AS292" t="s">
        <v>937</v>
      </c>
      <c r="AT292" t="s">
        <v>58</v>
      </c>
    </row>
    <row r="293" ht="29" spans="1:46">
      <c r="A293" s="31" t="s">
        <v>83</v>
      </c>
      <c r="C293" t="s">
        <v>1167</v>
      </c>
      <c r="D293" s="5" t="s">
        <v>57</v>
      </c>
      <c r="E293">
        <v>2035</v>
      </c>
      <c r="F293" s="6" t="str">
        <f t="shared" si="34"/>
        <v>*0.95</v>
      </c>
      <c r="H293" t="s">
        <v>1167</v>
      </c>
      <c r="I293" s="5" t="s">
        <v>57</v>
      </c>
      <c r="J293">
        <v>2050</v>
      </c>
      <c r="K293" s="38" t="str">
        <f t="shared" si="35"/>
        <v>*0.92</v>
      </c>
      <c r="P293" s="32" t="s">
        <v>1167</v>
      </c>
      <c r="Q293" s="42" t="s">
        <v>57</v>
      </c>
      <c r="R293" s="32">
        <v>2035</v>
      </c>
      <c r="S293" s="43" t="str">
        <f t="shared" si="36"/>
        <v>*0.95</v>
      </c>
      <c r="U293" s="32" t="s">
        <v>1167</v>
      </c>
      <c r="V293" s="42" t="s">
        <v>57</v>
      </c>
      <c r="W293" s="32">
        <v>2050</v>
      </c>
      <c r="X293" s="43" t="str">
        <f t="shared" si="37"/>
        <v>*0.92</v>
      </c>
      <c r="AC293" s="33" t="s">
        <v>1167</v>
      </c>
      <c r="AD293" s="44" t="s">
        <v>57</v>
      </c>
      <c r="AE293" s="33">
        <v>2035</v>
      </c>
      <c r="AF293" s="45" t="str">
        <f t="shared" si="38"/>
        <v>*0.93</v>
      </c>
      <c r="AG293" s="43" t="str">
        <f t="shared" si="40"/>
        <v>REZoning_Sol-Win</v>
      </c>
      <c r="AI293" s="33" t="s">
        <v>1167</v>
      </c>
      <c r="AJ293" s="44" t="s">
        <v>57</v>
      </c>
      <c r="AK293" s="33">
        <v>2050</v>
      </c>
      <c r="AL293" s="45" t="str">
        <f t="shared" si="39"/>
        <v>*0.89</v>
      </c>
      <c r="AM293" s="43" t="str">
        <f t="shared" si="41"/>
        <v>REZoning_Sol-Win</v>
      </c>
      <c r="AP293" t="s">
        <v>1167</v>
      </c>
      <c r="AQ293" t="s">
        <v>57</v>
      </c>
      <c r="AR293">
        <v>2100</v>
      </c>
      <c r="AS293" t="s">
        <v>937</v>
      </c>
      <c r="AT293" t="s">
        <v>58</v>
      </c>
    </row>
    <row r="294" ht="29" spans="1:46">
      <c r="A294" s="31" t="s">
        <v>83</v>
      </c>
      <c r="C294" t="s">
        <v>1168</v>
      </c>
      <c r="D294" s="5" t="s">
        <v>57</v>
      </c>
      <c r="E294">
        <v>2035</v>
      </c>
      <c r="F294" s="6" t="str">
        <f t="shared" si="34"/>
        <v>*0.95</v>
      </c>
      <c r="H294" t="s">
        <v>1168</v>
      </c>
      <c r="I294" s="5" t="s">
        <v>57</v>
      </c>
      <c r="J294">
        <v>2050</v>
      </c>
      <c r="K294" s="38" t="str">
        <f t="shared" si="35"/>
        <v>*0.92</v>
      </c>
      <c r="P294" s="32" t="s">
        <v>1168</v>
      </c>
      <c r="Q294" s="42" t="s">
        <v>57</v>
      </c>
      <c r="R294" s="32">
        <v>2035</v>
      </c>
      <c r="S294" s="43" t="str">
        <f t="shared" si="36"/>
        <v>*0.95</v>
      </c>
      <c r="U294" s="32" t="s">
        <v>1168</v>
      </c>
      <c r="V294" s="42" t="s">
        <v>57</v>
      </c>
      <c r="W294" s="32">
        <v>2050</v>
      </c>
      <c r="X294" s="43" t="str">
        <f t="shared" si="37"/>
        <v>*0.92</v>
      </c>
      <c r="AC294" s="33" t="s">
        <v>1168</v>
      </c>
      <c r="AD294" s="44" t="s">
        <v>57</v>
      </c>
      <c r="AE294" s="33">
        <v>2035</v>
      </c>
      <c r="AF294" s="45" t="str">
        <f t="shared" si="38"/>
        <v>*0.93</v>
      </c>
      <c r="AG294" s="43" t="str">
        <f t="shared" si="40"/>
        <v>REZoning_Sol-Win</v>
      </c>
      <c r="AI294" s="33" t="s">
        <v>1168</v>
      </c>
      <c r="AJ294" s="44" t="s">
        <v>57</v>
      </c>
      <c r="AK294" s="33">
        <v>2050</v>
      </c>
      <c r="AL294" s="45" t="str">
        <f t="shared" si="39"/>
        <v>*0.89</v>
      </c>
      <c r="AM294" s="43" t="str">
        <f t="shared" si="41"/>
        <v>REZoning_Sol-Win</v>
      </c>
      <c r="AP294" t="s">
        <v>1168</v>
      </c>
      <c r="AQ294" t="s">
        <v>57</v>
      </c>
      <c r="AR294">
        <v>2100</v>
      </c>
      <c r="AS294" t="s">
        <v>937</v>
      </c>
      <c r="AT294" t="s">
        <v>58</v>
      </c>
    </row>
    <row r="295" ht="29" spans="1:46">
      <c r="A295" s="31" t="s">
        <v>83</v>
      </c>
      <c r="C295" t="s">
        <v>1169</v>
      </c>
      <c r="D295" s="5" t="s">
        <v>57</v>
      </c>
      <c r="E295">
        <v>2035</v>
      </c>
      <c r="F295" s="6" t="str">
        <f t="shared" si="34"/>
        <v>*0.95</v>
      </c>
      <c r="H295" t="s">
        <v>1169</v>
      </c>
      <c r="I295" s="5" t="s">
        <v>57</v>
      </c>
      <c r="J295">
        <v>2050</v>
      </c>
      <c r="K295" s="38" t="str">
        <f t="shared" si="35"/>
        <v>*0.92</v>
      </c>
      <c r="P295" s="32" t="s">
        <v>1169</v>
      </c>
      <c r="Q295" s="42" t="s">
        <v>57</v>
      </c>
      <c r="R295" s="32">
        <v>2035</v>
      </c>
      <c r="S295" s="43" t="str">
        <f t="shared" si="36"/>
        <v>*0.95</v>
      </c>
      <c r="U295" s="32" t="s">
        <v>1169</v>
      </c>
      <c r="V295" s="42" t="s">
        <v>57</v>
      </c>
      <c r="W295" s="32">
        <v>2050</v>
      </c>
      <c r="X295" s="43" t="str">
        <f t="shared" si="37"/>
        <v>*0.92</v>
      </c>
      <c r="AC295" s="33" t="s">
        <v>1169</v>
      </c>
      <c r="AD295" s="44" t="s">
        <v>57</v>
      </c>
      <c r="AE295" s="33">
        <v>2035</v>
      </c>
      <c r="AF295" s="45" t="str">
        <f t="shared" si="38"/>
        <v>*0.93</v>
      </c>
      <c r="AG295" s="43" t="str">
        <f t="shared" si="40"/>
        <v>REZoning_Sol-Win</v>
      </c>
      <c r="AI295" s="33" t="s">
        <v>1169</v>
      </c>
      <c r="AJ295" s="44" t="s">
        <v>57</v>
      </c>
      <c r="AK295" s="33">
        <v>2050</v>
      </c>
      <c r="AL295" s="45" t="str">
        <f t="shared" si="39"/>
        <v>*0.89</v>
      </c>
      <c r="AM295" s="43" t="str">
        <f t="shared" si="41"/>
        <v>REZoning_Sol-Win</v>
      </c>
      <c r="AP295" t="s">
        <v>1169</v>
      </c>
      <c r="AQ295" t="s">
        <v>57</v>
      </c>
      <c r="AR295">
        <v>2100</v>
      </c>
      <c r="AS295" t="s">
        <v>937</v>
      </c>
      <c r="AT295" t="s">
        <v>58</v>
      </c>
    </row>
    <row r="296" ht="29" spans="1:46">
      <c r="A296" s="31" t="s">
        <v>83</v>
      </c>
      <c r="C296" t="s">
        <v>1170</v>
      </c>
      <c r="D296" s="5" t="s">
        <v>57</v>
      </c>
      <c r="E296">
        <v>2035</v>
      </c>
      <c r="F296" s="6" t="str">
        <f t="shared" si="34"/>
        <v>*0.95</v>
      </c>
      <c r="H296" t="s">
        <v>1170</v>
      </c>
      <c r="I296" s="5" t="s">
        <v>57</v>
      </c>
      <c r="J296">
        <v>2050</v>
      </c>
      <c r="K296" s="38" t="str">
        <f t="shared" si="35"/>
        <v>*0.92</v>
      </c>
      <c r="P296" s="32" t="s">
        <v>1170</v>
      </c>
      <c r="Q296" s="42" t="s">
        <v>57</v>
      </c>
      <c r="R296" s="32">
        <v>2035</v>
      </c>
      <c r="S296" s="43" t="str">
        <f t="shared" si="36"/>
        <v>*0.95</v>
      </c>
      <c r="U296" s="32" t="s">
        <v>1170</v>
      </c>
      <c r="V296" s="42" t="s">
        <v>57</v>
      </c>
      <c r="W296" s="32">
        <v>2050</v>
      </c>
      <c r="X296" s="43" t="str">
        <f t="shared" si="37"/>
        <v>*0.92</v>
      </c>
      <c r="AC296" s="33" t="s">
        <v>1170</v>
      </c>
      <c r="AD296" s="44" t="s">
        <v>57</v>
      </c>
      <c r="AE296" s="33">
        <v>2035</v>
      </c>
      <c r="AF296" s="45" t="str">
        <f t="shared" si="38"/>
        <v>*0.93</v>
      </c>
      <c r="AG296" s="43" t="str">
        <f t="shared" si="40"/>
        <v>REZoning_Sol-Win</v>
      </c>
      <c r="AI296" s="33" t="s">
        <v>1170</v>
      </c>
      <c r="AJ296" s="44" t="s">
        <v>57</v>
      </c>
      <c r="AK296" s="33">
        <v>2050</v>
      </c>
      <c r="AL296" s="45" t="str">
        <f t="shared" si="39"/>
        <v>*0.89</v>
      </c>
      <c r="AM296" s="43" t="str">
        <f t="shared" si="41"/>
        <v>REZoning_Sol-Win</v>
      </c>
      <c r="AP296" t="s">
        <v>1170</v>
      </c>
      <c r="AQ296" t="s">
        <v>57</v>
      </c>
      <c r="AR296">
        <v>2100</v>
      </c>
      <c r="AS296" t="s">
        <v>937</v>
      </c>
      <c r="AT296" t="s">
        <v>58</v>
      </c>
    </row>
    <row r="297" ht="29" spans="1:46">
      <c r="A297" s="31" t="s">
        <v>83</v>
      </c>
      <c r="C297" t="s">
        <v>1171</v>
      </c>
      <c r="D297" s="5" t="s">
        <v>57</v>
      </c>
      <c r="E297">
        <v>2035</v>
      </c>
      <c r="F297" s="6" t="str">
        <f t="shared" si="34"/>
        <v>*0.95</v>
      </c>
      <c r="H297" t="s">
        <v>1171</v>
      </c>
      <c r="I297" s="5" t="s">
        <v>57</v>
      </c>
      <c r="J297">
        <v>2050</v>
      </c>
      <c r="K297" s="38" t="str">
        <f t="shared" si="35"/>
        <v>*0.92</v>
      </c>
      <c r="P297" s="32" t="s">
        <v>1171</v>
      </c>
      <c r="Q297" s="42" t="s">
        <v>57</v>
      </c>
      <c r="R297" s="32">
        <v>2035</v>
      </c>
      <c r="S297" s="43" t="str">
        <f t="shared" si="36"/>
        <v>*0.95</v>
      </c>
      <c r="U297" s="32" t="s">
        <v>1171</v>
      </c>
      <c r="V297" s="42" t="s">
        <v>57</v>
      </c>
      <c r="W297" s="32">
        <v>2050</v>
      </c>
      <c r="X297" s="43" t="str">
        <f t="shared" si="37"/>
        <v>*0.92</v>
      </c>
      <c r="AC297" s="33" t="s">
        <v>1171</v>
      </c>
      <c r="AD297" s="44" t="s">
        <v>57</v>
      </c>
      <c r="AE297" s="33">
        <v>2035</v>
      </c>
      <c r="AF297" s="45" t="str">
        <f t="shared" si="38"/>
        <v>*0.93</v>
      </c>
      <c r="AG297" s="43" t="str">
        <f t="shared" si="40"/>
        <v>REZoning_Sol-Win</v>
      </c>
      <c r="AI297" s="33" t="s">
        <v>1171</v>
      </c>
      <c r="AJ297" s="44" t="s">
        <v>57</v>
      </c>
      <c r="AK297" s="33">
        <v>2050</v>
      </c>
      <c r="AL297" s="45" t="str">
        <f t="shared" si="39"/>
        <v>*0.89</v>
      </c>
      <c r="AM297" s="43" t="str">
        <f t="shared" si="41"/>
        <v>REZoning_Sol-Win</v>
      </c>
      <c r="AP297" t="s">
        <v>1171</v>
      </c>
      <c r="AQ297" t="s">
        <v>57</v>
      </c>
      <c r="AR297">
        <v>2100</v>
      </c>
      <c r="AS297" t="s">
        <v>937</v>
      </c>
      <c r="AT297" t="s">
        <v>58</v>
      </c>
    </row>
    <row r="298" ht="29" spans="1:46">
      <c r="A298" s="31" t="s">
        <v>83</v>
      </c>
      <c r="C298" t="s">
        <v>1172</v>
      </c>
      <c r="D298" s="5" t="s">
        <v>57</v>
      </c>
      <c r="E298">
        <v>2035</v>
      </c>
      <c r="F298" s="6" t="str">
        <f t="shared" si="34"/>
        <v>*0.95</v>
      </c>
      <c r="H298" t="s">
        <v>1172</v>
      </c>
      <c r="I298" s="5" t="s">
        <v>57</v>
      </c>
      <c r="J298">
        <v>2050</v>
      </c>
      <c r="K298" s="38" t="str">
        <f t="shared" si="35"/>
        <v>*0.92</v>
      </c>
      <c r="P298" s="32" t="s">
        <v>1172</v>
      </c>
      <c r="Q298" s="42" t="s">
        <v>57</v>
      </c>
      <c r="R298" s="32">
        <v>2035</v>
      </c>
      <c r="S298" s="43" t="str">
        <f t="shared" si="36"/>
        <v>*0.95</v>
      </c>
      <c r="U298" s="32" t="s">
        <v>1172</v>
      </c>
      <c r="V298" s="42" t="s">
        <v>57</v>
      </c>
      <c r="W298" s="32">
        <v>2050</v>
      </c>
      <c r="X298" s="43" t="str">
        <f t="shared" si="37"/>
        <v>*0.92</v>
      </c>
      <c r="AC298" s="33" t="s">
        <v>1172</v>
      </c>
      <c r="AD298" s="44" t="s">
        <v>57</v>
      </c>
      <c r="AE298" s="33">
        <v>2035</v>
      </c>
      <c r="AF298" s="45" t="str">
        <f t="shared" si="38"/>
        <v>*0.93</v>
      </c>
      <c r="AG298" s="43" t="str">
        <f t="shared" si="40"/>
        <v>REZoning_Sol-Win</v>
      </c>
      <c r="AI298" s="33" t="s">
        <v>1172</v>
      </c>
      <c r="AJ298" s="44" t="s">
        <v>57</v>
      </c>
      <c r="AK298" s="33">
        <v>2050</v>
      </c>
      <c r="AL298" s="45" t="str">
        <f t="shared" si="39"/>
        <v>*0.89</v>
      </c>
      <c r="AM298" s="43" t="str">
        <f t="shared" si="41"/>
        <v>REZoning_Sol-Win</v>
      </c>
      <c r="AP298" t="s">
        <v>1172</v>
      </c>
      <c r="AQ298" t="s">
        <v>57</v>
      </c>
      <c r="AR298">
        <v>2100</v>
      </c>
      <c r="AS298" t="s">
        <v>937</v>
      </c>
      <c r="AT298" t="s">
        <v>58</v>
      </c>
    </row>
    <row r="299" ht="29" spans="1:46">
      <c r="A299" s="31" t="s">
        <v>83</v>
      </c>
      <c r="C299" t="s">
        <v>1173</v>
      </c>
      <c r="D299" s="5" t="s">
        <v>57</v>
      </c>
      <c r="E299">
        <v>2035</v>
      </c>
      <c r="F299" s="6" t="str">
        <f t="shared" si="34"/>
        <v>*0.95</v>
      </c>
      <c r="H299" t="s">
        <v>1173</v>
      </c>
      <c r="I299" s="5" t="s">
        <v>57</v>
      </c>
      <c r="J299">
        <v>2050</v>
      </c>
      <c r="K299" s="38" t="str">
        <f t="shared" si="35"/>
        <v>*0.92</v>
      </c>
      <c r="P299" s="32" t="s">
        <v>1173</v>
      </c>
      <c r="Q299" s="42" t="s">
        <v>57</v>
      </c>
      <c r="R299" s="32">
        <v>2035</v>
      </c>
      <c r="S299" s="43" t="str">
        <f t="shared" si="36"/>
        <v>*0.95</v>
      </c>
      <c r="U299" s="32" t="s">
        <v>1173</v>
      </c>
      <c r="V299" s="42" t="s">
        <v>57</v>
      </c>
      <c r="W299" s="32">
        <v>2050</v>
      </c>
      <c r="X299" s="43" t="str">
        <f t="shared" si="37"/>
        <v>*0.92</v>
      </c>
      <c r="AC299" s="33" t="s">
        <v>1173</v>
      </c>
      <c r="AD299" s="44" t="s">
        <v>57</v>
      </c>
      <c r="AE299" s="33">
        <v>2035</v>
      </c>
      <c r="AF299" s="45" t="str">
        <f t="shared" si="38"/>
        <v>*0.93</v>
      </c>
      <c r="AG299" s="43" t="str">
        <f t="shared" si="40"/>
        <v>REZoning_Sol-Win</v>
      </c>
      <c r="AI299" s="33" t="s">
        <v>1173</v>
      </c>
      <c r="AJ299" s="44" t="s">
        <v>57</v>
      </c>
      <c r="AK299" s="33">
        <v>2050</v>
      </c>
      <c r="AL299" s="45" t="str">
        <f t="shared" si="39"/>
        <v>*0.89</v>
      </c>
      <c r="AM299" s="43" t="str">
        <f t="shared" si="41"/>
        <v>REZoning_Sol-Win</v>
      </c>
      <c r="AP299" t="s">
        <v>1173</v>
      </c>
      <c r="AQ299" t="s">
        <v>57</v>
      </c>
      <c r="AR299">
        <v>2100</v>
      </c>
      <c r="AS299" t="s">
        <v>937</v>
      </c>
      <c r="AT299" t="s">
        <v>58</v>
      </c>
    </row>
    <row r="300" ht="29" spans="1:46">
      <c r="A300" s="31" t="s">
        <v>83</v>
      </c>
      <c r="C300" t="s">
        <v>1174</v>
      </c>
      <c r="D300" s="5" t="s">
        <v>57</v>
      </c>
      <c r="E300">
        <v>2035</v>
      </c>
      <c r="F300" s="6" t="str">
        <f t="shared" si="34"/>
        <v>*0.95</v>
      </c>
      <c r="H300" t="s">
        <v>1174</v>
      </c>
      <c r="I300" s="5" t="s">
        <v>57</v>
      </c>
      <c r="J300">
        <v>2050</v>
      </c>
      <c r="K300" s="38" t="str">
        <f t="shared" si="35"/>
        <v>*0.92</v>
      </c>
      <c r="P300" s="32" t="s">
        <v>1174</v>
      </c>
      <c r="Q300" s="42" t="s">
        <v>57</v>
      </c>
      <c r="R300" s="32">
        <v>2035</v>
      </c>
      <c r="S300" s="43" t="str">
        <f t="shared" si="36"/>
        <v>*0.95</v>
      </c>
      <c r="U300" s="32" t="s">
        <v>1174</v>
      </c>
      <c r="V300" s="42" t="s">
        <v>57</v>
      </c>
      <c r="W300" s="32">
        <v>2050</v>
      </c>
      <c r="X300" s="43" t="str">
        <f t="shared" si="37"/>
        <v>*0.92</v>
      </c>
      <c r="AC300" s="33" t="s">
        <v>1174</v>
      </c>
      <c r="AD300" s="44" t="s">
        <v>57</v>
      </c>
      <c r="AE300" s="33">
        <v>2035</v>
      </c>
      <c r="AF300" s="45" t="str">
        <f t="shared" si="38"/>
        <v>*0.93</v>
      </c>
      <c r="AG300" s="43" t="str">
        <f t="shared" si="40"/>
        <v>REZoning_Sol-Win</v>
      </c>
      <c r="AI300" s="33" t="s">
        <v>1174</v>
      </c>
      <c r="AJ300" s="44" t="s">
        <v>57</v>
      </c>
      <c r="AK300" s="33">
        <v>2050</v>
      </c>
      <c r="AL300" s="45" t="str">
        <f t="shared" si="39"/>
        <v>*0.89</v>
      </c>
      <c r="AM300" s="43" t="str">
        <f t="shared" si="41"/>
        <v>REZoning_Sol-Win</v>
      </c>
      <c r="AP300" t="s">
        <v>1174</v>
      </c>
      <c r="AQ300" t="s">
        <v>57</v>
      </c>
      <c r="AR300">
        <v>2100</v>
      </c>
      <c r="AS300" t="s">
        <v>937</v>
      </c>
      <c r="AT300" t="s">
        <v>58</v>
      </c>
    </row>
    <row r="301" ht="29" spans="1:46">
      <c r="A301" s="31" t="s">
        <v>83</v>
      </c>
      <c r="C301" t="s">
        <v>1175</v>
      </c>
      <c r="D301" s="5" t="s">
        <v>57</v>
      </c>
      <c r="E301">
        <v>2035</v>
      </c>
      <c r="F301" s="6" t="str">
        <f t="shared" si="34"/>
        <v>*0.95</v>
      </c>
      <c r="H301" t="s">
        <v>1175</v>
      </c>
      <c r="I301" s="5" t="s">
        <v>57</v>
      </c>
      <c r="J301">
        <v>2050</v>
      </c>
      <c r="K301" s="38" t="str">
        <f t="shared" si="35"/>
        <v>*0.92</v>
      </c>
      <c r="P301" s="32" t="s">
        <v>1175</v>
      </c>
      <c r="Q301" s="42" t="s">
        <v>57</v>
      </c>
      <c r="R301" s="32">
        <v>2035</v>
      </c>
      <c r="S301" s="43" t="str">
        <f t="shared" si="36"/>
        <v>*0.95</v>
      </c>
      <c r="U301" s="32" t="s">
        <v>1175</v>
      </c>
      <c r="V301" s="42" t="s">
        <v>57</v>
      </c>
      <c r="W301" s="32">
        <v>2050</v>
      </c>
      <c r="X301" s="43" t="str">
        <f t="shared" si="37"/>
        <v>*0.92</v>
      </c>
      <c r="AC301" s="33" t="s">
        <v>1175</v>
      </c>
      <c r="AD301" s="44" t="s">
        <v>57</v>
      </c>
      <c r="AE301" s="33">
        <v>2035</v>
      </c>
      <c r="AF301" s="45" t="str">
        <f t="shared" si="38"/>
        <v>*0.93</v>
      </c>
      <c r="AG301" s="43" t="str">
        <f t="shared" si="40"/>
        <v>REZoning_Sol-Win</v>
      </c>
      <c r="AI301" s="33" t="s">
        <v>1175</v>
      </c>
      <c r="AJ301" s="44" t="s">
        <v>57</v>
      </c>
      <c r="AK301" s="33">
        <v>2050</v>
      </c>
      <c r="AL301" s="45" t="str">
        <f t="shared" si="39"/>
        <v>*0.89</v>
      </c>
      <c r="AM301" s="43" t="str">
        <f t="shared" si="41"/>
        <v>REZoning_Sol-Win</v>
      </c>
      <c r="AP301" t="s">
        <v>1175</v>
      </c>
      <c r="AQ301" t="s">
        <v>57</v>
      </c>
      <c r="AR301">
        <v>2100</v>
      </c>
      <c r="AS301" t="s">
        <v>937</v>
      </c>
      <c r="AT301" t="s">
        <v>58</v>
      </c>
    </row>
    <row r="302" ht="29" spans="1:46">
      <c r="A302" s="31" t="s">
        <v>83</v>
      </c>
      <c r="C302" t="s">
        <v>1176</v>
      </c>
      <c r="D302" s="5" t="s">
        <v>57</v>
      </c>
      <c r="E302">
        <v>2035</v>
      </c>
      <c r="F302" s="6" t="str">
        <f t="shared" si="34"/>
        <v>*0.95</v>
      </c>
      <c r="H302" t="s">
        <v>1176</v>
      </c>
      <c r="I302" s="5" t="s">
        <v>57</v>
      </c>
      <c r="J302">
        <v>2050</v>
      </c>
      <c r="K302" s="38" t="str">
        <f t="shared" si="35"/>
        <v>*0.92</v>
      </c>
      <c r="P302" s="32" t="s">
        <v>1176</v>
      </c>
      <c r="Q302" s="42" t="s">
        <v>57</v>
      </c>
      <c r="R302" s="32">
        <v>2035</v>
      </c>
      <c r="S302" s="43" t="str">
        <f t="shared" si="36"/>
        <v>*0.95</v>
      </c>
      <c r="U302" s="32" t="s">
        <v>1176</v>
      </c>
      <c r="V302" s="42" t="s">
        <v>57</v>
      </c>
      <c r="W302" s="32">
        <v>2050</v>
      </c>
      <c r="X302" s="43" t="str">
        <f t="shared" si="37"/>
        <v>*0.92</v>
      </c>
      <c r="AC302" s="33" t="s">
        <v>1176</v>
      </c>
      <c r="AD302" s="44" t="s">
        <v>57</v>
      </c>
      <c r="AE302" s="33">
        <v>2035</v>
      </c>
      <c r="AF302" s="45" t="str">
        <f t="shared" si="38"/>
        <v>*0.93</v>
      </c>
      <c r="AG302" s="43" t="str">
        <f t="shared" si="40"/>
        <v>REZoning_Sol-Win</v>
      </c>
      <c r="AI302" s="33" t="s">
        <v>1176</v>
      </c>
      <c r="AJ302" s="44" t="s">
        <v>57</v>
      </c>
      <c r="AK302" s="33">
        <v>2050</v>
      </c>
      <c r="AL302" s="45" t="str">
        <f t="shared" si="39"/>
        <v>*0.89</v>
      </c>
      <c r="AM302" s="43" t="str">
        <f t="shared" si="41"/>
        <v>REZoning_Sol-Win</v>
      </c>
      <c r="AP302" t="s">
        <v>1176</v>
      </c>
      <c r="AQ302" t="s">
        <v>57</v>
      </c>
      <c r="AR302">
        <v>2100</v>
      </c>
      <c r="AS302" t="s">
        <v>937</v>
      </c>
      <c r="AT302" t="s">
        <v>58</v>
      </c>
    </row>
    <row r="303" ht="29" spans="1:46">
      <c r="A303" s="31" t="s">
        <v>83</v>
      </c>
      <c r="C303" t="s">
        <v>1177</v>
      </c>
      <c r="D303" s="5" t="s">
        <v>57</v>
      </c>
      <c r="E303">
        <v>2035</v>
      </c>
      <c r="F303" s="6" t="str">
        <f t="shared" si="34"/>
        <v>*0.95</v>
      </c>
      <c r="H303" t="s">
        <v>1177</v>
      </c>
      <c r="I303" s="5" t="s">
        <v>57</v>
      </c>
      <c r="J303">
        <v>2050</v>
      </c>
      <c r="K303" s="38" t="str">
        <f t="shared" si="35"/>
        <v>*0.92</v>
      </c>
      <c r="P303" s="32" t="s">
        <v>1177</v>
      </c>
      <c r="Q303" s="42" t="s">
        <v>57</v>
      </c>
      <c r="R303" s="32">
        <v>2035</v>
      </c>
      <c r="S303" s="43" t="str">
        <f t="shared" si="36"/>
        <v>*0.95</v>
      </c>
      <c r="U303" s="32" t="s">
        <v>1177</v>
      </c>
      <c r="V303" s="42" t="s">
        <v>57</v>
      </c>
      <c r="W303" s="32">
        <v>2050</v>
      </c>
      <c r="X303" s="43" t="str">
        <f t="shared" si="37"/>
        <v>*0.92</v>
      </c>
      <c r="AC303" s="33" t="s">
        <v>1177</v>
      </c>
      <c r="AD303" s="44" t="s">
        <v>57</v>
      </c>
      <c r="AE303" s="33">
        <v>2035</v>
      </c>
      <c r="AF303" s="45" t="str">
        <f t="shared" si="38"/>
        <v>*0.93</v>
      </c>
      <c r="AG303" s="43" t="str">
        <f t="shared" si="40"/>
        <v>REZoning_Sol-Win</v>
      </c>
      <c r="AI303" s="33" t="s">
        <v>1177</v>
      </c>
      <c r="AJ303" s="44" t="s">
        <v>57</v>
      </c>
      <c r="AK303" s="33">
        <v>2050</v>
      </c>
      <c r="AL303" s="45" t="str">
        <f t="shared" si="39"/>
        <v>*0.89</v>
      </c>
      <c r="AM303" s="43" t="str">
        <f t="shared" si="41"/>
        <v>REZoning_Sol-Win</v>
      </c>
      <c r="AP303" t="s">
        <v>1177</v>
      </c>
      <c r="AQ303" t="s">
        <v>57</v>
      </c>
      <c r="AR303">
        <v>2100</v>
      </c>
      <c r="AS303" t="s">
        <v>937</v>
      </c>
      <c r="AT303" t="s">
        <v>58</v>
      </c>
    </row>
    <row r="304" ht="29" spans="1:46">
      <c r="A304" s="31" t="s">
        <v>83</v>
      </c>
      <c r="C304" t="s">
        <v>1178</v>
      </c>
      <c r="D304" s="5" t="s">
        <v>57</v>
      </c>
      <c r="E304">
        <v>2035</v>
      </c>
      <c r="F304" s="6" t="str">
        <f t="shared" si="34"/>
        <v>*0.95</v>
      </c>
      <c r="H304" t="s">
        <v>1178</v>
      </c>
      <c r="I304" s="5" t="s">
        <v>57</v>
      </c>
      <c r="J304">
        <v>2050</v>
      </c>
      <c r="K304" s="38" t="str">
        <f t="shared" si="35"/>
        <v>*0.92</v>
      </c>
      <c r="P304" s="32" t="s">
        <v>1178</v>
      </c>
      <c r="Q304" s="42" t="s">
        <v>57</v>
      </c>
      <c r="R304" s="32">
        <v>2035</v>
      </c>
      <c r="S304" s="43" t="str">
        <f t="shared" si="36"/>
        <v>*0.95</v>
      </c>
      <c r="U304" s="32" t="s">
        <v>1178</v>
      </c>
      <c r="V304" s="42" t="s">
        <v>57</v>
      </c>
      <c r="W304" s="32">
        <v>2050</v>
      </c>
      <c r="X304" s="43" t="str">
        <f t="shared" si="37"/>
        <v>*0.92</v>
      </c>
      <c r="AC304" s="33" t="s">
        <v>1178</v>
      </c>
      <c r="AD304" s="44" t="s">
        <v>57</v>
      </c>
      <c r="AE304" s="33">
        <v>2035</v>
      </c>
      <c r="AF304" s="45" t="str">
        <f t="shared" si="38"/>
        <v>*0.93</v>
      </c>
      <c r="AG304" s="43" t="str">
        <f t="shared" si="40"/>
        <v>REZoning_Sol-Win</v>
      </c>
      <c r="AI304" s="33" t="s">
        <v>1178</v>
      </c>
      <c r="AJ304" s="44" t="s">
        <v>57</v>
      </c>
      <c r="AK304" s="33">
        <v>2050</v>
      </c>
      <c r="AL304" s="45" t="str">
        <f t="shared" si="39"/>
        <v>*0.89</v>
      </c>
      <c r="AM304" s="43" t="str">
        <f t="shared" si="41"/>
        <v>REZoning_Sol-Win</v>
      </c>
      <c r="AP304" t="s">
        <v>1178</v>
      </c>
      <c r="AQ304" t="s">
        <v>57</v>
      </c>
      <c r="AR304">
        <v>2100</v>
      </c>
      <c r="AS304" t="s">
        <v>937</v>
      </c>
      <c r="AT304" t="s">
        <v>58</v>
      </c>
    </row>
    <row r="305" ht="29" spans="1:46">
      <c r="A305" s="31" t="s">
        <v>83</v>
      </c>
      <c r="C305" t="s">
        <v>1179</v>
      </c>
      <c r="D305" s="5" t="s">
        <v>57</v>
      </c>
      <c r="E305">
        <v>2035</v>
      </c>
      <c r="F305" s="6" t="str">
        <f t="shared" si="34"/>
        <v>*0.95</v>
      </c>
      <c r="H305" t="s">
        <v>1179</v>
      </c>
      <c r="I305" s="5" t="s">
        <v>57</v>
      </c>
      <c r="J305">
        <v>2050</v>
      </c>
      <c r="K305" s="38" t="str">
        <f t="shared" si="35"/>
        <v>*0.92</v>
      </c>
      <c r="P305" s="32" t="s">
        <v>1179</v>
      </c>
      <c r="Q305" s="42" t="s">
        <v>57</v>
      </c>
      <c r="R305" s="32">
        <v>2035</v>
      </c>
      <c r="S305" s="43" t="str">
        <f t="shared" si="36"/>
        <v>*0.95</v>
      </c>
      <c r="U305" s="32" t="s">
        <v>1179</v>
      </c>
      <c r="V305" s="42" t="s">
        <v>57</v>
      </c>
      <c r="W305" s="32">
        <v>2050</v>
      </c>
      <c r="X305" s="43" t="str">
        <f t="shared" si="37"/>
        <v>*0.92</v>
      </c>
      <c r="AC305" s="33" t="s">
        <v>1179</v>
      </c>
      <c r="AD305" s="44" t="s">
        <v>57</v>
      </c>
      <c r="AE305" s="33">
        <v>2035</v>
      </c>
      <c r="AF305" s="45" t="str">
        <f t="shared" si="38"/>
        <v>*0.93</v>
      </c>
      <c r="AG305" s="43" t="str">
        <f t="shared" si="40"/>
        <v>REZoning_Sol-Win</v>
      </c>
      <c r="AI305" s="33" t="s">
        <v>1179</v>
      </c>
      <c r="AJ305" s="44" t="s">
        <v>57</v>
      </c>
      <c r="AK305" s="33">
        <v>2050</v>
      </c>
      <c r="AL305" s="45" t="str">
        <f t="shared" si="39"/>
        <v>*0.89</v>
      </c>
      <c r="AM305" s="43" t="str">
        <f t="shared" si="41"/>
        <v>REZoning_Sol-Win</v>
      </c>
      <c r="AP305" t="s">
        <v>1179</v>
      </c>
      <c r="AQ305" t="s">
        <v>57</v>
      </c>
      <c r="AR305">
        <v>2100</v>
      </c>
      <c r="AS305" t="s">
        <v>937</v>
      </c>
      <c r="AT305" t="s">
        <v>58</v>
      </c>
    </row>
    <row r="306" ht="29" spans="1:46">
      <c r="A306" s="31" t="s">
        <v>83</v>
      </c>
      <c r="C306" t="s">
        <v>1180</v>
      </c>
      <c r="D306" s="5" t="s">
        <v>57</v>
      </c>
      <c r="E306">
        <v>2035</v>
      </c>
      <c r="F306" s="6" t="str">
        <f t="shared" si="34"/>
        <v>*0.95</v>
      </c>
      <c r="H306" t="s">
        <v>1180</v>
      </c>
      <c r="I306" s="5" t="s">
        <v>57</v>
      </c>
      <c r="J306">
        <v>2050</v>
      </c>
      <c r="K306" s="38" t="str">
        <f t="shared" si="35"/>
        <v>*0.92</v>
      </c>
      <c r="P306" s="32" t="s">
        <v>1180</v>
      </c>
      <c r="Q306" s="42" t="s">
        <v>57</v>
      </c>
      <c r="R306" s="32">
        <v>2035</v>
      </c>
      <c r="S306" s="43" t="str">
        <f t="shared" si="36"/>
        <v>*0.95</v>
      </c>
      <c r="U306" s="32" t="s">
        <v>1180</v>
      </c>
      <c r="V306" s="42" t="s">
        <v>57</v>
      </c>
      <c r="W306" s="32">
        <v>2050</v>
      </c>
      <c r="X306" s="43" t="str">
        <f t="shared" si="37"/>
        <v>*0.92</v>
      </c>
      <c r="AC306" s="33" t="s">
        <v>1180</v>
      </c>
      <c r="AD306" s="44" t="s">
        <v>57</v>
      </c>
      <c r="AE306" s="33">
        <v>2035</v>
      </c>
      <c r="AF306" s="45" t="str">
        <f t="shared" si="38"/>
        <v>*0.93</v>
      </c>
      <c r="AG306" s="43" t="str">
        <f t="shared" si="40"/>
        <v>REZoning_Sol-Win</v>
      </c>
      <c r="AI306" s="33" t="s">
        <v>1180</v>
      </c>
      <c r="AJ306" s="44" t="s">
        <v>57</v>
      </c>
      <c r="AK306" s="33">
        <v>2050</v>
      </c>
      <c r="AL306" s="45" t="str">
        <f t="shared" si="39"/>
        <v>*0.89</v>
      </c>
      <c r="AM306" s="43" t="str">
        <f t="shared" si="41"/>
        <v>REZoning_Sol-Win</v>
      </c>
      <c r="AP306" t="s">
        <v>1180</v>
      </c>
      <c r="AQ306" t="s">
        <v>57</v>
      </c>
      <c r="AR306">
        <v>2100</v>
      </c>
      <c r="AS306" t="s">
        <v>937</v>
      </c>
      <c r="AT306" t="s">
        <v>58</v>
      </c>
    </row>
    <row r="307" ht="29" spans="1:46">
      <c r="A307" s="31" t="s">
        <v>83</v>
      </c>
      <c r="C307" t="s">
        <v>1181</v>
      </c>
      <c r="D307" s="5" t="s">
        <v>57</v>
      </c>
      <c r="E307">
        <v>2035</v>
      </c>
      <c r="F307" s="6" t="str">
        <f t="shared" si="34"/>
        <v>*0.95</v>
      </c>
      <c r="H307" t="s">
        <v>1181</v>
      </c>
      <c r="I307" s="5" t="s">
        <v>57</v>
      </c>
      <c r="J307">
        <v>2050</v>
      </c>
      <c r="K307" s="38" t="str">
        <f t="shared" si="35"/>
        <v>*0.92</v>
      </c>
      <c r="P307" s="32" t="s">
        <v>1181</v>
      </c>
      <c r="Q307" s="42" t="s">
        <v>57</v>
      </c>
      <c r="R307" s="32">
        <v>2035</v>
      </c>
      <c r="S307" s="43" t="str">
        <f t="shared" si="36"/>
        <v>*0.95</v>
      </c>
      <c r="U307" s="32" t="s">
        <v>1181</v>
      </c>
      <c r="V307" s="42" t="s">
        <v>57</v>
      </c>
      <c r="W307" s="32">
        <v>2050</v>
      </c>
      <c r="X307" s="43" t="str">
        <f t="shared" si="37"/>
        <v>*0.92</v>
      </c>
      <c r="AC307" s="33" t="s">
        <v>1181</v>
      </c>
      <c r="AD307" s="44" t="s">
        <v>57</v>
      </c>
      <c r="AE307" s="33">
        <v>2035</v>
      </c>
      <c r="AF307" s="45" t="str">
        <f t="shared" si="38"/>
        <v>*0.93</v>
      </c>
      <c r="AG307" s="43" t="str">
        <f t="shared" si="40"/>
        <v>REZoning_Sol-Win</v>
      </c>
      <c r="AI307" s="33" t="s">
        <v>1181</v>
      </c>
      <c r="AJ307" s="44" t="s">
        <v>57</v>
      </c>
      <c r="AK307" s="33">
        <v>2050</v>
      </c>
      <c r="AL307" s="45" t="str">
        <f t="shared" si="39"/>
        <v>*0.89</v>
      </c>
      <c r="AM307" s="43" t="str">
        <f t="shared" si="41"/>
        <v>REZoning_Sol-Win</v>
      </c>
      <c r="AP307" t="s">
        <v>1181</v>
      </c>
      <c r="AQ307" t="s">
        <v>57</v>
      </c>
      <c r="AR307">
        <v>2100</v>
      </c>
      <c r="AS307" t="s">
        <v>937</v>
      </c>
      <c r="AT307" t="s">
        <v>58</v>
      </c>
    </row>
    <row r="308" ht="29" spans="1:46">
      <c r="A308" s="31" t="s">
        <v>83</v>
      </c>
      <c r="C308" t="s">
        <v>1182</v>
      </c>
      <c r="D308" s="5" t="s">
        <v>57</v>
      </c>
      <c r="E308">
        <v>2035</v>
      </c>
      <c r="F308" s="6" t="str">
        <f t="shared" si="34"/>
        <v>*0.95</v>
      </c>
      <c r="H308" t="s">
        <v>1182</v>
      </c>
      <c r="I308" s="5" t="s">
        <v>57</v>
      </c>
      <c r="J308">
        <v>2050</v>
      </c>
      <c r="K308" s="38" t="str">
        <f t="shared" si="35"/>
        <v>*0.92</v>
      </c>
      <c r="P308" s="32" t="s">
        <v>1182</v>
      </c>
      <c r="Q308" s="42" t="s">
        <v>57</v>
      </c>
      <c r="R308" s="32">
        <v>2035</v>
      </c>
      <c r="S308" s="43" t="str">
        <f t="shared" si="36"/>
        <v>*0.95</v>
      </c>
      <c r="U308" s="32" t="s">
        <v>1182</v>
      </c>
      <c r="V308" s="42" t="s">
        <v>57</v>
      </c>
      <c r="W308" s="32">
        <v>2050</v>
      </c>
      <c r="X308" s="43" t="str">
        <f t="shared" si="37"/>
        <v>*0.92</v>
      </c>
      <c r="AC308" s="33" t="s">
        <v>1182</v>
      </c>
      <c r="AD308" s="44" t="s">
        <v>57</v>
      </c>
      <c r="AE308" s="33">
        <v>2035</v>
      </c>
      <c r="AF308" s="45" t="str">
        <f t="shared" si="38"/>
        <v>*0.93</v>
      </c>
      <c r="AG308" s="43" t="str">
        <f t="shared" si="40"/>
        <v>REZoning_Sol-Win</v>
      </c>
      <c r="AI308" s="33" t="s">
        <v>1182</v>
      </c>
      <c r="AJ308" s="44" t="s">
        <v>57</v>
      </c>
      <c r="AK308" s="33">
        <v>2050</v>
      </c>
      <c r="AL308" s="45" t="str">
        <f t="shared" si="39"/>
        <v>*0.89</v>
      </c>
      <c r="AM308" s="43" t="str">
        <f t="shared" si="41"/>
        <v>REZoning_Sol-Win</v>
      </c>
      <c r="AP308" t="s">
        <v>1182</v>
      </c>
      <c r="AQ308" t="s">
        <v>57</v>
      </c>
      <c r="AR308">
        <v>2100</v>
      </c>
      <c r="AS308" t="s">
        <v>937</v>
      </c>
      <c r="AT308" t="s">
        <v>58</v>
      </c>
    </row>
    <row r="309" ht="29" spans="1:46">
      <c r="A309" s="31" t="s">
        <v>83</v>
      </c>
      <c r="C309" t="s">
        <v>1183</v>
      </c>
      <c r="D309" s="5" t="s">
        <v>57</v>
      </c>
      <c r="E309">
        <v>2035</v>
      </c>
      <c r="F309" s="6" t="str">
        <f t="shared" si="34"/>
        <v>*0.95</v>
      </c>
      <c r="H309" t="s">
        <v>1183</v>
      </c>
      <c r="I309" s="5" t="s">
        <v>57</v>
      </c>
      <c r="J309">
        <v>2050</v>
      </c>
      <c r="K309" s="38" t="str">
        <f t="shared" si="35"/>
        <v>*0.92</v>
      </c>
      <c r="P309" s="32" t="s">
        <v>1183</v>
      </c>
      <c r="Q309" s="42" t="s">
        <v>57</v>
      </c>
      <c r="R309" s="32">
        <v>2035</v>
      </c>
      <c r="S309" s="43" t="str">
        <f t="shared" si="36"/>
        <v>*0.95</v>
      </c>
      <c r="U309" s="32" t="s">
        <v>1183</v>
      </c>
      <c r="V309" s="42" t="s">
        <v>57</v>
      </c>
      <c r="W309" s="32">
        <v>2050</v>
      </c>
      <c r="X309" s="43" t="str">
        <f t="shared" si="37"/>
        <v>*0.92</v>
      </c>
      <c r="AC309" s="33" t="s">
        <v>1183</v>
      </c>
      <c r="AD309" s="44" t="s">
        <v>57</v>
      </c>
      <c r="AE309" s="33">
        <v>2035</v>
      </c>
      <c r="AF309" s="45" t="str">
        <f t="shared" si="38"/>
        <v>*0.93</v>
      </c>
      <c r="AG309" s="43" t="str">
        <f t="shared" si="40"/>
        <v>REZoning_Sol-Win</v>
      </c>
      <c r="AI309" s="33" t="s">
        <v>1183</v>
      </c>
      <c r="AJ309" s="44" t="s">
        <v>57</v>
      </c>
      <c r="AK309" s="33">
        <v>2050</v>
      </c>
      <c r="AL309" s="45" t="str">
        <f t="shared" si="39"/>
        <v>*0.89</v>
      </c>
      <c r="AM309" s="43" t="str">
        <f t="shared" si="41"/>
        <v>REZoning_Sol-Win</v>
      </c>
      <c r="AP309" t="s">
        <v>1183</v>
      </c>
      <c r="AQ309" t="s">
        <v>57</v>
      </c>
      <c r="AR309">
        <v>2100</v>
      </c>
      <c r="AS309" t="s">
        <v>937</v>
      </c>
      <c r="AT309" t="s">
        <v>58</v>
      </c>
    </row>
    <row r="310" ht="29" spans="1:46">
      <c r="A310" s="31" t="s">
        <v>83</v>
      </c>
      <c r="C310" t="s">
        <v>1184</v>
      </c>
      <c r="D310" s="5" t="s">
        <v>57</v>
      </c>
      <c r="E310">
        <v>2035</v>
      </c>
      <c r="F310" s="6" t="str">
        <f t="shared" si="34"/>
        <v>*0.95</v>
      </c>
      <c r="H310" t="s">
        <v>1184</v>
      </c>
      <c r="I310" s="5" t="s">
        <v>57</v>
      </c>
      <c r="J310">
        <v>2050</v>
      </c>
      <c r="K310" s="38" t="str">
        <f t="shared" si="35"/>
        <v>*0.92</v>
      </c>
      <c r="P310" s="32" t="s">
        <v>1184</v>
      </c>
      <c r="Q310" s="42" t="s">
        <v>57</v>
      </c>
      <c r="R310" s="32">
        <v>2035</v>
      </c>
      <c r="S310" s="43" t="str">
        <f t="shared" si="36"/>
        <v>*0.95</v>
      </c>
      <c r="U310" s="32" t="s">
        <v>1184</v>
      </c>
      <c r="V310" s="42" t="s">
        <v>57</v>
      </c>
      <c r="W310" s="32">
        <v>2050</v>
      </c>
      <c r="X310" s="43" t="str">
        <f t="shared" si="37"/>
        <v>*0.92</v>
      </c>
      <c r="AC310" s="33" t="s">
        <v>1184</v>
      </c>
      <c r="AD310" s="44" t="s">
        <v>57</v>
      </c>
      <c r="AE310" s="33">
        <v>2035</v>
      </c>
      <c r="AF310" s="45" t="str">
        <f t="shared" si="38"/>
        <v>*0.93</v>
      </c>
      <c r="AG310" s="43" t="str">
        <f t="shared" si="40"/>
        <v>REZoning_Sol-Win</v>
      </c>
      <c r="AI310" s="33" t="s">
        <v>1184</v>
      </c>
      <c r="AJ310" s="44" t="s">
        <v>57</v>
      </c>
      <c r="AK310" s="33">
        <v>2050</v>
      </c>
      <c r="AL310" s="45" t="str">
        <f t="shared" si="39"/>
        <v>*0.89</v>
      </c>
      <c r="AM310" s="43" t="str">
        <f t="shared" si="41"/>
        <v>REZoning_Sol-Win</v>
      </c>
      <c r="AP310" t="s">
        <v>1184</v>
      </c>
      <c r="AQ310" t="s">
        <v>57</v>
      </c>
      <c r="AR310">
        <v>2100</v>
      </c>
      <c r="AS310" t="s">
        <v>937</v>
      </c>
      <c r="AT310" t="s">
        <v>58</v>
      </c>
    </row>
    <row r="311" ht="29" spans="1:46">
      <c r="A311" s="31" t="s">
        <v>83</v>
      </c>
      <c r="C311" t="s">
        <v>1185</v>
      </c>
      <c r="D311" s="5" t="s">
        <v>57</v>
      </c>
      <c r="E311">
        <v>2035</v>
      </c>
      <c r="F311" s="6" t="str">
        <f t="shared" si="34"/>
        <v>*0.95</v>
      </c>
      <c r="H311" t="s">
        <v>1185</v>
      </c>
      <c r="I311" s="5" t="s">
        <v>57</v>
      </c>
      <c r="J311">
        <v>2050</v>
      </c>
      <c r="K311" s="38" t="str">
        <f t="shared" si="35"/>
        <v>*0.92</v>
      </c>
      <c r="P311" s="32" t="s">
        <v>1185</v>
      </c>
      <c r="Q311" s="42" t="s">
        <v>57</v>
      </c>
      <c r="R311" s="32">
        <v>2035</v>
      </c>
      <c r="S311" s="43" t="str">
        <f t="shared" si="36"/>
        <v>*0.95</v>
      </c>
      <c r="U311" s="32" t="s">
        <v>1185</v>
      </c>
      <c r="V311" s="42" t="s">
        <v>57</v>
      </c>
      <c r="W311" s="32">
        <v>2050</v>
      </c>
      <c r="X311" s="43" t="str">
        <f t="shared" si="37"/>
        <v>*0.92</v>
      </c>
      <c r="AC311" s="33" t="s">
        <v>1185</v>
      </c>
      <c r="AD311" s="44" t="s">
        <v>57</v>
      </c>
      <c r="AE311" s="33">
        <v>2035</v>
      </c>
      <c r="AF311" s="45" t="str">
        <f t="shared" si="38"/>
        <v>*0.93</v>
      </c>
      <c r="AG311" s="43" t="str">
        <f t="shared" si="40"/>
        <v>REZoning_Sol-Win</v>
      </c>
      <c r="AI311" s="33" t="s">
        <v>1185</v>
      </c>
      <c r="AJ311" s="44" t="s">
        <v>57</v>
      </c>
      <c r="AK311" s="33">
        <v>2050</v>
      </c>
      <c r="AL311" s="45" t="str">
        <f t="shared" si="39"/>
        <v>*0.89</v>
      </c>
      <c r="AM311" s="43" t="str">
        <f t="shared" si="41"/>
        <v>REZoning_Sol-Win</v>
      </c>
      <c r="AP311" t="s">
        <v>1185</v>
      </c>
      <c r="AQ311" t="s">
        <v>57</v>
      </c>
      <c r="AR311">
        <v>2100</v>
      </c>
      <c r="AS311" t="s">
        <v>937</v>
      </c>
      <c r="AT311" t="s">
        <v>58</v>
      </c>
    </row>
    <row r="312" ht="29" spans="1:46">
      <c r="A312" s="31" t="s">
        <v>83</v>
      </c>
      <c r="C312" t="s">
        <v>1186</v>
      </c>
      <c r="D312" s="5" t="s">
        <v>57</v>
      </c>
      <c r="E312">
        <v>2035</v>
      </c>
      <c r="F312" s="6" t="str">
        <f t="shared" si="34"/>
        <v>*0.95</v>
      </c>
      <c r="H312" t="s">
        <v>1186</v>
      </c>
      <c r="I312" s="5" t="s">
        <v>57</v>
      </c>
      <c r="J312">
        <v>2050</v>
      </c>
      <c r="K312" s="38" t="str">
        <f t="shared" si="35"/>
        <v>*0.92</v>
      </c>
      <c r="P312" s="32" t="s">
        <v>1186</v>
      </c>
      <c r="Q312" s="42" t="s">
        <v>57</v>
      </c>
      <c r="R312" s="32">
        <v>2035</v>
      </c>
      <c r="S312" s="43" t="str">
        <f t="shared" si="36"/>
        <v>*0.95</v>
      </c>
      <c r="U312" s="32" t="s">
        <v>1186</v>
      </c>
      <c r="V312" s="42" t="s">
        <v>57</v>
      </c>
      <c r="W312" s="32">
        <v>2050</v>
      </c>
      <c r="X312" s="43" t="str">
        <f t="shared" si="37"/>
        <v>*0.92</v>
      </c>
      <c r="AC312" s="33" t="s">
        <v>1186</v>
      </c>
      <c r="AD312" s="44" t="s">
        <v>57</v>
      </c>
      <c r="AE312" s="33">
        <v>2035</v>
      </c>
      <c r="AF312" s="45" t="str">
        <f t="shared" si="38"/>
        <v>*0.93</v>
      </c>
      <c r="AG312" s="43" t="str">
        <f t="shared" si="40"/>
        <v>REZoning_Sol-Win</v>
      </c>
      <c r="AI312" s="33" t="s">
        <v>1186</v>
      </c>
      <c r="AJ312" s="44" t="s">
        <v>57</v>
      </c>
      <c r="AK312" s="33">
        <v>2050</v>
      </c>
      <c r="AL312" s="45" t="str">
        <f t="shared" si="39"/>
        <v>*0.89</v>
      </c>
      <c r="AM312" s="43" t="str">
        <f t="shared" si="41"/>
        <v>REZoning_Sol-Win</v>
      </c>
      <c r="AP312" t="s">
        <v>1186</v>
      </c>
      <c r="AQ312" t="s">
        <v>57</v>
      </c>
      <c r="AR312">
        <v>2100</v>
      </c>
      <c r="AS312" t="s">
        <v>937</v>
      </c>
      <c r="AT312" t="s">
        <v>58</v>
      </c>
    </row>
    <row r="313" ht="29" spans="1:46">
      <c r="A313" s="31" t="s">
        <v>83</v>
      </c>
      <c r="C313" t="s">
        <v>1187</v>
      </c>
      <c r="D313" s="5" t="s">
        <v>57</v>
      </c>
      <c r="E313">
        <v>2035</v>
      </c>
      <c r="F313" s="6" t="str">
        <f t="shared" si="34"/>
        <v>*0.95</v>
      </c>
      <c r="H313" t="s">
        <v>1187</v>
      </c>
      <c r="I313" s="5" t="s">
        <v>57</v>
      </c>
      <c r="J313">
        <v>2050</v>
      </c>
      <c r="K313" s="38" t="str">
        <f t="shared" si="35"/>
        <v>*0.92</v>
      </c>
      <c r="P313" s="32" t="s">
        <v>1187</v>
      </c>
      <c r="Q313" s="42" t="s">
        <v>57</v>
      </c>
      <c r="R313" s="32">
        <v>2035</v>
      </c>
      <c r="S313" s="43" t="str">
        <f t="shared" si="36"/>
        <v>*0.95</v>
      </c>
      <c r="U313" s="32" t="s">
        <v>1187</v>
      </c>
      <c r="V313" s="42" t="s">
        <v>57</v>
      </c>
      <c r="W313" s="32">
        <v>2050</v>
      </c>
      <c r="X313" s="43" t="str">
        <f t="shared" si="37"/>
        <v>*0.92</v>
      </c>
      <c r="AC313" s="33" t="s">
        <v>1187</v>
      </c>
      <c r="AD313" s="44" t="s">
        <v>57</v>
      </c>
      <c r="AE313" s="33">
        <v>2035</v>
      </c>
      <c r="AF313" s="45" t="str">
        <f t="shared" si="38"/>
        <v>*0.93</v>
      </c>
      <c r="AG313" s="43" t="str">
        <f t="shared" si="40"/>
        <v>REZoning_Sol-Win</v>
      </c>
      <c r="AI313" s="33" t="s">
        <v>1187</v>
      </c>
      <c r="AJ313" s="44" t="s">
        <v>57</v>
      </c>
      <c r="AK313" s="33">
        <v>2050</v>
      </c>
      <c r="AL313" s="45" t="str">
        <f t="shared" si="39"/>
        <v>*0.89</v>
      </c>
      <c r="AM313" s="43" t="str">
        <f t="shared" si="41"/>
        <v>REZoning_Sol-Win</v>
      </c>
      <c r="AP313" t="s">
        <v>1187</v>
      </c>
      <c r="AQ313" t="s">
        <v>57</v>
      </c>
      <c r="AR313">
        <v>2100</v>
      </c>
      <c r="AS313" t="s">
        <v>937</v>
      </c>
      <c r="AT313" t="s">
        <v>58</v>
      </c>
    </row>
    <row r="314" ht="29" spans="1:46">
      <c r="A314" s="31" t="s">
        <v>83</v>
      </c>
      <c r="C314" t="s">
        <v>1188</v>
      </c>
      <c r="D314" s="5" t="s">
        <v>57</v>
      </c>
      <c r="E314">
        <v>2035</v>
      </c>
      <c r="F314" s="6" t="str">
        <f t="shared" si="34"/>
        <v>*0.95</v>
      </c>
      <c r="H314" t="s">
        <v>1188</v>
      </c>
      <c r="I314" s="5" t="s">
        <v>57</v>
      </c>
      <c r="J314">
        <v>2050</v>
      </c>
      <c r="K314" s="38" t="str">
        <f t="shared" si="35"/>
        <v>*0.92</v>
      </c>
      <c r="P314" s="32" t="s">
        <v>1188</v>
      </c>
      <c r="Q314" s="42" t="s">
        <v>57</v>
      </c>
      <c r="R314" s="32">
        <v>2035</v>
      </c>
      <c r="S314" s="43" t="str">
        <f t="shared" si="36"/>
        <v>*0.95</v>
      </c>
      <c r="U314" s="32" t="s">
        <v>1188</v>
      </c>
      <c r="V314" s="42" t="s">
        <v>57</v>
      </c>
      <c r="W314" s="32">
        <v>2050</v>
      </c>
      <c r="X314" s="43" t="str">
        <f t="shared" si="37"/>
        <v>*0.92</v>
      </c>
      <c r="AC314" s="33" t="s">
        <v>1188</v>
      </c>
      <c r="AD314" s="44" t="s">
        <v>57</v>
      </c>
      <c r="AE314" s="33">
        <v>2035</v>
      </c>
      <c r="AF314" s="45" t="str">
        <f t="shared" si="38"/>
        <v>*0.93</v>
      </c>
      <c r="AG314" s="43" t="str">
        <f t="shared" si="40"/>
        <v>REZoning_Sol-Win</v>
      </c>
      <c r="AI314" s="33" t="s">
        <v>1188</v>
      </c>
      <c r="AJ314" s="44" t="s">
        <v>57</v>
      </c>
      <c r="AK314" s="33">
        <v>2050</v>
      </c>
      <c r="AL314" s="45" t="str">
        <f t="shared" si="39"/>
        <v>*0.89</v>
      </c>
      <c r="AM314" s="43" t="str">
        <f t="shared" si="41"/>
        <v>REZoning_Sol-Win</v>
      </c>
      <c r="AP314" t="s">
        <v>1188</v>
      </c>
      <c r="AQ314" t="s">
        <v>57</v>
      </c>
      <c r="AR314">
        <v>2100</v>
      </c>
      <c r="AS314" t="s">
        <v>937</v>
      </c>
      <c r="AT314" t="s">
        <v>58</v>
      </c>
    </row>
    <row r="315" ht="29" spans="1:46">
      <c r="A315" s="31" t="s">
        <v>83</v>
      </c>
      <c r="C315" t="s">
        <v>1189</v>
      </c>
      <c r="D315" s="5" t="s">
        <v>57</v>
      </c>
      <c r="E315">
        <v>2035</v>
      </c>
      <c r="F315" s="6" t="str">
        <f t="shared" si="34"/>
        <v>*0.95</v>
      </c>
      <c r="H315" t="s">
        <v>1189</v>
      </c>
      <c r="I315" s="5" t="s">
        <v>57</v>
      </c>
      <c r="J315">
        <v>2050</v>
      </c>
      <c r="K315" s="38" t="str">
        <f t="shared" si="35"/>
        <v>*0.92</v>
      </c>
      <c r="P315" s="32" t="s">
        <v>1189</v>
      </c>
      <c r="Q315" s="42" t="s">
        <v>57</v>
      </c>
      <c r="R315" s="32">
        <v>2035</v>
      </c>
      <c r="S315" s="43" t="str">
        <f t="shared" si="36"/>
        <v>*0.95</v>
      </c>
      <c r="U315" s="32" t="s">
        <v>1189</v>
      </c>
      <c r="V315" s="42" t="s">
        <v>57</v>
      </c>
      <c r="W315" s="32">
        <v>2050</v>
      </c>
      <c r="X315" s="43" t="str">
        <f t="shared" si="37"/>
        <v>*0.92</v>
      </c>
      <c r="AC315" s="33" t="s">
        <v>1189</v>
      </c>
      <c r="AD315" s="44" t="s">
        <v>57</v>
      </c>
      <c r="AE315" s="33">
        <v>2035</v>
      </c>
      <c r="AF315" s="45" t="str">
        <f t="shared" si="38"/>
        <v>*0.93</v>
      </c>
      <c r="AG315" s="43" t="str">
        <f t="shared" si="40"/>
        <v>REZoning_Sol-Win</v>
      </c>
      <c r="AI315" s="33" t="s">
        <v>1189</v>
      </c>
      <c r="AJ315" s="44" t="s">
        <v>57</v>
      </c>
      <c r="AK315" s="33">
        <v>2050</v>
      </c>
      <c r="AL315" s="45" t="str">
        <f t="shared" si="39"/>
        <v>*0.89</v>
      </c>
      <c r="AM315" s="43" t="str">
        <f t="shared" si="41"/>
        <v>REZoning_Sol-Win</v>
      </c>
      <c r="AP315" t="s">
        <v>1189</v>
      </c>
      <c r="AQ315" t="s">
        <v>57</v>
      </c>
      <c r="AR315">
        <v>2100</v>
      </c>
      <c r="AS315" t="s">
        <v>937</v>
      </c>
      <c r="AT315" t="s">
        <v>58</v>
      </c>
    </row>
    <row r="316" ht="29" spans="1:46">
      <c r="A316" s="31" t="s">
        <v>83</v>
      </c>
      <c r="C316" t="s">
        <v>1190</v>
      </c>
      <c r="D316" s="5" t="s">
        <v>57</v>
      </c>
      <c r="E316">
        <v>2035</v>
      </c>
      <c r="F316" s="6" t="str">
        <f t="shared" si="34"/>
        <v>*0.95</v>
      </c>
      <c r="H316" t="s">
        <v>1190</v>
      </c>
      <c r="I316" s="5" t="s">
        <v>57</v>
      </c>
      <c r="J316">
        <v>2050</v>
      </c>
      <c r="K316" s="38" t="str">
        <f t="shared" si="35"/>
        <v>*0.92</v>
      </c>
      <c r="P316" s="32" t="s">
        <v>1190</v>
      </c>
      <c r="Q316" s="42" t="s">
        <v>57</v>
      </c>
      <c r="R316" s="32">
        <v>2035</v>
      </c>
      <c r="S316" s="43" t="str">
        <f t="shared" si="36"/>
        <v>*0.95</v>
      </c>
      <c r="U316" s="32" t="s">
        <v>1190</v>
      </c>
      <c r="V316" s="42" t="s">
        <v>57</v>
      </c>
      <c r="W316" s="32">
        <v>2050</v>
      </c>
      <c r="X316" s="43" t="str">
        <f t="shared" si="37"/>
        <v>*0.92</v>
      </c>
      <c r="AC316" s="33" t="s">
        <v>1190</v>
      </c>
      <c r="AD316" s="44" t="s">
        <v>57</v>
      </c>
      <c r="AE316" s="33">
        <v>2035</v>
      </c>
      <c r="AF316" s="45" t="str">
        <f t="shared" si="38"/>
        <v>*0.93</v>
      </c>
      <c r="AG316" s="43" t="str">
        <f t="shared" si="40"/>
        <v>REZoning_Sol-Win</v>
      </c>
      <c r="AI316" s="33" t="s">
        <v>1190</v>
      </c>
      <c r="AJ316" s="44" t="s">
        <v>57</v>
      </c>
      <c r="AK316" s="33">
        <v>2050</v>
      </c>
      <c r="AL316" s="45" t="str">
        <f t="shared" si="39"/>
        <v>*0.89</v>
      </c>
      <c r="AM316" s="43" t="str">
        <f t="shared" si="41"/>
        <v>REZoning_Sol-Win</v>
      </c>
      <c r="AP316" t="s">
        <v>1190</v>
      </c>
      <c r="AQ316" t="s">
        <v>57</v>
      </c>
      <c r="AR316">
        <v>2100</v>
      </c>
      <c r="AS316" t="s">
        <v>937</v>
      </c>
      <c r="AT316" t="s">
        <v>58</v>
      </c>
    </row>
    <row r="317" ht="29" spans="1:46">
      <c r="A317" s="31" t="s">
        <v>83</v>
      </c>
      <c r="C317" t="s">
        <v>1191</v>
      </c>
      <c r="D317" s="5" t="s">
        <v>57</v>
      </c>
      <c r="E317">
        <v>2035</v>
      </c>
      <c r="F317" s="6" t="str">
        <f t="shared" si="34"/>
        <v>*0.95</v>
      </c>
      <c r="H317" t="s">
        <v>1191</v>
      </c>
      <c r="I317" s="5" t="s">
        <v>57</v>
      </c>
      <c r="J317">
        <v>2050</v>
      </c>
      <c r="K317" s="38" t="str">
        <f t="shared" si="35"/>
        <v>*0.92</v>
      </c>
      <c r="P317" s="32" t="s">
        <v>1191</v>
      </c>
      <c r="Q317" s="42" t="s">
        <v>57</v>
      </c>
      <c r="R317" s="32">
        <v>2035</v>
      </c>
      <c r="S317" s="43" t="str">
        <f t="shared" si="36"/>
        <v>*0.95</v>
      </c>
      <c r="U317" s="32" t="s">
        <v>1191</v>
      </c>
      <c r="V317" s="42" t="s">
        <v>57</v>
      </c>
      <c r="W317" s="32">
        <v>2050</v>
      </c>
      <c r="X317" s="43" t="str">
        <f t="shared" si="37"/>
        <v>*0.92</v>
      </c>
      <c r="AC317" s="33" t="s">
        <v>1191</v>
      </c>
      <c r="AD317" s="44" t="s">
        <v>57</v>
      </c>
      <c r="AE317" s="33">
        <v>2035</v>
      </c>
      <c r="AF317" s="45" t="str">
        <f t="shared" si="38"/>
        <v>*0.93</v>
      </c>
      <c r="AG317" s="43" t="str">
        <f t="shared" si="40"/>
        <v>REZoning_Sol-Win</v>
      </c>
      <c r="AI317" s="33" t="s">
        <v>1191</v>
      </c>
      <c r="AJ317" s="44" t="s">
        <v>57</v>
      </c>
      <c r="AK317" s="33">
        <v>2050</v>
      </c>
      <c r="AL317" s="45" t="str">
        <f t="shared" si="39"/>
        <v>*0.89</v>
      </c>
      <c r="AM317" s="43" t="str">
        <f t="shared" si="41"/>
        <v>REZoning_Sol-Win</v>
      </c>
      <c r="AP317" t="s">
        <v>1191</v>
      </c>
      <c r="AQ317" t="s">
        <v>57</v>
      </c>
      <c r="AR317">
        <v>2100</v>
      </c>
      <c r="AS317" t="s">
        <v>937</v>
      </c>
      <c r="AT317" t="s">
        <v>58</v>
      </c>
    </row>
    <row r="318" ht="29" spans="1:46">
      <c r="A318" s="31" t="s">
        <v>83</v>
      </c>
      <c r="C318" t="s">
        <v>1192</v>
      </c>
      <c r="D318" s="5" t="s">
        <v>57</v>
      </c>
      <c r="E318">
        <v>2035</v>
      </c>
      <c r="F318" s="6" t="str">
        <f t="shared" si="34"/>
        <v>*0.95</v>
      </c>
      <c r="H318" t="s">
        <v>1192</v>
      </c>
      <c r="I318" s="5" t="s">
        <v>57</v>
      </c>
      <c r="J318">
        <v>2050</v>
      </c>
      <c r="K318" s="38" t="str">
        <f t="shared" si="35"/>
        <v>*0.92</v>
      </c>
      <c r="P318" s="32" t="s">
        <v>1192</v>
      </c>
      <c r="Q318" s="42" t="s">
        <v>57</v>
      </c>
      <c r="R318" s="32">
        <v>2035</v>
      </c>
      <c r="S318" s="43" t="str">
        <f t="shared" si="36"/>
        <v>*0.95</v>
      </c>
      <c r="U318" s="32" t="s">
        <v>1192</v>
      </c>
      <c r="V318" s="42" t="s">
        <v>57</v>
      </c>
      <c r="W318" s="32">
        <v>2050</v>
      </c>
      <c r="X318" s="43" t="str">
        <f t="shared" si="37"/>
        <v>*0.92</v>
      </c>
      <c r="AC318" s="33" t="s">
        <v>1192</v>
      </c>
      <c r="AD318" s="44" t="s">
        <v>57</v>
      </c>
      <c r="AE318" s="33">
        <v>2035</v>
      </c>
      <c r="AF318" s="45" t="str">
        <f t="shared" si="38"/>
        <v>*0.93</v>
      </c>
      <c r="AG318" s="43" t="str">
        <f t="shared" si="40"/>
        <v>REZoning_Sol-Win</v>
      </c>
      <c r="AI318" s="33" t="s">
        <v>1192</v>
      </c>
      <c r="AJ318" s="44" t="s">
        <v>57</v>
      </c>
      <c r="AK318" s="33">
        <v>2050</v>
      </c>
      <c r="AL318" s="45" t="str">
        <f t="shared" si="39"/>
        <v>*0.89</v>
      </c>
      <c r="AM318" s="43" t="str">
        <f t="shared" si="41"/>
        <v>REZoning_Sol-Win</v>
      </c>
      <c r="AP318" t="s">
        <v>1192</v>
      </c>
      <c r="AQ318" t="s">
        <v>57</v>
      </c>
      <c r="AR318">
        <v>2100</v>
      </c>
      <c r="AS318" t="s">
        <v>937</v>
      </c>
      <c r="AT318" t="s">
        <v>58</v>
      </c>
    </row>
    <row r="319" ht="29" spans="1:46">
      <c r="A319" s="31" t="s">
        <v>83</v>
      </c>
      <c r="C319" t="s">
        <v>1193</v>
      </c>
      <c r="D319" s="5" t="s">
        <v>57</v>
      </c>
      <c r="E319">
        <v>2035</v>
      </c>
      <c r="F319" s="6" t="str">
        <f t="shared" si="34"/>
        <v>*0.95</v>
      </c>
      <c r="H319" t="s">
        <v>1193</v>
      </c>
      <c r="I319" s="5" t="s">
        <v>57</v>
      </c>
      <c r="J319">
        <v>2050</v>
      </c>
      <c r="K319" s="38" t="str">
        <f t="shared" si="35"/>
        <v>*0.92</v>
      </c>
      <c r="P319" s="32" t="s">
        <v>1193</v>
      </c>
      <c r="Q319" s="42" t="s">
        <v>57</v>
      </c>
      <c r="R319" s="32">
        <v>2035</v>
      </c>
      <c r="S319" s="43" t="str">
        <f t="shared" si="36"/>
        <v>*0.95</v>
      </c>
      <c r="U319" s="32" t="s">
        <v>1193</v>
      </c>
      <c r="V319" s="42" t="s">
        <v>57</v>
      </c>
      <c r="W319" s="32">
        <v>2050</v>
      </c>
      <c r="X319" s="43" t="str">
        <f t="shared" si="37"/>
        <v>*0.92</v>
      </c>
      <c r="AC319" s="33" t="s">
        <v>1193</v>
      </c>
      <c r="AD319" s="44" t="s">
        <v>57</v>
      </c>
      <c r="AE319" s="33">
        <v>2035</v>
      </c>
      <c r="AF319" s="45" t="str">
        <f t="shared" si="38"/>
        <v>*0.93</v>
      </c>
      <c r="AG319" s="43" t="str">
        <f t="shared" si="40"/>
        <v>REZoning_Sol-Win</v>
      </c>
      <c r="AI319" s="33" t="s">
        <v>1193</v>
      </c>
      <c r="AJ319" s="44" t="s">
        <v>57</v>
      </c>
      <c r="AK319" s="33">
        <v>2050</v>
      </c>
      <c r="AL319" s="45" t="str">
        <f t="shared" si="39"/>
        <v>*0.89</v>
      </c>
      <c r="AM319" s="43" t="str">
        <f t="shared" si="41"/>
        <v>REZoning_Sol-Win</v>
      </c>
      <c r="AP319" t="s">
        <v>1193</v>
      </c>
      <c r="AQ319" t="s">
        <v>57</v>
      </c>
      <c r="AR319">
        <v>2100</v>
      </c>
      <c r="AS319" t="s">
        <v>937</v>
      </c>
      <c r="AT319" t="s">
        <v>58</v>
      </c>
    </row>
    <row r="320" ht="29" spans="1:46">
      <c r="A320" s="31" t="s">
        <v>83</v>
      </c>
      <c r="C320" t="s">
        <v>1194</v>
      </c>
      <c r="D320" s="5" t="s">
        <v>57</v>
      </c>
      <c r="E320">
        <v>2035</v>
      </c>
      <c r="F320" s="6" t="str">
        <f t="shared" si="34"/>
        <v>*0.95</v>
      </c>
      <c r="H320" t="s">
        <v>1194</v>
      </c>
      <c r="I320" s="5" t="s">
        <v>57</v>
      </c>
      <c r="J320">
        <v>2050</v>
      </c>
      <c r="K320" s="38" t="str">
        <f t="shared" si="35"/>
        <v>*0.92</v>
      </c>
      <c r="P320" s="32" t="s">
        <v>1194</v>
      </c>
      <c r="Q320" s="42" t="s">
        <v>57</v>
      </c>
      <c r="R320" s="32">
        <v>2035</v>
      </c>
      <c r="S320" s="43" t="str">
        <f t="shared" si="36"/>
        <v>*0.95</v>
      </c>
      <c r="U320" s="32" t="s">
        <v>1194</v>
      </c>
      <c r="V320" s="42" t="s">
        <v>57</v>
      </c>
      <c r="W320" s="32">
        <v>2050</v>
      </c>
      <c r="X320" s="43" t="str">
        <f t="shared" si="37"/>
        <v>*0.92</v>
      </c>
      <c r="AC320" s="33" t="s">
        <v>1194</v>
      </c>
      <c r="AD320" s="44" t="s">
        <v>57</v>
      </c>
      <c r="AE320" s="33">
        <v>2035</v>
      </c>
      <c r="AF320" s="45" t="str">
        <f t="shared" si="38"/>
        <v>*0.93</v>
      </c>
      <c r="AG320" s="43" t="str">
        <f t="shared" si="40"/>
        <v>REZoning_Sol-Win</v>
      </c>
      <c r="AI320" s="33" t="s">
        <v>1194</v>
      </c>
      <c r="AJ320" s="44" t="s">
        <v>57</v>
      </c>
      <c r="AK320" s="33">
        <v>2050</v>
      </c>
      <c r="AL320" s="45" t="str">
        <f t="shared" si="39"/>
        <v>*0.89</v>
      </c>
      <c r="AM320" s="43" t="str">
        <f t="shared" si="41"/>
        <v>REZoning_Sol-Win</v>
      </c>
      <c r="AP320" t="s">
        <v>1194</v>
      </c>
      <c r="AQ320" t="s">
        <v>57</v>
      </c>
      <c r="AR320">
        <v>2100</v>
      </c>
      <c r="AS320" t="s">
        <v>937</v>
      </c>
      <c r="AT320" t="s">
        <v>58</v>
      </c>
    </row>
    <row r="321" ht="29" spans="1:46">
      <c r="A321" s="31" t="s">
        <v>83</v>
      </c>
      <c r="C321" t="s">
        <v>1195</v>
      </c>
      <c r="D321" s="5" t="s">
        <v>57</v>
      </c>
      <c r="E321">
        <v>2035</v>
      </c>
      <c r="F321" s="6" t="str">
        <f t="shared" si="34"/>
        <v>*0.95</v>
      </c>
      <c r="H321" t="s">
        <v>1195</v>
      </c>
      <c r="I321" s="5" t="s">
        <v>57</v>
      </c>
      <c r="J321">
        <v>2050</v>
      </c>
      <c r="K321" s="38" t="str">
        <f t="shared" si="35"/>
        <v>*0.92</v>
      </c>
      <c r="P321" s="32" t="s">
        <v>1195</v>
      </c>
      <c r="Q321" s="42" t="s">
        <v>57</v>
      </c>
      <c r="R321" s="32">
        <v>2035</v>
      </c>
      <c r="S321" s="43" t="str">
        <f t="shared" si="36"/>
        <v>*0.95</v>
      </c>
      <c r="U321" s="32" t="s">
        <v>1195</v>
      </c>
      <c r="V321" s="42" t="s">
        <v>57</v>
      </c>
      <c r="W321" s="32">
        <v>2050</v>
      </c>
      <c r="X321" s="43" t="str">
        <f t="shared" si="37"/>
        <v>*0.92</v>
      </c>
      <c r="AC321" s="33" t="s">
        <v>1195</v>
      </c>
      <c r="AD321" s="44" t="s">
        <v>57</v>
      </c>
      <c r="AE321" s="33">
        <v>2035</v>
      </c>
      <c r="AF321" s="45" t="str">
        <f t="shared" si="38"/>
        <v>*0.93</v>
      </c>
      <c r="AG321" s="43" t="str">
        <f t="shared" si="40"/>
        <v>REZoning_Sol-Win</v>
      </c>
      <c r="AI321" s="33" t="s">
        <v>1195</v>
      </c>
      <c r="AJ321" s="44" t="s">
        <v>57</v>
      </c>
      <c r="AK321" s="33">
        <v>2050</v>
      </c>
      <c r="AL321" s="45" t="str">
        <f t="shared" si="39"/>
        <v>*0.89</v>
      </c>
      <c r="AM321" s="43" t="str">
        <f t="shared" si="41"/>
        <v>REZoning_Sol-Win</v>
      </c>
      <c r="AP321" t="s">
        <v>1195</v>
      </c>
      <c r="AQ321" t="s">
        <v>57</v>
      </c>
      <c r="AR321">
        <v>2100</v>
      </c>
      <c r="AS321" t="s">
        <v>937</v>
      </c>
      <c r="AT321" t="s">
        <v>58</v>
      </c>
    </row>
    <row r="322" ht="29" spans="1:46">
      <c r="A322" s="31" t="s">
        <v>83</v>
      </c>
      <c r="C322" t="s">
        <v>1196</v>
      </c>
      <c r="D322" s="5" t="s">
        <v>57</v>
      </c>
      <c r="E322">
        <v>2035</v>
      </c>
      <c r="F322" s="6" t="str">
        <f t="shared" si="34"/>
        <v>*0.95</v>
      </c>
      <c r="H322" t="s">
        <v>1196</v>
      </c>
      <c r="I322" s="5" t="s">
        <v>57</v>
      </c>
      <c r="J322">
        <v>2050</v>
      </c>
      <c r="K322" s="38" t="str">
        <f t="shared" si="35"/>
        <v>*0.92</v>
      </c>
      <c r="P322" s="32" t="s">
        <v>1196</v>
      </c>
      <c r="Q322" s="42" t="s">
        <v>57</v>
      </c>
      <c r="R322" s="32">
        <v>2035</v>
      </c>
      <c r="S322" s="43" t="str">
        <f t="shared" si="36"/>
        <v>*0.95</v>
      </c>
      <c r="U322" s="32" t="s">
        <v>1196</v>
      </c>
      <c r="V322" s="42" t="s">
        <v>57</v>
      </c>
      <c r="W322" s="32">
        <v>2050</v>
      </c>
      <c r="X322" s="43" t="str">
        <f t="shared" si="37"/>
        <v>*0.92</v>
      </c>
      <c r="AC322" s="33" t="s">
        <v>1196</v>
      </c>
      <c r="AD322" s="44" t="s">
        <v>57</v>
      </c>
      <c r="AE322" s="33">
        <v>2035</v>
      </c>
      <c r="AF322" s="45" t="str">
        <f t="shared" si="38"/>
        <v>*0.93</v>
      </c>
      <c r="AG322" s="43" t="str">
        <f t="shared" si="40"/>
        <v>REZoning_Sol-Win</v>
      </c>
      <c r="AI322" s="33" t="s">
        <v>1196</v>
      </c>
      <c r="AJ322" s="44" t="s">
        <v>57</v>
      </c>
      <c r="AK322" s="33">
        <v>2050</v>
      </c>
      <c r="AL322" s="45" t="str">
        <f t="shared" si="39"/>
        <v>*0.89</v>
      </c>
      <c r="AM322" s="43" t="str">
        <f t="shared" si="41"/>
        <v>REZoning_Sol-Win</v>
      </c>
      <c r="AP322" t="s">
        <v>1196</v>
      </c>
      <c r="AQ322" t="s">
        <v>57</v>
      </c>
      <c r="AR322">
        <v>2100</v>
      </c>
      <c r="AS322" t="s">
        <v>937</v>
      </c>
      <c r="AT322" t="s">
        <v>58</v>
      </c>
    </row>
    <row r="323" ht="29" spans="1:46">
      <c r="A323" s="31" t="s">
        <v>83</v>
      </c>
      <c r="C323" t="s">
        <v>1197</v>
      </c>
      <c r="D323" s="5" t="s">
        <v>57</v>
      </c>
      <c r="E323">
        <v>2035</v>
      </c>
      <c r="F323" s="6" t="str">
        <f t="shared" si="34"/>
        <v>*0.95</v>
      </c>
      <c r="H323" t="s">
        <v>1197</v>
      </c>
      <c r="I323" s="5" t="s">
        <v>57</v>
      </c>
      <c r="J323">
        <v>2050</v>
      </c>
      <c r="K323" s="38" t="str">
        <f t="shared" si="35"/>
        <v>*0.92</v>
      </c>
      <c r="P323" s="32" t="s">
        <v>1197</v>
      </c>
      <c r="Q323" s="42" t="s">
        <v>57</v>
      </c>
      <c r="R323" s="32">
        <v>2035</v>
      </c>
      <c r="S323" s="43" t="str">
        <f t="shared" si="36"/>
        <v>*0.95</v>
      </c>
      <c r="U323" s="32" t="s">
        <v>1197</v>
      </c>
      <c r="V323" s="42" t="s">
        <v>57</v>
      </c>
      <c r="W323" s="32">
        <v>2050</v>
      </c>
      <c r="X323" s="43" t="str">
        <f t="shared" si="37"/>
        <v>*0.92</v>
      </c>
      <c r="AC323" s="33" t="s">
        <v>1197</v>
      </c>
      <c r="AD323" s="44" t="s">
        <v>57</v>
      </c>
      <c r="AE323" s="33">
        <v>2035</v>
      </c>
      <c r="AF323" s="45" t="str">
        <f t="shared" si="38"/>
        <v>*0.93</v>
      </c>
      <c r="AG323" s="43" t="str">
        <f t="shared" si="40"/>
        <v>REZoning_Sol-Win</v>
      </c>
      <c r="AI323" s="33" t="s">
        <v>1197</v>
      </c>
      <c r="AJ323" s="44" t="s">
        <v>57</v>
      </c>
      <c r="AK323" s="33">
        <v>2050</v>
      </c>
      <c r="AL323" s="45" t="str">
        <f t="shared" si="39"/>
        <v>*0.89</v>
      </c>
      <c r="AM323" s="43" t="str">
        <f t="shared" si="41"/>
        <v>REZoning_Sol-Win</v>
      </c>
      <c r="AP323" t="s">
        <v>1197</v>
      </c>
      <c r="AQ323" t="s">
        <v>57</v>
      </c>
      <c r="AR323">
        <v>2100</v>
      </c>
      <c r="AS323" t="s">
        <v>937</v>
      </c>
      <c r="AT323" t="s">
        <v>58</v>
      </c>
    </row>
    <row r="324" ht="29" spans="1:46">
      <c r="A324" s="31" t="s">
        <v>83</v>
      </c>
      <c r="C324" t="s">
        <v>1198</v>
      </c>
      <c r="D324" s="5" t="s">
        <v>57</v>
      </c>
      <c r="E324">
        <v>2035</v>
      </c>
      <c r="F324" s="6" t="str">
        <f t="shared" ref="F324:F387" si="42">"*"&amp;IF(AND(A324="EU",E324=2035),0.95,IF(AND(A324="EU",E324=2050),0.93,IF(AND(A324="USA",E324=2035),0.96,IF(AND(A324="USA",E324=2050),0.94,IF(AND(A324="Japan",E324=2035),0.94,IF(AND(A324="Japan",E324=2050),0.92,IF(AND(A324="Russia",E324=2035),0.95,IF(AND(A324="Russia",E324=2050),0.93,IF(AND(A324="China",E324=2035),0.94,IF(AND(A324="China",E324=2050),0.92,IF(AND(A324="India",E324=2035),0.95,IF(AND(A324="India",E324=2050),0.92,IF(AND(A324="Middle East",E324=2035),0.94,IF(AND(A324="Middle East",E324=2050),0.9,IF(AND(A324="Africa",E324=2035),0.94,IF(AND(A324="Africa",E324=2050),0.91,IF(AND(A324="Brazil",E324=2035),0.95,IF(AND(A324="Brazil",E324=2050),0.92,""))))))))))))))))))</f>
        <v>*0.95</v>
      </c>
      <c r="H324" t="s">
        <v>1198</v>
      </c>
      <c r="I324" s="5" t="s">
        <v>57</v>
      </c>
      <c r="J324">
        <v>2050</v>
      </c>
      <c r="K324" s="38" t="str">
        <f t="shared" ref="K324:K387" si="43">"*"&amp;IF(AND(A324="EU",J324=2035),0.95,IF(AND(A324="EU",J324=2050),0.93,IF(AND(A324="USA",J324=2035),0.96,IF(AND(A324="USA",J324=2050),0.94,IF(AND(A324="Japan",J324=2035),0.94,IF(AND(A324="Japan",J324=2050),0.92,IF(AND(A324="Russia",J324=2035),0.95,IF(AND(A324="Russia",J324=2050),0.93,IF(AND(A324="China",J324=2035),0.94,IF(AND(A324="China",J324=2050),0.92,IF(AND(A324="India",J324=2035),0.95,IF(AND(A324="India",J324=2050),0.92,IF(AND(A324="Middle East",J324=2035),0.94,IF(AND(A324="Middle East",J324=2050),0.9,IF(AND(A324="Africa",J324=2035),0.94,IF(AND(A324="Africa",J324=2050),0.91,IF(AND(A324="Brazil",J324=2035),0.95,IF(AND(A324="Brazil",J324=2050),0.92,""))))))))))))))))))</f>
        <v>*0.92</v>
      </c>
      <c r="P324" s="32" t="s">
        <v>1198</v>
      </c>
      <c r="Q324" s="42" t="s">
        <v>57</v>
      </c>
      <c r="R324" s="32">
        <v>2035</v>
      </c>
      <c r="S324" s="43" t="str">
        <f t="shared" ref="S324:S387" si="44">"*"&amp;IF(AND(A324="EU",R324=2035),0.95,IF(AND(A324="EU",R324=2050),0.93,IF(AND(A324="USA",R324=2035),0.96,IF(AND(A324="USA",R324=2050),0.93,IF(AND(A324="Japan",R324=2035),0.94,IF(AND(A324="Japan",R324=2050),0.92,IF(AND(A324="Russia",R324=2035),0.95,IF(AND(A324="Russia",R324=2050),0.91,IF(AND(A324="China",R324=2035),0.93,IF(AND(A324="China",R324=2050),0.92,IF(AND(A324="India",R324=2035),0.94,IF(AND(A324="India",R324=2050),0.91,IF(AND(A324="Middle East",R324=2035),0.92,IF(AND(A324="Middle East",R324=2050),0.89,IF(AND(A324="Africa",R324=2035),0.93,IF(AND(A324="Africa",R324=2050),0.9,IF(AND(A324="Brazil",R324=2035),0.95,IF(AND(A324="Brazil",R324=2050),0.92,""))))))))))))))))))</f>
        <v>*0.95</v>
      </c>
      <c r="U324" s="32" t="s">
        <v>1198</v>
      </c>
      <c r="V324" s="42" t="s">
        <v>57</v>
      </c>
      <c r="W324" s="32">
        <v>2050</v>
      </c>
      <c r="X324" s="43" t="str">
        <f t="shared" ref="X324:X387" si="45">"*"&amp;IF(AND(A324="EU",W324=2035),0.95,IF(AND(A324="EU",W324=2050),0.93,IF(AND(A324="USA",W324=2035),0.96,IF(AND(A324="USA",W324=2050),0.93,IF(AND(A324="Japan",W324=2035),0.94,IF(AND(A324="Japan",W324=2050),0.92,IF(AND(A324="Russia",W324=2035),0.95,IF(AND(A324="Russia",W324=2050),0.91,IF(AND(A324="China",W324=2035),0.93,IF(AND(A324="China",W324=2050),0.92,IF(AND(A324="India",W324=2035),0.94,IF(AND(A324="India",W324=2050),0.91,IF(AND(A324="Middle East",W324=2035),0.92,IF(AND(A324="Middle East",W324=2050),0.89,IF(AND(A324="Africa",W324=2035),0.93,IF(AND(A324="Africa",W324=2050),0.9,IF(AND(A324="Brazil",W324=2035),0.95,IF(AND(A324="Brazil",W324=2050),0.92,""))))))))))))))))))</f>
        <v>*0.92</v>
      </c>
      <c r="AC324" s="33" t="s">
        <v>1198</v>
      </c>
      <c r="AD324" s="44" t="s">
        <v>57</v>
      </c>
      <c r="AE324" s="33">
        <v>2035</v>
      </c>
      <c r="AF324" s="45" t="str">
        <f t="shared" ref="AF324:AF387" si="46">"*"&amp;IF(AND(A324="EU",AE324=2035),0.93,IF(AND(A324="EU",AE324=2050),0.9,IF(AND(A324="USA",AE324=2035),0.92,IF(AND(A324="USA",AE324=2050),0.89,IF(AND(A324="Japan",AE324=2035),0.92,IF(AND(A324="Japan",AE324=2050),0.89,IF(AND(A324="Russia",AE324=2035),0.91,IF(AND(A324="Russia",AE324=2050),0.86,IF(AND(A324="China",AE324=2035),0.91,IF(AND(A324="China",AE324=2050),0.87,IF(AND(A324="India",AE324=2035),0.92,IF(AND(A324="India",AE324=2050),0.87,IF(AND(A324="Middle East",AE324=2035),0.89,IF(AND(A324="Middle East",AE324=2050),0.84,IF(AND(A324="Africa",AE324=2035),0.9,IF(AND(A324="Africa",AE324=2050),0.86,IF(AND(A324="Brazil",AE324=2035),0.93,IF(AND(A324="Brazil",AE324=2050),0.89,""))))))))))))))))))</f>
        <v>*0.93</v>
      </c>
      <c r="AG324" s="43" t="str">
        <f t="shared" si="40"/>
        <v>REZoning_Sol-Win</v>
      </c>
      <c r="AI324" s="33" t="s">
        <v>1198</v>
      </c>
      <c r="AJ324" s="44" t="s">
        <v>57</v>
      </c>
      <c r="AK324" s="33">
        <v>2050</v>
      </c>
      <c r="AL324" s="45" t="str">
        <f t="shared" ref="AL324:AL387" si="47">"*"&amp;IF(AND(A324="EU",AK324=2035),0.93,IF(AND(A324="EU",AK324=2050),0.9,IF(AND(A324="USA",AK324=2035),0.92,IF(AND(A324="USA",AK324=2050),0.89,IF(AND(A324="Japan",AK324=2035),0.92,IF(AND(A324="Japan",AK324=2050),0.89,IF(AND(A324="Russia",AK324=2035),0.91,IF(AND(A324="Russia",AK324=2050),0.86,IF(AND(A324="China",AK324=2035),0.91,IF(AND(A324="China",AK324=2050),0.87,IF(AND(A324="India",AK324=2035),0.92,IF(AND(A324="India",AK324=2050),0.87,IF(AND(A324="Middle East",AK324=2035),0.89,IF(AND(A324="Middle East",AK324=2050),0.84,IF(AND(A324="Africa",AK324=2035),0.9,IF(AND(A324="Africa",AK324=2050),0.86,IF(AND(A324="Brazil",AK324=2035),0.93,IF(AND(A324="Brazil",AK324=2050),0.89,""))))))))))))))))))</f>
        <v>*0.89</v>
      </c>
      <c r="AM324" s="43" t="str">
        <f t="shared" si="41"/>
        <v>REZoning_Sol-Win</v>
      </c>
      <c r="AP324" t="s">
        <v>1198</v>
      </c>
      <c r="AQ324" t="s">
        <v>57</v>
      </c>
      <c r="AR324">
        <v>2100</v>
      </c>
      <c r="AS324" t="s">
        <v>937</v>
      </c>
      <c r="AT324" t="s">
        <v>58</v>
      </c>
    </row>
    <row r="325" ht="29" spans="1:46">
      <c r="A325" s="31" t="s">
        <v>83</v>
      </c>
      <c r="C325" t="s">
        <v>1199</v>
      </c>
      <c r="D325" s="5" t="s">
        <v>57</v>
      </c>
      <c r="E325">
        <v>2035</v>
      </c>
      <c r="F325" s="6" t="str">
        <f t="shared" si="42"/>
        <v>*0.95</v>
      </c>
      <c r="H325" t="s">
        <v>1199</v>
      </c>
      <c r="I325" s="5" t="s">
        <v>57</v>
      </c>
      <c r="J325">
        <v>2050</v>
      </c>
      <c r="K325" s="38" t="str">
        <f t="shared" si="43"/>
        <v>*0.92</v>
      </c>
      <c r="P325" s="32" t="s">
        <v>1199</v>
      </c>
      <c r="Q325" s="42" t="s">
        <v>57</v>
      </c>
      <c r="R325" s="32">
        <v>2035</v>
      </c>
      <c r="S325" s="43" t="str">
        <f t="shared" si="44"/>
        <v>*0.95</v>
      </c>
      <c r="U325" s="32" t="s">
        <v>1199</v>
      </c>
      <c r="V325" s="42" t="s">
        <v>57</v>
      </c>
      <c r="W325" s="32">
        <v>2050</v>
      </c>
      <c r="X325" s="43" t="str">
        <f t="shared" si="45"/>
        <v>*0.92</v>
      </c>
      <c r="AC325" s="33" t="s">
        <v>1199</v>
      </c>
      <c r="AD325" s="44" t="s">
        <v>57</v>
      </c>
      <c r="AE325" s="33">
        <v>2035</v>
      </c>
      <c r="AF325" s="45" t="str">
        <f t="shared" si="46"/>
        <v>*0.93</v>
      </c>
      <c r="AG325" s="43" t="str">
        <f t="shared" si="40"/>
        <v>REZoning_Sol-Win</v>
      </c>
      <c r="AI325" s="33" t="s">
        <v>1199</v>
      </c>
      <c r="AJ325" s="44" t="s">
        <v>57</v>
      </c>
      <c r="AK325" s="33">
        <v>2050</v>
      </c>
      <c r="AL325" s="45" t="str">
        <f t="shared" si="47"/>
        <v>*0.89</v>
      </c>
      <c r="AM325" s="43" t="str">
        <f t="shared" si="41"/>
        <v>REZoning_Sol-Win</v>
      </c>
      <c r="AP325" t="s">
        <v>1199</v>
      </c>
      <c r="AQ325" t="s">
        <v>57</v>
      </c>
      <c r="AR325">
        <v>2100</v>
      </c>
      <c r="AS325" t="s">
        <v>937</v>
      </c>
      <c r="AT325" t="s">
        <v>58</v>
      </c>
    </row>
    <row r="326" ht="29" spans="1:46">
      <c r="A326" s="31" t="s">
        <v>83</v>
      </c>
      <c r="C326" t="s">
        <v>1200</v>
      </c>
      <c r="D326" s="5" t="s">
        <v>57</v>
      </c>
      <c r="E326">
        <v>2035</v>
      </c>
      <c r="F326" s="6" t="str">
        <f t="shared" si="42"/>
        <v>*0.95</v>
      </c>
      <c r="H326" t="s">
        <v>1200</v>
      </c>
      <c r="I326" s="5" t="s">
        <v>57</v>
      </c>
      <c r="J326">
        <v>2050</v>
      </c>
      <c r="K326" s="38" t="str">
        <f t="shared" si="43"/>
        <v>*0.92</v>
      </c>
      <c r="P326" s="32" t="s">
        <v>1200</v>
      </c>
      <c r="Q326" s="42" t="s">
        <v>57</v>
      </c>
      <c r="R326" s="32">
        <v>2035</v>
      </c>
      <c r="S326" s="43" t="str">
        <f t="shared" si="44"/>
        <v>*0.95</v>
      </c>
      <c r="U326" s="32" t="s">
        <v>1200</v>
      </c>
      <c r="V326" s="42" t="s">
        <v>57</v>
      </c>
      <c r="W326" s="32">
        <v>2050</v>
      </c>
      <c r="X326" s="43" t="str">
        <f t="shared" si="45"/>
        <v>*0.92</v>
      </c>
      <c r="AC326" s="33" t="s">
        <v>1200</v>
      </c>
      <c r="AD326" s="44" t="s">
        <v>57</v>
      </c>
      <c r="AE326" s="33">
        <v>2035</v>
      </c>
      <c r="AF326" s="45" t="str">
        <f t="shared" si="46"/>
        <v>*0.93</v>
      </c>
      <c r="AG326" s="43" t="str">
        <f t="shared" si="40"/>
        <v>REZoning_Sol-Win</v>
      </c>
      <c r="AI326" s="33" t="s">
        <v>1200</v>
      </c>
      <c r="AJ326" s="44" t="s">
        <v>57</v>
      </c>
      <c r="AK326" s="33">
        <v>2050</v>
      </c>
      <c r="AL326" s="45" t="str">
        <f t="shared" si="47"/>
        <v>*0.89</v>
      </c>
      <c r="AM326" s="43" t="str">
        <f t="shared" si="41"/>
        <v>REZoning_Sol-Win</v>
      </c>
      <c r="AP326" t="s">
        <v>1200</v>
      </c>
      <c r="AQ326" t="s">
        <v>57</v>
      </c>
      <c r="AR326">
        <v>2100</v>
      </c>
      <c r="AS326" t="s">
        <v>937</v>
      </c>
      <c r="AT326" t="s">
        <v>58</v>
      </c>
    </row>
    <row r="327" ht="29" spans="1:46">
      <c r="A327" s="31" t="s">
        <v>83</v>
      </c>
      <c r="C327" t="s">
        <v>1201</v>
      </c>
      <c r="D327" s="5" t="s">
        <v>57</v>
      </c>
      <c r="E327">
        <v>2035</v>
      </c>
      <c r="F327" s="6" t="str">
        <f t="shared" si="42"/>
        <v>*0.95</v>
      </c>
      <c r="H327" t="s">
        <v>1201</v>
      </c>
      <c r="I327" s="5" t="s">
        <v>57</v>
      </c>
      <c r="J327">
        <v>2050</v>
      </c>
      <c r="K327" s="38" t="str">
        <f t="shared" si="43"/>
        <v>*0.92</v>
      </c>
      <c r="P327" s="32" t="s">
        <v>1201</v>
      </c>
      <c r="Q327" s="42" t="s">
        <v>57</v>
      </c>
      <c r="R327" s="32">
        <v>2035</v>
      </c>
      <c r="S327" s="43" t="str">
        <f t="shared" si="44"/>
        <v>*0.95</v>
      </c>
      <c r="U327" s="32" t="s">
        <v>1201</v>
      </c>
      <c r="V327" s="42" t="s">
        <v>57</v>
      </c>
      <c r="W327" s="32">
        <v>2050</v>
      </c>
      <c r="X327" s="43" t="str">
        <f t="shared" si="45"/>
        <v>*0.92</v>
      </c>
      <c r="AC327" s="33" t="s">
        <v>1201</v>
      </c>
      <c r="AD327" s="44" t="s">
        <v>57</v>
      </c>
      <c r="AE327" s="33">
        <v>2035</v>
      </c>
      <c r="AF327" s="45" t="str">
        <f t="shared" si="46"/>
        <v>*0.93</v>
      </c>
      <c r="AG327" s="43" t="str">
        <f t="shared" si="40"/>
        <v>REZoning_Sol-Win</v>
      </c>
      <c r="AI327" s="33" t="s">
        <v>1201</v>
      </c>
      <c r="AJ327" s="44" t="s">
        <v>57</v>
      </c>
      <c r="AK327" s="33">
        <v>2050</v>
      </c>
      <c r="AL327" s="45" t="str">
        <f t="shared" si="47"/>
        <v>*0.89</v>
      </c>
      <c r="AM327" s="43" t="str">
        <f t="shared" si="41"/>
        <v>REZoning_Sol-Win</v>
      </c>
      <c r="AP327" t="s">
        <v>1201</v>
      </c>
      <c r="AQ327" t="s">
        <v>57</v>
      </c>
      <c r="AR327">
        <v>2100</v>
      </c>
      <c r="AS327" t="s">
        <v>937</v>
      </c>
      <c r="AT327" t="s">
        <v>58</v>
      </c>
    </row>
    <row r="328" ht="29" spans="1:46">
      <c r="A328" s="31" t="s">
        <v>65</v>
      </c>
      <c r="C328" t="s">
        <v>1202</v>
      </c>
      <c r="D328" s="5" t="s">
        <v>57</v>
      </c>
      <c r="E328">
        <v>2035</v>
      </c>
      <c r="F328" s="6" t="str">
        <f t="shared" si="42"/>
        <v>*0.94</v>
      </c>
      <c r="H328" t="s">
        <v>1202</v>
      </c>
      <c r="I328" s="5" t="s">
        <v>57</v>
      </c>
      <c r="J328">
        <v>2050</v>
      </c>
      <c r="K328" s="38" t="str">
        <f t="shared" si="43"/>
        <v>*0.91</v>
      </c>
      <c r="P328" s="32" t="s">
        <v>1202</v>
      </c>
      <c r="Q328" s="42" t="s">
        <v>57</v>
      </c>
      <c r="R328" s="32">
        <v>2035</v>
      </c>
      <c r="S328" s="43" t="str">
        <f t="shared" si="44"/>
        <v>*0.93</v>
      </c>
      <c r="U328" s="32" t="s">
        <v>1202</v>
      </c>
      <c r="V328" s="42" t="s">
        <v>57</v>
      </c>
      <c r="W328" s="32">
        <v>2050</v>
      </c>
      <c r="X328" s="43" t="str">
        <f t="shared" si="45"/>
        <v>*0.9</v>
      </c>
      <c r="AC328" s="33" t="s">
        <v>1202</v>
      </c>
      <c r="AD328" s="44" t="s">
        <v>57</v>
      </c>
      <c r="AE328" s="33">
        <v>2035</v>
      </c>
      <c r="AF328" s="45" t="str">
        <f t="shared" si="46"/>
        <v>*0.9</v>
      </c>
      <c r="AG328" s="43" t="str">
        <f t="shared" si="40"/>
        <v>REZoning_Sol-Win</v>
      </c>
      <c r="AI328" s="33" t="s">
        <v>1202</v>
      </c>
      <c r="AJ328" s="44" t="s">
        <v>57</v>
      </c>
      <c r="AK328" s="33">
        <v>2050</v>
      </c>
      <c r="AL328" s="45" t="str">
        <f t="shared" si="47"/>
        <v>*0.86</v>
      </c>
      <c r="AM328" s="43" t="str">
        <f t="shared" si="41"/>
        <v>REZoning_Sol-Win</v>
      </c>
      <c r="AP328" t="s">
        <v>1202</v>
      </c>
      <c r="AQ328" t="s">
        <v>57</v>
      </c>
      <c r="AR328">
        <v>2100</v>
      </c>
      <c r="AS328" t="s">
        <v>883</v>
      </c>
      <c r="AT328" t="s">
        <v>58</v>
      </c>
    </row>
    <row r="329" ht="29" spans="1:46">
      <c r="A329" s="31" t="s">
        <v>65</v>
      </c>
      <c r="C329" t="s">
        <v>1203</v>
      </c>
      <c r="D329" s="5" t="s">
        <v>57</v>
      </c>
      <c r="E329">
        <v>2035</v>
      </c>
      <c r="F329" s="6" t="str">
        <f t="shared" si="42"/>
        <v>*0.94</v>
      </c>
      <c r="H329" t="s">
        <v>1203</v>
      </c>
      <c r="I329" s="5" t="s">
        <v>57</v>
      </c>
      <c r="J329">
        <v>2050</v>
      </c>
      <c r="K329" s="38" t="str">
        <f t="shared" si="43"/>
        <v>*0.91</v>
      </c>
      <c r="P329" s="32" t="s">
        <v>1203</v>
      </c>
      <c r="Q329" s="42" t="s">
        <v>57</v>
      </c>
      <c r="R329" s="32">
        <v>2035</v>
      </c>
      <c r="S329" s="43" t="str">
        <f t="shared" si="44"/>
        <v>*0.93</v>
      </c>
      <c r="U329" s="32" t="s">
        <v>1203</v>
      </c>
      <c r="V329" s="42" t="s">
        <v>57</v>
      </c>
      <c r="W329" s="32">
        <v>2050</v>
      </c>
      <c r="X329" s="43" t="str">
        <f t="shared" si="45"/>
        <v>*0.9</v>
      </c>
      <c r="AC329" s="33" t="s">
        <v>1203</v>
      </c>
      <c r="AD329" s="44" t="s">
        <v>57</v>
      </c>
      <c r="AE329" s="33">
        <v>2035</v>
      </c>
      <c r="AF329" s="45" t="str">
        <f t="shared" si="46"/>
        <v>*0.9</v>
      </c>
      <c r="AG329" s="43" t="str">
        <f t="shared" ref="AG329:AG392" si="48">AG328</f>
        <v>REZoning_Sol-Win</v>
      </c>
      <c r="AI329" s="33" t="s">
        <v>1203</v>
      </c>
      <c r="AJ329" s="44" t="s">
        <v>57</v>
      </c>
      <c r="AK329" s="33">
        <v>2050</v>
      </c>
      <c r="AL329" s="45" t="str">
        <f t="shared" si="47"/>
        <v>*0.86</v>
      </c>
      <c r="AM329" s="43" t="str">
        <f t="shared" si="41"/>
        <v>REZoning_Sol-Win</v>
      </c>
      <c r="AP329" t="s">
        <v>1203</v>
      </c>
      <c r="AQ329" t="s">
        <v>57</v>
      </c>
      <c r="AR329">
        <v>2100</v>
      </c>
      <c r="AS329" t="s">
        <v>883</v>
      </c>
      <c r="AT329" t="s">
        <v>58</v>
      </c>
    </row>
    <row r="330" ht="29" spans="1:46">
      <c r="A330" s="31" t="s">
        <v>65</v>
      </c>
      <c r="C330" t="s">
        <v>1204</v>
      </c>
      <c r="D330" s="5" t="s">
        <v>57</v>
      </c>
      <c r="E330">
        <v>2035</v>
      </c>
      <c r="F330" s="6" t="str">
        <f t="shared" si="42"/>
        <v>*0.94</v>
      </c>
      <c r="H330" t="s">
        <v>1204</v>
      </c>
      <c r="I330" s="5" t="s">
        <v>57</v>
      </c>
      <c r="J330">
        <v>2050</v>
      </c>
      <c r="K330" s="38" t="str">
        <f t="shared" si="43"/>
        <v>*0.91</v>
      </c>
      <c r="P330" s="32" t="s">
        <v>1204</v>
      </c>
      <c r="Q330" s="42" t="s">
        <v>57</v>
      </c>
      <c r="R330" s="32">
        <v>2035</v>
      </c>
      <c r="S330" s="43" t="str">
        <f t="shared" si="44"/>
        <v>*0.93</v>
      </c>
      <c r="U330" s="32" t="s">
        <v>1204</v>
      </c>
      <c r="V330" s="42" t="s">
        <v>57</v>
      </c>
      <c r="W330" s="32">
        <v>2050</v>
      </c>
      <c r="X330" s="43" t="str">
        <f t="shared" si="45"/>
        <v>*0.9</v>
      </c>
      <c r="AC330" s="33" t="s">
        <v>1204</v>
      </c>
      <c r="AD330" s="44" t="s">
        <v>57</v>
      </c>
      <c r="AE330" s="33">
        <v>2035</v>
      </c>
      <c r="AF330" s="45" t="str">
        <f t="shared" si="46"/>
        <v>*0.9</v>
      </c>
      <c r="AG330" s="43" t="str">
        <f t="shared" si="48"/>
        <v>REZoning_Sol-Win</v>
      </c>
      <c r="AI330" s="33" t="s">
        <v>1204</v>
      </c>
      <c r="AJ330" s="44" t="s">
        <v>57</v>
      </c>
      <c r="AK330" s="33">
        <v>2050</v>
      </c>
      <c r="AL330" s="45" t="str">
        <f t="shared" si="47"/>
        <v>*0.86</v>
      </c>
      <c r="AM330" s="43" t="str">
        <f t="shared" ref="AM330:AM393" si="49">AM329</f>
        <v>REZoning_Sol-Win</v>
      </c>
      <c r="AP330" t="s">
        <v>1204</v>
      </c>
      <c r="AQ330" t="s">
        <v>57</v>
      </c>
      <c r="AR330">
        <v>2100</v>
      </c>
      <c r="AS330" t="s">
        <v>883</v>
      </c>
      <c r="AT330" t="s">
        <v>58</v>
      </c>
    </row>
    <row r="331" ht="29" spans="1:46">
      <c r="A331" s="31" t="s">
        <v>65</v>
      </c>
      <c r="C331" t="s">
        <v>1205</v>
      </c>
      <c r="D331" s="5" t="s">
        <v>57</v>
      </c>
      <c r="E331">
        <v>2035</v>
      </c>
      <c r="F331" s="6" t="str">
        <f t="shared" si="42"/>
        <v>*0.94</v>
      </c>
      <c r="H331" t="s">
        <v>1205</v>
      </c>
      <c r="I331" s="5" t="s">
        <v>57</v>
      </c>
      <c r="J331">
        <v>2050</v>
      </c>
      <c r="K331" s="38" t="str">
        <f t="shared" si="43"/>
        <v>*0.91</v>
      </c>
      <c r="P331" s="32" t="s">
        <v>1205</v>
      </c>
      <c r="Q331" s="42" t="s">
        <v>57</v>
      </c>
      <c r="R331" s="32">
        <v>2035</v>
      </c>
      <c r="S331" s="43" t="str">
        <f t="shared" si="44"/>
        <v>*0.93</v>
      </c>
      <c r="U331" s="32" t="s">
        <v>1205</v>
      </c>
      <c r="V331" s="42" t="s">
        <v>57</v>
      </c>
      <c r="W331" s="32">
        <v>2050</v>
      </c>
      <c r="X331" s="43" t="str">
        <f t="shared" si="45"/>
        <v>*0.9</v>
      </c>
      <c r="AC331" s="33" t="s">
        <v>1205</v>
      </c>
      <c r="AD331" s="44" t="s">
        <v>57</v>
      </c>
      <c r="AE331" s="33">
        <v>2035</v>
      </c>
      <c r="AF331" s="45" t="str">
        <f t="shared" si="46"/>
        <v>*0.9</v>
      </c>
      <c r="AG331" s="43" t="str">
        <f t="shared" si="48"/>
        <v>REZoning_Sol-Win</v>
      </c>
      <c r="AI331" s="33" t="s">
        <v>1205</v>
      </c>
      <c r="AJ331" s="44" t="s">
        <v>57</v>
      </c>
      <c r="AK331" s="33">
        <v>2050</v>
      </c>
      <c r="AL331" s="45" t="str">
        <f t="shared" si="47"/>
        <v>*0.86</v>
      </c>
      <c r="AM331" s="43" t="str">
        <f t="shared" si="49"/>
        <v>REZoning_Sol-Win</v>
      </c>
      <c r="AP331" t="s">
        <v>1205</v>
      </c>
      <c r="AQ331" t="s">
        <v>57</v>
      </c>
      <c r="AR331">
        <v>2100</v>
      </c>
      <c r="AS331" t="s">
        <v>883</v>
      </c>
      <c r="AT331" t="s">
        <v>58</v>
      </c>
    </row>
    <row r="332" ht="29" spans="1:46">
      <c r="A332" s="31" t="s">
        <v>65</v>
      </c>
      <c r="C332" t="s">
        <v>1206</v>
      </c>
      <c r="D332" s="5" t="s">
        <v>57</v>
      </c>
      <c r="E332">
        <v>2035</v>
      </c>
      <c r="F332" s="6" t="str">
        <f t="shared" si="42"/>
        <v>*0.94</v>
      </c>
      <c r="H332" t="s">
        <v>1206</v>
      </c>
      <c r="I332" s="5" t="s">
        <v>57</v>
      </c>
      <c r="J332">
        <v>2050</v>
      </c>
      <c r="K332" s="38" t="str">
        <f t="shared" si="43"/>
        <v>*0.91</v>
      </c>
      <c r="P332" s="32" t="s">
        <v>1206</v>
      </c>
      <c r="Q332" s="42" t="s">
        <v>57</v>
      </c>
      <c r="R332" s="32">
        <v>2035</v>
      </c>
      <c r="S332" s="43" t="str">
        <f t="shared" si="44"/>
        <v>*0.93</v>
      </c>
      <c r="U332" s="32" t="s">
        <v>1206</v>
      </c>
      <c r="V332" s="42" t="s">
        <v>57</v>
      </c>
      <c r="W332" s="32">
        <v>2050</v>
      </c>
      <c r="X332" s="43" t="str">
        <f t="shared" si="45"/>
        <v>*0.9</v>
      </c>
      <c r="AC332" s="33" t="s">
        <v>1206</v>
      </c>
      <c r="AD332" s="44" t="s">
        <v>57</v>
      </c>
      <c r="AE332" s="33">
        <v>2035</v>
      </c>
      <c r="AF332" s="45" t="str">
        <f t="shared" si="46"/>
        <v>*0.9</v>
      </c>
      <c r="AG332" s="43" t="str">
        <f t="shared" si="48"/>
        <v>REZoning_Sol-Win</v>
      </c>
      <c r="AI332" s="33" t="s">
        <v>1206</v>
      </c>
      <c r="AJ332" s="44" t="s">
        <v>57</v>
      </c>
      <c r="AK332" s="33">
        <v>2050</v>
      </c>
      <c r="AL332" s="45" t="str">
        <f t="shared" si="47"/>
        <v>*0.86</v>
      </c>
      <c r="AM332" s="43" t="str">
        <f t="shared" si="49"/>
        <v>REZoning_Sol-Win</v>
      </c>
      <c r="AP332" t="s">
        <v>1206</v>
      </c>
      <c r="AQ332" t="s">
        <v>57</v>
      </c>
      <c r="AR332">
        <v>2100</v>
      </c>
      <c r="AS332" t="s">
        <v>883</v>
      </c>
      <c r="AT332" t="s">
        <v>58</v>
      </c>
    </row>
    <row r="333" ht="29" spans="1:46">
      <c r="A333" s="31" t="s">
        <v>98</v>
      </c>
      <c r="C333" t="s">
        <v>1207</v>
      </c>
      <c r="D333" s="5" t="s">
        <v>57</v>
      </c>
      <c r="E333">
        <v>2035</v>
      </c>
      <c r="F333" s="6" t="str">
        <f t="shared" si="42"/>
        <v>*0.96</v>
      </c>
      <c r="H333" t="s">
        <v>1207</v>
      </c>
      <c r="I333" s="5" t="s">
        <v>57</v>
      </c>
      <c r="J333">
        <v>2050</v>
      </c>
      <c r="K333" s="38" t="str">
        <f t="shared" si="43"/>
        <v>*0.94</v>
      </c>
      <c r="P333" s="32" t="s">
        <v>1207</v>
      </c>
      <c r="Q333" s="42" t="s">
        <v>57</v>
      </c>
      <c r="R333" s="32">
        <v>2035</v>
      </c>
      <c r="S333" s="43" t="str">
        <f t="shared" si="44"/>
        <v>*0.96</v>
      </c>
      <c r="U333" s="32" t="s">
        <v>1207</v>
      </c>
      <c r="V333" s="42" t="s">
        <v>57</v>
      </c>
      <c r="W333" s="32">
        <v>2050</v>
      </c>
      <c r="X333" s="43" t="str">
        <f t="shared" si="45"/>
        <v>*0.93</v>
      </c>
      <c r="AC333" s="33" t="s">
        <v>1207</v>
      </c>
      <c r="AD333" s="44" t="s">
        <v>57</v>
      </c>
      <c r="AE333" s="33">
        <v>2035</v>
      </c>
      <c r="AF333" s="45" t="str">
        <f t="shared" si="46"/>
        <v>*0.92</v>
      </c>
      <c r="AG333" s="43" t="str">
        <f t="shared" si="48"/>
        <v>REZoning_Sol-Win</v>
      </c>
      <c r="AI333" s="33" t="s">
        <v>1207</v>
      </c>
      <c r="AJ333" s="44" t="s">
        <v>57</v>
      </c>
      <c r="AK333" s="33">
        <v>2050</v>
      </c>
      <c r="AL333" s="45" t="str">
        <f t="shared" si="47"/>
        <v>*0.89</v>
      </c>
      <c r="AM333" s="43" t="str">
        <f t="shared" si="49"/>
        <v>REZoning_Sol-Win</v>
      </c>
      <c r="AP333" t="s">
        <v>1207</v>
      </c>
      <c r="AQ333" t="s">
        <v>57</v>
      </c>
      <c r="AR333">
        <v>2100</v>
      </c>
      <c r="AS333" t="s">
        <v>937</v>
      </c>
      <c r="AT333" t="s">
        <v>58</v>
      </c>
    </row>
    <row r="334" ht="29" spans="1:46">
      <c r="A334" s="31" t="s">
        <v>98</v>
      </c>
      <c r="C334" t="s">
        <v>1208</v>
      </c>
      <c r="D334" s="5" t="s">
        <v>57</v>
      </c>
      <c r="E334">
        <v>2035</v>
      </c>
      <c r="F334" s="6" t="str">
        <f t="shared" si="42"/>
        <v>*0.96</v>
      </c>
      <c r="H334" t="s">
        <v>1208</v>
      </c>
      <c r="I334" s="5" t="s">
        <v>57</v>
      </c>
      <c r="J334">
        <v>2050</v>
      </c>
      <c r="K334" s="38" t="str">
        <f t="shared" si="43"/>
        <v>*0.94</v>
      </c>
      <c r="P334" s="32" t="s">
        <v>1208</v>
      </c>
      <c r="Q334" s="42" t="s">
        <v>57</v>
      </c>
      <c r="R334" s="32">
        <v>2035</v>
      </c>
      <c r="S334" s="43" t="str">
        <f t="shared" si="44"/>
        <v>*0.96</v>
      </c>
      <c r="U334" s="32" t="s">
        <v>1208</v>
      </c>
      <c r="V334" s="42" t="s">
        <v>57</v>
      </c>
      <c r="W334" s="32">
        <v>2050</v>
      </c>
      <c r="X334" s="43" t="str">
        <f t="shared" si="45"/>
        <v>*0.93</v>
      </c>
      <c r="AC334" s="33" t="s">
        <v>1208</v>
      </c>
      <c r="AD334" s="44" t="s">
        <v>57</v>
      </c>
      <c r="AE334" s="33">
        <v>2035</v>
      </c>
      <c r="AF334" s="45" t="str">
        <f t="shared" si="46"/>
        <v>*0.92</v>
      </c>
      <c r="AG334" s="43" t="str">
        <f t="shared" si="48"/>
        <v>REZoning_Sol-Win</v>
      </c>
      <c r="AI334" s="33" t="s">
        <v>1208</v>
      </c>
      <c r="AJ334" s="44" t="s">
        <v>57</v>
      </c>
      <c r="AK334" s="33">
        <v>2050</v>
      </c>
      <c r="AL334" s="45" t="str">
        <f t="shared" si="47"/>
        <v>*0.89</v>
      </c>
      <c r="AM334" s="43" t="str">
        <f t="shared" si="49"/>
        <v>REZoning_Sol-Win</v>
      </c>
      <c r="AP334" t="s">
        <v>1208</v>
      </c>
      <c r="AQ334" t="s">
        <v>57</v>
      </c>
      <c r="AR334">
        <v>2100</v>
      </c>
      <c r="AS334" t="s">
        <v>937</v>
      </c>
      <c r="AT334" t="s">
        <v>58</v>
      </c>
    </row>
    <row r="335" ht="29" spans="1:46">
      <c r="A335" s="31" t="s">
        <v>98</v>
      </c>
      <c r="C335" t="s">
        <v>1209</v>
      </c>
      <c r="D335" s="5" t="s">
        <v>57</v>
      </c>
      <c r="E335">
        <v>2035</v>
      </c>
      <c r="F335" s="6" t="str">
        <f t="shared" si="42"/>
        <v>*0.96</v>
      </c>
      <c r="H335" t="s">
        <v>1209</v>
      </c>
      <c r="I335" s="5" t="s">
        <v>57</v>
      </c>
      <c r="J335">
        <v>2050</v>
      </c>
      <c r="K335" s="38" t="str">
        <f t="shared" si="43"/>
        <v>*0.94</v>
      </c>
      <c r="P335" s="32" t="s">
        <v>1209</v>
      </c>
      <c r="Q335" s="42" t="s">
        <v>57</v>
      </c>
      <c r="R335" s="32">
        <v>2035</v>
      </c>
      <c r="S335" s="43" t="str">
        <f t="shared" si="44"/>
        <v>*0.96</v>
      </c>
      <c r="U335" s="32" t="s">
        <v>1209</v>
      </c>
      <c r="V335" s="42" t="s">
        <v>57</v>
      </c>
      <c r="W335" s="32">
        <v>2050</v>
      </c>
      <c r="X335" s="43" t="str">
        <f t="shared" si="45"/>
        <v>*0.93</v>
      </c>
      <c r="AC335" s="33" t="s">
        <v>1209</v>
      </c>
      <c r="AD335" s="44" t="s">
        <v>57</v>
      </c>
      <c r="AE335" s="33">
        <v>2035</v>
      </c>
      <c r="AF335" s="45" t="str">
        <f t="shared" si="46"/>
        <v>*0.92</v>
      </c>
      <c r="AG335" s="43" t="str">
        <f t="shared" si="48"/>
        <v>REZoning_Sol-Win</v>
      </c>
      <c r="AI335" s="33" t="s">
        <v>1209</v>
      </c>
      <c r="AJ335" s="44" t="s">
        <v>57</v>
      </c>
      <c r="AK335" s="33">
        <v>2050</v>
      </c>
      <c r="AL335" s="45" t="str">
        <f t="shared" si="47"/>
        <v>*0.89</v>
      </c>
      <c r="AM335" s="43" t="str">
        <f t="shared" si="49"/>
        <v>REZoning_Sol-Win</v>
      </c>
      <c r="AP335" t="s">
        <v>1209</v>
      </c>
      <c r="AQ335" t="s">
        <v>57</v>
      </c>
      <c r="AR335">
        <v>2100</v>
      </c>
      <c r="AS335" t="s">
        <v>937</v>
      </c>
      <c r="AT335" t="s">
        <v>58</v>
      </c>
    </row>
    <row r="336" ht="29" spans="1:46">
      <c r="A336" s="31" t="s">
        <v>98</v>
      </c>
      <c r="C336" t="s">
        <v>1210</v>
      </c>
      <c r="D336" s="5" t="s">
        <v>57</v>
      </c>
      <c r="E336">
        <v>2035</v>
      </c>
      <c r="F336" s="6" t="str">
        <f t="shared" si="42"/>
        <v>*0.96</v>
      </c>
      <c r="H336" t="s">
        <v>1210</v>
      </c>
      <c r="I336" s="5" t="s">
        <v>57</v>
      </c>
      <c r="J336">
        <v>2050</v>
      </c>
      <c r="K336" s="38" t="str">
        <f t="shared" si="43"/>
        <v>*0.94</v>
      </c>
      <c r="P336" s="32" t="s">
        <v>1210</v>
      </c>
      <c r="Q336" s="42" t="s">
        <v>57</v>
      </c>
      <c r="R336" s="32">
        <v>2035</v>
      </c>
      <c r="S336" s="43" t="str">
        <f t="shared" si="44"/>
        <v>*0.96</v>
      </c>
      <c r="U336" s="32" t="s">
        <v>1210</v>
      </c>
      <c r="V336" s="42" t="s">
        <v>57</v>
      </c>
      <c r="W336" s="32">
        <v>2050</v>
      </c>
      <c r="X336" s="43" t="str">
        <f t="shared" si="45"/>
        <v>*0.93</v>
      </c>
      <c r="AC336" s="33" t="s">
        <v>1210</v>
      </c>
      <c r="AD336" s="44" t="s">
        <v>57</v>
      </c>
      <c r="AE336" s="33">
        <v>2035</v>
      </c>
      <c r="AF336" s="45" t="str">
        <f t="shared" si="46"/>
        <v>*0.92</v>
      </c>
      <c r="AG336" s="43" t="str">
        <f t="shared" si="48"/>
        <v>REZoning_Sol-Win</v>
      </c>
      <c r="AI336" s="33" t="s">
        <v>1210</v>
      </c>
      <c r="AJ336" s="44" t="s">
        <v>57</v>
      </c>
      <c r="AK336" s="33">
        <v>2050</v>
      </c>
      <c r="AL336" s="45" t="str">
        <f t="shared" si="47"/>
        <v>*0.89</v>
      </c>
      <c r="AM336" s="43" t="str">
        <f t="shared" si="49"/>
        <v>REZoning_Sol-Win</v>
      </c>
      <c r="AP336" t="s">
        <v>1210</v>
      </c>
      <c r="AQ336" t="s">
        <v>57</v>
      </c>
      <c r="AR336">
        <v>2100</v>
      </c>
      <c r="AS336" t="s">
        <v>937</v>
      </c>
      <c r="AT336" t="s">
        <v>58</v>
      </c>
    </row>
    <row r="337" ht="29" spans="1:46">
      <c r="A337" s="31" t="s">
        <v>98</v>
      </c>
      <c r="C337" t="s">
        <v>1211</v>
      </c>
      <c r="D337" s="5" t="s">
        <v>57</v>
      </c>
      <c r="E337">
        <v>2035</v>
      </c>
      <c r="F337" s="6" t="str">
        <f t="shared" si="42"/>
        <v>*0.96</v>
      </c>
      <c r="H337" t="s">
        <v>1211</v>
      </c>
      <c r="I337" s="5" t="s">
        <v>57</v>
      </c>
      <c r="J337">
        <v>2050</v>
      </c>
      <c r="K337" s="38" t="str">
        <f t="shared" si="43"/>
        <v>*0.94</v>
      </c>
      <c r="P337" s="32" t="s">
        <v>1211</v>
      </c>
      <c r="Q337" s="42" t="s">
        <v>57</v>
      </c>
      <c r="R337" s="32">
        <v>2035</v>
      </c>
      <c r="S337" s="43" t="str">
        <f t="shared" si="44"/>
        <v>*0.96</v>
      </c>
      <c r="U337" s="32" t="s">
        <v>1211</v>
      </c>
      <c r="V337" s="42" t="s">
        <v>57</v>
      </c>
      <c r="W337" s="32">
        <v>2050</v>
      </c>
      <c r="X337" s="43" t="str">
        <f t="shared" si="45"/>
        <v>*0.93</v>
      </c>
      <c r="AC337" s="33" t="s">
        <v>1211</v>
      </c>
      <c r="AD337" s="44" t="s">
        <v>57</v>
      </c>
      <c r="AE337" s="33">
        <v>2035</v>
      </c>
      <c r="AF337" s="45" t="str">
        <f t="shared" si="46"/>
        <v>*0.92</v>
      </c>
      <c r="AG337" s="43" t="str">
        <f t="shared" si="48"/>
        <v>REZoning_Sol-Win</v>
      </c>
      <c r="AI337" s="33" t="s">
        <v>1211</v>
      </c>
      <c r="AJ337" s="44" t="s">
        <v>57</v>
      </c>
      <c r="AK337" s="33">
        <v>2050</v>
      </c>
      <c r="AL337" s="45" t="str">
        <f t="shared" si="47"/>
        <v>*0.89</v>
      </c>
      <c r="AM337" s="43" t="str">
        <f t="shared" si="49"/>
        <v>REZoning_Sol-Win</v>
      </c>
      <c r="AP337" t="s">
        <v>1211</v>
      </c>
      <c r="AQ337" t="s">
        <v>57</v>
      </c>
      <c r="AR337">
        <v>2100</v>
      </c>
      <c r="AS337" t="s">
        <v>937</v>
      </c>
      <c r="AT337" t="s">
        <v>58</v>
      </c>
    </row>
    <row r="338" ht="29" spans="1:46">
      <c r="A338" s="31" t="s">
        <v>98</v>
      </c>
      <c r="C338" t="s">
        <v>1212</v>
      </c>
      <c r="D338" s="5" t="s">
        <v>57</v>
      </c>
      <c r="E338">
        <v>2035</v>
      </c>
      <c r="F338" s="6" t="str">
        <f t="shared" si="42"/>
        <v>*0.96</v>
      </c>
      <c r="H338" t="s">
        <v>1212</v>
      </c>
      <c r="I338" s="5" t="s">
        <v>57</v>
      </c>
      <c r="J338">
        <v>2050</v>
      </c>
      <c r="K338" s="38" t="str">
        <f t="shared" si="43"/>
        <v>*0.94</v>
      </c>
      <c r="P338" s="32" t="s">
        <v>1212</v>
      </c>
      <c r="Q338" s="42" t="s">
        <v>57</v>
      </c>
      <c r="R338" s="32">
        <v>2035</v>
      </c>
      <c r="S338" s="43" t="str">
        <f t="shared" si="44"/>
        <v>*0.96</v>
      </c>
      <c r="U338" s="32" t="s">
        <v>1212</v>
      </c>
      <c r="V338" s="42" t="s">
        <v>57</v>
      </c>
      <c r="W338" s="32">
        <v>2050</v>
      </c>
      <c r="X338" s="43" t="str">
        <f t="shared" si="45"/>
        <v>*0.93</v>
      </c>
      <c r="AC338" s="33" t="s">
        <v>1212</v>
      </c>
      <c r="AD338" s="44" t="s">
        <v>57</v>
      </c>
      <c r="AE338" s="33">
        <v>2035</v>
      </c>
      <c r="AF338" s="45" t="str">
        <f t="shared" si="46"/>
        <v>*0.92</v>
      </c>
      <c r="AG338" s="43" t="str">
        <f t="shared" si="48"/>
        <v>REZoning_Sol-Win</v>
      </c>
      <c r="AI338" s="33" t="s">
        <v>1212</v>
      </c>
      <c r="AJ338" s="44" t="s">
        <v>57</v>
      </c>
      <c r="AK338" s="33">
        <v>2050</v>
      </c>
      <c r="AL338" s="45" t="str">
        <f t="shared" si="47"/>
        <v>*0.89</v>
      </c>
      <c r="AM338" s="43" t="str">
        <f t="shared" si="49"/>
        <v>REZoning_Sol-Win</v>
      </c>
      <c r="AP338" t="s">
        <v>1212</v>
      </c>
      <c r="AQ338" t="s">
        <v>57</v>
      </c>
      <c r="AR338">
        <v>2100</v>
      </c>
      <c r="AS338" t="s">
        <v>937</v>
      </c>
      <c r="AT338" t="s">
        <v>58</v>
      </c>
    </row>
    <row r="339" ht="29" spans="1:46">
      <c r="A339" s="31" t="s">
        <v>98</v>
      </c>
      <c r="C339" t="s">
        <v>1213</v>
      </c>
      <c r="D339" s="5" t="s">
        <v>57</v>
      </c>
      <c r="E339">
        <v>2035</v>
      </c>
      <c r="F339" s="6" t="str">
        <f t="shared" si="42"/>
        <v>*0.96</v>
      </c>
      <c r="H339" t="s">
        <v>1213</v>
      </c>
      <c r="I339" s="5" t="s">
        <v>57</v>
      </c>
      <c r="J339">
        <v>2050</v>
      </c>
      <c r="K339" s="38" t="str">
        <f t="shared" si="43"/>
        <v>*0.94</v>
      </c>
      <c r="P339" s="32" t="s">
        <v>1213</v>
      </c>
      <c r="Q339" s="42" t="s">
        <v>57</v>
      </c>
      <c r="R339" s="32">
        <v>2035</v>
      </c>
      <c r="S339" s="43" t="str">
        <f t="shared" si="44"/>
        <v>*0.96</v>
      </c>
      <c r="U339" s="32" t="s">
        <v>1213</v>
      </c>
      <c r="V339" s="42" t="s">
        <v>57</v>
      </c>
      <c r="W339" s="32">
        <v>2050</v>
      </c>
      <c r="X339" s="43" t="str">
        <f t="shared" si="45"/>
        <v>*0.93</v>
      </c>
      <c r="AC339" s="33" t="s">
        <v>1213</v>
      </c>
      <c r="AD339" s="44" t="s">
        <v>57</v>
      </c>
      <c r="AE339" s="33">
        <v>2035</v>
      </c>
      <c r="AF339" s="45" t="str">
        <f t="shared" si="46"/>
        <v>*0.92</v>
      </c>
      <c r="AG339" s="43" t="str">
        <f t="shared" si="48"/>
        <v>REZoning_Sol-Win</v>
      </c>
      <c r="AI339" s="33" t="s">
        <v>1213</v>
      </c>
      <c r="AJ339" s="44" t="s">
        <v>57</v>
      </c>
      <c r="AK339" s="33">
        <v>2050</v>
      </c>
      <c r="AL339" s="45" t="str">
        <f t="shared" si="47"/>
        <v>*0.89</v>
      </c>
      <c r="AM339" s="43" t="str">
        <f t="shared" si="49"/>
        <v>REZoning_Sol-Win</v>
      </c>
      <c r="AP339" t="s">
        <v>1213</v>
      </c>
      <c r="AQ339" t="s">
        <v>57</v>
      </c>
      <c r="AR339">
        <v>2100</v>
      </c>
      <c r="AS339" t="s">
        <v>937</v>
      </c>
      <c r="AT339" t="s">
        <v>58</v>
      </c>
    </row>
    <row r="340" ht="29" spans="1:46">
      <c r="A340" s="31" t="s">
        <v>98</v>
      </c>
      <c r="C340" t="s">
        <v>1214</v>
      </c>
      <c r="D340" s="5" t="s">
        <v>57</v>
      </c>
      <c r="E340">
        <v>2035</v>
      </c>
      <c r="F340" s="6" t="str">
        <f t="shared" si="42"/>
        <v>*0.96</v>
      </c>
      <c r="H340" t="s">
        <v>1214</v>
      </c>
      <c r="I340" s="5" t="s">
        <v>57</v>
      </c>
      <c r="J340">
        <v>2050</v>
      </c>
      <c r="K340" s="38" t="str">
        <f t="shared" si="43"/>
        <v>*0.94</v>
      </c>
      <c r="P340" s="32" t="s">
        <v>1214</v>
      </c>
      <c r="Q340" s="42" t="s">
        <v>57</v>
      </c>
      <c r="R340" s="32">
        <v>2035</v>
      </c>
      <c r="S340" s="43" t="str">
        <f t="shared" si="44"/>
        <v>*0.96</v>
      </c>
      <c r="U340" s="32" t="s">
        <v>1214</v>
      </c>
      <c r="V340" s="42" t="s">
        <v>57</v>
      </c>
      <c r="W340" s="32">
        <v>2050</v>
      </c>
      <c r="X340" s="43" t="str">
        <f t="shared" si="45"/>
        <v>*0.93</v>
      </c>
      <c r="AC340" s="33" t="s">
        <v>1214</v>
      </c>
      <c r="AD340" s="44" t="s">
        <v>57</v>
      </c>
      <c r="AE340" s="33">
        <v>2035</v>
      </c>
      <c r="AF340" s="45" t="str">
        <f t="shared" si="46"/>
        <v>*0.92</v>
      </c>
      <c r="AG340" s="43" t="str">
        <f t="shared" si="48"/>
        <v>REZoning_Sol-Win</v>
      </c>
      <c r="AI340" s="33" t="s">
        <v>1214</v>
      </c>
      <c r="AJ340" s="44" t="s">
        <v>57</v>
      </c>
      <c r="AK340" s="33">
        <v>2050</v>
      </c>
      <c r="AL340" s="45" t="str">
        <f t="shared" si="47"/>
        <v>*0.89</v>
      </c>
      <c r="AM340" s="43" t="str">
        <f t="shared" si="49"/>
        <v>REZoning_Sol-Win</v>
      </c>
      <c r="AP340" t="s">
        <v>1214</v>
      </c>
      <c r="AQ340" t="s">
        <v>57</v>
      </c>
      <c r="AR340">
        <v>2100</v>
      </c>
      <c r="AS340" t="s">
        <v>937</v>
      </c>
      <c r="AT340" t="s">
        <v>58</v>
      </c>
    </row>
    <row r="341" ht="29" spans="1:46">
      <c r="A341" s="31" t="s">
        <v>98</v>
      </c>
      <c r="C341" t="s">
        <v>1215</v>
      </c>
      <c r="D341" s="5" t="s">
        <v>57</v>
      </c>
      <c r="E341">
        <v>2035</v>
      </c>
      <c r="F341" s="6" t="str">
        <f t="shared" si="42"/>
        <v>*0.96</v>
      </c>
      <c r="H341" t="s">
        <v>1215</v>
      </c>
      <c r="I341" s="5" t="s">
        <v>57</v>
      </c>
      <c r="J341">
        <v>2050</v>
      </c>
      <c r="K341" s="38" t="str">
        <f t="shared" si="43"/>
        <v>*0.94</v>
      </c>
      <c r="P341" s="32" t="s">
        <v>1215</v>
      </c>
      <c r="Q341" s="42" t="s">
        <v>57</v>
      </c>
      <c r="R341" s="32">
        <v>2035</v>
      </c>
      <c r="S341" s="43" t="str">
        <f t="shared" si="44"/>
        <v>*0.96</v>
      </c>
      <c r="U341" s="32" t="s">
        <v>1215</v>
      </c>
      <c r="V341" s="42" t="s">
        <v>57</v>
      </c>
      <c r="W341" s="32">
        <v>2050</v>
      </c>
      <c r="X341" s="43" t="str">
        <f t="shared" si="45"/>
        <v>*0.93</v>
      </c>
      <c r="AC341" s="33" t="s">
        <v>1215</v>
      </c>
      <c r="AD341" s="44" t="s">
        <v>57</v>
      </c>
      <c r="AE341" s="33">
        <v>2035</v>
      </c>
      <c r="AF341" s="45" t="str">
        <f t="shared" si="46"/>
        <v>*0.92</v>
      </c>
      <c r="AG341" s="43" t="str">
        <f t="shared" si="48"/>
        <v>REZoning_Sol-Win</v>
      </c>
      <c r="AI341" s="33" t="s">
        <v>1215</v>
      </c>
      <c r="AJ341" s="44" t="s">
        <v>57</v>
      </c>
      <c r="AK341" s="33">
        <v>2050</v>
      </c>
      <c r="AL341" s="45" t="str">
        <f t="shared" si="47"/>
        <v>*0.89</v>
      </c>
      <c r="AM341" s="43" t="str">
        <f t="shared" si="49"/>
        <v>REZoning_Sol-Win</v>
      </c>
      <c r="AP341" t="s">
        <v>1215</v>
      </c>
      <c r="AQ341" t="s">
        <v>57</v>
      </c>
      <c r="AR341">
        <v>2100</v>
      </c>
      <c r="AS341" t="s">
        <v>937</v>
      </c>
      <c r="AT341" t="s">
        <v>58</v>
      </c>
    </row>
    <row r="342" ht="29" spans="1:46">
      <c r="A342" s="31" t="s">
        <v>98</v>
      </c>
      <c r="C342" t="s">
        <v>1216</v>
      </c>
      <c r="D342" s="5" t="s">
        <v>57</v>
      </c>
      <c r="E342">
        <v>2035</v>
      </c>
      <c r="F342" s="6" t="str">
        <f t="shared" si="42"/>
        <v>*0.96</v>
      </c>
      <c r="H342" t="s">
        <v>1216</v>
      </c>
      <c r="I342" s="5" t="s">
        <v>57</v>
      </c>
      <c r="J342">
        <v>2050</v>
      </c>
      <c r="K342" s="38" t="str">
        <f t="shared" si="43"/>
        <v>*0.94</v>
      </c>
      <c r="P342" s="32" t="s">
        <v>1216</v>
      </c>
      <c r="Q342" s="42" t="s">
        <v>57</v>
      </c>
      <c r="R342" s="32">
        <v>2035</v>
      </c>
      <c r="S342" s="43" t="str">
        <f t="shared" si="44"/>
        <v>*0.96</v>
      </c>
      <c r="U342" s="32" t="s">
        <v>1216</v>
      </c>
      <c r="V342" s="42" t="s">
        <v>57</v>
      </c>
      <c r="W342" s="32">
        <v>2050</v>
      </c>
      <c r="X342" s="43" t="str">
        <f t="shared" si="45"/>
        <v>*0.93</v>
      </c>
      <c r="AC342" s="33" t="s">
        <v>1216</v>
      </c>
      <c r="AD342" s="44" t="s">
        <v>57</v>
      </c>
      <c r="AE342" s="33">
        <v>2035</v>
      </c>
      <c r="AF342" s="45" t="str">
        <f t="shared" si="46"/>
        <v>*0.92</v>
      </c>
      <c r="AG342" s="43" t="str">
        <f t="shared" si="48"/>
        <v>REZoning_Sol-Win</v>
      </c>
      <c r="AI342" s="33" t="s">
        <v>1216</v>
      </c>
      <c r="AJ342" s="44" t="s">
        <v>57</v>
      </c>
      <c r="AK342" s="33">
        <v>2050</v>
      </c>
      <c r="AL342" s="45" t="str">
        <f t="shared" si="47"/>
        <v>*0.89</v>
      </c>
      <c r="AM342" s="43" t="str">
        <f t="shared" si="49"/>
        <v>REZoning_Sol-Win</v>
      </c>
      <c r="AP342" t="s">
        <v>1216</v>
      </c>
      <c r="AQ342" t="s">
        <v>57</v>
      </c>
      <c r="AR342">
        <v>2100</v>
      </c>
      <c r="AS342" t="s">
        <v>937</v>
      </c>
      <c r="AT342" t="s">
        <v>58</v>
      </c>
    </row>
    <row r="343" ht="29" spans="1:46">
      <c r="A343" s="31" t="s">
        <v>98</v>
      </c>
      <c r="C343" t="s">
        <v>1217</v>
      </c>
      <c r="D343" s="5" t="s">
        <v>57</v>
      </c>
      <c r="E343">
        <v>2035</v>
      </c>
      <c r="F343" s="6" t="str">
        <f t="shared" si="42"/>
        <v>*0.96</v>
      </c>
      <c r="H343" t="s">
        <v>1217</v>
      </c>
      <c r="I343" s="5" t="s">
        <v>57</v>
      </c>
      <c r="J343">
        <v>2050</v>
      </c>
      <c r="K343" s="38" t="str">
        <f t="shared" si="43"/>
        <v>*0.94</v>
      </c>
      <c r="P343" s="32" t="s">
        <v>1217</v>
      </c>
      <c r="Q343" s="42" t="s">
        <v>57</v>
      </c>
      <c r="R343" s="32">
        <v>2035</v>
      </c>
      <c r="S343" s="43" t="str">
        <f t="shared" si="44"/>
        <v>*0.96</v>
      </c>
      <c r="U343" s="32" t="s">
        <v>1217</v>
      </c>
      <c r="V343" s="42" t="s">
        <v>57</v>
      </c>
      <c r="W343" s="32">
        <v>2050</v>
      </c>
      <c r="X343" s="43" t="str">
        <f t="shared" si="45"/>
        <v>*0.93</v>
      </c>
      <c r="AC343" s="33" t="s">
        <v>1217</v>
      </c>
      <c r="AD343" s="44" t="s">
        <v>57</v>
      </c>
      <c r="AE343" s="33">
        <v>2035</v>
      </c>
      <c r="AF343" s="45" t="str">
        <f t="shared" si="46"/>
        <v>*0.92</v>
      </c>
      <c r="AG343" s="43" t="str">
        <f t="shared" si="48"/>
        <v>REZoning_Sol-Win</v>
      </c>
      <c r="AI343" s="33" t="s">
        <v>1217</v>
      </c>
      <c r="AJ343" s="44" t="s">
        <v>57</v>
      </c>
      <c r="AK343" s="33">
        <v>2050</v>
      </c>
      <c r="AL343" s="45" t="str">
        <f t="shared" si="47"/>
        <v>*0.89</v>
      </c>
      <c r="AM343" s="43" t="str">
        <f t="shared" si="49"/>
        <v>REZoning_Sol-Win</v>
      </c>
      <c r="AP343" t="s">
        <v>1217</v>
      </c>
      <c r="AQ343" t="s">
        <v>57</v>
      </c>
      <c r="AR343">
        <v>2100</v>
      </c>
      <c r="AS343" t="s">
        <v>937</v>
      </c>
      <c r="AT343" t="s">
        <v>58</v>
      </c>
    </row>
    <row r="344" ht="29" spans="1:46">
      <c r="A344" s="31" t="s">
        <v>98</v>
      </c>
      <c r="C344" t="s">
        <v>1218</v>
      </c>
      <c r="D344" s="5" t="s">
        <v>57</v>
      </c>
      <c r="E344">
        <v>2035</v>
      </c>
      <c r="F344" s="6" t="str">
        <f t="shared" si="42"/>
        <v>*0.96</v>
      </c>
      <c r="H344" t="s">
        <v>1218</v>
      </c>
      <c r="I344" s="5" t="s">
        <v>57</v>
      </c>
      <c r="J344">
        <v>2050</v>
      </c>
      <c r="K344" s="38" t="str">
        <f t="shared" si="43"/>
        <v>*0.94</v>
      </c>
      <c r="P344" s="32" t="s">
        <v>1218</v>
      </c>
      <c r="Q344" s="42" t="s">
        <v>57</v>
      </c>
      <c r="R344" s="32">
        <v>2035</v>
      </c>
      <c r="S344" s="43" t="str">
        <f t="shared" si="44"/>
        <v>*0.96</v>
      </c>
      <c r="U344" s="32" t="s">
        <v>1218</v>
      </c>
      <c r="V344" s="42" t="s">
        <v>57</v>
      </c>
      <c r="W344" s="32">
        <v>2050</v>
      </c>
      <c r="X344" s="43" t="str">
        <f t="shared" si="45"/>
        <v>*0.93</v>
      </c>
      <c r="AC344" s="33" t="s">
        <v>1218</v>
      </c>
      <c r="AD344" s="44" t="s">
        <v>57</v>
      </c>
      <c r="AE344" s="33">
        <v>2035</v>
      </c>
      <c r="AF344" s="45" t="str">
        <f t="shared" si="46"/>
        <v>*0.92</v>
      </c>
      <c r="AG344" s="43" t="str">
        <f t="shared" si="48"/>
        <v>REZoning_Sol-Win</v>
      </c>
      <c r="AI344" s="33" t="s">
        <v>1218</v>
      </c>
      <c r="AJ344" s="44" t="s">
        <v>57</v>
      </c>
      <c r="AK344" s="33">
        <v>2050</v>
      </c>
      <c r="AL344" s="45" t="str">
        <f t="shared" si="47"/>
        <v>*0.89</v>
      </c>
      <c r="AM344" s="43" t="str">
        <f t="shared" si="49"/>
        <v>REZoning_Sol-Win</v>
      </c>
      <c r="AP344" t="s">
        <v>1218</v>
      </c>
      <c r="AQ344" t="s">
        <v>57</v>
      </c>
      <c r="AR344">
        <v>2100</v>
      </c>
      <c r="AS344" t="s">
        <v>937</v>
      </c>
      <c r="AT344" t="s">
        <v>58</v>
      </c>
    </row>
    <row r="345" ht="29" spans="1:46">
      <c r="A345" s="31" t="s">
        <v>98</v>
      </c>
      <c r="C345" t="s">
        <v>1219</v>
      </c>
      <c r="D345" s="5" t="s">
        <v>57</v>
      </c>
      <c r="E345">
        <v>2035</v>
      </c>
      <c r="F345" s="6" t="str">
        <f t="shared" si="42"/>
        <v>*0.96</v>
      </c>
      <c r="H345" t="s">
        <v>1219</v>
      </c>
      <c r="I345" s="5" t="s">
        <v>57</v>
      </c>
      <c r="J345">
        <v>2050</v>
      </c>
      <c r="K345" s="38" t="str">
        <f t="shared" si="43"/>
        <v>*0.94</v>
      </c>
      <c r="P345" s="32" t="s">
        <v>1219</v>
      </c>
      <c r="Q345" s="42" t="s">
        <v>57</v>
      </c>
      <c r="R345" s="32">
        <v>2035</v>
      </c>
      <c r="S345" s="43" t="str">
        <f t="shared" si="44"/>
        <v>*0.96</v>
      </c>
      <c r="U345" s="32" t="s">
        <v>1219</v>
      </c>
      <c r="V345" s="42" t="s">
        <v>57</v>
      </c>
      <c r="W345" s="32">
        <v>2050</v>
      </c>
      <c r="X345" s="43" t="str">
        <f t="shared" si="45"/>
        <v>*0.93</v>
      </c>
      <c r="AC345" s="33" t="s">
        <v>1219</v>
      </c>
      <c r="AD345" s="44" t="s">
        <v>57</v>
      </c>
      <c r="AE345" s="33">
        <v>2035</v>
      </c>
      <c r="AF345" s="45" t="str">
        <f t="shared" si="46"/>
        <v>*0.92</v>
      </c>
      <c r="AG345" s="43" t="str">
        <f t="shared" si="48"/>
        <v>REZoning_Sol-Win</v>
      </c>
      <c r="AI345" s="33" t="s">
        <v>1219</v>
      </c>
      <c r="AJ345" s="44" t="s">
        <v>57</v>
      </c>
      <c r="AK345" s="33">
        <v>2050</v>
      </c>
      <c r="AL345" s="45" t="str">
        <f t="shared" si="47"/>
        <v>*0.89</v>
      </c>
      <c r="AM345" s="43" t="str">
        <f t="shared" si="49"/>
        <v>REZoning_Sol-Win</v>
      </c>
      <c r="AP345" t="s">
        <v>1219</v>
      </c>
      <c r="AQ345" t="s">
        <v>57</v>
      </c>
      <c r="AR345">
        <v>2100</v>
      </c>
      <c r="AS345" t="s">
        <v>937</v>
      </c>
      <c r="AT345" t="s">
        <v>58</v>
      </c>
    </row>
    <row r="346" ht="29" spans="1:46">
      <c r="A346" s="31" t="s">
        <v>98</v>
      </c>
      <c r="C346" t="s">
        <v>1220</v>
      </c>
      <c r="D346" s="5" t="s">
        <v>57</v>
      </c>
      <c r="E346">
        <v>2035</v>
      </c>
      <c r="F346" s="6" t="str">
        <f t="shared" si="42"/>
        <v>*0.96</v>
      </c>
      <c r="H346" t="s">
        <v>1220</v>
      </c>
      <c r="I346" s="5" t="s">
        <v>57</v>
      </c>
      <c r="J346">
        <v>2050</v>
      </c>
      <c r="K346" s="38" t="str">
        <f t="shared" si="43"/>
        <v>*0.94</v>
      </c>
      <c r="P346" s="32" t="s">
        <v>1220</v>
      </c>
      <c r="Q346" s="42" t="s">
        <v>57</v>
      </c>
      <c r="R346" s="32">
        <v>2035</v>
      </c>
      <c r="S346" s="43" t="str">
        <f t="shared" si="44"/>
        <v>*0.96</v>
      </c>
      <c r="U346" s="32" t="s">
        <v>1220</v>
      </c>
      <c r="V346" s="42" t="s">
        <v>57</v>
      </c>
      <c r="W346" s="32">
        <v>2050</v>
      </c>
      <c r="X346" s="43" t="str">
        <f t="shared" si="45"/>
        <v>*0.93</v>
      </c>
      <c r="AC346" s="33" t="s">
        <v>1220</v>
      </c>
      <c r="AD346" s="44" t="s">
        <v>57</v>
      </c>
      <c r="AE346" s="33">
        <v>2035</v>
      </c>
      <c r="AF346" s="45" t="str">
        <f t="shared" si="46"/>
        <v>*0.92</v>
      </c>
      <c r="AG346" s="43" t="str">
        <f t="shared" si="48"/>
        <v>REZoning_Sol-Win</v>
      </c>
      <c r="AI346" s="33" t="s">
        <v>1220</v>
      </c>
      <c r="AJ346" s="44" t="s">
        <v>57</v>
      </c>
      <c r="AK346" s="33">
        <v>2050</v>
      </c>
      <c r="AL346" s="45" t="str">
        <f t="shared" si="47"/>
        <v>*0.89</v>
      </c>
      <c r="AM346" s="43" t="str">
        <f t="shared" si="49"/>
        <v>REZoning_Sol-Win</v>
      </c>
      <c r="AP346" t="s">
        <v>1220</v>
      </c>
      <c r="AQ346" t="s">
        <v>57</v>
      </c>
      <c r="AR346">
        <v>2100</v>
      </c>
      <c r="AS346" t="s">
        <v>937</v>
      </c>
      <c r="AT346" t="s">
        <v>58</v>
      </c>
    </row>
    <row r="347" ht="29" spans="1:46">
      <c r="A347" s="31" t="s">
        <v>98</v>
      </c>
      <c r="C347" t="s">
        <v>1221</v>
      </c>
      <c r="D347" s="5" t="s">
        <v>57</v>
      </c>
      <c r="E347">
        <v>2035</v>
      </c>
      <c r="F347" s="6" t="str">
        <f t="shared" si="42"/>
        <v>*0.96</v>
      </c>
      <c r="H347" t="s">
        <v>1221</v>
      </c>
      <c r="I347" s="5" t="s">
        <v>57</v>
      </c>
      <c r="J347">
        <v>2050</v>
      </c>
      <c r="K347" s="38" t="str">
        <f t="shared" si="43"/>
        <v>*0.94</v>
      </c>
      <c r="P347" s="32" t="s">
        <v>1221</v>
      </c>
      <c r="Q347" s="42" t="s">
        <v>57</v>
      </c>
      <c r="R347" s="32">
        <v>2035</v>
      </c>
      <c r="S347" s="43" t="str">
        <f t="shared" si="44"/>
        <v>*0.96</v>
      </c>
      <c r="U347" s="32" t="s">
        <v>1221</v>
      </c>
      <c r="V347" s="42" t="s">
        <v>57</v>
      </c>
      <c r="W347" s="32">
        <v>2050</v>
      </c>
      <c r="X347" s="43" t="str">
        <f t="shared" si="45"/>
        <v>*0.93</v>
      </c>
      <c r="AC347" s="33" t="s">
        <v>1221</v>
      </c>
      <c r="AD347" s="44" t="s">
        <v>57</v>
      </c>
      <c r="AE347" s="33">
        <v>2035</v>
      </c>
      <c r="AF347" s="45" t="str">
        <f t="shared" si="46"/>
        <v>*0.92</v>
      </c>
      <c r="AG347" s="43" t="str">
        <f t="shared" si="48"/>
        <v>REZoning_Sol-Win</v>
      </c>
      <c r="AI347" s="33" t="s">
        <v>1221</v>
      </c>
      <c r="AJ347" s="44" t="s">
        <v>57</v>
      </c>
      <c r="AK347" s="33">
        <v>2050</v>
      </c>
      <c r="AL347" s="45" t="str">
        <f t="shared" si="47"/>
        <v>*0.89</v>
      </c>
      <c r="AM347" s="43" t="str">
        <f t="shared" si="49"/>
        <v>REZoning_Sol-Win</v>
      </c>
      <c r="AP347" t="s">
        <v>1221</v>
      </c>
      <c r="AQ347" t="s">
        <v>57</v>
      </c>
      <c r="AR347">
        <v>2100</v>
      </c>
      <c r="AS347" t="s">
        <v>937</v>
      </c>
      <c r="AT347" t="s">
        <v>58</v>
      </c>
    </row>
    <row r="348" ht="29" spans="1:46">
      <c r="A348" s="31" t="s">
        <v>98</v>
      </c>
      <c r="C348" t="s">
        <v>1222</v>
      </c>
      <c r="D348" s="5" t="s">
        <v>57</v>
      </c>
      <c r="E348">
        <v>2035</v>
      </c>
      <c r="F348" s="6" t="str">
        <f t="shared" si="42"/>
        <v>*0.96</v>
      </c>
      <c r="H348" t="s">
        <v>1222</v>
      </c>
      <c r="I348" s="5" t="s">
        <v>57</v>
      </c>
      <c r="J348">
        <v>2050</v>
      </c>
      <c r="K348" s="38" t="str">
        <f t="shared" si="43"/>
        <v>*0.94</v>
      </c>
      <c r="P348" s="32" t="s">
        <v>1222</v>
      </c>
      <c r="Q348" s="42" t="s">
        <v>57</v>
      </c>
      <c r="R348" s="32">
        <v>2035</v>
      </c>
      <c r="S348" s="43" t="str">
        <f t="shared" si="44"/>
        <v>*0.96</v>
      </c>
      <c r="U348" s="32" t="s">
        <v>1222</v>
      </c>
      <c r="V348" s="42" t="s">
        <v>57</v>
      </c>
      <c r="W348" s="32">
        <v>2050</v>
      </c>
      <c r="X348" s="43" t="str">
        <f t="shared" si="45"/>
        <v>*0.93</v>
      </c>
      <c r="AC348" s="33" t="s">
        <v>1222</v>
      </c>
      <c r="AD348" s="44" t="s">
        <v>57</v>
      </c>
      <c r="AE348" s="33">
        <v>2035</v>
      </c>
      <c r="AF348" s="45" t="str">
        <f t="shared" si="46"/>
        <v>*0.92</v>
      </c>
      <c r="AG348" s="43" t="str">
        <f t="shared" si="48"/>
        <v>REZoning_Sol-Win</v>
      </c>
      <c r="AI348" s="33" t="s">
        <v>1222</v>
      </c>
      <c r="AJ348" s="44" t="s">
        <v>57</v>
      </c>
      <c r="AK348" s="33">
        <v>2050</v>
      </c>
      <c r="AL348" s="45" t="str">
        <f t="shared" si="47"/>
        <v>*0.89</v>
      </c>
      <c r="AM348" s="43" t="str">
        <f t="shared" si="49"/>
        <v>REZoning_Sol-Win</v>
      </c>
      <c r="AP348" t="s">
        <v>1222</v>
      </c>
      <c r="AQ348" t="s">
        <v>57</v>
      </c>
      <c r="AR348">
        <v>2100</v>
      </c>
      <c r="AS348" t="s">
        <v>937</v>
      </c>
      <c r="AT348" t="s">
        <v>58</v>
      </c>
    </row>
    <row r="349" ht="29" spans="1:46">
      <c r="A349" s="31" t="s">
        <v>98</v>
      </c>
      <c r="C349" t="s">
        <v>1223</v>
      </c>
      <c r="D349" s="5" t="s">
        <v>57</v>
      </c>
      <c r="E349">
        <v>2035</v>
      </c>
      <c r="F349" s="6" t="str">
        <f t="shared" si="42"/>
        <v>*0.96</v>
      </c>
      <c r="H349" t="s">
        <v>1223</v>
      </c>
      <c r="I349" s="5" t="s">
        <v>57</v>
      </c>
      <c r="J349">
        <v>2050</v>
      </c>
      <c r="K349" s="38" t="str">
        <f t="shared" si="43"/>
        <v>*0.94</v>
      </c>
      <c r="P349" s="32" t="s">
        <v>1223</v>
      </c>
      <c r="Q349" s="42" t="s">
        <v>57</v>
      </c>
      <c r="R349" s="32">
        <v>2035</v>
      </c>
      <c r="S349" s="43" t="str">
        <f t="shared" si="44"/>
        <v>*0.96</v>
      </c>
      <c r="U349" s="32" t="s">
        <v>1223</v>
      </c>
      <c r="V349" s="42" t="s">
        <v>57</v>
      </c>
      <c r="W349" s="32">
        <v>2050</v>
      </c>
      <c r="X349" s="43" t="str">
        <f t="shared" si="45"/>
        <v>*0.93</v>
      </c>
      <c r="AC349" s="33" t="s">
        <v>1223</v>
      </c>
      <c r="AD349" s="44" t="s">
        <v>57</v>
      </c>
      <c r="AE349" s="33">
        <v>2035</v>
      </c>
      <c r="AF349" s="45" t="str">
        <f t="shared" si="46"/>
        <v>*0.92</v>
      </c>
      <c r="AG349" s="43" t="str">
        <f t="shared" si="48"/>
        <v>REZoning_Sol-Win</v>
      </c>
      <c r="AI349" s="33" t="s">
        <v>1223</v>
      </c>
      <c r="AJ349" s="44" t="s">
        <v>57</v>
      </c>
      <c r="AK349" s="33">
        <v>2050</v>
      </c>
      <c r="AL349" s="45" t="str">
        <f t="shared" si="47"/>
        <v>*0.89</v>
      </c>
      <c r="AM349" s="43" t="str">
        <f t="shared" si="49"/>
        <v>REZoning_Sol-Win</v>
      </c>
      <c r="AP349" t="s">
        <v>1223</v>
      </c>
      <c r="AQ349" t="s">
        <v>57</v>
      </c>
      <c r="AR349">
        <v>2100</v>
      </c>
      <c r="AS349" t="s">
        <v>937</v>
      </c>
      <c r="AT349" t="s">
        <v>58</v>
      </c>
    </row>
    <row r="350" ht="29" spans="1:46">
      <c r="A350" s="31" t="s">
        <v>98</v>
      </c>
      <c r="C350" t="s">
        <v>1224</v>
      </c>
      <c r="D350" s="5" t="s">
        <v>57</v>
      </c>
      <c r="E350">
        <v>2035</v>
      </c>
      <c r="F350" s="6" t="str">
        <f t="shared" si="42"/>
        <v>*0.96</v>
      </c>
      <c r="H350" t="s">
        <v>1224</v>
      </c>
      <c r="I350" s="5" t="s">
        <v>57</v>
      </c>
      <c r="J350">
        <v>2050</v>
      </c>
      <c r="K350" s="38" t="str">
        <f t="shared" si="43"/>
        <v>*0.94</v>
      </c>
      <c r="P350" s="32" t="s">
        <v>1224</v>
      </c>
      <c r="Q350" s="42" t="s">
        <v>57</v>
      </c>
      <c r="R350" s="32">
        <v>2035</v>
      </c>
      <c r="S350" s="43" t="str">
        <f t="shared" si="44"/>
        <v>*0.96</v>
      </c>
      <c r="U350" s="32" t="s">
        <v>1224</v>
      </c>
      <c r="V350" s="42" t="s">
        <v>57</v>
      </c>
      <c r="W350" s="32">
        <v>2050</v>
      </c>
      <c r="X350" s="43" t="str">
        <f t="shared" si="45"/>
        <v>*0.93</v>
      </c>
      <c r="AC350" s="33" t="s">
        <v>1224</v>
      </c>
      <c r="AD350" s="44" t="s">
        <v>57</v>
      </c>
      <c r="AE350" s="33">
        <v>2035</v>
      </c>
      <c r="AF350" s="45" t="str">
        <f t="shared" si="46"/>
        <v>*0.92</v>
      </c>
      <c r="AG350" s="43" t="str">
        <f t="shared" si="48"/>
        <v>REZoning_Sol-Win</v>
      </c>
      <c r="AI350" s="33" t="s">
        <v>1224</v>
      </c>
      <c r="AJ350" s="44" t="s">
        <v>57</v>
      </c>
      <c r="AK350" s="33">
        <v>2050</v>
      </c>
      <c r="AL350" s="45" t="str">
        <f t="shared" si="47"/>
        <v>*0.89</v>
      </c>
      <c r="AM350" s="43" t="str">
        <f t="shared" si="49"/>
        <v>REZoning_Sol-Win</v>
      </c>
      <c r="AP350" t="s">
        <v>1224</v>
      </c>
      <c r="AQ350" t="s">
        <v>57</v>
      </c>
      <c r="AR350">
        <v>2100</v>
      </c>
      <c r="AS350" t="s">
        <v>937</v>
      </c>
      <c r="AT350" t="s">
        <v>58</v>
      </c>
    </row>
    <row r="351" ht="29" spans="1:46">
      <c r="A351" s="31" t="s">
        <v>98</v>
      </c>
      <c r="C351" t="s">
        <v>1225</v>
      </c>
      <c r="D351" s="5" t="s">
        <v>57</v>
      </c>
      <c r="E351">
        <v>2035</v>
      </c>
      <c r="F351" s="6" t="str">
        <f t="shared" si="42"/>
        <v>*0.96</v>
      </c>
      <c r="H351" t="s">
        <v>1225</v>
      </c>
      <c r="I351" s="5" t="s">
        <v>57</v>
      </c>
      <c r="J351">
        <v>2050</v>
      </c>
      <c r="K351" s="38" t="str">
        <f t="shared" si="43"/>
        <v>*0.94</v>
      </c>
      <c r="P351" s="32" t="s">
        <v>1225</v>
      </c>
      <c r="Q351" s="42" t="s">
        <v>57</v>
      </c>
      <c r="R351" s="32">
        <v>2035</v>
      </c>
      <c r="S351" s="43" t="str">
        <f t="shared" si="44"/>
        <v>*0.96</v>
      </c>
      <c r="U351" s="32" t="s">
        <v>1225</v>
      </c>
      <c r="V351" s="42" t="s">
        <v>57</v>
      </c>
      <c r="W351" s="32">
        <v>2050</v>
      </c>
      <c r="X351" s="43" t="str">
        <f t="shared" si="45"/>
        <v>*0.93</v>
      </c>
      <c r="AC351" s="33" t="s">
        <v>1225</v>
      </c>
      <c r="AD351" s="44" t="s">
        <v>57</v>
      </c>
      <c r="AE351" s="33">
        <v>2035</v>
      </c>
      <c r="AF351" s="45" t="str">
        <f t="shared" si="46"/>
        <v>*0.92</v>
      </c>
      <c r="AG351" s="43" t="str">
        <f t="shared" si="48"/>
        <v>REZoning_Sol-Win</v>
      </c>
      <c r="AI351" s="33" t="s">
        <v>1225</v>
      </c>
      <c r="AJ351" s="44" t="s">
        <v>57</v>
      </c>
      <c r="AK351" s="33">
        <v>2050</v>
      </c>
      <c r="AL351" s="45" t="str">
        <f t="shared" si="47"/>
        <v>*0.89</v>
      </c>
      <c r="AM351" s="43" t="str">
        <f t="shared" si="49"/>
        <v>REZoning_Sol-Win</v>
      </c>
      <c r="AP351" t="s">
        <v>1225</v>
      </c>
      <c r="AQ351" t="s">
        <v>57</v>
      </c>
      <c r="AR351">
        <v>2100</v>
      </c>
      <c r="AS351" t="s">
        <v>937</v>
      </c>
      <c r="AT351" t="s">
        <v>58</v>
      </c>
    </row>
    <row r="352" ht="29" spans="1:46">
      <c r="A352" s="31" t="s">
        <v>98</v>
      </c>
      <c r="C352" t="s">
        <v>1226</v>
      </c>
      <c r="D352" s="5" t="s">
        <v>57</v>
      </c>
      <c r="E352">
        <v>2035</v>
      </c>
      <c r="F352" s="6" t="str">
        <f t="shared" si="42"/>
        <v>*0.96</v>
      </c>
      <c r="H352" t="s">
        <v>1226</v>
      </c>
      <c r="I352" s="5" t="s">
        <v>57</v>
      </c>
      <c r="J352">
        <v>2050</v>
      </c>
      <c r="K352" s="38" t="str">
        <f t="shared" si="43"/>
        <v>*0.94</v>
      </c>
      <c r="P352" s="32" t="s">
        <v>1226</v>
      </c>
      <c r="Q352" s="42" t="s">
        <v>57</v>
      </c>
      <c r="R352" s="32">
        <v>2035</v>
      </c>
      <c r="S352" s="43" t="str">
        <f t="shared" si="44"/>
        <v>*0.96</v>
      </c>
      <c r="U352" s="32" t="s">
        <v>1226</v>
      </c>
      <c r="V352" s="42" t="s">
        <v>57</v>
      </c>
      <c r="W352" s="32">
        <v>2050</v>
      </c>
      <c r="X352" s="43" t="str">
        <f t="shared" si="45"/>
        <v>*0.93</v>
      </c>
      <c r="AC352" s="33" t="s">
        <v>1226</v>
      </c>
      <c r="AD352" s="44" t="s">
        <v>57</v>
      </c>
      <c r="AE352" s="33">
        <v>2035</v>
      </c>
      <c r="AF352" s="45" t="str">
        <f t="shared" si="46"/>
        <v>*0.92</v>
      </c>
      <c r="AG352" s="43" t="str">
        <f t="shared" si="48"/>
        <v>REZoning_Sol-Win</v>
      </c>
      <c r="AI352" s="33" t="s">
        <v>1226</v>
      </c>
      <c r="AJ352" s="44" t="s">
        <v>57</v>
      </c>
      <c r="AK352" s="33">
        <v>2050</v>
      </c>
      <c r="AL352" s="45" t="str">
        <f t="shared" si="47"/>
        <v>*0.89</v>
      </c>
      <c r="AM352" s="43" t="str">
        <f t="shared" si="49"/>
        <v>REZoning_Sol-Win</v>
      </c>
      <c r="AP352" t="s">
        <v>1226</v>
      </c>
      <c r="AQ352" t="s">
        <v>57</v>
      </c>
      <c r="AR352">
        <v>2100</v>
      </c>
      <c r="AS352" t="s">
        <v>937</v>
      </c>
      <c r="AT352" t="s">
        <v>58</v>
      </c>
    </row>
    <row r="353" ht="29" spans="1:46">
      <c r="A353" s="31" t="s">
        <v>98</v>
      </c>
      <c r="C353" t="s">
        <v>1227</v>
      </c>
      <c r="D353" s="5" t="s">
        <v>57</v>
      </c>
      <c r="E353">
        <v>2035</v>
      </c>
      <c r="F353" s="6" t="str">
        <f t="shared" si="42"/>
        <v>*0.96</v>
      </c>
      <c r="H353" t="s">
        <v>1227</v>
      </c>
      <c r="I353" s="5" t="s">
        <v>57</v>
      </c>
      <c r="J353">
        <v>2050</v>
      </c>
      <c r="K353" s="38" t="str">
        <f t="shared" si="43"/>
        <v>*0.94</v>
      </c>
      <c r="P353" s="32" t="s">
        <v>1227</v>
      </c>
      <c r="Q353" s="42" t="s">
        <v>57</v>
      </c>
      <c r="R353" s="32">
        <v>2035</v>
      </c>
      <c r="S353" s="43" t="str">
        <f t="shared" si="44"/>
        <v>*0.96</v>
      </c>
      <c r="U353" s="32" t="s">
        <v>1227</v>
      </c>
      <c r="V353" s="42" t="s">
        <v>57</v>
      </c>
      <c r="W353" s="32">
        <v>2050</v>
      </c>
      <c r="X353" s="43" t="str">
        <f t="shared" si="45"/>
        <v>*0.93</v>
      </c>
      <c r="AC353" s="33" t="s">
        <v>1227</v>
      </c>
      <c r="AD353" s="44" t="s">
        <v>57</v>
      </c>
      <c r="AE353" s="33">
        <v>2035</v>
      </c>
      <c r="AF353" s="45" t="str">
        <f t="shared" si="46"/>
        <v>*0.92</v>
      </c>
      <c r="AG353" s="43" t="str">
        <f t="shared" si="48"/>
        <v>REZoning_Sol-Win</v>
      </c>
      <c r="AI353" s="33" t="s">
        <v>1227</v>
      </c>
      <c r="AJ353" s="44" t="s">
        <v>57</v>
      </c>
      <c r="AK353" s="33">
        <v>2050</v>
      </c>
      <c r="AL353" s="45" t="str">
        <f t="shared" si="47"/>
        <v>*0.89</v>
      </c>
      <c r="AM353" s="43" t="str">
        <f t="shared" si="49"/>
        <v>REZoning_Sol-Win</v>
      </c>
      <c r="AP353" t="s">
        <v>1227</v>
      </c>
      <c r="AQ353" t="s">
        <v>57</v>
      </c>
      <c r="AR353">
        <v>2100</v>
      </c>
      <c r="AS353" t="s">
        <v>937</v>
      </c>
      <c r="AT353" t="s">
        <v>58</v>
      </c>
    </row>
    <row r="354" ht="29" spans="1:46">
      <c r="A354" s="31" t="s">
        <v>98</v>
      </c>
      <c r="C354" t="s">
        <v>1228</v>
      </c>
      <c r="D354" s="5" t="s">
        <v>57</v>
      </c>
      <c r="E354">
        <v>2035</v>
      </c>
      <c r="F354" s="6" t="str">
        <f t="shared" si="42"/>
        <v>*0.96</v>
      </c>
      <c r="H354" t="s">
        <v>1228</v>
      </c>
      <c r="I354" s="5" t="s">
        <v>57</v>
      </c>
      <c r="J354">
        <v>2050</v>
      </c>
      <c r="K354" s="38" t="str">
        <f t="shared" si="43"/>
        <v>*0.94</v>
      </c>
      <c r="P354" s="32" t="s">
        <v>1228</v>
      </c>
      <c r="Q354" s="42" t="s">
        <v>57</v>
      </c>
      <c r="R354" s="32">
        <v>2035</v>
      </c>
      <c r="S354" s="43" t="str">
        <f t="shared" si="44"/>
        <v>*0.96</v>
      </c>
      <c r="U354" s="32" t="s">
        <v>1228</v>
      </c>
      <c r="V354" s="42" t="s">
        <v>57</v>
      </c>
      <c r="W354" s="32">
        <v>2050</v>
      </c>
      <c r="X354" s="43" t="str">
        <f t="shared" si="45"/>
        <v>*0.93</v>
      </c>
      <c r="AC354" s="33" t="s">
        <v>1228</v>
      </c>
      <c r="AD354" s="44" t="s">
        <v>57</v>
      </c>
      <c r="AE354" s="33">
        <v>2035</v>
      </c>
      <c r="AF354" s="45" t="str">
        <f t="shared" si="46"/>
        <v>*0.92</v>
      </c>
      <c r="AG354" s="43" t="str">
        <f t="shared" si="48"/>
        <v>REZoning_Sol-Win</v>
      </c>
      <c r="AI354" s="33" t="s">
        <v>1228</v>
      </c>
      <c r="AJ354" s="44" t="s">
        <v>57</v>
      </c>
      <c r="AK354" s="33">
        <v>2050</v>
      </c>
      <c r="AL354" s="45" t="str">
        <f t="shared" si="47"/>
        <v>*0.89</v>
      </c>
      <c r="AM354" s="43" t="str">
        <f t="shared" si="49"/>
        <v>REZoning_Sol-Win</v>
      </c>
      <c r="AP354" t="s">
        <v>1228</v>
      </c>
      <c r="AQ354" t="s">
        <v>57</v>
      </c>
      <c r="AR354">
        <v>2100</v>
      </c>
      <c r="AS354" t="s">
        <v>937</v>
      </c>
      <c r="AT354" t="s">
        <v>58</v>
      </c>
    </row>
    <row r="355" ht="29" spans="1:46">
      <c r="A355" s="31" t="s">
        <v>98</v>
      </c>
      <c r="C355" t="s">
        <v>1229</v>
      </c>
      <c r="D355" s="5" t="s">
        <v>57</v>
      </c>
      <c r="E355">
        <v>2035</v>
      </c>
      <c r="F355" s="6" t="str">
        <f t="shared" si="42"/>
        <v>*0.96</v>
      </c>
      <c r="H355" t="s">
        <v>1229</v>
      </c>
      <c r="I355" s="5" t="s">
        <v>57</v>
      </c>
      <c r="J355">
        <v>2050</v>
      </c>
      <c r="K355" s="38" t="str">
        <f t="shared" si="43"/>
        <v>*0.94</v>
      </c>
      <c r="P355" s="32" t="s">
        <v>1229</v>
      </c>
      <c r="Q355" s="42" t="s">
        <v>57</v>
      </c>
      <c r="R355" s="32">
        <v>2035</v>
      </c>
      <c r="S355" s="43" t="str">
        <f t="shared" si="44"/>
        <v>*0.96</v>
      </c>
      <c r="U355" s="32" t="s">
        <v>1229</v>
      </c>
      <c r="V355" s="42" t="s">
        <v>57</v>
      </c>
      <c r="W355" s="32">
        <v>2050</v>
      </c>
      <c r="X355" s="43" t="str">
        <f t="shared" si="45"/>
        <v>*0.93</v>
      </c>
      <c r="AC355" s="33" t="s">
        <v>1229</v>
      </c>
      <c r="AD355" s="44" t="s">
        <v>57</v>
      </c>
      <c r="AE355" s="33">
        <v>2035</v>
      </c>
      <c r="AF355" s="45" t="str">
        <f t="shared" si="46"/>
        <v>*0.92</v>
      </c>
      <c r="AG355" s="43" t="str">
        <f t="shared" si="48"/>
        <v>REZoning_Sol-Win</v>
      </c>
      <c r="AI355" s="33" t="s">
        <v>1229</v>
      </c>
      <c r="AJ355" s="44" t="s">
        <v>57</v>
      </c>
      <c r="AK355" s="33">
        <v>2050</v>
      </c>
      <c r="AL355" s="45" t="str">
        <f t="shared" si="47"/>
        <v>*0.89</v>
      </c>
      <c r="AM355" s="43" t="str">
        <f t="shared" si="49"/>
        <v>REZoning_Sol-Win</v>
      </c>
      <c r="AP355" t="s">
        <v>1229</v>
      </c>
      <c r="AQ355" t="s">
        <v>57</v>
      </c>
      <c r="AR355">
        <v>2100</v>
      </c>
      <c r="AS355" t="s">
        <v>937</v>
      </c>
      <c r="AT355" t="s">
        <v>58</v>
      </c>
    </row>
    <row r="356" ht="29" spans="1:46">
      <c r="A356" s="31" t="s">
        <v>98</v>
      </c>
      <c r="C356" t="s">
        <v>1230</v>
      </c>
      <c r="D356" s="5" t="s">
        <v>57</v>
      </c>
      <c r="E356">
        <v>2035</v>
      </c>
      <c r="F356" s="6" t="str">
        <f t="shared" si="42"/>
        <v>*0.96</v>
      </c>
      <c r="H356" t="s">
        <v>1230</v>
      </c>
      <c r="I356" s="5" t="s">
        <v>57</v>
      </c>
      <c r="J356">
        <v>2050</v>
      </c>
      <c r="K356" s="38" t="str">
        <f t="shared" si="43"/>
        <v>*0.94</v>
      </c>
      <c r="P356" s="32" t="s">
        <v>1230</v>
      </c>
      <c r="Q356" s="42" t="s">
        <v>57</v>
      </c>
      <c r="R356" s="32">
        <v>2035</v>
      </c>
      <c r="S356" s="43" t="str">
        <f t="shared" si="44"/>
        <v>*0.96</v>
      </c>
      <c r="U356" s="32" t="s">
        <v>1230</v>
      </c>
      <c r="V356" s="42" t="s">
        <v>57</v>
      </c>
      <c r="W356" s="32">
        <v>2050</v>
      </c>
      <c r="X356" s="43" t="str">
        <f t="shared" si="45"/>
        <v>*0.93</v>
      </c>
      <c r="AC356" s="33" t="s">
        <v>1230</v>
      </c>
      <c r="AD356" s="44" t="s">
        <v>57</v>
      </c>
      <c r="AE356" s="33">
        <v>2035</v>
      </c>
      <c r="AF356" s="45" t="str">
        <f t="shared" si="46"/>
        <v>*0.92</v>
      </c>
      <c r="AG356" s="43" t="str">
        <f t="shared" si="48"/>
        <v>REZoning_Sol-Win</v>
      </c>
      <c r="AI356" s="33" t="s">
        <v>1230</v>
      </c>
      <c r="AJ356" s="44" t="s">
        <v>57</v>
      </c>
      <c r="AK356" s="33">
        <v>2050</v>
      </c>
      <c r="AL356" s="45" t="str">
        <f t="shared" si="47"/>
        <v>*0.89</v>
      </c>
      <c r="AM356" s="43" t="str">
        <f t="shared" si="49"/>
        <v>REZoning_Sol-Win</v>
      </c>
      <c r="AP356" t="s">
        <v>1230</v>
      </c>
      <c r="AQ356" t="s">
        <v>57</v>
      </c>
      <c r="AR356">
        <v>2100</v>
      </c>
      <c r="AS356" t="s">
        <v>937</v>
      </c>
      <c r="AT356" t="s">
        <v>58</v>
      </c>
    </row>
    <row r="357" ht="29" spans="1:46">
      <c r="A357" s="31" t="s">
        <v>98</v>
      </c>
      <c r="C357" t="s">
        <v>1231</v>
      </c>
      <c r="D357" s="5" t="s">
        <v>57</v>
      </c>
      <c r="E357">
        <v>2035</v>
      </c>
      <c r="F357" s="6" t="str">
        <f t="shared" si="42"/>
        <v>*0.96</v>
      </c>
      <c r="H357" t="s">
        <v>1231</v>
      </c>
      <c r="I357" s="5" t="s">
        <v>57</v>
      </c>
      <c r="J357">
        <v>2050</v>
      </c>
      <c r="K357" s="38" t="str">
        <f t="shared" si="43"/>
        <v>*0.94</v>
      </c>
      <c r="P357" s="32" t="s">
        <v>1231</v>
      </c>
      <c r="Q357" s="42" t="s">
        <v>57</v>
      </c>
      <c r="R357" s="32">
        <v>2035</v>
      </c>
      <c r="S357" s="43" t="str">
        <f t="shared" si="44"/>
        <v>*0.96</v>
      </c>
      <c r="U357" s="32" t="s">
        <v>1231</v>
      </c>
      <c r="V357" s="42" t="s">
        <v>57</v>
      </c>
      <c r="W357" s="32">
        <v>2050</v>
      </c>
      <c r="X357" s="43" t="str">
        <f t="shared" si="45"/>
        <v>*0.93</v>
      </c>
      <c r="AC357" s="33" t="s">
        <v>1231</v>
      </c>
      <c r="AD357" s="44" t="s">
        <v>57</v>
      </c>
      <c r="AE357" s="33">
        <v>2035</v>
      </c>
      <c r="AF357" s="45" t="str">
        <f t="shared" si="46"/>
        <v>*0.92</v>
      </c>
      <c r="AG357" s="43" t="str">
        <f t="shared" si="48"/>
        <v>REZoning_Sol-Win</v>
      </c>
      <c r="AI357" s="33" t="s">
        <v>1231</v>
      </c>
      <c r="AJ357" s="44" t="s">
        <v>57</v>
      </c>
      <c r="AK357" s="33">
        <v>2050</v>
      </c>
      <c r="AL357" s="45" t="str">
        <f t="shared" si="47"/>
        <v>*0.89</v>
      </c>
      <c r="AM357" s="43" t="str">
        <f t="shared" si="49"/>
        <v>REZoning_Sol-Win</v>
      </c>
      <c r="AP357" t="s">
        <v>1231</v>
      </c>
      <c r="AQ357" t="s">
        <v>57</v>
      </c>
      <c r="AR357">
        <v>2100</v>
      </c>
      <c r="AS357" t="s">
        <v>937</v>
      </c>
      <c r="AT357" t="s">
        <v>58</v>
      </c>
    </row>
    <row r="358" ht="29" spans="1:46">
      <c r="A358" s="31" t="s">
        <v>98</v>
      </c>
      <c r="C358" t="s">
        <v>1232</v>
      </c>
      <c r="D358" s="5" t="s">
        <v>57</v>
      </c>
      <c r="E358">
        <v>2035</v>
      </c>
      <c r="F358" s="6" t="str">
        <f t="shared" si="42"/>
        <v>*0.96</v>
      </c>
      <c r="H358" t="s">
        <v>1232</v>
      </c>
      <c r="I358" s="5" t="s">
        <v>57</v>
      </c>
      <c r="J358">
        <v>2050</v>
      </c>
      <c r="K358" s="38" t="str">
        <f t="shared" si="43"/>
        <v>*0.94</v>
      </c>
      <c r="P358" s="32" t="s">
        <v>1232</v>
      </c>
      <c r="Q358" s="42" t="s">
        <v>57</v>
      </c>
      <c r="R358" s="32">
        <v>2035</v>
      </c>
      <c r="S358" s="43" t="str">
        <f t="shared" si="44"/>
        <v>*0.96</v>
      </c>
      <c r="U358" s="32" t="s">
        <v>1232</v>
      </c>
      <c r="V358" s="42" t="s">
        <v>57</v>
      </c>
      <c r="W358" s="32">
        <v>2050</v>
      </c>
      <c r="X358" s="43" t="str">
        <f t="shared" si="45"/>
        <v>*0.93</v>
      </c>
      <c r="AC358" s="33" t="s">
        <v>1232</v>
      </c>
      <c r="AD358" s="44" t="s">
        <v>57</v>
      </c>
      <c r="AE358" s="33">
        <v>2035</v>
      </c>
      <c r="AF358" s="45" t="str">
        <f t="shared" si="46"/>
        <v>*0.92</v>
      </c>
      <c r="AG358" s="43" t="str">
        <f t="shared" si="48"/>
        <v>REZoning_Sol-Win</v>
      </c>
      <c r="AI358" s="33" t="s">
        <v>1232</v>
      </c>
      <c r="AJ358" s="44" t="s">
        <v>57</v>
      </c>
      <c r="AK358" s="33">
        <v>2050</v>
      </c>
      <c r="AL358" s="45" t="str">
        <f t="shared" si="47"/>
        <v>*0.89</v>
      </c>
      <c r="AM358" s="43" t="str">
        <f t="shared" si="49"/>
        <v>REZoning_Sol-Win</v>
      </c>
      <c r="AP358" t="s">
        <v>1232</v>
      </c>
      <c r="AQ358" t="s">
        <v>57</v>
      </c>
      <c r="AR358">
        <v>2100</v>
      </c>
      <c r="AS358" t="s">
        <v>937</v>
      </c>
      <c r="AT358" t="s">
        <v>58</v>
      </c>
    </row>
    <row r="359" ht="29" spans="1:46">
      <c r="A359" s="31" t="s">
        <v>98</v>
      </c>
      <c r="C359" t="s">
        <v>1233</v>
      </c>
      <c r="D359" s="5" t="s">
        <v>57</v>
      </c>
      <c r="E359">
        <v>2035</v>
      </c>
      <c r="F359" s="6" t="str">
        <f t="shared" si="42"/>
        <v>*0.96</v>
      </c>
      <c r="H359" t="s">
        <v>1233</v>
      </c>
      <c r="I359" s="5" t="s">
        <v>57</v>
      </c>
      <c r="J359">
        <v>2050</v>
      </c>
      <c r="K359" s="38" t="str">
        <f t="shared" si="43"/>
        <v>*0.94</v>
      </c>
      <c r="P359" s="32" t="s">
        <v>1233</v>
      </c>
      <c r="Q359" s="42" t="s">
        <v>57</v>
      </c>
      <c r="R359" s="32">
        <v>2035</v>
      </c>
      <c r="S359" s="43" t="str">
        <f t="shared" si="44"/>
        <v>*0.96</v>
      </c>
      <c r="U359" s="32" t="s">
        <v>1233</v>
      </c>
      <c r="V359" s="42" t="s">
        <v>57</v>
      </c>
      <c r="W359" s="32">
        <v>2050</v>
      </c>
      <c r="X359" s="43" t="str">
        <f t="shared" si="45"/>
        <v>*0.93</v>
      </c>
      <c r="AC359" s="33" t="s">
        <v>1233</v>
      </c>
      <c r="AD359" s="44" t="s">
        <v>57</v>
      </c>
      <c r="AE359" s="33">
        <v>2035</v>
      </c>
      <c r="AF359" s="45" t="str">
        <f t="shared" si="46"/>
        <v>*0.92</v>
      </c>
      <c r="AG359" s="43" t="str">
        <f t="shared" si="48"/>
        <v>REZoning_Sol-Win</v>
      </c>
      <c r="AI359" s="33" t="s">
        <v>1233</v>
      </c>
      <c r="AJ359" s="44" t="s">
        <v>57</v>
      </c>
      <c r="AK359" s="33">
        <v>2050</v>
      </c>
      <c r="AL359" s="45" t="str">
        <f t="shared" si="47"/>
        <v>*0.89</v>
      </c>
      <c r="AM359" s="43" t="str">
        <f t="shared" si="49"/>
        <v>REZoning_Sol-Win</v>
      </c>
      <c r="AP359" t="s">
        <v>1233</v>
      </c>
      <c r="AQ359" t="s">
        <v>57</v>
      </c>
      <c r="AR359">
        <v>2100</v>
      </c>
      <c r="AS359" t="s">
        <v>937</v>
      </c>
      <c r="AT359" t="s">
        <v>58</v>
      </c>
    </row>
    <row r="360" ht="29" spans="1:46">
      <c r="A360" s="31" t="s">
        <v>98</v>
      </c>
      <c r="C360" t="s">
        <v>1234</v>
      </c>
      <c r="D360" s="5" t="s">
        <v>57</v>
      </c>
      <c r="E360">
        <v>2035</v>
      </c>
      <c r="F360" s="6" t="str">
        <f t="shared" si="42"/>
        <v>*0.96</v>
      </c>
      <c r="H360" t="s">
        <v>1234</v>
      </c>
      <c r="I360" s="5" t="s">
        <v>57</v>
      </c>
      <c r="J360">
        <v>2050</v>
      </c>
      <c r="K360" s="38" t="str">
        <f t="shared" si="43"/>
        <v>*0.94</v>
      </c>
      <c r="P360" s="32" t="s">
        <v>1234</v>
      </c>
      <c r="Q360" s="42" t="s">
        <v>57</v>
      </c>
      <c r="R360" s="32">
        <v>2035</v>
      </c>
      <c r="S360" s="43" t="str">
        <f t="shared" si="44"/>
        <v>*0.96</v>
      </c>
      <c r="U360" s="32" t="s">
        <v>1234</v>
      </c>
      <c r="V360" s="42" t="s">
        <v>57</v>
      </c>
      <c r="W360" s="32">
        <v>2050</v>
      </c>
      <c r="X360" s="43" t="str">
        <f t="shared" si="45"/>
        <v>*0.93</v>
      </c>
      <c r="AC360" s="33" t="s">
        <v>1234</v>
      </c>
      <c r="AD360" s="44" t="s">
        <v>57</v>
      </c>
      <c r="AE360" s="33">
        <v>2035</v>
      </c>
      <c r="AF360" s="45" t="str">
        <f t="shared" si="46"/>
        <v>*0.92</v>
      </c>
      <c r="AG360" s="43" t="str">
        <f t="shared" si="48"/>
        <v>REZoning_Sol-Win</v>
      </c>
      <c r="AI360" s="33" t="s">
        <v>1234</v>
      </c>
      <c r="AJ360" s="44" t="s">
        <v>57</v>
      </c>
      <c r="AK360" s="33">
        <v>2050</v>
      </c>
      <c r="AL360" s="45" t="str">
        <f t="shared" si="47"/>
        <v>*0.89</v>
      </c>
      <c r="AM360" s="43" t="str">
        <f t="shared" si="49"/>
        <v>REZoning_Sol-Win</v>
      </c>
      <c r="AP360" t="s">
        <v>1234</v>
      </c>
      <c r="AQ360" t="s">
        <v>57</v>
      </c>
      <c r="AR360">
        <v>2100</v>
      </c>
      <c r="AS360" t="s">
        <v>937</v>
      </c>
      <c r="AT360" t="s">
        <v>58</v>
      </c>
    </row>
    <row r="361" ht="29" spans="1:46">
      <c r="A361" s="31" t="s">
        <v>98</v>
      </c>
      <c r="C361" t="s">
        <v>1235</v>
      </c>
      <c r="D361" s="5" t="s">
        <v>57</v>
      </c>
      <c r="E361">
        <v>2035</v>
      </c>
      <c r="F361" s="6" t="str">
        <f t="shared" si="42"/>
        <v>*0.96</v>
      </c>
      <c r="H361" t="s">
        <v>1235</v>
      </c>
      <c r="I361" s="5" t="s">
        <v>57</v>
      </c>
      <c r="J361">
        <v>2050</v>
      </c>
      <c r="K361" s="38" t="str">
        <f t="shared" si="43"/>
        <v>*0.94</v>
      </c>
      <c r="P361" s="32" t="s">
        <v>1235</v>
      </c>
      <c r="Q361" s="42" t="s">
        <v>57</v>
      </c>
      <c r="R361" s="32">
        <v>2035</v>
      </c>
      <c r="S361" s="43" t="str">
        <f t="shared" si="44"/>
        <v>*0.96</v>
      </c>
      <c r="U361" s="32" t="s">
        <v>1235</v>
      </c>
      <c r="V361" s="42" t="s">
        <v>57</v>
      </c>
      <c r="W361" s="32">
        <v>2050</v>
      </c>
      <c r="X361" s="43" t="str">
        <f t="shared" si="45"/>
        <v>*0.93</v>
      </c>
      <c r="AC361" s="33" t="s">
        <v>1235</v>
      </c>
      <c r="AD361" s="44" t="s">
        <v>57</v>
      </c>
      <c r="AE361" s="33">
        <v>2035</v>
      </c>
      <c r="AF361" s="45" t="str">
        <f t="shared" si="46"/>
        <v>*0.92</v>
      </c>
      <c r="AG361" s="43" t="str">
        <f t="shared" si="48"/>
        <v>REZoning_Sol-Win</v>
      </c>
      <c r="AI361" s="33" t="s">
        <v>1235</v>
      </c>
      <c r="AJ361" s="44" t="s">
        <v>57</v>
      </c>
      <c r="AK361" s="33">
        <v>2050</v>
      </c>
      <c r="AL361" s="45" t="str">
        <f t="shared" si="47"/>
        <v>*0.89</v>
      </c>
      <c r="AM361" s="43" t="str">
        <f t="shared" si="49"/>
        <v>REZoning_Sol-Win</v>
      </c>
      <c r="AP361" t="s">
        <v>1235</v>
      </c>
      <c r="AQ361" t="s">
        <v>57</v>
      </c>
      <c r="AR361">
        <v>2100</v>
      </c>
      <c r="AS361" t="s">
        <v>937</v>
      </c>
      <c r="AT361" t="s">
        <v>58</v>
      </c>
    </row>
    <row r="362" ht="29" spans="1:46">
      <c r="A362" s="31" t="s">
        <v>98</v>
      </c>
      <c r="C362" t="s">
        <v>1236</v>
      </c>
      <c r="D362" s="5" t="s">
        <v>57</v>
      </c>
      <c r="E362">
        <v>2035</v>
      </c>
      <c r="F362" s="6" t="str">
        <f t="shared" si="42"/>
        <v>*0.96</v>
      </c>
      <c r="H362" t="s">
        <v>1236</v>
      </c>
      <c r="I362" s="5" t="s">
        <v>57</v>
      </c>
      <c r="J362">
        <v>2050</v>
      </c>
      <c r="K362" s="38" t="str">
        <f t="shared" si="43"/>
        <v>*0.94</v>
      </c>
      <c r="P362" s="32" t="s">
        <v>1236</v>
      </c>
      <c r="Q362" s="42" t="s">
        <v>57</v>
      </c>
      <c r="R362" s="32">
        <v>2035</v>
      </c>
      <c r="S362" s="43" t="str">
        <f t="shared" si="44"/>
        <v>*0.96</v>
      </c>
      <c r="U362" s="32" t="s">
        <v>1236</v>
      </c>
      <c r="V362" s="42" t="s">
        <v>57</v>
      </c>
      <c r="W362" s="32">
        <v>2050</v>
      </c>
      <c r="X362" s="43" t="str">
        <f t="shared" si="45"/>
        <v>*0.93</v>
      </c>
      <c r="AC362" s="33" t="s">
        <v>1236</v>
      </c>
      <c r="AD362" s="44" t="s">
        <v>57</v>
      </c>
      <c r="AE362" s="33">
        <v>2035</v>
      </c>
      <c r="AF362" s="45" t="str">
        <f t="shared" si="46"/>
        <v>*0.92</v>
      </c>
      <c r="AG362" s="43" t="str">
        <f t="shared" si="48"/>
        <v>REZoning_Sol-Win</v>
      </c>
      <c r="AI362" s="33" t="s">
        <v>1236</v>
      </c>
      <c r="AJ362" s="44" t="s">
        <v>57</v>
      </c>
      <c r="AK362" s="33">
        <v>2050</v>
      </c>
      <c r="AL362" s="45" t="str">
        <f t="shared" si="47"/>
        <v>*0.89</v>
      </c>
      <c r="AM362" s="43" t="str">
        <f t="shared" si="49"/>
        <v>REZoning_Sol-Win</v>
      </c>
      <c r="AP362" t="s">
        <v>1236</v>
      </c>
      <c r="AQ362" t="s">
        <v>57</v>
      </c>
      <c r="AR362">
        <v>2100</v>
      </c>
      <c r="AS362" t="s">
        <v>937</v>
      </c>
      <c r="AT362" t="s">
        <v>58</v>
      </c>
    </row>
    <row r="363" ht="29" spans="1:46">
      <c r="A363" s="31" t="s">
        <v>98</v>
      </c>
      <c r="C363" t="s">
        <v>1237</v>
      </c>
      <c r="D363" s="5" t="s">
        <v>57</v>
      </c>
      <c r="E363">
        <v>2035</v>
      </c>
      <c r="F363" s="6" t="str">
        <f t="shared" si="42"/>
        <v>*0.96</v>
      </c>
      <c r="H363" t="s">
        <v>1237</v>
      </c>
      <c r="I363" s="5" t="s">
        <v>57</v>
      </c>
      <c r="J363">
        <v>2050</v>
      </c>
      <c r="K363" s="38" t="str">
        <f t="shared" si="43"/>
        <v>*0.94</v>
      </c>
      <c r="P363" s="32" t="s">
        <v>1237</v>
      </c>
      <c r="Q363" s="42" t="s">
        <v>57</v>
      </c>
      <c r="R363" s="32">
        <v>2035</v>
      </c>
      <c r="S363" s="43" t="str">
        <f t="shared" si="44"/>
        <v>*0.96</v>
      </c>
      <c r="U363" s="32" t="s">
        <v>1237</v>
      </c>
      <c r="V363" s="42" t="s">
        <v>57</v>
      </c>
      <c r="W363" s="32">
        <v>2050</v>
      </c>
      <c r="X363" s="43" t="str">
        <f t="shared" si="45"/>
        <v>*0.93</v>
      </c>
      <c r="AC363" s="33" t="s">
        <v>1237</v>
      </c>
      <c r="AD363" s="44" t="s">
        <v>57</v>
      </c>
      <c r="AE363" s="33">
        <v>2035</v>
      </c>
      <c r="AF363" s="45" t="str">
        <f t="shared" si="46"/>
        <v>*0.92</v>
      </c>
      <c r="AG363" s="43" t="str">
        <f t="shared" si="48"/>
        <v>REZoning_Sol-Win</v>
      </c>
      <c r="AI363" s="33" t="s">
        <v>1237</v>
      </c>
      <c r="AJ363" s="44" t="s">
        <v>57</v>
      </c>
      <c r="AK363" s="33">
        <v>2050</v>
      </c>
      <c r="AL363" s="45" t="str">
        <f t="shared" si="47"/>
        <v>*0.89</v>
      </c>
      <c r="AM363" s="43" t="str">
        <f t="shared" si="49"/>
        <v>REZoning_Sol-Win</v>
      </c>
      <c r="AP363" t="s">
        <v>1237</v>
      </c>
      <c r="AQ363" t="s">
        <v>57</v>
      </c>
      <c r="AR363">
        <v>2100</v>
      </c>
      <c r="AS363" t="s">
        <v>937</v>
      </c>
      <c r="AT363" t="s">
        <v>58</v>
      </c>
    </row>
    <row r="364" ht="29" spans="1:46">
      <c r="A364" s="31" t="s">
        <v>98</v>
      </c>
      <c r="C364" t="s">
        <v>1238</v>
      </c>
      <c r="D364" s="5" t="s">
        <v>57</v>
      </c>
      <c r="E364">
        <v>2035</v>
      </c>
      <c r="F364" s="6" t="str">
        <f t="shared" si="42"/>
        <v>*0.96</v>
      </c>
      <c r="H364" t="s">
        <v>1238</v>
      </c>
      <c r="I364" s="5" t="s">
        <v>57</v>
      </c>
      <c r="J364">
        <v>2050</v>
      </c>
      <c r="K364" s="38" t="str">
        <f t="shared" si="43"/>
        <v>*0.94</v>
      </c>
      <c r="P364" s="32" t="s">
        <v>1238</v>
      </c>
      <c r="Q364" s="42" t="s">
        <v>57</v>
      </c>
      <c r="R364" s="32">
        <v>2035</v>
      </c>
      <c r="S364" s="43" t="str">
        <f t="shared" si="44"/>
        <v>*0.96</v>
      </c>
      <c r="U364" s="32" t="s">
        <v>1238</v>
      </c>
      <c r="V364" s="42" t="s">
        <v>57</v>
      </c>
      <c r="W364" s="32">
        <v>2050</v>
      </c>
      <c r="X364" s="43" t="str">
        <f t="shared" si="45"/>
        <v>*0.93</v>
      </c>
      <c r="AC364" s="33" t="s">
        <v>1238</v>
      </c>
      <c r="AD364" s="44" t="s">
        <v>57</v>
      </c>
      <c r="AE364" s="33">
        <v>2035</v>
      </c>
      <c r="AF364" s="45" t="str">
        <f t="shared" si="46"/>
        <v>*0.92</v>
      </c>
      <c r="AG364" s="43" t="str">
        <f t="shared" si="48"/>
        <v>REZoning_Sol-Win</v>
      </c>
      <c r="AI364" s="33" t="s">
        <v>1238</v>
      </c>
      <c r="AJ364" s="44" t="s">
        <v>57</v>
      </c>
      <c r="AK364" s="33">
        <v>2050</v>
      </c>
      <c r="AL364" s="45" t="str">
        <f t="shared" si="47"/>
        <v>*0.89</v>
      </c>
      <c r="AM364" s="43" t="str">
        <f t="shared" si="49"/>
        <v>REZoning_Sol-Win</v>
      </c>
      <c r="AP364" t="s">
        <v>1238</v>
      </c>
      <c r="AQ364" t="s">
        <v>57</v>
      </c>
      <c r="AR364">
        <v>2100</v>
      </c>
      <c r="AS364" t="s">
        <v>937</v>
      </c>
      <c r="AT364" t="s">
        <v>58</v>
      </c>
    </row>
    <row r="365" ht="29" spans="1:46">
      <c r="A365" s="31" t="s">
        <v>98</v>
      </c>
      <c r="C365" t="s">
        <v>1239</v>
      </c>
      <c r="D365" s="5" t="s">
        <v>57</v>
      </c>
      <c r="E365">
        <v>2035</v>
      </c>
      <c r="F365" s="6" t="str">
        <f t="shared" si="42"/>
        <v>*0.96</v>
      </c>
      <c r="H365" t="s">
        <v>1239</v>
      </c>
      <c r="I365" s="5" t="s">
        <v>57</v>
      </c>
      <c r="J365">
        <v>2050</v>
      </c>
      <c r="K365" s="38" t="str">
        <f t="shared" si="43"/>
        <v>*0.94</v>
      </c>
      <c r="P365" s="32" t="s">
        <v>1239</v>
      </c>
      <c r="Q365" s="42" t="s">
        <v>57</v>
      </c>
      <c r="R365" s="32">
        <v>2035</v>
      </c>
      <c r="S365" s="43" t="str">
        <f t="shared" si="44"/>
        <v>*0.96</v>
      </c>
      <c r="U365" s="32" t="s">
        <v>1239</v>
      </c>
      <c r="V365" s="42" t="s">
        <v>57</v>
      </c>
      <c r="W365" s="32">
        <v>2050</v>
      </c>
      <c r="X365" s="43" t="str">
        <f t="shared" si="45"/>
        <v>*0.93</v>
      </c>
      <c r="AC365" s="33" t="s">
        <v>1239</v>
      </c>
      <c r="AD365" s="44" t="s">
        <v>57</v>
      </c>
      <c r="AE365" s="33">
        <v>2035</v>
      </c>
      <c r="AF365" s="45" t="str">
        <f t="shared" si="46"/>
        <v>*0.92</v>
      </c>
      <c r="AG365" s="43" t="str">
        <f t="shared" si="48"/>
        <v>REZoning_Sol-Win</v>
      </c>
      <c r="AI365" s="33" t="s">
        <v>1239</v>
      </c>
      <c r="AJ365" s="44" t="s">
        <v>57</v>
      </c>
      <c r="AK365" s="33">
        <v>2050</v>
      </c>
      <c r="AL365" s="45" t="str">
        <f t="shared" si="47"/>
        <v>*0.89</v>
      </c>
      <c r="AM365" s="43" t="str">
        <f t="shared" si="49"/>
        <v>REZoning_Sol-Win</v>
      </c>
      <c r="AP365" t="s">
        <v>1239</v>
      </c>
      <c r="AQ365" t="s">
        <v>57</v>
      </c>
      <c r="AR365">
        <v>2100</v>
      </c>
      <c r="AS365" t="s">
        <v>937</v>
      </c>
      <c r="AT365" t="s">
        <v>58</v>
      </c>
    </row>
    <row r="366" ht="29" spans="1:46">
      <c r="A366" s="31" t="s">
        <v>98</v>
      </c>
      <c r="C366" t="s">
        <v>1240</v>
      </c>
      <c r="D366" s="5" t="s">
        <v>57</v>
      </c>
      <c r="E366">
        <v>2035</v>
      </c>
      <c r="F366" s="6" t="str">
        <f t="shared" si="42"/>
        <v>*0.96</v>
      </c>
      <c r="H366" t="s">
        <v>1240</v>
      </c>
      <c r="I366" s="5" t="s">
        <v>57</v>
      </c>
      <c r="J366">
        <v>2050</v>
      </c>
      <c r="K366" s="38" t="str">
        <f t="shared" si="43"/>
        <v>*0.94</v>
      </c>
      <c r="P366" s="32" t="s">
        <v>1240</v>
      </c>
      <c r="Q366" s="42" t="s">
        <v>57</v>
      </c>
      <c r="R366" s="32">
        <v>2035</v>
      </c>
      <c r="S366" s="43" t="str">
        <f t="shared" si="44"/>
        <v>*0.96</v>
      </c>
      <c r="U366" s="32" t="s">
        <v>1240</v>
      </c>
      <c r="V366" s="42" t="s">
        <v>57</v>
      </c>
      <c r="W366" s="32">
        <v>2050</v>
      </c>
      <c r="X366" s="43" t="str">
        <f t="shared" si="45"/>
        <v>*0.93</v>
      </c>
      <c r="AC366" s="33" t="s">
        <v>1240</v>
      </c>
      <c r="AD366" s="44" t="s">
        <v>57</v>
      </c>
      <c r="AE366" s="33">
        <v>2035</v>
      </c>
      <c r="AF366" s="45" t="str">
        <f t="shared" si="46"/>
        <v>*0.92</v>
      </c>
      <c r="AG366" s="43" t="str">
        <f t="shared" si="48"/>
        <v>REZoning_Sol-Win</v>
      </c>
      <c r="AI366" s="33" t="s">
        <v>1240</v>
      </c>
      <c r="AJ366" s="44" t="s">
        <v>57</v>
      </c>
      <c r="AK366" s="33">
        <v>2050</v>
      </c>
      <c r="AL366" s="45" t="str">
        <f t="shared" si="47"/>
        <v>*0.89</v>
      </c>
      <c r="AM366" s="43" t="str">
        <f t="shared" si="49"/>
        <v>REZoning_Sol-Win</v>
      </c>
      <c r="AP366" t="s">
        <v>1240</v>
      </c>
      <c r="AQ366" t="s">
        <v>57</v>
      </c>
      <c r="AR366">
        <v>2100</v>
      </c>
      <c r="AS366" t="s">
        <v>937</v>
      </c>
      <c r="AT366" t="s">
        <v>58</v>
      </c>
    </row>
    <row r="367" ht="29" spans="1:46">
      <c r="A367" s="31" t="s">
        <v>98</v>
      </c>
      <c r="C367" t="s">
        <v>1241</v>
      </c>
      <c r="D367" s="5" t="s">
        <v>57</v>
      </c>
      <c r="E367">
        <v>2035</v>
      </c>
      <c r="F367" s="6" t="str">
        <f t="shared" si="42"/>
        <v>*0.96</v>
      </c>
      <c r="H367" t="s">
        <v>1241</v>
      </c>
      <c r="I367" s="5" t="s">
        <v>57</v>
      </c>
      <c r="J367">
        <v>2050</v>
      </c>
      <c r="K367" s="38" t="str">
        <f t="shared" si="43"/>
        <v>*0.94</v>
      </c>
      <c r="P367" s="32" t="s">
        <v>1241</v>
      </c>
      <c r="Q367" s="42" t="s">
        <v>57</v>
      </c>
      <c r="R367" s="32">
        <v>2035</v>
      </c>
      <c r="S367" s="43" t="str">
        <f t="shared" si="44"/>
        <v>*0.96</v>
      </c>
      <c r="U367" s="32" t="s">
        <v>1241</v>
      </c>
      <c r="V367" s="42" t="s">
        <v>57</v>
      </c>
      <c r="W367" s="32">
        <v>2050</v>
      </c>
      <c r="X367" s="43" t="str">
        <f t="shared" si="45"/>
        <v>*0.93</v>
      </c>
      <c r="AC367" s="33" t="s">
        <v>1241</v>
      </c>
      <c r="AD367" s="44" t="s">
        <v>57</v>
      </c>
      <c r="AE367" s="33">
        <v>2035</v>
      </c>
      <c r="AF367" s="45" t="str">
        <f t="shared" si="46"/>
        <v>*0.92</v>
      </c>
      <c r="AG367" s="43" t="str">
        <f t="shared" si="48"/>
        <v>REZoning_Sol-Win</v>
      </c>
      <c r="AI367" s="33" t="s">
        <v>1241</v>
      </c>
      <c r="AJ367" s="44" t="s">
        <v>57</v>
      </c>
      <c r="AK367" s="33">
        <v>2050</v>
      </c>
      <c r="AL367" s="45" t="str">
        <f t="shared" si="47"/>
        <v>*0.89</v>
      </c>
      <c r="AM367" s="43" t="str">
        <f t="shared" si="49"/>
        <v>REZoning_Sol-Win</v>
      </c>
      <c r="AP367" t="s">
        <v>1241</v>
      </c>
      <c r="AQ367" t="s">
        <v>57</v>
      </c>
      <c r="AR367">
        <v>2100</v>
      </c>
      <c r="AS367" t="s">
        <v>937</v>
      </c>
      <c r="AT367" t="s">
        <v>58</v>
      </c>
    </row>
    <row r="368" ht="29" spans="1:46">
      <c r="A368" s="31" t="s">
        <v>98</v>
      </c>
      <c r="C368" t="s">
        <v>1242</v>
      </c>
      <c r="D368" s="5" t="s">
        <v>57</v>
      </c>
      <c r="E368">
        <v>2035</v>
      </c>
      <c r="F368" s="6" t="str">
        <f t="shared" si="42"/>
        <v>*0.96</v>
      </c>
      <c r="H368" t="s">
        <v>1242</v>
      </c>
      <c r="I368" s="5" t="s">
        <v>57</v>
      </c>
      <c r="J368">
        <v>2050</v>
      </c>
      <c r="K368" s="38" t="str">
        <f t="shared" si="43"/>
        <v>*0.94</v>
      </c>
      <c r="P368" s="32" t="s">
        <v>1242</v>
      </c>
      <c r="Q368" s="42" t="s">
        <v>57</v>
      </c>
      <c r="R368" s="32">
        <v>2035</v>
      </c>
      <c r="S368" s="43" t="str">
        <f t="shared" si="44"/>
        <v>*0.96</v>
      </c>
      <c r="U368" s="32" t="s">
        <v>1242</v>
      </c>
      <c r="V368" s="42" t="s">
        <v>57</v>
      </c>
      <c r="W368" s="32">
        <v>2050</v>
      </c>
      <c r="X368" s="43" t="str">
        <f t="shared" si="45"/>
        <v>*0.93</v>
      </c>
      <c r="AC368" s="33" t="s">
        <v>1242</v>
      </c>
      <c r="AD368" s="44" t="s">
        <v>57</v>
      </c>
      <c r="AE368" s="33">
        <v>2035</v>
      </c>
      <c r="AF368" s="45" t="str">
        <f t="shared" si="46"/>
        <v>*0.92</v>
      </c>
      <c r="AG368" s="43" t="str">
        <f t="shared" si="48"/>
        <v>REZoning_Sol-Win</v>
      </c>
      <c r="AI368" s="33" t="s">
        <v>1242</v>
      </c>
      <c r="AJ368" s="44" t="s">
        <v>57</v>
      </c>
      <c r="AK368" s="33">
        <v>2050</v>
      </c>
      <c r="AL368" s="45" t="str">
        <f t="shared" si="47"/>
        <v>*0.89</v>
      </c>
      <c r="AM368" s="43" t="str">
        <f t="shared" si="49"/>
        <v>REZoning_Sol-Win</v>
      </c>
      <c r="AP368" t="s">
        <v>1242</v>
      </c>
      <c r="AQ368" t="s">
        <v>57</v>
      </c>
      <c r="AR368">
        <v>2100</v>
      </c>
      <c r="AS368" t="s">
        <v>937</v>
      </c>
      <c r="AT368" t="s">
        <v>58</v>
      </c>
    </row>
    <row r="369" ht="29" spans="1:46">
      <c r="A369" s="31" t="s">
        <v>98</v>
      </c>
      <c r="C369" t="s">
        <v>1243</v>
      </c>
      <c r="D369" s="5" t="s">
        <v>57</v>
      </c>
      <c r="E369">
        <v>2035</v>
      </c>
      <c r="F369" s="6" t="str">
        <f t="shared" si="42"/>
        <v>*0.96</v>
      </c>
      <c r="H369" t="s">
        <v>1243</v>
      </c>
      <c r="I369" s="5" t="s">
        <v>57</v>
      </c>
      <c r="J369">
        <v>2050</v>
      </c>
      <c r="K369" s="38" t="str">
        <f t="shared" si="43"/>
        <v>*0.94</v>
      </c>
      <c r="P369" s="32" t="s">
        <v>1243</v>
      </c>
      <c r="Q369" s="42" t="s">
        <v>57</v>
      </c>
      <c r="R369" s="32">
        <v>2035</v>
      </c>
      <c r="S369" s="43" t="str">
        <f t="shared" si="44"/>
        <v>*0.96</v>
      </c>
      <c r="U369" s="32" t="s">
        <v>1243</v>
      </c>
      <c r="V369" s="42" t="s">
        <v>57</v>
      </c>
      <c r="W369" s="32">
        <v>2050</v>
      </c>
      <c r="X369" s="43" t="str">
        <f t="shared" si="45"/>
        <v>*0.93</v>
      </c>
      <c r="AC369" s="33" t="s">
        <v>1243</v>
      </c>
      <c r="AD369" s="44" t="s">
        <v>57</v>
      </c>
      <c r="AE369" s="33">
        <v>2035</v>
      </c>
      <c r="AF369" s="45" t="str">
        <f t="shared" si="46"/>
        <v>*0.92</v>
      </c>
      <c r="AG369" s="43" t="str">
        <f t="shared" si="48"/>
        <v>REZoning_Sol-Win</v>
      </c>
      <c r="AI369" s="33" t="s">
        <v>1243</v>
      </c>
      <c r="AJ369" s="44" t="s">
        <v>57</v>
      </c>
      <c r="AK369" s="33">
        <v>2050</v>
      </c>
      <c r="AL369" s="45" t="str">
        <f t="shared" si="47"/>
        <v>*0.89</v>
      </c>
      <c r="AM369" s="43" t="str">
        <f t="shared" si="49"/>
        <v>REZoning_Sol-Win</v>
      </c>
      <c r="AP369" t="s">
        <v>1243</v>
      </c>
      <c r="AQ369" t="s">
        <v>57</v>
      </c>
      <c r="AR369">
        <v>2100</v>
      </c>
      <c r="AS369" t="s">
        <v>937</v>
      </c>
      <c r="AT369" t="s">
        <v>58</v>
      </c>
    </row>
    <row r="370" ht="29" spans="1:46">
      <c r="A370" s="31" t="s">
        <v>98</v>
      </c>
      <c r="C370" t="s">
        <v>1244</v>
      </c>
      <c r="D370" s="5" t="s">
        <v>57</v>
      </c>
      <c r="E370">
        <v>2035</v>
      </c>
      <c r="F370" s="6" t="str">
        <f t="shared" si="42"/>
        <v>*0.96</v>
      </c>
      <c r="H370" t="s">
        <v>1244</v>
      </c>
      <c r="I370" s="5" t="s">
        <v>57</v>
      </c>
      <c r="J370">
        <v>2050</v>
      </c>
      <c r="K370" s="38" t="str">
        <f t="shared" si="43"/>
        <v>*0.94</v>
      </c>
      <c r="P370" s="32" t="s">
        <v>1244</v>
      </c>
      <c r="Q370" s="42" t="s">
        <v>57</v>
      </c>
      <c r="R370" s="32">
        <v>2035</v>
      </c>
      <c r="S370" s="43" t="str">
        <f t="shared" si="44"/>
        <v>*0.96</v>
      </c>
      <c r="U370" s="32" t="s">
        <v>1244</v>
      </c>
      <c r="V370" s="42" t="s">
        <v>57</v>
      </c>
      <c r="W370" s="32">
        <v>2050</v>
      </c>
      <c r="X370" s="43" t="str">
        <f t="shared" si="45"/>
        <v>*0.93</v>
      </c>
      <c r="AC370" s="33" t="s">
        <v>1244</v>
      </c>
      <c r="AD370" s="44" t="s">
        <v>57</v>
      </c>
      <c r="AE370" s="33">
        <v>2035</v>
      </c>
      <c r="AF370" s="45" t="str">
        <f t="shared" si="46"/>
        <v>*0.92</v>
      </c>
      <c r="AG370" s="43" t="str">
        <f t="shared" si="48"/>
        <v>REZoning_Sol-Win</v>
      </c>
      <c r="AI370" s="33" t="s">
        <v>1244</v>
      </c>
      <c r="AJ370" s="44" t="s">
        <v>57</v>
      </c>
      <c r="AK370" s="33">
        <v>2050</v>
      </c>
      <c r="AL370" s="45" t="str">
        <f t="shared" si="47"/>
        <v>*0.89</v>
      </c>
      <c r="AM370" s="43" t="str">
        <f t="shared" si="49"/>
        <v>REZoning_Sol-Win</v>
      </c>
      <c r="AP370" t="s">
        <v>1244</v>
      </c>
      <c r="AQ370" t="s">
        <v>57</v>
      </c>
      <c r="AR370">
        <v>2100</v>
      </c>
      <c r="AS370" t="s">
        <v>937</v>
      </c>
      <c r="AT370" t="s">
        <v>58</v>
      </c>
    </row>
    <row r="371" ht="29" spans="1:46">
      <c r="A371" s="31" t="s">
        <v>98</v>
      </c>
      <c r="C371" t="s">
        <v>1245</v>
      </c>
      <c r="D371" s="5" t="s">
        <v>57</v>
      </c>
      <c r="E371">
        <v>2035</v>
      </c>
      <c r="F371" s="6" t="str">
        <f t="shared" si="42"/>
        <v>*0.96</v>
      </c>
      <c r="H371" t="s">
        <v>1245</v>
      </c>
      <c r="I371" s="5" t="s">
        <v>57</v>
      </c>
      <c r="J371">
        <v>2050</v>
      </c>
      <c r="K371" s="38" t="str">
        <f t="shared" si="43"/>
        <v>*0.94</v>
      </c>
      <c r="P371" s="32" t="s">
        <v>1245</v>
      </c>
      <c r="Q371" s="42" t="s">
        <v>57</v>
      </c>
      <c r="R371" s="32">
        <v>2035</v>
      </c>
      <c r="S371" s="43" t="str">
        <f t="shared" si="44"/>
        <v>*0.96</v>
      </c>
      <c r="U371" s="32" t="s">
        <v>1245</v>
      </c>
      <c r="V371" s="42" t="s">
        <v>57</v>
      </c>
      <c r="W371" s="32">
        <v>2050</v>
      </c>
      <c r="X371" s="43" t="str">
        <f t="shared" si="45"/>
        <v>*0.93</v>
      </c>
      <c r="AC371" s="33" t="s">
        <v>1245</v>
      </c>
      <c r="AD371" s="44" t="s">
        <v>57</v>
      </c>
      <c r="AE371" s="33">
        <v>2035</v>
      </c>
      <c r="AF371" s="45" t="str">
        <f t="shared" si="46"/>
        <v>*0.92</v>
      </c>
      <c r="AG371" s="43" t="str">
        <f t="shared" si="48"/>
        <v>REZoning_Sol-Win</v>
      </c>
      <c r="AI371" s="33" t="s">
        <v>1245</v>
      </c>
      <c r="AJ371" s="44" t="s">
        <v>57</v>
      </c>
      <c r="AK371" s="33">
        <v>2050</v>
      </c>
      <c r="AL371" s="45" t="str">
        <f t="shared" si="47"/>
        <v>*0.89</v>
      </c>
      <c r="AM371" s="43" t="str">
        <f t="shared" si="49"/>
        <v>REZoning_Sol-Win</v>
      </c>
      <c r="AP371" t="s">
        <v>1245</v>
      </c>
      <c r="AQ371" t="s">
        <v>57</v>
      </c>
      <c r="AR371">
        <v>2100</v>
      </c>
      <c r="AS371" t="s">
        <v>937</v>
      </c>
      <c r="AT371" t="s">
        <v>58</v>
      </c>
    </row>
    <row r="372" ht="29" spans="1:46">
      <c r="A372" s="31" t="s">
        <v>98</v>
      </c>
      <c r="C372" t="s">
        <v>1246</v>
      </c>
      <c r="D372" s="5" t="s">
        <v>57</v>
      </c>
      <c r="E372">
        <v>2035</v>
      </c>
      <c r="F372" s="6" t="str">
        <f t="shared" si="42"/>
        <v>*0.96</v>
      </c>
      <c r="H372" t="s">
        <v>1246</v>
      </c>
      <c r="I372" s="5" t="s">
        <v>57</v>
      </c>
      <c r="J372">
        <v>2050</v>
      </c>
      <c r="K372" s="38" t="str">
        <f t="shared" si="43"/>
        <v>*0.94</v>
      </c>
      <c r="P372" s="32" t="s">
        <v>1246</v>
      </c>
      <c r="Q372" s="42" t="s">
        <v>57</v>
      </c>
      <c r="R372" s="32">
        <v>2035</v>
      </c>
      <c r="S372" s="43" t="str">
        <f t="shared" si="44"/>
        <v>*0.96</v>
      </c>
      <c r="U372" s="32" t="s">
        <v>1246</v>
      </c>
      <c r="V372" s="42" t="s">
        <v>57</v>
      </c>
      <c r="W372" s="32">
        <v>2050</v>
      </c>
      <c r="X372" s="43" t="str">
        <f t="shared" si="45"/>
        <v>*0.93</v>
      </c>
      <c r="AC372" s="33" t="s">
        <v>1246</v>
      </c>
      <c r="AD372" s="44" t="s">
        <v>57</v>
      </c>
      <c r="AE372" s="33">
        <v>2035</v>
      </c>
      <c r="AF372" s="45" t="str">
        <f t="shared" si="46"/>
        <v>*0.92</v>
      </c>
      <c r="AG372" s="43" t="str">
        <f t="shared" si="48"/>
        <v>REZoning_Sol-Win</v>
      </c>
      <c r="AI372" s="33" t="s">
        <v>1246</v>
      </c>
      <c r="AJ372" s="44" t="s">
        <v>57</v>
      </c>
      <c r="AK372" s="33">
        <v>2050</v>
      </c>
      <c r="AL372" s="45" t="str">
        <f t="shared" si="47"/>
        <v>*0.89</v>
      </c>
      <c r="AM372" s="43" t="str">
        <f t="shared" si="49"/>
        <v>REZoning_Sol-Win</v>
      </c>
      <c r="AP372" t="s">
        <v>1246</v>
      </c>
      <c r="AQ372" t="s">
        <v>57</v>
      </c>
      <c r="AR372">
        <v>2100</v>
      </c>
      <c r="AS372" t="s">
        <v>937</v>
      </c>
      <c r="AT372" t="s">
        <v>58</v>
      </c>
    </row>
    <row r="373" ht="29" spans="1:46">
      <c r="A373" s="31" t="s">
        <v>98</v>
      </c>
      <c r="C373" t="s">
        <v>1247</v>
      </c>
      <c r="D373" s="5" t="s">
        <v>57</v>
      </c>
      <c r="E373">
        <v>2035</v>
      </c>
      <c r="F373" s="6" t="str">
        <f t="shared" si="42"/>
        <v>*0.96</v>
      </c>
      <c r="H373" t="s">
        <v>1247</v>
      </c>
      <c r="I373" s="5" t="s">
        <v>57</v>
      </c>
      <c r="J373">
        <v>2050</v>
      </c>
      <c r="K373" s="38" t="str">
        <f t="shared" si="43"/>
        <v>*0.94</v>
      </c>
      <c r="P373" s="32" t="s">
        <v>1247</v>
      </c>
      <c r="Q373" s="42" t="s">
        <v>57</v>
      </c>
      <c r="R373" s="32">
        <v>2035</v>
      </c>
      <c r="S373" s="43" t="str">
        <f t="shared" si="44"/>
        <v>*0.96</v>
      </c>
      <c r="U373" s="32" t="s">
        <v>1247</v>
      </c>
      <c r="V373" s="42" t="s">
        <v>57</v>
      </c>
      <c r="W373" s="32">
        <v>2050</v>
      </c>
      <c r="X373" s="43" t="str">
        <f t="shared" si="45"/>
        <v>*0.93</v>
      </c>
      <c r="AC373" s="33" t="s">
        <v>1247</v>
      </c>
      <c r="AD373" s="44" t="s">
        <v>57</v>
      </c>
      <c r="AE373" s="33">
        <v>2035</v>
      </c>
      <c r="AF373" s="45" t="str">
        <f t="shared" si="46"/>
        <v>*0.92</v>
      </c>
      <c r="AG373" s="43" t="str">
        <f t="shared" si="48"/>
        <v>REZoning_Sol-Win</v>
      </c>
      <c r="AI373" s="33" t="s">
        <v>1247</v>
      </c>
      <c r="AJ373" s="44" t="s">
        <v>57</v>
      </c>
      <c r="AK373" s="33">
        <v>2050</v>
      </c>
      <c r="AL373" s="45" t="str">
        <f t="shared" si="47"/>
        <v>*0.89</v>
      </c>
      <c r="AM373" s="43" t="str">
        <f t="shared" si="49"/>
        <v>REZoning_Sol-Win</v>
      </c>
      <c r="AP373" t="s">
        <v>1247</v>
      </c>
      <c r="AQ373" t="s">
        <v>57</v>
      </c>
      <c r="AR373">
        <v>2100</v>
      </c>
      <c r="AS373" t="s">
        <v>937</v>
      </c>
      <c r="AT373" t="s">
        <v>58</v>
      </c>
    </row>
    <row r="374" ht="29" spans="1:46">
      <c r="A374" s="31" t="s">
        <v>98</v>
      </c>
      <c r="C374" t="s">
        <v>1248</v>
      </c>
      <c r="D374" s="5" t="s">
        <v>57</v>
      </c>
      <c r="E374">
        <v>2035</v>
      </c>
      <c r="F374" s="6" t="str">
        <f t="shared" si="42"/>
        <v>*0.96</v>
      </c>
      <c r="H374" t="s">
        <v>1248</v>
      </c>
      <c r="I374" s="5" t="s">
        <v>57</v>
      </c>
      <c r="J374">
        <v>2050</v>
      </c>
      <c r="K374" s="38" t="str">
        <f t="shared" si="43"/>
        <v>*0.94</v>
      </c>
      <c r="P374" s="32" t="s">
        <v>1248</v>
      </c>
      <c r="Q374" s="42" t="s">
        <v>57</v>
      </c>
      <c r="R374" s="32">
        <v>2035</v>
      </c>
      <c r="S374" s="43" t="str">
        <f t="shared" si="44"/>
        <v>*0.96</v>
      </c>
      <c r="U374" s="32" t="s">
        <v>1248</v>
      </c>
      <c r="V374" s="42" t="s">
        <v>57</v>
      </c>
      <c r="W374" s="32">
        <v>2050</v>
      </c>
      <c r="X374" s="43" t="str">
        <f t="shared" si="45"/>
        <v>*0.93</v>
      </c>
      <c r="AC374" s="33" t="s">
        <v>1248</v>
      </c>
      <c r="AD374" s="44" t="s">
        <v>57</v>
      </c>
      <c r="AE374" s="33">
        <v>2035</v>
      </c>
      <c r="AF374" s="45" t="str">
        <f t="shared" si="46"/>
        <v>*0.92</v>
      </c>
      <c r="AG374" s="43" t="str">
        <f t="shared" si="48"/>
        <v>REZoning_Sol-Win</v>
      </c>
      <c r="AI374" s="33" t="s">
        <v>1248</v>
      </c>
      <c r="AJ374" s="44" t="s">
        <v>57</v>
      </c>
      <c r="AK374" s="33">
        <v>2050</v>
      </c>
      <c r="AL374" s="45" t="str">
        <f t="shared" si="47"/>
        <v>*0.89</v>
      </c>
      <c r="AM374" s="43" t="str">
        <f t="shared" si="49"/>
        <v>REZoning_Sol-Win</v>
      </c>
      <c r="AP374" t="s">
        <v>1248</v>
      </c>
      <c r="AQ374" t="s">
        <v>57</v>
      </c>
      <c r="AR374">
        <v>2100</v>
      </c>
      <c r="AS374" t="s">
        <v>937</v>
      </c>
      <c r="AT374" t="s">
        <v>58</v>
      </c>
    </row>
    <row r="375" ht="29" spans="1:46">
      <c r="A375" s="31" t="s">
        <v>98</v>
      </c>
      <c r="C375" t="s">
        <v>1249</v>
      </c>
      <c r="D375" s="5" t="s">
        <v>57</v>
      </c>
      <c r="E375">
        <v>2035</v>
      </c>
      <c r="F375" s="6" t="str">
        <f t="shared" si="42"/>
        <v>*0.96</v>
      </c>
      <c r="H375" t="s">
        <v>1249</v>
      </c>
      <c r="I375" s="5" t="s">
        <v>57</v>
      </c>
      <c r="J375">
        <v>2050</v>
      </c>
      <c r="K375" s="38" t="str">
        <f t="shared" si="43"/>
        <v>*0.94</v>
      </c>
      <c r="P375" s="32" t="s">
        <v>1249</v>
      </c>
      <c r="Q375" s="42" t="s">
        <v>57</v>
      </c>
      <c r="R375" s="32">
        <v>2035</v>
      </c>
      <c r="S375" s="43" t="str">
        <f t="shared" si="44"/>
        <v>*0.96</v>
      </c>
      <c r="U375" s="32" t="s">
        <v>1249</v>
      </c>
      <c r="V375" s="42" t="s">
        <v>57</v>
      </c>
      <c r="W375" s="32">
        <v>2050</v>
      </c>
      <c r="X375" s="43" t="str">
        <f t="shared" si="45"/>
        <v>*0.93</v>
      </c>
      <c r="AC375" s="33" t="s">
        <v>1249</v>
      </c>
      <c r="AD375" s="44" t="s">
        <v>57</v>
      </c>
      <c r="AE375" s="33">
        <v>2035</v>
      </c>
      <c r="AF375" s="45" t="str">
        <f t="shared" si="46"/>
        <v>*0.92</v>
      </c>
      <c r="AG375" s="43" t="str">
        <f t="shared" si="48"/>
        <v>REZoning_Sol-Win</v>
      </c>
      <c r="AI375" s="33" t="s">
        <v>1249</v>
      </c>
      <c r="AJ375" s="44" t="s">
        <v>57</v>
      </c>
      <c r="AK375" s="33">
        <v>2050</v>
      </c>
      <c r="AL375" s="45" t="str">
        <f t="shared" si="47"/>
        <v>*0.89</v>
      </c>
      <c r="AM375" s="43" t="str">
        <f t="shared" si="49"/>
        <v>REZoning_Sol-Win</v>
      </c>
      <c r="AP375" t="s">
        <v>1249</v>
      </c>
      <c r="AQ375" t="s">
        <v>57</v>
      </c>
      <c r="AR375">
        <v>2100</v>
      </c>
      <c r="AS375" t="s">
        <v>937</v>
      </c>
      <c r="AT375" t="s">
        <v>58</v>
      </c>
    </row>
    <row r="376" ht="29" spans="1:46">
      <c r="A376" s="31" t="s">
        <v>98</v>
      </c>
      <c r="C376" t="s">
        <v>1250</v>
      </c>
      <c r="D376" s="5" t="s">
        <v>57</v>
      </c>
      <c r="E376">
        <v>2035</v>
      </c>
      <c r="F376" s="6" t="str">
        <f t="shared" si="42"/>
        <v>*0.96</v>
      </c>
      <c r="H376" t="s">
        <v>1250</v>
      </c>
      <c r="I376" s="5" t="s">
        <v>57</v>
      </c>
      <c r="J376">
        <v>2050</v>
      </c>
      <c r="K376" s="38" t="str">
        <f t="shared" si="43"/>
        <v>*0.94</v>
      </c>
      <c r="P376" s="32" t="s">
        <v>1250</v>
      </c>
      <c r="Q376" s="42" t="s">
        <v>57</v>
      </c>
      <c r="R376" s="32">
        <v>2035</v>
      </c>
      <c r="S376" s="43" t="str">
        <f t="shared" si="44"/>
        <v>*0.96</v>
      </c>
      <c r="U376" s="32" t="s">
        <v>1250</v>
      </c>
      <c r="V376" s="42" t="s">
        <v>57</v>
      </c>
      <c r="W376" s="32">
        <v>2050</v>
      </c>
      <c r="X376" s="43" t="str">
        <f t="shared" si="45"/>
        <v>*0.93</v>
      </c>
      <c r="AC376" s="33" t="s">
        <v>1250</v>
      </c>
      <c r="AD376" s="44" t="s">
        <v>57</v>
      </c>
      <c r="AE376" s="33">
        <v>2035</v>
      </c>
      <c r="AF376" s="45" t="str">
        <f t="shared" si="46"/>
        <v>*0.92</v>
      </c>
      <c r="AG376" s="43" t="str">
        <f t="shared" si="48"/>
        <v>REZoning_Sol-Win</v>
      </c>
      <c r="AI376" s="33" t="s">
        <v>1250</v>
      </c>
      <c r="AJ376" s="44" t="s">
        <v>57</v>
      </c>
      <c r="AK376" s="33">
        <v>2050</v>
      </c>
      <c r="AL376" s="45" t="str">
        <f t="shared" si="47"/>
        <v>*0.89</v>
      </c>
      <c r="AM376" s="43" t="str">
        <f t="shared" si="49"/>
        <v>REZoning_Sol-Win</v>
      </c>
      <c r="AP376" t="s">
        <v>1250</v>
      </c>
      <c r="AQ376" t="s">
        <v>57</v>
      </c>
      <c r="AR376">
        <v>2100</v>
      </c>
      <c r="AS376" t="s">
        <v>937</v>
      </c>
      <c r="AT376" t="s">
        <v>58</v>
      </c>
    </row>
    <row r="377" ht="29" spans="1:46">
      <c r="A377" s="31" t="s">
        <v>98</v>
      </c>
      <c r="C377" t="s">
        <v>1251</v>
      </c>
      <c r="D377" s="5" t="s">
        <v>57</v>
      </c>
      <c r="E377">
        <v>2035</v>
      </c>
      <c r="F377" s="6" t="str">
        <f t="shared" si="42"/>
        <v>*0.96</v>
      </c>
      <c r="H377" t="s">
        <v>1251</v>
      </c>
      <c r="I377" s="5" t="s">
        <v>57</v>
      </c>
      <c r="J377">
        <v>2050</v>
      </c>
      <c r="K377" s="38" t="str">
        <f t="shared" si="43"/>
        <v>*0.94</v>
      </c>
      <c r="P377" s="32" t="s">
        <v>1251</v>
      </c>
      <c r="Q377" s="42" t="s">
        <v>57</v>
      </c>
      <c r="R377" s="32">
        <v>2035</v>
      </c>
      <c r="S377" s="43" t="str">
        <f t="shared" si="44"/>
        <v>*0.96</v>
      </c>
      <c r="U377" s="32" t="s">
        <v>1251</v>
      </c>
      <c r="V377" s="42" t="s">
        <v>57</v>
      </c>
      <c r="W377" s="32">
        <v>2050</v>
      </c>
      <c r="X377" s="43" t="str">
        <f t="shared" si="45"/>
        <v>*0.93</v>
      </c>
      <c r="AC377" s="33" t="s">
        <v>1251</v>
      </c>
      <c r="AD377" s="44" t="s">
        <v>57</v>
      </c>
      <c r="AE377" s="33">
        <v>2035</v>
      </c>
      <c r="AF377" s="45" t="str">
        <f t="shared" si="46"/>
        <v>*0.92</v>
      </c>
      <c r="AG377" s="43" t="str">
        <f t="shared" si="48"/>
        <v>REZoning_Sol-Win</v>
      </c>
      <c r="AI377" s="33" t="s">
        <v>1251</v>
      </c>
      <c r="AJ377" s="44" t="s">
        <v>57</v>
      </c>
      <c r="AK377" s="33">
        <v>2050</v>
      </c>
      <c r="AL377" s="45" t="str">
        <f t="shared" si="47"/>
        <v>*0.89</v>
      </c>
      <c r="AM377" s="43" t="str">
        <f t="shared" si="49"/>
        <v>REZoning_Sol-Win</v>
      </c>
      <c r="AP377" t="s">
        <v>1251</v>
      </c>
      <c r="AQ377" t="s">
        <v>57</v>
      </c>
      <c r="AR377">
        <v>2100</v>
      </c>
      <c r="AS377" t="s">
        <v>937</v>
      </c>
      <c r="AT377" t="s">
        <v>58</v>
      </c>
    </row>
    <row r="378" ht="29" spans="1:46">
      <c r="A378" s="31" t="s">
        <v>98</v>
      </c>
      <c r="C378" t="s">
        <v>1252</v>
      </c>
      <c r="D378" s="5" t="s">
        <v>57</v>
      </c>
      <c r="E378">
        <v>2035</v>
      </c>
      <c r="F378" s="6" t="str">
        <f t="shared" si="42"/>
        <v>*0.96</v>
      </c>
      <c r="H378" t="s">
        <v>1252</v>
      </c>
      <c r="I378" s="5" t="s">
        <v>57</v>
      </c>
      <c r="J378">
        <v>2050</v>
      </c>
      <c r="K378" s="38" t="str">
        <f t="shared" si="43"/>
        <v>*0.94</v>
      </c>
      <c r="P378" s="32" t="s">
        <v>1252</v>
      </c>
      <c r="Q378" s="42" t="s">
        <v>57</v>
      </c>
      <c r="R378" s="32">
        <v>2035</v>
      </c>
      <c r="S378" s="43" t="str">
        <f t="shared" si="44"/>
        <v>*0.96</v>
      </c>
      <c r="U378" s="32" t="s">
        <v>1252</v>
      </c>
      <c r="V378" s="42" t="s">
        <v>57</v>
      </c>
      <c r="W378" s="32">
        <v>2050</v>
      </c>
      <c r="X378" s="43" t="str">
        <f t="shared" si="45"/>
        <v>*0.93</v>
      </c>
      <c r="AC378" s="33" t="s">
        <v>1252</v>
      </c>
      <c r="AD378" s="44" t="s">
        <v>57</v>
      </c>
      <c r="AE378" s="33">
        <v>2035</v>
      </c>
      <c r="AF378" s="45" t="str">
        <f t="shared" si="46"/>
        <v>*0.92</v>
      </c>
      <c r="AG378" s="43" t="str">
        <f t="shared" si="48"/>
        <v>REZoning_Sol-Win</v>
      </c>
      <c r="AI378" s="33" t="s">
        <v>1252</v>
      </c>
      <c r="AJ378" s="44" t="s">
        <v>57</v>
      </c>
      <c r="AK378" s="33">
        <v>2050</v>
      </c>
      <c r="AL378" s="45" t="str">
        <f t="shared" si="47"/>
        <v>*0.89</v>
      </c>
      <c r="AM378" s="43" t="str">
        <f t="shared" si="49"/>
        <v>REZoning_Sol-Win</v>
      </c>
      <c r="AP378" t="s">
        <v>1252</v>
      </c>
      <c r="AQ378" t="s">
        <v>57</v>
      </c>
      <c r="AR378">
        <v>2100</v>
      </c>
      <c r="AS378" t="s">
        <v>937</v>
      </c>
      <c r="AT378" t="s">
        <v>58</v>
      </c>
    </row>
    <row r="379" ht="29" spans="1:46">
      <c r="A379" s="31" t="s">
        <v>98</v>
      </c>
      <c r="C379" t="s">
        <v>1253</v>
      </c>
      <c r="D379" s="5" t="s">
        <v>57</v>
      </c>
      <c r="E379">
        <v>2035</v>
      </c>
      <c r="F379" s="6" t="str">
        <f t="shared" si="42"/>
        <v>*0.96</v>
      </c>
      <c r="H379" t="s">
        <v>1253</v>
      </c>
      <c r="I379" s="5" t="s">
        <v>57</v>
      </c>
      <c r="J379">
        <v>2050</v>
      </c>
      <c r="K379" s="38" t="str">
        <f t="shared" si="43"/>
        <v>*0.94</v>
      </c>
      <c r="P379" s="32" t="s">
        <v>1253</v>
      </c>
      <c r="Q379" s="42" t="s">
        <v>57</v>
      </c>
      <c r="R379" s="32">
        <v>2035</v>
      </c>
      <c r="S379" s="43" t="str">
        <f t="shared" si="44"/>
        <v>*0.96</v>
      </c>
      <c r="U379" s="32" t="s">
        <v>1253</v>
      </c>
      <c r="V379" s="42" t="s">
        <v>57</v>
      </c>
      <c r="W379" s="32">
        <v>2050</v>
      </c>
      <c r="X379" s="43" t="str">
        <f t="shared" si="45"/>
        <v>*0.93</v>
      </c>
      <c r="AC379" s="33" t="s">
        <v>1253</v>
      </c>
      <c r="AD379" s="44" t="s">
        <v>57</v>
      </c>
      <c r="AE379" s="33">
        <v>2035</v>
      </c>
      <c r="AF379" s="45" t="str">
        <f t="shared" si="46"/>
        <v>*0.92</v>
      </c>
      <c r="AG379" s="43" t="str">
        <f t="shared" si="48"/>
        <v>REZoning_Sol-Win</v>
      </c>
      <c r="AI379" s="33" t="s">
        <v>1253</v>
      </c>
      <c r="AJ379" s="44" t="s">
        <v>57</v>
      </c>
      <c r="AK379" s="33">
        <v>2050</v>
      </c>
      <c r="AL379" s="45" t="str">
        <f t="shared" si="47"/>
        <v>*0.89</v>
      </c>
      <c r="AM379" s="43" t="str">
        <f t="shared" si="49"/>
        <v>REZoning_Sol-Win</v>
      </c>
      <c r="AP379" t="s">
        <v>1253</v>
      </c>
      <c r="AQ379" t="s">
        <v>57</v>
      </c>
      <c r="AR379">
        <v>2100</v>
      </c>
      <c r="AS379" t="s">
        <v>937</v>
      </c>
      <c r="AT379" t="s">
        <v>58</v>
      </c>
    </row>
    <row r="380" ht="29" spans="1:46">
      <c r="A380" s="31" t="s">
        <v>98</v>
      </c>
      <c r="C380" t="s">
        <v>1254</v>
      </c>
      <c r="D380" s="5" t="s">
        <v>57</v>
      </c>
      <c r="E380">
        <v>2035</v>
      </c>
      <c r="F380" s="6" t="str">
        <f t="shared" si="42"/>
        <v>*0.96</v>
      </c>
      <c r="H380" t="s">
        <v>1254</v>
      </c>
      <c r="I380" s="5" t="s">
        <v>57</v>
      </c>
      <c r="J380">
        <v>2050</v>
      </c>
      <c r="K380" s="38" t="str">
        <f t="shared" si="43"/>
        <v>*0.94</v>
      </c>
      <c r="P380" s="32" t="s">
        <v>1254</v>
      </c>
      <c r="Q380" s="42" t="s">
        <v>57</v>
      </c>
      <c r="R380" s="32">
        <v>2035</v>
      </c>
      <c r="S380" s="43" t="str">
        <f t="shared" si="44"/>
        <v>*0.96</v>
      </c>
      <c r="U380" s="32" t="s">
        <v>1254</v>
      </c>
      <c r="V380" s="42" t="s">
        <v>57</v>
      </c>
      <c r="W380" s="32">
        <v>2050</v>
      </c>
      <c r="X380" s="43" t="str">
        <f t="shared" si="45"/>
        <v>*0.93</v>
      </c>
      <c r="AC380" s="33" t="s">
        <v>1254</v>
      </c>
      <c r="AD380" s="44" t="s">
        <v>57</v>
      </c>
      <c r="AE380" s="33">
        <v>2035</v>
      </c>
      <c r="AF380" s="45" t="str">
        <f t="shared" si="46"/>
        <v>*0.92</v>
      </c>
      <c r="AG380" s="43" t="str">
        <f t="shared" si="48"/>
        <v>REZoning_Sol-Win</v>
      </c>
      <c r="AI380" s="33" t="s">
        <v>1254</v>
      </c>
      <c r="AJ380" s="44" t="s">
        <v>57</v>
      </c>
      <c r="AK380" s="33">
        <v>2050</v>
      </c>
      <c r="AL380" s="45" t="str">
        <f t="shared" si="47"/>
        <v>*0.89</v>
      </c>
      <c r="AM380" s="43" t="str">
        <f t="shared" si="49"/>
        <v>REZoning_Sol-Win</v>
      </c>
      <c r="AP380" t="s">
        <v>1254</v>
      </c>
      <c r="AQ380" t="s">
        <v>57</v>
      </c>
      <c r="AR380">
        <v>2100</v>
      </c>
      <c r="AS380" t="s">
        <v>937</v>
      </c>
      <c r="AT380" t="s">
        <v>58</v>
      </c>
    </row>
    <row r="381" ht="29" spans="1:46">
      <c r="A381" s="31" t="s">
        <v>98</v>
      </c>
      <c r="C381" t="s">
        <v>1255</v>
      </c>
      <c r="D381" s="5" t="s">
        <v>57</v>
      </c>
      <c r="E381">
        <v>2035</v>
      </c>
      <c r="F381" s="6" t="str">
        <f t="shared" si="42"/>
        <v>*0.96</v>
      </c>
      <c r="H381" t="s">
        <v>1255</v>
      </c>
      <c r="I381" s="5" t="s">
        <v>57</v>
      </c>
      <c r="J381">
        <v>2050</v>
      </c>
      <c r="K381" s="38" t="str">
        <f t="shared" si="43"/>
        <v>*0.94</v>
      </c>
      <c r="P381" s="32" t="s">
        <v>1255</v>
      </c>
      <c r="Q381" s="42" t="s">
        <v>57</v>
      </c>
      <c r="R381" s="32">
        <v>2035</v>
      </c>
      <c r="S381" s="43" t="str">
        <f t="shared" si="44"/>
        <v>*0.96</v>
      </c>
      <c r="U381" s="32" t="s">
        <v>1255</v>
      </c>
      <c r="V381" s="42" t="s">
        <v>57</v>
      </c>
      <c r="W381" s="32">
        <v>2050</v>
      </c>
      <c r="X381" s="43" t="str">
        <f t="shared" si="45"/>
        <v>*0.93</v>
      </c>
      <c r="AC381" s="33" t="s">
        <v>1255</v>
      </c>
      <c r="AD381" s="44" t="s">
        <v>57</v>
      </c>
      <c r="AE381" s="33">
        <v>2035</v>
      </c>
      <c r="AF381" s="45" t="str">
        <f t="shared" si="46"/>
        <v>*0.92</v>
      </c>
      <c r="AG381" s="43" t="str">
        <f t="shared" si="48"/>
        <v>REZoning_Sol-Win</v>
      </c>
      <c r="AI381" s="33" t="s">
        <v>1255</v>
      </c>
      <c r="AJ381" s="44" t="s">
        <v>57</v>
      </c>
      <c r="AK381" s="33">
        <v>2050</v>
      </c>
      <c r="AL381" s="45" t="str">
        <f t="shared" si="47"/>
        <v>*0.89</v>
      </c>
      <c r="AM381" s="43" t="str">
        <f t="shared" si="49"/>
        <v>REZoning_Sol-Win</v>
      </c>
      <c r="AP381" t="s">
        <v>1255</v>
      </c>
      <c r="AQ381" t="s">
        <v>57</v>
      </c>
      <c r="AR381">
        <v>2100</v>
      </c>
      <c r="AS381" t="s">
        <v>937</v>
      </c>
      <c r="AT381" t="s">
        <v>58</v>
      </c>
    </row>
    <row r="382" ht="29" spans="1:46">
      <c r="A382" s="31" t="s">
        <v>98</v>
      </c>
      <c r="C382" t="s">
        <v>1256</v>
      </c>
      <c r="D382" s="5" t="s">
        <v>57</v>
      </c>
      <c r="E382">
        <v>2035</v>
      </c>
      <c r="F382" s="6" t="str">
        <f t="shared" si="42"/>
        <v>*0.96</v>
      </c>
      <c r="H382" t="s">
        <v>1256</v>
      </c>
      <c r="I382" s="5" t="s">
        <v>57</v>
      </c>
      <c r="J382">
        <v>2050</v>
      </c>
      <c r="K382" s="38" t="str">
        <f t="shared" si="43"/>
        <v>*0.94</v>
      </c>
      <c r="P382" s="32" t="s">
        <v>1256</v>
      </c>
      <c r="Q382" s="42" t="s">
        <v>57</v>
      </c>
      <c r="R382" s="32">
        <v>2035</v>
      </c>
      <c r="S382" s="43" t="str">
        <f t="shared" si="44"/>
        <v>*0.96</v>
      </c>
      <c r="U382" s="32" t="s">
        <v>1256</v>
      </c>
      <c r="V382" s="42" t="s">
        <v>57</v>
      </c>
      <c r="W382" s="32">
        <v>2050</v>
      </c>
      <c r="X382" s="43" t="str">
        <f t="shared" si="45"/>
        <v>*0.93</v>
      </c>
      <c r="AC382" s="33" t="s">
        <v>1256</v>
      </c>
      <c r="AD382" s="44" t="s">
        <v>57</v>
      </c>
      <c r="AE382" s="33">
        <v>2035</v>
      </c>
      <c r="AF382" s="45" t="str">
        <f t="shared" si="46"/>
        <v>*0.92</v>
      </c>
      <c r="AG382" s="43" t="str">
        <f t="shared" si="48"/>
        <v>REZoning_Sol-Win</v>
      </c>
      <c r="AI382" s="33" t="s">
        <v>1256</v>
      </c>
      <c r="AJ382" s="44" t="s">
        <v>57</v>
      </c>
      <c r="AK382" s="33">
        <v>2050</v>
      </c>
      <c r="AL382" s="45" t="str">
        <f t="shared" si="47"/>
        <v>*0.89</v>
      </c>
      <c r="AM382" s="43" t="str">
        <f t="shared" si="49"/>
        <v>REZoning_Sol-Win</v>
      </c>
      <c r="AP382" t="s">
        <v>1256</v>
      </c>
      <c r="AQ382" t="s">
        <v>57</v>
      </c>
      <c r="AR382">
        <v>2100</v>
      </c>
      <c r="AS382" t="s">
        <v>937</v>
      </c>
      <c r="AT382" t="s">
        <v>58</v>
      </c>
    </row>
    <row r="383" ht="29" spans="1:46">
      <c r="A383" s="31" t="s">
        <v>98</v>
      </c>
      <c r="C383" t="s">
        <v>1257</v>
      </c>
      <c r="D383" s="5" t="s">
        <v>57</v>
      </c>
      <c r="E383">
        <v>2035</v>
      </c>
      <c r="F383" s="6" t="str">
        <f t="shared" si="42"/>
        <v>*0.96</v>
      </c>
      <c r="H383" t="s">
        <v>1257</v>
      </c>
      <c r="I383" s="5" t="s">
        <v>57</v>
      </c>
      <c r="J383">
        <v>2050</v>
      </c>
      <c r="K383" s="38" t="str">
        <f t="shared" si="43"/>
        <v>*0.94</v>
      </c>
      <c r="P383" s="32" t="s">
        <v>1257</v>
      </c>
      <c r="Q383" s="42" t="s">
        <v>57</v>
      </c>
      <c r="R383" s="32">
        <v>2035</v>
      </c>
      <c r="S383" s="43" t="str">
        <f t="shared" si="44"/>
        <v>*0.96</v>
      </c>
      <c r="U383" s="32" t="s">
        <v>1257</v>
      </c>
      <c r="V383" s="42" t="s">
        <v>57</v>
      </c>
      <c r="W383" s="32">
        <v>2050</v>
      </c>
      <c r="X383" s="43" t="str">
        <f t="shared" si="45"/>
        <v>*0.93</v>
      </c>
      <c r="AC383" s="33" t="s">
        <v>1257</v>
      </c>
      <c r="AD383" s="44" t="s">
        <v>57</v>
      </c>
      <c r="AE383" s="33">
        <v>2035</v>
      </c>
      <c r="AF383" s="45" t="str">
        <f t="shared" si="46"/>
        <v>*0.92</v>
      </c>
      <c r="AG383" s="43" t="str">
        <f t="shared" si="48"/>
        <v>REZoning_Sol-Win</v>
      </c>
      <c r="AI383" s="33" t="s">
        <v>1257</v>
      </c>
      <c r="AJ383" s="44" t="s">
        <v>57</v>
      </c>
      <c r="AK383" s="33">
        <v>2050</v>
      </c>
      <c r="AL383" s="45" t="str">
        <f t="shared" si="47"/>
        <v>*0.89</v>
      </c>
      <c r="AM383" s="43" t="str">
        <f t="shared" si="49"/>
        <v>REZoning_Sol-Win</v>
      </c>
      <c r="AP383" t="s">
        <v>1257</v>
      </c>
      <c r="AQ383" t="s">
        <v>57</v>
      </c>
      <c r="AR383">
        <v>2100</v>
      </c>
      <c r="AS383" t="s">
        <v>937</v>
      </c>
      <c r="AT383" t="s">
        <v>58</v>
      </c>
    </row>
    <row r="384" ht="29" spans="1:46">
      <c r="A384" s="31" t="s">
        <v>98</v>
      </c>
      <c r="C384" t="s">
        <v>1258</v>
      </c>
      <c r="D384" s="5" t="s">
        <v>57</v>
      </c>
      <c r="E384">
        <v>2035</v>
      </c>
      <c r="F384" s="6" t="str">
        <f t="shared" si="42"/>
        <v>*0.96</v>
      </c>
      <c r="H384" t="s">
        <v>1258</v>
      </c>
      <c r="I384" s="5" t="s">
        <v>57</v>
      </c>
      <c r="J384">
        <v>2050</v>
      </c>
      <c r="K384" s="38" t="str">
        <f t="shared" si="43"/>
        <v>*0.94</v>
      </c>
      <c r="P384" s="32" t="s">
        <v>1258</v>
      </c>
      <c r="Q384" s="42" t="s">
        <v>57</v>
      </c>
      <c r="R384" s="32">
        <v>2035</v>
      </c>
      <c r="S384" s="43" t="str">
        <f t="shared" si="44"/>
        <v>*0.96</v>
      </c>
      <c r="U384" s="32" t="s">
        <v>1258</v>
      </c>
      <c r="V384" s="42" t="s">
        <v>57</v>
      </c>
      <c r="W384" s="32">
        <v>2050</v>
      </c>
      <c r="X384" s="43" t="str">
        <f t="shared" si="45"/>
        <v>*0.93</v>
      </c>
      <c r="AC384" s="33" t="s">
        <v>1258</v>
      </c>
      <c r="AD384" s="44" t="s">
        <v>57</v>
      </c>
      <c r="AE384" s="33">
        <v>2035</v>
      </c>
      <c r="AF384" s="45" t="str">
        <f t="shared" si="46"/>
        <v>*0.92</v>
      </c>
      <c r="AG384" s="43" t="str">
        <f t="shared" si="48"/>
        <v>REZoning_Sol-Win</v>
      </c>
      <c r="AI384" s="33" t="s">
        <v>1258</v>
      </c>
      <c r="AJ384" s="44" t="s">
        <v>57</v>
      </c>
      <c r="AK384" s="33">
        <v>2050</v>
      </c>
      <c r="AL384" s="45" t="str">
        <f t="shared" si="47"/>
        <v>*0.89</v>
      </c>
      <c r="AM384" s="43" t="str">
        <f t="shared" si="49"/>
        <v>REZoning_Sol-Win</v>
      </c>
      <c r="AP384" t="s">
        <v>1258</v>
      </c>
      <c r="AQ384" t="s">
        <v>57</v>
      </c>
      <c r="AR384">
        <v>2100</v>
      </c>
      <c r="AS384" t="s">
        <v>937</v>
      </c>
      <c r="AT384" t="s">
        <v>58</v>
      </c>
    </row>
    <row r="385" ht="29" spans="1:46">
      <c r="A385" s="31" t="s">
        <v>98</v>
      </c>
      <c r="C385" t="s">
        <v>1259</v>
      </c>
      <c r="D385" s="5" t="s">
        <v>57</v>
      </c>
      <c r="E385">
        <v>2035</v>
      </c>
      <c r="F385" s="6" t="str">
        <f t="shared" si="42"/>
        <v>*0.96</v>
      </c>
      <c r="H385" t="s">
        <v>1259</v>
      </c>
      <c r="I385" s="5" t="s">
        <v>57</v>
      </c>
      <c r="J385">
        <v>2050</v>
      </c>
      <c r="K385" s="38" t="str">
        <f t="shared" si="43"/>
        <v>*0.94</v>
      </c>
      <c r="P385" s="32" t="s">
        <v>1259</v>
      </c>
      <c r="Q385" s="42" t="s">
        <v>57</v>
      </c>
      <c r="R385" s="32">
        <v>2035</v>
      </c>
      <c r="S385" s="43" t="str">
        <f t="shared" si="44"/>
        <v>*0.96</v>
      </c>
      <c r="U385" s="32" t="s">
        <v>1259</v>
      </c>
      <c r="V385" s="42" t="s">
        <v>57</v>
      </c>
      <c r="W385" s="32">
        <v>2050</v>
      </c>
      <c r="X385" s="43" t="str">
        <f t="shared" si="45"/>
        <v>*0.93</v>
      </c>
      <c r="AC385" s="33" t="s">
        <v>1259</v>
      </c>
      <c r="AD385" s="44" t="s">
        <v>57</v>
      </c>
      <c r="AE385" s="33">
        <v>2035</v>
      </c>
      <c r="AF385" s="45" t="str">
        <f t="shared" si="46"/>
        <v>*0.92</v>
      </c>
      <c r="AG385" s="43" t="str">
        <f t="shared" si="48"/>
        <v>REZoning_Sol-Win</v>
      </c>
      <c r="AI385" s="33" t="s">
        <v>1259</v>
      </c>
      <c r="AJ385" s="44" t="s">
        <v>57</v>
      </c>
      <c r="AK385" s="33">
        <v>2050</v>
      </c>
      <c r="AL385" s="45" t="str">
        <f t="shared" si="47"/>
        <v>*0.89</v>
      </c>
      <c r="AM385" s="43" t="str">
        <f t="shared" si="49"/>
        <v>REZoning_Sol-Win</v>
      </c>
      <c r="AP385" t="s">
        <v>1259</v>
      </c>
      <c r="AQ385" t="s">
        <v>57</v>
      </c>
      <c r="AR385">
        <v>2100</v>
      </c>
      <c r="AS385" t="s">
        <v>937</v>
      </c>
      <c r="AT385" t="s">
        <v>58</v>
      </c>
    </row>
    <row r="386" ht="29" spans="1:46">
      <c r="A386" s="31" t="s">
        <v>98</v>
      </c>
      <c r="C386" t="s">
        <v>1260</v>
      </c>
      <c r="D386" s="5" t="s">
        <v>57</v>
      </c>
      <c r="E386">
        <v>2035</v>
      </c>
      <c r="F386" s="6" t="str">
        <f t="shared" si="42"/>
        <v>*0.96</v>
      </c>
      <c r="H386" t="s">
        <v>1260</v>
      </c>
      <c r="I386" s="5" t="s">
        <v>57</v>
      </c>
      <c r="J386">
        <v>2050</v>
      </c>
      <c r="K386" s="38" t="str">
        <f t="shared" si="43"/>
        <v>*0.94</v>
      </c>
      <c r="P386" s="32" t="s">
        <v>1260</v>
      </c>
      <c r="Q386" s="42" t="s">
        <v>57</v>
      </c>
      <c r="R386" s="32">
        <v>2035</v>
      </c>
      <c r="S386" s="43" t="str">
        <f t="shared" si="44"/>
        <v>*0.96</v>
      </c>
      <c r="U386" s="32" t="s">
        <v>1260</v>
      </c>
      <c r="V386" s="42" t="s">
        <v>57</v>
      </c>
      <c r="W386" s="32">
        <v>2050</v>
      </c>
      <c r="X386" s="43" t="str">
        <f t="shared" si="45"/>
        <v>*0.93</v>
      </c>
      <c r="AC386" s="33" t="s">
        <v>1260</v>
      </c>
      <c r="AD386" s="44" t="s">
        <v>57</v>
      </c>
      <c r="AE386" s="33">
        <v>2035</v>
      </c>
      <c r="AF386" s="45" t="str">
        <f t="shared" si="46"/>
        <v>*0.92</v>
      </c>
      <c r="AG386" s="43" t="str">
        <f t="shared" si="48"/>
        <v>REZoning_Sol-Win</v>
      </c>
      <c r="AI386" s="33" t="s">
        <v>1260</v>
      </c>
      <c r="AJ386" s="44" t="s">
        <v>57</v>
      </c>
      <c r="AK386" s="33">
        <v>2050</v>
      </c>
      <c r="AL386" s="45" t="str">
        <f t="shared" si="47"/>
        <v>*0.89</v>
      </c>
      <c r="AM386" s="43" t="str">
        <f t="shared" si="49"/>
        <v>REZoning_Sol-Win</v>
      </c>
      <c r="AP386" t="s">
        <v>1260</v>
      </c>
      <c r="AQ386" t="s">
        <v>57</v>
      </c>
      <c r="AR386">
        <v>2100</v>
      </c>
      <c r="AS386" t="s">
        <v>937</v>
      </c>
      <c r="AT386" t="s">
        <v>58</v>
      </c>
    </row>
    <row r="387" ht="29" spans="1:46">
      <c r="A387" s="31" t="s">
        <v>98</v>
      </c>
      <c r="C387" t="s">
        <v>1261</v>
      </c>
      <c r="D387" s="5" t="s">
        <v>57</v>
      </c>
      <c r="E387">
        <v>2035</v>
      </c>
      <c r="F387" s="6" t="str">
        <f t="shared" si="42"/>
        <v>*0.96</v>
      </c>
      <c r="H387" t="s">
        <v>1261</v>
      </c>
      <c r="I387" s="5" t="s">
        <v>57</v>
      </c>
      <c r="J387">
        <v>2050</v>
      </c>
      <c r="K387" s="38" t="str">
        <f t="shared" si="43"/>
        <v>*0.94</v>
      </c>
      <c r="P387" s="32" t="s">
        <v>1261</v>
      </c>
      <c r="Q387" s="42" t="s">
        <v>57</v>
      </c>
      <c r="R387" s="32">
        <v>2035</v>
      </c>
      <c r="S387" s="43" t="str">
        <f t="shared" si="44"/>
        <v>*0.96</v>
      </c>
      <c r="U387" s="32" t="s">
        <v>1261</v>
      </c>
      <c r="V387" s="42" t="s">
        <v>57</v>
      </c>
      <c r="W387" s="32">
        <v>2050</v>
      </c>
      <c r="X387" s="43" t="str">
        <f t="shared" si="45"/>
        <v>*0.93</v>
      </c>
      <c r="AC387" s="33" t="s">
        <v>1261</v>
      </c>
      <c r="AD387" s="44" t="s">
        <v>57</v>
      </c>
      <c r="AE387" s="33">
        <v>2035</v>
      </c>
      <c r="AF387" s="45" t="str">
        <f t="shared" si="46"/>
        <v>*0.92</v>
      </c>
      <c r="AG387" s="43" t="str">
        <f t="shared" si="48"/>
        <v>REZoning_Sol-Win</v>
      </c>
      <c r="AI387" s="33" t="s">
        <v>1261</v>
      </c>
      <c r="AJ387" s="44" t="s">
        <v>57</v>
      </c>
      <c r="AK387" s="33">
        <v>2050</v>
      </c>
      <c r="AL387" s="45" t="str">
        <f t="shared" si="47"/>
        <v>*0.89</v>
      </c>
      <c r="AM387" s="43" t="str">
        <f t="shared" si="49"/>
        <v>REZoning_Sol-Win</v>
      </c>
      <c r="AP387" t="s">
        <v>1261</v>
      </c>
      <c r="AQ387" t="s">
        <v>57</v>
      </c>
      <c r="AR387">
        <v>2100</v>
      </c>
      <c r="AS387" t="s">
        <v>937</v>
      </c>
      <c r="AT387" t="s">
        <v>58</v>
      </c>
    </row>
    <row r="388" ht="29" spans="1:46">
      <c r="A388" s="31" t="s">
        <v>98</v>
      </c>
      <c r="C388" t="s">
        <v>1262</v>
      </c>
      <c r="D388" s="5" t="s">
        <v>57</v>
      </c>
      <c r="E388">
        <v>2035</v>
      </c>
      <c r="F388" s="6" t="str">
        <f t="shared" ref="F388:F451" si="50">"*"&amp;IF(AND(A388="EU",E388=2035),0.95,IF(AND(A388="EU",E388=2050),0.93,IF(AND(A388="USA",E388=2035),0.96,IF(AND(A388="USA",E388=2050),0.94,IF(AND(A388="Japan",E388=2035),0.94,IF(AND(A388="Japan",E388=2050),0.92,IF(AND(A388="Russia",E388=2035),0.95,IF(AND(A388="Russia",E388=2050),0.93,IF(AND(A388="China",E388=2035),0.94,IF(AND(A388="China",E388=2050),0.92,IF(AND(A388="India",E388=2035),0.95,IF(AND(A388="India",E388=2050),0.92,IF(AND(A388="Middle East",E388=2035),0.94,IF(AND(A388="Middle East",E388=2050),0.9,IF(AND(A388="Africa",E388=2035),0.94,IF(AND(A388="Africa",E388=2050),0.91,IF(AND(A388="Brazil",E388=2035),0.95,IF(AND(A388="Brazil",E388=2050),0.92,""))))))))))))))))))</f>
        <v>*0.96</v>
      </c>
      <c r="H388" t="s">
        <v>1262</v>
      </c>
      <c r="I388" s="5" t="s">
        <v>57</v>
      </c>
      <c r="J388">
        <v>2050</v>
      </c>
      <c r="K388" s="38" t="str">
        <f t="shared" ref="K388:K451" si="51">"*"&amp;IF(AND(A388="EU",J388=2035),0.95,IF(AND(A388="EU",J388=2050),0.93,IF(AND(A388="USA",J388=2035),0.96,IF(AND(A388="USA",J388=2050),0.94,IF(AND(A388="Japan",J388=2035),0.94,IF(AND(A388="Japan",J388=2050),0.92,IF(AND(A388="Russia",J388=2035),0.95,IF(AND(A388="Russia",J388=2050),0.93,IF(AND(A388="China",J388=2035),0.94,IF(AND(A388="China",J388=2050),0.92,IF(AND(A388="India",J388=2035),0.95,IF(AND(A388="India",J388=2050),0.92,IF(AND(A388="Middle East",J388=2035),0.94,IF(AND(A388="Middle East",J388=2050),0.9,IF(AND(A388="Africa",J388=2035),0.94,IF(AND(A388="Africa",J388=2050),0.91,IF(AND(A388="Brazil",J388=2035),0.95,IF(AND(A388="Brazil",J388=2050),0.92,""))))))))))))))))))</f>
        <v>*0.94</v>
      </c>
      <c r="P388" s="32" t="s">
        <v>1262</v>
      </c>
      <c r="Q388" s="42" t="s">
        <v>57</v>
      </c>
      <c r="R388" s="32">
        <v>2035</v>
      </c>
      <c r="S388" s="43" t="str">
        <f t="shared" ref="S388:S451" si="52">"*"&amp;IF(AND(A388="EU",R388=2035),0.95,IF(AND(A388="EU",R388=2050),0.93,IF(AND(A388="USA",R388=2035),0.96,IF(AND(A388="USA",R388=2050),0.93,IF(AND(A388="Japan",R388=2035),0.94,IF(AND(A388="Japan",R388=2050),0.92,IF(AND(A388="Russia",R388=2035),0.95,IF(AND(A388="Russia",R388=2050),0.91,IF(AND(A388="China",R388=2035),0.93,IF(AND(A388="China",R388=2050),0.92,IF(AND(A388="India",R388=2035),0.94,IF(AND(A388="India",R388=2050),0.91,IF(AND(A388="Middle East",R388=2035),0.92,IF(AND(A388="Middle East",R388=2050),0.89,IF(AND(A388="Africa",R388=2035),0.93,IF(AND(A388="Africa",R388=2050),0.9,IF(AND(A388="Brazil",R388=2035),0.95,IF(AND(A388="Brazil",R388=2050),0.92,""))))))))))))))))))</f>
        <v>*0.96</v>
      </c>
      <c r="U388" s="32" t="s">
        <v>1262</v>
      </c>
      <c r="V388" s="42" t="s">
        <v>57</v>
      </c>
      <c r="W388" s="32">
        <v>2050</v>
      </c>
      <c r="X388" s="43" t="str">
        <f t="shared" ref="X388:X451" si="53">"*"&amp;IF(AND(A388="EU",W388=2035),0.95,IF(AND(A388="EU",W388=2050),0.93,IF(AND(A388="USA",W388=2035),0.96,IF(AND(A388="USA",W388=2050),0.93,IF(AND(A388="Japan",W388=2035),0.94,IF(AND(A388="Japan",W388=2050),0.92,IF(AND(A388="Russia",W388=2035),0.95,IF(AND(A388="Russia",W388=2050),0.91,IF(AND(A388="China",W388=2035),0.93,IF(AND(A388="China",W388=2050),0.92,IF(AND(A388="India",W388=2035),0.94,IF(AND(A388="India",W388=2050),0.91,IF(AND(A388="Middle East",W388=2035),0.92,IF(AND(A388="Middle East",W388=2050),0.89,IF(AND(A388="Africa",W388=2035),0.93,IF(AND(A388="Africa",W388=2050),0.9,IF(AND(A388="Brazil",W388=2035),0.95,IF(AND(A388="Brazil",W388=2050),0.92,""))))))))))))))))))</f>
        <v>*0.93</v>
      </c>
      <c r="AC388" s="33" t="s">
        <v>1262</v>
      </c>
      <c r="AD388" s="44" t="s">
        <v>57</v>
      </c>
      <c r="AE388" s="33">
        <v>2035</v>
      </c>
      <c r="AF388" s="45" t="str">
        <f t="shared" ref="AF388:AF451" si="54">"*"&amp;IF(AND(A388="EU",AE388=2035),0.93,IF(AND(A388="EU",AE388=2050),0.9,IF(AND(A388="USA",AE388=2035),0.92,IF(AND(A388="USA",AE388=2050),0.89,IF(AND(A388="Japan",AE388=2035),0.92,IF(AND(A388="Japan",AE388=2050),0.89,IF(AND(A388="Russia",AE388=2035),0.91,IF(AND(A388="Russia",AE388=2050),0.86,IF(AND(A388="China",AE388=2035),0.91,IF(AND(A388="China",AE388=2050),0.87,IF(AND(A388="India",AE388=2035),0.92,IF(AND(A388="India",AE388=2050),0.87,IF(AND(A388="Middle East",AE388=2035),0.89,IF(AND(A388="Middle East",AE388=2050),0.84,IF(AND(A388="Africa",AE388=2035),0.9,IF(AND(A388="Africa",AE388=2050),0.86,IF(AND(A388="Brazil",AE388=2035),0.93,IF(AND(A388="Brazil",AE388=2050),0.89,""))))))))))))))))))</f>
        <v>*0.92</v>
      </c>
      <c r="AG388" s="43" t="str">
        <f t="shared" si="48"/>
        <v>REZoning_Sol-Win</v>
      </c>
      <c r="AI388" s="33" t="s">
        <v>1262</v>
      </c>
      <c r="AJ388" s="44" t="s">
        <v>57</v>
      </c>
      <c r="AK388" s="33">
        <v>2050</v>
      </c>
      <c r="AL388" s="45" t="str">
        <f t="shared" ref="AL388:AL451" si="55">"*"&amp;IF(AND(A388="EU",AK388=2035),0.93,IF(AND(A388="EU",AK388=2050),0.9,IF(AND(A388="USA",AK388=2035),0.92,IF(AND(A388="USA",AK388=2050),0.89,IF(AND(A388="Japan",AK388=2035),0.92,IF(AND(A388="Japan",AK388=2050),0.89,IF(AND(A388="Russia",AK388=2035),0.91,IF(AND(A388="Russia",AK388=2050),0.86,IF(AND(A388="China",AK388=2035),0.91,IF(AND(A388="China",AK388=2050),0.87,IF(AND(A388="India",AK388=2035),0.92,IF(AND(A388="India",AK388=2050),0.87,IF(AND(A388="Middle East",AK388=2035),0.89,IF(AND(A388="Middle East",AK388=2050),0.84,IF(AND(A388="Africa",AK388=2035),0.9,IF(AND(A388="Africa",AK388=2050),0.86,IF(AND(A388="Brazil",AK388=2035),0.93,IF(AND(A388="Brazil",AK388=2050),0.89,""))))))))))))))))))</f>
        <v>*0.89</v>
      </c>
      <c r="AM388" s="43" t="str">
        <f t="shared" si="49"/>
        <v>REZoning_Sol-Win</v>
      </c>
      <c r="AP388" t="s">
        <v>1262</v>
      </c>
      <c r="AQ388" t="s">
        <v>57</v>
      </c>
      <c r="AR388">
        <v>2100</v>
      </c>
      <c r="AS388" t="s">
        <v>937</v>
      </c>
      <c r="AT388" t="s">
        <v>58</v>
      </c>
    </row>
    <row r="389" ht="29" spans="1:46">
      <c r="A389" s="31" t="s">
        <v>98</v>
      </c>
      <c r="C389" t="s">
        <v>1263</v>
      </c>
      <c r="D389" s="5" t="s">
        <v>57</v>
      </c>
      <c r="E389">
        <v>2035</v>
      </c>
      <c r="F389" s="6" t="str">
        <f t="shared" si="50"/>
        <v>*0.96</v>
      </c>
      <c r="H389" t="s">
        <v>1263</v>
      </c>
      <c r="I389" s="5" t="s">
        <v>57</v>
      </c>
      <c r="J389">
        <v>2050</v>
      </c>
      <c r="K389" s="38" t="str">
        <f t="shared" si="51"/>
        <v>*0.94</v>
      </c>
      <c r="P389" s="32" t="s">
        <v>1263</v>
      </c>
      <c r="Q389" s="42" t="s">
        <v>57</v>
      </c>
      <c r="R389" s="32">
        <v>2035</v>
      </c>
      <c r="S389" s="43" t="str">
        <f t="shared" si="52"/>
        <v>*0.96</v>
      </c>
      <c r="U389" s="32" t="s">
        <v>1263</v>
      </c>
      <c r="V389" s="42" t="s">
        <v>57</v>
      </c>
      <c r="W389" s="32">
        <v>2050</v>
      </c>
      <c r="X389" s="43" t="str">
        <f t="shared" si="53"/>
        <v>*0.93</v>
      </c>
      <c r="AC389" s="33" t="s">
        <v>1263</v>
      </c>
      <c r="AD389" s="44" t="s">
        <v>57</v>
      </c>
      <c r="AE389" s="33">
        <v>2035</v>
      </c>
      <c r="AF389" s="45" t="str">
        <f t="shared" si="54"/>
        <v>*0.92</v>
      </c>
      <c r="AG389" s="43" t="str">
        <f t="shared" si="48"/>
        <v>REZoning_Sol-Win</v>
      </c>
      <c r="AI389" s="33" t="s">
        <v>1263</v>
      </c>
      <c r="AJ389" s="44" t="s">
        <v>57</v>
      </c>
      <c r="AK389" s="33">
        <v>2050</v>
      </c>
      <c r="AL389" s="45" t="str">
        <f t="shared" si="55"/>
        <v>*0.89</v>
      </c>
      <c r="AM389" s="43" t="str">
        <f t="shared" si="49"/>
        <v>REZoning_Sol-Win</v>
      </c>
      <c r="AP389" t="s">
        <v>1263</v>
      </c>
      <c r="AQ389" t="s">
        <v>57</v>
      </c>
      <c r="AR389">
        <v>2100</v>
      </c>
      <c r="AS389" t="s">
        <v>937</v>
      </c>
      <c r="AT389" t="s">
        <v>58</v>
      </c>
    </row>
    <row r="390" ht="29" spans="1:46">
      <c r="A390" s="31" t="s">
        <v>98</v>
      </c>
      <c r="C390" t="s">
        <v>1264</v>
      </c>
      <c r="D390" s="5" t="s">
        <v>57</v>
      </c>
      <c r="E390">
        <v>2035</v>
      </c>
      <c r="F390" s="6" t="str">
        <f t="shared" si="50"/>
        <v>*0.96</v>
      </c>
      <c r="H390" t="s">
        <v>1264</v>
      </c>
      <c r="I390" s="5" t="s">
        <v>57</v>
      </c>
      <c r="J390">
        <v>2050</v>
      </c>
      <c r="K390" s="38" t="str">
        <f t="shared" si="51"/>
        <v>*0.94</v>
      </c>
      <c r="P390" s="32" t="s">
        <v>1264</v>
      </c>
      <c r="Q390" s="42" t="s">
        <v>57</v>
      </c>
      <c r="R390" s="32">
        <v>2035</v>
      </c>
      <c r="S390" s="43" t="str">
        <f t="shared" si="52"/>
        <v>*0.96</v>
      </c>
      <c r="U390" s="32" t="s">
        <v>1264</v>
      </c>
      <c r="V390" s="42" t="s">
        <v>57</v>
      </c>
      <c r="W390" s="32">
        <v>2050</v>
      </c>
      <c r="X390" s="43" t="str">
        <f t="shared" si="53"/>
        <v>*0.93</v>
      </c>
      <c r="AC390" s="33" t="s">
        <v>1264</v>
      </c>
      <c r="AD390" s="44" t="s">
        <v>57</v>
      </c>
      <c r="AE390" s="33">
        <v>2035</v>
      </c>
      <c r="AF390" s="45" t="str">
        <f t="shared" si="54"/>
        <v>*0.92</v>
      </c>
      <c r="AG390" s="43" t="str">
        <f t="shared" si="48"/>
        <v>REZoning_Sol-Win</v>
      </c>
      <c r="AI390" s="33" t="s">
        <v>1264</v>
      </c>
      <c r="AJ390" s="44" t="s">
        <v>57</v>
      </c>
      <c r="AK390" s="33">
        <v>2050</v>
      </c>
      <c r="AL390" s="45" t="str">
        <f t="shared" si="55"/>
        <v>*0.89</v>
      </c>
      <c r="AM390" s="43" t="str">
        <f t="shared" si="49"/>
        <v>REZoning_Sol-Win</v>
      </c>
      <c r="AP390" t="s">
        <v>1264</v>
      </c>
      <c r="AQ390" t="s">
        <v>57</v>
      </c>
      <c r="AR390">
        <v>2100</v>
      </c>
      <c r="AS390" t="s">
        <v>937</v>
      </c>
      <c r="AT390" t="s">
        <v>58</v>
      </c>
    </row>
    <row r="391" ht="29" spans="1:46">
      <c r="A391" s="31" t="s">
        <v>98</v>
      </c>
      <c r="C391" t="s">
        <v>1265</v>
      </c>
      <c r="D391" s="5" t="s">
        <v>57</v>
      </c>
      <c r="E391">
        <v>2035</v>
      </c>
      <c r="F391" s="6" t="str">
        <f t="shared" si="50"/>
        <v>*0.96</v>
      </c>
      <c r="H391" t="s">
        <v>1265</v>
      </c>
      <c r="I391" s="5" t="s">
        <v>57</v>
      </c>
      <c r="J391">
        <v>2050</v>
      </c>
      <c r="K391" s="38" t="str">
        <f t="shared" si="51"/>
        <v>*0.94</v>
      </c>
      <c r="P391" s="32" t="s">
        <v>1265</v>
      </c>
      <c r="Q391" s="42" t="s">
        <v>57</v>
      </c>
      <c r="R391" s="32">
        <v>2035</v>
      </c>
      <c r="S391" s="43" t="str">
        <f t="shared" si="52"/>
        <v>*0.96</v>
      </c>
      <c r="U391" s="32" t="s">
        <v>1265</v>
      </c>
      <c r="V391" s="42" t="s">
        <v>57</v>
      </c>
      <c r="W391" s="32">
        <v>2050</v>
      </c>
      <c r="X391" s="43" t="str">
        <f t="shared" si="53"/>
        <v>*0.93</v>
      </c>
      <c r="AC391" s="33" t="s">
        <v>1265</v>
      </c>
      <c r="AD391" s="44" t="s">
        <v>57</v>
      </c>
      <c r="AE391" s="33">
        <v>2035</v>
      </c>
      <c r="AF391" s="45" t="str">
        <f t="shared" si="54"/>
        <v>*0.92</v>
      </c>
      <c r="AG391" s="43" t="str">
        <f t="shared" si="48"/>
        <v>REZoning_Sol-Win</v>
      </c>
      <c r="AI391" s="33" t="s">
        <v>1265</v>
      </c>
      <c r="AJ391" s="44" t="s">
        <v>57</v>
      </c>
      <c r="AK391" s="33">
        <v>2050</v>
      </c>
      <c r="AL391" s="45" t="str">
        <f t="shared" si="55"/>
        <v>*0.89</v>
      </c>
      <c r="AM391" s="43" t="str">
        <f t="shared" si="49"/>
        <v>REZoning_Sol-Win</v>
      </c>
      <c r="AP391" t="s">
        <v>1265</v>
      </c>
      <c r="AQ391" t="s">
        <v>57</v>
      </c>
      <c r="AR391">
        <v>2100</v>
      </c>
      <c r="AS391" t="s">
        <v>937</v>
      </c>
      <c r="AT391" t="s">
        <v>58</v>
      </c>
    </row>
    <row r="392" ht="29" spans="1:46">
      <c r="A392" s="31" t="s">
        <v>98</v>
      </c>
      <c r="C392" t="s">
        <v>1266</v>
      </c>
      <c r="D392" s="5" t="s">
        <v>57</v>
      </c>
      <c r="E392">
        <v>2035</v>
      </c>
      <c r="F392" s="6" t="str">
        <f t="shared" si="50"/>
        <v>*0.96</v>
      </c>
      <c r="H392" t="s">
        <v>1266</v>
      </c>
      <c r="I392" s="5" t="s">
        <v>57</v>
      </c>
      <c r="J392">
        <v>2050</v>
      </c>
      <c r="K392" s="38" t="str">
        <f t="shared" si="51"/>
        <v>*0.94</v>
      </c>
      <c r="P392" s="32" t="s">
        <v>1266</v>
      </c>
      <c r="Q392" s="42" t="s">
        <v>57</v>
      </c>
      <c r="R392" s="32">
        <v>2035</v>
      </c>
      <c r="S392" s="43" t="str">
        <f t="shared" si="52"/>
        <v>*0.96</v>
      </c>
      <c r="U392" s="32" t="s">
        <v>1266</v>
      </c>
      <c r="V392" s="42" t="s">
        <v>57</v>
      </c>
      <c r="W392" s="32">
        <v>2050</v>
      </c>
      <c r="X392" s="43" t="str">
        <f t="shared" si="53"/>
        <v>*0.93</v>
      </c>
      <c r="AC392" s="33" t="s">
        <v>1266</v>
      </c>
      <c r="AD392" s="44" t="s">
        <v>57</v>
      </c>
      <c r="AE392" s="33">
        <v>2035</v>
      </c>
      <c r="AF392" s="45" t="str">
        <f t="shared" si="54"/>
        <v>*0.92</v>
      </c>
      <c r="AG392" s="43" t="str">
        <f t="shared" si="48"/>
        <v>REZoning_Sol-Win</v>
      </c>
      <c r="AI392" s="33" t="s">
        <v>1266</v>
      </c>
      <c r="AJ392" s="44" t="s">
        <v>57</v>
      </c>
      <c r="AK392" s="33">
        <v>2050</v>
      </c>
      <c r="AL392" s="45" t="str">
        <f t="shared" si="55"/>
        <v>*0.89</v>
      </c>
      <c r="AM392" s="43" t="str">
        <f t="shared" si="49"/>
        <v>REZoning_Sol-Win</v>
      </c>
      <c r="AP392" t="s">
        <v>1266</v>
      </c>
      <c r="AQ392" t="s">
        <v>57</v>
      </c>
      <c r="AR392">
        <v>2100</v>
      </c>
      <c r="AS392" t="s">
        <v>937</v>
      </c>
      <c r="AT392" t="s">
        <v>58</v>
      </c>
    </row>
    <row r="393" ht="29" spans="1:46">
      <c r="A393" s="31" t="s">
        <v>98</v>
      </c>
      <c r="C393" t="s">
        <v>1267</v>
      </c>
      <c r="D393" s="5" t="s">
        <v>57</v>
      </c>
      <c r="E393">
        <v>2035</v>
      </c>
      <c r="F393" s="6" t="str">
        <f t="shared" si="50"/>
        <v>*0.96</v>
      </c>
      <c r="H393" t="s">
        <v>1267</v>
      </c>
      <c r="I393" s="5" t="s">
        <v>57</v>
      </c>
      <c r="J393">
        <v>2050</v>
      </c>
      <c r="K393" s="38" t="str">
        <f t="shared" si="51"/>
        <v>*0.94</v>
      </c>
      <c r="P393" s="32" t="s">
        <v>1267</v>
      </c>
      <c r="Q393" s="42" t="s">
        <v>57</v>
      </c>
      <c r="R393" s="32">
        <v>2035</v>
      </c>
      <c r="S393" s="43" t="str">
        <f t="shared" si="52"/>
        <v>*0.96</v>
      </c>
      <c r="U393" s="32" t="s">
        <v>1267</v>
      </c>
      <c r="V393" s="42" t="s">
        <v>57</v>
      </c>
      <c r="W393" s="32">
        <v>2050</v>
      </c>
      <c r="X393" s="43" t="str">
        <f t="shared" si="53"/>
        <v>*0.93</v>
      </c>
      <c r="AC393" s="33" t="s">
        <v>1267</v>
      </c>
      <c r="AD393" s="44" t="s">
        <v>57</v>
      </c>
      <c r="AE393" s="33">
        <v>2035</v>
      </c>
      <c r="AF393" s="45" t="str">
        <f t="shared" si="54"/>
        <v>*0.92</v>
      </c>
      <c r="AG393" s="43" t="str">
        <f t="shared" ref="AG393:AG456" si="56">AG392</f>
        <v>REZoning_Sol-Win</v>
      </c>
      <c r="AI393" s="33" t="s">
        <v>1267</v>
      </c>
      <c r="AJ393" s="44" t="s">
        <v>57</v>
      </c>
      <c r="AK393" s="33">
        <v>2050</v>
      </c>
      <c r="AL393" s="45" t="str">
        <f t="shared" si="55"/>
        <v>*0.89</v>
      </c>
      <c r="AM393" s="43" t="str">
        <f t="shared" si="49"/>
        <v>REZoning_Sol-Win</v>
      </c>
      <c r="AP393" t="s">
        <v>1267</v>
      </c>
      <c r="AQ393" t="s">
        <v>57</v>
      </c>
      <c r="AR393">
        <v>2100</v>
      </c>
      <c r="AS393" t="s">
        <v>937</v>
      </c>
      <c r="AT393" t="s">
        <v>58</v>
      </c>
    </row>
    <row r="394" ht="29" spans="1:46">
      <c r="A394" s="31" t="s">
        <v>98</v>
      </c>
      <c r="C394" t="s">
        <v>1268</v>
      </c>
      <c r="D394" s="5" t="s">
        <v>57</v>
      </c>
      <c r="E394">
        <v>2035</v>
      </c>
      <c r="F394" s="6" t="str">
        <f t="shared" si="50"/>
        <v>*0.96</v>
      </c>
      <c r="H394" t="s">
        <v>1268</v>
      </c>
      <c r="I394" s="5" t="s">
        <v>57</v>
      </c>
      <c r="J394">
        <v>2050</v>
      </c>
      <c r="K394" s="38" t="str">
        <f t="shared" si="51"/>
        <v>*0.94</v>
      </c>
      <c r="P394" s="32" t="s">
        <v>1268</v>
      </c>
      <c r="Q394" s="42" t="s">
        <v>57</v>
      </c>
      <c r="R394" s="32">
        <v>2035</v>
      </c>
      <c r="S394" s="43" t="str">
        <f t="shared" si="52"/>
        <v>*0.96</v>
      </c>
      <c r="U394" s="32" t="s">
        <v>1268</v>
      </c>
      <c r="V394" s="42" t="s">
        <v>57</v>
      </c>
      <c r="W394" s="32">
        <v>2050</v>
      </c>
      <c r="X394" s="43" t="str">
        <f t="shared" si="53"/>
        <v>*0.93</v>
      </c>
      <c r="AC394" s="33" t="s">
        <v>1268</v>
      </c>
      <c r="AD394" s="44" t="s">
        <v>57</v>
      </c>
      <c r="AE394" s="33">
        <v>2035</v>
      </c>
      <c r="AF394" s="45" t="str">
        <f t="shared" si="54"/>
        <v>*0.92</v>
      </c>
      <c r="AG394" s="43" t="str">
        <f t="shared" si="56"/>
        <v>REZoning_Sol-Win</v>
      </c>
      <c r="AI394" s="33" t="s">
        <v>1268</v>
      </c>
      <c r="AJ394" s="44" t="s">
        <v>57</v>
      </c>
      <c r="AK394" s="33">
        <v>2050</v>
      </c>
      <c r="AL394" s="45" t="str">
        <f t="shared" si="55"/>
        <v>*0.89</v>
      </c>
      <c r="AM394" s="43" t="str">
        <f t="shared" ref="AM394:AM457" si="57">AM393</f>
        <v>REZoning_Sol-Win</v>
      </c>
      <c r="AP394" t="s">
        <v>1268</v>
      </c>
      <c r="AQ394" t="s">
        <v>57</v>
      </c>
      <c r="AR394">
        <v>2100</v>
      </c>
      <c r="AS394" t="s">
        <v>937</v>
      </c>
      <c r="AT394" t="s">
        <v>58</v>
      </c>
    </row>
    <row r="395" ht="29" spans="1:46">
      <c r="A395" s="31" t="s">
        <v>98</v>
      </c>
      <c r="C395" t="s">
        <v>1269</v>
      </c>
      <c r="D395" s="5" t="s">
        <v>57</v>
      </c>
      <c r="E395">
        <v>2035</v>
      </c>
      <c r="F395" s="6" t="str">
        <f t="shared" si="50"/>
        <v>*0.96</v>
      </c>
      <c r="H395" t="s">
        <v>1269</v>
      </c>
      <c r="I395" s="5" t="s">
        <v>57</v>
      </c>
      <c r="J395">
        <v>2050</v>
      </c>
      <c r="K395" s="38" t="str">
        <f t="shared" si="51"/>
        <v>*0.94</v>
      </c>
      <c r="P395" s="32" t="s">
        <v>1269</v>
      </c>
      <c r="Q395" s="42" t="s">
        <v>57</v>
      </c>
      <c r="R395" s="32">
        <v>2035</v>
      </c>
      <c r="S395" s="43" t="str">
        <f t="shared" si="52"/>
        <v>*0.96</v>
      </c>
      <c r="U395" s="32" t="s">
        <v>1269</v>
      </c>
      <c r="V395" s="42" t="s">
        <v>57</v>
      </c>
      <c r="W395" s="32">
        <v>2050</v>
      </c>
      <c r="X395" s="43" t="str">
        <f t="shared" si="53"/>
        <v>*0.93</v>
      </c>
      <c r="AC395" s="33" t="s">
        <v>1269</v>
      </c>
      <c r="AD395" s="44" t="s">
        <v>57</v>
      </c>
      <c r="AE395" s="33">
        <v>2035</v>
      </c>
      <c r="AF395" s="45" t="str">
        <f t="shared" si="54"/>
        <v>*0.92</v>
      </c>
      <c r="AG395" s="43" t="str">
        <f t="shared" si="56"/>
        <v>REZoning_Sol-Win</v>
      </c>
      <c r="AI395" s="33" t="s">
        <v>1269</v>
      </c>
      <c r="AJ395" s="44" t="s">
        <v>57</v>
      </c>
      <c r="AK395" s="33">
        <v>2050</v>
      </c>
      <c r="AL395" s="45" t="str">
        <f t="shared" si="55"/>
        <v>*0.89</v>
      </c>
      <c r="AM395" s="43" t="str">
        <f t="shared" si="57"/>
        <v>REZoning_Sol-Win</v>
      </c>
      <c r="AP395" t="s">
        <v>1269</v>
      </c>
      <c r="AQ395" t="s">
        <v>57</v>
      </c>
      <c r="AR395">
        <v>2100</v>
      </c>
      <c r="AS395" t="s">
        <v>937</v>
      </c>
      <c r="AT395" t="s">
        <v>58</v>
      </c>
    </row>
    <row r="396" ht="29" spans="1:46">
      <c r="A396" s="31" t="s">
        <v>98</v>
      </c>
      <c r="C396" t="s">
        <v>1270</v>
      </c>
      <c r="D396" s="5" t="s">
        <v>57</v>
      </c>
      <c r="E396">
        <v>2035</v>
      </c>
      <c r="F396" s="6" t="str">
        <f t="shared" si="50"/>
        <v>*0.96</v>
      </c>
      <c r="H396" t="s">
        <v>1270</v>
      </c>
      <c r="I396" s="5" t="s">
        <v>57</v>
      </c>
      <c r="J396">
        <v>2050</v>
      </c>
      <c r="K396" s="38" t="str">
        <f t="shared" si="51"/>
        <v>*0.94</v>
      </c>
      <c r="P396" s="32" t="s">
        <v>1270</v>
      </c>
      <c r="Q396" s="42" t="s">
        <v>57</v>
      </c>
      <c r="R396" s="32">
        <v>2035</v>
      </c>
      <c r="S396" s="43" t="str">
        <f t="shared" si="52"/>
        <v>*0.96</v>
      </c>
      <c r="U396" s="32" t="s">
        <v>1270</v>
      </c>
      <c r="V396" s="42" t="s">
        <v>57</v>
      </c>
      <c r="W396" s="32">
        <v>2050</v>
      </c>
      <c r="X396" s="43" t="str">
        <f t="shared" si="53"/>
        <v>*0.93</v>
      </c>
      <c r="AC396" s="33" t="s">
        <v>1270</v>
      </c>
      <c r="AD396" s="44" t="s">
        <v>57</v>
      </c>
      <c r="AE396" s="33">
        <v>2035</v>
      </c>
      <c r="AF396" s="45" t="str">
        <f t="shared" si="54"/>
        <v>*0.92</v>
      </c>
      <c r="AG396" s="43" t="str">
        <f t="shared" si="56"/>
        <v>REZoning_Sol-Win</v>
      </c>
      <c r="AI396" s="33" t="s">
        <v>1270</v>
      </c>
      <c r="AJ396" s="44" t="s">
        <v>57</v>
      </c>
      <c r="AK396" s="33">
        <v>2050</v>
      </c>
      <c r="AL396" s="45" t="str">
        <f t="shared" si="55"/>
        <v>*0.89</v>
      </c>
      <c r="AM396" s="43" t="str">
        <f t="shared" si="57"/>
        <v>REZoning_Sol-Win</v>
      </c>
      <c r="AP396" t="s">
        <v>1270</v>
      </c>
      <c r="AQ396" t="s">
        <v>57</v>
      </c>
      <c r="AR396">
        <v>2100</v>
      </c>
      <c r="AS396" t="s">
        <v>937</v>
      </c>
      <c r="AT396" t="s">
        <v>58</v>
      </c>
    </row>
    <row r="397" ht="29" spans="1:46">
      <c r="A397" s="31" t="s">
        <v>73</v>
      </c>
      <c r="C397" t="s">
        <v>1271</v>
      </c>
      <c r="D397" s="5" t="s">
        <v>57</v>
      </c>
      <c r="E397">
        <v>2035</v>
      </c>
      <c r="F397" s="6" t="str">
        <f t="shared" si="50"/>
        <v>*0.95</v>
      </c>
      <c r="H397" t="s">
        <v>1271</v>
      </c>
      <c r="I397" s="5" t="s">
        <v>57</v>
      </c>
      <c r="J397">
        <v>2050</v>
      </c>
      <c r="K397" s="38" t="str">
        <f t="shared" si="51"/>
        <v>*0.93</v>
      </c>
      <c r="P397" s="32" t="s">
        <v>1271</v>
      </c>
      <c r="Q397" s="42" t="s">
        <v>57</v>
      </c>
      <c r="R397" s="32">
        <v>2035</v>
      </c>
      <c r="S397" s="43" t="str">
        <f t="shared" si="52"/>
        <v>*0.95</v>
      </c>
      <c r="U397" s="32" t="s">
        <v>1271</v>
      </c>
      <c r="V397" s="42" t="s">
        <v>57</v>
      </c>
      <c r="W397" s="32">
        <v>2050</v>
      </c>
      <c r="X397" s="43" t="str">
        <f t="shared" si="53"/>
        <v>*0.93</v>
      </c>
      <c r="AC397" s="33" t="s">
        <v>1271</v>
      </c>
      <c r="AD397" s="44" t="s">
        <v>57</v>
      </c>
      <c r="AE397" s="33">
        <v>2035</v>
      </c>
      <c r="AF397" s="45" t="str">
        <f t="shared" si="54"/>
        <v>*0.93</v>
      </c>
      <c r="AG397" s="43" t="str">
        <f t="shared" si="56"/>
        <v>REZoning_Sol-Win</v>
      </c>
      <c r="AI397" s="33" t="s">
        <v>1271</v>
      </c>
      <c r="AJ397" s="44" t="s">
        <v>57</v>
      </c>
      <c r="AK397" s="33">
        <v>2050</v>
      </c>
      <c r="AL397" s="45" t="str">
        <f t="shared" si="55"/>
        <v>*0.9</v>
      </c>
      <c r="AM397" s="43" t="str">
        <f t="shared" si="57"/>
        <v>REZoning_Sol-Win</v>
      </c>
      <c r="AP397" t="s">
        <v>1271</v>
      </c>
      <c r="AQ397" t="s">
        <v>57</v>
      </c>
      <c r="AR397">
        <v>2100</v>
      </c>
      <c r="AS397" t="s">
        <v>897</v>
      </c>
      <c r="AT397" t="s">
        <v>58</v>
      </c>
    </row>
    <row r="398" ht="29" spans="1:46">
      <c r="A398" s="31" t="s">
        <v>73</v>
      </c>
      <c r="C398" t="s">
        <v>1272</v>
      </c>
      <c r="D398" s="5" t="s">
        <v>57</v>
      </c>
      <c r="E398">
        <v>2035</v>
      </c>
      <c r="F398" s="6" t="str">
        <f t="shared" si="50"/>
        <v>*0.95</v>
      </c>
      <c r="H398" t="s">
        <v>1272</v>
      </c>
      <c r="I398" s="5" t="s">
        <v>57</v>
      </c>
      <c r="J398">
        <v>2050</v>
      </c>
      <c r="K398" s="38" t="str">
        <f t="shared" si="51"/>
        <v>*0.93</v>
      </c>
      <c r="P398" s="32" t="s">
        <v>1272</v>
      </c>
      <c r="Q398" s="42" t="s">
        <v>57</v>
      </c>
      <c r="R398" s="32">
        <v>2035</v>
      </c>
      <c r="S398" s="43" t="str">
        <f t="shared" si="52"/>
        <v>*0.95</v>
      </c>
      <c r="U398" s="32" t="s">
        <v>1272</v>
      </c>
      <c r="V398" s="42" t="s">
        <v>57</v>
      </c>
      <c r="W398" s="32">
        <v>2050</v>
      </c>
      <c r="X398" s="43" t="str">
        <f t="shared" si="53"/>
        <v>*0.93</v>
      </c>
      <c r="AC398" s="33" t="s">
        <v>1272</v>
      </c>
      <c r="AD398" s="44" t="s">
        <v>57</v>
      </c>
      <c r="AE398" s="33">
        <v>2035</v>
      </c>
      <c r="AF398" s="45" t="str">
        <f t="shared" si="54"/>
        <v>*0.93</v>
      </c>
      <c r="AG398" s="43" t="str">
        <f t="shared" si="56"/>
        <v>REZoning_Sol-Win</v>
      </c>
      <c r="AI398" s="33" t="s">
        <v>1272</v>
      </c>
      <c r="AJ398" s="44" t="s">
        <v>57</v>
      </c>
      <c r="AK398" s="33">
        <v>2050</v>
      </c>
      <c r="AL398" s="45" t="str">
        <f t="shared" si="55"/>
        <v>*0.9</v>
      </c>
      <c r="AM398" s="43" t="str">
        <f t="shared" si="57"/>
        <v>REZoning_Sol-Win</v>
      </c>
      <c r="AP398" t="s">
        <v>1272</v>
      </c>
      <c r="AQ398" t="s">
        <v>57</v>
      </c>
      <c r="AR398">
        <v>2100</v>
      </c>
      <c r="AS398" t="s">
        <v>897</v>
      </c>
      <c r="AT398" t="s">
        <v>58</v>
      </c>
    </row>
    <row r="399" ht="29" spans="1:46">
      <c r="A399" s="31" t="s">
        <v>73</v>
      </c>
      <c r="C399" t="s">
        <v>1273</v>
      </c>
      <c r="D399" s="5" t="s">
        <v>57</v>
      </c>
      <c r="E399">
        <v>2035</v>
      </c>
      <c r="F399" s="6" t="str">
        <f t="shared" si="50"/>
        <v>*0.95</v>
      </c>
      <c r="H399" t="s">
        <v>1273</v>
      </c>
      <c r="I399" s="5" t="s">
        <v>57</v>
      </c>
      <c r="J399">
        <v>2050</v>
      </c>
      <c r="K399" s="38" t="str">
        <f t="shared" si="51"/>
        <v>*0.93</v>
      </c>
      <c r="P399" s="32" t="s">
        <v>1273</v>
      </c>
      <c r="Q399" s="42" t="s">
        <v>57</v>
      </c>
      <c r="R399" s="32">
        <v>2035</v>
      </c>
      <c r="S399" s="43" t="str">
        <f t="shared" si="52"/>
        <v>*0.95</v>
      </c>
      <c r="U399" s="32" t="s">
        <v>1273</v>
      </c>
      <c r="V399" s="42" t="s">
        <v>57</v>
      </c>
      <c r="W399" s="32">
        <v>2050</v>
      </c>
      <c r="X399" s="43" t="str">
        <f t="shared" si="53"/>
        <v>*0.93</v>
      </c>
      <c r="AC399" s="33" t="s">
        <v>1273</v>
      </c>
      <c r="AD399" s="44" t="s">
        <v>57</v>
      </c>
      <c r="AE399" s="33">
        <v>2035</v>
      </c>
      <c r="AF399" s="45" t="str">
        <f t="shared" si="54"/>
        <v>*0.93</v>
      </c>
      <c r="AG399" s="43" t="str">
        <f t="shared" si="56"/>
        <v>REZoning_Sol-Win</v>
      </c>
      <c r="AI399" s="33" t="s">
        <v>1273</v>
      </c>
      <c r="AJ399" s="44" t="s">
        <v>57</v>
      </c>
      <c r="AK399" s="33">
        <v>2050</v>
      </c>
      <c r="AL399" s="45" t="str">
        <f t="shared" si="55"/>
        <v>*0.9</v>
      </c>
      <c r="AM399" s="43" t="str">
        <f t="shared" si="57"/>
        <v>REZoning_Sol-Win</v>
      </c>
      <c r="AP399" t="s">
        <v>1273</v>
      </c>
      <c r="AQ399" t="s">
        <v>57</v>
      </c>
      <c r="AR399">
        <v>2100</v>
      </c>
      <c r="AS399" t="s">
        <v>897</v>
      </c>
      <c r="AT399" t="s">
        <v>58</v>
      </c>
    </row>
    <row r="400" ht="29" spans="1:46">
      <c r="A400" s="31" t="s">
        <v>73</v>
      </c>
      <c r="C400" t="s">
        <v>1274</v>
      </c>
      <c r="D400" s="5" t="s">
        <v>57</v>
      </c>
      <c r="E400">
        <v>2035</v>
      </c>
      <c r="F400" s="6" t="str">
        <f t="shared" si="50"/>
        <v>*0.95</v>
      </c>
      <c r="H400" t="s">
        <v>1274</v>
      </c>
      <c r="I400" s="5" t="s">
        <v>57</v>
      </c>
      <c r="J400">
        <v>2050</v>
      </c>
      <c r="K400" s="38" t="str">
        <f t="shared" si="51"/>
        <v>*0.93</v>
      </c>
      <c r="P400" s="32" t="s">
        <v>1274</v>
      </c>
      <c r="Q400" s="42" t="s">
        <v>57</v>
      </c>
      <c r="R400" s="32">
        <v>2035</v>
      </c>
      <c r="S400" s="43" t="str">
        <f t="shared" si="52"/>
        <v>*0.95</v>
      </c>
      <c r="U400" s="32" t="s">
        <v>1274</v>
      </c>
      <c r="V400" s="42" t="s">
        <v>57</v>
      </c>
      <c r="W400" s="32">
        <v>2050</v>
      </c>
      <c r="X400" s="43" t="str">
        <f t="shared" si="53"/>
        <v>*0.93</v>
      </c>
      <c r="AC400" s="33" t="s">
        <v>1274</v>
      </c>
      <c r="AD400" s="44" t="s">
        <v>57</v>
      </c>
      <c r="AE400" s="33">
        <v>2035</v>
      </c>
      <c r="AF400" s="45" t="str">
        <f t="shared" si="54"/>
        <v>*0.93</v>
      </c>
      <c r="AG400" s="43" t="str">
        <f t="shared" si="56"/>
        <v>REZoning_Sol-Win</v>
      </c>
      <c r="AI400" s="33" t="s">
        <v>1274</v>
      </c>
      <c r="AJ400" s="44" t="s">
        <v>57</v>
      </c>
      <c r="AK400" s="33">
        <v>2050</v>
      </c>
      <c r="AL400" s="45" t="str">
        <f t="shared" si="55"/>
        <v>*0.9</v>
      </c>
      <c r="AM400" s="43" t="str">
        <f t="shared" si="57"/>
        <v>REZoning_Sol-Win</v>
      </c>
      <c r="AP400" t="s">
        <v>1274</v>
      </c>
      <c r="AQ400" t="s">
        <v>57</v>
      </c>
      <c r="AR400">
        <v>2100</v>
      </c>
      <c r="AS400" t="s">
        <v>897</v>
      </c>
      <c r="AT400" t="s">
        <v>58</v>
      </c>
    </row>
    <row r="401" ht="29" spans="1:46">
      <c r="A401" s="31" t="s">
        <v>73</v>
      </c>
      <c r="C401" t="s">
        <v>1275</v>
      </c>
      <c r="D401" s="5" t="s">
        <v>57</v>
      </c>
      <c r="E401">
        <v>2035</v>
      </c>
      <c r="F401" s="6" t="str">
        <f t="shared" si="50"/>
        <v>*0.95</v>
      </c>
      <c r="H401" t="s">
        <v>1275</v>
      </c>
      <c r="I401" s="5" t="s">
        <v>57</v>
      </c>
      <c r="J401">
        <v>2050</v>
      </c>
      <c r="K401" s="38" t="str">
        <f t="shared" si="51"/>
        <v>*0.93</v>
      </c>
      <c r="P401" s="32" t="s">
        <v>1275</v>
      </c>
      <c r="Q401" s="42" t="s">
        <v>57</v>
      </c>
      <c r="R401" s="32">
        <v>2035</v>
      </c>
      <c r="S401" s="43" t="str">
        <f t="shared" si="52"/>
        <v>*0.95</v>
      </c>
      <c r="U401" s="32" t="s">
        <v>1275</v>
      </c>
      <c r="V401" s="42" t="s">
        <v>57</v>
      </c>
      <c r="W401" s="32">
        <v>2050</v>
      </c>
      <c r="X401" s="43" t="str">
        <f t="shared" si="53"/>
        <v>*0.93</v>
      </c>
      <c r="AC401" s="33" t="s">
        <v>1275</v>
      </c>
      <c r="AD401" s="44" t="s">
        <v>57</v>
      </c>
      <c r="AE401" s="33">
        <v>2035</v>
      </c>
      <c r="AF401" s="45" t="str">
        <f t="shared" si="54"/>
        <v>*0.93</v>
      </c>
      <c r="AG401" s="43" t="str">
        <f t="shared" si="56"/>
        <v>REZoning_Sol-Win</v>
      </c>
      <c r="AI401" s="33" t="s">
        <v>1275</v>
      </c>
      <c r="AJ401" s="44" t="s">
        <v>57</v>
      </c>
      <c r="AK401" s="33">
        <v>2050</v>
      </c>
      <c r="AL401" s="45" t="str">
        <f t="shared" si="55"/>
        <v>*0.9</v>
      </c>
      <c r="AM401" s="43" t="str">
        <f t="shared" si="57"/>
        <v>REZoning_Sol-Win</v>
      </c>
      <c r="AP401" t="s">
        <v>1275</v>
      </c>
      <c r="AQ401" t="s">
        <v>57</v>
      </c>
      <c r="AR401">
        <v>2100</v>
      </c>
      <c r="AS401" t="s">
        <v>897</v>
      </c>
      <c r="AT401" t="s">
        <v>58</v>
      </c>
    </row>
    <row r="402" ht="29" spans="1:46">
      <c r="A402" s="31" t="s">
        <v>73</v>
      </c>
      <c r="C402" t="s">
        <v>1276</v>
      </c>
      <c r="D402" s="5" t="s">
        <v>57</v>
      </c>
      <c r="E402">
        <v>2035</v>
      </c>
      <c r="F402" s="6" t="str">
        <f t="shared" si="50"/>
        <v>*0.95</v>
      </c>
      <c r="H402" t="s">
        <v>1276</v>
      </c>
      <c r="I402" s="5" t="s">
        <v>57</v>
      </c>
      <c r="J402">
        <v>2050</v>
      </c>
      <c r="K402" s="38" t="str">
        <f t="shared" si="51"/>
        <v>*0.93</v>
      </c>
      <c r="P402" s="32" t="s">
        <v>1276</v>
      </c>
      <c r="Q402" s="42" t="s">
        <v>57</v>
      </c>
      <c r="R402" s="32">
        <v>2035</v>
      </c>
      <c r="S402" s="43" t="str">
        <f t="shared" si="52"/>
        <v>*0.95</v>
      </c>
      <c r="U402" s="32" t="s">
        <v>1276</v>
      </c>
      <c r="V402" s="42" t="s">
        <v>57</v>
      </c>
      <c r="W402" s="32">
        <v>2050</v>
      </c>
      <c r="X402" s="43" t="str">
        <f t="shared" si="53"/>
        <v>*0.93</v>
      </c>
      <c r="AC402" s="33" t="s">
        <v>1276</v>
      </c>
      <c r="AD402" s="44" t="s">
        <v>57</v>
      </c>
      <c r="AE402" s="33">
        <v>2035</v>
      </c>
      <c r="AF402" s="45" t="str">
        <f t="shared" si="54"/>
        <v>*0.93</v>
      </c>
      <c r="AG402" s="43" t="str">
        <f t="shared" si="56"/>
        <v>REZoning_Sol-Win</v>
      </c>
      <c r="AI402" s="33" t="s">
        <v>1276</v>
      </c>
      <c r="AJ402" s="44" t="s">
        <v>57</v>
      </c>
      <c r="AK402" s="33">
        <v>2050</v>
      </c>
      <c r="AL402" s="45" t="str">
        <f t="shared" si="55"/>
        <v>*0.9</v>
      </c>
      <c r="AM402" s="43" t="str">
        <f t="shared" si="57"/>
        <v>REZoning_Sol-Win</v>
      </c>
      <c r="AP402" t="s">
        <v>1276</v>
      </c>
      <c r="AQ402" t="s">
        <v>57</v>
      </c>
      <c r="AR402">
        <v>2100</v>
      </c>
      <c r="AS402" t="s">
        <v>897</v>
      </c>
      <c r="AT402" t="s">
        <v>58</v>
      </c>
    </row>
    <row r="403" ht="29" spans="1:46">
      <c r="A403" s="31" t="s">
        <v>73</v>
      </c>
      <c r="C403" t="s">
        <v>1277</v>
      </c>
      <c r="D403" s="5" t="s">
        <v>57</v>
      </c>
      <c r="E403">
        <v>2035</v>
      </c>
      <c r="F403" s="6" t="str">
        <f t="shared" si="50"/>
        <v>*0.95</v>
      </c>
      <c r="H403" t="s">
        <v>1277</v>
      </c>
      <c r="I403" s="5" t="s">
        <v>57</v>
      </c>
      <c r="J403">
        <v>2050</v>
      </c>
      <c r="K403" s="38" t="str">
        <f t="shared" si="51"/>
        <v>*0.93</v>
      </c>
      <c r="P403" s="32" t="s">
        <v>1277</v>
      </c>
      <c r="Q403" s="42" t="s">
        <v>57</v>
      </c>
      <c r="R403" s="32">
        <v>2035</v>
      </c>
      <c r="S403" s="43" t="str">
        <f t="shared" si="52"/>
        <v>*0.95</v>
      </c>
      <c r="U403" s="32" t="s">
        <v>1277</v>
      </c>
      <c r="V403" s="42" t="s">
        <v>57</v>
      </c>
      <c r="W403" s="32">
        <v>2050</v>
      </c>
      <c r="X403" s="43" t="str">
        <f t="shared" si="53"/>
        <v>*0.93</v>
      </c>
      <c r="AC403" s="33" t="s">
        <v>1277</v>
      </c>
      <c r="AD403" s="44" t="s">
        <v>57</v>
      </c>
      <c r="AE403" s="33">
        <v>2035</v>
      </c>
      <c r="AF403" s="45" t="str">
        <f t="shared" si="54"/>
        <v>*0.93</v>
      </c>
      <c r="AG403" s="43" t="str">
        <f t="shared" si="56"/>
        <v>REZoning_Sol-Win</v>
      </c>
      <c r="AI403" s="33" t="s">
        <v>1277</v>
      </c>
      <c r="AJ403" s="44" t="s">
        <v>57</v>
      </c>
      <c r="AK403" s="33">
        <v>2050</v>
      </c>
      <c r="AL403" s="45" t="str">
        <f t="shared" si="55"/>
        <v>*0.9</v>
      </c>
      <c r="AM403" s="43" t="str">
        <f t="shared" si="57"/>
        <v>REZoning_Sol-Win</v>
      </c>
      <c r="AP403" t="s">
        <v>1277</v>
      </c>
      <c r="AQ403" t="s">
        <v>57</v>
      </c>
      <c r="AR403">
        <v>2100</v>
      </c>
      <c r="AS403" t="s">
        <v>897</v>
      </c>
      <c r="AT403" t="s">
        <v>58</v>
      </c>
    </row>
    <row r="404" ht="29" spans="1:46">
      <c r="A404" s="31" t="s">
        <v>73</v>
      </c>
      <c r="C404" t="s">
        <v>1278</v>
      </c>
      <c r="D404" s="5" t="s">
        <v>57</v>
      </c>
      <c r="E404">
        <v>2035</v>
      </c>
      <c r="F404" s="6" t="str">
        <f t="shared" si="50"/>
        <v>*0.95</v>
      </c>
      <c r="H404" t="s">
        <v>1278</v>
      </c>
      <c r="I404" s="5" t="s">
        <v>57</v>
      </c>
      <c r="J404">
        <v>2050</v>
      </c>
      <c r="K404" s="38" t="str">
        <f t="shared" si="51"/>
        <v>*0.93</v>
      </c>
      <c r="P404" s="32" t="s">
        <v>1278</v>
      </c>
      <c r="Q404" s="42" t="s">
        <v>57</v>
      </c>
      <c r="R404" s="32">
        <v>2035</v>
      </c>
      <c r="S404" s="43" t="str">
        <f t="shared" si="52"/>
        <v>*0.95</v>
      </c>
      <c r="U404" s="32" t="s">
        <v>1278</v>
      </c>
      <c r="V404" s="42" t="s">
        <v>57</v>
      </c>
      <c r="W404" s="32">
        <v>2050</v>
      </c>
      <c r="X404" s="43" t="str">
        <f t="shared" si="53"/>
        <v>*0.93</v>
      </c>
      <c r="AC404" s="33" t="s">
        <v>1278</v>
      </c>
      <c r="AD404" s="44" t="s">
        <v>57</v>
      </c>
      <c r="AE404" s="33">
        <v>2035</v>
      </c>
      <c r="AF404" s="45" t="str">
        <f t="shared" si="54"/>
        <v>*0.93</v>
      </c>
      <c r="AG404" s="43" t="str">
        <f t="shared" si="56"/>
        <v>REZoning_Sol-Win</v>
      </c>
      <c r="AI404" s="33" t="s">
        <v>1278</v>
      </c>
      <c r="AJ404" s="44" t="s">
        <v>57</v>
      </c>
      <c r="AK404" s="33">
        <v>2050</v>
      </c>
      <c r="AL404" s="45" t="str">
        <f t="shared" si="55"/>
        <v>*0.9</v>
      </c>
      <c r="AM404" s="43" t="str">
        <f t="shared" si="57"/>
        <v>REZoning_Sol-Win</v>
      </c>
      <c r="AP404" t="s">
        <v>1278</v>
      </c>
      <c r="AQ404" t="s">
        <v>57</v>
      </c>
      <c r="AR404">
        <v>2100</v>
      </c>
      <c r="AS404" t="s">
        <v>897</v>
      </c>
      <c r="AT404" t="s">
        <v>58</v>
      </c>
    </row>
    <row r="405" ht="29" spans="1:46">
      <c r="A405" s="31" t="s">
        <v>73</v>
      </c>
      <c r="C405" t="s">
        <v>1279</v>
      </c>
      <c r="D405" s="5" t="s">
        <v>57</v>
      </c>
      <c r="E405">
        <v>2035</v>
      </c>
      <c r="F405" s="6" t="str">
        <f t="shared" si="50"/>
        <v>*0.95</v>
      </c>
      <c r="H405" t="s">
        <v>1279</v>
      </c>
      <c r="I405" s="5" t="s">
        <v>57</v>
      </c>
      <c r="J405">
        <v>2050</v>
      </c>
      <c r="K405" s="38" t="str">
        <f t="shared" si="51"/>
        <v>*0.93</v>
      </c>
      <c r="P405" s="32" t="s">
        <v>1279</v>
      </c>
      <c r="Q405" s="42" t="s">
        <v>57</v>
      </c>
      <c r="R405" s="32">
        <v>2035</v>
      </c>
      <c r="S405" s="43" t="str">
        <f t="shared" si="52"/>
        <v>*0.95</v>
      </c>
      <c r="U405" s="32" t="s">
        <v>1279</v>
      </c>
      <c r="V405" s="42" t="s">
        <v>57</v>
      </c>
      <c r="W405" s="32">
        <v>2050</v>
      </c>
      <c r="X405" s="43" t="str">
        <f t="shared" si="53"/>
        <v>*0.93</v>
      </c>
      <c r="AC405" s="33" t="s">
        <v>1279</v>
      </c>
      <c r="AD405" s="44" t="s">
        <v>57</v>
      </c>
      <c r="AE405" s="33">
        <v>2035</v>
      </c>
      <c r="AF405" s="45" t="str">
        <f t="shared" si="54"/>
        <v>*0.93</v>
      </c>
      <c r="AG405" s="43" t="str">
        <f t="shared" si="56"/>
        <v>REZoning_Sol-Win</v>
      </c>
      <c r="AI405" s="33" t="s">
        <v>1279</v>
      </c>
      <c r="AJ405" s="44" t="s">
        <v>57</v>
      </c>
      <c r="AK405" s="33">
        <v>2050</v>
      </c>
      <c r="AL405" s="45" t="str">
        <f t="shared" si="55"/>
        <v>*0.9</v>
      </c>
      <c r="AM405" s="43" t="str">
        <f t="shared" si="57"/>
        <v>REZoning_Sol-Win</v>
      </c>
      <c r="AP405" t="s">
        <v>1279</v>
      </c>
      <c r="AQ405" t="s">
        <v>57</v>
      </c>
      <c r="AR405">
        <v>2100</v>
      </c>
      <c r="AS405" t="s">
        <v>897</v>
      </c>
      <c r="AT405" t="s">
        <v>58</v>
      </c>
    </row>
    <row r="406" ht="29" spans="1:46">
      <c r="A406" s="31" t="s">
        <v>83</v>
      </c>
      <c r="C406" t="s">
        <v>1280</v>
      </c>
      <c r="D406" s="5" t="s">
        <v>57</v>
      </c>
      <c r="E406">
        <v>2035</v>
      </c>
      <c r="F406" s="6" t="str">
        <f t="shared" si="50"/>
        <v>*0.95</v>
      </c>
      <c r="H406" t="s">
        <v>1280</v>
      </c>
      <c r="I406" s="5" t="s">
        <v>57</v>
      </c>
      <c r="J406">
        <v>2050</v>
      </c>
      <c r="K406" s="38" t="str">
        <f t="shared" si="51"/>
        <v>*0.92</v>
      </c>
      <c r="P406" s="32" t="s">
        <v>1280</v>
      </c>
      <c r="Q406" s="42" t="s">
        <v>57</v>
      </c>
      <c r="R406" s="32">
        <v>2035</v>
      </c>
      <c r="S406" s="43" t="str">
        <f t="shared" si="52"/>
        <v>*0.95</v>
      </c>
      <c r="U406" s="32" t="s">
        <v>1280</v>
      </c>
      <c r="V406" s="42" t="s">
        <v>57</v>
      </c>
      <c r="W406" s="32">
        <v>2050</v>
      </c>
      <c r="X406" s="43" t="str">
        <f t="shared" si="53"/>
        <v>*0.92</v>
      </c>
      <c r="AC406" s="33" t="s">
        <v>1280</v>
      </c>
      <c r="AD406" s="44" t="s">
        <v>57</v>
      </c>
      <c r="AE406" s="33">
        <v>2035</v>
      </c>
      <c r="AF406" s="45" t="str">
        <f t="shared" si="54"/>
        <v>*0.93</v>
      </c>
      <c r="AG406" s="43" t="str">
        <f t="shared" si="56"/>
        <v>REZoning_Sol-Win</v>
      </c>
      <c r="AI406" s="33" t="s">
        <v>1280</v>
      </c>
      <c r="AJ406" s="44" t="s">
        <v>57</v>
      </c>
      <c r="AK406" s="33">
        <v>2050</v>
      </c>
      <c r="AL406" s="45" t="str">
        <f t="shared" si="55"/>
        <v>*0.89</v>
      </c>
      <c r="AM406" s="43" t="str">
        <f t="shared" si="57"/>
        <v>REZoning_Sol-Win</v>
      </c>
      <c r="AP406" t="s">
        <v>1280</v>
      </c>
      <c r="AQ406" t="s">
        <v>57</v>
      </c>
      <c r="AR406">
        <v>2100</v>
      </c>
      <c r="AS406" t="s">
        <v>937</v>
      </c>
      <c r="AT406" t="s">
        <v>58</v>
      </c>
    </row>
    <row r="407" ht="29" spans="1:46">
      <c r="A407" s="31" t="s">
        <v>83</v>
      </c>
      <c r="C407" t="s">
        <v>1281</v>
      </c>
      <c r="D407" s="5" t="s">
        <v>57</v>
      </c>
      <c r="E407">
        <v>2035</v>
      </c>
      <c r="F407" s="6" t="str">
        <f t="shared" si="50"/>
        <v>*0.95</v>
      </c>
      <c r="H407" t="s">
        <v>1281</v>
      </c>
      <c r="I407" s="5" t="s">
        <v>57</v>
      </c>
      <c r="J407">
        <v>2050</v>
      </c>
      <c r="K407" s="38" t="str">
        <f t="shared" si="51"/>
        <v>*0.92</v>
      </c>
      <c r="P407" s="32" t="s">
        <v>1281</v>
      </c>
      <c r="Q407" s="42" t="s">
        <v>57</v>
      </c>
      <c r="R407" s="32">
        <v>2035</v>
      </c>
      <c r="S407" s="43" t="str">
        <f t="shared" si="52"/>
        <v>*0.95</v>
      </c>
      <c r="U407" s="32" t="s">
        <v>1281</v>
      </c>
      <c r="V407" s="42" t="s">
        <v>57</v>
      </c>
      <c r="W407" s="32">
        <v>2050</v>
      </c>
      <c r="X407" s="43" t="str">
        <f t="shared" si="53"/>
        <v>*0.92</v>
      </c>
      <c r="AC407" s="33" t="s">
        <v>1281</v>
      </c>
      <c r="AD407" s="44" t="s">
        <v>57</v>
      </c>
      <c r="AE407" s="33">
        <v>2035</v>
      </c>
      <c r="AF407" s="45" t="str">
        <f t="shared" si="54"/>
        <v>*0.93</v>
      </c>
      <c r="AG407" s="43" t="str">
        <f t="shared" si="56"/>
        <v>REZoning_Sol-Win</v>
      </c>
      <c r="AI407" s="33" t="s">
        <v>1281</v>
      </c>
      <c r="AJ407" s="44" t="s">
        <v>57</v>
      </c>
      <c r="AK407" s="33">
        <v>2050</v>
      </c>
      <c r="AL407" s="45" t="str">
        <f t="shared" si="55"/>
        <v>*0.89</v>
      </c>
      <c r="AM407" s="43" t="str">
        <f t="shared" si="57"/>
        <v>REZoning_Sol-Win</v>
      </c>
      <c r="AP407" t="s">
        <v>1281</v>
      </c>
      <c r="AQ407" t="s">
        <v>57</v>
      </c>
      <c r="AR407">
        <v>2100</v>
      </c>
      <c r="AS407" t="s">
        <v>937</v>
      </c>
      <c r="AT407" t="s">
        <v>58</v>
      </c>
    </row>
    <row r="408" ht="29" spans="1:46">
      <c r="A408" s="31" t="s">
        <v>83</v>
      </c>
      <c r="C408" t="s">
        <v>1282</v>
      </c>
      <c r="D408" s="5" t="s">
        <v>57</v>
      </c>
      <c r="E408">
        <v>2035</v>
      </c>
      <c r="F408" s="6" t="str">
        <f t="shared" si="50"/>
        <v>*0.95</v>
      </c>
      <c r="H408" t="s">
        <v>1282</v>
      </c>
      <c r="I408" s="5" t="s">
        <v>57</v>
      </c>
      <c r="J408">
        <v>2050</v>
      </c>
      <c r="K408" s="38" t="str">
        <f t="shared" si="51"/>
        <v>*0.92</v>
      </c>
      <c r="P408" s="32" t="s">
        <v>1282</v>
      </c>
      <c r="Q408" s="42" t="s">
        <v>57</v>
      </c>
      <c r="R408" s="32">
        <v>2035</v>
      </c>
      <c r="S408" s="43" t="str">
        <f t="shared" si="52"/>
        <v>*0.95</v>
      </c>
      <c r="U408" s="32" t="s">
        <v>1282</v>
      </c>
      <c r="V408" s="42" t="s">
        <v>57</v>
      </c>
      <c r="W408" s="32">
        <v>2050</v>
      </c>
      <c r="X408" s="43" t="str">
        <f t="shared" si="53"/>
        <v>*0.92</v>
      </c>
      <c r="AC408" s="33" t="s">
        <v>1282</v>
      </c>
      <c r="AD408" s="44" t="s">
        <v>57</v>
      </c>
      <c r="AE408" s="33">
        <v>2035</v>
      </c>
      <c r="AF408" s="45" t="str">
        <f t="shared" si="54"/>
        <v>*0.93</v>
      </c>
      <c r="AG408" s="43" t="str">
        <f t="shared" si="56"/>
        <v>REZoning_Sol-Win</v>
      </c>
      <c r="AI408" s="33" t="s">
        <v>1282</v>
      </c>
      <c r="AJ408" s="44" t="s">
        <v>57</v>
      </c>
      <c r="AK408" s="33">
        <v>2050</v>
      </c>
      <c r="AL408" s="45" t="str">
        <f t="shared" si="55"/>
        <v>*0.89</v>
      </c>
      <c r="AM408" s="43" t="str">
        <f t="shared" si="57"/>
        <v>REZoning_Sol-Win</v>
      </c>
      <c r="AP408" t="s">
        <v>1282</v>
      </c>
      <c r="AQ408" t="s">
        <v>57</v>
      </c>
      <c r="AR408">
        <v>2100</v>
      </c>
      <c r="AS408" t="s">
        <v>937</v>
      </c>
      <c r="AT408" t="s">
        <v>58</v>
      </c>
    </row>
    <row r="409" ht="29" spans="1:46">
      <c r="A409" s="31" t="s">
        <v>83</v>
      </c>
      <c r="C409" t="s">
        <v>1283</v>
      </c>
      <c r="D409" s="5" t="s">
        <v>57</v>
      </c>
      <c r="E409">
        <v>2035</v>
      </c>
      <c r="F409" s="6" t="str">
        <f t="shared" si="50"/>
        <v>*0.95</v>
      </c>
      <c r="H409" t="s">
        <v>1283</v>
      </c>
      <c r="I409" s="5" t="s">
        <v>57</v>
      </c>
      <c r="J409">
        <v>2050</v>
      </c>
      <c r="K409" s="38" t="str">
        <f t="shared" si="51"/>
        <v>*0.92</v>
      </c>
      <c r="P409" s="32" t="s">
        <v>1283</v>
      </c>
      <c r="Q409" s="42" t="s">
        <v>57</v>
      </c>
      <c r="R409" s="32">
        <v>2035</v>
      </c>
      <c r="S409" s="43" t="str">
        <f t="shared" si="52"/>
        <v>*0.95</v>
      </c>
      <c r="U409" s="32" t="s">
        <v>1283</v>
      </c>
      <c r="V409" s="42" t="s">
        <v>57</v>
      </c>
      <c r="W409" s="32">
        <v>2050</v>
      </c>
      <c r="X409" s="43" t="str">
        <f t="shared" si="53"/>
        <v>*0.92</v>
      </c>
      <c r="AC409" s="33" t="s">
        <v>1283</v>
      </c>
      <c r="AD409" s="44" t="s">
        <v>57</v>
      </c>
      <c r="AE409" s="33">
        <v>2035</v>
      </c>
      <c r="AF409" s="45" t="str">
        <f t="shared" si="54"/>
        <v>*0.93</v>
      </c>
      <c r="AG409" s="43" t="str">
        <f t="shared" si="56"/>
        <v>REZoning_Sol-Win</v>
      </c>
      <c r="AI409" s="33" t="s">
        <v>1283</v>
      </c>
      <c r="AJ409" s="44" t="s">
        <v>57</v>
      </c>
      <c r="AK409" s="33">
        <v>2050</v>
      </c>
      <c r="AL409" s="45" t="str">
        <f t="shared" si="55"/>
        <v>*0.89</v>
      </c>
      <c r="AM409" s="43" t="str">
        <f t="shared" si="57"/>
        <v>REZoning_Sol-Win</v>
      </c>
      <c r="AP409" t="s">
        <v>1283</v>
      </c>
      <c r="AQ409" t="s">
        <v>57</v>
      </c>
      <c r="AR409">
        <v>2100</v>
      </c>
      <c r="AS409" t="s">
        <v>937</v>
      </c>
      <c r="AT409" t="s">
        <v>58</v>
      </c>
    </row>
    <row r="410" ht="29" spans="1:46">
      <c r="A410" s="31" t="s">
        <v>83</v>
      </c>
      <c r="C410" t="s">
        <v>1284</v>
      </c>
      <c r="D410" s="5" t="s">
        <v>57</v>
      </c>
      <c r="E410">
        <v>2035</v>
      </c>
      <c r="F410" s="6" t="str">
        <f t="shared" si="50"/>
        <v>*0.95</v>
      </c>
      <c r="H410" t="s">
        <v>1284</v>
      </c>
      <c r="I410" s="5" t="s">
        <v>57</v>
      </c>
      <c r="J410">
        <v>2050</v>
      </c>
      <c r="K410" s="38" t="str">
        <f t="shared" si="51"/>
        <v>*0.92</v>
      </c>
      <c r="P410" s="32" t="s">
        <v>1284</v>
      </c>
      <c r="Q410" s="42" t="s">
        <v>57</v>
      </c>
      <c r="R410" s="32">
        <v>2035</v>
      </c>
      <c r="S410" s="43" t="str">
        <f t="shared" si="52"/>
        <v>*0.95</v>
      </c>
      <c r="U410" s="32" t="s">
        <v>1284</v>
      </c>
      <c r="V410" s="42" t="s">
        <v>57</v>
      </c>
      <c r="W410" s="32">
        <v>2050</v>
      </c>
      <c r="X410" s="43" t="str">
        <f t="shared" si="53"/>
        <v>*0.92</v>
      </c>
      <c r="AC410" s="33" t="s">
        <v>1284</v>
      </c>
      <c r="AD410" s="44" t="s">
        <v>57</v>
      </c>
      <c r="AE410" s="33">
        <v>2035</v>
      </c>
      <c r="AF410" s="45" t="str">
        <f t="shared" si="54"/>
        <v>*0.93</v>
      </c>
      <c r="AG410" s="43" t="str">
        <f t="shared" si="56"/>
        <v>REZoning_Sol-Win</v>
      </c>
      <c r="AI410" s="33" t="s">
        <v>1284</v>
      </c>
      <c r="AJ410" s="44" t="s">
        <v>57</v>
      </c>
      <c r="AK410" s="33">
        <v>2050</v>
      </c>
      <c r="AL410" s="45" t="str">
        <f t="shared" si="55"/>
        <v>*0.89</v>
      </c>
      <c r="AM410" s="43" t="str">
        <f t="shared" si="57"/>
        <v>REZoning_Sol-Win</v>
      </c>
      <c r="AP410" t="s">
        <v>1284</v>
      </c>
      <c r="AQ410" t="s">
        <v>57</v>
      </c>
      <c r="AR410">
        <v>2100</v>
      </c>
      <c r="AS410" t="s">
        <v>937</v>
      </c>
      <c r="AT410" t="s">
        <v>58</v>
      </c>
    </row>
    <row r="411" ht="29" spans="1:46">
      <c r="A411" s="31" t="s">
        <v>83</v>
      </c>
      <c r="C411" t="s">
        <v>1285</v>
      </c>
      <c r="D411" s="5" t="s">
        <v>57</v>
      </c>
      <c r="E411">
        <v>2035</v>
      </c>
      <c r="F411" s="6" t="str">
        <f t="shared" si="50"/>
        <v>*0.95</v>
      </c>
      <c r="H411" t="s">
        <v>1285</v>
      </c>
      <c r="I411" s="5" t="s">
        <v>57</v>
      </c>
      <c r="J411">
        <v>2050</v>
      </c>
      <c r="K411" s="38" t="str">
        <f t="shared" si="51"/>
        <v>*0.92</v>
      </c>
      <c r="P411" s="32" t="s">
        <v>1285</v>
      </c>
      <c r="Q411" s="42" t="s">
        <v>57</v>
      </c>
      <c r="R411" s="32">
        <v>2035</v>
      </c>
      <c r="S411" s="43" t="str">
        <f t="shared" si="52"/>
        <v>*0.95</v>
      </c>
      <c r="U411" s="32" t="s">
        <v>1285</v>
      </c>
      <c r="V411" s="42" t="s">
        <v>57</v>
      </c>
      <c r="W411" s="32">
        <v>2050</v>
      </c>
      <c r="X411" s="43" t="str">
        <f t="shared" si="53"/>
        <v>*0.92</v>
      </c>
      <c r="AC411" s="33" t="s">
        <v>1285</v>
      </c>
      <c r="AD411" s="44" t="s">
        <v>57</v>
      </c>
      <c r="AE411" s="33">
        <v>2035</v>
      </c>
      <c r="AF411" s="45" t="str">
        <f t="shared" si="54"/>
        <v>*0.93</v>
      </c>
      <c r="AG411" s="43" t="str">
        <f t="shared" si="56"/>
        <v>REZoning_Sol-Win</v>
      </c>
      <c r="AI411" s="33" t="s">
        <v>1285</v>
      </c>
      <c r="AJ411" s="44" t="s">
        <v>57</v>
      </c>
      <c r="AK411" s="33">
        <v>2050</v>
      </c>
      <c r="AL411" s="45" t="str">
        <f t="shared" si="55"/>
        <v>*0.89</v>
      </c>
      <c r="AM411" s="43" t="str">
        <f t="shared" si="57"/>
        <v>REZoning_Sol-Win</v>
      </c>
      <c r="AP411" t="s">
        <v>1285</v>
      </c>
      <c r="AQ411" t="s">
        <v>57</v>
      </c>
      <c r="AR411">
        <v>2100</v>
      </c>
      <c r="AS411" t="s">
        <v>937</v>
      </c>
      <c r="AT411" t="s">
        <v>58</v>
      </c>
    </row>
    <row r="412" ht="29" spans="1:46">
      <c r="A412" s="31" t="s">
        <v>83</v>
      </c>
      <c r="C412" t="s">
        <v>1286</v>
      </c>
      <c r="D412" s="5" t="s">
        <v>57</v>
      </c>
      <c r="E412">
        <v>2035</v>
      </c>
      <c r="F412" s="6" t="str">
        <f t="shared" si="50"/>
        <v>*0.95</v>
      </c>
      <c r="H412" t="s">
        <v>1286</v>
      </c>
      <c r="I412" s="5" t="s">
        <v>57</v>
      </c>
      <c r="J412">
        <v>2050</v>
      </c>
      <c r="K412" s="38" t="str">
        <f t="shared" si="51"/>
        <v>*0.92</v>
      </c>
      <c r="P412" s="32" t="s">
        <v>1286</v>
      </c>
      <c r="Q412" s="42" t="s">
        <v>57</v>
      </c>
      <c r="R412" s="32">
        <v>2035</v>
      </c>
      <c r="S412" s="43" t="str">
        <f t="shared" si="52"/>
        <v>*0.95</v>
      </c>
      <c r="U412" s="32" t="s">
        <v>1286</v>
      </c>
      <c r="V412" s="42" t="s">
        <v>57</v>
      </c>
      <c r="W412" s="32">
        <v>2050</v>
      </c>
      <c r="X412" s="43" t="str">
        <f t="shared" si="53"/>
        <v>*0.92</v>
      </c>
      <c r="AC412" s="33" t="s">
        <v>1286</v>
      </c>
      <c r="AD412" s="44" t="s">
        <v>57</v>
      </c>
      <c r="AE412" s="33">
        <v>2035</v>
      </c>
      <c r="AF412" s="45" t="str">
        <f t="shared" si="54"/>
        <v>*0.93</v>
      </c>
      <c r="AG412" s="43" t="str">
        <f t="shared" si="56"/>
        <v>REZoning_Sol-Win</v>
      </c>
      <c r="AI412" s="33" t="s">
        <v>1286</v>
      </c>
      <c r="AJ412" s="44" t="s">
        <v>57</v>
      </c>
      <c r="AK412" s="33">
        <v>2050</v>
      </c>
      <c r="AL412" s="45" t="str">
        <f t="shared" si="55"/>
        <v>*0.89</v>
      </c>
      <c r="AM412" s="43" t="str">
        <f t="shared" si="57"/>
        <v>REZoning_Sol-Win</v>
      </c>
      <c r="AP412" t="s">
        <v>1286</v>
      </c>
      <c r="AQ412" t="s">
        <v>57</v>
      </c>
      <c r="AR412">
        <v>2100</v>
      </c>
      <c r="AS412" t="s">
        <v>937</v>
      </c>
      <c r="AT412" t="s">
        <v>58</v>
      </c>
    </row>
    <row r="413" ht="29" spans="1:46">
      <c r="A413" s="31" t="s">
        <v>83</v>
      </c>
      <c r="C413" t="s">
        <v>1287</v>
      </c>
      <c r="D413" s="5" t="s">
        <v>57</v>
      </c>
      <c r="E413">
        <v>2035</v>
      </c>
      <c r="F413" s="6" t="str">
        <f t="shared" si="50"/>
        <v>*0.95</v>
      </c>
      <c r="H413" t="s">
        <v>1287</v>
      </c>
      <c r="I413" s="5" t="s">
        <v>57</v>
      </c>
      <c r="J413">
        <v>2050</v>
      </c>
      <c r="K413" s="38" t="str">
        <f t="shared" si="51"/>
        <v>*0.92</v>
      </c>
      <c r="P413" s="32" t="s">
        <v>1287</v>
      </c>
      <c r="Q413" s="42" t="s">
        <v>57</v>
      </c>
      <c r="R413" s="32">
        <v>2035</v>
      </c>
      <c r="S413" s="43" t="str">
        <f t="shared" si="52"/>
        <v>*0.95</v>
      </c>
      <c r="U413" s="32" t="s">
        <v>1287</v>
      </c>
      <c r="V413" s="42" t="s">
        <v>57</v>
      </c>
      <c r="W413" s="32">
        <v>2050</v>
      </c>
      <c r="X413" s="43" t="str">
        <f t="shared" si="53"/>
        <v>*0.92</v>
      </c>
      <c r="AC413" s="33" t="s">
        <v>1287</v>
      </c>
      <c r="AD413" s="44" t="s">
        <v>57</v>
      </c>
      <c r="AE413" s="33">
        <v>2035</v>
      </c>
      <c r="AF413" s="45" t="str">
        <f t="shared" si="54"/>
        <v>*0.93</v>
      </c>
      <c r="AG413" s="43" t="str">
        <f t="shared" si="56"/>
        <v>REZoning_Sol-Win</v>
      </c>
      <c r="AI413" s="33" t="s">
        <v>1287</v>
      </c>
      <c r="AJ413" s="44" t="s">
        <v>57</v>
      </c>
      <c r="AK413" s="33">
        <v>2050</v>
      </c>
      <c r="AL413" s="45" t="str">
        <f t="shared" si="55"/>
        <v>*0.89</v>
      </c>
      <c r="AM413" s="43" t="str">
        <f t="shared" si="57"/>
        <v>REZoning_Sol-Win</v>
      </c>
      <c r="AP413" t="s">
        <v>1287</v>
      </c>
      <c r="AQ413" t="s">
        <v>57</v>
      </c>
      <c r="AR413">
        <v>2100</v>
      </c>
      <c r="AS413" t="s">
        <v>937</v>
      </c>
      <c r="AT413" t="s">
        <v>58</v>
      </c>
    </row>
    <row r="414" ht="29" spans="1:46">
      <c r="A414" s="31" t="s">
        <v>83</v>
      </c>
      <c r="C414" t="s">
        <v>1288</v>
      </c>
      <c r="D414" s="5" t="s">
        <v>57</v>
      </c>
      <c r="E414">
        <v>2035</v>
      </c>
      <c r="F414" s="6" t="str">
        <f t="shared" si="50"/>
        <v>*0.95</v>
      </c>
      <c r="H414" t="s">
        <v>1288</v>
      </c>
      <c r="I414" s="5" t="s">
        <v>57</v>
      </c>
      <c r="J414">
        <v>2050</v>
      </c>
      <c r="K414" s="38" t="str">
        <f t="shared" si="51"/>
        <v>*0.92</v>
      </c>
      <c r="P414" s="32" t="s">
        <v>1288</v>
      </c>
      <c r="Q414" s="42" t="s">
        <v>57</v>
      </c>
      <c r="R414" s="32">
        <v>2035</v>
      </c>
      <c r="S414" s="43" t="str">
        <f t="shared" si="52"/>
        <v>*0.95</v>
      </c>
      <c r="U414" s="32" t="s">
        <v>1288</v>
      </c>
      <c r="V414" s="42" t="s">
        <v>57</v>
      </c>
      <c r="W414" s="32">
        <v>2050</v>
      </c>
      <c r="X414" s="43" t="str">
        <f t="shared" si="53"/>
        <v>*0.92</v>
      </c>
      <c r="AC414" s="33" t="s">
        <v>1288</v>
      </c>
      <c r="AD414" s="44" t="s">
        <v>57</v>
      </c>
      <c r="AE414" s="33">
        <v>2035</v>
      </c>
      <c r="AF414" s="45" t="str">
        <f t="shared" si="54"/>
        <v>*0.93</v>
      </c>
      <c r="AG414" s="43" t="str">
        <f t="shared" si="56"/>
        <v>REZoning_Sol-Win</v>
      </c>
      <c r="AI414" s="33" t="s">
        <v>1288</v>
      </c>
      <c r="AJ414" s="44" t="s">
        <v>57</v>
      </c>
      <c r="AK414" s="33">
        <v>2050</v>
      </c>
      <c r="AL414" s="45" t="str">
        <f t="shared" si="55"/>
        <v>*0.89</v>
      </c>
      <c r="AM414" s="43" t="str">
        <f t="shared" si="57"/>
        <v>REZoning_Sol-Win</v>
      </c>
      <c r="AP414" t="s">
        <v>1288</v>
      </c>
      <c r="AQ414" t="s">
        <v>57</v>
      </c>
      <c r="AR414">
        <v>2100</v>
      </c>
      <c r="AS414" t="s">
        <v>937</v>
      </c>
      <c r="AT414" t="s">
        <v>58</v>
      </c>
    </row>
    <row r="415" ht="29" spans="1:46">
      <c r="A415" s="31" t="s">
        <v>83</v>
      </c>
      <c r="C415" t="s">
        <v>1289</v>
      </c>
      <c r="D415" s="5" t="s">
        <v>57</v>
      </c>
      <c r="E415">
        <v>2035</v>
      </c>
      <c r="F415" s="6" t="str">
        <f t="shared" si="50"/>
        <v>*0.95</v>
      </c>
      <c r="H415" t="s">
        <v>1289</v>
      </c>
      <c r="I415" s="5" t="s">
        <v>57</v>
      </c>
      <c r="J415">
        <v>2050</v>
      </c>
      <c r="K415" s="38" t="str">
        <f t="shared" si="51"/>
        <v>*0.92</v>
      </c>
      <c r="P415" s="32" t="s">
        <v>1289</v>
      </c>
      <c r="Q415" s="42" t="s">
        <v>57</v>
      </c>
      <c r="R415" s="32">
        <v>2035</v>
      </c>
      <c r="S415" s="43" t="str">
        <f t="shared" si="52"/>
        <v>*0.95</v>
      </c>
      <c r="U415" s="32" t="s">
        <v>1289</v>
      </c>
      <c r="V415" s="42" t="s">
        <v>57</v>
      </c>
      <c r="W415" s="32">
        <v>2050</v>
      </c>
      <c r="X415" s="43" t="str">
        <f t="shared" si="53"/>
        <v>*0.92</v>
      </c>
      <c r="AC415" s="33" t="s">
        <v>1289</v>
      </c>
      <c r="AD415" s="44" t="s">
        <v>57</v>
      </c>
      <c r="AE415" s="33">
        <v>2035</v>
      </c>
      <c r="AF415" s="45" t="str">
        <f t="shared" si="54"/>
        <v>*0.93</v>
      </c>
      <c r="AG415" s="43" t="str">
        <f t="shared" si="56"/>
        <v>REZoning_Sol-Win</v>
      </c>
      <c r="AI415" s="33" t="s">
        <v>1289</v>
      </c>
      <c r="AJ415" s="44" t="s">
        <v>57</v>
      </c>
      <c r="AK415" s="33">
        <v>2050</v>
      </c>
      <c r="AL415" s="45" t="str">
        <f t="shared" si="55"/>
        <v>*0.89</v>
      </c>
      <c r="AM415" s="43" t="str">
        <f t="shared" si="57"/>
        <v>REZoning_Sol-Win</v>
      </c>
      <c r="AP415" t="s">
        <v>1289</v>
      </c>
      <c r="AQ415" t="s">
        <v>57</v>
      </c>
      <c r="AR415">
        <v>2100</v>
      </c>
      <c r="AS415" t="s">
        <v>937</v>
      </c>
      <c r="AT415" t="s">
        <v>58</v>
      </c>
    </row>
    <row r="416" ht="29" spans="1:46">
      <c r="A416" s="31" t="s">
        <v>83</v>
      </c>
      <c r="C416" t="s">
        <v>1290</v>
      </c>
      <c r="D416" s="5" t="s">
        <v>57</v>
      </c>
      <c r="E416">
        <v>2035</v>
      </c>
      <c r="F416" s="6" t="str">
        <f t="shared" si="50"/>
        <v>*0.95</v>
      </c>
      <c r="H416" t="s">
        <v>1290</v>
      </c>
      <c r="I416" s="5" t="s">
        <v>57</v>
      </c>
      <c r="J416">
        <v>2050</v>
      </c>
      <c r="K416" s="38" t="str">
        <f t="shared" si="51"/>
        <v>*0.92</v>
      </c>
      <c r="P416" s="32" t="s">
        <v>1290</v>
      </c>
      <c r="Q416" s="42" t="s">
        <v>57</v>
      </c>
      <c r="R416" s="32">
        <v>2035</v>
      </c>
      <c r="S416" s="43" t="str">
        <f t="shared" si="52"/>
        <v>*0.95</v>
      </c>
      <c r="U416" s="32" t="s">
        <v>1290</v>
      </c>
      <c r="V416" s="42" t="s">
        <v>57</v>
      </c>
      <c r="W416" s="32">
        <v>2050</v>
      </c>
      <c r="X416" s="43" t="str">
        <f t="shared" si="53"/>
        <v>*0.92</v>
      </c>
      <c r="AC416" s="33" t="s">
        <v>1290</v>
      </c>
      <c r="AD416" s="44" t="s">
        <v>57</v>
      </c>
      <c r="AE416" s="33">
        <v>2035</v>
      </c>
      <c r="AF416" s="45" t="str">
        <f t="shared" si="54"/>
        <v>*0.93</v>
      </c>
      <c r="AG416" s="43" t="str">
        <f t="shared" si="56"/>
        <v>REZoning_Sol-Win</v>
      </c>
      <c r="AI416" s="33" t="s">
        <v>1290</v>
      </c>
      <c r="AJ416" s="44" t="s">
        <v>57</v>
      </c>
      <c r="AK416" s="33">
        <v>2050</v>
      </c>
      <c r="AL416" s="45" t="str">
        <f t="shared" si="55"/>
        <v>*0.89</v>
      </c>
      <c r="AM416" s="43" t="str">
        <f t="shared" si="57"/>
        <v>REZoning_Sol-Win</v>
      </c>
      <c r="AP416" t="s">
        <v>1290</v>
      </c>
      <c r="AQ416" t="s">
        <v>57</v>
      </c>
      <c r="AR416">
        <v>2100</v>
      </c>
      <c r="AS416" t="s">
        <v>937</v>
      </c>
      <c r="AT416" t="s">
        <v>58</v>
      </c>
    </row>
    <row r="417" ht="29" spans="1:46">
      <c r="A417" s="31" t="s">
        <v>83</v>
      </c>
      <c r="C417" t="s">
        <v>1291</v>
      </c>
      <c r="D417" s="5" t="s">
        <v>57</v>
      </c>
      <c r="E417">
        <v>2035</v>
      </c>
      <c r="F417" s="6" t="str">
        <f t="shared" si="50"/>
        <v>*0.95</v>
      </c>
      <c r="H417" t="s">
        <v>1291</v>
      </c>
      <c r="I417" s="5" t="s">
        <v>57</v>
      </c>
      <c r="J417">
        <v>2050</v>
      </c>
      <c r="K417" s="38" t="str">
        <f t="shared" si="51"/>
        <v>*0.92</v>
      </c>
      <c r="P417" s="32" t="s">
        <v>1291</v>
      </c>
      <c r="Q417" s="42" t="s">
        <v>57</v>
      </c>
      <c r="R417" s="32">
        <v>2035</v>
      </c>
      <c r="S417" s="43" t="str">
        <f t="shared" si="52"/>
        <v>*0.95</v>
      </c>
      <c r="U417" s="32" t="s">
        <v>1291</v>
      </c>
      <c r="V417" s="42" t="s">
        <v>57</v>
      </c>
      <c r="W417" s="32">
        <v>2050</v>
      </c>
      <c r="X417" s="43" t="str">
        <f t="shared" si="53"/>
        <v>*0.92</v>
      </c>
      <c r="AC417" s="33" t="s">
        <v>1291</v>
      </c>
      <c r="AD417" s="44" t="s">
        <v>57</v>
      </c>
      <c r="AE417" s="33">
        <v>2035</v>
      </c>
      <c r="AF417" s="45" t="str">
        <f t="shared" si="54"/>
        <v>*0.93</v>
      </c>
      <c r="AG417" s="43" t="str">
        <f t="shared" si="56"/>
        <v>REZoning_Sol-Win</v>
      </c>
      <c r="AI417" s="33" t="s">
        <v>1291</v>
      </c>
      <c r="AJ417" s="44" t="s">
        <v>57</v>
      </c>
      <c r="AK417" s="33">
        <v>2050</v>
      </c>
      <c r="AL417" s="45" t="str">
        <f t="shared" si="55"/>
        <v>*0.89</v>
      </c>
      <c r="AM417" s="43" t="str">
        <f t="shared" si="57"/>
        <v>REZoning_Sol-Win</v>
      </c>
      <c r="AP417" t="s">
        <v>1291</v>
      </c>
      <c r="AQ417" t="s">
        <v>57</v>
      </c>
      <c r="AR417">
        <v>2100</v>
      </c>
      <c r="AS417" t="s">
        <v>937</v>
      </c>
      <c r="AT417" t="s">
        <v>58</v>
      </c>
    </row>
    <row r="418" ht="29" spans="1:46">
      <c r="A418" s="31" t="s">
        <v>83</v>
      </c>
      <c r="C418" t="s">
        <v>1292</v>
      </c>
      <c r="D418" s="5" t="s">
        <v>57</v>
      </c>
      <c r="E418">
        <v>2035</v>
      </c>
      <c r="F418" s="6" t="str">
        <f t="shared" si="50"/>
        <v>*0.95</v>
      </c>
      <c r="H418" t="s">
        <v>1292</v>
      </c>
      <c r="I418" s="5" t="s">
        <v>57</v>
      </c>
      <c r="J418">
        <v>2050</v>
      </c>
      <c r="K418" s="38" t="str">
        <f t="shared" si="51"/>
        <v>*0.92</v>
      </c>
      <c r="P418" s="32" t="s">
        <v>1292</v>
      </c>
      <c r="Q418" s="42" t="s">
        <v>57</v>
      </c>
      <c r="R418" s="32">
        <v>2035</v>
      </c>
      <c r="S418" s="43" t="str">
        <f t="shared" si="52"/>
        <v>*0.95</v>
      </c>
      <c r="U418" s="32" t="s">
        <v>1292</v>
      </c>
      <c r="V418" s="42" t="s">
        <v>57</v>
      </c>
      <c r="W418" s="32">
        <v>2050</v>
      </c>
      <c r="X418" s="43" t="str">
        <f t="shared" si="53"/>
        <v>*0.92</v>
      </c>
      <c r="AC418" s="33" t="s">
        <v>1292</v>
      </c>
      <c r="AD418" s="44" t="s">
        <v>57</v>
      </c>
      <c r="AE418" s="33">
        <v>2035</v>
      </c>
      <c r="AF418" s="45" t="str">
        <f t="shared" si="54"/>
        <v>*0.93</v>
      </c>
      <c r="AG418" s="43" t="str">
        <f t="shared" si="56"/>
        <v>REZoning_Sol-Win</v>
      </c>
      <c r="AI418" s="33" t="s">
        <v>1292</v>
      </c>
      <c r="AJ418" s="44" t="s">
        <v>57</v>
      </c>
      <c r="AK418" s="33">
        <v>2050</v>
      </c>
      <c r="AL418" s="45" t="str">
        <f t="shared" si="55"/>
        <v>*0.89</v>
      </c>
      <c r="AM418" s="43" t="str">
        <f t="shared" si="57"/>
        <v>REZoning_Sol-Win</v>
      </c>
      <c r="AP418" t="s">
        <v>1292</v>
      </c>
      <c r="AQ418" t="s">
        <v>57</v>
      </c>
      <c r="AR418">
        <v>2100</v>
      </c>
      <c r="AS418" t="s">
        <v>937</v>
      </c>
      <c r="AT418" t="s">
        <v>58</v>
      </c>
    </row>
    <row r="419" ht="29" spans="1:46">
      <c r="A419" s="31" t="s">
        <v>83</v>
      </c>
      <c r="C419" t="s">
        <v>1293</v>
      </c>
      <c r="D419" s="5" t="s">
        <v>57</v>
      </c>
      <c r="E419">
        <v>2035</v>
      </c>
      <c r="F419" s="6" t="str">
        <f t="shared" si="50"/>
        <v>*0.95</v>
      </c>
      <c r="H419" t="s">
        <v>1293</v>
      </c>
      <c r="I419" s="5" t="s">
        <v>57</v>
      </c>
      <c r="J419">
        <v>2050</v>
      </c>
      <c r="K419" s="38" t="str">
        <f t="shared" si="51"/>
        <v>*0.92</v>
      </c>
      <c r="P419" s="32" t="s">
        <v>1293</v>
      </c>
      <c r="Q419" s="42" t="s">
        <v>57</v>
      </c>
      <c r="R419" s="32">
        <v>2035</v>
      </c>
      <c r="S419" s="43" t="str">
        <f t="shared" si="52"/>
        <v>*0.95</v>
      </c>
      <c r="U419" s="32" t="s">
        <v>1293</v>
      </c>
      <c r="V419" s="42" t="s">
        <v>57</v>
      </c>
      <c r="W419" s="32">
        <v>2050</v>
      </c>
      <c r="X419" s="43" t="str">
        <f t="shared" si="53"/>
        <v>*0.92</v>
      </c>
      <c r="AC419" s="33" t="s">
        <v>1293</v>
      </c>
      <c r="AD419" s="44" t="s">
        <v>57</v>
      </c>
      <c r="AE419" s="33">
        <v>2035</v>
      </c>
      <c r="AF419" s="45" t="str">
        <f t="shared" si="54"/>
        <v>*0.93</v>
      </c>
      <c r="AG419" s="43" t="str">
        <f t="shared" si="56"/>
        <v>REZoning_Sol-Win</v>
      </c>
      <c r="AI419" s="33" t="s">
        <v>1293</v>
      </c>
      <c r="AJ419" s="44" t="s">
        <v>57</v>
      </c>
      <c r="AK419" s="33">
        <v>2050</v>
      </c>
      <c r="AL419" s="45" t="str">
        <f t="shared" si="55"/>
        <v>*0.89</v>
      </c>
      <c r="AM419" s="43" t="str">
        <f t="shared" si="57"/>
        <v>REZoning_Sol-Win</v>
      </c>
      <c r="AP419" t="s">
        <v>1293</v>
      </c>
      <c r="AQ419" t="s">
        <v>57</v>
      </c>
      <c r="AR419">
        <v>2100</v>
      </c>
      <c r="AS419" t="s">
        <v>937</v>
      </c>
      <c r="AT419" t="s">
        <v>58</v>
      </c>
    </row>
    <row r="420" ht="29" spans="1:46">
      <c r="A420" s="31" t="s">
        <v>83</v>
      </c>
      <c r="C420" t="s">
        <v>1294</v>
      </c>
      <c r="D420" s="5" t="s">
        <v>57</v>
      </c>
      <c r="E420">
        <v>2035</v>
      </c>
      <c r="F420" s="6" t="str">
        <f t="shared" si="50"/>
        <v>*0.95</v>
      </c>
      <c r="H420" t="s">
        <v>1294</v>
      </c>
      <c r="I420" s="5" t="s">
        <v>57</v>
      </c>
      <c r="J420">
        <v>2050</v>
      </c>
      <c r="K420" s="38" t="str">
        <f t="shared" si="51"/>
        <v>*0.92</v>
      </c>
      <c r="P420" s="32" t="s">
        <v>1294</v>
      </c>
      <c r="Q420" s="42" t="s">
        <v>57</v>
      </c>
      <c r="R420" s="32">
        <v>2035</v>
      </c>
      <c r="S420" s="43" t="str">
        <f t="shared" si="52"/>
        <v>*0.95</v>
      </c>
      <c r="U420" s="32" t="s">
        <v>1294</v>
      </c>
      <c r="V420" s="42" t="s">
        <v>57</v>
      </c>
      <c r="W420" s="32">
        <v>2050</v>
      </c>
      <c r="X420" s="43" t="str">
        <f t="shared" si="53"/>
        <v>*0.92</v>
      </c>
      <c r="AC420" s="33" t="s">
        <v>1294</v>
      </c>
      <c r="AD420" s="44" t="s">
        <v>57</v>
      </c>
      <c r="AE420" s="33">
        <v>2035</v>
      </c>
      <c r="AF420" s="45" t="str">
        <f t="shared" si="54"/>
        <v>*0.93</v>
      </c>
      <c r="AG420" s="43" t="str">
        <f t="shared" si="56"/>
        <v>REZoning_Sol-Win</v>
      </c>
      <c r="AI420" s="33" t="s">
        <v>1294</v>
      </c>
      <c r="AJ420" s="44" t="s">
        <v>57</v>
      </c>
      <c r="AK420" s="33">
        <v>2050</v>
      </c>
      <c r="AL420" s="45" t="str">
        <f t="shared" si="55"/>
        <v>*0.89</v>
      </c>
      <c r="AM420" s="43" t="str">
        <f t="shared" si="57"/>
        <v>REZoning_Sol-Win</v>
      </c>
      <c r="AP420" t="s">
        <v>1294</v>
      </c>
      <c r="AQ420" t="s">
        <v>57</v>
      </c>
      <c r="AR420">
        <v>2100</v>
      </c>
      <c r="AS420" t="s">
        <v>937</v>
      </c>
      <c r="AT420" t="s">
        <v>58</v>
      </c>
    </row>
    <row r="421" ht="29" spans="1:46">
      <c r="A421" s="31" t="s">
        <v>83</v>
      </c>
      <c r="C421" t="s">
        <v>1295</v>
      </c>
      <c r="D421" s="5" t="s">
        <v>57</v>
      </c>
      <c r="E421">
        <v>2035</v>
      </c>
      <c r="F421" s="6" t="str">
        <f t="shared" si="50"/>
        <v>*0.95</v>
      </c>
      <c r="H421" t="s">
        <v>1295</v>
      </c>
      <c r="I421" s="5" t="s">
        <v>57</v>
      </c>
      <c r="J421">
        <v>2050</v>
      </c>
      <c r="K421" s="38" t="str">
        <f t="shared" si="51"/>
        <v>*0.92</v>
      </c>
      <c r="P421" s="32" t="s">
        <v>1295</v>
      </c>
      <c r="Q421" s="42" t="s">
        <v>57</v>
      </c>
      <c r="R421" s="32">
        <v>2035</v>
      </c>
      <c r="S421" s="43" t="str">
        <f t="shared" si="52"/>
        <v>*0.95</v>
      </c>
      <c r="U421" s="32" t="s">
        <v>1295</v>
      </c>
      <c r="V421" s="42" t="s">
        <v>57</v>
      </c>
      <c r="W421" s="32">
        <v>2050</v>
      </c>
      <c r="X421" s="43" t="str">
        <f t="shared" si="53"/>
        <v>*0.92</v>
      </c>
      <c r="AC421" s="33" t="s">
        <v>1295</v>
      </c>
      <c r="AD421" s="44" t="s">
        <v>57</v>
      </c>
      <c r="AE421" s="33">
        <v>2035</v>
      </c>
      <c r="AF421" s="45" t="str">
        <f t="shared" si="54"/>
        <v>*0.93</v>
      </c>
      <c r="AG421" s="43" t="str">
        <f t="shared" si="56"/>
        <v>REZoning_Sol-Win</v>
      </c>
      <c r="AI421" s="33" t="s">
        <v>1295</v>
      </c>
      <c r="AJ421" s="44" t="s">
        <v>57</v>
      </c>
      <c r="AK421" s="33">
        <v>2050</v>
      </c>
      <c r="AL421" s="45" t="str">
        <f t="shared" si="55"/>
        <v>*0.89</v>
      </c>
      <c r="AM421" s="43" t="str">
        <f t="shared" si="57"/>
        <v>REZoning_Sol-Win</v>
      </c>
      <c r="AP421" t="s">
        <v>1295</v>
      </c>
      <c r="AQ421" t="s">
        <v>57</v>
      </c>
      <c r="AR421">
        <v>2100</v>
      </c>
      <c r="AS421" t="s">
        <v>937</v>
      </c>
      <c r="AT421" t="s">
        <v>58</v>
      </c>
    </row>
    <row r="422" ht="29" spans="1:46">
      <c r="A422" s="31" t="s">
        <v>83</v>
      </c>
      <c r="C422" t="s">
        <v>1296</v>
      </c>
      <c r="D422" s="5" t="s">
        <v>57</v>
      </c>
      <c r="E422">
        <v>2035</v>
      </c>
      <c r="F422" s="6" t="str">
        <f t="shared" si="50"/>
        <v>*0.95</v>
      </c>
      <c r="H422" t="s">
        <v>1296</v>
      </c>
      <c r="I422" s="5" t="s">
        <v>57</v>
      </c>
      <c r="J422">
        <v>2050</v>
      </c>
      <c r="K422" s="38" t="str">
        <f t="shared" si="51"/>
        <v>*0.92</v>
      </c>
      <c r="P422" s="32" t="s">
        <v>1296</v>
      </c>
      <c r="Q422" s="42" t="s">
        <v>57</v>
      </c>
      <c r="R422" s="32">
        <v>2035</v>
      </c>
      <c r="S422" s="43" t="str">
        <f t="shared" si="52"/>
        <v>*0.95</v>
      </c>
      <c r="U422" s="32" t="s">
        <v>1296</v>
      </c>
      <c r="V422" s="42" t="s">
        <v>57</v>
      </c>
      <c r="W422" s="32">
        <v>2050</v>
      </c>
      <c r="X422" s="43" t="str">
        <f t="shared" si="53"/>
        <v>*0.92</v>
      </c>
      <c r="AC422" s="33" t="s">
        <v>1296</v>
      </c>
      <c r="AD422" s="44" t="s">
        <v>57</v>
      </c>
      <c r="AE422" s="33">
        <v>2035</v>
      </c>
      <c r="AF422" s="45" t="str">
        <f t="shared" si="54"/>
        <v>*0.93</v>
      </c>
      <c r="AG422" s="43" t="str">
        <f t="shared" si="56"/>
        <v>REZoning_Sol-Win</v>
      </c>
      <c r="AI422" s="33" t="s">
        <v>1296</v>
      </c>
      <c r="AJ422" s="44" t="s">
        <v>57</v>
      </c>
      <c r="AK422" s="33">
        <v>2050</v>
      </c>
      <c r="AL422" s="45" t="str">
        <f t="shared" si="55"/>
        <v>*0.89</v>
      </c>
      <c r="AM422" s="43" t="str">
        <f t="shared" si="57"/>
        <v>REZoning_Sol-Win</v>
      </c>
      <c r="AP422" t="s">
        <v>1296</v>
      </c>
      <c r="AQ422" t="s">
        <v>57</v>
      </c>
      <c r="AR422">
        <v>2100</v>
      </c>
      <c r="AS422" t="s">
        <v>937</v>
      </c>
      <c r="AT422" t="s">
        <v>58</v>
      </c>
    </row>
    <row r="423" ht="29" spans="1:46">
      <c r="A423" s="31" t="s">
        <v>83</v>
      </c>
      <c r="C423" t="s">
        <v>1297</v>
      </c>
      <c r="D423" s="5" t="s">
        <v>57</v>
      </c>
      <c r="E423">
        <v>2035</v>
      </c>
      <c r="F423" s="6" t="str">
        <f t="shared" si="50"/>
        <v>*0.95</v>
      </c>
      <c r="H423" t="s">
        <v>1297</v>
      </c>
      <c r="I423" s="5" t="s">
        <v>57</v>
      </c>
      <c r="J423">
        <v>2050</v>
      </c>
      <c r="K423" s="38" t="str">
        <f t="shared" si="51"/>
        <v>*0.92</v>
      </c>
      <c r="P423" s="32" t="s">
        <v>1297</v>
      </c>
      <c r="Q423" s="42" t="s">
        <v>57</v>
      </c>
      <c r="R423" s="32">
        <v>2035</v>
      </c>
      <c r="S423" s="43" t="str">
        <f t="shared" si="52"/>
        <v>*0.95</v>
      </c>
      <c r="U423" s="32" t="s">
        <v>1297</v>
      </c>
      <c r="V423" s="42" t="s">
        <v>57</v>
      </c>
      <c r="W423" s="32">
        <v>2050</v>
      </c>
      <c r="X423" s="43" t="str">
        <f t="shared" si="53"/>
        <v>*0.92</v>
      </c>
      <c r="AC423" s="33" t="s">
        <v>1297</v>
      </c>
      <c r="AD423" s="44" t="s">
        <v>57</v>
      </c>
      <c r="AE423" s="33">
        <v>2035</v>
      </c>
      <c r="AF423" s="45" t="str">
        <f t="shared" si="54"/>
        <v>*0.93</v>
      </c>
      <c r="AG423" s="43" t="str">
        <f t="shared" si="56"/>
        <v>REZoning_Sol-Win</v>
      </c>
      <c r="AI423" s="33" t="s">
        <v>1297</v>
      </c>
      <c r="AJ423" s="44" t="s">
        <v>57</v>
      </c>
      <c r="AK423" s="33">
        <v>2050</v>
      </c>
      <c r="AL423" s="45" t="str">
        <f t="shared" si="55"/>
        <v>*0.89</v>
      </c>
      <c r="AM423" s="43" t="str">
        <f t="shared" si="57"/>
        <v>REZoning_Sol-Win</v>
      </c>
      <c r="AP423" t="s">
        <v>1297</v>
      </c>
      <c r="AQ423" t="s">
        <v>57</v>
      </c>
      <c r="AR423">
        <v>2100</v>
      </c>
      <c r="AS423" t="s">
        <v>937</v>
      </c>
      <c r="AT423" t="s">
        <v>58</v>
      </c>
    </row>
    <row r="424" ht="29" spans="1:46">
      <c r="A424" s="31" t="s">
        <v>83</v>
      </c>
      <c r="C424" t="s">
        <v>1298</v>
      </c>
      <c r="D424" s="5" t="s">
        <v>57</v>
      </c>
      <c r="E424">
        <v>2035</v>
      </c>
      <c r="F424" s="6" t="str">
        <f t="shared" si="50"/>
        <v>*0.95</v>
      </c>
      <c r="H424" t="s">
        <v>1298</v>
      </c>
      <c r="I424" s="5" t="s">
        <v>57</v>
      </c>
      <c r="J424">
        <v>2050</v>
      </c>
      <c r="K424" s="38" t="str">
        <f t="shared" si="51"/>
        <v>*0.92</v>
      </c>
      <c r="P424" s="32" t="s">
        <v>1298</v>
      </c>
      <c r="Q424" s="42" t="s">
        <v>57</v>
      </c>
      <c r="R424" s="32">
        <v>2035</v>
      </c>
      <c r="S424" s="43" t="str">
        <f t="shared" si="52"/>
        <v>*0.95</v>
      </c>
      <c r="U424" s="32" t="s">
        <v>1298</v>
      </c>
      <c r="V424" s="42" t="s">
        <v>57</v>
      </c>
      <c r="W424" s="32">
        <v>2050</v>
      </c>
      <c r="X424" s="43" t="str">
        <f t="shared" si="53"/>
        <v>*0.92</v>
      </c>
      <c r="AC424" s="33" t="s">
        <v>1298</v>
      </c>
      <c r="AD424" s="44" t="s">
        <v>57</v>
      </c>
      <c r="AE424" s="33">
        <v>2035</v>
      </c>
      <c r="AF424" s="45" t="str">
        <f t="shared" si="54"/>
        <v>*0.93</v>
      </c>
      <c r="AG424" s="43" t="str">
        <f t="shared" si="56"/>
        <v>REZoning_Sol-Win</v>
      </c>
      <c r="AI424" s="33" t="s">
        <v>1298</v>
      </c>
      <c r="AJ424" s="44" t="s">
        <v>57</v>
      </c>
      <c r="AK424" s="33">
        <v>2050</v>
      </c>
      <c r="AL424" s="45" t="str">
        <f t="shared" si="55"/>
        <v>*0.89</v>
      </c>
      <c r="AM424" s="43" t="str">
        <f t="shared" si="57"/>
        <v>REZoning_Sol-Win</v>
      </c>
      <c r="AP424" t="s">
        <v>1298</v>
      </c>
      <c r="AQ424" t="s">
        <v>57</v>
      </c>
      <c r="AR424">
        <v>2100</v>
      </c>
      <c r="AS424" t="s">
        <v>937</v>
      </c>
      <c r="AT424" t="s">
        <v>58</v>
      </c>
    </row>
    <row r="425" ht="29" spans="1:46">
      <c r="A425" s="31" t="s">
        <v>83</v>
      </c>
      <c r="C425" t="s">
        <v>1299</v>
      </c>
      <c r="D425" s="5" t="s">
        <v>57</v>
      </c>
      <c r="E425">
        <v>2035</v>
      </c>
      <c r="F425" s="6" t="str">
        <f t="shared" si="50"/>
        <v>*0.95</v>
      </c>
      <c r="H425" t="s">
        <v>1299</v>
      </c>
      <c r="I425" s="5" t="s">
        <v>57</v>
      </c>
      <c r="J425">
        <v>2050</v>
      </c>
      <c r="K425" s="38" t="str">
        <f t="shared" si="51"/>
        <v>*0.92</v>
      </c>
      <c r="P425" s="32" t="s">
        <v>1299</v>
      </c>
      <c r="Q425" s="42" t="s">
        <v>57</v>
      </c>
      <c r="R425" s="32">
        <v>2035</v>
      </c>
      <c r="S425" s="43" t="str">
        <f t="shared" si="52"/>
        <v>*0.95</v>
      </c>
      <c r="U425" s="32" t="s">
        <v>1299</v>
      </c>
      <c r="V425" s="42" t="s">
        <v>57</v>
      </c>
      <c r="W425" s="32">
        <v>2050</v>
      </c>
      <c r="X425" s="43" t="str">
        <f t="shared" si="53"/>
        <v>*0.92</v>
      </c>
      <c r="AC425" s="33" t="s">
        <v>1299</v>
      </c>
      <c r="AD425" s="44" t="s">
        <v>57</v>
      </c>
      <c r="AE425" s="33">
        <v>2035</v>
      </c>
      <c r="AF425" s="45" t="str">
        <f t="shared" si="54"/>
        <v>*0.93</v>
      </c>
      <c r="AG425" s="43" t="str">
        <f t="shared" si="56"/>
        <v>REZoning_Sol-Win</v>
      </c>
      <c r="AI425" s="33" t="s">
        <v>1299</v>
      </c>
      <c r="AJ425" s="44" t="s">
        <v>57</v>
      </c>
      <c r="AK425" s="33">
        <v>2050</v>
      </c>
      <c r="AL425" s="45" t="str">
        <f t="shared" si="55"/>
        <v>*0.89</v>
      </c>
      <c r="AM425" s="43" t="str">
        <f t="shared" si="57"/>
        <v>REZoning_Sol-Win</v>
      </c>
      <c r="AP425" t="s">
        <v>1299</v>
      </c>
      <c r="AQ425" t="s">
        <v>57</v>
      </c>
      <c r="AR425">
        <v>2100</v>
      </c>
      <c r="AS425" t="s">
        <v>937</v>
      </c>
      <c r="AT425" t="s">
        <v>58</v>
      </c>
    </row>
    <row r="426" ht="29" spans="1:46">
      <c r="A426" s="31" t="s">
        <v>83</v>
      </c>
      <c r="C426" t="s">
        <v>1300</v>
      </c>
      <c r="D426" s="5" t="s">
        <v>57</v>
      </c>
      <c r="E426">
        <v>2035</v>
      </c>
      <c r="F426" s="6" t="str">
        <f t="shared" si="50"/>
        <v>*0.95</v>
      </c>
      <c r="H426" t="s">
        <v>1300</v>
      </c>
      <c r="I426" s="5" t="s">
        <v>57</v>
      </c>
      <c r="J426">
        <v>2050</v>
      </c>
      <c r="K426" s="38" t="str">
        <f t="shared" si="51"/>
        <v>*0.92</v>
      </c>
      <c r="P426" s="32" t="s">
        <v>1300</v>
      </c>
      <c r="Q426" s="42" t="s">
        <v>57</v>
      </c>
      <c r="R426" s="32">
        <v>2035</v>
      </c>
      <c r="S426" s="43" t="str">
        <f t="shared" si="52"/>
        <v>*0.95</v>
      </c>
      <c r="U426" s="32" t="s">
        <v>1300</v>
      </c>
      <c r="V426" s="42" t="s">
        <v>57</v>
      </c>
      <c r="W426" s="32">
        <v>2050</v>
      </c>
      <c r="X426" s="43" t="str">
        <f t="shared" si="53"/>
        <v>*0.92</v>
      </c>
      <c r="AC426" s="33" t="s">
        <v>1300</v>
      </c>
      <c r="AD426" s="44" t="s">
        <v>57</v>
      </c>
      <c r="AE426" s="33">
        <v>2035</v>
      </c>
      <c r="AF426" s="45" t="str">
        <f t="shared" si="54"/>
        <v>*0.93</v>
      </c>
      <c r="AG426" s="43" t="str">
        <f t="shared" si="56"/>
        <v>REZoning_Sol-Win</v>
      </c>
      <c r="AI426" s="33" t="s">
        <v>1300</v>
      </c>
      <c r="AJ426" s="44" t="s">
        <v>57</v>
      </c>
      <c r="AK426" s="33">
        <v>2050</v>
      </c>
      <c r="AL426" s="45" t="str">
        <f t="shared" si="55"/>
        <v>*0.89</v>
      </c>
      <c r="AM426" s="43" t="str">
        <f t="shared" si="57"/>
        <v>REZoning_Sol-Win</v>
      </c>
      <c r="AP426" t="s">
        <v>1300</v>
      </c>
      <c r="AQ426" t="s">
        <v>57</v>
      </c>
      <c r="AR426">
        <v>2100</v>
      </c>
      <c r="AS426" t="s">
        <v>937</v>
      </c>
      <c r="AT426" t="s">
        <v>58</v>
      </c>
    </row>
    <row r="427" ht="29" spans="1:46">
      <c r="A427" s="31" t="s">
        <v>83</v>
      </c>
      <c r="C427" t="s">
        <v>1301</v>
      </c>
      <c r="D427" s="5" t="s">
        <v>57</v>
      </c>
      <c r="E427">
        <v>2035</v>
      </c>
      <c r="F427" s="6" t="str">
        <f t="shared" si="50"/>
        <v>*0.95</v>
      </c>
      <c r="H427" t="s">
        <v>1301</v>
      </c>
      <c r="I427" s="5" t="s">
        <v>57</v>
      </c>
      <c r="J427">
        <v>2050</v>
      </c>
      <c r="K427" s="38" t="str">
        <f t="shared" si="51"/>
        <v>*0.92</v>
      </c>
      <c r="P427" s="32" t="s">
        <v>1301</v>
      </c>
      <c r="Q427" s="42" t="s">
        <v>57</v>
      </c>
      <c r="R427" s="32">
        <v>2035</v>
      </c>
      <c r="S427" s="43" t="str">
        <f t="shared" si="52"/>
        <v>*0.95</v>
      </c>
      <c r="U427" s="32" t="s">
        <v>1301</v>
      </c>
      <c r="V427" s="42" t="s">
        <v>57</v>
      </c>
      <c r="W427" s="32">
        <v>2050</v>
      </c>
      <c r="X427" s="43" t="str">
        <f t="shared" si="53"/>
        <v>*0.92</v>
      </c>
      <c r="AC427" s="33" t="s">
        <v>1301</v>
      </c>
      <c r="AD427" s="44" t="s">
        <v>57</v>
      </c>
      <c r="AE427" s="33">
        <v>2035</v>
      </c>
      <c r="AF427" s="45" t="str">
        <f t="shared" si="54"/>
        <v>*0.93</v>
      </c>
      <c r="AG427" s="43" t="str">
        <f t="shared" si="56"/>
        <v>REZoning_Sol-Win</v>
      </c>
      <c r="AI427" s="33" t="s">
        <v>1301</v>
      </c>
      <c r="AJ427" s="44" t="s">
        <v>57</v>
      </c>
      <c r="AK427" s="33">
        <v>2050</v>
      </c>
      <c r="AL427" s="45" t="str">
        <f t="shared" si="55"/>
        <v>*0.89</v>
      </c>
      <c r="AM427" s="43" t="str">
        <f t="shared" si="57"/>
        <v>REZoning_Sol-Win</v>
      </c>
      <c r="AP427" t="s">
        <v>1301</v>
      </c>
      <c r="AQ427" t="s">
        <v>57</v>
      </c>
      <c r="AR427">
        <v>2100</v>
      </c>
      <c r="AS427" t="s">
        <v>937</v>
      </c>
      <c r="AT427" t="s">
        <v>58</v>
      </c>
    </row>
    <row r="428" ht="29" spans="1:46">
      <c r="A428" s="31" t="s">
        <v>83</v>
      </c>
      <c r="C428" t="s">
        <v>1302</v>
      </c>
      <c r="D428" s="5" t="s">
        <v>57</v>
      </c>
      <c r="E428">
        <v>2035</v>
      </c>
      <c r="F428" s="6" t="str">
        <f t="shared" si="50"/>
        <v>*0.95</v>
      </c>
      <c r="H428" t="s">
        <v>1302</v>
      </c>
      <c r="I428" s="5" t="s">
        <v>57</v>
      </c>
      <c r="J428">
        <v>2050</v>
      </c>
      <c r="K428" s="38" t="str">
        <f t="shared" si="51"/>
        <v>*0.92</v>
      </c>
      <c r="P428" s="32" t="s">
        <v>1302</v>
      </c>
      <c r="Q428" s="42" t="s">
        <v>57</v>
      </c>
      <c r="R428" s="32">
        <v>2035</v>
      </c>
      <c r="S428" s="43" t="str">
        <f t="shared" si="52"/>
        <v>*0.95</v>
      </c>
      <c r="U428" s="32" t="s">
        <v>1302</v>
      </c>
      <c r="V428" s="42" t="s">
        <v>57</v>
      </c>
      <c r="W428" s="32">
        <v>2050</v>
      </c>
      <c r="X428" s="43" t="str">
        <f t="shared" si="53"/>
        <v>*0.92</v>
      </c>
      <c r="AC428" s="33" t="s">
        <v>1302</v>
      </c>
      <c r="AD428" s="44" t="s">
        <v>57</v>
      </c>
      <c r="AE428" s="33">
        <v>2035</v>
      </c>
      <c r="AF428" s="45" t="str">
        <f t="shared" si="54"/>
        <v>*0.93</v>
      </c>
      <c r="AG428" s="43" t="str">
        <f t="shared" si="56"/>
        <v>REZoning_Sol-Win</v>
      </c>
      <c r="AI428" s="33" t="s">
        <v>1302</v>
      </c>
      <c r="AJ428" s="44" t="s">
        <v>57</v>
      </c>
      <c r="AK428" s="33">
        <v>2050</v>
      </c>
      <c r="AL428" s="45" t="str">
        <f t="shared" si="55"/>
        <v>*0.89</v>
      </c>
      <c r="AM428" s="43" t="str">
        <f t="shared" si="57"/>
        <v>REZoning_Sol-Win</v>
      </c>
      <c r="AP428" t="s">
        <v>1302</v>
      </c>
      <c r="AQ428" t="s">
        <v>57</v>
      </c>
      <c r="AR428">
        <v>2100</v>
      </c>
      <c r="AS428" t="s">
        <v>937</v>
      </c>
      <c r="AT428" t="s">
        <v>58</v>
      </c>
    </row>
    <row r="429" ht="29" spans="1:46">
      <c r="A429" s="31" t="s">
        <v>83</v>
      </c>
      <c r="C429" t="s">
        <v>1303</v>
      </c>
      <c r="D429" s="5" t="s">
        <v>57</v>
      </c>
      <c r="E429">
        <v>2035</v>
      </c>
      <c r="F429" s="6" t="str">
        <f t="shared" si="50"/>
        <v>*0.95</v>
      </c>
      <c r="H429" t="s">
        <v>1303</v>
      </c>
      <c r="I429" s="5" t="s">
        <v>57</v>
      </c>
      <c r="J429">
        <v>2050</v>
      </c>
      <c r="K429" s="38" t="str">
        <f t="shared" si="51"/>
        <v>*0.92</v>
      </c>
      <c r="P429" s="32" t="s">
        <v>1303</v>
      </c>
      <c r="Q429" s="42" t="s">
        <v>57</v>
      </c>
      <c r="R429" s="32">
        <v>2035</v>
      </c>
      <c r="S429" s="43" t="str">
        <f t="shared" si="52"/>
        <v>*0.95</v>
      </c>
      <c r="U429" s="32" t="s">
        <v>1303</v>
      </c>
      <c r="V429" s="42" t="s">
        <v>57</v>
      </c>
      <c r="W429" s="32">
        <v>2050</v>
      </c>
      <c r="X429" s="43" t="str">
        <f t="shared" si="53"/>
        <v>*0.92</v>
      </c>
      <c r="AC429" s="33" t="s">
        <v>1303</v>
      </c>
      <c r="AD429" s="44" t="s">
        <v>57</v>
      </c>
      <c r="AE429" s="33">
        <v>2035</v>
      </c>
      <c r="AF429" s="45" t="str">
        <f t="shared" si="54"/>
        <v>*0.93</v>
      </c>
      <c r="AG429" s="43" t="str">
        <f t="shared" si="56"/>
        <v>REZoning_Sol-Win</v>
      </c>
      <c r="AI429" s="33" t="s">
        <v>1303</v>
      </c>
      <c r="AJ429" s="44" t="s">
        <v>57</v>
      </c>
      <c r="AK429" s="33">
        <v>2050</v>
      </c>
      <c r="AL429" s="45" t="str">
        <f t="shared" si="55"/>
        <v>*0.89</v>
      </c>
      <c r="AM429" s="43" t="str">
        <f t="shared" si="57"/>
        <v>REZoning_Sol-Win</v>
      </c>
      <c r="AP429" t="s">
        <v>1303</v>
      </c>
      <c r="AQ429" t="s">
        <v>57</v>
      </c>
      <c r="AR429">
        <v>2100</v>
      </c>
      <c r="AS429" t="s">
        <v>937</v>
      </c>
      <c r="AT429" t="s">
        <v>58</v>
      </c>
    </row>
    <row r="430" ht="29" spans="1:46">
      <c r="A430" s="31" t="s">
        <v>83</v>
      </c>
      <c r="C430" t="s">
        <v>1304</v>
      </c>
      <c r="D430" s="5" t="s">
        <v>57</v>
      </c>
      <c r="E430">
        <v>2035</v>
      </c>
      <c r="F430" s="6" t="str">
        <f t="shared" si="50"/>
        <v>*0.95</v>
      </c>
      <c r="H430" t="s">
        <v>1304</v>
      </c>
      <c r="I430" s="5" t="s">
        <v>57</v>
      </c>
      <c r="J430">
        <v>2050</v>
      </c>
      <c r="K430" s="38" t="str">
        <f t="shared" si="51"/>
        <v>*0.92</v>
      </c>
      <c r="P430" s="32" t="s">
        <v>1304</v>
      </c>
      <c r="Q430" s="42" t="s">
        <v>57</v>
      </c>
      <c r="R430" s="32">
        <v>2035</v>
      </c>
      <c r="S430" s="43" t="str">
        <f t="shared" si="52"/>
        <v>*0.95</v>
      </c>
      <c r="U430" s="32" t="s">
        <v>1304</v>
      </c>
      <c r="V430" s="42" t="s">
        <v>57</v>
      </c>
      <c r="W430" s="32">
        <v>2050</v>
      </c>
      <c r="X430" s="43" t="str">
        <f t="shared" si="53"/>
        <v>*0.92</v>
      </c>
      <c r="AC430" s="33" t="s">
        <v>1304</v>
      </c>
      <c r="AD430" s="44" t="s">
        <v>57</v>
      </c>
      <c r="AE430" s="33">
        <v>2035</v>
      </c>
      <c r="AF430" s="45" t="str">
        <f t="shared" si="54"/>
        <v>*0.93</v>
      </c>
      <c r="AG430" s="43" t="str">
        <f t="shared" si="56"/>
        <v>REZoning_Sol-Win</v>
      </c>
      <c r="AI430" s="33" t="s">
        <v>1304</v>
      </c>
      <c r="AJ430" s="44" t="s">
        <v>57</v>
      </c>
      <c r="AK430" s="33">
        <v>2050</v>
      </c>
      <c r="AL430" s="45" t="str">
        <f t="shared" si="55"/>
        <v>*0.89</v>
      </c>
      <c r="AM430" s="43" t="str">
        <f t="shared" si="57"/>
        <v>REZoning_Sol-Win</v>
      </c>
      <c r="AP430" t="s">
        <v>1304</v>
      </c>
      <c r="AQ430" t="s">
        <v>57</v>
      </c>
      <c r="AR430">
        <v>2100</v>
      </c>
      <c r="AS430" t="s">
        <v>937</v>
      </c>
      <c r="AT430" t="s">
        <v>58</v>
      </c>
    </row>
    <row r="431" ht="29" spans="1:46">
      <c r="A431" s="31" t="s">
        <v>83</v>
      </c>
      <c r="C431" t="s">
        <v>1305</v>
      </c>
      <c r="D431" s="5" t="s">
        <v>57</v>
      </c>
      <c r="E431">
        <v>2035</v>
      </c>
      <c r="F431" s="6" t="str">
        <f t="shared" si="50"/>
        <v>*0.95</v>
      </c>
      <c r="H431" t="s">
        <v>1305</v>
      </c>
      <c r="I431" s="5" t="s">
        <v>57</v>
      </c>
      <c r="J431">
        <v>2050</v>
      </c>
      <c r="K431" s="38" t="str">
        <f t="shared" si="51"/>
        <v>*0.92</v>
      </c>
      <c r="P431" s="32" t="s">
        <v>1305</v>
      </c>
      <c r="Q431" s="42" t="s">
        <v>57</v>
      </c>
      <c r="R431" s="32">
        <v>2035</v>
      </c>
      <c r="S431" s="43" t="str">
        <f t="shared" si="52"/>
        <v>*0.95</v>
      </c>
      <c r="U431" s="32" t="s">
        <v>1305</v>
      </c>
      <c r="V431" s="42" t="s">
        <v>57</v>
      </c>
      <c r="W431" s="32">
        <v>2050</v>
      </c>
      <c r="X431" s="43" t="str">
        <f t="shared" si="53"/>
        <v>*0.92</v>
      </c>
      <c r="AC431" s="33" t="s">
        <v>1305</v>
      </c>
      <c r="AD431" s="44" t="s">
        <v>57</v>
      </c>
      <c r="AE431" s="33">
        <v>2035</v>
      </c>
      <c r="AF431" s="45" t="str">
        <f t="shared" si="54"/>
        <v>*0.93</v>
      </c>
      <c r="AG431" s="43" t="str">
        <f t="shared" si="56"/>
        <v>REZoning_Sol-Win</v>
      </c>
      <c r="AI431" s="33" t="s">
        <v>1305</v>
      </c>
      <c r="AJ431" s="44" t="s">
        <v>57</v>
      </c>
      <c r="AK431" s="33">
        <v>2050</v>
      </c>
      <c r="AL431" s="45" t="str">
        <f t="shared" si="55"/>
        <v>*0.89</v>
      </c>
      <c r="AM431" s="43" t="str">
        <f t="shared" si="57"/>
        <v>REZoning_Sol-Win</v>
      </c>
      <c r="AP431" t="s">
        <v>1305</v>
      </c>
      <c r="AQ431" t="s">
        <v>57</v>
      </c>
      <c r="AR431">
        <v>2100</v>
      </c>
      <c r="AS431" t="s">
        <v>937</v>
      </c>
      <c r="AT431" t="s">
        <v>58</v>
      </c>
    </row>
    <row r="432" ht="29" spans="1:46">
      <c r="A432" s="31" t="s">
        <v>83</v>
      </c>
      <c r="C432" t="s">
        <v>1306</v>
      </c>
      <c r="D432" s="5" t="s">
        <v>57</v>
      </c>
      <c r="E432">
        <v>2035</v>
      </c>
      <c r="F432" s="6" t="str">
        <f t="shared" si="50"/>
        <v>*0.95</v>
      </c>
      <c r="H432" t="s">
        <v>1306</v>
      </c>
      <c r="I432" s="5" t="s">
        <v>57</v>
      </c>
      <c r="J432">
        <v>2050</v>
      </c>
      <c r="K432" s="38" t="str">
        <f t="shared" si="51"/>
        <v>*0.92</v>
      </c>
      <c r="P432" s="32" t="s">
        <v>1306</v>
      </c>
      <c r="Q432" s="42" t="s">
        <v>57</v>
      </c>
      <c r="R432" s="32">
        <v>2035</v>
      </c>
      <c r="S432" s="43" t="str">
        <f t="shared" si="52"/>
        <v>*0.95</v>
      </c>
      <c r="U432" s="32" t="s">
        <v>1306</v>
      </c>
      <c r="V432" s="42" t="s">
        <v>57</v>
      </c>
      <c r="W432" s="32">
        <v>2050</v>
      </c>
      <c r="X432" s="43" t="str">
        <f t="shared" si="53"/>
        <v>*0.92</v>
      </c>
      <c r="AC432" s="33" t="s">
        <v>1306</v>
      </c>
      <c r="AD432" s="44" t="s">
        <v>57</v>
      </c>
      <c r="AE432" s="33">
        <v>2035</v>
      </c>
      <c r="AF432" s="45" t="str">
        <f t="shared" si="54"/>
        <v>*0.93</v>
      </c>
      <c r="AG432" s="43" t="str">
        <f t="shared" si="56"/>
        <v>REZoning_Sol-Win</v>
      </c>
      <c r="AI432" s="33" t="s">
        <v>1306</v>
      </c>
      <c r="AJ432" s="44" t="s">
        <v>57</v>
      </c>
      <c r="AK432" s="33">
        <v>2050</v>
      </c>
      <c r="AL432" s="45" t="str">
        <f t="shared" si="55"/>
        <v>*0.89</v>
      </c>
      <c r="AM432" s="43" t="str">
        <f t="shared" si="57"/>
        <v>REZoning_Sol-Win</v>
      </c>
      <c r="AP432" t="s">
        <v>1306</v>
      </c>
      <c r="AQ432" t="s">
        <v>57</v>
      </c>
      <c r="AR432">
        <v>2100</v>
      </c>
      <c r="AS432" t="s">
        <v>937</v>
      </c>
      <c r="AT432" t="s">
        <v>58</v>
      </c>
    </row>
    <row r="433" ht="29" spans="1:46">
      <c r="A433" s="31" t="s">
        <v>83</v>
      </c>
      <c r="C433" t="s">
        <v>1307</v>
      </c>
      <c r="D433" s="5" t="s">
        <v>57</v>
      </c>
      <c r="E433">
        <v>2035</v>
      </c>
      <c r="F433" s="6" t="str">
        <f t="shared" si="50"/>
        <v>*0.95</v>
      </c>
      <c r="H433" t="s">
        <v>1307</v>
      </c>
      <c r="I433" s="5" t="s">
        <v>57</v>
      </c>
      <c r="J433">
        <v>2050</v>
      </c>
      <c r="K433" s="38" t="str">
        <f t="shared" si="51"/>
        <v>*0.92</v>
      </c>
      <c r="P433" s="32" t="s">
        <v>1307</v>
      </c>
      <c r="Q433" s="42" t="s">
        <v>57</v>
      </c>
      <c r="R433" s="32">
        <v>2035</v>
      </c>
      <c r="S433" s="43" t="str">
        <f t="shared" si="52"/>
        <v>*0.95</v>
      </c>
      <c r="U433" s="32" t="s">
        <v>1307</v>
      </c>
      <c r="V433" s="42" t="s">
        <v>57</v>
      </c>
      <c r="W433" s="32">
        <v>2050</v>
      </c>
      <c r="X433" s="43" t="str">
        <f t="shared" si="53"/>
        <v>*0.92</v>
      </c>
      <c r="AC433" s="33" t="s">
        <v>1307</v>
      </c>
      <c r="AD433" s="44" t="s">
        <v>57</v>
      </c>
      <c r="AE433" s="33">
        <v>2035</v>
      </c>
      <c r="AF433" s="45" t="str">
        <f t="shared" si="54"/>
        <v>*0.93</v>
      </c>
      <c r="AG433" s="43" t="str">
        <f t="shared" si="56"/>
        <v>REZoning_Sol-Win</v>
      </c>
      <c r="AI433" s="33" t="s">
        <v>1307</v>
      </c>
      <c r="AJ433" s="44" t="s">
        <v>57</v>
      </c>
      <c r="AK433" s="33">
        <v>2050</v>
      </c>
      <c r="AL433" s="45" t="str">
        <f t="shared" si="55"/>
        <v>*0.89</v>
      </c>
      <c r="AM433" s="43" t="str">
        <f t="shared" si="57"/>
        <v>REZoning_Sol-Win</v>
      </c>
      <c r="AP433" t="s">
        <v>1307</v>
      </c>
      <c r="AQ433" t="s">
        <v>57</v>
      </c>
      <c r="AR433">
        <v>2100</v>
      </c>
      <c r="AS433" t="s">
        <v>937</v>
      </c>
      <c r="AT433" t="s">
        <v>58</v>
      </c>
    </row>
    <row r="434" ht="29" spans="1:46">
      <c r="A434" s="31" t="s">
        <v>83</v>
      </c>
      <c r="C434" t="s">
        <v>1308</v>
      </c>
      <c r="D434" s="5" t="s">
        <v>57</v>
      </c>
      <c r="E434">
        <v>2035</v>
      </c>
      <c r="F434" s="6" t="str">
        <f t="shared" si="50"/>
        <v>*0.95</v>
      </c>
      <c r="H434" t="s">
        <v>1308</v>
      </c>
      <c r="I434" s="5" t="s">
        <v>57</v>
      </c>
      <c r="J434">
        <v>2050</v>
      </c>
      <c r="K434" s="38" t="str">
        <f t="shared" si="51"/>
        <v>*0.92</v>
      </c>
      <c r="P434" s="32" t="s">
        <v>1308</v>
      </c>
      <c r="Q434" s="42" t="s">
        <v>57</v>
      </c>
      <c r="R434" s="32">
        <v>2035</v>
      </c>
      <c r="S434" s="43" t="str">
        <f t="shared" si="52"/>
        <v>*0.95</v>
      </c>
      <c r="U434" s="32" t="s">
        <v>1308</v>
      </c>
      <c r="V434" s="42" t="s">
        <v>57</v>
      </c>
      <c r="W434" s="32">
        <v>2050</v>
      </c>
      <c r="X434" s="43" t="str">
        <f t="shared" si="53"/>
        <v>*0.92</v>
      </c>
      <c r="AC434" s="33" t="s">
        <v>1308</v>
      </c>
      <c r="AD434" s="44" t="s">
        <v>57</v>
      </c>
      <c r="AE434" s="33">
        <v>2035</v>
      </c>
      <c r="AF434" s="45" t="str">
        <f t="shared" si="54"/>
        <v>*0.93</v>
      </c>
      <c r="AG434" s="43" t="str">
        <f t="shared" si="56"/>
        <v>REZoning_Sol-Win</v>
      </c>
      <c r="AI434" s="33" t="s">
        <v>1308</v>
      </c>
      <c r="AJ434" s="44" t="s">
        <v>57</v>
      </c>
      <c r="AK434" s="33">
        <v>2050</v>
      </c>
      <c r="AL434" s="45" t="str">
        <f t="shared" si="55"/>
        <v>*0.89</v>
      </c>
      <c r="AM434" s="43" t="str">
        <f t="shared" si="57"/>
        <v>REZoning_Sol-Win</v>
      </c>
      <c r="AP434" t="s">
        <v>1308</v>
      </c>
      <c r="AQ434" t="s">
        <v>57</v>
      </c>
      <c r="AR434">
        <v>2100</v>
      </c>
      <c r="AS434" t="s">
        <v>937</v>
      </c>
      <c r="AT434" t="s">
        <v>58</v>
      </c>
    </row>
    <row r="435" ht="29" spans="1:46">
      <c r="A435" s="31" t="s">
        <v>83</v>
      </c>
      <c r="C435" t="s">
        <v>1309</v>
      </c>
      <c r="D435" s="5" t="s">
        <v>57</v>
      </c>
      <c r="E435">
        <v>2035</v>
      </c>
      <c r="F435" s="6" t="str">
        <f t="shared" si="50"/>
        <v>*0.95</v>
      </c>
      <c r="H435" t="s">
        <v>1309</v>
      </c>
      <c r="I435" s="5" t="s">
        <v>57</v>
      </c>
      <c r="J435">
        <v>2050</v>
      </c>
      <c r="K435" s="38" t="str">
        <f t="shared" si="51"/>
        <v>*0.92</v>
      </c>
      <c r="P435" s="32" t="s">
        <v>1309</v>
      </c>
      <c r="Q435" s="42" t="s">
        <v>57</v>
      </c>
      <c r="R435" s="32">
        <v>2035</v>
      </c>
      <c r="S435" s="43" t="str">
        <f t="shared" si="52"/>
        <v>*0.95</v>
      </c>
      <c r="U435" s="32" t="s">
        <v>1309</v>
      </c>
      <c r="V435" s="42" t="s">
        <v>57</v>
      </c>
      <c r="W435" s="32">
        <v>2050</v>
      </c>
      <c r="X435" s="43" t="str">
        <f t="shared" si="53"/>
        <v>*0.92</v>
      </c>
      <c r="AC435" s="33" t="s">
        <v>1309</v>
      </c>
      <c r="AD435" s="44" t="s">
        <v>57</v>
      </c>
      <c r="AE435" s="33">
        <v>2035</v>
      </c>
      <c r="AF435" s="45" t="str">
        <f t="shared" si="54"/>
        <v>*0.93</v>
      </c>
      <c r="AG435" s="43" t="str">
        <f t="shared" si="56"/>
        <v>REZoning_Sol-Win</v>
      </c>
      <c r="AI435" s="33" t="s">
        <v>1309</v>
      </c>
      <c r="AJ435" s="44" t="s">
        <v>57</v>
      </c>
      <c r="AK435" s="33">
        <v>2050</v>
      </c>
      <c r="AL435" s="45" t="str">
        <f t="shared" si="55"/>
        <v>*0.89</v>
      </c>
      <c r="AM435" s="43" t="str">
        <f t="shared" si="57"/>
        <v>REZoning_Sol-Win</v>
      </c>
      <c r="AP435" t="s">
        <v>1309</v>
      </c>
      <c r="AQ435" t="s">
        <v>57</v>
      </c>
      <c r="AR435">
        <v>2100</v>
      </c>
      <c r="AS435" t="s">
        <v>937</v>
      </c>
      <c r="AT435" t="s">
        <v>58</v>
      </c>
    </row>
    <row r="436" ht="29" spans="1:46">
      <c r="A436" s="31" t="s">
        <v>83</v>
      </c>
      <c r="C436" t="s">
        <v>1310</v>
      </c>
      <c r="D436" s="5" t="s">
        <v>57</v>
      </c>
      <c r="E436">
        <v>2035</v>
      </c>
      <c r="F436" s="6" t="str">
        <f t="shared" si="50"/>
        <v>*0.95</v>
      </c>
      <c r="H436" t="s">
        <v>1310</v>
      </c>
      <c r="I436" s="5" t="s">
        <v>57</v>
      </c>
      <c r="J436">
        <v>2050</v>
      </c>
      <c r="K436" s="38" t="str">
        <f t="shared" si="51"/>
        <v>*0.92</v>
      </c>
      <c r="P436" s="32" t="s">
        <v>1310</v>
      </c>
      <c r="Q436" s="42" t="s">
        <v>57</v>
      </c>
      <c r="R436" s="32">
        <v>2035</v>
      </c>
      <c r="S436" s="43" t="str">
        <f t="shared" si="52"/>
        <v>*0.95</v>
      </c>
      <c r="U436" s="32" t="s">
        <v>1310</v>
      </c>
      <c r="V436" s="42" t="s">
        <v>57</v>
      </c>
      <c r="W436" s="32">
        <v>2050</v>
      </c>
      <c r="X436" s="43" t="str">
        <f t="shared" si="53"/>
        <v>*0.92</v>
      </c>
      <c r="AC436" s="33" t="s">
        <v>1310</v>
      </c>
      <c r="AD436" s="44" t="s">
        <v>57</v>
      </c>
      <c r="AE436" s="33">
        <v>2035</v>
      </c>
      <c r="AF436" s="45" t="str">
        <f t="shared" si="54"/>
        <v>*0.93</v>
      </c>
      <c r="AG436" s="43" t="str">
        <f t="shared" si="56"/>
        <v>REZoning_Sol-Win</v>
      </c>
      <c r="AI436" s="33" t="s">
        <v>1310</v>
      </c>
      <c r="AJ436" s="44" t="s">
        <v>57</v>
      </c>
      <c r="AK436" s="33">
        <v>2050</v>
      </c>
      <c r="AL436" s="45" t="str">
        <f t="shared" si="55"/>
        <v>*0.89</v>
      </c>
      <c r="AM436" s="43" t="str">
        <f t="shared" si="57"/>
        <v>REZoning_Sol-Win</v>
      </c>
      <c r="AP436" t="s">
        <v>1310</v>
      </c>
      <c r="AQ436" t="s">
        <v>57</v>
      </c>
      <c r="AR436">
        <v>2100</v>
      </c>
      <c r="AS436" t="s">
        <v>937</v>
      </c>
      <c r="AT436" t="s">
        <v>58</v>
      </c>
    </row>
    <row r="437" ht="29" spans="1:46">
      <c r="A437" s="31" t="s">
        <v>83</v>
      </c>
      <c r="C437" t="s">
        <v>1311</v>
      </c>
      <c r="D437" s="5" t="s">
        <v>57</v>
      </c>
      <c r="E437">
        <v>2035</v>
      </c>
      <c r="F437" s="6" t="str">
        <f t="shared" si="50"/>
        <v>*0.95</v>
      </c>
      <c r="H437" t="s">
        <v>1311</v>
      </c>
      <c r="I437" s="5" t="s">
        <v>57</v>
      </c>
      <c r="J437">
        <v>2050</v>
      </c>
      <c r="K437" s="38" t="str">
        <f t="shared" si="51"/>
        <v>*0.92</v>
      </c>
      <c r="P437" s="32" t="s">
        <v>1311</v>
      </c>
      <c r="Q437" s="42" t="s">
        <v>57</v>
      </c>
      <c r="R437" s="32">
        <v>2035</v>
      </c>
      <c r="S437" s="43" t="str">
        <f t="shared" si="52"/>
        <v>*0.95</v>
      </c>
      <c r="U437" s="32" t="s">
        <v>1311</v>
      </c>
      <c r="V437" s="42" t="s">
        <v>57</v>
      </c>
      <c r="W437" s="32">
        <v>2050</v>
      </c>
      <c r="X437" s="43" t="str">
        <f t="shared" si="53"/>
        <v>*0.92</v>
      </c>
      <c r="AC437" s="33" t="s">
        <v>1311</v>
      </c>
      <c r="AD437" s="44" t="s">
        <v>57</v>
      </c>
      <c r="AE437" s="33">
        <v>2035</v>
      </c>
      <c r="AF437" s="45" t="str">
        <f t="shared" si="54"/>
        <v>*0.93</v>
      </c>
      <c r="AG437" s="43" t="str">
        <f t="shared" si="56"/>
        <v>REZoning_Sol-Win</v>
      </c>
      <c r="AI437" s="33" t="s">
        <v>1311</v>
      </c>
      <c r="AJ437" s="44" t="s">
        <v>57</v>
      </c>
      <c r="AK437" s="33">
        <v>2050</v>
      </c>
      <c r="AL437" s="45" t="str">
        <f t="shared" si="55"/>
        <v>*0.89</v>
      </c>
      <c r="AM437" s="43" t="str">
        <f t="shared" si="57"/>
        <v>REZoning_Sol-Win</v>
      </c>
      <c r="AP437" t="s">
        <v>1311</v>
      </c>
      <c r="AQ437" t="s">
        <v>57</v>
      </c>
      <c r="AR437">
        <v>2100</v>
      </c>
      <c r="AS437" t="s">
        <v>937</v>
      </c>
      <c r="AT437" t="s">
        <v>58</v>
      </c>
    </row>
    <row r="438" ht="29" spans="1:46">
      <c r="A438" s="31" t="s">
        <v>169</v>
      </c>
      <c r="C438" t="s">
        <v>1312</v>
      </c>
      <c r="D438" s="5" t="s">
        <v>57</v>
      </c>
      <c r="E438">
        <v>2035</v>
      </c>
      <c r="F438" s="6" t="str">
        <f t="shared" si="50"/>
        <v>*0.94</v>
      </c>
      <c r="H438" t="s">
        <v>1312</v>
      </c>
      <c r="I438" s="5" t="s">
        <v>57</v>
      </c>
      <c r="J438">
        <v>2050</v>
      </c>
      <c r="K438" s="38" t="str">
        <f t="shared" si="51"/>
        <v>*0.92</v>
      </c>
      <c r="P438" s="32" t="s">
        <v>1312</v>
      </c>
      <c r="Q438" s="42" t="s">
        <v>57</v>
      </c>
      <c r="R438" s="32">
        <v>2035</v>
      </c>
      <c r="S438" s="43" t="str">
        <f t="shared" si="52"/>
        <v>*0.93</v>
      </c>
      <c r="U438" s="32" t="s">
        <v>1312</v>
      </c>
      <c r="V438" s="42" t="s">
        <v>57</v>
      </c>
      <c r="W438" s="32">
        <v>2050</v>
      </c>
      <c r="X438" s="43" t="str">
        <f t="shared" si="53"/>
        <v>*0.92</v>
      </c>
      <c r="AC438" s="33" t="s">
        <v>1312</v>
      </c>
      <c r="AD438" s="44" t="s">
        <v>57</v>
      </c>
      <c r="AE438" s="33">
        <v>2035</v>
      </c>
      <c r="AF438" s="45" t="str">
        <f t="shared" si="54"/>
        <v>*0.91</v>
      </c>
      <c r="AG438" s="43" t="str">
        <f t="shared" si="56"/>
        <v>REZoning_Sol-Win</v>
      </c>
      <c r="AI438" s="33" t="s">
        <v>1312</v>
      </c>
      <c r="AJ438" s="44" t="s">
        <v>57</v>
      </c>
      <c r="AK438" s="33">
        <v>2050</v>
      </c>
      <c r="AL438" s="45" t="str">
        <f t="shared" si="55"/>
        <v>*0.87</v>
      </c>
      <c r="AM438" s="43" t="str">
        <f t="shared" si="57"/>
        <v>REZoning_Sol-Win</v>
      </c>
      <c r="AP438" t="s">
        <v>1312</v>
      </c>
      <c r="AQ438" t="s">
        <v>57</v>
      </c>
      <c r="AR438">
        <v>2100</v>
      </c>
      <c r="AS438" t="s">
        <v>874</v>
      </c>
      <c r="AT438" t="s">
        <v>58</v>
      </c>
    </row>
    <row r="439" ht="29" spans="1:46">
      <c r="A439" s="31" t="s">
        <v>169</v>
      </c>
      <c r="C439" t="s">
        <v>1313</v>
      </c>
      <c r="D439" s="5" t="s">
        <v>57</v>
      </c>
      <c r="E439">
        <v>2035</v>
      </c>
      <c r="F439" s="6" t="str">
        <f t="shared" si="50"/>
        <v>*0.94</v>
      </c>
      <c r="H439" t="s">
        <v>1313</v>
      </c>
      <c r="I439" s="5" t="s">
        <v>57</v>
      </c>
      <c r="J439">
        <v>2050</v>
      </c>
      <c r="K439" s="38" t="str">
        <f t="shared" si="51"/>
        <v>*0.92</v>
      </c>
      <c r="P439" s="32" t="s">
        <v>1313</v>
      </c>
      <c r="Q439" s="42" t="s">
        <v>57</v>
      </c>
      <c r="R439" s="32">
        <v>2035</v>
      </c>
      <c r="S439" s="43" t="str">
        <f t="shared" si="52"/>
        <v>*0.93</v>
      </c>
      <c r="U439" s="32" t="s">
        <v>1313</v>
      </c>
      <c r="V439" s="42" t="s">
        <v>57</v>
      </c>
      <c r="W439" s="32">
        <v>2050</v>
      </c>
      <c r="X439" s="43" t="str">
        <f t="shared" si="53"/>
        <v>*0.92</v>
      </c>
      <c r="AC439" s="33" t="s">
        <v>1313</v>
      </c>
      <c r="AD439" s="44" t="s">
        <v>57</v>
      </c>
      <c r="AE439" s="33">
        <v>2035</v>
      </c>
      <c r="AF439" s="45" t="str">
        <f t="shared" si="54"/>
        <v>*0.91</v>
      </c>
      <c r="AG439" s="43" t="str">
        <f t="shared" si="56"/>
        <v>REZoning_Sol-Win</v>
      </c>
      <c r="AI439" s="33" t="s">
        <v>1313</v>
      </c>
      <c r="AJ439" s="44" t="s">
        <v>57</v>
      </c>
      <c r="AK439" s="33">
        <v>2050</v>
      </c>
      <c r="AL439" s="45" t="str">
        <f t="shared" si="55"/>
        <v>*0.87</v>
      </c>
      <c r="AM439" s="43" t="str">
        <f t="shared" si="57"/>
        <v>REZoning_Sol-Win</v>
      </c>
      <c r="AP439" t="s">
        <v>1313</v>
      </c>
      <c r="AQ439" t="s">
        <v>57</v>
      </c>
      <c r="AR439">
        <v>2100</v>
      </c>
      <c r="AS439" t="s">
        <v>874</v>
      </c>
      <c r="AT439" t="s">
        <v>58</v>
      </c>
    </row>
    <row r="440" ht="29" spans="1:46">
      <c r="A440" s="31" t="s">
        <v>169</v>
      </c>
      <c r="C440" t="s">
        <v>1314</v>
      </c>
      <c r="D440" s="5" t="s">
        <v>57</v>
      </c>
      <c r="E440">
        <v>2035</v>
      </c>
      <c r="F440" s="6" t="str">
        <f t="shared" si="50"/>
        <v>*0.94</v>
      </c>
      <c r="H440" t="s">
        <v>1314</v>
      </c>
      <c r="I440" s="5" t="s">
        <v>57</v>
      </c>
      <c r="J440">
        <v>2050</v>
      </c>
      <c r="K440" s="38" t="str">
        <f t="shared" si="51"/>
        <v>*0.92</v>
      </c>
      <c r="P440" s="32" t="s">
        <v>1314</v>
      </c>
      <c r="Q440" s="42" t="s">
        <v>57</v>
      </c>
      <c r="R440" s="32">
        <v>2035</v>
      </c>
      <c r="S440" s="43" t="str">
        <f t="shared" si="52"/>
        <v>*0.93</v>
      </c>
      <c r="U440" s="32" t="s">
        <v>1314</v>
      </c>
      <c r="V440" s="42" t="s">
        <v>57</v>
      </c>
      <c r="W440" s="32">
        <v>2050</v>
      </c>
      <c r="X440" s="43" t="str">
        <f t="shared" si="53"/>
        <v>*0.92</v>
      </c>
      <c r="AC440" s="33" t="s">
        <v>1314</v>
      </c>
      <c r="AD440" s="44" t="s">
        <v>57</v>
      </c>
      <c r="AE440" s="33">
        <v>2035</v>
      </c>
      <c r="AF440" s="45" t="str">
        <f t="shared" si="54"/>
        <v>*0.91</v>
      </c>
      <c r="AG440" s="43" t="str">
        <f t="shared" si="56"/>
        <v>REZoning_Sol-Win</v>
      </c>
      <c r="AI440" s="33" t="s">
        <v>1314</v>
      </c>
      <c r="AJ440" s="44" t="s">
        <v>57</v>
      </c>
      <c r="AK440" s="33">
        <v>2050</v>
      </c>
      <c r="AL440" s="45" t="str">
        <f t="shared" si="55"/>
        <v>*0.87</v>
      </c>
      <c r="AM440" s="43" t="str">
        <f t="shared" si="57"/>
        <v>REZoning_Sol-Win</v>
      </c>
      <c r="AP440" t="s">
        <v>1314</v>
      </c>
      <c r="AQ440" t="s">
        <v>57</v>
      </c>
      <c r="AR440">
        <v>2100</v>
      </c>
      <c r="AS440" t="s">
        <v>874</v>
      </c>
      <c r="AT440" t="s">
        <v>58</v>
      </c>
    </row>
    <row r="441" ht="29" spans="1:46">
      <c r="A441" s="31" t="s">
        <v>169</v>
      </c>
      <c r="C441" t="s">
        <v>1315</v>
      </c>
      <c r="D441" s="5" t="s">
        <v>57</v>
      </c>
      <c r="E441">
        <v>2035</v>
      </c>
      <c r="F441" s="6" t="str">
        <f t="shared" si="50"/>
        <v>*0.94</v>
      </c>
      <c r="H441" t="s">
        <v>1315</v>
      </c>
      <c r="I441" s="5" t="s">
        <v>57</v>
      </c>
      <c r="J441">
        <v>2050</v>
      </c>
      <c r="K441" s="38" t="str">
        <f t="shared" si="51"/>
        <v>*0.92</v>
      </c>
      <c r="P441" s="32" t="s">
        <v>1315</v>
      </c>
      <c r="Q441" s="42" t="s">
        <v>57</v>
      </c>
      <c r="R441" s="32">
        <v>2035</v>
      </c>
      <c r="S441" s="43" t="str">
        <f t="shared" si="52"/>
        <v>*0.93</v>
      </c>
      <c r="U441" s="32" t="s">
        <v>1315</v>
      </c>
      <c r="V441" s="42" t="s">
        <v>57</v>
      </c>
      <c r="W441" s="32">
        <v>2050</v>
      </c>
      <c r="X441" s="43" t="str">
        <f t="shared" si="53"/>
        <v>*0.92</v>
      </c>
      <c r="AC441" s="33" t="s">
        <v>1315</v>
      </c>
      <c r="AD441" s="44" t="s">
        <v>57</v>
      </c>
      <c r="AE441" s="33">
        <v>2035</v>
      </c>
      <c r="AF441" s="45" t="str">
        <f t="shared" si="54"/>
        <v>*0.91</v>
      </c>
      <c r="AG441" s="43" t="str">
        <f t="shared" si="56"/>
        <v>REZoning_Sol-Win</v>
      </c>
      <c r="AI441" s="33" t="s">
        <v>1315</v>
      </c>
      <c r="AJ441" s="44" t="s">
        <v>57</v>
      </c>
      <c r="AK441" s="33">
        <v>2050</v>
      </c>
      <c r="AL441" s="45" t="str">
        <f t="shared" si="55"/>
        <v>*0.87</v>
      </c>
      <c r="AM441" s="43" t="str">
        <f t="shared" si="57"/>
        <v>REZoning_Sol-Win</v>
      </c>
      <c r="AP441" t="s">
        <v>1315</v>
      </c>
      <c r="AQ441" t="s">
        <v>57</v>
      </c>
      <c r="AR441">
        <v>2100</v>
      </c>
      <c r="AS441" t="s">
        <v>874</v>
      </c>
      <c r="AT441" t="s">
        <v>58</v>
      </c>
    </row>
    <row r="442" ht="29" spans="1:46">
      <c r="A442" s="31" t="s">
        <v>169</v>
      </c>
      <c r="C442" t="s">
        <v>1316</v>
      </c>
      <c r="D442" s="5" t="s">
        <v>57</v>
      </c>
      <c r="E442">
        <v>2035</v>
      </c>
      <c r="F442" s="6" t="str">
        <f t="shared" si="50"/>
        <v>*0.94</v>
      </c>
      <c r="H442" t="s">
        <v>1316</v>
      </c>
      <c r="I442" s="5" t="s">
        <v>57</v>
      </c>
      <c r="J442">
        <v>2050</v>
      </c>
      <c r="K442" s="38" t="str">
        <f t="shared" si="51"/>
        <v>*0.92</v>
      </c>
      <c r="P442" s="32" t="s">
        <v>1316</v>
      </c>
      <c r="Q442" s="42" t="s">
        <v>57</v>
      </c>
      <c r="R442" s="32">
        <v>2035</v>
      </c>
      <c r="S442" s="43" t="str">
        <f t="shared" si="52"/>
        <v>*0.93</v>
      </c>
      <c r="U442" s="32" t="s">
        <v>1316</v>
      </c>
      <c r="V442" s="42" t="s">
        <v>57</v>
      </c>
      <c r="W442" s="32">
        <v>2050</v>
      </c>
      <c r="X442" s="43" t="str">
        <f t="shared" si="53"/>
        <v>*0.92</v>
      </c>
      <c r="AC442" s="33" t="s">
        <v>1316</v>
      </c>
      <c r="AD442" s="44" t="s">
        <v>57</v>
      </c>
      <c r="AE442" s="33">
        <v>2035</v>
      </c>
      <c r="AF442" s="45" t="str">
        <f t="shared" si="54"/>
        <v>*0.91</v>
      </c>
      <c r="AG442" s="43" t="str">
        <f t="shared" si="56"/>
        <v>REZoning_Sol-Win</v>
      </c>
      <c r="AI442" s="33" t="s">
        <v>1316</v>
      </c>
      <c r="AJ442" s="44" t="s">
        <v>57</v>
      </c>
      <c r="AK442" s="33">
        <v>2050</v>
      </c>
      <c r="AL442" s="45" t="str">
        <f t="shared" si="55"/>
        <v>*0.87</v>
      </c>
      <c r="AM442" s="43" t="str">
        <f t="shared" si="57"/>
        <v>REZoning_Sol-Win</v>
      </c>
      <c r="AP442" t="s">
        <v>1316</v>
      </c>
      <c r="AQ442" t="s">
        <v>57</v>
      </c>
      <c r="AR442">
        <v>2100</v>
      </c>
      <c r="AS442" t="s">
        <v>874</v>
      </c>
      <c r="AT442" t="s">
        <v>58</v>
      </c>
    </row>
    <row r="443" ht="29" spans="1:46">
      <c r="A443" s="31" t="s">
        <v>169</v>
      </c>
      <c r="C443" t="s">
        <v>1317</v>
      </c>
      <c r="D443" s="5" t="s">
        <v>57</v>
      </c>
      <c r="E443">
        <v>2035</v>
      </c>
      <c r="F443" s="6" t="str">
        <f t="shared" si="50"/>
        <v>*0.94</v>
      </c>
      <c r="H443" t="s">
        <v>1317</v>
      </c>
      <c r="I443" s="5" t="s">
        <v>57</v>
      </c>
      <c r="J443">
        <v>2050</v>
      </c>
      <c r="K443" s="38" t="str">
        <f t="shared" si="51"/>
        <v>*0.92</v>
      </c>
      <c r="P443" s="32" t="s">
        <v>1317</v>
      </c>
      <c r="Q443" s="42" t="s">
        <v>57</v>
      </c>
      <c r="R443" s="32">
        <v>2035</v>
      </c>
      <c r="S443" s="43" t="str">
        <f t="shared" si="52"/>
        <v>*0.93</v>
      </c>
      <c r="U443" s="32" t="s">
        <v>1317</v>
      </c>
      <c r="V443" s="42" t="s">
        <v>57</v>
      </c>
      <c r="W443" s="32">
        <v>2050</v>
      </c>
      <c r="X443" s="43" t="str">
        <f t="shared" si="53"/>
        <v>*0.92</v>
      </c>
      <c r="AC443" s="33" t="s">
        <v>1317</v>
      </c>
      <c r="AD443" s="44" t="s">
        <v>57</v>
      </c>
      <c r="AE443" s="33">
        <v>2035</v>
      </c>
      <c r="AF443" s="45" t="str">
        <f t="shared" si="54"/>
        <v>*0.91</v>
      </c>
      <c r="AG443" s="43" t="str">
        <f t="shared" si="56"/>
        <v>REZoning_Sol-Win</v>
      </c>
      <c r="AI443" s="33" t="s">
        <v>1317</v>
      </c>
      <c r="AJ443" s="44" t="s">
        <v>57</v>
      </c>
      <c r="AK443" s="33">
        <v>2050</v>
      </c>
      <c r="AL443" s="45" t="str">
        <f t="shared" si="55"/>
        <v>*0.87</v>
      </c>
      <c r="AM443" s="43" t="str">
        <f t="shared" si="57"/>
        <v>REZoning_Sol-Win</v>
      </c>
      <c r="AP443" t="s">
        <v>1317</v>
      </c>
      <c r="AQ443" t="s">
        <v>57</v>
      </c>
      <c r="AR443">
        <v>2100</v>
      </c>
      <c r="AS443" t="s">
        <v>874</v>
      </c>
      <c r="AT443" t="s">
        <v>58</v>
      </c>
    </row>
    <row r="444" ht="29" spans="1:46">
      <c r="A444" s="31" t="s">
        <v>169</v>
      </c>
      <c r="C444" t="s">
        <v>1318</v>
      </c>
      <c r="D444" s="5" t="s">
        <v>57</v>
      </c>
      <c r="E444">
        <v>2035</v>
      </c>
      <c r="F444" s="6" t="str">
        <f t="shared" si="50"/>
        <v>*0.94</v>
      </c>
      <c r="H444" t="s">
        <v>1318</v>
      </c>
      <c r="I444" s="5" t="s">
        <v>57</v>
      </c>
      <c r="J444">
        <v>2050</v>
      </c>
      <c r="K444" s="38" t="str">
        <f t="shared" si="51"/>
        <v>*0.92</v>
      </c>
      <c r="P444" s="32" t="s">
        <v>1318</v>
      </c>
      <c r="Q444" s="42" t="s">
        <v>57</v>
      </c>
      <c r="R444" s="32">
        <v>2035</v>
      </c>
      <c r="S444" s="43" t="str">
        <f t="shared" si="52"/>
        <v>*0.93</v>
      </c>
      <c r="U444" s="32" t="s">
        <v>1318</v>
      </c>
      <c r="V444" s="42" t="s">
        <v>57</v>
      </c>
      <c r="W444" s="32">
        <v>2050</v>
      </c>
      <c r="X444" s="43" t="str">
        <f t="shared" si="53"/>
        <v>*0.92</v>
      </c>
      <c r="AC444" s="33" t="s">
        <v>1318</v>
      </c>
      <c r="AD444" s="44" t="s">
        <v>57</v>
      </c>
      <c r="AE444" s="33">
        <v>2035</v>
      </c>
      <c r="AF444" s="45" t="str">
        <f t="shared" si="54"/>
        <v>*0.91</v>
      </c>
      <c r="AG444" s="43" t="str">
        <f t="shared" si="56"/>
        <v>REZoning_Sol-Win</v>
      </c>
      <c r="AI444" s="33" t="s">
        <v>1318</v>
      </c>
      <c r="AJ444" s="44" t="s">
        <v>57</v>
      </c>
      <c r="AK444" s="33">
        <v>2050</v>
      </c>
      <c r="AL444" s="45" t="str">
        <f t="shared" si="55"/>
        <v>*0.87</v>
      </c>
      <c r="AM444" s="43" t="str">
        <f t="shared" si="57"/>
        <v>REZoning_Sol-Win</v>
      </c>
      <c r="AP444" t="s">
        <v>1318</v>
      </c>
      <c r="AQ444" t="s">
        <v>57</v>
      </c>
      <c r="AR444">
        <v>2100</v>
      </c>
      <c r="AS444" t="s">
        <v>874</v>
      </c>
      <c r="AT444" t="s">
        <v>58</v>
      </c>
    </row>
    <row r="445" ht="29" spans="1:46">
      <c r="A445" s="31" t="s">
        <v>169</v>
      </c>
      <c r="C445" t="s">
        <v>1319</v>
      </c>
      <c r="D445" s="5" t="s">
        <v>57</v>
      </c>
      <c r="E445">
        <v>2035</v>
      </c>
      <c r="F445" s="6" t="str">
        <f t="shared" si="50"/>
        <v>*0.94</v>
      </c>
      <c r="H445" t="s">
        <v>1319</v>
      </c>
      <c r="I445" s="5" t="s">
        <v>57</v>
      </c>
      <c r="J445">
        <v>2050</v>
      </c>
      <c r="K445" s="38" t="str">
        <f t="shared" si="51"/>
        <v>*0.92</v>
      </c>
      <c r="P445" s="32" t="s">
        <v>1319</v>
      </c>
      <c r="Q445" s="42" t="s">
        <v>57</v>
      </c>
      <c r="R445" s="32">
        <v>2035</v>
      </c>
      <c r="S445" s="43" t="str">
        <f t="shared" si="52"/>
        <v>*0.93</v>
      </c>
      <c r="U445" s="32" t="s">
        <v>1319</v>
      </c>
      <c r="V445" s="42" t="s">
        <v>57</v>
      </c>
      <c r="W445" s="32">
        <v>2050</v>
      </c>
      <c r="X445" s="43" t="str">
        <f t="shared" si="53"/>
        <v>*0.92</v>
      </c>
      <c r="AC445" s="33" t="s">
        <v>1319</v>
      </c>
      <c r="AD445" s="44" t="s">
        <v>57</v>
      </c>
      <c r="AE445" s="33">
        <v>2035</v>
      </c>
      <c r="AF445" s="45" t="str">
        <f t="shared" si="54"/>
        <v>*0.91</v>
      </c>
      <c r="AG445" s="43" t="str">
        <f t="shared" si="56"/>
        <v>REZoning_Sol-Win</v>
      </c>
      <c r="AI445" s="33" t="s">
        <v>1319</v>
      </c>
      <c r="AJ445" s="44" t="s">
        <v>57</v>
      </c>
      <c r="AK445" s="33">
        <v>2050</v>
      </c>
      <c r="AL445" s="45" t="str">
        <f t="shared" si="55"/>
        <v>*0.87</v>
      </c>
      <c r="AM445" s="43" t="str">
        <f t="shared" si="57"/>
        <v>REZoning_Sol-Win</v>
      </c>
      <c r="AP445" t="s">
        <v>1319</v>
      </c>
      <c r="AQ445" t="s">
        <v>57</v>
      </c>
      <c r="AR445">
        <v>2100</v>
      </c>
      <c r="AS445" t="s">
        <v>874</v>
      </c>
      <c r="AT445" t="s">
        <v>58</v>
      </c>
    </row>
    <row r="446" ht="29" spans="1:46">
      <c r="A446" s="31" t="s">
        <v>169</v>
      </c>
      <c r="C446" t="s">
        <v>1320</v>
      </c>
      <c r="D446" s="5" t="s">
        <v>57</v>
      </c>
      <c r="E446">
        <v>2035</v>
      </c>
      <c r="F446" s="6" t="str">
        <f t="shared" si="50"/>
        <v>*0.94</v>
      </c>
      <c r="H446" t="s">
        <v>1320</v>
      </c>
      <c r="I446" s="5" t="s">
        <v>57</v>
      </c>
      <c r="J446">
        <v>2050</v>
      </c>
      <c r="K446" s="38" t="str">
        <f t="shared" si="51"/>
        <v>*0.92</v>
      </c>
      <c r="P446" s="32" t="s">
        <v>1320</v>
      </c>
      <c r="Q446" s="42" t="s">
        <v>57</v>
      </c>
      <c r="R446" s="32">
        <v>2035</v>
      </c>
      <c r="S446" s="43" t="str">
        <f t="shared" si="52"/>
        <v>*0.93</v>
      </c>
      <c r="U446" s="32" t="s">
        <v>1320</v>
      </c>
      <c r="V446" s="42" t="s">
        <v>57</v>
      </c>
      <c r="W446" s="32">
        <v>2050</v>
      </c>
      <c r="X446" s="43" t="str">
        <f t="shared" si="53"/>
        <v>*0.92</v>
      </c>
      <c r="AC446" s="33" t="s">
        <v>1320</v>
      </c>
      <c r="AD446" s="44" t="s">
        <v>57</v>
      </c>
      <c r="AE446" s="33">
        <v>2035</v>
      </c>
      <c r="AF446" s="45" t="str">
        <f t="shared" si="54"/>
        <v>*0.91</v>
      </c>
      <c r="AG446" s="43" t="str">
        <f t="shared" si="56"/>
        <v>REZoning_Sol-Win</v>
      </c>
      <c r="AI446" s="33" t="s">
        <v>1320</v>
      </c>
      <c r="AJ446" s="44" t="s">
        <v>57</v>
      </c>
      <c r="AK446" s="33">
        <v>2050</v>
      </c>
      <c r="AL446" s="45" t="str">
        <f t="shared" si="55"/>
        <v>*0.87</v>
      </c>
      <c r="AM446" s="43" t="str">
        <f t="shared" si="57"/>
        <v>REZoning_Sol-Win</v>
      </c>
      <c r="AP446" t="s">
        <v>1320</v>
      </c>
      <c r="AQ446" t="s">
        <v>57</v>
      </c>
      <c r="AR446">
        <v>2100</v>
      </c>
      <c r="AS446" t="s">
        <v>874</v>
      </c>
      <c r="AT446" t="s">
        <v>58</v>
      </c>
    </row>
    <row r="447" ht="29" spans="1:46">
      <c r="A447" s="31" t="s">
        <v>169</v>
      </c>
      <c r="C447" t="s">
        <v>1321</v>
      </c>
      <c r="D447" s="5" t="s">
        <v>57</v>
      </c>
      <c r="E447">
        <v>2035</v>
      </c>
      <c r="F447" s="6" t="str">
        <f t="shared" si="50"/>
        <v>*0.94</v>
      </c>
      <c r="H447" t="s">
        <v>1321</v>
      </c>
      <c r="I447" s="5" t="s">
        <v>57</v>
      </c>
      <c r="J447">
        <v>2050</v>
      </c>
      <c r="K447" s="38" t="str">
        <f t="shared" si="51"/>
        <v>*0.92</v>
      </c>
      <c r="P447" s="32" t="s">
        <v>1321</v>
      </c>
      <c r="Q447" s="42" t="s">
        <v>57</v>
      </c>
      <c r="R447" s="32">
        <v>2035</v>
      </c>
      <c r="S447" s="43" t="str">
        <f t="shared" si="52"/>
        <v>*0.93</v>
      </c>
      <c r="U447" s="32" t="s">
        <v>1321</v>
      </c>
      <c r="V447" s="42" t="s">
        <v>57</v>
      </c>
      <c r="W447" s="32">
        <v>2050</v>
      </c>
      <c r="X447" s="43" t="str">
        <f t="shared" si="53"/>
        <v>*0.92</v>
      </c>
      <c r="AC447" s="33" t="s">
        <v>1321</v>
      </c>
      <c r="AD447" s="44" t="s">
        <v>57</v>
      </c>
      <c r="AE447" s="33">
        <v>2035</v>
      </c>
      <c r="AF447" s="45" t="str">
        <f t="shared" si="54"/>
        <v>*0.91</v>
      </c>
      <c r="AG447" s="43" t="str">
        <f t="shared" si="56"/>
        <v>REZoning_Sol-Win</v>
      </c>
      <c r="AI447" s="33" t="s">
        <v>1321</v>
      </c>
      <c r="AJ447" s="44" t="s">
        <v>57</v>
      </c>
      <c r="AK447" s="33">
        <v>2050</v>
      </c>
      <c r="AL447" s="45" t="str">
        <f t="shared" si="55"/>
        <v>*0.87</v>
      </c>
      <c r="AM447" s="43" t="str">
        <f t="shared" si="57"/>
        <v>REZoning_Sol-Win</v>
      </c>
      <c r="AP447" t="s">
        <v>1321</v>
      </c>
      <c r="AQ447" t="s">
        <v>57</v>
      </c>
      <c r="AR447">
        <v>2100</v>
      </c>
      <c r="AS447" t="s">
        <v>874</v>
      </c>
      <c r="AT447" t="s">
        <v>58</v>
      </c>
    </row>
    <row r="448" ht="29" spans="1:46">
      <c r="A448" s="31" t="s">
        <v>169</v>
      </c>
      <c r="C448" t="s">
        <v>1322</v>
      </c>
      <c r="D448" s="5" t="s">
        <v>57</v>
      </c>
      <c r="E448">
        <v>2035</v>
      </c>
      <c r="F448" s="6" t="str">
        <f t="shared" si="50"/>
        <v>*0.94</v>
      </c>
      <c r="H448" t="s">
        <v>1322</v>
      </c>
      <c r="I448" s="5" t="s">
        <v>57</v>
      </c>
      <c r="J448">
        <v>2050</v>
      </c>
      <c r="K448" s="38" t="str">
        <f t="shared" si="51"/>
        <v>*0.92</v>
      </c>
      <c r="P448" s="32" t="s">
        <v>1322</v>
      </c>
      <c r="Q448" s="42" t="s">
        <v>57</v>
      </c>
      <c r="R448" s="32">
        <v>2035</v>
      </c>
      <c r="S448" s="43" t="str">
        <f t="shared" si="52"/>
        <v>*0.93</v>
      </c>
      <c r="U448" s="32" t="s">
        <v>1322</v>
      </c>
      <c r="V448" s="42" t="s">
        <v>57</v>
      </c>
      <c r="W448" s="32">
        <v>2050</v>
      </c>
      <c r="X448" s="43" t="str">
        <f t="shared" si="53"/>
        <v>*0.92</v>
      </c>
      <c r="AC448" s="33" t="s">
        <v>1322</v>
      </c>
      <c r="AD448" s="44" t="s">
        <v>57</v>
      </c>
      <c r="AE448" s="33">
        <v>2035</v>
      </c>
      <c r="AF448" s="45" t="str">
        <f t="shared" si="54"/>
        <v>*0.91</v>
      </c>
      <c r="AG448" s="43" t="str">
        <f t="shared" si="56"/>
        <v>REZoning_Sol-Win</v>
      </c>
      <c r="AI448" s="33" t="s">
        <v>1322</v>
      </c>
      <c r="AJ448" s="44" t="s">
        <v>57</v>
      </c>
      <c r="AK448" s="33">
        <v>2050</v>
      </c>
      <c r="AL448" s="45" t="str">
        <f t="shared" si="55"/>
        <v>*0.87</v>
      </c>
      <c r="AM448" s="43" t="str">
        <f t="shared" si="57"/>
        <v>REZoning_Sol-Win</v>
      </c>
      <c r="AP448" t="s">
        <v>1322</v>
      </c>
      <c r="AQ448" t="s">
        <v>57</v>
      </c>
      <c r="AR448">
        <v>2100</v>
      </c>
      <c r="AS448" t="s">
        <v>874</v>
      </c>
      <c r="AT448" t="s">
        <v>58</v>
      </c>
    </row>
    <row r="449" ht="29" spans="1:46">
      <c r="A449" s="31" t="s">
        <v>169</v>
      </c>
      <c r="C449" t="s">
        <v>1323</v>
      </c>
      <c r="D449" s="5" t="s">
        <v>57</v>
      </c>
      <c r="E449">
        <v>2035</v>
      </c>
      <c r="F449" s="6" t="str">
        <f t="shared" si="50"/>
        <v>*0.94</v>
      </c>
      <c r="H449" t="s">
        <v>1323</v>
      </c>
      <c r="I449" s="5" t="s">
        <v>57</v>
      </c>
      <c r="J449">
        <v>2050</v>
      </c>
      <c r="K449" s="38" t="str">
        <f t="shared" si="51"/>
        <v>*0.92</v>
      </c>
      <c r="P449" s="32" t="s">
        <v>1323</v>
      </c>
      <c r="Q449" s="42" t="s">
        <v>57</v>
      </c>
      <c r="R449" s="32">
        <v>2035</v>
      </c>
      <c r="S449" s="43" t="str">
        <f t="shared" si="52"/>
        <v>*0.93</v>
      </c>
      <c r="U449" s="32" t="s">
        <v>1323</v>
      </c>
      <c r="V449" s="42" t="s">
        <v>57</v>
      </c>
      <c r="W449" s="32">
        <v>2050</v>
      </c>
      <c r="X449" s="43" t="str">
        <f t="shared" si="53"/>
        <v>*0.92</v>
      </c>
      <c r="AC449" s="33" t="s">
        <v>1323</v>
      </c>
      <c r="AD449" s="44" t="s">
        <v>57</v>
      </c>
      <c r="AE449" s="33">
        <v>2035</v>
      </c>
      <c r="AF449" s="45" t="str">
        <f t="shared" si="54"/>
        <v>*0.91</v>
      </c>
      <c r="AG449" s="43" t="str">
        <f t="shared" si="56"/>
        <v>REZoning_Sol-Win</v>
      </c>
      <c r="AI449" s="33" t="s">
        <v>1323</v>
      </c>
      <c r="AJ449" s="44" t="s">
        <v>57</v>
      </c>
      <c r="AK449" s="33">
        <v>2050</v>
      </c>
      <c r="AL449" s="45" t="str">
        <f t="shared" si="55"/>
        <v>*0.87</v>
      </c>
      <c r="AM449" s="43" t="str">
        <f t="shared" si="57"/>
        <v>REZoning_Sol-Win</v>
      </c>
      <c r="AP449" t="s">
        <v>1323</v>
      </c>
      <c r="AQ449" t="s">
        <v>57</v>
      </c>
      <c r="AR449">
        <v>2100</v>
      </c>
      <c r="AS449" t="s">
        <v>874</v>
      </c>
      <c r="AT449" t="s">
        <v>58</v>
      </c>
    </row>
    <row r="450" ht="29" spans="1:46">
      <c r="A450" s="31" t="s">
        <v>169</v>
      </c>
      <c r="C450" t="s">
        <v>1324</v>
      </c>
      <c r="D450" s="5" t="s">
        <v>57</v>
      </c>
      <c r="E450">
        <v>2035</v>
      </c>
      <c r="F450" s="6" t="str">
        <f t="shared" si="50"/>
        <v>*0.94</v>
      </c>
      <c r="H450" t="s">
        <v>1324</v>
      </c>
      <c r="I450" s="5" t="s">
        <v>57</v>
      </c>
      <c r="J450">
        <v>2050</v>
      </c>
      <c r="K450" s="38" t="str">
        <f t="shared" si="51"/>
        <v>*0.92</v>
      </c>
      <c r="P450" s="32" t="s">
        <v>1324</v>
      </c>
      <c r="Q450" s="42" t="s">
        <v>57</v>
      </c>
      <c r="R450" s="32">
        <v>2035</v>
      </c>
      <c r="S450" s="43" t="str">
        <f t="shared" si="52"/>
        <v>*0.93</v>
      </c>
      <c r="U450" s="32" t="s">
        <v>1324</v>
      </c>
      <c r="V450" s="42" t="s">
        <v>57</v>
      </c>
      <c r="W450" s="32">
        <v>2050</v>
      </c>
      <c r="X450" s="43" t="str">
        <f t="shared" si="53"/>
        <v>*0.92</v>
      </c>
      <c r="AC450" s="33" t="s">
        <v>1324</v>
      </c>
      <c r="AD450" s="44" t="s">
        <v>57</v>
      </c>
      <c r="AE450" s="33">
        <v>2035</v>
      </c>
      <c r="AF450" s="45" t="str">
        <f t="shared" si="54"/>
        <v>*0.91</v>
      </c>
      <c r="AG450" s="43" t="str">
        <f t="shared" si="56"/>
        <v>REZoning_Sol-Win</v>
      </c>
      <c r="AI450" s="33" t="s">
        <v>1324</v>
      </c>
      <c r="AJ450" s="44" t="s">
        <v>57</v>
      </c>
      <c r="AK450" s="33">
        <v>2050</v>
      </c>
      <c r="AL450" s="45" t="str">
        <f t="shared" si="55"/>
        <v>*0.87</v>
      </c>
      <c r="AM450" s="43" t="str">
        <f t="shared" si="57"/>
        <v>REZoning_Sol-Win</v>
      </c>
      <c r="AP450" t="s">
        <v>1324</v>
      </c>
      <c r="AQ450" t="s">
        <v>57</v>
      </c>
      <c r="AR450">
        <v>2100</v>
      </c>
      <c r="AS450" t="s">
        <v>874</v>
      </c>
      <c r="AT450" t="s">
        <v>58</v>
      </c>
    </row>
    <row r="451" ht="29" spans="1:46">
      <c r="A451" s="31" t="s">
        <v>169</v>
      </c>
      <c r="C451" t="s">
        <v>1325</v>
      </c>
      <c r="D451" s="5" t="s">
        <v>57</v>
      </c>
      <c r="E451">
        <v>2035</v>
      </c>
      <c r="F451" s="6" t="str">
        <f t="shared" si="50"/>
        <v>*0.94</v>
      </c>
      <c r="H451" t="s">
        <v>1325</v>
      </c>
      <c r="I451" s="5" t="s">
        <v>57</v>
      </c>
      <c r="J451">
        <v>2050</v>
      </c>
      <c r="K451" s="38" t="str">
        <f t="shared" si="51"/>
        <v>*0.92</v>
      </c>
      <c r="P451" s="32" t="s">
        <v>1325</v>
      </c>
      <c r="Q451" s="42" t="s">
        <v>57</v>
      </c>
      <c r="R451" s="32">
        <v>2035</v>
      </c>
      <c r="S451" s="43" t="str">
        <f t="shared" si="52"/>
        <v>*0.93</v>
      </c>
      <c r="U451" s="32" t="s">
        <v>1325</v>
      </c>
      <c r="V451" s="42" t="s">
        <v>57</v>
      </c>
      <c r="W451" s="32">
        <v>2050</v>
      </c>
      <c r="X451" s="43" t="str">
        <f t="shared" si="53"/>
        <v>*0.92</v>
      </c>
      <c r="AC451" s="33" t="s">
        <v>1325</v>
      </c>
      <c r="AD451" s="44" t="s">
        <v>57</v>
      </c>
      <c r="AE451" s="33">
        <v>2035</v>
      </c>
      <c r="AF451" s="45" t="str">
        <f t="shared" si="54"/>
        <v>*0.91</v>
      </c>
      <c r="AG451" s="43" t="str">
        <f t="shared" si="56"/>
        <v>REZoning_Sol-Win</v>
      </c>
      <c r="AI451" s="33" t="s">
        <v>1325</v>
      </c>
      <c r="AJ451" s="44" t="s">
        <v>57</v>
      </c>
      <c r="AK451" s="33">
        <v>2050</v>
      </c>
      <c r="AL451" s="45" t="str">
        <f t="shared" si="55"/>
        <v>*0.87</v>
      </c>
      <c r="AM451" s="43" t="str">
        <f t="shared" si="57"/>
        <v>REZoning_Sol-Win</v>
      </c>
      <c r="AP451" t="s">
        <v>1325</v>
      </c>
      <c r="AQ451" t="s">
        <v>57</v>
      </c>
      <c r="AR451">
        <v>2100</v>
      </c>
      <c r="AS451" t="s">
        <v>874</v>
      </c>
      <c r="AT451" t="s">
        <v>58</v>
      </c>
    </row>
    <row r="452" ht="29" spans="1:46">
      <c r="A452" s="31" t="s">
        <v>169</v>
      </c>
      <c r="C452" t="s">
        <v>1326</v>
      </c>
      <c r="D452" s="5" t="s">
        <v>57</v>
      </c>
      <c r="E452">
        <v>2035</v>
      </c>
      <c r="F452" s="6" t="str">
        <f t="shared" ref="F452:F515" si="58">"*"&amp;IF(AND(A452="EU",E452=2035),0.95,IF(AND(A452="EU",E452=2050),0.93,IF(AND(A452="USA",E452=2035),0.96,IF(AND(A452="USA",E452=2050),0.94,IF(AND(A452="Japan",E452=2035),0.94,IF(AND(A452="Japan",E452=2050),0.92,IF(AND(A452="Russia",E452=2035),0.95,IF(AND(A452="Russia",E452=2050),0.93,IF(AND(A452="China",E452=2035),0.94,IF(AND(A452="China",E452=2050),0.92,IF(AND(A452="India",E452=2035),0.95,IF(AND(A452="India",E452=2050),0.92,IF(AND(A452="Middle East",E452=2035),0.94,IF(AND(A452="Middle East",E452=2050),0.9,IF(AND(A452="Africa",E452=2035),0.94,IF(AND(A452="Africa",E452=2050),0.91,IF(AND(A452="Brazil",E452=2035),0.95,IF(AND(A452="Brazil",E452=2050),0.92,""))))))))))))))))))</f>
        <v>*0.94</v>
      </c>
      <c r="H452" t="s">
        <v>1326</v>
      </c>
      <c r="I452" s="5" t="s">
        <v>57</v>
      </c>
      <c r="J452">
        <v>2050</v>
      </c>
      <c r="K452" s="38" t="str">
        <f t="shared" ref="K452:K515" si="59">"*"&amp;IF(AND(A452="EU",J452=2035),0.95,IF(AND(A452="EU",J452=2050),0.93,IF(AND(A452="USA",J452=2035),0.96,IF(AND(A452="USA",J452=2050),0.94,IF(AND(A452="Japan",J452=2035),0.94,IF(AND(A452="Japan",J452=2050),0.92,IF(AND(A452="Russia",J452=2035),0.95,IF(AND(A452="Russia",J452=2050),0.93,IF(AND(A452="China",J452=2035),0.94,IF(AND(A452="China",J452=2050),0.92,IF(AND(A452="India",J452=2035),0.95,IF(AND(A452="India",J452=2050),0.92,IF(AND(A452="Middle East",J452=2035),0.94,IF(AND(A452="Middle East",J452=2050),0.9,IF(AND(A452="Africa",J452=2035),0.94,IF(AND(A452="Africa",J452=2050),0.91,IF(AND(A452="Brazil",J452=2035),0.95,IF(AND(A452="Brazil",J452=2050),0.92,""))))))))))))))))))</f>
        <v>*0.92</v>
      </c>
      <c r="P452" s="32" t="s">
        <v>1326</v>
      </c>
      <c r="Q452" s="42" t="s">
        <v>57</v>
      </c>
      <c r="R452" s="32">
        <v>2035</v>
      </c>
      <c r="S452" s="43" t="str">
        <f t="shared" ref="S452:S515" si="60">"*"&amp;IF(AND(A452="EU",R452=2035),0.95,IF(AND(A452="EU",R452=2050),0.93,IF(AND(A452="USA",R452=2035),0.96,IF(AND(A452="USA",R452=2050),0.93,IF(AND(A452="Japan",R452=2035),0.94,IF(AND(A452="Japan",R452=2050),0.92,IF(AND(A452="Russia",R452=2035),0.95,IF(AND(A452="Russia",R452=2050),0.91,IF(AND(A452="China",R452=2035),0.93,IF(AND(A452="China",R452=2050),0.92,IF(AND(A452="India",R452=2035),0.94,IF(AND(A452="India",R452=2050),0.91,IF(AND(A452="Middle East",R452=2035),0.92,IF(AND(A452="Middle East",R452=2050),0.89,IF(AND(A452="Africa",R452=2035),0.93,IF(AND(A452="Africa",R452=2050),0.9,IF(AND(A452="Brazil",R452=2035),0.95,IF(AND(A452="Brazil",R452=2050),0.92,""))))))))))))))))))</f>
        <v>*0.93</v>
      </c>
      <c r="U452" s="32" t="s">
        <v>1326</v>
      </c>
      <c r="V452" s="42" t="s">
        <v>57</v>
      </c>
      <c r="W452" s="32">
        <v>2050</v>
      </c>
      <c r="X452" s="43" t="str">
        <f t="shared" ref="X452:X515" si="61">"*"&amp;IF(AND(A452="EU",W452=2035),0.95,IF(AND(A452="EU",W452=2050),0.93,IF(AND(A452="USA",W452=2035),0.96,IF(AND(A452="USA",W452=2050),0.93,IF(AND(A452="Japan",W452=2035),0.94,IF(AND(A452="Japan",W452=2050),0.92,IF(AND(A452="Russia",W452=2035),0.95,IF(AND(A452="Russia",W452=2050),0.91,IF(AND(A452="China",W452=2035),0.93,IF(AND(A452="China",W452=2050),0.92,IF(AND(A452="India",W452=2035),0.94,IF(AND(A452="India",W452=2050),0.91,IF(AND(A452="Middle East",W452=2035),0.92,IF(AND(A452="Middle East",W452=2050),0.89,IF(AND(A452="Africa",W452=2035),0.93,IF(AND(A452="Africa",W452=2050),0.9,IF(AND(A452="Brazil",W452=2035),0.95,IF(AND(A452="Brazil",W452=2050),0.92,""))))))))))))))))))</f>
        <v>*0.92</v>
      </c>
      <c r="AC452" s="33" t="s">
        <v>1326</v>
      </c>
      <c r="AD452" s="44" t="s">
        <v>57</v>
      </c>
      <c r="AE452" s="33">
        <v>2035</v>
      </c>
      <c r="AF452" s="45" t="str">
        <f t="shared" ref="AF452:AF515" si="62">"*"&amp;IF(AND(A452="EU",AE452=2035),0.93,IF(AND(A452="EU",AE452=2050),0.9,IF(AND(A452="USA",AE452=2035),0.92,IF(AND(A452="USA",AE452=2050),0.89,IF(AND(A452="Japan",AE452=2035),0.92,IF(AND(A452="Japan",AE452=2050),0.89,IF(AND(A452="Russia",AE452=2035),0.91,IF(AND(A452="Russia",AE452=2050),0.86,IF(AND(A452="China",AE452=2035),0.91,IF(AND(A452="China",AE452=2050),0.87,IF(AND(A452="India",AE452=2035),0.92,IF(AND(A452="India",AE452=2050),0.87,IF(AND(A452="Middle East",AE452=2035),0.89,IF(AND(A452="Middle East",AE452=2050),0.84,IF(AND(A452="Africa",AE452=2035),0.9,IF(AND(A452="Africa",AE452=2050),0.86,IF(AND(A452="Brazil",AE452=2035),0.93,IF(AND(A452="Brazil",AE452=2050),0.89,""))))))))))))))))))</f>
        <v>*0.91</v>
      </c>
      <c r="AG452" s="43" t="str">
        <f t="shared" si="56"/>
        <v>REZoning_Sol-Win</v>
      </c>
      <c r="AI452" s="33" t="s">
        <v>1326</v>
      </c>
      <c r="AJ452" s="44" t="s">
        <v>57</v>
      </c>
      <c r="AK452" s="33">
        <v>2050</v>
      </c>
      <c r="AL452" s="45" t="str">
        <f t="shared" ref="AL452:AL515" si="63">"*"&amp;IF(AND(A452="EU",AK452=2035),0.93,IF(AND(A452="EU",AK452=2050),0.9,IF(AND(A452="USA",AK452=2035),0.92,IF(AND(A452="USA",AK452=2050),0.89,IF(AND(A452="Japan",AK452=2035),0.92,IF(AND(A452="Japan",AK452=2050),0.89,IF(AND(A452="Russia",AK452=2035),0.91,IF(AND(A452="Russia",AK452=2050),0.86,IF(AND(A452="China",AK452=2035),0.91,IF(AND(A452="China",AK452=2050),0.87,IF(AND(A452="India",AK452=2035),0.92,IF(AND(A452="India",AK452=2050),0.87,IF(AND(A452="Middle East",AK452=2035),0.89,IF(AND(A452="Middle East",AK452=2050),0.84,IF(AND(A452="Africa",AK452=2035),0.9,IF(AND(A452="Africa",AK452=2050),0.86,IF(AND(A452="Brazil",AK452=2035),0.93,IF(AND(A452="Brazil",AK452=2050),0.89,""))))))))))))))))))</f>
        <v>*0.87</v>
      </c>
      <c r="AM452" s="43" t="str">
        <f t="shared" si="57"/>
        <v>REZoning_Sol-Win</v>
      </c>
      <c r="AP452" t="s">
        <v>1326</v>
      </c>
      <c r="AQ452" t="s">
        <v>57</v>
      </c>
      <c r="AR452">
        <v>2100</v>
      </c>
      <c r="AS452" t="s">
        <v>874</v>
      </c>
      <c r="AT452" t="s">
        <v>58</v>
      </c>
    </row>
    <row r="453" ht="29" spans="1:46">
      <c r="A453" s="31" t="s">
        <v>169</v>
      </c>
      <c r="C453" t="s">
        <v>1327</v>
      </c>
      <c r="D453" s="5" t="s">
        <v>57</v>
      </c>
      <c r="E453">
        <v>2035</v>
      </c>
      <c r="F453" s="6" t="str">
        <f t="shared" si="58"/>
        <v>*0.94</v>
      </c>
      <c r="H453" t="s">
        <v>1327</v>
      </c>
      <c r="I453" s="5" t="s">
        <v>57</v>
      </c>
      <c r="J453">
        <v>2050</v>
      </c>
      <c r="K453" s="38" t="str">
        <f t="shared" si="59"/>
        <v>*0.92</v>
      </c>
      <c r="P453" s="32" t="s">
        <v>1327</v>
      </c>
      <c r="Q453" s="42" t="s">
        <v>57</v>
      </c>
      <c r="R453" s="32">
        <v>2035</v>
      </c>
      <c r="S453" s="43" t="str">
        <f t="shared" si="60"/>
        <v>*0.93</v>
      </c>
      <c r="U453" s="32" t="s">
        <v>1327</v>
      </c>
      <c r="V453" s="42" t="s">
        <v>57</v>
      </c>
      <c r="W453" s="32">
        <v>2050</v>
      </c>
      <c r="X453" s="43" t="str">
        <f t="shared" si="61"/>
        <v>*0.92</v>
      </c>
      <c r="AC453" s="33" t="s">
        <v>1327</v>
      </c>
      <c r="AD453" s="44" t="s">
        <v>57</v>
      </c>
      <c r="AE453" s="33">
        <v>2035</v>
      </c>
      <c r="AF453" s="45" t="str">
        <f t="shared" si="62"/>
        <v>*0.91</v>
      </c>
      <c r="AG453" s="43" t="str">
        <f t="shared" si="56"/>
        <v>REZoning_Sol-Win</v>
      </c>
      <c r="AI453" s="33" t="s">
        <v>1327</v>
      </c>
      <c r="AJ453" s="44" t="s">
        <v>57</v>
      </c>
      <c r="AK453" s="33">
        <v>2050</v>
      </c>
      <c r="AL453" s="45" t="str">
        <f t="shared" si="63"/>
        <v>*0.87</v>
      </c>
      <c r="AM453" s="43" t="str">
        <f t="shared" si="57"/>
        <v>REZoning_Sol-Win</v>
      </c>
      <c r="AP453" t="s">
        <v>1327</v>
      </c>
      <c r="AQ453" t="s">
        <v>57</v>
      </c>
      <c r="AR453">
        <v>2100</v>
      </c>
      <c r="AS453" t="s">
        <v>874</v>
      </c>
      <c r="AT453" t="s">
        <v>58</v>
      </c>
    </row>
    <row r="454" ht="29" spans="1:46">
      <c r="A454" s="31" t="s">
        <v>169</v>
      </c>
      <c r="C454" t="s">
        <v>1328</v>
      </c>
      <c r="D454" s="5" t="s">
        <v>57</v>
      </c>
      <c r="E454">
        <v>2035</v>
      </c>
      <c r="F454" s="6" t="str">
        <f t="shared" si="58"/>
        <v>*0.94</v>
      </c>
      <c r="H454" t="s">
        <v>1328</v>
      </c>
      <c r="I454" s="5" t="s">
        <v>57</v>
      </c>
      <c r="J454">
        <v>2050</v>
      </c>
      <c r="K454" s="38" t="str">
        <f t="shared" si="59"/>
        <v>*0.92</v>
      </c>
      <c r="P454" s="32" t="s">
        <v>1328</v>
      </c>
      <c r="Q454" s="42" t="s">
        <v>57</v>
      </c>
      <c r="R454" s="32">
        <v>2035</v>
      </c>
      <c r="S454" s="43" t="str">
        <f t="shared" si="60"/>
        <v>*0.93</v>
      </c>
      <c r="U454" s="32" t="s">
        <v>1328</v>
      </c>
      <c r="V454" s="42" t="s">
        <v>57</v>
      </c>
      <c r="W454" s="32">
        <v>2050</v>
      </c>
      <c r="X454" s="43" t="str">
        <f t="shared" si="61"/>
        <v>*0.92</v>
      </c>
      <c r="AC454" s="33" t="s">
        <v>1328</v>
      </c>
      <c r="AD454" s="44" t="s">
        <v>57</v>
      </c>
      <c r="AE454" s="33">
        <v>2035</v>
      </c>
      <c r="AF454" s="45" t="str">
        <f t="shared" si="62"/>
        <v>*0.91</v>
      </c>
      <c r="AG454" s="43" t="str">
        <f t="shared" si="56"/>
        <v>REZoning_Sol-Win</v>
      </c>
      <c r="AI454" s="33" t="s">
        <v>1328</v>
      </c>
      <c r="AJ454" s="44" t="s">
        <v>57</v>
      </c>
      <c r="AK454" s="33">
        <v>2050</v>
      </c>
      <c r="AL454" s="45" t="str">
        <f t="shared" si="63"/>
        <v>*0.87</v>
      </c>
      <c r="AM454" s="43" t="str">
        <f t="shared" si="57"/>
        <v>REZoning_Sol-Win</v>
      </c>
      <c r="AP454" t="s">
        <v>1328</v>
      </c>
      <c r="AQ454" t="s">
        <v>57</v>
      </c>
      <c r="AR454">
        <v>2100</v>
      </c>
      <c r="AS454" t="s">
        <v>874</v>
      </c>
      <c r="AT454" t="s">
        <v>58</v>
      </c>
    </row>
    <row r="455" ht="29" spans="1:46">
      <c r="A455" s="31" t="s">
        <v>169</v>
      </c>
      <c r="C455" t="s">
        <v>1329</v>
      </c>
      <c r="D455" s="5" t="s">
        <v>57</v>
      </c>
      <c r="E455">
        <v>2035</v>
      </c>
      <c r="F455" s="6" t="str">
        <f t="shared" si="58"/>
        <v>*0.94</v>
      </c>
      <c r="H455" t="s">
        <v>1329</v>
      </c>
      <c r="I455" s="5" t="s">
        <v>57</v>
      </c>
      <c r="J455">
        <v>2050</v>
      </c>
      <c r="K455" s="38" t="str">
        <f t="shared" si="59"/>
        <v>*0.92</v>
      </c>
      <c r="P455" s="32" t="s">
        <v>1329</v>
      </c>
      <c r="Q455" s="42" t="s">
        <v>57</v>
      </c>
      <c r="R455" s="32">
        <v>2035</v>
      </c>
      <c r="S455" s="43" t="str">
        <f t="shared" si="60"/>
        <v>*0.93</v>
      </c>
      <c r="U455" s="32" t="s">
        <v>1329</v>
      </c>
      <c r="V455" s="42" t="s">
        <v>57</v>
      </c>
      <c r="W455" s="32">
        <v>2050</v>
      </c>
      <c r="X455" s="43" t="str">
        <f t="shared" si="61"/>
        <v>*0.92</v>
      </c>
      <c r="AC455" s="33" t="s">
        <v>1329</v>
      </c>
      <c r="AD455" s="44" t="s">
        <v>57</v>
      </c>
      <c r="AE455" s="33">
        <v>2035</v>
      </c>
      <c r="AF455" s="45" t="str">
        <f t="shared" si="62"/>
        <v>*0.91</v>
      </c>
      <c r="AG455" s="43" t="str">
        <f t="shared" si="56"/>
        <v>REZoning_Sol-Win</v>
      </c>
      <c r="AI455" s="33" t="s">
        <v>1329</v>
      </c>
      <c r="AJ455" s="44" t="s">
        <v>57</v>
      </c>
      <c r="AK455" s="33">
        <v>2050</v>
      </c>
      <c r="AL455" s="45" t="str">
        <f t="shared" si="63"/>
        <v>*0.87</v>
      </c>
      <c r="AM455" s="43" t="str">
        <f t="shared" si="57"/>
        <v>REZoning_Sol-Win</v>
      </c>
      <c r="AP455" t="s">
        <v>1329</v>
      </c>
      <c r="AQ455" t="s">
        <v>57</v>
      </c>
      <c r="AR455">
        <v>2100</v>
      </c>
      <c r="AS455" t="s">
        <v>874</v>
      </c>
      <c r="AT455" t="s">
        <v>58</v>
      </c>
    </row>
    <row r="456" ht="29" spans="1:46">
      <c r="A456" s="31" t="s">
        <v>169</v>
      </c>
      <c r="C456" t="s">
        <v>1330</v>
      </c>
      <c r="D456" s="5" t="s">
        <v>57</v>
      </c>
      <c r="E456">
        <v>2035</v>
      </c>
      <c r="F456" s="6" t="str">
        <f t="shared" si="58"/>
        <v>*0.94</v>
      </c>
      <c r="H456" t="s">
        <v>1330</v>
      </c>
      <c r="I456" s="5" t="s">
        <v>57</v>
      </c>
      <c r="J456">
        <v>2050</v>
      </c>
      <c r="K456" s="38" t="str">
        <f t="shared" si="59"/>
        <v>*0.92</v>
      </c>
      <c r="P456" s="32" t="s">
        <v>1330</v>
      </c>
      <c r="Q456" s="42" t="s">
        <v>57</v>
      </c>
      <c r="R456" s="32">
        <v>2035</v>
      </c>
      <c r="S456" s="43" t="str">
        <f t="shared" si="60"/>
        <v>*0.93</v>
      </c>
      <c r="U456" s="32" t="s">
        <v>1330</v>
      </c>
      <c r="V456" s="42" t="s">
        <v>57</v>
      </c>
      <c r="W456" s="32">
        <v>2050</v>
      </c>
      <c r="X456" s="43" t="str">
        <f t="shared" si="61"/>
        <v>*0.92</v>
      </c>
      <c r="AC456" s="33" t="s">
        <v>1330</v>
      </c>
      <c r="AD456" s="44" t="s">
        <v>57</v>
      </c>
      <c r="AE456" s="33">
        <v>2035</v>
      </c>
      <c r="AF456" s="45" t="str">
        <f t="shared" si="62"/>
        <v>*0.91</v>
      </c>
      <c r="AG456" s="43" t="str">
        <f t="shared" si="56"/>
        <v>REZoning_Sol-Win</v>
      </c>
      <c r="AI456" s="33" t="s">
        <v>1330</v>
      </c>
      <c r="AJ456" s="44" t="s">
        <v>57</v>
      </c>
      <c r="AK456" s="33">
        <v>2050</v>
      </c>
      <c r="AL456" s="45" t="str">
        <f t="shared" si="63"/>
        <v>*0.87</v>
      </c>
      <c r="AM456" s="43" t="str">
        <f t="shared" si="57"/>
        <v>REZoning_Sol-Win</v>
      </c>
      <c r="AP456" t="s">
        <v>1330</v>
      </c>
      <c r="AQ456" t="s">
        <v>57</v>
      </c>
      <c r="AR456">
        <v>2100</v>
      </c>
      <c r="AS456" t="s">
        <v>874</v>
      </c>
      <c r="AT456" t="s">
        <v>58</v>
      </c>
    </row>
    <row r="457" ht="29" spans="1:46">
      <c r="A457" s="31" t="s">
        <v>169</v>
      </c>
      <c r="C457" t="s">
        <v>1331</v>
      </c>
      <c r="D457" s="5" t="s">
        <v>57</v>
      </c>
      <c r="E457">
        <v>2035</v>
      </c>
      <c r="F457" s="6" t="str">
        <f t="shared" si="58"/>
        <v>*0.94</v>
      </c>
      <c r="H457" t="s">
        <v>1331</v>
      </c>
      <c r="I457" s="5" t="s">
        <v>57</v>
      </c>
      <c r="J457">
        <v>2050</v>
      </c>
      <c r="K457" s="38" t="str">
        <f t="shared" si="59"/>
        <v>*0.92</v>
      </c>
      <c r="P457" s="32" t="s">
        <v>1331</v>
      </c>
      <c r="Q457" s="42" t="s">
        <v>57</v>
      </c>
      <c r="R457" s="32">
        <v>2035</v>
      </c>
      <c r="S457" s="43" t="str">
        <f t="shared" si="60"/>
        <v>*0.93</v>
      </c>
      <c r="U457" s="32" t="s">
        <v>1331</v>
      </c>
      <c r="V457" s="42" t="s">
        <v>57</v>
      </c>
      <c r="W457" s="32">
        <v>2050</v>
      </c>
      <c r="X457" s="43" t="str">
        <f t="shared" si="61"/>
        <v>*0.92</v>
      </c>
      <c r="AC457" s="33" t="s">
        <v>1331</v>
      </c>
      <c r="AD457" s="44" t="s">
        <v>57</v>
      </c>
      <c r="AE457" s="33">
        <v>2035</v>
      </c>
      <c r="AF457" s="45" t="str">
        <f t="shared" si="62"/>
        <v>*0.91</v>
      </c>
      <c r="AG457" s="43" t="str">
        <f t="shared" ref="AG457:AG520" si="64">AG456</f>
        <v>REZoning_Sol-Win</v>
      </c>
      <c r="AI457" s="33" t="s">
        <v>1331</v>
      </c>
      <c r="AJ457" s="44" t="s">
        <v>57</v>
      </c>
      <c r="AK457" s="33">
        <v>2050</v>
      </c>
      <c r="AL457" s="45" t="str">
        <f t="shared" si="63"/>
        <v>*0.87</v>
      </c>
      <c r="AM457" s="43" t="str">
        <f t="shared" si="57"/>
        <v>REZoning_Sol-Win</v>
      </c>
      <c r="AP457" t="s">
        <v>1331</v>
      </c>
      <c r="AQ457" t="s">
        <v>57</v>
      </c>
      <c r="AR457">
        <v>2100</v>
      </c>
      <c r="AS457" t="s">
        <v>874</v>
      </c>
      <c r="AT457" t="s">
        <v>58</v>
      </c>
    </row>
    <row r="458" ht="29" spans="1:46">
      <c r="A458" s="31" t="s">
        <v>169</v>
      </c>
      <c r="C458" t="s">
        <v>1332</v>
      </c>
      <c r="D458" s="5" t="s">
        <v>57</v>
      </c>
      <c r="E458">
        <v>2035</v>
      </c>
      <c r="F458" s="6" t="str">
        <f t="shared" si="58"/>
        <v>*0.94</v>
      </c>
      <c r="H458" t="s">
        <v>1332</v>
      </c>
      <c r="I458" s="5" t="s">
        <v>57</v>
      </c>
      <c r="J458">
        <v>2050</v>
      </c>
      <c r="K458" s="38" t="str">
        <f t="shared" si="59"/>
        <v>*0.92</v>
      </c>
      <c r="P458" s="32" t="s">
        <v>1332</v>
      </c>
      <c r="Q458" s="42" t="s">
        <v>57</v>
      </c>
      <c r="R458" s="32">
        <v>2035</v>
      </c>
      <c r="S458" s="43" t="str">
        <f t="shared" si="60"/>
        <v>*0.93</v>
      </c>
      <c r="U458" s="32" t="s">
        <v>1332</v>
      </c>
      <c r="V458" s="42" t="s">
        <v>57</v>
      </c>
      <c r="W458" s="32">
        <v>2050</v>
      </c>
      <c r="X458" s="43" t="str">
        <f t="shared" si="61"/>
        <v>*0.92</v>
      </c>
      <c r="AC458" s="33" t="s">
        <v>1332</v>
      </c>
      <c r="AD458" s="44" t="s">
        <v>57</v>
      </c>
      <c r="AE458" s="33">
        <v>2035</v>
      </c>
      <c r="AF458" s="45" t="str">
        <f t="shared" si="62"/>
        <v>*0.91</v>
      </c>
      <c r="AG458" s="43" t="str">
        <f t="shared" si="64"/>
        <v>REZoning_Sol-Win</v>
      </c>
      <c r="AI458" s="33" t="s">
        <v>1332</v>
      </c>
      <c r="AJ458" s="44" t="s">
        <v>57</v>
      </c>
      <c r="AK458" s="33">
        <v>2050</v>
      </c>
      <c r="AL458" s="45" t="str">
        <f t="shared" si="63"/>
        <v>*0.87</v>
      </c>
      <c r="AM458" s="43" t="str">
        <f t="shared" ref="AM458:AM521" si="65">AM457</f>
        <v>REZoning_Sol-Win</v>
      </c>
      <c r="AP458" t="s">
        <v>1332</v>
      </c>
      <c r="AQ458" t="s">
        <v>57</v>
      </c>
      <c r="AR458">
        <v>2100</v>
      </c>
      <c r="AS458" t="s">
        <v>874</v>
      </c>
      <c r="AT458" t="s">
        <v>58</v>
      </c>
    </row>
    <row r="459" ht="29" spans="1:46">
      <c r="A459" s="31" t="s">
        <v>169</v>
      </c>
      <c r="C459" t="s">
        <v>1333</v>
      </c>
      <c r="D459" s="5" t="s">
        <v>57</v>
      </c>
      <c r="E459">
        <v>2035</v>
      </c>
      <c r="F459" s="6" t="str">
        <f t="shared" si="58"/>
        <v>*0.94</v>
      </c>
      <c r="H459" t="s">
        <v>1333</v>
      </c>
      <c r="I459" s="5" t="s">
        <v>57</v>
      </c>
      <c r="J459">
        <v>2050</v>
      </c>
      <c r="K459" s="38" t="str">
        <f t="shared" si="59"/>
        <v>*0.92</v>
      </c>
      <c r="P459" s="32" t="s">
        <v>1333</v>
      </c>
      <c r="Q459" s="42" t="s">
        <v>57</v>
      </c>
      <c r="R459" s="32">
        <v>2035</v>
      </c>
      <c r="S459" s="43" t="str">
        <f t="shared" si="60"/>
        <v>*0.93</v>
      </c>
      <c r="U459" s="32" t="s">
        <v>1333</v>
      </c>
      <c r="V459" s="42" t="s">
        <v>57</v>
      </c>
      <c r="W459" s="32">
        <v>2050</v>
      </c>
      <c r="X459" s="43" t="str">
        <f t="shared" si="61"/>
        <v>*0.92</v>
      </c>
      <c r="AC459" s="33" t="s">
        <v>1333</v>
      </c>
      <c r="AD459" s="44" t="s">
        <v>57</v>
      </c>
      <c r="AE459" s="33">
        <v>2035</v>
      </c>
      <c r="AF459" s="45" t="str">
        <f t="shared" si="62"/>
        <v>*0.91</v>
      </c>
      <c r="AG459" s="43" t="str">
        <f t="shared" si="64"/>
        <v>REZoning_Sol-Win</v>
      </c>
      <c r="AI459" s="33" t="s">
        <v>1333</v>
      </c>
      <c r="AJ459" s="44" t="s">
        <v>57</v>
      </c>
      <c r="AK459" s="33">
        <v>2050</v>
      </c>
      <c r="AL459" s="45" t="str">
        <f t="shared" si="63"/>
        <v>*0.87</v>
      </c>
      <c r="AM459" s="43" t="str">
        <f t="shared" si="65"/>
        <v>REZoning_Sol-Win</v>
      </c>
      <c r="AP459" t="s">
        <v>1333</v>
      </c>
      <c r="AQ459" t="s">
        <v>57</v>
      </c>
      <c r="AR459">
        <v>2100</v>
      </c>
      <c r="AS459" t="s">
        <v>874</v>
      </c>
      <c r="AT459" t="s">
        <v>58</v>
      </c>
    </row>
    <row r="460" ht="29" spans="1:46">
      <c r="A460" s="31" t="s">
        <v>169</v>
      </c>
      <c r="C460" t="s">
        <v>1334</v>
      </c>
      <c r="D460" s="5" t="s">
        <v>57</v>
      </c>
      <c r="E460">
        <v>2035</v>
      </c>
      <c r="F460" s="6" t="str">
        <f t="shared" si="58"/>
        <v>*0.94</v>
      </c>
      <c r="H460" t="s">
        <v>1334</v>
      </c>
      <c r="I460" s="5" t="s">
        <v>57</v>
      </c>
      <c r="J460">
        <v>2050</v>
      </c>
      <c r="K460" s="38" t="str">
        <f t="shared" si="59"/>
        <v>*0.92</v>
      </c>
      <c r="P460" s="32" t="s">
        <v>1334</v>
      </c>
      <c r="Q460" s="42" t="s">
        <v>57</v>
      </c>
      <c r="R460" s="32">
        <v>2035</v>
      </c>
      <c r="S460" s="43" t="str">
        <f t="shared" si="60"/>
        <v>*0.93</v>
      </c>
      <c r="U460" s="32" t="s">
        <v>1334</v>
      </c>
      <c r="V460" s="42" t="s">
        <v>57</v>
      </c>
      <c r="W460" s="32">
        <v>2050</v>
      </c>
      <c r="X460" s="43" t="str">
        <f t="shared" si="61"/>
        <v>*0.92</v>
      </c>
      <c r="AC460" s="33" t="s">
        <v>1334</v>
      </c>
      <c r="AD460" s="44" t="s">
        <v>57</v>
      </c>
      <c r="AE460" s="33">
        <v>2035</v>
      </c>
      <c r="AF460" s="45" t="str">
        <f t="shared" si="62"/>
        <v>*0.91</v>
      </c>
      <c r="AG460" s="43" t="str">
        <f t="shared" si="64"/>
        <v>REZoning_Sol-Win</v>
      </c>
      <c r="AI460" s="33" t="s">
        <v>1334</v>
      </c>
      <c r="AJ460" s="44" t="s">
        <v>57</v>
      </c>
      <c r="AK460" s="33">
        <v>2050</v>
      </c>
      <c r="AL460" s="45" t="str">
        <f t="shared" si="63"/>
        <v>*0.87</v>
      </c>
      <c r="AM460" s="43" t="str">
        <f t="shared" si="65"/>
        <v>REZoning_Sol-Win</v>
      </c>
      <c r="AP460" t="s">
        <v>1334</v>
      </c>
      <c r="AQ460" t="s">
        <v>57</v>
      </c>
      <c r="AR460">
        <v>2100</v>
      </c>
      <c r="AS460" t="s">
        <v>874</v>
      </c>
      <c r="AT460" t="s">
        <v>58</v>
      </c>
    </row>
    <row r="461" ht="29" spans="1:46">
      <c r="A461" s="31" t="s">
        <v>169</v>
      </c>
      <c r="C461" t="s">
        <v>1335</v>
      </c>
      <c r="D461" s="5" t="s">
        <v>57</v>
      </c>
      <c r="E461">
        <v>2035</v>
      </c>
      <c r="F461" s="6" t="str">
        <f t="shared" si="58"/>
        <v>*0.94</v>
      </c>
      <c r="H461" t="s">
        <v>1335</v>
      </c>
      <c r="I461" s="5" t="s">
        <v>57</v>
      </c>
      <c r="J461">
        <v>2050</v>
      </c>
      <c r="K461" s="38" t="str">
        <f t="shared" si="59"/>
        <v>*0.92</v>
      </c>
      <c r="P461" s="32" t="s">
        <v>1335</v>
      </c>
      <c r="Q461" s="42" t="s">
        <v>57</v>
      </c>
      <c r="R461" s="32">
        <v>2035</v>
      </c>
      <c r="S461" s="43" t="str">
        <f t="shared" si="60"/>
        <v>*0.93</v>
      </c>
      <c r="U461" s="32" t="s">
        <v>1335</v>
      </c>
      <c r="V461" s="42" t="s">
        <v>57</v>
      </c>
      <c r="W461" s="32">
        <v>2050</v>
      </c>
      <c r="X461" s="43" t="str">
        <f t="shared" si="61"/>
        <v>*0.92</v>
      </c>
      <c r="AC461" s="33" t="s">
        <v>1335</v>
      </c>
      <c r="AD461" s="44" t="s">
        <v>57</v>
      </c>
      <c r="AE461" s="33">
        <v>2035</v>
      </c>
      <c r="AF461" s="45" t="str">
        <f t="shared" si="62"/>
        <v>*0.91</v>
      </c>
      <c r="AG461" s="43" t="str">
        <f t="shared" si="64"/>
        <v>REZoning_Sol-Win</v>
      </c>
      <c r="AI461" s="33" t="s">
        <v>1335</v>
      </c>
      <c r="AJ461" s="44" t="s">
        <v>57</v>
      </c>
      <c r="AK461" s="33">
        <v>2050</v>
      </c>
      <c r="AL461" s="45" t="str">
        <f t="shared" si="63"/>
        <v>*0.87</v>
      </c>
      <c r="AM461" s="43" t="str">
        <f t="shared" si="65"/>
        <v>REZoning_Sol-Win</v>
      </c>
      <c r="AP461" t="s">
        <v>1335</v>
      </c>
      <c r="AQ461" t="s">
        <v>57</v>
      </c>
      <c r="AR461">
        <v>2100</v>
      </c>
      <c r="AS461" t="s">
        <v>874</v>
      </c>
      <c r="AT461" t="s">
        <v>58</v>
      </c>
    </row>
    <row r="462" ht="29" spans="1:46">
      <c r="A462" s="31" t="s">
        <v>169</v>
      </c>
      <c r="C462" t="s">
        <v>1336</v>
      </c>
      <c r="D462" s="5" t="s">
        <v>57</v>
      </c>
      <c r="E462">
        <v>2035</v>
      </c>
      <c r="F462" s="6" t="str">
        <f t="shared" si="58"/>
        <v>*0.94</v>
      </c>
      <c r="H462" t="s">
        <v>1336</v>
      </c>
      <c r="I462" s="5" t="s">
        <v>57</v>
      </c>
      <c r="J462">
        <v>2050</v>
      </c>
      <c r="K462" s="38" t="str">
        <f t="shared" si="59"/>
        <v>*0.92</v>
      </c>
      <c r="P462" s="32" t="s">
        <v>1336</v>
      </c>
      <c r="Q462" s="42" t="s">
        <v>57</v>
      </c>
      <c r="R462" s="32">
        <v>2035</v>
      </c>
      <c r="S462" s="43" t="str">
        <f t="shared" si="60"/>
        <v>*0.93</v>
      </c>
      <c r="U462" s="32" t="s">
        <v>1336</v>
      </c>
      <c r="V462" s="42" t="s">
        <v>57</v>
      </c>
      <c r="W462" s="32">
        <v>2050</v>
      </c>
      <c r="X462" s="43" t="str">
        <f t="shared" si="61"/>
        <v>*0.92</v>
      </c>
      <c r="AC462" s="33" t="s">
        <v>1336</v>
      </c>
      <c r="AD462" s="44" t="s">
        <v>57</v>
      </c>
      <c r="AE462" s="33">
        <v>2035</v>
      </c>
      <c r="AF462" s="45" t="str">
        <f t="shared" si="62"/>
        <v>*0.91</v>
      </c>
      <c r="AG462" s="43" t="str">
        <f t="shared" si="64"/>
        <v>REZoning_Sol-Win</v>
      </c>
      <c r="AI462" s="33" t="s">
        <v>1336</v>
      </c>
      <c r="AJ462" s="44" t="s">
        <v>57</v>
      </c>
      <c r="AK462" s="33">
        <v>2050</v>
      </c>
      <c r="AL462" s="45" t="str">
        <f t="shared" si="63"/>
        <v>*0.87</v>
      </c>
      <c r="AM462" s="43" t="str">
        <f t="shared" si="65"/>
        <v>REZoning_Sol-Win</v>
      </c>
      <c r="AP462" t="s">
        <v>1336</v>
      </c>
      <c r="AQ462" t="s">
        <v>57</v>
      </c>
      <c r="AR462">
        <v>2100</v>
      </c>
      <c r="AS462" t="s">
        <v>874</v>
      </c>
      <c r="AT462" t="s">
        <v>58</v>
      </c>
    </row>
    <row r="463" ht="29" spans="1:46">
      <c r="A463" s="31" t="s">
        <v>169</v>
      </c>
      <c r="C463" t="s">
        <v>1337</v>
      </c>
      <c r="D463" s="5" t="s">
        <v>57</v>
      </c>
      <c r="E463">
        <v>2035</v>
      </c>
      <c r="F463" s="6" t="str">
        <f t="shared" si="58"/>
        <v>*0.94</v>
      </c>
      <c r="H463" t="s">
        <v>1337</v>
      </c>
      <c r="I463" s="5" t="s">
        <v>57</v>
      </c>
      <c r="J463">
        <v>2050</v>
      </c>
      <c r="K463" s="38" t="str">
        <f t="shared" si="59"/>
        <v>*0.92</v>
      </c>
      <c r="P463" s="32" t="s">
        <v>1337</v>
      </c>
      <c r="Q463" s="42" t="s">
        <v>57</v>
      </c>
      <c r="R463" s="32">
        <v>2035</v>
      </c>
      <c r="S463" s="43" t="str">
        <f t="shared" si="60"/>
        <v>*0.93</v>
      </c>
      <c r="U463" s="32" t="s">
        <v>1337</v>
      </c>
      <c r="V463" s="42" t="s">
        <v>57</v>
      </c>
      <c r="W463" s="32">
        <v>2050</v>
      </c>
      <c r="X463" s="43" t="str">
        <f t="shared" si="61"/>
        <v>*0.92</v>
      </c>
      <c r="AC463" s="33" t="s">
        <v>1337</v>
      </c>
      <c r="AD463" s="44" t="s">
        <v>57</v>
      </c>
      <c r="AE463" s="33">
        <v>2035</v>
      </c>
      <c r="AF463" s="45" t="str">
        <f t="shared" si="62"/>
        <v>*0.91</v>
      </c>
      <c r="AG463" s="43" t="str">
        <f t="shared" si="64"/>
        <v>REZoning_Sol-Win</v>
      </c>
      <c r="AI463" s="33" t="s">
        <v>1337</v>
      </c>
      <c r="AJ463" s="44" t="s">
        <v>57</v>
      </c>
      <c r="AK463" s="33">
        <v>2050</v>
      </c>
      <c r="AL463" s="45" t="str">
        <f t="shared" si="63"/>
        <v>*0.87</v>
      </c>
      <c r="AM463" s="43" t="str">
        <f t="shared" si="65"/>
        <v>REZoning_Sol-Win</v>
      </c>
      <c r="AP463" t="s">
        <v>1337</v>
      </c>
      <c r="AQ463" t="s">
        <v>57</v>
      </c>
      <c r="AR463">
        <v>2100</v>
      </c>
      <c r="AS463" t="s">
        <v>874</v>
      </c>
      <c r="AT463" t="s">
        <v>58</v>
      </c>
    </row>
    <row r="464" ht="29" spans="1:46">
      <c r="A464" s="31" t="s">
        <v>169</v>
      </c>
      <c r="C464" t="s">
        <v>1338</v>
      </c>
      <c r="D464" s="5" t="s">
        <v>57</v>
      </c>
      <c r="E464">
        <v>2035</v>
      </c>
      <c r="F464" s="6" t="str">
        <f t="shared" si="58"/>
        <v>*0.94</v>
      </c>
      <c r="H464" t="s">
        <v>1338</v>
      </c>
      <c r="I464" s="5" t="s">
        <v>57</v>
      </c>
      <c r="J464">
        <v>2050</v>
      </c>
      <c r="K464" s="38" t="str">
        <f t="shared" si="59"/>
        <v>*0.92</v>
      </c>
      <c r="P464" s="32" t="s">
        <v>1338</v>
      </c>
      <c r="Q464" s="42" t="s">
        <v>57</v>
      </c>
      <c r="R464" s="32">
        <v>2035</v>
      </c>
      <c r="S464" s="43" t="str">
        <f t="shared" si="60"/>
        <v>*0.93</v>
      </c>
      <c r="U464" s="32" t="s">
        <v>1338</v>
      </c>
      <c r="V464" s="42" t="s">
        <v>57</v>
      </c>
      <c r="W464" s="32">
        <v>2050</v>
      </c>
      <c r="X464" s="43" t="str">
        <f t="shared" si="61"/>
        <v>*0.92</v>
      </c>
      <c r="AC464" s="33" t="s">
        <v>1338</v>
      </c>
      <c r="AD464" s="44" t="s">
        <v>57</v>
      </c>
      <c r="AE464" s="33">
        <v>2035</v>
      </c>
      <c r="AF464" s="45" t="str">
        <f t="shared" si="62"/>
        <v>*0.91</v>
      </c>
      <c r="AG464" s="43" t="str">
        <f t="shared" si="64"/>
        <v>REZoning_Sol-Win</v>
      </c>
      <c r="AI464" s="33" t="s">
        <v>1338</v>
      </c>
      <c r="AJ464" s="44" t="s">
        <v>57</v>
      </c>
      <c r="AK464" s="33">
        <v>2050</v>
      </c>
      <c r="AL464" s="45" t="str">
        <f t="shared" si="63"/>
        <v>*0.87</v>
      </c>
      <c r="AM464" s="43" t="str">
        <f t="shared" si="65"/>
        <v>REZoning_Sol-Win</v>
      </c>
      <c r="AP464" t="s">
        <v>1338</v>
      </c>
      <c r="AQ464" t="s">
        <v>57</v>
      </c>
      <c r="AR464">
        <v>2100</v>
      </c>
      <c r="AS464" t="s">
        <v>874</v>
      </c>
      <c r="AT464" t="s">
        <v>58</v>
      </c>
    </row>
    <row r="465" ht="29" spans="1:46">
      <c r="A465" s="31" t="s">
        <v>169</v>
      </c>
      <c r="C465" t="s">
        <v>1339</v>
      </c>
      <c r="D465" s="5" t="s">
        <v>57</v>
      </c>
      <c r="E465">
        <v>2035</v>
      </c>
      <c r="F465" s="6" t="str">
        <f t="shared" si="58"/>
        <v>*0.94</v>
      </c>
      <c r="H465" t="s">
        <v>1339</v>
      </c>
      <c r="I465" s="5" t="s">
        <v>57</v>
      </c>
      <c r="J465">
        <v>2050</v>
      </c>
      <c r="K465" s="38" t="str">
        <f t="shared" si="59"/>
        <v>*0.92</v>
      </c>
      <c r="P465" s="32" t="s">
        <v>1339</v>
      </c>
      <c r="Q465" s="42" t="s">
        <v>57</v>
      </c>
      <c r="R465" s="32">
        <v>2035</v>
      </c>
      <c r="S465" s="43" t="str">
        <f t="shared" si="60"/>
        <v>*0.93</v>
      </c>
      <c r="U465" s="32" t="s">
        <v>1339</v>
      </c>
      <c r="V465" s="42" t="s">
        <v>57</v>
      </c>
      <c r="W465" s="32">
        <v>2050</v>
      </c>
      <c r="X465" s="43" t="str">
        <f t="shared" si="61"/>
        <v>*0.92</v>
      </c>
      <c r="AC465" s="33" t="s">
        <v>1339</v>
      </c>
      <c r="AD465" s="44" t="s">
        <v>57</v>
      </c>
      <c r="AE465" s="33">
        <v>2035</v>
      </c>
      <c r="AF465" s="45" t="str">
        <f t="shared" si="62"/>
        <v>*0.91</v>
      </c>
      <c r="AG465" s="43" t="str">
        <f t="shared" si="64"/>
        <v>REZoning_Sol-Win</v>
      </c>
      <c r="AI465" s="33" t="s">
        <v>1339</v>
      </c>
      <c r="AJ465" s="44" t="s">
        <v>57</v>
      </c>
      <c r="AK465" s="33">
        <v>2050</v>
      </c>
      <c r="AL465" s="45" t="str">
        <f t="shared" si="63"/>
        <v>*0.87</v>
      </c>
      <c r="AM465" s="43" t="str">
        <f t="shared" si="65"/>
        <v>REZoning_Sol-Win</v>
      </c>
      <c r="AP465" t="s">
        <v>1339</v>
      </c>
      <c r="AQ465" t="s">
        <v>57</v>
      </c>
      <c r="AR465">
        <v>2100</v>
      </c>
      <c r="AS465" t="s">
        <v>874</v>
      </c>
      <c r="AT465" t="s">
        <v>58</v>
      </c>
    </row>
    <row r="466" ht="29" spans="1:46">
      <c r="A466" s="31" t="s">
        <v>169</v>
      </c>
      <c r="C466" t="s">
        <v>1340</v>
      </c>
      <c r="D466" s="5" t="s">
        <v>57</v>
      </c>
      <c r="E466">
        <v>2035</v>
      </c>
      <c r="F466" s="6" t="str">
        <f t="shared" si="58"/>
        <v>*0.94</v>
      </c>
      <c r="H466" t="s">
        <v>1340</v>
      </c>
      <c r="I466" s="5" t="s">
        <v>57</v>
      </c>
      <c r="J466">
        <v>2050</v>
      </c>
      <c r="K466" s="38" t="str">
        <f t="shared" si="59"/>
        <v>*0.92</v>
      </c>
      <c r="P466" s="32" t="s">
        <v>1340</v>
      </c>
      <c r="Q466" s="42" t="s">
        <v>57</v>
      </c>
      <c r="R466" s="32">
        <v>2035</v>
      </c>
      <c r="S466" s="43" t="str">
        <f t="shared" si="60"/>
        <v>*0.93</v>
      </c>
      <c r="U466" s="32" t="s">
        <v>1340</v>
      </c>
      <c r="V466" s="42" t="s">
        <v>57</v>
      </c>
      <c r="W466" s="32">
        <v>2050</v>
      </c>
      <c r="X466" s="43" t="str">
        <f t="shared" si="61"/>
        <v>*0.92</v>
      </c>
      <c r="AC466" s="33" t="s">
        <v>1340</v>
      </c>
      <c r="AD466" s="44" t="s">
        <v>57</v>
      </c>
      <c r="AE466" s="33">
        <v>2035</v>
      </c>
      <c r="AF466" s="45" t="str">
        <f t="shared" si="62"/>
        <v>*0.91</v>
      </c>
      <c r="AG466" s="43" t="str">
        <f t="shared" si="64"/>
        <v>REZoning_Sol-Win</v>
      </c>
      <c r="AI466" s="33" t="s">
        <v>1340</v>
      </c>
      <c r="AJ466" s="44" t="s">
        <v>57</v>
      </c>
      <c r="AK466" s="33">
        <v>2050</v>
      </c>
      <c r="AL466" s="45" t="str">
        <f t="shared" si="63"/>
        <v>*0.87</v>
      </c>
      <c r="AM466" s="43" t="str">
        <f t="shared" si="65"/>
        <v>REZoning_Sol-Win</v>
      </c>
      <c r="AP466" t="s">
        <v>1340</v>
      </c>
      <c r="AQ466" t="s">
        <v>57</v>
      </c>
      <c r="AR466">
        <v>2100</v>
      </c>
      <c r="AS466" t="s">
        <v>874</v>
      </c>
      <c r="AT466" t="s">
        <v>58</v>
      </c>
    </row>
    <row r="467" ht="29" spans="1:46">
      <c r="A467" s="31" t="s">
        <v>169</v>
      </c>
      <c r="C467" t="s">
        <v>1341</v>
      </c>
      <c r="D467" s="5" t="s">
        <v>57</v>
      </c>
      <c r="E467">
        <v>2035</v>
      </c>
      <c r="F467" s="6" t="str">
        <f t="shared" si="58"/>
        <v>*0.94</v>
      </c>
      <c r="H467" t="s">
        <v>1341</v>
      </c>
      <c r="I467" s="5" t="s">
        <v>57</v>
      </c>
      <c r="J467">
        <v>2050</v>
      </c>
      <c r="K467" s="38" t="str">
        <f t="shared" si="59"/>
        <v>*0.92</v>
      </c>
      <c r="P467" s="32" t="s">
        <v>1341</v>
      </c>
      <c r="Q467" s="42" t="s">
        <v>57</v>
      </c>
      <c r="R467" s="32">
        <v>2035</v>
      </c>
      <c r="S467" s="43" t="str">
        <f t="shared" si="60"/>
        <v>*0.93</v>
      </c>
      <c r="U467" s="32" t="s">
        <v>1341</v>
      </c>
      <c r="V467" s="42" t="s">
        <v>57</v>
      </c>
      <c r="W467" s="32">
        <v>2050</v>
      </c>
      <c r="X467" s="43" t="str">
        <f t="shared" si="61"/>
        <v>*0.92</v>
      </c>
      <c r="AC467" s="33" t="s">
        <v>1341</v>
      </c>
      <c r="AD467" s="44" t="s">
        <v>57</v>
      </c>
      <c r="AE467" s="33">
        <v>2035</v>
      </c>
      <c r="AF467" s="45" t="str">
        <f t="shared" si="62"/>
        <v>*0.91</v>
      </c>
      <c r="AG467" s="43" t="str">
        <f t="shared" si="64"/>
        <v>REZoning_Sol-Win</v>
      </c>
      <c r="AI467" s="33" t="s">
        <v>1341</v>
      </c>
      <c r="AJ467" s="44" t="s">
        <v>57</v>
      </c>
      <c r="AK467" s="33">
        <v>2050</v>
      </c>
      <c r="AL467" s="45" t="str">
        <f t="shared" si="63"/>
        <v>*0.87</v>
      </c>
      <c r="AM467" s="43" t="str">
        <f t="shared" si="65"/>
        <v>REZoning_Sol-Win</v>
      </c>
      <c r="AP467" t="s">
        <v>1341</v>
      </c>
      <c r="AQ467" t="s">
        <v>57</v>
      </c>
      <c r="AR467">
        <v>2100</v>
      </c>
      <c r="AS467" t="s">
        <v>874</v>
      </c>
      <c r="AT467" t="s">
        <v>58</v>
      </c>
    </row>
    <row r="468" ht="29" spans="1:46">
      <c r="A468" s="31" t="s">
        <v>169</v>
      </c>
      <c r="C468" t="s">
        <v>1342</v>
      </c>
      <c r="D468" s="5" t="s">
        <v>57</v>
      </c>
      <c r="E468">
        <v>2035</v>
      </c>
      <c r="F468" s="6" t="str">
        <f t="shared" si="58"/>
        <v>*0.94</v>
      </c>
      <c r="H468" t="s">
        <v>1342</v>
      </c>
      <c r="I468" s="5" t="s">
        <v>57</v>
      </c>
      <c r="J468">
        <v>2050</v>
      </c>
      <c r="K468" s="38" t="str">
        <f t="shared" si="59"/>
        <v>*0.92</v>
      </c>
      <c r="P468" s="32" t="s">
        <v>1342</v>
      </c>
      <c r="Q468" s="42" t="s">
        <v>57</v>
      </c>
      <c r="R468" s="32">
        <v>2035</v>
      </c>
      <c r="S468" s="43" t="str">
        <f t="shared" si="60"/>
        <v>*0.93</v>
      </c>
      <c r="U468" s="32" t="s">
        <v>1342</v>
      </c>
      <c r="V468" s="42" t="s">
        <v>57</v>
      </c>
      <c r="W468" s="32">
        <v>2050</v>
      </c>
      <c r="X468" s="43" t="str">
        <f t="shared" si="61"/>
        <v>*0.92</v>
      </c>
      <c r="AC468" s="33" t="s">
        <v>1342</v>
      </c>
      <c r="AD468" s="44" t="s">
        <v>57</v>
      </c>
      <c r="AE468" s="33">
        <v>2035</v>
      </c>
      <c r="AF468" s="45" t="str">
        <f t="shared" si="62"/>
        <v>*0.91</v>
      </c>
      <c r="AG468" s="43" t="str">
        <f t="shared" si="64"/>
        <v>REZoning_Sol-Win</v>
      </c>
      <c r="AI468" s="33" t="s">
        <v>1342</v>
      </c>
      <c r="AJ468" s="44" t="s">
        <v>57</v>
      </c>
      <c r="AK468" s="33">
        <v>2050</v>
      </c>
      <c r="AL468" s="45" t="str">
        <f t="shared" si="63"/>
        <v>*0.87</v>
      </c>
      <c r="AM468" s="43" t="str">
        <f t="shared" si="65"/>
        <v>REZoning_Sol-Win</v>
      </c>
      <c r="AP468" t="s">
        <v>1342</v>
      </c>
      <c r="AQ468" t="s">
        <v>57</v>
      </c>
      <c r="AR468">
        <v>2100</v>
      </c>
      <c r="AS468" t="s">
        <v>874</v>
      </c>
      <c r="AT468" t="s">
        <v>58</v>
      </c>
    </row>
    <row r="469" ht="29" spans="1:46">
      <c r="A469" s="31" t="s">
        <v>169</v>
      </c>
      <c r="C469" t="s">
        <v>1343</v>
      </c>
      <c r="D469" s="5" t="s">
        <v>57</v>
      </c>
      <c r="E469">
        <v>2035</v>
      </c>
      <c r="F469" s="6" t="str">
        <f t="shared" si="58"/>
        <v>*0.94</v>
      </c>
      <c r="H469" t="s">
        <v>1343</v>
      </c>
      <c r="I469" s="5" t="s">
        <v>57</v>
      </c>
      <c r="J469">
        <v>2050</v>
      </c>
      <c r="K469" s="38" t="str">
        <f t="shared" si="59"/>
        <v>*0.92</v>
      </c>
      <c r="P469" s="32" t="s">
        <v>1343</v>
      </c>
      <c r="Q469" s="42" t="s">
        <v>57</v>
      </c>
      <c r="R469" s="32">
        <v>2035</v>
      </c>
      <c r="S469" s="43" t="str">
        <f t="shared" si="60"/>
        <v>*0.93</v>
      </c>
      <c r="U469" s="32" t="s">
        <v>1343</v>
      </c>
      <c r="V469" s="42" t="s">
        <v>57</v>
      </c>
      <c r="W469" s="32">
        <v>2050</v>
      </c>
      <c r="X469" s="43" t="str">
        <f t="shared" si="61"/>
        <v>*0.92</v>
      </c>
      <c r="AC469" s="33" t="s">
        <v>1343</v>
      </c>
      <c r="AD469" s="44" t="s">
        <v>57</v>
      </c>
      <c r="AE469" s="33">
        <v>2035</v>
      </c>
      <c r="AF469" s="45" t="str">
        <f t="shared" si="62"/>
        <v>*0.91</v>
      </c>
      <c r="AG469" s="43" t="str">
        <f t="shared" si="64"/>
        <v>REZoning_Sol-Win</v>
      </c>
      <c r="AI469" s="33" t="s">
        <v>1343</v>
      </c>
      <c r="AJ469" s="44" t="s">
        <v>57</v>
      </c>
      <c r="AK469" s="33">
        <v>2050</v>
      </c>
      <c r="AL469" s="45" t="str">
        <f t="shared" si="63"/>
        <v>*0.87</v>
      </c>
      <c r="AM469" s="43" t="str">
        <f t="shared" si="65"/>
        <v>REZoning_Sol-Win</v>
      </c>
      <c r="AP469" t="s">
        <v>1343</v>
      </c>
      <c r="AQ469" t="s">
        <v>57</v>
      </c>
      <c r="AR469">
        <v>2100</v>
      </c>
      <c r="AS469" t="s">
        <v>874</v>
      </c>
      <c r="AT469" t="s">
        <v>58</v>
      </c>
    </row>
    <row r="470" ht="29" spans="1:46">
      <c r="A470" s="31" t="s">
        <v>169</v>
      </c>
      <c r="C470" t="s">
        <v>1344</v>
      </c>
      <c r="D470" s="5" t="s">
        <v>57</v>
      </c>
      <c r="E470">
        <v>2035</v>
      </c>
      <c r="F470" s="6" t="str">
        <f t="shared" si="58"/>
        <v>*0.94</v>
      </c>
      <c r="H470" t="s">
        <v>1344</v>
      </c>
      <c r="I470" s="5" t="s">
        <v>57</v>
      </c>
      <c r="J470">
        <v>2050</v>
      </c>
      <c r="K470" s="38" t="str">
        <f t="shared" si="59"/>
        <v>*0.92</v>
      </c>
      <c r="P470" s="32" t="s">
        <v>1344</v>
      </c>
      <c r="Q470" s="42" t="s">
        <v>57</v>
      </c>
      <c r="R470" s="32">
        <v>2035</v>
      </c>
      <c r="S470" s="43" t="str">
        <f t="shared" si="60"/>
        <v>*0.93</v>
      </c>
      <c r="U470" s="32" t="s">
        <v>1344</v>
      </c>
      <c r="V470" s="42" t="s">
        <v>57</v>
      </c>
      <c r="W470" s="32">
        <v>2050</v>
      </c>
      <c r="X470" s="43" t="str">
        <f t="shared" si="61"/>
        <v>*0.92</v>
      </c>
      <c r="AC470" s="33" t="s">
        <v>1344</v>
      </c>
      <c r="AD470" s="44" t="s">
        <v>57</v>
      </c>
      <c r="AE470" s="33">
        <v>2035</v>
      </c>
      <c r="AF470" s="45" t="str">
        <f t="shared" si="62"/>
        <v>*0.91</v>
      </c>
      <c r="AG470" s="43" t="str">
        <f t="shared" si="64"/>
        <v>REZoning_Sol-Win</v>
      </c>
      <c r="AI470" s="33" t="s">
        <v>1344</v>
      </c>
      <c r="AJ470" s="44" t="s">
        <v>57</v>
      </c>
      <c r="AK470" s="33">
        <v>2050</v>
      </c>
      <c r="AL470" s="45" t="str">
        <f t="shared" si="63"/>
        <v>*0.87</v>
      </c>
      <c r="AM470" s="43" t="str">
        <f t="shared" si="65"/>
        <v>REZoning_Sol-Win</v>
      </c>
      <c r="AP470" t="s">
        <v>1344</v>
      </c>
      <c r="AQ470" t="s">
        <v>57</v>
      </c>
      <c r="AR470">
        <v>2100</v>
      </c>
      <c r="AS470" t="s">
        <v>874</v>
      </c>
      <c r="AT470" t="s">
        <v>58</v>
      </c>
    </row>
    <row r="471" ht="29" spans="1:46">
      <c r="A471" s="31" t="s">
        <v>169</v>
      </c>
      <c r="C471" t="s">
        <v>1345</v>
      </c>
      <c r="D471" s="5" t="s">
        <v>57</v>
      </c>
      <c r="E471">
        <v>2035</v>
      </c>
      <c r="F471" s="6" t="str">
        <f t="shared" si="58"/>
        <v>*0.94</v>
      </c>
      <c r="H471" t="s">
        <v>1345</v>
      </c>
      <c r="I471" s="5" t="s">
        <v>57</v>
      </c>
      <c r="J471">
        <v>2050</v>
      </c>
      <c r="K471" s="38" t="str">
        <f t="shared" si="59"/>
        <v>*0.92</v>
      </c>
      <c r="P471" s="32" t="s">
        <v>1345</v>
      </c>
      <c r="Q471" s="42" t="s">
        <v>57</v>
      </c>
      <c r="R471" s="32">
        <v>2035</v>
      </c>
      <c r="S471" s="43" t="str">
        <f t="shared" si="60"/>
        <v>*0.93</v>
      </c>
      <c r="U471" s="32" t="s">
        <v>1345</v>
      </c>
      <c r="V471" s="42" t="s">
        <v>57</v>
      </c>
      <c r="W471" s="32">
        <v>2050</v>
      </c>
      <c r="X471" s="43" t="str">
        <f t="shared" si="61"/>
        <v>*0.92</v>
      </c>
      <c r="AC471" s="33" t="s">
        <v>1345</v>
      </c>
      <c r="AD471" s="44" t="s">
        <v>57</v>
      </c>
      <c r="AE471" s="33">
        <v>2035</v>
      </c>
      <c r="AF471" s="45" t="str">
        <f t="shared" si="62"/>
        <v>*0.91</v>
      </c>
      <c r="AG471" s="43" t="str">
        <f t="shared" si="64"/>
        <v>REZoning_Sol-Win</v>
      </c>
      <c r="AI471" s="33" t="s">
        <v>1345</v>
      </c>
      <c r="AJ471" s="44" t="s">
        <v>57</v>
      </c>
      <c r="AK471" s="33">
        <v>2050</v>
      </c>
      <c r="AL471" s="45" t="str">
        <f t="shared" si="63"/>
        <v>*0.87</v>
      </c>
      <c r="AM471" s="43" t="str">
        <f t="shared" si="65"/>
        <v>REZoning_Sol-Win</v>
      </c>
      <c r="AP471" t="s">
        <v>1345</v>
      </c>
      <c r="AQ471" t="s">
        <v>57</v>
      </c>
      <c r="AR471">
        <v>2100</v>
      </c>
      <c r="AS471" t="s">
        <v>874</v>
      </c>
      <c r="AT471" t="s">
        <v>58</v>
      </c>
    </row>
    <row r="472" ht="29" spans="1:46">
      <c r="A472" s="31" t="s">
        <v>169</v>
      </c>
      <c r="C472" t="s">
        <v>1346</v>
      </c>
      <c r="D472" s="5" t="s">
        <v>57</v>
      </c>
      <c r="E472">
        <v>2035</v>
      </c>
      <c r="F472" s="6" t="str">
        <f t="shared" si="58"/>
        <v>*0.94</v>
      </c>
      <c r="H472" t="s">
        <v>1346</v>
      </c>
      <c r="I472" s="5" t="s">
        <v>57</v>
      </c>
      <c r="J472">
        <v>2050</v>
      </c>
      <c r="K472" s="38" t="str">
        <f t="shared" si="59"/>
        <v>*0.92</v>
      </c>
      <c r="P472" s="32" t="s">
        <v>1346</v>
      </c>
      <c r="Q472" s="42" t="s">
        <v>57</v>
      </c>
      <c r="R472" s="32">
        <v>2035</v>
      </c>
      <c r="S472" s="43" t="str">
        <f t="shared" si="60"/>
        <v>*0.93</v>
      </c>
      <c r="U472" s="32" t="s">
        <v>1346</v>
      </c>
      <c r="V472" s="42" t="s">
        <v>57</v>
      </c>
      <c r="W472" s="32">
        <v>2050</v>
      </c>
      <c r="X472" s="43" t="str">
        <f t="shared" si="61"/>
        <v>*0.92</v>
      </c>
      <c r="AC472" s="33" t="s">
        <v>1346</v>
      </c>
      <c r="AD472" s="44" t="s">
        <v>57</v>
      </c>
      <c r="AE472" s="33">
        <v>2035</v>
      </c>
      <c r="AF472" s="45" t="str">
        <f t="shared" si="62"/>
        <v>*0.91</v>
      </c>
      <c r="AG472" s="43" t="str">
        <f t="shared" si="64"/>
        <v>REZoning_Sol-Win</v>
      </c>
      <c r="AI472" s="33" t="s">
        <v>1346</v>
      </c>
      <c r="AJ472" s="44" t="s">
        <v>57</v>
      </c>
      <c r="AK472" s="33">
        <v>2050</v>
      </c>
      <c r="AL472" s="45" t="str">
        <f t="shared" si="63"/>
        <v>*0.87</v>
      </c>
      <c r="AM472" s="43" t="str">
        <f t="shared" si="65"/>
        <v>REZoning_Sol-Win</v>
      </c>
      <c r="AP472" t="s">
        <v>1346</v>
      </c>
      <c r="AQ472" t="s">
        <v>57</v>
      </c>
      <c r="AR472">
        <v>2100</v>
      </c>
      <c r="AS472" t="s">
        <v>874</v>
      </c>
      <c r="AT472" t="s">
        <v>58</v>
      </c>
    </row>
    <row r="473" ht="29" spans="1:46">
      <c r="A473" s="31" t="s">
        <v>169</v>
      </c>
      <c r="C473" t="s">
        <v>1347</v>
      </c>
      <c r="D473" s="5" t="s">
        <v>57</v>
      </c>
      <c r="E473">
        <v>2035</v>
      </c>
      <c r="F473" s="6" t="str">
        <f t="shared" si="58"/>
        <v>*0.94</v>
      </c>
      <c r="H473" t="s">
        <v>1347</v>
      </c>
      <c r="I473" s="5" t="s">
        <v>57</v>
      </c>
      <c r="J473">
        <v>2050</v>
      </c>
      <c r="K473" s="38" t="str">
        <f t="shared" si="59"/>
        <v>*0.92</v>
      </c>
      <c r="P473" s="32" t="s">
        <v>1347</v>
      </c>
      <c r="Q473" s="42" t="s">
        <v>57</v>
      </c>
      <c r="R473" s="32">
        <v>2035</v>
      </c>
      <c r="S473" s="43" t="str">
        <f t="shared" si="60"/>
        <v>*0.93</v>
      </c>
      <c r="U473" s="32" t="s">
        <v>1347</v>
      </c>
      <c r="V473" s="42" t="s">
        <v>57</v>
      </c>
      <c r="W473" s="32">
        <v>2050</v>
      </c>
      <c r="X473" s="43" t="str">
        <f t="shared" si="61"/>
        <v>*0.92</v>
      </c>
      <c r="AC473" s="33" t="s">
        <v>1347</v>
      </c>
      <c r="AD473" s="44" t="s">
        <v>57</v>
      </c>
      <c r="AE473" s="33">
        <v>2035</v>
      </c>
      <c r="AF473" s="45" t="str">
        <f t="shared" si="62"/>
        <v>*0.91</v>
      </c>
      <c r="AG473" s="43" t="str">
        <f t="shared" si="64"/>
        <v>REZoning_Sol-Win</v>
      </c>
      <c r="AI473" s="33" t="s">
        <v>1347</v>
      </c>
      <c r="AJ473" s="44" t="s">
        <v>57</v>
      </c>
      <c r="AK473" s="33">
        <v>2050</v>
      </c>
      <c r="AL473" s="45" t="str">
        <f t="shared" si="63"/>
        <v>*0.87</v>
      </c>
      <c r="AM473" s="43" t="str">
        <f t="shared" si="65"/>
        <v>REZoning_Sol-Win</v>
      </c>
      <c r="AP473" t="s">
        <v>1347</v>
      </c>
      <c r="AQ473" t="s">
        <v>57</v>
      </c>
      <c r="AR473">
        <v>2100</v>
      </c>
      <c r="AS473" t="s">
        <v>874</v>
      </c>
      <c r="AT473" t="s">
        <v>58</v>
      </c>
    </row>
    <row r="474" ht="29" spans="1:46">
      <c r="A474" s="31" t="s">
        <v>169</v>
      </c>
      <c r="C474" t="s">
        <v>1348</v>
      </c>
      <c r="D474" s="5" t="s">
        <v>57</v>
      </c>
      <c r="E474">
        <v>2035</v>
      </c>
      <c r="F474" s="6" t="str">
        <f t="shared" si="58"/>
        <v>*0.94</v>
      </c>
      <c r="H474" t="s">
        <v>1348</v>
      </c>
      <c r="I474" s="5" t="s">
        <v>57</v>
      </c>
      <c r="J474">
        <v>2050</v>
      </c>
      <c r="K474" s="38" t="str">
        <f t="shared" si="59"/>
        <v>*0.92</v>
      </c>
      <c r="P474" s="32" t="s">
        <v>1348</v>
      </c>
      <c r="Q474" s="42" t="s">
        <v>57</v>
      </c>
      <c r="R474" s="32">
        <v>2035</v>
      </c>
      <c r="S474" s="43" t="str">
        <f t="shared" si="60"/>
        <v>*0.93</v>
      </c>
      <c r="U474" s="32" t="s">
        <v>1348</v>
      </c>
      <c r="V474" s="42" t="s">
        <v>57</v>
      </c>
      <c r="W474" s="32">
        <v>2050</v>
      </c>
      <c r="X474" s="43" t="str">
        <f t="shared" si="61"/>
        <v>*0.92</v>
      </c>
      <c r="AC474" s="33" t="s">
        <v>1348</v>
      </c>
      <c r="AD474" s="44" t="s">
        <v>57</v>
      </c>
      <c r="AE474" s="33">
        <v>2035</v>
      </c>
      <c r="AF474" s="45" t="str">
        <f t="shared" si="62"/>
        <v>*0.91</v>
      </c>
      <c r="AG474" s="43" t="str">
        <f t="shared" si="64"/>
        <v>REZoning_Sol-Win</v>
      </c>
      <c r="AI474" s="33" t="s">
        <v>1348</v>
      </c>
      <c r="AJ474" s="44" t="s">
        <v>57</v>
      </c>
      <c r="AK474" s="33">
        <v>2050</v>
      </c>
      <c r="AL474" s="45" t="str">
        <f t="shared" si="63"/>
        <v>*0.87</v>
      </c>
      <c r="AM474" s="43" t="str">
        <f t="shared" si="65"/>
        <v>REZoning_Sol-Win</v>
      </c>
      <c r="AP474" t="s">
        <v>1348</v>
      </c>
      <c r="AQ474" t="s">
        <v>57</v>
      </c>
      <c r="AR474">
        <v>2100</v>
      </c>
      <c r="AS474" t="s">
        <v>874</v>
      </c>
      <c r="AT474" t="s">
        <v>58</v>
      </c>
    </row>
    <row r="475" ht="29" spans="1:46">
      <c r="A475" s="31" t="s">
        <v>169</v>
      </c>
      <c r="C475" t="s">
        <v>1349</v>
      </c>
      <c r="D475" s="5" t="s">
        <v>57</v>
      </c>
      <c r="E475">
        <v>2035</v>
      </c>
      <c r="F475" s="6" t="str">
        <f t="shared" si="58"/>
        <v>*0.94</v>
      </c>
      <c r="H475" t="s">
        <v>1349</v>
      </c>
      <c r="I475" s="5" t="s">
        <v>57</v>
      </c>
      <c r="J475">
        <v>2050</v>
      </c>
      <c r="K475" s="38" t="str">
        <f t="shared" si="59"/>
        <v>*0.92</v>
      </c>
      <c r="P475" s="32" t="s">
        <v>1349</v>
      </c>
      <c r="Q475" s="42" t="s">
        <v>57</v>
      </c>
      <c r="R475" s="32">
        <v>2035</v>
      </c>
      <c r="S475" s="43" t="str">
        <f t="shared" si="60"/>
        <v>*0.93</v>
      </c>
      <c r="U475" s="32" t="s">
        <v>1349</v>
      </c>
      <c r="V475" s="42" t="s">
        <v>57</v>
      </c>
      <c r="W475" s="32">
        <v>2050</v>
      </c>
      <c r="X475" s="43" t="str">
        <f t="shared" si="61"/>
        <v>*0.92</v>
      </c>
      <c r="AC475" s="33" t="s">
        <v>1349</v>
      </c>
      <c r="AD475" s="44" t="s">
        <v>57</v>
      </c>
      <c r="AE475" s="33">
        <v>2035</v>
      </c>
      <c r="AF475" s="45" t="str">
        <f t="shared" si="62"/>
        <v>*0.91</v>
      </c>
      <c r="AG475" s="43" t="str">
        <f t="shared" si="64"/>
        <v>REZoning_Sol-Win</v>
      </c>
      <c r="AI475" s="33" t="s">
        <v>1349</v>
      </c>
      <c r="AJ475" s="44" t="s">
        <v>57</v>
      </c>
      <c r="AK475" s="33">
        <v>2050</v>
      </c>
      <c r="AL475" s="45" t="str">
        <f t="shared" si="63"/>
        <v>*0.87</v>
      </c>
      <c r="AM475" s="43" t="str">
        <f t="shared" si="65"/>
        <v>REZoning_Sol-Win</v>
      </c>
      <c r="AP475" t="s">
        <v>1349</v>
      </c>
      <c r="AQ475" t="s">
        <v>57</v>
      </c>
      <c r="AR475">
        <v>2100</v>
      </c>
      <c r="AS475" t="s">
        <v>874</v>
      </c>
      <c r="AT475" t="s">
        <v>58</v>
      </c>
    </row>
    <row r="476" ht="29" spans="1:46">
      <c r="A476" s="31" t="s">
        <v>169</v>
      </c>
      <c r="C476" t="s">
        <v>1350</v>
      </c>
      <c r="D476" s="5" t="s">
        <v>57</v>
      </c>
      <c r="E476">
        <v>2035</v>
      </c>
      <c r="F476" s="6" t="str">
        <f t="shared" si="58"/>
        <v>*0.94</v>
      </c>
      <c r="H476" t="s">
        <v>1350</v>
      </c>
      <c r="I476" s="5" t="s">
        <v>57</v>
      </c>
      <c r="J476">
        <v>2050</v>
      </c>
      <c r="K476" s="38" t="str">
        <f t="shared" si="59"/>
        <v>*0.92</v>
      </c>
      <c r="P476" s="32" t="s">
        <v>1350</v>
      </c>
      <c r="Q476" s="42" t="s">
        <v>57</v>
      </c>
      <c r="R476" s="32">
        <v>2035</v>
      </c>
      <c r="S476" s="43" t="str">
        <f t="shared" si="60"/>
        <v>*0.93</v>
      </c>
      <c r="U476" s="32" t="s">
        <v>1350</v>
      </c>
      <c r="V476" s="42" t="s">
        <v>57</v>
      </c>
      <c r="W476" s="32">
        <v>2050</v>
      </c>
      <c r="X476" s="43" t="str">
        <f t="shared" si="61"/>
        <v>*0.92</v>
      </c>
      <c r="AC476" s="33" t="s">
        <v>1350</v>
      </c>
      <c r="AD476" s="44" t="s">
        <v>57</v>
      </c>
      <c r="AE476" s="33">
        <v>2035</v>
      </c>
      <c r="AF476" s="45" t="str">
        <f t="shared" si="62"/>
        <v>*0.91</v>
      </c>
      <c r="AG476" s="43" t="str">
        <f t="shared" si="64"/>
        <v>REZoning_Sol-Win</v>
      </c>
      <c r="AI476" s="33" t="s">
        <v>1350</v>
      </c>
      <c r="AJ476" s="44" t="s">
        <v>57</v>
      </c>
      <c r="AK476" s="33">
        <v>2050</v>
      </c>
      <c r="AL476" s="45" t="str">
        <f t="shared" si="63"/>
        <v>*0.87</v>
      </c>
      <c r="AM476" s="43" t="str">
        <f t="shared" si="65"/>
        <v>REZoning_Sol-Win</v>
      </c>
      <c r="AP476" t="s">
        <v>1350</v>
      </c>
      <c r="AQ476" t="s">
        <v>57</v>
      </c>
      <c r="AR476">
        <v>2100</v>
      </c>
      <c r="AS476" t="s">
        <v>874</v>
      </c>
      <c r="AT476" t="s">
        <v>58</v>
      </c>
    </row>
    <row r="477" ht="29" spans="1:46">
      <c r="A477" s="31" t="s">
        <v>169</v>
      </c>
      <c r="C477" t="s">
        <v>1351</v>
      </c>
      <c r="D477" s="5" t="s">
        <v>57</v>
      </c>
      <c r="E477">
        <v>2035</v>
      </c>
      <c r="F477" s="6" t="str">
        <f t="shared" si="58"/>
        <v>*0.94</v>
      </c>
      <c r="H477" t="s">
        <v>1351</v>
      </c>
      <c r="I477" s="5" t="s">
        <v>57</v>
      </c>
      <c r="J477">
        <v>2050</v>
      </c>
      <c r="K477" s="38" t="str">
        <f t="shared" si="59"/>
        <v>*0.92</v>
      </c>
      <c r="P477" s="32" t="s">
        <v>1351</v>
      </c>
      <c r="Q477" s="42" t="s">
        <v>57</v>
      </c>
      <c r="R477" s="32">
        <v>2035</v>
      </c>
      <c r="S477" s="43" t="str">
        <f t="shared" si="60"/>
        <v>*0.93</v>
      </c>
      <c r="U477" s="32" t="s">
        <v>1351</v>
      </c>
      <c r="V477" s="42" t="s">
        <v>57</v>
      </c>
      <c r="W477" s="32">
        <v>2050</v>
      </c>
      <c r="X477" s="43" t="str">
        <f t="shared" si="61"/>
        <v>*0.92</v>
      </c>
      <c r="AC477" s="33" t="s">
        <v>1351</v>
      </c>
      <c r="AD477" s="44" t="s">
        <v>57</v>
      </c>
      <c r="AE477" s="33">
        <v>2035</v>
      </c>
      <c r="AF477" s="45" t="str">
        <f t="shared" si="62"/>
        <v>*0.91</v>
      </c>
      <c r="AG477" s="43" t="str">
        <f t="shared" si="64"/>
        <v>REZoning_Sol-Win</v>
      </c>
      <c r="AI477" s="33" t="s">
        <v>1351</v>
      </c>
      <c r="AJ477" s="44" t="s">
        <v>57</v>
      </c>
      <c r="AK477" s="33">
        <v>2050</v>
      </c>
      <c r="AL477" s="45" t="str">
        <f t="shared" si="63"/>
        <v>*0.87</v>
      </c>
      <c r="AM477" s="43" t="str">
        <f t="shared" si="65"/>
        <v>REZoning_Sol-Win</v>
      </c>
      <c r="AP477" t="s">
        <v>1351</v>
      </c>
      <c r="AQ477" t="s">
        <v>57</v>
      </c>
      <c r="AR477">
        <v>2100</v>
      </c>
      <c r="AS477" t="s">
        <v>874</v>
      </c>
      <c r="AT477" t="s">
        <v>58</v>
      </c>
    </row>
    <row r="478" ht="29" spans="1:46">
      <c r="A478" s="31" t="s">
        <v>169</v>
      </c>
      <c r="C478" t="s">
        <v>1352</v>
      </c>
      <c r="D478" s="5" t="s">
        <v>57</v>
      </c>
      <c r="E478">
        <v>2035</v>
      </c>
      <c r="F478" s="6" t="str">
        <f t="shared" si="58"/>
        <v>*0.94</v>
      </c>
      <c r="H478" t="s">
        <v>1352</v>
      </c>
      <c r="I478" s="5" t="s">
        <v>57</v>
      </c>
      <c r="J478">
        <v>2050</v>
      </c>
      <c r="K478" s="38" t="str">
        <f t="shared" si="59"/>
        <v>*0.92</v>
      </c>
      <c r="P478" s="32" t="s">
        <v>1352</v>
      </c>
      <c r="Q478" s="42" t="s">
        <v>57</v>
      </c>
      <c r="R478" s="32">
        <v>2035</v>
      </c>
      <c r="S478" s="43" t="str">
        <f t="shared" si="60"/>
        <v>*0.93</v>
      </c>
      <c r="U478" s="32" t="s">
        <v>1352</v>
      </c>
      <c r="V478" s="42" t="s">
        <v>57</v>
      </c>
      <c r="W478" s="32">
        <v>2050</v>
      </c>
      <c r="X478" s="43" t="str">
        <f t="shared" si="61"/>
        <v>*0.92</v>
      </c>
      <c r="AC478" s="33" t="s">
        <v>1352</v>
      </c>
      <c r="AD478" s="44" t="s">
        <v>57</v>
      </c>
      <c r="AE478" s="33">
        <v>2035</v>
      </c>
      <c r="AF478" s="45" t="str">
        <f t="shared" si="62"/>
        <v>*0.91</v>
      </c>
      <c r="AG478" s="43" t="str">
        <f t="shared" si="64"/>
        <v>REZoning_Sol-Win</v>
      </c>
      <c r="AI478" s="33" t="s">
        <v>1352</v>
      </c>
      <c r="AJ478" s="44" t="s">
        <v>57</v>
      </c>
      <c r="AK478" s="33">
        <v>2050</v>
      </c>
      <c r="AL478" s="45" t="str">
        <f t="shared" si="63"/>
        <v>*0.87</v>
      </c>
      <c r="AM478" s="43" t="str">
        <f t="shared" si="65"/>
        <v>REZoning_Sol-Win</v>
      </c>
      <c r="AP478" t="s">
        <v>1352</v>
      </c>
      <c r="AQ478" t="s">
        <v>57</v>
      </c>
      <c r="AR478">
        <v>2100</v>
      </c>
      <c r="AS478" t="s">
        <v>874</v>
      </c>
      <c r="AT478" t="s">
        <v>58</v>
      </c>
    </row>
    <row r="479" ht="29" spans="1:46">
      <c r="A479" s="31" t="s">
        <v>169</v>
      </c>
      <c r="C479" t="s">
        <v>1353</v>
      </c>
      <c r="D479" s="5" t="s">
        <v>57</v>
      </c>
      <c r="E479">
        <v>2035</v>
      </c>
      <c r="F479" s="6" t="str">
        <f t="shared" si="58"/>
        <v>*0.94</v>
      </c>
      <c r="H479" t="s">
        <v>1353</v>
      </c>
      <c r="I479" s="5" t="s">
        <v>57</v>
      </c>
      <c r="J479">
        <v>2050</v>
      </c>
      <c r="K479" s="38" t="str">
        <f t="shared" si="59"/>
        <v>*0.92</v>
      </c>
      <c r="P479" s="32" t="s">
        <v>1353</v>
      </c>
      <c r="Q479" s="42" t="s">
        <v>57</v>
      </c>
      <c r="R479" s="32">
        <v>2035</v>
      </c>
      <c r="S479" s="43" t="str">
        <f t="shared" si="60"/>
        <v>*0.93</v>
      </c>
      <c r="U479" s="32" t="s">
        <v>1353</v>
      </c>
      <c r="V479" s="42" t="s">
        <v>57</v>
      </c>
      <c r="W479" s="32">
        <v>2050</v>
      </c>
      <c r="X479" s="43" t="str">
        <f t="shared" si="61"/>
        <v>*0.92</v>
      </c>
      <c r="AC479" s="33" t="s">
        <v>1353</v>
      </c>
      <c r="AD479" s="44" t="s">
        <v>57</v>
      </c>
      <c r="AE479" s="33">
        <v>2035</v>
      </c>
      <c r="AF479" s="45" t="str">
        <f t="shared" si="62"/>
        <v>*0.91</v>
      </c>
      <c r="AG479" s="43" t="str">
        <f t="shared" si="64"/>
        <v>REZoning_Sol-Win</v>
      </c>
      <c r="AI479" s="33" t="s">
        <v>1353</v>
      </c>
      <c r="AJ479" s="44" t="s">
        <v>57</v>
      </c>
      <c r="AK479" s="33">
        <v>2050</v>
      </c>
      <c r="AL479" s="45" t="str">
        <f t="shared" si="63"/>
        <v>*0.87</v>
      </c>
      <c r="AM479" s="43" t="str">
        <f t="shared" si="65"/>
        <v>REZoning_Sol-Win</v>
      </c>
      <c r="AP479" t="s">
        <v>1353</v>
      </c>
      <c r="AQ479" t="s">
        <v>57</v>
      </c>
      <c r="AR479">
        <v>2100</v>
      </c>
      <c r="AS479" t="s">
        <v>874</v>
      </c>
      <c r="AT479" t="s">
        <v>58</v>
      </c>
    </row>
    <row r="480" ht="29" spans="1:46">
      <c r="A480" s="31" t="s">
        <v>169</v>
      </c>
      <c r="C480" t="s">
        <v>1354</v>
      </c>
      <c r="D480" s="5" t="s">
        <v>57</v>
      </c>
      <c r="E480">
        <v>2035</v>
      </c>
      <c r="F480" s="6" t="str">
        <f t="shared" si="58"/>
        <v>*0.94</v>
      </c>
      <c r="H480" t="s">
        <v>1354</v>
      </c>
      <c r="I480" s="5" t="s">
        <v>57</v>
      </c>
      <c r="J480">
        <v>2050</v>
      </c>
      <c r="K480" s="38" t="str">
        <f t="shared" si="59"/>
        <v>*0.92</v>
      </c>
      <c r="P480" s="32" t="s">
        <v>1354</v>
      </c>
      <c r="Q480" s="42" t="s">
        <v>57</v>
      </c>
      <c r="R480" s="32">
        <v>2035</v>
      </c>
      <c r="S480" s="43" t="str">
        <f t="shared" si="60"/>
        <v>*0.93</v>
      </c>
      <c r="U480" s="32" t="s">
        <v>1354</v>
      </c>
      <c r="V480" s="42" t="s">
        <v>57</v>
      </c>
      <c r="W480" s="32">
        <v>2050</v>
      </c>
      <c r="X480" s="43" t="str">
        <f t="shared" si="61"/>
        <v>*0.92</v>
      </c>
      <c r="AC480" s="33" t="s">
        <v>1354</v>
      </c>
      <c r="AD480" s="44" t="s">
        <v>57</v>
      </c>
      <c r="AE480" s="33">
        <v>2035</v>
      </c>
      <c r="AF480" s="45" t="str">
        <f t="shared" si="62"/>
        <v>*0.91</v>
      </c>
      <c r="AG480" s="43" t="str">
        <f t="shared" si="64"/>
        <v>REZoning_Sol-Win</v>
      </c>
      <c r="AI480" s="33" t="s">
        <v>1354</v>
      </c>
      <c r="AJ480" s="44" t="s">
        <v>57</v>
      </c>
      <c r="AK480" s="33">
        <v>2050</v>
      </c>
      <c r="AL480" s="45" t="str">
        <f t="shared" si="63"/>
        <v>*0.87</v>
      </c>
      <c r="AM480" s="43" t="str">
        <f t="shared" si="65"/>
        <v>REZoning_Sol-Win</v>
      </c>
      <c r="AP480" t="s">
        <v>1354</v>
      </c>
      <c r="AQ480" t="s">
        <v>57</v>
      </c>
      <c r="AR480">
        <v>2100</v>
      </c>
      <c r="AS480" t="s">
        <v>874</v>
      </c>
      <c r="AT480" t="s">
        <v>58</v>
      </c>
    </row>
    <row r="481" ht="29" spans="1:46">
      <c r="A481" s="31" t="s">
        <v>169</v>
      </c>
      <c r="C481" t="s">
        <v>1355</v>
      </c>
      <c r="D481" s="5" t="s">
        <v>57</v>
      </c>
      <c r="E481">
        <v>2035</v>
      </c>
      <c r="F481" s="6" t="str">
        <f t="shared" si="58"/>
        <v>*0.94</v>
      </c>
      <c r="H481" t="s">
        <v>1355</v>
      </c>
      <c r="I481" s="5" t="s">
        <v>57</v>
      </c>
      <c r="J481">
        <v>2050</v>
      </c>
      <c r="K481" s="38" t="str">
        <f t="shared" si="59"/>
        <v>*0.92</v>
      </c>
      <c r="P481" s="32" t="s">
        <v>1355</v>
      </c>
      <c r="Q481" s="42" t="s">
        <v>57</v>
      </c>
      <c r="R481" s="32">
        <v>2035</v>
      </c>
      <c r="S481" s="43" t="str">
        <f t="shared" si="60"/>
        <v>*0.93</v>
      </c>
      <c r="U481" s="32" t="s">
        <v>1355</v>
      </c>
      <c r="V481" s="42" t="s">
        <v>57</v>
      </c>
      <c r="W481" s="32">
        <v>2050</v>
      </c>
      <c r="X481" s="43" t="str">
        <f t="shared" si="61"/>
        <v>*0.92</v>
      </c>
      <c r="AC481" s="33" t="s">
        <v>1355</v>
      </c>
      <c r="AD481" s="44" t="s">
        <v>57</v>
      </c>
      <c r="AE481" s="33">
        <v>2035</v>
      </c>
      <c r="AF481" s="45" t="str">
        <f t="shared" si="62"/>
        <v>*0.91</v>
      </c>
      <c r="AG481" s="43" t="str">
        <f t="shared" si="64"/>
        <v>REZoning_Sol-Win</v>
      </c>
      <c r="AI481" s="33" t="s">
        <v>1355</v>
      </c>
      <c r="AJ481" s="44" t="s">
        <v>57</v>
      </c>
      <c r="AK481" s="33">
        <v>2050</v>
      </c>
      <c r="AL481" s="45" t="str">
        <f t="shared" si="63"/>
        <v>*0.87</v>
      </c>
      <c r="AM481" s="43" t="str">
        <f t="shared" si="65"/>
        <v>REZoning_Sol-Win</v>
      </c>
      <c r="AP481" t="s">
        <v>1355</v>
      </c>
      <c r="AQ481" t="s">
        <v>57</v>
      </c>
      <c r="AR481">
        <v>2100</v>
      </c>
      <c r="AS481" t="s">
        <v>874</v>
      </c>
      <c r="AT481" t="s">
        <v>58</v>
      </c>
    </row>
    <row r="482" ht="29" spans="1:46">
      <c r="A482" s="31" t="s">
        <v>169</v>
      </c>
      <c r="C482" t="s">
        <v>1356</v>
      </c>
      <c r="D482" s="5" t="s">
        <v>57</v>
      </c>
      <c r="E482">
        <v>2035</v>
      </c>
      <c r="F482" s="6" t="str">
        <f t="shared" si="58"/>
        <v>*0.94</v>
      </c>
      <c r="H482" t="s">
        <v>1356</v>
      </c>
      <c r="I482" s="5" t="s">
        <v>57</v>
      </c>
      <c r="J482">
        <v>2050</v>
      </c>
      <c r="K482" s="38" t="str">
        <f t="shared" si="59"/>
        <v>*0.92</v>
      </c>
      <c r="P482" s="32" t="s">
        <v>1356</v>
      </c>
      <c r="Q482" s="42" t="s">
        <v>57</v>
      </c>
      <c r="R482" s="32">
        <v>2035</v>
      </c>
      <c r="S482" s="43" t="str">
        <f t="shared" si="60"/>
        <v>*0.93</v>
      </c>
      <c r="U482" s="32" t="s">
        <v>1356</v>
      </c>
      <c r="V482" s="42" t="s">
        <v>57</v>
      </c>
      <c r="W482" s="32">
        <v>2050</v>
      </c>
      <c r="X482" s="43" t="str">
        <f t="shared" si="61"/>
        <v>*0.92</v>
      </c>
      <c r="AC482" s="33" t="s">
        <v>1356</v>
      </c>
      <c r="AD482" s="44" t="s">
        <v>57</v>
      </c>
      <c r="AE482" s="33">
        <v>2035</v>
      </c>
      <c r="AF482" s="45" t="str">
        <f t="shared" si="62"/>
        <v>*0.91</v>
      </c>
      <c r="AG482" s="43" t="str">
        <f t="shared" si="64"/>
        <v>REZoning_Sol-Win</v>
      </c>
      <c r="AI482" s="33" t="s">
        <v>1356</v>
      </c>
      <c r="AJ482" s="44" t="s">
        <v>57</v>
      </c>
      <c r="AK482" s="33">
        <v>2050</v>
      </c>
      <c r="AL482" s="45" t="str">
        <f t="shared" si="63"/>
        <v>*0.87</v>
      </c>
      <c r="AM482" s="43" t="str">
        <f t="shared" si="65"/>
        <v>REZoning_Sol-Win</v>
      </c>
      <c r="AP482" t="s">
        <v>1356</v>
      </c>
      <c r="AQ482" t="s">
        <v>57</v>
      </c>
      <c r="AR482">
        <v>2100</v>
      </c>
      <c r="AS482" t="s">
        <v>874</v>
      </c>
      <c r="AT482" t="s">
        <v>58</v>
      </c>
    </row>
    <row r="483" ht="29" spans="1:46">
      <c r="A483" s="31" t="s">
        <v>169</v>
      </c>
      <c r="C483" t="s">
        <v>1357</v>
      </c>
      <c r="D483" s="5" t="s">
        <v>57</v>
      </c>
      <c r="E483">
        <v>2035</v>
      </c>
      <c r="F483" s="6" t="str">
        <f t="shared" si="58"/>
        <v>*0.94</v>
      </c>
      <c r="H483" t="s">
        <v>1357</v>
      </c>
      <c r="I483" s="5" t="s">
        <v>57</v>
      </c>
      <c r="J483">
        <v>2050</v>
      </c>
      <c r="K483" s="38" t="str">
        <f t="shared" si="59"/>
        <v>*0.92</v>
      </c>
      <c r="P483" s="32" t="s">
        <v>1357</v>
      </c>
      <c r="Q483" s="42" t="s">
        <v>57</v>
      </c>
      <c r="R483" s="32">
        <v>2035</v>
      </c>
      <c r="S483" s="43" t="str">
        <f t="shared" si="60"/>
        <v>*0.93</v>
      </c>
      <c r="U483" s="32" t="s">
        <v>1357</v>
      </c>
      <c r="V483" s="42" t="s">
        <v>57</v>
      </c>
      <c r="W483" s="32">
        <v>2050</v>
      </c>
      <c r="X483" s="43" t="str">
        <f t="shared" si="61"/>
        <v>*0.92</v>
      </c>
      <c r="AC483" s="33" t="s">
        <v>1357</v>
      </c>
      <c r="AD483" s="44" t="s">
        <v>57</v>
      </c>
      <c r="AE483" s="33">
        <v>2035</v>
      </c>
      <c r="AF483" s="45" t="str">
        <f t="shared" si="62"/>
        <v>*0.91</v>
      </c>
      <c r="AG483" s="43" t="str">
        <f t="shared" si="64"/>
        <v>REZoning_Sol-Win</v>
      </c>
      <c r="AI483" s="33" t="s">
        <v>1357</v>
      </c>
      <c r="AJ483" s="44" t="s">
        <v>57</v>
      </c>
      <c r="AK483" s="33">
        <v>2050</v>
      </c>
      <c r="AL483" s="45" t="str">
        <f t="shared" si="63"/>
        <v>*0.87</v>
      </c>
      <c r="AM483" s="43" t="str">
        <f t="shared" si="65"/>
        <v>REZoning_Sol-Win</v>
      </c>
      <c r="AP483" t="s">
        <v>1357</v>
      </c>
      <c r="AQ483" t="s">
        <v>57</v>
      </c>
      <c r="AR483">
        <v>2100</v>
      </c>
      <c r="AS483" t="s">
        <v>874</v>
      </c>
      <c r="AT483" t="s">
        <v>58</v>
      </c>
    </row>
    <row r="484" ht="29" spans="1:46">
      <c r="A484" s="31" t="s">
        <v>169</v>
      </c>
      <c r="C484" t="s">
        <v>1358</v>
      </c>
      <c r="D484" s="5" t="s">
        <v>57</v>
      </c>
      <c r="E484">
        <v>2035</v>
      </c>
      <c r="F484" s="6" t="str">
        <f t="shared" si="58"/>
        <v>*0.94</v>
      </c>
      <c r="H484" t="s">
        <v>1358</v>
      </c>
      <c r="I484" s="5" t="s">
        <v>57</v>
      </c>
      <c r="J484">
        <v>2050</v>
      </c>
      <c r="K484" s="38" t="str">
        <f t="shared" si="59"/>
        <v>*0.92</v>
      </c>
      <c r="P484" s="32" t="s">
        <v>1358</v>
      </c>
      <c r="Q484" s="42" t="s">
        <v>57</v>
      </c>
      <c r="R484" s="32">
        <v>2035</v>
      </c>
      <c r="S484" s="43" t="str">
        <f t="shared" si="60"/>
        <v>*0.93</v>
      </c>
      <c r="U484" s="32" t="s">
        <v>1358</v>
      </c>
      <c r="V484" s="42" t="s">
        <v>57</v>
      </c>
      <c r="W484" s="32">
        <v>2050</v>
      </c>
      <c r="X484" s="43" t="str">
        <f t="shared" si="61"/>
        <v>*0.92</v>
      </c>
      <c r="AC484" s="33" t="s">
        <v>1358</v>
      </c>
      <c r="AD484" s="44" t="s">
        <v>57</v>
      </c>
      <c r="AE484" s="33">
        <v>2035</v>
      </c>
      <c r="AF484" s="45" t="str">
        <f t="shared" si="62"/>
        <v>*0.91</v>
      </c>
      <c r="AG484" s="43" t="str">
        <f t="shared" si="64"/>
        <v>REZoning_Sol-Win</v>
      </c>
      <c r="AI484" s="33" t="s">
        <v>1358</v>
      </c>
      <c r="AJ484" s="44" t="s">
        <v>57</v>
      </c>
      <c r="AK484" s="33">
        <v>2050</v>
      </c>
      <c r="AL484" s="45" t="str">
        <f t="shared" si="63"/>
        <v>*0.87</v>
      </c>
      <c r="AM484" s="43" t="str">
        <f t="shared" si="65"/>
        <v>REZoning_Sol-Win</v>
      </c>
      <c r="AP484" t="s">
        <v>1358</v>
      </c>
      <c r="AQ484" t="s">
        <v>57</v>
      </c>
      <c r="AR484">
        <v>2100</v>
      </c>
      <c r="AS484" t="s">
        <v>874</v>
      </c>
      <c r="AT484" t="s">
        <v>58</v>
      </c>
    </row>
    <row r="485" ht="29" spans="1:46">
      <c r="A485" s="31" t="s">
        <v>169</v>
      </c>
      <c r="C485" t="s">
        <v>1359</v>
      </c>
      <c r="D485" s="5" t="s">
        <v>57</v>
      </c>
      <c r="E485">
        <v>2035</v>
      </c>
      <c r="F485" s="6" t="str">
        <f t="shared" si="58"/>
        <v>*0.94</v>
      </c>
      <c r="H485" t="s">
        <v>1359</v>
      </c>
      <c r="I485" s="5" t="s">
        <v>57</v>
      </c>
      <c r="J485">
        <v>2050</v>
      </c>
      <c r="K485" s="38" t="str">
        <f t="shared" si="59"/>
        <v>*0.92</v>
      </c>
      <c r="P485" s="32" t="s">
        <v>1359</v>
      </c>
      <c r="Q485" s="42" t="s">
        <v>57</v>
      </c>
      <c r="R485" s="32">
        <v>2035</v>
      </c>
      <c r="S485" s="43" t="str">
        <f t="shared" si="60"/>
        <v>*0.93</v>
      </c>
      <c r="U485" s="32" t="s">
        <v>1359</v>
      </c>
      <c r="V485" s="42" t="s">
        <v>57</v>
      </c>
      <c r="W485" s="32">
        <v>2050</v>
      </c>
      <c r="X485" s="43" t="str">
        <f t="shared" si="61"/>
        <v>*0.92</v>
      </c>
      <c r="AC485" s="33" t="s">
        <v>1359</v>
      </c>
      <c r="AD485" s="44" t="s">
        <v>57</v>
      </c>
      <c r="AE485" s="33">
        <v>2035</v>
      </c>
      <c r="AF485" s="45" t="str">
        <f t="shared" si="62"/>
        <v>*0.91</v>
      </c>
      <c r="AG485" s="43" t="str">
        <f t="shared" si="64"/>
        <v>REZoning_Sol-Win</v>
      </c>
      <c r="AI485" s="33" t="s">
        <v>1359</v>
      </c>
      <c r="AJ485" s="44" t="s">
        <v>57</v>
      </c>
      <c r="AK485" s="33">
        <v>2050</v>
      </c>
      <c r="AL485" s="45" t="str">
        <f t="shared" si="63"/>
        <v>*0.87</v>
      </c>
      <c r="AM485" s="43" t="str">
        <f t="shared" si="65"/>
        <v>REZoning_Sol-Win</v>
      </c>
      <c r="AP485" t="s">
        <v>1359</v>
      </c>
      <c r="AQ485" t="s">
        <v>57</v>
      </c>
      <c r="AR485">
        <v>2100</v>
      </c>
      <c r="AS485" t="s">
        <v>874</v>
      </c>
      <c r="AT485" t="s">
        <v>58</v>
      </c>
    </row>
    <row r="486" ht="29" spans="1:46">
      <c r="A486" s="31" t="s">
        <v>169</v>
      </c>
      <c r="C486" t="s">
        <v>1360</v>
      </c>
      <c r="D486" s="5" t="s">
        <v>57</v>
      </c>
      <c r="E486">
        <v>2035</v>
      </c>
      <c r="F486" s="6" t="str">
        <f t="shared" si="58"/>
        <v>*0.94</v>
      </c>
      <c r="H486" t="s">
        <v>1360</v>
      </c>
      <c r="I486" s="5" t="s">
        <v>57</v>
      </c>
      <c r="J486">
        <v>2050</v>
      </c>
      <c r="K486" s="38" t="str">
        <f t="shared" si="59"/>
        <v>*0.92</v>
      </c>
      <c r="P486" s="32" t="s">
        <v>1360</v>
      </c>
      <c r="Q486" s="42" t="s">
        <v>57</v>
      </c>
      <c r="R486" s="32">
        <v>2035</v>
      </c>
      <c r="S486" s="43" t="str">
        <f t="shared" si="60"/>
        <v>*0.93</v>
      </c>
      <c r="U486" s="32" t="s">
        <v>1360</v>
      </c>
      <c r="V486" s="42" t="s">
        <v>57</v>
      </c>
      <c r="W486" s="32">
        <v>2050</v>
      </c>
      <c r="X486" s="43" t="str">
        <f t="shared" si="61"/>
        <v>*0.92</v>
      </c>
      <c r="AC486" s="33" t="s">
        <v>1360</v>
      </c>
      <c r="AD486" s="44" t="s">
        <v>57</v>
      </c>
      <c r="AE486" s="33">
        <v>2035</v>
      </c>
      <c r="AF486" s="45" t="str">
        <f t="shared" si="62"/>
        <v>*0.91</v>
      </c>
      <c r="AG486" s="43" t="str">
        <f t="shared" si="64"/>
        <v>REZoning_Sol-Win</v>
      </c>
      <c r="AI486" s="33" t="s">
        <v>1360</v>
      </c>
      <c r="AJ486" s="44" t="s">
        <v>57</v>
      </c>
      <c r="AK486" s="33">
        <v>2050</v>
      </c>
      <c r="AL486" s="45" t="str">
        <f t="shared" si="63"/>
        <v>*0.87</v>
      </c>
      <c r="AM486" s="43" t="str">
        <f t="shared" si="65"/>
        <v>REZoning_Sol-Win</v>
      </c>
      <c r="AP486" t="s">
        <v>1360</v>
      </c>
      <c r="AQ486" t="s">
        <v>57</v>
      </c>
      <c r="AR486">
        <v>2100</v>
      </c>
      <c r="AS486" t="s">
        <v>874</v>
      </c>
      <c r="AT486" t="s">
        <v>58</v>
      </c>
    </row>
    <row r="487" ht="29" spans="1:46">
      <c r="A487" s="31" t="s">
        <v>169</v>
      </c>
      <c r="C487" t="s">
        <v>1361</v>
      </c>
      <c r="D487" s="5" t="s">
        <v>57</v>
      </c>
      <c r="E487">
        <v>2035</v>
      </c>
      <c r="F487" s="6" t="str">
        <f t="shared" si="58"/>
        <v>*0.94</v>
      </c>
      <c r="H487" t="s">
        <v>1361</v>
      </c>
      <c r="I487" s="5" t="s">
        <v>57</v>
      </c>
      <c r="J487">
        <v>2050</v>
      </c>
      <c r="K487" s="38" t="str">
        <f t="shared" si="59"/>
        <v>*0.92</v>
      </c>
      <c r="P487" s="32" t="s">
        <v>1361</v>
      </c>
      <c r="Q487" s="42" t="s">
        <v>57</v>
      </c>
      <c r="R487" s="32">
        <v>2035</v>
      </c>
      <c r="S487" s="43" t="str">
        <f t="shared" si="60"/>
        <v>*0.93</v>
      </c>
      <c r="U487" s="32" t="s">
        <v>1361</v>
      </c>
      <c r="V487" s="42" t="s">
        <v>57</v>
      </c>
      <c r="W487" s="32">
        <v>2050</v>
      </c>
      <c r="X487" s="43" t="str">
        <f t="shared" si="61"/>
        <v>*0.92</v>
      </c>
      <c r="AC487" s="33" t="s">
        <v>1361</v>
      </c>
      <c r="AD487" s="44" t="s">
        <v>57</v>
      </c>
      <c r="AE487" s="33">
        <v>2035</v>
      </c>
      <c r="AF487" s="45" t="str">
        <f t="shared" si="62"/>
        <v>*0.91</v>
      </c>
      <c r="AG487" s="43" t="str">
        <f t="shared" si="64"/>
        <v>REZoning_Sol-Win</v>
      </c>
      <c r="AI487" s="33" t="s">
        <v>1361</v>
      </c>
      <c r="AJ487" s="44" t="s">
        <v>57</v>
      </c>
      <c r="AK487" s="33">
        <v>2050</v>
      </c>
      <c r="AL487" s="45" t="str">
        <f t="shared" si="63"/>
        <v>*0.87</v>
      </c>
      <c r="AM487" s="43" t="str">
        <f t="shared" si="65"/>
        <v>REZoning_Sol-Win</v>
      </c>
      <c r="AP487" t="s">
        <v>1361</v>
      </c>
      <c r="AQ487" t="s">
        <v>57</v>
      </c>
      <c r="AR487">
        <v>2100</v>
      </c>
      <c r="AS487" t="s">
        <v>874</v>
      </c>
      <c r="AT487" t="s">
        <v>58</v>
      </c>
    </row>
    <row r="488" ht="29" spans="1:46">
      <c r="A488" s="31" t="s">
        <v>169</v>
      </c>
      <c r="C488" t="s">
        <v>1362</v>
      </c>
      <c r="D488" s="5" t="s">
        <v>57</v>
      </c>
      <c r="E488">
        <v>2035</v>
      </c>
      <c r="F488" s="6" t="str">
        <f t="shared" si="58"/>
        <v>*0.94</v>
      </c>
      <c r="H488" t="s">
        <v>1362</v>
      </c>
      <c r="I488" s="5" t="s">
        <v>57</v>
      </c>
      <c r="J488">
        <v>2050</v>
      </c>
      <c r="K488" s="38" t="str">
        <f t="shared" si="59"/>
        <v>*0.92</v>
      </c>
      <c r="P488" s="32" t="s">
        <v>1362</v>
      </c>
      <c r="Q488" s="42" t="s">
        <v>57</v>
      </c>
      <c r="R488" s="32">
        <v>2035</v>
      </c>
      <c r="S488" s="43" t="str">
        <f t="shared" si="60"/>
        <v>*0.93</v>
      </c>
      <c r="U488" s="32" t="s">
        <v>1362</v>
      </c>
      <c r="V488" s="42" t="s">
        <v>57</v>
      </c>
      <c r="W488" s="32">
        <v>2050</v>
      </c>
      <c r="X488" s="43" t="str">
        <f t="shared" si="61"/>
        <v>*0.92</v>
      </c>
      <c r="AC488" s="33" t="s">
        <v>1362</v>
      </c>
      <c r="AD488" s="44" t="s">
        <v>57</v>
      </c>
      <c r="AE488" s="33">
        <v>2035</v>
      </c>
      <c r="AF488" s="45" t="str">
        <f t="shared" si="62"/>
        <v>*0.91</v>
      </c>
      <c r="AG488" s="43" t="str">
        <f t="shared" si="64"/>
        <v>REZoning_Sol-Win</v>
      </c>
      <c r="AI488" s="33" t="s">
        <v>1362</v>
      </c>
      <c r="AJ488" s="44" t="s">
        <v>57</v>
      </c>
      <c r="AK488" s="33">
        <v>2050</v>
      </c>
      <c r="AL488" s="45" t="str">
        <f t="shared" si="63"/>
        <v>*0.87</v>
      </c>
      <c r="AM488" s="43" t="str">
        <f t="shared" si="65"/>
        <v>REZoning_Sol-Win</v>
      </c>
      <c r="AP488" t="s">
        <v>1362</v>
      </c>
      <c r="AQ488" t="s">
        <v>57</v>
      </c>
      <c r="AR488">
        <v>2100</v>
      </c>
      <c r="AS488" t="s">
        <v>874</v>
      </c>
      <c r="AT488" t="s">
        <v>58</v>
      </c>
    </row>
    <row r="489" ht="29" spans="1:46">
      <c r="A489" s="31" t="s">
        <v>169</v>
      </c>
      <c r="C489" t="s">
        <v>1363</v>
      </c>
      <c r="D489" s="5" t="s">
        <v>57</v>
      </c>
      <c r="E489">
        <v>2035</v>
      </c>
      <c r="F489" s="6" t="str">
        <f t="shared" si="58"/>
        <v>*0.94</v>
      </c>
      <c r="H489" t="s">
        <v>1363</v>
      </c>
      <c r="I489" s="5" t="s">
        <v>57</v>
      </c>
      <c r="J489">
        <v>2050</v>
      </c>
      <c r="K489" s="38" t="str">
        <f t="shared" si="59"/>
        <v>*0.92</v>
      </c>
      <c r="P489" s="32" t="s">
        <v>1363</v>
      </c>
      <c r="Q489" s="42" t="s">
        <v>57</v>
      </c>
      <c r="R489" s="32">
        <v>2035</v>
      </c>
      <c r="S489" s="43" t="str">
        <f t="shared" si="60"/>
        <v>*0.93</v>
      </c>
      <c r="U489" s="32" t="s">
        <v>1363</v>
      </c>
      <c r="V489" s="42" t="s">
        <v>57</v>
      </c>
      <c r="W489" s="32">
        <v>2050</v>
      </c>
      <c r="X489" s="43" t="str">
        <f t="shared" si="61"/>
        <v>*0.92</v>
      </c>
      <c r="AC489" s="33" t="s">
        <v>1363</v>
      </c>
      <c r="AD489" s="44" t="s">
        <v>57</v>
      </c>
      <c r="AE489" s="33">
        <v>2035</v>
      </c>
      <c r="AF489" s="45" t="str">
        <f t="shared" si="62"/>
        <v>*0.91</v>
      </c>
      <c r="AG489" s="43" t="str">
        <f t="shared" si="64"/>
        <v>REZoning_Sol-Win</v>
      </c>
      <c r="AI489" s="33" t="s">
        <v>1363</v>
      </c>
      <c r="AJ489" s="44" t="s">
        <v>57</v>
      </c>
      <c r="AK489" s="33">
        <v>2050</v>
      </c>
      <c r="AL489" s="45" t="str">
        <f t="shared" si="63"/>
        <v>*0.87</v>
      </c>
      <c r="AM489" s="43" t="str">
        <f t="shared" si="65"/>
        <v>REZoning_Sol-Win</v>
      </c>
      <c r="AP489" t="s">
        <v>1363</v>
      </c>
      <c r="AQ489" t="s">
        <v>57</v>
      </c>
      <c r="AR489">
        <v>2100</v>
      </c>
      <c r="AS489" t="s">
        <v>874</v>
      </c>
      <c r="AT489" t="s">
        <v>58</v>
      </c>
    </row>
    <row r="490" ht="29" spans="1:46">
      <c r="A490" s="31" t="s">
        <v>169</v>
      </c>
      <c r="C490" t="s">
        <v>1364</v>
      </c>
      <c r="D490" s="5" t="s">
        <v>57</v>
      </c>
      <c r="E490">
        <v>2035</v>
      </c>
      <c r="F490" s="6" t="str">
        <f t="shared" si="58"/>
        <v>*0.94</v>
      </c>
      <c r="H490" t="s">
        <v>1364</v>
      </c>
      <c r="I490" s="5" t="s">
        <v>57</v>
      </c>
      <c r="J490">
        <v>2050</v>
      </c>
      <c r="K490" s="38" t="str">
        <f t="shared" si="59"/>
        <v>*0.92</v>
      </c>
      <c r="P490" s="32" t="s">
        <v>1364</v>
      </c>
      <c r="Q490" s="42" t="s">
        <v>57</v>
      </c>
      <c r="R490" s="32">
        <v>2035</v>
      </c>
      <c r="S490" s="43" t="str">
        <f t="shared" si="60"/>
        <v>*0.93</v>
      </c>
      <c r="U490" s="32" t="s">
        <v>1364</v>
      </c>
      <c r="V490" s="42" t="s">
        <v>57</v>
      </c>
      <c r="W490" s="32">
        <v>2050</v>
      </c>
      <c r="X490" s="43" t="str">
        <f t="shared" si="61"/>
        <v>*0.92</v>
      </c>
      <c r="AC490" s="33" t="s">
        <v>1364</v>
      </c>
      <c r="AD490" s="44" t="s">
        <v>57</v>
      </c>
      <c r="AE490" s="33">
        <v>2035</v>
      </c>
      <c r="AF490" s="45" t="str">
        <f t="shared" si="62"/>
        <v>*0.91</v>
      </c>
      <c r="AG490" s="43" t="str">
        <f t="shared" si="64"/>
        <v>REZoning_Sol-Win</v>
      </c>
      <c r="AI490" s="33" t="s">
        <v>1364</v>
      </c>
      <c r="AJ490" s="44" t="s">
        <v>57</v>
      </c>
      <c r="AK490" s="33">
        <v>2050</v>
      </c>
      <c r="AL490" s="45" t="str">
        <f t="shared" si="63"/>
        <v>*0.87</v>
      </c>
      <c r="AM490" s="43" t="str">
        <f t="shared" si="65"/>
        <v>REZoning_Sol-Win</v>
      </c>
      <c r="AP490" t="s">
        <v>1364</v>
      </c>
      <c r="AQ490" t="s">
        <v>57</v>
      </c>
      <c r="AR490">
        <v>2100</v>
      </c>
      <c r="AS490" t="s">
        <v>874</v>
      </c>
      <c r="AT490" t="s">
        <v>58</v>
      </c>
    </row>
    <row r="491" ht="29" spans="1:46">
      <c r="A491" s="31" t="s">
        <v>169</v>
      </c>
      <c r="C491" t="s">
        <v>1365</v>
      </c>
      <c r="D491" s="5" t="s">
        <v>57</v>
      </c>
      <c r="E491">
        <v>2035</v>
      </c>
      <c r="F491" s="6" t="str">
        <f t="shared" si="58"/>
        <v>*0.94</v>
      </c>
      <c r="H491" t="s">
        <v>1365</v>
      </c>
      <c r="I491" s="5" t="s">
        <v>57</v>
      </c>
      <c r="J491">
        <v>2050</v>
      </c>
      <c r="K491" s="38" t="str">
        <f t="shared" si="59"/>
        <v>*0.92</v>
      </c>
      <c r="P491" s="32" t="s">
        <v>1365</v>
      </c>
      <c r="Q491" s="42" t="s">
        <v>57</v>
      </c>
      <c r="R491" s="32">
        <v>2035</v>
      </c>
      <c r="S491" s="43" t="str">
        <f t="shared" si="60"/>
        <v>*0.93</v>
      </c>
      <c r="U491" s="32" t="s">
        <v>1365</v>
      </c>
      <c r="V491" s="42" t="s">
        <v>57</v>
      </c>
      <c r="W491" s="32">
        <v>2050</v>
      </c>
      <c r="X491" s="43" t="str">
        <f t="shared" si="61"/>
        <v>*0.92</v>
      </c>
      <c r="AC491" s="33" t="s">
        <v>1365</v>
      </c>
      <c r="AD491" s="44" t="s">
        <v>57</v>
      </c>
      <c r="AE491" s="33">
        <v>2035</v>
      </c>
      <c r="AF491" s="45" t="str">
        <f t="shared" si="62"/>
        <v>*0.91</v>
      </c>
      <c r="AG491" s="43" t="str">
        <f t="shared" si="64"/>
        <v>REZoning_Sol-Win</v>
      </c>
      <c r="AI491" s="33" t="s">
        <v>1365</v>
      </c>
      <c r="AJ491" s="44" t="s">
        <v>57</v>
      </c>
      <c r="AK491" s="33">
        <v>2050</v>
      </c>
      <c r="AL491" s="45" t="str">
        <f t="shared" si="63"/>
        <v>*0.87</v>
      </c>
      <c r="AM491" s="43" t="str">
        <f t="shared" si="65"/>
        <v>REZoning_Sol-Win</v>
      </c>
      <c r="AP491" t="s">
        <v>1365</v>
      </c>
      <c r="AQ491" t="s">
        <v>57</v>
      </c>
      <c r="AR491">
        <v>2100</v>
      </c>
      <c r="AS491" t="s">
        <v>874</v>
      </c>
      <c r="AT491" t="s">
        <v>58</v>
      </c>
    </row>
    <row r="492" ht="29" spans="1:46">
      <c r="A492" s="31" t="s">
        <v>169</v>
      </c>
      <c r="C492" t="s">
        <v>1366</v>
      </c>
      <c r="D492" s="5" t="s">
        <v>57</v>
      </c>
      <c r="E492">
        <v>2035</v>
      </c>
      <c r="F492" s="6" t="str">
        <f t="shared" si="58"/>
        <v>*0.94</v>
      </c>
      <c r="H492" t="s">
        <v>1366</v>
      </c>
      <c r="I492" s="5" t="s">
        <v>57</v>
      </c>
      <c r="J492">
        <v>2050</v>
      </c>
      <c r="K492" s="38" t="str">
        <f t="shared" si="59"/>
        <v>*0.92</v>
      </c>
      <c r="P492" s="32" t="s">
        <v>1366</v>
      </c>
      <c r="Q492" s="42" t="s">
        <v>57</v>
      </c>
      <c r="R492" s="32">
        <v>2035</v>
      </c>
      <c r="S492" s="43" t="str">
        <f t="shared" si="60"/>
        <v>*0.93</v>
      </c>
      <c r="U492" s="32" t="s">
        <v>1366</v>
      </c>
      <c r="V492" s="42" t="s">
        <v>57</v>
      </c>
      <c r="W492" s="32">
        <v>2050</v>
      </c>
      <c r="X492" s="43" t="str">
        <f t="shared" si="61"/>
        <v>*0.92</v>
      </c>
      <c r="AC492" s="33" t="s">
        <v>1366</v>
      </c>
      <c r="AD492" s="44" t="s">
        <v>57</v>
      </c>
      <c r="AE492" s="33">
        <v>2035</v>
      </c>
      <c r="AF492" s="45" t="str">
        <f t="shared" si="62"/>
        <v>*0.91</v>
      </c>
      <c r="AG492" s="43" t="str">
        <f t="shared" si="64"/>
        <v>REZoning_Sol-Win</v>
      </c>
      <c r="AI492" s="33" t="s">
        <v>1366</v>
      </c>
      <c r="AJ492" s="44" t="s">
        <v>57</v>
      </c>
      <c r="AK492" s="33">
        <v>2050</v>
      </c>
      <c r="AL492" s="45" t="str">
        <f t="shared" si="63"/>
        <v>*0.87</v>
      </c>
      <c r="AM492" s="43" t="str">
        <f t="shared" si="65"/>
        <v>REZoning_Sol-Win</v>
      </c>
      <c r="AP492" t="s">
        <v>1366</v>
      </c>
      <c r="AQ492" t="s">
        <v>57</v>
      </c>
      <c r="AR492">
        <v>2100</v>
      </c>
      <c r="AS492" t="s">
        <v>874</v>
      </c>
      <c r="AT492" t="s">
        <v>58</v>
      </c>
    </row>
    <row r="493" ht="29" spans="1:46">
      <c r="A493" s="31" t="s">
        <v>169</v>
      </c>
      <c r="C493" t="s">
        <v>1367</v>
      </c>
      <c r="D493" s="5" t="s">
        <v>57</v>
      </c>
      <c r="E493">
        <v>2035</v>
      </c>
      <c r="F493" s="6" t="str">
        <f t="shared" si="58"/>
        <v>*0.94</v>
      </c>
      <c r="H493" t="s">
        <v>1367</v>
      </c>
      <c r="I493" s="5" t="s">
        <v>57</v>
      </c>
      <c r="J493">
        <v>2050</v>
      </c>
      <c r="K493" s="38" t="str">
        <f t="shared" si="59"/>
        <v>*0.92</v>
      </c>
      <c r="P493" s="32" t="s">
        <v>1367</v>
      </c>
      <c r="Q493" s="42" t="s">
        <v>57</v>
      </c>
      <c r="R493" s="32">
        <v>2035</v>
      </c>
      <c r="S493" s="43" t="str">
        <f t="shared" si="60"/>
        <v>*0.93</v>
      </c>
      <c r="U493" s="32" t="s">
        <v>1367</v>
      </c>
      <c r="V493" s="42" t="s">
        <v>57</v>
      </c>
      <c r="W493" s="32">
        <v>2050</v>
      </c>
      <c r="X493" s="43" t="str">
        <f t="shared" si="61"/>
        <v>*0.92</v>
      </c>
      <c r="AC493" s="33" t="s">
        <v>1367</v>
      </c>
      <c r="AD493" s="44" t="s">
        <v>57</v>
      </c>
      <c r="AE493" s="33">
        <v>2035</v>
      </c>
      <c r="AF493" s="45" t="str">
        <f t="shared" si="62"/>
        <v>*0.91</v>
      </c>
      <c r="AG493" s="43" t="str">
        <f t="shared" si="64"/>
        <v>REZoning_Sol-Win</v>
      </c>
      <c r="AI493" s="33" t="s">
        <v>1367</v>
      </c>
      <c r="AJ493" s="44" t="s">
        <v>57</v>
      </c>
      <c r="AK493" s="33">
        <v>2050</v>
      </c>
      <c r="AL493" s="45" t="str">
        <f t="shared" si="63"/>
        <v>*0.87</v>
      </c>
      <c r="AM493" s="43" t="str">
        <f t="shared" si="65"/>
        <v>REZoning_Sol-Win</v>
      </c>
      <c r="AP493" t="s">
        <v>1367</v>
      </c>
      <c r="AQ493" t="s">
        <v>57</v>
      </c>
      <c r="AR493">
        <v>2100</v>
      </c>
      <c r="AS493" t="s">
        <v>874</v>
      </c>
      <c r="AT493" t="s">
        <v>58</v>
      </c>
    </row>
    <row r="494" ht="29" spans="1:46">
      <c r="A494" s="31" t="s">
        <v>169</v>
      </c>
      <c r="C494" t="s">
        <v>1368</v>
      </c>
      <c r="D494" s="5" t="s">
        <v>57</v>
      </c>
      <c r="E494">
        <v>2035</v>
      </c>
      <c r="F494" s="6" t="str">
        <f t="shared" si="58"/>
        <v>*0.94</v>
      </c>
      <c r="H494" t="s">
        <v>1368</v>
      </c>
      <c r="I494" s="5" t="s">
        <v>57</v>
      </c>
      <c r="J494">
        <v>2050</v>
      </c>
      <c r="K494" s="38" t="str">
        <f t="shared" si="59"/>
        <v>*0.92</v>
      </c>
      <c r="P494" s="32" t="s">
        <v>1368</v>
      </c>
      <c r="Q494" s="42" t="s">
        <v>57</v>
      </c>
      <c r="R494" s="32">
        <v>2035</v>
      </c>
      <c r="S494" s="43" t="str">
        <f t="shared" si="60"/>
        <v>*0.93</v>
      </c>
      <c r="U494" s="32" t="s">
        <v>1368</v>
      </c>
      <c r="V494" s="42" t="s">
        <v>57</v>
      </c>
      <c r="W494" s="32">
        <v>2050</v>
      </c>
      <c r="X494" s="43" t="str">
        <f t="shared" si="61"/>
        <v>*0.92</v>
      </c>
      <c r="AC494" s="33" t="s">
        <v>1368</v>
      </c>
      <c r="AD494" s="44" t="s">
        <v>57</v>
      </c>
      <c r="AE494" s="33">
        <v>2035</v>
      </c>
      <c r="AF494" s="45" t="str">
        <f t="shared" si="62"/>
        <v>*0.91</v>
      </c>
      <c r="AG494" s="43" t="str">
        <f t="shared" si="64"/>
        <v>REZoning_Sol-Win</v>
      </c>
      <c r="AI494" s="33" t="s">
        <v>1368</v>
      </c>
      <c r="AJ494" s="44" t="s">
        <v>57</v>
      </c>
      <c r="AK494" s="33">
        <v>2050</v>
      </c>
      <c r="AL494" s="45" t="str">
        <f t="shared" si="63"/>
        <v>*0.87</v>
      </c>
      <c r="AM494" s="43" t="str">
        <f t="shared" si="65"/>
        <v>REZoning_Sol-Win</v>
      </c>
      <c r="AP494" t="s">
        <v>1368</v>
      </c>
      <c r="AQ494" t="s">
        <v>57</v>
      </c>
      <c r="AR494">
        <v>2100</v>
      </c>
      <c r="AS494" t="s">
        <v>874</v>
      </c>
      <c r="AT494" t="s">
        <v>58</v>
      </c>
    </row>
    <row r="495" ht="29" spans="1:46">
      <c r="A495" s="31" t="s">
        <v>169</v>
      </c>
      <c r="C495" t="s">
        <v>1369</v>
      </c>
      <c r="D495" s="5" t="s">
        <v>57</v>
      </c>
      <c r="E495">
        <v>2035</v>
      </c>
      <c r="F495" s="6" t="str">
        <f t="shared" si="58"/>
        <v>*0.94</v>
      </c>
      <c r="H495" t="s">
        <v>1369</v>
      </c>
      <c r="I495" s="5" t="s">
        <v>57</v>
      </c>
      <c r="J495">
        <v>2050</v>
      </c>
      <c r="K495" s="38" t="str">
        <f t="shared" si="59"/>
        <v>*0.92</v>
      </c>
      <c r="P495" s="32" t="s">
        <v>1369</v>
      </c>
      <c r="Q495" s="42" t="s">
        <v>57</v>
      </c>
      <c r="R495" s="32">
        <v>2035</v>
      </c>
      <c r="S495" s="43" t="str">
        <f t="shared" si="60"/>
        <v>*0.93</v>
      </c>
      <c r="U495" s="32" t="s">
        <v>1369</v>
      </c>
      <c r="V495" s="42" t="s">
        <v>57</v>
      </c>
      <c r="W495" s="32">
        <v>2050</v>
      </c>
      <c r="X495" s="43" t="str">
        <f t="shared" si="61"/>
        <v>*0.92</v>
      </c>
      <c r="AC495" s="33" t="s">
        <v>1369</v>
      </c>
      <c r="AD495" s="44" t="s">
        <v>57</v>
      </c>
      <c r="AE495" s="33">
        <v>2035</v>
      </c>
      <c r="AF495" s="45" t="str">
        <f t="shared" si="62"/>
        <v>*0.91</v>
      </c>
      <c r="AG495" s="43" t="str">
        <f t="shared" si="64"/>
        <v>REZoning_Sol-Win</v>
      </c>
      <c r="AI495" s="33" t="s">
        <v>1369</v>
      </c>
      <c r="AJ495" s="44" t="s">
        <v>57</v>
      </c>
      <c r="AK495" s="33">
        <v>2050</v>
      </c>
      <c r="AL495" s="45" t="str">
        <f t="shared" si="63"/>
        <v>*0.87</v>
      </c>
      <c r="AM495" s="43" t="str">
        <f t="shared" si="65"/>
        <v>REZoning_Sol-Win</v>
      </c>
      <c r="AP495" t="s">
        <v>1369</v>
      </c>
      <c r="AQ495" t="s">
        <v>57</v>
      </c>
      <c r="AR495">
        <v>2100</v>
      </c>
      <c r="AS495" t="s">
        <v>874</v>
      </c>
      <c r="AT495" t="s">
        <v>58</v>
      </c>
    </row>
    <row r="496" ht="29" spans="1:46">
      <c r="A496" s="31" t="s">
        <v>169</v>
      </c>
      <c r="C496" t="s">
        <v>1370</v>
      </c>
      <c r="D496" s="5" t="s">
        <v>57</v>
      </c>
      <c r="E496">
        <v>2035</v>
      </c>
      <c r="F496" s="6" t="str">
        <f t="shared" si="58"/>
        <v>*0.94</v>
      </c>
      <c r="H496" t="s">
        <v>1370</v>
      </c>
      <c r="I496" s="5" t="s">
        <v>57</v>
      </c>
      <c r="J496">
        <v>2050</v>
      </c>
      <c r="K496" s="38" t="str">
        <f t="shared" si="59"/>
        <v>*0.92</v>
      </c>
      <c r="P496" s="32" t="s">
        <v>1370</v>
      </c>
      <c r="Q496" s="42" t="s">
        <v>57</v>
      </c>
      <c r="R496" s="32">
        <v>2035</v>
      </c>
      <c r="S496" s="43" t="str">
        <f t="shared" si="60"/>
        <v>*0.93</v>
      </c>
      <c r="U496" s="32" t="s">
        <v>1370</v>
      </c>
      <c r="V496" s="42" t="s">
        <v>57</v>
      </c>
      <c r="W496" s="32">
        <v>2050</v>
      </c>
      <c r="X496" s="43" t="str">
        <f t="shared" si="61"/>
        <v>*0.92</v>
      </c>
      <c r="AC496" s="33" t="s">
        <v>1370</v>
      </c>
      <c r="AD496" s="44" t="s">
        <v>57</v>
      </c>
      <c r="AE496" s="33">
        <v>2035</v>
      </c>
      <c r="AF496" s="45" t="str">
        <f t="shared" si="62"/>
        <v>*0.91</v>
      </c>
      <c r="AG496" s="43" t="str">
        <f t="shared" si="64"/>
        <v>REZoning_Sol-Win</v>
      </c>
      <c r="AI496" s="33" t="s">
        <v>1370</v>
      </c>
      <c r="AJ496" s="44" t="s">
        <v>57</v>
      </c>
      <c r="AK496" s="33">
        <v>2050</v>
      </c>
      <c r="AL496" s="45" t="str">
        <f t="shared" si="63"/>
        <v>*0.87</v>
      </c>
      <c r="AM496" s="43" t="str">
        <f t="shared" si="65"/>
        <v>REZoning_Sol-Win</v>
      </c>
      <c r="AP496" t="s">
        <v>1370</v>
      </c>
      <c r="AQ496" t="s">
        <v>57</v>
      </c>
      <c r="AR496">
        <v>2100</v>
      </c>
      <c r="AS496" t="s">
        <v>874</v>
      </c>
      <c r="AT496" t="s">
        <v>58</v>
      </c>
    </row>
    <row r="497" ht="29" spans="1:46">
      <c r="A497" s="31" t="s">
        <v>169</v>
      </c>
      <c r="C497" t="s">
        <v>1371</v>
      </c>
      <c r="D497" s="5" t="s">
        <v>57</v>
      </c>
      <c r="E497">
        <v>2035</v>
      </c>
      <c r="F497" s="6" t="str">
        <f t="shared" si="58"/>
        <v>*0.94</v>
      </c>
      <c r="H497" t="s">
        <v>1371</v>
      </c>
      <c r="I497" s="5" t="s">
        <v>57</v>
      </c>
      <c r="J497">
        <v>2050</v>
      </c>
      <c r="K497" s="38" t="str">
        <f t="shared" si="59"/>
        <v>*0.92</v>
      </c>
      <c r="P497" s="32" t="s">
        <v>1371</v>
      </c>
      <c r="Q497" s="42" t="s">
        <v>57</v>
      </c>
      <c r="R497" s="32">
        <v>2035</v>
      </c>
      <c r="S497" s="43" t="str">
        <f t="shared" si="60"/>
        <v>*0.93</v>
      </c>
      <c r="U497" s="32" t="s">
        <v>1371</v>
      </c>
      <c r="V497" s="42" t="s">
        <v>57</v>
      </c>
      <c r="W497" s="32">
        <v>2050</v>
      </c>
      <c r="X497" s="43" t="str">
        <f t="shared" si="61"/>
        <v>*0.92</v>
      </c>
      <c r="AC497" s="33" t="s">
        <v>1371</v>
      </c>
      <c r="AD497" s="44" t="s">
        <v>57</v>
      </c>
      <c r="AE497" s="33">
        <v>2035</v>
      </c>
      <c r="AF497" s="45" t="str">
        <f t="shared" si="62"/>
        <v>*0.91</v>
      </c>
      <c r="AG497" s="43" t="str">
        <f t="shared" si="64"/>
        <v>REZoning_Sol-Win</v>
      </c>
      <c r="AI497" s="33" t="s">
        <v>1371</v>
      </c>
      <c r="AJ497" s="44" t="s">
        <v>57</v>
      </c>
      <c r="AK497" s="33">
        <v>2050</v>
      </c>
      <c r="AL497" s="45" t="str">
        <f t="shared" si="63"/>
        <v>*0.87</v>
      </c>
      <c r="AM497" s="43" t="str">
        <f t="shared" si="65"/>
        <v>REZoning_Sol-Win</v>
      </c>
      <c r="AP497" t="s">
        <v>1371</v>
      </c>
      <c r="AQ497" t="s">
        <v>57</v>
      </c>
      <c r="AR497">
        <v>2100</v>
      </c>
      <c r="AS497" t="s">
        <v>874</v>
      </c>
      <c r="AT497" t="s">
        <v>58</v>
      </c>
    </row>
    <row r="498" ht="29" spans="1:46">
      <c r="A498" s="31" t="s">
        <v>169</v>
      </c>
      <c r="C498" t="s">
        <v>1372</v>
      </c>
      <c r="D498" s="5" t="s">
        <v>57</v>
      </c>
      <c r="E498">
        <v>2035</v>
      </c>
      <c r="F498" s="6" t="str">
        <f t="shared" si="58"/>
        <v>*0.94</v>
      </c>
      <c r="H498" t="s">
        <v>1372</v>
      </c>
      <c r="I498" s="5" t="s">
        <v>57</v>
      </c>
      <c r="J498">
        <v>2050</v>
      </c>
      <c r="K498" s="38" t="str">
        <f t="shared" si="59"/>
        <v>*0.92</v>
      </c>
      <c r="P498" s="32" t="s">
        <v>1372</v>
      </c>
      <c r="Q498" s="42" t="s">
        <v>57</v>
      </c>
      <c r="R498" s="32">
        <v>2035</v>
      </c>
      <c r="S498" s="43" t="str">
        <f t="shared" si="60"/>
        <v>*0.93</v>
      </c>
      <c r="U498" s="32" t="s">
        <v>1372</v>
      </c>
      <c r="V498" s="42" t="s">
        <v>57</v>
      </c>
      <c r="W498" s="32">
        <v>2050</v>
      </c>
      <c r="X498" s="43" t="str">
        <f t="shared" si="61"/>
        <v>*0.92</v>
      </c>
      <c r="AC498" s="33" t="s">
        <v>1372</v>
      </c>
      <c r="AD498" s="44" t="s">
        <v>57</v>
      </c>
      <c r="AE498" s="33">
        <v>2035</v>
      </c>
      <c r="AF498" s="45" t="str">
        <f t="shared" si="62"/>
        <v>*0.91</v>
      </c>
      <c r="AG498" s="43" t="str">
        <f t="shared" si="64"/>
        <v>REZoning_Sol-Win</v>
      </c>
      <c r="AI498" s="33" t="s">
        <v>1372</v>
      </c>
      <c r="AJ498" s="44" t="s">
        <v>57</v>
      </c>
      <c r="AK498" s="33">
        <v>2050</v>
      </c>
      <c r="AL498" s="45" t="str">
        <f t="shared" si="63"/>
        <v>*0.87</v>
      </c>
      <c r="AM498" s="43" t="str">
        <f t="shared" si="65"/>
        <v>REZoning_Sol-Win</v>
      </c>
      <c r="AP498" t="s">
        <v>1372</v>
      </c>
      <c r="AQ498" t="s">
        <v>57</v>
      </c>
      <c r="AR498">
        <v>2100</v>
      </c>
      <c r="AS498" t="s">
        <v>874</v>
      </c>
      <c r="AT498" t="s">
        <v>58</v>
      </c>
    </row>
    <row r="499" ht="29" spans="1:46">
      <c r="A499" s="31" t="s">
        <v>169</v>
      </c>
      <c r="C499" t="s">
        <v>1373</v>
      </c>
      <c r="D499" s="5" t="s">
        <v>57</v>
      </c>
      <c r="E499">
        <v>2035</v>
      </c>
      <c r="F499" s="6" t="str">
        <f t="shared" si="58"/>
        <v>*0.94</v>
      </c>
      <c r="H499" t="s">
        <v>1373</v>
      </c>
      <c r="I499" s="5" t="s">
        <v>57</v>
      </c>
      <c r="J499">
        <v>2050</v>
      </c>
      <c r="K499" s="38" t="str">
        <f t="shared" si="59"/>
        <v>*0.92</v>
      </c>
      <c r="P499" s="32" t="s">
        <v>1373</v>
      </c>
      <c r="Q499" s="42" t="s">
        <v>57</v>
      </c>
      <c r="R499" s="32">
        <v>2035</v>
      </c>
      <c r="S499" s="43" t="str">
        <f t="shared" si="60"/>
        <v>*0.93</v>
      </c>
      <c r="U499" s="32" t="s">
        <v>1373</v>
      </c>
      <c r="V499" s="42" t="s">
        <v>57</v>
      </c>
      <c r="W499" s="32">
        <v>2050</v>
      </c>
      <c r="X499" s="43" t="str">
        <f t="shared" si="61"/>
        <v>*0.92</v>
      </c>
      <c r="AC499" s="33" t="s">
        <v>1373</v>
      </c>
      <c r="AD499" s="44" t="s">
        <v>57</v>
      </c>
      <c r="AE499" s="33">
        <v>2035</v>
      </c>
      <c r="AF499" s="45" t="str">
        <f t="shared" si="62"/>
        <v>*0.91</v>
      </c>
      <c r="AG499" s="43" t="str">
        <f t="shared" si="64"/>
        <v>REZoning_Sol-Win</v>
      </c>
      <c r="AI499" s="33" t="s">
        <v>1373</v>
      </c>
      <c r="AJ499" s="44" t="s">
        <v>57</v>
      </c>
      <c r="AK499" s="33">
        <v>2050</v>
      </c>
      <c r="AL499" s="45" t="str">
        <f t="shared" si="63"/>
        <v>*0.87</v>
      </c>
      <c r="AM499" s="43" t="str">
        <f t="shared" si="65"/>
        <v>REZoning_Sol-Win</v>
      </c>
      <c r="AP499" t="s">
        <v>1373</v>
      </c>
      <c r="AQ499" t="s">
        <v>57</v>
      </c>
      <c r="AR499">
        <v>2100</v>
      </c>
      <c r="AS499" t="s">
        <v>874</v>
      </c>
      <c r="AT499" t="s">
        <v>58</v>
      </c>
    </row>
    <row r="500" ht="29" spans="1:46">
      <c r="A500" s="31" t="s">
        <v>169</v>
      </c>
      <c r="C500" t="s">
        <v>1374</v>
      </c>
      <c r="D500" s="5" t="s">
        <v>57</v>
      </c>
      <c r="E500">
        <v>2035</v>
      </c>
      <c r="F500" s="6" t="str">
        <f t="shared" si="58"/>
        <v>*0.94</v>
      </c>
      <c r="H500" t="s">
        <v>1374</v>
      </c>
      <c r="I500" s="5" t="s">
        <v>57</v>
      </c>
      <c r="J500">
        <v>2050</v>
      </c>
      <c r="K500" s="38" t="str">
        <f t="shared" si="59"/>
        <v>*0.92</v>
      </c>
      <c r="P500" s="32" t="s">
        <v>1374</v>
      </c>
      <c r="Q500" s="42" t="s">
        <v>57</v>
      </c>
      <c r="R500" s="32">
        <v>2035</v>
      </c>
      <c r="S500" s="43" t="str">
        <f t="shared" si="60"/>
        <v>*0.93</v>
      </c>
      <c r="U500" s="32" t="s">
        <v>1374</v>
      </c>
      <c r="V500" s="42" t="s">
        <v>57</v>
      </c>
      <c r="W500" s="32">
        <v>2050</v>
      </c>
      <c r="X500" s="43" t="str">
        <f t="shared" si="61"/>
        <v>*0.92</v>
      </c>
      <c r="AC500" s="33" t="s">
        <v>1374</v>
      </c>
      <c r="AD500" s="44" t="s">
        <v>57</v>
      </c>
      <c r="AE500" s="33">
        <v>2035</v>
      </c>
      <c r="AF500" s="45" t="str">
        <f t="shared" si="62"/>
        <v>*0.91</v>
      </c>
      <c r="AG500" s="43" t="str">
        <f t="shared" si="64"/>
        <v>REZoning_Sol-Win</v>
      </c>
      <c r="AI500" s="33" t="s">
        <v>1374</v>
      </c>
      <c r="AJ500" s="44" t="s">
        <v>57</v>
      </c>
      <c r="AK500" s="33">
        <v>2050</v>
      </c>
      <c r="AL500" s="45" t="str">
        <f t="shared" si="63"/>
        <v>*0.87</v>
      </c>
      <c r="AM500" s="43" t="str">
        <f t="shared" si="65"/>
        <v>REZoning_Sol-Win</v>
      </c>
      <c r="AP500" t="s">
        <v>1374</v>
      </c>
      <c r="AQ500" t="s">
        <v>57</v>
      </c>
      <c r="AR500">
        <v>2100</v>
      </c>
      <c r="AS500" t="s">
        <v>874</v>
      </c>
      <c r="AT500" t="s">
        <v>58</v>
      </c>
    </row>
    <row r="501" ht="29" spans="1:46">
      <c r="A501" s="31" t="s">
        <v>169</v>
      </c>
      <c r="C501" t="s">
        <v>1375</v>
      </c>
      <c r="D501" s="5" t="s">
        <v>57</v>
      </c>
      <c r="E501">
        <v>2035</v>
      </c>
      <c r="F501" s="6" t="str">
        <f t="shared" si="58"/>
        <v>*0.94</v>
      </c>
      <c r="H501" t="s">
        <v>1375</v>
      </c>
      <c r="I501" s="5" t="s">
        <v>57</v>
      </c>
      <c r="J501">
        <v>2050</v>
      </c>
      <c r="K501" s="38" t="str">
        <f t="shared" si="59"/>
        <v>*0.92</v>
      </c>
      <c r="P501" s="32" t="s">
        <v>1375</v>
      </c>
      <c r="Q501" s="42" t="s">
        <v>57</v>
      </c>
      <c r="R501" s="32">
        <v>2035</v>
      </c>
      <c r="S501" s="43" t="str">
        <f t="shared" si="60"/>
        <v>*0.93</v>
      </c>
      <c r="U501" s="32" t="s">
        <v>1375</v>
      </c>
      <c r="V501" s="42" t="s">
        <v>57</v>
      </c>
      <c r="W501" s="32">
        <v>2050</v>
      </c>
      <c r="X501" s="43" t="str">
        <f t="shared" si="61"/>
        <v>*0.92</v>
      </c>
      <c r="AC501" s="33" t="s">
        <v>1375</v>
      </c>
      <c r="AD501" s="44" t="s">
        <v>57</v>
      </c>
      <c r="AE501" s="33">
        <v>2035</v>
      </c>
      <c r="AF501" s="45" t="str">
        <f t="shared" si="62"/>
        <v>*0.91</v>
      </c>
      <c r="AG501" s="43" t="str">
        <f t="shared" si="64"/>
        <v>REZoning_Sol-Win</v>
      </c>
      <c r="AI501" s="33" t="s">
        <v>1375</v>
      </c>
      <c r="AJ501" s="44" t="s">
        <v>57</v>
      </c>
      <c r="AK501" s="33">
        <v>2050</v>
      </c>
      <c r="AL501" s="45" t="str">
        <f t="shared" si="63"/>
        <v>*0.87</v>
      </c>
      <c r="AM501" s="43" t="str">
        <f t="shared" si="65"/>
        <v>REZoning_Sol-Win</v>
      </c>
      <c r="AP501" t="s">
        <v>1375</v>
      </c>
      <c r="AQ501" t="s">
        <v>57</v>
      </c>
      <c r="AR501">
        <v>2100</v>
      </c>
      <c r="AS501" t="s">
        <v>874</v>
      </c>
      <c r="AT501" t="s">
        <v>58</v>
      </c>
    </row>
    <row r="502" ht="29" spans="1:46">
      <c r="A502" s="31" t="s">
        <v>169</v>
      </c>
      <c r="C502" t="s">
        <v>1376</v>
      </c>
      <c r="D502" s="5" t="s">
        <v>57</v>
      </c>
      <c r="E502">
        <v>2035</v>
      </c>
      <c r="F502" s="6" t="str">
        <f t="shared" si="58"/>
        <v>*0.94</v>
      </c>
      <c r="H502" t="s">
        <v>1376</v>
      </c>
      <c r="I502" s="5" t="s">
        <v>57</v>
      </c>
      <c r="J502">
        <v>2050</v>
      </c>
      <c r="K502" s="38" t="str">
        <f t="shared" si="59"/>
        <v>*0.92</v>
      </c>
      <c r="P502" s="32" t="s">
        <v>1376</v>
      </c>
      <c r="Q502" s="42" t="s">
        <v>57</v>
      </c>
      <c r="R502" s="32">
        <v>2035</v>
      </c>
      <c r="S502" s="43" t="str">
        <f t="shared" si="60"/>
        <v>*0.93</v>
      </c>
      <c r="U502" s="32" t="s">
        <v>1376</v>
      </c>
      <c r="V502" s="42" t="s">
        <v>57</v>
      </c>
      <c r="W502" s="32">
        <v>2050</v>
      </c>
      <c r="X502" s="43" t="str">
        <f t="shared" si="61"/>
        <v>*0.92</v>
      </c>
      <c r="AC502" s="33" t="s">
        <v>1376</v>
      </c>
      <c r="AD502" s="44" t="s">
        <v>57</v>
      </c>
      <c r="AE502" s="33">
        <v>2035</v>
      </c>
      <c r="AF502" s="45" t="str">
        <f t="shared" si="62"/>
        <v>*0.91</v>
      </c>
      <c r="AG502" s="43" t="str">
        <f t="shared" si="64"/>
        <v>REZoning_Sol-Win</v>
      </c>
      <c r="AI502" s="33" t="s">
        <v>1376</v>
      </c>
      <c r="AJ502" s="44" t="s">
        <v>57</v>
      </c>
      <c r="AK502" s="33">
        <v>2050</v>
      </c>
      <c r="AL502" s="45" t="str">
        <f t="shared" si="63"/>
        <v>*0.87</v>
      </c>
      <c r="AM502" s="43" t="str">
        <f t="shared" si="65"/>
        <v>REZoning_Sol-Win</v>
      </c>
      <c r="AP502" t="s">
        <v>1376</v>
      </c>
      <c r="AQ502" t="s">
        <v>57</v>
      </c>
      <c r="AR502">
        <v>2100</v>
      </c>
      <c r="AS502" t="s">
        <v>874</v>
      </c>
      <c r="AT502" t="s">
        <v>58</v>
      </c>
    </row>
    <row r="503" ht="29" spans="1:46">
      <c r="A503" s="31" t="s">
        <v>169</v>
      </c>
      <c r="C503" t="s">
        <v>1377</v>
      </c>
      <c r="D503" s="5" t="s">
        <v>57</v>
      </c>
      <c r="E503">
        <v>2035</v>
      </c>
      <c r="F503" s="6" t="str">
        <f t="shared" si="58"/>
        <v>*0.94</v>
      </c>
      <c r="H503" t="s">
        <v>1377</v>
      </c>
      <c r="I503" s="5" t="s">
        <v>57</v>
      </c>
      <c r="J503">
        <v>2050</v>
      </c>
      <c r="K503" s="38" t="str">
        <f t="shared" si="59"/>
        <v>*0.92</v>
      </c>
      <c r="P503" s="32" t="s">
        <v>1377</v>
      </c>
      <c r="Q503" s="42" t="s">
        <v>57</v>
      </c>
      <c r="R503" s="32">
        <v>2035</v>
      </c>
      <c r="S503" s="43" t="str">
        <f t="shared" si="60"/>
        <v>*0.93</v>
      </c>
      <c r="U503" s="32" t="s">
        <v>1377</v>
      </c>
      <c r="V503" s="42" t="s">
        <v>57</v>
      </c>
      <c r="W503" s="32">
        <v>2050</v>
      </c>
      <c r="X503" s="43" t="str">
        <f t="shared" si="61"/>
        <v>*0.92</v>
      </c>
      <c r="AC503" s="33" t="s">
        <v>1377</v>
      </c>
      <c r="AD503" s="44" t="s">
        <v>57</v>
      </c>
      <c r="AE503" s="33">
        <v>2035</v>
      </c>
      <c r="AF503" s="45" t="str">
        <f t="shared" si="62"/>
        <v>*0.91</v>
      </c>
      <c r="AG503" s="43" t="str">
        <f t="shared" si="64"/>
        <v>REZoning_Sol-Win</v>
      </c>
      <c r="AI503" s="33" t="s">
        <v>1377</v>
      </c>
      <c r="AJ503" s="44" t="s">
        <v>57</v>
      </c>
      <c r="AK503" s="33">
        <v>2050</v>
      </c>
      <c r="AL503" s="45" t="str">
        <f t="shared" si="63"/>
        <v>*0.87</v>
      </c>
      <c r="AM503" s="43" t="str">
        <f t="shared" si="65"/>
        <v>REZoning_Sol-Win</v>
      </c>
      <c r="AP503" t="s">
        <v>1377</v>
      </c>
      <c r="AQ503" t="s">
        <v>57</v>
      </c>
      <c r="AR503">
        <v>2100</v>
      </c>
      <c r="AS503" t="s">
        <v>874</v>
      </c>
      <c r="AT503" t="s">
        <v>58</v>
      </c>
    </row>
    <row r="504" ht="29" spans="1:46">
      <c r="A504" s="31" t="s">
        <v>169</v>
      </c>
      <c r="C504" t="s">
        <v>1378</v>
      </c>
      <c r="D504" s="5" t="s">
        <v>57</v>
      </c>
      <c r="E504">
        <v>2035</v>
      </c>
      <c r="F504" s="6" t="str">
        <f t="shared" si="58"/>
        <v>*0.94</v>
      </c>
      <c r="H504" t="s">
        <v>1378</v>
      </c>
      <c r="I504" s="5" t="s">
        <v>57</v>
      </c>
      <c r="J504">
        <v>2050</v>
      </c>
      <c r="K504" s="38" t="str">
        <f t="shared" si="59"/>
        <v>*0.92</v>
      </c>
      <c r="P504" s="32" t="s">
        <v>1378</v>
      </c>
      <c r="Q504" s="42" t="s">
        <v>57</v>
      </c>
      <c r="R504" s="32">
        <v>2035</v>
      </c>
      <c r="S504" s="43" t="str">
        <f t="shared" si="60"/>
        <v>*0.93</v>
      </c>
      <c r="U504" s="32" t="s">
        <v>1378</v>
      </c>
      <c r="V504" s="42" t="s">
        <v>57</v>
      </c>
      <c r="W504" s="32">
        <v>2050</v>
      </c>
      <c r="X504" s="43" t="str">
        <f t="shared" si="61"/>
        <v>*0.92</v>
      </c>
      <c r="AC504" s="33" t="s">
        <v>1378</v>
      </c>
      <c r="AD504" s="44" t="s">
        <v>57</v>
      </c>
      <c r="AE504" s="33">
        <v>2035</v>
      </c>
      <c r="AF504" s="45" t="str">
        <f t="shared" si="62"/>
        <v>*0.91</v>
      </c>
      <c r="AG504" s="43" t="str">
        <f t="shared" si="64"/>
        <v>REZoning_Sol-Win</v>
      </c>
      <c r="AI504" s="33" t="s">
        <v>1378</v>
      </c>
      <c r="AJ504" s="44" t="s">
        <v>57</v>
      </c>
      <c r="AK504" s="33">
        <v>2050</v>
      </c>
      <c r="AL504" s="45" t="str">
        <f t="shared" si="63"/>
        <v>*0.87</v>
      </c>
      <c r="AM504" s="43" t="str">
        <f t="shared" si="65"/>
        <v>REZoning_Sol-Win</v>
      </c>
      <c r="AP504" t="s">
        <v>1378</v>
      </c>
      <c r="AQ504" t="s">
        <v>57</v>
      </c>
      <c r="AR504">
        <v>2100</v>
      </c>
      <c r="AS504" t="s">
        <v>874</v>
      </c>
      <c r="AT504" t="s">
        <v>58</v>
      </c>
    </row>
    <row r="505" ht="29" spans="1:46">
      <c r="A505" s="31" t="s">
        <v>169</v>
      </c>
      <c r="C505" t="s">
        <v>1379</v>
      </c>
      <c r="D505" s="5" t="s">
        <v>57</v>
      </c>
      <c r="E505">
        <v>2035</v>
      </c>
      <c r="F505" s="6" t="str">
        <f t="shared" si="58"/>
        <v>*0.94</v>
      </c>
      <c r="H505" t="s">
        <v>1379</v>
      </c>
      <c r="I505" s="5" t="s">
        <v>57</v>
      </c>
      <c r="J505">
        <v>2050</v>
      </c>
      <c r="K505" s="38" t="str">
        <f t="shared" si="59"/>
        <v>*0.92</v>
      </c>
      <c r="P505" s="32" t="s">
        <v>1379</v>
      </c>
      <c r="Q505" s="42" t="s">
        <v>57</v>
      </c>
      <c r="R505" s="32">
        <v>2035</v>
      </c>
      <c r="S505" s="43" t="str">
        <f t="shared" si="60"/>
        <v>*0.93</v>
      </c>
      <c r="U505" s="32" t="s">
        <v>1379</v>
      </c>
      <c r="V505" s="42" t="s">
        <v>57</v>
      </c>
      <c r="W505" s="32">
        <v>2050</v>
      </c>
      <c r="X505" s="43" t="str">
        <f t="shared" si="61"/>
        <v>*0.92</v>
      </c>
      <c r="AC505" s="33" t="s">
        <v>1379</v>
      </c>
      <c r="AD505" s="44" t="s">
        <v>57</v>
      </c>
      <c r="AE505" s="33">
        <v>2035</v>
      </c>
      <c r="AF505" s="45" t="str">
        <f t="shared" si="62"/>
        <v>*0.91</v>
      </c>
      <c r="AG505" s="43" t="str">
        <f t="shared" si="64"/>
        <v>REZoning_Sol-Win</v>
      </c>
      <c r="AI505" s="33" t="s">
        <v>1379</v>
      </c>
      <c r="AJ505" s="44" t="s">
        <v>57</v>
      </c>
      <c r="AK505" s="33">
        <v>2050</v>
      </c>
      <c r="AL505" s="45" t="str">
        <f t="shared" si="63"/>
        <v>*0.87</v>
      </c>
      <c r="AM505" s="43" t="str">
        <f t="shared" si="65"/>
        <v>REZoning_Sol-Win</v>
      </c>
      <c r="AP505" t="s">
        <v>1379</v>
      </c>
      <c r="AQ505" t="s">
        <v>57</v>
      </c>
      <c r="AR505">
        <v>2100</v>
      </c>
      <c r="AS505" t="s">
        <v>874</v>
      </c>
      <c r="AT505" t="s">
        <v>58</v>
      </c>
    </row>
    <row r="506" ht="29" spans="1:46">
      <c r="A506" s="31" t="s">
        <v>169</v>
      </c>
      <c r="C506" t="s">
        <v>1380</v>
      </c>
      <c r="D506" s="5" t="s">
        <v>57</v>
      </c>
      <c r="E506">
        <v>2035</v>
      </c>
      <c r="F506" s="6" t="str">
        <f t="shared" si="58"/>
        <v>*0.94</v>
      </c>
      <c r="H506" t="s">
        <v>1380</v>
      </c>
      <c r="I506" s="5" t="s">
        <v>57</v>
      </c>
      <c r="J506">
        <v>2050</v>
      </c>
      <c r="K506" s="38" t="str">
        <f t="shared" si="59"/>
        <v>*0.92</v>
      </c>
      <c r="P506" s="32" t="s">
        <v>1380</v>
      </c>
      <c r="Q506" s="42" t="s">
        <v>57</v>
      </c>
      <c r="R506" s="32">
        <v>2035</v>
      </c>
      <c r="S506" s="43" t="str">
        <f t="shared" si="60"/>
        <v>*0.93</v>
      </c>
      <c r="U506" s="32" t="s">
        <v>1380</v>
      </c>
      <c r="V506" s="42" t="s">
        <v>57</v>
      </c>
      <c r="W506" s="32">
        <v>2050</v>
      </c>
      <c r="X506" s="43" t="str">
        <f t="shared" si="61"/>
        <v>*0.92</v>
      </c>
      <c r="AC506" s="33" t="s">
        <v>1380</v>
      </c>
      <c r="AD506" s="44" t="s">
        <v>57</v>
      </c>
      <c r="AE506" s="33">
        <v>2035</v>
      </c>
      <c r="AF506" s="45" t="str">
        <f t="shared" si="62"/>
        <v>*0.91</v>
      </c>
      <c r="AG506" s="43" t="str">
        <f t="shared" si="64"/>
        <v>REZoning_Sol-Win</v>
      </c>
      <c r="AI506" s="33" t="s">
        <v>1380</v>
      </c>
      <c r="AJ506" s="44" t="s">
        <v>57</v>
      </c>
      <c r="AK506" s="33">
        <v>2050</v>
      </c>
      <c r="AL506" s="45" t="str">
        <f t="shared" si="63"/>
        <v>*0.87</v>
      </c>
      <c r="AM506" s="43" t="str">
        <f t="shared" si="65"/>
        <v>REZoning_Sol-Win</v>
      </c>
      <c r="AP506" t="s">
        <v>1380</v>
      </c>
      <c r="AQ506" t="s">
        <v>57</v>
      </c>
      <c r="AR506">
        <v>2100</v>
      </c>
      <c r="AS506" t="s">
        <v>874</v>
      </c>
      <c r="AT506" t="s">
        <v>58</v>
      </c>
    </row>
    <row r="507" ht="29" spans="1:46">
      <c r="A507" s="31" t="s">
        <v>169</v>
      </c>
      <c r="C507" t="s">
        <v>1381</v>
      </c>
      <c r="D507" s="5" t="s">
        <v>57</v>
      </c>
      <c r="E507">
        <v>2035</v>
      </c>
      <c r="F507" s="6" t="str">
        <f t="shared" si="58"/>
        <v>*0.94</v>
      </c>
      <c r="H507" t="s">
        <v>1381</v>
      </c>
      <c r="I507" s="5" t="s">
        <v>57</v>
      </c>
      <c r="J507">
        <v>2050</v>
      </c>
      <c r="K507" s="38" t="str">
        <f t="shared" si="59"/>
        <v>*0.92</v>
      </c>
      <c r="P507" s="32" t="s">
        <v>1381</v>
      </c>
      <c r="Q507" s="42" t="s">
        <v>57</v>
      </c>
      <c r="R507" s="32">
        <v>2035</v>
      </c>
      <c r="S507" s="43" t="str">
        <f t="shared" si="60"/>
        <v>*0.93</v>
      </c>
      <c r="U507" s="32" t="s">
        <v>1381</v>
      </c>
      <c r="V507" s="42" t="s">
        <v>57</v>
      </c>
      <c r="W507" s="32">
        <v>2050</v>
      </c>
      <c r="X507" s="43" t="str">
        <f t="shared" si="61"/>
        <v>*0.92</v>
      </c>
      <c r="AC507" s="33" t="s">
        <v>1381</v>
      </c>
      <c r="AD507" s="44" t="s">
        <v>57</v>
      </c>
      <c r="AE507" s="33">
        <v>2035</v>
      </c>
      <c r="AF507" s="45" t="str">
        <f t="shared" si="62"/>
        <v>*0.91</v>
      </c>
      <c r="AG507" s="43" t="str">
        <f t="shared" si="64"/>
        <v>REZoning_Sol-Win</v>
      </c>
      <c r="AI507" s="33" t="s">
        <v>1381</v>
      </c>
      <c r="AJ507" s="44" t="s">
        <v>57</v>
      </c>
      <c r="AK507" s="33">
        <v>2050</v>
      </c>
      <c r="AL507" s="45" t="str">
        <f t="shared" si="63"/>
        <v>*0.87</v>
      </c>
      <c r="AM507" s="43" t="str">
        <f t="shared" si="65"/>
        <v>REZoning_Sol-Win</v>
      </c>
      <c r="AP507" t="s">
        <v>1381</v>
      </c>
      <c r="AQ507" t="s">
        <v>57</v>
      </c>
      <c r="AR507">
        <v>2100</v>
      </c>
      <c r="AS507" t="s">
        <v>874</v>
      </c>
      <c r="AT507" t="s">
        <v>58</v>
      </c>
    </row>
    <row r="508" ht="29" spans="1:46">
      <c r="A508" s="31" t="s">
        <v>169</v>
      </c>
      <c r="C508" t="s">
        <v>1382</v>
      </c>
      <c r="D508" s="5" t="s">
        <v>57</v>
      </c>
      <c r="E508">
        <v>2035</v>
      </c>
      <c r="F508" s="6" t="str">
        <f t="shared" si="58"/>
        <v>*0.94</v>
      </c>
      <c r="H508" t="s">
        <v>1382</v>
      </c>
      <c r="I508" s="5" t="s">
        <v>57</v>
      </c>
      <c r="J508">
        <v>2050</v>
      </c>
      <c r="K508" s="38" t="str">
        <f t="shared" si="59"/>
        <v>*0.92</v>
      </c>
      <c r="P508" s="32" t="s">
        <v>1382</v>
      </c>
      <c r="Q508" s="42" t="s">
        <v>57</v>
      </c>
      <c r="R508" s="32">
        <v>2035</v>
      </c>
      <c r="S508" s="43" t="str">
        <f t="shared" si="60"/>
        <v>*0.93</v>
      </c>
      <c r="U508" s="32" t="s">
        <v>1382</v>
      </c>
      <c r="V508" s="42" t="s">
        <v>57</v>
      </c>
      <c r="W508" s="32">
        <v>2050</v>
      </c>
      <c r="X508" s="43" t="str">
        <f t="shared" si="61"/>
        <v>*0.92</v>
      </c>
      <c r="AC508" s="33" t="s">
        <v>1382</v>
      </c>
      <c r="AD508" s="44" t="s">
        <v>57</v>
      </c>
      <c r="AE508" s="33">
        <v>2035</v>
      </c>
      <c r="AF508" s="45" t="str">
        <f t="shared" si="62"/>
        <v>*0.91</v>
      </c>
      <c r="AG508" s="43" t="str">
        <f t="shared" si="64"/>
        <v>REZoning_Sol-Win</v>
      </c>
      <c r="AI508" s="33" t="s">
        <v>1382</v>
      </c>
      <c r="AJ508" s="44" t="s">
        <v>57</v>
      </c>
      <c r="AK508" s="33">
        <v>2050</v>
      </c>
      <c r="AL508" s="45" t="str">
        <f t="shared" si="63"/>
        <v>*0.87</v>
      </c>
      <c r="AM508" s="43" t="str">
        <f t="shared" si="65"/>
        <v>REZoning_Sol-Win</v>
      </c>
      <c r="AP508" t="s">
        <v>1382</v>
      </c>
      <c r="AQ508" t="s">
        <v>57</v>
      </c>
      <c r="AR508">
        <v>2100</v>
      </c>
      <c r="AS508" t="s">
        <v>874</v>
      </c>
      <c r="AT508" t="s">
        <v>58</v>
      </c>
    </row>
    <row r="509" ht="29" spans="1:46">
      <c r="A509" s="31" t="s">
        <v>169</v>
      </c>
      <c r="C509" t="s">
        <v>1383</v>
      </c>
      <c r="D509" s="5" t="s">
        <v>57</v>
      </c>
      <c r="E509">
        <v>2035</v>
      </c>
      <c r="F509" s="6" t="str">
        <f t="shared" si="58"/>
        <v>*0.94</v>
      </c>
      <c r="H509" t="s">
        <v>1383</v>
      </c>
      <c r="I509" s="5" t="s">
        <v>57</v>
      </c>
      <c r="J509">
        <v>2050</v>
      </c>
      <c r="K509" s="38" t="str">
        <f t="shared" si="59"/>
        <v>*0.92</v>
      </c>
      <c r="P509" s="32" t="s">
        <v>1383</v>
      </c>
      <c r="Q509" s="42" t="s">
        <v>57</v>
      </c>
      <c r="R509" s="32">
        <v>2035</v>
      </c>
      <c r="S509" s="43" t="str">
        <f t="shared" si="60"/>
        <v>*0.93</v>
      </c>
      <c r="U509" s="32" t="s">
        <v>1383</v>
      </c>
      <c r="V509" s="42" t="s">
        <v>57</v>
      </c>
      <c r="W509" s="32">
        <v>2050</v>
      </c>
      <c r="X509" s="43" t="str">
        <f t="shared" si="61"/>
        <v>*0.92</v>
      </c>
      <c r="AC509" s="33" t="s">
        <v>1383</v>
      </c>
      <c r="AD509" s="44" t="s">
        <v>57</v>
      </c>
      <c r="AE509" s="33">
        <v>2035</v>
      </c>
      <c r="AF509" s="45" t="str">
        <f t="shared" si="62"/>
        <v>*0.91</v>
      </c>
      <c r="AG509" s="43" t="str">
        <f t="shared" si="64"/>
        <v>REZoning_Sol-Win</v>
      </c>
      <c r="AI509" s="33" t="s">
        <v>1383</v>
      </c>
      <c r="AJ509" s="44" t="s">
        <v>57</v>
      </c>
      <c r="AK509" s="33">
        <v>2050</v>
      </c>
      <c r="AL509" s="45" t="str">
        <f t="shared" si="63"/>
        <v>*0.87</v>
      </c>
      <c r="AM509" s="43" t="str">
        <f t="shared" si="65"/>
        <v>REZoning_Sol-Win</v>
      </c>
      <c r="AP509" t="s">
        <v>1383</v>
      </c>
      <c r="AQ509" t="s">
        <v>57</v>
      </c>
      <c r="AR509">
        <v>2100</v>
      </c>
      <c r="AS509" t="s">
        <v>874</v>
      </c>
      <c r="AT509" t="s">
        <v>58</v>
      </c>
    </row>
    <row r="510" ht="29" spans="1:46">
      <c r="A510" s="31" t="s">
        <v>169</v>
      </c>
      <c r="C510" t="s">
        <v>1384</v>
      </c>
      <c r="D510" s="5" t="s">
        <v>57</v>
      </c>
      <c r="E510">
        <v>2035</v>
      </c>
      <c r="F510" s="6" t="str">
        <f t="shared" si="58"/>
        <v>*0.94</v>
      </c>
      <c r="H510" t="s">
        <v>1384</v>
      </c>
      <c r="I510" s="5" t="s">
        <v>57</v>
      </c>
      <c r="J510">
        <v>2050</v>
      </c>
      <c r="K510" s="38" t="str">
        <f t="shared" si="59"/>
        <v>*0.92</v>
      </c>
      <c r="P510" s="32" t="s">
        <v>1384</v>
      </c>
      <c r="Q510" s="42" t="s">
        <v>57</v>
      </c>
      <c r="R510" s="32">
        <v>2035</v>
      </c>
      <c r="S510" s="43" t="str">
        <f t="shared" si="60"/>
        <v>*0.93</v>
      </c>
      <c r="U510" s="32" t="s">
        <v>1384</v>
      </c>
      <c r="V510" s="42" t="s">
        <v>57</v>
      </c>
      <c r="W510" s="32">
        <v>2050</v>
      </c>
      <c r="X510" s="43" t="str">
        <f t="shared" si="61"/>
        <v>*0.92</v>
      </c>
      <c r="AC510" s="33" t="s">
        <v>1384</v>
      </c>
      <c r="AD510" s="44" t="s">
        <v>57</v>
      </c>
      <c r="AE510" s="33">
        <v>2035</v>
      </c>
      <c r="AF510" s="45" t="str">
        <f t="shared" si="62"/>
        <v>*0.91</v>
      </c>
      <c r="AG510" s="43" t="str">
        <f t="shared" si="64"/>
        <v>REZoning_Sol-Win</v>
      </c>
      <c r="AI510" s="33" t="s">
        <v>1384</v>
      </c>
      <c r="AJ510" s="44" t="s">
        <v>57</v>
      </c>
      <c r="AK510" s="33">
        <v>2050</v>
      </c>
      <c r="AL510" s="45" t="str">
        <f t="shared" si="63"/>
        <v>*0.87</v>
      </c>
      <c r="AM510" s="43" t="str">
        <f t="shared" si="65"/>
        <v>REZoning_Sol-Win</v>
      </c>
      <c r="AP510" t="s">
        <v>1384</v>
      </c>
      <c r="AQ510" t="s">
        <v>57</v>
      </c>
      <c r="AR510">
        <v>2100</v>
      </c>
      <c r="AS510" t="s">
        <v>874</v>
      </c>
      <c r="AT510" t="s">
        <v>58</v>
      </c>
    </row>
    <row r="511" ht="29" spans="1:46">
      <c r="A511" s="31" t="s">
        <v>169</v>
      </c>
      <c r="C511" t="s">
        <v>1385</v>
      </c>
      <c r="D511" s="5" t="s">
        <v>57</v>
      </c>
      <c r="E511">
        <v>2035</v>
      </c>
      <c r="F511" s="6" t="str">
        <f t="shared" si="58"/>
        <v>*0.94</v>
      </c>
      <c r="H511" t="s">
        <v>1385</v>
      </c>
      <c r="I511" s="5" t="s">
        <v>57</v>
      </c>
      <c r="J511">
        <v>2050</v>
      </c>
      <c r="K511" s="38" t="str">
        <f t="shared" si="59"/>
        <v>*0.92</v>
      </c>
      <c r="P511" s="32" t="s">
        <v>1385</v>
      </c>
      <c r="Q511" s="42" t="s">
        <v>57</v>
      </c>
      <c r="R511" s="32">
        <v>2035</v>
      </c>
      <c r="S511" s="43" t="str">
        <f t="shared" si="60"/>
        <v>*0.93</v>
      </c>
      <c r="U511" s="32" t="s">
        <v>1385</v>
      </c>
      <c r="V511" s="42" t="s">
        <v>57</v>
      </c>
      <c r="W511" s="32">
        <v>2050</v>
      </c>
      <c r="X511" s="43" t="str">
        <f t="shared" si="61"/>
        <v>*0.92</v>
      </c>
      <c r="AC511" s="33" t="s">
        <v>1385</v>
      </c>
      <c r="AD511" s="44" t="s">
        <v>57</v>
      </c>
      <c r="AE511" s="33">
        <v>2035</v>
      </c>
      <c r="AF511" s="45" t="str">
        <f t="shared" si="62"/>
        <v>*0.91</v>
      </c>
      <c r="AG511" s="43" t="str">
        <f t="shared" si="64"/>
        <v>REZoning_Sol-Win</v>
      </c>
      <c r="AI511" s="33" t="s">
        <v>1385</v>
      </c>
      <c r="AJ511" s="44" t="s">
        <v>57</v>
      </c>
      <c r="AK511" s="33">
        <v>2050</v>
      </c>
      <c r="AL511" s="45" t="str">
        <f t="shared" si="63"/>
        <v>*0.87</v>
      </c>
      <c r="AM511" s="43" t="str">
        <f t="shared" si="65"/>
        <v>REZoning_Sol-Win</v>
      </c>
      <c r="AP511" t="s">
        <v>1385</v>
      </c>
      <c r="AQ511" t="s">
        <v>57</v>
      </c>
      <c r="AR511">
        <v>2100</v>
      </c>
      <c r="AS511" t="s">
        <v>874</v>
      </c>
      <c r="AT511" t="s">
        <v>58</v>
      </c>
    </row>
    <row r="512" ht="29" spans="1:46">
      <c r="A512" s="31" t="s">
        <v>169</v>
      </c>
      <c r="C512" t="s">
        <v>1386</v>
      </c>
      <c r="D512" s="5" t="s">
        <v>57</v>
      </c>
      <c r="E512">
        <v>2035</v>
      </c>
      <c r="F512" s="6" t="str">
        <f t="shared" si="58"/>
        <v>*0.94</v>
      </c>
      <c r="H512" t="s">
        <v>1386</v>
      </c>
      <c r="I512" s="5" t="s">
        <v>57</v>
      </c>
      <c r="J512">
        <v>2050</v>
      </c>
      <c r="K512" s="38" t="str">
        <f t="shared" si="59"/>
        <v>*0.92</v>
      </c>
      <c r="P512" s="32" t="s">
        <v>1386</v>
      </c>
      <c r="Q512" s="42" t="s">
        <v>57</v>
      </c>
      <c r="R512" s="32">
        <v>2035</v>
      </c>
      <c r="S512" s="43" t="str">
        <f t="shared" si="60"/>
        <v>*0.93</v>
      </c>
      <c r="U512" s="32" t="s">
        <v>1386</v>
      </c>
      <c r="V512" s="42" t="s">
        <v>57</v>
      </c>
      <c r="W512" s="32">
        <v>2050</v>
      </c>
      <c r="X512" s="43" t="str">
        <f t="shared" si="61"/>
        <v>*0.92</v>
      </c>
      <c r="AC512" s="33" t="s">
        <v>1386</v>
      </c>
      <c r="AD512" s="44" t="s">
        <v>57</v>
      </c>
      <c r="AE512" s="33">
        <v>2035</v>
      </c>
      <c r="AF512" s="45" t="str">
        <f t="shared" si="62"/>
        <v>*0.91</v>
      </c>
      <c r="AG512" s="43" t="str">
        <f t="shared" si="64"/>
        <v>REZoning_Sol-Win</v>
      </c>
      <c r="AI512" s="33" t="s">
        <v>1386</v>
      </c>
      <c r="AJ512" s="44" t="s">
        <v>57</v>
      </c>
      <c r="AK512" s="33">
        <v>2050</v>
      </c>
      <c r="AL512" s="45" t="str">
        <f t="shared" si="63"/>
        <v>*0.87</v>
      </c>
      <c r="AM512" s="43" t="str">
        <f t="shared" si="65"/>
        <v>REZoning_Sol-Win</v>
      </c>
      <c r="AP512" t="s">
        <v>1386</v>
      </c>
      <c r="AQ512" t="s">
        <v>57</v>
      </c>
      <c r="AR512">
        <v>2100</v>
      </c>
      <c r="AS512" t="s">
        <v>874</v>
      </c>
      <c r="AT512" t="s">
        <v>58</v>
      </c>
    </row>
    <row r="513" ht="29" spans="1:46">
      <c r="A513" s="31" t="s">
        <v>169</v>
      </c>
      <c r="C513" t="s">
        <v>1387</v>
      </c>
      <c r="D513" s="5" t="s">
        <v>57</v>
      </c>
      <c r="E513">
        <v>2035</v>
      </c>
      <c r="F513" s="6" t="str">
        <f t="shared" si="58"/>
        <v>*0.94</v>
      </c>
      <c r="H513" t="s">
        <v>1387</v>
      </c>
      <c r="I513" s="5" t="s">
        <v>57</v>
      </c>
      <c r="J513">
        <v>2050</v>
      </c>
      <c r="K513" s="38" t="str">
        <f t="shared" si="59"/>
        <v>*0.92</v>
      </c>
      <c r="P513" s="32" t="s">
        <v>1387</v>
      </c>
      <c r="Q513" s="42" t="s">
        <v>57</v>
      </c>
      <c r="R513" s="32">
        <v>2035</v>
      </c>
      <c r="S513" s="43" t="str">
        <f t="shared" si="60"/>
        <v>*0.93</v>
      </c>
      <c r="U513" s="32" t="s">
        <v>1387</v>
      </c>
      <c r="V513" s="42" t="s">
        <v>57</v>
      </c>
      <c r="W513" s="32">
        <v>2050</v>
      </c>
      <c r="X513" s="43" t="str">
        <f t="shared" si="61"/>
        <v>*0.92</v>
      </c>
      <c r="AC513" s="33" t="s">
        <v>1387</v>
      </c>
      <c r="AD513" s="44" t="s">
        <v>57</v>
      </c>
      <c r="AE513" s="33">
        <v>2035</v>
      </c>
      <c r="AF513" s="45" t="str">
        <f t="shared" si="62"/>
        <v>*0.91</v>
      </c>
      <c r="AG513" s="43" t="str">
        <f t="shared" si="64"/>
        <v>REZoning_Sol-Win</v>
      </c>
      <c r="AI513" s="33" t="s">
        <v>1387</v>
      </c>
      <c r="AJ513" s="44" t="s">
        <v>57</v>
      </c>
      <c r="AK513" s="33">
        <v>2050</v>
      </c>
      <c r="AL513" s="45" t="str">
        <f t="shared" si="63"/>
        <v>*0.87</v>
      </c>
      <c r="AM513" s="43" t="str">
        <f t="shared" si="65"/>
        <v>REZoning_Sol-Win</v>
      </c>
      <c r="AP513" t="s">
        <v>1387</v>
      </c>
      <c r="AQ513" t="s">
        <v>57</v>
      </c>
      <c r="AR513">
        <v>2100</v>
      </c>
      <c r="AS513" t="s">
        <v>874</v>
      </c>
      <c r="AT513" t="s">
        <v>58</v>
      </c>
    </row>
    <row r="514" ht="29" spans="1:46">
      <c r="A514" s="31" t="s">
        <v>169</v>
      </c>
      <c r="C514" t="s">
        <v>1388</v>
      </c>
      <c r="D514" s="5" t="s">
        <v>57</v>
      </c>
      <c r="E514">
        <v>2035</v>
      </c>
      <c r="F514" s="6" t="str">
        <f t="shared" si="58"/>
        <v>*0.94</v>
      </c>
      <c r="H514" t="s">
        <v>1388</v>
      </c>
      <c r="I514" s="5" t="s">
        <v>57</v>
      </c>
      <c r="J514">
        <v>2050</v>
      </c>
      <c r="K514" s="38" t="str">
        <f t="shared" si="59"/>
        <v>*0.92</v>
      </c>
      <c r="P514" s="32" t="s">
        <v>1388</v>
      </c>
      <c r="Q514" s="42" t="s">
        <v>57</v>
      </c>
      <c r="R514" s="32">
        <v>2035</v>
      </c>
      <c r="S514" s="43" t="str">
        <f t="shared" si="60"/>
        <v>*0.93</v>
      </c>
      <c r="U514" s="32" t="s">
        <v>1388</v>
      </c>
      <c r="V514" s="42" t="s">
        <v>57</v>
      </c>
      <c r="W514" s="32">
        <v>2050</v>
      </c>
      <c r="X514" s="43" t="str">
        <f t="shared" si="61"/>
        <v>*0.92</v>
      </c>
      <c r="AC514" s="33" t="s">
        <v>1388</v>
      </c>
      <c r="AD514" s="44" t="s">
        <v>57</v>
      </c>
      <c r="AE514" s="33">
        <v>2035</v>
      </c>
      <c r="AF514" s="45" t="str">
        <f t="shared" si="62"/>
        <v>*0.91</v>
      </c>
      <c r="AG514" s="43" t="str">
        <f t="shared" si="64"/>
        <v>REZoning_Sol-Win</v>
      </c>
      <c r="AI514" s="33" t="s">
        <v>1388</v>
      </c>
      <c r="AJ514" s="44" t="s">
        <v>57</v>
      </c>
      <c r="AK514" s="33">
        <v>2050</v>
      </c>
      <c r="AL514" s="45" t="str">
        <f t="shared" si="63"/>
        <v>*0.87</v>
      </c>
      <c r="AM514" s="43" t="str">
        <f t="shared" si="65"/>
        <v>REZoning_Sol-Win</v>
      </c>
      <c r="AP514" t="s">
        <v>1388</v>
      </c>
      <c r="AQ514" t="s">
        <v>57</v>
      </c>
      <c r="AR514">
        <v>2100</v>
      </c>
      <c r="AS514" t="s">
        <v>874</v>
      </c>
      <c r="AT514" t="s">
        <v>58</v>
      </c>
    </row>
    <row r="515" ht="29" spans="1:46">
      <c r="A515" s="31" t="s">
        <v>169</v>
      </c>
      <c r="C515" t="s">
        <v>1389</v>
      </c>
      <c r="D515" s="5" t="s">
        <v>57</v>
      </c>
      <c r="E515">
        <v>2035</v>
      </c>
      <c r="F515" s="6" t="str">
        <f t="shared" si="58"/>
        <v>*0.94</v>
      </c>
      <c r="H515" t="s">
        <v>1389</v>
      </c>
      <c r="I515" s="5" t="s">
        <v>57</v>
      </c>
      <c r="J515">
        <v>2050</v>
      </c>
      <c r="K515" s="38" t="str">
        <f t="shared" si="59"/>
        <v>*0.92</v>
      </c>
      <c r="P515" s="32" t="s">
        <v>1389</v>
      </c>
      <c r="Q515" s="42" t="s">
        <v>57</v>
      </c>
      <c r="R515" s="32">
        <v>2035</v>
      </c>
      <c r="S515" s="43" t="str">
        <f t="shared" si="60"/>
        <v>*0.93</v>
      </c>
      <c r="U515" s="32" t="s">
        <v>1389</v>
      </c>
      <c r="V515" s="42" t="s">
        <v>57</v>
      </c>
      <c r="W515" s="32">
        <v>2050</v>
      </c>
      <c r="X515" s="43" t="str">
        <f t="shared" si="61"/>
        <v>*0.92</v>
      </c>
      <c r="AC515" s="33" t="s">
        <v>1389</v>
      </c>
      <c r="AD515" s="44" t="s">
        <v>57</v>
      </c>
      <c r="AE515" s="33">
        <v>2035</v>
      </c>
      <c r="AF515" s="45" t="str">
        <f t="shared" si="62"/>
        <v>*0.91</v>
      </c>
      <c r="AG515" s="43" t="str">
        <f t="shared" si="64"/>
        <v>REZoning_Sol-Win</v>
      </c>
      <c r="AI515" s="33" t="s">
        <v>1389</v>
      </c>
      <c r="AJ515" s="44" t="s">
        <v>57</v>
      </c>
      <c r="AK515" s="33">
        <v>2050</v>
      </c>
      <c r="AL515" s="45" t="str">
        <f t="shared" si="63"/>
        <v>*0.87</v>
      </c>
      <c r="AM515" s="43" t="str">
        <f t="shared" si="65"/>
        <v>REZoning_Sol-Win</v>
      </c>
      <c r="AP515" t="s">
        <v>1389</v>
      </c>
      <c r="AQ515" t="s">
        <v>57</v>
      </c>
      <c r="AR515">
        <v>2100</v>
      </c>
      <c r="AS515" t="s">
        <v>874</v>
      </c>
      <c r="AT515" t="s">
        <v>58</v>
      </c>
    </row>
    <row r="516" ht="29" spans="1:46">
      <c r="A516" s="31" t="s">
        <v>169</v>
      </c>
      <c r="C516" t="s">
        <v>1390</v>
      </c>
      <c r="D516" s="5" t="s">
        <v>57</v>
      </c>
      <c r="E516">
        <v>2035</v>
      </c>
      <c r="F516" s="6" t="str">
        <f t="shared" ref="F516:F579" si="66">"*"&amp;IF(AND(A516="EU",E516=2035),0.95,IF(AND(A516="EU",E516=2050),0.93,IF(AND(A516="USA",E516=2035),0.96,IF(AND(A516="USA",E516=2050),0.94,IF(AND(A516="Japan",E516=2035),0.94,IF(AND(A516="Japan",E516=2050),0.92,IF(AND(A516="Russia",E516=2035),0.95,IF(AND(A516="Russia",E516=2050),0.93,IF(AND(A516="China",E516=2035),0.94,IF(AND(A516="China",E516=2050),0.92,IF(AND(A516="India",E516=2035),0.95,IF(AND(A516="India",E516=2050),0.92,IF(AND(A516="Middle East",E516=2035),0.94,IF(AND(A516="Middle East",E516=2050),0.9,IF(AND(A516="Africa",E516=2035),0.94,IF(AND(A516="Africa",E516=2050),0.91,IF(AND(A516="Brazil",E516=2035),0.95,IF(AND(A516="Brazil",E516=2050),0.92,""))))))))))))))))))</f>
        <v>*0.94</v>
      </c>
      <c r="H516" t="s">
        <v>1390</v>
      </c>
      <c r="I516" s="5" t="s">
        <v>57</v>
      </c>
      <c r="J516">
        <v>2050</v>
      </c>
      <c r="K516" s="38" t="str">
        <f t="shared" ref="K516:K579" si="67">"*"&amp;IF(AND(A516="EU",J516=2035),0.95,IF(AND(A516="EU",J516=2050),0.93,IF(AND(A516="USA",J516=2035),0.96,IF(AND(A516="USA",J516=2050),0.94,IF(AND(A516="Japan",J516=2035),0.94,IF(AND(A516="Japan",J516=2050),0.92,IF(AND(A516="Russia",J516=2035),0.95,IF(AND(A516="Russia",J516=2050),0.93,IF(AND(A516="China",J516=2035),0.94,IF(AND(A516="China",J516=2050),0.92,IF(AND(A516="India",J516=2035),0.95,IF(AND(A516="India",J516=2050),0.92,IF(AND(A516="Middle East",J516=2035),0.94,IF(AND(A516="Middle East",J516=2050),0.9,IF(AND(A516="Africa",J516=2035),0.94,IF(AND(A516="Africa",J516=2050),0.91,IF(AND(A516="Brazil",J516=2035),0.95,IF(AND(A516="Brazil",J516=2050),0.92,""))))))))))))))))))</f>
        <v>*0.92</v>
      </c>
      <c r="P516" s="32" t="s">
        <v>1390</v>
      </c>
      <c r="Q516" s="42" t="s">
        <v>57</v>
      </c>
      <c r="R516" s="32">
        <v>2035</v>
      </c>
      <c r="S516" s="43" t="str">
        <f t="shared" ref="S516:S579" si="68">"*"&amp;IF(AND(A516="EU",R516=2035),0.95,IF(AND(A516="EU",R516=2050),0.93,IF(AND(A516="USA",R516=2035),0.96,IF(AND(A516="USA",R516=2050),0.93,IF(AND(A516="Japan",R516=2035),0.94,IF(AND(A516="Japan",R516=2050),0.92,IF(AND(A516="Russia",R516=2035),0.95,IF(AND(A516="Russia",R516=2050),0.91,IF(AND(A516="China",R516=2035),0.93,IF(AND(A516="China",R516=2050),0.92,IF(AND(A516="India",R516=2035),0.94,IF(AND(A516="India",R516=2050),0.91,IF(AND(A516="Middle East",R516=2035),0.92,IF(AND(A516="Middle East",R516=2050),0.89,IF(AND(A516="Africa",R516=2035),0.93,IF(AND(A516="Africa",R516=2050),0.9,IF(AND(A516="Brazil",R516=2035),0.95,IF(AND(A516="Brazil",R516=2050),0.92,""))))))))))))))))))</f>
        <v>*0.93</v>
      </c>
      <c r="U516" s="32" t="s">
        <v>1390</v>
      </c>
      <c r="V516" s="42" t="s">
        <v>57</v>
      </c>
      <c r="W516" s="32">
        <v>2050</v>
      </c>
      <c r="X516" s="43" t="str">
        <f t="shared" ref="X516:X579" si="69">"*"&amp;IF(AND(A516="EU",W516=2035),0.95,IF(AND(A516="EU",W516=2050),0.93,IF(AND(A516="USA",W516=2035),0.96,IF(AND(A516="USA",W516=2050),0.93,IF(AND(A516="Japan",W516=2035),0.94,IF(AND(A516="Japan",W516=2050),0.92,IF(AND(A516="Russia",W516=2035),0.95,IF(AND(A516="Russia",W516=2050),0.91,IF(AND(A516="China",W516=2035),0.93,IF(AND(A516="China",W516=2050),0.92,IF(AND(A516="India",W516=2035),0.94,IF(AND(A516="India",W516=2050),0.91,IF(AND(A516="Middle East",W516=2035),0.92,IF(AND(A516="Middle East",W516=2050),0.89,IF(AND(A516="Africa",W516=2035),0.93,IF(AND(A516="Africa",W516=2050),0.9,IF(AND(A516="Brazil",W516=2035),0.95,IF(AND(A516="Brazil",W516=2050),0.92,""))))))))))))))))))</f>
        <v>*0.92</v>
      </c>
      <c r="AC516" s="33" t="s">
        <v>1390</v>
      </c>
      <c r="AD516" s="44" t="s">
        <v>57</v>
      </c>
      <c r="AE516" s="33">
        <v>2035</v>
      </c>
      <c r="AF516" s="45" t="str">
        <f t="shared" ref="AF516:AF579" si="70">"*"&amp;IF(AND(A516="EU",AE516=2035),0.93,IF(AND(A516="EU",AE516=2050),0.9,IF(AND(A516="USA",AE516=2035),0.92,IF(AND(A516="USA",AE516=2050),0.89,IF(AND(A516="Japan",AE516=2035),0.92,IF(AND(A516="Japan",AE516=2050),0.89,IF(AND(A516="Russia",AE516=2035),0.91,IF(AND(A516="Russia",AE516=2050),0.86,IF(AND(A516="China",AE516=2035),0.91,IF(AND(A516="China",AE516=2050),0.87,IF(AND(A516="India",AE516=2035),0.92,IF(AND(A516="India",AE516=2050),0.87,IF(AND(A516="Middle East",AE516=2035),0.89,IF(AND(A516="Middle East",AE516=2050),0.84,IF(AND(A516="Africa",AE516=2035),0.9,IF(AND(A516="Africa",AE516=2050),0.86,IF(AND(A516="Brazil",AE516=2035),0.93,IF(AND(A516="Brazil",AE516=2050),0.89,""))))))))))))))))))</f>
        <v>*0.91</v>
      </c>
      <c r="AG516" s="43" t="str">
        <f t="shared" si="64"/>
        <v>REZoning_Sol-Win</v>
      </c>
      <c r="AI516" s="33" t="s">
        <v>1390</v>
      </c>
      <c r="AJ516" s="44" t="s">
        <v>57</v>
      </c>
      <c r="AK516" s="33">
        <v>2050</v>
      </c>
      <c r="AL516" s="45" t="str">
        <f t="shared" ref="AL516:AL579" si="71">"*"&amp;IF(AND(A516="EU",AK516=2035),0.93,IF(AND(A516="EU",AK516=2050),0.9,IF(AND(A516="USA",AK516=2035),0.92,IF(AND(A516="USA",AK516=2050),0.89,IF(AND(A516="Japan",AK516=2035),0.92,IF(AND(A516="Japan",AK516=2050),0.89,IF(AND(A516="Russia",AK516=2035),0.91,IF(AND(A516="Russia",AK516=2050),0.86,IF(AND(A516="China",AK516=2035),0.91,IF(AND(A516="China",AK516=2050),0.87,IF(AND(A516="India",AK516=2035),0.92,IF(AND(A516="India",AK516=2050),0.87,IF(AND(A516="Middle East",AK516=2035),0.89,IF(AND(A516="Middle East",AK516=2050),0.84,IF(AND(A516="Africa",AK516=2035),0.9,IF(AND(A516="Africa",AK516=2050),0.86,IF(AND(A516="Brazil",AK516=2035),0.93,IF(AND(A516="Brazil",AK516=2050),0.89,""))))))))))))))))))</f>
        <v>*0.87</v>
      </c>
      <c r="AM516" s="43" t="str">
        <f t="shared" si="65"/>
        <v>REZoning_Sol-Win</v>
      </c>
      <c r="AP516" t="s">
        <v>1390</v>
      </c>
      <c r="AQ516" t="s">
        <v>57</v>
      </c>
      <c r="AR516">
        <v>2100</v>
      </c>
      <c r="AS516" t="s">
        <v>874</v>
      </c>
      <c r="AT516" t="s">
        <v>58</v>
      </c>
    </row>
    <row r="517" ht="29" spans="1:46">
      <c r="A517" s="31" t="s">
        <v>169</v>
      </c>
      <c r="C517" t="s">
        <v>1391</v>
      </c>
      <c r="D517" s="5" t="s">
        <v>57</v>
      </c>
      <c r="E517">
        <v>2035</v>
      </c>
      <c r="F517" s="6" t="str">
        <f t="shared" si="66"/>
        <v>*0.94</v>
      </c>
      <c r="H517" t="s">
        <v>1391</v>
      </c>
      <c r="I517" s="5" t="s">
        <v>57</v>
      </c>
      <c r="J517">
        <v>2050</v>
      </c>
      <c r="K517" s="38" t="str">
        <f t="shared" si="67"/>
        <v>*0.92</v>
      </c>
      <c r="P517" s="32" t="s">
        <v>1391</v>
      </c>
      <c r="Q517" s="42" t="s">
        <v>57</v>
      </c>
      <c r="R517" s="32">
        <v>2035</v>
      </c>
      <c r="S517" s="43" t="str">
        <f t="shared" si="68"/>
        <v>*0.93</v>
      </c>
      <c r="U517" s="32" t="s">
        <v>1391</v>
      </c>
      <c r="V517" s="42" t="s">
        <v>57</v>
      </c>
      <c r="W517" s="32">
        <v>2050</v>
      </c>
      <c r="X517" s="43" t="str">
        <f t="shared" si="69"/>
        <v>*0.92</v>
      </c>
      <c r="AC517" s="33" t="s">
        <v>1391</v>
      </c>
      <c r="AD517" s="44" t="s">
        <v>57</v>
      </c>
      <c r="AE517" s="33">
        <v>2035</v>
      </c>
      <c r="AF517" s="45" t="str">
        <f t="shared" si="70"/>
        <v>*0.91</v>
      </c>
      <c r="AG517" s="43" t="str">
        <f t="shared" si="64"/>
        <v>REZoning_Sol-Win</v>
      </c>
      <c r="AI517" s="33" t="s">
        <v>1391</v>
      </c>
      <c r="AJ517" s="44" t="s">
        <v>57</v>
      </c>
      <c r="AK517" s="33">
        <v>2050</v>
      </c>
      <c r="AL517" s="45" t="str">
        <f t="shared" si="71"/>
        <v>*0.87</v>
      </c>
      <c r="AM517" s="43" t="str">
        <f t="shared" si="65"/>
        <v>REZoning_Sol-Win</v>
      </c>
      <c r="AP517" t="s">
        <v>1391</v>
      </c>
      <c r="AQ517" t="s">
        <v>57</v>
      </c>
      <c r="AR517">
        <v>2100</v>
      </c>
      <c r="AS517" t="s">
        <v>874</v>
      </c>
      <c r="AT517" t="s">
        <v>58</v>
      </c>
    </row>
    <row r="518" ht="29" spans="1:46">
      <c r="A518" s="31" t="s">
        <v>169</v>
      </c>
      <c r="C518" t="s">
        <v>1392</v>
      </c>
      <c r="D518" s="5" t="s">
        <v>57</v>
      </c>
      <c r="E518">
        <v>2035</v>
      </c>
      <c r="F518" s="6" t="str">
        <f t="shared" si="66"/>
        <v>*0.94</v>
      </c>
      <c r="H518" t="s">
        <v>1392</v>
      </c>
      <c r="I518" s="5" t="s">
        <v>57</v>
      </c>
      <c r="J518">
        <v>2050</v>
      </c>
      <c r="K518" s="38" t="str">
        <f t="shared" si="67"/>
        <v>*0.92</v>
      </c>
      <c r="P518" s="32" t="s">
        <v>1392</v>
      </c>
      <c r="Q518" s="42" t="s">
        <v>57</v>
      </c>
      <c r="R518" s="32">
        <v>2035</v>
      </c>
      <c r="S518" s="43" t="str">
        <f t="shared" si="68"/>
        <v>*0.93</v>
      </c>
      <c r="U518" s="32" t="s">
        <v>1392</v>
      </c>
      <c r="V518" s="42" t="s">
        <v>57</v>
      </c>
      <c r="W518" s="32">
        <v>2050</v>
      </c>
      <c r="X518" s="43" t="str">
        <f t="shared" si="69"/>
        <v>*0.92</v>
      </c>
      <c r="AC518" s="33" t="s">
        <v>1392</v>
      </c>
      <c r="AD518" s="44" t="s">
        <v>57</v>
      </c>
      <c r="AE518" s="33">
        <v>2035</v>
      </c>
      <c r="AF518" s="45" t="str">
        <f t="shared" si="70"/>
        <v>*0.91</v>
      </c>
      <c r="AG518" s="43" t="str">
        <f t="shared" si="64"/>
        <v>REZoning_Sol-Win</v>
      </c>
      <c r="AI518" s="33" t="s">
        <v>1392</v>
      </c>
      <c r="AJ518" s="44" t="s">
        <v>57</v>
      </c>
      <c r="AK518" s="33">
        <v>2050</v>
      </c>
      <c r="AL518" s="45" t="str">
        <f t="shared" si="71"/>
        <v>*0.87</v>
      </c>
      <c r="AM518" s="43" t="str">
        <f t="shared" si="65"/>
        <v>REZoning_Sol-Win</v>
      </c>
      <c r="AP518" t="s">
        <v>1392</v>
      </c>
      <c r="AQ518" t="s">
        <v>57</v>
      </c>
      <c r="AR518">
        <v>2100</v>
      </c>
      <c r="AS518" t="s">
        <v>874</v>
      </c>
      <c r="AT518" t="s">
        <v>58</v>
      </c>
    </row>
    <row r="519" ht="29" spans="1:46">
      <c r="A519" s="31" t="s">
        <v>169</v>
      </c>
      <c r="C519" t="s">
        <v>1393</v>
      </c>
      <c r="D519" s="5" t="s">
        <v>57</v>
      </c>
      <c r="E519">
        <v>2035</v>
      </c>
      <c r="F519" s="6" t="str">
        <f t="shared" si="66"/>
        <v>*0.94</v>
      </c>
      <c r="H519" t="s">
        <v>1393</v>
      </c>
      <c r="I519" s="5" t="s">
        <v>57</v>
      </c>
      <c r="J519">
        <v>2050</v>
      </c>
      <c r="K519" s="38" t="str">
        <f t="shared" si="67"/>
        <v>*0.92</v>
      </c>
      <c r="P519" s="32" t="s">
        <v>1393</v>
      </c>
      <c r="Q519" s="42" t="s">
        <v>57</v>
      </c>
      <c r="R519" s="32">
        <v>2035</v>
      </c>
      <c r="S519" s="43" t="str">
        <f t="shared" si="68"/>
        <v>*0.93</v>
      </c>
      <c r="U519" s="32" t="s">
        <v>1393</v>
      </c>
      <c r="V519" s="42" t="s">
        <v>57</v>
      </c>
      <c r="W519" s="32">
        <v>2050</v>
      </c>
      <c r="X519" s="43" t="str">
        <f t="shared" si="69"/>
        <v>*0.92</v>
      </c>
      <c r="AC519" s="33" t="s">
        <v>1393</v>
      </c>
      <c r="AD519" s="44" t="s">
        <v>57</v>
      </c>
      <c r="AE519" s="33">
        <v>2035</v>
      </c>
      <c r="AF519" s="45" t="str">
        <f t="shared" si="70"/>
        <v>*0.91</v>
      </c>
      <c r="AG519" s="43" t="str">
        <f t="shared" si="64"/>
        <v>REZoning_Sol-Win</v>
      </c>
      <c r="AI519" s="33" t="s">
        <v>1393</v>
      </c>
      <c r="AJ519" s="44" t="s">
        <v>57</v>
      </c>
      <c r="AK519" s="33">
        <v>2050</v>
      </c>
      <c r="AL519" s="45" t="str">
        <f t="shared" si="71"/>
        <v>*0.87</v>
      </c>
      <c r="AM519" s="43" t="str">
        <f t="shared" si="65"/>
        <v>REZoning_Sol-Win</v>
      </c>
      <c r="AP519" t="s">
        <v>1393</v>
      </c>
      <c r="AQ519" t="s">
        <v>57</v>
      </c>
      <c r="AR519">
        <v>2100</v>
      </c>
      <c r="AS519" t="s">
        <v>874</v>
      </c>
      <c r="AT519" t="s">
        <v>58</v>
      </c>
    </row>
    <row r="520" ht="29" spans="1:46">
      <c r="A520" s="31" t="s">
        <v>169</v>
      </c>
      <c r="C520" t="s">
        <v>1394</v>
      </c>
      <c r="D520" s="5" t="s">
        <v>57</v>
      </c>
      <c r="E520">
        <v>2035</v>
      </c>
      <c r="F520" s="6" t="str">
        <f t="shared" si="66"/>
        <v>*0.94</v>
      </c>
      <c r="H520" t="s">
        <v>1394</v>
      </c>
      <c r="I520" s="5" t="s">
        <v>57</v>
      </c>
      <c r="J520">
        <v>2050</v>
      </c>
      <c r="K520" s="38" t="str">
        <f t="shared" si="67"/>
        <v>*0.92</v>
      </c>
      <c r="P520" s="32" t="s">
        <v>1394</v>
      </c>
      <c r="Q520" s="42" t="s">
        <v>57</v>
      </c>
      <c r="R520" s="32">
        <v>2035</v>
      </c>
      <c r="S520" s="43" t="str">
        <f t="shared" si="68"/>
        <v>*0.93</v>
      </c>
      <c r="U520" s="32" t="s">
        <v>1394</v>
      </c>
      <c r="V520" s="42" t="s">
        <v>57</v>
      </c>
      <c r="W520" s="32">
        <v>2050</v>
      </c>
      <c r="X520" s="43" t="str">
        <f t="shared" si="69"/>
        <v>*0.92</v>
      </c>
      <c r="AC520" s="33" t="s">
        <v>1394</v>
      </c>
      <c r="AD520" s="44" t="s">
        <v>57</v>
      </c>
      <c r="AE520" s="33">
        <v>2035</v>
      </c>
      <c r="AF520" s="45" t="str">
        <f t="shared" si="70"/>
        <v>*0.91</v>
      </c>
      <c r="AG520" s="43" t="str">
        <f t="shared" si="64"/>
        <v>REZoning_Sol-Win</v>
      </c>
      <c r="AI520" s="33" t="s">
        <v>1394</v>
      </c>
      <c r="AJ520" s="44" t="s">
        <v>57</v>
      </c>
      <c r="AK520" s="33">
        <v>2050</v>
      </c>
      <c r="AL520" s="45" t="str">
        <f t="shared" si="71"/>
        <v>*0.87</v>
      </c>
      <c r="AM520" s="43" t="str">
        <f t="shared" si="65"/>
        <v>REZoning_Sol-Win</v>
      </c>
      <c r="AP520" t="s">
        <v>1394</v>
      </c>
      <c r="AQ520" t="s">
        <v>57</v>
      </c>
      <c r="AR520">
        <v>2100</v>
      </c>
      <c r="AS520" t="s">
        <v>874</v>
      </c>
      <c r="AT520" t="s">
        <v>58</v>
      </c>
    </row>
    <row r="521" ht="29" spans="1:46">
      <c r="A521" s="31" t="s">
        <v>169</v>
      </c>
      <c r="C521" t="s">
        <v>1395</v>
      </c>
      <c r="D521" s="5" t="s">
        <v>57</v>
      </c>
      <c r="E521">
        <v>2035</v>
      </c>
      <c r="F521" s="6" t="str">
        <f t="shared" si="66"/>
        <v>*0.94</v>
      </c>
      <c r="H521" t="s">
        <v>1395</v>
      </c>
      <c r="I521" s="5" t="s">
        <v>57</v>
      </c>
      <c r="J521">
        <v>2050</v>
      </c>
      <c r="K521" s="38" t="str">
        <f t="shared" si="67"/>
        <v>*0.92</v>
      </c>
      <c r="P521" s="32" t="s">
        <v>1395</v>
      </c>
      <c r="Q521" s="42" t="s">
        <v>57</v>
      </c>
      <c r="R521" s="32">
        <v>2035</v>
      </c>
      <c r="S521" s="43" t="str">
        <f t="shared" si="68"/>
        <v>*0.93</v>
      </c>
      <c r="U521" s="32" t="s">
        <v>1395</v>
      </c>
      <c r="V521" s="42" t="s">
        <v>57</v>
      </c>
      <c r="W521" s="32">
        <v>2050</v>
      </c>
      <c r="X521" s="43" t="str">
        <f t="shared" si="69"/>
        <v>*0.92</v>
      </c>
      <c r="AC521" s="33" t="s">
        <v>1395</v>
      </c>
      <c r="AD521" s="44" t="s">
        <v>57</v>
      </c>
      <c r="AE521" s="33">
        <v>2035</v>
      </c>
      <c r="AF521" s="45" t="str">
        <f t="shared" si="70"/>
        <v>*0.91</v>
      </c>
      <c r="AG521" s="43" t="str">
        <f t="shared" ref="AG521:AG584" si="72">AG520</f>
        <v>REZoning_Sol-Win</v>
      </c>
      <c r="AI521" s="33" t="s">
        <v>1395</v>
      </c>
      <c r="AJ521" s="44" t="s">
        <v>57</v>
      </c>
      <c r="AK521" s="33">
        <v>2050</v>
      </c>
      <c r="AL521" s="45" t="str">
        <f t="shared" si="71"/>
        <v>*0.87</v>
      </c>
      <c r="AM521" s="43" t="str">
        <f t="shared" si="65"/>
        <v>REZoning_Sol-Win</v>
      </c>
      <c r="AP521" t="s">
        <v>1395</v>
      </c>
      <c r="AQ521" t="s">
        <v>57</v>
      </c>
      <c r="AR521">
        <v>2100</v>
      </c>
      <c r="AS521" t="s">
        <v>874</v>
      </c>
      <c r="AT521" t="s">
        <v>58</v>
      </c>
    </row>
    <row r="522" ht="29" spans="1:46">
      <c r="A522" s="31" t="s">
        <v>169</v>
      </c>
      <c r="C522" t="s">
        <v>1396</v>
      </c>
      <c r="D522" s="5" t="s">
        <v>57</v>
      </c>
      <c r="E522">
        <v>2035</v>
      </c>
      <c r="F522" s="6" t="str">
        <f t="shared" si="66"/>
        <v>*0.94</v>
      </c>
      <c r="H522" t="s">
        <v>1396</v>
      </c>
      <c r="I522" s="5" t="s">
        <v>57</v>
      </c>
      <c r="J522">
        <v>2050</v>
      </c>
      <c r="K522" s="38" t="str">
        <f t="shared" si="67"/>
        <v>*0.92</v>
      </c>
      <c r="P522" s="32" t="s">
        <v>1396</v>
      </c>
      <c r="Q522" s="42" t="s">
        <v>57</v>
      </c>
      <c r="R522" s="32">
        <v>2035</v>
      </c>
      <c r="S522" s="43" t="str">
        <f t="shared" si="68"/>
        <v>*0.93</v>
      </c>
      <c r="U522" s="32" t="s">
        <v>1396</v>
      </c>
      <c r="V522" s="42" t="s">
        <v>57</v>
      </c>
      <c r="W522" s="32">
        <v>2050</v>
      </c>
      <c r="X522" s="43" t="str">
        <f t="shared" si="69"/>
        <v>*0.92</v>
      </c>
      <c r="AC522" s="33" t="s">
        <v>1396</v>
      </c>
      <c r="AD522" s="44" t="s">
        <v>57</v>
      </c>
      <c r="AE522" s="33">
        <v>2035</v>
      </c>
      <c r="AF522" s="45" t="str">
        <f t="shared" si="70"/>
        <v>*0.91</v>
      </c>
      <c r="AG522" s="43" t="str">
        <f t="shared" si="72"/>
        <v>REZoning_Sol-Win</v>
      </c>
      <c r="AI522" s="33" t="s">
        <v>1396</v>
      </c>
      <c r="AJ522" s="44" t="s">
        <v>57</v>
      </c>
      <c r="AK522" s="33">
        <v>2050</v>
      </c>
      <c r="AL522" s="45" t="str">
        <f t="shared" si="71"/>
        <v>*0.87</v>
      </c>
      <c r="AM522" s="43" t="str">
        <f t="shared" ref="AM522:AM585" si="73">AM521</f>
        <v>REZoning_Sol-Win</v>
      </c>
      <c r="AP522" t="s">
        <v>1396</v>
      </c>
      <c r="AQ522" t="s">
        <v>57</v>
      </c>
      <c r="AR522">
        <v>2100</v>
      </c>
      <c r="AS522" t="s">
        <v>874</v>
      </c>
      <c r="AT522" t="s">
        <v>58</v>
      </c>
    </row>
    <row r="523" ht="29" spans="1:46">
      <c r="A523" s="31" t="s">
        <v>169</v>
      </c>
      <c r="C523" t="s">
        <v>1397</v>
      </c>
      <c r="D523" s="5" t="s">
        <v>57</v>
      </c>
      <c r="E523">
        <v>2035</v>
      </c>
      <c r="F523" s="6" t="str">
        <f t="shared" si="66"/>
        <v>*0.94</v>
      </c>
      <c r="H523" t="s">
        <v>1397</v>
      </c>
      <c r="I523" s="5" t="s">
        <v>57</v>
      </c>
      <c r="J523">
        <v>2050</v>
      </c>
      <c r="K523" s="38" t="str">
        <f t="shared" si="67"/>
        <v>*0.92</v>
      </c>
      <c r="P523" s="32" t="s">
        <v>1397</v>
      </c>
      <c r="Q523" s="42" t="s">
        <v>57</v>
      </c>
      <c r="R523" s="32">
        <v>2035</v>
      </c>
      <c r="S523" s="43" t="str">
        <f t="shared" si="68"/>
        <v>*0.93</v>
      </c>
      <c r="U523" s="32" t="s">
        <v>1397</v>
      </c>
      <c r="V523" s="42" t="s">
        <v>57</v>
      </c>
      <c r="W523" s="32">
        <v>2050</v>
      </c>
      <c r="X523" s="43" t="str">
        <f t="shared" si="69"/>
        <v>*0.92</v>
      </c>
      <c r="AC523" s="33" t="s">
        <v>1397</v>
      </c>
      <c r="AD523" s="44" t="s">
        <v>57</v>
      </c>
      <c r="AE523" s="33">
        <v>2035</v>
      </c>
      <c r="AF523" s="45" t="str">
        <f t="shared" si="70"/>
        <v>*0.91</v>
      </c>
      <c r="AG523" s="43" t="str">
        <f t="shared" si="72"/>
        <v>REZoning_Sol-Win</v>
      </c>
      <c r="AI523" s="33" t="s">
        <v>1397</v>
      </c>
      <c r="AJ523" s="44" t="s">
        <v>57</v>
      </c>
      <c r="AK523" s="33">
        <v>2050</v>
      </c>
      <c r="AL523" s="45" t="str">
        <f t="shared" si="71"/>
        <v>*0.87</v>
      </c>
      <c r="AM523" s="43" t="str">
        <f t="shared" si="73"/>
        <v>REZoning_Sol-Win</v>
      </c>
      <c r="AP523" t="s">
        <v>1397</v>
      </c>
      <c r="AQ523" t="s">
        <v>57</v>
      </c>
      <c r="AR523">
        <v>2100</v>
      </c>
      <c r="AS523" t="s">
        <v>874</v>
      </c>
      <c r="AT523" t="s">
        <v>58</v>
      </c>
    </row>
    <row r="524" ht="29" spans="1:46">
      <c r="A524" s="31" t="s">
        <v>169</v>
      </c>
      <c r="C524" t="s">
        <v>1398</v>
      </c>
      <c r="D524" s="5" t="s">
        <v>57</v>
      </c>
      <c r="E524">
        <v>2035</v>
      </c>
      <c r="F524" s="6" t="str">
        <f t="shared" si="66"/>
        <v>*0.94</v>
      </c>
      <c r="H524" t="s">
        <v>1398</v>
      </c>
      <c r="I524" s="5" t="s">
        <v>57</v>
      </c>
      <c r="J524">
        <v>2050</v>
      </c>
      <c r="K524" s="38" t="str">
        <f t="shared" si="67"/>
        <v>*0.92</v>
      </c>
      <c r="P524" s="32" t="s">
        <v>1398</v>
      </c>
      <c r="Q524" s="42" t="s">
        <v>57</v>
      </c>
      <c r="R524" s="32">
        <v>2035</v>
      </c>
      <c r="S524" s="43" t="str">
        <f t="shared" si="68"/>
        <v>*0.93</v>
      </c>
      <c r="U524" s="32" t="s">
        <v>1398</v>
      </c>
      <c r="V524" s="42" t="s">
        <v>57</v>
      </c>
      <c r="W524" s="32">
        <v>2050</v>
      </c>
      <c r="X524" s="43" t="str">
        <f t="shared" si="69"/>
        <v>*0.92</v>
      </c>
      <c r="AC524" s="33" t="s">
        <v>1398</v>
      </c>
      <c r="AD524" s="44" t="s">
        <v>57</v>
      </c>
      <c r="AE524" s="33">
        <v>2035</v>
      </c>
      <c r="AF524" s="45" t="str">
        <f t="shared" si="70"/>
        <v>*0.91</v>
      </c>
      <c r="AG524" s="43" t="str">
        <f t="shared" si="72"/>
        <v>REZoning_Sol-Win</v>
      </c>
      <c r="AI524" s="33" t="s">
        <v>1398</v>
      </c>
      <c r="AJ524" s="44" t="s">
        <v>57</v>
      </c>
      <c r="AK524" s="33">
        <v>2050</v>
      </c>
      <c r="AL524" s="45" t="str">
        <f t="shared" si="71"/>
        <v>*0.87</v>
      </c>
      <c r="AM524" s="43" t="str">
        <f t="shared" si="73"/>
        <v>REZoning_Sol-Win</v>
      </c>
      <c r="AP524" t="s">
        <v>1398</v>
      </c>
      <c r="AQ524" t="s">
        <v>57</v>
      </c>
      <c r="AR524">
        <v>2100</v>
      </c>
      <c r="AS524" t="s">
        <v>874</v>
      </c>
      <c r="AT524" t="s">
        <v>58</v>
      </c>
    </row>
    <row r="525" ht="29" spans="1:46">
      <c r="A525" s="31" t="s">
        <v>169</v>
      </c>
      <c r="C525" t="s">
        <v>1399</v>
      </c>
      <c r="D525" s="5" t="s">
        <v>57</v>
      </c>
      <c r="E525">
        <v>2035</v>
      </c>
      <c r="F525" s="6" t="str">
        <f t="shared" si="66"/>
        <v>*0.94</v>
      </c>
      <c r="H525" t="s">
        <v>1399</v>
      </c>
      <c r="I525" s="5" t="s">
        <v>57</v>
      </c>
      <c r="J525">
        <v>2050</v>
      </c>
      <c r="K525" s="38" t="str">
        <f t="shared" si="67"/>
        <v>*0.92</v>
      </c>
      <c r="P525" s="32" t="s">
        <v>1399</v>
      </c>
      <c r="Q525" s="42" t="s">
        <v>57</v>
      </c>
      <c r="R525" s="32">
        <v>2035</v>
      </c>
      <c r="S525" s="43" t="str">
        <f t="shared" si="68"/>
        <v>*0.93</v>
      </c>
      <c r="U525" s="32" t="s">
        <v>1399</v>
      </c>
      <c r="V525" s="42" t="s">
        <v>57</v>
      </c>
      <c r="W525" s="32">
        <v>2050</v>
      </c>
      <c r="X525" s="43" t="str">
        <f t="shared" si="69"/>
        <v>*0.92</v>
      </c>
      <c r="AC525" s="33" t="s">
        <v>1399</v>
      </c>
      <c r="AD525" s="44" t="s">
        <v>57</v>
      </c>
      <c r="AE525" s="33">
        <v>2035</v>
      </c>
      <c r="AF525" s="45" t="str">
        <f t="shared" si="70"/>
        <v>*0.91</v>
      </c>
      <c r="AG525" s="43" t="str">
        <f t="shared" si="72"/>
        <v>REZoning_Sol-Win</v>
      </c>
      <c r="AI525" s="33" t="s">
        <v>1399</v>
      </c>
      <c r="AJ525" s="44" t="s">
        <v>57</v>
      </c>
      <c r="AK525" s="33">
        <v>2050</v>
      </c>
      <c r="AL525" s="45" t="str">
        <f t="shared" si="71"/>
        <v>*0.87</v>
      </c>
      <c r="AM525" s="43" t="str">
        <f t="shared" si="73"/>
        <v>REZoning_Sol-Win</v>
      </c>
      <c r="AP525" t="s">
        <v>1399</v>
      </c>
      <c r="AQ525" t="s">
        <v>57</v>
      </c>
      <c r="AR525">
        <v>2100</v>
      </c>
      <c r="AS525" t="s">
        <v>874</v>
      </c>
      <c r="AT525" t="s">
        <v>58</v>
      </c>
    </row>
    <row r="526" ht="29" spans="1:46">
      <c r="A526" s="31" t="s">
        <v>169</v>
      </c>
      <c r="C526" t="s">
        <v>1400</v>
      </c>
      <c r="D526" s="5" t="s">
        <v>57</v>
      </c>
      <c r="E526">
        <v>2035</v>
      </c>
      <c r="F526" s="6" t="str">
        <f t="shared" si="66"/>
        <v>*0.94</v>
      </c>
      <c r="H526" t="s">
        <v>1400</v>
      </c>
      <c r="I526" s="5" t="s">
        <v>57</v>
      </c>
      <c r="J526">
        <v>2050</v>
      </c>
      <c r="K526" s="38" t="str">
        <f t="shared" si="67"/>
        <v>*0.92</v>
      </c>
      <c r="P526" s="32" t="s">
        <v>1400</v>
      </c>
      <c r="Q526" s="42" t="s">
        <v>57</v>
      </c>
      <c r="R526" s="32">
        <v>2035</v>
      </c>
      <c r="S526" s="43" t="str">
        <f t="shared" si="68"/>
        <v>*0.93</v>
      </c>
      <c r="U526" s="32" t="s">
        <v>1400</v>
      </c>
      <c r="V526" s="42" t="s">
        <v>57</v>
      </c>
      <c r="W526" s="32">
        <v>2050</v>
      </c>
      <c r="X526" s="43" t="str">
        <f t="shared" si="69"/>
        <v>*0.92</v>
      </c>
      <c r="AC526" s="33" t="s">
        <v>1400</v>
      </c>
      <c r="AD526" s="44" t="s">
        <v>57</v>
      </c>
      <c r="AE526" s="33">
        <v>2035</v>
      </c>
      <c r="AF526" s="45" t="str">
        <f t="shared" si="70"/>
        <v>*0.91</v>
      </c>
      <c r="AG526" s="43" t="str">
        <f t="shared" si="72"/>
        <v>REZoning_Sol-Win</v>
      </c>
      <c r="AI526" s="33" t="s">
        <v>1400</v>
      </c>
      <c r="AJ526" s="44" t="s">
        <v>57</v>
      </c>
      <c r="AK526" s="33">
        <v>2050</v>
      </c>
      <c r="AL526" s="45" t="str">
        <f t="shared" si="71"/>
        <v>*0.87</v>
      </c>
      <c r="AM526" s="43" t="str">
        <f t="shared" si="73"/>
        <v>REZoning_Sol-Win</v>
      </c>
      <c r="AP526" t="s">
        <v>1400</v>
      </c>
      <c r="AQ526" t="s">
        <v>57</v>
      </c>
      <c r="AR526">
        <v>2100</v>
      </c>
      <c r="AS526" t="s">
        <v>874</v>
      </c>
      <c r="AT526" t="s">
        <v>58</v>
      </c>
    </row>
    <row r="527" ht="29" spans="1:46">
      <c r="A527" s="31" t="s">
        <v>169</v>
      </c>
      <c r="C527" t="s">
        <v>1401</v>
      </c>
      <c r="D527" s="5" t="s">
        <v>57</v>
      </c>
      <c r="E527">
        <v>2035</v>
      </c>
      <c r="F527" s="6" t="str">
        <f t="shared" si="66"/>
        <v>*0.94</v>
      </c>
      <c r="H527" t="s">
        <v>1401</v>
      </c>
      <c r="I527" s="5" t="s">
        <v>57</v>
      </c>
      <c r="J527">
        <v>2050</v>
      </c>
      <c r="K527" s="38" t="str">
        <f t="shared" si="67"/>
        <v>*0.92</v>
      </c>
      <c r="P527" s="32" t="s">
        <v>1401</v>
      </c>
      <c r="Q527" s="42" t="s">
        <v>57</v>
      </c>
      <c r="R527" s="32">
        <v>2035</v>
      </c>
      <c r="S527" s="43" t="str">
        <f t="shared" si="68"/>
        <v>*0.93</v>
      </c>
      <c r="U527" s="32" t="s">
        <v>1401</v>
      </c>
      <c r="V527" s="42" t="s">
        <v>57</v>
      </c>
      <c r="W527" s="32">
        <v>2050</v>
      </c>
      <c r="X527" s="43" t="str">
        <f t="shared" si="69"/>
        <v>*0.92</v>
      </c>
      <c r="AC527" s="33" t="s">
        <v>1401</v>
      </c>
      <c r="AD527" s="44" t="s">
        <v>57</v>
      </c>
      <c r="AE527" s="33">
        <v>2035</v>
      </c>
      <c r="AF527" s="45" t="str">
        <f t="shared" si="70"/>
        <v>*0.91</v>
      </c>
      <c r="AG527" s="43" t="str">
        <f t="shared" si="72"/>
        <v>REZoning_Sol-Win</v>
      </c>
      <c r="AI527" s="33" t="s">
        <v>1401</v>
      </c>
      <c r="AJ527" s="44" t="s">
        <v>57</v>
      </c>
      <c r="AK527" s="33">
        <v>2050</v>
      </c>
      <c r="AL527" s="45" t="str">
        <f t="shared" si="71"/>
        <v>*0.87</v>
      </c>
      <c r="AM527" s="43" t="str">
        <f t="shared" si="73"/>
        <v>REZoning_Sol-Win</v>
      </c>
      <c r="AP527" t="s">
        <v>1401</v>
      </c>
      <c r="AQ527" t="s">
        <v>57</v>
      </c>
      <c r="AR527">
        <v>2100</v>
      </c>
      <c r="AS527" t="s">
        <v>874</v>
      </c>
      <c r="AT527" t="s">
        <v>58</v>
      </c>
    </row>
    <row r="528" ht="29" spans="1:46">
      <c r="A528" s="31" t="s">
        <v>169</v>
      </c>
      <c r="C528" t="s">
        <v>1402</v>
      </c>
      <c r="D528" s="5" t="s">
        <v>57</v>
      </c>
      <c r="E528">
        <v>2035</v>
      </c>
      <c r="F528" s="6" t="str">
        <f t="shared" si="66"/>
        <v>*0.94</v>
      </c>
      <c r="H528" t="s">
        <v>1402</v>
      </c>
      <c r="I528" s="5" t="s">
        <v>57</v>
      </c>
      <c r="J528">
        <v>2050</v>
      </c>
      <c r="K528" s="38" t="str">
        <f t="shared" si="67"/>
        <v>*0.92</v>
      </c>
      <c r="P528" s="32" t="s">
        <v>1402</v>
      </c>
      <c r="Q528" s="42" t="s">
        <v>57</v>
      </c>
      <c r="R528" s="32">
        <v>2035</v>
      </c>
      <c r="S528" s="43" t="str">
        <f t="shared" si="68"/>
        <v>*0.93</v>
      </c>
      <c r="U528" s="32" t="s">
        <v>1402</v>
      </c>
      <c r="V528" s="42" t="s">
        <v>57</v>
      </c>
      <c r="W528" s="32">
        <v>2050</v>
      </c>
      <c r="X528" s="43" t="str">
        <f t="shared" si="69"/>
        <v>*0.92</v>
      </c>
      <c r="AC528" s="33" t="s">
        <v>1402</v>
      </c>
      <c r="AD528" s="44" t="s">
        <v>57</v>
      </c>
      <c r="AE528" s="33">
        <v>2035</v>
      </c>
      <c r="AF528" s="45" t="str">
        <f t="shared" si="70"/>
        <v>*0.91</v>
      </c>
      <c r="AG528" s="43" t="str">
        <f t="shared" si="72"/>
        <v>REZoning_Sol-Win</v>
      </c>
      <c r="AI528" s="33" t="s">
        <v>1402</v>
      </c>
      <c r="AJ528" s="44" t="s">
        <v>57</v>
      </c>
      <c r="AK528" s="33">
        <v>2050</v>
      </c>
      <c r="AL528" s="45" t="str">
        <f t="shared" si="71"/>
        <v>*0.87</v>
      </c>
      <c r="AM528" s="43" t="str">
        <f t="shared" si="73"/>
        <v>REZoning_Sol-Win</v>
      </c>
      <c r="AP528" t="s">
        <v>1402</v>
      </c>
      <c r="AQ528" t="s">
        <v>57</v>
      </c>
      <c r="AR528">
        <v>2100</v>
      </c>
      <c r="AS528" t="s">
        <v>874</v>
      </c>
      <c r="AT528" t="s">
        <v>58</v>
      </c>
    </row>
    <row r="529" ht="29" spans="1:46">
      <c r="A529" s="31" t="s">
        <v>169</v>
      </c>
      <c r="C529" t="s">
        <v>1403</v>
      </c>
      <c r="D529" s="5" t="s">
        <v>57</v>
      </c>
      <c r="E529">
        <v>2035</v>
      </c>
      <c r="F529" s="6" t="str">
        <f t="shared" si="66"/>
        <v>*0.94</v>
      </c>
      <c r="H529" t="s">
        <v>1403</v>
      </c>
      <c r="I529" s="5" t="s">
        <v>57</v>
      </c>
      <c r="J529">
        <v>2050</v>
      </c>
      <c r="K529" s="38" t="str">
        <f t="shared" si="67"/>
        <v>*0.92</v>
      </c>
      <c r="P529" s="32" t="s">
        <v>1403</v>
      </c>
      <c r="Q529" s="42" t="s">
        <v>57</v>
      </c>
      <c r="R529" s="32">
        <v>2035</v>
      </c>
      <c r="S529" s="43" t="str">
        <f t="shared" si="68"/>
        <v>*0.93</v>
      </c>
      <c r="U529" s="32" t="s">
        <v>1403</v>
      </c>
      <c r="V529" s="42" t="s">
        <v>57</v>
      </c>
      <c r="W529" s="32">
        <v>2050</v>
      </c>
      <c r="X529" s="43" t="str">
        <f t="shared" si="69"/>
        <v>*0.92</v>
      </c>
      <c r="AC529" s="33" t="s">
        <v>1403</v>
      </c>
      <c r="AD529" s="44" t="s">
        <v>57</v>
      </c>
      <c r="AE529" s="33">
        <v>2035</v>
      </c>
      <c r="AF529" s="45" t="str">
        <f t="shared" si="70"/>
        <v>*0.91</v>
      </c>
      <c r="AG529" s="43" t="str">
        <f t="shared" si="72"/>
        <v>REZoning_Sol-Win</v>
      </c>
      <c r="AI529" s="33" t="s">
        <v>1403</v>
      </c>
      <c r="AJ529" s="44" t="s">
        <v>57</v>
      </c>
      <c r="AK529" s="33">
        <v>2050</v>
      </c>
      <c r="AL529" s="45" t="str">
        <f t="shared" si="71"/>
        <v>*0.87</v>
      </c>
      <c r="AM529" s="43" t="str">
        <f t="shared" si="73"/>
        <v>REZoning_Sol-Win</v>
      </c>
      <c r="AP529" t="s">
        <v>1403</v>
      </c>
      <c r="AQ529" t="s">
        <v>57</v>
      </c>
      <c r="AR529">
        <v>2100</v>
      </c>
      <c r="AS529" t="s">
        <v>874</v>
      </c>
      <c r="AT529" t="s">
        <v>58</v>
      </c>
    </row>
    <row r="530" ht="29" spans="1:46">
      <c r="A530" s="31" t="s">
        <v>169</v>
      </c>
      <c r="C530" t="s">
        <v>1404</v>
      </c>
      <c r="D530" s="5" t="s">
        <v>57</v>
      </c>
      <c r="E530">
        <v>2035</v>
      </c>
      <c r="F530" s="6" t="str">
        <f t="shared" si="66"/>
        <v>*0.94</v>
      </c>
      <c r="H530" t="s">
        <v>1404</v>
      </c>
      <c r="I530" s="5" t="s">
        <v>57</v>
      </c>
      <c r="J530">
        <v>2050</v>
      </c>
      <c r="K530" s="38" t="str">
        <f t="shared" si="67"/>
        <v>*0.92</v>
      </c>
      <c r="P530" s="32" t="s">
        <v>1404</v>
      </c>
      <c r="Q530" s="42" t="s">
        <v>57</v>
      </c>
      <c r="R530" s="32">
        <v>2035</v>
      </c>
      <c r="S530" s="43" t="str">
        <f t="shared" si="68"/>
        <v>*0.93</v>
      </c>
      <c r="U530" s="32" t="s">
        <v>1404</v>
      </c>
      <c r="V530" s="42" t="s">
        <v>57</v>
      </c>
      <c r="W530" s="32">
        <v>2050</v>
      </c>
      <c r="X530" s="43" t="str">
        <f t="shared" si="69"/>
        <v>*0.92</v>
      </c>
      <c r="AC530" s="33" t="s">
        <v>1404</v>
      </c>
      <c r="AD530" s="44" t="s">
        <v>57</v>
      </c>
      <c r="AE530" s="33">
        <v>2035</v>
      </c>
      <c r="AF530" s="45" t="str">
        <f t="shared" si="70"/>
        <v>*0.91</v>
      </c>
      <c r="AG530" s="43" t="str">
        <f t="shared" si="72"/>
        <v>REZoning_Sol-Win</v>
      </c>
      <c r="AI530" s="33" t="s">
        <v>1404</v>
      </c>
      <c r="AJ530" s="44" t="s">
        <v>57</v>
      </c>
      <c r="AK530" s="33">
        <v>2050</v>
      </c>
      <c r="AL530" s="45" t="str">
        <f t="shared" si="71"/>
        <v>*0.87</v>
      </c>
      <c r="AM530" s="43" t="str">
        <f t="shared" si="73"/>
        <v>REZoning_Sol-Win</v>
      </c>
      <c r="AP530" t="s">
        <v>1404</v>
      </c>
      <c r="AQ530" t="s">
        <v>57</v>
      </c>
      <c r="AR530">
        <v>2100</v>
      </c>
      <c r="AS530" t="s">
        <v>874</v>
      </c>
      <c r="AT530" t="s">
        <v>58</v>
      </c>
    </row>
    <row r="531" ht="29" spans="1:46">
      <c r="A531" s="31" t="s">
        <v>169</v>
      </c>
      <c r="C531" t="s">
        <v>1405</v>
      </c>
      <c r="D531" s="5" t="s">
        <v>57</v>
      </c>
      <c r="E531">
        <v>2035</v>
      </c>
      <c r="F531" s="6" t="str">
        <f t="shared" si="66"/>
        <v>*0.94</v>
      </c>
      <c r="H531" t="s">
        <v>1405</v>
      </c>
      <c r="I531" s="5" t="s">
        <v>57</v>
      </c>
      <c r="J531">
        <v>2050</v>
      </c>
      <c r="K531" s="38" t="str">
        <f t="shared" si="67"/>
        <v>*0.92</v>
      </c>
      <c r="P531" s="32" t="s">
        <v>1405</v>
      </c>
      <c r="Q531" s="42" t="s">
        <v>57</v>
      </c>
      <c r="R531" s="32">
        <v>2035</v>
      </c>
      <c r="S531" s="43" t="str">
        <f t="shared" si="68"/>
        <v>*0.93</v>
      </c>
      <c r="U531" s="32" t="s">
        <v>1405</v>
      </c>
      <c r="V531" s="42" t="s">
        <v>57</v>
      </c>
      <c r="W531" s="32">
        <v>2050</v>
      </c>
      <c r="X531" s="43" t="str">
        <f t="shared" si="69"/>
        <v>*0.92</v>
      </c>
      <c r="AC531" s="33" t="s">
        <v>1405</v>
      </c>
      <c r="AD531" s="44" t="s">
        <v>57</v>
      </c>
      <c r="AE531" s="33">
        <v>2035</v>
      </c>
      <c r="AF531" s="45" t="str">
        <f t="shared" si="70"/>
        <v>*0.91</v>
      </c>
      <c r="AG531" s="43" t="str">
        <f t="shared" si="72"/>
        <v>REZoning_Sol-Win</v>
      </c>
      <c r="AI531" s="33" t="s">
        <v>1405</v>
      </c>
      <c r="AJ531" s="44" t="s">
        <v>57</v>
      </c>
      <c r="AK531" s="33">
        <v>2050</v>
      </c>
      <c r="AL531" s="45" t="str">
        <f t="shared" si="71"/>
        <v>*0.87</v>
      </c>
      <c r="AM531" s="43" t="str">
        <f t="shared" si="73"/>
        <v>REZoning_Sol-Win</v>
      </c>
      <c r="AP531" t="s">
        <v>1405</v>
      </c>
      <c r="AQ531" t="s">
        <v>57</v>
      </c>
      <c r="AR531">
        <v>2100</v>
      </c>
      <c r="AS531" t="s">
        <v>874</v>
      </c>
      <c r="AT531" t="s">
        <v>58</v>
      </c>
    </row>
    <row r="532" ht="29" spans="1:46">
      <c r="A532" s="31" t="s">
        <v>169</v>
      </c>
      <c r="C532" t="s">
        <v>1406</v>
      </c>
      <c r="D532" s="5" t="s">
        <v>57</v>
      </c>
      <c r="E532">
        <v>2035</v>
      </c>
      <c r="F532" s="6" t="str">
        <f t="shared" si="66"/>
        <v>*0.94</v>
      </c>
      <c r="H532" t="s">
        <v>1406</v>
      </c>
      <c r="I532" s="5" t="s">
        <v>57</v>
      </c>
      <c r="J532">
        <v>2050</v>
      </c>
      <c r="K532" s="38" t="str">
        <f t="shared" si="67"/>
        <v>*0.92</v>
      </c>
      <c r="P532" s="32" t="s">
        <v>1406</v>
      </c>
      <c r="Q532" s="42" t="s">
        <v>57</v>
      </c>
      <c r="R532" s="32">
        <v>2035</v>
      </c>
      <c r="S532" s="43" t="str">
        <f t="shared" si="68"/>
        <v>*0.93</v>
      </c>
      <c r="U532" s="32" t="s">
        <v>1406</v>
      </c>
      <c r="V532" s="42" t="s">
        <v>57</v>
      </c>
      <c r="W532" s="32">
        <v>2050</v>
      </c>
      <c r="X532" s="43" t="str">
        <f t="shared" si="69"/>
        <v>*0.92</v>
      </c>
      <c r="AC532" s="33" t="s">
        <v>1406</v>
      </c>
      <c r="AD532" s="44" t="s">
        <v>57</v>
      </c>
      <c r="AE532" s="33">
        <v>2035</v>
      </c>
      <c r="AF532" s="45" t="str">
        <f t="shared" si="70"/>
        <v>*0.91</v>
      </c>
      <c r="AG532" s="43" t="str">
        <f t="shared" si="72"/>
        <v>REZoning_Sol-Win</v>
      </c>
      <c r="AI532" s="33" t="s">
        <v>1406</v>
      </c>
      <c r="AJ532" s="44" t="s">
        <v>57</v>
      </c>
      <c r="AK532" s="33">
        <v>2050</v>
      </c>
      <c r="AL532" s="45" t="str">
        <f t="shared" si="71"/>
        <v>*0.87</v>
      </c>
      <c r="AM532" s="43" t="str">
        <f t="shared" si="73"/>
        <v>REZoning_Sol-Win</v>
      </c>
      <c r="AP532" t="s">
        <v>1406</v>
      </c>
      <c r="AQ532" t="s">
        <v>57</v>
      </c>
      <c r="AR532">
        <v>2100</v>
      </c>
      <c r="AS532" t="s">
        <v>874</v>
      </c>
      <c r="AT532" t="s">
        <v>58</v>
      </c>
    </row>
    <row r="533" ht="29" spans="1:46">
      <c r="A533" s="31" t="s">
        <v>169</v>
      </c>
      <c r="C533" t="s">
        <v>1407</v>
      </c>
      <c r="D533" s="5" t="s">
        <v>57</v>
      </c>
      <c r="E533">
        <v>2035</v>
      </c>
      <c r="F533" s="6" t="str">
        <f t="shared" si="66"/>
        <v>*0.94</v>
      </c>
      <c r="H533" t="s">
        <v>1407</v>
      </c>
      <c r="I533" s="5" t="s">
        <v>57</v>
      </c>
      <c r="J533">
        <v>2050</v>
      </c>
      <c r="K533" s="38" t="str">
        <f t="shared" si="67"/>
        <v>*0.92</v>
      </c>
      <c r="P533" s="32" t="s">
        <v>1407</v>
      </c>
      <c r="Q533" s="42" t="s">
        <v>57</v>
      </c>
      <c r="R533" s="32">
        <v>2035</v>
      </c>
      <c r="S533" s="43" t="str">
        <f t="shared" si="68"/>
        <v>*0.93</v>
      </c>
      <c r="U533" s="32" t="s">
        <v>1407</v>
      </c>
      <c r="V533" s="42" t="s">
        <v>57</v>
      </c>
      <c r="W533" s="32">
        <v>2050</v>
      </c>
      <c r="X533" s="43" t="str">
        <f t="shared" si="69"/>
        <v>*0.92</v>
      </c>
      <c r="AC533" s="33" t="s">
        <v>1407</v>
      </c>
      <c r="AD533" s="44" t="s">
        <v>57</v>
      </c>
      <c r="AE533" s="33">
        <v>2035</v>
      </c>
      <c r="AF533" s="45" t="str">
        <f t="shared" si="70"/>
        <v>*0.91</v>
      </c>
      <c r="AG533" s="43" t="str">
        <f t="shared" si="72"/>
        <v>REZoning_Sol-Win</v>
      </c>
      <c r="AI533" s="33" t="s">
        <v>1407</v>
      </c>
      <c r="AJ533" s="44" t="s">
        <v>57</v>
      </c>
      <c r="AK533" s="33">
        <v>2050</v>
      </c>
      <c r="AL533" s="45" t="str">
        <f t="shared" si="71"/>
        <v>*0.87</v>
      </c>
      <c r="AM533" s="43" t="str">
        <f t="shared" si="73"/>
        <v>REZoning_Sol-Win</v>
      </c>
      <c r="AP533" t="s">
        <v>1407</v>
      </c>
      <c r="AQ533" t="s">
        <v>57</v>
      </c>
      <c r="AR533">
        <v>2100</v>
      </c>
      <c r="AS533" t="s">
        <v>874</v>
      </c>
      <c r="AT533" t="s">
        <v>58</v>
      </c>
    </row>
    <row r="534" ht="29" spans="1:46">
      <c r="A534" s="31" t="s">
        <v>169</v>
      </c>
      <c r="C534" t="s">
        <v>1408</v>
      </c>
      <c r="D534" s="5" t="s">
        <v>57</v>
      </c>
      <c r="E534">
        <v>2035</v>
      </c>
      <c r="F534" s="6" t="str">
        <f t="shared" si="66"/>
        <v>*0.94</v>
      </c>
      <c r="H534" t="s">
        <v>1408</v>
      </c>
      <c r="I534" s="5" t="s">
        <v>57</v>
      </c>
      <c r="J534">
        <v>2050</v>
      </c>
      <c r="K534" s="38" t="str">
        <f t="shared" si="67"/>
        <v>*0.92</v>
      </c>
      <c r="P534" s="32" t="s">
        <v>1408</v>
      </c>
      <c r="Q534" s="42" t="s">
        <v>57</v>
      </c>
      <c r="R534" s="32">
        <v>2035</v>
      </c>
      <c r="S534" s="43" t="str">
        <f t="shared" si="68"/>
        <v>*0.93</v>
      </c>
      <c r="U534" s="32" t="s">
        <v>1408</v>
      </c>
      <c r="V534" s="42" t="s">
        <v>57</v>
      </c>
      <c r="W534" s="32">
        <v>2050</v>
      </c>
      <c r="X534" s="43" t="str">
        <f t="shared" si="69"/>
        <v>*0.92</v>
      </c>
      <c r="AC534" s="33" t="s">
        <v>1408</v>
      </c>
      <c r="AD534" s="44" t="s">
        <v>57</v>
      </c>
      <c r="AE534" s="33">
        <v>2035</v>
      </c>
      <c r="AF534" s="45" t="str">
        <f t="shared" si="70"/>
        <v>*0.91</v>
      </c>
      <c r="AG534" s="43" t="str">
        <f t="shared" si="72"/>
        <v>REZoning_Sol-Win</v>
      </c>
      <c r="AI534" s="33" t="s">
        <v>1408</v>
      </c>
      <c r="AJ534" s="44" t="s">
        <v>57</v>
      </c>
      <c r="AK534" s="33">
        <v>2050</v>
      </c>
      <c r="AL534" s="45" t="str">
        <f t="shared" si="71"/>
        <v>*0.87</v>
      </c>
      <c r="AM534" s="43" t="str">
        <f t="shared" si="73"/>
        <v>REZoning_Sol-Win</v>
      </c>
      <c r="AP534" t="s">
        <v>1408</v>
      </c>
      <c r="AQ534" t="s">
        <v>57</v>
      </c>
      <c r="AR534">
        <v>2100</v>
      </c>
      <c r="AS534" t="s">
        <v>874</v>
      </c>
      <c r="AT534" t="s">
        <v>58</v>
      </c>
    </row>
    <row r="535" ht="29" spans="1:46">
      <c r="A535" s="31" t="s">
        <v>169</v>
      </c>
      <c r="C535" t="s">
        <v>1409</v>
      </c>
      <c r="D535" s="5" t="s">
        <v>57</v>
      </c>
      <c r="E535">
        <v>2035</v>
      </c>
      <c r="F535" s="6" t="str">
        <f t="shared" si="66"/>
        <v>*0.94</v>
      </c>
      <c r="H535" t="s">
        <v>1409</v>
      </c>
      <c r="I535" s="5" t="s">
        <v>57</v>
      </c>
      <c r="J535">
        <v>2050</v>
      </c>
      <c r="K535" s="38" t="str">
        <f t="shared" si="67"/>
        <v>*0.92</v>
      </c>
      <c r="P535" s="32" t="s">
        <v>1409</v>
      </c>
      <c r="Q535" s="42" t="s">
        <v>57</v>
      </c>
      <c r="R535" s="32">
        <v>2035</v>
      </c>
      <c r="S535" s="43" t="str">
        <f t="shared" si="68"/>
        <v>*0.93</v>
      </c>
      <c r="U535" s="32" t="s">
        <v>1409</v>
      </c>
      <c r="V535" s="42" t="s">
        <v>57</v>
      </c>
      <c r="W535" s="32">
        <v>2050</v>
      </c>
      <c r="X535" s="43" t="str">
        <f t="shared" si="69"/>
        <v>*0.92</v>
      </c>
      <c r="AC535" s="33" t="s">
        <v>1409</v>
      </c>
      <c r="AD535" s="44" t="s">
        <v>57</v>
      </c>
      <c r="AE535" s="33">
        <v>2035</v>
      </c>
      <c r="AF535" s="45" t="str">
        <f t="shared" si="70"/>
        <v>*0.91</v>
      </c>
      <c r="AG535" s="43" t="str">
        <f t="shared" si="72"/>
        <v>REZoning_Sol-Win</v>
      </c>
      <c r="AI535" s="33" t="s">
        <v>1409</v>
      </c>
      <c r="AJ535" s="44" t="s">
        <v>57</v>
      </c>
      <c r="AK535" s="33">
        <v>2050</v>
      </c>
      <c r="AL535" s="45" t="str">
        <f t="shared" si="71"/>
        <v>*0.87</v>
      </c>
      <c r="AM535" s="43" t="str">
        <f t="shared" si="73"/>
        <v>REZoning_Sol-Win</v>
      </c>
      <c r="AP535" t="s">
        <v>1409</v>
      </c>
      <c r="AQ535" t="s">
        <v>57</v>
      </c>
      <c r="AR535">
        <v>2100</v>
      </c>
      <c r="AS535" t="s">
        <v>874</v>
      </c>
      <c r="AT535" t="s">
        <v>58</v>
      </c>
    </row>
    <row r="536" ht="29" spans="1:46">
      <c r="A536" s="31" t="s">
        <v>169</v>
      </c>
      <c r="C536" t="s">
        <v>1410</v>
      </c>
      <c r="D536" s="5" t="s">
        <v>57</v>
      </c>
      <c r="E536">
        <v>2035</v>
      </c>
      <c r="F536" s="6" t="str">
        <f t="shared" si="66"/>
        <v>*0.94</v>
      </c>
      <c r="H536" t="s">
        <v>1410</v>
      </c>
      <c r="I536" s="5" t="s">
        <v>57</v>
      </c>
      <c r="J536">
        <v>2050</v>
      </c>
      <c r="K536" s="38" t="str">
        <f t="shared" si="67"/>
        <v>*0.92</v>
      </c>
      <c r="P536" s="32" t="s">
        <v>1410</v>
      </c>
      <c r="Q536" s="42" t="s">
        <v>57</v>
      </c>
      <c r="R536" s="32">
        <v>2035</v>
      </c>
      <c r="S536" s="43" t="str">
        <f t="shared" si="68"/>
        <v>*0.93</v>
      </c>
      <c r="U536" s="32" t="s">
        <v>1410</v>
      </c>
      <c r="V536" s="42" t="s">
        <v>57</v>
      </c>
      <c r="W536" s="32">
        <v>2050</v>
      </c>
      <c r="X536" s="43" t="str">
        <f t="shared" si="69"/>
        <v>*0.92</v>
      </c>
      <c r="AC536" s="33" t="s">
        <v>1410</v>
      </c>
      <c r="AD536" s="44" t="s">
        <v>57</v>
      </c>
      <c r="AE536" s="33">
        <v>2035</v>
      </c>
      <c r="AF536" s="45" t="str">
        <f t="shared" si="70"/>
        <v>*0.91</v>
      </c>
      <c r="AG536" s="43" t="str">
        <f t="shared" si="72"/>
        <v>REZoning_Sol-Win</v>
      </c>
      <c r="AI536" s="33" t="s">
        <v>1410</v>
      </c>
      <c r="AJ536" s="44" t="s">
        <v>57</v>
      </c>
      <c r="AK536" s="33">
        <v>2050</v>
      </c>
      <c r="AL536" s="45" t="str">
        <f t="shared" si="71"/>
        <v>*0.87</v>
      </c>
      <c r="AM536" s="43" t="str">
        <f t="shared" si="73"/>
        <v>REZoning_Sol-Win</v>
      </c>
      <c r="AP536" t="s">
        <v>1410</v>
      </c>
      <c r="AQ536" t="s">
        <v>57</v>
      </c>
      <c r="AR536">
        <v>2100</v>
      </c>
      <c r="AS536" t="s">
        <v>874</v>
      </c>
      <c r="AT536" t="s">
        <v>58</v>
      </c>
    </row>
    <row r="537" ht="29" spans="1:46">
      <c r="A537" s="31" t="s">
        <v>169</v>
      </c>
      <c r="C537" t="s">
        <v>1411</v>
      </c>
      <c r="D537" s="5" t="s">
        <v>57</v>
      </c>
      <c r="E537">
        <v>2035</v>
      </c>
      <c r="F537" s="6" t="str">
        <f t="shared" si="66"/>
        <v>*0.94</v>
      </c>
      <c r="H537" t="s">
        <v>1411</v>
      </c>
      <c r="I537" s="5" t="s">
        <v>57</v>
      </c>
      <c r="J537">
        <v>2050</v>
      </c>
      <c r="K537" s="38" t="str">
        <f t="shared" si="67"/>
        <v>*0.92</v>
      </c>
      <c r="P537" s="32" t="s">
        <v>1411</v>
      </c>
      <c r="Q537" s="42" t="s">
        <v>57</v>
      </c>
      <c r="R537" s="32">
        <v>2035</v>
      </c>
      <c r="S537" s="43" t="str">
        <f t="shared" si="68"/>
        <v>*0.93</v>
      </c>
      <c r="U537" s="32" t="s">
        <v>1411</v>
      </c>
      <c r="V537" s="42" t="s">
        <v>57</v>
      </c>
      <c r="W537" s="32">
        <v>2050</v>
      </c>
      <c r="X537" s="43" t="str">
        <f t="shared" si="69"/>
        <v>*0.92</v>
      </c>
      <c r="AC537" s="33" t="s">
        <v>1411</v>
      </c>
      <c r="AD537" s="44" t="s">
        <v>57</v>
      </c>
      <c r="AE537" s="33">
        <v>2035</v>
      </c>
      <c r="AF537" s="45" t="str">
        <f t="shared" si="70"/>
        <v>*0.91</v>
      </c>
      <c r="AG537" s="43" t="str">
        <f t="shared" si="72"/>
        <v>REZoning_Sol-Win</v>
      </c>
      <c r="AI537" s="33" t="s">
        <v>1411</v>
      </c>
      <c r="AJ537" s="44" t="s">
        <v>57</v>
      </c>
      <c r="AK537" s="33">
        <v>2050</v>
      </c>
      <c r="AL537" s="45" t="str">
        <f t="shared" si="71"/>
        <v>*0.87</v>
      </c>
      <c r="AM537" s="43" t="str">
        <f t="shared" si="73"/>
        <v>REZoning_Sol-Win</v>
      </c>
      <c r="AP537" t="s">
        <v>1411</v>
      </c>
      <c r="AQ537" t="s">
        <v>57</v>
      </c>
      <c r="AR537">
        <v>2100</v>
      </c>
      <c r="AS537" t="s">
        <v>874</v>
      </c>
      <c r="AT537" t="s">
        <v>58</v>
      </c>
    </row>
    <row r="538" ht="29" spans="1:46">
      <c r="A538" s="31" t="s">
        <v>169</v>
      </c>
      <c r="C538" t="s">
        <v>1412</v>
      </c>
      <c r="D538" s="5" t="s">
        <v>57</v>
      </c>
      <c r="E538">
        <v>2035</v>
      </c>
      <c r="F538" s="6" t="str">
        <f t="shared" si="66"/>
        <v>*0.94</v>
      </c>
      <c r="H538" t="s">
        <v>1412</v>
      </c>
      <c r="I538" s="5" t="s">
        <v>57</v>
      </c>
      <c r="J538">
        <v>2050</v>
      </c>
      <c r="K538" s="38" t="str">
        <f t="shared" si="67"/>
        <v>*0.92</v>
      </c>
      <c r="P538" s="32" t="s">
        <v>1412</v>
      </c>
      <c r="Q538" s="42" t="s">
        <v>57</v>
      </c>
      <c r="R538" s="32">
        <v>2035</v>
      </c>
      <c r="S538" s="43" t="str">
        <f t="shared" si="68"/>
        <v>*0.93</v>
      </c>
      <c r="U538" s="32" t="s">
        <v>1412</v>
      </c>
      <c r="V538" s="42" t="s">
        <v>57</v>
      </c>
      <c r="W538" s="32">
        <v>2050</v>
      </c>
      <c r="X538" s="43" t="str">
        <f t="shared" si="69"/>
        <v>*0.92</v>
      </c>
      <c r="AC538" s="33" t="s">
        <v>1412</v>
      </c>
      <c r="AD538" s="44" t="s">
        <v>57</v>
      </c>
      <c r="AE538" s="33">
        <v>2035</v>
      </c>
      <c r="AF538" s="45" t="str">
        <f t="shared" si="70"/>
        <v>*0.91</v>
      </c>
      <c r="AG538" s="43" t="str">
        <f t="shared" si="72"/>
        <v>REZoning_Sol-Win</v>
      </c>
      <c r="AI538" s="33" t="s">
        <v>1412</v>
      </c>
      <c r="AJ538" s="44" t="s">
        <v>57</v>
      </c>
      <c r="AK538" s="33">
        <v>2050</v>
      </c>
      <c r="AL538" s="45" t="str">
        <f t="shared" si="71"/>
        <v>*0.87</v>
      </c>
      <c r="AM538" s="43" t="str">
        <f t="shared" si="73"/>
        <v>REZoning_Sol-Win</v>
      </c>
      <c r="AP538" t="s">
        <v>1412</v>
      </c>
      <c r="AQ538" t="s">
        <v>57</v>
      </c>
      <c r="AR538">
        <v>2100</v>
      </c>
      <c r="AS538" t="s">
        <v>874</v>
      </c>
      <c r="AT538" t="s">
        <v>58</v>
      </c>
    </row>
    <row r="539" ht="29" spans="1:46">
      <c r="A539" s="31" t="s">
        <v>65</v>
      </c>
      <c r="C539" t="s">
        <v>1413</v>
      </c>
      <c r="D539" s="5" t="s">
        <v>57</v>
      </c>
      <c r="E539">
        <v>2035</v>
      </c>
      <c r="F539" s="6" t="str">
        <f t="shared" si="66"/>
        <v>*0.94</v>
      </c>
      <c r="H539" t="s">
        <v>1413</v>
      </c>
      <c r="I539" s="5" t="s">
        <v>57</v>
      </c>
      <c r="J539">
        <v>2050</v>
      </c>
      <c r="K539" s="38" t="str">
        <f t="shared" si="67"/>
        <v>*0.91</v>
      </c>
      <c r="P539" s="32" t="s">
        <v>1413</v>
      </c>
      <c r="Q539" s="42" t="s">
        <v>57</v>
      </c>
      <c r="R539" s="32">
        <v>2035</v>
      </c>
      <c r="S539" s="43" t="str">
        <f t="shared" si="68"/>
        <v>*0.93</v>
      </c>
      <c r="U539" s="32" t="s">
        <v>1413</v>
      </c>
      <c r="V539" s="42" t="s">
        <v>57</v>
      </c>
      <c r="W539" s="32">
        <v>2050</v>
      </c>
      <c r="X539" s="43" t="str">
        <f t="shared" si="69"/>
        <v>*0.9</v>
      </c>
      <c r="AC539" s="33" t="s">
        <v>1413</v>
      </c>
      <c r="AD539" s="44" t="s">
        <v>57</v>
      </c>
      <c r="AE539" s="33">
        <v>2035</v>
      </c>
      <c r="AF539" s="45" t="str">
        <f t="shared" si="70"/>
        <v>*0.9</v>
      </c>
      <c r="AG539" s="43" t="str">
        <f t="shared" si="72"/>
        <v>REZoning_Sol-Win</v>
      </c>
      <c r="AI539" s="33" t="s">
        <v>1413</v>
      </c>
      <c r="AJ539" s="44" t="s">
        <v>57</v>
      </c>
      <c r="AK539" s="33">
        <v>2050</v>
      </c>
      <c r="AL539" s="45" t="str">
        <f t="shared" si="71"/>
        <v>*0.86</v>
      </c>
      <c r="AM539" s="43" t="str">
        <f t="shared" si="73"/>
        <v>REZoning_Sol-Win</v>
      </c>
      <c r="AP539" t="s">
        <v>1413</v>
      </c>
      <c r="AQ539" t="s">
        <v>57</v>
      </c>
      <c r="AR539">
        <v>2100</v>
      </c>
      <c r="AS539" t="s">
        <v>883</v>
      </c>
      <c r="AT539" t="s">
        <v>58</v>
      </c>
    </row>
    <row r="540" ht="29" spans="1:46">
      <c r="A540" s="31" t="s">
        <v>65</v>
      </c>
      <c r="C540" t="s">
        <v>1414</v>
      </c>
      <c r="D540" s="5" t="s">
        <v>57</v>
      </c>
      <c r="E540">
        <v>2035</v>
      </c>
      <c r="F540" s="6" t="str">
        <f t="shared" si="66"/>
        <v>*0.94</v>
      </c>
      <c r="H540" t="s">
        <v>1414</v>
      </c>
      <c r="I540" s="5" t="s">
        <v>57</v>
      </c>
      <c r="J540">
        <v>2050</v>
      </c>
      <c r="K540" s="38" t="str">
        <f t="shared" si="67"/>
        <v>*0.91</v>
      </c>
      <c r="P540" s="32" t="s">
        <v>1414</v>
      </c>
      <c r="Q540" s="42" t="s">
        <v>57</v>
      </c>
      <c r="R540" s="32">
        <v>2035</v>
      </c>
      <c r="S540" s="43" t="str">
        <f t="shared" si="68"/>
        <v>*0.93</v>
      </c>
      <c r="U540" s="32" t="s">
        <v>1414</v>
      </c>
      <c r="V540" s="42" t="s">
        <v>57</v>
      </c>
      <c r="W540" s="32">
        <v>2050</v>
      </c>
      <c r="X540" s="43" t="str">
        <f t="shared" si="69"/>
        <v>*0.9</v>
      </c>
      <c r="AC540" s="33" t="s">
        <v>1414</v>
      </c>
      <c r="AD540" s="44" t="s">
        <v>57</v>
      </c>
      <c r="AE540" s="33">
        <v>2035</v>
      </c>
      <c r="AF540" s="45" t="str">
        <f t="shared" si="70"/>
        <v>*0.9</v>
      </c>
      <c r="AG540" s="43" t="str">
        <f t="shared" si="72"/>
        <v>REZoning_Sol-Win</v>
      </c>
      <c r="AI540" s="33" t="s">
        <v>1414</v>
      </c>
      <c r="AJ540" s="44" t="s">
        <v>57</v>
      </c>
      <c r="AK540" s="33">
        <v>2050</v>
      </c>
      <c r="AL540" s="45" t="str">
        <f t="shared" si="71"/>
        <v>*0.86</v>
      </c>
      <c r="AM540" s="43" t="str">
        <f t="shared" si="73"/>
        <v>REZoning_Sol-Win</v>
      </c>
      <c r="AP540" t="s">
        <v>1414</v>
      </c>
      <c r="AQ540" t="s">
        <v>57</v>
      </c>
      <c r="AR540">
        <v>2100</v>
      </c>
      <c r="AS540" t="s">
        <v>883</v>
      </c>
      <c r="AT540" t="s">
        <v>58</v>
      </c>
    </row>
    <row r="541" ht="29" spans="1:46">
      <c r="A541" s="31" t="s">
        <v>65</v>
      </c>
      <c r="C541" t="s">
        <v>1415</v>
      </c>
      <c r="D541" s="5" t="s">
        <v>57</v>
      </c>
      <c r="E541">
        <v>2035</v>
      </c>
      <c r="F541" s="6" t="str">
        <f t="shared" si="66"/>
        <v>*0.94</v>
      </c>
      <c r="H541" t="s">
        <v>1415</v>
      </c>
      <c r="I541" s="5" t="s">
        <v>57</v>
      </c>
      <c r="J541">
        <v>2050</v>
      </c>
      <c r="K541" s="38" t="str">
        <f t="shared" si="67"/>
        <v>*0.91</v>
      </c>
      <c r="P541" s="32" t="s">
        <v>1415</v>
      </c>
      <c r="Q541" s="42" t="s">
        <v>57</v>
      </c>
      <c r="R541" s="32">
        <v>2035</v>
      </c>
      <c r="S541" s="43" t="str">
        <f t="shared" si="68"/>
        <v>*0.93</v>
      </c>
      <c r="U541" s="32" t="s">
        <v>1415</v>
      </c>
      <c r="V541" s="42" t="s">
        <v>57</v>
      </c>
      <c r="W541" s="32">
        <v>2050</v>
      </c>
      <c r="X541" s="43" t="str">
        <f t="shared" si="69"/>
        <v>*0.9</v>
      </c>
      <c r="AC541" s="33" t="s">
        <v>1415</v>
      </c>
      <c r="AD541" s="44" t="s">
        <v>57</v>
      </c>
      <c r="AE541" s="33">
        <v>2035</v>
      </c>
      <c r="AF541" s="45" t="str">
        <f t="shared" si="70"/>
        <v>*0.9</v>
      </c>
      <c r="AG541" s="43" t="str">
        <f t="shared" si="72"/>
        <v>REZoning_Sol-Win</v>
      </c>
      <c r="AI541" s="33" t="s">
        <v>1415</v>
      </c>
      <c r="AJ541" s="44" t="s">
        <v>57</v>
      </c>
      <c r="AK541" s="33">
        <v>2050</v>
      </c>
      <c r="AL541" s="45" t="str">
        <f t="shared" si="71"/>
        <v>*0.86</v>
      </c>
      <c r="AM541" s="43" t="str">
        <f t="shared" si="73"/>
        <v>REZoning_Sol-Win</v>
      </c>
      <c r="AP541" t="s">
        <v>1415</v>
      </c>
      <c r="AQ541" t="s">
        <v>57</v>
      </c>
      <c r="AR541">
        <v>2100</v>
      </c>
      <c r="AS541" t="s">
        <v>883</v>
      </c>
      <c r="AT541" t="s">
        <v>58</v>
      </c>
    </row>
    <row r="542" ht="29" spans="1:46">
      <c r="A542" s="31" t="s">
        <v>65</v>
      </c>
      <c r="C542" t="s">
        <v>1416</v>
      </c>
      <c r="D542" s="5" t="s">
        <v>57</v>
      </c>
      <c r="E542">
        <v>2035</v>
      </c>
      <c r="F542" s="6" t="str">
        <f t="shared" si="66"/>
        <v>*0.94</v>
      </c>
      <c r="H542" t="s">
        <v>1416</v>
      </c>
      <c r="I542" s="5" t="s">
        <v>57</v>
      </c>
      <c r="J542">
        <v>2050</v>
      </c>
      <c r="K542" s="38" t="str">
        <f t="shared" si="67"/>
        <v>*0.91</v>
      </c>
      <c r="P542" s="32" t="s">
        <v>1416</v>
      </c>
      <c r="Q542" s="42" t="s">
        <v>57</v>
      </c>
      <c r="R542" s="32">
        <v>2035</v>
      </c>
      <c r="S542" s="43" t="str">
        <f t="shared" si="68"/>
        <v>*0.93</v>
      </c>
      <c r="U542" s="32" t="s">
        <v>1416</v>
      </c>
      <c r="V542" s="42" t="s">
        <v>57</v>
      </c>
      <c r="W542" s="32">
        <v>2050</v>
      </c>
      <c r="X542" s="43" t="str">
        <f t="shared" si="69"/>
        <v>*0.9</v>
      </c>
      <c r="AC542" s="33" t="s">
        <v>1416</v>
      </c>
      <c r="AD542" s="44" t="s">
        <v>57</v>
      </c>
      <c r="AE542" s="33">
        <v>2035</v>
      </c>
      <c r="AF542" s="45" t="str">
        <f t="shared" si="70"/>
        <v>*0.9</v>
      </c>
      <c r="AG542" s="43" t="str">
        <f t="shared" si="72"/>
        <v>REZoning_Sol-Win</v>
      </c>
      <c r="AI542" s="33" t="s">
        <v>1416</v>
      </c>
      <c r="AJ542" s="44" t="s">
        <v>57</v>
      </c>
      <c r="AK542" s="33">
        <v>2050</v>
      </c>
      <c r="AL542" s="45" t="str">
        <f t="shared" si="71"/>
        <v>*0.86</v>
      </c>
      <c r="AM542" s="43" t="str">
        <f t="shared" si="73"/>
        <v>REZoning_Sol-Win</v>
      </c>
      <c r="AP542" t="s">
        <v>1416</v>
      </c>
      <c r="AQ542" t="s">
        <v>57</v>
      </c>
      <c r="AR542">
        <v>2100</v>
      </c>
      <c r="AS542" t="s">
        <v>883</v>
      </c>
      <c r="AT542" t="s">
        <v>58</v>
      </c>
    </row>
    <row r="543" ht="29" spans="1:46">
      <c r="A543" s="31" t="s">
        <v>65</v>
      </c>
      <c r="C543" t="s">
        <v>1417</v>
      </c>
      <c r="D543" s="5" t="s">
        <v>57</v>
      </c>
      <c r="E543">
        <v>2035</v>
      </c>
      <c r="F543" s="6" t="str">
        <f t="shared" si="66"/>
        <v>*0.94</v>
      </c>
      <c r="H543" t="s">
        <v>1417</v>
      </c>
      <c r="I543" s="5" t="s">
        <v>57</v>
      </c>
      <c r="J543">
        <v>2050</v>
      </c>
      <c r="K543" s="38" t="str">
        <f t="shared" si="67"/>
        <v>*0.91</v>
      </c>
      <c r="P543" s="32" t="s">
        <v>1417</v>
      </c>
      <c r="Q543" s="42" t="s">
        <v>57</v>
      </c>
      <c r="R543" s="32">
        <v>2035</v>
      </c>
      <c r="S543" s="43" t="str">
        <f t="shared" si="68"/>
        <v>*0.93</v>
      </c>
      <c r="U543" s="32" t="s">
        <v>1417</v>
      </c>
      <c r="V543" s="42" t="s">
        <v>57</v>
      </c>
      <c r="W543" s="32">
        <v>2050</v>
      </c>
      <c r="X543" s="43" t="str">
        <f t="shared" si="69"/>
        <v>*0.9</v>
      </c>
      <c r="AC543" s="33" t="s">
        <v>1417</v>
      </c>
      <c r="AD543" s="44" t="s">
        <v>57</v>
      </c>
      <c r="AE543" s="33">
        <v>2035</v>
      </c>
      <c r="AF543" s="45" t="str">
        <f t="shared" si="70"/>
        <v>*0.9</v>
      </c>
      <c r="AG543" s="43" t="str">
        <f t="shared" si="72"/>
        <v>REZoning_Sol-Win</v>
      </c>
      <c r="AI543" s="33" t="s">
        <v>1417</v>
      </c>
      <c r="AJ543" s="44" t="s">
        <v>57</v>
      </c>
      <c r="AK543" s="33">
        <v>2050</v>
      </c>
      <c r="AL543" s="45" t="str">
        <f t="shared" si="71"/>
        <v>*0.86</v>
      </c>
      <c r="AM543" s="43" t="str">
        <f t="shared" si="73"/>
        <v>REZoning_Sol-Win</v>
      </c>
      <c r="AP543" t="s">
        <v>1417</v>
      </c>
      <c r="AQ543" t="s">
        <v>57</v>
      </c>
      <c r="AR543">
        <v>2100</v>
      </c>
      <c r="AS543" t="s">
        <v>883</v>
      </c>
      <c r="AT543" t="s">
        <v>58</v>
      </c>
    </row>
    <row r="544" ht="29" spans="1:46">
      <c r="A544" s="31" t="s">
        <v>65</v>
      </c>
      <c r="C544" t="s">
        <v>1418</v>
      </c>
      <c r="D544" s="5" t="s">
        <v>57</v>
      </c>
      <c r="E544">
        <v>2035</v>
      </c>
      <c r="F544" s="6" t="str">
        <f t="shared" si="66"/>
        <v>*0.94</v>
      </c>
      <c r="H544" t="s">
        <v>1418</v>
      </c>
      <c r="I544" s="5" t="s">
        <v>57</v>
      </c>
      <c r="J544">
        <v>2050</v>
      </c>
      <c r="K544" s="38" t="str">
        <f t="shared" si="67"/>
        <v>*0.91</v>
      </c>
      <c r="P544" s="32" t="s">
        <v>1418</v>
      </c>
      <c r="Q544" s="42" t="s">
        <v>57</v>
      </c>
      <c r="R544" s="32">
        <v>2035</v>
      </c>
      <c r="S544" s="43" t="str">
        <f t="shared" si="68"/>
        <v>*0.93</v>
      </c>
      <c r="U544" s="32" t="s">
        <v>1418</v>
      </c>
      <c r="V544" s="42" t="s">
        <v>57</v>
      </c>
      <c r="W544" s="32">
        <v>2050</v>
      </c>
      <c r="X544" s="43" t="str">
        <f t="shared" si="69"/>
        <v>*0.9</v>
      </c>
      <c r="AC544" s="33" t="s">
        <v>1418</v>
      </c>
      <c r="AD544" s="44" t="s">
        <v>57</v>
      </c>
      <c r="AE544" s="33">
        <v>2035</v>
      </c>
      <c r="AF544" s="45" t="str">
        <f t="shared" si="70"/>
        <v>*0.9</v>
      </c>
      <c r="AG544" s="43" t="str">
        <f t="shared" si="72"/>
        <v>REZoning_Sol-Win</v>
      </c>
      <c r="AI544" s="33" t="s">
        <v>1418</v>
      </c>
      <c r="AJ544" s="44" t="s">
        <v>57</v>
      </c>
      <c r="AK544" s="33">
        <v>2050</v>
      </c>
      <c r="AL544" s="45" t="str">
        <f t="shared" si="71"/>
        <v>*0.86</v>
      </c>
      <c r="AM544" s="43" t="str">
        <f t="shared" si="73"/>
        <v>REZoning_Sol-Win</v>
      </c>
      <c r="AP544" t="s">
        <v>1418</v>
      </c>
      <c r="AQ544" t="s">
        <v>57</v>
      </c>
      <c r="AR544">
        <v>2100</v>
      </c>
      <c r="AS544" t="s">
        <v>883</v>
      </c>
      <c r="AT544" t="s">
        <v>58</v>
      </c>
    </row>
    <row r="545" ht="29" spans="1:46">
      <c r="A545" s="31" t="s">
        <v>65</v>
      </c>
      <c r="C545" t="s">
        <v>1419</v>
      </c>
      <c r="D545" s="5" t="s">
        <v>57</v>
      </c>
      <c r="E545">
        <v>2035</v>
      </c>
      <c r="F545" s="6" t="str">
        <f t="shared" si="66"/>
        <v>*0.94</v>
      </c>
      <c r="H545" t="s">
        <v>1419</v>
      </c>
      <c r="I545" s="5" t="s">
        <v>57</v>
      </c>
      <c r="J545">
        <v>2050</v>
      </c>
      <c r="K545" s="38" t="str">
        <f t="shared" si="67"/>
        <v>*0.91</v>
      </c>
      <c r="P545" s="32" t="s">
        <v>1419</v>
      </c>
      <c r="Q545" s="42" t="s">
        <v>57</v>
      </c>
      <c r="R545" s="32">
        <v>2035</v>
      </c>
      <c r="S545" s="43" t="str">
        <f t="shared" si="68"/>
        <v>*0.93</v>
      </c>
      <c r="U545" s="32" t="s">
        <v>1419</v>
      </c>
      <c r="V545" s="42" t="s">
        <v>57</v>
      </c>
      <c r="W545" s="32">
        <v>2050</v>
      </c>
      <c r="X545" s="43" t="str">
        <f t="shared" si="69"/>
        <v>*0.9</v>
      </c>
      <c r="AC545" s="33" t="s">
        <v>1419</v>
      </c>
      <c r="AD545" s="44" t="s">
        <v>57</v>
      </c>
      <c r="AE545" s="33">
        <v>2035</v>
      </c>
      <c r="AF545" s="45" t="str">
        <f t="shared" si="70"/>
        <v>*0.9</v>
      </c>
      <c r="AG545" s="43" t="str">
        <f t="shared" si="72"/>
        <v>REZoning_Sol-Win</v>
      </c>
      <c r="AI545" s="33" t="s">
        <v>1419</v>
      </c>
      <c r="AJ545" s="44" t="s">
        <v>57</v>
      </c>
      <c r="AK545" s="33">
        <v>2050</v>
      </c>
      <c r="AL545" s="45" t="str">
        <f t="shared" si="71"/>
        <v>*0.86</v>
      </c>
      <c r="AM545" s="43" t="str">
        <f t="shared" si="73"/>
        <v>REZoning_Sol-Win</v>
      </c>
      <c r="AP545" t="s">
        <v>1419</v>
      </c>
      <c r="AQ545" t="s">
        <v>57</v>
      </c>
      <c r="AR545">
        <v>2100</v>
      </c>
      <c r="AS545" t="s">
        <v>883</v>
      </c>
      <c r="AT545" t="s">
        <v>58</v>
      </c>
    </row>
    <row r="546" ht="29" spans="1:46">
      <c r="A546" s="31" t="s">
        <v>65</v>
      </c>
      <c r="C546" t="s">
        <v>1420</v>
      </c>
      <c r="D546" s="5" t="s">
        <v>57</v>
      </c>
      <c r="E546">
        <v>2035</v>
      </c>
      <c r="F546" s="6" t="str">
        <f t="shared" si="66"/>
        <v>*0.94</v>
      </c>
      <c r="H546" t="s">
        <v>1420</v>
      </c>
      <c r="I546" s="5" t="s">
        <v>57</v>
      </c>
      <c r="J546">
        <v>2050</v>
      </c>
      <c r="K546" s="38" t="str">
        <f t="shared" si="67"/>
        <v>*0.91</v>
      </c>
      <c r="P546" s="32" t="s">
        <v>1420</v>
      </c>
      <c r="Q546" s="42" t="s">
        <v>57</v>
      </c>
      <c r="R546" s="32">
        <v>2035</v>
      </c>
      <c r="S546" s="43" t="str">
        <f t="shared" si="68"/>
        <v>*0.93</v>
      </c>
      <c r="U546" s="32" t="s">
        <v>1420</v>
      </c>
      <c r="V546" s="42" t="s">
        <v>57</v>
      </c>
      <c r="W546" s="32">
        <v>2050</v>
      </c>
      <c r="X546" s="43" t="str">
        <f t="shared" si="69"/>
        <v>*0.9</v>
      </c>
      <c r="AC546" s="33" t="s">
        <v>1420</v>
      </c>
      <c r="AD546" s="44" t="s">
        <v>57</v>
      </c>
      <c r="AE546" s="33">
        <v>2035</v>
      </c>
      <c r="AF546" s="45" t="str">
        <f t="shared" si="70"/>
        <v>*0.9</v>
      </c>
      <c r="AG546" s="43" t="str">
        <f t="shared" si="72"/>
        <v>REZoning_Sol-Win</v>
      </c>
      <c r="AI546" s="33" t="s">
        <v>1420</v>
      </c>
      <c r="AJ546" s="44" t="s">
        <v>57</v>
      </c>
      <c r="AK546" s="33">
        <v>2050</v>
      </c>
      <c r="AL546" s="45" t="str">
        <f t="shared" si="71"/>
        <v>*0.86</v>
      </c>
      <c r="AM546" s="43" t="str">
        <f t="shared" si="73"/>
        <v>REZoning_Sol-Win</v>
      </c>
      <c r="AP546" t="s">
        <v>1420</v>
      </c>
      <c r="AQ546" t="s">
        <v>57</v>
      </c>
      <c r="AR546">
        <v>2100</v>
      </c>
      <c r="AS546" t="s">
        <v>883</v>
      </c>
      <c r="AT546" t="s">
        <v>58</v>
      </c>
    </row>
    <row r="547" ht="29" spans="1:46">
      <c r="A547" s="31" t="s">
        <v>65</v>
      </c>
      <c r="C547" t="s">
        <v>1421</v>
      </c>
      <c r="D547" s="5" t="s">
        <v>57</v>
      </c>
      <c r="E547">
        <v>2035</v>
      </c>
      <c r="F547" s="6" t="str">
        <f t="shared" si="66"/>
        <v>*0.94</v>
      </c>
      <c r="H547" t="s">
        <v>1421</v>
      </c>
      <c r="I547" s="5" t="s">
        <v>57</v>
      </c>
      <c r="J547">
        <v>2050</v>
      </c>
      <c r="K547" s="38" t="str">
        <f t="shared" si="67"/>
        <v>*0.91</v>
      </c>
      <c r="P547" s="32" t="s">
        <v>1421</v>
      </c>
      <c r="Q547" s="42" t="s">
        <v>57</v>
      </c>
      <c r="R547" s="32">
        <v>2035</v>
      </c>
      <c r="S547" s="43" t="str">
        <f t="shared" si="68"/>
        <v>*0.93</v>
      </c>
      <c r="U547" s="32" t="s">
        <v>1421</v>
      </c>
      <c r="V547" s="42" t="s">
        <v>57</v>
      </c>
      <c r="W547" s="32">
        <v>2050</v>
      </c>
      <c r="X547" s="43" t="str">
        <f t="shared" si="69"/>
        <v>*0.9</v>
      </c>
      <c r="AC547" s="33" t="s">
        <v>1421</v>
      </c>
      <c r="AD547" s="44" t="s">
        <v>57</v>
      </c>
      <c r="AE547" s="33">
        <v>2035</v>
      </c>
      <c r="AF547" s="45" t="str">
        <f t="shared" si="70"/>
        <v>*0.9</v>
      </c>
      <c r="AG547" s="43" t="str">
        <f t="shared" si="72"/>
        <v>REZoning_Sol-Win</v>
      </c>
      <c r="AI547" s="33" t="s">
        <v>1421</v>
      </c>
      <c r="AJ547" s="44" t="s">
        <v>57</v>
      </c>
      <c r="AK547" s="33">
        <v>2050</v>
      </c>
      <c r="AL547" s="45" t="str">
        <f t="shared" si="71"/>
        <v>*0.86</v>
      </c>
      <c r="AM547" s="43" t="str">
        <f t="shared" si="73"/>
        <v>REZoning_Sol-Win</v>
      </c>
      <c r="AP547" t="s">
        <v>1421</v>
      </c>
      <c r="AQ547" t="s">
        <v>57</v>
      </c>
      <c r="AR547">
        <v>2100</v>
      </c>
      <c r="AS547" t="s">
        <v>883</v>
      </c>
      <c r="AT547" t="s">
        <v>58</v>
      </c>
    </row>
    <row r="548" ht="29" spans="1:46">
      <c r="A548" s="31" t="s">
        <v>65</v>
      </c>
      <c r="C548" t="s">
        <v>1422</v>
      </c>
      <c r="D548" s="5" t="s">
        <v>57</v>
      </c>
      <c r="E548">
        <v>2035</v>
      </c>
      <c r="F548" s="6" t="str">
        <f t="shared" si="66"/>
        <v>*0.94</v>
      </c>
      <c r="H548" t="s">
        <v>1422</v>
      </c>
      <c r="I548" s="5" t="s">
        <v>57</v>
      </c>
      <c r="J548">
        <v>2050</v>
      </c>
      <c r="K548" s="38" t="str">
        <f t="shared" si="67"/>
        <v>*0.91</v>
      </c>
      <c r="P548" s="32" t="s">
        <v>1422</v>
      </c>
      <c r="Q548" s="42" t="s">
        <v>57</v>
      </c>
      <c r="R548" s="32">
        <v>2035</v>
      </c>
      <c r="S548" s="43" t="str">
        <f t="shared" si="68"/>
        <v>*0.93</v>
      </c>
      <c r="U548" s="32" t="s">
        <v>1422</v>
      </c>
      <c r="V548" s="42" t="s">
        <v>57</v>
      </c>
      <c r="W548" s="32">
        <v>2050</v>
      </c>
      <c r="X548" s="43" t="str">
        <f t="shared" si="69"/>
        <v>*0.9</v>
      </c>
      <c r="AC548" s="33" t="s">
        <v>1422</v>
      </c>
      <c r="AD548" s="44" t="s">
        <v>57</v>
      </c>
      <c r="AE548" s="33">
        <v>2035</v>
      </c>
      <c r="AF548" s="45" t="str">
        <f t="shared" si="70"/>
        <v>*0.9</v>
      </c>
      <c r="AG548" s="43" t="str">
        <f t="shared" si="72"/>
        <v>REZoning_Sol-Win</v>
      </c>
      <c r="AI548" s="33" t="s">
        <v>1422</v>
      </c>
      <c r="AJ548" s="44" t="s">
        <v>57</v>
      </c>
      <c r="AK548" s="33">
        <v>2050</v>
      </c>
      <c r="AL548" s="45" t="str">
        <f t="shared" si="71"/>
        <v>*0.86</v>
      </c>
      <c r="AM548" s="43" t="str">
        <f t="shared" si="73"/>
        <v>REZoning_Sol-Win</v>
      </c>
      <c r="AP548" t="s">
        <v>1422</v>
      </c>
      <c r="AQ548" t="s">
        <v>57</v>
      </c>
      <c r="AR548">
        <v>2100</v>
      </c>
      <c r="AS548" t="s">
        <v>883</v>
      </c>
      <c r="AT548" t="s">
        <v>58</v>
      </c>
    </row>
    <row r="549" ht="29" spans="1:46">
      <c r="A549" s="31" t="s">
        <v>65</v>
      </c>
      <c r="C549" t="s">
        <v>1423</v>
      </c>
      <c r="D549" s="5" t="s">
        <v>57</v>
      </c>
      <c r="E549">
        <v>2035</v>
      </c>
      <c r="F549" s="6" t="str">
        <f t="shared" si="66"/>
        <v>*0.94</v>
      </c>
      <c r="H549" t="s">
        <v>1423</v>
      </c>
      <c r="I549" s="5" t="s">
        <v>57</v>
      </c>
      <c r="J549">
        <v>2050</v>
      </c>
      <c r="K549" s="38" t="str">
        <f t="shared" si="67"/>
        <v>*0.91</v>
      </c>
      <c r="P549" s="32" t="s">
        <v>1423</v>
      </c>
      <c r="Q549" s="42" t="s">
        <v>57</v>
      </c>
      <c r="R549" s="32">
        <v>2035</v>
      </c>
      <c r="S549" s="43" t="str">
        <f t="shared" si="68"/>
        <v>*0.93</v>
      </c>
      <c r="U549" s="32" t="s">
        <v>1423</v>
      </c>
      <c r="V549" s="42" t="s">
        <v>57</v>
      </c>
      <c r="W549" s="32">
        <v>2050</v>
      </c>
      <c r="X549" s="43" t="str">
        <f t="shared" si="69"/>
        <v>*0.9</v>
      </c>
      <c r="AC549" s="33" t="s">
        <v>1423</v>
      </c>
      <c r="AD549" s="44" t="s">
        <v>57</v>
      </c>
      <c r="AE549" s="33">
        <v>2035</v>
      </c>
      <c r="AF549" s="45" t="str">
        <f t="shared" si="70"/>
        <v>*0.9</v>
      </c>
      <c r="AG549" s="43" t="str">
        <f t="shared" si="72"/>
        <v>REZoning_Sol-Win</v>
      </c>
      <c r="AI549" s="33" t="s">
        <v>1423</v>
      </c>
      <c r="AJ549" s="44" t="s">
        <v>57</v>
      </c>
      <c r="AK549" s="33">
        <v>2050</v>
      </c>
      <c r="AL549" s="45" t="str">
        <f t="shared" si="71"/>
        <v>*0.86</v>
      </c>
      <c r="AM549" s="43" t="str">
        <f t="shared" si="73"/>
        <v>REZoning_Sol-Win</v>
      </c>
      <c r="AP549" t="s">
        <v>1423</v>
      </c>
      <c r="AQ549" t="s">
        <v>57</v>
      </c>
      <c r="AR549">
        <v>2100</v>
      </c>
      <c r="AS549" t="s">
        <v>883</v>
      </c>
      <c r="AT549" t="s">
        <v>58</v>
      </c>
    </row>
    <row r="550" ht="29" spans="1:46">
      <c r="A550" s="31" t="s">
        <v>65</v>
      </c>
      <c r="C550" t="s">
        <v>1424</v>
      </c>
      <c r="D550" s="5" t="s">
        <v>57</v>
      </c>
      <c r="E550">
        <v>2035</v>
      </c>
      <c r="F550" s="6" t="str">
        <f t="shared" si="66"/>
        <v>*0.94</v>
      </c>
      <c r="H550" t="s">
        <v>1424</v>
      </c>
      <c r="I550" s="5" t="s">
        <v>57</v>
      </c>
      <c r="J550">
        <v>2050</v>
      </c>
      <c r="K550" s="38" t="str">
        <f t="shared" si="67"/>
        <v>*0.91</v>
      </c>
      <c r="P550" s="32" t="s">
        <v>1424</v>
      </c>
      <c r="Q550" s="42" t="s">
        <v>57</v>
      </c>
      <c r="R550" s="32">
        <v>2035</v>
      </c>
      <c r="S550" s="43" t="str">
        <f t="shared" si="68"/>
        <v>*0.93</v>
      </c>
      <c r="U550" s="32" t="s">
        <v>1424</v>
      </c>
      <c r="V550" s="42" t="s">
        <v>57</v>
      </c>
      <c r="W550" s="32">
        <v>2050</v>
      </c>
      <c r="X550" s="43" t="str">
        <f t="shared" si="69"/>
        <v>*0.9</v>
      </c>
      <c r="AC550" s="33" t="s">
        <v>1424</v>
      </c>
      <c r="AD550" s="44" t="s">
        <v>57</v>
      </c>
      <c r="AE550" s="33">
        <v>2035</v>
      </c>
      <c r="AF550" s="45" t="str">
        <f t="shared" si="70"/>
        <v>*0.9</v>
      </c>
      <c r="AG550" s="43" t="str">
        <f t="shared" si="72"/>
        <v>REZoning_Sol-Win</v>
      </c>
      <c r="AI550" s="33" t="s">
        <v>1424</v>
      </c>
      <c r="AJ550" s="44" t="s">
        <v>57</v>
      </c>
      <c r="AK550" s="33">
        <v>2050</v>
      </c>
      <c r="AL550" s="45" t="str">
        <f t="shared" si="71"/>
        <v>*0.86</v>
      </c>
      <c r="AM550" s="43" t="str">
        <f t="shared" si="73"/>
        <v>REZoning_Sol-Win</v>
      </c>
      <c r="AP550" t="s">
        <v>1424</v>
      </c>
      <c r="AQ550" t="s">
        <v>57</v>
      </c>
      <c r="AR550">
        <v>2100</v>
      </c>
      <c r="AS550" t="s">
        <v>883</v>
      </c>
      <c r="AT550" t="s">
        <v>58</v>
      </c>
    </row>
    <row r="551" ht="29" spans="1:46">
      <c r="A551" s="31" t="s">
        <v>65</v>
      </c>
      <c r="C551" t="s">
        <v>1425</v>
      </c>
      <c r="D551" s="5" t="s">
        <v>57</v>
      </c>
      <c r="E551">
        <v>2035</v>
      </c>
      <c r="F551" s="6" t="str">
        <f t="shared" si="66"/>
        <v>*0.94</v>
      </c>
      <c r="H551" t="s">
        <v>1425</v>
      </c>
      <c r="I551" s="5" t="s">
        <v>57</v>
      </c>
      <c r="J551">
        <v>2050</v>
      </c>
      <c r="K551" s="38" t="str">
        <f t="shared" si="67"/>
        <v>*0.91</v>
      </c>
      <c r="P551" s="32" t="s">
        <v>1425</v>
      </c>
      <c r="Q551" s="42" t="s">
        <v>57</v>
      </c>
      <c r="R551" s="32">
        <v>2035</v>
      </c>
      <c r="S551" s="43" t="str">
        <f t="shared" si="68"/>
        <v>*0.93</v>
      </c>
      <c r="U551" s="32" t="s">
        <v>1425</v>
      </c>
      <c r="V551" s="42" t="s">
        <v>57</v>
      </c>
      <c r="W551" s="32">
        <v>2050</v>
      </c>
      <c r="X551" s="43" t="str">
        <f t="shared" si="69"/>
        <v>*0.9</v>
      </c>
      <c r="AC551" s="33" t="s">
        <v>1425</v>
      </c>
      <c r="AD551" s="44" t="s">
        <v>57</v>
      </c>
      <c r="AE551" s="33">
        <v>2035</v>
      </c>
      <c r="AF551" s="45" t="str">
        <f t="shared" si="70"/>
        <v>*0.9</v>
      </c>
      <c r="AG551" s="43" t="str">
        <f t="shared" si="72"/>
        <v>REZoning_Sol-Win</v>
      </c>
      <c r="AI551" s="33" t="s">
        <v>1425</v>
      </c>
      <c r="AJ551" s="44" t="s">
        <v>57</v>
      </c>
      <c r="AK551" s="33">
        <v>2050</v>
      </c>
      <c r="AL551" s="45" t="str">
        <f t="shared" si="71"/>
        <v>*0.86</v>
      </c>
      <c r="AM551" s="43" t="str">
        <f t="shared" si="73"/>
        <v>REZoning_Sol-Win</v>
      </c>
      <c r="AP551" t="s">
        <v>1425</v>
      </c>
      <c r="AQ551" t="s">
        <v>57</v>
      </c>
      <c r="AR551">
        <v>2100</v>
      </c>
      <c r="AS551" t="s">
        <v>883</v>
      </c>
      <c r="AT551" t="s">
        <v>58</v>
      </c>
    </row>
    <row r="552" ht="29" spans="1:46">
      <c r="A552" s="31" t="s">
        <v>65</v>
      </c>
      <c r="C552" t="s">
        <v>1426</v>
      </c>
      <c r="D552" s="5" t="s">
        <v>57</v>
      </c>
      <c r="E552">
        <v>2035</v>
      </c>
      <c r="F552" s="6" t="str">
        <f t="shared" si="66"/>
        <v>*0.94</v>
      </c>
      <c r="H552" t="s">
        <v>1426</v>
      </c>
      <c r="I552" s="5" t="s">
        <v>57</v>
      </c>
      <c r="J552">
        <v>2050</v>
      </c>
      <c r="K552" s="38" t="str">
        <f t="shared" si="67"/>
        <v>*0.91</v>
      </c>
      <c r="P552" s="32" t="s">
        <v>1426</v>
      </c>
      <c r="Q552" s="42" t="s">
        <v>57</v>
      </c>
      <c r="R552" s="32">
        <v>2035</v>
      </c>
      <c r="S552" s="43" t="str">
        <f t="shared" si="68"/>
        <v>*0.93</v>
      </c>
      <c r="U552" s="32" t="s">
        <v>1426</v>
      </c>
      <c r="V552" s="42" t="s">
        <v>57</v>
      </c>
      <c r="W552" s="32">
        <v>2050</v>
      </c>
      <c r="X552" s="43" t="str">
        <f t="shared" si="69"/>
        <v>*0.9</v>
      </c>
      <c r="AC552" s="33" t="s">
        <v>1426</v>
      </c>
      <c r="AD552" s="44" t="s">
        <v>57</v>
      </c>
      <c r="AE552" s="33">
        <v>2035</v>
      </c>
      <c r="AF552" s="45" t="str">
        <f t="shared" si="70"/>
        <v>*0.9</v>
      </c>
      <c r="AG552" s="43" t="str">
        <f t="shared" si="72"/>
        <v>REZoning_Sol-Win</v>
      </c>
      <c r="AI552" s="33" t="s">
        <v>1426</v>
      </c>
      <c r="AJ552" s="44" t="s">
        <v>57</v>
      </c>
      <c r="AK552" s="33">
        <v>2050</v>
      </c>
      <c r="AL552" s="45" t="str">
        <f t="shared" si="71"/>
        <v>*0.86</v>
      </c>
      <c r="AM552" s="43" t="str">
        <f t="shared" si="73"/>
        <v>REZoning_Sol-Win</v>
      </c>
      <c r="AP552" t="s">
        <v>1426</v>
      </c>
      <c r="AQ552" t="s">
        <v>57</v>
      </c>
      <c r="AR552">
        <v>2100</v>
      </c>
      <c r="AS552" t="s">
        <v>883</v>
      </c>
      <c r="AT552" t="s">
        <v>58</v>
      </c>
    </row>
    <row r="553" ht="29" spans="1:46">
      <c r="A553" s="31" t="s">
        <v>65</v>
      </c>
      <c r="C553" t="s">
        <v>1427</v>
      </c>
      <c r="D553" s="5" t="s">
        <v>57</v>
      </c>
      <c r="E553">
        <v>2035</v>
      </c>
      <c r="F553" s="6" t="str">
        <f t="shared" si="66"/>
        <v>*0.94</v>
      </c>
      <c r="H553" t="s">
        <v>1427</v>
      </c>
      <c r="I553" s="5" t="s">
        <v>57</v>
      </c>
      <c r="J553">
        <v>2050</v>
      </c>
      <c r="K553" s="38" t="str">
        <f t="shared" si="67"/>
        <v>*0.91</v>
      </c>
      <c r="P553" s="32" t="s">
        <v>1427</v>
      </c>
      <c r="Q553" s="42" t="s">
        <v>57</v>
      </c>
      <c r="R553" s="32">
        <v>2035</v>
      </c>
      <c r="S553" s="43" t="str">
        <f t="shared" si="68"/>
        <v>*0.93</v>
      </c>
      <c r="U553" s="32" t="s">
        <v>1427</v>
      </c>
      <c r="V553" s="42" t="s">
        <v>57</v>
      </c>
      <c r="W553" s="32">
        <v>2050</v>
      </c>
      <c r="X553" s="43" t="str">
        <f t="shared" si="69"/>
        <v>*0.9</v>
      </c>
      <c r="AC553" s="33" t="s">
        <v>1427</v>
      </c>
      <c r="AD553" s="44" t="s">
        <v>57</v>
      </c>
      <c r="AE553" s="33">
        <v>2035</v>
      </c>
      <c r="AF553" s="45" t="str">
        <f t="shared" si="70"/>
        <v>*0.9</v>
      </c>
      <c r="AG553" s="43" t="str">
        <f t="shared" si="72"/>
        <v>REZoning_Sol-Win</v>
      </c>
      <c r="AI553" s="33" t="s">
        <v>1427</v>
      </c>
      <c r="AJ553" s="44" t="s">
        <v>57</v>
      </c>
      <c r="AK553" s="33">
        <v>2050</v>
      </c>
      <c r="AL553" s="45" t="str">
        <f t="shared" si="71"/>
        <v>*0.86</v>
      </c>
      <c r="AM553" s="43" t="str">
        <f t="shared" si="73"/>
        <v>REZoning_Sol-Win</v>
      </c>
      <c r="AP553" t="s">
        <v>1427</v>
      </c>
      <c r="AQ553" t="s">
        <v>57</v>
      </c>
      <c r="AR553">
        <v>2100</v>
      </c>
      <c r="AS553" t="s">
        <v>883</v>
      </c>
      <c r="AT553" t="s">
        <v>58</v>
      </c>
    </row>
    <row r="554" ht="29" spans="1:46">
      <c r="A554" s="31" t="s">
        <v>65</v>
      </c>
      <c r="C554" t="s">
        <v>1428</v>
      </c>
      <c r="D554" s="5" t="s">
        <v>57</v>
      </c>
      <c r="E554">
        <v>2035</v>
      </c>
      <c r="F554" s="6" t="str">
        <f t="shared" si="66"/>
        <v>*0.94</v>
      </c>
      <c r="H554" t="s">
        <v>1428</v>
      </c>
      <c r="I554" s="5" t="s">
        <v>57</v>
      </c>
      <c r="J554">
        <v>2050</v>
      </c>
      <c r="K554" s="38" t="str">
        <f t="shared" si="67"/>
        <v>*0.91</v>
      </c>
      <c r="P554" s="32" t="s">
        <v>1428</v>
      </c>
      <c r="Q554" s="42" t="s">
        <v>57</v>
      </c>
      <c r="R554" s="32">
        <v>2035</v>
      </c>
      <c r="S554" s="43" t="str">
        <f t="shared" si="68"/>
        <v>*0.93</v>
      </c>
      <c r="U554" s="32" t="s">
        <v>1428</v>
      </c>
      <c r="V554" s="42" t="s">
        <v>57</v>
      </c>
      <c r="W554" s="32">
        <v>2050</v>
      </c>
      <c r="X554" s="43" t="str">
        <f t="shared" si="69"/>
        <v>*0.9</v>
      </c>
      <c r="AC554" s="33" t="s">
        <v>1428</v>
      </c>
      <c r="AD554" s="44" t="s">
        <v>57</v>
      </c>
      <c r="AE554" s="33">
        <v>2035</v>
      </c>
      <c r="AF554" s="45" t="str">
        <f t="shared" si="70"/>
        <v>*0.9</v>
      </c>
      <c r="AG554" s="43" t="str">
        <f t="shared" si="72"/>
        <v>REZoning_Sol-Win</v>
      </c>
      <c r="AI554" s="33" t="s">
        <v>1428</v>
      </c>
      <c r="AJ554" s="44" t="s">
        <v>57</v>
      </c>
      <c r="AK554" s="33">
        <v>2050</v>
      </c>
      <c r="AL554" s="45" t="str">
        <f t="shared" si="71"/>
        <v>*0.86</v>
      </c>
      <c r="AM554" s="43" t="str">
        <f t="shared" si="73"/>
        <v>REZoning_Sol-Win</v>
      </c>
      <c r="AP554" t="s">
        <v>1428</v>
      </c>
      <c r="AQ554" t="s">
        <v>57</v>
      </c>
      <c r="AR554">
        <v>2100</v>
      </c>
      <c r="AS554" t="s">
        <v>883</v>
      </c>
      <c r="AT554" t="s">
        <v>58</v>
      </c>
    </row>
    <row r="555" ht="29" spans="1:46">
      <c r="A555" s="31" t="s">
        <v>65</v>
      </c>
      <c r="C555" t="s">
        <v>1429</v>
      </c>
      <c r="D555" s="5" t="s">
        <v>57</v>
      </c>
      <c r="E555">
        <v>2035</v>
      </c>
      <c r="F555" s="6" t="str">
        <f t="shared" si="66"/>
        <v>*0.94</v>
      </c>
      <c r="H555" t="s">
        <v>1429</v>
      </c>
      <c r="I555" s="5" t="s">
        <v>57</v>
      </c>
      <c r="J555">
        <v>2050</v>
      </c>
      <c r="K555" s="38" t="str">
        <f t="shared" si="67"/>
        <v>*0.91</v>
      </c>
      <c r="P555" s="32" t="s">
        <v>1429</v>
      </c>
      <c r="Q555" s="42" t="s">
        <v>57</v>
      </c>
      <c r="R555" s="32">
        <v>2035</v>
      </c>
      <c r="S555" s="43" t="str">
        <f t="shared" si="68"/>
        <v>*0.93</v>
      </c>
      <c r="U555" s="32" t="s">
        <v>1429</v>
      </c>
      <c r="V555" s="42" t="s">
        <v>57</v>
      </c>
      <c r="W555" s="32">
        <v>2050</v>
      </c>
      <c r="X555" s="43" t="str">
        <f t="shared" si="69"/>
        <v>*0.9</v>
      </c>
      <c r="AC555" s="33" t="s">
        <v>1429</v>
      </c>
      <c r="AD555" s="44" t="s">
        <v>57</v>
      </c>
      <c r="AE555" s="33">
        <v>2035</v>
      </c>
      <c r="AF555" s="45" t="str">
        <f t="shared" si="70"/>
        <v>*0.9</v>
      </c>
      <c r="AG555" s="43" t="str">
        <f t="shared" si="72"/>
        <v>REZoning_Sol-Win</v>
      </c>
      <c r="AI555" s="33" t="s">
        <v>1429</v>
      </c>
      <c r="AJ555" s="44" t="s">
        <v>57</v>
      </c>
      <c r="AK555" s="33">
        <v>2050</v>
      </c>
      <c r="AL555" s="45" t="str">
        <f t="shared" si="71"/>
        <v>*0.86</v>
      </c>
      <c r="AM555" s="43" t="str">
        <f t="shared" si="73"/>
        <v>REZoning_Sol-Win</v>
      </c>
      <c r="AP555" t="s">
        <v>1429</v>
      </c>
      <c r="AQ555" t="s">
        <v>57</v>
      </c>
      <c r="AR555">
        <v>2100</v>
      </c>
      <c r="AS555" t="s">
        <v>883</v>
      </c>
      <c r="AT555" t="s">
        <v>58</v>
      </c>
    </row>
    <row r="556" ht="29" spans="1:46">
      <c r="A556" s="31" t="s">
        <v>65</v>
      </c>
      <c r="C556" t="s">
        <v>1430</v>
      </c>
      <c r="D556" s="5" t="s">
        <v>57</v>
      </c>
      <c r="E556">
        <v>2035</v>
      </c>
      <c r="F556" s="6" t="str">
        <f t="shared" si="66"/>
        <v>*0.94</v>
      </c>
      <c r="H556" t="s">
        <v>1430</v>
      </c>
      <c r="I556" s="5" t="s">
        <v>57</v>
      </c>
      <c r="J556">
        <v>2050</v>
      </c>
      <c r="K556" s="38" t="str">
        <f t="shared" si="67"/>
        <v>*0.91</v>
      </c>
      <c r="P556" s="32" t="s">
        <v>1430</v>
      </c>
      <c r="Q556" s="42" t="s">
        <v>57</v>
      </c>
      <c r="R556" s="32">
        <v>2035</v>
      </c>
      <c r="S556" s="43" t="str">
        <f t="shared" si="68"/>
        <v>*0.93</v>
      </c>
      <c r="U556" s="32" t="s">
        <v>1430</v>
      </c>
      <c r="V556" s="42" t="s">
        <v>57</v>
      </c>
      <c r="W556" s="32">
        <v>2050</v>
      </c>
      <c r="X556" s="43" t="str">
        <f t="shared" si="69"/>
        <v>*0.9</v>
      </c>
      <c r="AC556" s="33" t="s">
        <v>1430</v>
      </c>
      <c r="AD556" s="44" t="s">
        <v>57</v>
      </c>
      <c r="AE556" s="33">
        <v>2035</v>
      </c>
      <c r="AF556" s="45" t="str">
        <f t="shared" si="70"/>
        <v>*0.9</v>
      </c>
      <c r="AG556" s="43" t="str">
        <f t="shared" si="72"/>
        <v>REZoning_Sol-Win</v>
      </c>
      <c r="AI556" s="33" t="s">
        <v>1430</v>
      </c>
      <c r="AJ556" s="44" t="s">
        <v>57</v>
      </c>
      <c r="AK556" s="33">
        <v>2050</v>
      </c>
      <c r="AL556" s="45" t="str">
        <f t="shared" si="71"/>
        <v>*0.86</v>
      </c>
      <c r="AM556" s="43" t="str">
        <f t="shared" si="73"/>
        <v>REZoning_Sol-Win</v>
      </c>
      <c r="AP556" t="s">
        <v>1430</v>
      </c>
      <c r="AQ556" t="s">
        <v>57</v>
      </c>
      <c r="AR556">
        <v>2100</v>
      </c>
      <c r="AS556" t="s">
        <v>883</v>
      </c>
      <c r="AT556" t="s">
        <v>58</v>
      </c>
    </row>
    <row r="557" ht="29" spans="1:46">
      <c r="A557" s="31" t="s">
        <v>65</v>
      </c>
      <c r="C557" t="s">
        <v>1431</v>
      </c>
      <c r="D557" s="5" t="s">
        <v>57</v>
      </c>
      <c r="E557">
        <v>2035</v>
      </c>
      <c r="F557" s="6" t="str">
        <f t="shared" si="66"/>
        <v>*0.94</v>
      </c>
      <c r="H557" t="s">
        <v>1431</v>
      </c>
      <c r="I557" s="5" t="s">
        <v>57</v>
      </c>
      <c r="J557">
        <v>2050</v>
      </c>
      <c r="K557" s="38" t="str">
        <f t="shared" si="67"/>
        <v>*0.91</v>
      </c>
      <c r="P557" s="32" t="s">
        <v>1431</v>
      </c>
      <c r="Q557" s="42" t="s">
        <v>57</v>
      </c>
      <c r="R557" s="32">
        <v>2035</v>
      </c>
      <c r="S557" s="43" t="str">
        <f t="shared" si="68"/>
        <v>*0.93</v>
      </c>
      <c r="U557" s="32" t="s">
        <v>1431</v>
      </c>
      <c r="V557" s="42" t="s">
        <v>57</v>
      </c>
      <c r="W557" s="32">
        <v>2050</v>
      </c>
      <c r="X557" s="43" t="str">
        <f t="shared" si="69"/>
        <v>*0.9</v>
      </c>
      <c r="AC557" s="33" t="s">
        <v>1431</v>
      </c>
      <c r="AD557" s="44" t="s">
        <v>57</v>
      </c>
      <c r="AE557" s="33">
        <v>2035</v>
      </c>
      <c r="AF557" s="45" t="str">
        <f t="shared" si="70"/>
        <v>*0.9</v>
      </c>
      <c r="AG557" s="43" t="str">
        <f t="shared" si="72"/>
        <v>REZoning_Sol-Win</v>
      </c>
      <c r="AI557" s="33" t="s">
        <v>1431</v>
      </c>
      <c r="AJ557" s="44" t="s">
        <v>57</v>
      </c>
      <c r="AK557" s="33">
        <v>2050</v>
      </c>
      <c r="AL557" s="45" t="str">
        <f t="shared" si="71"/>
        <v>*0.86</v>
      </c>
      <c r="AM557" s="43" t="str">
        <f t="shared" si="73"/>
        <v>REZoning_Sol-Win</v>
      </c>
      <c r="AP557" t="s">
        <v>1431</v>
      </c>
      <c r="AQ557" t="s">
        <v>57</v>
      </c>
      <c r="AR557">
        <v>2100</v>
      </c>
      <c r="AS557" t="s">
        <v>883</v>
      </c>
      <c r="AT557" t="s">
        <v>58</v>
      </c>
    </row>
    <row r="558" ht="29" spans="1:46">
      <c r="A558" s="31" t="s">
        <v>65</v>
      </c>
      <c r="C558" t="s">
        <v>1432</v>
      </c>
      <c r="D558" s="5" t="s">
        <v>57</v>
      </c>
      <c r="E558">
        <v>2035</v>
      </c>
      <c r="F558" s="6" t="str">
        <f t="shared" si="66"/>
        <v>*0.94</v>
      </c>
      <c r="H558" t="s">
        <v>1432</v>
      </c>
      <c r="I558" s="5" t="s">
        <v>57</v>
      </c>
      <c r="J558">
        <v>2050</v>
      </c>
      <c r="K558" s="38" t="str">
        <f t="shared" si="67"/>
        <v>*0.91</v>
      </c>
      <c r="P558" s="32" t="s">
        <v>1432</v>
      </c>
      <c r="Q558" s="42" t="s">
        <v>57</v>
      </c>
      <c r="R558" s="32">
        <v>2035</v>
      </c>
      <c r="S558" s="43" t="str">
        <f t="shared" si="68"/>
        <v>*0.93</v>
      </c>
      <c r="U558" s="32" t="s">
        <v>1432</v>
      </c>
      <c r="V558" s="42" t="s">
        <v>57</v>
      </c>
      <c r="W558" s="32">
        <v>2050</v>
      </c>
      <c r="X558" s="43" t="str">
        <f t="shared" si="69"/>
        <v>*0.9</v>
      </c>
      <c r="AC558" s="33" t="s">
        <v>1432</v>
      </c>
      <c r="AD558" s="44" t="s">
        <v>57</v>
      </c>
      <c r="AE558" s="33">
        <v>2035</v>
      </c>
      <c r="AF558" s="45" t="str">
        <f t="shared" si="70"/>
        <v>*0.9</v>
      </c>
      <c r="AG558" s="43" t="str">
        <f t="shared" si="72"/>
        <v>REZoning_Sol-Win</v>
      </c>
      <c r="AI558" s="33" t="s">
        <v>1432</v>
      </c>
      <c r="AJ558" s="44" t="s">
        <v>57</v>
      </c>
      <c r="AK558" s="33">
        <v>2050</v>
      </c>
      <c r="AL558" s="45" t="str">
        <f t="shared" si="71"/>
        <v>*0.86</v>
      </c>
      <c r="AM558" s="43" t="str">
        <f t="shared" si="73"/>
        <v>REZoning_Sol-Win</v>
      </c>
      <c r="AP558" t="s">
        <v>1432</v>
      </c>
      <c r="AQ558" t="s">
        <v>57</v>
      </c>
      <c r="AR558">
        <v>2100</v>
      </c>
      <c r="AS558" t="s">
        <v>883</v>
      </c>
      <c r="AT558" t="s">
        <v>58</v>
      </c>
    </row>
    <row r="559" ht="29" spans="1:46">
      <c r="A559" s="31" t="s">
        <v>65</v>
      </c>
      <c r="C559" t="s">
        <v>1433</v>
      </c>
      <c r="D559" s="5" t="s">
        <v>57</v>
      </c>
      <c r="E559">
        <v>2035</v>
      </c>
      <c r="F559" s="6" t="str">
        <f t="shared" si="66"/>
        <v>*0.94</v>
      </c>
      <c r="H559" t="s">
        <v>1433</v>
      </c>
      <c r="I559" s="5" t="s">
        <v>57</v>
      </c>
      <c r="J559">
        <v>2050</v>
      </c>
      <c r="K559" s="38" t="str">
        <f t="shared" si="67"/>
        <v>*0.91</v>
      </c>
      <c r="P559" s="32" t="s">
        <v>1433</v>
      </c>
      <c r="Q559" s="42" t="s">
        <v>57</v>
      </c>
      <c r="R559" s="32">
        <v>2035</v>
      </c>
      <c r="S559" s="43" t="str">
        <f t="shared" si="68"/>
        <v>*0.93</v>
      </c>
      <c r="U559" s="32" t="s">
        <v>1433</v>
      </c>
      <c r="V559" s="42" t="s">
        <v>57</v>
      </c>
      <c r="W559" s="32">
        <v>2050</v>
      </c>
      <c r="X559" s="43" t="str">
        <f t="shared" si="69"/>
        <v>*0.9</v>
      </c>
      <c r="AC559" s="33" t="s">
        <v>1433</v>
      </c>
      <c r="AD559" s="44" t="s">
        <v>57</v>
      </c>
      <c r="AE559" s="33">
        <v>2035</v>
      </c>
      <c r="AF559" s="45" t="str">
        <f t="shared" si="70"/>
        <v>*0.9</v>
      </c>
      <c r="AG559" s="43" t="str">
        <f t="shared" si="72"/>
        <v>REZoning_Sol-Win</v>
      </c>
      <c r="AI559" s="33" t="s">
        <v>1433</v>
      </c>
      <c r="AJ559" s="44" t="s">
        <v>57</v>
      </c>
      <c r="AK559" s="33">
        <v>2050</v>
      </c>
      <c r="AL559" s="45" t="str">
        <f t="shared" si="71"/>
        <v>*0.86</v>
      </c>
      <c r="AM559" s="43" t="str">
        <f t="shared" si="73"/>
        <v>REZoning_Sol-Win</v>
      </c>
      <c r="AP559" t="s">
        <v>1433</v>
      </c>
      <c r="AQ559" t="s">
        <v>57</v>
      </c>
      <c r="AR559">
        <v>2100</v>
      </c>
      <c r="AS559" t="s">
        <v>883</v>
      </c>
      <c r="AT559" t="s">
        <v>58</v>
      </c>
    </row>
    <row r="560" ht="29" spans="1:46">
      <c r="A560" s="31" t="s">
        <v>65</v>
      </c>
      <c r="C560" t="s">
        <v>1434</v>
      </c>
      <c r="D560" s="5" t="s">
        <v>57</v>
      </c>
      <c r="E560">
        <v>2035</v>
      </c>
      <c r="F560" s="6" t="str">
        <f t="shared" si="66"/>
        <v>*0.94</v>
      </c>
      <c r="H560" t="s">
        <v>1434</v>
      </c>
      <c r="I560" s="5" t="s">
        <v>57</v>
      </c>
      <c r="J560">
        <v>2050</v>
      </c>
      <c r="K560" s="38" t="str">
        <f t="shared" si="67"/>
        <v>*0.91</v>
      </c>
      <c r="P560" s="32" t="s">
        <v>1434</v>
      </c>
      <c r="Q560" s="42" t="s">
        <v>57</v>
      </c>
      <c r="R560" s="32">
        <v>2035</v>
      </c>
      <c r="S560" s="43" t="str">
        <f t="shared" si="68"/>
        <v>*0.93</v>
      </c>
      <c r="U560" s="32" t="s">
        <v>1434</v>
      </c>
      <c r="V560" s="42" t="s">
        <v>57</v>
      </c>
      <c r="W560" s="32">
        <v>2050</v>
      </c>
      <c r="X560" s="43" t="str">
        <f t="shared" si="69"/>
        <v>*0.9</v>
      </c>
      <c r="AC560" s="33" t="s">
        <v>1434</v>
      </c>
      <c r="AD560" s="44" t="s">
        <v>57</v>
      </c>
      <c r="AE560" s="33">
        <v>2035</v>
      </c>
      <c r="AF560" s="45" t="str">
        <f t="shared" si="70"/>
        <v>*0.9</v>
      </c>
      <c r="AG560" s="43" t="str">
        <f t="shared" si="72"/>
        <v>REZoning_Sol-Win</v>
      </c>
      <c r="AI560" s="33" t="s">
        <v>1434</v>
      </c>
      <c r="AJ560" s="44" t="s">
        <v>57</v>
      </c>
      <c r="AK560" s="33">
        <v>2050</v>
      </c>
      <c r="AL560" s="45" t="str">
        <f t="shared" si="71"/>
        <v>*0.86</v>
      </c>
      <c r="AM560" s="43" t="str">
        <f t="shared" si="73"/>
        <v>REZoning_Sol-Win</v>
      </c>
      <c r="AP560" t="s">
        <v>1434</v>
      </c>
      <c r="AQ560" t="s">
        <v>57</v>
      </c>
      <c r="AR560">
        <v>2100</v>
      </c>
      <c r="AS560" t="s">
        <v>883</v>
      </c>
      <c r="AT560" t="s">
        <v>58</v>
      </c>
    </row>
    <row r="561" ht="29" spans="1:46">
      <c r="A561" s="31" t="s">
        <v>65</v>
      </c>
      <c r="C561" t="s">
        <v>1435</v>
      </c>
      <c r="D561" s="5" t="s">
        <v>57</v>
      </c>
      <c r="E561">
        <v>2035</v>
      </c>
      <c r="F561" s="6" t="str">
        <f t="shared" si="66"/>
        <v>*0.94</v>
      </c>
      <c r="H561" t="s">
        <v>1435</v>
      </c>
      <c r="I561" s="5" t="s">
        <v>57</v>
      </c>
      <c r="J561">
        <v>2050</v>
      </c>
      <c r="K561" s="38" t="str">
        <f t="shared" si="67"/>
        <v>*0.91</v>
      </c>
      <c r="P561" s="32" t="s">
        <v>1435</v>
      </c>
      <c r="Q561" s="42" t="s">
        <v>57</v>
      </c>
      <c r="R561" s="32">
        <v>2035</v>
      </c>
      <c r="S561" s="43" t="str">
        <f t="shared" si="68"/>
        <v>*0.93</v>
      </c>
      <c r="U561" s="32" t="s">
        <v>1435</v>
      </c>
      <c r="V561" s="42" t="s">
        <v>57</v>
      </c>
      <c r="W561" s="32">
        <v>2050</v>
      </c>
      <c r="X561" s="43" t="str">
        <f t="shared" si="69"/>
        <v>*0.9</v>
      </c>
      <c r="AC561" s="33" t="s">
        <v>1435</v>
      </c>
      <c r="AD561" s="44" t="s">
        <v>57</v>
      </c>
      <c r="AE561" s="33">
        <v>2035</v>
      </c>
      <c r="AF561" s="45" t="str">
        <f t="shared" si="70"/>
        <v>*0.9</v>
      </c>
      <c r="AG561" s="43" t="str">
        <f t="shared" si="72"/>
        <v>REZoning_Sol-Win</v>
      </c>
      <c r="AI561" s="33" t="s">
        <v>1435</v>
      </c>
      <c r="AJ561" s="44" t="s">
        <v>57</v>
      </c>
      <c r="AK561" s="33">
        <v>2050</v>
      </c>
      <c r="AL561" s="45" t="str">
        <f t="shared" si="71"/>
        <v>*0.86</v>
      </c>
      <c r="AM561" s="43" t="str">
        <f t="shared" si="73"/>
        <v>REZoning_Sol-Win</v>
      </c>
      <c r="AP561" t="s">
        <v>1435</v>
      </c>
      <c r="AQ561" t="s">
        <v>57</v>
      </c>
      <c r="AR561">
        <v>2100</v>
      </c>
      <c r="AS561" t="s">
        <v>883</v>
      </c>
      <c r="AT561" t="s">
        <v>58</v>
      </c>
    </row>
    <row r="562" ht="29" spans="1:46">
      <c r="A562" s="31" t="s">
        <v>65</v>
      </c>
      <c r="C562" t="s">
        <v>1436</v>
      </c>
      <c r="D562" s="5" t="s">
        <v>57</v>
      </c>
      <c r="E562">
        <v>2035</v>
      </c>
      <c r="F562" s="6" t="str">
        <f t="shared" si="66"/>
        <v>*0.94</v>
      </c>
      <c r="H562" t="s">
        <v>1436</v>
      </c>
      <c r="I562" s="5" t="s">
        <v>57</v>
      </c>
      <c r="J562">
        <v>2050</v>
      </c>
      <c r="K562" s="38" t="str">
        <f t="shared" si="67"/>
        <v>*0.91</v>
      </c>
      <c r="P562" s="32" t="s">
        <v>1436</v>
      </c>
      <c r="Q562" s="42" t="s">
        <v>57</v>
      </c>
      <c r="R562" s="32">
        <v>2035</v>
      </c>
      <c r="S562" s="43" t="str">
        <f t="shared" si="68"/>
        <v>*0.93</v>
      </c>
      <c r="U562" s="32" t="s">
        <v>1436</v>
      </c>
      <c r="V562" s="42" t="s">
        <v>57</v>
      </c>
      <c r="W562" s="32">
        <v>2050</v>
      </c>
      <c r="X562" s="43" t="str">
        <f t="shared" si="69"/>
        <v>*0.9</v>
      </c>
      <c r="AC562" s="33" t="s">
        <v>1436</v>
      </c>
      <c r="AD562" s="44" t="s">
        <v>57</v>
      </c>
      <c r="AE562" s="33">
        <v>2035</v>
      </c>
      <c r="AF562" s="45" t="str">
        <f t="shared" si="70"/>
        <v>*0.9</v>
      </c>
      <c r="AG562" s="43" t="str">
        <f t="shared" si="72"/>
        <v>REZoning_Sol-Win</v>
      </c>
      <c r="AI562" s="33" t="s">
        <v>1436</v>
      </c>
      <c r="AJ562" s="44" t="s">
        <v>57</v>
      </c>
      <c r="AK562" s="33">
        <v>2050</v>
      </c>
      <c r="AL562" s="45" t="str">
        <f t="shared" si="71"/>
        <v>*0.86</v>
      </c>
      <c r="AM562" s="43" t="str">
        <f t="shared" si="73"/>
        <v>REZoning_Sol-Win</v>
      </c>
      <c r="AP562" t="s">
        <v>1436</v>
      </c>
      <c r="AQ562" t="s">
        <v>57</v>
      </c>
      <c r="AR562">
        <v>2100</v>
      </c>
      <c r="AS562" t="s">
        <v>883</v>
      </c>
      <c r="AT562" t="s">
        <v>58</v>
      </c>
    </row>
    <row r="563" ht="29" spans="1:46">
      <c r="A563" s="31" t="s">
        <v>83</v>
      </c>
      <c r="C563" t="s">
        <v>1437</v>
      </c>
      <c r="D563" s="5" t="s">
        <v>57</v>
      </c>
      <c r="E563">
        <v>2035</v>
      </c>
      <c r="F563" s="6" t="str">
        <f t="shared" si="66"/>
        <v>*0.95</v>
      </c>
      <c r="H563" t="s">
        <v>1437</v>
      </c>
      <c r="I563" s="5" t="s">
        <v>57</v>
      </c>
      <c r="J563">
        <v>2050</v>
      </c>
      <c r="K563" s="38" t="str">
        <f t="shared" si="67"/>
        <v>*0.92</v>
      </c>
      <c r="P563" s="32" t="s">
        <v>1437</v>
      </c>
      <c r="Q563" s="42" t="s">
        <v>57</v>
      </c>
      <c r="R563" s="32">
        <v>2035</v>
      </c>
      <c r="S563" s="43" t="str">
        <f t="shared" si="68"/>
        <v>*0.95</v>
      </c>
      <c r="U563" s="32" t="s">
        <v>1437</v>
      </c>
      <c r="V563" s="42" t="s">
        <v>57</v>
      </c>
      <c r="W563" s="32">
        <v>2050</v>
      </c>
      <c r="X563" s="43" t="str">
        <f t="shared" si="69"/>
        <v>*0.92</v>
      </c>
      <c r="AC563" s="33" t="s">
        <v>1437</v>
      </c>
      <c r="AD563" s="44" t="s">
        <v>57</v>
      </c>
      <c r="AE563" s="33">
        <v>2035</v>
      </c>
      <c r="AF563" s="45" t="str">
        <f t="shared" si="70"/>
        <v>*0.93</v>
      </c>
      <c r="AG563" s="43" t="str">
        <f t="shared" si="72"/>
        <v>REZoning_Sol-Win</v>
      </c>
      <c r="AI563" s="33" t="s">
        <v>1437</v>
      </c>
      <c r="AJ563" s="44" t="s">
        <v>57</v>
      </c>
      <c r="AK563" s="33">
        <v>2050</v>
      </c>
      <c r="AL563" s="45" t="str">
        <f t="shared" si="71"/>
        <v>*0.89</v>
      </c>
      <c r="AM563" s="43" t="str">
        <f t="shared" si="73"/>
        <v>REZoning_Sol-Win</v>
      </c>
      <c r="AP563" t="s">
        <v>1437</v>
      </c>
      <c r="AQ563" t="s">
        <v>57</v>
      </c>
      <c r="AR563">
        <v>2100</v>
      </c>
      <c r="AS563" t="s">
        <v>937</v>
      </c>
      <c r="AT563" t="s">
        <v>58</v>
      </c>
    </row>
    <row r="564" ht="29" spans="1:46">
      <c r="A564" s="31" t="s">
        <v>83</v>
      </c>
      <c r="C564" t="s">
        <v>1438</v>
      </c>
      <c r="D564" s="5" t="s">
        <v>57</v>
      </c>
      <c r="E564">
        <v>2035</v>
      </c>
      <c r="F564" s="6" t="str">
        <f t="shared" si="66"/>
        <v>*0.95</v>
      </c>
      <c r="H564" t="s">
        <v>1438</v>
      </c>
      <c r="I564" s="5" t="s">
        <v>57</v>
      </c>
      <c r="J564">
        <v>2050</v>
      </c>
      <c r="K564" s="38" t="str">
        <f t="shared" si="67"/>
        <v>*0.92</v>
      </c>
      <c r="P564" s="32" t="s">
        <v>1438</v>
      </c>
      <c r="Q564" s="42" t="s">
        <v>57</v>
      </c>
      <c r="R564" s="32">
        <v>2035</v>
      </c>
      <c r="S564" s="43" t="str">
        <f t="shared" si="68"/>
        <v>*0.95</v>
      </c>
      <c r="U564" s="32" t="s">
        <v>1438</v>
      </c>
      <c r="V564" s="42" t="s">
        <v>57</v>
      </c>
      <c r="W564" s="32">
        <v>2050</v>
      </c>
      <c r="X564" s="43" t="str">
        <f t="shared" si="69"/>
        <v>*0.92</v>
      </c>
      <c r="AC564" s="33" t="s">
        <v>1438</v>
      </c>
      <c r="AD564" s="44" t="s">
        <v>57</v>
      </c>
      <c r="AE564" s="33">
        <v>2035</v>
      </c>
      <c r="AF564" s="45" t="str">
        <f t="shared" si="70"/>
        <v>*0.93</v>
      </c>
      <c r="AG564" s="43" t="str">
        <f t="shared" si="72"/>
        <v>REZoning_Sol-Win</v>
      </c>
      <c r="AI564" s="33" t="s">
        <v>1438</v>
      </c>
      <c r="AJ564" s="44" t="s">
        <v>57</v>
      </c>
      <c r="AK564" s="33">
        <v>2050</v>
      </c>
      <c r="AL564" s="45" t="str">
        <f t="shared" si="71"/>
        <v>*0.89</v>
      </c>
      <c r="AM564" s="43" t="str">
        <f t="shared" si="73"/>
        <v>REZoning_Sol-Win</v>
      </c>
      <c r="AP564" t="s">
        <v>1438</v>
      </c>
      <c r="AQ564" t="s">
        <v>57</v>
      </c>
      <c r="AR564">
        <v>2100</v>
      </c>
      <c r="AS564" t="s">
        <v>937</v>
      </c>
      <c r="AT564" t="s">
        <v>58</v>
      </c>
    </row>
    <row r="565" ht="29" spans="1:46">
      <c r="A565" s="31" t="s">
        <v>83</v>
      </c>
      <c r="C565" t="s">
        <v>1439</v>
      </c>
      <c r="D565" s="5" t="s">
        <v>57</v>
      </c>
      <c r="E565">
        <v>2035</v>
      </c>
      <c r="F565" s="6" t="str">
        <f t="shared" si="66"/>
        <v>*0.95</v>
      </c>
      <c r="H565" t="s">
        <v>1439</v>
      </c>
      <c r="I565" s="5" t="s">
        <v>57</v>
      </c>
      <c r="J565">
        <v>2050</v>
      </c>
      <c r="K565" s="38" t="str">
        <f t="shared" si="67"/>
        <v>*0.92</v>
      </c>
      <c r="P565" s="32" t="s">
        <v>1439</v>
      </c>
      <c r="Q565" s="42" t="s">
        <v>57</v>
      </c>
      <c r="R565" s="32">
        <v>2035</v>
      </c>
      <c r="S565" s="43" t="str">
        <f t="shared" si="68"/>
        <v>*0.95</v>
      </c>
      <c r="U565" s="32" t="s">
        <v>1439</v>
      </c>
      <c r="V565" s="42" t="s">
        <v>57</v>
      </c>
      <c r="W565" s="32">
        <v>2050</v>
      </c>
      <c r="X565" s="43" t="str">
        <f t="shared" si="69"/>
        <v>*0.92</v>
      </c>
      <c r="AC565" s="33" t="s">
        <v>1439</v>
      </c>
      <c r="AD565" s="44" t="s">
        <v>57</v>
      </c>
      <c r="AE565" s="33">
        <v>2035</v>
      </c>
      <c r="AF565" s="45" t="str">
        <f t="shared" si="70"/>
        <v>*0.93</v>
      </c>
      <c r="AG565" s="43" t="str">
        <f t="shared" si="72"/>
        <v>REZoning_Sol-Win</v>
      </c>
      <c r="AI565" s="33" t="s">
        <v>1439</v>
      </c>
      <c r="AJ565" s="44" t="s">
        <v>57</v>
      </c>
      <c r="AK565" s="33">
        <v>2050</v>
      </c>
      <c r="AL565" s="45" t="str">
        <f t="shared" si="71"/>
        <v>*0.89</v>
      </c>
      <c r="AM565" s="43" t="str">
        <f t="shared" si="73"/>
        <v>REZoning_Sol-Win</v>
      </c>
      <c r="AP565" t="s">
        <v>1439</v>
      </c>
      <c r="AQ565" t="s">
        <v>57</v>
      </c>
      <c r="AR565">
        <v>2100</v>
      </c>
      <c r="AS565" t="s">
        <v>937</v>
      </c>
      <c r="AT565" t="s">
        <v>58</v>
      </c>
    </row>
    <row r="566" ht="29" spans="1:46">
      <c r="A566" s="31" t="s">
        <v>83</v>
      </c>
      <c r="C566" t="s">
        <v>1440</v>
      </c>
      <c r="D566" s="5" t="s">
        <v>57</v>
      </c>
      <c r="E566">
        <v>2035</v>
      </c>
      <c r="F566" s="6" t="str">
        <f t="shared" si="66"/>
        <v>*0.95</v>
      </c>
      <c r="H566" t="s">
        <v>1440</v>
      </c>
      <c r="I566" s="5" t="s">
        <v>57</v>
      </c>
      <c r="J566">
        <v>2050</v>
      </c>
      <c r="K566" s="38" t="str">
        <f t="shared" si="67"/>
        <v>*0.92</v>
      </c>
      <c r="P566" s="32" t="s">
        <v>1440</v>
      </c>
      <c r="Q566" s="42" t="s">
        <v>57</v>
      </c>
      <c r="R566" s="32">
        <v>2035</v>
      </c>
      <c r="S566" s="43" t="str">
        <f t="shared" si="68"/>
        <v>*0.95</v>
      </c>
      <c r="U566" s="32" t="s">
        <v>1440</v>
      </c>
      <c r="V566" s="42" t="s">
        <v>57</v>
      </c>
      <c r="W566" s="32">
        <v>2050</v>
      </c>
      <c r="X566" s="43" t="str">
        <f t="shared" si="69"/>
        <v>*0.92</v>
      </c>
      <c r="AC566" s="33" t="s">
        <v>1440</v>
      </c>
      <c r="AD566" s="44" t="s">
        <v>57</v>
      </c>
      <c r="AE566" s="33">
        <v>2035</v>
      </c>
      <c r="AF566" s="45" t="str">
        <f t="shared" si="70"/>
        <v>*0.93</v>
      </c>
      <c r="AG566" s="43" t="str">
        <f t="shared" si="72"/>
        <v>REZoning_Sol-Win</v>
      </c>
      <c r="AI566" s="33" t="s">
        <v>1440</v>
      </c>
      <c r="AJ566" s="44" t="s">
        <v>57</v>
      </c>
      <c r="AK566" s="33">
        <v>2050</v>
      </c>
      <c r="AL566" s="45" t="str">
        <f t="shared" si="71"/>
        <v>*0.89</v>
      </c>
      <c r="AM566" s="43" t="str">
        <f t="shared" si="73"/>
        <v>REZoning_Sol-Win</v>
      </c>
      <c r="AP566" t="s">
        <v>1440</v>
      </c>
      <c r="AQ566" t="s">
        <v>57</v>
      </c>
      <c r="AR566">
        <v>2100</v>
      </c>
      <c r="AS566" t="s">
        <v>937</v>
      </c>
      <c r="AT566" t="s">
        <v>58</v>
      </c>
    </row>
    <row r="567" ht="29" spans="1:46">
      <c r="A567" s="31" t="s">
        <v>83</v>
      </c>
      <c r="C567" t="s">
        <v>1441</v>
      </c>
      <c r="D567" s="5" t="s">
        <v>57</v>
      </c>
      <c r="E567">
        <v>2035</v>
      </c>
      <c r="F567" s="6" t="str">
        <f t="shared" si="66"/>
        <v>*0.95</v>
      </c>
      <c r="H567" t="s">
        <v>1441</v>
      </c>
      <c r="I567" s="5" t="s">
        <v>57</v>
      </c>
      <c r="J567">
        <v>2050</v>
      </c>
      <c r="K567" s="38" t="str">
        <f t="shared" si="67"/>
        <v>*0.92</v>
      </c>
      <c r="P567" s="32" t="s">
        <v>1441</v>
      </c>
      <c r="Q567" s="42" t="s">
        <v>57</v>
      </c>
      <c r="R567" s="32">
        <v>2035</v>
      </c>
      <c r="S567" s="43" t="str">
        <f t="shared" si="68"/>
        <v>*0.95</v>
      </c>
      <c r="U567" s="32" t="s">
        <v>1441</v>
      </c>
      <c r="V567" s="42" t="s">
        <v>57</v>
      </c>
      <c r="W567" s="32">
        <v>2050</v>
      </c>
      <c r="X567" s="43" t="str">
        <f t="shared" si="69"/>
        <v>*0.92</v>
      </c>
      <c r="AC567" s="33" t="s">
        <v>1441</v>
      </c>
      <c r="AD567" s="44" t="s">
        <v>57</v>
      </c>
      <c r="AE567" s="33">
        <v>2035</v>
      </c>
      <c r="AF567" s="45" t="str">
        <f t="shared" si="70"/>
        <v>*0.93</v>
      </c>
      <c r="AG567" s="43" t="str">
        <f t="shared" si="72"/>
        <v>REZoning_Sol-Win</v>
      </c>
      <c r="AI567" s="33" t="s">
        <v>1441</v>
      </c>
      <c r="AJ567" s="44" t="s">
        <v>57</v>
      </c>
      <c r="AK567" s="33">
        <v>2050</v>
      </c>
      <c r="AL567" s="45" t="str">
        <f t="shared" si="71"/>
        <v>*0.89</v>
      </c>
      <c r="AM567" s="43" t="str">
        <f t="shared" si="73"/>
        <v>REZoning_Sol-Win</v>
      </c>
      <c r="AP567" t="s">
        <v>1441</v>
      </c>
      <c r="AQ567" t="s">
        <v>57</v>
      </c>
      <c r="AR567">
        <v>2100</v>
      </c>
      <c r="AS567" t="s">
        <v>937</v>
      </c>
      <c r="AT567" t="s">
        <v>58</v>
      </c>
    </row>
    <row r="568" ht="29" spans="1:46">
      <c r="A568" s="31" t="s">
        <v>83</v>
      </c>
      <c r="C568" t="s">
        <v>1442</v>
      </c>
      <c r="D568" s="5" t="s">
        <v>57</v>
      </c>
      <c r="E568">
        <v>2035</v>
      </c>
      <c r="F568" s="6" t="str">
        <f t="shared" si="66"/>
        <v>*0.95</v>
      </c>
      <c r="H568" t="s">
        <v>1442</v>
      </c>
      <c r="I568" s="5" t="s">
        <v>57</v>
      </c>
      <c r="J568">
        <v>2050</v>
      </c>
      <c r="K568" s="38" t="str">
        <f t="shared" si="67"/>
        <v>*0.92</v>
      </c>
      <c r="P568" s="32" t="s">
        <v>1442</v>
      </c>
      <c r="Q568" s="42" t="s">
        <v>57</v>
      </c>
      <c r="R568" s="32">
        <v>2035</v>
      </c>
      <c r="S568" s="43" t="str">
        <f t="shared" si="68"/>
        <v>*0.95</v>
      </c>
      <c r="U568" s="32" t="s">
        <v>1442</v>
      </c>
      <c r="V568" s="42" t="s">
        <v>57</v>
      </c>
      <c r="W568" s="32">
        <v>2050</v>
      </c>
      <c r="X568" s="43" t="str">
        <f t="shared" si="69"/>
        <v>*0.92</v>
      </c>
      <c r="AC568" s="33" t="s">
        <v>1442</v>
      </c>
      <c r="AD568" s="44" t="s">
        <v>57</v>
      </c>
      <c r="AE568" s="33">
        <v>2035</v>
      </c>
      <c r="AF568" s="45" t="str">
        <f t="shared" si="70"/>
        <v>*0.93</v>
      </c>
      <c r="AG568" s="43" t="str">
        <f t="shared" si="72"/>
        <v>REZoning_Sol-Win</v>
      </c>
      <c r="AI568" s="33" t="s">
        <v>1442</v>
      </c>
      <c r="AJ568" s="44" t="s">
        <v>57</v>
      </c>
      <c r="AK568" s="33">
        <v>2050</v>
      </c>
      <c r="AL568" s="45" t="str">
        <f t="shared" si="71"/>
        <v>*0.89</v>
      </c>
      <c r="AM568" s="43" t="str">
        <f t="shared" si="73"/>
        <v>REZoning_Sol-Win</v>
      </c>
      <c r="AP568" t="s">
        <v>1442</v>
      </c>
      <c r="AQ568" t="s">
        <v>57</v>
      </c>
      <c r="AR568">
        <v>2100</v>
      </c>
      <c r="AS568" t="s">
        <v>937</v>
      </c>
      <c r="AT568" t="s">
        <v>58</v>
      </c>
    </row>
    <row r="569" ht="29" spans="1:46">
      <c r="A569" s="31" t="s">
        <v>83</v>
      </c>
      <c r="C569" t="s">
        <v>1443</v>
      </c>
      <c r="D569" s="5" t="s">
        <v>57</v>
      </c>
      <c r="E569">
        <v>2035</v>
      </c>
      <c r="F569" s="6" t="str">
        <f t="shared" si="66"/>
        <v>*0.95</v>
      </c>
      <c r="H569" t="s">
        <v>1443</v>
      </c>
      <c r="I569" s="5" t="s">
        <v>57</v>
      </c>
      <c r="J569">
        <v>2050</v>
      </c>
      <c r="K569" s="38" t="str">
        <f t="shared" si="67"/>
        <v>*0.92</v>
      </c>
      <c r="P569" s="32" t="s">
        <v>1443</v>
      </c>
      <c r="Q569" s="42" t="s">
        <v>57</v>
      </c>
      <c r="R569" s="32">
        <v>2035</v>
      </c>
      <c r="S569" s="43" t="str">
        <f t="shared" si="68"/>
        <v>*0.95</v>
      </c>
      <c r="U569" s="32" t="s">
        <v>1443</v>
      </c>
      <c r="V569" s="42" t="s">
        <v>57</v>
      </c>
      <c r="W569" s="32">
        <v>2050</v>
      </c>
      <c r="X569" s="43" t="str">
        <f t="shared" si="69"/>
        <v>*0.92</v>
      </c>
      <c r="AC569" s="33" t="s">
        <v>1443</v>
      </c>
      <c r="AD569" s="44" t="s">
        <v>57</v>
      </c>
      <c r="AE569" s="33">
        <v>2035</v>
      </c>
      <c r="AF569" s="45" t="str">
        <f t="shared" si="70"/>
        <v>*0.93</v>
      </c>
      <c r="AG569" s="43" t="str">
        <f t="shared" si="72"/>
        <v>REZoning_Sol-Win</v>
      </c>
      <c r="AI569" s="33" t="s">
        <v>1443</v>
      </c>
      <c r="AJ569" s="44" t="s">
        <v>57</v>
      </c>
      <c r="AK569" s="33">
        <v>2050</v>
      </c>
      <c r="AL569" s="45" t="str">
        <f t="shared" si="71"/>
        <v>*0.89</v>
      </c>
      <c r="AM569" s="43" t="str">
        <f t="shared" si="73"/>
        <v>REZoning_Sol-Win</v>
      </c>
      <c r="AP569" t="s">
        <v>1443</v>
      </c>
      <c r="AQ569" t="s">
        <v>57</v>
      </c>
      <c r="AR569">
        <v>2100</v>
      </c>
      <c r="AS569" t="s">
        <v>937</v>
      </c>
      <c r="AT569" t="s">
        <v>58</v>
      </c>
    </row>
    <row r="570" ht="29" spans="1:46">
      <c r="A570" s="31" t="s">
        <v>83</v>
      </c>
      <c r="C570" t="s">
        <v>1444</v>
      </c>
      <c r="D570" s="5" t="s">
        <v>57</v>
      </c>
      <c r="E570">
        <v>2035</v>
      </c>
      <c r="F570" s="6" t="str">
        <f t="shared" si="66"/>
        <v>*0.95</v>
      </c>
      <c r="H570" t="s">
        <v>1444</v>
      </c>
      <c r="I570" s="5" t="s">
        <v>57</v>
      </c>
      <c r="J570">
        <v>2050</v>
      </c>
      <c r="K570" s="38" t="str">
        <f t="shared" si="67"/>
        <v>*0.92</v>
      </c>
      <c r="P570" s="32" t="s">
        <v>1444</v>
      </c>
      <c r="Q570" s="42" t="s">
        <v>57</v>
      </c>
      <c r="R570" s="32">
        <v>2035</v>
      </c>
      <c r="S570" s="43" t="str">
        <f t="shared" si="68"/>
        <v>*0.95</v>
      </c>
      <c r="U570" s="32" t="s">
        <v>1444</v>
      </c>
      <c r="V570" s="42" t="s">
        <v>57</v>
      </c>
      <c r="W570" s="32">
        <v>2050</v>
      </c>
      <c r="X570" s="43" t="str">
        <f t="shared" si="69"/>
        <v>*0.92</v>
      </c>
      <c r="AC570" s="33" t="s">
        <v>1444</v>
      </c>
      <c r="AD570" s="44" t="s">
        <v>57</v>
      </c>
      <c r="AE570" s="33">
        <v>2035</v>
      </c>
      <c r="AF570" s="45" t="str">
        <f t="shared" si="70"/>
        <v>*0.93</v>
      </c>
      <c r="AG570" s="43" t="str">
        <f t="shared" si="72"/>
        <v>REZoning_Sol-Win</v>
      </c>
      <c r="AI570" s="33" t="s">
        <v>1444</v>
      </c>
      <c r="AJ570" s="44" t="s">
        <v>57</v>
      </c>
      <c r="AK570" s="33">
        <v>2050</v>
      </c>
      <c r="AL570" s="45" t="str">
        <f t="shared" si="71"/>
        <v>*0.89</v>
      </c>
      <c r="AM570" s="43" t="str">
        <f t="shared" si="73"/>
        <v>REZoning_Sol-Win</v>
      </c>
      <c r="AP570" t="s">
        <v>1444</v>
      </c>
      <c r="AQ570" t="s">
        <v>57</v>
      </c>
      <c r="AR570">
        <v>2100</v>
      </c>
      <c r="AS570" t="s">
        <v>937</v>
      </c>
      <c r="AT570" t="s">
        <v>58</v>
      </c>
    </row>
    <row r="571" ht="29" spans="1:46">
      <c r="A571" s="31" t="s">
        <v>83</v>
      </c>
      <c r="C571" t="s">
        <v>1445</v>
      </c>
      <c r="D571" s="5" t="s">
        <v>57</v>
      </c>
      <c r="E571">
        <v>2035</v>
      </c>
      <c r="F571" s="6" t="str">
        <f t="shared" si="66"/>
        <v>*0.95</v>
      </c>
      <c r="H571" t="s">
        <v>1445</v>
      </c>
      <c r="I571" s="5" t="s">
        <v>57</v>
      </c>
      <c r="J571">
        <v>2050</v>
      </c>
      <c r="K571" s="38" t="str">
        <f t="shared" si="67"/>
        <v>*0.92</v>
      </c>
      <c r="P571" s="32" t="s">
        <v>1445</v>
      </c>
      <c r="Q571" s="42" t="s">
        <v>57</v>
      </c>
      <c r="R571" s="32">
        <v>2035</v>
      </c>
      <c r="S571" s="43" t="str">
        <f t="shared" si="68"/>
        <v>*0.95</v>
      </c>
      <c r="U571" s="32" t="s">
        <v>1445</v>
      </c>
      <c r="V571" s="42" t="s">
        <v>57</v>
      </c>
      <c r="W571" s="32">
        <v>2050</v>
      </c>
      <c r="X571" s="43" t="str">
        <f t="shared" si="69"/>
        <v>*0.92</v>
      </c>
      <c r="AC571" s="33" t="s">
        <v>1445</v>
      </c>
      <c r="AD571" s="44" t="s">
        <v>57</v>
      </c>
      <c r="AE571" s="33">
        <v>2035</v>
      </c>
      <c r="AF571" s="45" t="str">
        <f t="shared" si="70"/>
        <v>*0.93</v>
      </c>
      <c r="AG571" s="43" t="str">
        <f t="shared" si="72"/>
        <v>REZoning_Sol-Win</v>
      </c>
      <c r="AI571" s="33" t="s">
        <v>1445</v>
      </c>
      <c r="AJ571" s="44" t="s">
        <v>57</v>
      </c>
      <c r="AK571" s="33">
        <v>2050</v>
      </c>
      <c r="AL571" s="45" t="str">
        <f t="shared" si="71"/>
        <v>*0.89</v>
      </c>
      <c r="AM571" s="43" t="str">
        <f t="shared" si="73"/>
        <v>REZoning_Sol-Win</v>
      </c>
      <c r="AP571" t="s">
        <v>1445</v>
      </c>
      <c r="AQ571" t="s">
        <v>57</v>
      </c>
      <c r="AR571">
        <v>2100</v>
      </c>
      <c r="AS571" t="s">
        <v>937</v>
      </c>
      <c r="AT571" t="s">
        <v>58</v>
      </c>
    </row>
    <row r="572" ht="29" spans="1:46">
      <c r="A572" s="31" t="s">
        <v>83</v>
      </c>
      <c r="C572" t="s">
        <v>1446</v>
      </c>
      <c r="D572" s="5" t="s">
        <v>57</v>
      </c>
      <c r="E572">
        <v>2035</v>
      </c>
      <c r="F572" s="6" t="str">
        <f t="shared" si="66"/>
        <v>*0.95</v>
      </c>
      <c r="H572" t="s">
        <v>1446</v>
      </c>
      <c r="I572" s="5" t="s">
        <v>57</v>
      </c>
      <c r="J572">
        <v>2050</v>
      </c>
      <c r="K572" s="38" t="str">
        <f t="shared" si="67"/>
        <v>*0.92</v>
      </c>
      <c r="P572" s="32" t="s">
        <v>1446</v>
      </c>
      <c r="Q572" s="42" t="s">
        <v>57</v>
      </c>
      <c r="R572" s="32">
        <v>2035</v>
      </c>
      <c r="S572" s="43" t="str">
        <f t="shared" si="68"/>
        <v>*0.95</v>
      </c>
      <c r="U572" s="32" t="s">
        <v>1446</v>
      </c>
      <c r="V572" s="42" t="s">
        <v>57</v>
      </c>
      <c r="W572" s="32">
        <v>2050</v>
      </c>
      <c r="X572" s="43" t="str">
        <f t="shared" si="69"/>
        <v>*0.92</v>
      </c>
      <c r="AC572" s="33" t="s">
        <v>1446</v>
      </c>
      <c r="AD572" s="44" t="s">
        <v>57</v>
      </c>
      <c r="AE572" s="33">
        <v>2035</v>
      </c>
      <c r="AF572" s="45" t="str">
        <f t="shared" si="70"/>
        <v>*0.93</v>
      </c>
      <c r="AG572" s="43" t="str">
        <f t="shared" si="72"/>
        <v>REZoning_Sol-Win</v>
      </c>
      <c r="AI572" s="33" t="s">
        <v>1446</v>
      </c>
      <c r="AJ572" s="44" t="s">
        <v>57</v>
      </c>
      <c r="AK572" s="33">
        <v>2050</v>
      </c>
      <c r="AL572" s="45" t="str">
        <f t="shared" si="71"/>
        <v>*0.89</v>
      </c>
      <c r="AM572" s="43" t="str">
        <f t="shared" si="73"/>
        <v>REZoning_Sol-Win</v>
      </c>
      <c r="AP572" t="s">
        <v>1446</v>
      </c>
      <c r="AQ572" t="s">
        <v>57</v>
      </c>
      <c r="AR572">
        <v>2100</v>
      </c>
      <c r="AS572" t="s">
        <v>937</v>
      </c>
      <c r="AT572" t="s">
        <v>58</v>
      </c>
    </row>
    <row r="573" ht="29" spans="1:46">
      <c r="A573" s="31" t="s">
        <v>83</v>
      </c>
      <c r="C573" t="s">
        <v>1447</v>
      </c>
      <c r="D573" s="5" t="s">
        <v>57</v>
      </c>
      <c r="E573">
        <v>2035</v>
      </c>
      <c r="F573" s="6" t="str">
        <f t="shared" si="66"/>
        <v>*0.95</v>
      </c>
      <c r="H573" t="s">
        <v>1447</v>
      </c>
      <c r="I573" s="5" t="s">
        <v>57</v>
      </c>
      <c r="J573">
        <v>2050</v>
      </c>
      <c r="K573" s="38" t="str">
        <f t="shared" si="67"/>
        <v>*0.92</v>
      </c>
      <c r="P573" s="32" t="s">
        <v>1447</v>
      </c>
      <c r="Q573" s="42" t="s">
        <v>57</v>
      </c>
      <c r="R573" s="32">
        <v>2035</v>
      </c>
      <c r="S573" s="43" t="str">
        <f t="shared" si="68"/>
        <v>*0.95</v>
      </c>
      <c r="U573" s="32" t="s">
        <v>1447</v>
      </c>
      <c r="V573" s="42" t="s">
        <v>57</v>
      </c>
      <c r="W573" s="32">
        <v>2050</v>
      </c>
      <c r="X573" s="43" t="str">
        <f t="shared" si="69"/>
        <v>*0.92</v>
      </c>
      <c r="AC573" s="33" t="s">
        <v>1447</v>
      </c>
      <c r="AD573" s="44" t="s">
        <v>57</v>
      </c>
      <c r="AE573" s="33">
        <v>2035</v>
      </c>
      <c r="AF573" s="45" t="str">
        <f t="shared" si="70"/>
        <v>*0.93</v>
      </c>
      <c r="AG573" s="43" t="str">
        <f t="shared" si="72"/>
        <v>REZoning_Sol-Win</v>
      </c>
      <c r="AI573" s="33" t="s">
        <v>1447</v>
      </c>
      <c r="AJ573" s="44" t="s">
        <v>57</v>
      </c>
      <c r="AK573" s="33">
        <v>2050</v>
      </c>
      <c r="AL573" s="45" t="str">
        <f t="shared" si="71"/>
        <v>*0.89</v>
      </c>
      <c r="AM573" s="43" t="str">
        <f t="shared" si="73"/>
        <v>REZoning_Sol-Win</v>
      </c>
      <c r="AP573" t="s">
        <v>1447</v>
      </c>
      <c r="AQ573" t="s">
        <v>57</v>
      </c>
      <c r="AR573">
        <v>2100</v>
      </c>
      <c r="AS573" t="s">
        <v>937</v>
      </c>
      <c r="AT573" t="s">
        <v>58</v>
      </c>
    </row>
    <row r="574" ht="29" spans="1:46">
      <c r="A574" s="31" t="s">
        <v>83</v>
      </c>
      <c r="C574" t="s">
        <v>1448</v>
      </c>
      <c r="D574" s="5" t="s">
        <v>57</v>
      </c>
      <c r="E574">
        <v>2035</v>
      </c>
      <c r="F574" s="6" t="str">
        <f t="shared" si="66"/>
        <v>*0.95</v>
      </c>
      <c r="H574" t="s">
        <v>1448</v>
      </c>
      <c r="I574" s="5" t="s">
        <v>57</v>
      </c>
      <c r="J574">
        <v>2050</v>
      </c>
      <c r="K574" s="38" t="str">
        <f t="shared" si="67"/>
        <v>*0.92</v>
      </c>
      <c r="P574" s="32" t="s">
        <v>1448</v>
      </c>
      <c r="Q574" s="42" t="s">
        <v>57</v>
      </c>
      <c r="R574" s="32">
        <v>2035</v>
      </c>
      <c r="S574" s="43" t="str">
        <f t="shared" si="68"/>
        <v>*0.95</v>
      </c>
      <c r="U574" s="32" t="s">
        <v>1448</v>
      </c>
      <c r="V574" s="42" t="s">
        <v>57</v>
      </c>
      <c r="W574" s="32">
        <v>2050</v>
      </c>
      <c r="X574" s="43" t="str">
        <f t="shared" si="69"/>
        <v>*0.92</v>
      </c>
      <c r="AC574" s="33" t="s">
        <v>1448</v>
      </c>
      <c r="AD574" s="44" t="s">
        <v>57</v>
      </c>
      <c r="AE574" s="33">
        <v>2035</v>
      </c>
      <c r="AF574" s="45" t="str">
        <f t="shared" si="70"/>
        <v>*0.93</v>
      </c>
      <c r="AG574" s="43" t="str">
        <f t="shared" si="72"/>
        <v>REZoning_Sol-Win</v>
      </c>
      <c r="AI574" s="33" t="s">
        <v>1448</v>
      </c>
      <c r="AJ574" s="44" t="s">
        <v>57</v>
      </c>
      <c r="AK574" s="33">
        <v>2050</v>
      </c>
      <c r="AL574" s="45" t="str">
        <f t="shared" si="71"/>
        <v>*0.89</v>
      </c>
      <c r="AM574" s="43" t="str">
        <f t="shared" si="73"/>
        <v>REZoning_Sol-Win</v>
      </c>
      <c r="AP574" t="s">
        <v>1448</v>
      </c>
      <c r="AQ574" t="s">
        <v>57</v>
      </c>
      <c r="AR574">
        <v>2100</v>
      </c>
      <c r="AS574" t="s">
        <v>937</v>
      </c>
      <c r="AT574" t="s">
        <v>58</v>
      </c>
    </row>
    <row r="575" ht="29" spans="1:46">
      <c r="A575" s="31" t="s">
        <v>83</v>
      </c>
      <c r="C575" t="s">
        <v>1449</v>
      </c>
      <c r="D575" s="5" t="s">
        <v>57</v>
      </c>
      <c r="E575">
        <v>2035</v>
      </c>
      <c r="F575" s="6" t="str">
        <f t="shared" si="66"/>
        <v>*0.95</v>
      </c>
      <c r="H575" t="s">
        <v>1449</v>
      </c>
      <c r="I575" s="5" t="s">
        <v>57</v>
      </c>
      <c r="J575">
        <v>2050</v>
      </c>
      <c r="K575" s="38" t="str">
        <f t="shared" si="67"/>
        <v>*0.92</v>
      </c>
      <c r="P575" s="32" t="s">
        <v>1449</v>
      </c>
      <c r="Q575" s="42" t="s">
        <v>57</v>
      </c>
      <c r="R575" s="32">
        <v>2035</v>
      </c>
      <c r="S575" s="43" t="str">
        <f t="shared" si="68"/>
        <v>*0.95</v>
      </c>
      <c r="U575" s="32" t="s">
        <v>1449</v>
      </c>
      <c r="V575" s="42" t="s">
        <v>57</v>
      </c>
      <c r="W575" s="32">
        <v>2050</v>
      </c>
      <c r="X575" s="43" t="str">
        <f t="shared" si="69"/>
        <v>*0.92</v>
      </c>
      <c r="AC575" s="33" t="s">
        <v>1449</v>
      </c>
      <c r="AD575" s="44" t="s">
        <v>57</v>
      </c>
      <c r="AE575" s="33">
        <v>2035</v>
      </c>
      <c r="AF575" s="45" t="str">
        <f t="shared" si="70"/>
        <v>*0.93</v>
      </c>
      <c r="AG575" s="43" t="str">
        <f t="shared" si="72"/>
        <v>REZoning_Sol-Win</v>
      </c>
      <c r="AI575" s="33" t="s">
        <v>1449</v>
      </c>
      <c r="AJ575" s="44" t="s">
        <v>57</v>
      </c>
      <c r="AK575" s="33">
        <v>2050</v>
      </c>
      <c r="AL575" s="45" t="str">
        <f t="shared" si="71"/>
        <v>*0.89</v>
      </c>
      <c r="AM575" s="43" t="str">
        <f t="shared" si="73"/>
        <v>REZoning_Sol-Win</v>
      </c>
      <c r="AP575" t="s">
        <v>1449</v>
      </c>
      <c r="AQ575" t="s">
        <v>57</v>
      </c>
      <c r="AR575">
        <v>2100</v>
      </c>
      <c r="AS575" t="s">
        <v>937</v>
      </c>
      <c r="AT575" t="s">
        <v>58</v>
      </c>
    </row>
    <row r="576" ht="29" spans="1:46">
      <c r="A576" s="31" t="s">
        <v>83</v>
      </c>
      <c r="C576" t="s">
        <v>1450</v>
      </c>
      <c r="D576" s="5" t="s">
        <v>57</v>
      </c>
      <c r="E576">
        <v>2035</v>
      </c>
      <c r="F576" s="6" t="str">
        <f t="shared" si="66"/>
        <v>*0.95</v>
      </c>
      <c r="H576" t="s">
        <v>1450</v>
      </c>
      <c r="I576" s="5" t="s">
        <v>57</v>
      </c>
      <c r="J576">
        <v>2050</v>
      </c>
      <c r="K576" s="38" t="str">
        <f t="shared" si="67"/>
        <v>*0.92</v>
      </c>
      <c r="P576" s="32" t="s">
        <v>1450</v>
      </c>
      <c r="Q576" s="42" t="s">
        <v>57</v>
      </c>
      <c r="R576" s="32">
        <v>2035</v>
      </c>
      <c r="S576" s="43" t="str">
        <f t="shared" si="68"/>
        <v>*0.95</v>
      </c>
      <c r="U576" s="32" t="s">
        <v>1450</v>
      </c>
      <c r="V576" s="42" t="s">
        <v>57</v>
      </c>
      <c r="W576" s="32">
        <v>2050</v>
      </c>
      <c r="X576" s="43" t="str">
        <f t="shared" si="69"/>
        <v>*0.92</v>
      </c>
      <c r="AC576" s="33" t="s">
        <v>1450</v>
      </c>
      <c r="AD576" s="44" t="s">
        <v>57</v>
      </c>
      <c r="AE576" s="33">
        <v>2035</v>
      </c>
      <c r="AF576" s="45" t="str">
        <f t="shared" si="70"/>
        <v>*0.93</v>
      </c>
      <c r="AG576" s="43" t="str">
        <f t="shared" si="72"/>
        <v>REZoning_Sol-Win</v>
      </c>
      <c r="AI576" s="33" t="s">
        <v>1450</v>
      </c>
      <c r="AJ576" s="44" t="s">
        <v>57</v>
      </c>
      <c r="AK576" s="33">
        <v>2050</v>
      </c>
      <c r="AL576" s="45" t="str">
        <f t="shared" si="71"/>
        <v>*0.89</v>
      </c>
      <c r="AM576" s="43" t="str">
        <f t="shared" si="73"/>
        <v>REZoning_Sol-Win</v>
      </c>
      <c r="AP576" t="s">
        <v>1450</v>
      </c>
      <c r="AQ576" t="s">
        <v>57</v>
      </c>
      <c r="AR576">
        <v>2100</v>
      </c>
      <c r="AS576" t="s">
        <v>937</v>
      </c>
      <c r="AT576" t="s">
        <v>58</v>
      </c>
    </row>
    <row r="577" ht="29" spans="1:46">
      <c r="A577" s="31" t="s">
        <v>83</v>
      </c>
      <c r="C577" t="s">
        <v>1451</v>
      </c>
      <c r="D577" s="5" t="s">
        <v>57</v>
      </c>
      <c r="E577">
        <v>2035</v>
      </c>
      <c r="F577" s="6" t="str">
        <f t="shared" si="66"/>
        <v>*0.95</v>
      </c>
      <c r="H577" t="s">
        <v>1451</v>
      </c>
      <c r="I577" s="5" t="s">
        <v>57</v>
      </c>
      <c r="J577">
        <v>2050</v>
      </c>
      <c r="K577" s="38" t="str">
        <f t="shared" si="67"/>
        <v>*0.92</v>
      </c>
      <c r="P577" s="32" t="s">
        <v>1451</v>
      </c>
      <c r="Q577" s="42" t="s">
        <v>57</v>
      </c>
      <c r="R577" s="32">
        <v>2035</v>
      </c>
      <c r="S577" s="43" t="str">
        <f t="shared" si="68"/>
        <v>*0.95</v>
      </c>
      <c r="U577" s="32" t="s">
        <v>1451</v>
      </c>
      <c r="V577" s="42" t="s">
        <v>57</v>
      </c>
      <c r="W577" s="32">
        <v>2050</v>
      </c>
      <c r="X577" s="43" t="str">
        <f t="shared" si="69"/>
        <v>*0.92</v>
      </c>
      <c r="AC577" s="33" t="s">
        <v>1451</v>
      </c>
      <c r="AD577" s="44" t="s">
        <v>57</v>
      </c>
      <c r="AE577" s="33">
        <v>2035</v>
      </c>
      <c r="AF577" s="45" t="str">
        <f t="shared" si="70"/>
        <v>*0.93</v>
      </c>
      <c r="AG577" s="43" t="str">
        <f t="shared" si="72"/>
        <v>REZoning_Sol-Win</v>
      </c>
      <c r="AI577" s="33" t="s">
        <v>1451</v>
      </c>
      <c r="AJ577" s="44" t="s">
        <v>57</v>
      </c>
      <c r="AK577" s="33">
        <v>2050</v>
      </c>
      <c r="AL577" s="45" t="str">
        <f t="shared" si="71"/>
        <v>*0.89</v>
      </c>
      <c r="AM577" s="43" t="str">
        <f t="shared" si="73"/>
        <v>REZoning_Sol-Win</v>
      </c>
      <c r="AP577" t="s">
        <v>1451</v>
      </c>
      <c r="AQ577" t="s">
        <v>57</v>
      </c>
      <c r="AR577">
        <v>2100</v>
      </c>
      <c r="AS577" t="s">
        <v>937</v>
      </c>
      <c r="AT577" t="s">
        <v>58</v>
      </c>
    </row>
    <row r="578" ht="29" spans="1:46">
      <c r="A578" s="31" t="s">
        <v>83</v>
      </c>
      <c r="C578" t="s">
        <v>1452</v>
      </c>
      <c r="D578" s="5" t="s">
        <v>57</v>
      </c>
      <c r="E578">
        <v>2035</v>
      </c>
      <c r="F578" s="6" t="str">
        <f t="shared" si="66"/>
        <v>*0.95</v>
      </c>
      <c r="H578" t="s">
        <v>1452</v>
      </c>
      <c r="I578" s="5" t="s">
        <v>57</v>
      </c>
      <c r="J578">
        <v>2050</v>
      </c>
      <c r="K578" s="38" t="str">
        <f t="shared" si="67"/>
        <v>*0.92</v>
      </c>
      <c r="P578" s="32" t="s">
        <v>1452</v>
      </c>
      <c r="Q578" s="42" t="s">
        <v>57</v>
      </c>
      <c r="R578" s="32">
        <v>2035</v>
      </c>
      <c r="S578" s="43" t="str">
        <f t="shared" si="68"/>
        <v>*0.95</v>
      </c>
      <c r="U578" s="32" t="s">
        <v>1452</v>
      </c>
      <c r="V578" s="42" t="s">
        <v>57</v>
      </c>
      <c r="W578" s="32">
        <v>2050</v>
      </c>
      <c r="X578" s="43" t="str">
        <f t="shared" si="69"/>
        <v>*0.92</v>
      </c>
      <c r="AC578" s="33" t="s">
        <v>1452</v>
      </c>
      <c r="AD578" s="44" t="s">
        <v>57</v>
      </c>
      <c r="AE578" s="33">
        <v>2035</v>
      </c>
      <c r="AF578" s="45" t="str">
        <f t="shared" si="70"/>
        <v>*0.93</v>
      </c>
      <c r="AG578" s="43" t="str">
        <f t="shared" si="72"/>
        <v>REZoning_Sol-Win</v>
      </c>
      <c r="AI578" s="33" t="s">
        <v>1452</v>
      </c>
      <c r="AJ578" s="44" t="s">
        <v>57</v>
      </c>
      <c r="AK578" s="33">
        <v>2050</v>
      </c>
      <c r="AL578" s="45" t="str">
        <f t="shared" si="71"/>
        <v>*0.89</v>
      </c>
      <c r="AM578" s="43" t="str">
        <f t="shared" si="73"/>
        <v>REZoning_Sol-Win</v>
      </c>
      <c r="AP578" t="s">
        <v>1452</v>
      </c>
      <c r="AQ578" t="s">
        <v>57</v>
      </c>
      <c r="AR578">
        <v>2100</v>
      </c>
      <c r="AS578" t="s">
        <v>937</v>
      </c>
      <c r="AT578" t="s">
        <v>58</v>
      </c>
    </row>
    <row r="579" ht="29" spans="1:46">
      <c r="A579" s="31" t="s">
        <v>83</v>
      </c>
      <c r="C579" t="s">
        <v>1453</v>
      </c>
      <c r="D579" s="5" t="s">
        <v>57</v>
      </c>
      <c r="E579">
        <v>2035</v>
      </c>
      <c r="F579" s="6" t="str">
        <f t="shared" si="66"/>
        <v>*0.95</v>
      </c>
      <c r="H579" t="s">
        <v>1453</v>
      </c>
      <c r="I579" s="5" t="s">
        <v>57</v>
      </c>
      <c r="J579">
        <v>2050</v>
      </c>
      <c r="K579" s="38" t="str">
        <f t="shared" si="67"/>
        <v>*0.92</v>
      </c>
      <c r="P579" s="32" t="s">
        <v>1453</v>
      </c>
      <c r="Q579" s="42" t="s">
        <v>57</v>
      </c>
      <c r="R579" s="32">
        <v>2035</v>
      </c>
      <c r="S579" s="43" t="str">
        <f t="shared" si="68"/>
        <v>*0.95</v>
      </c>
      <c r="U579" s="32" t="s">
        <v>1453</v>
      </c>
      <c r="V579" s="42" t="s">
        <v>57</v>
      </c>
      <c r="W579" s="32">
        <v>2050</v>
      </c>
      <c r="X579" s="43" t="str">
        <f t="shared" si="69"/>
        <v>*0.92</v>
      </c>
      <c r="AC579" s="33" t="s">
        <v>1453</v>
      </c>
      <c r="AD579" s="44" t="s">
        <v>57</v>
      </c>
      <c r="AE579" s="33">
        <v>2035</v>
      </c>
      <c r="AF579" s="45" t="str">
        <f t="shared" si="70"/>
        <v>*0.93</v>
      </c>
      <c r="AG579" s="43" t="str">
        <f t="shared" si="72"/>
        <v>REZoning_Sol-Win</v>
      </c>
      <c r="AI579" s="33" t="s">
        <v>1453</v>
      </c>
      <c r="AJ579" s="44" t="s">
        <v>57</v>
      </c>
      <c r="AK579" s="33">
        <v>2050</v>
      </c>
      <c r="AL579" s="45" t="str">
        <f t="shared" si="71"/>
        <v>*0.89</v>
      </c>
      <c r="AM579" s="43" t="str">
        <f t="shared" si="73"/>
        <v>REZoning_Sol-Win</v>
      </c>
      <c r="AP579" t="s">
        <v>1453</v>
      </c>
      <c r="AQ579" t="s">
        <v>57</v>
      </c>
      <c r="AR579">
        <v>2100</v>
      </c>
      <c r="AS579" t="s">
        <v>937</v>
      </c>
      <c r="AT579" t="s">
        <v>58</v>
      </c>
    </row>
    <row r="580" ht="29" spans="1:46">
      <c r="A580" s="31" t="s">
        <v>83</v>
      </c>
      <c r="C580" t="s">
        <v>1454</v>
      </c>
      <c r="D580" s="5" t="s">
        <v>57</v>
      </c>
      <c r="E580">
        <v>2035</v>
      </c>
      <c r="F580" s="6" t="str">
        <f t="shared" ref="F580:F643" si="74">"*"&amp;IF(AND(A580="EU",E580=2035),0.95,IF(AND(A580="EU",E580=2050),0.93,IF(AND(A580="USA",E580=2035),0.96,IF(AND(A580="USA",E580=2050),0.94,IF(AND(A580="Japan",E580=2035),0.94,IF(AND(A580="Japan",E580=2050),0.92,IF(AND(A580="Russia",E580=2035),0.95,IF(AND(A580="Russia",E580=2050),0.93,IF(AND(A580="China",E580=2035),0.94,IF(AND(A580="China",E580=2050),0.92,IF(AND(A580="India",E580=2035),0.95,IF(AND(A580="India",E580=2050),0.92,IF(AND(A580="Middle East",E580=2035),0.94,IF(AND(A580="Middle East",E580=2050),0.9,IF(AND(A580="Africa",E580=2035),0.94,IF(AND(A580="Africa",E580=2050),0.91,IF(AND(A580="Brazil",E580=2035),0.95,IF(AND(A580="Brazil",E580=2050),0.92,""))))))))))))))))))</f>
        <v>*0.95</v>
      </c>
      <c r="H580" t="s">
        <v>1454</v>
      </c>
      <c r="I580" s="5" t="s">
        <v>57</v>
      </c>
      <c r="J580">
        <v>2050</v>
      </c>
      <c r="K580" s="38" t="str">
        <f t="shared" ref="K580:K643" si="75">"*"&amp;IF(AND(A580="EU",J580=2035),0.95,IF(AND(A580="EU",J580=2050),0.93,IF(AND(A580="USA",J580=2035),0.96,IF(AND(A580="USA",J580=2050),0.94,IF(AND(A580="Japan",J580=2035),0.94,IF(AND(A580="Japan",J580=2050),0.92,IF(AND(A580="Russia",J580=2035),0.95,IF(AND(A580="Russia",J580=2050),0.93,IF(AND(A580="China",J580=2035),0.94,IF(AND(A580="China",J580=2050),0.92,IF(AND(A580="India",J580=2035),0.95,IF(AND(A580="India",J580=2050),0.92,IF(AND(A580="Middle East",J580=2035),0.94,IF(AND(A580="Middle East",J580=2050),0.9,IF(AND(A580="Africa",J580=2035),0.94,IF(AND(A580="Africa",J580=2050),0.91,IF(AND(A580="Brazil",J580=2035),0.95,IF(AND(A580="Brazil",J580=2050),0.92,""))))))))))))))))))</f>
        <v>*0.92</v>
      </c>
      <c r="P580" s="32" t="s">
        <v>1454</v>
      </c>
      <c r="Q580" s="42" t="s">
        <v>57</v>
      </c>
      <c r="R580" s="32">
        <v>2035</v>
      </c>
      <c r="S580" s="43" t="str">
        <f t="shared" ref="S580:S643" si="76">"*"&amp;IF(AND(A580="EU",R580=2035),0.95,IF(AND(A580="EU",R580=2050),0.93,IF(AND(A580="USA",R580=2035),0.96,IF(AND(A580="USA",R580=2050),0.93,IF(AND(A580="Japan",R580=2035),0.94,IF(AND(A580="Japan",R580=2050),0.92,IF(AND(A580="Russia",R580=2035),0.95,IF(AND(A580="Russia",R580=2050),0.91,IF(AND(A580="China",R580=2035),0.93,IF(AND(A580="China",R580=2050),0.92,IF(AND(A580="India",R580=2035),0.94,IF(AND(A580="India",R580=2050),0.91,IF(AND(A580="Middle East",R580=2035),0.92,IF(AND(A580="Middle East",R580=2050),0.89,IF(AND(A580="Africa",R580=2035),0.93,IF(AND(A580="Africa",R580=2050),0.9,IF(AND(A580="Brazil",R580=2035),0.95,IF(AND(A580="Brazil",R580=2050),0.92,""))))))))))))))))))</f>
        <v>*0.95</v>
      </c>
      <c r="U580" s="32" t="s">
        <v>1454</v>
      </c>
      <c r="V580" s="42" t="s">
        <v>57</v>
      </c>
      <c r="W580" s="32">
        <v>2050</v>
      </c>
      <c r="X580" s="43" t="str">
        <f t="shared" ref="X580:X643" si="77">"*"&amp;IF(AND(A580="EU",W580=2035),0.95,IF(AND(A580="EU",W580=2050),0.93,IF(AND(A580="USA",W580=2035),0.96,IF(AND(A580="USA",W580=2050),0.93,IF(AND(A580="Japan",W580=2035),0.94,IF(AND(A580="Japan",W580=2050),0.92,IF(AND(A580="Russia",W580=2035),0.95,IF(AND(A580="Russia",W580=2050),0.91,IF(AND(A580="China",W580=2035),0.93,IF(AND(A580="China",W580=2050),0.92,IF(AND(A580="India",W580=2035),0.94,IF(AND(A580="India",W580=2050),0.91,IF(AND(A580="Middle East",W580=2035),0.92,IF(AND(A580="Middle East",W580=2050),0.89,IF(AND(A580="Africa",W580=2035),0.93,IF(AND(A580="Africa",W580=2050),0.9,IF(AND(A580="Brazil",W580=2035),0.95,IF(AND(A580="Brazil",W580=2050),0.92,""))))))))))))))))))</f>
        <v>*0.92</v>
      </c>
      <c r="AC580" s="33" t="s">
        <v>1454</v>
      </c>
      <c r="AD580" s="44" t="s">
        <v>57</v>
      </c>
      <c r="AE580" s="33">
        <v>2035</v>
      </c>
      <c r="AF580" s="45" t="str">
        <f t="shared" ref="AF580:AF643" si="78">"*"&amp;IF(AND(A580="EU",AE580=2035),0.93,IF(AND(A580="EU",AE580=2050),0.9,IF(AND(A580="USA",AE580=2035),0.92,IF(AND(A580="USA",AE580=2050),0.89,IF(AND(A580="Japan",AE580=2035),0.92,IF(AND(A580="Japan",AE580=2050),0.89,IF(AND(A580="Russia",AE580=2035),0.91,IF(AND(A580="Russia",AE580=2050),0.86,IF(AND(A580="China",AE580=2035),0.91,IF(AND(A580="China",AE580=2050),0.87,IF(AND(A580="India",AE580=2035),0.92,IF(AND(A580="India",AE580=2050),0.87,IF(AND(A580="Middle East",AE580=2035),0.89,IF(AND(A580="Middle East",AE580=2050),0.84,IF(AND(A580="Africa",AE580=2035),0.9,IF(AND(A580="Africa",AE580=2050),0.86,IF(AND(A580="Brazil",AE580=2035),0.93,IF(AND(A580="Brazil",AE580=2050),0.89,""))))))))))))))))))</f>
        <v>*0.93</v>
      </c>
      <c r="AG580" s="43" t="str">
        <f t="shared" si="72"/>
        <v>REZoning_Sol-Win</v>
      </c>
      <c r="AI580" s="33" t="s">
        <v>1454</v>
      </c>
      <c r="AJ580" s="44" t="s">
        <v>57</v>
      </c>
      <c r="AK580" s="33">
        <v>2050</v>
      </c>
      <c r="AL580" s="45" t="str">
        <f t="shared" ref="AL580:AL643" si="79">"*"&amp;IF(AND(A580="EU",AK580=2035),0.93,IF(AND(A580="EU",AK580=2050),0.9,IF(AND(A580="USA",AK580=2035),0.92,IF(AND(A580="USA",AK580=2050),0.89,IF(AND(A580="Japan",AK580=2035),0.92,IF(AND(A580="Japan",AK580=2050),0.89,IF(AND(A580="Russia",AK580=2035),0.91,IF(AND(A580="Russia",AK580=2050),0.86,IF(AND(A580="China",AK580=2035),0.91,IF(AND(A580="China",AK580=2050),0.87,IF(AND(A580="India",AK580=2035),0.92,IF(AND(A580="India",AK580=2050),0.87,IF(AND(A580="Middle East",AK580=2035),0.89,IF(AND(A580="Middle East",AK580=2050),0.84,IF(AND(A580="Africa",AK580=2035),0.9,IF(AND(A580="Africa",AK580=2050),0.86,IF(AND(A580="Brazil",AK580=2035),0.93,IF(AND(A580="Brazil",AK580=2050),0.89,""))))))))))))))))))</f>
        <v>*0.89</v>
      </c>
      <c r="AM580" s="43" t="str">
        <f t="shared" si="73"/>
        <v>REZoning_Sol-Win</v>
      </c>
      <c r="AP580" t="s">
        <v>1454</v>
      </c>
      <c r="AQ580" t="s">
        <v>57</v>
      </c>
      <c r="AR580">
        <v>2100</v>
      </c>
      <c r="AS580" t="s">
        <v>937</v>
      </c>
      <c r="AT580" t="s">
        <v>58</v>
      </c>
    </row>
    <row r="581" ht="29" spans="1:46">
      <c r="A581" s="31" t="s">
        <v>83</v>
      </c>
      <c r="C581" t="s">
        <v>1455</v>
      </c>
      <c r="D581" s="5" t="s">
        <v>57</v>
      </c>
      <c r="E581">
        <v>2035</v>
      </c>
      <c r="F581" s="6" t="str">
        <f t="shared" si="74"/>
        <v>*0.95</v>
      </c>
      <c r="H581" t="s">
        <v>1455</v>
      </c>
      <c r="I581" s="5" t="s">
        <v>57</v>
      </c>
      <c r="J581">
        <v>2050</v>
      </c>
      <c r="K581" s="38" t="str">
        <f t="shared" si="75"/>
        <v>*0.92</v>
      </c>
      <c r="P581" s="32" t="s">
        <v>1455</v>
      </c>
      <c r="Q581" s="42" t="s">
        <v>57</v>
      </c>
      <c r="R581" s="32">
        <v>2035</v>
      </c>
      <c r="S581" s="43" t="str">
        <f t="shared" si="76"/>
        <v>*0.95</v>
      </c>
      <c r="U581" s="32" t="s">
        <v>1455</v>
      </c>
      <c r="V581" s="42" t="s">
        <v>57</v>
      </c>
      <c r="W581" s="32">
        <v>2050</v>
      </c>
      <c r="X581" s="43" t="str">
        <f t="shared" si="77"/>
        <v>*0.92</v>
      </c>
      <c r="AC581" s="33" t="s">
        <v>1455</v>
      </c>
      <c r="AD581" s="44" t="s">
        <v>57</v>
      </c>
      <c r="AE581" s="33">
        <v>2035</v>
      </c>
      <c r="AF581" s="45" t="str">
        <f t="shared" si="78"/>
        <v>*0.93</v>
      </c>
      <c r="AG581" s="43" t="str">
        <f t="shared" si="72"/>
        <v>REZoning_Sol-Win</v>
      </c>
      <c r="AI581" s="33" t="s">
        <v>1455</v>
      </c>
      <c r="AJ581" s="44" t="s">
        <v>57</v>
      </c>
      <c r="AK581" s="33">
        <v>2050</v>
      </c>
      <c r="AL581" s="45" t="str">
        <f t="shared" si="79"/>
        <v>*0.89</v>
      </c>
      <c r="AM581" s="43" t="str">
        <f t="shared" si="73"/>
        <v>REZoning_Sol-Win</v>
      </c>
      <c r="AP581" t="s">
        <v>1455</v>
      </c>
      <c r="AQ581" t="s">
        <v>57</v>
      </c>
      <c r="AR581">
        <v>2100</v>
      </c>
      <c r="AS581" t="s">
        <v>937</v>
      </c>
      <c r="AT581" t="s">
        <v>58</v>
      </c>
    </row>
    <row r="582" ht="29" spans="1:46">
      <c r="A582" s="31" t="s">
        <v>83</v>
      </c>
      <c r="C582" t="s">
        <v>1456</v>
      </c>
      <c r="D582" s="5" t="s">
        <v>57</v>
      </c>
      <c r="E582">
        <v>2035</v>
      </c>
      <c r="F582" s="6" t="str">
        <f t="shared" si="74"/>
        <v>*0.95</v>
      </c>
      <c r="H582" t="s">
        <v>1456</v>
      </c>
      <c r="I582" s="5" t="s">
        <v>57</v>
      </c>
      <c r="J582">
        <v>2050</v>
      </c>
      <c r="K582" s="38" t="str">
        <f t="shared" si="75"/>
        <v>*0.92</v>
      </c>
      <c r="P582" s="32" t="s">
        <v>1456</v>
      </c>
      <c r="Q582" s="42" t="s">
        <v>57</v>
      </c>
      <c r="R582" s="32">
        <v>2035</v>
      </c>
      <c r="S582" s="43" t="str">
        <f t="shared" si="76"/>
        <v>*0.95</v>
      </c>
      <c r="U582" s="32" t="s">
        <v>1456</v>
      </c>
      <c r="V582" s="42" t="s">
        <v>57</v>
      </c>
      <c r="W582" s="32">
        <v>2050</v>
      </c>
      <c r="X582" s="43" t="str">
        <f t="shared" si="77"/>
        <v>*0.92</v>
      </c>
      <c r="AC582" s="33" t="s">
        <v>1456</v>
      </c>
      <c r="AD582" s="44" t="s">
        <v>57</v>
      </c>
      <c r="AE582" s="33">
        <v>2035</v>
      </c>
      <c r="AF582" s="45" t="str">
        <f t="shared" si="78"/>
        <v>*0.93</v>
      </c>
      <c r="AG582" s="43" t="str">
        <f t="shared" si="72"/>
        <v>REZoning_Sol-Win</v>
      </c>
      <c r="AI582" s="33" t="s">
        <v>1456</v>
      </c>
      <c r="AJ582" s="44" t="s">
        <v>57</v>
      </c>
      <c r="AK582" s="33">
        <v>2050</v>
      </c>
      <c r="AL582" s="45" t="str">
        <f t="shared" si="79"/>
        <v>*0.89</v>
      </c>
      <c r="AM582" s="43" t="str">
        <f t="shared" si="73"/>
        <v>REZoning_Sol-Win</v>
      </c>
      <c r="AP582" t="s">
        <v>1456</v>
      </c>
      <c r="AQ582" t="s">
        <v>57</v>
      </c>
      <c r="AR582">
        <v>2100</v>
      </c>
      <c r="AS582" t="s">
        <v>937</v>
      </c>
      <c r="AT582" t="s">
        <v>58</v>
      </c>
    </row>
    <row r="583" ht="29" spans="1:46">
      <c r="A583" s="31" t="s">
        <v>83</v>
      </c>
      <c r="C583" t="s">
        <v>1457</v>
      </c>
      <c r="D583" s="5" t="s">
        <v>57</v>
      </c>
      <c r="E583">
        <v>2035</v>
      </c>
      <c r="F583" s="6" t="str">
        <f t="shared" si="74"/>
        <v>*0.95</v>
      </c>
      <c r="H583" t="s">
        <v>1457</v>
      </c>
      <c r="I583" s="5" t="s">
        <v>57</v>
      </c>
      <c r="J583">
        <v>2050</v>
      </c>
      <c r="K583" s="38" t="str">
        <f t="shared" si="75"/>
        <v>*0.92</v>
      </c>
      <c r="P583" s="32" t="s">
        <v>1457</v>
      </c>
      <c r="Q583" s="42" t="s">
        <v>57</v>
      </c>
      <c r="R583" s="32">
        <v>2035</v>
      </c>
      <c r="S583" s="43" t="str">
        <f t="shared" si="76"/>
        <v>*0.95</v>
      </c>
      <c r="U583" s="32" t="s">
        <v>1457</v>
      </c>
      <c r="V583" s="42" t="s">
        <v>57</v>
      </c>
      <c r="W583" s="32">
        <v>2050</v>
      </c>
      <c r="X583" s="43" t="str">
        <f t="shared" si="77"/>
        <v>*0.92</v>
      </c>
      <c r="AC583" s="33" t="s">
        <v>1457</v>
      </c>
      <c r="AD583" s="44" t="s">
        <v>57</v>
      </c>
      <c r="AE583" s="33">
        <v>2035</v>
      </c>
      <c r="AF583" s="45" t="str">
        <f t="shared" si="78"/>
        <v>*0.93</v>
      </c>
      <c r="AG583" s="43" t="str">
        <f t="shared" si="72"/>
        <v>REZoning_Sol-Win</v>
      </c>
      <c r="AI583" s="33" t="s">
        <v>1457</v>
      </c>
      <c r="AJ583" s="44" t="s">
        <v>57</v>
      </c>
      <c r="AK583" s="33">
        <v>2050</v>
      </c>
      <c r="AL583" s="45" t="str">
        <f t="shared" si="79"/>
        <v>*0.89</v>
      </c>
      <c r="AM583" s="43" t="str">
        <f t="shared" si="73"/>
        <v>REZoning_Sol-Win</v>
      </c>
      <c r="AP583" t="s">
        <v>1457</v>
      </c>
      <c r="AQ583" t="s">
        <v>57</v>
      </c>
      <c r="AR583">
        <v>2100</v>
      </c>
      <c r="AS583" t="s">
        <v>937</v>
      </c>
      <c r="AT583" t="s">
        <v>58</v>
      </c>
    </row>
    <row r="584" ht="29" spans="1:46">
      <c r="A584" s="31" t="s">
        <v>83</v>
      </c>
      <c r="C584" t="s">
        <v>1458</v>
      </c>
      <c r="D584" s="5" t="s">
        <v>57</v>
      </c>
      <c r="E584">
        <v>2035</v>
      </c>
      <c r="F584" s="6" t="str">
        <f t="shared" si="74"/>
        <v>*0.95</v>
      </c>
      <c r="H584" t="s">
        <v>1458</v>
      </c>
      <c r="I584" s="5" t="s">
        <v>57</v>
      </c>
      <c r="J584">
        <v>2050</v>
      </c>
      <c r="K584" s="38" t="str">
        <f t="shared" si="75"/>
        <v>*0.92</v>
      </c>
      <c r="P584" s="32" t="s">
        <v>1458</v>
      </c>
      <c r="Q584" s="42" t="s">
        <v>57</v>
      </c>
      <c r="R584" s="32">
        <v>2035</v>
      </c>
      <c r="S584" s="43" t="str">
        <f t="shared" si="76"/>
        <v>*0.95</v>
      </c>
      <c r="U584" s="32" t="s">
        <v>1458</v>
      </c>
      <c r="V584" s="42" t="s">
        <v>57</v>
      </c>
      <c r="W584" s="32">
        <v>2050</v>
      </c>
      <c r="X584" s="43" t="str">
        <f t="shared" si="77"/>
        <v>*0.92</v>
      </c>
      <c r="AC584" s="33" t="s">
        <v>1458</v>
      </c>
      <c r="AD584" s="44" t="s">
        <v>57</v>
      </c>
      <c r="AE584" s="33">
        <v>2035</v>
      </c>
      <c r="AF584" s="45" t="str">
        <f t="shared" si="78"/>
        <v>*0.93</v>
      </c>
      <c r="AG584" s="43" t="str">
        <f t="shared" si="72"/>
        <v>REZoning_Sol-Win</v>
      </c>
      <c r="AI584" s="33" t="s">
        <v>1458</v>
      </c>
      <c r="AJ584" s="44" t="s">
        <v>57</v>
      </c>
      <c r="AK584" s="33">
        <v>2050</v>
      </c>
      <c r="AL584" s="45" t="str">
        <f t="shared" si="79"/>
        <v>*0.89</v>
      </c>
      <c r="AM584" s="43" t="str">
        <f t="shared" si="73"/>
        <v>REZoning_Sol-Win</v>
      </c>
      <c r="AP584" t="s">
        <v>1458</v>
      </c>
      <c r="AQ584" t="s">
        <v>57</v>
      </c>
      <c r="AR584">
        <v>2100</v>
      </c>
      <c r="AS584" t="s">
        <v>937</v>
      </c>
      <c r="AT584" t="s">
        <v>58</v>
      </c>
    </row>
    <row r="585" ht="29" spans="1:46">
      <c r="A585" s="31" t="s">
        <v>83</v>
      </c>
      <c r="C585" t="s">
        <v>1459</v>
      </c>
      <c r="D585" s="5" t="s">
        <v>57</v>
      </c>
      <c r="E585">
        <v>2035</v>
      </c>
      <c r="F585" s="6" t="str">
        <f t="shared" si="74"/>
        <v>*0.95</v>
      </c>
      <c r="H585" t="s">
        <v>1459</v>
      </c>
      <c r="I585" s="5" t="s">
        <v>57</v>
      </c>
      <c r="J585">
        <v>2050</v>
      </c>
      <c r="K585" s="38" t="str">
        <f t="shared" si="75"/>
        <v>*0.92</v>
      </c>
      <c r="P585" s="32" t="s">
        <v>1459</v>
      </c>
      <c r="Q585" s="42" t="s">
        <v>57</v>
      </c>
      <c r="R585" s="32">
        <v>2035</v>
      </c>
      <c r="S585" s="43" t="str">
        <f t="shared" si="76"/>
        <v>*0.95</v>
      </c>
      <c r="U585" s="32" t="s">
        <v>1459</v>
      </c>
      <c r="V585" s="42" t="s">
        <v>57</v>
      </c>
      <c r="W585" s="32">
        <v>2050</v>
      </c>
      <c r="X585" s="43" t="str">
        <f t="shared" si="77"/>
        <v>*0.92</v>
      </c>
      <c r="AC585" s="33" t="s">
        <v>1459</v>
      </c>
      <c r="AD585" s="44" t="s">
        <v>57</v>
      </c>
      <c r="AE585" s="33">
        <v>2035</v>
      </c>
      <c r="AF585" s="45" t="str">
        <f t="shared" si="78"/>
        <v>*0.93</v>
      </c>
      <c r="AG585" s="43" t="str">
        <f t="shared" ref="AG585:AG648" si="80">AG584</f>
        <v>REZoning_Sol-Win</v>
      </c>
      <c r="AI585" s="33" t="s">
        <v>1459</v>
      </c>
      <c r="AJ585" s="44" t="s">
        <v>57</v>
      </c>
      <c r="AK585" s="33">
        <v>2050</v>
      </c>
      <c r="AL585" s="45" t="str">
        <f t="shared" si="79"/>
        <v>*0.89</v>
      </c>
      <c r="AM585" s="43" t="str">
        <f t="shared" si="73"/>
        <v>REZoning_Sol-Win</v>
      </c>
      <c r="AP585" t="s">
        <v>1459</v>
      </c>
      <c r="AQ585" t="s">
        <v>57</v>
      </c>
      <c r="AR585">
        <v>2100</v>
      </c>
      <c r="AS585" t="s">
        <v>937</v>
      </c>
      <c r="AT585" t="s">
        <v>58</v>
      </c>
    </row>
    <row r="586" ht="29" spans="1:46">
      <c r="A586" s="31" t="s">
        <v>83</v>
      </c>
      <c r="C586" t="s">
        <v>1460</v>
      </c>
      <c r="D586" s="5" t="s">
        <v>57</v>
      </c>
      <c r="E586">
        <v>2035</v>
      </c>
      <c r="F586" s="6" t="str">
        <f t="shared" si="74"/>
        <v>*0.95</v>
      </c>
      <c r="H586" t="s">
        <v>1460</v>
      </c>
      <c r="I586" s="5" t="s">
        <v>57</v>
      </c>
      <c r="J586">
        <v>2050</v>
      </c>
      <c r="K586" s="38" t="str">
        <f t="shared" si="75"/>
        <v>*0.92</v>
      </c>
      <c r="P586" s="32" t="s">
        <v>1460</v>
      </c>
      <c r="Q586" s="42" t="s">
        <v>57</v>
      </c>
      <c r="R586" s="32">
        <v>2035</v>
      </c>
      <c r="S586" s="43" t="str">
        <f t="shared" si="76"/>
        <v>*0.95</v>
      </c>
      <c r="U586" s="32" t="s">
        <v>1460</v>
      </c>
      <c r="V586" s="42" t="s">
        <v>57</v>
      </c>
      <c r="W586" s="32">
        <v>2050</v>
      </c>
      <c r="X586" s="43" t="str">
        <f t="shared" si="77"/>
        <v>*0.92</v>
      </c>
      <c r="AC586" s="33" t="s">
        <v>1460</v>
      </c>
      <c r="AD586" s="44" t="s">
        <v>57</v>
      </c>
      <c r="AE586" s="33">
        <v>2035</v>
      </c>
      <c r="AF586" s="45" t="str">
        <f t="shared" si="78"/>
        <v>*0.93</v>
      </c>
      <c r="AG586" s="43" t="str">
        <f t="shared" si="80"/>
        <v>REZoning_Sol-Win</v>
      </c>
      <c r="AI586" s="33" t="s">
        <v>1460</v>
      </c>
      <c r="AJ586" s="44" t="s">
        <v>57</v>
      </c>
      <c r="AK586" s="33">
        <v>2050</v>
      </c>
      <c r="AL586" s="45" t="str">
        <f t="shared" si="79"/>
        <v>*0.89</v>
      </c>
      <c r="AM586" s="43" t="str">
        <f t="shared" ref="AM586:AM649" si="81">AM585</f>
        <v>REZoning_Sol-Win</v>
      </c>
      <c r="AP586" t="s">
        <v>1460</v>
      </c>
      <c r="AQ586" t="s">
        <v>57</v>
      </c>
      <c r="AR586">
        <v>2100</v>
      </c>
      <c r="AS586" t="s">
        <v>937</v>
      </c>
      <c r="AT586" t="s">
        <v>58</v>
      </c>
    </row>
    <row r="587" ht="29" spans="1:46">
      <c r="A587" s="31" t="s">
        <v>83</v>
      </c>
      <c r="C587" t="s">
        <v>1461</v>
      </c>
      <c r="D587" s="5" t="s">
        <v>57</v>
      </c>
      <c r="E587">
        <v>2035</v>
      </c>
      <c r="F587" s="6" t="str">
        <f t="shared" si="74"/>
        <v>*0.95</v>
      </c>
      <c r="H587" t="s">
        <v>1461</v>
      </c>
      <c r="I587" s="5" t="s">
        <v>57</v>
      </c>
      <c r="J587">
        <v>2050</v>
      </c>
      <c r="K587" s="38" t="str">
        <f t="shared" si="75"/>
        <v>*0.92</v>
      </c>
      <c r="P587" s="32" t="s">
        <v>1461</v>
      </c>
      <c r="Q587" s="42" t="s">
        <v>57</v>
      </c>
      <c r="R587" s="32">
        <v>2035</v>
      </c>
      <c r="S587" s="43" t="str">
        <f t="shared" si="76"/>
        <v>*0.95</v>
      </c>
      <c r="U587" s="32" t="s">
        <v>1461</v>
      </c>
      <c r="V587" s="42" t="s">
        <v>57</v>
      </c>
      <c r="W587" s="32">
        <v>2050</v>
      </c>
      <c r="X587" s="43" t="str">
        <f t="shared" si="77"/>
        <v>*0.92</v>
      </c>
      <c r="AC587" s="33" t="s">
        <v>1461</v>
      </c>
      <c r="AD587" s="44" t="s">
        <v>57</v>
      </c>
      <c r="AE587" s="33">
        <v>2035</v>
      </c>
      <c r="AF587" s="45" t="str">
        <f t="shared" si="78"/>
        <v>*0.93</v>
      </c>
      <c r="AG587" s="43" t="str">
        <f t="shared" si="80"/>
        <v>REZoning_Sol-Win</v>
      </c>
      <c r="AI587" s="33" t="s">
        <v>1461</v>
      </c>
      <c r="AJ587" s="44" t="s">
        <v>57</v>
      </c>
      <c r="AK587" s="33">
        <v>2050</v>
      </c>
      <c r="AL587" s="45" t="str">
        <f t="shared" si="79"/>
        <v>*0.89</v>
      </c>
      <c r="AM587" s="43" t="str">
        <f t="shared" si="81"/>
        <v>REZoning_Sol-Win</v>
      </c>
      <c r="AP587" t="s">
        <v>1461</v>
      </c>
      <c r="AQ587" t="s">
        <v>57</v>
      </c>
      <c r="AR587">
        <v>2100</v>
      </c>
      <c r="AS587" t="s">
        <v>937</v>
      </c>
      <c r="AT587" t="s">
        <v>58</v>
      </c>
    </row>
    <row r="588" ht="29" spans="1:46">
      <c r="A588" s="31" t="s">
        <v>83</v>
      </c>
      <c r="C588" t="s">
        <v>1462</v>
      </c>
      <c r="D588" s="5" t="s">
        <v>57</v>
      </c>
      <c r="E588">
        <v>2035</v>
      </c>
      <c r="F588" s="6" t="str">
        <f t="shared" si="74"/>
        <v>*0.95</v>
      </c>
      <c r="H588" t="s">
        <v>1462</v>
      </c>
      <c r="I588" s="5" t="s">
        <v>57</v>
      </c>
      <c r="J588">
        <v>2050</v>
      </c>
      <c r="K588" s="38" t="str">
        <f t="shared" si="75"/>
        <v>*0.92</v>
      </c>
      <c r="P588" s="32" t="s">
        <v>1462</v>
      </c>
      <c r="Q588" s="42" t="s">
        <v>57</v>
      </c>
      <c r="R588" s="32">
        <v>2035</v>
      </c>
      <c r="S588" s="43" t="str">
        <f t="shared" si="76"/>
        <v>*0.95</v>
      </c>
      <c r="U588" s="32" t="s">
        <v>1462</v>
      </c>
      <c r="V588" s="42" t="s">
        <v>57</v>
      </c>
      <c r="W588" s="32">
        <v>2050</v>
      </c>
      <c r="X588" s="43" t="str">
        <f t="shared" si="77"/>
        <v>*0.92</v>
      </c>
      <c r="AC588" s="33" t="s">
        <v>1462</v>
      </c>
      <c r="AD588" s="44" t="s">
        <v>57</v>
      </c>
      <c r="AE588" s="33">
        <v>2035</v>
      </c>
      <c r="AF588" s="45" t="str">
        <f t="shared" si="78"/>
        <v>*0.93</v>
      </c>
      <c r="AG588" s="43" t="str">
        <f t="shared" si="80"/>
        <v>REZoning_Sol-Win</v>
      </c>
      <c r="AI588" s="33" t="s">
        <v>1462</v>
      </c>
      <c r="AJ588" s="44" t="s">
        <v>57</v>
      </c>
      <c r="AK588" s="33">
        <v>2050</v>
      </c>
      <c r="AL588" s="45" t="str">
        <f t="shared" si="79"/>
        <v>*0.89</v>
      </c>
      <c r="AM588" s="43" t="str">
        <f t="shared" si="81"/>
        <v>REZoning_Sol-Win</v>
      </c>
      <c r="AP588" t="s">
        <v>1462</v>
      </c>
      <c r="AQ588" t="s">
        <v>57</v>
      </c>
      <c r="AR588">
        <v>2100</v>
      </c>
      <c r="AS588" t="s">
        <v>937</v>
      </c>
      <c r="AT588" t="s">
        <v>58</v>
      </c>
    </row>
    <row r="589" ht="29" spans="1:46">
      <c r="A589" s="31" t="s">
        <v>83</v>
      </c>
      <c r="C589" t="s">
        <v>1463</v>
      </c>
      <c r="D589" s="5" t="s">
        <v>57</v>
      </c>
      <c r="E589">
        <v>2035</v>
      </c>
      <c r="F589" s="6" t="str">
        <f t="shared" si="74"/>
        <v>*0.95</v>
      </c>
      <c r="H589" t="s">
        <v>1463</v>
      </c>
      <c r="I589" s="5" t="s">
        <v>57</v>
      </c>
      <c r="J589">
        <v>2050</v>
      </c>
      <c r="K589" s="38" t="str">
        <f t="shared" si="75"/>
        <v>*0.92</v>
      </c>
      <c r="P589" s="32" t="s">
        <v>1463</v>
      </c>
      <c r="Q589" s="42" t="s">
        <v>57</v>
      </c>
      <c r="R589" s="32">
        <v>2035</v>
      </c>
      <c r="S589" s="43" t="str">
        <f t="shared" si="76"/>
        <v>*0.95</v>
      </c>
      <c r="U589" s="32" t="s">
        <v>1463</v>
      </c>
      <c r="V589" s="42" t="s">
        <v>57</v>
      </c>
      <c r="W589" s="32">
        <v>2050</v>
      </c>
      <c r="X589" s="43" t="str">
        <f t="shared" si="77"/>
        <v>*0.92</v>
      </c>
      <c r="AC589" s="33" t="s">
        <v>1463</v>
      </c>
      <c r="AD589" s="44" t="s">
        <v>57</v>
      </c>
      <c r="AE589" s="33">
        <v>2035</v>
      </c>
      <c r="AF589" s="45" t="str">
        <f t="shared" si="78"/>
        <v>*0.93</v>
      </c>
      <c r="AG589" s="43" t="str">
        <f t="shared" si="80"/>
        <v>REZoning_Sol-Win</v>
      </c>
      <c r="AI589" s="33" t="s">
        <v>1463</v>
      </c>
      <c r="AJ589" s="44" t="s">
        <v>57</v>
      </c>
      <c r="AK589" s="33">
        <v>2050</v>
      </c>
      <c r="AL589" s="45" t="str">
        <f t="shared" si="79"/>
        <v>*0.89</v>
      </c>
      <c r="AM589" s="43" t="str">
        <f t="shared" si="81"/>
        <v>REZoning_Sol-Win</v>
      </c>
      <c r="AP589" t="s">
        <v>1463</v>
      </c>
      <c r="AQ589" t="s">
        <v>57</v>
      </c>
      <c r="AR589">
        <v>2100</v>
      </c>
      <c r="AS589" t="s">
        <v>937</v>
      </c>
      <c r="AT589" t="s">
        <v>58</v>
      </c>
    </row>
    <row r="590" ht="29" spans="1:46">
      <c r="A590" s="31" t="s">
        <v>83</v>
      </c>
      <c r="C590" t="s">
        <v>1464</v>
      </c>
      <c r="D590" s="5" t="s">
        <v>57</v>
      </c>
      <c r="E590">
        <v>2035</v>
      </c>
      <c r="F590" s="6" t="str">
        <f t="shared" si="74"/>
        <v>*0.95</v>
      </c>
      <c r="H590" t="s">
        <v>1464</v>
      </c>
      <c r="I590" s="5" t="s">
        <v>57</v>
      </c>
      <c r="J590">
        <v>2050</v>
      </c>
      <c r="K590" s="38" t="str">
        <f t="shared" si="75"/>
        <v>*0.92</v>
      </c>
      <c r="P590" s="32" t="s">
        <v>1464</v>
      </c>
      <c r="Q590" s="42" t="s">
        <v>57</v>
      </c>
      <c r="R590" s="32">
        <v>2035</v>
      </c>
      <c r="S590" s="43" t="str">
        <f t="shared" si="76"/>
        <v>*0.95</v>
      </c>
      <c r="U590" s="32" t="s">
        <v>1464</v>
      </c>
      <c r="V590" s="42" t="s">
        <v>57</v>
      </c>
      <c r="W590" s="32">
        <v>2050</v>
      </c>
      <c r="X590" s="43" t="str">
        <f t="shared" si="77"/>
        <v>*0.92</v>
      </c>
      <c r="AC590" s="33" t="s">
        <v>1464</v>
      </c>
      <c r="AD590" s="44" t="s">
        <v>57</v>
      </c>
      <c r="AE590" s="33">
        <v>2035</v>
      </c>
      <c r="AF590" s="45" t="str">
        <f t="shared" si="78"/>
        <v>*0.93</v>
      </c>
      <c r="AG590" s="43" t="str">
        <f t="shared" si="80"/>
        <v>REZoning_Sol-Win</v>
      </c>
      <c r="AI590" s="33" t="s">
        <v>1464</v>
      </c>
      <c r="AJ590" s="44" t="s">
        <v>57</v>
      </c>
      <c r="AK590" s="33">
        <v>2050</v>
      </c>
      <c r="AL590" s="45" t="str">
        <f t="shared" si="79"/>
        <v>*0.89</v>
      </c>
      <c r="AM590" s="43" t="str">
        <f t="shared" si="81"/>
        <v>REZoning_Sol-Win</v>
      </c>
      <c r="AP590" t="s">
        <v>1464</v>
      </c>
      <c r="AQ590" t="s">
        <v>57</v>
      </c>
      <c r="AR590">
        <v>2100</v>
      </c>
      <c r="AS590" t="s">
        <v>937</v>
      </c>
      <c r="AT590" t="s">
        <v>58</v>
      </c>
    </row>
    <row r="591" ht="29" spans="1:46">
      <c r="A591" s="31" t="s">
        <v>83</v>
      </c>
      <c r="C591" t="s">
        <v>1465</v>
      </c>
      <c r="D591" s="5" t="s">
        <v>57</v>
      </c>
      <c r="E591">
        <v>2035</v>
      </c>
      <c r="F591" s="6" t="str">
        <f t="shared" si="74"/>
        <v>*0.95</v>
      </c>
      <c r="H591" t="s">
        <v>1465</v>
      </c>
      <c r="I591" s="5" t="s">
        <v>57</v>
      </c>
      <c r="J591">
        <v>2050</v>
      </c>
      <c r="K591" s="38" t="str">
        <f t="shared" si="75"/>
        <v>*0.92</v>
      </c>
      <c r="P591" s="32" t="s">
        <v>1465</v>
      </c>
      <c r="Q591" s="42" t="s">
        <v>57</v>
      </c>
      <c r="R591" s="32">
        <v>2035</v>
      </c>
      <c r="S591" s="43" t="str">
        <f t="shared" si="76"/>
        <v>*0.95</v>
      </c>
      <c r="U591" s="32" t="s">
        <v>1465</v>
      </c>
      <c r="V591" s="42" t="s">
        <v>57</v>
      </c>
      <c r="W591" s="32">
        <v>2050</v>
      </c>
      <c r="X591" s="43" t="str">
        <f t="shared" si="77"/>
        <v>*0.92</v>
      </c>
      <c r="AC591" s="33" t="s">
        <v>1465</v>
      </c>
      <c r="AD591" s="44" t="s">
        <v>57</v>
      </c>
      <c r="AE591" s="33">
        <v>2035</v>
      </c>
      <c r="AF591" s="45" t="str">
        <f t="shared" si="78"/>
        <v>*0.93</v>
      </c>
      <c r="AG591" s="43" t="str">
        <f t="shared" si="80"/>
        <v>REZoning_Sol-Win</v>
      </c>
      <c r="AI591" s="33" t="s">
        <v>1465</v>
      </c>
      <c r="AJ591" s="44" t="s">
        <v>57</v>
      </c>
      <c r="AK591" s="33">
        <v>2050</v>
      </c>
      <c r="AL591" s="45" t="str">
        <f t="shared" si="79"/>
        <v>*0.89</v>
      </c>
      <c r="AM591" s="43" t="str">
        <f t="shared" si="81"/>
        <v>REZoning_Sol-Win</v>
      </c>
      <c r="AP591" t="s">
        <v>1465</v>
      </c>
      <c r="AQ591" t="s">
        <v>57</v>
      </c>
      <c r="AR591">
        <v>2100</v>
      </c>
      <c r="AS591" t="s">
        <v>937</v>
      </c>
      <c r="AT591" t="s">
        <v>58</v>
      </c>
    </row>
    <row r="592" ht="29" spans="1:46">
      <c r="A592" s="31" t="s">
        <v>83</v>
      </c>
      <c r="C592" t="s">
        <v>1466</v>
      </c>
      <c r="D592" s="5" t="s">
        <v>57</v>
      </c>
      <c r="E592">
        <v>2035</v>
      </c>
      <c r="F592" s="6" t="str">
        <f t="shared" si="74"/>
        <v>*0.95</v>
      </c>
      <c r="H592" t="s">
        <v>1466</v>
      </c>
      <c r="I592" s="5" t="s">
        <v>57</v>
      </c>
      <c r="J592">
        <v>2050</v>
      </c>
      <c r="K592" s="38" t="str">
        <f t="shared" si="75"/>
        <v>*0.92</v>
      </c>
      <c r="P592" s="32" t="s">
        <v>1466</v>
      </c>
      <c r="Q592" s="42" t="s">
        <v>57</v>
      </c>
      <c r="R592" s="32">
        <v>2035</v>
      </c>
      <c r="S592" s="43" t="str">
        <f t="shared" si="76"/>
        <v>*0.95</v>
      </c>
      <c r="U592" s="32" t="s">
        <v>1466</v>
      </c>
      <c r="V592" s="42" t="s">
        <v>57</v>
      </c>
      <c r="W592" s="32">
        <v>2050</v>
      </c>
      <c r="X592" s="43" t="str">
        <f t="shared" si="77"/>
        <v>*0.92</v>
      </c>
      <c r="AC592" s="33" t="s">
        <v>1466</v>
      </c>
      <c r="AD592" s="44" t="s">
        <v>57</v>
      </c>
      <c r="AE592" s="33">
        <v>2035</v>
      </c>
      <c r="AF592" s="45" t="str">
        <f t="shared" si="78"/>
        <v>*0.93</v>
      </c>
      <c r="AG592" s="43" t="str">
        <f t="shared" si="80"/>
        <v>REZoning_Sol-Win</v>
      </c>
      <c r="AI592" s="33" t="s">
        <v>1466</v>
      </c>
      <c r="AJ592" s="44" t="s">
        <v>57</v>
      </c>
      <c r="AK592" s="33">
        <v>2050</v>
      </c>
      <c r="AL592" s="45" t="str">
        <f t="shared" si="79"/>
        <v>*0.89</v>
      </c>
      <c r="AM592" s="43" t="str">
        <f t="shared" si="81"/>
        <v>REZoning_Sol-Win</v>
      </c>
      <c r="AP592" t="s">
        <v>1466</v>
      </c>
      <c r="AQ592" t="s">
        <v>57</v>
      </c>
      <c r="AR592">
        <v>2100</v>
      </c>
      <c r="AS592" t="s">
        <v>937</v>
      </c>
      <c r="AT592" t="s">
        <v>58</v>
      </c>
    </row>
    <row r="593" ht="29" spans="1:46">
      <c r="A593" s="31" t="s">
        <v>83</v>
      </c>
      <c r="C593" t="s">
        <v>1467</v>
      </c>
      <c r="D593" s="5" t="s">
        <v>57</v>
      </c>
      <c r="E593">
        <v>2035</v>
      </c>
      <c r="F593" s="6" t="str">
        <f t="shared" si="74"/>
        <v>*0.95</v>
      </c>
      <c r="H593" t="s">
        <v>1467</v>
      </c>
      <c r="I593" s="5" t="s">
        <v>57</v>
      </c>
      <c r="J593">
        <v>2050</v>
      </c>
      <c r="K593" s="38" t="str">
        <f t="shared" si="75"/>
        <v>*0.92</v>
      </c>
      <c r="P593" s="32" t="s">
        <v>1467</v>
      </c>
      <c r="Q593" s="42" t="s">
        <v>57</v>
      </c>
      <c r="R593" s="32">
        <v>2035</v>
      </c>
      <c r="S593" s="43" t="str">
        <f t="shared" si="76"/>
        <v>*0.95</v>
      </c>
      <c r="U593" s="32" t="s">
        <v>1467</v>
      </c>
      <c r="V593" s="42" t="s">
        <v>57</v>
      </c>
      <c r="W593" s="32">
        <v>2050</v>
      </c>
      <c r="X593" s="43" t="str">
        <f t="shared" si="77"/>
        <v>*0.92</v>
      </c>
      <c r="AC593" s="33" t="s">
        <v>1467</v>
      </c>
      <c r="AD593" s="44" t="s">
        <v>57</v>
      </c>
      <c r="AE593" s="33">
        <v>2035</v>
      </c>
      <c r="AF593" s="45" t="str">
        <f t="shared" si="78"/>
        <v>*0.93</v>
      </c>
      <c r="AG593" s="43" t="str">
        <f t="shared" si="80"/>
        <v>REZoning_Sol-Win</v>
      </c>
      <c r="AI593" s="33" t="s">
        <v>1467</v>
      </c>
      <c r="AJ593" s="44" t="s">
        <v>57</v>
      </c>
      <c r="AK593" s="33">
        <v>2050</v>
      </c>
      <c r="AL593" s="45" t="str">
        <f t="shared" si="79"/>
        <v>*0.89</v>
      </c>
      <c r="AM593" s="43" t="str">
        <f t="shared" si="81"/>
        <v>REZoning_Sol-Win</v>
      </c>
      <c r="AP593" t="s">
        <v>1467</v>
      </c>
      <c r="AQ593" t="s">
        <v>57</v>
      </c>
      <c r="AR593">
        <v>2100</v>
      </c>
      <c r="AS593" t="s">
        <v>937</v>
      </c>
      <c r="AT593" t="s">
        <v>58</v>
      </c>
    </row>
    <row r="594" ht="29" spans="1:46">
      <c r="A594" s="31" t="s">
        <v>83</v>
      </c>
      <c r="C594" t="s">
        <v>1468</v>
      </c>
      <c r="D594" s="5" t="s">
        <v>57</v>
      </c>
      <c r="E594">
        <v>2035</v>
      </c>
      <c r="F594" s="6" t="str">
        <f t="shared" si="74"/>
        <v>*0.95</v>
      </c>
      <c r="H594" t="s">
        <v>1468</v>
      </c>
      <c r="I594" s="5" t="s">
        <v>57</v>
      </c>
      <c r="J594">
        <v>2050</v>
      </c>
      <c r="K594" s="38" t="str">
        <f t="shared" si="75"/>
        <v>*0.92</v>
      </c>
      <c r="P594" s="32" t="s">
        <v>1468</v>
      </c>
      <c r="Q594" s="42" t="s">
        <v>57</v>
      </c>
      <c r="R594" s="32">
        <v>2035</v>
      </c>
      <c r="S594" s="43" t="str">
        <f t="shared" si="76"/>
        <v>*0.95</v>
      </c>
      <c r="U594" s="32" t="s">
        <v>1468</v>
      </c>
      <c r="V594" s="42" t="s">
        <v>57</v>
      </c>
      <c r="W594" s="32">
        <v>2050</v>
      </c>
      <c r="X594" s="43" t="str">
        <f t="shared" si="77"/>
        <v>*0.92</v>
      </c>
      <c r="AC594" s="33" t="s">
        <v>1468</v>
      </c>
      <c r="AD594" s="44" t="s">
        <v>57</v>
      </c>
      <c r="AE594" s="33">
        <v>2035</v>
      </c>
      <c r="AF594" s="45" t="str">
        <f t="shared" si="78"/>
        <v>*0.93</v>
      </c>
      <c r="AG594" s="43" t="str">
        <f t="shared" si="80"/>
        <v>REZoning_Sol-Win</v>
      </c>
      <c r="AI594" s="33" t="s">
        <v>1468</v>
      </c>
      <c r="AJ594" s="44" t="s">
        <v>57</v>
      </c>
      <c r="AK594" s="33">
        <v>2050</v>
      </c>
      <c r="AL594" s="45" t="str">
        <f t="shared" si="79"/>
        <v>*0.89</v>
      </c>
      <c r="AM594" s="43" t="str">
        <f t="shared" si="81"/>
        <v>REZoning_Sol-Win</v>
      </c>
      <c r="AP594" t="s">
        <v>1468</v>
      </c>
      <c r="AQ594" t="s">
        <v>57</v>
      </c>
      <c r="AR594">
        <v>2100</v>
      </c>
      <c r="AS594" t="s">
        <v>937</v>
      </c>
      <c r="AT594" t="s">
        <v>58</v>
      </c>
    </row>
    <row r="595" ht="29" spans="1:46">
      <c r="A595" s="31" t="s">
        <v>83</v>
      </c>
      <c r="C595" t="s">
        <v>1469</v>
      </c>
      <c r="D595" s="5" t="s">
        <v>57</v>
      </c>
      <c r="E595">
        <v>2035</v>
      </c>
      <c r="F595" s="6" t="str">
        <f t="shared" si="74"/>
        <v>*0.95</v>
      </c>
      <c r="H595" t="s">
        <v>1469</v>
      </c>
      <c r="I595" s="5" t="s">
        <v>57</v>
      </c>
      <c r="J595">
        <v>2050</v>
      </c>
      <c r="K595" s="38" t="str">
        <f t="shared" si="75"/>
        <v>*0.92</v>
      </c>
      <c r="P595" s="32" t="s">
        <v>1469</v>
      </c>
      <c r="Q595" s="42" t="s">
        <v>57</v>
      </c>
      <c r="R595" s="32">
        <v>2035</v>
      </c>
      <c r="S595" s="43" t="str">
        <f t="shared" si="76"/>
        <v>*0.95</v>
      </c>
      <c r="U595" s="32" t="s">
        <v>1469</v>
      </c>
      <c r="V595" s="42" t="s">
        <v>57</v>
      </c>
      <c r="W595" s="32">
        <v>2050</v>
      </c>
      <c r="X595" s="43" t="str">
        <f t="shared" si="77"/>
        <v>*0.92</v>
      </c>
      <c r="AC595" s="33" t="s">
        <v>1469</v>
      </c>
      <c r="AD595" s="44" t="s">
        <v>57</v>
      </c>
      <c r="AE595" s="33">
        <v>2035</v>
      </c>
      <c r="AF595" s="45" t="str">
        <f t="shared" si="78"/>
        <v>*0.93</v>
      </c>
      <c r="AG595" s="43" t="str">
        <f t="shared" si="80"/>
        <v>REZoning_Sol-Win</v>
      </c>
      <c r="AI595" s="33" t="s">
        <v>1469</v>
      </c>
      <c r="AJ595" s="44" t="s">
        <v>57</v>
      </c>
      <c r="AK595" s="33">
        <v>2050</v>
      </c>
      <c r="AL595" s="45" t="str">
        <f t="shared" si="79"/>
        <v>*0.89</v>
      </c>
      <c r="AM595" s="43" t="str">
        <f t="shared" si="81"/>
        <v>REZoning_Sol-Win</v>
      </c>
      <c r="AP595" t="s">
        <v>1469</v>
      </c>
      <c r="AQ595" t="s">
        <v>57</v>
      </c>
      <c r="AR595">
        <v>2100</v>
      </c>
      <c r="AS595" t="s">
        <v>937</v>
      </c>
      <c r="AT595" t="s">
        <v>58</v>
      </c>
    </row>
    <row r="596" ht="29" spans="1:46">
      <c r="A596" s="31" t="s">
        <v>83</v>
      </c>
      <c r="C596" t="s">
        <v>1470</v>
      </c>
      <c r="D596" s="5" t="s">
        <v>57</v>
      </c>
      <c r="E596">
        <v>2035</v>
      </c>
      <c r="F596" s="6" t="str">
        <f t="shared" si="74"/>
        <v>*0.95</v>
      </c>
      <c r="H596" t="s">
        <v>1470</v>
      </c>
      <c r="I596" s="5" t="s">
        <v>57</v>
      </c>
      <c r="J596">
        <v>2050</v>
      </c>
      <c r="K596" s="38" t="str">
        <f t="shared" si="75"/>
        <v>*0.92</v>
      </c>
      <c r="P596" s="32" t="s">
        <v>1470</v>
      </c>
      <c r="Q596" s="42" t="s">
        <v>57</v>
      </c>
      <c r="R596" s="32">
        <v>2035</v>
      </c>
      <c r="S596" s="43" t="str">
        <f t="shared" si="76"/>
        <v>*0.95</v>
      </c>
      <c r="U596" s="32" t="s">
        <v>1470</v>
      </c>
      <c r="V596" s="42" t="s">
        <v>57</v>
      </c>
      <c r="W596" s="32">
        <v>2050</v>
      </c>
      <c r="X596" s="43" t="str">
        <f t="shared" si="77"/>
        <v>*0.92</v>
      </c>
      <c r="AC596" s="33" t="s">
        <v>1470</v>
      </c>
      <c r="AD596" s="44" t="s">
        <v>57</v>
      </c>
      <c r="AE596" s="33">
        <v>2035</v>
      </c>
      <c r="AF596" s="45" t="str">
        <f t="shared" si="78"/>
        <v>*0.93</v>
      </c>
      <c r="AG596" s="43" t="str">
        <f t="shared" si="80"/>
        <v>REZoning_Sol-Win</v>
      </c>
      <c r="AI596" s="33" t="s">
        <v>1470</v>
      </c>
      <c r="AJ596" s="44" t="s">
        <v>57</v>
      </c>
      <c r="AK596" s="33">
        <v>2050</v>
      </c>
      <c r="AL596" s="45" t="str">
        <f t="shared" si="79"/>
        <v>*0.89</v>
      </c>
      <c r="AM596" s="43" t="str">
        <f t="shared" si="81"/>
        <v>REZoning_Sol-Win</v>
      </c>
      <c r="AP596" t="s">
        <v>1470</v>
      </c>
      <c r="AQ596" t="s">
        <v>57</v>
      </c>
      <c r="AR596">
        <v>2100</v>
      </c>
      <c r="AS596" t="s">
        <v>937</v>
      </c>
      <c r="AT596" t="s">
        <v>58</v>
      </c>
    </row>
    <row r="597" ht="29" spans="1:46">
      <c r="A597" s="31" t="s">
        <v>83</v>
      </c>
      <c r="C597" t="s">
        <v>1471</v>
      </c>
      <c r="D597" s="5" t="s">
        <v>57</v>
      </c>
      <c r="E597">
        <v>2035</v>
      </c>
      <c r="F597" s="6" t="str">
        <f t="shared" si="74"/>
        <v>*0.95</v>
      </c>
      <c r="H597" t="s">
        <v>1471</v>
      </c>
      <c r="I597" s="5" t="s">
        <v>57</v>
      </c>
      <c r="J597">
        <v>2050</v>
      </c>
      <c r="K597" s="38" t="str">
        <f t="shared" si="75"/>
        <v>*0.92</v>
      </c>
      <c r="P597" s="32" t="s">
        <v>1471</v>
      </c>
      <c r="Q597" s="42" t="s">
        <v>57</v>
      </c>
      <c r="R597" s="32">
        <v>2035</v>
      </c>
      <c r="S597" s="43" t="str">
        <f t="shared" si="76"/>
        <v>*0.95</v>
      </c>
      <c r="U597" s="32" t="s">
        <v>1471</v>
      </c>
      <c r="V597" s="42" t="s">
        <v>57</v>
      </c>
      <c r="W597" s="32">
        <v>2050</v>
      </c>
      <c r="X597" s="43" t="str">
        <f t="shared" si="77"/>
        <v>*0.92</v>
      </c>
      <c r="AC597" s="33" t="s">
        <v>1471</v>
      </c>
      <c r="AD597" s="44" t="s">
        <v>57</v>
      </c>
      <c r="AE597" s="33">
        <v>2035</v>
      </c>
      <c r="AF597" s="45" t="str">
        <f t="shared" si="78"/>
        <v>*0.93</v>
      </c>
      <c r="AG597" s="43" t="str">
        <f t="shared" si="80"/>
        <v>REZoning_Sol-Win</v>
      </c>
      <c r="AI597" s="33" t="s">
        <v>1471</v>
      </c>
      <c r="AJ597" s="44" t="s">
        <v>57</v>
      </c>
      <c r="AK597" s="33">
        <v>2050</v>
      </c>
      <c r="AL597" s="45" t="str">
        <f t="shared" si="79"/>
        <v>*0.89</v>
      </c>
      <c r="AM597" s="43" t="str">
        <f t="shared" si="81"/>
        <v>REZoning_Sol-Win</v>
      </c>
      <c r="AP597" t="s">
        <v>1471</v>
      </c>
      <c r="AQ597" t="s">
        <v>57</v>
      </c>
      <c r="AR597">
        <v>2100</v>
      </c>
      <c r="AS597" t="s">
        <v>937</v>
      </c>
      <c r="AT597" t="s">
        <v>58</v>
      </c>
    </row>
    <row r="598" ht="29" spans="1:46">
      <c r="A598" s="31" t="s">
        <v>83</v>
      </c>
      <c r="C598" t="s">
        <v>1472</v>
      </c>
      <c r="D598" s="5" t="s">
        <v>57</v>
      </c>
      <c r="E598">
        <v>2035</v>
      </c>
      <c r="F598" s="6" t="str">
        <f t="shared" si="74"/>
        <v>*0.95</v>
      </c>
      <c r="H598" t="s">
        <v>1472</v>
      </c>
      <c r="I598" s="5" t="s">
        <v>57</v>
      </c>
      <c r="J598">
        <v>2050</v>
      </c>
      <c r="K598" s="38" t="str">
        <f t="shared" si="75"/>
        <v>*0.92</v>
      </c>
      <c r="P598" s="32" t="s">
        <v>1472</v>
      </c>
      <c r="Q598" s="42" t="s">
        <v>57</v>
      </c>
      <c r="R598" s="32">
        <v>2035</v>
      </c>
      <c r="S598" s="43" t="str">
        <f t="shared" si="76"/>
        <v>*0.95</v>
      </c>
      <c r="U598" s="32" t="s">
        <v>1472</v>
      </c>
      <c r="V598" s="42" t="s">
        <v>57</v>
      </c>
      <c r="W598" s="32">
        <v>2050</v>
      </c>
      <c r="X598" s="43" t="str">
        <f t="shared" si="77"/>
        <v>*0.92</v>
      </c>
      <c r="AC598" s="33" t="s">
        <v>1472</v>
      </c>
      <c r="AD598" s="44" t="s">
        <v>57</v>
      </c>
      <c r="AE598" s="33">
        <v>2035</v>
      </c>
      <c r="AF598" s="45" t="str">
        <f t="shared" si="78"/>
        <v>*0.93</v>
      </c>
      <c r="AG598" s="43" t="str">
        <f t="shared" si="80"/>
        <v>REZoning_Sol-Win</v>
      </c>
      <c r="AI598" s="33" t="s">
        <v>1472</v>
      </c>
      <c r="AJ598" s="44" t="s">
        <v>57</v>
      </c>
      <c r="AK598" s="33">
        <v>2050</v>
      </c>
      <c r="AL598" s="45" t="str">
        <f t="shared" si="79"/>
        <v>*0.89</v>
      </c>
      <c r="AM598" s="43" t="str">
        <f t="shared" si="81"/>
        <v>REZoning_Sol-Win</v>
      </c>
      <c r="AP598" t="s">
        <v>1472</v>
      </c>
      <c r="AQ598" t="s">
        <v>57</v>
      </c>
      <c r="AR598">
        <v>2100</v>
      </c>
      <c r="AS598" t="s">
        <v>937</v>
      </c>
      <c r="AT598" t="s">
        <v>58</v>
      </c>
    </row>
    <row r="599" ht="29" spans="1:46">
      <c r="A599" s="31" t="s">
        <v>83</v>
      </c>
      <c r="C599" t="s">
        <v>1473</v>
      </c>
      <c r="D599" s="5" t="s">
        <v>57</v>
      </c>
      <c r="E599">
        <v>2035</v>
      </c>
      <c r="F599" s="6" t="str">
        <f t="shared" si="74"/>
        <v>*0.95</v>
      </c>
      <c r="H599" t="s">
        <v>1473</v>
      </c>
      <c r="I599" s="5" t="s">
        <v>57</v>
      </c>
      <c r="J599">
        <v>2050</v>
      </c>
      <c r="K599" s="38" t="str">
        <f t="shared" si="75"/>
        <v>*0.92</v>
      </c>
      <c r="P599" s="32" t="s">
        <v>1473</v>
      </c>
      <c r="Q599" s="42" t="s">
        <v>57</v>
      </c>
      <c r="R599" s="32">
        <v>2035</v>
      </c>
      <c r="S599" s="43" t="str">
        <f t="shared" si="76"/>
        <v>*0.95</v>
      </c>
      <c r="U599" s="32" t="s">
        <v>1473</v>
      </c>
      <c r="V599" s="42" t="s">
        <v>57</v>
      </c>
      <c r="W599" s="32">
        <v>2050</v>
      </c>
      <c r="X599" s="43" t="str">
        <f t="shared" si="77"/>
        <v>*0.92</v>
      </c>
      <c r="AC599" s="33" t="s">
        <v>1473</v>
      </c>
      <c r="AD599" s="44" t="s">
        <v>57</v>
      </c>
      <c r="AE599" s="33">
        <v>2035</v>
      </c>
      <c r="AF599" s="45" t="str">
        <f t="shared" si="78"/>
        <v>*0.93</v>
      </c>
      <c r="AG599" s="43" t="str">
        <f t="shared" si="80"/>
        <v>REZoning_Sol-Win</v>
      </c>
      <c r="AI599" s="33" t="s">
        <v>1473</v>
      </c>
      <c r="AJ599" s="44" t="s">
        <v>57</v>
      </c>
      <c r="AK599" s="33">
        <v>2050</v>
      </c>
      <c r="AL599" s="45" t="str">
        <f t="shared" si="79"/>
        <v>*0.89</v>
      </c>
      <c r="AM599" s="43" t="str">
        <f t="shared" si="81"/>
        <v>REZoning_Sol-Win</v>
      </c>
      <c r="AP599" t="s">
        <v>1473</v>
      </c>
      <c r="AQ599" t="s">
        <v>57</v>
      </c>
      <c r="AR599">
        <v>2100</v>
      </c>
      <c r="AS599" t="s">
        <v>937</v>
      </c>
      <c r="AT599" t="s">
        <v>58</v>
      </c>
    </row>
    <row r="600" ht="29" spans="1:46">
      <c r="A600" s="31" t="s">
        <v>83</v>
      </c>
      <c r="C600" t="s">
        <v>1474</v>
      </c>
      <c r="D600" s="5" t="s">
        <v>57</v>
      </c>
      <c r="E600">
        <v>2035</v>
      </c>
      <c r="F600" s="6" t="str">
        <f t="shared" si="74"/>
        <v>*0.95</v>
      </c>
      <c r="H600" t="s">
        <v>1474</v>
      </c>
      <c r="I600" s="5" t="s">
        <v>57</v>
      </c>
      <c r="J600">
        <v>2050</v>
      </c>
      <c r="K600" s="38" t="str">
        <f t="shared" si="75"/>
        <v>*0.92</v>
      </c>
      <c r="P600" s="32" t="s">
        <v>1474</v>
      </c>
      <c r="Q600" s="42" t="s">
        <v>57</v>
      </c>
      <c r="R600" s="32">
        <v>2035</v>
      </c>
      <c r="S600" s="43" t="str">
        <f t="shared" si="76"/>
        <v>*0.95</v>
      </c>
      <c r="U600" s="32" t="s">
        <v>1474</v>
      </c>
      <c r="V600" s="42" t="s">
        <v>57</v>
      </c>
      <c r="W600" s="32">
        <v>2050</v>
      </c>
      <c r="X600" s="43" t="str">
        <f t="shared" si="77"/>
        <v>*0.92</v>
      </c>
      <c r="AC600" s="33" t="s">
        <v>1474</v>
      </c>
      <c r="AD600" s="44" t="s">
        <v>57</v>
      </c>
      <c r="AE600" s="33">
        <v>2035</v>
      </c>
      <c r="AF600" s="45" t="str">
        <f t="shared" si="78"/>
        <v>*0.93</v>
      </c>
      <c r="AG600" s="43" t="str">
        <f t="shared" si="80"/>
        <v>REZoning_Sol-Win</v>
      </c>
      <c r="AI600" s="33" t="s">
        <v>1474</v>
      </c>
      <c r="AJ600" s="44" t="s">
        <v>57</v>
      </c>
      <c r="AK600" s="33">
        <v>2050</v>
      </c>
      <c r="AL600" s="45" t="str">
        <f t="shared" si="79"/>
        <v>*0.89</v>
      </c>
      <c r="AM600" s="43" t="str">
        <f t="shared" si="81"/>
        <v>REZoning_Sol-Win</v>
      </c>
      <c r="AP600" t="s">
        <v>1474</v>
      </c>
      <c r="AQ600" t="s">
        <v>57</v>
      </c>
      <c r="AR600">
        <v>2100</v>
      </c>
      <c r="AS600" t="s">
        <v>937</v>
      </c>
      <c r="AT600" t="s">
        <v>58</v>
      </c>
    </row>
    <row r="601" ht="29" spans="1:46">
      <c r="A601" s="31" t="s">
        <v>83</v>
      </c>
      <c r="C601" t="s">
        <v>1475</v>
      </c>
      <c r="D601" s="5" t="s">
        <v>57</v>
      </c>
      <c r="E601">
        <v>2035</v>
      </c>
      <c r="F601" s="6" t="str">
        <f t="shared" si="74"/>
        <v>*0.95</v>
      </c>
      <c r="H601" t="s">
        <v>1475</v>
      </c>
      <c r="I601" s="5" t="s">
        <v>57</v>
      </c>
      <c r="J601">
        <v>2050</v>
      </c>
      <c r="K601" s="38" t="str">
        <f t="shared" si="75"/>
        <v>*0.92</v>
      </c>
      <c r="P601" s="32" t="s">
        <v>1475</v>
      </c>
      <c r="Q601" s="42" t="s">
        <v>57</v>
      </c>
      <c r="R601" s="32">
        <v>2035</v>
      </c>
      <c r="S601" s="43" t="str">
        <f t="shared" si="76"/>
        <v>*0.95</v>
      </c>
      <c r="U601" s="32" t="s">
        <v>1475</v>
      </c>
      <c r="V601" s="42" t="s">
        <v>57</v>
      </c>
      <c r="W601" s="32">
        <v>2050</v>
      </c>
      <c r="X601" s="43" t="str">
        <f t="shared" si="77"/>
        <v>*0.92</v>
      </c>
      <c r="AC601" s="33" t="s">
        <v>1475</v>
      </c>
      <c r="AD601" s="44" t="s">
        <v>57</v>
      </c>
      <c r="AE601" s="33">
        <v>2035</v>
      </c>
      <c r="AF601" s="45" t="str">
        <f t="shared" si="78"/>
        <v>*0.93</v>
      </c>
      <c r="AG601" s="43" t="str">
        <f t="shared" si="80"/>
        <v>REZoning_Sol-Win</v>
      </c>
      <c r="AI601" s="33" t="s">
        <v>1475</v>
      </c>
      <c r="AJ601" s="44" t="s">
        <v>57</v>
      </c>
      <c r="AK601" s="33">
        <v>2050</v>
      </c>
      <c r="AL601" s="45" t="str">
        <f t="shared" si="79"/>
        <v>*0.89</v>
      </c>
      <c r="AM601" s="43" t="str">
        <f t="shared" si="81"/>
        <v>REZoning_Sol-Win</v>
      </c>
      <c r="AP601" t="s">
        <v>1475</v>
      </c>
      <c r="AQ601" t="s">
        <v>57</v>
      </c>
      <c r="AR601">
        <v>2100</v>
      </c>
      <c r="AS601" t="s">
        <v>937</v>
      </c>
      <c r="AT601" t="s">
        <v>58</v>
      </c>
    </row>
    <row r="602" ht="29" spans="1:46">
      <c r="A602" s="31" t="s">
        <v>65</v>
      </c>
      <c r="C602" t="s">
        <v>1476</v>
      </c>
      <c r="D602" s="5" t="s">
        <v>57</v>
      </c>
      <c r="E602">
        <v>2035</v>
      </c>
      <c r="F602" s="6" t="str">
        <f t="shared" si="74"/>
        <v>*0.94</v>
      </c>
      <c r="H602" t="s">
        <v>1476</v>
      </c>
      <c r="I602" s="5" t="s">
        <v>57</v>
      </c>
      <c r="J602">
        <v>2050</v>
      </c>
      <c r="K602" s="38" t="str">
        <f t="shared" si="75"/>
        <v>*0.91</v>
      </c>
      <c r="P602" s="32" t="s">
        <v>1476</v>
      </c>
      <c r="Q602" s="42" t="s">
        <v>57</v>
      </c>
      <c r="R602" s="32">
        <v>2035</v>
      </c>
      <c r="S602" s="43" t="str">
        <f t="shared" si="76"/>
        <v>*0.93</v>
      </c>
      <c r="U602" s="32" t="s">
        <v>1476</v>
      </c>
      <c r="V602" s="42" t="s">
        <v>57</v>
      </c>
      <c r="W602" s="32">
        <v>2050</v>
      </c>
      <c r="X602" s="43" t="str">
        <f t="shared" si="77"/>
        <v>*0.9</v>
      </c>
      <c r="AC602" s="33" t="s">
        <v>1476</v>
      </c>
      <c r="AD602" s="44" t="s">
        <v>57</v>
      </c>
      <c r="AE602" s="33">
        <v>2035</v>
      </c>
      <c r="AF602" s="45" t="str">
        <f t="shared" si="78"/>
        <v>*0.9</v>
      </c>
      <c r="AG602" s="43" t="str">
        <f t="shared" si="80"/>
        <v>REZoning_Sol-Win</v>
      </c>
      <c r="AI602" s="33" t="s">
        <v>1476</v>
      </c>
      <c r="AJ602" s="44" t="s">
        <v>57</v>
      </c>
      <c r="AK602" s="33">
        <v>2050</v>
      </c>
      <c r="AL602" s="45" t="str">
        <f t="shared" si="79"/>
        <v>*0.86</v>
      </c>
      <c r="AM602" s="43" t="str">
        <f t="shared" si="81"/>
        <v>REZoning_Sol-Win</v>
      </c>
      <c r="AP602" t="s">
        <v>1476</v>
      </c>
      <c r="AQ602" t="s">
        <v>57</v>
      </c>
      <c r="AR602">
        <v>2100</v>
      </c>
      <c r="AS602" t="s">
        <v>883</v>
      </c>
      <c r="AT602" t="s">
        <v>58</v>
      </c>
    </row>
    <row r="603" ht="29" spans="1:46">
      <c r="A603" s="31" t="s">
        <v>83</v>
      </c>
      <c r="C603" t="s">
        <v>1477</v>
      </c>
      <c r="D603" s="5" t="s">
        <v>57</v>
      </c>
      <c r="E603">
        <v>2035</v>
      </c>
      <c r="F603" s="6" t="str">
        <f t="shared" si="74"/>
        <v>*0.95</v>
      </c>
      <c r="H603" t="s">
        <v>1477</v>
      </c>
      <c r="I603" s="5" t="s">
        <v>57</v>
      </c>
      <c r="J603">
        <v>2050</v>
      </c>
      <c r="K603" s="38" t="str">
        <f t="shared" si="75"/>
        <v>*0.92</v>
      </c>
      <c r="P603" s="32" t="s">
        <v>1477</v>
      </c>
      <c r="Q603" s="42" t="s">
        <v>57</v>
      </c>
      <c r="R603" s="32">
        <v>2035</v>
      </c>
      <c r="S603" s="43" t="str">
        <f t="shared" si="76"/>
        <v>*0.95</v>
      </c>
      <c r="U603" s="32" t="s">
        <v>1477</v>
      </c>
      <c r="V603" s="42" t="s">
        <v>57</v>
      </c>
      <c r="W603" s="32">
        <v>2050</v>
      </c>
      <c r="X603" s="43" t="str">
        <f t="shared" si="77"/>
        <v>*0.92</v>
      </c>
      <c r="AC603" s="33" t="s">
        <v>1477</v>
      </c>
      <c r="AD603" s="44" t="s">
        <v>57</v>
      </c>
      <c r="AE603" s="33">
        <v>2035</v>
      </c>
      <c r="AF603" s="45" t="str">
        <f t="shared" si="78"/>
        <v>*0.93</v>
      </c>
      <c r="AG603" s="43" t="str">
        <f t="shared" si="80"/>
        <v>REZoning_Sol-Win</v>
      </c>
      <c r="AI603" s="33" t="s">
        <v>1477</v>
      </c>
      <c r="AJ603" s="44" t="s">
        <v>57</v>
      </c>
      <c r="AK603" s="33">
        <v>2050</v>
      </c>
      <c r="AL603" s="45" t="str">
        <f t="shared" si="79"/>
        <v>*0.89</v>
      </c>
      <c r="AM603" s="43" t="str">
        <f t="shared" si="81"/>
        <v>REZoning_Sol-Win</v>
      </c>
      <c r="AP603" t="s">
        <v>1477</v>
      </c>
      <c r="AQ603" t="s">
        <v>57</v>
      </c>
      <c r="AR603">
        <v>2100</v>
      </c>
      <c r="AS603" t="s">
        <v>937</v>
      </c>
      <c r="AT603" t="s">
        <v>58</v>
      </c>
    </row>
    <row r="604" ht="29" spans="1:46">
      <c r="A604" s="31" t="s">
        <v>83</v>
      </c>
      <c r="C604" t="s">
        <v>1478</v>
      </c>
      <c r="D604" s="5" t="s">
        <v>57</v>
      </c>
      <c r="E604">
        <v>2035</v>
      </c>
      <c r="F604" s="6" t="str">
        <f t="shared" si="74"/>
        <v>*0.95</v>
      </c>
      <c r="H604" t="s">
        <v>1478</v>
      </c>
      <c r="I604" s="5" t="s">
        <v>57</v>
      </c>
      <c r="J604">
        <v>2050</v>
      </c>
      <c r="K604" s="38" t="str">
        <f t="shared" si="75"/>
        <v>*0.92</v>
      </c>
      <c r="P604" s="32" t="s">
        <v>1478</v>
      </c>
      <c r="Q604" s="42" t="s">
        <v>57</v>
      </c>
      <c r="R604" s="32">
        <v>2035</v>
      </c>
      <c r="S604" s="43" t="str">
        <f t="shared" si="76"/>
        <v>*0.95</v>
      </c>
      <c r="U604" s="32" t="s">
        <v>1478</v>
      </c>
      <c r="V604" s="42" t="s">
        <v>57</v>
      </c>
      <c r="W604" s="32">
        <v>2050</v>
      </c>
      <c r="X604" s="43" t="str">
        <f t="shared" si="77"/>
        <v>*0.92</v>
      </c>
      <c r="AC604" s="33" t="s">
        <v>1478</v>
      </c>
      <c r="AD604" s="44" t="s">
        <v>57</v>
      </c>
      <c r="AE604" s="33">
        <v>2035</v>
      </c>
      <c r="AF604" s="45" t="str">
        <f t="shared" si="78"/>
        <v>*0.93</v>
      </c>
      <c r="AG604" s="43" t="str">
        <f t="shared" si="80"/>
        <v>REZoning_Sol-Win</v>
      </c>
      <c r="AI604" s="33" t="s">
        <v>1478</v>
      </c>
      <c r="AJ604" s="44" t="s">
        <v>57</v>
      </c>
      <c r="AK604" s="33">
        <v>2050</v>
      </c>
      <c r="AL604" s="45" t="str">
        <f t="shared" si="79"/>
        <v>*0.89</v>
      </c>
      <c r="AM604" s="43" t="str">
        <f t="shared" si="81"/>
        <v>REZoning_Sol-Win</v>
      </c>
      <c r="AP604" t="s">
        <v>1478</v>
      </c>
      <c r="AQ604" t="s">
        <v>57</v>
      </c>
      <c r="AR604">
        <v>2100</v>
      </c>
      <c r="AS604" t="s">
        <v>937</v>
      </c>
      <c r="AT604" t="s">
        <v>58</v>
      </c>
    </row>
    <row r="605" ht="29" spans="1:46">
      <c r="A605" s="31" t="s">
        <v>83</v>
      </c>
      <c r="C605" t="s">
        <v>1479</v>
      </c>
      <c r="D605" s="5" t="s">
        <v>57</v>
      </c>
      <c r="E605">
        <v>2035</v>
      </c>
      <c r="F605" s="6" t="str">
        <f t="shared" si="74"/>
        <v>*0.95</v>
      </c>
      <c r="H605" t="s">
        <v>1479</v>
      </c>
      <c r="I605" s="5" t="s">
        <v>57</v>
      </c>
      <c r="J605">
        <v>2050</v>
      </c>
      <c r="K605" s="38" t="str">
        <f t="shared" si="75"/>
        <v>*0.92</v>
      </c>
      <c r="P605" s="32" t="s">
        <v>1479</v>
      </c>
      <c r="Q605" s="42" t="s">
        <v>57</v>
      </c>
      <c r="R605" s="32">
        <v>2035</v>
      </c>
      <c r="S605" s="43" t="str">
        <f t="shared" si="76"/>
        <v>*0.95</v>
      </c>
      <c r="U605" s="32" t="s">
        <v>1479</v>
      </c>
      <c r="V605" s="42" t="s">
        <v>57</v>
      </c>
      <c r="W605" s="32">
        <v>2050</v>
      </c>
      <c r="X605" s="43" t="str">
        <f t="shared" si="77"/>
        <v>*0.92</v>
      </c>
      <c r="AC605" s="33" t="s">
        <v>1479</v>
      </c>
      <c r="AD605" s="44" t="s">
        <v>57</v>
      </c>
      <c r="AE605" s="33">
        <v>2035</v>
      </c>
      <c r="AF605" s="45" t="str">
        <f t="shared" si="78"/>
        <v>*0.93</v>
      </c>
      <c r="AG605" s="43" t="str">
        <f t="shared" si="80"/>
        <v>REZoning_Sol-Win</v>
      </c>
      <c r="AI605" s="33" t="s">
        <v>1479</v>
      </c>
      <c r="AJ605" s="44" t="s">
        <v>57</v>
      </c>
      <c r="AK605" s="33">
        <v>2050</v>
      </c>
      <c r="AL605" s="45" t="str">
        <f t="shared" si="79"/>
        <v>*0.89</v>
      </c>
      <c r="AM605" s="43" t="str">
        <f t="shared" si="81"/>
        <v>REZoning_Sol-Win</v>
      </c>
      <c r="AP605" t="s">
        <v>1479</v>
      </c>
      <c r="AQ605" t="s">
        <v>57</v>
      </c>
      <c r="AR605">
        <v>2100</v>
      </c>
      <c r="AS605" t="s">
        <v>937</v>
      </c>
      <c r="AT605" t="s">
        <v>58</v>
      </c>
    </row>
    <row r="606" ht="29" spans="1:46">
      <c r="A606" s="31" t="s">
        <v>83</v>
      </c>
      <c r="C606" t="s">
        <v>1480</v>
      </c>
      <c r="D606" s="5" t="s">
        <v>57</v>
      </c>
      <c r="E606">
        <v>2035</v>
      </c>
      <c r="F606" s="6" t="str">
        <f t="shared" si="74"/>
        <v>*0.95</v>
      </c>
      <c r="H606" t="s">
        <v>1480</v>
      </c>
      <c r="I606" s="5" t="s">
        <v>57</v>
      </c>
      <c r="J606">
        <v>2050</v>
      </c>
      <c r="K606" s="38" t="str">
        <f t="shared" si="75"/>
        <v>*0.92</v>
      </c>
      <c r="P606" s="32" t="s">
        <v>1480</v>
      </c>
      <c r="Q606" s="42" t="s">
        <v>57</v>
      </c>
      <c r="R606" s="32">
        <v>2035</v>
      </c>
      <c r="S606" s="43" t="str">
        <f t="shared" si="76"/>
        <v>*0.95</v>
      </c>
      <c r="U606" s="32" t="s">
        <v>1480</v>
      </c>
      <c r="V606" s="42" t="s">
        <v>57</v>
      </c>
      <c r="W606" s="32">
        <v>2050</v>
      </c>
      <c r="X606" s="43" t="str">
        <f t="shared" si="77"/>
        <v>*0.92</v>
      </c>
      <c r="AC606" s="33" t="s">
        <v>1480</v>
      </c>
      <c r="AD606" s="44" t="s">
        <v>57</v>
      </c>
      <c r="AE606" s="33">
        <v>2035</v>
      </c>
      <c r="AF606" s="45" t="str">
        <f t="shared" si="78"/>
        <v>*0.93</v>
      </c>
      <c r="AG606" s="43" t="str">
        <f t="shared" si="80"/>
        <v>REZoning_Sol-Win</v>
      </c>
      <c r="AI606" s="33" t="s">
        <v>1480</v>
      </c>
      <c r="AJ606" s="44" t="s">
        <v>57</v>
      </c>
      <c r="AK606" s="33">
        <v>2050</v>
      </c>
      <c r="AL606" s="45" t="str">
        <f t="shared" si="79"/>
        <v>*0.89</v>
      </c>
      <c r="AM606" s="43" t="str">
        <f t="shared" si="81"/>
        <v>REZoning_Sol-Win</v>
      </c>
      <c r="AP606" t="s">
        <v>1480</v>
      </c>
      <c r="AQ606" t="s">
        <v>57</v>
      </c>
      <c r="AR606">
        <v>2100</v>
      </c>
      <c r="AS606" t="s">
        <v>937</v>
      </c>
      <c r="AT606" t="s">
        <v>58</v>
      </c>
    </row>
    <row r="607" ht="29" spans="1:46">
      <c r="A607" s="31" t="s">
        <v>83</v>
      </c>
      <c r="C607" t="s">
        <v>1481</v>
      </c>
      <c r="D607" s="5" t="s">
        <v>57</v>
      </c>
      <c r="E607">
        <v>2035</v>
      </c>
      <c r="F607" s="6" t="str">
        <f t="shared" si="74"/>
        <v>*0.95</v>
      </c>
      <c r="H607" t="s">
        <v>1481</v>
      </c>
      <c r="I607" s="5" t="s">
        <v>57</v>
      </c>
      <c r="J607">
        <v>2050</v>
      </c>
      <c r="K607" s="38" t="str">
        <f t="shared" si="75"/>
        <v>*0.92</v>
      </c>
      <c r="P607" s="32" t="s">
        <v>1481</v>
      </c>
      <c r="Q607" s="42" t="s">
        <v>57</v>
      </c>
      <c r="R607" s="32">
        <v>2035</v>
      </c>
      <c r="S607" s="43" t="str">
        <f t="shared" si="76"/>
        <v>*0.95</v>
      </c>
      <c r="U607" s="32" t="s">
        <v>1481</v>
      </c>
      <c r="V607" s="42" t="s">
        <v>57</v>
      </c>
      <c r="W607" s="32">
        <v>2050</v>
      </c>
      <c r="X607" s="43" t="str">
        <f t="shared" si="77"/>
        <v>*0.92</v>
      </c>
      <c r="AC607" s="33" t="s">
        <v>1481</v>
      </c>
      <c r="AD607" s="44" t="s">
        <v>57</v>
      </c>
      <c r="AE607" s="33">
        <v>2035</v>
      </c>
      <c r="AF607" s="45" t="str">
        <f t="shared" si="78"/>
        <v>*0.93</v>
      </c>
      <c r="AG607" s="43" t="str">
        <f t="shared" si="80"/>
        <v>REZoning_Sol-Win</v>
      </c>
      <c r="AI607" s="33" t="s">
        <v>1481</v>
      </c>
      <c r="AJ607" s="44" t="s">
        <v>57</v>
      </c>
      <c r="AK607" s="33">
        <v>2050</v>
      </c>
      <c r="AL607" s="45" t="str">
        <f t="shared" si="79"/>
        <v>*0.89</v>
      </c>
      <c r="AM607" s="43" t="str">
        <f t="shared" si="81"/>
        <v>REZoning_Sol-Win</v>
      </c>
      <c r="AP607" t="s">
        <v>1481</v>
      </c>
      <c r="AQ607" t="s">
        <v>57</v>
      </c>
      <c r="AR607">
        <v>2100</v>
      </c>
      <c r="AS607" t="s">
        <v>937</v>
      </c>
      <c r="AT607" t="s">
        <v>58</v>
      </c>
    </row>
    <row r="608" ht="29" spans="1:46">
      <c r="A608" s="31" t="s">
        <v>83</v>
      </c>
      <c r="C608" t="s">
        <v>1482</v>
      </c>
      <c r="D608" s="5" t="s">
        <v>57</v>
      </c>
      <c r="E608">
        <v>2035</v>
      </c>
      <c r="F608" s="6" t="str">
        <f t="shared" si="74"/>
        <v>*0.95</v>
      </c>
      <c r="H608" t="s">
        <v>1482</v>
      </c>
      <c r="I608" s="5" t="s">
        <v>57</v>
      </c>
      <c r="J608">
        <v>2050</v>
      </c>
      <c r="K608" s="38" t="str">
        <f t="shared" si="75"/>
        <v>*0.92</v>
      </c>
      <c r="P608" s="32" t="s">
        <v>1482</v>
      </c>
      <c r="Q608" s="42" t="s">
        <v>57</v>
      </c>
      <c r="R608" s="32">
        <v>2035</v>
      </c>
      <c r="S608" s="43" t="str">
        <f t="shared" si="76"/>
        <v>*0.95</v>
      </c>
      <c r="U608" s="32" t="s">
        <v>1482</v>
      </c>
      <c r="V608" s="42" t="s">
        <v>57</v>
      </c>
      <c r="W608" s="32">
        <v>2050</v>
      </c>
      <c r="X608" s="43" t="str">
        <f t="shared" si="77"/>
        <v>*0.92</v>
      </c>
      <c r="AC608" s="33" t="s">
        <v>1482</v>
      </c>
      <c r="AD608" s="44" t="s">
        <v>57</v>
      </c>
      <c r="AE608" s="33">
        <v>2035</v>
      </c>
      <c r="AF608" s="45" t="str">
        <f t="shared" si="78"/>
        <v>*0.93</v>
      </c>
      <c r="AG608" s="43" t="str">
        <f t="shared" si="80"/>
        <v>REZoning_Sol-Win</v>
      </c>
      <c r="AI608" s="33" t="s">
        <v>1482</v>
      </c>
      <c r="AJ608" s="44" t="s">
        <v>57</v>
      </c>
      <c r="AK608" s="33">
        <v>2050</v>
      </c>
      <c r="AL608" s="45" t="str">
        <f t="shared" si="79"/>
        <v>*0.89</v>
      </c>
      <c r="AM608" s="43" t="str">
        <f t="shared" si="81"/>
        <v>REZoning_Sol-Win</v>
      </c>
      <c r="AP608" t="s">
        <v>1482</v>
      </c>
      <c r="AQ608" t="s">
        <v>57</v>
      </c>
      <c r="AR608">
        <v>2100</v>
      </c>
      <c r="AS608" t="s">
        <v>937</v>
      </c>
      <c r="AT608" t="s">
        <v>58</v>
      </c>
    </row>
    <row r="609" ht="29" spans="1:46">
      <c r="A609" s="31" t="s">
        <v>83</v>
      </c>
      <c r="C609" t="s">
        <v>1483</v>
      </c>
      <c r="D609" s="5" t="s">
        <v>57</v>
      </c>
      <c r="E609">
        <v>2035</v>
      </c>
      <c r="F609" s="6" t="str">
        <f t="shared" si="74"/>
        <v>*0.95</v>
      </c>
      <c r="H609" t="s">
        <v>1483</v>
      </c>
      <c r="I609" s="5" t="s">
        <v>57</v>
      </c>
      <c r="J609">
        <v>2050</v>
      </c>
      <c r="K609" s="38" t="str">
        <f t="shared" si="75"/>
        <v>*0.92</v>
      </c>
      <c r="P609" s="32" t="s">
        <v>1483</v>
      </c>
      <c r="Q609" s="42" t="s">
        <v>57</v>
      </c>
      <c r="R609" s="32">
        <v>2035</v>
      </c>
      <c r="S609" s="43" t="str">
        <f t="shared" si="76"/>
        <v>*0.95</v>
      </c>
      <c r="U609" s="32" t="s">
        <v>1483</v>
      </c>
      <c r="V609" s="42" t="s">
        <v>57</v>
      </c>
      <c r="W609" s="32">
        <v>2050</v>
      </c>
      <c r="X609" s="43" t="str">
        <f t="shared" si="77"/>
        <v>*0.92</v>
      </c>
      <c r="AC609" s="33" t="s">
        <v>1483</v>
      </c>
      <c r="AD609" s="44" t="s">
        <v>57</v>
      </c>
      <c r="AE609" s="33">
        <v>2035</v>
      </c>
      <c r="AF609" s="45" t="str">
        <f t="shared" si="78"/>
        <v>*0.93</v>
      </c>
      <c r="AG609" s="43" t="str">
        <f t="shared" si="80"/>
        <v>REZoning_Sol-Win</v>
      </c>
      <c r="AI609" s="33" t="s">
        <v>1483</v>
      </c>
      <c r="AJ609" s="44" t="s">
        <v>57</v>
      </c>
      <c r="AK609" s="33">
        <v>2050</v>
      </c>
      <c r="AL609" s="45" t="str">
        <f t="shared" si="79"/>
        <v>*0.89</v>
      </c>
      <c r="AM609" s="43" t="str">
        <f t="shared" si="81"/>
        <v>REZoning_Sol-Win</v>
      </c>
      <c r="AP609" t="s">
        <v>1483</v>
      </c>
      <c r="AQ609" t="s">
        <v>57</v>
      </c>
      <c r="AR609">
        <v>2100</v>
      </c>
      <c r="AS609" t="s">
        <v>937</v>
      </c>
      <c r="AT609" t="s">
        <v>58</v>
      </c>
    </row>
    <row r="610" ht="29" spans="1:46">
      <c r="A610" s="31" t="s">
        <v>83</v>
      </c>
      <c r="C610" t="s">
        <v>1484</v>
      </c>
      <c r="D610" s="5" t="s">
        <v>57</v>
      </c>
      <c r="E610">
        <v>2035</v>
      </c>
      <c r="F610" s="6" t="str">
        <f t="shared" si="74"/>
        <v>*0.95</v>
      </c>
      <c r="H610" t="s">
        <v>1484</v>
      </c>
      <c r="I610" s="5" t="s">
        <v>57</v>
      </c>
      <c r="J610">
        <v>2050</v>
      </c>
      <c r="K610" s="38" t="str">
        <f t="shared" si="75"/>
        <v>*0.92</v>
      </c>
      <c r="P610" s="32" t="s">
        <v>1484</v>
      </c>
      <c r="Q610" s="42" t="s">
        <v>57</v>
      </c>
      <c r="R610" s="32">
        <v>2035</v>
      </c>
      <c r="S610" s="43" t="str">
        <f t="shared" si="76"/>
        <v>*0.95</v>
      </c>
      <c r="U610" s="32" t="s">
        <v>1484</v>
      </c>
      <c r="V610" s="42" t="s">
        <v>57</v>
      </c>
      <c r="W610" s="32">
        <v>2050</v>
      </c>
      <c r="X610" s="43" t="str">
        <f t="shared" si="77"/>
        <v>*0.92</v>
      </c>
      <c r="AC610" s="33" t="s">
        <v>1484</v>
      </c>
      <c r="AD610" s="44" t="s">
        <v>57</v>
      </c>
      <c r="AE610" s="33">
        <v>2035</v>
      </c>
      <c r="AF610" s="45" t="str">
        <f t="shared" si="78"/>
        <v>*0.93</v>
      </c>
      <c r="AG610" s="43" t="str">
        <f t="shared" si="80"/>
        <v>REZoning_Sol-Win</v>
      </c>
      <c r="AI610" s="33" t="s">
        <v>1484</v>
      </c>
      <c r="AJ610" s="44" t="s">
        <v>57</v>
      </c>
      <c r="AK610" s="33">
        <v>2050</v>
      </c>
      <c r="AL610" s="45" t="str">
        <f t="shared" si="79"/>
        <v>*0.89</v>
      </c>
      <c r="AM610" s="43" t="str">
        <f t="shared" si="81"/>
        <v>REZoning_Sol-Win</v>
      </c>
      <c r="AP610" t="s">
        <v>1484</v>
      </c>
      <c r="AQ610" t="s">
        <v>57</v>
      </c>
      <c r="AR610">
        <v>2100</v>
      </c>
      <c r="AS610" t="s">
        <v>937</v>
      </c>
      <c r="AT610" t="s">
        <v>58</v>
      </c>
    </row>
    <row r="611" ht="29" spans="1:46">
      <c r="A611" s="31" t="s">
        <v>83</v>
      </c>
      <c r="C611" t="s">
        <v>1485</v>
      </c>
      <c r="D611" s="5" t="s">
        <v>57</v>
      </c>
      <c r="E611">
        <v>2035</v>
      </c>
      <c r="F611" s="6" t="str">
        <f t="shared" si="74"/>
        <v>*0.95</v>
      </c>
      <c r="H611" t="s">
        <v>1485</v>
      </c>
      <c r="I611" s="5" t="s">
        <v>57</v>
      </c>
      <c r="J611">
        <v>2050</v>
      </c>
      <c r="K611" s="38" t="str">
        <f t="shared" si="75"/>
        <v>*0.92</v>
      </c>
      <c r="P611" s="32" t="s">
        <v>1485</v>
      </c>
      <c r="Q611" s="42" t="s">
        <v>57</v>
      </c>
      <c r="R611" s="32">
        <v>2035</v>
      </c>
      <c r="S611" s="43" t="str">
        <f t="shared" si="76"/>
        <v>*0.95</v>
      </c>
      <c r="U611" s="32" t="s">
        <v>1485</v>
      </c>
      <c r="V611" s="42" t="s">
        <v>57</v>
      </c>
      <c r="W611" s="32">
        <v>2050</v>
      </c>
      <c r="X611" s="43" t="str">
        <f t="shared" si="77"/>
        <v>*0.92</v>
      </c>
      <c r="AC611" s="33" t="s">
        <v>1485</v>
      </c>
      <c r="AD611" s="44" t="s">
        <v>57</v>
      </c>
      <c r="AE611" s="33">
        <v>2035</v>
      </c>
      <c r="AF611" s="45" t="str">
        <f t="shared" si="78"/>
        <v>*0.93</v>
      </c>
      <c r="AG611" s="43" t="str">
        <f t="shared" si="80"/>
        <v>REZoning_Sol-Win</v>
      </c>
      <c r="AI611" s="33" t="s">
        <v>1485</v>
      </c>
      <c r="AJ611" s="44" t="s">
        <v>57</v>
      </c>
      <c r="AK611" s="33">
        <v>2050</v>
      </c>
      <c r="AL611" s="45" t="str">
        <f t="shared" si="79"/>
        <v>*0.89</v>
      </c>
      <c r="AM611" s="43" t="str">
        <f t="shared" si="81"/>
        <v>REZoning_Sol-Win</v>
      </c>
      <c r="AP611" t="s">
        <v>1485</v>
      </c>
      <c r="AQ611" t="s">
        <v>57</v>
      </c>
      <c r="AR611">
        <v>2100</v>
      </c>
      <c r="AS611" t="s">
        <v>937</v>
      </c>
      <c r="AT611" t="s">
        <v>58</v>
      </c>
    </row>
    <row r="612" ht="29" spans="1:46">
      <c r="A612" s="31" t="s">
        <v>83</v>
      </c>
      <c r="C612" t="s">
        <v>1486</v>
      </c>
      <c r="D612" s="5" t="s">
        <v>57</v>
      </c>
      <c r="E612">
        <v>2035</v>
      </c>
      <c r="F612" s="6" t="str">
        <f t="shared" si="74"/>
        <v>*0.95</v>
      </c>
      <c r="H612" t="s">
        <v>1486</v>
      </c>
      <c r="I612" s="5" t="s">
        <v>57</v>
      </c>
      <c r="J612">
        <v>2050</v>
      </c>
      <c r="K612" s="38" t="str">
        <f t="shared" si="75"/>
        <v>*0.92</v>
      </c>
      <c r="P612" s="32" t="s">
        <v>1486</v>
      </c>
      <c r="Q612" s="42" t="s">
        <v>57</v>
      </c>
      <c r="R612" s="32">
        <v>2035</v>
      </c>
      <c r="S612" s="43" t="str">
        <f t="shared" si="76"/>
        <v>*0.95</v>
      </c>
      <c r="U612" s="32" t="s">
        <v>1486</v>
      </c>
      <c r="V612" s="42" t="s">
        <v>57</v>
      </c>
      <c r="W612" s="32">
        <v>2050</v>
      </c>
      <c r="X612" s="43" t="str">
        <f t="shared" si="77"/>
        <v>*0.92</v>
      </c>
      <c r="AC612" s="33" t="s">
        <v>1486</v>
      </c>
      <c r="AD612" s="44" t="s">
        <v>57</v>
      </c>
      <c r="AE612" s="33">
        <v>2035</v>
      </c>
      <c r="AF612" s="45" t="str">
        <f t="shared" si="78"/>
        <v>*0.93</v>
      </c>
      <c r="AG612" s="43" t="str">
        <f t="shared" si="80"/>
        <v>REZoning_Sol-Win</v>
      </c>
      <c r="AI612" s="33" t="s">
        <v>1486</v>
      </c>
      <c r="AJ612" s="44" t="s">
        <v>57</v>
      </c>
      <c r="AK612" s="33">
        <v>2050</v>
      </c>
      <c r="AL612" s="45" t="str">
        <f t="shared" si="79"/>
        <v>*0.89</v>
      </c>
      <c r="AM612" s="43" t="str">
        <f t="shared" si="81"/>
        <v>REZoning_Sol-Win</v>
      </c>
      <c r="AP612" t="s">
        <v>1486</v>
      </c>
      <c r="AQ612" t="s">
        <v>57</v>
      </c>
      <c r="AR612">
        <v>2100</v>
      </c>
      <c r="AS612" t="s">
        <v>937</v>
      </c>
      <c r="AT612" t="s">
        <v>58</v>
      </c>
    </row>
    <row r="613" ht="29" spans="1:46">
      <c r="A613" s="31" t="s">
        <v>83</v>
      </c>
      <c r="C613" t="s">
        <v>1487</v>
      </c>
      <c r="D613" s="5" t="s">
        <v>57</v>
      </c>
      <c r="E613">
        <v>2035</v>
      </c>
      <c r="F613" s="6" t="str">
        <f t="shared" si="74"/>
        <v>*0.95</v>
      </c>
      <c r="H613" t="s">
        <v>1487</v>
      </c>
      <c r="I613" s="5" t="s">
        <v>57</v>
      </c>
      <c r="J613">
        <v>2050</v>
      </c>
      <c r="K613" s="38" t="str">
        <f t="shared" si="75"/>
        <v>*0.92</v>
      </c>
      <c r="P613" s="32" t="s">
        <v>1487</v>
      </c>
      <c r="Q613" s="42" t="s">
        <v>57</v>
      </c>
      <c r="R613" s="32">
        <v>2035</v>
      </c>
      <c r="S613" s="43" t="str">
        <f t="shared" si="76"/>
        <v>*0.95</v>
      </c>
      <c r="U613" s="32" t="s">
        <v>1487</v>
      </c>
      <c r="V613" s="42" t="s">
        <v>57</v>
      </c>
      <c r="W613" s="32">
        <v>2050</v>
      </c>
      <c r="X613" s="43" t="str">
        <f t="shared" si="77"/>
        <v>*0.92</v>
      </c>
      <c r="AC613" s="33" t="s">
        <v>1487</v>
      </c>
      <c r="AD613" s="44" t="s">
        <v>57</v>
      </c>
      <c r="AE613" s="33">
        <v>2035</v>
      </c>
      <c r="AF613" s="45" t="str">
        <f t="shared" si="78"/>
        <v>*0.93</v>
      </c>
      <c r="AG613" s="43" t="str">
        <f t="shared" si="80"/>
        <v>REZoning_Sol-Win</v>
      </c>
      <c r="AI613" s="33" t="s">
        <v>1487</v>
      </c>
      <c r="AJ613" s="44" t="s">
        <v>57</v>
      </c>
      <c r="AK613" s="33">
        <v>2050</v>
      </c>
      <c r="AL613" s="45" t="str">
        <f t="shared" si="79"/>
        <v>*0.89</v>
      </c>
      <c r="AM613" s="43" t="str">
        <f t="shared" si="81"/>
        <v>REZoning_Sol-Win</v>
      </c>
      <c r="AP613" t="s">
        <v>1487</v>
      </c>
      <c r="AQ613" t="s">
        <v>57</v>
      </c>
      <c r="AR613">
        <v>2100</v>
      </c>
      <c r="AS613" t="s">
        <v>937</v>
      </c>
      <c r="AT613" t="s">
        <v>58</v>
      </c>
    </row>
    <row r="614" ht="29" spans="1:46">
      <c r="A614" s="31" t="s">
        <v>83</v>
      </c>
      <c r="C614" t="s">
        <v>1488</v>
      </c>
      <c r="D614" s="5" t="s">
        <v>57</v>
      </c>
      <c r="E614">
        <v>2035</v>
      </c>
      <c r="F614" s="6" t="str">
        <f t="shared" si="74"/>
        <v>*0.95</v>
      </c>
      <c r="H614" t="s">
        <v>1488</v>
      </c>
      <c r="I614" s="5" t="s">
        <v>57</v>
      </c>
      <c r="J614">
        <v>2050</v>
      </c>
      <c r="K614" s="38" t="str">
        <f t="shared" si="75"/>
        <v>*0.92</v>
      </c>
      <c r="P614" s="32" t="s">
        <v>1488</v>
      </c>
      <c r="Q614" s="42" t="s">
        <v>57</v>
      </c>
      <c r="R614" s="32">
        <v>2035</v>
      </c>
      <c r="S614" s="43" t="str">
        <f t="shared" si="76"/>
        <v>*0.95</v>
      </c>
      <c r="U614" s="32" t="s">
        <v>1488</v>
      </c>
      <c r="V614" s="42" t="s">
        <v>57</v>
      </c>
      <c r="W614" s="32">
        <v>2050</v>
      </c>
      <c r="X614" s="43" t="str">
        <f t="shared" si="77"/>
        <v>*0.92</v>
      </c>
      <c r="AC614" s="33" t="s">
        <v>1488</v>
      </c>
      <c r="AD614" s="44" t="s">
        <v>57</v>
      </c>
      <c r="AE614" s="33">
        <v>2035</v>
      </c>
      <c r="AF614" s="45" t="str">
        <f t="shared" si="78"/>
        <v>*0.93</v>
      </c>
      <c r="AG614" s="43" t="str">
        <f t="shared" si="80"/>
        <v>REZoning_Sol-Win</v>
      </c>
      <c r="AI614" s="33" t="s">
        <v>1488</v>
      </c>
      <c r="AJ614" s="44" t="s">
        <v>57</v>
      </c>
      <c r="AK614" s="33">
        <v>2050</v>
      </c>
      <c r="AL614" s="45" t="str">
        <f t="shared" si="79"/>
        <v>*0.89</v>
      </c>
      <c r="AM614" s="43" t="str">
        <f t="shared" si="81"/>
        <v>REZoning_Sol-Win</v>
      </c>
      <c r="AP614" t="s">
        <v>1488</v>
      </c>
      <c r="AQ614" t="s">
        <v>57</v>
      </c>
      <c r="AR614">
        <v>2100</v>
      </c>
      <c r="AS614" t="s">
        <v>937</v>
      </c>
      <c r="AT614" t="s">
        <v>58</v>
      </c>
    </row>
    <row r="615" ht="29" spans="1:46">
      <c r="A615" s="31" t="s">
        <v>83</v>
      </c>
      <c r="C615" t="s">
        <v>1489</v>
      </c>
      <c r="D615" s="5" t="s">
        <v>57</v>
      </c>
      <c r="E615">
        <v>2035</v>
      </c>
      <c r="F615" s="6" t="str">
        <f t="shared" si="74"/>
        <v>*0.95</v>
      </c>
      <c r="H615" t="s">
        <v>1489</v>
      </c>
      <c r="I615" s="5" t="s">
        <v>57</v>
      </c>
      <c r="J615">
        <v>2050</v>
      </c>
      <c r="K615" s="38" t="str">
        <f t="shared" si="75"/>
        <v>*0.92</v>
      </c>
      <c r="P615" s="32" t="s">
        <v>1489</v>
      </c>
      <c r="Q615" s="42" t="s">
        <v>57</v>
      </c>
      <c r="R615" s="32">
        <v>2035</v>
      </c>
      <c r="S615" s="43" t="str">
        <f t="shared" si="76"/>
        <v>*0.95</v>
      </c>
      <c r="U615" s="32" t="s">
        <v>1489</v>
      </c>
      <c r="V615" s="42" t="s">
        <v>57</v>
      </c>
      <c r="W615" s="32">
        <v>2050</v>
      </c>
      <c r="X615" s="43" t="str">
        <f t="shared" si="77"/>
        <v>*0.92</v>
      </c>
      <c r="AC615" s="33" t="s">
        <v>1489</v>
      </c>
      <c r="AD615" s="44" t="s">
        <v>57</v>
      </c>
      <c r="AE615" s="33">
        <v>2035</v>
      </c>
      <c r="AF615" s="45" t="str">
        <f t="shared" si="78"/>
        <v>*0.93</v>
      </c>
      <c r="AG615" s="43" t="str">
        <f t="shared" si="80"/>
        <v>REZoning_Sol-Win</v>
      </c>
      <c r="AI615" s="33" t="s">
        <v>1489</v>
      </c>
      <c r="AJ615" s="44" t="s">
        <v>57</v>
      </c>
      <c r="AK615" s="33">
        <v>2050</v>
      </c>
      <c r="AL615" s="45" t="str">
        <f t="shared" si="79"/>
        <v>*0.89</v>
      </c>
      <c r="AM615" s="43" t="str">
        <f t="shared" si="81"/>
        <v>REZoning_Sol-Win</v>
      </c>
      <c r="AP615" t="s">
        <v>1489</v>
      </c>
      <c r="AQ615" t="s">
        <v>57</v>
      </c>
      <c r="AR615">
        <v>2100</v>
      </c>
      <c r="AS615" t="s">
        <v>937</v>
      </c>
      <c r="AT615" t="s">
        <v>58</v>
      </c>
    </row>
    <row r="616" ht="29" spans="1:46">
      <c r="A616" s="31" t="s">
        <v>83</v>
      </c>
      <c r="C616" t="s">
        <v>1490</v>
      </c>
      <c r="D616" s="5" t="s">
        <v>57</v>
      </c>
      <c r="E616">
        <v>2035</v>
      </c>
      <c r="F616" s="6" t="str">
        <f t="shared" si="74"/>
        <v>*0.95</v>
      </c>
      <c r="H616" t="s">
        <v>1490</v>
      </c>
      <c r="I616" s="5" t="s">
        <v>57</v>
      </c>
      <c r="J616">
        <v>2050</v>
      </c>
      <c r="K616" s="38" t="str">
        <f t="shared" si="75"/>
        <v>*0.92</v>
      </c>
      <c r="P616" s="32" t="s">
        <v>1490</v>
      </c>
      <c r="Q616" s="42" t="s">
        <v>57</v>
      </c>
      <c r="R616" s="32">
        <v>2035</v>
      </c>
      <c r="S616" s="43" t="str">
        <f t="shared" si="76"/>
        <v>*0.95</v>
      </c>
      <c r="U616" s="32" t="s">
        <v>1490</v>
      </c>
      <c r="V616" s="42" t="s">
        <v>57</v>
      </c>
      <c r="W616" s="32">
        <v>2050</v>
      </c>
      <c r="X616" s="43" t="str">
        <f t="shared" si="77"/>
        <v>*0.92</v>
      </c>
      <c r="AC616" s="33" t="s">
        <v>1490</v>
      </c>
      <c r="AD616" s="44" t="s">
        <v>57</v>
      </c>
      <c r="AE616" s="33">
        <v>2035</v>
      </c>
      <c r="AF616" s="45" t="str">
        <f t="shared" si="78"/>
        <v>*0.93</v>
      </c>
      <c r="AG616" s="43" t="str">
        <f t="shared" si="80"/>
        <v>REZoning_Sol-Win</v>
      </c>
      <c r="AI616" s="33" t="s">
        <v>1490</v>
      </c>
      <c r="AJ616" s="44" t="s">
        <v>57</v>
      </c>
      <c r="AK616" s="33">
        <v>2050</v>
      </c>
      <c r="AL616" s="45" t="str">
        <f t="shared" si="79"/>
        <v>*0.89</v>
      </c>
      <c r="AM616" s="43" t="str">
        <f t="shared" si="81"/>
        <v>REZoning_Sol-Win</v>
      </c>
      <c r="AP616" t="s">
        <v>1490</v>
      </c>
      <c r="AQ616" t="s">
        <v>57</v>
      </c>
      <c r="AR616">
        <v>2100</v>
      </c>
      <c r="AS616" t="s">
        <v>937</v>
      </c>
      <c r="AT616" t="s">
        <v>58</v>
      </c>
    </row>
    <row r="617" ht="29" spans="1:46">
      <c r="A617" s="31" t="s">
        <v>83</v>
      </c>
      <c r="C617" t="s">
        <v>1491</v>
      </c>
      <c r="D617" s="5" t="s">
        <v>57</v>
      </c>
      <c r="E617">
        <v>2035</v>
      </c>
      <c r="F617" s="6" t="str">
        <f t="shared" si="74"/>
        <v>*0.95</v>
      </c>
      <c r="H617" t="s">
        <v>1491</v>
      </c>
      <c r="I617" s="5" t="s">
        <v>57</v>
      </c>
      <c r="J617">
        <v>2050</v>
      </c>
      <c r="K617" s="38" t="str">
        <f t="shared" si="75"/>
        <v>*0.92</v>
      </c>
      <c r="P617" s="32" t="s">
        <v>1491</v>
      </c>
      <c r="Q617" s="42" t="s">
        <v>57</v>
      </c>
      <c r="R617" s="32">
        <v>2035</v>
      </c>
      <c r="S617" s="43" t="str">
        <f t="shared" si="76"/>
        <v>*0.95</v>
      </c>
      <c r="U617" s="32" t="s">
        <v>1491</v>
      </c>
      <c r="V617" s="42" t="s">
        <v>57</v>
      </c>
      <c r="W617" s="32">
        <v>2050</v>
      </c>
      <c r="X617" s="43" t="str">
        <f t="shared" si="77"/>
        <v>*0.92</v>
      </c>
      <c r="AC617" s="33" t="s">
        <v>1491</v>
      </c>
      <c r="AD617" s="44" t="s">
        <v>57</v>
      </c>
      <c r="AE617" s="33">
        <v>2035</v>
      </c>
      <c r="AF617" s="45" t="str">
        <f t="shared" si="78"/>
        <v>*0.93</v>
      </c>
      <c r="AG617" s="43" t="str">
        <f t="shared" si="80"/>
        <v>REZoning_Sol-Win</v>
      </c>
      <c r="AI617" s="33" t="s">
        <v>1491</v>
      </c>
      <c r="AJ617" s="44" t="s">
        <v>57</v>
      </c>
      <c r="AK617" s="33">
        <v>2050</v>
      </c>
      <c r="AL617" s="45" t="str">
        <f t="shared" si="79"/>
        <v>*0.89</v>
      </c>
      <c r="AM617" s="43" t="str">
        <f t="shared" si="81"/>
        <v>REZoning_Sol-Win</v>
      </c>
      <c r="AP617" t="s">
        <v>1491</v>
      </c>
      <c r="AQ617" t="s">
        <v>57</v>
      </c>
      <c r="AR617">
        <v>2100</v>
      </c>
      <c r="AS617" t="s">
        <v>937</v>
      </c>
      <c r="AT617" t="s">
        <v>58</v>
      </c>
    </row>
    <row r="618" ht="29" spans="1:46">
      <c r="A618" s="31" t="s">
        <v>83</v>
      </c>
      <c r="C618" t="s">
        <v>1492</v>
      </c>
      <c r="D618" s="5" t="s">
        <v>57</v>
      </c>
      <c r="E618">
        <v>2035</v>
      </c>
      <c r="F618" s="6" t="str">
        <f t="shared" si="74"/>
        <v>*0.95</v>
      </c>
      <c r="H618" t="s">
        <v>1492</v>
      </c>
      <c r="I618" s="5" t="s">
        <v>57</v>
      </c>
      <c r="J618">
        <v>2050</v>
      </c>
      <c r="K618" s="38" t="str">
        <f t="shared" si="75"/>
        <v>*0.92</v>
      </c>
      <c r="P618" s="32" t="s">
        <v>1492</v>
      </c>
      <c r="Q618" s="42" t="s">
        <v>57</v>
      </c>
      <c r="R618" s="32">
        <v>2035</v>
      </c>
      <c r="S618" s="43" t="str">
        <f t="shared" si="76"/>
        <v>*0.95</v>
      </c>
      <c r="U618" s="32" t="s">
        <v>1492</v>
      </c>
      <c r="V618" s="42" t="s">
        <v>57</v>
      </c>
      <c r="W618" s="32">
        <v>2050</v>
      </c>
      <c r="X618" s="43" t="str">
        <f t="shared" si="77"/>
        <v>*0.92</v>
      </c>
      <c r="AC618" s="33" t="s">
        <v>1492</v>
      </c>
      <c r="AD618" s="44" t="s">
        <v>57</v>
      </c>
      <c r="AE618" s="33">
        <v>2035</v>
      </c>
      <c r="AF618" s="45" t="str">
        <f t="shared" si="78"/>
        <v>*0.93</v>
      </c>
      <c r="AG618" s="43" t="str">
        <f t="shared" si="80"/>
        <v>REZoning_Sol-Win</v>
      </c>
      <c r="AI618" s="33" t="s">
        <v>1492</v>
      </c>
      <c r="AJ618" s="44" t="s">
        <v>57</v>
      </c>
      <c r="AK618" s="33">
        <v>2050</v>
      </c>
      <c r="AL618" s="45" t="str">
        <f t="shared" si="79"/>
        <v>*0.89</v>
      </c>
      <c r="AM618" s="43" t="str">
        <f t="shared" si="81"/>
        <v>REZoning_Sol-Win</v>
      </c>
      <c r="AP618" t="s">
        <v>1492</v>
      </c>
      <c r="AQ618" t="s">
        <v>57</v>
      </c>
      <c r="AR618">
        <v>2100</v>
      </c>
      <c r="AS618" t="s">
        <v>937</v>
      </c>
      <c r="AT618" t="s">
        <v>58</v>
      </c>
    </row>
    <row r="619" ht="29" spans="1:46">
      <c r="A619" s="31" t="s">
        <v>83</v>
      </c>
      <c r="C619" t="s">
        <v>1493</v>
      </c>
      <c r="D619" s="5" t="s">
        <v>57</v>
      </c>
      <c r="E619">
        <v>2035</v>
      </c>
      <c r="F619" s="6" t="str">
        <f t="shared" si="74"/>
        <v>*0.95</v>
      </c>
      <c r="H619" t="s">
        <v>1493</v>
      </c>
      <c r="I619" s="5" t="s">
        <v>57</v>
      </c>
      <c r="J619">
        <v>2050</v>
      </c>
      <c r="K619" s="38" t="str">
        <f t="shared" si="75"/>
        <v>*0.92</v>
      </c>
      <c r="P619" s="32" t="s">
        <v>1493</v>
      </c>
      <c r="Q619" s="42" t="s">
        <v>57</v>
      </c>
      <c r="R619" s="32">
        <v>2035</v>
      </c>
      <c r="S619" s="43" t="str">
        <f t="shared" si="76"/>
        <v>*0.95</v>
      </c>
      <c r="U619" s="32" t="s">
        <v>1493</v>
      </c>
      <c r="V619" s="42" t="s">
        <v>57</v>
      </c>
      <c r="W619" s="32">
        <v>2050</v>
      </c>
      <c r="X619" s="43" t="str">
        <f t="shared" si="77"/>
        <v>*0.92</v>
      </c>
      <c r="AC619" s="33" t="s">
        <v>1493</v>
      </c>
      <c r="AD619" s="44" t="s">
        <v>57</v>
      </c>
      <c r="AE619" s="33">
        <v>2035</v>
      </c>
      <c r="AF619" s="45" t="str">
        <f t="shared" si="78"/>
        <v>*0.93</v>
      </c>
      <c r="AG619" s="43" t="str">
        <f t="shared" si="80"/>
        <v>REZoning_Sol-Win</v>
      </c>
      <c r="AI619" s="33" t="s">
        <v>1493</v>
      </c>
      <c r="AJ619" s="44" t="s">
        <v>57</v>
      </c>
      <c r="AK619" s="33">
        <v>2050</v>
      </c>
      <c r="AL619" s="45" t="str">
        <f t="shared" si="79"/>
        <v>*0.89</v>
      </c>
      <c r="AM619" s="43" t="str">
        <f t="shared" si="81"/>
        <v>REZoning_Sol-Win</v>
      </c>
      <c r="AP619" t="s">
        <v>1493</v>
      </c>
      <c r="AQ619" t="s">
        <v>57</v>
      </c>
      <c r="AR619">
        <v>2100</v>
      </c>
      <c r="AS619" t="s">
        <v>937</v>
      </c>
      <c r="AT619" t="s">
        <v>58</v>
      </c>
    </row>
    <row r="620" ht="29" spans="1:46">
      <c r="A620" s="31" t="s">
        <v>73</v>
      </c>
      <c r="C620" t="s">
        <v>1494</v>
      </c>
      <c r="D620" s="5" t="s">
        <v>57</v>
      </c>
      <c r="E620">
        <v>2035</v>
      </c>
      <c r="F620" s="6" t="str">
        <f t="shared" si="74"/>
        <v>*0.95</v>
      </c>
      <c r="H620" t="s">
        <v>1494</v>
      </c>
      <c r="I620" s="5" t="s">
        <v>57</v>
      </c>
      <c r="J620">
        <v>2050</v>
      </c>
      <c r="K620" s="38" t="str">
        <f t="shared" si="75"/>
        <v>*0.93</v>
      </c>
      <c r="P620" s="32" t="s">
        <v>1494</v>
      </c>
      <c r="Q620" s="42" t="s">
        <v>57</v>
      </c>
      <c r="R620" s="32">
        <v>2035</v>
      </c>
      <c r="S620" s="43" t="str">
        <f t="shared" si="76"/>
        <v>*0.95</v>
      </c>
      <c r="U620" s="32" t="s">
        <v>1494</v>
      </c>
      <c r="V620" s="42" t="s">
        <v>57</v>
      </c>
      <c r="W620" s="32">
        <v>2050</v>
      </c>
      <c r="X620" s="43" t="str">
        <f t="shared" si="77"/>
        <v>*0.93</v>
      </c>
      <c r="AC620" s="33" t="s">
        <v>1494</v>
      </c>
      <c r="AD620" s="44" t="s">
        <v>57</v>
      </c>
      <c r="AE620" s="33">
        <v>2035</v>
      </c>
      <c r="AF620" s="45" t="str">
        <f t="shared" si="78"/>
        <v>*0.93</v>
      </c>
      <c r="AG620" s="43" t="str">
        <f t="shared" si="80"/>
        <v>REZoning_Sol-Win</v>
      </c>
      <c r="AI620" s="33" t="s">
        <v>1494</v>
      </c>
      <c r="AJ620" s="44" t="s">
        <v>57</v>
      </c>
      <c r="AK620" s="33">
        <v>2050</v>
      </c>
      <c r="AL620" s="45" t="str">
        <f t="shared" si="79"/>
        <v>*0.9</v>
      </c>
      <c r="AM620" s="43" t="str">
        <f t="shared" si="81"/>
        <v>REZoning_Sol-Win</v>
      </c>
      <c r="AP620" t="s">
        <v>1494</v>
      </c>
      <c r="AQ620" t="s">
        <v>57</v>
      </c>
      <c r="AR620">
        <v>2100</v>
      </c>
      <c r="AS620" t="s">
        <v>897</v>
      </c>
      <c r="AT620" t="s">
        <v>58</v>
      </c>
    </row>
    <row r="621" ht="29" spans="1:46">
      <c r="A621" s="31" t="s">
        <v>73</v>
      </c>
      <c r="C621" t="s">
        <v>1495</v>
      </c>
      <c r="D621" s="5" t="s">
        <v>57</v>
      </c>
      <c r="E621">
        <v>2035</v>
      </c>
      <c r="F621" s="6" t="str">
        <f t="shared" si="74"/>
        <v>*0.95</v>
      </c>
      <c r="H621" t="s">
        <v>1495</v>
      </c>
      <c r="I621" s="5" t="s">
        <v>57</v>
      </c>
      <c r="J621">
        <v>2050</v>
      </c>
      <c r="K621" s="38" t="str">
        <f t="shared" si="75"/>
        <v>*0.93</v>
      </c>
      <c r="P621" s="32" t="s">
        <v>1495</v>
      </c>
      <c r="Q621" s="42" t="s">
        <v>57</v>
      </c>
      <c r="R621" s="32">
        <v>2035</v>
      </c>
      <c r="S621" s="43" t="str">
        <f t="shared" si="76"/>
        <v>*0.95</v>
      </c>
      <c r="U621" s="32" t="s">
        <v>1495</v>
      </c>
      <c r="V621" s="42" t="s">
        <v>57</v>
      </c>
      <c r="W621" s="32">
        <v>2050</v>
      </c>
      <c r="X621" s="43" t="str">
        <f t="shared" si="77"/>
        <v>*0.93</v>
      </c>
      <c r="AC621" s="33" t="s">
        <v>1495</v>
      </c>
      <c r="AD621" s="44" t="s">
        <v>57</v>
      </c>
      <c r="AE621" s="33">
        <v>2035</v>
      </c>
      <c r="AF621" s="45" t="str">
        <f t="shared" si="78"/>
        <v>*0.93</v>
      </c>
      <c r="AG621" s="43" t="str">
        <f t="shared" si="80"/>
        <v>REZoning_Sol-Win</v>
      </c>
      <c r="AI621" s="33" t="s">
        <v>1495</v>
      </c>
      <c r="AJ621" s="44" t="s">
        <v>57</v>
      </c>
      <c r="AK621" s="33">
        <v>2050</v>
      </c>
      <c r="AL621" s="45" t="str">
        <f t="shared" si="79"/>
        <v>*0.9</v>
      </c>
      <c r="AM621" s="43" t="str">
        <f t="shared" si="81"/>
        <v>REZoning_Sol-Win</v>
      </c>
      <c r="AP621" t="s">
        <v>1495</v>
      </c>
      <c r="AQ621" t="s">
        <v>57</v>
      </c>
      <c r="AR621">
        <v>2100</v>
      </c>
      <c r="AS621" t="s">
        <v>897</v>
      </c>
      <c r="AT621" t="s">
        <v>58</v>
      </c>
    </row>
    <row r="622" ht="29" spans="1:46">
      <c r="A622" s="31" t="s">
        <v>73</v>
      </c>
      <c r="C622" t="s">
        <v>1496</v>
      </c>
      <c r="D622" s="5" t="s">
        <v>57</v>
      </c>
      <c r="E622">
        <v>2035</v>
      </c>
      <c r="F622" s="6" t="str">
        <f t="shared" si="74"/>
        <v>*0.95</v>
      </c>
      <c r="H622" t="s">
        <v>1496</v>
      </c>
      <c r="I622" s="5" t="s">
        <v>57</v>
      </c>
      <c r="J622">
        <v>2050</v>
      </c>
      <c r="K622" s="38" t="str">
        <f t="shared" si="75"/>
        <v>*0.93</v>
      </c>
      <c r="P622" s="32" t="s">
        <v>1496</v>
      </c>
      <c r="Q622" s="42" t="s">
        <v>57</v>
      </c>
      <c r="R622" s="32">
        <v>2035</v>
      </c>
      <c r="S622" s="43" t="str">
        <f t="shared" si="76"/>
        <v>*0.95</v>
      </c>
      <c r="U622" s="32" t="s">
        <v>1496</v>
      </c>
      <c r="V622" s="42" t="s">
        <v>57</v>
      </c>
      <c r="W622" s="32">
        <v>2050</v>
      </c>
      <c r="X622" s="43" t="str">
        <f t="shared" si="77"/>
        <v>*0.93</v>
      </c>
      <c r="AC622" s="33" t="s">
        <v>1496</v>
      </c>
      <c r="AD622" s="44" t="s">
        <v>57</v>
      </c>
      <c r="AE622" s="33">
        <v>2035</v>
      </c>
      <c r="AF622" s="45" t="str">
        <f t="shared" si="78"/>
        <v>*0.93</v>
      </c>
      <c r="AG622" s="43" t="str">
        <f t="shared" si="80"/>
        <v>REZoning_Sol-Win</v>
      </c>
      <c r="AI622" s="33" t="s">
        <v>1496</v>
      </c>
      <c r="AJ622" s="44" t="s">
        <v>57</v>
      </c>
      <c r="AK622" s="33">
        <v>2050</v>
      </c>
      <c r="AL622" s="45" t="str">
        <f t="shared" si="79"/>
        <v>*0.9</v>
      </c>
      <c r="AM622" s="43" t="str">
        <f t="shared" si="81"/>
        <v>REZoning_Sol-Win</v>
      </c>
      <c r="AP622" t="s">
        <v>1496</v>
      </c>
      <c r="AQ622" t="s">
        <v>57</v>
      </c>
      <c r="AR622">
        <v>2100</v>
      </c>
      <c r="AS622" t="s">
        <v>897</v>
      </c>
      <c r="AT622" t="s">
        <v>58</v>
      </c>
    </row>
    <row r="623" ht="29" spans="1:46">
      <c r="A623" s="31" t="s">
        <v>73</v>
      </c>
      <c r="C623" t="s">
        <v>1497</v>
      </c>
      <c r="D623" s="5" t="s">
        <v>57</v>
      </c>
      <c r="E623">
        <v>2035</v>
      </c>
      <c r="F623" s="6" t="str">
        <f t="shared" si="74"/>
        <v>*0.95</v>
      </c>
      <c r="H623" t="s">
        <v>1497</v>
      </c>
      <c r="I623" s="5" t="s">
        <v>57</v>
      </c>
      <c r="J623">
        <v>2050</v>
      </c>
      <c r="K623" s="38" t="str">
        <f t="shared" si="75"/>
        <v>*0.93</v>
      </c>
      <c r="P623" s="32" t="s">
        <v>1497</v>
      </c>
      <c r="Q623" s="42" t="s">
        <v>57</v>
      </c>
      <c r="R623" s="32">
        <v>2035</v>
      </c>
      <c r="S623" s="43" t="str">
        <f t="shared" si="76"/>
        <v>*0.95</v>
      </c>
      <c r="U623" s="32" t="s">
        <v>1497</v>
      </c>
      <c r="V623" s="42" t="s">
        <v>57</v>
      </c>
      <c r="W623" s="32">
        <v>2050</v>
      </c>
      <c r="X623" s="43" t="str">
        <f t="shared" si="77"/>
        <v>*0.93</v>
      </c>
      <c r="AC623" s="33" t="s">
        <v>1497</v>
      </c>
      <c r="AD623" s="44" t="s">
        <v>57</v>
      </c>
      <c r="AE623" s="33">
        <v>2035</v>
      </c>
      <c r="AF623" s="45" t="str">
        <f t="shared" si="78"/>
        <v>*0.93</v>
      </c>
      <c r="AG623" s="43" t="str">
        <f t="shared" si="80"/>
        <v>REZoning_Sol-Win</v>
      </c>
      <c r="AI623" s="33" t="s">
        <v>1497</v>
      </c>
      <c r="AJ623" s="44" t="s">
        <v>57</v>
      </c>
      <c r="AK623" s="33">
        <v>2050</v>
      </c>
      <c r="AL623" s="45" t="str">
        <f t="shared" si="79"/>
        <v>*0.9</v>
      </c>
      <c r="AM623" s="43" t="str">
        <f t="shared" si="81"/>
        <v>REZoning_Sol-Win</v>
      </c>
      <c r="AP623" t="s">
        <v>1497</v>
      </c>
      <c r="AQ623" t="s">
        <v>57</v>
      </c>
      <c r="AR623">
        <v>2100</v>
      </c>
      <c r="AS623" t="s">
        <v>897</v>
      </c>
      <c r="AT623" t="s">
        <v>58</v>
      </c>
    </row>
    <row r="624" ht="29" spans="1:46">
      <c r="A624" s="31" t="s">
        <v>73</v>
      </c>
      <c r="C624" t="s">
        <v>1498</v>
      </c>
      <c r="D624" s="5" t="s">
        <v>57</v>
      </c>
      <c r="E624">
        <v>2035</v>
      </c>
      <c r="F624" s="6" t="str">
        <f t="shared" si="74"/>
        <v>*0.95</v>
      </c>
      <c r="H624" t="s">
        <v>1498</v>
      </c>
      <c r="I624" s="5" t="s">
        <v>57</v>
      </c>
      <c r="J624">
        <v>2050</v>
      </c>
      <c r="K624" s="38" t="str">
        <f t="shared" si="75"/>
        <v>*0.93</v>
      </c>
      <c r="P624" s="32" t="s">
        <v>1498</v>
      </c>
      <c r="Q624" s="42" t="s">
        <v>57</v>
      </c>
      <c r="R624" s="32">
        <v>2035</v>
      </c>
      <c r="S624" s="43" t="str">
        <f t="shared" si="76"/>
        <v>*0.95</v>
      </c>
      <c r="U624" s="32" t="s">
        <v>1498</v>
      </c>
      <c r="V624" s="42" t="s">
        <v>57</v>
      </c>
      <c r="W624" s="32">
        <v>2050</v>
      </c>
      <c r="X624" s="43" t="str">
        <f t="shared" si="77"/>
        <v>*0.93</v>
      </c>
      <c r="AC624" s="33" t="s">
        <v>1498</v>
      </c>
      <c r="AD624" s="44" t="s">
        <v>57</v>
      </c>
      <c r="AE624" s="33">
        <v>2035</v>
      </c>
      <c r="AF624" s="45" t="str">
        <f t="shared" si="78"/>
        <v>*0.93</v>
      </c>
      <c r="AG624" s="43" t="str">
        <f t="shared" si="80"/>
        <v>REZoning_Sol-Win</v>
      </c>
      <c r="AI624" s="33" t="s">
        <v>1498</v>
      </c>
      <c r="AJ624" s="44" t="s">
        <v>57</v>
      </c>
      <c r="AK624" s="33">
        <v>2050</v>
      </c>
      <c r="AL624" s="45" t="str">
        <f t="shared" si="79"/>
        <v>*0.9</v>
      </c>
      <c r="AM624" s="43" t="str">
        <f t="shared" si="81"/>
        <v>REZoning_Sol-Win</v>
      </c>
      <c r="AP624" t="s">
        <v>1498</v>
      </c>
      <c r="AQ624" t="s">
        <v>57</v>
      </c>
      <c r="AR624">
        <v>2100</v>
      </c>
      <c r="AS624" t="s">
        <v>897</v>
      </c>
      <c r="AT624" t="s">
        <v>58</v>
      </c>
    </row>
    <row r="625" ht="29" spans="1:46">
      <c r="A625" s="31" t="s">
        <v>73</v>
      </c>
      <c r="C625" t="s">
        <v>1499</v>
      </c>
      <c r="D625" s="5" t="s">
        <v>57</v>
      </c>
      <c r="E625">
        <v>2035</v>
      </c>
      <c r="F625" s="6" t="str">
        <f t="shared" si="74"/>
        <v>*0.95</v>
      </c>
      <c r="H625" t="s">
        <v>1499</v>
      </c>
      <c r="I625" s="5" t="s">
        <v>57</v>
      </c>
      <c r="J625">
        <v>2050</v>
      </c>
      <c r="K625" s="38" t="str">
        <f t="shared" si="75"/>
        <v>*0.93</v>
      </c>
      <c r="P625" s="32" t="s">
        <v>1499</v>
      </c>
      <c r="Q625" s="42" t="s">
        <v>57</v>
      </c>
      <c r="R625" s="32">
        <v>2035</v>
      </c>
      <c r="S625" s="43" t="str">
        <f t="shared" si="76"/>
        <v>*0.95</v>
      </c>
      <c r="U625" s="32" t="s">
        <v>1499</v>
      </c>
      <c r="V625" s="42" t="s">
        <v>57</v>
      </c>
      <c r="W625" s="32">
        <v>2050</v>
      </c>
      <c r="X625" s="43" t="str">
        <f t="shared" si="77"/>
        <v>*0.93</v>
      </c>
      <c r="AC625" s="33" t="s">
        <v>1499</v>
      </c>
      <c r="AD625" s="44" t="s">
        <v>57</v>
      </c>
      <c r="AE625" s="33">
        <v>2035</v>
      </c>
      <c r="AF625" s="45" t="str">
        <f t="shared" si="78"/>
        <v>*0.93</v>
      </c>
      <c r="AG625" s="43" t="str">
        <f t="shared" si="80"/>
        <v>REZoning_Sol-Win</v>
      </c>
      <c r="AI625" s="33" t="s">
        <v>1499</v>
      </c>
      <c r="AJ625" s="44" t="s">
        <v>57</v>
      </c>
      <c r="AK625" s="33">
        <v>2050</v>
      </c>
      <c r="AL625" s="45" t="str">
        <f t="shared" si="79"/>
        <v>*0.9</v>
      </c>
      <c r="AM625" s="43" t="str">
        <f t="shared" si="81"/>
        <v>REZoning_Sol-Win</v>
      </c>
      <c r="AP625" t="s">
        <v>1499</v>
      </c>
      <c r="AQ625" t="s">
        <v>57</v>
      </c>
      <c r="AR625">
        <v>2100</v>
      </c>
      <c r="AS625" t="s">
        <v>897</v>
      </c>
      <c r="AT625" t="s">
        <v>58</v>
      </c>
    </row>
    <row r="626" ht="29" spans="1:46">
      <c r="A626" s="31" t="s">
        <v>73</v>
      </c>
      <c r="C626" t="s">
        <v>1500</v>
      </c>
      <c r="D626" s="5" t="s">
        <v>57</v>
      </c>
      <c r="E626">
        <v>2035</v>
      </c>
      <c r="F626" s="6" t="str">
        <f t="shared" si="74"/>
        <v>*0.95</v>
      </c>
      <c r="H626" t="s">
        <v>1500</v>
      </c>
      <c r="I626" s="5" t="s">
        <v>57</v>
      </c>
      <c r="J626">
        <v>2050</v>
      </c>
      <c r="K626" s="38" t="str">
        <f t="shared" si="75"/>
        <v>*0.93</v>
      </c>
      <c r="P626" s="32" t="s">
        <v>1500</v>
      </c>
      <c r="Q626" s="42" t="s">
        <v>57</v>
      </c>
      <c r="R626" s="32">
        <v>2035</v>
      </c>
      <c r="S626" s="43" t="str">
        <f t="shared" si="76"/>
        <v>*0.95</v>
      </c>
      <c r="U626" s="32" t="s">
        <v>1500</v>
      </c>
      <c r="V626" s="42" t="s">
        <v>57</v>
      </c>
      <c r="W626" s="32">
        <v>2050</v>
      </c>
      <c r="X626" s="43" t="str">
        <f t="shared" si="77"/>
        <v>*0.93</v>
      </c>
      <c r="AC626" s="33" t="s">
        <v>1500</v>
      </c>
      <c r="AD626" s="44" t="s">
        <v>57</v>
      </c>
      <c r="AE626" s="33">
        <v>2035</v>
      </c>
      <c r="AF626" s="45" t="str">
        <f t="shared" si="78"/>
        <v>*0.93</v>
      </c>
      <c r="AG626" s="43" t="str">
        <f t="shared" si="80"/>
        <v>REZoning_Sol-Win</v>
      </c>
      <c r="AI626" s="33" t="s">
        <v>1500</v>
      </c>
      <c r="AJ626" s="44" t="s">
        <v>57</v>
      </c>
      <c r="AK626" s="33">
        <v>2050</v>
      </c>
      <c r="AL626" s="45" t="str">
        <f t="shared" si="79"/>
        <v>*0.9</v>
      </c>
      <c r="AM626" s="43" t="str">
        <f t="shared" si="81"/>
        <v>REZoning_Sol-Win</v>
      </c>
      <c r="AP626" t="s">
        <v>1500</v>
      </c>
      <c r="AQ626" t="s">
        <v>57</v>
      </c>
      <c r="AR626">
        <v>2100</v>
      </c>
      <c r="AS626" t="s">
        <v>897</v>
      </c>
      <c r="AT626" t="s">
        <v>58</v>
      </c>
    </row>
    <row r="627" ht="29" spans="1:46">
      <c r="A627" s="31" t="s">
        <v>73</v>
      </c>
      <c r="C627" t="s">
        <v>1501</v>
      </c>
      <c r="D627" s="5" t="s">
        <v>57</v>
      </c>
      <c r="E627">
        <v>2035</v>
      </c>
      <c r="F627" s="6" t="str">
        <f t="shared" si="74"/>
        <v>*0.95</v>
      </c>
      <c r="H627" t="s">
        <v>1501</v>
      </c>
      <c r="I627" s="5" t="s">
        <v>57</v>
      </c>
      <c r="J627">
        <v>2050</v>
      </c>
      <c r="K627" s="38" t="str">
        <f t="shared" si="75"/>
        <v>*0.93</v>
      </c>
      <c r="P627" s="32" t="s">
        <v>1501</v>
      </c>
      <c r="Q627" s="42" t="s">
        <v>57</v>
      </c>
      <c r="R627" s="32">
        <v>2035</v>
      </c>
      <c r="S627" s="43" t="str">
        <f t="shared" si="76"/>
        <v>*0.95</v>
      </c>
      <c r="U627" s="32" t="s">
        <v>1501</v>
      </c>
      <c r="V627" s="42" t="s">
        <v>57</v>
      </c>
      <c r="W627" s="32">
        <v>2050</v>
      </c>
      <c r="X627" s="43" t="str">
        <f t="shared" si="77"/>
        <v>*0.93</v>
      </c>
      <c r="AC627" s="33" t="s">
        <v>1501</v>
      </c>
      <c r="AD627" s="44" t="s">
        <v>57</v>
      </c>
      <c r="AE627" s="33">
        <v>2035</v>
      </c>
      <c r="AF627" s="45" t="str">
        <f t="shared" si="78"/>
        <v>*0.93</v>
      </c>
      <c r="AG627" s="43" t="str">
        <f t="shared" si="80"/>
        <v>REZoning_Sol-Win</v>
      </c>
      <c r="AI627" s="33" t="s">
        <v>1501</v>
      </c>
      <c r="AJ627" s="44" t="s">
        <v>57</v>
      </c>
      <c r="AK627" s="33">
        <v>2050</v>
      </c>
      <c r="AL627" s="45" t="str">
        <f t="shared" si="79"/>
        <v>*0.9</v>
      </c>
      <c r="AM627" s="43" t="str">
        <f t="shared" si="81"/>
        <v>REZoning_Sol-Win</v>
      </c>
      <c r="AP627" t="s">
        <v>1501</v>
      </c>
      <c r="AQ627" t="s">
        <v>57</v>
      </c>
      <c r="AR627">
        <v>2100</v>
      </c>
      <c r="AS627" t="s">
        <v>897</v>
      </c>
      <c r="AT627" t="s">
        <v>58</v>
      </c>
    </row>
    <row r="628" ht="29" spans="1:46">
      <c r="A628" s="31" t="s">
        <v>73</v>
      </c>
      <c r="C628" t="s">
        <v>1502</v>
      </c>
      <c r="D628" s="5" t="s">
        <v>57</v>
      </c>
      <c r="E628">
        <v>2035</v>
      </c>
      <c r="F628" s="6" t="str">
        <f t="shared" si="74"/>
        <v>*0.95</v>
      </c>
      <c r="H628" t="s">
        <v>1502</v>
      </c>
      <c r="I628" s="5" t="s">
        <v>57</v>
      </c>
      <c r="J628">
        <v>2050</v>
      </c>
      <c r="K628" s="38" t="str">
        <f t="shared" si="75"/>
        <v>*0.93</v>
      </c>
      <c r="P628" s="32" t="s">
        <v>1502</v>
      </c>
      <c r="Q628" s="42" t="s">
        <v>57</v>
      </c>
      <c r="R628" s="32">
        <v>2035</v>
      </c>
      <c r="S628" s="43" t="str">
        <f t="shared" si="76"/>
        <v>*0.95</v>
      </c>
      <c r="U628" s="32" t="s">
        <v>1502</v>
      </c>
      <c r="V628" s="42" t="s">
        <v>57</v>
      </c>
      <c r="W628" s="32">
        <v>2050</v>
      </c>
      <c r="X628" s="43" t="str">
        <f t="shared" si="77"/>
        <v>*0.93</v>
      </c>
      <c r="AC628" s="33" t="s">
        <v>1502</v>
      </c>
      <c r="AD628" s="44" t="s">
        <v>57</v>
      </c>
      <c r="AE628" s="33">
        <v>2035</v>
      </c>
      <c r="AF628" s="45" t="str">
        <f t="shared" si="78"/>
        <v>*0.93</v>
      </c>
      <c r="AG628" s="43" t="str">
        <f t="shared" si="80"/>
        <v>REZoning_Sol-Win</v>
      </c>
      <c r="AI628" s="33" t="s">
        <v>1502</v>
      </c>
      <c r="AJ628" s="44" t="s">
        <v>57</v>
      </c>
      <c r="AK628" s="33">
        <v>2050</v>
      </c>
      <c r="AL628" s="45" t="str">
        <f t="shared" si="79"/>
        <v>*0.9</v>
      </c>
      <c r="AM628" s="43" t="str">
        <f t="shared" si="81"/>
        <v>REZoning_Sol-Win</v>
      </c>
      <c r="AP628" t="s">
        <v>1502</v>
      </c>
      <c r="AQ628" t="s">
        <v>57</v>
      </c>
      <c r="AR628">
        <v>2100</v>
      </c>
      <c r="AS628" t="s">
        <v>897</v>
      </c>
      <c r="AT628" t="s">
        <v>58</v>
      </c>
    </row>
    <row r="629" ht="29" spans="1:46">
      <c r="A629" s="31" t="s">
        <v>73</v>
      </c>
      <c r="C629" t="s">
        <v>1503</v>
      </c>
      <c r="D629" s="5" t="s">
        <v>57</v>
      </c>
      <c r="E629">
        <v>2035</v>
      </c>
      <c r="F629" s="6" t="str">
        <f t="shared" si="74"/>
        <v>*0.95</v>
      </c>
      <c r="H629" t="s">
        <v>1503</v>
      </c>
      <c r="I629" s="5" t="s">
        <v>57</v>
      </c>
      <c r="J629">
        <v>2050</v>
      </c>
      <c r="K629" s="38" t="str">
        <f t="shared" si="75"/>
        <v>*0.93</v>
      </c>
      <c r="P629" s="32" t="s">
        <v>1503</v>
      </c>
      <c r="Q629" s="42" t="s">
        <v>57</v>
      </c>
      <c r="R629" s="32">
        <v>2035</v>
      </c>
      <c r="S629" s="43" t="str">
        <f t="shared" si="76"/>
        <v>*0.95</v>
      </c>
      <c r="U629" s="32" t="s">
        <v>1503</v>
      </c>
      <c r="V629" s="42" t="s">
        <v>57</v>
      </c>
      <c r="W629" s="32">
        <v>2050</v>
      </c>
      <c r="X629" s="43" t="str">
        <f t="shared" si="77"/>
        <v>*0.93</v>
      </c>
      <c r="AC629" s="33" t="s">
        <v>1503</v>
      </c>
      <c r="AD629" s="44" t="s">
        <v>57</v>
      </c>
      <c r="AE629" s="33">
        <v>2035</v>
      </c>
      <c r="AF629" s="45" t="str">
        <f t="shared" si="78"/>
        <v>*0.93</v>
      </c>
      <c r="AG629" s="43" t="str">
        <f t="shared" si="80"/>
        <v>REZoning_Sol-Win</v>
      </c>
      <c r="AI629" s="33" t="s">
        <v>1503</v>
      </c>
      <c r="AJ629" s="44" t="s">
        <v>57</v>
      </c>
      <c r="AK629" s="33">
        <v>2050</v>
      </c>
      <c r="AL629" s="45" t="str">
        <f t="shared" si="79"/>
        <v>*0.9</v>
      </c>
      <c r="AM629" s="43" t="str">
        <f t="shared" si="81"/>
        <v>REZoning_Sol-Win</v>
      </c>
      <c r="AP629" t="s">
        <v>1503</v>
      </c>
      <c r="AQ629" t="s">
        <v>57</v>
      </c>
      <c r="AR629">
        <v>2100</v>
      </c>
      <c r="AS629" t="s">
        <v>897</v>
      </c>
      <c r="AT629" t="s">
        <v>58</v>
      </c>
    </row>
    <row r="630" ht="29" spans="1:46">
      <c r="A630" s="31" t="s">
        <v>73</v>
      </c>
      <c r="C630" t="s">
        <v>1504</v>
      </c>
      <c r="D630" s="5" t="s">
        <v>57</v>
      </c>
      <c r="E630">
        <v>2035</v>
      </c>
      <c r="F630" s="6" t="str">
        <f t="shared" si="74"/>
        <v>*0.95</v>
      </c>
      <c r="H630" t="s">
        <v>1504</v>
      </c>
      <c r="I630" s="5" t="s">
        <v>57</v>
      </c>
      <c r="J630">
        <v>2050</v>
      </c>
      <c r="K630" s="38" t="str">
        <f t="shared" si="75"/>
        <v>*0.93</v>
      </c>
      <c r="P630" s="32" t="s">
        <v>1504</v>
      </c>
      <c r="Q630" s="42" t="s">
        <v>57</v>
      </c>
      <c r="R630" s="32">
        <v>2035</v>
      </c>
      <c r="S630" s="43" t="str">
        <f t="shared" si="76"/>
        <v>*0.95</v>
      </c>
      <c r="U630" s="32" t="s">
        <v>1504</v>
      </c>
      <c r="V630" s="42" t="s">
        <v>57</v>
      </c>
      <c r="W630" s="32">
        <v>2050</v>
      </c>
      <c r="X630" s="43" t="str">
        <f t="shared" si="77"/>
        <v>*0.93</v>
      </c>
      <c r="AC630" s="33" t="s">
        <v>1504</v>
      </c>
      <c r="AD630" s="44" t="s">
        <v>57</v>
      </c>
      <c r="AE630" s="33">
        <v>2035</v>
      </c>
      <c r="AF630" s="45" t="str">
        <f t="shared" si="78"/>
        <v>*0.93</v>
      </c>
      <c r="AG630" s="43" t="str">
        <f t="shared" si="80"/>
        <v>REZoning_Sol-Win</v>
      </c>
      <c r="AI630" s="33" t="s">
        <v>1504</v>
      </c>
      <c r="AJ630" s="44" t="s">
        <v>57</v>
      </c>
      <c r="AK630" s="33">
        <v>2050</v>
      </c>
      <c r="AL630" s="45" t="str">
        <f t="shared" si="79"/>
        <v>*0.9</v>
      </c>
      <c r="AM630" s="43" t="str">
        <f t="shared" si="81"/>
        <v>REZoning_Sol-Win</v>
      </c>
      <c r="AP630" t="s">
        <v>1504</v>
      </c>
      <c r="AQ630" t="s">
        <v>57</v>
      </c>
      <c r="AR630">
        <v>2100</v>
      </c>
      <c r="AS630" t="s">
        <v>897</v>
      </c>
      <c r="AT630" t="s">
        <v>58</v>
      </c>
    </row>
    <row r="631" ht="29" spans="1:46">
      <c r="A631" s="31" t="s">
        <v>73</v>
      </c>
      <c r="C631" t="s">
        <v>1505</v>
      </c>
      <c r="D631" s="5" t="s">
        <v>57</v>
      </c>
      <c r="E631">
        <v>2035</v>
      </c>
      <c r="F631" s="6" t="str">
        <f t="shared" si="74"/>
        <v>*0.95</v>
      </c>
      <c r="H631" t="s">
        <v>1505</v>
      </c>
      <c r="I631" s="5" t="s">
        <v>57</v>
      </c>
      <c r="J631">
        <v>2050</v>
      </c>
      <c r="K631" s="38" t="str">
        <f t="shared" si="75"/>
        <v>*0.93</v>
      </c>
      <c r="P631" s="32" t="s">
        <v>1505</v>
      </c>
      <c r="Q631" s="42" t="s">
        <v>57</v>
      </c>
      <c r="R631" s="32">
        <v>2035</v>
      </c>
      <c r="S631" s="43" t="str">
        <f t="shared" si="76"/>
        <v>*0.95</v>
      </c>
      <c r="U631" s="32" t="s">
        <v>1505</v>
      </c>
      <c r="V631" s="42" t="s">
        <v>57</v>
      </c>
      <c r="W631" s="32">
        <v>2050</v>
      </c>
      <c r="X631" s="43" t="str">
        <f t="shared" si="77"/>
        <v>*0.93</v>
      </c>
      <c r="AC631" s="33" t="s">
        <v>1505</v>
      </c>
      <c r="AD631" s="44" t="s">
        <v>57</v>
      </c>
      <c r="AE631" s="33">
        <v>2035</v>
      </c>
      <c r="AF631" s="45" t="str">
        <f t="shared" si="78"/>
        <v>*0.93</v>
      </c>
      <c r="AG631" s="43" t="str">
        <f t="shared" si="80"/>
        <v>REZoning_Sol-Win</v>
      </c>
      <c r="AI631" s="33" t="s">
        <v>1505</v>
      </c>
      <c r="AJ631" s="44" t="s">
        <v>57</v>
      </c>
      <c r="AK631" s="33">
        <v>2050</v>
      </c>
      <c r="AL631" s="45" t="str">
        <f t="shared" si="79"/>
        <v>*0.9</v>
      </c>
      <c r="AM631" s="43" t="str">
        <f t="shared" si="81"/>
        <v>REZoning_Sol-Win</v>
      </c>
      <c r="AP631" t="s">
        <v>1505</v>
      </c>
      <c r="AQ631" t="s">
        <v>57</v>
      </c>
      <c r="AR631">
        <v>2100</v>
      </c>
      <c r="AS631" t="s">
        <v>897</v>
      </c>
      <c r="AT631" t="s">
        <v>58</v>
      </c>
    </row>
    <row r="632" ht="29" spans="1:46">
      <c r="A632" s="31" t="s">
        <v>73</v>
      </c>
      <c r="C632" t="s">
        <v>1506</v>
      </c>
      <c r="D632" s="5" t="s">
        <v>57</v>
      </c>
      <c r="E632">
        <v>2035</v>
      </c>
      <c r="F632" s="6" t="str">
        <f t="shared" si="74"/>
        <v>*0.95</v>
      </c>
      <c r="H632" t="s">
        <v>1506</v>
      </c>
      <c r="I632" s="5" t="s">
        <v>57</v>
      </c>
      <c r="J632">
        <v>2050</v>
      </c>
      <c r="K632" s="38" t="str">
        <f t="shared" si="75"/>
        <v>*0.93</v>
      </c>
      <c r="P632" s="32" t="s">
        <v>1506</v>
      </c>
      <c r="Q632" s="42" t="s">
        <v>57</v>
      </c>
      <c r="R632" s="32">
        <v>2035</v>
      </c>
      <c r="S632" s="43" t="str">
        <f t="shared" si="76"/>
        <v>*0.95</v>
      </c>
      <c r="U632" s="32" t="s">
        <v>1506</v>
      </c>
      <c r="V632" s="42" t="s">
        <v>57</v>
      </c>
      <c r="W632" s="32">
        <v>2050</v>
      </c>
      <c r="X632" s="43" t="str">
        <f t="shared" si="77"/>
        <v>*0.93</v>
      </c>
      <c r="AC632" s="33" t="s">
        <v>1506</v>
      </c>
      <c r="AD632" s="44" t="s">
        <v>57</v>
      </c>
      <c r="AE632" s="33">
        <v>2035</v>
      </c>
      <c r="AF632" s="45" t="str">
        <f t="shared" si="78"/>
        <v>*0.93</v>
      </c>
      <c r="AG632" s="43" t="str">
        <f t="shared" si="80"/>
        <v>REZoning_Sol-Win</v>
      </c>
      <c r="AI632" s="33" t="s">
        <v>1506</v>
      </c>
      <c r="AJ632" s="44" t="s">
        <v>57</v>
      </c>
      <c r="AK632" s="33">
        <v>2050</v>
      </c>
      <c r="AL632" s="45" t="str">
        <f t="shared" si="79"/>
        <v>*0.9</v>
      </c>
      <c r="AM632" s="43" t="str">
        <f t="shared" si="81"/>
        <v>REZoning_Sol-Win</v>
      </c>
      <c r="AP632" t="s">
        <v>1506</v>
      </c>
      <c r="AQ632" t="s">
        <v>57</v>
      </c>
      <c r="AR632">
        <v>2100</v>
      </c>
      <c r="AS632" t="s">
        <v>897</v>
      </c>
      <c r="AT632" t="s">
        <v>58</v>
      </c>
    </row>
    <row r="633" ht="29" spans="1:46">
      <c r="A633" s="31" t="s">
        <v>73</v>
      </c>
      <c r="C633" t="s">
        <v>1507</v>
      </c>
      <c r="D633" s="5" t="s">
        <v>57</v>
      </c>
      <c r="E633">
        <v>2035</v>
      </c>
      <c r="F633" s="6" t="str">
        <f t="shared" si="74"/>
        <v>*0.95</v>
      </c>
      <c r="H633" t="s">
        <v>1507</v>
      </c>
      <c r="I633" s="5" t="s">
        <v>57</v>
      </c>
      <c r="J633">
        <v>2050</v>
      </c>
      <c r="K633" s="38" t="str">
        <f t="shared" si="75"/>
        <v>*0.93</v>
      </c>
      <c r="P633" s="32" t="s">
        <v>1507</v>
      </c>
      <c r="Q633" s="42" t="s">
        <v>57</v>
      </c>
      <c r="R633" s="32">
        <v>2035</v>
      </c>
      <c r="S633" s="43" t="str">
        <f t="shared" si="76"/>
        <v>*0.95</v>
      </c>
      <c r="U633" s="32" t="s">
        <v>1507</v>
      </c>
      <c r="V633" s="42" t="s">
        <v>57</v>
      </c>
      <c r="W633" s="32">
        <v>2050</v>
      </c>
      <c r="X633" s="43" t="str">
        <f t="shared" si="77"/>
        <v>*0.93</v>
      </c>
      <c r="AC633" s="33" t="s">
        <v>1507</v>
      </c>
      <c r="AD633" s="44" t="s">
        <v>57</v>
      </c>
      <c r="AE633" s="33">
        <v>2035</v>
      </c>
      <c r="AF633" s="45" t="str">
        <f t="shared" si="78"/>
        <v>*0.93</v>
      </c>
      <c r="AG633" s="43" t="str">
        <f t="shared" si="80"/>
        <v>REZoning_Sol-Win</v>
      </c>
      <c r="AI633" s="33" t="s">
        <v>1507</v>
      </c>
      <c r="AJ633" s="44" t="s">
        <v>57</v>
      </c>
      <c r="AK633" s="33">
        <v>2050</v>
      </c>
      <c r="AL633" s="45" t="str">
        <f t="shared" si="79"/>
        <v>*0.9</v>
      </c>
      <c r="AM633" s="43" t="str">
        <f t="shared" si="81"/>
        <v>REZoning_Sol-Win</v>
      </c>
      <c r="AP633" t="s">
        <v>1507</v>
      </c>
      <c r="AQ633" t="s">
        <v>57</v>
      </c>
      <c r="AR633">
        <v>2100</v>
      </c>
      <c r="AS633" t="s">
        <v>897</v>
      </c>
      <c r="AT633" t="s">
        <v>58</v>
      </c>
    </row>
    <row r="634" ht="29" spans="1:46">
      <c r="A634" s="31" t="s">
        <v>73</v>
      </c>
      <c r="C634" t="s">
        <v>1508</v>
      </c>
      <c r="D634" s="5" t="s">
        <v>57</v>
      </c>
      <c r="E634">
        <v>2035</v>
      </c>
      <c r="F634" s="6" t="str">
        <f t="shared" si="74"/>
        <v>*0.95</v>
      </c>
      <c r="H634" t="s">
        <v>1508</v>
      </c>
      <c r="I634" s="5" t="s">
        <v>57</v>
      </c>
      <c r="J634">
        <v>2050</v>
      </c>
      <c r="K634" s="38" t="str">
        <f t="shared" si="75"/>
        <v>*0.93</v>
      </c>
      <c r="P634" s="32" t="s">
        <v>1508</v>
      </c>
      <c r="Q634" s="42" t="s">
        <v>57</v>
      </c>
      <c r="R634" s="32">
        <v>2035</v>
      </c>
      <c r="S634" s="43" t="str">
        <f t="shared" si="76"/>
        <v>*0.95</v>
      </c>
      <c r="U634" s="32" t="s">
        <v>1508</v>
      </c>
      <c r="V634" s="42" t="s">
        <v>57</v>
      </c>
      <c r="W634" s="32">
        <v>2050</v>
      </c>
      <c r="X634" s="43" t="str">
        <f t="shared" si="77"/>
        <v>*0.93</v>
      </c>
      <c r="AC634" s="33" t="s">
        <v>1508</v>
      </c>
      <c r="AD634" s="44" t="s">
        <v>57</v>
      </c>
      <c r="AE634" s="33">
        <v>2035</v>
      </c>
      <c r="AF634" s="45" t="str">
        <f t="shared" si="78"/>
        <v>*0.93</v>
      </c>
      <c r="AG634" s="43" t="str">
        <f t="shared" si="80"/>
        <v>REZoning_Sol-Win</v>
      </c>
      <c r="AI634" s="33" t="s">
        <v>1508</v>
      </c>
      <c r="AJ634" s="44" t="s">
        <v>57</v>
      </c>
      <c r="AK634" s="33">
        <v>2050</v>
      </c>
      <c r="AL634" s="45" t="str">
        <f t="shared" si="79"/>
        <v>*0.9</v>
      </c>
      <c r="AM634" s="43" t="str">
        <f t="shared" si="81"/>
        <v>REZoning_Sol-Win</v>
      </c>
      <c r="AP634" t="s">
        <v>1508</v>
      </c>
      <c r="AQ634" t="s">
        <v>57</v>
      </c>
      <c r="AR634">
        <v>2100</v>
      </c>
      <c r="AS634" t="s">
        <v>897</v>
      </c>
      <c r="AT634" t="s">
        <v>58</v>
      </c>
    </row>
    <row r="635" ht="29" spans="1:46">
      <c r="A635" s="31" t="s">
        <v>73</v>
      </c>
      <c r="C635" t="s">
        <v>1509</v>
      </c>
      <c r="D635" s="5" t="s">
        <v>57</v>
      </c>
      <c r="E635">
        <v>2035</v>
      </c>
      <c r="F635" s="6" t="str">
        <f t="shared" si="74"/>
        <v>*0.95</v>
      </c>
      <c r="H635" t="s">
        <v>1509</v>
      </c>
      <c r="I635" s="5" t="s">
        <v>57</v>
      </c>
      <c r="J635">
        <v>2050</v>
      </c>
      <c r="K635" s="38" t="str">
        <f t="shared" si="75"/>
        <v>*0.93</v>
      </c>
      <c r="P635" s="32" t="s">
        <v>1509</v>
      </c>
      <c r="Q635" s="42" t="s">
        <v>57</v>
      </c>
      <c r="R635" s="32">
        <v>2035</v>
      </c>
      <c r="S635" s="43" t="str">
        <f t="shared" si="76"/>
        <v>*0.95</v>
      </c>
      <c r="U635" s="32" t="s">
        <v>1509</v>
      </c>
      <c r="V635" s="42" t="s">
        <v>57</v>
      </c>
      <c r="W635" s="32">
        <v>2050</v>
      </c>
      <c r="X635" s="43" t="str">
        <f t="shared" si="77"/>
        <v>*0.93</v>
      </c>
      <c r="AC635" s="33" t="s">
        <v>1509</v>
      </c>
      <c r="AD635" s="44" t="s">
        <v>57</v>
      </c>
      <c r="AE635" s="33">
        <v>2035</v>
      </c>
      <c r="AF635" s="45" t="str">
        <f t="shared" si="78"/>
        <v>*0.93</v>
      </c>
      <c r="AG635" s="43" t="str">
        <f t="shared" si="80"/>
        <v>REZoning_Sol-Win</v>
      </c>
      <c r="AI635" s="33" t="s">
        <v>1509</v>
      </c>
      <c r="AJ635" s="44" t="s">
        <v>57</v>
      </c>
      <c r="AK635" s="33">
        <v>2050</v>
      </c>
      <c r="AL635" s="45" t="str">
        <f t="shared" si="79"/>
        <v>*0.9</v>
      </c>
      <c r="AM635" s="43" t="str">
        <f t="shared" si="81"/>
        <v>REZoning_Sol-Win</v>
      </c>
      <c r="AP635" t="s">
        <v>1509</v>
      </c>
      <c r="AQ635" t="s">
        <v>57</v>
      </c>
      <c r="AR635">
        <v>2100</v>
      </c>
      <c r="AS635" t="s">
        <v>897</v>
      </c>
      <c r="AT635" t="s">
        <v>58</v>
      </c>
    </row>
    <row r="636" ht="29" spans="1:46">
      <c r="A636" s="31" t="s">
        <v>73</v>
      </c>
      <c r="C636" t="s">
        <v>1510</v>
      </c>
      <c r="D636" s="5" t="s">
        <v>57</v>
      </c>
      <c r="E636">
        <v>2035</v>
      </c>
      <c r="F636" s="6" t="str">
        <f t="shared" si="74"/>
        <v>*0.95</v>
      </c>
      <c r="H636" t="s">
        <v>1510</v>
      </c>
      <c r="I636" s="5" t="s">
        <v>57</v>
      </c>
      <c r="J636">
        <v>2050</v>
      </c>
      <c r="K636" s="38" t="str">
        <f t="shared" si="75"/>
        <v>*0.93</v>
      </c>
      <c r="P636" s="32" t="s">
        <v>1510</v>
      </c>
      <c r="Q636" s="42" t="s">
        <v>57</v>
      </c>
      <c r="R636" s="32">
        <v>2035</v>
      </c>
      <c r="S636" s="43" t="str">
        <f t="shared" si="76"/>
        <v>*0.95</v>
      </c>
      <c r="U636" s="32" t="s">
        <v>1510</v>
      </c>
      <c r="V636" s="42" t="s">
        <v>57</v>
      </c>
      <c r="W636" s="32">
        <v>2050</v>
      </c>
      <c r="X636" s="43" t="str">
        <f t="shared" si="77"/>
        <v>*0.93</v>
      </c>
      <c r="AC636" s="33" t="s">
        <v>1510</v>
      </c>
      <c r="AD636" s="44" t="s">
        <v>57</v>
      </c>
      <c r="AE636" s="33">
        <v>2035</v>
      </c>
      <c r="AF636" s="45" t="str">
        <f t="shared" si="78"/>
        <v>*0.93</v>
      </c>
      <c r="AG636" s="43" t="str">
        <f t="shared" si="80"/>
        <v>REZoning_Sol-Win</v>
      </c>
      <c r="AI636" s="33" t="s">
        <v>1510</v>
      </c>
      <c r="AJ636" s="44" t="s">
        <v>57</v>
      </c>
      <c r="AK636" s="33">
        <v>2050</v>
      </c>
      <c r="AL636" s="45" t="str">
        <f t="shared" si="79"/>
        <v>*0.9</v>
      </c>
      <c r="AM636" s="43" t="str">
        <f t="shared" si="81"/>
        <v>REZoning_Sol-Win</v>
      </c>
      <c r="AP636" t="s">
        <v>1510</v>
      </c>
      <c r="AQ636" t="s">
        <v>57</v>
      </c>
      <c r="AR636">
        <v>2100</v>
      </c>
      <c r="AS636" t="s">
        <v>897</v>
      </c>
      <c r="AT636" t="s">
        <v>58</v>
      </c>
    </row>
    <row r="637" ht="29" spans="1:46">
      <c r="A637" s="31" t="s">
        <v>73</v>
      </c>
      <c r="C637" t="s">
        <v>1511</v>
      </c>
      <c r="D637" s="5" t="s">
        <v>57</v>
      </c>
      <c r="E637">
        <v>2035</v>
      </c>
      <c r="F637" s="6" t="str">
        <f t="shared" si="74"/>
        <v>*0.95</v>
      </c>
      <c r="H637" t="s">
        <v>1511</v>
      </c>
      <c r="I637" s="5" t="s">
        <v>57</v>
      </c>
      <c r="J637">
        <v>2050</v>
      </c>
      <c r="K637" s="38" t="str">
        <f t="shared" si="75"/>
        <v>*0.93</v>
      </c>
      <c r="P637" s="32" t="s">
        <v>1511</v>
      </c>
      <c r="Q637" s="42" t="s">
        <v>57</v>
      </c>
      <c r="R637" s="32">
        <v>2035</v>
      </c>
      <c r="S637" s="43" t="str">
        <f t="shared" si="76"/>
        <v>*0.95</v>
      </c>
      <c r="U637" s="32" t="s">
        <v>1511</v>
      </c>
      <c r="V637" s="42" t="s">
        <v>57</v>
      </c>
      <c r="W637" s="32">
        <v>2050</v>
      </c>
      <c r="X637" s="43" t="str">
        <f t="shared" si="77"/>
        <v>*0.93</v>
      </c>
      <c r="AC637" s="33" t="s">
        <v>1511</v>
      </c>
      <c r="AD637" s="44" t="s">
        <v>57</v>
      </c>
      <c r="AE637" s="33">
        <v>2035</v>
      </c>
      <c r="AF637" s="45" t="str">
        <f t="shared" si="78"/>
        <v>*0.93</v>
      </c>
      <c r="AG637" s="43" t="str">
        <f t="shared" si="80"/>
        <v>REZoning_Sol-Win</v>
      </c>
      <c r="AI637" s="33" t="s">
        <v>1511</v>
      </c>
      <c r="AJ637" s="44" t="s">
        <v>57</v>
      </c>
      <c r="AK637" s="33">
        <v>2050</v>
      </c>
      <c r="AL637" s="45" t="str">
        <f t="shared" si="79"/>
        <v>*0.9</v>
      </c>
      <c r="AM637" s="43" t="str">
        <f t="shared" si="81"/>
        <v>REZoning_Sol-Win</v>
      </c>
      <c r="AP637" t="s">
        <v>1511</v>
      </c>
      <c r="AQ637" t="s">
        <v>57</v>
      </c>
      <c r="AR637">
        <v>2100</v>
      </c>
      <c r="AS637" t="s">
        <v>897</v>
      </c>
      <c r="AT637" t="s">
        <v>58</v>
      </c>
    </row>
    <row r="638" ht="29" spans="1:46">
      <c r="A638" s="31" t="s">
        <v>73</v>
      </c>
      <c r="C638" t="s">
        <v>1512</v>
      </c>
      <c r="D638" s="5" t="s">
        <v>57</v>
      </c>
      <c r="E638">
        <v>2035</v>
      </c>
      <c r="F638" s="6" t="str">
        <f t="shared" si="74"/>
        <v>*0.95</v>
      </c>
      <c r="H638" t="s">
        <v>1512</v>
      </c>
      <c r="I638" s="5" t="s">
        <v>57</v>
      </c>
      <c r="J638">
        <v>2050</v>
      </c>
      <c r="K638" s="38" t="str">
        <f t="shared" si="75"/>
        <v>*0.93</v>
      </c>
      <c r="P638" s="32" t="s">
        <v>1512</v>
      </c>
      <c r="Q638" s="42" t="s">
        <v>57</v>
      </c>
      <c r="R638" s="32">
        <v>2035</v>
      </c>
      <c r="S638" s="43" t="str">
        <f t="shared" si="76"/>
        <v>*0.95</v>
      </c>
      <c r="U638" s="32" t="s">
        <v>1512</v>
      </c>
      <c r="V638" s="42" t="s">
        <v>57</v>
      </c>
      <c r="W638" s="32">
        <v>2050</v>
      </c>
      <c r="X638" s="43" t="str">
        <f t="shared" si="77"/>
        <v>*0.93</v>
      </c>
      <c r="AC638" s="33" t="s">
        <v>1512</v>
      </c>
      <c r="AD638" s="44" t="s">
        <v>57</v>
      </c>
      <c r="AE638" s="33">
        <v>2035</v>
      </c>
      <c r="AF638" s="45" t="str">
        <f t="shared" si="78"/>
        <v>*0.93</v>
      </c>
      <c r="AG638" s="43" t="str">
        <f t="shared" si="80"/>
        <v>REZoning_Sol-Win</v>
      </c>
      <c r="AI638" s="33" t="s">
        <v>1512</v>
      </c>
      <c r="AJ638" s="44" t="s">
        <v>57</v>
      </c>
      <c r="AK638" s="33">
        <v>2050</v>
      </c>
      <c r="AL638" s="45" t="str">
        <f t="shared" si="79"/>
        <v>*0.9</v>
      </c>
      <c r="AM638" s="43" t="str">
        <f t="shared" si="81"/>
        <v>REZoning_Sol-Win</v>
      </c>
      <c r="AP638" t="s">
        <v>1512</v>
      </c>
      <c r="AQ638" t="s">
        <v>57</v>
      </c>
      <c r="AR638">
        <v>2100</v>
      </c>
      <c r="AS638" t="s">
        <v>897</v>
      </c>
      <c r="AT638" t="s">
        <v>58</v>
      </c>
    </row>
    <row r="639" ht="29" spans="1:46">
      <c r="A639" s="31" t="s">
        <v>73</v>
      </c>
      <c r="C639" t="s">
        <v>1513</v>
      </c>
      <c r="D639" s="5" t="s">
        <v>57</v>
      </c>
      <c r="E639">
        <v>2035</v>
      </c>
      <c r="F639" s="6" t="str">
        <f t="shared" si="74"/>
        <v>*0.95</v>
      </c>
      <c r="H639" t="s">
        <v>1513</v>
      </c>
      <c r="I639" s="5" t="s">
        <v>57</v>
      </c>
      <c r="J639">
        <v>2050</v>
      </c>
      <c r="K639" s="38" t="str">
        <f t="shared" si="75"/>
        <v>*0.93</v>
      </c>
      <c r="P639" s="32" t="s">
        <v>1513</v>
      </c>
      <c r="Q639" s="42" t="s">
        <v>57</v>
      </c>
      <c r="R639" s="32">
        <v>2035</v>
      </c>
      <c r="S639" s="43" t="str">
        <f t="shared" si="76"/>
        <v>*0.95</v>
      </c>
      <c r="U639" s="32" t="s">
        <v>1513</v>
      </c>
      <c r="V639" s="42" t="s">
        <v>57</v>
      </c>
      <c r="W639" s="32">
        <v>2050</v>
      </c>
      <c r="X639" s="43" t="str">
        <f t="shared" si="77"/>
        <v>*0.93</v>
      </c>
      <c r="AC639" s="33" t="s">
        <v>1513</v>
      </c>
      <c r="AD639" s="44" t="s">
        <v>57</v>
      </c>
      <c r="AE639" s="33">
        <v>2035</v>
      </c>
      <c r="AF639" s="45" t="str">
        <f t="shared" si="78"/>
        <v>*0.93</v>
      </c>
      <c r="AG639" s="43" t="str">
        <f t="shared" si="80"/>
        <v>REZoning_Sol-Win</v>
      </c>
      <c r="AI639" s="33" t="s">
        <v>1513</v>
      </c>
      <c r="AJ639" s="44" t="s">
        <v>57</v>
      </c>
      <c r="AK639" s="33">
        <v>2050</v>
      </c>
      <c r="AL639" s="45" t="str">
        <f t="shared" si="79"/>
        <v>*0.9</v>
      </c>
      <c r="AM639" s="43" t="str">
        <f t="shared" si="81"/>
        <v>REZoning_Sol-Win</v>
      </c>
      <c r="AP639" t="s">
        <v>1513</v>
      </c>
      <c r="AQ639" t="s">
        <v>57</v>
      </c>
      <c r="AR639">
        <v>2100</v>
      </c>
      <c r="AS639" t="s">
        <v>897</v>
      </c>
      <c r="AT639" t="s">
        <v>58</v>
      </c>
    </row>
    <row r="640" ht="29" spans="1:46">
      <c r="A640" s="31" t="s">
        <v>73</v>
      </c>
      <c r="C640" t="s">
        <v>1514</v>
      </c>
      <c r="D640" s="5" t="s">
        <v>57</v>
      </c>
      <c r="E640">
        <v>2035</v>
      </c>
      <c r="F640" s="6" t="str">
        <f t="shared" si="74"/>
        <v>*0.95</v>
      </c>
      <c r="H640" t="s">
        <v>1514</v>
      </c>
      <c r="I640" s="5" t="s">
        <v>57</v>
      </c>
      <c r="J640">
        <v>2050</v>
      </c>
      <c r="K640" s="38" t="str">
        <f t="shared" si="75"/>
        <v>*0.93</v>
      </c>
      <c r="P640" s="32" t="s">
        <v>1514</v>
      </c>
      <c r="Q640" s="42" t="s">
        <v>57</v>
      </c>
      <c r="R640" s="32">
        <v>2035</v>
      </c>
      <c r="S640" s="43" t="str">
        <f t="shared" si="76"/>
        <v>*0.95</v>
      </c>
      <c r="U640" s="32" t="s">
        <v>1514</v>
      </c>
      <c r="V640" s="42" t="s">
        <v>57</v>
      </c>
      <c r="W640" s="32">
        <v>2050</v>
      </c>
      <c r="X640" s="43" t="str">
        <f t="shared" si="77"/>
        <v>*0.93</v>
      </c>
      <c r="AC640" s="33" t="s">
        <v>1514</v>
      </c>
      <c r="AD640" s="44" t="s">
        <v>57</v>
      </c>
      <c r="AE640" s="33">
        <v>2035</v>
      </c>
      <c r="AF640" s="45" t="str">
        <f t="shared" si="78"/>
        <v>*0.93</v>
      </c>
      <c r="AG640" s="43" t="str">
        <f t="shared" si="80"/>
        <v>REZoning_Sol-Win</v>
      </c>
      <c r="AI640" s="33" t="s">
        <v>1514</v>
      </c>
      <c r="AJ640" s="44" t="s">
        <v>57</v>
      </c>
      <c r="AK640" s="33">
        <v>2050</v>
      </c>
      <c r="AL640" s="45" t="str">
        <f t="shared" si="79"/>
        <v>*0.9</v>
      </c>
      <c r="AM640" s="43" t="str">
        <f t="shared" si="81"/>
        <v>REZoning_Sol-Win</v>
      </c>
      <c r="AP640" t="s">
        <v>1514</v>
      </c>
      <c r="AQ640" t="s">
        <v>57</v>
      </c>
      <c r="AR640">
        <v>2100</v>
      </c>
      <c r="AS640" t="s">
        <v>897</v>
      </c>
      <c r="AT640" t="s">
        <v>58</v>
      </c>
    </row>
    <row r="641" ht="29" spans="1:46">
      <c r="A641" s="31" t="s">
        <v>73</v>
      </c>
      <c r="C641" t="s">
        <v>1515</v>
      </c>
      <c r="D641" s="5" t="s">
        <v>57</v>
      </c>
      <c r="E641">
        <v>2035</v>
      </c>
      <c r="F641" s="6" t="str">
        <f t="shared" si="74"/>
        <v>*0.95</v>
      </c>
      <c r="H641" t="s">
        <v>1515</v>
      </c>
      <c r="I641" s="5" t="s">
        <v>57</v>
      </c>
      <c r="J641">
        <v>2050</v>
      </c>
      <c r="K641" s="38" t="str">
        <f t="shared" si="75"/>
        <v>*0.93</v>
      </c>
      <c r="P641" s="32" t="s">
        <v>1515</v>
      </c>
      <c r="Q641" s="42" t="s">
        <v>57</v>
      </c>
      <c r="R641" s="32">
        <v>2035</v>
      </c>
      <c r="S641" s="43" t="str">
        <f t="shared" si="76"/>
        <v>*0.95</v>
      </c>
      <c r="U641" s="32" t="s">
        <v>1515</v>
      </c>
      <c r="V641" s="42" t="s">
        <v>57</v>
      </c>
      <c r="W641" s="32">
        <v>2050</v>
      </c>
      <c r="X641" s="43" t="str">
        <f t="shared" si="77"/>
        <v>*0.93</v>
      </c>
      <c r="AC641" s="33" t="s">
        <v>1515</v>
      </c>
      <c r="AD641" s="44" t="s">
        <v>57</v>
      </c>
      <c r="AE641" s="33">
        <v>2035</v>
      </c>
      <c r="AF641" s="45" t="str">
        <f t="shared" si="78"/>
        <v>*0.93</v>
      </c>
      <c r="AG641" s="43" t="str">
        <f t="shared" si="80"/>
        <v>REZoning_Sol-Win</v>
      </c>
      <c r="AI641" s="33" t="s">
        <v>1515</v>
      </c>
      <c r="AJ641" s="44" t="s">
        <v>57</v>
      </c>
      <c r="AK641" s="33">
        <v>2050</v>
      </c>
      <c r="AL641" s="45" t="str">
        <f t="shared" si="79"/>
        <v>*0.9</v>
      </c>
      <c r="AM641" s="43" t="str">
        <f t="shared" si="81"/>
        <v>REZoning_Sol-Win</v>
      </c>
      <c r="AP641" t="s">
        <v>1515</v>
      </c>
      <c r="AQ641" t="s">
        <v>57</v>
      </c>
      <c r="AR641">
        <v>2100</v>
      </c>
      <c r="AS641" t="s">
        <v>897</v>
      </c>
      <c r="AT641" t="s">
        <v>58</v>
      </c>
    </row>
    <row r="642" ht="29" spans="1:46">
      <c r="A642" s="31" t="s">
        <v>73</v>
      </c>
      <c r="C642" t="s">
        <v>1516</v>
      </c>
      <c r="D642" s="5" t="s">
        <v>57</v>
      </c>
      <c r="E642">
        <v>2035</v>
      </c>
      <c r="F642" s="6" t="str">
        <f t="shared" si="74"/>
        <v>*0.95</v>
      </c>
      <c r="H642" t="s">
        <v>1516</v>
      </c>
      <c r="I642" s="5" t="s">
        <v>57</v>
      </c>
      <c r="J642">
        <v>2050</v>
      </c>
      <c r="K642" s="38" t="str">
        <f t="shared" si="75"/>
        <v>*0.93</v>
      </c>
      <c r="P642" s="32" t="s">
        <v>1516</v>
      </c>
      <c r="Q642" s="42" t="s">
        <v>57</v>
      </c>
      <c r="R642" s="32">
        <v>2035</v>
      </c>
      <c r="S642" s="43" t="str">
        <f t="shared" si="76"/>
        <v>*0.95</v>
      </c>
      <c r="U642" s="32" t="s">
        <v>1516</v>
      </c>
      <c r="V642" s="42" t="s">
        <v>57</v>
      </c>
      <c r="W642" s="32">
        <v>2050</v>
      </c>
      <c r="X642" s="43" t="str">
        <f t="shared" si="77"/>
        <v>*0.93</v>
      </c>
      <c r="AC642" s="33" t="s">
        <v>1516</v>
      </c>
      <c r="AD642" s="44" t="s">
        <v>57</v>
      </c>
      <c r="AE642" s="33">
        <v>2035</v>
      </c>
      <c r="AF642" s="45" t="str">
        <f t="shared" si="78"/>
        <v>*0.93</v>
      </c>
      <c r="AG642" s="43" t="str">
        <f t="shared" si="80"/>
        <v>REZoning_Sol-Win</v>
      </c>
      <c r="AI642" s="33" t="s">
        <v>1516</v>
      </c>
      <c r="AJ642" s="44" t="s">
        <v>57</v>
      </c>
      <c r="AK642" s="33">
        <v>2050</v>
      </c>
      <c r="AL642" s="45" t="str">
        <f t="shared" si="79"/>
        <v>*0.9</v>
      </c>
      <c r="AM642" s="43" t="str">
        <f t="shared" si="81"/>
        <v>REZoning_Sol-Win</v>
      </c>
      <c r="AP642" t="s">
        <v>1516</v>
      </c>
      <c r="AQ642" t="s">
        <v>57</v>
      </c>
      <c r="AR642">
        <v>2100</v>
      </c>
      <c r="AS642" t="s">
        <v>897</v>
      </c>
      <c r="AT642" t="s">
        <v>58</v>
      </c>
    </row>
    <row r="643" ht="29" spans="1:46">
      <c r="A643" s="31" t="s">
        <v>73</v>
      </c>
      <c r="C643" t="s">
        <v>1517</v>
      </c>
      <c r="D643" s="5" t="s">
        <v>57</v>
      </c>
      <c r="E643">
        <v>2035</v>
      </c>
      <c r="F643" s="6" t="str">
        <f t="shared" si="74"/>
        <v>*0.95</v>
      </c>
      <c r="H643" t="s">
        <v>1517</v>
      </c>
      <c r="I643" s="5" t="s">
        <v>57</v>
      </c>
      <c r="J643">
        <v>2050</v>
      </c>
      <c r="K643" s="38" t="str">
        <f t="shared" si="75"/>
        <v>*0.93</v>
      </c>
      <c r="P643" s="32" t="s">
        <v>1517</v>
      </c>
      <c r="Q643" s="42" t="s">
        <v>57</v>
      </c>
      <c r="R643" s="32">
        <v>2035</v>
      </c>
      <c r="S643" s="43" t="str">
        <f t="shared" si="76"/>
        <v>*0.95</v>
      </c>
      <c r="U643" s="32" t="s">
        <v>1517</v>
      </c>
      <c r="V643" s="42" t="s">
        <v>57</v>
      </c>
      <c r="W643" s="32">
        <v>2050</v>
      </c>
      <c r="X643" s="43" t="str">
        <f t="shared" si="77"/>
        <v>*0.93</v>
      </c>
      <c r="AC643" s="33" t="s">
        <v>1517</v>
      </c>
      <c r="AD643" s="44" t="s">
        <v>57</v>
      </c>
      <c r="AE643" s="33">
        <v>2035</v>
      </c>
      <c r="AF643" s="45" t="str">
        <f t="shared" si="78"/>
        <v>*0.93</v>
      </c>
      <c r="AG643" s="43" t="str">
        <f t="shared" si="80"/>
        <v>REZoning_Sol-Win</v>
      </c>
      <c r="AI643" s="33" t="s">
        <v>1517</v>
      </c>
      <c r="AJ643" s="44" t="s">
        <v>57</v>
      </c>
      <c r="AK643" s="33">
        <v>2050</v>
      </c>
      <c r="AL643" s="45" t="str">
        <f t="shared" si="79"/>
        <v>*0.9</v>
      </c>
      <c r="AM643" s="43" t="str">
        <f t="shared" si="81"/>
        <v>REZoning_Sol-Win</v>
      </c>
      <c r="AP643" t="s">
        <v>1517</v>
      </c>
      <c r="AQ643" t="s">
        <v>57</v>
      </c>
      <c r="AR643">
        <v>2100</v>
      </c>
      <c r="AS643" t="s">
        <v>897</v>
      </c>
      <c r="AT643" t="s">
        <v>58</v>
      </c>
    </row>
    <row r="644" ht="29" spans="1:46">
      <c r="A644" s="31" t="s">
        <v>65</v>
      </c>
      <c r="C644" t="s">
        <v>1518</v>
      </c>
      <c r="D644" s="5" t="s">
        <v>57</v>
      </c>
      <c r="E644">
        <v>2035</v>
      </c>
      <c r="F644" s="6" t="str">
        <f t="shared" ref="F644:F707" si="82">"*"&amp;IF(AND(A644="EU",E644=2035),0.95,IF(AND(A644="EU",E644=2050),0.93,IF(AND(A644="USA",E644=2035),0.96,IF(AND(A644="USA",E644=2050),0.94,IF(AND(A644="Japan",E644=2035),0.94,IF(AND(A644="Japan",E644=2050),0.92,IF(AND(A644="Russia",E644=2035),0.95,IF(AND(A644="Russia",E644=2050),0.93,IF(AND(A644="China",E644=2035),0.94,IF(AND(A644="China",E644=2050),0.92,IF(AND(A644="India",E644=2035),0.95,IF(AND(A644="India",E644=2050),0.92,IF(AND(A644="Middle East",E644=2035),0.94,IF(AND(A644="Middle East",E644=2050),0.9,IF(AND(A644="Africa",E644=2035),0.94,IF(AND(A644="Africa",E644=2050),0.91,IF(AND(A644="Brazil",E644=2035),0.95,IF(AND(A644="Brazil",E644=2050),0.92,""))))))))))))))))))</f>
        <v>*0.94</v>
      </c>
      <c r="H644" t="s">
        <v>1518</v>
      </c>
      <c r="I644" s="5" t="s">
        <v>57</v>
      </c>
      <c r="J644">
        <v>2050</v>
      </c>
      <c r="K644" s="38" t="str">
        <f t="shared" ref="K644:K707" si="83">"*"&amp;IF(AND(A644="EU",J644=2035),0.95,IF(AND(A644="EU",J644=2050),0.93,IF(AND(A644="USA",J644=2035),0.96,IF(AND(A644="USA",J644=2050),0.94,IF(AND(A644="Japan",J644=2035),0.94,IF(AND(A644="Japan",J644=2050),0.92,IF(AND(A644="Russia",J644=2035),0.95,IF(AND(A644="Russia",J644=2050),0.93,IF(AND(A644="China",J644=2035),0.94,IF(AND(A644="China",J644=2050),0.92,IF(AND(A644="India",J644=2035),0.95,IF(AND(A644="India",J644=2050),0.92,IF(AND(A644="Middle East",J644=2035),0.94,IF(AND(A644="Middle East",J644=2050),0.9,IF(AND(A644="Africa",J644=2035),0.94,IF(AND(A644="Africa",J644=2050),0.91,IF(AND(A644="Brazil",J644=2035),0.95,IF(AND(A644="Brazil",J644=2050),0.92,""))))))))))))))))))</f>
        <v>*0.91</v>
      </c>
      <c r="P644" s="32" t="s">
        <v>1518</v>
      </c>
      <c r="Q644" s="42" t="s">
        <v>57</v>
      </c>
      <c r="R644" s="32">
        <v>2035</v>
      </c>
      <c r="S644" s="43" t="str">
        <f t="shared" ref="S644:S707" si="84">"*"&amp;IF(AND(A644="EU",R644=2035),0.95,IF(AND(A644="EU",R644=2050),0.93,IF(AND(A644="USA",R644=2035),0.96,IF(AND(A644="USA",R644=2050),0.93,IF(AND(A644="Japan",R644=2035),0.94,IF(AND(A644="Japan",R644=2050),0.92,IF(AND(A644="Russia",R644=2035),0.95,IF(AND(A644="Russia",R644=2050),0.91,IF(AND(A644="China",R644=2035),0.93,IF(AND(A644="China",R644=2050),0.92,IF(AND(A644="India",R644=2035),0.94,IF(AND(A644="India",R644=2050),0.91,IF(AND(A644="Middle East",R644=2035),0.92,IF(AND(A644="Middle East",R644=2050),0.89,IF(AND(A644="Africa",R644=2035),0.93,IF(AND(A644="Africa",R644=2050),0.9,IF(AND(A644="Brazil",R644=2035),0.95,IF(AND(A644="Brazil",R644=2050),0.92,""))))))))))))))))))</f>
        <v>*0.93</v>
      </c>
      <c r="U644" s="32" t="s">
        <v>1518</v>
      </c>
      <c r="V644" s="42" t="s">
        <v>57</v>
      </c>
      <c r="W644" s="32">
        <v>2050</v>
      </c>
      <c r="X644" s="43" t="str">
        <f t="shared" ref="X644:X707" si="85">"*"&amp;IF(AND(A644="EU",W644=2035),0.95,IF(AND(A644="EU",W644=2050),0.93,IF(AND(A644="USA",W644=2035),0.96,IF(AND(A644="USA",W644=2050),0.93,IF(AND(A644="Japan",W644=2035),0.94,IF(AND(A644="Japan",W644=2050),0.92,IF(AND(A644="Russia",W644=2035),0.95,IF(AND(A644="Russia",W644=2050),0.91,IF(AND(A644="China",W644=2035),0.93,IF(AND(A644="China",W644=2050),0.92,IF(AND(A644="India",W644=2035),0.94,IF(AND(A644="India",W644=2050),0.91,IF(AND(A644="Middle East",W644=2035),0.92,IF(AND(A644="Middle East",W644=2050),0.89,IF(AND(A644="Africa",W644=2035),0.93,IF(AND(A644="Africa",W644=2050),0.9,IF(AND(A644="Brazil",W644=2035),0.95,IF(AND(A644="Brazil",W644=2050),0.92,""))))))))))))))))))</f>
        <v>*0.9</v>
      </c>
      <c r="AC644" s="33" t="s">
        <v>1518</v>
      </c>
      <c r="AD644" s="44" t="s">
        <v>57</v>
      </c>
      <c r="AE644" s="33">
        <v>2035</v>
      </c>
      <c r="AF644" s="45" t="str">
        <f t="shared" ref="AF644:AF707" si="86">"*"&amp;IF(AND(A644="EU",AE644=2035),0.93,IF(AND(A644="EU",AE644=2050),0.9,IF(AND(A644="USA",AE644=2035),0.92,IF(AND(A644="USA",AE644=2050),0.89,IF(AND(A644="Japan",AE644=2035),0.92,IF(AND(A644="Japan",AE644=2050),0.89,IF(AND(A644="Russia",AE644=2035),0.91,IF(AND(A644="Russia",AE644=2050),0.86,IF(AND(A644="China",AE644=2035),0.91,IF(AND(A644="China",AE644=2050),0.87,IF(AND(A644="India",AE644=2035),0.92,IF(AND(A644="India",AE644=2050),0.87,IF(AND(A644="Middle East",AE644=2035),0.89,IF(AND(A644="Middle East",AE644=2050),0.84,IF(AND(A644="Africa",AE644=2035),0.9,IF(AND(A644="Africa",AE644=2050),0.86,IF(AND(A644="Brazil",AE644=2035),0.93,IF(AND(A644="Brazil",AE644=2050),0.89,""))))))))))))))))))</f>
        <v>*0.9</v>
      </c>
      <c r="AG644" s="43" t="str">
        <f t="shared" si="80"/>
        <v>REZoning_Sol-Win</v>
      </c>
      <c r="AI644" s="33" t="s">
        <v>1518</v>
      </c>
      <c r="AJ644" s="44" t="s">
        <v>57</v>
      </c>
      <c r="AK644" s="33">
        <v>2050</v>
      </c>
      <c r="AL644" s="45" t="str">
        <f t="shared" ref="AL644:AL707" si="87">"*"&amp;IF(AND(A644="EU",AK644=2035),0.93,IF(AND(A644="EU",AK644=2050),0.9,IF(AND(A644="USA",AK644=2035),0.92,IF(AND(A644="USA",AK644=2050),0.89,IF(AND(A644="Japan",AK644=2035),0.92,IF(AND(A644="Japan",AK644=2050),0.89,IF(AND(A644="Russia",AK644=2035),0.91,IF(AND(A644="Russia",AK644=2050),0.86,IF(AND(A644="China",AK644=2035),0.91,IF(AND(A644="China",AK644=2050),0.87,IF(AND(A644="India",AK644=2035),0.92,IF(AND(A644="India",AK644=2050),0.87,IF(AND(A644="Middle East",AK644=2035),0.89,IF(AND(A644="Middle East",AK644=2050),0.84,IF(AND(A644="Africa",AK644=2035),0.9,IF(AND(A644="Africa",AK644=2050),0.86,IF(AND(A644="Brazil",AK644=2035),0.93,IF(AND(A644="Brazil",AK644=2050),0.89,""))))))))))))))))))</f>
        <v>*0.86</v>
      </c>
      <c r="AM644" s="43" t="str">
        <f t="shared" si="81"/>
        <v>REZoning_Sol-Win</v>
      </c>
      <c r="AP644" t="s">
        <v>1518</v>
      </c>
      <c r="AQ644" t="s">
        <v>57</v>
      </c>
      <c r="AR644">
        <v>2100</v>
      </c>
      <c r="AS644" t="s">
        <v>883</v>
      </c>
      <c r="AT644" t="s">
        <v>58</v>
      </c>
    </row>
    <row r="645" ht="29" spans="1:46">
      <c r="A645" s="31" t="s">
        <v>73</v>
      </c>
      <c r="C645" t="s">
        <v>1519</v>
      </c>
      <c r="D645" s="5" t="s">
        <v>57</v>
      </c>
      <c r="E645">
        <v>2035</v>
      </c>
      <c r="F645" s="6" t="str">
        <f t="shared" si="82"/>
        <v>*0.95</v>
      </c>
      <c r="H645" t="s">
        <v>1519</v>
      </c>
      <c r="I645" s="5" t="s">
        <v>57</v>
      </c>
      <c r="J645">
        <v>2050</v>
      </c>
      <c r="K645" s="38" t="str">
        <f t="shared" si="83"/>
        <v>*0.93</v>
      </c>
      <c r="P645" s="32" t="s">
        <v>1519</v>
      </c>
      <c r="Q645" s="42" t="s">
        <v>57</v>
      </c>
      <c r="R645" s="32">
        <v>2035</v>
      </c>
      <c r="S645" s="43" t="str">
        <f t="shared" si="84"/>
        <v>*0.95</v>
      </c>
      <c r="U645" s="32" t="s">
        <v>1519</v>
      </c>
      <c r="V645" s="42" t="s">
        <v>57</v>
      </c>
      <c r="W645" s="32">
        <v>2050</v>
      </c>
      <c r="X645" s="43" t="str">
        <f t="shared" si="85"/>
        <v>*0.93</v>
      </c>
      <c r="AC645" s="33" t="s">
        <v>1519</v>
      </c>
      <c r="AD645" s="44" t="s">
        <v>57</v>
      </c>
      <c r="AE645" s="33">
        <v>2035</v>
      </c>
      <c r="AF645" s="45" t="str">
        <f t="shared" si="86"/>
        <v>*0.93</v>
      </c>
      <c r="AG645" s="43" t="str">
        <f t="shared" si="80"/>
        <v>REZoning_Sol-Win</v>
      </c>
      <c r="AI645" s="33" t="s">
        <v>1519</v>
      </c>
      <c r="AJ645" s="44" t="s">
        <v>57</v>
      </c>
      <c r="AK645" s="33">
        <v>2050</v>
      </c>
      <c r="AL645" s="45" t="str">
        <f t="shared" si="87"/>
        <v>*0.9</v>
      </c>
      <c r="AM645" s="43" t="str">
        <f t="shared" si="81"/>
        <v>REZoning_Sol-Win</v>
      </c>
      <c r="AP645" t="s">
        <v>1519</v>
      </c>
      <c r="AQ645" t="s">
        <v>57</v>
      </c>
      <c r="AR645">
        <v>2100</v>
      </c>
      <c r="AS645" t="s">
        <v>897</v>
      </c>
      <c r="AT645" t="s">
        <v>58</v>
      </c>
    </row>
    <row r="646" ht="29" spans="1:46">
      <c r="A646" s="31" t="s">
        <v>73</v>
      </c>
      <c r="C646" t="s">
        <v>1520</v>
      </c>
      <c r="D646" s="5" t="s">
        <v>57</v>
      </c>
      <c r="E646">
        <v>2035</v>
      </c>
      <c r="F646" s="6" t="str">
        <f t="shared" si="82"/>
        <v>*0.95</v>
      </c>
      <c r="H646" t="s">
        <v>1520</v>
      </c>
      <c r="I646" s="5" t="s">
        <v>57</v>
      </c>
      <c r="J646">
        <v>2050</v>
      </c>
      <c r="K646" s="38" t="str">
        <f t="shared" si="83"/>
        <v>*0.93</v>
      </c>
      <c r="P646" s="32" t="s">
        <v>1520</v>
      </c>
      <c r="Q646" s="42" t="s">
        <v>57</v>
      </c>
      <c r="R646" s="32">
        <v>2035</v>
      </c>
      <c r="S646" s="43" t="str">
        <f t="shared" si="84"/>
        <v>*0.95</v>
      </c>
      <c r="U646" s="32" t="s">
        <v>1520</v>
      </c>
      <c r="V646" s="42" t="s">
        <v>57</v>
      </c>
      <c r="W646" s="32">
        <v>2050</v>
      </c>
      <c r="X646" s="43" t="str">
        <f t="shared" si="85"/>
        <v>*0.93</v>
      </c>
      <c r="AC646" s="33" t="s">
        <v>1520</v>
      </c>
      <c r="AD646" s="44" t="s">
        <v>57</v>
      </c>
      <c r="AE646" s="33">
        <v>2035</v>
      </c>
      <c r="AF646" s="45" t="str">
        <f t="shared" si="86"/>
        <v>*0.93</v>
      </c>
      <c r="AG646" s="43" t="str">
        <f t="shared" si="80"/>
        <v>REZoning_Sol-Win</v>
      </c>
      <c r="AI646" s="33" t="s">
        <v>1520</v>
      </c>
      <c r="AJ646" s="44" t="s">
        <v>57</v>
      </c>
      <c r="AK646" s="33">
        <v>2050</v>
      </c>
      <c r="AL646" s="45" t="str">
        <f t="shared" si="87"/>
        <v>*0.9</v>
      </c>
      <c r="AM646" s="43" t="str">
        <f t="shared" si="81"/>
        <v>REZoning_Sol-Win</v>
      </c>
      <c r="AP646" t="s">
        <v>1520</v>
      </c>
      <c r="AQ646" t="s">
        <v>57</v>
      </c>
      <c r="AR646">
        <v>2100</v>
      </c>
      <c r="AS646" t="s">
        <v>897</v>
      </c>
      <c r="AT646" t="s">
        <v>58</v>
      </c>
    </row>
    <row r="647" ht="29" spans="1:46">
      <c r="A647" s="31" t="s">
        <v>73</v>
      </c>
      <c r="C647" t="s">
        <v>1521</v>
      </c>
      <c r="D647" s="5" t="s">
        <v>57</v>
      </c>
      <c r="E647">
        <v>2035</v>
      </c>
      <c r="F647" s="6" t="str">
        <f t="shared" si="82"/>
        <v>*0.95</v>
      </c>
      <c r="H647" t="s">
        <v>1521</v>
      </c>
      <c r="I647" s="5" t="s">
        <v>57</v>
      </c>
      <c r="J647">
        <v>2050</v>
      </c>
      <c r="K647" s="38" t="str">
        <f t="shared" si="83"/>
        <v>*0.93</v>
      </c>
      <c r="P647" s="32" t="s">
        <v>1521</v>
      </c>
      <c r="Q647" s="42" t="s">
        <v>57</v>
      </c>
      <c r="R647" s="32">
        <v>2035</v>
      </c>
      <c r="S647" s="43" t="str">
        <f t="shared" si="84"/>
        <v>*0.95</v>
      </c>
      <c r="U647" s="32" t="s">
        <v>1521</v>
      </c>
      <c r="V647" s="42" t="s">
        <v>57</v>
      </c>
      <c r="W647" s="32">
        <v>2050</v>
      </c>
      <c r="X647" s="43" t="str">
        <f t="shared" si="85"/>
        <v>*0.93</v>
      </c>
      <c r="AC647" s="33" t="s">
        <v>1521</v>
      </c>
      <c r="AD647" s="44" t="s">
        <v>57</v>
      </c>
      <c r="AE647" s="33">
        <v>2035</v>
      </c>
      <c r="AF647" s="45" t="str">
        <f t="shared" si="86"/>
        <v>*0.93</v>
      </c>
      <c r="AG647" s="43" t="str">
        <f t="shared" si="80"/>
        <v>REZoning_Sol-Win</v>
      </c>
      <c r="AI647" s="33" t="s">
        <v>1521</v>
      </c>
      <c r="AJ647" s="44" t="s">
        <v>57</v>
      </c>
      <c r="AK647" s="33">
        <v>2050</v>
      </c>
      <c r="AL647" s="45" t="str">
        <f t="shared" si="87"/>
        <v>*0.9</v>
      </c>
      <c r="AM647" s="43" t="str">
        <f t="shared" si="81"/>
        <v>REZoning_Sol-Win</v>
      </c>
      <c r="AP647" t="s">
        <v>1521</v>
      </c>
      <c r="AQ647" t="s">
        <v>57</v>
      </c>
      <c r="AR647">
        <v>2100</v>
      </c>
      <c r="AS647" t="s">
        <v>897</v>
      </c>
      <c r="AT647" t="s">
        <v>58</v>
      </c>
    </row>
    <row r="648" ht="29" spans="1:46">
      <c r="A648" s="31" t="s">
        <v>73</v>
      </c>
      <c r="C648" t="s">
        <v>1522</v>
      </c>
      <c r="D648" s="5" t="s">
        <v>57</v>
      </c>
      <c r="E648">
        <v>2035</v>
      </c>
      <c r="F648" s="6" t="str">
        <f t="shared" si="82"/>
        <v>*0.95</v>
      </c>
      <c r="H648" t="s">
        <v>1522</v>
      </c>
      <c r="I648" s="5" t="s">
        <v>57</v>
      </c>
      <c r="J648">
        <v>2050</v>
      </c>
      <c r="K648" s="38" t="str">
        <f t="shared" si="83"/>
        <v>*0.93</v>
      </c>
      <c r="P648" s="32" t="s">
        <v>1522</v>
      </c>
      <c r="Q648" s="42" t="s">
        <v>57</v>
      </c>
      <c r="R648" s="32">
        <v>2035</v>
      </c>
      <c r="S648" s="43" t="str">
        <f t="shared" si="84"/>
        <v>*0.95</v>
      </c>
      <c r="U648" s="32" t="s">
        <v>1522</v>
      </c>
      <c r="V648" s="42" t="s">
        <v>57</v>
      </c>
      <c r="W648" s="32">
        <v>2050</v>
      </c>
      <c r="X648" s="43" t="str">
        <f t="shared" si="85"/>
        <v>*0.93</v>
      </c>
      <c r="AC648" s="33" t="s">
        <v>1522</v>
      </c>
      <c r="AD648" s="44" t="s">
        <v>57</v>
      </c>
      <c r="AE648" s="33">
        <v>2035</v>
      </c>
      <c r="AF648" s="45" t="str">
        <f t="shared" si="86"/>
        <v>*0.93</v>
      </c>
      <c r="AG648" s="43" t="str">
        <f t="shared" si="80"/>
        <v>REZoning_Sol-Win</v>
      </c>
      <c r="AI648" s="33" t="s">
        <v>1522</v>
      </c>
      <c r="AJ648" s="44" t="s">
        <v>57</v>
      </c>
      <c r="AK648" s="33">
        <v>2050</v>
      </c>
      <c r="AL648" s="45" t="str">
        <f t="shared" si="87"/>
        <v>*0.9</v>
      </c>
      <c r="AM648" s="43" t="str">
        <f t="shared" si="81"/>
        <v>REZoning_Sol-Win</v>
      </c>
      <c r="AP648" t="s">
        <v>1522</v>
      </c>
      <c r="AQ648" t="s">
        <v>57</v>
      </c>
      <c r="AR648">
        <v>2100</v>
      </c>
      <c r="AS648" t="s">
        <v>897</v>
      </c>
      <c r="AT648" t="s">
        <v>58</v>
      </c>
    </row>
    <row r="649" ht="29" spans="1:46">
      <c r="A649" s="31" t="s">
        <v>73</v>
      </c>
      <c r="C649" t="s">
        <v>1523</v>
      </c>
      <c r="D649" s="5" t="s">
        <v>57</v>
      </c>
      <c r="E649">
        <v>2035</v>
      </c>
      <c r="F649" s="6" t="str">
        <f t="shared" si="82"/>
        <v>*0.95</v>
      </c>
      <c r="H649" t="s">
        <v>1523</v>
      </c>
      <c r="I649" s="5" t="s">
        <v>57</v>
      </c>
      <c r="J649">
        <v>2050</v>
      </c>
      <c r="K649" s="38" t="str">
        <f t="shared" si="83"/>
        <v>*0.93</v>
      </c>
      <c r="P649" s="32" t="s">
        <v>1523</v>
      </c>
      <c r="Q649" s="42" t="s">
        <v>57</v>
      </c>
      <c r="R649" s="32">
        <v>2035</v>
      </c>
      <c r="S649" s="43" t="str">
        <f t="shared" si="84"/>
        <v>*0.95</v>
      </c>
      <c r="U649" s="32" t="s">
        <v>1523</v>
      </c>
      <c r="V649" s="42" t="s">
        <v>57</v>
      </c>
      <c r="W649" s="32">
        <v>2050</v>
      </c>
      <c r="X649" s="43" t="str">
        <f t="shared" si="85"/>
        <v>*0.93</v>
      </c>
      <c r="AC649" s="33" t="s">
        <v>1523</v>
      </c>
      <c r="AD649" s="44" t="s">
        <v>57</v>
      </c>
      <c r="AE649" s="33">
        <v>2035</v>
      </c>
      <c r="AF649" s="45" t="str">
        <f t="shared" si="86"/>
        <v>*0.93</v>
      </c>
      <c r="AG649" s="43" t="str">
        <f t="shared" ref="AG649:AG712" si="88">AG648</f>
        <v>REZoning_Sol-Win</v>
      </c>
      <c r="AI649" s="33" t="s">
        <v>1523</v>
      </c>
      <c r="AJ649" s="44" t="s">
        <v>57</v>
      </c>
      <c r="AK649" s="33">
        <v>2050</v>
      </c>
      <c r="AL649" s="45" t="str">
        <f t="shared" si="87"/>
        <v>*0.9</v>
      </c>
      <c r="AM649" s="43" t="str">
        <f t="shared" si="81"/>
        <v>REZoning_Sol-Win</v>
      </c>
      <c r="AP649" t="s">
        <v>1523</v>
      </c>
      <c r="AQ649" t="s">
        <v>57</v>
      </c>
      <c r="AR649">
        <v>2100</v>
      </c>
      <c r="AS649" t="s">
        <v>897</v>
      </c>
      <c r="AT649" t="s">
        <v>58</v>
      </c>
    </row>
    <row r="650" ht="29" spans="1:46">
      <c r="A650" s="31" t="s">
        <v>83</v>
      </c>
      <c r="C650" t="s">
        <v>1524</v>
      </c>
      <c r="D650" s="5" t="s">
        <v>57</v>
      </c>
      <c r="E650">
        <v>2035</v>
      </c>
      <c r="F650" s="6" t="str">
        <f t="shared" si="82"/>
        <v>*0.95</v>
      </c>
      <c r="H650" t="s">
        <v>1524</v>
      </c>
      <c r="I650" s="5" t="s">
        <v>57</v>
      </c>
      <c r="J650">
        <v>2050</v>
      </c>
      <c r="K650" s="38" t="str">
        <f t="shared" si="83"/>
        <v>*0.92</v>
      </c>
      <c r="P650" s="32" t="s">
        <v>1524</v>
      </c>
      <c r="Q650" s="42" t="s">
        <v>57</v>
      </c>
      <c r="R650" s="32">
        <v>2035</v>
      </c>
      <c r="S650" s="43" t="str">
        <f t="shared" si="84"/>
        <v>*0.95</v>
      </c>
      <c r="U650" s="32" t="s">
        <v>1524</v>
      </c>
      <c r="V650" s="42" t="s">
        <v>57</v>
      </c>
      <c r="W650" s="32">
        <v>2050</v>
      </c>
      <c r="X650" s="43" t="str">
        <f t="shared" si="85"/>
        <v>*0.92</v>
      </c>
      <c r="AC650" s="33" t="s">
        <v>1524</v>
      </c>
      <c r="AD650" s="44" t="s">
        <v>57</v>
      </c>
      <c r="AE650" s="33">
        <v>2035</v>
      </c>
      <c r="AF650" s="45" t="str">
        <f t="shared" si="86"/>
        <v>*0.93</v>
      </c>
      <c r="AG650" s="43" t="str">
        <f t="shared" si="88"/>
        <v>REZoning_Sol-Win</v>
      </c>
      <c r="AI650" s="33" t="s">
        <v>1524</v>
      </c>
      <c r="AJ650" s="44" t="s">
        <v>57</v>
      </c>
      <c r="AK650" s="33">
        <v>2050</v>
      </c>
      <c r="AL650" s="45" t="str">
        <f t="shared" si="87"/>
        <v>*0.89</v>
      </c>
      <c r="AM650" s="43" t="str">
        <f t="shared" ref="AM650:AM713" si="89">AM649</f>
        <v>REZoning_Sol-Win</v>
      </c>
      <c r="AP650" t="s">
        <v>1524</v>
      </c>
      <c r="AQ650" t="s">
        <v>57</v>
      </c>
      <c r="AR650">
        <v>2100</v>
      </c>
      <c r="AS650" t="s">
        <v>937</v>
      </c>
      <c r="AT650" t="s">
        <v>58</v>
      </c>
    </row>
    <row r="651" ht="29" spans="1:46">
      <c r="A651" s="31" t="s">
        <v>83</v>
      </c>
      <c r="C651" t="s">
        <v>1525</v>
      </c>
      <c r="D651" s="5" t="s">
        <v>57</v>
      </c>
      <c r="E651">
        <v>2035</v>
      </c>
      <c r="F651" s="6" t="str">
        <f t="shared" si="82"/>
        <v>*0.95</v>
      </c>
      <c r="H651" t="s">
        <v>1525</v>
      </c>
      <c r="I651" s="5" t="s">
        <v>57</v>
      </c>
      <c r="J651">
        <v>2050</v>
      </c>
      <c r="K651" s="38" t="str">
        <f t="shared" si="83"/>
        <v>*0.92</v>
      </c>
      <c r="P651" s="32" t="s">
        <v>1525</v>
      </c>
      <c r="Q651" s="42" t="s">
        <v>57</v>
      </c>
      <c r="R651" s="32">
        <v>2035</v>
      </c>
      <c r="S651" s="43" t="str">
        <f t="shared" si="84"/>
        <v>*0.95</v>
      </c>
      <c r="U651" s="32" t="s">
        <v>1525</v>
      </c>
      <c r="V651" s="42" t="s">
        <v>57</v>
      </c>
      <c r="W651" s="32">
        <v>2050</v>
      </c>
      <c r="X651" s="43" t="str">
        <f t="shared" si="85"/>
        <v>*0.92</v>
      </c>
      <c r="AC651" s="33" t="s">
        <v>1525</v>
      </c>
      <c r="AD651" s="44" t="s">
        <v>57</v>
      </c>
      <c r="AE651" s="33">
        <v>2035</v>
      </c>
      <c r="AF651" s="45" t="str">
        <f t="shared" si="86"/>
        <v>*0.93</v>
      </c>
      <c r="AG651" s="43" t="str">
        <f t="shared" si="88"/>
        <v>REZoning_Sol-Win</v>
      </c>
      <c r="AI651" s="33" t="s">
        <v>1525</v>
      </c>
      <c r="AJ651" s="44" t="s">
        <v>57</v>
      </c>
      <c r="AK651" s="33">
        <v>2050</v>
      </c>
      <c r="AL651" s="45" t="str">
        <f t="shared" si="87"/>
        <v>*0.89</v>
      </c>
      <c r="AM651" s="43" t="str">
        <f t="shared" si="89"/>
        <v>REZoning_Sol-Win</v>
      </c>
      <c r="AP651" t="s">
        <v>1525</v>
      </c>
      <c r="AQ651" t="s">
        <v>57</v>
      </c>
      <c r="AR651">
        <v>2100</v>
      </c>
      <c r="AS651" t="s">
        <v>937</v>
      </c>
      <c r="AT651" t="s">
        <v>58</v>
      </c>
    </row>
    <row r="652" ht="29" spans="1:46">
      <c r="A652" s="31" t="s">
        <v>83</v>
      </c>
      <c r="C652" t="s">
        <v>1526</v>
      </c>
      <c r="D652" s="5" t="s">
        <v>57</v>
      </c>
      <c r="E652">
        <v>2035</v>
      </c>
      <c r="F652" s="6" t="str">
        <f t="shared" si="82"/>
        <v>*0.95</v>
      </c>
      <c r="H652" t="s">
        <v>1526</v>
      </c>
      <c r="I652" s="5" t="s">
        <v>57</v>
      </c>
      <c r="J652">
        <v>2050</v>
      </c>
      <c r="K652" s="38" t="str">
        <f t="shared" si="83"/>
        <v>*0.92</v>
      </c>
      <c r="P652" s="32" t="s">
        <v>1526</v>
      </c>
      <c r="Q652" s="42" t="s">
        <v>57</v>
      </c>
      <c r="R652" s="32">
        <v>2035</v>
      </c>
      <c r="S652" s="43" t="str">
        <f t="shared" si="84"/>
        <v>*0.95</v>
      </c>
      <c r="U652" s="32" t="s">
        <v>1526</v>
      </c>
      <c r="V652" s="42" t="s">
        <v>57</v>
      </c>
      <c r="W652" s="32">
        <v>2050</v>
      </c>
      <c r="X652" s="43" t="str">
        <f t="shared" si="85"/>
        <v>*0.92</v>
      </c>
      <c r="AC652" s="33" t="s">
        <v>1526</v>
      </c>
      <c r="AD652" s="44" t="s">
        <v>57</v>
      </c>
      <c r="AE652" s="33">
        <v>2035</v>
      </c>
      <c r="AF652" s="45" t="str">
        <f t="shared" si="86"/>
        <v>*0.93</v>
      </c>
      <c r="AG652" s="43" t="str">
        <f t="shared" si="88"/>
        <v>REZoning_Sol-Win</v>
      </c>
      <c r="AI652" s="33" t="s">
        <v>1526</v>
      </c>
      <c r="AJ652" s="44" t="s">
        <v>57</v>
      </c>
      <c r="AK652" s="33">
        <v>2050</v>
      </c>
      <c r="AL652" s="45" t="str">
        <f t="shared" si="87"/>
        <v>*0.89</v>
      </c>
      <c r="AM652" s="43" t="str">
        <f t="shared" si="89"/>
        <v>REZoning_Sol-Win</v>
      </c>
      <c r="AP652" t="s">
        <v>1526</v>
      </c>
      <c r="AQ652" t="s">
        <v>57</v>
      </c>
      <c r="AR652">
        <v>2100</v>
      </c>
      <c r="AS652" t="s">
        <v>937</v>
      </c>
      <c r="AT652" t="s">
        <v>58</v>
      </c>
    </row>
    <row r="653" ht="29" spans="1:46">
      <c r="A653" s="31" t="s">
        <v>83</v>
      </c>
      <c r="C653" t="s">
        <v>1527</v>
      </c>
      <c r="D653" s="5" t="s">
        <v>57</v>
      </c>
      <c r="E653">
        <v>2035</v>
      </c>
      <c r="F653" s="6" t="str">
        <f t="shared" si="82"/>
        <v>*0.95</v>
      </c>
      <c r="H653" t="s">
        <v>1527</v>
      </c>
      <c r="I653" s="5" t="s">
        <v>57</v>
      </c>
      <c r="J653">
        <v>2050</v>
      </c>
      <c r="K653" s="38" t="str">
        <f t="shared" si="83"/>
        <v>*0.92</v>
      </c>
      <c r="P653" s="32" t="s">
        <v>1527</v>
      </c>
      <c r="Q653" s="42" t="s">
        <v>57</v>
      </c>
      <c r="R653" s="32">
        <v>2035</v>
      </c>
      <c r="S653" s="43" t="str">
        <f t="shared" si="84"/>
        <v>*0.95</v>
      </c>
      <c r="U653" s="32" t="s">
        <v>1527</v>
      </c>
      <c r="V653" s="42" t="s">
        <v>57</v>
      </c>
      <c r="W653" s="32">
        <v>2050</v>
      </c>
      <c r="X653" s="43" t="str">
        <f t="shared" si="85"/>
        <v>*0.92</v>
      </c>
      <c r="AC653" s="33" t="s">
        <v>1527</v>
      </c>
      <c r="AD653" s="44" t="s">
        <v>57</v>
      </c>
      <c r="AE653" s="33">
        <v>2035</v>
      </c>
      <c r="AF653" s="45" t="str">
        <f t="shared" si="86"/>
        <v>*0.93</v>
      </c>
      <c r="AG653" s="43" t="str">
        <f t="shared" si="88"/>
        <v>REZoning_Sol-Win</v>
      </c>
      <c r="AI653" s="33" t="s">
        <v>1527</v>
      </c>
      <c r="AJ653" s="44" t="s">
        <v>57</v>
      </c>
      <c r="AK653" s="33">
        <v>2050</v>
      </c>
      <c r="AL653" s="45" t="str">
        <f t="shared" si="87"/>
        <v>*0.89</v>
      </c>
      <c r="AM653" s="43" t="str">
        <f t="shared" si="89"/>
        <v>REZoning_Sol-Win</v>
      </c>
      <c r="AP653" t="s">
        <v>1527</v>
      </c>
      <c r="AQ653" t="s">
        <v>57</v>
      </c>
      <c r="AR653">
        <v>2100</v>
      </c>
      <c r="AS653" t="s">
        <v>937</v>
      </c>
      <c r="AT653" t="s">
        <v>58</v>
      </c>
    </row>
    <row r="654" ht="29" spans="1:46">
      <c r="A654" s="31" t="s">
        <v>83</v>
      </c>
      <c r="C654" t="s">
        <v>1528</v>
      </c>
      <c r="D654" s="5" t="s">
        <v>57</v>
      </c>
      <c r="E654">
        <v>2035</v>
      </c>
      <c r="F654" s="6" t="str">
        <f t="shared" si="82"/>
        <v>*0.95</v>
      </c>
      <c r="H654" t="s">
        <v>1528</v>
      </c>
      <c r="I654" s="5" t="s">
        <v>57</v>
      </c>
      <c r="J654">
        <v>2050</v>
      </c>
      <c r="K654" s="38" t="str">
        <f t="shared" si="83"/>
        <v>*0.92</v>
      </c>
      <c r="P654" s="32" t="s">
        <v>1528</v>
      </c>
      <c r="Q654" s="42" t="s">
        <v>57</v>
      </c>
      <c r="R654" s="32">
        <v>2035</v>
      </c>
      <c r="S654" s="43" t="str">
        <f t="shared" si="84"/>
        <v>*0.95</v>
      </c>
      <c r="U654" s="32" t="s">
        <v>1528</v>
      </c>
      <c r="V654" s="42" t="s">
        <v>57</v>
      </c>
      <c r="W654" s="32">
        <v>2050</v>
      </c>
      <c r="X654" s="43" t="str">
        <f t="shared" si="85"/>
        <v>*0.92</v>
      </c>
      <c r="AC654" s="33" t="s">
        <v>1528</v>
      </c>
      <c r="AD654" s="44" t="s">
        <v>57</v>
      </c>
      <c r="AE654" s="33">
        <v>2035</v>
      </c>
      <c r="AF654" s="45" t="str">
        <f t="shared" si="86"/>
        <v>*0.93</v>
      </c>
      <c r="AG654" s="43" t="str">
        <f t="shared" si="88"/>
        <v>REZoning_Sol-Win</v>
      </c>
      <c r="AI654" s="33" t="s">
        <v>1528</v>
      </c>
      <c r="AJ654" s="44" t="s">
        <v>57</v>
      </c>
      <c r="AK654" s="33">
        <v>2050</v>
      </c>
      <c r="AL654" s="45" t="str">
        <f t="shared" si="87"/>
        <v>*0.89</v>
      </c>
      <c r="AM654" s="43" t="str">
        <f t="shared" si="89"/>
        <v>REZoning_Sol-Win</v>
      </c>
      <c r="AP654" t="s">
        <v>1528</v>
      </c>
      <c r="AQ654" t="s">
        <v>57</v>
      </c>
      <c r="AR654">
        <v>2100</v>
      </c>
      <c r="AS654" t="s">
        <v>937</v>
      </c>
      <c r="AT654" t="s">
        <v>58</v>
      </c>
    </row>
    <row r="655" ht="29" spans="1:46">
      <c r="A655" s="31" t="s">
        <v>83</v>
      </c>
      <c r="C655" t="s">
        <v>1529</v>
      </c>
      <c r="D655" s="5" t="s">
        <v>57</v>
      </c>
      <c r="E655">
        <v>2035</v>
      </c>
      <c r="F655" s="6" t="str">
        <f t="shared" si="82"/>
        <v>*0.95</v>
      </c>
      <c r="H655" t="s">
        <v>1529</v>
      </c>
      <c r="I655" s="5" t="s">
        <v>57</v>
      </c>
      <c r="J655">
        <v>2050</v>
      </c>
      <c r="K655" s="38" t="str">
        <f t="shared" si="83"/>
        <v>*0.92</v>
      </c>
      <c r="P655" s="32" t="s">
        <v>1529</v>
      </c>
      <c r="Q655" s="42" t="s">
        <v>57</v>
      </c>
      <c r="R655" s="32">
        <v>2035</v>
      </c>
      <c r="S655" s="43" t="str">
        <f t="shared" si="84"/>
        <v>*0.95</v>
      </c>
      <c r="U655" s="32" t="s">
        <v>1529</v>
      </c>
      <c r="V655" s="42" t="s">
        <v>57</v>
      </c>
      <c r="W655" s="32">
        <v>2050</v>
      </c>
      <c r="X655" s="43" t="str">
        <f t="shared" si="85"/>
        <v>*0.92</v>
      </c>
      <c r="AC655" s="33" t="s">
        <v>1529</v>
      </c>
      <c r="AD655" s="44" t="s">
        <v>57</v>
      </c>
      <c r="AE655" s="33">
        <v>2035</v>
      </c>
      <c r="AF655" s="45" t="str">
        <f t="shared" si="86"/>
        <v>*0.93</v>
      </c>
      <c r="AG655" s="43" t="str">
        <f t="shared" si="88"/>
        <v>REZoning_Sol-Win</v>
      </c>
      <c r="AI655" s="33" t="s">
        <v>1529</v>
      </c>
      <c r="AJ655" s="44" t="s">
        <v>57</v>
      </c>
      <c r="AK655" s="33">
        <v>2050</v>
      </c>
      <c r="AL655" s="45" t="str">
        <f t="shared" si="87"/>
        <v>*0.89</v>
      </c>
      <c r="AM655" s="43" t="str">
        <f t="shared" si="89"/>
        <v>REZoning_Sol-Win</v>
      </c>
      <c r="AP655" t="s">
        <v>1529</v>
      </c>
      <c r="AQ655" t="s">
        <v>57</v>
      </c>
      <c r="AR655">
        <v>2100</v>
      </c>
      <c r="AS655" t="s">
        <v>937</v>
      </c>
      <c r="AT655" t="s">
        <v>58</v>
      </c>
    </row>
    <row r="656" ht="29" spans="1:46">
      <c r="A656" s="31" t="s">
        <v>83</v>
      </c>
      <c r="C656" t="s">
        <v>1530</v>
      </c>
      <c r="D656" s="5" t="s">
        <v>57</v>
      </c>
      <c r="E656">
        <v>2035</v>
      </c>
      <c r="F656" s="6" t="str">
        <f t="shared" si="82"/>
        <v>*0.95</v>
      </c>
      <c r="H656" t="s">
        <v>1530</v>
      </c>
      <c r="I656" s="5" t="s">
        <v>57</v>
      </c>
      <c r="J656">
        <v>2050</v>
      </c>
      <c r="K656" s="38" t="str">
        <f t="shared" si="83"/>
        <v>*0.92</v>
      </c>
      <c r="P656" s="32" t="s">
        <v>1530</v>
      </c>
      <c r="Q656" s="42" t="s">
        <v>57</v>
      </c>
      <c r="R656" s="32">
        <v>2035</v>
      </c>
      <c r="S656" s="43" t="str">
        <f t="shared" si="84"/>
        <v>*0.95</v>
      </c>
      <c r="U656" s="32" t="s">
        <v>1530</v>
      </c>
      <c r="V656" s="42" t="s">
        <v>57</v>
      </c>
      <c r="W656" s="32">
        <v>2050</v>
      </c>
      <c r="X656" s="43" t="str">
        <f t="shared" si="85"/>
        <v>*0.92</v>
      </c>
      <c r="AC656" s="33" t="s">
        <v>1530</v>
      </c>
      <c r="AD656" s="44" t="s">
        <v>57</v>
      </c>
      <c r="AE656" s="33">
        <v>2035</v>
      </c>
      <c r="AF656" s="45" t="str">
        <f t="shared" si="86"/>
        <v>*0.93</v>
      </c>
      <c r="AG656" s="43" t="str">
        <f t="shared" si="88"/>
        <v>REZoning_Sol-Win</v>
      </c>
      <c r="AI656" s="33" t="s">
        <v>1530</v>
      </c>
      <c r="AJ656" s="44" t="s">
        <v>57</v>
      </c>
      <c r="AK656" s="33">
        <v>2050</v>
      </c>
      <c r="AL656" s="45" t="str">
        <f t="shared" si="87"/>
        <v>*0.89</v>
      </c>
      <c r="AM656" s="43" t="str">
        <f t="shared" si="89"/>
        <v>REZoning_Sol-Win</v>
      </c>
      <c r="AP656" t="s">
        <v>1530</v>
      </c>
      <c r="AQ656" t="s">
        <v>57</v>
      </c>
      <c r="AR656">
        <v>2100</v>
      </c>
      <c r="AS656" t="s">
        <v>937</v>
      </c>
      <c r="AT656" t="s">
        <v>58</v>
      </c>
    </row>
    <row r="657" ht="29" spans="1:46">
      <c r="A657" s="31" t="s">
        <v>83</v>
      </c>
      <c r="C657" t="s">
        <v>1531</v>
      </c>
      <c r="D657" s="5" t="s">
        <v>57</v>
      </c>
      <c r="E657">
        <v>2035</v>
      </c>
      <c r="F657" s="6" t="str">
        <f t="shared" si="82"/>
        <v>*0.95</v>
      </c>
      <c r="H657" t="s">
        <v>1531</v>
      </c>
      <c r="I657" s="5" t="s">
        <v>57</v>
      </c>
      <c r="J657">
        <v>2050</v>
      </c>
      <c r="K657" s="38" t="str">
        <f t="shared" si="83"/>
        <v>*0.92</v>
      </c>
      <c r="P657" s="32" t="s">
        <v>1531</v>
      </c>
      <c r="Q657" s="42" t="s">
        <v>57</v>
      </c>
      <c r="R657" s="32">
        <v>2035</v>
      </c>
      <c r="S657" s="43" t="str">
        <f t="shared" si="84"/>
        <v>*0.95</v>
      </c>
      <c r="U657" s="32" t="s">
        <v>1531</v>
      </c>
      <c r="V657" s="42" t="s">
        <v>57</v>
      </c>
      <c r="W657" s="32">
        <v>2050</v>
      </c>
      <c r="X657" s="43" t="str">
        <f t="shared" si="85"/>
        <v>*0.92</v>
      </c>
      <c r="AC657" s="33" t="s">
        <v>1531</v>
      </c>
      <c r="AD657" s="44" t="s">
        <v>57</v>
      </c>
      <c r="AE657" s="33">
        <v>2035</v>
      </c>
      <c r="AF657" s="45" t="str">
        <f t="shared" si="86"/>
        <v>*0.93</v>
      </c>
      <c r="AG657" s="43" t="str">
        <f t="shared" si="88"/>
        <v>REZoning_Sol-Win</v>
      </c>
      <c r="AI657" s="33" t="s">
        <v>1531</v>
      </c>
      <c r="AJ657" s="44" t="s">
        <v>57</v>
      </c>
      <c r="AK657" s="33">
        <v>2050</v>
      </c>
      <c r="AL657" s="45" t="str">
        <f t="shared" si="87"/>
        <v>*0.89</v>
      </c>
      <c r="AM657" s="43" t="str">
        <f t="shared" si="89"/>
        <v>REZoning_Sol-Win</v>
      </c>
      <c r="AP657" t="s">
        <v>1531</v>
      </c>
      <c r="AQ657" t="s">
        <v>57</v>
      </c>
      <c r="AR657">
        <v>2100</v>
      </c>
      <c r="AS657" t="s">
        <v>937</v>
      </c>
      <c r="AT657" t="s">
        <v>58</v>
      </c>
    </row>
    <row r="658" ht="29" spans="1:46">
      <c r="A658" s="31" t="s">
        <v>83</v>
      </c>
      <c r="C658" t="s">
        <v>1532</v>
      </c>
      <c r="D658" s="5" t="s">
        <v>57</v>
      </c>
      <c r="E658">
        <v>2035</v>
      </c>
      <c r="F658" s="6" t="str">
        <f t="shared" si="82"/>
        <v>*0.95</v>
      </c>
      <c r="H658" t="s">
        <v>1532</v>
      </c>
      <c r="I658" s="5" t="s">
        <v>57</v>
      </c>
      <c r="J658">
        <v>2050</v>
      </c>
      <c r="K658" s="38" t="str">
        <f t="shared" si="83"/>
        <v>*0.92</v>
      </c>
      <c r="P658" s="32" t="s">
        <v>1532</v>
      </c>
      <c r="Q658" s="42" t="s">
        <v>57</v>
      </c>
      <c r="R658" s="32">
        <v>2035</v>
      </c>
      <c r="S658" s="43" t="str">
        <f t="shared" si="84"/>
        <v>*0.95</v>
      </c>
      <c r="U658" s="32" t="s">
        <v>1532</v>
      </c>
      <c r="V658" s="42" t="s">
        <v>57</v>
      </c>
      <c r="W658" s="32">
        <v>2050</v>
      </c>
      <c r="X658" s="43" t="str">
        <f t="shared" si="85"/>
        <v>*0.92</v>
      </c>
      <c r="AC658" s="33" t="s">
        <v>1532</v>
      </c>
      <c r="AD658" s="44" t="s">
        <v>57</v>
      </c>
      <c r="AE658" s="33">
        <v>2035</v>
      </c>
      <c r="AF658" s="45" t="str">
        <f t="shared" si="86"/>
        <v>*0.93</v>
      </c>
      <c r="AG658" s="43" t="str">
        <f t="shared" si="88"/>
        <v>REZoning_Sol-Win</v>
      </c>
      <c r="AI658" s="33" t="s">
        <v>1532</v>
      </c>
      <c r="AJ658" s="44" t="s">
        <v>57</v>
      </c>
      <c r="AK658" s="33">
        <v>2050</v>
      </c>
      <c r="AL658" s="45" t="str">
        <f t="shared" si="87"/>
        <v>*0.89</v>
      </c>
      <c r="AM658" s="43" t="str">
        <f t="shared" si="89"/>
        <v>REZoning_Sol-Win</v>
      </c>
      <c r="AP658" t="s">
        <v>1532</v>
      </c>
      <c r="AQ658" t="s">
        <v>57</v>
      </c>
      <c r="AR658">
        <v>2100</v>
      </c>
      <c r="AS658" t="s">
        <v>937</v>
      </c>
      <c r="AT658" t="s">
        <v>58</v>
      </c>
    </row>
    <row r="659" ht="29" spans="1:46">
      <c r="A659" s="31" t="s">
        <v>83</v>
      </c>
      <c r="C659" t="s">
        <v>1533</v>
      </c>
      <c r="D659" s="5" t="s">
        <v>57</v>
      </c>
      <c r="E659">
        <v>2035</v>
      </c>
      <c r="F659" s="6" t="str">
        <f t="shared" si="82"/>
        <v>*0.95</v>
      </c>
      <c r="H659" t="s">
        <v>1533</v>
      </c>
      <c r="I659" s="5" t="s">
        <v>57</v>
      </c>
      <c r="J659">
        <v>2050</v>
      </c>
      <c r="K659" s="38" t="str">
        <f t="shared" si="83"/>
        <v>*0.92</v>
      </c>
      <c r="P659" s="32" t="s">
        <v>1533</v>
      </c>
      <c r="Q659" s="42" t="s">
        <v>57</v>
      </c>
      <c r="R659" s="32">
        <v>2035</v>
      </c>
      <c r="S659" s="43" t="str">
        <f t="shared" si="84"/>
        <v>*0.95</v>
      </c>
      <c r="U659" s="32" t="s">
        <v>1533</v>
      </c>
      <c r="V659" s="42" t="s">
        <v>57</v>
      </c>
      <c r="W659" s="32">
        <v>2050</v>
      </c>
      <c r="X659" s="43" t="str">
        <f t="shared" si="85"/>
        <v>*0.92</v>
      </c>
      <c r="AC659" s="33" t="s">
        <v>1533</v>
      </c>
      <c r="AD659" s="44" t="s">
        <v>57</v>
      </c>
      <c r="AE659" s="33">
        <v>2035</v>
      </c>
      <c r="AF659" s="45" t="str">
        <f t="shared" si="86"/>
        <v>*0.93</v>
      </c>
      <c r="AG659" s="43" t="str">
        <f t="shared" si="88"/>
        <v>REZoning_Sol-Win</v>
      </c>
      <c r="AI659" s="33" t="s">
        <v>1533</v>
      </c>
      <c r="AJ659" s="44" t="s">
        <v>57</v>
      </c>
      <c r="AK659" s="33">
        <v>2050</v>
      </c>
      <c r="AL659" s="45" t="str">
        <f t="shared" si="87"/>
        <v>*0.89</v>
      </c>
      <c r="AM659" s="43" t="str">
        <f t="shared" si="89"/>
        <v>REZoning_Sol-Win</v>
      </c>
      <c r="AP659" t="s">
        <v>1533</v>
      </c>
      <c r="AQ659" t="s">
        <v>57</v>
      </c>
      <c r="AR659">
        <v>2100</v>
      </c>
      <c r="AS659" t="s">
        <v>937</v>
      </c>
      <c r="AT659" t="s">
        <v>58</v>
      </c>
    </row>
    <row r="660" ht="29" spans="1:46">
      <c r="A660" s="31" t="s">
        <v>83</v>
      </c>
      <c r="C660" t="s">
        <v>1534</v>
      </c>
      <c r="D660" s="5" t="s">
        <v>57</v>
      </c>
      <c r="E660">
        <v>2035</v>
      </c>
      <c r="F660" s="6" t="str">
        <f t="shared" si="82"/>
        <v>*0.95</v>
      </c>
      <c r="H660" t="s">
        <v>1534</v>
      </c>
      <c r="I660" s="5" t="s">
        <v>57</v>
      </c>
      <c r="J660">
        <v>2050</v>
      </c>
      <c r="K660" s="38" t="str">
        <f t="shared" si="83"/>
        <v>*0.92</v>
      </c>
      <c r="P660" s="32" t="s">
        <v>1534</v>
      </c>
      <c r="Q660" s="42" t="s">
        <v>57</v>
      </c>
      <c r="R660" s="32">
        <v>2035</v>
      </c>
      <c r="S660" s="43" t="str">
        <f t="shared" si="84"/>
        <v>*0.95</v>
      </c>
      <c r="U660" s="32" t="s">
        <v>1534</v>
      </c>
      <c r="V660" s="42" t="s">
        <v>57</v>
      </c>
      <c r="W660" s="32">
        <v>2050</v>
      </c>
      <c r="X660" s="43" t="str">
        <f t="shared" si="85"/>
        <v>*0.92</v>
      </c>
      <c r="AC660" s="33" t="s">
        <v>1534</v>
      </c>
      <c r="AD660" s="44" t="s">
        <v>57</v>
      </c>
      <c r="AE660" s="33">
        <v>2035</v>
      </c>
      <c r="AF660" s="45" t="str">
        <f t="shared" si="86"/>
        <v>*0.93</v>
      </c>
      <c r="AG660" s="43" t="str">
        <f t="shared" si="88"/>
        <v>REZoning_Sol-Win</v>
      </c>
      <c r="AI660" s="33" t="s">
        <v>1534</v>
      </c>
      <c r="AJ660" s="44" t="s">
        <v>57</v>
      </c>
      <c r="AK660" s="33">
        <v>2050</v>
      </c>
      <c r="AL660" s="45" t="str">
        <f t="shared" si="87"/>
        <v>*0.89</v>
      </c>
      <c r="AM660" s="43" t="str">
        <f t="shared" si="89"/>
        <v>REZoning_Sol-Win</v>
      </c>
      <c r="AP660" t="s">
        <v>1534</v>
      </c>
      <c r="AQ660" t="s">
        <v>57</v>
      </c>
      <c r="AR660">
        <v>2100</v>
      </c>
      <c r="AS660" t="s">
        <v>937</v>
      </c>
      <c r="AT660" t="s">
        <v>58</v>
      </c>
    </row>
    <row r="661" ht="29" spans="1:46">
      <c r="A661" s="31" t="s">
        <v>83</v>
      </c>
      <c r="C661" t="s">
        <v>1535</v>
      </c>
      <c r="D661" s="5" t="s">
        <v>57</v>
      </c>
      <c r="E661">
        <v>2035</v>
      </c>
      <c r="F661" s="6" t="str">
        <f t="shared" si="82"/>
        <v>*0.95</v>
      </c>
      <c r="H661" t="s">
        <v>1535</v>
      </c>
      <c r="I661" s="5" t="s">
        <v>57</v>
      </c>
      <c r="J661">
        <v>2050</v>
      </c>
      <c r="K661" s="38" t="str">
        <f t="shared" si="83"/>
        <v>*0.92</v>
      </c>
      <c r="P661" s="32" t="s">
        <v>1535</v>
      </c>
      <c r="Q661" s="42" t="s">
        <v>57</v>
      </c>
      <c r="R661" s="32">
        <v>2035</v>
      </c>
      <c r="S661" s="43" t="str">
        <f t="shared" si="84"/>
        <v>*0.95</v>
      </c>
      <c r="U661" s="32" t="s">
        <v>1535</v>
      </c>
      <c r="V661" s="42" t="s">
        <v>57</v>
      </c>
      <c r="W661" s="32">
        <v>2050</v>
      </c>
      <c r="X661" s="43" t="str">
        <f t="shared" si="85"/>
        <v>*0.92</v>
      </c>
      <c r="AC661" s="33" t="s">
        <v>1535</v>
      </c>
      <c r="AD661" s="44" t="s">
        <v>57</v>
      </c>
      <c r="AE661" s="33">
        <v>2035</v>
      </c>
      <c r="AF661" s="45" t="str">
        <f t="shared" si="86"/>
        <v>*0.93</v>
      </c>
      <c r="AG661" s="43" t="str">
        <f t="shared" si="88"/>
        <v>REZoning_Sol-Win</v>
      </c>
      <c r="AI661" s="33" t="s">
        <v>1535</v>
      </c>
      <c r="AJ661" s="44" t="s">
        <v>57</v>
      </c>
      <c r="AK661" s="33">
        <v>2050</v>
      </c>
      <c r="AL661" s="45" t="str">
        <f t="shared" si="87"/>
        <v>*0.89</v>
      </c>
      <c r="AM661" s="43" t="str">
        <f t="shared" si="89"/>
        <v>REZoning_Sol-Win</v>
      </c>
      <c r="AP661" t="s">
        <v>1535</v>
      </c>
      <c r="AQ661" t="s">
        <v>57</v>
      </c>
      <c r="AR661">
        <v>2100</v>
      </c>
      <c r="AS661" t="s">
        <v>937</v>
      </c>
      <c r="AT661" t="s">
        <v>58</v>
      </c>
    </row>
    <row r="662" ht="29" spans="1:46">
      <c r="A662" s="31" t="s">
        <v>83</v>
      </c>
      <c r="C662" t="s">
        <v>1536</v>
      </c>
      <c r="D662" s="5" t="s">
        <v>57</v>
      </c>
      <c r="E662">
        <v>2035</v>
      </c>
      <c r="F662" s="6" t="str">
        <f t="shared" si="82"/>
        <v>*0.95</v>
      </c>
      <c r="H662" t="s">
        <v>1536</v>
      </c>
      <c r="I662" s="5" t="s">
        <v>57</v>
      </c>
      <c r="J662">
        <v>2050</v>
      </c>
      <c r="K662" s="38" t="str">
        <f t="shared" si="83"/>
        <v>*0.92</v>
      </c>
      <c r="P662" s="32" t="s">
        <v>1536</v>
      </c>
      <c r="Q662" s="42" t="s">
        <v>57</v>
      </c>
      <c r="R662" s="32">
        <v>2035</v>
      </c>
      <c r="S662" s="43" t="str">
        <f t="shared" si="84"/>
        <v>*0.95</v>
      </c>
      <c r="U662" s="32" t="s">
        <v>1536</v>
      </c>
      <c r="V662" s="42" t="s">
        <v>57</v>
      </c>
      <c r="W662" s="32">
        <v>2050</v>
      </c>
      <c r="X662" s="43" t="str">
        <f t="shared" si="85"/>
        <v>*0.92</v>
      </c>
      <c r="AC662" s="33" t="s">
        <v>1536</v>
      </c>
      <c r="AD662" s="44" t="s">
        <v>57</v>
      </c>
      <c r="AE662" s="33">
        <v>2035</v>
      </c>
      <c r="AF662" s="45" t="str">
        <f t="shared" si="86"/>
        <v>*0.93</v>
      </c>
      <c r="AG662" s="43" t="str">
        <f t="shared" si="88"/>
        <v>REZoning_Sol-Win</v>
      </c>
      <c r="AI662" s="33" t="s">
        <v>1536</v>
      </c>
      <c r="AJ662" s="44" t="s">
        <v>57</v>
      </c>
      <c r="AK662" s="33">
        <v>2050</v>
      </c>
      <c r="AL662" s="45" t="str">
        <f t="shared" si="87"/>
        <v>*0.89</v>
      </c>
      <c r="AM662" s="43" t="str">
        <f t="shared" si="89"/>
        <v>REZoning_Sol-Win</v>
      </c>
      <c r="AP662" t="s">
        <v>1536</v>
      </c>
      <c r="AQ662" t="s">
        <v>57</v>
      </c>
      <c r="AR662">
        <v>2100</v>
      </c>
      <c r="AS662" t="s">
        <v>937</v>
      </c>
      <c r="AT662" t="s">
        <v>58</v>
      </c>
    </row>
    <row r="663" ht="29" spans="1:46">
      <c r="A663" s="31" t="s">
        <v>83</v>
      </c>
      <c r="C663" t="s">
        <v>1537</v>
      </c>
      <c r="D663" s="5" t="s">
        <v>57</v>
      </c>
      <c r="E663">
        <v>2035</v>
      </c>
      <c r="F663" s="6" t="str">
        <f t="shared" si="82"/>
        <v>*0.95</v>
      </c>
      <c r="H663" t="s">
        <v>1537</v>
      </c>
      <c r="I663" s="5" t="s">
        <v>57</v>
      </c>
      <c r="J663">
        <v>2050</v>
      </c>
      <c r="K663" s="38" t="str">
        <f t="shared" si="83"/>
        <v>*0.92</v>
      </c>
      <c r="P663" s="32" t="s">
        <v>1537</v>
      </c>
      <c r="Q663" s="42" t="s">
        <v>57</v>
      </c>
      <c r="R663" s="32">
        <v>2035</v>
      </c>
      <c r="S663" s="43" t="str">
        <f t="shared" si="84"/>
        <v>*0.95</v>
      </c>
      <c r="U663" s="32" t="s">
        <v>1537</v>
      </c>
      <c r="V663" s="42" t="s">
        <v>57</v>
      </c>
      <c r="W663" s="32">
        <v>2050</v>
      </c>
      <c r="X663" s="43" t="str">
        <f t="shared" si="85"/>
        <v>*0.92</v>
      </c>
      <c r="AC663" s="33" t="s">
        <v>1537</v>
      </c>
      <c r="AD663" s="44" t="s">
        <v>57</v>
      </c>
      <c r="AE663" s="33">
        <v>2035</v>
      </c>
      <c r="AF663" s="45" t="str">
        <f t="shared" si="86"/>
        <v>*0.93</v>
      </c>
      <c r="AG663" s="43" t="str">
        <f t="shared" si="88"/>
        <v>REZoning_Sol-Win</v>
      </c>
      <c r="AI663" s="33" t="s">
        <v>1537</v>
      </c>
      <c r="AJ663" s="44" t="s">
        <v>57</v>
      </c>
      <c r="AK663" s="33">
        <v>2050</v>
      </c>
      <c r="AL663" s="45" t="str">
        <f t="shared" si="87"/>
        <v>*0.89</v>
      </c>
      <c r="AM663" s="43" t="str">
        <f t="shared" si="89"/>
        <v>REZoning_Sol-Win</v>
      </c>
      <c r="AP663" t="s">
        <v>1537</v>
      </c>
      <c r="AQ663" t="s">
        <v>57</v>
      </c>
      <c r="AR663">
        <v>2100</v>
      </c>
      <c r="AS663" t="s">
        <v>937</v>
      </c>
      <c r="AT663" t="s">
        <v>58</v>
      </c>
    </row>
    <row r="664" ht="29" spans="1:46">
      <c r="A664" s="31" t="s">
        <v>83</v>
      </c>
      <c r="C664" t="s">
        <v>1538</v>
      </c>
      <c r="D664" s="5" t="s">
        <v>57</v>
      </c>
      <c r="E664">
        <v>2035</v>
      </c>
      <c r="F664" s="6" t="str">
        <f t="shared" si="82"/>
        <v>*0.95</v>
      </c>
      <c r="H664" t="s">
        <v>1538</v>
      </c>
      <c r="I664" s="5" t="s">
        <v>57</v>
      </c>
      <c r="J664">
        <v>2050</v>
      </c>
      <c r="K664" s="38" t="str">
        <f t="shared" si="83"/>
        <v>*0.92</v>
      </c>
      <c r="P664" s="32" t="s">
        <v>1538</v>
      </c>
      <c r="Q664" s="42" t="s">
        <v>57</v>
      </c>
      <c r="R664" s="32">
        <v>2035</v>
      </c>
      <c r="S664" s="43" t="str">
        <f t="shared" si="84"/>
        <v>*0.95</v>
      </c>
      <c r="U664" s="32" t="s">
        <v>1538</v>
      </c>
      <c r="V664" s="42" t="s">
        <v>57</v>
      </c>
      <c r="W664" s="32">
        <v>2050</v>
      </c>
      <c r="X664" s="43" t="str">
        <f t="shared" si="85"/>
        <v>*0.92</v>
      </c>
      <c r="AC664" s="33" t="s">
        <v>1538</v>
      </c>
      <c r="AD664" s="44" t="s">
        <v>57</v>
      </c>
      <c r="AE664" s="33">
        <v>2035</v>
      </c>
      <c r="AF664" s="45" t="str">
        <f t="shared" si="86"/>
        <v>*0.93</v>
      </c>
      <c r="AG664" s="43" t="str">
        <f t="shared" si="88"/>
        <v>REZoning_Sol-Win</v>
      </c>
      <c r="AI664" s="33" t="s">
        <v>1538</v>
      </c>
      <c r="AJ664" s="44" t="s">
        <v>57</v>
      </c>
      <c r="AK664" s="33">
        <v>2050</v>
      </c>
      <c r="AL664" s="45" t="str">
        <f t="shared" si="87"/>
        <v>*0.89</v>
      </c>
      <c r="AM664" s="43" t="str">
        <f t="shared" si="89"/>
        <v>REZoning_Sol-Win</v>
      </c>
      <c r="AP664" t="s">
        <v>1538</v>
      </c>
      <c r="AQ664" t="s">
        <v>57</v>
      </c>
      <c r="AR664">
        <v>2100</v>
      </c>
      <c r="AS664" t="s">
        <v>937</v>
      </c>
      <c r="AT664" t="s">
        <v>58</v>
      </c>
    </row>
    <row r="665" ht="29" spans="1:46">
      <c r="A665" s="31" t="s">
        <v>83</v>
      </c>
      <c r="C665" t="s">
        <v>1539</v>
      </c>
      <c r="D665" s="5" t="s">
        <v>57</v>
      </c>
      <c r="E665">
        <v>2035</v>
      </c>
      <c r="F665" s="6" t="str">
        <f t="shared" si="82"/>
        <v>*0.95</v>
      </c>
      <c r="H665" t="s">
        <v>1539</v>
      </c>
      <c r="I665" s="5" t="s">
        <v>57</v>
      </c>
      <c r="J665">
        <v>2050</v>
      </c>
      <c r="K665" s="38" t="str">
        <f t="shared" si="83"/>
        <v>*0.92</v>
      </c>
      <c r="P665" s="32" t="s">
        <v>1539</v>
      </c>
      <c r="Q665" s="42" t="s">
        <v>57</v>
      </c>
      <c r="R665" s="32">
        <v>2035</v>
      </c>
      <c r="S665" s="43" t="str">
        <f t="shared" si="84"/>
        <v>*0.95</v>
      </c>
      <c r="U665" s="32" t="s">
        <v>1539</v>
      </c>
      <c r="V665" s="42" t="s">
        <v>57</v>
      </c>
      <c r="W665" s="32">
        <v>2050</v>
      </c>
      <c r="X665" s="43" t="str">
        <f t="shared" si="85"/>
        <v>*0.92</v>
      </c>
      <c r="AC665" s="33" t="s">
        <v>1539</v>
      </c>
      <c r="AD665" s="44" t="s">
        <v>57</v>
      </c>
      <c r="AE665" s="33">
        <v>2035</v>
      </c>
      <c r="AF665" s="45" t="str">
        <f t="shared" si="86"/>
        <v>*0.93</v>
      </c>
      <c r="AG665" s="43" t="str">
        <f t="shared" si="88"/>
        <v>REZoning_Sol-Win</v>
      </c>
      <c r="AI665" s="33" t="s">
        <v>1539</v>
      </c>
      <c r="AJ665" s="44" t="s">
        <v>57</v>
      </c>
      <c r="AK665" s="33">
        <v>2050</v>
      </c>
      <c r="AL665" s="45" t="str">
        <f t="shared" si="87"/>
        <v>*0.89</v>
      </c>
      <c r="AM665" s="43" t="str">
        <f t="shared" si="89"/>
        <v>REZoning_Sol-Win</v>
      </c>
      <c r="AP665" t="s">
        <v>1539</v>
      </c>
      <c r="AQ665" t="s">
        <v>57</v>
      </c>
      <c r="AR665">
        <v>2100</v>
      </c>
      <c r="AS665" t="s">
        <v>937</v>
      </c>
      <c r="AT665" t="s">
        <v>58</v>
      </c>
    </row>
    <row r="666" ht="29" spans="1:46">
      <c r="A666" s="31" t="s">
        <v>83</v>
      </c>
      <c r="C666" t="s">
        <v>1540</v>
      </c>
      <c r="D666" s="5" t="s">
        <v>57</v>
      </c>
      <c r="E666">
        <v>2035</v>
      </c>
      <c r="F666" s="6" t="str">
        <f t="shared" si="82"/>
        <v>*0.95</v>
      </c>
      <c r="H666" t="s">
        <v>1540</v>
      </c>
      <c r="I666" s="5" t="s">
        <v>57</v>
      </c>
      <c r="J666">
        <v>2050</v>
      </c>
      <c r="K666" s="38" t="str">
        <f t="shared" si="83"/>
        <v>*0.92</v>
      </c>
      <c r="P666" s="32" t="s">
        <v>1540</v>
      </c>
      <c r="Q666" s="42" t="s">
        <v>57</v>
      </c>
      <c r="R666" s="32">
        <v>2035</v>
      </c>
      <c r="S666" s="43" t="str">
        <f t="shared" si="84"/>
        <v>*0.95</v>
      </c>
      <c r="U666" s="32" t="s">
        <v>1540</v>
      </c>
      <c r="V666" s="42" t="s">
        <v>57</v>
      </c>
      <c r="W666" s="32">
        <v>2050</v>
      </c>
      <c r="X666" s="43" t="str">
        <f t="shared" si="85"/>
        <v>*0.92</v>
      </c>
      <c r="AC666" s="33" t="s">
        <v>1540</v>
      </c>
      <c r="AD666" s="44" t="s">
        <v>57</v>
      </c>
      <c r="AE666" s="33">
        <v>2035</v>
      </c>
      <c r="AF666" s="45" t="str">
        <f t="shared" si="86"/>
        <v>*0.93</v>
      </c>
      <c r="AG666" s="43" t="str">
        <f t="shared" si="88"/>
        <v>REZoning_Sol-Win</v>
      </c>
      <c r="AI666" s="33" t="s">
        <v>1540</v>
      </c>
      <c r="AJ666" s="44" t="s">
        <v>57</v>
      </c>
      <c r="AK666" s="33">
        <v>2050</v>
      </c>
      <c r="AL666" s="45" t="str">
        <f t="shared" si="87"/>
        <v>*0.89</v>
      </c>
      <c r="AM666" s="43" t="str">
        <f t="shared" si="89"/>
        <v>REZoning_Sol-Win</v>
      </c>
      <c r="AP666" t="s">
        <v>1540</v>
      </c>
      <c r="AQ666" t="s">
        <v>57</v>
      </c>
      <c r="AR666">
        <v>2100</v>
      </c>
      <c r="AS666" t="s">
        <v>937</v>
      </c>
      <c r="AT666" t="s">
        <v>58</v>
      </c>
    </row>
    <row r="667" ht="29" spans="1:46">
      <c r="A667" s="31" t="s">
        <v>83</v>
      </c>
      <c r="C667" t="s">
        <v>1541</v>
      </c>
      <c r="D667" s="5" t="s">
        <v>57</v>
      </c>
      <c r="E667">
        <v>2035</v>
      </c>
      <c r="F667" s="6" t="str">
        <f t="shared" si="82"/>
        <v>*0.95</v>
      </c>
      <c r="H667" t="s">
        <v>1541</v>
      </c>
      <c r="I667" s="5" t="s">
        <v>57</v>
      </c>
      <c r="J667">
        <v>2050</v>
      </c>
      <c r="K667" s="38" t="str">
        <f t="shared" si="83"/>
        <v>*0.92</v>
      </c>
      <c r="P667" s="32" t="s">
        <v>1541</v>
      </c>
      <c r="Q667" s="42" t="s">
        <v>57</v>
      </c>
      <c r="R667" s="32">
        <v>2035</v>
      </c>
      <c r="S667" s="43" t="str">
        <f t="shared" si="84"/>
        <v>*0.95</v>
      </c>
      <c r="U667" s="32" t="s">
        <v>1541</v>
      </c>
      <c r="V667" s="42" t="s">
        <v>57</v>
      </c>
      <c r="W667" s="32">
        <v>2050</v>
      </c>
      <c r="X667" s="43" t="str">
        <f t="shared" si="85"/>
        <v>*0.92</v>
      </c>
      <c r="AC667" s="33" t="s">
        <v>1541</v>
      </c>
      <c r="AD667" s="44" t="s">
        <v>57</v>
      </c>
      <c r="AE667" s="33">
        <v>2035</v>
      </c>
      <c r="AF667" s="45" t="str">
        <f t="shared" si="86"/>
        <v>*0.93</v>
      </c>
      <c r="AG667" s="43" t="str">
        <f t="shared" si="88"/>
        <v>REZoning_Sol-Win</v>
      </c>
      <c r="AI667" s="33" t="s">
        <v>1541</v>
      </c>
      <c r="AJ667" s="44" t="s">
        <v>57</v>
      </c>
      <c r="AK667" s="33">
        <v>2050</v>
      </c>
      <c r="AL667" s="45" t="str">
        <f t="shared" si="87"/>
        <v>*0.89</v>
      </c>
      <c r="AM667" s="43" t="str">
        <f t="shared" si="89"/>
        <v>REZoning_Sol-Win</v>
      </c>
      <c r="AP667" t="s">
        <v>1541</v>
      </c>
      <c r="AQ667" t="s">
        <v>57</v>
      </c>
      <c r="AR667">
        <v>2100</v>
      </c>
      <c r="AS667" t="s">
        <v>937</v>
      </c>
      <c r="AT667" t="s">
        <v>58</v>
      </c>
    </row>
    <row r="668" ht="29" spans="1:46">
      <c r="A668" s="31" t="s">
        <v>79</v>
      </c>
      <c r="C668" t="s">
        <v>1542</v>
      </c>
      <c r="D668" s="5" t="s">
        <v>57</v>
      </c>
      <c r="E668">
        <v>2035</v>
      </c>
      <c r="F668" s="6" t="str">
        <f t="shared" si="82"/>
        <v>*0.94</v>
      </c>
      <c r="H668" t="s">
        <v>1542</v>
      </c>
      <c r="I668" s="5" t="s">
        <v>57</v>
      </c>
      <c r="J668">
        <v>2050</v>
      </c>
      <c r="K668" s="38" t="str">
        <f t="shared" si="83"/>
        <v>*0.9</v>
      </c>
      <c r="P668" s="32" t="s">
        <v>1542</v>
      </c>
      <c r="Q668" s="42" t="s">
        <v>57</v>
      </c>
      <c r="R668" s="32">
        <v>2035</v>
      </c>
      <c r="S668" s="43" t="str">
        <f t="shared" si="84"/>
        <v>*0.92</v>
      </c>
      <c r="U668" s="32" t="s">
        <v>1542</v>
      </c>
      <c r="V668" s="42" t="s">
        <v>57</v>
      </c>
      <c r="W668" s="32">
        <v>2050</v>
      </c>
      <c r="X668" s="43" t="str">
        <f t="shared" si="85"/>
        <v>*0.89</v>
      </c>
      <c r="AC668" s="33" t="s">
        <v>1542</v>
      </c>
      <c r="AD668" s="44" t="s">
        <v>57</v>
      </c>
      <c r="AE668" s="33">
        <v>2035</v>
      </c>
      <c r="AF668" s="45" t="str">
        <f t="shared" si="86"/>
        <v>*0.89</v>
      </c>
      <c r="AG668" s="43" t="str">
        <f t="shared" si="88"/>
        <v>REZoning_Sol-Win</v>
      </c>
      <c r="AI668" s="33" t="s">
        <v>1542</v>
      </c>
      <c r="AJ668" s="44" t="s">
        <v>57</v>
      </c>
      <c r="AK668" s="33">
        <v>2050</v>
      </c>
      <c r="AL668" s="45" t="str">
        <f t="shared" si="87"/>
        <v>*0.84</v>
      </c>
      <c r="AM668" s="43" t="str">
        <f t="shared" si="89"/>
        <v>REZoning_Sol-Win</v>
      </c>
      <c r="AP668" t="s">
        <v>1542</v>
      </c>
      <c r="AQ668" t="s">
        <v>57</v>
      </c>
      <c r="AR668">
        <v>2100</v>
      </c>
      <c r="AS668" t="s">
        <v>919</v>
      </c>
      <c r="AT668" t="s">
        <v>58</v>
      </c>
    </row>
    <row r="669" ht="29" spans="1:46">
      <c r="A669" s="31" t="s">
        <v>79</v>
      </c>
      <c r="C669" t="s">
        <v>1543</v>
      </c>
      <c r="D669" s="5" t="s">
        <v>57</v>
      </c>
      <c r="E669">
        <v>2035</v>
      </c>
      <c r="F669" s="6" t="str">
        <f t="shared" si="82"/>
        <v>*0.94</v>
      </c>
      <c r="H669" t="s">
        <v>1543</v>
      </c>
      <c r="I669" s="5" t="s">
        <v>57</v>
      </c>
      <c r="J669">
        <v>2050</v>
      </c>
      <c r="K669" s="38" t="str">
        <f t="shared" si="83"/>
        <v>*0.9</v>
      </c>
      <c r="P669" s="32" t="s">
        <v>1543</v>
      </c>
      <c r="Q669" s="42" t="s">
        <v>57</v>
      </c>
      <c r="R669" s="32">
        <v>2035</v>
      </c>
      <c r="S669" s="43" t="str">
        <f t="shared" si="84"/>
        <v>*0.92</v>
      </c>
      <c r="U669" s="32" t="s">
        <v>1543</v>
      </c>
      <c r="V669" s="42" t="s">
        <v>57</v>
      </c>
      <c r="W669" s="32">
        <v>2050</v>
      </c>
      <c r="X669" s="43" t="str">
        <f t="shared" si="85"/>
        <v>*0.89</v>
      </c>
      <c r="AC669" s="33" t="s">
        <v>1543</v>
      </c>
      <c r="AD669" s="44" t="s">
        <v>57</v>
      </c>
      <c r="AE669" s="33">
        <v>2035</v>
      </c>
      <c r="AF669" s="45" t="str">
        <f t="shared" si="86"/>
        <v>*0.89</v>
      </c>
      <c r="AG669" s="43" t="str">
        <f t="shared" si="88"/>
        <v>REZoning_Sol-Win</v>
      </c>
      <c r="AI669" s="33" t="s">
        <v>1543</v>
      </c>
      <c r="AJ669" s="44" t="s">
        <v>57</v>
      </c>
      <c r="AK669" s="33">
        <v>2050</v>
      </c>
      <c r="AL669" s="45" t="str">
        <f t="shared" si="87"/>
        <v>*0.84</v>
      </c>
      <c r="AM669" s="43" t="str">
        <f t="shared" si="89"/>
        <v>REZoning_Sol-Win</v>
      </c>
      <c r="AP669" t="s">
        <v>1543</v>
      </c>
      <c r="AQ669" t="s">
        <v>57</v>
      </c>
      <c r="AR669">
        <v>2100</v>
      </c>
      <c r="AS669" t="s">
        <v>919</v>
      </c>
      <c r="AT669" t="s">
        <v>58</v>
      </c>
    </row>
    <row r="670" ht="29" spans="1:46">
      <c r="A670" s="31" t="s">
        <v>79</v>
      </c>
      <c r="C670" t="s">
        <v>1544</v>
      </c>
      <c r="D670" s="5" t="s">
        <v>57</v>
      </c>
      <c r="E670">
        <v>2035</v>
      </c>
      <c r="F670" s="6" t="str">
        <f t="shared" si="82"/>
        <v>*0.94</v>
      </c>
      <c r="H670" t="s">
        <v>1544</v>
      </c>
      <c r="I670" s="5" t="s">
        <v>57</v>
      </c>
      <c r="J670">
        <v>2050</v>
      </c>
      <c r="K670" s="38" t="str">
        <f t="shared" si="83"/>
        <v>*0.9</v>
      </c>
      <c r="P670" s="32" t="s">
        <v>1544</v>
      </c>
      <c r="Q670" s="42" t="s">
        <v>57</v>
      </c>
      <c r="R670" s="32">
        <v>2035</v>
      </c>
      <c r="S670" s="43" t="str">
        <f t="shared" si="84"/>
        <v>*0.92</v>
      </c>
      <c r="U670" s="32" t="s">
        <v>1544</v>
      </c>
      <c r="V670" s="42" t="s">
        <v>57</v>
      </c>
      <c r="W670" s="32">
        <v>2050</v>
      </c>
      <c r="X670" s="43" t="str">
        <f t="shared" si="85"/>
        <v>*0.89</v>
      </c>
      <c r="AC670" s="33" t="s">
        <v>1544</v>
      </c>
      <c r="AD670" s="44" t="s">
        <v>57</v>
      </c>
      <c r="AE670" s="33">
        <v>2035</v>
      </c>
      <c r="AF670" s="45" t="str">
        <f t="shared" si="86"/>
        <v>*0.89</v>
      </c>
      <c r="AG670" s="43" t="str">
        <f t="shared" si="88"/>
        <v>REZoning_Sol-Win</v>
      </c>
      <c r="AI670" s="33" t="s">
        <v>1544</v>
      </c>
      <c r="AJ670" s="44" t="s">
        <v>57</v>
      </c>
      <c r="AK670" s="33">
        <v>2050</v>
      </c>
      <c r="AL670" s="45" t="str">
        <f t="shared" si="87"/>
        <v>*0.84</v>
      </c>
      <c r="AM670" s="43" t="str">
        <f t="shared" si="89"/>
        <v>REZoning_Sol-Win</v>
      </c>
      <c r="AP670" t="s">
        <v>1544</v>
      </c>
      <c r="AQ670" t="s">
        <v>57</v>
      </c>
      <c r="AR670">
        <v>2100</v>
      </c>
      <c r="AS670" t="s">
        <v>919</v>
      </c>
      <c r="AT670" t="s">
        <v>58</v>
      </c>
    </row>
    <row r="671" ht="29" spans="1:46">
      <c r="A671" s="31" t="s">
        <v>79</v>
      </c>
      <c r="C671" t="s">
        <v>1545</v>
      </c>
      <c r="D671" s="5" t="s">
        <v>57</v>
      </c>
      <c r="E671">
        <v>2035</v>
      </c>
      <c r="F671" s="6" t="str">
        <f t="shared" si="82"/>
        <v>*0.94</v>
      </c>
      <c r="H671" t="s">
        <v>1545</v>
      </c>
      <c r="I671" s="5" t="s">
        <v>57</v>
      </c>
      <c r="J671">
        <v>2050</v>
      </c>
      <c r="K671" s="38" t="str">
        <f t="shared" si="83"/>
        <v>*0.9</v>
      </c>
      <c r="P671" s="32" t="s">
        <v>1545</v>
      </c>
      <c r="Q671" s="42" t="s">
        <v>57</v>
      </c>
      <c r="R671" s="32">
        <v>2035</v>
      </c>
      <c r="S671" s="43" t="str">
        <f t="shared" si="84"/>
        <v>*0.92</v>
      </c>
      <c r="U671" s="32" t="s">
        <v>1545</v>
      </c>
      <c r="V671" s="42" t="s">
        <v>57</v>
      </c>
      <c r="W671" s="32">
        <v>2050</v>
      </c>
      <c r="X671" s="43" t="str">
        <f t="shared" si="85"/>
        <v>*0.89</v>
      </c>
      <c r="AC671" s="33" t="s">
        <v>1545</v>
      </c>
      <c r="AD671" s="44" t="s">
        <v>57</v>
      </c>
      <c r="AE671" s="33">
        <v>2035</v>
      </c>
      <c r="AF671" s="45" t="str">
        <f t="shared" si="86"/>
        <v>*0.89</v>
      </c>
      <c r="AG671" s="43" t="str">
        <f t="shared" si="88"/>
        <v>REZoning_Sol-Win</v>
      </c>
      <c r="AI671" s="33" t="s">
        <v>1545</v>
      </c>
      <c r="AJ671" s="44" t="s">
        <v>57</v>
      </c>
      <c r="AK671" s="33">
        <v>2050</v>
      </c>
      <c r="AL671" s="45" t="str">
        <f t="shared" si="87"/>
        <v>*0.84</v>
      </c>
      <c r="AM671" s="43" t="str">
        <f t="shared" si="89"/>
        <v>REZoning_Sol-Win</v>
      </c>
      <c r="AP671" t="s">
        <v>1545</v>
      </c>
      <c r="AQ671" t="s">
        <v>57</v>
      </c>
      <c r="AR671">
        <v>2100</v>
      </c>
      <c r="AS671" t="s">
        <v>919</v>
      </c>
      <c r="AT671" t="s">
        <v>58</v>
      </c>
    </row>
    <row r="672" ht="29" spans="1:46">
      <c r="A672" s="31" t="s">
        <v>79</v>
      </c>
      <c r="C672" t="s">
        <v>1546</v>
      </c>
      <c r="D672" s="5" t="s">
        <v>57</v>
      </c>
      <c r="E672">
        <v>2035</v>
      </c>
      <c r="F672" s="6" t="str">
        <f t="shared" si="82"/>
        <v>*0.94</v>
      </c>
      <c r="H672" t="s">
        <v>1546</v>
      </c>
      <c r="I672" s="5" t="s">
        <v>57</v>
      </c>
      <c r="J672">
        <v>2050</v>
      </c>
      <c r="K672" s="38" t="str">
        <f t="shared" si="83"/>
        <v>*0.9</v>
      </c>
      <c r="P672" s="32" t="s">
        <v>1546</v>
      </c>
      <c r="Q672" s="42" t="s">
        <v>57</v>
      </c>
      <c r="R672" s="32">
        <v>2035</v>
      </c>
      <c r="S672" s="43" t="str">
        <f t="shared" si="84"/>
        <v>*0.92</v>
      </c>
      <c r="U672" s="32" t="s">
        <v>1546</v>
      </c>
      <c r="V672" s="42" t="s">
        <v>57</v>
      </c>
      <c r="W672" s="32">
        <v>2050</v>
      </c>
      <c r="X672" s="43" t="str">
        <f t="shared" si="85"/>
        <v>*0.89</v>
      </c>
      <c r="AC672" s="33" t="s">
        <v>1546</v>
      </c>
      <c r="AD672" s="44" t="s">
        <v>57</v>
      </c>
      <c r="AE672" s="33">
        <v>2035</v>
      </c>
      <c r="AF672" s="45" t="str">
        <f t="shared" si="86"/>
        <v>*0.89</v>
      </c>
      <c r="AG672" s="43" t="str">
        <f t="shared" si="88"/>
        <v>REZoning_Sol-Win</v>
      </c>
      <c r="AI672" s="33" t="s">
        <v>1546</v>
      </c>
      <c r="AJ672" s="44" t="s">
        <v>57</v>
      </c>
      <c r="AK672" s="33">
        <v>2050</v>
      </c>
      <c r="AL672" s="45" t="str">
        <f t="shared" si="87"/>
        <v>*0.84</v>
      </c>
      <c r="AM672" s="43" t="str">
        <f t="shared" si="89"/>
        <v>REZoning_Sol-Win</v>
      </c>
      <c r="AP672" t="s">
        <v>1546</v>
      </c>
      <c r="AQ672" t="s">
        <v>57</v>
      </c>
      <c r="AR672">
        <v>2100</v>
      </c>
      <c r="AS672" t="s">
        <v>919</v>
      </c>
      <c r="AT672" t="s">
        <v>58</v>
      </c>
    </row>
    <row r="673" ht="29" spans="1:46">
      <c r="A673" s="31" t="s">
        <v>79</v>
      </c>
      <c r="C673" t="s">
        <v>1547</v>
      </c>
      <c r="D673" s="5" t="s">
        <v>57</v>
      </c>
      <c r="E673">
        <v>2035</v>
      </c>
      <c r="F673" s="6" t="str">
        <f t="shared" si="82"/>
        <v>*0.94</v>
      </c>
      <c r="H673" t="s">
        <v>1547</v>
      </c>
      <c r="I673" s="5" t="s">
        <v>57</v>
      </c>
      <c r="J673">
        <v>2050</v>
      </c>
      <c r="K673" s="38" t="str">
        <f t="shared" si="83"/>
        <v>*0.9</v>
      </c>
      <c r="P673" s="32" t="s">
        <v>1547</v>
      </c>
      <c r="Q673" s="42" t="s">
        <v>57</v>
      </c>
      <c r="R673" s="32">
        <v>2035</v>
      </c>
      <c r="S673" s="43" t="str">
        <f t="shared" si="84"/>
        <v>*0.92</v>
      </c>
      <c r="U673" s="32" t="s">
        <v>1547</v>
      </c>
      <c r="V673" s="42" t="s">
        <v>57</v>
      </c>
      <c r="W673" s="32">
        <v>2050</v>
      </c>
      <c r="X673" s="43" t="str">
        <f t="shared" si="85"/>
        <v>*0.89</v>
      </c>
      <c r="AC673" s="33" t="s">
        <v>1547</v>
      </c>
      <c r="AD673" s="44" t="s">
        <v>57</v>
      </c>
      <c r="AE673" s="33">
        <v>2035</v>
      </c>
      <c r="AF673" s="45" t="str">
        <f t="shared" si="86"/>
        <v>*0.89</v>
      </c>
      <c r="AG673" s="43" t="str">
        <f t="shared" si="88"/>
        <v>REZoning_Sol-Win</v>
      </c>
      <c r="AI673" s="33" t="s">
        <v>1547</v>
      </c>
      <c r="AJ673" s="44" t="s">
        <v>57</v>
      </c>
      <c r="AK673" s="33">
        <v>2050</v>
      </c>
      <c r="AL673" s="45" t="str">
        <f t="shared" si="87"/>
        <v>*0.84</v>
      </c>
      <c r="AM673" s="43" t="str">
        <f t="shared" si="89"/>
        <v>REZoning_Sol-Win</v>
      </c>
      <c r="AP673" t="s">
        <v>1547</v>
      </c>
      <c r="AQ673" t="s">
        <v>57</v>
      </c>
      <c r="AR673">
        <v>2100</v>
      </c>
      <c r="AS673" t="s">
        <v>919</v>
      </c>
      <c r="AT673" t="s">
        <v>58</v>
      </c>
    </row>
    <row r="674" ht="29" spans="1:46">
      <c r="A674" s="31" t="s">
        <v>79</v>
      </c>
      <c r="C674" t="s">
        <v>1548</v>
      </c>
      <c r="D674" s="5" t="s">
        <v>57</v>
      </c>
      <c r="E674">
        <v>2035</v>
      </c>
      <c r="F674" s="6" t="str">
        <f t="shared" si="82"/>
        <v>*0.94</v>
      </c>
      <c r="H674" t="s">
        <v>1548</v>
      </c>
      <c r="I674" s="5" t="s">
        <v>57</v>
      </c>
      <c r="J674">
        <v>2050</v>
      </c>
      <c r="K674" s="38" t="str">
        <f t="shared" si="83"/>
        <v>*0.9</v>
      </c>
      <c r="P674" s="32" t="s">
        <v>1548</v>
      </c>
      <c r="Q674" s="42" t="s">
        <v>57</v>
      </c>
      <c r="R674" s="32">
        <v>2035</v>
      </c>
      <c r="S674" s="43" t="str">
        <f t="shared" si="84"/>
        <v>*0.92</v>
      </c>
      <c r="U674" s="32" t="s">
        <v>1548</v>
      </c>
      <c r="V674" s="42" t="s">
        <v>57</v>
      </c>
      <c r="W674" s="32">
        <v>2050</v>
      </c>
      <c r="X674" s="43" t="str">
        <f t="shared" si="85"/>
        <v>*0.89</v>
      </c>
      <c r="AC674" s="33" t="s">
        <v>1548</v>
      </c>
      <c r="AD674" s="44" t="s">
        <v>57</v>
      </c>
      <c r="AE674" s="33">
        <v>2035</v>
      </c>
      <c r="AF674" s="45" t="str">
        <f t="shared" si="86"/>
        <v>*0.89</v>
      </c>
      <c r="AG674" s="43" t="str">
        <f t="shared" si="88"/>
        <v>REZoning_Sol-Win</v>
      </c>
      <c r="AI674" s="33" t="s">
        <v>1548</v>
      </c>
      <c r="AJ674" s="44" t="s">
        <v>57</v>
      </c>
      <c r="AK674" s="33">
        <v>2050</v>
      </c>
      <c r="AL674" s="45" t="str">
        <f t="shared" si="87"/>
        <v>*0.84</v>
      </c>
      <c r="AM674" s="43" t="str">
        <f t="shared" si="89"/>
        <v>REZoning_Sol-Win</v>
      </c>
      <c r="AP674" t="s">
        <v>1548</v>
      </c>
      <c r="AQ674" t="s">
        <v>57</v>
      </c>
      <c r="AR674">
        <v>2100</v>
      </c>
      <c r="AS674" t="s">
        <v>919</v>
      </c>
      <c r="AT674" t="s">
        <v>58</v>
      </c>
    </row>
    <row r="675" ht="29" spans="1:46">
      <c r="A675" s="31" t="s">
        <v>79</v>
      </c>
      <c r="C675" t="s">
        <v>1549</v>
      </c>
      <c r="D675" s="5" t="s">
        <v>57</v>
      </c>
      <c r="E675">
        <v>2035</v>
      </c>
      <c r="F675" s="6" t="str">
        <f t="shared" si="82"/>
        <v>*0.94</v>
      </c>
      <c r="H675" t="s">
        <v>1549</v>
      </c>
      <c r="I675" s="5" t="s">
        <v>57</v>
      </c>
      <c r="J675">
        <v>2050</v>
      </c>
      <c r="K675" s="38" t="str">
        <f t="shared" si="83"/>
        <v>*0.9</v>
      </c>
      <c r="P675" s="32" t="s">
        <v>1549</v>
      </c>
      <c r="Q675" s="42" t="s">
        <v>57</v>
      </c>
      <c r="R675" s="32">
        <v>2035</v>
      </c>
      <c r="S675" s="43" t="str">
        <f t="shared" si="84"/>
        <v>*0.92</v>
      </c>
      <c r="U675" s="32" t="s">
        <v>1549</v>
      </c>
      <c r="V675" s="42" t="s">
        <v>57</v>
      </c>
      <c r="W675" s="32">
        <v>2050</v>
      </c>
      <c r="X675" s="43" t="str">
        <f t="shared" si="85"/>
        <v>*0.89</v>
      </c>
      <c r="AC675" s="33" t="s">
        <v>1549</v>
      </c>
      <c r="AD675" s="44" t="s">
        <v>57</v>
      </c>
      <c r="AE675" s="33">
        <v>2035</v>
      </c>
      <c r="AF675" s="45" t="str">
        <f t="shared" si="86"/>
        <v>*0.89</v>
      </c>
      <c r="AG675" s="43" t="str">
        <f t="shared" si="88"/>
        <v>REZoning_Sol-Win</v>
      </c>
      <c r="AI675" s="33" t="s">
        <v>1549</v>
      </c>
      <c r="AJ675" s="44" t="s">
        <v>57</v>
      </c>
      <c r="AK675" s="33">
        <v>2050</v>
      </c>
      <c r="AL675" s="45" t="str">
        <f t="shared" si="87"/>
        <v>*0.84</v>
      </c>
      <c r="AM675" s="43" t="str">
        <f t="shared" si="89"/>
        <v>REZoning_Sol-Win</v>
      </c>
      <c r="AP675" t="s">
        <v>1549</v>
      </c>
      <c r="AQ675" t="s">
        <v>57</v>
      </c>
      <c r="AR675">
        <v>2100</v>
      </c>
      <c r="AS675" t="s">
        <v>919</v>
      </c>
      <c r="AT675" t="s">
        <v>58</v>
      </c>
    </row>
    <row r="676" ht="29" spans="1:46">
      <c r="A676" s="31" t="s">
        <v>79</v>
      </c>
      <c r="C676" t="s">
        <v>1550</v>
      </c>
      <c r="D676" s="5" t="s">
        <v>57</v>
      </c>
      <c r="E676">
        <v>2035</v>
      </c>
      <c r="F676" s="6" t="str">
        <f t="shared" si="82"/>
        <v>*0.94</v>
      </c>
      <c r="H676" t="s">
        <v>1550</v>
      </c>
      <c r="I676" s="5" t="s">
        <v>57</v>
      </c>
      <c r="J676">
        <v>2050</v>
      </c>
      <c r="K676" s="38" t="str">
        <f t="shared" si="83"/>
        <v>*0.9</v>
      </c>
      <c r="P676" s="32" t="s">
        <v>1550</v>
      </c>
      <c r="Q676" s="42" t="s">
        <v>57</v>
      </c>
      <c r="R676" s="32">
        <v>2035</v>
      </c>
      <c r="S676" s="43" t="str">
        <f t="shared" si="84"/>
        <v>*0.92</v>
      </c>
      <c r="U676" s="32" t="s">
        <v>1550</v>
      </c>
      <c r="V676" s="42" t="s">
        <v>57</v>
      </c>
      <c r="W676" s="32">
        <v>2050</v>
      </c>
      <c r="X676" s="43" t="str">
        <f t="shared" si="85"/>
        <v>*0.89</v>
      </c>
      <c r="AC676" s="33" t="s">
        <v>1550</v>
      </c>
      <c r="AD676" s="44" t="s">
        <v>57</v>
      </c>
      <c r="AE676" s="33">
        <v>2035</v>
      </c>
      <c r="AF676" s="45" t="str">
        <f t="shared" si="86"/>
        <v>*0.89</v>
      </c>
      <c r="AG676" s="43" t="str">
        <f t="shared" si="88"/>
        <v>REZoning_Sol-Win</v>
      </c>
      <c r="AI676" s="33" t="s">
        <v>1550</v>
      </c>
      <c r="AJ676" s="44" t="s">
        <v>57</v>
      </c>
      <c r="AK676" s="33">
        <v>2050</v>
      </c>
      <c r="AL676" s="45" t="str">
        <f t="shared" si="87"/>
        <v>*0.84</v>
      </c>
      <c r="AM676" s="43" t="str">
        <f t="shared" si="89"/>
        <v>REZoning_Sol-Win</v>
      </c>
      <c r="AP676" t="s">
        <v>1550</v>
      </c>
      <c r="AQ676" t="s">
        <v>57</v>
      </c>
      <c r="AR676">
        <v>2100</v>
      </c>
      <c r="AS676" t="s">
        <v>919</v>
      </c>
      <c r="AT676" t="s">
        <v>58</v>
      </c>
    </row>
    <row r="677" ht="29" spans="1:46">
      <c r="A677" s="31" t="s">
        <v>79</v>
      </c>
      <c r="C677" t="s">
        <v>1551</v>
      </c>
      <c r="D677" s="5" t="s">
        <v>57</v>
      </c>
      <c r="E677">
        <v>2035</v>
      </c>
      <c r="F677" s="6" t="str">
        <f t="shared" si="82"/>
        <v>*0.94</v>
      </c>
      <c r="H677" t="s">
        <v>1551</v>
      </c>
      <c r="I677" s="5" t="s">
        <v>57</v>
      </c>
      <c r="J677">
        <v>2050</v>
      </c>
      <c r="K677" s="38" t="str">
        <f t="shared" si="83"/>
        <v>*0.9</v>
      </c>
      <c r="P677" s="32" t="s">
        <v>1551</v>
      </c>
      <c r="Q677" s="42" t="s">
        <v>57</v>
      </c>
      <c r="R677" s="32">
        <v>2035</v>
      </c>
      <c r="S677" s="43" t="str">
        <f t="shared" si="84"/>
        <v>*0.92</v>
      </c>
      <c r="U677" s="32" t="s">
        <v>1551</v>
      </c>
      <c r="V677" s="42" t="s">
        <v>57</v>
      </c>
      <c r="W677" s="32">
        <v>2050</v>
      </c>
      <c r="X677" s="43" t="str">
        <f t="shared" si="85"/>
        <v>*0.89</v>
      </c>
      <c r="AC677" s="33" t="s">
        <v>1551</v>
      </c>
      <c r="AD677" s="44" t="s">
        <v>57</v>
      </c>
      <c r="AE677" s="33">
        <v>2035</v>
      </c>
      <c r="AF677" s="45" t="str">
        <f t="shared" si="86"/>
        <v>*0.89</v>
      </c>
      <c r="AG677" s="43" t="str">
        <f t="shared" si="88"/>
        <v>REZoning_Sol-Win</v>
      </c>
      <c r="AI677" s="33" t="s">
        <v>1551</v>
      </c>
      <c r="AJ677" s="44" t="s">
        <v>57</v>
      </c>
      <c r="AK677" s="33">
        <v>2050</v>
      </c>
      <c r="AL677" s="45" t="str">
        <f t="shared" si="87"/>
        <v>*0.84</v>
      </c>
      <c r="AM677" s="43" t="str">
        <f t="shared" si="89"/>
        <v>REZoning_Sol-Win</v>
      </c>
      <c r="AP677" t="s">
        <v>1551</v>
      </c>
      <c r="AQ677" t="s">
        <v>57</v>
      </c>
      <c r="AR677">
        <v>2100</v>
      </c>
      <c r="AS677" t="s">
        <v>919</v>
      </c>
      <c r="AT677" t="s">
        <v>58</v>
      </c>
    </row>
    <row r="678" ht="29" spans="1:46">
      <c r="A678" s="31" t="s">
        <v>79</v>
      </c>
      <c r="C678" t="s">
        <v>1552</v>
      </c>
      <c r="D678" s="5" t="s">
        <v>57</v>
      </c>
      <c r="E678">
        <v>2035</v>
      </c>
      <c r="F678" s="6" t="str">
        <f t="shared" si="82"/>
        <v>*0.94</v>
      </c>
      <c r="H678" t="s">
        <v>1552</v>
      </c>
      <c r="I678" s="5" t="s">
        <v>57</v>
      </c>
      <c r="J678">
        <v>2050</v>
      </c>
      <c r="K678" s="38" t="str">
        <f t="shared" si="83"/>
        <v>*0.9</v>
      </c>
      <c r="P678" s="32" t="s">
        <v>1552</v>
      </c>
      <c r="Q678" s="42" t="s">
        <v>57</v>
      </c>
      <c r="R678" s="32">
        <v>2035</v>
      </c>
      <c r="S678" s="43" t="str">
        <f t="shared" si="84"/>
        <v>*0.92</v>
      </c>
      <c r="U678" s="32" t="s">
        <v>1552</v>
      </c>
      <c r="V678" s="42" t="s">
        <v>57</v>
      </c>
      <c r="W678" s="32">
        <v>2050</v>
      </c>
      <c r="X678" s="43" t="str">
        <f t="shared" si="85"/>
        <v>*0.89</v>
      </c>
      <c r="AC678" s="33" t="s">
        <v>1552</v>
      </c>
      <c r="AD678" s="44" t="s">
        <v>57</v>
      </c>
      <c r="AE678" s="33">
        <v>2035</v>
      </c>
      <c r="AF678" s="45" t="str">
        <f t="shared" si="86"/>
        <v>*0.89</v>
      </c>
      <c r="AG678" s="43" t="str">
        <f t="shared" si="88"/>
        <v>REZoning_Sol-Win</v>
      </c>
      <c r="AI678" s="33" t="s">
        <v>1552</v>
      </c>
      <c r="AJ678" s="44" t="s">
        <v>57</v>
      </c>
      <c r="AK678" s="33">
        <v>2050</v>
      </c>
      <c r="AL678" s="45" t="str">
        <f t="shared" si="87"/>
        <v>*0.84</v>
      </c>
      <c r="AM678" s="43" t="str">
        <f t="shared" si="89"/>
        <v>REZoning_Sol-Win</v>
      </c>
      <c r="AP678" t="s">
        <v>1552</v>
      </c>
      <c r="AQ678" t="s">
        <v>57</v>
      </c>
      <c r="AR678">
        <v>2100</v>
      </c>
      <c r="AS678" t="s">
        <v>919</v>
      </c>
      <c r="AT678" t="s">
        <v>58</v>
      </c>
    </row>
    <row r="679" ht="29" spans="1:46">
      <c r="A679" s="31" t="s">
        <v>83</v>
      </c>
      <c r="C679" t="s">
        <v>1553</v>
      </c>
      <c r="D679" s="5" t="s">
        <v>57</v>
      </c>
      <c r="E679">
        <v>2035</v>
      </c>
      <c r="F679" s="6" t="str">
        <f t="shared" si="82"/>
        <v>*0.95</v>
      </c>
      <c r="H679" t="s">
        <v>1553</v>
      </c>
      <c r="I679" s="5" t="s">
        <v>57</v>
      </c>
      <c r="J679">
        <v>2050</v>
      </c>
      <c r="K679" s="38" t="str">
        <f t="shared" si="83"/>
        <v>*0.92</v>
      </c>
      <c r="P679" s="32" t="s">
        <v>1553</v>
      </c>
      <c r="Q679" s="42" t="s">
        <v>57</v>
      </c>
      <c r="R679" s="32">
        <v>2035</v>
      </c>
      <c r="S679" s="43" t="str">
        <f t="shared" si="84"/>
        <v>*0.95</v>
      </c>
      <c r="U679" s="32" t="s">
        <v>1553</v>
      </c>
      <c r="V679" s="42" t="s">
        <v>57</v>
      </c>
      <c r="W679" s="32">
        <v>2050</v>
      </c>
      <c r="X679" s="43" t="str">
        <f t="shared" si="85"/>
        <v>*0.92</v>
      </c>
      <c r="AC679" s="33" t="s">
        <v>1553</v>
      </c>
      <c r="AD679" s="44" t="s">
        <v>57</v>
      </c>
      <c r="AE679" s="33">
        <v>2035</v>
      </c>
      <c r="AF679" s="45" t="str">
        <f t="shared" si="86"/>
        <v>*0.93</v>
      </c>
      <c r="AG679" s="43" t="str">
        <f t="shared" si="88"/>
        <v>REZoning_Sol-Win</v>
      </c>
      <c r="AI679" s="33" t="s">
        <v>1553</v>
      </c>
      <c r="AJ679" s="44" t="s">
        <v>57</v>
      </c>
      <c r="AK679" s="33">
        <v>2050</v>
      </c>
      <c r="AL679" s="45" t="str">
        <f t="shared" si="87"/>
        <v>*0.89</v>
      </c>
      <c r="AM679" s="43" t="str">
        <f t="shared" si="89"/>
        <v>REZoning_Sol-Win</v>
      </c>
      <c r="AP679" t="s">
        <v>1553</v>
      </c>
      <c r="AQ679" t="s">
        <v>57</v>
      </c>
      <c r="AR679">
        <v>2100</v>
      </c>
      <c r="AS679" t="s">
        <v>937</v>
      </c>
      <c r="AT679" t="s">
        <v>58</v>
      </c>
    </row>
    <row r="680" ht="29" spans="1:46">
      <c r="A680" s="31" t="s">
        <v>83</v>
      </c>
      <c r="C680" t="s">
        <v>1554</v>
      </c>
      <c r="D680" s="5" t="s">
        <v>57</v>
      </c>
      <c r="E680">
        <v>2035</v>
      </c>
      <c r="F680" s="6" t="str">
        <f t="shared" si="82"/>
        <v>*0.95</v>
      </c>
      <c r="H680" t="s">
        <v>1554</v>
      </c>
      <c r="I680" s="5" t="s">
        <v>57</v>
      </c>
      <c r="J680">
        <v>2050</v>
      </c>
      <c r="K680" s="38" t="str">
        <f t="shared" si="83"/>
        <v>*0.92</v>
      </c>
      <c r="P680" s="32" t="s">
        <v>1554</v>
      </c>
      <c r="Q680" s="42" t="s">
        <v>57</v>
      </c>
      <c r="R680" s="32">
        <v>2035</v>
      </c>
      <c r="S680" s="43" t="str">
        <f t="shared" si="84"/>
        <v>*0.95</v>
      </c>
      <c r="U680" s="32" t="s">
        <v>1554</v>
      </c>
      <c r="V680" s="42" t="s">
        <v>57</v>
      </c>
      <c r="W680" s="32">
        <v>2050</v>
      </c>
      <c r="X680" s="43" t="str">
        <f t="shared" si="85"/>
        <v>*0.92</v>
      </c>
      <c r="AC680" s="33" t="s">
        <v>1554</v>
      </c>
      <c r="AD680" s="44" t="s">
        <v>57</v>
      </c>
      <c r="AE680" s="33">
        <v>2035</v>
      </c>
      <c r="AF680" s="45" t="str">
        <f t="shared" si="86"/>
        <v>*0.93</v>
      </c>
      <c r="AG680" s="43" t="str">
        <f t="shared" si="88"/>
        <v>REZoning_Sol-Win</v>
      </c>
      <c r="AI680" s="33" t="s">
        <v>1554</v>
      </c>
      <c r="AJ680" s="44" t="s">
        <v>57</v>
      </c>
      <c r="AK680" s="33">
        <v>2050</v>
      </c>
      <c r="AL680" s="45" t="str">
        <f t="shared" si="87"/>
        <v>*0.89</v>
      </c>
      <c r="AM680" s="43" t="str">
        <f t="shared" si="89"/>
        <v>REZoning_Sol-Win</v>
      </c>
      <c r="AP680" t="s">
        <v>1554</v>
      </c>
      <c r="AQ680" t="s">
        <v>57</v>
      </c>
      <c r="AR680">
        <v>2100</v>
      </c>
      <c r="AS680" t="s">
        <v>937</v>
      </c>
      <c r="AT680" t="s">
        <v>58</v>
      </c>
    </row>
    <row r="681" ht="29" spans="1:46">
      <c r="A681" s="31" t="s">
        <v>83</v>
      </c>
      <c r="C681" t="s">
        <v>1555</v>
      </c>
      <c r="D681" s="5" t="s">
        <v>57</v>
      </c>
      <c r="E681">
        <v>2035</v>
      </c>
      <c r="F681" s="6" t="str">
        <f t="shared" si="82"/>
        <v>*0.95</v>
      </c>
      <c r="H681" t="s">
        <v>1555</v>
      </c>
      <c r="I681" s="5" t="s">
        <v>57</v>
      </c>
      <c r="J681">
        <v>2050</v>
      </c>
      <c r="K681" s="38" t="str">
        <f t="shared" si="83"/>
        <v>*0.92</v>
      </c>
      <c r="P681" s="32" t="s">
        <v>1555</v>
      </c>
      <c r="Q681" s="42" t="s">
        <v>57</v>
      </c>
      <c r="R681" s="32">
        <v>2035</v>
      </c>
      <c r="S681" s="43" t="str">
        <f t="shared" si="84"/>
        <v>*0.95</v>
      </c>
      <c r="U681" s="32" t="s">
        <v>1555</v>
      </c>
      <c r="V681" s="42" t="s">
        <v>57</v>
      </c>
      <c r="W681" s="32">
        <v>2050</v>
      </c>
      <c r="X681" s="43" t="str">
        <f t="shared" si="85"/>
        <v>*0.92</v>
      </c>
      <c r="AC681" s="33" t="s">
        <v>1555</v>
      </c>
      <c r="AD681" s="44" t="s">
        <v>57</v>
      </c>
      <c r="AE681" s="33">
        <v>2035</v>
      </c>
      <c r="AF681" s="45" t="str">
        <f t="shared" si="86"/>
        <v>*0.93</v>
      </c>
      <c r="AG681" s="43" t="str">
        <f t="shared" si="88"/>
        <v>REZoning_Sol-Win</v>
      </c>
      <c r="AI681" s="33" t="s">
        <v>1555</v>
      </c>
      <c r="AJ681" s="44" t="s">
        <v>57</v>
      </c>
      <c r="AK681" s="33">
        <v>2050</v>
      </c>
      <c r="AL681" s="45" t="str">
        <f t="shared" si="87"/>
        <v>*0.89</v>
      </c>
      <c r="AM681" s="43" t="str">
        <f t="shared" si="89"/>
        <v>REZoning_Sol-Win</v>
      </c>
      <c r="AP681" t="s">
        <v>1555</v>
      </c>
      <c r="AQ681" t="s">
        <v>57</v>
      </c>
      <c r="AR681">
        <v>2100</v>
      </c>
      <c r="AS681" t="s">
        <v>937</v>
      </c>
      <c r="AT681" t="s">
        <v>58</v>
      </c>
    </row>
    <row r="682" ht="29" spans="1:46">
      <c r="A682" s="31" t="s">
        <v>83</v>
      </c>
      <c r="C682" t="s">
        <v>1556</v>
      </c>
      <c r="D682" s="5" t="s">
        <v>57</v>
      </c>
      <c r="E682">
        <v>2035</v>
      </c>
      <c r="F682" s="6" t="str">
        <f t="shared" si="82"/>
        <v>*0.95</v>
      </c>
      <c r="H682" t="s">
        <v>1556</v>
      </c>
      <c r="I682" s="5" t="s">
        <v>57</v>
      </c>
      <c r="J682">
        <v>2050</v>
      </c>
      <c r="K682" s="38" t="str">
        <f t="shared" si="83"/>
        <v>*0.92</v>
      </c>
      <c r="P682" s="32" t="s">
        <v>1556</v>
      </c>
      <c r="Q682" s="42" t="s">
        <v>57</v>
      </c>
      <c r="R682" s="32">
        <v>2035</v>
      </c>
      <c r="S682" s="43" t="str">
        <f t="shared" si="84"/>
        <v>*0.95</v>
      </c>
      <c r="U682" s="32" t="s">
        <v>1556</v>
      </c>
      <c r="V682" s="42" t="s">
        <v>57</v>
      </c>
      <c r="W682" s="32">
        <v>2050</v>
      </c>
      <c r="X682" s="43" t="str">
        <f t="shared" si="85"/>
        <v>*0.92</v>
      </c>
      <c r="AC682" s="33" t="s">
        <v>1556</v>
      </c>
      <c r="AD682" s="44" t="s">
        <v>57</v>
      </c>
      <c r="AE682" s="33">
        <v>2035</v>
      </c>
      <c r="AF682" s="45" t="str">
        <f t="shared" si="86"/>
        <v>*0.93</v>
      </c>
      <c r="AG682" s="43" t="str">
        <f t="shared" si="88"/>
        <v>REZoning_Sol-Win</v>
      </c>
      <c r="AI682" s="33" t="s">
        <v>1556</v>
      </c>
      <c r="AJ682" s="44" t="s">
        <v>57</v>
      </c>
      <c r="AK682" s="33">
        <v>2050</v>
      </c>
      <c r="AL682" s="45" t="str">
        <f t="shared" si="87"/>
        <v>*0.89</v>
      </c>
      <c r="AM682" s="43" t="str">
        <f t="shared" si="89"/>
        <v>REZoning_Sol-Win</v>
      </c>
      <c r="AP682" t="s">
        <v>1556</v>
      </c>
      <c r="AQ682" t="s">
        <v>57</v>
      </c>
      <c r="AR682">
        <v>2100</v>
      </c>
      <c r="AS682" t="s">
        <v>937</v>
      </c>
      <c r="AT682" t="s">
        <v>58</v>
      </c>
    </row>
    <row r="683" ht="29" spans="1:46">
      <c r="A683" s="31" t="s">
        <v>83</v>
      </c>
      <c r="C683" t="s">
        <v>1557</v>
      </c>
      <c r="D683" s="5" t="s">
        <v>57</v>
      </c>
      <c r="E683">
        <v>2035</v>
      </c>
      <c r="F683" s="6" t="str">
        <f t="shared" si="82"/>
        <v>*0.95</v>
      </c>
      <c r="H683" t="s">
        <v>1557</v>
      </c>
      <c r="I683" s="5" t="s">
        <v>57</v>
      </c>
      <c r="J683">
        <v>2050</v>
      </c>
      <c r="K683" s="38" t="str">
        <f t="shared" si="83"/>
        <v>*0.92</v>
      </c>
      <c r="P683" s="32" t="s">
        <v>1557</v>
      </c>
      <c r="Q683" s="42" t="s">
        <v>57</v>
      </c>
      <c r="R683" s="32">
        <v>2035</v>
      </c>
      <c r="S683" s="43" t="str">
        <f t="shared" si="84"/>
        <v>*0.95</v>
      </c>
      <c r="U683" s="32" t="s">
        <v>1557</v>
      </c>
      <c r="V683" s="42" t="s">
        <v>57</v>
      </c>
      <c r="W683" s="32">
        <v>2050</v>
      </c>
      <c r="X683" s="43" t="str">
        <f t="shared" si="85"/>
        <v>*0.92</v>
      </c>
      <c r="AC683" s="33" t="s">
        <v>1557</v>
      </c>
      <c r="AD683" s="44" t="s">
        <v>57</v>
      </c>
      <c r="AE683" s="33">
        <v>2035</v>
      </c>
      <c r="AF683" s="45" t="str">
        <f t="shared" si="86"/>
        <v>*0.93</v>
      </c>
      <c r="AG683" s="43" t="str">
        <f t="shared" si="88"/>
        <v>REZoning_Sol-Win</v>
      </c>
      <c r="AI683" s="33" t="s">
        <v>1557</v>
      </c>
      <c r="AJ683" s="44" t="s">
        <v>57</v>
      </c>
      <c r="AK683" s="33">
        <v>2050</v>
      </c>
      <c r="AL683" s="45" t="str">
        <f t="shared" si="87"/>
        <v>*0.89</v>
      </c>
      <c r="AM683" s="43" t="str">
        <f t="shared" si="89"/>
        <v>REZoning_Sol-Win</v>
      </c>
      <c r="AP683" t="s">
        <v>1557</v>
      </c>
      <c r="AQ683" t="s">
        <v>57</v>
      </c>
      <c r="AR683">
        <v>2100</v>
      </c>
      <c r="AS683" t="s">
        <v>937</v>
      </c>
      <c r="AT683" t="s">
        <v>58</v>
      </c>
    </row>
    <row r="684" ht="29" spans="1:46">
      <c r="A684" s="31" t="s">
        <v>83</v>
      </c>
      <c r="C684" t="s">
        <v>1558</v>
      </c>
      <c r="D684" s="5" t="s">
        <v>57</v>
      </c>
      <c r="E684">
        <v>2035</v>
      </c>
      <c r="F684" s="6" t="str">
        <f t="shared" si="82"/>
        <v>*0.95</v>
      </c>
      <c r="H684" t="s">
        <v>1558</v>
      </c>
      <c r="I684" s="5" t="s">
        <v>57</v>
      </c>
      <c r="J684">
        <v>2050</v>
      </c>
      <c r="K684" s="38" t="str">
        <f t="shared" si="83"/>
        <v>*0.92</v>
      </c>
      <c r="P684" s="32" t="s">
        <v>1558</v>
      </c>
      <c r="Q684" s="42" t="s">
        <v>57</v>
      </c>
      <c r="R684" s="32">
        <v>2035</v>
      </c>
      <c r="S684" s="43" t="str">
        <f t="shared" si="84"/>
        <v>*0.95</v>
      </c>
      <c r="U684" s="32" t="s">
        <v>1558</v>
      </c>
      <c r="V684" s="42" t="s">
        <v>57</v>
      </c>
      <c r="W684" s="32">
        <v>2050</v>
      </c>
      <c r="X684" s="43" t="str">
        <f t="shared" si="85"/>
        <v>*0.92</v>
      </c>
      <c r="AC684" s="33" t="s">
        <v>1558</v>
      </c>
      <c r="AD684" s="44" t="s">
        <v>57</v>
      </c>
      <c r="AE684" s="33">
        <v>2035</v>
      </c>
      <c r="AF684" s="45" t="str">
        <f t="shared" si="86"/>
        <v>*0.93</v>
      </c>
      <c r="AG684" s="43" t="str">
        <f t="shared" si="88"/>
        <v>REZoning_Sol-Win</v>
      </c>
      <c r="AI684" s="33" t="s">
        <v>1558</v>
      </c>
      <c r="AJ684" s="44" t="s">
        <v>57</v>
      </c>
      <c r="AK684" s="33">
        <v>2050</v>
      </c>
      <c r="AL684" s="45" t="str">
        <f t="shared" si="87"/>
        <v>*0.89</v>
      </c>
      <c r="AM684" s="43" t="str">
        <f t="shared" si="89"/>
        <v>REZoning_Sol-Win</v>
      </c>
      <c r="AP684" t="s">
        <v>1558</v>
      </c>
      <c r="AQ684" t="s">
        <v>57</v>
      </c>
      <c r="AR684">
        <v>2100</v>
      </c>
      <c r="AS684" t="s">
        <v>937</v>
      </c>
      <c r="AT684" t="s">
        <v>58</v>
      </c>
    </row>
    <row r="685" ht="29" spans="1:46">
      <c r="A685" s="31" t="s">
        <v>83</v>
      </c>
      <c r="C685" t="s">
        <v>1559</v>
      </c>
      <c r="D685" s="5" t="s">
        <v>57</v>
      </c>
      <c r="E685">
        <v>2035</v>
      </c>
      <c r="F685" s="6" t="str">
        <f t="shared" si="82"/>
        <v>*0.95</v>
      </c>
      <c r="H685" t="s">
        <v>1559</v>
      </c>
      <c r="I685" s="5" t="s">
        <v>57</v>
      </c>
      <c r="J685">
        <v>2050</v>
      </c>
      <c r="K685" s="38" t="str">
        <f t="shared" si="83"/>
        <v>*0.92</v>
      </c>
      <c r="P685" s="32" t="s">
        <v>1559</v>
      </c>
      <c r="Q685" s="42" t="s">
        <v>57</v>
      </c>
      <c r="R685" s="32">
        <v>2035</v>
      </c>
      <c r="S685" s="43" t="str">
        <f t="shared" si="84"/>
        <v>*0.95</v>
      </c>
      <c r="U685" s="32" t="s">
        <v>1559</v>
      </c>
      <c r="V685" s="42" t="s">
        <v>57</v>
      </c>
      <c r="W685" s="32">
        <v>2050</v>
      </c>
      <c r="X685" s="43" t="str">
        <f t="shared" si="85"/>
        <v>*0.92</v>
      </c>
      <c r="AC685" s="33" t="s">
        <v>1559</v>
      </c>
      <c r="AD685" s="44" t="s">
        <v>57</v>
      </c>
      <c r="AE685" s="33">
        <v>2035</v>
      </c>
      <c r="AF685" s="45" t="str">
        <f t="shared" si="86"/>
        <v>*0.93</v>
      </c>
      <c r="AG685" s="43" t="str">
        <f t="shared" si="88"/>
        <v>REZoning_Sol-Win</v>
      </c>
      <c r="AI685" s="33" t="s">
        <v>1559</v>
      </c>
      <c r="AJ685" s="44" t="s">
        <v>57</v>
      </c>
      <c r="AK685" s="33">
        <v>2050</v>
      </c>
      <c r="AL685" s="45" t="str">
        <f t="shared" si="87"/>
        <v>*0.89</v>
      </c>
      <c r="AM685" s="43" t="str">
        <f t="shared" si="89"/>
        <v>REZoning_Sol-Win</v>
      </c>
      <c r="AP685" t="s">
        <v>1559</v>
      </c>
      <c r="AQ685" t="s">
        <v>57</v>
      </c>
      <c r="AR685">
        <v>2100</v>
      </c>
      <c r="AS685" t="s">
        <v>937</v>
      </c>
      <c r="AT685" t="s">
        <v>58</v>
      </c>
    </row>
    <row r="686" ht="29" spans="1:46">
      <c r="A686" s="31" t="s">
        <v>83</v>
      </c>
      <c r="C686" t="s">
        <v>1560</v>
      </c>
      <c r="D686" s="5" t="s">
        <v>57</v>
      </c>
      <c r="E686">
        <v>2035</v>
      </c>
      <c r="F686" s="6" t="str">
        <f t="shared" si="82"/>
        <v>*0.95</v>
      </c>
      <c r="H686" t="s">
        <v>1560</v>
      </c>
      <c r="I686" s="5" t="s">
        <v>57</v>
      </c>
      <c r="J686">
        <v>2050</v>
      </c>
      <c r="K686" s="38" t="str">
        <f t="shared" si="83"/>
        <v>*0.92</v>
      </c>
      <c r="P686" s="32" t="s">
        <v>1560</v>
      </c>
      <c r="Q686" s="42" t="s">
        <v>57</v>
      </c>
      <c r="R686" s="32">
        <v>2035</v>
      </c>
      <c r="S686" s="43" t="str">
        <f t="shared" si="84"/>
        <v>*0.95</v>
      </c>
      <c r="U686" s="32" t="s">
        <v>1560</v>
      </c>
      <c r="V686" s="42" t="s">
        <v>57</v>
      </c>
      <c r="W686" s="32">
        <v>2050</v>
      </c>
      <c r="X686" s="43" t="str">
        <f t="shared" si="85"/>
        <v>*0.92</v>
      </c>
      <c r="AC686" s="33" t="s">
        <v>1560</v>
      </c>
      <c r="AD686" s="44" t="s">
        <v>57</v>
      </c>
      <c r="AE686" s="33">
        <v>2035</v>
      </c>
      <c r="AF686" s="45" t="str">
        <f t="shared" si="86"/>
        <v>*0.93</v>
      </c>
      <c r="AG686" s="43" t="str">
        <f t="shared" si="88"/>
        <v>REZoning_Sol-Win</v>
      </c>
      <c r="AI686" s="33" t="s">
        <v>1560</v>
      </c>
      <c r="AJ686" s="44" t="s">
        <v>57</v>
      </c>
      <c r="AK686" s="33">
        <v>2050</v>
      </c>
      <c r="AL686" s="45" t="str">
        <f t="shared" si="87"/>
        <v>*0.89</v>
      </c>
      <c r="AM686" s="43" t="str">
        <f t="shared" si="89"/>
        <v>REZoning_Sol-Win</v>
      </c>
      <c r="AP686" t="s">
        <v>1560</v>
      </c>
      <c r="AQ686" t="s">
        <v>57</v>
      </c>
      <c r="AR686">
        <v>2100</v>
      </c>
      <c r="AS686" t="s">
        <v>937</v>
      </c>
      <c r="AT686" t="s">
        <v>58</v>
      </c>
    </row>
    <row r="687" ht="29" spans="1:46">
      <c r="A687" s="31" t="s">
        <v>83</v>
      </c>
      <c r="C687" t="s">
        <v>1561</v>
      </c>
      <c r="D687" s="5" t="s">
        <v>57</v>
      </c>
      <c r="E687">
        <v>2035</v>
      </c>
      <c r="F687" s="6" t="str">
        <f t="shared" si="82"/>
        <v>*0.95</v>
      </c>
      <c r="H687" t="s">
        <v>1561</v>
      </c>
      <c r="I687" s="5" t="s">
        <v>57</v>
      </c>
      <c r="J687">
        <v>2050</v>
      </c>
      <c r="K687" s="38" t="str">
        <f t="shared" si="83"/>
        <v>*0.92</v>
      </c>
      <c r="P687" s="32" t="s">
        <v>1561</v>
      </c>
      <c r="Q687" s="42" t="s">
        <v>57</v>
      </c>
      <c r="R687" s="32">
        <v>2035</v>
      </c>
      <c r="S687" s="43" t="str">
        <f t="shared" si="84"/>
        <v>*0.95</v>
      </c>
      <c r="U687" s="32" t="s">
        <v>1561</v>
      </c>
      <c r="V687" s="42" t="s">
        <v>57</v>
      </c>
      <c r="W687" s="32">
        <v>2050</v>
      </c>
      <c r="X687" s="43" t="str">
        <f t="shared" si="85"/>
        <v>*0.92</v>
      </c>
      <c r="AC687" s="33" t="s">
        <v>1561</v>
      </c>
      <c r="AD687" s="44" t="s">
        <v>57</v>
      </c>
      <c r="AE687" s="33">
        <v>2035</v>
      </c>
      <c r="AF687" s="45" t="str">
        <f t="shared" si="86"/>
        <v>*0.93</v>
      </c>
      <c r="AG687" s="43" t="str">
        <f t="shared" si="88"/>
        <v>REZoning_Sol-Win</v>
      </c>
      <c r="AI687" s="33" t="s">
        <v>1561</v>
      </c>
      <c r="AJ687" s="44" t="s">
        <v>57</v>
      </c>
      <c r="AK687" s="33">
        <v>2050</v>
      </c>
      <c r="AL687" s="45" t="str">
        <f t="shared" si="87"/>
        <v>*0.89</v>
      </c>
      <c r="AM687" s="43" t="str">
        <f t="shared" si="89"/>
        <v>REZoning_Sol-Win</v>
      </c>
      <c r="AP687" t="s">
        <v>1561</v>
      </c>
      <c r="AQ687" t="s">
        <v>57</v>
      </c>
      <c r="AR687">
        <v>2100</v>
      </c>
      <c r="AS687" t="s">
        <v>937</v>
      </c>
      <c r="AT687" t="s">
        <v>58</v>
      </c>
    </row>
    <row r="688" ht="29" spans="1:46">
      <c r="A688" s="31" t="s">
        <v>83</v>
      </c>
      <c r="C688" t="s">
        <v>1562</v>
      </c>
      <c r="D688" s="5" t="s">
        <v>57</v>
      </c>
      <c r="E688">
        <v>2035</v>
      </c>
      <c r="F688" s="6" t="str">
        <f t="shared" si="82"/>
        <v>*0.95</v>
      </c>
      <c r="H688" t="s">
        <v>1562</v>
      </c>
      <c r="I688" s="5" t="s">
        <v>57</v>
      </c>
      <c r="J688">
        <v>2050</v>
      </c>
      <c r="K688" s="38" t="str">
        <f t="shared" si="83"/>
        <v>*0.92</v>
      </c>
      <c r="P688" s="32" t="s">
        <v>1562</v>
      </c>
      <c r="Q688" s="42" t="s">
        <v>57</v>
      </c>
      <c r="R688" s="32">
        <v>2035</v>
      </c>
      <c r="S688" s="43" t="str">
        <f t="shared" si="84"/>
        <v>*0.95</v>
      </c>
      <c r="U688" s="32" t="s">
        <v>1562</v>
      </c>
      <c r="V688" s="42" t="s">
        <v>57</v>
      </c>
      <c r="W688" s="32">
        <v>2050</v>
      </c>
      <c r="X688" s="43" t="str">
        <f t="shared" si="85"/>
        <v>*0.92</v>
      </c>
      <c r="AC688" s="33" t="s">
        <v>1562</v>
      </c>
      <c r="AD688" s="44" t="s">
        <v>57</v>
      </c>
      <c r="AE688" s="33">
        <v>2035</v>
      </c>
      <c r="AF688" s="45" t="str">
        <f t="shared" si="86"/>
        <v>*0.93</v>
      </c>
      <c r="AG688" s="43" t="str">
        <f t="shared" si="88"/>
        <v>REZoning_Sol-Win</v>
      </c>
      <c r="AI688" s="33" t="s">
        <v>1562</v>
      </c>
      <c r="AJ688" s="44" t="s">
        <v>57</v>
      </c>
      <c r="AK688" s="33">
        <v>2050</v>
      </c>
      <c r="AL688" s="45" t="str">
        <f t="shared" si="87"/>
        <v>*0.89</v>
      </c>
      <c r="AM688" s="43" t="str">
        <f t="shared" si="89"/>
        <v>REZoning_Sol-Win</v>
      </c>
      <c r="AP688" t="s">
        <v>1562</v>
      </c>
      <c r="AQ688" t="s">
        <v>57</v>
      </c>
      <c r="AR688">
        <v>2100</v>
      </c>
      <c r="AS688" t="s">
        <v>937</v>
      </c>
      <c r="AT688" t="s">
        <v>58</v>
      </c>
    </row>
    <row r="689" ht="29" spans="1:46">
      <c r="A689" s="31" t="s">
        <v>83</v>
      </c>
      <c r="C689" t="s">
        <v>1563</v>
      </c>
      <c r="D689" s="5" t="s">
        <v>57</v>
      </c>
      <c r="E689">
        <v>2035</v>
      </c>
      <c r="F689" s="6" t="str">
        <f t="shared" si="82"/>
        <v>*0.95</v>
      </c>
      <c r="H689" t="s">
        <v>1563</v>
      </c>
      <c r="I689" s="5" t="s">
        <v>57</v>
      </c>
      <c r="J689">
        <v>2050</v>
      </c>
      <c r="K689" s="38" t="str">
        <f t="shared" si="83"/>
        <v>*0.92</v>
      </c>
      <c r="P689" s="32" t="s">
        <v>1563</v>
      </c>
      <c r="Q689" s="42" t="s">
        <v>57</v>
      </c>
      <c r="R689" s="32">
        <v>2035</v>
      </c>
      <c r="S689" s="43" t="str">
        <f t="shared" si="84"/>
        <v>*0.95</v>
      </c>
      <c r="U689" s="32" t="s">
        <v>1563</v>
      </c>
      <c r="V689" s="42" t="s">
        <v>57</v>
      </c>
      <c r="W689" s="32">
        <v>2050</v>
      </c>
      <c r="X689" s="43" t="str">
        <f t="shared" si="85"/>
        <v>*0.92</v>
      </c>
      <c r="AC689" s="33" t="s">
        <v>1563</v>
      </c>
      <c r="AD689" s="44" t="s">
        <v>57</v>
      </c>
      <c r="AE689" s="33">
        <v>2035</v>
      </c>
      <c r="AF689" s="45" t="str">
        <f t="shared" si="86"/>
        <v>*0.93</v>
      </c>
      <c r="AG689" s="43" t="str">
        <f t="shared" si="88"/>
        <v>REZoning_Sol-Win</v>
      </c>
      <c r="AI689" s="33" t="s">
        <v>1563</v>
      </c>
      <c r="AJ689" s="44" t="s">
        <v>57</v>
      </c>
      <c r="AK689" s="33">
        <v>2050</v>
      </c>
      <c r="AL689" s="45" t="str">
        <f t="shared" si="87"/>
        <v>*0.89</v>
      </c>
      <c r="AM689" s="43" t="str">
        <f t="shared" si="89"/>
        <v>REZoning_Sol-Win</v>
      </c>
      <c r="AP689" t="s">
        <v>1563</v>
      </c>
      <c r="AQ689" t="s">
        <v>57</v>
      </c>
      <c r="AR689">
        <v>2100</v>
      </c>
      <c r="AS689" t="s">
        <v>937</v>
      </c>
      <c r="AT689" t="s">
        <v>58</v>
      </c>
    </row>
    <row r="690" ht="29" spans="1:46">
      <c r="A690" s="31" t="s">
        <v>83</v>
      </c>
      <c r="C690" t="s">
        <v>1564</v>
      </c>
      <c r="D690" s="5" t="s">
        <v>57</v>
      </c>
      <c r="E690">
        <v>2035</v>
      </c>
      <c r="F690" s="6" t="str">
        <f t="shared" si="82"/>
        <v>*0.95</v>
      </c>
      <c r="H690" t="s">
        <v>1564</v>
      </c>
      <c r="I690" s="5" t="s">
        <v>57</v>
      </c>
      <c r="J690">
        <v>2050</v>
      </c>
      <c r="K690" s="38" t="str">
        <f t="shared" si="83"/>
        <v>*0.92</v>
      </c>
      <c r="P690" s="32" t="s">
        <v>1564</v>
      </c>
      <c r="Q690" s="42" t="s">
        <v>57</v>
      </c>
      <c r="R690" s="32">
        <v>2035</v>
      </c>
      <c r="S690" s="43" t="str">
        <f t="shared" si="84"/>
        <v>*0.95</v>
      </c>
      <c r="U690" s="32" t="s">
        <v>1564</v>
      </c>
      <c r="V690" s="42" t="s">
        <v>57</v>
      </c>
      <c r="W690" s="32">
        <v>2050</v>
      </c>
      <c r="X690" s="43" t="str">
        <f t="shared" si="85"/>
        <v>*0.92</v>
      </c>
      <c r="AC690" s="33" t="s">
        <v>1564</v>
      </c>
      <c r="AD690" s="44" t="s">
        <v>57</v>
      </c>
      <c r="AE690" s="33">
        <v>2035</v>
      </c>
      <c r="AF690" s="45" t="str">
        <f t="shared" si="86"/>
        <v>*0.93</v>
      </c>
      <c r="AG690" s="43" t="str">
        <f t="shared" si="88"/>
        <v>REZoning_Sol-Win</v>
      </c>
      <c r="AI690" s="33" t="s">
        <v>1564</v>
      </c>
      <c r="AJ690" s="44" t="s">
        <v>57</v>
      </c>
      <c r="AK690" s="33">
        <v>2050</v>
      </c>
      <c r="AL690" s="45" t="str">
        <f t="shared" si="87"/>
        <v>*0.89</v>
      </c>
      <c r="AM690" s="43" t="str">
        <f t="shared" si="89"/>
        <v>REZoning_Sol-Win</v>
      </c>
      <c r="AP690" t="s">
        <v>1564</v>
      </c>
      <c r="AQ690" t="s">
        <v>57</v>
      </c>
      <c r="AR690">
        <v>2100</v>
      </c>
      <c r="AS690" t="s">
        <v>937</v>
      </c>
      <c r="AT690" t="s">
        <v>58</v>
      </c>
    </row>
    <row r="691" ht="29" spans="1:46">
      <c r="A691" s="31" t="s">
        <v>83</v>
      </c>
      <c r="C691" t="s">
        <v>1565</v>
      </c>
      <c r="D691" s="5" t="s">
        <v>57</v>
      </c>
      <c r="E691">
        <v>2035</v>
      </c>
      <c r="F691" s="6" t="str">
        <f t="shared" si="82"/>
        <v>*0.95</v>
      </c>
      <c r="H691" t="s">
        <v>1565</v>
      </c>
      <c r="I691" s="5" t="s">
        <v>57</v>
      </c>
      <c r="J691">
        <v>2050</v>
      </c>
      <c r="K691" s="38" t="str">
        <f t="shared" si="83"/>
        <v>*0.92</v>
      </c>
      <c r="P691" s="32" t="s">
        <v>1565</v>
      </c>
      <c r="Q691" s="42" t="s">
        <v>57</v>
      </c>
      <c r="R691" s="32">
        <v>2035</v>
      </c>
      <c r="S691" s="43" t="str">
        <f t="shared" si="84"/>
        <v>*0.95</v>
      </c>
      <c r="U691" s="32" t="s">
        <v>1565</v>
      </c>
      <c r="V691" s="42" t="s">
        <v>57</v>
      </c>
      <c r="W691" s="32">
        <v>2050</v>
      </c>
      <c r="X691" s="43" t="str">
        <f t="shared" si="85"/>
        <v>*0.92</v>
      </c>
      <c r="AC691" s="33" t="s">
        <v>1565</v>
      </c>
      <c r="AD691" s="44" t="s">
        <v>57</v>
      </c>
      <c r="AE691" s="33">
        <v>2035</v>
      </c>
      <c r="AF691" s="45" t="str">
        <f t="shared" si="86"/>
        <v>*0.93</v>
      </c>
      <c r="AG691" s="43" t="str">
        <f t="shared" si="88"/>
        <v>REZoning_Sol-Win</v>
      </c>
      <c r="AI691" s="33" t="s">
        <v>1565</v>
      </c>
      <c r="AJ691" s="44" t="s">
        <v>57</v>
      </c>
      <c r="AK691" s="33">
        <v>2050</v>
      </c>
      <c r="AL691" s="45" t="str">
        <f t="shared" si="87"/>
        <v>*0.89</v>
      </c>
      <c r="AM691" s="43" t="str">
        <f t="shared" si="89"/>
        <v>REZoning_Sol-Win</v>
      </c>
      <c r="AP691" t="s">
        <v>1565</v>
      </c>
      <c r="AQ691" t="s">
        <v>57</v>
      </c>
      <c r="AR691">
        <v>2100</v>
      </c>
      <c r="AS691" t="s">
        <v>937</v>
      </c>
      <c r="AT691" t="s">
        <v>58</v>
      </c>
    </row>
    <row r="692" ht="29" spans="1:46">
      <c r="A692" s="31" t="s">
        <v>83</v>
      </c>
      <c r="C692" t="s">
        <v>1566</v>
      </c>
      <c r="D692" s="5" t="s">
        <v>57</v>
      </c>
      <c r="E692">
        <v>2035</v>
      </c>
      <c r="F692" s="6" t="str">
        <f t="shared" si="82"/>
        <v>*0.95</v>
      </c>
      <c r="H692" t="s">
        <v>1566</v>
      </c>
      <c r="I692" s="5" t="s">
        <v>57</v>
      </c>
      <c r="J692">
        <v>2050</v>
      </c>
      <c r="K692" s="38" t="str">
        <f t="shared" si="83"/>
        <v>*0.92</v>
      </c>
      <c r="P692" s="32" t="s">
        <v>1566</v>
      </c>
      <c r="Q692" s="42" t="s">
        <v>57</v>
      </c>
      <c r="R692" s="32">
        <v>2035</v>
      </c>
      <c r="S692" s="43" t="str">
        <f t="shared" si="84"/>
        <v>*0.95</v>
      </c>
      <c r="U692" s="32" t="s">
        <v>1566</v>
      </c>
      <c r="V692" s="42" t="s">
        <v>57</v>
      </c>
      <c r="W692" s="32">
        <v>2050</v>
      </c>
      <c r="X692" s="43" t="str">
        <f t="shared" si="85"/>
        <v>*0.92</v>
      </c>
      <c r="AC692" s="33" t="s">
        <v>1566</v>
      </c>
      <c r="AD692" s="44" t="s">
        <v>57</v>
      </c>
      <c r="AE692" s="33">
        <v>2035</v>
      </c>
      <c r="AF692" s="45" t="str">
        <f t="shared" si="86"/>
        <v>*0.93</v>
      </c>
      <c r="AG692" s="43" t="str">
        <f t="shared" si="88"/>
        <v>REZoning_Sol-Win</v>
      </c>
      <c r="AI692" s="33" t="s">
        <v>1566</v>
      </c>
      <c r="AJ692" s="44" t="s">
        <v>57</v>
      </c>
      <c r="AK692" s="33">
        <v>2050</v>
      </c>
      <c r="AL692" s="45" t="str">
        <f t="shared" si="87"/>
        <v>*0.89</v>
      </c>
      <c r="AM692" s="43" t="str">
        <f t="shared" si="89"/>
        <v>REZoning_Sol-Win</v>
      </c>
      <c r="AP692" t="s">
        <v>1566</v>
      </c>
      <c r="AQ692" t="s">
        <v>57</v>
      </c>
      <c r="AR692">
        <v>2100</v>
      </c>
      <c r="AS692" t="s">
        <v>937</v>
      </c>
      <c r="AT692" t="s">
        <v>58</v>
      </c>
    </row>
    <row r="693" ht="29" spans="1:46">
      <c r="A693" s="31" t="s">
        <v>83</v>
      </c>
      <c r="C693" t="s">
        <v>1567</v>
      </c>
      <c r="D693" s="5" t="s">
        <v>57</v>
      </c>
      <c r="E693">
        <v>2035</v>
      </c>
      <c r="F693" s="6" t="str">
        <f t="shared" si="82"/>
        <v>*0.95</v>
      </c>
      <c r="H693" t="s">
        <v>1567</v>
      </c>
      <c r="I693" s="5" t="s">
        <v>57</v>
      </c>
      <c r="J693">
        <v>2050</v>
      </c>
      <c r="K693" s="38" t="str">
        <f t="shared" si="83"/>
        <v>*0.92</v>
      </c>
      <c r="P693" s="32" t="s">
        <v>1567</v>
      </c>
      <c r="Q693" s="42" t="s">
        <v>57</v>
      </c>
      <c r="R693" s="32">
        <v>2035</v>
      </c>
      <c r="S693" s="43" t="str">
        <f t="shared" si="84"/>
        <v>*0.95</v>
      </c>
      <c r="U693" s="32" t="s">
        <v>1567</v>
      </c>
      <c r="V693" s="42" t="s">
        <v>57</v>
      </c>
      <c r="W693" s="32">
        <v>2050</v>
      </c>
      <c r="X693" s="43" t="str">
        <f t="shared" si="85"/>
        <v>*0.92</v>
      </c>
      <c r="AC693" s="33" t="s">
        <v>1567</v>
      </c>
      <c r="AD693" s="44" t="s">
        <v>57</v>
      </c>
      <c r="AE693" s="33">
        <v>2035</v>
      </c>
      <c r="AF693" s="45" t="str">
        <f t="shared" si="86"/>
        <v>*0.93</v>
      </c>
      <c r="AG693" s="43" t="str">
        <f t="shared" si="88"/>
        <v>REZoning_Sol-Win</v>
      </c>
      <c r="AI693" s="33" t="s">
        <v>1567</v>
      </c>
      <c r="AJ693" s="44" t="s">
        <v>57</v>
      </c>
      <c r="AK693" s="33">
        <v>2050</v>
      </c>
      <c r="AL693" s="45" t="str">
        <f t="shared" si="87"/>
        <v>*0.89</v>
      </c>
      <c r="AM693" s="43" t="str">
        <f t="shared" si="89"/>
        <v>REZoning_Sol-Win</v>
      </c>
      <c r="AP693" t="s">
        <v>1567</v>
      </c>
      <c r="AQ693" t="s">
        <v>57</v>
      </c>
      <c r="AR693">
        <v>2100</v>
      </c>
      <c r="AS693" t="s">
        <v>937</v>
      </c>
      <c r="AT693" t="s">
        <v>58</v>
      </c>
    </row>
    <row r="694" ht="29" spans="1:46">
      <c r="A694" s="31" t="s">
        <v>79</v>
      </c>
      <c r="C694" t="s">
        <v>1568</v>
      </c>
      <c r="D694" s="5" t="s">
        <v>57</v>
      </c>
      <c r="E694">
        <v>2035</v>
      </c>
      <c r="F694" s="6" t="str">
        <f t="shared" si="82"/>
        <v>*0.94</v>
      </c>
      <c r="H694" t="s">
        <v>1568</v>
      </c>
      <c r="I694" s="5" t="s">
        <v>57</v>
      </c>
      <c r="J694">
        <v>2050</v>
      </c>
      <c r="K694" s="38" t="str">
        <f t="shared" si="83"/>
        <v>*0.9</v>
      </c>
      <c r="P694" s="32" t="s">
        <v>1568</v>
      </c>
      <c r="Q694" s="42" t="s">
        <v>57</v>
      </c>
      <c r="R694" s="32">
        <v>2035</v>
      </c>
      <c r="S694" s="43" t="str">
        <f t="shared" si="84"/>
        <v>*0.92</v>
      </c>
      <c r="U694" s="32" t="s">
        <v>1568</v>
      </c>
      <c r="V694" s="42" t="s">
        <v>57</v>
      </c>
      <c r="W694" s="32">
        <v>2050</v>
      </c>
      <c r="X694" s="43" t="str">
        <f t="shared" si="85"/>
        <v>*0.89</v>
      </c>
      <c r="AC694" s="33" t="s">
        <v>1568</v>
      </c>
      <c r="AD694" s="44" t="s">
        <v>57</v>
      </c>
      <c r="AE694" s="33">
        <v>2035</v>
      </c>
      <c r="AF694" s="45" t="str">
        <f t="shared" si="86"/>
        <v>*0.89</v>
      </c>
      <c r="AG694" s="43" t="str">
        <f t="shared" si="88"/>
        <v>REZoning_Sol-Win</v>
      </c>
      <c r="AI694" s="33" t="s">
        <v>1568</v>
      </c>
      <c r="AJ694" s="44" t="s">
        <v>57</v>
      </c>
      <c r="AK694" s="33">
        <v>2050</v>
      </c>
      <c r="AL694" s="45" t="str">
        <f t="shared" si="87"/>
        <v>*0.84</v>
      </c>
      <c r="AM694" s="43" t="str">
        <f t="shared" si="89"/>
        <v>REZoning_Sol-Win</v>
      </c>
      <c r="AP694" t="s">
        <v>1568</v>
      </c>
      <c r="AQ694" t="s">
        <v>57</v>
      </c>
      <c r="AR694">
        <v>2100</v>
      </c>
      <c r="AS694" t="s">
        <v>919</v>
      </c>
      <c r="AT694" t="s">
        <v>58</v>
      </c>
    </row>
    <row r="695" ht="29" spans="1:46">
      <c r="A695" s="31" t="s">
        <v>79</v>
      </c>
      <c r="C695" t="s">
        <v>1569</v>
      </c>
      <c r="D695" s="5" t="s">
        <v>57</v>
      </c>
      <c r="E695">
        <v>2035</v>
      </c>
      <c r="F695" s="6" t="str">
        <f t="shared" si="82"/>
        <v>*0.94</v>
      </c>
      <c r="H695" t="s">
        <v>1569</v>
      </c>
      <c r="I695" s="5" t="s">
        <v>57</v>
      </c>
      <c r="J695">
        <v>2050</v>
      </c>
      <c r="K695" s="38" t="str">
        <f t="shared" si="83"/>
        <v>*0.9</v>
      </c>
      <c r="P695" s="32" t="s">
        <v>1569</v>
      </c>
      <c r="Q695" s="42" t="s">
        <v>57</v>
      </c>
      <c r="R695" s="32">
        <v>2035</v>
      </c>
      <c r="S695" s="43" t="str">
        <f t="shared" si="84"/>
        <v>*0.92</v>
      </c>
      <c r="U695" s="32" t="s">
        <v>1569</v>
      </c>
      <c r="V695" s="42" t="s">
        <v>57</v>
      </c>
      <c r="W695" s="32">
        <v>2050</v>
      </c>
      <c r="X695" s="43" t="str">
        <f t="shared" si="85"/>
        <v>*0.89</v>
      </c>
      <c r="AC695" s="33" t="s">
        <v>1569</v>
      </c>
      <c r="AD695" s="44" t="s">
        <v>57</v>
      </c>
      <c r="AE695" s="33">
        <v>2035</v>
      </c>
      <c r="AF695" s="45" t="str">
        <f t="shared" si="86"/>
        <v>*0.89</v>
      </c>
      <c r="AG695" s="43" t="str">
        <f t="shared" si="88"/>
        <v>REZoning_Sol-Win</v>
      </c>
      <c r="AI695" s="33" t="s">
        <v>1569</v>
      </c>
      <c r="AJ695" s="44" t="s">
        <v>57</v>
      </c>
      <c r="AK695" s="33">
        <v>2050</v>
      </c>
      <c r="AL695" s="45" t="str">
        <f t="shared" si="87"/>
        <v>*0.84</v>
      </c>
      <c r="AM695" s="43" t="str">
        <f t="shared" si="89"/>
        <v>REZoning_Sol-Win</v>
      </c>
      <c r="AP695" t="s">
        <v>1569</v>
      </c>
      <c r="AQ695" t="s">
        <v>57</v>
      </c>
      <c r="AR695">
        <v>2100</v>
      </c>
      <c r="AS695" t="s">
        <v>919</v>
      </c>
      <c r="AT695" t="s">
        <v>58</v>
      </c>
    </row>
    <row r="696" ht="29" spans="1:46">
      <c r="A696" s="31" t="s">
        <v>79</v>
      </c>
      <c r="C696" t="s">
        <v>1570</v>
      </c>
      <c r="D696" s="5" t="s">
        <v>57</v>
      </c>
      <c r="E696">
        <v>2035</v>
      </c>
      <c r="F696" s="6" t="str">
        <f t="shared" si="82"/>
        <v>*0.94</v>
      </c>
      <c r="H696" t="s">
        <v>1570</v>
      </c>
      <c r="I696" s="5" t="s">
        <v>57</v>
      </c>
      <c r="J696">
        <v>2050</v>
      </c>
      <c r="K696" s="38" t="str">
        <f t="shared" si="83"/>
        <v>*0.9</v>
      </c>
      <c r="P696" s="32" t="s">
        <v>1570</v>
      </c>
      <c r="Q696" s="42" t="s">
        <v>57</v>
      </c>
      <c r="R696" s="32">
        <v>2035</v>
      </c>
      <c r="S696" s="43" t="str">
        <f t="shared" si="84"/>
        <v>*0.92</v>
      </c>
      <c r="U696" s="32" t="s">
        <v>1570</v>
      </c>
      <c r="V696" s="42" t="s">
        <v>57</v>
      </c>
      <c r="W696" s="32">
        <v>2050</v>
      </c>
      <c r="X696" s="43" t="str">
        <f t="shared" si="85"/>
        <v>*0.89</v>
      </c>
      <c r="AC696" s="33" t="s">
        <v>1570</v>
      </c>
      <c r="AD696" s="44" t="s">
        <v>57</v>
      </c>
      <c r="AE696" s="33">
        <v>2035</v>
      </c>
      <c r="AF696" s="45" t="str">
        <f t="shared" si="86"/>
        <v>*0.89</v>
      </c>
      <c r="AG696" s="43" t="str">
        <f t="shared" si="88"/>
        <v>REZoning_Sol-Win</v>
      </c>
      <c r="AI696" s="33" t="s">
        <v>1570</v>
      </c>
      <c r="AJ696" s="44" t="s">
        <v>57</v>
      </c>
      <c r="AK696" s="33">
        <v>2050</v>
      </c>
      <c r="AL696" s="45" t="str">
        <f t="shared" si="87"/>
        <v>*0.84</v>
      </c>
      <c r="AM696" s="43" t="str">
        <f t="shared" si="89"/>
        <v>REZoning_Sol-Win</v>
      </c>
      <c r="AP696" t="s">
        <v>1570</v>
      </c>
      <c r="AQ696" t="s">
        <v>57</v>
      </c>
      <c r="AR696">
        <v>2100</v>
      </c>
      <c r="AS696" t="s">
        <v>919</v>
      </c>
      <c r="AT696" t="s">
        <v>58</v>
      </c>
    </row>
    <row r="697" ht="29" spans="1:46">
      <c r="A697" s="31" t="s">
        <v>79</v>
      </c>
      <c r="C697" t="s">
        <v>1571</v>
      </c>
      <c r="D697" s="5" t="s">
        <v>57</v>
      </c>
      <c r="E697">
        <v>2035</v>
      </c>
      <c r="F697" s="6" t="str">
        <f t="shared" si="82"/>
        <v>*0.94</v>
      </c>
      <c r="H697" t="s">
        <v>1571</v>
      </c>
      <c r="I697" s="5" t="s">
        <v>57</v>
      </c>
      <c r="J697">
        <v>2050</v>
      </c>
      <c r="K697" s="38" t="str">
        <f t="shared" si="83"/>
        <v>*0.9</v>
      </c>
      <c r="P697" s="32" t="s">
        <v>1571</v>
      </c>
      <c r="Q697" s="42" t="s">
        <v>57</v>
      </c>
      <c r="R697" s="32">
        <v>2035</v>
      </c>
      <c r="S697" s="43" t="str">
        <f t="shared" si="84"/>
        <v>*0.92</v>
      </c>
      <c r="U697" s="32" t="s">
        <v>1571</v>
      </c>
      <c r="V697" s="42" t="s">
        <v>57</v>
      </c>
      <c r="W697" s="32">
        <v>2050</v>
      </c>
      <c r="X697" s="43" t="str">
        <f t="shared" si="85"/>
        <v>*0.89</v>
      </c>
      <c r="AC697" s="33" t="s">
        <v>1571</v>
      </c>
      <c r="AD697" s="44" t="s">
        <v>57</v>
      </c>
      <c r="AE697" s="33">
        <v>2035</v>
      </c>
      <c r="AF697" s="45" t="str">
        <f t="shared" si="86"/>
        <v>*0.89</v>
      </c>
      <c r="AG697" s="43" t="str">
        <f t="shared" si="88"/>
        <v>REZoning_Sol-Win</v>
      </c>
      <c r="AI697" s="33" t="s">
        <v>1571</v>
      </c>
      <c r="AJ697" s="44" t="s">
        <v>57</v>
      </c>
      <c r="AK697" s="33">
        <v>2050</v>
      </c>
      <c r="AL697" s="45" t="str">
        <f t="shared" si="87"/>
        <v>*0.84</v>
      </c>
      <c r="AM697" s="43" t="str">
        <f t="shared" si="89"/>
        <v>REZoning_Sol-Win</v>
      </c>
      <c r="AP697" t="s">
        <v>1571</v>
      </c>
      <c r="AQ697" t="s">
        <v>57</v>
      </c>
      <c r="AR697">
        <v>2100</v>
      </c>
      <c r="AS697" t="s">
        <v>919</v>
      </c>
      <c r="AT697" t="s">
        <v>58</v>
      </c>
    </row>
    <row r="698" ht="29" spans="1:46">
      <c r="A698" s="31" t="s">
        <v>79</v>
      </c>
      <c r="C698" t="s">
        <v>1572</v>
      </c>
      <c r="D698" s="5" t="s">
        <v>57</v>
      </c>
      <c r="E698">
        <v>2035</v>
      </c>
      <c r="F698" s="6" t="str">
        <f t="shared" si="82"/>
        <v>*0.94</v>
      </c>
      <c r="H698" t="s">
        <v>1572</v>
      </c>
      <c r="I698" s="5" t="s">
        <v>57</v>
      </c>
      <c r="J698">
        <v>2050</v>
      </c>
      <c r="K698" s="38" t="str">
        <f t="shared" si="83"/>
        <v>*0.9</v>
      </c>
      <c r="P698" s="32" t="s">
        <v>1572</v>
      </c>
      <c r="Q698" s="42" t="s">
        <v>57</v>
      </c>
      <c r="R698" s="32">
        <v>2035</v>
      </c>
      <c r="S698" s="43" t="str">
        <f t="shared" si="84"/>
        <v>*0.92</v>
      </c>
      <c r="U698" s="32" t="s">
        <v>1572</v>
      </c>
      <c r="V698" s="42" t="s">
        <v>57</v>
      </c>
      <c r="W698" s="32">
        <v>2050</v>
      </c>
      <c r="X698" s="43" t="str">
        <f t="shared" si="85"/>
        <v>*0.89</v>
      </c>
      <c r="AC698" s="33" t="s">
        <v>1572</v>
      </c>
      <c r="AD698" s="44" t="s">
        <v>57</v>
      </c>
      <c r="AE698" s="33">
        <v>2035</v>
      </c>
      <c r="AF698" s="45" t="str">
        <f t="shared" si="86"/>
        <v>*0.89</v>
      </c>
      <c r="AG698" s="43" t="str">
        <f t="shared" si="88"/>
        <v>REZoning_Sol-Win</v>
      </c>
      <c r="AI698" s="33" t="s">
        <v>1572</v>
      </c>
      <c r="AJ698" s="44" t="s">
        <v>57</v>
      </c>
      <c r="AK698" s="33">
        <v>2050</v>
      </c>
      <c r="AL698" s="45" t="str">
        <f t="shared" si="87"/>
        <v>*0.84</v>
      </c>
      <c r="AM698" s="43" t="str">
        <f t="shared" si="89"/>
        <v>REZoning_Sol-Win</v>
      </c>
      <c r="AP698" t="s">
        <v>1572</v>
      </c>
      <c r="AQ698" t="s">
        <v>57</v>
      </c>
      <c r="AR698">
        <v>2100</v>
      </c>
      <c r="AS698" t="s">
        <v>919</v>
      </c>
      <c r="AT698" t="s">
        <v>58</v>
      </c>
    </row>
    <row r="699" ht="29" spans="1:46">
      <c r="A699" s="31" t="s">
        <v>79</v>
      </c>
      <c r="C699" t="s">
        <v>1573</v>
      </c>
      <c r="D699" s="5" t="s">
        <v>57</v>
      </c>
      <c r="E699">
        <v>2035</v>
      </c>
      <c r="F699" s="6" t="str">
        <f t="shared" si="82"/>
        <v>*0.94</v>
      </c>
      <c r="H699" t="s">
        <v>1573</v>
      </c>
      <c r="I699" s="5" t="s">
        <v>57</v>
      </c>
      <c r="J699">
        <v>2050</v>
      </c>
      <c r="K699" s="38" t="str">
        <f t="shared" si="83"/>
        <v>*0.9</v>
      </c>
      <c r="P699" s="32" t="s">
        <v>1573</v>
      </c>
      <c r="Q699" s="42" t="s">
        <v>57</v>
      </c>
      <c r="R699" s="32">
        <v>2035</v>
      </c>
      <c r="S699" s="43" t="str">
        <f t="shared" si="84"/>
        <v>*0.92</v>
      </c>
      <c r="U699" s="32" t="s">
        <v>1573</v>
      </c>
      <c r="V699" s="42" t="s">
        <v>57</v>
      </c>
      <c r="W699" s="32">
        <v>2050</v>
      </c>
      <c r="X699" s="43" t="str">
        <f t="shared" si="85"/>
        <v>*0.89</v>
      </c>
      <c r="AC699" s="33" t="s">
        <v>1573</v>
      </c>
      <c r="AD699" s="44" t="s">
        <v>57</v>
      </c>
      <c r="AE699" s="33">
        <v>2035</v>
      </c>
      <c r="AF699" s="45" t="str">
        <f t="shared" si="86"/>
        <v>*0.89</v>
      </c>
      <c r="AG699" s="43" t="str">
        <f t="shared" si="88"/>
        <v>REZoning_Sol-Win</v>
      </c>
      <c r="AI699" s="33" t="s">
        <v>1573</v>
      </c>
      <c r="AJ699" s="44" t="s">
        <v>57</v>
      </c>
      <c r="AK699" s="33">
        <v>2050</v>
      </c>
      <c r="AL699" s="45" t="str">
        <f t="shared" si="87"/>
        <v>*0.84</v>
      </c>
      <c r="AM699" s="43" t="str">
        <f t="shared" si="89"/>
        <v>REZoning_Sol-Win</v>
      </c>
      <c r="AP699" t="s">
        <v>1573</v>
      </c>
      <c r="AQ699" t="s">
        <v>57</v>
      </c>
      <c r="AR699">
        <v>2100</v>
      </c>
      <c r="AS699" t="s">
        <v>919</v>
      </c>
      <c r="AT699" t="s">
        <v>58</v>
      </c>
    </row>
    <row r="700" ht="29" spans="1:46">
      <c r="A700" s="31" t="s">
        <v>79</v>
      </c>
      <c r="C700" t="s">
        <v>1574</v>
      </c>
      <c r="D700" s="5" t="s">
        <v>57</v>
      </c>
      <c r="E700">
        <v>2035</v>
      </c>
      <c r="F700" s="6" t="str">
        <f t="shared" si="82"/>
        <v>*0.94</v>
      </c>
      <c r="H700" t="s">
        <v>1574</v>
      </c>
      <c r="I700" s="5" t="s">
        <v>57</v>
      </c>
      <c r="J700">
        <v>2050</v>
      </c>
      <c r="K700" s="38" t="str">
        <f t="shared" si="83"/>
        <v>*0.9</v>
      </c>
      <c r="P700" s="32" t="s">
        <v>1574</v>
      </c>
      <c r="Q700" s="42" t="s">
        <v>57</v>
      </c>
      <c r="R700" s="32">
        <v>2035</v>
      </c>
      <c r="S700" s="43" t="str">
        <f t="shared" si="84"/>
        <v>*0.92</v>
      </c>
      <c r="U700" s="32" t="s">
        <v>1574</v>
      </c>
      <c r="V700" s="42" t="s">
        <v>57</v>
      </c>
      <c r="W700" s="32">
        <v>2050</v>
      </c>
      <c r="X700" s="43" t="str">
        <f t="shared" si="85"/>
        <v>*0.89</v>
      </c>
      <c r="AC700" s="33" t="s">
        <v>1574</v>
      </c>
      <c r="AD700" s="44" t="s">
        <v>57</v>
      </c>
      <c r="AE700" s="33">
        <v>2035</v>
      </c>
      <c r="AF700" s="45" t="str">
        <f t="shared" si="86"/>
        <v>*0.89</v>
      </c>
      <c r="AG700" s="43" t="str">
        <f t="shared" si="88"/>
        <v>REZoning_Sol-Win</v>
      </c>
      <c r="AI700" s="33" t="s">
        <v>1574</v>
      </c>
      <c r="AJ700" s="44" t="s">
        <v>57</v>
      </c>
      <c r="AK700" s="33">
        <v>2050</v>
      </c>
      <c r="AL700" s="45" t="str">
        <f t="shared" si="87"/>
        <v>*0.84</v>
      </c>
      <c r="AM700" s="43" t="str">
        <f t="shared" si="89"/>
        <v>REZoning_Sol-Win</v>
      </c>
      <c r="AP700" t="s">
        <v>1574</v>
      </c>
      <c r="AQ700" t="s">
        <v>57</v>
      </c>
      <c r="AR700">
        <v>2100</v>
      </c>
      <c r="AS700" t="s">
        <v>919</v>
      </c>
      <c r="AT700" t="s">
        <v>58</v>
      </c>
    </row>
    <row r="701" ht="29" spans="1:46">
      <c r="A701" s="31" t="s">
        <v>79</v>
      </c>
      <c r="C701" t="s">
        <v>1575</v>
      </c>
      <c r="D701" s="5" t="s">
        <v>57</v>
      </c>
      <c r="E701">
        <v>2035</v>
      </c>
      <c r="F701" s="6" t="str">
        <f t="shared" si="82"/>
        <v>*0.94</v>
      </c>
      <c r="H701" t="s">
        <v>1575</v>
      </c>
      <c r="I701" s="5" t="s">
        <v>57</v>
      </c>
      <c r="J701">
        <v>2050</v>
      </c>
      <c r="K701" s="38" t="str">
        <f t="shared" si="83"/>
        <v>*0.9</v>
      </c>
      <c r="P701" s="32" t="s">
        <v>1575</v>
      </c>
      <c r="Q701" s="42" t="s">
        <v>57</v>
      </c>
      <c r="R701" s="32">
        <v>2035</v>
      </c>
      <c r="S701" s="43" t="str">
        <f t="shared" si="84"/>
        <v>*0.92</v>
      </c>
      <c r="U701" s="32" t="s">
        <v>1575</v>
      </c>
      <c r="V701" s="42" t="s">
        <v>57</v>
      </c>
      <c r="W701" s="32">
        <v>2050</v>
      </c>
      <c r="X701" s="43" t="str">
        <f t="shared" si="85"/>
        <v>*0.89</v>
      </c>
      <c r="AC701" s="33" t="s">
        <v>1575</v>
      </c>
      <c r="AD701" s="44" t="s">
        <v>57</v>
      </c>
      <c r="AE701" s="33">
        <v>2035</v>
      </c>
      <c r="AF701" s="45" t="str">
        <f t="shared" si="86"/>
        <v>*0.89</v>
      </c>
      <c r="AG701" s="43" t="str">
        <f t="shared" si="88"/>
        <v>REZoning_Sol-Win</v>
      </c>
      <c r="AI701" s="33" t="s">
        <v>1575</v>
      </c>
      <c r="AJ701" s="44" t="s">
        <v>57</v>
      </c>
      <c r="AK701" s="33">
        <v>2050</v>
      </c>
      <c r="AL701" s="45" t="str">
        <f t="shared" si="87"/>
        <v>*0.84</v>
      </c>
      <c r="AM701" s="43" t="str">
        <f t="shared" si="89"/>
        <v>REZoning_Sol-Win</v>
      </c>
      <c r="AP701" t="s">
        <v>1575</v>
      </c>
      <c r="AQ701" t="s">
        <v>57</v>
      </c>
      <c r="AR701">
        <v>2100</v>
      </c>
      <c r="AS701" t="s">
        <v>919</v>
      </c>
      <c r="AT701" t="s">
        <v>58</v>
      </c>
    </row>
    <row r="702" ht="29" spans="1:46">
      <c r="A702" s="31" t="s">
        <v>79</v>
      </c>
      <c r="C702" t="s">
        <v>1576</v>
      </c>
      <c r="D702" s="5" t="s">
        <v>57</v>
      </c>
      <c r="E702">
        <v>2035</v>
      </c>
      <c r="F702" s="6" t="str">
        <f t="shared" si="82"/>
        <v>*0.94</v>
      </c>
      <c r="H702" t="s">
        <v>1576</v>
      </c>
      <c r="I702" s="5" t="s">
        <v>57</v>
      </c>
      <c r="J702">
        <v>2050</v>
      </c>
      <c r="K702" s="38" t="str">
        <f t="shared" si="83"/>
        <v>*0.9</v>
      </c>
      <c r="P702" s="32" t="s">
        <v>1576</v>
      </c>
      <c r="Q702" s="42" t="s">
        <v>57</v>
      </c>
      <c r="R702" s="32">
        <v>2035</v>
      </c>
      <c r="S702" s="43" t="str">
        <f t="shared" si="84"/>
        <v>*0.92</v>
      </c>
      <c r="U702" s="32" t="s">
        <v>1576</v>
      </c>
      <c r="V702" s="42" t="s">
        <v>57</v>
      </c>
      <c r="W702" s="32">
        <v>2050</v>
      </c>
      <c r="X702" s="43" t="str">
        <f t="shared" si="85"/>
        <v>*0.89</v>
      </c>
      <c r="AC702" s="33" t="s">
        <v>1576</v>
      </c>
      <c r="AD702" s="44" t="s">
        <v>57</v>
      </c>
      <c r="AE702" s="33">
        <v>2035</v>
      </c>
      <c r="AF702" s="45" t="str">
        <f t="shared" si="86"/>
        <v>*0.89</v>
      </c>
      <c r="AG702" s="43" t="str">
        <f t="shared" si="88"/>
        <v>REZoning_Sol-Win</v>
      </c>
      <c r="AI702" s="33" t="s">
        <v>1576</v>
      </c>
      <c r="AJ702" s="44" t="s">
        <v>57</v>
      </c>
      <c r="AK702" s="33">
        <v>2050</v>
      </c>
      <c r="AL702" s="45" t="str">
        <f t="shared" si="87"/>
        <v>*0.84</v>
      </c>
      <c r="AM702" s="43" t="str">
        <f t="shared" si="89"/>
        <v>REZoning_Sol-Win</v>
      </c>
      <c r="AP702" t="s">
        <v>1576</v>
      </c>
      <c r="AQ702" t="s">
        <v>57</v>
      </c>
      <c r="AR702">
        <v>2100</v>
      </c>
      <c r="AS702" t="s">
        <v>919</v>
      </c>
      <c r="AT702" t="s">
        <v>58</v>
      </c>
    </row>
    <row r="703" ht="29" spans="1:46">
      <c r="A703" s="31" t="s">
        <v>79</v>
      </c>
      <c r="C703" t="s">
        <v>1577</v>
      </c>
      <c r="D703" s="5" t="s">
        <v>57</v>
      </c>
      <c r="E703">
        <v>2035</v>
      </c>
      <c r="F703" s="6" t="str">
        <f t="shared" si="82"/>
        <v>*0.94</v>
      </c>
      <c r="H703" t="s">
        <v>1577</v>
      </c>
      <c r="I703" s="5" t="s">
        <v>57</v>
      </c>
      <c r="J703">
        <v>2050</v>
      </c>
      <c r="K703" s="38" t="str">
        <f t="shared" si="83"/>
        <v>*0.9</v>
      </c>
      <c r="P703" s="32" t="s">
        <v>1577</v>
      </c>
      <c r="Q703" s="42" t="s">
        <v>57</v>
      </c>
      <c r="R703" s="32">
        <v>2035</v>
      </c>
      <c r="S703" s="43" t="str">
        <f t="shared" si="84"/>
        <v>*0.92</v>
      </c>
      <c r="U703" s="32" t="s">
        <v>1577</v>
      </c>
      <c r="V703" s="42" t="s">
        <v>57</v>
      </c>
      <c r="W703" s="32">
        <v>2050</v>
      </c>
      <c r="X703" s="43" t="str">
        <f t="shared" si="85"/>
        <v>*0.89</v>
      </c>
      <c r="AC703" s="33" t="s">
        <v>1577</v>
      </c>
      <c r="AD703" s="44" t="s">
        <v>57</v>
      </c>
      <c r="AE703" s="33">
        <v>2035</v>
      </c>
      <c r="AF703" s="45" t="str">
        <f t="shared" si="86"/>
        <v>*0.89</v>
      </c>
      <c r="AG703" s="43" t="str">
        <f t="shared" si="88"/>
        <v>REZoning_Sol-Win</v>
      </c>
      <c r="AI703" s="33" t="s">
        <v>1577</v>
      </c>
      <c r="AJ703" s="44" t="s">
        <v>57</v>
      </c>
      <c r="AK703" s="33">
        <v>2050</v>
      </c>
      <c r="AL703" s="45" t="str">
        <f t="shared" si="87"/>
        <v>*0.84</v>
      </c>
      <c r="AM703" s="43" t="str">
        <f t="shared" si="89"/>
        <v>REZoning_Sol-Win</v>
      </c>
      <c r="AP703" t="s">
        <v>1577</v>
      </c>
      <c r="AQ703" t="s">
        <v>57</v>
      </c>
      <c r="AR703">
        <v>2100</v>
      </c>
      <c r="AS703" t="s">
        <v>919</v>
      </c>
      <c r="AT703" t="s">
        <v>58</v>
      </c>
    </row>
    <row r="704" ht="29" spans="1:46">
      <c r="A704" s="31" t="s">
        <v>79</v>
      </c>
      <c r="C704" t="s">
        <v>1578</v>
      </c>
      <c r="D704" s="5" t="s">
        <v>57</v>
      </c>
      <c r="E704">
        <v>2035</v>
      </c>
      <c r="F704" s="6" t="str">
        <f t="shared" si="82"/>
        <v>*0.94</v>
      </c>
      <c r="H704" t="s">
        <v>1578</v>
      </c>
      <c r="I704" s="5" t="s">
        <v>57</v>
      </c>
      <c r="J704">
        <v>2050</v>
      </c>
      <c r="K704" s="38" t="str">
        <f t="shared" si="83"/>
        <v>*0.9</v>
      </c>
      <c r="P704" s="32" t="s">
        <v>1578</v>
      </c>
      <c r="Q704" s="42" t="s">
        <v>57</v>
      </c>
      <c r="R704" s="32">
        <v>2035</v>
      </c>
      <c r="S704" s="43" t="str">
        <f t="shared" si="84"/>
        <v>*0.92</v>
      </c>
      <c r="U704" s="32" t="s">
        <v>1578</v>
      </c>
      <c r="V704" s="42" t="s">
        <v>57</v>
      </c>
      <c r="W704" s="32">
        <v>2050</v>
      </c>
      <c r="X704" s="43" t="str">
        <f t="shared" si="85"/>
        <v>*0.89</v>
      </c>
      <c r="AC704" s="33" t="s">
        <v>1578</v>
      </c>
      <c r="AD704" s="44" t="s">
        <v>57</v>
      </c>
      <c r="AE704" s="33">
        <v>2035</v>
      </c>
      <c r="AF704" s="45" t="str">
        <f t="shared" si="86"/>
        <v>*0.89</v>
      </c>
      <c r="AG704" s="43" t="str">
        <f t="shared" si="88"/>
        <v>REZoning_Sol-Win</v>
      </c>
      <c r="AI704" s="33" t="s">
        <v>1578</v>
      </c>
      <c r="AJ704" s="44" t="s">
        <v>57</v>
      </c>
      <c r="AK704" s="33">
        <v>2050</v>
      </c>
      <c r="AL704" s="45" t="str">
        <f t="shared" si="87"/>
        <v>*0.84</v>
      </c>
      <c r="AM704" s="43" t="str">
        <f t="shared" si="89"/>
        <v>REZoning_Sol-Win</v>
      </c>
      <c r="AP704" t="s">
        <v>1578</v>
      </c>
      <c r="AQ704" t="s">
        <v>57</v>
      </c>
      <c r="AR704">
        <v>2100</v>
      </c>
      <c r="AS704" t="s">
        <v>919</v>
      </c>
      <c r="AT704" t="s">
        <v>58</v>
      </c>
    </row>
    <row r="705" ht="29" spans="1:46">
      <c r="A705" s="31" t="s">
        <v>79</v>
      </c>
      <c r="C705" t="s">
        <v>1579</v>
      </c>
      <c r="D705" s="5" t="s">
        <v>57</v>
      </c>
      <c r="E705">
        <v>2035</v>
      </c>
      <c r="F705" s="6" t="str">
        <f t="shared" si="82"/>
        <v>*0.94</v>
      </c>
      <c r="H705" t="s">
        <v>1579</v>
      </c>
      <c r="I705" s="5" t="s">
        <v>57</v>
      </c>
      <c r="J705">
        <v>2050</v>
      </c>
      <c r="K705" s="38" t="str">
        <f t="shared" si="83"/>
        <v>*0.9</v>
      </c>
      <c r="P705" s="32" t="s">
        <v>1579</v>
      </c>
      <c r="Q705" s="42" t="s">
        <v>57</v>
      </c>
      <c r="R705" s="32">
        <v>2035</v>
      </c>
      <c r="S705" s="43" t="str">
        <f t="shared" si="84"/>
        <v>*0.92</v>
      </c>
      <c r="U705" s="32" t="s">
        <v>1579</v>
      </c>
      <c r="V705" s="42" t="s">
        <v>57</v>
      </c>
      <c r="W705" s="32">
        <v>2050</v>
      </c>
      <c r="X705" s="43" t="str">
        <f t="shared" si="85"/>
        <v>*0.89</v>
      </c>
      <c r="AC705" s="33" t="s">
        <v>1579</v>
      </c>
      <c r="AD705" s="44" t="s">
        <v>57</v>
      </c>
      <c r="AE705" s="33">
        <v>2035</v>
      </c>
      <c r="AF705" s="45" t="str">
        <f t="shared" si="86"/>
        <v>*0.89</v>
      </c>
      <c r="AG705" s="43" t="str">
        <f t="shared" si="88"/>
        <v>REZoning_Sol-Win</v>
      </c>
      <c r="AI705" s="33" t="s">
        <v>1579</v>
      </c>
      <c r="AJ705" s="44" t="s">
        <v>57</v>
      </c>
      <c r="AK705" s="33">
        <v>2050</v>
      </c>
      <c r="AL705" s="45" t="str">
        <f t="shared" si="87"/>
        <v>*0.84</v>
      </c>
      <c r="AM705" s="43" t="str">
        <f t="shared" si="89"/>
        <v>REZoning_Sol-Win</v>
      </c>
      <c r="AP705" t="s">
        <v>1579</v>
      </c>
      <c r="AQ705" t="s">
        <v>57</v>
      </c>
      <c r="AR705">
        <v>2100</v>
      </c>
      <c r="AS705" t="s">
        <v>919</v>
      </c>
      <c r="AT705" t="s">
        <v>58</v>
      </c>
    </row>
    <row r="706" ht="29" spans="1:46">
      <c r="A706" s="31" t="s">
        <v>79</v>
      </c>
      <c r="C706" t="s">
        <v>1580</v>
      </c>
      <c r="D706" s="5" t="s">
        <v>57</v>
      </c>
      <c r="E706">
        <v>2035</v>
      </c>
      <c r="F706" s="6" t="str">
        <f t="shared" si="82"/>
        <v>*0.94</v>
      </c>
      <c r="H706" t="s">
        <v>1580</v>
      </c>
      <c r="I706" s="5" t="s">
        <v>57</v>
      </c>
      <c r="J706">
        <v>2050</v>
      </c>
      <c r="K706" s="38" t="str">
        <f t="shared" si="83"/>
        <v>*0.9</v>
      </c>
      <c r="P706" s="32" t="s">
        <v>1580</v>
      </c>
      <c r="Q706" s="42" t="s">
        <v>57</v>
      </c>
      <c r="R706" s="32">
        <v>2035</v>
      </c>
      <c r="S706" s="43" t="str">
        <f t="shared" si="84"/>
        <v>*0.92</v>
      </c>
      <c r="U706" s="32" t="s">
        <v>1580</v>
      </c>
      <c r="V706" s="42" t="s">
        <v>57</v>
      </c>
      <c r="W706" s="32">
        <v>2050</v>
      </c>
      <c r="X706" s="43" t="str">
        <f t="shared" si="85"/>
        <v>*0.89</v>
      </c>
      <c r="AC706" s="33" t="s">
        <v>1580</v>
      </c>
      <c r="AD706" s="44" t="s">
        <v>57</v>
      </c>
      <c r="AE706" s="33">
        <v>2035</v>
      </c>
      <c r="AF706" s="45" t="str">
        <f t="shared" si="86"/>
        <v>*0.89</v>
      </c>
      <c r="AG706" s="43" t="str">
        <f t="shared" si="88"/>
        <v>REZoning_Sol-Win</v>
      </c>
      <c r="AI706" s="33" t="s">
        <v>1580</v>
      </c>
      <c r="AJ706" s="44" t="s">
        <v>57</v>
      </c>
      <c r="AK706" s="33">
        <v>2050</v>
      </c>
      <c r="AL706" s="45" t="str">
        <f t="shared" si="87"/>
        <v>*0.84</v>
      </c>
      <c r="AM706" s="43" t="str">
        <f t="shared" si="89"/>
        <v>REZoning_Sol-Win</v>
      </c>
      <c r="AP706" t="s">
        <v>1580</v>
      </c>
      <c r="AQ706" t="s">
        <v>57</v>
      </c>
      <c r="AR706">
        <v>2100</v>
      </c>
      <c r="AS706" t="s">
        <v>919</v>
      </c>
      <c r="AT706" t="s">
        <v>58</v>
      </c>
    </row>
    <row r="707" ht="29" spans="1:46">
      <c r="A707" s="31" t="s">
        <v>79</v>
      </c>
      <c r="C707" t="s">
        <v>1581</v>
      </c>
      <c r="D707" s="5" t="s">
        <v>57</v>
      </c>
      <c r="E707">
        <v>2035</v>
      </c>
      <c r="F707" s="6" t="str">
        <f t="shared" si="82"/>
        <v>*0.94</v>
      </c>
      <c r="H707" t="s">
        <v>1581</v>
      </c>
      <c r="I707" s="5" t="s">
        <v>57</v>
      </c>
      <c r="J707">
        <v>2050</v>
      </c>
      <c r="K707" s="38" t="str">
        <f t="shared" si="83"/>
        <v>*0.9</v>
      </c>
      <c r="P707" s="32" t="s">
        <v>1581</v>
      </c>
      <c r="Q707" s="42" t="s">
        <v>57</v>
      </c>
      <c r="R707" s="32">
        <v>2035</v>
      </c>
      <c r="S707" s="43" t="str">
        <f t="shared" si="84"/>
        <v>*0.92</v>
      </c>
      <c r="U707" s="32" t="s">
        <v>1581</v>
      </c>
      <c r="V707" s="42" t="s">
        <v>57</v>
      </c>
      <c r="W707" s="32">
        <v>2050</v>
      </c>
      <c r="X707" s="43" t="str">
        <f t="shared" si="85"/>
        <v>*0.89</v>
      </c>
      <c r="AC707" s="33" t="s">
        <v>1581</v>
      </c>
      <c r="AD707" s="44" t="s">
        <v>57</v>
      </c>
      <c r="AE707" s="33">
        <v>2035</v>
      </c>
      <c r="AF707" s="45" t="str">
        <f t="shared" si="86"/>
        <v>*0.89</v>
      </c>
      <c r="AG707" s="43" t="str">
        <f t="shared" si="88"/>
        <v>REZoning_Sol-Win</v>
      </c>
      <c r="AI707" s="33" t="s">
        <v>1581</v>
      </c>
      <c r="AJ707" s="44" t="s">
        <v>57</v>
      </c>
      <c r="AK707" s="33">
        <v>2050</v>
      </c>
      <c r="AL707" s="45" t="str">
        <f t="shared" si="87"/>
        <v>*0.84</v>
      </c>
      <c r="AM707" s="43" t="str">
        <f t="shared" si="89"/>
        <v>REZoning_Sol-Win</v>
      </c>
      <c r="AP707" t="s">
        <v>1581</v>
      </c>
      <c r="AQ707" t="s">
        <v>57</v>
      </c>
      <c r="AR707">
        <v>2100</v>
      </c>
      <c r="AS707" t="s">
        <v>919</v>
      </c>
      <c r="AT707" t="s">
        <v>58</v>
      </c>
    </row>
    <row r="708" ht="29" spans="1:46">
      <c r="A708" s="31" t="s">
        <v>79</v>
      </c>
      <c r="C708" t="s">
        <v>1582</v>
      </c>
      <c r="D708" s="5" t="s">
        <v>57</v>
      </c>
      <c r="E708">
        <v>2035</v>
      </c>
      <c r="F708" s="6" t="str">
        <f t="shared" ref="F708:F771" si="90">"*"&amp;IF(AND(A708="EU",E708=2035),0.95,IF(AND(A708="EU",E708=2050),0.93,IF(AND(A708="USA",E708=2035),0.96,IF(AND(A708="USA",E708=2050),0.94,IF(AND(A708="Japan",E708=2035),0.94,IF(AND(A708="Japan",E708=2050),0.92,IF(AND(A708="Russia",E708=2035),0.95,IF(AND(A708="Russia",E708=2050),0.93,IF(AND(A708="China",E708=2035),0.94,IF(AND(A708="China",E708=2050),0.92,IF(AND(A708="India",E708=2035),0.95,IF(AND(A708="India",E708=2050),0.92,IF(AND(A708="Middle East",E708=2035),0.94,IF(AND(A708="Middle East",E708=2050),0.9,IF(AND(A708="Africa",E708=2035),0.94,IF(AND(A708="Africa",E708=2050),0.91,IF(AND(A708="Brazil",E708=2035),0.95,IF(AND(A708="Brazil",E708=2050),0.92,""))))))))))))))))))</f>
        <v>*0.94</v>
      </c>
      <c r="H708" t="s">
        <v>1582</v>
      </c>
      <c r="I708" s="5" t="s">
        <v>57</v>
      </c>
      <c r="J708">
        <v>2050</v>
      </c>
      <c r="K708" s="38" t="str">
        <f t="shared" ref="K708:K771" si="91">"*"&amp;IF(AND(A708="EU",J708=2035),0.95,IF(AND(A708="EU",J708=2050),0.93,IF(AND(A708="USA",J708=2035),0.96,IF(AND(A708="USA",J708=2050),0.94,IF(AND(A708="Japan",J708=2035),0.94,IF(AND(A708="Japan",J708=2050),0.92,IF(AND(A708="Russia",J708=2035),0.95,IF(AND(A708="Russia",J708=2050),0.93,IF(AND(A708="China",J708=2035),0.94,IF(AND(A708="China",J708=2050),0.92,IF(AND(A708="India",J708=2035),0.95,IF(AND(A708="India",J708=2050),0.92,IF(AND(A708="Middle East",J708=2035),0.94,IF(AND(A708="Middle East",J708=2050),0.9,IF(AND(A708="Africa",J708=2035),0.94,IF(AND(A708="Africa",J708=2050),0.91,IF(AND(A708="Brazil",J708=2035),0.95,IF(AND(A708="Brazil",J708=2050),0.92,""))))))))))))))))))</f>
        <v>*0.9</v>
      </c>
      <c r="P708" s="32" t="s">
        <v>1582</v>
      </c>
      <c r="Q708" s="42" t="s">
        <v>57</v>
      </c>
      <c r="R708" s="32">
        <v>2035</v>
      </c>
      <c r="S708" s="43" t="str">
        <f t="shared" ref="S708:S771" si="92">"*"&amp;IF(AND(A708="EU",R708=2035),0.95,IF(AND(A708="EU",R708=2050),0.93,IF(AND(A708="USA",R708=2035),0.96,IF(AND(A708="USA",R708=2050),0.93,IF(AND(A708="Japan",R708=2035),0.94,IF(AND(A708="Japan",R708=2050),0.92,IF(AND(A708="Russia",R708=2035),0.95,IF(AND(A708="Russia",R708=2050),0.91,IF(AND(A708="China",R708=2035),0.93,IF(AND(A708="China",R708=2050),0.92,IF(AND(A708="India",R708=2035),0.94,IF(AND(A708="India",R708=2050),0.91,IF(AND(A708="Middle East",R708=2035),0.92,IF(AND(A708="Middle East",R708=2050),0.89,IF(AND(A708="Africa",R708=2035),0.93,IF(AND(A708="Africa",R708=2050),0.9,IF(AND(A708="Brazil",R708=2035),0.95,IF(AND(A708="Brazil",R708=2050),0.92,""))))))))))))))))))</f>
        <v>*0.92</v>
      </c>
      <c r="U708" s="32" t="s">
        <v>1582</v>
      </c>
      <c r="V708" s="42" t="s">
        <v>57</v>
      </c>
      <c r="W708" s="32">
        <v>2050</v>
      </c>
      <c r="X708" s="43" t="str">
        <f t="shared" ref="X708:X771" si="93">"*"&amp;IF(AND(A708="EU",W708=2035),0.95,IF(AND(A708="EU",W708=2050),0.93,IF(AND(A708="USA",W708=2035),0.96,IF(AND(A708="USA",W708=2050),0.93,IF(AND(A708="Japan",W708=2035),0.94,IF(AND(A708="Japan",W708=2050),0.92,IF(AND(A708="Russia",W708=2035),0.95,IF(AND(A708="Russia",W708=2050),0.91,IF(AND(A708="China",W708=2035),0.93,IF(AND(A708="China",W708=2050),0.92,IF(AND(A708="India",W708=2035),0.94,IF(AND(A708="India",W708=2050),0.91,IF(AND(A708="Middle East",W708=2035),0.92,IF(AND(A708="Middle East",W708=2050),0.89,IF(AND(A708="Africa",W708=2035),0.93,IF(AND(A708="Africa",W708=2050),0.9,IF(AND(A708="Brazil",W708=2035),0.95,IF(AND(A708="Brazil",W708=2050),0.92,""))))))))))))))))))</f>
        <v>*0.89</v>
      </c>
      <c r="AC708" s="33" t="s">
        <v>1582</v>
      </c>
      <c r="AD708" s="44" t="s">
        <v>57</v>
      </c>
      <c r="AE708" s="33">
        <v>2035</v>
      </c>
      <c r="AF708" s="45" t="str">
        <f t="shared" ref="AF708:AF771" si="94">"*"&amp;IF(AND(A708="EU",AE708=2035),0.93,IF(AND(A708="EU",AE708=2050),0.9,IF(AND(A708="USA",AE708=2035),0.92,IF(AND(A708="USA",AE708=2050),0.89,IF(AND(A708="Japan",AE708=2035),0.92,IF(AND(A708="Japan",AE708=2050),0.89,IF(AND(A708="Russia",AE708=2035),0.91,IF(AND(A708="Russia",AE708=2050),0.86,IF(AND(A708="China",AE708=2035),0.91,IF(AND(A708="China",AE708=2050),0.87,IF(AND(A708="India",AE708=2035),0.92,IF(AND(A708="India",AE708=2050),0.87,IF(AND(A708="Middle East",AE708=2035),0.89,IF(AND(A708="Middle East",AE708=2050),0.84,IF(AND(A708="Africa",AE708=2035),0.9,IF(AND(A708="Africa",AE708=2050),0.86,IF(AND(A708="Brazil",AE708=2035),0.93,IF(AND(A708="Brazil",AE708=2050),0.89,""))))))))))))))))))</f>
        <v>*0.89</v>
      </c>
      <c r="AG708" s="43" t="str">
        <f t="shared" si="88"/>
        <v>REZoning_Sol-Win</v>
      </c>
      <c r="AI708" s="33" t="s">
        <v>1582</v>
      </c>
      <c r="AJ708" s="44" t="s">
        <v>57</v>
      </c>
      <c r="AK708" s="33">
        <v>2050</v>
      </c>
      <c r="AL708" s="45" t="str">
        <f t="shared" ref="AL708:AL771" si="95">"*"&amp;IF(AND(A708="EU",AK708=2035),0.93,IF(AND(A708="EU",AK708=2050),0.9,IF(AND(A708="USA",AK708=2035),0.92,IF(AND(A708="USA",AK708=2050),0.89,IF(AND(A708="Japan",AK708=2035),0.92,IF(AND(A708="Japan",AK708=2050),0.89,IF(AND(A708="Russia",AK708=2035),0.91,IF(AND(A708="Russia",AK708=2050),0.86,IF(AND(A708="China",AK708=2035),0.91,IF(AND(A708="China",AK708=2050),0.87,IF(AND(A708="India",AK708=2035),0.92,IF(AND(A708="India",AK708=2050),0.87,IF(AND(A708="Middle East",AK708=2035),0.89,IF(AND(A708="Middle East",AK708=2050),0.84,IF(AND(A708="Africa",AK708=2035),0.9,IF(AND(A708="Africa",AK708=2050),0.86,IF(AND(A708="Brazil",AK708=2035),0.93,IF(AND(A708="Brazil",AK708=2050),0.89,""))))))))))))))))))</f>
        <v>*0.84</v>
      </c>
      <c r="AM708" s="43" t="str">
        <f t="shared" si="89"/>
        <v>REZoning_Sol-Win</v>
      </c>
      <c r="AP708" t="s">
        <v>1582</v>
      </c>
      <c r="AQ708" t="s">
        <v>57</v>
      </c>
      <c r="AR708">
        <v>2100</v>
      </c>
      <c r="AS708" t="s">
        <v>919</v>
      </c>
      <c r="AT708" t="s">
        <v>58</v>
      </c>
    </row>
    <row r="709" ht="29" spans="1:46">
      <c r="A709" s="31" t="s">
        <v>79</v>
      </c>
      <c r="C709" t="s">
        <v>1583</v>
      </c>
      <c r="D709" s="5" t="s">
        <v>57</v>
      </c>
      <c r="E709">
        <v>2035</v>
      </c>
      <c r="F709" s="6" t="str">
        <f t="shared" si="90"/>
        <v>*0.94</v>
      </c>
      <c r="H709" t="s">
        <v>1583</v>
      </c>
      <c r="I709" s="5" t="s">
        <v>57</v>
      </c>
      <c r="J709">
        <v>2050</v>
      </c>
      <c r="K709" s="38" t="str">
        <f t="shared" si="91"/>
        <v>*0.9</v>
      </c>
      <c r="P709" s="32" t="s">
        <v>1583</v>
      </c>
      <c r="Q709" s="42" t="s">
        <v>57</v>
      </c>
      <c r="R709" s="32">
        <v>2035</v>
      </c>
      <c r="S709" s="43" t="str">
        <f t="shared" si="92"/>
        <v>*0.92</v>
      </c>
      <c r="U709" s="32" t="s">
        <v>1583</v>
      </c>
      <c r="V709" s="42" t="s">
        <v>57</v>
      </c>
      <c r="W709" s="32">
        <v>2050</v>
      </c>
      <c r="X709" s="43" t="str">
        <f t="shared" si="93"/>
        <v>*0.89</v>
      </c>
      <c r="AC709" s="33" t="s">
        <v>1583</v>
      </c>
      <c r="AD709" s="44" t="s">
        <v>57</v>
      </c>
      <c r="AE709" s="33">
        <v>2035</v>
      </c>
      <c r="AF709" s="45" t="str">
        <f t="shared" si="94"/>
        <v>*0.89</v>
      </c>
      <c r="AG709" s="43" t="str">
        <f t="shared" si="88"/>
        <v>REZoning_Sol-Win</v>
      </c>
      <c r="AI709" s="33" t="s">
        <v>1583</v>
      </c>
      <c r="AJ709" s="44" t="s">
        <v>57</v>
      </c>
      <c r="AK709" s="33">
        <v>2050</v>
      </c>
      <c r="AL709" s="45" t="str">
        <f t="shared" si="95"/>
        <v>*0.84</v>
      </c>
      <c r="AM709" s="43" t="str">
        <f t="shared" si="89"/>
        <v>REZoning_Sol-Win</v>
      </c>
      <c r="AP709" t="s">
        <v>1583</v>
      </c>
      <c r="AQ709" t="s">
        <v>57</v>
      </c>
      <c r="AR709">
        <v>2100</v>
      </c>
      <c r="AS709" t="s">
        <v>919</v>
      </c>
      <c r="AT709" t="s">
        <v>58</v>
      </c>
    </row>
    <row r="710" ht="29" spans="1:46">
      <c r="A710" s="31" t="s">
        <v>79</v>
      </c>
      <c r="C710" t="s">
        <v>1584</v>
      </c>
      <c r="D710" s="5" t="s">
        <v>57</v>
      </c>
      <c r="E710">
        <v>2035</v>
      </c>
      <c r="F710" s="6" t="str">
        <f t="shared" si="90"/>
        <v>*0.94</v>
      </c>
      <c r="H710" t="s">
        <v>1584</v>
      </c>
      <c r="I710" s="5" t="s">
        <v>57</v>
      </c>
      <c r="J710">
        <v>2050</v>
      </c>
      <c r="K710" s="38" t="str">
        <f t="shared" si="91"/>
        <v>*0.9</v>
      </c>
      <c r="P710" s="32" t="s">
        <v>1584</v>
      </c>
      <c r="Q710" s="42" t="s">
        <v>57</v>
      </c>
      <c r="R710" s="32">
        <v>2035</v>
      </c>
      <c r="S710" s="43" t="str">
        <f t="shared" si="92"/>
        <v>*0.92</v>
      </c>
      <c r="U710" s="32" t="s">
        <v>1584</v>
      </c>
      <c r="V710" s="42" t="s">
        <v>57</v>
      </c>
      <c r="W710" s="32">
        <v>2050</v>
      </c>
      <c r="X710" s="43" t="str">
        <f t="shared" si="93"/>
        <v>*0.89</v>
      </c>
      <c r="AC710" s="33" t="s">
        <v>1584</v>
      </c>
      <c r="AD710" s="44" t="s">
        <v>57</v>
      </c>
      <c r="AE710" s="33">
        <v>2035</v>
      </c>
      <c r="AF710" s="45" t="str">
        <f t="shared" si="94"/>
        <v>*0.89</v>
      </c>
      <c r="AG710" s="43" t="str">
        <f t="shared" si="88"/>
        <v>REZoning_Sol-Win</v>
      </c>
      <c r="AI710" s="33" t="s">
        <v>1584</v>
      </c>
      <c r="AJ710" s="44" t="s">
        <v>57</v>
      </c>
      <c r="AK710" s="33">
        <v>2050</v>
      </c>
      <c r="AL710" s="45" t="str">
        <f t="shared" si="95"/>
        <v>*0.84</v>
      </c>
      <c r="AM710" s="43" t="str">
        <f t="shared" si="89"/>
        <v>REZoning_Sol-Win</v>
      </c>
      <c r="AP710" t="s">
        <v>1584</v>
      </c>
      <c r="AQ710" t="s">
        <v>57</v>
      </c>
      <c r="AR710">
        <v>2100</v>
      </c>
      <c r="AS710" t="s">
        <v>919</v>
      </c>
      <c r="AT710" t="s">
        <v>58</v>
      </c>
    </row>
    <row r="711" ht="29" spans="1:46">
      <c r="A711" s="31" t="s">
        <v>79</v>
      </c>
      <c r="C711" t="s">
        <v>1585</v>
      </c>
      <c r="D711" s="5" t="s">
        <v>57</v>
      </c>
      <c r="E711">
        <v>2035</v>
      </c>
      <c r="F711" s="6" t="str">
        <f t="shared" si="90"/>
        <v>*0.94</v>
      </c>
      <c r="H711" t="s">
        <v>1585</v>
      </c>
      <c r="I711" s="5" t="s">
        <v>57</v>
      </c>
      <c r="J711">
        <v>2050</v>
      </c>
      <c r="K711" s="38" t="str">
        <f t="shared" si="91"/>
        <v>*0.9</v>
      </c>
      <c r="P711" s="32" t="s">
        <v>1585</v>
      </c>
      <c r="Q711" s="42" t="s">
        <v>57</v>
      </c>
      <c r="R711" s="32">
        <v>2035</v>
      </c>
      <c r="S711" s="43" t="str">
        <f t="shared" si="92"/>
        <v>*0.92</v>
      </c>
      <c r="U711" s="32" t="s">
        <v>1585</v>
      </c>
      <c r="V711" s="42" t="s">
        <v>57</v>
      </c>
      <c r="W711" s="32">
        <v>2050</v>
      </c>
      <c r="X711" s="43" t="str">
        <f t="shared" si="93"/>
        <v>*0.89</v>
      </c>
      <c r="AC711" s="33" t="s">
        <v>1585</v>
      </c>
      <c r="AD711" s="44" t="s">
        <v>57</v>
      </c>
      <c r="AE711" s="33">
        <v>2035</v>
      </c>
      <c r="AF711" s="45" t="str">
        <f t="shared" si="94"/>
        <v>*0.89</v>
      </c>
      <c r="AG711" s="43" t="str">
        <f t="shared" si="88"/>
        <v>REZoning_Sol-Win</v>
      </c>
      <c r="AI711" s="33" t="s">
        <v>1585</v>
      </c>
      <c r="AJ711" s="44" t="s">
        <v>57</v>
      </c>
      <c r="AK711" s="33">
        <v>2050</v>
      </c>
      <c r="AL711" s="45" t="str">
        <f t="shared" si="95"/>
        <v>*0.84</v>
      </c>
      <c r="AM711" s="43" t="str">
        <f t="shared" si="89"/>
        <v>REZoning_Sol-Win</v>
      </c>
      <c r="AP711" t="s">
        <v>1585</v>
      </c>
      <c r="AQ711" t="s">
        <v>57</v>
      </c>
      <c r="AR711">
        <v>2100</v>
      </c>
      <c r="AS711" t="s">
        <v>919</v>
      </c>
      <c r="AT711" t="s">
        <v>58</v>
      </c>
    </row>
    <row r="712" ht="29" spans="1:46">
      <c r="A712" s="31" t="s">
        <v>79</v>
      </c>
      <c r="C712" t="s">
        <v>1586</v>
      </c>
      <c r="D712" s="5" t="s">
        <v>57</v>
      </c>
      <c r="E712">
        <v>2035</v>
      </c>
      <c r="F712" s="6" t="str">
        <f t="shared" si="90"/>
        <v>*0.94</v>
      </c>
      <c r="H712" t="s">
        <v>1586</v>
      </c>
      <c r="I712" s="5" t="s">
        <v>57</v>
      </c>
      <c r="J712">
        <v>2050</v>
      </c>
      <c r="K712" s="38" t="str">
        <f t="shared" si="91"/>
        <v>*0.9</v>
      </c>
      <c r="P712" s="32" t="s">
        <v>1586</v>
      </c>
      <c r="Q712" s="42" t="s">
        <v>57</v>
      </c>
      <c r="R712" s="32">
        <v>2035</v>
      </c>
      <c r="S712" s="43" t="str">
        <f t="shared" si="92"/>
        <v>*0.92</v>
      </c>
      <c r="U712" s="32" t="s">
        <v>1586</v>
      </c>
      <c r="V712" s="42" t="s">
        <v>57</v>
      </c>
      <c r="W712" s="32">
        <v>2050</v>
      </c>
      <c r="X712" s="43" t="str">
        <f t="shared" si="93"/>
        <v>*0.89</v>
      </c>
      <c r="AC712" s="33" t="s">
        <v>1586</v>
      </c>
      <c r="AD712" s="44" t="s">
        <v>57</v>
      </c>
      <c r="AE712" s="33">
        <v>2035</v>
      </c>
      <c r="AF712" s="45" t="str">
        <f t="shared" si="94"/>
        <v>*0.89</v>
      </c>
      <c r="AG712" s="43" t="str">
        <f t="shared" si="88"/>
        <v>REZoning_Sol-Win</v>
      </c>
      <c r="AI712" s="33" t="s">
        <v>1586</v>
      </c>
      <c r="AJ712" s="44" t="s">
        <v>57</v>
      </c>
      <c r="AK712" s="33">
        <v>2050</v>
      </c>
      <c r="AL712" s="45" t="str">
        <f t="shared" si="95"/>
        <v>*0.84</v>
      </c>
      <c r="AM712" s="43" t="str">
        <f t="shared" si="89"/>
        <v>REZoning_Sol-Win</v>
      </c>
      <c r="AP712" t="s">
        <v>1586</v>
      </c>
      <c r="AQ712" t="s">
        <v>57</v>
      </c>
      <c r="AR712">
        <v>2100</v>
      </c>
      <c r="AS712" t="s">
        <v>919</v>
      </c>
      <c r="AT712" t="s">
        <v>58</v>
      </c>
    </row>
    <row r="713" ht="29" spans="1:46">
      <c r="A713" s="31" t="s">
        <v>79</v>
      </c>
      <c r="C713" t="s">
        <v>1587</v>
      </c>
      <c r="D713" s="5" t="s">
        <v>57</v>
      </c>
      <c r="E713">
        <v>2035</v>
      </c>
      <c r="F713" s="6" t="str">
        <f t="shared" si="90"/>
        <v>*0.94</v>
      </c>
      <c r="H713" t="s">
        <v>1587</v>
      </c>
      <c r="I713" s="5" t="s">
        <v>57</v>
      </c>
      <c r="J713">
        <v>2050</v>
      </c>
      <c r="K713" s="38" t="str">
        <f t="shared" si="91"/>
        <v>*0.9</v>
      </c>
      <c r="P713" s="32" t="s">
        <v>1587</v>
      </c>
      <c r="Q713" s="42" t="s">
        <v>57</v>
      </c>
      <c r="R713" s="32">
        <v>2035</v>
      </c>
      <c r="S713" s="43" t="str">
        <f t="shared" si="92"/>
        <v>*0.92</v>
      </c>
      <c r="U713" s="32" t="s">
        <v>1587</v>
      </c>
      <c r="V713" s="42" t="s">
        <v>57</v>
      </c>
      <c r="W713" s="32">
        <v>2050</v>
      </c>
      <c r="X713" s="43" t="str">
        <f t="shared" si="93"/>
        <v>*0.89</v>
      </c>
      <c r="AC713" s="33" t="s">
        <v>1587</v>
      </c>
      <c r="AD713" s="44" t="s">
        <v>57</v>
      </c>
      <c r="AE713" s="33">
        <v>2035</v>
      </c>
      <c r="AF713" s="45" t="str">
        <f t="shared" si="94"/>
        <v>*0.89</v>
      </c>
      <c r="AG713" s="43" t="str">
        <f t="shared" ref="AG713:AG776" si="96">AG712</f>
        <v>REZoning_Sol-Win</v>
      </c>
      <c r="AI713" s="33" t="s">
        <v>1587</v>
      </c>
      <c r="AJ713" s="44" t="s">
        <v>57</v>
      </c>
      <c r="AK713" s="33">
        <v>2050</v>
      </c>
      <c r="AL713" s="45" t="str">
        <f t="shared" si="95"/>
        <v>*0.84</v>
      </c>
      <c r="AM713" s="43" t="str">
        <f t="shared" si="89"/>
        <v>REZoning_Sol-Win</v>
      </c>
      <c r="AP713" t="s">
        <v>1587</v>
      </c>
      <c r="AQ713" t="s">
        <v>57</v>
      </c>
      <c r="AR713">
        <v>2100</v>
      </c>
      <c r="AS713" t="s">
        <v>919</v>
      </c>
      <c r="AT713" t="s">
        <v>58</v>
      </c>
    </row>
    <row r="714" ht="29" spans="1:46">
      <c r="A714" s="31" t="s">
        <v>79</v>
      </c>
      <c r="C714" t="s">
        <v>1588</v>
      </c>
      <c r="D714" s="5" t="s">
        <v>57</v>
      </c>
      <c r="E714">
        <v>2035</v>
      </c>
      <c r="F714" s="6" t="str">
        <f t="shared" si="90"/>
        <v>*0.94</v>
      </c>
      <c r="H714" t="s">
        <v>1588</v>
      </c>
      <c r="I714" s="5" t="s">
        <v>57</v>
      </c>
      <c r="J714">
        <v>2050</v>
      </c>
      <c r="K714" s="38" t="str">
        <f t="shared" si="91"/>
        <v>*0.9</v>
      </c>
      <c r="P714" s="32" t="s">
        <v>1588</v>
      </c>
      <c r="Q714" s="42" t="s">
        <v>57</v>
      </c>
      <c r="R714" s="32">
        <v>2035</v>
      </c>
      <c r="S714" s="43" t="str">
        <f t="shared" si="92"/>
        <v>*0.92</v>
      </c>
      <c r="U714" s="32" t="s">
        <v>1588</v>
      </c>
      <c r="V714" s="42" t="s">
        <v>57</v>
      </c>
      <c r="W714" s="32">
        <v>2050</v>
      </c>
      <c r="X714" s="43" t="str">
        <f t="shared" si="93"/>
        <v>*0.89</v>
      </c>
      <c r="AC714" s="33" t="s">
        <v>1588</v>
      </c>
      <c r="AD714" s="44" t="s">
        <v>57</v>
      </c>
      <c r="AE714" s="33">
        <v>2035</v>
      </c>
      <c r="AF714" s="45" t="str">
        <f t="shared" si="94"/>
        <v>*0.89</v>
      </c>
      <c r="AG714" s="43" t="str">
        <f t="shared" si="96"/>
        <v>REZoning_Sol-Win</v>
      </c>
      <c r="AI714" s="33" t="s">
        <v>1588</v>
      </c>
      <c r="AJ714" s="44" t="s">
        <v>57</v>
      </c>
      <c r="AK714" s="33">
        <v>2050</v>
      </c>
      <c r="AL714" s="45" t="str">
        <f t="shared" si="95"/>
        <v>*0.84</v>
      </c>
      <c r="AM714" s="43" t="str">
        <f t="shared" ref="AM714:AM777" si="97">AM713</f>
        <v>REZoning_Sol-Win</v>
      </c>
      <c r="AP714" t="s">
        <v>1588</v>
      </c>
      <c r="AQ714" t="s">
        <v>57</v>
      </c>
      <c r="AR714">
        <v>2100</v>
      </c>
      <c r="AS714" t="s">
        <v>919</v>
      </c>
      <c r="AT714" t="s">
        <v>58</v>
      </c>
    </row>
    <row r="715" ht="29" spans="1:46">
      <c r="A715" s="31" t="s">
        <v>79</v>
      </c>
      <c r="C715" t="s">
        <v>1589</v>
      </c>
      <c r="D715" s="5" t="s">
        <v>57</v>
      </c>
      <c r="E715">
        <v>2035</v>
      </c>
      <c r="F715" s="6" t="str">
        <f t="shared" si="90"/>
        <v>*0.94</v>
      </c>
      <c r="H715" t="s">
        <v>1589</v>
      </c>
      <c r="I715" s="5" t="s">
        <v>57</v>
      </c>
      <c r="J715">
        <v>2050</v>
      </c>
      <c r="K715" s="38" t="str">
        <f t="shared" si="91"/>
        <v>*0.9</v>
      </c>
      <c r="P715" s="32" t="s">
        <v>1589</v>
      </c>
      <c r="Q715" s="42" t="s">
        <v>57</v>
      </c>
      <c r="R715" s="32">
        <v>2035</v>
      </c>
      <c r="S715" s="43" t="str">
        <f t="shared" si="92"/>
        <v>*0.92</v>
      </c>
      <c r="U715" s="32" t="s">
        <v>1589</v>
      </c>
      <c r="V715" s="42" t="s">
        <v>57</v>
      </c>
      <c r="W715" s="32">
        <v>2050</v>
      </c>
      <c r="X715" s="43" t="str">
        <f t="shared" si="93"/>
        <v>*0.89</v>
      </c>
      <c r="AC715" s="33" t="s">
        <v>1589</v>
      </c>
      <c r="AD715" s="44" t="s">
        <v>57</v>
      </c>
      <c r="AE715" s="33">
        <v>2035</v>
      </c>
      <c r="AF715" s="45" t="str">
        <f t="shared" si="94"/>
        <v>*0.89</v>
      </c>
      <c r="AG715" s="43" t="str">
        <f t="shared" si="96"/>
        <v>REZoning_Sol-Win</v>
      </c>
      <c r="AI715" s="33" t="s">
        <v>1589</v>
      </c>
      <c r="AJ715" s="44" t="s">
        <v>57</v>
      </c>
      <c r="AK715" s="33">
        <v>2050</v>
      </c>
      <c r="AL715" s="45" t="str">
        <f t="shared" si="95"/>
        <v>*0.84</v>
      </c>
      <c r="AM715" s="43" t="str">
        <f t="shared" si="97"/>
        <v>REZoning_Sol-Win</v>
      </c>
      <c r="AP715" t="s">
        <v>1589</v>
      </c>
      <c r="AQ715" t="s">
        <v>57</v>
      </c>
      <c r="AR715">
        <v>2100</v>
      </c>
      <c r="AS715" t="s">
        <v>919</v>
      </c>
      <c r="AT715" t="s">
        <v>58</v>
      </c>
    </row>
    <row r="716" ht="29" spans="1:46">
      <c r="A716" s="31" t="s">
        <v>79</v>
      </c>
      <c r="C716" t="s">
        <v>1590</v>
      </c>
      <c r="D716" s="5" t="s">
        <v>57</v>
      </c>
      <c r="E716">
        <v>2035</v>
      </c>
      <c r="F716" s="6" t="str">
        <f t="shared" si="90"/>
        <v>*0.94</v>
      </c>
      <c r="H716" t="s">
        <v>1590</v>
      </c>
      <c r="I716" s="5" t="s">
        <v>57</v>
      </c>
      <c r="J716">
        <v>2050</v>
      </c>
      <c r="K716" s="38" t="str">
        <f t="shared" si="91"/>
        <v>*0.9</v>
      </c>
      <c r="P716" s="32" t="s">
        <v>1590</v>
      </c>
      <c r="Q716" s="42" t="s">
        <v>57</v>
      </c>
      <c r="R716" s="32">
        <v>2035</v>
      </c>
      <c r="S716" s="43" t="str">
        <f t="shared" si="92"/>
        <v>*0.92</v>
      </c>
      <c r="U716" s="32" t="s">
        <v>1590</v>
      </c>
      <c r="V716" s="42" t="s">
        <v>57</v>
      </c>
      <c r="W716" s="32">
        <v>2050</v>
      </c>
      <c r="X716" s="43" t="str">
        <f t="shared" si="93"/>
        <v>*0.89</v>
      </c>
      <c r="AC716" s="33" t="s">
        <v>1590</v>
      </c>
      <c r="AD716" s="44" t="s">
        <v>57</v>
      </c>
      <c r="AE716" s="33">
        <v>2035</v>
      </c>
      <c r="AF716" s="45" t="str">
        <f t="shared" si="94"/>
        <v>*0.89</v>
      </c>
      <c r="AG716" s="43" t="str">
        <f t="shared" si="96"/>
        <v>REZoning_Sol-Win</v>
      </c>
      <c r="AI716" s="33" t="s">
        <v>1590</v>
      </c>
      <c r="AJ716" s="44" t="s">
        <v>57</v>
      </c>
      <c r="AK716" s="33">
        <v>2050</v>
      </c>
      <c r="AL716" s="45" t="str">
        <f t="shared" si="95"/>
        <v>*0.84</v>
      </c>
      <c r="AM716" s="43" t="str">
        <f t="shared" si="97"/>
        <v>REZoning_Sol-Win</v>
      </c>
      <c r="AP716" t="s">
        <v>1590</v>
      </c>
      <c r="AQ716" t="s">
        <v>57</v>
      </c>
      <c r="AR716">
        <v>2100</v>
      </c>
      <c r="AS716" t="s">
        <v>919</v>
      </c>
      <c r="AT716" t="s">
        <v>58</v>
      </c>
    </row>
    <row r="717" ht="29" spans="1:46">
      <c r="A717" s="31" t="s">
        <v>79</v>
      </c>
      <c r="C717" t="s">
        <v>1591</v>
      </c>
      <c r="D717" s="5" t="s">
        <v>57</v>
      </c>
      <c r="E717">
        <v>2035</v>
      </c>
      <c r="F717" s="6" t="str">
        <f t="shared" si="90"/>
        <v>*0.94</v>
      </c>
      <c r="H717" t="s">
        <v>1591</v>
      </c>
      <c r="I717" s="5" t="s">
        <v>57</v>
      </c>
      <c r="J717">
        <v>2050</v>
      </c>
      <c r="K717" s="38" t="str">
        <f t="shared" si="91"/>
        <v>*0.9</v>
      </c>
      <c r="P717" s="32" t="s">
        <v>1591</v>
      </c>
      <c r="Q717" s="42" t="s">
        <v>57</v>
      </c>
      <c r="R717" s="32">
        <v>2035</v>
      </c>
      <c r="S717" s="43" t="str">
        <f t="shared" si="92"/>
        <v>*0.92</v>
      </c>
      <c r="U717" s="32" t="s">
        <v>1591</v>
      </c>
      <c r="V717" s="42" t="s">
        <v>57</v>
      </c>
      <c r="W717" s="32">
        <v>2050</v>
      </c>
      <c r="X717" s="43" t="str">
        <f t="shared" si="93"/>
        <v>*0.89</v>
      </c>
      <c r="AC717" s="33" t="s">
        <v>1591</v>
      </c>
      <c r="AD717" s="44" t="s">
        <v>57</v>
      </c>
      <c r="AE717" s="33">
        <v>2035</v>
      </c>
      <c r="AF717" s="45" t="str">
        <f t="shared" si="94"/>
        <v>*0.89</v>
      </c>
      <c r="AG717" s="43" t="str">
        <f t="shared" si="96"/>
        <v>REZoning_Sol-Win</v>
      </c>
      <c r="AI717" s="33" t="s">
        <v>1591</v>
      </c>
      <c r="AJ717" s="44" t="s">
        <v>57</v>
      </c>
      <c r="AK717" s="33">
        <v>2050</v>
      </c>
      <c r="AL717" s="45" t="str">
        <f t="shared" si="95"/>
        <v>*0.84</v>
      </c>
      <c r="AM717" s="43" t="str">
        <f t="shared" si="97"/>
        <v>REZoning_Sol-Win</v>
      </c>
      <c r="AP717" t="s">
        <v>1591</v>
      </c>
      <c r="AQ717" t="s">
        <v>57</v>
      </c>
      <c r="AR717">
        <v>2100</v>
      </c>
      <c r="AS717" t="s">
        <v>919</v>
      </c>
      <c r="AT717" t="s">
        <v>58</v>
      </c>
    </row>
    <row r="718" ht="29" spans="1:46">
      <c r="A718" s="31" t="s">
        <v>79</v>
      </c>
      <c r="C718" t="s">
        <v>1592</v>
      </c>
      <c r="D718" s="5" t="s">
        <v>57</v>
      </c>
      <c r="E718">
        <v>2035</v>
      </c>
      <c r="F718" s="6" t="str">
        <f t="shared" si="90"/>
        <v>*0.94</v>
      </c>
      <c r="H718" t="s">
        <v>1592</v>
      </c>
      <c r="I718" s="5" t="s">
        <v>57</v>
      </c>
      <c r="J718">
        <v>2050</v>
      </c>
      <c r="K718" s="38" t="str">
        <f t="shared" si="91"/>
        <v>*0.9</v>
      </c>
      <c r="P718" s="32" t="s">
        <v>1592</v>
      </c>
      <c r="Q718" s="42" t="s">
        <v>57</v>
      </c>
      <c r="R718" s="32">
        <v>2035</v>
      </c>
      <c r="S718" s="43" t="str">
        <f t="shared" si="92"/>
        <v>*0.92</v>
      </c>
      <c r="U718" s="32" t="s">
        <v>1592</v>
      </c>
      <c r="V718" s="42" t="s">
        <v>57</v>
      </c>
      <c r="W718" s="32">
        <v>2050</v>
      </c>
      <c r="X718" s="43" t="str">
        <f t="shared" si="93"/>
        <v>*0.89</v>
      </c>
      <c r="AC718" s="33" t="s">
        <v>1592</v>
      </c>
      <c r="AD718" s="44" t="s">
        <v>57</v>
      </c>
      <c r="AE718" s="33">
        <v>2035</v>
      </c>
      <c r="AF718" s="45" t="str">
        <f t="shared" si="94"/>
        <v>*0.89</v>
      </c>
      <c r="AG718" s="43" t="str">
        <f t="shared" si="96"/>
        <v>REZoning_Sol-Win</v>
      </c>
      <c r="AI718" s="33" t="s">
        <v>1592</v>
      </c>
      <c r="AJ718" s="44" t="s">
        <v>57</v>
      </c>
      <c r="AK718" s="33">
        <v>2050</v>
      </c>
      <c r="AL718" s="45" t="str">
        <f t="shared" si="95"/>
        <v>*0.84</v>
      </c>
      <c r="AM718" s="43" t="str">
        <f t="shared" si="97"/>
        <v>REZoning_Sol-Win</v>
      </c>
      <c r="AP718" t="s">
        <v>1592</v>
      </c>
      <c r="AQ718" t="s">
        <v>57</v>
      </c>
      <c r="AR718">
        <v>2100</v>
      </c>
      <c r="AS718" t="s">
        <v>919</v>
      </c>
      <c r="AT718" t="s">
        <v>58</v>
      </c>
    </row>
    <row r="719" ht="29" spans="1:46">
      <c r="A719" s="31" t="s">
        <v>79</v>
      </c>
      <c r="C719" t="s">
        <v>1593</v>
      </c>
      <c r="D719" s="5" t="s">
        <v>57</v>
      </c>
      <c r="E719">
        <v>2035</v>
      </c>
      <c r="F719" s="6" t="str">
        <f t="shared" si="90"/>
        <v>*0.94</v>
      </c>
      <c r="H719" t="s">
        <v>1593</v>
      </c>
      <c r="I719" s="5" t="s">
        <v>57</v>
      </c>
      <c r="J719">
        <v>2050</v>
      </c>
      <c r="K719" s="38" t="str">
        <f t="shared" si="91"/>
        <v>*0.9</v>
      </c>
      <c r="P719" s="32" t="s">
        <v>1593</v>
      </c>
      <c r="Q719" s="42" t="s">
        <v>57</v>
      </c>
      <c r="R719" s="32">
        <v>2035</v>
      </c>
      <c r="S719" s="43" t="str">
        <f t="shared" si="92"/>
        <v>*0.92</v>
      </c>
      <c r="U719" s="32" t="s">
        <v>1593</v>
      </c>
      <c r="V719" s="42" t="s">
        <v>57</v>
      </c>
      <c r="W719" s="32">
        <v>2050</v>
      </c>
      <c r="X719" s="43" t="str">
        <f t="shared" si="93"/>
        <v>*0.89</v>
      </c>
      <c r="AC719" s="33" t="s">
        <v>1593</v>
      </c>
      <c r="AD719" s="44" t="s">
        <v>57</v>
      </c>
      <c r="AE719" s="33">
        <v>2035</v>
      </c>
      <c r="AF719" s="45" t="str">
        <f t="shared" si="94"/>
        <v>*0.89</v>
      </c>
      <c r="AG719" s="43" t="str">
        <f t="shared" si="96"/>
        <v>REZoning_Sol-Win</v>
      </c>
      <c r="AI719" s="33" t="s">
        <v>1593</v>
      </c>
      <c r="AJ719" s="44" t="s">
        <v>57</v>
      </c>
      <c r="AK719" s="33">
        <v>2050</v>
      </c>
      <c r="AL719" s="45" t="str">
        <f t="shared" si="95"/>
        <v>*0.84</v>
      </c>
      <c r="AM719" s="43" t="str">
        <f t="shared" si="97"/>
        <v>REZoning_Sol-Win</v>
      </c>
      <c r="AP719" t="s">
        <v>1593</v>
      </c>
      <c r="AQ719" t="s">
        <v>57</v>
      </c>
      <c r="AR719">
        <v>2100</v>
      </c>
      <c r="AS719" t="s">
        <v>919</v>
      </c>
      <c r="AT719" t="s">
        <v>58</v>
      </c>
    </row>
    <row r="720" ht="29" spans="1:46">
      <c r="A720" s="31" t="s">
        <v>65</v>
      </c>
      <c r="C720" t="s">
        <v>1594</v>
      </c>
      <c r="D720" s="5" t="s">
        <v>57</v>
      </c>
      <c r="E720">
        <v>2035</v>
      </c>
      <c r="F720" s="6" t="str">
        <f t="shared" si="90"/>
        <v>*0.94</v>
      </c>
      <c r="H720" t="s">
        <v>1594</v>
      </c>
      <c r="I720" s="5" t="s">
        <v>57</v>
      </c>
      <c r="J720">
        <v>2050</v>
      </c>
      <c r="K720" s="38" t="str">
        <f t="shared" si="91"/>
        <v>*0.91</v>
      </c>
      <c r="P720" s="32" t="s">
        <v>1594</v>
      </c>
      <c r="Q720" s="42" t="s">
        <v>57</v>
      </c>
      <c r="R720" s="32">
        <v>2035</v>
      </c>
      <c r="S720" s="43" t="str">
        <f t="shared" si="92"/>
        <v>*0.93</v>
      </c>
      <c r="U720" s="32" t="s">
        <v>1594</v>
      </c>
      <c r="V720" s="42" t="s">
        <v>57</v>
      </c>
      <c r="W720" s="32">
        <v>2050</v>
      </c>
      <c r="X720" s="43" t="str">
        <f t="shared" si="93"/>
        <v>*0.9</v>
      </c>
      <c r="AC720" s="33" t="s">
        <v>1594</v>
      </c>
      <c r="AD720" s="44" t="s">
        <v>57</v>
      </c>
      <c r="AE720" s="33">
        <v>2035</v>
      </c>
      <c r="AF720" s="45" t="str">
        <f t="shared" si="94"/>
        <v>*0.9</v>
      </c>
      <c r="AG720" s="43" t="str">
        <f t="shared" si="96"/>
        <v>REZoning_Sol-Win</v>
      </c>
      <c r="AI720" s="33" t="s">
        <v>1594</v>
      </c>
      <c r="AJ720" s="44" t="s">
        <v>57</v>
      </c>
      <c r="AK720" s="33">
        <v>2050</v>
      </c>
      <c r="AL720" s="45" t="str">
        <f t="shared" si="95"/>
        <v>*0.86</v>
      </c>
      <c r="AM720" s="43" t="str">
        <f t="shared" si="97"/>
        <v>REZoning_Sol-Win</v>
      </c>
      <c r="AP720" t="s">
        <v>1594</v>
      </c>
      <c r="AQ720" t="s">
        <v>57</v>
      </c>
      <c r="AR720">
        <v>2100</v>
      </c>
      <c r="AS720" t="s">
        <v>883</v>
      </c>
      <c r="AT720" t="s">
        <v>58</v>
      </c>
    </row>
    <row r="721" ht="29" spans="1:46">
      <c r="A721" s="31" t="s">
        <v>65</v>
      </c>
      <c r="C721" t="s">
        <v>1595</v>
      </c>
      <c r="D721" s="5" t="s">
        <v>57</v>
      </c>
      <c r="E721">
        <v>2035</v>
      </c>
      <c r="F721" s="6" t="str">
        <f t="shared" si="90"/>
        <v>*0.94</v>
      </c>
      <c r="H721" t="s">
        <v>1595</v>
      </c>
      <c r="I721" s="5" t="s">
        <v>57</v>
      </c>
      <c r="J721">
        <v>2050</v>
      </c>
      <c r="K721" s="38" t="str">
        <f t="shared" si="91"/>
        <v>*0.91</v>
      </c>
      <c r="P721" s="32" t="s">
        <v>1595</v>
      </c>
      <c r="Q721" s="42" t="s">
        <v>57</v>
      </c>
      <c r="R721" s="32">
        <v>2035</v>
      </c>
      <c r="S721" s="43" t="str">
        <f t="shared" si="92"/>
        <v>*0.93</v>
      </c>
      <c r="U721" s="32" t="s">
        <v>1595</v>
      </c>
      <c r="V721" s="42" t="s">
        <v>57</v>
      </c>
      <c r="W721" s="32">
        <v>2050</v>
      </c>
      <c r="X721" s="43" t="str">
        <f t="shared" si="93"/>
        <v>*0.9</v>
      </c>
      <c r="AC721" s="33" t="s">
        <v>1595</v>
      </c>
      <c r="AD721" s="44" t="s">
        <v>57</v>
      </c>
      <c r="AE721" s="33">
        <v>2035</v>
      </c>
      <c r="AF721" s="45" t="str">
        <f t="shared" si="94"/>
        <v>*0.9</v>
      </c>
      <c r="AG721" s="43" t="str">
        <f t="shared" si="96"/>
        <v>REZoning_Sol-Win</v>
      </c>
      <c r="AI721" s="33" t="s">
        <v>1595</v>
      </c>
      <c r="AJ721" s="44" t="s">
        <v>57</v>
      </c>
      <c r="AK721" s="33">
        <v>2050</v>
      </c>
      <c r="AL721" s="45" t="str">
        <f t="shared" si="95"/>
        <v>*0.86</v>
      </c>
      <c r="AM721" s="43" t="str">
        <f t="shared" si="97"/>
        <v>REZoning_Sol-Win</v>
      </c>
      <c r="AP721" t="s">
        <v>1595</v>
      </c>
      <c r="AQ721" t="s">
        <v>57</v>
      </c>
      <c r="AR721">
        <v>2100</v>
      </c>
      <c r="AS721" t="s">
        <v>883</v>
      </c>
      <c r="AT721" t="s">
        <v>58</v>
      </c>
    </row>
    <row r="722" ht="29" spans="1:46">
      <c r="A722" s="31" t="s">
        <v>65</v>
      </c>
      <c r="C722" t="s">
        <v>1596</v>
      </c>
      <c r="D722" s="5" t="s">
        <v>57</v>
      </c>
      <c r="E722">
        <v>2035</v>
      </c>
      <c r="F722" s="6" t="str">
        <f t="shared" si="90"/>
        <v>*0.94</v>
      </c>
      <c r="H722" t="s">
        <v>1596</v>
      </c>
      <c r="I722" s="5" t="s">
        <v>57</v>
      </c>
      <c r="J722">
        <v>2050</v>
      </c>
      <c r="K722" s="38" t="str">
        <f t="shared" si="91"/>
        <v>*0.91</v>
      </c>
      <c r="P722" s="32" t="s">
        <v>1596</v>
      </c>
      <c r="Q722" s="42" t="s">
        <v>57</v>
      </c>
      <c r="R722" s="32">
        <v>2035</v>
      </c>
      <c r="S722" s="43" t="str">
        <f t="shared" si="92"/>
        <v>*0.93</v>
      </c>
      <c r="U722" s="32" t="s">
        <v>1596</v>
      </c>
      <c r="V722" s="42" t="s">
        <v>57</v>
      </c>
      <c r="W722" s="32">
        <v>2050</v>
      </c>
      <c r="X722" s="43" t="str">
        <f t="shared" si="93"/>
        <v>*0.9</v>
      </c>
      <c r="AC722" s="33" t="s">
        <v>1596</v>
      </c>
      <c r="AD722" s="44" t="s">
        <v>57</v>
      </c>
      <c r="AE722" s="33">
        <v>2035</v>
      </c>
      <c r="AF722" s="45" t="str">
        <f t="shared" si="94"/>
        <v>*0.9</v>
      </c>
      <c r="AG722" s="43" t="str">
        <f t="shared" si="96"/>
        <v>REZoning_Sol-Win</v>
      </c>
      <c r="AI722" s="33" t="s">
        <v>1596</v>
      </c>
      <c r="AJ722" s="44" t="s">
        <v>57</v>
      </c>
      <c r="AK722" s="33">
        <v>2050</v>
      </c>
      <c r="AL722" s="45" t="str">
        <f t="shared" si="95"/>
        <v>*0.86</v>
      </c>
      <c r="AM722" s="43" t="str">
        <f t="shared" si="97"/>
        <v>REZoning_Sol-Win</v>
      </c>
      <c r="AP722" t="s">
        <v>1596</v>
      </c>
      <c r="AQ722" t="s">
        <v>57</v>
      </c>
      <c r="AR722">
        <v>2100</v>
      </c>
      <c r="AS722" t="s">
        <v>883</v>
      </c>
      <c r="AT722" t="s">
        <v>58</v>
      </c>
    </row>
    <row r="723" ht="29" spans="1:46">
      <c r="A723" s="31" t="s">
        <v>65</v>
      </c>
      <c r="C723" t="s">
        <v>1597</v>
      </c>
      <c r="D723" s="5" t="s">
        <v>57</v>
      </c>
      <c r="E723">
        <v>2035</v>
      </c>
      <c r="F723" s="6" t="str">
        <f t="shared" si="90"/>
        <v>*0.94</v>
      </c>
      <c r="H723" t="s">
        <v>1597</v>
      </c>
      <c r="I723" s="5" t="s">
        <v>57</v>
      </c>
      <c r="J723">
        <v>2050</v>
      </c>
      <c r="K723" s="38" t="str">
        <f t="shared" si="91"/>
        <v>*0.91</v>
      </c>
      <c r="P723" s="32" t="s">
        <v>1597</v>
      </c>
      <c r="Q723" s="42" t="s">
        <v>57</v>
      </c>
      <c r="R723" s="32">
        <v>2035</v>
      </c>
      <c r="S723" s="43" t="str">
        <f t="shared" si="92"/>
        <v>*0.93</v>
      </c>
      <c r="U723" s="32" t="s">
        <v>1597</v>
      </c>
      <c r="V723" s="42" t="s">
        <v>57</v>
      </c>
      <c r="W723" s="32">
        <v>2050</v>
      </c>
      <c r="X723" s="43" t="str">
        <f t="shared" si="93"/>
        <v>*0.9</v>
      </c>
      <c r="AC723" s="33" t="s">
        <v>1597</v>
      </c>
      <c r="AD723" s="44" t="s">
        <v>57</v>
      </c>
      <c r="AE723" s="33">
        <v>2035</v>
      </c>
      <c r="AF723" s="45" t="str">
        <f t="shared" si="94"/>
        <v>*0.9</v>
      </c>
      <c r="AG723" s="43" t="str">
        <f t="shared" si="96"/>
        <v>REZoning_Sol-Win</v>
      </c>
      <c r="AI723" s="33" t="s">
        <v>1597</v>
      </c>
      <c r="AJ723" s="44" t="s">
        <v>57</v>
      </c>
      <c r="AK723" s="33">
        <v>2050</v>
      </c>
      <c r="AL723" s="45" t="str">
        <f t="shared" si="95"/>
        <v>*0.86</v>
      </c>
      <c r="AM723" s="43" t="str">
        <f t="shared" si="97"/>
        <v>REZoning_Sol-Win</v>
      </c>
      <c r="AP723" t="s">
        <v>1597</v>
      </c>
      <c r="AQ723" t="s">
        <v>57</v>
      </c>
      <c r="AR723">
        <v>2100</v>
      </c>
      <c r="AS723" t="s">
        <v>883</v>
      </c>
      <c r="AT723" t="s">
        <v>58</v>
      </c>
    </row>
    <row r="724" ht="29" spans="1:46">
      <c r="A724" s="31" t="s">
        <v>73</v>
      </c>
      <c r="C724" t="s">
        <v>1598</v>
      </c>
      <c r="D724" s="5" t="s">
        <v>57</v>
      </c>
      <c r="E724">
        <v>2035</v>
      </c>
      <c r="F724" s="6" t="str">
        <f t="shared" si="90"/>
        <v>*0.95</v>
      </c>
      <c r="H724" t="s">
        <v>1598</v>
      </c>
      <c r="I724" s="5" t="s">
        <v>57</v>
      </c>
      <c r="J724">
        <v>2050</v>
      </c>
      <c r="K724" s="38" t="str">
        <f t="shared" si="91"/>
        <v>*0.93</v>
      </c>
      <c r="P724" s="32" t="s">
        <v>1598</v>
      </c>
      <c r="Q724" s="42" t="s">
        <v>57</v>
      </c>
      <c r="R724" s="32">
        <v>2035</v>
      </c>
      <c r="S724" s="43" t="str">
        <f t="shared" si="92"/>
        <v>*0.95</v>
      </c>
      <c r="U724" s="32" t="s">
        <v>1598</v>
      </c>
      <c r="V724" s="42" t="s">
        <v>57</v>
      </c>
      <c r="W724" s="32">
        <v>2050</v>
      </c>
      <c r="X724" s="43" t="str">
        <f t="shared" si="93"/>
        <v>*0.93</v>
      </c>
      <c r="AC724" s="33" t="s">
        <v>1598</v>
      </c>
      <c r="AD724" s="44" t="s">
        <v>57</v>
      </c>
      <c r="AE724" s="33">
        <v>2035</v>
      </c>
      <c r="AF724" s="45" t="str">
        <f t="shared" si="94"/>
        <v>*0.93</v>
      </c>
      <c r="AG724" s="43" t="str">
        <f t="shared" si="96"/>
        <v>REZoning_Sol-Win</v>
      </c>
      <c r="AI724" s="33" t="s">
        <v>1598</v>
      </c>
      <c r="AJ724" s="44" t="s">
        <v>57</v>
      </c>
      <c r="AK724" s="33">
        <v>2050</v>
      </c>
      <c r="AL724" s="45" t="str">
        <f t="shared" si="95"/>
        <v>*0.9</v>
      </c>
      <c r="AM724" s="43" t="str">
        <f t="shared" si="97"/>
        <v>REZoning_Sol-Win</v>
      </c>
      <c r="AP724" t="s">
        <v>1598</v>
      </c>
      <c r="AQ724" t="s">
        <v>57</v>
      </c>
      <c r="AR724">
        <v>2100</v>
      </c>
      <c r="AS724" t="s">
        <v>897</v>
      </c>
      <c r="AT724" t="s">
        <v>58</v>
      </c>
    </row>
    <row r="725" ht="29" spans="1:46">
      <c r="A725" s="31" t="s">
        <v>73</v>
      </c>
      <c r="C725" t="s">
        <v>1599</v>
      </c>
      <c r="D725" s="5" t="s">
        <v>57</v>
      </c>
      <c r="E725">
        <v>2035</v>
      </c>
      <c r="F725" s="6" t="str">
        <f t="shared" si="90"/>
        <v>*0.95</v>
      </c>
      <c r="H725" t="s">
        <v>1599</v>
      </c>
      <c r="I725" s="5" t="s">
        <v>57</v>
      </c>
      <c r="J725">
        <v>2050</v>
      </c>
      <c r="K725" s="38" t="str">
        <f t="shared" si="91"/>
        <v>*0.93</v>
      </c>
      <c r="P725" s="32" t="s">
        <v>1599</v>
      </c>
      <c r="Q725" s="42" t="s">
        <v>57</v>
      </c>
      <c r="R725" s="32">
        <v>2035</v>
      </c>
      <c r="S725" s="43" t="str">
        <f t="shared" si="92"/>
        <v>*0.95</v>
      </c>
      <c r="U725" s="32" t="s">
        <v>1599</v>
      </c>
      <c r="V725" s="42" t="s">
        <v>57</v>
      </c>
      <c r="W725" s="32">
        <v>2050</v>
      </c>
      <c r="X725" s="43" t="str">
        <f t="shared" si="93"/>
        <v>*0.93</v>
      </c>
      <c r="AC725" s="33" t="s">
        <v>1599</v>
      </c>
      <c r="AD725" s="44" t="s">
        <v>57</v>
      </c>
      <c r="AE725" s="33">
        <v>2035</v>
      </c>
      <c r="AF725" s="45" t="str">
        <f t="shared" si="94"/>
        <v>*0.93</v>
      </c>
      <c r="AG725" s="43" t="str">
        <f t="shared" si="96"/>
        <v>REZoning_Sol-Win</v>
      </c>
      <c r="AI725" s="33" t="s">
        <v>1599</v>
      </c>
      <c r="AJ725" s="44" t="s">
        <v>57</v>
      </c>
      <c r="AK725" s="33">
        <v>2050</v>
      </c>
      <c r="AL725" s="45" t="str">
        <f t="shared" si="95"/>
        <v>*0.9</v>
      </c>
      <c r="AM725" s="43" t="str">
        <f t="shared" si="97"/>
        <v>REZoning_Sol-Win</v>
      </c>
      <c r="AP725" t="s">
        <v>1599</v>
      </c>
      <c r="AQ725" t="s">
        <v>57</v>
      </c>
      <c r="AR725">
        <v>2100</v>
      </c>
      <c r="AS725" t="s">
        <v>897</v>
      </c>
      <c r="AT725" t="s">
        <v>58</v>
      </c>
    </row>
    <row r="726" ht="29" spans="1:46">
      <c r="A726" s="31" t="s">
        <v>73</v>
      </c>
      <c r="C726" t="s">
        <v>1600</v>
      </c>
      <c r="D726" s="5" t="s">
        <v>57</v>
      </c>
      <c r="E726">
        <v>2035</v>
      </c>
      <c r="F726" s="6" t="str">
        <f t="shared" si="90"/>
        <v>*0.95</v>
      </c>
      <c r="H726" t="s">
        <v>1600</v>
      </c>
      <c r="I726" s="5" t="s">
        <v>57</v>
      </c>
      <c r="J726">
        <v>2050</v>
      </c>
      <c r="K726" s="38" t="str">
        <f t="shared" si="91"/>
        <v>*0.93</v>
      </c>
      <c r="P726" s="32" t="s">
        <v>1600</v>
      </c>
      <c r="Q726" s="42" t="s">
        <v>57</v>
      </c>
      <c r="R726" s="32">
        <v>2035</v>
      </c>
      <c r="S726" s="43" t="str">
        <f t="shared" si="92"/>
        <v>*0.95</v>
      </c>
      <c r="U726" s="32" t="s">
        <v>1600</v>
      </c>
      <c r="V726" s="42" t="s">
        <v>57</v>
      </c>
      <c r="W726" s="32">
        <v>2050</v>
      </c>
      <c r="X726" s="43" t="str">
        <f t="shared" si="93"/>
        <v>*0.93</v>
      </c>
      <c r="AC726" s="33" t="s">
        <v>1600</v>
      </c>
      <c r="AD726" s="44" t="s">
        <v>57</v>
      </c>
      <c r="AE726" s="33">
        <v>2035</v>
      </c>
      <c r="AF726" s="45" t="str">
        <f t="shared" si="94"/>
        <v>*0.93</v>
      </c>
      <c r="AG726" s="43" t="str">
        <f t="shared" si="96"/>
        <v>REZoning_Sol-Win</v>
      </c>
      <c r="AI726" s="33" t="s">
        <v>1600</v>
      </c>
      <c r="AJ726" s="44" t="s">
        <v>57</v>
      </c>
      <c r="AK726" s="33">
        <v>2050</v>
      </c>
      <c r="AL726" s="45" t="str">
        <f t="shared" si="95"/>
        <v>*0.9</v>
      </c>
      <c r="AM726" s="43" t="str">
        <f t="shared" si="97"/>
        <v>REZoning_Sol-Win</v>
      </c>
      <c r="AP726" t="s">
        <v>1600</v>
      </c>
      <c r="AQ726" t="s">
        <v>57</v>
      </c>
      <c r="AR726">
        <v>2100</v>
      </c>
      <c r="AS726" t="s">
        <v>897</v>
      </c>
      <c r="AT726" t="s">
        <v>58</v>
      </c>
    </row>
    <row r="727" ht="29" spans="1:46">
      <c r="A727" s="31" t="s">
        <v>73</v>
      </c>
      <c r="C727" t="s">
        <v>1601</v>
      </c>
      <c r="D727" s="5" t="s">
        <v>57</v>
      </c>
      <c r="E727">
        <v>2035</v>
      </c>
      <c r="F727" s="6" t="str">
        <f t="shared" si="90"/>
        <v>*0.95</v>
      </c>
      <c r="H727" t="s">
        <v>1601</v>
      </c>
      <c r="I727" s="5" t="s">
        <v>57</v>
      </c>
      <c r="J727">
        <v>2050</v>
      </c>
      <c r="K727" s="38" t="str">
        <f t="shared" si="91"/>
        <v>*0.93</v>
      </c>
      <c r="P727" s="32" t="s">
        <v>1601</v>
      </c>
      <c r="Q727" s="42" t="s">
        <v>57</v>
      </c>
      <c r="R727" s="32">
        <v>2035</v>
      </c>
      <c r="S727" s="43" t="str">
        <f t="shared" si="92"/>
        <v>*0.95</v>
      </c>
      <c r="U727" s="32" t="s">
        <v>1601</v>
      </c>
      <c r="V727" s="42" t="s">
        <v>57</v>
      </c>
      <c r="W727" s="32">
        <v>2050</v>
      </c>
      <c r="X727" s="43" t="str">
        <f t="shared" si="93"/>
        <v>*0.93</v>
      </c>
      <c r="AC727" s="33" t="s">
        <v>1601</v>
      </c>
      <c r="AD727" s="44" t="s">
        <v>57</v>
      </c>
      <c r="AE727" s="33">
        <v>2035</v>
      </c>
      <c r="AF727" s="45" t="str">
        <f t="shared" si="94"/>
        <v>*0.93</v>
      </c>
      <c r="AG727" s="43" t="str">
        <f t="shared" si="96"/>
        <v>REZoning_Sol-Win</v>
      </c>
      <c r="AI727" s="33" t="s">
        <v>1601</v>
      </c>
      <c r="AJ727" s="44" t="s">
        <v>57</v>
      </c>
      <c r="AK727" s="33">
        <v>2050</v>
      </c>
      <c r="AL727" s="45" t="str">
        <f t="shared" si="95"/>
        <v>*0.9</v>
      </c>
      <c r="AM727" s="43" t="str">
        <f t="shared" si="97"/>
        <v>REZoning_Sol-Win</v>
      </c>
      <c r="AP727" t="s">
        <v>1601</v>
      </c>
      <c r="AQ727" t="s">
        <v>57</v>
      </c>
      <c r="AR727">
        <v>2100</v>
      </c>
      <c r="AS727" t="s">
        <v>897</v>
      </c>
      <c r="AT727" t="s">
        <v>58</v>
      </c>
    </row>
    <row r="728" ht="29" spans="1:46">
      <c r="A728" s="31" t="s">
        <v>73</v>
      </c>
      <c r="C728" t="s">
        <v>1602</v>
      </c>
      <c r="D728" s="5" t="s">
        <v>57</v>
      </c>
      <c r="E728">
        <v>2035</v>
      </c>
      <c r="F728" s="6" t="str">
        <f t="shared" si="90"/>
        <v>*0.95</v>
      </c>
      <c r="H728" t="s">
        <v>1602</v>
      </c>
      <c r="I728" s="5" t="s">
        <v>57</v>
      </c>
      <c r="J728">
        <v>2050</v>
      </c>
      <c r="K728" s="38" t="str">
        <f t="shared" si="91"/>
        <v>*0.93</v>
      </c>
      <c r="P728" s="32" t="s">
        <v>1602</v>
      </c>
      <c r="Q728" s="42" t="s">
        <v>57</v>
      </c>
      <c r="R728" s="32">
        <v>2035</v>
      </c>
      <c r="S728" s="43" t="str">
        <f t="shared" si="92"/>
        <v>*0.95</v>
      </c>
      <c r="U728" s="32" t="s">
        <v>1602</v>
      </c>
      <c r="V728" s="42" t="s">
        <v>57</v>
      </c>
      <c r="W728" s="32">
        <v>2050</v>
      </c>
      <c r="X728" s="43" t="str">
        <f t="shared" si="93"/>
        <v>*0.93</v>
      </c>
      <c r="AC728" s="33" t="s">
        <v>1602</v>
      </c>
      <c r="AD728" s="44" t="s">
        <v>57</v>
      </c>
      <c r="AE728" s="33">
        <v>2035</v>
      </c>
      <c r="AF728" s="45" t="str">
        <f t="shared" si="94"/>
        <v>*0.93</v>
      </c>
      <c r="AG728" s="43" t="str">
        <f t="shared" si="96"/>
        <v>REZoning_Sol-Win</v>
      </c>
      <c r="AI728" s="33" t="s">
        <v>1602</v>
      </c>
      <c r="AJ728" s="44" t="s">
        <v>57</v>
      </c>
      <c r="AK728" s="33">
        <v>2050</v>
      </c>
      <c r="AL728" s="45" t="str">
        <f t="shared" si="95"/>
        <v>*0.9</v>
      </c>
      <c r="AM728" s="43" t="str">
        <f t="shared" si="97"/>
        <v>REZoning_Sol-Win</v>
      </c>
      <c r="AP728" t="s">
        <v>1602</v>
      </c>
      <c r="AQ728" t="s">
        <v>57</v>
      </c>
      <c r="AR728">
        <v>2100</v>
      </c>
      <c r="AS728" t="s">
        <v>897</v>
      </c>
      <c r="AT728" t="s">
        <v>58</v>
      </c>
    </row>
    <row r="729" ht="29" spans="1:46">
      <c r="A729" s="31" t="s">
        <v>73</v>
      </c>
      <c r="C729" t="s">
        <v>1603</v>
      </c>
      <c r="D729" s="5" t="s">
        <v>57</v>
      </c>
      <c r="E729">
        <v>2035</v>
      </c>
      <c r="F729" s="6" t="str">
        <f t="shared" si="90"/>
        <v>*0.95</v>
      </c>
      <c r="H729" t="s">
        <v>1603</v>
      </c>
      <c r="I729" s="5" t="s">
        <v>57</v>
      </c>
      <c r="J729">
        <v>2050</v>
      </c>
      <c r="K729" s="38" t="str">
        <f t="shared" si="91"/>
        <v>*0.93</v>
      </c>
      <c r="P729" s="32" t="s">
        <v>1603</v>
      </c>
      <c r="Q729" s="42" t="s">
        <v>57</v>
      </c>
      <c r="R729" s="32">
        <v>2035</v>
      </c>
      <c r="S729" s="43" t="str">
        <f t="shared" si="92"/>
        <v>*0.95</v>
      </c>
      <c r="U729" s="32" t="s">
        <v>1603</v>
      </c>
      <c r="V729" s="42" t="s">
        <v>57</v>
      </c>
      <c r="W729" s="32">
        <v>2050</v>
      </c>
      <c r="X729" s="43" t="str">
        <f t="shared" si="93"/>
        <v>*0.93</v>
      </c>
      <c r="AC729" s="33" t="s">
        <v>1603</v>
      </c>
      <c r="AD729" s="44" t="s">
        <v>57</v>
      </c>
      <c r="AE729" s="33">
        <v>2035</v>
      </c>
      <c r="AF729" s="45" t="str">
        <f t="shared" si="94"/>
        <v>*0.93</v>
      </c>
      <c r="AG729" s="43" t="str">
        <f t="shared" si="96"/>
        <v>REZoning_Sol-Win</v>
      </c>
      <c r="AI729" s="33" t="s">
        <v>1603</v>
      </c>
      <c r="AJ729" s="44" t="s">
        <v>57</v>
      </c>
      <c r="AK729" s="33">
        <v>2050</v>
      </c>
      <c r="AL729" s="45" t="str">
        <f t="shared" si="95"/>
        <v>*0.9</v>
      </c>
      <c r="AM729" s="43" t="str">
        <f t="shared" si="97"/>
        <v>REZoning_Sol-Win</v>
      </c>
      <c r="AP729" t="s">
        <v>1603</v>
      </c>
      <c r="AQ729" t="s">
        <v>57</v>
      </c>
      <c r="AR729">
        <v>2100</v>
      </c>
      <c r="AS729" t="s">
        <v>897</v>
      </c>
      <c r="AT729" t="s">
        <v>58</v>
      </c>
    </row>
    <row r="730" ht="29" spans="1:46">
      <c r="A730" s="31" t="s">
        <v>73</v>
      </c>
      <c r="C730" t="s">
        <v>1604</v>
      </c>
      <c r="D730" s="5" t="s">
        <v>57</v>
      </c>
      <c r="E730">
        <v>2035</v>
      </c>
      <c r="F730" s="6" t="str">
        <f t="shared" si="90"/>
        <v>*0.95</v>
      </c>
      <c r="H730" t="s">
        <v>1604</v>
      </c>
      <c r="I730" s="5" t="s">
        <v>57</v>
      </c>
      <c r="J730">
        <v>2050</v>
      </c>
      <c r="K730" s="38" t="str">
        <f t="shared" si="91"/>
        <v>*0.93</v>
      </c>
      <c r="P730" s="32" t="s">
        <v>1604</v>
      </c>
      <c r="Q730" s="42" t="s">
        <v>57</v>
      </c>
      <c r="R730" s="32">
        <v>2035</v>
      </c>
      <c r="S730" s="43" t="str">
        <f t="shared" si="92"/>
        <v>*0.95</v>
      </c>
      <c r="U730" s="32" t="s">
        <v>1604</v>
      </c>
      <c r="V730" s="42" t="s">
        <v>57</v>
      </c>
      <c r="W730" s="32">
        <v>2050</v>
      </c>
      <c r="X730" s="43" t="str">
        <f t="shared" si="93"/>
        <v>*0.93</v>
      </c>
      <c r="AC730" s="33" t="s">
        <v>1604</v>
      </c>
      <c r="AD730" s="44" t="s">
        <v>57</v>
      </c>
      <c r="AE730" s="33">
        <v>2035</v>
      </c>
      <c r="AF730" s="45" t="str">
        <f t="shared" si="94"/>
        <v>*0.93</v>
      </c>
      <c r="AG730" s="43" t="str">
        <f t="shared" si="96"/>
        <v>REZoning_Sol-Win</v>
      </c>
      <c r="AI730" s="33" t="s">
        <v>1604</v>
      </c>
      <c r="AJ730" s="44" t="s">
        <v>57</v>
      </c>
      <c r="AK730" s="33">
        <v>2050</v>
      </c>
      <c r="AL730" s="45" t="str">
        <f t="shared" si="95"/>
        <v>*0.9</v>
      </c>
      <c r="AM730" s="43" t="str">
        <f t="shared" si="97"/>
        <v>REZoning_Sol-Win</v>
      </c>
      <c r="AP730" t="s">
        <v>1604</v>
      </c>
      <c r="AQ730" t="s">
        <v>57</v>
      </c>
      <c r="AR730">
        <v>2100</v>
      </c>
      <c r="AS730" t="s">
        <v>897</v>
      </c>
      <c r="AT730" t="s">
        <v>58</v>
      </c>
    </row>
    <row r="731" ht="29" spans="1:46">
      <c r="A731" s="31" t="s">
        <v>73</v>
      </c>
      <c r="C731" t="s">
        <v>1605</v>
      </c>
      <c r="D731" s="5" t="s">
        <v>57</v>
      </c>
      <c r="E731">
        <v>2035</v>
      </c>
      <c r="F731" s="6" t="str">
        <f t="shared" si="90"/>
        <v>*0.95</v>
      </c>
      <c r="H731" t="s">
        <v>1605</v>
      </c>
      <c r="I731" s="5" t="s">
        <v>57</v>
      </c>
      <c r="J731">
        <v>2050</v>
      </c>
      <c r="K731" s="38" t="str">
        <f t="shared" si="91"/>
        <v>*0.93</v>
      </c>
      <c r="P731" s="32" t="s">
        <v>1605</v>
      </c>
      <c r="Q731" s="42" t="s">
        <v>57</v>
      </c>
      <c r="R731" s="32">
        <v>2035</v>
      </c>
      <c r="S731" s="43" t="str">
        <f t="shared" si="92"/>
        <v>*0.95</v>
      </c>
      <c r="U731" s="32" t="s">
        <v>1605</v>
      </c>
      <c r="V731" s="42" t="s">
        <v>57</v>
      </c>
      <c r="W731" s="32">
        <v>2050</v>
      </c>
      <c r="X731" s="43" t="str">
        <f t="shared" si="93"/>
        <v>*0.93</v>
      </c>
      <c r="AC731" s="33" t="s">
        <v>1605</v>
      </c>
      <c r="AD731" s="44" t="s">
        <v>57</v>
      </c>
      <c r="AE731" s="33">
        <v>2035</v>
      </c>
      <c r="AF731" s="45" t="str">
        <f t="shared" si="94"/>
        <v>*0.93</v>
      </c>
      <c r="AG731" s="43" t="str">
        <f t="shared" si="96"/>
        <v>REZoning_Sol-Win</v>
      </c>
      <c r="AI731" s="33" t="s">
        <v>1605</v>
      </c>
      <c r="AJ731" s="44" t="s">
        <v>57</v>
      </c>
      <c r="AK731" s="33">
        <v>2050</v>
      </c>
      <c r="AL731" s="45" t="str">
        <f t="shared" si="95"/>
        <v>*0.9</v>
      </c>
      <c r="AM731" s="43" t="str">
        <f t="shared" si="97"/>
        <v>REZoning_Sol-Win</v>
      </c>
      <c r="AP731" t="s">
        <v>1605</v>
      </c>
      <c r="AQ731" t="s">
        <v>57</v>
      </c>
      <c r="AR731">
        <v>2100</v>
      </c>
      <c r="AS731" t="s">
        <v>897</v>
      </c>
      <c r="AT731" t="s">
        <v>58</v>
      </c>
    </row>
    <row r="732" ht="29" spans="1:46">
      <c r="A732" s="31" t="s">
        <v>73</v>
      </c>
      <c r="C732" t="s">
        <v>1606</v>
      </c>
      <c r="D732" s="5" t="s">
        <v>57</v>
      </c>
      <c r="E732">
        <v>2035</v>
      </c>
      <c r="F732" s="6" t="str">
        <f t="shared" si="90"/>
        <v>*0.95</v>
      </c>
      <c r="H732" t="s">
        <v>1606</v>
      </c>
      <c r="I732" s="5" t="s">
        <v>57</v>
      </c>
      <c r="J732">
        <v>2050</v>
      </c>
      <c r="K732" s="38" t="str">
        <f t="shared" si="91"/>
        <v>*0.93</v>
      </c>
      <c r="P732" s="32" t="s">
        <v>1606</v>
      </c>
      <c r="Q732" s="42" t="s">
        <v>57</v>
      </c>
      <c r="R732" s="32">
        <v>2035</v>
      </c>
      <c r="S732" s="43" t="str">
        <f t="shared" si="92"/>
        <v>*0.95</v>
      </c>
      <c r="U732" s="32" t="s">
        <v>1606</v>
      </c>
      <c r="V732" s="42" t="s">
        <v>57</v>
      </c>
      <c r="W732" s="32">
        <v>2050</v>
      </c>
      <c r="X732" s="43" t="str">
        <f t="shared" si="93"/>
        <v>*0.93</v>
      </c>
      <c r="AC732" s="33" t="s">
        <v>1606</v>
      </c>
      <c r="AD732" s="44" t="s">
        <v>57</v>
      </c>
      <c r="AE732" s="33">
        <v>2035</v>
      </c>
      <c r="AF732" s="45" t="str">
        <f t="shared" si="94"/>
        <v>*0.93</v>
      </c>
      <c r="AG732" s="43" t="str">
        <f t="shared" si="96"/>
        <v>REZoning_Sol-Win</v>
      </c>
      <c r="AI732" s="33" t="s">
        <v>1606</v>
      </c>
      <c r="AJ732" s="44" t="s">
        <v>57</v>
      </c>
      <c r="AK732" s="33">
        <v>2050</v>
      </c>
      <c r="AL732" s="45" t="str">
        <f t="shared" si="95"/>
        <v>*0.9</v>
      </c>
      <c r="AM732" s="43" t="str">
        <f t="shared" si="97"/>
        <v>REZoning_Sol-Win</v>
      </c>
      <c r="AP732" t="s">
        <v>1606</v>
      </c>
      <c r="AQ732" t="s">
        <v>57</v>
      </c>
      <c r="AR732">
        <v>2100</v>
      </c>
      <c r="AS732" t="s">
        <v>897</v>
      </c>
      <c r="AT732" t="s">
        <v>58</v>
      </c>
    </row>
    <row r="733" ht="29" spans="1:46">
      <c r="A733" s="31" t="s">
        <v>73</v>
      </c>
      <c r="C733" t="s">
        <v>1607</v>
      </c>
      <c r="D733" s="5" t="s">
        <v>57</v>
      </c>
      <c r="E733">
        <v>2035</v>
      </c>
      <c r="F733" s="6" t="str">
        <f t="shared" si="90"/>
        <v>*0.95</v>
      </c>
      <c r="H733" t="s">
        <v>1607</v>
      </c>
      <c r="I733" s="5" t="s">
        <v>57</v>
      </c>
      <c r="J733">
        <v>2050</v>
      </c>
      <c r="K733" s="38" t="str">
        <f t="shared" si="91"/>
        <v>*0.93</v>
      </c>
      <c r="P733" s="32" t="s">
        <v>1607</v>
      </c>
      <c r="Q733" s="42" t="s">
        <v>57</v>
      </c>
      <c r="R733" s="32">
        <v>2035</v>
      </c>
      <c r="S733" s="43" t="str">
        <f t="shared" si="92"/>
        <v>*0.95</v>
      </c>
      <c r="U733" s="32" t="s">
        <v>1607</v>
      </c>
      <c r="V733" s="42" t="s">
        <v>57</v>
      </c>
      <c r="W733" s="32">
        <v>2050</v>
      </c>
      <c r="X733" s="43" t="str">
        <f t="shared" si="93"/>
        <v>*0.93</v>
      </c>
      <c r="AC733" s="33" t="s">
        <v>1607</v>
      </c>
      <c r="AD733" s="44" t="s">
        <v>57</v>
      </c>
      <c r="AE733" s="33">
        <v>2035</v>
      </c>
      <c r="AF733" s="45" t="str">
        <f t="shared" si="94"/>
        <v>*0.93</v>
      </c>
      <c r="AG733" s="43" t="str">
        <f t="shared" si="96"/>
        <v>REZoning_Sol-Win</v>
      </c>
      <c r="AI733" s="33" t="s">
        <v>1607</v>
      </c>
      <c r="AJ733" s="44" t="s">
        <v>57</v>
      </c>
      <c r="AK733" s="33">
        <v>2050</v>
      </c>
      <c r="AL733" s="45" t="str">
        <f t="shared" si="95"/>
        <v>*0.9</v>
      </c>
      <c r="AM733" s="43" t="str">
        <f t="shared" si="97"/>
        <v>REZoning_Sol-Win</v>
      </c>
      <c r="AP733" t="s">
        <v>1607</v>
      </c>
      <c r="AQ733" t="s">
        <v>57</v>
      </c>
      <c r="AR733">
        <v>2100</v>
      </c>
      <c r="AS733" t="s">
        <v>897</v>
      </c>
      <c r="AT733" t="s">
        <v>58</v>
      </c>
    </row>
    <row r="734" ht="29" spans="1:46">
      <c r="A734" s="31" t="s">
        <v>73</v>
      </c>
      <c r="C734" t="s">
        <v>1608</v>
      </c>
      <c r="D734" s="5" t="s">
        <v>57</v>
      </c>
      <c r="E734">
        <v>2035</v>
      </c>
      <c r="F734" s="6" t="str">
        <f t="shared" si="90"/>
        <v>*0.95</v>
      </c>
      <c r="H734" t="s">
        <v>1608</v>
      </c>
      <c r="I734" s="5" t="s">
        <v>57</v>
      </c>
      <c r="J734">
        <v>2050</v>
      </c>
      <c r="K734" s="38" t="str">
        <f t="shared" si="91"/>
        <v>*0.93</v>
      </c>
      <c r="P734" s="32" t="s">
        <v>1608</v>
      </c>
      <c r="Q734" s="42" t="s">
        <v>57</v>
      </c>
      <c r="R734" s="32">
        <v>2035</v>
      </c>
      <c r="S734" s="43" t="str">
        <f t="shared" si="92"/>
        <v>*0.95</v>
      </c>
      <c r="U734" s="32" t="s">
        <v>1608</v>
      </c>
      <c r="V734" s="42" t="s">
        <v>57</v>
      </c>
      <c r="W734" s="32">
        <v>2050</v>
      </c>
      <c r="X734" s="43" t="str">
        <f t="shared" si="93"/>
        <v>*0.93</v>
      </c>
      <c r="AC734" s="33" t="s">
        <v>1608</v>
      </c>
      <c r="AD734" s="44" t="s">
        <v>57</v>
      </c>
      <c r="AE734" s="33">
        <v>2035</v>
      </c>
      <c r="AF734" s="45" t="str">
        <f t="shared" si="94"/>
        <v>*0.93</v>
      </c>
      <c r="AG734" s="43" t="str">
        <f t="shared" si="96"/>
        <v>REZoning_Sol-Win</v>
      </c>
      <c r="AI734" s="33" t="s">
        <v>1608</v>
      </c>
      <c r="AJ734" s="44" t="s">
        <v>57</v>
      </c>
      <c r="AK734" s="33">
        <v>2050</v>
      </c>
      <c r="AL734" s="45" t="str">
        <f t="shared" si="95"/>
        <v>*0.9</v>
      </c>
      <c r="AM734" s="43" t="str">
        <f t="shared" si="97"/>
        <v>REZoning_Sol-Win</v>
      </c>
      <c r="AP734" t="s">
        <v>1608</v>
      </c>
      <c r="AQ734" t="s">
        <v>57</v>
      </c>
      <c r="AR734">
        <v>2100</v>
      </c>
      <c r="AS734" t="s">
        <v>897</v>
      </c>
      <c r="AT734" t="s">
        <v>58</v>
      </c>
    </row>
    <row r="735" ht="29" spans="1:46">
      <c r="A735" s="31" t="s">
        <v>73</v>
      </c>
      <c r="C735" t="s">
        <v>1609</v>
      </c>
      <c r="D735" s="5" t="s">
        <v>57</v>
      </c>
      <c r="E735">
        <v>2035</v>
      </c>
      <c r="F735" s="6" t="str">
        <f t="shared" si="90"/>
        <v>*0.95</v>
      </c>
      <c r="H735" t="s">
        <v>1609</v>
      </c>
      <c r="I735" s="5" t="s">
        <v>57</v>
      </c>
      <c r="J735">
        <v>2050</v>
      </c>
      <c r="K735" s="38" t="str">
        <f t="shared" si="91"/>
        <v>*0.93</v>
      </c>
      <c r="P735" s="32" t="s">
        <v>1609</v>
      </c>
      <c r="Q735" s="42" t="s">
        <v>57</v>
      </c>
      <c r="R735" s="32">
        <v>2035</v>
      </c>
      <c r="S735" s="43" t="str">
        <f t="shared" si="92"/>
        <v>*0.95</v>
      </c>
      <c r="U735" s="32" t="s">
        <v>1609</v>
      </c>
      <c r="V735" s="42" t="s">
        <v>57</v>
      </c>
      <c r="W735" s="32">
        <v>2050</v>
      </c>
      <c r="X735" s="43" t="str">
        <f t="shared" si="93"/>
        <v>*0.93</v>
      </c>
      <c r="AC735" s="33" t="s">
        <v>1609</v>
      </c>
      <c r="AD735" s="44" t="s">
        <v>57</v>
      </c>
      <c r="AE735" s="33">
        <v>2035</v>
      </c>
      <c r="AF735" s="45" t="str">
        <f t="shared" si="94"/>
        <v>*0.93</v>
      </c>
      <c r="AG735" s="43" t="str">
        <f t="shared" si="96"/>
        <v>REZoning_Sol-Win</v>
      </c>
      <c r="AI735" s="33" t="s">
        <v>1609</v>
      </c>
      <c r="AJ735" s="44" t="s">
        <v>57</v>
      </c>
      <c r="AK735" s="33">
        <v>2050</v>
      </c>
      <c r="AL735" s="45" t="str">
        <f t="shared" si="95"/>
        <v>*0.9</v>
      </c>
      <c r="AM735" s="43" t="str">
        <f t="shared" si="97"/>
        <v>REZoning_Sol-Win</v>
      </c>
      <c r="AP735" t="s">
        <v>1609</v>
      </c>
      <c r="AQ735" t="s">
        <v>57</v>
      </c>
      <c r="AR735">
        <v>2100</v>
      </c>
      <c r="AS735" t="s">
        <v>897</v>
      </c>
      <c r="AT735" t="s">
        <v>58</v>
      </c>
    </row>
    <row r="736" ht="29" spans="1:46">
      <c r="A736" s="31" t="s">
        <v>73</v>
      </c>
      <c r="C736" t="s">
        <v>1610</v>
      </c>
      <c r="D736" s="5" t="s">
        <v>57</v>
      </c>
      <c r="E736">
        <v>2035</v>
      </c>
      <c r="F736" s="6" t="str">
        <f t="shared" si="90"/>
        <v>*0.95</v>
      </c>
      <c r="H736" t="s">
        <v>1610</v>
      </c>
      <c r="I736" s="5" t="s">
        <v>57</v>
      </c>
      <c r="J736">
        <v>2050</v>
      </c>
      <c r="K736" s="38" t="str">
        <f t="shared" si="91"/>
        <v>*0.93</v>
      </c>
      <c r="P736" s="32" t="s">
        <v>1610</v>
      </c>
      <c r="Q736" s="42" t="s">
        <v>57</v>
      </c>
      <c r="R736" s="32">
        <v>2035</v>
      </c>
      <c r="S736" s="43" t="str">
        <f t="shared" si="92"/>
        <v>*0.95</v>
      </c>
      <c r="U736" s="32" t="s">
        <v>1610</v>
      </c>
      <c r="V736" s="42" t="s">
        <v>57</v>
      </c>
      <c r="W736" s="32">
        <v>2050</v>
      </c>
      <c r="X736" s="43" t="str">
        <f t="shared" si="93"/>
        <v>*0.93</v>
      </c>
      <c r="AC736" s="33" t="s">
        <v>1610</v>
      </c>
      <c r="AD736" s="44" t="s">
        <v>57</v>
      </c>
      <c r="AE736" s="33">
        <v>2035</v>
      </c>
      <c r="AF736" s="45" t="str">
        <f t="shared" si="94"/>
        <v>*0.93</v>
      </c>
      <c r="AG736" s="43" t="str">
        <f t="shared" si="96"/>
        <v>REZoning_Sol-Win</v>
      </c>
      <c r="AI736" s="33" t="s">
        <v>1610</v>
      </c>
      <c r="AJ736" s="44" t="s">
        <v>57</v>
      </c>
      <c r="AK736" s="33">
        <v>2050</v>
      </c>
      <c r="AL736" s="45" t="str">
        <f t="shared" si="95"/>
        <v>*0.9</v>
      </c>
      <c r="AM736" s="43" t="str">
        <f t="shared" si="97"/>
        <v>REZoning_Sol-Win</v>
      </c>
      <c r="AP736" t="s">
        <v>1610</v>
      </c>
      <c r="AQ736" t="s">
        <v>57</v>
      </c>
      <c r="AR736">
        <v>2100</v>
      </c>
      <c r="AS736" t="s">
        <v>897</v>
      </c>
      <c r="AT736" t="s">
        <v>58</v>
      </c>
    </row>
    <row r="737" ht="29" spans="1:46">
      <c r="A737" s="31" t="s">
        <v>73</v>
      </c>
      <c r="C737" t="s">
        <v>1611</v>
      </c>
      <c r="D737" s="5" t="s">
        <v>57</v>
      </c>
      <c r="E737">
        <v>2035</v>
      </c>
      <c r="F737" s="6" t="str">
        <f t="shared" si="90"/>
        <v>*0.95</v>
      </c>
      <c r="H737" t="s">
        <v>1611</v>
      </c>
      <c r="I737" s="5" t="s">
        <v>57</v>
      </c>
      <c r="J737">
        <v>2050</v>
      </c>
      <c r="K737" s="38" t="str">
        <f t="shared" si="91"/>
        <v>*0.93</v>
      </c>
      <c r="P737" s="32" t="s">
        <v>1611</v>
      </c>
      <c r="Q737" s="42" t="s">
        <v>57</v>
      </c>
      <c r="R737" s="32">
        <v>2035</v>
      </c>
      <c r="S737" s="43" t="str">
        <f t="shared" si="92"/>
        <v>*0.95</v>
      </c>
      <c r="U737" s="32" t="s">
        <v>1611</v>
      </c>
      <c r="V737" s="42" t="s">
        <v>57</v>
      </c>
      <c r="W737" s="32">
        <v>2050</v>
      </c>
      <c r="X737" s="43" t="str">
        <f t="shared" si="93"/>
        <v>*0.93</v>
      </c>
      <c r="AC737" s="33" t="s">
        <v>1611</v>
      </c>
      <c r="AD737" s="44" t="s">
        <v>57</v>
      </c>
      <c r="AE737" s="33">
        <v>2035</v>
      </c>
      <c r="AF737" s="45" t="str">
        <f t="shared" si="94"/>
        <v>*0.93</v>
      </c>
      <c r="AG737" s="43" t="str">
        <f t="shared" si="96"/>
        <v>REZoning_Sol-Win</v>
      </c>
      <c r="AI737" s="33" t="s">
        <v>1611</v>
      </c>
      <c r="AJ737" s="44" t="s">
        <v>57</v>
      </c>
      <c r="AK737" s="33">
        <v>2050</v>
      </c>
      <c r="AL737" s="45" t="str">
        <f t="shared" si="95"/>
        <v>*0.9</v>
      </c>
      <c r="AM737" s="43" t="str">
        <f t="shared" si="97"/>
        <v>REZoning_Sol-Win</v>
      </c>
      <c r="AP737" t="s">
        <v>1611</v>
      </c>
      <c r="AQ737" t="s">
        <v>57</v>
      </c>
      <c r="AR737">
        <v>2100</v>
      </c>
      <c r="AS737" t="s">
        <v>897</v>
      </c>
      <c r="AT737" t="s">
        <v>58</v>
      </c>
    </row>
    <row r="738" ht="29" spans="1:46">
      <c r="A738" s="31" t="s">
        <v>73</v>
      </c>
      <c r="C738" t="s">
        <v>1612</v>
      </c>
      <c r="D738" s="5" t="s">
        <v>57</v>
      </c>
      <c r="E738">
        <v>2035</v>
      </c>
      <c r="F738" s="6" t="str">
        <f t="shared" si="90"/>
        <v>*0.95</v>
      </c>
      <c r="H738" t="s">
        <v>1612</v>
      </c>
      <c r="I738" s="5" t="s">
        <v>57</v>
      </c>
      <c r="J738">
        <v>2050</v>
      </c>
      <c r="K738" s="38" t="str">
        <f t="shared" si="91"/>
        <v>*0.93</v>
      </c>
      <c r="P738" s="32" t="s">
        <v>1612</v>
      </c>
      <c r="Q738" s="42" t="s">
        <v>57</v>
      </c>
      <c r="R738" s="32">
        <v>2035</v>
      </c>
      <c r="S738" s="43" t="str">
        <f t="shared" si="92"/>
        <v>*0.95</v>
      </c>
      <c r="U738" s="32" t="s">
        <v>1612</v>
      </c>
      <c r="V738" s="42" t="s">
        <v>57</v>
      </c>
      <c r="W738" s="32">
        <v>2050</v>
      </c>
      <c r="X738" s="43" t="str">
        <f t="shared" si="93"/>
        <v>*0.93</v>
      </c>
      <c r="AC738" s="33" t="s">
        <v>1612</v>
      </c>
      <c r="AD738" s="44" t="s">
        <v>57</v>
      </c>
      <c r="AE738" s="33">
        <v>2035</v>
      </c>
      <c r="AF738" s="45" t="str">
        <f t="shared" si="94"/>
        <v>*0.93</v>
      </c>
      <c r="AG738" s="43" t="str">
        <f t="shared" si="96"/>
        <v>REZoning_Sol-Win</v>
      </c>
      <c r="AI738" s="33" t="s">
        <v>1612</v>
      </c>
      <c r="AJ738" s="44" t="s">
        <v>57</v>
      </c>
      <c r="AK738" s="33">
        <v>2050</v>
      </c>
      <c r="AL738" s="45" t="str">
        <f t="shared" si="95"/>
        <v>*0.9</v>
      </c>
      <c r="AM738" s="43" t="str">
        <f t="shared" si="97"/>
        <v>REZoning_Sol-Win</v>
      </c>
      <c r="AP738" t="s">
        <v>1612</v>
      </c>
      <c r="AQ738" t="s">
        <v>57</v>
      </c>
      <c r="AR738">
        <v>2100</v>
      </c>
      <c r="AS738" t="s">
        <v>897</v>
      </c>
      <c r="AT738" t="s">
        <v>58</v>
      </c>
    </row>
    <row r="739" ht="29" spans="1:46">
      <c r="A739" s="31" t="s">
        <v>73</v>
      </c>
      <c r="C739" t="s">
        <v>1613</v>
      </c>
      <c r="D739" s="5" t="s">
        <v>57</v>
      </c>
      <c r="E739">
        <v>2035</v>
      </c>
      <c r="F739" s="6" t="str">
        <f t="shared" si="90"/>
        <v>*0.95</v>
      </c>
      <c r="H739" t="s">
        <v>1613</v>
      </c>
      <c r="I739" s="5" t="s">
        <v>57</v>
      </c>
      <c r="J739">
        <v>2050</v>
      </c>
      <c r="K739" s="38" t="str">
        <f t="shared" si="91"/>
        <v>*0.93</v>
      </c>
      <c r="P739" s="32" t="s">
        <v>1613</v>
      </c>
      <c r="Q739" s="42" t="s">
        <v>57</v>
      </c>
      <c r="R739" s="32">
        <v>2035</v>
      </c>
      <c r="S739" s="43" t="str">
        <f t="shared" si="92"/>
        <v>*0.95</v>
      </c>
      <c r="U739" s="32" t="s">
        <v>1613</v>
      </c>
      <c r="V739" s="42" t="s">
        <v>57</v>
      </c>
      <c r="W739" s="32">
        <v>2050</v>
      </c>
      <c r="X739" s="43" t="str">
        <f t="shared" si="93"/>
        <v>*0.93</v>
      </c>
      <c r="AC739" s="33" t="s">
        <v>1613</v>
      </c>
      <c r="AD739" s="44" t="s">
        <v>57</v>
      </c>
      <c r="AE739" s="33">
        <v>2035</v>
      </c>
      <c r="AF739" s="45" t="str">
        <f t="shared" si="94"/>
        <v>*0.93</v>
      </c>
      <c r="AG739" s="43" t="str">
        <f t="shared" si="96"/>
        <v>REZoning_Sol-Win</v>
      </c>
      <c r="AI739" s="33" t="s">
        <v>1613</v>
      </c>
      <c r="AJ739" s="44" t="s">
        <v>57</v>
      </c>
      <c r="AK739" s="33">
        <v>2050</v>
      </c>
      <c r="AL739" s="45" t="str">
        <f t="shared" si="95"/>
        <v>*0.9</v>
      </c>
      <c r="AM739" s="43" t="str">
        <f t="shared" si="97"/>
        <v>REZoning_Sol-Win</v>
      </c>
      <c r="AP739" t="s">
        <v>1613</v>
      </c>
      <c r="AQ739" t="s">
        <v>57</v>
      </c>
      <c r="AR739">
        <v>2100</v>
      </c>
      <c r="AS739" t="s">
        <v>897</v>
      </c>
      <c r="AT739" t="s">
        <v>58</v>
      </c>
    </row>
    <row r="740" ht="29" spans="1:46">
      <c r="A740" s="31" t="s">
        <v>73</v>
      </c>
      <c r="C740" t="s">
        <v>1614</v>
      </c>
      <c r="D740" s="5" t="s">
        <v>57</v>
      </c>
      <c r="E740">
        <v>2035</v>
      </c>
      <c r="F740" s="6" t="str">
        <f t="shared" si="90"/>
        <v>*0.95</v>
      </c>
      <c r="H740" t="s">
        <v>1614</v>
      </c>
      <c r="I740" s="5" t="s">
        <v>57</v>
      </c>
      <c r="J740">
        <v>2050</v>
      </c>
      <c r="K740" s="38" t="str">
        <f t="shared" si="91"/>
        <v>*0.93</v>
      </c>
      <c r="P740" s="32" t="s">
        <v>1614</v>
      </c>
      <c r="Q740" s="42" t="s">
        <v>57</v>
      </c>
      <c r="R740" s="32">
        <v>2035</v>
      </c>
      <c r="S740" s="43" t="str">
        <f t="shared" si="92"/>
        <v>*0.95</v>
      </c>
      <c r="U740" s="32" t="s">
        <v>1614</v>
      </c>
      <c r="V740" s="42" t="s">
        <v>57</v>
      </c>
      <c r="W740" s="32">
        <v>2050</v>
      </c>
      <c r="X740" s="43" t="str">
        <f t="shared" si="93"/>
        <v>*0.93</v>
      </c>
      <c r="AC740" s="33" t="s">
        <v>1614</v>
      </c>
      <c r="AD740" s="44" t="s">
        <v>57</v>
      </c>
      <c r="AE740" s="33">
        <v>2035</v>
      </c>
      <c r="AF740" s="45" t="str">
        <f t="shared" si="94"/>
        <v>*0.93</v>
      </c>
      <c r="AG740" s="43" t="str">
        <f t="shared" si="96"/>
        <v>REZoning_Sol-Win</v>
      </c>
      <c r="AI740" s="33" t="s">
        <v>1614</v>
      </c>
      <c r="AJ740" s="44" t="s">
        <v>57</v>
      </c>
      <c r="AK740" s="33">
        <v>2050</v>
      </c>
      <c r="AL740" s="45" t="str">
        <f t="shared" si="95"/>
        <v>*0.9</v>
      </c>
      <c r="AM740" s="43" t="str">
        <f t="shared" si="97"/>
        <v>REZoning_Sol-Win</v>
      </c>
      <c r="AP740" t="s">
        <v>1614</v>
      </c>
      <c r="AQ740" t="s">
        <v>57</v>
      </c>
      <c r="AR740">
        <v>2100</v>
      </c>
      <c r="AS740" t="s">
        <v>897</v>
      </c>
      <c r="AT740" t="s">
        <v>58</v>
      </c>
    </row>
    <row r="741" ht="29" spans="1:46">
      <c r="A741" s="31" t="s">
        <v>73</v>
      </c>
      <c r="C741" t="s">
        <v>1615</v>
      </c>
      <c r="D741" s="5" t="s">
        <v>57</v>
      </c>
      <c r="E741">
        <v>2035</v>
      </c>
      <c r="F741" s="6" t="str">
        <f t="shared" si="90"/>
        <v>*0.95</v>
      </c>
      <c r="H741" t="s">
        <v>1615</v>
      </c>
      <c r="I741" s="5" t="s">
        <v>57</v>
      </c>
      <c r="J741">
        <v>2050</v>
      </c>
      <c r="K741" s="38" t="str">
        <f t="shared" si="91"/>
        <v>*0.93</v>
      </c>
      <c r="P741" s="32" t="s">
        <v>1615</v>
      </c>
      <c r="Q741" s="42" t="s">
        <v>57</v>
      </c>
      <c r="R741" s="32">
        <v>2035</v>
      </c>
      <c r="S741" s="43" t="str">
        <f t="shared" si="92"/>
        <v>*0.95</v>
      </c>
      <c r="U741" s="32" t="s">
        <v>1615</v>
      </c>
      <c r="V741" s="42" t="s">
        <v>57</v>
      </c>
      <c r="W741" s="32">
        <v>2050</v>
      </c>
      <c r="X741" s="43" t="str">
        <f t="shared" si="93"/>
        <v>*0.93</v>
      </c>
      <c r="AC741" s="33" t="s">
        <v>1615</v>
      </c>
      <c r="AD741" s="44" t="s">
        <v>57</v>
      </c>
      <c r="AE741" s="33">
        <v>2035</v>
      </c>
      <c r="AF741" s="45" t="str">
        <f t="shared" si="94"/>
        <v>*0.93</v>
      </c>
      <c r="AG741" s="43" t="str">
        <f t="shared" si="96"/>
        <v>REZoning_Sol-Win</v>
      </c>
      <c r="AI741" s="33" t="s">
        <v>1615</v>
      </c>
      <c r="AJ741" s="44" t="s">
        <v>57</v>
      </c>
      <c r="AK741" s="33">
        <v>2050</v>
      </c>
      <c r="AL741" s="45" t="str">
        <f t="shared" si="95"/>
        <v>*0.9</v>
      </c>
      <c r="AM741" s="43" t="str">
        <f t="shared" si="97"/>
        <v>REZoning_Sol-Win</v>
      </c>
      <c r="AP741" t="s">
        <v>1615</v>
      </c>
      <c r="AQ741" t="s">
        <v>57</v>
      </c>
      <c r="AR741">
        <v>2100</v>
      </c>
      <c r="AS741" t="s">
        <v>897</v>
      </c>
      <c r="AT741" t="s">
        <v>58</v>
      </c>
    </row>
    <row r="742" ht="29" spans="1:46">
      <c r="A742" s="31" t="s">
        <v>73</v>
      </c>
      <c r="C742" t="s">
        <v>1616</v>
      </c>
      <c r="D742" s="5" t="s">
        <v>57</v>
      </c>
      <c r="E742">
        <v>2035</v>
      </c>
      <c r="F742" s="6" t="str">
        <f t="shared" si="90"/>
        <v>*0.95</v>
      </c>
      <c r="H742" t="s">
        <v>1616</v>
      </c>
      <c r="I742" s="5" t="s">
        <v>57</v>
      </c>
      <c r="J742">
        <v>2050</v>
      </c>
      <c r="K742" s="38" t="str">
        <f t="shared" si="91"/>
        <v>*0.93</v>
      </c>
      <c r="P742" s="32" t="s">
        <v>1616</v>
      </c>
      <c r="Q742" s="42" t="s">
        <v>57</v>
      </c>
      <c r="R742" s="32">
        <v>2035</v>
      </c>
      <c r="S742" s="43" t="str">
        <f t="shared" si="92"/>
        <v>*0.95</v>
      </c>
      <c r="U742" s="32" t="s">
        <v>1616</v>
      </c>
      <c r="V742" s="42" t="s">
        <v>57</v>
      </c>
      <c r="W742" s="32">
        <v>2050</v>
      </c>
      <c r="X742" s="43" t="str">
        <f t="shared" si="93"/>
        <v>*0.93</v>
      </c>
      <c r="AC742" s="33" t="s">
        <v>1616</v>
      </c>
      <c r="AD742" s="44" t="s">
        <v>57</v>
      </c>
      <c r="AE742" s="33">
        <v>2035</v>
      </c>
      <c r="AF742" s="45" t="str">
        <f t="shared" si="94"/>
        <v>*0.93</v>
      </c>
      <c r="AG742" s="43" t="str">
        <f t="shared" si="96"/>
        <v>REZoning_Sol-Win</v>
      </c>
      <c r="AI742" s="33" t="s">
        <v>1616</v>
      </c>
      <c r="AJ742" s="44" t="s">
        <v>57</v>
      </c>
      <c r="AK742" s="33">
        <v>2050</v>
      </c>
      <c r="AL742" s="45" t="str">
        <f t="shared" si="95"/>
        <v>*0.9</v>
      </c>
      <c r="AM742" s="43" t="str">
        <f t="shared" si="97"/>
        <v>REZoning_Sol-Win</v>
      </c>
      <c r="AP742" t="s">
        <v>1616</v>
      </c>
      <c r="AQ742" t="s">
        <v>57</v>
      </c>
      <c r="AR742">
        <v>2100</v>
      </c>
      <c r="AS742" t="s">
        <v>897</v>
      </c>
      <c r="AT742" t="s">
        <v>58</v>
      </c>
    </row>
    <row r="743" ht="29" spans="1:46">
      <c r="A743" s="31" t="s">
        <v>73</v>
      </c>
      <c r="C743" t="s">
        <v>1617</v>
      </c>
      <c r="D743" s="5" t="s">
        <v>57</v>
      </c>
      <c r="E743">
        <v>2035</v>
      </c>
      <c r="F743" s="6" t="str">
        <f t="shared" si="90"/>
        <v>*0.95</v>
      </c>
      <c r="H743" t="s">
        <v>1617</v>
      </c>
      <c r="I743" s="5" t="s">
        <v>57</v>
      </c>
      <c r="J743">
        <v>2050</v>
      </c>
      <c r="K743" s="38" t="str">
        <f t="shared" si="91"/>
        <v>*0.93</v>
      </c>
      <c r="P743" s="32" t="s">
        <v>1617</v>
      </c>
      <c r="Q743" s="42" t="s">
        <v>57</v>
      </c>
      <c r="R743" s="32">
        <v>2035</v>
      </c>
      <c r="S743" s="43" t="str">
        <f t="shared" si="92"/>
        <v>*0.95</v>
      </c>
      <c r="U743" s="32" t="s">
        <v>1617</v>
      </c>
      <c r="V743" s="42" t="s">
        <v>57</v>
      </c>
      <c r="W743" s="32">
        <v>2050</v>
      </c>
      <c r="X743" s="43" t="str">
        <f t="shared" si="93"/>
        <v>*0.93</v>
      </c>
      <c r="AC743" s="33" t="s">
        <v>1617</v>
      </c>
      <c r="AD743" s="44" t="s">
        <v>57</v>
      </c>
      <c r="AE743" s="33">
        <v>2035</v>
      </c>
      <c r="AF743" s="45" t="str">
        <f t="shared" si="94"/>
        <v>*0.93</v>
      </c>
      <c r="AG743" s="43" t="str">
        <f t="shared" si="96"/>
        <v>REZoning_Sol-Win</v>
      </c>
      <c r="AI743" s="33" t="s">
        <v>1617</v>
      </c>
      <c r="AJ743" s="44" t="s">
        <v>57</v>
      </c>
      <c r="AK743" s="33">
        <v>2050</v>
      </c>
      <c r="AL743" s="45" t="str">
        <f t="shared" si="95"/>
        <v>*0.9</v>
      </c>
      <c r="AM743" s="43" t="str">
        <f t="shared" si="97"/>
        <v>REZoning_Sol-Win</v>
      </c>
      <c r="AP743" t="s">
        <v>1617</v>
      </c>
      <c r="AQ743" t="s">
        <v>57</v>
      </c>
      <c r="AR743">
        <v>2100</v>
      </c>
      <c r="AS743" t="s">
        <v>897</v>
      </c>
      <c r="AT743" t="s">
        <v>58</v>
      </c>
    </row>
    <row r="744" ht="29" spans="1:46">
      <c r="A744" s="31" t="s">
        <v>73</v>
      </c>
      <c r="C744" t="s">
        <v>1618</v>
      </c>
      <c r="D744" s="5" t="s">
        <v>57</v>
      </c>
      <c r="E744">
        <v>2035</v>
      </c>
      <c r="F744" s="6" t="str">
        <f t="shared" si="90"/>
        <v>*0.95</v>
      </c>
      <c r="H744" t="s">
        <v>1618</v>
      </c>
      <c r="I744" s="5" t="s">
        <v>57</v>
      </c>
      <c r="J744">
        <v>2050</v>
      </c>
      <c r="K744" s="38" t="str">
        <f t="shared" si="91"/>
        <v>*0.93</v>
      </c>
      <c r="P744" s="32" t="s">
        <v>1618</v>
      </c>
      <c r="Q744" s="42" t="s">
        <v>57</v>
      </c>
      <c r="R744" s="32">
        <v>2035</v>
      </c>
      <c r="S744" s="43" t="str">
        <f t="shared" si="92"/>
        <v>*0.95</v>
      </c>
      <c r="U744" s="32" t="s">
        <v>1618</v>
      </c>
      <c r="V744" s="42" t="s">
        <v>57</v>
      </c>
      <c r="W744" s="32">
        <v>2050</v>
      </c>
      <c r="X744" s="43" t="str">
        <f t="shared" si="93"/>
        <v>*0.93</v>
      </c>
      <c r="AC744" s="33" t="s">
        <v>1618</v>
      </c>
      <c r="AD744" s="44" t="s">
        <v>57</v>
      </c>
      <c r="AE744" s="33">
        <v>2035</v>
      </c>
      <c r="AF744" s="45" t="str">
        <f t="shared" si="94"/>
        <v>*0.93</v>
      </c>
      <c r="AG744" s="43" t="str">
        <f t="shared" si="96"/>
        <v>REZoning_Sol-Win</v>
      </c>
      <c r="AI744" s="33" t="s">
        <v>1618</v>
      </c>
      <c r="AJ744" s="44" t="s">
        <v>57</v>
      </c>
      <c r="AK744" s="33">
        <v>2050</v>
      </c>
      <c r="AL744" s="45" t="str">
        <f t="shared" si="95"/>
        <v>*0.9</v>
      </c>
      <c r="AM744" s="43" t="str">
        <f t="shared" si="97"/>
        <v>REZoning_Sol-Win</v>
      </c>
      <c r="AP744" t="s">
        <v>1618</v>
      </c>
      <c r="AQ744" t="s">
        <v>57</v>
      </c>
      <c r="AR744">
        <v>2100</v>
      </c>
      <c r="AS744" t="s">
        <v>897</v>
      </c>
      <c r="AT744" t="s">
        <v>58</v>
      </c>
    </row>
    <row r="745" ht="29" spans="1:46">
      <c r="A745" s="31" t="s">
        <v>73</v>
      </c>
      <c r="C745" t="s">
        <v>1619</v>
      </c>
      <c r="D745" s="5" t="s">
        <v>57</v>
      </c>
      <c r="E745">
        <v>2035</v>
      </c>
      <c r="F745" s="6" t="str">
        <f t="shared" si="90"/>
        <v>*0.95</v>
      </c>
      <c r="H745" t="s">
        <v>1619</v>
      </c>
      <c r="I745" s="5" t="s">
        <v>57</v>
      </c>
      <c r="J745">
        <v>2050</v>
      </c>
      <c r="K745" s="38" t="str">
        <f t="shared" si="91"/>
        <v>*0.93</v>
      </c>
      <c r="P745" s="32" t="s">
        <v>1619</v>
      </c>
      <c r="Q745" s="42" t="s">
        <v>57</v>
      </c>
      <c r="R745" s="32">
        <v>2035</v>
      </c>
      <c r="S745" s="43" t="str">
        <f t="shared" si="92"/>
        <v>*0.95</v>
      </c>
      <c r="U745" s="32" t="s">
        <v>1619</v>
      </c>
      <c r="V745" s="42" t="s">
        <v>57</v>
      </c>
      <c r="W745" s="32">
        <v>2050</v>
      </c>
      <c r="X745" s="43" t="str">
        <f t="shared" si="93"/>
        <v>*0.93</v>
      </c>
      <c r="AC745" s="33" t="s">
        <v>1619</v>
      </c>
      <c r="AD745" s="44" t="s">
        <v>57</v>
      </c>
      <c r="AE745" s="33">
        <v>2035</v>
      </c>
      <c r="AF745" s="45" t="str">
        <f t="shared" si="94"/>
        <v>*0.93</v>
      </c>
      <c r="AG745" s="43" t="str">
        <f t="shared" si="96"/>
        <v>REZoning_Sol-Win</v>
      </c>
      <c r="AI745" s="33" t="s">
        <v>1619</v>
      </c>
      <c r="AJ745" s="44" t="s">
        <v>57</v>
      </c>
      <c r="AK745" s="33">
        <v>2050</v>
      </c>
      <c r="AL745" s="45" t="str">
        <f t="shared" si="95"/>
        <v>*0.9</v>
      </c>
      <c r="AM745" s="43" t="str">
        <f t="shared" si="97"/>
        <v>REZoning_Sol-Win</v>
      </c>
      <c r="AP745" t="s">
        <v>1619</v>
      </c>
      <c r="AQ745" t="s">
        <v>57</v>
      </c>
      <c r="AR745">
        <v>2100</v>
      </c>
      <c r="AS745" t="s">
        <v>897</v>
      </c>
      <c r="AT745" t="s">
        <v>58</v>
      </c>
    </row>
    <row r="746" ht="29" spans="1:46">
      <c r="A746" s="31" t="s">
        <v>73</v>
      </c>
      <c r="C746" t="s">
        <v>1620</v>
      </c>
      <c r="D746" s="5" t="s">
        <v>57</v>
      </c>
      <c r="E746">
        <v>2035</v>
      </c>
      <c r="F746" s="6" t="str">
        <f t="shared" si="90"/>
        <v>*0.95</v>
      </c>
      <c r="H746" t="s">
        <v>1620</v>
      </c>
      <c r="I746" s="5" t="s">
        <v>57</v>
      </c>
      <c r="J746">
        <v>2050</v>
      </c>
      <c r="K746" s="38" t="str">
        <f t="shared" si="91"/>
        <v>*0.93</v>
      </c>
      <c r="P746" s="32" t="s">
        <v>1620</v>
      </c>
      <c r="Q746" s="42" t="s">
        <v>57</v>
      </c>
      <c r="R746" s="32">
        <v>2035</v>
      </c>
      <c r="S746" s="43" t="str">
        <f t="shared" si="92"/>
        <v>*0.95</v>
      </c>
      <c r="U746" s="32" t="s">
        <v>1620</v>
      </c>
      <c r="V746" s="42" t="s">
        <v>57</v>
      </c>
      <c r="W746" s="32">
        <v>2050</v>
      </c>
      <c r="X746" s="43" t="str">
        <f t="shared" si="93"/>
        <v>*0.93</v>
      </c>
      <c r="AC746" s="33" t="s">
        <v>1620</v>
      </c>
      <c r="AD746" s="44" t="s">
        <v>57</v>
      </c>
      <c r="AE746" s="33">
        <v>2035</v>
      </c>
      <c r="AF746" s="45" t="str">
        <f t="shared" si="94"/>
        <v>*0.93</v>
      </c>
      <c r="AG746" s="43" t="str">
        <f t="shared" si="96"/>
        <v>REZoning_Sol-Win</v>
      </c>
      <c r="AI746" s="33" t="s">
        <v>1620</v>
      </c>
      <c r="AJ746" s="44" t="s">
        <v>57</v>
      </c>
      <c r="AK746" s="33">
        <v>2050</v>
      </c>
      <c r="AL746" s="45" t="str">
        <f t="shared" si="95"/>
        <v>*0.9</v>
      </c>
      <c r="AM746" s="43" t="str">
        <f t="shared" si="97"/>
        <v>REZoning_Sol-Win</v>
      </c>
      <c r="AP746" t="s">
        <v>1620</v>
      </c>
      <c r="AQ746" t="s">
        <v>57</v>
      </c>
      <c r="AR746">
        <v>2100</v>
      </c>
      <c r="AS746" t="s">
        <v>897</v>
      </c>
      <c r="AT746" t="s">
        <v>58</v>
      </c>
    </row>
    <row r="747" ht="29" spans="1:46">
      <c r="A747" s="31" t="s">
        <v>73</v>
      </c>
      <c r="C747" t="s">
        <v>1621</v>
      </c>
      <c r="D747" s="5" t="s">
        <v>57</v>
      </c>
      <c r="E747">
        <v>2035</v>
      </c>
      <c r="F747" s="6" t="str">
        <f t="shared" si="90"/>
        <v>*0.95</v>
      </c>
      <c r="H747" t="s">
        <v>1621</v>
      </c>
      <c r="I747" s="5" t="s">
        <v>57</v>
      </c>
      <c r="J747">
        <v>2050</v>
      </c>
      <c r="K747" s="38" t="str">
        <f t="shared" si="91"/>
        <v>*0.93</v>
      </c>
      <c r="P747" s="32" t="s">
        <v>1621</v>
      </c>
      <c r="Q747" s="42" t="s">
        <v>57</v>
      </c>
      <c r="R747" s="32">
        <v>2035</v>
      </c>
      <c r="S747" s="43" t="str">
        <f t="shared" si="92"/>
        <v>*0.95</v>
      </c>
      <c r="U747" s="32" t="s">
        <v>1621</v>
      </c>
      <c r="V747" s="42" t="s">
        <v>57</v>
      </c>
      <c r="W747" s="32">
        <v>2050</v>
      </c>
      <c r="X747" s="43" t="str">
        <f t="shared" si="93"/>
        <v>*0.93</v>
      </c>
      <c r="AC747" s="33" t="s">
        <v>1621</v>
      </c>
      <c r="AD747" s="44" t="s">
        <v>57</v>
      </c>
      <c r="AE747" s="33">
        <v>2035</v>
      </c>
      <c r="AF747" s="45" t="str">
        <f t="shared" si="94"/>
        <v>*0.93</v>
      </c>
      <c r="AG747" s="43" t="str">
        <f t="shared" si="96"/>
        <v>REZoning_Sol-Win</v>
      </c>
      <c r="AI747" s="33" t="s">
        <v>1621</v>
      </c>
      <c r="AJ747" s="44" t="s">
        <v>57</v>
      </c>
      <c r="AK747" s="33">
        <v>2050</v>
      </c>
      <c r="AL747" s="45" t="str">
        <f t="shared" si="95"/>
        <v>*0.9</v>
      </c>
      <c r="AM747" s="43" t="str">
        <f t="shared" si="97"/>
        <v>REZoning_Sol-Win</v>
      </c>
      <c r="AP747" t="s">
        <v>1621</v>
      </c>
      <c r="AQ747" t="s">
        <v>57</v>
      </c>
      <c r="AR747">
        <v>2100</v>
      </c>
      <c r="AS747" t="s">
        <v>897</v>
      </c>
      <c r="AT747" t="s">
        <v>58</v>
      </c>
    </row>
    <row r="748" ht="29" spans="1:46">
      <c r="A748" s="31" t="s">
        <v>73</v>
      </c>
      <c r="C748" t="s">
        <v>1622</v>
      </c>
      <c r="D748" s="5" t="s">
        <v>57</v>
      </c>
      <c r="E748">
        <v>2035</v>
      </c>
      <c r="F748" s="6" t="str">
        <f t="shared" si="90"/>
        <v>*0.95</v>
      </c>
      <c r="H748" t="s">
        <v>1622</v>
      </c>
      <c r="I748" s="5" t="s">
        <v>57</v>
      </c>
      <c r="J748">
        <v>2050</v>
      </c>
      <c r="K748" s="38" t="str">
        <f t="shared" si="91"/>
        <v>*0.93</v>
      </c>
      <c r="P748" s="32" t="s">
        <v>1622</v>
      </c>
      <c r="Q748" s="42" t="s">
        <v>57</v>
      </c>
      <c r="R748" s="32">
        <v>2035</v>
      </c>
      <c r="S748" s="43" t="str">
        <f t="shared" si="92"/>
        <v>*0.95</v>
      </c>
      <c r="U748" s="32" t="s">
        <v>1622</v>
      </c>
      <c r="V748" s="42" t="s">
        <v>57</v>
      </c>
      <c r="W748" s="32">
        <v>2050</v>
      </c>
      <c r="X748" s="43" t="str">
        <f t="shared" si="93"/>
        <v>*0.93</v>
      </c>
      <c r="AC748" s="33" t="s">
        <v>1622</v>
      </c>
      <c r="AD748" s="44" t="s">
        <v>57</v>
      </c>
      <c r="AE748" s="33">
        <v>2035</v>
      </c>
      <c r="AF748" s="45" t="str">
        <f t="shared" si="94"/>
        <v>*0.93</v>
      </c>
      <c r="AG748" s="43" t="str">
        <f t="shared" si="96"/>
        <v>REZoning_Sol-Win</v>
      </c>
      <c r="AI748" s="33" t="s">
        <v>1622</v>
      </c>
      <c r="AJ748" s="44" t="s">
        <v>57</v>
      </c>
      <c r="AK748" s="33">
        <v>2050</v>
      </c>
      <c r="AL748" s="45" t="str">
        <f t="shared" si="95"/>
        <v>*0.9</v>
      </c>
      <c r="AM748" s="43" t="str">
        <f t="shared" si="97"/>
        <v>REZoning_Sol-Win</v>
      </c>
      <c r="AP748" t="s">
        <v>1622</v>
      </c>
      <c r="AQ748" t="s">
        <v>57</v>
      </c>
      <c r="AR748">
        <v>2100</v>
      </c>
      <c r="AS748" t="s">
        <v>897</v>
      </c>
      <c r="AT748" t="s">
        <v>58</v>
      </c>
    </row>
    <row r="749" ht="29" spans="1:46">
      <c r="A749" s="31" t="s">
        <v>73</v>
      </c>
      <c r="C749" t="s">
        <v>1623</v>
      </c>
      <c r="D749" s="5" t="s">
        <v>57</v>
      </c>
      <c r="E749">
        <v>2035</v>
      </c>
      <c r="F749" s="6" t="str">
        <f t="shared" si="90"/>
        <v>*0.95</v>
      </c>
      <c r="H749" t="s">
        <v>1623</v>
      </c>
      <c r="I749" s="5" t="s">
        <v>57</v>
      </c>
      <c r="J749">
        <v>2050</v>
      </c>
      <c r="K749" s="38" t="str">
        <f t="shared" si="91"/>
        <v>*0.93</v>
      </c>
      <c r="P749" s="32" t="s">
        <v>1623</v>
      </c>
      <c r="Q749" s="42" t="s">
        <v>57</v>
      </c>
      <c r="R749" s="32">
        <v>2035</v>
      </c>
      <c r="S749" s="43" t="str">
        <f t="shared" si="92"/>
        <v>*0.95</v>
      </c>
      <c r="U749" s="32" t="s">
        <v>1623</v>
      </c>
      <c r="V749" s="42" t="s">
        <v>57</v>
      </c>
      <c r="W749" s="32">
        <v>2050</v>
      </c>
      <c r="X749" s="43" t="str">
        <f t="shared" si="93"/>
        <v>*0.93</v>
      </c>
      <c r="AC749" s="33" t="s">
        <v>1623</v>
      </c>
      <c r="AD749" s="44" t="s">
        <v>57</v>
      </c>
      <c r="AE749" s="33">
        <v>2035</v>
      </c>
      <c r="AF749" s="45" t="str">
        <f t="shared" si="94"/>
        <v>*0.93</v>
      </c>
      <c r="AG749" s="43" t="str">
        <f t="shared" si="96"/>
        <v>REZoning_Sol-Win</v>
      </c>
      <c r="AI749" s="33" t="s">
        <v>1623</v>
      </c>
      <c r="AJ749" s="44" t="s">
        <v>57</v>
      </c>
      <c r="AK749" s="33">
        <v>2050</v>
      </c>
      <c r="AL749" s="45" t="str">
        <f t="shared" si="95"/>
        <v>*0.9</v>
      </c>
      <c r="AM749" s="43" t="str">
        <f t="shared" si="97"/>
        <v>REZoning_Sol-Win</v>
      </c>
      <c r="AP749" t="s">
        <v>1623</v>
      </c>
      <c r="AQ749" t="s">
        <v>57</v>
      </c>
      <c r="AR749">
        <v>2100</v>
      </c>
      <c r="AS749" t="s">
        <v>897</v>
      </c>
      <c r="AT749" t="s">
        <v>58</v>
      </c>
    </row>
    <row r="750" ht="29" spans="1:46">
      <c r="A750" s="31" t="s">
        <v>73</v>
      </c>
      <c r="C750" t="s">
        <v>1624</v>
      </c>
      <c r="D750" s="5" t="s">
        <v>57</v>
      </c>
      <c r="E750">
        <v>2035</v>
      </c>
      <c r="F750" s="6" t="str">
        <f t="shared" si="90"/>
        <v>*0.95</v>
      </c>
      <c r="H750" t="s">
        <v>1624</v>
      </c>
      <c r="I750" s="5" t="s">
        <v>57</v>
      </c>
      <c r="J750">
        <v>2050</v>
      </c>
      <c r="K750" s="38" t="str">
        <f t="shared" si="91"/>
        <v>*0.93</v>
      </c>
      <c r="P750" s="32" t="s">
        <v>1624</v>
      </c>
      <c r="Q750" s="42" t="s">
        <v>57</v>
      </c>
      <c r="R750" s="32">
        <v>2035</v>
      </c>
      <c r="S750" s="43" t="str">
        <f t="shared" si="92"/>
        <v>*0.95</v>
      </c>
      <c r="U750" s="32" t="s">
        <v>1624</v>
      </c>
      <c r="V750" s="42" t="s">
        <v>57</v>
      </c>
      <c r="W750" s="32">
        <v>2050</v>
      </c>
      <c r="X750" s="43" t="str">
        <f t="shared" si="93"/>
        <v>*0.93</v>
      </c>
      <c r="AC750" s="33" t="s">
        <v>1624</v>
      </c>
      <c r="AD750" s="44" t="s">
        <v>57</v>
      </c>
      <c r="AE750" s="33">
        <v>2035</v>
      </c>
      <c r="AF750" s="45" t="str">
        <f t="shared" si="94"/>
        <v>*0.93</v>
      </c>
      <c r="AG750" s="43" t="str">
        <f t="shared" si="96"/>
        <v>REZoning_Sol-Win</v>
      </c>
      <c r="AI750" s="33" t="s">
        <v>1624</v>
      </c>
      <c r="AJ750" s="44" t="s">
        <v>57</v>
      </c>
      <c r="AK750" s="33">
        <v>2050</v>
      </c>
      <c r="AL750" s="45" t="str">
        <f t="shared" si="95"/>
        <v>*0.9</v>
      </c>
      <c r="AM750" s="43" t="str">
        <f t="shared" si="97"/>
        <v>REZoning_Sol-Win</v>
      </c>
      <c r="AP750" t="s">
        <v>1624</v>
      </c>
      <c r="AQ750" t="s">
        <v>57</v>
      </c>
      <c r="AR750">
        <v>2100</v>
      </c>
      <c r="AS750" t="s">
        <v>897</v>
      </c>
      <c r="AT750" t="s">
        <v>58</v>
      </c>
    </row>
    <row r="751" ht="29" spans="1:46">
      <c r="A751" s="31" t="s">
        <v>73</v>
      </c>
      <c r="C751" t="s">
        <v>1625</v>
      </c>
      <c r="D751" s="5" t="s">
        <v>57</v>
      </c>
      <c r="E751">
        <v>2035</v>
      </c>
      <c r="F751" s="6" t="str">
        <f t="shared" si="90"/>
        <v>*0.95</v>
      </c>
      <c r="H751" t="s">
        <v>1625</v>
      </c>
      <c r="I751" s="5" t="s">
        <v>57</v>
      </c>
      <c r="J751">
        <v>2050</v>
      </c>
      <c r="K751" s="38" t="str">
        <f t="shared" si="91"/>
        <v>*0.93</v>
      </c>
      <c r="P751" s="32" t="s">
        <v>1625</v>
      </c>
      <c r="Q751" s="42" t="s">
        <v>57</v>
      </c>
      <c r="R751" s="32">
        <v>2035</v>
      </c>
      <c r="S751" s="43" t="str">
        <f t="shared" si="92"/>
        <v>*0.95</v>
      </c>
      <c r="U751" s="32" t="s">
        <v>1625</v>
      </c>
      <c r="V751" s="42" t="s">
        <v>57</v>
      </c>
      <c r="W751" s="32">
        <v>2050</v>
      </c>
      <c r="X751" s="43" t="str">
        <f t="shared" si="93"/>
        <v>*0.93</v>
      </c>
      <c r="AC751" s="33" t="s">
        <v>1625</v>
      </c>
      <c r="AD751" s="44" t="s">
        <v>57</v>
      </c>
      <c r="AE751" s="33">
        <v>2035</v>
      </c>
      <c r="AF751" s="45" t="str">
        <f t="shared" si="94"/>
        <v>*0.93</v>
      </c>
      <c r="AG751" s="43" t="str">
        <f t="shared" si="96"/>
        <v>REZoning_Sol-Win</v>
      </c>
      <c r="AI751" s="33" t="s">
        <v>1625</v>
      </c>
      <c r="AJ751" s="44" t="s">
        <v>57</v>
      </c>
      <c r="AK751" s="33">
        <v>2050</v>
      </c>
      <c r="AL751" s="45" t="str">
        <f t="shared" si="95"/>
        <v>*0.9</v>
      </c>
      <c r="AM751" s="43" t="str">
        <f t="shared" si="97"/>
        <v>REZoning_Sol-Win</v>
      </c>
      <c r="AP751" t="s">
        <v>1625</v>
      </c>
      <c r="AQ751" t="s">
        <v>57</v>
      </c>
      <c r="AR751">
        <v>2100</v>
      </c>
      <c r="AS751" t="s">
        <v>897</v>
      </c>
      <c r="AT751" t="s">
        <v>58</v>
      </c>
    </row>
    <row r="752" ht="29" spans="1:46">
      <c r="A752" s="31" t="s">
        <v>73</v>
      </c>
      <c r="C752" t="s">
        <v>1626</v>
      </c>
      <c r="D752" s="5" t="s">
        <v>57</v>
      </c>
      <c r="E752">
        <v>2035</v>
      </c>
      <c r="F752" s="6" t="str">
        <f t="shared" si="90"/>
        <v>*0.95</v>
      </c>
      <c r="H752" t="s">
        <v>1626</v>
      </c>
      <c r="I752" s="5" t="s">
        <v>57</v>
      </c>
      <c r="J752">
        <v>2050</v>
      </c>
      <c r="K752" s="38" t="str">
        <f t="shared" si="91"/>
        <v>*0.93</v>
      </c>
      <c r="P752" s="32" t="s">
        <v>1626</v>
      </c>
      <c r="Q752" s="42" t="s">
        <v>57</v>
      </c>
      <c r="R752" s="32">
        <v>2035</v>
      </c>
      <c r="S752" s="43" t="str">
        <f t="shared" si="92"/>
        <v>*0.95</v>
      </c>
      <c r="U752" s="32" t="s">
        <v>1626</v>
      </c>
      <c r="V752" s="42" t="s">
        <v>57</v>
      </c>
      <c r="W752" s="32">
        <v>2050</v>
      </c>
      <c r="X752" s="43" t="str">
        <f t="shared" si="93"/>
        <v>*0.93</v>
      </c>
      <c r="AC752" s="33" t="s">
        <v>1626</v>
      </c>
      <c r="AD752" s="44" t="s">
        <v>57</v>
      </c>
      <c r="AE752" s="33">
        <v>2035</v>
      </c>
      <c r="AF752" s="45" t="str">
        <f t="shared" si="94"/>
        <v>*0.93</v>
      </c>
      <c r="AG752" s="43" t="str">
        <f t="shared" si="96"/>
        <v>REZoning_Sol-Win</v>
      </c>
      <c r="AI752" s="33" t="s">
        <v>1626</v>
      </c>
      <c r="AJ752" s="44" t="s">
        <v>57</v>
      </c>
      <c r="AK752" s="33">
        <v>2050</v>
      </c>
      <c r="AL752" s="45" t="str">
        <f t="shared" si="95"/>
        <v>*0.9</v>
      </c>
      <c r="AM752" s="43" t="str">
        <f t="shared" si="97"/>
        <v>REZoning_Sol-Win</v>
      </c>
      <c r="AP752" t="s">
        <v>1626</v>
      </c>
      <c r="AQ752" t="s">
        <v>57</v>
      </c>
      <c r="AR752">
        <v>2100</v>
      </c>
      <c r="AS752" t="s">
        <v>897</v>
      </c>
      <c r="AT752" t="s">
        <v>58</v>
      </c>
    </row>
    <row r="753" ht="29" spans="1:46">
      <c r="A753" s="31" t="s">
        <v>73</v>
      </c>
      <c r="C753" t="s">
        <v>1627</v>
      </c>
      <c r="D753" s="5" t="s">
        <v>57</v>
      </c>
      <c r="E753">
        <v>2035</v>
      </c>
      <c r="F753" s="6" t="str">
        <f t="shared" si="90"/>
        <v>*0.95</v>
      </c>
      <c r="H753" t="s">
        <v>1627</v>
      </c>
      <c r="I753" s="5" t="s">
        <v>57</v>
      </c>
      <c r="J753">
        <v>2050</v>
      </c>
      <c r="K753" s="38" t="str">
        <f t="shared" si="91"/>
        <v>*0.93</v>
      </c>
      <c r="P753" s="32" t="s">
        <v>1627</v>
      </c>
      <c r="Q753" s="42" t="s">
        <v>57</v>
      </c>
      <c r="R753" s="32">
        <v>2035</v>
      </c>
      <c r="S753" s="43" t="str">
        <f t="shared" si="92"/>
        <v>*0.95</v>
      </c>
      <c r="U753" s="32" t="s">
        <v>1627</v>
      </c>
      <c r="V753" s="42" t="s">
        <v>57</v>
      </c>
      <c r="W753" s="32">
        <v>2050</v>
      </c>
      <c r="X753" s="43" t="str">
        <f t="shared" si="93"/>
        <v>*0.93</v>
      </c>
      <c r="AC753" s="33" t="s">
        <v>1627</v>
      </c>
      <c r="AD753" s="44" t="s">
        <v>57</v>
      </c>
      <c r="AE753" s="33">
        <v>2035</v>
      </c>
      <c r="AF753" s="45" t="str">
        <f t="shared" si="94"/>
        <v>*0.93</v>
      </c>
      <c r="AG753" s="43" t="str">
        <f t="shared" si="96"/>
        <v>REZoning_Sol-Win</v>
      </c>
      <c r="AI753" s="33" t="s">
        <v>1627</v>
      </c>
      <c r="AJ753" s="44" t="s">
        <v>57</v>
      </c>
      <c r="AK753" s="33">
        <v>2050</v>
      </c>
      <c r="AL753" s="45" t="str">
        <f t="shared" si="95"/>
        <v>*0.9</v>
      </c>
      <c r="AM753" s="43" t="str">
        <f t="shared" si="97"/>
        <v>REZoning_Sol-Win</v>
      </c>
      <c r="AP753" t="s">
        <v>1627</v>
      </c>
      <c r="AQ753" t="s">
        <v>57</v>
      </c>
      <c r="AR753">
        <v>2100</v>
      </c>
      <c r="AS753" t="s">
        <v>897</v>
      </c>
      <c r="AT753" t="s">
        <v>58</v>
      </c>
    </row>
    <row r="754" ht="29" spans="1:46">
      <c r="A754" s="31" t="s">
        <v>73</v>
      </c>
      <c r="C754" t="s">
        <v>1628</v>
      </c>
      <c r="D754" s="5" t="s">
        <v>57</v>
      </c>
      <c r="E754">
        <v>2035</v>
      </c>
      <c r="F754" s="6" t="str">
        <f t="shared" si="90"/>
        <v>*0.95</v>
      </c>
      <c r="H754" t="s">
        <v>1628</v>
      </c>
      <c r="I754" s="5" t="s">
        <v>57</v>
      </c>
      <c r="J754">
        <v>2050</v>
      </c>
      <c r="K754" s="38" t="str">
        <f t="shared" si="91"/>
        <v>*0.93</v>
      </c>
      <c r="P754" s="32" t="s">
        <v>1628</v>
      </c>
      <c r="Q754" s="42" t="s">
        <v>57</v>
      </c>
      <c r="R754" s="32">
        <v>2035</v>
      </c>
      <c r="S754" s="43" t="str">
        <f t="shared" si="92"/>
        <v>*0.95</v>
      </c>
      <c r="U754" s="32" t="s">
        <v>1628</v>
      </c>
      <c r="V754" s="42" t="s">
        <v>57</v>
      </c>
      <c r="W754" s="32">
        <v>2050</v>
      </c>
      <c r="X754" s="43" t="str">
        <f t="shared" si="93"/>
        <v>*0.93</v>
      </c>
      <c r="AC754" s="33" t="s">
        <v>1628</v>
      </c>
      <c r="AD754" s="44" t="s">
        <v>57</v>
      </c>
      <c r="AE754" s="33">
        <v>2035</v>
      </c>
      <c r="AF754" s="45" t="str">
        <f t="shared" si="94"/>
        <v>*0.93</v>
      </c>
      <c r="AG754" s="43" t="str">
        <f t="shared" si="96"/>
        <v>REZoning_Sol-Win</v>
      </c>
      <c r="AI754" s="33" t="s">
        <v>1628</v>
      </c>
      <c r="AJ754" s="44" t="s">
        <v>57</v>
      </c>
      <c r="AK754" s="33">
        <v>2050</v>
      </c>
      <c r="AL754" s="45" t="str">
        <f t="shared" si="95"/>
        <v>*0.9</v>
      </c>
      <c r="AM754" s="43" t="str">
        <f t="shared" si="97"/>
        <v>REZoning_Sol-Win</v>
      </c>
      <c r="AP754" t="s">
        <v>1628</v>
      </c>
      <c r="AQ754" t="s">
        <v>57</v>
      </c>
      <c r="AR754">
        <v>2100</v>
      </c>
      <c r="AS754" t="s">
        <v>897</v>
      </c>
      <c r="AT754" t="s">
        <v>58</v>
      </c>
    </row>
    <row r="755" ht="29" spans="1:46">
      <c r="A755" s="31" t="s">
        <v>73</v>
      </c>
      <c r="C755" t="s">
        <v>1629</v>
      </c>
      <c r="D755" s="5" t="s">
        <v>57</v>
      </c>
      <c r="E755">
        <v>2035</v>
      </c>
      <c r="F755" s="6" t="str">
        <f t="shared" si="90"/>
        <v>*0.95</v>
      </c>
      <c r="H755" t="s">
        <v>1629</v>
      </c>
      <c r="I755" s="5" t="s">
        <v>57</v>
      </c>
      <c r="J755">
        <v>2050</v>
      </c>
      <c r="K755" s="38" t="str">
        <f t="shared" si="91"/>
        <v>*0.93</v>
      </c>
      <c r="P755" s="32" t="s">
        <v>1629</v>
      </c>
      <c r="Q755" s="42" t="s">
        <v>57</v>
      </c>
      <c r="R755" s="32">
        <v>2035</v>
      </c>
      <c r="S755" s="43" t="str">
        <f t="shared" si="92"/>
        <v>*0.95</v>
      </c>
      <c r="U755" s="32" t="s">
        <v>1629</v>
      </c>
      <c r="V755" s="42" t="s">
        <v>57</v>
      </c>
      <c r="W755" s="32">
        <v>2050</v>
      </c>
      <c r="X755" s="43" t="str">
        <f t="shared" si="93"/>
        <v>*0.93</v>
      </c>
      <c r="AC755" s="33" t="s">
        <v>1629</v>
      </c>
      <c r="AD755" s="44" t="s">
        <v>57</v>
      </c>
      <c r="AE755" s="33">
        <v>2035</v>
      </c>
      <c r="AF755" s="45" t="str">
        <f t="shared" si="94"/>
        <v>*0.93</v>
      </c>
      <c r="AG755" s="43" t="str">
        <f t="shared" si="96"/>
        <v>REZoning_Sol-Win</v>
      </c>
      <c r="AI755" s="33" t="s">
        <v>1629</v>
      </c>
      <c r="AJ755" s="44" t="s">
        <v>57</v>
      </c>
      <c r="AK755" s="33">
        <v>2050</v>
      </c>
      <c r="AL755" s="45" t="str">
        <f t="shared" si="95"/>
        <v>*0.9</v>
      </c>
      <c r="AM755" s="43" t="str">
        <f t="shared" si="97"/>
        <v>REZoning_Sol-Win</v>
      </c>
      <c r="AP755" t="s">
        <v>1629</v>
      </c>
      <c r="AQ755" t="s">
        <v>57</v>
      </c>
      <c r="AR755">
        <v>2100</v>
      </c>
      <c r="AS755" t="s">
        <v>897</v>
      </c>
      <c r="AT755" t="s">
        <v>58</v>
      </c>
    </row>
    <row r="756" ht="29" spans="1:46">
      <c r="A756" s="31" t="s">
        <v>73</v>
      </c>
      <c r="C756" t="s">
        <v>1630</v>
      </c>
      <c r="D756" s="5" t="s">
        <v>57</v>
      </c>
      <c r="E756">
        <v>2035</v>
      </c>
      <c r="F756" s="6" t="str">
        <f t="shared" si="90"/>
        <v>*0.95</v>
      </c>
      <c r="H756" t="s">
        <v>1630</v>
      </c>
      <c r="I756" s="5" t="s">
        <v>57</v>
      </c>
      <c r="J756">
        <v>2050</v>
      </c>
      <c r="K756" s="38" t="str">
        <f t="shared" si="91"/>
        <v>*0.93</v>
      </c>
      <c r="P756" s="32" t="s">
        <v>1630</v>
      </c>
      <c r="Q756" s="42" t="s">
        <v>57</v>
      </c>
      <c r="R756" s="32">
        <v>2035</v>
      </c>
      <c r="S756" s="43" t="str">
        <f t="shared" si="92"/>
        <v>*0.95</v>
      </c>
      <c r="U756" s="32" t="s">
        <v>1630</v>
      </c>
      <c r="V756" s="42" t="s">
        <v>57</v>
      </c>
      <c r="W756" s="32">
        <v>2050</v>
      </c>
      <c r="X756" s="43" t="str">
        <f t="shared" si="93"/>
        <v>*0.93</v>
      </c>
      <c r="AC756" s="33" t="s">
        <v>1630</v>
      </c>
      <c r="AD756" s="44" t="s">
        <v>57</v>
      </c>
      <c r="AE756" s="33">
        <v>2035</v>
      </c>
      <c r="AF756" s="45" t="str">
        <f t="shared" si="94"/>
        <v>*0.93</v>
      </c>
      <c r="AG756" s="43" t="str">
        <f t="shared" si="96"/>
        <v>REZoning_Sol-Win</v>
      </c>
      <c r="AI756" s="33" t="s">
        <v>1630</v>
      </c>
      <c r="AJ756" s="44" t="s">
        <v>57</v>
      </c>
      <c r="AK756" s="33">
        <v>2050</v>
      </c>
      <c r="AL756" s="45" t="str">
        <f t="shared" si="95"/>
        <v>*0.9</v>
      </c>
      <c r="AM756" s="43" t="str">
        <f t="shared" si="97"/>
        <v>REZoning_Sol-Win</v>
      </c>
      <c r="AP756" t="s">
        <v>1630</v>
      </c>
      <c r="AQ756" t="s">
        <v>57</v>
      </c>
      <c r="AR756">
        <v>2100</v>
      </c>
      <c r="AS756" t="s">
        <v>897</v>
      </c>
      <c r="AT756" t="s">
        <v>58</v>
      </c>
    </row>
    <row r="757" ht="29" spans="1:46">
      <c r="A757" s="31" t="s">
        <v>73</v>
      </c>
      <c r="C757" t="s">
        <v>1631</v>
      </c>
      <c r="D757" s="5" t="s">
        <v>57</v>
      </c>
      <c r="E757">
        <v>2035</v>
      </c>
      <c r="F757" s="6" t="str">
        <f t="shared" si="90"/>
        <v>*0.95</v>
      </c>
      <c r="H757" t="s">
        <v>1631</v>
      </c>
      <c r="I757" s="5" t="s">
        <v>57</v>
      </c>
      <c r="J757">
        <v>2050</v>
      </c>
      <c r="K757" s="38" t="str">
        <f t="shared" si="91"/>
        <v>*0.93</v>
      </c>
      <c r="P757" s="32" t="s">
        <v>1631</v>
      </c>
      <c r="Q757" s="42" t="s">
        <v>57</v>
      </c>
      <c r="R757" s="32">
        <v>2035</v>
      </c>
      <c r="S757" s="43" t="str">
        <f t="shared" si="92"/>
        <v>*0.95</v>
      </c>
      <c r="U757" s="32" t="s">
        <v>1631</v>
      </c>
      <c r="V757" s="42" t="s">
        <v>57</v>
      </c>
      <c r="W757" s="32">
        <v>2050</v>
      </c>
      <c r="X757" s="43" t="str">
        <f t="shared" si="93"/>
        <v>*0.93</v>
      </c>
      <c r="AC757" s="33" t="s">
        <v>1631</v>
      </c>
      <c r="AD757" s="44" t="s">
        <v>57</v>
      </c>
      <c r="AE757" s="33">
        <v>2035</v>
      </c>
      <c r="AF757" s="45" t="str">
        <f t="shared" si="94"/>
        <v>*0.93</v>
      </c>
      <c r="AG757" s="43" t="str">
        <f t="shared" si="96"/>
        <v>REZoning_Sol-Win</v>
      </c>
      <c r="AI757" s="33" t="s">
        <v>1631</v>
      </c>
      <c r="AJ757" s="44" t="s">
        <v>57</v>
      </c>
      <c r="AK757" s="33">
        <v>2050</v>
      </c>
      <c r="AL757" s="45" t="str">
        <f t="shared" si="95"/>
        <v>*0.9</v>
      </c>
      <c r="AM757" s="43" t="str">
        <f t="shared" si="97"/>
        <v>REZoning_Sol-Win</v>
      </c>
      <c r="AP757" t="s">
        <v>1631</v>
      </c>
      <c r="AQ757" t="s">
        <v>57</v>
      </c>
      <c r="AR757">
        <v>2100</v>
      </c>
      <c r="AS757" t="s">
        <v>897</v>
      </c>
      <c r="AT757" t="s">
        <v>58</v>
      </c>
    </row>
    <row r="758" ht="29" spans="1:46">
      <c r="A758" s="31" t="s">
        <v>73</v>
      </c>
      <c r="C758" t="s">
        <v>1632</v>
      </c>
      <c r="D758" s="5" t="s">
        <v>57</v>
      </c>
      <c r="E758">
        <v>2035</v>
      </c>
      <c r="F758" s="6" t="str">
        <f t="shared" si="90"/>
        <v>*0.95</v>
      </c>
      <c r="H758" t="s">
        <v>1632</v>
      </c>
      <c r="I758" s="5" t="s">
        <v>57</v>
      </c>
      <c r="J758">
        <v>2050</v>
      </c>
      <c r="K758" s="38" t="str">
        <f t="shared" si="91"/>
        <v>*0.93</v>
      </c>
      <c r="P758" s="32" t="s">
        <v>1632</v>
      </c>
      <c r="Q758" s="42" t="s">
        <v>57</v>
      </c>
      <c r="R758" s="32">
        <v>2035</v>
      </c>
      <c r="S758" s="43" t="str">
        <f t="shared" si="92"/>
        <v>*0.95</v>
      </c>
      <c r="U758" s="32" t="s">
        <v>1632</v>
      </c>
      <c r="V758" s="42" t="s">
        <v>57</v>
      </c>
      <c r="W758" s="32">
        <v>2050</v>
      </c>
      <c r="X758" s="43" t="str">
        <f t="shared" si="93"/>
        <v>*0.93</v>
      </c>
      <c r="AC758" s="33" t="s">
        <v>1632</v>
      </c>
      <c r="AD758" s="44" t="s">
        <v>57</v>
      </c>
      <c r="AE758" s="33">
        <v>2035</v>
      </c>
      <c r="AF758" s="45" t="str">
        <f t="shared" si="94"/>
        <v>*0.93</v>
      </c>
      <c r="AG758" s="43" t="str">
        <f t="shared" si="96"/>
        <v>REZoning_Sol-Win</v>
      </c>
      <c r="AI758" s="33" t="s">
        <v>1632</v>
      </c>
      <c r="AJ758" s="44" t="s">
        <v>57</v>
      </c>
      <c r="AK758" s="33">
        <v>2050</v>
      </c>
      <c r="AL758" s="45" t="str">
        <f t="shared" si="95"/>
        <v>*0.9</v>
      </c>
      <c r="AM758" s="43" t="str">
        <f t="shared" si="97"/>
        <v>REZoning_Sol-Win</v>
      </c>
      <c r="AP758" t="s">
        <v>1632</v>
      </c>
      <c r="AQ758" t="s">
        <v>57</v>
      </c>
      <c r="AR758">
        <v>2100</v>
      </c>
      <c r="AS758" t="s">
        <v>897</v>
      </c>
      <c r="AT758" t="s">
        <v>58</v>
      </c>
    </row>
    <row r="759" ht="29" spans="1:46">
      <c r="A759" s="31" t="s">
        <v>73</v>
      </c>
      <c r="C759" t="s">
        <v>1633</v>
      </c>
      <c r="D759" s="5" t="s">
        <v>57</v>
      </c>
      <c r="E759">
        <v>2035</v>
      </c>
      <c r="F759" s="6" t="str">
        <f t="shared" si="90"/>
        <v>*0.95</v>
      </c>
      <c r="H759" t="s">
        <v>1633</v>
      </c>
      <c r="I759" s="5" t="s">
        <v>57</v>
      </c>
      <c r="J759">
        <v>2050</v>
      </c>
      <c r="K759" s="38" t="str">
        <f t="shared" si="91"/>
        <v>*0.93</v>
      </c>
      <c r="P759" s="32" t="s">
        <v>1633</v>
      </c>
      <c r="Q759" s="42" t="s">
        <v>57</v>
      </c>
      <c r="R759" s="32">
        <v>2035</v>
      </c>
      <c r="S759" s="43" t="str">
        <f t="shared" si="92"/>
        <v>*0.95</v>
      </c>
      <c r="U759" s="32" t="s">
        <v>1633</v>
      </c>
      <c r="V759" s="42" t="s">
        <v>57</v>
      </c>
      <c r="W759" s="32">
        <v>2050</v>
      </c>
      <c r="X759" s="43" t="str">
        <f t="shared" si="93"/>
        <v>*0.93</v>
      </c>
      <c r="AC759" s="33" t="s">
        <v>1633</v>
      </c>
      <c r="AD759" s="44" t="s">
        <v>57</v>
      </c>
      <c r="AE759" s="33">
        <v>2035</v>
      </c>
      <c r="AF759" s="45" t="str">
        <f t="shared" si="94"/>
        <v>*0.93</v>
      </c>
      <c r="AG759" s="43" t="str">
        <f t="shared" si="96"/>
        <v>REZoning_Sol-Win</v>
      </c>
      <c r="AI759" s="33" t="s">
        <v>1633</v>
      </c>
      <c r="AJ759" s="44" t="s">
        <v>57</v>
      </c>
      <c r="AK759" s="33">
        <v>2050</v>
      </c>
      <c r="AL759" s="45" t="str">
        <f t="shared" si="95"/>
        <v>*0.9</v>
      </c>
      <c r="AM759" s="43" t="str">
        <f t="shared" si="97"/>
        <v>REZoning_Sol-Win</v>
      </c>
      <c r="AP759" t="s">
        <v>1633</v>
      </c>
      <c r="AQ759" t="s">
        <v>57</v>
      </c>
      <c r="AR759">
        <v>2100</v>
      </c>
      <c r="AS759" t="s">
        <v>897</v>
      </c>
      <c r="AT759" t="s">
        <v>58</v>
      </c>
    </row>
    <row r="760" ht="29" spans="1:46">
      <c r="A760" s="31" t="s">
        <v>73</v>
      </c>
      <c r="C760" t="s">
        <v>1634</v>
      </c>
      <c r="D760" s="5" t="s">
        <v>57</v>
      </c>
      <c r="E760">
        <v>2035</v>
      </c>
      <c r="F760" s="6" t="str">
        <f t="shared" si="90"/>
        <v>*0.95</v>
      </c>
      <c r="H760" t="s">
        <v>1634</v>
      </c>
      <c r="I760" s="5" t="s">
        <v>57</v>
      </c>
      <c r="J760">
        <v>2050</v>
      </c>
      <c r="K760" s="38" t="str">
        <f t="shared" si="91"/>
        <v>*0.93</v>
      </c>
      <c r="P760" s="32" t="s">
        <v>1634</v>
      </c>
      <c r="Q760" s="42" t="s">
        <v>57</v>
      </c>
      <c r="R760" s="32">
        <v>2035</v>
      </c>
      <c r="S760" s="43" t="str">
        <f t="shared" si="92"/>
        <v>*0.95</v>
      </c>
      <c r="U760" s="32" t="s">
        <v>1634</v>
      </c>
      <c r="V760" s="42" t="s">
        <v>57</v>
      </c>
      <c r="W760" s="32">
        <v>2050</v>
      </c>
      <c r="X760" s="43" t="str">
        <f t="shared" si="93"/>
        <v>*0.93</v>
      </c>
      <c r="AC760" s="33" t="s">
        <v>1634</v>
      </c>
      <c r="AD760" s="44" t="s">
        <v>57</v>
      </c>
      <c r="AE760" s="33">
        <v>2035</v>
      </c>
      <c r="AF760" s="45" t="str">
        <f t="shared" si="94"/>
        <v>*0.93</v>
      </c>
      <c r="AG760" s="43" t="str">
        <f t="shared" si="96"/>
        <v>REZoning_Sol-Win</v>
      </c>
      <c r="AI760" s="33" t="s">
        <v>1634</v>
      </c>
      <c r="AJ760" s="44" t="s">
        <v>57</v>
      </c>
      <c r="AK760" s="33">
        <v>2050</v>
      </c>
      <c r="AL760" s="45" t="str">
        <f t="shared" si="95"/>
        <v>*0.9</v>
      </c>
      <c r="AM760" s="43" t="str">
        <f t="shared" si="97"/>
        <v>REZoning_Sol-Win</v>
      </c>
      <c r="AP760" t="s">
        <v>1634</v>
      </c>
      <c r="AQ760" t="s">
        <v>57</v>
      </c>
      <c r="AR760">
        <v>2100</v>
      </c>
      <c r="AS760" t="s">
        <v>897</v>
      </c>
      <c r="AT760" t="s">
        <v>58</v>
      </c>
    </row>
    <row r="761" ht="29" spans="1:46">
      <c r="A761" s="31" t="s">
        <v>73</v>
      </c>
      <c r="C761" t="s">
        <v>1635</v>
      </c>
      <c r="D761" s="5" t="s">
        <v>57</v>
      </c>
      <c r="E761">
        <v>2035</v>
      </c>
      <c r="F761" s="6" t="str">
        <f t="shared" si="90"/>
        <v>*0.95</v>
      </c>
      <c r="H761" t="s">
        <v>1635</v>
      </c>
      <c r="I761" s="5" t="s">
        <v>57</v>
      </c>
      <c r="J761">
        <v>2050</v>
      </c>
      <c r="K761" s="38" t="str">
        <f t="shared" si="91"/>
        <v>*0.93</v>
      </c>
      <c r="P761" s="32" t="s">
        <v>1635</v>
      </c>
      <c r="Q761" s="42" t="s">
        <v>57</v>
      </c>
      <c r="R761" s="32">
        <v>2035</v>
      </c>
      <c r="S761" s="43" t="str">
        <f t="shared" si="92"/>
        <v>*0.95</v>
      </c>
      <c r="U761" s="32" t="s">
        <v>1635</v>
      </c>
      <c r="V761" s="42" t="s">
        <v>57</v>
      </c>
      <c r="W761" s="32">
        <v>2050</v>
      </c>
      <c r="X761" s="43" t="str">
        <f t="shared" si="93"/>
        <v>*0.93</v>
      </c>
      <c r="AC761" s="33" t="s">
        <v>1635</v>
      </c>
      <c r="AD761" s="44" t="s">
        <v>57</v>
      </c>
      <c r="AE761" s="33">
        <v>2035</v>
      </c>
      <c r="AF761" s="45" t="str">
        <f t="shared" si="94"/>
        <v>*0.93</v>
      </c>
      <c r="AG761" s="43" t="str">
        <f t="shared" si="96"/>
        <v>REZoning_Sol-Win</v>
      </c>
      <c r="AI761" s="33" t="s">
        <v>1635</v>
      </c>
      <c r="AJ761" s="44" t="s">
        <v>57</v>
      </c>
      <c r="AK761" s="33">
        <v>2050</v>
      </c>
      <c r="AL761" s="45" t="str">
        <f t="shared" si="95"/>
        <v>*0.9</v>
      </c>
      <c r="AM761" s="43" t="str">
        <f t="shared" si="97"/>
        <v>REZoning_Sol-Win</v>
      </c>
      <c r="AP761" t="s">
        <v>1635</v>
      </c>
      <c r="AQ761" t="s">
        <v>57</v>
      </c>
      <c r="AR761">
        <v>2100</v>
      </c>
      <c r="AS761" t="s">
        <v>897</v>
      </c>
      <c r="AT761" t="s">
        <v>58</v>
      </c>
    </row>
    <row r="762" ht="29" spans="1:46">
      <c r="A762" s="31" t="s">
        <v>73</v>
      </c>
      <c r="C762" t="s">
        <v>1636</v>
      </c>
      <c r="D762" s="5" t="s">
        <v>57</v>
      </c>
      <c r="E762">
        <v>2035</v>
      </c>
      <c r="F762" s="6" t="str">
        <f t="shared" si="90"/>
        <v>*0.95</v>
      </c>
      <c r="H762" t="s">
        <v>1636</v>
      </c>
      <c r="I762" s="5" t="s">
        <v>57</v>
      </c>
      <c r="J762">
        <v>2050</v>
      </c>
      <c r="K762" s="38" t="str">
        <f t="shared" si="91"/>
        <v>*0.93</v>
      </c>
      <c r="P762" s="32" t="s">
        <v>1636</v>
      </c>
      <c r="Q762" s="42" t="s">
        <v>57</v>
      </c>
      <c r="R762" s="32">
        <v>2035</v>
      </c>
      <c r="S762" s="43" t="str">
        <f t="shared" si="92"/>
        <v>*0.95</v>
      </c>
      <c r="U762" s="32" t="s">
        <v>1636</v>
      </c>
      <c r="V762" s="42" t="s">
        <v>57</v>
      </c>
      <c r="W762" s="32">
        <v>2050</v>
      </c>
      <c r="X762" s="43" t="str">
        <f t="shared" si="93"/>
        <v>*0.93</v>
      </c>
      <c r="AC762" s="33" t="s">
        <v>1636</v>
      </c>
      <c r="AD762" s="44" t="s">
        <v>57</v>
      </c>
      <c r="AE762" s="33">
        <v>2035</v>
      </c>
      <c r="AF762" s="45" t="str">
        <f t="shared" si="94"/>
        <v>*0.93</v>
      </c>
      <c r="AG762" s="43" t="str">
        <f t="shared" si="96"/>
        <v>REZoning_Sol-Win</v>
      </c>
      <c r="AI762" s="33" t="s">
        <v>1636</v>
      </c>
      <c r="AJ762" s="44" t="s">
        <v>57</v>
      </c>
      <c r="AK762" s="33">
        <v>2050</v>
      </c>
      <c r="AL762" s="45" t="str">
        <f t="shared" si="95"/>
        <v>*0.9</v>
      </c>
      <c r="AM762" s="43" t="str">
        <f t="shared" si="97"/>
        <v>REZoning_Sol-Win</v>
      </c>
      <c r="AP762" t="s">
        <v>1636</v>
      </c>
      <c r="AQ762" t="s">
        <v>57</v>
      </c>
      <c r="AR762">
        <v>2100</v>
      </c>
      <c r="AS762" t="s">
        <v>897</v>
      </c>
      <c r="AT762" t="s">
        <v>58</v>
      </c>
    </row>
    <row r="763" ht="29" spans="1:46">
      <c r="A763" s="31" t="s">
        <v>73</v>
      </c>
      <c r="C763" t="s">
        <v>1637</v>
      </c>
      <c r="D763" s="5" t="s">
        <v>57</v>
      </c>
      <c r="E763">
        <v>2035</v>
      </c>
      <c r="F763" s="6" t="str">
        <f t="shared" si="90"/>
        <v>*0.95</v>
      </c>
      <c r="H763" t="s">
        <v>1637</v>
      </c>
      <c r="I763" s="5" t="s">
        <v>57</v>
      </c>
      <c r="J763">
        <v>2050</v>
      </c>
      <c r="K763" s="38" t="str">
        <f t="shared" si="91"/>
        <v>*0.93</v>
      </c>
      <c r="P763" s="32" t="s">
        <v>1637</v>
      </c>
      <c r="Q763" s="42" t="s">
        <v>57</v>
      </c>
      <c r="R763" s="32">
        <v>2035</v>
      </c>
      <c r="S763" s="43" t="str">
        <f t="shared" si="92"/>
        <v>*0.95</v>
      </c>
      <c r="U763" s="32" t="s">
        <v>1637</v>
      </c>
      <c r="V763" s="42" t="s">
        <v>57</v>
      </c>
      <c r="W763" s="32">
        <v>2050</v>
      </c>
      <c r="X763" s="43" t="str">
        <f t="shared" si="93"/>
        <v>*0.93</v>
      </c>
      <c r="AC763" s="33" t="s">
        <v>1637</v>
      </c>
      <c r="AD763" s="44" t="s">
        <v>57</v>
      </c>
      <c r="AE763" s="33">
        <v>2035</v>
      </c>
      <c r="AF763" s="45" t="str">
        <f t="shared" si="94"/>
        <v>*0.93</v>
      </c>
      <c r="AG763" s="43" t="str">
        <f t="shared" si="96"/>
        <v>REZoning_Sol-Win</v>
      </c>
      <c r="AI763" s="33" t="s">
        <v>1637</v>
      </c>
      <c r="AJ763" s="44" t="s">
        <v>57</v>
      </c>
      <c r="AK763" s="33">
        <v>2050</v>
      </c>
      <c r="AL763" s="45" t="str">
        <f t="shared" si="95"/>
        <v>*0.9</v>
      </c>
      <c r="AM763" s="43" t="str">
        <f t="shared" si="97"/>
        <v>REZoning_Sol-Win</v>
      </c>
      <c r="AP763" t="s">
        <v>1637</v>
      </c>
      <c r="AQ763" t="s">
        <v>57</v>
      </c>
      <c r="AR763">
        <v>2100</v>
      </c>
      <c r="AS763" t="s">
        <v>897</v>
      </c>
      <c r="AT763" t="s">
        <v>58</v>
      </c>
    </row>
    <row r="764" ht="29" spans="1:46">
      <c r="A764" s="31" t="s">
        <v>73</v>
      </c>
      <c r="C764" t="s">
        <v>1638</v>
      </c>
      <c r="D764" s="5" t="s">
        <v>57</v>
      </c>
      <c r="E764">
        <v>2035</v>
      </c>
      <c r="F764" s="6" t="str">
        <f t="shared" si="90"/>
        <v>*0.95</v>
      </c>
      <c r="H764" t="s">
        <v>1638</v>
      </c>
      <c r="I764" s="5" t="s">
        <v>57</v>
      </c>
      <c r="J764">
        <v>2050</v>
      </c>
      <c r="K764" s="38" t="str">
        <f t="shared" si="91"/>
        <v>*0.93</v>
      </c>
      <c r="P764" s="32" t="s">
        <v>1638</v>
      </c>
      <c r="Q764" s="42" t="s">
        <v>57</v>
      </c>
      <c r="R764" s="32">
        <v>2035</v>
      </c>
      <c r="S764" s="43" t="str">
        <f t="shared" si="92"/>
        <v>*0.95</v>
      </c>
      <c r="U764" s="32" t="s">
        <v>1638</v>
      </c>
      <c r="V764" s="42" t="s">
        <v>57</v>
      </c>
      <c r="W764" s="32">
        <v>2050</v>
      </c>
      <c r="X764" s="43" t="str">
        <f t="shared" si="93"/>
        <v>*0.93</v>
      </c>
      <c r="AC764" s="33" t="s">
        <v>1638</v>
      </c>
      <c r="AD764" s="44" t="s">
        <v>57</v>
      </c>
      <c r="AE764" s="33">
        <v>2035</v>
      </c>
      <c r="AF764" s="45" t="str">
        <f t="shared" si="94"/>
        <v>*0.93</v>
      </c>
      <c r="AG764" s="43" t="str">
        <f t="shared" si="96"/>
        <v>REZoning_Sol-Win</v>
      </c>
      <c r="AI764" s="33" t="s">
        <v>1638</v>
      </c>
      <c r="AJ764" s="44" t="s">
        <v>57</v>
      </c>
      <c r="AK764" s="33">
        <v>2050</v>
      </c>
      <c r="AL764" s="45" t="str">
        <f t="shared" si="95"/>
        <v>*0.9</v>
      </c>
      <c r="AM764" s="43" t="str">
        <f t="shared" si="97"/>
        <v>REZoning_Sol-Win</v>
      </c>
      <c r="AP764" t="s">
        <v>1638</v>
      </c>
      <c r="AQ764" t="s">
        <v>57</v>
      </c>
      <c r="AR764">
        <v>2100</v>
      </c>
      <c r="AS764" t="s">
        <v>897</v>
      </c>
      <c r="AT764" t="s">
        <v>58</v>
      </c>
    </row>
    <row r="765" ht="29" spans="1:46">
      <c r="A765" s="31" t="s">
        <v>73</v>
      </c>
      <c r="C765" t="s">
        <v>1639</v>
      </c>
      <c r="D765" s="5" t="s">
        <v>57</v>
      </c>
      <c r="E765">
        <v>2035</v>
      </c>
      <c r="F765" s="6" t="str">
        <f t="shared" si="90"/>
        <v>*0.95</v>
      </c>
      <c r="H765" t="s">
        <v>1639</v>
      </c>
      <c r="I765" s="5" t="s">
        <v>57</v>
      </c>
      <c r="J765">
        <v>2050</v>
      </c>
      <c r="K765" s="38" t="str">
        <f t="shared" si="91"/>
        <v>*0.93</v>
      </c>
      <c r="P765" s="32" t="s">
        <v>1639</v>
      </c>
      <c r="Q765" s="42" t="s">
        <v>57</v>
      </c>
      <c r="R765" s="32">
        <v>2035</v>
      </c>
      <c r="S765" s="43" t="str">
        <f t="shared" si="92"/>
        <v>*0.95</v>
      </c>
      <c r="U765" s="32" t="s">
        <v>1639</v>
      </c>
      <c r="V765" s="42" t="s">
        <v>57</v>
      </c>
      <c r="W765" s="32">
        <v>2050</v>
      </c>
      <c r="X765" s="43" t="str">
        <f t="shared" si="93"/>
        <v>*0.93</v>
      </c>
      <c r="AC765" s="33" t="s">
        <v>1639</v>
      </c>
      <c r="AD765" s="44" t="s">
        <v>57</v>
      </c>
      <c r="AE765" s="33">
        <v>2035</v>
      </c>
      <c r="AF765" s="45" t="str">
        <f t="shared" si="94"/>
        <v>*0.93</v>
      </c>
      <c r="AG765" s="43" t="str">
        <f t="shared" si="96"/>
        <v>REZoning_Sol-Win</v>
      </c>
      <c r="AI765" s="33" t="s">
        <v>1639</v>
      </c>
      <c r="AJ765" s="44" t="s">
        <v>57</v>
      </c>
      <c r="AK765" s="33">
        <v>2050</v>
      </c>
      <c r="AL765" s="45" t="str">
        <f t="shared" si="95"/>
        <v>*0.9</v>
      </c>
      <c r="AM765" s="43" t="str">
        <f t="shared" si="97"/>
        <v>REZoning_Sol-Win</v>
      </c>
      <c r="AP765" t="s">
        <v>1639</v>
      </c>
      <c r="AQ765" t="s">
        <v>57</v>
      </c>
      <c r="AR765">
        <v>2100</v>
      </c>
      <c r="AS765" t="s">
        <v>897</v>
      </c>
      <c r="AT765" t="s">
        <v>58</v>
      </c>
    </row>
    <row r="766" ht="29" spans="1:46">
      <c r="A766" s="31" t="s">
        <v>73</v>
      </c>
      <c r="C766" t="s">
        <v>1640</v>
      </c>
      <c r="D766" s="5" t="s">
        <v>57</v>
      </c>
      <c r="E766">
        <v>2035</v>
      </c>
      <c r="F766" s="6" t="str">
        <f t="shared" si="90"/>
        <v>*0.95</v>
      </c>
      <c r="H766" t="s">
        <v>1640</v>
      </c>
      <c r="I766" s="5" t="s">
        <v>57</v>
      </c>
      <c r="J766">
        <v>2050</v>
      </c>
      <c r="K766" s="38" t="str">
        <f t="shared" si="91"/>
        <v>*0.93</v>
      </c>
      <c r="P766" s="32" t="s">
        <v>1640</v>
      </c>
      <c r="Q766" s="42" t="s">
        <v>57</v>
      </c>
      <c r="R766" s="32">
        <v>2035</v>
      </c>
      <c r="S766" s="43" t="str">
        <f t="shared" si="92"/>
        <v>*0.95</v>
      </c>
      <c r="U766" s="32" t="s">
        <v>1640</v>
      </c>
      <c r="V766" s="42" t="s">
        <v>57</v>
      </c>
      <c r="W766" s="32">
        <v>2050</v>
      </c>
      <c r="X766" s="43" t="str">
        <f t="shared" si="93"/>
        <v>*0.93</v>
      </c>
      <c r="AC766" s="33" t="s">
        <v>1640</v>
      </c>
      <c r="AD766" s="44" t="s">
        <v>57</v>
      </c>
      <c r="AE766" s="33">
        <v>2035</v>
      </c>
      <c r="AF766" s="45" t="str">
        <f t="shared" si="94"/>
        <v>*0.93</v>
      </c>
      <c r="AG766" s="43" t="str">
        <f t="shared" si="96"/>
        <v>REZoning_Sol-Win</v>
      </c>
      <c r="AI766" s="33" t="s">
        <v>1640</v>
      </c>
      <c r="AJ766" s="44" t="s">
        <v>57</v>
      </c>
      <c r="AK766" s="33">
        <v>2050</v>
      </c>
      <c r="AL766" s="45" t="str">
        <f t="shared" si="95"/>
        <v>*0.9</v>
      </c>
      <c r="AM766" s="43" t="str">
        <f t="shared" si="97"/>
        <v>REZoning_Sol-Win</v>
      </c>
      <c r="AP766" t="s">
        <v>1640</v>
      </c>
      <c r="AQ766" t="s">
        <v>57</v>
      </c>
      <c r="AR766">
        <v>2100</v>
      </c>
      <c r="AS766" t="s">
        <v>897</v>
      </c>
      <c r="AT766" t="s">
        <v>58</v>
      </c>
    </row>
    <row r="767" ht="29" spans="1:46">
      <c r="A767" s="31" t="s">
        <v>73</v>
      </c>
      <c r="C767" t="s">
        <v>1641</v>
      </c>
      <c r="D767" s="5" t="s">
        <v>57</v>
      </c>
      <c r="E767">
        <v>2035</v>
      </c>
      <c r="F767" s="6" t="str">
        <f t="shared" si="90"/>
        <v>*0.95</v>
      </c>
      <c r="H767" t="s">
        <v>1641</v>
      </c>
      <c r="I767" s="5" t="s">
        <v>57</v>
      </c>
      <c r="J767">
        <v>2050</v>
      </c>
      <c r="K767" s="38" t="str">
        <f t="shared" si="91"/>
        <v>*0.93</v>
      </c>
      <c r="P767" s="32" t="s">
        <v>1641</v>
      </c>
      <c r="Q767" s="42" t="s">
        <v>57</v>
      </c>
      <c r="R767" s="32">
        <v>2035</v>
      </c>
      <c r="S767" s="43" t="str">
        <f t="shared" si="92"/>
        <v>*0.95</v>
      </c>
      <c r="U767" s="32" t="s">
        <v>1641</v>
      </c>
      <c r="V767" s="42" t="s">
        <v>57</v>
      </c>
      <c r="W767" s="32">
        <v>2050</v>
      </c>
      <c r="X767" s="43" t="str">
        <f t="shared" si="93"/>
        <v>*0.93</v>
      </c>
      <c r="AC767" s="33" t="s">
        <v>1641</v>
      </c>
      <c r="AD767" s="44" t="s">
        <v>57</v>
      </c>
      <c r="AE767" s="33">
        <v>2035</v>
      </c>
      <c r="AF767" s="45" t="str">
        <f t="shared" si="94"/>
        <v>*0.93</v>
      </c>
      <c r="AG767" s="43" t="str">
        <f t="shared" si="96"/>
        <v>REZoning_Sol-Win</v>
      </c>
      <c r="AI767" s="33" t="s">
        <v>1641</v>
      </c>
      <c r="AJ767" s="44" t="s">
        <v>57</v>
      </c>
      <c r="AK767" s="33">
        <v>2050</v>
      </c>
      <c r="AL767" s="45" t="str">
        <f t="shared" si="95"/>
        <v>*0.9</v>
      </c>
      <c r="AM767" s="43" t="str">
        <f t="shared" si="97"/>
        <v>REZoning_Sol-Win</v>
      </c>
      <c r="AP767" t="s">
        <v>1641</v>
      </c>
      <c r="AQ767" t="s">
        <v>57</v>
      </c>
      <c r="AR767">
        <v>2100</v>
      </c>
      <c r="AS767" t="s">
        <v>897</v>
      </c>
      <c r="AT767" t="s">
        <v>58</v>
      </c>
    </row>
    <row r="768" ht="29" spans="1:46">
      <c r="A768" s="31" t="s">
        <v>73</v>
      </c>
      <c r="C768" t="s">
        <v>1642</v>
      </c>
      <c r="D768" s="5" t="s">
        <v>57</v>
      </c>
      <c r="E768">
        <v>2035</v>
      </c>
      <c r="F768" s="6" t="str">
        <f t="shared" si="90"/>
        <v>*0.95</v>
      </c>
      <c r="H768" t="s">
        <v>1642</v>
      </c>
      <c r="I768" s="5" t="s">
        <v>57</v>
      </c>
      <c r="J768">
        <v>2050</v>
      </c>
      <c r="K768" s="38" t="str">
        <f t="shared" si="91"/>
        <v>*0.93</v>
      </c>
      <c r="P768" s="32" t="s">
        <v>1642</v>
      </c>
      <c r="Q768" s="42" t="s">
        <v>57</v>
      </c>
      <c r="R768" s="32">
        <v>2035</v>
      </c>
      <c r="S768" s="43" t="str">
        <f t="shared" si="92"/>
        <v>*0.95</v>
      </c>
      <c r="U768" s="32" t="s">
        <v>1642</v>
      </c>
      <c r="V768" s="42" t="s">
        <v>57</v>
      </c>
      <c r="W768" s="32">
        <v>2050</v>
      </c>
      <c r="X768" s="43" t="str">
        <f t="shared" si="93"/>
        <v>*0.93</v>
      </c>
      <c r="AC768" s="33" t="s">
        <v>1642</v>
      </c>
      <c r="AD768" s="44" t="s">
        <v>57</v>
      </c>
      <c r="AE768" s="33">
        <v>2035</v>
      </c>
      <c r="AF768" s="45" t="str">
        <f t="shared" si="94"/>
        <v>*0.93</v>
      </c>
      <c r="AG768" s="43" t="str">
        <f t="shared" si="96"/>
        <v>REZoning_Sol-Win</v>
      </c>
      <c r="AI768" s="33" t="s">
        <v>1642</v>
      </c>
      <c r="AJ768" s="44" t="s">
        <v>57</v>
      </c>
      <c r="AK768" s="33">
        <v>2050</v>
      </c>
      <c r="AL768" s="45" t="str">
        <f t="shared" si="95"/>
        <v>*0.9</v>
      </c>
      <c r="AM768" s="43" t="str">
        <f t="shared" si="97"/>
        <v>REZoning_Sol-Win</v>
      </c>
      <c r="AP768" t="s">
        <v>1642</v>
      </c>
      <c r="AQ768" t="s">
        <v>57</v>
      </c>
      <c r="AR768">
        <v>2100</v>
      </c>
      <c r="AS768" t="s">
        <v>897</v>
      </c>
      <c r="AT768" t="s">
        <v>58</v>
      </c>
    </row>
    <row r="769" ht="29" spans="1:46">
      <c r="A769" s="31" t="s">
        <v>73</v>
      </c>
      <c r="C769" t="s">
        <v>1643</v>
      </c>
      <c r="D769" s="5" t="s">
        <v>57</v>
      </c>
      <c r="E769">
        <v>2035</v>
      </c>
      <c r="F769" s="6" t="str">
        <f t="shared" si="90"/>
        <v>*0.95</v>
      </c>
      <c r="H769" t="s">
        <v>1643</v>
      </c>
      <c r="I769" s="5" t="s">
        <v>57</v>
      </c>
      <c r="J769">
        <v>2050</v>
      </c>
      <c r="K769" s="38" t="str">
        <f t="shared" si="91"/>
        <v>*0.93</v>
      </c>
      <c r="P769" s="32" t="s">
        <v>1643</v>
      </c>
      <c r="Q769" s="42" t="s">
        <v>57</v>
      </c>
      <c r="R769" s="32">
        <v>2035</v>
      </c>
      <c r="S769" s="43" t="str">
        <f t="shared" si="92"/>
        <v>*0.95</v>
      </c>
      <c r="U769" s="32" t="s">
        <v>1643</v>
      </c>
      <c r="V769" s="42" t="s">
        <v>57</v>
      </c>
      <c r="W769" s="32">
        <v>2050</v>
      </c>
      <c r="X769" s="43" t="str">
        <f t="shared" si="93"/>
        <v>*0.93</v>
      </c>
      <c r="AC769" s="33" t="s">
        <v>1643</v>
      </c>
      <c r="AD769" s="44" t="s">
        <v>57</v>
      </c>
      <c r="AE769" s="33">
        <v>2035</v>
      </c>
      <c r="AF769" s="45" t="str">
        <f t="shared" si="94"/>
        <v>*0.93</v>
      </c>
      <c r="AG769" s="43" t="str">
        <f t="shared" si="96"/>
        <v>REZoning_Sol-Win</v>
      </c>
      <c r="AI769" s="33" t="s">
        <v>1643</v>
      </c>
      <c r="AJ769" s="44" t="s">
        <v>57</v>
      </c>
      <c r="AK769" s="33">
        <v>2050</v>
      </c>
      <c r="AL769" s="45" t="str">
        <f t="shared" si="95"/>
        <v>*0.9</v>
      </c>
      <c r="AM769" s="43" t="str">
        <f t="shared" si="97"/>
        <v>REZoning_Sol-Win</v>
      </c>
      <c r="AP769" t="s">
        <v>1643</v>
      </c>
      <c r="AQ769" t="s">
        <v>57</v>
      </c>
      <c r="AR769">
        <v>2100</v>
      </c>
      <c r="AS769" t="s">
        <v>897</v>
      </c>
      <c r="AT769" t="s">
        <v>58</v>
      </c>
    </row>
    <row r="770" ht="29" spans="1:46">
      <c r="A770" s="31" t="s">
        <v>73</v>
      </c>
      <c r="C770" t="s">
        <v>1644</v>
      </c>
      <c r="D770" s="5" t="s">
        <v>57</v>
      </c>
      <c r="E770">
        <v>2035</v>
      </c>
      <c r="F770" s="6" t="str">
        <f t="shared" si="90"/>
        <v>*0.95</v>
      </c>
      <c r="H770" t="s">
        <v>1644</v>
      </c>
      <c r="I770" s="5" t="s">
        <v>57</v>
      </c>
      <c r="J770">
        <v>2050</v>
      </c>
      <c r="K770" s="38" t="str">
        <f t="shared" si="91"/>
        <v>*0.93</v>
      </c>
      <c r="P770" s="32" t="s">
        <v>1644</v>
      </c>
      <c r="Q770" s="42" t="s">
        <v>57</v>
      </c>
      <c r="R770" s="32">
        <v>2035</v>
      </c>
      <c r="S770" s="43" t="str">
        <f t="shared" si="92"/>
        <v>*0.95</v>
      </c>
      <c r="U770" s="32" t="s">
        <v>1644</v>
      </c>
      <c r="V770" s="42" t="s">
        <v>57</v>
      </c>
      <c r="W770" s="32">
        <v>2050</v>
      </c>
      <c r="X770" s="43" t="str">
        <f t="shared" si="93"/>
        <v>*0.93</v>
      </c>
      <c r="AC770" s="33" t="s">
        <v>1644</v>
      </c>
      <c r="AD770" s="44" t="s">
        <v>57</v>
      </c>
      <c r="AE770" s="33">
        <v>2035</v>
      </c>
      <c r="AF770" s="45" t="str">
        <f t="shared" si="94"/>
        <v>*0.93</v>
      </c>
      <c r="AG770" s="43" t="str">
        <f t="shared" si="96"/>
        <v>REZoning_Sol-Win</v>
      </c>
      <c r="AI770" s="33" t="s">
        <v>1644</v>
      </c>
      <c r="AJ770" s="44" t="s">
        <v>57</v>
      </c>
      <c r="AK770" s="33">
        <v>2050</v>
      </c>
      <c r="AL770" s="45" t="str">
        <f t="shared" si="95"/>
        <v>*0.9</v>
      </c>
      <c r="AM770" s="43" t="str">
        <f t="shared" si="97"/>
        <v>REZoning_Sol-Win</v>
      </c>
      <c r="AP770" t="s">
        <v>1644</v>
      </c>
      <c r="AQ770" t="s">
        <v>57</v>
      </c>
      <c r="AR770">
        <v>2100</v>
      </c>
      <c r="AS770" t="s">
        <v>897</v>
      </c>
      <c r="AT770" t="s">
        <v>58</v>
      </c>
    </row>
    <row r="771" ht="29" spans="1:46">
      <c r="A771" s="31" t="s">
        <v>73</v>
      </c>
      <c r="C771" t="s">
        <v>1645</v>
      </c>
      <c r="D771" s="5" t="s">
        <v>57</v>
      </c>
      <c r="E771">
        <v>2035</v>
      </c>
      <c r="F771" s="6" t="str">
        <f t="shared" si="90"/>
        <v>*0.95</v>
      </c>
      <c r="H771" t="s">
        <v>1645</v>
      </c>
      <c r="I771" s="5" t="s">
        <v>57</v>
      </c>
      <c r="J771">
        <v>2050</v>
      </c>
      <c r="K771" s="38" t="str">
        <f t="shared" si="91"/>
        <v>*0.93</v>
      </c>
      <c r="P771" s="32" t="s">
        <v>1645</v>
      </c>
      <c r="Q771" s="42" t="s">
        <v>57</v>
      </c>
      <c r="R771" s="32">
        <v>2035</v>
      </c>
      <c r="S771" s="43" t="str">
        <f t="shared" si="92"/>
        <v>*0.95</v>
      </c>
      <c r="U771" s="32" t="s">
        <v>1645</v>
      </c>
      <c r="V771" s="42" t="s">
        <v>57</v>
      </c>
      <c r="W771" s="32">
        <v>2050</v>
      </c>
      <c r="X771" s="43" t="str">
        <f t="shared" si="93"/>
        <v>*0.93</v>
      </c>
      <c r="AC771" s="33" t="s">
        <v>1645</v>
      </c>
      <c r="AD771" s="44" t="s">
        <v>57</v>
      </c>
      <c r="AE771" s="33">
        <v>2035</v>
      </c>
      <c r="AF771" s="45" t="str">
        <f t="shared" si="94"/>
        <v>*0.93</v>
      </c>
      <c r="AG771" s="43" t="str">
        <f t="shared" si="96"/>
        <v>REZoning_Sol-Win</v>
      </c>
      <c r="AI771" s="33" t="s">
        <v>1645</v>
      </c>
      <c r="AJ771" s="44" t="s">
        <v>57</v>
      </c>
      <c r="AK771" s="33">
        <v>2050</v>
      </c>
      <c r="AL771" s="45" t="str">
        <f t="shared" si="95"/>
        <v>*0.9</v>
      </c>
      <c r="AM771" s="43" t="str">
        <f t="shared" si="97"/>
        <v>REZoning_Sol-Win</v>
      </c>
      <c r="AP771" t="s">
        <v>1645</v>
      </c>
      <c r="AQ771" t="s">
        <v>57</v>
      </c>
      <c r="AR771">
        <v>2100</v>
      </c>
      <c r="AS771" t="s">
        <v>897</v>
      </c>
      <c r="AT771" t="s">
        <v>58</v>
      </c>
    </row>
    <row r="772" ht="29" spans="1:46">
      <c r="A772" s="31" t="s">
        <v>73</v>
      </c>
      <c r="C772" t="s">
        <v>1646</v>
      </c>
      <c r="D772" s="5" t="s">
        <v>57</v>
      </c>
      <c r="E772">
        <v>2035</v>
      </c>
      <c r="F772" s="6" t="str">
        <f t="shared" ref="F772:F835" si="98">"*"&amp;IF(AND(A772="EU",E772=2035),0.95,IF(AND(A772="EU",E772=2050),0.93,IF(AND(A772="USA",E772=2035),0.96,IF(AND(A772="USA",E772=2050),0.94,IF(AND(A772="Japan",E772=2035),0.94,IF(AND(A772="Japan",E772=2050),0.92,IF(AND(A772="Russia",E772=2035),0.95,IF(AND(A772="Russia",E772=2050),0.93,IF(AND(A772="China",E772=2035),0.94,IF(AND(A772="China",E772=2050),0.92,IF(AND(A772="India",E772=2035),0.95,IF(AND(A772="India",E772=2050),0.92,IF(AND(A772="Middle East",E772=2035),0.94,IF(AND(A772="Middle East",E772=2050),0.9,IF(AND(A772="Africa",E772=2035),0.94,IF(AND(A772="Africa",E772=2050),0.91,IF(AND(A772="Brazil",E772=2035),0.95,IF(AND(A772="Brazil",E772=2050),0.92,""))))))))))))))))))</f>
        <v>*0.95</v>
      </c>
      <c r="H772" t="s">
        <v>1646</v>
      </c>
      <c r="I772" s="5" t="s">
        <v>57</v>
      </c>
      <c r="J772">
        <v>2050</v>
      </c>
      <c r="K772" s="38" t="str">
        <f t="shared" ref="K772:K835" si="99">"*"&amp;IF(AND(A772="EU",J772=2035),0.95,IF(AND(A772="EU",J772=2050),0.93,IF(AND(A772="USA",J772=2035),0.96,IF(AND(A772="USA",J772=2050),0.94,IF(AND(A772="Japan",J772=2035),0.94,IF(AND(A772="Japan",J772=2050),0.92,IF(AND(A772="Russia",J772=2035),0.95,IF(AND(A772="Russia",J772=2050),0.93,IF(AND(A772="China",J772=2035),0.94,IF(AND(A772="China",J772=2050),0.92,IF(AND(A772="India",J772=2035),0.95,IF(AND(A772="India",J772=2050),0.92,IF(AND(A772="Middle East",J772=2035),0.94,IF(AND(A772="Middle East",J772=2050),0.9,IF(AND(A772="Africa",J772=2035),0.94,IF(AND(A772="Africa",J772=2050),0.91,IF(AND(A772="Brazil",J772=2035),0.95,IF(AND(A772="Brazil",J772=2050),0.92,""))))))))))))))))))</f>
        <v>*0.93</v>
      </c>
      <c r="P772" s="32" t="s">
        <v>1646</v>
      </c>
      <c r="Q772" s="42" t="s">
        <v>57</v>
      </c>
      <c r="R772" s="32">
        <v>2035</v>
      </c>
      <c r="S772" s="43" t="str">
        <f t="shared" ref="S772:S835" si="100">"*"&amp;IF(AND(A772="EU",R772=2035),0.95,IF(AND(A772="EU",R772=2050),0.93,IF(AND(A772="USA",R772=2035),0.96,IF(AND(A772="USA",R772=2050),0.93,IF(AND(A772="Japan",R772=2035),0.94,IF(AND(A772="Japan",R772=2050),0.92,IF(AND(A772="Russia",R772=2035),0.95,IF(AND(A772="Russia",R772=2050),0.91,IF(AND(A772="China",R772=2035),0.93,IF(AND(A772="China",R772=2050),0.92,IF(AND(A772="India",R772=2035),0.94,IF(AND(A772="India",R772=2050),0.91,IF(AND(A772="Middle East",R772=2035),0.92,IF(AND(A772="Middle East",R772=2050),0.89,IF(AND(A772="Africa",R772=2035),0.93,IF(AND(A772="Africa",R772=2050),0.9,IF(AND(A772="Brazil",R772=2035),0.95,IF(AND(A772="Brazil",R772=2050),0.92,""))))))))))))))))))</f>
        <v>*0.95</v>
      </c>
      <c r="U772" s="32" t="s">
        <v>1646</v>
      </c>
      <c r="V772" s="42" t="s">
        <v>57</v>
      </c>
      <c r="W772" s="32">
        <v>2050</v>
      </c>
      <c r="X772" s="43" t="str">
        <f t="shared" ref="X772:X835" si="101">"*"&amp;IF(AND(A772="EU",W772=2035),0.95,IF(AND(A772="EU",W772=2050),0.93,IF(AND(A772="USA",W772=2035),0.96,IF(AND(A772="USA",W772=2050),0.93,IF(AND(A772="Japan",W772=2035),0.94,IF(AND(A772="Japan",W772=2050),0.92,IF(AND(A772="Russia",W772=2035),0.95,IF(AND(A772="Russia",W772=2050),0.91,IF(AND(A772="China",W772=2035),0.93,IF(AND(A772="China",W772=2050),0.92,IF(AND(A772="India",W772=2035),0.94,IF(AND(A772="India",W772=2050),0.91,IF(AND(A772="Middle East",W772=2035),0.92,IF(AND(A772="Middle East",W772=2050),0.89,IF(AND(A772="Africa",W772=2035),0.93,IF(AND(A772="Africa",W772=2050),0.9,IF(AND(A772="Brazil",W772=2035),0.95,IF(AND(A772="Brazil",W772=2050),0.92,""))))))))))))))))))</f>
        <v>*0.93</v>
      </c>
      <c r="AC772" s="33" t="s">
        <v>1646</v>
      </c>
      <c r="AD772" s="44" t="s">
        <v>57</v>
      </c>
      <c r="AE772" s="33">
        <v>2035</v>
      </c>
      <c r="AF772" s="45" t="str">
        <f t="shared" ref="AF772:AF835" si="102">"*"&amp;IF(AND(A772="EU",AE772=2035),0.93,IF(AND(A772="EU",AE772=2050),0.9,IF(AND(A772="USA",AE772=2035),0.92,IF(AND(A772="USA",AE772=2050),0.89,IF(AND(A772="Japan",AE772=2035),0.92,IF(AND(A772="Japan",AE772=2050),0.89,IF(AND(A772="Russia",AE772=2035),0.91,IF(AND(A772="Russia",AE772=2050),0.86,IF(AND(A772="China",AE772=2035),0.91,IF(AND(A772="China",AE772=2050),0.87,IF(AND(A772="India",AE772=2035),0.92,IF(AND(A772="India",AE772=2050),0.87,IF(AND(A772="Middle East",AE772=2035),0.89,IF(AND(A772="Middle East",AE772=2050),0.84,IF(AND(A772="Africa",AE772=2035),0.9,IF(AND(A772="Africa",AE772=2050),0.86,IF(AND(A772="Brazil",AE772=2035),0.93,IF(AND(A772="Brazil",AE772=2050),0.89,""))))))))))))))))))</f>
        <v>*0.93</v>
      </c>
      <c r="AG772" s="43" t="str">
        <f t="shared" si="96"/>
        <v>REZoning_Sol-Win</v>
      </c>
      <c r="AI772" s="33" t="s">
        <v>1646</v>
      </c>
      <c r="AJ772" s="44" t="s">
        <v>57</v>
      </c>
      <c r="AK772" s="33">
        <v>2050</v>
      </c>
      <c r="AL772" s="45" t="str">
        <f t="shared" ref="AL772:AL835" si="103">"*"&amp;IF(AND(A772="EU",AK772=2035),0.93,IF(AND(A772="EU",AK772=2050),0.9,IF(AND(A772="USA",AK772=2035),0.92,IF(AND(A772="USA",AK772=2050),0.89,IF(AND(A772="Japan",AK772=2035),0.92,IF(AND(A772="Japan",AK772=2050),0.89,IF(AND(A772="Russia",AK772=2035),0.91,IF(AND(A772="Russia",AK772=2050),0.86,IF(AND(A772="China",AK772=2035),0.91,IF(AND(A772="China",AK772=2050),0.87,IF(AND(A772="India",AK772=2035),0.92,IF(AND(A772="India",AK772=2050),0.87,IF(AND(A772="Middle East",AK772=2035),0.89,IF(AND(A772="Middle East",AK772=2050),0.84,IF(AND(A772="Africa",AK772=2035),0.9,IF(AND(A772="Africa",AK772=2050),0.86,IF(AND(A772="Brazil",AK772=2035),0.93,IF(AND(A772="Brazil",AK772=2050),0.89,""))))))))))))))))))</f>
        <v>*0.9</v>
      </c>
      <c r="AM772" s="43" t="str">
        <f t="shared" si="97"/>
        <v>REZoning_Sol-Win</v>
      </c>
      <c r="AP772" t="s">
        <v>1646</v>
      </c>
      <c r="AQ772" t="s">
        <v>57</v>
      </c>
      <c r="AR772">
        <v>2100</v>
      </c>
      <c r="AS772" t="s">
        <v>897</v>
      </c>
      <c r="AT772" t="s">
        <v>58</v>
      </c>
    </row>
    <row r="773" ht="29" spans="1:46">
      <c r="A773" s="31" t="s">
        <v>73</v>
      </c>
      <c r="C773" t="s">
        <v>1647</v>
      </c>
      <c r="D773" s="5" t="s">
        <v>57</v>
      </c>
      <c r="E773">
        <v>2035</v>
      </c>
      <c r="F773" s="6" t="str">
        <f t="shared" si="98"/>
        <v>*0.95</v>
      </c>
      <c r="H773" t="s">
        <v>1647</v>
      </c>
      <c r="I773" s="5" t="s">
        <v>57</v>
      </c>
      <c r="J773">
        <v>2050</v>
      </c>
      <c r="K773" s="38" t="str">
        <f t="shared" si="99"/>
        <v>*0.93</v>
      </c>
      <c r="P773" s="32" t="s">
        <v>1647</v>
      </c>
      <c r="Q773" s="42" t="s">
        <v>57</v>
      </c>
      <c r="R773" s="32">
        <v>2035</v>
      </c>
      <c r="S773" s="43" t="str">
        <f t="shared" si="100"/>
        <v>*0.95</v>
      </c>
      <c r="U773" s="32" t="s">
        <v>1647</v>
      </c>
      <c r="V773" s="42" t="s">
        <v>57</v>
      </c>
      <c r="W773" s="32">
        <v>2050</v>
      </c>
      <c r="X773" s="43" t="str">
        <f t="shared" si="101"/>
        <v>*0.93</v>
      </c>
      <c r="AC773" s="33" t="s">
        <v>1647</v>
      </c>
      <c r="AD773" s="44" t="s">
        <v>57</v>
      </c>
      <c r="AE773" s="33">
        <v>2035</v>
      </c>
      <c r="AF773" s="45" t="str">
        <f t="shared" si="102"/>
        <v>*0.93</v>
      </c>
      <c r="AG773" s="43" t="str">
        <f t="shared" si="96"/>
        <v>REZoning_Sol-Win</v>
      </c>
      <c r="AI773" s="33" t="s">
        <v>1647</v>
      </c>
      <c r="AJ773" s="44" t="s">
        <v>57</v>
      </c>
      <c r="AK773" s="33">
        <v>2050</v>
      </c>
      <c r="AL773" s="45" t="str">
        <f t="shared" si="103"/>
        <v>*0.9</v>
      </c>
      <c r="AM773" s="43" t="str">
        <f t="shared" si="97"/>
        <v>REZoning_Sol-Win</v>
      </c>
      <c r="AP773" t="s">
        <v>1647</v>
      </c>
      <c r="AQ773" t="s">
        <v>57</v>
      </c>
      <c r="AR773">
        <v>2100</v>
      </c>
      <c r="AS773" t="s">
        <v>897</v>
      </c>
      <c r="AT773" t="s">
        <v>58</v>
      </c>
    </row>
    <row r="774" ht="29" spans="1:46">
      <c r="A774" s="31" t="s">
        <v>73</v>
      </c>
      <c r="C774" t="s">
        <v>1648</v>
      </c>
      <c r="D774" s="5" t="s">
        <v>57</v>
      </c>
      <c r="E774">
        <v>2035</v>
      </c>
      <c r="F774" s="6" t="str">
        <f t="shared" si="98"/>
        <v>*0.95</v>
      </c>
      <c r="H774" t="s">
        <v>1648</v>
      </c>
      <c r="I774" s="5" t="s">
        <v>57</v>
      </c>
      <c r="J774">
        <v>2050</v>
      </c>
      <c r="K774" s="38" t="str">
        <f t="shared" si="99"/>
        <v>*0.93</v>
      </c>
      <c r="P774" s="32" t="s">
        <v>1648</v>
      </c>
      <c r="Q774" s="42" t="s">
        <v>57</v>
      </c>
      <c r="R774" s="32">
        <v>2035</v>
      </c>
      <c r="S774" s="43" t="str">
        <f t="shared" si="100"/>
        <v>*0.95</v>
      </c>
      <c r="U774" s="32" t="s">
        <v>1648</v>
      </c>
      <c r="V774" s="42" t="s">
        <v>57</v>
      </c>
      <c r="W774" s="32">
        <v>2050</v>
      </c>
      <c r="X774" s="43" t="str">
        <f t="shared" si="101"/>
        <v>*0.93</v>
      </c>
      <c r="AC774" s="33" t="s">
        <v>1648</v>
      </c>
      <c r="AD774" s="44" t="s">
        <v>57</v>
      </c>
      <c r="AE774" s="33">
        <v>2035</v>
      </c>
      <c r="AF774" s="45" t="str">
        <f t="shared" si="102"/>
        <v>*0.93</v>
      </c>
      <c r="AG774" s="43" t="str">
        <f t="shared" si="96"/>
        <v>REZoning_Sol-Win</v>
      </c>
      <c r="AI774" s="33" t="s">
        <v>1648</v>
      </c>
      <c r="AJ774" s="44" t="s">
        <v>57</v>
      </c>
      <c r="AK774" s="33">
        <v>2050</v>
      </c>
      <c r="AL774" s="45" t="str">
        <f t="shared" si="103"/>
        <v>*0.9</v>
      </c>
      <c r="AM774" s="43" t="str">
        <f t="shared" si="97"/>
        <v>REZoning_Sol-Win</v>
      </c>
      <c r="AP774" t="s">
        <v>1648</v>
      </c>
      <c r="AQ774" t="s">
        <v>57</v>
      </c>
      <c r="AR774">
        <v>2100</v>
      </c>
      <c r="AS774" t="s">
        <v>897</v>
      </c>
      <c r="AT774" t="s">
        <v>58</v>
      </c>
    </row>
    <row r="775" ht="29" spans="1:46">
      <c r="A775" s="31" t="s">
        <v>73</v>
      </c>
      <c r="C775" t="s">
        <v>1649</v>
      </c>
      <c r="D775" s="5" t="s">
        <v>57</v>
      </c>
      <c r="E775">
        <v>2035</v>
      </c>
      <c r="F775" s="6" t="str">
        <f t="shared" si="98"/>
        <v>*0.95</v>
      </c>
      <c r="H775" t="s">
        <v>1649</v>
      </c>
      <c r="I775" s="5" t="s">
        <v>57</v>
      </c>
      <c r="J775">
        <v>2050</v>
      </c>
      <c r="K775" s="38" t="str">
        <f t="shared" si="99"/>
        <v>*0.93</v>
      </c>
      <c r="P775" s="32" t="s">
        <v>1649</v>
      </c>
      <c r="Q775" s="42" t="s">
        <v>57</v>
      </c>
      <c r="R775" s="32">
        <v>2035</v>
      </c>
      <c r="S775" s="43" t="str">
        <f t="shared" si="100"/>
        <v>*0.95</v>
      </c>
      <c r="U775" s="32" t="s">
        <v>1649</v>
      </c>
      <c r="V775" s="42" t="s">
        <v>57</v>
      </c>
      <c r="W775" s="32">
        <v>2050</v>
      </c>
      <c r="X775" s="43" t="str">
        <f t="shared" si="101"/>
        <v>*0.93</v>
      </c>
      <c r="AC775" s="33" t="s">
        <v>1649</v>
      </c>
      <c r="AD775" s="44" t="s">
        <v>57</v>
      </c>
      <c r="AE775" s="33">
        <v>2035</v>
      </c>
      <c r="AF775" s="45" t="str">
        <f t="shared" si="102"/>
        <v>*0.93</v>
      </c>
      <c r="AG775" s="43" t="str">
        <f t="shared" si="96"/>
        <v>REZoning_Sol-Win</v>
      </c>
      <c r="AI775" s="33" t="s">
        <v>1649</v>
      </c>
      <c r="AJ775" s="44" t="s">
        <v>57</v>
      </c>
      <c r="AK775" s="33">
        <v>2050</v>
      </c>
      <c r="AL775" s="45" t="str">
        <f t="shared" si="103"/>
        <v>*0.9</v>
      </c>
      <c r="AM775" s="43" t="str">
        <f t="shared" si="97"/>
        <v>REZoning_Sol-Win</v>
      </c>
      <c r="AP775" t="s">
        <v>1649</v>
      </c>
      <c r="AQ775" t="s">
        <v>57</v>
      </c>
      <c r="AR775">
        <v>2100</v>
      </c>
      <c r="AS775" t="s">
        <v>897</v>
      </c>
      <c r="AT775" t="s">
        <v>58</v>
      </c>
    </row>
    <row r="776" ht="29" spans="1:46">
      <c r="A776" s="31" t="s">
        <v>73</v>
      </c>
      <c r="C776" t="s">
        <v>1650</v>
      </c>
      <c r="D776" s="5" t="s">
        <v>57</v>
      </c>
      <c r="E776">
        <v>2035</v>
      </c>
      <c r="F776" s="6" t="str">
        <f t="shared" si="98"/>
        <v>*0.95</v>
      </c>
      <c r="H776" t="s">
        <v>1650</v>
      </c>
      <c r="I776" s="5" t="s">
        <v>57</v>
      </c>
      <c r="J776">
        <v>2050</v>
      </c>
      <c r="K776" s="38" t="str">
        <f t="shared" si="99"/>
        <v>*0.93</v>
      </c>
      <c r="P776" s="32" t="s">
        <v>1650</v>
      </c>
      <c r="Q776" s="42" t="s">
        <v>57</v>
      </c>
      <c r="R776" s="32">
        <v>2035</v>
      </c>
      <c r="S776" s="43" t="str">
        <f t="shared" si="100"/>
        <v>*0.95</v>
      </c>
      <c r="U776" s="32" t="s">
        <v>1650</v>
      </c>
      <c r="V776" s="42" t="s">
        <v>57</v>
      </c>
      <c r="W776" s="32">
        <v>2050</v>
      </c>
      <c r="X776" s="43" t="str">
        <f t="shared" si="101"/>
        <v>*0.93</v>
      </c>
      <c r="AC776" s="33" t="s">
        <v>1650</v>
      </c>
      <c r="AD776" s="44" t="s">
        <v>57</v>
      </c>
      <c r="AE776" s="33">
        <v>2035</v>
      </c>
      <c r="AF776" s="45" t="str">
        <f t="shared" si="102"/>
        <v>*0.93</v>
      </c>
      <c r="AG776" s="43" t="str">
        <f t="shared" si="96"/>
        <v>REZoning_Sol-Win</v>
      </c>
      <c r="AI776" s="33" t="s">
        <v>1650</v>
      </c>
      <c r="AJ776" s="44" t="s">
        <v>57</v>
      </c>
      <c r="AK776" s="33">
        <v>2050</v>
      </c>
      <c r="AL776" s="45" t="str">
        <f t="shared" si="103"/>
        <v>*0.9</v>
      </c>
      <c r="AM776" s="43" t="str">
        <f t="shared" si="97"/>
        <v>REZoning_Sol-Win</v>
      </c>
      <c r="AP776" t="s">
        <v>1650</v>
      </c>
      <c r="AQ776" t="s">
        <v>57</v>
      </c>
      <c r="AR776">
        <v>2100</v>
      </c>
      <c r="AS776" t="s">
        <v>897</v>
      </c>
      <c r="AT776" t="s">
        <v>58</v>
      </c>
    </row>
    <row r="777" ht="29" spans="1:46">
      <c r="A777" s="31" t="s">
        <v>73</v>
      </c>
      <c r="C777" t="s">
        <v>1651</v>
      </c>
      <c r="D777" s="5" t="s">
        <v>57</v>
      </c>
      <c r="E777">
        <v>2035</v>
      </c>
      <c r="F777" s="6" t="str">
        <f t="shared" si="98"/>
        <v>*0.95</v>
      </c>
      <c r="H777" t="s">
        <v>1651</v>
      </c>
      <c r="I777" s="5" t="s">
        <v>57</v>
      </c>
      <c r="J777">
        <v>2050</v>
      </c>
      <c r="K777" s="38" t="str">
        <f t="shared" si="99"/>
        <v>*0.93</v>
      </c>
      <c r="P777" s="32" t="s">
        <v>1651</v>
      </c>
      <c r="Q777" s="42" t="s">
        <v>57</v>
      </c>
      <c r="R777" s="32">
        <v>2035</v>
      </c>
      <c r="S777" s="43" t="str">
        <f t="shared" si="100"/>
        <v>*0.95</v>
      </c>
      <c r="U777" s="32" t="s">
        <v>1651</v>
      </c>
      <c r="V777" s="42" t="s">
        <v>57</v>
      </c>
      <c r="W777" s="32">
        <v>2050</v>
      </c>
      <c r="X777" s="43" t="str">
        <f t="shared" si="101"/>
        <v>*0.93</v>
      </c>
      <c r="AC777" s="33" t="s">
        <v>1651</v>
      </c>
      <c r="AD777" s="44" t="s">
        <v>57</v>
      </c>
      <c r="AE777" s="33">
        <v>2035</v>
      </c>
      <c r="AF777" s="45" t="str">
        <f t="shared" si="102"/>
        <v>*0.93</v>
      </c>
      <c r="AG777" s="43" t="str">
        <f t="shared" ref="AG777:AG840" si="104">AG776</f>
        <v>REZoning_Sol-Win</v>
      </c>
      <c r="AI777" s="33" t="s">
        <v>1651</v>
      </c>
      <c r="AJ777" s="44" t="s">
        <v>57</v>
      </c>
      <c r="AK777" s="33">
        <v>2050</v>
      </c>
      <c r="AL777" s="45" t="str">
        <f t="shared" si="103"/>
        <v>*0.9</v>
      </c>
      <c r="AM777" s="43" t="str">
        <f t="shared" si="97"/>
        <v>REZoning_Sol-Win</v>
      </c>
      <c r="AP777" t="s">
        <v>1651</v>
      </c>
      <c r="AQ777" t="s">
        <v>57</v>
      </c>
      <c r="AR777">
        <v>2100</v>
      </c>
      <c r="AS777" t="s">
        <v>897</v>
      </c>
      <c r="AT777" t="s">
        <v>58</v>
      </c>
    </row>
    <row r="778" ht="29" spans="1:46">
      <c r="A778" s="31" t="s">
        <v>73</v>
      </c>
      <c r="C778" t="s">
        <v>1652</v>
      </c>
      <c r="D778" s="5" t="s">
        <v>57</v>
      </c>
      <c r="E778">
        <v>2035</v>
      </c>
      <c r="F778" s="6" t="str">
        <f t="shared" si="98"/>
        <v>*0.95</v>
      </c>
      <c r="H778" t="s">
        <v>1652</v>
      </c>
      <c r="I778" s="5" t="s">
        <v>57</v>
      </c>
      <c r="J778">
        <v>2050</v>
      </c>
      <c r="K778" s="38" t="str">
        <f t="shared" si="99"/>
        <v>*0.93</v>
      </c>
      <c r="P778" s="32" t="s">
        <v>1652</v>
      </c>
      <c r="Q778" s="42" t="s">
        <v>57</v>
      </c>
      <c r="R778" s="32">
        <v>2035</v>
      </c>
      <c r="S778" s="43" t="str">
        <f t="shared" si="100"/>
        <v>*0.95</v>
      </c>
      <c r="U778" s="32" t="s">
        <v>1652</v>
      </c>
      <c r="V778" s="42" t="s">
        <v>57</v>
      </c>
      <c r="W778" s="32">
        <v>2050</v>
      </c>
      <c r="X778" s="43" t="str">
        <f t="shared" si="101"/>
        <v>*0.93</v>
      </c>
      <c r="AC778" s="33" t="s">
        <v>1652</v>
      </c>
      <c r="AD778" s="44" t="s">
        <v>57</v>
      </c>
      <c r="AE778" s="33">
        <v>2035</v>
      </c>
      <c r="AF778" s="45" t="str">
        <f t="shared" si="102"/>
        <v>*0.93</v>
      </c>
      <c r="AG778" s="43" t="str">
        <f t="shared" si="104"/>
        <v>REZoning_Sol-Win</v>
      </c>
      <c r="AI778" s="33" t="s">
        <v>1652</v>
      </c>
      <c r="AJ778" s="44" t="s">
        <v>57</v>
      </c>
      <c r="AK778" s="33">
        <v>2050</v>
      </c>
      <c r="AL778" s="45" t="str">
        <f t="shared" si="103"/>
        <v>*0.9</v>
      </c>
      <c r="AM778" s="43" t="str">
        <f t="shared" ref="AM778:AM841" si="105">AM777</f>
        <v>REZoning_Sol-Win</v>
      </c>
      <c r="AP778" t="s">
        <v>1652</v>
      </c>
      <c r="AQ778" t="s">
        <v>57</v>
      </c>
      <c r="AR778">
        <v>2100</v>
      </c>
      <c r="AS778" t="s">
        <v>897</v>
      </c>
      <c r="AT778" t="s">
        <v>58</v>
      </c>
    </row>
    <row r="779" ht="29" spans="1:46">
      <c r="A779" s="31" t="s">
        <v>73</v>
      </c>
      <c r="C779" t="s">
        <v>1653</v>
      </c>
      <c r="D779" s="5" t="s">
        <v>57</v>
      </c>
      <c r="E779">
        <v>2035</v>
      </c>
      <c r="F779" s="6" t="str">
        <f t="shared" si="98"/>
        <v>*0.95</v>
      </c>
      <c r="H779" t="s">
        <v>1653</v>
      </c>
      <c r="I779" s="5" t="s">
        <v>57</v>
      </c>
      <c r="J779">
        <v>2050</v>
      </c>
      <c r="K779" s="38" t="str">
        <f t="shared" si="99"/>
        <v>*0.93</v>
      </c>
      <c r="P779" s="32" t="s">
        <v>1653</v>
      </c>
      <c r="Q779" s="42" t="s">
        <v>57</v>
      </c>
      <c r="R779" s="32">
        <v>2035</v>
      </c>
      <c r="S779" s="43" t="str">
        <f t="shared" si="100"/>
        <v>*0.95</v>
      </c>
      <c r="U779" s="32" t="s">
        <v>1653</v>
      </c>
      <c r="V779" s="42" t="s">
        <v>57</v>
      </c>
      <c r="W779" s="32">
        <v>2050</v>
      </c>
      <c r="X779" s="43" t="str">
        <f t="shared" si="101"/>
        <v>*0.93</v>
      </c>
      <c r="AC779" s="33" t="s">
        <v>1653</v>
      </c>
      <c r="AD779" s="44" t="s">
        <v>57</v>
      </c>
      <c r="AE779" s="33">
        <v>2035</v>
      </c>
      <c r="AF779" s="45" t="str">
        <f t="shared" si="102"/>
        <v>*0.93</v>
      </c>
      <c r="AG779" s="43" t="str">
        <f t="shared" si="104"/>
        <v>REZoning_Sol-Win</v>
      </c>
      <c r="AI779" s="33" t="s">
        <v>1653</v>
      </c>
      <c r="AJ779" s="44" t="s">
        <v>57</v>
      </c>
      <c r="AK779" s="33">
        <v>2050</v>
      </c>
      <c r="AL779" s="45" t="str">
        <f t="shared" si="103"/>
        <v>*0.9</v>
      </c>
      <c r="AM779" s="43" t="str">
        <f t="shared" si="105"/>
        <v>REZoning_Sol-Win</v>
      </c>
      <c r="AP779" t="s">
        <v>1653</v>
      </c>
      <c r="AQ779" t="s">
        <v>57</v>
      </c>
      <c r="AR779">
        <v>2100</v>
      </c>
      <c r="AS779" t="s">
        <v>897</v>
      </c>
      <c r="AT779" t="s">
        <v>58</v>
      </c>
    </row>
    <row r="780" ht="29" spans="1:46">
      <c r="A780" s="31" t="s">
        <v>73</v>
      </c>
      <c r="C780" t="s">
        <v>1654</v>
      </c>
      <c r="D780" s="5" t="s">
        <v>57</v>
      </c>
      <c r="E780">
        <v>2035</v>
      </c>
      <c r="F780" s="6" t="str">
        <f t="shared" si="98"/>
        <v>*0.95</v>
      </c>
      <c r="H780" t="s">
        <v>1654</v>
      </c>
      <c r="I780" s="5" t="s">
        <v>57</v>
      </c>
      <c r="J780">
        <v>2050</v>
      </c>
      <c r="K780" s="38" t="str">
        <f t="shared" si="99"/>
        <v>*0.93</v>
      </c>
      <c r="P780" s="32" t="s">
        <v>1654</v>
      </c>
      <c r="Q780" s="42" t="s">
        <v>57</v>
      </c>
      <c r="R780" s="32">
        <v>2035</v>
      </c>
      <c r="S780" s="43" t="str">
        <f t="shared" si="100"/>
        <v>*0.95</v>
      </c>
      <c r="U780" s="32" t="s">
        <v>1654</v>
      </c>
      <c r="V780" s="42" t="s">
        <v>57</v>
      </c>
      <c r="W780" s="32">
        <v>2050</v>
      </c>
      <c r="X780" s="43" t="str">
        <f t="shared" si="101"/>
        <v>*0.93</v>
      </c>
      <c r="AC780" s="33" t="s">
        <v>1654</v>
      </c>
      <c r="AD780" s="44" t="s">
        <v>57</v>
      </c>
      <c r="AE780" s="33">
        <v>2035</v>
      </c>
      <c r="AF780" s="45" t="str">
        <f t="shared" si="102"/>
        <v>*0.93</v>
      </c>
      <c r="AG780" s="43" t="str">
        <f t="shared" si="104"/>
        <v>REZoning_Sol-Win</v>
      </c>
      <c r="AI780" s="33" t="s">
        <v>1654</v>
      </c>
      <c r="AJ780" s="44" t="s">
        <v>57</v>
      </c>
      <c r="AK780" s="33">
        <v>2050</v>
      </c>
      <c r="AL780" s="45" t="str">
        <f t="shared" si="103"/>
        <v>*0.9</v>
      </c>
      <c r="AM780" s="43" t="str">
        <f t="shared" si="105"/>
        <v>REZoning_Sol-Win</v>
      </c>
      <c r="AP780" t="s">
        <v>1654</v>
      </c>
      <c r="AQ780" t="s">
        <v>57</v>
      </c>
      <c r="AR780">
        <v>2100</v>
      </c>
      <c r="AS780" t="s">
        <v>897</v>
      </c>
      <c r="AT780" t="s">
        <v>58</v>
      </c>
    </row>
    <row r="781" ht="29" spans="1:46">
      <c r="A781" s="31" t="s">
        <v>73</v>
      </c>
      <c r="C781" t="s">
        <v>1655</v>
      </c>
      <c r="D781" s="5" t="s">
        <v>57</v>
      </c>
      <c r="E781">
        <v>2035</v>
      </c>
      <c r="F781" s="6" t="str">
        <f t="shared" si="98"/>
        <v>*0.95</v>
      </c>
      <c r="H781" t="s">
        <v>1655</v>
      </c>
      <c r="I781" s="5" t="s">
        <v>57</v>
      </c>
      <c r="J781">
        <v>2050</v>
      </c>
      <c r="K781" s="38" t="str">
        <f t="shared" si="99"/>
        <v>*0.93</v>
      </c>
      <c r="P781" s="32" t="s">
        <v>1655</v>
      </c>
      <c r="Q781" s="42" t="s">
        <v>57</v>
      </c>
      <c r="R781" s="32">
        <v>2035</v>
      </c>
      <c r="S781" s="43" t="str">
        <f t="shared" si="100"/>
        <v>*0.95</v>
      </c>
      <c r="U781" s="32" t="s">
        <v>1655</v>
      </c>
      <c r="V781" s="42" t="s">
        <v>57</v>
      </c>
      <c r="W781" s="32">
        <v>2050</v>
      </c>
      <c r="X781" s="43" t="str">
        <f t="shared" si="101"/>
        <v>*0.93</v>
      </c>
      <c r="AC781" s="33" t="s">
        <v>1655</v>
      </c>
      <c r="AD781" s="44" t="s">
        <v>57</v>
      </c>
      <c r="AE781" s="33">
        <v>2035</v>
      </c>
      <c r="AF781" s="45" t="str">
        <f t="shared" si="102"/>
        <v>*0.93</v>
      </c>
      <c r="AG781" s="43" t="str">
        <f t="shared" si="104"/>
        <v>REZoning_Sol-Win</v>
      </c>
      <c r="AI781" s="33" t="s">
        <v>1655</v>
      </c>
      <c r="AJ781" s="44" t="s">
        <v>57</v>
      </c>
      <c r="AK781" s="33">
        <v>2050</v>
      </c>
      <c r="AL781" s="45" t="str">
        <f t="shared" si="103"/>
        <v>*0.9</v>
      </c>
      <c r="AM781" s="43" t="str">
        <f t="shared" si="105"/>
        <v>REZoning_Sol-Win</v>
      </c>
      <c r="AP781" t="s">
        <v>1655</v>
      </c>
      <c r="AQ781" t="s">
        <v>57</v>
      </c>
      <c r="AR781">
        <v>2100</v>
      </c>
      <c r="AS781" t="s">
        <v>897</v>
      </c>
      <c r="AT781" t="s">
        <v>58</v>
      </c>
    </row>
    <row r="782" ht="29" spans="1:46">
      <c r="A782" s="31" t="s">
        <v>73</v>
      </c>
      <c r="C782" t="s">
        <v>1656</v>
      </c>
      <c r="D782" s="5" t="s">
        <v>57</v>
      </c>
      <c r="E782">
        <v>2035</v>
      </c>
      <c r="F782" s="6" t="str">
        <f t="shared" si="98"/>
        <v>*0.95</v>
      </c>
      <c r="H782" t="s">
        <v>1656</v>
      </c>
      <c r="I782" s="5" t="s">
        <v>57</v>
      </c>
      <c r="J782">
        <v>2050</v>
      </c>
      <c r="K782" s="38" t="str">
        <f t="shared" si="99"/>
        <v>*0.93</v>
      </c>
      <c r="P782" s="32" t="s">
        <v>1656</v>
      </c>
      <c r="Q782" s="42" t="s">
        <v>57</v>
      </c>
      <c r="R782" s="32">
        <v>2035</v>
      </c>
      <c r="S782" s="43" t="str">
        <f t="shared" si="100"/>
        <v>*0.95</v>
      </c>
      <c r="U782" s="32" t="s">
        <v>1656</v>
      </c>
      <c r="V782" s="42" t="s">
        <v>57</v>
      </c>
      <c r="W782" s="32">
        <v>2050</v>
      </c>
      <c r="X782" s="43" t="str">
        <f t="shared" si="101"/>
        <v>*0.93</v>
      </c>
      <c r="AC782" s="33" t="s">
        <v>1656</v>
      </c>
      <c r="AD782" s="44" t="s">
        <v>57</v>
      </c>
      <c r="AE782" s="33">
        <v>2035</v>
      </c>
      <c r="AF782" s="45" t="str">
        <f t="shared" si="102"/>
        <v>*0.93</v>
      </c>
      <c r="AG782" s="43" t="str">
        <f t="shared" si="104"/>
        <v>REZoning_Sol-Win</v>
      </c>
      <c r="AI782" s="33" t="s">
        <v>1656</v>
      </c>
      <c r="AJ782" s="44" t="s">
        <v>57</v>
      </c>
      <c r="AK782" s="33">
        <v>2050</v>
      </c>
      <c r="AL782" s="45" t="str">
        <f t="shared" si="103"/>
        <v>*0.9</v>
      </c>
      <c r="AM782" s="43" t="str">
        <f t="shared" si="105"/>
        <v>REZoning_Sol-Win</v>
      </c>
      <c r="AP782" t="s">
        <v>1656</v>
      </c>
      <c r="AQ782" t="s">
        <v>57</v>
      </c>
      <c r="AR782">
        <v>2100</v>
      </c>
      <c r="AS782" t="s">
        <v>897</v>
      </c>
      <c r="AT782" t="s">
        <v>58</v>
      </c>
    </row>
    <row r="783" ht="29" spans="1:46">
      <c r="A783" s="31" t="s">
        <v>73</v>
      </c>
      <c r="C783" t="s">
        <v>1657</v>
      </c>
      <c r="D783" s="5" t="s">
        <v>57</v>
      </c>
      <c r="E783">
        <v>2035</v>
      </c>
      <c r="F783" s="6" t="str">
        <f t="shared" si="98"/>
        <v>*0.95</v>
      </c>
      <c r="H783" t="s">
        <v>1657</v>
      </c>
      <c r="I783" s="5" t="s">
        <v>57</v>
      </c>
      <c r="J783">
        <v>2050</v>
      </c>
      <c r="K783" s="38" t="str">
        <f t="shared" si="99"/>
        <v>*0.93</v>
      </c>
      <c r="P783" s="32" t="s">
        <v>1657</v>
      </c>
      <c r="Q783" s="42" t="s">
        <v>57</v>
      </c>
      <c r="R783" s="32">
        <v>2035</v>
      </c>
      <c r="S783" s="43" t="str">
        <f t="shared" si="100"/>
        <v>*0.95</v>
      </c>
      <c r="U783" s="32" t="s">
        <v>1657</v>
      </c>
      <c r="V783" s="42" t="s">
        <v>57</v>
      </c>
      <c r="W783" s="32">
        <v>2050</v>
      </c>
      <c r="X783" s="43" t="str">
        <f t="shared" si="101"/>
        <v>*0.93</v>
      </c>
      <c r="AC783" s="33" t="s">
        <v>1657</v>
      </c>
      <c r="AD783" s="44" t="s">
        <v>57</v>
      </c>
      <c r="AE783" s="33">
        <v>2035</v>
      </c>
      <c r="AF783" s="45" t="str">
        <f t="shared" si="102"/>
        <v>*0.93</v>
      </c>
      <c r="AG783" s="43" t="str">
        <f t="shared" si="104"/>
        <v>REZoning_Sol-Win</v>
      </c>
      <c r="AI783" s="33" t="s">
        <v>1657</v>
      </c>
      <c r="AJ783" s="44" t="s">
        <v>57</v>
      </c>
      <c r="AK783" s="33">
        <v>2050</v>
      </c>
      <c r="AL783" s="45" t="str">
        <f t="shared" si="103"/>
        <v>*0.9</v>
      </c>
      <c r="AM783" s="43" t="str">
        <f t="shared" si="105"/>
        <v>REZoning_Sol-Win</v>
      </c>
      <c r="AP783" t="s">
        <v>1657</v>
      </c>
      <c r="AQ783" t="s">
        <v>57</v>
      </c>
      <c r="AR783">
        <v>2100</v>
      </c>
      <c r="AS783" t="s">
        <v>897</v>
      </c>
      <c r="AT783" t="s">
        <v>58</v>
      </c>
    </row>
    <row r="784" ht="29" spans="1:46">
      <c r="A784" s="31" t="s">
        <v>73</v>
      </c>
      <c r="C784" t="s">
        <v>1658</v>
      </c>
      <c r="D784" s="5" t="s">
        <v>57</v>
      </c>
      <c r="E784">
        <v>2035</v>
      </c>
      <c r="F784" s="6" t="str">
        <f t="shared" si="98"/>
        <v>*0.95</v>
      </c>
      <c r="H784" t="s">
        <v>1658</v>
      </c>
      <c r="I784" s="5" t="s">
        <v>57</v>
      </c>
      <c r="J784">
        <v>2050</v>
      </c>
      <c r="K784" s="38" t="str">
        <f t="shared" si="99"/>
        <v>*0.93</v>
      </c>
      <c r="P784" s="32" t="s">
        <v>1658</v>
      </c>
      <c r="Q784" s="42" t="s">
        <v>57</v>
      </c>
      <c r="R784" s="32">
        <v>2035</v>
      </c>
      <c r="S784" s="43" t="str">
        <f t="shared" si="100"/>
        <v>*0.95</v>
      </c>
      <c r="U784" s="32" t="s">
        <v>1658</v>
      </c>
      <c r="V784" s="42" t="s">
        <v>57</v>
      </c>
      <c r="W784" s="32">
        <v>2050</v>
      </c>
      <c r="X784" s="43" t="str">
        <f t="shared" si="101"/>
        <v>*0.93</v>
      </c>
      <c r="AC784" s="33" t="s">
        <v>1658</v>
      </c>
      <c r="AD784" s="44" t="s">
        <v>57</v>
      </c>
      <c r="AE784" s="33">
        <v>2035</v>
      </c>
      <c r="AF784" s="45" t="str">
        <f t="shared" si="102"/>
        <v>*0.93</v>
      </c>
      <c r="AG784" s="43" t="str">
        <f t="shared" si="104"/>
        <v>REZoning_Sol-Win</v>
      </c>
      <c r="AI784" s="33" t="s">
        <v>1658</v>
      </c>
      <c r="AJ784" s="44" t="s">
        <v>57</v>
      </c>
      <c r="AK784" s="33">
        <v>2050</v>
      </c>
      <c r="AL784" s="45" t="str">
        <f t="shared" si="103"/>
        <v>*0.9</v>
      </c>
      <c r="AM784" s="43" t="str">
        <f t="shared" si="105"/>
        <v>REZoning_Sol-Win</v>
      </c>
      <c r="AP784" t="s">
        <v>1658</v>
      </c>
      <c r="AQ784" t="s">
        <v>57</v>
      </c>
      <c r="AR784">
        <v>2100</v>
      </c>
      <c r="AS784" t="s">
        <v>897</v>
      </c>
      <c r="AT784" t="s">
        <v>58</v>
      </c>
    </row>
    <row r="785" ht="29" spans="1:46">
      <c r="A785" s="31" t="s">
        <v>73</v>
      </c>
      <c r="C785" t="s">
        <v>1659</v>
      </c>
      <c r="D785" s="5" t="s">
        <v>57</v>
      </c>
      <c r="E785">
        <v>2035</v>
      </c>
      <c r="F785" s="6" t="str">
        <f t="shared" si="98"/>
        <v>*0.95</v>
      </c>
      <c r="H785" t="s">
        <v>1659</v>
      </c>
      <c r="I785" s="5" t="s">
        <v>57</v>
      </c>
      <c r="J785">
        <v>2050</v>
      </c>
      <c r="K785" s="38" t="str">
        <f t="shared" si="99"/>
        <v>*0.93</v>
      </c>
      <c r="P785" s="32" t="s">
        <v>1659</v>
      </c>
      <c r="Q785" s="42" t="s">
        <v>57</v>
      </c>
      <c r="R785" s="32">
        <v>2035</v>
      </c>
      <c r="S785" s="43" t="str">
        <f t="shared" si="100"/>
        <v>*0.95</v>
      </c>
      <c r="U785" s="32" t="s">
        <v>1659</v>
      </c>
      <c r="V785" s="42" t="s">
        <v>57</v>
      </c>
      <c r="W785" s="32">
        <v>2050</v>
      </c>
      <c r="X785" s="43" t="str">
        <f t="shared" si="101"/>
        <v>*0.93</v>
      </c>
      <c r="AC785" s="33" t="s">
        <v>1659</v>
      </c>
      <c r="AD785" s="44" t="s">
        <v>57</v>
      </c>
      <c r="AE785" s="33">
        <v>2035</v>
      </c>
      <c r="AF785" s="45" t="str">
        <f t="shared" si="102"/>
        <v>*0.93</v>
      </c>
      <c r="AG785" s="43" t="str">
        <f t="shared" si="104"/>
        <v>REZoning_Sol-Win</v>
      </c>
      <c r="AI785" s="33" t="s">
        <v>1659</v>
      </c>
      <c r="AJ785" s="44" t="s">
        <v>57</v>
      </c>
      <c r="AK785" s="33">
        <v>2050</v>
      </c>
      <c r="AL785" s="45" t="str">
        <f t="shared" si="103"/>
        <v>*0.9</v>
      </c>
      <c r="AM785" s="43" t="str">
        <f t="shared" si="105"/>
        <v>REZoning_Sol-Win</v>
      </c>
      <c r="AP785" t="s">
        <v>1659</v>
      </c>
      <c r="AQ785" t="s">
        <v>57</v>
      </c>
      <c r="AR785">
        <v>2100</v>
      </c>
      <c r="AS785" t="s">
        <v>897</v>
      </c>
      <c r="AT785" t="s">
        <v>58</v>
      </c>
    </row>
    <row r="786" ht="29" spans="1:46">
      <c r="A786" s="31" t="s">
        <v>73</v>
      </c>
      <c r="C786" t="s">
        <v>1660</v>
      </c>
      <c r="D786" s="5" t="s">
        <v>57</v>
      </c>
      <c r="E786">
        <v>2035</v>
      </c>
      <c r="F786" s="6" t="str">
        <f t="shared" si="98"/>
        <v>*0.95</v>
      </c>
      <c r="H786" t="s">
        <v>1660</v>
      </c>
      <c r="I786" s="5" t="s">
        <v>57</v>
      </c>
      <c r="J786">
        <v>2050</v>
      </c>
      <c r="K786" s="38" t="str">
        <f t="shared" si="99"/>
        <v>*0.93</v>
      </c>
      <c r="P786" s="32" t="s">
        <v>1660</v>
      </c>
      <c r="Q786" s="42" t="s">
        <v>57</v>
      </c>
      <c r="R786" s="32">
        <v>2035</v>
      </c>
      <c r="S786" s="43" t="str">
        <f t="shared" si="100"/>
        <v>*0.95</v>
      </c>
      <c r="U786" s="32" t="s">
        <v>1660</v>
      </c>
      <c r="V786" s="42" t="s">
        <v>57</v>
      </c>
      <c r="W786" s="32">
        <v>2050</v>
      </c>
      <c r="X786" s="43" t="str">
        <f t="shared" si="101"/>
        <v>*0.93</v>
      </c>
      <c r="AC786" s="33" t="s">
        <v>1660</v>
      </c>
      <c r="AD786" s="44" t="s">
        <v>57</v>
      </c>
      <c r="AE786" s="33">
        <v>2035</v>
      </c>
      <c r="AF786" s="45" t="str">
        <f t="shared" si="102"/>
        <v>*0.93</v>
      </c>
      <c r="AG786" s="43" t="str">
        <f t="shared" si="104"/>
        <v>REZoning_Sol-Win</v>
      </c>
      <c r="AI786" s="33" t="s">
        <v>1660</v>
      </c>
      <c r="AJ786" s="44" t="s">
        <v>57</v>
      </c>
      <c r="AK786" s="33">
        <v>2050</v>
      </c>
      <c r="AL786" s="45" t="str">
        <f t="shared" si="103"/>
        <v>*0.9</v>
      </c>
      <c r="AM786" s="43" t="str">
        <f t="shared" si="105"/>
        <v>REZoning_Sol-Win</v>
      </c>
      <c r="AP786" t="s">
        <v>1660</v>
      </c>
      <c r="AQ786" t="s">
        <v>57</v>
      </c>
      <c r="AR786">
        <v>2100</v>
      </c>
      <c r="AS786" t="s">
        <v>897</v>
      </c>
      <c r="AT786" t="s">
        <v>58</v>
      </c>
    </row>
    <row r="787" ht="29" spans="1:46">
      <c r="A787" s="31" t="s">
        <v>73</v>
      </c>
      <c r="C787" t="s">
        <v>1661</v>
      </c>
      <c r="D787" s="5" t="s">
        <v>57</v>
      </c>
      <c r="E787">
        <v>2035</v>
      </c>
      <c r="F787" s="6" t="str">
        <f t="shared" si="98"/>
        <v>*0.95</v>
      </c>
      <c r="H787" t="s">
        <v>1661</v>
      </c>
      <c r="I787" s="5" t="s">
        <v>57</v>
      </c>
      <c r="J787">
        <v>2050</v>
      </c>
      <c r="K787" s="38" t="str">
        <f t="shared" si="99"/>
        <v>*0.93</v>
      </c>
      <c r="P787" s="32" t="s">
        <v>1661</v>
      </c>
      <c r="Q787" s="42" t="s">
        <v>57</v>
      </c>
      <c r="R787" s="32">
        <v>2035</v>
      </c>
      <c r="S787" s="43" t="str">
        <f t="shared" si="100"/>
        <v>*0.95</v>
      </c>
      <c r="U787" s="32" t="s">
        <v>1661</v>
      </c>
      <c r="V787" s="42" t="s">
        <v>57</v>
      </c>
      <c r="W787" s="32">
        <v>2050</v>
      </c>
      <c r="X787" s="43" t="str">
        <f t="shared" si="101"/>
        <v>*0.93</v>
      </c>
      <c r="AC787" s="33" t="s">
        <v>1661</v>
      </c>
      <c r="AD787" s="44" t="s">
        <v>57</v>
      </c>
      <c r="AE787" s="33">
        <v>2035</v>
      </c>
      <c r="AF787" s="45" t="str">
        <f t="shared" si="102"/>
        <v>*0.93</v>
      </c>
      <c r="AG787" s="43" t="str">
        <f t="shared" si="104"/>
        <v>REZoning_Sol-Win</v>
      </c>
      <c r="AI787" s="33" t="s">
        <v>1661</v>
      </c>
      <c r="AJ787" s="44" t="s">
        <v>57</v>
      </c>
      <c r="AK787" s="33">
        <v>2050</v>
      </c>
      <c r="AL787" s="45" t="str">
        <f t="shared" si="103"/>
        <v>*0.9</v>
      </c>
      <c r="AM787" s="43" t="str">
        <f t="shared" si="105"/>
        <v>REZoning_Sol-Win</v>
      </c>
      <c r="AP787" t="s">
        <v>1661</v>
      </c>
      <c r="AQ787" t="s">
        <v>57</v>
      </c>
      <c r="AR787">
        <v>2100</v>
      </c>
      <c r="AS787" t="s">
        <v>897</v>
      </c>
      <c r="AT787" t="s">
        <v>58</v>
      </c>
    </row>
    <row r="788" ht="29" spans="1:46">
      <c r="A788" s="31" t="s">
        <v>73</v>
      </c>
      <c r="C788" t="s">
        <v>1662</v>
      </c>
      <c r="D788" s="5" t="s">
        <v>57</v>
      </c>
      <c r="E788">
        <v>2035</v>
      </c>
      <c r="F788" s="6" t="str">
        <f t="shared" si="98"/>
        <v>*0.95</v>
      </c>
      <c r="H788" t="s">
        <v>1662</v>
      </c>
      <c r="I788" s="5" t="s">
        <v>57</v>
      </c>
      <c r="J788">
        <v>2050</v>
      </c>
      <c r="K788" s="38" t="str">
        <f t="shared" si="99"/>
        <v>*0.93</v>
      </c>
      <c r="P788" s="32" t="s">
        <v>1662</v>
      </c>
      <c r="Q788" s="42" t="s">
        <v>57</v>
      </c>
      <c r="R788" s="32">
        <v>2035</v>
      </c>
      <c r="S788" s="43" t="str">
        <f t="shared" si="100"/>
        <v>*0.95</v>
      </c>
      <c r="U788" s="32" t="s">
        <v>1662</v>
      </c>
      <c r="V788" s="42" t="s">
        <v>57</v>
      </c>
      <c r="W788" s="32">
        <v>2050</v>
      </c>
      <c r="X788" s="43" t="str">
        <f t="shared" si="101"/>
        <v>*0.93</v>
      </c>
      <c r="AC788" s="33" t="s">
        <v>1662</v>
      </c>
      <c r="AD788" s="44" t="s">
        <v>57</v>
      </c>
      <c r="AE788" s="33">
        <v>2035</v>
      </c>
      <c r="AF788" s="45" t="str">
        <f t="shared" si="102"/>
        <v>*0.93</v>
      </c>
      <c r="AG788" s="43" t="str">
        <f t="shared" si="104"/>
        <v>REZoning_Sol-Win</v>
      </c>
      <c r="AI788" s="33" t="s">
        <v>1662</v>
      </c>
      <c r="AJ788" s="44" t="s">
        <v>57</v>
      </c>
      <c r="AK788" s="33">
        <v>2050</v>
      </c>
      <c r="AL788" s="45" t="str">
        <f t="shared" si="103"/>
        <v>*0.9</v>
      </c>
      <c r="AM788" s="43" t="str">
        <f t="shared" si="105"/>
        <v>REZoning_Sol-Win</v>
      </c>
      <c r="AP788" t="s">
        <v>1662</v>
      </c>
      <c r="AQ788" t="s">
        <v>57</v>
      </c>
      <c r="AR788">
        <v>2100</v>
      </c>
      <c r="AS788" t="s">
        <v>897</v>
      </c>
      <c r="AT788" t="s">
        <v>58</v>
      </c>
    </row>
    <row r="789" ht="29" spans="1:46">
      <c r="A789" s="31" t="s">
        <v>73</v>
      </c>
      <c r="C789" t="s">
        <v>1663</v>
      </c>
      <c r="D789" s="5" t="s">
        <v>57</v>
      </c>
      <c r="E789">
        <v>2035</v>
      </c>
      <c r="F789" s="6" t="str">
        <f t="shared" si="98"/>
        <v>*0.95</v>
      </c>
      <c r="H789" t="s">
        <v>1663</v>
      </c>
      <c r="I789" s="5" t="s">
        <v>57</v>
      </c>
      <c r="J789">
        <v>2050</v>
      </c>
      <c r="K789" s="38" t="str">
        <f t="shared" si="99"/>
        <v>*0.93</v>
      </c>
      <c r="P789" s="32" t="s">
        <v>1663</v>
      </c>
      <c r="Q789" s="42" t="s">
        <v>57</v>
      </c>
      <c r="R789" s="32">
        <v>2035</v>
      </c>
      <c r="S789" s="43" t="str">
        <f t="shared" si="100"/>
        <v>*0.95</v>
      </c>
      <c r="U789" s="32" t="s">
        <v>1663</v>
      </c>
      <c r="V789" s="42" t="s">
        <v>57</v>
      </c>
      <c r="W789" s="32">
        <v>2050</v>
      </c>
      <c r="X789" s="43" t="str">
        <f t="shared" si="101"/>
        <v>*0.93</v>
      </c>
      <c r="AC789" s="33" t="s">
        <v>1663</v>
      </c>
      <c r="AD789" s="44" t="s">
        <v>57</v>
      </c>
      <c r="AE789" s="33">
        <v>2035</v>
      </c>
      <c r="AF789" s="45" t="str">
        <f t="shared" si="102"/>
        <v>*0.93</v>
      </c>
      <c r="AG789" s="43" t="str">
        <f t="shared" si="104"/>
        <v>REZoning_Sol-Win</v>
      </c>
      <c r="AI789" s="33" t="s">
        <v>1663</v>
      </c>
      <c r="AJ789" s="44" t="s">
        <v>57</v>
      </c>
      <c r="AK789" s="33">
        <v>2050</v>
      </c>
      <c r="AL789" s="45" t="str">
        <f t="shared" si="103"/>
        <v>*0.9</v>
      </c>
      <c r="AM789" s="43" t="str">
        <f t="shared" si="105"/>
        <v>REZoning_Sol-Win</v>
      </c>
      <c r="AP789" t="s">
        <v>1663</v>
      </c>
      <c r="AQ789" t="s">
        <v>57</v>
      </c>
      <c r="AR789">
        <v>2100</v>
      </c>
      <c r="AS789" t="s">
        <v>897</v>
      </c>
      <c r="AT789" t="s">
        <v>58</v>
      </c>
    </row>
    <row r="790" ht="29" spans="1:46">
      <c r="A790" s="31" t="s">
        <v>73</v>
      </c>
      <c r="C790" t="s">
        <v>1664</v>
      </c>
      <c r="D790" s="5" t="s">
        <v>57</v>
      </c>
      <c r="E790">
        <v>2035</v>
      </c>
      <c r="F790" s="6" t="str">
        <f t="shared" si="98"/>
        <v>*0.95</v>
      </c>
      <c r="H790" t="s">
        <v>1664</v>
      </c>
      <c r="I790" s="5" t="s">
        <v>57</v>
      </c>
      <c r="J790">
        <v>2050</v>
      </c>
      <c r="K790" s="38" t="str">
        <f t="shared" si="99"/>
        <v>*0.93</v>
      </c>
      <c r="P790" s="32" t="s">
        <v>1664</v>
      </c>
      <c r="Q790" s="42" t="s">
        <v>57</v>
      </c>
      <c r="R790" s="32">
        <v>2035</v>
      </c>
      <c r="S790" s="43" t="str">
        <f t="shared" si="100"/>
        <v>*0.95</v>
      </c>
      <c r="U790" s="32" t="s">
        <v>1664</v>
      </c>
      <c r="V790" s="42" t="s">
        <v>57</v>
      </c>
      <c r="W790" s="32">
        <v>2050</v>
      </c>
      <c r="X790" s="43" t="str">
        <f t="shared" si="101"/>
        <v>*0.93</v>
      </c>
      <c r="AC790" s="33" t="s">
        <v>1664</v>
      </c>
      <c r="AD790" s="44" t="s">
        <v>57</v>
      </c>
      <c r="AE790" s="33">
        <v>2035</v>
      </c>
      <c r="AF790" s="45" t="str">
        <f t="shared" si="102"/>
        <v>*0.93</v>
      </c>
      <c r="AG790" s="43" t="str">
        <f t="shared" si="104"/>
        <v>REZoning_Sol-Win</v>
      </c>
      <c r="AI790" s="33" t="s">
        <v>1664</v>
      </c>
      <c r="AJ790" s="44" t="s">
        <v>57</v>
      </c>
      <c r="AK790" s="33">
        <v>2050</v>
      </c>
      <c r="AL790" s="45" t="str">
        <f t="shared" si="103"/>
        <v>*0.9</v>
      </c>
      <c r="AM790" s="43" t="str">
        <f t="shared" si="105"/>
        <v>REZoning_Sol-Win</v>
      </c>
      <c r="AP790" t="s">
        <v>1664</v>
      </c>
      <c r="AQ790" t="s">
        <v>57</v>
      </c>
      <c r="AR790">
        <v>2100</v>
      </c>
      <c r="AS790" t="s">
        <v>897</v>
      </c>
      <c r="AT790" t="s">
        <v>58</v>
      </c>
    </row>
    <row r="791" ht="29" spans="1:46">
      <c r="A791" s="31" t="s">
        <v>73</v>
      </c>
      <c r="C791" t="s">
        <v>1665</v>
      </c>
      <c r="D791" s="5" t="s">
        <v>57</v>
      </c>
      <c r="E791">
        <v>2035</v>
      </c>
      <c r="F791" s="6" t="str">
        <f t="shared" si="98"/>
        <v>*0.95</v>
      </c>
      <c r="H791" t="s">
        <v>1665</v>
      </c>
      <c r="I791" s="5" t="s">
        <v>57</v>
      </c>
      <c r="J791">
        <v>2050</v>
      </c>
      <c r="K791" s="38" t="str">
        <f t="shared" si="99"/>
        <v>*0.93</v>
      </c>
      <c r="P791" s="32" t="s">
        <v>1665</v>
      </c>
      <c r="Q791" s="42" t="s">
        <v>57</v>
      </c>
      <c r="R791" s="32">
        <v>2035</v>
      </c>
      <c r="S791" s="43" t="str">
        <f t="shared" si="100"/>
        <v>*0.95</v>
      </c>
      <c r="U791" s="32" t="s">
        <v>1665</v>
      </c>
      <c r="V791" s="42" t="s">
        <v>57</v>
      </c>
      <c r="W791" s="32">
        <v>2050</v>
      </c>
      <c r="X791" s="43" t="str">
        <f t="shared" si="101"/>
        <v>*0.93</v>
      </c>
      <c r="AC791" s="33" t="s">
        <v>1665</v>
      </c>
      <c r="AD791" s="44" t="s">
        <v>57</v>
      </c>
      <c r="AE791" s="33">
        <v>2035</v>
      </c>
      <c r="AF791" s="45" t="str">
        <f t="shared" si="102"/>
        <v>*0.93</v>
      </c>
      <c r="AG791" s="43" t="str">
        <f t="shared" si="104"/>
        <v>REZoning_Sol-Win</v>
      </c>
      <c r="AI791" s="33" t="s">
        <v>1665</v>
      </c>
      <c r="AJ791" s="44" t="s">
        <v>57</v>
      </c>
      <c r="AK791" s="33">
        <v>2050</v>
      </c>
      <c r="AL791" s="45" t="str">
        <f t="shared" si="103"/>
        <v>*0.9</v>
      </c>
      <c r="AM791" s="43" t="str">
        <f t="shared" si="105"/>
        <v>REZoning_Sol-Win</v>
      </c>
      <c r="AP791" t="s">
        <v>1665</v>
      </c>
      <c r="AQ791" t="s">
        <v>57</v>
      </c>
      <c r="AR791">
        <v>2100</v>
      </c>
      <c r="AS791" t="s">
        <v>897</v>
      </c>
      <c r="AT791" t="s">
        <v>58</v>
      </c>
    </row>
    <row r="792" ht="29" spans="1:46">
      <c r="A792" s="31" t="s">
        <v>73</v>
      </c>
      <c r="C792" t="s">
        <v>1666</v>
      </c>
      <c r="D792" s="5" t="s">
        <v>57</v>
      </c>
      <c r="E792">
        <v>2035</v>
      </c>
      <c r="F792" s="6" t="str">
        <f t="shared" si="98"/>
        <v>*0.95</v>
      </c>
      <c r="H792" t="s">
        <v>1666</v>
      </c>
      <c r="I792" s="5" t="s">
        <v>57</v>
      </c>
      <c r="J792">
        <v>2050</v>
      </c>
      <c r="K792" s="38" t="str">
        <f t="shared" si="99"/>
        <v>*0.93</v>
      </c>
      <c r="P792" s="32" t="s">
        <v>1666</v>
      </c>
      <c r="Q792" s="42" t="s">
        <v>57</v>
      </c>
      <c r="R792" s="32">
        <v>2035</v>
      </c>
      <c r="S792" s="43" t="str">
        <f t="shared" si="100"/>
        <v>*0.95</v>
      </c>
      <c r="U792" s="32" t="s">
        <v>1666</v>
      </c>
      <c r="V792" s="42" t="s">
        <v>57</v>
      </c>
      <c r="W792" s="32">
        <v>2050</v>
      </c>
      <c r="X792" s="43" t="str">
        <f t="shared" si="101"/>
        <v>*0.93</v>
      </c>
      <c r="AC792" s="33" t="s">
        <v>1666</v>
      </c>
      <c r="AD792" s="44" t="s">
        <v>57</v>
      </c>
      <c r="AE792" s="33">
        <v>2035</v>
      </c>
      <c r="AF792" s="45" t="str">
        <f t="shared" si="102"/>
        <v>*0.93</v>
      </c>
      <c r="AG792" s="43" t="str">
        <f t="shared" si="104"/>
        <v>REZoning_Sol-Win</v>
      </c>
      <c r="AI792" s="33" t="s">
        <v>1666</v>
      </c>
      <c r="AJ792" s="44" t="s">
        <v>57</v>
      </c>
      <c r="AK792" s="33">
        <v>2050</v>
      </c>
      <c r="AL792" s="45" t="str">
        <f t="shared" si="103"/>
        <v>*0.9</v>
      </c>
      <c r="AM792" s="43" t="str">
        <f t="shared" si="105"/>
        <v>REZoning_Sol-Win</v>
      </c>
      <c r="AP792" t="s">
        <v>1666</v>
      </c>
      <c r="AQ792" t="s">
        <v>57</v>
      </c>
      <c r="AR792">
        <v>2100</v>
      </c>
      <c r="AS792" t="s">
        <v>897</v>
      </c>
      <c r="AT792" t="s">
        <v>58</v>
      </c>
    </row>
    <row r="793" ht="29" spans="1:46">
      <c r="A793" s="31" t="s">
        <v>73</v>
      </c>
      <c r="C793" t="s">
        <v>1667</v>
      </c>
      <c r="D793" s="5" t="s">
        <v>57</v>
      </c>
      <c r="E793">
        <v>2035</v>
      </c>
      <c r="F793" s="6" t="str">
        <f t="shared" si="98"/>
        <v>*0.95</v>
      </c>
      <c r="H793" t="s">
        <v>1667</v>
      </c>
      <c r="I793" s="5" t="s">
        <v>57</v>
      </c>
      <c r="J793">
        <v>2050</v>
      </c>
      <c r="K793" s="38" t="str">
        <f t="shared" si="99"/>
        <v>*0.93</v>
      </c>
      <c r="P793" s="32" t="s">
        <v>1667</v>
      </c>
      <c r="Q793" s="42" t="s">
        <v>57</v>
      </c>
      <c r="R793" s="32">
        <v>2035</v>
      </c>
      <c r="S793" s="43" t="str">
        <f t="shared" si="100"/>
        <v>*0.95</v>
      </c>
      <c r="U793" s="32" t="s">
        <v>1667</v>
      </c>
      <c r="V793" s="42" t="s">
        <v>57</v>
      </c>
      <c r="W793" s="32">
        <v>2050</v>
      </c>
      <c r="X793" s="43" t="str">
        <f t="shared" si="101"/>
        <v>*0.93</v>
      </c>
      <c r="AC793" s="33" t="s">
        <v>1667</v>
      </c>
      <c r="AD793" s="44" t="s">
        <v>57</v>
      </c>
      <c r="AE793" s="33">
        <v>2035</v>
      </c>
      <c r="AF793" s="45" t="str">
        <f t="shared" si="102"/>
        <v>*0.93</v>
      </c>
      <c r="AG793" s="43" t="str">
        <f t="shared" si="104"/>
        <v>REZoning_Sol-Win</v>
      </c>
      <c r="AI793" s="33" t="s">
        <v>1667</v>
      </c>
      <c r="AJ793" s="44" t="s">
        <v>57</v>
      </c>
      <c r="AK793" s="33">
        <v>2050</v>
      </c>
      <c r="AL793" s="45" t="str">
        <f t="shared" si="103"/>
        <v>*0.9</v>
      </c>
      <c r="AM793" s="43" t="str">
        <f t="shared" si="105"/>
        <v>REZoning_Sol-Win</v>
      </c>
      <c r="AP793" t="s">
        <v>1667</v>
      </c>
      <c r="AQ793" t="s">
        <v>57</v>
      </c>
      <c r="AR793">
        <v>2100</v>
      </c>
      <c r="AS793" t="s">
        <v>897</v>
      </c>
      <c r="AT793" t="s">
        <v>58</v>
      </c>
    </row>
    <row r="794" ht="29" spans="1:46">
      <c r="A794" s="31" t="s">
        <v>65</v>
      </c>
      <c r="C794" t="s">
        <v>1668</v>
      </c>
      <c r="D794" s="5" t="s">
        <v>57</v>
      </c>
      <c r="E794">
        <v>2035</v>
      </c>
      <c r="F794" s="6" t="str">
        <f t="shared" si="98"/>
        <v>*0.94</v>
      </c>
      <c r="H794" t="s">
        <v>1668</v>
      </c>
      <c r="I794" s="5" t="s">
        <v>57</v>
      </c>
      <c r="J794">
        <v>2050</v>
      </c>
      <c r="K794" s="38" t="str">
        <f t="shared" si="99"/>
        <v>*0.91</v>
      </c>
      <c r="P794" s="32" t="s">
        <v>1668</v>
      </c>
      <c r="Q794" s="42" t="s">
        <v>57</v>
      </c>
      <c r="R794" s="32">
        <v>2035</v>
      </c>
      <c r="S794" s="43" t="str">
        <f t="shared" si="100"/>
        <v>*0.93</v>
      </c>
      <c r="U794" s="32" t="s">
        <v>1668</v>
      </c>
      <c r="V794" s="42" t="s">
        <v>57</v>
      </c>
      <c r="W794" s="32">
        <v>2050</v>
      </c>
      <c r="X794" s="43" t="str">
        <f t="shared" si="101"/>
        <v>*0.9</v>
      </c>
      <c r="AC794" s="33" t="s">
        <v>1668</v>
      </c>
      <c r="AD794" s="44" t="s">
        <v>57</v>
      </c>
      <c r="AE794" s="33">
        <v>2035</v>
      </c>
      <c r="AF794" s="45" t="str">
        <f t="shared" si="102"/>
        <v>*0.9</v>
      </c>
      <c r="AG794" s="43" t="str">
        <f t="shared" si="104"/>
        <v>REZoning_Sol-Win</v>
      </c>
      <c r="AI794" s="33" t="s">
        <v>1668</v>
      </c>
      <c r="AJ794" s="44" t="s">
        <v>57</v>
      </c>
      <c r="AK794" s="33">
        <v>2050</v>
      </c>
      <c r="AL794" s="45" t="str">
        <f t="shared" si="103"/>
        <v>*0.86</v>
      </c>
      <c r="AM794" s="43" t="str">
        <f t="shared" si="105"/>
        <v>REZoning_Sol-Win</v>
      </c>
      <c r="AP794" t="s">
        <v>1668</v>
      </c>
      <c r="AQ794" t="s">
        <v>57</v>
      </c>
      <c r="AR794">
        <v>2100</v>
      </c>
      <c r="AS794" t="s">
        <v>883</v>
      </c>
      <c r="AT794" t="s">
        <v>58</v>
      </c>
    </row>
    <row r="795" ht="29" spans="1:46">
      <c r="A795" s="31" t="s">
        <v>65</v>
      </c>
      <c r="C795" t="s">
        <v>1669</v>
      </c>
      <c r="D795" s="5" t="s">
        <v>57</v>
      </c>
      <c r="E795">
        <v>2035</v>
      </c>
      <c r="F795" s="6" t="str">
        <f t="shared" si="98"/>
        <v>*0.94</v>
      </c>
      <c r="H795" t="s">
        <v>1669</v>
      </c>
      <c r="I795" s="5" t="s">
        <v>57</v>
      </c>
      <c r="J795">
        <v>2050</v>
      </c>
      <c r="K795" s="38" t="str">
        <f t="shared" si="99"/>
        <v>*0.91</v>
      </c>
      <c r="P795" s="32" t="s">
        <v>1669</v>
      </c>
      <c r="Q795" s="42" t="s">
        <v>57</v>
      </c>
      <c r="R795" s="32">
        <v>2035</v>
      </c>
      <c r="S795" s="43" t="str">
        <f t="shared" si="100"/>
        <v>*0.93</v>
      </c>
      <c r="U795" s="32" t="s">
        <v>1669</v>
      </c>
      <c r="V795" s="42" t="s">
        <v>57</v>
      </c>
      <c r="W795" s="32">
        <v>2050</v>
      </c>
      <c r="X795" s="43" t="str">
        <f t="shared" si="101"/>
        <v>*0.9</v>
      </c>
      <c r="AC795" s="33" t="s">
        <v>1669</v>
      </c>
      <c r="AD795" s="44" t="s">
        <v>57</v>
      </c>
      <c r="AE795" s="33">
        <v>2035</v>
      </c>
      <c r="AF795" s="45" t="str">
        <f t="shared" si="102"/>
        <v>*0.9</v>
      </c>
      <c r="AG795" s="43" t="str">
        <f t="shared" si="104"/>
        <v>REZoning_Sol-Win</v>
      </c>
      <c r="AI795" s="33" t="s">
        <v>1669</v>
      </c>
      <c r="AJ795" s="44" t="s">
        <v>57</v>
      </c>
      <c r="AK795" s="33">
        <v>2050</v>
      </c>
      <c r="AL795" s="45" t="str">
        <f t="shared" si="103"/>
        <v>*0.86</v>
      </c>
      <c r="AM795" s="43" t="str">
        <f t="shared" si="105"/>
        <v>REZoning_Sol-Win</v>
      </c>
      <c r="AP795" t="s">
        <v>1669</v>
      </c>
      <c r="AQ795" t="s">
        <v>57</v>
      </c>
      <c r="AR795">
        <v>2100</v>
      </c>
      <c r="AS795" t="s">
        <v>883</v>
      </c>
      <c r="AT795" t="s">
        <v>58</v>
      </c>
    </row>
    <row r="796" ht="29" spans="1:46">
      <c r="A796" s="31" t="s">
        <v>65</v>
      </c>
      <c r="C796" t="s">
        <v>1670</v>
      </c>
      <c r="D796" s="5" t="s">
        <v>57</v>
      </c>
      <c r="E796">
        <v>2035</v>
      </c>
      <c r="F796" s="6" t="str">
        <f t="shared" si="98"/>
        <v>*0.94</v>
      </c>
      <c r="H796" t="s">
        <v>1670</v>
      </c>
      <c r="I796" s="5" t="s">
        <v>57</v>
      </c>
      <c r="J796">
        <v>2050</v>
      </c>
      <c r="K796" s="38" t="str">
        <f t="shared" si="99"/>
        <v>*0.91</v>
      </c>
      <c r="P796" s="32" t="s">
        <v>1670</v>
      </c>
      <c r="Q796" s="42" t="s">
        <v>57</v>
      </c>
      <c r="R796" s="32">
        <v>2035</v>
      </c>
      <c r="S796" s="43" t="str">
        <f t="shared" si="100"/>
        <v>*0.93</v>
      </c>
      <c r="U796" s="32" t="s">
        <v>1670</v>
      </c>
      <c r="V796" s="42" t="s">
        <v>57</v>
      </c>
      <c r="W796" s="32">
        <v>2050</v>
      </c>
      <c r="X796" s="43" t="str">
        <f t="shared" si="101"/>
        <v>*0.9</v>
      </c>
      <c r="AC796" s="33" t="s">
        <v>1670</v>
      </c>
      <c r="AD796" s="44" t="s">
        <v>57</v>
      </c>
      <c r="AE796" s="33">
        <v>2035</v>
      </c>
      <c r="AF796" s="45" t="str">
        <f t="shared" si="102"/>
        <v>*0.9</v>
      </c>
      <c r="AG796" s="43" t="str">
        <f t="shared" si="104"/>
        <v>REZoning_Sol-Win</v>
      </c>
      <c r="AI796" s="33" t="s">
        <v>1670</v>
      </c>
      <c r="AJ796" s="44" t="s">
        <v>57</v>
      </c>
      <c r="AK796" s="33">
        <v>2050</v>
      </c>
      <c r="AL796" s="45" t="str">
        <f t="shared" si="103"/>
        <v>*0.86</v>
      </c>
      <c r="AM796" s="43" t="str">
        <f t="shared" si="105"/>
        <v>REZoning_Sol-Win</v>
      </c>
      <c r="AP796" t="s">
        <v>1670</v>
      </c>
      <c r="AQ796" t="s">
        <v>57</v>
      </c>
      <c r="AR796">
        <v>2100</v>
      </c>
      <c r="AS796" t="s">
        <v>883</v>
      </c>
      <c r="AT796" t="s">
        <v>58</v>
      </c>
    </row>
    <row r="797" ht="29" spans="1:46">
      <c r="A797" s="31" t="s">
        <v>65</v>
      </c>
      <c r="C797" t="s">
        <v>1671</v>
      </c>
      <c r="D797" s="5" t="s">
        <v>57</v>
      </c>
      <c r="E797">
        <v>2035</v>
      </c>
      <c r="F797" s="6" t="str">
        <f t="shared" si="98"/>
        <v>*0.94</v>
      </c>
      <c r="H797" t="s">
        <v>1671</v>
      </c>
      <c r="I797" s="5" t="s">
        <v>57</v>
      </c>
      <c r="J797">
        <v>2050</v>
      </c>
      <c r="K797" s="38" t="str">
        <f t="shared" si="99"/>
        <v>*0.91</v>
      </c>
      <c r="P797" s="32" t="s">
        <v>1671</v>
      </c>
      <c r="Q797" s="42" t="s">
        <v>57</v>
      </c>
      <c r="R797" s="32">
        <v>2035</v>
      </c>
      <c r="S797" s="43" t="str">
        <f t="shared" si="100"/>
        <v>*0.93</v>
      </c>
      <c r="U797" s="32" t="s">
        <v>1671</v>
      </c>
      <c r="V797" s="42" t="s">
        <v>57</v>
      </c>
      <c r="W797" s="32">
        <v>2050</v>
      </c>
      <c r="X797" s="43" t="str">
        <f t="shared" si="101"/>
        <v>*0.9</v>
      </c>
      <c r="AC797" s="33" t="s">
        <v>1671</v>
      </c>
      <c r="AD797" s="44" t="s">
        <v>57</v>
      </c>
      <c r="AE797" s="33">
        <v>2035</v>
      </c>
      <c r="AF797" s="45" t="str">
        <f t="shared" si="102"/>
        <v>*0.9</v>
      </c>
      <c r="AG797" s="43" t="str">
        <f t="shared" si="104"/>
        <v>REZoning_Sol-Win</v>
      </c>
      <c r="AI797" s="33" t="s">
        <v>1671</v>
      </c>
      <c r="AJ797" s="44" t="s">
        <v>57</v>
      </c>
      <c r="AK797" s="33">
        <v>2050</v>
      </c>
      <c r="AL797" s="45" t="str">
        <f t="shared" si="103"/>
        <v>*0.86</v>
      </c>
      <c r="AM797" s="43" t="str">
        <f t="shared" si="105"/>
        <v>REZoning_Sol-Win</v>
      </c>
      <c r="AP797" t="s">
        <v>1671</v>
      </c>
      <c r="AQ797" t="s">
        <v>57</v>
      </c>
      <c r="AR797">
        <v>2100</v>
      </c>
      <c r="AS797" t="s">
        <v>883</v>
      </c>
      <c r="AT797" t="s">
        <v>58</v>
      </c>
    </row>
    <row r="798" ht="29" spans="1:46">
      <c r="A798" s="31" t="s">
        <v>65</v>
      </c>
      <c r="C798" t="s">
        <v>1672</v>
      </c>
      <c r="D798" s="5" t="s">
        <v>57</v>
      </c>
      <c r="E798">
        <v>2035</v>
      </c>
      <c r="F798" s="6" t="str">
        <f t="shared" si="98"/>
        <v>*0.94</v>
      </c>
      <c r="H798" t="s">
        <v>1672</v>
      </c>
      <c r="I798" s="5" t="s">
        <v>57</v>
      </c>
      <c r="J798">
        <v>2050</v>
      </c>
      <c r="K798" s="38" t="str">
        <f t="shared" si="99"/>
        <v>*0.91</v>
      </c>
      <c r="P798" s="32" t="s">
        <v>1672</v>
      </c>
      <c r="Q798" s="42" t="s">
        <v>57</v>
      </c>
      <c r="R798" s="32">
        <v>2035</v>
      </c>
      <c r="S798" s="43" t="str">
        <f t="shared" si="100"/>
        <v>*0.93</v>
      </c>
      <c r="U798" s="32" t="s">
        <v>1672</v>
      </c>
      <c r="V798" s="42" t="s">
        <v>57</v>
      </c>
      <c r="W798" s="32">
        <v>2050</v>
      </c>
      <c r="X798" s="43" t="str">
        <f t="shared" si="101"/>
        <v>*0.9</v>
      </c>
      <c r="AC798" s="33" t="s">
        <v>1672</v>
      </c>
      <c r="AD798" s="44" t="s">
        <v>57</v>
      </c>
      <c r="AE798" s="33">
        <v>2035</v>
      </c>
      <c r="AF798" s="45" t="str">
        <f t="shared" si="102"/>
        <v>*0.9</v>
      </c>
      <c r="AG798" s="43" t="str">
        <f t="shared" si="104"/>
        <v>REZoning_Sol-Win</v>
      </c>
      <c r="AI798" s="33" t="s">
        <v>1672</v>
      </c>
      <c r="AJ798" s="44" t="s">
        <v>57</v>
      </c>
      <c r="AK798" s="33">
        <v>2050</v>
      </c>
      <c r="AL798" s="45" t="str">
        <f t="shared" si="103"/>
        <v>*0.86</v>
      </c>
      <c r="AM798" s="43" t="str">
        <f t="shared" si="105"/>
        <v>REZoning_Sol-Win</v>
      </c>
      <c r="AP798" t="s">
        <v>1672</v>
      </c>
      <c r="AQ798" t="s">
        <v>57</v>
      </c>
      <c r="AR798">
        <v>2100</v>
      </c>
      <c r="AS798" t="s">
        <v>883</v>
      </c>
      <c r="AT798" t="s">
        <v>58</v>
      </c>
    </row>
    <row r="799" ht="29" spans="1:46">
      <c r="A799" s="31" t="s">
        <v>65</v>
      </c>
      <c r="C799" t="s">
        <v>1673</v>
      </c>
      <c r="D799" s="5" t="s">
        <v>57</v>
      </c>
      <c r="E799">
        <v>2035</v>
      </c>
      <c r="F799" s="6" t="str">
        <f t="shared" si="98"/>
        <v>*0.94</v>
      </c>
      <c r="H799" t="s">
        <v>1673</v>
      </c>
      <c r="I799" s="5" t="s">
        <v>57</v>
      </c>
      <c r="J799">
        <v>2050</v>
      </c>
      <c r="K799" s="38" t="str">
        <f t="shared" si="99"/>
        <v>*0.91</v>
      </c>
      <c r="P799" s="32" t="s">
        <v>1673</v>
      </c>
      <c r="Q799" s="42" t="s">
        <v>57</v>
      </c>
      <c r="R799" s="32">
        <v>2035</v>
      </c>
      <c r="S799" s="43" t="str">
        <f t="shared" si="100"/>
        <v>*0.93</v>
      </c>
      <c r="U799" s="32" t="s">
        <v>1673</v>
      </c>
      <c r="V799" s="42" t="s">
        <v>57</v>
      </c>
      <c r="W799" s="32">
        <v>2050</v>
      </c>
      <c r="X799" s="43" t="str">
        <f t="shared" si="101"/>
        <v>*0.9</v>
      </c>
      <c r="AC799" s="33" t="s">
        <v>1673</v>
      </c>
      <c r="AD799" s="44" t="s">
        <v>57</v>
      </c>
      <c r="AE799" s="33">
        <v>2035</v>
      </c>
      <c r="AF799" s="45" t="str">
        <f t="shared" si="102"/>
        <v>*0.9</v>
      </c>
      <c r="AG799" s="43" t="str">
        <f t="shared" si="104"/>
        <v>REZoning_Sol-Win</v>
      </c>
      <c r="AI799" s="33" t="s">
        <v>1673</v>
      </c>
      <c r="AJ799" s="44" t="s">
        <v>57</v>
      </c>
      <c r="AK799" s="33">
        <v>2050</v>
      </c>
      <c r="AL799" s="45" t="str">
        <f t="shared" si="103"/>
        <v>*0.86</v>
      </c>
      <c r="AM799" s="43" t="str">
        <f t="shared" si="105"/>
        <v>REZoning_Sol-Win</v>
      </c>
      <c r="AP799" t="s">
        <v>1673</v>
      </c>
      <c r="AQ799" t="s">
        <v>57</v>
      </c>
      <c r="AR799">
        <v>2100</v>
      </c>
      <c r="AS799" t="s">
        <v>883</v>
      </c>
      <c r="AT799" t="s">
        <v>58</v>
      </c>
    </row>
    <row r="800" ht="29" spans="1:46">
      <c r="A800" s="31" t="s">
        <v>65</v>
      </c>
      <c r="C800" t="s">
        <v>1674</v>
      </c>
      <c r="D800" s="5" t="s">
        <v>57</v>
      </c>
      <c r="E800">
        <v>2035</v>
      </c>
      <c r="F800" s="6" t="str">
        <f t="shared" si="98"/>
        <v>*0.94</v>
      </c>
      <c r="H800" t="s">
        <v>1674</v>
      </c>
      <c r="I800" s="5" t="s">
        <v>57</v>
      </c>
      <c r="J800">
        <v>2050</v>
      </c>
      <c r="K800" s="38" t="str">
        <f t="shared" si="99"/>
        <v>*0.91</v>
      </c>
      <c r="P800" s="32" t="s">
        <v>1674</v>
      </c>
      <c r="Q800" s="42" t="s">
        <v>57</v>
      </c>
      <c r="R800" s="32">
        <v>2035</v>
      </c>
      <c r="S800" s="43" t="str">
        <f t="shared" si="100"/>
        <v>*0.93</v>
      </c>
      <c r="U800" s="32" t="s">
        <v>1674</v>
      </c>
      <c r="V800" s="42" t="s">
        <v>57</v>
      </c>
      <c r="W800" s="32">
        <v>2050</v>
      </c>
      <c r="X800" s="43" t="str">
        <f t="shared" si="101"/>
        <v>*0.9</v>
      </c>
      <c r="AC800" s="33" t="s">
        <v>1674</v>
      </c>
      <c r="AD800" s="44" t="s">
        <v>57</v>
      </c>
      <c r="AE800" s="33">
        <v>2035</v>
      </c>
      <c r="AF800" s="45" t="str">
        <f t="shared" si="102"/>
        <v>*0.9</v>
      </c>
      <c r="AG800" s="43" t="str">
        <f t="shared" si="104"/>
        <v>REZoning_Sol-Win</v>
      </c>
      <c r="AI800" s="33" t="s">
        <v>1674</v>
      </c>
      <c r="AJ800" s="44" t="s">
        <v>57</v>
      </c>
      <c r="AK800" s="33">
        <v>2050</v>
      </c>
      <c r="AL800" s="45" t="str">
        <f t="shared" si="103"/>
        <v>*0.86</v>
      </c>
      <c r="AM800" s="43" t="str">
        <f t="shared" si="105"/>
        <v>REZoning_Sol-Win</v>
      </c>
      <c r="AP800" t="s">
        <v>1674</v>
      </c>
      <c r="AQ800" t="s">
        <v>57</v>
      </c>
      <c r="AR800">
        <v>2100</v>
      </c>
      <c r="AS800" t="s">
        <v>883</v>
      </c>
      <c r="AT800" t="s">
        <v>58</v>
      </c>
    </row>
    <row r="801" ht="29" spans="1:46">
      <c r="A801" s="31" t="s">
        <v>65</v>
      </c>
      <c r="C801" t="s">
        <v>1675</v>
      </c>
      <c r="D801" s="5" t="s">
        <v>57</v>
      </c>
      <c r="E801">
        <v>2035</v>
      </c>
      <c r="F801" s="6" t="str">
        <f t="shared" si="98"/>
        <v>*0.94</v>
      </c>
      <c r="H801" t="s">
        <v>1675</v>
      </c>
      <c r="I801" s="5" t="s">
        <v>57</v>
      </c>
      <c r="J801">
        <v>2050</v>
      </c>
      <c r="K801" s="38" t="str">
        <f t="shared" si="99"/>
        <v>*0.91</v>
      </c>
      <c r="P801" s="32" t="s">
        <v>1675</v>
      </c>
      <c r="Q801" s="42" t="s">
        <v>57</v>
      </c>
      <c r="R801" s="32">
        <v>2035</v>
      </c>
      <c r="S801" s="43" t="str">
        <f t="shared" si="100"/>
        <v>*0.93</v>
      </c>
      <c r="U801" s="32" t="s">
        <v>1675</v>
      </c>
      <c r="V801" s="42" t="s">
        <v>57</v>
      </c>
      <c r="W801" s="32">
        <v>2050</v>
      </c>
      <c r="X801" s="43" t="str">
        <f t="shared" si="101"/>
        <v>*0.9</v>
      </c>
      <c r="AC801" s="33" t="s">
        <v>1675</v>
      </c>
      <c r="AD801" s="44" t="s">
        <v>57</v>
      </c>
      <c r="AE801" s="33">
        <v>2035</v>
      </c>
      <c r="AF801" s="45" t="str">
        <f t="shared" si="102"/>
        <v>*0.9</v>
      </c>
      <c r="AG801" s="43" t="str">
        <f t="shared" si="104"/>
        <v>REZoning_Sol-Win</v>
      </c>
      <c r="AI801" s="33" t="s">
        <v>1675</v>
      </c>
      <c r="AJ801" s="44" t="s">
        <v>57</v>
      </c>
      <c r="AK801" s="33">
        <v>2050</v>
      </c>
      <c r="AL801" s="45" t="str">
        <f t="shared" si="103"/>
        <v>*0.86</v>
      </c>
      <c r="AM801" s="43" t="str">
        <f t="shared" si="105"/>
        <v>REZoning_Sol-Win</v>
      </c>
      <c r="AP801" t="s">
        <v>1675</v>
      </c>
      <c r="AQ801" t="s">
        <v>57</v>
      </c>
      <c r="AR801">
        <v>2100</v>
      </c>
      <c r="AS801" t="s">
        <v>883</v>
      </c>
      <c r="AT801" t="s">
        <v>58</v>
      </c>
    </row>
    <row r="802" ht="29" spans="1:46">
      <c r="A802" s="31" t="s">
        <v>65</v>
      </c>
      <c r="C802" t="s">
        <v>1676</v>
      </c>
      <c r="D802" s="5" t="s">
        <v>57</v>
      </c>
      <c r="E802">
        <v>2035</v>
      </c>
      <c r="F802" s="6" t="str">
        <f t="shared" si="98"/>
        <v>*0.94</v>
      </c>
      <c r="H802" t="s">
        <v>1676</v>
      </c>
      <c r="I802" s="5" t="s">
        <v>57</v>
      </c>
      <c r="J802">
        <v>2050</v>
      </c>
      <c r="K802" s="38" t="str">
        <f t="shared" si="99"/>
        <v>*0.91</v>
      </c>
      <c r="P802" s="32" t="s">
        <v>1676</v>
      </c>
      <c r="Q802" s="42" t="s">
        <v>57</v>
      </c>
      <c r="R802" s="32">
        <v>2035</v>
      </c>
      <c r="S802" s="43" t="str">
        <f t="shared" si="100"/>
        <v>*0.93</v>
      </c>
      <c r="U802" s="32" t="s">
        <v>1676</v>
      </c>
      <c r="V802" s="42" t="s">
        <v>57</v>
      </c>
      <c r="W802" s="32">
        <v>2050</v>
      </c>
      <c r="X802" s="43" t="str">
        <f t="shared" si="101"/>
        <v>*0.9</v>
      </c>
      <c r="AC802" s="33" t="s">
        <v>1676</v>
      </c>
      <c r="AD802" s="44" t="s">
        <v>57</v>
      </c>
      <c r="AE802" s="33">
        <v>2035</v>
      </c>
      <c r="AF802" s="45" t="str">
        <f t="shared" si="102"/>
        <v>*0.9</v>
      </c>
      <c r="AG802" s="43" t="str">
        <f t="shared" si="104"/>
        <v>REZoning_Sol-Win</v>
      </c>
      <c r="AI802" s="33" t="s">
        <v>1676</v>
      </c>
      <c r="AJ802" s="44" t="s">
        <v>57</v>
      </c>
      <c r="AK802" s="33">
        <v>2050</v>
      </c>
      <c r="AL802" s="45" t="str">
        <f t="shared" si="103"/>
        <v>*0.86</v>
      </c>
      <c r="AM802" s="43" t="str">
        <f t="shared" si="105"/>
        <v>REZoning_Sol-Win</v>
      </c>
      <c r="AP802" t="s">
        <v>1676</v>
      </c>
      <c r="AQ802" t="s">
        <v>57</v>
      </c>
      <c r="AR802">
        <v>2100</v>
      </c>
      <c r="AS802" t="s">
        <v>883</v>
      </c>
      <c r="AT802" t="s">
        <v>58</v>
      </c>
    </row>
    <row r="803" ht="29" spans="1:46">
      <c r="A803" s="31" t="s">
        <v>65</v>
      </c>
      <c r="C803" t="s">
        <v>1677</v>
      </c>
      <c r="D803" s="5" t="s">
        <v>57</v>
      </c>
      <c r="E803">
        <v>2035</v>
      </c>
      <c r="F803" s="6" t="str">
        <f t="shared" si="98"/>
        <v>*0.94</v>
      </c>
      <c r="H803" t="s">
        <v>1677</v>
      </c>
      <c r="I803" s="5" t="s">
        <v>57</v>
      </c>
      <c r="J803">
        <v>2050</v>
      </c>
      <c r="K803" s="38" t="str">
        <f t="shared" si="99"/>
        <v>*0.91</v>
      </c>
      <c r="P803" s="32" t="s">
        <v>1677</v>
      </c>
      <c r="Q803" s="42" t="s">
        <v>57</v>
      </c>
      <c r="R803" s="32">
        <v>2035</v>
      </c>
      <c r="S803" s="43" t="str">
        <f t="shared" si="100"/>
        <v>*0.93</v>
      </c>
      <c r="U803" s="32" t="s">
        <v>1677</v>
      </c>
      <c r="V803" s="42" t="s">
        <v>57</v>
      </c>
      <c r="W803" s="32">
        <v>2050</v>
      </c>
      <c r="X803" s="43" t="str">
        <f t="shared" si="101"/>
        <v>*0.9</v>
      </c>
      <c r="AC803" s="33" t="s">
        <v>1677</v>
      </c>
      <c r="AD803" s="44" t="s">
        <v>57</v>
      </c>
      <c r="AE803" s="33">
        <v>2035</v>
      </c>
      <c r="AF803" s="45" t="str">
        <f t="shared" si="102"/>
        <v>*0.9</v>
      </c>
      <c r="AG803" s="43" t="str">
        <f t="shared" si="104"/>
        <v>REZoning_Sol-Win</v>
      </c>
      <c r="AI803" s="33" t="s">
        <v>1677</v>
      </c>
      <c r="AJ803" s="44" t="s">
        <v>57</v>
      </c>
      <c r="AK803" s="33">
        <v>2050</v>
      </c>
      <c r="AL803" s="45" t="str">
        <f t="shared" si="103"/>
        <v>*0.86</v>
      </c>
      <c r="AM803" s="43" t="str">
        <f t="shared" si="105"/>
        <v>REZoning_Sol-Win</v>
      </c>
      <c r="AP803" t="s">
        <v>1677</v>
      </c>
      <c r="AQ803" t="s">
        <v>57</v>
      </c>
      <c r="AR803">
        <v>2100</v>
      </c>
      <c r="AS803" t="s">
        <v>883</v>
      </c>
      <c r="AT803" t="s">
        <v>58</v>
      </c>
    </row>
    <row r="804" ht="29" spans="1:46">
      <c r="A804" s="31" t="s">
        <v>65</v>
      </c>
      <c r="C804" t="s">
        <v>1678</v>
      </c>
      <c r="D804" s="5" t="s">
        <v>57</v>
      </c>
      <c r="E804">
        <v>2035</v>
      </c>
      <c r="F804" s="6" t="str">
        <f t="shared" si="98"/>
        <v>*0.94</v>
      </c>
      <c r="H804" t="s">
        <v>1678</v>
      </c>
      <c r="I804" s="5" t="s">
        <v>57</v>
      </c>
      <c r="J804">
        <v>2050</v>
      </c>
      <c r="K804" s="38" t="str">
        <f t="shared" si="99"/>
        <v>*0.91</v>
      </c>
      <c r="P804" s="32" t="s">
        <v>1678</v>
      </c>
      <c r="Q804" s="42" t="s">
        <v>57</v>
      </c>
      <c r="R804" s="32">
        <v>2035</v>
      </c>
      <c r="S804" s="43" t="str">
        <f t="shared" si="100"/>
        <v>*0.93</v>
      </c>
      <c r="U804" s="32" t="s">
        <v>1678</v>
      </c>
      <c r="V804" s="42" t="s">
        <v>57</v>
      </c>
      <c r="W804" s="32">
        <v>2050</v>
      </c>
      <c r="X804" s="43" t="str">
        <f t="shared" si="101"/>
        <v>*0.9</v>
      </c>
      <c r="AC804" s="33" t="s">
        <v>1678</v>
      </c>
      <c r="AD804" s="44" t="s">
        <v>57</v>
      </c>
      <c r="AE804" s="33">
        <v>2035</v>
      </c>
      <c r="AF804" s="45" t="str">
        <f t="shared" si="102"/>
        <v>*0.9</v>
      </c>
      <c r="AG804" s="43" t="str">
        <f t="shared" si="104"/>
        <v>REZoning_Sol-Win</v>
      </c>
      <c r="AI804" s="33" t="s">
        <v>1678</v>
      </c>
      <c r="AJ804" s="44" t="s">
        <v>57</v>
      </c>
      <c r="AK804" s="33">
        <v>2050</v>
      </c>
      <c r="AL804" s="45" t="str">
        <f t="shared" si="103"/>
        <v>*0.86</v>
      </c>
      <c r="AM804" s="43" t="str">
        <f t="shared" si="105"/>
        <v>REZoning_Sol-Win</v>
      </c>
      <c r="AP804" t="s">
        <v>1678</v>
      </c>
      <c r="AQ804" t="s">
        <v>57</v>
      </c>
      <c r="AR804">
        <v>2100</v>
      </c>
      <c r="AS804" t="s">
        <v>883</v>
      </c>
      <c r="AT804" t="s">
        <v>58</v>
      </c>
    </row>
    <row r="805" ht="29" spans="1:46">
      <c r="A805" s="31" t="s">
        <v>65</v>
      </c>
      <c r="C805" t="s">
        <v>1679</v>
      </c>
      <c r="D805" s="5" t="s">
        <v>57</v>
      </c>
      <c r="E805">
        <v>2035</v>
      </c>
      <c r="F805" s="6" t="str">
        <f t="shared" si="98"/>
        <v>*0.94</v>
      </c>
      <c r="H805" t="s">
        <v>1679</v>
      </c>
      <c r="I805" s="5" t="s">
        <v>57</v>
      </c>
      <c r="J805">
        <v>2050</v>
      </c>
      <c r="K805" s="38" t="str">
        <f t="shared" si="99"/>
        <v>*0.91</v>
      </c>
      <c r="P805" s="32" t="s">
        <v>1679</v>
      </c>
      <c r="Q805" s="42" t="s">
        <v>57</v>
      </c>
      <c r="R805" s="32">
        <v>2035</v>
      </c>
      <c r="S805" s="43" t="str">
        <f t="shared" si="100"/>
        <v>*0.93</v>
      </c>
      <c r="U805" s="32" t="s">
        <v>1679</v>
      </c>
      <c r="V805" s="42" t="s">
        <v>57</v>
      </c>
      <c r="W805" s="32">
        <v>2050</v>
      </c>
      <c r="X805" s="43" t="str">
        <f t="shared" si="101"/>
        <v>*0.9</v>
      </c>
      <c r="AC805" s="33" t="s">
        <v>1679</v>
      </c>
      <c r="AD805" s="44" t="s">
        <v>57</v>
      </c>
      <c r="AE805" s="33">
        <v>2035</v>
      </c>
      <c r="AF805" s="45" t="str">
        <f t="shared" si="102"/>
        <v>*0.9</v>
      </c>
      <c r="AG805" s="43" t="str">
        <f t="shared" si="104"/>
        <v>REZoning_Sol-Win</v>
      </c>
      <c r="AI805" s="33" t="s">
        <v>1679</v>
      </c>
      <c r="AJ805" s="44" t="s">
        <v>57</v>
      </c>
      <c r="AK805" s="33">
        <v>2050</v>
      </c>
      <c r="AL805" s="45" t="str">
        <f t="shared" si="103"/>
        <v>*0.86</v>
      </c>
      <c r="AM805" s="43" t="str">
        <f t="shared" si="105"/>
        <v>REZoning_Sol-Win</v>
      </c>
      <c r="AP805" t="s">
        <v>1679</v>
      </c>
      <c r="AQ805" t="s">
        <v>57</v>
      </c>
      <c r="AR805">
        <v>2100</v>
      </c>
      <c r="AS805" t="s">
        <v>883</v>
      </c>
      <c r="AT805" t="s">
        <v>58</v>
      </c>
    </row>
    <row r="806" ht="29" spans="1:46">
      <c r="A806" s="31" t="s">
        <v>65</v>
      </c>
      <c r="C806" t="s">
        <v>1680</v>
      </c>
      <c r="D806" s="5" t="s">
        <v>57</v>
      </c>
      <c r="E806">
        <v>2035</v>
      </c>
      <c r="F806" s="6" t="str">
        <f t="shared" si="98"/>
        <v>*0.94</v>
      </c>
      <c r="H806" t="s">
        <v>1680</v>
      </c>
      <c r="I806" s="5" t="s">
        <v>57</v>
      </c>
      <c r="J806">
        <v>2050</v>
      </c>
      <c r="K806" s="38" t="str">
        <f t="shared" si="99"/>
        <v>*0.91</v>
      </c>
      <c r="P806" s="32" t="s">
        <v>1680</v>
      </c>
      <c r="Q806" s="42" t="s">
        <v>57</v>
      </c>
      <c r="R806" s="32">
        <v>2035</v>
      </c>
      <c r="S806" s="43" t="str">
        <f t="shared" si="100"/>
        <v>*0.93</v>
      </c>
      <c r="U806" s="32" t="s">
        <v>1680</v>
      </c>
      <c r="V806" s="42" t="s">
        <v>57</v>
      </c>
      <c r="W806" s="32">
        <v>2050</v>
      </c>
      <c r="X806" s="43" t="str">
        <f t="shared" si="101"/>
        <v>*0.9</v>
      </c>
      <c r="AC806" s="33" t="s">
        <v>1680</v>
      </c>
      <c r="AD806" s="44" t="s">
        <v>57</v>
      </c>
      <c r="AE806" s="33">
        <v>2035</v>
      </c>
      <c r="AF806" s="45" t="str">
        <f t="shared" si="102"/>
        <v>*0.9</v>
      </c>
      <c r="AG806" s="43" t="str">
        <f t="shared" si="104"/>
        <v>REZoning_Sol-Win</v>
      </c>
      <c r="AI806" s="33" t="s">
        <v>1680</v>
      </c>
      <c r="AJ806" s="44" t="s">
        <v>57</v>
      </c>
      <c r="AK806" s="33">
        <v>2050</v>
      </c>
      <c r="AL806" s="45" t="str">
        <f t="shared" si="103"/>
        <v>*0.86</v>
      </c>
      <c r="AM806" s="43" t="str">
        <f t="shared" si="105"/>
        <v>REZoning_Sol-Win</v>
      </c>
      <c r="AP806" t="s">
        <v>1680</v>
      </c>
      <c r="AQ806" t="s">
        <v>57</v>
      </c>
      <c r="AR806">
        <v>2100</v>
      </c>
      <c r="AS806" t="s">
        <v>883</v>
      </c>
      <c r="AT806" t="s">
        <v>58</v>
      </c>
    </row>
    <row r="807" ht="29" spans="1:46">
      <c r="A807" s="31" t="s">
        <v>65</v>
      </c>
      <c r="C807" t="s">
        <v>1681</v>
      </c>
      <c r="D807" s="5" t="s">
        <v>57</v>
      </c>
      <c r="E807">
        <v>2035</v>
      </c>
      <c r="F807" s="6" t="str">
        <f t="shared" si="98"/>
        <v>*0.94</v>
      </c>
      <c r="H807" t="s">
        <v>1681</v>
      </c>
      <c r="I807" s="5" t="s">
        <v>57</v>
      </c>
      <c r="J807">
        <v>2050</v>
      </c>
      <c r="K807" s="38" t="str">
        <f t="shared" si="99"/>
        <v>*0.91</v>
      </c>
      <c r="P807" s="32" t="s">
        <v>1681</v>
      </c>
      <c r="Q807" s="42" t="s">
        <v>57</v>
      </c>
      <c r="R807" s="32">
        <v>2035</v>
      </c>
      <c r="S807" s="43" t="str">
        <f t="shared" si="100"/>
        <v>*0.93</v>
      </c>
      <c r="U807" s="32" t="s">
        <v>1681</v>
      </c>
      <c r="V807" s="42" t="s">
        <v>57</v>
      </c>
      <c r="W807" s="32">
        <v>2050</v>
      </c>
      <c r="X807" s="43" t="str">
        <f t="shared" si="101"/>
        <v>*0.9</v>
      </c>
      <c r="AC807" s="33" t="s">
        <v>1681</v>
      </c>
      <c r="AD807" s="44" t="s">
        <v>57</v>
      </c>
      <c r="AE807" s="33">
        <v>2035</v>
      </c>
      <c r="AF807" s="45" t="str">
        <f t="shared" si="102"/>
        <v>*0.9</v>
      </c>
      <c r="AG807" s="43" t="str">
        <f t="shared" si="104"/>
        <v>REZoning_Sol-Win</v>
      </c>
      <c r="AI807" s="33" t="s">
        <v>1681</v>
      </c>
      <c r="AJ807" s="44" t="s">
        <v>57</v>
      </c>
      <c r="AK807" s="33">
        <v>2050</v>
      </c>
      <c r="AL807" s="45" t="str">
        <f t="shared" si="103"/>
        <v>*0.86</v>
      </c>
      <c r="AM807" s="43" t="str">
        <f t="shared" si="105"/>
        <v>REZoning_Sol-Win</v>
      </c>
      <c r="AP807" t="s">
        <v>1681</v>
      </c>
      <c r="AQ807" t="s">
        <v>57</v>
      </c>
      <c r="AR807">
        <v>2100</v>
      </c>
      <c r="AS807" t="s">
        <v>883</v>
      </c>
      <c r="AT807" t="s">
        <v>58</v>
      </c>
    </row>
    <row r="808" ht="29" spans="1:46">
      <c r="A808" s="31" t="s">
        <v>73</v>
      </c>
      <c r="C808" t="s">
        <v>1682</v>
      </c>
      <c r="D808" s="5" t="s">
        <v>57</v>
      </c>
      <c r="E808">
        <v>2035</v>
      </c>
      <c r="F808" s="6" t="str">
        <f t="shared" si="98"/>
        <v>*0.95</v>
      </c>
      <c r="H808" t="s">
        <v>1682</v>
      </c>
      <c r="I808" s="5" t="s">
        <v>57</v>
      </c>
      <c r="J808">
        <v>2050</v>
      </c>
      <c r="K808" s="38" t="str">
        <f t="shared" si="99"/>
        <v>*0.93</v>
      </c>
      <c r="P808" s="32" t="s">
        <v>1682</v>
      </c>
      <c r="Q808" s="42" t="s">
        <v>57</v>
      </c>
      <c r="R808" s="32">
        <v>2035</v>
      </c>
      <c r="S808" s="43" t="str">
        <f t="shared" si="100"/>
        <v>*0.95</v>
      </c>
      <c r="U808" s="32" t="s">
        <v>1682</v>
      </c>
      <c r="V808" s="42" t="s">
        <v>57</v>
      </c>
      <c r="W808" s="32">
        <v>2050</v>
      </c>
      <c r="X808" s="43" t="str">
        <f t="shared" si="101"/>
        <v>*0.93</v>
      </c>
      <c r="AC808" s="33" t="s">
        <v>1682</v>
      </c>
      <c r="AD808" s="44" t="s">
        <v>57</v>
      </c>
      <c r="AE808" s="33">
        <v>2035</v>
      </c>
      <c r="AF808" s="45" t="str">
        <f t="shared" si="102"/>
        <v>*0.93</v>
      </c>
      <c r="AG808" s="43" t="str">
        <f t="shared" si="104"/>
        <v>REZoning_Sol-Win</v>
      </c>
      <c r="AI808" s="33" t="s">
        <v>1682</v>
      </c>
      <c r="AJ808" s="44" t="s">
        <v>57</v>
      </c>
      <c r="AK808" s="33">
        <v>2050</v>
      </c>
      <c r="AL808" s="45" t="str">
        <f t="shared" si="103"/>
        <v>*0.9</v>
      </c>
      <c r="AM808" s="43" t="str">
        <f t="shared" si="105"/>
        <v>REZoning_Sol-Win</v>
      </c>
      <c r="AP808" t="s">
        <v>1682</v>
      </c>
      <c r="AQ808" t="s">
        <v>57</v>
      </c>
      <c r="AR808">
        <v>2100</v>
      </c>
      <c r="AS808" t="s">
        <v>897</v>
      </c>
      <c r="AT808" t="s">
        <v>58</v>
      </c>
    </row>
    <row r="809" ht="29" spans="1:46">
      <c r="A809" s="31" t="s">
        <v>73</v>
      </c>
      <c r="C809" t="s">
        <v>1683</v>
      </c>
      <c r="D809" s="5" t="s">
        <v>57</v>
      </c>
      <c r="E809">
        <v>2035</v>
      </c>
      <c r="F809" s="6" t="str">
        <f t="shared" si="98"/>
        <v>*0.95</v>
      </c>
      <c r="H809" t="s">
        <v>1683</v>
      </c>
      <c r="I809" s="5" t="s">
        <v>57</v>
      </c>
      <c r="J809">
        <v>2050</v>
      </c>
      <c r="K809" s="38" t="str">
        <f t="shared" si="99"/>
        <v>*0.93</v>
      </c>
      <c r="P809" s="32" t="s">
        <v>1683</v>
      </c>
      <c r="Q809" s="42" t="s">
        <v>57</v>
      </c>
      <c r="R809" s="32">
        <v>2035</v>
      </c>
      <c r="S809" s="43" t="str">
        <f t="shared" si="100"/>
        <v>*0.95</v>
      </c>
      <c r="U809" s="32" t="s">
        <v>1683</v>
      </c>
      <c r="V809" s="42" t="s">
        <v>57</v>
      </c>
      <c r="W809" s="32">
        <v>2050</v>
      </c>
      <c r="X809" s="43" t="str">
        <f t="shared" si="101"/>
        <v>*0.93</v>
      </c>
      <c r="AC809" s="33" t="s">
        <v>1683</v>
      </c>
      <c r="AD809" s="44" t="s">
        <v>57</v>
      </c>
      <c r="AE809" s="33">
        <v>2035</v>
      </c>
      <c r="AF809" s="45" t="str">
        <f t="shared" si="102"/>
        <v>*0.93</v>
      </c>
      <c r="AG809" s="43" t="str">
        <f t="shared" si="104"/>
        <v>REZoning_Sol-Win</v>
      </c>
      <c r="AI809" s="33" t="s">
        <v>1683</v>
      </c>
      <c r="AJ809" s="44" t="s">
        <v>57</v>
      </c>
      <c r="AK809" s="33">
        <v>2050</v>
      </c>
      <c r="AL809" s="45" t="str">
        <f t="shared" si="103"/>
        <v>*0.9</v>
      </c>
      <c r="AM809" s="43" t="str">
        <f t="shared" si="105"/>
        <v>REZoning_Sol-Win</v>
      </c>
      <c r="AP809" t="s">
        <v>1683</v>
      </c>
      <c r="AQ809" t="s">
        <v>57</v>
      </c>
      <c r="AR809">
        <v>2100</v>
      </c>
      <c r="AS809" t="s">
        <v>897</v>
      </c>
      <c r="AT809" t="s">
        <v>58</v>
      </c>
    </row>
    <row r="810" ht="29" spans="1:46">
      <c r="A810" s="31" t="s">
        <v>73</v>
      </c>
      <c r="C810" t="s">
        <v>1684</v>
      </c>
      <c r="D810" s="5" t="s">
        <v>57</v>
      </c>
      <c r="E810">
        <v>2035</v>
      </c>
      <c r="F810" s="6" t="str">
        <f t="shared" si="98"/>
        <v>*0.95</v>
      </c>
      <c r="H810" t="s">
        <v>1684</v>
      </c>
      <c r="I810" s="5" t="s">
        <v>57</v>
      </c>
      <c r="J810">
        <v>2050</v>
      </c>
      <c r="K810" s="38" t="str">
        <f t="shared" si="99"/>
        <v>*0.93</v>
      </c>
      <c r="P810" s="32" t="s">
        <v>1684</v>
      </c>
      <c r="Q810" s="42" t="s">
        <v>57</v>
      </c>
      <c r="R810" s="32">
        <v>2035</v>
      </c>
      <c r="S810" s="43" t="str">
        <f t="shared" si="100"/>
        <v>*0.95</v>
      </c>
      <c r="U810" s="32" t="s">
        <v>1684</v>
      </c>
      <c r="V810" s="42" t="s">
        <v>57</v>
      </c>
      <c r="W810" s="32">
        <v>2050</v>
      </c>
      <c r="X810" s="43" t="str">
        <f t="shared" si="101"/>
        <v>*0.93</v>
      </c>
      <c r="AC810" s="33" t="s">
        <v>1684</v>
      </c>
      <c r="AD810" s="44" t="s">
        <v>57</v>
      </c>
      <c r="AE810" s="33">
        <v>2035</v>
      </c>
      <c r="AF810" s="45" t="str">
        <f t="shared" si="102"/>
        <v>*0.93</v>
      </c>
      <c r="AG810" s="43" t="str">
        <f t="shared" si="104"/>
        <v>REZoning_Sol-Win</v>
      </c>
      <c r="AI810" s="33" t="s">
        <v>1684</v>
      </c>
      <c r="AJ810" s="44" t="s">
        <v>57</v>
      </c>
      <c r="AK810" s="33">
        <v>2050</v>
      </c>
      <c r="AL810" s="45" t="str">
        <f t="shared" si="103"/>
        <v>*0.9</v>
      </c>
      <c r="AM810" s="43" t="str">
        <f t="shared" si="105"/>
        <v>REZoning_Sol-Win</v>
      </c>
      <c r="AP810" t="s">
        <v>1684</v>
      </c>
      <c r="AQ810" t="s">
        <v>57</v>
      </c>
      <c r="AR810">
        <v>2100</v>
      </c>
      <c r="AS810" t="s">
        <v>897</v>
      </c>
      <c r="AT810" t="s">
        <v>58</v>
      </c>
    </row>
    <row r="811" ht="29" spans="1:46">
      <c r="A811" s="31" t="s">
        <v>73</v>
      </c>
      <c r="C811" t="s">
        <v>1685</v>
      </c>
      <c r="D811" s="5" t="s">
        <v>57</v>
      </c>
      <c r="E811">
        <v>2035</v>
      </c>
      <c r="F811" s="6" t="str">
        <f t="shared" si="98"/>
        <v>*0.95</v>
      </c>
      <c r="H811" t="s">
        <v>1685</v>
      </c>
      <c r="I811" s="5" t="s">
        <v>57</v>
      </c>
      <c r="J811">
        <v>2050</v>
      </c>
      <c r="K811" s="38" t="str">
        <f t="shared" si="99"/>
        <v>*0.93</v>
      </c>
      <c r="P811" s="32" t="s">
        <v>1685</v>
      </c>
      <c r="Q811" s="42" t="s">
        <v>57</v>
      </c>
      <c r="R811" s="32">
        <v>2035</v>
      </c>
      <c r="S811" s="43" t="str">
        <f t="shared" si="100"/>
        <v>*0.95</v>
      </c>
      <c r="U811" s="32" t="s">
        <v>1685</v>
      </c>
      <c r="V811" s="42" t="s">
        <v>57</v>
      </c>
      <c r="W811" s="32">
        <v>2050</v>
      </c>
      <c r="X811" s="43" t="str">
        <f t="shared" si="101"/>
        <v>*0.93</v>
      </c>
      <c r="AC811" s="33" t="s">
        <v>1685</v>
      </c>
      <c r="AD811" s="44" t="s">
        <v>57</v>
      </c>
      <c r="AE811" s="33">
        <v>2035</v>
      </c>
      <c r="AF811" s="45" t="str">
        <f t="shared" si="102"/>
        <v>*0.93</v>
      </c>
      <c r="AG811" s="43" t="str">
        <f t="shared" si="104"/>
        <v>REZoning_Sol-Win</v>
      </c>
      <c r="AI811" s="33" t="s">
        <v>1685</v>
      </c>
      <c r="AJ811" s="44" t="s">
        <v>57</v>
      </c>
      <c r="AK811" s="33">
        <v>2050</v>
      </c>
      <c r="AL811" s="45" t="str">
        <f t="shared" si="103"/>
        <v>*0.9</v>
      </c>
      <c r="AM811" s="43" t="str">
        <f t="shared" si="105"/>
        <v>REZoning_Sol-Win</v>
      </c>
      <c r="AP811" t="s">
        <v>1685</v>
      </c>
      <c r="AQ811" t="s">
        <v>57</v>
      </c>
      <c r="AR811">
        <v>2100</v>
      </c>
      <c r="AS811" t="s">
        <v>897</v>
      </c>
      <c r="AT811" t="s">
        <v>58</v>
      </c>
    </row>
    <row r="812" ht="29" spans="1:46">
      <c r="A812" s="31" t="s">
        <v>73</v>
      </c>
      <c r="C812" t="s">
        <v>1686</v>
      </c>
      <c r="D812" s="5" t="s">
        <v>57</v>
      </c>
      <c r="E812">
        <v>2035</v>
      </c>
      <c r="F812" s="6" t="str">
        <f t="shared" si="98"/>
        <v>*0.95</v>
      </c>
      <c r="H812" t="s">
        <v>1686</v>
      </c>
      <c r="I812" s="5" t="s">
        <v>57</v>
      </c>
      <c r="J812">
        <v>2050</v>
      </c>
      <c r="K812" s="38" t="str">
        <f t="shared" si="99"/>
        <v>*0.93</v>
      </c>
      <c r="P812" s="32" t="s">
        <v>1686</v>
      </c>
      <c r="Q812" s="42" t="s">
        <v>57</v>
      </c>
      <c r="R812" s="32">
        <v>2035</v>
      </c>
      <c r="S812" s="43" t="str">
        <f t="shared" si="100"/>
        <v>*0.95</v>
      </c>
      <c r="U812" s="32" t="s">
        <v>1686</v>
      </c>
      <c r="V812" s="42" t="s">
        <v>57</v>
      </c>
      <c r="W812" s="32">
        <v>2050</v>
      </c>
      <c r="X812" s="43" t="str">
        <f t="shared" si="101"/>
        <v>*0.93</v>
      </c>
      <c r="AC812" s="33" t="s">
        <v>1686</v>
      </c>
      <c r="AD812" s="44" t="s">
        <v>57</v>
      </c>
      <c r="AE812" s="33">
        <v>2035</v>
      </c>
      <c r="AF812" s="45" t="str">
        <f t="shared" si="102"/>
        <v>*0.93</v>
      </c>
      <c r="AG812" s="43" t="str">
        <f t="shared" si="104"/>
        <v>REZoning_Sol-Win</v>
      </c>
      <c r="AI812" s="33" t="s">
        <v>1686</v>
      </c>
      <c r="AJ812" s="44" t="s">
        <v>57</v>
      </c>
      <c r="AK812" s="33">
        <v>2050</v>
      </c>
      <c r="AL812" s="45" t="str">
        <f t="shared" si="103"/>
        <v>*0.9</v>
      </c>
      <c r="AM812" s="43" t="str">
        <f t="shared" si="105"/>
        <v>REZoning_Sol-Win</v>
      </c>
      <c r="AP812" t="s">
        <v>1686</v>
      </c>
      <c r="AQ812" t="s">
        <v>57</v>
      </c>
      <c r="AR812">
        <v>2100</v>
      </c>
      <c r="AS812" t="s">
        <v>897</v>
      </c>
      <c r="AT812" t="s">
        <v>58</v>
      </c>
    </row>
    <row r="813" ht="29" spans="1:46">
      <c r="A813" s="31" t="s">
        <v>73</v>
      </c>
      <c r="C813" t="s">
        <v>1687</v>
      </c>
      <c r="D813" s="5" t="s">
        <v>57</v>
      </c>
      <c r="E813">
        <v>2035</v>
      </c>
      <c r="F813" s="6" t="str">
        <f t="shared" si="98"/>
        <v>*0.95</v>
      </c>
      <c r="H813" t="s">
        <v>1687</v>
      </c>
      <c r="I813" s="5" t="s">
        <v>57</v>
      </c>
      <c r="J813">
        <v>2050</v>
      </c>
      <c r="K813" s="38" t="str">
        <f t="shared" si="99"/>
        <v>*0.93</v>
      </c>
      <c r="P813" s="32" t="s">
        <v>1687</v>
      </c>
      <c r="Q813" s="42" t="s">
        <v>57</v>
      </c>
      <c r="R813" s="32">
        <v>2035</v>
      </c>
      <c r="S813" s="43" t="str">
        <f t="shared" si="100"/>
        <v>*0.95</v>
      </c>
      <c r="U813" s="32" t="s">
        <v>1687</v>
      </c>
      <c r="V813" s="42" t="s">
        <v>57</v>
      </c>
      <c r="W813" s="32">
        <v>2050</v>
      </c>
      <c r="X813" s="43" t="str">
        <f t="shared" si="101"/>
        <v>*0.93</v>
      </c>
      <c r="AC813" s="33" t="s">
        <v>1687</v>
      </c>
      <c r="AD813" s="44" t="s">
        <v>57</v>
      </c>
      <c r="AE813" s="33">
        <v>2035</v>
      </c>
      <c r="AF813" s="45" t="str">
        <f t="shared" si="102"/>
        <v>*0.93</v>
      </c>
      <c r="AG813" s="43" t="str">
        <f t="shared" si="104"/>
        <v>REZoning_Sol-Win</v>
      </c>
      <c r="AI813" s="33" t="s">
        <v>1687</v>
      </c>
      <c r="AJ813" s="44" t="s">
        <v>57</v>
      </c>
      <c r="AK813" s="33">
        <v>2050</v>
      </c>
      <c r="AL813" s="45" t="str">
        <f t="shared" si="103"/>
        <v>*0.9</v>
      </c>
      <c r="AM813" s="43" t="str">
        <f t="shared" si="105"/>
        <v>REZoning_Sol-Win</v>
      </c>
      <c r="AP813" t="s">
        <v>1687</v>
      </c>
      <c r="AQ813" t="s">
        <v>57</v>
      </c>
      <c r="AR813">
        <v>2100</v>
      </c>
      <c r="AS813" t="s">
        <v>897</v>
      </c>
      <c r="AT813" t="s">
        <v>58</v>
      </c>
    </row>
    <row r="814" ht="29" spans="1:46">
      <c r="A814" s="31" t="s">
        <v>73</v>
      </c>
      <c r="C814" t="s">
        <v>1688</v>
      </c>
      <c r="D814" s="5" t="s">
        <v>57</v>
      </c>
      <c r="E814">
        <v>2035</v>
      </c>
      <c r="F814" s="6" t="str">
        <f t="shared" si="98"/>
        <v>*0.95</v>
      </c>
      <c r="H814" t="s">
        <v>1688</v>
      </c>
      <c r="I814" s="5" t="s">
        <v>57</v>
      </c>
      <c r="J814">
        <v>2050</v>
      </c>
      <c r="K814" s="38" t="str">
        <f t="shared" si="99"/>
        <v>*0.93</v>
      </c>
      <c r="P814" s="32" t="s">
        <v>1688</v>
      </c>
      <c r="Q814" s="42" t="s">
        <v>57</v>
      </c>
      <c r="R814" s="32">
        <v>2035</v>
      </c>
      <c r="S814" s="43" t="str">
        <f t="shared" si="100"/>
        <v>*0.95</v>
      </c>
      <c r="U814" s="32" t="s">
        <v>1688</v>
      </c>
      <c r="V814" s="42" t="s">
        <v>57</v>
      </c>
      <c r="W814" s="32">
        <v>2050</v>
      </c>
      <c r="X814" s="43" t="str">
        <f t="shared" si="101"/>
        <v>*0.93</v>
      </c>
      <c r="AC814" s="33" t="s">
        <v>1688</v>
      </c>
      <c r="AD814" s="44" t="s">
        <v>57</v>
      </c>
      <c r="AE814" s="33">
        <v>2035</v>
      </c>
      <c r="AF814" s="45" t="str">
        <f t="shared" si="102"/>
        <v>*0.93</v>
      </c>
      <c r="AG814" s="43" t="str">
        <f t="shared" si="104"/>
        <v>REZoning_Sol-Win</v>
      </c>
      <c r="AI814" s="33" t="s">
        <v>1688</v>
      </c>
      <c r="AJ814" s="44" t="s">
        <v>57</v>
      </c>
      <c r="AK814" s="33">
        <v>2050</v>
      </c>
      <c r="AL814" s="45" t="str">
        <f t="shared" si="103"/>
        <v>*0.9</v>
      </c>
      <c r="AM814" s="43" t="str">
        <f t="shared" si="105"/>
        <v>REZoning_Sol-Win</v>
      </c>
      <c r="AP814" t="s">
        <v>1688</v>
      </c>
      <c r="AQ814" t="s">
        <v>57</v>
      </c>
      <c r="AR814">
        <v>2100</v>
      </c>
      <c r="AS814" t="s">
        <v>897</v>
      </c>
      <c r="AT814" t="s">
        <v>58</v>
      </c>
    </row>
    <row r="815" ht="29" spans="1:46">
      <c r="A815" s="31" t="s">
        <v>73</v>
      </c>
      <c r="C815" t="s">
        <v>1689</v>
      </c>
      <c r="D815" s="5" t="s">
        <v>57</v>
      </c>
      <c r="E815">
        <v>2035</v>
      </c>
      <c r="F815" s="6" t="str">
        <f t="shared" si="98"/>
        <v>*0.95</v>
      </c>
      <c r="H815" t="s">
        <v>1689</v>
      </c>
      <c r="I815" s="5" t="s">
        <v>57</v>
      </c>
      <c r="J815">
        <v>2050</v>
      </c>
      <c r="K815" s="38" t="str">
        <f t="shared" si="99"/>
        <v>*0.93</v>
      </c>
      <c r="P815" s="32" t="s">
        <v>1689</v>
      </c>
      <c r="Q815" s="42" t="s">
        <v>57</v>
      </c>
      <c r="R815" s="32">
        <v>2035</v>
      </c>
      <c r="S815" s="43" t="str">
        <f t="shared" si="100"/>
        <v>*0.95</v>
      </c>
      <c r="U815" s="32" t="s">
        <v>1689</v>
      </c>
      <c r="V815" s="42" t="s">
        <v>57</v>
      </c>
      <c r="W815" s="32">
        <v>2050</v>
      </c>
      <c r="X815" s="43" t="str">
        <f t="shared" si="101"/>
        <v>*0.93</v>
      </c>
      <c r="AC815" s="33" t="s">
        <v>1689</v>
      </c>
      <c r="AD815" s="44" t="s">
        <v>57</v>
      </c>
      <c r="AE815" s="33">
        <v>2035</v>
      </c>
      <c r="AF815" s="45" t="str">
        <f t="shared" si="102"/>
        <v>*0.93</v>
      </c>
      <c r="AG815" s="43" t="str">
        <f t="shared" si="104"/>
        <v>REZoning_Sol-Win</v>
      </c>
      <c r="AI815" s="33" t="s">
        <v>1689</v>
      </c>
      <c r="AJ815" s="44" t="s">
        <v>57</v>
      </c>
      <c r="AK815" s="33">
        <v>2050</v>
      </c>
      <c r="AL815" s="45" t="str">
        <f t="shared" si="103"/>
        <v>*0.9</v>
      </c>
      <c r="AM815" s="43" t="str">
        <f t="shared" si="105"/>
        <v>REZoning_Sol-Win</v>
      </c>
      <c r="AP815" t="s">
        <v>1689</v>
      </c>
      <c r="AQ815" t="s">
        <v>57</v>
      </c>
      <c r="AR815">
        <v>2100</v>
      </c>
      <c r="AS815" t="s">
        <v>897</v>
      </c>
      <c r="AT815" t="s">
        <v>58</v>
      </c>
    </row>
    <row r="816" ht="29" spans="1:46">
      <c r="A816" s="31" t="s">
        <v>73</v>
      </c>
      <c r="C816" t="s">
        <v>1690</v>
      </c>
      <c r="D816" s="5" t="s">
        <v>57</v>
      </c>
      <c r="E816">
        <v>2035</v>
      </c>
      <c r="F816" s="6" t="str">
        <f t="shared" si="98"/>
        <v>*0.95</v>
      </c>
      <c r="H816" t="s">
        <v>1690</v>
      </c>
      <c r="I816" s="5" t="s">
        <v>57</v>
      </c>
      <c r="J816">
        <v>2050</v>
      </c>
      <c r="K816" s="38" t="str">
        <f t="shared" si="99"/>
        <v>*0.93</v>
      </c>
      <c r="P816" s="32" t="s">
        <v>1690</v>
      </c>
      <c r="Q816" s="42" t="s">
        <v>57</v>
      </c>
      <c r="R816" s="32">
        <v>2035</v>
      </c>
      <c r="S816" s="43" t="str">
        <f t="shared" si="100"/>
        <v>*0.95</v>
      </c>
      <c r="U816" s="32" t="s">
        <v>1690</v>
      </c>
      <c r="V816" s="42" t="s">
        <v>57</v>
      </c>
      <c r="W816" s="32">
        <v>2050</v>
      </c>
      <c r="X816" s="43" t="str">
        <f t="shared" si="101"/>
        <v>*0.93</v>
      </c>
      <c r="AC816" s="33" t="s">
        <v>1690</v>
      </c>
      <c r="AD816" s="44" t="s">
        <v>57</v>
      </c>
      <c r="AE816" s="33">
        <v>2035</v>
      </c>
      <c r="AF816" s="45" t="str">
        <f t="shared" si="102"/>
        <v>*0.93</v>
      </c>
      <c r="AG816" s="43" t="str">
        <f t="shared" si="104"/>
        <v>REZoning_Sol-Win</v>
      </c>
      <c r="AI816" s="33" t="s">
        <v>1690</v>
      </c>
      <c r="AJ816" s="44" t="s">
        <v>57</v>
      </c>
      <c r="AK816" s="33">
        <v>2050</v>
      </c>
      <c r="AL816" s="45" t="str">
        <f t="shared" si="103"/>
        <v>*0.9</v>
      </c>
      <c r="AM816" s="43" t="str">
        <f t="shared" si="105"/>
        <v>REZoning_Sol-Win</v>
      </c>
      <c r="AP816" t="s">
        <v>1690</v>
      </c>
      <c r="AQ816" t="s">
        <v>57</v>
      </c>
      <c r="AR816">
        <v>2100</v>
      </c>
      <c r="AS816" t="s">
        <v>897</v>
      </c>
      <c r="AT816" t="s">
        <v>58</v>
      </c>
    </row>
    <row r="817" ht="29" spans="1:46">
      <c r="A817" s="31" t="s">
        <v>73</v>
      </c>
      <c r="C817" t="s">
        <v>1691</v>
      </c>
      <c r="D817" s="5" t="s">
        <v>57</v>
      </c>
      <c r="E817">
        <v>2035</v>
      </c>
      <c r="F817" s="6" t="str">
        <f t="shared" si="98"/>
        <v>*0.95</v>
      </c>
      <c r="H817" t="s">
        <v>1691</v>
      </c>
      <c r="I817" s="5" t="s">
        <v>57</v>
      </c>
      <c r="J817">
        <v>2050</v>
      </c>
      <c r="K817" s="38" t="str">
        <f t="shared" si="99"/>
        <v>*0.93</v>
      </c>
      <c r="P817" s="32" t="s">
        <v>1691</v>
      </c>
      <c r="Q817" s="42" t="s">
        <v>57</v>
      </c>
      <c r="R817" s="32">
        <v>2035</v>
      </c>
      <c r="S817" s="43" t="str">
        <f t="shared" si="100"/>
        <v>*0.95</v>
      </c>
      <c r="U817" s="32" t="s">
        <v>1691</v>
      </c>
      <c r="V817" s="42" t="s">
        <v>57</v>
      </c>
      <c r="W817" s="32">
        <v>2050</v>
      </c>
      <c r="X817" s="43" t="str">
        <f t="shared" si="101"/>
        <v>*0.93</v>
      </c>
      <c r="AC817" s="33" t="s">
        <v>1691</v>
      </c>
      <c r="AD817" s="44" t="s">
        <v>57</v>
      </c>
      <c r="AE817" s="33">
        <v>2035</v>
      </c>
      <c r="AF817" s="45" t="str">
        <f t="shared" si="102"/>
        <v>*0.93</v>
      </c>
      <c r="AG817" s="43" t="str">
        <f t="shared" si="104"/>
        <v>REZoning_Sol-Win</v>
      </c>
      <c r="AI817" s="33" t="s">
        <v>1691</v>
      </c>
      <c r="AJ817" s="44" t="s">
        <v>57</v>
      </c>
      <c r="AK817" s="33">
        <v>2050</v>
      </c>
      <c r="AL817" s="45" t="str">
        <f t="shared" si="103"/>
        <v>*0.9</v>
      </c>
      <c r="AM817" s="43" t="str">
        <f t="shared" si="105"/>
        <v>REZoning_Sol-Win</v>
      </c>
      <c r="AP817" t="s">
        <v>1691</v>
      </c>
      <c r="AQ817" t="s">
        <v>57</v>
      </c>
      <c r="AR817">
        <v>2100</v>
      </c>
      <c r="AS817" t="s">
        <v>897</v>
      </c>
      <c r="AT817" t="s">
        <v>58</v>
      </c>
    </row>
    <row r="818" ht="29" spans="1:46">
      <c r="A818" s="31" t="s">
        <v>73</v>
      </c>
      <c r="C818" t="s">
        <v>1692</v>
      </c>
      <c r="D818" s="5" t="s">
        <v>57</v>
      </c>
      <c r="E818">
        <v>2035</v>
      </c>
      <c r="F818" s="6" t="str">
        <f t="shared" si="98"/>
        <v>*0.95</v>
      </c>
      <c r="H818" t="s">
        <v>1692</v>
      </c>
      <c r="I818" s="5" t="s">
        <v>57</v>
      </c>
      <c r="J818">
        <v>2050</v>
      </c>
      <c r="K818" s="38" t="str">
        <f t="shared" si="99"/>
        <v>*0.93</v>
      </c>
      <c r="P818" s="32" t="s">
        <v>1692</v>
      </c>
      <c r="Q818" s="42" t="s">
        <v>57</v>
      </c>
      <c r="R818" s="32">
        <v>2035</v>
      </c>
      <c r="S818" s="43" t="str">
        <f t="shared" si="100"/>
        <v>*0.95</v>
      </c>
      <c r="U818" s="32" t="s">
        <v>1692</v>
      </c>
      <c r="V818" s="42" t="s">
        <v>57</v>
      </c>
      <c r="W818" s="32">
        <v>2050</v>
      </c>
      <c r="X818" s="43" t="str">
        <f t="shared" si="101"/>
        <v>*0.93</v>
      </c>
      <c r="AC818" s="33" t="s">
        <v>1692</v>
      </c>
      <c r="AD818" s="44" t="s">
        <v>57</v>
      </c>
      <c r="AE818" s="33">
        <v>2035</v>
      </c>
      <c r="AF818" s="45" t="str">
        <f t="shared" si="102"/>
        <v>*0.93</v>
      </c>
      <c r="AG818" s="43" t="str">
        <f t="shared" si="104"/>
        <v>REZoning_Sol-Win</v>
      </c>
      <c r="AI818" s="33" t="s">
        <v>1692</v>
      </c>
      <c r="AJ818" s="44" t="s">
        <v>57</v>
      </c>
      <c r="AK818" s="33">
        <v>2050</v>
      </c>
      <c r="AL818" s="45" t="str">
        <f t="shared" si="103"/>
        <v>*0.9</v>
      </c>
      <c r="AM818" s="43" t="str">
        <f t="shared" si="105"/>
        <v>REZoning_Sol-Win</v>
      </c>
      <c r="AP818" t="s">
        <v>1692</v>
      </c>
      <c r="AQ818" t="s">
        <v>57</v>
      </c>
      <c r="AR818">
        <v>2100</v>
      </c>
      <c r="AS818" t="s">
        <v>897</v>
      </c>
      <c r="AT818" t="s">
        <v>58</v>
      </c>
    </row>
    <row r="819" ht="29" spans="1:46">
      <c r="A819" s="31" t="s">
        <v>73</v>
      </c>
      <c r="C819" t="s">
        <v>1693</v>
      </c>
      <c r="D819" s="5" t="s">
        <v>57</v>
      </c>
      <c r="E819">
        <v>2035</v>
      </c>
      <c r="F819" s="6" t="str">
        <f t="shared" si="98"/>
        <v>*0.95</v>
      </c>
      <c r="H819" t="s">
        <v>1693</v>
      </c>
      <c r="I819" s="5" t="s">
        <v>57</v>
      </c>
      <c r="J819">
        <v>2050</v>
      </c>
      <c r="K819" s="38" t="str">
        <f t="shared" si="99"/>
        <v>*0.93</v>
      </c>
      <c r="P819" s="32" t="s">
        <v>1693</v>
      </c>
      <c r="Q819" s="42" t="s">
        <v>57</v>
      </c>
      <c r="R819" s="32">
        <v>2035</v>
      </c>
      <c r="S819" s="43" t="str">
        <f t="shared" si="100"/>
        <v>*0.95</v>
      </c>
      <c r="U819" s="32" t="s">
        <v>1693</v>
      </c>
      <c r="V819" s="42" t="s">
        <v>57</v>
      </c>
      <c r="W819" s="32">
        <v>2050</v>
      </c>
      <c r="X819" s="43" t="str">
        <f t="shared" si="101"/>
        <v>*0.93</v>
      </c>
      <c r="AC819" s="33" t="s">
        <v>1693</v>
      </c>
      <c r="AD819" s="44" t="s">
        <v>57</v>
      </c>
      <c r="AE819" s="33">
        <v>2035</v>
      </c>
      <c r="AF819" s="45" t="str">
        <f t="shared" si="102"/>
        <v>*0.93</v>
      </c>
      <c r="AG819" s="43" t="str">
        <f t="shared" si="104"/>
        <v>REZoning_Sol-Win</v>
      </c>
      <c r="AI819" s="33" t="s">
        <v>1693</v>
      </c>
      <c r="AJ819" s="44" t="s">
        <v>57</v>
      </c>
      <c r="AK819" s="33">
        <v>2050</v>
      </c>
      <c r="AL819" s="45" t="str">
        <f t="shared" si="103"/>
        <v>*0.9</v>
      </c>
      <c r="AM819" s="43" t="str">
        <f t="shared" si="105"/>
        <v>REZoning_Sol-Win</v>
      </c>
      <c r="AP819" t="s">
        <v>1693</v>
      </c>
      <c r="AQ819" t="s">
        <v>57</v>
      </c>
      <c r="AR819">
        <v>2100</v>
      </c>
      <c r="AS819" t="s">
        <v>897</v>
      </c>
      <c r="AT819" t="s">
        <v>58</v>
      </c>
    </row>
    <row r="820" ht="29" spans="1:46">
      <c r="A820" s="31" t="s">
        <v>73</v>
      </c>
      <c r="C820" t="s">
        <v>1694</v>
      </c>
      <c r="D820" s="5" t="s">
        <v>57</v>
      </c>
      <c r="E820">
        <v>2035</v>
      </c>
      <c r="F820" s="6" t="str">
        <f t="shared" si="98"/>
        <v>*0.95</v>
      </c>
      <c r="H820" t="s">
        <v>1694</v>
      </c>
      <c r="I820" s="5" t="s">
        <v>57</v>
      </c>
      <c r="J820">
        <v>2050</v>
      </c>
      <c r="K820" s="38" t="str">
        <f t="shared" si="99"/>
        <v>*0.93</v>
      </c>
      <c r="P820" s="32" t="s">
        <v>1694</v>
      </c>
      <c r="Q820" s="42" t="s">
        <v>57</v>
      </c>
      <c r="R820" s="32">
        <v>2035</v>
      </c>
      <c r="S820" s="43" t="str">
        <f t="shared" si="100"/>
        <v>*0.95</v>
      </c>
      <c r="U820" s="32" t="s">
        <v>1694</v>
      </c>
      <c r="V820" s="42" t="s">
        <v>57</v>
      </c>
      <c r="W820" s="32">
        <v>2050</v>
      </c>
      <c r="X820" s="43" t="str">
        <f t="shared" si="101"/>
        <v>*0.93</v>
      </c>
      <c r="AC820" s="33" t="s">
        <v>1694</v>
      </c>
      <c r="AD820" s="44" t="s">
        <v>57</v>
      </c>
      <c r="AE820" s="33">
        <v>2035</v>
      </c>
      <c r="AF820" s="45" t="str">
        <f t="shared" si="102"/>
        <v>*0.93</v>
      </c>
      <c r="AG820" s="43" t="str">
        <f t="shared" si="104"/>
        <v>REZoning_Sol-Win</v>
      </c>
      <c r="AI820" s="33" t="s">
        <v>1694</v>
      </c>
      <c r="AJ820" s="44" t="s">
        <v>57</v>
      </c>
      <c r="AK820" s="33">
        <v>2050</v>
      </c>
      <c r="AL820" s="45" t="str">
        <f t="shared" si="103"/>
        <v>*0.9</v>
      </c>
      <c r="AM820" s="43" t="str">
        <f t="shared" si="105"/>
        <v>REZoning_Sol-Win</v>
      </c>
      <c r="AP820" t="s">
        <v>1694</v>
      </c>
      <c r="AQ820" t="s">
        <v>57</v>
      </c>
      <c r="AR820">
        <v>2100</v>
      </c>
      <c r="AS820" t="s">
        <v>897</v>
      </c>
      <c r="AT820" t="s">
        <v>58</v>
      </c>
    </row>
    <row r="821" ht="29" spans="1:46">
      <c r="A821" s="31" t="s">
        <v>73</v>
      </c>
      <c r="C821" t="s">
        <v>1695</v>
      </c>
      <c r="D821" s="5" t="s">
        <v>57</v>
      </c>
      <c r="E821">
        <v>2035</v>
      </c>
      <c r="F821" s="6" t="str">
        <f t="shared" si="98"/>
        <v>*0.95</v>
      </c>
      <c r="H821" t="s">
        <v>1695</v>
      </c>
      <c r="I821" s="5" t="s">
        <v>57</v>
      </c>
      <c r="J821">
        <v>2050</v>
      </c>
      <c r="K821" s="38" t="str">
        <f t="shared" si="99"/>
        <v>*0.93</v>
      </c>
      <c r="P821" s="32" t="s">
        <v>1695</v>
      </c>
      <c r="Q821" s="42" t="s">
        <v>57</v>
      </c>
      <c r="R821" s="32">
        <v>2035</v>
      </c>
      <c r="S821" s="43" t="str">
        <f t="shared" si="100"/>
        <v>*0.95</v>
      </c>
      <c r="U821" s="32" t="s">
        <v>1695</v>
      </c>
      <c r="V821" s="42" t="s">
        <v>57</v>
      </c>
      <c r="W821" s="32">
        <v>2050</v>
      </c>
      <c r="X821" s="43" t="str">
        <f t="shared" si="101"/>
        <v>*0.93</v>
      </c>
      <c r="AC821" s="33" t="s">
        <v>1695</v>
      </c>
      <c r="AD821" s="44" t="s">
        <v>57</v>
      </c>
      <c r="AE821" s="33">
        <v>2035</v>
      </c>
      <c r="AF821" s="45" t="str">
        <f t="shared" si="102"/>
        <v>*0.93</v>
      </c>
      <c r="AG821" s="43" t="str">
        <f t="shared" si="104"/>
        <v>REZoning_Sol-Win</v>
      </c>
      <c r="AI821" s="33" t="s">
        <v>1695</v>
      </c>
      <c r="AJ821" s="44" t="s">
        <v>57</v>
      </c>
      <c r="AK821" s="33">
        <v>2050</v>
      </c>
      <c r="AL821" s="45" t="str">
        <f t="shared" si="103"/>
        <v>*0.9</v>
      </c>
      <c r="AM821" s="43" t="str">
        <f t="shared" si="105"/>
        <v>REZoning_Sol-Win</v>
      </c>
      <c r="AP821" t="s">
        <v>1695</v>
      </c>
      <c r="AQ821" t="s">
        <v>57</v>
      </c>
      <c r="AR821">
        <v>2100</v>
      </c>
      <c r="AS821" t="s">
        <v>897</v>
      </c>
      <c r="AT821" t="s">
        <v>58</v>
      </c>
    </row>
    <row r="822" ht="29" spans="1:46">
      <c r="A822" s="31" t="s">
        <v>73</v>
      </c>
      <c r="C822" t="s">
        <v>1696</v>
      </c>
      <c r="D822" s="5" t="s">
        <v>57</v>
      </c>
      <c r="E822">
        <v>2035</v>
      </c>
      <c r="F822" s="6" t="str">
        <f t="shared" si="98"/>
        <v>*0.95</v>
      </c>
      <c r="H822" t="s">
        <v>1696</v>
      </c>
      <c r="I822" s="5" t="s">
        <v>57</v>
      </c>
      <c r="J822">
        <v>2050</v>
      </c>
      <c r="K822" s="38" t="str">
        <f t="shared" si="99"/>
        <v>*0.93</v>
      </c>
      <c r="P822" s="32" t="s">
        <v>1696</v>
      </c>
      <c r="Q822" s="42" t="s">
        <v>57</v>
      </c>
      <c r="R822" s="32">
        <v>2035</v>
      </c>
      <c r="S822" s="43" t="str">
        <f t="shared" si="100"/>
        <v>*0.95</v>
      </c>
      <c r="U822" s="32" t="s">
        <v>1696</v>
      </c>
      <c r="V822" s="42" t="s">
        <v>57</v>
      </c>
      <c r="W822" s="32">
        <v>2050</v>
      </c>
      <c r="X822" s="43" t="str">
        <f t="shared" si="101"/>
        <v>*0.93</v>
      </c>
      <c r="AC822" s="33" t="s">
        <v>1696</v>
      </c>
      <c r="AD822" s="44" t="s">
        <v>57</v>
      </c>
      <c r="AE822" s="33">
        <v>2035</v>
      </c>
      <c r="AF822" s="45" t="str">
        <f t="shared" si="102"/>
        <v>*0.93</v>
      </c>
      <c r="AG822" s="43" t="str">
        <f t="shared" si="104"/>
        <v>REZoning_Sol-Win</v>
      </c>
      <c r="AI822" s="33" t="s">
        <v>1696</v>
      </c>
      <c r="AJ822" s="44" t="s">
        <v>57</v>
      </c>
      <c r="AK822" s="33">
        <v>2050</v>
      </c>
      <c r="AL822" s="45" t="str">
        <f t="shared" si="103"/>
        <v>*0.9</v>
      </c>
      <c r="AM822" s="43" t="str">
        <f t="shared" si="105"/>
        <v>REZoning_Sol-Win</v>
      </c>
      <c r="AP822" t="s">
        <v>1696</v>
      </c>
      <c r="AQ822" t="s">
        <v>57</v>
      </c>
      <c r="AR822">
        <v>2100</v>
      </c>
      <c r="AS822" t="s">
        <v>897</v>
      </c>
      <c r="AT822" t="s">
        <v>58</v>
      </c>
    </row>
    <row r="823" ht="29" spans="1:46">
      <c r="A823" s="31" t="s">
        <v>73</v>
      </c>
      <c r="C823" t="s">
        <v>1697</v>
      </c>
      <c r="D823" s="5" t="s">
        <v>57</v>
      </c>
      <c r="E823">
        <v>2035</v>
      </c>
      <c r="F823" s="6" t="str">
        <f t="shared" si="98"/>
        <v>*0.95</v>
      </c>
      <c r="H823" t="s">
        <v>1697</v>
      </c>
      <c r="I823" s="5" t="s">
        <v>57</v>
      </c>
      <c r="J823">
        <v>2050</v>
      </c>
      <c r="K823" s="38" t="str">
        <f t="shared" si="99"/>
        <v>*0.93</v>
      </c>
      <c r="P823" s="32" t="s">
        <v>1697</v>
      </c>
      <c r="Q823" s="42" t="s">
        <v>57</v>
      </c>
      <c r="R823" s="32">
        <v>2035</v>
      </c>
      <c r="S823" s="43" t="str">
        <f t="shared" si="100"/>
        <v>*0.95</v>
      </c>
      <c r="U823" s="32" t="s">
        <v>1697</v>
      </c>
      <c r="V823" s="42" t="s">
        <v>57</v>
      </c>
      <c r="W823" s="32">
        <v>2050</v>
      </c>
      <c r="X823" s="43" t="str">
        <f t="shared" si="101"/>
        <v>*0.93</v>
      </c>
      <c r="AC823" s="33" t="s">
        <v>1697</v>
      </c>
      <c r="AD823" s="44" t="s">
        <v>57</v>
      </c>
      <c r="AE823" s="33">
        <v>2035</v>
      </c>
      <c r="AF823" s="45" t="str">
        <f t="shared" si="102"/>
        <v>*0.93</v>
      </c>
      <c r="AG823" s="43" t="str">
        <f t="shared" si="104"/>
        <v>REZoning_Sol-Win</v>
      </c>
      <c r="AI823" s="33" t="s">
        <v>1697</v>
      </c>
      <c r="AJ823" s="44" t="s">
        <v>57</v>
      </c>
      <c r="AK823" s="33">
        <v>2050</v>
      </c>
      <c r="AL823" s="45" t="str">
        <f t="shared" si="103"/>
        <v>*0.9</v>
      </c>
      <c r="AM823" s="43" t="str">
        <f t="shared" si="105"/>
        <v>REZoning_Sol-Win</v>
      </c>
      <c r="AP823" t="s">
        <v>1697</v>
      </c>
      <c r="AQ823" t="s">
        <v>57</v>
      </c>
      <c r="AR823">
        <v>2100</v>
      </c>
      <c r="AS823" t="s">
        <v>897</v>
      </c>
      <c r="AT823" t="s">
        <v>58</v>
      </c>
    </row>
    <row r="824" ht="29" spans="1:46">
      <c r="A824" s="31" t="s">
        <v>73</v>
      </c>
      <c r="C824" t="s">
        <v>1698</v>
      </c>
      <c r="D824" s="5" t="s">
        <v>57</v>
      </c>
      <c r="E824">
        <v>2035</v>
      </c>
      <c r="F824" s="6" t="str">
        <f t="shared" si="98"/>
        <v>*0.95</v>
      </c>
      <c r="H824" t="s">
        <v>1698</v>
      </c>
      <c r="I824" s="5" t="s">
        <v>57</v>
      </c>
      <c r="J824">
        <v>2050</v>
      </c>
      <c r="K824" s="38" t="str">
        <f t="shared" si="99"/>
        <v>*0.93</v>
      </c>
      <c r="P824" s="32" t="s">
        <v>1698</v>
      </c>
      <c r="Q824" s="42" t="s">
        <v>57</v>
      </c>
      <c r="R824" s="32">
        <v>2035</v>
      </c>
      <c r="S824" s="43" t="str">
        <f t="shared" si="100"/>
        <v>*0.95</v>
      </c>
      <c r="U824" s="32" t="s">
        <v>1698</v>
      </c>
      <c r="V824" s="42" t="s">
        <v>57</v>
      </c>
      <c r="W824" s="32">
        <v>2050</v>
      </c>
      <c r="X824" s="43" t="str">
        <f t="shared" si="101"/>
        <v>*0.93</v>
      </c>
      <c r="AC824" s="33" t="s">
        <v>1698</v>
      </c>
      <c r="AD824" s="44" t="s">
        <v>57</v>
      </c>
      <c r="AE824" s="33">
        <v>2035</v>
      </c>
      <c r="AF824" s="45" t="str">
        <f t="shared" si="102"/>
        <v>*0.93</v>
      </c>
      <c r="AG824" s="43" t="str">
        <f t="shared" si="104"/>
        <v>REZoning_Sol-Win</v>
      </c>
      <c r="AI824" s="33" t="s">
        <v>1698</v>
      </c>
      <c r="AJ824" s="44" t="s">
        <v>57</v>
      </c>
      <c r="AK824" s="33">
        <v>2050</v>
      </c>
      <c r="AL824" s="45" t="str">
        <f t="shared" si="103"/>
        <v>*0.9</v>
      </c>
      <c r="AM824" s="43" t="str">
        <f t="shared" si="105"/>
        <v>REZoning_Sol-Win</v>
      </c>
      <c r="AP824" t="s">
        <v>1698</v>
      </c>
      <c r="AQ824" t="s">
        <v>57</v>
      </c>
      <c r="AR824">
        <v>2100</v>
      </c>
      <c r="AS824" t="s">
        <v>897</v>
      </c>
      <c r="AT824" t="s">
        <v>58</v>
      </c>
    </row>
    <row r="825" ht="29" spans="1:46">
      <c r="A825" s="31" t="s">
        <v>73</v>
      </c>
      <c r="C825" t="s">
        <v>1699</v>
      </c>
      <c r="D825" s="5" t="s">
        <v>57</v>
      </c>
      <c r="E825">
        <v>2035</v>
      </c>
      <c r="F825" s="6" t="str">
        <f t="shared" si="98"/>
        <v>*0.95</v>
      </c>
      <c r="H825" t="s">
        <v>1699</v>
      </c>
      <c r="I825" s="5" t="s">
        <v>57</v>
      </c>
      <c r="J825">
        <v>2050</v>
      </c>
      <c r="K825" s="38" t="str">
        <f t="shared" si="99"/>
        <v>*0.93</v>
      </c>
      <c r="P825" s="32" t="s">
        <v>1699</v>
      </c>
      <c r="Q825" s="42" t="s">
        <v>57</v>
      </c>
      <c r="R825" s="32">
        <v>2035</v>
      </c>
      <c r="S825" s="43" t="str">
        <f t="shared" si="100"/>
        <v>*0.95</v>
      </c>
      <c r="U825" s="32" t="s">
        <v>1699</v>
      </c>
      <c r="V825" s="42" t="s">
        <v>57</v>
      </c>
      <c r="W825" s="32">
        <v>2050</v>
      </c>
      <c r="X825" s="43" t="str">
        <f t="shared" si="101"/>
        <v>*0.93</v>
      </c>
      <c r="AC825" s="33" t="s">
        <v>1699</v>
      </c>
      <c r="AD825" s="44" t="s">
        <v>57</v>
      </c>
      <c r="AE825" s="33">
        <v>2035</v>
      </c>
      <c r="AF825" s="45" t="str">
        <f t="shared" si="102"/>
        <v>*0.93</v>
      </c>
      <c r="AG825" s="43" t="str">
        <f t="shared" si="104"/>
        <v>REZoning_Sol-Win</v>
      </c>
      <c r="AI825" s="33" t="s">
        <v>1699</v>
      </c>
      <c r="AJ825" s="44" t="s">
        <v>57</v>
      </c>
      <c r="AK825" s="33">
        <v>2050</v>
      </c>
      <c r="AL825" s="45" t="str">
        <f t="shared" si="103"/>
        <v>*0.9</v>
      </c>
      <c r="AM825" s="43" t="str">
        <f t="shared" si="105"/>
        <v>REZoning_Sol-Win</v>
      </c>
      <c r="AP825" t="s">
        <v>1699</v>
      </c>
      <c r="AQ825" t="s">
        <v>57</v>
      </c>
      <c r="AR825">
        <v>2100</v>
      </c>
      <c r="AS825" t="s">
        <v>897</v>
      </c>
      <c r="AT825" t="s">
        <v>58</v>
      </c>
    </row>
    <row r="826" ht="29" spans="1:46">
      <c r="A826" s="31" t="s">
        <v>73</v>
      </c>
      <c r="C826" t="s">
        <v>1700</v>
      </c>
      <c r="D826" s="5" t="s">
        <v>57</v>
      </c>
      <c r="E826">
        <v>2035</v>
      </c>
      <c r="F826" s="6" t="str">
        <f t="shared" si="98"/>
        <v>*0.95</v>
      </c>
      <c r="H826" t="s">
        <v>1700</v>
      </c>
      <c r="I826" s="5" t="s">
        <v>57</v>
      </c>
      <c r="J826">
        <v>2050</v>
      </c>
      <c r="K826" s="38" t="str">
        <f t="shared" si="99"/>
        <v>*0.93</v>
      </c>
      <c r="P826" s="32" t="s">
        <v>1700</v>
      </c>
      <c r="Q826" s="42" t="s">
        <v>57</v>
      </c>
      <c r="R826" s="32">
        <v>2035</v>
      </c>
      <c r="S826" s="43" t="str">
        <f t="shared" si="100"/>
        <v>*0.95</v>
      </c>
      <c r="U826" s="32" t="s">
        <v>1700</v>
      </c>
      <c r="V826" s="42" t="s">
        <v>57</v>
      </c>
      <c r="W826" s="32">
        <v>2050</v>
      </c>
      <c r="X826" s="43" t="str">
        <f t="shared" si="101"/>
        <v>*0.93</v>
      </c>
      <c r="AC826" s="33" t="s">
        <v>1700</v>
      </c>
      <c r="AD826" s="44" t="s">
        <v>57</v>
      </c>
      <c r="AE826" s="33">
        <v>2035</v>
      </c>
      <c r="AF826" s="45" t="str">
        <f t="shared" si="102"/>
        <v>*0.93</v>
      </c>
      <c r="AG826" s="43" t="str">
        <f t="shared" si="104"/>
        <v>REZoning_Sol-Win</v>
      </c>
      <c r="AI826" s="33" t="s">
        <v>1700</v>
      </c>
      <c r="AJ826" s="44" t="s">
        <v>57</v>
      </c>
      <c r="AK826" s="33">
        <v>2050</v>
      </c>
      <c r="AL826" s="45" t="str">
        <f t="shared" si="103"/>
        <v>*0.9</v>
      </c>
      <c r="AM826" s="43" t="str">
        <f t="shared" si="105"/>
        <v>REZoning_Sol-Win</v>
      </c>
      <c r="AP826" t="s">
        <v>1700</v>
      </c>
      <c r="AQ826" t="s">
        <v>57</v>
      </c>
      <c r="AR826">
        <v>2100</v>
      </c>
      <c r="AS826" t="s">
        <v>897</v>
      </c>
      <c r="AT826" t="s">
        <v>58</v>
      </c>
    </row>
    <row r="827" ht="29" spans="1:46">
      <c r="A827" s="31" t="s">
        <v>73</v>
      </c>
      <c r="C827" t="s">
        <v>1701</v>
      </c>
      <c r="D827" s="5" t="s">
        <v>57</v>
      </c>
      <c r="E827">
        <v>2035</v>
      </c>
      <c r="F827" s="6" t="str">
        <f t="shared" si="98"/>
        <v>*0.95</v>
      </c>
      <c r="H827" t="s">
        <v>1701</v>
      </c>
      <c r="I827" s="5" t="s">
        <v>57</v>
      </c>
      <c r="J827">
        <v>2050</v>
      </c>
      <c r="K827" s="38" t="str">
        <f t="shared" si="99"/>
        <v>*0.93</v>
      </c>
      <c r="P827" s="32" t="s">
        <v>1701</v>
      </c>
      <c r="Q827" s="42" t="s">
        <v>57</v>
      </c>
      <c r="R827" s="32">
        <v>2035</v>
      </c>
      <c r="S827" s="43" t="str">
        <f t="shared" si="100"/>
        <v>*0.95</v>
      </c>
      <c r="U827" s="32" t="s">
        <v>1701</v>
      </c>
      <c r="V827" s="42" t="s">
        <v>57</v>
      </c>
      <c r="W827" s="32">
        <v>2050</v>
      </c>
      <c r="X827" s="43" t="str">
        <f t="shared" si="101"/>
        <v>*0.93</v>
      </c>
      <c r="AC827" s="33" t="s">
        <v>1701</v>
      </c>
      <c r="AD827" s="44" t="s">
        <v>57</v>
      </c>
      <c r="AE827" s="33">
        <v>2035</v>
      </c>
      <c r="AF827" s="45" t="str">
        <f t="shared" si="102"/>
        <v>*0.93</v>
      </c>
      <c r="AG827" s="43" t="str">
        <f t="shared" si="104"/>
        <v>REZoning_Sol-Win</v>
      </c>
      <c r="AI827" s="33" t="s">
        <v>1701</v>
      </c>
      <c r="AJ827" s="44" t="s">
        <v>57</v>
      </c>
      <c r="AK827" s="33">
        <v>2050</v>
      </c>
      <c r="AL827" s="45" t="str">
        <f t="shared" si="103"/>
        <v>*0.9</v>
      </c>
      <c r="AM827" s="43" t="str">
        <f t="shared" si="105"/>
        <v>REZoning_Sol-Win</v>
      </c>
      <c r="AP827" t="s">
        <v>1701</v>
      </c>
      <c r="AQ827" t="s">
        <v>57</v>
      </c>
      <c r="AR827">
        <v>2100</v>
      </c>
      <c r="AS827" t="s">
        <v>897</v>
      </c>
      <c r="AT827" t="s">
        <v>58</v>
      </c>
    </row>
    <row r="828" ht="29" spans="1:46">
      <c r="A828" s="31" t="s">
        <v>73</v>
      </c>
      <c r="C828" t="s">
        <v>1702</v>
      </c>
      <c r="D828" s="5" t="s">
        <v>57</v>
      </c>
      <c r="E828">
        <v>2035</v>
      </c>
      <c r="F828" s="6" t="str">
        <f t="shared" si="98"/>
        <v>*0.95</v>
      </c>
      <c r="H828" t="s">
        <v>1702</v>
      </c>
      <c r="I828" s="5" t="s">
        <v>57</v>
      </c>
      <c r="J828">
        <v>2050</v>
      </c>
      <c r="K828" s="38" t="str">
        <f t="shared" si="99"/>
        <v>*0.93</v>
      </c>
      <c r="P828" s="32" t="s">
        <v>1702</v>
      </c>
      <c r="Q828" s="42" t="s">
        <v>57</v>
      </c>
      <c r="R828" s="32">
        <v>2035</v>
      </c>
      <c r="S828" s="43" t="str">
        <f t="shared" si="100"/>
        <v>*0.95</v>
      </c>
      <c r="U828" s="32" t="s">
        <v>1702</v>
      </c>
      <c r="V828" s="42" t="s">
        <v>57</v>
      </c>
      <c r="W828" s="32">
        <v>2050</v>
      </c>
      <c r="X828" s="43" t="str">
        <f t="shared" si="101"/>
        <v>*0.93</v>
      </c>
      <c r="AC828" s="33" t="s">
        <v>1702</v>
      </c>
      <c r="AD828" s="44" t="s">
        <v>57</v>
      </c>
      <c r="AE828" s="33">
        <v>2035</v>
      </c>
      <c r="AF828" s="45" t="str">
        <f t="shared" si="102"/>
        <v>*0.93</v>
      </c>
      <c r="AG828" s="43" t="str">
        <f t="shared" si="104"/>
        <v>REZoning_Sol-Win</v>
      </c>
      <c r="AI828" s="33" t="s">
        <v>1702</v>
      </c>
      <c r="AJ828" s="44" t="s">
        <v>57</v>
      </c>
      <c r="AK828" s="33">
        <v>2050</v>
      </c>
      <c r="AL828" s="45" t="str">
        <f t="shared" si="103"/>
        <v>*0.9</v>
      </c>
      <c r="AM828" s="43" t="str">
        <f t="shared" si="105"/>
        <v>REZoning_Sol-Win</v>
      </c>
      <c r="AP828" t="s">
        <v>1702</v>
      </c>
      <c r="AQ828" t="s">
        <v>57</v>
      </c>
      <c r="AR828">
        <v>2100</v>
      </c>
      <c r="AS828" t="s">
        <v>897</v>
      </c>
      <c r="AT828" t="s">
        <v>58</v>
      </c>
    </row>
    <row r="829" ht="29" spans="1:46">
      <c r="A829" s="31" t="s">
        <v>73</v>
      </c>
      <c r="C829" t="s">
        <v>1703</v>
      </c>
      <c r="D829" s="5" t="s">
        <v>57</v>
      </c>
      <c r="E829">
        <v>2035</v>
      </c>
      <c r="F829" s="6" t="str">
        <f t="shared" si="98"/>
        <v>*0.95</v>
      </c>
      <c r="H829" t="s">
        <v>1703</v>
      </c>
      <c r="I829" s="5" t="s">
        <v>57</v>
      </c>
      <c r="J829">
        <v>2050</v>
      </c>
      <c r="K829" s="38" t="str">
        <f t="shared" si="99"/>
        <v>*0.93</v>
      </c>
      <c r="P829" s="32" t="s">
        <v>1703</v>
      </c>
      <c r="Q829" s="42" t="s">
        <v>57</v>
      </c>
      <c r="R829" s="32">
        <v>2035</v>
      </c>
      <c r="S829" s="43" t="str">
        <f t="shared" si="100"/>
        <v>*0.95</v>
      </c>
      <c r="U829" s="32" t="s">
        <v>1703</v>
      </c>
      <c r="V829" s="42" t="s">
        <v>57</v>
      </c>
      <c r="W829" s="32">
        <v>2050</v>
      </c>
      <c r="X829" s="43" t="str">
        <f t="shared" si="101"/>
        <v>*0.93</v>
      </c>
      <c r="AC829" s="33" t="s">
        <v>1703</v>
      </c>
      <c r="AD829" s="44" t="s">
        <v>57</v>
      </c>
      <c r="AE829" s="33">
        <v>2035</v>
      </c>
      <c r="AF829" s="45" t="str">
        <f t="shared" si="102"/>
        <v>*0.93</v>
      </c>
      <c r="AG829" s="43" t="str">
        <f t="shared" si="104"/>
        <v>REZoning_Sol-Win</v>
      </c>
      <c r="AI829" s="33" t="s">
        <v>1703</v>
      </c>
      <c r="AJ829" s="44" t="s">
        <v>57</v>
      </c>
      <c r="AK829" s="33">
        <v>2050</v>
      </c>
      <c r="AL829" s="45" t="str">
        <f t="shared" si="103"/>
        <v>*0.9</v>
      </c>
      <c r="AM829" s="43" t="str">
        <f t="shared" si="105"/>
        <v>REZoning_Sol-Win</v>
      </c>
      <c r="AP829" t="s">
        <v>1703</v>
      </c>
      <c r="AQ829" t="s">
        <v>57</v>
      </c>
      <c r="AR829">
        <v>2100</v>
      </c>
      <c r="AS829" t="s">
        <v>897</v>
      </c>
      <c r="AT829" t="s">
        <v>58</v>
      </c>
    </row>
    <row r="830" ht="29" spans="1:46">
      <c r="A830" s="31" t="s">
        <v>73</v>
      </c>
      <c r="C830" t="s">
        <v>1704</v>
      </c>
      <c r="D830" s="5" t="s">
        <v>57</v>
      </c>
      <c r="E830">
        <v>2035</v>
      </c>
      <c r="F830" s="6" t="str">
        <f t="shared" si="98"/>
        <v>*0.95</v>
      </c>
      <c r="H830" t="s">
        <v>1704</v>
      </c>
      <c r="I830" s="5" t="s">
        <v>57</v>
      </c>
      <c r="J830">
        <v>2050</v>
      </c>
      <c r="K830" s="38" t="str">
        <f t="shared" si="99"/>
        <v>*0.93</v>
      </c>
      <c r="P830" s="32" t="s">
        <v>1704</v>
      </c>
      <c r="Q830" s="42" t="s">
        <v>57</v>
      </c>
      <c r="R830" s="32">
        <v>2035</v>
      </c>
      <c r="S830" s="43" t="str">
        <f t="shared" si="100"/>
        <v>*0.95</v>
      </c>
      <c r="U830" s="32" t="s">
        <v>1704</v>
      </c>
      <c r="V830" s="42" t="s">
        <v>57</v>
      </c>
      <c r="W830" s="32">
        <v>2050</v>
      </c>
      <c r="X830" s="43" t="str">
        <f t="shared" si="101"/>
        <v>*0.93</v>
      </c>
      <c r="AC830" s="33" t="s">
        <v>1704</v>
      </c>
      <c r="AD830" s="44" t="s">
        <v>57</v>
      </c>
      <c r="AE830" s="33">
        <v>2035</v>
      </c>
      <c r="AF830" s="45" t="str">
        <f t="shared" si="102"/>
        <v>*0.93</v>
      </c>
      <c r="AG830" s="43" t="str">
        <f t="shared" si="104"/>
        <v>REZoning_Sol-Win</v>
      </c>
      <c r="AI830" s="33" t="s">
        <v>1704</v>
      </c>
      <c r="AJ830" s="44" t="s">
        <v>57</v>
      </c>
      <c r="AK830" s="33">
        <v>2050</v>
      </c>
      <c r="AL830" s="45" t="str">
        <f t="shared" si="103"/>
        <v>*0.9</v>
      </c>
      <c r="AM830" s="43" t="str">
        <f t="shared" si="105"/>
        <v>REZoning_Sol-Win</v>
      </c>
      <c r="AP830" t="s">
        <v>1704</v>
      </c>
      <c r="AQ830" t="s">
        <v>57</v>
      </c>
      <c r="AR830">
        <v>2100</v>
      </c>
      <c r="AS830" t="s">
        <v>897</v>
      </c>
      <c r="AT830" t="s">
        <v>58</v>
      </c>
    </row>
    <row r="831" ht="29" spans="1:46">
      <c r="A831" s="31" t="s">
        <v>73</v>
      </c>
      <c r="C831" t="s">
        <v>1705</v>
      </c>
      <c r="D831" s="5" t="s">
        <v>57</v>
      </c>
      <c r="E831">
        <v>2035</v>
      </c>
      <c r="F831" s="6" t="str">
        <f t="shared" si="98"/>
        <v>*0.95</v>
      </c>
      <c r="H831" t="s">
        <v>1705</v>
      </c>
      <c r="I831" s="5" t="s">
        <v>57</v>
      </c>
      <c r="J831">
        <v>2050</v>
      </c>
      <c r="K831" s="38" t="str">
        <f t="shared" si="99"/>
        <v>*0.93</v>
      </c>
      <c r="P831" s="32" t="s">
        <v>1705</v>
      </c>
      <c r="Q831" s="42" t="s">
        <v>57</v>
      </c>
      <c r="R831" s="32">
        <v>2035</v>
      </c>
      <c r="S831" s="43" t="str">
        <f t="shared" si="100"/>
        <v>*0.95</v>
      </c>
      <c r="U831" s="32" t="s">
        <v>1705</v>
      </c>
      <c r="V831" s="42" t="s">
        <v>57</v>
      </c>
      <c r="W831" s="32">
        <v>2050</v>
      </c>
      <c r="X831" s="43" t="str">
        <f t="shared" si="101"/>
        <v>*0.93</v>
      </c>
      <c r="AC831" s="33" t="s">
        <v>1705</v>
      </c>
      <c r="AD831" s="44" t="s">
        <v>57</v>
      </c>
      <c r="AE831" s="33">
        <v>2035</v>
      </c>
      <c r="AF831" s="45" t="str">
        <f t="shared" si="102"/>
        <v>*0.93</v>
      </c>
      <c r="AG831" s="43" t="str">
        <f t="shared" si="104"/>
        <v>REZoning_Sol-Win</v>
      </c>
      <c r="AI831" s="33" t="s">
        <v>1705</v>
      </c>
      <c r="AJ831" s="44" t="s">
        <v>57</v>
      </c>
      <c r="AK831" s="33">
        <v>2050</v>
      </c>
      <c r="AL831" s="45" t="str">
        <f t="shared" si="103"/>
        <v>*0.9</v>
      </c>
      <c r="AM831" s="43" t="str">
        <f t="shared" si="105"/>
        <v>REZoning_Sol-Win</v>
      </c>
      <c r="AP831" t="s">
        <v>1705</v>
      </c>
      <c r="AQ831" t="s">
        <v>57</v>
      </c>
      <c r="AR831">
        <v>2100</v>
      </c>
      <c r="AS831" t="s">
        <v>897</v>
      </c>
      <c r="AT831" t="s">
        <v>58</v>
      </c>
    </row>
    <row r="832" ht="29" spans="1:46">
      <c r="A832" s="31" t="s">
        <v>73</v>
      </c>
      <c r="C832" t="s">
        <v>1706</v>
      </c>
      <c r="D832" s="5" t="s">
        <v>57</v>
      </c>
      <c r="E832">
        <v>2035</v>
      </c>
      <c r="F832" s="6" t="str">
        <f t="shared" si="98"/>
        <v>*0.95</v>
      </c>
      <c r="H832" t="s">
        <v>1706</v>
      </c>
      <c r="I832" s="5" t="s">
        <v>57</v>
      </c>
      <c r="J832">
        <v>2050</v>
      </c>
      <c r="K832" s="38" t="str">
        <f t="shared" si="99"/>
        <v>*0.93</v>
      </c>
      <c r="P832" s="32" t="s">
        <v>1706</v>
      </c>
      <c r="Q832" s="42" t="s">
        <v>57</v>
      </c>
      <c r="R832" s="32">
        <v>2035</v>
      </c>
      <c r="S832" s="43" t="str">
        <f t="shared" si="100"/>
        <v>*0.95</v>
      </c>
      <c r="U832" s="32" t="s">
        <v>1706</v>
      </c>
      <c r="V832" s="42" t="s">
        <v>57</v>
      </c>
      <c r="W832" s="32">
        <v>2050</v>
      </c>
      <c r="X832" s="43" t="str">
        <f t="shared" si="101"/>
        <v>*0.93</v>
      </c>
      <c r="AC832" s="33" t="s">
        <v>1706</v>
      </c>
      <c r="AD832" s="44" t="s">
        <v>57</v>
      </c>
      <c r="AE832" s="33">
        <v>2035</v>
      </c>
      <c r="AF832" s="45" t="str">
        <f t="shared" si="102"/>
        <v>*0.93</v>
      </c>
      <c r="AG832" s="43" t="str">
        <f t="shared" si="104"/>
        <v>REZoning_Sol-Win</v>
      </c>
      <c r="AI832" s="33" t="s">
        <v>1706</v>
      </c>
      <c r="AJ832" s="44" t="s">
        <v>57</v>
      </c>
      <c r="AK832" s="33">
        <v>2050</v>
      </c>
      <c r="AL832" s="45" t="str">
        <f t="shared" si="103"/>
        <v>*0.9</v>
      </c>
      <c r="AM832" s="43" t="str">
        <f t="shared" si="105"/>
        <v>REZoning_Sol-Win</v>
      </c>
      <c r="AP832" t="s">
        <v>1706</v>
      </c>
      <c r="AQ832" t="s">
        <v>57</v>
      </c>
      <c r="AR832">
        <v>2100</v>
      </c>
      <c r="AS832" t="s">
        <v>897</v>
      </c>
      <c r="AT832" t="s">
        <v>58</v>
      </c>
    </row>
    <row r="833" ht="29" spans="1:46">
      <c r="A833" s="31" t="s">
        <v>73</v>
      </c>
      <c r="C833" t="s">
        <v>1707</v>
      </c>
      <c r="D833" s="5" t="s">
        <v>57</v>
      </c>
      <c r="E833">
        <v>2035</v>
      </c>
      <c r="F833" s="6" t="str">
        <f t="shared" si="98"/>
        <v>*0.95</v>
      </c>
      <c r="H833" t="s">
        <v>1707</v>
      </c>
      <c r="I833" s="5" t="s">
        <v>57</v>
      </c>
      <c r="J833">
        <v>2050</v>
      </c>
      <c r="K833" s="38" t="str">
        <f t="shared" si="99"/>
        <v>*0.93</v>
      </c>
      <c r="P833" s="32" t="s">
        <v>1707</v>
      </c>
      <c r="Q833" s="42" t="s">
        <v>57</v>
      </c>
      <c r="R833" s="32">
        <v>2035</v>
      </c>
      <c r="S833" s="43" t="str">
        <f t="shared" si="100"/>
        <v>*0.95</v>
      </c>
      <c r="U833" s="32" t="s">
        <v>1707</v>
      </c>
      <c r="V833" s="42" t="s">
        <v>57</v>
      </c>
      <c r="W833" s="32">
        <v>2050</v>
      </c>
      <c r="X833" s="43" t="str">
        <f t="shared" si="101"/>
        <v>*0.93</v>
      </c>
      <c r="AC833" s="33" t="s">
        <v>1707</v>
      </c>
      <c r="AD833" s="44" t="s">
        <v>57</v>
      </c>
      <c r="AE833" s="33">
        <v>2035</v>
      </c>
      <c r="AF833" s="45" t="str">
        <f t="shared" si="102"/>
        <v>*0.93</v>
      </c>
      <c r="AG833" s="43" t="str">
        <f t="shared" si="104"/>
        <v>REZoning_Sol-Win</v>
      </c>
      <c r="AI833" s="33" t="s">
        <v>1707</v>
      </c>
      <c r="AJ833" s="44" t="s">
        <v>57</v>
      </c>
      <c r="AK833" s="33">
        <v>2050</v>
      </c>
      <c r="AL833" s="45" t="str">
        <f t="shared" si="103"/>
        <v>*0.9</v>
      </c>
      <c r="AM833" s="43" t="str">
        <f t="shared" si="105"/>
        <v>REZoning_Sol-Win</v>
      </c>
      <c r="AP833" t="s">
        <v>1707</v>
      </c>
      <c r="AQ833" t="s">
        <v>57</v>
      </c>
      <c r="AR833">
        <v>2100</v>
      </c>
      <c r="AS833" t="s">
        <v>897</v>
      </c>
      <c r="AT833" t="s">
        <v>58</v>
      </c>
    </row>
    <row r="834" ht="29" spans="1:46">
      <c r="A834" s="31" t="s">
        <v>73</v>
      </c>
      <c r="C834" t="s">
        <v>1708</v>
      </c>
      <c r="D834" s="5" t="s">
        <v>57</v>
      </c>
      <c r="E834">
        <v>2035</v>
      </c>
      <c r="F834" s="6" t="str">
        <f t="shared" si="98"/>
        <v>*0.95</v>
      </c>
      <c r="H834" t="s">
        <v>1708</v>
      </c>
      <c r="I834" s="5" t="s">
        <v>57</v>
      </c>
      <c r="J834">
        <v>2050</v>
      </c>
      <c r="K834" s="38" t="str">
        <f t="shared" si="99"/>
        <v>*0.93</v>
      </c>
      <c r="P834" s="32" t="s">
        <v>1708</v>
      </c>
      <c r="Q834" s="42" t="s">
        <v>57</v>
      </c>
      <c r="R834" s="32">
        <v>2035</v>
      </c>
      <c r="S834" s="43" t="str">
        <f t="shared" si="100"/>
        <v>*0.95</v>
      </c>
      <c r="U834" s="32" t="s">
        <v>1708</v>
      </c>
      <c r="V834" s="42" t="s">
        <v>57</v>
      </c>
      <c r="W834" s="32">
        <v>2050</v>
      </c>
      <c r="X834" s="43" t="str">
        <f t="shared" si="101"/>
        <v>*0.93</v>
      </c>
      <c r="AC834" s="33" t="s">
        <v>1708</v>
      </c>
      <c r="AD834" s="44" t="s">
        <v>57</v>
      </c>
      <c r="AE834" s="33">
        <v>2035</v>
      </c>
      <c r="AF834" s="45" t="str">
        <f t="shared" si="102"/>
        <v>*0.93</v>
      </c>
      <c r="AG834" s="43" t="str">
        <f t="shared" si="104"/>
        <v>REZoning_Sol-Win</v>
      </c>
      <c r="AI834" s="33" t="s">
        <v>1708</v>
      </c>
      <c r="AJ834" s="44" t="s">
        <v>57</v>
      </c>
      <c r="AK834" s="33">
        <v>2050</v>
      </c>
      <c r="AL834" s="45" t="str">
        <f t="shared" si="103"/>
        <v>*0.9</v>
      </c>
      <c r="AM834" s="43" t="str">
        <f t="shared" si="105"/>
        <v>REZoning_Sol-Win</v>
      </c>
      <c r="AP834" t="s">
        <v>1708</v>
      </c>
      <c r="AQ834" t="s">
        <v>57</v>
      </c>
      <c r="AR834">
        <v>2100</v>
      </c>
      <c r="AS834" t="s">
        <v>897</v>
      </c>
      <c r="AT834" t="s">
        <v>58</v>
      </c>
    </row>
    <row r="835" ht="29" spans="1:46">
      <c r="A835" s="31" t="s">
        <v>73</v>
      </c>
      <c r="C835" t="s">
        <v>1709</v>
      </c>
      <c r="D835" s="5" t="s">
        <v>57</v>
      </c>
      <c r="E835">
        <v>2035</v>
      </c>
      <c r="F835" s="6" t="str">
        <f t="shared" si="98"/>
        <v>*0.95</v>
      </c>
      <c r="H835" t="s">
        <v>1709</v>
      </c>
      <c r="I835" s="5" t="s">
        <v>57</v>
      </c>
      <c r="J835">
        <v>2050</v>
      </c>
      <c r="K835" s="38" t="str">
        <f t="shared" si="99"/>
        <v>*0.93</v>
      </c>
      <c r="P835" s="32" t="s">
        <v>1709</v>
      </c>
      <c r="Q835" s="42" t="s">
        <v>57</v>
      </c>
      <c r="R835" s="32">
        <v>2035</v>
      </c>
      <c r="S835" s="43" t="str">
        <f t="shared" si="100"/>
        <v>*0.95</v>
      </c>
      <c r="U835" s="32" t="s">
        <v>1709</v>
      </c>
      <c r="V835" s="42" t="s">
        <v>57</v>
      </c>
      <c r="W835" s="32">
        <v>2050</v>
      </c>
      <c r="X835" s="43" t="str">
        <f t="shared" si="101"/>
        <v>*0.93</v>
      </c>
      <c r="AC835" s="33" t="s">
        <v>1709</v>
      </c>
      <c r="AD835" s="44" t="s">
        <v>57</v>
      </c>
      <c r="AE835" s="33">
        <v>2035</v>
      </c>
      <c r="AF835" s="45" t="str">
        <f t="shared" si="102"/>
        <v>*0.93</v>
      </c>
      <c r="AG835" s="43" t="str">
        <f t="shared" si="104"/>
        <v>REZoning_Sol-Win</v>
      </c>
      <c r="AI835" s="33" t="s">
        <v>1709</v>
      </c>
      <c r="AJ835" s="44" t="s">
        <v>57</v>
      </c>
      <c r="AK835" s="33">
        <v>2050</v>
      </c>
      <c r="AL835" s="45" t="str">
        <f t="shared" si="103"/>
        <v>*0.9</v>
      </c>
      <c r="AM835" s="43" t="str">
        <f t="shared" si="105"/>
        <v>REZoning_Sol-Win</v>
      </c>
      <c r="AP835" t="s">
        <v>1709</v>
      </c>
      <c r="AQ835" t="s">
        <v>57</v>
      </c>
      <c r="AR835">
        <v>2100</v>
      </c>
      <c r="AS835" t="s">
        <v>897</v>
      </c>
      <c r="AT835" t="s">
        <v>58</v>
      </c>
    </row>
    <row r="836" ht="29" spans="1:46">
      <c r="A836" s="31" t="s">
        <v>73</v>
      </c>
      <c r="C836" t="s">
        <v>1710</v>
      </c>
      <c r="D836" s="5" t="s">
        <v>57</v>
      </c>
      <c r="E836">
        <v>2035</v>
      </c>
      <c r="F836" s="6" t="str">
        <f t="shared" ref="F836:F899" si="106">"*"&amp;IF(AND(A836="EU",E836=2035),0.95,IF(AND(A836="EU",E836=2050),0.93,IF(AND(A836="USA",E836=2035),0.96,IF(AND(A836="USA",E836=2050),0.94,IF(AND(A836="Japan",E836=2035),0.94,IF(AND(A836="Japan",E836=2050),0.92,IF(AND(A836="Russia",E836=2035),0.95,IF(AND(A836="Russia",E836=2050),0.93,IF(AND(A836="China",E836=2035),0.94,IF(AND(A836="China",E836=2050),0.92,IF(AND(A836="India",E836=2035),0.95,IF(AND(A836="India",E836=2050),0.92,IF(AND(A836="Middle East",E836=2035),0.94,IF(AND(A836="Middle East",E836=2050),0.9,IF(AND(A836="Africa",E836=2035),0.94,IF(AND(A836="Africa",E836=2050),0.91,IF(AND(A836="Brazil",E836=2035),0.95,IF(AND(A836="Brazil",E836=2050),0.92,""))))))))))))))))))</f>
        <v>*0.95</v>
      </c>
      <c r="H836" t="s">
        <v>1710</v>
      </c>
      <c r="I836" s="5" t="s">
        <v>57</v>
      </c>
      <c r="J836">
        <v>2050</v>
      </c>
      <c r="K836" s="38" t="str">
        <f t="shared" ref="K836:K899" si="107">"*"&amp;IF(AND(A836="EU",J836=2035),0.95,IF(AND(A836="EU",J836=2050),0.93,IF(AND(A836="USA",J836=2035),0.96,IF(AND(A836="USA",J836=2050),0.94,IF(AND(A836="Japan",J836=2035),0.94,IF(AND(A836="Japan",J836=2050),0.92,IF(AND(A836="Russia",J836=2035),0.95,IF(AND(A836="Russia",J836=2050),0.93,IF(AND(A836="China",J836=2035),0.94,IF(AND(A836="China",J836=2050),0.92,IF(AND(A836="India",J836=2035),0.95,IF(AND(A836="India",J836=2050),0.92,IF(AND(A836="Middle East",J836=2035),0.94,IF(AND(A836="Middle East",J836=2050),0.9,IF(AND(A836="Africa",J836=2035),0.94,IF(AND(A836="Africa",J836=2050),0.91,IF(AND(A836="Brazil",J836=2035),0.95,IF(AND(A836="Brazil",J836=2050),0.92,""))))))))))))))))))</f>
        <v>*0.93</v>
      </c>
      <c r="P836" s="32" t="s">
        <v>1710</v>
      </c>
      <c r="Q836" s="42" t="s">
        <v>57</v>
      </c>
      <c r="R836" s="32">
        <v>2035</v>
      </c>
      <c r="S836" s="43" t="str">
        <f t="shared" ref="S836:S899" si="108">"*"&amp;IF(AND(A836="EU",R836=2035),0.95,IF(AND(A836="EU",R836=2050),0.93,IF(AND(A836="USA",R836=2035),0.96,IF(AND(A836="USA",R836=2050),0.93,IF(AND(A836="Japan",R836=2035),0.94,IF(AND(A836="Japan",R836=2050),0.92,IF(AND(A836="Russia",R836=2035),0.95,IF(AND(A836="Russia",R836=2050),0.91,IF(AND(A836="China",R836=2035),0.93,IF(AND(A836="China",R836=2050),0.92,IF(AND(A836="India",R836=2035),0.94,IF(AND(A836="India",R836=2050),0.91,IF(AND(A836="Middle East",R836=2035),0.92,IF(AND(A836="Middle East",R836=2050),0.89,IF(AND(A836="Africa",R836=2035),0.93,IF(AND(A836="Africa",R836=2050),0.9,IF(AND(A836="Brazil",R836=2035),0.95,IF(AND(A836="Brazil",R836=2050),0.92,""))))))))))))))))))</f>
        <v>*0.95</v>
      </c>
      <c r="U836" s="32" t="s">
        <v>1710</v>
      </c>
      <c r="V836" s="42" t="s">
        <v>57</v>
      </c>
      <c r="W836" s="32">
        <v>2050</v>
      </c>
      <c r="X836" s="43" t="str">
        <f t="shared" ref="X836:X899" si="109">"*"&amp;IF(AND(A836="EU",W836=2035),0.95,IF(AND(A836="EU",W836=2050),0.93,IF(AND(A836="USA",W836=2035),0.96,IF(AND(A836="USA",W836=2050),0.93,IF(AND(A836="Japan",W836=2035),0.94,IF(AND(A836="Japan",W836=2050),0.92,IF(AND(A836="Russia",W836=2035),0.95,IF(AND(A836="Russia",W836=2050),0.91,IF(AND(A836="China",W836=2035),0.93,IF(AND(A836="China",W836=2050),0.92,IF(AND(A836="India",W836=2035),0.94,IF(AND(A836="India",W836=2050),0.91,IF(AND(A836="Middle East",W836=2035),0.92,IF(AND(A836="Middle East",W836=2050),0.89,IF(AND(A836="Africa",W836=2035),0.93,IF(AND(A836="Africa",W836=2050),0.9,IF(AND(A836="Brazil",W836=2035),0.95,IF(AND(A836="Brazil",W836=2050),0.92,""))))))))))))))))))</f>
        <v>*0.93</v>
      </c>
      <c r="AC836" s="33" t="s">
        <v>1710</v>
      </c>
      <c r="AD836" s="44" t="s">
        <v>57</v>
      </c>
      <c r="AE836" s="33">
        <v>2035</v>
      </c>
      <c r="AF836" s="45" t="str">
        <f t="shared" ref="AF836:AF899" si="110">"*"&amp;IF(AND(A836="EU",AE836=2035),0.93,IF(AND(A836="EU",AE836=2050),0.9,IF(AND(A836="USA",AE836=2035),0.92,IF(AND(A836="USA",AE836=2050),0.89,IF(AND(A836="Japan",AE836=2035),0.92,IF(AND(A836="Japan",AE836=2050),0.89,IF(AND(A836="Russia",AE836=2035),0.91,IF(AND(A836="Russia",AE836=2050),0.86,IF(AND(A836="China",AE836=2035),0.91,IF(AND(A836="China",AE836=2050),0.87,IF(AND(A836="India",AE836=2035),0.92,IF(AND(A836="India",AE836=2050),0.87,IF(AND(A836="Middle East",AE836=2035),0.89,IF(AND(A836="Middle East",AE836=2050),0.84,IF(AND(A836="Africa",AE836=2035),0.9,IF(AND(A836="Africa",AE836=2050),0.86,IF(AND(A836="Brazil",AE836=2035),0.93,IF(AND(A836="Brazil",AE836=2050),0.89,""))))))))))))))))))</f>
        <v>*0.93</v>
      </c>
      <c r="AG836" s="43" t="str">
        <f t="shared" si="104"/>
        <v>REZoning_Sol-Win</v>
      </c>
      <c r="AI836" s="33" t="s">
        <v>1710</v>
      </c>
      <c r="AJ836" s="44" t="s">
        <v>57</v>
      </c>
      <c r="AK836" s="33">
        <v>2050</v>
      </c>
      <c r="AL836" s="45" t="str">
        <f t="shared" ref="AL836:AL899" si="111">"*"&amp;IF(AND(A836="EU",AK836=2035),0.93,IF(AND(A836="EU",AK836=2050),0.9,IF(AND(A836="USA",AK836=2035),0.92,IF(AND(A836="USA",AK836=2050),0.89,IF(AND(A836="Japan",AK836=2035),0.92,IF(AND(A836="Japan",AK836=2050),0.89,IF(AND(A836="Russia",AK836=2035),0.91,IF(AND(A836="Russia",AK836=2050),0.86,IF(AND(A836="China",AK836=2035),0.91,IF(AND(A836="China",AK836=2050),0.87,IF(AND(A836="India",AK836=2035),0.92,IF(AND(A836="India",AK836=2050),0.87,IF(AND(A836="Middle East",AK836=2035),0.89,IF(AND(A836="Middle East",AK836=2050),0.84,IF(AND(A836="Africa",AK836=2035),0.9,IF(AND(A836="Africa",AK836=2050),0.86,IF(AND(A836="Brazil",AK836=2035),0.93,IF(AND(A836="Brazil",AK836=2050),0.89,""))))))))))))))))))</f>
        <v>*0.9</v>
      </c>
      <c r="AM836" s="43" t="str">
        <f t="shared" si="105"/>
        <v>REZoning_Sol-Win</v>
      </c>
      <c r="AP836" t="s">
        <v>1710</v>
      </c>
      <c r="AQ836" t="s">
        <v>57</v>
      </c>
      <c r="AR836">
        <v>2100</v>
      </c>
      <c r="AS836" t="s">
        <v>897</v>
      </c>
      <c r="AT836" t="s">
        <v>58</v>
      </c>
    </row>
    <row r="837" ht="29" spans="1:46">
      <c r="A837" s="31" t="s">
        <v>73</v>
      </c>
      <c r="C837" t="s">
        <v>1711</v>
      </c>
      <c r="D837" s="5" t="s">
        <v>57</v>
      </c>
      <c r="E837">
        <v>2035</v>
      </c>
      <c r="F837" s="6" t="str">
        <f t="shared" si="106"/>
        <v>*0.95</v>
      </c>
      <c r="H837" t="s">
        <v>1711</v>
      </c>
      <c r="I837" s="5" t="s">
        <v>57</v>
      </c>
      <c r="J837">
        <v>2050</v>
      </c>
      <c r="K837" s="38" t="str">
        <f t="shared" si="107"/>
        <v>*0.93</v>
      </c>
      <c r="P837" s="32" t="s">
        <v>1711</v>
      </c>
      <c r="Q837" s="42" t="s">
        <v>57</v>
      </c>
      <c r="R837" s="32">
        <v>2035</v>
      </c>
      <c r="S837" s="43" t="str">
        <f t="shared" si="108"/>
        <v>*0.95</v>
      </c>
      <c r="U837" s="32" t="s">
        <v>1711</v>
      </c>
      <c r="V837" s="42" t="s">
        <v>57</v>
      </c>
      <c r="W837" s="32">
        <v>2050</v>
      </c>
      <c r="X837" s="43" t="str">
        <f t="shared" si="109"/>
        <v>*0.93</v>
      </c>
      <c r="AC837" s="33" t="s">
        <v>1711</v>
      </c>
      <c r="AD837" s="44" t="s">
        <v>57</v>
      </c>
      <c r="AE837" s="33">
        <v>2035</v>
      </c>
      <c r="AF837" s="45" t="str">
        <f t="shared" si="110"/>
        <v>*0.93</v>
      </c>
      <c r="AG837" s="43" t="str">
        <f t="shared" si="104"/>
        <v>REZoning_Sol-Win</v>
      </c>
      <c r="AI837" s="33" t="s">
        <v>1711</v>
      </c>
      <c r="AJ837" s="44" t="s">
        <v>57</v>
      </c>
      <c r="AK837" s="33">
        <v>2050</v>
      </c>
      <c r="AL837" s="45" t="str">
        <f t="shared" si="111"/>
        <v>*0.9</v>
      </c>
      <c r="AM837" s="43" t="str">
        <f t="shared" si="105"/>
        <v>REZoning_Sol-Win</v>
      </c>
      <c r="AP837" t="s">
        <v>1711</v>
      </c>
      <c r="AQ837" t="s">
        <v>57</v>
      </c>
      <c r="AR837">
        <v>2100</v>
      </c>
      <c r="AS837" t="s">
        <v>897</v>
      </c>
      <c r="AT837" t="s">
        <v>58</v>
      </c>
    </row>
    <row r="838" ht="29" spans="1:46">
      <c r="A838" s="31" t="s">
        <v>73</v>
      </c>
      <c r="C838" t="s">
        <v>1712</v>
      </c>
      <c r="D838" s="5" t="s">
        <v>57</v>
      </c>
      <c r="E838">
        <v>2035</v>
      </c>
      <c r="F838" s="6" t="str">
        <f t="shared" si="106"/>
        <v>*0.95</v>
      </c>
      <c r="H838" t="s">
        <v>1712</v>
      </c>
      <c r="I838" s="5" t="s">
        <v>57</v>
      </c>
      <c r="J838">
        <v>2050</v>
      </c>
      <c r="K838" s="38" t="str">
        <f t="shared" si="107"/>
        <v>*0.93</v>
      </c>
      <c r="P838" s="32" t="s">
        <v>1712</v>
      </c>
      <c r="Q838" s="42" t="s">
        <v>57</v>
      </c>
      <c r="R838" s="32">
        <v>2035</v>
      </c>
      <c r="S838" s="43" t="str">
        <f t="shared" si="108"/>
        <v>*0.95</v>
      </c>
      <c r="U838" s="32" t="s">
        <v>1712</v>
      </c>
      <c r="V838" s="42" t="s">
        <v>57</v>
      </c>
      <c r="W838" s="32">
        <v>2050</v>
      </c>
      <c r="X838" s="43" t="str">
        <f t="shared" si="109"/>
        <v>*0.93</v>
      </c>
      <c r="AC838" s="33" t="s">
        <v>1712</v>
      </c>
      <c r="AD838" s="44" t="s">
        <v>57</v>
      </c>
      <c r="AE838" s="33">
        <v>2035</v>
      </c>
      <c r="AF838" s="45" t="str">
        <f t="shared" si="110"/>
        <v>*0.93</v>
      </c>
      <c r="AG838" s="43" t="str">
        <f t="shared" si="104"/>
        <v>REZoning_Sol-Win</v>
      </c>
      <c r="AI838" s="33" t="s">
        <v>1712</v>
      </c>
      <c r="AJ838" s="44" t="s">
        <v>57</v>
      </c>
      <c r="AK838" s="33">
        <v>2050</v>
      </c>
      <c r="AL838" s="45" t="str">
        <f t="shared" si="111"/>
        <v>*0.9</v>
      </c>
      <c r="AM838" s="43" t="str">
        <f t="shared" si="105"/>
        <v>REZoning_Sol-Win</v>
      </c>
      <c r="AP838" t="s">
        <v>1712</v>
      </c>
      <c r="AQ838" t="s">
        <v>57</v>
      </c>
      <c r="AR838">
        <v>2100</v>
      </c>
      <c r="AS838" t="s">
        <v>897</v>
      </c>
      <c r="AT838" t="s">
        <v>58</v>
      </c>
    </row>
    <row r="839" ht="29" spans="1:46">
      <c r="A839" s="31" t="s">
        <v>73</v>
      </c>
      <c r="C839" t="s">
        <v>1713</v>
      </c>
      <c r="D839" s="5" t="s">
        <v>57</v>
      </c>
      <c r="E839">
        <v>2035</v>
      </c>
      <c r="F839" s="6" t="str">
        <f t="shared" si="106"/>
        <v>*0.95</v>
      </c>
      <c r="H839" t="s">
        <v>1713</v>
      </c>
      <c r="I839" s="5" t="s">
        <v>57</v>
      </c>
      <c r="J839">
        <v>2050</v>
      </c>
      <c r="K839" s="38" t="str">
        <f t="shared" si="107"/>
        <v>*0.93</v>
      </c>
      <c r="P839" s="32" t="s">
        <v>1713</v>
      </c>
      <c r="Q839" s="42" t="s">
        <v>57</v>
      </c>
      <c r="R839" s="32">
        <v>2035</v>
      </c>
      <c r="S839" s="43" t="str">
        <f t="shared" si="108"/>
        <v>*0.95</v>
      </c>
      <c r="U839" s="32" t="s">
        <v>1713</v>
      </c>
      <c r="V839" s="42" t="s">
        <v>57</v>
      </c>
      <c r="W839" s="32">
        <v>2050</v>
      </c>
      <c r="X839" s="43" t="str">
        <f t="shared" si="109"/>
        <v>*0.93</v>
      </c>
      <c r="AC839" s="33" t="s">
        <v>1713</v>
      </c>
      <c r="AD839" s="44" t="s">
        <v>57</v>
      </c>
      <c r="AE839" s="33">
        <v>2035</v>
      </c>
      <c r="AF839" s="45" t="str">
        <f t="shared" si="110"/>
        <v>*0.93</v>
      </c>
      <c r="AG839" s="43" t="str">
        <f t="shared" si="104"/>
        <v>REZoning_Sol-Win</v>
      </c>
      <c r="AI839" s="33" t="s">
        <v>1713</v>
      </c>
      <c r="AJ839" s="44" t="s">
        <v>57</v>
      </c>
      <c r="AK839" s="33">
        <v>2050</v>
      </c>
      <c r="AL839" s="45" t="str">
        <f t="shared" si="111"/>
        <v>*0.9</v>
      </c>
      <c r="AM839" s="43" t="str">
        <f t="shared" si="105"/>
        <v>REZoning_Sol-Win</v>
      </c>
      <c r="AP839" t="s">
        <v>1713</v>
      </c>
      <c r="AQ839" t="s">
        <v>57</v>
      </c>
      <c r="AR839">
        <v>2100</v>
      </c>
      <c r="AS839" t="s">
        <v>897</v>
      </c>
      <c r="AT839" t="s">
        <v>58</v>
      </c>
    </row>
    <row r="840" ht="29" spans="1:46">
      <c r="A840" s="31" t="s">
        <v>73</v>
      </c>
      <c r="C840" t="s">
        <v>1714</v>
      </c>
      <c r="D840" s="5" t="s">
        <v>57</v>
      </c>
      <c r="E840">
        <v>2035</v>
      </c>
      <c r="F840" s="6" t="str">
        <f t="shared" si="106"/>
        <v>*0.95</v>
      </c>
      <c r="H840" t="s">
        <v>1714</v>
      </c>
      <c r="I840" s="5" t="s">
        <v>57</v>
      </c>
      <c r="J840">
        <v>2050</v>
      </c>
      <c r="K840" s="38" t="str">
        <f t="shared" si="107"/>
        <v>*0.93</v>
      </c>
      <c r="P840" s="32" t="s">
        <v>1714</v>
      </c>
      <c r="Q840" s="42" t="s">
        <v>57</v>
      </c>
      <c r="R840" s="32">
        <v>2035</v>
      </c>
      <c r="S840" s="43" t="str">
        <f t="shared" si="108"/>
        <v>*0.95</v>
      </c>
      <c r="U840" s="32" t="s">
        <v>1714</v>
      </c>
      <c r="V840" s="42" t="s">
        <v>57</v>
      </c>
      <c r="W840" s="32">
        <v>2050</v>
      </c>
      <c r="X840" s="43" t="str">
        <f t="shared" si="109"/>
        <v>*0.93</v>
      </c>
      <c r="AC840" s="33" t="s">
        <v>1714</v>
      </c>
      <c r="AD840" s="44" t="s">
        <v>57</v>
      </c>
      <c r="AE840" s="33">
        <v>2035</v>
      </c>
      <c r="AF840" s="45" t="str">
        <f t="shared" si="110"/>
        <v>*0.93</v>
      </c>
      <c r="AG840" s="43" t="str">
        <f t="shared" si="104"/>
        <v>REZoning_Sol-Win</v>
      </c>
      <c r="AI840" s="33" t="s">
        <v>1714</v>
      </c>
      <c r="AJ840" s="44" t="s">
        <v>57</v>
      </c>
      <c r="AK840" s="33">
        <v>2050</v>
      </c>
      <c r="AL840" s="45" t="str">
        <f t="shared" si="111"/>
        <v>*0.9</v>
      </c>
      <c r="AM840" s="43" t="str">
        <f t="shared" si="105"/>
        <v>REZoning_Sol-Win</v>
      </c>
      <c r="AP840" t="s">
        <v>1714</v>
      </c>
      <c r="AQ840" t="s">
        <v>57</v>
      </c>
      <c r="AR840">
        <v>2100</v>
      </c>
      <c r="AS840" t="s">
        <v>897</v>
      </c>
      <c r="AT840" t="s">
        <v>58</v>
      </c>
    </row>
    <row r="841" ht="29" spans="1:46">
      <c r="A841" s="31" t="s">
        <v>73</v>
      </c>
      <c r="C841" t="s">
        <v>1715</v>
      </c>
      <c r="D841" s="5" t="s">
        <v>57</v>
      </c>
      <c r="E841">
        <v>2035</v>
      </c>
      <c r="F841" s="6" t="str">
        <f t="shared" si="106"/>
        <v>*0.95</v>
      </c>
      <c r="H841" t="s">
        <v>1715</v>
      </c>
      <c r="I841" s="5" t="s">
        <v>57</v>
      </c>
      <c r="J841">
        <v>2050</v>
      </c>
      <c r="K841" s="38" t="str">
        <f t="shared" si="107"/>
        <v>*0.93</v>
      </c>
      <c r="P841" s="32" t="s">
        <v>1715</v>
      </c>
      <c r="Q841" s="42" t="s">
        <v>57</v>
      </c>
      <c r="R841" s="32">
        <v>2035</v>
      </c>
      <c r="S841" s="43" t="str">
        <f t="shared" si="108"/>
        <v>*0.95</v>
      </c>
      <c r="U841" s="32" t="s">
        <v>1715</v>
      </c>
      <c r="V841" s="42" t="s">
        <v>57</v>
      </c>
      <c r="W841" s="32">
        <v>2050</v>
      </c>
      <c r="X841" s="43" t="str">
        <f t="shared" si="109"/>
        <v>*0.93</v>
      </c>
      <c r="AC841" s="33" t="s">
        <v>1715</v>
      </c>
      <c r="AD841" s="44" t="s">
        <v>57</v>
      </c>
      <c r="AE841" s="33">
        <v>2035</v>
      </c>
      <c r="AF841" s="45" t="str">
        <f t="shared" si="110"/>
        <v>*0.93</v>
      </c>
      <c r="AG841" s="43" t="str">
        <f t="shared" ref="AG841:AG904" si="112">AG840</f>
        <v>REZoning_Sol-Win</v>
      </c>
      <c r="AI841" s="33" t="s">
        <v>1715</v>
      </c>
      <c r="AJ841" s="44" t="s">
        <v>57</v>
      </c>
      <c r="AK841" s="33">
        <v>2050</v>
      </c>
      <c r="AL841" s="45" t="str">
        <f t="shared" si="111"/>
        <v>*0.9</v>
      </c>
      <c r="AM841" s="43" t="str">
        <f t="shared" si="105"/>
        <v>REZoning_Sol-Win</v>
      </c>
      <c r="AP841" t="s">
        <v>1715</v>
      </c>
      <c r="AQ841" t="s">
        <v>57</v>
      </c>
      <c r="AR841">
        <v>2100</v>
      </c>
      <c r="AS841" t="s">
        <v>897</v>
      </c>
      <c r="AT841" t="s">
        <v>58</v>
      </c>
    </row>
    <row r="842" ht="29" spans="1:46">
      <c r="A842" s="31" t="s">
        <v>73</v>
      </c>
      <c r="C842" t="s">
        <v>1716</v>
      </c>
      <c r="D842" s="5" t="s">
        <v>57</v>
      </c>
      <c r="E842">
        <v>2035</v>
      </c>
      <c r="F842" s="6" t="str">
        <f t="shared" si="106"/>
        <v>*0.95</v>
      </c>
      <c r="H842" t="s">
        <v>1716</v>
      </c>
      <c r="I842" s="5" t="s">
        <v>57</v>
      </c>
      <c r="J842">
        <v>2050</v>
      </c>
      <c r="K842" s="38" t="str">
        <f t="shared" si="107"/>
        <v>*0.93</v>
      </c>
      <c r="P842" s="32" t="s">
        <v>1716</v>
      </c>
      <c r="Q842" s="42" t="s">
        <v>57</v>
      </c>
      <c r="R842" s="32">
        <v>2035</v>
      </c>
      <c r="S842" s="43" t="str">
        <f t="shared" si="108"/>
        <v>*0.95</v>
      </c>
      <c r="U842" s="32" t="s">
        <v>1716</v>
      </c>
      <c r="V842" s="42" t="s">
        <v>57</v>
      </c>
      <c r="W842" s="32">
        <v>2050</v>
      </c>
      <c r="X842" s="43" t="str">
        <f t="shared" si="109"/>
        <v>*0.93</v>
      </c>
      <c r="AC842" s="33" t="s">
        <v>1716</v>
      </c>
      <c r="AD842" s="44" t="s">
        <v>57</v>
      </c>
      <c r="AE842" s="33">
        <v>2035</v>
      </c>
      <c r="AF842" s="45" t="str">
        <f t="shared" si="110"/>
        <v>*0.93</v>
      </c>
      <c r="AG842" s="43" t="str">
        <f t="shared" si="112"/>
        <v>REZoning_Sol-Win</v>
      </c>
      <c r="AI842" s="33" t="s">
        <v>1716</v>
      </c>
      <c r="AJ842" s="44" t="s">
        <v>57</v>
      </c>
      <c r="AK842" s="33">
        <v>2050</v>
      </c>
      <c r="AL842" s="45" t="str">
        <f t="shared" si="111"/>
        <v>*0.9</v>
      </c>
      <c r="AM842" s="43" t="str">
        <f t="shared" ref="AM842:AM905" si="113">AM841</f>
        <v>REZoning_Sol-Win</v>
      </c>
      <c r="AP842" t="s">
        <v>1716</v>
      </c>
      <c r="AQ842" t="s">
        <v>57</v>
      </c>
      <c r="AR842">
        <v>2100</v>
      </c>
      <c r="AS842" t="s">
        <v>897</v>
      </c>
      <c r="AT842" t="s">
        <v>58</v>
      </c>
    </row>
    <row r="843" ht="29" spans="1:46">
      <c r="A843" s="31" t="s">
        <v>73</v>
      </c>
      <c r="C843" t="s">
        <v>1717</v>
      </c>
      <c r="D843" s="5" t="s">
        <v>57</v>
      </c>
      <c r="E843">
        <v>2035</v>
      </c>
      <c r="F843" s="6" t="str">
        <f t="shared" si="106"/>
        <v>*0.95</v>
      </c>
      <c r="H843" t="s">
        <v>1717</v>
      </c>
      <c r="I843" s="5" t="s">
        <v>57</v>
      </c>
      <c r="J843">
        <v>2050</v>
      </c>
      <c r="K843" s="38" t="str">
        <f t="shared" si="107"/>
        <v>*0.93</v>
      </c>
      <c r="P843" s="32" t="s">
        <v>1717</v>
      </c>
      <c r="Q843" s="42" t="s">
        <v>57</v>
      </c>
      <c r="R843" s="32">
        <v>2035</v>
      </c>
      <c r="S843" s="43" t="str">
        <f t="shared" si="108"/>
        <v>*0.95</v>
      </c>
      <c r="U843" s="32" t="s">
        <v>1717</v>
      </c>
      <c r="V843" s="42" t="s">
        <v>57</v>
      </c>
      <c r="W843" s="32">
        <v>2050</v>
      </c>
      <c r="X843" s="43" t="str">
        <f t="shared" si="109"/>
        <v>*0.93</v>
      </c>
      <c r="AC843" s="33" t="s">
        <v>1717</v>
      </c>
      <c r="AD843" s="44" t="s">
        <v>57</v>
      </c>
      <c r="AE843" s="33">
        <v>2035</v>
      </c>
      <c r="AF843" s="45" t="str">
        <f t="shared" si="110"/>
        <v>*0.93</v>
      </c>
      <c r="AG843" s="43" t="str">
        <f t="shared" si="112"/>
        <v>REZoning_Sol-Win</v>
      </c>
      <c r="AI843" s="33" t="s">
        <v>1717</v>
      </c>
      <c r="AJ843" s="44" t="s">
        <v>57</v>
      </c>
      <c r="AK843" s="33">
        <v>2050</v>
      </c>
      <c r="AL843" s="45" t="str">
        <f t="shared" si="111"/>
        <v>*0.9</v>
      </c>
      <c r="AM843" s="43" t="str">
        <f t="shared" si="113"/>
        <v>REZoning_Sol-Win</v>
      </c>
      <c r="AP843" t="s">
        <v>1717</v>
      </c>
      <c r="AQ843" t="s">
        <v>57</v>
      </c>
      <c r="AR843">
        <v>2100</v>
      </c>
      <c r="AS843" t="s">
        <v>897</v>
      </c>
      <c r="AT843" t="s">
        <v>58</v>
      </c>
    </row>
    <row r="844" ht="29" spans="1:46">
      <c r="A844" s="31" t="s">
        <v>73</v>
      </c>
      <c r="C844" t="s">
        <v>1718</v>
      </c>
      <c r="D844" s="5" t="s">
        <v>57</v>
      </c>
      <c r="E844">
        <v>2035</v>
      </c>
      <c r="F844" s="6" t="str">
        <f t="shared" si="106"/>
        <v>*0.95</v>
      </c>
      <c r="H844" t="s">
        <v>1718</v>
      </c>
      <c r="I844" s="5" t="s">
        <v>57</v>
      </c>
      <c r="J844">
        <v>2050</v>
      </c>
      <c r="K844" s="38" t="str">
        <f t="shared" si="107"/>
        <v>*0.93</v>
      </c>
      <c r="P844" s="32" t="s">
        <v>1718</v>
      </c>
      <c r="Q844" s="42" t="s">
        <v>57</v>
      </c>
      <c r="R844" s="32">
        <v>2035</v>
      </c>
      <c r="S844" s="43" t="str">
        <f t="shared" si="108"/>
        <v>*0.95</v>
      </c>
      <c r="U844" s="32" t="s">
        <v>1718</v>
      </c>
      <c r="V844" s="42" t="s">
        <v>57</v>
      </c>
      <c r="W844" s="32">
        <v>2050</v>
      </c>
      <c r="X844" s="43" t="str">
        <f t="shared" si="109"/>
        <v>*0.93</v>
      </c>
      <c r="AC844" s="33" t="s">
        <v>1718</v>
      </c>
      <c r="AD844" s="44" t="s">
        <v>57</v>
      </c>
      <c r="AE844" s="33">
        <v>2035</v>
      </c>
      <c r="AF844" s="45" t="str">
        <f t="shared" si="110"/>
        <v>*0.93</v>
      </c>
      <c r="AG844" s="43" t="str">
        <f t="shared" si="112"/>
        <v>REZoning_Sol-Win</v>
      </c>
      <c r="AI844" s="33" t="s">
        <v>1718</v>
      </c>
      <c r="AJ844" s="44" t="s">
        <v>57</v>
      </c>
      <c r="AK844" s="33">
        <v>2050</v>
      </c>
      <c r="AL844" s="45" t="str">
        <f t="shared" si="111"/>
        <v>*0.9</v>
      </c>
      <c r="AM844" s="43" t="str">
        <f t="shared" si="113"/>
        <v>REZoning_Sol-Win</v>
      </c>
      <c r="AP844" t="s">
        <v>1718</v>
      </c>
      <c r="AQ844" t="s">
        <v>57</v>
      </c>
      <c r="AR844">
        <v>2100</v>
      </c>
      <c r="AS844" t="s">
        <v>897</v>
      </c>
      <c r="AT844" t="s">
        <v>58</v>
      </c>
    </row>
    <row r="845" ht="29" spans="1:46">
      <c r="A845" s="31" t="s">
        <v>73</v>
      </c>
      <c r="C845" t="s">
        <v>1719</v>
      </c>
      <c r="D845" s="5" t="s">
        <v>57</v>
      </c>
      <c r="E845">
        <v>2035</v>
      </c>
      <c r="F845" s="6" t="str">
        <f t="shared" si="106"/>
        <v>*0.95</v>
      </c>
      <c r="H845" t="s">
        <v>1719</v>
      </c>
      <c r="I845" s="5" t="s">
        <v>57</v>
      </c>
      <c r="J845">
        <v>2050</v>
      </c>
      <c r="K845" s="38" t="str">
        <f t="shared" si="107"/>
        <v>*0.93</v>
      </c>
      <c r="P845" s="32" t="s">
        <v>1719</v>
      </c>
      <c r="Q845" s="42" t="s">
        <v>57</v>
      </c>
      <c r="R845" s="32">
        <v>2035</v>
      </c>
      <c r="S845" s="43" t="str">
        <f t="shared" si="108"/>
        <v>*0.95</v>
      </c>
      <c r="U845" s="32" t="s">
        <v>1719</v>
      </c>
      <c r="V845" s="42" t="s">
        <v>57</v>
      </c>
      <c r="W845" s="32">
        <v>2050</v>
      </c>
      <c r="X845" s="43" t="str">
        <f t="shared" si="109"/>
        <v>*0.93</v>
      </c>
      <c r="AC845" s="33" t="s">
        <v>1719</v>
      </c>
      <c r="AD845" s="44" t="s">
        <v>57</v>
      </c>
      <c r="AE845" s="33">
        <v>2035</v>
      </c>
      <c r="AF845" s="45" t="str">
        <f t="shared" si="110"/>
        <v>*0.93</v>
      </c>
      <c r="AG845" s="43" t="str">
        <f t="shared" si="112"/>
        <v>REZoning_Sol-Win</v>
      </c>
      <c r="AI845" s="33" t="s">
        <v>1719</v>
      </c>
      <c r="AJ845" s="44" t="s">
        <v>57</v>
      </c>
      <c r="AK845" s="33">
        <v>2050</v>
      </c>
      <c r="AL845" s="45" t="str">
        <f t="shared" si="111"/>
        <v>*0.9</v>
      </c>
      <c r="AM845" s="43" t="str">
        <f t="shared" si="113"/>
        <v>REZoning_Sol-Win</v>
      </c>
      <c r="AP845" t="s">
        <v>1719</v>
      </c>
      <c r="AQ845" t="s">
        <v>57</v>
      </c>
      <c r="AR845">
        <v>2100</v>
      </c>
      <c r="AS845" t="s">
        <v>897</v>
      </c>
      <c r="AT845" t="s">
        <v>58</v>
      </c>
    </row>
    <row r="846" ht="29" spans="1:46">
      <c r="A846" s="31" t="s">
        <v>73</v>
      </c>
      <c r="C846" t="s">
        <v>1720</v>
      </c>
      <c r="D846" s="5" t="s">
        <v>57</v>
      </c>
      <c r="E846">
        <v>2035</v>
      </c>
      <c r="F846" s="6" t="str">
        <f t="shared" si="106"/>
        <v>*0.95</v>
      </c>
      <c r="H846" t="s">
        <v>1720</v>
      </c>
      <c r="I846" s="5" t="s">
        <v>57</v>
      </c>
      <c r="J846">
        <v>2050</v>
      </c>
      <c r="K846" s="38" t="str">
        <f t="shared" si="107"/>
        <v>*0.93</v>
      </c>
      <c r="P846" s="32" t="s">
        <v>1720</v>
      </c>
      <c r="Q846" s="42" t="s">
        <v>57</v>
      </c>
      <c r="R846" s="32">
        <v>2035</v>
      </c>
      <c r="S846" s="43" t="str">
        <f t="shared" si="108"/>
        <v>*0.95</v>
      </c>
      <c r="U846" s="32" t="s">
        <v>1720</v>
      </c>
      <c r="V846" s="42" t="s">
        <v>57</v>
      </c>
      <c r="W846" s="32">
        <v>2050</v>
      </c>
      <c r="X846" s="43" t="str">
        <f t="shared" si="109"/>
        <v>*0.93</v>
      </c>
      <c r="AC846" s="33" t="s">
        <v>1720</v>
      </c>
      <c r="AD846" s="44" t="s">
        <v>57</v>
      </c>
      <c r="AE846" s="33">
        <v>2035</v>
      </c>
      <c r="AF846" s="45" t="str">
        <f t="shared" si="110"/>
        <v>*0.93</v>
      </c>
      <c r="AG846" s="43" t="str">
        <f t="shared" si="112"/>
        <v>REZoning_Sol-Win</v>
      </c>
      <c r="AI846" s="33" t="s">
        <v>1720</v>
      </c>
      <c r="AJ846" s="44" t="s">
        <v>57</v>
      </c>
      <c r="AK846" s="33">
        <v>2050</v>
      </c>
      <c r="AL846" s="45" t="str">
        <f t="shared" si="111"/>
        <v>*0.9</v>
      </c>
      <c r="AM846" s="43" t="str">
        <f t="shared" si="113"/>
        <v>REZoning_Sol-Win</v>
      </c>
      <c r="AP846" t="s">
        <v>1720</v>
      </c>
      <c r="AQ846" t="s">
        <v>57</v>
      </c>
      <c r="AR846">
        <v>2100</v>
      </c>
      <c r="AS846" t="s">
        <v>897</v>
      </c>
      <c r="AT846" t="s">
        <v>58</v>
      </c>
    </row>
    <row r="847" ht="29" spans="1:46">
      <c r="A847" s="31" t="s">
        <v>73</v>
      </c>
      <c r="C847" t="s">
        <v>1721</v>
      </c>
      <c r="D847" s="5" t="s">
        <v>57</v>
      </c>
      <c r="E847">
        <v>2035</v>
      </c>
      <c r="F847" s="6" t="str">
        <f t="shared" si="106"/>
        <v>*0.95</v>
      </c>
      <c r="H847" t="s">
        <v>1721</v>
      </c>
      <c r="I847" s="5" t="s">
        <v>57</v>
      </c>
      <c r="J847">
        <v>2050</v>
      </c>
      <c r="K847" s="38" t="str">
        <f t="shared" si="107"/>
        <v>*0.93</v>
      </c>
      <c r="P847" s="32" t="s">
        <v>1721</v>
      </c>
      <c r="Q847" s="42" t="s">
        <v>57</v>
      </c>
      <c r="R847" s="32">
        <v>2035</v>
      </c>
      <c r="S847" s="43" t="str">
        <f t="shared" si="108"/>
        <v>*0.95</v>
      </c>
      <c r="U847" s="32" t="s">
        <v>1721</v>
      </c>
      <c r="V847" s="42" t="s">
        <v>57</v>
      </c>
      <c r="W847" s="32">
        <v>2050</v>
      </c>
      <c r="X847" s="43" t="str">
        <f t="shared" si="109"/>
        <v>*0.93</v>
      </c>
      <c r="AC847" s="33" t="s">
        <v>1721</v>
      </c>
      <c r="AD847" s="44" t="s">
        <v>57</v>
      </c>
      <c r="AE847" s="33">
        <v>2035</v>
      </c>
      <c r="AF847" s="45" t="str">
        <f t="shared" si="110"/>
        <v>*0.93</v>
      </c>
      <c r="AG847" s="43" t="str">
        <f t="shared" si="112"/>
        <v>REZoning_Sol-Win</v>
      </c>
      <c r="AI847" s="33" t="s">
        <v>1721</v>
      </c>
      <c r="AJ847" s="44" t="s">
        <v>57</v>
      </c>
      <c r="AK847" s="33">
        <v>2050</v>
      </c>
      <c r="AL847" s="45" t="str">
        <f t="shared" si="111"/>
        <v>*0.9</v>
      </c>
      <c r="AM847" s="43" t="str">
        <f t="shared" si="113"/>
        <v>REZoning_Sol-Win</v>
      </c>
      <c r="AP847" t="s">
        <v>1721</v>
      </c>
      <c r="AQ847" t="s">
        <v>57</v>
      </c>
      <c r="AR847">
        <v>2100</v>
      </c>
      <c r="AS847" t="s">
        <v>897</v>
      </c>
      <c r="AT847" t="s">
        <v>58</v>
      </c>
    </row>
    <row r="848" ht="29" spans="1:46">
      <c r="A848" s="31" t="s">
        <v>73</v>
      </c>
      <c r="C848" t="s">
        <v>1722</v>
      </c>
      <c r="D848" s="5" t="s">
        <v>57</v>
      </c>
      <c r="E848">
        <v>2035</v>
      </c>
      <c r="F848" s="6" t="str">
        <f t="shared" si="106"/>
        <v>*0.95</v>
      </c>
      <c r="H848" t="s">
        <v>1722</v>
      </c>
      <c r="I848" s="5" t="s">
        <v>57</v>
      </c>
      <c r="J848">
        <v>2050</v>
      </c>
      <c r="K848" s="38" t="str">
        <f t="shared" si="107"/>
        <v>*0.93</v>
      </c>
      <c r="P848" s="32" t="s">
        <v>1722</v>
      </c>
      <c r="Q848" s="42" t="s">
        <v>57</v>
      </c>
      <c r="R848" s="32">
        <v>2035</v>
      </c>
      <c r="S848" s="43" t="str">
        <f t="shared" si="108"/>
        <v>*0.95</v>
      </c>
      <c r="U848" s="32" t="s">
        <v>1722</v>
      </c>
      <c r="V848" s="42" t="s">
        <v>57</v>
      </c>
      <c r="W848" s="32">
        <v>2050</v>
      </c>
      <c r="X848" s="43" t="str">
        <f t="shared" si="109"/>
        <v>*0.93</v>
      </c>
      <c r="AC848" s="33" t="s">
        <v>1722</v>
      </c>
      <c r="AD848" s="44" t="s">
        <v>57</v>
      </c>
      <c r="AE848" s="33">
        <v>2035</v>
      </c>
      <c r="AF848" s="45" t="str">
        <f t="shared" si="110"/>
        <v>*0.93</v>
      </c>
      <c r="AG848" s="43" t="str">
        <f t="shared" si="112"/>
        <v>REZoning_Sol-Win</v>
      </c>
      <c r="AI848" s="33" t="s">
        <v>1722</v>
      </c>
      <c r="AJ848" s="44" t="s">
        <v>57</v>
      </c>
      <c r="AK848" s="33">
        <v>2050</v>
      </c>
      <c r="AL848" s="45" t="str">
        <f t="shared" si="111"/>
        <v>*0.9</v>
      </c>
      <c r="AM848" s="43" t="str">
        <f t="shared" si="113"/>
        <v>REZoning_Sol-Win</v>
      </c>
      <c r="AP848" t="s">
        <v>1722</v>
      </c>
      <c r="AQ848" t="s">
        <v>57</v>
      </c>
      <c r="AR848">
        <v>2100</v>
      </c>
      <c r="AS848" t="s">
        <v>897</v>
      </c>
      <c r="AT848" t="s">
        <v>58</v>
      </c>
    </row>
    <row r="849" ht="29" spans="1:46">
      <c r="A849" s="31" t="s">
        <v>73</v>
      </c>
      <c r="C849" t="s">
        <v>1723</v>
      </c>
      <c r="D849" s="5" t="s">
        <v>57</v>
      </c>
      <c r="E849">
        <v>2035</v>
      </c>
      <c r="F849" s="6" t="str">
        <f t="shared" si="106"/>
        <v>*0.95</v>
      </c>
      <c r="H849" t="s">
        <v>1723</v>
      </c>
      <c r="I849" s="5" t="s">
        <v>57</v>
      </c>
      <c r="J849">
        <v>2050</v>
      </c>
      <c r="K849" s="38" t="str">
        <f t="shared" si="107"/>
        <v>*0.93</v>
      </c>
      <c r="P849" s="32" t="s">
        <v>1723</v>
      </c>
      <c r="Q849" s="42" t="s">
        <v>57</v>
      </c>
      <c r="R849" s="32">
        <v>2035</v>
      </c>
      <c r="S849" s="43" t="str">
        <f t="shared" si="108"/>
        <v>*0.95</v>
      </c>
      <c r="U849" s="32" t="s">
        <v>1723</v>
      </c>
      <c r="V849" s="42" t="s">
        <v>57</v>
      </c>
      <c r="W849" s="32">
        <v>2050</v>
      </c>
      <c r="X849" s="43" t="str">
        <f t="shared" si="109"/>
        <v>*0.93</v>
      </c>
      <c r="AC849" s="33" t="s">
        <v>1723</v>
      </c>
      <c r="AD849" s="44" t="s">
        <v>57</v>
      </c>
      <c r="AE849" s="33">
        <v>2035</v>
      </c>
      <c r="AF849" s="45" t="str">
        <f t="shared" si="110"/>
        <v>*0.93</v>
      </c>
      <c r="AG849" s="43" t="str">
        <f t="shared" si="112"/>
        <v>REZoning_Sol-Win</v>
      </c>
      <c r="AI849" s="33" t="s">
        <v>1723</v>
      </c>
      <c r="AJ849" s="44" t="s">
        <v>57</v>
      </c>
      <c r="AK849" s="33">
        <v>2050</v>
      </c>
      <c r="AL849" s="45" t="str">
        <f t="shared" si="111"/>
        <v>*0.9</v>
      </c>
      <c r="AM849" s="43" t="str">
        <f t="shared" si="113"/>
        <v>REZoning_Sol-Win</v>
      </c>
      <c r="AP849" t="s">
        <v>1723</v>
      </c>
      <c r="AQ849" t="s">
        <v>57</v>
      </c>
      <c r="AR849">
        <v>2100</v>
      </c>
      <c r="AS849" t="s">
        <v>897</v>
      </c>
      <c r="AT849" t="s">
        <v>58</v>
      </c>
    </row>
    <row r="850" ht="29" spans="1:46">
      <c r="A850" s="31" t="s">
        <v>73</v>
      </c>
      <c r="C850" t="s">
        <v>1724</v>
      </c>
      <c r="D850" s="5" t="s">
        <v>57</v>
      </c>
      <c r="E850">
        <v>2035</v>
      </c>
      <c r="F850" s="6" t="str">
        <f t="shared" si="106"/>
        <v>*0.95</v>
      </c>
      <c r="H850" t="s">
        <v>1724</v>
      </c>
      <c r="I850" s="5" t="s">
        <v>57</v>
      </c>
      <c r="J850">
        <v>2050</v>
      </c>
      <c r="K850" s="38" t="str">
        <f t="shared" si="107"/>
        <v>*0.93</v>
      </c>
      <c r="P850" s="32" t="s">
        <v>1724</v>
      </c>
      <c r="Q850" s="42" t="s">
        <v>57</v>
      </c>
      <c r="R850" s="32">
        <v>2035</v>
      </c>
      <c r="S850" s="43" t="str">
        <f t="shared" si="108"/>
        <v>*0.95</v>
      </c>
      <c r="U850" s="32" t="s">
        <v>1724</v>
      </c>
      <c r="V850" s="42" t="s">
        <v>57</v>
      </c>
      <c r="W850" s="32">
        <v>2050</v>
      </c>
      <c r="X850" s="43" t="str">
        <f t="shared" si="109"/>
        <v>*0.93</v>
      </c>
      <c r="AC850" s="33" t="s">
        <v>1724</v>
      </c>
      <c r="AD850" s="44" t="s">
        <v>57</v>
      </c>
      <c r="AE850" s="33">
        <v>2035</v>
      </c>
      <c r="AF850" s="45" t="str">
        <f t="shared" si="110"/>
        <v>*0.93</v>
      </c>
      <c r="AG850" s="43" t="str">
        <f t="shared" si="112"/>
        <v>REZoning_Sol-Win</v>
      </c>
      <c r="AI850" s="33" t="s">
        <v>1724</v>
      </c>
      <c r="AJ850" s="44" t="s">
        <v>57</v>
      </c>
      <c r="AK850" s="33">
        <v>2050</v>
      </c>
      <c r="AL850" s="45" t="str">
        <f t="shared" si="111"/>
        <v>*0.9</v>
      </c>
      <c r="AM850" s="43" t="str">
        <f t="shared" si="113"/>
        <v>REZoning_Sol-Win</v>
      </c>
      <c r="AP850" t="s">
        <v>1724</v>
      </c>
      <c r="AQ850" t="s">
        <v>57</v>
      </c>
      <c r="AR850">
        <v>2100</v>
      </c>
      <c r="AS850" t="s">
        <v>897</v>
      </c>
      <c r="AT850" t="s">
        <v>58</v>
      </c>
    </row>
    <row r="851" ht="29" spans="1:46">
      <c r="A851" s="31" t="s">
        <v>95</v>
      </c>
      <c r="C851" t="s">
        <v>1725</v>
      </c>
      <c r="D851" s="5" t="s">
        <v>57</v>
      </c>
      <c r="E851">
        <v>2035</v>
      </c>
      <c r="F851" s="6" t="str">
        <f t="shared" si="106"/>
        <v>*0.95</v>
      </c>
      <c r="H851" t="s">
        <v>1725</v>
      </c>
      <c r="I851" s="5" t="s">
        <v>57</v>
      </c>
      <c r="J851">
        <v>2050</v>
      </c>
      <c r="K851" s="38" t="str">
        <f t="shared" si="107"/>
        <v>*0.93</v>
      </c>
      <c r="P851" s="32" t="s">
        <v>1725</v>
      </c>
      <c r="Q851" s="42" t="s">
        <v>57</v>
      </c>
      <c r="R851" s="32">
        <v>2035</v>
      </c>
      <c r="S851" s="43" t="str">
        <f t="shared" si="108"/>
        <v>*0.95</v>
      </c>
      <c r="U851" s="32" t="s">
        <v>1725</v>
      </c>
      <c r="V851" s="42" t="s">
        <v>57</v>
      </c>
      <c r="W851" s="32">
        <v>2050</v>
      </c>
      <c r="X851" s="43" t="str">
        <f t="shared" si="109"/>
        <v>*0.91</v>
      </c>
      <c r="AC851" s="33" t="s">
        <v>1725</v>
      </c>
      <c r="AD851" s="44" t="s">
        <v>57</v>
      </c>
      <c r="AE851" s="33">
        <v>2035</v>
      </c>
      <c r="AF851" s="45" t="str">
        <f t="shared" si="110"/>
        <v>*0.91</v>
      </c>
      <c r="AG851" s="43" t="str">
        <f t="shared" si="112"/>
        <v>REZoning_Sol-Win</v>
      </c>
      <c r="AI851" s="33" t="s">
        <v>1725</v>
      </c>
      <c r="AJ851" s="44" t="s">
        <v>57</v>
      </c>
      <c r="AK851" s="33">
        <v>2050</v>
      </c>
      <c r="AL851" s="45" t="str">
        <f t="shared" si="111"/>
        <v>*0.86</v>
      </c>
      <c r="AM851" s="43" t="str">
        <f t="shared" si="113"/>
        <v>REZoning_Sol-Win</v>
      </c>
      <c r="AP851" t="s">
        <v>1725</v>
      </c>
      <c r="AQ851" t="s">
        <v>57</v>
      </c>
      <c r="AR851">
        <v>2100</v>
      </c>
      <c r="AS851" t="s">
        <v>883</v>
      </c>
      <c r="AT851" t="s">
        <v>58</v>
      </c>
    </row>
    <row r="852" ht="29" spans="1:46">
      <c r="A852" s="31" t="s">
        <v>95</v>
      </c>
      <c r="C852" t="s">
        <v>1726</v>
      </c>
      <c r="D852" s="5" t="s">
        <v>57</v>
      </c>
      <c r="E852">
        <v>2035</v>
      </c>
      <c r="F852" s="6" t="str">
        <f t="shared" si="106"/>
        <v>*0.95</v>
      </c>
      <c r="H852" t="s">
        <v>1726</v>
      </c>
      <c r="I852" s="5" t="s">
        <v>57</v>
      </c>
      <c r="J852">
        <v>2050</v>
      </c>
      <c r="K852" s="38" t="str">
        <f t="shared" si="107"/>
        <v>*0.93</v>
      </c>
      <c r="P852" s="32" t="s">
        <v>1726</v>
      </c>
      <c r="Q852" s="42" t="s">
        <v>57</v>
      </c>
      <c r="R852" s="32">
        <v>2035</v>
      </c>
      <c r="S852" s="43" t="str">
        <f t="shared" si="108"/>
        <v>*0.95</v>
      </c>
      <c r="U852" s="32" t="s">
        <v>1726</v>
      </c>
      <c r="V852" s="42" t="s">
        <v>57</v>
      </c>
      <c r="W852" s="32">
        <v>2050</v>
      </c>
      <c r="X852" s="43" t="str">
        <f t="shared" si="109"/>
        <v>*0.91</v>
      </c>
      <c r="AC852" s="33" t="s">
        <v>1726</v>
      </c>
      <c r="AD852" s="44" t="s">
        <v>57</v>
      </c>
      <c r="AE852" s="33">
        <v>2035</v>
      </c>
      <c r="AF852" s="45" t="str">
        <f t="shared" si="110"/>
        <v>*0.91</v>
      </c>
      <c r="AG852" s="43" t="str">
        <f t="shared" si="112"/>
        <v>REZoning_Sol-Win</v>
      </c>
      <c r="AI852" s="33" t="s">
        <v>1726</v>
      </c>
      <c r="AJ852" s="44" t="s">
        <v>57</v>
      </c>
      <c r="AK852" s="33">
        <v>2050</v>
      </c>
      <c r="AL852" s="45" t="str">
        <f t="shared" si="111"/>
        <v>*0.86</v>
      </c>
      <c r="AM852" s="43" t="str">
        <f t="shared" si="113"/>
        <v>REZoning_Sol-Win</v>
      </c>
      <c r="AP852" t="s">
        <v>1726</v>
      </c>
      <c r="AQ852" t="s">
        <v>57</v>
      </c>
      <c r="AR852">
        <v>2100</v>
      </c>
      <c r="AS852" t="s">
        <v>883</v>
      </c>
      <c r="AT852" t="s">
        <v>58</v>
      </c>
    </row>
    <row r="853" ht="29" spans="1:46">
      <c r="A853" s="31" t="s">
        <v>95</v>
      </c>
      <c r="C853" t="s">
        <v>1727</v>
      </c>
      <c r="D853" s="5" t="s">
        <v>57</v>
      </c>
      <c r="E853">
        <v>2035</v>
      </c>
      <c r="F853" s="6" t="str">
        <f t="shared" si="106"/>
        <v>*0.95</v>
      </c>
      <c r="H853" t="s">
        <v>1727</v>
      </c>
      <c r="I853" s="5" t="s">
        <v>57</v>
      </c>
      <c r="J853">
        <v>2050</v>
      </c>
      <c r="K853" s="38" t="str">
        <f t="shared" si="107"/>
        <v>*0.93</v>
      </c>
      <c r="P853" s="32" t="s">
        <v>1727</v>
      </c>
      <c r="Q853" s="42" t="s">
        <v>57</v>
      </c>
      <c r="R853" s="32">
        <v>2035</v>
      </c>
      <c r="S853" s="43" t="str">
        <f t="shared" si="108"/>
        <v>*0.95</v>
      </c>
      <c r="U853" s="32" t="s">
        <v>1727</v>
      </c>
      <c r="V853" s="42" t="s">
        <v>57</v>
      </c>
      <c r="W853" s="32">
        <v>2050</v>
      </c>
      <c r="X853" s="43" t="str">
        <f t="shared" si="109"/>
        <v>*0.91</v>
      </c>
      <c r="AC853" s="33" t="s">
        <v>1727</v>
      </c>
      <c r="AD853" s="44" t="s">
        <v>57</v>
      </c>
      <c r="AE853" s="33">
        <v>2035</v>
      </c>
      <c r="AF853" s="45" t="str">
        <f t="shared" si="110"/>
        <v>*0.91</v>
      </c>
      <c r="AG853" s="43" t="str">
        <f t="shared" si="112"/>
        <v>REZoning_Sol-Win</v>
      </c>
      <c r="AI853" s="33" t="s">
        <v>1727</v>
      </c>
      <c r="AJ853" s="44" t="s">
        <v>57</v>
      </c>
      <c r="AK853" s="33">
        <v>2050</v>
      </c>
      <c r="AL853" s="45" t="str">
        <f t="shared" si="111"/>
        <v>*0.86</v>
      </c>
      <c r="AM853" s="43" t="str">
        <f t="shared" si="113"/>
        <v>REZoning_Sol-Win</v>
      </c>
      <c r="AP853" t="s">
        <v>1727</v>
      </c>
      <c r="AQ853" t="s">
        <v>57</v>
      </c>
      <c r="AR853">
        <v>2100</v>
      </c>
      <c r="AS853" t="s">
        <v>883</v>
      </c>
      <c r="AT853" t="s">
        <v>58</v>
      </c>
    </row>
    <row r="854" ht="29" spans="1:46">
      <c r="A854" s="31" t="s">
        <v>95</v>
      </c>
      <c r="C854" t="s">
        <v>1728</v>
      </c>
      <c r="D854" s="5" t="s">
        <v>57</v>
      </c>
      <c r="E854">
        <v>2035</v>
      </c>
      <c r="F854" s="6" t="str">
        <f t="shared" si="106"/>
        <v>*0.95</v>
      </c>
      <c r="H854" t="s">
        <v>1728</v>
      </c>
      <c r="I854" s="5" t="s">
        <v>57</v>
      </c>
      <c r="J854">
        <v>2050</v>
      </c>
      <c r="K854" s="38" t="str">
        <f t="shared" si="107"/>
        <v>*0.93</v>
      </c>
      <c r="P854" s="32" t="s">
        <v>1728</v>
      </c>
      <c r="Q854" s="42" t="s">
        <v>57</v>
      </c>
      <c r="R854" s="32">
        <v>2035</v>
      </c>
      <c r="S854" s="43" t="str">
        <f t="shared" si="108"/>
        <v>*0.95</v>
      </c>
      <c r="U854" s="32" t="s">
        <v>1728</v>
      </c>
      <c r="V854" s="42" t="s">
        <v>57</v>
      </c>
      <c r="W854" s="32">
        <v>2050</v>
      </c>
      <c r="X854" s="43" t="str">
        <f t="shared" si="109"/>
        <v>*0.91</v>
      </c>
      <c r="AC854" s="33" t="s">
        <v>1728</v>
      </c>
      <c r="AD854" s="44" t="s">
        <v>57</v>
      </c>
      <c r="AE854" s="33">
        <v>2035</v>
      </c>
      <c r="AF854" s="45" t="str">
        <f t="shared" si="110"/>
        <v>*0.91</v>
      </c>
      <c r="AG854" s="43" t="str">
        <f t="shared" si="112"/>
        <v>REZoning_Sol-Win</v>
      </c>
      <c r="AI854" s="33" t="s">
        <v>1728</v>
      </c>
      <c r="AJ854" s="44" t="s">
        <v>57</v>
      </c>
      <c r="AK854" s="33">
        <v>2050</v>
      </c>
      <c r="AL854" s="45" t="str">
        <f t="shared" si="111"/>
        <v>*0.86</v>
      </c>
      <c r="AM854" s="43" t="str">
        <f t="shared" si="113"/>
        <v>REZoning_Sol-Win</v>
      </c>
      <c r="AP854" t="s">
        <v>1728</v>
      </c>
      <c r="AQ854" t="s">
        <v>57</v>
      </c>
      <c r="AR854">
        <v>2100</v>
      </c>
      <c r="AS854" t="s">
        <v>883</v>
      </c>
      <c r="AT854" t="s">
        <v>58</v>
      </c>
    </row>
    <row r="855" ht="29" spans="1:46">
      <c r="A855" s="31" t="s">
        <v>95</v>
      </c>
      <c r="C855" t="s">
        <v>1729</v>
      </c>
      <c r="D855" s="5" t="s">
        <v>57</v>
      </c>
      <c r="E855">
        <v>2035</v>
      </c>
      <c r="F855" s="6" t="str">
        <f t="shared" si="106"/>
        <v>*0.95</v>
      </c>
      <c r="H855" t="s">
        <v>1729</v>
      </c>
      <c r="I855" s="5" t="s">
        <v>57</v>
      </c>
      <c r="J855">
        <v>2050</v>
      </c>
      <c r="K855" s="38" t="str">
        <f t="shared" si="107"/>
        <v>*0.93</v>
      </c>
      <c r="P855" s="32" t="s">
        <v>1729</v>
      </c>
      <c r="Q855" s="42" t="s">
        <v>57</v>
      </c>
      <c r="R855" s="32">
        <v>2035</v>
      </c>
      <c r="S855" s="43" t="str">
        <f t="shared" si="108"/>
        <v>*0.95</v>
      </c>
      <c r="U855" s="32" t="s">
        <v>1729</v>
      </c>
      <c r="V855" s="42" t="s">
        <v>57</v>
      </c>
      <c r="W855" s="32">
        <v>2050</v>
      </c>
      <c r="X855" s="43" t="str">
        <f t="shared" si="109"/>
        <v>*0.91</v>
      </c>
      <c r="AC855" s="33" t="s">
        <v>1729</v>
      </c>
      <c r="AD855" s="44" t="s">
        <v>57</v>
      </c>
      <c r="AE855" s="33">
        <v>2035</v>
      </c>
      <c r="AF855" s="45" t="str">
        <f t="shared" si="110"/>
        <v>*0.91</v>
      </c>
      <c r="AG855" s="43" t="str">
        <f t="shared" si="112"/>
        <v>REZoning_Sol-Win</v>
      </c>
      <c r="AI855" s="33" t="s">
        <v>1729</v>
      </c>
      <c r="AJ855" s="44" t="s">
        <v>57</v>
      </c>
      <c r="AK855" s="33">
        <v>2050</v>
      </c>
      <c r="AL855" s="45" t="str">
        <f t="shared" si="111"/>
        <v>*0.86</v>
      </c>
      <c r="AM855" s="43" t="str">
        <f t="shared" si="113"/>
        <v>REZoning_Sol-Win</v>
      </c>
      <c r="AP855" t="s">
        <v>1729</v>
      </c>
      <c r="AQ855" t="s">
        <v>57</v>
      </c>
      <c r="AR855">
        <v>2100</v>
      </c>
      <c r="AS855" t="s">
        <v>883</v>
      </c>
      <c r="AT855" t="s">
        <v>58</v>
      </c>
    </row>
    <row r="856" ht="29" spans="1:46">
      <c r="A856" s="31" t="s">
        <v>95</v>
      </c>
      <c r="C856" t="s">
        <v>1730</v>
      </c>
      <c r="D856" s="5" t="s">
        <v>57</v>
      </c>
      <c r="E856">
        <v>2035</v>
      </c>
      <c r="F856" s="6" t="str">
        <f t="shared" si="106"/>
        <v>*0.95</v>
      </c>
      <c r="H856" t="s">
        <v>1730</v>
      </c>
      <c r="I856" s="5" t="s">
        <v>57</v>
      </c>
      <c r="J856">
        <v>2050</v>
      </c>
      <c r="K856" s="38" t="str">
        <f t="shared" si="107"/>
        <v>*0.93</v>
      </c>
      <c r="P856" s="32" t="s">
        <v>1730</v>
      </c>
      <c r="Q856" s="42" t="s">
        <v>57</v>
      </c>
      <c r="R856" s="32">
        <v>2035</v>
      </c>
      <c r="S856" s="43" t="str">
        <f t="shared" si="108"/>
        <v>*0.95</v>
      </c>
      <c r="U856" s="32" t="s">
        <v>1730</v>
      </c>
      <c r="V856" s="42" t="s">
        <v>57</v>
      </c>
      <c r="W856" s="32">
        <v>2050</v>
      </c>
      <c r="X856" s="43" t="str">
        <f t="shared" si="109"/>
        <v>*0.91</v>
      </c>
      <c r="AC856" s="33" t="s">
        <v>1730</v>
      </c>
      <c r="AD856" s="44" t="s">
        <v>57</v>
      </c>
      <c r="AE856" s="33">
        <v>2035</v>
      </c>
      <c r="AF856" s="45" t="str">
        <f t="shared" si="110"/>
        <v>*0.91</v>
      </c>
      <c r="AG856" s="43" t="str">
        <f t="shared" si="112"/>
        <v>REZoning_Sol-Win</v>
      </c>
      <c r="AI856" s="33" t="s">
        <v>1730</v>
      </c>
      <c r="AJ856" s="44" t="s">
        <v>57</v>
      </c>
      <c r="AK856" s="33">
        <v>2050</v>
      </c>
      <c r="AL856" s="45" t="str">
        <f t="shared" si="111"/>
        <v>*0.86</v>
      </c>
      <c r="AM856" s="43" t="str">
        <f t="shared" si="113"/>
        <v>REZoning_Sol-Win</v>
      </c>
      <c r="AP856" t="s">
        <v>1730</v>
      </c>
      <c r="AQ856" t="s">
        <v>57</v>
      </c>
      <c r="AR856">
        <v>2100</v>
      </c>
      <c r="AS856" t="s">
        <v>883</v>
      </c>
      <c r="AT856" t="s">
        <v>58</v>
      </c>
    </row>
    <row r="857" ht="29" spans="1:46">
      <c r="A857" s="31" t="s">
        <v>95</v>
      </c>
      <c r="C857" t="s">
        <v>1731</v>
      </c>
      <c r="D857" s="5" t="s">
        <v>57</v>
      </c>
      <c r="E857">
        <v>2035</v>
      </c>
      <c r="F857" s="6" t="str">
        <f t="shared" si="106"/>
        <v>*0.95</v>
      </c>
      <c r="H857" t="s">
        <v>1731</v>
      </c>
      <c r="I857" s="5" t="s">
        <v>57</v>
      </c>
      <c r="J857">
        <v>2050</v>
      </c>
      <c r="K857" s="38" t="str">
        <f t="shared" si="107"/>
        <v>*0.93</v>
      </c>
      <c r="P857" s="32" t="s">
        <v>1731</v>
      </c>
      <c r="Q857" s="42" t="s">
        <v>57</v>
      </c>
      <c r="R857" s="32">
        <v>2035</v>
      </c>
      <c r="S857" s="43" t="str">
        <f t="shared" si="108"/>
        <v>*0.95</v>
      </c>
      <c r="U857" s="32" t="s">
        <v>1731</v>
      </c>
      <c r="V857" s="42" t="s">
        <v>57</v>
      </c>
      <c r="W857" s="32">
        <v>2050</v>
      </c>
      <c r="X857" s="43" t="str">
        <f t="shared" si="109"/>
        <v>*0.91</v>
      </c>
      <c r="AC857" s="33" t="s">
        <v>1731</v>
      </c>
      <c r="AD857" s="44" t="s">
        <v>57</v>
      </c>
      <c r="AE857" s="33">
        <v>2035</v>
      </c>
      <c r="AF857" s="45" t="str">
        <f t="shared" si="110"/>
        <v>*0.91</v>
      </c>
      <c r="AG857" s="43" t="str">
        <f t="shared" si="112"/>
        <v>REZoning_Sol-Win</v>
      </c>
      <c r="AI857" s="33" t="s">
        <v>1731</v>
      </c>
      <c r="AJ857" s="44" t="s">
        <v>57</v>
      </c>
      <c r="AK857" s="33">
        <v>2050</v>
      </c>
      <c r="AL857" s="45" t="str">
        <f t="shared" si="111"/>
        <v>*0.86</v>
      </c>
      <c r="AM857" s="43" t="str">
        <f t="shared" si="113"/>
        <v>REZoning_Sol-Win</v>
      </c>
      <c r="AP857" t="s">
        <v>1731</v>
      </c>
      <c r="AQ857" t="s">
        <v>57</v>
      </c>
      <c r="AR857">
        <v>2100</v>
      </c>
      <c r="AS857" t="s">
        <v>883</v>
      </c>
      <c r="AT857" t="s">
        <v>58</v>
      </c>
    </row>
    <row r="858" ht="29" spans="1:46">
      <c r="A858" s="31" t="s">
        <v>95</v>
      </c>
      <c r="C858" t="s">
        <v>1732</v>
      </c>
      <c r="D858" s="5" t="s">
        <v>57</v>
      </c>
      <c r="E858">
        <v>2035</v>
      </c>
      <c r="F858" s="6" t="str">
        <f t="shared" si="106"/>
        <v>*0.95</v>
      </c>
      <c r="H858" t="s">
        <v>1732</v>
      </c>
      <c r="I858" s="5" t="s">
        <v>57</v>
      </c>
      <c r="J858">
        <v>2050</v>
      </c>
      <c r="K858" s="38" t="str">
        <f t="shared" si="107"/>
        <v>*0.93</v>
      </c>
      <c r="P858" s="32" t="s">
        <v>1732</v>
      </c>
      <c r="Q858" s="42" t="s">
        <v>57</v>
      </c>
      <c r="R858" s="32">
        <v>2035</v>
      </c>
      <c r="S858" s="43" t="str">
        <f t="shared" si="108"/>
        <v>*0.95</v>
      </c>
      <c r="U858" s="32" t="s">
        <v>1732</v>
      </c>
      <c r="V858" s="42" t="s">
        <v>57</v>
      </c>
      <c r="W858" s="32">
        <v>2050</v>
      </c>
      <c r="X858" s="43" t="str">
        <f t="shared" si="109"/>
        <v>*0.91</v>
      </c>
      <c r="AC858" s="33" t="s">
        <v>1732</v>
      </c>
      <c r="AD858" s="44" t="s">
        <v>57</v>
      </c>
      <c r="AE858" s="33">
        <v>2035</v>
      </c>
      <c r="AF858" s="45" t="str">
        <f t="shared" si="110"/>
        <v>*0.91</v>
      </c>
      <c r="AG858" s="43" t="str">
        <f t="shared" si="112"/>
        <v>REZoning_Sol-Win</v>
      </c>
      <c r="AI858" s="33" t="s">
        <v>1732</v>
      </c>
      <c r="AJ858" s="44" t="s">
        <v>57</v>
      </c>
      <c r="AK858" s="33">
        <v>2050</v>
      </c>
      <c r="AL858" s="45" t="str">
        <f t="shared" si="111"/>
        <v>*0.86</v>
      </c>
      <c r="AM858" s="43" t="str">
        <f t="shared" si="113"/>
        <v>REZoning_Sol-Win</v>
      </c>
      <c r="AP858" t="s">
        <v>1732</v>
      </c>
      <c r="AQ858" t="s">
        <v>57</v>
      </c>
      <c r="AR858">
        <v>2100</v>
      </c>
      <c r="AS858" t="s">
        <v>883</v>
      </c>
      <c r="AT858" t="s">
        <v>58</v>
      </c>
    </row>
    <row r="859" ht="29" spans="1:46">
      <c r="A859" s="31" t="s">
        <v>95</v>
      </c>
      <c r="C859" t="s">
        <v>1733</v>
      </c>
      <c r="D859" s="5" t="s">
        <v>57</v>
      </c>
      <c r="E859">
        <v>2035</v>
      </c>
      <c r="F859" s="6" t="str">
        <f t="shared" si="106"/>
        <v>*0.95</v>
      </c>
      <c r="H859" t="s">
        <v>1733</v>
      </c>
      <c r="I859" s="5" t="s">
        <v>57</v>
      </c>
      <c r="J859">
        <v>2050</v>
      </c>
      <c r="K859" s="38" t="str">
        <f t="shared" si="107"/>
        <v>*0.93</v>
      </c>
      <c r="P859" s="32" t="s">
        <v>1733</v>
      </c>
      <c r="Q859" s="42" t="s">
        <v>57</v>
      </c>
      <c r="R859" s="32">
        <v>2035</v>
      </c>
      <c r="S859" s="43" t="str">
        <f t="shared" si="108"/>
        <v>*0.95</v>
      </c>
      <c r="U859" s="32" t="s">
        <v>1733</v>
      </c>
      <c r="V859" s="42" t="s">
        <v>57</v>
      </c>
      <c r="W859" s="32">
        <v>2050</v>
      </c>
      <c r="X859" s="43" t="str">
        <f t="shared" si="109"/>
        <v>*0.91</v>
      </c>
      <c r="AC859" s="33" t="s">
        <v>1733</v>
      </c>
      <c r="AD859" s="44" t="s">
        <v>57</v>
      </c>
      <c r="AE859" s="33">
        <v>2035</v>
      </c>
      <c r="AF859" s="45" t="str">
        <f t="shared" si="110"/>
        <v>*0.91</v>
      </c>
      <c r="AG859" s="43" t="str">
        <f t="shared" si="112"/>
        <v>REZoning_Sol-Win</v>
      </c>
      <c r="AI859" s="33" t="s">
        <v>1733</v>
      </c>
      <c r="AJ859" s="44" t="s">
        <v>57</v>
      </c>
      <c r="AK859" s="33">
        <v>2050</v>
      </c>
      <c r="AL859" s="45" t="str">
        <f t="shared" si="111"/>
        <v>*0.86</v>
      </c>
      <c r="AM859" s="43" t="str">
        <f t="shared" si="113"/>
        <v>REZoning_Sol-Win</v>
      </c>
      <c r="AP859" t="s">
        <v>1733</v>
      </c>
      <c r="AQ859" t="s">
        <v>57</v>
      </c>
      <c r="AR859">
        <v>2100</v>
      </c>
      <c r="AS859" t="s">
        <v>883</v>
      </c>
      <c r="AT859" t="s">
        <v>58</v>
      </c>
    </row>
    <row r="860" ht="29" spans="1:46">
      <c r="A860" s="31" t="s">
        <v>95</v>
      </c>
      <c r="C860" t="s">
        <v>1734</v>
      </c>
      <c r="D860" s="5" t="s">
        <v>57</v>
      </c>
      <c r="E860">
        <v>2035</v>
      </c>
      <c r="F860" s="6" t="str">
        <f t="shared" si="106"/>
        <v>*0.95</v>
      </c>
      <c r="H860" t="s">
        <v>1734</v>
      </c>
      <c r="I860" s="5" t="s">
        <v>57</v>
      </c>
      <c r="J860">
        <v>2050</v>
      </c>
      <c r="K860" s="38" t="str">
        <f t="shared" si="107"/>
        <v>*0.93</v>
      </c>
      <c r="P860" s="32" t="s">
        <v>1734</v>
      </c>
      <c r="Q860" s="42" t="s">
        <v>57</v>
      </c>
      <c r="R860" s="32">
        <v>2035</v>
      </c>
      <c r="S860" s="43" t="str">
        <f t="shared" si="108"/>
        <v>*0.95</v>
      </c>
      <c r="U860" s="32" t="s">
        <v>1734</v>
      </c>
      <c r="V860" s="42" t="s">
        <v>57</v>
      </c>
      <c r="W860" s="32">
        <v>2050</v>
      </c>
      <c r="X860" s="43" t="str">
        <f t="shared" si="109"/>
        <v>*0.91</v>
      </c>
      <c r="AC860" s="33" t="s">
        <v>1734</v>
      </c>
      <c r="AD860" s="44" t="s">
        <v>57</v>
      </c>
      <c r="AE860" s="33">
        <v>2035</v>
      </c>
      <c r="AF860" s="45" t="str">
        <f t="shared" si="110"/>
        <v>*0.91</v>
      </c>
      <c r="AG860" s="43" t="str">
        <f t="shared" si="112"/>
        <v>REZoning_Sol-Win</v>
      </c>
      <c r="AI860" s="33" t="s">
        <v>1734</v>
      </c>
      <c r="AJ860" s="44" t="s">
        <v>57</v>
      </c>
      <c r="AK860" s="33">
        <v>2050</v>
      </c>
      <c r="AL860" s="45" t="str">
        <f t="shared" si="111"/>
        <v>*0.86</v>
      </c>
      <c r="AM860" s="43" t="str">
        <f t="shared" si="113"/>
        <v>REZoning_Sol-Win</v>
      </c>
      <c r="AP860" t="s">
        <v>1734</v>
      </c>
      <c r="AQ860" t="s">
        <v>57</v>
      </c>
      <c r="AR860">
        <v>2100</v>
      </c>
      <c r="AS860" t="s">
        <v>883</v>
      </c>
      <c r="AT860" t="s">
        <v>58</v>
      </c>
    </row>
    <row r="861" ht="29" spans="1:46">
      <c r="A861" s="31" t="s">
        <v>95</v>
      </c>
      <c r="C861" t="s">
        <v>1735</v>
      </c>
      <c r="D861" s="5" t="s">
        <v>57</v>
      </c>
      <c r="E861">
        <v>2035</v>
      </c>
      <c r="F861" s="6" t="str">
        <f t="shared" si="106"/>
        <v>*0.95</v>
      </c>
      <c r="H861" t="s">
        <v>1735</v>
      </c>
      <c r="I861" s="5" t="s">
        <v>57</v>
      </c>
      <c r="J861">
        <v>2050</v>
      </c>
      <c r="K861" s="38" t="str">
        <f t="shared" si="107"/>
        <v>*0.93</v>
      </c>
      <c r="P861" s="32" t="s">
        <v>1735</v>
      </c>
      <c r="Q861" s="42" t="s">
        <v>57</v>
      </c>
      <c r="R861" s="32">
        <v>2035</v>
      </c>
      <c r="S861" s="43" t="str">
        <f t="shared" si="108"/>
        <v>*0.95</v>
      </c>
      <c r="U861" s="32" t="s">
        <v>1735</v>
      </c>
      <c r="V861" s="42" t="s">
        <v>57</v>
      </c>
      <c r="W861" s="32">
        <v>2050</v>
      </c>
      <c r="X861" s="43" t="str">
        <f t="shared" si="109"/>
        <v>*0.91</v>
      </c>
      <c r="AC861" s="33" t="s">
        <v>1735</v>
      </c>
      <c r="AD861" s="44" t="s">
        <v>57</v>
      </c>
      <c r="AE861" s="33">
        <v>2035</v>
      </c>
      <c r="AF861" s="45" t="str">
        <f t="shared" si="110"/>
        <v>*0.91</v>
      </c>
      <c r="AG861" s="43" t="str">
        <f t="shared" si="112"/>
        <v>REZoning_Sol-Win</v>
      </c>
      <c r="AI861" s="33" t="s">
        <v>1735</v>
      </c>
      <c r="AJ861" s="44" t="s">
        <v>57</v>
      </c>
      <c r="AK861" s="33">
        <v>2050</v>
      </c>
      <c r="AL861" s="45" t="str">
        <f t="shared" si="111"/>
        <v>*0.86</v>
      </c>
      <c r="AM861" s="43" t="str">
        <f t="shared" si="113"/>
        <v>REZoning_Sol-Win</v>
      </c>
      <c r="AP861" t="s">
        <v>1735</v>
      </c>
      <c r="AQ861" t="s">
        <v>57</v>
      </c>
      <c r="AR861">
        <v>2100</v>
      </c>
      <c r="AS861" t="s">
        <v>883</v>
      </c>
      <c r="AT861" t="s">
        <v>58</v>
      </c>
    </row>
    <row r="862" ht="29" spans="1:46">
      <c r="A862" s="31" t="s">
        <v>95</v>
      </c>
      <c r="C862" t="s">
        <v>1736</v>
      </c>
      <c r="D862" s="5" t="s">
        <v>57</v>
      </c>
      <c r="E862">
        <v>2035</v>
      </c>
      <c r="F862" s="6" t="str">
        <f t="shared" si="106"/>
        <v>*0.95</v>
      </c>
      <c r="H862" t="s">
        <v>1736</v>
      </c>
      <c r="I862" s="5" t="s">
        <v>57</v>
      </c>
      <c r="J862">
        <v>2050</v>
      </c>
      <c r="K862" s="38" t="str">
        <f t="shared" si="107"/>
        <v>*0.93</v>
      </c>
      <c r="P862" s="32" t="s">
        <v>1736</v>
      </c>
      <c r="Q862" s="42" t="s">
        <v>57</v>
      </c>
      <c r="R862" s="32">
        <v>2035</v>
      </c>
      <c r="S862" s="43" t="str">
        <f t="shared" si="108"/>
        <v>*0.95</v>
      </c>
      <c r="U862" s="32" t="s">
        <v>1736</v>
      </c>
      <c r="V862" s="42" t="s">
        <v>57</v>
      </c>
      <c r="W862" s="32">
        <v>2050</v>
      </c>
      <c r="X862" s="43" t="str">
        <f t="shared" si="109"/>
        <v>*0.91</v>
      </c>
      <c r="AC862" s="33" t="s">
        <v>1736</v>
      </c>
      <c r="AD862" s="44" t="s">
        <v>57</v>
      </c>
      <c r="AE862" s="33">
        <v>2035</v>
      </c>
      <c r="AF862" s="45" t="str">
        <f t="shared" si="110"/>
        <v>*0.91</v>
      </c>
      <c r="AG862" s="43" t="str">
        <f t="shared" si="112"/>
        <v>REZoning_Sol-Win</v>
      </c>
      <c r="AI862" s="33" t="s">
        <v>1736</v>
      </c>
      <c r="AJ862" s="44" t="s">
        <v>57</v>
      </c>
      <c r="AK862" s="33">
        <v>2050</v>
      </c>
      <c r="AL862" s="45" t="str">
        <f t="shared" si="111"/>
        <v>*0.86</v>
      </c>
      <c r="AM862" s="43" t="str">
        <f t="shared" si="113"/>
        <v>REZoning_Sol-Win</v>
      </c>
      <c r="AP862" t="s">
        <v>1736</v>
      </c>
      <c r="AQ862" t="s">
        <v>57</v>
      </c>
      <c r="AR862">
        <v>2100</v>
      </c>
      <c r="AS862" t="s">
        <v>883</v>
      </c>
      <c r="AT862" t="s">
        <v>58</v>
      </c>
    </row>
    <row r="863" ht="29" spans="1:46">
      <c r="A863" s="31" t="s">
        <v>65</v>
      </c>
      <c r="C863" t="s">
        <v>1737</v>
      </c>
      <c r="D863" s="5" t="s">
        <v>57</v>
      </c>
      <c r="E863">
        <v>2035</v>
      </c>
      <c r="F863" s="6" t="str">
        <f t="shared" si="106"/>
        <v>*0.94</v>
      </c>
      <c r="H863" t="s">
        <v>1737</v>
      </c>
      <c r="I863" s="5" t="s">
        <v>57</v>
      </c>
      <c r="J863">
        <v>2050</v>
      </c>
      <c r="K863" s="38" t="str">
        <f t="shared" si="107"/>
        <v>*0.91</v>
      </c>
      <c r="P863" s="32" t="s">
        <v>1737</v>
      </c>
      <c r="Q863" s="42" t="s">
        <v>57</v>
      </c>
      <c r="R863" s="32">
        <v>2035</v>
      </c>
      <c r="S863" s="43" t="str">
        <f t="shared" si="108"/>
        <v>*0.93</v>
      </c>
      <c r="U863" s="32" t="s">
        <v>1737</v>
      </c>
      <c r="V863" s="42" t="s">
        <v>57</v>
      </c>
      <c r="W863" s="32">
        <v>2050</v>
      </c>
      <c r="X863" s="43" t="str">
        <f t="shared" si="109"/>
        <v>*0.9</v>
      </c>
      <c r="AC863" s="33" t="s">
        <v>1737</v>
      </c>
      <c r="AD863" s="44" t="s">
        <v>57</v>
      </c>
      <c r="AE863" s="33">
        <v>2035</v>
      </c>
      <c r="AF863" s="45" t="str">
        <f t="shared" si="110"/>
        <v>*0.9</v>
      </c>
      <c r="AG863" s="43" t="str">
        <f t="shared" si="112"/>
        <v>REZoning_Sol-Win</v>
      </c>
      <c r="AI863" s="33" t="s">
        <v>1737</v>
      </c>
      <c r="AJ863" s="44" t="s">
        <v>57</v>
      </c>
      <c r="AK863" s="33">
        <v>2050</v>
      </c>
      <c r="AL863" s="45" t="str">
        <f t="shared" si="111"/>
        <v>*0.86</v>
      </c>
      <c r="AM863" s="43" t="str">
        <f t="shared" si="113"/>
        <v>REZoning_Sol-Win</v>
      </c>
      <c r="AP863" t="s">
        <v>1737</v>
      </c>
      <c r="AQ863" t="s">
        <v>57</v>
      </c>
      <c r="AR863">
        <v>2100</v>
      </c>
      <c r="AS863" t="s">
        <v>883</v>
      </c>
      <c r="AT863" t="s">
        <v>58</v>
      </c>
    </row>
    <row r="864" ht="29" spans="1:46">
      <c r="A864" s="31" t="s">
        <v>65</v>
      </c>
      <c r="C864" t="s">
        <v>1738</v>
      </c>
      <c r="D864" s="5" t="s">
        <v>57</v>
      </c>
      <c r="E864">
        <v>2035</v>
      </c>
      <c r="F864" s="6" t="str">
        <f t="shared" si="106"/>
        <v>*0.94</v>
      </c>
      <c r="H864" t="s">
        <v>1738</v>
      </c>
      <c r="I864" s="5" t="s">
        <v>57</v>
      </c>
      <c r="J864">
        <v>2050</v>
      </c>
      <c r="K864" s="38" t="str">
        <f t="shared" si="107"/>
        <v>*0.91</v>
      </c>
      <c r="P864" s="32" t="s">
        <v>1738</v>
      </c>
      <c r="Q864" s="42" t="s">
        <v>57</v>
      </c>
      <c r="R864" s="32">
        <v>2035</v>
      </c>
      <c r="S864" s="43" t="str">
        <f t="shared" si="108"/>
        <v>*0.93</v>
      </c>
      <c r="U864" s="32" t="s">
        <v>1738</v>
      </c>
      <c r="V864" s="42" t="s">
        <v>57</v>
      </c>
      <c r="W864" s="32">
        <v>2050</v>
      </c>
      <c r="X864" s="43" t="str">
        <f t="shared" si="109"/>
        <v>*0.9</v>
      </c>
      <c r="AC864" s="33" t="s">
        <v>1738</v>
      </c>
      <c r="AD864" s="44" t="s">
        <v>57</v>
      </c>
      <c r="AE864" s="33">
        <v>2035</v>
      </c>
      <c r="AF864" s="45" t="str">
        <f t="shared" si="110"/>
        <v>*0.9</v>
      </c>
      <c r="AG864" s="43" t="str">
        <f t="shared" si="112"/>
        <v>REZoning_Sol-Win</v>
      </c>
      <c r="AI864" s="33" t="s">
        <v>1738</v>
      </c>
      <c r="AJ864" s="44" t="s">
        <v>57</v>
      </c>
      <c r="AK864" s="33">
        <v>2050</v>
      </c>
      <c r="AL864" s="45" t="str">
        <f t="shared" si="111"/>
        <v>*0.86</v>
      </c>
      <c r="AM864" s="43" t="str">
        <f t="shared" si="113"/>
        <v>REZoning_Sol-Win</v>
      </c>
      <c r="AP864" t="s">
        <v>1738</v>
      </c>
      <c r="AQ864" t="s">
        <v>57</v>
      </c>
      <c r="AR864">
        <v>2100</v>
      </c>
      <c r="AS864" t="s">
        <v>883</v>
      </c>
      <c r="AT864" t="s">
        <v>58</v>
      </c>
    </row>
    <row r="865" ht="29" spans="1:46">
      <c r="A865" s="31" t="s">
        <v>65</v>
      </c>
      <c r="C865" t="s">
        <v>1739</v>
      </c>
      <c r="D865" s="5" t="s">
        <v>57</v>
      </c>
      <c r="E865">
        <v>2035</v>
      </c>
      <c r="F865" s="6" t="str">
        <f t="shared" si="106"/>
        <v>*0.94</v>
      </c>
      <c r="H865" t="s">
        <v>1739</v>
      </c>
      <c r="I865" s="5" t="s">
        <v>57</v>
      </c>
      <c r="J865">
        <v>2050</v>
      </c>
      <c r="K865" s="38" t="str">
        <f t="shared" si="107"/>
        <v>*0.91</v>
      </c>
      <c r="P865" s="32" t="s">
        <v>1739</v>
      </c>
      <c r="Q865" s="42" t="s">
        <v>57</v>
      </c>
      <c r="R865" s="32">
        <v>2035</v>
      </c>
      <c r="S865" s="43" t="str">
        <f t="shared" si="108"/>
        <v>*0.93</v>
      </c>
      <c r="U865" s="32" t="s">
        <v>1739</v>
      </c>
      <c r="V865" s="42" t="s">
        <v>57</v>
      </c>
      <c r="W865" s="32">
        <v>2050</v>
      </c>
      <c r="X865" s="43" t="str">
        <f t="shared" si="109"/>
        <v>*0.9</v>
      </c>
      <c r="AC865" s="33" t="s">
        <v>1739</v>
      </c>
      <c r="AD865" s="44" t="s">
        <v>57</v>
      </c>
      <c r="AE865" s="33">
        <v>2035</v>
      </c>
      <c r="AF865" s="45" t="str">
        <f t="shared" si="110"/>
        <v>*0.9</v>
      </c>
      <c r="AG865" s="43" t="str">
        <f t="shared" si="112"/>
        <v>REZoning_Sol-Win</v>
      </c>
      <c r="AI865" s="33" t="s">
        <v>1739</v>
      </c>
      <c r="AJ865" s="44" t="s">
        <v>57</v>
      </c>
      <c r="AK865" s="33">
        <v>2050</v>
      </c>
      <c r="AL865" s="45" t="str">
        <f t="shared" si="111"/>
        <v>*0.86</v>
      </c>
      <c r="AM865" s="43" t="str">
        <f t="shared" si="113"/>
        <v>REZoning_Sol-Win</v>
      </c>
      <c r="AP865" t="s">
        <v>1739</v>
      </c>
      <c r="AQ865" t="s">
        <v>57</v>
      </c>
      <c r="AR865">
        <v>2100</v>
      </c>
      <c r="AS865" t="s">
        <v>883</v>
      </c>
      <c r="AT865" t="s">
        <v>58</v>
      </c>
    </row>
    <row r="866" ht="29" spans="1:46">
      <c r="A866" s="31" t="s">
        <v>65</v>
      </c>
      <c r="C866" t="s">
        <v>1740</v>
      </c>
      <c r="D866" s="5" t="s">
        <v>57</v>
      </c>
      <c r="E866">
        <v>2035</v>
      </c>
      <c r="F866" s="6" t="str">
        <f t="shared" si="106"/>
        <v>*0.94</v>
      </c>
      <c r="H866" t="s">
        <v>1740</v>
      </c>
      <c r="I866" s="5" t="s">
        <v>57</v>
      </c>
      <c r="J866">
        <v>2050</v>
      </c>
      <c r="K866" s="38" t="str">
        <f t="shared" si="107"/>
        <v>*0.91</v>
      </c>
      <c r="P866" s="32" t="s">
        <v>1740</v>
      </c>
      <c r="Q866" s="42" t="s">
        <v>57</v>
      </c>
      <c r="R866" s="32">
        <v>2035</v>
      </c>
      <c r="S866" s="43" t="str">
        <f t="shared" si="108"/>
        <v>*0.93</v>
      </c>
      <c r="U866" s="32" t="s">
        <v>1740</v>
      </c>
      <c r="V866" s="42" t="s">
        <v>57</v>
      </c>
      <c r="W866" s="32">
        <v>2050</v>
      </c>
      <c r="X866" s="43" t="str">
        <f t="shared" si="109"/>
        <v>*0.9</v>
      </c>
      <c r="AC866" s="33" t="s">
        <v>1740</v>
      </c>
      <c r="AD866" s="44" t="s">
        <v>57</v>
      </c>
      <c r="AE866" s="33">
        <v>2035</v>
      </c>
      <c r="AF866" s="45" t="str">
        <f t="shared" si="110"/>
        <v>*0.9</v>
      </c>
      <c r="AG866" s="43" t="str">
        <f t="shared" si="112"/>
        <v>REZoning_Sol-Win</v>
      </c>
      <c r="AI866" s="33" t="s">
        <v>1740</v>
      </c>
      <c r="AJ866" s="44" t="s">
        <v>57</v>
      </c>
      <c r="AK866" s="33">
        <v>2050</v>
      </c>
      <c r="AL866" s="45" t="str">
        <f t="shared" si="111"/>
        <v>*0.86</v>
      </c>
      <c r="AM866" s="43" t="str">
        <f t="shared" si="113"/>
        <v>REZoning_Sol-Win</v>
      </c>
      <c r="AP866" t="s">
        <v>1740</v>
      </c>
      <c r="AQ866" t="s">
        <v>57</v>
      </c>
      <c r="AR866">
        <v>2100</v>
      </c>
      <c r="AS866" t="s">
        <v>883</v>
      </c>
      <c r="AT866" t="s">
        <v>58</v>
      </c>
    </row>
    <row r="867" ht="29" spans="1:46">
      <c r="A867" s="31" t="s">
        <v>65</v>
      </c>
      <c r="C867" t="s">
        <v>1741</v>
      </c>
      <c r="D867" s="5" t="s">
        <v>57</v>
      </c>
      <c r="E867">
        <v>2035</v>
      </c>
      <c r="F867" s="6" t="str">
        <f t="shared" si="106"/>
        <v>*0.94</v>
      </c>
      <c r="H867" t="s">
        <v>1741</v>
      </c>
      <c r="I867" s="5" t="s">
        <v>57</v>
      </c>
      <c r="J867">
        <v>2050</v>
      </c>
      <c r="K867" s="38" t="str">
        <f t="shared" si="107"/>
        <v>*0.91</v>
      </c>
      <c r="P867" s="32" t="s">
        <v>1741</v>
      </c>
      <c r="Q867" s="42" t="s">
        <v>57</v>
      </c>
      <c r="R867" s="32">
        <v>2035</v>
      </c>
      <c r="S867" s="43" t="str">
        <f t="shared" si="108"/>
        <v>*0.93</v>
      </c>
      <c r="U867" s="32" t="s">
        <v>1741</v>
      </c>
      <c r="V867" s="42" t="s">
        <v>57</v>
      </c>
      <c r="W867" s="32">
        <v>2050</v>
      </c>
      <c r="X867" s="43" t="str">
        <f t="shared" si="109"/>
        <v>*0.9</v>
      </c>
      <c r="AC867" s="33" t="s">
        <v>1741</v>
      </c>
      <c r="AD867" s="44" t="s">
        <v>57</v>
      </c>
      <c r="AE867" s="33">
        <v>2035</v>
      </c>
      <c r="AF867" s="45" t="str">
        <f t="shared" si="110"/>
        <v>*0.9</v>
      </c>
      <c r="AG867" s="43" t="str">
        <f t="shared" si="112"/>
        <v>REZoning_Sol-Win</v>
      </c>
      <c r="AI867" s="33" t="s">
        <v>1741</v>
      </c>
      <c r="AJ867" s="44" t="s">
        <v>57</v>
      </c>
      <c r="AK867" s="33">
        <v>2050</v>
      </c>
      <c r="AL867" s="45" t="str">
        <f t="shared" si="111"/>
        <v>*0.86</v>
      </c>
      <c r="AM867" s="43" t="str">
        <f t="shared" si="113"/>
        <v>REZoning_Sol-Win</v>
      </c>
      <c r="AP867" t="s">
        <v>1741</v>
      </c>
      <c r="AQ867" t="s">
        <v>57</v>
      </c>
      <c r="AR867">
        <v>2100</v>
      </c>
      <c r="AS867" t="s">
        <v>883</v>
      </c>
      <c r="AT867" t="s">
        <v>58</v>
      </c>
    </row>
    <row r="868" ht="29" spans="1:46">
      <c r="A868" s="31" t="s">
        <v>65</v>
      </c>
      <c r="C868" t="s">
        <v>1742</v>
      </c>
      <c r="D868" s="5" t="s">
        <v>57</v>
      </c>
      <c r="E868">
        <v>2035</v>
      </c>
      <c r="F868" s="6" t="str">
        <f t="shared" si="106"/>
        <v>*0.94</v>
      </c>
      <c r="H868" t="s">
        <v>1742</v>
      </c>
      <c r="I868" s="5" t="s">
        <v>57</v>
      </c>
      <c r="J868">
        <v>2050</v>
      </c>
      <c r="K868" s="38" t="str">
        <f t="shared" si="107"/>
        <v>*0.91</v>
      </c>
      <c r="P868" s="32" t="s">
        <v>1742</v>
      </c>
      <c r="Q868" s="42" t="s">
        <v>57</v>
      </c>
      <c r="R868" s="32">
        <v>2035</v>
      </c>
      <c r="S868" s="43" t="str">
        <f t="shared" si="108"/>
        <v>*0.93</v>
      </c>
      <c r="U868" s="32" t="s">
        <v>1742</v>
      </c>
      <c r="V868" s="42" t="s">
        <v>57</v>
      </c>
      <c r="W868" s="32">
        <v>2050</v>
      </c>
      <c r="X868" s="43" t="str">
        <f t="shared" si="109"/>
        <v>*0.9</v>
      </c>
      <c r="AC868" s="33" t="s">
        <v>1742</v>
      </c>
      <c r="AD868" s="44" t="s">
        <v>57</v>
      </c>
      <c r="AE868" s="33">
        <v>2035</v>
      </c>
      <c r="AF868" s="45" t="str">
        <f t="shared" si="110"/>
        <v>*0.9</v>
      </c>
      <c r="AG868" s="43" t="str">
        <f t="shared" si="112"/>
        <v>REZoning_Sol-Win</v>
      </c>
      <c r="AI868" s="33" t="s">
        <v>1742</v>
      </c>
      <c r="AJ868" s="44" t="s">
        <v>57</v>
      </c>
      <c r="AK868" s="33">
        <v>2050</v>
      </c>
      <c r="AL868" s="45" t="str">
        <f t="shared" si="111"/>
        <v>*0.86</v>
      </c>
      <c r="AM868" s="43" t="str">
        <f t="shared" si="113"/>
        <v>REZoning_Sol-Win</v>
      </c>
      <c r="AP868" t="s">
        <v>1742</v>
      </c>
      <c r="AQ868" t="s">
        <v>57</v>
      </c>
      <c r="AR868">
        <v>2100</v>
      </c>
      <c r="AS868" t="s">
        <v>883</v>
      </c>
      <c r="AT868" t="s">
        <v>58</v>
      </c>
    </row>
    <row r="869" ht="29" spans="1:46">
      <c r="A869" s="31" t="s">
        <v>65</v>
      </c>
      <c r="C869" t="s">
        <v>1743</v>
      </c>
      <c r="D869" s="5" t="s">
        <v>57</v>
      </c>
      <c r="E869">
        <v>2035</v>
      </c>
      <c r="F869" s="6" t="str">
        <f t="shared" si="106"/>
        <v>*0.94</v>
      </c>
      <c r="H869" t="s">
        <v>1743</v>
      </c>
      <c r="I869" s="5" t="s">
        <v>57</v>
      </c>
      <c r="J869">
        <v>2050</v>
      </c>
      <c r="K869" s="38" t="str">
        <f t="shared" si="107"/>
        <v>*0.91</v>
      </c>
      <c r="P869" s="32" t="s">
        <v>1743</v>
      </c>
      <c r="Q869" s="42" t="s">
        <v>57</v>
      </c>
      <c r="R869" s="32">
        <v>2035</v>
      </c>
      <c r="S869" s="43" t="str">
        <f t="shared" si="108"/>
        <v>*0.93</v>
      </c>
      <c r="U869" s="32" t="s">
        <v>1743</v>
      </c>
      <c r="V869" s="42" t="s">
        <v>57</v>
      </c>
      <c r="W869" s="32">
        <v>2050</v>
      </c>
      <c r="X869" s="43" t="str">
        <f t="shared" si="109"/>
        <v>*0.9</v>
      </c>
      <c r="AC869" s="33" t="s">
        <v>1743</v>
      </c>
      <c r="AD869" s="44" t="s">
        <v>57</v>
      </c>
      <c r="AE869" s="33">
        <v>2035</v>
      </c>
      <c r="AF869" s="45" t="str">
        <f t="shared" si="110"/>
        <v>*0.9</v>
      </c>
      <c r="AG869" s="43" t="str">
        <f t="shared" si="112"/>
        <v>REZoning_Sol-Win</v>
      </c>
      <c r="AI869" s="33" t="s">
        <v>1743</v>
      </c>
      <c r="AJ869" s="44" t="s">
        <v>57</v>
      </c>
      <c r="AK869" s="33">
        <v>2050</v>
      </c>
      <c r="AL869" s="45" t="str">
        <f t="shared" si="111"/>
        <v>*0.86</v>
      </c>
      <c r="AM869" s="43" t="str">
        <f t="shared" si="113"/>
        <v>REZoning_Sol-Win</v>
      </c>
      <c r="AP869" t="s">
        <v>1743</v>
      </c>
      <c r="AQ869" t="s">
        <v>57</v>
      </c>
      <c r="AR869">
        <v>2100</v>
      </c>
      <c r="AS869" t="s">
        <v>883</v>
      </c>
      <c r="AT869" t="s">
        <v>58</v>
      </c>
    </row>
    <row r="870" ht="29" spans="1:46">
      <c r="A870" s="31" t="s">
        <v>65</v>
      </c>
      <c r="C870" t="s">
        <v>1744</v>
      </c>
      <c r="D870" s="5" t="s">
        <v>57</v>
      </c>
      <c r="E870">
        <v>2035</v>
      </c>
      <c r="F870" s="6" t="str">
        <f t="shared" si="106"/>
        <v>*0.94</v>
      </c>
      <c r="H870" t="s">
        <v>1744</v>
      </c>
      <c r="I870" s="5" t="s">
        <v>57</v>
      </c>
      <c r="J870">
        <v>2050</v>
      </c>
      <c r="K870" s="38" t="str">
        <f t="shared" si="107"/>
        <v>*0.91</v>
      </c>
      <c r="P870" s="32" t="s">
        <v>1744</v>
      </c>
      <c r="Q870" s="42" t="s">
        <v>57</v>
      </c>
      <c r="R870" s="32">
        <v>2035</v>
      </c>
      <c r="S870" s="43" t="str">
        <f t="shared" si="108"/>
        <v>*0.93</v>
      </c>
      <c r="U870" s="32" t="s">
        <v>1744</v>
      </c>
      <c r="V870" s="42" t="s">
        <v>57</v>
      </c>
      <c r="W870" s="32">
        <v>2050</v>
      </c>
      <c r="X870" s="43" t="str">
        <f t="shared" si="109"/>
        <v>*0.9</v>
      </c>
      <c r="AC870" s="33" t="s">
        <v>1744</v>
      </c>
      <c r="AD870" s="44" t="s">
        <v>57</v>
      </c>
      <c r="AE870" s="33">
        <v>2035</v>
      </c>
      <c r="AF870" s="45" t="str">
        <f t="shared" si="110"/>
        <v>*0.9</v>
      </c>
      <c r="AG870" s="43" t="str">
        <f t="shared" si="112"/>
        <v>REZoning_Sol-Win</v>
      </c>
      <c r="AI870" s="33" t="s">
        <v>1744</v>
      </c>
      <c r="AJ870" s="44" t="s">
        <v>57</v>
      </c>
      <c r="AK870" s="33">
        <v>2050</v>
      </c>
      <c r="AL870" s="45" t="str">
        <f t="shared" si="111"/>
        <v>*0.86</v>
      </c>
      <c r="AM870" s="43" t="str">
        <f t="shared" si="113"/>
        <v>REZoning_Sol-Win</v>
      </c>
      <c r="AP870" t="s">
        <v>1744</v>
      </c>
      <c r="AQ870" t="s">
        <v>57</v>
      </c>
      <c r="AR870">
        <v>2100</v>
      </c>
      <c r="AS870" t="s">
        <v>883</v>
      </c>
      <c r="AT870" t="s">
        <v>58</v>
      </c>
    </row>
    <row r="871" ht="29" spans="1:46">
      <c r="A871" s="31" t="s">
        <v>65</v>
      </c>
      <c r="C871" t="s">
        <v>1745</v>
      </c>
      <c r="D871" s="5" t="s">
        <v>57</v>
      </c>
      <c r="E871">
        <v>2035</v>
      </c>
      <c r="F871" s="6" t="str">
        <f t="shared" si="106"/>
        <v>*0.94</v>
      </c>
      <c r="H871" t="s">
        <v>1745</v>
      </c>
      <c r="I871" s="5" t="s">
        <v>57</v>
      </c>
      <c r="J871">
        <v>2050</v>
      </c>
      <c r="K871" s="38" t="str">
        <f t="shared" si="107"/>
        <v>*0.91</v>
      </c>
      <c r="P871" s="32" t="s">
        <v>1745</v>
      </c>
      <c r="Q871" s="42" t="s">
        <v>57</v>
      </c>
      <c r="R871" s="32">
        <v>2035</v>
      </c>
      <c r="S871" s="43" t="str">
        <f t="shared" si="108"/>
        <v>*0.93</v>
      </c>
      <c r="U871" s="32" t="s">
        <v>1745</v>
      </c>
      <c r="V871" s="42" t="s">
        <v>57</v>
      </c>
      <c r="W871" s="32">
        <v>2050</v>
      </c>
      <c r="X871" s="43" t="str">
        <f t="shared" si="109"/>
        <v>*0.9</v>
      </c>
      <c r="AC871" s="33" t="s">
        <v>1745</v>
      </c>
      <c r="AD871" s="44" t="s">
        <v>57</v>
      </c>
      <c r="AE871" s="33">
        <v>2035</v>
      </c>
      <c r="AF871" s="45" t="str">
        <f t="shared" si="110"/>
        <v>*0.9</v>
      </c>
      <c r="AG871" s="43" t="str">
        <f t="shared" si="112"/>
        <v>REZoning_Sol-Win</v>
      </c>
      <c r="AI871" s="33" t="s">
        <v>1745</v>
      </c>
      <c r="AJ871" s="44" t="s">
        <v>57</v>
      </c>
      <c r="AK871" s="33">
        <v>2050</v>
      </c>
      <c r="AL871" s="45" t="str">
        <f t="shared" si="111"/>
        <v>*0.86</v>
      </c>
      <c r="AM871" s="43" t="str">
        <f t="shared" si="113"/>
        <v>REZoning_Sol-Win</v>
      </c>
      <c r="AP871" t="s">
        <v>1745</v>
      </c>
      <c r="AQ871" t="s">
        <v>57</v>
      </c>
      <c r="AR871">
        <v>2100</v>
      </c>
      <c r="AS871" t="s">
        <v>883</v>
      </c>
      <c r="AT871" t="s">
        <v>58</v>
      </c>
    </row>
    <row r="872" ht="29" spans="1:46">
      <c r="A872" s="31" t="s">
        <v>65</v>
      </c>
      <c r="C872" t="s">
        <v>1746</v>
      </c>
      <c r="D872" s="5" t="s">
        <v>57</v>
      </c>
      <c r="E872">
        <v>2035</v>
      </c>
      <c r="F872" s="6" t="str">
        <f t="shared" si="106"/>
        <v>*0.94</v>
      </c>
      <c r="H872" t="s">
        <v>1746</v>
      </c>
      <c r="I872" s="5" t="s">
        <v>57</v>
      </c>
      <c r="J872">
        <v>2050</v>
      </c>
      <c r="K872" s="38" t="str">
        <f t="shared" si="107"/>
        <v>*0.91</v>
      </c>
      <c r="P872" s="32" t="s">
        <v>1746</v>
      </c>
      <c r="Q872" s="42" t="s">
        <v>57</v>
      </c>
      <c r="R872" s="32">
        <v>2035</v>
      </c>
      <c r="S872" s="43" t="str">
        <f t="shared" si="108"/>
        <v>*0.93</v>
      </c>
      <c r="U872" s="32" t="s">
        <v>1746</v>
      </c>
      <c r="V872" s="42" t="s">
        <v>57</v>
      </c>
      <c r="W872" s="32">
        <v>2050</v>
      </c>
      <c r="X872" s="43" t="str">
        <f t="shared" si="109"/>
        <v>*0.9</v>
      </c>
      <c r="AC872" s="33" t="s">
        <v>1746</v>
      </c>
      <c r="AD872" s="44" t="s">
        <v>57</v>
      </c>
      <c r="AE872" s="33">
        <v>2035</v>
      </c>
      <c r="AF872" s="45" t="str">
        <f t="shared" si="110"/>
        <v>*0.9</v>
      </c>
      <c r="AG872" s="43" t="str">
        <f t="shared" si="112"/>
        <v>REZoning_Sol-Win</v>
      </c>
      <c r="AI872" s="33" t="s">
        <v>1746</v>
      </c>
      <c r="AJ872" s="44" t="s">
        <v>57</v>
      </c>
      <c r="AK872" s="33">
        <v>2050</v>
      </c>
      <c r="AL872" s="45" t="str">
        <f t="shared" si="111"/>
        <v>*0.86</v>
      </c>
      <c r="AM872" s="43" t="str">
        <f t="shared" si="113"/>
        <v>REZoning_Sol-Win</v>
      </c>
      <c r="AP872" t="s">
        <v>1746</v>
      </c>
      <c r="AQ872" t="s">
        <v>57</v>
      </c>
      <c r="AR872">
        <v>2100</v>
      </c>
      <c r="AS872" t="s">
        <v>883</v>
      </c>
      <c r="AT872" t="s">
        <v>58</v>
      </c>
    </row>
    <row r="873" ht="29" spans="1:46">
      <c r="A873" s="31" t="s">
        <v>65</v>
      </c>
      <c r="C873" t="s">
        <v>1747</v>
      </c>
      <c r="D873" s="5" t="s">
        <v>57</v>
      </c>
      <c r="E873">
        <v>2035</v>
      </c>
      <c r="F873" s="6" t="str">
        <f t="shared" si="106"/>
        <v>*0.94</v>
      </c>
      <c r="H873" t="s">
        <v>1747</v>
      </c>
      <c r="I873" s="5" t="s">
        <v>57</v>
      </c>
      <c r="J873">
        <v>2050</v>
      </c>
      <c r="K873" s="38" t="str">
        <f t="shared" si="107"/>
        <v>*0.91</v>
      </c>
      <c r="P873" s="32" t="s">
        <v>1747</v>
      </c>
      <c r="Q873" s="42" t="s">
        <v>57</v>
      </c>
      <c r="R873" s="32">
        <v>2035</v>
      </c>
      <c r="S873" s="43" t="str">
        <f t="shared" si="108"/>
        <v>*0.93</v>
      </c>
      <c r="U873" s="32" t="s">
        <v>1747</v>
      </c>
      <c r="V873" s="42" t="s">
        <v>57</v>
      </c>
      <c r="W873" s="32">
        <v>2050</v>
      </c>
      <c r="X873" s="43" t="str">
        <f t="shared" si="109"/>
        <v>*0.9</v>
      </c>
      <c r="AC873" s="33" t="s">
        <v>1747</v>
      </c>
      <c r="AD873" s="44" t="s">
        <v>57</v>
      </c>
      <c r="AE873" s="33">
        <v>2035</v>
      </c>
      <c r="AF873" s="45" t="str">
        <f t="shared" si="110"/>
        <v>*0.9</v>
      </c>
      <c r="AG873" s="43" t="str">
        <f t="shared" si="112"/>
        <v>REZoning_Sol-Win</v>
      </c>
      <c r="AI873" s="33" t="s">
        <v>1747</v>
      </c>
      <c r="AJ873" s="44" t="s">
        <v>57</v>
      </c>
      <c r="AK873" s="33">
        <v>2050</v>
      </c>
      <c r="AL873" s="45" t="str">
        <f t="shared" si="111"/>
        <v>*0.86</v>
      </c>
      <c r="AM873" s="43" t="str">
        <f t="shared" si="113"/>
        <v>REZoning_Sol-Win</v>
      </c>
      <c r="AP873" t="s">
        <v>1747</v>
      </c>
      <c r="AQ873" t="s">
        <v>57</v>
      </c>
      <c r="AR873">
        <v>2100</v>
      </c>
      <c r="AS873" t="s">
        <v>883</v>
      </c>
      <c r="AT873" t="s">
        <v>58</v>
      </c>
    </row>
    <row r="874" ht="29" spans="1:46">
      <c r="A874" s="31" t="s">
        <v>65</v>
      </c>
      <c r="C874" t="s">
        <v>1748</v>
      </c>
      <c r="D874" s="5" t="s">
        <v>57</v>
      </c>
      <c r="E874">
        <v>2035</v>
      </c>
      <c r="F874" s="6" t="str">
        <f t="shared" si="106"/>
        <v>*0.94</v>
      </c>
      <c r="H874" t="s">
        <v>1748</v>
      </c>
      <c r="I874" s="5" t="s">
        <v>57</v>
      </c>
      <c r="J874">
        <v>2050</v>
      </c>
      <c r="K874" s="38" t="str">
        <f t="shared" si="107"/>
        <v>*0.91</v>
      </c>
      <c r="P874" s="32" t="s">
        <v>1748</v>
      </c>
      <c r="Q874" s="42" t="s">
        <v>57</v>
      </c>
      <c r="R874" s="32">
        <v>2035</v>
      </c>
      <c r="S874" s="43" t="str">
        <f t="shared" si="108"/>
        <v>*0.93</v>
      </c>
      <c r="U874" s="32" t="s">
        <v>1748</v>
      </c>
      <c r="V874" s="42" t="s">
        <v>57</v>
      </c>
      <c r="W874" s="32">
        <v>2050</v>
      </c>
      <c r="X874" s="43" t="str">
        <f t="shared" si="109"/>
        <v>*0.9</v>
      </c>
      <c r="AC874" s="33" t="s">
        <v>1748</v>
      </c>
      <c r="AD874" s="44" t="s">
        <v>57</v>
      </c>
      <c r="AE874" s="33">
        <v>2035</v>
      </c>
      <c r="AF874" s="45" t="str">
        <f t="shared" si="110"/>
        <v>*0.9</v>
      </c>
      <c r="AG874" s="43" t="str">
        <f t="shared" si="112"/>
        <v>REZoning_Sol-Win</v>
      </c>
      <c r="AI874" s="33" t="s">
        <v>1748</v>
      </c>
      <c r="AJ874" s="44" t="s">
        <v>57</v>
      </c>
      <c r="AK874" s="33">
        <v>2050</v>
      </c>
      <c r="AL874" s="45" t="str">
        <f t="shared" si="111"/>
        <v>*0.86</v>
      </c>
      <c r="AM874" s="43" t="str">
        <f t="shared" si="113"/>
        <v>REZoning_Sol-Win</v>
      </c>
      <c r="AP874" t="s">
        <v>1748</v>
      </c>
      <c r="AQ874" t="s">
        <v>57</v>
      </c>
      <c r="AR874">
        <v>2100</v>
      </c>
      <c r="AS874" t="s">
        <v>883</v>
      </c>
      <c r="AT874" t="s">
        <v>58</v>
      </c>
    </row>
    <row r="875" ht="29" spans="1:46">
      <c r="A875" s="31" t="s">
        <v>65</v>
      </c>
      <c r="C875" t="s">
        <v>1749</v>
      </c>
      <c r="D875" s="5" t="s">
        <v>57</v>
      </c>
      <c r="E875">
        <v>2035</v>
      </c>
      <c r="F875" s="6" t="str">
        <f t="shared" si="106"/>
        <v>*0.94</v>
      </c>
      <c r="H875" t="s">
        <v>1749</v>
      </c>
      <c r="I875" s="5" t="s">
        <v>57</v>
      </c>
      <c r="J875">
        <v>2050</v>
      </c>
      <c r="K875" s="38" t="str">
        <f t="shared" si="107"/>
        <v>*0.91</v>
      </c>
      <c r="P875" s="32" t="s">
        <v>1749</v>
      </c>
      <c r="Q875" s="42" t="s">
        <v>57</v>
      </c>
      <c r="R875" s="32">
        <v>2035</v>
      </c>
      <c r="S875" s="43" t="str">
        <f t="shared" si="108"/>
        <v>*0.93</v>
      </c>
      <c r="U875" s="32" t="s">
        <v>1749</v>
      </c>
      <c r="V875" s="42" t="s">
        <v>57</v>
      </c>
      <c r="W875" s="32">
        <v>2050</v>
      </c>
      <c r="X875" s="43" t="str">
        <f t="shared" si="109"/>
        <v>*0.9</v>
      </c>
      <c r="AC875" s="33" t="s">
        <v>1749</v>
      </c>
      <c r="AD875" s="44" t="s">
        <v>57</v>
      </c>
      <c r="AE875" s="33">
        <v>2035</v>
      </c>
      <c r="AF875" s="45" t="str">
        <f t="shared" si="110"/>
        <v>*0.9</v>
      </c>
      <c r="AG875" s="43" t="str">
        <f t="shared" si="112"/>
        <v>REZoning_Sol-Win</v>
      </c>
      <c r="AI875" s="33" t="s">
        <v>1749</v>
      </c>
      <c r="AJ875" s="44" t="s">
        <v>57</v>
      </c>
      <c r="AK875" s="33">
        <v>2050</v>
      </c>
      <c r="AL875" s="45" t="str">
        <f t="shared" si="111"/>
        <v>*0.86</v>
      </c>
      <c r="AM875" s="43" t="str">
        <f t="shared" si="113"/>
        <v>REZoning_Sol-Win</v>
      </c>
      <c r="AP875" t="s">
        <v>1749</v>
      </c>
      <c r="AQ875" t="s">
        <v>57</v>
      </c>
      <c r="AR875">
        <v>2100</v>
      </c>
      <c r="AS875" t="s">
        <v>883</v>
      </c>
      <c r="AT875" t="s">
        <v>58</v>
      </c>
    </row>
    <row r="876" ht="29" spans="1:46">
      <c r="A876" s="31" t="s">
        <v>65</v>
      </c>
      <c r="C876" t="s">
        <v>1750</v>
      </c>
      <c r="D876" s="5" t="s">
        <v>57</v>
      </c>
      <c r="E876">
        <v>2035</v>
      </c>
      <c r="F876" s="6" t="str">
        <f t="shared" si="106"/>
        <v>*0.94</v>
      </c>
      <c r="H876" t="s">
        <v>1750</v>
      </c>
      <c r="I876" s="5" t="s">
        <v>57</v>
      </c>
      <c r="J876">
        <v>2050</v>
      </c>
      <c r="K876" s="38" t="str">
        <f t="shared" si="107"/>
        <v>*0.91</v>
      </c>
      <c r="P876" s="32" t="s">
        <v>1750</v>
      </c>
      <c r="Q876" s="42" t="s">
        <v>57</v>
      </c>
      <c r="R876" s="32">
        <v>2035</v>
      </c>
      <c r="S876" s="43" t="str">
        <f t="shared" si="108"/>
        <v>*0.93</v>
      </c>
      <c r="U876" s="32" t="s">
        <v>1750</v>
      </c>
      <c r="V876" s="42" t="s">
        <v>57</v>
      </c>
      <c r="W876" s="32">
        <v>2050</v>
      </c>
      <c r="X876" s="43" t="str">
        <f t="shared" si="109"/>
        <v>*0.9</v>
      </c>
      <c r="AC876" s="33" t="s">
        <v>1750</v>
      </c>
      <c r="AD876" s="44" t="s">
        <v>57</v>
      </c>
      <c r="AE876" s="33">
        <v>2035</v>
      </c>
      <c r="AF876" s="45" t="str">
        <f t="shared" si="110"/>
        <v>*0.9</v>
      </c>
      <c r="AG876" s="43" t="str">
        <f t="shared" si="112"/>
        <v>REZoning_Sol-Win</v>
      </c>
      <c r="AI876" s="33" t="s">
        <v>1750</v>
      </c>
      <c r="AJ876" s="44" t="s">
        <v>57</v>
      </c>
      <c r="AK876" s="33">
        <v>2050</v>
      </c>
      <c r="AL876" s="45" t="str">
        <f t="shared" si="111"/>
        <v>*0.86</v>
      </c>
      <c r="AM876" s="43" t="str">
        <f t="shared" si="113"/>
        <v>REZoning_Sol-Win</v>
      </c>
      <c r="AP876" t="s">
        <v>1750</v>
      </c>
      <c r="AQ876" t="s">
        <v>57</v>
      </c>
      <c r="AR876">
        <v>2100</v>
      </c>
      <c r="AS876" t="s">
        <v>883</v>
      </c>
      <c r="AT876" t="s">
        <v>58</v>
      </c>
    </row>
    <row r="877" ht="29" spans="1:46">
      <c r="A877" s="31" t="s">
        <v>65</v>
      </c>
      <c r="C877" t="s">
        <v>1751</v>
      </c>
      <c r="D877" s="5" t="s">
        <v>57</v>
      </c>
      <c r="E877">
        <v>2035</v>
      </c>
      <c r="F877" s="6" t="str">
        <f t="shared" si="106"/>
        <v>*0.94</v>
      </c>
      <c r="H877" t="s">
        <v>1751</v>
      </c>
      <c r="I877" s="5" t="s">
        <v>57</v>
      </c>
      <c r="J877">
        <v>2050</v>
      </c>
      <c r="K877" s="38" t="str">
        <f t="shared" si="107"/>
        <v>*0.91</v>
      </c>
      <c r="P877" s="32" t="s">
        <v>1751</v>
      </c>
      <c r="Q877" s="42" t="s">
        <v>57</v>
      </c>
      <c r="R877" s="32">
        <v>2035</v>
      </c>
      <c r="S877" s="43" t="str">
        <f t="shared" si="108"/>
        <v>*0.93</v>
      </c>
      <c r="U877" s="32" t="s">
        <v>1751</v>
      </c>
      <c r="V877" s="42" t="s">
        <v>57</v>
      </c>
      <c r="W877" s="32">
        <v>2050</v>
      </c>
      <c r="X877" s="43" t="str">
        <f t="shared" si="109"/>
        <v>*0.9</v>
      </c>
      <c r="AC877" s="33" t="s">
        <v>1751</v>
      </c>
      <c r="AD877" s="44" t="s">
        <v>57</v>
      </c>
      <c r="AE877" s="33">
        <v>2035</v>
      </c>
      <c r="AF877" s="45" t="str">
        <f t="shared" si="110"/>
        <v>*0.9</v>
      </c>
      <c r="AG877" s="43" t="str">
        <f t="shared" si="112"/>
        <v>REZoning_Sol-Win</v>
      </c>
      <c r="AI877" s="33" t="s">
        <v>1751</v>
      </c>
      <c r="AJ877" s="44" t="s">
        <v>57</v>
      </c>
      <c r="AK877" s="33">
        <v>2050</v>
      </c>
      <c r="AL877" s="45" t="str">
        <f t="shared" si="111"/>
        <v>*0.86</v>
      </c>
      <c r="AM877" s="43" t="str">
        <f t="shared" si="113"/>
        <v>REZoning_Sol-Win</v>
      </c>
      <c r="AP877" t="s">
        <v>1751</v>
      </c>
      <c r="AQ877" t="s">
        <v>57</v>
      </c>
      <c r="AR877">
        <v>2100</v>
      </c>
      <c r="AS877" t="s">
        <v>883</v>
      </c>
      <c r="AT877" t="s">
        <v>58</v>
      </c>
    </row>
    <row r="878" ht="29" spans="1:46">
      <c r="A878" s="31" t="s">
        <v>65</v>
      </c>
      <c r="C878" t="s">
        <v>1752</v>
      </c>
      <c r="D878" s="5" t="s">
        <v>57</v>
      </c>
      <c r="E878">
        <v>2035</v>
      </c>
      <c r="F878" s="6" t="str">
        <f t="shared" si="106"/>
        <v>*0.94</v>
      </c>
      <c r="H878" t="s">
        <v>1752</v>
      </c>
      <c r="I878" s="5" t="s">
        <v>57</v>
      </c>
      <c r="J878">
        <v>2050</v>
      </c>
      <c r="K878" s="38" t="str">
        <f t="shared" si="107"/>
        <v>*0.91</v>
      </c>
      <c r="P878" s="32" t="s">
        <v>1752</v>
      </c>
      <c r="Q878" s="42" t="s">
        <v>57</v>
      </c>
      <c r="R878" s="32">
        <v>2035</v>
      </c>
      <c r="S878" s="43" t="str">
        <f t="shared" si="108"/>
        <v>*0.93</v>
      </c>
      <c r="U878" s="32" t="s">
        <v>1752</v>
      </c>
      <c r="V878" s="42" t="s">
        <v>57</v>
      </c>
      <c r="W878" s="32">
        <v>2050</v>
      </c>
      <c r="X878" s="43" t="str">
        <f t="shared" si="109"/>
        <v>*0.9</v>
      </c>
      <c r="AC878" s="33" t="s">
        <v>1752</v>
      </c>
      <c r="AD878" s="44" t="s">
        <v>57</v>
      </c>
      <c r="AE878" s="33">
        <v>2035</v>
      </c>
      <c r="AF878" s="45" t="str">
        <f t="shared" si="110"/>
        <v>*0.9</v>
      </c>
      <c r="AG878" s="43" t="str">
        <f t="shared" si="112"/>
        <v>REZoning_Sol-Win</v>
      </c>
      <c r="AI878" s="33" t="s">
        <v>1752</v>
      </c>
      <c r="AJ878" s="44" t="s">
        <v>57</v>
      </c>
      <c r="AK878" s="33">
        <v>2050</v>
      </c>
      <c r="AL878" s="45" t="str">
        <f t="shared" si="111"/>
        <v>*0.86</v>
      </c>
      <c r="AM878" s="43" t="str">
        <f t="shared" si="113"/>
        <v>REZoning_Sol-Win</v>
      </c>
      <c r="AP878" t="s">
        <v>1752</v>
      </c>
      <c r="AQ878" t="s">
        <v>57</v>
      </c>
      <c r="AR878">
        <v>2100</v>
      </c>
      <c r="AS878" t="s">
        <v>883</v>
      </c>
      <c r="AT878" t="s">
        <v>58</v>
      </c>
    </row>
    <row r="879" ht="29" spans="1:46">
      <c r="A879" s="31" t="s">
        <v>65</v>
      </c>
      <c r="C879" t="s">
        <v>1753</v>
      </c>
      <c r="D879" s="5" t="s">
        <v>57</v>
      </c>
      <c r="E879">
        <v>2035</v>
      </c>
      <c r="F879" s="6" t="str">
        <f t="shared" si="106"/>
        <v>*0.94</v>
      </c>
      <c r="H879" t="s">
        <v>1753</v>
      </c>
      <c r="I879" s="5" t="s">
        <v>57</v>
      </c>
      <c r="J879">
        <v>2050</v>
      </c>
      <c r="K879" s="38" t="str">
        <f t="shared" si="107"/>
        <v>*0.91</v>
      </c>
      <c r="P879" s="32" t="s">
        <v>1753</v>
      </c>
      <c r="Q879" s="42" t="s">
        <v>57</v>
      </c>
      <c r="R879" s="32">
        <v>2035</v>
      </c>
      <c r="S879" s="43" t="str">
        <f t="shared" si="108"/>
        <v>*0.93</v>
      </c>
      <c r="U879" s="32" t="s">
        <v>1753</v>
      </c>
      <c r="V879" s="42" t="s">
        <v>57</v>
      </c>
      <c r="W879" s="32">
        <v>2050</v>
      </c>
      <c r="X879" s="43" t="str">
        <f t="shared" si="109"/>
        <v>*0.9</v>
      </c>
      <c r="AC879" s="33" t="s">
        <v>1753</v>
      </c>
      <c r="AD879" s="44" t="s">
        <v>57</v>
      </c>
      <c r="AE879" s="33">
        <v>2035</v>
      </c>
      <c r="AF879" s="45" t="str">
        <f t="shared" si="110"/>
        <v>*0.9</v>
      </c>
      <c r="AG879" s="43" t="str">
        <f t="shared" si="112"/>
        <v>REZoning_Sol-Win</v>
      </c>
      <c r="AI879" s="33" t="s">
        <v>1753</v>
      </c>
      <c r="AJ879" s="44" t="s">
        <v>57</v>
      </c>
      <c r="AK879" s="33">
        <v>2050</v>
      </c>
      <c r="AL879" s="45" t="str">
        <f t="shared" si="111"/>
        <v>*0.86</v>
      </c>
      <c r="AM879" s="43" t="str">
        <f t="shared" si="113"/>
        <v>REZoning_Sol-Win</v>
      </c>
      <c r="AP879" t="s">
        <v>1753</v>
      </c>
      <c r="AQ879" t="s">
        <v>57</v>
      </c>
      <c r="AR879">
        <v>2100</v>
      </c>
      <c r="AS879" t="s">
        <v>883</v>
      </c>
      <c r="AT879" t="s">
        <v>58</v>
      </c>
    </row>
    <row r="880" ht="29" spans="1:46">
      <c r="A880" s="31" t="s">
        <v>65</v>
      </c>
      <c r="C880" t="s">
        <v>1754</v>
      </c>
      <c r="D880" s="5" t="s">
        <v>57</v>
      </c>
      <c r="E880">
        <v>2035</v>
      </c>
      <c r="F880" s="6" t="str">
        <f t="shared" si="106"/>
        <v>*0.94</v>
      </c>
      <c r="H880" t="s">
        <v>1754</v>
      </c>
      <c r="I880" s="5" t="s">
        <v>57</v>
      </c>
      <c r="J880">
        <v>2050</v>
      </c>
      <c r="K880" s="38" t="str">
        <f t="shared" si="107"/>
        <v>*0.91</v>
      </c>
      <c r="P880" s="32" t="s">
        <v>1754</v>
      </c>
      <c r="Q880" s="42" t="s">
        <v>57</v>
      </c>
      <c r="R880" s="32">
        <v>2035</v>
      </c>
      <c r="S880" s="43" t="str">
        <f t="shared" si="108"/>
        <v>*0.93</v>
      </c>
      <c r="U880" s="32" t="s">
        <v>1754</v>
      </c>
      <c r="V880" s="42" t="s">
        <v>57</v>
      </c>
      <c r="W880" s="32">
        <v>2050</v>
      </c>
      <c r="X880" s="43" t="str">
        <f t="shared" si="109"/>
        <v>*0.9</v>
      </c>
      <c r="AC880" s="33" t="s">
        <v>1754</v>
      </c>
      <c r="AD880" s="44" t="s">
        <v>57</v>
      </c>
      <c r="AE880" s="33">
        <v>2035</v>
      </c>
      <c r="AF880" s="45" t="str">
        <f t="shared" si="110"/>
        <v>*0.9</v>
      </c>
      <c r="AG880" s="43" t="str">
        <f t="shared" si="112"/>
        <v>REZoning_Sol-Win</v>
      </c>
      <c r="AI880" s="33" t="s">
        <v>1754</v>
      </c>
      <c r="AJ880" s="44" t="s">
        <v>57</v>
      </c>
      <c r="AK880" s="33">
        <v>2050</v>
      </c>
      <c r="AL880" s="45" t="str">
        <f t="shared" si="111"/>
        <v>*0.86</v>
      </c>
      <c r="AM880" s="43" t="str">
        <f t="shared" si="113"/>
        <v>REZoning_Sol-Win</v>
      </c>
      <c r="AP880" t="s">
        <v>1754</v>
      </c>
      <c r="AQ880" t="s">
        <v>57</v>
      </c>
      <c r="AR880">
        <v>2100</v>
      </c>
      <c r="AS880" t="s">
        <v>883</v>
      </c>
      <c r="AT880" t="s">
        <v>58</v>
      </c>
    </row>
    <row r="881" ht="29" spans="1:46">
      <c r="A881" s="31" t="s">
        <v>65</v>
      </c>
      <c r="C881" t="s">
        <v>1755</v>
      </c>
      <c r="D881" s="5" t="s">
        <v>57</v>
      </c>
      <c r="E881">
        <v>2035</v>
      </c>
      <c r="F881" s="6" t="str">
        <f t="shared" si="106"/>
        <v>*0.94</v>
      </c>
      <c r="H881" t="s">
        <v>1755</v>
      </c>
      <c r="I881" s="5" t="s">
        <v>57</v>
      </c>
      <c r="J881">
        <v>2050</v>
      </c>
      <c r="K881" s="38" t="str">
        <f t="shared" si="107"/>
        <v>*0.91</v>
      </c>
      <c r="P881" s="32" t="s">
        <v>1755</v>
      </c>
      <c r="Q881" s="42" t="s">
        <v>57</v>
      </c>
      <c r="R881" s="32">
        <v>2035</v>
      </c>
      <c r="S881" s="43" t="str">
        <f t="shared" si="108"/>
        <v>*0.93</v>
      </c>
      <c r="U881" s="32" t="s">
        <v>1755</v>
      </c>
      <c r="V881" s="42" t="s">
        <v>57</v>
      </c>
      <c r="W881" s="32">
        <v>2050</v>
      </c>
      <c r="X881" s="43" t="str">
        <f t="shared" si="109"/>
        <v>*0.9</v>
      </c>
      <c r="AC881" s="33" t="s">
        <v>1755</v>
      </c>
      <c r="AD881" s="44" t="s">
        <v>57</v>
      </c>
      <c r="AE881" s="33">
        <v>2035</v>
      </c>
      <c r="AF881" s="45" t="str">
        <f t="shared" si="110"/>
        <v>*0.9</v>
      </c>
      <c r="AG881" s="43" t="str">
        <f t="shared" si="112"/>
        <v>REZoning_Sol-Win</v>
      </c>
      <c r="AI881" s="33" t="s">
        <v>1755</v>
      </c>
      <c r="AJ881" s="44" t="s">
        <v>57</v>
      </c>
      <c r="AK881" s="33">
        <v>2050</v>
      </c>
      <c r="AL881" s="45" t="str">
        <f t="shared" si="111"/>
        <v>*0.86</v>
      </c>
      <c r="AM881" s="43" t="str">
        <f t="shared" si="113"/>
        <v>REZoning_Sol-Win</v>
      </c>
      <c r="AP881" t="s">
        <v>1755</v>
      </c>
      <c r="AQ881" t="s">
        <v>57</v>
      </c>
      <c r="AR881">
        <v>2100</v>
      </c>
      <c r="AS881" t="s">
        <v>883</v>
      </c>
      <c r="AT881" t="s">
        <v>58</v>
      </c>
    </row>
    <row r="882" ht="29" spans="1:46">
      <c r="A882" s="31" t="s">
        <v>65</v>
      </c>
      <c r="C882" t="s">
        <v>1756</v>
      </c>
      <c r="D882" s="5" t="s">
        <v>57</v>
      </c>
      <c r="E882">
        <v>2035</v>
      </c>
      <c r="F882" s="6" t="str">
        <f t="shared" si="106"/>
        <v>*0.94</v>
      </c>
      <c r="H882" t="s">
        <v>1756</v>
      </c>
      <c r="I882" s="5" t="s">
        <v>57</v>
      </c>
      <c r="J882">
        <v>2050</v>
      </c>
      <c r="K882" s="38" t="str">
        <f t="shared" si="107"/>
        <v>*0.91</v>
      </c>
      <c r="P882" s="32" t="s">
        <v>1756</v>
      </c>
      <c r="Q882" s="42" t="s">
        <v>57</v>
      </c>
      <c r="R882" s="32">
        <v>2035</v>
      </c>
      <c r="S882" s="43" t="str">
        <f t="shared" si="108"/>
        <v>*0.93</v>
      </c>
      <c r="U882" s="32" t="s">
        <v>1756</v>
      </c>
      <c r="V882" s="42" t="s">
        <v>57</v>
      </c>
      <c r="W882" s="32">
        <v>2050</v>
      </c>
      <c r="X882" s="43" t="str">
        <f t="shared" si="109"/>
        <v>*0.9</v>
      </c>
      <c r="AC882" s="33" t="s">
        <v>1756</v>
      </c>
      <c r="AD882" s="44" t="s">
        <v>57</v>
      </c>
      <c r="AE882" s="33">
        <v>2035</v>
      </c>
      <c r="AF882" s="45" t="str">
        <f t="shared" si="110"/>
        <v>*0.9</v>
      </c>
      <c r="AG882" s="43" t="str">
        <f t="shared" si="112"/>
        <v>REZoning_Sol-Win</v>
      </c>
      <c r="AI882" s="33" t="s">
        <v>1756</v>
      </c>
      <c r="AJ882" s="44" t="s">
        <v>57</v>
      </c>
      <c r="AK882" s="33">
        <v>2050</v>
      </c>
      <c r="AL882" s="45" t="str">
        <f t="shared" si="111"/>
        <v>*0.86</v>
      </c>
      <c r="AM882" s="43" t="str">
        <f t="shared" si="113"/>
        <v>REZoning_Sol-Win</v>
      </c>
      <c r="AP882" t="s">
        <v>1756</v>
      </c>
      <c r="AQ882" t="s">
        <v>57</v>
      </c>
      <c r="AR882">
        <v>2100</v>
      </c>
      <c r="AS882" t="s">
        <v>883</v>
      </c>
      <c r="AT882" t="s">
        <v>58</v>
      </c>
    </row>
    <row r="883" ht="29" spans="1:46">
      <c r="A883" s="31" t="s">
        <v>65</v>
      </c>
      <c r="C883" t="s">
        <v>1757</v>
      </c>
      <c r="D883" s="5" t="s">
        <v>57</v>
      </c>
      <c r="E883">
        <v>2035</v>
      </c>
      <c r="F883" s="6" t="str">
        <f t="shared" si="106"/>
        <v>*0.94</v>
      </c>
      <c r="H883" t="s">
        <v>1757</v>
      </c>
      <c r="I883" s="5" t="s">
        <v>57</v>
      </c>
      <c r="J883">
        <v>2050</v>
      </c>
      <c r="K883" s="38" t="str">
        <f t="shared" si="107"/>
        <v>*0.91</v>
      </c>
      <c r="P883" s="32" t="s">
        <v>1757</v>
      </c>
      <c r="Q883" s="42" t="s">
        <v>57</v>
      </c>
      <c r="R883" s="32">
        <v>2035</v>
      </c>
      <c r="S883" s="43" t="str">
        <f t="shared" si="108"/>
        <v>*0.93</v>
      </c>
      <c r="U883" s="32" t="s">
        <v>1757</v>
      </c>
      <c r="V883" s="42" t="s">
        <v>57</v>
      </c>
      <c r="W883" s="32">
        <v>2050</v>
      </c>
      <c r="X883" s="43" t="str">
        <f t="shared" si="109"/>
        <v>*0.9</v>
      </c>
      <c r="AC883" s="33" t="s">
        <v>1757</v>
      </c>
      <c r="AD883" s="44" t="s">
        <v>57</v>
      </c>
      <c r="AE883" s="33">
        <v>2035</v>
      </c>
      <c r="AF883" s="45" t="str">
        <f t="shared" si="110"/>
        <v>*0.9</v>
      </c>
      <c r="AG883" s="43" t="str">
        <f t="shared" si="112"/>
        <v>REZoning_Sol-Win</v>
      </c>
      <c r="AI883" s="33" t="s">
        <v>1757</v>
      </c>
      <c r="AJ883" s="44" t="s">
        <v>57</v>
      </c>
      <c r="AK883" s="33">
        <v>2050</v>
      </c>
      <c r="AL883" s="45" t="str">
        <f t="shared" si="111"/>
        <v>*0.86</v>
      </c>
      <c r="AM883" s="43" t="str">
        <f t="shared" si="113"/>
        <v>REZoning_Sol-Win</v>
      </c>
      <c r="AP883" t="s">
        <v>1757</v>
      </c>
      <c r="AQ883" t="s">
        <v>57</v>
      </c>
      <c r="AR883">
        <v>2100</v>
      </c>
      <c r="AS883" t="s">
        <v>883</v>
      </c>
      <c r="AT883" t="s">
        <v>58</v>
      </c>
    </row>
    <row r="884" ht="29" spans="1:46">
      <c r="A884" s="31" t="s">
        <v>65</v>
      </c>
      <c r="C884" t="s">
        <v>1758</v>
      </c>
      <c r="D884" s="5" t="s">
        <v>57</v>
      </c>
      <c r="E884">
        <v>2035</v>
      </c>
      <c r="F884" s="6" t="str">
        <f t="shared" si="106"/>
        <v>*0.94</v>
      </c>
      <c r="H884" t="s">
        <v>1758</v>
      </c>
      <c r="I884" s="5" t="s">
        <v>57</v>
      </c>
      <c r="J884">
        <v>2050</v>
      </c>
      <c r="K884" s="38" t="str">
        <f t="shared" si="107"/>
        <v>*0.91</v>
      </c>
      <c r="P884" s="32" t="s">
        <v>1758</v>
      </c>
      <c r="Q884" s="42" t="s">
        <v>57</v>
      </c>
      <c r="R884" s="32">
        <v>2035</v>
      </c>
      <c r="S884" s="43" t="str">
        <f t="shared" si="108"/>
        <v>*0.93</v>
      </c>
      <c r="U884" s="32" t="s">
        <v>1758</v>
      </c>
      <c r="V884" s="42" t="s">
        <v>57</v>
      </c>
      <c r="W884" s="32">
        <v>2050</v>
      </c>
      <c r="X884" s="43" t="str">
        <f t="shared" si="109"/>
        <v>*0.9</v>
      </c>
      <c r="AC884" s="33" t="s">
        <v>1758</v>
      </c>
      <c r="AD884" s="44" t="s">
        <v>57</v>
      </c>
      <c r="AE884" s="33">
        <v>2035</v>
      </c>
      <c r="AF884" s="45" t="str">
        <f t="shared" si="110"/>
        <v>*0.9</v>
      </c>
      <c r="AG884" s="43" t="str">
        <f t="shared" si="112"/>
        <v>REZoning_Sol-Win</v>
      </c>
      <c r="AI884" s="33" t="s">
        <v>1758</v>
      </c>
      <c r="AJ884" s="44" t="s">
        <v>57</v>
      </c>
      <c r="AK884" s="33">
        <v>2050</v>
      </c>
      <c r="AL884" s="45" t="str">
        <f t="shared" si="111"/>
        <v>*0.86</v>
      </c>
      <c r="AM884" s="43" t="str">
        <f t="shared" si="113"/>
        <v>REZoning_Sol-Win</v>
      </c>
      <c r="AP884" t="s">
        <v>1758</v>
      </c>
      <c r="AQ884" t="s">
        <v>57</v>
      </c>
      <c r="AR884">
        <v>2100</v>
      </c>
      <c r="AS884" t="s">
        <v>883</v>
      </c>
      <c r="AT884" t="s">
        <v>58</v>
      </c>
    </row>
    <row r="885" ht="29" spans="1:46">
      <c r="A885" s="31" t="s">
        <v>65</v>
      </c>
      <c r="C885" t="s">
        <v>1759</v>
      </c>
      <c r="D885" s="5" t="s">
        <v>57</v>
      </c>
      <c r="E885">
        <v>2035</v>
      </c>
      <c r="F885" s="6" t="str">
        <f t="shared" si="106"/>
        <v>*0.94</v>
      </c>
      <c r="H885" t="s">
        <v>1759</v>
      </c>
      <c r="I885" s="5" t="s">
        <v>57</v>
      </c>
      <c r="J885">
        <v>2050</v>
      </c>
      <c r="K885" s="38" t="str">
        <f t="shared" si="107"/>
        <v>*0.91</v>
      </c>
      <c r="P885" s="32" t="s">
        <v>1759</v>
      </c>
      <c r="Q885" s="42" t="s">
        <v>57</v>
      </c>
      <c r="R885" s="32">
        <v>2035</v>
      </c>
      <c r="S885" s="43" t="str">
        <f t="shared" si="108"/>
        <v>*0.93</v>
      </c>
      <c r="U885" s="32" t="s">
        <v>1759</v>
      </c>
      <c r="V885" s="42" t="s">
        <v>57</v>
      </c>
      <c r="W885" s="32">
        <v>2050</v>
      </c>
      <c r="X885" s="43" t="str">
        <f t="shared" si="109"/>
        <v>*0.9</v>
      </c>
      <c r="AC885" s="33" t="s">
        <v>1759</v>
      </c>
      <c r="AD885" s="44" t="s">
        <v>57</v>
      </c>
      <c r="AE885" s="33">
        <v>2035</v>
      </c>
      <c r="AF885" s="45" t="str">
        <f t="shared" si="110"/>
        <v>*0.9</v>
      </c>
      <c r="AG885" s="43" t="str">
        <f t="shared" si="112"/>
        <v>REZoning_Sol-Win</v>
      </c>
      <c r="AI885" s="33" t="s">
        <v>1759</v>
      </c>
      <c r="AJ885" s="44" t="s">
        <v>57</v>
      </c>
      <c r="AK885" s="33">
        <v>2050</v>
      </c>
      <c r="AL885" s="45" t="str">
        <f t="shared" si="111"/>
        <v>*0.86</v>
      </c>
      <c r="AM885" s="43" t="str">
        <f t="shared" si="113"/>
        <v>REZoning_Sol-Win</v>
      </c>
      <c r="AP885" t="s">
        <v>1759</v>
      </c>
      <c r="AQ885" t="s">
        <v>57</v>
      </c>
      <c r="AR885">
        <v>2100</v>
      </c>
      <c r="AS885" t="s">
        <v>883</v>
      </c>
      <c r="AT885" t="s">
        <v>58</v>
      </c>
    </row>
    <row r="886" ht="29" spans="1:46">
      <c r="A886" s="31" t="s">
        <v>65</v>
      </c>
      <c r="C886" t="s">
        <v>1760</v>
      </c>
      <c r="D886" s="5" t="s">
        <v>57</v>
      </c>
      <c r="E886">
        <v>2035</v>
      </c>
      <c r="F886" s="6" t="str">
        <f t="shared" si="106"/>
        <v>*0.94</v>
      </c>
      <c r="H886" t="s">
        <v>1760</v>
      </c>
      <c r="I886" s="5" t="s">
        <v>57</v>
      </c>
      <c r="J886">
        <v>2050</v>
      </c>
      <c r="K886" s="38" t="str">
        <f t="shared" si="107"/>
        <v>*0.91</v>
      </c>
      <c r="P886" s="32" t="s">
        <v>1760</v>
      </c>
      <c r="Q886" s="42" t="s">
        <v>57</v>
      </c>
      <c r="R886" s="32">
        <v>2035</v>
      </c>
      <c r="S886" s="43" t="str">
        <f t="shared" si="108"/>
        <v>*0.93</v>
      </c>
      <c r="U886" s="32" t="s">
        <v>1760</v>
      </c>
      <c r="V886" s="42" t="s">
        <v>57</v>
      </c>
      <c r="W886" s="32">
        <v>2050</v>
      </c>
      <c r="X886" s="43" t="str">
        <f t="shared" si="109"/>
        <v>*0.9</v>
      </c>
      <c r="AC886" s="33" t="s">
        <v>1760</v>
      </c>
      <c r="AD886" s="44" t="s">
        <v>57</v>
      </c>
      <c r="AE886" s="33">
        <v>2035</v>
      </c>
      <c r="AF886" s="45" t="str">
        <f t="shared" si="110"/>
        <v>*0.9</v>
      </c>
      <c r="AG886" s="43" t="str">
        <f t="shared" si="112"/>
        <v>REZoning_Sol-Win</v>
      </c>
      <c r="AI886" s="33" t="s">
        <v>1760</v>
      </c>
      <c r="AJ886" s="44" t="s">
        <v>57</v>
      </c>
      <c r="AK886" s="33">
        <v>2050</v>
      </c>
      <c r="AL886" s="45" t="str">
        <f t="shared" si="111"/>
        <v>*0.86</v>
      </c>
      <c r="AM886" s="43" t="str">
        <f t="shared" si="113"/>
        <v>REZoning_Sol-Win</v>
      </c>
      <c r="AP886" t="s">
        <v>1760</v>
      </c>
      <c r="AQ886" t="s">
        <v>57</v>
      </c>
      <c r="AR886">
        <v>2100</v>
      </c>
      <c r="AS886" t="s">
        <v>883</v>
      </c>
      <c r="AT886" t="s">
        <v>58</v>
      </c>
    </row>
    <row r="887" ht="29" spans="1:46">
      <c r="A887" s="31" t="s">
        <v>73</v>
      </c>
      <c r="C887" t="s">
        <v>1761</v>
      </c>
      <c r="D887" s="5" t="s">
        <v>57</v>
      </c>
      <c r="E887">
        <v>2035</v>
      </c>
      <c r="F887" s="6" t="str">
        <f t="shared" si="106"/>
        <v>*0.95</v>
      </c>
      <c r="H887" t="s">
        <v>1761</v>
      </c>
      <c r="I887" s="5" t="s">
        <v>57</v>
      </c>
      <c r="J887">
        <v>2050</v>
      </c>
      <c r="K887" s="38" t="str">
        <f t="shared" si="107"/>
        <v>*0.93</v>
      </c>
      <c r="P887" s="32" t="s">
        <v>1761</v>
      </c>
      <c r="Q887" s="42" t="s">
        <v>57</v>
      </c>
      <c r="R887" s="32">
        <v>2035</v>
      </c>
      <c r="S887" s="43" t="str">
        <f t="shared" si="108"/>
        <v>*0.95</v>
      </c>
      <c r="U887" s="32" t="s">
        <v>1761</v>
      </c>
      <c r="V887" s="42" t="s">
        <v>57</v>
      </c>
      <c r="W887" s="32">
        <v>2050</v>
      </c>
      <c r="X887" s="43" t="str">
        <f t="shared" si="109"/>
        <v>*0.93</v>
      </c>
      <c r="AC887" s="33" t="s">
        <v>1761</v>
      </c>
      <c r="AD887" s="44" t="s">
        <v>57</v>
      </c>
      <c r="AE887" s="33">
        <v>2035</v>
      </c>
      <c r="AF887" s="45" t="str">
        <f t="shared" si="110"/>
        <v>*0.93</v>
      </c>
      <c r="AG887" s="43" t="str">
        <f t="shared" si="112"/>
        <v>REZoning_Sol-Win</v>
      </c>
      <c r="AI887" s="33" t="s">
        <v>1761</v>
      </c>
      <c r="AJ887" s="44" t="s">
        <v>57</v>
      </c>
      <c r="AK887" s="33">
        <v>2050</v>
      </c>
      <c r="AL887" s="45" t="str">
        <f t="shared" si="111"/>
        <v>*0.9</v>
      </c>
      <c r="AM887" s="43" t="str">
        <f t="shared" si="113"/>
        <v>REZoning_Sol-Win</v>
      </c>
      <c r="AP887" t="s">
        <v>1761</v>
      </c>
      <c r="AQ887" t="s">
        <v>57</v>
      </c>
      <c r="AR887">
        <v>2100</v>
      </c>
      <c r="AS887" t="s">
        <v>897</v>
      </c>
      <c r="AT887" t="s">
        <v>58</v>
      </c>
    </row>
    <row r="888" ht="29" spans="1:46">
      <c r="A888" s="31" t="s">
        <v>73</v>
      </c>
      <c r="C888" t="s">
        <v>1762</v>
      </c>
      <c r="D888" s="5" t="s">
        <v>57</v>
      </c>
      <c r="E888">
        <v>2035</v>
      </c>
      <c r="F888" s="6" t="str">
        <f t="shared" si="106"/>
        <v>*0.95</v>
      </c>
      <c r="H888" t="s">
        <v>1762</v>
      </c>
      <c r="I888" s="5" t="s">
        <v>57</v>
      </c>
      <c r="J888">
        <v>2050</v>
      </c>
      <c r="K888" s="38" t="str">
        <f t="shared" si="107"/>
        <v>*0.93</v>
      </c>
      <c r="P888" s="32" t="s">
        <v>1762</v>
      </c>
      <c r="Q888" s="42" t="s">
        <v>57</v>
      </c>
      <c r="R888" s="32">
        <v>2035</v>
      </c>
      <c r="S888" s="43" t="str">
        <f t="shared" si="108"/>
        <v>*0.95</v>
      </c>
      <c r="U888" s="32" t="s">
        <v>1762</v>
      </c>
      <c r="V888" s="42" t="s">
        <v>57</v>
      </c>
      <c r="W888" s="32">
        <v>2050</v>
      </c>
      <c r="X888" s="43" t="str">
        <f t="shared" si="109"/>
        <v>*0.93</v>
      </c>
      <c r="AC888" s="33" t="s">
        <v>1762</v>
      </c>
      <c r="AD888" s="44" t="s">
        <v>57</v>
      </c>
      <c r="AE888" s="33">
        <v>2035</v>
      </c>
      <c r="AF888" s="45" t="str">
        <f t="shared" si="110"/>
        <v>*0.93</v>
      </c>
      <c r="AG888" s="43" t="str">
        <f t="shared" si="112"/>
        <v>REZoning_Sol-Win</v>
      </c>
      <c r="AI888" s="33" t="s">
        <v>1762</v>
      </c>
      <c r="AJ888" s="44" t="s">
        <v>57</v>
      </c>
      <c r="AK888" s="33">
        <v>2050</v>
      </c>
      <c r="AL888" s="45" t="str">
        <f t="shared" si="111"/>
        <v>*0.9</v>
      </c>
      <c r="AM888" s="43" t="str">
        <f t="shared" si="113"/>
        <v>REZoning_Sol-Win</v>
      </c>
      <c r="AP888" t="s">
        <v>1762</v>
      </c>
      <c r="AQ888" t="s">
        <v>57</v>
      </c>
      <c r="AR888">
        <v>2100</v>
      </c>
      <c r="AS888" t="s">
        <v>897</v>
      </c>
      <c r="AT888" t="s">
        <v>58</v>
      </c>
    </row>
    <row r="889" ht="29" spans="1:46">
      <c r="A889" s="31" t="s">
        <v>73</v>
      </c>
      <c r="C889" t="s">
        <v>1763</v>
      </c>
      <c r="D889" s="5" t="s">
        <v>57</v>
      </c>
      <c r="E889">
        <v>2035</v>
      </c>
      <c r="F889" s="6" t="str">
        <f t="shared" si="106"/>
        <v>*0.95</v>
      </c>
      <c r="H889" t="s">
        <v>1763</v>
      </c>
      <c r="I889" s="5" t="s">
        <v>57</v>
      </c>
      <c r="J889">
        <v>2050</v>
      </c>
      <c r="K889" s="38" t="str">
        <f t="shared" si="107"/>
        <v>*0.93</v>
      </c>
      <c r="P889" s="32" t="s">
        <v>1763</v>
      </c>
      <c r="Q889" s="42" t="s">
        <v>57</v>
      </c>
      <c r="R889" s="32">
        <v>2035</v>
      </c>
      <c r="S889" s="43" t="str">
        <f t="shared" si="108"/>
        <v>*0.95</v>
      </c>
      <c r="U889" s="32" t="s">
        <v>1763</v>
      </c>
      <c r="V889" s="42" t="s">
        <v>57</v>
      </c>
      <c r="W889" s="32">
        <v>2050</v>
      </c>
      <c r="X889" s="43" t="str">
        <f t="shared" si="109"/>
        <v>*0.93</v>
      </c>
      <c r="AC889" s="33" t="s">
        <v>1763</v>
      </c>
      <c r="AD889" s="44" t="s">
        <v>57</v>
      </c>
      <c r="AE889" s="33">
        <v>2035</v>
      </c>
      <c r="AF889" s="45" t="str">
        <f t="shared" si="110"/>
        <v>*0.93</v>
      </c>
      <c r="AG889" s="43" t="str">
        <f t="shared" si="112"/>
        <v>REZoning_Sol-Win</v>
      </c>
      <c r="AI889" s="33" t="s">
        <v>1763</v>
      </c>
      <c r="AJ889" s="44" t="s">
        <v>57</v>
      </c>
      <c r="AK889" s="33">
        <v>2050</v>
      </c>
      <c r="AL889" s="45" t="str">
        <f t="shared" si="111"/>
        <v>*0.9</v>
      </c>
      <c r="AM889" s="43" t="str">
        <f t="shared" si="113"/>
        <v>REZoning_Sol-Win</v>
      </c>
      <c r="AP889" t="s">
        <v>1763</v>
      </c>
      <c r="AQ889" t="s">
        <v>57</v>
      </c>
      <c r="AR889">
        <v>2100</v>
      </c>
      <c r="AS889" t="s">
        <v>897</v>
      </c>
      <c r="AT889" t="s">
        <v>58</v>
      </c>
    </row>
    <row r="890" ht="29" spans="1:46">
      <c r="A890" s="31" t="s">
        <v>73</v>
      </c>
      <c r="C890" t="s">
        <v>1764</v>
      </c>
      <c r="D890" s="5" t="s">
        <v>57</v>
      </c>
      <c r="E890">
        <v>2035</v>
      </c>
      <c r="F890" s="6" t="str">
        <f t="shared" si="106"/>
        <v>*0.95</v>
      </c>
      <c r="H890" t="s">
        <v>1764</v>
      </c>
      <c r="I890" s="5" t="s">
        <v>57</v>
      </c>
      <c r="J890">
        <v>2050</v>
      </c>
      <c r="K890" s="38" t="str">
        <f t="shared" si="107"/>
        <v>*0.93</v>
      </c>
      <c r="P890" s="32" t="s">
        <v>1764</v>
      </c>
      <c r="Q890" s="42" t="s">
        <v>57</v>
      </c>
      <c r="R890" s="32">
        <v>2035</v>
      </c>
      <c r="S890" s="43" t="str">
        <f t="shared" si="108"/>
        <v>*0.95</v>
      </c>
      <c r="U890" s="32" t="s">
        <v>1764</v>
      </c>
      <c r="V890" s="42" t="s">
        <v>57</v>
      </c>
      <c r="W890" s="32">
        <v>2050</v>
      </c>
      <c r="X890" s="43" t="str">
        <f t="shared" si="109"/>
        <v>*0.93</v>
      </c>
      <c r="AC890" s="33" t="s">
        <v>1764</v>
      </c>
      <c r="AD890" s="44" t="s">
        <v>57</v>
      </c>
      <c r="AE890" s="33">
        <v>2035</v>
      </c>
      <c r="AF890" s="45" t="str">
        <f t="shared" si="110"/>
        <v>*0.93</v>
      </c>
      <c r="AG890" s="43" t="str">
        <f t="shared" si="112"/>
        <v>REZoning_Sol-Win</v>
      </c>
      <c r="AI890" s="33" t="s">
        <v>1764</v>
      </c>
      <c r="AJ890" s="44" t="s">
        <v>57</v>
      </c>
      <c r="AK890" s="33">
        <v>2050</v>
      </c>
      <c r="AL890" s="45" t="str">
        <f t="shared" si="111"/>
        <v>*0.9</v>
      </c>
      <c r="AM890" s="43" t="str">
        <f t="shared" si="113"/>
        <v>REZoning_Sol-Win</v>
      </c>
      <c r="AP890" t="s">
        <v>1764</v>
      </c>
      <c r="AQ890" t="s">
        <v>57</v>
      </c>
      <c r="AR890">
        <v>2100</v>
      </c>
      <c r="AS890" t="s">
        <v>897</v>
      </c>
      <c r="AT890" t="s">
        <v>58</v>
      </c>
    </row>
    <row r="891" ht="29" spans="1:46">
      <c r="A891" s="31" t="s">
        <v>73</v>
      </c>
      <c r="C891" t="s">
        <v>1765</v>
      </c>
      <c r="D891" s="5" t="s">
        <v>57</v>
      </c>
      <c r="E891">
        <v>2035</v>
      </c>
      <c r="F891" s="6" t="str">
        <f t="shared" si="106"/>
        <v>*0.95</v>
      </c>
      <c r="H891" t="s">
        <v>1765</v>
      </c>
      <c r="I891" s="5" t="s">
        <v>57</v>
      </c>
      <c r="J891">
        <v>2050</v>
      </c>
      <c r="K891" s="38" t="str">
        <f t="shared" si="107"/>
        <v>*0.93</v>
      </c>
      <c r="P891" s="32" t="s">
        <v>1765</v>
      </c>
      <c r="Q891" s="42" t="s">
        <v>57</v>
      </c>
      <c r="R891" s="32">
        <v>2035</v>
      </c>
      <c r="S891" s="43" t="str">
        <f t="shared" si="108"/>
        <v>*0.95</v>
      </c>
      <c r="U891" s="32" t="s">
        <v>1765</v>
      </c>
      <c r="V891" s="42" t="s">
        <v>57</v>
      </c>
      <c r="W891" s="32">
        <v>2050</v>
      </c>
      <c r="X891" s="43" t="str">
        <f t="shared" si="109"/>
        <v>*0.93</v>
      </c>
      <c r="AC891" s="33" t="s">
        <v>1765</v>
      </c>
      <c r="AD891" s="44" t="s">
        <v>57</v>
      </c>
      <c r="AE891" s="33">
        <v>2035</v>
      </c>
      <c r="AF891" s="45" t="str">
        <f t="shared" si="110"/>
        <v>*0.93</v>
      </c>
      <c r="AG891" s="43" t="str">
        <f t="shared" si="112"/>
        <v>REZoning_Sol-Win</v>
      </c>
      <c r="AI891" s="33" t="s">
        <v>1765</v>
      </c>
      <c r="AJ891" s="44" t="s">
        <v>57</v>
      </c>
      <c r="AK891" s="33">
        <v>2050</v>
      </c>
      <c r="AL891" s="45" t="str">
        <f t="shared" si="111"/>
        <v>*0.9</v>
      </c>
      <c r="AM891" s="43" t="str">
        <f t="shared" si="113"/>
        <v>REZoning_Sol-Win</v>
      </c>
      <c r="AP891" t="s">
        <v>1765</v>
      </c>
      <c r="AQ891" t="s">
        <v>57</v>
      </c>
      <c r="AR891">
        <v>2100</v>
      </c>
      <c r="AS891" t="s">
        <v>897</v>
      </c>
      <c r="AT891" t="s">
        <v>58</v>
      </c>
    </row>
    <row r="892" ht="29" spans="1:46">
      <c r="A892" s="31" t="s">
        <v>73</v>
      </c>
      <c r="C892" t="s">
        <v>1766</v>
      </c>
      <c r="D892" s="5" t="s">
        <v>57</v>
      </c>
      <c r="E892">
        <v>2035</v>
      </c>
      <c r="F892" s="6" t="str">
        <f t="shared" si="106"/>
        <v>*0.95</v>
      </c>
      <c r="H892" t="s">
        <v>1766</v>
      </c>
      <c r="I892" s="5" t="s">
        <v>57</v>
      </c>
      <c r="J892">
        <v>2050</v>
      </c>
      <c r="K892" s="38" t="str">
        <f t="shared" si="107"/>
        <v>*0.93</v>
      </c>
      <c r="P892" s="32" t="s">
        <v>1766</v>
      </c>
      <c r="Q892" s="42" t="s">
        <v>57</v>
      </c>
      <c r="R892" s="32">
        <v>2035</v>
      </c>
      <c r="S892" s="43" t="str">
        <f t="shared" si="108"/>
        <v>*0.95</v>
      </c>
      <c r="U892" s="32" t="s">
        <v>1766</v>
      </c>
      <c r="V892" s="42" t="s">
        <v>57</v>
      </c>
      <c r="W892" s="32">
        <v>2050</v>
      </c>
      <c r="X892" s="43" t="str">
        <f t="shared" si="109"/>
        <v>*0.93</v>
      </c>
      <c r="AC892" s="33" t="s">
        <v>1766</v>
      </c>
      <c r="AD892" s="44" t="s">
        <v>57</v>
      </c>
      <c r="AE892" s="33">
        <v>2035</v>
      </c>
      <c r="AF892" s="45" t="str">
        <f t="shared" si="110"/>
        <v>*0.93</v>
      </c>
      <c r="AG892" s="43" t="str">
        <f t="shared" si="112"/>
        <v>REZoning_Sol-Win</v>
      </c>
      <c r="AI892" s="33" t="s">
        <v>1766</v>
      </c>
      <c r="AJ892" s="44" t="s">
        <v>57</v>
      </c>
      <c r="AK892" s="33">
        <v>2050</v>
      </c>
      <c r="AL892" s="45" t="str">
        <f t="shared" si="111"/>
        <v>*0.9</v>
      </c>
      <c r="AM892" s="43" t="str">
        <f t="shared" si="113"/>
        <v>REZoning_Sol-Win</v>
      </c>
      <c r="AP892" t="s">
        <v>1766</v>
      </c>
      <c r="AQ892" t="s">
        <v>57</v>
      </c>
      <c r="AR892">
        <v>2100</v>
      </c>
      <c r="AS892" t="s">
        <v>897</v>
      </c>
      <c r="AT892" t="s">
        <v>58</v>
      </c>
    </row>
    <row r="893" ht="29" spans="1:46">
      <c r="A893" s="31" t="s">
        <v>73</v>
      </c>
      <c r="C893" t="s">
        <v>1767</v>
      </c>
      <c r="D893" s="5" t="s">
        <v>57</v>
      </c>
      <c r="E893">
        <v>2035</v>
      </c>
      <c r="F893" s="6" t="str">
        <f t="shared" si="106"/>
        <v>*0.95</v>
      </c>
      <c r="H893" t="s">
        <v>1767</v>
      </c>
      <c r="I893" s="5" t="s">
        <v>57</v>
      </c>
      <c r="J893">
        <v>2050</v>
      </c>
      <c r="K893" s="38" t="str">
        <f t="shared" si="107"/>
        <v>*0.93</v>
      </c>
      <c r="P893" s="32" t="s">
        <v>1767</v>
      </c>
      <c r="Q893" s="42" t="s">
        <v>57</v>
      </c>
      <c r="R893" s="32">
        <v>2035</v>
      </c>
      <c r="S893" s="43" t="str">
        <f t="shared" si="108"/>
        <v>*0.95</v>
      </c>
      <c r="U893" s="32" t="s">
        <v>1767</v>
      </c>
      <c r="V893" s="42" t="s">
        <v>57</v>
      </c>
      <c r="W893" s="32">
        <v>2050</v>
      </c>
      <c r="X893" s="43" t="str">
        <f t="shared" si="109"/>
        <v>*0.93</v>
      </c>
      <c r="AC893" s="33" t="s">
        <v>1767</v>
      </c>
      <c r="AD893" s="44" t="s">
        <v>57</v>
      </c>
      <c r="AE893" s="33">
        <v>2035</v>
      </c>
      <c r="AF893" s="45" t="str">
        <f t="shared" si="110"/>
        <v>*0.93</v>
      </c>
      <c r="AG893" s="43" t="str">
        <f t="shared" si="112"/>
        <v>REZoning_Sol-Win</v>
      </c>
      <c r="AI893" s="33" t="s">
        <v>1767</v>
      </c>
      <c r="AJ893" s="44" t="s">
        <v>57</v>
      </c>
      <c r="AK893" s="33">
        <v>2050</v>
      </c>
      <c r="AL893" s="45" t="str">
        <f t="shared" si="111"/>
        <v>*0.9</v>
      </c>
      <c r="AM893" s="43" t="str">
        <f t="shared" si="113"/>
        <v>REZoning_Sol-Win</v>
      </c>
      <c r="AP893" t="s">
        <v>1767</v>
      </c>
      <c r="AQ893" t="s">
        <v>57</v>
      </c>
      <c r="AR893">
        <v>2100</v>
      </c>
      <c r="AS893" t="s">
        <v>897</v>
      </c>
      <c r="AT893" t="s">
        <v>58</v>
      </c>
    </row>
    <row r="894" ht="29" spans="1:46">
      <c r="A894" s="31" t="s">
        <v>73</v>
      </c>
      <c r="C894" t="s">
        <v>1768</v>
      </c>
      <c r="D894" s="5" t="s">
        <v>57</v>
      </c>
      <c r="E894">
        <v>2035</v>
      </c>
      <c r="F894" s="6" t="str">
        <f t="shared" si="106"/>
        <v>*0.95</v>
      </c>
      <c r="H894" t="s">
        <v>1768</v>
      </c>
      <c r="I894" s="5" t="s">
        <v>57</v>
      </c>
      <c r="J894">
        <v>2050</v>
      </c>
      <c r="K894" s="38" t="str">
        <f t="shared" si="107"/>
        <v>*0.93</v>
      </c>
      <c r="P894" s="32" t="s">
        <v>1768</v>
      </c>
      <c r="Q894" s="42" t="s">
        <v>57</v>
      </c>
      <c r="R894" s="32">
        <v>2035</v>
      </c>
      <c r="S894" s="43" t="str">
        <f t="shared" si="108"/>
        <v>*0.95</v>
      </c>
      <c r="U894" s="32" t="s">
        <v>1768</v>
      </c>
      <c r="V894" s="42" t="s">
        <v>57</v>
      </c>
      <c r="W894" s="32">
        <v>2050</v>
      </c>
      <c r="X894" s="43" t="str">
        <f t="shared" si="109"/>
        <v>*0.93</v>
      </c>
      <c r="AC894" s="33" t="s">
        <v>1768</v>
      </c>
      <c r="AD894" s="44" t="s">
        <v>57</v>
      </c>
      <c r="AE894" s="33">
        <v>2035</v>
      </c>
      <c r="AF894" s="45" t="str">
        <f t="shared" si="110"/>
        <v>*0.93</v>
      </c>
      <c r="AG894" s="43" t="str">
        <f t="shared" si="112"/>
        <v>REZoning_Sol-Win</v>
      </c>
      <c r="AI894" s="33" t="s">
        <v>1768</v>
      </c>
      <c r="AJ894" s="44" t="s">
        <v>57</v>
      </c>
      <c r="AK894" s="33">
        <v>2050</v>
      </c>
      <c r="AL894" s="45" t="str">
        <f t="shared" si="111"/>
        <v>*0.9</v>
      </c>
      <c r="AM894" s="43" t="str">
        <f t="shared" si="113"/>
        <v>REZoning_Sol-Win</v>
      </c>
      <c r="AP894" t="s">
        <v>1768</v>
      </c>
      <c r="AQ894" t="s">
        <v>57</v>
      </c>
      <c r="AR894">
        <v>2100</v>
      </c>
      <c r="AS894" t="s">
        <v>897</v>
      </c>
      <c r="AT894" t="s">
        <v>58</v>
      </c>
    </row>
    <row r="895" ht="29" spans="1:46">
      <c r="A895" s="31" t="s">
        <v>73</v>
      </c>
      <c r="C895" t="s">
        <v>1769</v>
      </c>
      <c r="D895" s="5" t="s">
        <v>57</v>
      </c>
      <c r="E895">
        <v>2035</v>
      </c>
      <c r="F895" s="6" t="str">
        <f t="shared" si="106"/>
        <v>*0.95</v>
      </c>
      <c r="H895" t="s">
        <v>1769</v>
      </c>
      <c r="I895" s="5" t="s">
        <v>57</v>
      </c>
      <c r="J895">
        <v>2050</v>
      </c>
      <c r="K895" s="38" t="str">
        <f t="shared" si="107"/>
        <v>*0.93</v>
      </c>
      <c r="P895" s="32" t="s">
        <v>1769</v>
      </c>
      <c r="Q895" s="42" t="s">
        <v>57</v>
      </c>
      <c r="R895" s="32">
        <v>2035</v>
      </c>
      <c r="S895" s="43" t="str">
        <f t="shared" si="108"/>
        <v>*0.95</v>
      </c>
      <c r="U895" s="32" t="s">
        <v>1769</v>
      </c>
      <c r="V895" s="42" t="s">
        <v>57</v>
      </c>
      <c r="W895" s="32">
        <v>2050</v>
      </c>
      <c r="X895" s="43" t="str">
        <f t="shared" si="109"/>
        <v>*0.93</v>
      </c>
      <c r="AC895" s="33" t="s">
        <v>1769</v>
      </c>
      <c r="AD895" s="44" t="s">
        <v>57</v>
      </c>
      <c r="AE895" s="33">
        <v>2035</v>
      </c>
      <c r="AF895" s="45" t="str">
        <f t="shared" si="110"/>
        <v>*0.93</v>
      </c>
      <c r="AG895" s="43" t="str">
        <f t="shared" si="112"/>
        <v>REZoning_Sol-Win</v>
      </c>
      <c r="AI895" s="33" t="s">
        <v>1769</v>
      </c>
      <c r="AJ895" s="44" t="s">
        <v>57</v>
      </c>
      <c r="AK895" s="33">
        <v>2050</v>
      </c>
      <c r="AL895" s="45" t="str">
        <f t="shared" si="111"/>
        <v>*0.9</v>
      </c>
      <c r="AM895" s="43" t="str">
        <f t="shared" si="113"/>
        <v>REZoning_Sol-Win</v>
      </c>
      <c r="AP895" t="s">
        <v>1769</v>
      </c>
      <c r="AQ895" t="s">
        <v>57</v>
      </c>
      <c r="AR895">
        <v>2100</v>
      </c>
      <c r="AS895" t="s">
        <v>897</v>
      </c>
      <c r="AT895" t="s">
        <v>58</v>
      </c>
    </row>
    <row r="896" ht="29" spans="1:46">
      <c r="A896" s="31" t="s">
        <v>73</v>
      </c>
      <c r="C896" t="s">
        <v>1770</v>
      </c>
      <c r="D896" s="5" t="s">
        <v>57</v>
      </c>
      <c r="E896">
        <v>2035</v>
      </c>
      <c r="F896" s="6" t="str">
        <f t="shared" si="106"/>
        <v>*0.95</v>
      </c>
      <c r="H896" t="s">
        <v>1770</v>
      </c>
      <c r="I896" s="5" t="s">
        <v>57</v>
      </c>
      <c r="J896">
        <v>2050</v>
      </c>
      <c r="K896" s="38" t="str">
        <f t="shared" si="107"/>
        <v>*0.93</v>
      </c>
      <c r="P896" s="32" t="s">
        <v>1770</v>
      </c>
      <c r="Q896" s="42" t="s">
        <v>57</v>
      </c>
      <c r="R896" s="32">
        <v>2035</v>
      </c>
      <c r="S896" s="43" t="str">
        <f t="shared" si="108"/>
        <v>*0.95</v>
      </c>
      <c r="U896" s="32" t="s">
        <v>1770</v>
      </c>
      <c r="V896" s="42" t="s">
        <v>57</v>
      </c>
      <c r="W896" s="32">
        <v>2050</v>
      </c>
      <c r="X896" s="43" t="str">
        <f t="shared" si="109"/>
        <v>*0.93</v>
      </c>
      <c r="AC896" s="33" t="s">
        <v>1770</v>
      </c>
      <c r="AD896" s="44" t="s">
        <v>57</v>
      </c>
      <c r="AE896" s="33">
        <v>2035</v>
      </c>
      <c r="AF896" s="45" t="str">
        <f t="shared" si="110"/>
        <v>*0.93</v>
      </c>
      <c r="AG896" s="43" t="str">
        <f t="shared" si="112"/>
        <v>REZoning_Sol-Win</v>
      </c>
      <c r="AI896" s="33" t="s">
        <v>1770</v>
      </c>
      <c r="AJ896" s="44" t="s">
        <v>57</v>
      </c>
      <c r="AK896" s="33">
        <v>2050</v>
      </c>
      <c r="AL896" s="45" t="str">
        <f t="shared" si="111"/>
        <v>*0.9</v>
      </c>
      <c r="AM896" s="43" t="str">
        <f t="shared" si="113"/>
        <v>REZoning_Sol-Win</v>
      </c>
      <c r="AP896" t="s">
        <v>1770</v>
      </c>
      <c r="AQ896" t="s">
        <v>57</v>
      </c>
      <c r="AR896">
        <v>2100</v>
      </c>
      <c r="AS896" t="s">
        <v>897</v>
      </c>
      <c r="AT896" t="s">
        <v>58</v>
      </c>
    </row>
    <row r="897" ht="29" spans="1:46">
      <c r="A897" s="31" t="s">
        <v>73</v>
      </c>
      <c r="C897" t="s">
        <v>1771</v>
      </c>
      <c r="D897" s="5" t="s">
        <v>57</v>
      </c>
      <c r="E897">
        <v>2035</v>
      </c>
      <c r="F897" s="6" t="str">
        <f t="shared" si="106"/>
        <v>*0.95</v>
      </c>
      <c r="H897" t="s">
        <v>1771</v>
      </c>
      <c r="I897" s="5" t="s">
        <v>57</v>
      </c>
      <c r="J897">
        <v>2050</v>
      </c>
      <c r="K897" s="38" t="str">
        <f t="shared" si="107"/>
        <v>*0.93</v>
      </c>
      <c r="P897" s="32" t="s">
        <v>1771</v>
      </c>
      <c r="Q897" s="42" t="s">
        <v>57</v>
      </c>
      <c r="R897" s="32">
        <v>2035</v>
      </c>
      <c r="S897" s="43" t="str">
        <f t="shared" si="108"/>
        <v>*0.95</v>
      </c>
      <c r="U897" s="32" t="s">
        <v>1771</v>
      </c>
      <c r="V897" s="42" t="s">
        <v>57</v>
      </c>
      <c r="W897" s="32">
        <v>2050</v>
      </c>
      <c r="X897" s="43" t="str">
        <f t="shared" si="109"/>
        <v>*0.93</v>
      </c>
      <c r="AC897" s="33" t="s">
        <v>1771</v>
      </c>
      <c r="AD897" s="44" t="s">
        <v>57</v>
      </c>
      <c r="AE897" s="33">
        <v>2035</v>
      </c>
      <c r="AF897" s="45" t="str">
        <f t="shared" si="110"/>
        <v>*0.93</v>
      </c>
      <c r="AG897" s="43" t="str">
        <f t="shared" si="112"/>
        <v>REZoning_Sol-Win</v>
      </c>
      <c r="AI897" s="33" t="s">
        <v>1771</v>
      </c>
      <c r="AJ897" s="44" t="s">
        <v>57</v>
      </c>
      <c r="AK897" s="33">
        <v>2050</v>
      </c>
      <c r="AL897" s="45" t="str">
        <f t="shared" si="111"/>
        <v>*0.9</v>
      </c>
      <c r="AM897" s="43" t="str">
        <f t="shared" si="113"/>
        <v>REZoning_Sol-Win</v>
      </c>
      <c r="AP897" t="s">
        <v>1771</v>
      </c>
      <c r="AQ897" t="s">
        <v>57</v>
      </c>
      <c r="AR897">
        <v>2100</v>
      </c>
      <c r="AS897" t="s">
        <v>897</v>
      </c>
      <c r="AT897" t="s">
        <v>58</v>
      </c>
    </row>
    <row r="898" ht="29" spans="1:46">
      <c r="A898" s="31" t="s">
        <v>73</v>
      </c>
      <c r="C898" t="s">
        <v>1772</v>
      </c>
      <c r="D898" s="5" t="s">
        <v>57</v>
      </c>
      <c r="E898">
        <v>2035</v>
      </c>
      <c r="F898" s="6" t="str">
        <f t="shared" si="106"/>
        <v>*0.95</v>
      </c>
      <c r="H898" t="s">
        <v>1772</v>
      </c>
      <c r="I898" s="5" t="s">
        <v>57</v>
      </c>
      <c r="J898">
        <v>2050</v>
      </c>
      <c r="K898" s="38" t="str">
        <f t="shared" si="107"/>
        <v>*0.93</v>
      </c>
      <c r="P898" s="32" t="s">
        <v>1772</v>
      </c>
      <c r="Q898" s="42" t="s">
        <v>57</v>
      </c>
      <c r="R898" s="32">
        <v>2035</v>
      </c>
      <c r="S898" s="43" t="str">
        <f t="shared" si="108"/>
        <v>*0.95</v>
      </c>
      <c r="U898" s="32" t="s">
        <v>1772</v>
      </c>
      <c r="V898" s="42" t="s">
        <v>57</v>
      </c>
      <c r="W898" s="32">
        <v>2050</v>
      </c>
      <c r="X898" s="43" t="str">
        <f t="shared" si="109"/>
        <v>*0.93</v>
      </c>
      <c r="AC898" s="33" t="s">
        <v>1772</v>
      </c>
      <c r="AD898" s="44" t="s">
        <v>57</v>
      </c>
      <c r="AE898" s="33">
        <v>2035</v>
      </c>
      <c r="AF898" s="45" t="str">
        <f t="shared" si="110"/>
        <v>*0.93</v>
      </c>
      <c r="AG898" s="43" t="str">
        <f t="shared" si="112"/>
        <v>REZoning_Sol-Win</v>
      </c>
      <c r="AI898" s="33" t="s">
        <v>1772</v>
      </c>
      <c r="AJ898" s="44" t="s">
        <v>57</v>
      </c>
      <c r="AK898" s="33">
        <v>2050</v>
      </c>
      <c r="AL898" s="45" t="str">
        <f t="shared" si="111"/>
        <v>*0.9</v>
      </c>
      <c r="AM898" s="43" t="str">
        <f t="shared" si="113"/>
        <v>REZoning_Sol-Win</v>
      </c>
      <c r="AP898" t="s">
        <v>1772</v>
      </c>
      <c r="AQ898" t="s">
        <v>57</v>
      </c>
      <c r="AR898">
        <v>2100</v>
      </c>
      <c r="AS898" t="s">
        <v>897</v>
      </c>
      <c r="AT898" t="s">
        <v>58</v>
      </c>
    </row>
    <row r="899" ht="29" spans="1:46">
      <c r="A899" s="31" t="s">
        <v>73</v>
      </c>
      <c r="C899" t="s">
        <v>1773</v>
      </c>
      <c r="D899" s="5" t="s">
        <v>57</v>
      </c>
      <c r="E899">
        <v>2035</v>
      </c>
      <c r="F899" s="6" t="str">
        <f t="shared" si="106"/>
        <v>*0.95</v>
      </c>
      <c r="H899" t="s">
        <v>1773</v>
      </c>
      <c r="I899" s="5" t="s">
        <v>57</v>
      </c>
      <c r="J899">
        <v>2050</v>
      </c>
      <c r="K899" s="38" t="str">
        <f t="shared" si="107"/>
        <v>*0.93</v>
      </c>
      <c r="P899" s="32" t="s">
        <v>1773</v>
      </c>
      <c r="Q899" s="42" t="s">
        <v>57</v>
      </c>
      <c r="R899" s="32">
        <v>2035</v>
      </c>
      <c r="S899" s="43" t="str">
        <f t="shared" si="108"/>
        <v>*0.95</v>
      </c>
      <c r="U899" s="32" t="s">
        <v>1773</v>
      </c>
      <c r="V899" s="42" t="s">
        <v>57</v>
      </c>
      <c r="W899" s="32">
        <v>2050</v>
      </c>
      <c r="X899" s="43" t="str">
        <f t="shared" si="109"/>
        <v>*0.93</v>
      </c>
      <c r="AC899" s="33" t="s">
        <v>1773</v>
      </c>
      <c r="AD899" s="44" t="s">
        <v>57</v>
      </c>
      <c r="AE899" s="33">
        <v>2035</v>
      </c>
      <c r="AF899" s="45" t="str">
        <f t="shared" si="110"/>
        <v>*0.93</v>
      </c>
      <c r="AG899" s="43" t="str">
        <f t="shared" si="112"/>
        <v>REZoning_Sol-Win</v>
      </c>
      <c r="AI899" s="33" t="s">
        <v>1773</v>
      </c>
      <c r="AJ899" s="44" t="s">
        <v>57</v>
      </c>
      <c r="AK899" s="33">
        <v>2050</v>
      </c>
      <c r="AL899" s="45" t="str">
        <f t="shared" si="111"/>
        <v>*0.9</v>
      </c>
      <c r="AM899" s="43" t="str">
        <f t="shared" si="113"/>
        <v>REZoning_Sol-Win</v>
      </c>
      <c r="AP899" t="s">
        <v>1773</v>
      </c>
      <c r="AQ899" t="s">
        <v>57</v>
      </c>
      <c r="AR899">
        <v>2100</v>
      </c>
      <c r="AS899" t="s">
        <v>897</v>
      </c>
      <c r="AT899" t="s">
        <v>58</v>
      </c>
    </row>
    <row r="900" ht="29" spans="1:46">
      <c r="A900" s="31" t="s">
        <v>73</v>
      </c>
      <c r="C900" t="s">
        <v>1774</v>
      </c>
      <c r="D900" s="5" t="s">
        <v>57</v>
      </c>
      <c r="E900">
        <v>2035</v>
      </c>
      <c r="F900" s="6" t="str">
        <f t="shared" ref="F900:F963" si="114">"*"&amp;IF(AND(A900="EU",E900=2035),0.95,IF(AND(A900="EU",E900=2050),0.93,IF(AND(A900="USA",E900=2035),0.96,IF(AND(A900="USA",E900=2050),0.94,IF(AND(A900="Japan",E900=2035),0.94,IF(AND(A900="Japan",E900=2050),0.92,IF(AND(A900="Russia",E900=2035),0.95,IF(AND(A900="Russia",E900=2050),0.93,IF(AND(A900="China",E900=2035),0.94,IF(AND(A900="China",E900=2050),0.92,IF(AND(A900="India",E900=2035),0.95,IF(AND(A900="India",E900=2050),0.92,IF(AND(A900="Middle East",E900=2035),0.94,IF(AND(A900="Middle East",E900=2050),0.9,IF(AND(A900="Africa",E900=2035),0.94,IF(AND(A900="Africa",E900=2050),0.91,IF(AND(A900="Brazil",E900=2035),0.95,IF(AND(A900="Brazil",E900=2050),0.92,""))))))))))))))))))</f>
        <v>*0.95</v>
      </c>
      <c r="H900" t="s">
        <v>1774</v>
      </c>
      <c r="I900" s="5" t="s">
        <v>57</v>
      </c>
      <c r="J900">
        <v>2050</v>
      </c>
      <c r="K900" s="38" t="str">
        <f t="shared" ref="K900:K963" si="115">"*"&amp;IF(AND(A900="EU",J900=2035),0.95,IF(AND(A900="EU",J900=2050),0.93,IF(AND(A900="USA",J900=2035),0.96,IF(AND(A900="USA",J900=2050),0.94,IF(AND(A900="Japan",J900=2035),0.94,IF(AND(A900="Japan",J900=2050),0.92,IF(AND(A900="Russia",J900=2035),0.95,IF(AND(A900="Russia",J900=2050),0.93,IF(AND(A900="China",J900=2035),0.94,IF(AND(A900="China",J900=2050),0.92,IF(AND(A900="India",J900=2035),0.95,IF(AND(A900="India",J900=2050),0.92,IF(AND(A900="Middle East",J900=2035),0.94,IF(AND(A900="Middle East",J900=2050),0.9,IF(AND(A900="Africa",J900=2035),0.94,IF(AND(A900="Africa",J900=2050),0.91,IF(AND(A900="Brazil",J900=2035),0.95,IF(AND(A900="Brazil",J900=2050),0.92,""))))))))))))))))))</f>
        <v>*0.93</v>
      </c>
      <c r="P900" s="32" t="s">
        <v>1774</v>
      </c>
      <c r="Q900" s="42" t="s">
        <v>57</v>
      </c>
      <c r="R900" s="32">
        <v>2035</v>
      </c>
      <c r="S900" s="43" t="str">
        <f t="shared" ref="S900:S963" si="116">"*"&amp;IF(AND(A900="EU",R900=2035),0.95,IF(AND(A900="EU",R900=2050),0.93,IF(AND(A900="USA",R900=2035),0.96,IF(AND(A900="USA",R900=2050),0.93,IF(AND(A900="Japan",R900=2035),0.94,IF(AND(A900="Japan",R900=2050),0.92,IF(AND(A900="Russia",R900=2035),0.95,IF(AND(A900="Russia",R900=2050),0.91,IF(AND(A900="China",R900=2035),0.93,IF(AND(A900="China",R900=2050),0.92,IF(AND(A900="India",R900=2035),0.94,IF(AND(A900="India",R900=2050),0.91,IF(AND(A900="Middle East",R900=2035),0.92,IF(AND(A900="Middle East",R900=2050),0.89,IF(AND(A900="Africa",R900=2035),0.93,IF(AND(A900="Africa",R900=2050),0.9,IF(AND(A900="Brazil",R900=2035),0.95,IF(AND(A900="Brazil",R900=2050),0.92,""))))))))))))))))))</f>
        <v>*0.95</v>
      </c>
      <c r="U900" s="32" t="s">
        <v>1774</v>
      </c>
      <c r="V900" s="42" t="s">
        <v>57</v>
      </c>
      <c r="W900" s="32">
        <v>2050</v>
      </c>
      <c r="X900" s="43" t="str">
        <f t="shared" ref="X900:X963" si="117">"*"&amp;IF(AND(A900="EU",W900=2035),0.95,IF(AND(A900="EU",W900=2050),0.93,IF(AND(A900="USA",W900=2035),0.96,IF(AND(A900="USA",W900=2050),0.93,IF(AND(A900="Japan",W900=2035),0.94,IF(AND(A900="Japan",W900=2050),0.92,IF(AND(A900="Russia",W900=2035),0.95,IF(AND(A900="Russia",W900=2050),0.91,IF(AND(A900="China",W900=2035),0.93,IF(AND(A900="China",W900=2050),0.92,IF(AND(A900="India",W900=2035),0.94,IF(AND(A900="India",W900=2050),0.91,IF(AND(A900="Middle East",W900=2035),0.92,IF(AND(A900="Middle East",W900=2050),0.89,IF(AND(A900="Africa",W900=2035),0.93,IF(AND(A900="Africa",W900=2050),0.9,IF(AND(A900="Brazil",W900=2035),0.95,IF(AND(A900="Brazil",W900=2050),0.92,""))))))))))))))))))</f>
        <v>*0.93</v>
      </c>
      <c r="AC900" s="33" t="s">
        <v>1774</v>
      </c>
      <c r="AD900" s="44" t="s">
        <v>57</v>
      </c>
      <c r="AE900" s="33">
        <v>2035</v>
      </c>
      <c r="AF900" s="45" t="str">
        <f t="shared" ref="AF900:AF963" si="118">"*"&amp;IF(AND(A900="EU",AE900=2035),0.93,IF(AND(A900="EU",AE900=2050),0.9,IF(AND(A900="USA",AE900=2035),0.92,IF(AND(A900="USA",AE900=2050),0.89,IF(AND(A900="Japan",AE900=2035),0.92,IF(AND(A900="Japan",AE900=2050),0.89,IF(AND(A900="Russia",AE900=2035),0.91,IF(AND(A900="Russia",AE900=2050),0.86,IF(AND(A900="China",AE900=2035),0.91,IF(AND(A900="China",AE900=2050),0.87,IF(AND(A900="India",AE900=2035),0.92,IF(AND(A900="India",AE900=2050),0.87,IF(AND(A900="Middle East",AE900=2035),0.89,IF(AND(A900="Middle East",AE900=2050),0.84,IF(AND(A900="Africa",AE900=2035),0.9,IF(AND(A900="Africa",AE900=2050),0.86,IF(AND(A900="Brazil",AE900=2035),0.93,IF(AND(A900="Brazil",AE900=2050),0.89,""))))))))))))))))))</f>
        <v>*0.93</v>
      </c>
      <c r="AG900" s="43" t="str">
        <f t="shared" si="112"/>
        <v>REZoning_Sol-Win</v>
      </c>
      <c r="AI900" s="33" t="s">
        <v>1774</v>
      </c>
      <c r="AJ900" s="44" t="s">
        <v>57</v>
      </c>
      <c r="AK900" s="33">
        <v>2050</v>
      </c>
      <c r="AL900" s="45" t="str">
        <f t="shared" ref="AL900:AL963" si="119">"*"&amp;IF(AND(A900="EU",AK900=2035),0.93,IF(AND(A900="EU",AK900=2050),0.9,IF(AND(A900="USA",AK900=2035),0.92,IF(AND(A900="USA",AK900=2050),0.89,IF(AND(A900="Japan",AK900=2035),0.92,IF(AND(A900="Japan",AK900=2050),0.89,IF(AND(A900="Russia",AK900=2035),0.91,IF(AND(A900="Russia",AK900=2050),0.86,IF(AND(A900="China",AK900=2035),0.91,IF(AND(A900="China",AK900=2050),0.87,IF(AND(A900="India",AK900=2035),0.92,IF(AND(A900="India",AK900=2050),0.87,IF(AND(A900="Middle East",AK900=2035),0.89,IF(AND(A900="Middle East",AK900=2050),0.84,IF(AND(A900="Africa",AK900=2035),0.9,IF(AND(A900="Africa",AK900=2050),0.86,IF(AND(A900="Brazil",AK900=2035),0.93,IF(AND(A900="Brazil",AK900=2050),0.89,""))))))))))))))))))</f>
        <v>*0.9</v>
      </c>
      <c r="AM900" s="43" t="str">
        <f t="shared" si="113"/>
        <v>REZoning_Sol-Win</v>
      </c>
      <c r="AP900" t="s">
        <v>1774</v>
      </c>
      <c r="AQ900" t="s">
        <v>57</v>
      </c>
      <c r="AR900">
        <v>2100</v>
      </c>
      <c r="AS900" t="s">
        <v>897</v>
      </c>
      <c r="AT900" t="s">
        <v>58</v>
      </c>
    </row>
    <row r="901" ht="29" spans="1:46">
      <c r="A901" s="31" t="s">
        <v>73</v>
      </c>
      <c r="C901" t="s">
        <v>1775</v>
      </c>
      <c r="D901" s="5" t="s">
        <v>57</v>
      </c>
      <c r="E901">
        <v>2035</v>
      </c>
      <c r="F901" s="6" t="str">
        <f t="shared" si="114"/>
        <v>*0.95</v>
      </c>
      <c r="H901" t="s">
        <v>1775</v>
      </c>
      <c r="I901" s="5" t="s">
        <v>57</v>
      </c>
      <c r="J901">
        <v>2050</v>
      </c>
      <c r="K901" s="38" t="str">
        <f t="shared" si="115"/>
        <v>*0.93</v>
      </c>
      <c r="P901" s="32" t="s">
        <v>1775</v>
      </c>
      <c r="Q901" s="42" t="s">
        <v>57</v>
      </c>
      <c r="R901" s="32">
        <v>2035</v>
      </c>
      <c r="S901" s="43" t="str">
        <f t="shared" si="116"/>
        <v>*0.95</v>
      </c>
      <c r="U901" s="32" t="s">
        <v>1775</v>
      </c>
      <c r="V901" s="42" t="s">
        <v>57</v>
      </c>
      <c r="W901" s="32">
        <v>2050</v>
      </c>
      <c r="X901" s="43" t="str">
        <f t="shared" si="117"/>
        <v>*0.93</v>
      </c>
      <c r="AC901" s="33" t="s">
        <v>1775</v>
      </c>
      <c r="AD901" s="44" t="s">
        <v>57</v>
      </c>
      <c r="AE901" s="33">
        <v>2035</v>
      </c>
      <c r="AF901" s="45" t="str">
        <f t="shared" si="118"/>
        <v>*0.93</v>
      </c>
      <c r="AG901" s="43" t="str">
        <f t="shared" si="112"/>
        <v>REZoning_Sol-Win</v>
      </c>
      <c r="AI901" s="33" t="s">
        <v>1775</v>
      </c>
      <c r="AJ901" s="44" t="s">
        <v>57</v>
      </c>
      <c r="AK901" s="33">
        <v>2050</v>
      </c>
      <c r="AL901" s="45" t="str">
        <f t="shared" si="119"/>
        <v>*0.9</v>
      </c>
      <c r="AM901" s="43" t="str">
        <f t="shared" si="113"/>
        <v>REZoning_Sol-Win</v>
      </c>
      <c r="AP901" t="s">
        <v>1775</v>
      </c>
      <c r="AQ901" t="s">
        <v>57</v>
      </c>
      <c r="AR901">
        <v>2100</v>
      </c>
      <c r="AS901" t="s">
        <v>897</v>
      </c>
      <c r="AT901" t="s">
        <v>58</v>
      </c>
    </row>
    <row r="902" ht="29" spans="1:46">
      <c r="A902" s="31" t="s">
        <v>73</v>
      </c>
      <c r="C902" t="s">
        <v>1776</v>
      </c>
      <c r="D902" s="5" t="s">
        <v>57</v>
      </c>
      <c r="E902">
        <v>2035</v>
      </c>
      <c r="F902" s="6" t="str">
        <f t="shared" si="114"/>
        <v>*0.95</v>
      </c>
      <c r="H902" t="s">
        <v>1776</v>
      </c>
      <c r="I902" s="5" t="s">
        <v>57</v>
      </c>
      <c r="J902">
        <v>2050</v>
      </c>
      <c r="K902" s="38" t="str">
        <f t="shared" si="115"/>
        <v>*0.93</v>
      </c>
      <c r="P902" s="32" t="s">
        <v>1776</v>
      </c>
      <c r="Q902" s="42" t="s">
        <v>57</v>
      </c>
      <c r="R902" s="32">
        <v>2035</v>
      </c>
      <c r="S902" s="43" t="str">
        <f t="shared" si="116"/>
        <v>*0.95</v>
      </c>
      <c r="U902" s="32" t="s">
        <v>1776</v>
      </c>
      <c r="V902" s="42" t="s">
        <v>57</v>
      </c>
      <c r="W902" s="32">
        <v>2050</v>
      </c>
      <c r="X902" s="43" t="str">
        <f t="shared" si="117"/>
        <v>*0.93</v>
      </c>
      <c r="AC902" s="33" t="s">
        <v>1776</v>
      </c>
      <c r="AD902" s="44" t="s">
        <v>57</v>
      </c>
      <c r="AE902" s="33">
        <v>2035</v>
      </c>
      <c r="AF902" s="45" t="str">
        <f t="shared" si="118"/>
        <v>*0.93</v>
      </c>
      <c r="AG902" s="43" t="str">
        <f t="shared" si="112"/>
        <v>REZoning_Sol-Win</v>
      </c>
      <c r="AI902" s="33" t="s">
        <v>1776</v>
      </c>
      <c r="AJ902" s="44" t="s">
        <v>57</v>
      </c>
      <c r="AK902" s="33">
        <v>2050</v>
      </c>
      <c r="AL902" s="45" t="str">
        <f t="shared" si="119"/>
        <v>*0.9</v>
      </c>
      <c r="AM902" s="43" t="str">
        <f t="shared" si="113"/>
        <v>REZoning_Sol-Win</v>
      </c>
      <c r="AP902" t="s">
        <v>1776</v>
      </c>
      <c r="AQ902" t="s">
        <v>57</v>
      </c>
      <c r="AR902">
        <v>2100</v>
      </c>
      <c r="AS902" t="s">
        <v>897</v>
      </c>
      <c r="AT902" t="s">
        <v>58</v>
      </c>
    </row>
    <row r="903" ht="29" spans="1:46">
      <c r="A903" s="31" t="s">
        <v>73</v>
      </c>
      <c r="C903" t="s">
        <v>1777</v>
      </c>
      <c r="D903" s="5" t="s">
        <v>57</v>
      </c>
      <c r="E903">
        <v>2035</v>
      </c>
      <c r="F903" s="6" t="str">
        <f t="shared" si="114"/>
        <v>*0.95</v>
      </c>
      <c r="H903" t="s">
        <v>1777</v>
      </c>
      <c r="I903" s="5" t="s">
        <v>57</v>
      </c>
      <c r="J903">
        <v>2050</v>
      </c>
      <c r="K903" s="38" t="str">
        <f t="shared" si="115"/>
        <v>*0.93</v>
      </c>
      <c r="P903" s="32" t="s">
        <v>1777</v>
      </c>
      <c r="Q903" s="42" t="s">
        <v>57</v>
      </c>
      <c r="R903" s="32">
        <v>2035</v>
      </c>
      <c r="S903" s="43" t="str">
        <f t="shared" si="116"/>
        <v>*0.95</v>
      </c>
      <c r="U903" s="32" t="s">
        <v>1777</v>
      </c>
      <c r="V903" s="42" t="s">
        <v>57</v>
      </c>
      <c r="W903" s="32">
        <v>2050</v>
      </c>
      <c r="X903" s="43" t="str">
        <f t="shared" si="117"/>
        <v>*0.93</v>
      </c>
      <c r="AC903" s="33" t="s">
        <v>1777</v>
      </c>
      <c r="AD903" s="44" t="s">
        <v>57</v>
      </c>
      <c r="AE903" s="33">
        <v>2035</v>
      </c>
      <c r="AF903" s="45" t="str">
        <f t="shared" si="118"/>
        <v>*0.93</v>
      </c>
      <c r="AG903" s="43" t="str">
        <f t="shared" si="112"/>
        <v>REZoning_Sol-Win</v>
      </c>
      <c r="AI903" s="33" t="s">
        <v>1777</v>
      </c>
      <c r="AJ903" s="44" t="s">
        <v>57</v>
      </c>
      <c r="AK903" s="33">
        <v>2050</v>
      </c>
      <c r="AL903" s="45" t="str">
        <f t="shared" si="119"/>
        <v>*0.9</v>
      </c>
      <c r="AM903" s="43" t="str">
        <f t="shared" si="113"/>
        <v>REZoning_Sol-Win</v>
      </c>
      <c r="AP903" t="s">
        <v>1777</v>
      </c>
      <c r="AQ903" t="s">
        <v>57</v>
      </c>
      <c r="AR903">
        <v>2100</v>
      </c>
      <c r="AS903" t="s">
        <v>897</v>
      </c>
      <c r="AT903" t="s">
        <v>58</v>
      </c>
    </row>
    <row r="904" ht="29" spans="1:46">
      <c r="A904" s="31" t="s">
        <v>73</v>
      </c>
      <c r="C904" t="s">
        <v>1778</v>
      </c>
      <c r="D904" s="5" t="s">
        <v>57</v>
      </c>
      <c r="E904">
        <v>2035</v>
      </c>
      <c r="F904" s="6" t="str">
        <f t="shared" si="114"/>
        <v>*0.95</v>
      </c>
      <c r="H904" t="s">
        <v>1778</v>
      </c>
      <c r="I904" s="5" t="s">
        <v>57</v>
      </c>
      <c r="J904">
        <v>2050</v>
      </c>
      <c r="K904" s="38" t="str">
        <f t="shared" si="115"/>
        <v>*0.93</v>
      </c>
      <c r="P904" s="32" t="s">
        <v>1778</v>
      </c>
      <c r="Q904" s="42" t="s">
        <v>57</v>
      </c>
      <c r="R904" s="32">
        <v>2035</v>
      </c>
      <c r="S904" s="43" t="str">
        <f t="shared" si="116"/>
        <v>*0.95</v>
      </c>
      <c r="U904" s="32" t="s">
        <v>1778</v>
      </c>
      <c r="V904" s="42" t="s">
        <v>57</v>
      </c>
      <c r="W904" s="32">
        <v>2050</v>
      </c>
      <c r="X904" s="43" t="str">
        <f t="shared" si="117"/>
        <v>*0.93</v>
      </c>
      <c r="AC904" s="33" t="s">
        <v>1778</v>
      </c>
      <c r="AD904" s="44" t="s">
        <v>57</v>
      </c>
      <c r="AE904" s="33">
        <v>2035</v>
      </c>
      <c r="AF904" s="45" t="str">
        <f t="shared" si="118"/>
        <v>*0.93</v>
      </c>
      <c r="AG904" s="43" t="str">
        <f t="shared" si="112"/>
        <v>REZoning_Sol-Win</v>
      </c>
      <c r="AI904" s="33" t="s">
        <v>1778</v>
      </c>
      <c r="AJ904" s="44" t="s">
        <v>57</v>
      </c>
      <c r="AK904" s="33">
        <v>2050</v>
      </c>
      <c r="AL904" s="45" t="str">
        <f t="shared" si="119"/>
        <v>*0.9</v>
      </c>
      <c r="AM904" s="43" t="str">
        <f t="shared" si="113"/>
        <v>REZoning_Sol-Win</v>
      </c>
      <c r="AP904" t="s">
        <v>1778</v>
      </c>
      <c r="AQ904" t="s">
        <v>57</v>
      </c>
      <c r="AR904">
        <v>2100</v>
      </c>
      <c r="AS904" t="s">
        <v>897</v>
      </c>
      <c r="AT904" t="s">
        <v>58</v>
      </c>
    </row>
    <row r="905" ht="29" spans="1:46">
      <c r="A905" s="31" t="s">
        <v>73</v>
      </c>
      <c r="C905" t="s">
        <v>1779</v>
      </c>
      <c r="D905" s="5" t="s">
        <v>57</v>
      </c>
      <c r="E905">
        <v>2035</v>
      </c>
      <c r="F905" s="6" t="str">
        <f t="shared" si="114"/>
        <v>*0.95</v>
      </c>
      <c r="H905" t="s">
        <v>1779</v>
      </c>
      <c r="I905" s="5" t="s">
        <v>57</v>
      </c>
      <c r="J905">
        <v>2050</v>
      </c>
      <c r="K905" s="38" t="str">
        <f t="shared" si="115"/>
        <v>*0.93</v>
      </c>
      <c r="P905" s="32" t="s">
        <v>1779</v>
      </c>
      <c r="Q905" s="42" t="s">
        <v>57</v>
      </c>
      <c r="R905" s="32">
        <v>2035</v>
      </c>
      <c r="S905" s="43" t="str">
        <f t="shared" si="116"/>
        <v>*0.95</v>
      </c>
      <c r="U905" s="32" t="s">
        <v>1779</v>
      </c>
      <c r="V905" s="42" t="s">
        <v>57</v>
      </c>
      <c r="W905" s="32">
        <v>2050</v>
      </c>
      <c r="X905" s="43" t="str">
        <f t="shared" si="117"/>
        <v>*0.93</v>
      </c>
      <c r="AC905" s="33" t="s">
        <v>1779</v>
      </c>
      <c r="AD905" s="44" t="s">
        <v>57</v>
      </c>
      <c r="AE905" s="33">
        <v>2035</v>
      </c>
      <c r="AF905" s="45" t="str">
        <f t="shared" si="118"/>
        <v>*0.93</v>
      </c>
      <c r="AG905" s="43" t="str">
        <f t="shared" ref="AG905:AG968" si="120">AG904</f>
        <v>REZoning_Sol-Win</v>
      </c>
      <c r="AI905" s="33" t="s">
        <v>1779</v>
      </c>
      <c r="AJ905" s="44" t="s">
        <v>57</v>
      </c>
      <c r="AK905" s="33">
        <v>2050</v>
      </c>
      <c r="AL905" s="45" t="str">
        <f t="shared" si="119"/>
        <v>*0.9</v>
      </c>
      <c r="AM905" s="43" t="str">
        <f t="shared" si="113"/>
        <v>REZoning_Sol-Win</v>
      </c>
      <c r="AP905" t="s">
        <v>1779</v>
      </c>
      <c r="AQ905" t="s">
        <v>57</v>
      </c>
      <c r="AR905">
        <v>2100</v>
      </c>
      <c r="AS905" t="s">
        <v>897</v>
      </c>
      <c r="AT905" t="s">
        <v>58</v>
      </c>
    </row>
    <row r="906" ht="29" spans="1:46">
      <c r="A906" s="31" t="s">
        <v>73</v>
      </c>
      <c r="C906" t="s">
        <v>1780</v>
      </c>
      <c r="D906" s="5" t="s">
        <v>57</v>
      </c>
      <c r="E906">
        <v>2035</v>
      </c>
      <c r="F906" s="6" t="str">
        <f t="shared" si="114"/>
        <v>*0.95</v>
      </c>
      <c r="H906" t="s">
        <v>1780</v>
      </c>
      <c r="I906" s="5" t="s">
        <v>57</v>
      </c>
      <c r="J906">
        <v>2050</v>
      </c>
      <c r="K906" s="38" t="str">
        <f t="shared" si="115"/>
        <v>*0.93</v>
      </c>
      <c r="P906" s="32" t="s">
        <v>1780</v>
      </c>
      <c r="Q906" s="42" t="s">
        <v>57</v>
      </c>
      <c r="R906" s="32">
        <v>2035</v>
      </c>
      <c r="S906" s="43" t="str">
        <f t="shared" si="116"/>
        <v>*0.95</v>
      </c>
      <c r="U906" s="32" t="s">
        <v>1780</v>
      </c>
      <c r="V906" s="42" t="s">
        <v>57</v>
      </c>
      <c r="W906" s="32">
        <v>2050</v>
      </c>
      <c r="X906" s="43" t="str">
        <f t="shared" si="117"/>
        <v>*0.93</v>
      </c>
      <c r="AC906" s="33" t="s">
        <v>1780</v>
      </c>
      <c r="AD906" s="44" t="s">
        <v>57</v>
      </c>
      <c r="AE906" s="33">
        <v>2035</v>
      </c>
      <c r="AF906" s="45" t="str">
        <f t="shared" si="118"/>
        <v>*0.93</v>
      </c>
      <c r="AG906" s="43" t="str">
        <f t="shared" si="120"/>
        <v>REZoning_Sol-Win</v>
      </c>
      <c r="AI906" s="33" t="s">
        <v>1780</v>
      </c>
      <c r="AJ906" s="44" t="s">
        <v>57</v>
      </c>
      <c r="AK906" s="33">
        <v>2050</v>
      </c>
      <c r="AL906" s="45" t="str">
        <f t="shared" si="119"/>
        <v>*0.9</v>
      </c>
      <c r="AM906" s="43" t="str">
        <f t="shared" ref="AM906:AM969" si="121">AM905</f>
        <v>REZoning_Sol-Win</v>
      </c>
      <c r="AP906" t="s">
        <v>1780</v>
      </c>
      <c r="AQ906" t="s">
        <v>57</v>
      </c>
      <c r="AR906">
        <v>2100</v>
      </c>
      <c r="AS906" t="s">
        <v>897</v>
      </c>
      <c r="AT906" t="s">
        <v>58</v>
      </c>
    </row>
    <row r="907" ht="29" spans="1:46">
      <c r="A907" s="31" t="s">
        <v>73</v>
      </c>
      <c r="C907" t="s">
        <v>1781</v>
      </c>
      <c r="D907" s="5" t="s">
        <v>57</v>
      </c>
      <c r="E907">
        <v>2035</v>
      </c>
      <c r="F907" s="6" t="str">
        <f t="shared" si="114"/>
        <v>*0.95</v>
      </c>
      <c r="H907" t="s">
        <v>1781</v>
      </c>
      <c r="I907" s="5" t="s">
        <v>57</v>
      </c>
      <c r="J907">
        <v>2050</v>
      </c>
      <c r="K907" s="38" t="str">
        <f t="shared" si="115"/>
        <v>*0.93</v>
      </c>
      <c r="P907" s="32" t="s">
        <v>1781</v>
      </c>
      <c r="Q907" s="42" t="s">
        <v>57</v>
      </c>
      <c r="R907" s="32">
        <v>2035</v>
      </c>
      <c r="S907" s="43" t="str">
        <f t="shared" si="116"/>
        <v>*0.95</v>
      </c>
      <c r="U907" s="32" t="s">
        <v>1781</v>
      </c>
      <c r="V907" s="42" t="s">
        <v>57</v>
      </c>
      <c r="W907" s="32">
        <v>2050</v>
      </c>
      <c r="X907" s="43" t="str">
        <f t="shared" si="117"/>
        <v>*0.93</v>
      </c>
      <c r="AC907" s="33" t="s">
        <v>1781</v>
      </c>
      <c r="AD907" s="44" t="s">
        <v>57</v>
      </c>
      <c r="AE907" s="33">
        <v>2035</v>
      </c>
      <c r="AF907" s="45" t="str">
        <f t="shared" si="118"/>
        <v>*0.93</v>
      </c>
      <c r="AG907" s="43" t="str">
        <f t="shared" si="120"/>
        <v>REZoning_Sol-Win</v>
      </c>
      <c r="AI907" s="33" t="s">
        <v>1781</v>
      </c>
      <c r="AJ907" s="44" t="s">
        <v>57</v>
      </c>
      <c r="AK907" s="33">
        <v>2050</v>
      </c>
      <c r="AL907" s="45" t="str">
        <f t="shared" si="119"/>
        <v>*0.9</v>
      </c>
      <c r="AM907" s="43" t="str">
        <f t="shared" si="121"/>
        <v>REZoning_Sol-Win</v>
      </c>
      <c r="AP907" t="s">
        <v>1781</v>
      </c>
      <c r="AQ907" t="s">
        <v>57</v>
      </c>
      <c r="AR907">
        <v>2100</v>
      </c>
      <c r="AS907" t="s">
        <v>897</v>
      </c>
      <c r="AT907" t="s">
        <v>58</v>
      </c>
    </row>
    <row r="908" ht="29" spans="1:46">
      <c r="A908" s="31" t="s">
        <v>73</v>
      </c>
      <c r="C908" t="s">
        <v>1782</v>
      </c>
      <c r="D908" s="5" t="s">
        <v>57</v>
      </c>
      <c r="E908">
        <v>2035</v>
      </c>
      <c r="F908" s="6" t="str">
        <f t="shared" si="114"/>
        <v>*0.95</v>
      </c>
      <c r="H908" t="s">
        <v>1782</v>
      </c>
      <c r="I908" s="5" t="s">
        <v>57</v>
      </c>
      <c r="J908">
        <v>2050</v>
      </c>
      <c r="K908" s="38" t="str">
        <f t="shared" si="115"/>
        <v>*0.93</v>
      </c>
      <c r="P908" s="32" t="s">
        <v>1782</v>
      </c>
      <c r="Q908" s="42" t="s">
        <v>57</v>
      </c>
      <c r="R908" s="32">
        <v>2035</v>
      </c>
      <c r="S908" s="43" t="str">
        <f t="shared" si="116"/>
        <v>*0.95</v>
      </c>
      <c r="U908" s="32" t="s">
        <v>1782</v>
      </c>
      <c r="V908" s="42" t="s">
        <v>57</v>
      </c>
      <c r="W908" s="32">
        <v>2050</v>
      </c>
      <c r="X908" s="43" t="str">
        <f t="shared" si="117"/>
        <v>*0.93</v>
      </c>
      <c r="AC908" s="33" t="s">
        <v>1782</v>
      </c>
      <c r="AD908" s="44" t="s">
        <v>57</v>
      </c>
      <c r="AE908" s="33">
        <v>2035</v>
      </c>
      <c r="AF908" s="45" t="str">
        <f t="shared" si="118"/>
        <v>*0.93</v>
      </c>
      <c r="AG908" s="43" t="str">
        <f t="shared" si="120"/>
        <v>REZoning_Sol-Win</v>
      </c>
      <c r="AI908" s="33" t="s">
        <v>1782</v>
      </c>
      <c r="AJ908" s="44" t="s">
        <v>57</v>
      </c>
      <c r="AK908" s="33">
        <v>2050</v>
      </c>
      <c r="AL908" s="45" t="str">
        <f t="shared" si="119"/>
        <v>*0.9</v>
      </c>
      <c r="AM908" s="43" t="str">
        <f t="shared" si="121"/>
        <v>REZoning_Sol-Win</v>
      </c>
      <c r="AP908" t="s">
        <v>1782</v>
      </c>
      <c r="AQ908" t="s">
        <v>57</v>
      </c>
      <c r="AR908">
        <v>2100</v>
      </c>
      <c r="AS908" t="s">
        <v>897</v>
      </c>
      <c r="AT908" t="s">
        <v>58</v>
      </c>
    </row>
    <row r="909" ht="29" spans="1:46">
      <c r="A909" s="31" t="s">
        <v>73</v>
      </c>
      <c r="C909" t="s">
        <v>1783</v>
      </c>
      <c r="D909" s="5" t="s">
        <v>57</v>
      </c>
      <c r="E909">
        <v>2035</v>
      </c>
      <c r="F909" s="6" t="str">
        <f t="shared" si="114"/>
        <v>*0.95</v>
      </c>
      <c r="H909" t="s">
        <v>1783</v>
      </c>
      <c r="I909" s="5" t="s">
        <v>57</v>
      </c>
      <c r="J909">
        <v>2050</v>
      </c>
      <c r="K909" s="38" t="str">
        <f t="shared" si="115"/>
        <v>*0.93</v>
      </c>
      <c r="P909" s="32" t="s">
        <v>1783</v>
      </c>
      <c r="Q909" s="42" t="s">
        <v>57</v>
      </c>
      <c r="R909" s="32">
        <v>2035</v>
      </c>
      <c r="S909" s="43" t="str">
        <f t="shared" si="116"/>
        <v>*0.95</v>
      </c>
      <c r="U909" s="32" t="s">
        <v>1783</v>
      </c>
      <c r="V909" s="42" t="s">
        <v>57</v>
      </c>
      <c r="W909" s="32">
        <v>2050</v>
      </c>
      <c r="X909" s="43" t="str">
        <f t="shared" si="117"/>
        <v>*0.93</v>
      </c>
      <c r="AC909" s="33" t="s">
        <v>1783</v>
      </c>
      <c r="AD909" s="44" t="s">
        <v>57</v>
      </c>
      <c r="AE909" s="33">
        <v>2035</v>
      </c>
      <c r="AF909" s="45" t="str">
        <f t="shared" si="118"/>
        <v>*0.93</v>
      </c>
      <c r="AG909" s="43" t="str">
        <f t="shared" si="120"/>
        <v>REZoning_Sol-Win</v>
      </c>
      <c r="AI909" s="33" t="s">
        <v>1783</v>
      </c>
      <c r="AJ909" s="44" t="s">
        <v>57</v>
      </c>
      <c r="AK909" s="33">
        <v>2050</v>
      </c>
      <c r="AL909" s="45" t="str">
        <f t="shared" si="119"/>
        <v>*0.9</v>
      </c>
      <c r="AM909" s="43" t="str">
        <f t="shared" si="121"/>
        <v>REZoning_Sol-Win</v>
      </c>
      <c r="AP909" t="s">
        <v>1783</v>
      </c>
      <c r="AQ909" t="s">
        <v>57</v>
      </c>
      <c r="AR909">
        <v>2100</v>
      </c>
      <c r="AS909" t="s">
        <v>897</v>
      </c>
      <c r="AT909" t="s">
        <v>58</v>
      </c>
    </row>
    <row r="910" ht="29" spans="1:46">
      <c r="A910" s="31" t="s">
        <v>73</v>
      </c>
      <c r="C910" t="s">
        <v>1784</v>
      </c>
      <c r="D910" s="5" t="s">
        <v>57</v>
      </c>
      <c r="E910">
        <v>2035</v>
      </c>
      <c r="F910" s="6" t="str">
        <f t="shared" si="114"/>
        <v>*0.95</v>
      </c>
      <c r="H910" t="s">
        <v>1784</v>
      </c>
      <c r="I910" s="5" t="s">
        <v>57</v>
      </c>
      <c r="J910">
        <v>2050</v>
      </c>
      <c r="K910" s="38" t="str">
        <f t="shared" si="115"/>
        <v>*0.93</v>
      </c>
      <c r="P910" s="32" t="s">
        <v>1784</v>
      </c>
      <c r="Q910" s="42" t="s">
        <v>57</v>
      </c>
      <c r="R910" s="32">
        <v>2035</v>
      </c>
      <c r="S910" s="43" t="str">
        <f t="shared" si="116"/>
        <v>*0.95</v>
      </c>
      <c r="U910" s="32" t="s">
        <v>1784</v>
      </c>
      <c r="V910" s="42" t="s">
        <v>57</v>
      </c>
      <c r="W910" s="32">
        <v>2050</v>
      </c>
      <c r="X910" s="43" t="str">
        <f t="shared" si="117"/>
        <v>*0.93</v>
      </c>
      <c r="AC910" s="33" t="s">
        <v>1784</v>
      </c>
      <c r="AD910" s="44" t="s">
        <v>57</v>
      </c>
      <c r="AE910" s="33">
        <v>2035</v>
      </c>
      <c r="AF910" s="45" t="str">
        <f t="shared" si="118"/>
        <v>*0.93</v>
      </c>
      <c r="AG910" s="43" t="str">
        <f t="shared" si="120"/>
        <v>REZoning_Sol-Win</v>
      </c>
      <c r="AI910" s="33" t="s">
        <v>1784</v>
      </c>
      <c r="AJ910" s="44" t="s">
        <v>57</v>
      </c>
      <c r="AK910" s="33">
        <v>2050</v>
      </c>
      <c r="AL910" s="45" t="str">
        <f t="shared" si="119"/>
        <v>*0.9</v>
      </c>
      <c r="AM910" s="43" t="str">
        <f t="shared" si="121"/>
        <v>REZoning_Sol-Win</v>
      </c>
      <c r="AP910" t="s">
        <v>1784</v>
      </c>
      <c r="AQ910" t="s">
        <v>57</v>
      </c>
      <c r="AR910">
        <v>2100</v>
      </c>
      <c r="AS910" t="s">
        <v>897</v>
      </c>
      <c r="AT910" t="s">
        <v>58</v>
      </c>
    </row>
    <row r="911" ht="29" spans="1:46">
      <c r="A911" s="31" t="s">
        <v>73</v>
      </c>
      <c r="C911" t="s">
        <v>1785</v>
      </c>
      <c r="D911" s="5" t="s">
        <v>57</v>
      </c>
      <c r="E911">
        <v>2035</v>
      </c>
      <c r="F911" s="6" t="str">
        <f t="shared" si="114"/>
        <v>*0.95</v>
      </c>
      <c r="H911" t="s">
        <v>1785</v>
      </c>
      <c r="I911" s="5" t="s">
        <v>57</v>
      </c>
      <c r="J911">
        <v>2050</v>
      </c>
      <c r="K911" s="38" t="str">
        <f t="shared" si="115"/>
        <v>*0.93</v>
      </c>
      <c r="P911" s="32" t="s">
        <v>1785</v>
      </c>
      <c r="Q911" s="42" t="s">
        <v>57</v>
      </c>
      <c r="R911" s="32">
        <v>2035</v>
      </c>
      <c r="S911" s="43" t="str">
        <f t="shared" si="116"/>
        <v>*0.95</v>
      </c>
      <c r="U911" s="32" t="s">
        <v>1785</v>
      </c>
      <c r="V911" s="42" t="s">
        <v>57</v>
      </c>
      <c r="W911" s="32">
        <v>2050</v>
      </c>
      <c r="X911" s="43" t="str">
        <f t="shared" si="117"/>
        <v>*0.93</v>
      </c>
      <c r="AC911" s="33" t="s">
        <v>1785</v>
      </c>
      <c r="AD911" s="44" t="s">
        <v>57</v>
      </c>
      <c r="AE911" s="33">
        <v>2035</v>
      </c>
      <c r="AF911" s="45" t="str">
        <f t="shared" si="118"/>
        <v>*0.93</v>
      </c>
      <c r="AG911" s="43" t="str">
        <f t="shared" si="120"/>
        <v>REZoning_Sol-Win</v>
      </c>
      <c r="AI911" s="33" t="s">
        <v>1785</v>
      </c>
      <c r="AJ911" s="44" t="s">
        <v>57</v>
      </c>
      <c r="AK911" s="33">
        <v>2050</v>
      </c>
      <c r="AL911" s="45" t="str">
        <f t="shared" si="119"/>
        <v>*0.9</v>
      </c>
      <c r="AM911" s="43" t="str">
        <f t="shared" si="121"/>
        <v>REZoning_Sol-Win</v>
      </c>
      <c r="AP911" t="s">
        <v>1785</v>
      </c>
      <c r="AQ911" t="s">
        <v>57</v>
      </c>
      <c r="AR911">
        <v>2100</v>
      </c>
      <c r="AS911" t="s">
        <v>897</v>
      </c>
      <c r="AT911" t="s">
        <v>58</v>
      </c>
    </row>
    <row r="912" ht="29" spans="1:46">
      <c r="A912" s="31" t="s">
        <v>73</v>
      </c>
      <c r="C912" t="s">
        <v>1786</v>
      </c>
      <c r="D912" s="5" t="s">
        <v>57</v>
      </c>
      <c r="E912">
        <v>2035</v>
      </c>
      <c r="F912" s="6" t="str">
        <f t="shared" si="114"/>
        <v>*0.95</v>
      </c>
      <c r="H912" t="s">
        <v>1786</v>
      </c>
      <c r="I912" s="5" t="s">
        <v>57</v>
      </c>
      <c r="J912">
        <v>2050</v>
      </c>
      <c r="K912" s="38" t="str">
        <f t="shared" si="115"/>
        <v>*0.93</v>
      </c>
      <c r="P912" s="32" t="s">
        <v>1786</v>
      </c>
      <c r="Q912" s="42" t="s">
        <v>57</v>
      </c>
      <c r="R912" s="32">
        <v>2035</v>
      </c>
      <c r="S912" s="43" t="str">
        <f t="shared" si="116"/>
        <v>*0.95</v>
      </c>
      <c r="U912" s="32" t="s">
        <v>1786</v>
      </c>
      <c r="V912" s="42" t="s">
        <v>57</v>
      </c>
      <c r="W912" s="32">
        <v>2050</v>
      </c>
      <c r="X912" s="43" t="str">
        <f t="shared" si="117"/>
        <v>*0.93</v>
      </c>
      <c r="AC912" s="33" t="s">
        <v>1786</v>
      </c>
      <c r="AD912" s="44" t="s">
        <v>57</v>
      </c>
      <c r="AE912" s="33">
        <v>2035</v>
      </c>
      <c r="AF912" s="45" t="str">
        <f t="shared" si="118"/>
        <v>*0.93</v>
      </c>
      <c r="AG912" s="43" t="str">
        <f t="shared" si="120"/>
        <v>REZoning_Sol-Win</v>
      </c>
      <c r="AI912" s="33" t="s">
        <v>1786</v>
      </c>
      <c r="AJ912" s="44" t="s">
        <v>57</v>
      </c>
      <c r="AK912" s="33">
        <v>2050</v>
      </c>
      <c r="AL912" s="45" t="str">
        <f t="shared" si="119"/>
        <v>*0.9</v>
      </c>
      <c r="AM912" s="43" t="str">
        <f t="shared" si="121"/>
        <v>REZoning_Sol-Win</v>
      </c>
      <c r="AP912" t="s">
        <v>1786</v>
      </c>
      <c r="AQ912" t="s">
        <v>57</v>
      </c>
      <c r="AR912">
        <v>2100</v>
      </c>
      <c r="AS912" t="s">
        <v>897</v>
      </c>
      <c r="AT912" t="s">
        <v>58</v>
      </c>
    </row>
    <row r="913" ht="29" spans="1:46">
      <c r="A913" s="31" t="s">
        <v>73</v>
      </c>
      <c r="C913" t="s">
        <v>1787</v>
      </c>
      <c r="D913" s="5" t="s">
        <v>57</v>
      </c>
      <c r="E913">
        <v>2035</v>
      </c>
      <c r="F913" s="6" t="str">
        <f t="shared" si="114"/>
        <v>*0.95</v>
      </c>
      <c r="H913" t="s">
        <v>1787</v>
      </c>
      <c r="I913" s="5" t="s">
        <v>57</v>
      </c>
      <c r="J913">
        <v>2050</v>
      </c>
      <c r="K913" s="38" t="str">
        <f t="shared" si="115"/>
        <v>*0.93</v>
      </c>
      <c r="P913" s="32" t="s">
        <v>1787</v>
      </c>
      <c r="Q913" s="42" t="s">
        <v>57</v>
      </c>
      <c r="R913" s="32">
        <v>2035</v>
      </c>
      <c r="S913" s="43" t="str">
        <f t="shared" si="116"/>
        <v>*0.95</v>
      </c>
      <c r="U913" s="32" t="s">
        <v>1787</v>
      </c>
      <c r="V913" s="42" t="s">
        <v>57</v>
      </c>
      <c r="W913" s="32">
        <v>2050</v>
      </c>
      <c r="X913" s="43" t="str">
        <f t="shared" si="117"/>
        <v>*0.93</v>
      </c>
      <c r="AC913" s="33" t="s">
        <v>1787</v>
      </c>
      <c r="AD913" s="44" t="s">
        <v>57</v>
      </c>
      <c r="AE913" s="33">
        <v>2035</v>
      </c>
      <c r="AF913" s="45" t="str">
        <f t="shared" si="118"/>
        <v>*0.93</v>
      </c>
      <c r="AG913" s="43" t="str">
        <f t="shared" si="120"/>
        <v>REZoning_Sol-Win</v>
      </c>
      <c r="AI913" s="33" t="s">
        <v>1787</v>
      </c>
      <c r="AJ913" s="44" t="s">
        <v>57</v>
      </c>
      <c r="AK913" s="33">
        <v>2050</v>
      </c>
      <c r="AL913" s="45" t="str">
        <f t="shared" si="119"/>
        <v>*0.9</v>
      </c>
      <c r="AM913" s="43" t="str">
        <f t="shared" si="121"/>
        <v>REZoning_Sol-Win</v>
      </c>
      <c r="AP913" t="s">
        <v>1787</v>
      </c>
      <c r="AQ913" t="s">
        <v>57</v>
      </c>
      <c r="AR913">
        <v>2100</v>
      </c>
      <c r="AS913" t="s">
        <v>897</v>
      </c>
      <c r="AT913" t="s">
        <v>58</v>
      </c>
    </row>
    <row r="914" ht="29" spans="1:46">
      <c r="A914" s="31" t="s">
        <v>73</v>
      </c>
      <c r="C914" t="s">
        <v>1788</v>
      </c>
      <c r="D914" s="5" t="s">
        <v>57</v>
      </c>
      <c r="E914">
        <v>2035</v>
      </c>
      <c r="F914" s="6" t="str">
        <f t="shared" si="114"/>
        <v>*0.95</v>
      </c>
      <c r="H914" t="s">
        <v>1788</v>
      </c>
      <c r="I914" s="5" t="s">
        <v>57</v>
      </c>
      <c r="J914">
        <v>2050</v>
      </c>
      <c r="K914" s="38" t="str">
        <f t="shared" si="115"/>
        <v>*0.93</v>
      </c>
      <c r="P914" s="32" t="s">
        <v>1788</v>
      </c>
      <c r="Q914" s="42" t="s">
        <v>57</v>
      </c>
      <c r="R914" s="32">
        <v>2035</v>
      </c>
      <c r="S914" s="43" t="str">
        <f t="shared" si="116"/>
        <v>*0.95</v>
      </c>
      <c r="U914" s="32" t="s">
        <v>1788</v>
      </c>
      <c r="V914" s="42" t="s">
        <v>57</v>
      </c>
      <c r="W914" s="32">
        <v>2050</v>
      </c>
      <c r="X914" s="43" t="str">
        <f t="shared" si="117"/>
        <v>*0.93</v>
      </c>
      <c r="AC914" s="33" t="s">
        <v>1788</v>
      </c>
      <c r="AD914" s="44" t="s">
        <v>57</v>
      </c>
      <c r="AE914" s="33">
        <v>2035</v>
      </c>
      <c r="AF914" s="45" t="str">
        <f t="shared" si="118"/>
        <v>*0.93</v>
      </c>
      <c r="AG914" s="43" t="str">
        <f t="shared" si="120"/>
        <v>REZoning_Sol-Win</v>
      </c>
      <c r="AI914" s="33" t="s">
        <v>1788</v>
      </c>
      <c r="AJ914" s="44" t="s">
        <v>57</v>
      </c>
      <c r="AK914" s="33">
        <v>2050</v>
      </c>
      <c r="AL914" s="45" t="str">
        <f t="shared" si="119"/>
        <v>*0.9</v>
      </c>
      <c r="AM914" s="43" t="str">
        <f t="shared" si="121"/>
        <v>REZoning_Sol-Win</v>
      </c>
      <c r="AP914" t="s">
        <v>1788</v>
      </c>
      <c r="AQ914" t="s">
        <v>57</v>
      </c>
      <c r="AR914">
        <v>2100</v>
      </c>
      <c r="AS914" t="s">
        <v>897</v>
      </c>
      <c r="AT914" t="s">
        <v>58</v>
      </c>
    </row>
    <row r="915" ht="29" spans="1:46">
      <c r="A915" s="31" t="s">
        <v>73</v>
      </c>
      <c r="C915" t="s">
        <v>1789</v>
      </c>
      <c r="D915" s="5" t="s">
        <v>57</v>
      </c>
      <c r="E915">
        <v>2035</v>
      </c>
      <c r="F915" s="6" t="str">
        <f t="shared" si="114"/>
        <v>*0.95</v>
      </c>
      <c r="H915" t="s">
        <v>1789</v>
      </c>
      <c r="I915" s="5" t="s">
        <v>57</v>
      </c>
      <c r="J915">
        <v>2050</v>
      </c>
      <c r="K915" s="38" t="str">
        <f t="shared" si="115"/>
        <v>*0.93</v>
      </c>
      <c r="P915" s="32" t="s">
        <v>1789</v>
      </c>
      <c r="Q915" s="42" t="s">
        <v>57</v>
      </c>
      <c r="R915" s="32">
        <v>2035</v>
      </c>
      <c r="S915" s="43" t="str">
        <f t="shared" si="116"/>
        <v>*0.95</v>
      </c>
      <c r="U915" s="32" t="s">
        <v>1789</v>
      </c>
      <c r="V915" s="42" t="s">
        <v>57</v>
      </c>
      <c r="W915" s="32">
        <v>2050</v>
      </c>
      <c r="X915" s="43" t="str">
        <f t="shared" si="117"/>
        <v>*0.93</v>
      </c>
      <c r="AC915" s="33" t="s">
        <v>1789</v>
      </c>
      <c r="AD915" s="44" t="s">
        <v>57</v>
      </c>
      <c r="AE915" s="33">
        <v>2035</v>
      </c>
      <c r="AF915" s="45" t="str">
        <f t="shared" si="118"/>
        <v>*0.93</v>
      </c>
      <c r="AG915" s="43" t="str">
        <f t="shared" si="120"/>
        <v>REZoning_Sol-Win</v>
      </c>
      <c r="AI915" s="33" t="s">
        <v>1789</v>
      </c>
      <c r="AJ915" s="44" t="s">
        <v>57</v>
      </c>
      <c r="AK915" s="33">
        <v>2050</v>
      </c>
      <c r="AL915" s="45" t="str">
        <f t="shared" si="119"/>
        <v>*0.9</v>
      </c>
      <c r="AM915" s="43" t="str">
        <f t="shared" si="121"/>
        <v>REZoning_Sol-Win</v>
      </c>
      <c r="AP915" t="s">
        <v>1789</v>
      </c>
      <c r="AQ915" t="s">
        <v>57</v>
      </c>
      <c r="AR915">
        <v>2100</v>
      </c>
      <c r="AS915" t="s">
        <v>897</v>
      </c>
      <c r="AT915" t="s">
        <v>58</v>
      </c>
    </row>
    <row r="916" ht="29" spans="1:46">
      <c r="A916" s="31" t="s">
        <v>73</v>
      </c>
      <c r="C916" t="s">
        <v>1790</v>
      </c>
      <c r="D916" s="5" t="s">
        <v>57</v>
      </c>
      <c r="E916">
        <v>2035</v>
      </c>
      <c r="F916" s="6" t="str">
        <f t="shared" si="114"/>
        <v>*0.95</v>
      </c>
      <c r="H916" t="s">
        <v>1790</v>
      </c>
      <c r="I916" s="5" t="s">
        <v>57</v>
      </c>
      <c r="J916">
        <v>2050</v>
      </c>
      <c r="K916" s="38" t="str">
        <f t="shared" si="115"/>
        <v>*0.93</v>
      </c>
      <c r="P916" s="32" t="s">
        <v>1790</v>
      </c>
      <c r="Q916" s="42" t="s">
        <v>57</v>
      </c>
      <c r="R916" s="32">
        <v>2035</v>
      </c>
      <c r="S916" s="43" t="str">
        <f t="shared" si="116"/>
        <v>*0.95</v>
      </c>
      <c r="U916" s="32" t="s">
        <v>1790</v>
      </c>
      <c r="V916" s="42" t="s">
        <v>57</v>
      </c>
      <c r="W916" s="32">
        <v>2050</v>
      </c>
      <c r="X916" s="43" t="str">
        <f t="shared" si="117"/>
        <v>*0.93</v>
      </c>
      <c r="AC916" s="33" t="s">
        <v>1790</v>
      </c>
      <c r="AD916" s="44" t="s">
        <v>57</v>
      </c>
      <c r="AE916" s="33">
        <v>2035</v>
      </c>
      <c r="AF916" s="45" t="str">
        <f t="shared" si="118"/>
        <v>*0.93</v>
      </c>
      <c r="AG916" s="43" t="str">
        <f t="shared" si="120"/>
        <v>REZoning_Sol-Win</v>
      </c>
      <c r="AI916" s="33" t="s">
        <v>1790</v>
      </c>
      <c r="AJ916" s="44" t="s">
        <v>57</v>
      </c>
      <c r="AK916" s="33">
        <v>2050</v>
      </c>
      <c r="AL916" s="45" t="str">
        <f t="shared" si="119"/>
        <v>*0.9</v>
      </c>
      <c r="AM916" s="43" t="str">
        <f t="shared" si="121"/>
        <v>REZoning_Sol-Win</v>
      </c>
      <c r="AP916" t="s">
        <v>1790</v>
      </c>
      <c r="AQ916" t="s">
        <v>57</v>
      </c>
      <c r="AR916">
        <v>2100</v>
      </c>
      <c r="AS916" t="s">
        <v>897</v>
      </c>
      <c r="AT916" t="s">
        <v>58</v>
      </c>
    </row>
    <row r="917" ht="29" spans="1:46">
      <c r="A917" s="31" t="s">
        <v>73</v>
      </c>
      <c r="C917" t="s">
        <v>1791</v>
      </c>
      <c r="D917" s="5" t="s">
        <v>57</v>
      </c>
      <c r="E917">
        <v>2035</v>
      </c>
      <c r="F917" s="6" t="str">
        <f t="shared" si="114"/>
        <v>*0.95</v>
      </c>
      <c r="H917" t="s">
        <v>1791</v>
      </c>
      <c r="I917" s="5" t="s">
        <v>57</v>
      </c>
      <c r="J917">
        <v>2050</v>
      </c>
      <c r="K917" s="38" t="str">
        <f t="shared" si="115"/>
        <v>*0.93</v>
      </c>
      <c r="P917" s="32" t="s">
        <v>1791</v>
      </c>
      <c r="Q917" s="42" t="s">
        <v>57</v>
      </c>
      <c r="R917" s="32">
        <v>2035</v>
      </c>
      <c r="S917" s="43" t="str">
        <f t="shared" si="116"/>
        <v>*0.95</v>
      </c>
      <c r="U917" s="32" t="s">
        <v>1791</v>
      </c>
      <c r="V917" s="42" t="s">
        <v>57</v>
      </c>
      <c r="W917" s="32">
        <v>2050</v>
      </c>
      <c r="X917" s="43" t="str">
        <f t="shared" si="117"/>
        <v>*0.93</v>
      </c>
      <c r="AC917" s="33" t="s">
        <v>1791</v>
      </c>
      <c r="AD917" s="44" t="s">
        <v>57</v>
      </c>
      <c r="AE917" s="33">
        <v>2035</v>
      </c>
      <c r="AF917" s="45" t="str">
        <f t="shared" si="118"/>
        <v>*0.93</v>
      </c>
      <c r="AG917" s="43" t="str">
        <f t="shared" si="120"/>
        <v>REZoning_Sol-Win</v>
      </c>
      <c r="AI917" s="33" t="s">
        <v>1791</v>
      </c>
      <c r="AJ917" s="44" t="s">
        <v>57</v>
      </c>
      <c r="AK917" s="33">
        <v>2050</v>
      </c>
      <c r="AL917" s="45" t="str">
        <f t="shared" si="119"/>
        <v>*0.9</v>
      </c>
      <c r="AM917" s="43" t="str">
        <f t="shared" si="121"/>
        <v>REZoning_Sol-Win</v>
      </c>
      <c r="AP917" t="s">
        <v>1791</v>
      </c>
      <c r="AQ917" t="s">
        <v>57</v>
      </c>
      <c r="AR917">
        <v>2100</v>
      </c>
      <c r="AS917" t="s">
        <v>897</v>
      </c>
      <c r="AT917" t="s">
        <v>58</v>
      </c>
    </row>
    <row r="918" ht="29" spans="1:46">
      <c r="A918" s="31" t="s">
        <v>73</v>
      </c>
      <c r="C918" t="s">
        <v>1792</v>
      </c>
      <c r="D918" s="5" t="s">
        <v>57</v>
      </c>
      <c r="E918">
        <v>2035</v>
      </c>
      <c r="F918" s="6" t="str">
        <f t="shared" si="114"/>
        <v>*0.95</v>
      </c>
      <c r="H918" t="s">
        <v>1792</v>
      </c>
      <c r="I918" s="5" t="s">
        <v>57</v>
      </c>
      <c r="J918">
        <v>2050</v>
      </c>
      <c r="K918" s="38" t="str">
        <f t="shared" si="115"/>
        <v>*0.93</v>
      </c>
      <c r="P918" s="32" t="s">
        <v>1792</v>
      </c>
      <c r="Q918" s="42" t="s">
        <v>57</v>
      </c>
      <c r="R918" s="32">
        <v>2035</v>
      </c>
      <c r="S918" s="43" t="str">
        <f t="shared" si="116"/>
        <v>*0.95</v>
      </c>
      <c r="U918" s="32" t="s">
        <v>1792</v>
      </c>
      <c r="V918" s="42" t="s">
        <v>57</v>
      </c>
      <c r="W918" s="32">
        <v>2050</v>
      </c>
      <c r="X918" s="43" t="str">
        <f t="shared" si="117"/>
        <v>*0.93</v>
      </c>
      <c r="AC918" s="33" t="s">
        <v>1792</v>
      </c>
      <c r="AD918" s="44" t="s">
        <v>57</v>
      </c>
      <c r="AE918" s="33">
        <v>2035</v>
      </c>
      <c r="AF918" s="45" t="str">
        <f t="shared" si="118"/>
        <v>*0.93</v>
      </c>
      <c r="AG918" s="43" t="str">
        <f t="shared" si="120"/>
        <v>REZoning_Sol-Win</v>
      </c>
      <c r="AI918" s="33" t="s">
        <v>1792</v>
      </c>
      <c r="AJ918" s="44" t="s">
        <v>57</v>
      </c>
      <c r="AK918" s="33">
        <v>2050</v>
      </c>
      <c r="AL918" s="45" t="str">
        <f t="shared" si="119"/>
        <v>*0.9</v>
      </c>
      <c r="AM918" s="43" t="str">
        <f t="shared" si="121"/>
        <v>REZoning_Sol-Win</v>
      </c>
      <c r="AP918" t="s">
        <v>1792</v>
      </c>
      <c r="AQ918" t="s">
        <v>57</v>
      </c>
      <c r="AR918">
        <v>2100</v>
      </c>
      <c r="AS918" t="s">
        <v>897</v>
      </c>
      <c r="AT918" t="s">
        <v>58</v>
      </c>
    </row>
    <row r="919" ht="29" spans="1:46">
      <c r="A919" s="31" t="s">
        <v>73</v>
      </c>
      <c r="C919" t="s">
        <v>1793</v>
      </c>
      <c r="D919" s="5" t="s">
        <v>57</v>
      </c>
      <c r="E919">
        <v>2035</v>
      </c>
      <c r="F919" s="6" t="str">
        <f t="shared" si="114"/>
        <v>*0.95</v>
      </c>
      <c r="H919" t="s">
        <v>1793</v>
      </c>
      <c r="I919" s="5" t="s">
        <v>57</v>
      </c>
      <c r="J919">
        <v>2050</v>
      </c>
      <c r="K919" s="38" t="str">
        <f t="shared" si="115"/>
        <v>*0.93</v>
      </c>
      <c r="P919" s="32" t="s">
        <v>1793</v>
      </c>
      <c r="Q919" s="42" t="s">
        <v>57</v>
      </c>
      <c r="R919" s="32">
        <v>2035</v>
      </c>
      <c r="S919" s="43" t="str">
        <f t="shared" si="116"/>
        <v>*0.95</v>
      </c>
      <c r="U919" s="32" t="s">
        <v>1793</v>
      </c>
      <c r="V919" s="42" t="s">
        <v>57</v>
      </c>
      <c r="W919" s="32">
        <v>2050</v>
      </c>
      <c r="X919" s="43" t="str">
        <f t="shared" si="117"/>
        <v>*0.93</v>
      </c>
      <c r="AC919" s="33" t="s">
        <v>1793</v>
      </c>
      <c r="AD919" s="44" t="s">
        <v>57</v>
      </c>
      <c r="AE919" s="33">
        <v>2035</v>
      </c>
      <c r="AF919" s="45" t="str">
        <f t="shared" si="118"/>
        <v>*0.93</v>
      </c>
      <c r="AG919" s="43" t="str">
        <f t="shared" si="120"/>
        <v>REZoning_Sol-Win</v>
      </c>
      <c r="AI919" s="33" t="s">
        <v>1793</v>
      </c>
      <c r="AJ919" s="44" t="s">
        <v>57</v>
      </c>
      <c r="AK919" s="33">
        <v>2050</v>
      </c>
      <c r="AL919" s="45" t="str">
        <f t="shared" si="119"/>
        <v>*0.9</v>
      </c>
      <c r="AM919" s="43" t="str">
        <f t="shared" si="121"/>
        <v>REZoning_Sol-Win</v>
      </c>
      <c r="AP919" t="s">
        <v>1793</v>
      </c>
      <c r="AQ919" t="s">
        <v>57</v>
      </c>
      <c r="AR919">
        <v>2100</v>
      </c>
      <c r="AS919" t="s">
        <v>897</v>
      </c>
      <c r="AT919" t="s">
        <v>58</v>
      </c>
    </row>
    <row r="920" ht="29" spans="1:46">
      <c r="A920" s="31" t="s">
        <v>73</v>
      </c>
      <c r="C920" t="s">
        <v>1794</v>
      </c>
      <c r="D920" s="5" t="s">
        <v>57</v>
      </c>
      <c r="E920">
        <v>2035</v>
      </c>
      <c r="F920" s="6" t="str">
        <f t="shared" si="114"/>
        <v>*0.95</v>
      </c>
      <c r="H920" t="s">
        <v>1794</v>
      </c>
      <c r="I920" s="5" t="s">
        <v>57</v>
      </c>
      <c r="J920">
        <v>2050</v>
      </c>
      <c r="K920" s="38" t="str">
        <f t="shared" si="115"/>
        <v>*0.93</v>
      </c>
      <c r="P920" s="32" t="s">
        <v>1794</v>
      </c>
      <c r="Q920" s="42" t="s">
        <v>57</v>
      </c>
      <c r="R920" s="32">
        <v>2035</v>
      </c>
      <c r="S920" s="43" t="str">
        <f t="shared" si="116"/>
        <v>*0.95</v>
      </c>
      <c r="U920" s="32" t="s">
        <v>1794</v>
      </c>
      <c r="V920" s="42" t="s">
        <v>57</v>
      </c>
      <c r="W920" s="32">
        <v>2050</v>
      </c>
      <c r="X920" s="43" t="str">
        <f t="shared" si="117"/>
        <v>*0.93</v>
      </c>
      <c r="AC920" s="33" t="s">
        <v>1794</v>
      </c>
      <c r="AD920" s="44" t="s">
        <v>57</v>
      </c>
      <c r="AE920" s="33">
        <v>2035</v>
      </c>
      <c r="AF920" s="45" t="str">
        <f t="shared" si="118"/>
        <v>*0.93</v>
      </c>
      <c r="AG920" s="43" t="str">
        <f t="shared" si="120"/>
        <v>REZoning_Sol-Win</v>
      </c>
      <c r="AI920" s="33" t="s">
        <v>1794</v>
      </c>
      <c r="AJ920" s="44" t="s">
        <v>57</v>
      </c>
      <c r="AK920" s="33">
        <v>2050</v>
      </c>
      <c r="AL920" s="45" t="str">
        <f t="shared" si="119"/>
        <v>*0.9</v>
      </c>
      <c r="AM920" s="43" t="str">
        <f t="shared" si="121"/>
        <v>REZoning_Sol-Win</v>
      </c>
      <c r="AP920" t="s">
        <v>1794</v>
      </c>
      <c r="AQ920" t="s">
        <v>57</v>
      </c>
      <c r="AR920">
        <v>2100</v>
      </c>
      <c r="AS920" t="s">
        <v>897</v>
      </c>
      <c r="AT920" t="s">
        <v>58</v>
      </c>
    </row>
    <row r="921" ht="29" spans="1:46">
      <c r="A921" s="31" t="s">
        <v>73</v>
      </c>
      <c r="C921" t="s">
        <v>1795</v>
      </c>
      <c r="D921" s="5" t="s">
        <v>57</v>
      </c>
      <c r="E921">
        <v>2035</v>
      </c>
      <c r="F921" s="6" t="str">
        <f t="shared" si="114"/>
        <v>*0.95</v>
      </c>
      <c r="H921" t="s">
        <v>1795</v>
      </c>
      <c r="I921" s="5" t="s">
        <v>57</v>
      </c>
      <c r="J921">
        <v>2050</v>
      </c>
      <c r="K921" s="38" t="str">
        <f t="shared" si="115"/>
        <v>*0.93</v>
      </c>
      <c r="P921" s="32" t="s">
        <v>1795</v>
      </c>
      <c r="Q921" s="42" t="s">
        <v>57</v>
      </c>
      <c r="R921" s="32">
        <v>2035</v>
      </c>
      <c r="S921" s="43" t="str">
        <f t="shared" si="116"/>
        <v>*0.95</v>
      </c>
      <c r="U921" s="32" t="s">
        <v>1795</v>
      </c>
      <c r="V921" s="42" t="s">
        <v>57</v>
      </c>
      <c r="W921" s="32">
        <v>2050</v>
      </c>
      <c r="X921" s="43" t="str">
        <f t="shared" si="117"/>
        <v>*0.93</v>
      </c>
      <c r="AC921" s="33" t="s">
        <v>1795</v>
      </c>
      <c r="AD921" s="44" t="s">
        <v>57</v>
      </c>
      <c r="AE921" s="33">
        <v>2035</v>
      </c>
      <c r="AF921" s="45" t="str">
        <f t="shared" si="118"/>
        <v>*0.93</v>
      </c>
      <c r="AG921" s="43" t="str">
        <f t="shared" si="120"/>
        <v>REZoning_Sol-Win</v>
      </c>
      <c r="AI921" s="33" t="s">
        <v>1795</v>
      </c>
      <c r="AJ921" s="44" t="s">
        <v>57</v>
      </c>
      <c r="AK921" s="33">
        <v>2050</v>
      </c>
      <c r="AL921" s="45" t="str">
        <f t="shared" si="119"/>
        <v>*0.9</v>
      </c>
      <c r="AM921" s="43" t="str">
        <f t="shared" si="121"/>
        <v>REZoning_Sol-Win</v>
      </c>
      <c r="AP921" t="s">
        <v>1795</v>
      </c>
      <c r="AQ921" t="s">
        <v>57</v>
      </c>
      <c r="AR921">
        <v>2100</v>
      </c>
      <c r="AS921" t="s">
        <v>897</v>
      </c>
      <c r="AT921" t="s">
        <v>58</v>
      </c>
    </row>
    <row r="922" ht="29" spans="1:46">
      <c r="A922" s="31" t="s">
        <v>73</v>
      </c>
      <c r="C922" t="s">
        <v>1796</v>
      </c>
      <c r="D922" s="5" t="s">
        <v>57</v>
      </c>
      <c r="E922">
        <v>2035</v>
      </c>
      <c r="F922" s="6" t="str">
        <f t="shared" si="114"/>
        <v>*0.95</v>
      </c>
      <c r="H922" t="s">
        <v>1796</v>
      </c>
      <c r="I922" s="5" t="s">
        <v>57</v>
      </c>
      <c r="J922">
        <v>2050</v>
      </c>
      <c r="K922" s="38" t="str">
        <f t="shared" si="115"/>
        <v>*0.93</v>
      </c>
      <c r="P922" s="32" t="s">
        <v>1796</v>
      </c>
      <c r="Q922" s="42" t="s">
        <v>57</v>
      </c>
      <c r="R922" s="32">
        <v>2035</v>
      </c>
      <c r="S922" s="43" t="str">
        <f t="shared" si="116"/>
        <v>*0.95</v>
      </c>
      <c r="U922" s="32" t="s">
        <v>1796</v>
      </c>
      <c r="V922" s="42" t="s">
        <v>57</v>
      </c>
      <c r="W922" s="32">
        <v>2050</v>
      </c>
      <c r="X922" s="43" t="str">
        <f t="shared" si="117"/>
        <v>*0.93</v>
      </c>
      <c r="AC922" s="33" t="s">
        <v>1796</v>
      </c>
      <c r="AD922" s="44" t="s">
        <v>57</v>
      </c>
      <c r="AE922" s="33">
        <v>2035</v>
      </c>
      <c r="AF922" s="45" t="str">
        <f t="shared" si="118"/>
        <v>*0.93</v>
      </c>
      <c r="AG922" s="43" t="str">
        <f t="shared" si="120"/>
        <v>REZoning_Sol-Win</v>
      </c>
      <c r="AI922" s="33" t="s">
        <v>1796</v>
      </c>
      <c r="AJ922" s="44" t="s">
        <v>57</v>
      </c>
      <c r="AK922" s="33">
        <v>2050</v>
      </c>
      <c r="AL922" s="45" t="str">
        <f t="shared" si="119"/>
        <v>*0.9</v>
      </c>
      <c r="AM922" s="43" t="str">
        <f t="shared" si="121"/>
        <v>REZoning_Sol-Win</v>
      </c>
      <c r="AP922" t="s">
        <v>1796</v>
      </c>
      <c r="AQ922" t="s">
        <v>57</v>
      </c>
      <c r="AR922">
        <v>2100</v>
      </c>
      <c r="AS922" t="s">
        <v>897</v>
      </c>
      <c r="AT922" t="s">
        <v>58</v>
      </c>
    </row>
    <row r="923" ht="29" spans="1:46">
      <c r="A923" s="31" t="s">
        <v>73</v>
      </c>
      <c r="C923" t="s">
        <v>1797</v>
      </c>
      <c r="D923" s="5" t="s">
        <v>57</v>
      </c>
      <c r="E923">
        <v>2035</v>
      </c>
      <c r="F923" s="6" t="str">
        <f t="shared" si="114"/>
        <v>*0.95</v>
      </c>
      <c r="H923" t="s">
        <v>1797</v>
      </c>
      <c r="I923" s="5" t="s">
        <v>57</v>
      </c>
      <c r="J923">
        <v>2050</v>
      </c>
      <c r="K923" s="38" t="str">
        <f t="shared" si="115"/>
        <v>*0.93</v>
      </c>
      <c r="P923" s="32" t="s">
        <v>1797</v>
      </c>
      <c r="Q923" s="42" t="s">
        <v>57</v>
      </c>
      <c r="R923" s="32">
        <v>2035</v>
      </c>
      <c r="S923" s="43" t="str">
        <f t="shared" si="116"/>
        <v>*0.95</v>
      </c>
      <c r="U923" s="32" t="s">
        <v>1797</v>
      </c>
      <c r="V923" s="42" t="s">
        <v>57</v>
      </c>
      <c r="W923" s="32">
        <v>2050</v>
      </c>
      <c r="X923" s="43" t="str">
        <f t="shared" si="117"/>
        <v>*0.93</v>
      </c>
      <c r="AC923" s="33" t="s">
        <v>1797</v>
      </c>
      <c r="AD923" s="44" t="s">
        <v>57</v>
      </c>
      <c r="AE923" s="33">
        <v>2035</v>
      </c>
      <c r="AF923" s="45" t="str">
        <f t="shared" si="118"/>
        <v>*0.93</v>
      </c>
      <c r="AG923" s="43" t="str">
        <f t="shared" si="120"/>
        <v>REZoning_Sol-Win</v>
      </c>
      <c r="AI923" s="33" t="s">
        <v>1797</v>
      </c>
      <c r="AJ923" s="44" t="s">
        <v>57</v>
      </c>
      <c r="AK923" s="33">
        <v>2050</v>
      </c>
      <c r="AL923" s="45" t="str">
        <f t="shared" si="119"/>
        <v>*0.9</v>
      </c>
      <c r="AM923" s="43" t="str">
        <f t="shared" si="121"/>
        <v>REZoning_Sol-Win</v>
      </c>
      <c r="AP923" t="s">
        <v>1797</v>
      </c>
      <c r="AQ923" t="s">
        <v>57</v>
      </c>
      <c r="AR923">
        <v>2100</v>
      </c>
      <c r="AS923" t="s">
        <v>897</v>
      </c>
      <c r="AT923" t="s">
        <v>58</v>
      </c>
    </row>
    <row r="924" ht="29" spans="1:46">
      <c r="A924" s="31" t="s">
        <v>73</v>
      </c>
      <c r="C924" t="s">
        <v>1798</v>
      </c>
      <c r="D924" s="5" t="s">
        <v>57</v>
      </c>
      <c r="E924">
        <v>2035</v>
      </c>
      <c r="F924" s="6" t="str">
        <f t="shared" si="114"/>
        <v>*0.95</v>
      </c>
      <c r="H924" t="s">
        <v>1798</v>
      </c>
      <c r="I924" s="5" t="s">
        <v>57</v>
      </c>
      <c r="J924">
        <v>2050</v>
      </c>
      <c r="K924" s="38" t="str">
        <f t="shared" si="115"/>
        <v>*0.93</v>
      </c>
      <c r="P924" s="32" t="s">
        <v>1798</v>
      </c>
      <c r="Q924" s="42" t="s">
        <v>57</v>
      </c>
      <c r="R924" s="32">
        <v>2035</v>
      </c>
      <c r="S924" s="43" t="str">
        <f t="shared" si="116"/>
        <v>*0.95</v>
      </c>
      <c r="U924" s="32" t="s">
        <v>1798</v>
      </c>
      <c r="V924" s="42" t="s">
        <v>57</v>
      </c>
      <c r="W924" s="32">
        <v>2050</v>
      </c>
      <c r="X924" s="43" t="str">
        <f t="shared" si="117"/>
        <v>*0.93</v>
      </c>
      <c r="AC924" s="33" t="s">
        <v>1798</v>
      </c>
      <c r="AD924" s="44" t="s">
        <v>57</v>
      </c>
      <c r="AE924" s="33">
        <v>2035</v>
      </c>
      <c r="AF924" s="45" t="str">
        <f t="shared" si="118"/>
        <v>*0.93</v>
      </c>
      <c r="AG924" s="43" t="str">
        <f t="shared" si="120"/>
        <v>REZoning_Sol-Win</v>
      </c>
      <c r="AI924" s="33" t="s">
        <v>1798</v>
      </c>
      <c r="AJ924" s="44" t="s">
        <v>57</v>
      </c>
      <c r="AK924" s="33">
        <v>2050</v>
      </c>
      <c r="AL924" s="45" t="str">
        <f t="shared" si="119"/>
        <v>*0.9</v>
      </c>
      <c r="AM924" s="43" t="str">
        <f t="shared" si="121"/>
        <v>REZoning_Sol-Win</v>
      </c>
      <c r="AP924" t="s">
        <v>1798</v>
      </c>
      <c r="AQ924" t="s">
        <v>57</v>
      </c>
      <c r="AR924">
        <v>2100</v>
      </c>
      <c r="AS924" t="s">
        <v>897</v>
      </c>
      <c r="AT924" t="s">
        <v>58</v>
      </c>
    </row>
    <row r="925" ht="29" spans="1:46">
      <c r="A925" s="31" t="s">
        <v>73</v>
      </c>
      <c r="C925" t="s">
        <v>1799</v>
      </c>
      <c r="D925" s="5" t="s">
        <v>57</v>
      </c>
      <c r="E925">
        <v>2035</v>
      </c>
      <c r="F925" s="6" t="str">
        <f t="shared" si="114"/>
        <v>*0.95</v>
      </c>
      <c r="H925" t="s">
        <v>1799</v>
      </c>
      <c r="I925" s="5" t="s">
        <v>57</v>
      </c>
      <c r="J925">
        <v>2050</v>
      </c>
      <c r="K925" s="38" t="str">
        <f t="shared" si="115"/>
        <v>*0.93</v>
      </c>
      <c r="P925" s="32" t="s">
        <v>1799</v>
      </c>
      <c r="Q925" s="42" t="s">
        <v>57</v>
      </c>
      <c r="R925" s="32">
        <v>2035</v>
      </c>
      <c r="S925" s="43" t="str">
        <f t="shared" si="116"/>
        <v>*0.95</v>
      </c>
      <c r="U925" s="32" t="s">
        <v>1799</v>
      </c>
      <c r="V925" s="42" t="s">
        <v>57</v>
      </c>
      <c r="W925" s="32">
        <v>2050</v>
      </c>
      <c r="X925" s="43" t="str">
        <f t="shared" si="117"/>
        <v>*0.93</v>
      </c>
      <c r="AC925" s="33" t="s">
        <v>1799</v>
      </c>
      <c r="AD925" s="44" t="s">
        <v>57</v>
      </c>
      <c r="AE925" s="33">
        <v>2035</v>
      </c>
      <c r="AF925" s="45" t="str">
        <f t="shared" si="118"/>
        <v>*0.93</v>
      </c>
      <c r="AG925" s="43" t="str">
        <f t="shared" si="120"/>
        <v>REZoning_Sol-Win</v>
      </c>
      <c r="AI925" s="33" t="s">
        <v>1799</v>
      </c>
      <c r="AJ925" s="44" t="s">
        <v>57</v>
      </c>
      <c r="AK925" s="33">
        <v>2050</v>
      </c>
      <c r="AL925" s="45" t="str">
        <f t="shared" si="119"/>
        <v>*0.9</v>
      </c>
      <c r="AM925" s="43" t="str">
        <f t="shared" si="121"/>
        <v>REZoning_Sol-Win</v>
      </c>
      <c r="AP925" t="s">
        <v>1799</v>
      </c>
      <c r="AQ925" t="s">
        <v>57</v>
      </c>
      <c r="AR925">
        <v>2100</v>
      </c>
      <c r="AS925" t="s">
        <v>897</v>
      </c>
      <c r="AT925" t="s">
        <v>58</v>
      </c>
    </row>
    <row r="926" ht="29" spans="1:46">
      <c r="A926" s="31" t="s">
        <v>73</v>
      </c>
      <c r="C926" t="s">
        <v>1800</v>
      </c>
      <c r="D926" s="5" t="s">
        <v>57</v>
      </c>
      <c r="E926">
        <v>2035</v>
      </c>
      <c r="F926" s="6" t="str">
        <f t="shared" si="114"/>
        <v>*0.95</v>
      </c>
      <c r="H926" t="s">
        <v>1800</v>
      </c>
      <c r="I926" s="5" t="s">
        <v>57</v>
      </c>
      <c r="J926">
        <v>2050</v>
      </c>
      <c r="K926" s="38" t="str">
        <f t="shared" si="115"/>
        <v>*0.93</v>
      </c>
      <c r="P926" s="32" t="s">
        <v>1800</v>
      </c>
      <c r="Q926" s="42" t="s">
        <v>57</v>
      </c>
      <c r="R926" s="32">
        <v>2035</v>
      </c>
      <c r="S926" s="43" t="str">
        <f t="shared" si="116"/>
        <v>*0.95</v>
      </c>
      <c r="U926" s="32" t="s">
        <v>1800</v>
      </c>
      <c r="V926" s="42" t="s">
        <v>57</v>
      </c>
      <c r="W926" s="32">
        <v>2050</v>
      </c>
      <c r="X926" s="43" t="str">
        <f t="shared" si="117"/>
        <v>*0.93</v>
      </c>
      <c r="AC926" s="33" t="s">
        <v>1800</v>
      </c>
      <c r="AD926" s="44" t="s">
        <v>57</v>
      </c>
      <c r="AE926" s="33">
        <v>2035</v>
      </c>
      <c r="AF926" s="45" t="str">
        <f t="shared" si="118"/>
        <v>*0.93</v>
      </c>
      <c r="AG926" s="43" t="str">
        <f t="shared" si="120"/>
        <v>REZoning_Sol-Win</v>
      </c>
      <c r="AI926" s="33" t="s">
        <v>1800</v>
      </c>
      <c r="AJ926" s="44" t="s">
        <v>57</v>
      </c>
      <c r="AK926" s="33">
        <v>2050</v>
      </c>
      <c r="AL926" s="45" t="str">
        <f t="shared" si="119"/>
        <v>*0.9</v>
      </c>
      <c r="AM926" s="43" t="str">
        <f t="shared" si="121"/>
        <v>REZoning_Sol-Win</v>
      </c>
      <c r="AP926" t="s">
        <v>1800</v>
      </c>
      <c r="AQ926" t="s">
        <v>57</v>
      </c>
      <c r="AR926">
        <v>2100</v>
      </c>
      <c r="AS926" t="s">
        <v>897</v>
      </c>
      <c r="AT926" t="s">
        <v>58</v>
      </c>
    </row>
    <row r="927" ht="29" spans="1:46">
      <c r="A927" s="31" t="s">
        <v>73</v>
      </c>
      <c r="C927" t="s">
        <v>1801</v>
      </c>
      <c r="D927" s="5" t="s">
        <v>57</v>
      </c>
      <c r="E927">
        <v>2035</v>
      </c>
      <c r="F927" s="6" t="str">
        <f t="shared" si="114"/>
        <v>*0.95</v>
      </c>
      <c r="H927" t="s">
        <v>1801</v>
      </c>
      <c r="I927" s="5" t="s">
        <v>57</v>
      </c>
      <c r="J927">
        <v>2050</v>
      </c>
      <c r="K927" s="38" t="str">
        <f t="shared" si="115"/>
        <v>*0.93</v>
      </c>
      <c r="P927" s="32" t="s">
        <v>1801</v>
      </c>
      <c r="Q927" s="42" t="s">
        <v>57</v>
      </c>
      <c r="R927" s="32">
        <v>2035</v>
      </c>
      <c r="S927" s="43" t="str">
        <f t="shared" si="116"/>
        <v>*0.95</v>
      </c>
      <c r="U927" s="32" t="s">
        <v>1801</v>
      </c>
      <c r="V927" s="42" t="s">
        <v>57</v>
      </c>
      <c r="W927" s="32">
        <v>2050</v>
      </c>
      <c r="X927" s="43" t="str">
        <f t="shared" si="117"/>
        <v>*0.93</v>
      </c>
      <c r="AC927" s="33" t="s">
        <v>1801</v>
      </c>
      <c r="AD927" s="44" t="s">
        <v>57</v>
      </c>
      <c r="AE927" s="33">
        <v>2035</v>
      </c>
      <c r="AF927" s="45" t="str">
        <f t="shared" si="118"/>
        <v>*0.93</v>
      </c>
      <c r="AG927" s="43" t="str">
        <f t="shared" si="120"/>
        <v>REZoning_Sol-Win</v>
      </c>
      <c r="AI927" s="33" t="s">
        <v>1801</v>
      </c>
      <c r="AJ927" s="44" t="s">
        <v>57</v>
      </c>
      <c r="AK927" s="33">
        <v>2050</v>
      </c>
      <c r="AL927" s="45" t="str">
        <f t="shared" si="119"/>
        <v>*0.9</v>
      </c>
      <c r="AM927" s="43" t="str">
        <f t="shared" si="121"/>
        <v>REZoning_Sol-Win</v>
      </c>
      <c r="AP927" t="s">
        <v>1801</v>
      </c>
      <c r="AQ927" t="s">
        <v>57</v>
      </c>
      <c r="AR927">
        <v>2100</v>
      </c>
      <c r="AS927" t="s">
        <v>897</v>
      </c>
      <c r="AT927" t="s">
        <v>58</v>
      </c>
    </row>
    <row r="928" ht="29" spans="1:46">
      <c r="A928" s="31" t="s">
        <v>73</v>
      </c>
      <c r="C928" t="s">
        <v>1802</v>
      </c>
      <c r="D928" s="5" t="s">
        <v>57</v>
      </c>
      <c r="E928">
        <v>2035</v>
      </c>
      <c r="F928" s="6" t="str">
        <f t="shared" si="114"/>
        <v>*0.95</v>
      </c>
      <c r="H928" t="s">
        <v>1802</v>
      </c>
      <c r="I928" s="5" t="s">
        <v>57</v>
      </c>
      <c r="J928">
        <v>2050</v>
      </c>
      <c r="K928" s="38" t="str">
        <f t="shared" si="115"/>
        <v>*0.93</v>
      </c>
      <c r="P928" s="32" t="s">
        <v>1802</v>
      </c>
      <c r="Q928" s="42" t="s">
        <v>57</v>
      </c>
      <c r="R928" s="32">
        <v>2035</v>
      </c>
      <c r="S928" s="43" t="str">
        <f t="shared" si="116"/>
        <v>*0.95</v>
      </c>
      <c r="U928" s="32" t="s">
        <v>1802</v>
      </c>
      <c r="V928" s="42" t="s">
        <v>57</v>
      </c>
      <c r="W928" s="32">
        <v>2050</v>
      </c>
      <c r="X928" s="43" t="str">
        <f t="shared" si="117"/>
        <v>*0.93</v>
      </c>
      <c r="AC928" s="33" t="s">
        <v>1802</v>
      </c>
      <c r="AD928" s="44" t="s">
        <v>57</v>
      </c>
      <c r="AE928" s="33">
        <v>2035</v>
      </c>
      <c r="AF928" s="45" t="str">
        <f t="shared" si="118"/>
        <v>*0.93</v>
      </c>
      <c r="AG928" s="43" t="str">
        <f t="shared" si="120"/>
        <v>REZoning_Sol-Win</v>
      </c>
      <c r="AI928" s="33" t="s">
        <v>1802</v>
      </c>
      <c r="AJ928" s="44" t="s">
        <v>57</v>
      </c>
      <c r="AK928" s="33">
        <v>2050</v>
      </c>
      <c r="AL928" s="45" t="str">
        <f t="shared" si="119"/>
        <v>*0.9</v>
      </c>
      <c r="AM928" s="43" t="str">
        <f t="shared" si="121"/>
        <v>REZoning_Sol-Win</v>
      </c>
      <c r="AP928" t="s">
        <v>1802</v>
      </c>
      <c r="AQ928" t="s">
        <v>57</v>
      </c>
      <c r="AR928">
        <v>2100</v>
      </c>
      <c r="AS928" t="s">
        <v>897</v>
      </c>
      <c r="AT928" t="s">
        <v>58</v>
      </c>
    </row>
    <row r="929" ht="29" spans="1:46">
      <c r="A929" s="31" t="s">
        <v>73</v>
      </c>
      <c r="C929" t="s">
        <v>1803</v>
      </c>
      <c r="D929" s="5" t="s">
        <v>57</v>
      </c>
      <c r="E929">
        <v>2035</v>
      </c>
      <c r="F929" s="6" t="str">
        <f t="shared" si="114"/>
        <v>*0.95</v>
      </c>
      <c r="H929" t="s">
        <v>1803</v>
      </c>
      <c r="I929" s="5" t="s">
        <v>57</v>
      </c>
      <c r="J929">
        <v>2050</v>
      </c>
      <c r="K929" s="38" t="str">
        <f t="shared" si="115"/>
        <v>*0.93</v>
      </c>
      <c r="P929" s="32" t="s">
        <v>1803</v>
      </c>
      <c r="Q929" s="42" t="s">
        <v>57</v>
      </c>
      <c r="R929" s="32">
        <v>2035</v>
      </c>
      <c r="S929" s="43" t="str">
        <f t="shared" si="116"/>
        <v>*0.95</v>
      </c>
      <c r="U929" s="32" t="s">
        <v>1803</v>
      </c>
      <c r="V929" s="42" t="s">
        <v>57</v>
      </c>
      <c r="W929" s="32">
        <v>2050</v>
      </c>
      <c r="X929" s="43" t="str">
        <f t="shared" si="117"/>
        <v>*0.93</v>
      </c>
      <c r="AC929" s="33" t="s">
        <v>1803</v>
      </c>
      <c r="AD929" s="44" t="s">
        <v>57</v>
      </c>
      <c r="AE929" s="33">
        <v>2035</v>
      </c>
      <c r="AF929" s="45" t="str">
        <f t="shared" si="118"/>
        <v>*0.93</v>
      </c>
      <c r="AG929" s="43" t="str">
        <f t="shared" si="120"/>
        <v>REZoning_Sol-Win</v>
      </c>
      <c r="AI929" s="33" t="s">
        <v>1803</v>
      </c>
      <c r="AJ929" s="44" t="s">
        <v>57</v>
      </c>
      <c r="AK929" s="33">
        <v>2050</v>
      </c>
      <c r="AL929" s="45" t="str">
        <f t="shared" si="119"/>
        <v>*0.9</v>
      </c>
      <c r="AM929" s="43" t="str">
        <f t="shared" si="121"/>
        <v>REZoning_Sol-Win</v>
      </c>
      <c r="AP929" t="s">
        <v>1803</v>
      </c>
      <c r="AQ929" t="s">
        <v>57</v>
      </c>
      <c r="AR929">
        <v>2100</v>
      </c>
      <c r="AS929" t="s">
        <v>897</v>
      </c>
      <c r="AT929" t="s">
        <v>58</v>
      </c>
    </row>
    <row r="930" ht="29" spans="1:46">
      <c r="A930" s="31" t="s">
        <v>73</v>
      </c>
      <c r="C930" t="s">
        <v>1804</v>
      </c>
      <c r="D930" s="5" t="s">
        <v>57</v>
      </c>
      <c r="E930">
        <v>2035</v>
      </c>
      <c r="F930" s="6" t="str">
        <f t="shared" si="114"/>
        <v>*0.95</v>
      </c>
      <c r="H930" t="s">
        <v>1804</v>
      </c>
      <c r="I930" s="5" t="s">
        <v>57</v>
      </c>
      <c r="J930">
        <v>2050</v>
      </c>
      <c r="K930" s="38" t="str">
        <f t="shared" si="115"/>
        <v>*0.93</v>
      </c>
      <c r="P930" s="32" t="s">
        <v>1804</v>
      </c>
      <c r="Q930" s="42" t="s">
        <v>57</v>
      </c>
      <c r="R930" s="32">
        <v>2035</v>
      </c>
      <c r="S930" s="43" t="str">
        <f t="shared" si="116"/>
        <v>*0.95</v>
      </c>
      <c r="U930" s="32" t="s">
        <v>1804</v>
      </c>
      <c r="V930" s="42" t="s">
        <v>57</v>
      </c>
      <c r="W930" s="32">
        <v>2050</v>
      </c>
      <c r="X930" s="43" t="str">
        <f t="shared" si="117"/>
        <v>*0.93</v>
      </c>
      <c r="AC930" s="33" t="s">
        <v>1804</v>
      </c>
      <c r="AD930" s="44" t="s">
        <v>57</v>
      </c>
      <c r="AE930" s="33">
        <v>2035</v>
      </c>
      <c r="AF930" s="45" t="str">
        <f t="shared" si="118"/>
        <v>*0.93</v>
      </c>
      <c r="AG930" s="43" t="str">
        <f t="shared" si="120"/>
        <v>REZoning_Sol-Win</v>
      </c>
      <c r="AI930" s="33" t="s">
        <v>1804</v>
      </c>
      <c r="AJ930" s="44" t="s">
        <v>57</v>
      </c>
      <c r="AK930" s="33">
        <v>2050</v>
      </c>
      <c r="AL930" s="45" t="str">
        <f t="shared" si="119"/>
        <v>*0.9</v>
      </c>
      <c r="AM930" s="43" t="str">
        <f t="shared" si="121"/>
        <v>REZoning_Sol-Win</v>
      </c>
      <c r="AP930" t="s">
        <v>1804</v>
      </c>
      <c r="AQ930" t="s">
        <v>57</v>
      </c>
      <c r="AR930">
        <v>2100</v>
      </c>
      <c r="AS930" t="s">
        <v>897</v>
      </c>
      <c r="AT930" t="s">
        <v>58</v>
      </c>
    </row>
    <row r="931" ht="29" spans="1:46">
      <c r="A931" s="31" t="s">
        <v>73</v>
      </c>
      <c r="C931" t="s">
        <v>1805</v>
      </c>
      <c r="D931" s="5" t="s">
        <v>57</v>
      </c>
      <c r="E931">
        <v>2035</v>
      </c>
      <c r="F931" s="6" t="str">
        <f t="shared" si="114"/>
        <v>*0.95</v>
      </c>
      <c r="H931" t="s">
        <v>1805</v>
      </c>
      <c r="I931" s="5" t="s">
        <v>57</v>
      </c>
      <c r="J931">
        <v>2050</v>
      </c>
      <c r="K931" s="38" t="str">
        <f t="shared" si="115"/>
        <v>*0.93</v>
      </c>
      <c r="P931" s="32" t="s">
        <v>1805</v>
      </c>
      <c r="Q931" s="42" t="s">
        <v>57</v>
      </c>
      <c r="R931" s="32">
        <v>2035</v>
      </c>
      <c r="S931" s="43" t="str">
        <f t="shared" si="116"/>
        <v>*0.95</v>
      </c>
      <c r="U931" s="32" t="s">
        <v>1805</v>
      </c>
      <c r="V931" s="42" t="s">
        <v>57</v>
      </c>
      <c r="W931" s="32">
        <v>2050</v>
      </c>
      <c r="X931" s="43" t="str">
        <f t="shared" si="117"/>
        <v>*0.93</v>
      </c>
      <c r="AC931" s="33" t="s">
        <v>1805</v>
      </c>
      <c r="AD931" s="44" t="s">
        <v>57</v>
      </c>
      <c r="AE931" s="33">
        <v>2035</v>
      </c>
      <c r="AF931" s="45" t="str">
        <f t="shared" si="118"/>
        <v>*0.93</v>
      </c>
      <c r="AG931" s="43" t="str">
        <f t="shared" si="120"/>
        <v>REZoning_Sol-Win</v>
      </c>
      <c r="AI931" s="33" t="s">
        <v>1805</v>
      </c>
      <c r="AJ931" s="44" t="s">
        <v>57</v>
      </c>
      <c r="AK931" s="33">
        <v>2050</v>
      </c>
      <c r="AL931" s="45" t="str">
        <f t="shared" si="119"/>
        <v>*0.9</v>
      </c>
      <c r="AM931" s="43" t="str">
        <f t="shared" si="121"/>
        <v>REZoning_Sol-Win</v>
      </c>
      <c r="AP931" t="s">
        <v>1805</v>
      </c>
      <c r="AQ931" t="s">
        <v>57</v>
      </c>
      <c r="AR931">
        <v>2100</v>
      </c>
      <c r="AS931" t="s">
        <v>897</v>
      </c>
      <c r="AT931" t="s">
        <v>58</v>
      </c>
    </row>
    <row r="932" ht="29" spans="1:46">
      <c r="A932" s="31" t="s">
        <v>73</v>
      </c>
      <c r="C932" t="s">
        <v>1806</v>
      </c>
      <c r="D932" s="5" t="s">
        <v>57</v>
      </c>
      <c r="E932">
        <v>2035</v>
      </c>
      <c r="F932" s="6" t="str">
        <f t="shared" si="114"/>
        <v>*0.95</v>
      </c>
      <c r="H932" t="s">
        <v>1806</v>
      </c>
      <c r="I932" s="5" t="s">
        <v>57</v>
      </c>
      <c r="J932">
        <v>2050</v>
      </c>
      <c r="K932" s="38" t="str">
        <f t="shared" si="115"/>
        <v>*0.93</v>
      </c>
      <c r="P932" s="32" t="s">
        <v>1806</v>
      </c>
      <c r="Q932" s="42" t="s">
        <v>57</v>
      </c>
      <c r="R932" s="32">
        <v>2035</v>
      </c>
      <c r="S932" s="43" t="str">
        <f t="shared" si="116"/>
        <v>*0.95</v>
      </c>
      <c r="U932" s="32" t="s">
        <v>1806</v>
      </c>
      <c r="V932" s="42" t="s">
        <v>57</v>
      </c>
      <c r="W932" s="32">
        <v>2050</v>
      </c>
      <c r="X932" s="43" t="str">
        <f t="shared" si="117"/>
        <v>*0.93</v>
      </c>
      <c r="AC932" s="33" t="s">
        <v>1806</v>
      </c>
      <c r="AD932" s="44" t="s">
        <v>57</v>
      </c>
      <c r="AE932" s="33">
        <v>2035</v>
      </c>
      <c r="AF932" s="45" t="str">
        <f t="shared" si="118"/>
        <v>*0.93</v>
      </c>
      <c r="AG932" s="43" t="str">
        <f t="shared" si="120"/>
        <v>REZoning_Sol-Win</v>
      </c>
      <c r="AI932" s="33" t="s">
        <v>1806</v>
      </c>
      <c r="AJ932" s="44" t="s">
        <v>57</v>
      </c>
      <c r="AK932" s="33">
        <v>2050</v>
      </c>
      <c r="AL932" s="45" t="str">
        <f t="shared" si="119"/>
        <v>*0.9</v>
      </c>
      <c r="AM932" s="43" t="str">
        <f t="shared" si="121"/>
        <v>REZoning_Sol-Win</v>
      </c>
      <c r="AP932" t="s">
        <v>1806</v>
      </c>
      <c r="AQ932" t="s">
        <v>57</v>
      </c>
      <c r="AR932">
        <v>2100</v>
      </c>
      <c r="AS932" t="s">
        <v>897</v>
      </c>
      <c r="AT932" t="s">
        <v>58</v>
      </c>
    </row>
    <row r="933" ht="29" spans="1:46">
      <c r="A933" s="31" t="s">
        <v>73</v>
      </c>
      <c r="C933" t="s">
        <v>1807</v>
      </c>
      <c r="D933" s="5" t="s">
        <v>57</v>
      </c>
      <c r="E933">
        <v>2035</v>
      </c>
      <c r="F933" s="6" t="str">
        <f t="shared" si="114"/>
        <v>*0.95</v>
      </c>
      <c r="H933" t="s">
        <v>1807</v>
      </c>
      <c r="I933" s="5" t="s">
        <v>57</v>
      </c>
      <c r="J933">
        <v>2050</v>
      </c>
      <c r="K933" s="38" t="str">
        <f t="shared" si="115"/>
        <v>*0.93</v>
      </c>
      <c r="P933" s="32" t="s">
        <v>1807</v>
      </c>
      <c r="Q933" s="42" t="s">
        <v>57</v>
      </c>
      <c r="R933" s="32">
        <v>2035</v>
      </c>
      <c r="S933" s="43" t="str">
        <f t="shared" si="116"/>
        <v>*0.95</v>
      </c>
      <c r="U933" s="32" t="s">
        <v>1807</v>
      </c>
      <c r="V933" s="42" t="s">
        <v>57</v>
      </c>
      <c r="W933" s="32">
        <v>2050</v>
      </c>
      <c r="X933" s="43" t="str">
        <f t="shared" si="117"/>
        <v>*0.93</v>
      </c>
      <c r="AC933" s="33" t="s">
        <v>1807</v>
      </c>
      <c r="AD933" s="44" t="s">
        <v>57</v>
      </c>
      <c r="AE933" s="33">
        <v>2035</v>
      </c>
      <c r="AF933" s="45" t="str">
        <f t="shared" si="118"/>
        <v>*0.93</v>
      </c>
      <c r="AG933" s="43" t="str">
        <f t="shared" si="120"/>
        <v>REZoning_Sol-Win</v>
      </c>
      <c r="AI933" s="33" t="s">
        <v>1807</v>
      </c>
      <c r="AJ933" s="44" t="s">
        <v>57</v>
      </c>
      <c r="AK933" s="33">
        <v>2050</v>
      </c>
      <c r="AL933" s="45" t="str">
        <f t="shared" si="119"/>
        <v>*0.9</v>
      </c>
      <c r="AM933" s="43" t="str">
        <f t="shared" si="121"/>
        <v>REZoning_Sol-Win</v>
      </c>
      <c r="AP933" t="s">
        <v>1807</v>
      </c>
      <c r="AQ933" t="s">
        <v>57</v>
      </c>
      <c r="AR933">
        <v>2100</v>
      </c>
      <c r="AS933" t="s">
        <v>897</v>
      </c>
      <c r="AT933" t="s">
        <v>58</v>
      </c>
    </row>
    <row r="934" ht="29" spans="1:46">
      <c r="A934" s="31" t="s">
        <v>73</v>
      </c>
      <c r="C934" t="s">
        <v>1808</v>
      </c>
      <c r="D934" s="5" t="s">
        <v>57</v>
      </c>
      <c r="E934">
        <v>2035</v>
      </c>
      <c r="F934" s="6" t="str">
        <f t="shared" si="114"/>
        <v>*0.95</v>
      </c>
      <c r="H934" t="s">
        <v>1808</v>
      </c>
      <c r="I934" s="5" t="s">
        <v>57</v>
      </c>
      <c r="J934">
        <v>2050</v>
      </c>
      <c r="K934" s="38" t="str">
        <f t="shared" si="115"/>
        <v>*0.93</v>
      </c>
      <c r="P934" s="32" t="s">
        <v>1808</v>
      </c>
      <c r="Q934" s="42" t="s">
        <v>57</v>
      </c>
      <c r="R934" s="32">
        <v>2035</v>
      </c>
      <c r="S934" s="43" t="str">
        <f t="shared" si="116"/>
        <v>*0.95</v>
      </c>
      <c r="U934" s="32" t="s">
        <v>1808</v>
      </c>
      <c r="V934" s="42" t="s">
        <v>57</v>
      </c>
      <c r="W934" s="32">
        <v>2050</v>
      </c>
      <c r="X934" s="43" t="str">
        <f t="shared" si="117"/>
        <v>*0.93</v>
      </c>
      <c r="AC934" s="33" t="s">
        <v>1808</v>
      </c>
      <c r="AD934" s="44" t="s">
        <v>57</v>
      </c>
      <c r="AE934" s="33">
        <v>2035</v>
      </c>
      <c r="AF934" s="45" t="str">
        <f t="shared" si="118"/>
        <v>*0.93</v>
      </c>
      <c r="AG934" s="43" t="str">
        <f t="shared" si="120"/>
        <v>REZoning_Sol-Win</v>
      </c>
      <c r="AI934" s="33" t="s">
        <v>1808</v>
      </c>
      <c r="AJ934" s="44" t="s">
        <v>57</v>
      </c>
      <c r="AK934" s="33">
        <v>2050</v>
      </c>
      <c r="AL934" s="45" t="str">
        <f t="shared" si="119"/>
        <v>*0.9</v>
      </c>
      <c r="AM934" s="43" t="str">
        <f t="shared" si="121"/>
        <v>REZoning_Sol-Win</v>
      </c>
      <c r="AP934" t="s">
        <v>1808</v>
      </c>
      <c r="AQ934" t="s">
        <v>57</v>
      </c>
      <c r="AR934">
        <v>2100</v>
      </c>
      <c r="AS934" t="s">
        <v>897</v>
      </c>
      <c r="AT934" t="s">
        <v>58</v>
      </c>
    </row>
    <row r="935" ht="29" spans="1:46">
      <c r="A935" s="31" t="s">
        <v>73</v>
      </c>
      <c r="C935" t="s">
        <v>1809</v>
      </c>
      <c r="D935" s="5" t="s">
        <v>57</v>
      </c>
      <c r="E935">
        <v>2035</v>
      </c>
      <c r="F935" s="6" t="str">
        <f t="shared" si="114"/>
        <v>*0.95</v>
      </c>
      <c r="H935" t="s">
        <v>1809</v>
      </c>
      <c r="I935" s="5" t="s">
        <v>57</v>
      </c>
      <c r="J935">
        <v>2050</v>
      </c>
      <c r="K935" s="38" t="str">
        <f t="shared" si="115"/>
        <v>*0.93</v>
      </c>
      <c r="P935" s="32" t="s">
        <v>1809</v>
      </c>
      <c r="Q935" s="42" t="s">
        <v>57</v>
      </c>
      <c r="R935" s="32">
        <v>2035</v>
      </c>
      <c r="S935" s="43" t="str">
        <f t="shared" si="116"/>
        <v>*0.95</v>
      </c>
      <c r="U935" s="32" t="s">
        <v>1809</v>
      </c>
      <c r="V935" s="42" t="s">
        <v>57</v>
      </c>
      <c r="W935" s="32">
        <v>2050</v>
      </c>
      <c r="X935" s="43" t="str">
        <f t="shared" si="117"/>
        <v>*0.93</v>
      </c>
      <c r="AC935" s="33" t="s">
        <v>1809</v>
      </c>
      <c r="AD935" s="44" t="s">
        <v>57</v>
      </c>
      <c r="AE935" s="33">
        <v>2035</v>
      </c>
      <c r="AF935" s="45" t="str">
        <f t="shared" si="118"/>
        <v>*0.93</v>
      </c>
      <c r="AG935" s="43" t="str">
        <f t="shared" si="120"/>
        <v>REZoning_Sol-Win</v>
      </c>
      <c r="AI935" s="33" t="s">
        <v>1809</v>
      </c>
      <c r="AJ935" s="44" t="s">
        <v>57</v>
      </c>
      <c r="AK935" s="33">
        <v>2050</v>
      </c>
      <c r="AL935" s="45" t="str">
        <f t="shared" si="119"/>
        <v>*0.9</v>
      </c>
      <c r="AM935" s="43" t="str">
        <f t="shared" si="121"/>
        <v>REZoning_Sol-Win</v>
      </c>
      <c r="AP935" t="s">
        <v>1809</v>
      </c>
      <c r="AQ935" t="s">
        <v>57</v>
      </c>
      <c r="AR935">
        <v>2100</v>
      </c>
      <c r="AS935" t="s">
        <v>897</v>
      </c>
      <c r="AT935" t="s">
        <v>58</v>
      </c>
    </row>
    <row r="936" ht="29" spans="1:46">
      <c r="A936" s="31" t="s">
        <v>73</v>
      </c>
      <c r="C936" t="s">
        <v>1810</v>
      </c>
      <c r="D936" s="5" t="s">
        <v>57</v>
      </c>
      <c r="E936">
        <v>2035</v>
      </c>
      <c r="F936" s="6" t="str">
        <f t="shared" si="114"/>
        <v>*0.95</v>
      </c>
      <c r="H936" t="s">
        <v>1810</v>
      </c>
      <c r="I936" s="5" t="s">
        <v>57</v>
      </c>
      <c r="J936">
        <v>2050</v>
      </c>
      <c r="K936" s="38" t="str">
        <f t="shared" si="115"/>
        <v>*0.93</v>
      </c>
      <c r="P936" s="32" t="s">
        <v>1810</v>
      </c>
      <c r="Q936" s="42" t="s">
        <v>57</v>
      </c>
      <c r="R936" s="32">
        <v>2035</v>
      </c>
      <c r="S936" s="43" t="str">
        <f t="shared" si="116"/>
        <v>*0.95</v>
      </c>
      <c r="U936" s="32" t="s">
        <v>1810</v>
      </c>
      <c r="V936" s="42" t="s">
        <v>57</v>
      </c>
      <c r="W936" s="32">
        <v>2050</v>
      </c>
      <c r="X936" s="43" t="str">
        <f t="shared" si="117"/>
        <v>*0.93</v>
      </c>
      <c r="AC936" s="33" t="s">
        <v>1810</v>
      </c>
      <c r="AD936" s="44" t="s">
        <v>57</v>
      </c>
      <c r="AE936" s="33">
        <v>2035</v>
      </c>
      <c r="AF936" s="45" t="str">
        <f t="shared" si="118"/>
        <v>*0.93</v>
      </c>
      <c r="AG936" s="43" t="str">
        <f t="shared" si="120"/>
        <v>REZoning_Sol-Win</v>
      </c>
      <c r="AI936" s="33" t="s">
        <v>1810</v>
      </c>
      <c r="AJ936" s="44" t="s">
        <v>57</v>
      </c>
      <c r="AK936" s="33">
        <v>2050</v>
      </c>
      <c r="AL936" s="45" t="str">
        <f t="shared" si="119"/>
        <v>*0.9</v>
      </c>
      <c r="AM936" s="43" t="str">
        <f t="shared" si="121"/>
        <v>REZoning_Sol-Win</v>
      </c>
      <c r="AP936" t="s">
        <v>1810</v>
      </c>
      <c r="AQ936" t="s">
        <v>57</v>
      </c>
      <c r="AR936">
        <v>2100</v>
      </c>
      <c r="AS936" t="s">
        <v>897</v>
      </c>
      <c r="AT936" t="s">
        <v>58</v>
      </c>
    </row>
    <row r="937" ht="29" spans="1:46">
      <c r="A937" s="31" t="s">
        <v>73</v>
      </c>
      <c r="C937" t="s">
        <v>1811</v>
      </c>
      <c r="D937" s="5" t="s">
        <v>57</v>
      </c>
      <c r="E937">
        <v>2035</v>
      </c>
      <c r="F937" s="6" t="str">
        <f t="shared" si="114"/>
        <v>*0.95</v>
      </c>
      <c r="H937" t="s">
        <v>1811</v>
      </c>
      <c r="I937" s="5" t="s">
        <v>57</v>
      </c>
      <c r="J937">
        <v>2050</v>
      </c>
      <c r="K937" s="38" t="str">
        <f t="shared" si="115"/>
        <v>*0.93</v>
      </c>
      <c r="P937" s="32" t="s">
        <v>1811</v>
      </c>
      <c r="Q937" s="42" t="s">
        <v>57</v>
      </c>
      <c r="R937" s="32">
        <v>2035</v>
      </c>
      <c r="S937" s="43" t="str">
        <f t="shared" si="116"/>
        <v>*0.95</v>
      </c>
      <c r="U937" s="32" t="s">
        <v>1811</v>
      </c>
      <c r="V937" s="42" t="s">
        <v>57</v>
      </c>
      <c r="W937" s="32">
        <v>2050</v>
      </c>
      <c r="X937" s="43" t="str">
        <f t="shared" si="117"/>
        <v>*0.93</v>
      </c>
      <c r="AC937" s="33" t="s">
        <v>1811</v>
      </c>
      <c r="AD937" s="44" t="s">
        <v>57</v>
      </c>
      <c r="AE937" s="33">
        <v>2035</v>
      </c>
      <c r="AF937" s="45" t="str">
        <f t="shared" si="118"/>
        <v>*0.93</v>
      </c>
      <c r="AG937" s="43" t="str">
        <f t="shared" si="120"/>
        <v>REZoning_Sol-Win</v>
      </c>
      <c r="AI937" s="33" t="s">
        <v>1811</v>
      </c>
      <c r="AJ937" s="44" t="s">
        <v>57</v>
      </c>
      <c r="AK937" s="33">
        <v>2050</v>
      </c>
      <c r="AL937" s="45" t="str">
        <f t="shared" si="119"/>
        <v>*0.9</v>
      </c>
      <c r="AM937" s="43" t="str">
        <f t="shared" si="121"/>
        <v>REZoning_Sol-Win</v>
      </c>
      <c r="AP937" t="s">
        <v>1811</v>
      </c>
      <c r="AQ937" t="s">
        <v>57</v>
      </c>
      <c r="AR937">
        <v>2100</v>
      </c>
      <c r="AS937" t="s">
        <v>897</v>
      </c>
      <c r="AT937" t="s">
        <v>58</v>
      </c>
    </row>
    <row r="938" ht="29" spans="1:46">
      <c r="A938" s="31" t="s">
        <v>73</v>
      </c>
      <c r="C938" t="s">
        <v>1812</v>
      </c>
      <c r="D938" s="5" t="s">
        <v>57</v>
      </c>
      <c r="E938">
        <v>2035</v>
      </c>
      <c r="F938" s="6" t="str">
        <f t="shared" si="114"/>
        <v>*0.95</v>
      </c>
      <c r="H938" t="s">
        <v>1812</v>
      </c>
      <c r="I938" s="5" t="s">
        <v>57</v>
      </c>
      <c r="J938">
        <v>2050</v>
      </c>
      <c r="K938" s="38" t="str">
        <f t="shared" si="115"/>
        <v>*0.93</v>
      </c>
      <c r="P938" s="32" t="s">
        <v>1812</v>
      </c>
      <c r="Q938" s="42" t="s">
        <v>57</v>
      </c>
      <c r="R938" s="32">
        <v>2035</v>
      </c>
      <c r="S938" s="43" t="str">
        <f t="shared" si="116"/>
        <v>*0.95</v>
      </c>
      <c r="U938" s="32" t="s">
        <v>1812</v>
      </c>
      <c r="V938" s="42" t="s">
        <v>57</v>
      </c>
      <c r="W938" s="32">
        <v>2050</v>
      </c>
      <c r="X938" s="43" t="str">
        <f t="shared" si="117"/>
        <v>*0.93</v>
      </c>
      <c r="AC938" s="33" t="s">
        <v>1812</v>
      </c>
      <c r="AD938" s="44" t="s">
        <v>57</v>
      </c>
      <c r="AE938" s="33">
        <v>2035</v>
      </c>
      <c r="AF938" s="45" t="str">
        <f t="shared" si="118"/>
        <v>*0.93</v>
      </c>
      <c r="AG938" s="43" t="str">
        <f t="shared" si="120"/>
        <v>REZoning_Sol-Win</v>
      </c>
      <c r="AI938" s="33" t="s">
        <v>1812</v>
      </c>
      <c r="AJ938" s="44" t="s">
        <v>57</v>
      </c>
      <c r="AK938" s="33">
        <v>2050</v>
      </c>
      <c r="AL938" s="45" t="str">
        <f t="shared" si="119"/>
        <v>*0.9</v>
      </c>
      <c r="AM938" s="43" t="str">
        <f t="shared" si="121"/>
        <v>REZoning_Sol-Win</v>
      </c>
      <c r="AP938" t="s">
        <v>1812</v>
      </c>
      <c r="AQ938" t="s">
        <v>57</v>
      </c>
      <c r="AR938">
        <v>2100</v>
      </c>
      <c r="AS938" t="s">
        <v>897</v>
      </c>
      <c r="AT938" t="s">
        <v>58</v>
      </c>
    </row>
    <row r="939" ht="29" spans="1:46">
      <c r="A939" s="31" t="s">
        <v>73</v>
      </c>
      <c r="C939" t="s">
        <v>1813</v>
      </c>
      <c r="D939" s="5" t="s">
        <v>57</v>
      </c>
      <c r="E939">
        <v>2035</v>
      </c>
      <c r="F939" s="6" t="str">
        <f t="shared" si="114"/>
        <v>*0.95</v>
      </c>
      <c r="H939" t="s">
        <v>1813</v>
      </c>
      <c r="I939" s="5" t="s">
        <v>57</v>
      </c>
      <c r="J939">
        <v>2050</v>
      </c>
      <c r="K939" s="38" t="str">
        <f t="shared" si="115"/>
        <v>*0.93</v>
      </c>
      <c r="P939" s="32" t="s">
        <v>1813</v>
      </c>
      <c r="Q939" s="42" t="s">
        <v>57</v>
      </c>
      <c r="R939" s="32">
        <v>2035</v>
      </c>
      <c r="S939" s="43" t="str">
        <f t="shared" si="116"/>
        <v>*0.95</v>
      </c>
      <c r="U939" s="32" t="s">
        <v>1813</v>
      </c>
      <c r="V939" s="42" t="s">
        <v>57</v>
      </c>
      <c r="W939" s="32">
        <v>2050</v>
      </c>
      <c r="X939" s="43" t="str">
        <f t="shared" si="117"/>
        <v>*0.93</v>
      </c>
      <c r="AC939" s="33" t="s">
        <v>1813</v>
      </c>
      <c r="AD939" s="44" t="s">
        <v>57</v>
      </c>
      <c r="AE939" s="33">
        <v>2035</v>
      </c>
      <c r="AF939" s="45" t="str">
        <f t="shared" si="118"/>
        <v>*0.93</v>
      </c>
      <c r="AG939" s="43" t="str">
        <f t="shared" si="120"/>
        <v>REZoning_Sol-Win</v>
      </c>
      <c r="AI939" s="33" t="s">
        <v>1813</v>
      </c>
      <c r="AJ939" s="44" t="s">
        <v>57</v>
      </c>
      <c r="AK939" s="33">
        <v>2050</v>
      </c>
      <c r="AL939" s="45" t="str">
        <f t="shared" si="119"/>
        <v>*0.9</v>
      </c>
      <c r="AM939" s="43" t="str">
        <f t="shared" si="121"/>
        <v>REZoning_Sol-Win</v>
      </c>
      <c r="AP939" t="s">
        <v>1813</v>
      </c>
      <c r="AQ939" t="s">
        <v>57</v>
      </c>
      <c r="AR939">
        <v>2100</v>
      </c>
      <c r="AS939" t="s">
        <v>897</v>
      </c>
      <c r="AT939" t="s">
        <v>58</v>
      </c>
    </row>
    <row r="940" ht="29" spans="1:46">
      <c r="A940" s="31" t="s">
        <v>73</v>
      </c>
      <c r="C940" t="s">
        <v>1814</v>
      </c>
      <c r="D940" s="5" t="s">
        <v>57</v>
      </c>
      <c r="E940">
        <v>2035</v>
      </c>
      <c r="F940" s="6" t="str">
        <f t="shared" si="114"/>
        <v>*0.95</v>
      </c>
      <c r="H940" t="s">
        <v>1814</v>
      </c>
      <c r="I940" s="5" t="s">
        <v>57</v>
      </c>
      <c r="J940">
        <v>2050</v>
      </c>
      <c r="K940" s="38" t="str">
        <f t="shared" si="115"/>
        <v>*0.93</v>
      </c>
      <c r="P940" s="32" t="s">
        <v>1814</v>
      </c>
      <c r="Q940" s="42" t="s">
        <v>57</v>
      </c>
      <c r="R940" s="32">
        <v>2035</v>
      </c>
      <c r="S940" s="43" t="str">
        <f t="shared" si="116"/>
        <v>*0.95</v>
      </c>
      <c r="U940" s="32" t="s">
        <v>1814</v>
      </c>
      <c r="V940" s="42" t="s">
        <v>57</v>
      </c>
      <c r="W940" s="32">
        <v>2050</v>
      </c>
      <c r="X940" s="43" t="str">
        <f t="shared" si="117"/>
        <v>*0.93</v>
      </c>
      <c r="AC940" s="33" t="s">
        <v>1814</v>
      </c>
      <c r="AD940" s="44" t="s">
        <v>57</v>
      </c>
      <c r="AE940" s="33">
        <v>2035</v>
      </c>
      <c r="AF940" s="45" t="str">
        <f t="shared" si="118"/>
        <v>*0.93</v>
      </c>
      <c r="AG940" s="43" t="str">
        <f t="shared" si="120"/>
        <v>REZoning_Sol-Win</v>
      </c>
      <c r="AI940" s="33" t="s">
        <v>1814</v>
      </c>
      <c r="AJ940" s="44" t="s">
        <v>57</v>
      </c>
      <c r="AK940" s="33">
        <v>2050</v>
      </c>
      <c r="AL940" s="45" t="str">
        <f t="shared" si="119"/>
        <v>*0.9</v>
      </c>
      <c r="AM940" s="43" t="str">
        <f t="shared" si="121"/>
        <v>REZoning_Sol-Win</v>
      </c>
      <c r="AP940" t="s">
        <v>1814</v>
      </c>
      <c r="AQ940" t="s">
        <v>57</v>
      </c>
      <c r="AR940">
        <v>2100</v>
      </c>
      <c r="AS940" t="s">
        <v>897</v>
      </c>
      <c r="AT940" t="s">
        <v>58</v>
      </c>
    </row>
    <row r="941" ht="29" spans="1:46">
      <c r="A941" s="31" t="s">
        <v>83</v>
      </c>
      <c r="C941" t="s">
        <v>1815</v>
      </c>
      <c r="D941" s="5" t="s">
        <v>57</v>
      </c>
      <c r="E941">
        <v>2035</v>
      </c>
      <c r="F941" s="6" t="str">
        <f t="shared" si="114"/>
        <v>*0.95</v>
      </c>
      <c r="H941" t="s">
        <v>1815</v>
      </c>
      <c r="I941" s="5" t="s">
        <v>57</v>
      </c>
      <c r="J941">
        <v>2050</v>
      </c>
      <c r="K941" s="38" t="str">
        <f t="shared" si="115"/>
        <v>*0.92</v>
      </c>
      <c r="P941" s="32" t="s">
        <v>1815</v>
      </c>
      <c r="Q941" s="42" t="s">
        <v>57</v>
      </c>
      <c r="R941" s="32">
        <v>2035</v>
      </c>
      <c r="S941" s="43" t="str">
        <f t="shared" si="116"/>
        <v>*0.95</v>
      </c>
      <c r="U941" s="32" t="s">
        <v>1815</v>
      </c>
      <c r="V941" s="42" t="s">
        <v>57</v>
      </c>
      <c r="W941" s="32">
        <v>2050</v>
      </c>
      <c r="X941" s="43" t="str">
        <f t="shared" si="117"/>
        <v>*0.92</v>
      </c>
      <c r="AC941" s="33" t="s">
        <v>1815</v>
      </c>
      <c r="AD941" s="44" t="s">
        <v>57</v>
      </c>
      <c r="AE941" s="33">
        <v>2035</v>
      </c>
      <c r="AF941" s="45" t="str">
        <f t="shared" si="118"/>
        <v>*0.93</v>
      </c>
      <c r="AG941" s="43" t="str">
        <f t="shared" si="120"/>
        <v>REZoning_Sol-Win</v>
      </c>
      <c r="AI941" s="33" t="s">
        <v>1815</v>
      </c>
      <c r="AJ941" s="44" t="s">
        <v>57</v>
      </c>
      <c r="AK941" s="33">
        <v>2050</v>
      </c>
      <c r="AL941" s="45" t="str">
        <f t="shared" si="119"/>
        <v>*0.89</v>
      </c>
      <c r="AM941" s="43" t="str">
        <f t="shared" si="121"/>
        <v>REZoning_Sol-Win</v>
      </c>
      <c r="AP941" t="s">
        <v>1815</v>
      </c>
      <c r="AQ941" t="s">
        <v>57</v>
      </c>
      <c r="AR941">
        <v>2100</v>
      </c>
      <c r="AS941" t="s">
        <v>937</v>
      </c>
      <c r="AT941" t="s">
        <v>58</v>
      </c>
    </row>
    <row r="942" ht="29" spans="1:46">
      <c r="A942" s="31" t="s">
        <v>83</v>
      </c>
      <c r="C942" t="s">
        <v>1816</v>
      </c>
      <c r="D942" s="5" t="s">
        <v>57</v>
      </c>
      <c r="E942">
        <v>2035</v>
      </c>
      <c r="F942" s="6" t="str">
        <f t="shared" si="114"/>
        <v>*0.95</v>
      </c>
      <c r="H942" t="s">
        <v>1816</v>
      </c>
      <c r="I942" s="5" t="s">
        <v>57</v>
      </c>
      <c r="J942">
        <v>2050</v>
      </c>
      <c r="K942" s="38" t="str">
        <f t="shared" si="115"/>
        <v>*0.92</v>
      </c>
      <c r="P942" s="32" t="s">
        <v>1816</v>
      </c>
      <c r="Q942" s="42" t="s">
        <v>57</v>
      </c>
      <c r="R942" s="32">
        <v>2035</v>
      </c>
      <c r="S942" s="43" t="str">
        <f t="shared" si="116"/>
        <v>*0.95</v>
      </c>
      <c r="U942" s="32" t="s">
        <v>1816</v>
      </c>
      <c r="V942" s="42" t="s">
        <v>57</v>
      </c>
      <c r="W942" s="32">
        <v>2050</v>
      </c>
      <c r="X942" s="43" t="str">
        <f t="shared" si="117"/>
        <v>*0.92</v>
      </c>
      <c r="AC942" s="33" t="s">
        <v>1816</v>
      </c>
      <c r="AD942" s="44" t="s">
        <v>57</v>
      </c>
      <c r="AE942" s="33">
        <v>2035</v>
      </c>
      <c r="AF942" s="45" t="str">
        <f t="shared" si="118"/>
        <v>*0.93</v>
      </c>
      <c r="AG942" s="43" t="str">
        <f t="shared" si="120"/>
        <v>REZoning_Sol-Win</v>
      </c>
      <c r="AI942" s="33" t="s">
        <v>1816</v>
      </c>
      <c r="AJ942" s="44" t="s">
        <v>57</v>
      </c>
      <c r="AK942" s="33">
        <v>2050</v>
      </c>
      <c r="AL942" s="45" t="str">
        <f t="shared" si="119"/>
        <v>*0.89</v>
      </c>
      <c r="AM942" s="43" t="str">
        <f t="shared" si="121"/>
        <v>REZoning_Sol-Win</v>
      </c>
      <c r="AP942" t="s">
        <v>1816</v>
      </c>
      <c r="AQ942" t="s">
        <v>57</v>
      </c>
      <c r="AR942">
        <v>2100</v>
      </c>
      <c r="AS942" t="s">
        <v>937</v>
      </c>
      <c r="AT942" t="s">
        <v>58</v>
      </c>
    </row>
    <row r="943" ht="29" spans="1:46">
      <c r="A943" s="31" t="s">
        <v>83</v>
      </c>
      <c r="C943" t="s">
        <v>1817</v>
      </c>
      <c r="D943" s="5" t="s">
        <v>57</v>
      </c>
      <c r="E943">
        <v>2035</v>
      </c>
      <c r="F943" s="6" t="str">
        <f t="shared" si="114"/>
        <v>*0.95</v>
      </c>
      <c r="H943" t="s">
        <v>1817</v>
      </c>
      <c r="I943" s="5" t="s">
        <v>57</v>
      </c>
      <c r="J943">
        <v>2050</v>
      </c>
      <c r="K943" s="38" t="str">
        <f t="shared" si="115"/>
        <v>*0.92</v>
      </c>
      <c r="P943" s="32" t="s">
        <v>1817</v>
      </c>
      <c r="Q943" s="42" t="s">
        <v>57</v>
      </c>
      <c r="R943" s="32">
        <v>2035</v>
      </c>
      <c r="S943" s="43" t="str">
        <f t="shared" si="116"/>
        <v>*0.95</v>
      </c>
      <c r="U943" s="32" t="s">
        <v>1817</v>
      </c>
      <c r="V943" s="42" t="s">
        <v>57</v>
      </c>
      <c r="W943" s="32">
        <v>2050</v>
      </c>
      <c r="X943" s="43" t="str">
        <f t="shared" si="117"/>
        <v>*0.92</v>
      </c>
      <c r="AC943" s="33" t="s">
        <v>1817</v>
      </c>
      <c r="AD943" s="44" t="s">
        <v>57</v>
      </c>
      <c r="AE943" s="33">
        <v>2035</v>
      </c>
      <c r="AF943" s="45" t="str">
        <f t="shared" si="118"/>
        <v>*0.93</v>
      </c>
      <c r="AG943" s="43" t="str">
        <f t="shared" si="120"/>
        <v>REZoning_Sol-Win</v>
      </c>
      <c r="AI943" s="33" t="s">
        <v>1817</v>
      </c>
      <c r="AJ943" s="44" t="s">
        <v>57</v>
      </c>
      <c r="AK943" s="33">
        <v>2050</v>
      </c>
      <c r="AL943" s="45" t="str">
        <f t="shared" si="119"/>
        <v>*0.89</v>
      </c>
      <c r="AM943" s="43" t="str">
        <f t="shared" si="121"/>
        <v>REZoning_Sol-Win</v>
      </c>
      <c r="AP943" t="s">
        <v>1817</v>
      </c>
      <c r="AQ943" t="s">
        <v>57</v>
      </c>
      <c r="AR943">
        <v>2100</v>
      </c>
      <c r="AS943" t="s">
        <v>937</v>
      </c>
      <c r="AT943" t="s">
        <v>58</v>
      </c>
    </row>
    <row r="944" ht="29" spans="1:46">
      <c r="A944" s="31" t="s">
        <v>83</v>
      </c>
      <c r="C944" t="s">
        <v>1818</v>
      </c>
      <c r="D944" s="5" t="s">
        <v>57</v>
      </c>
      <c r="E944">
        <v>2035</v>
      </c>
      <c r="F944" s="6" t="str">
        <f t="shared" si="114"/>
        <v>*0.95</v>
      </c>
      <c r="H944" t="s">
        <v>1818</v>
      </c>
      <c r="I944" s="5" t="s">
        <v>57</v>
      </c>
      <c r="J944">
        <v>2050</v>
      </c>
      <c r="K944" s="38" t="str">
        <f t="shared" si="115"/>
        <v>*0.92</v>
      </c>
      <c r="P944" s="32" t="s">
        <v>1818</v>
      </c>
      <c r="Q944" s="42" t="s">
        <v>57</v>
      </c>
      <c r="R944" s="32">
        <v>2035</v>
      </c>
      <c r="S944" s="43" t="str">
        <f t="shared" si="116"/>
        <v>*0.95</v>
      </c>
      <c r="U944" s="32" t="s">
        <v>1818</v>
      </c>
      <c r="V944" s="42" t="s">
        <v>57</v>
      </c>
      <c r="W944" s="32">
        <v>2050</v>
      </c>
      <c r="X944" s="43" t="str">
        <f t="shared" si="117"/>
        <v>*0.92</v>
      </c>
      <c r="AC944" s="33" t="s">
        <v>1818</v>
      </c>
      <c r="AD944" s="44" t="s">
        <v>57</v>
      </c>
      <c r="AE944" s="33">
        <v>2035</v>
      </c>
      <c r="AF944" s="45" t="str">
        <f t="shared" si="118"/>
        <v>*0.93</v>
      </c>
      <c r="AG944" s="43" t="str">
        <f t="shared" si="120"/>
        <v>REZoning_Sol-Win</v>
      </c>
      <c r="AI944" s="33" t="s">
        <v>1818</v>
      </c>
      <c r="AJ944" s="44" t="s">
        <v>57</v>
      </c>
      <c r="AK944" s="33">
        <v>2050</v>
      </c>
      <c r="AL944" s="45" t="str">
        <f t="shared" si="119"/>
        <v>*0.89</v>
      </c>
      <c r="AM944" s="43" t="str">
        <f t="shared" si="121"/>
        <v>REZoning_Sol-Win</v>
      </c>
      <c r="AP944" t="s">
        <v>1818</v>
      </c>
      <c r="AQ944" t="s">
        <v>57</v>
      </c>
      <c r="AR944">
        <v>2100</v>
      </c>
      <c r="AS944" t="s">
        <v>937</v>
      </c>
      <c r="AT944" t="s">
        <v>58</v>
      </c>
    </row>
    <row r="945" ht="29" spans="1:46">
      <c r="A945" s="31" t="s">
        <v>83</v>
      </c>
      <c r="C945" t="s">
        <v>1819</v>
      </c>
      <c r="D945" s="5" t="s">
        <v>57</v>
      </c>
      <c r="E945">
        <v>2035</v>
      </c>
      <c r="F945" s="6" t="str">
        <f t="shared" si="114"/>
        <v>*0.95</v>
      </c>
      <c r="H945" t="s">
        <v>1819</v>
      </c>
      <c r="I945" s="5" t="s">
        <v>57</v>
      </c>
      <c r="J945">
        <v>2050</v>
      </c>
      <c r="K945" s="38" t="str">
        <f t="shared" si="115"/>
        <v>*0.92</v>
      </c>
      <c r="P945" s="32" t="s">
        <v>1819</v>
      </c>
      <c r="Q945" s="42" t="s">
        <v>57</v>
      </c>
      <c r="R945" s="32">
        <v>2035</v>
      </c>
      <c r="S945" s="43" t="str">
        <f t="shared" si="116"/>
        <v>*0.95</v>
      </c>
      <c r="U945" s="32" t="s">
        <v>1819</v>
      </c>
      <c r="V945" s="42" t="s">
        <v>57</v>
      </c>
      <c r="W945" s="32">
        <v>2050</v>
      </c>
      <c r="X945" s="43" t="str">
        <f t="shared" si="117"/>
        <v>*0.92</v>
      </c>
      <c r="AC945" s="33" t="s">
        <v>1819</v>
      </c>
      <c r="AD945" s="44" t="s">
        <v>57</v>
      </c>
      <c r="AE945" s="33">
        <v>2035</v>
      </c>
      <c r="AF945" s="45" t="str">
        <f t="shared" si="118"/>
        <v>*0.93</v>
      </c>
      <c r="AG945" s="43" t="str">
        <f t="shared" si="120"/>
        <v>REZoning_Sol-Win</v>
      </c>
      <c r="AI945" s="33" t="s">
        <v>1819</v>
      </c>
      <c r="AJ945" s="44" t="s">
        <v>57</v>
      </c>
      <c r="AK945" s="33">
        <v>2050</v>
      </c>
      <c r="AL945" s="45" t="str">
        <f t="shared" si="119"/>
        <v>*0.89</v>
      </c>
      <c r="AM945" s="43" t="str">
        <f t="shared" si="121"/>
        <v>REZoning_Sol-Win</v>
      </c>
      <c r="AP945" t="s">
        <v>1819</v>
      </c>
      <c r="AQ945" t="s">
        <v>57</v>
      </c>
      <c r="AR945">
        <v>2100</v>
      </c>
      <c r="AS945" t="s">
        <v>937</v>
      </c>
      <c r="AT945" t="s">
        <v>58</v>
      </c>
    </row>
    <row r="946" ht="29" spans="1:46">
      <c r="A946" s="31" t="s">
        <v>83</v>
      </c>
      <c r="C946" t="s">
        <v>1820</v>
      </c>
      <c r="D946" s="5" t="s">
        <v>57</v>
      </c>
      <c r="E946">
        <v>2035</v>
      </c>
      <c r="F946" s="6" t="str">
        <f t="shared" si="114"/>
        <v>*0.95</v>
      </c>
      <c r="H946" t="s">
        <v>1820</v>
      </c>
      <c r="I946" s="5" t="s">
        <v>57</v>
      </c>
      <c r="J946">
        <v>2050</v>
      </c>
      <c r="K946" s="38" t="str">
        <f t="shared" si="115"/>
        <v>*0.92</v>
      </c>
      <c r="P946" s="32" t="s">
        <v>1820</v>
      </c>
      <c r="Q946" s="42" t="s">
        <v>57</v>
      </c>
      <c r="R946" s="32">
        <v>2035</v>
      </c>
      <c r="S946" s="43" t="str">
        <f t="shared" si="116"/>
        <v>*0.95</v>
      </c>
      <c r="U946" s="32" t="s">
        <v>1820</v>
      </c>
      <c r="V946" s="42" t="s">
        <v>57</v>
      </c>
      <c r="W946" s="32">
        <v>2050</v>
      </c>
      <c r="X946" s="43" t="str">
        <f t="shared" si="117"/>
        <v>*0.92</v>
      </c>
      <c r="AC946" s="33" t="s">
        <v>1820</v>
      </c>
      <c r="AD946" s="44" t="s">
        <v>57</v>
      </c>
      <c r="AE946" s="33">
        <v>2035</v>
      </c>
      <c r="AF946" s="45" t="str">
        <f t="shared" si="118"/>
        <v>*0.93</v>
      </c>
      <c r="AG946" s="43" t="str">
        <f t="shared" si="120"/>
        <v>REZoning_Sol-Win</v>
      </c>
      <c r="AI946" s="33" t="s">
        <v>1820</v>
      </c>
      <c r="AJ946" s="44" t="s">
        <v>57</v>
      </c>
      <c r="AK946" s="33">
        <v>2050</v>
      </c>
      <c r="AL946" s="45" t="str">
        <f t="shared" si="119"/>
        <v>*0.89</v>
      </c>
      <c r="AM946" s="43" t="str">
        <f t="shared" si="121"/>
        <v>REZoning_Sol-Win</v>
      </c>
      <c r="AP946" t="s">
        <v>1820</v>
      </c>
      <c r="AQ946" t="s">
        <v>57</v>
      </c>
      <c r="AR946">
        <v>2100</v>
      </c>
      <c r="AS946" t="s">
        <v>937</v>
      </c>
      <c r="AT946" t="s">
        <v>58</v>
      </c>
    </row>
    <row r="947" ht="29" spans="1:46">
      <c r="A947" s="31" t="s">
        <v>83</v>
      </c>
      <c r="C947" t="s">
        <v>1821</v>
      </c>
      <c r="D947" s="5" t="s">
        <v>57</v>
      </c>
      <c r="E947">
        <v>2035</v>
      </c>
      <c r="F947" s="6" t="str">
        <f t="shared" si="114"/>
        <v>*0.95</v>
      </c>
      <c r="H947" t="s">
        <v>1821</v>
      </c>
      <c r="I947" s="5" t="s">
        <v>57</v>
      </c>
      <c r="J947">
        <v>2050</v>
      </c>
      <c r="K947" s="38" t="str">
        <f t="shared" si="115"/>
        <v>*0.92</v>
      </c>
      <c r="P947" s="32" t="s">
        <v>1821</v>
      </c>
      <c r="Q947" s="42" t="s">
        <v>57</v>
      </c>
      <c r="R947" s="32">
        <v>2035</v>
      </c>
      <c r="S947" s="43" t="str">
        <f t="shared" si="116"/>
        <v>*0.95</v>
      </c>
      <c r="U947" s="32" t="s">
        <v>1821</v>
      </c>
      <c r="V947" s="42" t="s">
        <v>57</v>
      </c>
      <c r="W947" s="32">
        <v>2050</v>
      </c>
      <c r="X947" s="43" t="str">
        <f t="shared" si="117"/>
        <v>*0.92</v>
      </c>
      <c r="AC947" s="33" t="s">
        <v>1821</v>
      </c>
      <c r="AD947" s="44" t="s">
        <v>57</v>
      </c>
      <c r="AE947" s="33">
        <v>2035</v>
      </c>
      <c r="AF947" s="45" t="str">
        <f t="shared" si="118"/>
        <v>*0.93</v>
      </c>
      <c r="AG947" s="43" t="str">
        <f t="shared" si="120"/>
        <v>REZoning_Sol-Win</v>
      </c>
      <c r="AI947" s="33" t="s">
        <v>1821</v>
      </c>
      <c r="AJ947" s="44" t="s">
        <v>57</v>
      </c>
      <c r="AK947" s="33">
        <v>2050</v>
      </c>
      <c r="AL947" s="45" t="str">
        <f t="shared" si="119"/>
        <v>*0.89</v>
      </c>
      <c r="AM947" s="43" t="str">
        <f t="shared" si="121"/>
        <v>REZoning_Sol-Win</v>
      </c>
      <c r="AP947" t="s">
        <v>1821</v>
      </c>
      <c r="AQ947" t="s">
        <v>57</v>
      </c>
      <c r="AR947">
        <v>2100</v>
      </c>
      <c r="AS947" t="s">
        <v>937</v>
      </c>
      <c r="AT947" t="s">
        <v>58</v>
      </c>
    </row>
    <row r="948" ht="29" spans="1:46">
      <c r="A948" s="31" t="s">
        <v>83</v>
      </c>
      <c r="C948" t="s">
        <v>1822</v>
      </c>
      <c r="D948" s="5" t="s">
        <v>57</v>
      </c>
      <c r="E948">
        <v>2035</v>
      </c>
      <c r="F948" s="6" t="str">
        <f t="shared" si="114"/>
        <v>*0.95</v>
      </c>
      <c r="H948" t="s">
        <v>1822</v>
      </c>
      <c r="I948" s="5" t="s">
        <v>57</v>
      </c>
      <c r="J948">
        <v>2050</v>
      </c>
      <c r="K948" s="38" t="str">
        <f t="shared" si="115"/>
        <v>*0.92</v>
      </c>
      <c r="P948" s="32" t="s">
        <v>1822</v>
      </c>
      <c r="Q948" s="42" t="s">
        <v>57</v>
      </c>
      <c r="R948" s="32">
        <v>2035</v>
      </c>
      <c r="S948" s="43" t="str">
        <f t="shared" si="116"/>
        <v>*0.95</v>
      </c>
      <c r="U948" s="32" t="s">
        <v>1822</v>
      </c>
      <c r="V948" s="42" t="s">
        <v>57</v>
      </c>
      <c r="W948" s="32">
        <v>2050</v>
      </c>
      <c r="X948" s="43" t="str">
        <f t="shared" si="117"/>
        <v>*0.92</v>
      </c>
      <c r="AC948" s="33" t="s">
        <v>1822</v>
      </c>
      <c r="AD948" s="44" t="s">
        <v>57</v>
      </c>
      <c r="AE948" s="33">
        <v>2035</v>
      </c>
      <c r="AF948" s="45" t="str">
        <f t="shared" si="118"/>
        <v>*0.93</v>
      </c>
      <c r="AG948" s="43" t="str">
        <f t="shared" si="120"/>
        <v>REZoning_Sol-Win</v>
      </c>
      <c r="AI948" s="33" t="s">
        <v>1822</v>
      </c>
      <c r="AJ948" s="44" t="s">
        <v>57</v>
      </c>
      <c r="AK948" s="33">
        <v>2050</v>
      </c>
      <c r="AL948" s="45" t="str">
        <f t="shared" si="119"/>
        <v>*0.89</v>
      </c>
      <c r="AM948" s="43" t="str">
        <f t="shared" si="121"/>
        <v>REZoning_Sol-Win</v>
      </c>
      <c r="AP948" t="s">
        <v>1822</v>
      </c>
      <c r="AQ948" t="s">
        <v>57</v>
      </c>
      <c r="AR948">
        <v>2100</v>
      </c>
      <c r="AS948" t="s">
        <v>937</v>
      </c>
      <c r="AT948" t="s">
        <v>58</v>
      </c>
    </row>
    <row r="949" ht="29" spans="1:46">
      <c r="A949" s="31" t="s">
        <v>83</v>
      </c>
      <c r="C949" t="s">
        <v>1823</v>
      </c>
      <c r="D949" s="5" t="s">
        <v>57</v>
      </c>
      <c r="E949">
        <v>2035</v>
      </c>
      <c r="F949" s="6" t="str">
        <f t="shared" si="114"/>
        <v>*0.95</v>
      </c>
      <c r="H949" t="s">
        <v>1823</v>
      </c>
      <c r="I949" s="5" t="s">
        <v>57</v>
      </c>
      <c r="J949">
        <v>2050</v>
      </c>
      <c r="K949" s="38" t="str">
        <f t="shared" si="115"/>
        <v>*0.92</v>
      </c>
      <c r="P949" s="32" t="s">
        <v>1823</v>
      </c>
      <c r="Q949" s="42" t="s">
        <v>57</v>
      </c>
      <c r="R949" s="32">
        <v>2035</v>
      </c>
      <c r="S949" s="43" t="str">
        <f t="shared" si="116"/>
        <v>*0.95</v>
      </c>
      <c r="U949" s="32" t="s">
        <v>1823</v>
      </c>
      <c r="V949" s="42" t="s">
        <v>57</v>
      </c>
      <c r="W949" s="32">
        <v>2050</v>
      </c>
      <c r="X949" s="43" t="str">
        <f t="shared" si="117"/>
        <v>*0.92</v>
      </c>
      <c r="AC949" s="33" t="s">
        <v>1823</v>
      </c>
      <c r="AD949" s="44" t="s">
        <v>57</v>
      </c>
      <c r="AE949" s="33">
        <v>2035</v>
      </c>
      <c r="AF949" s="45" t="str">
        <f t="shared" si="118"/>
        <v>*0.93</v>
      </c>
      <c r="AG949" s="43" t="str">
        <f t="shared" si="120"/>
        <v>REZoning_Sol-Win</v>
      </c>
      <c r="AI949" s="33" t="s">
        <v>1823</v>
      </c>
      <c r="AJ949" s="44" t="s">
        <v>57</v>
      </c>
      <c r="AK949" s="33">
        <v>2050</v>
      </c>
      <c r="AL949" s="45" t="str">
        <f t="shared" si="119"/>
        <v>*0.89</v>
      </c>
      <c r="AM949" s="43" t="str">
        <f t="shared" si="121"/>
        <v>REZoning_Sol-Win</v>
      </c>
      <c r="AP949" t="s">
        <v>1823</v>
      </c>
      <c r="AQ949" t="s">
        <v>57</v>
      </c>
      <c r="AR949">
        <v>2100</v>
      </c>
      <c r="AS949" t="s">
        <v>937</v>
      </c>
      <c r="AT949" t="s">
        <v>58</v>
      </c>
    </row>
    <row r="950" ht="29" spans="1:46">
      <c r="A950" s="31" t="s">
        <v>83</v>
      </c>
      <c r="C950" t="s">
        <v>1824</v>
      </c>
      <c r="D950" s="5" t="s">
        <v>57</v>
      </c>
      <c r="E950">
        <v>2035</v>
      </c>
      <c r="F950" s="6" t="str">
        <f t="shared" si="114"/>
        <v>*0.95</v>
      </c>
      <c r="H950" t="s">
        <v>1824</v>
      </c>
      <c r="I950" s="5" t="s">
        <v>57</v>
      </c>
      <c r="J950">
        <v>2050</v>
      </c>
      <c r="K950" s="38" t="str">
        <f t="shared" si="115"/>
        <v>*0.92</v>
      </c>
      <c r="P950" s="32" t="s">
        <v>1824</v>
      </c>
      <c r="Q950" s="42" t="s">
        <v>57</v>
      </c>
      <c r="R950" s="32">
        <v>2035</v>
      </c>
      <c r="S950" s="43" t="str">
        <f t="shared" si="116"/>
        <v>*0.95</v>
      </c>
      <c r="U950" s="32" t="s">
        <v>1824</v>
      </c>
      <c r="V950" s="42" t="s">
        <v>57</v>
      </c>
      <c r="W950" s="32">
        <v>2050</v>
      </c>
      <c r="X950" s="43" t="str">
        <f t="shared" si="117"/>
        <v>*0.92</v>
      </c>
      <c r="AC950" s="33" t="s">
        <v>1824</v>
      </c>
      <c r="AD950" s="44" t="s">
        <v>57</v>
      </c>
      <c r="AE950" s="33">
        <v>2035</v>
      </c>
      <c r="AF950" s="45" t="str">
        <f t="shared" si="118"/>
        <v>*0.93</v>
      </c>
      <c r="AG950" s="43" t="str">
        <f t="shared" si="120"/>
        <v>REZoning_Sol-Win</v>
      </c>
      <c r="AI950" s="33" t="s">
        <v>1824</v>
      </c>
      <c r="AJ950" s="44" t="s">
        <v>57</v>
      </c>
      <c r="AK950" s="33">
        <v>2050</v>
      </c>
      <c r="AL950" s="45" t="str">
        <f t="shared" si="119"/>
        <v>*0.89</v>
      </c>
      <c r="AM950" s="43" t="str">
        <f t="shared" si="121"/>
        <v>REZoning_Sol-Win</v>
      </c>
      <c r="AP950" t="s">
        <v>1824</v>
      </c>
      <c r="AQ950" t="s">
        <v>57</v>
      </c>
      <c r="AR950">
        <v>2100</v>
      </c>
      <c r="AS950" t="s">
        <v>937</v>
      </c>
      <c r="AT950" t="s">
        <v>58</v>
      </c>
    </row>
    <row r="951" ht="29" spans="1:46">
      <c r="A951" s="31" t="s">
        <v>83</v>
      </c>
      <c r="C951" t="s">
        <v>1825</v>
      </c>
      <c r="D951" s="5" t="s">
        <v>57</v>
      </c>
      <c r="E951">
        <v>2035</v>
      </c>
      <c r="F951" s="6" t="str">
        <f t="shared" si="114"/>
        <v>*0.95</v>
      </c>
      <c r="H951" t="s">
        <v>1825</v>
      </c>
      <c r="I951" s="5" t="s">
        <v>57</v>
      </c>
      <c r="J951">
        <v>2050</v>
      </c>
      <c r="K951" s="38" t="str">
        <f t="shared" si="115"/>
        <v>*0.92</v>
      </c>
      <c r="P951" s="32" t="s">
        <v>1825</v>
      </c>
      <c r="Q951" s="42" t="s">
        <v>57</v>
      </c>
      <c r="R951" s="32">
        <v>2035</v>
      </c>
      <c r="S951" s="43" t="str">
        <f t="shared" si="116"/>
        <v>*0.95</v>
      </c>
      <c r="U951" s="32" t="s">
        <v>1825</v>
      </c>
      <c r="V951" s="42" t="s">
        <v>57</v>
      </c>
      <c r="W951" s="32">
        <v>2050</v>
      </c>
      <c r="X951" s="43" t="str">
        <f t="shared" si="117"/>
        <v>*0.92</v>
      </c>
      <c r="AC951" s="33" t="s">
        <v>1825</v>
      </c>
      <c r="AD951" s="44" t="s">
        <v>57</v>
      </c>
      <c r="AE951" s="33">
        <v>2035</v>
      </c>
      <c r="AF951" s="45" t="str">
        <f t="shared" si="118"/>
        <v>*0.93</v>
      </c>
      <c r="AG951" s="43" t="str">
        <f t="shared" si="120"/>
        <v>REZoning_Sol-Win</v>
      </c>
      <c r="AI951" s="33" t="s">
        <v>1825</v>
      </c>
      <c r="AJ951" s="44" t="s">
        <v>57</v>
      </c>
      <c r="AK951" s="33">
        <v>2050</v>
      </c>
      <c r="AL951" s="45" t="str">
        <f t="shared" si="119"/>
        <v>*0.89</v>
      </c>
      <c r="AM951" s="43" t="str">
        <f t="shared" si="121"/>
        <v>REZoning_Sol-Win</v>
      </c>
      <c r="AP951" t="s">
        <v>1825</v>
      </c>
      <c r="AQ951" t="s">
        <v>57</v>
      </c>
      <c r="AR951">
        <v>2100</v>
      </c>
      <c r="AS951" t="s">
        <v>937</v>
      </c>
      <c r="AT951" t="s">
        <v>58</v>
      </c>
    </row>
    <row r="952" ht="29" spans="1:46">
      <c r="A952" s="31" t="s">
        <v>83</v>
      </c>
      <c r="C952" t="s">
        <v>1826</v>
      </c>
      <c r="D952" s="5" t="s">
        <v>57</v>
      </c>
      <c r="E952">
        <v>2035</v>
      </c>
      <c r="F952" s="6" t="str">
        <f t="shared" si="114"/>
        <v>*0.95</v>
      </c>
      <c r="H952" t="s">
        <v>1826</v>
      </c>
      <c r="I952" s="5" t="s">
        <v>57</v>
      </c>
      <c r="J952">
        <v>2050</v>
      </c>
      <c r="K952" s="38" t="str">
        <f t="shared" si="115"/>
        <v>*0.92</v>
      </c>
      <c r="P952" s="32" t="s">
        <v>1826</v>
      </c>
      <c r="Q952" s="42" t="s">
        <v>57</v>
      </c>
      <c r="R952" s="32">
        <v>2035</v>
      </c>
      <c r="S952" s="43" t="str">
        <f t="shared" si="116"/>
        <v>*0.95</v>
      </c>
      <c r="U952" s="32" t="s">
        <v>1826</v>
      </c>
      <c r="V952" s="42" t="s">
        <v>57</v>
      </c>
      <c r="W952" s="32">
        <v>2050</v>
      </c>
      <c r="X952" s="43" t="str">
        <f t="shared" si="117"/>
        <v>*0.92</v>
      </c>
      <c r="AC952" s="33" t="s">
        <v>1826</v>
      </c>
      <c r="AD952" s="44" t="s">
        <v>57</v>
      </c>
      <c r="AE952" s="33">
        <v>2035</v>
      </c>
      <c r="AF952" s="45" t="str">
        <f t="shared" si="118"/>
        <v>*0.93</v>
      </c>
      <c r="AG952" s="43" t="str">
        <f t="shared" si="120"/>
        <v>REZoning_Sol-Win</v>
      </c>
      <c r="AI952" s="33" t="s">
        <v>1826</v>
      </c>
      <c r="AJ952" s="44" t="s">
        <v>57</v>
      </c>
      <c r="AK952" s="33">
        <v>2050</v>
      </c>
      <c r="AL952" s="45" t="str">
        <f t="shared" si="119"/>
        <v>*0.89</v>
      </c>
      <c r="AM952" s="43" t="str">
        <f t="shared" si="121"/>
        <v>REZoning_Sol-Win</v>
      </c>
      <c r="AP952" t="s">
        <v>1826</v>
      </c>
      <c r="AQ952" t="s">
        <v>57</v>
      </c>
      <c r="AR952">
        <v>2100</v>
      </c>
      <c r="AS952" t="s">
        <v>937</v>
      </c>
      <c r="AT952" t="s">
        <v>58</v>
      </c>
    </row>
    <row r="953" ht="29" spans="1:46">
      <c r="A953" s="31" t="s">
        <v>83</v>
      </c>
      <c r="C953" t="s">
        <v>1827</v>
      </c>
      <c r="D953" s="5" t="s">
        <v>57</v>
      </c>
      <c r="E953">
        <v>2035</v>
      </c>
      <c r="F953" s="6" t="str">
        <f t="shared" si="114"/>
        <v>*0.95</v>
      </c>
      <c r="H953" t="s">
        <v>1827</v>
      </c>
      <c r="I953" s="5" t="s">
        <v>57</v>
      </c>
      <c r="J953">
        <v>2050</v>
      </c>
      <c r="K953" s="38" t="str">
        <f t="shared" si="115"/>
        <v>*0.92</v>
      </c>
      <c r="P953" s="32" t="s">
        <v>1827</v>
      </c>
      <c r="Q953" s="42" t="s">
        <v>57</v>
      </c>
      <c r="R953" s="32">
        <v>2035</v>
      </c>
      <c r="S953" s="43" t="str">
        <f t="shared" si="116"/>
        <v>*0.95</v>
      </c>
      <c r="U953" s="32" t="s">
        <v>1827</v>
      </c>
      <c r="V953" s="42" t="s">
        <v>57</v>
      </c>
      <c r="W953" s="32">
        <v>2050</v>
      </c>
      <c r="X953" s="43" t="str">
        <f t="shared" si="117"/>
        <v>*0.92</v>
      </c>
      <c r="AC953" s="33" t="s">
        <v>1827</v>
      </c>
      <c r="AD953" s="44" t="s">
        <v>57</v>
      </c>
      <c r="AE953" s="33">
        <v>2035</v>
      </c>
      <c r="AF953" s="45" t="str">
        <f t="shared" si="118"/>
        <v>*0.93</v>
      </c>
      <c r="AG953" s="43" t="str">
        <f t="shared" si="120"/>
        <v>REZoning_Sol-Win</v>
      </c>
      <c r="AI953" s="33" t="s">
        <v>1827</v>
      </c>
      <c r="AJ953" s="44" t="s">
        <v>57</v>
      </c>
      <c r="AK953" s="33">
        <v>2050</v>
      </c>
      <c r="AL953" s="45" t="str">
        <f t="shared" si="119"/>
        <v>*0.89</v>
      </c>
      <c r="AM953" s="43" t="str">
        <f t="shared" si="121"/>
        <v>REZoning_Sol-Win</v>
      </c>
      <c r="AP953" t="s">
        <v>1827</v>
      </c>
      <c r="AQ953" t="s">
        <v>57</v>
      </c>
      <c r="AR953">
        <v>2100</v>
      </c>
      <c r="AS953" t="s">
        <v>937</v>
      </c>
      <c r="AT953" t="s">
        <v>58</v>
      </c>
    </row>
    <row r="954" ht="29" spans="1:46">
      <c r="A954" s="31" t="s">
        <v>83</v>
      </c>
      <c r="C954" t="s">
        <v>1828</v>
      </c>
      <c r="D954" s="5" t="s">
        <v>57</v>
      </c>
      <c r="E954">
        <v>2035</v>
      </c>
      <c r="F954" s="6" t="str">
        <f t="shared" si="114"/>
        <v>*0.95</v>
      </c>
      <c r="H954" t="s">
        <v>1828</v>
      </c>
      <c r="I954" s="5" t="s">
        <v>57</v>
      </c>
      <c r="J954">
        <v>2050</v>
      </c>
      <c r="K954" s="38" t="str">
        <f t="shared" si="115"/>
        <v>*0.92</v>
      </c>
      <c r="P954" s="32" t="s">
        <v>1828</v>
      </c>
      <c r="Q954" s="42" t="s">
        <v>57</v>
      </c>
      <c r="R954" s="32">
        <v>2035</v>
      </c>
      <c r="S954" s="43" t="str">
        <f t="shared" si="116"/>
        <v>*0.95</v>
      </c>
      <c r="U954" s="32" t="s">
        <v>1828</v>
      </c>
      <c r="V954" s="42" t="s">
        <v>57</v>
      </c>
      <c r="W954" s="32">
        <v>2050</v>
      </c>
      <c r="X954" s="43" t="str">
        <f t="shared" si="117"/>
        <v>*0.92</v>
      </c>
      <c r="AC954" s="33" t="s">
        <v>1828</v>
      </c>
      <c r="AD954" s="44" t="s">
        <v>57</v>
      </c>
      <c r="AE954" s="33">
        <v>2035</v>
      </c>
      <c r="AF954" s="45" t="str">
        <f t="shared" si="118"/>
        <v>*0.93</v>
      </c>
      <c r="AG954" s="43" t="str">
        <f t="shared" si="120"/>
        <v>REZoning_Sol-Win</v>
      </c>
      <c r="AI954" s="33" t="s">
        <v>1828</v>
      </c>
      <c r="AJ954" s="44" t="s">
        <v>57</v>
      </c>
      <c r="AK954" s="33">
        <v>2050</v>
      </c>
      <c r="AL954" s="45" t="str">
        <f t="shared" si="119"/>
        <v>*0.89</v>
      </c>
      <c r="AM954" s="43" t="str">
        <f t="shared" si="121"/>
        <v>REZoning_Sol-Win</v>
      </c>
      <c r="AP954" t="s">
        <v>1828</v>
      </c>
      <c r="AQ954" t="s">
        <v>57</v>
      </c>
      <c r="AR954">
        <v>2100</v>
      </c>
      <c r="AS954" t="s">
        <v>937</v>
      </c>
      <c r="AT954" t="s">
        <v>58</v>
      </c>
    </row>
    <row r="955" ht="29" spans="1:46">
      <c r="A955" s="31" t="s">
        <v>83</v>
      </c>
      <c r="C955" t="s">
        <v>1829</v>
      </c>
      <c r="D955" s="5" t="s">
        <v>57</v>
      </c>
      <c r="E955">
        <v>2035</v>
      </c>
      <c r="F955" s="6" t="str">
        <f t="shared" si="114"/>
        <v>*0.95</v>
      </c>
      <c r="H955" t="s">
        <v>1829</v>
      </c>
      <c r="I955" s="5" t="s">
        <v>57</v>
      </c>
      <c r="J955">
        <v>2050</v>
      </c>
      <c r="K955" s="38" t="str">
        <f t="shared" si="115"/>
        <v>*0.92</v>
      </c>
      <c r="P955" s="32" t="s">
        <v>1829</v>
      </c>
      <c r="Q955" s="42" t="s">
        <v>57</v>
      </c>
      <c r="R955" s="32">
        <v>2035</v>
      </c>
      <c r="S955" s="43" t="str">
        <f t="shared" si="116"/>
        <v>*0.95</v>
      </c>
      <c r="U955" s="32" t="s">
        <v>1829</v>
      </c>
      <c r="V955" s="42" t="s">
        <v>57</v>
      </c>
      <c r="W955" s="32">
        <v>2050</v>
      </c>
      <c r="X955" s="43" t="str">
        <f t="shared" si="117"/>
        <v>*0.92</v>
      </c>
      <c r="AC955" s="33" t="s">
        <v>1829</v>
      </c>
      <c r="AD955" s="44" t="s">
        <v>57</v>
      </c>
      <c r="AE955" s="33">
        <v>2035</v>
      </c>
      <c r="AF955" s="45" t="str">
        <f t="shared" si="118"/>
        <v>*0.93</v>
      </c>
      <c r="AG955" s="43" t="str">
        <f t="shared" si="120"/>
        <v>REZoning_Sol-Win</v>
      </c>
      <c r="AI955" s="33" t="s">
        <v>1829</v>
      </c>
      <c r="AJ955" s="44" t="s">
        <v>57</v>
      </c>
      <c r="AK955" s="33">
        <v>2050</v>
      </c>
      <c r="AL955" s="45" t="str">
        <f t="shared" si="119"/>
        <v>*0.89</v>
      </c>
      <c r="AM955" s="43" t="str">
        <f t="shared" si="121"/>
        <v>REZoning_Sol-Win</v>
      </c>
      <c r="AP955" t="s">
        <v>1829</v>
      </c>
      <c r="AQ955" t="s">
        <v>57</v>
      </c>
      <c r="AR955">
        <v>2100</v>
      </c>
      <c r="AS955" t="s">
        <v>937</v>
      </c>
      <c r="AT955" t="s">
        <v>58</v>
      </c>
    </row>
    <row r="956" ht="29" spans="1:46">
      <c r="A956" s="31" t="s">
        <v>83</v>
      </c>
      <c r="C956" t="s">
        <v>1830</v>
      </c>
      <c r="D956" s="5" t="s">
        <v>57</v>
      </c>
      <c r="E956">
        <v>2035</v>
      </c>
      <c r="F956" s="6" t="str">
        <f t="shared" si="114"/>
        <v>*0.95</v>
      </c>
      <c r="H956" t="s">
        <v>1830</v>
      </c>
      <c r="I956" s="5" t="s">
        <v>57</v>
      </c>
      <c r="J956">
        <v>2050</v>
      </c>
      <c r="K956" s="38" t="str">
        <f t="shared" si="115"/>
        <v>*0.92</v>
      </c>
      <c r="P956" s="32" t="s">
        <v>1830</v>
      </c>
      <c r="Q956" s="42" t="s">
        <v>57</v>
      </c>
      <c r="R956" s="32">
        <v>2035</v>
      </c>
      <c r="S956" s="43" t="str">
        <f t="shared" si="116"/>
        <v>*0.95</v>
      </c>
      <c r="U956" s="32" t="s">
        <v>1830</v>
      </c>
      <c r="V956" s="42" t="s">
        <v>57</v>
      </c>
      <c r="W956" s="32">
        <v>2050</v>
      </c>
      <c r="X956" s="43" t="str">
        <f t="shared" si="117"/>
        <v>*0.92</v>
      </c>
      <c r="AC956" s="33" t="s">
        <v>1830</v>
      </c>
      <c r="AD956" s="44" t="s">
        <v>57</v>
      </c>
      <c r="AE956" s="33">
        <v>2035</v>
      </c>
      <c r="AF956" s="45" t="str">
        <f t="shared" si="118"/>
        <v>*0.93</v>
      </c>
      <c r="AG956" s="43" t="str">
        <f t="shared" si="120"/>
        <v>REZoning_Sol-Win</v>
      </c>
      <c r="AI956" s="33" t="s">
        <v>1830</v>
      </c>
      <c r="AJ956" s="44" t="s">
        <v>57</v>
      </c>
      <c r="AK956" s="33">
        <v>2050</v>
      </c>
      <c r="AL956" s="45" t="str">
        <f t="shared" si="119"/>
        <v>*0.89</v>
      </c>
      <c r="AM956" s="43" t="str">
        <f t="shared" si="121"/>
        <v>REZoning_Sol-Win</v>
      </c>
      <c r="AP956" t="s">
        <v>1830</v>
      </c>
      <c r="AQ956" t="s">
        <v>57</v>
      </c>
      <c r="AR956">
        <v>2100</v>
      </c>
      <c r="AS956" t="s">
        <v>937</v>
      </c>
      <c r="AT956" t="s">
        <v>58</v>
      </c>
    </row>
    <row r="957" ht="29" spans="1:46">
      <c r="A957" s="31" t="s">
        <v>73</v>
      </c>
      <c r="C957" t="s">
        <v>1831</v>
      </c>
      <c r="D957" s="5" t="s">
        <v>57</v>
      </c>
      <c r="E957">
        <v>2035</v>
      </c>
      <c r="F957" s="6" t="str">
        <f t="shared" si="114"/>
        <v>*0.95</v>
      </c>
      <c r="H957" t="s">
        <v>1831</v>
      </c>
      <c r="I957" s="5" t="s">
        <v>57</v>
      </c>
      <c r="J957">
        <v>2050</v>
      </c>
      <c r="K957" s="38" t="str">
        <f t="shared" si="115"/>
        <v>*0.93</v>
      </c>
      <c r="P957" s="32" t="s">
        <v>1831</v>
      </c>
      <c r="Q957" s="42" t="s">
        <v>57</v>
      </c>
      <c r="R957" s="32">
        <v>2035</v>
      </c>
      <c r="S957" s="43" t="str">
        <f t="shared" si="116"/>
        <v>*0.95</v>
      </c>
      <c r="U957" s="32" t="s">
        <v>1831</v>
      </c>
      <c r="V957" s="42" t="s">
        <v>57</v>
      </c>
      <c r="W957" s="32">
        <v>2050</v>
      </c>
      <c r="X957" s="43" t="str">
        <f t="shared" si="117"/>
        <v>*0.93</v>
      </c>
      <c r="AC957" s="33" t="s">
        <v>1831</v>
      </c>
      <c r="AD957" s="44" t="s">
        <v>57</v>
      </c>
      <c r="AE957" s="33">
        <v>2035</v>
      </c>
      <c r="AF957" s="45" t="str">
        <f t="shared" si="118"/>
        <v>*0.93</v>
      </c>
      <c r="AG957" s="43" t="str">
        <f t="shared" si="120"/>
        <v>REZoning_Sol-Win</v>
      </c>
      <c r="AI957" s="33" t="s">
        <v>1831</v>
      </c>
      <c r="AJ957" s="44" t="s">
        <v>57</v>
      </c>
      <c r="AK957" s="33">
        <v>2050</v>
      </c>
      <c r="AL957" s="45" t="str">
        <f t="shared" si="119"/>
        <v>*0.9</v>
      </c>
      <c r="AM957" s="43" t="str">
        <f t="shared" si="121"/>
        <v>REZoning_Sol-Win</v>
      </c>
      <c r="AP957" t="s">
        <v>1831</v>
      </c>
      <c r="AQ957" t="s">
        <v>57</v>
      </c>
      <c r="AR957">
        <v>2100</v>
      </c>
      <c r="AS957" t="s">
        <v>897</v>
      </c>
      <c r="AT957" t="s">
        <v>58</v>
      </c>
    </row>
    <row r="958" ht="29" spans="1:46">
      <c r="A958" s="31" t="s">
        <v>73</v>
      </c>
      <c r="C958" t="s">
        <v>1832</v>
      </c>
      <c r="D958" s="5" t="s">
        <v>57</v>
      </c>
      <c r="E958">
        <v>2035</v>
      </c>
      <c r="F958" s="6" t="str">
        <f t="shared" si="114"/>
        <v>*0.95</v>
      </c>
      <c r="H958" t="s">
        <v>1832</v>
      </c>
      <c r="I958" s="5" t="s">
        <v>57</v>
      </c>
      <c r="J958">
        <v>2050</v>
      </c>
      <c r="K958" s="38" t="str">
        <f t="shared" si="115"/>
        <v>*0.93</v>
      </c>
      <c r="P958" s="32" t="s">
        <v>1832</v>
      </c>
      <c r="Q958" s="42" t="s">
        <v>57</v>
      </c>
      <c r="R958" s="32">
        <v>2035</v>
      </c>
      <c r="S958" s="43" t="str">
        <f t="shared" si="116"/>
        <v>*0.95</v>
      </c>
      <c r="U958" s="32" t="s">
        <v>1832</v>
      </c>
      <c r="V958" s="42" t="s">
        <v>57</v>
      </c>
      <c r="W958" s="32">
        <v>2050</v>
      </c>
      <c r="X958" s="43" t="str">
        <f t="shared" si="117"/>
        <v>*0.93</v>
      </c>
      <c r="AC958" s="33" t="s">
        <v>1832</v>
      </c>
      <c r="AD958" s="44" t="s">
        <v>57</v>
      </c>
      <c r="AE958" s="33">
        <v>2035</v>
      </c>
      <c r="AF958" s="45" t="str">
        <f t="shared" si="118"/>
        <v>*0.93</v>
      </c>
      <c r="AG958" s="43" t="str">
        <f t="shared" si="120"/>
        <v>REZoning_Sol-Win</v>
      </c>
      <c r="AI958" s="33" t="s">
        <v>1832</v>
      </c>
      <c r="AJ958" s="44" t="s">
        <v>57</v>
      </c>
      <c r="AK958" s="33">
        <v>2050</v>
      </c>
      <c r="AL958" s="45" t="str">
        <f t="shared" si="119"/>
        <v>*0.9</v>
      </c>
      <c r="AM958" s="43" t="str">
        <f t="shared" si="121"/>
        <v>REZoning_Sol-Win</v>
      </c>
      <c r="AP958" t="s">
        <v>1832</v>
      </c>
      <c r="AQ958" t="s">
        <v>57</v>
      </c>
      <c r="AR958">
        <v>2100</v>
      </c>
      <c r="AS958" t="s">
        <v>897</v>
      </c>
      <c r="AT958" t="s">
        <v>58</v>
      </c>
    </row>
    <row r="959" ht="29" spans="1:46">
      <c r="A959" s="31" t="s">
        <v>73</v>
      </c>
      <c r="C959" t="s">
        <v>1833</v>
      </c>
      <c r="D959" s="5" t="s">
        <v>57</v>
      </c>
      <c r="E959">
        <v>2035</v>
      </c>
      <c r="F959" s="6" t="str">
        <f t="shared" si="114"/>
        <v>*0.95</v>
      </c>
      <c r="H959" t="s">
        <v>1833</v>
      </c>
      <c r="I959" s="5" t="s">
        <v>57</v>
      </c>
      <c r="J959">
        <v>2050</v>
      </c>
      <c r="K959" s="38" t="str">
        <f t="shared" si="115"/>
        <v>*0.93</v>
      </c>
      <c r="P959" s="32" t="s">
        <v>1833</v>
      </c>
      <c r="Q959" s="42" t="s">
        <v>57</v>
      </c>
      <c r="R959" s="32">
        <v>2035</v>
      </c>
      <c r="S959" s="43" t="str">
        <f t="shared" si="116"/>
        <v>*0.95</v>
      </c>
      <c r="U959" s="32" t="s">
        <v>1833</v>
      </c>
      <c r="V959" s="42" t="s">
        <v>57</v>
      </c>
      <c r="W959" s="32">
        <v>2050</v>
      </c>
      <c r="X959" s="43" t="str">
        <f t="shared" si="117"/>
        <v>*0.93</v>
      </c>
      <c r="AC959" s="33" t="s">
        <v>1833</v>
      </c>
      <c r="AD959" s="44" t="s">
        <v>57</v>
      </c>
      <c r="AE959" s="33">
        <v>2035</v>
      </c>
      <c r="AF959" s="45" t="str">
        <f t="shared" si="118"/>
        <v>*0.93</v>
      </c>
      <c r="AG959" s="43" t="str">
        <f t="shared" si="120"/>
        <v>REZoning_Sol-Win</v>
      </c>
      <c r="AI959" s="33" t="s">
        <v>1833</v>
      </c>
      <c r="AJ959" s="44" t="s">
        <v>57</v>
      </c>
      <c r="AK959" s="33">
        <v>2050</v>
      </c>
      <c r="AL959" s="45" t="str">
        <f t="shared" si="119"/>
        <v>*0.9</v>
      </c>
      <c r="AM959" s="43" t="str">
        <f t="shared" si="121"/>
        <v>REZoning_Sol-Win</v>
      </c>
      <c r="AP959" t="s">
        <v>1833</v>
      </c>
      <c r="AQ959" t="s">
        <v>57</v>
      </c>
      <c r="AR959">
        <v>2100</v>
      </c>
      <c r="AS959" t="s">
        <v>897</v>
      </c>
      <c r="AT959" t="s">
        <v>58</v>
      </c>
    </row>
    <row r="960" ht="29" spans="1:46">
      <c r="A960" s="31" t="s">
        <v>73</v>
      </c>
      <c r="C960" t="s">
        <v>1834</v>
      </c>
      <c r="D960" s="5" t="s">
        <v>57</v>
      </c>
      <c r="E960">
        <v>2035</v>
      </c>
      <c r="F960" s="6" t="str">
        <f t="shared" si="114"/>
        <v>*0.95</v>
      </c>
      <c r="H960" t="s">
        <v>1834</v>
      </c>
      <c r="I960" s="5" t="s">
        <v>57</v>
      </c>
      <c r="J960">
        <v>2050</v>
      </c>
      <c r="K960" s="38" t="str">
        <f t="shared" si="115"/>
        <v>*0.93</v>
      </c>
      <c r="P960" s="32" t="s">
        <v>1834</v>
      </c>
      <c r="Q960" s="42" t="s">
        <v>57</v>
      </c>
      <c r="R960" s="32">
        <v>2035</v>
      </c>
      <c r="S960" s="43" t="str">
        <f t="shared" si="116"/>
        <v>*0.95</v>
      </c>
      <c r="U960" s="32" t="s">
        <v>1834</v>
      </c>
      <c r="V960" s="42" t="s">
        <v>57</v>
      </c>
      <c r="W960" s="32">
        <v>2050</v>
      </c>
      <c r="X960" s="43" t="str">
        <f t="shared" si="117"/>
        <v>*0.93</v>
      </c>
      <c r="AC960" s="33" t="s">
        <v>1834</v>
      </c>
      <c r="AD960" s="44" t="s">
        <v>57</v>
      </c>
      <c r="AE960" s="33">
        <v>2035</v>
      </c>
      <c r="AF960" s="45" t="str">
        <f t="shared" si="118"/>
        <v>*0.93</v>
      </c>
      <c r="AG960" s="43" t="str">
        <f t="shared" si="120"/>
        <v>REZoning_Sol-Win</v>
      </c>
      <c r="AI960" s="33" t="s">
        <v>1834</v>
      </c>
      <c r="AJ960" s="44" t="s">
        <v>57</v>
      </c>
      <c r="AK960" s="33">
        <v>2050</v>
      </c>
      <c r="AL960" s="45" t="str">
        <f t="shared" si="119"/>
        <v>*0.9</v>
      </c>
      <c r="AM960" s="43" t="str">
        <f t="shared" si="121"/>
        <v>REZoning_Sol-Win</v>
      </c>
      <c r="AP960" t="s">
        <v>1834</v>
      </c>
      <c r="AQ960" t="s">
        <v>57</v>
      </c>
      <c r="AR960">
        <v>2100</v>
      </c>
      <c r="AS960" t="s">
        <v>897</v>
      </c>
      <c r="AT960" t="s">
        <v>58</v>
      </c>
    </row>
    <row r="961" ht="29" spans="1:46">
      <c r="A961" s="31" t="s">
        <v>73</v>
      </c>
      <c r="C961" t="s">
        <v>1835</v>
      </c>
      <c r="D961" s="5" t="s">
        <v>57</v>
      </c>
      <c r="E961">
        <v>2035</v>
      </c>
      <c r="F961" s="6" t="str">
        <f t="shared" si="114"/>
        <v>*0.95</v>
      </c>
      <c r="H961" t="s">
        <v>1835</v>
      </c>
      <c r="I961" s="5" t="s">
        <v>57</v>
      </c>
      <c r="J961">
        <v>2050</v>
      </c>
      <c r="K961" s="38" t="str">
        <f t="shared" si="115"/>
        <v>*0.93</v>
      </c>
      <c r="P961" s="32" t="s">
        <v>1835</v>
      </c>
      <c r="Q961" s="42" t="s">
        <v>57</v>
      </c>
      <c r="R961" s="32">
        <v>2035</v>
      </c>
      <c r="S961" s="43" t="str">
        <f t="shared" si="116"/>
        <v>*0.95</v>
      </c>
      <c r="U961" s="32" t="s">
        <v>1835</v>
      </c>
      <c r="V961" s="42" t="s">
        <v>57</v>
      </c>
      <c r="W961" s="32">
        <v>2050</v>
      </c>
      <c r="X961" s="43" t="str">
        <f t="shared" si="117"/>
        <v>*0.93</v>
      </c>
      <c r="AC961" s="33" t="s">
        <v>1835</v>
      </c>
      <c r="AD961" s="44" t="s">
        <v>57</v>
      </c>
      <c r="AE961" s="33">
        <v>2035</v>
      </c>
      <c r="AF961" s="45" t="str">
        <f t="shared" si="118"/>
        <v>*0.93</v>
      </c>
      <c r="AG961" s="43" t="str">
        <f t="shared" si="120"/>
        <v>REZoning_Sol-Win</v>
      </c>
      <c r="AI961" s="33" t="s">
        <v>1835</v>
      </c>
      <c r="AJ961" s="44" t="s">
        <v>57</v>
      </c>
      <c r="AK961" s="33">
        <v>2050</v>
      </c>
      <c r="AL961" s="45" t="str">
        <f t="shared" si="119"/>
        <v>*0.9</v>
      </c>
      <c r="AM961" s="43" t="str">
        <f t="shared" si="121"/>
        <v>REZoning_Sol-Win</v>
      </c>
      <c r="AP961" t="s">
        <v>1835</v>
      </c>
      <c r="AQ961" t="s">
        <v>57</v>
      </c>
      <c r="AR961">
        <v>2100</v>
      </c>
      <c r="AS961" t="s">
        <v>897</v>
      </c>
      <c r="AT961" t="s">
        <v>58</v>
      </c>
    </row>
    <row r="962" ht="29" spans="1:46">
      <c r="A962" s="31" t="s">
        <v>73</v>
      </c>
      <c r="C962" t="s">
        <v>1836</v>
      </c>
      <c r="D962" s="5" t="s">
        <v>57</v>
      </c>
      <c r="E962">
        <v>2035</v>
      </c>
      <c r="F962" s="6" t="str">
        <f t="shared" si="114"/>
        <v>*0.95</v>
      </c>
      <c r="H962" t="s">
        <v>1836</v>
      </c>
      <c r="I962" s="5" t="s">
        <v>57</v>
      </c>
      <c r="J962">
        <v>2050</v>
      </c>
      <c r="K962" s="38" t="str">
        <f t="shared" si="115"/>
        <v>*0.93</v>
      </c>
      <c r="P962" s="32" t="s">
        <v>1836</v>
      </c>
      <c r="Q962" s="42" t="s">
        <v>57</v>
      </c>
      <c r="R962" s="32">
        <v>2035</v>
      </c>
      <c r="S962" s="43" t="str">
        <f t="shared" si="116"/>
        <v>*0.95</v>
      </c>
      <c r="U962" s="32" t="s">
        <v>1836</v>
      </c>
      <c r="V962" s="42" t="s">
        <v>57</v>
      </c>
      <c r="W962" s="32">
        <v>2050</v>
      </c>
      <c r="X962" s="43" t="str">
        <f t="shared" si="117"/>
        <v>*0.93</v>
      </c>
      <c r="AC962" s="33" t="s">
        <v>1836</v>
      </c>
      <c r="AD962" s="44" t="s">
        <v>57</v>
      </c>
      <c r="AE962" s="33">
        <v>2035</v>
      </c>
      <c r="AF962" s="45" t="str">
        <f t="shared" si="118"/>
        <v>*0.93</v>
      </c>
      <c r="AG962" s="43" t="str">
        <f t="shared" si="120"/>
        <v>REZoning_Sol-Win</v>
      </c>
      <c r="AI962" s="33" t="s">
        <v>1836</v>
      </c>
      <c r="AJ962" s="44" t="s">
        <v>57</v>
      </c>
      <c r="AK962" s="33">
        <v>2050</v>
      </c>
      <c r="AL962" s="45" t="str">
        <f t="shared" si="119"/>
        <v>*0.9</v>
      </c>
      <c r="AM962" s="43" t="str">
        <f t="shared" si="121"/>
        <v>REZoning_Sol-Win</v>
      </c>
      <c r="AP962" t="s">
        <v>1836</v>
      </c>
      <c r="AQ962" t="s">
        <v>57</v>
      </c>
      <c r="AR962">
        <v>2100</v>
      </c>
      <c r="AS962" t="s">
        <v>897</v>
      </c>
      <c r="AT962" t="s">
        <v>58</v>
      </c>
    </row>
    <row r="963" ht="29" spans="1:46">
      <c r="A963" s="31" t="s">
        <v>73</v>
      </c>
      <c r="C963" t="s">
        <v>1837</v>
      </c>
      <c r="D963" s="5" t="s">
        <v>57</v>
      </c>
      <c r="E963">
        <v>2035</v>
      </c>
      <c r="F963" s="6" t="str">
        <f t="shared" si="114"/>
        <v>*0.95</v>
      </c>
      <c r="H963" t="s">
        <v>1837</v>
      </c>
      <c r="I963" s="5" t="s">
        <v>57</v>
      </c>
      <c r="J963">
        <v>2050</v>
      </c>
      <c r="K963" s="38" t="str">
        <f t="shared" si="115"/>
        <v>*0.93</v>
      </c>
      <c r="P963" s="32" t="s">
        <v>1837</v>
      </c>
      <c r="Q963" s="42" t="s">
        <v>57</v>
      </c>
      <c r="R963" s="32">
        <v>2035</v>
      </c>
      <c r="S963" s="43" t="str">
        <f t="shared" si="116"/>
        <v>*0.95</v>
      </c>
      <c r="U963" s="32" t="s">
        <v>1837</v>
      </c>
      <c r="V963" s="42" t="s">
        <v>57</v>
      </c>
      <c r="W963" s="32">
        <v>2050</v>
      </c>
      <c r="X963" s="43" t="str">
        <f t="shared" si="117"/>
        <v>*0.93</v>
      </c>
      <c r="AC963" s="33" t="s">
        <v>1837</v>
      </c>
      <c r="AD963" s="44" t="s">
        <v>57</v>
      </c>
      <c r="AE963" s="33">
        <v>2035</v>
      </c>
      <c r="AF963" s="45" t="str">
        <f t="shared" si="118"/>
        <v>*0.93</v>
      </c>
      <c r="AG963" s="43" t="str">
        <f t="shared" si="120"/>
        <v>REZoning_Sol-Win</v>
      </c>
      <c r="AI963" s="33" t="s">
        <v>1837</v>
      </c>
      <c r="AJ963" s="44" t="s">
        <v>57</v>
      </c>
      <c r="AK963" s="33">
        <v>2050</v>
      </c>
      <c r="AL963" s="45" t="str">
        <f t="shared" si="119"/>
        <v>*0.9</v>
      </c>
      <c r="AM963" s="43" t="str">
        <f t="shared" si="121"/>
        <v>REZoning_Sol-Win</v>
      </c>
      <c r="AP963" t="s">
        <v>1837</v>
      </c>
      <c r="AQ963" t="s">
        <v>57</v>
      </c>
      <c r="AR963">
        <v>2100</v>
      </c>
      <c r="AS963" t="s">
        <v>897</v>
      </c>
      <c r="AT963" t="s">
        <v>58</v>
      </c>
    </row>
    <row r="964" ht="29" spans="1:46">
      <c r="A964" s="31" t="s">
        <v>73</v>
      </c>
      <c r="C964" t="s">
        <v>1838</v>
      </c>
      <c r="D964" s="5" t="s">
        <v>57</v>
      </c>
      <c r="E964">
        <v>2035</v>
      </c>
      <c r="F964" s="6" t="str">
        <f t="shared" ref="F964:F1027" si="122">"*"&amp;IF(AND(A964="EU",E964=2035),0.95,IF(AND(A964="EU",E964=2050),0.93,IF(AND(A964="USA",E964=2035),0.96,IF(AND(A964="USA",E964=2050),0.94,IF(AND(A964="Japan",E964=2035),0.94,IF(AND(A964="Japan",E964=2050),0.92,IF(AND(A964="Russia",E964=2035),0.95,IF(AND(A964="Russia",E964=2050),0.93,IF(AND(A964="China",E964=2035),0.94,IF(AND(A964="China",E964=2050),0.92,IF(AND(A964="India",E964=2035),0.95,IF(AND(A964="India",E964=2050),0.92,IF(AND(A964="Middle East",E964=2035),0.94,IF(AND(A964="Middle East",E964=2050),0.9,IF(AND(A964="Africa",E964=2035),0.94,IF(AND(A964="Africa",E964=2050),0.91,IF(AND(A964="Brazil",E964=2035),0.95,IF(AND(A964="Brazil",E964=2050),0.92,""))))))))))))))))))</f>
        <v>*0.95</v>
      </c>
      <c r="H964" t="s">
        <v>1838</v>
      </c>
      <c r="I964" s="5" t="s">
        <v>57</v>
      </c>
      <c r="J964">
        <v>2050</v>
      </c>
      <c r="K964" s="38" t="str">
        <f t="shared" ref="K964:K1027" si="123">"*"&amp;IF(AND(A964="EU",J964=2035),0.95,IF(AND(A964="EU",J964=2050),0.93,IF(AND(A964="USA",J964=2035),0.96,IF(AND(A964="USA",J964=2050),0.94,IF(AND(A964="Japan",J964=2035),0.94,IF(AND(A964="Japan",J964=2050),0.92,IF(AND(A964="Russia",J964=2035),0.95,IF(AND(A964="Russia",J964=2050),0.93,IF(AND(A964="China",J964=2035),0.94,IF(AND(A964="China",J964=2050),0.92,IF(AND(A964="India",J964=2035),0.95,IF(AND(A964="India",J964=2050),0.92,IF(AND(A964="Middle East",J964=2035),0.94,IF(AND(A964="Middle East",J964=2050),0.9,IF(AND(A964="Africa",J964=2035),0.94,IF(AND(A964="Africa",J964=2050),0.91,IF(AND(A964="Brazil",J964=2035),0.95,IF(AND(A964="Brazil",J964=2050),0.92,""))))))))))))))))))</f>
        <v>*0.93</v>
      </c>
      <c r="P964" s="32" t="s">
        <v>1838</v>
      </c>
      <c r="Q964" s="42" t="s">
        <v>57</v>
      </c>
      <c r="R964" s="32">
        <v>2035</v>
      </c>
      <c r="S964" s="43" t="str">
        <f t="shared" ref="S964:S1027" si="124">"*"&amp;IF(AND(A964="EU",R964=2035),0.95,IF(AND(A964="EU",R964=2050),0.93,IF(AND(A964="USA",R964=2035),0.96,IF(AND(A964="USA",R964=2050),0.93,IF(AND(A964="Japan",R964=2035),0.94,IF(AND(A964="Japan",R964=2050),0.92,IF(AND(A964="Russia",R964=2035),0.95,IF(AND(A964="Russia",R964=2050),0.91,IF(AND(A964="China",R964=2035),0.93,IF(AND(A964="China",R964=2050),0.92,IF(AND(A964="India",R964=2035),0.94,IF(AND(A964="India",R964=2050),0.91,IF(AND(A964="Middle East",R964=2035),0.92,IF(AND(A964="Middle East",R964=2050),0.89,IF(AND(A964="Africa",R964=2035),0.93,IF(AND(A964="Africa",R964=2050),0.9,IF(AND(A964="Brazil",R964=2035),0.95,IF(AND(A964="Brazil",R964=2050),0.92,""))))))))))))))))))</f>
        <v>*0.95</v>
      </c>
      <c r="U964" s="32" t="s">
        <v>1838</v>
      </c>
      <c r="V964" s="42" t="s">
        <v>57</v>
      </c>
      <c r="W964" s="32">
        <v>2050</v>
      </c>
      <c r="X964" s="43" t="str">
        <f t="shared" ref="X964:X1027" si="125">"*"&amp;IF(AND(A964="EU",W964=2035),0.95,IF(AND(A964="EU",W964=2050),0.93,IF(AND(A964="USA",W964=2035),0.96,IF(AND(A964="USA",W964=2050),0.93,IF(AND(A964="Japan",W964=2035),0.94,IF(AND(A964="Japan",W964=2050),0.92,IF(AND(A964="Russia",W964=2035),0.95,IF(AND(A964="Russia",W964=2050),0.91,IF(AND(A964="China",W964=2035),0.93,IF(AND(A964="China",W964=2050),0.92,IF(AND(A964="India",W964=2035),0.94,IF(AND(A964="India",W964=2050),0.91,IF(AND(A964="Middle East",W964=2035),0.92,IF(AND(A964="Middle East",W964=2050),0.89,IF(AND(A964="Africa",W964=2035),0.93,IF(AND(A964="Africa",W964=2050),0.9,IF(AND(A964="Brazil",W964=2035),0.95,IF(AND(A964="Brazil",W964=2050),0.92,""))))))))))))))))))</f>
        <v>*0.93</v>
      </c>
      <c r="AC964" s="33" t="s">
        <v>1838</v>
      </c>
      <c r="AD964" s="44" t="s">
        <v>57</v>
      </c>
      <c r="AE964" s="33">
        <v>2035</v>
      </c>
      <c r="AF964" s="45" t="str">
        <f t="shared" ref="AF964:AF1027" si="126">"*"&amp;IF(AND(A964="EU",AE964=2035),0.93,IF(AND(A964="EU",AE964=2050),0.9,IF(AND(A964="USA",AE964=2035),0.92,IF(AND(A964="USA",AE964=2050),0.89,IF(AND(A964="Japan",AE964=2035),0.92,IF(AND(A964="Japan",AE964=2050),0.89,IF(AND(A964="Russia",AE964=2035),0.91,IF(AND(A964="Russia",AE964=2050),0.86,IF(AND(A964="China",AE964=2035),0.91,IF(AND(A964="China",AE964=2050),0.87,IF(AND(A964="India",AE964=2035),0.92,IF(AND(A964="India",AE964=2050),0.87,IF(AND(A964="Middle East",AE964=2035),0.89,IF(AND(A964="Middle East",AE964=2050),0.84,IF(AND(A964="Africa",AE964=2035),0.9,IF(AND(A964="Africa",AE964=2050),0.86,IF(AND(A964="Brazil",AE964=2035),0.93,IF(AND(A964="Brazil",AE964=2050),0.89,""))))))))))))))))))</f>
        <v>*0.93</v>
      </c>
      <c r="AG964" s="43" t="str">
        <f t="shared" si="120"/>
        <v>REZoning_Sol-Win</v>
      </c>
      <c r="AI964" s="33" t="s">
        <v>1838</v>
      </c>
      <c r="AJ964" s="44" t="s">
        <v>57</v>
      </c>
      <c r="AK964" s="33">
        <v>2050</v>
      </c>
      <c r="AL964" s="45" t="str">
        <f t="shared" ref="AL964:AL1027" si="127">"*"&amp;IF(AND(A964="EU",AK964=2035),0.93,IF(AND(A964="EU",AK964=2050),0.9,IF(AND(A964="USA",AK964=2035),0.92,IF(AND(A964="USA",AK964=2050),0.89,IF(AND(A964="Japan",AK964=2035),0.92,IF(AND(A964="Japan",AK964=2050),0.89,IF(AND(A964="Russia",AK964=2035),0.91,IF(AND(A964="Russia",AK964=2050),0.86,IF(AND(A964="China",AK964=2035),0.91,IF(AND(A964="China",AK964=2050),0.87,IF(AND(A964="India",AK964=2035),0.92,IF(AND(A964="India",AK964=2050),0.87,IF(AND(A964="Middle East",AK964=2035),0.89,IF(AND(A964="Middle East",AK964=2050),0.84,IF(AND(A964="Africa",AK964=2035),0.9,IF(AND(A964="Africa",AK964=2050),0.86,IF(AND(A964="Brazil",AK964=2035),0.93,IF(AND(A964="Brazil",AK964=2050),0.89,""))))))))))))))))))</f>
        <v>*0.9</v>
      </c>
      <c r="AM964" s="43" t="str">
        <f t="shared" si="121"/>
        <v>REZoning_Sol-Win</v>
      </c>
      <c r="AP964" t="s">
        <v>1838</v>
      </c>
      <c r="AQ964" t="s">
        <v>57</v>
      </c>
      <c r="AR964">
        <v>2100</v>
      </c>
      <c r="AS964" t="s">
        <v>897</v>
      </c>
      <c r="AT964" t="s">
        <v>58</v>
      </c>
    </row>
    <row r="965" ht="29" spans="1:46">
      <c r="A965" s="31" t="s">
        <v>73</v>
      </c>
      <c r="C965" t="s">
        <v>1839</v>
      </c>
      <c r="D965" s="5" t="s">
        <v>57</v>
      </c>
      <c r="E965">
        <v>2035</v>
      </c>
      <c r="F965" s="6" t="str">
        <f t="shared" si="122"/>
        <v>*0.95</v>
      </c>
      <c r="H965" t="s">
        <v>1839</v>
      </c>
      <c r="I965" s="5" t="s">
        <v>57</v>
      </c>
      <c r="J965">
        <v>2050</v>
      </c>
      <c r="K965" s="38" t="str">
        <f t="shared" si="123"/>
        <v>*0.93</v>
      </c>
      <c r="P965" s="32" t="s">
        <v>1839</v>
      </c>
      <c r="Q965" s="42" t="s">
        <v>57</v>
      </c>
      <c r="R965" s="32">
        <v>2035</v>
      </c>
      <c r="S965" s="43" t="str">
        <f t="shared" si="124"/>
        <v>*0.95</v>
      </c>
      <c r="U965" s="32" t="s">
        <v>1839</v>
      </c>
      <c r="V965" s="42" t="s">
        <v>57</v>
      </c>
      <c r="W965" s="32">
        <v>2050</v>
      </c>
      <c r="X965" s="43" t="str">
        <f t="shared" si="125"/>
        <v>*0.93</v>
      </c>
      <c r="AC965" s="33" t="s">
        <v>1839</v>
      </c>
      <c r="AD965" s="44" t="s">
        <v>57</v>
      </c>
      <c r="AE965" s="33">
        <v>2035</v>
      </c>
      <c r="AF965" s="45" t="str">
        <f t="shared" si="126"/>
        <v>*0.93</v>
      </c>
      <c r="AG965" s="43" t="str">
        <f t="shared" si="120"/>
        <v>REZoning_Sol-Win</v>
      </c>
      <c r="AI965" s="33" t="s">
        <v>1839</v>
      </c>
      <c r="AJ965" s="44" t="s">
        <v>57</v>
      </c>
      <c r="AK965" s="33">
        <v>2050</v>
      </c>
      <c r="AL965" s="45" t="str">
        <f t="shared" si="127"/>
        <v>*0.9</v>
      </c>
      <c r="AM965" s="43" t="str">
        <f t="shared" si="121"/>
        <v>REZoning_Sol-Win</v>
      </c>
      <c r="AP965" t="s">
        <v>1839</v>
      </c>
      <c r="AQ965" t="s">
        <v>57</v>
      </c>
      <c r="AR965">
        <v>2100</v>
      </c>
      <c r="AS965" t="s">
        <v>897</v>
      </c>
      <c r="AT965" t="s">
        <v>58</v>
      </c>
    </row>
    <row r="966" ht="29" spans="1:46">
      <c r="A966" s="31" t="s">
        <v>73</v>
      </c>
      <c r="C966" t="s">
        <v>1840</v>
      </c>
      <c r="D966" s="5" t="s">
        <v>57</v>
      </c>
      <c r="E966">
        <v>2035</v>
      </c>
      <c r="F966" s="6" t="str">
        <f t="shared" si="122"/>
        <v>*0.95</v>
      </c>
      <c r="H966" t="s">
        <v>1840</v>
      </c>
      <c r="I966" s="5" t="s">
        <v>57</v>
      </c>
      <c r="J966">
        <v>2050</v>
      </c>
      <c r="K966" s="38" t="str">
        <f t="shared" si="123"/>
        <v>*0.93</v>
      </c>
      <c r="P966" s="32" t="s">
        <v>1840</v>
      </c>
      <c r="Q966" s="42" t="s">
        <v>57</v>
      </c>
      <c r="R966" s="32">
        <v>2035</v>
      </c>
      <c r="S966" s="43" t="str">
        <f t="shared" si="124"/>
        <v>*0.95</v>
      </c>
      <c r="U966" s="32" t="s">
        <v>1840</v>
      </c>
      <c r="V966" s="42" t="s">
        <v>57</v>
      </c>
      <c r="W966" s="32">
        <v>2050</v>
      </c>
      <c r="X966" s="43" t="str">
        <f t="shared" si="125"/>
        <v>*0.93</v>
      </c>
      <c r="AC966" s="33" t="s">
        <v>1840</v>
      </c>
      <c r="AD966" s="44" t="s">
        <v>57</v>
      </c>
      <c r="AE966" s="33">
        <v>2035</v>
      </c>
      <c r="AF966" s="45" t="str">
        <f t="shared" si="126"/>
        <v>*0.93</v>
      </c>
      <c r="AG966" s="43" t="str">
        <f t="shared" si="120"/>
        <v>REZoning_Sol-Win</v>
      </c>
      <c r="AI966" s="33" t="s">
        <v>1840</v>
      </c>
      <c r="AJ966" s="44" t="s">
        <v>57</v>
      </c>
      <c r="AK966" s="33">
        <v>2050</v>
      </c>
      <c r="AL966" s="45" t="str">
        <f t="shared" si="127"/>
        <v>*0.9</v>
      </c>
      <c r="AM966" s="43" t="str">
        <f t="shared" si="121"/>
        <v>REZoning_Sol-Win</v>
      </c>
      <c r="AP966" t="s">
        <v>1840</v>
      </c>
      <c r="AQ966" t="s">
        <v>57</v>
      </c>
      <c r="AR966">
        <v>2100</v>
      </c>
      <c r="AS966" t="s">
        <v>897</v>
      </c>
      <c r="AT966" t="s">
        <v>58</v>
      </c>
    </row>
    <row r="967" ht="29" spans="1:46">
      <c r="A967" s="31" t="s">
        <v>73</v>
      </c>
      <c r="C967" t="s">
        <v>1841</v>
      </c>
      <c r="D967" s="5" t="s">
        <v>57</v>
      </c>
      <c r="E967">
        <v>2035</v>
      </c>
      <c r="F967" s="6" t="str">
        <f t="shared" si="122"/>
        <v>*0.95</v>
      </c>
      <c r="H967" t="s">
        <v>1841</v>
      </c>
      <c r="I967" s="5" t="s">
        <v>57</v>
      </c>
      <c r="J967">
        <v>2050</v>
      </c>
      <c r="K967" s="38" t="str">
        <f t="shared" si="123"/>
        <v>*0.93</v>
      </c>
      <c r="P967" s="32" t="s">
        <v>1841</v>
      </c>
      <c r="Q967" s="42" t="s">
        <v>57</v>
      </c>
      <c r="R967" s="32">
        <v>2035</v>
      </c>
      <c r="S967" s="43" t="str">
        <f t="shared" si="124"/>
        <v>*0.95</v>
      </c>
      <c r="U967" s="32" t="s">
        <v>1841</v>
      </c>
      <c r="V967" s="42" t="s">
        <v>57</v>
      </c>
      <c r="W967" s="32">
        <v>2050</v>
      </c>
      <c r="X967" s="43" t="str">
        <f t="shared" si="125"/>
        <v>*0.93</v>
      </c>
      <c r="AC967" s="33" t="s">
        <v>1841</v>
      </c>
      <c r="AD967" s="44" t="s">
        <v>57</v>
      </c>
      <c r="AE967" s="33">
        <v>2035</v>
      </c>
      <c r="AF967" s="45" t="str">
        <f t="shared" si="126"/>
        <v>*0.93</v>
      </c>
      <c r="AG967" s="43" t="str">
        <f t="shared" si="120"/>
        <v>REZoning_Sol-Win</v>
      </c>
      <c r="AI967" s="33" t="s">
        <v>1841</v>
      </c>
      <c r="AJ967" s="44" t="s">
        <v>57</v>
      </c>
      <c r="AK967" s="33">
        <v>2050</v>
      </c>
      <c r="AL967" s="45" t="str">
        <f t="shared" si="127"/>
        <v>*0.9</v>
      </c>
      <c r="AM967" s="43" t="str">
        <f t="shared" si="121"/>
        <v>REZoning_Sol-Win</v>
      </c>
      <c r="AP967" t="s">
        <v>1841</v>
      </c>
      <c r="AQ967" t="s">
        <v>57</v>
      </c>
      <c r="AR967">
        <v>2100</v>
      </c>
      <c r="AS967" t="s">
        <v>897</v>
      </c>
      <c r="AT967" t="s">
        <v>58</v>
      </c>
    </row>
    <row r="968" ht="29" spans="1:46">
      <c r="A968" s="31" t="s">
        <v>73</v>
      </c>
      <c r="C968" t="s">
        <v>1842</v>
      </c>
      <c r="D968" s="5" t="s">
        <v>57</v>
      </c>
      <c r="E968">
        <v>2035</v>
      </c>
      <c r="F968" s="6" t="str">
        <f t="shared" si="122"/>
        <v>*0.95</v>
      </c>
      <c r="H968" t="s">
        <v>1842</v>
      </c>
      <c r="I968" s="5" t="s">
        <v>57</v>
      </c>
      <c r="J968">
        <v>2050</v>
      </c>
      <c r="K968" s="38" t="str">
        <f t="shared" si="123"/>
        <v>*0.93</v>
      </c>
      <c r="P968" s="32" t="s">
        <v>1842</v>
      </c>
      <c r="Q968" s="42" t="s">
        <v>57</v>
      </c>
      <c r="R968" s="32">
        <v>2035</v>
      </c>
      <c r="S968" s="43" t="str">
        <f t="shared" si="124"/>
        <v>*0.95</v>
      </c>
      <c r="U968" s="32" t="s">
        <v>1842</v>
      </c>
      <c r="V968" s="42" t="s">
        <v>57</v>
      </c>
      <c r="W968" s="32">
        <v>2050</v>
      </c>
      <c r="X968" s="43" t="str">
        <f t="shared" si="125"/>
        <v>*0.93</v>
      </c>
      <c r="AC968" s="33" t="s">
        <v>1842</v>
      </c>
      <c r="AD968" s="44" t="s">
        <v>57</v>
      </c>
      <c r="AE968" s="33">
        <v>2035</v>
      </c>
      <c r="AF968" s="45" t="str">
        <f t="shared" si="126"/>
        <v>*0.93</v>
      </c>
      <c r="AG968" s="43" t="str">
        <f t="shared" si="120"/>
        <v>REZoning_Sol-Win</v>
      </c>
      <c r="AI968" s="33" t="s">
        <v>1842</v>
      </c>
      <c r="AJ968" s="44" t="s">
        <v>57</v>
      </c>
      <c r="AK968" s="33">
        <v>2050</v>
      </c>
      <c r="AL968" s="45" t="str">
        <f t="shared" si="127"/>
        <v>*0.9</v>
      </c>
      <c r="AM968" s="43" t="str">
        <f t="shared" si="121"/>
        <v>REZoning_Sol-Win</v>
      </c>
      <c r="AP968" t="s">
        <v>1842</v>
      </c>
      <c r="AQ968" t="s">
        <v>57</v>
      </c>
      <c r="AR968">
        <v>2100</v>
      </c>
      <c r="AS968" t="s">
        <v>897</v>
      </c>
      <c r="AT968" t="s">
        <v>58</v>
      </c>
    </row>
    <row r="969" ht="29" spans="1:46">
      <c r="A969" s="31" t="s">
        <v>73</v>
      </c>
      <c r="C969" t="s">
        <v>1843</v>
      </c>
      <c r="D969" s="5" t="s">
        <v>57</v>
      </c>
      <c r="E969">
        <v>2035</v>
      </c>
      <c r="F969" s="6" t="str">
        <f t="shared" si="122"/>
        <v>*0.95</v>
      </c>
      <c r="H969" t="s">
        <v>1843</v>
      </c>
      <c r="I969" s="5" t="s">
        <v>57</v>
      </c>
      <c r="J969">
        <v>2050</v>
      </c>
      <c r="K969" s="38" t="str">
        <f t="shared" si="123"/>
        <v>*0.93</v>
      </c>
      <c r="P969" s="32" t="s">
        <v>1843</v>
      </c>
      <c r="Q969" s="42" t="s">
        <v>57</v>
      </c>
      <c r="R969" s="32">
        <v>2035</v>
      </c>
      <c r="S969" s="43" t="str">
        <f t="shared" si="124"/>
        <v>*0.95</v>
      </c>
      <c r="U969" s="32" t="s">
        <v>1843</v>
      </c>
      <c r="V969" s="42" t="s">
        <v>57</v>
      </c>
      <c r="W969" s="32">
        <v>2050</v>
      </c>
      <c r="X969" s="43" t="str">
        <f t="shared" si="125"/>
        <v>*0.93</v>
      </c>
      <c r="AC969" s="33" t="s">
        <v>1843</v>
      </c>
      <c r="AD969" s="44" t="s">
        <v>57</v>
      </c>
      <c r="AE969" s="33">
        <v>2035</v>
      </c>
      <c r="AF969" s="45" t="str">
        <f t="shared" si="126"/>
        <v>*0.93</v>
      </c>
      <c r="AG969" s="43" t="str">
        <f t="shared" ref="AG969:AG1032" si="128">AG968</f>
        <v>REZoning_Sol-Win</v>
      </c>
      <c r="AI969" s="33" t="s">
        <v>1843</v>
      </c>
      <c r="AJ969" s="44" t="s">
        <v>57</v>
      </c>
      <c r="AK969" s="33">
        <v>2050</v>
      </c>
      <c r="AL969" s="45" t="str">
        <f t="shared" si="127"/>
        <v>*0.9</v>
      </c>
      <c r="AM969" s="43" t="str">
        <f t="shared" si="121"/>
        <v>REZoning_Sol-Win</v>
      </c>
      <c r="AP969" t="s">
        <v>1843</v>
      </c>
      <c r="AQ969" t="s">
        <v>57</v>
      </c>
      <c r="AR969">
        <v>2100</v>
      </c>
      <c r="AS969" t="s">
        <v>897</v>
      </c>
      <c r="AT969" t="s">
        <v>58</v>
      </c>
    </row>
    <row r="970" ht="29" spans="1:46">
      <c r="A970" s="31" t="s">
        <v>73</v>
      </c>
      <c r="C970" t="s">
        <v>1844</v>
      </c>
      <c r="D970" s="5" t="s">
        <v>57</v>
      </c>
      <c r="E970">
        <v>2035</v>
      </c>
      <c r="F970" s="6" t="str">
        <f t="shared" si="122"/>
        <v>*0.95</v>
      </c>
      <c r="H970" t="s">
        <v>1844</v>
      </c>
      <c r="I970" s="5" t="s">
        <v>57</v>
      </c>
      <c r="J970">
        <v>2050</v>
      </c>
      <c r="K970" s="38" t="str">
        <f t="shared" si="123"/>
        <v>*0.93</v>
      </c>
      <c r="P970" s="32" t="s">
        <v>1844</v>
      </c>
      <c r="Q970" s="42" t="s">
        <v>57</v>
      </c>
      <c r="R970" s="32">
        <v>2035</v>
      </c>
      <c r="S970" s="43" t="str">
        <f t="shared" si="124"/>
        <v>*0.95</v>
      </c>
      <c r="U970" s="32" t="s">
        <v>1844</v>
      </c>
      <c r="V970" s="42" t="s">
        <v>57</v>
      </c>
      <c r="W970" s="32">
        <v>2050</v>
      </c>
      <c r="X970" s="43" t="str">
        <f t="shared" si="125"/>
        <v>*0.93</v>
      </c>
      <c r="AC970" s="33" t="s">
        <v>1844</v>
      </c>
      <c r="AD970" s="44" t="s">
        <v>57</v>
      </c>
      <c r="AE970" s="33">
        <v>2035</v>
      </c>
      <c r="AF970" s="45" t="str">
        <f t="shared" si="126"/>
        <v>*0.93</v>
      </c>
      <c r="AG970" s="43" t="str">
        <f t="shared" si="128"/>
        <v>REZoning_Sol-Win</v>
      </c>
      <c r="AI970" s="33" t="s">
        <v>1844</v>
      </c>
      <c r="AJ970" s="44" t="s">
        <v>57</v>
      </c>
      <c r="AK970" s="33">
        <v>2050</v>
      </c>
      <c r="AL970" s="45" t="str">
        <f t="shared" si="127"/>
        <v>*0.9</v>
      </c>
      <c r="AM970" s="43" t="str">
        <f t="shared" ref="AM970:AM1033" si="129">AM969</f>
        <v>REZoning_Sol-Win</v>
      </c>
      <c r="AP970" t="s">
        <v>1844</v>
      </c>
      <c r="AQ970" t="s">
        <v>57</v>
      </c>
      <c r="AR970">
        <v>2100</v>
      </c>
      <c r="AS970" t="s">
        <v>897</v>
      </c>
      <c r="AT970" t="s">
        <v>58</v>
      </c>
    </row>
    <row r="971" ht="29" spans="1:46">
      <c r="A971" s="31" t="s">
        <v>73</v>
      </c>
      <c r="C971" t="s">
        <v>1845</v>
      </c>
      <c r="D971" s="5" t="s">
        <v>57</v>
      </c>
      <c r="E971">
        <v>2035</v>
      </c>
      <c r="F971" s="6" t="str">
        <f t="shared" si="122"/>
        <v>*0.95</v>
      </c>
      <c r="H971" t="s">
        <v>1845</v>
      </c>
      <c r="I971" s="5" t="s">
        <v>57</v>
      </c>
      <c r="J971">
        <v>2050</v>
      </c>
      <c r="K971" s="38" t="str">
        <f t="shared" si="123"/>
        <v>*0.93</v>
      </c>
      <c r="P971" s="32" t="s">
        <v>1845</v>
      </c>
      <c r="Q971" s="42" t="s">
        <v>57</v>
      </c>
      <c r="R971" s="32">
        <v>2035</v>
      </c>
      <c r="S971" s="43" t="str">
        <f t="shared" si="124"/>
        <v>*0.95</v>
      </c>
      <c r="U971" s="32" t="s">
        <v>1845</v>
      </c>
      <c r="V971" s="42" t="s">
        <v>57</v>
      </c>
      <c r="W971" s="32">
        <v>2050</v>
      </c>
      <c r="X971" s="43" t="str">
        <f t="shared" si="125"/>
        <v>*0.93</v>
      </c>
      <c r="AC971" s="33" t="s">
        <v>1845</v>
      </c>
      <c r="AD971" s="44" t="s">
        <v>57</v>
      </c>
      <c r="AE971" s="33">
        <v>2035</v>
      </c>
      <c r="AF971" s="45" t="str">
        <f t="shared" si="126"/>
        <v>*0.93</v>
      </c>
      <c r="AG971" s="43" t="str">
        <f t="shared" si="128"/>
        <v>REZoning_Sol-Win</v>
      </c>
      <c r="AI971" s="33" t="s">
        <v>1845</v>
      </c>
      <c r="AJ971" s="44" t="s">
        <v>57</v>
      </c>
      <c r="AK971" s="33">
        <v>2050</v>
      </c>
      <c r="AL971" s="45" t="str">
        <f t="shared" si="127"/>
        <v>*0.9</v>
      </c>
      <c r="AM971" s="43" t="str">
        <f t="shared" si="129"/>
        <v>REZoning_Sol-Win</v>
      </c>
      <c r="AP971" t="s">
        <v>1845</v>
      </c>
      <c r="AQ971" t="s">
        <v>57</v>
      </c>
      <c r="AR971">
        <v>2100</v>
      </c>
      <c r="AS971" t="s">
        <v>897</v>
      </c>
      <c r="AT971" t="s">
        <v>58</v>
      </c>
    </row>
    <row r="972" ht="29" spans="1:46">
      <c r="A972" s="31" t="s">
        <v>73</v>
      </c>
      <c r="C972" t="s">
        <v>1846</v>
      </c>
      <c r="D972" s="5" t="s">
        <v>57</v>
      </c>
      <c r="E972">
        <v>2035</v>
      </c>
      <c r="F972" s="6" t="str">
        <f t="shared" si="122"/>
        <v>*0.95</v>
      </c>
      <c r="H972" t="s">
        <v>1846</v>
      </c>
      <c r="I972" s="5" t="s">
        <v>57</v>
      </c>
      <c r="J972">
        <v>2050</v>
      </c>
      <c r="K972" s="38" t="str">
        <f t="shared" si="123"/>
        <v>*0.93</v>
      </c>
      <c r="P972" s="32" t="s">
        <v>1846</v>
      </c>
      <c r="Q972" s="42" t="s">
        <v>57</v>
      </c>
      <c r="R972" s="32">
        <v>2035</v>
      </c>
      <c r="S972" s="43" t="str">
        <f t="shared" si="124"/>
        <v>*0.95</v>
      </c>
      <c r="U972" s="32" t="s">
        <v>1846</v>
      </c>
      <c r="V972" s="42" t="s">
        <v>57</v>
      </c>
      <c r="W972" s="32">
        <v>2050</v>
      </c>
      <c r="X972" s="43" t="str">
        <f t="shared" si="125"/>
        <v>*0.93</v>
      </c>
      <c r="AC972" s="33" t="s">
        <v>1846</v>
      </c>
      <c r="AD972" s="44" t="s">
        <v>57</v>
      </c>
      <c r="AE972" s="33">
        <v>2035</v>
      </c>
      <c r="AF972" s="45" t="str">
        <f t="shared" si="126"/>
        <v>*0.93</v>
      </c>
      <c r="AG972" s="43" t="str">
        <f t="shared" si="128"/>
        <v>REZoning_Sol-Win</v>
      </c>
      <c r="AI972" s="33" t="s">
        <v>1846</v>
      </c>
      <c r="AJ972" s="44" t="s">
        <v>57</v>
      </c>
      <c r="AK972" s="33">
        <v>2050</v>
      </c>
      <c r="AL972" s="45" t="str">
        <f t="shared" si="127"/>
        <v>*0.9</v>
      </c>
      <c r="AM972" s="43" t="str">
        <f t="shared" si="129"/>
        <v>REZoning_Sol-Win</v>
      </c>
      <c r="AP972" t="s">
        <v>1846</v>
      </c>
      <c r="AQ972" t="s">
        <v>57</v>
      </c>
      <c r="AR972">
        <v>2100</v>
      </c>
      <c r="AS972" t="s">
        <v>897</v>
      </c>
      <c r="AT972" t="s">
        <v>58</v>
      </c>
    </row>
    <row r="973" ht="29" spans="1:46">
      <c r="A973" s="31" t="s">
        <v>73</v>
      </c>
      <c r="C973" t="s">
        <v>1847</v>
      </c>
      <c r="D973" s="5" t="s">
        <v>57</v>
      </c>
      <c r="E973">
        <v>2035</v>
      </c>
      <c r="F973" s="6" t="str">
        <f t="shared" si="122"/>
        <v>*0.95</v>
      </c>
      <c r="H973" t="s">
        <v>1847</v>
      </c>
      <c r="I973" s="5" t="s">
        <v>57</v>
      </c>
      <c r="J973">
        <v>2050</v>
      </c>
      <c r="K973" s="38" t="str">
        <f t="shared" si="123"/>
        <v>*0.93</v>
      </c>
      <c r="P973" s="32" t="s">
        <v>1847</v>
      </c>
      <c r="Q973" s="42" t="s">
        <v>57</v>
      </c>
      <c r="R973" s="32">
        <v>2035</v>
      </c>
      <c r="S973" s="43" t="str">
        <f t="shared" si="124"/>
        <v>*0.95</v>
      </c>
      <c r="U973" s="32" t="s">
        <v>1847</v>
      </c>
      <c r="V973" s="42" t="s">
        <v>57</v>
      </c>
      <c r="W973" s="32">
        <v>2050</v>
      </c>
      <c r="X973" s="43" t="str">
        <f t="shared" si="125"/>
        <v>*0.93</v>
      </c>
      <c r="AC973" s="33" t="s">
        <v>1847</v>
      </c>
      <c r="AD973" s="44" t="s">
        <v>57</v>
      </c>
      <c r="AE973" s="33">
        <v>2035</v>
      </c>
      <c r="AF973" s="45" t="str">
        <f t="shared" si="126"/>
        <v>*0.93</v>
      </c>
      <c r="AG973" s="43" t="str">
        <f t="shared" si="128"/>
        <v>REZoning_Sol-Win</v>
      </c>
      <c r="AI973" s="33" t="s">
        <v>1847</v>
      </c>
      <c r="AJ973" s="44" t="s">
        <v>57</v>
      </c>
      <c r="AK973" s="33">
        <v>2050</v>
      </c>
      <c r="AL973" s="45" t="str">
        <f t="shared" si="127"/>
        <v>*0.9</v>
      </c>
      <c r="AM973" s="43" t="str">
        <f t="shared" si="129"/>
        <v>REZoning_Sol-Win</v>
      </c>
      <c r="AP973" t="s">
        <v>1847</v>
      </c>
      <c r="AQ973" t="s">
        <v>57</v>
      </c>
      <c r="AR973">
        <v>2100</v>
      </c>
      <c r="AS973" t="s">
        <v>897</v>
      </c>
      <c r="AT973" t="s">
        <v>58</v>
      </c>
    </row>
    <row r="974" ht="29" spans="1:46">
      <c r="A974" s="31" t="s">
        <v>73</v>
      </c>
      <c r="C974" t="s">
        <v>1848</v>
      </c>
      <c r="D974" s="5" t="s">
        <v>57</v>
      </c>
      <c r="E974">
        <v>2035</v>
      </c>
      <c r="F974" s="6" t="str">
        <f t="shared" si="122"/>
        <v>*0.95</v>
      </c>
      <c r="H974" t="s">
        <v>1848</v>
      </c>
      <c r="I974" s="5" t="s">
        <v>57</v>
      </c>
      <c r="J974">
        <v>2050</v>
      </c>
      <c r="K974" s="38" t="str">
        <f t="shared" si="123"/>
        <v>*0.93</v>
      </c>
      <c r="P974" s="32" t="s">
        <v>1848</v>
      </c>
      <c r="Q974" s="42" t="s">
        <v>57</v>
      </c>
      <c r="R974" s="32">
        <v>2035</v>
      </c>
      <c r="S974" s="43" t="str">
        <f t="shared" si="124"/>
        <v>*0.95</v>
      </c>
      <c r="U974" s="32" t="s">
        <v>1848</v>
      </c>
      <c r="V974" s="42" t="s">
        <v>57</v>
      </c>
      <c r="W974" s="32">
        <v>2050</v>
      </c>
      <c r="X974" s="43" t="str">
        <f t="shared" si="125"/>
        <v>*0.93</v>
      </c>
      <c r="AC974" s="33" t="s">
        <v>1848</v>
      </c>
      <c r="AD974" s="44" t="s">
        <v>57</v>
      </c>
      <c r="AE974" s="33">
        <v>2035</v>
      </c>
      <c r="AF974" s="45" t="str">
        <f t="shared" si="126"/>
        <v>*0.93</v>
      </c>
      <c r="AG974" s="43" t="str">
        <f t="shared" si="128"/>
        <v>REZoning_Sol-Win</v>
      </c>
      <c r="AI974" s="33" t="s">
        <v>1848</v>
      </c>
      <c r="AJ974" s="44" t="s">
        <v>57</v>
      </c>
      <c r="AK974" s="33">
        <v>2050</v>
      </c>
      <c r="AL974" s="45" t="str">
        <f t="shared" si="127"/>
        <v>*0.9</v>
      </c>
      <c r="AM974" s="43" t="str">
        <f t="shared" si="129"/>
        <v>REZoning_Sol-Win</v>
      </c>
      <c r="AP974" t="s">
        <v>1848</v>
      </c>
      <c r="AQ974" t="s">
        <v>57</v>
      </c>
      <c r="AR974">
        <v>2100</v>
      </c>
      <c r="AS974" t="s">
        <v>897</v>
      </c>
      <c r="AT974" t="s">
        <v>58</v>
      </c>
    </row>
    <row r="975" ht="29" spans="1:46">
      <c r="A975" s="31" t="s">
        <v>73</v>
      </c>
      <c r="C975" t="s">
        <v>1849</v>
      </c>
      <c r="D975" s="5" t="s">
        <v>57</v>
      </c>
      <c r="E975">
        <v>2035</v>
      </c>
      <c r="F975" s="6" t="str">
        <f t="shared" si="122"/>
        <v>*0.95</v>
      </c>
      <c r="H975" t="s">
        <v>1849</v>
      </c>
      <c r="I975" s="5" t="s">
        <v>57</v>
      </c>
      <c r="J975">
        <v>2050</v>
      </c>
      <c r="K975" s="38" t="str">
        <f t="shared" si="123"/>
        <v>*0.93</v>
      </c>
      <c r="P975" s="32" t="s">
        <v>1849</v>
      </c>
      <c r="Q975" s="42" t="s">
        <v>57</v>
      </c>
      <c r="R975" s="32">
        <v>2035</v>
      </c>
      <c r="S975" s="43" t="str">
        <f t="shared" si="124"/>
        <v>*0.95</v>
      </c>
      <c r="U975" s="32" t="s">
        <v>1849</v>
      </c>
      <c r="V975" s="42" t="s">
        <v>57</v>
      </c>
      <c r="W975" s="32">
        <v>2050</v>
      </c>
      <c r="X975" s="43" t="str">
        <f t="shared" si="125"/>
        <v>*0.93</v>
      </c>
      <c r="AC975" s="33" t="s">
        <v>1849</v>
      </c>
      <c r="AD975" s="44" t="s">
        <v>57</v>
      </c>
      <c r="AE975" s="33">
        <v>2035</v>
      </c>
      <c r="AF975" s="45" t="str">
        <f t="shared" si="126"/>
        <v>*0.93</v>
      </c>
      <c r="AG975" s="43" t="str">
        <f t="shared" si="128"/>
        <v>REZoning_Sol-Win</v>
      </c>
      <c r="AI975" s="33" t="s">
        <v>1849</v>
      </c>
      <c r="AJ975" s="44" t="s">
        <v>57</v>
      </c>
      <c r="AK975" s="33">
        <v>2050</v>
      </c>
      <c r="AL975" s="45" t="str">
        <f t="shared" si="127"/>
        <v>*0.9</v>
      </c>
      <c r="AM975" s="43" t="str">
        <f t="shared" si="129"/>
        <v>REZoning_Sol-Win</v>
      </c>
      <c r="AP975" t="s">
        <v>1849</v>
      </c>
      <c r="AQ975" t="s">
        <v>57</v>
      </c>
      <c r="AR975">
        <v>2100</v>
      </c>
      <c r="AS975" t="s">
        <v>897</v>
      </c>
      <c r="AT975" t="s">
        <v>58</v>
      </c>
    </row>
    <row r="976" ht="29" spans="1:46">
      <c r="A976" s="31" t="s">
        <v>73</v>
      </c>
      <c r="C976" t="s">
        <v>1850</v>
      </c>
      <c r="D976" s="5" t="s">
        <v>57</v>
      </c>
      <c r="E976">
        <v>2035</v>
      </c>
      <c r="F976" s="6" t="str">
        <f t="shared" si="122"/>
        <v>*0.95</v>
      </c>
      <c r="H976" t="s">
        <v>1850</v>
      </c>
      <c r="I976" s="5" t="s">
        <v>57</v>
      </c>
      <c r="J976">
        <v>2050</v>
      </c>
      <c r="K976" s="38" t="str">
        <f t="shared" si="123"/>
        <v>*0.93</v>
      </c>
      <c r="P976" s="32" t="s">
        <v>1850</v>
      </c>
      <c r="Q976" s="42" t="s">
        <v>57</v>
      </c>
      <c r="R976" s="32">
        <v>2035</v>
      </c>
      <c r="S976" s="43" t="str">
        <f t="shared" si="124"/>
        <v>*0.95</v>
      </c>
      <c r="U976" s="32" t="s">
        <v>1850</v>
      </c>
      <c r="V976" s="42" t="s">
        <v>57</v>
      </c>
      <c r="W976" s="32">
        <v>2050</v>
      </c>
      <c r="X976" s="43" t="str">
        <f t="shared" si="125"/>
        <v>*0.93</v>
      </c>
      <c r="AC976" s="33" t="s">
        <v>1850</v>
      </c>
      <c r="AD976" s="44" t="s">
        <v>57</v>
      </c>
      <c r="AE976" s="33">
        <v>2035</v>
      </c>
      <c r="AF976" s="45" t="str">
        <f t="shared" si="126"/>
        <v>*0.93</v>
      </c>
      <c r="AG976" s="43" t="str">
        <f t="shared" si="128"/>
        <v>REZoning_Sol-Win</v>
      </c>
      <c r="AI976" s="33" t="s">
        <v>1850</v>
      </c>
      <c r="AJ976" s="44" t="s">
        <v>57</v>
      </c>
      <c r="AK976" s="33">
        <v>2050</v>
      </c>
      <c r="AL976" s="45" t="str">
        <f t="shared" si="127"/>
        <v>*0.9</v>
      </c>
      <c r="AM976" s="43" t="str">
        <f t="shared" si="129"/>
        <v>REZoning_Sol-Win</v>
      </c>
      <c r="AP976" t="s">
        <v>1850</v>
      </c>
      <c r="AQ976" t="s">
        <v>57</v>
      </c>
      <c r="AR976">
        <v>2100</v>
      </c>
      <c r="AS976" t="s">
        <v>897</v>
      </c>
      <c r="AT976" t="s">
        <v>58</v>
      </c>
    </row>
    <row r="977" ht="29" spans="1:46">
      <c r="A977" s="31" t="s">
        <v>73</v>
      </c>
      <c r="C977" t="s">
        <v>1851</v>
      </c>
      <c r="D977" s="5" t="s">
        <v>57</v>
      </c>
      <c r="E977">
        <v>2035</v>
      </c>
      <c r="F977" s="6" t="str">
        <f t="shared" si="122"/>
        <v>*0.95</v>
      </c>
      <c r="H977" t="s">
        <v>1851</v>
      </c>
      <c r="I977" s="5" t="s">
        <v>57</v>
      </c>
      <c r="J977">
        <v>2050</v>
      </c>
      <c r="K977" s="38" t="str">
        <f t="shared" si="123"/>
        <v>*0.93</v>
      </c>
      <c r="P977" s="32" t="s">
        <v>1851</v>
      </c>
      <c r="Q977" s="42" t="s">
        <v>57</v>
      </c>
      <c r="R977" s="32">
        <v>2035</v>
      </c>
      <c r="S977" s="43" t="str">
        <f t="shared" si="124"/>
        <v>*0.95</v>
      </c>
      <c r="U977" s="32" t="s">
        <v>1851</v>
      </c>
      <c r="V977" s="42" t="s">
        <v>57</v>
      </c>
      <c r="W977" s="32">
        <v>2050</v>
      </c>
      <c r="X977" s="43" t="str">
        <f t="shared" si="125"/>
        <v>*0.93</v>
      </c>
      <c r="AC977" s="33" t="s">
        <v>1851</v>
      </c>
      <c r="AD977" s="44" t="s">
        <v>57</v>
      </c>
      <c r="AE977" s="33">
        <v>2035</v>
      </c>
      <c r="AF977" s="45" t="str">
        <f t="shared" si="126"/>
        <v>*0.93</v>
      </c>
      <c r="AG977" s="43" t="str">
        <f t="shared" si="128"/>
        <v>REZoning_Sol-Win</v>
      </c>
      <c r="AI977" s="33" t="s">
        <v>1851</v>
      </c>
      <c r="AJ977" s="44" t="s">
        <v>57</v>
      </c>
      <c r="AK977" s="33">
        <v>2050</v>
      </c>
      <c r="AL977" s="45" t="str">
        <f t="shared" si="127"/>
        <v>*0.9</v>
      </c>
      <c r="AM977" s="43" t="str">
        <f t="shared" si="129"/>
        <v>REZoning_Sol-Win</v>
      </c>
      <c r="AP977" t="s">
        <v>1851</v>
      </c>
      <c r="AQ977" t="s">
        <v>57</v>
      </c>
      <c r="AR977">
        <v>2100</v>
      </c>
      <c r="AS977" t="s">
        <v>897</v>
      </c>
      <c r="AT977" t="s">
        <v>58</v>
      </c>
    </row>
    <row r="978" ht="29" spans="1:46">
      <c r="A978" s="31" t="s">
        <v>73</v>
      </c>
      <c r="C978" t="s">
        <v>1852</v>
      </c>
      <c r="D978" s="5" t="s">
        <v>57</v>
      </c>
      <c r="E978">
        <v>2035</v>
      </c>
      <c r="F978" s="6" t="str">
        <f t="shared" si="122"/>
        <v>*0.95</v>
      </c>
      <c r="H978" t="s">
        <v>1852</v>
      </c>
      <c r="I978" s="5" t="s">
        <v>57</v>
      </c>
      <c r="J978">
        <v>2050</v>
      </c>
      <c r="K978" s="38" t="str">
        <f t="shared" si="123"/>
        <v>*0.93</v>
      </c>
      <c r="P978" s="32" t="s">
        <v>1852</v>
      </c>
      <c r="Q978" s="42" t="s">
        <v>57</v>
      </c>
      <c r="R978" s="32">
        <v>2035</v>
      </c>
      <c r="S978" s="43" t="str">
        <f t="shared" si="124"/>
        <v>*0.95</v>
      </c>
      <c r="U978" s="32" t="s">
        <v>1852</v>
      </c>
      <c r="V978" s="42" t="s">
        <v>57</v>
      </c>
      <c r="W978" s="32">
        <v>2050</v>
      </c>
      <c r="X978" s="43" t="str">
        <f t="shared" si="125"/>
        <v>*0.93</v>
      </c>
      <c r="AC978" s="33" t="s">
        <v>1852</v>
      </c>
      <c r="AD978" s="44" t="s">
        <v>57</v>
      </c>
      <c r="AE978" s="33">
        <v>2035</v>
      </c>
      <c r="AF978" s="45" t="str">
        <f t="shared" si="126"/>
        <v>*0.93</v>
      </c>
      <c r="AG978" s="43" t="str">
        <f t="shared" si="128"/>
        <v>REZoning_Sol-Win</v>
      </c>
      <c r="AI978" s="33" t="s">
        <v>1852</v>
      </c>
      <c r="AJ978" s="44" t="s">
        <v>57</v>
      </c>
      <c r="AK978" s="33">
        <v>2050</v>
      </c>
      <c r="AL978" s="45" t="str">
        <f t="shared" si="127"/>
        <v>*0.9</v>
      </c>
      <c r="AM978" s="43" t="str">
        <f t="shared" si="129"/>
        <v>REZoning_Sol-Win</v>
      </c>
      <c r="AP978" t="s">
        <v>1852</v>
      </c>
      <c r="AQ978" t="s">
        <v>57</v>
      </c>
      <c r="AR978">
        <v>2100</v>
      </c>
      <c r="AS978" t="s">
        <v>897</v>
      </c>
      <c r="AT978" t="s">
        <v>58</v>
      </c>
    </row>
    <row r="979" ht="29" spans="1:46">
      <c r="A979" s="31" t="s">
        <v>73</v>
      </c>
      <c r="C979" t="s">
        <v>1853</v>
      </c>
      <c r="D979" s="5" t="s">
        <v>57</v>
      </c>
      <c r="E979">
        <v>2035</v>
      </c>
      <c r="F979" s="6" t="str">
        <f t="shared" si="122"/>
        <v>*0.95</v>
      </c>
      <c r="H979" t="s">
        <v>1853</v>
      </c>
      <c r="I979" s="5" t="s">
        <v>57</v>
      </c>
      <c r="J979">
        <v>2050</v>
      </c>
      <c r="K979" s="38" t="str">
        <f t="shared" si="123"/>
        <v>*0.93</v>
      </c>
      <c r="P979" s="32" t="s">
        <v>1853</v>
      </c>
      <c r="Q979" s="42" t="s">
        <v>57</v>
      </c>
      <c r="R979" s="32">
        <v>2035</v>
      </c>
      <c r="S979" s="43" t="str">
        <f t="shared" si="124"/>
        <v>*0.95</v>
      </c>
      <c r="U979" s="32" t="s">
        <v>1853</v>
      </c>
      <c r="V979" s="42" t="s">
        <v>57</v>
      </c>
      <c r="W979" s="32">
        <v>2050</v>
      </c>
      <c r="X979" s="43" t="str">
        <f t="shared" si="125"/>
        <v>*0.93</v>
      </c>
      <c r="AC979" s="33" t="s">
        <v>1853</v>
      </c>
      <c r="AD979" s="44" t="s">
        <v>57</v>
      </c>
      <c r="AE979" s="33">
        <v>2035</v>
      </c>
      <c r="AF979" s="45" t="str">
        <f t="shared" si="126"/>
        <v>*0.93</v>
      </c>
      <c r="AG979" s="43" t="str">
        <f t="shared" si="128"/>
        <v>REZoning_Sol-Win</v>
      </c>
      <c r="AI979" s="33" t="s">
        <v>1853</v>
      </c>
      <c r="AJ979" s="44" t="s">
        <v>57</v>
      </c>
      <c r="AK979" s="33">
        <v>2050</v>
      </c>
      <c r="AL979" s="45" t="str">
        <f t="shared" si="127"/>
        <v>*0.9</v>
      </c>
      <c r="AM979" s="43" t="str">
        <f t="shared" si="129"/>
        <v>REZoning_Sol-Win</v>
      </c>
      <c r="AP979" t="s">
        <v>1853</v>
      </c>
      <c r="AQ979" t="s">
        <v>57</v>
      </c>
      <c r="AR979">
        <v>2100</v>
      </c>
      <c r="AS979" t="s">
        <v>897</v>
      </c>
      <c r="AT979" t="s">
        <v>58</v>
      </c>
    </row>
    <row r="980" ht="29" spans="1:46">
      <c r="A980" s="31" t="s">
        <v>73</v>
      </c>
      <c r="C980" t="s">
        <v>1854</v>
      </c>
      <c r="D980" s="5" t="s">
        <v>57</v>
      </c>
      <c r="E980">
        <v>2035</v>
      </c>
      <c r="F980" s="6" t="str">
        <f t="shared" si="122"/>
        <v>*0.95</v>
      </c>
      <c r="H980" t="s">
        <v>1854</v>
      </c>
      <c r="I980" s="5" t="s">
        <v>57</v>
      </c>
      <c r="J980">
        <v>2050</v>
      </c>
      <c r="K980" s="38" t="str">
        <f t="shared" si="123"/>
        <v>*0.93</v>
      </c>
      <c r="P980" s="32" t="s">
        <v>1854</v>
      </c>
      <c r="Q980" s="42" t="s">
        <v>57</v>
      </c>
      <c r="R980" s="32">
        <v>2035</v>
      </c>
      <c r="S980" s="43" t="str">
        <f t="shared" si="124"/>
        <v>*0.95</v>
      </c>
      <c r="U980" s="32" t="s">
        <v>1854</v>
      </c>
      <c r="V980" s="42" t="s">
        <v>57</v>
      </c>
      <c r="W980" s="32">
        <v>2050</v>
      </c>
      <c r="X980" s="43" t="str">
        <f t="shared" si="125"/>
        <v>*0.93</v>
      </c>
      <c r="AC980" s="33" t="s">
        <v>1854</v>
      </c>
      <c r="AD980" s="44" t="s">
        <v>57</v>
      </c>
      <c r="AE980" s="33">
        <v>2035</v>
      </c>
      <c r="AF980" s="45" t="str">
        <f t="shared" si="126"/>
        <v>*0.93</v>
      </c>
      <c r="AG980" s="43" t="str">
        <f t="shared" si="128"/>
        <v>REZoning_Sol-Win</v>
      </c>
      <c r="AI980" s="33" t="s">
        <v>1854</v>
      </c>
      <c r="AJ980" s="44" t="s">
        <v>57</v>
      </c>
      <c r="AK980" s="33">
        <v>2050</v>
      </c>
      <c r="AL980" s="45" t="str">
        <f t="shared" si="127"/>
        <v>*0.9</v>
      </c>
      <c r="AM980" s="43" t="str">
        <f t="shared" si="129"/>
        <v>REZoning_Sol-Win</v>
      </c>
      <c r="AP980" t="s">
        <v>1854</v>
      </c>
      <c r="AQ980" t="s">
        <v>57</v>
      </c>
      <c r="AR980">
        <v>2100</v>
      </c>
      <c r="AS980" t="s">
        <v>897</v>
      </c>
      <c r="AT980" t="s">
        <v>58</v>
      </c>
    </row>
    <row r="981" ht="29" spans="1:46">
      <c r="A981" s="31" t="s">
        <v>83</v>
      </c>
      <c r="C981" t="s">
        <v>1855</v>
      </c>
      <c r="D981" s="5" t="s">
        <v>57</v>
      </c>
      <c r="E981">
        <v>2035</v>
      </c>
      <c r="F981" s="6" t="str">
        <f t="shared" si="122"/>
        <v>*0.95</v>
      </c>
      <c r="H981" t="s">
        <v>1855</v>
      </c>
      <c r="I981" s="5" t="s">
        <v>57</v>
      </c>
      <c r="J981">
        <v>2050</v>
      </c>
      <c r="K981" s="38" t="str">
        <f t="shared" si="123"/>
        <v>*0.92</v>
      </c>
      <c r="P981" s="32" t="s">
        <v>1855</v>
      </c>
      <c r="Q981" s="42" t="s">
        <v>57</v>
      </c>
      <c r="R981" s="32">
        <v>2035</v>
      </c>
      <c r="S981" s="43" t="str">
        <f t="shared" si="124"/>
        <v>*0.95</v>
      </c>
      <c r="U981" s="32" t="s">
        <v>1855</v>
      </c>
      <c r="V981" s="42" t="s">
        <v>57</v>
      </c>
      <c r="W981" s="32">
        <v>2050</v>
      </c>
      <c r="X981" s="43" t="str">
        <f t="shared" si="125"/>
        <v>*0.92</v>
      </c>
      <c r="AC981" s="33" t="s">
        <v>1855</v>
      </c>
      <c r="AD981" s="44" t="s">
        <v>57</v>
      </c>
      <c r="AE981" s="33">
        <v>2035</v>
      </c>
      <c r="AF981" s="45" t="str">
        <f t="shared" si="126"/>
        <v>*0.93</v>
      </c>
      <c r="AG981" s="43" t="str">
        <f t="shared" si="128"/>
        <v>REZoning_Sol-Win</v>
      </c>
      <c r="AI981" s="33" t="s">
        <v>1855</v>
      </c>
      <c r="AJ981" s="44" t="s">
        <v>57</v>
      </c>
      <c r="AK981" s="33">
        <v>2050</v>
      </c>
      <c r="AL981" s="45" t="str">
        <f t="shared" si="127"/>
        <v>*0.89</v>
      </c>
      <c r="AM981" s="43" t="str">
        <f t="shared" si="129"/>
        <v>REZoning_Sol-Win</v>
      </c>
      <c r="AP981" t="s">
        <v>1855</v>
      </c>
      <c r="AQ981" t="s">
        <v>57</v>
      </c>
      <c r="AR981">
        <v>2100</v>
      </c>
      <c r="AS981" t="s">
        <v>937</v>
      </c>
      <c r="AT981" t="s">
        <v>58</v>
      </c>
    </row>
    <row r="982" ht="29" spans="1:46">
      <c r="A982" s="31" t="s">
        <v>83</v>
      </c>
      <c r="C982" t="s">
        <v>1856</v>
      </c>
      <c r="D982" s="5" t="s">
        <v>57</v>
      </c>
      <c r="E982">
        <v>2035</v>
      </c>
      <c r="F982" s="6" t="str">
        <f t="shared" si="122"/>
        <v>*0.95</v>
      </c>
      <c r="H982" t="s">
        <v>1856</v>
      </c>
      <c r="I982" s="5" t="s">
        <v>57</v>
      </c>
      <c r="J982">
        <v>2050</v>
      </c>
      <c r="K982" s="38" t="str">
        <f t="shared" si="123"/>
        <v>*0.92</v>
      </c>
      <c r="P982" s="32" t="s">
        <v>1856</v>
      </c>
      <c r="Q982" s="42" t="s">
        <v>57</v>
      </c>
      <c r="R982" s="32">
        <v>2035</v>
      </c>
      <c r="S982" s="43" t="str">
        <f t="shared" si="124"/>
        <v>*0.95</v>
      </c>
      <c r="U982" s="32" t="s">
        <v>1856</v>
      </c>
      <c r="V982" s="42" t="s">
        <v>57</v>
      </c>
      <c r="W982" s="32">
        <v>2050</v>
      </c>
      <c r="X982" s="43" t="str">
        <f t="shared" si="125"/>
        <v>*0.92</v>
      </c>
      <c r="AC982" s="33" t="s">
        <v>1856</v>
      </c>
      <c r="AD982" s="44" t="s">
        <v>57</v>
      </c>
      <c r="AE982" s="33">
        <v>2035</v>
      </c>
      <c r="AF982" s="45" t="str">
        <f t="shared" si="126"/>
        <v>*0.93</v>
      </c>
      <c r="AG982" s="43" t="str">
        <f t="shared" si="128"/>
        <v>REZoning_Sol-Win</v>
      </c>
      <c r="AI982" s="33" t="s">
        <v>1856</v>
      </c>
      <c r="AJ982" s="44" t="s">
        <v>57</v>
      </c>
      <c r="AK982" s="33">
        <v>2050</v>
      </c>
      <c r="AL982" s="45" t="str">
        <f t="shared" si="127"/>
        <v>*0.89</v>
      </c>
      <c r="AM982" s="43" t="str">
        <f t="shared" si="129"/>
        <v>REZoning_Sol-Win</v>
      </c>
      <c r="AP982" t="s">
        <v>1856</v>
      </c>
      <c r="AQ982" t="s">
        <v>57</v>
      </c>
      <c r="AR982">
        <v>2100</v>
      </c>
      <c r="AS982" t="s">
        <v>937</v>
      </c>
      <c r="AT982" t="s">
        <v>58</v>
      </c>
    </row>
    <row r="983" ht="29" spans="1:46">
      <c r="A983" s="31" t="s">
        <v>73</v>
      </c>
      <c r="C983" t="s">
        <v>1857</v>
      </c>
      <c r="D983" s="5" t="s">
        <v>57</v>
      </c>
      <c r="E983">
        <v>2035</v>
      </c>
      <c r="F983" s="6" t="str">
        <f t="shared" si="122"/>
        <v>*0.95</v>
      </c>
      <c r="H983" t="s">
        <v>1857</v>
      </c>
      <c r="I983" s="5" t="s">
        <v>57</v>
      </c>
      <c r="J983">
        <v>2050</v>
      </c>
      <c r="K983" s="38" t="str">
        <f t="shared" si="123"/>
        <v>*0.93</v>
      </c>
      <c r="P983" s="32" t="s">
        <v>1857</v>
      </c>
      <c r="Q983" s="42" t="s">
        <v>57</v>
      </c>
      <c r="R983" s="32">
        <v>2035</v>
      </c>
      <c r="S983" s="43" t="str">
        <f t="shared" si="124"/>
        <v>*0.95</v>
      </c>
      <c r="U983" s="32" t="s">
        <v>1857</v>
      </c>
      <c r="V983" s="42" t="s">
        <v>57</v>
      </c>
      <c r="W983" s="32">
        <v>2050</v>
      </c>
      <c r="X983" s="43" t="str">
        <f t="shared" si="125"/>
        <v>*0.93</v>
      </c>
      <c r="AC983" s="33" t="s">
        <v>1857</v>
      </c>
      <c r="AD983" s="44" t="s">
        <v>57</v>
      </c>
      <c r="AE983" s="33">
        <v>2035</v>
      </c>
      <c r="AF983" s="45" t="str">
        <f t="shared" si="126"/>
        <v>*0.93</v>
      </c>
      <c r="AG983" s="43" t="str">
        <f t="shared" si="128"/>
        <v>REZoning_Sol-Win</v>
      </c>
      <c r="AI983" s="33" t="s">
        <v>1857</v>
      </c>
      <c r="AJ983" s="44" t="s">
        <v>57</v>
      </c>
      <c r="AK983" s="33">
        <v>2050</v>
      </c>
      <c r="AL983" s="45" t="str">
        <f t="shared" si="127"/>
        <v>*0.9</v>
      </c>
      <c r="AM983" s="43" t="str">
        <f t="shared" si="129"/>
        <v>REZoning_Sol-Win</v>
      </c>
      <c r="AP983" t="s">
        <v>1857</v>
      </c>
      <c r="AQ983" t="s">
        <v>57</v>
      </c>
      <c r="AR983">
        <v>2100</v>
      </c>
      <c r="AS983" t="s">
        <v>897</v>
      </c>
      <c r="AT983" t="s">
        <v>58</v>
      </c>
    </row>
    <row r="984" ht="29" spans="1:46">
      <c r="A984" s="31" t="s">
        <v>73</v>
      </c>
      <c r="C984" t="s">
        <v>1858</v>
      </c>
      <c r="D984" s="5" t="s">
        <v>57</v>
      </c>
      <c r="E984">
        <v>2035</v>
      </c>
      <c r="F984" s="6" t="str">
        <f t="shared" si="122"/>
        <v>*0.95</v>
      </c>
      <c r="H984" t="s">
        <v>1858</v>
      </c>
      <c r="I984" s="5" t="s">
        <v>57</v>
      </c>
      <c r="J984">
        <v>2050</v>
      </c>
      <c r="K984" s="38" t="str">
        <f t="shared" si="123"/>
        <v>*0.93</v>
      </c>
      <c r="P984" s="32" t="s">
        <v>1858</v>
      </c>
      <c r="Q984" s="42" t="s">
        <v>57</v>
      </c>
      <c r="R984" s="32">
        <v>2035</v>
      </c>
      <c r="S984" s="43" t="str">
        <f t="shared" si="124"/>
        <v>*0.95</v>
      </c>
      <c r="U984" s="32" t="s">
        <v>1858</v>
      </c>
      <c r="V984" s="42" t="s">
        <v>57</v>
      </c>
      <c r="W984" s="32">
        <v>2050</v>
      </c>
      <c r="X984" s="43" t="str">
        <f t="shared" si="125"/>
        <v>*0.93</v>
      </c>
      <c r="AC984" s="33" t="s">
        <v>1858</v>
      </c>
      <c r="AD984" s="44" t="s">
        <v>57</v>
      </c>
      <c r="AE984" s="33">
        <v>2035</v>
      </c>
      <c r="AF984" s="45" t="str">
        <f t="shared" si="126"/>
        <v>*0.93</v>
      </c>
      <c r="AG984" s="43" t="str">
        <f t="shared" si="128"/>
        <v>REZoning_Sol-Win</v>
      </c>
      <c r="AI984" s="33" t="s">
        <v>1858</v>
      </c>
      <c r="AJ984" s="44" t="s">
        <v>57</v>
      </c>
      <c r="AK984" s="33">
        <v>2050</v>
      </c>
      <c r="AL984" s="45" t="str">
        <f t="shared" si="127"/>
        <v>*0.9</v>
      </c>
      <c r="AM984" s="43" t="str">
        <f t="shared" si="129"/>
        <v>REZoning_Sol-Win</v>
      </c>
      <c r="AP984" t="s">
        <v>1858</v>
      </c>
      <c r="AQ984" t="s">
        <v>57</v>
      </c>
      <c r="AR984">
        <v>2100</v>
      </c>
      <c r="AS984" t="s">
        <v>897</v>
      </c>
      <c r="AT984" t="s">
        <v>58</v>
      </c>
    </row>
    <row r="985" ht="29" spans="1:46">
      <c r="A985" s="31" t="s">
        <v>73</v>
      </c>
      <c r="C985" t="s">
        <v>1859</v>
      </c>
      <c r="D985" s="5" t="s">
        <v>57</v>
      </c>
      <c r="E985">
        <v>2035</v>
      </c>
      <c r="F985" s="6" t="str">
        <f t="shared" si="122"/>
        <v>*0.95</v>
      </c>
      <c r="H985" t="s">
        <v>1859</v>
      </c>
      <c r="I985" s="5" t="s">
        <v>57</v>
      </c>
      <c r="J985">
        <v>2050</v>
      </c>
      <c r="K985" s="38" t="str">
        <f t="shared" si="123"/>
        <v>*0.93</v>
      </c>
      <c r="P985" s="32" t="s">
        <v>1859</v>
      </c>
      <c r="Q985" s="42" t="s">
        <v>57</v>
      </c>
      <c r="R985" s="32">
        <v>2035</v>
      </c>
      <c r="S985" s="43" t="str">
        <f t="shared" si="124"/>
        <v>*0.95</v>
      </c>
      <c r="U985" s="32" t="s">
        <v>1859</v>
      </c>
      <c r="V985" s="42" t="s">
        <v>57</v>
      </c>
      <c r="W985" s="32">
        <v>2050</v>
      </c>
      <c r="X985" s="43" t="str">
        <f t="shared" si="125"/>
        <v>*0.93</v>
      </c>
      <c r="AC985" s="33" t="s">
        <v>1859</v>
      </c>
      <c r="AD985" s="44" t="s">
        <v>57</v>
      </c>
      <c r="AE985" s="33">
        <v>2035</v>
      </c>
      <c r="AF985" s="45" t="str">
        <f t="shared" si="126"/>
        <v>*0.93</v>
      </c>
      <c r="AG985" s="43" t="str">
        <f t="shared" si="128"/>
        <v>REZoning_Sol-Win</v>
      </c>
      <c r="AI985" s="33" t="s">
        <v>1859</v>
      </c>
      <c r="AJ985" s="44" t="s">
        <v>57</v>
      </c>
      <c r="AK985" s="33">
        <v>2050</v>
      </c>
      <c r="AL985" s="45" t="str">
        <f t="shared" si="127"/>
        <v>*0.9</v>
      </c>
      <c r="AM985" s="43" t="str">
        <f t="shared" si="129"/>
        <v>REZoning_Sol-Win</v>
      </c>
      <c r="AP985" t="s">
        <v>1859</v>
      </c>
      <c r="AQ985" t="s">
        <v>57</v>
      </c>
      <c r="AR985">
        <v>2100</v>
      </c>
      <c r="AS985" t="s">
        <v>897</v>
      </c>
      <c r="AT985" t="s">
        <v>58</v>
      </c>
    </row>
    <row r="986" ht="29" spans="1:46">
      <c r="A986" s="31" t="s">
        <v>73</v>
      </c>
      <c r="C986" t="s">
        <v>1860</v>
      </c>
      <c r="D986" s="5" t="s">
        <v>57</v>
      </c>
      <c r="E986">
        <v>2035</v>
      </c>
      <c r="F986" s="6" t="str">
        <f t="shared" si="122"/>
        <v>*0.95</v>
      </c>
      <c r="H986" t="s">
        <v>1860</v>
      </c>
      <c r="I986" s="5" t="s">
        <v>57</v>
      </c>
      <c r="J986">
        <v>2050</v>
      </c>
      <c r="K986" s="38" t="str">
        <f t="shared" si="123"/>
        <v>*0.93</v>
      </c>
      <c r="P986" s="32" t="s">
        <v>1860</v>
      </c>
      <c r="Q986" s="42" t="s">
        <v>57</v>
      </c>
      <c r="R986" s="32">
        <v>2035</v>
      </c>
      <c r="S986" s="43" t="str">
        <f t="shared" si="124"/>
        <v>*0.95</v>
      </c>
      <c r="U986" s="32" t="s">
        <v>1860</v>
      </c>
      <c r="V986" s="42" t="s">
        <v>57</v>
      </c>
      <c r="W986" s="32">
        <v>2050</v>
      </c>
      <c r="X986" s="43" t="str">
        <f t="shared" si="125"/>
        <v>*0.93</v>
      </c>
      <c r="AC986" s="33" t="s">
        <v>1860</v>
      </c>
      <c r="AD986" s="44" t="s">
        <v>57</v>
      </c>
      <c r="AE986" s="33">
        <v>2035</v>
      </c>
      <c r="AF986" s="45" t="str">
        <f t="shared" si="126"/>
        <v>*0.93</v>
      </c>
      <c r="AG986" s="43" t="str">
        <f t="shared" si="128"/>
        <v>REZoning_Sol-Win</v>
      </c>
      <c r="AI986" s="33" t="s">
        <v>1860</v>
      </c>
      <c r="AJ986" s="44" t="s">
        <v>57</v>
      </c>
      <c r="AK986" s="33">
        <v>2050</v>
      </c>
      <c r="AL986" s="45" t="str">
        <f t="shared" si="127"/>
        <v>*0.9</v>
      </c>
      <c r="AM986" s="43" t="str">
        <f t="shared" si="129"/>
        <v>REZoning_Sol-Win</v>
      </c>
      <c r="AP986" t="s">
        <v>1860</v>
      </c>
      <c r="AQ986" t="s">
        <v>57</v>
      </c>
      <c r="AR986">
        <v>2100</v>
      </c>
      <c r="AS986" t="s">
        <v>897</v>
      </c>
      <c r="AT986" t="s">
        <v>58</v>
      </c>
    </row>
    <row r="987" ht="29" spans="1:46">
      <c r="A987" s="31" t="s">
        <v>73</v>
      </c>
      <c r="C987" t="s">
        <v>1861</v>
      </c>
      <c r="D987" s="5" t="s">
        <v>57</v>
      </c>
      <c r="E987">
        <v>2035</v>
      </c>
      <c r="F987" s="6" t="str">
        <f t="shared" si="122"/>
        <v>*0.95</v>
      </c>
      <c r="H987" t="s">
        <v>1861</v>
      </c>
      <c r="I987" s="5" t="s">
        <v>57</v>
      </c>
      <c r="J987">
        <v>2050</v>
      </c>
      <c r="K987" s="38" t="str">
        <f t="shared" si="123"/>
        <v>*0.93</v>
      </c>
      <c r="P987" s="32" t="s">
        <v>1861</v>
      </c>
      <c r="Q987" s="42" t="s">
        <v>57</v>
      </c>
      <c r="R987" s="32">
        <v>2035</v>
      </c>
      <c r="S987" s="43" t="str">
        <f t="shared" si="124"/>
        <v>*0.95</v>
      </c>
      <c r="U987" s="32" t="s">
        <v>1861</v>
      </c>
      <c r="V987" s="42" t="s">
        <v>57</v>
      </c>
      <c r="W987" s="32">
        <v>2050</v>
      </c>
      <c r="X987" s="43" t="str">
        <f t="shared" si="125"/>
        <v>*0.93</v>
      </c>
      <c r="AC987" s="33" t="s">
        <v>1861</v>
      </c>
      <c r="AD987" s="44" t="s">
        <v>57</v>
      </c>
      <c r="AE987" s="33">
        <v>2035</v>
      </c>
      <c r="AF987" s="45" t="str">
        <f t="shared" si="126"/>
        <v>*0.93</v>
      </c>
      <c r="AG987" s="43" t="str">
        <f t="shared" si="128"/>
        <v>REZoning_Sol-Win</v>
      </c>
      <c r="AI987" s="33" t="s">
        <v>1861</v>
      </c>
      <c r="AJ987" s="44" t="s">
        <v>57</v>
      </c>
      <c r="AK987" s="33">
        <v>2050</v>
      </c>
      <c r="AL987" s="45" t="str">
        <f t="shared" si="127"/>
        <v>*0.9</v>
      </c>
      <c r="AM987" s="43" t="str">
        <f t="shared" si="129"/>
        <v>REZoning_Sol-Win</v>
      </c>
      <c r="AP987" t="s">
        <v>1861</v>
      </c>
      <c r="AQ987" t="s">
        <v>57</v>
      </c>
      <c r="AR987">
        <v>2100</v>
      </c>
      <c r="AS987" t="s">
        <v>897</v>
      </c>
      <c r="AT987" t="s">
        <v>58</v>
      </c>
    </row>
    <row r="988" ht="29" spans="1:46">
      <c r="A988" s="31" t="s">
        <v>73</v>
      </c>
      <c r="C988" t="s">
        <v>1862</v>
      </c>
      <c r="D988" s="5" t="s">
        <v>57</v>
      </c>
      <c r="E988">
        <v>2035</v>
      </c>
      <c r="F988" s="6" t="str">
        <f t="shared" si="122"/>
        <v>*0.95</v>
      </c>
      <c r="H988" t="s">
        <v>1862</v>
      </c>
      <c r="I988" s="5" t="s">
        <v>57</v>
      </c>
      <c r="J988">
        <v>2050</v>
      </c>
      <c r="K988" s="38" t="str">
        <f t="shared" si="123"/>
        <v>*0.93</v>
      </c>
      <c r="P988" s="32" t="s">
        <v>1862</v>
      </c>
      <c r="Q988" s="42" t="s">
        <v>57</v>
      </c>
      <c r="R988" s="32">
        <v>2035</v>
      </c>
      <c r="S988" s="43" t="str">
        <f t="shared" si="124"/>
        <v>*0.95</v>
      </c>
      <c r="U988" s="32" t="s">
        <v>1862</v>
      </c>
      <c r="V988" s="42" t="s">
        <v>57</v>
      </c>
      <c r="W988" s="32">
        <v>2050</v>
      </c>
      <c r="X988" s="43" t="str">
        <f t="shared" si="125"/>
        <v>*0.93</v>
      </c>
      <c r="AC988" s="33" t="s">
        <v>1862</v>
      </c>
      <c r="AD988" s="44" t="s">
        <v>57</v>
      </c>
      <c r="AE988" s="33">
        <v>2035</v>
      </c>
      <c r="AF988" s="45" t="str">
        <f t="shared" si="126"/>
        <v>*0.93</v>
      </c>
      <c r="AG988" s="43" t="str">
        <f t="shared" si="128"/>
        <v>REZoning_Sol-Win</v>
      </c>
      <c r="AI988" s="33" t="s">
        <v>1862</v>
      </c>
      <c r="AJ988" s="44" t="s">
        <v>57</v>
      </c>
      <c r="AK988" s="33">
        <v>2050</v>
      </c>
      <c r="AL988" s="45" t="str">
        <f t="shared" si="127"/>
        <v>*0.9</v>
      </c>
      <c r="AM988" s="43" t="str">
        <f t="shared" si="129"/>
        <v>REZoning_Sol-Win</v>
      </c>
      <c r="AP988" t="s">
        <v>1862</v>
      </c>
      <c r="AQ988" t="s">
        <v>57</v>
      </c>
      <c r="AR988">
        <v>2100</v>
      </c>
      <c r="AS988" t="s">
        <v>897</v>
      </c>
      <c r="AT988" t="s">
        <v>58</v>
      </c>
    </row>
    <row r="989" ht="29" spans="1:46">
      <c r="A989" s="31" t="s">
        <v>73</v>
      </c>
      <c r="C989" t="s">
        <v>1863</v>
      </c>
      <c r="D989" s="5" t="s">
        <v>57</v>
      </c>
      <c r="E989">
        <v>2035</v>
      </c>
      <c r="F989" s="6" t="str">
        <f t="shared" si="122"/>
        <v>*0.95</v>
      </c>
      <c r="H989" t="s">
        <v>1863</v>
      </c>
      <c r="I989" s="5" t="s">
        <v>57</v>
      </c>
      <c r="J989">
        <v>2050</v>
      </c>
      <c r="K989" s="38" t="str">
        <f t="shared" si="123"/>
        <v>*0.93</v>
      </c>
      <c r="P989" s="32" t="s">
        <v>1863</v>
      </c>
      <c r="Q989" s="42" t="s">
        <v>57</v>
      </c>
      <c r="R989" s="32">
        <v>2035</v>
      </c>
      <c r="S989" s="43" t="str">
        <f t="shared" si="124"/>
        <v>*0.95</v>
      </c>
      <c r="U989" s="32" t="s">
        <v>1863</v>
      </c>
      <c r="V989" s="42" t="s">
        <v>57</v>
      </c>
      <c r="W989" s="32">
        <v>2050</v>
      </c>
      <c r="X989" s="43" t="str">
        <f t="shared" si="125"/>
        <v>*0.93</v>
      </c>
      <c r="AC989" s="33" t="s">
        <v>1863</v>
      </c>
      <c r="AD989" s="44" t="s">
        <v>57</v>
      </c>
      <c r="AE989" s="33">
        <v>2035</v>
      </c>
      <c r="AF989" s="45" t="str">
        <f t="shared" si="126"/>
        <v>*0.93</v>
      </c>
      <c r="AG989" s="43" t="str">
        <f t="shared" si="128"/>
        <v>REZoning_Sol-Win</v>
      </c>
      <c r="AI989" s="33" t="s">
        <v>1863</v>
      </c>
      <c r="AJ989" s="44" t="s">
        <v>57</v>
      </c>
      <c r="AK989" s="33">
        <v>2050</v>
      </c>
      <c r="AL989" s="45" t="str">
        <f t="shared" si="127"/>
        <v>*0.9</v>
      </c>
      <c r="AM989" s="43" t="str">
        <f t="shared" si="129"/>
        <v>REZoning_Sol-Win</v>
      </c>
      <c r="AP989" t="s">
        <v>1863</v>
      </c>
      <c r="AQ989" t="s">
        <v>57</v>
      </c>
      <c r="AR989">
        <v>2100</v>
      </c>
      <c r="AS989" t="s">
        <v>897</v>
      </c>
      <c r="AT989" t="s">
        <v>58</v>
      </c>
    </row>
    <row r="990" ht="29" spans="1:46">
      <c r="A990" s="31" t="s">
        <v>73</v>
      </c>
      <c r="C990" t="s">
        <v>1864</v>
      </c>
      <c r="D990" s="5" t="s">
        <v>57</v>
      </c>
      <c r="E990">
        <v>2035</v>
      </c>
      <c r="F990" s="6" t="str">
        <f t="shared" si="122"/>
        <v>*0.95</v>
      </c>
      <c r="H990" t="s">
        <v>1864</v>
      </c>
      <c r="I990" s="5" t="s">
        <v>57</v>
      </c>
      <c r="J990">
        <v>2050</v>
      </c>
      <c r="K990" s="38" t="str">
        <f t="shared" si="123"/>
        <v>*0.93</v>
      </c>
      <c r="P990" s="32" t="s">
        <v>1864</v>
      </c>
      <c r="Q990" s="42" t="s">
        <v>57</v>
      </c>
      <c r="R990" s="32">
        <v>2035</v>
      </c>
      <c r="S990" s="43" t="str">
        <f t="shared" si="124"/>
        <v>*0.95</v>
      </c>
      <c r="U990" s="32" t="s">
        <v>1864</v>
      </c>
      <c r="V990" s="42" t="s">
        <v>57</v>
      </c>
      <c r="W990" s="32">
        <v>2050</v>
      </c>
      <c r="X990" s="43" t="str">
        <f t="shared" si="125"/>
        <v>*0.93</v>
      </c>
      <c r="AC990" s="33" t="s">
        <v>1864</v>
      </c>
      <c r="AD990" s="44" t="s">
        <v>57</v>
      </c>
      <c r="AE990" s="33">
        <v>2035</v>
      </c>
      <c r="AF990" s="45" t="str">
        <f t="shared" si="126"/>
        <v>*0.93</v>
      </c>
      <c r="AG990" s="43" t="str">
        <f t="shared" si="128"/>
        <v>REZoning_Sol-Win</v>
      </c>
      <c r="AI990" s="33" t="s">
        <v>1864</v>
      </c>
      <c r="AJ990" s="44" t="s">
        <v>57</v>
      </c>
      <c r="AK990" s="33">
        <v>2050</v>
      </c>
      <c r="AL990" s="45" t="str">
        <f t="shared" si="127"/>
        <v>*0.9</v>
      </c>
      <c r="AM990" s="43" t="str">
        <f t="shared" si="129"/>
        <v>REZoning_Sol-Win</v>
      </c>
      <c r="AP990" t="s">
        <v>1864</v>
      </c>
      <c r="AQ990" t="s">
        <v>57</v>
      </c>
      <c r="AR990">
        <v>2100</v>
      </c>
      <c r="AS990" t="s">
        <v>897</v>
      </c>
      <c r="AT990" t="s">
        <v>58</v>
      </c>
    </row>
    <row r="991" ht="29" spans="1:46">
      <c r="A991" s="31" t="s">
        <v>73</v>
      </c>
      <c r="C991" t="s">
        <v>1865</v>
      </c>
      <c r="D991" s="5" t="s">
        <v>57</v>
      </c>
      <c r="E991">
        <v>2035</v>
      </c>
      <c r="F991" s="6" t="str">
        <f t="shared" si="122"/>
        <v>*0.95</v>
      </c>
      <c r="H991" t="s">
        <v>1865</v>
      </c>
      <c r="I991" s="5" t="s">
        <v>57</v>
      </c>
      <c r="J991">
        <v>2050</v>
      </c>
      <c r="K991" s="38" t="str">
        <f t="shared" si="123"/>
        <v>*0.93</v>
      </c>
      <c r="P991" s="32" t="s">
        <v>1865</v>
      </c>
      <c r="Q991" s="42" t="s">
        <v>57</v>
      </c>
      <c r="R991" s="32">
        <v>2035</v>
      </c>
      <c r="S991" s="43" t="str">
        <f t="shared" si="124"/>
        <v>*0.95</v>
      </c>
      <c r="U991" s="32" t="s">
        <v>1865</v>
      </c>
      <c r="V991" s="42" t="s">
        <v>57</v>
      </c>
      <c r="W991" s="32">
        <v>2050</v>
      </c>
      <c r="X991" s="43" t="str">
        <f t="shared" si="125"/>
        <v>*0.93</v>
      </c>
      <c r="AC991" s="33" t="s">
        <v>1865</v>
      </c>
      <c r="AD991" s="44" t="s">
        <v>57</v>
      </c>
      <c r="AE991" s="33">
        <v>2035</v>
      </c>
      <c r="AF991" s="45" t="str">
        <f t="shared" si="126"/>
        <v>*0.93</v>
      </c>
      <c r="AG991" s="43" t="str">
        <f t="shared" si="128"/>
        <v>REZoning_Sol-Win</v>
      </c>
      <c r="AI991" s="33" t="s">
        <v>1865</v>
      </c>
      <c r="AJ991" s="44" t="s">
        <v>57</v>
      </c>
      <c r="AK991" s="33">
        <v>2050</v>
      </c>
      <c r="AL991" s="45" t="str">
        <f t="shared" si="127"/>
        <v>*0.9</v>
      </c>
      <c r="AM991" s="43" t="str">
        <f t="shared" si="129"/>
        <v>REZoning_Sol-Win</v>
      </c>
      <c r="AP991" t="s">
        <v>1865</v>
      </c>
      <c r="AQ991" t="s">
        <v>57</v>
      </c>
      <c r="AR991">
        <v>2100</v>
      </c>
      <c r="AS991" t="s">
        <v>897</v>
      </c>
      <c r="AT991" t="s">
        <v>58</v>
      </c>
    </row>
    <row r="992" ht="29" spans="1:46">
      <c r="A992" s="31" t="s">
        <v>73</v>
      </c>
      <c r="C992" t="s">
        <v>1866</v>
      </c>
      <c r="D992" s="5" t="s">
        <v>57</v>
      </c>
      <c r="E992">
        <v>2035</v>
      </c>
      <c r="F992" s="6" t="str">
        <f t="shared" si="122"/>
        <v>*0.95</v>
      </c>
      <c r="H992" t="s">
        <v>1866</v>
      </c>
      <c r="I992" s="5" t="s">
        <v>57</v>
      </c>
      <c r="J992">
        <v>2050</v>
      </c>
      <c r="K992" s="38" t="str">
        <f t="shared" si="123"/>
        <v>*0.93</v>
      </c>
      <c r="P992" s="32" t="s">
        <v>1866</v>
      </c>
      <c r="Q992" s="42" t="s">
        <v>57</v>
      </c>
      <c r="R992" s="32">
        <v>2035</v>
      </c>
      <c r="S992" s="43" t="str">
        <f t="shared" si="124"/>
        <v>*0.95</v>
      </c>
      <c r="U992" s="32" t="s">
        <v>1866</v>
      </c>
      <c r="V992" s="42" t="s">
        <v>57</v>
      </c>
      <c r="W992" s="32">
        <v>2050</v>
      </c>
      <c r="X992" s="43" t="str">
        <f t="shared" si="125"/>
        <v>*0.93</v>
      </c>
      <c r="AC992" s="33" t="s">
        <v>1866</v>
      </c>
      <c r="AD992" s="44" t="s">
        <v>57</v>
      </c>
      <c r="AE992" s="33">
        <v>2035</v>
      </c>
      <c r="AF992" s="45" t="str">
        <f t="shared" si="126"/>
        <v>*0.93</v>
      </c>
      <c r="AG992" s="43" t="str">
        <f t="shared" si="128"/>
        <v>REZoning_Sol-Win</v>
      </c>
      <c r="AI992" s="33" t="s">
        <v>1866</v>
      </c>
      <c r="AJ992" s="44" t="s">
        <v>57</v>
      </c>
      <c r="AK992" s="33">
        <v>2050</v>
      </c>
      <c r="AL992" s="45" t="str">
        <f t="shared" si="127"/>
        <v>*0.9</v>
      </c>
      <c r="AM992" s="43" t="str">
        <f t="shared" si="129"/>
        <v>REZoning_Sol-Win</v>
      </c>
      <c r="AP992" t="s">
        <v>1866</v>
      </c>
      <c r="AQ992" t="s">
        <v>57</v>
      </c>
      <c r="AR992">
        <v>2100</v>
      </c>
      <c r="AS992" t="s">
        <v>897</v>
      </c>
      <c r="AT992" t="s">
        <v>58</v>
      </c>
    </row>
    <row r="993" ht="29" spans="1:46">
      <c r="A993" s="31" t="s">
        <v>73</v>
      </c>
      <c r="C993" t="s">
        <v>1867</v>
      </c>
      <c r="D993" s="5" t="s">
        <v>57</v>
      </c>
      <c r="E993">
        <v>2035</v>
      </c>
      <c r="F993" s="6" t="str">
        <f t="shared" si="122"/>
        <v>*0.95</v>
      </c>
      <c r="H993" t="s">
        <v>1867</v>
      </c>
      <c r="I993" s="5" t="s">
        <v>57</v>
      </c>
      <c r="J993">
        <v>2050</v>
      </c>
      <c r="K993" s="38" t="str">
        <f t="shared" si="123"/>
        <v>*0.93</v>
      </c>
      <c r="P993" s="32" t="s">
        <v>1867</v>
      </c>
      <c r="Q993" s="42" t="s">
        <v>57</v>
      </c>
      <c r="R993" s="32">
        <v>2035</v>
      </c>
      <c r="S993" s="43" t="str">
        <f t="shared" si="124"/>
        <v>*0.95</v>
      </c>
      <c r="U993" s="32" t="s">
        <v>1867</v>
      </c>
      <c r="V993" s="42" t="s">
        <v>57</v>
      </c>
      <c r="W993" s="32">
        <v>2050</v>
      </c>
      <c r="X993" s="43" t="str">
        <f t="shared" si="125"/>
        <v>*0.93</v>
      </c>
      <c r="AC993" s="33" t="s">
        <v>1867</v>
      </c>
      <c r="AD993" s="44" t="s">
        <v>57</v>
      </c>
      <c r="AE993" s="33">
        <v>2035</v>
      </c>
      <c r="AF993" s="45" t="str">
        <f t="shared" si="126"/>
        <v>*0.93</v>
      </c>
      <c r="AG993" s="43" t="str">
        <f t="shared" si="128"/>
        <v>REZoning_Sol-Win</v>
      </c>
      <c r="AI993" s="33" t="s">
        <v>1867</v>
      </c>
      <c r="AJ993" s="44" t="s">
        <v>57</v>
      </c>
      <c r="AK993" s="33">
        <v>2050</v>
      </c>
      <c r="AL993" s="45" t="str">
        <f t="shared" si="127"/>
        <v>*0.9</v>
      </c>
      <c r="AM993" s="43" t="str">
        <f t="shared" si="129"/>
        <v>REZoning_Sol-Win</v>
      </c>
      <c r="AP993" t="s">
        <v>1867</v>
      </c>
      <c r="AQ993" t="s">
        <v>57</v>
      </c>
      <c r="AR993">
        <v>2100</v>
      </c>
      <c r="AS993" t="s">
        <v>897</v>
      </c>
      <c r="AT993" t="s">
        <v>58</v>
      </c>
    </row>
    <row r="994" ht="29" spans="1:46">
      <c r="A994" s="31" t="s">
        <v>73</v>
      </c>
      <c r="C994" t="s">
        <v>1868</v>
      </c>
      <c r="D994" s="5" t="s">
        <v>57</v>
      </c>
      <c r="E994">
        <v>2035</v>
      </c>
      <c r="F994" s="6" t="str">
        <f t="shared" si="122"/>
        <v>*0.95</v>
      </c>
      <c r="H994" t="s">
        <v>1868</v>
      </c>
      <c r="I994" s="5" t="s">
        <v>57</v>
      </c>
      <c r="J994">
        <v>2050</v>
      </c>
      <c r="K994" s="38" t="str">
        <f t="shared" si="123"/>
        <v>*0.93</v>
      </c>
      <c r="P994" s="32" t="s">
        <v>1868</v>
      </c>
      <c r="Q994" s="42" t="s">
        <v>57</v>
      </c>
      <c r="R994" s="32">
        <v>2035</v>
      </c>
      <c r="S994" s="43" t="str">
        <f t="shared" si="124"/>
        <v>*0.95</v>
      </c>
      <c r="U994" s="32" t="s">
        <v>1868</v>
      </c>
      <c r="V994" s="42" t="s">
        <v>57</v>
      </c>
      <c r="W994" s="32">
        <v>2050</v>
      </c>
      <c r="X994" s="43" t="str">
        <f t="shared" si="125"/>
        <v>*0.93</v>
      </c>
      <c r="AC994" s="33" t="s">
        <v>1868</v>
      </c>
      <c r="AD994" s="44" t="s">
        <v>57</v>
      </c>
      <c r="AE994" s="33">
        <v>2035</v>
      </c>
      <c r="AF994" s="45" t="str">
        <f t="shared" si="126"/>
        <v>*0.93</v>
      </c>
      <c r="AG994" s="43" t="str">
        <f t="shared" si="128"/>
        <v>REZoning_Sol-Win</v>
      </c>
      <c r="AI994" s="33" t="s">
        <v>1868</v>
      </c>
      <c r="AJ994" s="44" t="s">
        <v>57</v>
      </c>
      <c r="AK994" s="33">
        <v>2050</v>
      </c>
      <c r="AL994" s="45" t="str">
        <f t="shared" si="127"/>
        <v>*0.9</v>
      </c>
      <c r="AM994" s="43" t="str">
        <f t="shared" si="129"/>
        <v>REZoning_Sol-Win</v>
      </c>
      <c r="AP994" t="s">
        <v>1868</v>
      </c>
      <c r="AQ994" t="s">
        <v>57</v>
      </c>
      <c r="AR994">
        <v>2100</v>
      </c>
      <c r="AS994" t="s">
        <v>897</v>
      </c>
      <c r="AT994" t="s">
        <v>58</v>
      </c>
    </row>
    <row r="995" ht="29" spans="1:46">
      <c r="A995" s="31" t="s">
        <v>73</v>
      </c>
      <c r="C995" t="s">
        <v>1869</v>
      </c>
      <c r="D995" s="5" t="s">
        <v>57</v>
      </c>
      <c r="E995">
        <v>2035</v>
      </c>
      <c r="F995" s="6" t="str">
        <f t="shared" si="122"/>
        <v>*0.95</v>
      </c>
      <c r="H995" t="s">
        <v>1869</v>
      </c>
      <c r="I995" s="5" t="s">
        <v>57</v>
      </c>
      <c r="J995">
        <v>2050</v>
      </c>
      <c r="K995" s="38" t="str">
        <f t="shared" si="123"/>
        <v>*0.93</v>
      </c>
      <c r="P995" s="32" t="s">
        <v>1869</v>
      </c>
      <c r="Q995" s="42" t="s">
        <v>57</v>
      </c>
      <c r="R995" s="32">
        <v>2035</v>
      </c>
      <c r="S995" s="43" t="str">
        <f t="shared" si="124"/>
        <v>*0.95</v>
      </c>
      <c r="U995" s="32" t="s">
        <v>1869</v>
      </c>
      <c r="V995" s="42" t="s">
        <v>57</v>
      </c>
      <c r="W995" s="32">
        <v>2050</v>
      </c>
      <c r="X995" s="43" t="str">
        <f t="shared" si="125"/>
        <v>*0.93</v>
      </c>
      <c r="AC995" s="33" t="s">
        <v>1869</v>
      </c>
      <c r="AD995" s="44" t="s">
        <v>57</v>
      </c>
      <c r="AE995" s="33">
        <v>2035</v>
      </c>
      <c r="AF995" s="45" t="str">
        <f t="shared" si="126"/>
        <v>*0.93</v>
      </c>
      <c r="AG995" s="43" t="str">
        <f t="shared" si="128"/>
        <v>REZoning_Sol-Win</v>
      </c>
      <c r="AI995" s="33" t="s">
        <v>1869</v>
      </c>
      <c r="AJ995" s="44" t="s">
        <v>57</v>
      </c>
      <c r="AK995" s="33">
        <v>2050</v>
      </c>
      <c r="AL995" s="45" t="str">
        <f t="shared" si="127"/>
        <v>*0.9</v>
      </c>
      <c r="AM995" s="43" t="str">
        <f t="shared" si="129"/>
        <v>REZoning_Sol-Win</v>
      </c>
      <c r="AP995" t="s">
        <v>1869</v>
      </c>
      <c r="AQ995" t="s">
        <v>57</v>
      </c>
      <c r="AR995">
        <v>2100</v>
      </c>
      <c r="AS995" t="s">
        <v>897</v>
      </c>
      <c r="AT995" t="s">
        <v>58</v>
      </c>
    </row>
    <row r="996" ht="29" spans="1:46">
      <c r="A996" s="31" t="s">
        <v>73</v>
      </c>
      <c r="C996" t="s">
        <v>1870</v>
      </c>
      <c r="D996" s="5" t="s">
        <v>57</v>
      </c>
      <c r="E996">
        <v>2035</v>
      </c>
      <c r="F996" s="6" t="str">
        <f t="shared" si="122"/>
        <v>*0.95</v>
      </c>
      <c r="H996" t="s">
        <v>1870</v>
      </c>
      <c r="I996" s="5" t="s">
        <v>57</v>
      </c>
      <c r="J996">
        <v>2050</v>
      </c>
      <c r="K996" s="38" t="str">
        <f t="shared" si="123"/>
        <v>*0.93</v>
      </c>
      <c r="P996" s="32" t="s">
        <v>1870</v>
      </c>
      <c r="Q996" s="42" t="s">
        <v>57</v>
      </c>
      <c r="R996" s="32">
        <v>2035</v>
      </c>
      <c r="S996" s="43" t="str">
        <f t="shared" si="124"/>
        <v>*0.95</v>
      </c>
      <c r="U996" s="32" t="s">
        <v>1870</v>
      </c>
      <c r="V996" s="42" t="s">
        <v>57</v>
      </c>
      <c r="W996" s="32">
        <v>2050</v>
      </c>
      <c r="X996" s="43" t="str">
        <f t="shared" si="125"/>
        <v>*0.93</v>
      </c>
      <c r="AC996" s="33" t="s">
        <v>1870</v>
      </c>
      <c r="AD996" s="44" t="s">
        <v>57</v>
      </c>
      <c r="AE996" s="33">
        <v>2035</v>
      </c>
      <c r="AF996" s="45" t="str">
        <f t="shared" si="126"/>
        <v>*0.93</v>
      </c>
      <c r="AG996" s="43" t="str">
        <f t="shared" si="128"/>
        <v>REZoning_Sol-Win</v>
      </c>
      <c r="AI996" s="33" t="s">
        <v>1870</v>
      </c>
      <c r="AJ996" s="44" t="s">
        <v>57</v>
      </c>
      <c r="AK996" s="33">
        <v>2050</v>
      </c>
      <c r="AL996" s="45" t="str">
        <f t="shared" si="127"/>
        <v>*0.9</v>
      </c>
      <c r="AM996" s="43" t="str">
        <f t="shared" si="129"/>
        <v>REZoning_Sol-Win</v>
      </c>
      <c r="AP996" t="s">
        <v>1870</v>
      </c>
      <c r="AQ996" t="s">
        <v>57</v>
      </c>
      <c r="AR996">
        <v>2100</v>
      </c>
      <c r="AS996" t="s">
        <v>897</v>
      </c>
      <c r="AT996" t="s">
        <v>58</v>
      </c>
    </row>
    <row r="997" ht="29" spans="1:46">
      <c r="A997" s="31" t="s">
        <v>73</v>
      </c>
      <c r="C997" t="s">
        <v>1871</v>
      </c>
      <c r="D997" s="5" t="s">
        <v>57</v>
      </c>
      <c r="E997">
        <v>2035</v>
      </c>
      <c r="F997" s="6" t="str">
        <f t="shared" si="122"/>
        <v>*0.95</v>
      </c>
      <c r="H997" t="s">
        <v>1871</v>
      </c>
      <c r="I997" s="5" t="s">
        <v>57</v>
      </c>
      <c r="J997">
        <v>2050</v>
      </c>
      <c r="K997" s="38" t="str">
        <f t="shared" si="123"/>
        <v>*0.93</v>
      </c>
      <c r="P997" s="32" t="s">
        <v>1871</v>
      </c>
      <c r="Q997" s="42" t="s">
        <v>57</v>
      </c>
      <c r="R997" s="32">
        <v>2035</v>
      </c>
      <c r="S997" s="43" t="str">
        <f t="shared" si="124"/>
        <v>*0.95</v>
      </c>
      <c r="U997" s="32" t="s">
        <v>1871</v>
      </c>
      <c r="V997" s="42" t="s">
        <v>57</v>
      </c>
      <c r="W997" s="32">
        <v>2050</v>
      </c>
      <c r="X997" s="43" t="str">
        <f t="shared" si="125"/>
        <v>*0.93</v>
      </c>
      <c r="AC997" s="33" t="s">
        <v>1871</v>
      </c>
      <c r="AD997" s="44" t="s">
        <v>57</v>
      </c>
      <c r="AE997" s="33">
        <v>2035</v>
      </c>
      <c r="AF997" s="45" t="str">
        <f t="shared" si="126"/>
        <v>*0.93</v>
      </c>
      <c r="AG997" s="43" t="str">
        <f t="shared" si="128"/>
        <v>REZoning_Sol-Win</v>
      </c>
      <c r="AI997" s="33" t="s">
        <v>1871</v>
      </c>
      <c r="AJ997" s="44" t="s">
        <v>57</v>
      </c>
      <c r="AK997" s="33">
        <v>2050</v>
      </c>
      <c r="AL997" s="45" t="str">
        <f t="shared" si="127"/>
        <v>*0.9</v>
      </c>
      <c r="AM997" s="43" t="str">
        <f t="shared" si="129"/>
        <v>REZoning_Sol-Win</v>
      </c>
      <c r="AP997" t="s">
        <v>1871</v>
      </c>
      <c r="AQ997" t="s">
        <v>57</v>
      </c>
      <c r="AR997">
        <v>2100</v>
      </c>
      <c r="AS997" t="s">
        <v>897</v>
      </c>
      <c r="AT997" t="s">
        <v>58</v>
      </c>
    </row>
    <row r="998" ht="29" spans="1:46">
      <c r="A998" s="31" t="s">
        <v>169</v>
      </c>
      <c r="C998" t="s">
        <v>1872</v>
      </c>
      <c r="D998" s="5" t="s">
        <v>57</v>
      </c>
      <c r="E998">
        <v>2035</v>
      </c>
      <c r="F998" s="6" t="str">
        <f t="shared" si="122"/>
        <v>*0.94</v>
      </c>
      <c r="H998" t="s">
        <v>1872</v>
      </c>
      <c r="I998" s="5" t="s">
        <v>57</v>
      </c>
      <c r="J998">
        <v>2050</v>
      </c>
      <c r="K998" s="38" t="str">
        <f t="shared" si="123"/>
        <v>*0.92</v>
      </c>
      <c r="P998" s="32" t="s">
        <v>1872</v>
      </c>
      <c r="Q998" s="42" t="s">
        <v>57</v>
      </c>
      <c r="R998" s="32">
        <v>2035</v>
      </c>
      <c r="S998" s="43" t="str">
        <f t="shared" si="124"/>
        <v>*0.93</v>
      </c>
      <c r="U998" s="32" t="s">
        <v>1872</v>
      </c>
      <c r="V998" s="42" t="s">
        <v>57</v>
      </c>
      <c r="W998" s="32">
        <v>2050</v>
      </c>
      <c r="X998" s="43" t="str">
        <f t="shared" si="125"/>
        <v>*0.92</v>
      </c>
      <c r="AC998" s="33" t="s">
        <v>1872</v>
      </c>
      <c r="AD998" s="44" t="s">
        <v>57</v>
      </c>
      <c r="AE998" s="33">
        <v>2035</v>
      </c>
      <c r="AF998" s="45" t="str">
        <f t="shared" si="126"/>
        <v>*0.91</v>
      </c>
      <c r="AG998" s="43" t="str">
        <f t="shared" si="128"/>
        <v>REZoning_Sol-Win</v>
      </c>
      <c r="AI998" s="33" t="s">
        <v>1872</v>
      </c>
      <c r="AJ998" s="44" t="s">
        <v>57</v>
      </c>
      <c r="AK998" s="33">
        <v>2050</v>
      </c>
      <c r="AL998" s="45" t="str">
        <f t="shared" si="127"/>
        <v>*0.87</v>
      </c>
      <c r="AM998" s="43" t="str">
        <f t="shared" si="129"/>
        <v>REZoning_Sol-Win</v>
      </c>
      <c r="AP998" t="s">
        <v>1872</v>
      </c>
      <c r="AQ998" t="s">
        <v>57</v>
      </c>
      <c r="AR998">
        <v>2100</v>
      </c>
      <c r="AS998" t="s">
        <v>874</v>
      </c>
      <c r="AT998" t="s">
        <v>58</v>
      </c>
    </row>
    <row r="999" ht="29" spans="1:46">
      <c r="A999" s="31" t="s">
        <v>169</v>
      </c>
      <c r="C999" t="s">
        <v>1873</v>
      </c>
      <c r="D999" s="5" t="s">
        <v>57</v>
      </c>
      <c r="E999">
        <v>2035</v>
      </c>
      <c r="F999" s="6" t="str">
        <f t="shared" si="122"/>
        <v>*0.94</v>
      </c>
      <c r="H999" t="s">
        <v>1873</v>
      </c>
      <c r="I999" s="5" t="s">
        <v>57</v>
      </c>
      <c r="J999">
        <v>2050</v>
      </c>
      <c r="K999" s="38" t="str">
        <f t="shared" si="123"/>
        <v>*0.92</v>
      </c>
      <c r="P999" s="32" t="s">
        <v>1873</v>
      </c>
      <c r="Q999" s="42" t="s">
        <v>57</v>
      </c>
      <c r="R999" s="32">
        <v>2035</v>
      </c>
      <c r="S999" s="43" t="str">
        <f t="shared" si="124"/>
        <v>*0.93</v>
      </c>
      <c r="U999" s="32" t="s">
        <v>1873</v>
      </c>
      <c r="V999" s="42" t="s">
        <v>57</v>
      </c>
      <c r="W999" s="32">
        <v>2050</v>
      </c>
      <c r="X999" s="43" t="str">
        <f t="shared" si="125"/>
        <v>*0.92</v>
      </c>
      <c r="AC999" s="33" t="s">
        <v>1873</v>
      </c>
      <c r="AD999" s="44" t="s">
        <v>57</v>
      </c>
      <c r="AE999" s="33">
        <v>2035</v>
      </c>
      <c r="AF999" s="45" t="str">
        <f t="shared" si="126"/>
        <v>*0.91</v>
      </c>
      <c r="AG999" s="43" t="str">
        <f t="shared" si="128"/>
        <v>REZoning_Sol-Win</v>
      </c>
      <c r="AI999" s="33" t="s">
        <v>1873</v>
      </c>
      <c r="AJ999" s="44" t="s">
        <v>57</v>
      </c>
      <c r="AK999" s="33">
        <v>2050</v>
      </c>
      <c r="AL999" s="45" t="str">
        <f t="shared" si="127"/>
        <v>*0.87</v>
      </c>
      <c r="AM999" s="43" t="str">
        <f t="shared" si="129"/>
        <v>REZoning_Sol-Win</v>
      </c>
      <c r="AP999" t="s">
        <v>1873</v>
      </c>
      <c r="AQ999" t="s">
        <v>57</v>
      </c>
      <c r="AR999">
        <v>2100</v>
      </c>
      <c r="AS999" t="s">
        <v>874</v>
      </c>
      <c r="AT999" t="s">
        <v>58</v>
      </c>
    </row>
    <row r="1000" ht="29" spans="1:46">
      <c r="A1000" s="31" t="s">
        <v>169</v>
      </c>
      <c r="C1000" t="s">
        <v>1874</v>
      </c>
      <c r="D1000" s="5" t="s">
        <v>57</v>
      </c>
      <c r="E1000">
        <v>2035</v>
      </c>
      <c r="F1000" s="6" t="str">
        <f t="shared" si="122"/>
        <v>*0.94</v>
      </c>
      <c r="H1000" t="s">
        <v>1874</v>
      </c>
      <c r="I1000" s="5" t="s">
        <v>57</v>
      </c>
      <c r="J1000">
        <v>2050</v>
      </c>
      <c r="K1000" s="38" t="str">
        <f t="shared" si="123"/>
        <v>*0.92</v>
      </c>
      <c r="P1000" s="32" t="s">
        <v>1874</v>
      </c>
      <c r="Q1000" s="42" t="s">
        <v>57</v>
      </c>
      <c r="R1000" s="32">
        <v>2035</v>
      </c>
      <c r="S1000" s="43" t="str">
        <f t="shared" si="124"/>
        <v>*0.93</v>
      </c>
      <c r="U1000" s="32" t="s">
        <v>1874</v>
      </c>
      <c r="V1000" s="42" t="s">
        <v>57</v>
      </c>
      <c r="W1000" s="32">
        <v>2050</v>
      </c>
      <c r="X1000" s="43" t="str">
        <f t="shared" si="125"/>
        <v>*0.92</v>
      </c>
      <c r="AC1000" s="33" t="s">
        <v>1874</v>
      </c>
      <c r="AD1000" s="44" t="s">
        <v>57</v>
      </c>
      <c r="AE1000" s="33">
        <v>2035</v>
      </c>
      <c r="AF1000" s="45" t="str">
        <f t="shared" si="126"/>
        <v>*0.91</v>
      </c>
      <c r="AG1000" s="43" t="str">
        <f t="shared" si="128"/>
        <v>REZoning_Sol-Win</v>
      </c>
      <c r="AI1000" s="33" t="s">
        <v>1874</v>
      </c>
      <c r="AJ1000" s="44" t="s">
        <v>57</v>
      </c>
      <c r="AK1000" s="33">
        <v>2050</v>
      </c>
      <c r="AL1000" s="45" t="str">
        <f t="shared" si="127"/>
        <v>*0.87</v>
      </c>
      <c r="AM1000" s="43" t="str">
        <f t="shared" si="129"/>
        <v>REZoning_Sol-Win</v>
      </c>
      <c r="AP1000" t="s">
        <v>1874</v>
      </c>
      <c r="AQ1000" t="s">
        <v>57</v>
      </c>
      <c r="AR1000">
        <v>2100</v>
      </c>
      <c r="AS1000" t="s">
        <v>874</v>
      </c>
      <c r="AT1000" t="s">
        <v>58</v>
      </c>
    </row>
    <row r="1001" ht="29" spans="1:46">
      <c r="A1001" s="31" t="s">
        <v>169</v>
      </c>
      <c r="C1001" t="s">
        <v>1875</v>
      </c>
      <c r="D1001" s="5" t="s">
        <v>57</v>
      </c>
      <c r="E1001">
        <v>2035</v>
      </c>
      <c r="F1001" s="6" t="str">
        <f t="shared" si="122"/>
        <v>*0.94</v>
      </c>
      <c r="H1001" t="s">
        <v>1875</v>
      </c>
      <c r="I1001" s="5" t="s">
        <v>57</v>
      </c>
      <c r="J1001">
        <v>2050</v>
      </c>
      <c r="K1001" s="38" t="str">
        <f t="shared" si="123"/>
        <v>*0.92</v>
      </c>
      <c r="P1001" s="32" t="s">
        <v>1875</v>
      </c>
      <c r="Q1001" s="42" t="s">
        <v>57</v>
      </c>
      <c r="R1001" s="32">
        <v>2035</v>
      </c>
      <c r="S1001" s="43" t="str">
        <f t="shared" si="124"/>
        <v>*0.93</v>
      </c>
      <c r="U1001" s="32" t="s">
        <v>1875</v>
      </c>
      <c r="V1001" s="42" t="s">
        <v>57</v>
      </c>
      <c r="W1001" s="32">
        <v>2050</v>
      </c>
      <c r="X1001" s="43" t="str">
        <f t="shared" si="125"/>
        <v>*0.92</v>
      </c>
      <c r="AC1001" s="33" t="s">
        <v>1875</v>
      </c>
      <c r="AD1001" s="44" t="s">
        <v>57</v>
      </c>
      <c r="AE1001" s="33">
        <v>2035</v>
      </c>
      <c r="AF1001" s="45" t="str">
        <f t="shared" si="126"/>
        <v>*0.91</v>
      </c>
      <c r="AG1001" s="43" t="str">
        <f t="shared" si="128"/>
        <v>REZoning_Sol-Win</v>
      </c>
      <c r="AI1001" s="33" t="s">
        <v>1875</v>
      </c>
      <c r="AJ1001" s="44" t="s">
        <v>57</v>
      </c>
      <c r="AK1001" s="33">
        <v>2050</v>
      </c>
      <c r="AL1001" s="45" t="str">
        <f t="shared" si="127"/>
        <v>*0.87</v>
      </c>
      <c r="AM1001" s="43" t="str">
        <f t="shared" si="129"/>
        <v>REZoning_Sol-Win</v>
      </c>
      <c r="AP1001" t="s">
        <v>1875</v>
      </c>
      <c r="AQ1001" t="s">
        <v>57</v>
      </c>
      <c r="AR1001">
        <v>2100</v>
      </c>
      <c r="AS1001" t="s">
        <v>874</v>
      </c>
      <c r="AT1001" t="s">
        <v>58</v>
      </c>
    </row>
    <row r="1002" ht="29" spans="1:46">
      <c r="A1002" s="31" t="s">
        <v>169</v>
      </c>
      <c r="C1002" t="s">
        <v>1876</v>
      </c>
      <c r="D1002" s="5" t="s">
        <v>57</v>
      </c>
      <c r="E1002">
        <v>2035</v>
      </c>
      <c r="F1002" s="6" t="str">
        <f t="shared" si="122"/>
        <v>*0.94</v>
      </c>
      <c r="H1002" t="s">
        <v>1876</v>
      </c>
      <c r="I1002" s="5" t="s">
        <v>57</v>
      </c>
      <c r="J1002">
        <v>2050</v>
      </c>
      <c r="K1002" s="38" t="str">
        <f t="shared" si="123"/>
        <v>*0.92</v>
      </c>
      <c r="P1002" s="32" t="s">
        <v>1876</v>
      </c>
      <c r="Q1002" s="42" t="s">
        <v>57</v>
      </c>
      <c r="R1002" s="32">
        <v>2035</v>
      </c>
      <c r="S1002" s="43" t="str">
        <f t="shared" si="124"/>
        <v>*0.93</v>
      </c>
      <c r="U1002" s="32" t="s">
        <v>1876</v>
      </c>
      <c r="V1002" s="42" t="s">
        <v>57</v>
      </c>
      <c r="W1002" s="32">
        <v>2050</v>
      </c>
      <c r="X1002" s="43" t="str">
        <f t="shared" si="125"/>
        <v>*0.92</v>
      </c>
      <c r="AC1002" s="33" t="s">
        <v>1876</v>
      </c>
      <c r="AD1002" s="44" t="s">
        <v>57</v>
      </c>
      <c r="AE1002" s="33">
        <v>2035</v>
      </c>
      <c r="AF1002" s="45" t="str">
        <f t="shared" si="126"/>
        <v>*0.91</v>
      </c>
      <c r="AG1002" s="43" t="str">
        <f t="shared" si="128"/>
        <v>REZoning_Sol-Win</v>
      </c>
      <c r="AI1002" s="33" t="s">
        <v>1876</v>
      </c>
      <c r="AJ1002" s="44" t="s">
        <v>57</v>
      </c>
      <c r="AK1002" s="33">
        <v>2050</v>
      </c>
      <c r="AL1002" s="45" t="str">
        <f t="shared" si="127"/>
        <v>*0.87</v>
      </c>
      <c r="AM1002" s="43" t="str">
        <f t="shared" si="129"/>
        <v>REZoning_Sol-Win</v>
      </c>
      <c r="AP1002" t="s">
        <v>1876</v>
      </c>
      <c r="AQ1002" t="s">
        <v>57</v>
      </c>
      <c r="AR1002">
        <v>2100</v>
      </c>
      <c r="AS1002" t="s">
        <v>874</v>
      </c>
      <c r="AT1002" t="s">
        <v>58</v>
      </c>
    </row>
    <row r="1003" ht="29" spans="1:46">
      <c r="A1003" s="31" t="s">
        <v>169</v>
      </c>
      <c r="C1003" t="s">
        <v>1877</v>
      </c>
      <c r="D1003" s="5" t="s">
        <v>57</v>
      </c>
      <c r="E1003">
        <v>2035</v>
      </c>
      <c r="F1003" s="6" t="str">
        <f t="shared" si="122"/>
        <v>*0.94</v>
      </c>
      <c r="H1003" t="s">
        <v>1877</v>
      </c>
      <c r="I1003" s="5" t="s">
        <v>57</v>
      </c>
      <c r="J1003">
        <v>2050</v>
      </c>
      <c r="K1003" s="38" t="str">
        <f t="shared" si="123"/>
        <v>*0.92</v>
      </c>
      <c r="P1003" s="32" t="s">
        <v>1877</v>
      </c>
      <c r="Q1003" s="42" t="s">
        <v>57</v>
      </c>
      <c r="R1003" s="32">
        <v>2035</v>
      </c>
      <c r="S1003" s="43" t="str">
        <f t="shared" si="124"/>
        <v>*0.93</v>
      </c>
      <c r="U1003" s="32" t="s">
        <v>1877</v>
      </c>
      <c r="V1003" s="42" t="s">
        <v>57</v>
      </c>
      <c r="W1003" s="32">
        <v>2050</v>
      </c>
      <c r="X1003" s="43" t="str">
        <f t="shared" si="125"/>
        <v>*0.92</v>
      </c>
      <c r="AC1003" s="33" t="s">
        <v>1877</v>
      </c>
      <c r="AD1003" s="44" t="s">
        <v>57</v>
      </c>
      <c r="AE1003" s="33">
        <v>2035</v>
      </c>
      <c r="AF1003" s="45" t="str">
        <f t="shared" si="126"/>
        <v>*0.91</v>
      </c>
      <c r="AG1003" s="43" t="str">
        <f t="shared" si="128"/>
        <v>REZoning_Sol-Win</v>
      </c>
      <c r="AI1003" s="33" t="s">
        <v>1877</v>
      </c>
      <c r="AJ1003" s="44" t="s">
        <v>57</v>
      </c>
      <c r="AK1003" s="33">
        <v>2050</v>
      </c>
      <c r="AL1003" s="45" t="str">
        <f t="shared" si="127"/>
        <v>*0.87</v>
      </c>
      <c r="AM1003" s="43" t="str">
        <f t="shared" si="129"/>
        <v>REZoning_Sol-Win</v>
      </c>
      <c r="AP1003" t="s">
        <v>1877</v>
      </c>
      <c r="AQ1003" t="s">
        <v>57</v>
      </c>
      <c r="AR1003">
        <v>2100</v>
      </c>
      <c r="AS1003" t="s">
        <v>874</v>
      </c>
      <c r="AT1003" t="s">
        <v>58</v>
      </c>
    </row>
    <row r="1004" ht="29" spans="1:46">
      <c r="A1004" s="31" t="s">
        <v>169</v>
      </c>
      <c r="C1004" t="s">
        <v>1878</v>
      </c>
      <c r="D1004" s="5" t="s">
        <v>57</v>
      </c>
      <c r="E1004">
        <v>2035</v>
      </c>
      <c r="F1004" s="6" t="str">
        <f t="shared" si="122"/>
        <v>*0.94</v>
      </c>
      <c r="H1004" t="s">
        <v>1878</v>
      </c>
      <c r="I1004" s="5" t="s">
        <v>57</v>
      </c>
      <c r="J1004">
        <v>2050</v>
      </c>
      <c r="K1004" s="38" t="str">
        <f t="shared" si="123"/>
        <v>*0.92</v>
      </c>
      <c r="P1004" s="32" t="s">
        <v>1878</v>
      </c>
      <c r="Q1004" s="42" t="s">
        <v>57</v>
      </c>
      <c r="R1004" s="32">
        <v>2035</v>
      </c>
      <c r="S1004" s="43" t="str">
        <f t="shared" si="124"/>
        <v>*0.93</v>
      </c>
      <c r="U1004" s="32" t="s">
        <v>1878</v>
      </c>
      <c r="V1004" s="42" t="s">
        <v>57</v>
      </c>
      <c r="W1004" s="32">
        <v>2050</v>
      </c>
      <c r="X1004" s="43" t="str">
        <f t="shared" si="125"/>
        <v>*0.92</v>
      </c>
      <c r="AC1004" s="33" t="s">
        <v>1878</v>
      </c>
      <c r="AD1004" s="44" t="s">
        <v>57</v>
      </c>
      <c r="AE1004" s="33">
        <v>2035</v>
      </c>
      <c r="AF1004" s="45" t="str">
        <f t="shared" si="126"/>
        <v>*0.91</v>
      </c>
      <c r="AG1004" s="43" t="str">
        <f t="shared" si="128"/>
        <v>REZoning_Sol-Win</v>
      </c>
      <c r="AI1004" s="33" t="s">
        <v>1878</v>
      </c>
      <c r="AJ1004" s="44" t="s">
        <v>57</v>
      </c>
      <c r="AK1004" s="33">
        <v>2050</v>
      </c>
      <c r="AL1004" s="45" t="str">
        <f t="shared" si="127"/>
        <v>*0.87</v>
      </c>
      <c r="AM1004" s="43" t="str">
        <f t="shared" si="129"/>
        <v>REZoning_Sol-Win</v>
      </c>
      <c r="AP1004" t="s">
        <v>1878</v>
      </c>
      <c r="AQ1004" t="s">
        <v>57</v>
      </c>
      <c r="AR1004">
        <v>2100</v>
      </c>
      <c r="AS1004" t="s">
        <v>874</v>
      </c>
      <c r="AT1004" t="s">
        <v>58</v>
      </c>
    </row>
    <row r="1005" ht="29" spans="1:46">
      <c r="A1005" s="31" t="s">
        <v>169</v>
      </c>
      <c r="C1005" t="s">
        <v>1879</v>
      </c>
      <c r="D1005" s="5" t="s">
        <v>57</v>
      </c>
      <c r="E1005">
        <v>2035</v>
      </c>
      <c r="F1005" s="6" t="str">
        <f t="shared" si="122"/>
        <v>*0.94</v>
      </c>
      <c r="H1005" t="s">
        <v>1879</v>
      </c>
      <c r="I1005" s="5" t="s">
        <v>57</v>
      </c>
      <c r="J1005">
        <v>2050</v>
      </c>
      <c r="K1005" s="38" t="str">
        <f t="shared" si="123"/>
        <v>*0.92</v>
      </c>
      <c r="P1005" s="32" t="s">
        <v>1879</v>
      </c>
      <c r="Q1005" s="42" t="s">
        <v>57</v>
      </c>
      <c r="R1005" s="32">
        <v>2035</v>
      </c>
      <c r="S1005" s="43" t="str">
        <f t="shared" si="124"/>
        <v>*0.93</v>
      </c>
      <c r="U1005" s="32" t="s">
        <v>1879</v>
      </c>
      <c r="V1005" s="42" t="s">
        <v>57</v>
      </c>
      <c r="W1005" s="32">
        <v>2050</v>
      </c>
      <c r="X1005" s="43" t="str">
        <f t="shared" si="125"/>
        <v>*0.92</v>
      </c>
      <c r="AC1005" s="33" t="s">
        <v>1879</v>
      </c>
      <c r="AD1005" s="44" t="s">
        <v>57</v>
      </c>
      <c r="AE1005" s="33">
        <v>2035</v>
      </c>
      <c r="AF1005" s="45" t="str">
        <f t="shared" si="126"/>
        <v>*0.91</v>
      </c>
      <c r="AG1005" s="43" t="str">
        <f t="shared" si="128"/>
        <v>REZoning_Sol-Win</v>
      </c>
      <c r="AI1005" s="33" t="s">
        <v>1879</v>
      </c>
      <c r="AJ1005" s="44" t="s">
        <v>57</v>
      </c>
      <c r="AK1005" s="33">
        <v>2050</v>
      </c>
      <c r="AL1005" s="45" t="str">
        <f t="shared" si="127"/>
        <v>*0.87</v>
      </c>
      <c r="AM1005" s="43" t="str">
        <f t="shared" si="129"/>
        <v>REZoning_Sol-Win</v>
      </c>
      <c r="AP1005" t="s">
        <v>1879</v>
      </c>
      <c r="AQ1005" t="s">
        <v>57</v>
      </c>
      <c r="AR1005">
        <v>2100</v>
      </c>
      <c r="AS1005" t="s">
        <v>874</v>
      </c>
      <c r="AT1005" t="s">
        <v>58</v>
      </c>
    </row>
    <row r="1006" ht="29" spans="1:46">
      <c r="A1006" s="31" t="s">
        <v>169</v>
      </c>
      <c r="C1006" t="s">
        <v>1880</v>
      </c>
      <c r="D1006" s="5" t="s">
        <v>57</v>
      </c>
      <c r="E1006">
        <v>2035</v>
      </c>
      <c r="F1006" s="6" t="str">
        <f t="shared" si="122"/>
        <v>*0.94</v>
      </c>
      <c r="H1006" t="s">
        <v>1880</v>
      </c>
      <c r="I1006" s="5" t="s">
        <v>57</v>
      </c>
      <c r="J1006">
        <v>2050</v>
      </c>
      <c r="K1006" s="38" t="str">
        <f t="shared" si="123"/>
        <v>*0.92</v>
      </c>
      <c r="P1006" s="32" t="s">
        <v>1880</v>
      </c>
      <c r="Q1006" s="42" t="s">
        <v>57</v>
      </c>
      <c r="R1006" s="32">
        <v>2035</v>
      </c>
      <c r="S1006" s="43" t="str">
        <f t="shared" si="124"/>
        <v>*0.93</v>
      </c>
      <c r="U1006" s="32" t="s">
        <v>1880</v>
      </c>
      <c r="V1006" s="42" t="s">
        <v>57</v>
      </c>
      <c r="W1006" s="32">
        <v>2050</v>
      </c>
      <c r="X1006" s="43" t="str">
        <f t="shared" si="125"/>
        <v>*0.92</v>
      </c>
      <c r="AC1006" s="33" t="s">
        <v>1880</v>
      </c>
      <c r="AD1006" s="44" t="s">
        <v>57</v>
      </c>
      <c r="AE1006" s="33">
        <v>2035</v>
      </c>
      <c r="AF1006" s="45" t="str">
        <f t="shared" si="126"/>
        <v>*0.91</v>
      </c>
      <c r="AG1006" s="43" t="str">
        <f t="shared" si="128"/>
        <v>REZoning_Sol-Win</v>
      </c>
      <c r="AI1006" s="33" t="s">
        <v>1880</v>
      </c>
      <c r="AJ1006" s="44" t="s">
        <v>57</v>
      </c>
      <c r="AK1006" s="33">
        <v>2050</v>
      </c>
      <c r="AL1006" s="45" t="str">
        <f t="shared" si="127"/>
        <v>*0.87</v>
      </c>
      <c r="AM1006" s="43" t="str">
        <f t="shared" si="129"/>
        <v>REZoning_Sol-Win</v>
      </c>
      <c r="AP1006" t="s">
        <v>1880</v>
      </c>
      <c r="AQ1006" t="s">
        <v>57</v>
      </c>
      <c r="AR1006">
        <v>2100</v>
      </c>
      <c r="AS1006" t="s">
        <v>874</v>
      </c>
      <c r="AT1006" t="s">
        <v>58</v>
      </c>
    </row>
    <row r="1007" ht="29" spans="1:46">
      <c r="A1007" s="31" t="s">
        <v>169</v>
      </c>
      <c r="C1007" t="s">
        <v>1881</v>
      </c>
      <c r="D1007" s="5" t="s">
        <v>57</v>
      </c>
      <c r="E1007">
        <v>2035</v>
      </c>
      <c r="F1007" s="6" t="str">
        <f t="shared" si="122"/>
        <v>*0.94</v>
      </c>
      <c r="H1007" t="s">
        <v>1881</v>
      </c>
      <c r="I1007" s="5" t="s">
        <v>57</v>
      </c>
      <c r="J1007">
        <v>2050</v>
      </c>
      <c r="K1007" s="38" t="str">
        <f t="shared" si="123"/>
        <v>*0.92</v>
      </c>
      <c r="P1007" s="32" t="s">
        <v>1881</v>
      </c>
      <c r="Q1007" s="42" t="s">
        <v>57</v>
      </c>
      <c r="R1007" s="32">
        <v>2035</v>
      </c>
      <c r="S1007" s="43" t="str">
        <f t="shared" si="124"/>
        <v>*0.93</v>
      </c>
      <c r="U1007" s="32" t="s">
        <v>1881</v>
      </c>
      <c r="V1007" s="42" t="s">
        <v>57</v>
      </c>
      <c r="W1007" s="32">
        <v>2050</v>
      </c>
      <c r="X1007" s="43" t="str">
        <f t="shared" si="125"/>
        <v>*0.92</v>
      </c>
      <c r="AC1007" s="33" t="s">
        <v>1881</v>
      </c>
      <c r="AD1007" s="44" t="s">
        <v>57</v>
      </c>
      <c r="AE1007" s="33">
        <v>2035</v>
      </c>
      <c r="AF1007" s="45" t="str">
        <f t="shared" si="126"/>
        <v>*0.91</v>
      </c>
      <c r="AG1007" s="43" t="str">
        <f t="shared" si="128"/>
        <v>REZoning_Sol-Win</v>
      </c>
      <c r="AI1007" s="33" t="s">
        <v>1881</v>
      </c>
      <c r="AJ1007" s="44" t="s">
        <v>57</v>
      </c>
      <c r="AK1007" s="33">
        <v>2050</v>
      </c>
      <c r="AL1007" s="45" t="str">
        <f t="shared" si="127"/>
        <v>*0.87</v>
      </c>
      <c r="AM1007" s="43" t="str">
        <f t="shared" si="129"/>
        <v>REZoning_Sol-Win</v>
      </c>
      <c r="AP1007" t="s">
        <v>1881</v>
      </c>
      <c r="AQ1007" t="s">
        <v>57</v>
      </c>
      <c r="AR1007">
        <v>2100</v>
      </c>
      <c r="AS1007" t="s">
        <v>874</v>
      </c>
      <c r="AT1007" t="s">
        <v>58</v>
      </c>
    </row>
    <row r="1008" ht="29" spans="1:46">
      <c r="A1008" s="31" t="s">
        <v>169</v>
      </c>
      <c r="C1008" t="s">
        <v>1882</v>
      </c>
      <c r="D1008" s="5" t="s">
        <v>57</v>
      </c>
      <c r="E1008">
        <v>2035</v>
      </c>
      <c r="F1008" s="6" t="str">
        <f t="shared" si="122"/>
        <v>*0.94</v>
      </c>
      <c r="H1008" t="s">
        <v>1882</v>
      </c>
      <c r="I1008" s="5" t="s">
        <v>57</v>
      </c>
      <c r="J1008">
        <v>2050</v>
      </c>
      <c r="K1008" s="38" t="str">
        <f t="shared" si="123"/>
        <v>*0.92</v>
      </c>
      <c r="P1008" s="32" t="s">
        <v>1882</v>
      </c>
      <c r="Q1008" s="42" t="s">
        <v>57</v>
      </c>
      <c r="R1008" s="32">
        <v>2035</v>
      </c>
      <c r="S1008" s="43" t="str">
        <f t="shared" si="124"/>
        <v>*0.93</v>
      </c>
      <c r="U1008" s="32" t="s">
        <v>1882</v>
      </c>
      <c r="V1008" s="42" t="s">
        <v>57</v>
      </c>
      <c r="W1008" s="32">
        <v>2050</v>
      </c>
      <c r="X1008" s="43" t="str">
        <f t="shared" si="125"/>
        <v>*0.92</v>
      </c>
      <c r="AC1008" s="33" t="s">
        <v>1882</v>
      </c>
      <c r="AD1008" s="44" t="s">
        <v>57</v>
      </c>
      <c r="AE1008" s="33">
        <v>2035</v>
      </c>
      <c r="AF1008" s="45" t="str">
        <f t="shared" si="126"/>
        <v>*0.91</v>
      </c>
      <c r="AG1008" s="43" t="str">
        <f t="shared" si="128"/>
        <v>REZoning_Sol-Win</v>
      </c>
      <c r="AI1008" s="33" t="s">
        <v>1882</v>
      </c>
      <c r="AJ1008" s="44" t="s">
        <v>57</v>
      </c>
      <c r="AK1008" s="33">
        <v>2050</v>
      </c>
      <c r="AL1008" s="45" t="str">
        <f t="shared" si="127"/>
        <v>*0.87</v>
      </c>
      <c r="AM1008" s="43" t="str">
        <f t="shared" si="129"/>
        <v>REZoning_Sol-Win</v>
      </c>
      <c r="AP1008" t="s">
        <v>1882</v>
      </c>
      <c r="AQ1008" t="s">
        <v>57</v>
      </c>
      <c r="AR1008">
        <v>2100</v>
      </c>
      <c r="AS1008" t="s">
        <v>874</v>
      </c>
      <c r="AT1008" t="s">
        <v>58</v>
      </c>
    </row>
    <row r="1009" ht="29" spans="1:46">
      <c r="A1009" s="31" t="s">
        <v>169</v>
      </c>
      <c r="C1009" t="s">
        <v>1883</v>
      </c>
      <c r="D1009" s="5" t="s">
        <v>57</v>
      </c>
      <c r="E1009">
        <v>2035</v>
      </c>
      <c r="F1009" s="6" t="str">
        <f t="shared" si="122"/>
        <v>*0.94</v>
      </c>
      <c r="H1009" t="s">
        <v>1883</v>
      </c>
      <c r="I1009" s="5" t="s">
        <v>57</v>
      </c>
      <c r="J1009">
        <v>2050</v>
      </c>
      <c r="K1009" s="38" t="str">
        <f t="shared" si="123"/>
        <v>*0.92</v>
      </c>
      <c r="P1009" s="32" t="s">
        <v>1883</v>
      </c>
      <c r="Q1009" s="42" t="s">
        <v>57</v>
      </c>
      <c r="R1009" s="32">
        <v>2035</v>
      </c>
      <c r="S1009" s="43" t="str">
        <f t="shared" si="124"/>
        <v>*0.93</v>
      </c>
      <c r="U1009" s="32" t="s">
        <v>1883</v>
      </c>
      <c r="V1009" s="42" t="s">
        <v>57</v>
      </c>
      <c r="W1009" s="32">
        <v>2050</v>
      </c>
      <c r="X1009" s="43" t="str">
        <f t="shared" si="125"/>
        <v>*0.92</v>
      </c>
      <c r="AC1009" s="33" t="s">
        <v>1883</v>
      </c>
      <c r="AD1009" s="44" t="s">
        <v>57</v>
      </c>
      <c r="AE1009" s="33">
        <v>2035</v>
      </c>
      <c r="AF1009" s="45" t="str">
        <f t="shared" si="126"/>
        <v>*0.91</v>
      </c>
      <c r="AG1009" s="43" t="str">
        <f t="shared" si="128"/>
        <v>REZoning_Sol-Win</v>
      </c>
      <c r="AI1009" s="33" t="s">
        <v>1883</v>
      </c>
      <c r="AJ1009" s="44" t="s">
        <v>57</v>
      </c>
      <c r="AK1009" s="33">
        <v>2050</v>
      </c>
      <c r="AL1009" s="45" t="str">
        <f t="shared" si="127"/>
        <v>*0.87</v>
      </c>
      <c r="AM1009" s="43" t="str">
        <f t="shared" si="129"/>
        <v>REZoning_Sol-Win</v>
      </c>
      <c r="AP1009" t="s">
        <v>1883</v>
      </c>
      <c r="AQ1009" t="s">
        <v>57</v>
      </c>
      <c r="AR1009">
        <v>2100</v>
      </c>
      <c r="AS1009" t="s">
        <v>874</v>
      </c>
      <c r="AT1009" t="s">
        <v>58</v>
      </c>
    </row>
    <row r="1010" ht="29" spans="1:46">
      <c r="A1010" s="31" t="s">
        <v>169</v>
      </c>
      <c r="C1010" t="s">
        <v>1884</v>
      </c>
      <c r="D1010" s="5" t="s">
        <v>57</v>
      </c>
      <c r="E1010">
        <v>2035</v>
      </c>
      <c r="F1010" s="6" t="str">
        <f t="shared" si="122"/>
        <v>*0.94</v>
      </c>
      <c r="H1010" t="s">
        <v>1884</v>
      </c>
      <c r="I1010" s="5" t="s">
        <v>57</v>
      </c>
      <c r="J1010">
        <v>2050</v>
      </c>
      <c r="K1010" s="38" t="str">
        <f t="shared" si="123"/>
        <v>*0.92</v>
      </c>
      <c r="P1010" s="32" t="s">
        <v>1884</v>
      </c>
      <c r="Q1010" s="42" t="s">
        <v>57</v>
      </c>
      <c r="R1010" s="32">
        <v>2035</v>
      </c>
      <c r="S1010" s="43" t="str">
        <f t="shared" si="124"/>
        <v>*0.93</v>
      </c>
      <c r="U1010" s="32" t="s">
        <v>1884</v>
      </c>
      <c r="V1010" s="42" t="s">
        <v>57</v>
      </c>
      <c r="W1010" s="32">
        <v>2050</v>
      </c>
      <c r="X1010" s="43" t="str">
        <f t="shared" si="125"/>
        <v>*0.92</v>
      </c>
      <c r="AC1010" s="33" t="s">
        <v>1884</v>
      </c>
      <c r="AD1010" s="44" t="s">
        <v>57</v>
      </c>
      <c r="AE1010" s="33">
        <v>2035</v>
      </c>
      <c r="AF1010" s="45" t="str">
        <f t="shared" si="126"/>
        <v>*0.91</v>
      </c>
      <c r="AG1010" s="43" t="str">
        <f t="shared" si="128"/>
        <v>REZoning_Sol-Win</v>
      </c>
      <c r="AI1010" s="33" t="s">
        <v>1884</v>
      </c>
      <c r="AJ1010" s="44" t="s">
        <v>57</v>
      </c>
      <c r="AK1010" s="33">
        <v>2050</v>
      </c>
      <c r="AL1010" s="45" t="str">
        <f t="shared" si="127"/>
        <v>*0.87</v>
      </c>
      <c r="AM1010" s="43" t="str">
        <f t="shared" si="129"/>
        <v>REZoning_Sol-Win</v>
      </c>
      <c r="AP1010" t="s">
        <v>1884</v>
      </c>
      <c r="AQ1010" t="s">
        <v>57</v>
      </c>
      <c r="AR1010">
        <v>2100</v>
      </c>
      <c r="AS1010" t="s">
        <v>874</v>
      </c>
      <c r="AT1010" t="s">
        <v>58</v>
      </c>
    </row>
    <row r="1011" ht="29" spans="1:46">
      <c r="A1011" s="31" t="s">
        <v>169</v>
      </c>
      <c r="C1011" t="s">
        <v>1885</v>
      </c>
      <c r="D1011" s="5" t="s">
        <v>57</v>
      </c>
      <c r="E1011">
        <v>2035</v>
      </c>
      <c r="F1011" s="6" t="str">
        <f t="shared" si="122"/>
        <v>*0.94</v>
      </c>
      <c r="H1011" t="s">
        <v>1885</v>
      </c>
      <c r="I1011" s="5" t="s">
        <v>57</v>
      </c>
      <c r="J1011">
        <v>2050</v>
      </c>
      <c r="K1011" s="38" t="str">
        <f t="shared" si="123"/>
        <v>*0.92</v>
      </c>
      <c r="P1011" s="32" t="s">
        <v>1885</v>
      </c>
      <c r="Q1011" s="42" t="s">
        <v>57</v>
      </c>
      <c r="R1011" s="32">
        <v>2035</v>
      </c>
      <c r="S1011" s="43" t="str">
        <f t="shared" si="124"/>
        <v>*0.93</v>
      </c>
      <c r="U1011" s="32" t="s">
        <v>1885</v>
      </c>
      <c r="V1011" s="42" t="s">
        <v>57</v>
      </c>
      <c r="W1011" s="32">
        <v>2050</v>
      </c>
      <c r="X1011" s="43" t="str">
        <f t="shared" si="125"/>
        <v>*0.92</v>
      </c>
      <c r="AC1011" s="33" t="s">
        <v>1885</v>
      </c>
      <c r="AD1011" s="44" t="s">
        <v>57</v>
      </c>
      <c r="AE1011" s="33">
        <v>2035</v>
      </c>
      <c r="AF1011" s="45" t="str">
        <f t="shared" si="126"/>
        <v>*0.91</v>
      </c>
      <c r="AG1011" s="43" t="str">
        <f t="shared" si="128"/>
        <v>REZoning_Sol-Win</v>
      </c>
      <c r="AI1011" s="33" t="s">
        <v>1885</v>
      </c>
      <c r="AJ1011" s="44" t="s">
        <v>57</v>
      </c>
      <c r="AK1011" s="33">
        <v>2050</v>
      </c>
      <c r="AL1011" s="45" t="str">
        <f t="shared" si="127"/>
        <v>*0.87</v>
      </c>
      <c r="AM1011" s="43" t="str">
        <f t="shared" si="129"/>
        <v>REZoning_Sol-Win</v>
      </c>
      <c r="AP1011" t="s">
        <v>1885</v>
      </c>
      <c r="AQ1011" t="s">
        <v>57</v>
      </c>
      <c r="AR1011">
        <v>2100</v>
      </c>
      <c r="AS1011" t="s">
        <v>874</v>
      </c>
      <c r="AT1011" t="s">
        <v>58</v>
      </c>
    </row>
    <row r="1012" ht="29" spans="1:46">
      <c r="A1012" s="31" t="s">
        <v>169</v>
      </c>
      <c r="C1012" t="s">
        <v>1886</v>
      </c>
      <c r="D1012" s="5" t="s">
        <v>57</v>
      </c>
      <c r="E1012">
        <v>2035</v>
      </c>
      <c r="F1012" s="6" t="str">
        <f t="shared" si="122"/>
        <v>*0.94</v>
      </c>
      <c r="H1012" t="s">
        <v>1886</v>
      </c>
      <c r="I1012" s="5" t="s">
        <v>57</v>
      </c>
      <c r="J1012">
        <v>2050</v>
      </c>
      <c r="K1012" s="38" t="str">
        <f t="shared" si="123"/>
        <v>*0.92</v>
      </c>
      <c r="P1012" s="32" t="s">
        <v>1886</v>
      </c>
      <c r="Q1012" s="42" t="s">
        <v>57</v>
      </c>
      <c r="R1012" s="32">
        <v>2035</v>
      </c>
      <c r="S1012" s="43" t="str">
        <f t="shared" si="124"/>
        <v>*0.93</v>
      </c>
      <c r="U1012" s="32" t="s">
        <v>1886</v>
      </c>
      <c r="V1012" s="42" t="s">
        <v>57</v>
      </c>
      <c r="W1012" s="32">
        <v>2050</v>
      </c>
      <c r="X1012" s="43" t="str">
        <f t="shared" si="125"/>
        <v>*0.92</v>
      </c>
      <c r="AC1012" s="33" t="s">
        <v>1886</v>
      </c>
      <c r="AD1012" s="44" t="s">
        <v>57</v>
      </c>
      <c r="AE1012" s="33">
        <v>2035</v>
      </c>
      <c r="AF1012" s="45" t="str">
        <f t="shared" si="126"/>
        <v>*0.91</v>
      </c>
      <c r="AG1012" s="43" t="str">
        <f t="shared" si="128"/>
        <v>REZoning_Sol-Win</v>
      </c>
      <c r="AI1012" s="33" t="s">
        <v>1886</v>
      </c>
      <c r="AJ1012" s="44" t="s">
        <v>57</v>
      </c>
      <c r="AK1012" s="33">
        <v>2050</v>
      </c>
      <c r="AL1012" s="45" t="str">
        <f t="shared" si="127"/>
        <v>*0.87</v>
      </c>
      <c r="AM1012" s="43" t="str">
        <f t="shared" si="129"/>
        <v>REZoning_Sol-Win</v>
      </c>
      <c r="AP1012" t="s">
        <v>1886</v>
      </c>
      <c r="AQ1012" t="s">
        <v>57</v>
      </c>
      <c r="AR1012">
        <v>2100</v>
      </c>
      <c r="AS1012" t="s">
        <v>874</v>
      </c>
      <c r="AT1012" t="s">
        <v>58</v>
      </c>
    </row>
    <row r="1013" ht="29" spans="1:46">
      <c r="A1013" s="31" t="s">
        <v>169</v>
      </c>
      <c r="C1013" t="s">
        <v>1887</v>
      </c>
      <c r="D1013" s="5" t="s">
        <v>57</v>
      </c>
      <c r="E1013">
        <v>2035</v>
      </c>
      <c r="F1013" s="6" t="str">
        <f t="shared" si="122"/>
        <v>*0.94</v>
      </c>
      <c r="H1013" t="s">
        <v>1887</v>
      </c>
      <c r="I1013" s="5" t="s">
        <v>57</v>
      </c>
      <c r="J1013">
        <v>2050</v>
      </c>
      <c r="K1013" s="38" t="str">
        <f t="shared" si="123"/>
        <v>*0.92</v>
      </c>
      <c r="P1013" s="32" t="s">
        <v>1887</v>
      </c>
      <c r="Q1013" s="42" t="s">
        <v>57</v>
      </c>
      <c r="R1013" s="32">
        <v>2035</v>
      </c>
      <c r="S1013" s="43" t="str">
        <f t="shared" si="124"/>
        <v>*0.93</v>
      </c>
      <c r="U1013" s="32" t="s">
        <v>1887</v>
      </c>
      <c r="V1013" s="42" t="s">
        <v>57</v>
      </c>
      <c r="W1013" s="32">
        <v>2050</v>
      </c>
      <c r="X1013" s="43" t="str">
        <f t="shared" si="125"/>
        <v>*0.92</v>
      </c>
      <c r="AC1013" s="33" t="s">
        <v>1887</v>
      </c>
      <c r="AD1013" s="44" t="s">
        <v>57</v>
      </c>
      <c r="AE1013" s="33">
        <v>2035</v>
      </c>
      <c r="AF1013" s="45" t="str">
        <f t="shared" si="126"/>
        <v>*0.91</v>
      </c>
      <c r="AG1013" s="43" t="str">
        <f t="shared" si="128"/>
        <v>REZoning_Sol-Win</v>
      </c>
      <c r="AI1013" s="33" t="s">
        <v>1887</v>
      </c>
      <c r="AJ1013" s="44" t="s">
        <v>57</v>
      </c>
      <c r="AK1013" s="33">
        <v>2050</v>
      </c>
      <c r="AL1013" s="45" t="str">
        <f t="shared" si="127"/>
        <v>*0.87</v>
      </c>
      <c r="AM1013" s="43" t="str">
        <f t="shared" si="129"/>
        <v>REZoning_Sol-Win</v>
      </c>
      <c r="AP1013" t="s">
        <v>1887</v>
      </c>
      <c r="AQ1013" t="s">
        <v>57</v>
      </c>
      <c r="AR1013">
        <v>2100</v>
      </c>
      <c r="AS1013" t="s">
        <v>874</v>
      </c>
      <c r="AT1013" t="s">
        <v>58</v>
      </c>
    </row>
    <row r="1014" ht="29" spans="1:46">
      <c r="A1014" s="31" t="s">
        <v>169</v>
      </c>
      <c r="C1014" t="s">
        <v>1888</v>
      </c>
      <c r="D1014" s="5" t="s">
        <v>57</v>
      </c>
      <c r="E1014">
        <v>2035</v>
      </c>
      <c r="F1014" s="6" t="str">
        <f t="shared" si="122"/>
        <v>*0.94</v>
      </c>
      <c r="H1014" t="s">
        <v>1888</v>
      </c>
      <c r="I1014" s="5" t="s">
        <v>57</v>
      </c>
      <c r="J1014">
        <v>2050</v>
      </c>
      <c r="K1014" s="38" t="str">
        <f t="shared" si="123"/>
        <v>*0.92</v>
      </c>
      <c r="P1014" s="32" t="s">
        <v>1888</v>
      </c>
      <c r="Q1014" s="42" t="s">
        <v>57</v>
      </c>
      <c r="R1014" s="32">
        <v>2035</v>
      </c>
      <c r="S1014" s="43" t="str">
        <f t="shared" si="124"/>
        <v>*0.93</v>
      </c>
      <c r="U1014" s="32" t="s">
        <v>1888</v>
      </c>
      <c r="V1014" s="42" t="s">
        <v>57</v>
      </c>
      <c r="W1014" s="32">
        <v>2050</v>
      </c>
      <c r="X1014" s="43" t="str">
        <f t="shared" si="125"/>
        <v>*0.92</v>
      </c>
      <c r="AC1014" s="33" t="s">
        <v>1888</v>
      </c>
      <c r="AD1014" s="44" t="s">
        <v>57</v>
      </c>
      <c r="AE1014" s="33">
        <v>2035</v>
      </c>
      <c r="AF1014" s="45" t="str">
        <f t="shared" si="126"/>
        <v>*0.91</v>
      </c>
      <c r="AG1014" s="43" t="str">
        <f t="shared" si="128"/>
        <v>REZoning_Sol-Win</v>
      </c>
      <c r="AI1014" s="33" t="s">
        <v>1888</v>
      </c>
      <c r="AJ1014" s="44" t="s">
        <v>57</v>
      </c>
      <c r="AK1014" s="33">
        <v>2050</v>
      </c>
      <c r="AL1014" s="45" t="str">
        <f t="shared" si="127"/>
        <v>*0.87</v>
      </c>
      <c r="AM1014" s="43" t="str">
        <f t="shared" si="129"/>
        <v>REZoning_Sol-Win</v>
      </c>
      <c r="AP1014" t="s">
        <v>1888</v>
      </c>
      <c r="AQ1014" t="s">
        <v>57</v>
      </c>
      <c r="AR1014">
        <v>2100</v>
      </c>
      <c r="AS1014" t="s">
        <v>874</v>
      </c>
      <c r="AT1014" t="s">
        <v>58</v>
      </c>
    </row>
    <row r="1015" ht="29" spans="1:46">
      <c r="A1015" s="31" t="s">
        <v>169</v>
      </c>
      <c r="C1015" t="s">
        <v>1889</v>
      </c>
      <c r="D1015" s="5" t="s">
        <v>57</v>
      </c>
      <c r="E1015">
        <v>2035</v>
      </c>
      <c r="F1015" s="6" t="str">
        <f t="shared" si="122"/>
        <v>*0.94</v>
      </c>
      <c r="H1015" t="s">
        <v>1889</v>
      </c>
      <c r="I1015" s="5" t="s">
        <v>57</v>
      </c>
      <c r="J1015">
        <v>2050</v>
      </c>
      <c r="K1015" s="38" t="str">
        <f t="shared" si="123"/>
        <v>*0.92</v>
      </c>
      <c r="P1015" s="32" t="s">
        <v>1889</v>
      </c>
      <c r="Q1015" s="42" t="s">
        <v>57</v>
      </c>
      <c r="R1015" s="32">
        <v>2035</v>
      </c>
      <c r="S1015" s="43" t="str">
        <f t="shared" si="124"/>
        <v>*0.93</v>
      </c>
      <c r="U1015" s="32" t="s">
        <v>1889</v>
      </c>
      <c r="V1015" s="42" t="s">
        <v>57</v>
      </c>
      <c r="W1015" s="32">
        <v>2050</v>
      </c>
      <c r="X1015" s="43" t="str">
        <f t="shared" si="125"/>
        <v>*0.92</v>
      </c>
      <c r="AC1015" s="33" t="s">
        <v>1889</v>
      </c>
      <c r="AD1015" s="44" t="s">
        <v>57</v>
      </c>
      <c r="AE1015" s="33">
        <v>2035</v>
      </c>
      <c r="AF1015" s="45" t="str">
        <f t="shared" si="126"/>
        <v>*0.91</v>
      </c>
      <c r="AG1015" s="43" t="str">
        <f t="shared" si="128"/>
        <v>REZoning_Sol-Win</v>
      </c>
      <c r="AI1015" s="33" t="s">
        <v>1889</v>
      </c>
      <c r="AJ1015" s="44" t="s">
        <v>57</v>
      </c>
      <c r="AK1015" s="33">
        <v>2050</v>
      </c>
      <c r="AL1015" s="45" t="str">
        <f t="shared" si="127"/>
        <v>*0.87</v>
      </c>
      <c r="AM1015" s="43" t="str">
        <f t="shared" si="129"/>
        <v>REZoning_Sol-Win</v>
      </c>
      <c r="AP1015" t="s">
        <v>1889</v>
      </c>
      <c r="AQ1015" t="s">
        <v>57</v>
      </c>
      <c r="AR1015">
        <v>2100</v>
      </c>
      <c r="AS1015" t="s">
        <v>874</v>
      </c>
      <c r="AT1015" t="s">
        <v>58</v>
      </c>
    </row>
    <row r="1016" ht="29" spans="1:46">
      <c r="A1016" s="31" t="s">
        <v>169</v>
      </c>
      <c r="C1016" t="s">
        <v>1890</v>
      </c>
      <c r="D1016" s="5" t="s">
        <v>57</v>
      </c>
      <c r="E1016">
        <v>2035</v>
      </c>
      <c r="F1016" s="6" t="str">
        <f t="shared" si="122"/>
        <v>*0.94</v>
      </c>
      <c r="H1016" t="s">
        <v>1890</v>
      </c>
      <c r="I1016" s="5" t="s">
        <v>57</v>
      </c>
      <c r="J1016">
        <v>2050</v>
      </c>
      <c r="K1016" s="38" t="str">
        <f t="shared" si="123"/>
        <v>*0.92</v>
      </c>
      <c r="P1016" s="32" t="s">
        <v>1890</v>
      </c>
      <c r="Q1016" s="42" t="s">
        <v>57</v>
      </c>
      <c r="R1016" s="32">
        <v>2035</v>
      </c>
      <c r="S1016" s="43" t="str">
        <f t="shared" si="124"/>
        <v>*0.93</v>
      </c>
      <c r="U1016" s="32" t="s">
        <v>1890</v>
      </c>
      <c r="V1016" s="42" t="s">
        <v>57</v>
      </c>
      <c r="W1016" s="32">
        <v>2050</v>
      </c>
      <c r="X1016" s="43" t="str">
        <f t="shared" si="125"/>
        <v>*0.92</v>
      </c>
      <c r="AC1016" s="33" t="s">
        <v>1890</v>
      </c>
      <c r="AD1016" s="44" t="s">
        <v>57</v>
      </c>
      <c r="AE1016" s="33">
        <v>2035</v>
      </c>
      <c r="AF1016" s="45" t="str">
        <f t="shared" si="126"/>
        <v>*0.91</v>
      </c>
      <c r="AG1016" s="43" t="str">
        <f t="shared" si="128"/>
        <v>REZoning_Sol-Win</v>
      </c>
      <c r="AI1016" s="33" t="s">
        <v>1890</v>
      </c>
      <c r="AJ1016" s="44" t="s">
        <v>57</v>
      </c>
      <c r="AK1016" s="33">
        <v>2050</v>
      </c>
      <c r="AL1016" s="45" t="str">
        <f t="shared" si="127"/>
        <v>*0.87</v>
      </c>
      <c r="AM1016" s="43" t="str">
        <f t="shared" si="129"/>
        <v>REZoning_Sol-Win</v>
      </c>
      <c r="AP1016" t="s">
        <v>1890</v>
      </c>
      <c r="AQ1016" t="s">
        <v>57</v>
      </c>
      <c r="AR1016">
        <v>2100</v>
      </c>
      <c r="AS1016" t="s">
        <v>874</v>
      </c>
      <c r="AT1016" t="s">
        <v>58</v>
      </c>
    </row>
    <row r="1017" ht="29" spans="1:46">
      <c r="A1017" s="31" t="s">
        <v>169</v>
      </c>
      <c r="C1017" t="s">
        <v>1891</v>
      </c>
      <c r="D1017" s="5" t="s">
        <v>57</v>
      </c>
      <c r="E1017">
        <v>2035</v>
      </c>
      <c r="F1017" s="6" t="str">
        <f t="shared" si="122"/>
        <v>*0.94</v>
      </c>
      <c r="H1017" t="s">
        <v>1891</v>
      </c>
      <c r="I1017" s="5" t="s">
        <v>57</v>
      </c>
      <c r="J1017">
        <v>2050</v>
      </c>
      <c r="K1017" s="38" t="str">
        <f t="shared" si="123"/>
        <v>*0.92</v>
      </c>
      <c r="P1017" s="32" t="s">
        <v>1891</v>
      </c>
      <c r="Q1017" s="42" t="s">
        <v>57</v>
      </c>
      <c r="R1017" s="32">
        <v>2035</v>
      </c>
      <c r="S1017" s="43" t="str">
        <f t="shared" si="124"/>
        <v>*0.93</v>
      </c>
      <c r="U1017" s="32" t="s">
        <v>1891</v>
      </c>
      <c r="V1017" s="42" t="s">
        <v>57</v>
      </c>
      <c r="W1017" s="32">
        <v>2050</v>
      </c>
      <c r="X1017" s="43" t="str">
        <f t="shared" si="125"/>
        <v>*0.92</v>
      </c>
      <c r="AC1017" s="33" t="s">
        <v>1891</v>
      </c>
      <c r="AD1017" s="44" t="s">
        <v>57</v>
      </c>
      <c r="AE1017" s="33">
        <v>2035</v>
      </c>
      <c r="AF1017" s="45" t="str">
        <f t="shared" si="126"/>
        <v>*0.91</v>
      </c>
      <c r="AG1017" s="43" t="str">
        <f t="shared" si="128"/>
        <v>REZoning_Sol-Win</v>
      </c>
      <c r="AI1017" s="33" t="s">
        <v>1891</v>
      </c>
      <c r="AJ1017" s="44" t="s">
        <v>57</v>
      </c>
      <c r="AK1017" s="33">
        <v>2050</v>
      </c>
      <c r="AL1017" s="45" t="str">
        <f t="shared" si="127"/>
        <v>*0.87</v>
      </c>
      <c r="AM1017" s="43" t="str">
        <f t="shared" si="129"/>
        <v>REZoning_Sol-Win</v>
      </c>
      <c r="AP1017" t="s">
        <v>1891</v>
      </c>
      <c r="AQ1017" t="s">
        <v>57</v>
      </c>
      <c r="AR1017">
        <v>2100</v>
      </c>
      <c r="AS1017" t="s">
        <v>874</v>
      </c>
      <c r="AT1017" t="s">
        <v>58</v>
      </c>
    </row>
    <row r="1018" ht="29" spans="1:46">
      <c r="A1018" s="31" t="s">
        <v>55</v>
      </c>
      <c r="C1018" t="s">
        <v>1892</v>
      </c>
      <c r="D1018" s="5" t="s">
        <v>57</v>
      </c>
      <c r="E1018">
        <v>2035</v>
      </c>
      <c r="F1018" s="6" t="str">
        <f t="shared" si="122"/>
        <v>*0.95</v>
      </c>
      <c r="H1018" t="s">
        <v>1892</v>
      </c>
      <c r="I1018" s="5" t="s">
        <v>57</v>
      </c>
      <c r="J1018">
        <v>2050</v>
      </c>
      <c r="K1018" s="38" t="str">
        <f t="shared" si="123"/>
        <v>*0.92</v>
      </c>
      <c r="P1018" s="32" t="s">
        <v>1892</v>
      </c>
      <c r="Q1018" s="42" t="s">
        <v>57</v>
      </c>
      <c r="R1018" s="32">
        <v>2035</v>
      </c>
      <c r="S1018" s="43" t="str">
        <f t="shared" si="124"/>
        <v>*0.94</v>
      </c>
      <c r="U1018" s="32" t="s">
        <v>1892</v>
      </c>
      <c r="V1018" s="42" t="s">
        <v>57</v>
      </c>
      <c r="W1018" s="32">
        <v>2050</v>
      </c>
      <c r="X1018" s="43" t="str">
        <f t="shared" si="125"/>
        <v>*0.91</v>
      </c>
      <c r="AC1018" s="33" t="s">
        <v>1892</v>
      </c>
      <c r="AD1018" s="44" t="s">
        <v>57</v>
      </c>
      <c r="AE1018" s="33">
        <v>2035</v>
      </c>
      <c r="AF1018" s="45" t="str">
        <f t="shared" si="126"/>
        <v>*0.92</v>
      </c>
      <c r="AG1018" s="43" t="str">
        <f t="shared" si="128"/>
        <v>REZoning_Sol-Win</v>
      </c>
      <c r="AI1018" s="33" t="s">
        <v>1892</v>
      </c>
      <c r="AJ1018" s="44" t="s">
        <v>57</v>
      </c>
      <c r="AK1018" s="33">
        <v>2050</v>
      </c>
      <c r="AL1018" s="45" t="str">
        <f t="shared" si="127"/>
        <v>*0.87</v>
      </c>
      <c r="AM1018" s="43" t="str">
        <f t="shared" si="129"/>
        <v>REZoning_Sol-Win</v>
      </c>
      <c r="AP1018" t="s">
        <v>1892</v>
      </c>
      <c r="AQ1018" t="s">
        <v>57</v>
      </c>
      <c r="AR1018">
        <v>2100</v>
      </c>
      <c r="AS1018" t="s">
        <v>874</v>
      </c>
      <c r="AT1018" t="s">
        <v>58</v>
      </c>
    </row>
    <row r="1019" ht="29" spans="1:46">
      <c r="A1019" s="31" t="s">
        <v>55</v>
      </c>
      <c r="C1019" t="s">
        <v>1893</v>
      </c>
      <c r="D1019" s="5" t="s">
        <v>57</v>
      </c>
      <c r="E1019">
        <v>2035</v>
      </c>
      <c r="F1019" s="6" t="str">
        <f t="shared" si="122"/>
        <v>*0.95</v>
      </c>
      <c r="H1019" t="s">
        <v>1893</v>
      </c>
      <c r="I1019" s="5" t="s">
        <v>57</v>
      </c>
      <c r="J1019">
        <v>2050</v>
      </c>
      <c r="K1019" s="38" t="str">
        <f t="shared" si="123"/>
        <v>*0.92</v>
      </c>
      <c r="P1019" s="32" t="s">
        <v>1893</v>
      </c>
      <c r="Q1019" s="42" t="s">
        <v>57</v>
      </c>
      <c r="R1019" s="32">
        <v>2035</v>
      </c>
      <c r="S1019" s="43" t="str">
        <f t="shared" si="124"/>
        <v>*0.94</v>
      </c>
      <c r="U1019" s="32" t="s">
        <v>1893</v>
      </c>
      <c r="V1019" s="42" t="s">
        <v>57</v>
      </c>
      <c r="W1019" s="32">
        <v>2050</v>
      </c>
      <c r="X1019" s="43" t="str">
        <f t="shared" si="125"/>
        <v>*0.91</v>
      </c>
      <c r="AC1019" s="33" t="s">
        <v>1893</v>
      </c>
      <c r="AD1019" s="44" t="s">
        <v>57</v>
      </c>
      <c r="AE1019" s="33">
        <v>2035</v>
      </c>
      <c r="AF1019" s="45" t="str">
        <f t="shared" si="126"/>
        <v>*0.92</v>
      </c>
      <c r="AG1019" s="43" t="str">
        <f t="shared" si="128"/>
        <v>REZoning_Sol-Win</v>
      </c>
      <c r="AI1019" s="33" t="s">
        <v>1893</v>
      </c>
      <c r="AJ1019" s="44" t="s">
        <v>57</v>
      </c>
      <c r="AK1019" s="33">
        <v>2050</v>
      </c>
      <c r="AL1019" s="45" t="str">
        <f t="shared" si="127"/>
        <v>*0.87</v>
      </c>
      <c r="AM1019" s="43" t="str">
        <f t="shared" si="129"/>
        <v>REZoning_Sol-Win</v>
      </c>
      <c r="AP1019" t="s">
        <v>1893</v>
      </c>
      <c r="AQ1019" t="s">
        <v>57</v>
      </c>
      <c r="AR1019">
        <v>2100</v>
      </c>
      <c r="AS1019" t="s">
        <v>874</v>
      </c>
      <c r="AT1019" t="s">
        <v>58</v>
      </c>
    </row>
    <row r="1020" ht="29" spans="1:46">
      <c r="A1020" s="31" t="s">
        <v>55</v>
      </c>
      <c r="C1020" t="s">
        <v>1894</v>
      </c>
      <c r="D1020" s="5" t="s">
        <v>57</v>
      </c>
      <c r="E1020">
        <v>2035</v>
      </c>
      <c r="F1020" s="6" t="str">
        <f t="shared" si="122"/>
        <v>*0.95</v>
      </c>
      <c r="H1020" t="s">
        <v>1894</v>
      </c>
      <c r="I1020" s="5" t="s">
        <v>57</v>
      </c>
      <c r="J1020">
        <v>2050</v>
      </c>
      <c r="K1020" s="38" t="str">
        <f t="shared" si="123"/>
        <v>*0.92</v>
      </c>
      <c r="P1020" s="32" t="s">
        <v>1894</v>
      </c>
      <c r="Q1020" s="42" t="s">
        <v>57</v>
      </c>
      <c r="R1020" s="32">
        <v>2035</v>
      </c>
      <c r="S1020" s="43" t="str">
        <f t="shared" si="124"/>
        <v>*0.94</v>
      </c>
      <c r="U1020" s="32" t="s">
        <v>1894</v>
      </c>
      <c r="V1020" s="42" t="s">
        <v>57</v>
      </c>
      <c r="W1020" s="32">
        <v>2050</v>
      </c>
      <c r="X1020" s="43" t="str">
        <f t="shared" si="125"/>
        <v>*0.91</v>
      </c>
      <c r="AC1020" s="33" t="s">
        <v>1894</v>
      </c>
      <c r="AD1020" s="44" t="s">
        <v>57</v>
      </c>
      <c r="AE1020" s="33">
        <v>2035</v>
      </c>
      <c r="AF1020" s="45" t="str">
        <f t="shared" si="126"/>
        <v>*0.92</v>
      </c>
      <c r="AG1020" s="43" t="str">
        <f t="shared" si="128"/>
        <v>REZoning_Sol-Win</v>
      </c>
      <c r="AI1020" s="33" t="s">
        <v>1894</v>
      </c>
      <c r="AJ1020" s="44" t="s">
        <v>57</v>
      </c>
      <c r="AK1020" s="33">
        <v>2050</v>
      </c>
      <c r="AL1020" s="45" t="str">
        <f t="shared" si="127"/>
        <v>*0.87</v>
      </c>
      <c r="AM1020" s="43" t="str">
        <f t="shared" si="129"/>
        <v>REZoning_Sol-Win</v>
      </c>
      <c r="AP1020" t="s">
        <v>1894</v>
      </c>
      <c r="AQ1020" t="s">
        <v>57</v>
      </c>
      <c r="AR1020">
        <v>2100</v>
      </c>
      <c r="AS1020" t="s">
        <v>874</v>
      </c>
      <c r="AT1020" t="s">
        <v>58</v>
      </c>
    </row>
    <row r="1021" ht="29" spans="1:46">
      <c r="A1021" s="31" t="s">
        <v>55</v>
      </c>
      <c r="C1021" t="s">
        <v>1895</v>
      </c>
      <c r="D1021" s="5" t="s">
        <v>57</v>
      </c>
      <c r="E1021">
        <v>2035</v>
      </c>
      <c r="F1021" s="6" t="str">
        <f t="shared" si="122"/>
        <v>*0.95</v>
      </c>
      <c r="H1021" t="s">
        <v>1895</v>
      </c>
      <c r="I1021" s="5" t="s">
        <v>57</v>
      </c>
      <c r="J1021">
        <v>2050</v>
      </c>
      <c r="K1021" s="38" t="str">
        <f t="shared" si="123"/>
        <v>*0.92</v>
      </c>
      <c r="P1021" s="32" t="s">
        <v>1895</v>
      </c>
      <c r="Q1021" s="42" t="s">
        <v>57</v>
      </c>
      <c r="R1021" s="32">
        <v>2035</v>
      </c>
      <c r="S1021" s="43" t="str">
        <f t="shared" si="124"/>
        <v>*0.94</v>
      </c>
      <c r="U1021" s="32" t="s">
        <v>1895</v>
      </c>
      <c r="V1021" s="42" t="s">
        <v>57</v>
      </c>
      <c r="W1021" s="32">
        <v>2050</v>
      </c>
      <c r="X1021" s="43" t="str">
        <f t="shared" si="125"/>
        <v>*0.91</v>
      </c>
      <c r="AC1021" s="33" t="s">
        <v>1895</v>
      </c>
      <c r="AD1021" s="44" t="s">
        <v>57</v>
      </c>
      <c r="AE1021" s="33">
        <v>2035</v>
      </c>
      <c r="AF1021" s="45" t="str">
        <f t="shared" si="126"/>
        <v>*0.92</v>
      </c>
      <c r="AG1021" s="43" t="str">
        <f t="shared" si="128"/>
        <v>REZoning_Sol-Win</v>
      </c>
      <c r="AI1021" s="33" t="s">
        <v>1895</v>
      </c>
      <c r="AJ1021" s="44" t="s">
        <v>57</v>
      </c>
      <c r="AK1021" s="33">
        <v>2050</v>
      </c>
      <c r="AL1021" s="45" t="str">
        <f t="shared" si="127"/>
        <v>*0.87</v>
      </c>
      <c r="AM1021" s="43" t="str">
        <f t="shared" si="129"/>
        <v>REZoning_Sol-Win</v>
      </c>
      <c r="AP1021" t="s">
        <v>1895</v>
      </c>
      <c r="AQ1021" t="s">
        <v>57</v>
      </c>
      <c r="AR1021">
        <v>2100</v>
      </c>
      <c r="AS1021" t="s">
        <v>874</v>
      </c>
      <c r="AT1021" t="s">
        <v>58</v>
      </c>
    </row>
    <row r="1022" ht="29" spans="1:46">
      <c r="A1022" s="31" t="s">
        <v>55</v>
      </c>
      <c r="C1022" t="s">
        <v>1896</v>
      </c>
      <c r="D1022" s="5" t="s">
        <v>57</v>
      </c>
      <c r="E1022">
        <v>2035</v>
      </c>
      <c r="F1022" s="6" t="str">
        <f t="shared" si="122"/>
        <v>*0.95</v>
      </c>
      <c r="H1022" t="s">
        <v>1896</v>
      </c>
      <c r="I1022" s="5" t="s">
        <v>57</v>
      </c>
      <c r="J1022">
        <v>2050</v>
      </c>
      <c r="K1022" s="38" t="str">
        <f t="shared" si="123"/>
        <v>*0.92</v>
      </c>
      <c r="P1022" s="32" t="s">
        <v>1896</v>
      </c>
      <c r="Q1022" s="42" t="s">
        <v>57</v>
      </c>
      <c r="R1022" s="32">
        <v>2035</v>
      </c>
      <c r="S1022" s="43" t="str">
        <f t="shared" si="124"/>
        <v>*0.94</v>
      </c>
      <c r="U1022" s="32" t="s">
        <v>1896</v>
      </c>
      <c r="V1022" s="42" t="s">
        <v>57</v>
      </c>
      <c r="W1022" s="32">
        <v>2050</v>
      </c>
      <c r="X1022" s="43" t="str">
        <f t="shared" si="125"/>
        <v>*0.91</v>
      </c>
      <c r="AC1022" s="33" t="s">
        <v>1896</v>
      </c>
      <c r="AD1022" s="44" t="s">
        <v>57</v>
      </c>
      <c r="AE1022" s="33">
        <v>2035</v>
      </c>
      <c r="AF1022" s="45" t="str">
        <f t="shared" si="126"/>
        <v>*0.92</v>
      </c>
      <c r="AG1022" s="43" t="str">
        <f t="shared" si="128"/>
        <v>REZoning_Sol-Win</v>
      </c>
      <c r="AI1022" s="33" t="s">
        <v>1896</v>
      </c>
      <c r="AJ1022" s="44" t="s">
        <v>57</v>
      </c>
      <c r="AK1022" s="33">
        <v>2050</v>
      </c>
      <c r="AL1022" s="45" t="str">
        <f t="shared" si="127"/>
        <v>*0.87</v>
      </c>
      <c r="AM1022" s="43" t="str">
        <f t="shared" si="129"/>
        <v>REZoning_Sol-Win</v>
      </c>
      <c r="AP1022" t="s">
        <v>1896</v>
      </c>
      <c r="AQ1022" t="s">
        <v>57</v>
      </c>
      <c r="AR1022">
        <v>2100</v>
      </c>
      <c r="AS1022" t="s">
        <v>874</v>
      </c>
      <c r="AT1022" t="s">
        <v>58</v>
      </c>
    </row>
    <row r="1023" ht="29" spans="1:46">
      <c r="A1023" s="31" t="s">
        <v>55</v>
      </c>
      <c r="C1023" t="s">
        <v>1897</v>
      </c>
      <c r="D1023" s="5" t="s">
        <v>57</v>
      </c>
      <c r="E1023">
        <v>2035</v>
      </c>
      <c r="F1023" s="6" t="str">
        <f t="shared" si="122"/>
        <v>*0.95</v>
      </c>
      <c r="H1023" t="s">
        <v>1897</v>
      </c>
      <c r="I1023" s="5" t="s">
        <v>57</v>
      </c>
      <c r="J1023">
        <v>2050</v>
      </c>
      <c r="K1023" s="38" t="str">
        <f t="shared" si="123"/>
        <v>*0.92</v>
      </c>
      <c r="P1023" s="32" t="s">
        <v>1897</v>
      </c>
      <c r="Q1023" s="42" t="s">
        <v>57</v>
      </c>
      <c r="R1023" s="32">
        <v>2035</v>
      </c>
      <c r="S1023" s="43" t="str">
        <f t="shared" si="124"/>
        <v>*0.94</v>
      </c>
      <c r="U1023" s="32" t="s">
        <v>1897</v>
      </c>
      <c r="V1023" s="42" t="s">
        <v>57</v>
      </c>
      <c r="W1023" s="32">
        <v>2050</v>
      </c>
      <c r="X1023" s="43" t="str">
        <f t="shared" si="125"/>
        <v>*0.91</v>
      </c>
      <c r="AC1023" s="33" t="s">
        <v>1897</v>
      </c>
      <c r="AD1023" s="44" t="s">
        <v>57</v>
      </c>
      <c r="AE1023" s="33">
        <v>2035</v>
      </c>
      <c r="AF1023" s="45" t="str">
        <f t="shared" si="126"/>
        <v>*0.92</v>
      </c>
      <c r="AG1023" s="43" t="str">
        <f t="shared" si="128"/>
        <v>REZoning_Sol-Win</v>
      </c>
      <c r="AI1023" s="33" t="s">
        <v>1897</v>
      </c>
      <c r="AJ1023" s="44" t="s">
        <v>57</v>
      </c>
      <c r="AK1023" s="33">
        <v>2050</v>
      </c>
      <c r="AL1023" s="45" t="str">
        <f t="shared" si="127"/>
        <v>*0.87</v>
      </c>
      <c r="AM1023" s="43" t="str">
        <f t="shared" si="129"/>
        <v>REZoning_Sol-Win</v>
      </c>
      <c r="AP1023" t="s">
        <v>1897</v>
      </c>
      <c r="AQ1023" t="s">
        <v>57</v>
      </c>
      <c r="AR1023">
        <v>2100</v>
      </c>
      <c r="AS1023" t="s">
        <v>874</v>
      </c>
      <c r="AT1023" t="s">
        <v>58</v>
      </c>
    </row>
    <row r="1024" ht="29" spans="1:46">
      <c r="A1024" s="31" t="s">
        <v>55</v>
      </c>
      <c r="C1024" t="s">
        <v>1898</v>
      </c>
      <c r="D1024" s="5" t="s">
        <v>57</v>
      </c>
      <c r="E1024">
        <v>2035</v>
      </c>
      <c r="F1024" s="6" t="str">
        <f t="shared" si="122"/>
        <v>*0.95</v>
      </c>
      <c r="H1024" t="s">
        <v>1898</v>
      </c>
      <c r="I1024" s="5" t="s">
        <v>57</v>
      </c>
      <c r="J1024">
        <v>2050</v>
      </c>
      <c r="K1024" s="38" t="str">
        <f t="shared" si="123"/>
        <v>*0.92</v>
      </c>
      <c r="P1024" s="32" t="s">
        <v>1898</v>
      </c>
      <c r="Q1024" s="42" t="s">
        <v>57</v>
      </c>
      <c r="R1024" s="32">
        <v>2035</v>
      </c>
      <c r="S1024" s="43" t="str">
        <f t="shared" si="124"/>
        <v>*0.94</v>
      </c>
      <c r="U1024" s="32" t="s">
        <v>1898</v>
      </c>
      <c r="V1024" s="42" t="s">
        <v>57</v>
      </c>
      <c r="W1024" s="32">
        <v>2050</v>
      </c>
      <c r="X1024" s="43" t="str">
        <f t="shared" si="125"/>
        <v>*0.91</v>
      </c>
      <c r="AC1024" s="33" t="s">
        <v>1898</v>
      </c>
      <c r="AD1024" s="44" t="s">
        <v>57</v>
      </c>
      <c r="AE1024" s="33">
        <v>2035</v>
      </c>
      <c r="AF1024" s="45" t="str">
        <f t="shared" si="126"/>
        <v>*0.92</v>
      </c>
      <c r="AG1024" s="43" t="str">
        <f t="shared" si="128"/>
        <v>REZoning_Sol-Win</v>
      </c>
      <c r="AI1024" s="33" t="s">
        <v>1898</v>
      </c>
      <c r="AJ1024" s="44" t="s">
        <v>57</v>
      </c>
      <c r="AK1024" s="33">
        <v>2050</v>
      </c>
      <c r="AL1024" s="45" t="str">
        <f t="shared" si="127"/>
        <v>*0.87</v>
      </c>
      <c r="AM1024" s="43" t="str">
        <f t="shared" si="129"/>
        <v>REZoning_Sol-Win</v>
      </c>
      <c r="AP1024" t="s">
        <v>1898</v>
      </c>
      <c r="AQ1024" t="s">
        <v>57</v>
      </c>
      <c r="AR1024">
        <v>2100</v>
      </c>
      <c r="AS1024" t="s">
        <v>874</v>
      </c>
      <c r="AT1024" t="s">
        <v>58</v>
      </c>
    </row>
    <row r="1025" ht="29" spans="1:46">
      <c r="A1025" s="31" t="s">
        <v>55</v>
      </c>
      <c r="C1025" t="s">
        <v>1899</v>
      </c>
      <c r="D1025" s="5" t="s">
        <v>57</v>
      </c>
      <c r="E1025">
        <v>2035</v>
      </c>
      <c r="F1025" s="6" t="str">
        <f t="shared" si="122"/>
        <v>*0.95</v>
      </c>
      <c r="H1025" t="s">
        <v>1899</v>
      </c>
      <c r="I1025" s="5" t="s">
        <v>57</v>
      </c>
      <c r="J1025">
        <v>2050</v>
      </c>
      <c r="K1025" s="38" t="str">
        <f t="shared" si="123"/>
        <v>*0.92</v>
      </c>
      <c r="P1025" s="32" t="s">
        <v>1899</v>
      </c>
      <c r="Q1025" s="42" t="s">
        <v>57</v>
      </c>
      <c r="R1025" s="32">
        <v>2035</v>
      </c>
      <c r="S1025" s="43" t="str">
        <f t="shared" si="124"/>
        <v>*0.94</v>
      </c>
      <c r="U1025" s="32" t="s">
        <v>1899</v>
      </c>
      <c r="V1025" s="42" t="s">
        <v>57</v>
      </c>
      <c r="W1025" s="32">
        <v>2050</v>
      </c>
      <c r="X1025" s="43" t="str">
        <f t="shared" si="125"/>
        <v>*0.91</v>
      </c>
      <c r="AC1025" s="33" t="s">
        <v>1899</v>
      </c>
      <c r="AD1025" s="44" t="s">
        <v>57</v>
      </c>
      <c r="AE1025" s="33">
        <v>2035</v>
      </c>
      <c r="AF1025" s="45" t="str">
        <f t="shared" si="126"/>
        <v>*0.92</v>
      </c>
      <c r="AG1025" s="43" t="str">
        <f t="shared" si="128"/>
        <v>REZoning_Sol-Win</v>
      </c>
      <c r="AI1025" s="33" t="s">
        <v>1899</v>
      </c>
      <c r="AJ1025" s="44" t="s">
        <v>57</v>
      </c>
      <c r="AK1025" s="33">
        <v>2050</v>
      </c>
      <c r="AL1025" s="45" t="str">
        <f t="shared" si="127"/>
        <v>*0.87</v>
      </c>
      <c r="AM1025" s="43" t="str">
        <f t="shared" si="129"/>
        <v>REZoning_Sol-Win</v>
      </c>
      <c r="AP1025" t="s">
        <v>1899</v>
      </c>
      <c r="AQ1025" t="s">
        <v>57</v>
      </c>
      <c r="AR1025">
        <v>2100</v>
      </c>
      <c r="AS1025" t="s">
        <v>874</v>
      </c>
      <c r="AT1025" t="s">
        <v>58</v>
      </c>
    </row>
    <row r="1026" ht="29" spans="1:46">
      <c r="A1026" s="31" t="s">
        <v>55</v>
      </c>
      <c r="C1026" t="s">
        <v>1900</v>
      </c>
      <c r="D1026" s="5" t="s">
        <v>57</v>
      </c>
      <c r="E1026">
        <v>2035</v>
      </c>
      <c r="F1026" s="6" t="str">
        <f t="shared" si="122"/>
        <v>*0.95</v>
      </c>
      <c r="H1026" t="s">
        <v>1900</v>
      </c>
      <c r="I1026" s="5" t="s">
        <v>57</v>
      </c>
      <c r="J1026">
        <v>2050</v>
      </c>
      <c r="K1026" s="38" t="str">
        <f t="shared" si="123"/>
        <v>*0.92</v>
      </c>
      <c r="P1026" s="32" t="s">
        <v>1900</v>
      </c>
      <c r="Q1026" s="42" t="s">
        <v>57</v>
      </c>
      <c r="R1026" s="32">
        <v>2035</v>
      </c>
      <c r="S1026" s="43" t="str">
        <f t="shared" si="124"/>
        <v>*0.94</v>
      </c>
      <c r="U1026" s="32" t="s">
        <v>1900</v>
      </c>
      <c r="V1026" s="42" t="s">
        <v>57</v>
      </c>
      <c r="W1026" s="32">
        <v>2050</v>
      </c>
      <c r="X1026" s="43" t="str">
        <f t="shared" si="125"/>
        <v>*0.91</v>
      </c>
      <c r="AC1026" s="33" t="s">
        <v>1900</v>
      </c>
      <c r="AD1026" s="44" t="s">
        <v>57</v>
      </c>
      <c r="AE1026" s="33">
        <v>2035</v>
      </c>
      <c r="AF1026" s="45" t="str">
        <f t="shared" si="126"/>
        <v>*0.92</v>
      </c>
      <c r="AG1026" s="43" t="str">
        <f t="shared" si="128"/>
        <v>REZoning_Sol-Win</v>
      </c>
      <c r="AI1026" s="33" t="s">
        <v>1900</v>
      </c>
      <c r="AJ1026" s="44" t="s">
        <v>57</v>
      </c>
      <c r="AK1026" s="33">
        <v>2050</v>
      </c>
      <c r="AL1026" s="45" t="str">
        <f t="shared" si="127"/>
        <v>*0.87</v>
      </c>
      <c r="AM1026" s="43" t="str">
        <f t="shared" si="129"/>
        <v>REZoning_Sol-Win</v>
      </c>
      <c r="AP1026" t="s">
        <v>1900</v>
      </c>
      <c r="AQ1026" t="s">
        <v>57</v>
      </c>
      <c r="AR1026">
        <v>2100</v>
      </c>
      <c r="AS1026" t="s">
        <v>874</v>
      </c>
      <c r="AT1026" t="s">
        <v>58</v>
      </c>
    </row>
    <row r="1027" ht="29" spans="1:46">
      <c r="A1027" s="31" t="s">
        <v>55</v>
      </c>
      <c r="C1027" t="s">
        <v>1901</v>
      </c>
      <c r="D1027" s="5" t="s">
        <v>57</v>
      </c>
      <c r="E1027">
        <v>2035</v>
      </c>
      <c r="F1027" s="6" t="str">
        <f t="shared" si="122"/>
        <v>*0.95</v>
      </c>
      <c r="H1027" t="s">
        <v>1901</v>
      </c>
      <c r="I1027" s="5" t="s">
        <v>57</v>
      </c>
      <c r="J1027">
        <v>2050</v>
      </c>
      <c r="K1027" s="38" t="str">
        <f t="shared" si="123"/>
        <v>*0.92</v>
      </c>
      <c r="P1027" s="32" t="s">
        <v>1901</v>
      </c>
      <c r="Q1027" s="42" t="s">
        <v>57</v>
      </c>
      <c r="R1027" s="32">
        <v>2035</v>
      </c>
      <c r="S1027" s="43" t="str">
        <f t="shared" si="124"/>
        <v>*0.94</v>
      </c>
      <c r="U1027" s="32" t="s">
        <v>1901</v>
      </c>
      <c r="V1027" s="42" t="s">
        <v>57</v>
      </c>
      <c r="W1027" s="32">
        <v>2050</v>
      </c>
      <c r="X1027" s="43" t="str">
        <f t="shared" si="125"/>
        <v>*0.91</v>
      </c>
      <c r="AC1027" s="33" t="s">
        <v>1901</v>
      </c>
      <c r="AD1027" s="44" t="s">
        <v>57</v>
      </c>
      <c r="AE1027" s="33">
        <v>2035</v>
      </c>
      <c r="AF1027" s="45" t="str">
        <f t="shared" si="126"/>
        <v>*0.92</v>
      </c>
      <c r="AG1027" s="43" t="str">
        <f t="shared" si="128"/>
        <v>REZoning_Sol-Win</v>
      </c>
      <c r="AI1027" s="33" t="s">
        <v>1901</v>
      </c>
      <c r="AJ1027" s="44" t="s">
        <v>57</v>
      </c>
      <c r="AK1027" s="33">
        <v>2050</v>
      </c>
      <c r="AL1027" s="45" t="str">
        <f t="shared" si="127"/>
        <v>*0.87</v>
      </c>
      <c r="AM1027" s="43" t="str">
        <f t="shared" si="129"/>
        <v>REZoning_Sol-Win</v>
      </c>
      <c r="AP1027" t="s">
        <v>1901</v>
      </c>
      <c r="AQ1027" t="s">
        <v>57</v>
      </c>
      <c r="AR1027">
        <v>2100</v>
      </c>
      <c r="AS1027" t="s">
        <v>874</v>
      </c>
      <c r="AT1027" t="s">
        <v>58</v>
      </c>
    </row>
    <row r="1028" ht="29" spans="1:46">
      <c r="A1028" s="31" t="s">
        <v>55</v>
      </c>
      <c r="C1028" t="s">
        <v>1902</v>
      </c>
      <c r="D1028" s="5" t="s">
        <v>57</v>
      </c>
      <c r="E1028">
        <v>2035</v>
      </c>
      <c r="F1028" s="6" t="str">
        <f t="shared" ref="F1028:F1091" si="130">"*"&amp;IF(AND(A1028="EU",E1028=2035),0.95,IF(AND(A1028="EU",E1028=2050),0.93,IF(AND(A1028="USA",E1028=2035),0.96,IF(AND(A1028="USA",E1028=2050),0.94,IF(AND(A1028="Japan",E1028=2035),0.94,IF(AND(A1028="Japan",E1028=2050),0.92,IF(AND(A1028="Russia",E1028=2035),0.95,IF(AND(A1028="Russia",E1028=2050),0.93,IF(AND(A1028="China",E1028=2035),0.94,IF(AND(A1028="China",E1028=2050),0.92,IF(AND(A1028="India",E1028=2035),0.95,IF(AND(A1028="India",E1028=2050),0.92,IF(AND(A1028="Middle East",E1028=2035),0.94,IF(AND(A1028="Middle East",E1028=2050),0.9,IF(AND(A1028="Africa",E1028=2035),0.94,IF(AND(A1028="Africa",E1028=2050),0.91,IF(AND(A1028="Brazil",E1028=2035),0.95,IF(AND(A1028="Brazil",E1028=2050),0.92,""))))))))))))))))))</f>
        <v>*0.95</v>
      </c>
      <c r="H1028" t="s">
        <v>1902</v>
      </c>
      <c r="I1028" s="5" t="s">
        <v>57</v>
      </c>
      <c r="J1028">
        <v>2050</v>
      </c>
      <c r="K1028" s="38" t="str">
        <f t="shared" ref="K1028:K1091" si="131">"*"&amp;IF(AND(A1028="EU",J1028=2035),0.95,IF(AND(A1028="EU",J1028=2050),0.93,IF(AND(A1028="USA",J1028=2035),0.96,IF(AND(A1028="USA",J1028=2050),0.94,IF(AND(A1028="Japan",J1028=2035),0.94,IF(AND(A1028="Japan",J1028=2050),0.92,IF(AND(A1028="Russia",J1028=2035),0.95,IF(AND(A1028="Russia",J1028=2050),0.93,IF(AND(A1028="China",J1028=2035),0.94,IF(AND(A1028="China",J1028=2050),0.92,IF(AND(A1028="India",J1028=2035),0.95,IF(AND(A1028="India",J1028=2050),0.92,IF(AND(A1028="Middle East",J1028=2035),0.94,IF(AND(A1028="Middle East",J1028=2050),0.9,IF(AND(A1028="Africa",J1028=2035),0.94,IF(AND(A1028="Africa",J1028=2050),0.91,IF(AND(A1028="Brazil",J1028=2035),0.95,IF(AND(A1028="Brazil",J1028=2050),0.92,""))))))))))))))))))</f>
        <v>*0.92</v>
      </c>
      <c r="P1028" s="32" t="s">
        <v>1902</v>
      </c>
      <c r="Q1028" s="42" t="s">
        <v>57</v>
      </c>
      <c r="R1028" s="32">
        <v>2035</v>
      </c>
      <c r="S1028" s="43" t="str">
        <f t="shared" ref="S1028:S1091" si="132">"*"&amp;IF(AND(A1028="EU",R1028=2035),0.95,IF(AND(A1028="EU",R1028=2050),0.93,IF(AND(A1028="USA",R1028=2035),0.96,IF(AND(A1028="USA",R1028=2050),0.93,IF(AND(A1028="Japan",R1028=2035),0.94,IF(AND(A1028="Japan",R1028=2050),0.92,IF(AND(A1028="Russia",R1028=2035),0.95,IF(AND(A1028="Russia",R1028=2050),0.91,IF(AND(A1028="China",R1028=2035),0.93,IF(AND(A1028="China",R1028=2050),0.92,IF(AND(A1028="India",R1028=2035),0.94,IF(AND(A1028="India",R1028=2050),0.91,IF(AND(A1028="Middle East",R1028=2035),0.92,IF(AND(A1028="Middle East",R1028=2050),0.89,IF(AND(A1028="Africa",R1028=2035),0.93,IF(AND(A1028="Africa",R1028=2050),0.9,IF(AND(A1028="Brazil",R1028=2035),0.95,IF(AND(A1028="Brazil",R1028=2050),0.92,""))))))))))))))))))</f>
        <v>*0.94</v>
      </c>
      <c r="U1028" s="32" t="s">
        <v>1902</v>
      </c>
      <c r="V1028" s="42" t="s">
        <v>57</v>
      </c>
      <c r="W1028" s="32">
        <v>2050</v>
      </c>
      <c r="X1028" s="43" t="str">
        <f t="shared" ref="X1028:X1091" si="133">"*"&amp;IF(AND(A1028="EU",W1028=2035),0.95,IF(AND(A1028="EU",W1028=2050),0.93,IF(AND(A1028="USA",W1028=2035),0.96,IF(AND(A1028="USA",W1028=2050),0.93,IF(AND(A1028="Japan",W1028=2035),0.94,IF(AND(A1028="Japan",W1028=2050),0.92,IF(AND(A1028="Russia",W1028=2035),0.95,IF(AND(A1028="Russia",W1028=2050),0.91,IF(AND(A1028="China",W1028=2035),0.93,IF(AND(A1028="China",W1028=2050),0.92,IF(AND(A1028="India",W1028=2035),0.94,IF(AND(A1028="India",W1028=2050),0.91,IF(AND(A1028="Middle East",W1028=2035),0.92,IF(AND(A1028="Middle East",W1028=2050),0.89,IF(AND(A1028="Africa",W1028=2035),0.93,IF(AND(A1028="Africa",W1028=2050),0.9,IF(AND(A1028="Brazil",W1028=2035),0.95,IF(AND(A1028="Brazil",W1028=2050),0.92,""))))))))))))))))))</f>
        <v>*0.91</v>
      </c>
      <c r="AC1028" s="33" t="s">
        <v>1902</v>
      </c>
      <c r="AD1028" s="44" t="s">
        <v>57</v>
      </c>
      <c r="AE1028" s="33">
        <v>2035</v>
      </c>
      <c r="AF1028" s="45" t="str">
        <f t="shared" ref="AF1028:AF1091" si="134">"*"&amp;IF(AND(A1028="EU",AE1028=2035),0.93,IF(AND(A1028="EU",AE1028=2050),0.9,IF(AND(A1028="USA",AE1028=2035),0.92,IF(AND(A1028="USA",AE1028=2050),0.89,IF(AND(A1028="Japan",AE1028=2035),0.92,IF(AND(A1028="Japan",AE1028=2050),0.89,IF(AND(A1028="Russia",AE1028=2035),0.91,IF(AND(A1028="Russia",AE1028=2050),0.86,IF(AND(A1028="China",AE1028=2035),0.91,IF(AND(A1028="China",AE1028=2050),0.87,IF(AND(A1028="India",AE1028=2035),0.92,IF(AND(A1028="India",AE1028=2050),0.87,IF(AND(A1028="Middle East",AE1028=2035),0.89,IF(AND(A1028="Middle East",AE1028=2050),0.84,IF(AND(A1028="Africa",AE1028=2035),0.9,IF(AND(A1028="Africa",AE1028=2050),0.86,IF(AND(A1028="Brazil",AE1028=2035),0.93,IF(AND(A1028="Brazil",AE1028=2050),0.89,""))))))))))))))))))</f>
        <v>*0.92</v>
      </c>
      <c r="AG1028" s="43" t="str">
        <f t="shared" si="128"/>
        <v>REZoning_Sol-Win</v>
      </c>
      <c r="AI1028" s="33" t="s">
        <v>1902</v>
      </c>
      <c r="AJ1028" s="44" t="s">
        <v>57</v>
      </c>
      <c r="AK1028" s="33">
        <v>2050</v>
      </c>
      <c r="AL1028" s="45" t="str">
        <f t="shared" ref="AL1028:AL1091" si="135">"*"&amp;IF(AND(A1028="EU",AK1028=2035),0.93,IF(AND(A1028="EU",AK1028=2050),0.9,IF(AND(A1028="USA",AK1028=2035),0.92,IF(AND(A1028="USA",AK1028=2050),0.89,IF(AND(A1028="Japan",AK1028=2035),0.92,IF(AND(A1028="Japan",AK1028=2050),0.89,IF(AND(A1028="Russia",AK1028=2035),0.91,IF(AND(A1028="Russia",AK1028=2050),0.86,IF(AND(A1028="China",AK1028=2035),0.91,IF(AND(A1028="China",AK1028=2050),0.87,IF(AND(A1028="India",AK1028=2035),0.92,IF(AND(A1028="India",AK1028=2050),0.87,IF(AND(A1028="Middle East",AK1028=2035),0.89,IF(AND(A1028="Middle East",AK1028=2050),0.84,IF(AND(A1028="Africa",AK1028=2035),0.9,IF(AND(A1028="Africa",AK1028=2050),0.86,IF(AND(A1028="Brazil",AK1028=2035),0.93,IF(AND(A1028="Brazil",AK1028=2050),0.89,""))))))))))))))))))</f>
        <v>*0.87</v>
      </c>
      <c r="AM1028" s="43" t="str">
        <f t="shared" si="129"/>
        <v>REZoning_Sol-Win</v>
      </c>
      <c r="AP1028" t="s">
        <v>1902</v>
      </c>
      <c r="AQ1028" t="s">
        <v>57</v>
      </c>
      <c r="AR1028">
        <v>2100</v>
      </c>
      <c r="AS1028" t="s">
        <v>874</v>
      </c>
      <c r="AT1028" t="s">
        <v>58</v>
      </c>
    </row>
    <row r="1029" ht="29" spans="1:46">
      <c r="A1029" s="31" t="s">
        <v>55</v>
      </c>
      <c r="C1029" t="s">
        <v>1903</v>
      </c>
      <c r="D1029" s="5" t="s">
        <v>57</v>
      </c>
      <c r="E1029">
        <v>2035</v>
      </c>
      <c r="F1029" s="6" t="str">
        <f t="shared" si="130"/>
        <v>*0.95</v>
      </c>
      <c r="H1029" t="s">
        <v>1903</v>
      </c>
      <c r="I1029" s="5" t="s">
        <v>57</v>
      </c>
      <c r="J1029">
        <v>2050</v>
      </c>
      <c r="K1029" s="38" t="str">
        <f t="shared" si="131"/>
        <v>*0.92</v>
      </c>
      <c r="P1029" s="32" t="s">
        <v>1903</v>
      </c>
      <c r="Q1029" s="42" t="s">
        <v>57</v>
      </c>
      <c r="R1029" s="32">
        <v>2035</v>
      </c>
      <c r="S1029" s="43" t="str">
        <f t="shared" si="132"/>
        <v>*0.94</v>
      </c>
      <c r="U1029" s="32" t="s">
        <v>1903</v>
      </c>
      <c r="V1029" s="42" t="s">
        <v>57</v>
      </c>
      <c r="W1029" s="32">
        <v>2050</v>
      </c>
      <c r="X1029" s="43" t="str">
        <f t="shared" si="133"/>
        <v>*0.91</v>
      </c>
      <c r="AC1029" s="33" t="s">
        <v>1903</v>
      </c>
      <c r="AD1029" s="44" t="s">
        <v>57</v>
      </c>
      <c r="AE1029" s="33">
        <v>2035</v>
      </c>
      <c r="AF1029" s="45" t="str">
        <f t="shared" si="134"/>
        <v>*0.92</v>
      </c>
      <c r="AG1029" s="43" t="str">
        <f t="shared" si="128"/>
        <v>REZoning_Sol-Win</v>
      </c>
      <c r="AI1029" s="33" t="s">
        <v>1903</v>
      </c>
      <c r="AJ1029" s="44" t="s">
        <v>57</v>
      </c>
      <c r="AK1029" s="33">
        <v>2050</v>
      </c>
      <c r="AL1029" s="45" t="str">
        <f t="shared" si="135"/>
        <v>*0.87</v>
      </c>
      <c r="AM1029" s="43" t="str">
        <f t="shared" si="129"/>
        <v>REZoning_Sol-Win</v>
      </c>
      <c r="AP1029" t="s">
        <v>1903</v>
      </c>
      <c r="AQ1029" t="s">
        <v>57</v>
      </c>
      <c r="AR1029">
        <v>2100</v>
      </c>
      <c r="AS1029" t="s">
        <v>874</v>
      </c>
      <c r="AT1029" t="s">
        <v>58</v>
      </c>
    </row>
    <row r="1030" ht="29" spans="1:46">
      <c r="A1030" s="31" t="s">
        <v>55</v>
      </c>
      <c r="C1030" t="s">
        <v>1904</v>
      </c>
      <c r="D1030" s="5" t="s">
        <v>57</v>
      </c>
      <c r="E1030">
        <v>2035</v>
      </c>
      <c r="F1030" s="6" t="str">
        <f t="shared" si="130"/>
        <v>*0.95</v>
      </c>
      <c r="H1030" t="s">
        <v>1904</v>
      </c>
      <c r="I1030" s="5" t="s">
        <v>57</v>
      </c>
      <c r="J1030">
        <v>2050</v>
      </c>
      <c r="K1030" s="38" t="str">
        <f t="shared" si="131"/>
        <v>*0.92</v>
      </c>
      <c r="P1030" s="32" t="s">
        <v>1904</v>
      </c>
      <c r="Q1030" s="42" t="s">
        <v>57</v>
      </c>
      <c r="R1030" s="32">
        <v>2035</v>
      </c>
      <c r="S1030" s="43" t="str">
        <f t="shared" si="132"/>
        <v>*0.94</v>
      </c>
      <c r="U1030" s="32" t="s">
        <v>1904</v>
      </c>
      <c r="V1030" s="42" t="s">
        <v>57</v>
      </c>
      <c r="W1030" s="32">
        <v>2050</v>
      </c>
      <c r="X1030" s="43" t="str">
        <f t="shared" si="133"/>
        <v>*0.91</v>
      </c>
      <c r="AC1030" s="33" t="s">
        <v>1904</v>
      </c>
      <c r="AD1030" s="44" t="s">
        <v>57</v>
      </c>
      <c r="AE1030" s="33">
        <v>2035</v>
      </c>
      <c r="AF1030" s="45" t="str">
        <f t="shared" si="134"/>
        <v>*0.92</v>
      </c>
      <c r="AG1030" s="43" t="str">
        <f t="shared" si="128"/>
        <v>REZoning_Sol-Win</v>
      </c>
      <c r="AI1030" s="33" t="s">
        <v>1904</v>
      </c>
      <c r="AJ1030" s="44" t="s">
        <v>57</v>
      </c>
      <c r="AK1030" s="33">
        <v>2050</v>
      </c>
      <c r="AL1030" s="45" t="str">
        <f t="shared" si="135"/>
        <v>*0.87</v>
      </c>
      <c r="AM1030" s="43" t="str">
        <f t="shared" si="129"/>
        <v>REZoning_Sol-Win</v>
      </c>
      <c r="AP1030" t="s">
        <v>1904</v>
      </c>
      <c r="AQ1030" t="s">
        <v>57</v>
      </c>
      <c r="AR1030">
        <v>2100</v>
      </c>
      <c r="AS1030" t="s">
        <v>874</v>
      </c>
      <c r="AT1030" t="s">
        <v>58</v>
      </c>
    </row>
    <row r="1031" ht="29" spans="1:46">
      <c r="A1031" s="31" t="s">
        <v>55</v>
      </c>
      <c r="C1031" t="s">
        <v>1905</v>
      </c>
      <c r="D1031" s="5" t="s">
        <v>57</v>
      </c>
      <c r="E1031">
        <v>2035</v>
      </c>
      <c r="F1031" s="6" t="str">
        <f t="shared" si="130"/>
        <v>*0.95</v>
      </c>
      <c r="H1031" t="s">
        <v>1905</v>
      </c>
      <c r="I1031" s="5" t="s">
        <v>57</v>
      </c>
      <c r="J1031">
        <v>2050</v>
      </c>
      <c r="K1031" s="38" t="str">
        <f t="shared" si="131"/>
        <v>*0.92</v>
      </c>
      <c r="P1031" s="32" t="s">
        <v>1905</v>
      </c>
      <c r="Q1031" s="42" t="s">
        <v>57</v>
      </c>
      <c r="R1031" s="32">
        <v>2035</v>
      </c>
      <c r="S1031" s="43" t="str">
        <f t="shared" si="132"/>
        <v>*0.94</v>
      </c>
      <c r="U1031" s="32" t="s">
        <v>1905</v>
      </c>
      <c r="V1031" s="42" t="s">
        <v>57</v>
      </c>
      <c r="W1031" s="32">
        <v>2050</v>
      </c>
      <c r="X1031" s="43" t="str">
        <f t="shared" si="133"/>
        <v>*0.91</v>
      </c>
      <c r="AC1031" s="33" t="s">
        <v>1905</v>
      </c>
      <c r="AD1031" s="44" t="s">
        <v>57</v>
      </c>
      <c r="AE1031" s="33">
        <v>2035</v>
      </c>
      <c r="AF1031" s="45" t="str">
        <f t="shared" si="134"/>
        <v>*0.92</v>
      </c>
      <c r="AG1031" s="43" t="str">
        <f t="shared" si="128"/>
        <v>REZoning_Sol-Win</v>
      </c>
      <c r="AI1031" s="33" t="s">
        <v>1905</v>
      </c>
      <c r="AJ1031" s="44" t="s">
        <v>57</v>
      </c>
      <c r="AK1031" s="33">
        <v>2050</v>
      </c>
      <c r="AL1031" s="45" t="str">
        <f t="shared" si="135"/>
        <v>*0.87</v>
      </c>
      <c r="AM1031" s="43" t="str">
        <f t="shared" si="129"/>
        <v>REZoning_Sol-Win</v>
      </c>
      <c r="AP1031" t="s">
        <v>1905</v>
      </c>
      <c r="AQ1031" t="s">
        <v>57</v>
      </c>
      <c r="AR1031">
        <v>2100</v>
      </c>
      <c r="AS1031" t="s">
        <v>874</v>
      </c>
      <c r="AT1031" t="s">
        <v>58</v>
      </c>
    </row>
    <row r="1032" ht="29" spans="1:46">
      <c r="A1032" s="31" t="s">
        <v>55</v>
      </c>
      <c r="C1032" t="s">
        <v>1906</v>
      </c>
      <c r="D1032" s="5" t="s">
        <v>57</v>
      </c>
      <c r="E1032">
        <v>2035</v>
      </c>
      <c r="F1032" s="6" t="str">
        <f t="shared" si="130"/>
        <v>*0.95</v>
      </c>
      <c r="H1032" t="s">
        <v>1906</v>
      </c>
      <c r="I1032" s="5" t="s">
        <v>57</v>
      </c>
      <c r="J1032">
        <v>2050</v>
      </c>
      <c r="K1032" s="38" t="str">
        <f t="shared" si="131"/>
        <v>*0.92</v>
      </c>
      <c r="P1032" s="32" t="s">
        <v>1906</v>
      </c>
      <c r="Q1032" s="42" t="s">
        <v>57</v>
      </c>
      <c r="R1032" s="32">
        <v>2035</v>
      </c>
      <c r="S1032" s="43" t="str">
        <f t="shared" si="132"/>
        <v>*0.94</v>
      </c>
      <c r="U1032" s="32" t="s">
        <v>1906</v>
      </c>
      <c r="V1032" s="42" t="s">
        <v>57</v>
      </c>
      <c r="W1032" s="32">
        <v>2050</v>
      </c>
      <c r="X1032" s="43" t="str">
        <f t="shared" si="133"/>
        <v>*0.91</v>
      </c>
      <c r="AC1032" s="33" t="s">
        <v>1906</v>
      </c>
      <c r="AD1032" s="44" t="s">
        <v>57</v>
      </c>
      <c r="AE1032" s="33">
        <v>2035</v>
      </c>
      <c r="AF1032" s="45" t="str">
        <f t="shared" si="134"/>
        <v>*0.92</v>
      </c>
      <c r="AG1032" s="43" t="str">
        <f t="shared" si="128"/>
        <v>REZoning_Sol-Win</v>
      </c>
      <c r="AI1032" s="33" t="s">
        <v>1906</v>
      </c>
      <c r="AJ1032" s="44" t="s">
        <v>57</v>
      </c>
      <c r="AK1032" s="33">
        <v>2050</v>
      </c>
      <c r="AL1032" s="45" t="str">
        <f t="shared" si="135"/>
        <v>*0.87</v>
      </c>
      <c r="AM1032" s="43" t="str">
        <f t="shared" si="129"/>
        <v>REZoning_Sol-Win</v>
      </c>
      <c r="AP1032" t="s">
        <v>1906</v>
      </c>
      <c r="AQ1032" t="s">
        <v>57</v>
      </c>
      <c r="AR1032">
        <v>2100</v>
      </c>
      <c r="AS1032" t="s">
        <v>874</v>
      </c>
      <c r="AT1032" t="s">
        <v>58</v>
      </c>
    </row>
    <row r="1033" ht="29" spans="1:46">
      <c r="A1033" s="31" t="s">
        <v>55</v>
      </c>
      <c r="C1033" t="s">
        <v>1907</v>
      </c>
      <c r="D1033" s="5" t="s">
        <v>57</v>
      </c>
      <c r="E1033">
        <v>2035</v>
      </c>
      <c r="F1033" s="6" t="str">
        <f t="shared" si="130"/>
        <v>*0.95</v>
      </c>
      <c r="H1033" t="s">
        <v>1907</v>
      </c>
      <c r="I1033" s="5" t="s">
        <v>57</v>
      </c>
      <c r="J1033">
        <v>2050</v>
      </c>
      <c r="K1033" s="38" t="str">
        <f t="shared" si="131"/>
        <v>*0.92</v>
      </c>
      <c r="P1033" s="32" t="s">
        <v>1907</v>
      </c>
      <c r="Q1033" s="42" t="s">
        <v>57</v>
      </c>
      <c r="R1033" s="32">
        <v>2035</v>
      </c>
      <c r="S1033" s="43" t="str">
        <f t="shared" si="132"/>
        <v>*0.94</v>
      </c>
      <c r="U1033" s="32" t="s">
        <v>1907</v>
      </c>
      <c r="V1033" s="42" t="s">
        <v>57</v>
      </c>
      <c r="W1033" s="32">
        <v>2050</v>
      </c>
      <c r="X1033" s="43" t="str">
        <f t="shared" si="133"/>
        <v>*0.91</v>
      </c>
      <c r="AC1033" s="33" t="s">
        <v>1907</v>
      </c>
      <c r="AD1033" s="44" t="s">
        <v>57</v>
      </c>
      <c r="AE1033" s="33">
        <v>2035</v>
      </c>
      <c r="AF1033" s="45" t="str">
        <f t="shared" si="134"/>
        <v>*0.92</v>
      </c>
      <c r="AG1033" s="43" t="str">
        <f t="shared" ref="AG1033:AG1096" si="136">AG1032</f>
        <v>REZoning_Sol-Win</v>
      </c>
      <c r="AI1033" s="33" t="s">
        <v>1907</v>
      </c>
      <c r="AJ1033" s="44" t="s">
        <v>57</v>
      </c>
      <c r="AK1033" s="33">
        <v>2050</v>
      </c>
      <c r="AL1033" s="45" t="str">
        <f t="shared" si="135"/>
        <v>*0.87</v>
      </c>
      <c r="AM1033" s="43" t="str">
        <f t="shared" si="129"/>
        <v>REZoning_Sol-Win</v>
      </c>
      <c r="AP1033" t="s">
        <v>1907</v>
      </c>
      <c r="AQ1033" t="s">
        <v>57</v>
      </c>
      <c r="AR1033">
        <v>2100</v>
      </c>
      <c r="AS1033" t="s">
        <v>874</v>
      </c>
      <c r="AT1033" t="s">
        <v>58</v>
      </c>
    </row>
    <row r="1034" ht="29" spans="1:46">
      <c r="A1034" s="31" t="s">
        <v>55</v>
      </c>
      <c r="C1034" t="s">
        <v>1908</v>
      </c>
      <c r="D1034" s="5" t="s">
        <v>57</v>
      </c>
      <c r="E1034">
        <v>2035</v>
      </c>
      <c r="F1034" s="6" t="str">
        <f t="shared" si="130"/>
        <v>*0.95</v>
      </c>
      <c r="H1034" t="s">
        <v>1908</v>
      </c>
      <c r="I1034" s="5" t="s">
        <v>57</v>
      </c>
      <c r="J1034">
        <v>2050</v>
      </c>
      <c r="K1034" s="38" t="str">
        <f t="shared" si="131"/>
        <v>*0.92</v>
      </c>
      <c r="P1034" s="32" t="s">
        <v>1908</v>
      </c>
      <c r="Q1034" s="42" t="s">
        <v>57</v>
      </c>
      <c r="R1034" s="32">
        <v>2035</v>
      </c>
      <c r="S1034" s="43" t="str">
        <f t="shared" si="132"/>
        <v>*0.94</v>
      </c>
      <c r="U1034" s="32" t="s">
        <v>1908</v>
      </c>
      <c r="V1034" s="42" t="s">
        <v>57</v>
      </c>
      <c r="W1034" s="32">
        <v>2050</v>
      </c>
      <c r="X1034" s="43" t="str">
        <f t="shared" si="133"/>
        <v>*0.91</v>
      </c>
      <c r="AC1034" s="33" t="s">
        <v>1908</v>
      </c>
      <c r="AD1034" s="44" t="s">
        <v>57</v>
      </c>
      <c r="AE1034" s="33">
        <v>2035</v>
      </c>
      <c r="AF1034" s="45" t="str">
        <f t="shared" si="134"/>
        <v>*0.92</v>
      </c>
      <c r="AG1034" s="43" t="str">
        <f t="shared" si="136"/>
        <v>REZoning_Sol-Win</v>
      </c>
      <c r="AI1034" s="33" t="s">
        <v>1908</v>
      </c>
      <c r="AJ1034" s="44" t="s">
        <v>57</v>
      </c>
      <c r="AK1034" s="33">
        <v>2050</v>
      </c>
      <c r="AL1034" s="45" t="str">
        <f t="shared" si="135"/>
        <v>*0.87</v>
      </c>
      <c r="AM1034" s="43" t="str">
        <f t="shared" ref="AM1034:AM1097" si="137">AM1033</f>
        <v>REZoning_Sol-Win</v>
      </c>
      <c r="AP1034" t="s">
        <v>1908</v>
      </c>
      <c r="AQ1034" t="s">
        <v>57</v>
      </c>
      <c r="AR1034">
        <v>2100</v>
      </c>
      <c r="AS1034" t="s">
        <v>874</v>
      </c>
      <c r="AT1034" t="s">
        <v>58</v>
      </c>
    </row>
    <row r="1035" ht="29" spans="1:46">
      <c r="A1035" s="31" t="s">
        <v>55</v>
      </c>
      <c r="C1035" t="s">
        <v>1909</v>
      </c>
      <c r="D1035" s="5" t="s">
        <v>57</v>
      </c>
      <c r="E1035">
        <v>2035</v>
      </c>
      <c r="F1035" s="6" t="str">
        <f t="shared" si="130"/>
        <v>*0.95</v>
      </c>
      <c r="H1035" t="s">
        <v>1909</v>
      </c>
      <c r="I1035" s="5" t="s">
        <v>57</v>
      </c>
      <c r="J1035">
        <v>2050</v>
      </c>
      <c r="K1035" s="38" t="str">
        <f t="shared" si="131"/>
        <v>*0.92</v>
      </c>
      <c r="P1035" s="32" t="s">
        <v>1909</v>
      </c>
      <c r="Q1035" s="42" t="s">
        <v>57</v>
      </c>
      <c r="R1035" s="32">
        <v>2035</v>
      </c>
      <c r="S1035" s="43" t="str">
        <f t="shared" si="132"/>
        <v>*0.94</v>
      </c>
      <c r="U1035" s="32" t="s">
        <v>1909</v>
      </c>
      <c r="V1035" s="42" t="s">
        <v>57</v>
      </c>
      <c r="W1035" s="32">
        <v>2050</v>
      </c>
      <c r="X1035" s="43" t="str">
        <f t="shared" si="133"/>
        <v>*0.91</v>
      </c>
      <c r="AC1035" s="33" t="s">
        <v>1909</v>
      </c>
      <c r="AD1035" s="44" t="s">
        <v>57</v>
      </c>
      <c r="AE1035" s="33">
        <v>2035</v>
      </c>
      <c r="AF1035" s="45" t="str">
        <f t="shared" si="134"/>
        <v>*0.92</v>
      </c>
      <c r="AG1035" s="43" t="str">
        <f t="shared" si="136"/>
        <v>REZoning_Sol-Win</v>
      </c>
      <c r="AI1035" s="33" t="s">
        <v>1909</v>
      </c>
      <c r="AJ1035" s="44" t="s">
        <v>57</v>
      </c>
      <c r="AK1035" s="33">
        <v>2050</v>
      </c>
      <c r="AL1035" s="45" t="str">
        <f t="shared" si="135"/>
        <v>*0.87</v>
      </c>
      <c r="AM1035" s="43" t="str">
        <f t="shared" si="137"/>
        <v>REZoning_Sol-Win</v>
      </c>
      <c r="AP1035" t="s">
        <v>1909</v>
      </c>
      <c r="AQ1035" t="s">
        <v>57</v>
      </c>
      <c r="AR1035">
        <v>2100</v>
      </c>
      <c r="AS1035" t="s">
        <v>874</v>
      </c>
      <c r="AT1035" t="s">
        <v>58</v>
      </c>
    </row>
    <row r="1036" ht="29" spans="1:46">
      <c r="A1036" s="31" t="s">
        <v>55</v>
      </c>
      <c r="C1036" t="s">
        <v>1910</v>
      </c>
      <c r="D1036" s="5" t="s">
        <v>57</v>
      </c>
      <c r="E1036">
        <v>2035</v>
      </c>
      <c r="F1036" s="6" t="str">
        <f t="shared" si="130"/>
        <v>*0.95</v>
      </c>
      <c r="H1036" t="s">
        <v>1910</v>
      </c>
      <c r="I1036" s="5" t="s">
        <v>57</v>
      </c>
      <c r="J1036">
        <v>2050</v>
      </c>
      <c r="K1036" s="38" t="str">
        <f t="shared" si="131"/>
        <v>*0.92</v>
      </c>
      <c r="P1036" s="32" t="s">
        <v>1910</v>
      </c>
      <c r="Q1036" s="42" t="s">
        <v>57</v>
      </c>
      <c r="R1036" s="32">
        <v>2035</v>
      </c>
      <c r="S1036" s="43" t="str">
        <f t="shared" si="132"/>
        <v>*0.94</v>
      </c>
      <c r="U1036" s="32" t="s">
        <v>1910</v>
      </c>
      <c r="V1036" s="42" t="s">
        <v>57</v>
      </c>
      <c r="W1036" s="32">
        <v>2050</v>
      </c>
      <c r="X1036" s="43" t="str">
        <f t="shared" si="133"/>
        <v>*0.91</v>
      </c>
      <c r="AC1036" s="33" t="s">
        <v>1910</v>
      </c>
      <c r="AD1036" s="44" t="s">
        <v>57</v>
      </c>
      <c r="AE1036" s="33">
        <v>2035</v>
      </c>
      <c r="AF1036" s="45" t="str">
        <f t="shared" si="134"/>
        <v>*0.92</v>
      </c>
      <c r="AG1036" s="43" t="str">
        <f t="shared" si="136"/>
        <v>REZoning_Sol-Win</v>
      </c>
      <c r="AI1036" s="33" t="s">
        <v>1910</v>
      </c>
      <c r="AJ1036" s="44" t="s">
        <v>57</v>
      </c>
      <c r="AK1036" s="33">
        <v>2050</v>
      </c>
      <c r="AL1036" s="45" t="str">
        <f t="shared" si="135"/>
        <v>*0.87</v>
      </c>
      <c r="AM1036" s="43" t="str">
        <f t="shared" si="137"/>
        <v>REZoning_Sol-Win</v>
      </c>
      <c r="AP1036" t="s">
        <v>1910</v>
      </c>
      <c r="AQ1036" t="s">
        <v>57</v>
      </c>
      <c r="AR1036">
        <v>2100</v>
      </c>
      <c r="AS1036" t="s">
        <v>874</v>
      </c>
      <c r="AT1036" t="s">
        <v>58</v>
      </c>
    </row>
    <row r="1037" ht="29" spans="1:46">
      <c r="A1037" s="31" t="s">
        <v>55</v>
      </c>
      <c r="C1037" t="s">
        <v>1911</v>
      </c>
      <c r="D1037" s="5" t="s">
        <v>57</v>
      </c>
      <c r="E1037">
        <v>2035</v>
      </c>
      <c r="F1037" s="6" t="str">
        <f t="shared" si="130"/>
        <v>*0.95</v>
      </c>
      <c r="H1037" t="s">
        <v>1911</v>
      </c>
      <c r="I1037" s="5" t="s">
        <v>57</v>
      </c>
      <c r="J1037">
        <v>2050</v>
      </c>
      <c r="K1037" s="38" t="str">
        <f t="shared" si="131"/>
        <v>*0.92</v>
      </c>
      <c r="P1037" s="32" t="s">
        <v>1911</v>
      </c>
      <c r="Q1037" s="42" t="s">
        <v>57</v>
      </c>
      <c r="R1037" s="32">
        <v>2035</v>
      </c>
      <c r="S1037" s="43" t="str">
        <f t="shared" si="132"/>
        <v>*0.94</v>
      </c>
      <c r="U1037" s="32" t="s">
        <v>1911</v>
      </c>
      <c r="V1037" s="42" t="s">
        <v>57</v>
      </c>
      <c r="W1037" s="32">
        <v>2050</v>
      </c>
      <c r="X1037" s="43" t="str">
        <f t="shared" si="133"/>
        <v>*0.91</v>
      </c>
      <c r="AC1037" s="33" t="s">
        <v>1911</v>
      </c>
      <c r="AD1037" s="44" t="s">
        <v>57</v>
      </c>
      <c r="AE1037" s="33">
        <v>2035</v>
      </c>
      <c r="AF1037" s="45" t="str">
        <f t="shared" si="134"/>
        <v>*0.92</v>
      </c>
      <c r="AG1037" s="43" t="str">
        <f t="shared" si="136"/>
        <v>REZoning_Sol-Win</v>
      </c>
      <c r="AI1037" s="33" t="s">
        <v>1911</v>
      </c>
      <c r="AJ1037" s="44" t="s">
        <v>57</v>
      </c>
      <c r="AK1037" s="33">
        <v>2050</v>
      </c>
      <c r="AL1037" s="45" t="str">
        <f t="shared" si="135"/>
        <v>*0.87</v>
      </c>
      <c r="AM1037" s="43" t="str">
        <f t="shared" si="137"/>
        <v>REZoning_Sol-Win</v>
      </c>
      <c r="AP1037" t="s">
        <v>1911</v>
      </c>
      <c r="AQ1037" t="s">
        <v>57</v>
      </c>
      <c r="AR1037">
        <v>2100</v>
      </c>
      <c r="AS1037" t="s">
        <v>874</v>
      </c>
      <c r="AT1037" t="s">
        <v>58</v>
      </c>
    </row>
    <row r="1038" ht="29" spans="1:46">
      <c r="A1038" s="31" t="s">
        <v>55</v>
      </c>
      <c r="C1038" t="s">
        <v>1912</v>
      </c>
      <c r="D1038" s="5" t="s">
        <v>57</v>
      </c>
      <c r="E1038">
        <v>2035</v>
      </c>
      <c r="F1038" s="6" t="str">
        <f t="shared" si="130"/>
        <v>*0.95</v>
      </c>
      <c r="H1038" t="s">
        <v>1912</v>
      </c>
      <c r="I1038" s="5" t="s">
        <v>57</v>
      </c>
      <c r="J1038">
        <v>2050</v>
      </c>
      <c r="K1038" s="38" t="str">
        <f t="shared" si="131"/>
        <v>*0.92</v>
      </c>
      <c r="P1038" s="32" t="s">
        <v>1912</v>
      </c>
      <c r="Q1038" s="42" t="s">
        <v>57</v>
      </c>
      <c r="R1038" s="32">
        <v>2035</v>
      </c>
      <c r="S1038" s="43" t="str">
        <f t="shared" si="132"/>
        <v>*0.94</v>
      </c>
      <c r="U1038" s="32" t="s">
        <v>1912</v>
      </c>
      <c r="V1038" s="42" t="s">
        <v>57</v>
      </c>
      <c r="W1038" s="32">
        <v>2050</v>
      </c>
      <c r="X1038" s="43" t="str">
        <f t="shared" si="133"/>
        <v>*0.91</v>
      </c>
      <c r="AC1038" s="33" t="s">
        <v>1912</v>
      </c>
      <c r="AD1038" s="44" t="s">
        <v>57</v>
      </c>
      <c r="AE1038" s="33">
        <v>2035</v>
      </c>
      <c r="AF1038" s="45" t="str">
        <f t="shared" si="134"/>
        <v>*0.92</v>
      </c>
      <c r="AG1038" s="43" t="str">
        <f t="shared" si="136"/>
        <v>REZoning_Sol-Win</v>
      </c>
      <c r="AI1038" s="33" t="s">
        <v>1912</v>
      </c>
      <c r="AJ1038" s="44" t="s">
        <v>57</v>
      </c>
      <c r="AK1038" s="33">
        <v>2050</v>
      </c>
      <c r="AL1038" s="45" t="str">
        <f t="shared" si="135"/>
        <v>*0.87</v>
      </c>
      <c r="AM1038" s="43" t="str">
        <f t="shared" si="137"/>
        <v>REZoning_Sol-Win</v>
      </c>
      <c r="AP1038" t="s">
        <v>1912</v>
      </c>
      <c r="AQ1038" t="s">
        <v>57</v>
      </c>
      <c r="AR1038">
        <v>2100</v>
      </c>
      <c r="AS1038" t="s">
        <v>874</v>
      </c>
      <c r="AT1038" t="s">
        <v>58</v>
      </c>
    </row>
    <row r="1039" ht="29" spans="1:46">
      <c r="A1039" s="31" t="s">
        <v>55</v>
      </c>
      <c r="C1039" t="s">
        <v>1913</v>
      </c>
      <c r="D1039" s="5" t="s">
        <v>57</v>
      </c>
      <c r="E1039">
        <v>2035</v>
      </c>
      <c r="F1039" s="6" t="str">
        <f t="shared" si="130"/>
        <v>*0.95</v>
      </c>
      <c r="H1039" t="s">
        <v>1913</v>
      </c>
      <c r="I1039" s="5" t="s">
        <v>57</v>
      </c>
      <c r="J1039">
        <v>2050</v>
      </c>
      <c r="K1039" s="38" t="str">
        <f t="shared" si="131"/>
        <v>*0.92</v>
      </c>
      <c r="P1039" s="32" t="s">
        <v>1913</v>
      </c>
      <c r="Q1039" s="42" t="s">
        <v>57</v>
      </c>
      <c r="R1039" s="32">
        <v>2035</v>
      </c>
      <c r="S1039" s="43" t="str">
        <f t="shared" si="132"/>
        <v>*0.94</v>
      </c>
      <c r="U1039" s="32" t="s">
        <v>1913</v>
      </c>
      <c r="V1039" s="42" t="s">
        <v>57</v>
      </c>
      <c r="W1039" s="32">
        <v>2050</v>
      </c>
      <c r="X1039" s="43" t="str">
        <f t="shared" si="133"/>
        <v>*0.91</v>
      </c>
      <c r="AC1039" s="33" t="s">
        <v>1913</v>
      </c>
      <c r="AD1039" s="44" t="s">
        <v>57</v>
      </c>
      <c r="AE1039" s="33">
        <v>2035</v>
      </c>
      <c r="AF1039" s="45" t="str">
        <f t="shared" si="134"/>
        <v>*0.92</v>
      </c>
      <c r="AG1039" s="43" t="str">
        <f t="shared" si="136"/>
        <v>REZoning_Sol-Win</v>
      </c>
      <c r="AI1039" s="33" t="s">
        <v>1913</v>
      </c>
      <c r="AJ1039" s="44" t="s">
        <v>57</v>
      </c>
      <c r="AK1039" s="33">
        <v>2050</v>
      </c>
      <c r="AL1039" s="45" t="str">
        <f t="shared" si="135"/>
        <v>*0.87</v>
      </c>
      <c r="AM1039" s="43" t="str">
        <f t="shared" si="137"/>
        <v>REZoning_Sol-Win</v>
      </c>
      <c r="AP1039" t="s">
        <v>1913</v>
      </c>
      <c r="AQ1039" t="s">
        <v>57</v>
      </c>
      <c r="AR1039">
        <v>2100</v>
      </c>
      <c r="AS1039" t="s">
        <v>874</v>
      </c>
      <c r="AT1039" t="s">
        <v>58</v>
      </c>
    </row>
    <row r="1040" ht="29" spans="1:46">
      <c r="A1040" s="31" t="s">
        <v>55</v>
      </c>
      <c r="C1040" t="s">
        <v>1914</v>
      </c>
      <c r="D1040" s="5" t="s">
        <v>57</v>
      </c>
      <c r="E1040">
        <v>2035</v>
      </c>
      <c r="F1040" s="6" t="str">
        <f t="shared" si="130"/>
        <v>*0.95</v>
      </c>
      <c r="H1040" t="s">
        <v>1914</v>
      </c>
      <c r="I1040" s="5" t="s">
        <v>57</v>
      </c>
      <c r="J1040">
        <v>2050</v>
      </c>
      <c r="K1040" s="38" t="str">
        <f t="shared" si="131"/>
        <v>*0.92</v>
      </c>
      <c r="P1040" s="32" t="s">
        <v>1914</v>
      </c>
      <c r="Q1040" s="42" t="s">
        <v>57</v>
      </c>
      <c r="R1040" s="32">
        <v>2035</v>
      </c>
      <c r="S1040" s="43" t="str">
        <f t="shared" si="132"/>
        <v>*0.94</v>
      </c>
      <c r="U1040" s="32" t="s">
        <v>1914</v>
      </c>
      <c r="V1040" s="42" t="s">
        <v>57</v>
      </c>
      <c r="W1040" s="32">
        <v>2050</v>
      </c>
      <c r="X1040" s="43" t="str">
        <f t="shared" si="133"/>
        <v>*0.91</v>
      </c>
      <c r="AC1040" s="33" t="s">
        <v>1914</v>
      </c>
      <c r="AD1040" s="44" t="s">
        <v>57</v>
      </c>
      <c r="AE1040" s="33">
        <v>2035</v>
      </c>
      <c r="AF1040" s="45" t="str">
        <f t="shared" si="134"/>
        <v>*0.92</v>
      </c>
      <c r="AG1040" s="43" t="str">
        <f t="shared" si="136"/>
        <v>REZoning_Sol-Win</v>
      </c>
      <c r="AI1040" s="33" t="s">
        <v>1914</v>
      </c>
      <c r="AJ1040" s="44" t="s">
        <v>57</v>
      </c>
      <c r="AK1040" s="33">
        <v>2050</v>
      </c>
      <c r="AL1040" s="45" t="str">
        <f t="shared" si="135"/>
        <v>*0.87</v>
      </c>
      <c r="AM1040" s="43" t="str">
        <f t="shared" si="137"/>
        <v>REZoning_Sol-Win</v>
      </c>
      <c r="AP1040" t="s">
        <v>1914</v>
      </c>
      <c r="AQ1040" t="s">
        <v>57</v>
      </c>
      <c r="AR1040">
        <v>2100</v>
      </c>
      <c r="AS1040" t="s">
        <v>874</v>
      </c>
      <c r="AT1040" t="s">
        <v>58</v>
      </c>
    </row>
    <row r="1041" ht="29" spans="1:46">
      <c r="A1041" s="31" t="s">
        <v>55</v>
      </c>
      <c r="C1041" t="s">
        <v>1915</v>
      </c>
      <c r="D1041" s="5" t="s">
        <v>57</v>
      </c>
      <c r="E1041">
        <v>2035</v>
      </c>
      <c r="F1041" s="6" t="str">
        <f t="shared" si="130"/>
        <v>*0.95</v>
      </c>
      <c r="H1041" t="s">
        <v>1915</v>
      </c>
      <c r="I1041" s="5" t="s">
        <v>57</v>
      </c>
      <c r="J1041">
        <v>2050</v>
      </c>
      <c r="K1041" s="38" t="str">
        <f t="shared" si="131"/>
        <v>*0.92</v>
      </c>
      <c r="P1041" s="32" t="s">
        <v>1915</v>
      </c>
      <c r="Q1041" s="42" t="s">
        <v>57</v>
      </c>
      <c r="R1041" s="32">
        <v>2035</v>
      </c>
      <c r="S1041" s="43" t="str">
        <f t="shared" si="132"/>
        <v>*0.94</v>
      </c>
      <c r="U1041" s="32" t="s">
        <v>1915</v>
      </c>
      <c r="V1041" s="42" t="s">
        <v>57</v>
      </c>
      <c r="W1041" s="32">
        <v>2050</v>
      </c>
      <c r="X1041" s="43" t="str">
        <f t="shared" si="133"/>
        <v>*0.91</v>
      </c>
      <c r="AC1041" s="33" t="s">
        <v>1915</v>
      </c>
      <c r="AD1041" s="44" t="s">
        <v>57</v>
      </c>
      <c r="AE1041" s="33">
        <v>2035</v>
      </c>
      <c r="AF1041" s="45" t="str">
        <f t="shared" si="134"/>
        <v>*0.92</v>
      </c>
      <c r="AG1041" s="43" t="str">
        <f t="shared" si="136"/>
        <v>REZoning_Sol-Win</v>
      </c>
      <c r="AI1041" s="33" t="s">
        <v>1915</v>
      </c>
      <c r="AJ1041" s="44" t="s">
        <v>57</v>
      </c>
      <c r="AK1041" s="33">
        <v>2050</v>
      </c>
      <c r="AL1041" s="45" t="str">
        <f t="shared" si="135"/>
        <v>*0.87</v>
      </c>
      <c r="AM1041" s="43" t="str">
        <f t="shared" si="137"/>
        <v>REZoning_Sol-Win</v>
      </c>
      <c r="AP1041" t="s">
        <v>1915</v>
      </c>
      <c r="AQ1041" t="s">
        <v>57</v>
      </c>
      <c r="AR1041">
        <v>2100</v>
      </c>
      <c r="AS1041" t="s">
        <v>874</v>
      </c>
      <c r="AT1041" t="s">
        <v>58</v>
      </c>
    </row>
    <row r="1042" ht="29" spans="1:46">
      <c r="A1042" s="31" t="s">
        <v>55</v>
      </c>
      <c r="C1042" t="s">
        <v>1916</v>
      </c>
      <c r="D1042" s="5" t="s">
        <v>57</v>
      </c>
      <c r="E1042">
        <v>2035</v>
      </c>
      <c r="F1042" s="6" t="str">
        <f t="shared" si="130"/>
        <v>*0.95</v>
      </c>
      <c r="H1042" t="s">
        <v>1916</v>
      </c>
      <c r="I1042" s="5" t="s">
        <v>57</v>
      </c>
      <c r="J1042">
        <v>2050</v>
      </c>
      <c r="K1042" s="38" t="str">
        <f t="shared" si="131"/>
        <v>*0.92</v>
      </c>
      <c r="P1042" s="32" t="s">
        <v>1916</v>
      </c>
      <c r="Q1042" s="42" t="s">
        <v>57</v>
      </c>
      <c r="R1042" s="32">
        <v>2035</v>
      </c>
      <c r="S1042" s="43" t="str">
        <f t="shared" si="132"/>
        <v>*0.94</v>
      </c>
      <c r="U1042" s="32" t="s">
        <v>1916</v>
      </c>
      <c r="V1042" s="42" t="s">
        <v>57</v>
      </c>
      <c r="W1042" s="32">
        <v>2050</v>
      </c>
      <c r="X1042" s="43" t="str">
        <f t="shared" si="133"/>
        <v>*0.91</v>
      </c>
      <c r="AC1042" s="33" t="s">
        <v>1916</v>
      </c>
      <c r="AD1042" s="44" t="s">
        <v>57</v>
      </c>
      <c r="AE1042" s="33">
        <v>2035</v>
      </c>
      <c r="AF1042" s="45" t="str">
        <f t="shared" si="134"/>
        <v>*0.92</v>
      </c>
      <c r="AG1042" s="43" t="str">
        <f t="shared" si="136"/>
        <v>REZoning_Sol-Win</v>
      </c>
      <c r="AI1042" s="33" t="s">
        <v>1916</v>
      </c>
      <c r="AJ1042" s="44" t="s">
        <v>57</v>
      </c>
      <c r="AK1042" s="33">
        <v>2050</v>
      </c>
      <c r="AL1042" s="45" t="str">
        <f t="shared" si="135"/>
        <v>*0.87</v>
      </c>
      <c r="AM1042" s="43" t="str">
        <f t="shared" si="137"/>
        <v>REZoning_Sol-Win</v>
      </c>
      <c r="AP1042" t="s">
        <v>1916</v>
      </c>
      <c r="AQ1042" t="s">
        <v>57</v>
      </c>
      <c r="AR1042">
        <v>2100</v>
      </c>
      <c r="AS1042" t="s">
        <v>874</v>
      </c>
      <c r="AT1042" t="s">
        <v>58</v>
      </c>
    </row>
    <row r="1043" ht="29" spans="1:46">
      <c r="A1043" s="31" t="s">
        <v>55</v>
      </c>
      <c r="C1043" t="s">
        <v>1917</v>
      </c>
      <c r="D1043" s="5" t="s">
        <v>57</v>
      </c>
      <c r="E1043">
        <v>2035</v>
      </c>
      <c r="F1043" s="6" t="str">
        <f t="shared" si="130"/>
        <v>*0.95</v>
      </c>
      <c r="H1043" t="s">
        <v>1917</v>
      </c>
      <c r="I1043" s="5" t="s">
        <v>57</v>
      </c>
      <c r="J1043">
        <v>2050</v>
      </c>
      <c r="K1043" s="38" t="str">
        <f t="shared" si="131"/>
        <v>*0.92</v>
      </c>
      <c r="P1043" s="32" t="s">
        <v>1917</v>
      </c>
      <c r="Q1043" s="42" t="s">
        <v>57</v>
      </c>
      <c r="R1043" s="32">
        <v>2035</v>
      </c>
      <c r="S1043" s="43" t="str">
        <f t="shared" si="132"/>
        <v>*0.94</v>
      </c>
      <c r="U1043" s="32" t="s">
        <v>1917</v>
      </c>
      <c r="V1043" s="42" t="s">
        <v>57</v>
      </c>
      <c r="W1043" s="32">
        <v>2050</v>
      </c>
      <c r="X1043" s="43" t="str">
        <f t="shared" si="133"/>
        <v>*0.91</v>
      </c>
      <c r="AC1043" s="33" t="s">
        <v>1917</v>
      </c>
      <c r="AD1043" s="44" t="s">
        <v>57</v>
      </c>
      <c r="AE1043" s="33">
        <v>2035</v>
      </c>
      <c r="AF1043" s="45" t="str">
        <f t="shared" si="134"/>
        <v>*0.92</v>
      </c>
      <c r="AG1043" s="43" t="str">
        <f t="shared" si="136"/>
        <v>REZoning_Sol-Win</v>
      </c>
      <c r="AI1043" s="33" t="s">
        <v>1917</v>
      </c>
      <c r="AJ1043" s="44" t="s">
        <v>57</v>
      </c>
      <c r="AK1043" s="33">
        <v>2050</v>
      </c>
      <c r="AL1043" s="45" t="str">
        <f t="shared" si="135"/>
        <v>*0.87</v>
      </c>
      <c r="AM1043" s="43" t="str">
        <f t="shared" si="137"/>
        <v>REZoning_Sol-Win</v>
      </c>
      <c r="AP1043" t="s">
        <v>1917</v>
      </c>
      <c r="AQ1043" t="s">
        <v>57</v>
      </c>
      <c r="AR1043">
        <v>2100</v>
      </c>
      <c r="AS1043" t="s">
        <v>874</v>
      </c>
      <c r="AT1043" t="s">
        <v>58</v>
      </c>
    </row>
    <row r="1044" ht="29" spans="1:46">
      <c r="A1044" s="31" t="s">
        <v>55</v>
      </c>
      <c r="C1044" t="s">
        <v>1918</v>
      </c>
      <c r="D1044" s="5" t="s">
        <v>57</v>
      </c>
      <c r="E1044">
        <v>2035</v>
      </c>
      <c r="F1044" s="6" t="str">
        <f t="shared" si="130"/>
        <v>*0.95</v>
      </c>
      <c r="H1044" t="s">
        <v>1918</v>
      </c>
      <c r="I1044" s="5" t="s">
        <v>57</v>
      </c>
      <c r="J1044">
        <v>2050</v>
      </c>
      <c r="K1044" s="38" t="str">
        <f t="shared" si="131"/>
        <v>*0.92</v>
      </c>
      <c r="P1044" s="32" t="s">
        <v>1918</v>
      </c>
      <c r="Q1044" s="42" t="s">
        <v>57</v>
      </c>
      <c r="R1044" s="32">
        <v>2035</v>
      </c>
      <c r="S1044" s="43" t="str">
        <f t="shared" si="132"/>
        <v>*0.94</v>
      </c>
      <c r="U1044" s="32" t="s">
        <v>1918</v>
      </c>
      <c r="V1044" s="42" t="s">
        <v>57</v>
      </c>
      <c r="W1044" s="32">
        <v>2050</v>
      </c>
      <c r="X1044" s="43" t="str">
        <f t="shared" si="133"/>
        <v>*0.91</v>
      </c>
      <c r="AC1044" s="33" t="s">
        <v>1918</v>
      </c>
      <c r="AD1044" s="44" t="s">
        <v>57</v>
      </c>
      <c r="AE1044" s="33">
        <v>2035</v>
      </c>
      <c r="AF1044" s="45" t="str">
        <f t="shared" si="134"/>
        <v>*0.92</v>
      </c>
      <c r="AG1044" s="43" t="str">
        <f t="shared" si="136"/>
        <v>REZoning_Sol-Win</v>
      </c>
      <c r="AI1044" s="33" t="s">
        <v>1918</v>
      </c>
      <c r="AJ1044" s="44" t="s">
        <v>57</v>
      </c>
      <c r="AK1044" s="33">
        <v>2050</v>
      </c>
      <c r="AL1044" s="45" t="str">
        <f t="shared" si="135"/>
        <v>*0.87</v>
      </c>
      <c r="AM1044" s="43" t="str">
        <f t="shared" si="137"/>
        <v>REZoning_Sol-Win</v>
      </c>
      <c r="AP1044" t="s">
        <v>1918</v>
      </c>
      <c r="AQ1044" t="s">
        <v>57</v>
      </c>
      <c r="AR1044">
        <v>2100</v>
      </c>
      <c r="AS1044" t="s">
        <v>874</v>
      </c>
      <c r="AT1044" t="s">
        <v>58</v>
      </c>
    </row>
    <row r="1045" ht="29" spans="1:46">
      <c r="A1045" s="31" t="s">
        <v>55</v>
      </c>
      <c r="C1045" t="s">
        <v>1919</v>
      </c>
      <c r="D1045" s="5" t="s">
        <v>57</v>
      </c>
      <c r="E1045">
        <v>2035</v>
      </c>
      <c r="F1045" s="6" t="str">
        <f t="shared" si="130"/>
        <v>*0.95</v>
      </c>
      <c r="H1045" t="s">
        <v>1919</v>
      </c>
      <c r="I1045" s="5" t="s">
        <v>57</v>
      </c>
      <c r="J1045">
        <v>2050</v>
      </c>
      <c r="K1045" s="38" t="str">
        <f t="shared" si="131"/>
        <v>*0.92</v>
      </c>
      <c r="P1045" s="32" t="s">
        <v>1919</v>
      </c>
      <c r="Q1045" s="42" t="s">
        <v>57</v>
      </c>
      <c r="R1045" s="32">
        <v>2035</v>
      </c>
      <c r="S1045" s="43" t="str">
        <f t="shared" si="132"/>
        <v>*0.94</v>
      </c>
      <c r="U1045" s="32" t="s">
        <v>1919</v>
      </c>
      <c r="V1045" s="42" t="s">
        <v>57</v>
      </c>
      <c r="W1045" s="32">
        <v>2050</v>
      </c>
      <c r="X1045" s="43" t="str">
        <f t="shared" si="133"/>
        <v>*0.91</v>
      </c>
      <c r="AC1045" s="33" t="s">
        <v>1919</v>
      </c>
      <c r="AD1045" s="44" t="s">
        <v>57</v>
      </c>
      <c r="AE1045" s="33">
        <v>2035</v>
      </c>
      <c r="AF1045" s="45" t="str">
        <f t="shared" si="134"/>
        <v>*0.92</v>
      </c>
      <c r="AG1045" s="43" t="str">
        <f t="shared" si="136"/>
        <v>REZoning_Sol-Win</v>
      </c>
      <c r="AI1045" s="33" t="s">
        <v>1919</v>
      </c>
      <c r="AJ1045" s="44" t="s">
        <v>57</v>
      </c>
      <c r="AK1045" s="33">
        <v>2050</v>
      </c>
      <c r="AL1045" s="45" t="str">
        <f t="shared" si="135"/>
        <v>*0.87</v>
      </c>
      <c r="AM1045" s="43" t="str">
        <f t="shared" si="137"/>
        <v>REZoning_Sol-Win</v>
      </c>
      <c r="AP1045" t="s">
        <v>1919</v>
      </c>
      <c r="AQ1045" t="s">
        <v>57</v>
      </c>
      <c r="AR1045">
        <v>2100</v>
      </c>
      <c r="AS1045" t="s">
        <v>874</v>
      </c>
      <c r="AT1045" t="s">
        <v>58</v>
      </c>
    </row>
    <row r="1046" ht="29" spans="1:46">
      <c r="A1046" s="31" t="s">
        <v>55</v>
      </c>
      <c r="C1046" t="s">
        <v>1920</v>
      </c>
      <c r="D1046" s="5" t="s">
        <v>57</v>
      </c>
      <c r="E1046">
        <v>2035</v>
      </c>
      <c r="F1046" s="6" t="str">
        <f t="shared" si="130"/>
        <v>*0.95</v>
      </c>
      <c r="H1046" t="s">
        <v>1920</v>
      </c>
      <c r="I1046" s="5" t="s">
        <v>57</v>
      </c>
      <c r="J1046">
        <v>2050</v>
      </c>
      <c r="K1046" s="38" t="str">
        <f t="shared" si="131"/>
        <v>*0.92</v>
      </c>
      <c r="P1046" s="32" t="s">
        <v>1920</v>
      </c>
      <c r="Q1046" s="42" t="s">
        <v>57</v>
      </c>
      <c r="R1046" s="32">
        <v>2035</v>
      </c>
      <c r="S1046" s="43" t="str">
        <f t="shared" si="132"/>
        <v>*0.94</v>
      </c>
      <c r="U1046" s="32" t="s">
        <v>1920</v>
      </c>
      <c r="V1046" s="42" t="s">
        <v>57</v>
      </c>
      <c r="W1046" s="32">
        <v>2050</v>
      </c>
      <c r="X1046" s="43" t="str">
        <f t="shared" si="133"/>
        <v>*0.91</v>
      </c>
      <c r="AC1046" s="33" t="s">
        <v>1920</v>
      </c>
      <c r="AD1046" s="44" t="s">
        <v>57</v>
      </c>
      <c r="AE1046" s="33">
        <v>2035</v>
      </c>
      <c r="AF1046" s="45" t="str">
        <f t="shared" si="134"/>
        <v>*0.92</v>
      </c>
      <c r="AG1046" s="43" t="str">
        <f t="shared" si="136"/>
        <v>REZoning_Sol-Win</v>
      </c>
      <c r="AI1046" s="33" t="s">
        <v>1920</v>
      </c>
      <c r="AJ1046" s="44" t="s">
        <v>57</v>
      </c>
      <c r="AK1046" s="33">
        <v>2050</v>
      </c>
      <c r="AL1046" s="45" t="str">
        <f t="shared" si="135"/>
        <v>*0.87</v>
      </c>
      <c r="AM1046" s="43" t="str">
        <f t="shared" si="137"/>
        <v>REZoning_Sol-Win</v>
      </c>
      <c r="AP1046" t="s">
        <v>1920</v>
      </c>
      <c r="AQ1046" t="s">
        <v>57</v>
      </c>
      <c r="AR1046">
        <v>2100</v>
      </c>
      <c r="AS1046" t="s">
        <v>874</v>
      </c>
      <c r="AT1046" t="s">
        <v>58</v>
      </c>
    </row>
    <row r="1047" ht="29" spans="1:46">
      <c r="A1047" s="31" t="s">
        <v>55</v>
      </c>
      <c r="C1047" t="s">
        <v>1921</v>
      </c>
      <c r="D1047" s="5" t="s">
        <v>57</v>
      </c>
      <c r="E1047">
        <v>2035</v>
      </c>
      <c r="F1047" s="6" t="str">
        <f t="shared" si="130"/>
        <v>*0.95</v>
      </c>
      <c r="H1047" t="s">
        <v>1921</v>
      </c>
      <c r="I1047" s="5" t="s">
        <v>57</v>
      </c>
      <c r="J1047">
        <v>2050</v>
      </c>
      <c r="K1047" s="38" t="str">
        <f t="shared" si="131"/>
        <v>*0.92</v>
      </c>
      <c r="P1047" s="32" t="s">
        <v>1921</v>
      </c>
      <c r="Q1047" s="42" t="s">
        <v>57</v>
      </c>
      <c r="R1047" s="32">
        <v>2035</v>
      </c>
      <c r="S1047" s="43" t="str">
        <f t="shared" si="132"/>
        <v>*0.94</v>
      </c>
      <c r="U1047" s="32" t="s">
        <v>1921</v>
      </c>
      <c r="V1047" s="42" t="s">
        <v>57</v>
      </c>
      <c r="W1047" s="32">
        <v>2050</v>
      </c>
      <c r="X1047" s="43" t="str">
        <f t="shared" si="133"/>
        <v>*0.91</v>
      </c>
      <c r="AC1047" s="33" t="s">
        <v>1921</v>
      </c>
      <c r="AD1047" s="44" t="s">
        <v>57</v>
      </c>
      <c r="AE1047" s="33">
        <v>2035</v>
      </c>
      <c r="AF1047" s="45" t="str">
        <f t="shared" si="134"/>
        <v>*0.92</v>
      </c>
      <c r="AG1047" s="43" t="str">
        <f t="shared" si="136"/>
        <v>REZoning_Sol-Win</v>
      </c>
      <c r="AI1047" s="33" t="s">
        <v>1921</v>
      </c>
      <c r="AJ1047" s="44" t="s">
        <v>57</v>
      </c>
      <c r="AK1047" s="33">
        <v>2050</v>
      </c>
      <c r="AL1047" s="45" t="str">
        <f t="shared" si="135"/>
        <v>*0.87</v>
      </c>
      <c r="AM1047" s="43" t="str">
        <f t="shared" si="137"/>
        <v>REZoning_Sol-Win</v>
      </c>
      <c r="AP1047" t="s">
        <v>1921</v>
      </c>
      <c r="AQ1047" t="s">
        <v>57</v>
      </c>
      <c r="AR1047">
        <v>2100</v>
      </c>
      <c r="AS1047" t="s">
        <v>874</v>
      </c>
      <c r="AT1047" t="s">
        <v>58</v>
      </c>
    </row>
    <row r="1048" ht="29" spans="1:46">
      <c r="A1048" s="31" t="s">
        <v>55</v>
      </c>
      <c r="C1048" t="s">
        <v>1922</v>
      </c>
      <c r="D1048" s="5" t="s">
        <v>57</v>
      </c>
      <c r="E1048">
        <v>2035</v>
      </c>
      <c r="F1048" s="6" t="str">
        <f t="shared" si="130"/>
        <v>*0.95</v>
      </c>
      <c r="H1048" t="s">
        <v>1922</v>
      </c>
      <c r="I1048" s="5" t="s">
        <v>57</v>
      </c>
      <c r="J1048">
        <v>2050</v>
      </c>
      <c r="K1048" s="38" t="str">
        <f t="shared" si="131"/>
        <v>*0.92</v>
      </c>
      <c r="P1048" s="32" t="s">
        <v>1922</v>
      </c>
      <c r="Q1048" s="42" t="s">
        <v>57</v>
      </c>
      <c r="R1048" s="32">
        <v>2035</v>
      </c>
      <c r="S1048" s="43" t="str">
        <f t="shared" si="132"/>
        <v>*0.94</v>
      </c>
      <c r="U1048" s="32" t="s">
        <v>1922</v>
      </c>
      <c r="V1048" s="42" t="s">
        <v>57</v>
      </c>
      <c r="W1048" s="32">
        <v>2050</v>
      </c>
      <c r="X1048" s="43" t="str">
        <f t="shared" si="133"/>
        <v>*0.91</v>
      </c>
      <c r="AC1048" s="33" t="s">
        <v>1922</v>
      </c>
      <c r="AD1048" s="44" t="s">
        <v>57</v>
      </c>
      <c r="AE1048" s="33">
        <v>2035</v>
      </c>
      <c r="AF1048" s="45" t="str">
        <f t="shared" si="134"/>
        <v>*0.92</v>
      </c>
      <c r="AG1048" s="43" t="str">
        <f t="shared" si="136"/>
        <v>REZoning_Sol-Win</v>
      </c>
      <c r="AI1048" s="33" t="s">
        <v>1922</v>
      </c>
      <c r="AJ1048" s="44" t="s">
        <v>57</v>
      </c>
      <c r="AK1048" s="33">
        <v>2050</v>
      </c>
      <c r="AL1048" s="45" t="str">
        <f t="shared" si="135"/>
        <v>*0.87</v>
      </c>
      <c r="AM1048" s="43" t="str">
        <f t="shared" si="137"/>
        <v>REZoning_Sol-Win</v>
      </c>
      <c r="AP1048" t="s">
        <v>1922</v>
      </c>
      <c r="AQ1048" t="s">
        <v>57</v>
      </c>
      <c r="AR1048">
        <v>2100</v>
      </c>
      <c r="AS1048" t="s">
        <v>874</v>
      </c>
      <c r="AT1048" t="s">
        <v>58</v>
      </c>
    </row>
    <row r="1049" ht="29" spans="1:46">
      <c r="A1049" s="31" t="s">
        <v>55</v>
      </c>
      <c r="C1049" t="s">
        <v>1923</v>
      </c>
      <c r="D1049" s="5" t="s">
        <v>57</v>
      </c>
      <c r="E1049">
        <v>2035</v>
      </c>
      <c r="F1049" s="6" t="str">
        <f t="shared" si="130"/>
        <v>*0.95</v>
      </c>
      <c r="H1049" t="s">
        <v>1923</v>
      </c>
      <c r="I1049" s="5" t="s">
        <v>57</v>
      </c>
      <c r="J1049">
        <v>2050</v>
      </c>
      <c r="K1049" s="38" t="str">
        <f t="shared" si="131"/>
        <v>*0.92</v>
      </c>
      <c r="P1049" s="32" t="s">
        <v>1923</v>
      </c>
      <c r="Q1049" s="42" t="s">
        <v>57</v>
      </c>
      <c r="R1049" s="32">
        <v>2035</v>
      </c>
      <c r="S1049" s="43" t="str">
        <f t="shared" si="132"/>
        <v>*0.94</v>
      </c>
      <c r="U1049" s="32" t="s">
        <v>1923</v>
      </c>
      <c r="V1049" s="42" t="s">
        <v>57</v>
      </c>
      <c r="W1049" s="32">
        <v>2050</v>
      </c>
      <c r="X1049" s="43" t="str">
        <f t="shared" si="133"/>
        <v>*0.91</v>
      </c>
      <c r="AC1049" s="33" t="s">
        <v>1923</v>
      </c>
      <c r="AD1049" s="44" t="s">
        <v>57</v>
      </c>
      <c r="AE1049" s="33">
        <v>2035</v>
      </c>
      <c r="AF1049" s="45" t="str">
        <f t="shared" si="134"/>
        <v>*0.92</v>
      </c>
      <c r="AG1049" s="43" t="str">
        <f t="shared" si="136"/>
        <v>REZoning_Sol-Win</v>
      </c>
      <c r="AI1049" s="33" t="s">
        <v>1923</v>
      </c>
      <c r="AJ1049" s="44" t="s">
        <v>57</v>
      </c>
      <c r="AK1049" s="33">
        <v>2050</v>
      </c>
      <c r="AL1049" s="45" t="str">
        <f t="shared" si="135"/>
        <v>*0.87</v>
      </c>
      <c r="AM1049" s="43" t="str">
        <f t="shared" si="137"/>
        <v>REZoning_Sol-Win</v>
      </c>
      <c r="AP1049" t="s">
        <v>1923</v>
      </c>
      <c r="AQ1049" t="s">
        <v>57</v>
      </c>
      <c r="AR1049">
        <v>2100</v>
      </c>
      <c r="AS1049" t="s">
        <v>874</v>
      </c>
      <c r="AT1049" t="s">
        <v>58</v>
      </c>
    </row>
    <row r="1050" ht="29" spans="1:46">
      <c r="A1050" s="31" t="s">
        <v>55</v>
      </c>
      <c r="C1050" t="s">
        <v>1924</v>
      </c>
      <c r="D1050" s="5" t="s">
        <v>57</v>
      </c>
      <c r="E1050">
        <v>2035</v>
      </c>
      <c r="F1050" s="6" t="str">
        <f t="shared" si="130"/>
        <v>*0.95</v>
      </c>
      <c r="H1050" t="s">
        <v>1924</v>
      </c>
      <c r="I1050" s="5" t="s">
        <v>57</v>
      </c>
      <c r="J1050">
        <v>2050</v>
      </c>
      <c r="K1050" s="38" t="str">
        <f t="shared" si="131"/>
        <v>*0.92</v>
      </c>
      <c r="P1050" s="32" t="s">
        <v>1924</v>
      </c>
      <c r="Q1050" s="42" t="s">
        <v>57</v>
      </c>
      <c r="R1050" s="32">
        <v>2035</v>
      </c>
      <c r="S1050" s="43" t="str">
        <f t="shared" si="132"/>
        <v>*0.94</v>
      </c>
      <c r="U1050" s="32" t="s">
        <v>1924</v>
      </c>
      <c r="V1050" s="42" t="s">
        <v>57</v>
      </c>
      <c r="W1050" s="32">
        <v>2050</v>
      </c>
      <c r="X1050" s="43" t="str">
        <f t="shared" si="133"/>
        <v>*0.91</v>
      </c>
      <c r="AC1050" s="33" t="s">
        <v>1924</v>
      </c>
      <c r="AD1050" s="44" t="s">
        <v>57</v>
      </c>
      <c r="AE1050" s="33">
        <v>2035</v>
      </c>
      <c r="AF1050" s="45" t="str">
        <f t="shared" si="134"/>
        <v>*0.92</v>
      </c>
      <c r="AG1050" s="43" t="str">
        <f t="shared" si="136"/>
        <v>REZoning_Sol-Win</v>
      </c>
      <c r="AI1050" s="33" t="s">
        <v>1924</v>
      </c>
      <c r="AJ1050" s="44" t="s">
        <v>57</v>
      </c>
      <c r="AK1050" s="33">
        <v>2050</v>
      </c>
      <c r="AL1050" s="45" t="str">
        <f t="shared" si="135"/>
        <v>*0.87</v>
      </c>
      <c r="AM1050" s="43" t="str">
        <f t="shared" si="137"/>
        <v>REZoning_Sol-Win</v>
      </c>
      <c r="AP1050" t="s">
        <v>1924</v>
      </c>
      <c r="AQ1050" t="s">
        <v>57</v>
      </c>
      <c r="AR1050">
        <v>2100</v>
      </c>
      <c r="AS1050" t="s">
        <v>874</v>
      </c>
      <c r="AT1050" t="s">
        <v>58</v>
      </c>
    </row>
    <row r="1051" ht="29" spans="1:46">
      <c r="A1051" s="31" t="s">
        <v>55</v>
      </c>
      <c r="C1051" t="s">
        <v>1925</v>
      </c>
      <c r="D1051" s="5" t="s">
        <v>57</v>
      </c>
      <c r="E1051">
        <v>2035</v>
      </c>
      <c r="F1051" s="6" t="str">
        <f t="shared" si="130"/>
        <v>*0.95</v>
      </c>
      <c r="H1051" t="s">
        <v>1925</v>
      </c>
      <c r="I1051" s="5" t="s">
        <v>57</v>
      </c>
      <c r="J1051">
        <v>2050</v>
      </c>
      <c r="K1051" s="38" t="str">
        <f t="shared" si="131"/>
        <v>*0.92</v>
      </c>
      <c r="P1051" s="32" t="s">
        <v>1925</v>
      </c>
      <c r="Q1051" s="42" t="s">
        <v>57</v>
      </c>
      <c r="R1051" s="32">
        <v>2035</v>
      </c>
      <c r="S1051" s="43" t="str">
        <f t="shared" si="132"/>
        <v>*0.94</v>
      </c>
      <c r="U1051" s="32" t="s">
        <v>1925</v>
      </c>
      <c r="V1051" s="42" t="s">
        <v>57</v>
      </c>
      <c r="W1051" s="32">
        <v>2050</v>
      </c>
      <c r="X1051" s="43" t="str">
        <f t="shared" si="133"/>
        <v>*0.91</v>
      </c>
      <c r="AC1051" s="33" t="s">
        <v>1925</v>
      </c>
      <c r="AD1051" s="44" t="s">
        <v>57</v>
      </c>
      <c r="AE1051" s="33">
        <v>2035</v>
      </c>
      <c r="AF1051" s="45" t="str">
        <f t="shared" si="134"/>
        <v>*0.92</v>
      </c>
      <c r="AG1051" s="43" t="str">
        <f t="shared" si="136"/>
        <v>REZoning_Sol-Win</v>
      </c>
      <c r="AI1051" s="33" t="s">
        <v>1925</v>
      </c>
      <c r="AJ1051" s="44" t="s">
        <v>57</v>
      </c>
      <c r="AK1051" s="33">
        <v>2050</v>
      </c>
      <c r="AL1051" s="45" t="str">
        <f t="shared" si="135"/>
        <v>*0.87</v>
      </c>
      <c r="AM1051" s="43" t="str">
        <f t="shared" si="137"/>
        <v>REZoning_Sol-Win</v>
      </c>
      <c r="AP1051" t="s">
        <v>1925</v>
      </c>
      <c r="AQ1051" t="s">
        <v>57</v>
      </c>
      <c r="AR1051">
        <v>2100</v>
      </c>
      <c r="AS1051" t="s">
        <v>874</v>
      </c>
      <c r="AT1051" t="s">
        <v>58</v>
      </c>
    </row>
    <row r="1052" ht="29" spans="1:46">
      <c r="A1052" s="31" t="s">
        <v>55</v>
      </c>
      <c r="C1052" t="s">
        <v>1926</v>
      </c>
      <c r="D1052" s="5" t="s">
        <v>57</v>
      </c>
      <c r="E1052">
        <v>2035</v>
      </c>
      <c r="F1052" s="6" t="str">
        <f t="shared" si="130"/>
        <v>*0.95</v>
      </c>
      <c r="H1052" t="s">
        <v>1926</v>
      </c>
      <c r="I1052" s="5" t="s">
        <v>57</v>
      </c>
      <c r="J1052">
        <v>2050</v>
      </c>
      <c r="K1052" s="38" t="str">
        <f t="shared" si="131"/>
        <v>*0.92</v>
      </c>
      <c r="P1052" s="32" t="s">
        <v>1926</v>
      </c>
      <c r="Q1052" s="42" t="s">
        <v>57</v>
      </c>
      <c r="R1052" s="32">
        <v>2035</v>
      </c>
      <c r="S1052" s="43" t="str">
        <f t="shared" si="132"/>
        <v>*0.94</v>
      </c>
      <c r="U1052" s="32" t="s">
        <v>1926</v>
      </c>
      <c r="V1052" s="42" t="s">
        <v>57</v>
      </c>
      <c r="W1052" s="32">
        <v>2050</v>
      </c>
      <c r="X1052" s="43" t="str">
        <f t="shared" si="133"/>
        <v>*0.91</v>
      </c>
      <c r="AC1052" s="33" t="s">
        <v>1926</v>
      </c>
      <c r="AD1052" s="44" t="s">
        <v>57</v>
      </c>
      <c r="AE1052" s="33">
        <v>2035</v>
      </c>
      <c r="AF1052" s="45" t="str">
        <f t="shared" si="134"/>
        <v>*0.92</v>
      </c>
      <c r="AG1052" s="43" t="str">
        <f t="shared" si="136"/>
        <v>REZoning_Sol-Win</v>
      </c>
      <c r="AI1052" s="33" t="s">
        <v>1926</v>
      </c>
      <c r="AJ1052" s="44" t="s">
        <v>57</v>
      </c>
      <c r="AK1052" s="33">
        <v>2050</v>
      </c>
      <c r="AL1052" s="45" t="str">
        <f t="shared" si="135"/>
        <v>*0.87</v>
      </c>
      <c r="AM1052" s="43" t="str">
        <f t="shared" si="137"/>
        <v>REZoning_Sol-Win</v>
      </c>
      <c r="AP1052" t="s">
        <v>1926</v>
      </c>
      <c r="AQ1052" t="s">
        <v>57</v>
      </c>
      <c r="AR1052">
        <v>2100</v>
      </c>
      <c r="AS1052" t="s">
        <v>874</v>
      </c>
      <c r="AT1052" t="s">
        <v>58</v>
      </c>
    </row>
    <row r="1053" ht="29" spans="1:46">
      <c r="A1053" s="31" t="s">
        <v>55</v>
      </c>
      <c r="C1053" t="s">
        <v>1927</v>
      </c>
      <c r="D1053" s="5" t="s">
        <v>57</v>
      </c>
      <c r="E1053">
        <v>2035</v>
      </c>
      <c r="F1053" s="6" t="str">
        <f t="shared" si="130"/>
        <v>*0.95</v>
      </c>
      <c r="H1053" t="s">
        <v>1927</v>
      </c>
      <c r="I1053" s="5" t="s">
        <v>57</v>
      </c>
      <c r="J1053">
        <v>2050</v>
      </c>
      <c r="K1053" s="38" t="str">
        <f t="shared" si="131"/>
        <v>*0.92</v>
      </c>
      <c r="P1053" s="32" t="s">
        <v>1927</v>
      </c>
      <c r="Q1053" s="42" t="s">
        <v>57</v>
      </c>
      <c r="R1053" s="32">
        <v>2035</v>
      </c>
      <c r="S1053" s="43" t="str">
        <f t="shared" si="132"/>
        <v>*0.94</v>
      </c>
      <c r="U1053" s="32" t="s">
        <v>1927</v>
      </c>
      <c r="V1053" s="42" t="s">
        <v>57</v>
      </c>
      <c r="W1053" s="32">
        <v>2050</v>
      </c>
      <c r="X1053" s="43" t="str">
        <f t="shared" si="133"/>
        <v>*0.91</v>
      </c>
      <c r="AC1053" s="33" t="s">
        <v>1927</v>
      </c>
      <c r="AD1053" s="44" t="s">
        <v>57</v>
      </c>
      <c r="AE1053" s="33">
        <v>2035</v>
      </c>
      <c r="AF1053" s="45" t="str">
        <f t="shared" si="134"/>
        <v>*0.92</v>
      </c>
      <c r="AG1053" s="43" t="str">
        <f t="shared" si="136"/>
        <v>REZoning_Sol-Win</v>
      </c>
      <c r="AI1053" s="33" t="s">
        <v>1927</v>
      </c>
      <c r="AJ1053" s="44" t="s">
        <v>57</v>
      </c>
      <c r="AK1053" s="33">
        <v>2050</v>
      </c>
      <c r="AL1053" s="45" t="str">
        <f t="shared" si="135"/>
        <v>*0.87</v>
      </c>
      <c r="AM1053" s="43" t="str">
        <f t="shared" si="137"/>
        <v>REZoning_Sol-Win</v>
      </c>
      <c r="AP1053" t="s">
        <v>1927</v>
      </c>
      <c r="AQ1053" t="s">
        <v>57</v>
      </c>
      <c r="AR1053">
        <v>2100</v>
      </c>
      <c r="AS1053" t="s">
        <v>874</v>
      </c>
      <c r="AT1053" t="s">
        <v>58</v>
      </c>
    </row>
    <row r="1054" ht="29" spans="1:46">
      <c r="A1054" s="31" t="s">
        <v>55</v>
      </c>
      <c r="C1054" t="s">
        <v>1928</v>
      </c>
      <c r="D1054" s="5" t="s">
        <v>57</v>
      </c>
      <c r="E1054">
        <v>2035</v>
      </c>
      <c r="F1054" s="6" t="str">
        <f t="shared" si="130"/>
        <v>*0.95</v>
      </c>
      <c r="H1054" t="s">
        <v>1928</v>
      </c>
      <c r="I1054" s="5" t="s">
        <v>57</v>
      </c>
      <c r="J1054">
        <v>2050</v>
      </c>
      <c r="K1054" s="38" t="str">
        <f t="shared" si="131"/>
        <v>*0.92</v>
      </c>
      <c r="P1054" s="32" t="s">
        <v>1928</v>
      </c>
      <c r="Q1054" s="42" t="s">
        <v>57</v>
      </c>
      <c r="R1054" s="32">
        <v>2035</v>
      </c>
      <c r="S1054" s="43" t="str">
        <f t="shared" si="132"/>
        <v>*0.94</v>
      </c>
      <c r="U1054" s="32" t="s">
        <v>1928</v>
      </c>
      <c r="V1054" s="42" t="s">
        <v>57</v>
      </c>
      <c r="W1054" s="32">
        <v>2050</v>
      </c>
      <c r="X1054" s="43" t="str">
        <f t="shared" si="133"/>
        <v>*0.91</v>
      </c>
      <c r="AC1054" s="33" t="s">
        <v>1928</v>
      </c>
      <c r="AD1054" s="44" t="s">
        <v>57</v>
      </c>
      <c r="AE1054" s="33">
        <v>2035</v>
      </c>
      <c r="AF1054" s="45" t="str">
        <f t="shared" si="134"/>
        <v>*0.92</v>
      </c>
      <c r="AG1054" s="43" t="str">
        <f t="shared" si="136"/>
        <v>REZoning_Sol-Win</v>
      </c>
      <c r="AI1054" s="33" t="s">
        <v>1928</v>
      </c>
      <c r="AJ1054" s="44" t="s">
        <v>57</v>
      </c>
      <c r="AK1054" s="33">
        <v>2050</v>
      </c>
      <c r="AL1054" s="45" t="str">
        <f t="shared" si="135"/>
        <v>*0.87</v>
      </c>
      <c r="AM1054" s="43" t="str">
        <f t="shared" si="137"/>
        <v>REZoning_Sol-Win</v>
      </c>
      <c r="AP1054" t="s">
        <v>1928</v>
      </c>
      <c r="AQ1054" t="s">
        <v>57</v>
      </c>
      <c r="AR1054">
        <v>2100</v>
      </c>
      <c r="AS1054" t="s">
        <v>874</v>
      </c>
      <c r="AT1054" t="s">
        <v>58</v>
      </c>
    </row>
    <row r="1055" ht="29" spans="1:46">
      <c r="A1055" s="31" t="s">
        <v>55</v>
      </c>
      <c r="C1055" t="s">
        <v>1929</v>
      </c>
      <c r="D1055" s="5" t="s">
        <v>57</v>
      </c>
      <c r="E1055">
        <v>2035</v>
      </c>
      <c r="F1055" s="6" t="str">
        <f t="shared" si="130"/>
        <v>*0.95</v>
      </c>
      <c r="H1055" t="s">
        <v>1929</v>
      </c>
      <c r="I1055" s="5" t="s">
        <v>57</v>
      </c>
      <c r="J1055">
        <v>2050</v>
      </c>
      <c r="K1055" s="38" t="str">
        <f t="shared" si="131"/>
        <v>*0.92</v>
      </c>
      <c r="P1055" s="32" t="s">
        <v>1929</v>
      </c>
      <c r="Q1055" s="42" t="s">
        <v>57</v>
      </c>
      <c r="R1055" s="32">
        <v>2035</v>
      </c>
      <c r="S1055" s="43" t="str">
        <f t="shared" si="132"/>
        <v>*0.94</v>
      </c>
      <c r="U1055" s="32" t="s">
        <v>1929</v>
      </c>
      <c r="V1055" s="42" t="s">
        <v>57</v>
      </c>
      <c r="W1055" s="32">
        <v>2050</v>
      </c>
      <c r="X1055" s="43" t="str">
        <f t="shared" si="133"/>
        <v>*0.91</v>
      </c>
      <c r="AC1055" s="33" t="s">
        <v>1929</v>
      </c>
      <c r="AD1055" s="44" t="s">
        <v>57</v>
      </c>
      <c r="AE1055" s="33">
        <v>2035</v>
      </c>
      <c r="AF1055" s="45" t="str">
        <f t="shared" si="134"/>
        <v>*0.92</v>
      </c>
      <c r="AG1055" s="43" t="str">
        <f t="shared" si="136"/>
        <v>REZoning_Sol-Win</v>
      </c>
      <c r="AI1055" s="33" t="s">
        <v>1929</v>
      </c>
      <c r="AJ1055" s="44" t="s">
        <v>57</v>
      </c>
      <c r="AK1055" s="33">
        <v>2050</v>
      </c>
      <c r="AL1055" s="45" t="str">
        <f t="shared" si="135"/>
        <v>*0.87</v>
      </c>
      <c r="AM1055" s="43" t="str">
        <f t="shared" si="137"/>
        <v>REZoning_Sol-Win</v>
      </c>
      <c r="AP1055" t="s">
        <v>1929</v>
      </c>
      <c r="AQ1055" t="s">
        <v>57</v>
      </c>
      <c r="AR1055">
        <v>2100</v>
      </c>
      <c r="AS1055" t="s">
        <v>874</v>
      </c>
      <c r="AT1055" t="s">
        <v>58</v>
      </c>
    </row>
    <row r="1056" ht="29" spans="1:46">
      <c r="A1056" s="31" t="s">
        <v>55</v>
      </c>
      <c r="C1056" t="s">
        <v>1930</v>
      </c>
      <c r="D1056" s="5" t="s">
        <v>57</v>
      </c>
      <c r="E1056">
        <v>2035</v>
      </c>
      <c r="F1056" s="6" t="str">
        <f t="shared" si="130"/>
        <v>*0.95</v>
      </c>
      <c r="H1056" t="s">
        <v>1930</v>
      </c>
      <c r="I1056" s="5" t="s">
        <v>57</v>
      </c>
      <c r="J1056">
        <v>2050</v>
      </c>
      <c r="K1056" s="38" t="str">
        <f t="shared" si="131"/>
        <v>*0.92</v>
      </c>
      <c r="P1056" s="32" t="s">
        <v>1930</v>
      </c>
      <c r="Q1056" s="42" t="s">
        <v>57</v>
      </c>
      <c r="R1056" s="32">
        <v>2035</v>
      </c>
      <c r="S1056" s="43" t="str">
        <f t="shared" si="132"/>
        <v>*0.94</v>
      </c>
      <c r="U1056" s="32" t="s">
        <v>1930</v>
      </c>
      <c r="V1056" s="42" t="s">
        <v>57</v>
      </c>
      <c r="W1056" s="32">
        <v>2050</v>
      </c>
      <c r="X1056" s="43" t="str">
        <f t="shared" si="133"/>
        <v>*0.91</v>
      </c>
      <c r="AC1056" s="33" t="s">
        <v>1930</v>
      </c>
      <c r="AD1056" s="44" t="s">
        <v>57</v>
      </c>
      <c r="AE1056" s="33">
        <v>2035</v>
      </c>
      <c r="AF1056" s="45" t="str">
        <f t="shared" si="134"/>
        <v>*0.92</v>
      </c>
      <c r="AG1056" s="43" t="str">
        <f t="shared" si="136"/>
        <v>REZoning_Sol-Win</v>
      </c>
      <c r="AI1056" s="33" t="s">
        <v>1930</v>
      </c>
      <c r="AJ1056" s="44" t="s">
        <v>57</v>
      </c>
      <c r="AK1056" s="33">
        <v>2050</v>
      </c>
      <c r="AL1056" s="45" t="str">
        <f t="shared" si="135"/>
        <v>*0.87</v>
      </c>
      <c r="AM1056" s="43" t="str">
        <f t="shared" si="137"/>
        <v>REZoning_Sol-Win</v>
      </c>
      <c r="AP1056" t="s">
        <v>1930</v>
      </c>
      <c r="AQ1056" t="s">
        <v>57</v>
      </c>
      <c r="AR1056">
        <v>2100</v>
      </c>
      <c r="AS1056" t="s">
        <v>874</v>
      </c>
      <c r="AT1056" t="s">
        <v>58</v>
      </c>
    </row>
    <row r="1057" ht="29" spans="1:46">
      <c r="A1057" s="31" t="s">
        <v>55</v>
      </c>
      <c r="C1057" t="s">
        <v>1931</v>
      </c>
      <c r="D1057" s="5" t="s">
        <v>57</v>
      </c>
      <c r="E1057">
        <v>2035</v>
      </c>
      <c r="F1057" s="6" t="str">
        <f t="shared" si="130"/>
        <v>*0.95</v>
      </c>
      <c r="H1057" t="s">
        <v>1931</v>
      </c>
      <c r="I1057" s="5" t="s">
        <v>57</v>
      </c>
      <c r="J1057">
        <v>2050</v>
      </c>
      <c r="K1057" s="38" t="str">
        <f t="shared" si="131"/>
        <v>*0.92</v>
      </c>
      <c r="P1057" s="32" t="s">
        <v>1931</v>
      </c>
      <c r="Q1057" s="42" t="s">
        <v>57</v>
      </c>
      <c r="R1057" s="32">
        <v>2035</v>
      </c>
      <c r="S1057" s="43" t="str">
        <f t="shared" si="132"/>
        <v>*0.94</v>
      </c>
      <c r="U1057" s="32" t="s">
        <v>1931</v>
      </c>
      <c r="V1057" s="42" t="s">
        <v>57</v>
      </c>
      <c r="W1057" s="32">
        <v>2050</v>
      </c>
      <c r="X1057" s="43" t="str">
        <f t="shared" si="133"/>
        <v>*0.91</v>
      </c>
      <c r="AC1057" s="33" t="s">
        <v>1931</v>
      </c>
      <c r="AD1057" s="44" t="s">
        <v>57</v>
      </c>
      <c r="AE1057" s="33">
        <v>2035</v>
      </c>
      <c r="AF1057" s="45" t="str">
        <f t="shared" si="134"/>
        <v>*0.92</v>
      </c>
      <c r="AG1057" s="43" t="str">
        <f t="shared" si="136"/>
        <v>REZoning_Sol-Win</v>
      </c>
      <c r="AI1057" s="33" t="s">
        <v>1931</v>
      </c>
      <c r="AJ1057" s="44" t="s">
        <v>57</v>
      </c>
      <c r="AK1057" s="33">
        <v>2050</v>
      </c>
      <c r="AL1057" s="45" t="str">
        <f t="shared" si="135"/>
        <v>*0.87</v>
      </c>
      <c r="AM1057" s="43" t="str">
        <f t="shared" si="137"/>
        <v>REZoning_Sol-Win</v>
      </c>
      <c r="AP1057" t="s">
        <v>1931</v>
      </c>
      <c r="AQ1057" t="s">
        <v>57</v>
      </c>
      <c r="AR1057">
        <v>2100</v>
      </c>
      <c r="AS1057" t="s">
        <v>874</v>
      </c>
      <c r="AT1057" t="s">
        <v>58</v>
      </c>
    </row>
    <row r="1058" ht="29" spans="1:46">
      <c r="A1058" s="31" t="s">
        <v>55</v>
      </c>
      <c r="C1058" t="s">
        <v>1932</v>
      </c>
      <c r="D1058" s="5" t="s">
        <v>57</v>
      </c>
      <c r="E1058">
        <v>2035</v>
      </c>
      <c r="F1058" s="6" t="str">
        <f t="shared" si="130"/>
        <v>*0.95</v>
      </c>
      <c r="H1058" t="s">
        <v>1932</v>
      </c>
      <c r="I1058" s="5" t="s">
        <v>57</v>
      </c>
      <c r="J1058">
        <v>2050</v>
      </c>
      <c r="K1058" s="38" t="str">
        <f t="shared" si="131"/>
        <v>*0.92</v>
      </c>
      <c r="P1058" s="32" t="s">
        <v>1932</v>
      </c>
      <c r="Q1058" s="42" t="s">
        <v>57</v>
      </c>
      <c r="R1058" s="32">
        <v>2035</v>
      </c>
      <c r="S1058" s="43" t="str">
        <f t="shared" si="132"/>
        <v>*0.94</v>
      </c>
      <c r="U1058" s="32" t="s">
        <v>1932</v>
      </c>
      <c r="V1058" s="42" t="s">
        <v>57</v>
      </c>
      <c r="W1058" s="32">
        <v>2050</v>
      </c>
      <c r="X1058" s="43" t="str">
        <f t="shared" si="133"/>
        <v>*0.91</v>
      </c>
      <c r="AC1058" s="33" t="s">
        <v>1932</v>
      </c>
      <c r="AD1058" s="44" t="s">
        <v>57</v>
      </c>
      <c r="AE1058" s="33">
        <v>2035</v>
      </c>
      <c r="AF1058" s="45" t="str">
        <f t="shared" si="134"/>
        <v>*0.92</v>
      </c>
      <c r="AG1058" s="43" t="str">
        <f t="shared" si="136"/>
        <v>REZoning_Sol-Win</v>
      </c>
      <c r="AI1058" s="33" t="s">
        <v>1932</v>
      </c>
      <c r="AJ1058" s="44" t="s">
        <v>57</v>
      </c>
      <c r="AK1058" s="33">
        <v>2050</v>
      </c>
      <c r="AL1058" s="45" t="str">
        <f t="shared" si="135"/>
        <v>*0.87</v>
      </c>
      <c r="AM1058" s="43" t="str">
        <f t="shared" si="137"/>
        <v>REZoning_Sol-Win</v>
      </c>
      <c r="AP1058" t="s">
        <v>1932</v>
      </c>
      <c r="AQ1058" t="s">
        <v>57</v>
      </c>
      <c r="AR1058">
        <v>2100</v>
      </c>
      <c r="AS1058" t="s">
        <v>874</v>
      </c>
      <c r="AT1058" t="s">
        <v>58</v>
      </c>
    </row>
    <row r="1059" ht="29" spans="1:46">
      <c r="A1059" s="31" t="s">
        <v>55</v>
      </c>
      <c r="C1059" t="s">
        <v>1933</v>
      </c>
      <c r="D1059" s="5" t="s">
        <v>57</v>
      </c>
      <c r="E1059">
        <v>2035</v>
      </c>
      <c r="F1059" s="6" t="str">
        <f t="shared" si="130"/>
        <v>*0.95</v>
      </c>
      <c r="H1059" t="s">
        <v>1933</v>
      </c>
      <c r="I1059" s="5" t="s">
        <v>57</v>
      </c>
      <c r="J1059">
        <v>2050</v>
      </c>
      <c r="K1059" s="38" t="str">
        <f t="shared" si="131"/>
        <v>*0.92</v>
      </c>
      <c r="P1059" s="32" t="s">
        <v>1933</v>
      </c>
      <c r="Q1059" s="42" t="s">
        <v>57</v>
      </c>
      <c r="R1059" s="32">
        <v>2035</v>
      </c>
      <c r="S1059" s="43" t="str">
        <f t="shared" si="132"/>
        <v>*0.94</v>
      </c>
      <c r="U1059" s="32" t="s">
        <v>1933</v>
      </c>
      <c r="V1059" s="42" t="s">
        <v>57</v>
      </c>
      <c r="W1059" s="32">
        <v>2050</v>
      </c>
      <c r="X1059" s="43" t="str">
        <f t="shared" si="133"/>
        <v>*0.91</v>
      </c>
      <c r="AC1059" s="33" t="s">
        <v>1933</v>
      </c>
      <c r="AD1059" s="44" t="s">
        <v>57</v>
      </c>
      <c r="AE1059" s="33">
        <v>2035</v>
      </c>
      <c r="AF1059" s="45" t="str">
        <f t="shared" si="134"/>
        <v>*0.92</v>
      </c>
      <c r="AG1059" s="43" t="str">
        <f t="shared" si="136"/>
        <v>REZoning_Sol-Win</v>
      </c>
      <c r="AI1059" s="33" t="s">
        <v>1933</v>
      </c>
      <c r="AJ1059" s="44" t="s">
        <v>57</v>
      </c>
      <c r="AK1059" s="33">
        <v>2050</v>
      </c>
      <c r="AL1059" s="45" t="str">
        <f t="shared" si="135"/>
        <v>*0.87</v>
      </c>
      <c r="AM1059" s="43" t="str">
        <f t="shared" si="137"/>
        <v>REZoning_Sol-Win</v>
      </c>
      <c r="AP1059" t="s">
        <v>1933</v>
      </c>
      <c r="AQ1059" t="s">
        <v>57</v>
      </c>
      <c r="AR1059">
        <v>2100</v>
      </c>
      <c r="AS1059" t="s">
        <v>874</v>
      </c>
      <c r="AT1059" t="s">
        <v>58</v>
      </c>
    </row>
    <row r="1060" ht="29" spans="1:46">
      <c r="A1060" s="31" t="s">
        <v>55</v>
      </c>
      <c r="C1060" t="s">
        <v>1934</v>
      </c>
      <c r="D1060" s="5" t="s">
        <v>57</v>
      </c>
      <c r="E1060">
        <v>2035</v>
      </c>
      <c r="F1060" s="6" t="str">
        <f t="shared" si="130"/>
        <v>*0.95</v>
      </c>
      <c r="H1060" t="s">
        <v>1934</v>
      </c>
      <c r="I1060" s="5" t="s">
        <v>57</v>
      </c>
      <c r="J1060">
        <v>2050</v>
      </c>
      <c r="K1060" s="38" t="str">
        <f t="shared" si="131"/>
        <v>*0.92</v>
      </c>
      <c r="P1060" s="32" t="s">
        <v>1934</v>
      </c>
      <c r="Q1060" s="42" t="s">
        <v>57</v>
      </c>
      <c r="R1060" s="32">
        <v>2035</v>
      </c>
      <c r="S1060" s="43" t="str">
        <f t="shared" si="132"/>
        <v>*0.94</v>
      </c>
      <c r="U1060" s="32" t="s">
        <v>1934</v>
      </c>
      <c r="V1060" s="42" t="s">
        <v>57</v>
      </c>
      <c r="W1060" s="32">
        <v>2050</v>
      </c>
      <c r="X1060" s="43" t="str">
        <f t="shared" si="133"/>
        <v>*0.91</v>
      </c>
      <c r="AC1060" s="33" t="s">
        <v>1934</v>
      </c>
      <c r="AD1060" s="44" t="s">
        <v>57</v>
      </c>
      <c r="AE1060" s="33">
        <v>2035</v>
      </c>
      <c r="AF1060" s="45" t="str">
        <f t="shared" si="134"/>
        <v>*0.92</v>
      </c>
      <c r="AG1060" s="43" t="str">
        <f t="shared" si="136"/>
        <v>REZoning_Sol-Win</v>
      </c>
      <c r="AI1060" s="33" t="s">
        <v>1934</v>
      </c>
      <c r="AJ1060" s="44" t="s">
        <v>57</v>
      </c>
      <c r="AK1060" s="33">
        <v>2050</v>
      </c>
      <c r="AL1060" s="45" t="str">
        <f t="shared" si="135"/>
        <v>*0.87</v>
      </c>
      <c r="AM1060" s="43" t="str">
        <f t="shared" si="137"/>
        <v>REZoning_Sol-Win</v>
      </c>
      <c r="AP1060" t="s">
        <v>1934</v>
      </c>
      <c r="AQ1060" t="s">
        <v>57</v>
      </c>
      <c r="AR1060">
        <v>2100</v>
      </c>
      <c r="AS1060" t="s">
        <v>874</v>
      </c>
      <c r="AT1060" t="s">
        <v>58</v>
      </c>
    </row>
    <row r="1061" ht="29" spans="1:46">
      <c r="A1061" s="31" t="s">
        <v>55</v>
      </c>
      <c r="C1061" t="s">
        <v>1935</v>
      </c>
      <c r="D1061" s="5" t="s">
        <v>57</v>
      </c>
      <c r="E1061">
        <v>2035</v>
      </c>
      <c r="F1061" s="6" t="str">
        <f t="shared" si="130"/>
        <v>*0.95</v>
      </c>
      <c r="H1061" t="s">
        <v>1935</v>
      </c>
      <c r="I1061" s="5" t="s">
        <v>57</v>
      </c>
      <c r="J1061">
        <v>2050</v>
      </c>
      <c r="K1061" s="38" t="str">
        <f t="shared" si="131"/>
        <v>*0.92</v>
      </c>
      <c r="P1061" s="32" t="s">
        <v>1935</v>
      </c>
      <c r="Q1061" s="42" t="s">
        <v>57</v>
      </c>
      <c r="R1061" s="32">
        <v>2035</v>
      </c>
      <c r="S1061" s="43" t="str">
        <f t="shared" si="132"/>
        <v>*0.94</v>
      </c>
      <c r="U1061" s="32" t="s">
        <v>1935</v>
      </c>
      <c r="V1061" s="42" t="s">
        <v>57</v>
      </c>
      <c r="W1061" s="32">
        <v>2050</v>
      </c>
      <c r="X1061" s="43" t="str">
        <f t="shared" si="133"/>
        <v>*0.91</v>
      </c>
      <c r="AC1061" s="33" t="s">
        <v>1935</v>
      </c>
      <c r="AD1061" s="44" t="s">
        <v>57</v>
      </c>
      <c r="AE1061" s="33">
        <v>2035</v>
      </c>
      <c r="AF1061" s="45" t="str">
        <f t="shared" si="134"/>
        <v>*0.92</v>
      </c>
      <c r="AG1061" s="43" t="str">
        <f t="shared" si="136"/>
        <v>REZoning_Sol-Win</v>
      </c>
      <c r="AI1061" s="33" t="s">
        <v>1935</v>
      </c>
      <c r="AJ1061" s="44" t="s">
        <v>57</v>
      </c>
      <c r="AK1061" s="33">
        <v>2050</v>
      </c>
      <c r="AL1061" s="45" t="str">
        <f t="shared" si="135"/>
        <v>*0.87</v>
      </c>
      <c r="AM1061" s="43" t="str">
        <f t="shared" si="137"/>
        <v>REZoning_Sol-Win</v>
      </c>
      <c r="AP1061" t="s">
        <v>1935</v>
      </c>
      <c r="AQ1061" t="s">
        <v>57</v>
      </c>
      <c r="AR1061">
        <v>2100</v>
      </c>
      <c r="AS1061" t="s">
        <v>874</v>
      </c>
      <c r="AT1061" t="s">
        <v>58</v>
      </c>
    </row>
    <row r="1062" ht="29" spans="1:46">
      <c r="A1062" s="31" t="s">
        <v>55</v>
      </c>
      <c r="C1062" t="s">
        <v>1936</v>
      </c>
      <c r="D1062" s="5" t="s">
        <v>57</v>
      </c>
      <c r="E1062">
        <v>2035</v>
      </c>
      <c r="F1062" s="6" t="str">
        <f t="shared" si="130"/>
        <v>*0.95</v>
      </c>
      <c r="H1062" t="s">
        <v>1936</v>
      </c>
      <c r="I1062" s="5" t="s">
        <v>57</v>
      </c>
      <c r="J1062">
        <v>2050</v>
      </c>
      <c r="K1062" s="38" t="str">
        <f t="shared" si="131"/>
        <v>*0.92</v>
      </c>
      <c r="P1062" s="32" t="s">
        <v>1936</v>
      </c>
      <c r="Q1062" s="42" t="s">
        <v>57</v>
      </c>
      <c r="R1062" s="32">
        <v>2035</v>
      </c>
      <c r="S1062" s="43" t="str">
        <f t="shared" si="132"/>
        <v>*0.94</v>
      </c>
      <c r="U1062" s="32" t="s">
        <v>1936</v>
      </c>
      <c r="V1062" s="42" t="s">
        <v>57</v>
      </c>
      <c r="W1062" s="32">
        <v>2050</v>
      </c>
      <c r="X1062" s="43" t="str">
        <f t="shared" si="133"/>
        <v>*0.91</v>
      </c>
      <c r="AC1062" s="33" t="s">
        <v>1936</v>
      </c>
      <c r="AD1062" s="44" t="s">
        <v>57</v>
      </c>
      <c r="AE1062" s="33">
        <v>2035</v>
      </c>
      <c r="AF1062" s="45" t="str">
        <f t="shared" si="134"/>
        <v>*0.92</v>
      </c>
      <c r="AG1062" s="43" t="str">
        <f t="shared" si="136"/>
        <v>REZoning_Sol-Win</v>
      </c>
      <c r="AI1062" s="33" t="s">
        <v>1936</v>
      </c>
      <c r="AJ1062" s="44" t="s">
        <v>57</v>
      </c>
      <c r="AK1062" s="33">
        <v>2050</v>
      </c>
      <c r="AL1062" s="45" t="str">
        <f t="shared" si="135"/>
        <v>*0.87</v>
      </c>
      <c r="AM1062" s="43" t="str">
        <f t="shared" si="137"/>
        <v>REZoning_Sol-Win</v>
      </c>
      <c r="AP1062" t="s">
        <v>1936</v>
      </c>
      <c r="AQ1062" t="s">
        <v>57</v>
      </c>
      <c r="AR1062">
        <v>2100</v>
      </c>
      <c r="AS1062" t="s">
        <v>874</v>
      </c>
      <c r="AT1062" t="s">
        <v>58</v>
      </c>
    </row>
    <row r="1063" ht="29" spans="1:46">
      <c r="A1063" s="31" t="s">
        <v>55</v>
      </c>
      <c r="C1063" t="s">
        <v>1937</v>
      </c>
      <c r="D1063" s="5" t="s">
        <v>57</v>
      </c>
      <c r="E1063">
        <v>2035</v>
      </c>
      <c r="F1063" s="6" t="str">
        <f t="shared" si="130"/>
        <v>*0.95</v>
      </c>
      <c r="H1063" t="s">
        <v>1937</v>
      </c>
      <c r="I1063" s="5" t="s">
        <v>57</v>
      </c>
      <c r="J1063">
        <v>2050</v>
      </c>
      <c r="K1063" s="38" t="str">
        <f t="shared" si="131"/>
        <v>*0.92</v>
      </c>
      <c r="P1063" s="32" t="s">
        <v>1937</v>
      </c>
      <c r="Q1063" s="42" t="s">
        <v>57</v>
      </c>
      <c r="R1063" s="32">
        <v>2035</v>
      </c>
      <c r="S1063" s="43" t="str">
        <f t="shared" si="132"/>
        <v>*0.94</v>
      </c>
      <c r="U1063" s="32" t="s">
        <v>1937</v>
      </c>
      <c r="V1063" s="42" t="s">
        <v>57</v>
      </c>
      <c r="W1063" s="32">
        <v>2050</v>
      </c>
      <c r="X1063" s="43" t="str">
        <f t="shared" si="133"/>
        <v>*0.91</v>
      </c>
      <c r="AC1063" s="33" t="s">
        <v>1937</v>
      </c>
      <c r="AD1063" s="44" t="s">
        <v>57</v>
      </c>
      <c r="AE1063" s="33">
        <v>2035</v>
      </c>
      <c r="AF1063" s="45" t="str">
        <f t="shared" si="134"/>
        <v>*0.92</v>
      </c>
      <c r="AG1063" s="43" t="str">
        <f t="shared" si="136"/>
        <v>REZoning_Sol-Win</v>
      </c>
      <c r="AI1063" s="33" t="s">
        <v>1937</v>
      </c>
      <c r="AJ1063" s="44" t="s">
        <v>57</v>
      </c>
      <c r="AK1063" s="33">
        <v>2050</v>
      </c>
      <c r="AL1063" s="45" t="str">
        <f t="shared" si="135"/>
        <v>*0.87</v>
      </c>
      <c r="AM1063" s="43" t="str">
        <f t="shared" si="137"/>
        <v>REZoning_Sol-Win</v>
      </c>
      <c r="AP1063" t="s">
        <v>1937</v>
      </c>
      <c r="AQ1063" t="s">
        <v>57</v>
      </c>
      <c r="AR1063">
        <v>2100</v>
      </c>
      <c r="AS1063" t="s">
        <v>874</v>
      </c>
      <c r="AT1063" t="s">
        <v>58</v>
      </c>
    </row>
    <row r="1064" ht="29" spans="1:46">
      <c r="A1064" s="31" t="s">
        <v>55</v>
      </c>
      <c r="C1064" t="s">
        <v>1938</v>
      </c>
      <c r="D1064" s="5" t="s">
        <v>57</v>
      </c>
      <c r="E1064">
        <v>2035</v>
      </c>
      <c r="F1064" s="6" t="str">
        <f t="shared" si="130"/>
        <v>*0.95</v>
      </c>
      <c r="H1064" t="s">
        <v>1938</v>
      </c>
      <c r="I1064" s="5" t="s">
        <v>57</v>
      </c>
      <c r="J1064">
        <v>2050</v>
      </c>
      <c r="K1064" s="38" t="str">
        <f t="shared" si="131"/>
        <v>*0.92</v>
      </c>
      <c r="P1064" s="32" t="s">
        <v>1938</v>
      </c>
      <c r="Q1064" s="42" t="s">
        <v>57</v>
      </c>
      <c r="R1064" s="32">
        <v>2035</v>
      </c>
      <c r="S1064" s="43" t="str">
        <f t="shared" si="132"/>
        <v>*0.94</v>
      </c>
      <c r="U1064" s="32" t="s">
        <v>1938</v>
      </c>
      <c r="V1064" s="42" t="s">
        <v>57</v>
      </c>
      <c r="W1064" s="32">
        <v>2050</v>
      </c>
      <c r="X1064" s="43" t="str">
        <f t="shared" si="133"/>
        <v>*0.91</v>
      </c>
      <c r="AC1064" s="33" t="s">
        <v>1938</v>
      </c>
      <c r="AD1064" s="44" t="s">
        <v>57</v>
      </c>
      <c r="AE1064" s="33">
        <v>2035</v>
      </c>
      <c r="AF1064" s="45" t="str">
        <f t="shared" si="134"/>
        <v>*0.92</v>
      </c>
      <c r="AG1064" s="43" t="str">
        <f t="shared" si="136"/>
        <v>REZoning_Sol-Win</v>
      </c>
      <c r="AI1064" s="33" t="s">
        <v>1938</v>
      </c>
      <c r="AJ1064" s="44" t="s">
        <v>57</v>
      </c>
      <c r="AK1064" s="33">
        <v>2050</v>
      </c>
      <c r="AL1064" s="45" t="str">
        <f t="shared" si="135"/>
        <v>*0.87</v>
      </c>
      <c r="AM1064" s="43" t="str">
        <f t="shared" si="137"/>
        <v>REZoning_Sol-Win</v>
      </c>
      <c r="AP1064" t="s">
        <v>1938</v>
      </c>
      <c r="AQ1064" t="s">
        <v>57</v>
      </c>
      <c r="AR1064">
        <v>2100</v>
      </c>
      <c r="AS1064" t="s">
        <v>874</v>
      </c>
      <c r="AT1064" t="s">
        <v>58</v>
      </c>
    </row>
    <row r="1065" ht="29" spans="1:46">
      <c r="A1065" s="31" t="s">
        <v>55</v>
      </c>
      <c r="C1065" t="s">
        <v>1939</v>
      </c>
      <c r="D1065" s="5" t="s">
        <v>57</v>
      </c>
      <c r="E1065">
        <v>2035</v>
      </c>
      <c r="F1065" s="6" t="str">
        <f t="shared" si="130"/>
        <v>*0.95</v>
      </c>
      <c r="H1065" t="s">
        <v>1939</v>
      </c>
      <c r="I1065" s="5" t="s">
        <v>57</v>
      </c>
      <c r="J1065">
        <v>2050</v>
      </c>
      <c r="K1065" s="38" t="str">
        <f t="shared" si="131"/>
        <v>*0.92</v>
      </c>
      <c r="P1065" s="32" t="s">
        <v>1939</v>
      </c>
      <c r="Q1065" s="42" t="s">
        <v>57</v>
      </c>
      <c r="R1065" s="32">
        <v>2035</v>
      </c>
      <c r="S1065" s="43" t="str">
        <f t="shared" si="132"/>
        <v>*0.94</v>
      </c>
      <c r="U1065" s="32" t="s">
        <v>1939</v>
      </c>
      <c r="V1065" s="42" t="s">
        <v>57</v>
      </c>
      <c r="W1065" s="32">
        <v>2050</v>
      </c>
      <c r="X1065" s="43" t="str">
        <f t="shared" si="133"/>
        <v>*0.91</v>
      </c>
      <c r="AC1065" s="33" t="s">
        <v>1939</v>
      </c>
      <c r="AD1065" s="44" t="s">
        <v>57</v>
      </c>
      <c r="AE1065" s="33">
        <v>2035</v>
      </c>
      <c r="AF1065" s="45" t="str">
        <f t="shared" si="134"/>
        <v>*0.92</v>
      </c>
      <c r="AG1065" s="43" t="str">
        <f t="shared" si="136"/>
        <v>REZoning_Sol-Win</v>
      </c>
      <c r="AI1065" s="33" t="s">
        <v>1939</v>
      </c>
      <c r="AJ1065" s="44" t="s">
        <v>57</v>
      </c>
      <c r="AK1065" s="33">
        <v>2050</v>
      </c>
      <c r="AL1065" s="45" t="str">
        <f t="shared" si="135"/>
        <v>*0.87</v>
      </c>
      <c r="AM1065" s="43" t="str">
        <f t="shared" si="137"/>
        <v>REZoning_Sol-Win</v>
      </c>
      <c r="AP1065" t="s">
        <v>1939</v>
      </c>
      <c r="AQ1065" t="s">
        <v>57</v>
      </c>
      <c r="AR1065">
        <v>2100</v>
      </c>
      <c r="AS1065" t="s">
        <v>874</v>
      </c>
      <c r="AT1065" t="s">
        <v>58</v>
      </c>
    </row>
    <row r="1066" ht="29" spans="1:46">
      <c r="A1066" s="31" t="s">
        <v>55</v>
      </c>
      <c r="C1066" t="s">
        <v>1940</v>
      </c>
      <c r="D1066" s="5" t="s">
        <v>57</v>
      </c>
      <c r="E1066">
        <v>2035</v>
      </c>
      <c r="F1066" s="6" t="str">
        <f t="shared" si="130"/>
        <v>*0.95</v>
      </c>
      <c r="H1066" t="s">
        <v>1940</v>
      </c>
      <c r="I1066" s="5" t="s">
        <v>57</v>
      </c>
      <c r="J1066">
        <v>2050</v>
      </c>
      <c r="K1066" s="38" t="str">
        <f t="shared" si="131"/>
        <v>*0.92</v>
      </c>
      <c r="P1066" s="32" t="s">
        <v>1940</v>
      </c>
      <c r="Q1066" s="42" t="s">
        <v>57</v>
      </c>
      <c r="R1066" s="32">
        <v>2035</v>
      </c>
      <c r="S1066" s="43" t="str">
        <f t="shared" si="132"/>
        <v>*0.94</v>
      </c>
      <c r="U1066" s="32" t="s">
        <v>1940</v>
      </c>
      <c r="V1066" s="42" t="s">
        <v>57</v>
      </c>
      <c r="W1066" s="32">
        <v>2050</v>
      </c>
      <c r="X1066" s="43" t="str">
        <f t="shared" si="133"/>
        <v>*0.91</v>
      </c>
      <c r="AC1066" s="33" t="s">
        <v>1940</v>
      </c>
      <c r="AD1066" s="44" t="s">
        <v>57</v>
      </c>
      <c r="AE1066" s="33">
        <v>2035</v>
      </c>
      <c r="AF1066" s="45" t="str">
        <f t="shared" si="134"/>
        <v>*0.92</v>
      </c>
      <c r="AG1066" s="43" t="str">
        <f t="shared" si="136"/>
        <v>REZoning_Sol-Win</v>
      </c>
      <c r="AI1066" s="33" t="s">
        <v>1940</v>
      </c>
      <c r="AJ1066" s="44" t="s">
        <v>57</v>
      </c>
      <c r="AK1066" s="33">
        <v>2050</v>
      </c>
      <c r="AL1066" s="45" t="str">
        <f t="shared" si="135"/>
        <v>*0.87</v>
      </c>
      <c r="AM1066" s="43" t="str">
        <f t="shared" si="137"/>
        <v>REZoning_Sol-Win</v>
      </c>
      <c r="AP1066" t="s">
        <v>1940</v>
      </c>
      <c r="AQ1066" t="s">
        <v>57</v>
      </c>
      <c r="AR1066">
        <v>2100</v>
      </c>
      <c r="AS1066" t="s">
        <v>874</v>
      </c>
      <c r="AT1066" t="s">
        <v>58</v>
      </c>
    </row>
    <row r="1067" ht="29" spans="1:46">
      <c r="A1067" s="31" t="s">
        <v>55</v>
      </c>
      <c r="C1067" t="s">
        <v>1941</v>
      </c>
      <c r="D1067" s="5" t="s">
        <v>57</v>
      </c>
      <c r="E1067">
        <v>2035</v>
      </c>
      <c r="F1067" s="6" t="str">
        <f t="shared" si="130"/>
        <v>*0.95</v>
      </c>
      <c r="H1067" t="s">
        <v>1941</v>
      </c>
      <c r="I1067" s="5" t="s">
        <v>57</v>
      </c>
      <c r="J1067">
        <v>2050</v>
      </c>
      <c r="K1067" s="38" t="str">
        <f t="shared" si="131"/>
        <v>*0.92</v>
      </c>
      <c r="P1067" s="32" t="s">
        <v>1941</v>
      </c>
      <c r="Q1067" s="42" t="s">
        <v>57</v>
      </c>
      <c r="R1067" s="32">
        <v>2035</v>
      </c>
      <c r="S1067" s="43" t="str">
        <f t="shared" si="132"/>
        <v>*0.94</v>
      </c>
      <c r="U1067" s="32" t="s">
        <v>1941</v>
      </c>
      <c r="V1067" s="42" t="s">
        <v>57</v>
      </c>
      <c r="W1067" s="32">
        <v>2050</v>
      </c>
      <c r="X1067" s="43" t="str">
        <f t="shared" si="133"/>
        <v>*0.91</v>
      </c>
      <c r="AC1067" s="33" t="s">
        <v>1941</v>
      </c>
      <c r="AD1067" s="44" t="s">
        <v>57</v>
      </c>
      <c r="AE1067" s="33">
        <v>2035</v>
      </c>
      <c r="AF1067" s="45" t="str">
        <f t="shared" si="134"/>
        <v>*0.92</v>
      </c>
      <c r="AG1067" s="43" t="str">
        <f t="shared" si="136"/>
        <v>REZoning_Sol-Win</v>
      </c>
      <c r="AI1067" s="33" t="s">
        <v>1941</v>
      </c>
      <c r="AJ1067" s="44" t="s">
        <v>57</v>
      </c>
      <c r="AK1067" s="33">
        <v>2050</v>
      </c>
      <c r="AL1067" s="45" t="str">
        <f t="shared" si="135"/>
        <v>*0.87</v>
      </c>
      <c r="AM1067" s="43" t="str">
        <f t="shared" si="137"/>
        <v>REZoning_Sol-Win</v>
      </c>
      <c r="AP1067" t="s">
        <v>1941</v>
      </c>
      <c r="AQ1067" t="s">
        <v>57</v>
      </c>
      <c r="AR1067">
        <v>2100</v>
      </c>
      <c r="AS1067" t="s">
        <v>874</v>
      </c>
      <c r="AT1067" t="s">
        <v>58</v>
      </c>
    </row>
    <row r="1068" ht="29" spans="1:46">
      <c r="A1068" s="31" t="s">
        <v>73</v>
      </c>
      <c r="C1068" t="s">
        <v>1942</v>
      </c>
      <c r="D1068" s="5" t="s">
        <v>57</v>
      </c>
      <c r="E1068">
        <v>2035</v>
      </c>
      <c r="F1068" s="6" t="str">
        <f t="shared" si="130"/>
        <v>*0.95</v>
      </c>
      <c r="H1068" t="s">
        <v>1942</v>
      </c>
      <c r="I1068" s="5" t="s">
        <v>57</v>
      </c>
      <c r="J1068">
        <v>2050</v>
      </c>
      <c r="K1068" s="38" t="str">
        <f t="shared" si="131"/>
        <v>*0.93</v>
      </c>
      <c r="P1068" s="32" t="s">
        <v>1942</v>
      </c>
      <c r="Q1068" s="42" t="s">
        <v>57</v>
      </c>
      <c r="R1068" s="32">
        <v>2035</v>
      </c>
      <c r="S1068" s="43" t="str">
        <f t="shared" si="132"/>
        <v>*0.95</v>
      </c>
      <c r="U1068" s="32" t="s">
        <v>1942</v>
      </c>
      <c r="V1068" s="42" t="s">
        <v>57</v>
      </c>
      <c r="W1068" s="32">
        <v>2050</v>
      </c>
      <c r="X1068" s="43" t="str">
        <f t="shared" si="133"/>
        <v>*0.93</v>
      </c>
      <c r="AC1068" s="33" t="s">
        <v>1942</v>
      </c>
      <c r="AD1068" s="44" t="s">
        <v>57</v>
      </c>
      <c r="AE1068" s="33">
        <v>2035</v>
      </c>
      <c r="AF1068" s="45" t="str">
        <f t="shared" si="134"/>
        <v>*0.93</v>
      </c>
      <c r="AG1068" s="43" t="str">
        <f t="shared" si="136"/>
        <v>REZoning_Sol-Win</v>
      </c>
      <c r="AI1068" s="33" t="s">
        <v>1942</v>
      </c>
      <c r="AJ1068" s="44" t="s">
        <v>57</v>
      </c>
      <c r="AK1068" s="33">
        <v>2050</v>
      </c>
      <c r="AL1068" s="45" t="str">
        <f t="shared" si="135"/>
        <v>*0.9</v>
      </c>
      <c r="AM1068" s="43" t="str">
        <f t="shared" si="137"/>
        <v>REZoning_Sol-Win</v>
      </c>
      <c r="AP1068" t="s">
        <v>1942</v>
      </c>
      <c r="AQ1068" t="s">
        <v>57</v>
      </c>
      <c r="AR1068">
        <v>2100</v>
      </c>
      <c r="AS1068" t="s">
        <v>897</v>
      </c>
      <c r="AT1068" t="s">
        <v>58</v>
      </c>
    </row>
    <row r="1069" ht="29" spans="1:46">
      <c r="A1069" s="31" t="s">
        <v>73</v>
      </c>
      <c r="C1069" t="s">
        <v>1943</v>
      </c>
      <c r="D1069" s="5" t="s">
        <v>57</v>
      </c>
      <c r="E1069">
        <v>2035</v>
      </c>
      <c r="F1069" s="6" t="str">
        <f t="shared" si="130"/>
        <v>*0.95</v>
      </c>
      <c r="H1069" t="s">
        <v>1943</v>
      </c>
      <c r="I1069" s="5" t="s">
        <v>57</v>
      </c>
      <c r="J1069">
        <v>2050</v>
      </c>
      <c r="K1069" s="38" t="str">
        <f t="shared" si="131"/>
        <v>*0.93</v>
      </c>
      <c r="P1069" s="32" t="s">
        <v>1943</v>
      </c>
      <c r="Q1069" s="42" t="s">
        <v>57</v>
      </c>
      <c r="R1069" s="32">
        <v>2035</v>
      </c>
      <c r="S1069" s="43" t="str">
        <f t="shared" si="132"/>
        <v>*0.95</v>
      </c>
      <c r="U1069" s="32" t="s">
        <v>1943</v>
      </c>
      <c r="V1069" s="42" t="s">
        <v>57</v>
      </c>
      <c r="W1069" s="32">
        <v>2050</v>
      </c>
      <c r="X1069" s="43" t="str">
        <f t="shared" si="133"/>
        <v>*0.93</v>
      </c>
      <c r="AC1069" s="33" t="s">
        <v>1943</v>
      </c>
      <c r="AD1069" s="44" t="s">
        <v>57</v>
      </c>
      <c r="AE1069" s="33">
        <v>2035</v>
      </c>
      <c r="AF1069" s="45" t="str">
        <f t="shared" si="134"/>
        <v>*0.93</v>
      </c>
      <c r="AG1069" s="43" t="str">
        <f t="shared" si="136"/>
        <v>REZoning_Sol-Win</v>
      </c>
      <c r="AI1069" s="33" t="s">
        <v>1943</v>
      </c>
      <c r="AJ1069" s="44" t="s">
        <v>57</v>
      </c>
      <c r="AK1069" s="33">
        <v>2050</v>
      </c>
      <c r="AL1069" s="45" t="str">
        <f t="shared" si="135"/>
        <v>*0.9</v>
      </c>
      <c r="AM1069" s="43" t="str">
        <f t="shared" si="137"/>
        <v>REZoning_Sol-Win</v>
      </c>
      <c r="AP1069" t="s">
        <v>1943</v>
      </c>
      <c r="AQ1069" t="s">
        <v>57</v>
      </c>
      <c r="AR1069">
        <v>2100</v>
      </c>
      <c r="AS1069" t="s">
        <v>897</v>
      </c>
      <c r="AT1069" t="s">
        <v>58</v>
      </c>
    </row>
    <row r="1070" ht="29" spans="1:46">
      <c r="A1070" s="31" t="s">
        <v>73</v>
      </c>
      <c r="C1070" t="s">
        <v>1944</v>
      </c>
      <c r="D1070" s="5" t="s">
        <v>57</v>
      </c>
      <c r="E1070">
        <v>2035</v>
      </c>
      <c r="F1070" s="6" t="str">
        <f t="shared" si="130"/>
        <v>*0.95</v>
      </c>
      <c r="H1070" t="s">
        <v>1944</v>
      </c>
      <c r="I1070" s="5" t="s">
        <v>57</v>
      </c>
      <c r="J1070">
        <v>2050</v>
      </c>
      <c r="K1070" s="38" t="str">
        <f t="shared" si="131"/>
        <v>*0.93</v>
      </c>
      <c r="P1070" s="32" t="s">
        <v>1944</v>
      </c>
      <c r="Q1070" s="42" t="s">
        <v>57</v>
      </c>
      <c r="R1070" s="32">
        <v>2035</v>
      </c>
      <c r="S1070" s="43" t="str">
        <f t="shared" si="132"/>
        <v>*0.95</v>
      </c>
      <c r="U1070" s="32" t="s">
        <v>1944</v>
      </c>
      <c r="V1070" s="42" t="s">
        <v>57</v>
      </c>
      <c r="W1070" s="32">
        <v>2050</v>
      </c>
      <c r="X1070" s="43" t="str">
        <f t="shared" si="133"/>
        <v>*0.93</v>
      </c>
      <c r="AC1070" s="33" t="s">
        <v>1944</v>
      </c>
      <c r="AD1070" s="44" t="s">
        <v>57</v>
      </c>
      <c r="AE1070" s="33">
        <v>2035</v>
      </c>
      <c r="AF1070" s="45" t="str">
        <f t="shared" si="134"/>
        <v>*0.93</v>
      </c>
      <c r="AG1070" s="43" t="str">
        <f t="shared" si="136"/>
        <v>REZoning_Sol-Win</v>
      </c>
      <c r="AI1070" s="33" t="s">
        <v>1944</v>
      </c>
      <c r="AJ1070" s="44" t="s">
        <v>57</v>
      </c>
      <c r="AK1070" s="33">
        <v>2050</v>
      </c>
      <c r="AL1070" s="45" t="str">
        <f t="shared" si="135"/>
        <v>*0.9</v>
      </c>
      <c r="AM1070" s="43" t="str">
        <f t="shared" si="137"/>
        <v>REZoning_Sol-Win</v>
      </c>
      <c r="AP1070" t="s">
        <v>1944</v>
      </c>
      <c r="AQ1070" t="s">
        <v>57</v>
      </c>
      <c r="AR1070">
        <v>2100</v>
      </c>
      <c r="AS1070" t="s">
        <v>897</v>
      </c>
      <c r="AT1070" t="s">
        <v>58</v>
      </c>
    </row>
    <row r="1071" ht="29" spans="1:46">
      <c r="A1071" s="31" t="s">
        <v>79</v>
      </c>
      <c r="C1071" t="s">
        <v>1945</v>
      </c>
      <c r="D1071" s="5" t="s">
        <v>57</v>
      </c>
      <c r="E1071">
        <v>2035</v>
      </c>
      <c r="F1071" s="6" t="str">
        <f t="shared" si="130"/>
        <v>*0.94</v>
      </c>
      <c r="H1071" t="s">
        <v>1945</v>
      </c>
      <c r="I1071" s="5" t="s">
        <v>57</v>
      </c>
      <c r="J1071">
        <v>2050</v>
      </c>
      <c r="K1071" s="38" t="str">
        <f t="shared" si="131"/>
        <v>*0.9</v>
      </c>
      <c r="P1071" s="32" t="s">
        <v>1945</v>
      </c>
      <c r="Q1071" s="42" t="s">
        <v>57</v>
      </c>
      <c r="R1071" s="32">
        <v>2035</v>
      </c>
      <c r="S1071" s="43" t="str">
        <f t="shared" si="132"/>
        <v>*0.92</v>
      </c>
      <c r="U1071" s="32" t="s">
        <v>1945</v>
      </c>
      <c r="V1071" s="42" t="s">
        <v>57</v>
      </c>
      <c r="W1071" s="32">
        <v>2050</v>
      </c>
      <c r="X1071" s="43" t="str">
        <f t="shared" si="133"/>
        <v>*0.89</v>
      </c>
      <c r="AC1071" s="33" t="s">
        <v>1945</v>
      </c>
      <c r="AD1071" s="44" t="s">
        <v>57</v>
      </c>
      <c r="AE1071" s="33">
        <v>2035</v>
      </c>
      <c r="AF1071" s="45" t="str">
        <f t="shared" si="134"/>
        <v>*0.89</v>
      </c>
      <c r="AG1071" s="43" t="str">
        <f t="shared" si="136"/>
        <v>REZoning_Sol-Win</v>
      </c>
      <c r="AI1071" s="33" t="s">
        <v>1945</v>
      </c>
      <c r="AJ1071" s="44" t="s">
        <v>57</v>
      </c>
      <c r="AK1071" s="33">
        <v>2050</v>
      </c>
      <c r="AL1071" s="45" t="str">
        <f t="shared" si="135"/>
        <v>*0.84</v>
      </c>
      <c r="AM1071" s="43" t="str">
        <f t="shared" si="137"/>
        <v>REZoning_Sol-Win</v>
      </c>
      <c r="AP1071" t="s">
        <v>1945</v>
      </c>
      <c r="AQ1071" t="s">
        <v>57</v>
      </c>
      <c r="AR1071">
        <v>2100</v>
      </c>
      <c r="AS1071" t="s">
        <v>919</v>
      </c>
      <c r="AT1071" t="s">
        <v>58</v>
      </c>
    </row>
    <row r="1072" ht="29" spans="1:46">
      <c r="A1072" s="31" t="s">
        <v>79</v>
      </c>
      <c r="C1072" t="s">
        <v>1946</v>
      </c>
      <c r="D1072" s="5" t="s">
        <v>57</v>
      </c>
      <c r="E1072">
        <v>2035</v>
      </c>
      <c r="F1072" s="6" t="str">
        <f t="shared" si="130"/>
        <v>*0.94</v>
      </c>
      <c r="H1072" t="s">
        <v>1946</v>
      </c>
      <c r="I1072" s="5" t="s">
        <v>57</v>
      </c>
      <c r="J1072">
        <v>2050</v>
      </c>
      <c r="K1072" s="38" t="str">
        <f t="shared" si="131"/>
        <v>*0.9</v>
      </c>
      <c r="P1072" s="32" t="s">
        <v>1946</v>
      </c>
      <c r="Q1072" s="42" t="s">
        <v>57</v>
      </c>
      <c r="R1072" s="32">
        <v>2035</v>
      </c>
      <c r="S1072" s="43" t="str">
        <f t="shared" si="132"/>
        <v>*0.92</v>
      </c>
      <c r="U1072" s="32" t="s">
        <v>1946</v>
      </c>
      <c r="V1072" s="42" t="s">
        <v>57</v>
      </c>
      <c r="W1072" s="32">
        <v>2050</v>
      </c>
      <c r="X1072" s="43" t="str">
        <f t="shared" si="133"/>
        <v>*0.89</v>
      </c>
      <c r="AC1072" s="33" t="s">
        <v>1946</v>
      </c>
      <c r="AD1072" s="44" t="s">
        <v>57</v>
      </c>
      <c r="AE1072" s="33">
        <v>2035</v>
      </c>
      <c r="AF1072" s="45" t="str">
        <f t="shared" si="134"/>
        <v>*0.89</v>
      </c>
      <c r="AG1072" s="43" t="str">
        <f t="shared" si="136"/>
        <v>REZoning_Sol-Win</v>
      </c>
      <c r="AI1072" s="33" t="s">
        <v>1946</v>
      </c>
      <c r="AJ1072" s="44" t="s">
        <v>57</v>
      </c>
      <c r="AK1072" s="33">
        <v>2050</v>
      </c>
      <c r="AL1072" s="45" t="str">
        <f t="shared" si="135"/>
        <v>*0.84</v>
      </c>
      <c r="AM1072" s="43" t="str">
        <f t="shared" si="137"/>
        <v>REZoning_Sol-Win</v>
      </c>
      <c r="AP1072" t="s">
        <v>1946</v>
      </c>
      <c r="AQ1072" t="s">
        <v>57</v>
      </c>
      <c r="AR1072">
        <v>2100</v>
      </c>
      <c r="AS1072" t="s">
        <v>919</v>
      </c>
      <c r="AT1072" t="s">
        <v>58</v>
      </c>
    </row>
    <row r="1073" ht="29" spans="1:46">
      <c r="A1073" s="31" t="s">
        <v>79</v>
      </c>
      <c r="C1073" t="s">
        <v>1947</v>
      </c>
      <c r="D1073" s="5" t="s">
        <v>57</v>
      </c>
      <c r="E1073">
        <v>2035</v>
      </c>
      <c r="F1073" s="6" t="str">
        <f t="shared" si="130"/>
        <v>*0.94</v>
      </c>
      <c r="H1073" t="s">
        <v>1947</v>
      </c>
      <c r="I1073" s="5" t="s">
        <v>57</v>
      </c>
      <c r="J1073">
        <v>2050</v>
      </c>
      <c r="K1073" s="38" t="str">
        <f t="shared" si="131"/>
        <v>*0.9</v>
      </c>
      <c r="P1073" s="32" t="s">
        <v>1947</v>
      </c>
      <c r="Q1073" s="42" t="s">
        <v>57</v>
      </c>
      <c r="R1073" s="32">
        <v>2035</v>
      </c>
      <c r="S1073" s="43" t="str">
        <f t="shared" si="132"/>
        <v>*0.92</v>
      </c>
      <c r="U1073" s="32" t="s">
        <v>1947</v>
      </c>
      <c r="V1073" s="42" t="s">
        <v>57</v>
      </c>
      <c r="W1073" s="32">
        <v>2050</v>
      </c>
      <c r="X1073" s="43" t="str">
        <f t="shared" si="133"/>
        <v>*0.89</v>
      </c>
      <c r="AC1073" s="33" t="s">
        <v>1947</v>
      </c>
      <c r="AD1073" s="44" t="s">
        <v>57</v>
      </c>
      <c r="AE1073" s="33">
        <v>2035</v>
      </c>
      <c r="AF1073" s="45" t="str">
        <f t="shared" si="134"/>
        <v>*0.89</v>
      </c>
      <c r="AG1073" s="43" t="str">
        <f t="shared" si="136"/>
        <v>REZoning_Sol-Win</v>
      </c>
      <c r="AI1073" s="33" t="s">
        <v>1947</v>
      </c>
      <c r="AJ1073" s="44" t="s">
        <v>57</v>
      </c>
      <c r="AK1073" s="33">
        <v>2050</v>
      </c>
      <c r="AL1073" s="45" t="str">
        <f t="shared" si="135"/>
        <v>*0.84</v>
      </c>
      <c r="AM1073" s="43" t="str">
        <f t="shared" si="137"/>
        <v>REZoning_Sol-Win</v>
      </c>
      <c r="AP1073" t="s">
        <v>1947</v>
      </c>
      <c r="AQ1073" t="s">
        <v>57</v>
      </c>
      <c r="AR1073">
        <v>2100</v>
      </c>
      <c r="AS1073" t="s">
        <v>919</v>
      </c>
      <c r="AT1073" t="s">
        <v>58</v>
      </c>
    </row>
    <row r="1074" ht="29" spans="1:46">
      <c r="A1074" s="31" t="s">
        <v>79</v>
      </c>
      <c r="C1074" t="s">
        <v>1948</v>
      </c>
      <c r="D1074" s="5" t="s">
        <v>57</v>
      </c>
      <c r="E1074">
        <v>2035</v>
      </c>
      <c r="F1074" s="6" t="str">
        <f t="shared" si="130"/>
        <v>*0.94</v>
      </c>
      <c r="H1074" t="s">
        <v>1948</v>
      </c>
      <c r="I1074" s="5" t="s">
        <v>57</v>
      </c>
      <c r="J1074">
        <v>2050</v>
      </c>
      <c r="K1074" s="38" t="str">
        <f t="shared" si="131"/>
        <v>*0.9</v>
      </c>
      <c r="P1074" s="32" t="s">
        <v>1948</v>
      </c>
      <c r="Q1074" s="42" t="s">
        <v>57</v>
      </c>
      <c r="R1074" s="32">
        <v>2035</v>
      </c>
      <c r="S1074" s="43" t="str">
        <f t="shared" si="132"/>
        <v>*0.92</v>
      </c>
      <c r="U1074" s="32" t="s">
        <v>1948</v>
      </c>
      <c r="V1074" s="42" t="s">
        <v>57</v>
      </c>
      <c r="W1074" s="32">
        <v>2050</v>
      </c>
      <c r="X1074" s="43" t="str">
        <f t="shared" si="133"/>
        <v>*0.89</v>
      </c>
      <c r="AC1074" s="33" t="s">
        <v>1948</v>
      </c>
      <c r="AD1074" s="44" t="s">
        <v>57</v>
      </c>
      <c r="AE1074" s="33">
        <v>2035</v>
      </c>
      <c r="AF1074" s="45" t="str">
        <f t="shared" si="134"/>
        <v>*0.89</v>
      </c>
      <c r="AG1074" s="43" t="str">
        <f t="shared" si="136"/>
        <v>REZoning_Sol-Win</v>
      </c>
      <c r="AI1074" s="33" t="s">
        <v>1948</v>
      </c>
      <c r="AJ1074" s="44" t="s">
        <v>57</v>
      </c>
      <c r="AK1074" s="33">
        <v>2050</v>
      </c>
      <c r="AL1074" s="45" t="str">
        <f t="shared" si="135"/>
        <v>*0.84</v>
      </c>
      <c r="AM1074" s="43" t="str">
        <f t="shared" si="137"/>
        <v>REZoning_Sol-Win</v>
      </c>
      <c r="AP1074" t="s">
        <v>1948</v>
      </c>
      <c r="AQ1074" t="s">
        <v>57</v>
      </c>
      <c r="AR1074">
        <v>2100</v>
      </c>
      <c r="AS1074" t="s">
        <v>919</v>
      </c>
      <c r="AT1074" t="s">
        <v>58</v>
      </c>
    </row>
    <row r="1075" ht="29" spans="1:46">
      <c r="A1075" s="31" t="s">
        <v>79</v>
      </c>
      <c r="C1075" t="s">
        <v>1949</v>
      </c>
      <c r="D1075" s="5" t="s">
        <v>57</v>
      </c>
      <c r="E1075">
        <v>2035</v>
      </c>
      <c r="F1075" s="6" t="str">
        <f t="shared" si="130"/>
        <v>*0.94</v>
      </c>
      <c r="H1075" t="s">
        <v>1949</v>
      </c>
      <c r="I1075" s="5" t="s">
        <v>57</v>
      </c>
      <c r="J1075">
        <v>2050</v>
      </c>
      <c r="K1075" s="38" t="str">
        <f t="shared" si="131"/>
        <v>*0.9</v>
      </c>
      <c r="P1075" s="32" t="s">
        <v>1949</v>
      </c>
      <c r="Q1075" s="42" t="s">
        <v>57</v>
      </c>
      <c r="R1075" s="32">
        <v>2035</v>
      </c>
      <c r="S1075" s="43" t="str">
        <f t="shared" si="132"/>
        <v>*0.92</v>
      </c>
      <c r="U1075" s="32" t="s">
        <v>1949</v>
      </c>
      <c r="V1075" s="42" t="s">
        <v>57</v>
      </c>
      <c r="W1075" s="32">
        <v>2050</v>
      </c>
      <c r="X1075" s="43" t="str">
        <f t="shared" si="133"/>
        <v>*0.89</v>
      </c>
      <c r="AC1075" s="33" t="s">
        <v>1949</v>
      </c>
      <c r="AD1075" s="44" t="s">
        <v>57</v>
      </c>
      <c r="AE1075" s="33">
        <v>2035</v>
      </c>
      <c r="AF1075" s="45" t="str">
        <f t="shared" si="134"/>
        <v>*0.89</v>
      </c>
      <c r="AG1075" s="43" t="str">
        <f t="shared" si="136"/>
        <v>REZoning_Sol-Win</v>
      </c>
      <c r="AI1075" s="33" t="s">
        <v>1949</v>
      </c>
      <c r="AJ1075" s="44" t="s">
        <v>57</v>
      </c>
      <c r="AK1075" s="33">
        <v>2050</v>
      </c>
      <c r="AL1075" s="45" t="str">
        <f t="shared" si="135"/>
        <v>*0.84</v>
      </c>
      <c r="AM1075" s="43" t="str">
        <f t="shared" si="137"/>
        <v>REZoning_Sol-Win</v>
      </c>
      <c r="AP1075" t="s">
        <v>1949</v>
      </c>
      <c r="AQ1075" t="s">
        <v>57</v>
      </c>
      <c r="AR1075">
        <v>2100</v>
      </c>
      <c r="AS1075" t="s">
        <v>919</v>
      </c>
      <c r="AT1075" t="s">
        <v>58</v>
      </c>
    </row>
    <row r="1076" ht="29" spans="1:46">
      <c r="A1076" s="31" t="s">
        <v>79</v>
      </c>
      <c r="C1076" t="s">
        <v>1950</v>
      </c>
      <c r="D1076" s="5" t="s">
        <v>57</v>
      </c>
      <c r="E1076">
        <v>2035</v>
      </c>
      <c r="F1076" s="6" t="str">
        <f t="shared" si="130"/>
        <v>*0.94</v>
      </c>
      <c r="H1076" t="s">
        <v>1950</v>
      </c>
      <c r="I1076" s="5" t="s">
        <v>57</v>
      </c>
      <c r="J1076">
        <v>2050</v>
      </c>
      <c r="K1076" s="38" t="str">
        <f t="shared" si="131"/>
        <v>*0.9</v>
      </c>
      <c r="P1076" s="32" t="s">
        <v>1950</v>
      </c>
      <c r="Q1076" s="42" t="s">
        <v>57</v>
      </c>
      <c r="R1076" s="32">
        <v>2035</v>
      </c>
      <c r="S1076" s="43" t="str">
        <f t="shared" si="132"/>
        <v>*0.92</v>
      </c>
      <c r="U1076" s="32" t="s">
        <v>1950</v>
      </c>
      <c r="V1076" s="42" t="s">
        <v>57</v>
      </c>
      <c r="W1076" s="32">
        <v>2050</v>
      </c>
      <c r="X1076" s="43" t="str">
        <f t="shared" si="133"/>
        <v>*0.89</v>
      </c>
      <c r="AC1076" s="33" t="s">
        <v>1950</v>
      </c>
      <c r="AD1076" s="44" t="s">
        <v>57</v>
      </c>
      <c r="AE1076" s="33">
        <v>2035</v>
      </c>
      <c r="AF1076" s="45" t="str">
        <f t="shared" si="134"/>
        <v>*0.89</v>
      </c>
      <c r="AG1076" s="43" t="str">
        <f t="shared" si="136"/>
        <v>REZoning_Sol-Win</v>
      </c>
      <c r="AI1076" s="33" t="s">
        <v>1950</v>
      </c>
      <c r="AJ1076" s="44" t="s">
        <v>57</v>
      </c>
      <c r="AK1076" s="33">
        <v>2050</v>
      </c>
      <c r="AL1076" s="45" t="str">
        <f t="shared" si="135"/>
        <v>*0.84</v>
      </c>
      <c r="AM1076" s="43" t="str">
        <f t="shared" si="137"/>
        <v>REZoning_Sol-Win</v>
      </c>
      <c r="AP1076" t="s">
        <v>1950</v>
      </c>
      <c r="AQ1076" t="s">
        <v>57</v>
      </c>
      <c r="AR1076">
        <v>2100</v>
      </c>
      <c r="AS1076" t="s">
        <v>919</v>
      </c>
      <c r="AT1076" t="s">
        <v>58</v>
      </c>
    </row>
    <row r="1077" ht="29" spans="1:46">
      <c r="A1077" s="31" t="s">
        <v>79</v>
      </c>
      <c r="C1077" t="s">
        <v>1951</v>
      </c>
      <c r="D1077" s="5" t="s">
        <v>57</v>
      </c>
      <c r="E1077">
        <v>2035</v>
      </c>
      <c r="F1077" s="6" t="str">
        <f t="shared" si="130"/>
        <v>*0.94</v>
      </c>
      <c r="H1077" t="s">
        <v>1951</v>
      </c>
      <c r="I1077" s="5" t="s">
        <v>57</v>
      </c>
      <c r="J1077">
        <v>2050</v>
      </c>
      <c r="K1077" s="38" t="str">
        <f t="shared" si="131"/>
        <v>*0.9</v>
      </c>
      <c r="P1077" s="32" t="s">
        <v>1951</v>
      </c>
      <c r="Q1077" s="42" t="s">
        <v>57</v>
      </c>
      <c r="R1077" s="32">
        <v>2035</v>
      </c>
      <c r="S1077" s="43" t="str">
        <f t="shared" si="132"/>
        <v>*0.92</v>
      </c>
      <c r="U1077" s="32" t="s">
        <v>1951</v>
      </c>
      <c r="V1077" s="42" t="s">
        <v>57</v>
      </c>
      <c r="W1077" s="32">
        <v>2050</v>
      </c>
      <c r="X1077" s="43" t="str">
        <f t="shared" si="133"/>
        <v>*0.89</v>
      </c>
      <c r="AC1077" s="33" t="s">
        <v>1951</v>
      </c>
      <c r="AD1077" s="44" t="s">
        <v>57</v>
      </c>
      <c r="AE1077" s="33">
        <v>2035</v>
      </c>
      <c r="AF1077" s="45" t="str">
        <f t="shared" si="134"/>
        <v>*0.89</v>
      </c>
      <c r="AG1077" s="43" t="str">
        <f t="shared" si="136"/>
        <v>REZoning_Sol-Win</v>
      </c>
      <c r="AI1077" s="33" t="s">
        <v>1951</v>
      </c>
      <c r="AJ1077" s="44" t="s">
        <v>57</v>
      </c>
      <c r="AK1077" s="33">
        <v>2050</v>
      </c>
      <c r="AL1077" s="45" t="str">
        <f t="shared" si="135"/>
        <v>*0.84</v>
      </c>
      <c r="AM1077" s="43" t="str">
        <f t="shared" si="137"/>
        <v>REZoning_Sol-Win</v>
      </c>
      <c r="AP1077" t="s">
        <v>1951</v>
      </c>
      <c r="AQ1077" t="s">
        <v>57</v>
      </c>
      <c r="AR1077">
        <v>2100</v>
      </c>
      <c r="AS1077" t="s">
        <v>919</v>
      </c>
      <c r="AT1077" t="s">
        <v>58</v>
      </c>
    </row>
    <row r="1078" ht="29" spans="1:46">
      <c r="A1078" s="31" t="s">
        <v>79</v>
      </c>
      <c r="C1078" t="s">
        <v>1952</v>
      </c>
      <c r="D1078" s="5" t="s">
        <v>57</v>
      </c>
      <c r="E1078">
        <v>2035</v>
      </c>
      <c r="F1078" s="6" t="str">
        <f t="shared" si="130"/>
        <v>*0.94</v>
      </c>
      <c r="H1078" t="s">
        <v>1952</v>
      </c>
      <c r="I1078" s="5" t="s">
        <v>57</v>
      </c>
      <c r="J1078">
        <v>2050</v>
      </c>
      <c r="K1078" s="38" t="str">
        <f t="shared" si="131"/>
        <v>*0.9</v>
      </c>
      <c r="P1078" s="32" t="s">
        <v>1952</v>
      </c>
      <c r="Q1078" s="42" t="s">
        <v>57</v>
      </c>
      <c r="R1078" s="32">
        <v>2035</v>
      </c>
      <c r="S1078" s="43" t="str">
        <f t="shared" si="132"/>
        <v>*0.92</v>
      </c>
      <c r="U1078" s="32" t="s">
        <v>1952</v>
      </c>
      <c r="V1078" s="42" t="s">
        <v>57</v>
      </c>
      <c r="W1078" s="32">
        <v>2050</v>
      </c>
      <c r="X1078" s="43" t="str">
        <f t="shared" si="133"/>
        <v>*0.89</v>
      </c>
      <c r="AC1078" s="33" t="s">
        <v>1952</v>
      </c>
      <c r="AD1078" s="44" t="s">
        <v>57</v>
      </c>
      <c r="AE1078" s="33">
        <v>2035</v>
      </c>
      <c r="AF1078" s="45" t="str">
        <f t="shared" si="134"/>
        <v>*0.89</v>
      </c>
      <c r="AG1078" s="43" t="str">
        <f t="shared" si="136"/>
        <v>REZoning_Sol-Win</v>
      </c>
      <c r="AI1078" s="33" t="s">
        <v>1952</v>
      </c>
      <c r="AJ1078" s="44" t="s">
        <v>57</v>
      </c>
      <c r="AK1078" s="33">
        <v>2050</v>
      </c>
      <c r="AL1078" s="45" t="str">
        <f t="shared" si="135"/>
        <v>*0.84</v>
      </c>
      <c r="AM1078" s="43" t="str">
        <f t="shared" si="137"/>
        <v>REZoning_Sol-Win</v>
      </c>
      <c r="AP1078" t="s">
        <v>1952</v>
      </c>
      <c r="AQ1078" t="s">
        <v>57</v>
      </c>
      <c r="AR1078">
        <v>2100</v>
      </c>
      <c r="AS1078" t="s">
        <v>919</v>
      </c>
      <c r="AT1078" t="s">
        <v>58</v>
      </c>
    </row>
    <row r="1079" ht="29" spans="1:46">
      <c r="A1079" s="31" t="s">
        <v>79</v>
      </c>
      <c r="C1079" t="s">
        <v>1953</v>
      </c>
      <c r="D1079" s="5" t="s">
        <v>57</v>
      </c>
      <c r="E1079">
        <v>2035</v>
      </c>
      <c r="F1079" s="6" t="str">
        <f t="shared" si="130"/>
        <v>*0.94</v>
      </c>
      <c r="H1079" t="s">
        <v>1953</v>
      </c>
      <c r="I1079" s="5" t="s">
        <v>57</v>
      </c>
      <c r="J1079">
        <v>2050</v>
      </c>
      <c r="K1079" s="38" t="str">
        <f t="shared" si="131"/>
        <v>*0.9</v>
      </c>
      <c r="P1079" s="32" t="s">
        <v>1953</v>
      </c>
      <c r="Q1079" s="42" t="s">
        <v>57</v>
      </c>
      <c r="R1079" s="32">
        <v>2035</v>
      </c>
      <c r="S1079" s="43" t="str">
        <f t="shared" si="132"/>
        <v>*0.92</v>
      </c>
      <c r="U1079" s="32" t="s">
        <v>1953</v>
      </c>
      <c r="V1079" s="42" t="s">
        <v>57</v>
      </c>
      <c r="W1079" s="32">
        <v>2050</v>
      </c>
      <c r="X1079" s="43" t="str">
        <f t="shared" si="133"/>
        <v>*0.89</v>
      </c>
      <c r="AC1079" s="33" t="s">
        <v>1953</v>
      </c>
      <c r="AD1079" s="44" t="s">
        <v>57</v>
      </c>
      <c r="AE1079" s="33">
        <v>2035</v>
      </c>
      <c r="AF1079" s="45" t="str">
        <f t="shared" si="134"/>
        <v>*0.89</v>
      </c>
      <c r="AG1079" s="43" t="str">
        <f t="shared" si="136"/>
        <v>REZoning_Sol-Win</v>
      </c>
      <c r="AI1079" s="33" t="s">
        <v>1953</v>
      </c>
      <c r="AJ1079" s="44" t="s">
        <v>57</v>
      </c>
      <c r="AK1079" s="33">
        <v>2050</v>
      </c>
      <c r="AL1079" s="45" t="str">
        <f t="shared" si="135"/>
        <v>*0.84</v>
      </c>
      <c r="AM1079" s="43" t="str">
        <f t="shared" si="137"/>
        <v>REZoning_Sol-Win</v>
      </c>
      <c r="AP1079" t="s">
        <v>1953</v>
      </c>
      <c r="AQ1079" t="s">
        <v>57</v>
      </c>
      <c r="AR1079">
        <v>2100</v>
      </c>
      <c r="AS1079" t="s">
        <v>919</v>
      </c>
      <c r="AT1079" t="s">
        <v>58</v>
      </c>
    </row>
    <row r="1080" ht="29" spans="1:46">
      <c r="A1080" s="31" t="s">
        <v>79</v>
      </c>
      <c r="C1080" t="s">
        <v>1954</v>
      </c>
      <c r="D1080" s="5" t="s">
        <v>57</v>
      </c>
      <c r="E1080">
        <v>2035</v>
      </c>
      <c r="F1080" s="6" t="str">
        <f t="shared" si="130"/>
        <v>*0.94</v>
      </c>
      <c r="H1080" t="s">
        <v>1954</v>
      </c>
      <c r="I1080" s="5" t="s">
        <v>57</v>
      </c>
      <c r="J1080">
        <v>2050</v>
      </c>
      <c r="K1080" s="38" t="str">
        <f t="shared" si="131"/>
        <v>*0.9</v>
      </c>
      <c r="P1080" s="32" t="s">
        <v>1954</v>
      </c>
      <c r="Q1080" s="42" t="s">
        <v>57</v>
      </c>
      <c r="R1080" s="32">
        <v>2035</v>
      </c>
      <c r="S1080" s="43" t="str">
        <f t="shared" si="132"/>
        <v>*0.92</v>
      </c>
      <c r="U1080" s="32" t="s">
        <v>1954</v>
      </c>
      <c r="V1080" s="42" t="s">
        <v>57</v>
      </c>
      <c r="W1080" s="32">
        <v>2050</v>
      </c>
      <c r="X1080" s="43" t="str">
        <f t="shared" si="133"/>
        <v>*0.89</v>
      </c>
      <c r="AC1080" s="33" t="s">
        <v>1954</v>
      </c>
      <c r="AD1080" s="44" t="s">
        <v>57</v>
      </c>
      <c r="AE1080" s="33">
        <v>2035</v>
      </c>
      <c r="AF1080" s="45" t="str">
        <f t="shared" si="134"/>
        <v>*0.89</v>
      </c>
      <c r="AG1080" s="43" t="str">
        <f t="shared" si="136"/>
        <v>REZoning_Sol-Win</v>
      </c>
      <c r="AI1080" s="33" t="s">
        <v>1954</v>
      </c>
      <c r="AJ1080" s="44" t="s">
        <v>57</v>
      </c>
      <c r="AK1080" s="33">
        <v>2050</v>
      </c>
      <c r="AL1080" s="45" t="str">
        <f t="shared" si="135"/>
        <v>*0.84</v>
      </c>
      <c r="AM1080" s="43" t="str">
        <f t="shared" si="137"/>
        <v>REZoning_Sol-Win</v>
      </c>
      <c r="AP1080" t="s">
        <v>1954</v>
      </c>
      <c r="AQ1080" t="s">
        <v>57</v>
      </c>
      <c r="AR1080">
        <v>2100</v>
      </c>
      <c r="AS1080" t="s">
        <v>919</v>
      </c>
      <c r="AT1080" t="s">
        <v>58</v>
      </c>
    </row>
    <row r="1081" ht="29" spans="1:46">
      <c r="A1081" s="31" t="s">
        <v>79</v>
      </c>
      <c r="C1081" t="s">
        <v>1955</v>
      </c>
      <c r="D1081" s="5" t="s">
        <v>57</v>
      </c>
      <c r="E1081">
        <v>2035</v>
      </c>
      <c r="F1081" s="6" t="str">
        <f t="shared" si="130"/>
        <v>*0.94</v>
      </c>
      <c r="H1081" t="s">
        <v>1955</v>
      </c>
      <c r="I1081" s="5" t="s">
        <v>57</v>
      </c>
      <c r="J1081">
        <v>2050</v>
      </c>
      <c r="K1081" s="38" t="str">
        <f t="shared" si="131"/>
        <v>*0.9</v>
      </c>
      <c r="P1081" s="32" t="s">
        <v>1955</v>
      </c>
      <c r="Q1081" s="42" t="s">
        <v>57</v>
      </c>
      <c r="R1081" s="32">
        <v>2035</v>
      </c>
      <c r="S1081" s="43" t="str">
        <f t="shared" si="132"/>
        <v>*0.92</v>
      </c>
      <c r="U1081" s="32" t="s">
        <v>1955</v>
      </c>
      <c r="V1081" s="42" t="s">
        <v>57</v>
      </c>
      <c r="W1081" s="32">
        <v>2050</v>
      </c>
      <c r="X1081" s="43" t="str">
        <f t="shared" si="133"/>
        <v>*0.89</v>
      </c>
      <c r="AC1081" s="33" t="s">
        <v>1955</v>
      </c>
      <c r="AD1081" s="44" t="s">
        <v>57</v>
      </c>
      <c r="AE1081" s="33">
        <v>2035</v>
      </c>
      <c r="AF1081" s="45" t="str">
        <f t="shared" si="134"/>
        <v>*0.89</v>
      </c>
      <c r="AG1081" s="43" t="str">
        <f t="shared" si="136"/>
        <v>REZoning_Sol-Win</v>
      </c>
      <c r="AI1081" s="33" t="s">
        <v>1955</v>
      </c>
      <c r="AJ1081" s="44" t="s">
        <v>57</v>
      </c>
      <c r="AK1081" s="33">
        <v>2050</v>
      </c>
      <c r="AL1081" s="45" t="str">
        <f t="shared" si="135"/>
        <v>*0.84</v>
      </c>
      <c r="AM1081" s="43" t="str">
        <f t="shared" si="137"/>
        <v>REZoning_Sol-Win</v>
      </c>
      <c r="AP1081" t="s">
        <v>1955</v>
      </c>
      <c r="AQ1081" t="s">
        <v>57</v>
      </c>
      <c r="AR1081">
        <v>2100</v>
      </c>
      <c r="AS1081" t="s">
        <v>919</v>
      </c>
      <c r="AT1081" t="s">
        <v>58</v>
      </c>
    </row>
    <row r="1082" ht="29" spans="1:46">
      <c r="A1082" s="31" t="s">
        <v>79</v>
      </c>
      <c r="C1082" t="s">
        <v>1956</v>
      </c>
      <c r="D1082" s="5" t="s">
        <v>57</v>
      </c>
      <c r="E1082">
        <v>2035</v>
      </c>
      <c r="F1082" s="6" t="str">
        <f t="shared" si="130"/>
        <v>*0.94</v>
      </c>
      <c r="H1082" t="s">
        <v>1956</v>
      </c>
      <c r="I1082" s="5" t="s">
        <v>57</v>
      </c>
      <c r="J1082">
        <v>2050</v>
      </c>
      <c r="K1082" s="38" t="str">
        <f t="shared" si="131"/>
        <v>*0.9</v>
      </c>
      <c r="P1082" s="32" t="s">
        <v>1956</v>
      </c>
      <c r="Q1082" s="42" t="s">
        <v>57</v>
      </c>
      <c r="R1082" s="32">
        <v>2035</v>
      </c>
      <c r="S1082" s="43" t="str">
        <f t="shared" si="132"/>
        <v>*0.92</v>
      </c>
      <c r="U1082" s="32" t="s">
        <v>1956</v>
      </c>
      <c r="V1082" s="42" t="s">
        <v>57</v>
      </c>
      <c r="W1082" s="32">
        <v>2050</v>
      </c>
      <c r="X1082" s="43" t="str">
        <f t="shared" si="133"/>
        <v>*0.89</v>
      </c>
      <c r="AC1082" s="33" t="s">
        <v>1956</v>
      </c>
      <c r="AD1082" s="44" t="s">
        <v>57</v>
      </c>
      <c r="AE1082" s="33">
        <v>2035</v>
      </c>
      <c r="AF1082" s="45" t="str">
        <f t="shared" si="134"/>
        <v>*0.89</v>
      </c>
      <c r="AG1082" s="43" t="str">
        <f t="shared" si="136"/>
        <v>REZoning_Sol-Win</v>
      </c>
      <c r="AI1082" s="33" t="s">
        <v>1956</v>
      </c>
      <c r="AJ1082" s="44" t="s">
        <v>57</v>
      </c>
      <c r="AK1082" s="33">
        <v>2050</v>
      </c>
      <c r="AL1082" s="45" t="str">
        <f t="shared" si="135"/>
        <v>*0.84</v>
      </c>
      <c r="AM1082" s="43" t="str">
        <f t="shared" si="137"/>
        <v>REZoning_Sol-Win</v>
      </c>
      <c r="AP1082" t="s">
        <v>1956</v>
      </c>
      <c r="AQ1082" t="s">
        <v>57</v>
      </c>
      <c r="AR1082">
        <v>2100</v>
      </c>
      <c r="AS1082" t="s">
        <v>919</v>
      </c>
      <c r="AT1082" t="s">
        <v>58</v>
      </c>
    </row>
    <row r="1083" ht="29" spans="1:46">
      <c r="A1083" s="31" t="s">
        <v>79</v>
      </c>
      <c r="C1083" t="s">
        <v>1957</v>
      </c>
      <c r="D1083" s="5" t="s">
        <v>57</v>
      </c>
      <c r="E1083">
        <v>2035</v>
      </c>
      <c r="F1083" s="6" t="str">
        <f t="shared" si="130"/>
        <v>*0.94</v>
      </c>
      <c r="H1083" t="s">
        <v>1957</v>
      </c>
      <c r="I1083" s="5" t="s">
        <v>57</v>
      </c>
      <c r="J1083">
        <v>2050</v>
      </c>
      <c r="K1083" s="38" t="str">
        <f t="shared" si="131"/>
        <v>*0.9</v>
      </c>
      <c r="P1083" s="32" t="s">
        <v>1957</v>
      </c>
      <c r="Q1083" s="42" t="s">
        <v>57</v>
      </c>
      <c r="R1083" s="32">
        <v>2035</v>
      </c>
      <c r="S1083" s="43" t="str">
        <f t="shared" si="132"/>
        <v>*0.92</v>
      </c>
      <c r="U1083" s="32" t="s">
        <v>1957</v>
      </c>
      <c r="V1083" s="42" t="s">
        <v>57</v>
      </c>
      <c r="W1083" s="32">
        <v>2050</v>
      </c>
      <c r="X1083" s="43" t="str">
        <f t="shared" si="133"/>
        <v>*0.89</v>
      </c>
      <c r="AC1083" s="33" t="s">
        <v>1957</v>
      </c>
      <c r="AD1083" s="44" t="s">
        <v>57</v>
      </c>
      <c r="AE1083" s="33">
        <v>2035</v>
      </c>
      <c r="AF1083" s="45" t="str">
        <f t="shared" si="134"/>
        <v>*0.89</v>
      </c>
      <c r="AG1083" s="43" t="str">
        <f t="shared" si="136"/>
        <v>REZoning_Sol-Win</v>
      </c>
      <c r="AI1083" s="33" t="s">
        <v>1957</v>
      </c>
      <c r="AJ1083" s="44" t="s">
        <v>57</v>
      </c>
      <c r="AK1083" s="33">
        <v>2050</v>
      </c>
      <c r="AL1083" s="45" t="str">
        <f t="shared" si="135"/>
        <v>*0.84</v>
      </c>
      <c r="AM1083" s="43" t="str">
        <f t="shared" si="137"/>
        <v>REZoning_Sol-Win</v>
      </c>
      <c r="AP1083" t="s">
        <v>1957</v>
      </c>
      <c r="AQ1083" t="s">
        <v>57</v>
      </c>
      <c r="AR1083">
        <v>2100</v>
      </c>
      <c r="AS1083" t="s">
        <v>919</v>
      </c>
      <c r="AT1083" t="s">
        <v>58</v>
      </c>
    </row>
    <row r="1084" ht="29" spans="1:46">
      <c r="A1084" s="31" t="s">
        <v>79</v>
      </c>
      <c r="C1084" t="s">
        <v>1958</v>
      </c>
      <c r="D1084" s="5" t="s">
        <v>57</v>
      </c>
      <c r="E1084">
        <v>2035</v>
      </c>
      <c r="F1084" s="6" t="str">
        <f t="shared" si="130"/>
        <v>*0.94</v>
      </c>
      <c r="H1084" t="s">
        <v>1958</v>
      </c>
      <c r="I1084" s="5" t="s">
        <v>57</v>
      </c>
      <c r="J1084">
        <v>2050</v>
      </c>
      <c r="K1084" s="38" t="str">
        <f t="shared" si="131"/>
        <v>*0.9</v>
      </c>
      <c r="P1084" s="32" t="s">
        <v>1958</v>
      </c>
      <c r="Q1084" s="42" t="s">
        <v>57</v>
      </c>
      <c r="R1084" s="32">
        <v>2035</v>
      </c>
      <c r="S1084" s="43" t="str">
        <f t="shared" si="132"/>
        <v>*0.92</v>
      </c>
      <c r="U1084" s="32" t="s">
        <v>1958</v>
      </c>
      <c r="V1084" s="42" t="s">
        <v>57</v>
      </c>
      <c r="W1084" s="32">
        <v>2050</v>
      </c>
      <c r="X1084" s="43" t="str">
        <f t="shared" si="133"/>
        <v>*0.89</v>
      </c>
      <c r="AC1084" s="33" t="s">
        <v>1958</v>
      </c>
      <c r="AD1084" s="44" t="s">
        <v>57</v>
      </c>
      <c r="AE1084" s="33">
        <v>2035</v>
      </c>
      <c r="AF1084" s="45" t="str">
        <f t="shared" si="134"/>
        <v>*0.89</v>
      </c>
      <c r="AG1084" s="43" t="str">
        <f t="shared" si="136"/>
        <v>REZoning_Sol-Win</v>
      </c>
      <c r="AI1084" s="33" t="s">
        <v>1958</v>
      </c>
      <c r="AJ1084" s="44" t="s">
        <v>57</v>
      </c>
      <c r="AK1084" s="33">
        <v>2050</v>
      </c>
      <c r="AL1084" s="45" t="str">
        <f t="shared" si="135"/>
        <v>*0.84</v>
      </c>
      <c r="AM1084" s="43" t="str">
        <f t="shared" si="137"/>
        <v>REZoning_Sol-Win</v>
      </c>
      <c r="AP1084" t="s">
        <v>1958</v>
      </c>
      <c r="AQ1084" t="s">
        <v>57</v>
      </c>
      <c r="AR1084">
        <v>2100</v>
      </c>
      <c r="AS1084" t="s">
        <v>919</v>
      </c>
      <c r="AT1084" t="s">
        <v>58</v>
      </c>
    </row>
    <row r="1085" ht="29" spans="1:46">
      <c r="A1085" s="31" t="s">
        <v>79</v>
      </c>
      <c r="C1085" t="s">
        <v>1959</v>
      </c>
      <c r="D1085" s="5" t="s">
        <v>57</v>
      </c>
      <c r="E1085">
        <v>2035</v>
      </c>
      <c r="F1085" s="6" t="str">
        <f t="shared" si="130"/>
        <v>*0.94</v>
      </c>
      <c r="H1085" t="s">
        <v>1959</v>
      </c>
      <c r="I1085" s="5" t="s">
        <v>57</v>
      </c>
      <c r="J1085">
        <v>2050</v>
      </c>
      <c r="K1085" s="38" t="str">
        <f t="shared" si="131"/>
        <v>*0.9</v>
      </c>
      <c r="P1085" s="32" t="s">
        <v>1959</v>
      </c>
      <c r="Q1085" s="42" t="s">
        <v>57</v>
      </c>
      <c r="R1085" s="32">
        <v>2035</v>
      </c>
      <c r="S1085" s="43" t="str">
        <f t="shared" si="132"/>
        <v>*0.92</v>
      </c>
      <c r="U1085" s="32" t="s">
        <v>1959</v>
      </c>
      <c r="V1085" s="42" t="s">
        <v>57</v>
      </c>
      <c r="W1085" s="32">
        <v>2050</v>
      </c>
      <c r="X1085" s="43" t="str">
        <f t="shared" si="133"/>
        <v>*0.89</v>
      </c>
      <c r="AC1085" s="33" t="s">
        <v>1959</v>
      </c>
      <c r="AD1085" s="44" t="s">
        <v>57</v>
      </c>
      <c r="AE1085" s="33">
        <v>2035</v>
      </c>
      <c r="AF1085" s="45" t="str">
        <f t="shared" si="134"/>
        <v>*0.89</v>
      </c>
      <c r="AG1085" s="43" t="str">
        <f t="shared" si="136"/>
        <v>REZoning_Sol-Win</v>
      </c>
      <c r="AI1085" s="33" t="s">
        <v>1959</v>
      </c>
      <c r="AJ1085" s="44" t="s">
        <v>57</v>
      </c>
      <c r="AK1085" s="33">
        <v>2050</v>
      </c>
      <c r="AL1085" s="45" t="str">
        <f t="shared" si="135"/>
        <v>*0.84</v>
      </c>
      <c r="AM1085" s="43" t="str">
        <f t="shared" si="137"/>
        <v>REZoning_Sol-Win</v>
      </c>
      <c r="AP1085" t="s">
        <v>1959</v>
      </c>
      <c r="AQ1085" t="s">
        <v>57</v>
      </c>
      <c r="AR1085">
        <v>2100</v>
      </c>
      <c r="AS1085" t="s">
        <v>919</v>
      </c>
      <c r="AT1085" t="s">
        <v>58</v>
      </c>
    </row>
    <row r="1086" ht="29" spans="1:46">
      <c r="A1086" s="31" t="s">
        <v>79</v>
      </c>
      <c r="C1086" t="s">
        <v>1960</v>
      </c>
      <c r="D1086" s="5" t="s">
        <v>57</v>
      </c>
      <c r="E1086">
        <v>2035</v>
      </c>
      <c r="F1086" s="6" t="str">
        <f t="shared" si="130"/>
        <v>*0.94</v>
      </c>
      <c r="H1086" t="s">
        <v>1960</v>
      </c>
      <c r="I1086" s="5" t="s">
        <v>57</v>
      </c>
      <c r="J1086">
        <v>2050</v>
      </c>
      <c r="K1086" s="38" t="str">
        <f t="shared" si="131"/>
        <v>*0.9</v>
      </c>
      <c r="P1086" s="32" t="s">
        <v>1960</v>
      </c>
      <c r="Q1086" s="42" t="s">
        <v>57</v>
      </c>
      <c r="R1086" s="32">
        <v>2035</v>
      </c>
      <c r="S1086" s="43" t="str">
        <f t="shared" si="132"/>
        <v>*0.92</v>
      </c>
      <c r="U1086" s="32" t="s">
        <v>1960</v>
      </c>
      <c r="V1086" s="42" t="s">
        <v>57</v>
      </c>
      <c r="W1086" s="32">
        <v>2050</v>
      </c>
      <c r="X1086" s="43" t="str">
        <f t="shared" si="133"/>
        <v>*0.89</v>
      </c>
      <c r="AC1086" s="33" t="s">
        <v>1960</v>
      </c>
      <c r="AD1086" s="44" t="s">
        <v>57</v>
      </c>
      <c r="AE1086" s="33">
        <v>2035</v>
      </c>
      <c r="AF1086" s="45" t="str">
        <f t="shared" si="134"/>
        <v>*0.89</v>
      </c>
      <c r="AG1086" s="43" t="str">
        <f t="shared" si="136"/>
        <v>REZoning_Sol-Win</v>
      </c>
      <c r="AI1086" s="33" t="s">
        <v>1960</v>
      </c>
      <c r="AJ1086" s="44" t="s">
        <v>57</v>
      </c>
      <c r="AK1086" s="33">
        <v>2050</v>
      </c>
      <c r="AL1086" s="45" t="str">
        <f t="shared" si="135"/>
        <v>*0.84</v>
      </c>
      <c r="AM1086" s="43" t="str">
        <f t="shared" si="137"/>
        <v>REZoning_Sol-Win</v>
      </c>
      <c r="AP1086" t="s">
        <v>1960</v>
      </c>
      <c r="AQ1086" t="s">
        <v>57</v>
      </c>
      <c r="AR1086">
        <v>2100</v>
      </c>
      <c r="AS1086" t="s">
        <v>919</v>
      </c>
      <c r="AT1086" t="s">
        <v>58</v>
      </c>
    </row>
    <row r="1087" ht="29" spans="1:46">
      <c r="A1087" s="31" t="s">
        <v>79</v>
      </c>
      <c r="C1087" t="s">
        <v>1961</v>
      </c>
      <c r="D1087" s="5" t="s">
        <v>57</v>
      </c>
      <c r="E1087">
        <v>2035</v>
      </c>
      <c r="F1087" s="6" t="str">
        <f t="shared" si="130"/>
        <v>*0.94</v>
      </c>
      <c r="H1087" t="s">
        <v>1961</v>
      </c>
      <c r="I1087" s="5" t="s">
        <v>57</v>
      </c>
      <c r="J1087">
        <v>2050</v>
      </c>
      <c r="K1087" s="38" t="str">
        <f t="shared" si="131"/>
        <v>*0.9</v>
      </c>
      <c r="P1087" s="32" t="s">
        <v>1961</v>
      </c>
      <c r="Q1087" s="42" t="s">
        <v>57</v>
      </c>
      <c r="R1087" s="32">
        <v>2035</v>
      </c>
      <c r="S1087" s="43" t="str">
        <f t="shared" si="132"/>
        <v>*0.92</v>
      </c>
      <c r="U1087" s="32" t="s">
        <v>1961</v>
      </c>
      <c r="V1087" s="42" t="s">
        <v>57</v>
      </c>
      <c r="W1087" s="32">
        <v>2050</v>
      </c>
      <c r="X1087" s="43" t="str">
        <f t="shared" si="133"/>
        <v>*0.89</v>
      </c>
      <c r="AC1087" s="33" t="s">
        <v>1961</v>
      </c>
      <c r="AD1087" s="44" t="s">
        <v>57</v>
      </c>
      <c r="AE1087" s="33">
        <v>2035</v>
      </c>
      <c r="AF1087" s="45" t="str">
        <f t="shared" si="134"/>
        <v>*0.89</v>
      </c>
      <c r="AG1087" s="43" t="str">
        <f t="shared" si="136"/>
        <v>REZoning_Sol-Win</v>
      </c>
      <c r="AI1087" s="33" t="s">
        <v>1961</v>
      </c>
      <c r="AJ1087" s="44" t="s">
        <v>57</v>
      </c>
      <c r="AK1087" s="33">
        <v>2050</v>
      </c>
      <c r="AL1087" s="45" t="str">
        <f t="shared" si="135"/>
        <v>*0.84</v>
      </c>
      <c r="AM1087" s="43" t="str">
        <f t="shared" si="137"/>
        <v>REZoning_Sol-Win</v>
      </c>
      <c r="AP1087" t="s">
        <v>1961</v>
      </c>
      <c r="AQ1087" t="s">
        <v>57</v>
      </c>
      <c r="AR1087">
        <v>2100</v>
      </c>
      <c r="AS1087" t="s">
        <v>919</v>
      </c>
      <c r="AT1087" t="s">
        <v>58</v>
      </c>
    </row>
    <row r="1088" ht="29" spans="1:46">
      <c r="A1088" s="31" t="s">
        <v>79</v>
      </c>
      <c r="C1088" t="s">
        <v>1962</v>
      </c>
      <c r="D1088" s="5" t="s">
        <v>57</v>
      </c>
      <c r="E1088">
        <v>2035</v>
      </c>
      <c r="F1088" s="6" t="str">
        <f t="shared" si="130"/>
        <v>*0.94</v>
      </c>
      <c r="H1088" t="s">
        <v>1962</v>
      </c>
      <c r="I1088" s="5" t="s">
        <v>57</v>
      </c>
      <c r="J1088">
        <v>2050</v>
      </c>
      <c r="K1088" s="38" t="str">
        <f t="shared" si="131"/>
        <v>*0.9</v>
      </c>
      <c r="P1088" s="32" t="s">
        <v>1962</v>
      </c>
      <c r="Q1088" s="42" t="s">
        <v>57</v>
      </c>
      <c r="R1088" s="32">
        <v>2035</v>
      </c>
      <c r="S1088" s="43" t="str">
        <f t="shared" si="132"/>
        <v>*0.92</v>
      </c>
      <c r="U1088" s="32" t="s">
        <v>1962</v>
      </c>
      <c r="V1088" s="42" t="s">
        <v>57</v>
      </c>
      <c r="W1088" s="32">
        <v>2050</v>
      </c>
      <c r="X1088" s="43" t="str">
        <f t="shared" si="133"/>
        <v>*0.89</v>
      </c>
      <c r="AC1088" s="33" t="s">
        <v>1962</v>
      </c>
      <c r="AD1088" s="44" t="s">
        <v>57</v>
      </c>
      <c r="AE1088" s="33">
        <v>2035</v>
      </c>
      <c r="AF1088" s="45" t="str">
        <f t="shared" si="134"/>
        <v>*0.89</v>
      </c>
      <c r="AG1088" s="43" t="str">
        <f t="shared" si="136"/>
        <v>REZoning_Sol-Win</v>
      </c>
      <c r="AI1088" s="33" t="s">
        <v>1962</v>
      </c>
      <c r="AJ1088" s="44" t="s">
        <v>57</v>
      </c>
      <c r="AK1088" s="33">
        <v>2050</v>
      </c>
      <c r="AL1088" s="45" t="str">
        <f t="shared" si="135"/>
        <v>*0.84</v>
      </c>
      <c r="AM1088" s="43" t="str">
        <f t="shared" si="137"/>
        <v>REZoning_Sol-Win</v>
      </c>
      <c r="AP1088" t="s">
        <v>1962</v>
      </c>
      <c r="AQ1088" t="s">
        <v>57</v>
      </c>
      <c r="AR1088">
        <v>2100</v>
      </c>
      <c r="AS1088" t="s">
        <v>919</v>
      </c>
      <c r="AT1088" t="s">
        <v>58</v>
      </c>
    </row>
    <row r="1089" ht="29" spans="1:46">
      <c r="A1089" s="31" t="s">
        <v>79</v>
      </c>
      <c r="C1089" t="s">
        <v>1963</v>
      </c>
      <c r="D1089" s="5" t="s">
        <v>57</v>
      </c>
      <c r="E1089">
        <v>2035</v>
      </c>
      <c r="F1089" s="6" t="str">
        <f t="shared" si="130"/>
        <v>*0.94</v>
      </c>
      <c r="H1089" t="s">
        <v>1963</v>
      </c>
      <c r="I1089" s="5" t="s">
        <v>57</v>
      </c>
      <c r="J1089">
        <v>2050</v>
      </c>
      <c r="K1089" s="38" t="str">
        <f t="shared" si="131"/>
        <v>*0.9</v>
      </c>
      <c r="P1089" s="32" t="s">
        <v>1963</v>
      </c>
      <c r="Q1089" s="42" t="s">
        <v>57</v>
      </c>
      <c r="R1089" s="32">
        <v>2035</v>
      </c>
      <c r="S1089" s="43" t="str">
        <f t="shared" si="132"/>
        <v>*0.92</v>
      </c>
      <c r="U1089" s="32" t="s">
        <v>1963</v>
      </c>
      <c r="V1089" s="42" t="s">
        <v>57</v>
      </c>
      <c r="W1089" s="32">
        <v>2050</v>
      </c>
      <c r="X1089" s="43" t="str">
        <f t="shared" si="133"/>
        <v>*0.89</v>
      </c>
      <c r="AC1089" s="33" t="s">
        <v>1963</v>
      </c>
      <c r="AD1089" s="44" t="s">
        <v>57</v>
      </c>
      <c r="AE1089" s="33">
        <v>2035</v>
      </c>
      <c r="AF1089" s="45" t="str">
        <f t="shared" si="134"/>
        <v>*0.89</v>
      </c>
      <c r="AG1089" s="43" t="str">
        <f t="shared" si="136"/>
        <v>REZoning_Sol-Win</v>
      </c>
      <c r="AI1089" s="33" t="s">
        <v>1963</v>
      </c>
      <c r="AJ1089" s="44" t="s">
        <v>57</v>
      </c>
      <c r="AK1089" s="33">
        <v>2050</v>
      </c>
      <c r="AL1089" s="45" t="str">
        <f t="shared" si="135"/>
        <v>*0.84</v>
      </c>
      <c r="AM1089" s="43" t="str">
        <f t="shared" si="137"/>
        <v>REZoning_Sol-Win</v>
      </c>
      <c r="AP1089" t="s">
        <v>1963</v>
      </c>
      <c r="AQ1089" t="s">
        <v>57</v>
      </c>
      <c r="AR1089">
        <v>2100</v>
      </c>
      <c r="AS1089" t="s">
        <v>919</v>
      </c>
      <c r="AT1089" t="s">
        <v>58</v>
      </c>
    </row>
    <row r="1090" ht="29" spans="1:46">
      <c r="A1090" s="31" t="s">
        <v>79</v>
      </c>
      <c r="C1090" t="s">
        <v>1964</v>
      </c>
      <c r="D1090" s="5" t="s">
        <v>57</v>
      </c>
      <c r="E1090">
        <v>2035</v>
      </c>
      <c r="F1090" s="6" t="str">
        <f t="shared" si="130"/>
        <v>*0.94</v>
      </c>
      <c r="H1090" t="s">
        <v>1964</v>
      </c>
      <c r="I1090" s="5" t="s">
        <v>57</v>
      </c>
      <c r="J1090">
        <v>2050</v>
      </c>
      <c r="K1090" s="38" t="str">
        <f t="shared" si="131"/>
        <v>*0.9</v>
      </c>
      <c r="P1090" s="32" t="s">
        <v>1964</v>
      </c>
      <c r="Q1090" s="42" t="s">
        <v>57</v>
      </c>
      <c r="R1090" s="32">
        <v>2035</v>
      </c>
      <c r="S1090" s="43" t="str">
        <f t="shared" si="132"/>
        <v>*0.92</v>
      </c>
      <c r="U1090" s="32" t="s">
        <v>1964</v>
      </c>
      <c r="V1090" s="42" t="s">
        <v>57</v>
      </c>
      <c r="W1090" s="32">
        <v>2050</v>
      </c>
      <c r="X1090" s="43" t="str">
        <f t="shared" si="133"/>
        <v>*0.89</v>
      </c>
      <c r="AC1090" s="33" t="s">
        <v>1964</v>
      </c>
      <c r="AD1090" s="44" t="s">
        <v>57</v>
      </c>
      <c r="AE1090" s="33">
        <v>2035</v>
      </c>
      <c r="AF1090" s="45" t="str">
        <f t="shared" si="134"/>
        <v>*0.89</v>
      </c>
      <c r="AG1090" s="43" t="str">
        <f t="shared" si="136"/>
        <v>REZoning_Sol-Win</v>
      </c>
      <c r="AI1090" s="33" t="s">
        <v>1964</v>
      </c>
      <c r="AJ1090" s="44" t="s">
        <v>57</v>
      </c>
      <c r="AK1090" s="33">
        <v>2050</v>
      </c>
      <c r="AL1090" s="45" t="str">
        <f t="shared" si="135"/>
        <v>*0.84</v>
      </c>
      <c r="AM1090" s="43" t="str">
        <f t="shared" si="137"/>
        <v>REZoning_Sol-Win</v>
      </c>
      <c r="AP1090" t="s">
        <v>1964</v>
      </c>
      <c r="AQ1090" t="s">
        <v>57</v>
      </c>
      <c r="AR1090">
        <v>2100</v>
      </c>
      <c r="AS1090" t="s">
        <v>919</v>
      </c>
      <c r="AT1090" t="s">
        <v>58</v>
      </c>
    </row>
    <row r="1091" ht="29" spans="1:46">
      <c r="A1091" s="31" t="s">
        <v>79</v>
      </c>
      <c r="C1091" t="s">
        <v>1965</v>
      </c>
      <c r="D1091" s="5" t="s">
        <v>57</v>
      </c>
      <c r="E1091">
        <v>2035</v>
      </c>
      <c r="F1091" s="6" t="str">
        <f t="shared" si="130"/>
        <v>*0.94</v>
      </c>
      <c r="H1091" t="s">
        <v>1965</v>
      </c>
      <c r="I1091" s="5" t="s">
        <v>57</v>
      </c>
      <c r="J1091">
        <v>2050</v>
      </c>
      <c r="K1091" s="38" t="str">
        <f t="shared" si="131"/>
        <v>*0.9</v>
      </c>
      <c r="P1091" s="32" t="s">
        <v>1965</v>
      </c>
      <c r="Q1091" s="42" t="s">
        <v>57</v>
      </c>
      <c r="R1091" s="32">
        <v>2035</v>
      </c>
      <c r="S1091" s="43" t="str">
        <f t="shared" si="132"/>
        <v>*0.92</v>
      </c>
      <c r="U1091" s="32" t="s">
        <v>1965</v>
      </c>
      <c r="V1091" s="42" t="s">
        <v>57</v>
      </c>
      <c r="W1091" s="32">
        <v>2050</v>
      </c>
      <c r="X1091" s="43" t="str">
        <f t="shared" si="133"/>
        <v>*0.89</v>
      </c>
      <c r="AC1091" s="33" t="s">
        <v>1965</v>
      </c>
      <c r="AD1091" s="44" t="s">
        <v>57</v>
      </c>
      <c r="AE1091" s="33">
        <v>2035</v>
      </c>
      <c r="AF1091" s="45" t="str">
        <f t="shared" si="134"/>
        <v>*0.89</v>
      </c>
      <c r="AG1091" s="43" t="str">
        <f t="shared" si="136"/>
        <v>REZoning_Sol-Win</v>
      </c>
      <c r="AI1091" s="33" t="s">
        <v>1965</v>
      </c>
      <c r="AJ1091" s="44" t="s">
        <v>57</v>
      </c>
      <c r="AK1091" s="33">
        <v>2050</v>
      </c>
      <c r="AL1091" s="45" t="str">
        <f t="shared" si="135"/>
        <v>*0.84</v>
      </c>
      <c r="AM1091" s="43" t="str">
        <f t="shared" si="137"/>
        <v>REZoning_Sol-Win</v>
      </c>
      <c r="AP1091" t="s">
        <v>1965</v>
      </c>
      <c r="AQ1091" t="s">
        <v>57</v>
      </c>
      <c r="AR1091">
        <v>2100</v>
      </c>
      <c r="AS1091" t="s">
        <v>919</v>
      </c>
      <c r="AT1091" t="s">
        <v>58</v>
      </c>
    </row>
    <row r="1092" ht="29" spans="1:46">
      <c r="A1092" s="31" t="s">
        <v>79</v>
      </c>
      <c r="C1092" t="s">
        <v>1966</v>
      </c>
      <c r="D1092" s="5" t="s">
        <v>57</v>
      </c>
      <c r="E1092">
        <v>2035</v>
      </c>
      <c r="F1092" s="6" t="str">
        <f t="shared" ref="F1092:F1155" si="138">"*"&amp;IF(AND(A1092="EU",E1092=2035),0.95,IF(AND(A1092="EU",E1092=2050),0.93,IF(AND(A1092="USA",E1092=2035),0.96,IF(AND(A1092="USA",E1092=2050),0.94,IF(AND(A1092="Japan",E1092=2035),0.94,IF(AND(A1092="Japan",E1092=2050),0.92,IF(AND(A1092="Russia",E1092=2035),0.95,IF(AND(A1092="Russia",E1092=2050),0.93,IF(AND(A1092="China",E1092=2035),0.94,IF(AND(A1092="China",E1092=2050),0.92,IF(AND(A1092="India",E1092=2035),0.95,IF(AND(A1092="India",E1092=2050),0.92,IF(AND(A1092="Middle East",E1092=2035),0.94,IF(AND(A1092="Middle East",E1092=2050),0.9,IF(AND(A1092="Africa",E1092=2035),0.94,IF(AND(A1092="Africa",E1092=2050),0.91,IF(AND(A1092="Brazil",E1092=2035),0.95,IF(AND(A1092="Brazil",E1092=2050),0.92,""))))))))))))))))))</f>
        <v>*0.94</v>
      </c>
      <c r="H1092" t="s">
        <v>1966</v>
      </c>
      <c r="I1092" s="5" t="s">
        <v>57</v>
      </c>
      <c r="J1092">
        <v>2050</v>
      </c>
      <c r="K1092" s="38" t="str">
        <f t="shared" ref="K1092:K1155" si="139">"*"&amp;IF(AND(A1092="EU",J1092=2035),0.95,IF(AND(A1092="EU",J1092=2050),0.93,IF(AND(A1092="USA",J1092=2035),0.96,IF(AND(A1092="USA",J1092=2050),0.94,IF(AND(A1092="Japan",J1092=2035),0.94,IF(AND(A1092="Japan",J1092=2050),0.92,IF(AND(A1092="Russia",J1092=2035),0.95,IF(AND(A1092="Russia",J1092=2050),0.93,IF(AND(A1092="China",J1092=2035),0.94,IF(AND(A1092="China",J1092=2050),0.92,IF(AND(A1092="India",J1092=2035),0.95,IF(AND(A1092="India",J1092=2050),0.92,IF(AND(A1092="Middle East",J1092=2035),0.94,IF(AND(A1092="Middle East",J1092=2050),0.9,IF(AND(A1092="Africa",J1092=2035),0.94,IF(AND(A1092="Africa",J1092=2050),0.91,IF(AND(A1092="Brazil",J1092=2035),0.95,IF(AND(A1092="Brazil",J1092=2050),0.92,""))))))))))))))))))</f>
        <v>*0.9</v>
      </c>
      <c r="P1092" s="32" t="s">
        <v>1966</v>
      </c>
      <c r="Q1092" s="42" t="s">
        <v>57</v>
      </c>
      <c r="R1092" s="32">
        <v>2035</v>
      </c>
      <c r="S1092" s="43" t="str">
        <f t="shared" ref="S1092:S1155" si="140">"*"&amp;IF(AND(A1092="EU",R1092=2035),0.95,IF(AND(A1092="EU",R1092=2050),0.93,IF(AND(A1092="USA",R1092=2035),0.96,IF(AND(A1092="USA",R1092=2050),0.93,IF(AND(A1092="Japan",R1092=2035),0.94,IF(AND(A1092="Japan",R1092=2050),0.92,IF(AND(A1092="Russia",R1092=2035),0.95,IF(AND(A1092="Russia",R1092=2050),0.91,IF(AND(A1092="China",R1092=2035),0.93,IF(AND(A1092="China",R1092=2050),0.92,IF(AND(A1092="India",R1092=2035),0.94,IF(AND(A1092="India",R1092=2050),0.91,IF(AND(A1092="Middle East",R1092=2035),0.92,IF(AND(A1092="Middle East",R1092=2050),0.89,IF(AND(A1092="Africa",R1092=2035),0.93,IF(AND(A1092="Africa",R1092=2050),0.9,IF(AND(A1092="Brazil",R1092=2035),0.95,IF(AND(A1092="Brazil",R1092=2050),0.92,""))))))))))))))))))</f>
        <v>*0.92</v>
      </c>
      <c r="U1092" s="32" t="s">
        <v>1966</v>
      </c>
      <c r="V1092" s="42" t="s">
        <v>57</v>
      </c>
      <c r="W1092" s="32">
        <v>2050</v>
      </c>
      <c r="X1092" s="43" t="str">
        <f t="shared" ref="X1092:X1155" si="141">"*"&amp;IF(AND(A1092="EU",W1092=2035),0.95,IF(AND(A1092="EU",W1092=2050),0.93,IF(AND(A1092="USA",W1092=2035),0.96,IF(AND(A1092="USA",W1092=2050),0.93,IF(AND(A1092="Japan",W1092=2035),0.94,IF(AND(A1092="Japan",W1092=2050),0.92,IF(AND(A1092="Russia",W1092=2035),0.95,IF(AND(A1092="Russia",W1092=2050),0.91,IF(AND(A1092="China",W1092=2035),0.93,IF(AND(A1092="China",W1092=2050),0.92,IF(AND(A1092="India",W1092=2035),0.94,IF(AND(A1092="India",W1092=2050),0.91,IF(AND(A1092="Middle East",W1092=2035),0.92,IF(AND(A1092="Middle East",W1092=2050),0.89,IF(AND(A1092="Africa",W1092=2035),0.93,IF(AND(A1092="Africa",W1092=2050),0.9,IF(AND(A1092="Brazil",W1092=2035),0.95,IF(AND(A1092="Brazil",W1092=2050),0.92,""))))))))))))))))))</f>
        <v>*0.89</v>
      </c>
      <c r="AC1092" s="33" t="s">
        <v>1966</v>
      </c>
      <c r="AD1092" s="44" t="s">
        <v>57</v>
      </c>
      <c r="AE1092" s="33">
        <v>2035</v>
      </c>
      <c r="AF1092" s="45" t="str">
        <f t="shared" ref="AF1092:AF1155" si="142">"*"&amp;IF(AND(A1092="EU",AE1092=2035),0.93,IF(AND(A1092="EU",AE1092=2050),0.9,IF(AND(A1092="USA",AE1092=2035),0.92,IF(AND(A1092="USA",AE1092=2050),0.89,IF(AND(A1092="Japan",AE1092=2035),0.92,IF(AND(A1092="Japan",AE1092=2050),0.89,IF(AND(A1092="Russia",AE1092=2035),0.91,IF(AND(A1092="Russia",AE1092=2050),0.86,IF(AND(A1092="China",AE1092=2035),0.91,IF(AND(A1092="China",AE1092=2050),0.87,IF(AND(A1092="India",AE1092=2035),0.92,IF(AND(A1092="India",AE1092=2050),0.87,IF(AND(A1092="Middle East",AE1092=2035),0.89,IF(AND(A1092="Middle East",AE1092=2050),0.84,IF(AND(A1092="Africa",AE1092=2035),0.9,IF(AND(A1092="Africa",AE1092=2050),0.86,IF(AND(A1092="Brazil",AE1092=2035),0.93,IF(AND(A1092="Brazil",AE1092=2050),0.89,""))))))))))))))))))</f>
        <v>*0.89</v>
      </c>
      <c r="AG1092" s="43" t="str">
        <f t="shared" si="136"/>
        <v>REZoning_Sol-Win</v>
      </c>
      <c r="AI1092" s="33" t="s">
        <v>1966</v>
      </c>
      <c r="AJ1092" s="44" t="s">
        <v>57</v>
      </c>
      <c r="AK1092" s="33">
        <v>2050</v>
      </c>
      <c r="AL1092" s="45" t="str">
        <f t="shared" ref="AL1092:AL1155" si="143">"*"&amp;IF(AND(A1092="EU",AK1092=2035),0.93,IF(AND(A1092="EU",AK1092=2050),0.9,IF(AND(A1092="USA",AK1092=2035),0.92,IF(AND(A1092="USA",AK1092=2050),0.89,IF(AND(A1092="Japan",AK1092=2035),0.92,IF(AND(A1092="Japan",AK1092=2050),0.89,IF(AND(A1092="Russia",AK1092=2035),0.91,IF(AND(A1092="Russia",AK1092=2050),0.86,IF(AND(A1092="China",AK1092=2035),0.91,IF(AND(A1092="China",AK1092=2050),0.87,IF(AND(A1092="India",AK1092=2035),0.92,IF(AND(A1092="India",AK1092=2050),0.87,IF(AND(A1092="Middle East",AK1092=2035),0.89,IF(AND(A1092="Middle East",AK1092=2050),0.84,IF(AND(A1092="Africa",AK1092=2035),0.9,IF(AND(A1092="Africa",AK1092=2050),0.86,IF(AND(A1092="Brazil",AK1092=2035),0.93,IF(AND(A1092="Brazil",AK1092=2050),0.89,""))))))))))))))))))</f>
        <v>*0.84</v>
      </c>
      <c r="AM1092" s="43" t="str">
        <f t="shared" si="137"/>
        <v>REZoning_Sol-Win</v>
      </c>
      <c r="AP1092" t="s">
        <v>1966</v>
      </c>
      <c r="AQ1092" t="s">
        <v>57</v>
      </c>
      <c r="AR1092">
        <v>2100</v>
      </c>
      <c r="AS1092" t="s">
        <v>919</v>
      </c>
      <c r="AT1092" t="s">
        <v>58</v>
      </c>
    </row>
    <row r="1093" ht="29" spans="1:46">
      <c r="A1093" s="31" t="s">
        <v>79</v>
      </c>
      <c r="C1093" t="s">
        <v>1967</v>
      </c>
      <c r="D1093" s="5" t="s">
        <v>57</v>
      </c>
      <c r="E1093">
        <v>2035</v>
      </c>
      <c r="F1093" s="6" t="str">
        <f t="shared" si="138"/>
        <v>*0.94</v>
      </c>
      <c r="H1093" t="s">
        <v>1967</v>
      </c>
      <c r="I1093" s="5" t="s">
        <v>57</v>
      </c>
      <c r="J1093">
        <v>2050</v>
      </c>
      <c r="K1093" s="38" t="str">
        <f t="shared" si="139"/>
        <v>*0.9</v>
      </c>
      <c r="P1093" s="32" t="s">
        <v>1967</v>
      </c>
      <c r="Q1093" s="42" t="s">
        <v>57</v>
      </c>
      <c r="R1093" s="32">
        <v>2035</v>
      </c>
      <c r="S1093" s="43" t="str">
        <f t="shared" si="140"/>
        <v>*0.92</v>
      </c>
      <c r="U1093" s="32" t="s">
        <v>1967</v>
      </c>
      <c r="V1093" s="42" t="s">
        <v>57</v>
      </c>
      <c r="W1093" s="32">
        <v>2050</v>
      </c>
      <c r="X1093" s="43" t="str">
        <f t="shared" si="141"/>
        <v>*0.89</v>
      </c>
      <c r="AC1093" s="33" t="s">
        <v>1967</v>
      </c>
      <c r="AD1093" s="44" t="s">
        <v>57</v>
      </c>
      <c r="AE1093" s="33">
        <v>2035</v>
      </c>
      <c r="AF1093" s="45" t="str">
        <f t="shared" si="142"/>
        <v>*0.89</v>
      </c>
      <c r="AG1093" s="43" t="str">
        <f t="shared" si="136"/>
        <v>REZoning_Sol-Win</v>
      </c>
      <c r="AI1093" s="33" t="s">
        <v>1967</v>
      </c>
      <c r="AJ1093" s="44" t="s">
        <v>57</v>
      </c>
      <c r="AK1093" s="33">
        <v>2050</v>
      </c>
      <c r="AL1093" s="45" t="str">
        <f t="shared" si="143"/>
        <v>*0.84</v>
      </c>
      <c r="AM1093" s="43" t="str">
        <f t="shared" si="137"/>
        <v>REZoning_Sol-Win</v>
      </c>
      <c r="AP1093" t="s">
        <v>1967</v>
      </c>
      <c r="AQ1093" t="s">
        <v>57</v>
      </c>
      <c r="AR1093">
        <v>2100</v>
      </c>
      <c r="AS1093" t="s">
        <v>919</v>
      </c>
      <c r="AT1093" t="s">
        <v>58</v>
      </c>
    </row>
    <row r="1094" ht="29" spans="1:46">
      <c r="A1094" s="31" t="s">
        <v>79</v>
      </c>
      <c r="C1094" t="s">
        <v>1968</v>
      </c>
      <c r="D1094" s="5" t="s">
        <v>57</v>
      </c>
      <c r="E1094">
        <v>2035</v>
      </c>
      <c r="F1094" s="6" t="str">
        <f t="shared" si="138"/>
        <v>*0.94</v>
      </c>
      <c r="H1094" t="s">
        <v>1968</v>
      </c>
      <c r="I1094" s="5" t="s">
        <v>57</v>
      </c>
      <c r="J1094">
        <v>2050</v>
      </c>
      <c r="K1094" s="38" t="str">
        <f t="shared" si="139"/>
        <v>*0.9</v>
      </c>
      <c r="P1094" s="32" t="s">
        <v>1968</v>
      </c>
      <c r="Q1094" s="42" t="s">
        <v>57</v>
      </c>
      <c r="R1094" s="32">
        <v>2035</v>
      </c>
      <c r="S1094" s="43" t="str">
        <f t="shared" si="140"/>
        <v>*0.92</v>
      </c>
      <c r="U1094" s="32" t="s">
        <v>1968</v>
      </c>
      <c r="V1094" s="42" t="s">
        <v>57</v>
      </c>
      <c r="W1094" s="32">
        <v>2050</v>
      </c>
      <c r="X1094" s="43" t="str">
        <f t="shared" si="141"/>
        <v>*0.89</v>
      </c>
      <c r="AC1094" s="33" t="s">
        <v>1968</v>
      </c>
      <c r="AD1094" s="44" t="s">
        <v>57</v>
      </c>
      <c r="AE1094" s="33">
        <v>2035</v>
      </c>
      <c r="AF1094" s="45" t="str">
        <f t="shared" si="142"/>
        <v>*0.89</v>
      </c>
      <c r="AG1094" s="43" t="str">
        <f t="shared" si="136"/>
        <v>REZoning_Sol-Win</v>
      </c>
      <c r="AI1094" s="33" t="s">
        <v>1968</v>
      </c>
      <c r="AJ1094" s="44" t="s">
        <v>57</v>
      </c>
      <c r="AK1094" s="33">
        <v>2050</v>
      </c>
      <c r="AL1094" s="45" t="str">
        <f t="shared" si="143"/>
        <v>*0.84</v>
      </c>
      <c r="AM1094" s="43" t="str">
        <f t="shared" si="137"/>
        <v>REZoning_Sol-Win</v>
      </c>
      <c r="AP1094" t="s">
        <v>1968</v>
      </c>
      <c r="AQ1094" t="s">
        <v>57</v>
      </c>
      <c r="AR1094">
        <v>2100</v>
      </c>
      <c r="AS1094" t="s">
        <v>919</v>
      </c>
      <c r="AT1094" t="s">
        <v>58</v>
      </c>
    </row>
    <row r="1095" ht="29" spans="1:46">
      <c r="A1095" s="31" t="s">
        <v>79</v>
      </c>
      <c r="C1095" t="s">
        <v>1969</v>
      </c>
      <c r="D1095" s="5" t="s">
        <v>57</v>
      </c>
      <c r="E1095">
        <v>2035</v>
      </c>
      <c r="F1095" s="6" t="str">
        <f t="shared" si="138"/>
        <v>*0.94</v>
      </c>
      <c r="H1095" t="s">
        <v>1969</v>
      </c>
      <c r="I1095" s="5" t="s">
        <v>57</v>
      </c>
      <c r="J1095">
        <v>2050</v>
      </c>
      <c r="K1095" s="38" t="str">
        <f t="shared" si="139"/>
        <v>*0.9</v>
      </c>
      <c r="P1095" s="32" t="s">
        <v>1969</v>
      </c>
      <c r="Q1095" s="42" t="s">
        <v>57</v>
      </c>
      <c r="R1095" s="32">
        <v>2035</v>
      </c>
      <c r="S1095" s="43" t="str">
        <f t="shared" si="140"/>
        <v>*0.92</v>
      </c>
      <c r="U1095" s="32" t="s">
        <v>1969</v>
      </c>
      <c r="V1095" s="42" t="s">
        <v>57</v>
      </c>
      <c r="W1095" s="32">
        <v>2050</v>
      </c>
      <c r="X1095" s="43" t="str">
        <f t="shared" si="141"/>
        <v>*0.89</v>
      </c>
      <c r="AC1095" s="33" t="s">
        <v>1969</v>
      </c>
      <c r="AD1095" s="44" t="s">
        <v>57</v>
      </c>
      <c r="AE1095" s="33">
        <v>2035</v>
      </c>
      <c r="AF1095" s="45" t="str">
        <f t="shared" si="142"/>
        <v>*0.89</v>
      </c>
      <c r="AG1095" s="43" t="str">
        <f t="shared" si="136"/>
        <v>REZoning_Sol-Win</v>
      </c>
      <c r="AI1095" s="33" t="s">
        <v>1969</v>
      </c>
      <c r="AJ1095" s="44" t="s">
        <v>57</v>
      </c>
      <c r="AK1095" s="33">
        <v>2050</v>
      </c>
      <c r="AL1095" s="45" t="str">
        <f t="shared" si="143"/>
        <v>*0.84</v>
      </c>
      <c r="AM1095" s="43" t="str">
        <f t="shared" si="137"/>
        <v>REZoning_Sol-Win</v>
      </c>
      <c r="AP1095" t="s">
        <v>1969</v>
      </c>
      <c r="AQ1095" t="s">
        <v>57</v>
      </c>
      <c r="AR1095">
        <v>2100</v>
      </c>
      <c r="AS1095" t="s">
        <v>919</v>
      </c>
      <c r="AT1095" t="s">
        <v>58</v>
      </c>
    </row>
    <row r="1096" ht="29" spans="1:46">
      <c r="A1096" s="31" t="s">
        <v>79</v>
      </c>
      <c r="C1096" t="s">
        <v>1970</v>
      </c>
      <c r="D1096" s="5" t="s">
        <v>57</v>
      </c>
      <c r="E1096">
        <v>2035</v>
      </c>
      <c r="F1096" s="6" t="str">
        <f t="shared" si="138"/>
        <v>*0.94</v>
      </c>
      <c r="H1096" t="s">
        <v>1970</v>
      </c>
      <c r="I1096" s="5" t="s">
        <v>57</v>
      </c>
      <c r="J1096">
        <v>2050</v>
      </c>
      <c r="K1096" s="38" t="str">
        <f t="shared" si="139"/>
        <v>*0.9</v>
      </c>
      <c r="P1096" s="32" t="s">
        <v>1970</v>
      </c>
      <c r="Q1096" s="42" t="s">
        <v>57</v>
      </c>
      <c r="R1096" s="32">
        <v>2035</v>
      </c>
      <c r="S1096" s="43" t="str">
        <f t="shared" si="140"/>
        <v>*0.92</v>
      </c>
      <c r="U1096" s="32" t="s">
        <v>1970</v>
      </c>
      <c r="V1096" s="42" t="s">
        <v>57</v>
      </c>
      <c r="W1096" s="32">
        <v>2050</v>
      </c>
      <c r="X1096" s="43" t="str">
        <f t="shared" si="141"/>
        <v>*0.89</v>
      </c>
      <c r="AC1096" s="33" t="s">
        <v>1970</v>
      </c>
      <c r="AD1096" s="44" t="s">
        <v>57</v>
      </c>
      <c r="AE1096" s="33">
        <v>2035</v>
      </c>
      <c r="AF1096" s="45" t="str">
        <f t="shared" si="142"/>
        <v>*0.89</v>
      </c>
      <c r="AG1096" s="43" t="str">
        <f t="shared" si="136"/>
        <v>REZoning_Sol-Win</v>
      </c>
      <c r="AI1096" s="33" t="s">
        <v>1970</v>
      </c>
      <c r="AJ1096" s="44" t="s">
        <v>57</v>
      </c>
      <c r="AK1096" s="33">
        <v>2050</v>
      </c>
      <c r="AL1096" s="45" t="str">
        <f t="shared" si="143"/>
        <v>*0.84</v>
      </c>
      <c r="AM1096" s="43" t="str">
        <f t="shared" si="137"/>
        <v>REZoning_Sol-Win</v>
      </c>
      <c r="AP1096" t="s">
        <v>1970</v>
      </c>
      <c r="AQ1096" t="s">
        <v>57</v>
      </c>
      <c r="AR1096">
        <v>2100</v>
      </c>
      <c r="AS1096" t="s">
        <v>919</v>
      </c>
      <c r="AT1096" t="s">
        <v>58</v>
      </c>
    </row>
    <row r="1097" ht="29" spans="1:46">
      <c r="A1097" s="31" t="s">
        <v>79</v>
      </c>
      <c r="C1097" t="s">
        <v>1971</v>
      </c>
      <c r="D1097" s="5" t="s">
        <v>57</v>
      </c>
      <c r="E1097">
        <v>2035</v>
      </c>
      <c r="F1097" s="6" t="str">
        <f t="shared" si="138"/>
        <v>*0.94</v>
      </c>
      <c r="H1097" t="s">
        <v>1971</v>
      </c>
      <c r="I1097" s="5" t="s">
        <v>57</v>
      </c>
      <c r="J1097">
        <v>2050</v>
      </c>
      <c r="K1097" s="38" t="str">
        <f t="shared" si="139"/>
        <v>*0.9</v>
      </c>
      <c r="P1097" s="32" t="s">
        <v>1971</v>
      </c>
      <c r="Q1097" s="42" t="s">
        <v>57</v>
      </c>
      <c r="R1097" s="32">
        <v>2035</v>
      </c>
      <c r="S1097" s="43" t="str">
        <f t="shared" si="140"/>
        <v>*0.92</v>
      </c>
      <c r="U1097" s="32" t="s">
        <v>1971</v>
      </c>
      <c r="V1097" s="42" t="s">
        <v>57</v>
      </c>
      <c r="W1097" s="32">
        <v>2050</v>
      </c>
      <c r="X1097" s="43" t="str">
        <f t="shared" si="141"/>
        <v>*0.89</v>
      </c>
      <c r="AC1097" s="33" t="s">
        <v>1971</v>
      </c>
      <c r="AD1097" s="44" t="s">
        <v>57</v>
      </c>
      <c r="AE1097" s="33">
        <v>2035</v>
      </c>
      <c r="AF1097" s="45" t="str">
        <f t="shared" si="142"/>
        <v>*0.89</v>
      </c>
      <c r="AG1097" s="43" t="str">
        <f t="shared" ref="AG1097:AG1160" si="144">AG1096</f>
        <v>REZoning_Sol-Win</v>
      </c>
      <c r="AI1097" s="33" t="s">
        <v>1971</v>
      </c>
      <c r="AJ1097" s="44" t="s">
        <v>57</v>
      </c>
      <c r="AK1097" s="33">
        <v>2050</v>
      </c>
      <c r="AL1097" s="45" t="str">
        <f t="shared" si="143"/>
        <v>*0.84</v>
      </c>
      <c r="AM1097" s="43" t="str">
        <f t="shared" si="137"/>
        <v>REZoning_Sol-Win</v>
      </c>
      <c r="AP1097" t="s">
        <v>1971</v>
      </c>
      <c r="AQ1097" t="s">
        <v>57</v>
      </c>
      <c r="AR1097">
        <v>2100</v>
      </c>
      <c r="AS1097" t="s">
        <v>919</v>
      </c>
      <c r="AT1097" t="s">
        <v>58</v>
      </c>
    </row>
    <row r="1098" ht="29" spans="1:46">
      <c r="A1098" s="31" t="s">
        <v>79</v>
      </c>
      <c r="C1098" t="s">
        <v>1972</v>
      </c>
      <c r="D1098" s="5" t="s">
        <v>57</v>
      </c>
      <c r="E1098">
        <v>2035</v>
      </c>
      <c r="F1098" s="6" t="str">
        <f t="shared" si="138"/>
        <v>*0.94</v>
      </c>
      <c r="H1098" t="s">
        <v>1972</v>
      </c>
      <c r="I1098" s="5" t="s">
        <v>57</v>
      </c>
      <c r="J1098">
        <v>2050</v>
      </c>
      <c r="K1098" s="38" t="str">
        <f t="shared" si="139"/>
        <v>*0.9</v>
      </c>
      <c r="P1098" s="32" t="s">
        <v>1972</v>
      </c>
      <c r="Q1098" s="42" t="s">
        <v>57</v>
      </c>
      <c r="R1098" s="32">
        <v>2035</v>
      </c>
      <c r="S1098" s="43" t="str">
        <f t="shared" si="140"/>
        <v>*0.92</v>
      </c>
      <c r="U1098" s="32" t="s">
        <v>1972</v>
      </c>
      <c r="V1098" s="42" t="s">
        <v>57</v>
      </c>
      <c r="W1098" s="32">
        <v>2050</v>
      </c>
      <c r="X1098" s="43" t="str">
        <f t="shared" si="141"/>
        <v>*0.89</v>
      </c>
      <c r="AC1098" s="33" t="s">
        <v>1972</v>
      </c>
      <c r="AD1098" s="44" t="s">
        <v>57</v>
      </c>
      <c r="AE1098" s="33">
        <v>2035</v>
      </c>
      <c r="AF1098" s="45" t="str">
        <f t="shared" si="142"/>
        <v>*0.89</v>
      </c>
      <c r="AG1098" s="43" t="str">
        <f t="shared" si="144"/>
        <v>REZoning_Sol-Win</v>
      </c>
      <c r="AI1098" s="33" t="s">
        <v>1972</v>
      </c>
      <c r="AJ1098" s="44" t="s">
        <v>57</v>
      </c>
      <c r="AK1098" s="33">
        <v>2050</v>
      </c>
      <c r="AL1098" s="45" t="str">
        <f t="shared" si="143"/>
        <v>*0.84</v>
      </c>
      <c r="AM1098" s="43" t="str">
        <f t="shared" ref="AM1098:AM1161" si="145">AM1097</f>
        <v>REZoning_Sol-Win</v>
      </c>
      <c r="AP1098" t="s">
        <v>1972</v>
      </c>
      <c r="AQ1098" t="s">
        <v>57</v>
      </c>
      <c r="AR1098">
        <v>2100</v>
      </c>
      <c r="AS1098" t="s">
        <v>919</v>
      </c>
      <c r="AT1098" t="s">
        <v>58</v>
      </c>
    </row>
    <row r="1099" ht="29" spans="1:46">
      <c r="A1099" s="31" t="s">
        <v>79</v>
      </c>
      <c r="C1099" t="s">
        <v>1973</v>
      </c>
      <c r="D1099" s="5" t="s">
        <v>57</v>
      </c>
      <c r="E1099">
        <v>2035</v>
      </c>
      <c r="F1099" s="6" t="str">
        <f t="shared" si="138"/>
        <v>*0.94</v>
      </c>
      <c r="H1099" t="s">
        <v>1973</v>
      </c>
      <c r="I1099" s="5" t="s">
        <v>57</v>
      </c>
      <c r="J1099">
        <v>2050</v>
      </c>
      <c r="K1099" s="38" t="str">
        <f t="shared" si="139"/>
        <v>*0.9</v>
      </c>
      <c r="P1099" s="32" t="s">
        <v>1973</v>
      </c>
      <c r="Q1099" s="42" t="s">
        <v>57</v>
      </c>
      <c r="R1099" s="32">
        <v>2035</v>
      </c>
      <c r="S1099" s="43" t="str">
        <f t="shared" si="140"/>
        <v>*0.92</v>
      </c>
      <c r="U1099" s="32" t="s">
        <v>1973</v>
      </c>
      <c r="V1099" s="42" t="s">
        <v>57</v>
      </c>
      <c r="W1099" s="32">
        <v>2050</v>
      </c>
      <c r="X1099" s="43" t="str">
        <f t="shared" si="141"/>
        <v>*0.89</v>
      </c>
      <c r="AC1099" s="33" t="s">
        <v>1973</v>
      </c>
      <c r="AD1099" s="44" t="s">
        <v>57</v>
      </c>
      <c r="AE1099" s="33">
        <v>2035</v>
      </c>
      <c r="AF1099" s="45" t="str">
        <f t="shared" si="142"/>
        <v>*0.89</v>
      </c>
      <c r="AG1099" s="43" t="str">
        <f t="shared" si="144"/>
        <v>REZoning_Sol-Win</v>
      </c>
      <c r="AI1099" s="33" t="s">
        <v>1973</v>
      </c>
      <c r="AJ1099" s="44" t="s">
        <v>57</v>
      </c>
      <c r="AK1099" s="33">
        <v>2050</v>
      </c>
      <c r="AL1099" s="45" t="str">
        <f t="shared" si="143"/>
        <v>*0.84</v>
      </c>
      <c r="AM1099" s="43" t="str">
        <f t="shared" si="145"/>
        <v>REZoning_Sol-Win</v>
      </c>
      <c r="AP1099" t="s">
        <v>1973</v>
      </c>
      <c r="AQ1099" t="s">
        <v>57</v>
      </c>
      <c r="AR1099">
        <v>2100</v>
      </c>
      <c r="AS1099" t="s">
        <v>919</v>
      </c>
      <c r="AT1099" t="s">
        <v>58</v>
      </c>
    </row>
    <row r="1100" ht="29" spans="1:46">
      <c r="A1100" s="31" t="s">
        <v>79</v>
      </c>
      <c r="C1100" t="s">
        <v>1974</v>
      </c>
      <c r="D1100" s="5" t="s">
        <v>57</v>
      </c>
      <c r="E1100">
        <v>2035</v>
      </c>
      <c r="F1100" s="6" t="str">
        <f t="shared" si="138"/>
        <v>*0.94</v>
      </c>
      <c r="H1100" t="s">
        <v>1974</v>
      </c>
      <c r="I1100" s="5" t="s">
        <v>57</v>
      </c>
      <c r="J1100">
        <v>2050</v>
      </c>
      <c r="K1100" s="38" t="str">
        <f t="shared" si="139"/>
        <v>*0.9</v>
      </c>
      <c r="P1100" s="32" t="s">
        <v>1974</v>
      </c>
      <c r="Q1100" s="42" t="s">
        <v>57</v>
      </c>
      <c r="R1100" s="32">
        <v>2035</v>
      </c>
      <c r="S1100" s="43" t="str">
        <f t="shared" si="140"/>
        <v>*0.92</v>
      </c>
      <c r="U1100" s="32" t="s">
        <v>1974</v>
      </c>
      <c r="V1100" s="42" t="s">
        <v>57</v>
      </c>
      <c r="W1100" s="32">
        <v>2050</v>
      </c>
      <c r="X1100" s="43" t="str">
        <f t="shared" si="141"/>
        <v>*0.89</v>
      </c>
      <c r="AC1100" s="33" t="s">
        <v>1974</v>
      </c>
      <c r="AD1100" s="44" t="s">
        <v>57</v>
      </c>
      <c r="AE1100" s="33">
        <v>2035</v>
      </c>
      <c r="AF1100" s="45" t="str">
        <f t="shared" si="142"/>
        <v>*0.89</v>
      </c>
      <c r="AG1100" s="43" t="str">
        <f t="shared" si="144"/>
        <v>REZoning_Sol-Win</v>
      </c>
      <c r="AI1100" s="33" t="s">
        <v>1974</v>
      </c>
      <c r="AJ1100" s="44" t="s">
        <v>57</v>
      </c>
      <c r="AK1100" s="33">
        <v>2050</v>
      </c>
      <c r="AL1100" s="45" t="str">
        <f t="shared" si="143"/>
        <v>*0.84</v>
      </c>
      <c r="AM1100" s="43" t="str">
        <f t="shared" si="145"/>
        <v>REZoning_Sol-Win</v>
      </c>
      <c r="AP1100" t="s">
        <v>1974</v>
      </c>
      <c r="AQ1100" t="s">
        <v>57</v>
      </c>
      <c r="AR1100">
        <v>2100</v>
      </c>
      <c r="AS1100" t="s">
        <v>919</v>
      </c>
      <c r="AT1100" t="s">
        <v>58</v>
      </c>
    </row>
    <row r="1101" ht="29" spans="1:46">
      <c r="A1101" s="31" t="s">
        <v>79</v>
      </c>
      <c r="C1101" t="s">
        <v>1975</v>
      </c>
      <c r="D1101" s="5" t="s">
        <v>57</v>
      </c>
      <c r="E1101">
        <v>2035</v>
      </c>
      <c r="F1101" s="6" t="str">
        <f t="shared" si="138"/>
        <v>*0.94</v>
      </c>
      <c r="H1101" t="s">
        <v>1975</v>
      </c>
      <c r="I1101" s="5" t="s">
        <v>57</v>
      </c>
      <c r="J1101">
        <v>2050</v>
      </c>
      <c r="K1101" s="38" t="str">
        <f t="shared" si="139"/>
        <v>*0.9</v>
      </c>
      <c r="P1101" s="32" t="s">
        <v>1975</v>
      </c>
      <c r="Q1101" s="42" t="s">
        <v>57</v>
      </c>
      <c r="R1101" s="32">
        <v>2035</v>
      </c>
      <c r="S1101" s="43" t="str">
        <f t="shared" si="140"/>
        <v>*0.92</v>
      </c>
      <c r="U1101" s="32" t="s">
        <v>1975</v>
      </c>
      <c r="V1101" s="42" t="s">
        <v>57</v>
      </c>
      <c r="W1101" s="32">
        <v>2050</v>
      </c>
      <c r="X1101" s="43" t="str">
        <f t="shared" si="141"/>
        <v>*0.89</v>
      </c>
      <c r="AC1101" s="33" t="s">
        <v>1975</v>
      </c>
      <c r="AD1101" s="44" t="s">
        <v>57</v>
      </c>
      <c r="AE1101" s="33">
        <v>2035</v>
      </c>
      <c r="AF1101" s="45" t="str">
        <f t="shared" si="142"/>
        <v>*0.89</v>
      </c>
      <c r="AG1101" s="43" t="str">
        <f t="shared" si="144"/>
        <v>REZoning_Sol-Win</v>
      </c>
      <c r="AI1101" s="33" t="s">
        <v>1975</v>
      </c>
      <c r="AJ1101" s="44" t="s">
        <v>57</v>
      </c>
      <c r="AK1101" s="33">
        <v>2050</v>
      </c>
      <c r="AL1101" s="45" t="str">
        <f t="shared" si="143"/>
        <v>*0.84</v>
      </c>
      <c r="AM1101" s="43" t="str">
        <f t="shared" si="145"/>
        <v>REZoning_Sol-Win</v>
      </c>
      <c r="AP1101" t="s">
        <v>1975</v>
      </c>
      <c r="AQ1101" t="s">
        <v>57</v>
      </c>
      <c r="AR1101">
        <v>2100</v>
      </c>
      <c r="AS1101" t="s">
        <v>919</v>
      </c>
      <c r="AT1101" t="s">
        <v>58</v>
      </c>
    </row>
    <row r="1102" ht="29" spans="1:46">
      <c r="A1102" s="31" t="s">
        <v>79</v>
      </c>
      <c r="C1102" t="s">
        <v>1976</v>
      </c>
      <c r="D1102" s="5" t="s">
        <v>57</v>
      </c>
      <c r="E1102">
        <v>2035</v>
      </c>
      <c r="F1102" s="6" t="str">
        <f t="shared" si="138"/>
        <v>*0.94</v>
      </c>
      <c r="H1102" t="s">
        <v>1976</v>
      </c>
      <c r="I1102" s="5" t="s">
        <v>57</v>
      </c>
      <c r="J1102">
        <v>2050</v>
      </c>
      <c r="K1102" s="38" t="str">
        <f t="shared" si="139"/>
        <v>*0.9</v>
      </c>
      <c r="P1102" s="32" t="s">
        <v>1976</v>
      </c>
      <c r="Q1102" s="42" t="s">
        <v>57</v>
      </c>
      <c r="R1102" s="32">
        <v>2035</v>
      </c>
      <c r="S1102" s="43" t="str">
        <f t="shared" si="140"/>
        <v>*0.92</v>
      </c>
      <c r="U1102" s="32" t="s">
        <v>1976</v>
      </c>
      <c r="V1102" s="42" t="s">
        <v>57</v>
      </c>
      <c r="W1102" s="32">
        <v>2050</v>
      </c>
      <c r="X1102" s="43" t="str">
        <f t="shared" si="141"/>
        <v>*0.89</v>
      </c>
      <c r="AC1102" s="33" t="s">
        <v>1976</v>
      </c>
      <c r="AD1102" s="44" t="s">
        <v>57</v>
      </c>
      <c r="AE1102" s="33">
        <v>2035</v>
      </c>
      <c r="AF1102" s="45" t="str">
        <f t="shared" si="142"/>
        <v>*0.89</v>
      </c>
      <c r="AG1102" s="43" t="str">
        <f t="shared" si="144"/>
        <v>REZoning_Sol-Win</v>
      </c>
      <c r="AI1102" s="33" t="s">
        <v>1976</v>
      </c>
      <c r="AJ1102" s="44" t="s">
        <v>57</v>
      </c>
      <c r="AK1102" s="33">
        <v>2050</v>
      </c>
      <c r="AL1102" s="45" t="str">
        <f t="shared" si="143"/>
        <v>*0.84</v>
      </c>
      <c r="AM1102" s="43" t="str">
        <f t="shared" si="145"/>
        <v>REZoning_Sol-Win</v>
      </c>
      <c r="AP1102" t="s">
        <v>1976</v>
      </c>
      <c r="AQ1102" t="s">
        <v>57</v>
      </c>
      <c r="AR1102">
        <v>2100</v>
      </c>
      <c r="AS1102" t="s">
        <v>919</v>
      </c>
      <c r="AT1102" t="s">
        <v>58</v>
      </c>
    </row>
    <row r="1103" ht="29" spans="1:46">
      <c r="A1103" s="31" t="s">
        <v>79</v>
      </c>
      <c r="C1103" t="s">
        <v>1977</v>
      </c>
      <c r="D1103" s="5" t="s">
        <v>57</v>
      </c>
      <c r="E1103">
        <v>2035</v>
      </c>
      <c r="F1103" s="6" t="str">
        <f t="shared" si="138"/>
        <v>*0.94</v>
      </c>
      <c r="H1103" t="s">
        <v>1977</v>
      </c>
      <c r="I1103" s="5" t="s">
        <v>57</v>
      </c>
      <c r="J1103">
        <v>2050</v>
      </c>
      <c r="K1103" s="38" t="str">
        <f t="shared" si="139"/>
        <v>*0.9</v>
      </c>
      <c r="P1103" s="32" t="s">
        <v>1977</v>
      </c>
      <c r="Q1103" s="42" t="s">
        <v>57</v>
      </c>
      <c r="R1103" s="32">
        <v>2035</v>
      </c>
      <c r="S1103" s="43" t="str">
        <f t="shared" si="140"/>
        <v>*0.92</v>
      </c>
      <c r="U1103" s="32" t="s">
        <v>1977</v>
      </c>
      <c r="V1103" s="42" t="s">
        <v>57</v>
      </c>
      <c r="W1103" s="32">
        <v>2050</v>
      </c>
      <c r="X1103" s="43" t="str">
        <f t="shared" si="141"/>
        <v>*0.89</v>
      </c>
      <c r="AC1103" s="33" t="s">
        <v>1977</v>
      </c>
      <c r="AD1103" s="44" t="s">
        <v>57</v>
      </c>
      <c r="AE1103" s="33">
        <v>2035</v>
      </c>
      <c r="AF1103" s="45" t="str">
        <f t="shared" si="142"/>
        <v>*0.89</v>
      </c>
      <c r="AG1103" s="43" t="str">
        <f t="shared" si="144"/>
        <v>REZoning_Sol-Win</v>
      </c>
      <c r="AI1103" s="33" t="s">
        <v>1977</v>
      </c>
      <c r="AJ1103" s="44" t="s">
        <v>57</v>
      </c>
      <c r="AK1103" s="33">
        <v>2050</v>
      </c>
      <c r="AL1103" s="45" t="str">
        <f t="shared" si="143"/>
        <v>*0.84</v>
      </c>
      <c r="AM1103" s="43" t="str">
        <f t="shared" si="145"/>
        <v>REZoning_Sol-Win</v>
      </c>
      <c r="AP1103" t="s">
        <v>1977</v>
      </c>
      <c r="AQ1103" t="s">
        <v>57</v>
      </c>
      <c r="AR1103">
        <v>2100</v>
      </c>
      <c r="AS1103" t="s">
        <v>919</v>
      </c>
      <c r="AT1103" t="s">
        <v>58</v>
      </c>
    </row>
    <row r="1104" ht="29" spans="1:46">
      <c r="A1104" s="31" t="s">
        <v>79</v>
      </c>
      <c r="C1104" t="s">
        <v>1978</v>
      </c>
      <c r="D1104" s="5" t="s">
        <v>57</v>
      </c>
      <c r="E1104">
        <v>2035</v>
      </c>
      <c r="F1104" s="6" t="str">
        <f t="shared" si="138"/>
        <v>*0.94</v>
      </c>
      <c r="H1104" t="s">
        <v>1978</v>
      </c>
      <c r="I1104" s="5" t="s">
        <v>57</v>
      </c>
      <c r="J1104">
        <v>2050</v>
      </c>
      <c r="K1104" s="38" t="str">
        <f t="shared" si="139"/>
        <v>*0.9</v>
      </c>
      <c r="P1104" s="32" t="s">
        <v>1978</v>
      </c>
      <c r="Q1104" s="42" t="s">
        <v>57</v>
      </c>
      <c r="R1104" s="32">
        <v>2035</v>
      </c>
      <c r="S1104" s="43" t="str">
        <f t="shared" si="140"/>
        <v>*0.92</v>
      </c>
      <c r="U1104" s="32" t="s">
        <v>1978</v>
      </c>
      <c r="V1104" s="42" t="s">
        <v>57</v>
      </c>
      <c r="W1104" s="32">
        <v>2050</v>
      </c>
      <c r="X1104" s="43" t="str">
        <f t="shared" si="141"/>
        <v>*0.89</v>
      </c>
      <c r="AC1104" s="33" t="s">
        <v>1978</v>
      </c>
      <c r="AD1104" s="44" t="s">
        <v>57</v>
      </c>
      <c r="AE1104" s="33">
        <v>2035</v>
      </c>
      <c r="AF1104" s="45" t="str">
        <f t="shared" si="142"/>
        <v>*0.89</v>
      </c>
      <c r="AG1104" s="43" t="str">
        <f t="shared" si="144"/>
        <v>REZoning_Sol-Win</v>
      </c>
      <c r="AI1104" s="33" t="s">
        <v>1978</v>
      </c>
      <c r="AJ1104" s="44" t="s">
        <v>57</v>
      </c>
      <c r="AK1104" s="33">
        <v>2050</v>
      </c>
      <c r="AL1104" s="45" t="str">
        <f t="shared" si="143"/>
        <v>*0.84</v>
      </c>
      <c r="AM1104" s="43" t="str">
        <f t="shared" si="145"/>
        <v>REZoning_Sol-Win</v>
      </c>
      <c r="AP1104" t="s">
        <v>1978</v>
      </c>
      <c r="AQ1104" t="s">
        <v>57</v>
      </c>
      <c r="AR1104">
        <v>2100</v>
      </c>
      <c r="AS1104" t="s">
        <v>919</v>
      </c>
      <c r="AT1104" t="s">
        <v>58</v>
      </c>
    </row>
    <row r="1105" ht="29" spans="1:46">
      <c r="A1105" s="31" t="s">
        <v>79</v>
      </c>
      <c r="C1105" t="s">
        <v>1979</v>
      </c>
      <c r="D1105" s="5" t="s">
        <v>57</v>
      </c>
      <c r="E1105">
        <v>2035</v>
      </c>
      <c r="F1105" s="6" t="str">
        <f t="shared" si="138"/>
        <v>*0.94</v>
      </c>
      <c r="H1105" t="s">
        <v>1979</v>
      </c>
      <c r="I1105" s="5" t="s">
        <v>57</v>
      </c>
      <c r="J1105">
        <v>2050</v>
      </c>
      <c r="K1105" s="38" t="str">
        <f t="shared" si="139"/>
        <v>*0.9</v>
      </c>
      <c r="P1105" s="32" t="s">
        <v>1979</v>
      </c>
      <c r="Q1105" s="42" t="s">
        <v>57</v>
      </c>
      <c r="R1105" s="32">
        <v>2035</v>
      </c>
      <c r="S1105" s="43" t="str">
        <f t="shared" si="140"/>
        <v>*0.92</v>
      </c>
      <c r="U1105" s="32" t="s">
        <v>1979</v>
      </c>
      <c r="V1105" s="42" t="s">
        <v>57</v>
      </c>
      <c r="W1105" s="32">
        <v>2050</v>
      </c>
      <c r="X1105" s="43" t="str">
        <f t="shared" si="141"/>
        <v>*0.89</v>
      </c>
      <c r="AC1105" s="33" t="s">
        <v>1979</v>
      </c>
      <c r="AD1105" s="44" t="s">
        <v>57</v>
      </c>
      <c r="AE1105" s="33">
        <v>2035</v>
      </c>
      <c r="AF1105" s="45" t="str">
        <f t="shared" si="142"/>
        <v>*0.89</v>
      </c>
      <c r="AG1105" s="43" t="str">
        <f t="shared" si="144"/>
        <v>REZoning_Sol-Win</v>
      </c>
      <c r="AI1105" s="33" t="s">
        <v>1979</v>
      </c>
      <c r="AJ1105" s="44" t="s">
        <v>57</v>
      </c>
      <c r="AK1105" s="33">
        <v>2050</v>
      </c>
      <c r="AL1105" s="45" t="str">
        <f t="shared" si="143"/>
        <v>*0.84</v>
      </c>
      <c r="AM1105" s="43" t="str">
        <f t="shared" si="145"/>
        <v>REZoning_Sol-Win</v>
      </c>
      <c r="AP1105" t="s">
        <v>1979</v>
      </c>
      <c r="AQ1105" t="s">
        <v>57</v>
      </c>
      <c r="AR1105">
        <v>2100</v>
      </c>
      <c r="AS1105" t="s">
        <v>919</v>
      </c>
      <c r="AT1105" t="s">
        <v>58</v>
      </c>
    </row>
    <row r="1106" ht="29" spans="1:46">
      <c r="A1106" s="31" t="s">
        <v>79</v>
      </c>
      <c r="C1106" t="s">
        <v>1980</v>
      </c>
      <c r="D1106" s="5" t="s">
        <v>57</v>
      </c>
      <c r="E1106">
        <v>2035</v>
      </c>
      <c r="F1106" s="6" t="str">
        <f t="shared" si="138"/>
        <v>*0.94</v>
      </c>
      <c r="H1106" t="s">
        <v>1980</v>
      </c>
      <c r="I1106" s="5" t="s">
        <v>57</v>
      </c>
      <c r="J1106">
        <v>2050</v>
      </c>
      <c r="K1106" s="38" t="str">
        <f t="shared" si="139"/>
        <v>*0.9</v>
      </c>
      <c r="P1106" s="32" t="s">
        <v>1980</v>
      </c>
      <c r="Q1106" s="42" t="s">
        <v>57</v>
      </c>
      <c r="R1106" s="32">
        <v>2035</v>
      </c>
      <c r="S1106" s="43" t="str">
        <f t="shared" si="140"/>
        <v>*0.92</v>
      </c>
      <c r="U1106" s="32" t="s">
        <v>1980</v>
      </c>
      <c r="V1106" s="42" t="s">
        <v>57</v>
      </c>
      <c r="W1106" s="32">
        <v>2050</v>
      </c>
      <c r="X1106" s="43" t="str">
        <f t="shared" si="141"/>
        <v>*0.89</v>
      </c>
      <c r="AC1106" s="33" t="s">
        <v>1980</v>
      </c>
      <c r="AD1106" s="44" t="s">
        <v>57</v>
      </c>
      <c r="AE1106" s="33">
        <v>2035</v>
      </c>
      <c r="AF1106" s="45" t="str">
        <f t="shared" si="142"/>
        <v>*0.89</v>
      </c>
      <c r="AG1106" s="43" t="str">
        <f t="shared" si="144"/>
        <v>REZoning_Sol-Win</v>
      </c>
      <c r="AI1106" s="33" t="s">
        <v>1980</v>
      </c>
      <c r="AJ1106" s="44" t="s">
        <v>57</v>
      </c>
      <c r="AK1106" s="33">
        <v>2050</v>
      </c>
      <c r="AL1106" s="45" t="str">
        <f t="shared" si="143"/>
        <v>*0.84</v>
      </c>
      <c r="AM1106" s="43" t="str">
        <f t="shared" si="145"/>
        <v>REZoning_Sol-Win</v>
      </c>
      <c r="AP1106" t="s">
        <v>1980</v>
      </c>
      <c r="AQ1106" t="s">
        <v>57</v>
      </c>
      <c r="AR1106">
        <v>2100</v>
      </c>
      <c r="AS1106" t="s">
        <v>919</v>
      </c>
      <c r="AT1106" t="s">
        <v>58</v>
      </c>
    </row>
    <row r="1107" ht="29" spans="1:46">
      <c r="A1107" s="31" t="s">
        <v>79</v>
      </c>
      <c r="C1107" t="s">
        <v>1981</v>
      </c>
      <c r="D1107" s="5" t="s">
        <v>57</v>
      </c>
      <c r="E1107">
        <v>2035</v>
      </c>
      <c r="F1107" s="6" t="str">
        <f t="shared" si="138"/>
        <v>*0.94</v>
      </c>
      <c r="H1107" t="s">
        <v>1981</v>
      </c>
      <c r="I1107" s="5" t="s">
        <v>57</v>
      </c>
      <c r="J1107">
        <v>2050</v>
      </c>
      <c r="K1107" s="38" t="str">
        <f t="shared" si="139"/>
        <v>*0.9</v>
      </c>
      <c r="P1107" s="32" t="s">
        <v>1981</v>
      </c>
      <c r="Q1107" s="42" t="s">
        <v>57</v>
      </c>
      <c r="R1107" s="32">
        <v>2035</v>
      </c>
      <c r="S1107" s="43" t="str">
        <f t="shared" si="140"/>
        <v>*0.92</v>
      </c>
      <c r="U1107" s="32" t="s">
        <v>1981</v>
      </c>
      <c r="V1107" s="42" t="s">
        <v>57</v>
      </c>
      <c r="W1107" s="32">
        <v>2050</v>
      </c>
      <c r="X1107" s="43" t="str">
        <f t="shared" si="141"/>
        <v>*0.89</v>
      </c>
      <c r="AC1107" s="33" t="s">
        <v>1981</v>
      </c>
      <c r="AD1107" s="44" t="s">
        <v>57</v>
      </c>
      <c r="AE1107" s="33">
        <v>2035</v>
      </c>
      <c r="AF1107" s="45" t="str">
        <f t="shared" si="142"/>
        <v>*0.89</v>
      </c>
      <c r="AG1107" s="43" t="str">
        <f t="shared" si="144"/>
        <v>REZoning_Sol-Win</v>
      </c>
      <c r="AI1107" s="33" t="s">
        <v>1981</v>
      </c>
      <c r="AJ1107" s="44" t="s">
        <v>57</v>
      </c>
      <c r="AK1107" s="33">
        <v>2050</v>
      </c>
      <c r="AL1107" s="45" t="str">
        <f t="shared" si="143"/>
        <v>*0.84</v>
      </c>
      <c r="AM1107" s="43" t="str">
        <f t="shared" si="145"/>
        <v>REZoning_Sol-Win</v>
      </c>
      <c r="AP1107" t="s">
        <v>1981</v>
      </c>
      <c r="AQ1107" t="s">
        <v>57</v>
      </c>
      <c r="AR1107">
        <v>2100</v>
      </c>
      <c r="AS1107" t="s">
        <v>919</v>
      </c>
      <c r="AT1107" t="s">
        <v>58</v>
      </c>
    </row>
    <row r="1108" ht="29" spans="1:46">
      <c r="A1108" s="31" t="s">
        <v>79</v>
      </c>
      <c r="C1108" t="s">
        <v>1982</v>
      </c>
      <c r="D1108" s="5" t="s">
        <v>57</v>
      </c>
      <c r="E1108">
        <v>2035</v>
      </c>
      <c r="F1108" s="6" t="str">
        <f t="shared" si="138"/>
        <v>*0.94</v>
      </c>
      <c r="H1108" t="s">
        <v>1982</v>
      </c>
      <c r="I1108" s="5" t="s">
        <v>57</v>
      </c>
      <c r="J1108">
        <v>2050</v>
      </c>
      <c r="K1108" s="38" t="str">
        <f t="shared" si="139"/>
        <v>*0.9</v>
      </c>
      <c r="P1108" s="32" t="s">
        <v>1982</v>
      </c>
      <c r="Q1108" s="42" t="s">
        <v>57</v>
      </c>
      <c r="R1108" s="32">
        <v>2035</v>
      </c>
      <c r="S1108" s="43" t="str">
        <f t="shared" si="140"/>
        <v>*0.92</v>
      </c>
      <c r="U1108" s="32" t="s">
        <v>1982</v>
      </c>
      <c r="V1108" s="42" t="s">
        <v>57</v>
      </c>
      <c r="W1108" s="32">
        <v>2050</v>
      </c>
      <c r="X1108" s="43" t="str">
        <f t="shared" si="141"/>
        <v>*0.89</v>
      </c>
      <c r="AC1108" s="33" t="s">
        <v>1982</v>
      </c>
      <c r="AD1108" s="44" t="s">
        <v>57</v>
      </c>
      <c r="AE1108" s="33">
        <v>2035</v>
      </c>
      <c r="AF1108" s="45" t="str">
        <f t="shared" si="142"/>
        <v>*0.89</v>
      </c>
      <c r="AG1108" s="43" t="str">
        <f t="shared" si="144"/>
        <v>REZoning_Sol-Win</v>
      </c>
      <c r="AI1108" s="33" t="s">
        <v>1982</v>
      </c>
      <c r="AJ1108" s="44" t="s">
        <v>57</v>
      </c>
      <c r="AK1108" s="33">
        <v>2050</v>
      </c>
      <c r="AL1108" s="45" t="str">
        <f t="shared" si="143"/>
        <v>*0.84</v>
      </c>
      <c r="AM1108" s="43" t="str">
        <f t="shared" si="145"/>
        <v>REZoning_Sol-Win</v>
      </c>
      <c r="AP1108" t="s">
        <v>1982</v>
      </c>
      <c r="AQ1108" t="s">
        <v>57</v>
      </c>
      <c r="AR1108">
        <v>2100</v>
      </c>
      <c r="AS1108" t="s">
        <v>919</v>
      </c>
      <c r="AT1108" t="s">
        <v>58</v>
      </c>
    </row>
    <row r="1109" ht="29" spans="1:46">
      <c r="A1109" s="31" t="s">
        <v>79</v>
      </c>
      <c r="C1109" t="s">
        <v>1983</v>
      </c>
      <c r="D1109" s="5" t="s">
        <v>57</v>
      </c>
      <c r="E1109">
        <v>2035</v>
      </c>
      <c r="F1109" s="6" t="str">
        <f t="shared" si="138"/>
        <v>*0.94</v>
      </c>
      <c r="H1109" t="s">
        <v>1983</v>
      </c>
      <c r="I1109" s="5" t="s">
        <v>57</v>
      </c>
      <c r="J1109">
        <v>2050</v>
      </c>
      <c r="K1109" s="38" t="str">
        <f t="shared" si="139"/>
        <v>*0.9</v>
      </c>
      <c r="P1109" s="32" t="s">
        <v>1983</v>
      </c>
      <c r="Q1109" s="42" t="s">
        <v>57</v>
      </c>
      <c r="R1109" s="32">
        <v>2035</v>
      </c>
      <c r="S1109" s="43" t="str">
        <f t="shared" si="140"/>
        <v>*0.92</v>
      </c>
      <c r="U1109" s="32" t="s">
        <v>1983</v>
      </c>
      <c r="V1109" s="42" t="s">
        <v>57</v>
      </c>
      <c r="W1109" s="32">
        <v>2050</v>
      </c>
      <c r="X1109" s="43" t="str">
        <f t="shared" si="141"/>
        <v>*0.89</v>
      </c>
      <c r="AC1109" s="33" t="s">
        <v>1983</v>
      </c>
      <c r="AD1109" s="44" t="s">
        <v>57</v>
      </c>
      <c r="AE1109" s="33">
        <v>2035</v>
      </c>
      <c r="AF1109" s="45" t="str">
        <f t="shared" si="142"/>
        <v>*0.89</v>
      </c>
      <c r="AG1109" s="43" t="str">
        <f t="shared" si="144"/>
        <v>REZoning_Sol-Win</v>
      </c>
      <c r="AI1109" s="33" t="s">
        <v>1983</v>
      </c>
      <c r="AJ1109" s="44" t="s">
        <v>57</v>
      </c>
      <c r="AK1109" s="33">
        <v>2050</v>
      </c>
      <c r="AL1109" s="45" t="str">
        <f t="shared" si="143"/>
        <v>*0.84</v>
      </c>
      <c r="AM1109" s="43" t="str">
        <f t="shared" si="145"/>
        <v>REZoning_Sol-Win</v>
      </c>
      <c r="AP1109" t="s">
        <v>1983</v>
      </c>
      <c r="AQ1109" t="s">
        <v>57</v>
      </c>
      <c r="AR1109">
        <v>2100</v>
      </c>
      <c r="AS1109" t="s">
        <v>919</v>
      </c>
      <c r="AT1109" t="s">
        <v>58</v>
      </c>
    </row>
    <row r="1110" ht="29" spans="1:46">
      <c r="A1110" s="31" t="s">
        <v>79</v>
      </c>
      <c r="C1110" t="s">
        <v>1984</v>
      </c>
      <c r="D1110" s="5" t="s">
        <v>57</v>
      </c>
      <c r="E1110">
        <v>2035</v>
      </c>
      <c r="F1110" s="6" t="str">
        <f t="shared" si="138"/>
        <v>*0.94</v>
      </c>
      <c r="H1110" t="s">
        <v>1984</v>
      </c>
      <c r="I1110" s="5" t="s">
        <v>57</v>
      </c>
      <c r="J1110">
        <v>2050</v>
      </c>
      <c r="K1110" s="38" t="str">
        <f t="shared" si="139"/>
        <v>*0.9</v>
      </c>
      <c r="P1110" s="32" t="s">
        <v>1984</v>
      </c>
      <c r="Q1110" s="42" t="s">
        <v>57</v>
      </c>
      <c r="R1110" s="32">
        <v>2035</v>
      </c>
      <c r="S1110" s="43" t="str">
        <f t="shared" si="140"/>
        <v>*0.92</v>
      </c>
      <c r="U1110" s="32" t="s">
        <v>1984</v>
      </c>
      <c r="V1110" s="42" t="s">
        <v>57</v>
      </c>
      <c r="W1110" s="32">
        <v>2050</v>
      </c>
      <c r="X1110" s="43" t="str">
        <f t="shared" si="141"/>
        <v>*0.89</v>
      </c>
      <c r="AC1110" s="33" t="s">
        <v>1984</v>
      </c>
      <c r="AD1110" s="44" t="s">
        <v>57</v>
      </c>
      <c r="AE1110" s="33">
        <v>2035</v>
      </c>
      <c r="AF1110" s="45" t="str">
        <f t="shared" si="142"/>
        <v>*0.89</v>
      </c>
      <c r="AG1110" s="43" t="str">
        <f t="shared" si="144"/>
        <v>REZoning_Sol-Win</v>
      </c>
      <c r="AI1110" s="33" t="s">
        <v>1984</v>
      </c>
      <c r="AJ1110" s="44" t="s">
        <v>57</v>
      </c>
      <c r="AK1110" s="33">
        <v>2050</v>
      </c>
      <c r="AL1110" s="45" t="str">
        <f t="shared" si="143"/>
        <v>*0.84</v>
      </c>
      <c r="AM1110" s="43" t="str">
        <f t="shared" si="145"/>
        <v>REZoning_Sol-Win</v>
      </c>
      <c r="AP1110" t="s">
        <v>1984</v>
      </c>
      <c r="AQ1110" t="s">
        <v>57</v>
      </c>
      <c r="AR1110">
        <v>2100</v>
      </c>
      <c r="AS1110" t="s">
        <v>919</v>
      </c>
      <c r="AT1110" t="s">
        <v>58</v>
      </c>
    </row>
    <row r="1111" ht="29" spans="1:46">
      <c r="A1111" s="31" t="s">
        <v>79</v>
      </c>
      <c r="C1111" t="s">
        <v>1985</v>
      </c>
      <c r="D1111" s="5" t="s">
        <v>57</v>
      </c>
      <c r="E1111">
        <v>2035</v>
      </c>
      <c r="F1111" s="6" t="str">
        <f t="shared" si="138"/>
        <v>*0.94</v>
      </c>
      <c r="H1111" t="s">
        <v>1985</v>
      </c>
      <c r="I1111" s="5" t="s">
        <v>57</v>
      </c>
      <c r="J1111">
        <v>2050</v>
      </c>
      <c r="K1111" s="38" t="str">
        <f t="shared" si="139"/>
        <v>*0.9</v>
      </c>
      <c r="P1111" s="32" t="s">
        <v>1985</v>
      </c>
      <c r="Q1111" s="42" t="s">
        <v>57</v>
      </c>
      <c r="R1111" s="32">
        <v>2035</v>
      </c>
      <c r="S1111" s="43" t="str">
        <f t="shared" si="140"/>
        <v>*0.92</v>
      </c>
      <c r="U1111" s="32" t="s">
        <v>1985</v>
      </c>
      <c r="V1111" s="42" t="s">
        <v>57</v>
      </c>
      <c r="W1111" s="32">
        <v>2050</v>
      </c>
      <c r="X1111" s="43" t="str">
        <f t="shared" si="141"/>
        <v>*0.89</v>
      </c>
      <c r="AC1111" s="33" t="s">
        <v>1985</v>
      </c>
      <c r="AD1111" s="44" t="s">
        <v>57</v>
      </c>
      <c r="AE1111" s="33">
        <v>2035</v>
      </c>
      <c r="AF1111" s="45" t="str">
        <f t="shared" si="142"/>
        <v>*0.89</v>
      </c>
      <c r="AG1111" s="43" t="str">
        <f t="shared" si="144"/>
        <v>REZoning_Sol-Win</v>
      </c>
      <c r="AI1111" s="33" t="s">
        <v>1985</v>
      </c>
      <c r="AJ1111" s="44" t="s">
        <v>57</v>
      </c>
      <c r="AK1111" s="33">
        <v>2050</v>
      </c>
      <c r="AL1111" s="45" t="str">
        <f t="shared" si="143"/>
        <v>*0.84</v>
      </c>
      <c r="AM1111" s="43" t="str">
        <f t="shared" si="145"/>
        <v>REZoning_Sol-Win</v>
      </c>
      <c r="AP1111" t="s">
        <v>1985</v>
      </c>
      <c r="AQ1111" t="s">
        <v>57</v>
      </c>
      <c r="AR1111">
        <v>2100</v>
      </c>
      <c r="AS1111" t="s">
        <v>919</v>
      </c>
      <c r="AT1111" t="s">
        <v>58</v>
      </c>
    </row>
    <row r="1112" ht="29" spans="1:46">
      <c r="A1112" s="31" t="s">
        <v>79</v>
      </c>
      <c r="C1112" t="s">
        <v>1986</v>
      </c>
      <c r="D1112" s="5" t="s">
        <v>57</v>
      </c>
      <c r="E1112">
        <v>2035</v>
      </c>
      <c r="F1112" s="6" t="str">
        <f t="shared" si="138"/>
        <v>*0.94</v>
      </c>
      <c r="H1112" t="s">
        <v>1986</v>
      </c>
      <c r="I1112" s="5" t="s">
        <v>57</v>
      </c>
      <c r="J1112">
        <v>2050</v>
      </c>
      <c r="K1112" s="38" t="str">
        <f t="shared" si="139"/>
        <v>*0.9</v>
      </c>
      <c r="P1112" s="32" t="s">
        <v>1986</v>
      </c>
      <c r="Q1112" s="42" t="s">
        <v>57</v>
      </c>
      <c r="R1112" s="32">
        <v>2035</v>
      </c>
      <c r="S1112" s="43" t="str">
        <f t="shared" si="140"/>
        <v>*0.92</v>
      </c>
      <c r="U1112" s="32" t="s">
        <v>1986</v>
      </c>
      <c r="V1112" s="42" t="s">
        <v>57</v>
      </c>
      <c r="W1112" s="32">
        <v>2050</v>
      </c>
      <c r="X1112" s="43" t="str">
        <f t="shared" si="141"/>
        <v>*0.89</v>
      </c>
      <c r="AC1112" s="33" t="s">
        <v>1986</v>
      </c>
      <c r="AD1112" s="44" t="s">
        <v>57</v>
      </c>
      <c r="AE1112" s="33">
        <v>2035</v>
      </c>
      <c r="AF1112" s="45" t="str">
        <f t="shared" si="142"/>
        <v>*0.89</v>
      </c>
      <c r="AG1112" s="43" t="str">
        <f t="shared" si="144"/>
        <v>REZoning_Sol-Win</v>
      </c>
      <c r="AI1112" s="33" t="s">
        <v>1986</v>
      </c>
      <c r="AJ1112" s="44" t="s">
        <v>57</v>
      </c>
      <c r="AK1112" s="33">
        <v>2050</v>
      </c>
      <c r="AL1112" s="45" t="str">
        <f t="shared" si="143"/>
        <v>*0.84</v>
      </c>
      <c r="AM1112" s="43" t="str">
        <f t="shared" si="145"/>
        <v>REZoning_Sol-Win</v>
      </c>
      <c r="AP1112" t="s">
        <v>1986</v>
      </c>
      <c r="AQ1112" t="s">
        <v>57</v>
      </c>
      <c r="AR1112">
        <v>2100</v>
      </c>
      <c r="AS1112" t="s">
        <v>919</v>
      </c>
      <c r="AT1112" t="s">
        <v>58</v>
      </c>
    </row>
    <row r="1113" ht="29" spans="1:46">
      <c r="A1113" s="31" t="s">
        <v>79</v>
      </c>
      <c r="C1113" t="s">
        <v>1987</v>
      </c>
      <c r="D1113" s="5" t="s">
        <v>57</v>
      </c>
      <c r="E1113">
        <v>2035</v>
      </c>
      <c r="F1113" s="6" t="str">
        <f t="shared" si="138"/>
        <v>*0.94</v>
      </c>
      <c r="H1113" t="s">
        <v>1987</v>
      </c>
      <c r="I1113" s="5" t="s">
        <v>57</v>
      </c>
      <c r="J1113">
        <v>2050</v>
      </c>
      <c r="K1113" s="38" t="str">
        <f t="shared" si="139"/>
        <v>*0.9</v>
      </c>
      <c r="P1113" s="32" t="s">
        <v>1987</v>
      </c>
      <c r="Q1113" s="42" t="s">
        <v>57</v>
      </c>
      <c r="R1113" s="32">
        <v>2035</v>
      </c>
      <c r="S1113" s="43" t="str">
        <f t="shared" si="140"/>
        <v>*0.92</v>
      </c>
      <c r="U1113" s="32" t="s">
        <v>1987</v>
      </c>
      <c r="V1113" s="42" t="s">
        <v>57</v>
      </c>
      <c r="W1113" s="32">
        <v>2050</v>
      </c>
      <c r="X1113" s="43" t="str">
        <f t="shared" si="141"/>
        <v>*0.89</v>
      </c>
      <c r="AC1113" s="33" t="s">
        <v>1987</v>
      </c>
      <c r="AD1113" s="44" t="s">
        <v>57</v>
      </c>
      <c r="AE1113" s="33">
        <v>2035</v>
      </c>
      <c r="AF1113" s="45" t="str">
        <f t="shared" si="142"/>
        <v>*0.89</v>
      </c>
      <c r="AG1113" s="43" t="str">
        <f t="shared" si="144"/>
        <v>REZoning_Sol-Win</v>
      </c>
      <c r="AI1113" s="33" t="s">
        <v>1987</v>
      </c>
      <c r="AJ1113" s="44" t="s">
        <v>57</v>
      </c>
      <c r="AK1113" s="33">
        <v>2050</v>
      </c>
      <c r="AL1113" s="45" t="str">
        <f t="shared" si="143"/>
        <v>*0.84</v>
      </c>
      <c r="AM1113" s="43" t="str">
        <f t="shared" si="145"/>
        <v>REZoning_Sol-Win</v>
      </c>
      <c r="AP1113" t="s">
        <v>1987</v>
      </c>
      <c r="AQ1113" t="s">
        <v>57</v>
      </c>
      <c r="AR1113">
        <v>2100</v>
      </c>
      <c r="AS1113" t="s">
        <v>919</v>
      </c>
      <c r="AT1113" t="s">
        <v>58</v>
      </c>
    </row>
    <row r="1114" ht="29" spans="1:46">
      <c r="A1114" s="31" t="s">
        <v>79</v>
      </c>
      <c r="C1114" t="s">
        <v>1988</v>
      </c>
      <c r="D1114" s="5" t="s">
        <v>57</v>
      </c>
      <c r="E1114">
        <v>2035</v>
      </c>
      <c r="F1114" s="6" t="str">
        <f t="shared" si="138"/>
        <v>*0.94</v>
      </c>
      <c r="H1114" t="s">
        <v>1988</v>
      </c>
      <c r="I1114" s="5" t="s">
        <v>57</v>
      </c>
      <c r="J1114">
        <v>2050</v>
      </c>
      <c r="K1114" s="38" t="str">
        <f t="shared" si="139"/>
        <v>*0.9</v>
      </c>
      <c r="P1114" s="32" t="s">
        <v>1988</v>
      </c>
      <c r="Q1114" s="42" t="s">
        <v>57</v>
      </c>
      <c r="R1114" s="32">
        <v>2035</v>
      </c>
      <c r="S1114" s="43" t="str">
        <f t="shared" si="140"/>
        <v>*0.92</v>
      </c>
      <c r="U1114" s="32" t="s">
        <v>1988</v>
      </c>
      <c r="V1114" s="42" t="s">
        <v>57</v>
      </c>
      <c r="W1114" s="32">
        <v>2050</v>
      </c>
      <c r="X1114" s="43" t="str">
        <f t="shared" si="141"/>
        <v>*0.89</v>
      </c>
      <c r="AC1114" s="33" t="s">
        <v>1988</v>
      </c>
      <c r="AD1114" s="44" t="s">
        <v>57</v>
      </c>
      <c r="AE1114" s="33">
        <v>2035</v>
      </c>
      <c r="AF1114" s="45" t="str">
        <f t="shared" si="142"/>
        <v>*0.89</v>
      </c>
      <c r="AG1114" s="43" t="str">
        <f t="shared" si="144"/>
        <v>REZoning_Sol-Win</v>
      </c>
      <c r="AI1114" s="33" t="s">
        <v>1988</v>
      </c>
      <c r="AJ1114" s="44" t="s">
        <v>57</v>
      </c>
      <c r="AK1114" s="33">
        <v>2050</v>
      </c>
      <c r="AL1114" s="45" t="str">
        <f t="shared" si="143"/>
        <v>*0.84</v>
      </c>
      <c r="AM1114" s="43" t="str">
        <f t="shared" si="145"/>
        <v>REZoning_Sol-Win</v>
      </c>
      <c r="AP1114" t="s">
        <v>1988</v>
      </c>
      <c r="AQ1114" t="s">
        <v>57</v>
      </c>
      <c r="AR1114">
        <v>2100</v>
      </c>
      <c r="AS1114" t="s">
        <v>919</v>
      </c>
      <c r="AT1114" t="s">
        <v>58</v>
      </c>
    </row>
    <row r="1115" ht="29" spans="1:46">
      <c r="A1115" s="31" t="s">
        <v>79</v>
      </c>
      <c r="C1115" t="s">
        <v>1989</v>
      </c>
      <c r="D1115" s="5" t="s">
        <v>57</v>
      </c>
      <c r="E1115">
        <v>2035</v>
      </c>
      <c r="F1115" s="6" t="str">
        <f t="shared" si="138"/>
        <v>*0.94</v>
      </c>
      <c r="H1115" t="s">
        <v>1989</v>
      </c>
      <c r="I1115" s="5" t="s">
        <v>57</v>
      </c>
      <c r="J1115">
        <v>2050</v>
      </c>
      <c r="K1115" s="38" t="str">
        <f t="shared" si="139"/>
        <v>*0.9</v>
      </c>
      <c r="P1115" s="32" t="s">
        <v>1989</v>
      </c>
      <c r="Q1115" s="42" t="s">
        <v>57</v>
      </c>
      <c r="R1115" s="32">
        <v>2035</v>
      </c>
      <c r="S1115" s="43" t="str">
        <f t="shared" si="140"/>
        <v>*0.92</v>
      </c>
      <c r="U1115" s="32" t="s">
        <v>1989</v>
      </c>
      <c r="V1115" s="42" t="s">
        <v>57</v>
      </c>
      <c r="W1115" s="32">
        <v>2050</v>
      </c>
      <c r="X1115" s="43" t="str">
        <f t="shared" si="141"/>
        <v>*0.89</v>
      </c>
      <c r="AC1115" s="33" t="s">
        <v>1989</v>
      </c>
      <c r="AD1115" s="44" t="s">
        <v>57</v>
      </c>
      <c r="AE1115" s="33">
        <v>2035</v>
      </c>
      <c r="AF1115" s="45" t="str">
        <f t="shared" si="142"/>
        <v>*0.89</v>
      </c>
      <c r="AG1115" s="43" t="str">
        <f t="shared" si="144"/>
        <v>REZoning_Sol-Win</v>
      </c>
      <c r="AI1115" s="33" t="s">
        <v>1989</v>
      </c>
      <c r="AJ1115" s="44" t="s">
        <v>57</v>
      </c>
      <c r="AK1115" s="33">
        <v>2050</v>
      </c>
      <c r="AL1115" s="45" t="str">
        <f t="shared" si="143"/>
        <v>*0.84</v>
      </c>
      <c r="AM1115" s="43" t="str">
        <f t="shared" si="145"/>
        <v>REZoning_Sol-Win</v>
      </c>
      <c r="AP1115" t="s">
        <v>1989</v>
      </c>
      <c r="AQ1115" t="s">
        <v>57</v>
      </c>
      <c r="AR1115">
        <v>2100</v>
      </c>
      <c r="AS1115" t="s">
        <v>919</v>
      </c>
      <c r="AT1115" t="s">
        <v>58</v>
      </c>
    </row>
    <row r="1116" ht="29" spans="1:46">
      <c r="A1116" s="31" t="s">
        <v>79</v>
      </c>
      <c r="C1116" t="s">
        <v>1990</v>
      </c>
      <c r="D1116" s="5" t="s">
        <v>57</v>
      </c>
      <c r="E1116">
        <v>2035</v>
      </c>
      <c r="F1116" s="6" t="str">
        <f t="shared" si="138"/>
        <v>*0.94</v>
      </c>
      <c r="H1116" t="s">
        <v>1990</v>
      </c>
      <c r="I1116" s="5" t="s">
        <v>57</v>
      </c>
      <c r="J1116">
        <v>2050</v>
      </c>
      <c r="K1116" s="38" t="str">
        <f t="shared" si="139"/>
        <v>*0.9</v>
      </c>
      <c r="P1116" s="32" t="s">
        <v>1990</v>
      </c>
      <c r="Q1116" s="42" t="s">
        <v>57</v>
      </c>
      <c r="R1116" s="32">
        <v>2035</v>
      </c>
      <c r="S1116" s="43" t="str">
        <f t="shared" si="140"/>
        <v>*0.92</v>
      </c>
      <c r="U1116" s="32" t="s">
        <v>1990</v>
      </c>
      <c r="V1116" s="42" t="s">
        <v>57</v>
      </c>
      <c r="W1116" s="32">
        <v>2050</v>
      </c>
      <c r="X1116" s="43" t="str">
        <f t="shared" si="141"/>
        <v>*0.89</v>
      </c>
      <c r="AC1116" s="33" t="s">
        <v>1990</v>
      </c>
      <c r="AD1116" s="44" t="s">
        <v>57</v>
      </c>
      <c r="AE1116" s="33">
        <v>2035</v>
      </c>
      <c r="AF1116" s="45" t="str">
        <f t="shared" si="142"/>
        <v>*0.89</v>
      </c>
      <c r="AG1116" s="43" t="str">
        <f t="shared" si="144"/>
        <v>REZoning_Sol-Win</v>
      </c>
      <c r="AI1116" s="33" t="s">
        <v>1990</v>
      </c>
      <c r="AJ1116" s="44" t="s">
        <v>57</v>
      </c>
      <c r="AK1116" s="33">
        <v>2050</v>
      </c>
      <c r="AL1116" s="45" t="str">
        <f t="shared" si="143"/>
        <v>*0.84</v>
      </c>
      <c r="AM1116" s="43" t="str">
        <f t="shared" si="145"/>
        <v>REZoning_Sol-Win</v>
      </c>
      <c r="AP1116" t="s">
        <v>1990</v>
      </c>
      <c r="AQ1116" t="s">
        <v>57</v>
      </c>
      <c r="AR1116">
        <v>2100</v>
      </c>
      <c r="AS1116" t="s">
        <v>919</v>
      </c>
      <c r="AT1116" t="s">
        <v>58</v>
      </c>
    </row>
    <row r="1117" ht="29" spans="1:46">
      <c r="A1117" s="31" t="s">
        <v>79</v>
      </c>
      <c r="C1117" t="s">
        <v>1991</v>
      </c>
      <c r="D1117" s="5" t="s">
        <v>57</v>
      </c>
      <c r="E1117">
        <v>2035</v>
      </c>
      <c r="F1117" s="6" t="str">
        <f t="shared" si="138"/>
        <v>*0.94</v>
      </c>
      <c r="H1117" t="s">
        <v>1991</v>
      </c>
      <c r="I1117" s="5" t="s">
        <v>57</v>
      </c>
      <c r="J1117">
        <v>2050</v>
      </c>
      <c r="K1117" s="38" t="str">
        <f t="shared" si="139"/>
        <v>*0.9</v>
      </c>
      <c r="P1117" s="32" t="s">
        <v>1991</v>
      </c>
      <c r="Q1117" s="42" t="s">
        <v>57</v>
      </c>
      <c r="R1117" s="32">
        <v>2035</v>
      </c>
      <c r="S1117" s="43" t="str">
        <f t="shared" si="140"/>
        <v>*0.92</v>
      </c>
      <c r="U1117" s="32" t="s">
        <v>1991</v>
      </c>
      <c r="V1117" s="42" t="s">
        <v>57</v>
      </c>
      <c r="W1117" s="32">
        <v>2050</v>
      </c>
      <c r="X1117" s="43" t="str">
        <f t="shared" si="141"/>
        <v>*0.89</v>
      </c>
      <c r="AC1117" s="33" t="s">
        <v>1991</v>
      </c>
      <c r="AD1117" s="44" t="s">
        <v>57</v>
      </c>
      <c r="AE1117" s="33">
        <v>2035</v>
      </c>
      <c r="AF1117" s="45" t="str">
        <f t="shared" si="142"/>
        <v>*0.89</v>
      </c>
      <c r="AG1117" s="43" t="str">
        <f t="shared" si="144"/>
        <v>REZoning_Sol-Win</v>
      </c>
      <c r="AI1117" s="33" t="s">
        <v>1991</v>
      </c>
      <c r="AJ1117" s="44" t="s">
        <v>57</v>
      </c>
      <c r="AK1117" s="33">
        <v>2050</v>
      </c>
      <c r="AL1117" s="45" t="str">
        <f t="shared" si="143"/>
        <v>*0.84</v>
      </c>
      <c r="AM1117" s="43" t="str">
        <f t="shared" si="145"/>
        <v>REZoning_Sol-Win</v>
      </c>
      <c r="AP1117" t="s">
        <v>1991</v>
      </c>
      <c r="AQ1117" t="s">
        <v>57</v>
      </c>
      <c r="AR1117">
        <v>2100</v>
      </c>
      <c r="AS1117" t="s">
        <v>919</v>
      </c>
      <c r="AT1117" t="s">
        <v>58</v>
      </c>
    </row>
    <row r="1118" ht="29" spans="1:46">
      <c r="A1118" s="31" t="s">
        <v>79</v>
      </c>
      <c r="C1118" t="s">
        <v>1992</v>
      </c>
      <c r="D1118" s="5" t="s">
        <v>57</v>
      </c>
      <c r="E1118">
        <v>2035</v>
      </c>
      <c r="F1118" s="6" t="str">
        <f t="shared" si="138"/>
        <v>*0.94</v>
      </c>
      <c r="H1118" t="s">
        <v>1992</v>
      </c>
      <c r="I1118" s="5" t="s">
        <v>57</v>
      </c>
      <c r="J1118">
        <v>2050</v>
      </c>
      <c r="K1118" s="38" t="str">
        <f t="shared" si="139"/>
        <v>*0.9</v>
      </c>
      <c r="P1118" s="32" t="s">
        <v>1992</v>
      </c>
      <c r="Q1118" s="42" t="s">
        <v>57</v>
      </c>
      <c r="R1118" s="32">
        <v>2035</v>
      </c>
      <c r="S1118" s="43" t="str">
        <f t="shared" si="140"/>
        <v>*0.92</v>
      </c>
      <c r="U1118" s="32" t="s">
        <v>1992</v>
      </c>
      <c r="V1118" s="42" t="s">
        <v>57</v>
      </c>
      <c r="W1118" s="32">
        <v>2050</v>
      </c>
      <c r="X1118" s="43" t="str">
        <f t="shared" si="141"/>
        <v>*0.89</v>
      </c>
      <c r="AC1118" s="33" t="s">
        <v>1992</v>
      </c>
      <c r="AD1118" s="44" t="s">
        <v>57</v>
      </c>
      <c r="AE1118" s="33">
        <v>2035</v>
      </c>
      <c r="AF1118" s="45" t="str">
        <f t="shared" si="142"/>
        <v>*0.89</v>
      </c>
      <c r="AG1118" s="43" t="str">
        <f t="shared" si="144"/>
        <v>REZoning_Sol-Win</v>
      </c>
      <c r="AI1118" s="33" t="s">
        <v>1992</v>
      </c>
      <c r="AJ1118" s="44" t="s">
        <v>57</v>
      </c>
      <c r="AK1118" s="33">
        <v>2050</v>
      </c>
      <c r="AL1118" s="45" t="str">
        <f t="shared" si="143"/>
        <v>*0.84</v>
      </c>
      <c r="AM1118" s="43" t="str">
        <f t="shared" si="145"/>
        <v>REZoning_Sol-Win</v>
      </c>
      <c r="AP1118" t="s">
        <v>1992</v>
      </c>
      <c r="AQ1118" t="s">
        <v>57</v>
      </c>
      <c r="AR1118">
        <v>2100</v>
      </c>
      <c r="AS1118" t="s">
        <v>919</v>
      </c>
      <c r="AT1118" t="s">
        <v>58</v>
      </c>
    </row>
    <row r="1119" ht="29" spans="1:46">
      <c r="A1119" s="31" t="s">
        <v>79</v>
      </c>
      <c r="C1119" t="s">
        <v>1993</v>
      </c>
      <c r="D1119" s="5" t="s">
        <v>57</v>
      </c>
      <c r="E1119">
        <v>2035</v>
      </c>
      <c r="F1119" s="6" t="str">
        <f t="shared" si="138"/>
        <v>*0.94</v>
      </c>
      <c r="H1119" t="s">
        <v>1993</v>
      </c>
      <c r="I1119" s="5" t="s">
        <v>57</v>
      </c>
      <c r="J1119">
        <v>2050</v>
      </c>
      <c r="K1119" s="38" t="str">
        <f t="shared" si="139"/>
        <v>*0.9</v>
      </c>
      <c r="P1119" s="32" t="s">
        <v>1993</v>
      </c>
      <c r="Q1119" s="42" t="s">
        <v>57</v>
      </c>
      <c r="R1119" s="32">
        <v>2035</v>
      </c>
      <c r="S1119" s="43" t="str">
        <f t="shared" si="140"/>
        <v>*0.92</v>
      </c>
      <c r="U1119" s="32" t="s">
        <v>1993</v>
      </c>
      <c r="V1119" s="42" t="s">
        <v>57</v>
      </c>
      <c r="W1119" s="32">
        <v>2050</v>
      </c>
      <c r="X1119" s="43" t="str">
        <f t="shared" si="141"/>
        <v>*0.89</v>
      </c>
      <c r="AC1119" s="33" t="s">
        <v>1993</v>
      </c>
      <c r="AD1119" s="44" t="s">
        <v>57</v>
      </c>
      <c r="AE1119" s="33">
        <v>2035</v>
      </c>
      <c r="AF1119" s="45" t="str">
        <f t="shared" si="142"/>
        <v>*0.89</v>
      </c>
      <c r="AG1119" s="43" t="str">
        <f t="shared" si="144"/>
        <v>REZoning_Sol-Win</v>
      </c>
      <c r="AI1119" s="33" t="s">
        <v>1993</v>
      </c>
      <c r="AJ1119" s="44" t="s">
        <v>57</v>
      </c>
      <c r="AK1119" s="33">
        <v>2050</v>
      </c>
      <c r="AL1119" s="45" t="str">
        <f t="shared" si="143"/>
        <v>*0.84</v>
      </c>
      <c r="AM1119" s="43" t="str">
        <f t="shared" si="145"/>
        <v>REZoning_Sol-Win</v>
      </c>
      <c r="AP1119" t="s">
        <v>1993</v>
      </c>
      <c r="AQ1119" t="s">
        <v>57</v>
      </c>
      <c r="AR1119">
        <v>2100</v>
      </c>
      <c r="AS1119" t="s">
        <v>919</v>
      </c>
      <c r="AT1119" t="s">
        <v>58</v>
      </c>
    </row>
    <row r="1120" ht="29" spans="1:46">
      <c r="A1120" s="31" t="s">
        <v>79</v>
      </c>
      <c r="C1120" t="s">
        <v>1994</v>
      </c>
      <c r="D1120" s="5" t="s">
        <v>57</v>
      </c>
      <c r="E1120">
        <v>2035</v>
      </c>
      <c r="F1120" s="6" t="str">
        <f t="shared" si="138"/>
        <v>*0.94</v>
      </c>
      <c r="H1120" t="s">
        <v>1994</v>
      </c>
      <c r="I1120" s="5" t="s">
        <v>57</v>
      </c>
      <c r="J1120">
        <v>2050</v>
      </c>
      <c r="K1120" s="38" t="str">
        <f t="shared" si="139"/>
        <v>*0.9</v>
      </c>
      <c r="P1120" s="32" t="s">
        <v>1994</v>
      </c>
      <c r="Q1120" s="42" t="s">
        <v>57</v>
      </c>
      <c r="R1120" s="32">
        <v>2035</v>
      </c>
      <c r="S1120" s="43" t="str">
        <f t="shared" si="140"/>
        <v>*0.92</v>
      </c>
      <c r="U1120" s="32" t="s">
        <v>1994</v>
      </c>
      <c r="V1120" s="42" t="s">
        <v>57</v>
      </c>
      <c r="W1120" s="32">
        <v>2050</v>
      </c>
      <c r="X1120" s="43" t="str">
        <f t="shared" si="141"/>
        <v>*0.89</v>
      </c>
      <c r="AC1120" s="33" t="s">
        <v>1994</v>
      </c>
      <c r="AD1120" s="44" t="s">
        <v>57</v>
      </c>
      <c r="AE1120" s="33">
        <v>2035</v>
      </c>
      <c r="AF1120" s="45" t="str">
        <f t="shared" si="142"/>
        <v>*0.89</v>
      </c>
      <c r="AG1120" s="43" t="str">
        <f t="shared" si="144"/>
        <v>REZoning_Sol-Win</v>
      </c>
      <c r="AI1120" s="33" t="s">
        <v>1994</v>
      </c>
      <c r="AJ1120" s="44" t="s">
        <v>57</v>
      </c>
      <c r="AK1120" s="33">
        <v>2050</v>
      </c>
      <c r="AL1120" s="45" t="str">
        <f t="shared" si="143"/>
        <v>*0.84</v>
      </c>
      <c r="AM1120" s="43" t="str">
        <f t="shared" si="145"/>
        <v>REZoning_Sol-Win</v>
      </c>
      <c r="AP1120" t="s">
        <v>1994</v>
      </c>
      <c r="AQ1120" t="s">
        <v>57</v>
      </c>
      <c r="AR1120">
        <v>2100</v>
      </c>
      <c r="AS1120" t="s">
        <v>919</v>
      </c>
      <c r="AT1120" t="s">
        <v>58</v>
      </c>
    </row>
    <row r="1121" ht="29" spans="1:46">
      <c r="A1121" s="31" t="s">
        <v>79</v>
      </c>
      <c r="C1121" t="s">
        <v>1995</v>
      </c>
      <c r="D1121" s="5" t="s">
        <v>57</v>
      </c>
      <c r="E1121">
        <v>2035</v>
      </c>
      <c r="F1121" s="6" t="str">
        <f t="shared" si="138"/>
        <v>*0.94</v>
      </c>
      <c r="H1121" t="s">
        <v>1995</v>
      </c>
      <c r="I1121" s="5" t="s">
        <v>57</v>
      </c>
      <c r="J1121">
        <v>2050</v>
      </c>
      <c r="K1121" s="38" t="str">
        <f t="shared" si="139"/>
        <v>*0.9</v>
      </c>
      <c r="P1121" s="32" t="s">
        <v>1995</v>
      </c>
      <c r="Q1121" s="42" t="s">
        <v>57</v>
      </c>
      <c r="R1121" s="32">
        <v>2035</v>
      </c>
      <c r="S1121" s="43" t="str">
        <f t="shared" si="140"/>
        <v>*0.92</v>
      </c>
      <c r="U1121" s="32" t="s">
        <v>1995</v>
      </c>
      <c r="V1121" s="42" t="s">
        <v>57</v>
      </c>
      <c r="W1121" s="32">
        <v>2050</v>
      </c>
      <c r="X1121" s="43" t="str">
        <f t="shared" si="141"/>
        <v>*0.89</v>
      </c>
      <c r="AC1121" s="33" t="s">
        <v>1995</v>
      </c>
      <c r="AD1121" s="44" t="s">
        <v>57</v>
      </c>
      <c r="AE1121" s="33">
        <v>2035</v>
      </c>
      <c r="AF1121" s="45" t="str">
        <f t="shared" si="142"/>
        <v>*0.89</v>
      </c>
      <c r="AG1121" s="43" t="str">
        <f t="shared" si="144"/>
        <v>REZoning_Sol-Win</v>
      </c>
      <c r="AI1121" s="33" t="s">
        <v>1995</v>
      </c>
      <c r="AJ1121" s="44" t="s">
        <v>57</v>
      </c>
      <c r="AK1121" s="33">
        <v>2050</v>
      </c>
      <c r="AL1121" s="45" t="str">
        <f t="shared" si="143"/>
        <v>*0.84</v>
      </c>
      <c r="AM1121" s="43" t="str">
        <f t="shared" si="145"/>
        <v>REZoning_Sol-Win</v>
      </c>
      <c r="AP1121" t="s">
        <v>1995</v>
      </c>
      <c r="AQ1121" t="s">
        <v>57</v>
      </c>
      <c r="AR1121">
        <v>2100</v>
      </c>
      <c r="AS1121" t="s">
        <v>919</v>
      </c>
      <c r="AT1121" t="s">
        <v>58</v>
      </c>
    </row>
    <row r="1122" ht="29" spans="1:46">
      <c r="A1122" s="31" t="s">
        <v>79</v>
      </c>
      <c r="C1122" t="s">
        <v>1996</v>
      </c>
      <c r="D1122" s="5" t="s">
        <v>57</v>
      </c>
      <c r="E1122">
        <v>2035</v>
      </c>
      <c r="F1122" s="6" t="str">
        <f t="shared" si="138"/>
        <v>*0.94</v>
      </c>
      <c r="H1122" t="s">
        <v>1996</v>
      </c>
      <c r="I1122" s="5" t="s">
        <v>57</v>
      </c>
      <c r="J1122">
        <v>2050</v>
      </c>
      <c r="K1122" s="38" t="str">
        <f t="shared" si="139"/>
        <v>*0.9</v>
      </c>
      <c r="P1122" s="32" t="s">
        <v>1996</v>
      </c>
      <c r="Q1122" s="42" t="s">
        <v>57</v>
      </c>
      <c r="R1122" s="32">
        <v>2035</v>
      </c>
      <c r="S1122" s="43" t="str">
        <f t="shared" si="140"/>
        <v>*0.92</v>
      </c>
      <c r="U1122" s="32" t="s">
        <v>1996</v>
      </c>
      <c r="V1122" s="42" t="s">
        <v>57</v>
      </c>
      <c r="W1122" s="32">
        <v>2050</v>
      </c>
      <c r="X1122" s="43" t="str">
        <f t="shared" si="141"/>
        <v>*0.89</v>
      </c>
      <c r="AC1122" s="33" t="s">
        <v>1996</v>
      </c>
      <c r="AD1122" s="44" t="s">
        <v>57</v>
      </c>
      <c r="AE1122" s="33">
        <v>2035</v>
      </c>
      <c r="AF1122" s="45" t="str">
        <f t="shared" si="142"/>
        <v>*0.89</v>
      </c>
      <c r="AG1122" s="43" t="str">
        <f t="shared" si="144"/>
        <v>REZoning_Sol-Win</v>
      </c>
      <c r="AI1122" s="33" t="s">
        <v>1996</v>
      </c>
      <c r="AJ1122" s="44" t="s">
        <v>57</v>
      </c>
      <c r="AK1122" s="33">
        <v>2050</v>
      </c>
      <c r="AL1122" s="45" t="str">
        <f t="shared" si="143"/>
        <v>*0.84</v>
      </c>
      <c r="AM1122" s="43" t="str">
        <f t="shared" si="145"/>
        <v>REZoning_Sol-Win</v>
      </c>
      <c r="AP1122" t="s">
        <v>1996</v>
      </c>
      <c r="AQ1122" t="s">
        <v>57</v>
      </c>
      <c r="AR1122">
        <v>2100</v>
      </c>
      <c r="AS1122" t="s">
        <v>919</v>
      </c>
      <c r="AT1122" t="s">
        <v>58</v>
      </c>
    </row>
    <row r="1123" ht="29" spans="1:46">
      <c r="A1123" s="31" t="s">
        <v>79</v>
      </c>
      <c r="C1123" t="s">
        <v>1997</v>
      </c>
      <c r="D1123" s="5" t="s">
        <v>57</v>
      </c>
      <c r="E1123">
        <v>2035</v>
      </c>
      <c r="F1123" s="6" t="str">
        <f t="shared" si="138"/>
        <v>*0.94</v>
      </c>
      <c r="H1123" t="s">
        <v>1997</v>
      </c>
      <c r="I1123" s="5" t="s">
        <v>57</v>
      </c>
      <c r="J1123">
        <v>2050</v>
      </c>
      <c r="K1123" s="38" t="str">
        <f t="shared" si="139"/>
        <v>*0.9</v>
      </c>
      <c r="P1123" s="32" t="s">
        <v>1997</v>
      </c>
      <c r="Q1123" s="42" t="s">
        <v>57</v>
      </c>
      <c r="R1123" s="32">
        <v>2035</v>
      </c>
      <c r="S1123" s="43" t="str">
        <f t="shared" si="140"/>
        <v>*0.92</v>
      </c>
      <c r="U1123" s="32" t="s">
        <v>1997</v>
      </c>
      <c r="V1123" s="42" t="s">
        <v>57</v>
      </c>
      <c r="W1123" s="32">
        <v>2050</v>
      </c>
      <c r="X1123" s="43" t="str">
        <f t="shared" si="141"/>
        <v>*0.89</v>
      </c>
      <c r="AC1123" s="33" t="s">
        <v>1997</v>
      </c>
      <c r="AD1123" s="44" t="s">
        <v>57</v>
      </c>
      <c r="AE1123" s="33">
        <v>2035</v>
      </c>
      <c r="AF1123" s="45" t="str">
        <f t="shared" si="142"/>
        <v>*0.89</v>
      </c>
      <c r="AG1123" s="43" t="str">
        <f t="shared" si="144"/>
        <v>REZoning_Sol-Win</v>
      </c>
      <c r="AI1123" s="33" t="s">
        <v>1997</v>
      </c>
      <c r="AJ1123" s="44" t="s">
        <v>57</v>
      </c>
      <c r="AK1123" s="33">
        <v>2050</v>
      </c>
      <c r="AL1123" s="45" t="str">
        <f t="shared" si="143"/>
        <v>*0.84</v>
      </c>
      <c r="AM1123" s="43" t="str">
        <f t="shared" si="145"/>
        <v>REZoning_Sol-Win</v>
      </c>
      <c r="AP1123" t="s">
        <v>1997</v>
      </c>
      <c r="AQ1123" t="s">
        <v>57</v>
      </c>
      <c r="AR1123">
        <v>2100</v>
      </c>
      <c r="AS1123" t="s">
        <v>919</v>
      </c>
      <c r="AT1123" t="s">
        <v>58</v>
      </c>
    </row>
    <row r="1124" ht="29" spans="1:46">
      <c r="A1124" s="31" t="s">
        <v>79</v>
      </c>
      <c r="C1124" t="s">
        <v>1998</v>
      </c>
      <c r="D1124" s="5" t="s">
        <v>57</v>
      </c>
      <c r="E1124">
        <v>2035</v>
      </c>
      <c r="F1124" s="6" t="str">
        <f t="shared" si="138"/>
        <v>*0.94</v>
      </c>
      <c r="H1124" t="s">
        <v>1998</v>
      </c>
      <c r="I1124" s="5" t="s">
        <v>57</v>
      </c>
      <c r="J1124">
        <v>2050</v>
      </c>
      <c r="K1124" s="38" t="str">
        <f t="shared" si="139"/>
        <v>*0.9</v>
      </c>
      <c r="P1124" s="32" t="s">
        <v>1998</v>
      </c>
      <c r="Q1124" s="42" t="s">
        <v>57</v>
      </c>
      <c r="R1124" s="32">
        <v>2035</v>
      </c>
      <c r="S1124" s="43" t="str">
        <f t="shared" si="140"/>
        <v>*0.92</v>
      </c>
      <c r="U1124" s="32" t="s">
        <v>1998</v>
      </c>
      <c r="V1124" s="42" t="s">
        <v>57</v>
      </c>
      <c r="W1124" s="32">
        <v>2050</v>
      </c>
      <c r="X1124" s="43" t="str">
        <f t="shared" si="141"/>
        <v>*0.89</v>
      </c>
      <c r="AC1124" s="33" t="s">
        <v>1998</v>
      </c>
      <c r="AD1124" s="44" t="s">
        <v>57</v>
      </c>
      <c r="AE1124" s="33">
        <v>2035</v>
      </c>
      <c r="AF1124" s="45" t="str">
        <f t="shared" si="142"/>
        <v>*0.89</v>
      </c>
      <c r="AG1124" s="43" t="str">
        <f t="shared" si="144"/>
        <v>REZoning_Sol-Win</v>
      </c>
      <c r="AI1124" s="33" t="s">
        <v>1998</v>
      </c>
      <c r="AJ1124" s="44" t="s">
        <v>57</v>
      </c>
      <c r="AK1124" s="33">
        <v>2050</v>
      </c>
      <c r="AL1124" s="45" t="str">
        <f t="shared" si="143"/>
        <v>*0.84</v>
      </c>
      <c r="AM1124" s="43" t="str">
        <f t="shared" si="145"/>
        <v>REZoning_Sol-Win</v>
      </c>
      <c r="AP1124" t="s">
        <v>1998</v>
      </c>
      <c r="AQ1124" t="s">
        <v>57</v>
      </c>
      <c r="AR1124">
        <v>2100</v>
      </c>
      <c r="AS1124" t="s">
        <v>919</v>
      </c>
      <c r="AT1124" t="s">
        <v>58</v>
      </c>
    </row>
    <row r="1125" ht="29" spans="1:46">
      <c r="A1125" s="31" t="s">
        <v>79</v>
      </c>
      <c r="C1125" t="s">
        <v>1999</v>
      </c>
      <c r="D1125" s="5" t="s">
        <v>57</v>
      </c>
      <c r="E1125">
        <v>2035</v>
      </c>
      <c r="F1125" s="6" t="str">
        <f t="shared" si="138"/>
        <v>*0.94</v>
      </c>
      <c r="H1125" t="s">
        <v>1999</v>
      </c>
      <c r="I1125" s="5" t="s">
        <v>57</v>
      </c>
      <c r="J1125">
        <v>2050</v>
      </c>
      <c r="K1125" s="38" t="str">
        <f t="shared" si="139"/>
        <v>*0.9</v>
      </c>
      <c r="P1125" s="32" t="s">
        <v>1999</v>
      </c>
      <c r="Q1125" s="42" t="s">
        <v>57</v>
      </c>
      <c r="R1125" s="32">
        <v>2035</v>
      </c>
      <c r="S1125" s="43" t="str">
        <f t="shared" si="140"/>
        <v>*0.92</v>
      </c>
      <c r="U1125" s="32" t="s">
        <v>1999</v>
      </c>
      <c r="V1125" s="42" t="s">
        <v>57</v>
      </c>
      <c r="W1125" s="32">
        <v>2050</v>
      </c>
      <c r="X1125" s="43" t="str">
        <f t="shared" si="141"/>
        <v>*0.89</v>
      </c>
      <c r="AC1125" s="33" t="s">
        <v>1999</v>
      </c>
      <c r="AD1125" s="44" t="s">
        <v>57</v>
      </c>
      <c r="AE1125" s="33">
        <v>2035</v>
      </c>
      <c r="AF1125" s="45" t="str">
        <f t="shared" si="142"/>
        <v>*0.89</v>
      </c>
      <c r="AG1125" s="43" t="str">
        <f t="shared" si="144"/>
        <v>REZoning_Sol-Win</v>
      </c>
      <c r="AI1125" s="33" t="s">
        <v>1999</v>
      </c>
      <c r="AJ1125" s="44" t="s">
        <v>57</v>
      </c>
      <c r="AK1125" s="33">
        <v>2050</v>
      </c>
      <c r="AL1125" s="45" t="str">
        <f t="shared" si="143"/>
        <v>*0.84</v>
      </c>
      <c r="AM1125" s="43" t="str">
        <f t="shared" si="145"/>
        <v>REZoning_Sol-Win</v>
      </c>
      <c r="AP1125" t="s">
        <v>1999</v>
      </c>
      <c r="AQ1125" t="s">
        <v>57</v>
      </c>
      <c r="AR1125">
        <v>2100</v>
      </c>
      <c r="AS1125" t="s">
        <v>919</v>
      </c>
      <c r="AT1125" t="s">
        <v>58</v>
      </c>
    </row>
    <row r="1126" ht="29" spans="1:46">
      <c r="A1126" s="31" t="s">
        <v>79</v>
      </c>
      <c r="C1126" t="s">
        <v>2000</v>
      </c>
      <c r="D1126" s="5" t="s">
        <v>57</v>
      </c>
      <c r="E1126">
        <v>2035</v>
      </c>
      <c r="F1126" s="6" t="str">
        <f t="shared" si="138"/>
        <v>*0.94</v>
      </c>
      <c r="H1126" t="s">
        <v>2000</v>
      </c>
      <c r="I1126" s="5" t="s">
        <v>57</v>
      </c>
      <c r="J1126">
        <v>2050</v>
      </c>
      <c r="K1126" s="38" t="str">
        <f t="shared" si="139"/>
        <v>*0.9</v>
      </c>
      <c r="P1126" s="32" t="s">
        <v>2000</v>
      </c>
      <c r="Q1126" s="42" t="s">
        <v>57</v>
      </c>
      <c r="R1126" s="32">
        <v>2035</v>
      </c>
      <c r="S1126" s="43" t="str">
        <f t="shared" si="140"/>
        <v>*0.92</v>
      </c>
      <c r="U1126" s="32" t="s">
        <v>2000</v>
      </c>
      <c r="V1126" s="42" t="s">
        <v>57</v>
      </c>
      <c r="W1126" s="32">
        <v>2050</v>
      </c>
      <c r="X1126" s="43" t="str">
        <f t="shared" si="141"/>
        <v>*0.89</v>
      </c>
      <c r="AC1126" s="33" t="s">
        <v>2000</v>
      </c>
      <c r="AD1126" s="44" t="s">
        <v>57</v>
      </c>
      <c r="AE1126" s="33">
        <v>2035</v>
      </c>
      <c r="AF1126" s="45" t="str">
        <f t="shared" si="142"/>
        <v>*0.89</v>
      </c>
      <c r="AG1126" s="43" t="str">
        <f t="shared" si="144"/>
        <v>REZoning_Sol-Win</v>
      </c>
      <c r="AI1126" s="33" t="s">
        <v>2000</v>
      </c>
      <c r="AJ1126" s="44" t="s">
        <v>57</v>
      </c>
      <c r="AK1126" s="33">
        <v>2050</v>
      </c>
      <c r="AL1126" s="45" t="str">
        <f t="shared" si="143"/>
        <v>*0.84</v>
      </c>
      <c r="AM1126" s="43" t="str">
        <f t="shared" si="145"/>
        <v>REZoning_Sol-Win</v>
      </c>
      <c r="AP1126" t="s">
        <v>2000</v>
      </c>
      <c r="AQ1126" t="s">
        <v>57</v>
      </c>
      <c r="AR1126">
        <v>2100</v>
      </c>
      <c r="AS1126" t="s">
        <v>919</v>
      </c>
      <c r="AT1126" t="s">
        <v>58</v>
      </c>
    </row>
    <row r="1127" ht="29" spans="1:46">
      <c r="A1127" s="31" t="s">
        <v>79</v>
      </c>
      <c r="C1127" t="s">
        <v>2001</v>
      </c>
      <c r="D1127" s="5" t="s">
        <v>57</v>
      </c>
      <c r="E1127">
        <v>2035</v>
      </c>
      <c r="F1127" s="6" t="str">
        <f t="shared" si="138"/>
        <v>*0.94</v>
      </c>
      <c r="H1127" t="s">
        <v>2001</v>
      </c>
      <c r="I1127" s="5" t="s">
        <v>57</v>
      </c>
      <c r="J1127">
        <v>2050</v>
      </c>
      <c r="K1127" s="38" t="str">
        <f t="shared" si="139"/>
        <v>*0.9</v>
      </c>
      <c r="P1127" s="32" t="s">
        <v>2001</v>
      </c>
      <c r="Q1127" s="42" t="s">
        <v>57</v>
      </c>
      <c r="R1127" s="32">
        <v>2035</v>
      </c>
      <c r="S1127" s="43" t="str">
        <f t="shared" si="140"/>
        <v>*0.92</v>
      </c>
      <c r="U1127" s="32" t="s">
        <v>2001</v>
      </c>
      <c r="V1127" s="42" t="s">
        <v>57</v>
      </c>
      <c r="W1127" s="32">
        <v>2050</v>
      </c>
      <c r="X1127" s="43" t="str">
        <f t="shared" si="141"/>
        <v>*0.89</v>
      </c>
      <c r="AC1127" s="33" t="s">
        <v>2001</v>
      </c>
      <c r="AD1127" s="44" t="s">
        <v>57</v>
      </c>
      <c r="AE1127" s="33">
        <v>2035</v>
      </c>
      <c r="AF1127" s="45" t="str">
        <f t="shared" si="142"/>
        <v>*0.89</v>
      </c>
      <c r="AG1127" s="43" t="str">
        <f t="shared" si="144"/>
        <v>REZoning_Sol-Win</v>
      </c>
      <c r="AI1127" s="33" t="s">
        <v>2001</v>
      </c>
      <c r="AJ1127" s="44" t="s">
        <v>57</v>
      </c>
      <c r="AK1127" s="33">
        <v>2050</v>
      </c>
      <c r="AL1127" s="45" t="str">
        <f t="shared" si="143"/>
        <v>*0.84</v>
      </c>
      <c r="AM1127" s="43" t="str">
        <f t="shared" si="145"/>
        <v>REZoning_Sol-Win</v>
      </c>
      <c r="AP1127" t="s">
        <v>2001</v>
      </c>
      <c r="AQ1127" t="s">
        <v>57</v>
      </c>
      <c r="AR1127">
        <v>2100</v>
      </c>
      <c r="AS1127" t="s">
        <v>919</v>
      </c>
      <c r="AT1127" t="s">
        <v>58</v>
      </c>
    </row>
    <row r="1128" ht="29" spans="1:46">
      <c r="A1128" s="31" t="s">
        <v>79</v>
      </c>
      <c r="C1128" t="s">
        <v>2002</v>
      </c>
      <c r="D1128" s="5" t="s">
        <v>57</v>
      </c>
      <c r="E1128">
        <v>2035</v>
      </c>
      <c r="F1128" s="6" t="str">
        <f t="shared" si="138"/>
        <v>*0.94</v>
      </c>
      <c r="H1128" t="s">
        <v>2002</v>
      </c>
      <c r="I1128" s="5" t="s">
        <v>57</v>
      </c>
      <c r="J1128">
        <v>2050</v>
      </c>
      <c r="K1128" s="38" t="str">
        <f t="shared" si="139"/>
        <v>*0.9</v>
      </c>
      <c r="P1128" s="32" t="s">
        <v>2002</v>
      </c>
      <c r="Q1128" s="42" t="s">
        <v>57</v>
      </c>
      <c r="R1128" s="32">
        <v>2035</v>
      </c>
      <c r="S1128" s="43" t="str">
        <f t="shared" si="140"/>
        <v>*0.92</v>
      </c>
      <c r="U1128" s="32" t="s">
        <v>2002</v>
      </c>
      <c r="V1128" s="42" t="s">
        <v>57</v>
      </c>
      <c r="W1128" s="32">
        <v>2050</v>
      </c>
      <c r="X1128" s="43" t="str">
        <f t="shared" si="141"/>
        <v>*0.89</v>
      </c>
      <c r="AC1128" s="33" t="s">
        <v>2002</v>
      </c>
      <c r="AD1128" s="44" t="s">
        <v>57</v>
      </c>
      <c r="AE1128" s="33">
        <v>2035</v>
      </c>
      <c r="AF1128" s="45" t="str">
        <f t="shared" si="142"/>
        <v>*0.89</v>
      </c>
      <c r="AG1128" s="43" t="str">
        <f t="shared" si="144"/>
        <v>REZoning_Sol-Win</v>
      </c>
      <c r="AI1128" s="33" t="s">
        <v>2002</v>
      </c>
      <c r="AJ1128" s="44" t="s">
        <v>57</v>
      </c>
      <c r="AK1128" s="33">
        <v>2050</v>
      </c>
      <c r="AL1128" s="45" t="str">
        <f t="shared" si="143"/>
        <v>*0.84</v>
      </c>
      <c r="AM1128" s="43" t="str">
        <f t="shared" si="145"/>
        <v>REZoning_Sol-Win</v>
      </c>
      <c r="AP1128" t="s">
        <v>2002</v>
      </c>
      <c r="AQ1128" t="s">
        <v>57</v>
      </c>
      <c r="AR1128">
        <v>2100</v>
      </c>
      <c r="AS1128" t="s">
        <v>919</v>
      </c>
      <c r="AT1128" t="s">
        <v>58</v>
      </c>
    </row>
    <row r="1129" ht="29" spans="1:46">
      <c r="A1129" s="31" t="s">
        <v>79</v>
      </c>
      <c r="C1129" t="s">
        <v>2003</v>
      </c>
      <c r="D1129" s="5" t="s">
        <v>57</v>
      </c>
      <c r="E1129">
        <v>2035</v>
      </c>
      <c r="F1129" s="6" t="str">
        <f t="shared" si="138"/>
        <v>*0.94</v>
      </c>
      <c r="H1129" t="s">
        <v>2003</v>
      </c>
      <c r="I1129" s="5" t="s">
        <v>57</v>
      </c>
      <c r="J1129">
        <v>2050</v>
      </c>
      <c r="K1129" s="38" t="str">
        <f t="shared" si="139"/>
        <v>*0.9</v>
      </c>
      <c r="P1129" s="32" t="s">
        <v>2003</v>
      </c>
      <c r="Q1129" s="42" t="s">
        <v>57</v>
      </c>
      <c r="R1129" s="32">
        <v>2035</v>
      </c>
      <c r="S1129" s="43" t="str">
        <f t="shared" si="140"/>
        <v>*0.92</v>
      </c>
      <c r="U1129" s="32" t="s">
        <v>2003</v>
      </c>
      <c r="V1129" s="42" t="s">
        <v>57</v>
      </c>
      <c r="W1129" s="32">
        <v>2050</v>
      </c>
      <c r="X1129" s="43" t="str">
        <f t="shared" si="141"/>
        <v>*0.89</v>
      </c>
      <c r="AC1129" s="33" t="s">
        <v>2003</v>
      </c>
      <c r="AD1129" s="44" t="s">
        <v>57</v>
      </c>
      <c r="AE1129" s="33">
        <v>2035</v>
      </c>
      <c r="AF1129" s="45" t="str">
        <f t="shared" si="142"/>
        <v>*0.89</v>
      </c>
      <c r="AG1129" s="43" t="str">
        <f t="shared" si="144"/>
        <v>REZoning_Sol-Win</v>
      </c>
      <c r="AI1129" s="33" t="s">
        <v>2003</v>
      </c>
      <c r="AJ1129" s="44" t="s">
        <v>57</v>
      </c>
      <c r="AK1129" s="33">
        <v>2050</v>
      </c>
      <c r="AL1129" s="45" t="str">
        <f t="shared" si="143"/>
        <v>*0.84</v>
      </c>
      <c r="AM1129" s="43" t="str">
        <f t="shared" si="145"/>
        <v>REZoning_Sol-Win</v>
      </c>
      <c r="AP1129" t="s">
        <v>2003</v>
      </c>
      <c r="AQ1129" t="s">
        <v>57</v>
      </c>
      <c r="AR1129">
        <v>2100</v>
      </c>
      <c r="AS1129" t="s">
        <v>919</v>
      </c>
      <c r="AT1129" t="s">
        <v>58</v>
      </c>
    </row>
    <row r="1130" ht="29" spans="1:46">
      <c r="A1130" s="31" t="s">
        <v>79</v>
      </c>
      <c r="C1130" t="s">
        <v>2004</v>
      </c>
      <c r="D1130" s="5" t="s">
        <v>57</v>
      </c>
      <c r="E1130">
        <v>2035</v>
      </c>
      <c r="F1130" s="6" t="str">
        <f t="shared" si="138"/>
        <v>*0.94</v>
      </c>
      <c r="H1130" t="s">
        <v>2004</v>
      </c>
      <c r="I1130" s="5" t="s">
        <v>57</v>
      </c>
      <c r="J1130">
        <v>2050</v>
      </c>
      <c r="K1130" s="38" t="str">
        <f t="shared" si="139"/>
        <v>*0.9</v>
      </c>
      <c r="P1130" s="32" t="s">
        <v>2004</v>
      </c>
      <c r="Q1130" s="42" t="s">
        <v>57</v>
      </c>
      <c r="R1130" s="32">
        <v>2035</v>
      </c>
      <c r="S1130" s="43" t="str">
        <f t="shared" si="140"/>
        <v>*0.92</v>
      </c>
      <c r="U1130" s="32" t="s">
        <v>2004</v>
      </c>
      <c r="V1130" s="42" t="s">
        <v>57</v>
      </c>
      <c r="W1130" s="32">
        <v>2050</v>
      </c>
      <c r="X1130" s="43" t="str">
        <f t="shared" si="141"/>
        <v>*0.89</v>
      </c>
      <c r="AC1130" s="33" t="s">
        <v>2004</v>
      </c>
      <c r="AD1130" s="44" t="s">
        <v>57</v>
      </c>
      <c r="AE1130" s="33">
        <v>2035</v>
      </c>
      <c r="AF1130" s="45" t="str">
        <f t="shared" si="142"/>
        <v>*0.89</v>
      </c>
      <c r="AG1130" s="43" t="str">
        <f t="shared" si="144"/>
        <v>REZoning_Sol-Win</v>
      </c>
      <c r="AI1130" s="33" t="s">
        <v>2004</v>
      </c>
      <c r="AJ1130" s="44" t="s">
        <v>57</v>
      </c>
      <c r="AK1130" s="33">
        <v>2050</v>
      </c>
      <c r="AL1130" s="45" t="str">
        <f t="shared" si="143"/>
        <v>*0.84</v>
      </c>
      <c r="AM1130" s="43" t="str">
        <f t="shared" si="145"/>
        <v>REZoning_Sol-Win</v>
      </c>
      <c r="AP1130" t="s">
        <v>2004</v>
      </c>
      <c r="AQ1130" t="s">
        <v>57</v>
      </c>
      <c r="AR1130">
        <v>2100</v>
      </c>
      <c r="AS1130" t="s">
        <v>919</v>
      </c>
      <c r="AT1130" t="s">
        <v>58</v>
      </c>
    </row>
    <row r="1131" ht="29" spans="1:46">
      <c r="A1131" s="31" t="s">
        <v>79</v>
      </c>
      <c r="C1131" t="s">
        <v>2005</v>
      </c>
      <c r="D1131" s="5" t="s">
        <v>57</v>
      </c>
      <c r="E1131">
        <v>2035</v>
      </c>
      <c r="F1131" s="6" t="str">
        <f t="shared" si="138"/>
        <v>*0.94</v>
      </c>
      <c r="H1131" t="s">
        <v>2005</v>
      </c>
      <c r="I1131" s="5" t="s">
        <v>57</v>
      </c>
      <c r="J1131">
        <v>2050</v>
      </c>
      <c r="K1131" s="38" t="str">
        <f t="shared" si="139"/>
        <v>*0.9</v>
      </c>
      <c r="P1131" s="32" t="s">
        <v>2005</v>
      </c>
      <c r="Q1131" s="42" t="s">
        <v>57</v>
      </c>
      <c r="R1131" s="32">
        <v>2035</v>
      </c>
      <c r="S1131" s="43" t="str">
        <f t="shared" si="140"/>
        <v>*0.92</v>
      </c>
      <c r="U1131" s="32" t="s">
        <v>2005</v>
      </c>
      <c r="V1131" s="42" t="s">
        <v>57</v>
      </c>
      <c r="W1131" s="32">
        <v>2050</v>
      </c>
      <c r="X1131" s="43" t="str">
        <f t="shared" si="141"/>
        <v>*0.89</v>
      </c>
      <c r="AC1131" s="33" t="s">
        <v>2005</v>
      </c>
      <c r="AD1131" s="44" t="s">
        <v>57</v>
      </c>
      <c r="AE1131" s="33">
        <v>2035</v>
      </c>
      <c r="AF1131" s="45" t="str">
        <f t="shared" si="142"/>
        <v>*0.89</v>
      </c>
      <c r="AG1131" s="43" t="str">
        <f t="shared" si="144"/>
        <v>REZoning_Sol-Win</v>
      </c>
      <c r="AI1131" s="33" t="s">
        <v>2005</v>
      </c>
      <c r="AJ1131" s="44" t="s">
        <v>57</v>
      </c>
      <c r="AK1131" s="33">
        <v>2050</v>
      </c>
      <c r="AL1131" s="45" t="str">
        <f t="shared" si="143"/>
        <v>*0.84</v>
      </c>
      <c r="AM1131" s="43" t="str">
        <f t="shared" si="145"/>
        <v>REZoning_Sol-Win</v>
      </c>
      <c r="AP1131" t="s">
        <v>2005</v>
      </c>
      <c r="AQ1131" t="s">
        <v>57</v>
      </c>
      <c r="AR1131">
        <v>2100</v>
      </c>
      <c r="AS1131" t="s">
        <v>919</v>
      </c>
      <c r="AT1131" t="s">
        <v>58</v>
      </c>
    </row>
    <row r="1132" ht="29" spans="1:46">
      <c r="A1132" s="31" t="s">
        <v>79</v>
      </c>
      <c r="C1132" t="s">
        <v>2006</v>
      </c>
      <c r="D1132" s="5" t="s">
        <v>57</v>
      </c>
      <c r="E1132">
        <v>2035</v>
      </c>
      <c r="F1132" s="6" t="str">
        <f t="shared" si="138"/>
        <v>*0.94</v>
      </c>
      <c r="H1132" t="s">
        <v>2006</v>
      </c>
      <c r="I1132" s="5" t="s">
        <v>57</v>
      </c>
      <c r="J1132">
        <v>2050</v>
      </c>
      <c r="K1132" s="38" t="str">
        <f t="shared" si="139"/>
        <v>*0.9</v>
      </c>
      <c r="P1132" s="32" t="s">
        <v>2006</v>
      </c>
      <c r="Q1132" s="42" t="s">
        <v>57</v>
      </c>
      <c r="R1132" s="32">
        <v>2035</v>
      </c>
      <c r="S1132" s="43" t="str">
        <f t="shared" si="140"/>
        <v>*0.92</v>
      </c>
      <c r="U1132" s="32" t="s">
        <v>2006</v>
      </c>
      <c r="V1132" s="42" t="s">
        <v>57</v>
      </c>
      <c r="W1132" s="32">
        <v>2050</v>
      </c>
      <c r="X1132" s="43" t="str">
        <f t="shared" si="141"/>
        <v>*0.89</v>
      </c>
      <c r="AC1132" s="33" t="s">
        <v>2006</v>
      </c>
      <c r="AD1132" s="44" t="s">
        <v>57</v>
      </c>
      <c r="AE1132" s="33">
        <v>2035</v>
      </c>
      <c r="AF1132" s="45" t="str">
        <f t="shared" si="142"/>
        <v>*0.89</v>
      </c>
      <c r="AG1132" s="43" t="str">
        <f t="shared" si="144"/>
        <v>REZoning_Sol-Win</v>
      </c>
      <c r="AI1132" s="33" t="s">
        <v>2006</v>
      </c>
      <c r="AJ1132" s="44" t="s">
        <v>57</v>
      </c>
      <c r="AK1132" s="33">
        <v>2050</v>
      </c>
      <c r="AL1132" s="45" t="str">
        <f t="shared" si="143"/>
        <v>*0.84</v>
      </c>
      <c r="AM1132" s="43" t="str">
        <f t="shared" si="145"/>
        <v>REZoning_Sol-Win</v>
      </c>
      <c r="AP1132" t="s">
        <v>2006</v>
      </c>
      <c r="AQ1132" t="s">
        <v>57</v>
      </c>
      <c r="AR1132">
        <v>2100</v>
      </c>
      <c r="AS1132" t="s">
        <v>919</v>
      </c>
      <c r="AT1132" t="s">
        <v>58</v>
      </c>
    </row>
    <row r="1133" ht="29" spans="1:46">
      <c r="A1133" s="31" t="s">
        <v>79</v>
      </c>
      <c r="C1133" t="s">
        <v>2007</v>
      </c>
      <c r="D1133" s="5" t="s">
        <v>57</v>
      </c>
      <c r="E1133">
        <v>2035</v>
      </c>
      <c r="F1133" s="6" t="str">
        <f t="shared" si="138"/>
        <v>*0.94</v>
      </c>
      <c r="H1133" t="s">
        <v>2007</v>
      </c>
      <c r="I1133" s="5" t="s">
        <v>57</v>
      </c>
      <c r="J1133">
        <v>2050</v>
      </c>
      <c r="K1133" s="38" t="str">
        <f t="shared" si="139"/>
        <v>*0.9</v>
      </c>
      <c r="P1133" s="32" t="s">
        <v>2007</v>
      </c>
      <c r="Q1133" s="42" t="s">
        <v>57</v>
      </c>
      <c r="R1133" s="32">
        <v>2035</v>
      </c>
      <c r="S1133" s="43" t="str">
        <f t="shared" si="140"/>
        <v>*0.92</v>
      </c>
      <c r="U1133" s="32" t="s">
        <v>2007</v>
      </c>
      <c r="V1133" s="42" t="s">
        <v>57</v>
      </c>
      <c r="W1133" s="32">
        <v>2050</v>
      </c>
      <c r="X1133" s="43" t="str">
        <f t="shared" si="141"/>
        <v>*0.89</v>
      </c>
      <c r="AC1133" s="33" t="s">
        <v>2007</v>
      </c>
      <c r="AD1133" s="44" t="s">
        <v>57</v>
      </c>
      <c r="AE1133" s="33">
        <v>2035</v>
      </c>
      <c r="AF1133" s="45" t="str">
        <f t="shared" si="142"/>
        <v>*0.89</v>
      </c>
      <c r="AG1133" s="43" t="str">
        <f t="shared" si="144"/>
        <v>REZoning_Sol-Win</v>
      </c>
      <c r="AI1133" s="33" t="s">
        <v>2007</v>
      </c>
      <c r="AJ1133" s="44" t="s">
        <v>57</v>
      </c>
      <c r="AK1133" s="33">
        <v>2050</v>
      </c>
      <c r="AL1133" s="45" t="str">
        <f t="shared" si="143"/>
        <v>*0.84</v>
      </c>
      <c r="AM1133" s="43" t="str">
        <f t="shared" si="145"/>
        <v>REZoning_Sol-Win</v>
      </c>
      <c r="AP1133" t="s">
        <v>2007</v>
      </c>
      <c r="AQ1133" t="s">
        <v>57</v>
      </c>
      <c r="AR1133">
        <v>2100</v>
      </c>
      <c r="AS1133" t="s">
        <v>919</v>
      </c>
      <c r="AT1133" t="s">
        <v>58</v>
      </c>
    </row>
    <row r="1134" ht="29" spans="1:46">
      <c r="A1134" s="31" t="s">
        <v>73</v>
      </c>
      <c r="C1134" t="s">
        <v>2008</v>
      </c>
      <c r="D1134" s="5" t="s">
        <v>57</v>
      </c>
      <c r="E1134">
        <v>2035</v>
      </c>
      <c r="F1134" s="6" t="str">
        <f t="shared" si="138"/>
        <v>*0.95</v>
      </c>
      <c r="H1134" t="s">
        <v>2008</v>
      </c>
      <c r="I1134" s="5" t="s">
        <v>57</v>
      </c>
      <c r="J1134">
        <v>2050</v>
      </c>
      <c r="K1134" s="38" t="str">
        <f t="shared" si="139"/>
        <v>*0.93</v>
      </c>
      <c r="P1134" s="32" t="s">
        <v>2008</v>
      </c>
      <c r="Q1134" s="42" t="s">
        <v>57</v>
      </c>
      <c r="R1134" s="32">
        <v>2035</v>
      </c>
      <c r="S1134" s="43" t="str">
        <f t="shared" si="140"/>
        <v>*0.95</v>
      </c>
      <c r="U1134" s="32" t="s">
        <v>2008</v>
      </c>
      <c r="V1134" s="42" t="s">
        <v>57</v>
      </c>
      <c r="W1134" s="32">
        <v>2050</v>
      </c>
      <c r="X1134" s="43" t="str">
        <f t="shared" si="141"/>
        <v>*0.93</v>
      </c>
      <c r="AC1134" s="33" t="s">
        <v>2008</v>
      </c>
      <c r="AD1134" s="44" t="s">
        <v>57</v>
      </c>
      <c r="AE1134" s="33">
        <v>2035</v>
      </c>
      <c r="AF1134" s="45" t="str">
        <f t="shared" si="142"/>
        <v>*0.93</v>
      </c>
      <c r="AG1134" s="43" t="str">
        <f t="shared" si="144"/>
        <v>REZoning_Sol-Win</v>
      </c>
      <c r="AI1134" s="33" t="s">
        <v>2008</v>
      </c>
      <c r="AJ1134" s="44" t="s">
        <v>57</v>
      </c>
      <c r="AK1134" s="33">
        <v>2050</v>
      </c>
      <c r="AL1134" s="45" t="str">
        <f t="shared" si="143"/>
        <v>*0.9</v>
      </c>
      <c r="AM1134" s="43" t="str">
        <f t="shared" si="145"/>
        <v>REZoning_Sol-Win</v>
      </c>
      <c r="AP1134" t="s">
        <v>2008</v>
      </c>
      <c r="AQ1134" t="s">
        <v>57</v>
      </c>
      <c r="AR1134">
        <v>2100</v>
      </c>
      <c r="AS1134" t="s">
        <v>897</v>
      </c>
      <c r="AT1134" t="s">
        <v>58</v>
      </c>
    </row>
    <row r="1135" ht="29" spans="1:46">
      <c r="A1135" s="31" t="s">
        <v>73</v>
      </c>
      <c r="C1135" t="s">
        <v>2009</v>
      </c>
      <c r="D1135" s="5" t="s">
        <v>57</v>
      </c>
      <c r="E1135">
        <v>2035</v>
      </c>
      <c r="F1135" s="6" t="str">
        <f t="shared" si="138"/>
        <v>*0.95</v>
      </c>
      <c r="H1135" t="s">
        <v>2009</v>
      </c>
      <c r="I1135" s="5" t="s">
        <v>57</v>
      </c>
      <c r="J1135">
        <v>2050</v>
      </c>
      <c r="K1135" s="38" t="str">
        <f t="shared" si="139"/>
        <v>*0.93</v>
      </c>
      <c r="P1135" s="32" t="s">
        <v>2009</v>
      </c>
      <c r="Q1135" s="42" t="s">
        <v>57</v>
      </c>
      <c r="R1135" s="32">
        <v>2035</v>
      </c>
      <c r="S1135" s="43" t="str">
        <f t="shared" si="140"/>
        <v>*0.95</v>
      </c>
      <c r="U1135" s="32" t="s">
        <v>2009</v>
      </c>
      <c r="V1135" s="42" t="s">
        <v>57</v>
      </c>
      <c r="W1135" s="32">
        <v>2050</v>
      </c>
      <c r="X1135" s="43" t="str">
        <f t="shared" si="141"/>
        <v>*0.93</v>
      </c>
      <c r="AC1135" s="33" t="s">
        <v>2009</v>
      </c>
      <c r="AD1135" s="44" t="s">
        <v>57</v>
      </c>
      <c r="AE1135" s="33">
        <v>2035</v>
      </c>
      <c r="AF1135" s="45" t="str">
        <f t="shared" si="142"/>
        <v>*0.93</v>
      </c>
      <c r="AG1135" s="43" t="str">
        <f t="shared" si="144"/>
        <v>REZoning_Sol-Win</v>
      </c>
      <c r="AI1135" s="33" t="s">
        <v>2009</v>
      </c>
      <c r="AJ1135" s="44" t="s">
        <v>57</v>
      </c>
      <c r="AK1135" s="33">
        <v>2050</v>
      </c>
      <c r="AL1135" s="45" t="str">
        <f t="shared" si="143"/>
        <v>*0.9</v>
      </c>
      <c r="AM1135" s="43" t="str">
        <f t="shared" si="145"/>
        <v>REZoning_Sol-Win</v>
      </c>
      <c r="AP1135" t="s">
        <v>2009</v>
      </c>
      <c r="AQ1135" t="s">
        <v>57</v>
      </c>
      <c r="AR1135">
        <v>2100</v>
      </c>
      <c r="AS1135" t="s">
        <v>897</v>
      </c>
      <c r="AT1135" t="s">
        <v>58</v>
      </c>
    </row>
    <row r="1136" ht="29" spans="1:46">
      <c r="A1136" s="31" t="s">
        <v>73</v>
      </c>
      <c r="C1136" t="s">
        <v>2010</v>
      </c>
      <c r="D1136" s="5" t="s">
        <v>57</v>
      </c>
      <c r="E1136">
        <v>2035</v>
      </c>
      <c r="F1136" s="6" t="str">
        <f t="shared" si="138"/>
        <v>*0.95</v>
      </c>
      <c r="H1136" t="s">
        <v>2010</v>
      </c>
      <c r="I1136" s="5" t="s">
        <v>57</v>
      </c>
      <c r="J1136">
        <v>2050</v>
      </c>
      <c r="K1136" s="38" t="str">
        <f t="shared" si="139"/>
        <v>*0.93</v>
      </c>
      <c r="P1136" s="32" t="s">
        <v>2010</v>
      </c>
      <c r="Q1136" s="42" t="s">
        <v>57</v>
      </c>
      <c r="R1136" s="32">
        <v>2035</v>
      </c>
      <c r="S1136" s="43" t="str">
        <f t="shared" si="140"/>
        <v>*0.95</v>
      </c>
      <c r="U1136" s="32" t="s">
        <v>2010</v>
      </c>
      <c r="V1136" s="42" t="s">
        <v>57</v>
      </c>
      <c r="W1136" s="32">
        <v>2050</v>
      </c>
      <c r="X1136" s="43" t="str">
        <f t="shared" si="141"/>
        <v>*0.93</v>
      </c>
      <c r="AC1136" s="33" t="s">
        <v>2010</v>
      </c>
      <c r="AD1136" s="44" t="s">
        <v>57</v>
      </c>
      <c r="AE1136" s="33">
        <v>2035</v>
      </c>
      <c r="AF1136" s="45" t="str">
        <f t="shared" si="142"/>
        <v>*0.93</v>
      </c>
      <c r="AG1136" s="43" t="str">
        <f t="shared" si="144"/>
        <v>REZoning_Sol-Win</v>
      </c>
      <c r="AI1136" s="33" t="s">
        <v>2010</v>
      </c>
      <c r="AJ1136" s="44" t="s">
        <v>57</v>
      </c>
      <c r="AK1136" s="33">
        <v>2050</v>
      </c>
      <c r="AL1136" s="45" t="str">
        <f t="shared" si="143"/>
        <v>*0.9</v>
      </c>
      <c r="AM1136" s="43" t="str">
        <f t="shared" si="145"/>
        <v>REZoning_Sol-Win</v>
      </c>
      <c r="AP1136" t="s">
        <v>2010</v>
      </c>
      <c r="AQ1136" t="s">
        <v>57</v>
      </c>
      <c r="AR1136">
        <v>2100</v>
      </c>
      <c r="AS1136" t="s">
        <v>897</v>
      </c>
      <c r="AT1136" t="s">
        <v>58</v>
      </c>
    </row>
    <row r="1137" ht="29" spans="1:46">
      <c r="A1137" s="31" t="s">
        <v>73</v>
      </c>
      <c r="C1137" t="s">
        <v>2011</v>
      </c>
      <c r="D1137" s="5" t="s">
        <v>57</v>
      </c>
      <c r="E1137">
        <v>2035</v>
      </c>
      <c r="F1137" s="6" t="str">
        <f t="shared" si="138"/>
        <v>*0.95</v>
      </c>
      <c r="H1137" t="s">
        <v>2011</v>
      </c>
      <c r="I1137" s="5" t="s">
        <v>57</v>
      </c>
      <c r="J1137">
        <v>2050</v>
      </c>
      <c r="K1137" s="38" t="str">
        <f t="shared" si="139"/>
        <v>*0.93</v>
      </c>
      <c r="P1137" s="32" t="s">
        <v>2011</v>
      </c>
      <c r="Q1137" s="42" t="s">
        <v>57</v>
      </c>
      <c r="R1137" s="32">
        <v>2035</v>
      </c>
      <c r="S1137" s="43" t="str">
        <f t="shared" si="140"/>
        <v>*0.95</v>
      </c>
      <c r="U1137" s="32" t="s">
        <v>2011</v>
      </c>
      <c r="V1137" s="42" t="s">
        <v>57</v>
      </c>
      <c r="W1137" s="32">
        <v>2050</v>
      </c>
      <c r="X1137" s="43" t="str">
        <f t="shared" si="141"/>
        <v>*0.93</v>
      </c>
      <c r="AC1137" s="33" t="s">
        <v>2011</v>
      </c>
      <c r="AD1137" s="44" t="s">
        <v>57</v>
      </c>
      <c r="AE1137" s="33">
        <v>2035</v>
      </c>
      <c r="AF1137" s="45" t="str">
        <f t="shared" si="142"/>
        <v>*0.93</v>
      </c>
      <c r="AG1137" s="43" t="str">
        <f t="shared" si="144"/>
        <v>REZoning_Sol-Win</v>
      </c>
      <c r="AI1137" s="33" t="s">
        <v>2011</v>
      </c>
      <c r="AJ1137" s="44" t="s">
        <v>57</v>
      </c>
      <c r="AK1137" s="33">
        <v>2050</v>
      </c>
      <c r="AL1137" s="45" t="str">
        <f t="shared" si="143"/>
        <v>*0.9</v>
      </c>
      <c r="AM1137" s="43" t="str">
        <f t="shared" si="145"/>
        <v>REZoning_Sol-Win</v>
      </c>
      <c r="AP1137" t="s">
        <v>2011</v>
      </c>
      <c r="AQ1137" t="s">
        <v>57</v>
      </c>
      <c r="AR1137">
        <v>2100</v>
      </c>
      <c r="AS1137" t="s">
        <v>897</v>
      </c>
      <c r="AT1137" t="s">
        <v>58</v>
      </c>
    </row>
    <row r="1138" ht="29" spans="1:46">
      <c r="A1138" s="31" t="s">
        <v>73</v>
      </c>
      <c r="C1138" t="s">
        <v>2012</v>
      </c>
      <c r="D1138" s="5" t="s">
        <v>57</v>
      </c>
      <c r="E1138">
        <v>2035</v>
      </c>
      <c r="F1138" s="6" t="str">
        <f t="shared" si="138"/>
        <v>*0.95</v>
      </c>
      <c r="H1138" t="s">
        <v>2012</v>
      </c>
      <c r="I1138" s="5" t="s">
        <v>57</v>
      </c>
      <c r="J1138">
        <v>2050</v>
      </c>
      <c r="K1138" s="38" t="str">
        <f t="shared" si="139"/>
        <v>*0.93</v>
      </c>
      <c r="P1138" s="32" t="s">
        <v>2012</v>
      </c>
      <c r="Q1138" s="42" t="s">
        <v>57</v>
      </c>
      <c r="R1138" s="32">
        <v>2035</v>
      </c>
      <c r="S1138" s="43" t="str">
        <f t="shared" si="140"/>
        <v>*0.95</v>
      </c>
      <c r="U1138" s="32" t="s">
        <v>2012</v>
      </c>
      <c r="V1138" s="42" t="s">
        <v>57</v>
      </c>
      <c r="W1138" s="32">
        <v>2050</v>
      </c>
      <c r="X1138" s="43" t="str">
        <f t="shared" si="141"/>
        <v>*0.93</v>
      </c>
      <c r="AC1138" s="33" t="s">
        <v>2012</v>
      </c>
      <c r="AD1138" s="44" t="s">
        <v>57</v>
      </c>
      <c r="AE1138" s="33">
        <v>2035</v>
      </c>
      <c r="AF1138" s="45" t="str">
        <f t="shared" si="142"/>
        <v>*0.93</v>
      </c>
      <c r="AG1138" s="43" t="str">
        <f t="shared" si="144"/>
        <v>REZoning_Sol-Win</v>
      </c>
      <c r="AI1138" s="33" t="s">
        <v>2012</v>
      </c>
      <c r="AJ1138" s="44" t="s">
        <v>57</v>
      </c>
      <c r="AK1138" s="33">
        <v>2050</v>
      </c>
      <c r="AL1138" s="45" t="str">
        <f t="shared" si="143"/>
        <v>*0.9</v>
      </c>
      <c r="AM1138" s="43" t="str">
        <f t="shared" si="145"/>
        <v>REZoning_Sol-Win</v>
      </c>
      <c r="AP1138" t="s">
        <v>2012</v>
      </c>
      <c r="AQ1138" t="s">
        <v>57</v>
      </c>
      <c r="AR1138">
        <v>2100</v>
      </c>
      <c r="AS1138" t="s">
        <v>897</v>
      </c>
      <c r="AT1138" t="s">
        <v>58</v>
      </c>
    </row>
    <row r="1139" ht="29" spans="1:46">
      <c r="A1139" s="31" t="s">
        <v>73</v>
      </c>
      <c r="C1139" t="s">
        <v>2013</v>
      </c>
      <c r="D1139" s="5" t="s">
        <v>57</v>
      </c>
      <c r="E1139">
        <v>2035</v>
      </c>
      <c r="F1139" s="6" t="str">
        <f t="shared" si="138"/>
        <v>*0.95</v>
      </c>
      <c r="H1139" t="s">
        <v>2013</v>
      </c>
      <c r="I1139" s="5" t="s">
        <v>57</v>
      </c>
      <c r="J1139">
        <v>2050</v>
      </c>
      <c r="K1139" s="38" t="str">
        <f t="shared" si="139"/>
        <v>*0.93</v>
      </c>
      <c r="P1139" s="32" t="s">
        <v>2013</v>
      </c>
      <c r="Q1139" s="42" t="s">
        <v>57</v>
      </c>
      <c r="R1139" s="32">
        <v>2035</v>
      </c>
      <c r="S1139" s="43" t="str">
        <f t="shared" si="140"/>
        <v>*0.95</v>
      </c>
      <c r="U1139" s="32" t="s">
        <v>2013</v>
      </c>
      <c r="V1139" s="42" t="s">
        <v>57</v>
      </c>
      <c r="W1139" s="32">
        <v>2050</v>
      </c>
      <c r="X1139" s="43" t="str">
        <f t="shared" si="141"/>
        <v>*0.93</v>
      </c>
      <c r="AC1139" s="33" t="s">
        <v>2013</v>
      </c>
      <c r="AD1139" s="44" t="s">
        <v>57</v>
      </c>
      <c r="AE1139" s="33">
        <v>2035</v>
      </c>
      <c r="AF1139" s="45" t="str">
        <f t="shared" si="142"/>
        <v>*0.93</v>
      </c>
      <c r="AG1139" s="43" t="str">
        <f t="shared" si="144"/>
        <v>REZoning_Sol-Win</v>
      </c>
      <c r="AI1139" s="33" t="s">
        <v>2013</v>
      </c>
      <c r="AJ1139" s="44" t="s">
        <v>57</v>
      </c>
      <c r="AK1139" s="33">
        <v>2050</v>
      </c>
      <c r="AL1139" s="45" t="str">
        <f t="shared" si="143"/>
        <v>*0.9</v>
      </c>
      <c r="AM1139" s="43" t="str">
        <f t="shared" si="145"/>
        <v>REZoning_Sol-Win</v>
      </c>
      <c r="AP1139" t="s">
        <v>2013</v>
      </c>
      <c r="AQ1139" t="s">
        <v>57</v>
      </c>
      <c r="AR1139">
        <v>2100</v>
      </c>
      <c r="AS1139" t="s">
        <v>897</v>
      </c>
      <c r="AT1139" t="s">
        <v>58</v>
      </c>
    </row>
    <row r="1140" ht="29" spans="1:46">
      <c r="A1140" s="31" t="s">
        <v>73</v>
      </c>
      <c r="C1140" t="s">
        <v>2014</v>
      </c>
      <c r="D1140" s="5" t="s">
        <v>57</v>
      </c>
      <c r="E1140">
        <v>2035</v>
      </c>
      <c r="F1140" s="6" t="str">
        <f t="shared" si="138"/>
        <v>*0.95</v>
      </c>
      <c r="H1140" t="s">
        <v>2014</v>
      </c>
      <c r="I1140" s="5" t="s">
        <v>57</v>
      </c>
      <c r="J1140">
        <v>2050</v>
      </c>
      <c r="K1140" s="38" t="str">
        <f t="shared" si="139"/>
        <v>*0.93</v>
      </c>
      <c r="P1140" s="32" t="s">
        <v>2014</v>
      </c>
      <c r="Q1140" s="42" t="s">
        <v>57</v>
      </c>
      <c r="R1140" s="32">
        <v>2035</v>
      </c>
      <c r="S1140" s="43" t="str">
        <f t="shared" si="140"/>
        <v>*0.95</v>
      </c>
      <c r="U1140" s="32" t="s">
        <v>2014</v>
      </c>
      <c r="V1140" s="42" t="s">
        <v>57</v>
      </c>
      <c r="W1140" s="32">
        <v>2050</v>
      </c>
      <c r="X1140" s="43" t="str">
        <f t="shared" si="141"/>
        <v>*0.93</v>
      </c>
      <c r="AC1140" s="33" t="s">
        <v>2014</v>
      </c>
      <c r="AD1140" s="44" t="s">
        <v>57</v>
      </c>
      <c r="AE1140" s="33">
        <v>2035</v>
      </c>
      <c r="AF1140" s="45" t="str">
        <f t="shared" si="142"/>
        <v>*0.93</v>
      </c>
      <c r="AG1140" s="43" t="str">
        <f t="shared" si="144"/>
        <v>REZoning_Sol-Win</v>
      </c>
      <c r="AI1140" s="33" t="s">
        <v>2014</v>
      </c>
      <c r="AJ1140" s="44" t="s">
        <v>57</v>
      </c>
      <c r="AK1140" s="33">
        <v>2050</v>
      </c>
      <c r="AL1140" s="45" t="str">
        <f t="shared" si="143"/>
        <v>*0.9</v>
      </c>
      <c r="AM1140" s="43" t="str">
        <f t="shared" si="145"/>
        <v>REZoning_Sol-Win</v>
      </c>
      <c r="AP1140" t="s">
        <v>2014</v>
      </c>
      <c r="AQ1140" t="s">
        <v>57</v>
      </c>
      <c r="AR1140">
        <v>2100</v>
      </c>
      <c r="AS1140" t="s">
        <v>897</v>
      </c>
      <c r="AT1140" t="s">
        <v>58</v>
      </c>
    </row>
    <row r="1141" ht="29" spans="1:46">
      <c r="A1141" s="31" t="s">
        <v>73</v>
      </c>
      <c r="C1141" t="s">
        <v>2015</v>
      </c>
      <c r="D1141" s="5" t="s">
        <v>57</v>
      </c>
      <c r="E1141">
        <v>2035</v>
      </c>
      <c r="F1141" s="6" t="str">
        <f t="shared" si="138"/>
        <v>*0.95</v>
      </c>
      <c r="H1141" t="s">
        <v>2015</v>
      </c>
      <c r="I1141" s="5" t="s">
        <v>57</v>
      </c>
      <c r="J1141">
        <v>2050</v>
      </c>
      <c r="K1141" s="38" t="str">
        <f t="shared" si="139"/>
        <v>*0.93</v>
      </c>
      <c r="P1141" s="32" t="s">
        <v>2015</v>
      </c>
      <c r="Q1141" s="42" t="s">
        <v>57</v>
      </c>
      <c r="R1141" s="32">
        <v>2035</v>
      </c>
      <c r="S1141" s="43" t="str">
        <f t="shared" si="140"/>
        <v>*0.95</v>
      </c>
      <c r="U1141" s="32" t="s">
        <v>2015</v>
      </c>
      <c r="V1141" s="42" t="s">
        <v>57</v>
      </c>
      <c r="W1141" s="32">
        <v>2050</v>
      </c>
      <c r="X1141" s="43" t="str">
        <f t="shared" si="141"/>
        <v>*0.93</v>
      </c>
      <c r="AC1141" s="33" t="s">
        <v>2015</v>
      </c>
      <c r="AD1141" s="44" t="s">
        <v>57</v>
      </c>
      <c r="AE1141" s="33">
        <v>2035</v>
      </c>
      <c r="AF1141" s="45" t="str">
        <f t="shared" si="142"/>
        <v>*0.93</v>
      </c>
      <c r="AG1141" s="43" t="str">
        <f t="shared" si="144"/>
        <v>REZoning_Sol-Win</v>
      </c>
      <c r="AI1141" s="33" t="s">
        <v>2015</v>
      </c>
      <c r="AJ1141" s="44" t="s">
        <v>57</v>
      </c>
      <c r="AK1141" s="33">
        <v>2050</v>
      </c>
      <c r="AL1141" s="45" t="str">
        <f t="shared" si="143"/>
        <v>*0.9</v>
      </c>
      <c r="AM1141" s="43" t="str">
        <f t="shared" si="145"/>
        <v>REZoning_Sol-Win</v>
      </c>
      <c r="AP1141" t="s">
        <v>2015</v>
      </c>
      <c r="AQ1141" t="s">
        <v>57</v>
      </c>
      <c r="AR1141">
        <v>2100</v>
      </c>
      <c r="AS1141" t="s">
        <v>897</v>
      </c>
      <c r="AT1141" t="s">
        <v>58</v>
      </c>
    </row>
    <row r="1142" ht="29" spans="1:46">
      <c r="A1142" s="31" t="s">
        <v>73</v>
      </c>
      <c r="C1142" t="s">
        <v>2016</v>
      </c>
      <c r="D1142" s="5" t="s">
        <v>57</v>
      </c>
      <c r="E1142">
        <v>2035</v>
      </c>
      <c r="F1142" s="6" t="str">
        <f t="shared" si="138"/>
        <v>*0.95</v>
      </c>
      <c r="H1142" t="s">
        <v>2016</v>
      </c>
      <c r="I1142" s="5" t="s">
        <v>57</v>
      </c>
      <c r="J1142">
        <v>2050</v>
      </c>
      <c r="K1142" s="38" t="str">
        <f t="shared" si="139"/>
        <v>*0.93</v>
      </c>
      <c r="P1142" s="32" t="s">
        <v>2016</v>
      </c>
      <c r="Q1142" s="42" t="s">
        <v>57</v>
      </c>
      <c r="R1142" s="32">
        <v>2035</v>
      </c>
      <c r="S1142" s="43" t="str">
        <f t="shared" si="140"/>
        <v>*0.95</v>
      </c>
      <c r="U1142" s="32" t="s">
        <v>2016</v>
      </c>
      <c r="V1142" s="42" t="s">
        <v>57</v>
      </c>
      <c r="W1142" s="32">
        <v>2050</v>
      </c>
      <c r="X1142" s="43" t="str">
        <f t="shared" si="141"/>
        <v>*0.93</v>
      </c>
      <c r="AC1142" s="33" t="s">
        <v>2016</v>
      </c>
      <c r="AD1142" s="44" t="s">
        <v>57</v>
      </c>
      <c r="AE1142" s="33">
        <v>2035</v>
      </c>
      <c r="AF1142" s="45" t="str">
        <f t="shared" si="142"/>
        <v>*0.93</v>
      </c>
      <c r="AG1142" s="43" t="str">
        <f t="shared" si="144"/>
        <v>REZoning_Sol-Win</v>
      </c>
      <c r="AI1142" s="33" t="s">
        <v>2016</v>
      </c>
      <c r="AJ1142" s="44" t="s">
        <v>57</v>
      </c>
      <c r="AK1142" s="33">
        <v>2050</v>
      </c>
      <c r="AL1142" s="45" t="str">
        <f t="shared" si="143"/>
        <v>*0.9</v>
      </c>
      <c r="AM1142" s="43" t="str">
        <f t="shared" si="145"/>
        <v>REZoning_Sol-Win</v>
      </c>
      <c r="AP1142" t="s">
        <v>2016</v>
      </c>
      <c r="AQ1142" t="s">
        <v>57</v>
      </c>
      <c r="AR1142">
        <v>2100</v>
      </c>
      <c r="AS1142" t="s">
        <v>897</v>
      </c>
      <c r="AT1142" t="s">
        <v>58</v>
      </c>
    </row>
    <row r="1143" ht="29" spans="1:46">
      <c r="A1143" s="31" t="s">
        <v>73</v>
      </c>
      <c r="C1143" t="s">
        <v>2017</v>
      </c>
      <c r="D1143" s="5" t="s">
        <v>57</v>
      </c>
      <c r="E1143">
        <v>2035</v>
      </c>
      <c r="F1143" s="6" t="str">
        <f t="shared" si="138"/>
        <v>*0.95</v>
      </c>
      <c r="H1143" t="s">
        <v>2017</v>
      </c>
      <c r="I1143" s="5" t="s">
        <v>57</v>
      </c>
      <c r="J1143">
        <v>2050</v>
      </c>
      <c r="K1143" s="38" t="str">
        <f t="shared" si="139"/>
        <v>*0.93</v>
      </c>
      <c r="P1143" s="32" t="s">
        <v>2017</v>
      </c>
      <c r="Q1143" s="42" t="s">
        <v>57</v>
      </c>
      <c r="R1143" s="32">
        <v>2035</v>
      </c>
      <c r="S1143" s="43" t="str">
        <f t="shared" si="140"/>
        <v>*0.95</v>
      </c>
      <c r="U1143" s="32" t="s">
        <v>2017</v>
      </c>
      <c r="V1143" s="42" t="s">
        <v>57</v>
      </c>
      <c r="W1143" s="32">
        <v>2050</v>
      </c>
      <c r="X1143" s="43" t="str">
        <f t="shared" si="141"/>
        <v>*0.93</v>
      </c>
      <c r="AC1143" s="33" t="s">
        <v>2017</v>
      </c>
      <c r="AD1143" s="44" t="s">
        <v>57</v>
      </c>
      <c r="AE1143" s="33">
        <v>2035</v>
      </c>
      <c r="AF1143" s="45" t="str">
        <f t="shared" si="142"/>
        <v>*0.93</v>
      </c>
      <c r="AG1143" s="43" t="str">
        <f t="shared" si="144"/>
        <v>REZoning_Sol-Win</v>
      </c>
      <c r="AI1143" s="33" t="s">
        <v>2017</v>
      </c>
      <c r="AJ1143" s="44" t="s">
        <v>57</v>
      </c>
      <c r="AK1143" s="33">
        <v>2050</v>
      </c>
      <c r="AL1143" s="45" t="str">
        <f t="shared" si="143"/>
        <v>*0.9</v>
      </c>
      <c r="AM1143" s="43" t="str">
        <f t="shared" si="145"/>
        <v>REZoning_Sol-Win</v>
      </c>
      <c r="AP1143" t="s">
        <v>2017</v>
      </c>
      <c r="AQ1143" t="s">
        <v>57</v>
      </c>
      <c r="AR1143">
        <v>2100</v>
      </c>
      <c r="AS1143" t="s">
        <v>897</v>
      </c>
      <c r="AT1143" t="s">
        <v>58</v>
      </c>
    </row>
    <row r="1144" ht="29" spans="1:46">
      <c r="A1144" s="31" t="s">
        <v>73</v>
      </c>
      <c r="C1144" t="s">
        <v>2018</v>
      </c>
      <c r="D1144" s="5" t="s">
        <v>57</v>
      </c>
      <c r="E1144">
        <v>2035</v>
      </c>
      <c r="F1144" s="6" t="str">
        <f t="shared" si="138"/>
        <v>*0.95</v>
      </c>
      <c r="H1144" t="s">
        <v>2018</v>
      </c>
      <c r="I1144" s="5" t="s">
        <v>57</v>
      </c>
      <c r="J1144">
        <v>2050</v>
      </c>
      <c r="K1144" s="38" t="str">
        <f t="shared" si="139"/>
        <v>*0.93</v>
      </c>
      <c r="P1144" s="32" t="s">
        <v>2018</v>
      </c>
      <c r="Q1144" s="42" t="s">
        <v>57</v>
      </c>
      <c r="R1144" s="32">
        <v>2035</v>
      </c>
      <c r="S1144" s="43" t="str">
        <f t="shared" si="140"/>
        <v>*0.95</v>
      </c>
      <c r="U1144" s="32" t="s">
        <v>2018</v>
      </c>
      <c r="V1144" s="42" t="s">
        <v>57</v>
      </c>
      <c r="W1144" s="32">
        <v>2050</v>
      </c>
      <c r="X1144" s="43" t="str">
        <f t="shared" si="141"/>
        <v>*0.93</v>
      </c>
      <c r="AC1144" s="33" t="s">
        <v>2018</v>
      </c>
      <c r="AD1144" s="44" t="s">
        <v>57</v>
      </c>
      <c r="AE1144" s="33">
        <v>2035</v>
      </c>
      <c r="AF1144" s="45" t="str">
        <f t="shared" si="142"/>
        <v>*0.93</v>
      </c>
      <c r="AG1144" s="43" t="str">
        <f t="shared" si="144"/>
        <v>REZoning_Sol-Win</v>
      </c>
      <c r="AI1144" s="33" t="s">
        <v>2018</v>
      </c>
      <c r="AJ1144" s="44" t="s">
        <v>57</v>
      </c>
      <c r="AK1144" s="33">
        <v>2050</v>
      </c>
      <c r="AL1144" s="45" t="str">
        <f t="shared" si="143"/>
        <v>*0.9</v>
      </c>
      <c r="AM1144" s="43" t="str">
        <f t="shared" si="145"/>
        <v>REZoning_Sol-Win</v>
      </c>
      <c r="AP1144" t="s">
        <v>2018</v>
      </c>
      <c r="AQ1144" t="s">
        <v>57</v>
      </c>
      <c r="AR1144">
        <v>2100</v>
      </c>
      <c r="AS1144" t="s">
        <v>897</v>
      </c>
      <c r="AT1144" t="s">
        <v>58</v>
      </c>
    </row>
    <row r="1145" ht="29" spans="1:46">
      <c r="A1145" s="31" t="s">
        <v>73</v>
      </c>
      <c r="C1145" t="s">
        <v>2019</v>
      </c>
      <c r="D1145" s="5" t="s">
        <v>57</v>
      </c>
      <c r="E1145">
        <v>2035</v>
      </c>
      <c r="F1145" s="6" t="str">
        <f t="shared" si="138"/>
        <v>*0.95</v>
      </c>
      <c r="H1145" t="s">
        <v>2019</v>
      </c>
      <c r="I1145" s="5" t="s">
        <v>57</v>
      </c>
      <c r="J1145">
        <v>2050</v>
      </c>
      <c r="K1145" s="38" t="str">
        <f t="shared" si="139"/>
        <v>*0.93</v>
      </c>
      <c r="P1145" s="32" t="s">
        <v>2019</v>
      </c>
      <c r="Q1145" s="42" t="s">
        <v>57</v>
      </c>
      <c r="R1145" s="32">
        <v>2035</v>
      </c>
      <c r="S1145" s="43" t="str">
        <f t="shared" si="140"/>
        <v>*0.95</v>
      </c>
      <c r="U1145" s="32" t="s">
        <v>2019</v>
      </c>
      <c r="V1145" s="42" t="s">
        <v>57</v>
      </c>
      <c r="W1145" s="32">
        <v>2050</v>
      </c>
      <c r="X1145" s="43" t="str">
        <f t="shared" si="141"/>
        <v>*0.93</v>
      </c>
      <c r="AC1145" s="33" t="s">
        <v>2019</v>
      </c>
      <c r="AD1145" s="44" t="s">
        <v>57</v>
      </c>
      <c r="AE1145" s="33">
        <v>2035</v>
      </c>
      <c r="AF1145" s="45" t="str">
        <f t="shared" si="142"/>
        <v>*0.93</v>
      </c>
      <c r="AG1145" s="43" t="str">
        <f t="shared" si="144"/>
        <v>REZoning_Sol-Win</v>
      </c>
      <c r="AI1145" s="33" t="s">
        <v>2019</v>
      </c>
      <c r="AJ1145" s="44" t="s">
        <v>57</v>
      </c>
      <c r="AK1145" s="33">
        <v>2050</v>
      </c>
      <c r="AL1145" s="45" t="str">
        <f t="shared" si="143"/>
        <v>*0.9</v>
      </c>
      <c r="AM1145" s="43" t="str">
        <f t="shared" si="145"/>
        <v>REZoning_Sol-Win</v>
      </c>
      <c r="AP1145" t="s">
        <v>2019</v>
      </c>
      <c r="AQ1145" t="s">
        <v>57</v>
      </c>
      <c r="AR1145">
        <v>2100</v>
      </c>
      <c r="AS1145" t="s">
        <v>897</v>
      </c>
      <c r="AT1145" t="s">
        <v>58</v>
      </c>
    </row>
    <row r="1146" ht="29" spans="1:46">
      <c r="A1146" s="31" t="s">
        <v>73</v>
      </c>
      <c r="C1146" t="s">
        <v>2020</v>
      </c>
      <c r="D1146" s="5" t="s">
        <v>57</v>
      </c>
      <c r="E1146">
        <v>2035</v>
      </c>
      <c r="F1146" s="6" t="str">
        <f t="shared" si="138"/>
        <v>*0.95</v>
      </c>
      <c r="H1146" t="s">
        <v>2020</v>
      </c>
      <c r="I1146" s="5" t="s">
        <v>57</v>
      </c>
      <c r="J1146">
        <v>2050</v>
      </c>
      <c r="K1146" s="38" t="str">
        <f t="shared" si="139"/>
        <v>*0.93</v>
      </c>
      <c r="P1146" s="32" t="s">
        <v>2020</v>
      </c>
      <c r="Q1146" s="42" t="s">
        <v>57</v>
      </c>
      <c r="R1146" s="32">
        <v>2035</v>
      </c>
      <c r="S1146" s="43" t="str">
        <f t="shared" si="140"/>
        <v>*0.95</v>
      </c>
      <c r="U1146" s="32" t="s">
        <v>2020</v>
      </c>
      <c r="V1146" s="42" t="s">
        <v>57</v>
      </c>
      <c r="W1146" s="32">
        <v>2050</v>
      </c>
      <c r="X1146" s="43" t="str">
        <f t="shared" si="141"/>
        <v>*0.93</v>
      </c>
      <c r="AC1146" s="33" t="s">
        <v>2020</v>
      </c>
      <c r="AD1146" s="44" t="s">
        <v>57</v>
      </c>
      <c r="AE1146" s="33">
        <v>2035</v>
      </c>
      <c r="AF1146" s="45" t="str">
        <f t="shared" si="142"/>
        <v>*0.93</v>
      </c>
      <c r="AG1146" s="43" t="str">
        <f t="shared" si="144"/>
        <v>REZoning_Sol-Win</v>
      </c>
      <c r="AI1146" s="33" t="s">
        <v>2020</v>
      </c>
      <c r="AJ1146" s="44" t="s">
        <v>57</v>
      </c>
      <c r="AK1146" s="33">
        <v>2050</v>
      </c>
      <c r="AL1146" s="45" t="str">
        <f t="shared" si="143"/>
        <v>*0.9</v>
      </c>
      <c r="AM1146" s="43" t="str">
        <f t="shared" si="145"/>
        <v>REZoning_Sol-Win</v>
      </c>
      <c r="AP1146" t="s">
        <v>2020</v>
      </c>
      <c r="AQ1146" t="s">
        <v>57</v>
      </c>
      <c r="AR1146">
        <v>2100</v>
      </c>
      <c r="AS1146" t="s">
        <v>897</v>
      </c>
      <c r="AT1146" t="s">
        <v>58</v>
      </c>
    </row>
    <row r="1147" ht="29" spans="1:46">
      <c r="A1147" s="31" t="s">
        <v>73</v>
      </c>
      <c r="C1147" t="s">
        <v>2021</v>
      </c>
      <c r="D1147" s="5" t="s">
        <v>57</v>
      </c>
      <c r="E1147">
        <v>2035</v>
      </c>
      <c r="F1147" s="6" t="str">
        <f t="shared" si="138"/>
        <v>*0.95</v>
      </c>
      <c r="H1147" t="s">
        <v>2021</v>
      </c>
      <c r="I1147" s="5" t="s">
        <v>57</v>
      </c>
      <c r="J1147">
        <v>2050</v>
      </c>
      <c r="K1147" s="38" t="str">
        <f t="shared" si="139"/>
        <v>*0.93</v>
      </c>
      <c r="P1147" s="32" t="s">
        <v>2021</v>
      </c>
      <c r="Q1147" s="42" t="s">
        <v>57</v>
      </c>
      <c r="R1147" s="32">
        <v>2035</v>
      </c>
      <c r="S1147" s="43" t="str">
        <f t="shared" si="140"/>
        <v>*0.95</v>
      </c>
      <c r="U1147" s="32" t="s">
        <v>2021</v>
      </c>
      <c r="V1147" s="42" t="s">
        <v>57</v>
      </c>
      <c r="W1147" s="32">
        <v>2050</v>
      </c>
      <c r="X1147" s="43" t="str">
        <f t="shared" si="141"/>
        <v>*0.93</v>
      </c>
      <c r="AC1147" s="33" t="s">
        <v>2021</v>
      </c>
      <c r="AD1147" s="44" t="s">
        <v>57</v>
      </c>
      <c r="AE1147" s="33">
        <v>2035</v>
      </c>
      <c r="AF1147" s="45" t="str">
        <f t="shared" si="142"/>
        <v>*0.93</v>
      </c>
      <c r="AG1147" s="43" t="str">
        <f t="shared" si="144"/>
        <v>REZoning_Sol-Win</v>
      </c>
      <c r="AI1147" s="33" t="s">
        <v>2021</v>
      </c>
      <c r="AJ1147" s="44" t="s">
        <v>57</v>
      </c>
      <c r="AK1147" s="33">
        <v>2050</v>
      </c>
      <c r="AL1147" s="45" t="str">
        <f t="shared" si="143"/>
        <v>*0.9</v>
      </c>
      <c r="AM1147" s="43" t="str">
        <f t="shared" si="145"/>
        <v>REZoning_Sol-Win</v>
      </c>
      <c r="AP1147" t="s">
        <v>2021</v>
      </c>
      <c r="AQ1147" t="s">
        <v>57</v>
      </c>
      <c r="AR1147">
        <v>2100</v>
      </c>
      <c r="AS1147" t="s">
        <v>897</v>
      </c>
      <c r="AT1147" t="s">
        <v>58</v>
      </c>
    </row>
    <row r="1148" ht="29" spans="1:46">
      <c r="A1148" s="31" t="s">
        <v>73</v>
      </c>
      <c r="C1148" t="s">
        <v>2022</v>
      </c>
      <c r="D1148" s="5" t="s">
        <v>57</v>
      </c>
      <c r="E1148">
        <v>2035</v>
      </c>
      <c r="F1148" s="6" t="str">
        <f t="shared" si="138"/>
        <v>*0.95</v>
      </c>
      <c r="H1148" t="s">
        <v>2022</v>
      </c>
      <c r="I1148" s="5" t="s">
        <v>57</v>
      </c>
      <c r="J1148">
        <v>2050</v>
      </c>
      <c r="K1148" s="38" t="str">
        <f t="shared" si="139"/>
        <v>*0.93</v>
      </c>
      <c r="P1148" s="32" t="s">
        <v>2022</v>
      </c>
      <c r="Q1148" s="42" t="s">
        <v>57</v>
      </c>
      <c r="R1148" s="32">
        <v>2035</v>
      </c>
      <c r="S1148" s="43" t="str">
        <f t="shared" si="140"/>
        <v>*0.95</v>
      </c>
      <c r="U1148" s="32" t="s">
        <v>2022</v>
      </c>
      <c r="V1148" s="42" t="s">
        <v>57</v>
      </c>
      <c r="W1148" s="32">
        <v>2050</v>
      </c>
      <c r="X1148" s="43" t="str">
        <f t="shared" si="141"/>
        <v>*0.93</v>
      </c>
      <c r="AC1148" s="33" t="s">
        <v>2022</v>
      </c>
      <c r="AD1148" s="44" t="s">
        <v>57</v>
      </c>
      <c r="AE1148" s="33">
        <v>2035</v>
      </c>
      <c r="AF1148" s="45" t="str">
        <f t="shared" si="142"/>
        <v>*0.93</v>
      </c>
      <c r="AG1148" s="43" t="str">
        <f t="shared" si="144"/>
        <v>REZoning_Sol-Win</v>
      </c>
      <c r="AI1148" s="33" t="s">
        <v>2022</v>
      </c>
      <c r="AJ1148" s="44" t="s">
        <v>57</v>
      </c>
      <c r="AK1148" s="33">
        <v>2050</v>
      </c>
      <c r="AL1148" s="45" t="str">
        <f t="shared" si="143"/>
        <v>*0.9</v>
      </c>
      <c r="AM1148" s="43" t="str">
        <f t="shared" si="145"/>
        <v>REZoning_Sol-Win</v>
      </c>
      <c r="AP1148" t="s">
        <v>2022</v>
      </c>
      <c r="AQ1148" t="s">
        <v>57</v>
      </c>
      <c r="AR1148">
        <v>2100</v>
      </c>
      <c r="AS1148" t="s">
        <v>897</v>
      </c>
      <c r="AT1148" t="s">
        <v>58</v>
      </c>
    </row>
    <row r="1149" ht="29" spans="1:46">
      <c r="A1149" s="31" t="s">
        <v>73</v>
      </c>
      <c r="C1149" t="s">
        <v>2023</v>
      </c>
      <c r="D1149" s="5" t="s">
        <v>57</v>
      </c>
      <c r="E1149">
        <v>2035</v>
      </c>
      <c r="F1149" s="6" t="str">
        <f t="shared" si="138"/>
        <v>*0.95</v>
      </c>
      <c r="H1149" t="s">
        <v>2023</v>
      </c>
      <c r="I1149" s="5" t="s">
        <v>57</v>
      </c>
      <c r="J1149">
        <v>2050</v>
      </c>
      <c r="K1149" s="38" t="str">
        <f t="shared" si="139"/>
        <v>*0.93</v>
      </c>
      <c r="P1149" s="32" t="s">
        <v>2023</v>
      </c>
      <c r="Q1149" s="42" t="s">
        <v>57</v>
      </c>
      <c r="R1149" s="32">
        <v>2035</v>
      </c>
      <c r="S1149" s="43" t="str">
        <f t="shared" si="140"/>
        <v>*0.95</v>
      </c>
      <c r="U1149" s="32" t="s">
        <v>2023</v>
      </c>
      <c r="V1149" s="42" t="s">
        <v>57</v>
      </c>
      <c r="W1149" s="32">
        <v>2050</v>
      </c>
      <c r="X1149" s="43" t="str">
        <f t="shared" si="141"/>
        <v>*0.93</v>
      </c>
      <c r="AC1149" s="33" t="s">
        <v>2023</v>
      </c>
      <c r="AD1149" s="44" t="s">
        <v>57</v>
      </c>
      <c r="AE1149" s="33">
        <v>2035</v>
      </c>
      <c r="AF1149" s="45" t="str">
        <f t="shared" si="142"/>
        <v>*0.93</v>
      </c>
      <c r="AG1149" s="43" t="str">
        <f t="shared" si="144"/>
        <v>REZoning_Sol-Win</v>
      </c>
      <c r="AI1149" s="33" t="s">
        <v>2023</v>
      </c>
      <c r="AJ1149" s="44" t="s">
        <v>57</v>
      </c>
      <c r="AK1149" s="33">
        <v>2050</v>
      </c>
      <c r="AL1149" s="45" t="str">
        <f t="shared" si="143"/>
        <v>*0.9</v>
      </c>
      <c r="AM1149" s="43" t="str">
        <f t="shared" si="145"/>
        <v>REZoning_Sol-Win</v>
      </c>
      <c r="AP1149" t="s">
        <v>2023</v>
      </c>
      <c r="AQ1149" t="s">
        <v>57</v>
      </c>
      <c r="AR1149">
        <v>2100</v>
      </c>
      <c r="AS1149" t="s">
        <v>897</v>
      </c>
      <c r="AT1149" t="s">
        <v>58</v>
      </c>
    </row>
    <row r="1150" ht="29" spans="1:46">
      <c r="A1150" s="31" t="s">
        <v>73</v>
      </c>
      <c r="C1150" t="s">
        <v>2024</v>
      </c>
      <c r="D1150" s="5" t="s">
        <v>57</v>
      </c>
      <c r="E1150">
        <v>2035</v>
      </c>
      <c r="F1150" s="6" t="str">
        <f t="shared" si="138"/>
        <v>*0.95</v>
      </c>
      <c r="H1150" t="s">
        <v>2024</v>
      </c>
      <c r="I1150" s="5" t="s">
        <v>57</v>
      </c>
      <c r="J1150">
        <v>2050</v>
      </c>
      <c r="K1150" s="38" t="str">
        <f t="shared" si="139"/>
        <v>*0.93</v>
      </c>
      <c r="P1150" s="32" t="s">
        <v>2024</v>
      </c>
      <c r="Q1150" s="42" t="s">
        <v>57</v>
      </c>
      <c r="R1150" s="32">
        <v>2035</v>
      </c>
      <c r="S1150" s="43" t="str">
        <f t="shared" si="140"/>
        <v>*0.95</v>
      </c>
      <c r="U1150" s="32" t="s">
        <v>2024</v>
      </c>
      <c r="V1150" s="42" t="s">
        <v>57</v>
      </c>
      <c r="W1150" s="32">
        <v>2050</v>
      </c>
      <c r="X1150" s="43" t="str">
        <f t="shared" si="141"/>
        <v>*0.93</v>
      </c>
      <c r="AC1150" s="33" t="s">
        <v>2024</v>
      </c>
      <c r="AD1150" s="44" t="s">
        <v>57</v>
      </c>
      <c r="AE1150" s="33">
        <v>2035</v>
      </c>
      <c r="AF1150" s="45" t="str">
        <f t="shared" si="142"/>
        <v>*0.93</v>
      </c>
      <c r="AG1150" s="43" t="str">
        <f t="shared" si="144"/>
        <v>REZoning_Sol-Win</v>
      </c>
      <c r="AI1150" s="33" t="s">
        <v>2024</v>
      </c>
      <c r="AJ1150" s="44" t="s">
        <v>57</v>
      </c>
      <c r="AK1150" s="33">
        <v>2050</v>
      </c>
      <c r="AL1150" s="45" t="str">
        <f t="shared" si="143"/>
        <v>*0.9</v>
      </c>
      <c r="AM1150" s="43" t="str">
        <f t="shared" si="145"/>
        <v>REZoning_Sol-Win</v>
      </c>
      <c r="AP1150" t="s">
        <v>2024</v>
      </c>
      <c r="AQ1150" t="s">
        <v>57</v>
      </c>
      <c r="AR1150">
        <v>2100</v>
      </c>
      <c r="AS1150" t="s">
        <v>897</v>
      </c>
      <c r="AT1150" t="s">
        <v>58</v>
      </c>
    </row>
    <row r="1151" ht="29" spans="1:46">
      <c r="A1151" s="31" t="s">
        <v>73</v>
      </c>
      <c r="C1151" t="s">
        <v>2025</v>
      </c>
      <c r="D1151" s="5" t="s">
        <v>57</v>
      </c>
      <c r="E1151">
        <v>2035</v>
      </c>
      <c r="F1151" s="6" t="str">
        <f t="shared" si="138"/>
        <v>*0.95</v>
      </c>
      <c r="H1151" t="s">
        <v>2025</v>
      </c>
      <c r="I1151" s="5" t="s">
        <v>57</v>
      </c>
      <c r="J1151">
        <v>2050</v>
      </c>
      <c r="K1151" s="38" t="str">
        <f t="shared" si="139"/>
        <v>*0.93</v>
      </c>
      <c r="P1151" s="32" t="s">
        <v>2025</v>
      </c>
      <c r="Q1151" s="42" t="s">
        <v>57</v>
      </c>
      <c r="R1151" s="32">
        <v>2035</v>
      </c>
      <c r="S1151" s="43" t="str">
        <f t="shared" si="140"/>
        <v>*0.95</v>
      </c>
      <c r="U1151" s="32" t="s">
        <v>2025</v>
      </c>
      <c r="V1151" s="42" t="s">
        <v>57</v>
      </c>
      <c r="W1151" s="32">
        <v>2050</v>
      </c>
      <c r="X1151" s="43" t="str">
        <f t="shared" si="141"/>
        <v>*0.93</v>
      </c>
      <c r="AC1151" s="33" t="s">
        <v>2025</v>
      </c>
      <c r="AD1151" s="44" t="s">
        <v>57</v>
      </c>
      <c r="AE1151" s="33">
        <v>2035</v>
      </c>
      <c r="AF1151" s="45" t="str">
        <f t="shared" si="142"/>
        <v>*0.93</v>
      </c>
      <c r="AG1151" s="43" t="str">
        <f t="shared" si="144"/>
        <v>REZoning_Sol-Win</v>
      </c>
      <c r="AI1151" s="33" t="s">
        <v>2025</v>
      </c>
      <c r="AJ1151" s="44" t="s">
        <v>57</v>
      </c>
      <c r="AK1151" s="33">
        <v>2050</v>
      </c>
      <c r="AL1151" s="45" t="str">
        <f t="shared" si="143"/>
        <v>*0.9</v>
      </c>
      <c r="AM1151" s="43" t="str">
        <f t="shared" si="145"/>
        <v>REZoning_Sol-Win</v>
      </c>
      <c r="AP1151" t="s">
        <v>2025</v>
      </c>
      <c r="AQ1151" t="s">
        <v>57</v>
      </c>
      <c r="AR1151">
        <v>2100</v>
      </c>
      <c r="AS1151" t="s">
        <v>897</v>
      </c>
      <c r="AT1151" t="s">
        <v>58</v>
      </c>
    </row>
    <row r="1152" ht="29" spans="1:46">
      <c r="A1152" s="31" t="s">
        <v>73</v>
      </c>
      <c r="C1152" t="s">
        <v>2026</v>
      </c>
      <c r="D1152" s="5" t="s">
        <v>57</v>
      </c>
      <c r="E1152">
        <v>2035</v>
      </c>
      <c r="F1152" s="6" t="str">
        <f t="shared" si="138"/>
        <v>*0.95</v>
      </c>
      <c r="H1152" t="s">
        <v>2026</v>
      </c>
      <c r="I1152" s="5" t="s">
        <v>57</v>
      </c>
      <c r="J1152">
        <v>2050</v>
      </c>
      <c r="K1152" s="38" t="str">
        <f t="shared" si="139"/>
        <v>*0.93</v>
      </c>
      <c r="P1152" s="32" t="s">
        <v>2026</v>
      </c>
      <c r="Q1152" s="42" t="s">
        <v>57</v>
      </c>
      <c r="R1152" s="32">
        <v>2035</v>
      </c>
      <c r="S1152" s="43" t="str">
        <f t="shared" si="140"/>
        <v>*0.95</v>
      </c>
      <c r="U1152" s="32" t="s">
        <v>2026</v>
      </c>
      <c r="V1152" s="42" t="s">
        <v>57</v>
      </c>
      <c r="W1152" s="32">
        <v>2050</v>
      </c>
      <c r="X1152" s="43" t="str">
        <f t="shared" si="141"/>
        <v>*0.93</v>
      </c>
      <c r="AC1152" s="33" t="s">
        <v>2026</v>
      </c>
      <c r="AD1152" s="44" t="s">
        <v>57</v>
      </c>
      <c r="AE1152" s="33">
        <v>2035</v>
      </c>
      <c r="AF1152" s="45" t="str">
        <f t="shared" si="142"/>
        <v>*0.93</v>
      </c>
      <c r="AG1152" s="43" t="str">
        <f t="shared" si="144"/>
        <v>REZoning_Sol-Win</v>
      </c>
      <c r="AI1152" s="33" t="s">
        <v>2026</v>
      </c>
      <c r="AJ1152" s="44" t="s">
        <v>57</v>
      </c>
      <c r="AK1152" s="33">
        <v>2050</v>
      </c>
      <c r="AL1152" s="45" t="str">
        <f t="shared" si="143"/>
        <v>*0.9</v>
      </c>
      <c r="AM1152" s="43" t="str">
        <f t="shared" si="145"/>
        <v>REZoning_Sol-Win</v>
      </c>
      <c r="AP1152" t="s">
        <v>2026</v>
      </c>
      <c r="AQ1152" t="s">
        <v>57</v>
      </c>
      <c r="AR1152">
        <v>2100</v>
      </c>
      <c r="AS1152" t="s">
        <v>897</v>
      </c>
      <c r="AT1152" t="s">
        <v>58</v>
      </c>
    </row>
    <row r="1153" ht="29" spans="1:46">
      <c r="A1153" s="31" t="s">
        <v>73</v>
      </c>
      <c r="C1153" t="s">
        <v>2027</v>
      </c>
      <c r="D1153" s="5" t="s">
        <v>57</v>
      </c>
      <c r="E1153">
        <v>2035</v>
      </c>
      <c r="F1153" s="6" t="str">
        <f t="shared" si="138"/>
        <v>*0.95</v>
      </c>
      <c r="H1153" t="s">
        <v>2027</v>
      </c>
      <c r="I1153" s="5" t="s">
        <v>57</v>
      </c>
      <c r="J1153">
        <v>2050</v>
      </c>
      <c r="K1153" s="38" t="str">
        <f t="shared" si="139"/>
        <v>*0.93</v>
      </c>
      <c r="P1153" s="32" t="s">
        <v>2027</v>
      </c>
      <c r="Q1153" s="42" t="s">
        <v>57</v>
      </c>
      <c r="R1153" s="32">
        <v>2035</v>
      </c>
      <c r="S1153" s="43" t="str">
        <f t="shared" si="140"/>
        <v>*0.95</v>
      </c>
      <c r="U1153" s="32" t="s">
        <v>2027</v>
      </c>
      <c r="V1153" s="42" t="s">
        <v>57</v>
      </c>
      <c r="W1153" s="32">
        <v>2050</v>
      </c>
      <c r="X1153" s="43" t="str">
        <f t="shared" si="141"/>
        <v>*0.93</v>
      </c>
      <c r="AC1153" s="33" t="s">
        <v>2027</v>
      </c>
      <c r="AD1153" s="44" t="s">
        <v>57</v>
      </c>
      <c r="AE1153" s="33">
        <v>2035</v>
      </c>
      <c r="AF1153" s="45" t="str">
        <f t="shared" si="142"/>
        <v>*0.93</v>
      </c>
      <c r="AG1153" s="43" t="str">
        <f t="shared" si="144"/>
        <v>REZoning_Sol-Win</v>
      </c>
      <c r="AI1153" s="33" t="s">
        <v>2027</v>
      </c>
      <c r="AJ1153" s="44" t="s">
        <v>57</v>
      </c>
      <c r="AK1153" s="33">
        <v>2050</v>
      </c>
      <c r="AL1153" s="45" t="str">
        <f t="shared" si="143"/>
        <v>*0.9</v>
      </c>
      <c r="AM1153" s="43" t="str">
        <f t="shared" si="145"/>
        <v>REZoning_Sol-Win</v>
      </c>
      <c r="AP1153" t="s">
        <v>2027</v>
      </c>
      <c r="AQ1153" t="s">
        <v>57</v>
      </c>
      <c r="AR1153">
        <v>2100</v>
      </c>
      <c r="AS1153" t="s">
        <v>897</v>
      </c>
      <c r="AT1153" t="s">
        <v>58</v>
      </c>
    </row>
    <row r="1154" ht="29" spans="1:46">
      <c r="A1154" s="31" t="s">
        <v>73</v>
      </c>
      <c r="C1154" t="s">
        <v>2028</v>
      </c>
      <c r="D1154" s="5" t="s">
        <v>57</v>
      </c>
      <c r="E1154">
        <v>2035</v>
      </c>
      <c r="F1154" s="6" t="str">
        <f t="shared" si="138"/>
        <v>*0.95</v>
      </c>
      <c r="H1154" t="s">
        <v>2028</v>
      </c>
      <c r="I1154" s="5" t="s">
        <v>57</v>
      </c>
      <c r="J1154">
        <v>2050</v>
      </c>
      <c r="K1154" s="38" t="str">
        <f t="shared" si="139"/>
        <v>*0.93</v>
      </c>
      <c r="P1154" s="32" t="s">
        <v>2028</v>
      </c>
      <c r="Q1154" s="42" t="s">
        <v>57</v>
      </c>
      <c r="R1154" s="32">
        <v>2035</v>
      </c>
      <c r="S1154" s="43" t="str">
        <f t="shared" si="140"/>
        <v>*0.95</v>
      </c>
      <c r="U1154" s="32" t="s">
        <v>2028</v>
      </c>
      <c r="V1154" s="42" t="s">
        <v>57</v>
      </c>
      <c r="W1154" s="32">
        <v>2050</v>
      </c>
      <c r="X1154" s="43" t="str">
        <f t="shared" si="141"/>
        <v>*0.93</v>
      </c>
      <c r="AC1154" s="33" t="s">
        <v>2028</v>
      </c>
      <c r="AD1154" s="44" t="s">
        <v>57</v>
      </c>
      <c r="AE1154" s="33">
        <v>2035</v>
      </c>
      <c r="AF1154" s="45" t="str">
        <f t="shared" si="142"/>
        <v>*0.93</v>
      </c>
      <c r="AG1154" s="43" t="str">
        <f t="shared" si="144"/>
        <v>REZoning_Sol-Win</v>
      </c>
      <c r="AI1154" s="33" t="s">
        <v>2028</v>
      </c>
      <c r="AJ1154" s="44" t="s">
        <v>57</v>
      </c>
      <c r="AK1154" s="33">
        <v>2050</v>
      </c>
      <c r="AL1154" s="45" t="str">
        <f t="shared" si="143"/>
        <v>*0.9</v>
      </c>
      <c r="AM1154" s="43" t="str">
        <f t="shared" si="145"/>
        <v>REZoning_Sol-Win</v>
      </c>
      <c r="AP1154" t="s">
        <v>2028</v>
      </c>
      <c r="AQ1154" t="s">
        <v>57</v>
      </c>
      <c r="AR1154">
        <v>2100</v>
      </c>
      <c r="AS1154" t="s">
        <v>897</v>
      </c>
      <c r="AT1154" t="s">
        <v>58</v>
      </c>
    </row>
    <row r="1155" ht="29" spans="1:46">
      <c r="A1155" s="31" t="s">
        <v>73</v>
      </c>
      <c r="C1155" t="s">
        <v>2029</v>
      </c>
      <c r="D1155" s="5" t="s">
        <v>57</v>
      </c>
      <c r="E1155">
        <v>2035</v>
      </c>
      <c r="F1155" s="6" t="str">
        <f t="shared" si="138"/>
        <v>*0.95</v>
      </c>
      <c r="H1155" t="s">
        <v>2029</v>
      </c>
      <c r="I1155" s="5" t="s">
        <v>57</v>
      </c>
      <c r="J1155">
        <v>2050</v>
      </c>
      <c r="K1155" s="38" t="str">
        <f t="shared" si="139"/>
        <v>*0.93</v>
      </c>
      <c r="P1155" s="32" t="s">
        <v>2029</v>
      </c>
      <c r="Q1155" s="42" t="s">
        <v>57</v>
      </c>
      <c r="R1155" s="32">
        <v>2035</v>
      </c>
      <c r="S1155" s="43" t="str">
        <f t="shared" si="140"/>
        <v>*0.95</v>
      </c>
      <c r="U1155" s="32" t="s">
        <v>2029</v>
      </c>
      <c r="V1155" s="42" t="s">
        <v>57</v>
      </c>
      <c r="W1155" s="32">
        <v>2050</v>
      </c>
      <c r="X1155" s="43" t="str">
        <f t="shared" si="141"/>
        <v>*0.93</v>
      </c>
      <c r="AC1155" s="33" t="s">
        <v>2029</v>
      </c>
      <c r="AD1155" s="44" t="s">
        <v>57</v>
      </c>
      <c r="AE1155" s="33">
        <v>2035</v>
      </c>
      <c r="AF1155" s="45" t="str">
        <f t="shared" si="142"/>
        <v>*0.93</v>
      </c>
      <c r="AG1155" s="43" t="str">
        <f t="shared" si="144"/>
        <v>REZoning_Sol-Win</v>
      </c>
      <c r="AI1155" s="33" t="s">
        <v>2029</v>
      </c>
      <c r="AJ1155" s="44" t="s">
        <v>57</v>
      </c>
      <c r="AK1155" s="33">
        <v>2050</v>
      </c>
      <c r="AL1155" s="45" t="str">
        <f t="shared" si="143"/>
        <v>*0.9</v>
      </c>
      <c r="AM1155" s="43" t="str">
        <f t="shared" si="145"/>
        <v>REZoning_Sol-Win</v>
      </c>
      <c r="AP1155" t="s">
        <v>2029</v>
      </c>
      <c r="AQ1155" t="s">
        <v>57</v>
      </c>
      <c r="AR1155">
        <v>2100</v>
      </c>
      <c r="AS1155" t="s">
        <v>897</v>
      </c>
      <c r="AT1155" t="s">
        <v>58</v>
      </c>
    </row>
    <row r="1156" ht="29" spans="1:46">
      <c r="A1156" s="31" t="s">
        <v>73</v>
      </c>
      <c r="C1156" t="s">
        <v>2030</v>
      </c>
      <c r="D1156" s="5" t="s">
        <v>57</v>
      </c>
      <c r="E1156">
        <v>2035</v>
      </c>
      <c r="F1156" s="6" t="str">
        <f t="shared" ref="F1156:F1219" si="146">"*"&amp;IF(AND(A1156="EU",E1156=2035),0.95,IF(AND(A1156="EU",E1156=2050),0.93,IF(AND(A1156="USA",E1156=2035),0.96,IF(AND(A1156="USA",E1156=2050),0.94,IF(AND(A1156="Japan",E1156=2035),0.94,IF(AND(A1156="Japan",E1156=2050),0.92,IF(AND(A1156="Russia",E1156=2035),0.95,IF(AND(A1156="Russia",E1156=2050),0.93,IF(AND(A1156="China",E1156=2035),0.94,IF(AND(A1156="China",E1156=2050),0.92,IF(AND(A1156="India",E1156=2035),0.95,IF(AND(A1156="India",E1156=2050),0.92,IF(AND(A1156="Middle East",E1156=2035),0.94,IF(AND(A1156="Middle East",E1156=2050),0.9,IF(AND(A1156="Africa",E1156=2035),0.94,IF(AND(A1156="Africa",E1156=2050),0.91,IF(AND(A1156="Brazil",E1156=2035),0.95,IF(AND(A1156="Brazil",E1156=2050),0.92,""))))))))))))))))))</f>
        <v>*0.95</v>
      </c>
      <c r="H1156" t="s">
        <v>2030</v>
      </c>
      <c r="I1156" s="5" t="s">
        <v>57</v>
      </c>
      <c r="J1156">
        <v>2050</v>
      </c>
      <c r="K1156" s="38" t="str">
        <f t="shared" ref="K1156:K1219" si="147">"*"&amp;IF(AND(A1156="EU",J1156=2035),0.95,IF(AND(A1156="EU",J1156=2050),0.93,IF(AND(A1156="USA",J1156=2035),0.96,IF(AND(A1156="USA",J1156=2050),0.94,IF(AND(A1156="Japan",J1156=2035),0.94,IF(AND(A1156="Japan",J1156=2050),0.92,IF(AND(A1156="Russia",J1156=2035),0.95,IF(AND(A1156="Russia",J1156=2050),0.93,IF(AND(A1156="China",J1156=2035),0.94,IF(AND(A1156="China",J1156=2050),0.92,IF(AND(A1156="India",J1156=2035),0.95,IF(AND(A1156="India",J1156=2050),0.92,IF(AND(A1156="Middle East",J1156=2035),0.94,IF(AND(A1156="Middle East",J1156=2050),0.9,IF(AND(A1156="Africa",J1156=2035),0.94,IF(AND(A1156="Africa",J1156=2050),0.91,IF(AND(A1156="Brazil",J1156=2035),0.95,IF(AND(A1156="Brazil",J1156=2050),0.92,""))))))))))))))))))</f>
        <v>*0.93</v>
      </c>
      <c r="P1156" s="32" t="s">
        <v>2030</v>
      </c>
      <c r="Q1156" s="42" t="s">
        <v>57</v>
      </c>
      <c r="R1156" s="32">
        <v>2035</v>
      </c>
      <c r="S1156" s="43" t="str">
        <f t="shared" ref="S1156:S1219" si="148">"*"&amp;IF(AND(A1156="EU",R1156=2035),0.95,IF(AND(A1156="EU",R1156=2050),0.93,IF(AND(A1156="USA",R1156=2035),0.96,IF(AND(A1156="USA",R1156=2050),0.93,IF(AND(A1156="Japan",R1156=2035),0.94,IF(AND(A1156="Japan",R1156=2050),0.92,IF(AND(A1156="Russia",R1156=2035),0.95,IF(AND(A1156="Russia",R1156=2050),0.91,IF(AND(A1156="China",R1156=2035),0.93,IF(AND(A1156="China",R1156=2050),0.92,IF(AND(A1156="India",R1156=2035),0.94,IF(AND(A1156="India",R1156=2050),0.91,IF(AND(A1156="Middle East",R1156=2035),0.92,IF(AND(A1156="Middle East",R1156=2050),0.89,IF(AND(A1156="Africa",R1156=2035),0.93,IF(AND(A1156="Africa",R1156=2050),0.9,IF(AND(A1156="Brazil",R1156=2035),0.95,IF(AND(A1156="Brazil",R1156=2050),0.92,""))))))))))))))))))</f>
        <v>*0.95</v>
      </c>
      <c r="U1156" s="32" t="s">
        <v>2030</v>
      </c>
      <c r="V1156" s="42" t="s">
        <v>57</v>
      </c>
      <c r="W1156" s="32">
        <v>2050</v>
      </c>
      <c r="X1156" s="43" t="str">
        <f t="shared" ref="X1156:X1219" si="149">"*"&amp;IF(AND(A1156="EU",W1156=2035),0.95,IF(AND(A1156="EU",W1156=2050),0.93,IF(AND(A1156="USA",W1156=2035),0.96,IF(AND(A1156="USA",W1156=2050),0.93,IF(AND(A1156="Japan",W1156=2035),0.94,IF(AND(A1156="Japan",W1156=2050),0.92,IF(AND(A1156="Russia",W1156=2035),0.95,IF(AND(A1156="Russia",W1156=2050),0.91,IF(AND(A1156="China",W1156=2035),0.93,IF(AND(A1156="China",W1156=2050),0.92,IF(AND(A1156="India",W1156=2035),0.94,IF(AND(A1156="India",W1156=2050),0.91,IF(AND(A1156="Middle East",W1156=2035),0.92,IF(AND(A1156="Middle East",W1156=2050),0.89,IF(AND(A1156="Africa",W1156=2035),0.93,IF(AND(A1156="Africa",W1156=2050),0.9,IF(AND(A1156="Brazil",W1156=2035),0.95,IF(AND(A1156="Brazil",W1156=2050),0.92,""))))))))))))))))))</f>
        <v>*0.93</v>
      </c>
      <c r="AC1156" s="33" t="s">
        <v>2030</v>
      </c>
      <c r="AD1156" s="44" t="s">
        <v>57</v>
      </c>
      <c r="AE1156" s="33">
        <v>2035</v>
      </c>
      <c r="AF1156" s="45" t="str">
        <f t="shared" ref="AF1156:AF1219" si="150">"*"&amp;IF(AND(A1156="EU",AE1156=2035),0.93,IF(AND(A1156="EU",AE1156=2050),0.9,IF(AND(A1156="USA",AE1156=2035),0.92,IF(AND(A1156="USA",AE1156=2050),0.89,IF(AND(A1156="Japan",AE1156=2035),0.92,IF(AND(A1156="Japan",AE1156=2050),0.89,IF(AND(A1156="Russia",AE1156=2035),0.91,IF(AND(A1156="Russia",AE1156=2050),0.86,IF(AND(A1156="China",AE1156=2035),0.91,IF(AND(A1156="China",AE1156=2050),0.87,IF(AND(A1156="India",AE1156=2035),0.92,IF(AND(A1156="India",AE1156=2050),0.87,IF(AND(A1156="Middle East",AE1156=2035),0.89,IF(AND(A1156="Middle East",AE1156=2050),0.84,IF(AND(A1156="Africa",AE1156=2035),0.9,IF(AND(A1156="Africa",AE1156=2050),0.86,IF(AND(A1156="Brazil",AE1156=2035),0.93,IF(AND(A1156="Brazil",AE1156=2050),0.89,""))))))))))))))))))</f>
        <v>*0.93</v>
      </c>
      <c r="AG1156" s="43" t="str">
        <f t="shared" si="144"/>
        <v>REZoning_Sol-Win</v>
      </c>
      <c r="AI1156" s="33" t="s">
        <v>2030</v>
      </c>
      <c r="AJ1156" s="44" t="s">
        <v>57</v>
      </c>
      <c r="AK1156" s="33">
        <v>2050</v>
      </c>
      <c r="AL1156" s="45" t="str">
        <f t="shared" ref="AL1156:AL1219" si="151">"*"&amp;IF(AND(A1156="EU",AK1156=2035),0.93,IF(AND(A1156="EU",AK1156=2050),0.9,IF(AND(A1156="USA",AK1156=2035),0.92,IF(AND(A1156="USA",AK1156=2050),0.89,IF(AND(A1156="Japan",AK1156=2035),0.92,IF(AND(A1156="Japan",AK1156=2050),0.89,IF(AND(A1156="Russia",AK1156=2035),0.91,IF(AND(A1156="Russia",AK1156=2050),0.86,IF(AND(A1156="China",AK1156=2035),0.91,IF(AND(A1156="China",AK1156=2050),0.87,IF(AND(A1156="India",AK1156=2035),0.92,IF(AND(A1156="India",AK1156=2050),0.87,IF(AND(A1156="Middle East",AK1156=2035),0.89,IF(AND(A1156="Middle East",AK1156=2050),0.84,IF(AND(A1156="Africa",AK1156=2035),0.9,IF(AND(A1156="Africa",AK1156=2050),0.86,IF(AND(A1156="Brazil",AK1156=2035),0.93,IF(AND(A1156="Brazil",AK1156=2050),0.89,""))))))))))))))))))</f>
        <v>*0.9</v>
      </c>
      <c r="AM1156" s="43" t="str">
        <f t="shared" si="145"/>
        <v>REZoning_Sol-Win</v>
      </c>
      <c r="AP1156" t="s">
        <v>2030</v>
      </c>
      <c r="AQ1156" t="s">
        <v>57</v>
      </c>
      <c r="AR1156">
        <v>2100</v>
      </c>
      <c r="AS1156" t="s">
        <v>897</v>
      </c>
      <c r="AT1156" t="s">
        <v>58</v>
      </c>
    </row>
    <row r="1157" ht="29" spans="1:46">
      <c r="A1157" s="31" t="s">
        <v>73</v>
      </c>
      <c r="C1157" t="s">
        <v>2031</v>
      </c>
      <c r="D1157" s="5" t="s">
        <v>57</v>
      </c>
      <c r="E1157">
        <v>2035</v>
      </c>
      <c r="F1157" s="6" t="str">
        <f t="shared" si="146"/>
        <v>*0.95</v>
      </c>
      <c r="H1157" t="s">
        <v>2031</v>
      </c>
      <c r="I1157" s="5" t="s">
        <v>57</v>
      </c>
      <c r="J1157">
        <v>2050</v>
      </c>
      <c r="K1157" s="38" t="str">
        <f t="shared" si="147"/>
        <v>*0.93</v>
      </c>
      <c r="P1157" s="32" t="s">
        <v>2031</v>
      </c>
      <c r="Q1157" s="42" t="s">
        <v>57</v>
      </c>
      <c r="R1157" s="32">
        <v>2035</v>
      </c>
      <c r="S1157" s="43" t="str">
        <f t="shared" si="148"/>
        <v>*0.95</v>
      </c>
      <c r="U1157" s="32" t="s">
        <v>2031</v>
      </c>
      <c r="V1157" s="42" t="s">
        <v>57</v>
      </c>
      <c r="W1157" s="32">
        <v>2050</v>
      </c>
      <c r="X1157" s="43" t="str">
        <f t="shared" si="149"/>
        <v>*0.93</v>
      </c>
      <c r="AC1157" s="33" t="s">
        <v>2031</v>
      </c>
      <c r="AD1157" s="44" t="s">
        <v>57</v>
      </c>
      <c r="AE1157" s="33">
        <v>2035</v>
      </c>
      <c r="AF1157" s="45" t="str">
        <f t="shared" si="150"/>
        <v>*0.93</v>
      </c>
      <c r="AG1157" s="43" t="str">
        <f t="shared" si="144"/>
        <v>REZoning_Sol-Win</v>
      </c>
      <c r="AI1157" s="33" t="s">
        <v>2031</v>
      </c>
      <c r="AJ1157" s="44" t="s">
        <v>57</v>
      </c>
      <c r="AK1157" s="33">
        <v>2050</v>
      </c>
      <c r="AL1157" s="45" t="str">
        <f t="shared" si="151"/>
        <v>*0.9</v>
      </c>
      <c r="AM1157" s="43" t="str">
        <f t="shared" si="145"/>
        <v>REZoning_Sol-Win</v>
      </c>
      <c r="AP1157" t="s">
        <v>2031</v>
      </c>
      <c r="AQ1157" t="s">
        <v>57</v>
      </c>
      <c r="AR1157">
        <v>2100</v>
      </c>
      <c r="AS1157" t="s">
        <v>897</v>
      </c>
      <c r="AT1157" t="s">
        <v>58</v>
      </c>
    </row>
    <row r="1158" ht="29" spans="1:46">
      <c r="A1158" s="31" t="s">
        <v>73</v>
      </c>
      <c r="C1158" t="s">
        <v>2032</v>
      </c>
      <c r="D1158" s="5" t="s">
        <v>57</v>
      </c>
      <c r="E1158">
        <v>2035</v>
      </c>
      <c r="F1158" s="6" t="str">
        <f t="shared" si="146"/>
        <v>*0.95</v>
      </c>
      <c r="H1158" t="s">
        <v>2032</v>
      </c>
      <c r="I1158" s="5" t="s">
        <v>57</v>
      </c>
      <c r="J1158">
        <v>2050</v>
      </c>
      <c r="K1158" s="38" t="str">
        <f t="shared" si="147"/>
        <v>*0.93</v>
      </c>
      <c r="P1158" s="32" t="s">
        <v>2032</v>
      </c>
      <c r="Q1158" s="42" t="s">
        <v>57</v>
      </c>
      <c r="R1158" s="32">
        <v>2035</v>
      </c>
      <c r="S1158" s="43" t="str">
        <f t="shared" si="148"/>
        <v>*0.95</v>
      </c>
      <c r="U1158" s="32" t="s">
        <v>2032</v>
      </c>
      <c r="V1158" s="42" t="s">
        <v>57</v>
      </c>
      <c r="W1158" s="32">
        <v>2050</v>
      </c>
      <c r="X1158" s="43" t="str">
        <f t="shared" si="149"/>
        <v>*0.93</v>
      </c>
      <c r="AC1158" s="33" t="s">
        <v>2032</v>
      </c>
      <c r="AD1158" s="44" t="s">
        <v>57</v>
      </c>
      <c r="AE1158" s="33">
        <v>2035</v>
      </c>
      <c r="AF1158" s="45" t="str">
        <f t="shared" si="150"/>
        <v>*0.93</v>
      </c>
      <c r="AG1158" s="43" t="str">
        <f t="shared" si="144"/>
        <v>REZoning_Sol-Win</v>
      </c>
      <c r="AI1158" s="33" t="s">
        <v>2032</v>
      </c>
      <c r="AJ1158" s="44" t="s">
        <v>57</v>
      </c>
      <c r="AK1158" s="33">
        <v>2050</v>
      </c>
      <c r="AL1158" s="45" t="str">
        <f t="shared" si="151"/>
        <v>*0.9</v>
      </c>
      <c r="AM1158" s="43" t="str">
        <f t="shared" si="145"/>
        <v>REZoning_Sol-Win</v>
      </c>
      <c r="AP1158" t="s">
        <v>2032</v>
      </c>
      <c r="AQ1158" t="s">
        <v>57</v>
      </c>
      <c r="AR1158">
        <v>2100</v>
      </c>
      <c r="AS1158" t="s">
        <v>897</v>
      </c>
      <c r="AT1158" t="s">
        <v>58</v>
      </c>
    </row>
    <row r="1159" ht="29" spans="1:46">
      <c r="A1159" s="31" t="s">
        <v>73</v>
      </c>
      <c r="C1159" t="s">
        <v>2033</v>
      </c>
      <c r="D1159" s="5" t="s">
        <v>57</v>
      </c>
      <c r="E1159">
        <v>2035</v>
      </c>
      <c r="F1159" s="6" t="str">
        <f t="shared" si="146"/>
        <v>*0.95</v>
      </c>
      <c r="H1159" t="s">
        <v>2033</v>
      </c>
      <c r="I1159" s="5" t="s">
        <v>57</v>
      </c>
      <c r="J1159">
        <v>2050</v>
      </c>
      <c r="K1159" s="38" t="str">
        <f t="shared" si="147"/>
        <v>*0.93</v>
      </c>
      <c r="P1159" s="32" t="s">
        <v>2033</v>
      </c>
      <c r="Q1159" s="42" t="s">
        <v>57</v>
      </c>
      <c r="R1159" s="32">
        <v>2035</v>
      </c>
      <c r="S1159" s="43" t="str">
        <f t="shared" si="148"/>
        <v>*0.95</v>
      </c>
      <c r="U1159" s="32" t="s">
        <v>2033</v>
      </c>
      <c r="V1159" s="42" t="s">
        <v>57</v>
      </c>
      <c r="W1159" s="32">
        <v>2050</v>
      </c>
      <c r="X1159" s="43" t="str">
        <f t="shared" si="149"/>
        <v>*0.93</v>
      </c>
      <c r="AC1159" s="33" t="s">
        <v>2033</v>
      </c>
      <c r="AD1159" s="44" t="s">
        <v>57</v>
      </c>
      <c r="AE1159" s="33">
        <v>2035</v>
      </c>
      <c r="AF1159" s="45" t="str">
        <f t="shared" si="150"/>
        <v>*0.93</v>
      </c>
      <c r="AG1159" s="43" t="str">
        <f t="shared" si="144"/>
        <v>REZoning_Sol-Win</v>
      </c>
      <c r="AI1159" s="33" t="s">
        <v>2033</v>
      </c>
      <c r="AJ1159" s="44" t="s">
        <v>57</v>
      </c>
      <c r="AK1159" s="33">
        <v>2050</v>
      </c>
      <c r="AL1159" s="45" t="str">
        <f t="shared" si="151"/>
        <v>*0.9</v>
      </c>
      <c r="AM1159" s="43" t="str">
        <f t="shared" si="145"/>
        <v>REZoning_Sol-Win</v>
      </c>
      <c r="AP1159" t="s">
        <v>2033</v>
      </c>
      <c r="AQ1159" t="s">
        <v>57</v>
      </c>
      <c r="AR1159">
        <v>2100</v>
      </c>
      <c r="AS1159" t="s">
        <v>897</v>
      </c>
      <c r="AT1159" t="s">
        <v>58</v>
      </c>
    </row>
    <row r="1160" ht="29" spans="1:46">
      <c r="A1160" s="31" t="s">
        <v>73</v>
      </c>
      <c r="C1160" t="s">
        <v>2034</v>
      </c>
      <c r="D1160" s="5" t="s">
        <v>57</v>
      </c>
      <c r="E1160">
        <v>2035</v>
      </c>
      <c r="F1160" s="6" t="str">
        <f t="shared" si="146"/>
        <v>*0.95</v>
      </c>
      <c r="H1160" t="s">
        <v>2034</v>
      </c>
      <c r="I1160" s="5" t="s">
        <v>57</v>
      </c>
      <c r="J1160">
        <v>2050</v>
      </c>
      <c r="K1160" s="38" t="str">
        <f t="shared" si="147"/>
        <v>*0.93</v>
      </c>
      <c r="P1160" s="32" t="s">
        <v>2034</v>
      </c>
      <c r="Q1160" s="42" t="s">
        <v>57</v>
      </c>
      <c r="R1160" s="32">
        <v>2035</v>
      </c>
      <c r="S1160" s="43" t="str">
        <f t="shared" si="148"/>
        <v>*0.95</v>
      </c>
      <c r="U1160" s="32" t="s">
        <v>2034</v>
      </c>
      <c r="V1160" s="42" t="s">
        <v>57</v>
      </c>
      <c r="W1160" s="32">
        <v>2050</v>
      </c>
      <c r="X1160" s="43" t="str">
        <f t="shared" si="149"/>
        <v>*0.93</v>
      </c>
      <c r="AC1160" s="33" t="s">
        <v>2034</v>
      </c>
      <c r="AD1160" s="44" t="s">
        <v>57</v>
      </c>
      <c r="AE1160" s="33">
        <v>2035</v>
      </c>
      <c r="AF1160" s="45" t="str">
        <f t="shared" si="150"/>
        <v>*0.93</v>
      </c>
      <c r="AG1160" s="43" t="str">
        <f t="shared" si="144"/>
        <v>REZoning_Sol-Win</v>
      </c>
      <c r="AI1160" s="33" t="s">
        <v>2034</v>
      </c>
      <c r="AJ1160" s="44" t="s">
        <v>57</v>
      </c>
      <c r="AK1160" s="33">
        <v>2050</v>
      </c>
      <c r="AL1160" s="45" t="str">
        <f t="shared" si="151"/>
        <v>*0.9</v>
      </c>
      <c r="AM1160" s="43" t="str">
        <f t="shared" si="145"/>
        <v>REZoning_Sol-Win</v>
      </c>
      <c r="AP1160" t="s">
        <v>2034</v>
      </c>
      <c r="AQ1160" t="s">
        <v>57</v>
      </c>
      <c r="AR1160">
        <v>2100</v>
      </c>
      <c r="AS1160" t="s">
        <v>897</v>
      </c>
      <c r="AT1160" t="s">
        <v>58</v>
      </c>
    </row>
    <row r="1161" ht="29" spans="1:46">
      <c r="A1161" s="31" t="s">
        <v>73</v>
      </c>
      <c r="C1161" t="s">
        <v>2035</v>
      </c>
      <c r="D1161" s="5" t="s">
        <v>57</v>
      </c>
      <c r="E1161">
        <v>2035</v>
      </c>
      <c r="F1161" s="6" t="str">
        <f t="shared" si="146"/>
        <v>*0.95</v>
      </c>
      <c r="H1161" t="s">
        <v>2035</v>
      </c>
      <c r="I1161" s="5" t="s">
        <v>57</v>
      </c>
      <c r="J1161">
        <v>2050</v>
      </c>
      <c r="K1161" s="38" t="str">
        <f t="shared" si="147"/>
        <v>*0.93</v>
      </c>
      <c r="P1161" s="32" t="s">
        <v>2035</v>
      </c>
      <c r="Q1161" s="42" t="s">
        <v>57</v>
      </c>
      <c r="R1161" s="32">
        <v>2035</v>
      </c>
      <c r="S1161" s="43" t="str">
        <f t="shared" si="148"/>
        <v>*0.95</v>
      </c>
      <c r="U1161" s="32" t="s">
        <v>2035</v>
      </c>
      <c r="V1161" s="42" t="s">
        <v>57</v>
      </c>
      <c r="W1161" s="32">
        <v>2050</v>
      </c>
      <c r="X1161" s="43" t="str">
        <f t="shared" si="149"/>
        <v>*0.93</v>
      </c>
      <c r="AC1161" s="33" t="s">
        <v>2035</v>
      </c>
      <c r="AD1161" s="44" t="s">
        <v>57</v>
      </c>
      <c r="AE1161" s="33">
        <v>2035</v>
      </c>
      <c r="AF1161" s="45" t="str">
        <f t="shared" si="150"/>
        <v>*0.93</v>
      </c>
      <c r="AG1161" s="43" t="str">
        <f t="shared" ref="AG1161:AG1224" si="152">AG1160</f>
        <v>REZoning_Sol-Win</v>
      </c>
      <c r="AI1161" s="33" t="s">
        <v>2035</v>
      </c>
      <c r="AJ1161" s="44" t="s">
        <v>57</v>
      </c>
      <c r="AK1161" s="33">
        <v>2050</v>
      </c>
      <c r="AL1161" s="45" t="str">
        <f t="shared" si="151"/>
        <v>*0.9</v>
      </c>
      <c r="AM1161" s="43" t="str">
        <f t="shared" si="145"/>
        <v>REZoning_Sol-Win</v>
      </c>
      <c r="AP1161" t="s">
        <v>2035</v>
      </c>
      <c r="AQ1161" t="s">
        <v>57</v>
      </c>
      <c r="AR1161">
        <v>2100</v>
      </c>
      <c r="AS1161" t="s">
        <v>897</v>
      </c>
      <c r="AT1161" t="s">
        <v>58</v>
      </c>
    </row>
    <row r="1162" ht="29" spans="1:46">
      <c r="A1162" s="31" t="s">
        <v>73</v>
      </c>
      <c r="C1162" t="s">
        <v>2036</v>
      </c>
      <c r="D1162" s="5" t="s">
        <v>57</v>
      </c>
      <c r="E1162">
        <v>2035</v>
      </c>
      <c r="F1162" s="6" t="str">
        <f t="shared" si="146"/>
        <v>*0.95</v>
      </c>
      <c r="H1162" t="s">
        <v>2036</v>
      </c>
      <c r="I1162" s="5" t="s">
        <v>57</v>
      </c>
      <c r="J1162">
        <v>2050</v>
      </c>
      <c r="K1162" s="38" t="str">
        <f t="shared" si="147"/>
        <v>*0.93</v>
      </c>
      <c r="P1162" s="32" t="s">
        <v>2036</v>
      </c>
      <c r="Q1162" s="42" t="s">
        <v>57</v>
      </c>
      <c r="R1162" s="32">
        <v>2035</v>
      </c>
      <c r="S1162" s="43" t="str">
        <f t="shared" si="148"/>
        <v>*0.95</v>
      </c>
      <c r="U1162" s="32" t="s">
        <v>2036</v>
      </c>
      <c r="V1162" s="42" t="s">
        <v>57</v>
      </c>
      <c r="W1162" s="32">
        <v>2050</v>
      </c>
      <c r="X1162" s="43" t="str">
        <f t="shared" si="149"/>
        <v>*0.93</v>
      </c>
      <c r="AC1162" s="33" t="s">
        <v>2036</v>
      </c>
      <c r="AD1162" s="44" t="s">
        <v>57</v>
      </c>
      <c r="AE1162" s="33">
        <v>2035</v>
      </c>
      <c r="AF1162" s="45" t="str">
        <f t="shared" si="150"/>
        <v>*0.93</v>
      </c>
      <c r="AG1162" s="43" t="str">
        <f t="shared" si="152"/>
        <v>REZoning_Sol-Win</v>
      </c>
      <c r="AI1162" s="33" t="s">
        <v>2036</v>
      </c>
      <c r="AJ1162" s="44" t="s">
        <v>57</v>
      </c>
      <c r="AK1162" s="33">
        <v>2050</v>
      </c>
      <c r="AL1162" s="45" t="str">
        <f t="shared" si="151"/>
        <v>*0.9</v>
      </c>
      <c r="AM1162" s="43" t="str">
        <f t="shared" ref="AM1162:AM1225" si="153">AM1161</f>
        <v>REZoning_Sol-Win</v>
      </c>
      <c r="AP1162" t="s">
        <v>2036</v>
      </c>
      <c r="AQ1162" t="s">
        <v>57</v>
      </c>
      <c r="AR1162">
        <v>2100</v>
      </c>
      <c r="AS1162" t="s">
        <v>897</v>
      </c>
      <c r="AT1162" t="s">
        <v>58</v>
      </c>
    </row>
    <row r="1163" ht="29" spans="1:46">
      <c r="A1163" s="31" t="s">
        <v>73</v>
      </c>
      <c r="C1163" t="s">
        <v>2037</v>
      </c>
      <c r="D1163" s="5" t="s">
        <v>57</v>
      </c>
      <c r="E1163">
        <v>2035</v>
      </c>
      <c r="F1163" s="6" t="str">
        <f t="shared" si="146"/>
        <v>*0.95</v>
      </c>
      <c r="H1163" t="s">
        <v>2037</v>
      </c>
      <c r="I1163" s="5" t="s">
        <v>57</v>
      </c>
      <c r="J1163">
        <v>2050</v>
      </c>
      <c r="K1163" s="38" t="str">
        <f t="shared" si="147"/>
        <v>*0.93</v>
      </c>
      <c r="P1163" s="32" t="s">
        <v>2037</v>
      </c>
      <c r="Q1163" s="42" t="s">
        <v>57</v>
      </c>
      <c r="R1163" s="32">
        <v>2035</v>
      </c>
      <c r="S1163" s="43" t="str">
        <f t="shared" si="148"/>
        <v>*0.95</v>
      </c>
      <c r="U1163" s="32" t="s">
        <v>2037</v>
      </c>
      <c r="V1163" s="42" t="s">
        <v>57</v>
      </c>
      <c r="W1163" s="32">
        <v>2050</v>
      </c>
      <c r="X1163" s="43" t="str">
        <f t="shared" si="149"/>
        <v>*0.93</v>
      </c>
      <c r="AC1163" s="33" t="s">
        <v>2037</v>
      </c>
      <c r="AD1163" s="44" t="s">
        <v>57</v>
      </c>
      <c r="AE1163" s="33">
        <v>2035</v>
      </c>
      <c r="AF1163" s="45" t="str">
        <f t="shared" si="150"/>
        <v>*0.93</v>
      </c>
      <c r="AG1163" s="43" t="str">
        <f t="shared" si="152"/>
        <v>REZoning_Sol-Win</v>
      </c>
      <c r="AI1163" s="33" t="s">
        <v>2037</v>
      </c>
      <c r="AJ1163" s="44" t="s">
        <v>57</v>
      </c>
      <c r="AK1163" s="33">
        <v>2050</v>
      </c>
      <c r="AL1163" s="45" t="str">
        <f t="shared" si="151"/>
        <v>*0.9</v>
      </c>
      <c r="AM1163" s="43" t="str">
        <f t="shared" si="153"/>
        <v>REZoning_Sol-Win</v>
      </c>
      <c r="AP1163" t="s">
        <v>2037</v>
      </c>
      <c r="AQ1163" t="s">
        <v>57</v>
      </c>
      <c r="AR1163">
        <v>2100</v>
      </c>
      <c r="AS1163" t="s">
        <v>897</v>
      </c>
      <c r="AT1163" t="s">
        <v>58</v>
      </c>
    </row>
    <row r="1164" ht="29" spans="1:46">
      <c r="A1164" s="31" t="s">
        <v>73</v>
      </c>
      <c r="C1164" t="s">
        <v>2038</v>
      </c>
      <c r="D1164" s="5" t="s">
        <v>57</v>
      </c>
      <c r="E1164">
        <v>2035</v>
      </c>
      <c r="F1164" s="6" t="str">
        <f t="shared" si="146"/>
        <v>*0.95</v>
      </c>
      <c r="H1164" t="s">
        <v>2038</v>
      </c>
      <c r="I1164" s="5" t="s">
        <v>57</v>
      </c>
      <c r="J1164">
        <v>2050</v>
      </c>
      <c r="K1164" s="38" t="str">
        <f t="shared" si="147"/>
        <v>*0.93</v>
      </c>
      <c r="P1164" s="32" t="s">
        <v>2038</v>
      </c>
      <c r="Q1164" s="42" t="s">
        <v>57</v>
      </c>
      <c r="R1164" s="32">
        <v>2035</v>
      </c>
      <c r="S1164" s="43" t="str">
        <f t="shared" si="148"/>
        <v>*0.95</v>
      </c>
      <c r="U1164" s="32" t="s">
        <v>2038</v>
      </c>
      <c r="V1164" s="42" t="s">
        <v>57</v>
      </c>
      <c r="W1164" s="32">
        <v>2050</v>
      </c>
      <c r="X1164" s="43" t="str">
        <f t="shared" si="149"/>
        <v>*0.93</v>
      </c>
      <c r="AC1164" s="33" t="s">
        <v>2038</v>
      </c>
      <c r="AD1164" s="44" t="s">
        <v>57</v>
      </c>
      <c r="AE1164" s="33">
        <v>2035</v>
      </c>
      <c r="AF1164" s="45" t="str">
        <f t="shared" si="150"/>
        <v>*0.93</v>
      </c>
      <c r="AG1164" s="43" t="str">
        <f t="shared" si="152"/>
        <v>REZoning_Sol-Win</v>
      </c>
      <c r="AI1164" s="33" t="s">
        <v>2038</v>
      </c>
      <c r="AJ1164" s="44" t="s">
        <v>57</v>
      </c>
      <c r="AK1164" s="33">
        <v>2050</v>
      </c>
      <c r="AL1164" s="45" t="str">
        <f t="shared" si="151"/>
        <v>*0.9</v>
      </c>
      <c r="AM1164" s="43" t="str">
        <f t="shared" si="153"/>
        <v>REZoning_Sol-Win</v>
      </c>
      <c r="AP1164" t="s">
        <v>2038</v>
      </c>
      <c r="AQ1164" t="s">
        <v>57</v>
      </c>
      <c r="AR1164">
        <v>2100</v>
      </c>
      <c r="AS1164" t="s">
        <v>897</v>
      </c>
      <c r="AT1164" t="s">
        <v>58</v>
      </c>
    </row>
    <row r="1165" ht="29" spans="1:46">
      <c r="A1165" s="31" t="s">
        <v>73</v>
      </c>
      <c r="C1165" t="s">
        <v>2039</v>
      </c>
      <c r="D1165" s="5" t="s">
        <v>57</v>
      </c>
      <c r="E1165">
        <v>2035</v>
      </c>
      <c r="F1165" s="6" t="str">
        <f t="shared" si="146"/>
        <v>*0.95</v>
      </c>
      <c r="H1165" t="s">
        <v>2039</v>
      </c>
      <c r="I1165" s="5" t="s">
        <v>57</v>
      </c>
      <c r="J1165">
        <v>2050</v>
      </c>
      <c r="K1165" s="38" t="str">
        <f t="shared" si="147"/>
        <v>*0.93</v>
      </c>
      <c r="P1165" s="32" t="s">
        <v>2039</v>
      </c>
      <c r="Q1165" s="42" t="s">
        <v>57</v>
      </c>
      <c r="R1165" s="32">
        <v>2035</v>
      </c>
      <c r="S1165" s="43" t="str">
        <f t="shared" si="148"/>
        <v>*0.95</v>
      </c>
      <c r="U1165" s="32" t="s">
        <v>2039</v>
      </c>
      <c r="V1165" s="42" t="s">
        <v>57</v>
      </c>
      <c r="W1165" s="32">
        <v>2050</v>
      </c>
      <c r="X1165" s="43" t="str">
        <f t="shared" si="149"/>
        <v>*0.93</v>
      </c>
      <c r="AC1165" s="33" t="s">
        <v>2039</v>
      </c>
      <c r="AD1165" s="44" t="s">
        <v>57</v>
      </c>
      <c r="AE1165" s="33">
        <v>2035</v>
      </c>
      <c r="AF1165" s="45" t="str">
        <f t="shared" si="150"/>
        <v>*0.93</v>
      </c>
      <c r="AG1165" s="43" t="str">
        <f t="shared" si="152"/>
        <v>REZoning_Sol-Win</v>
      </c>
      <c r="AI1165" s="33" t="s">
        <v>2039</v>
      </c>
      <c r="AJ1165" s="44" t="s">
        <v>57</v>
      </c>
      <c r="AK1165" s="33">
        <v>2050</v>
      </c>
      <c r="AL1165" s="45" t="str">
        <f t="shared" si="151"/>
        <v>*0.9</v>
      </c>
      <c r="AM1165" s="43" t="str">
        <f t="shared" si="153"/>
        <v>REZoning_Sol-Win</v>
      </c>
      <c r="AP1165" t="s">
        <v>2039</v>
      </c>
      <c r="AQ1165" t="s">
        <v>57</v>
      </c>
      <c r="AR1165">
        <v>2100</v>
      </c>
      <c r="AS1165" t="s">
        <v>897</v>
      </c>
      <c r="AT1165" t="s">
        <v>58</v>
      </c>
    </row>
    <row r="1166" ht="29" spans="1:46">
      <c r="A1166" s="31" t="s">
        <v>73</v>
      </c>
      <c r="C1166" t="s">
        <v>2040</v>
      </c>
      <c r="D1166" s="5" t="s">
        <v>57</v>
      </c>
      <c r="E1166">
        <v>2035</v>
      </c>
      <c r="F1166" s="6" t="str">
        <f t="shared" si="146"/>
        <v>*0.95</v>
      </c>
      <c r="H1166" t="s">
        <v>2040</v>
      </c>
      <c r="I1166" s="5" t="s">
        <v>57</v>
      </c>
      <c r="J1166">
        <v>2050</v>
      </c>
      <c r="K1166" s="38" t="str">
        <f t="shared" si="147"/>
        <v>*0.93</v>
      </c>
      <c r="P1166" s="32" t="s">
        <v>2040</v>
      </c>
      <c r="Q1166" s="42" t="s">
        <v>57</v>
      </c>
      <c r="R1166" s="32">
        <v>2035</v>
      </c>
      <c r="S1166" s="43" t="str">
        <f t="shared" si="148"/>
        <v>*0.95</v>
      </c>
      <c r="U1166" s="32" t="s">
        <v>2040</v>
      </c>
      <c r="V1166" s="42" t="s">
        <v>57</v>
      </c>
      <c r="W1166" s="32">
        <v>2050</v>
      </c>
      <c r="X1166" s="43" t="str">
        <f t="shared" si="149"/>
        <v>*0.93</v>
      </c>
      <c r="AC1166" s="33" t="s">
        <v>2040</v>
      </c>
      <c r="AD1166" s="44" t="s">
        <v>57</v>
      </c>
      <c r="AE1166" s="33">
        <v>2035</v>
      </c>
      <c r="AF1166" s="45" t="str">
        <f t="shared" si="150"/>
        <v>*0.93</v>
      </c>
      <c r="AG1166" s="43" t="str">
        <f t="shared" si="152"/>
        <v>REZoning_Sol-Win</v>
      </c>
      <c r="AI1166" s="33" t="s">
        <v>2040</v>
      </c>
      <c r="AJ1166" s="44" t="s">
        <v>57</v>
      </c>
      <c r="AK1166" s="33">
        <v>2050</v>
      </c>
      <c r="AL1166" s="45" t="str">
        <f t="shared" si="151"/>
        <v>*0.9</v>
      </c>
      <c r="AM1166" s="43" t="str">
        <f t="shared" si="153"/>
        <v>REZoning_Sol-Win</v>
      </c>
      <c r="AP1166" t="s">
        <v>2040</v>
      </c>
      <c r="AQ1166" t="s">
        <v>57</v>
      </c>
      <c r="AR1166">
        <v>2100</v>
      </c>
      <c r="AS1166" t="s">
        <v>897</v>
      </c>
      <c r="AT1166" t="s">
        <v>58</v>
      </c>
    </row>
    <row r="1167" ht="29" spans="1:46">
      <c r="A1167" s="31" t="s">
        <v>73</v>
      </c>
      <c r="C1167" t="s">
        <v>2041</v>
      </c>
      <c r="D1167" s="5" t="s">
        <v>57</v>
      </c>
      <c r="E1167">
        <v>2035</v>
      </c>
      <c r="F1167" s="6" t="str">
        <f t="shared" si="146"/>
        <v>*0.95</v>
      </c>
      <c r="H1167" t="s">
        <v>2041</v>
      </c>
      <c r="I1167" s="5" t="s">
        <v>57</v>
      </c>
      <c r="J1167">
        <v>2050</v>
      </c>
      <c r="K1167" s="38" t="str">
        <f t="shared" si="147"/>
        <v>*0.93</v>
      </c>
      <c r="P1167" s="32" t="s">
        <v>2041</v>
      </c>
      <c r="Q1167" s="42" t="s">
        <v>57</v>
      </c>
      <c r="R1167" s="32">
        <v>2035</v>
      </c>
      <c r="S1167" s="43" t="str">
        <f t="shared" si="148"/>
        <v>*0.95</v>
      </c>
      <c r="U1167" s="32" t="s">
        <v>2041</v>
      </c>
      <c r="V1167" s="42" t="s">
        <v>57</v>
      </c>
      <c r="W1167" s="32">
        <v>2050</v>
      </c>
      <c r="X1167" s="43" t="str">
        <f t="shared" si="149"/>
        <v>*0.93</v>
      </c>
      <c r="AC1167" s="33" t="s">
        <v>2041</v>
      </c>
      <c r="AD1167" s="44" t="s">
        <v>57</v>
      </c>
      <c r="AE1167" s="33">
        <v>2035</v>
      </c>
      <c r="AF1167" s="45" t="str">
        <f t="shared" si="150"/>
        <v>*0.93</v>
      </c>
      <c r="AG1167" s="43" t="str">
        <f t="shared" si="152"/>
        <v>REZoning_Sol-Win</v>
      </c>
      <c r="AI1167" s="33" t="s">
        <v>2041</v>
      </c>
      <c r="AJ1167" s="44" t="s">
        <v>57</v>
      </c>
      <c r="AK1167" s="33">
        <v>2050</v>
      </c>
      <c r="AL1167" s="45" t="str">
        <f t="shared" si="151"/>
        <v>*0.9</v>
      </c>
      <c r="AM1167" s="43" t="str">
        <f t="shared" si="153"/>
        <v>REZoning_Sol-Win</v>
      </c>
      <c r="AP1167" t="s">
        <v>2041</v>
      </c>
      <c r="AQ1167" t="s">
        <v>57</v>
      </c>
      <c r="AR1167">
        <v>2100</v>
      </c>
      <c r="AS1167" t="s">
        <v>897</v>
      </c>
      <c r="AT1167" t="s">
        <v>58</v>
      </c>
    </row>
    <row r="1168" ht="29" spans="1:46">
      <c r="A1168" s="31" t="s">
        <v>73</v>
      </c>
      <c r="C1168" t="s">
        <v>2042</v>
      </c>
      <c r="D1168" s="5" t="s">
        <v>57</v>
      </c>
      <c r="E1168">
        <v>2035</v>
      </c>
      <c r="F1168" s="6" t="str">
        <f t="shared" si="146"/>
        <v>*0.95</v>
      </c>
      <c r="H1168" t="s">
        <v>2042</v>
      </c>
      <c r="I1168" s="5" t="s">
        <v>57</v>
      </c>
      <c r="J1168">
        <v>2050</v>
      </c>
      <c r="K1168" s="38" t="str">
        <f t="shared" si="147"/>
        <v>*0.93</v>
      </c>
      <c r="P1168" s="32" t="s">
        <v>2042</v>
      </c>
      <c r="Q1168" s="42" t="s">
        <v>57</v>
      </c>
      <c r="R1168" s="32">
        <v>2035</v>
      </c>
      <c r="S1168" s="43" t="str">
        <f t="shared" si="148"/>
        <v>*0.95</v>
      </c>
      <c r="U1168" s="32" t="s">
        <v>2042</v>
      </c>
      <c r="V1168" s="42" t="s">
        <v>57</v>
      </c>
      <c r="W1168" s="32">
        <v>2050</v>
      </c>
      <c r="X1168" s="43" t="str">
        <f t="shared" si="149"/>
        <v>*0.93</v>
      </c>
      <c r="AC1168" s="33" t="s">
        <v>2042</v>
      </c>
      <c r="AD1168" s="44" t="s">
        <v>57</v>
      </c>
      <c r="AE1168" s="33">
        <v>2035</v>
      </c>
      <c r="AF1168" s="45" t="str">
        <f t="shared" si="150"/>
        <v>*0.93</v>
      </c>
      <c r="AG1168" s="43" t="str">
        <f t="shared" si="152"/>
        <v>REZoning_Sol-Win</v>
      </c>
      <c r="AI1168" s="33" t="s">
        <v>2042</v>
      </c>
      <c r="AJ1168" s="44" t="s">
        <v>57</v>
      </c>
      <c r="AK1168" s="33">
        <v>2050</v>
      </c>
      <c r="AL1168" s="45" t="str">
        <f t="shared" si="151"/>
        <v>*0.9</v>
      </c>
      <c r="AM1168" s="43" t="str">
        <f t="shared" si="153"/>
        <v>REZoning_Sol-Win</v>
      </c>
      <c r="AP1168" t="s">
        <v>2042</v>
      </c>
      <c r="AQ1168" t="s">
        <v>57</v>
      </c>
      <c r="AR1168">
        <v>2100</v>
      </c>
      <c r="AS1168" t="s">
        <v>897</v>
      </c>
      <c r="AT1168" t="s">
        <v>58</v>
      </c>
    </row>
    <row r="1169" ht="29" spans="1:46">
      <c r="A1169" s="31" t="s">
        <v>73</v>
      </c>
      <c r="C1169" t="s">
        <v>2043</v>
      </c>
      <c r="D1169" s="5" t="s">
        <v>57</v>
      </c>
      <c r="E1169">
        <v>2035</v>
      </c>
      <c r="F1169" s="6" t="str">
        <f t="shared" si="146"/>
        <v>*0.95</v>
      </c>
      <c r="H1169" t="s">
        <v>2043</v>
      </c>
      <c r="I1169" s="5" t="s">
        <v>57</v>
      </c>
      <c r="J1169">
        <v>2050</v>
      </c>
      <c r="K1169" s="38" t="str">
        <f t="shared" si="147"/>
        <v>*0.93</v>
      </c>
      <c r="P1169" s="32" t="s">
        <v>2043</v>
      </c>
      <c r="Q1169" s="42" t="s">
        <v>57</v>
      </c>
      <c r="R1169" s="32">
        <v>2035</v>
      </c>
      <c r="S1169" s="43" t="str">
        <f t="shared" si="148"/>
        <v>*0.95</v>
      </c>
      <c r="U1169" s="32" t="s">
        <v>2043</v>
      </c>
      <c r="V1169" s="42" t="s">
        <v>57</v>
      </c>
      <c r="W1169" s="32">
        <v>2050</v>
      </c>
      <c r="X1169" s="43" t="str">
        <f t="shared" si="149"/>
        <v>*0.93</v>
      </c>
      <c r="AC1169" s="33" t="s">
        <v>2043</v>
      </c>
      <c r="AD1169" s="44" t="s">
        <v>57</v>
      </c>
      <c r="AE1169" s="33">
        <v>2035</v>
      </c>
      <c r="AF1169" s="45" t="str">
        <f t="shared" si="150"/>
        <v>*0.93</v>
      </c>
      <c r="AG1169" s="43" t="str">
        <f t="shared" si="152"/>
        <v>REZoning_Sol-Win</v>
      </c>
      <c r="AI1169" s="33" t="s">
        <v>2043</v>
      </c>
      <c r="AJ1169" s="44" t="s">
        <v>57</v>
      </c>
      <c r="AK1169" s="33">
        <v>2050</v>
      </c>
      <c r="AL1169" s="45" t="str">
        <f t="shared" si="151"/>
        <v>*0.9</v>
      </c>
      <c r="AM1169" s="43" t="str">
        <f t="shared" si="153"/>
        <v>REZoning_Sol-Win</v>
      </c>
      <c r="AP1169" t="s">
        <v>2043</v>
      </c>
      <c r="AQ1169" t="s">
        <v>57</v>
      </c>
      <c r="AR1169">
        <v>2100</v>
      </c>
      <c r="AS1169" t="s">
        <v>897</v>
      </c>
      <c r="AT1169" t="s">
        <v>58</v>
      </c>
    </row>
    <row r="1170" ht="29" spans="1:46">
      <c r="A1170" s="31" t="s">
        <v>73</v>
      </c>
      <c r="C1170" t="s">
        <v>2044</v>
      </c>
      <c r="D1170" s="5" t="s">
        <v>57</v>
      </c>
      <c r="E1170">
        <v>2035</v>
      </c>
      <c r="F1170" s="6" t="str">
        <f t="shared" si="146"/>
        <v>*0.95</v>
      </c>
      <c r="H1170" t="s">
        <v>2044</v>
      </c>
      <c r="I1170" s="5" t="s">
        <v>57</v>
      </c>
      <c r="J1170">
        <v>2050</v>
      </c>
      <c r="K1170" s="38" t="str">
        <f t="shared" si="147"/>
        <v>*0.93</v>
      </c>
      <c r="P1170" s="32" t="s">
        <v>2044</v>
      </c>
      <c r="Q1170" s="42" t="s">
        <v>57</v>
      </c>
      <c r="R1170" s="32">
        <v>2035</v>
      </c>
      <c r="S1170" s="43" t="str">
        <f t="shared" si="148"/>
        <v>*0.95</v>
      </c>
      <c r="U1170" s="32" t="s">
        <v>2044</v>
      </c>
      <c r="V1170" s="42" t="s">
        <v>57</v>
      </c>
      <c r="W1170" s="32">
        <v>2050</v>
      </c>
      <c r="X1170" s="43" t="str">
        <f t="shared" si="149"/>
        <v>*0.93</v>
      </c>
      <c r="AC1170" s="33" t="s">
        <v>2044</v>
      </c>
      <c r="AD1170" s="44" t="s">
        <v>57</v>
      </c>
      <c r="AE1170" s="33">
        <v>2035</v>
      </c>
      <c r="AF1170" s="45" t="str">
        <f t="shared" si="150"/>
        <v>*0.93</v>
      </c>
      <c r="AG1170" s="43" t="str">
        <f t="shared" si="152"/>
        <v>REZoning_Sol-Win</v>
      </c>
      <c r="AI1170" s="33" t="s">
        <v>2044</v>
      </c>
      <c r="AJ1170" s="44" t="s">
        <v>57</v>
      </c>
      <c r="AK1170" s="33">
        <v>2050</v>
      </c>
      <c r="AL1170" s="45" t="str">
        <f t="shared" si="151"/>
        <v>*0.9</v>
      </c>
      <c r="AM1170" s="43" t="str">
        <f t="shared" si="153"/>
        <v>REZoning_Sol-Win</v>
      </c>
      <c r="AP1170" t="s">
        <v>2044</v>
      </c>
      <c r="AQ1170" t="s">
        <v>57</v>
      </c>
      <c r="AR1170">
        <v>2100</v>
      </c>
      <c r="AS1170" t="s">
        <v>897</v>
      </c>
      <c r="AT1170" t="s">
        <v>58</v>
      </c>
    </row>
    <row r="1171" ht="29" spans="1:46">
      <c r="A1171" s="31" t="s">
        <v>73</v>
      </c>
      <c r="C1171" t="s">
        <v>2045</v>
      </c>
      <c r="D1171" s="5" t="s">
        <v>57</v>
      </c>
      <c r="E1171">
        <v>2035</v>
      </c>
      <c r="F1171" s="6" t="str">
        <f t="shared" si="146"/>
        <v>*0.95</v>
      </c>
      <c r="H1171" t="s">
        <v>2045</v>
      </c>
      <c r="I1171" s="5" t="s">
        <v>57</v>
      </c>
      <c r="J1171">
        <v>2050</v>
      </c>
      <c r="K1171" s="38" t="str">
        <f t="shared" si="147"/>
        <v>*0.93</v>
      </c>
      <c r="P1171" s="32" t="s">
        <v>2045</v>
      </c>
      <c r="Q1171" s="42" t="s">
        <v>57</v>
      </c>
      <c r="R1171" s="32">
        <v>2035</v>
      </c>
      <c r="S1171" s="43" t="str">
        <f t="shared" si="148"/>
        <v>*0.95</v>
      </c>
      <c r="U1171" s="32" t="s">
        <v>2045</v>
      </c>
      <c r="V1171" s="42" t="s">
        <v>57</v>
      </c>
      <c r="W1171" s="32">
        <v>2050</v>
      </c>
      <c r="X1171" s="43" t="str">
        <f t="shared" si="149"/>
        <v>*0.93</v>
      </c>
      <c r="AC1171" s="33" t="s">
        <v>2045</v>
      </c>
      <c r="AD1171" s="44" t="s">
        <v>57</v>
      </c>
      <c r="AE1171" s="33">
        <v>2035</v>
      </c>
      <c r="AF1171" s="45" t="str">
        <f t="shared" si="150"/>
        <v>*0.93</v>
      </c>
      <c r="AG1171" s="43" t="str">
        <f t="shared" si="152"/>
        <v>REZoning_Sol-Win</v>
      </c>
      <c r="AI1171" s="33" t="s">
        <v>2045</v>
      </c>
      <c r="AJ1171" s="44" t="s">
        <v>57</v>
      </c>
      <c r="AK1171" s="33">
        <v>2050</v>
      </c>
      <c r="AL1171" s="45" t="str">
        <f t="shared" si="151"/>
        <v>*0.9</v>
      </c>
      <c r="AM1171" s="43" t="str">
        <f t="shared" si="153"/>
        <v>REZoning_Sol-Win</v>
      </c>
      <c r="AP1171" t="s">
        <v>2045</v>
      </c>
      <c r="AQ1171" t="s">
        <v>57</v>
      </c>
      <c r="AR1171">
        <v>2100</v>
      </c>
      <c r="AS1171" t="s">
        <v>897</v>
      </c>
      <c r="AT1171" t="s">
        <v>58</v>
      </c>
    </row>
    <row r="1172" ht="29" spans="1:46">
      <c r="A1172" s="31" t="s">
        <v>83</v>
      </c>
      <c r="C1172" t="s">
        <v>2046</v>
      </c>
      <c r="D1172" s="5" t="s">
        <v>57</v>
      </c>
      <c r="E1172">
        <v>2035</v>
      </c>
      <c r="F1172" s="6" t="str">
        <f t="shared" si="146"/>
        <v>*0.95</v>
      </c>
      <c r="H1172" t="s">
        <v>2046</v>
      </c>
      <c r="I1172" s="5" t="s">
        <v>57</v>
      </c>
      <c r="J1172">
        <v>2050</v>
      </c>
      <c r="K1172" s="38" t="str">
        <f t="shared" si="147"/>
        <v>*0.92</v>
      </c>
      <c r="P1172" s="32" t="s">
        <v>2046</v>
      </c>
      <c r="Q1172" s="42" t="s">
        <v>57</v>
      </c>
      <c r="R1172" s="32">
        <v>2035</v>
      </c>
      <c r="S1172" s="43" t="str">
        <f t="shared" si="148"/>
        <v>*0.95</v>
      </c>
      <c r="U1172" s="32" t="s">
        <v>2046</v>
      </c>
      <c r="V1172" s="42" t="s">
        <v>57</v>
      </c>
      <c r="W1172" s="32">
        <v>2050</v>
      </c>
      <c r="X1172" s="43" t="str">
        <f t="shared" si="149"/>
        <v>*0.92</v>
      </c>
      <c r="AC1172" s="33" t="s">
        <v>2046</v>
      </c>
      <c r="AD1172" s="44" t="s">
        <v>57</v>
      </c>
      <c r="AE1172" s="33">
        <v>2035</v>
      </c>
      <c r="AF1172" s="45" t="str">
        <f t="shared" si="150"/>
        <v>*0.93</v>
      </c>
      <c r="AG1172" s="43" t="str">
        <f t="shared" si="152"/>
        <v>REZoning_Sol-Win</v>
      </c>
      <c r="AI1172" s="33" t="s">
        <v>2046</v>
      </c>
      <c r="AJ1172" s="44" t="s">
        <v>57</v>
      </c>
      <c r="AK1172" s="33">
        <v>2050</v>
      </c>
      <c r="AL1172" s="45" t="str">
        <f t="shared" si="151"/>
        <v>*0.89</v>
      </c>
      <c r="AM1172" s="43" t="str">
        <f t="shared" si="153"/>
        <v>REZoning_Sol-Win</v>
      </c>
      <c r="AP1172" t="s">
        <v>2046</v>
      </c>
      <c r="AQ1172" t="s">
        <v>57</v>
      </c>
      <c r="AR1172">
        <v>2100</v>
      </c>
      <c r="AS1172" t="s">
        <v>937</v>
      </c>
      <c r="AT1172" t="s">
        <v>58</v>
      </c>
    </row>
    <row r="1173" ht="29" spans="1:46">
      <c r="A1173" s="31" t="s">
        <v>83</v>
      </c>
      <c r="C1173" t="s">
        <v>2047</v>
      </c>
      <c r="D1173" s="5" t="s">
        <v>57</v>
      </c>
      <c r="E1173">
        <v>2035</v>
      </c>
      <c r="F1173" s="6" t="str">
        <f t="shared" si="146"/>
        <v>*0.95</v>
      </c>
      <c r="H1173" t="s">
        <v>2047</v>
      </c>
      <c r="I1173" s="5" t="s">
        <v>57</v>
      </c>
      <c r="J1173">
        <v>2050</v>
      </c>
      <c r="K1173" s="38" t="str">
        <f t="shared" si="147"/>
        <v>*0.92</v>
      </c>
      <c r="P1173" s="32" t="s">
        <v>2047</v>
      </c>
      <c r="Q1173" s="42" t="s">
        <v>57</v>
      </c>
      <c r="R1173" s="32">
        <v>2035</v>
      </c>
      <c r="S1173" s="43" t="str">
        <f t="shared" si="148"/>
        <v>*0.95</v>
      </c>
      <c r="U1173" s="32" t="s">
        <v>2047</v>
      </c>
      <c r="V1173" s="42" t="s">
        <v>57</v>
      </c>
      <c r="W1173" s="32">
        <v>2050</v>
      </c>
      <c r="X1173" s="43" t="str">
        <f t="shared" si="149"/>
        <v>*0.92</v>
      </c>
      <c r="AC1173" s="33" t="s">
        <v>2047</v>
      </c>
      <c r="AD1173" s="44" t="s">
        <v>57</v>
      </c>
      <c r="AE1173" s="33">
        <v>2035</v>
      </c>
      <c r="AF1173" s="45" t="str">
        <f t="shared" si="150"/>
        <v>*0.93</v>
      </c>
      <c r="AG1173" s="43" t="str">
        <f t="shared" si="152"/>
        <v>REZoning_Sol-Win</v>
      </c>
      <c r="AI1173" s="33" t="s">
        <v>2047</v>
      </c>
      <c r="AJ1173" s="44" t="s">
        <v>57</v>
      </c>
      <c r="AK1173" s="33">
        <v>2050</v>
      </c>
      <c r="AL1173" s="45" t="str">
        <f t="shared" si="151"/>
        <v>*0.89</v>
      </c>
      <c r="AM1173" s="43" t="str">
        <f t="shared" si="153"/>
        <v>REZoning_Sol-Win</v>
      </c>
      <c r="AP1173" t="s">
        <v>2047</v>
      </c>
      <c r="AQ1173" t="s">
        <v>57</v>
      </c>
      <c r="AR1173">
        <v>2100</v>
      </c>
      <c r="AS1173" t="s">
        <v>937</v>
      </c>
      <c r="AT1173" t="s">
        <v>58</v>
      </c>
    </row>
    <row r="1174" ht="29" spans="1:46">
      <c r="A1174" s="31" t="s">
        <v>83</v>
      </c>
      <c r="C1174" t="s">
        <v>2048</v>
      </c>
      <c r="D1174" s="5" t="s">
        <v>57</v>
      </c>
      <c r="E1174">
        <v>2035</v>
      </c>
      <c r="F1174" s="6" t="str">
        <f t="shared" si="146"/>
        <v>*0.95</v>
      </c>
      <c r="H1174" t="s">
        <v>2048</v>
      </c>
      <c r="I1174" s="5" t="s">
        <v>57</v>
      </c>
      <c r="J1174">
        <v>2050</v>
      </c>
      <c r="K1174" s="38" t="str">
        <f t="shared" si="147"/>
        <v>*0.92</v>
      </c>
      <c r="P1174" s="32" t="s">
        <v>2048</v>
      </c>
      <c r="Q1174" s="42" t="s">
        <v>57</v>
      </c>
      <c r="R1174" s="32">
        <v>2035</v>
      </c>
      <c r="S1174" s="43" t="str">
        <f t="shared" si="148"/>
        <v>*0.95</v>
      </c>
      <c r="U1174" s="32" t="s">
        <v>2048</v>
      </c>
      <c r="V1174" s="42" t="s">
        <v>57</v>
      </c>
      <c r="W1174" s="32">
        <v>2050</v>
      </c>
      <c r="X1174" s="43" t="str">
        <f t="shared" si="149"/>
        <v>*0.92</v>
      </c>
      <c r="AC1174" s="33" t="s">
        <v>2048</v>
      </c>
      <c r="AD1174" s="44" t="s">
        <v>57</v>
      </c>
      <c r="AE1174" s="33">
        <v>2035</v>
      </c>
      <c r="AF1174" s="45" t="str">
        <f t="shared" si="150"/>
        <v>*0.93</v>
      </c>
      <c r="AG1174" s="43" t="str">
        <f t="shared" si="152"/>
        <v>REZoning_Sol-Win</v>
      </c>
      <c r="AI1174" s="33" t="s">
        <v>2048</v>
      </c>
      <c r="AJ1174" s="44" t="s">
        <v>57</v>
      </c>
      <c r="AK1174" s="33">
        <v>2050</v>
      </c>
      <c r="AL1174" s="45" t="str">
        <f t="shared" si="151"/>
        <v>*0.89</v>
      </c>
      <c r="AM1174" s="43" t="str">
        <f t="shared" si="153"/>
        <v>REZoning_Sol-Win</v>
      </c>
      <c r="AP1174" t="s">
        <v>2048</v>
      </c>
      <c r="AQ1174" t="s">
        <v>57</v>
      </c>
      <c r="AR1174">
        <v>2100</v>
      </c>
      <c r="AS1174" t="s">
        <v>937</v>
      </c>
      <c r="AT1174" t="s">
        <v>58</v>
      </c>
    </row>
    <row r="1175" ht="29" spans="1:46">
      <c r="A1175" s="31" t="s">
        <v>79</v>
      </c>
      <c r="C1175" t="s">
        <v>2049</v>
      </c>
      <c r="D1175" s="5" t="s">
        <v>57</v>
      </c>
      <c r="E1175">
        <v>2035</v>
      </c>
      <c r="F1175" s="6" t="str">
        <f t="shared" si="146"/>
        <v>*0.94</v>
      </c>
      <c r="H1175" t="s">
        <v>2049</v>
      </c>
      <c r="I1175" s="5" t="s">
        <v>57</v>
      </c>
      <c r="J1175">
        <v>2050</v>
      </c>
      <c r="K1175" s="38" t="str">
        <f t="shared" si="147"/>
        <v>*0.9</v>
      </c>
      <c r="P1175" s="32" t="s">
        <v>2049</v>
      </c>
      <c r="Q1175" s="42" t="s">
        <v>57</v>
      </c>
      <c r="R1175" s="32">
        <v>2035</v>
      </c>
      <c r="S1175" s="43" t="str">
        <f t="shared" si="148"/>
        <v>*0.92</v>
      </c>
      <c r="U1175" s="32" t="s">
        <v>2049</v>
      </c>
      <c r="V1175" s="42" t="s">
        <v>57</v>
      </c>
      <c r="W1175" s="32">
        <v>2050</v>
      </c>
      <c r="X1175" s="43" t="str">
        <f t="shared" si="149"/>
        <v>*0.89</v>
      </c>
      <c r="AC1175" s="33" t="s">
        <v>2049</v>
      </c>
      <c r="AD1175" s="44" t="s">
        <v>57</v>
      </c>
      <c r="AE1175" s="33">
        <v>2035</v>
      </c>
      <c r="AF1175" s="45" t="str">
        <f t="shared" si="150"/>
        <v>*0.89</v>
      </c>
      <c r="AG1175" s="43" t="str">
        <f t="shared" si="152"/>
        <v>REZoning_Sol-Win</v>
      </c>
      <c r="AI1175" s="33" t="s">
        <v>2049</v>
      </c>
      <c r="AJ1175" s="44" t="s">
        <v>57</v>
      </c>
      <c r="AK1175" s="33">
        <v>2050</v>
      </c>
      <c r="AL1175" s="45" t="str">
        <f t="shared" si="151"/>
        <v>*0.84</v>
      </c>
      <c r="AM1175" s="43" t="str">
        <f t="shared" si="153"/>
        <v>REZoning_Sol-Win</v>
      </c>
      <c r="AP1175" t="s">
        <v>2049</v>
      </c>
      <c r="AQ1175" t="s">
        <v>57</v>
      </c>
      <c r="AR1175">
        <v>2100</v>
      </c>
      <c r="AS1175" t="s">
        <v>919</v>
      </c>
      <c r="AT1175" t="s">
        <v>58</v>
      </c>
    </row>
    <row r="1176" ht="29" spans="1:46">
      <c r="A1176" s="31" t="s">
        <v>79</v>
      </c>
      <c r="C1176" t="s">
        <v>2050</v>
      </c>
      <c r="D1176" s="5" t="s">
        <v>57</v>
      </c>
      <c r="E1176">
        <v>2035</v>
      </c>
      <c r="F1176" s="6" t="str">
        <f t="shared" si="146"/>
        <v>*0.94</v>
      </c>
      <c r="H1176" t="s">
        <v>2050</v>
      </c>
      <c r="I1176" s="5" t="s">
        <v>57</v>
      </c>
      <c r="J1176">
        <v>2050</v>
      </c>
      <c r="K1176" s="38" t="str">
        <f t="shared" si="147"/>
        <v>*0.9</v>
      </c>
      <c r="P1176" s="32" t="s">
        <v>2050</v>
      </c>
      <c r="Q1176" s="42" t="s">
        <v>57</v>
      </c>
      <c r="R1176" s="32">
        <v>2035</v>
      </c>
      <c r="S1176" s="43" t="str">
        <f t="shared" si="148"/>
        <v>*0.92</v>
      </c>
      <c r="U1176" s="32" t="s">
        <v>2050</v>
      </c>
      <c r="V1176" s="42" t="s">
        <v>57</v>
      </c>
      <c r="W1176" s="32">
        <v>2050</v>
      </c>
      <c r="X1176" s="43" t="str">
        <f t="shared" si="149"/>
        <v>*0.89</v>
      </c>
      <c r="AC1176" s="33" t="s">
        <v>2050</v>
      </c>
      <c r="AD1176" s="44" t="s">
        <v>57</v>
      </c>
      <c r="AE1176" s="33">
        <v>2035</v>
      </c>
      <c r="AF1176" s="45" t="str">
        <f t="shared" si="150"/>
        <v>*0.89</v>
      </c>
      <c r="AG1176" s="43" t="str">
        <f t="shared" si="152"/>
        <v>REZoning_Sol-Win</v>
      </c>
      <c r="AI1176" s="33" t="s">
        <v>2050</v>
      </c>
      <c r="AJ1176" s="44" t="s">
        <v>57</v>
      </c>
      <c r="AK1176" s="33">
        <v>2050</v>
      </c>
      <c r="AL1176" s="45" t="str">
        <f t="shared" si="151"/>
        <v>*0.84</v>
      </c>
      <c r="AM1176" s="43" t="str">
        <f t="shared" si="153"/>
        <v>REZoning_Sol-Win</v>
      </c>
      <c r="AP1176" t="s">
        <v>2050</v>
      </c>
      <c r="AQ1176" t="s">
        <v>57</v>
      </c>
      <c r="AR1176">
        <v>2100</v>
      </c>
      <c r="AS1176" t="s">
        <v>919</v>
      </c>
      <c r="AT1176" t="s">
        <v>58</v>
      </c>
    </row>
    <row r="1177" ht="29" spans="1:46">
      <c r="A1177" s="31" t="s">
        <v>79</v>
      </c>
      <c r="C1177" t="s">
        <v>2051</v>
      </c>
      <c r="D1177" s="5" t="s">
        <v>57</v>
      </c>
      <c r="E1177">
        <v>2035</v>
      </c>
      <c r="F1177" s="6" t="str">
        <f t="shared" si="146"/>
        <v>*0.94</v>
      </c>
      <c r="H1177" t="s">
        <v>2051</v>
      </c>
      <c r="I1177" s="5" t="s">
        <v>57</v>
      </c>
      <c r="J1177">
        <v>2050</v>
      </c>
      <c r="K1177" s="38" t="str">
        <f t="shared" si="147"/>
        <v>*0.9</v>
      </c>
      <c r="P1177" s="32" t="s">
        <v>2051</v>
      </c>
      <c r="Q1177" s="42" t="s">
        <v>57</v>
      </c>
      <c r="R1177" s="32">
        <v>2035</v>
      </c>
      <c r="S1177" s="43" t="str">
        <f t="shared" si="148"/>
        <v>*0.92</v>
      </c>
      <c r="U1177" s="32" t="s">
        <v>2051</v>
      </c>
      <c r="V1177" s="42" t="s">
        <v>57</v>
      </c>
      <c r="W1177" s="32">
        <v>2050</v>
      </c>
      <c r="X1177" s="43" t="str">
        <f t="shared" si="149"/>
        <v>*0.89</v>
      </c>
      <c r="AC1177" s="33" t="s">
        <v>2051</v>
      </c>
      <c r="AD1177" s="44" t="s">
        <v>57</v>
      </c>
      <c r="AE1177" s="33">
        <v>2035</v>
      </c>
      <c r="AF1177" s="45" t="str">
        <f t="shared" si="150"/>
        <v>*0.89</v>
      </c>
      <c r="AG1177" s="43" t="str">
        <f t="shared" si="152"/>
        <v>REZoning_Sol-Win</v>
      </c>
      <c r="AI1177" s="33" t="s">
        <v>2051</v>
      </c>
      <c r="AJ1177" s="44" t="s">
        <v>57</v>
      </c>
      <c r="AK1177" s="33">
        <v>2050</v>
      </c>
      <c r="AL1177" s="45" t="str">
        <f t="shared" si="151"/>
        <v>*0.84</v>
      </c>
      <c r="AM1177" s="43" t="str">
        <f t="shared" si="153"/>
        <v>REZoning_Sol-Win</v>
      </c>
      <c r="AP1177" t="s">
        <v>2051</v>
      </c>
      <c r="AQ1177" t="s">
        <v>57</v>
      </c>
      <c r="AR1177">
        <v>2100</v>
      </c>
      <c r="AS1177" t="s">
        <v>919</v>
      </c>
      <c r="AT1177" t="s">
        <v>58</v>
      </c>
    </row>
    <row r="1178" ht="29" spans="1:46">
      <c r="A1178" s="31" t="s">
        <v>494</v>
      </c>
      <c r="C1178" t="s">
        <v>2052</v>
      </c>
      <c r="D1178" s="5" t="s">
        <v>57</v>
      </c>
      <c r="E1178">
        <v>2035</v>
      </c>
      <c r="F1178" s="6" t="str">
        <f t="shared" si="146"/>
        <v>*0.94</v>
      </c>
      <c r="H1178" t="s">
        <v>2052</v>
      </c>
      <c r="I1178" s="5" t="s">
        <v>57</v>
      </c>
      <c r="J1178">
        <v>2050</v>
      </c>
      <c r="K1178" s="38" t="str">
        <f t="shared" si="147"/>
        <v>*0.92</v>
      </c>
      <c r="P1178" s="32" t="s">
        <v>2052</v>
      </c>
      <c r="Q1178" s="42" t="s">
        <v>57</v>
      </c>
      <c r="R1178" s="32">
        <v>2035</v>
      </c>
      <c r="S1178" s="43" t="str">
        <f t="shared" si="148"/>
        <v>*0.94</v>
      </c>
      <c r="U1178" s="32" t="s">
        <v>2052</v>
      </c>
      <c r="V1178" s="42" t="s">
        <v>57</v>
      </c>
      <c r="W1178" s="32">
        <v>2050</v>
      </c>
      <c r="X1178" s="43" t="str">
        <f t="shared" si="149"/>
        <v>*0.92</v>
      </c>
      <c r="AC1178" s="33" t="s">
        <v>2052</v>
      </c>
      <c r="AD1178" s="44" t="s">
        <v>57</v>
      </c>
      <c r="AE1178" s="33">
        <v>2035</v>
      </c>
      <c r="AF1178" s="45" t="str">
        <f t="shared" si="150"/>
        <v>*0.92</v>
      </c>
      <c r="AG1178" s="43" t="str">
        <f t="shared" si="152"/>
        <v>REZoning_Sol-Win</v>
      </c>
      <c r="AI1178" s="33" t="s">
        <v>2052</v>
      </c>
      <c r="AJ1178" s="44" t="s">
        <v>57</v>
      </c>
      <c r="AK1178" s="33">
        <v>2050</v>
      </c>
      <c r="AL1178" s="45" t="str">
        <f t="shared" si="151"/>
        <v>*0.89</v>
      </c>
      <c r="AM1178" s="43" t="str">
        <f t="shared" si="153"/>
        <v>REZoning_Sol-Win</v>
      </c>
      <c r="AP1178" t="s">
        <v>2052</v>
      </c>
      <c r="AQ1178" t="s">
        <v>57</v>
      </c>
      <c r="AR1178">
        <v>2100</v>
      </c>
      <c r="AS1178" t="s">
        <v>937</v>
      </c>
      <c r="AT1178" t="s">
        <v>58</v>
      </c>
    </row>
    <row r="1179" ht="29" spans="1:46">
      <c r="A1179" s="31" t="s">
        <v>494</v>
      </c>
      <c r="C1179" t="s">
        <v>2053</v>
      </c>
      <c r="D1179" s="5" t="s">
        <v>57</v>
      </c>
      <c r="E1179">
        <v>2035</v>
      </c>
      <c r="F1179" s="6" t="str">
        <f t="shared" si="146"/>
        <v>*0.94</v>
      </c>
      <c r="H1179" t="s">
        <v>2053</v>
      </c>
      <c r="I1179" s="5" t="s">
        <v>57</v>
      </c>
      <c r="J1179">
        <v>2050</v>
      </c>
      <c r="K1179" s="38" t="str">
        <f t="shared" si="147"/>
        <v>*0.92</v>
      </c>
      <c r="P1179" s="32" t="s">
        <v>2053</v>
      </c>
      <c r="Q1179" s="42" t="s">
        <v>57</v>
      </c>
      <c r="R1179" s="32">
        <v>2035</v>
      </c>
      <c r="S1179" s="43" t="str">
        <f t="shared" si="148"/>
        <v>*0.94</v>
      </c>
      <c r="U1179" s="32" t="s">
        <v>2053</v>
      </c>
      <c r="V1179" s="42" t="s">
        <v>57</v>
      </c>
      <c r="W1179" s="32">
        <v>2050</v>
      </c>
      <c r="X1179" s="43" t="str">
        <f t="shared" si="149"/>
        <v>*0.92</v>
      </c>
      <c r="AC1179" s="33" t="s">
        <v>2053</v>
      </c>
      <c r="AD1179" s="44" t="s">
        <v>57</v>
      </c>
      <c r="AE1179" s="33">
        <v>2035</v>
      </c>
      <c r="AF1179" s="45" t="str">
        <f t="shared" si="150"/>
        <v>*0.92</v>
      </c>
      <c r="AG1179" s="43" t="str">
        <f t="shared" si="152"/>
        <v>REZoning_Sol-Win</v>
      </c>
      <c r="AI1179" s="33" t="s">
        <v>2053</v>
      </c>
      <c r="AJ1179" s="44" t="s">
        <v>57</v>
      </c>
      <c r="AK1179" s="33">
        <v>2050</v>
      </c>
      <c r="AL1179" s="45" t="str">
        <f t="shared" si="151"/>
        <v>*0.89</v>
      </c>
      <c r="AM1179" s="43" t="str">
        <f t="shared" si="153"/>
        <v>REZoning_Sol-Win</v>
      </c>
      <c r="AP1179" t="s">
        <v>2053</v>
      </c>
      <c r="AQ1179" t="s">
        <v>57</v>
      </c>
      <c r="AR1179">
        <v>2100</v>
      </c>
      <c r="AS1179" t="s">
        <v>937</v>
      </c>
      <c r="AT1179" t="s">
        <v>58</v>
      </c>
    </row>
    <row r="1180" ht="29" spans="1:46">
      <c r="A1180" s="31" t="s">
        <v>494</v>
      </c>
      <c r="C1180" t="s">
        <v>2054</v>
      </c>
      <c r="D1180" s="5" t="s">
        <v>57</v>
      </c>
      <c r="E1180">
        <v>2035</v>
      </c>
      <c r="F1180" s="6" t="str">
        <f t="shared" si="146"/>
        <v>*0.94</v>
      </c>
      <c r="H1180" t="s">
        <v>2054</v>
      </c>
      <c r="I1180" s="5" t="s">
        <v>57</v>
      </c>
      <c r="J1180">
        <v>2050</v>
      </c>
      <c r="K1180" s="38" t="str">
        <f t="shared" si="147"/>
        <v>*0.92</v>
      </c>
      <c r="P1180" s="32" t="s">
        <v>2054</v>
      </c>
      <c r="Q1180" s="42" t="s">
        <v>57</v>
      </c>
      <c r="R1180" s="32">
        <v>2035</v>
      </c>
      <c r="S1180" s="43" t="str">
        <f t="shared" si="148"/>
        <v>*0.94</v>
      </c>
      <c r="U1180" s="32" t="s">
        <v>2054</v>
      </c>
      <c r="V1180" s="42" t="s">
        <v>57</v>
      </c>
      <c r="W1180" s="32">
        <v>2050</v>
      </c>
      <c r="X1180" s="43" t="str">
        <f t="shared" si="149"/>
        <v>*0.92</v>
      </c>
      <c r="AC1180" s="33" t="s">
        <v>2054</v>
      </c>
      <c r="AD1180" s="44" t="s">
        <v>57</v>
      </c>
      <c r="AE1180" s="33">
        <v>2035</v>
      </c>
      <c r="AF1180" s="45" t="str">
        <f t="shared" si="150"/>
        <v>*0.92</v>
      </c>
      <c r="AG1180" s="43" t="str">
        <f t="shared" si="152"/>
        <v>REZoning_Sol-Win</v>
      </c>
      <c r="AI1180" s="33" t="s">
        <v>2054</v>
      </c>
      <c r="AJ1180" s="44" t="s">
        <v>57</v>
      </c>
      <c r="AK1180" s="33">
        <v>2050</v>
      </c>
      <c r="AL1180" s="45" t="str">
        <f t="shared" si="151"/>
        <v>*0.89</v>
      </c>
      <c r="AM1180" s="43" t="str">
        <f t="shared" si="153"/>
        <v>REZoning_Sol-Win</v>
      </c>
      <c r="AP1180" t="s">
        <v>2054</v>
      </c>
      <c r="AQ1180" t="s">
        <v>57</v>
      </c>
      <c r="AR1180">
        <v>2100</v>
      </c>
      <c r="AS1180" t="s">
        <v>937</v>
      </c>
      <c r="AT1180" t="s">
        <v>58</v>
      </c>
    </row>
    <row r="1181" ht="29" spans="1:46">
      <c r="A1181" s="31" t="s">
        <v>494</v>
      </c>
      <c r="C1181" t="s">
        <v>2055</v>
      </c>
      <c r="D1181" s="5" t="s">
        <v>57</v>
      </c>
      <c r="E1181">
        <v>2035</v>
      </c>
      <c r="F1181" s="6" t="str">
        <f t="shared" si="146"/>
        <v>*0.94</v>
      </c>
      <c r="H1181" t="s">
        <v>2055</v>
      </c>
      <c r="I1181" s="5" t="s">
        <v>57</v>
      </c>
      <c r="J1181">
        <v>2050</v>
      </c>
      <c r="K1181" s="38" t="str">
        <f t="shared" si="147"/>
        <v>*0.92</v>
      </c>
      <c r="P1181" s="32" t="s">
        <v>2055</v>
      </c>
      <c r="Q1181" s="42" t="s">
        <v>57</v>
      </c>
      <c r="R1181" s="32">
        <v>2035</v>
      </c>
      <c r="S1181" s="43" t="str">
        <f t="shared" si="148"/>
        <v>*0.94</v>
      </c>
      <c r="U1181" s="32" t="s">
        <v>2055</v>
      </c>
      <c r="V1181" s="42" t="s">
        <v>57</v>
      </c>
      <c r="W1181" s="32">
        <v>2050</v>
      </c>
      <c r="X1181" s="43" t="str">
        <f t="shared" si="149"/>
        <v>*0.92</v>
      </c>
      <c r="AC1181" s="33" t="s">
        <v>2055</v>
      </c>
      <c r="AD1181" s="44" t="s">
        <v>57</v>
      </c>
      <c r="AE1181" s="33">
        <v>2035</v>
      </c>
      <c r="AF1181" s="45" t="str">
        <f t="shared" si="150"/>
        <v>*0.92</v>
      </c>
      <c r="AG1181" s="43" t="str">
        <f t="shared" si="152"/>
        <v>REZoning_Sol-Win</v>
      </c>
      <c r="AI1181" s="33" t="s">
        <v>2055</v>
      </c>
      <c r="AJ1181" s="44" t="s">
        <v>57</v>
      </c>
      <c r="AK1181" s="33">
        <v>2050</v>
      </c>
      <c r="AL1181" s="45" t="str">
        <f t="shared" si="151"/>
        <v>*0.89</v>
      </c>
      <c r="AM1181" s="43" t="str">
        <f t="shared" si="153"/>
        <v>REZoning_Sol-Win</v>
      </c>
      <c r="AP1181" t="s">
        <v>2055</v>
      </c>
      <c r="AQ1181" t="s">
        <v>57</v>
      </c>
      <c r="AR1181">
        <v>2100</v>
      </c>
      <c r="AS1181" t="s">
        <v>937</v>
      </c>
      <c r="AT1181" t="s">
        <v>58</v>
      </c>
    </row>
    <row r="1182" ht="29" spans="1:46">
      <c r="A1182" s="31" t="s">
        <v>494</v>
      </c>
      <c r="C1182" t="s">
        <v>2056</v>
      </c>
      <c r="D1182" s="5" t="s">
        <v>57</v>
      </c>
      <c r="E1182">
        <v>2035</v>
      </c>
      <c r="F1182" s="6" t="str">
        <f t="shared" si="146"/>
        <v>*0.94</v>
      </c>
      <c r="H1182" t="s">
        <v>2056</v>
      </c>
      <c r="I1182" s="5" t="s">
        <v>57</v>
      </c>
      <c r="J1182">
        <v>2050</v>
      </c>
      <c r="K1182" s="38" t="str">
        <f t="shared" si="147"/>
        <v>*0.92</v>
      </c>
      <c r="P1182" s="32" t="s">
        <v>2056</v>
      </c>
      <c r="Q1182" s="42" t="s">
        <v>57</v>
      </c>
      <c r="R1182" s="32">
        <v>2035</v>
      </c>
      <c r="S1182" s="43" t="str">
        <f t="shared" si="148"/>
        <v>*0.94</v>
      </c>
      <c r="U1182" s="32" t="s">
        <v>2056</v>
      </c>
      <c r="V1182" s="42" t="s">
        <v>57</v>
      </c>
      <c r="W1182" s="32">
        <v>2050</v>
      </c>
      <c r="X1182" s="43" t="str">
        <f t="shared" si="149"/>
        <v>*0.92</v>
      </c>
      <c r="AC1182" s="33" t="s">
        <v>2056</v>
      </c>
      <c r="AD1182" s="44" t="s">
        <v>57</v>
      </c>
      <c r="AE1182" s="33">
        <v>2035</v>
      </c>
      <c r="AF1182" s="45" t="str">
        <f t="shared" si="150"/>
        <v>*0.92</v>
      </c>
      <c r="AG1182" s="43" t="str">
        <f t="shared" si="152"/>
        <v>REZoning_Sol-Win</v>
      </c>
      <c r="AI1182" s="33" t="s">
        <v>2056</v>
      </c>
      <c r="AJ1182" s="44" t="s">
        <v>57</v>
      </c>
      <c r="AK1182" s="33">
        <v>2050</v>
      </c>
      <c r="AL1182" s="45" t="str">
        <f t="shared" si="151"/>
        <v>*0.89</v>
      </c>
      <c r="AM1182" s="43" t="str">
        <f t="shared" si="153"/>
        <v>REZoning_Sol-Win</v>
      </c>
      <c r="AP1182" t="s">
        <v>2056</v>
      </c>
      <c r="AQ1182" t="s">
        <v>57</v>
      </c>
      <c r="AR1182">
        <v>2100</v>
      </c>
      <c r="AS1182" t="s">
        <v>937</v>
      </c>
      <c r="AT1182" t="s">
        <v>58</v>
      </c>
    </row>
    <row r="1183" ht="29" spans="1:46">
      <c r="A1183" s="31" t="s">
        <v>494</v>
      </c>
      <c r="C1183" t="s">
        <v>2057</v>
      </c>
      <c r="D1183" s="5" t="s">
        <v>57</v>
      </c>
      <c r="E1183">
        <v>2035</v>
      </c>
      <c r="F1183" s="6" t="str">
        <f t="shared" si="146"/>
        <v>*0.94</v>
      </c>
      <c r="H1183" t="s">
        <v>2057</v>
      </c>
      <c r="I1183" s="5" t="s">
        <v>57</v>
      </c>
      <c r="J1183">
        <v>2050</v>
      </c>
      <c r="K1183" s="38" t="str">
        <f t="shared" si="147"/>
        <v>*0.92</v>
      </c>
      <c r="P1183" s="32" t="s">
        <v>2057</v>
      </c>
      <c r="Q1183" s="42" t="s">
        <v>57</v>
      </c>
      <c r="R1183" s="32">
        <v>2035</v>
      </c>
      <c r="S1183" s="43" t="str">
        <f t="shared" si="148"/>
        <v>*0.94</v>
      </c>
      <c r="U1183" s="32" t="s">
        <v>2057</v>
      </c>
      <c r="V1183" s="42" t="s">
        <v>57</v>
      </c>
      <c r="W1183" s="32">
        <v>2050</v>
      </c>
      <c r="X1183" s="43" t="str">
        <f t="shared" si="149"/>
        <v>*0.92</v>
      </c>
      <c r="AC1183" s="33" t="s">
        <v>2057</v>
      </c>
      <c r="AD1183" s="44" t="s">
        <v>57</v>
      </c>
      <c r="AE1183" s="33">
        <v>2035</v>
      </c>
      <c r="AF1183" s="45" t="str">
        <f t="shared" si="150"/>
        <v>*0.92</v>
      </c>
      <c r="AG1183" s="43" t="str">
        <f t="shared" si="152"/>
        <v>REZoning_Sol-Win</v>
      </c>
      <c r="AI1183" s="33" t="s">
        <v>2057</v>
      </c>
      <c r="AJ1183" s="44" t="s">
        <v>57</v>
      </c>
      <c r="AK1183" s="33">
        <v>2050</v>
      </c>
      <c r="AL1183" s="45" t="str">
        <f t="shared" si="151"/>
        <v>*0.89</v>
      </c>
      <c r="AM1183" s="43" t="str">
        <f t="shared" si="153"/>
        <v>REZoning_Sol-Win</v>
      </c>
      <c r="AP1183" t="s">
        <v>2057</v>
      </c>
      <c r="AQ1183" t="s">
        <v>57</v>
      </c>
      <c r="AR1183">
        <v>2100</v>
      </c>
      <c r="AS1183" t="s">
        <v>937</v>
      </c>
      <c r="AT1183" t="s">
        <v>58</v>
      </c>
    </row>
    <row r="1184" ht="29" spans="1:46">
      <c r="A1184" s="31" t="s">
        <v>494</v>
      </c>
      <c r="C1184" t="s">
        <v>2058</v>
      </c>
      <c r="D1184" s="5" t="s">
        <v>57</v>
      </c>
      <c r="E1184">
        <v>2035</v>
      </c>
      <c r="F1184" s="6" t="str">
        <f t="shared" si="146"/>
        <v>*0.94</v>
      </c>
      <c r="H1184" t="s">
        <v>2058</v>
      </c>
      <c r="I1184" s="5" t="s">
        <v>57</v>
      </c>
      <c r="J1184">
        <v>2050</v>
      </c>
      <c r="K1184" s="38" t="str">
        <f t="shared" si="147"/>
        <v>*0.92</v>
      </c>
      <c r="P1184" s="32" t="s">
        <v>2058</v>
      </c>
      <c r="Q1184" s="42" t="s">
        <v>57</v>
      </c>
      <c r="R1184" s="32">
        <v>2035</v>
      </c>
      <c r="S1184" s="43" t="str">
        <f t="shared" si="148"/>
        <v>*0.94</v>
      </c>
      <c r="U1184" s="32" t="s">
        <v>2058</v>
      </c>
      <c r="V1184" s="42" t="s">
        <v>57</v>
      </c>
      <c r="W1184" s="32">
        <v>2050</v>
      </c>
      <c r="X1184" s="43" t="str">
        <f t="shared" si="149"/>
        <v>*0.92</v>
      </c>
      <c r="AC1184" s="33" t="s">
        <v>2058</v>
      </c>
      <c r="AD1184" s="44" t="s">
        <v>57</v>
      </c>
      <c r="AE1184" s="33">
        <v>2035</v>
      </c>
      <c r="AF1184" s="45" t="str">
        <f t="shared" si="150"/>
        <v>*0.92</v>
      </c>
      <c r="AG1184" s="43" t="str">
        <f t="shared" si="152"/>
        <v>REZoning_Sol-Win</v>
      </c>
      <c r="AI1184" s="33" t="s">
        <v>2058</v>
      </c>
      <c r="AJ1184" s="44" t="s">
        <v>57</v>
      </c>
      <c r="AK1184" s="33">
        <v>2050</v>
      </c>
      <c r="AL1184" s="45" t="str">
        <f t="shared" si="151"/>
        <v>*0.89</v>
      </c>
      <c r="AM1184" s="43" t="str">
        <f t="shared" si="153"/>
        <v>REZoning_Sol-Win</v>
      </c>
      <c r="AP1184" t="s">
        <v>2058</v>
      </c>
      <c r="AQ1184" t="s">
        <v>57</v>
      </c>
      <c r="AR1184">
        <v>2100</v>
      </c>
      <c r="AS1184" t="s">
        <v>937</v>
      </c>
      <c r="AT1184" t="s">
        <v>58</v>
      </c>
    </row>
    <row r="1185" ht="29" spans="1:46">
      <c r="A1185" s="31" t="s">
        <v>494</v>
      </c>
      <c r="C1185" t="s">
        <v>2059</v>
      </c>
      <c r="D1185" s="5" t="s">
        <v>57</v>
      </c>
      <c r="E1185">
        <v>2035</v>
      </c>
      <c r="F1185" s="6" t="str">
        <f t="shared" si="146"/>
        <v>*0.94</v>
      </c>
      <c r="H1185" t="s">
        <v>2059</v>
      </c>
      <c r="I1185" s="5" t="s">
        <v>57</v>
      </c>
      <c r="J1185">
        <v>2050</v>
      </c>
      <c r="K1185" s="38" t="str">
        <f t="shared" si="147"/>
        <v>*0.92</v>
      </c>
      <c r="P1185" s="32" t="s">
        <v>2059</v>
      </c>
      <c r="Q1185" s="42" t="s">
        <v>57</v>
      </c>
      <c r="R1185" s="32">
        <v>2035</v>
      </c>
      <c r="S1185" s="43" t="str">
        <f t="shared" si="148"/>
        <v>*0.94</v>
      </c>
      <c r="U1185" s="32" t="s">
        <v>2059</v>
      </c>
      <c r="V1185" s="42" t="s">
        <v>57</v>
      </c>
      <c r="W1185" s="32">
        <v>2050</v>
      </c>
      <c r="X1185" s="43" t="str">
        <f t="shared" si="149"/>
        <v>*0.92</v>
      </c>
      <c r="AC1185" s="33" t="s">
        <v>2059</v>
      </c>
      <c r="AD1185" s="44" t="s">
        <v>57</v>
      </c>
      <c r="AE1185" s="33">
        <v>2035</v>
      </c>
      <c r="AF1185" s="45" t="str">
        <f t="shared" si="150"/>
        <v>*0.92</v>
      </c>
      <c r="AG1185" s="43" t="str">
        <f t="shared" si="152"/>
        <v>REZoning_Sol-Win</v>
      </c>
      <c r="AI1185" s="33" t="s">
        <v>2059</v>
      </c>
      <c r="AJ1185" s="44" t="s">
        <v>57</v>
      </c>
      <c r="AK1185" s="33">
        <v>2050</v>
      </c>
      <c r="AL1185" s="45" t="str">
        <f t="shared" si="151"/>
        <v>*0.89</v>
      </c>
      <c r="AM1185" s="43" t="str">
        <f t="shared" si="153"/>
        <v>REZoning_Sol-Win</v>
      </c>
      <c r="AP1185" t="s">
        <v>2059</v>
      </c>
      <c r="AQ1185" t="s">
        <v>57</v>
      </c>
      <c r="AR1185">
        <v>2100</v>
      </c>
      <c r="AS1185" t="s">
        <v>937</v>
      </c>
      <c r="AT1185" t="s">
        <v>58</v>
      </c>
    </row>
    <row r="1186" ht="29" spans="1:46">
      <c r="A1186" s="31" t="s">
        <v>494</v>
      </c>
      <c r="C1186" t="s">
        <v>2060</v>
      </c>
      <c r="D1186" s="5" t="s">
        <v>57</v>
      </c>
      <c r="E1186">
        <v>2035</v>
      </c>
      <c r="F1186" s="6" t="str">
        <f t="shared" si="146"/>
        <v>*0.94</v>
      </c>
      <c r="H1186" t="s">
        <v>2060</v>
      </c>
      <c r="I1186" s="5" t="s">
        <v>57</v>
      </c>
      <c r="J1186">
        <v>2050</v>
      </c>
      <c r="K1186" s="38" t="str">
        <f t="shared" si="147"/>
        <v>*0.92</v>
      </c>
      <c r="P1186" s="32" t="s">
        <v>2060</v>
      </c>
      <c r="Q1186" s="42" t="s">
        <v>57</v>
      </c>
      <c r="R1186" s="32">
        <v>2035</v>
      </c>
      <c r="S1186" s="43" t="str">
        <f t="shared" si="148"/>
        <v>*0.94</v>
      </c>
      <c r="U1186" s="32" t="s">
        <v>2060</v>
      </c>
      <c r="V1186" s="42" t="s">
        <v>57</v>
      </c>
      <c r="W1186" s="32">
        <v>2050</v>
      </c>
      <c r="X1186" s="43" t="str">
        <f t="shared" si="149"/>
        <v>*0.92</v>
      </c>
      <c r="AC1186" s="33" t="s">
        <v>2060</v>
      </c>
      <c r="AD1186" s="44" t="s">
        <v>57</v>
      </c>
      <c r="AE1186" s="33">
        <v>2035</v>
      </c>
      <c r="AF1186" s="45" t="str">
        <f t="shared" si="150"/>
        <v>*0.92</v>
      </c>
      <c r="AG1186" s="43" t="str">
        <f t="shared" si="152"/>
        <v>REZoning_Sol-Win</v>
      </c>
      <c r="AI1186" s="33" t="s">
        <v>2060</v>
      </c>
      <c r="AJ1186" s="44" t="s">
        <v>57</v>
      </c>
      <c r="AK1186" s="33">
        <v>2050</v>
      </c>
      <c r="AL1186" s="45" t="str">
        <f t="shared" si="151"/>
        <v>*0.89</v>
      </c>
      <c r="AM1186" s="43" t="str">
        <f t="shared" si="153"/>
        <v>REZoning_Sol-Win</v>
      </c>
      <c r="AP1186" t="s">
        <v>2060</v>
      </c>
      <c r="AQ1186" t="s">
        <v>57</v>
      </c>
      <c r="AR1186">
        <v>2100</v>
      </c>
      <c r="AS1186" t="s">
        <v>937</v>
      </c>
      <c r="AT1186" t="s">
        <v>58</v>
      </c>
    </row>
    <row r="1187" ht="29" spans="1:46">
      <c r="A1187" s="31" t="s">
        <v>494</v>
      </c>
      <c r="C1187" t="s">
        <v>2061</v>
      </c>
      <c r="D1187" s="5" t="s">
        <v>57</v>
      </c>
      <c r="E1187">
        <v>2035</v>
      </c>
      <c r="F1187" s="6" t="str">
        <f t="shared" si="146"/>
        <v>*0.94</v>
      </c>
      <c r="H1187" t="s">
        <v>2061</v>
      </c>
      <c r="I1187" s="5" t="s">
        <v>57</v>
      </c>
      <c r="J1187">
        <v>2050</v>
      </c>
      <c r="K1187" s="38" t="str">
        <f t="shared" si="147"/>
        <v>*0.92</v>
      </c>
      <c r="P1187" s="32" t="s">
        <v>2061</v>
      </c>
      <c r="Q1187" s="42" t="s">
        <v>57</v>
      </c>
      <c r="R1187" s="32">
        <v>2035</v>
      </c>
      <c r="S1187" s="43" t="str">
        <f t="shared" si="148"/>
        <v>*0.94</v>
      </c>
      <c r="U1187" s="32" t="s">
        <v>2061</v>
      </c>
      <c r="V1187" s="42" t="s">
        <v>57</v>
      </c>
      <c r="W1187" s="32">
        <v>2050</v>
      </c>
      <c r="X1187" s="43" t="str">
        <f t="shared" si="149"/>
        <v>*0.92</v>
      </c>
      <c r="AC1187" s="33" t="s">
        <v>2061</v>
      </c>
      <c r="AD1187" s="44" t="s">
        <v>57</v>
      </c>
      <c r="AE1187" s="33">
        <v>2035</v>
      </c>
      <c r="AF1187" s="45" t="str">
        <f t="shared" si="150"/>
        <v>*0.92</v>
      </c>
      <c r="AG1187" s="43" t="str">
        <f t="shared" si="152"/>
        <v>REZoning_Sol-Win</v>
      </c>
      <c r="AI1187" s="33" t="s">
        <v>2061</v>
      </c>
      <c r="AJ1187" s="44" t="s">
        <v>57</v>
      </c>
      <c r="AK1187" s="33">
        <v>2050</v>
      </c>
      <c r="AL1187" s="45" t="str">
        <f t="shared" si="151"/>
        <v>*0.89</v>
      </c>
      <c r="AM1187" s="43" t="str">
        <f t="shared" si="153"/>
        <v>REZoning_Sol-Win</v>
      </c>
      <c r="AP1187" t="s">
        <v>2061</v>
      </c>
      <c r="AQ1187" t="s">
        <v>57</v>
      </c>
      <c r="AR1187">
        <v>2100</v>
      </c>
      <c r="AS1187" t="s">
        <v>937</v>
      </c>
      <c r="AT1187" t="s">
        <v>58</v>
      </c>
    </row>
    <row r="1188" ht="29" spans="1:46">
      <c r="A1188" s="31" t="s">
        <v>494</v>
      </c>
      <c r="C1188" t="s">
        <v>2062</v>
      </c>
      <c r="D1188" s="5" t="s">
        <v>57</v>
      </c>
      <c r="E1188">
        <v>2035</v>
      </c>
      <c r="F1188" s="6" t="str">
        <f t="shared" si="146"/>
        <v>*0.94</v>
      </c>
      <c r="H1188" t="s">
        <v>2062</v>
      </c>
      <c r="I1188" s="5" t="s">
        <v>57</v>
      </c>
      <c r="J1188">
        <v>2050</v>
      </c>
      <c r="K1188" s="38" t="str">
        <f t="shared" si="147"/>
        <v>*0.92</v>
      </c>
      <c r="P1188" s="32" t="s">
        <v>2062</v>
      </c>
      <c r="Q1188" s="42" t="s">
        <v>57</v>
      </c>
      <c r="R1188" s="32">
        <v>2035</v>
      </c>
      <c r="S1188" s="43" t="str">
        <f t="shared" si="148"/>
        <v>*0.94</v>
      </c>
      <c r="U1188" s="32" t="s">
        <v>2062</v>
      </c>
      <c r="V1188" s="42" t="s">
        <v>57</v>
      </c>
      <c r="W1188" s="32">
        <v>2050</v>
      </c>
      <c r="X1188" s="43" t="str">
        <f t="shared" si="149"/>
        <v>*0.92</v>
      </c>
      <c r="AC1188" s="33" t="s">
        <v>2062</v>
      </c>
      <c r="AD1188" s="44" t="s">
        <v>57</v>
      </c>
      <c r="AE1188" s="33">
        <v>2035</v>
      </c>
      <c r="AF1188" s="45" t="str">
        <f t="shared" si="150"/>
        <v>*0.92</v>
      </c>
      <c r="AG1188" s="43" t="str">
        <f t="shared" si="152"/>
        <v>REZoning_Sol-Win</v>
      </c>
      <c r="AI1188" s="33" t="s">
        <v>2062</v>
      </c>
      <c r="AJ1188" s="44" t="s">
        <v>57</v>
      </c>
      <c r="AK1188" s="33">
        <v>2050</v>
      </c>
      <c r="AL1188" s="45" t="str">
        <f t="shared" si="151"/>
        <v>*0.89</v>
      </c>
      <c r="AM1188" s="43" t="str">
        <f t="shared" si="153"/>
        <v>REZoning_Sol-Win</v>
      </c>
      <c r="AP1188" t="s">
        <v>2062</v>
      </c>
      <c r="AQ1188" t="s">
        <v>57</v>
      </c>
      <c r="AR1188">
        <v>2100</v>
      </c>
      <c r="AS1188" t="s">
        <v>937</v>
      </c>
      <c r="AT1188" t="s">
        <v>58</v>
      </c>
    </row>
    <row r="1189" ht="29" spans="1:46">
      <c r="A1189" s="31" t="s">
        <v>494</v>
      </c>
      <c r="C1189" t="s">
        <v>2063</v>
      </c>
      <c r="D1189" s="5" t="s">
        <v>57</v>
      </c>
      <c r="E1189">
        <v>2035</v>
      </c>
      <c r="F1189" s="6" t="str">
        <f t="shared" si="146"/>
        <v>*0.94</v>
      </c>
      <c r="H1189" t="s">
        <v>2063</v>
      </c>
      <c r="I1189" s="5" t="s">
        <v>57</v>
      </c>
      <c r="J1189">
        <v>2050</v>
      </c>
      <c r="K1189" s="38" t="str">
        <f t="shared" si="147"/>
        <v>*0.92</v>
      </c>
      <c r="P1189" s="32" t="s">
        <v>2063</v>
      </c>
      <c r="Q1189" s="42" t="s">
        <v>57</v>
      </c>
      <c r="R1189" s="32">
        <v>2035</v>
      </c>
      <c r="S1189" s="43" t="str">
        <f t="shared" si="148"/>
        <v>*0.94</v>
      </c>
      <c r="U1189" s="32" t="s">
        <v>2063</v>
      </c>
      <c r="V1189" s="42" t="s">
        <v>57</v>
      </c>
      <c r="W1189" s="32">
        <v>2050</v>
      </c>
      <c r="X1189" s="43" t="str">
        <f t="shared" si="149"/>
        <v>*0.92</v>
      </c>
      <c r="AC1189" s="33" t="s">
        <v>2063</v>
      </c>
      <c r="AD1189" s="44" t="s">
        <v>57</v>
      </c>
      <c r="AE1189" s="33">
        <v>2035</v>
      </c>
      <c r="AF1189" s="45" t="str">
        <f t="shared" si="150"/>
        <v>*0.92</v>
      </c>
      <c r="AG1189" s="43" t="str">
        <f t="shared" si="152"/>
        <v>REZoning_Sol-Win</v>
      </c>
      <c r="AI1189" s="33" t="s">
        <v>2063</v>
      </c>
      <c r="AJ1189" s="44" t="s">
        <v>57</v>
      </c>
      <c r="AK1189" s="33">
        <v>2050</v>
      </c>
      <c r="AL1189" s="45" t="str">
        <f t="shared" si="151"/>
        <v>*0.89</v>
      </c>
      <c r="AM1189" s="43" t="str">
        <f t="shared" si="153"/>
        <v>REZoning_Sol-Win</v>
      </c>
      <c r="AP1189" t="s">
        <v>2063</v>
      </c>
      <c r="AQ1189" t="s">
        <v>57</v>
      </c>
      <c r="AR1189">
        <v>2100</v>
      </c>
      <c r="AS1189" t="s">
        <v>937</v>
      </c>
      <c r="AT1189" t="s">
        <v>58</v>
      </c>
    </row>
    <row r="1190" ht="29" spans="1:46">
      <c r="A1190" s="31" t="s">
        <v>494</v>
      </c>
      <c r="C1190" t="s">
        <v>2064</v>
      </c>
      <c r="D1190" s="5" t="s">
        <v>57</v>
      </c>
      <c r="E1190">
        <v>2035</v>
      </c>
      <c r="F1190" s="6" t="str">
        <f t="shared" si="146"/>
        <v>*0.94</v>
      </c>
      <c r="H1190" t="s">
        <v>2064</v>
      </c>
      <c r="I1190" s="5" t="s">
        <v>57</v>
      </c>
      <c r="J1190">
        <v>2050</v>
      </c>
      <c r="K1190" s="38" t="str">
        <f t="shared" si="147"/>
        <v>*0.92</v>
      </c>
      <c r="P1190" s="32" t="s">
        <v>2064</v>
      </c>
      <c r="Q1190" s="42" t="s">
        <v>57</v>
      </c>
      <c r="R1190" s="32">
        <v>2035</v>
      </c>
      <c r="S1190" s="43" t="str">
        <f t="shared" si="148"/>
        <v>*0.94</v>
      </c>
      <c r="U1190" s="32" t="s">
        <v>2064</v>
      </c>
      <c r="V1190" s="42" t="s">
        <v>57</v>
      </c>
      <c r="W1190" s="32">
        <v>2050</v>
      </c>
      <c r="X1190" s="43" t="str">
        <f t="shared" si="149"/>
        <v>*0.92</v>
      </c>
      <c r="AC1190" s="33" t="s">
        <v>2064</v>
      </c>
      <c r="AD1190" s="44" t="s">
        <v>57</v>
      </c>
      <c r="AE1190" s="33">
        <v>2035</v>
      </c>
      <c r="AF1190" s="45" t="str">
        <f t="shared" si="150"/>
        <v>*0.92</v>
      </c>
      <c r="AG1190" s="43" t="str">
        <f t="shared" si="152"/>
        <v>REZoning_Sol-Win</v>
      </c>
      <c r="AI1190" s="33" t="s">
        <v>2064</v>
      </c>
      <c r="AJ1190" s="44" t="s">
        <v>57</v>
      </c>
      <c r="AK1190" s="33">
        <v>2050</v>
      </c>
      <c r="AL1190" s="45" t="str">
        <f t="shared" si="151"/>
        <v>*0.89</v>
      </c>
      <c r="AM1190" s="43" t="str">
        <f t="shared" si="153"/>
        <v>REZoning_Sol-Win</v>
      </c>
      <c r="AP1190" t="s">
        <v>2064</v>
      </c>
      <c r="AQ1190" t="s">
        <v>57</v>
      </c>
      <c r="AR1190">
        <v>2100</v>
      </c>
      <c r="AS1190" t="s">
        <v>937</v>
      </c>
      <c r="AT1190" t="s">
        <v>58</v>
      </c>
    </row>
    <row r="1191" ht="29" spans="1:46">
      <c r="A1191" s="31" t="s">
        <v>494</v>
      </c>
      <c r="C1191" t="s">
        <v>2065</v>
      </c>
      <c r="D1191" s="5" t="s">
        <v>57</v>
      </c>
      <c r="E1191">
        <v>2035</v>
      </c>
      <c r="F1191" s="6" t="str">
        <f t="shared" si="146"/>
        <v>*0.94</v>
      </c>
      <c r="H1191" t="s">
        <v>2065</v>
      </c>
      <c r="I1191" s="5" t="s">
        <v>57</v>
      </c>
      <c r="J1191">
        <v>2050</v>
      </c>
      <c r="K1191" s="38" t="str">
        <f t="shared" si="147"/>
        <v>*0.92</v>
      </c>
      <c r="P1191" s="32" t="s">
        <v>2065</v>
      </c>
      <c r="Q1191" s="42" t="s">
        <v>57</v>
      </c>
      <c r="R1191" s="32">
        <v>2035</v>
      </c>
      <c r="S1191" s="43" t="str">
        <f t="shared" si="148"/>
        <v>*0.94</v>
      </c>
      <c r="U1191" s="32" t="s">
        <v>2065</v>
      </c>
      <c r="V1191" s="42" t="s">
        <v>57</v>
      </c>
      <c r="W1191" s="32">
        <v>2050</v>
      </c>
      <c r="X1191" s="43" t="str">
        <f t="shared" si="149"/>
        <v>*0.92</v>
      </c>
      <c r="AC1191" s="33" t="s">
        <v>2065</v>
      </c>
      <c r="AD1191" s="44" t="s">
        <v>57</v>
      </c>
      <c r="AE1191" s="33">
        <v>2035</v>
      </c>
      <c r="AF1191" s="45" t="str">
        <f t="shared" si="150"/>
        <v>*0.92</v>
      </c>
      <c r="AG1191" s="43" t="str">
        <f t="shared" si="152"/>
        <v>REZoning_Sol-Win</v>
      </c>
      <c r="AI1191" s="33" t="s">
        <v>2065</v>
      </c>
      <c r="AJ1191" s="44" t="s">
        <v>57</v>
      </c>
      <c r="AK1191" s="33">
        <v>2050</v>
      </c>
      <c r="AL1191" s="45" t="str">
        <f t="shared" si="151"/>
        <v>*0.89</v>
      </c>
      <c r="AM1191" s="43" t="str">
        <f t="shared" si="153"/>
        <v>REZoning_Sol-Win</v>
      </c>
      <c r="AP1191" t="s">
        <v>2065</v>
      </c>
      <c r="AQ1191" t="s">
        <v>57</v>
      </c>
      <c r="AR1191">
        <v>2100</v>
      </c>
      <c r="AS1191" t="s">
        <v>937</v>
      </c>
      <c r="AT1191" t="s">
        <v>58</v>
      </c>
    </row>
    <row r="1192" ht="29" spans="1:46">
      <c r="A1192" s="31" t="s">
        <v>494</v>
      </c>
      <c r="C1192" t="s">
        <v>2066</v>
      </c>
      <c r="D1192" s="5" t="s">
        <v>57</v>
      </c>
      <c r="E1192">
        <v>2035</v>
      </c>
      <c r="F1192" s="6" t="str">
        <f t="shared" si="146"/>
        <v>*0.94</v>
      </c>
      <c r="H1192" t="s">
        <v>2066</v>
      </c>
      <c r="I1192" s="5" t="s">
        <v>57</v>
      </c>
      <c r="J1192">
        <v>2050</v>
      </c>
      <c r="K1192" s="38" t="str">
        <f t="shared" si="147"/>
        <v>*0.92</v>
      </c>
      <c r="P1192" s="32" t="s">
        <v>2066</v>
      </c>
      <c r="Q1192" s="42" t="s">
        <v>57</v>
      </c>
      <c r="R1192" s="32">
        <v>2035</v>
      </c>
      <c r="S1192" s="43" t="str">
        <f t="shared" si="148"/>
        <v>*0.94</v>
      </c>
      <c r="U1192" s="32" t="s">
        <v>2066</v>
      </c>
      <c r="V1192" s="42" t="s">
        <v>57</v>
      </c>
      <c r="W1192" s="32">
        <v>2050</v>
      </c>
      <c r="X1192" s="43" t="str">
        <f t="shared" si="149"/>
        <v>*0.92</v>
      </c>
      <c r="AC1192" s="33" t="s">
        <v>2066</v>
      </c>
      <c r="AD1192" s="44" t="s">
        <v>57</v>
      </c>
      <c r="AE1192" s="33">
        <v>2035</v>
      </c>
      <c r="AF1192" s="45" t="str">
        <f t="shared" si="150"/>
        <v>*0.92</v>
      </c>
      <c r="AG1192" s="43" t="str">
        <f t="shared" si="152"/>
        <v>REZoning_Sol-Win</v>
      </c>
      <c r="AI1192" s="33" t="s">
        <v>2066</v>
      </c>
      <c r="AJ1192" s="44" t="s">
        <v>57</v>
      </c>
      <c r="AK1192" s="33">
        <v>2050</v>
      </c>
      <c r="AL1192" s="45" t="str">
        <f t="shared" si="151"/>
        <v>*0.89</v>
      </c>
      <c r="AM1192" s="43" t="str">
        <f t="shared" si="153"/>
        <v>REZoning_Sol-Win</v>
      </c>
      <c r="AP1192" t="s">
        <v>2066</v>
      </c>
      <c r="AQ1192" t="s">
        <v>57</v>
      </c>
      <c r="AR1192">
        <v>2100</v>
      </c>
      <c r="AS1192" t="s">
        <v>937</v>
      </c>
      <c r="AT1192" t="s">
        <v>58</v>
      </c>
    </row>
    <row r="1193" ht="29" spans="1:46">
      <c r="A1193" s="31" t="s">
        <v>494</v>
      </c>
      <c r="C1193" t="s">
        <v>2067</v>
      </c>
      <c r="D1193" s="5" t="s">
        <v>57</v>
      </c>
      <c r="E1193">
        <v>2035</v>
      </c>
      <c r="F1193" s="6" t="str">
        <f t="shared" si="146"/>
        <v>*0.94</v>
      </c>
      <c r="H1193" t="s">
        <v>2067</v>
      </c>
      <c r="I1193" s="5" t="s">
        <v>57</v>
      </c>
      <c r="J1193">
        <v>2050</v>
      </c>
      <c r="K1193" s="38" t="str">
        <f t="shared" si="147"/>
        <v>*0.92</v>
      </c>
      <c r="P1193" s="32" t="s">
        <v>2067</v>
      </c>
      <c r="Q1193" s="42" t="s">
        <v>57</v>
      </c>
      <c r="R1193" s="32">
        <v>2035</v>
      </c>
      <c r="S1193" s="43" t="str">
        <f t="shared" si="148"/>
        <v>*0.94</v>
      </c>
      <c r="U1193" s="32" t="s">
        <v>2067</v>
      </c>
      <c r="V1193" s="42" t="s">
        <v>57</v>
      </c>
      <c r="W1193" s="32">
        <v>2050</v>
      </c>
      <c r="X1193" s="43" t="str">
        <f t="shared" si="149"/>
        <v>*0.92</v>
      </c>
      <c r="AC1193" s="33" t="s">
        <v>2067</v>
      </c>
      <c r="AD1193" s="44" t="s">
        <v>57</v>
      </c>
      <c r="AE1193" s="33">
        <v>2035</v>
      </c>
      <c r="AF1193" s="45" t="str">
        <f t="shared" si="150"/>
        <v>*0.92</v>
      </c>
      <c r="AG1193" s="43" t="str">
        <f t="shared" si="152"/>
        <v>REZoning_Sol-Win</v>
      </c>
      <c r="AI1193" s="33" t="s">
        <v>2067</v>
      </c>
      <c r="AJ1193" s="44" t="s">
        <v>57</v>
      </c>
      <c r="AK1193" s="33">
        <v>2050</v>
      </c>
      <c r="AL1193" s="45" t="str">
        <f t="shared" si="151"/>
        <v>*0.89</v>
      </c>
      <c r="AM1193" s="43" t="str">
        <f t="shared" si="153"/>
        <v>REZoning_Sol-Win</v>
      </c>
      <c r="AP1193" t="s">
        <v>2067</v>
      </c>
      <c r="AQ1193" t="s">
        <v>57</v>
      </c>
      <c r="AR1193">
        <v>2100</v>
      </c>
      <c r="AS1193" t="s">
        <v>937</v>
      </c>
      <c r="AT1193" t="s">
        <v>58</v>
      </c>
    </row>
    <row r="1194" ht="29" spans="1:46">
      <c r="A1194" s="31" t="s">
        <v>494</v>
      </c>
      <c r="C1194" t="s">
        <v>2068</v>
      </c>
      <c r="D1194" s="5" t="s">
        <v>57</v>
      </c>
      <c r="E1194">
        <v>2035</v>
      </c>
      <c r="F1194" s="6" t="str">
        <f t="shared" si="146"/>
        <v>*0.94</v>
      </c>
      <c r="H1194" t="s">
        <v>2068</v>
      </c>
      <c r="I1194" s="5" t="s">
        <v>57</v>
      </c>
      <c r="J1194">
        <v>2050</v>
      </c>
      <c r="K1194" s="38" t="str">
        <f t="shared" si="147"/>
        <v>*0.92</v>
      </c>
      <c r="P1194" s="32" t="s">
        <v>2068</v>
      </c>
      <c r="Q1194" s="42" t="s">
        <v>57</v>
      </c>
      <c r="R1194" s="32">
        <v>2035</v>
      </c>
      <c r="S1194" s="43" t="str">
        <f t="shared" si="148"/>
        <v>*0.94</v>
      </c>
      <c r="U1194" s="32" t="s">
        <v>2068</v>
      </c>
      <c r="V1194" s="42" t="s">
        <v>57</v>
      </c>
      <c r="W1194" s="32">
        <v>2050</v>
      </c>
      <c r="X1194" s="43" t="str">
        <f t="shared" si="149"/>
        <v>*0.92</v>
      </c>
      <c r="AC1194" s="33" t="s">
        <v>2068</v>
      </c>
      <c r="AD1194" s="44" t="s">
        <v>57</v>
      </c>
      <c r="AE1194" s="33">
        <v>2035</v>
      </c>
      <c r="AF1194" s="45" t="str">
        <f t="shared" si="150"/>
        <v>*0.92</v>
      </c>
      <c r="AG1194" s="43" t="str">
        <f t="shared" si="152"/>
        <v>REZoning_Sol-Win</v>
      </c>
      <c r="AI1194" s="33" t="s">
        <v>2068</v>
      </c>
      <c r="AJ1194" s="44" t="s">
        <v>57</v>
      </c>
      <c r="AK1194" s="33">
        <v>2050</v>
      </c>
      <c r="AL1194" s="45" t="str">
        <f t="shared" si="151"/>
        <v>*0.89</v>
      </c>
      <c r="AM1194" s="43" t="str">
        <f t="shared" si="153"/>
        <v>REZoning_Sol-Win</v>
      </c>
      <c r="AP1194" t="s">
        <v>2068</v>
      </c>
      <c r="AQ1194" t="s">
        <v>57</v>
      </c>
      <c r="AR1194">
        <v>2100</v>
      </c>
      <c r="AS1194" t="s">
        <v>937</v>
      </c>
      <c r="AT1194" t="s">
        <v>58</v>
      </c>
    </row>
    <row r="1195" ht="29" spans="1:46">
      <c r="A1195" s="31" t="s">
        <v>494</v>
      </c>
      <c r="C1195" t="s">
        <v>2069</v>
      </c>
      <c r="D1195" s="5" t="s">
        <v>57</v>
      </c>
      <c r="E1195">
        <v>2035</v>
      </c>
      <c r="F1195" s="6" t="str">
        <f t="shared" si="146"/>
        <v>*0.94</v>
      </c>
      <c r="H1195" t="s">
        <v>2069</v>
      </c>
      <c r="I1195" s="5" t="s">
        <v>57</v>
      </c>
      <c r="J1195">
        <v>2050</v>
      </c>
      <c r="K1195" s="38" t="str">
        <f t="shared" si="147"/>
        <v>*0.92</v>
      </c>
      <c r="P1195" s="32" t="s">
        <v>2069</v>
      </c>
      <c r="Q1195" s="42" t="s">
        <v>57</v>
      </c>
      <c r="R1195" s="32">
        <v>2035</v>
      </c>
      <c r="S1195" s="43" t="str">
        <f t="shared" si="148"/>
        <v>*0.94</v>
      </c>
      <c r="U1195" s="32" t="s">
        <v>2069</v>
      </c>
      <c r="V1195" s="42" t="s">
        <v>57</v>
      </c>
      <c r="W1195" s="32">
        <v>2050</v>
      </c>
      <c r="X1195" s="43" t="str">
        <f t="shared" si="149"/>
        <v>*0.92</v>
      </c>
      <c r="AC1195" s="33" t="s">
        <v>2069</v>
      </c>
      <c r="AD1195" s="44" t="s">
        <v>57</v>
      </c>
      <c r="AE1195" s="33">
        <v>2035</v>
      </c>
      <c r="AF1195" s="45" t="str">
        <f t="shared" si="150"/>
        <v>*0.92</v>
      </c>
      <c r="AG1195" s="43" t="str">
        <f t="shared" si="152"/>
        <v>REZoning_Sol-Win</v>
      </c>
      <c r="AI1195" s="33" t="s">
        <v>2069</v>
      </c>
      <c r="AJ1195" s="44" t="s">
        <v>57</v>
      </c>
      <c r="AK1195" s="33">
        <v>2050</v>
      </c>
      <c r="AL1195" s="45" t="str">
        <f t="shared" si="151"/>
        <v>*0.89</v>
      </c>
      <c r="AM1195" s="43" t="str">
        <f t="shared" si="153"/>
        <v>REZoning_Sol-Win</v>
      </c>
      <c r="AP1195" t="s">
        <v>2069</v>
      </c>
      <c r="AQ1195" t="s">
        <v>57</v>
      </c>
      <c r="AR1195">
        <v>2100</v>
      </c>
      <c r="AS1195" t="s">
        <v>937</v>
      </c>
      <c r="AT1195" t="s">
        <v>58</v>
      </c>
    </row>
    <row r="1196" ht="29" spans="1:46">
      <c r="A1196" s="31" t="s">
        <v>494</v>
      </c>
      <c r="C1196" t="s">
        <v>2070</v>
      </c>
      <c r="D1196" s="5" t="s">
        <v>57</v>
      </c>
      <c r="E1196">
        <v>2035</v>
      </c>
      <c r="F1196" s="6" t="str">
        <f t="shared" si="146"/>
        <v>*0.94</v>
      </c>
      <c r="H1196" t="s">
        <v>2070</v>
      </c>
      <c r="I1196" s="5" t="s">
        <v>57</v>
      </c>
      <c r="J1196">
        <v>2050</v>
      </c>
      <c r="K1196" s="38" t="str">
        <f t="shared" si="147"/>
        <v>*0.92</v>
      </c>
      <c r="P1196" s="32" t="s">
        <v>2070</v>
      </c>
      <c r="Q1196" s="42" t="s">
        <v>57</v>
      </c>
      <c r="R1196" s="32">
        <v>2035</v>
      </c>
      <c r="S1196" s="43" t="str">
        <f t="shared" si="148"/>
        <v>*0.94</v>
      </c>
      <c r="U1196" s="32" t="s">
        <v>2070</v>
      </c>
      <c r="V1196" s="42" t="s">
        <v>57</v>
      </c>
      <c r="W1196" s="32">
        <v>2050</v>
      </c>
      <c r="X1196" s="43" t="str">
        <f t="shared" si="149"/>
        <v>*0.92</v>
      </c>
      <c r="AC1196" s="33" t="s">
        <v>2070</v>
      </c>
      <c r="AD1196" s="44" t="s">
        <v>57</v>
      </c>
      <c r="AE1196" s="33">
        <v>2035</v>
      </c>
      <c r="AF1196" s="45" t="str">
        <f t="shared" si="150"/>
        <v>*0.92</v>
      </c>
      <c r="AG1196" s="43" t="str">
        <f t="shared" si="152"/>
        <v>REZoning_Sol-Win</v>
      </c>
      <c r="AI1196" s="33" t="s">
        <v>2070</v>
      </c>
      <c r="AJ1196" s="44" t="s">
        <v>57</v>
      </c>
      <c r="AK1196" s="33">
        <v>2050</v>
      </c>
      <c r="AL1196" s="45" t="str">
        <f t="shared" si="151"/>
        <v>*0.89</v>
      </c>
      <c r="AM1196" s="43" t="str">
        <f t="shared" si="153"/>
        <v>REZoning_Sol-Win</v>
      </c>
      <c r="AP1196" t="s">
        <v>2070</v>
      </c>
      <c r="AQ1196" t="s">
        <v>57</v>
      </c>
      <c r="AR1196">
        <v>2100</v>
      </c>
      <c r="AS1196" t="s">
        <v>937</v>
      </c>
      <c r="AT1196" t="s">
        <v>58</v>
      </c>
    </row>
    <row r="1197" ht="29" spans="1:46">
      <c r="A1197" s="31" t="s">
        <v>494</v>
      </c>
      <c r="C1197" t="s">
        <v>2071</v>
      </c>
      <c r="D1197" s="5" t="s">
        <v>57</v>
      </c>
      <c r="E1197">
        <v>2035</v>
      </c>
      <c r="F1197" s="6" t="str">
        <f t="shared" si="146"/>
        <v>*0.94</v>
      </c>
      <c r="H1197" t="s">
        <v>2071</v>
      </c>
      <c r="I1197" s="5" t="s">
        <v>57</v>
      </c>
      <c r="J1197">
        <v>2050</v>
      </c>
      <c r="K1197" s="38" t="str">
        <f t="shared" si="147"/>
        <v>*0.92</v>
      </c>
      <c r="P1197" s="32" t="s">
        <v>2071</v>
      </c>
      <c r="Q1197" s="42" t="s">
        <v>57</v>
      </c>
      <c r="R1197" s="32">
        <v>2035</v>
      </c>
      <c r="S1197" s="43" t="str">
        <f t="shared" si="148"/>
        <v>*0.94</v>
      </c>
      <c r="U1197" s="32" t="s">
        <v>2071</v>
      </c>
      <c r="V1197" s="42" t="s">
        <v>57</v>
      </c>
      <c r="W1197" s="32">
        <v>2050</v>
      </c>
      <c r="X1197" s="43" t="str">
        <f t="shared" si="149"/>
        <v>*0.92</v>
      </c>
      <c r="AC1197" s="33" t="s">
        <v>2071</v>
      </c>
      <c r="AD1197" s="44" t="s">
        <v>57</v>
      </c>
      <c r="AE1197" s="33">
        <v>2035</v>
      </c>
      <c r="AF1197" s="45" t="str">
        <f t="shared" si="150"/>
        <v>*0.92</v>
      </c>
      <c r="AG1197" s="43" t="str">
        <f t="shared" si="152"/>
        <v>REZoning_Sol-Win</v>
      </c>
      <c r="AI1197" s="33" t="s">
        <v>2071</v>
      </c>
      <c r="AJ1197" s="44" t="s">
        <v>57</v>
      </c>
      <c r="AK1197" s="33">
        <v>2050</v>
      </c>
      <c r="AL1197" s="45" t="str">
        <f t="shared" si="151"/>
        <v>*0.89</v>
      </c>
      <c r="AM1197" s="43" t="str">
        <f t="shared" si="153"/>
        <v>REZoning_Sol-Win</v>
      </c>
      <c r="AP1197" t="s">
        <v>2071</v>
      </c>
      <c r="AQ1197" t="s">
        <v>57</v>
      </c>
      <c r="AR1197">
        <v>2100</v>
      </c>
      <c r="AS1197" t="s">
        <v>937</v>
      </c>
      <c r="AT1197" t="s">
        <v>58</v>
      </c>
    </row>
    <row r="1198" ht="29" spans="1:46">
      <c r="A1198" s="31" t="s">
        <v>494</v>
      </c>
      <c r="C1198" t="s">
        <v>2072</v>
      </c>
      <c r="D1198" s="5" t="s">
        <v>57</v>
      </c>
      <c r="E1198">
        <v>2035</v>
      </c>
      <c r="F1198" s="6" t="str">
        <f t="shared" si="146"/>
        <v>*0.94</v>
      </c>
      <c r="H1198" t="s">
        <v>2072</v>
      </c>
      <c r="I1198" s="5" t="s">
        <v>57</v>
      </c>
      <c r="J1198">
        <v>2050</v>
      </c>
      <c r="K1198" s="38" t="str">
        <f t="shared" si="147"/>
        <v>*0.92</v>
      </c>
      <c r="P1198" s="32" t="s">
        <v>2072</v>
      </c>
      <c r="Q1198" s="42" t="s">
        <v>57</v>
      </c>
      <c r="R1198" s="32">
        <v>2035</v>
      </c>
      <c r="S1198" s="43" t="str">
        <f t="shared" si="148"/>
        <v>*0.94</v>
      </c>
      <c r="U1198" s="32" t="s">
        <v>2072</v>
      </c>
      <c r="V1198" s="42" t="s">
        <v>57</v>
      </c>
      <c r="W1198" s="32">
        <v>2050</v>
      </c>
      <c r="X1198" s="43" t="str">
        <f t="shared" si="149"/>
        <v>*0.92</v>
      </c>
      <c r="AC1198" s="33" t="s">
        <v>2072</v>
      </c>
      <c r="AD1198" s="44" t="s">
        <v>57</v>
      </c>
      <c r="AE1198" s="33">
        <v>2035</v>
      </c>
      <c r="AF1198" s="45" t="str">
        <f t="shared" si="150"/>
        <v>*0.92</v>
      </c>
      <c r="AG1198" s="43" t="str">
        <f t="shared" si="152"/>
        <v>REZoning_Sol-Win</v>
      </c>
      <c r="AI1198" s="33" t="s">
        <v>2072</v>
      </c>
      <c r="AJ1198" s="44" t="s">
        <v>57</v>
      </c>
      <c r="AK1198" s="33">
        <v>2050</v>
      </c>
      <c r="AL1198" s="45" t="str">
        <f t="shared" si="151"/>
        <v>*0.89</v>
      </c>
      <c r="AM1198" s="43" t="str">
        <f t="shared" si="153"/>
        <v>REZoning_Sol-Win</v>
      </c>
      <c r="AP1198" t="s">
        <v>2072</v>
      </c>
      <c r="AQ1198" t="s">
        <v>57</v>
      </c>
      <c r="AR1198">
        <v>2100</v>
      </c>
      <c r="AS1198" t="s">
        <v>937</v>
      </c>
      <c r="AT1198" t="s">
        <v>58</v>
      </c>
    </row>
    <row r="1199" ht="29" spans="1:46">
      <c r="A1199" s="31" t="s">
        <v>494</v>
      </c>
      <c r="C1199" t="s">
        <v>2073</v>
      </c>
      <c r="D1199" s="5" t="s">
        <v>57</v>
      </c>
      <c r="E1199">
        <v>2035</v>
      </c>
      <c r="F1199" s="6" t="str">
        <f t="shared" si="146"/>
        <v>*0.94</v>
      </c>
      <c r="H1199" t="s">
        <v>2073</v>
      </c>
      <c r="I1199" s="5" t="s">
        <v>57</v>
      </c>
      <c r="J1199">
        <v>2050</v>
      </c>
      <c r="K1199" s="38" t="str">
        <f t="shared" si="147"/>
        <v>*0.92</v>
      </c>
      <c r="P1199" s="32" t="s">
        <v>2073</v>
      </c>
      <c r="Q1199" s="42" t="s">
        <v>57</v>
      </c>
      <c r="R1199" s="32">
        <v>2035</v>
      </c>
      <c r="S1199" s="43" t="str">
        <f t="shared" si="148"/>
        <v>*0.94</v>
      </c>
      <c r="U1199" s="32" t="s">
        <v>2073</v>
      </c>
      <c r="V1199" s="42" t="s">
        <v>57</v>
      </c>
      <c r="W1199" s="32">
        <v>2050</v>
      </c>
      <c r="X1199" s="43" t="str">
        <f t="shared" si="149"/>
        <v>*0.92</v>
      </c>
      <c r="AC1199" s="33" t="s">
        <v>2073</v>
      </c>
      <c r="AD1199" s="44" t="s">
        <v>57</v>
      </c>
      <c r="AE1199" s="33">
        <v>2035</v>
      </c>
      <c r="AF1199" s="45" t="str">
        <f t="shared" si="150"/>
        <v>*0.92</v>
      </c>
      <c r="AG1199" s="43" t="str">
        <f t="shared" si="152"/>
        <v>REZoning_Sol-Win</v>
      </c>
      <c r="AI1199" s="33" t="s">
        <v>2073</v>
      </c>
      <c r="AJ1199" s="44" t="s">
        <v>57</v>
      </c>
      <c r="AK1199" s="33">
        <v>2050</v>
      </c>
      <c r="AL1199" s="45" t="str">
        <f t="shared" si="151"/>
        <v>*0.89</v>
      </c>
      <c r="AM1199" s="43" t="str">
        <f t="shared" si="153"/>
        <v>REZoning_Sol-Win</v>
      </c>
      <c r="AP1199" t="s">
        <v>2073</v>
      </c>
      <c r="AQ1199" t="s">
        <v>57</v>
      </c>
      <c r="AR1199">
        <v>2100</v>
      </c>
      <c r="AS1199" t="s">
        <v>937</v>
      </c>
      <c r="AT1199" t="s">
        <v>58</v>
      </c>
    </row>
    <row r="1200" ht="29" spans="1:46">
      <c r="A1200" s="31" t="s">
        <v>494</v>
      </c>
      <c r="C1200" t="s">
        <v>2074</v>
      </c>
      <c r="D1200" s="5" t="s">
        <v>57</v>
      </c>
      <c r="E1200">
        <v>2035</v>
      </c>
      <c r="F1200" s="6" t="str">
        <f t="shared" si="146"/>
        <v>*0.94</v>
      </c>
      <c r="H1200" t="s">
        <v>2074</v>
      </c>
      <c r="I1200" s="5" t="s">
        <v>57</v>
      </c>
      <c r="J1200">
        <v>2050</v>
      </c>
      <c r="K1200" s="38" t="str">
        <f t="shared" si="147"/>
        <v>*0.92</v>
      </c>
      <c r="P1200" s="32" t="s">
        <v>2074</v>
      </c>
      <c r="Q1200" s="42" t="s">
        <v>57</v>
      </c>
      <c r="R1200" s="32">
        <v>2035</v>
      </c>
      <c r="S1200" s="43" t="str">
        <f t="shared" si="148"/>
        <v>*0.94</v>
      </c>
      <c r="U1200" s="32" t="s">
        <v>2074</v>
      </c>
      <c r="V1200" s="42" t="s">
        <v>57</v>
      </c>
      <c r="W1200" s="32">
        <v>2050</v>
      </c>
      <c r="X1200" s="43" t="str">
        <f t="shared" si="149"/>
        <v>*0.92</v>
      </c>
      <c r="AC1200" s="33" t="s">
        <v>2074</v>
      </c>
      <c r="AD1200" s="44" t="s">
        <v>57</v>
      </c>
      <c r="AE1200" s="33">
        <v>2035</v>
      </c>
      <c r="AF1200" s="45" t="str">
        <f t="shared" si="150"/>
        <v>*0.92</v>
      </c>
      <c r="AG1200" s="43" t="str">
        <f t="shared" si="152"/>
        <v>REZoning_Sol-Win</v>
      </c>
      <c r="AI1200" s="33" t="s">
        <v>2074</v>
      </c>
      <c r="AJ1200" s="44" t="s">
        <v>57</v>
      </c>
      <c r="AK1200" s="33">
        <v>2050</v>
      </c>
      <c r="AL1200" s="45" t="str">
        <f t="shared" si="151"/>
        <v>*0.89</v>
      </c>
      <c r="AM1200" s="43" t="str">
        <f t="shared" si="153"/>
        <v>REZoning_Sol-Win</v>
      </c>
      <c r="AP1200" t="s">
        <v>2074</v>
      </c>
      <c r="AQ1200" t="s">
        <v>57</v>
      </c>
      <c r="AR1200">
        <v>2100</v>
      </c>
      <c r="AS1200" t="s">
        <v>937</v>
      </c>
      <c r="AT1200" t="s">
        <v>58</v>
      </c>
    </row>
    <row r="1201" ht="29" spans="1:46">
      <c r="A1201" s="31" t="s">
        <v>494</v>
      </c>
      <c r="C1201" t="s">
        <v>2075</v>
      </c>
      <c r="D1201" s="5" t="s">
        <v>57</v>
      </c>
      <c r="E1201">
        <v>2035</v>
      </c>
      <c r="F1201" s="6" t="str">
        <f t="shared" si="146"/>
        <v>*0.94</v>
      </c>
      <c r="H1201" t="s">
        <v>2075</v>
      </c>
      <c r="I1201" s="5" t="s">
        <v>57</v>
      </c>
      <c r="J1201">
        <v>2050</v>
      </c>
      <c r="K1201" s="38" t="str">
        <f t="shared" si="147"/>
        <v>*0.92</v>
      </c>
      <c r="P1201" s="32" t="s">
        <v>2075</v>
      </c>
      <c r="Q1201" s="42" t="s">
        <v>57</v>
      </c>
      <c r="R1201" s="32">
        <v>2035</v>
      </c>
      <c r="S1201" s="43" t="str">
        <f t="shared" si="148"/>
        <v>*0.94</v>
      </c>
      <c r="U1201" s="32" t="s">
        <v>2075</v>
      </c>
      <c r="V1201" s="42" t="s">
        <v>57</v>
      </c>
      <c r="W1201" s="32">
        <v>2050</v>
      </c>
      <c r="X1201" s="43" t="str">
        <f t="shared" si="149"/>
        <v>*0.92</v>
      </c>
      <c r="AC1201" s="33" t="s">
        <v>2075</v>
      </c>
      <c r="AD1201" s="44" t="s">
        <v>57</v>
      </c>
      <c r="AE1201" s="33">
        <v>2035</v>
      </c>
      <c r="AF1201" s="45" t="str">
        <f t="shared" si="150"/>
        <v>*0.92</v>
      </c>
      <c r="AG1201" s="43" t="str">
        <f t="shared" si="152"/>
        <v>REZoning_Sol-Win</v>
      </c>
      <c r="AI1201" s="33" t="s">
        <v>2075</v>
      </c>
      <c r="AJ1201" s="44" t="s">
        <v>57</v>
      </c>
      <c r="AK1201" s="33">
        <v>2050</v>
      </c>
      <c r="AL1201" s="45" t="str">
        <f t="shared" si="151"/>
        <v>*0.89</v>
      </c>
      <c r="AM1201" s="43" t="str">
        <f t="shared" si="153"/>
        <v>REZoning_Sol-Win</v>
      </c>
      <c r="AP1201" t="s">
        <v>2075</v>
      </c>
      <c r="AQ1201" t="s">
        <v>57</v>
      </c>
      <c r="AR1201">
        <v>2100</v>
      </c>
      <c r="AS1201" t="s">
        <v>937</v>
      </c>
      <c r="AT1201" t="s">
        <v>58</v>
      </c>
    </row>
    <row r="1202" ht="29" spans="1:46">
      <c r="A1202" s="31" t="s">
        <v>494</v>
      </c>
      <c r="C1202" t="s">
        <v>2076</v>
      </c>
      <c r="D1202" s="5" t="s">
        <v>57</v>
      </c>
      <c r="E1202">
        <v>2035</v>
      </c>
      <c r="F1202" s="6" t="str">
        <f t="shared" si="146"/>
        <v>*0.94</v>
      </c>
      <c r="H1202" t="s">
        <v>2076</v>
      </c>
      <c r="I1202" s="5" t="s">
        <v>57</v>
      </c>
      <c r="J1202">
        <v>2050</v>
      </c>
      <c r="K1202" s="38" t="str">
        <f t="shared" si="147"/>
        <v>*0.92</v>
      </c>
      <c r="P1202" s="32" t="s">
        <v>2076</v>
      </c>
      <c r="Q1202" s="42" t="s">
        <v>57</v>
      </c>
      <c r="R1202" s="32">
        <v>2035</v>
      </c>
      <c r="S1202" s="43" t="str">
        <f t="shared" si="148"/>
        <v>*0.94</v>
      </c>
      <c r="U1202" s="32" t="s">
        <v>2076</v>
      </c>
      <c r="V1202" s="42" t="s">
        <v>57</v>
      </c>
      <c r="W1202" s="32">
        <v>2050</v>
      </c>
      <c r="X1202" s="43" t="str">
        <f t="shared" si="149"/>
        <v>*0.92</v>
      </c>
      <c r="AC1202" s="33" t="s">
        <v>2076</v>
      </c>
      <c r="AD1202" s="44" t="s">
        <v>57</v>
      </c>
      <c r="AE1202" s="33">
        <v>2035</v>
      </c>
      <c r="AF1202" s="45" t="str">
        <f t="shared" si="150"/>
        <v>*0.92</v>
      </c>
      <c r="AG1202" s="43" t="str">
        <f t="shared" si="152"/>
        <v>REZoning_Sol-Win</v>
      </c>
      <c r="AI1202" s="33" t="s">
        <v>2076</v>
      </c>
      <c r="AJ1202" s="44" t="s">
        <v>57</v>
      </c>
      <c r="AK1202" s="33">
        <v>2050</v>
      </c>
      <c r="AL1202" s="45" t="str">
        <f t="shared" si="151"/>
        <v>*0.89</v>
      </c>
      <c r="AM1202" s="43" t="str">
        <f t="shared" si="153"/>
        <v>REZoning_Sol-Win</v>
      </c>
      <c r="AP1202" t="s">
        <v>2076</v>
      </c>
      <c r="AQ1202" t="s">
        <v>57</v>
      </c>
      <c r="AR1202">
        <v>2100</v>
      </c>
      <c r="AS1202" t="s">
        <v>937</v>
      </c>
      <c r="AT1202" t="s">
        <v>58</v>
      </c>
    </row>
    <row r="1203" ht="29" spans="1:46">
      <c r="A1203" s="31" t="s">
        <v>494</v>
      </c>
      <c r="C1203" t="s">
        <v>2077</v>
      </c>
      <c r="D1203" s="5" t="s">
        <v>57</v>
      </c>
      <c r="E1203">
        <v>2035</v>
      </c>
      <c r="F1203" s="6" t="str">
        <f t="shared" si="146"/>
        <v>*0.94</v>
      </c>
      <c r="H1203" t="s">
        <v>2077</v>
      </c>
      <c r="I1203" s="5" t="s">
        <v>57</v>
      </c>
      <c r="J1203">
        <v>2050</v>
      </c>
      <c r="K1203" s="38" t="str">
        <f t="shared" si="147"/>
        <v>*0.92</v>
      </c>
      <c r="P1203" s="32" t="s">
        <v>2077</v>
      </c>
      <c r="Q1203" s="42" t="s">
        <v>57</v>
      </c>
      <c r="R1203" s="32">
        <v>2035</v>
      </c>
      <c r="S1203" s="43" t="str">
        <f t="shared" si="148"/>
        <v>*0.94</v>
      </c>
      <c r="U1203" s="32" t="s">
        <v>2077</v>
      </c>
      <c r="V1203" s="42" t="s">
        <v>57</v>
      </c>
      <c r="W1203" s="32">
        <v>2050</v>
      </c>
      <c r="X1203" s="43" t="str">
        <f t="shared" si="149"/>
        <v>*0.92</v>
      </c>
      <c r="AC1203" s="33" t="s">
        <v>2077</v>
      </c>
      <c r="AD1203" s="44" t="s">
        <v>57</v>
      </c>
      <c r="AE1203" s="33">
        <v>2035</v>
      </c>
      <c r="AF1203" s="45" t="str">
        <f t="shared" si="150"/>
        <v>*0.92</v>
      </c>
      <c r="AG1203" s="43" t="str">
        <f t="shared" si="152"/>
        <v>REZoning_Sol-Win</v>
      </c>
      <c r="AI1203" s="33" t="s">
        <v>2077</v>
      </c>
      <c r="AJ1203" s="44" t="s">
        <v>57</v>
      </c>
      <c r="AK1203" s="33">
        <v>2050</v>
      </c>
      <c r="AL1203" s="45" t="str">
        <f t="shared" si="151"/>
        <v>*0.89</v>
      </c>
      <c r="AM1203" s="43" t="str">
        <f t="shared" si="153"/>
        <v>REZoning_Sol-Win</v>
      </c>
      <c r="AP1203" t="s">
        <v>2077</v>
      </c>
      <c r="AQ1203" t="s">
        <v>57</v>
      </c>
      <c r="AR1203">
        <v>2100</v>
      </c>
      <c r="AS1203" t="s">
        <v>937</v>
      </c>
      <c r="AT1203" t="s">
        <v>58</v>
      </c>
    </row>
    <row r="1204" ht="29" spans="1:46">
      <c r="A1204" s="31" t="s">
        <v>494</v>
      </c>
      <c r="C1204" t="s">
        <v>2078</v>
      </c>
      <c r="D1204" s="5" t="s">
        <v>57</v>
      </c>
      <c r="E1204">
        <v>2035</v>
      </c>
      <c r="F1204" s="6" t="str">
        <f t="shared" si="146"/>
        <v>*0.94</v>
      </c>
      <c r="H1204" t="s">
        <v>2078</v>
      </c>
      <c r="I1204" s="5" t="s">
        <v>57</v>
      </c>
      <c r="J1204">
        <v>2050</v>
      </c>
      <c r="K1204" s="38" t="str">
        <f t="shared" si="147"/>
        <v>*0.92</v>
      </c>
      <c r="P1204" s="32" t="s">
        <v>2078</v>
      </c>
      <c r="Q1204" s="42" t="s">
        <v>57</v>
      </c>
      <c r="R1204" s="32">
        <v>2035</v>
      </c>
      <c r="S1204" s="43" t="str">
        <f t="shared" si="148"/>
        <v>*0.94</v>
      </c>
      <c r="U1204" s="32" t="s">
        <v>2078</v>
      </c>
      <c r="V1204" s="42" t="s">
        <v>57</v>
      </c>
      <c r="W1204" s="32">
        <v>2050</v>
      </c>
      <c r="X1204" s="43" t="str">
        <f t="shared" si="149"/>
        <v>*0.92</v>
      </c>
      <c r="AC1204" s="33" t="s">
        <v>2078</v>
      </c>
      <c r="AD1204" s="44" t="s">
        <v>57</v>
      </c>
      <c r="AE1204" s="33">
        <v>2035</v>
      </c>
      <c r="AF1204" s="45" t="str">
        <f t="shared" si="150"/>
        <v>*0.92</v>
      </c>
      <c r="AG1204" s="43" t="str">
        <f t="shared" si="152"/>
        <v>REZoning_Sol-Win</v>
      </c>
      <c r="AI1204" s="33" t="s">
        <v>2078</v>
      </c>
      <c r="AJ1204" s="44" t="s">
        <v>57</v>
      </c>
      <c r="AK1204" s="33">
        <v>2050</v>
      </c>
      <c r="AL1204" s="45" t="str">
        <f t="shared" si="151"/>
        <v>*0.89</v>
      </c>
      <c r="AM1204" s="43" t="str">
        <f t="shared" si="153"/>
        <v>REZoning_Sol-Win</v>
      </c>
      <c r="AP1204" t="s">
        <v>2078</v>
      </c>
      <c r="AQ1204" t="s">
        <v>57</v>
      </c>
      <c r="AR1204">
        <v>2100</v>
      </c>
      <c r="AS1204" t="s">
        <v>937</v>
      </c>
      <c r="AT1204" t="s">
        <v>58</v>
      </c>
    </row>
    <row r="1205" ht="29" spans="1:46">
      <c r="A1205" s="31" t="s">
        <v>494</v>
      </c>
      <c r="C1205" t="s">
        <v>2079</v>
      </c>
      <c r="D1205" s="5" t="s">
        <v>57</v>
      </c>
      <c r="E1205">
        <v>2035</v>
      </c>
      <c r="F1205" s="6" t="str">
        <f t="shared" si="146"/>
        <v>*0.94</v>
      </c>
      <c r="H1205" t="s">
        <v>2079</v>
      </c>
      <c r="I1205" s="5" t="s">
        <v>57</v>
      </c>
      <c r="J1205">
        <v>2050</v>
      </c>
      <c r="K1205" s="38" t="str">
        <f t="shared" si="147"/>
        <v>*0.92</v>
      </c>
      <c r="P1205" s="32" t="s">
        <v>2079</v>
      </c>
      <c r="Q1205" s="42" t="s">
        <v>57</v>
      </c>
      <c r="R1205" s="32">
        <v>2035</v>
      </c>
      <c r="S1205" s="43" t="str">
        <f t="shared" si="148"/>
        <v>*0.94</v>
      </c>
      <c r="U1205" s="32" t="s">
        <v>2079</v>
      </c>
      <c r="V1205" s="42" t="s">
        <v>57</v>
      </c>
      <c r="W1205" s="32">
        <v>2050</v>
      </c>
      <c r="X1205" s="43" t="str">
        <f t="shared" si="149"/>
        <v>*0.92</v>
      </c>
      <c r="AC1205" s="33" t="s">
        <v>2079</v>
      </c>
      <c r="AD1205" s="44" t="s">
        <v>57</v>
      </c>
      <c r="AE1205" s="33">
        <v>2035</v>
      </c>
      <c r="AF1205" s="45" t="str">
        <f t="shared" si="150"/>
        <v>*0.92</v>
      </c>
      <c r="AG1205" s="43" t="str">
        <f t="shared" si="152"/>
        <v>REZoning_Sol-Win</v>
      </c>
      <c r="AI1205" s="33" t="s">
        <v>2079</v>
      </c>
      <c r="AJ1205" s="44" t="s">
        <v>57</v>
      </c>
      <c r="AK1205" s="33">
        <v>2050</v>
      </c>
      <c r="AL1205" s="45" t="str">
        <f t="shared" si="151"/>
        <v>*0.89</v>
      </c>
      <c r="AM1205" s="43" t="str">
        <f t="shared" si="153"/>
        <v>REZoning_Sol-Win</v>
      </c>
      <c r="AP1205" t="s">
        <v>2079</v>
      </c>
      <c r="AQ1205" t="s">
        <v>57</v>
      </c>
      <c r="AR1205">
        <v>2100</v>
      </c>
      <c r="AS1205" t="s">
        <v>937</v>
      </c>
      <c r="AT1205" t="s">
        <v>58</v>
      </c>
    </row>
    <row r="1206" ht="29" spans="1:46">
      <c r="A1206" s="31" t="s">
        <v>494</v>
      </c>
      <c r="C1206" t="s">
        <v>2080</v>
      </c>
      <c r="D1206" s="5" t="s">
        <v>57</v>
      </c>
      <c r="E1206">
        <v>2035</v>
      </c>
      <c r="F1206" s="6" t="str">
        <f t="shared" si="146"/>
        <v>*0.94</v>
      </c>
      <c r="H1206" t="s">
        <v>2080</v>
      </c>
      <c r="I1206" s="5" t="s">
        <v>57</v>
      </c>
      <c r="J1206">
        <v>2050</v>
      </c>
      <c r="K1206" s="38" t="str">
        <f t="shared" si="147"/>
        <v>*0.92</v>
      </c>
      <c r="P1206" s="32" t="s">
        <v>2080</v>
      </c>
      <c r="Q1206" s="42" t="s">
        <v>57</v>
      </c>
      <c r="R1206" s="32">
        <v>2035</v>
      </c>
      <c r="S1206" s="43" t="str">
        <f t="shared" si="148"/>
        <v>*0.94</v>
      </c>
      <c r="U1206" s="32" t="s">
        <v>2080</v>
      </c>
      <c r="V1206" s="42" t="s">
        <v>57</v>
      </c>
      <c r="W1206" s="32">
        <v>2050</v>
      </c>
      <c r="X1206" s="43" t="str">
        <f t="shared" si="149"/>
        <v>*0.92</v>
      </c>
      <c r="AC1206" s="33" t="s">
        <v>2080</v>
      </c>
      <c r="AD1206" s="44" t="s">
        <v>57</v>
      </c>
      <c r="AE1206" s="33">
        <v>2035</v>
      </c>
      <c r="AF1206" s="45" t="str">
        <f t="shared" si="150"/>
        <v>*0.92</v>
      </c>
      <c r="AG1206" s="43" t="str">
        <f t="shared" si="152"/>
        <v>REZoning_Sol-Win</v>
      </c>
      <c r="AI1206" s="33" t="s">
        <v>2080</v>
      </c>
      <c r="AJ1206" s="44" t="s">
        <v>57</v>
      </c>
      <c r="AK1206" s="33">
        <v>2050</v>
      </c>
      <c r="AL1206" s="45" t="str">
        <f t="shared" si="151"/>
        <v>*0.89</v>
      </c>
      <c r="AM1206" s="43" t="str">
        <f t="shared" si="153"/>
        <v>REZoning_Sol-Win</v>
      </c>
      <c r="AP1206" t="s">
        <v>2080</v>
      </c>
      <c r="AQ1206" t="s">
        <v>57</v>
      </c>
      <c r="AR1206">
        <v>2100</v>
      </c>
      <c r="AS1206" t="s">
        <v>937</v>
      </c>
      <c r="AT1206" t="s">
        <v>58</v>
      </c>
    </row>
    <row r="1207" ht="29" spans="1:46">
      <c r="A1207" s="31" t="s">
        <v>494</v>
      </c>
      <c r="C1207" t="s">
        <v>2081</v>
      </c>
      <c r="D1207" s="5" t="s">
        <v>57</v>
      </c>
      <c r="E1207">
        <v>2035</v>
      </c>
      <c r="F1207" s="6" t="str">
        <f t="shared" si="146"/>
        <v>*0.94</v>
      </c>
      <c r="H1207" t="s">
        <v>2081</v>
      </c>
      <c r="I1207" s="5" t="s">
        <v>57</v>
      </c>
      <c r="J1207">
        <v>2050</v>
      </c>
      <c r="K1207" s="38" t="str">
        <f t="shared" si="147"/>
        <v>*0.92</v>
      </c>
      <c r="P1207" s="32" t="s">
        <v>2081</v>
      </c>
      <c r="Q1207" s="42" t="s">
        <v>57</v>
      </c>
      <c r="R1207" s="32">
        <v>2035</v>
      </c>
      <c r="S1207" s="43" t="str">
        <f t="shared" si="148"/>
        <v>*0.94</v>
      </c>
      <c r="U1207" s="32" t="s">
        <v>2081</v>
      </c>
      <c r="V1207" s="42" t="s">
        <v>57</v>
      </c>
      <c r="W1207" s="32">
        <v>2050</v>
      </c>
      <c r="X1207" s="43" t="str">
        <f t="shared" si="149"/>
        <v>*0.92</v>
      </c>
      <c r="AC1207" s="33" t="s">
        <v>2081</v>
      </c>
      <c r="AD1207" s="44" t="s">
        <v>57</v>
      </c>
      <c r="AE1207" s="33">
        <v>2035</v>
      </c>
      <c r="AF1207" s="45" t="str">
        <f t="shared" si="150"/>
        <v>*0.92</v>
      </c>
      <c r="AG1207" s="43" t="str">
        <f t="shared" si="152"/>
        <v>REZoning_Sol-Win</v>
      </c>
      <c r="AI1207" s="33" t="s">
        <v>2081</v>
      </c>
      <c r="AJ1207" s="44" t="s">
        <v>57</v>
      </c>
      <c r="AK1207" s="33">
        <v>2050</v>
      </c>
      <c r="AL1207" s="45" t="str">
        <f t="shared" si="151"/>
        <v>*0.89</v>
      </c>
      <c r="AM1207" s="43" t="str">
        <f t="shared" si="153"/>
        <v>REZoning_Sol-Win</v>
      </c>
      <c r="AP1207" t="s">
        <v>2081</v>
      </c>
      <c r="AQ1207" t="s">
        <v>57</v>
      </c>
      <c r="AR1207">
        <v>2100</v>
      </c>
      <c r="AS1207" t="s">
        <v>937</v>
      </c>
      <c r="AT1207" t="s">
        <v>58</v>
      </c>
    </row>
    <row r="1208" ht="29" spans="1:46">
      <c r="A1208" s="31" t="s">
        <v>494</v>
      </c>
      <c r="C1208" t="s">
        <v>2082</v>
      </c>
      <c r="D1208" s="5" t="s">
        <v>57</v>
      </c>
      <c r="E1208">
        <v>2035</v>
      </c>
      <c r="F1208" s="6" t="str">
        <f t="shared" si="146"/>
        <v>*0.94</v>
      </c>
      <c r="H1208" t="s">
        <v>2082</v>
      </c>
      <c r="I1208" s="5" t="s">
        <v>57</v>
      </c>
      <c r="J1208">
        <v>2050</v>
      </c>
      <c r="K1208" s="38" t="str">
        <f t="shared" si="147"/>
        <v>*0.92</v>
      </c>
      <c r="P1208" s="32" t="s">
        <v>2082</v>
      </c>
      <c r="Q1208" s="42" t="s">
        <v>57</v>
      </c>
      <c r="R1208" s="32">
        <v>2035</v>
      </c>
      <c r="S1208" s="43" t="str">
        <f t="shared" si="148"/>
        <v>*0.94</v>
      </c>
      <c r="U1208" s="32" t="s">
        <v>2082</v>
      </c>
      <c r="V1208" s="42" t="s">
        <v>57</v>
      </c>
      <c r="W1208" s="32">
        <v>2050</v>
      </c>
      <c r="X1208" s="43" t="str">
        <f t="shared" si="149"/>
        <v>*0.92</v>
      </c>
      <c r="AC1208" s="33" t="s">
        <v>2082</v>
      </c>
      <c r="AD1208" s="44" t="s">
        <v>57</v>
      </c>
      <c r="AE1208" s="33">
        <v>2035</v>
      </c>
      <c r="AF1208" s="45" t="str">
        <f t="shared" si="150"/>
        <v>*0.92</v>
      </c>
      <c r="AG1208" s="43" t="str">
        <f t="shared" si="152"/>
        <v>REZoning_Sol-Win</v>
      </c>
      <c r="AI1208" s="33" t="s">
        <v>2082</v>
      </c>
      <c r="AJ1208" s="44" t="s">
        <v>57</v>
      </c>
      <c r="AK1208" s="33">
        <v>2050</v>
      </c>
      <c r="AL1208" s="45" t="str">
        <f t="shared" si="151"/>
        <v>*0.89</v>
      </c>
      <c r="AM1208" s="43" t="str">
        <f t="shared" si="153"/>
        <v>REZoning_Sol-Win</v>
      </c>
      <c r="AP1208" t="s">
        <v>2082</v>
      </c>
      <c r="AQ1208" t="s">
        <v>57</v>
      </c>
      <c r="AR1208">
        <v>2100</v>
      </c>
      <c r="AS1208" t="s">
        <v>937</v>
      </c>
      <c r="AT1208" t="s">
        <v>58</v>
      </c>
    </row>
    <row r="1209" ht="29" spans="1:46">
      <c r="A1209" s="31" t="s">
        <v>494</v>
      </c>
      <c r="C1209" t="s">
        <v>2083</v>
      </c>
      <c r="D1209" s="5" t="s">
        <v>57</v>
      </c>
      <c r="E1209">
        <v>2035</v>
      </c>
      <c r="F1209" s="6" t="str">
        <f t="shared" si="146"/>
        <v>*0.94</v>
      </c>
      <c r="H1209" t="s">
        <v>2083</v>
      </c>
      <c r="I1209" s="5" t="s">
        <v>57</v>
      </c>
      <c r="J1209">
        <v>2050</v>
      </c>
      <c r="K1209" s="38" t="str">
        <f t="shared" si="147"/>
        <v>*0.92</v>
      </c>
      <c r="P1209" s="32" t="s">
        <v>2083</v>
      </c>
      <c r="Q1209" s="42" t="s">
        <v>57</v>
      </c>
      <c r="R1209" s="32">
        <v>2035</v>
      </c>
      <c r="S1209" s="43" t="str">
        <f t="shared" si="148"/>
        <v>*0.94</v>
      </c>
      <c r="U1209" s="32" t="s">
        <v>2083</v>
      </c>
      <c r="V1209" s="42" t="s">
        <v>57</v>
      </c>
      <c r="W1209" s="32">
        <v>2050</v>
      </c>
      <c r="X1209" s="43" t="str">
        <f t="shared" si="149"/>
        <v>*0.92</v>
      </c>
      <c r="AC1209" s="33" t="s">
        <v>2083</v>
      </c>
      <c r="AD1209" s="44" t="s">
        <v>57</v>
      </c>
      <c r="AE1209" s="33">
        <v>2035</v>
      </c>
      <c r="AF1209" s="45" t="str">
        <f t="shared" si="150"/>
        <v>*0.92</v>
      </c>
      <c r="AG1209" s="43" t="str">
        <f t="shared" si="152"/>
        <v>REZoning_Sol-Win</v>
      </c>
      <c r="AI1209" s="33" t="s">
        <v>2083</v>
      </c>
      <c r="AJ1209" s="44" t="s">
        <v>57</v>
      </c>
      <c r="AK1209" s="33">
        <v>2050</v>
      </c>
      <c r="AL1209" s="45" t="str">
        <f t="shared" si="151"/>
        <v>*0.89</v>
      </c>
      <c r="AM1209" s="43" t="str">
        <f t="shared" si="153"/>
        <v>REZoning_Sol-Win</v>
      </c>
      <c r="AP1209" t="s">
        <v>2083</v>
      </c>
      <c r="AQ1209" t="s">
        <v>57</v>
      </c>
      <c r="AR1209">
        <v>2100</v>
      </c>
      <c r="AS1209" t="s">
        <v>937</v>
      </c>
      <c r="AT1209" t="s">
        <v>58</v>
      </c>
    </row>
    <row r="1210" ht="29" spans="1:46">
      <c r="A1210" s="31" t="s">
        <v>494</v>
      </c>
      <c r="C1210" t="s">
        <v>2084</v>
      </c>
      <c r="D1210" s="5" t="s">
        <v>57</v>
      </c>
      <c r="E1210">
        <v>2035</v>
      </c>
      <c r="F1210" s="6" t="str">
        <f t="shared" si="146"/>
        <v>*0.94</v>
      </c>
      <c r="H1210" t="s">
        <v>2084</v>
      </c>
      <c r="I1210" s="5" t="s">
        <v>57</v>
      </c>
      <c r="J1210">
        <v>2050</v>
      </c>
      <c r="K1210" s="38" t="str">
        <f t="shared" si="147"/>
        <v>*0.92</v>
      </c>
      <c r="P1210" s="32" t="s">
        <v>2084</v>
      </c>
      <c r="Q1210" s="42" t="s">
        <v>57</v>
      </c>
      <c r="R1210" s="32">
        <v>2035</v>
      </c>
      <c r="S1210" s="43" t="str">
        <f t="shared" si="148"/>
        <v>*0.94</v>
      </c>
      <c r="U1210" s="32" t="s">
        <v>2084</v>
      </c>
      <c r="V1210" s="42" t="s">
        <v>57</v>
      </c>
      <c r="W1210" s="32">
        <v>2050</v>
      </c>
      <c r="X1210" s="43" t="str">
        <f t="shared" si="149"/>
        <v>*0.92</v>
      </c>
      <c r="AC1210" s="33" t="s">
        <v>2084</v>
      </c>
      <c r="AD1210" s="44" t="s">
        <v>57</v>
      </c>
      <c r="AE1210" s="33">
        <v>2035</v>
      </c>
      <c r="AF1210" s="45" t="str">
        <f t="shared" si="150"/>
        <v>*0.92</v>
      </c>
      <c r="AG1210" s="43" t="str">
        <f t="shared" si="152"/>
        <v>REZoning_Sol-Win</v>
      </c>
      <c r="AI1210" s="33" t="s">
        <v>2084</v>
      </c>
      <c r="AJ1210" s="44" t="s">
        <v>57</v>
      </c>
      <c r="AK1210" s="33">
        <v>2050</v>
      </c>
      <c r="AL1210" s="45" t="str">
        <f t="shared" si="151"/>
        <v>*0.89</v>
      </c>
      <c r="AM1210" s="43" t="str">
        <f t="shared" si="153"/>
        <v>REZoning_Sol-Win</v>
      </c>
      <c r="AP1210" t="s">
        <v>2084</v>
      </c>
      <c r="AQ1210" t="s">
        <v>57</v>
      </c>
      <c r="AR1210">
        <v>2100</v>
      </c>
      <c r="AS1210" t="s">
        <v>937</v>
      </c>
      <c r="AT1210" t="s">
        <v>58</v>
      </c>
    </row>
    <row r="1211" ht="29" spans="1:46">
      <c r="A1211" s="31" t="s">
        <v>494</v>
      </c>
      <c r="C1211" t="s">
        <v>2085</v>
      </c>
      <c r="D1211" s="5" t="s">
        <v>57</v>
      </c>
      <c r="E1211">
        <v>2035</v>
      </c>
      <c r="F1211" s="6" t="str">
        <f t="shared" si="146"/>
        <v>*0.94</v>
      </c>
      <c r="H1211" t="s">
        <v>2085</v>
      </c>
      <c r="I1211" s="5" t="s">
        <v>57</v>
      </c>
      <c r="J1211">
        <v>2050</v>
      </c>
      <c r="K1211" s="38" t="str">
        <f t="shared" si="147"/>
        <v>*0.92</v>
      </c>
      <c r="P1211" s="32" t="s">
        <v>2085</v>
      </c>
      <c r="Q1211" s="42" t="s">
        <v>57</v>
      </c>
      <c r="R1211" s="32">
        <v>2035</v>
      </c>
      <c r="S1211" s="43" t="str">
        <f t="shared" si="148"/>
        <v>*0.94</v>
      </c>
      <c r="U1211" s="32" t="s">
        <v>2085</v>
      </c>
      <c r="V1211" s="42" t="s">
        <v>57</v>
      </c>
      <c r="W1211" s="32">
        <v>2050</v>
      </c>
      <c r="X1211" s="43" t="str">
        <f t="shared" si="149"/>
        <v>*0.92</v>
      </c>
      <c r="AC1211" s="33" t="s">
        <v>2085</v>
      </c>
      <c r="AD1211" s="44" t="s">
        <v>57</v>
      </c>
      <c r="AE1211" s="33">
        <v>2035</v>
      </c>
      <c r="AF1211" s="45" t="str">
        <f t="shared" si="150"/>
        <v>*0.92</v>
      </c>
      <c r="AG1211" s="43" t="str">
        <f t="shared" si="152"/>
        <v>REZoning_Sol-Win</v>
      </c>
      <c r="AI1211" s="33" t="s">
        <v>2085</v>
      </c>
      <c r="AJ1211" s="44" t="s">
        <v>57</v>
      </c>
      <c r="AK1211" s="33">
        <v>2050</v>
      </c>
      <c r="AL1211" s="45" t="str">
        <f t="shared" si="151"/>
        <v>*0.89</v>
      </c>
      <c r="AM1211" s="43" t="str">
        <f t="shared" si="153"/>
        <v>REZoning_Sol-Win</v>
      </c>
      <c r="AP1211" t="s">
        <v>2085</v>
      </c>
      <c r="AQ1211" t="s">
        <v>57</v>
      </c>
      <c r="AR1211">
        <v>2100</v>
      </c>
      <c r="AS1211" t="s">
        <v>937</v>
      </c>
      <c r="AT1211" t="s">
        <v>58</v>
      </c>
    </row>
    <row r="1212" ht="29" spans="1:46">
      <c r="A1212" s="31" t="s">
        <v>494</v>
      </c>
      <c r="C1212" t="s">
        <v>2086</v>
      </c>
      <c r="D1212" s="5" t="s">
        <v>57</v>
      </c>
      <c r="E1212">
        <v>2035</v>
      </c>
      <c r="F1212" s="6" t="str">
        <f t="shared" si="146"/>
        <v>*0.94</v>
      </c>
      <c r="H1212" t="s">
        <v>2086</v>
      </c>
      <c r="I1212" s="5" t="s">
        <v>57</v>
      </c>
      <c r="J1212">
        <v>2050</v>
      </c>
      <c r="K1212" s="38" t="str">
        <f t="shared" si="147"/>
        <v>*0.92</v>
      </c>
      <c r="P1212" s="32" t="s">
        <v>2086</v>
      </c>
      <c r="Q1212" s="42" t="s">
        <v>57</v>
      </c>
      <c r="R1212" s="32">
        <v>2035</v>
      </c>
      <c r="S1212" s="43" t="str">
        <f t="shared" si="148"/>
        <v>*0.94</v>
      </c>
      <c r="U1212" s="32" t="s">
        <v>2086</v>
      </c>
      <c r="V1212" s="42" t="s">
        <v>57</v>
      </c>
      <c r="W1212" s="32">
        <v>2050</v>
      </c>
      <c r="X1212" s="43" t="str">
        <f t="shared" si="149"/>
        <v>*0.92</v>
      </c>
      <c r="AC1212" s="33" t="s">
        <v>2086</v>
      </c>
      <c r="AD1212" s="44" t="s">
        <v>57</v>
      </c>
      <c r="AE1212" s="33">
        <v>2035</v>
      </c>
      <c r="AF1212" s="45" t="str">
        <f t="shared" si="150"/>
        <v>*0.92</v>
      </c>
      <c r="AG1212" s="43" t="str">
        <f t="shared" si="152"/>
        <v>REZoning_Sol-Win</v>
      </c>
      <c r="AI1212" s="33" t="s">
        <v>2086</v>
      </c>
      <c r="AJ1212" s="44" t="s">
        <v>57</v>
      </c>
      <c r="AK1212" s="33">
        <v>2050</v>
      </c>
      <c r="AL1212" s="45" t="str">
        <f t="shared" si="151"/>
        <v>*0.89</v>
      </c>
      <c r="AM1212" s="43" t="str">
        <f t="shared" si="153"/>
        <v>REZoning_Sol-Win</v>
      </c>
      <c r="AP1212" t="s">
        <v>2086</v>
      </c>
      <c r="AQ1212" t="s">
        <v>57</v>
      </c>
      <c r="AR1212">
        <v>2100</v>
      </c>
      <c r="AS1212" t="s">
        <v>937</v>
      </c>
      <c r="AT1212" t="s">
        <v>58</v>
      </c>
    </row>
    <row r="1213" ht="29" spans="1:46">
      <c r="A1213" s="31" t="s">
        <v>494</v>
      </c>
      <c r="C1213" t="s">
        <v>2087</v>
      </c>
      <c r="D1213" s="5" t="s">
        <v>57</v>
      </c>
      <c r="E1213">
        <v>2035</v>
      </c>
      <c r="F1213" s="6" t="str">
        <f t="shared" si="146"/>
        <v>*0.94</v>
      </c>
      <c r="H1213" t="s">
        <v>2087</v>
      </c>
      <c r="I1213" s="5" t="s">
        <v>57</v>
      </c>
      <c r="J1213">
        <v>2050</v>
      </c>
      <c r="K1213" s="38" t="str">
        <f t="shared" si="147"/>
        <v>*0.92</v>
      </c>
      <c r="P1213" s="32" t="s">
        <v>2087</v>
      </c>
      <c r="Q1213" s="42" t="s">
        <v>57</v>
      </c>
      <c r="R1213" s="32">
        <v>2035</v>
      </c>
      <c r="S1213" s="43" t="str">
        <f t="shared" si="148"/>
        <v>*0.94</v>
      </c>
      <c r="U1213" s="32" t="s">
        <v>2087</v>
      </c>
      <c r="V1213" s="42" t="s">
        <v>57</v>
      </c>
      <c r="W1213" s="32">
        <v>2050</v>
      </c>
      <c r="X1213" s="43" t="str">
        <f t="shared" si="149"/>
        <v>*0.92</v>
      </c>
      <c r="AC1213" s="33" t="s">
        <v>2087</v>
      </c>
      <c r="AD1213" s="44" t="s">
        <v>57</v>
      </c>
      <c r="AE1213" s="33">
        <v>2035</v>
      </c>
      <c r="AF1213" s="45" t="str">
        <f t="shared" si="150"/>
        <v>*0.92</v>
      </c>
      <c r="AG1213" s="43" t="str">
        <f t="shared" si="152"/>
        <v>REZoning_Sol-Win</v>
      </c>
      <c r="AI1213" s="33" t="s">
        <v>2087</v>
      </c>
      <c r="AJ1213" s="44" t="s">
        <v>57</v>
      </c>
      <c r="AK1213" s="33">
        <v>2050</v>
      </c>
      <c r="AL1213" s="45" t="str">
        <f t="shared" si="151"/>
        <v>*0.89</v>
      </c>
      <c r="AM1213" s="43" t="str">
        <f t="shared" si="153"/>
        <v>REZoning_Sol-Win</v>
      </c>
      <c r="AP1213" t="s">
        <v>2087</v>
      </c>
      <c r="AQ1213" t="s">
        <v>57</v>
      </c>
      <c r="AR1213">
        <v>2100</v>
      </c>
      <c r="AS1213" t="s">
        <v>937</v>
      </c>
      <c r="AT1213" t="s">
        <v>58</v>
      </c>
    </row>
    <row r="1214" ht="29" spans="1:46">
      <c r="A1214" s="31" t="s">
        <v>494</v>
      </c>
      <c r="C1214" t="s">
        <v>2088</v>
      </c>
      <c r="D1214" s="5" t="s">
        <v>57</v>
      </c>
      <c r="E1214">
        <v>2035</v>
      </c>
      <c r="F1214" s="6" t="str">
        <f t="shared" si="146"/>
        <v>*0.94</v>
      </c>
      <c r="H1214" t="s">
        <v>2088</v>
      </c>
      <c r="I1214" s="5" t="s">
        <v>57</v>
      </c>
      <c r="J1214">
        <v>2050</v>
      </c>
      <c r="K1214" s="38" t="str">
        <f t="shared" si="147"/>
        <v>*0.92</v>
      </c>
      <c r="P1214" s="32" t="s">
        <v>2088</v>
      </c>
      <c r="Q1214" s="42" t="s">
        <v>57</v>
      </c>
      <c r="R1214" s="32">
        <v>2035</v>
      </c>
      <c r="S1214" s="43" t="str">
        <f t="shared" si="148"/>
        <v>*0.94</v>
      </c>
      <c r="U1214" s="32" t="s">
        <v>2088</v>
      </c>
      <c r="V1214" s="42" t="s">
        <v>57</v>
      </c>
      <c r="W1214" s="32">
        <v>2050</v>
      </c>
      <c r="X1214" s="43" t="str">
        <f t="shared" si="149"/>
        <v>*0.92</v>
      </c>
      <c r="AC1214" s="33" t="s">
        <v>2088</v>
      </c>
      <c r="AD1214" s="44" t="s">
        <v>57</v>
      </c>
      <c r="AE1214" s="33">
        <v>2035</v>
      </c>
      <c r="AF1214" s="45" t="str">
        <f t="shared" si="150"/>
        <v>*0.92</v>
      </c>
      <c r="AG1214" s="43" t="str">
        <f t="shared" si="152"/>
        <v>REZoning_Sol-Win</v>
      </c>
      <c r="AI1214" s="33" t="s">
        <v>2088</v>
      </c>
      <c r="AJ1214" s="44" t="s">
        <v>57</v>
      </c>
      <c r="AK1214" s="33">
        <v>2050</v>
      </c>
      <c r="AL1214" s="45" t="str">
        <f t="shared" si="151"/>
        <v>*0.89</v>
      </c>
      <c r="AM1214" s="43" t="str">
        <f t="shared" si="153"/>
        <v>REZoning_Sol-Win</v>
      </c>
      <c r="AP1214" t="s">
        <v>2088</v>
      </c>
      <c r="AQ1214" t="s">
        <v>57</v>
      </c>
      <c r="AR1214">
        <v>2100</v>
      </c>
      <c r="AS1214" t="s">
        <v>937</v>
      </c>
      <c r="AT1214" t="s">
        <v>58</v>
      </c>
    </row>
    <row r="1215" ht="29" spans="1:46">
      <c r="A1215" s="31" t="s">
        <v>494</v>
      </c>
      <c r="C1215" t="s">
        <v>2089</v>
      </c>
      <c r="D1215" s="5" t="s">
        <v>57</v>
      </c>
      <c r="E1215">
        <v>2035</v>
      </c>
      <c r="F1215" s="6" t="str">
        <f t="shared" si="146"/>
        <v>*0.94</v>
      </c>
      <c r="H1215" t="s">
        <v>2089</v>
      </c>
      <c r="I1215" s="5" t="s">
        <v>57</v>
      </c>
      <c r="J1215">
        <v>2050</v>
      </c>
      <c r="K1215" s="38" t="str">
        <f t="shared" si="147"/>
        <v>*0.92</v>
      </c>
      <c r="P1215" s="32" t="s">
        <v>2089</v>
      </c>
      <c r="Q1215" s="42" t="s">
        <v>57</v>
      </c>
      <c r="R1215" s="32">
        <v>2035</v>
      </c>
      <c r="S1215" s="43" t="str">
        <f t="shared" si="148"/>
        <v>*0.94</v>
      </c>
      <c r="U1215" s="32" t="s">
        <v>2089</v>
      </c>
      <c r="V1215" s="42" t="s">
        <v>57</v>
      </c>
      <c r="W1215" s="32">
        <v>2050</v>
      </c>
      <c r="X1215" s="43" t="str">
        <f t="shared" si="149"/>
        <v>*0.92</v>
      </c>
      <c r="AC1215" s="33" t="s">
        <v>2089</v>
      </c>
      <c r="AD1215" s="44" t="s">
        <v>57</v>
      </c>
      <c r="AE1215" s="33">
        <v>2035</v>
      </c>
      <c r="AF1215" s="45" t="str">
        <f t="shared" si="150"/>
        <v>*0.92</v>
      </c>
      <c r="AG1215" s="43" t="str">
        <f t="shared" si="152"/>
        <v>REZoning_Sol-Win</v>
      </c>
      <c r="AI1215" s="33" t="s">
        <v>2089</v>
      </c>
      <c r="AJ1215" s="44" t="s">
        <v>57</v>
      </c>
      <c r="AK1215" s="33">
        <v>2050</v>
      </c>
      <c r="AL1215" s="45" t="str">
        <f t="shared" si="151"/>
        <v>*0.89</v>
      </c>
      <c r="AM1215" s="43" t="str">
        <f t="shared" si="153"/>
        <v>REZoning_Sol-Win</v>
      </c>
      <c r="AP1215" t="s">
        <v>2089</v>
      </c>
      <c r="AQ1215" t="s">
        <v>57</v>
      </c>
      <c r="AR1215">
        <v>2100</v>
      </c>
      <c r="AS1215" t="s">
        <v>937</v>
      </c>
      <c r="AT1215" t="s">
        <v>58</v>
      </c>
    </row>
    <row r="1216" ht="29" spans="1:46">
      <c r="A1216" s="31" t="s">
        <v>494</v>
      </c>
      <c r="C1216" t="s">
        <v>2090</v>
      </c>
      <c r="D1216" s="5" t="s">
        <v>57</v>
      </c>
      <c r="E1216">
        <v>2035</v>
      </c>
      <c r="F1216" s="6" t="str">
        <f t="shared" si="146"/>
        <v>*0.94</v>
      </c>
      <c r="H1216" t="s">
        <v>2090</v>
      </c>
      <c r="I1216" s="5" t="s">
        <v>57</v>
      </c>
      <c r="J1216">
        <v>2050</v>
      </c>
      <c r="K1216" s="38" t="str">
        <f t="shared" si="147"/>
        <v>*0.92</v>
      </c>
      <c r="P1216" s="32" t="s">
        <v>2090</v>
      </c>
      <c r="Q1216" s="42" t="s">
        <v>57</v>
      </c>
      <c r="R1216" s="32">
        <v>2035</v>
      </c>
      <c r="S1216" s="43" t="str">
        <f t="shared" si="148"/>
        <v>*0.94</v>
      </c>
      <c r="U1216" s="32" t="s">
        <v>2090</v>
      </c>
      <c r="V1216" s="42" t="s">
        <v>57</v>
      </c>
      <c r="W1216" s="32">
        <v>2050</v>
      </c>
      <c r="X1216" s="43" t="str">
        <f t="shared" si="149"/>
        <v>*0.92</v>
      </c>
      <c r="AC1216" s="33" t="s">
        <v>2090</v>
      </c>
      <c r="AD1216" s="44" t="s">
        <v>57</v>
      </c>
      <c r="AE1216" s="33">
        <v>2035</v>
      </c>
      <c r="AF1216" s="45" t="str">
        <f t="shared" si="150"/>
        <v>*0.92</v>
      </c>
      <c r="AG1216" s="43" t="str">
        <f t="shared" si="152"/>
        <v>REZoning_Sol-Win</v>
      </c>
      <c r="AI1216" s="33" t="s">
        <v>2090</v>
      </c>
      <c r="AJ1216" s="44" t="s">
        <v>57</v>
      </c>
      <c r="AK1216" s="33">
        <v>2050</v>
      </c>
      <c r="AL1216" s="45" t="str">
        <f t="shared" si="151"/>
        <v>*0.89</v>
      </c>
      <c r="AM1216" s="43" t="str">
        <f t="shared" si="153"/>
        <v>REZoning_Sol-Win</v>
      </c>
      <c r="AP1216" t="s">
        <v>2090</v>
      </c>
      <c r="AQ1216" t="s">
        <v>57</v>
      </c>
      <c r="AR1216">
        <v>2100</v>
      </c>
      <c r="AS1216" t="s">
        <v>937</v>
      </c>
      <c r="AT1216" t="s">
        <v>58</v>
      </c>
    </row>
    <row r="1217" ht="29" spans="1:46">
      <c r="A1217" s="31" t="s">
        <v>494</v>
      </c>
      <c r="C1217" t="s">
        <v>2091</v>
      </c>
      <c r="D1217" s="5" t="s">
        <v>57</v>
      </c>
      <c r="E1217">
        <v>2035</v>
      </c>
      <c r="F1217" s="6" t="str">
        <f t="shared" si="146"/>
        <v>*0.94</v>
      </c>
      <c r="H1217" t="s">
        <v>2091</v>
      </c>
      <c r="I1217" s="5" t="s">
        <v>57</v>
      </c>
      <c r="J1217">
        <v>2050</v>
      </c>
      <c r="K1217" s="38" t="str">
        <f t="shared" si="147"/>
        <v>*0.92</v>
      </c>
      <c r="P1217" s="32" t="s">
        <v>2091</v>
      </c>
      <c r="Q1217" s="42" t="s">
        <v>57</v>
      </c>
      <c r="R1217" s="32">
        <v>2035</v>
      </c>
      <c r="S1217" s="43" t="str">
        <f t="shared" si="148"/>
        <v>*0.94</v>
      </c>
      <c r="U1217" s="32" t="s">
        <v>2091</v>
      </c>
      <c r="V1217" s="42" t="s">
        <v>57</v>
      </c>
      <c r="W1217" s="32">
        <v>2050</v>
      </c>
      <c r="X1217" s="43" t="str">
        <f t="shared" si="149"/>
        <v>*0.92</v>
      </c>
      <c r="AC1217" s="33" t="s">
        <v>2091</v>
      </c>
      <c r="AD1217" s="44" t="s">
        <v>57</v>
      </c>
      <c r="AE1217" s="33">
        <v>2035</v>
      </c>
      <c r="AF1217" s="45" t="str">
        <f t="shared" si="150"/>
        <v>*0.92</v>
      </c>
      <c r="AG1217" s="43" t="str">
        <f t="shared" si="152"/>
        <v>REZoning_Sol-Win</v>
      </c>
      <c r="AI1217" s="33" t="s">
        <v>2091</v>
      </c>
      <c r="AJ1217" s="44" t="s">
        <v>57</v>
      </c>
      <c r="AK1217" s="33">
        <v>2050</v>
      </c>
      <c r="AL1217" s="45" t="str">
        <f t="shared" si="151"/>
        <v>*0.89</v>
      </c>
      <c r="AM1217" s="43" t="str">
        <f t="shared" si="153"/>
        <v>REZoning_Sol-Win</v>
      </c>
      <c r="AP1217" t="s">
        <v>2091</v>
      </c>
      <c r="AQ1217" t="s">
        <v>57</v>
      </c>
      <c r="AR1217">
        <v>2100</v>
      </c>
      <c r="AS1217" t="s">
        <v>937</v>
      </c>
      <c r="AT1217" t="s">
        <v>58</v>
      </c>
    </row>
    <row r="1218" ht="29" spans="1:46">
      <c r="A1218" s="31" t="s">
        <v>494</v>
      </c>
      <c r="C1218" t="s">
        <v>2092</v>
      </c>
      <c r="D1218" s="5" t="s">
        <v>57</v>
      </c>
      <c r="E1218">
        <v>2035</v>
      </c>
      <c r="F1218" s="6" t="str">
        <f t="shared" si="146"/>
        <v>*0.94</v>
      </c>
      <c r="H1218" t="s">
        <v>2092</v>
      </c>
      <c r="I1218" s="5" t="s">
        <v>57</v>
      </c>
      <c r="J1218">
        <v>2050</v>
      </c>
      <c r="K1218" s="38" t="str">
        <f t="shared" si="147"/>
        <v>*0.92</v>
      </c>
      <c r="P1218" s="32" t="s">
        <v>2092</v>
      </c>
      <c r="Q1218" s="42" t="s">
        <v>57</v>
      </c>
      <c r="R1218" s="32">
        <v>2035</v>
      </c>
      <c r="S1218" s="43" t="str">
        <f t="shared" si="148"/>
        <v>*0.94</v>
      </c>
      <c r="U1218" s="32" t="s">
        <v>2092</v>
      </c>
      <c r="V1218" s="42" t="s">
        <v>57</v>
      </c>
      <c r="W1218" s="32">
        <v>2050</v>
      </c>
      <c r="X1218" s="43" t="str">
        <f t="shared" si="149"/>
        <v>*0.92</v>
      </c>
      <c r="AC1218" s="33" t="s">
        <v>2092</v>
      </c>
      <c r="AD1218" s="44" t="s">
        <v>57</v>
      </c>
      <c r="AE1218" s="33">
        <v>2035</v>
      </c>
      <c r="AF1218" s="45" t="str">
        <f t="shared" si="150"/>
        <v>*0.92</v>
      </c>
      <c r="AG1218" s="43" t="str">
        <f t="shared" si="152"/>
        <v>REZoning_Sol-Win</v>
      </c>
      <c r="AI1218" s="33" t="s">
        <v>2092</v>
      </c>
      <c r="AJ1218" s="44" t="s">
        <v>57</v>
      </c>
      <c r="AK1218" s="33">
        <v>2050</v>
      </c>
      <c r="AL1218" s="45" t="str">
        <f t="shared" si="151"/>
        <v>*0.89</v>
      </c>
      <c r="AM1218" s="43" t="str">
        <f t="shared" si="153"/>
        <v>REZoning_Sol-Win</v>
      </c>
      <c r="AP1218" t="s">
        <v>2092</v>
      </c>
      <c r="AQ1218" t="s">
        <v>57</v>
      </c>
      <c r="AR1218">
        <v>2100</v>
      </c>
      <c r="AS1218" t="s">
        <v>937</v>
      </c>
      <c r="AT1218" t="s">
        <v>58</v>
      </c>
    </row>
    <row r="1219" ht="29" spans="1:46">
      <c r="A1219" s="31" t="s">
        <v>494</v>
      </c>
      <c r="C1219" t="s">
        <v>2093</v>
      </c>
      <c r="D1219" s="5" t="s">
        <v>57</v>
      </c>
      <c r="E1219">
        <v>2035</v>
      </c>
      <c r="F1219" s="6" t="str">
        <f t="shared" si="146"/>
        <v>*0.94</v>
      </c>
      <c r="H1219" t="s">
        <v>2093</v>
      </c>
      <c r="I1219" s="5" t="s">
        <v>57</v>
      </c>
      <c r="J1219">
        <v>2050</v>
      </c>
      <c r="K1219" s="38" t="str">
        <f t="shared" si="147"/>
        <v>*0.92</v>
      </c>
      <c r="P1219" s="32" t="s">
        <v>2093</v>
      </c>
      <c r="Q1219" s="42" t="s">
        <v>57</v>
      </c>
      <c r="R1219" s="32">
        <v>2035</v>
      </c>
      <c r="S1219" s="43" t="str">
        <f t="shared" si="148"/>
        <v>*0.94</v>
      </c>
      <c r="U1219" s="32" t="s">
        <v>2093</v>
      </c>
      <c r="V1219" s="42" t="s">
        <v>57</v>
      </c>
      <c r="W1219" s="32">
        <v>2050</v>
      </c>
      <c r="X1219" s="43" t="str">
        <f t="shared" si="149"/>
        <v>*0.92</v>
      </c>
      <c r="AC1219" s="33" t="s">
        <v>2093</v>
      </c>
      <c r="AD1219" s="44" t="s">
        <v>57</v>
      </c>
      <c r="AE1219" s="33">
        <v>2035</v>
      </c>
      <c r="AF1219" s="45" t="str">
        <f t="shared" si="150"/>
        <v>*0.92</v>
      </c>
      <c r="AG1219" s="43" t="str">
        <f t="shared" si="152"/>
        <v>REZoning_Sol-Win</v>
      </c>
      <c r="AI1219" s="33" t="s">
        <v>2093</v>
      </c>
      <c r="AJ1219" s="44" t="s">
        <v>57</v>
      </c>
      <c r="AK1219" s="33">
        <v>2050</v>
      </c>
      <c r="AL1219" s="45" t="str">
        <f t="shared" si="151"/>
        <v>*0.89</v>
      </c>
      <c r="AM1219" s="43" t="str">
        <f t="shared" si="153"/>
        <v>REZoning_Sol-Win</v>
      </c>
      <c r="AP1219" t="s">
        <v>2093</v>
      </c>
      <c r="AQ1219" t="s">
        <v>57</v>
      </c>
      <c r="AR1219">
        <v>2100</v>
      </c>
      <c r="AS1219" t="s">
        <v>937</v>
      </c>
      <c r="AT1219" t="s">
        <v>58</v>
      </c>
    </row>
    <row r="1220" ht="29" spans="1:46">
      <c r="A1220" s="31" t="s">
        <v>494</v>
      </c>
      <c r="C1220" t="s">
        <v>2094</v>
      </c>
      <c r="D1220" s="5" t="s">
        <v>57</v>
      </c>
      <c r="E1220">
        <v>2035</v>
      </c>
      <c r="F1220" s="6" t="str">
        <f t="shared" ref="F1220:F1283" si="154">"*"&amp;IF(AND(A1220="EU",E1220=2035),0.95,IF(AND(A1220="EU",E1220=2050),0.93,IF(AND(A1220="USA",E1220=2035),0.96,IF(AND(A1220="USA",E1220=2050),0.94,IF(AND(A1220="Japan",E1220=2035),0.94,IF(AND(A1220="Japan",E1220=2050),0.92,IF(AND(A1220="Russia",E1220=2035),0.95,IF(AND(A1220="Russia",E1220=2050),0.93,IF(AND(A1220="China",E1220=2035),0.94,IF(AND(A1220="China",E1220=2050),0.92,IF(AND(A1220="India",E1220=2035),0.95,IF(AND(A1220="India",E1220=2050),0.92,IF(AND(A1220="Middle East",E1220=2035),0.94,IF(AND(A1220="Middle East",E1220=2050),0.9,IF(AND(A1220="Africa",E1220=2035),0.94,IF(AND(A1220="Africa",E1220=2050),0.91,IF(AND(A1220="Brazil",E1220=2035),0.95,IF(AND(A1220="Brazil",E1220=2050),0.92,""))))))))))))))))))</f>
        <v>*0.94</v>
      </c>
      <c r="H1220" t="s">
        <v>2094</v>
      </c>
      <c r="I1220" s="5" t="s">
        <v>57</v>
      </c>
      <c r="J1220">
        <v>2050</v>
      </c>
      <c r="K1220" s="38" t="str">
        <f t="shared" ref="K1220:K1283" si="155">"*"&amp;IF(AND(A1220="EU",J1220=2035),0.95,IF(AND(A1220="EU",J1220=2050),0.93,IF(AND(A1220="USA",J1220=2035),0.96,IF(AND(A1220="USA",J1220=2050),0.94,IF(AND(A1220="Japan",J1220=2035),0.94,IF(AND(A1220="Japan",J1220=2050),0.92,IF(AND(A1220="Russia",J1220=2035),0.95,IF(AND(A1220="Russia",J1220=2050),0.93,IF(AND(A1220="China",J1220=2035),0.94,IF(AND(A1220="China",J1220=2050),0.92,IF(AND(A1220="India",J1220=2035),0.95,IF(AND(A1220="India",J1220=2050),0.92,IF(AND(A1220="Middle East",J1220=2035),0.94,IF(AND(A1220="Middle East",J1220=2050),0.9,IF(AND(A1220="Africa",J1220=2035),0.94,IF(AND(A1220="Africa",J1220=2050),0.91,IF(AND(A1220="Brazil",J1220=2035),0.95,IF(AND(A1220="Brazil",J1220=2050),0.92,""))))))))))))))))))</f>
        <v>*0.92</v>
      </c>
      <c r="P1220" s="32" t="s">
        <v>2094</v>
      </c>
      <c r="Q1220" s="42" t="s">
        <v>57</v>
      </c>
      <c r="R1220" s="32">
        <v>2035</v>
      </c>
      <c r="S1220" s="43" t="str">
        <f t="shared" ref="S1220:S1283" si="156">"*"&amp;IF(AND(A1220="EU",R1220=2035),0.95,IF(AND(A1220="EU",R1220=2050),0.93,IF(AND(A1220="USA",R1220=2035),0.96,IF(AND(A1220="USA",R1220=2050),0.93,IF(AND(A1220="Japan",R1220=2035),0.94,IF(AND(A1220="Japan",R1220=2050),0.92,IF(AND(A1220="Russia",R1220=2035),0.95,IF(AND(A1220="Russia",R1220=2050),0.91,IF(AND(A1220="China",R1220=2035),0.93,IF(AND(A1220="China",R1220=2050),0.92,IF(AND(A1220="India",R1220=2035),0.94,IF(AND(A1220="India",R1220=2050),0.91,IF(AND(A1220="Middle East",R1220=2035),0.92,IF(AND(A1220="Middle East",R1220=2050),0.89,IF(AND(A1220="Africa",R1220=2035),0.93,IF(AND(A1220="Africa",R1220=2050),0.9,IF(AND(A1220="Brazil",R1220=2035),0.95,IF(AND(A1220="Brazil",R1220=2050),0.92,""))))))))))))))))))</f>
        <v>*0.94</v>
      </c>
      <c r="U1220" s="32" t="s">
        <v>2094</v>
      </c>
      <c r="V1220" s="42" t="s">
        <v>57</v>
      </c>
      <c r="W1220" s="32">
        <v>2050</v>
      </c>
      <c r="X1220" s="43" t="str">
        <f t="shared" ref="X1220:X1283" si="157">"*"&amp;IF(AND(A1220="EU",W1220=2035),0.95,IF(AND(A1220="EU",W1220=2050),0.93,IF(AND(A1220="USA",W1220=2035),0.96,IF(AND(A1220="USA",W1220=2050),0.93,IF(AND(A1220="Japan",W1220=2035),0.94,IF(AND(A1220="Japan",W1220=2050),0.92,IF(AND(A1220="Russia",W1220=2035),0.95,IF(AND(A1220="Russia",W1220=2050),0.91,IF(AND(A1220="China",W1220=2035),0.93,IF(AND(A1220="China",W1220=2050),0.92,IF(AND(A1220="India",W1220=2035),0.94,IF(AND(A1220="India",W1220=2050),0.91,IF(AND(A1220="Middle East",W1220=2035),0.92,IF(AND(A1220="Middle East",W1220=2050),0.89,IF(AND(A1220="Africa",W1220=2035),0.93,IF(AND(A1220="Africa",W1220=2050),0.9,IF(AND(A1220="Brazil",W1220=2035),0.95,IF(AND(A1220="Brazil",W1220=2050),0.92,""))))))))))))))))))</f>
        <v>*0.92</v>
      </c>
      <c r="AC1220" s="33" t="s">
        <v>2094</v>
      </c>
      <c r="AD1220" s="44" t="s">
        <v>57</v>
      </c>
      <c r="AE1220" s="33">
        <v>2035</v>
      </c>
      <c r="AF1220" s="45" t="str">
        <f t="shared" ref="AF1220:AF1283" si="158">"*"&amp;IF(AND(A1220="EU",AE1220=2035),0.93,IF(AND(A1220="EU",AE1220=2050),0.9,IF(AND(A1220="USA",AE1220=2035),0.92,IF(AND(A1220="USA",AE1220=2050),0.89,IF(AND(A1220="Japan",AE1220=2035),0.92,IF(AND(A1220="Japan",AE1220=2050),0.89,IF(AND(A1220="Russia",AE1220=2035),0.91,IF(AND(A1220="Russia",AE1220=2050),0.86,IF(AND(A1220="China",AE1220=2035),0.91,IF(AND(A1220="China",AE1220=2050),0.87,IF(AND(A1220="India",AE1220=2035),0.92,IF(AND(A1220="India",AE1220=2050),0.87,IF(AND(A1220="Middle East",AE1220=2035),0.89,IF(AND(A1220="Middle East",AE1220=2050),0.84,IF(AND(A1220="Africa",AE1220=2035),0.9,IF(AND(A1220="Africa",AE1220=2050),0.86,IF(AND(A1220="Brazil",AE1220=2035),0.93,IF(AND(A1220="Brazil",AE1220=2050),0.89,""))))))))))))))))))</f>
        <v>*0.92</v>
      </c>
      <c r="AG1220" s="43" t="str">
        <f t="shared" si="152"/>
        <v>REZoning_Sol-Win</v>
      </c>
      <c r="AI1220" s="33" t="s">
        <v>2094</v>
      </c>
      <c r="AJ1220" s="44" t="s">
        <v>57</v>
      </c>
      <c r="AK1220" s="33">
        <v>2050</v>
      </c>
      <c r="AL1220" s="45" t="str">
        <f t="shared" ref="AL1220:AL1283" si="159">"*"&amp;IF(AND(A1220="EU",AK1220=2035),0.93,IF(AND(A1220="EU",AK1220=2050),0.9,IF(AND(A1220="USA",AK1220=2035),0.92,IF(AND(A1220="USA",AK1220=2050),0.89,IF(AND(A1220="Japan",AK1220=2035),0.92,IF(AND(A1220="Japan",AK1220=2050),0.89,IF(AND(A1220="Russia",AK1220=2035),0.91,IF(AND(A1220="Russia",AK1220=2050),0.86,IF(AND(A1220="China",AK1220=2035),0.91,IF(AND(A1220="China",AK1220=2050),0.87,IF(AND(A1220="India",AK1220=2035),0.92,IF(AND(A1220="India",AK1220=2050),0.87,IF(AND(A1220="Middle East",AK1220=2035),0.89,IF(AND(A1220="Middle East",AK1220=2050),0.84,IF(AND(A1220="Africa",AK1220=2035),0.9,IF(AND(A1220="Africa",AK1220=2050),0.86,IF(AND(A1220="Brazil",AK1220=2035),0.93,IF(AND(A1220="Brazil",AK1220=2050),0.89,""))))))))))))))))))</f>
        <v>*0.89</v>
      </c>
      <c r="AM1220" s="43" t="str">
        <f t="shared" si="153"/>
        <v>REZoning_Sol-Win</v>
      </c>
      <c r="AP1220" t="s">
        <v>2094</v>
      </c>
      <c r="AQ1220" t="s">
        <v>57</v>
      </c>
      <c r="AR1220">
        <v>2100</v>
      </c>
      <c r="AS1220" t="s">
        <v>937</v>
      </c>
      <c r="AT1220" t="s">
        <v>58</v>
      </c>
    </row>
    <row r="1221" ht="29" spans="1:46">
      <c r="A1221" s="31" t="s">
        <v>494</v>
      </c>
      <c r="C1221" t="s">
        <v>2095</v>
      </c>
      <c r="D1221" s="5" t="s">
        <v>57</v>
      </c>
      <c r="E1221">
        <v>2035</v>
      </c>
      <c r="F1221" s="6" t="str">
        <f t="shared" si="154"/>
        <v>*0.94</v>
      </c>
      <c r="H1221" t="s">
        <v>2095</v>
      </c>
      <c r="I1221" s="5" t="s">
        <v>57</v>
      </c>
      <c r="J1221">
        <v>2050</v>
      </c>
      <c r="K1221" s="38" t="str">
        <f t="shared" si="155"/>
        <v>*0.92</v>
      </c>
      <c r="P1221" s="32" t="s">
        <v>2095</v>
      </c>
      <c r="Q1221" s="42" t="s">
        <v>57</v>
      </c>
      <c r="R1221" s="32">
        <v>2035</v>
      </c>
      <c r="S1221" s="43" t="str">
        <f t="shared" si="156"/>
        <v>*0.94</v>
      </c>
      <c r="U1221" s="32" t="s">
        <v>2095</v>
      </c>
      <c r="V1221" s="42" t="s">
        <v>57</v>
      </c>
      <c r="W1221" s="32">
        <v>2050</v>
      </c>
      <c r="X1221" s="43" t="str">
        <f t="shared" si="157"/>
        <v>*0.92</v>
      </c>
      <c r="AC1221" s="33" t="s">
        <v>2095</v>
      </c>
      <c r="AD1221" s="44" t="s">
        <v>57</v>
      </c>
      <c r="AE1221" s="33">
        <v>2035</v>
      </c>
      <c r="AF1221" s="45" t="str">
        <f t="shared" si="158"/>
        <v>*0.92</v>
      </c>
      <c r="AG1221" s="43" t="str">
        <f t="shared" si="152"/>
        <v>REZoning_Sol-Win</v>
      </c>
      <c r="AI1221" s="33" t="s">
        <v>2095</v>
      </c>
      <c r="AJ1221" s="44" t="s">
        <v>57</v>
      </c>
      <c r="AK1221" s="33">
        <v>2050</v>
      </c>
      <c r="AL1221" s="45" t="str">
        <f t="shared" si="159"/>
        <v>*0.89</v>
      </c>
      <c r="AM1221" s="43" t="str">
        <f t="shared" si="153"/>
        <v>REZoning_Sol-Win</v>
      </c>
      <c r="AP1221" t="s">
        <v>2095</v>
      </c>
      <c r="AQ1221" t="s">
        <v>57</v>
      </c>
      <c r="AR1221">
        <v>2100</v>
      </c>
      <c r="AS1221" t="s">
        <v>937</v>
      </c>
      <c r="AT1221" t="s">
        <v>58</v>
      </c>
    </row>
    <row r="1222" ht="29" spans="1:46">
      <c r="A1222" s="31" t="s">
        <v>494</v>
      </c>
      <c r="C1222" t="s">
        <v>2096</v>
      </c>
      <c r="D1222" s="5" t="s">
        <v>57</v>
      </c>
      <c r="E1222">
        <v>2035</v>
      </c>
      <c r="F1222" s="6" t="str">
        <f t="shared" si="154"/>
        <v>*0.94</v>
      </c>
      <c r="H1222" t="s">
        <v>2096</v>
      </c>
      <c r="I1222" s="5" t="s">
        <v>57</v>
      </c>
      <c r="J1222">
        <v>2050</v>
      </c>
      <c r="K1222" s="38" t="str">
        <f t="shared" si="155"/>
        <v>*0.92</v>
      </c>
      <c r="P1222" s="32" t="s">
        <v>2096</v>
      </c>
      <c r="Q1222" s="42" t="s">
        <v>57</v>
      </c>
      <c r="R1222" s="32">
        <v>2035</v>
      </c>
      <c r="S1222" s="43" t="str">
        <f t="shared" si="156"/>
        <v>*0.94</v>
      </c>
      <c r="U1222" s="32" t="s">
        <v>2096</v>
      </c>
      <c r="V1222" s="42" t="s">
        <v>57</v>
      </c>
      <c r="W1222" s="32">
        <v>2050</v>
      </c>
      <c r="X1222" s="43" t="str">
        <f t="shared" si="157"/>
        <v>*0.92</v>
      </c>
      <c r="AC1222" s="33" t="s">
        <v>2096</v>
      </c>
      <c r="AD1222" s="44" t="s">
        <v>57</v>
      </c>
      <c r="AE1222" s="33">
        <v>2035</v>
      </c>
      <c r="AF1222" s="45" t="str">
        <f t="shared" si="158"/>
        <v>*0.92</v>
      </c>
      <c r="AG1222" s="43" t="str">
        <f t="shared" si="152"/>
        <v>REZoning_Sol-Win</v>
      </c>
      <c r="AI1222" s="33" t="s">
        <v>2096</v>
      </c>
      <c r="AJ1222" s="44" t="s">
        <v>57</v>
      </c>
      <c r="AK1222" s="33">
        <v>2050</v>
      </c>
      <c r="AL1222" s="45" t="str">
        <f t="shared" si="159"/>
        <v>*0.89</v>
      </c>
      <c r="AM1222" s="43" t="str">
        <f t="shared" si="153"/>
        <v>REZoning_Sol-Win</v>
      </c>
      <c r="AP1222" t="s">
        <v>2096</v>
      </c>
      <c r="AQ1222" t="s">
        <v>57</v>
      </c>
      <c r="AR1222">
        <v>2100</v>
      </c>
      <c r="AS1222" t="s">
        <v>937</v>
      </c>
      <c r="AT1222" t="s">
        <v>58</v>
      </c>
    </row>
    <row r="1223" ht="29" spans="1:46">
      <c r="A1223" s="31" t="s">
        <v>494</v>
      </c>
      <c r="C1223" t="s">
        <v>2097</v>
      </c>
      <c r="D1223" s="5" t="s">
        <v>57</v>
      </c>
      <c r="E1223">
        <v>2035</v>
      </c>
      <c r="F1223" s="6" t="str">
        <f t="shared" si="154"/>
        <v>*0.94</v>
      </c>
      <c r="H1223" t="s">
        <v>2097</v>
      </c>
      <c r="I1223" s="5" t="s">
        <v>57</v>
      </c>
      <c r="J1223">
        <v>2050</v>
      </c>
      <c r="K1223" s="38" t="str">
        <f t="shared" si="155"/>
        <v>*0.92</v>
      </c>
      <c r="P1223" s="32" t="s">
        <v>2097</v>
      </c>
      <c r="Q1223" s="42" t="s">
        <v>57</v>
      </c>
      <c r="R1223" s="32">
        <v>2035</v>
      </c>
      <c r="S1223" s="43" t="str">
        <f t="shared" si="156"/>
        <v>*0.94</v>
      </c>
      <c r="U1223" s="32" t="s">
        <v>2097</v>
      </c>
      <c r="V1223" s="42" t="s">
        <v>57</v>
      </c>
      <c r="W1223" s="32">
        <v>2050</v>
      </c>
      <c r="X1223" s="43" t="str">
        <f t="shared" si="157"/>
        <v>*0.92</v>
      </c>
      <c r="AC1223" s="33" t="s">
        <v>2097</v>
      </c>
      <c r="AD1223" s="44" t="s">
        <v>57</v>
      </c>
      <c r="AE1223" s="33">
        <v>2035</v>
      </c>
      <c r="AF1223" s="45" t="str">
        <f t="shared" si="158"/>
        <v>*0.92</v>
      </c>
      <c r="AG1223" s="43" t="str">
        <f t="shared" si="152"/>
        <v>REZoning_Sol-Win</v>
      </c>
      <c r="AI1223" s="33" t="s">
        <v>2097</v>
      </c>
      <c r="AJ1223" s="44" t="s">
        <v>57</v>
      </c>
      <c r="AK1223" s="33">
        <v>2050</v>
      </c>
      <c r="AL1223" s="45" t="str">
        <f t="shared" si="159"/>
        <v>*0.89</v>
      </c>
      <c r="AM1223" s="43" t="str">
        <f t="shared" si="153"/>
        <v>REZoning_Sol-Win</v>
      </c>
      <c r="AP1223" t="s">
        <v>2097</v>
      </c>
      <c r="AQ1223" t="s">
        <v>57</v>
      </c>
      <c r="AR1223">
        <v>2100</v>
      </c>
      <c r="AS1223" t="s">
        <v>937</v>
      </c>
      <c r="AT1223" t="s">
        <v>58</v>
      </c>
    </row>
    <row r="1224" ht="29" spans="1:46">
      <c r="A1224" s="31" t="s">
        <v>494</v>
      </c>
      <c r="C1224" t="s">
        <v>2098</v>
      </c>
      <c r="D1224" s="5" t="s">
        <v>57</v>
      </c>
      <c r="E1224">
        <v>2035</v>
      </c>
      <c r="F1224" s="6" t="str">
        <f t="shared" si="154"/>
        <v>*0.94</v>
      </c>
      <c r="H1224" t="s">
        <v>2098</v>
      </c>
      <c r="I1224" s="5" t="s">
        <v>57</v>
      </c>
      <c r="J1224">
        <v>2050</v>
      </c>
      <c r="K1224" s="38" t="str">
        <f t="shared" si="155"/>
        <v>*0.92</v>
      </c>
      <c r="P1224" s="32" t="s">
        <v>2098</v>
      </c>
      <c r="Q1224" s="42" t="s">
        <v>57</v>
      </c>
      <c r="R1224" s="32">
        <v>2035</v>
      </c>
      <c r="S1224" s="43" t="str">
        <f t="shared" si="156"/>
        <v>*0.94</v>
      </c>
      <c r="U1224" s="32" t="s">
        <v>2098</v>
      </c>
      <c r="V1224" s="42" t="s">
        <v>57</v>
      </c>
      <c r="W1224" s="32">
        <v>2050</v>
      </c>
      <c r="X1224" s="43" t="str">
        <f t="shared" si="157"/>
        <v>*0.92</v>
      </c>
      <c r="AC1224" s="33" t="s">
        <v>2098</v>
      </c>
      <c r="AD1224" s="44" t="s">
        <v>57</v>
      </c>
      <c r="AE1224" s="33">
        <v>2035</v>
      </c>
      <c r="AF1224" s="45" t="str">
        <f t="shared" si="158"/>
        <v>*0.92</v>
      </c>
      <c r="AG1224" s="43" t="str">
        <f t="shared" si="152"/>
        <v>REZoning_Sol-Win</v>
      </c>
      <c r="AI1224" s="33" t="s">
        <v>2098</v>
      </c>
      <c r="AJ1224" s="44" t="s">
        <v>57</v>
      </c>
      <c r="AK1224" s="33">
        <v>2050</v>
      </c>
      <c r="AL1224" s="45" t="str">
        <f t="shared" si="159"/>
        <v>*0.89</v>
      </c>
      <c r="AM1224" s="43" t="str">
        <f t="shared" si="153"/>
        <v>REZoning_Sol-Win</v>
      </c>
      <c r="AP1224" t="s">
        <v>2098</v>
      </c>
      <c r="AQ1224" t="s">
        <v>57</v>
      </c>
      <c r="AR1224">
        <v>2100</v>
      </c>
      <c r="AS1224" t="s">
        <v>937</v>
      </c>
      <c r="AT1224" t="s">
        <v>58</v>
      </c>
    </row>
    <row r="1225" ht="29" spans="1:46">
      <c r="A1225" s="31" t="s">
        <v>494</v>
      </c>
      <c r="C1225" t="s">
        <v>2099</v>
      </c>
      <c r="D1225" s="5" t="s">
        <v>57</v>
      </c>
      <c r="E1225">
        <v>2035</v>
      </c>
      <c r="F1225" s="6" t="str">
        <f t="shared" si="154"/>
        <v>*0.94</v>
      </c>
      <c r="H1225" t="s">
        <v>2099</v>
      </c>
      <c r="I1225" s="5" t="s">
        <v>57</v>
      </c>
      <c r="J1225">
        <v>2050</v>
      </c>
      <c r="K1225" s="38" t="str">
        <f t="shared" si="155"/>
        <v>*0.92</v>
      </c>
      <c r="P1225" s="32" t="s">
        <v>2099</v>
      </c>
      <c r="Q1225" s="42" t="s">
        <v>57</v>
      </c>
      <c r="R1225" s="32">
        <v>2035</v>
      </c>
      <c r="S1225" s="43" t="str">
        <f t="shared" si="156"/>
        <v>*0.94</v>
      </c>
      <c r="U1225" s="32" t="s">
        <v>2099</v>
      </c>
      <c r="V1225" s="42" t="s">
        <v>57</v>
      </c>
      <c r="W1225" s="32">
        <v>2050</v>
      </c>
      <c r="X1225" s="43" t="str">
        <f t="shared" si="157"/>
        <v>*0.92</v>
      </c>
      <c r="AC1225" s="33" t="s">
        <v>2099</v>
      </c>
      <c r="AD1225" s="44" t="s">
        <v>57</v>
      </c>
      <c r="AE1225" s="33">
        <v>2035</v>
      </c>
      <c r="AF1225" s="45" t="str">
        <f t="shared" si="158"/>
        <v>*0.92</v>
      </c>
      <c r="AG1225" s="43" t="str">
        <f t="shared" ref="AG1225:AG1288" si="160">AG1224</f>
        <v>REZoning_Sol-Win</v>
      </c>
      <c r="AI1225" s="33" t="s">
        <v>2099</v>
      </c>
      <c r="AJ1225" s="44" t="s">
        <v>57</v>
      </c>
      <c r="AK1225" s="33">
        <v>2050</v>
      </c>
      <c r="AL1225" s="45" t="str">
        <f t="shared" si="159"/>
        <v>*0.89</v>
      </c>
      <c r="AM1225" s="43" t="str">
        <f t="shared" si="153"/>
        <v>REZoning_Sol-Win</v>
      </c>
      <c r="AP1225" t="s">
        <v>2099</v>
      </c>
      <c r="AQ1225" t="s">
        <v>57</v>
      </c>
      <c r="AR1225">
        <v>2100</v>
      </c>
      <c r="AS1225" t="s">
        <v>937</v>
      </c>
      <c r="AT1225" t="s">
        <v>58</v>
      </c>
    </row>
    <row r="1226" ht="29" spans="1:46">
      <c r="A1226" s="31" t="s">
        <v>494</v>
      </c>
      <c r="C1226" t="s">
        <v>2100</v>
      </c>
      <c r="D1226" s="5" t="s">
        <v>57</v>
      </c>
      <c r="E1226">
        <v>2035</v>
      </c>
      <c r="F1226" s="6" t="str">
        <f t="shared" si="154"/>
        <v>*0.94</v>
      </c>
      <c r="H1226" t="s">
        <v>2100</v>
      </c>
      <c r="I1226" s="5" t="s">
        <v>57</v>
      </c>
      <c r="J1226">
        <v>2050</v>
      </c>
      <c r="K1226" s="38" t="str">
        <f t="shared" si="155"/>
        <v>*0.92</v>
      </c>
      <c r="P1226" s="32" t="s">
        <v>2100</v>
      </c>
      <c r="Q1226" s="42" t="s">
        <v>57</v>
      </c>
      <c r="R1226" s="32">
        <v>2035</v>
      </c>
      <c r="S1226" s="43" t="str">
        <f t="shared" si="156"/>
        <v>*0.94</v>
      </c>
      <c r="U1226" s="32" t="s">
        <v>2100</v>
      </c>
      <c r="V1226" s="42" t="s">
        <v>57</v>
      </c>
      <c r="W1226" s="32">
        <v>2050</v>
      </c>
      <c r="X1226" s="43" t="str">
        <f t="shared" si="157"/>
        <v>*0.92</v>
      </c>
      <c r="AC1226" s="33" t="s">
        <v>2100</v>
      </c>
      <c r="AD1226" s="44" t="s">
        <v>57</v>
      </c>
      <c r="AE1226" s="33">
        <v>2035</v>
      </c>
      <c r="AF1226" s="45" t="str">
        <f t="shared" si="158"/>
        <v>*0.92</v>
      </c>
      <c r="AG1226" s="43" t="str">
        <f t="shared" si="160"/>
        <v>REZoning_Sol-Win</v>
      </c>
      <c r="AI1226" s="33" t="s">
        <v>2100</v>
      </c>
      <c r="AJ1226" s="44" t="s">
        <v>57</v>
      </c>
      <c r="AK1226" s="33">
        <v>2050</v>
      </c>
      <c r="AL1226" s="45" t="str">
        <f t="shared" si="159"/>
        <v>*0.89</v>
      </c>
      <c r="AM1226" s="43" t="str">
        <f t="shared" ref="AM1226:AM1289" si="161">AM1225</f>
        <v>REZoning_Sol-Win</v>
      </c>
      <c r="AP1226" t="s">
        <v>2100</v>
      </c>
      <c r="AQ1226" t="s">
        <v>57</v>
      </c>
      <c r="AR1226">
        <v>2100</v>
      </c>
      <c r="AS1226" t="s">
        <v>937</v>
      </c>
      <c r="AT1226" t="s">
        <v>58</v>
      </c>
    </row>
    <row r="1227" ht="29" spans="1:46">
      <c r="A1227" s="31" t="s">
        <v>494</v>
      </c>
      <c r="C1227" t="s">
        <v>2101</v>
      </c>
      <c r="D1227" s="5" t="s">
        <v>57</v>
      </c>
      <c r="E1227">
        <v>2035</v>
      </c>
      <c r="F1227" s="6" t="str">
        <f t="shared" si="154"/>
        <v>*0.94</v>
      </c>
      <c r="H1227" t="s">
        <v>2101</v>
      </c>
      <c r="I1227" s="5" t="s">
        <v>57</v>
      </c>
      <c r="J1227">
        <v>2050</v>
      </c>
      <c r="K1227" s="38" t="str">
        <f t="shared" si="155"/>
        <v>*0.92</v>
      </c>
      <c r="P1227" s="32" t="s">
        <v>2101</v>
      </c>
      <c r="Q1227" s="42" t="s">
        <v>57</v>
      </c>
      <c r="R1227" s="32">
        <v>2035</v>
      </c>
      <c r="S1227" s="43" t="str">
        <f t="shared" si="156"/>
        <v>*0.94</v>
      </c>
      <c r="U1227" s="32" t="s">
        <v>2101</v>
      </c>
      <c r="V1227" s="42" t="s">
        <v>57</v>
      </c>
      <c r="W1227" s="32">
        <v>2050</v>
      </c>
      <c r="X1227" s="43" t="str">
        <f t="shared" si="157"/>
        <v>*0.92</v>
      </c>
      <c r="AC1227" s="33" t="s">
        <v>2101</v>
      </c>
      <c r="AD1227" s="44" t="s">
        <v>57</v>
      </c>
      <c r="AE1227" s="33">
        <v>2035</v>
      </c>
      <c r="AF1227" s="45" t="str">
        <f t="shared" si="158"/>
        <v>*0.92</v>
      </c>
      <c r="AG1227" s="43" t="str">
        <f t="shared" si="160"/>
        <v>REZoning_Sol-Win</v>
      </c>
      <c r="AI1227" s="33" t="s">
        <v>2101</v>
      </c>
      <c r="AJ1227" s="44" t="s">
        <v>57</v>
      </c>
      <c r="AK1227" s="33">
        <v>2050</v>
      </c>
      <c r="AL1227" s="45" t="str">
        <f t="shared" si="159"/>
        <v>*0.89</v>
      </c>
      <c r="AM1227" s="43" t="str">
        <f t="shared" si="161"/>
        <v>REZoning_Sol-Win</v>
      </c>
      <c r="AP1227" t="s">
        <v>2101</v>
      </c>
      <c r="AQ1227" t="s">
        <v>57</v>
      </c>
      <c r="AR1227">
        <v>2100</v>
      </c>
      <c r="AS1227" t="s">
        <v>937</v>
      </c>
      <c r="AT1227" t="s">
        <v>58</v>
      </c>
    </row>
    <row r="1228" ht="29" spans="1:46">
      <c r="A1228" s="31" t="s">
        <v>494</v>
      </c>
      <c r="C1228" t="s">
        <v>2102</v>
      </c>
      <c r="D1228" s="5" t="s">
        <v>57</v>
      </c>
      <c r="E1228">
        <v>2035</v>
      </c>
      <c r="F1228" s="6" t="str">
        <f t="shared" si="154"/>
        <v>*0.94</v>
      </c>
      <c r="H1228" t="s">
        <v>2102</v>
      </c>
      <c r="I1228" s="5" t="s">
        <v>57</v>
      </c>
      <c r="J1228">
        <v>2050</v>
      </c>
      <c r="K1228" s="38" t="str">
        <f t="shared" si="155"/>
        <v>*0.92</v>
      </c>
      <c r="P1228" s="32" t="s">
        <v>2102</v>
      </c>
      <c r="Q1228" s="42" t="s">
        <v>57</v>
      </c>
      <c r="R1228" s="32">
        <v>2035</v>
      </c>
      <c r="S1228" s="43" t="str">
        <f t="shared" si="156"/>
        <v>*0.94</v>
      </c>
      <c r="U1228" s="32" t="s">
        <v>2102</v>
      </c>
      <c r="V1228" s="42" t="s">
        <v>57</v>
      </c>
      <c r="W1228" s="32">
        <v>2050</v>
      </c>
      <c r="X1228" s="43" t="str">
        <f t="shared" si="157"/>
        <v>*0.92</v>
      </c>
      <c r="AC1228" s="33" t="s">
        <v>2102</v>
      </c>
      <c r="AD1228" s="44" t="s">
        <v>57</v>
      </c>
      <c r="AE1228" s="33">
        <v>2035</v>
      </c>
      <c r="AF1228" s="45" t="str">
        <f t="shared" si="158"/>
        <v>*0.92</v>
      </c>
      <c r="AG1228" s="43" t="str">
        <f t="shared" si="160"/>
        <v>REZoning_Sol-Win</v>
      </c>
      <c r="AI1228" s="33" t="s">
        <v>2102</v>
      </c>
      <c r="AJ1228" s="44" t="s">
        <v>57</v>
      </c>
      <c r="AK1228" s="33">
        <v>2050</v>
      </c>
      <c r="AL1228" s="45" t="str">
        <f t="shared" si="159"/>
        <v>*0.89</v>
      </c>
      <c r="AM1228" s="43" t="str">
        <f t="shared" si="161"/>
        <v>REZoning_Sol-Win</v>
      </c>
      <c r="AP1228" t="s">
        <v>2102</v>
      </c>
      <c r="AQ1228" t="s">
        <v>57</v>
      </c>
      <c r="AR1228">
        <v>2100</v>
      </c>
      <c r="AS1228" t="s">
        <v>937</v>
      </c>
      <c r="AT1228" t="s">
        <v>58</v>
      </c>
    </row>
    <row r="1229" ht="29" spans="1:46">
      <c r="A1229" s="31" t="s">
        <v>494</v>
      </c>
      <c r="C1229" t="s">
        <v>2103</v>
      </c>
      <c r="D1229" s="5" t="s">
        <v>57</v>
      </c>
      <c r="E1229">
        <v>2035</v>
      </c>
      <c r="F1229" s="6" t="str">
        <f t="shared" si="154"/>
        <v>*0.94</v>
      </c>
      <c r="H1229" t="s">
        <v>2103</v>
      </c>
      <c r="I1229" s="5" t="s">
        <v>57</v>
      </c>
      <c r="J1229">
        <v>2050</v>
      </c>
      <c r="K1229" s="38" t="str">
        <f t="shared" si="155"/>
        <v>*0.92</v>
      </c>
      <c r="P1229" s="32" t="s">
        <v>2103</v>
      </c>
      <c r="Q1229" s="42" t="s">
        <v>57</v>
      </c>
      <c r="R1229" s="32">
        <v>2035</v>
      </c>
      <c r="S1229" s="43" t="str">
        <f t="shared" si="156"/>
        <v>*0.94</v>
      </c>
      <c r="U1229" s="32" t="s">
        <v>2103</v>
      </c>
      <c r="V1229" s="42" t="s">
        <v>57</v>
      </c>
      <c r="W1229" s="32">
        <v>2050</v>
      </c>
      <c r="X1229" s="43" t="str">
        <f t="shared" si="157"/>
        <v>*0.92</v>
      </c>
      <c r="AC1229" s="33" t="s">
        <v>2103</v>
      </c>
      <c r="AD1229" s="44" t="s">
        <v>57</v>
      </c>
      <c r="AE1229" s="33">
        <v>2035</v>
      </c>
      <c r="AF1229" s="45" t="str">
        <f t="shared" si="158"/>
        <v>*0.92</v>
      </c>
      <c r="AG1229" s="43" t="str">
        <f t="shared" si="160"/>
        <v>REZoning_Sol-Win</v>
      </c>
      <c r="AI1229" s="33" t="s">
        <v>2103</v>
      </c>
      <c r="AJ1229" s="44" t="s">
        <v>57</v>
      </c>
      <c r="AK1229" s="33">
        <v>2050</v>
      </c>
      <c r="AL1229" s="45" t="str">
        <f t="shared" si="159"/>
        <v>*0.89</v>
      </c>
      <c r="AM1229" s="43" t="str">
        <f t="shared" si="161"/>
        <v>REZoning_Sol-Win</v>
      </c>
      <c r="AP1229" t="s">
        <v>2103</v>
      </c>
      <c r="AQ1229" t="s">
        <v>57</v>
      </c>
      <c r="AR1229">
        <v>2100</v>
      </c>
      <c r="AS1229" t="s">
        <v>937</v>
      </c>
      <c r="AT1229" t="s">
        <v>58</v>
      </c>
    </row>
    <row r="1230" ht="29" spans="1:46">
      <c r="A1230" s="31" t="s">
        <v>494</v>
      </c>
      <c r="C1230" t="s">
        <v>2104</v>
      </c>
      <c r="D1230" s="5" t="s">
        <v>57</v>
      </c>
      <c r="E1230">
        <v>2035</v>
      </c>
      <c r="F1230" s="6" t="str">
        <f t="shared" si="154"/>
        <v>*0.94</v>
      </c>
      <c r="H1230" t="s">
        <v>2104</v>
      </c>
      <c r="I1230" s="5" t="s">
        <v>57</v>
      </c>
      <c r="J1230">
        <v>2050</v>
      </c>
      <c r="K1230" s="38" t="str">
        <f t="shared" si="155"/>
        <v>*0.92</v>
      </c>
      <c r="P1230" s="32" t="s">
        <v>2104</v>
      </c>
      <c r="Q1230" s="42" t="s">
        <v>57</v>
      </c>
      <c r="R1230" s="32">
        <v>2035</v>
      </c>
      <c r="S1230" s="43" t="str">
        <f t="shared" si="156"/>
        <v>*0.94</v>
      </c>
      <c r="U1230" s="32" t="s">
        <v>2104</v>
      </c>
      <c r="V1230" s="42" t="s">
        <v>57</v>
      </c>
      <c r="W1230" s="32">
        <v>2050</v>
      </c>
      <c r="X1230" s="43" t="str">
        <f t="shared" si="157"/>
        <v>*0.92</v>
      </c>
      <c r="AC1230" s="33" t="s">
        <v>2104</v>
      </c>
      <c r="AD1230" s="44" t="s">
        <v>57</v>
      </c>
      <c r="AE1230" s="33">
        <v>2035</v>
      </c>
      <c r="AF1230" s="45" t="str">
        <f t="shared" si="158"/>
        <v>*0.92</v>
      </c>
      <c r="AG1230" s="43" t="str">
        <f t="shared" si="160"/>
        <v>REZoning_Sol-Win</v>
      </c>
      <c r="AI1230" s="33" t="s">
        <v>2104</v>
      </c>
      <c r="AJ1230" s="44" t="s">
        <v>57</v>
      </c>
      <c r="AK1230" s="33">
        <v>2050</v>
      </c>
      <c r="AL1230" s="45" t="str">
        <f t="shared" si="159"/>
        <v>*0.89</v>
      </c>
      <c r="AM1230" s="43" t="str">
        <f t="shared" si="161"/>
        <v>REZoning_Sol-Win</v>
      </c>
      <c r="AP1230" t="s">
        <v>2104</v>
      </c>
      <c r="AQ1230" t="s">
        <v>57</v>
      </c>
      <c r="AR1230">
        <v>2100</v>
      </c>
      <c r="AS1230" t="s">
        <v>937</v>
      </c>
      <c r="AT1230" t="s">
        <v>58</v>
      </c>
    </row>
    <row r="1231" ht="29" spans="1:46">
      <c r="A1231" s="31" t="s">
        <v>494</v>
      </c>
      <c r="C1231" t="s">
        <v>2105</v>
      </c>
      <c r="D1231" s="5" t="s">
        <v>57</v>
      </c>
      <c r="E1231">
        <v>2035</v>
      </c>
      <c r="F1231" s="6" t="str">
        <f t="shared" si="154"/>
        <v>*0.94</v>
      </c>
      <c r="H1231" t="s">
        <v>2105</v>
      </c>
      <c r="I1231" s="5" t="s">
        <v>57</v>
      </c>
      <c r="J1231">
        <v>2050</v>
      </c>
      <c r="K1231" s="38" t="str">
        <f t="shared" si="155"/>
        <v>*0.92</v>
      </c>
      <c r="P1231" s="32" t="s">
        <v>2105</v>
      </c>
      <c r="Q1231" s="42" t="s">
        <v>57</v>
      </c>
      <c r="R1231" s="32">
        <v>2035</v>
      </c>
      <c r="S1231" s="43" t="str">
        <f t="shared" si="156"/>
        <v>*0.94</v>
      </c>
      <c r="U1231" s="32" t="s">
        <v>2105</v>
      </c>
      <c r="V1231" s="42" t="s">
        <v>57</v>
      </c>
      <c r="W1231" s="32">
        <v>2050</v>
      </c>
      <c r="X1231" s="43" t="str">
        <f t="shared" si="157"/>
        <v>*0.92</v>
      </c>
      <c r="AC1231" s="33" t="s">
        <v>2105</v>
      </c>
      <c r="AD1231" s="44" t="s">
        <v>57</v>
      </c>
      <c r="AE1231" s="33">
        <v>2035</v>
      </c>
      <c r="AF1231" s="45" t="str">
        <f t="shared" si="158"/>
        <v>*0.92</v>
      </c>
      <c r="AG1231" s="43" t="str">
        <f t="shared" si="160"/>
        <v>REZoning_Sol-Win</v>
      </c>
      <c r="AI1231" s="33" t="s">
        <v>2105</v>
      </c>
      <c r="AJ1231" s="44" t="s">
        <v>57</v>
      </c>
      <c r="AK1231" s="33">
        <v>2050</v>
      </c>
      <c r="AL1231" s="45" t="str">
        <f t="shared" si="159"/>
        <v>*0.89</v>
      </c>
      <c r="AM1231" s="43" t="str">
        <f t="shared" si="161"/>
        <v>REZoning_Sol-Win</v>
      </c>
      <c r="AP1231" t="s">
        <v>2105</v>
      </c>
      <c r="AQ1231" t="s">
        <v>57</v>
      </c>
      <c r="AR1231">
        <v>2100</v>
      </c>
      <c r="AS1231" t="s">
        <v>937</v>
      </c>
      <c r="AT1231" t="s">
        <v>58</v>
      </c>
    </row>
    <row r="1232" ht="29" spans="1:46">
      <c r="A1232" s="31" t="s">
        <v>494</v>
      </c>
      <c r="C1232" t="s">
        <v>2106</v>
      </c>
      <c r="D1232" s="5" t="s">
        <v>57</v>
      </c>
      <c r="E1232">
        <v>2035</v>
      </c>
      <c r="F1232" s="6" t="str">
        <f t="shared" si="154"/>
        <v>*0.94</v>
      </c>
      <c r="H1232" t="s">
        <v>2106</v>
      </c>
      <c r="I1232" s="5" t="s">
        <v>57</v>
      </c>
      <c r="J1232">
        <v>2050</v>
      </c>
      <c r="K1232" s="38" t="str">
        <f t="shared" si="155"/>
        <v>*0.92</v>
      </c>
      <c r="P1232" s="32" t="s">
        <v>2106</v>
      </c>
      <c r="Q1232" s="42" t="s">
        <v>57</v>
      </c>
      <c r="R1232" s="32">
        <v>2035</v>
      </c>
      <c r="S1232" s="43" t="str">
        <f t="shared" si="156"/>
        <v>*0.94</v>
      </c>
      <c r="U1232" s="32" t="s">
        <v>2106</v>
      </c>
      <c r="V1232" s="42" t="s">
        <v>57</v>
      </c>
      <c r="W1232" s="32">
        <v>2050</v>
      </c>
      <c r="X1232" s="43" t="str">
        <f t="shared" si="157"/>
        <v>*0.92</v>
      </c>
      <c r="AC1232" s="33" t="s">
        <v>2106</v>
      </c>
      <c r="AD1232" s="44" t="s">
        <v>57</v>
      </c>
      <c r="AE1232" s="33">
        <v>2035</v>
      </c>
      <c r="AF1232" s="45" t="str">
        <f t="shared" si="158"/>
        <v>*0.92</v>
      </c>
      <c r="AG1232" s="43" t="str">
        <f t="shared" si="160"/>
        <v>REZoning_Sol-Win</v>
      </c>
      <c r="AI1232" s="33" t="s">
        <v>2106</v>
      </c>
      <c r="AJ1232" s="44" t="s">
        <v>57</v>
      </c>
      <c r="AK1232" s="33">
        <v>2050</v>
      </c>
      <c r="AL1232" s="45" t="str">
        <f t="shared" si="159"/>
        <v>*0.89</v>
      </c>
      <c r="AM1232" s="43" t="str">
        <f t="shared" si="161"/>
        <v>REZoning_Sol-Win</v>
      </c>
      <c r="AP1232" t="s">
        <v>2106</v>
      </c>
      <c r="AQ1232" t="s">
        <v>57</v>
      </c>
      <c r="AR1232">
        <v>2100</v>
      </c>
      <c r="AS1232" t="s">
        <v>937</v>
      </c>
      <c r="AT1232" t="s">
        <v>58</v>
      </c>
    </row>
    <row r="1233" ht="29" spans="1:46">
      <c r="A1233" s="31" t="s">
        <v>494</v>
      </c>
      <c r="C1233" t="s">
        <v>2107</v>
      </c>
      <c r="D1233" s="5" t="s">
        <v>57</v>
      </c>
      <c r="E1233">
        <v>2035</v>
      </c>
      <c r="F1233" s="6" t="str">
        <f t="shared" si="154"/>
        <v>*0.94</v>
      </c>
      <c r="H1233" t="s">
        <v>2107</v>
      </c>
      <c r="I1233" s="5" t="s">
        <v>57</v>
      </c>
      <c r="J1233">
        <v>2050</v>
      </c>
      <c r="K1233" s="38" t="str">
        <f t="shared" si="155"/>
        <v>*0.92</v>
      </c>
      <c r="P1233" s="32" t="s">
        <v>2107</v>
      </c>
      <c r="Q1233" s="42" t="s">
        <v>57</v>
      </c>
      <c r="R1233" s="32">
        <v>2035</v>
      </c>
      <c r="S1233" s="43" t="str">
        <f t="shared" si="156"/>
        <v>*0.94</v>
      </c>
      <c r="U1233" s="32" t="s">
        <v>2107</v>
      </c>
      <c r="V1233" s="42" t="s">
        <v>57</v>
      </c>
      <c r="W1233" s="32">
        <v>2050</v>
      </c>
      <c r="X1233" s="43" t="str">
        <f t="shared" si="157"/>
        <v>*0.92</v>
      </c>
      <c r="AC1233" s="33" t="s">
        <v>2107</v>
      </c>
      <c r="AD1233" s="44" t="s">
        <v>57</v>
      </c>
      <c r="AE1233" s="33">
        <v>2035</v>
      </c>
      <c r="AF1233" s="45" t="str">
        <f t="shared" si="158"/>
        <v>*0.92</v>
      </c>
      <c r="AG1233" s="43" t="str">
        <f t="shared" si="160"/>
        <v>REZoning_Sol-Win</v>
      </c>
      <c r="AI1233" s="33" t="s">
        <v>2107</v>
      </c>
      <c r="AJ1233" s="44" t="s">
        <v>57</v>
      </c>
      <c r="AK1233" s="33">
        <v>2050</v>
      </c>
      <c r="AL1233" s="45" t="str">
        <f t="shared" si="159"/>
        <v>*0.89</v>
      </c>
      <c r="AM1233" s="43" t="str">
        <f t="shared" si="161"/>
        <v>REZoning_Sol-Win</v>
      </c>
      <c r="AP1233" t="s">
        <v>2107</v>
      </c>
      <c r="AQ1233" t="s">
        <v>57</v>
      </c>
      <c r="AR1233">
        <v>2100</v>
      </c>
      <c r="AS1233" t="s">
        <v>937</v>
      </c>
      <c r="AT1233" t="s">
        <v>58</v>
      </c>
    </row>
    <row r="1234" ht="29" spans="1:46">
      <c r="A1234" s="31" t="s">
        <v>494</v>
      </c>
      <c r="C1234" t="s">
        <v>2108</v>
      </c>
      <c r="D1234" s="5" t="s">
        <v>57</v>
      </c>
      <c r="E1234">
        <v>2035</v>
      </c>
      <c r="F1234" s="6" t="str">
        <f t="shared" si="154"/>
        <v>*0.94</v>
      </c>
      <c r="H1234" t="s">
        <v>2108</v>
      </c>
      <c r="I1234" s="5" t="s">
        <v>57</v>
      </c>
      <c r="J1234">
        <v>2050</v>
      </c>
      <c r="K1234" s="38" t="str">
        <f t="shared" si="155"/>
        <v>*0.92</v>
      </c>
      <c r="P1234" s="32" t="s">
        <v>2108</v>
      </c>
      <c r="Q1234" s="42" t="s">
        <v>57</v>
      </c>
      <c r="R1234" s="32">
        <v>2035</v>
      </c>
      <c r="S1234" s="43" t="str">
        <f t="shared" si="156"/>
        <v>*0.94</v>
      </c>
      <c r="U1234" s="32" t="s">
        <v>2108</v>
      </c>
      <c r="V1234" s="42" t="s">
        <v>57</v>
      </c>
      <c r="W1234" s="32">
        <v>2050</v>
      </c>
      <c r="X1234" s="43" t="str">
        <f t="shared" si="157"/>
        <v>*0.92</v>
      </c>
      <c r="AC1234" s="33" t="s">
        <v>2108</v>
      </c>
      <c r="AD1234" s="44" t="s">
        <v>57</v>
      </c>
      <c r="AE1234" s="33">
        <v>2035</v>
      </c>
      <c r="AF1234" s="45" t="str">
        <f t="shared" si="158"/>
        <v>*0.92</v>
      </c>
      <c r="AG1234" s="43" t="str">
        <f t="shared" si="160"/>
        <v>REZoning_Sol-Win</v>
      </c>
      <c r="AI1234" s="33" t="s">
        <v>2108</v>
      </c>
      <c r="AJ1234" s="44" t="s">
        <v>57</v>
      </c>
      <c r="AK1234" s="33">
        <v>2050</v>
      </c>
      <c r="AL1234" s="45" t="str">
        <f t="shared" si="159"/>
        <v>*0.89</v>
      </c>
      <c r="AM1234" s="43" t="str">
        <f t="shared" si="161"/>
        <v>REZoning_Sol-Win</v>
      </c>
      <c r="AP1234" t="s">
        <v>2108</v>
      </c>
      <c r="AQ1234" t="s">
        <v>57</v>
      </c>
      <c r="AR1234">
        <v>2100</v>
      </c>
      <c r="AS1234" t="s">
        <v>937</v>
      </c>
      <c r="AT1234" t="s">
        <v>58</v>
      </c>
    </row>
    <row r="1235" ht="29" spans="1:46">
      <c r="A1235" s="31" t="s">
        <v>494</v>
      </c>
      <c r="C1235" t="s">
        <v>2109</v>
      </c>
      <c r="D1235" s="5" t="s">
        <v>57</v>
      </c>
      <c r="E1235">
        <v>2035</v>
      </c>
      <c r="F1235" s="6" t="str">
        <f t="shared" si="154"/>
        <v>*0.94</v>
      </c>
      <c r="H1235" t="s">
        <v>2109</v>
      </c>
      <c r="I1235" s="5" t="s">
        <v>57</v>
      </c>
      <c r="J1235">
        <v>2050</v>
      </c>
      <c r="K1235" s="38" t="str">
        <f t="shared" si="155"/>
        <v>*0.92</v>
      </c>
      <c r="P1235" s="32" t="s">
        <v>2109</v>
      </c>
      <c r="Q1235" s="42" t="s">
        <v>57</v>
      </c>
      <c r="R1235" s="32">
        <v>2035</v>
      </c>
      <c r="S1235" s="43" t="str">
        <f t="shared" si="156"/>
        <v>*0.94</v>
      </c>
      <c r="U1235" s="32" t="s">
        <v>2109</v>
      </c>
      <c r="V1235" s="42" t="s">
        <v>57</v>
      </c>
      <c r="W1235" s="32">
        <v>2050</v>
      </c>
      <c r="X1235" s="43" t="str">
        <f t="shared" si="157"/>
        <v>*0.92</v>
      </c>
      <c r="AC1235" s="33" t="s">
        <v>2109</v>
      </c>
      <c r="AD1235" s="44" t="s">
        <v>57</v>
      </c>
      <c r="AE1235" s="33">
        <v>2035</v>
      </c>
      <c r="AF1235" s="45" t="str">
        <f t="shared" si="158"/>
        <v>*0.92</v>
      </c>
      <c r="AG1235" s="43" t="str">
        <f t="shared" si="160"/>
        <v>REZoning_Sol-Win</v>
      </c>
      <c r="AI1235" s="33" t="s">
        <v>2109</v>
      </c>
      <c r="AJ1235" s="44" t="s">
        <v>57</v>
      </c>
      <c r="AK1235" s="33">
        <v>2050</v>
      </c>
      <c r="AL1235" s="45" t="str">
        <f t="shared" si="159"/>
        <v>*0.89</v>
      </c>
      <c r="AM1235" s="43" t="str">
        <f t="shared" si="161"/>
        <v>REZoning_Sol-Win</v>
      </c>
      <c r="AP1235" t="s">
        <v>2109</v>
      </c>
      <c r="AQ1235" t="s">
        <v>57</v>
      </c>
      <c r="AR1235">
        <v>2100</v>
      </c>
      <c r="AS1235" t="s">
        <v>937</v>
      </c>
      <c r="AT1235" t="s">
        <v>58</v>
      </c>
    </row>
    <row r="1236" ht="29" spans="1:46">
      <c r="A1236" s="31" t="s">
        <v>494</v>
      </c>
      <c r="C1236" t="s">
        <v>2110</v>
      </c>
      <c r="D1236" s="5" t="s">
        <v>57</v>
      </c>
      <c r="E1236">
        <v>2035</v>
      </c>
      <c r="F1236" s="6" t="str">
        <f t="shared" si="154"/>
        <v>*0.94</v>
      </c>
      <c r="H1236" t="s">
        <v>2110</v>
      </c>
      <c r="I1236" s="5" t="s">
        <v>57</v>
      </c>
      <c r="J1236">
        <v>2050</v>
      </c>
      <c r="K1236" s="38" t="str">
        <f t="shared" si="155"/>
        <v>*0.92</v>
      </c>
      <c r="P1236" s="32" t="s">
        <v>2110</v>
      </c>
      <c r="Q1236" s="42" t="s">
        <v>57</v>
      </c>
      <c r="R1236" s="32">
        <v>2035</v>
      </c>
      <c r="S1236" s="43" t="str">
        <f t="shared" si="156"/>
        <v>*0.94</v>
      </c>
      <c r="U1236" s="32" t="s">
        <v>2110</v>
      </c>
      <c r="V1236" s="42" t="s">
        <v>57</v>
      </c>
      <c r="W1236" s="32">
        <v>2050</v>
      </c>
      <c r="X1236" s="43" t="str">
        <f t="shared" si="157"/>
        <v>*0.92</v>
      </c>
      <c r="AC1236" s="33" t="s">
        <v>2110</v>
      </c>
      <c r="AD1236" s="44" t="s">
        <v>57</v>
      </c>
      <c r="AE1236" s="33">
        <v>2035</v>
      </c>
      <c r="AF1236" s="45" t="str">
        <f t="shared" si="158"/>
        <v>*0.92</v>
      </c>
      <c r="AG1236" s="43" t="str">
        <f t="shared" si="160"/>
        <v>REZoning_Sol-Win</v>
      </c>
      <c r="AI1236" s="33" t="s">
        <v>2110</v>
      </c>
      <c r="AJ1236" s="44" t="s">
        <v>57</v>
      </c>
      <c r="AK1236" s="33">
        <v>2050</v>
      </c>
      <c r="AL1236" s="45" t="str">
        <f t="shared" si="159"/>
        <v>*0.89</v>
      </c>
      <c r="AM1236" s="43" t="str">
        <f t="shared" si="161"/>
        <v>REZoning_Sol-Win</v>
      </c>
      <c r="AP1236" t="s">
        <v>2110</v>
      </c>
      <c r="AQ1236" t="s">
        <v>57</v>
      </c>
      <c r="AR1236">
        <v>2100</v>
      </c>
      <c r="AS1236" t="s">
        <v>937</v>
      </c>
      <c r="AT1236" t="s">
        <v>58</v>
      </c>
    </row>
    <row r="1237" ht="29" spans="1:46">
      <c r="A1237" s="31" t="s">
        <v>494</v>
      </c>
      <c r="C1237" t="s">
        <v>2111</v>
      </c>
      <c r="D1237" s="5" t="s">
        <v>57</v>
      </c>
      <c r="E1237">
        <v>2035</v>
      </c>
      <c r="F1237" s="6" t="str">
        <f t="shared" si="154"/>
        <v>*0.94</v>
      </c>
      <c r="H1237" t="s">
        <v>2111</v>
      </c>
      <c r="I1237" s="5" t="s">
        <v>57</v>
      </c>
      <c r="J1237">
        <v>2050</v>
      </c>
      <c r="K1237" s="38" t="str">
        <f t="shared" si="155"/>
        <v>*0.92</v>
      </c>
      <c r="P1237" s="32" t="s">
        <v>2111</v>
      </c>
      <c r="Q1237" s="42" t="s">
        <v>57</v>
      </c>
      <c r="R1237" s="32">
        <v>2035</v>
      </c>
      <c r="S1237" s="43" t="str">
        <f t="shared" si="156"/>
        <v>*0.94</v>
      </c>
      <c r="U1237" s="32" t="s">
        <v>2111</v>
      </c>
      <c r="V1237" s="42" t="s">
        <v>57</v>
      </c>
      <c r="W1237" s="32">
        <v>2050</v>
      </c>
      <c r="X1237" s="43" t="str">
        <f t="shared" si="157"/>
        <v>*0.92</v>
      </c>
      <c r="AC1237" s="33" t="s">
        <v>2111</v>
      </c>
      <c r="AD1237" s="44" t="s">
        <v>57</v>
      </c>
      <c r="AE1237" s="33">
        <v>2035</v>
      </c>
      <c r="AF1237" s="45" t="str">
        <f t="shared" si="158"/>
        <v>*0.92</v>
      </c>
      <c r="AG1237" s="43" t="str">
        <f t="shared" si="160"/>
        <v>REZoning_Sol-Win</v>
      </c>
      <c r="AI1237" s="33" t="s">
        <v>2111</v>
      </c>
      <c r="AJ1237" s="44" t="s">
        <v>57</v>
      </c>
      <c r="AK1237" s="33">
        <v>2050</v>
      </c>
      <c r="AL1237" s="45" t="str">
        <f t="shared" si="159"/>
        <v>*0.89</v>
      </c>
      <c r="AM1237" s="43" t="str">
        <f t="shared" si="161"/>
        <v>REZoning_Sol-Win</v>
      </c>
      <c r="AP1237" t="s">
        <v>2111</v>
      </c>
      <c r="AQ1237" t="s">
        <v>57</v>
      </c>
      <c r="AR1237">
        <v>2100</v>
      </c>
      <c r="AS1237" t="s">
        <v>937</v>
      </c>
      <c r="AT1237" t="s">
        <v>58</v>
      </c>
    </row>
    <row r="1238" ht="29" spans="1:46">
      <c r="A1238" s="31" t="s">
        <v>494</v>
      </c>
      <c r="C1238" t="s">
        <v>2112</v>
      </c>
      <c r="D1238" s="5" t="s">
        <v>57</v>
      </c>
      <c r="E1238">
        <v>2035</v>
      </c>
      <c r="F1238" s="6" t="str">
        <f t="shared" si="154"/>
        <v>*0.94</v>
      </c>
      <c r="H1238" t="s">
        <v>2112</v>
      </c>
      <c r="I1238" s="5" t="s">
        <v>57</v>
      </c>
      <c r="J1238">
        <v>2050</v>
      </c>
      <c r="K1238" s="38" t="str">
        <f t="shared" si="155"/>
        <v>*0.92</v>
      </c>
      <c r="P1238" s="32" t="s">
        <v>2112</v>
      </c>
      <c r="Q1238" s="42" t="s">
        <v>57</v>
      </c>
      <c r="R1238" s="32">
        <v>2035</v>
      </c>
      <c r="S1238" s="43" t="str">
        <f t="shared" si="156"/>
        <v>*0.94</v>
      </c>
      <c r="U1238" s="32" t="s">
        <v>2112</v>
      </c>
      <c r="V1238" s="42" t="s">
        <v>57</v>
      </c>
      <c r="W1238" s="32">
        <v>2050</v>
      </c>
      <c r="X1238" s="43" t="str">
        <f t="shared" si="157"/>
        <v>*0.92</v>
      </c>
      <c r="AC1238" s="33" t="s">
        <v>2112</v>
      </c>
      <c r="AD1238" s="44" t="s">
        <v>57</v>
      </c>
      <c r="AE1238" s="33">
        <v>2035</v>
      </c>
      <c r="AF1238" s="45" t="str">
        <f t="shared" si="158"/>
        <v>*0.92</v>
      </c>
      <c r="AG1238" s="43" t="str">
        <f t="shared" si="160"/>
        <v>REZoning_Sol-Win</v>
      </c>
      <c r="AI1238" s="33" t="s">
        <v>2112</v>
      </c>
      <c r="AJ1238" s="44" t="s">
        <v>57</v>
      </c>
      <c r="AK1238" s="33">
        <v>2050</v>
      </c>
      <c r="AL1238" s="45" t="str">
        <f t="shared" si="159"/>
        <v>*0.89</v>
      </c>
      <c r="AM1238" s="43" t="str">
        <f t="shared" si="161"/>
        <v>REZoning_Sol-Win</v>
      </c>
      <c r="AP1238" t="s">
        <v>2112</v>
      </c>
      <c r="AQ1238" t="s">
        <v>57</v>
      </c>
      <c r="AR1238">
        <v>2100</v>
      </c>
      <c r="AS1238" t="s">
        <v>937</v>
      </c>
      <c r="AT1238" t="s">
        <v>58</v>
      </c>
    </row>
    <row r="1239" ht="29" spans="1:46">
      <c r="A1239" s="31" t="s">
        <v>494</v>
      </c>
      <c r="C1239" t="s">
        <v>2113</v>
      </c>
      <c r="D1239" s="5" t="s">
        <v>57</v>
      </c>
      <c r="E1239">
        <v>2035</v>
      </c>
      <c r="F1239" s="6" t="str">
        <f t="shared" si="154"/>
        <v>*0.94</v>
      </c>
      <c r="H1239" t="s">
        <v>2113</v>
      </c>
      <c r="I1239" s="5" t="s">
        <v>57</v>
      </c>
      <c r="J1239">
        <v>2050</v>
      </c>
      <c r="K1239" s="38" t="str">
        <f t="shared" si="155"/>
        <v>*0.92</v>
      </c>
      <c r="P1239" s="32" t="s">
        <v>2113</v>
      </c>
      <c r="Q1239" s="42" t="s">
        <v>57</v>
      </c>
      <c r="R1239" s="32">
        <v>2035</v>
      </c>
      <c r="S1239" s="43" t="str">
        <f t="shared" si="156"/>
        <v>*0.94</v>
      </c>
      <c r="U1239" s="32" t="s">
        <v>2113</v>
      </c>
      <c r="V1239" s="42" t="s">
        <v>57</v>
      </c>
      <c r="W1239" s="32">
        <v>2050</v>
      </c>
      <c r="X1239" s="43" t="str">
        <f t="shared" si="157"/>
        <v>*0.92</v>
      </c>
      <c r="AC1239" s="33" t="s">
        <v>2113</v>
      </c>
      <c r="AD1239" s="44" t="s">
        <v>57</v>
      </c>
      <c r="AE1239" s="33">
        <v>2035</v>
      </c>
      <c r="AF1239" s="45" t="str">
        <f t="shared" si="158"/>
        <v>*0.92</v>
      </c>
      <c r="AG1239" s="43" t="str">
        <f t="shared" si="160"/>
        <v>REZoning_Sol-Win</v>
      </c>
      <c r="AI1239" s="33" t="s">
        <v>2113</v>
      </c>
      <c r="AJ1239" s="44" t="s">
        <v>57</v>
      </c>
      <c r="AK1239" s="33">
        <v>2050</v>
      </c>
      <c r="AL1239" s="45" t="str">
        <f t="shared" si="159"/>
        <v>*0.89</v>
      </c>
      <c r="AM1239" s="43" t="str">
        <f t="shared" si="161"/>
        <v>REZoning_Sol-Win</v>
      </c>
      <c r="AP1239" t="s">
        <v>2113</v>
      </c>
      <c r="AQ1239" t="s">
        <v>57</v>
      </c>
      <c r="AR1239">
        <v>2100</v>
      </c>
      <c r="AS1239" t="s">
        <v>937</v>
      </c>
      <c r="AT1239" t="s">
        <v>58</v>
      </c>
    </row>
    <row r="1240" ht="29" spans="1:46">
      <c r="A1240" s="31" t="s">
        <v>494</v>
      </c>
      <c r="C1240" t="s">
        <v>2114</v>
      </c>
      <c r="D1240" s="5" t="s">
        <v>57</v>
      </c>
      <c r="E1240">
        <v>2035</v>
      </c>
      <c r="F1240" s="6" t="str">
        <f t="shared" si="154"/>
        <v>*0.94</v>
      </c>
      <c r="H1240" t="s">
        <v>2114</v>
      </c>
      <c r="I1240" s="5" t="s">
        <v>57</v>
      </c>
      <c r="J1240">
        <v>2050</v>
      </c>
      <c r="K1240" s="38" t="str">
        <f t="shared" si="155"/>
        <v>*0.92</v>
      </c>
      <c r="P1240" s="32" t="s">
        <v>2114</v>
      </c>
      <c r="Q1240" s="42" t="s">
        <v>57</v>
      </c>
      <c r="R1240" s="32">
        <v>2035</v>
      </c>
      <c r="S1240" s="43" t="str">
        <f t="shared" si="156"/>
        <v>*0.94</v>
      </c>
      <c r="U1240" s="32" t="s">
        <v>2114</v>
      </c>
      <c r="V1240" s="42" t="s">
        <v>57</v>
      </c>
      <c r="W1240" s="32">
        <v>2050</v>
      </c>
      <c r="X1240" s="43" t="str">
        <f t="shared" si="157"/>
        <v>*0.92</v>
      </c>
      <c r="AC1240" s="33" t="s">
        <v>2114</v>
      </c>
      <c r="AD1240" s="44" t="s">
        <v>57</v>
      </c>
      <c r="AE1240" s="33">
        <v>2035</v>
      </c>
      <c r="AF1240" s="45" t="str">
        <f t="shared" si="158"/>
        <v>*0.92</v>
      </c>
      <c r="AG1240" s="43" t="str">
        <f t="shared" si="160"/>
        <v>REZoning_Sol-Win</v>
      </c>
      <c r="AI1240" s="33" t="s">
        <v>2114</v>
      </c>
      <c r="AJ1240" s="44" t="s">
        <v>57</v>
      </c>
      <c r="AK1240" s="33">
        <v>2050</v>
      </c>
      <c r="AL1240" s="45" t="str">
        <f t="shared" si="159"/>
        <v>*0.89</v>
      </c>
      <c r="AM1240" s="43" t="str">
        <f t="shared" si="161"/>
        <v>REZoning_Sol-Win</v>
      </c>
      <c r="AP1240" t="s">
        <v>2114</v>
      </c>
      <c r="AQ1240" t="s">
        <v>57</v>
      </c>
      <c r="AR1240">
        <v>2100</v>
      </c>
      <c r="AS1240" t="s">
        <v>937</v>
      </c>
      <c r="AT1240" t="s">
        <v>58</v>
      </c>
    </row>
    <row r="1241" ht="29" spans="1:46">
      <c r="A1241" s="31" t="s">
        <v>494</v>
      </c>
      <c r="C1241" t="s">
        <v>2115</v>
      </c>
      <c r="D1241" s="5" t="s">
        <v>57</v>
      </c>
      <c r="E1241">
        <v>2035</v>
      </c>
      <c r="F1241" s="6" t="str">
        <f t="shared" si="154"/>
        <v>*0.94</v>
      </c>
      <c r="H1241" t="s">
        <v>2115</v>
      </c>
      <c r="I1241" s="5" t="s">
        <v>57</v>
      </c>
      <c r="J1241">
        <v>2050</v>
      </c>
      <c r="K1241" s="38" t="str">
        <f t="shared" si="155"/>
        <v>*0.92</v>
      </c>
      <c r="P1241" s="32" t="s">
        <v>2115</v>
      </c>
      <c r="Q1241" s="42" t="s">
        <v>57</v>
      </c>
      <c r="R1241" s="32">
        <v>2035</v>
      </c>
      <c r="S1241" s="43" t="str">
        <f t="shared" si="156"/>
        <v>*0.94</v>
      </c>
      <c r="U1241" s="32" t="s">
        <v>2115</v>
      </c>
      <c r="V1241" s="42" t="s">
        <v>57</v>
      </c>
      <c r="W1241" s="32">
        <v>2050</v>
      </c>
      <c r="X1241" s="43" t="str">
        <f t="shared" si="157"/>
        <v>*0.92</v>
      </c>
      <c r="AC1241" s="33" t="s">
        <v>2115</v>
      </c>
      <c r="AD1241" s="44" t="s">
        <v>57</v>
      </c>
      <c r="AE1241" s="33">
        <v>2035</v>
      </c>
      <c r="AF1241" s="45" t="str">
        <f t="shared" si="158"/>
        <v>*0.92</v>
      </c>
      <c r="AG1241" s="43" t="str">
        <f t="shared" si="160"/>
        <v>REZoning_Sol-Win</v>
      </c>
      <c r="AI1241" s="33" t="s">
        <v>2115</v>
      </c>
      <c r="AJ1241" s="44" t="s">
        <v>57</v>
      </c>
      <c r="AK1241" s="33">
        <v>2050</v>
      </c>
      <c r="AL1241" s="45" t="str">
        <f t="shared" si="159"/>
        <v>*0.89</v>
      </c>
      <c r="AM1241" s="43" t="str">
        <f t="shared" si="161"/>
        <v>REZoning_Sol-Win</v>
      </c>
      <c r="AP1241" t="s">
        <v>2115</v>
      </c>
      <c r="AQ1241" t="s">
        <v>57</v>
      </c>
      <c r="AR1241">
        <v>2100</v>
      </c>
      <c r="AS1241" t="s">
        <v>937</v>
      </c>
      <c r="AT1241" t="s">
        <v>58</v>
      </c>
    </row>
    <row r="1242" ht="29" spans="1:46">
      <c r="A1242" s="31" t="s">
        <v>494</v>
      </c>
      <c r="C1242" t="s">
        <v>2116</v>
      </c>
      <c r="D1242" s="5" t="s">
        <v>57</v>
      </c>
      <c r="E1242">
        <v>2035</v>
      </c>
      <c r="F1242" s="6" t="str">
        <f t="shared" si="154"/>
        <v>*0.94</v>
      </c>
      <c r="H1242" t="s">
        <v>2116</v>
      </c>
      <c r="I1242" s="5" t="s">
        <v>57</v>
      </c>
      <c r="J1242">
        <v>2050</v>
      </c>
      <c r="K1242" s="38" t="str">
        <f t="shared" si="155"/>
        <v>*0.92</v>
      </c>
      <c r="P1242" s="32" t="s">
        <v>2116</v>
      </c>
      <c r="Q1242" s="42" t="s">
        <v>57</v>
      </c>
      <c r="R1242" s="32">
        <v>2035</v>
      </c>
      <c r="S1242" s="43" t="str">
        <f t="shared" si="156"/>
        <v>*0.94</v>
      </c>
      <c r="U1242" s="32" t="s">
        <v>2116</v>
      </c>
      <c r="V1242" s="42" t="s">
        <v>57</v>
      </c>
      <c r="W1242" s="32">
        <v>2050</v>
      </c>
      <c r="X1242" s="43" t="str">
        <f t="shared" si="157"/>
        <v>*0.92</v>
      </c>
      <c r="AC1242" s="33" t="s">
        <v>2116</v>
      </c>
      <c r="AD1242" s="44" t="s">
        <v>57</v>
      </c>
      <c r="AE1242" s="33">
        <v>2035</v>
      </c>
      <c r="AF1242" s="45" t="str">
        <f t="shared" si="158"/>
        <v>*0.92</v>
      </c>
      <c r="AG1242" s="43" t="str">
        <f t="shared" si="160"/>
        <v>REZoning_Sol-Win</v>
      </c>
      <c r="AI1242" s="33" t="s">
        <v>2116</v>
      </c>
      <c r="AJ1242" s="44" t="s">
        <v>57</v>
      </c>
      <c r="AK1242" s="33">
        <v>2050</v>
      </c>
      <c r="AL1242" s="45" t="str">
        <f t="shared" si="159"/>
        <v>*0.89</v>
      </c>
      <c r="AM1242" s="43" t="str">
        <f t="shared" si="161"/>
        <v>REZoning_Sol-Win</v>
      </c>
      <c r="AP1242" t="s">
        <v>2116</v>
      </c>
      <c r="AQ1242" t="s">
        <v>57</v>
      </c>
      <c r="AR1242">
        <v>2100</v>
      </c>
      <c r="AS1242" t="s">
        <v>937</v>
      </c>
      <c r="AT1242" t="s">
        <v>58</v>
      </c>
    </row>
    <row r="1243" ht="29" spans="1:46">
      <c r="A1243" s="31" t="s">
        <v>494</v>
      </c>
      <c r="C1243" t="s">
        <v>2117</v>
      </c>
      <c r="D1243" s="5" t="s">
        <v>57</v>
      </c>
      <c r="E1243">
        <v>2035</v>
      </c>
      <c r="F1243" s="6" t="str">
        <f t="shared" si="154"/>
        <v>*0.94</v>
      </c>
      <c r="H1243" t="s">
        <v>2117</v>
      </c>
      <c r="I1243" s="5" t="s">
        <v>57</v>
      </c>
      <c r="J1243">
        <v>2050</v>
      </c>
      <c r="K1243" s="38" t="str">
        <f t="shared" si="155"/>
        <v>*0.92</v>
      </c>
      <c r="P1243" s="32" t="s">
        <v>2117</v>
      </c>
      <c r="Q1243" s="42" t="s">
        <v>57</v>
      </c>
      <c r="R1243" s="32">
        <v>2035</v>
      </c>
      <c r="S1243" s="43" t="str">
        <f t="shared" si="156"/>
        <v>*0.94</v>
      </c>
      <c r="U1243" s="32" t="s">
        <v>2117</v>
      </c>
      <c r="V1243" s="42" t="s">
        <v>57</v>
      </c>
      <c r="W1243" s="32">
        <v>2050</v>
      </c>
      <c r="X1243" s="43" t="str">
        <f t="shared" si="157"/>
        <v>*0.92</v>
      </c>
      <c r="AC1243" s="33" t="s">
        <v>2117</v>
      </c>
      <c r="AD1243" s="44" t="s">
        <v>57</v>
      </c>
      <c r="AE1243" s="33">
        <v>2035</v>
      </c>
      <c r="AF1243" s="45" t="str">
        <f t="shared" si="158"/>
        <v>*0.92</v>
      </c>
      <c r="AG1243" s="43" t="str">
        <f t="shared" si="160"/>
        <v>REZoning_Sol-Win</v>
      </c>
      <c r="AI1243" s="33" t="s">
        <v>2117</v>
      </c>
      <c r="AJ1243" s="44" t="s">
        <v>57</v>
      </c>
      <c r="AK1243" s="33">
        <v>2050</v>
      </c>
      <c r="AL1243" s="45" t="str">
        <f t="shared" si="159"/>
        <v>*0.89</v>
      </c>
      <c r="AM1243" s="43" t="str">
        <f t="shared" si="161"/>
        <v>REZoning_Sol-Win</v>
      </c>
      <c r="AP1243" t="s">
        <v>2117</v>
      </c>
      <c r="AQ1243" t="s">
        <v>57</v>
      </c>
      <c r="AR1243">
        <v>2100</v>
      </c>
      <c r="AS1243" t="s">
        <v>937</v>
      </c>
      <c r="AT1243" t="s">
        <v>58</v>
      </c>
    </row>
    <row r="1244" ht="29" spans="1:46">
      <c r="A1244" s="31" t="s">
        <v>494</v>
      </c>
      <c r="C1244" t="s">
        <v>2118</v>
      </c>
      <c r="D1244" s="5" t="s">
        <v>57</v>
      </c>
      <c r="E1244">
        <v>2035</v>
      </c>
      <c r="F1244" s="6" t="str">
        <f t="shared" si="154"/>
        <v>*0.94</v>
      </c>
      <c r="H1244" t="s">
        <v>2118</v>
      </c>
      <c r="I1244" s="5" t="s">
        <v>57</v>
      </c>
      <c r="J1244">
        <v>2050</v>
      </c>
      <c r="K1244" s="38" t="str">
        <f t="shared" si="155"/>
        <v>*0.92</v>
      </c>
      <c r="P1244" s="32" t="s">
        <v>2118</v>
      </c>
      <c r="Q1244" s="42" t="s">
        <v>57</v>
      </c>
      <c r="R1244" s="32">
        <v>2035</v>
      </c>
      <c r="S1244" s="43" t="str">
        <f t="shared" si="156"/>
        <v>*0.94</v>
      </c>
      <c r="U1244" s="32" t="s">
        <v>2118</v>
      </c>
      <c r="V1244" s="42" t="s">
        <v>57</v>
      </c>
      <c r="W1244" s="32">
        <v>2050</v>
      </c>
      <c r="X1244" s="43" t="str">
        <f t="shared" si="157"/>
        <v>*0.92</v>
      </c>
      <c r="AC1244" s="33" t="s">
        <v>2118</v>
      </c>
      <c r="AD1244" s="44" t="s">
        <v>57</v>
      </c>
      <c r="AE1244" s="33">
        <v>2035</v>
      </c>
      <c r="AF1244" s="45" t="str">
        <f t="shared" si="158"/>
        <v>*0.92</v>
      </c>
      <c r="AG1244" s="43" t="str">
        <f t="shared" si="160"/>
        <v>REZoning_Sol-Win</v>
      </c>
      <c r="AI1244" s="33" t="s">
        <v>2118</v>
      </c>
      <c r="AJ1244" s="44" t="s">
        <v>57</v>
      </c>
      <c r="AK1244" s="33">
        <v>2050</v>
      </c>
      <c r="AL1244" s="45" t="str">
        <f t="shared" si="159"/>
        <v>*0.89</v>
      </c>
      <c r="AM1244" s="43" t="str">
        <f t="shared" si="161"/>
        <v>REZoning_Sol-Win</v>
      </c>
      <c r="AP1244" t="s">
        <v>2118</v>
      </c>
      <c r="AQ1244" t="s">
        <v>57</v>
      </c>
      <c r="AR1244">
        <v>2100</v>
      </c>
      <c r="AS1244" t="s">
        <v>937</v>
      </c>
      <c r="AT1244" t="s">
        <v>58</v>
      </c>
    </row>
    <row r="1245" ht="29" spans="1:46">
      <c r="A1245" s="31" t="s">
        <v>494</v>
      </c>
      <c r="C1245" t="s">
        <v>2119</v>
      </c>
      <c r="D1245" s="5" t="s">
        <v>57</v>
      </c>
      <c r="E1245">
        <v>2035</v>
      </c>
      <c r="F1245" s="6" t="str">
        <f t="shared" si="154"/>
        <v>*0.94</v>
      </c>
      <c r="H1245" t="s">
        <v>2119</v>
      </c>
      <c r="I1245" s="5" t="s">
        <v>57</v>
      </c>
      <c r="J1245">
        <v>2050</v>
      </c>
      <c r="K1245" s="38" t="str">
        <f t="shared" si="155"/>
        <v>*0.92</v>
      </c>
      <c r="P1245" s="32" t="s">
        <v>2119</v>
      </c>
      <c r="Q1245" s="42" t="s">
        <v>57</v>
      </c>
      <c r="R1245" s="32">
        <v>2035</v>
      </c>
      <c r="S1245" s="43" t="str">
        <f t="shared" si="156"/>
        <v>*0.94</v>
      </c>
      <c r="U1245" s="32" t="s">
        <v>2119</v>
      </c>
      <c r="V1245" s="42" t="s">
        <v>57</v>
      </c>
      <c r="W1245" s="32">
        <v>2050</v>
      </c>
      <c r="X1245" s="43" t="str">
        <f t="shared" si="157"/>
        <v>*0.92</v>
      </c>
      <c r="AC1245" s="33" t="s">
        <v>2119</v>
      </c>
      <c r="AD1245" s="44" t="s">
        <v>57</v>
      </c>
      <c r="AE1245" s="33">
        <v>2035</v>
      </c>
      <c r="AF1245" s="45" t="str">
        <f t="shared" si="158"/>
        <v>*0.92</v>
      </c>
      <c r="AG1245" s="43" t="str">
        <f t="shared" si="160"/>
        <v>REZoning_Sol-Win</v>
      </c>
      <c r="AI1245" s="33" t="s">
        <v>2119</v>
      </c>
      <c r="AJ1245" s="44" t="s">
        <v>57</v>
      </c>
      <c r="AK1245" s="33">
        <v>2050</v>
      </c>
      <c r="AL1245" s="45" t="str">
        <f t="shared" si="159"/>
        <v>*0.89</v>
      </c>
      <c r="AM1245" s="43" t="str">
        <f t="shared" si="161"/>
        <v>REZoning_Sol-Win</v>
      </c>
      <c r="AP1245" t="s">
        <v>2119</v>
      </c>
      <c r="AQ1245" t="s">
        <v>57</v>
      </c>
      <c r="AR1245">
        <v>2100</v>
      </c>
      <c r="AS1245" t="s">
        <v>937</v>
      </c>
      <c r="AT1245" t="s">
        <v>58</v>
      </c>
    </row>
    <row r="1246" ht="29" spans="1:46">
      <c r="A1246" s="31" t="s">
        <v>494</v>
      </c>
      <c r="C1246" t="s">
        <v>2120</v>
      </c>
      <c r="D1246" s="5" t="s">
        <v>57</v>
      </c>
      <c r="E1246">
        <v>2035</v>
      </c>
      <c r="F1246" s="6" t="str">
        <f t="shared" si="154"/>
        <v>*0.94</v>
      </c>
      <c r="H1246" t="s">
        <v>2120</v>
      </c>
      <c r="I1246" s="5" t="s">
        <v>57</v>
      </c>
      <c r="J1246">
        <v>2050</v>
      </c>
      <c r="K1246" s="38" t="str">
        <f t="shared" si="155"/>
        <v>*0.92</v>
      </c>
      <c r="P1246" s="32" t="s">
        <v>2120</v>
      </c>
      <c r="Q1246" s="42" t="s">
        <v>57</v>
      </c>
      <c r="R1246" s="32">
        <v>2035</v>
      </c>
      <c r="S1246" s="43" t="str">
        <f t="shared" si="156"/>
        <v>*0.94</v>
      </c>
      <c r="U1246" s="32" t="s">
        <v>2120</v>
      </c>
      <c r="V1246" s="42" t="s">
        <v>57</v>
      </c>
      <c r="W1246" s="32">
        <v>2050</v>
      </c>
      <c r="X1246" s="43" t="str">
        <f t="shared" si="157"/>
        <v>*0.92</v>
      </c>
      <c r="AC1246" s="33" t="s">
        <v>2120</v>
      </c>
      <c r="AD1246" s="44" t="s">
        <v>57</v>
      </c>
      <c r="AE1246" s="33">
        <v>2035</v>
      </c>
      <c r="AF1246" s="45" t="str">
        <f t="shared" si="158"/>
        <v>*0.92</v>
      </c>
      <c r="AG1246" s="43" t="str">
        <f t="shared" si="160"/>
        <v>REZoning_Sol-Win</v>
      </c>
      <c r="AI1246" s="33" t="s">
        <v>2120</v>
      </c>
      <c r="AJ1246" s="44" t="s">
        <v>57</v>
      </c>
      <c r="AK1246" s="33">
        <v>2050</v>
      </c>
      <c r="AL1246" s="45" t="str">
        <f t="shared" si="159"/>
        <v>*0.89</v>
      </c>
      <c r="AM1246" s="43" t="str">
        <f t="shared" si="161"/>
        <v>REZoning_Sol-Win</v>
      </c>
      <c r="AP1246" t="s">
        <v>2120</v>
      </c>
      <c r="AQ1246" t="s">
        <v>57</v>
      </c>
      <c r="AR1246">
        <v>2100</v>
      </c>
      <c r="AS1246" t="s">
        <v>937</v>
      </c>
      <c r="AT1246" t="s">
        <v>58</v>
      </c>
    </row>
    <row r="1247" ht="29" spans="1:46">
      <c r="A1247" s="31" t="s">
        <v>95</v>
      </c>
      <c r="C1247" t="s">
        <v>2121</v>
      </c>
      <c r="D1247" s="5" t="s">
        <v>57</v>
      </c>
      <c r="E1247">
        <v>2035</v>
      </c>
      <c r="F1247" s="6" t="str">
        <f t="shared" si="154"/>
        <v>*0.95</v>
      </c>
      <c r="H1247" t="s">
        <v>2121</v>
      </c>
      <c r="I1247" s="5" t="s">
        <v>57</v>
      </c>
      <c r="J1247">
        <v>2050</v>
      </c>
      <c r="K1247" s="38" t="str">
        <f t="shared" si="155"/>
        <v>*0.93</v>
      </c>
      <c r="P1247" s="32" t="s">
        <v>2121</v>
      </c>
      <c r="Q1247" s="42" t="s">
        <v>57</v>
      </c>
      <c r="R1247" s="32">
        <v>2035</v>
      </c>
      <c r="S1247" s="43" t="str">
        <f t="shared" si="156"/>
        <v>*0.95</v>
      </c>
      <c r="U1247" s="32" t="s">
        <v>2121</v>
      </c>
      <c r="V1247" s="42" t="s">
        <v>57</v>
      </c>
      <c r="W1247" s="32">
        <v>2050</v>
      </c>
      <c r="X1247" s="43" t="str">
        <f t="shared" si="157"/>
        <v>*0.91</v>
      </c>
      <c r="AC1247" s="33" t="s">
        <v>2121</v>
      </c>
      <c r="AD1247" s="44" t="s">
        <v>57</v>
      </c>
      <c r="AE1247" s="33">
        <v>2035</v>
      </c>
      <c r="AF1247" s="45" t="str">
        <f t="shared" si="158"/>
        <v>*0.91</v>
      </c>
      <c r="AG1247" s="43" t="str">
        <f t="shared" si="160"/>
        <v>REZoning_Sol-Win</v>
      </c>
      <c r="AI1247" s="33" t="s">
        <v>2121</v>
      </c>
      <c r="AJ1247" s="44" t="s">
        <v>57</v>
      </c>
      <c r="AK1247" s="33">
        <v>2050</v>
      </c>
      <c r="AL1247" s="45" t="str">
        <f t="shared" si="159"/>
        <v>*0.86</v>
      </c>
      <c r="AM1247" s="43" t="str">
        <f t="shared" si="161"/>
        <v>REZoning_Sol-Win</v>
      </c>
      <c r="AP1247" t="s">
        <v>2121</v>
      </c>
      <c r="AQ1247" t="s">
        <v>57</v>
      </c>
      <c r="AR1247">
        <v>2100</v>
      </c>
      <c r="AS1247" t="s">
        <v>883</v>
      </c>
      <c r="AT1247" t="s">
        <v>58</v>
      </c>
    </row>
    <row r="1248" ht="29" spans="1:46">
      <c r="A1248" s="31" t="s">
        <v>95</v>
      </c>
      <c r="C1248" t="s">
        <v>2122</v>
      </c>
      <c r="D1248" s="5" t="s">
        <v>57</v>
      </c>
      <c r="E1248">
        <v>2035</v>
      </c>
      <c r="F1248" s="6" t="str">
        <f t="shared" si="154"/>
        <v>*0.95</v>
      </c>
      <c r="H1248" t="s">
        <v>2122</v>
      </c>
      <c r="I1248" s="5" t="s">
        <v>57</v>
      </c>
      <c r="J1248">
        <v>2050</v>
      </c>
      <c r="K1248" s="38" t="str">
        <f t="shared" si="155"/>
        <v>*0.93</v>
      </c>
      <c r="P1248" s="32" t="s">
        <v>2122</v>
      </c>
      <c r="Q1248" s="42" t="s">
        <v>57</v>
      </c>
      <c r="R1248" s="32">
        <v>2035</v>
      </c>
      <c r="S1248" s="43" t="str">
        <f t="shared" si="156"/>
        <v>*0.95</v>
      </c>
      <c r="U1248" s="32" t="s">
        <v>2122</v>
      </c>
      <c r="V1248" s="42" t="s">
        <v>57</v>
      </c>
      <c r="W1248" s="32">
        <v>2050</v>
      </c>
      <c r="X1248" s="43" t="str">
        <f t="shared" si="157"/>
        <v>*0.91</v>
      </c>
      <c r="AC1248" s="33" t="s">
        <v>2122</v>
      </c>
      <c r="AD1248" s="44" t="s">
        <v>57</v>
      </c>
      <c r="AE1248" s="33">
        <v>2035</v>
      </c>
      <c r="AF1248" s="45" t="str">
        <f t="shared" si="158"/>
        <v>*0.91</v>
      </c>
      <c r="AG1248" s="43" t="str">
        <f t="shared" si="160"/>
        <v>REZoning_Sol-Win</v>
      </c>
      <c r="AI1248" s="33" t="s">
        <v>2122</v>
      </c>
      <c r="AJ1248" s="44" t="s">
        <v>57</v>
      </c>
      <c r="AK1248" s="33">
        <v>2050</v>
      </c>
      <c r="AL1248" s="45" t="str">
        <f t="shared" si="159"/>
        <v>*0.86</v>
      </c>
      <c r="AM1248" s="43" t="str">
        <f t="shared" si="161"/>
        <v>REZoning_Sol-Win</v>
      </c>
      <c r="AP1248" t="s">
        <v>2122</v>
      </c>
      <c r="AQ1248" t="s">
        <v>57</v>
      </c>
      <c r="AR1248">
        <v>2100</v>
      </c>
      <c r="AS1248" t="s">
        <v>883</v>
      </c>
      <c r="AT1248" t="s">
        <v>58</v>
      </c>
    </row>
    <row r="1249" ht="29" spans="1:46">
      <c r="A1249" s="31" t="s">
        <v>95</v>
      </c>
      <c r="C1249" t="s">
        <v>2123</v>
      </c>
      <c r="D1249" s="5" t="s">
        <v>57</v>
      </c>
      <c r="E1249">
        <v>2035</v>
      </c>
      <c r="F1249" s="6" t="str">
        <f t="shared" si="154"/>
        <v>*0.95</v>
      </c>
      <c r="H1249" t="s">
        <v>2123</v>
      </c>
      <c r="I1249" s="5" t="s">
        <v>57</v>
      </c>
      <c r="J1249">
        <v>2050</v>
      </c>
      <c r="K1249" s="38" t="str">
        <f t="shared" si="155"/>
        <v>*0.93</v>
      </c>
      <c r="P1249" s="32" t="s">
        <v>2123</v>
      </c>
      <c r="Q1249" s="42" t="s">
        <v>57</v>
      </c>
      <c r="R1249" s="32">
        <v>2035</v>
      </c>
      <c r="S1249" s="43" t="str">
        <f t="shared" si="156"/>
        <v>*0.95</v>
      </c>
      <c r="U1249" s="32" t="s">
        <v>2123</v>
      </c>
      <c r="V1249" s="42" t="s">
        <v>57</v>
      </c>
      <c r="W1249" s="32">
        <v>2050</v>
      </c>
      <c r="X1249" s="43" t="str">
        <f t="shared" si="157"/>
        <v>*0.91</v>
      </c>
      <c r="AC1249" s="33" t="s">
        <v>2123</v>
      </c>
      <c r="AD1249" s="44" t="s">
        <v>57</v>
      </c>
      <c r="AE1249" s="33">
        <v>2035</v>
      </c>
      <c r="AF1249" s="45" t="str">
        <f t="shared" si="158"/>
        <v>*0.91</v>
      </c>
      <c r="AG1249" s="43" t="str">
        <f t="shared" si="160"/>
        <v>REZoning_Sol-Win</v>
      </c>
      <c r="AI1249" s="33" t="s">
        <v>2123</v>
      </c>
      <c r="AJ1249" s="44" t="s">
        <v>57</v>
      </c>
      <c r="AK1249" s="33">
        <v>2050</v>
      </c>
      <c r="AL1249" s="45" t="str">
        <f t="shared" si="159"/>
        <v>*0.86</v>
      </c>
      <c r="AM1249" s="43" t="str">
        <f t="shared" si="161"/>
        <v>REZoning_Sol-Win</v>
      </c>
      <c r="AP1249" t="s">
        <v>2123</v>
      </c>
      <c r="AQ1249" t="s">
        <v>57</v>
      </c>
      <c r="AR1249">
        <v>2100</v>
      </c>
      <c r="AS1249" t="s">
        <v>883</v>
      </c>
      <c r="AT1249" t="s">
        <v>58</v>
      </c>
    </row>
    <row r="1250" ht="29" spans="1:46">
      <c r="A1250" s="31" t="s">
        <v>95</v>
      </c>
      <c r="C1250" t="s">
        <v>2124</v>
      </c>
      <c r="D1250" s="5" t="s">
        <v>57</v>
      </c>
      <c r="E1250">
        <v>2035</v>
      </c>
      <c r="F1250" s="6" t="str">
        <f t="shared" si="154"/>
        <v>*0.95</v>
      </c>
      <c r="H1250" t="s">
        <v>2124</v>
      </c>
      <c r="I1250" s="5" t="s">
        <v>57</v>
      </c>
      <c r="J1250">
        <v>2050</v>
      </c>
      <c r="K1250" s="38" t="str">
        <f t="shared" si="155"/>
        <v>*0.93</v>
      </c>
      <c r="P1250" s="32" t="s">
        <v>2124</v>
      </c>
      <c r="Q1250" s="42" t="s">
        <v>57</v>
      </c>
      <c r="R1250" s="32">
        <v>2035</v>
      </c>
      <c r="S1250" s="43" t="str">
        <f t="shared" si="156"/>
        <v>*0.95</v>
      </c>
      <c r="U1250" s="32" t="s">
        <v>2124</v>
      </c>
      <c r="V1250" s="42" t="s">
        <v>57</v>
      </c>
      <c r="W1250" s="32">
        <v>2050</v>
      </c>
      <c r="X1250" s="43" t="str">
        <f t="shared" si="157"/>
        <v>*0.91</v>
      </c>
      <c r="AC1250" s="33" t="s">
        <v>2124</v>
      </c>
      <c r="AD1250" s="44" t="s">
        <v>57</v>
      </c>
      <c r="AE1250" s="33">
        <v>2035</v>
      </c>
      <c r="AF1250" s="45" t="str">
        <f t="shared" si="158"/>
        <v>*0.91</v>
      </c>
      <c r="AG1250" s="43" t="str">
        <f t="shared" si="160"/>
        <v>REZoning_Sol-Win</v>
      </c>
      <c r="AI1250" s="33" t="s">
        <v>2124</v>
      </c>
      <c r="AJ1250" s="44" t="s">
        <v>57</v>
      </c>
      <c r="AK1250" s="33">
        <v>2050</v>
      </c>
      <c r="AL1250" s="45" t="str">
        <f t="shared" si="159"/>
        <v>*0.86</v>
      </c>
      <c r="AM1250" s="43" t="str">
        <f t="shared" si="161"/>
        <v>REZoning_Sol-Win</v>
      </c>
      <c r="AP1250" t="s">
        <v>2124</v>
      </c>
      <c r="AQ1250" t="s">
        <v>57</v>
      </c>
      <c r="AR1250">
        <v>2100</v>
      </c>
      <c r="AS1250" t="s">
        <v>883</v>
      </c>
      <c r="AT1250" t="s">
        <v>58</v>
      </c>
    </row>
    <row r="1251" ht="29" spans="1:46">
      <c r="A1251" s="31" t="s">
        <v>95</v>
      </c>
      <c r="C1251" t="s">
        <v>2125</v>
      </c>
      <c r="D1251" s="5" t="s">
        <v>57</v>
      </c>
      <c r="E1251">
        <v>2035</v>
      </c>
      <c r="F1251" s="6" t="str">
        <f t="shared" si="154"/>
        <v>*0.95</v>
      </c>
      <c r="H1251" t="s">
        <v>2125</v>
      </c>
      <c r="I1251" s="5" t="s">
        <v>57</v>
      </c>
      <c r="J1251">
        <v>2050</v>
      </c>
      <c r="K1251" s="38" t="str">
        <f t="shared" si="155"/>
        <v>*0.93</v>
      </c>
      <c r="P1251" s="32" t="s">
        <v>2125</v>
      </c>
      <c r="Q1251" s="42" t="s">
        <v>57</v>
      </c>
      <c r="R1251" s="32">
        <v>2035</v>
      </c>
      <c r="S1251" s="43" t="str">
        <f t="shared" si="156"/>
        <v>*0.95</v>
      </c>
      <c r="U1251" s="32" t="s">
        <v>2125</v>
      </c>
      <c r="V1251" s="42" t="s">
        <v>57</v>
      </c>
      <c r="W1251" s="32">
        <v>2050</v>
      </c>
      <c r="X1251" s="43" t="str">
        <f t="shared" si="157"/>
        <v>*0.91</v>
      </c>
      <c r="AC1251" s="33" t="s">
        <v>2125</v>
      </c>
      <c r="AD1251" s="44" t="s">
        <v>57</v>
      </c>
      <c r="AE1251" s="33">
        <v>2035</v>
      </c>
      <c r="AF1251" s="45" t="str">
        <f t="shared" si="158"/>
        <v>*0.91</v>
      </c>
      <c r="AG1251" s="43" t="str">
        <f t="shared" si="160"/>
        <v>REZoning_Sol-Win</v>
      </c>
      <c r="AI1251" s="33" t="s">
        <v>2125</v>
      </c>
      <c r="AJ1251" s="44" t="s">
        <v>57</v>
      </c>
      <c r="AK1251" s="33">
        <v>2050</v>
      </c>
      <c r="AL1251" s="45" t="str">
        <f t="shared" si="159"/>
        <v>*0.86</v>
      </c>
      <c r="AM1251" s="43" t="str">
        <f t="shared" si="161"/>
        <v>REZoning_Sol-Win</v>
      </c>
      <c r="AP1251" t="s">
        <v>2125</v>
      </c>
      <c r="AQ1251" t="s">
        <v>57</v>
      </c>
      <c r="AR1251">
        <v>2100</v>
      </c>
      <c r="AS1251" t="s">
        <v>883</v>
      </c>
      <c r="AT1251" t="s">
        <v>58</v>
      </c>
    </row>
    <row r="1252" ht="29" spans="1:46">
      <c r="A1252" s="31" t="s">
        <v>95</v>
      </c>
      <c r="C1252" t="s">
        <v>2126</v>
      </c>
      <c r="D1252" s="5" t="s">
        <v>57</v>
      </c>
      <c r="E1252">
        <v>2035</v>
      </c>
      <c r="F1252" s="6" t="str">
        <f t="shared" si="154"/>
        <v>*0.95</v>
      </c>
      <c r="H1252" t="s">
        <v>2126</v>
      </c>
      <c r="I1252" s="5" t="s">
        <v>57</v>
      </c>
      <c r="J1252">
        <v>2050</v>
      </c>
      <c r="K1252" s="38" t="str">
        <f t="shared" si="155"/>
        <v>*0.93</v>
      </c>
      <c r="P1252" s="32" t="s">
        <v>2126</v>
      </c>
      <c r="Q1252" s="42" t="s">
        <v>57</v>
      </c>
      <c r="R1252" s="32">
        <v>2035</v>
      </c>
      <c r="S1252" s="43" t="str">
        <f t="shared" si="156"/>
        <v>*0.95</v>
      </c>
      <c r="U1252" s="32" t="s">
        <v>2126</v>
      </c>
      <c r="V1252" s="42" t="s">
        <v>57</v>
      </c>
      <c r="W1252" s="32">
        <v>2050</v>
      </c>
      <c r="X1252" s="43" t="str">
        <f t="shared" si="157"/>
        <v>*0.91</v>
      </c>
      <c r="AC1252" s="33" t="s">
        <v>2126</v>
      </c>
      <c r="AD1252" s="44" t="s">
        <v>57</v>
      </c>
      <c r="AE1252" s="33">
        <v>2035</v>
      </c>
      <c r="AF1252" s="45" t="str">
        <f t="shared" si="158"/>
        <v>*0.91</v>
      </c>
      <c r="AG1252" s="43" t="str">
        <f t="shared" si="160"/>
        <v>REZoning_Sol-Win</v>
      </c>
      <c r="AI1252" s="33" t="s">
        <v>2126</v>
      </c>
      <c r="AJ1252" s="44" t="s">
        <v>57</v>
      </c>
      <c r="AK1252" s="33">
        <v>2050</v>
      </c>
      <c r="AL1252" s="45" t="str">
        <f t="shared" si="159"/>
        <v>*0.86</v>
      </c>
      <c r="AM1252" s="43" t="str">
        <f t="shared" si="161"/>
        <v>REZoning_Sol-Win</v>
      </c>
      <c r="AP1252" t="s">
        <v>2126</v>
      </c>
      <c r="AQ1252" t="s">
        <v>57</v>
      </c>
      <c r="AR1252">
        <v>2100</v>
      </c>
      <c r="AS1252" t="s">
        <v>883</v>
      </c>
      <c r="AT1252" t="s">
        <v>58</v>
      </c>
    </row>
    <row r="1253" ht="29" spans="1:46">
      <c r="A1253" s="31" t="s">
        <v>95</v>
      </c>
      <c r="C1253" t="s">
        <v>2127</v>
      </c>
      <c r="D1253" s="5" t="s">
        <v>57</v>
      </c>
      <c r="E1253">
        <v>2035</v>
      </c>
      <c r="F1253" s="6" t="str">
        <f t="shared" si="154"/>
        <v>*0.95</v>
      </c>
      <c r="H1253" t="s">
        <v>2127</v>
      </c>
      <c r="I1253" s="5" t="s">
        <v>57</v>
      </c>
      <c r="J1253">
        <v>2050</v>
      </c>
      <c r="K1253" s="38" t="str">
        <f t="shared" si="155"/>
        <v>*0.93</v>
      </c>
      <c r="P1253" s="32" t="s">
        <v>2127</v>
      </c>
      <c r="Q1253" s="42" t="s">
        <v>57</v>
      </c>
      <c r="R1253" s="32">
        <v>2035</v>
      </c>
      <c r="S1253" s="43" t="str">
        <f t="shared" si="156"/>
        <v>*0.95</v>
      </c>
      <c r="U1253" s="32" t="s">
        <v>2127</v>
      </c>
      <c r="V1253" s="42" t="s">
        <v>57</v>
      </c>
      <c r="W1253" s="32">
        <v>2050</v>
      </c>
      <c r="X1253" s="43" t="str">
        <f t="shared" si="157"/>
        <v>*0.91</v>
      </c>
      <c r="AC1253" s="33" t="s">
        <v>2127</v>
      </c>
      <c r="AD1253" s="44" t="s">
        <v>57</v>
      </c>
      <c r="AE1253" s="33">
        <v>2035</v>
      </c>
      <c r="AF1253" s="45" t="str">
        <f t="shared" si="158"/>
        <v>*0.91</v>
      </c>
      <c r="AG1253" s="43" t="str">
        <f t="shared" si="160"/>
        <v>REZoning_Sol-Win</v>
      </c>
      <c r="AI1253" s="33" t="s">
        <v>2127</v>
      </c>
      <c r="AJ1253" s="44" t="s">
        <v>57</v>
      </c>
      <c r="AK1253" s="33">
        <v>2050</v>
      </c>
      <c r="AL1253" s="45" t="str">
        <f t="shared" si="159"/>
        <v>*0.86</v>
      </c>
      <c r="AM1253" s="43" t="str">
        <f t="shared" si="161"/>
        <v>REZoning_Sol-Win</v>
      </c>
      <c r="AP1253" t="s">
        <v>2127</v>
      </c>
      <c r="AQ1253" t="s">
        <v>57</v>
      </c>
      <c r="AR1253">
        <v>2100</v>
      </c>
      <c r="AS1253" t="s">
        <v>883</v>
      </c>
      <c r="AT1253" t="s">
        <v>58</v>
      </c>
    </row>
    <row r="1254" ht="29" spans="1:46">
      <c r="A1254" s="31" t="s">
        <v>95</v>
      </c>
      <c r="C1254" t="s">
        <v>2128</v>
      </c>
      <c r="D1254" s="5" t="s">
        <v>57</v>
      </c>
      <c r="E1254">
        <v>2035</v>
      </c>
      <c r="F1254" s="6" t="str">
        <f t="shared" si="154"/>
        <v>*0.95</v>
      </c>
      <c r="H1254" t="s">
        <v>2128</v>
      </c>
      <c r="I1254" s="5" t="s">
        <v>57</v>
      </c>
      <c r="J1254">
        <v>2050</v>
      </c>
      <c r="K1254" s="38" t="str">
        <f t="shared" si="155"/>
        <v>*0.93</v>
      </c>
      <c r="P1254" s="32" t="s">
        <v>2128</v>
      </c>
      <c r="Q1254" s="42" t="s">
        <v>57</v>
      </c>
      <c r="R1254" s="32">
        <v>2035</v>
      </c>
      <c r="S1254" s="43" t="str">
        <f t="shared" si="156"/>
        <v>*0.95</v>
      </c>
      <c r="U1254" s="32" t="s">
        <v>2128</v>
      </c>
      <c r="V1254" s="42" t="s">
        <v>57</v>
      </c>
      <c r="W1254" s="32">
        <v>2050</v>
      </c>
      <c r="X1254" s="43" t="str">
        <f t="shared" si="157"/>
        <v>*0.91</v>
      </c>
      <c r="AC1254" s="33" t="s">
        <v>2128</v>
      </c>
      <c r="AD1254" s="44" t="s">
        <v>57</v>
      </c>
      <c r="AE1254" s="33">
        <v>2035</v>
      </c>
      <c r="AF1254" s="45" t="str">
        <f t="shared" si="158"/>
        <v>*0.91</v>
      </c>
      <c r="AG1254" s="43" t="str">
        <f t="shared" si="160"/>
        <v>REZoning_Sol-Win</v>
      </c>
      <c r="AI1254" s="33" t="s">
        <v>2128</v>
      </c>
      <c r="AJ1254" s="44" t="s">
        <v>57</v>
      </c>
      <c r="AK1254" s="33">
        <v>2050</v>
      </c>
      <c r="AL1254" s="45" t="str">
        <f t="shared" si="159"/>
        <v>*0.86</v>
      </c>
      <c r="AM1254" s="43" t="str">
        <f t="shared" si="161"/>
        <v>REZoning_Sol-Win</v>
      </c>
      <c r="AP1254" t="s">
        <v>2128</v>
      </c>
      <c r="AQ1254" t="s">
        <v>57</v>
      </c>
      <c r="AR1254">
        <v>2100</v>
      </c>
      <c r="AS1254" t="s">
        <v>883</v>
      </c>
      <c r="AT1254" t="s">
        <v>58</v>
      </c>
    </row>
    <row r="1255" ht="29" spans="1:46">
      <c r="A1255" s="31" t="s">
        <v>95</v>
      </c>
      <c r="C1255" t="s">
        <v>2129</v>
      </c>
      <c r="D1255" s="5" t="s">
        <v>57</v>
      </c>
      <c r="E1255">
        <v>2035</v>
      </c>
      <c r="F1255" s="6" t="str">
        <f t="shared" si="154"/>
        <v>*0.95</v>
      </c>
      <c r="H1255" t="s">
        <v>2129</v>
      </c>
      <c r="I1255" s="5" t="s">
        <v>57</v>
      </c>
      <c r="J1255">
        <v>2050</v>
      </c>
      <c r="K1255" s="38" t="str">
        <f t="shared" si="155"/>
        <v>*0.93</v>
      </c>
      <c r="P1255" s="32" t="s">
        <v>2129</v>
      </c>
      <c r="Q1255" s="42" t="s">
        <v>57</v>
      </c>
      <c r="R1255" s="32">
        <v>2035</v>
      </c>
      <c r="S1255" s="43" t="str">
        <f t="shared" si="156"/>
        <v>*0.95</v>
      </c>
      <c r="U1255" s="32" t="s">
        <v>2129</v>
      </c>
      <c r="V1255" s="42" t="s">
        <v>57</v>
      </c>
      <c r="W1255" s="32">
        <v>2050</v>
      </c>
      <c r="X1255" s="43" t="str">
        <f t="shared" si="157"/>
        <v>*0.91</v>
      </c>
      <c r="AC1255" s="33" t="s">
        <v>2129</v>
      </c>
      <c r="AD1255" s="44" t="s">
        <v>57</v>
      </c>
      <c r="AE1255" s="33">
        <v>2035</v>
      </c>
      <c r="AF1255" s="45" t="str">
        <f t="shared" si="158"/>
        <v>*0.91</v>
      </c>
      <c r="AG1255" s="43" t="str">
        <f t="shared" si="160"/>
        <v>REZoning_Sol-Win</v>
      </c>
      <c r="AI1255" s="33" t="s">
        <v>2129</v>
      </c>
      <c r="AJ1255" s="44" t="s">
        <v>57</v>
      </c>
      <c r="AK1255" s="33">
        <v>2050</v>
      </c>
      <c r="AL1255" s="45" t="str">
        <f t="shared" si="159"/>
        <v>*0.86</v>
      </c>
      <c r="AM1255" s="43" t="str">
        <f t="shared" si="161"/>
        <v>REZoning_Sol-Win</v>
      </c>
      <c r="AP1255" t="s">
        <v>2129</v>
      </c>
      <c r="AQ1255" t="s">
        <v>57</v>
      </c>
      <c r="AR1255">
        <v>2100</v>
      </c>
      <c r="AS1255" t="s">
        <v>883</v>
      </c>
      <c r="AT1255" t="s">
        <v>58</v>
      </c>
    </row>
    <row r="1256" ht="29" spans="1:46">
      <c r="A1256" s="31" t="s">
        <v>65</v>
      </c>
      <c r="C1256" t="s">
        <v>2130</v>
      </c>
      <c r="D1256" s="5" t="s">
        <v>57</v>
      </c>
      <c r="E1256">
        <v>2035</v>
      </c>
      <c r="F1256" s="6" t="str">
        <f t="shared" si="154"/>
        <v>*0.94</v>
      </c>
      <c r="H1256" t="s">
        <v>2130</v>
      </c>
      <c r="I1256" s="5" t="s">
        <v>57</v>
      </c>
      <c r="J1256">
        <v>2050</v>
      </c>
      <c r="K1256" s="38" t="str">
        <f t="shared" si="155"/>
        <v>*0.91</v>
      </c>
      <c r="P1256" s="32" t="s">
        <v>2130</v>
      </c>
      <c r="Q1256" s="42" t="s">
        <v>57</v>
      </c>
      <c r="R1256" s="32">
        <v>2035</v>
      </c>
      <c r="S1256" s="43" t="str">
        <f t="shared" si="156"/>
        <v>*0.93</v>
      </c>
      <c r="U1256" s="32" t="s">
        <v>2130</v>
      </c>
      <c r="V1256" s="42" t="s">
        <v>57</v>
      </c>
      <c r="W1256" s="32">
        <v>2050</v>
      </c>
      <c r="X1256" s="43" t="str">
        <f t="shared" si="157"/>
        <v>*0.9</v>
      </c>
      <c r="AC1256" s="33" t="s">
        <v>2130</v>
      </c>
      <c r="AD1256" s="44" t="s">
        <v>57</v>
      </c>
      <c r="AE1256" s="33">
        <v>2035</v>
      </c>
      <c r="AF1256" s="45" t="str">
        <f t="shared" si="158"/>
        <v>*0.9</v>
      </c>
      <c r="AG1256" s="43" t="str">
        <f t="shared" si="160"/>
        <v>REZoning_Sol-Win</v>
      </c>
      <c r="AI1256" s="33" t="s">
        <v>2130</v>
      </c>
      <c r="AJ1256" s="44" t="s">
        <v>57</v>
      </c>
      <c r="AK1256" s="33">
        <v>2050</v>
      </c>
      <c r="AL1256" s="45" t="str">
        <f t="shared" si="159"/>
        <v>*0.86</v>
      </c>
      <c r="AM1256" s="43" t="str">
        <f t="shared" si="161"/>
        <v>REZoning_Sol-Win</v>
      </c>
      <c r="AP1256" t="s">
        <v>2130</v>
      </c>
      <c r="AQ1256" t="s">
        <v>57</v>
      </c>
      <c r="AR1256">
        <v>2100</v>
      </c>
      <c r="AS1256" t="s">
        <v>883</v>
      </c>
      <c r="AT1256" t="s">
        <v>58</v>
      </c>
    </row>
    <row r="1257" ht="29" spans="1:46">
      <c r="A1257" s="31" t="s">
        <v>65</v>
      </c>
      <c r="C1257" t="s">
        <v>2131</v>
      </c>
      <c r="D1257" s="5" t="s">
        <v>57</v>
      </c>
      <c r="E1257">
        <v>2035</v>
      </c>
      <c r="F1257" s="6" t="str">
        <f t="shared" si="154"/>
        <v>*0.94</v>
      </c>
      <c r="H1257" t="s">
        <v>2131</v>
      </c>
      <c r="I1257" s="5" t="s">
        <v>57</v>
      </c>
      <c r="J1257">
        <v>2050</v>
      </c>
      <c r="K1257" s="38" t="str">
        <f t="shared" si="155"/>
        <v>*0.91</v>
      </c>
      <c r="P1257" s="32" t="s">
        <v>2131</v>
      </c>
      <c r="Q1257" s="42" t="s">
        <v>57</v>
      </c>
      <c r="R1257" s="32">
        <v>2035</v>
      </c>
      <c r="S1257" s="43" t="str">
        <f t="shared" si="156"/>
        <v>*0.93</v>
      </c>
      <c r="U1257" s="32" t="s">
        <v>2131</v>
      </c>
      <c r="V1257" s="42" t="s">
        <v>57</v>
      </c>
      <c r="W1257" s="32">
        <v>2050</v>
      </c>
      <c r="X1257" s="43" t="str">
        <f t="shared" si="157"/>
        <v>*0.9</v>
      </c>
      <c r="AC1257" s="33" t="s">
        <v>2131</v>
      </c>
      <c r="AD1257" s="44" t="s">
        <v>57</v>
      </c>
      <c r="AE1257" s="33">
        <v>2035</v>
      </c>
      <c r="AF1257" s="45" t="str">
        <f t="shared" si="158"/>
        <v>*0.9</v>
      </c>
      <c r="AG1257" s="43" t="str">
        <f t="shared" si="160"/>
        <v>REZoning_Sol-Win</v>
      </c>
      <c r="AI1257" s="33" t="s">
        <v>2131</v>
      </c>
      <c r="AJ1257" s="44" t="s">
        <v>57</v>
      </c>
      <c r="AK1257" s="33">
        <v>2050</v>
      </c>
      <c r="AL1257" s="45" t="str">
        <f t="shared" si="159"/>
        <v>*0.86</v>
      </c>
      <c r="AM1257" s="43" t="str">
        <f t="shared" si="161"/>
        <v>REZoning_Sol-Win</v>
      </c>
      <c r="AP1257" t="s">
        <v>2131</v>
      </c>
      <c r="AQ1257" t="s">
        <v>57</v>
      </c>
      <c r="AR1257">
        <v>2100</v>
      </c>
      <c r="AS1257" t="s">
        <v>883</v>
      </c>
      <c r="AT1257" t="s">
        <v>58</v>
      </c>
    </row>
    <row r="1258" ht="29" spans="1:46">
      <c r="A1258" s="31" t="s">
        <v>65</v>
      </c>
      <c r="C1258" t="s">
        <v>2132</v>
      </c>
      <c r="D1258" s="5" t="s">
        <v>57</v>
      </c>
      <c r="E1258">
        <v>2035</v>
      </c>
      <c r="F1258" s="6" t="str">
        <f t="shared" si="154"/>
        <v>*0.94</v>
      </c>
      <c r="H1258" t="s">
        <v>2132</v>
      </c>
      <c r="I1258" s="5" t="s">
        <v>57</v>
      </c>
      <c r="J1258">
        <v>2050</v>
      </c>
      <c r="K1258" s="38" t="str">
        <f t="shared" si="155"/>
        <v>*0.91</v>
      </c>
      <c r="P1258" s="32" t="s">
        <v>2132</v>
      </c>
      <c r="Q1258" s="42" t="s">
        <v>57</v>
      </c>
      <c r="R1258" s="32">
        <v>2035</v>
      </c>
      <c r="S1258" s="43" t="str">
        <f t="shared" si="156"/>
        <v>*0.93</v>
      </c>
      <c r="U1258" s="32" t="s">
        <v>2132</v>
      </c>
      <c r="V1258" s="42" t="s">
        <v>57</v>
      </c>
      <c r="W1258" s="32">
        <v>2050</v>
      </c>
      <c r="X1258" s="43" t="str">
        <f t="shared" si="157"/>
        <v>*0.9</v>
      </c>
      <c r="AC1258" s="33" t="s">
        <v>2132</v>
      </c>
      <c r="AD1258" s="44" t="s">
        <v>57</v>
      </c>
      <c r="AE1258" s="33">
        <v>2035</v>
      </c>
      <c r="AF1258" s="45" t="str">
        <f t="shared" si="158"/>
        <v>*0.9</v>
      </c>
      <c r="AG1258" s="43" t="str">
        <f t="shared" si="160"/>
        <v>REZoning_Sol-Win</v>
      </c>
      <c r="AI1258" s="33" t="s">
        <v>2132</v>
      </c>
      <c r="AJ1258" s="44" t="s">
        <v>57</v>
      </c>
      <c r="AK1258" s="33">
        <v>2050</v>
      </c>
      <c r="AL1258" s="45" t="str">
        <f t="shared" si="159"/>
        <v>*0.86</v>
      </c>
      <c r="AM1258" s="43" t="str">
        <f t="shared" si="161"/>
        <v>REZoning_Sol-Win</v>
      </c>
      <c r="AP1258" t="s">
        <v>2132</v>
      </c>
      <c r="AQ1258" t="s">
        <v>57</v>
      </c>
      <c r="AR1258">
        <v>2100</v>
      </c>
      <c r="AS1258" t="s">
        <v>883</v>
      </c>
      <c r="AT1258" t="s">
        <v>58</v>
      </c>
    </row>
    <row r="1259" ht="29" spans="1:46">
      <c r="A1259" s="31" t="s">
        <v>65</v>
      </c>
      <c r="C1259" t="s">
        <v>2133</v>
      </c>
      <c r="D1259" s="5" t="s">
        <v>57</v>
      </c>
      <c r="E1259">
        <v>2035</v>
      </c>
      <c r="F1259" s="6" t="str">
        <f t="shared" si="154"/>
        <v>*0.94</v>
      </c>
      <c r="H1259" t="s">
        <v>2133</v>
      </c>
      <c r="I1259" s="5" t="s">
        <v>57</v>
      </c>
      <c r="J1259">
        <v>2050</v>
      </c>
      <c r="K1259" s="38" t="str">
        <f t="shared" si="155"/>
        <v>*0.91</v>
      </c>
      <c r="P1259" s="32" t="s">
        <v>2133</v>
      </c>
      <c r="Q1259" s="42" t="s">
        <v>57</v>
      </c>
      <c r="R1259" s="32">
        <v>2035</v>
      </c>
      <c r="S1259" s="43" t="str">
        <f t="shared" si="156"/>
        <v>*0.93</v>
      </c>
      <c r="U1259" s="32" t="s">
        <v>2133</v>
      </c>
      <c r="V1259" s="42" t="s">
        <v>57</v>
      </c>
      <c r="W1259" s="32">
        <v>2050</v>
      </c>
      <c r="X1259" s="43" t="str">
        <f t="shared" si="157"/>
        <v>*0.9</v>
      </c>
      <c r="AC1259" s="33" t="s">
        <v>2133</v>
      </c>
      <c r="AD1259" s="44" t="s">
        <v>57</v>
      </c>
      <c r="AE1259" s="33">
        <v>2035</v>
      </c>
      <c r="AF1259" s="45" t="str">
        <f t="shared" si="158"/>
        <v>*0.9</v>
      </c>
      <c r="AG1259" s="43" t="str">
        <f t="shared" si="160"/>
        <v>REZoning_Sol-Win</v>
      </c>
      <c r="AI1259" s="33" t="s">
        <v>2133</v>
      </c>
      <c r="AJ1259" s="44" t="s">
        <v>57</v>
      </c>
      <c r="AK1259" s="33">
        <v>2050</v>
      </c>
      <c r="AL1259" s="45" t="str">
        <f t="shared" si="159"/>
        <v>*0.86</v>
      </c>
      <c r="AM1259" s="43" t="str">
        <f t="shared" si="161"/>
        <v>REZoning_Sol-Win</v>
      </c>
      <c r="AP1259" t="s">
        <v>2133</v>
      </c>
      <c r="AQ1259" t="s">
        <v>57</v>
      </c>
      <c r="AR1259">
        <v>2100</v>
      </c>
      <c r="AS1259" t="s">
        <v>883</v>
      </c>
      <c r="AT1259" t="s">
        <v>58</v>
      </c>
    </row>
    <row r="1260" ht="29" spans="1:46">
      <c r="A1260" s="31" t="s">
        <v>65</v>
      </c>
      <c r="C1260" t="s">
        <v>2134</v>
      </c>
      <c r="D1260" s="5" t="s">
        <v>57</v>
      </c>
      <c r="E1260">
        <v>2035</v>
      </c>
      <c r="F1260" s="6" t="str">
        <f t="shared" si="154"/>
        <v>*0.94</v>
      </c>
      <c r="H1260" t="s">
        <v>2134</v>
      </c>
      <c r="I1260" s="5" t="s">
        <v>57</v>
      </c>
      <c r="J1260">
        <v>2050</v>
      </c>
      <c r="K1260" s="38" t="str">
        <f t="shared" si="155"/>
        <v>*0.91</v>
      </c>
      <c r="P1260" s="32" t="s">
        <v>2134</v>
      </c>
      <c r="Q1260" s="42" t="s">
        <v>57</v>
      </c>
      <c r="R1260" s="32">
        <v>2035</v>
      </c>
      <c r="S1260" s="43" t="str">
        <f t="shared" si="156"/>
        <v>*0.93</v>
      </c>
      <c r="U1260" s="32" t="s">
        <v>2134</v>
      </c>
      <c r="V1260" s="42" t="s">
        <v>57</v>
      </c>
      <c r="W1260" s="32">
        <v>2050</v>
      </c>
      <c r="X1260" s="43" t="str">
        <f t="shared" si="157"/>
        <v>*0.9</v>
      </c>
      <c r="AC1260" s="33" t="s">
        <v>2134</v>
      </c>
      <c r="AD1260" s="44" t="s">
        <v>57</v>
      </c>
      <c r="AE1260" s="33">
        <v>2035</v>
      </c>
      <c r="AF1260" s="45" t="str">
        <f t="shared" si="158"/>
        <v>*0.9</v>
      </c>
      <c r="AG1260" s="43" t="str">
        <f t="shared" si="160"/>
        <v>REZoning_Sol-Win</v>
      </c>
      <c r="AI1260" s="33" t="s">
        <v>2134</v>
      </c>
      <c r="AJ1260" s="44" t="s">
        <v>57</v>
      </c>
      <c r="AK1260" s="33">
        <v>2050</v>
      </c>
      <c r="AL1260" s="45" t="str">
        <f t="shared" si="159"/>
        <v>*0.86</v>
      </c>
      <c r="AM1260" s="43" t="str">
        <f t="shared" si="161"/>
        <v>REZoning_Sol-Win</v>
      </c>
      <c r="AP1260" t="s">
        <v>2134</v>
      </c>
      <c r="AQ1260" t="s">
        <v>57</v>
      </c>
      <c r="AR1260">
        <v>2100</v>
      </c>
      <c r="AS1260" t="s">
        <v>883</v>
      </c>
      <c r="AT1260" t="s">
        <v>58</v>
      </c>
    </row>
    <row r="1261" ht="29" spans="1:46">
      <c r="A1261" s="31" t="s">
        <v>65</v>
      </c>
      <c r="C1261" t="s">
        <v>2135</v>
      </c>
      <c r="D1261" s="5" t="s">
        <v>57</v>
      </c>
      <c r="E1261">
        <v>2035</v>
      </c>
      <c r="F1261" s="6" t="str">
        <f t="shared" si="154"/>
        <v>*0.94</v>
      </c>
      <c r="H1261" t="s">
        <v>2135</v>
      </c>
      <c r="I1261" s="5" t="s">
        <v>57</v>
      </c>
      <c r="J1261">
        <v>2050</v>
      </c>
      <c r="K1261" s="38" t="str">
        <f t="shared" si="155"/>
        <v>*0.91</v>
      </c>
      <c r="P1261" s="32" t="s">
        <v>2135</v>
      </c>
      <c r="Q1261" s="42" t="s">
        <v>57</v>
      </c>
      <c r="R1261" s="32">
        <v>2035</v>
      </c>
      <c r="S1261" s="43" t="str">
        <f t="shared" si="156"/>
        <v>*0.93</v>
      </c>
      <c r="U1261" s="32" t="s">
        <v>2135</v>
      </c>
      <c r="V1261" s="42" t="s">
        <v>57</v>
      </c>
      <c r="W1261" s="32">
        <v>2050</v>
      </c>
      <c r="X1261" s="43" t="str">
        <f t="shared" si="157"/>
        <v>*0.9</v>
      </c>
      <c r="AC1261" s="33" t="s">
        <v>2135</v>
      </c>
      <c r="AD1261" s="44" t="s">
        <v>57</v>
      </c>
      <c r="AE1261" s="33">
        <v>2035</v>
      </c>
      <c r="AF1261" s="45" t="str">
        <f t="shared" si="158"/>
        <v>*0.9</v>
      </c>
      <c r="AG1261" s="43" t="str">
        <f t="shared" si="160"/>
        <v>REZoning_Sol-Win</v>
      </c>
      <c r="AI1261" s="33" t="s">
        <v>2135</v>
      </c>
      <c r="AJ1261" s="44" t="s">
        <v>57</v>
      </c>
      <c r="AK1261" s="33">
        <v>2050</v>
      </c>
      <c r="AL1261" s="45" t="str">
        <f t="shared" si="159"/>
        <v>*0.86</v>
      </c>
      <c r="AM1261" s="43" t="str">
        <f t="shared" si="161"/>
        <v>REZoning_Sol-Win</v>
      </c>
      <c r="AP1261" t="s">
        <v>2135</v>
      </c>
      <c r="AQ1261" t="s">
        <v>57</v>
      </c>
      <c r="AR1261">
        <v>2100</v>
      </c>
      <c r="AS1261" t="s">
        <v>883</v>
      </c>
      <c r="AT1261" t="s">
        <v>58</v>
      </c>
    </row>
    <row r="1262" ht="29" spans="1:46">
      <c r="A1262" s="31" t="s">
        <v>65</v>
      </c>
      <c r="C1262" t="s">
        <v>2136</v>
      </c>
      <c r="D1262" s="5" t="s">
        <v>57</v>
      </c>
      <c r="E1262">
        <v>2035</v>
      </c>
      <c r="F1262" s="6" t="str">
        <f t="shared" si="154"/>
        <v>*0.94</v>
      </c>
      <c r="H1262" t="s">
        <v>2136</v>
      </c>
      <c r="I1262" s="5" t="s">
        <v>57</v>
      </c>
      <c r="J1262">
        <v>2050</v>
      </c>
      <c r="K1262" s="38" t="str">
        <f t="shared" si="155"/>
        <v>*0.91</v>
      </c>
      <c r="P1262" s="32" t="s">
        <v>2136</v>
      </c>
      <c r="Q1262" s="42" t="s">
        <v>57</v>
      </c>
      <c r="R1262" s="32">
        <v>2035</v>
      </c>
      <c r="S1262" s="43" t="str">
        <f t="shared" si="156"/>
        <v>*0.93</v>
      </c>
      <c r="U1262" s="32" t="s">
        <v>2136</v>
      </c>
      <c r="V1262" s="42" t="s">
        <v>57</v>
      </c>
      <c r="W1262" s="32">
        <v>2050</v>
      </c>
      <c r="X1262" s="43" t="str">
        <f t="shared" si="157"/>
        <v>*0.9</v>
      </c>
      <c r="AC1262" s="33" t="s">
        <v>2136</v>
      </c>
      <c r="AD1262" s="44" t="s">
        <v>57</v>
      </c>
      <c r="AE1262" s="33">
        <v>2035</v>
      </c>
      <c r="AF1262" s="45" t="str">
        <f t="shared" si="158"/>
        <v>*0.9</v>
      </c>
      <c r="AG1262" s="43" t="str">
        <f t="shared" si="160"/>
        <v>REZoning_Sol-Win</v>
      </c>
      <c r="AI1262" s="33" t="s">
        <v>2136</v>
      </c>
      <c r="AJ1262" s="44" t="s">
        <v>57</v>
      </c>
      <c r="AK1262" s="33">
        <v>2050</v>
      </c>
      <c r="AL1262" s="45" t="str">
        <f t="shared" si="159"/>
        <v>*0.86</v>
      </c>
      <c r="AM1262" s="43" t="str">
        <f t="shared" si="161"/>
        <v>REZoning_Sol-Win</v>
      </c>
      <c r="AP1262" t="s">
        <v>2136</v>
      </c>
      <c r="AQ1262" t="s">
        <v>57</v>
      </c>
      <c r="AR1262">
        <v>2100</v>
      </c>
      <c r="AS1262" t="s">
        <v>883</v>
      </c>
      <c r="AT1262" t="s">
        <v>58</v>
      </c>
    </row>
    <row r="1263" ht="29" spans="1:46">
      <c r="A1263" s="31" t="s">
        <v>65</v>
      </c>
      <c r="C1263" t="s">
        <v>2137</v>
      </c>
      <c r="D1263" s="5" t="s">
        <v>57</v>
      </c>
      <c r="E1263">
        <v>2035</v>
      </c>
      <c r="F1263" s="6" t="str">
        <f t="shared" si="154"/>
        <v>*0.94</v>
      </c>
      <c r="H1263" t="s">
        <v>2137</v>
      </c>
      <c r="I1263" s="5" t="s">
        <v>57</v>
      </c>
      <c r="J1263">
        <v>2050</v>
      </c>
      <c r="K1263" s="38" t="str">
        <f t="shared" si="155"/>
        <v>*0.91</v>
      </c>
      <c r="P1263" s="32" t="s">
        <v>2137</v>
      </c>
      <c r="Q1263" s="42" t="s">
        <v>57</v>
      </c>
      <c r="R1263" s="32">
        <v>2035</v>
      </c>
      <c r="S1263" s="43" t="str">
        <f t="shared" si="156"/>
        <v>*0.93</v>
      </c>
      <c r="U1263" s="32" t="s">
        <v>2137</v>
      </c>
      <c r="V1263" s="42" t="s">
        <v>57</v>
      </c>
      <c r="W1263" s="32">
        <v>2050</v>
      </c>
      <c r="X1263" s="43" t="str">
        <f t="shared" si="157"/>
        <v>*0.9</v>
      </c>
      <c r="AC1263" s="33" t="s">
        <v>2137</v>
      </c>
      <c r="AD1263" s="44" t="s">
        <v>57</v>
      </c>
      <c r="AE1263" s="33">
        <v>2035</v>
      </c>
      <c r="AF1263" s="45" t="str">
        <f t="shared" si="158"/>
        <v>*0.9</v>
      </c>
      <c r="AG1263" s="43" t="str">
        <f t="shared" si="160"/>
        <v>REZoning_Sol-Win</v>
      </c>
      <c r="AI1263" s="33" t="s">
        <v>2137</v>
      </c>
      <c r="AJ1263" s="44" t="s">
        <v>57</v>
      </c>
      <c r="AK1263" s="33">
        <v>2050</v>
      </c>
      <c r="AL1263" s="45" t="str">
        <f t="shared" si="159"/>
        <v>*0.86</v>
      </c>
      <c r="AM1263" s="43" t="str">
        <f t="shared" si="161"/>
        <v>REZoning_Sol-Win</v>
      </c>
      <c r="AP1263" t="s">
        <v>2137</v>
      </c>
      <c r="AQ1263" t="s">
        <v>57</v>
      </c>
      <c r="AR1263">
        <v>2100</v>
      </c>
      <c r="AS1263" t="s">
        <v>883</v>
      </c>
      <c r="AT1263" t="s">
        <v>58</v>
      </c>
    </row>
    <row r="1264" ht="29" spans="1:46">
      <c r="A1264" s="31" t="s">
        <v>65</v>
      </c>
      <c r="C1264" t="s">
        <v>2138</v>
      </c>
      <c r="D1264" s="5" t="s">
        <v>57</v>
      </c>
      <c r="E1264">
        <v>2035</v>
      </c>
      <c r="F1264" s="6" t="str">
        <f t="shared" si="154"/>
        <v>*0.94</v>
      </c>
      <c r="H1264" t="s">
        <v>2138</v>
      </c>
      <c r="I1264" s="5" t="s">
        <v>57</v>
      </c>
      <c r="J1264">
        <v>2050</v>
      </c>
      <c r="K1264" s="38" t="str">
        <f t="shared" si="155"/>
        <v>*0.91</v>
      </c>
      <c r="P1264" s="32" t="s">
        <v>2138</v>
      </c>
      <c r="Q1264" s="42" t="s">
        <v>57</v>
      </c>
      <c r="R1264" s="32">
        <v>2035</v>
      </c>
      <c r="S1264" s="43" t="str">
        <f t="shared" si="156"/>
        <v>*0.93</v>
      </c>
      <c r="U1264" s="32" t="s">
        <v>2138</v>
      </c>
      <c r="V1264" s="42" t="s">
        <v>57</v>
      </c>
      <c r="W1264" s="32">
        <v>2050</v>
      </c>
      <c r="X1264" s="43" t="str">
        <f t="shared" si="157"/>
        <v>*0.9</v>
      </c>
      <c r="AC1264" s="33" t="s">
        <v>2138</v>
      </c>
      <c r="AD1264" s="44" t="s">
        <v>57</v>
      </c>
      <c r="AE1264" s="33">
        <v>2035</v>
      </c>
      <c r="AF1264" s="45" t="str">
        <f t="shared" si="158"/>
        <v>*0.9</v>
      </c>
      <c r="AG1264" s="43" t="str">
        <f t="shared" si="160"/>
        <v>REZoning_Sol-Win</v>
      </c>
      <c r="AI1264" s="33" t="s">
        <v>2138</v>
      </c>
      <c r="AJ1264" s="44" t="s">
        <v>57</v>
      </c>
      <c r="AK1264" s="33">
        <v>2050</v>
      </c>
      <c r="AL1264" s="45" t="str">
        <f t="shared" si="159"/>
        <v>*0.86</v>
      </c>
      <c r="AM1264" s="43" t="str">
        <f t="shared" si="161"/>
        <v>REZoning_Sol-Win</v>
      </c>
      <c r="AP1264" t="s">
        <v>2138</v>
      </c>
      <c r="AQ1264" t="s">
        <v>57</v>
      </c>
      <c r="AR1264">
        <v>2100</v>
      </c>
      <c r="AS1264" t="s">
        <v>883</v>
      </c>
      <c r="AT1264" t="s">
        <v>58</v>
      </c>
    </row>
    <row r="1265" ht="29" spans="1:46">
      <c r="A1265" s="31" t="s">
        <v>65</v>
      </c>
      <c r="C1265" t="s">
        <v>2139</v>
      </c>
      <c r="D1265" s="5" t="s">
        <v>57</v>
      </c>
      <c r="E1265">
        <v>2035</v>
      </c>
      <c r="F1265" s="6" t="str">
        <f t="shared" si="154"/>
        <v>*0.94</v>
      </c>
      <c r="H1265" t="s">
        <v>2139</v>
      </c>
      <c r="I1265" s="5" t="s">
        <v>57</v>
      </c>
      <c r="J1265">
        <v>2050</v>
      </c>
      <c r="K1265" s="38" t="str">
        <f t="shared" si="155"/>
        <v>*0.91</v>
      </c>
      <c r="P1265" s="32" t="s">
        <v>2139</v>
      </c>
      <c r="Q1265" s="42" t="s">
        <v>57</v>
      </c>
      <c r="R1265" s="32">
        <v>2035</v>
      </c>
      <c r="S1265" s="43" t="str">
        <f t="shared" si="156"/>
        <v>*0.93</v>
      </c>
      <c r="U1265" s="32" t="s">
        <v>2139</v>
      </c>
      <c r="V1265" s="42" t="s">
        <v>57</v>
      </c>
      <c r="W1265" s="32">
        <v>2050</v>
      </c>
      <c r="X1265" s="43" t="str">
        <f t="shared" si="157"/>
        <v>*0.9</v>
      </c>
      <c r="AC1265" s="33" t="s">
        <v>2139</v>
      </c>
      <c r="AD1265" s="44" t="s">
        <v>57</v>
      </c>
      <c r="AE1265" s="33">
        <v>2035</v>
      </c>
      <c r="AF1265" s="45" t="str">
        <f t="shared" si="158"/>
        <v>*0.9</v>
      </c>
      <c r="AG1265" s="43" t="str">
        <f t="shared" si="160"/>
        <v>REZoning_Sol-Win</v>
      </c>
      <c r="AI1265" s="33" t="s">
        <v>2139</v>
      </c>
      <c r="AJ1265" s="44" t="s">
        <v>57</v>
      </c>
      <c r="AK1265" s="33">
        <v>2050</v>
      </c>
      <c r="AL1265" s="45" t="str">
        <f t="shared" si="159"/>
        <v>*0.86</v>
      </c>
      <c r="AM1265" s="43" t="str">
        <f t="shared" si="161"/>
        <v>REZoning_Sol-Win</v>
      </c>
      <c r="AP1265" t="s">
        <v>2139</v>
      </c>
      <c r="AQ1265" t="s">
        <v>57</v>
      </c>
      <c r="AR1265">
        <v>2100</v>
      </c>
      <c r="AS1265" t="s">
        <v>883</v>
      </c>
      <c r="AT1265" t="s">
        <v>58</v>
      </c>
    </row>
    <row r="1266" ht="29" spans="1:46">
      <c r="A1266" s="31" t="s">
        <v>65</v>
      </c>
      <c r="C1266" t="s">
        <v>2140</v>
      </c>
      <c r="D1266" s="5" t="s">
        <v>57</v>
      </c>
      <c r="E1266">
        <v>2035</v>
      </c>
      <c r="F1266" s="6" t="str">
        <f t="shared" si="154"/>
        <v>*0.94</v>
      </c>
      <c r="H1266" t="s">
        <v>2140</v>
      </c>
      <c r="I1266" s="5" t="s">
        <v>57</v>
      </c>
      <c r="J1266">
        <v>2050</v>
      </c>
      <c r="K1266" s="38" t="str">
        <f t="shared" si="155"/>
        <v>*0.91</v>
      </c>
      <c r="P1266" s="32" t="s">
        <v>2140</v>
      </c>
      <c r="Q1266" s="42" t="s">
        <v>57</v>
      </c>
      <c r="R1266" s="32">
        <v>2035</v>
      </c>
      <c r="S1266" s="43" t="str">
        <f t="shared" si="156"/>
        <v>*0.93</v>
      </c>
      <c r="U1266" s="32" t="s">
        <v>2140</v>
      </c>
      <c r="V1266" s="42" t="s">
        <v>57</v>
      </c>
      <c r="W1266" s="32">
        <v>2050</v>
      </c>
      <c r="X1266" s="43" t="str">
        <f t="shared" si="157"/>
        <v>*0.9</v>
      </c>
      <c r="AC1266" s="33" t="s">
        <v>2140</v>
      </c>
      <c r="AD1266" s="44" t="s">
        <v>57</v>
      </c>
      <c r="AE1266" s="33">
        <v>2035</v>
      </c>
      <c r="AF1266" s="45" t="str">
        <f t="shared" si="158"/>
        <v>*0.9</v>
      </c>
      <c r="AG1266" s="43" t="str">
        <f t="shared" si="160"/>
        <v>REZoning_Sol-Win</v>
      </c>
      <c r="AI1266" s="33" t="s">
        <v>2140</v>
      </c>
      <c r="AJ1266" s="44" t="s">
        <v>57</v>
      </c>
      <c r="AK1266" s="33">
        <v>2050</v>
      </c>
      <c r="AL1266" s="45" t="str">
        <f t="shared" si="159"/>
        <v>*0.86</v>
      </c>
      <c r="AM1266" s="43" t="str">
        <f t="shared" si="161"/>
        <v>REZoning_Sol-Win</v>
      </c>
      <c r="AP1266" t="s">
        <v>2140</v>
      </c>
      <c r="AQ1266" t="s">
        <v>57</v>
      </c>
      <c r="AR1266">
        <v>2100</v>
      </c>
      <c r="AS1266" t="s">
        <v>883</v>
      </c>
      <c r="AT1266" t="s">
        <v>58</v>
      </c>
    </row>
    <row r="1267" ht="29" spans="1:46">
      <c r="A1267" s="31" t="s">
        <v>65</v>
      </c>
      <c r="C1267" t="s">
        <v>2141</v>
      </c>
      <c r="D1267" s="5" t="s">
        <v>57</v>
      </c>
      <c r="E1267">
        <v>2035</v>
      </c>
      <c r="F1267" s="6" t="str">
        <f t="shared" si="154"/>
        <v>*0.94</v>
      </c>
      <c r="H1267" t="s">
        <v>2141</v>
      </c>
      <c r="I1267" s="5" t="s">
        <v>57</v>
      </c>
      <c r="J1267">
        <v>2050</v>
      </c>
      <c r="K1267" s="38" t="str">
        <f t="shared" si="155"/>
        <v>*0.91</v>
      </c>
      <c r="P1267" s="32" t="s">
        <v>2141</v>
      </c>
      <c r="Q1267" s="42" t="s">
        <v>57</v>
      </c>
      <c r="R1267" s="32">
        <v>2035</v>
      </c>
      <c r="S1267" s="43" t="str">
        <f t="shared" si="156"/>
        <v>*0.93</v>
      </c>
      <c r="U1267" s="32" t="s">
        <v>2141</v>
      </c>
      <c r="V1267" s="42" t="s">
        <v>57</v>
      </c>
      <c r="W1267" s="32">
        <v>2050</v>
      </c>
      <c r="X1267" s="43" t="str">
        <f t="shared" si="157"/>
        <v>*0.9</v>
      </c>
      <c r="AC1267" s="33" t="s">
        <v>2141</v>
      </c>
      <c r="AD1267" s="44" t="s">
        <v>57</v>
      </c>
      <c r="AE1267" s="33">
        <v>2035</v>
      </c>
      <c r="AF1267" s="45" t="str">
        <f t="shared" si="158"/>
        <v>*0.9</v>
      </c>
      <c r="AG1267" s="43" t="str">
        <f t="shared" si="160"/>
        <v>REZoning_Sol-Win</v>
      </c>
      <c r="AI1267" s="33" t="s">
        <v>2141</v>
      </c>
      <c r="AJ1267" s="44" t="s">
        <v>57</v>
      </c>
      <c r="AK1267" s="33">
        <v>2050</v>
      </c>
      <c r="AL1267" s="45" t="str">
        <f t="shared" si="159"/>
        <v>*0.86</v>
      </c>
      <c r="AM1267" s="43" t="str">
        <f t="shared" si="161"/>
        <v>REZoning_Sol-Win</v>
      </c>
      <c r="AP1267" t="s">
        <v>2141</v>
      </c>
      <c r="AQ1267" t="s">
        <v>57</v>
      </c>
      <c r="AR1267">
        <v>2100</v>
      </c>
      <c r="AS1267" t="s">
        <v>883</v>
      </c>
      <c r="AT1267" t="s">
        <v>58</v>
      </c>
    </row>
    <row r="1268" ht="29" spans="1:46">
      <c r="A1268" s="31" t="s">
        <v>65</v>
      </c>
      <c r="C1268" t="s">
        <v>2142</v>
      </c>
      <c r="D1268" s="5" t="s">
        <v>57</v>
      </c>
      <c r="E1268">
        <v>2035</v>
      </c>
      <c r="F1268" s="6" t="str">
        <f t="shared" si="154"/>
        <v>*0.94</v>
      </c>
      <c r="H1268" t="s">
        <v>2142</v>
      </c>
      <c r="I1268" s="5" t="s">
        <v>57</v>
      </c>
      <c r="J1268">
        <v>2050</v>
      </c>
      <c r="K1268" s="38" t="str">
        <f t="shared" si="155"/>
        <v>*0.91</v>
      </c>
      <c r="P1268" s="32" t="s">
        <v>2142</v>
      </c>
      <c r="Q1268" s="42" t="s">
        <v>57</v>
      </c>
      <c r="R1268" s="32">
        <v>2035</v>
      </c>
      <c r="S1268" s="43" t="str">
        <f t="shared" si="156"/>
        <v>*0.93</v>
      </c>
      <c r="U1268" s="32" t="s">
        <v>2142</v>
      </c>
      <c r="V1268" s="42" t="s">
        <v>57</v>
      </c>
      <c r="W1268" s="32">
        <v>2050</v>
      </c>
      <c r="X1268" s="43" t="str">
        <f t="shared" si="157"/>
        <v>*0.9</v>
      </c>
      <c r="AC1268" s="33" t="s">
        <v>2142</v>
      </c>
      <c r="AD1268" s="44" t="s">
        <v>57</v>
      </c>
      <c r="AE1268" s="33">
        <v>2035</v>
      </c>
      <c r="AF1268" s="45" t="str">
        <f t="shared" si="158"/>
        <v>*0.9</v>
      </c>
      <c r="AG1268" s="43" t="str">
        <f t="shared" si="160"/>
        <v>REZoning_Sol-Win</v>
      </c>
      <c r="AI1268" s="33" t="s">
        <v>2142</v>
      </c>
      <c r="AJ1268" s="44" t="s">
        <v>57</v>
      </c>
      <c r="AK1268" s="33">
        <v>2050</v>
      </c>
      <c r="AL1268" s="45" t="str">
        <f t="shared" si="159"/>
        <v>*0.86</v>
      </c>
      <c r="AM1268" s="43" t="str">
        <f t="shared" si="161"/>
        <v>REZoning_Sol-Win</v>
      </c>
      <c r="AP1268" t="s">
        <v>2142</v>
      </c>
      <c r="AQ1268" t="s">
        <v>57</v>
      </c>
      <c r="AR1268">
        <v>2100</v>
      </c>
      <c r="AS1268" t="s">
        <v>883</v>
      </c>
      <c r="AT1268" t="s">
        <v>58</v>
      </c>
    </row>
    <row r="1269" ht="29" spans="1:46">
      <c r="A1269" s="31" t="s">
        <v>65</v>
      </c>
      <c r="C1269" t="s">
        <v>2143</v>
      </c>
      <c r="D1269" s="5" t="s">
        <v>57</v>
      </c>
      <c r="E1269">
        <v>2035</v>
      </c>
      <c r="F1269" s="6" t="str">
        <f t="shared" si="154"/>
        <v>*0.94</v>
      </c>
      <c r="H1269" t="s">
        <v>2143</v>
      </c>
      <c r="I1269" s="5" t="s">
        <v>57</v>
      </c>
      <c r="J1269">
        <v>2050</v>
      </c>
      <c r="K1269" s="38" t="str">
        <f t="shared" si="155"/>
        <v>*0.91</v>
      </c>
      <c r="P1269" s="32" t="s">
        <v>2143</v>
      </c>
      <c r="Q1269" s="42" t="s">
        <v>57</v>
      </c>
      <c r="R1269" s="32">
        <v>2035</v>
      </c>
      <c r="S1269" s="43" t="str">
        <f t="shared" si="156"/>
        <v>*0.93</v>
      </c>
      <c r="U1269" s="32" t="s">
        <v>2143</v>
      </c>
      <c r="V1269" s="42" t="s">
        <v>57</v>
      </c>
      <c r="W1269" s="32">
        <v>2050</v>
      </c>
      <c r="X1269" s="43" t="str">
        <f t="shared" si="157"/>
        <v>*0.9</v>
      </c>
      <c r="AC1269" s="33" t="s">
        <v>2143</v>
      </c>
      <c r="AD1269" s="44" t="s">
        <v>57</v>
      </c>
      <c r="AE1269" s="33">
        <v>2035</v>
      </c>
      <c r="AF1269" s="45" t="str">
        <f t="shared" si="158"/>
        <v>*0.9</v>
      </c>
      <c r="AG1269" s="43" t="str">
        <f t="shared" si="160"/>
        <v>REZoning_Sol-Win</v>
      </c>
      <c r="AI1269" s="33" t="s">
        <v>2143</v>
      </c>
      <c r="AJ1269" s="44" t="s">
        <v>57</v>
      </c>
      <c r="AK1269" s="33">
        <v>2050</v>
      </c>
      <c r="AL1269" s="45" t="str">
        <f t="shared" si="159"/>
        <v>*0.86</v>
      </c>
      <c r="AM1269" s="43" t="str">
        <f t="shared" si="161"/>
        <v>REZoning_Sol-Win</v>
      </c>
      <c r="AP1269" t="s">
        <v>2143</v>
      </c>
      <c r="AQ1269" t="s">
        <v>57</v>
      </c>
      <c r="AR1269">
        <v>2100</v>
      </c>
      <c r="AS1269" t="s">
        <v>883</v>
      </c>
      <c r="AT1269" t="s">
        <v>58</v>
      </c>
    </row>
    <row r="1270" ht="29" spans="1:46">
      <c r="A1270" s="31" t="s">
        <v>65</v>
      </c>
      <c r="C1270" t="s">
        <v>2144</v>
      </c>
      <c r="D1270" s="5" t="s">
        <v>57</v>
      </c>
      <c r="E1270">
        <v>2035</v>
      </c>
      <c r="F1270" s="6" t="str">
        <f t="shared" si="154"/>
        <v>*0.94</v>
      </c>
      <c r="H1270" t="s">
        <v>2144</v>
      </c>
      <c r="I1270" s="5" t="s">
        <v>57</v>
      </c>
      <c r="J1270">
        <v>2050</v>
      </c>
      <c r="K1270" s="38" t="str">
        <f t="shared" si="155"/>
        <v>*0.91</v>
      </c>
      <c r="P1270" s="32" t="s">
        <v>2144</v>
      </c>
      <c r="Q1270" s="42" t="s">
        <v>57</v>
      </c>
      <c r="R1270" s="32">
        <v>2035</v>
      </c>
      <c r="S1270" s="43" t="str">
        <f t="shared" si="156"/>
        <v>*0.93</v>
      </c>
      <c r="U1270" s="32" t="s">
        <v>2144</v>
      </c>
      <c r="V1270" s="42" t="s">
        <v>57</v>
      </c>
      <c r="W1270" s="32">
        <v>2050</v>
      </c>
      <c r="X1270" s="43" t="str">
        <f t="shared" si="157"/>
        <v>*0.9</v>
      </c>
      <c r="AC1270" s="33" t="s">
        <v>2144</v>
      </c>
      <c r="AD1270" s="44" t="s">
        <v>57</v>
      </c>
      <c r="AE1270" s="33">
        <v>2035</v>
      </c>
      <c r="AF1270" s="45" t="str">
        <f t="shared" si="158"/>
        <v>*0.9</v>
      </c>
      <c r="AG1270" s="43" t="str">
        <f t="shared" si="160"/>
        <v>REZoning_Sol-Win</v>
      </c>
      <c r="AI1270" s="33" t="s">
        <v>2144</v>
      </c>
      <c r="AJ1270" s="44" t="s">
        <v>57</v>
      </c>
      <c r="AK1270" s="33">
        <v>2050</v>
      </c>
      <c r="AL1270" s="45" t="str">
        <f t="shared" si="159"/>
        <v>*0.86</v>
      </c>
      <c r="AM1270" s="43" t="str">
        <f t="shared" si="161"/>
        <v>REZoning_Sol-Win</v>
      </c>
      <c r="AP1270" t="s">
        <v>2144</v>
      </c>
      <c r="AQ1270" t="s">
        <v>57</v>
      </c>
      <c r="AR1270">
        <v>2100</v>
      </c>
      <c r="AS1270" t="s">
        <v>883</v>
      </c>
      <c r="AT1270" t="s">
        <v>58</v>
      </c>
    </row>
    <row r="1271" ht="29" spans="1:46">
      <c r="A1271" s="31" t="s">
        <v>65</v>
      </c>
      <c r="C1271" t="s">
        <v>2145</v>
      </c>
      <c r="D1271" s="5" t="s">
        <v>57</v>
      </c>
      <c r="E1271">
        <v>2035</v>
      </c>
      <c r="F1271" s="6" t="str">
        <f t="shared" si="154"/>
        <v>*0.94</v>
      </c>
      <c r="H1271" t="s">
        <v>2145</v>
      </c>
      <c r="I1271" s="5" t="s">
        <v>57</v>
      </c>
      <c r="J1271">
        <v>2050</v>
      </c>
      <c r="K1271" s="38" t="str">
        <f t="shared" si="155"/>
        <v>*0.91</v>
      </c>
      <c r="P1271" s="32" t="s">
        <v>2145</v>
      </c>
      <c r="Q1271" s="42" t="s">
        <v>57</v>
      </c>
      <c r="R1271" s="32">
        <v>2035</v>
      </c>
      <c r="S1271" s="43" t="str">
        <f t="shared" si="156"/>
        <v>*0.93</v>
      </c>
      <c r="U1271" s="32" t="s">
        <v>2145</v>
      </c>
      <c r="V1271" s="42" t="s">
        <v>57</v>
      </c>
      <c r="W1271" s="32">
        <v>2050</v>
      </c>
      <c r="X1271" s="43" t="str">
        <f t="shared" si="157"/>
        <v>*0.9</v>
      </c>
      <c r="AC1271" s="33" t="s">
        <v>2145</v>
      </c>
      <c r="AD1271" s="44" t="s">
        <v>57</v>
      </c>
      <c r="AE1271" s="33">
        <v>2035</v>
      </c>
      <c r="AF1271" s="45" t="str">
        <f t="shared" si="158"/>
        <v>*0.9</v>
      </c>
      <c r="AG1271" s="43" t="str">
        <f t="shared" si="160"/>
        <v>REZoning_Sol-Win</v>
      </c>
      <c r="AI1271" s="33" t="s">
        <v>2145</v>
      </c>
      <c r="AJ1271" s="44" t="s">
        <v>57</v>
      </c>
      <c r="AK1271" s="33">
        <v>2050</v>
      </c>
      <c r="AL1271" s="45" t="str">
        <f t="shared" si="159"/>
        <v>*0.86</v>
      </c>
      <c r="AM1271" s="43" t="str">
        <f t="shared" si="161"/>
        <v>REZoning_Sol-Win</v>
      </c>
      <c r="AP1271" t="s">
        <v>2145</v>
      </c>
      <c r="AQ1271" t="s">
        <v>57</v>
      </c>
      <c r="AR1271">
        <v>2100</v>
      </c>
      <c r="AS1271" t="s">
        <v>883</v>
      </c>
      <c r="AT1271" t="s">
        <v>58</v>
      </c>
    </row>
    <row r="1272" ht="29" spans="1:46">
      <c r="A1272" s="31" t="s">
        <v>65</v>
      </c>
      <c r="C1272" t="s">
        <v>2146</v>
      </c>
      <c r="D1272" s="5" t="s">
        <v>57</v>
      </c>
      <c r="E1272">
        <v>2035</v>
      </c>
      <c r="F1272" s="6" t="str">
        <f t="shared" si="154"/>
        <v>*0.94</v>
      </c>
      <c r="H1272" t="s">
        <v>2146</v>
      </c>
      <c r="I1272" s="5" t="s">
        <v>57</v>
      </c>
      <c r="J1272">
        <v>2050</v>
      </c>
      <c r="K1272" s="38" t="str">
        <f t="shared" si="155"/>
        <v>*0.91</v>
      </c>
      <c r="P1272" s="32" t="s">
        <v>2146</v>
      </c>
      <c r="Q1272" s="42" t="s">
        <v>57</v>
      </c>
      <c r="R1272" s="32">
        <v>2035</v>
      </c>
      <c r="S1272" s="43" t="str">
        <f t="shared" si="156"/>
        <v>*0.93</v>
      </c>
      <c r="U1272" s="32" t="s">
        <v>2146</v>
      </c>
      <c r="V1272" s="42" t="s">
        <v>57</v>
      </c>
      <c r="W1272" s="32">
        <v>2050</v>
      </c>
      <c r="X1272" s="43" t="str">
        <f t="shared" si="157"/>
        <v>*0.9</v>
      </c>
      <c r="AC1272" s="33" t="s">
        <v>2146</v>
      </c>
      <c r="AD1272" s="44" t="s">
        <v>57</v>
      </c>
      <c r="AE1272" s="33">
        <v>2035</v>
      </c>
      <c r="AF1272" s="45" t="str">
        <f t="shared" si="158"/>
        <v>*0.9</v>
      </c>
      <c r="AG1272" s="43" t="str">
        <f t="shared" si="160"/>
        <v>REZoning_Sol-Win</v>
      </c>
      <c r="AI1272" s="33" t="s">
        <v>2146</v>
      </c>
      <c r="AJ1272" s="44" t="s">
        <v>57</v>
      </c>
      <c r="AK1272" s="33">
        <v>2050</v>
      </c>
      <c r="AL1272" s="45" t="str">
        <f t="shared" si="159"/>
        <v>*0.86</v>
      </c>
      <c r="AM1272" s="43" t="str">
        <f t="shared" si="161"/>
        <v>REZoning_Sol-Win</v>
      </c>
      <c r="AP1272" t="s">
        <v>2146</v>
      </c>
      <c r="AQ1272" t="s">
        <v>57</v>
      </c>
      <c r="AR1272">
        <v>2100</v>
      </c>
      <c r="AS1272" t="s">
        <v>883</v>
      </c>
      <c r="AT1272" t="s">
        <v>58</v>
      </c>
    </row>
    <row r="1273" ht="29" spans="1:46">
      <c r="A1273" s="31" t="s">
        <v>65</v>
      </c>
      <c r="C1273" t="s">
        <v>2147</v>
      </c>
      <c r="D1273" s="5" t="s">
        <v>57</v>
      </c>
      <c r="E1273">
        <v>2035</v>
      </c>
      <c r="F1273" s="6" t="str">
        <f t="shared" si="154"/>
        <v>*0.94</v>
      </c>
      <c r="H1273" t="s">
        <v>2147</v>
      </c>
      <c r="I1273" s="5" t="s">
        <v>57</v>
      </c>
      <c r="J1273">
        <v>2050</v>
      </c>
      <c r="K1273" s="38" t="str">
        <f t="shared" si="155"/>
        <v>*0.91</v>
      </c>
      <c r="P1273" s="32" t="s">
        <v>2147</v>
      </c>
      <c r="Q1273" s="42" t="s">
        <v>57</v>
      </c>
      <c r="R1273" s="32">
        <v>2035</v>
      </c>
      <c r="S1273" s="43" t="str">
        <f t="shared" si="156"/>
        <v>*0.93</v>
      </c>
      <c r="U1273" s="32" t="s">
        <v>2147</v>
      </c>
      <c r="V1273" s="42" t="s">
        <v>57</v>
      </c>
      <c r="W1273" s="32">
        <v>2050</v>
      </c>
      <c r="X1273" s="43" t="str">
        <f t="shared" si="157"/>
        <v>*0.9</v>
      </c>
      <c r="AC1273" s="33" t="s">
        <v>2147</v>
      </c>
      <c r="AD1273" s="44" t="s">
        <v>57</v>
      </c>
      <c r="AE1273" s="33">
        <v>2035</v>
      </c>
      <c r="AF1273" s="45" t="str">
        <f t="shared" si="158"/>
        <v>*0.9</v>
      </c>
      <c r="AG1273" s="43" t="str">
        <f t="shared" si="160"/>
        <v>REZoning_Sol-Win</v>
      </c>
      <c r="AI1273" s="33" t="s">
        <v>2147</v>
      </c>
      <c r="AJ1273" s="44" t="s">
        <v>57</v>
      </c>
      <c r="AK1273" s="33">
        <v>2050</v>
      </c>
      <c r="AL1273" s="45" t="str">
        <f t="shared" si="159"/>
        <v>*0.86</v>
      </c>
      <c r="AM1273" s="43" t="str">
        <f t="shared" si="161"/>
        <v>REZoning_Sol-Win</v>
      </c>
      <c r="AP1273" t="s">
        <v>2147</v>
      </c>
      <c r="AQ1273" t="s">
        <v>57</v>
      </c>
      <c r="AR1273">
        <v>2100</v>
      </c>
      <c r="AS1273" t="s">
        <v>883</v>
      </c>
      <c r="AT1273" t="s">
        <v>58</v>
      </c>
    </row>
    <row r="1274" ht="29" spans="1:46">
      <c r="A1274" s="31" t="s">
        <v>95</v>
      </c>
      <c r="C1274" t="s">
        <v>2148</v>
      </c>
      <c r="D1274" s="5" t="s">
        <v>57</v>
      </c>
      <c r="E1274">
        <v>2035</v>
      </c>
      <c r="F1274" s="6" t="str">
        <f t="shared" si="154"/>
        <v>*0.95</v>
      </c>
      <c r="H1274" t="s">
        <v>2148</v>
      </c>
      <c r="I1274" s="5" t="s">
        <v>57</v>
      </c>
      <c r="J1274">
        <v>2050</v>
      </c>
      <c r="K1274" s="38" t="str">
        <f t="shared" si="155"/>
        <v>*0.93</v>
      </c>
      <c r="P1274" s="32" t="s">
        <v>2148</v>
      </c>
      <c r="Q1274" s="42" t="s">
        <v>57</v>
      </c>
      <c r="R1274" s="32">
        <v>2035</v>
      </c>
      <c r="S1274" s="43" t="str">
        <f t="shared" si="156"/>
        <v>*0.95</v>
      </c>
      <c r="U1274" s="32" t="s">
        <v>2148</v>
      </c>
      <c r="V1274" s="42" t="s">
        <v>57</v>
      </c>
      <c r="W1274" s="32">
        <v>2050</v>
      </c>
      <c r="X1274" s="43" t="str">
        <f t="shared" si="157"/>
        <v>*0.91</v>
      </c>
      <c r="AC1274" s="33" t="s">
        <v>2148</v>
      </c>
      <c r="AD1274" s="44" t="s">
        <v>57</v>
      </c>
      <c r="AE1274" s="33">
        <v>2035</v>
      </c>
      <c r="AF1274" s="45" t="str">
        <f t="shared" si="158"/>
        <v>*0.91</v>
      </c>
      <c r="AG1274" s="43" t="str">
        <f t="shared" si="160"/>
        <v>REZoning_Sol-Win</v>
      </c>
      <c r="AI1274" s="33" t="s">
        <v>2148</v>
      </c>
      <c r="AJ1274" s="44" t="s">
        <v>57</v>
      </c>
      <c r="AK1274" s="33">
        <v>2050</v>
      </c>
      <c r="AL1274" s="45" t="str">
        <f t="shared" si="159"/>
        <v>*0.86</v>
      </c>
      <c r="AM1274" s="43" t="str">
        <f t="shared" si="161"/>
        <v>REZoning_Sol-Win</v>
      </c>
      <c r="AP1274" t="s">
        <v>2148</v>
      </c>
      <c r="AQ1274" t="s">
        <v>57</v>
      </c>
      <c r="AR1274">
        <v>2100</v>
      </c>
      <c r="AS1274" t="s">
        <v>883</v>
      </c>
      <c r="AT1274" t="s">
        <v>58</v>
      </c>
    </row>
    <row r="1275" ht="29" spans="1:46">
      <c r="A1275" s="31" t="s">
        <v>95</v>
      </c>
      <c r="C1275" t="s">
        <v>2149</v>
      </c>
      <c r="D1275" s="5" t="s">
        <v>57</v>
      </c>
      <c r="E1275">
        <v>2035</v>
      </c>
      <c r="F1275" s="6" t="str">
        <f t="shared" si="154"/>
        <v>*0.95</v>
      </c>
      <c r="H1275" t="s">
        <v>2149</v>
      </c>
      <c r="I1275" s="5" t="s">
        <v>57</v>
      </c>
      <c r="J1275">
        <v>2050</v>
      </c>
      <c r="K1275" s="38" t="str">
        <f t="shared" si="155"/>
        <v>*0.93</v>
      </c>
      <c r="P1275" s="32" t="s">
        <v>2149</v>
      </c>
      <c r="Q1275" s="42" t="s">
        <v>57</v>
      </c>
      <c r="R1275" s="32">
        <v>2035</v>
      </c>
      <c r="S1275" s="43" t="str">
        <f t="shared" si="156"/>
        <v>*0.95</v>
      </c>
      <c r="U1275" s="32" t="s">
        <v>2149</v>
      </c>
      <c r="V1275" s="42" t="s">
        <v>57</v>
      </c>
      <c r="W1275" s="32">
        <v>2050</v>
      </c>
      <c r="X1275" s="43" t="str">
        <f t="shared" si="157"/>
        <v>*0.91</v>
      </c>
      <c r="AC1275" s="33" t="s">
        <v>2149</v>
      </c>
      <c r="AD1275" s="44" t="s">
        <v>57</v>
      </c>
      <c r="AE1275" s="33">
        <v>2035</v>
      </c>
      <c r="AF1275" s="45" t="str">
        <f t="shared" si="158"/>
        <v>*0.91</v>
      </c>
      <c r="AG1275" s="43" t="str">
        <f t="shared" si="160"/>
        <v>REZoning_Sol-Win</v>
      </c>
      <c r="AI1275" s="33" t="s">
        <v>2149</v>
      </c>
      <c r="AJ1275" s="44" t="s">
        <v>57</v>
      </c>
      <c r="AK1275" s="33">
        <v>2050</v>
      </c>
      <c r="AL1275" s="45" t="str">
        <f t="shared" si="159"/>
        <v>*0.86</v>
      </c>
      <c r="AM1275" s="43" t="str">
        <f t="shared" si="161"/>
        <v>REZoning_Sol-Win</v>
      </c>
      <c r="AP1275" t="s">
        <v>2149</v>
      </c>
      <c r="AQ1275" t="s">
        <v>57</v>
      </c>
      <c r="AR1275">
        <v>2100</v>
      </c>
      <c r="AS1275" t="s">
        <v>883</v>
      </c>
      <c r="AT1275" t="s">
        <v>58</v>
      </c>
    </row>
    <row r="1276" ht="29" spans="1:46">
      <c r="A1276" s="31" t="s">
        <v>95</v>
      </c>
      <c r="C1276" t="s">
        <v>2150</v>
      </c>
      <c r="D1276" s="5" t="s">
        <v>57</v>
      </c>
      <c r="E1276">
        <v>2035</v>
      </c>
      <c r="F1276" s="6" t="str">
        <f t="shared" si="154"/>
        <v>*0.95</v>
      </c>
      <c r="H1276" t="s">
        <v>2150</v>
      </c>
      <c r="I1276" s="5" t="s">
        <v>57</v>
      </c>
      <c r="J1276">
        <v>2050</v>
      </c>
      <c r="K1276" s="38" t="str">
        <f t="shared" si="155"/>
        <v>*0.93</v>
      </c>
      <c r="P1276" s="32" t="s">
        <v>2150</v>
      </c>
      <c r="Q1276" s="42" t="s">
        <v>57</v>
      </c>
      <c r="R1276" s="32">
        <v>2035</v>
      </c>
      <c r="S1276" s="43" t="str">
        <f t="shared" si="156"/>
        <v>*0.95</v>
      </c>
      <c r="U1276" s="32" t="s">
        <v>2150</v>
      </c>
      <c r="V1276" s="42" t="s">
        <v>57</v>
      </c>
      <c r="W1276" s="32">
        <v>2050</v>
      </c>
      <c r="X1276" s="43" t="str">
        <f t="shared" si="157"/>
        <v>*0.91</v>
      </c>
      <c r="AC1276" s="33" t="s">
        <v>2150</v>
      </c>
      <c r="AD1276" s="44" t="s">
        <v>57</v>
      </c>
      <c r="AE1276" s="33">
        <v>2035</v>
      </c>
      <c r="AF1276" s="45" t="str">
        <f t="shared" si="158"/>
        <v>*0.91</v>
      </c>
      <c r="AG1276" s="43" t="str">
        <f t="shared" si="160"/>
        <v>REZoning_Sol-Win</v>
      </c>
      <c r="AI1276" s="33" t="s">
        <v>2150</v>
      </c>
      <c r="AJ1276" s="44" t="s">
        <v>57</v>
      </c>
      <c r="AK1276" s="33">
        <v>2050</v>
      </c>
      <c r="AL1276" s="45" t="str">
        <f t="shared" si="159"/>
        <v>*0.86</v>
      </c>
      <c r="AM1276" s="43" t="str">
        <f t="shared" si="161"/>
        <v>REZoning_Sol-Win</v>
      </c>
      <c r="AP1276" t="s">
        <v>2150</v>
      </c>
      <c r="AQ1276" t="s">
        <v>57</v>
      </c>
      <c r="AR1276">
        <v>2100</v>
      </c>
      <c r="AS1276" t="s">
        <v>883</v>
      </c>
      <c r="AT1276" t="s">
        <v>58</v>
      </c>
    </row>
    <row r="1277" ht="29" spans="1:46">
      <c r="A1277" s="31" t="s">
        <v>95</v>
      </c>
      <c r="C1277" t="s">
        <v>2151</v>
      </c>
      <c r="D1277" s="5" t="s">
        <v>57</v>
      </c>
      <c r="E1277">
        <v>2035</v>
      </c>
      <c r="F1277" s="6" t="str">
        <f t="shared" si="154"/>
        <v>*0.95</v>
      </c>
      <c r="H1277" t="s">
        <v>2151</v>
      </c>
      <c r="I1277" s="5" t="s">
        <v>57</v>
      </c>
      <c r="J1277">
        <v>2050</v>
      </c>
      <c r="K1277" s="38" t="str">
        <f t="shared" si="155"/>
        <v>*0.93</v>
      </c>
      <c r="P1277" s="32" t="s">
        <v>2151</v>
      </c>
      <c r="Q1277" s="42" t="s">
        <v>57</v>
      </c>
      <c r="R1277" s="32">
        <v>2035</v>
      </c>
      <c r="S1277" s="43" t="str">
        <f t="shared" si="156"/>
        <v>*0.95</v>
      </c>
      <c r="U1277" s="32" t="s">
        <v>2151</v>
      </c>
      <c r="V1277" s="42" t="s">
        <v>57</v>
      </c>
      <c r="W1277" s="32">
        <v>2050</v>
      </c>
      <c r="X1277" s="43" t="str">
        <f t="shared" si="157"/>
        <v>*0.91</v>
      </c>
      <c r="AC1277" s="33" t="s">
        <v>2151</v>
      </c>
      <c r="AD1277" s="44" t="s">
        <v>57</v>
      </c>
      <c r="AE1277" s="33">
        <v>2035</v>
      </c>
      <c r="AF1277" s="45" t="str">
        <f t="shared" si="158"/>
        <v>*0.91</v>
      </c>
      <c r="AG1277" s="43" t="str">
        <f t="shared" si="160"/>
        <v>REZoning_Sol-Win</v>
      </c>
      <c r="AI1277" s="33" t="s">
        <v>2151</v>
      </c>
      <c r="AJ1277" s="44" t="s">
        <v>57</v>
      </c>
      <c r="AK1277" s="33">
        <v>2050</v>
      </c>
      <c r="AL1277" s="45" t="str">
        <f t="shared" si="159"/>
        <v>*0.86</v>
      </c>
      <c r="AM1277" s="43" t="str">
        <f t="shared" si="161"/>
        <v>REZoning_Sol-Win</v>
      </c>
      <c r="AP1277" t="s">
        <v>2151</v>
      </c>
      <c r="AQ1277" t="s">
        <v>57</v>
      </c>
      <c r="AR1277">
        <v>2100</v>
      </c>
      <c r="AS1277" t="s">
        <v>883</v>
      </c>
      <c r="AT1277" t="s">
        <v>58</v>
      </c>
    </row>
    <row r="1278" ht="29" spans="1:46">
      <c r="A1278" s="31" t="s">
        <v>95</v>
      </c>
      <c r="C1278" t="s">
        <v>2152</v>
      </c>
      <c r="D1278" s="5" t="s">
        <v>57</v>
      </c>
      <c r="E1278">
        <v>2035</v>
      </c>
      <c r="F1278" s="6" t="str">
        <f t="shared" si="154"/>
        <v>*0.95</v>
      </c>
      <c r="H1278" t="s">
        <v>2152</v>
      </c>
      <c r="I1278" s="5" t="s">
        <v>57</v>
      </c>
      <c r="J1278">
        <v>2050</v>
      </c>
      <c r="K1278" s="38" t="str">
        <f t="shared" si="155"/>
        <v>*0.93</v>
      </c>
      <c r="P1278" s="32" t="s">
        <v>2152</v>
      </c>
      <c r="Q1278" s="42" t="s">
        <v>57</v>
      </c>
      <c r="R1278" s="32">
        <v>2035</v>
      </c>
      <c r="S1278" s="43" t="str">
        <f t="shared" si="156"/>
        <v>*0.95</v>
      </c>
      <c r="U1278" s="32" t="s">
        <v>2152</v>
      </c>
      <c r="V1278" s="42" t="s">
        <v>57</v>
      </c>
      <c r="W1278" s="32">
        <v>2050</v>
      </c>
      <c r="X1278" s="43" t="str">
        <f t="shared" si="157"/>
        <v>*0.91</v>
      </c>
      <c r="AC1278" s="33" t="s">
        <v>2152</v>
      </c>
      <c r="AD1278" s="44" t="s">
        <v>57</v>
      </c>
      <c r="AE1278" s="33">
        <v>2035</v>
      </c>
      <c r="AF1278" s="45" t="str">
        <f t="shared" si="158"/>
        <v>*0.91</v>
      </c>
      <c r="AG1278" s="43" t="str">
        <f t="shared" si="160"/>
        <v>REZoning_Sol-Win</v>
      </c>
      <c r="AI1278" s="33" t="s">
        <v>2152</v>
      </c>
      <c r="AJ1278" s="44" t="s">
        <v>57</v>
      </c>
      <c r="AK1278" s="33">
        <v>2050</v>
      </c>
      <c r="AL1278" s="45" t="str">
        <f t="shared" si="159"/>
        <v>*0.86</v>
      </c>
      <c r="AM1278" s="43" t="str">
        <f t="shared" si="161"/>
        <v>REZoning_Sol-Win</v>
      </c>
      <c r="AP1278" t="s">
        <v>2152</v>
      </c>
      <c r="AQ1278" t="s">
        <v>57</v>
      </c>
      <c r="AR1278">
        <v>2100</v>
      </c>
      <c r="AS1278" t="s">
        <v>883</v>
      </c>
      <c r="AT1278" t="s">
        <v>58</v>
      </c>
    </row>
    <row r="1279" ht="29" spans="1:46">
      <c r="A1279" s="31" t="s">
        <v>95</v>
      </c>
      <c r="C1279" t="s">
        <v>2153</v>
      </c>
      <c r="D1279" s="5" t="s">
        <v>57</v>
      </c>
      <c r="E1279">
        <v>2035</v>
      </c>
      <c r="F1279" s="6" t="str">
        <f t="shared" si="154"/>
        <v>*0.95</v>
      </c>
      <c r="H1279" t="s">
        <v>2153</v>
      </c>
      <c r="I1279" s="5" t="s">
        <v>57</v>
      </c>
      <c r="J1279">
        <v>2050</v>
      </c>
      <c r="K1279" s="38" t="str">
        <f t="shared" si="155"/>
        <v>*0.93</v>
      </c>
      <c r="P1279" s="32" t="s">
        <v>2153</v>
      </c>
      <c r="Q1279" s="42" t="s">
        <v>57</v>
      </c>
      <c r="R1279" s="32">
        <v>2035</v>
      </c>
      <c r="S1279" s="43" t="str">
        <f t="shared" si="156"/>
        <v>*0.95</v>
      </c>
      <c r="U1279" s="32" t="s">
        <v>2153</v>
      </c>
      <c r="V1279" s="42" t="s">
        <v>57</v>
      </c>
      <c r="W1279" s="32">
        <v>2050</v>
      </c>
      <c r="X1279" s="43" t="str">
        <f t="shared" si="157"/>
        <v>*0.91</v>
      </c>
      <c r="AC1279" s="33" t="s">
        <v>2153</v>
      </c>
      <c r="AD1279" s="44" t="s">
        <v>57</v>
      </c>
      <c r="AE1279" s="33">
        <v>2035</v>
      </c>
      <c r="AF1279" s="45" t="str">
        <f t="shared" si="158"/>
        <v>*0.91</v>
      </c>
      <c r="AG1279" s="43" t="str">
        <f t="shared" si="160"/>
        <v>REZoning_Sol-Win</v>
      </c>
      <c r="AI1279" s="33" t="s">
        <v>2153</v>
      </c>
      <c r="AJ1279" s="44" t="s">
        <v>57</v>
      </c>
      <c r="AK1279" s="33">
        <v>2050</v>
      </c>
      <c r="AL1279" s="45" t="str">
        <f t="shared" si="159"/>
        <v>*0.86</v>
      </c>
      <c r="AM1279" s="43" t="str">
        <f t="shared" si="161"/>
        <v>REZoning_Sol-Win</v>
      </c>
      <c r="AP1279" t="s">
        <v>2153</v>
      </c>
      <c r="AQ1279" t="s">
        <v>57</v>
      </c>
      <c r="AR1279">
        <v>2100</v>
      </c>
      <c r="AS1279" t="s">
        <v>883</v>
      </c>
      <c r="AT1279" t="s">
        <v>58</v>
      </c>
    </row>
    <row r="1280" ht="29" spans="1:46">
      <c r="A1280" s="31" t="s">
        <v>95</v>
      </c>
      <c r="C1280" t="s">
        <v>2154</v>
      </c>
      <c r="D1280" s="5" t="s">
        <v>57</v>
      </c>
      <c r="E1280">
        <v>2035</v>
      </c>
      <c r="F1280" s="6" t="str">
        <f t="shared" si="154"/>
        <v>*0.95</v>
      </c>
      <c r="H1280" t="s">
        <v>2154</v>
      </c>
      <c r="I1280" s="5" t="s">
        <v>57</v>
      </c>
      <c r="J1280">
        <v>2050</v>
      </c>
      <c r="K1280" s="38" t="str">
        <f t="shared" si="155"/>
        <v>*0.93</v>
      </c>
      <c r="P1280" s="32" t="s">
        <v>2154</v>
      </c>
      <c r="Q1280" s="42" t="s">
        <v>57</v>
      </c>
      <c r="R1280" s="32">
        <v>2035</v>
      </c>
      <c r="S1280" s="43" t="str">
        <f t="shared" si="156"/>
        <v>*0.95</v>
      </c>
      <c r="U1280" s="32" t="s">
        <v>2154</v>
      </c>
      <c r="V1280" s="42" t="s">
        <v>57</v>
      </c>
      <c r="W1280" s="32">
        <v>2050</v>
      </c>
      <c r="X1280" s="43" t="str">
        <f t="shared" si="157"/>
        <v>*0.91</v>
      </c>
      <c r="AC1280" s="33" t="s">
        <v>2154</v>
      </c>
      <c r="AD1280" s="44" t="s">
        <v>57</v>
      </c>
      <c r="AE1280" s="33">
        <v>2035</v>
      </c>
      <c r="AF1280" s="45" t="str">
        <f t="shared" si="158"/>
        <v>*0.91</v>
      </c>
      <c r="AG1280" s="43" t="str">
        <f t="shared" si="160"/>
        <v>REZoning_Sol-Win</v>
      </c>
      <c r="AI1280" s="33" t="s">
        <v>2154</v>
      </c>
      <c r="AJ1280" s="44" t="s">
        <v>57</v>
      </c>
      <c r="AK1280" s="33">
        <v>2050</v>
      </c>
      <c r="AL1280" s="45" t="str">
        <f t="shared" si="159"/>
        <v>*0.86</v>
      </c>
      <c r="AM1280" s="43" t="str">
        <f t="shared" si="161"/>
        <v>REZoning_Sol-Win</v>
      </c>
      <c r="AP1280" t="s">
        <v>2154</v>
      </c>
      <c r="AQ1280" t="s">
        <v>57</v>
      </c>
      <c r="AR1280">
        <v>2100</v>
      </c>
      <c r="AS1280" t="s">
        <v>883</v>
      </c>
      <c r="AT1280" t="s">
        <v>58</v>
      </c>
    </row>
    <row r="1281" ht="29" spans="1:46">
      <c r="A1281" s="31" t="s">
        <v>95</v>
      </c>
      <c r="C1281" t="s">
        <v>2155</v>
      </c>
      <c r="D1281" s="5" t="s">
        <v>57</v>
      </c>
      <c r="E1281">
        <v>2035</v>
      </c>
      <c r="F1281" s="6" t="str">
        <f t="shared" si="154"/>
        <v>*0.95</v>
      </c>
      <c r="H1281" t="s">
        <v>2155</v>
      </c>
      <c r="I1281" s="5" t="s">
        <v>57</v>
      </c>
      <c r="J1281">
        <v>2050</v>
      </c>
      <c r="K1281" s="38" t="str">
        <f t="shared" si="155"/>
        <v>*0.93</v>
      </c>
      <c r="P1281" s="32" t="s">
        <v>2155</v>
      </c>
      <c r="Q1281" s="42" t="s">
        <v>57</v>
      </c>
      <c r="R1281" s="32">
        <v>2035</v>
      </c>
      <c r="S1281" s="43" t="str">
        <f t="shared" si="156"/>
        <v>*0.95</v>
      </c>
      <c r="U1281" s="32" t="s">
        <v>2155</v>
      </c>
      <c r="V1281" s="42" t="s">
        <v>57</v>
      </c>
      <c r="W1281" s="32">
        <v>2050</v>
      </c>
      <c r="X1281" s="43" t="str">
        <f t="shared" si="157"/>
        <v>*0.91</v>
      </c>
      <c r="AC1281" s="33" t="s">
        <v>2155</v>
      </c>
      <c r="AD1281" s="44" t="s">
        <v>57</v>
      </c>
      <c r="AE1281" s="33">
        <v>2035</v>
      </c>
      <c r="AF1281" s="45" t="str">
        <f t="shared" si="158"/>
        <v>*0.91</v>
      </c>
      <c r="AG1281" s="43" t="str">
        <f t="shared" si="160"/>
        <v>REZoning_Sol-Win</v>
      </c>
      <c r="AI1281" s="33" t="s">
        <v>2155</v>
      </c>
      <c r="AJ1281" s="44" t="s">
        <v>57</v>
      </c>
      <c r="AK1281" s="33">
        <v>2050</v>
      </c>
      <c r="AL1281" s="45" t="str">
        <f t="shared" si="159"/>
        <v>*0.86</v>
      </c>
      <c r="AM1281" s="43" t="str">
        <f t="shared" si="161"/>
        <v>REZoning_Sol-Win</v>
      </c>
      <c r="AP1281" t="s">
        <v>2155</v>
      </c>
      <c r="AQ1281" t="s">
        <v>57</v>
      </c>
      <c r="AR1281">
        <v>2100</v>
      </c>
      <c r="AS1281" t="s">
        <v>883</v>
      </c>
      <c r="AT1281" t="s">
        <v>58</v>
      </c>
    </row>
    <row r="1282" ht="29" spans="1:46">
      <c r="A1282" s="31" t="s">
        <v>95</v>
      </c>
      <c r="C1282" t="s">
        <v>2156</v>
      </c>
      <c r="D1282" s="5" t="s">
        <v>57</v>
      </c>
      <c r="E1282">
        <v>2035</v>
      </c>
      <c r="F1282" s="6" t="str">
        <f t="shared" si="154"/>
        <v>*0.95</v>
      </c>
      <c r="H1282" t="s">
        <v>2156</v>
      </c>
      <c r="I1282" s="5" t="s">
        <v>57</v>
      </c>
      <c r="J1282">
        <v>2050</v>
      </c>
      <c r="K1282" s="38" t="str">
        <f t="shared" si="155"/>
        <v>*0.93</v>
      </c>
      <c r="P1282" s="32" t="s">
        <v>2156</v>
      </c>
      <c r="Q1282" s="42" t="s">
        <v>57</v>
      </c>
      <c r="R1282" s="32">
        <v>2035</v>
      </c>
      <c r="S1282" s="43" t="str">
        <f t="shared" si="156"/>
        <v>*0.95</v>
      </c>
      <c r="U1282" s="32" t="s">
        <v>2156</v>
      </c>
      <c r="V1282" s="42" t="s">
        <v>57</v>
      </c>
      <c r="W1282" s="32">
        <v>2050</v>
      </c>
      <c r="X1282" s="43" t="str">
        <f t="shared" si="157"/>
        <v>*0.91</v>
      </c>
      <c r="AC1282" s="33" t="s">
        <v>2156</v>
      </c>
      <c r="AD1282" s="44" t="s">
        <v>57</v>
      </c>
      <c r="AE1282" s="33">
        <v>2035</v>
      </c>
      <c r="AF1282" s="45" t="str">
        <f t="shared" si="158"/>
        <v>*0.91</v>
      </c>
      <c r="AG1282" s="43" t="str">
        <f t="shared" si="160"/>
        <v>REZoning_Sol-Win</v>
      </c>
      <c r="AI1282" s="33" t="s">
        <v>2156</v>
      </c>
      <c r="AJ1282" s="44" t="s">
        <v>57</v>
      </c>
      <c r="AK1282" s="33">
        <v>2050</v>
      </c>
      <c r="AL1282" s="45" t="str">
        <f t="shared" si="159"/>
        <v>*0.86</v>
      </c>
      <c r="AM1282" s="43" t="str">
        <f t="shared" si="161"/>
        <v>REZoning_Sol-Win</v>
      </c>
      <c r="AP1282" t="s">
        <v>2156</v>
      </c>
      <c r="AQ1282" t="s">
        <v>57</v>
      </c>
      <c r="AR1282">
        <v>2100</v>
      </c>
      <c r="AS1282" t="s">
        <v>883</v>
      </c>
      <c r="AT1282" t="s">
        <v>58</v>
      </c>
    </row>
    <row r="1283" ht="29" spans="1:46">
      <c r="A1283" s="31" t="s">
        <v>95</v>
      </c>
      <c r="C1283" t="s">
        <v>2157</v>
      </c>
      <c r="D1283" s="5" t="s">
        <v>57</v>
      </c>
      <c r="E1283">
        <v>2035</v>
      </c>
      <c r="F1283" s="6" t="str">
        <f t="shared" si="154"/>
        <v>*0.95</v>
      </c>
      <c r="H1283" t="s">
        <v>2157</v>
      </c>
      <c r="I1283" s="5" t="s">
        <v>57</v>
      </c>
      <c r="J1283">
        <v>2050</v>
      </c>
      <c r="K1283" s="38" t="str">
        <f t="shared" si="155"/>
        <v>*0.93</v>
      </c>
      <c r="P1283" s="32" t="s">
        <v>2157</v>
      </c>
      <c r="Q1283" s="42" t="s">
        <v>57</v>
      </c>
      <c r="R1283" s="32">
        <v>2035</v>
      </c>
      <c r="S1283" s="43" t="str">
        <f t="shared" si="156"/>
        <v>*0.95</v>
      </c>
      <c r="U1283" s="32" t="s">
        <v>2157</v>
      </c>
      <c r="V1283" s="42" t="s">
        <v>57</v>
      </c>
      <c r="W1283" s="32">
        <v>2050</v>
      </c>
      <c r="X1283" s="43" t="str">
        <f t="shared" si="157"/>
        <v>*0.91</v>
      </c>
      <c r="AC1283" s="33" t="s">
        <v>2157</v>
      </c>
      <c r="AD1283" s="44" t="s">
        <v>57</v>
      </c>
      <c r="AE1283" s="33">
        <v>2035</v>
      </c>
      <c r="AF1283" s="45" t="str">
        <f t="shared" si="158"/>
        <v>*0.91</v>
      </c>
      <c r="AG1283" s="43" t="str">
        <f t="shared" si="160"/>
        <v>REZoning_Sol-Win</v>
      </c>
      <c r="AI1283" s="33" t="s">
        <v>2157</v>
      </c>
      <c r="AJ1283" s="44" t="s">
        <v>57</v>
      </c>
      <c r="AK1283" s="33">
        <v>2050</v>
      </c>
      <c r="AL1283" s="45" t="str">
        <f t="shared" si="159"/>
        <v>*0.86</v>
      </c>
      <c r="AM1283" s="43" t="str">
        <f t="shared" si="161"/>
        <v>REZoning_Sol-Win</v>
      </c>
      <c r="AP1283" t="s">
        <v>2157</v>
      </c>
      <c r="AQ1283" t="s">
        <v>57</v>
      </c>
      <c r="AR1283">
        <v>2100</v>
      </c>
      <c r="AS1283" t="s">
        <v>883</v>
      </c>
      <c r="AT1283" t="s">
        <v>58</v>
      </c>
    </row>
    <row r="1284" ht="29" spans="1:46">
      <c r="A1284" s="31" t="s">
        <v>95</v>
      </c>
      <c r="C1284" t="s">
        <v>2158</v>
      </c>
      <c r="D1284" s="5" t="s">
        <v>57</v>
      </c>
      <c r="E1284">
        <v>2035</v>
      </c>
      <c r="F1284" s="6" t="str">
        <f t="shared" ref="F1284:F1347" si="162">"*"&amp;IF(AND(A1284="EU",E1284=2035),0.95,IF(AND(A1284="EU",E1284=2050),0.93,IF(AND(A1284="USA",E1284=2035),0.96,IF(AND(A1284="USA",E1284=2050),0.94,IF(AND(A1284="Japan",E1284=2035),0.94,IF(AND(A1284="Japan",E1284=2050),0.92,IF(AND(A1284="Russia",E1284=2035),0.95,IF(AND(A1284="Russia",E1284=2050),0.93,IF(AND(A1284="China",E1284=2035),0.94,IF(AND(A1284="China",E1284=2050),0.92,IF(AND(A1284="India",E1284=2035),0.95,IF(AND(A1284="India",E1284=2050),0.92,IF(AND(A1284="Middle East",E1284=2035),0.94,IF(AND(A1284="Middle East",E1284=2050),0.9,IF(AND(A1284="Africa",E1284=2035),0.94,IF(AND(A1284="Africa",E1284=2050),0.91,IF(AND(A1284="Brazil",E1284=2035),0.95,IF(AND(A1284="Brazil",E1284=2050),0.92,""))))))))))))))))))</f>
        <v>*0.95</v>
      </c>
      <c r="H1284" t="s">
        <v>2158</v>
      </c>
      <c r="I1284" s="5" t="s">
        <v>57</v>
      </c>
      <c r="J1284">
        <v>2050</v>
      </c>
      <c r="K1284" s="38" t="str">
        <f t="shared" ref="K1284:K1347" si="163">"*"&amp;IF(AND(A1284="EU",J1284=2035),0.95,IF(AND(A1284="EU",J1284=2050),0.93,IF(AND(A1284="USA",J1284=2035),0.96,IF(AND(A1284="USA",J1284=2050),0.94,IF(AND(A1284="Japan",J1284=2035),0.94,IF(AND(A1284="Japan",J1284=2050),0.92,IF(AND(A1284="Russia",J1284=2035),0.95,IF(AND(A1284="Russia",J1284=2050),0.93,IF(AND(A1284="China",J1284=2035),0.94,IF(AND(A1284="China",J1284=2050),0.92,IF(AND(A1284="India",J1284=2035),0.95,IF(AND(A1284="India",J1284=2050),0.92,IF(AND(A1284="Middle East",J1284=2035),0.94,IF(AND(A1284="Middle East",J1284=2050),0.9,IF(AND(A1284="Africa",J1284=2035),0.94,IF(AND(A1284="Africa",J1284=2050),0.91,IF(AND(A1284="Brazil",J1284=2035),0.95,IF(AND(A1284="Brazil",J1284=2050),0.92,""))))))))))))))))))</f>
        <v>*0.93</v>
      </c>
      <c r="P1284" s="32" t="s">
        <v>2158</v>
      </c>
      <c r="Q1284" s="42" t="s">
        <v>57</v>
      </c>
      <c r="R1284" s="32">
        <v>2035</v>
      </c>
      <c r="S1284" s="43" t="str">
        <f t="shared" ref="S1284:S1347" si="164">"*"&amp;IF(AND(A1284="EU",R1284=2035),0.95,IF(AND(A1284="EU",R1284=2050),0.93,IF(AND(A1284="USA",R1284=2035),0.96,IF(AND(A1284="USA",R1284=2050),0.93,IF(AND(A1284="Japan",R1284=2035),0.94,IF(AND(A1284="Japan",R1284=2050),0.92,IF(AND(A1284="Russia",R1284=2035),0.95,IF(AND(A1284="Russia",R1284=2050),0.91,IF(AND(A1284="China",R1284=2035),0.93,IF(AND(A1284="China",R1284=2050),0.92,IF(AND(A1284="India",R1284=2035),0.94,IF(AND(A1284="India",R1284=2050),0.91,IF(AND(A1284="Middle East",R1284=2035),0.92,IF(AND(A1284="Middle East",R1284=2050),0.89,IF(AND(A1284="Africa",R1284=2035),0.93,IF(AND(A1284="Africa",R1284=2050),0.9,IF(AND(A1284="Brazil",R1284=2035),0.95,IF(AND(A1284="Brazil",R1284=2050),0.92,""))))))))))))))))))</f>
        <v>*0.95</v>
      </c>
      <c r="U1284" s="32" t="s">
        <v>2158</v>
      </c>
      <c r="V1284" s="42" t="s">
        <v>57</v>
      </c>
      <c r="W1284" s="32">
        <v>2050</v>
      </c>
      <c r="X1284" s="43" t="str">
        <f t="shared" ref="X1284:X1347" si="165">"*"&amp;IF(AND(A1284="EU",W1284=2035),0.95,IF(AND(A1284="EU",W1284=2050),0.93,IF(AND(A1284="USA",W1284=2035),0.96,IF(AND(A1284="USA",W1284=2050),0.93,IF(AND(A1284="Japan",W1284=2035),0.94,IF(AND(A1284="Japan",W1284=2050),0.92,IF(AND(A1284="Russia",W1284=2035),0.95,IF(AND(A1284="Russia",W1284=2050),0.91,IF(AND(A1284="China",W1284=2035),0.93,IF(AND(A1284="China",W1284=2050),0.92,IF(AND(A1284="India",W1284=2035),0.94,IF(AND(A1284="India",W1284=2050),0.91,IF(AND(A1284="Middle East",W1284=2035),0.92,IF(AND(A1284="Middle East",W1284=2050),0.89,IF(AND(A1284="Africa",W1284=2035),0.93,IF(AND(A1284="Africa",W1284=2050),0.9,IF(AND(A1284="Brazil",W1284=2035),0.95,IF(AND(A1284="Brazil",W1284=2050),0.92,""))))))))))))))))))</f>
        <v>*0.91</v>
      </c>
      <c r="AC1284" s="33" t="s">
        <v>2158</v>
      </c>
      <c r="AD1284" s="44" t="s">
        <v>57</v>
      </c>
      <c r="AE1284" s="33">
        <v>2035</v>
      </c>
      <c r="AF1284" s="45" t="str">
        <f t="shared" ref="AF1284:AF1347" si="166">"*"&amp;IF(AND(A1284="EU",AE1284=2035),0.93,IF(AND(A1284="EU",AE1284=2050),0.9,IF(AND(A1284="USA",AE1284=2035),0.92,IF(AND(A1284="USA",AE1284=2050),0.89,IF(AND(A1284="Japan",AE1284=2035),0.92,IF(AND(A1284="Japan",AE1284=2050),0.89,IF(AND(A1284="Russia",AE1284=2035),0.91,IF(AND(A1284="Russia",AE1284=2050),0.86,IF(AND(A1284="China",AE1284=2035),0.91,IF(AND(A1284="China",AE1284=2050),0.87,IF(AND(A1284="India",AE1284=2035),0.92,IF(AND(A1284="India",AE1284=2050),0.87,IF(AND(A1284="Middle East",AE1284=2035),0.89,IF(AND(A1284="Middle East",AE1284=2050),0.84,IF(AND(A1284="Africa",AE1284=2035),0.9,IF(AND(A1284="Africa",AE1284=2050),0.86,IF(AND(A1284="Brazil",AE1284=2035),0.93,IF(AND(A1284="Brazil",AE1284=2050),0.89,""))))))))))))))))))</f>
        <v>*0.91</v>
      </c>
      <c r="AG1284" s="43" t="str">
        <f t="shared" si="160"/>
        <v>REZoning_Sol-Win</v>
      </c>
      <c r="AI1284" s="33" t="s">
        <v>2158</v>
      </c>
      <c r="AJ1284" s="44" t="s">
        <v>57</v>
      </c>
      <c r="AK1284" s="33">
        <v>2050</v>
      </c>
      <c r="AL1284" s="45" t="str">
        <f t="shared" ref="AL1284:AL1347" si="167">"*"&amp;IF(AND(A1284="EU",AK1284=2035),0.93,IF(AND(A1284="EU",AK1284=2050),0.9,IF(AND(A1284="USA",AK1284=2035),0.92,IF(AND(A1284="USA",AK1284=2050),0.89,IF(AND(A1284="Japan",AK1284=2035),0.92,IF(AND(A1284="Japan",AK1284=2050),0.89,IF(AND(A1284="Russia",AK1284=2035),0.91,IF(AND(A1284="Russia",AK1284=2050),0.86,IF(AND(A1284="China",AK1284=2035),0.91,IF(AND(A1284="China",AK1284=2050),0.87,IF(AND(A1284="India",AK1284=2035),0.92,IF(AND(A1284="India",AK1284=2050),0.87,IF(AND(A1284="Middle East",AK1284=2035),0.89,IF(AND(A1284="Middle East",AK1284=2050),0.84,IF(AND(A1284="Africa",AK1284=2035),0.9,IF(AND(A1284="Africa",AK1284=2050),0.86,IF(AND(A1284="Brazil",AK1284=2035),0.93,IF(AND(A1284="Brazil",AK1284=2050),0.89,""))))))))))))))))))</f>
        <v>*0.86</v>
      </c>
      <c r="AM1284" s="43" t="str">
        <f t="shared" si="161"/>
        <v>REZoning_Sol-Win</v>
      </c>
      <c r="AP1284" t="s">
        <v>2158</v>
      </c>
      <c r="AQ1284" t="s">
        <v>57</v>
      </c>
      <c r="AR1284">
        <v>2100</v>
      </c>
      <c r="AS1284" t="s">
        <v>883</v>
      </c>
      <c r="AT1284" t="s">
        <v>58</v>
      </c>
    </row>
    <row r="1285" ht="29" spans="1:46">
      <c r="A1285" s="31" t="s">
        <v>95</v>
      </c>
      <c r="C1285" t="s">
        <v>2159</v>
      </c>
      <c r="D1285" s="5" t="s">
        <v>57</v>
      </c>
      <c r="E1285">
        <v>2035</v>
      </c>
      <c r="F1285" s="6" t="str">
        <f t="shared" si="162"/>
        <v>*0.95</v>
      </c>
      <c r="H1285" t="s">
        <v>2159</v>
      </c>
      <c r="I1285" s="5" t="s">
        <v>57</v>
      </c>
      <c r="J1285">
        <v>2050</v>
      </c>
      <c r="K1285" s="38" t="str">
        <f t="shared" si="163"/>
        <v>*0.93</v>
      </c>
      <c r="P1285" s="32" t="s">
        <v>2159</v>
      </c>
      <c r="Q1285" s="42" t="s">
        <v>57</v>
      </c>
      <c r="R1285" s="32">
        <v>2035</v>
      </c>
      <c r="S1285" s="43" t="str">
        <f t="shared" si="164"/>
        <v>*0.95</v>
      </c>
      <c r="U1285" s="32" t="s">
        <v>2159</v>
      </c>
      <c r="V1285" s="42" t="s">
        <v>57</v>
      </c>
      <c r="W1285" s="32">
        <v>2050</v>
      </c>
      <c r="X1285" s="43" t="str">
        <f t="shared" si="165"/>
        <v>*0.91</v>
      </c>
      <c r="AC1285" s="33" t="s">
        <v>2159</v>
      </c>
      <c r="AD1285" s="44" t="s">
        <v>57</v>
      </c>
      <c r="AE1285" s="33">
        <v>2035</v>
      </c>
      <c r="AF1285" s="45" t="str">
        <f t="shared" si="166"/>
        <v>*0.91</v>
      </c>
      <c r="AG1285" s="43" t="str">
        <f t="shared" si="160"/>
        <v>REZoning_Sol-Win</v>
      </c>
      <c r="AI1285" s="33" t="s">
        <v>2159</v>
      </c>
      <c r="AJ1285" s="44" t="s">
        <v>57</v>
      </c>
      <c r="AK1285" s="33">
        <v>2050</v>
      </c>
      <c r="AL1285" s="45" t="str">
        <f t="shared" si="167"/>
        <v>*0.86</v>
      </c>
      <c r="AM1285" s="43" t="str">
        <f t="shared" si="161"/>
        <v>REZoning_Sol-Win</v>
      </c>
      <c r="AP1285" t="s">
        <v>2159</v>
      </c>
      <c r="AQ1285" t="s">
        <v>57</v>
      </c>
      <c r="AR1285">
        <v>2100</v>
      </c>
      <c r="AS1285" t="s">
        <v>883</v>
      </c>
      <c r="AT1285" t="s">
        <v>58</v>
      </c>
    </row>
    <row r="1286" ht="29" spans="1:46">
      <c r="A1286" s="31" t="s">
        <v>95</v>
      </c>
      <c r="C1286" t="s">
        <v>2160</v>
      </c>
      <c r="D1286" s="5" t="s">
        <v>57</v>
      </c>
      <c r="E1286">
        <v>2035</v>
      </c>
      <c r="F1286" s="6" t="str">
        <f t="shared" si="162"/>
        <v>*0.95</v>
      </c>
      <c r="H1286" t="s">
        <v>2160</v>
      </c>
      <c r="I1286" s="5" t="s">
        <v>57</v>
      </c>
      <c r="J1286">
        <v>2050</v>
      </c>
      <c r="K1286" s="38" t="str">
        <f t="shared" si="163"/>
        <v>*0.93</v>
      </c>
      <c r="P1286" s="32" t="s">
        <v>2160</v>
      </c>
      <c r="Q1286" s="42" t="s">
        <v>57</v>
      </c>
      <c r="R1286" s="32">
        <v>2035</v>
      </c>
      <c r="S1286" s="43" t="str">
        <f t="shared" si="164"/>
        <v>*0.95</v>
      </c>
      <c r="U1286" s="32" t="s">
        <v>2160</v>
      </c>
      <c r="V1286" s="42" t="s">
        <v>57</v>
      </c>
      <c r="W1286" s="32">
        <v>2050</v>
      </c>
      <c r="X1286" s="43" t="str">
        <f t="shared" si="165"/>
        <v>*0.91</v>
      </c>
      <c r="AC1286" s="33" t="s">
        <v>2160</v>
      </c>
      <c r="AD1286" s="44" t="s">
        <v>57</v>
      </c>
      <c r="AE1286" s="33">
        <v>2035</v>
      </c>
      <c r="AF1286" s="45" t="str">
        <f t="shared" si="166"/>
        <v>*0.91</v>
      </c>
      <c r="AG1286" s="43" t="str">
        <f t="shared" si="160"/>
        <v>REZoning_Sol-Win</v>
      </c>
      <c r="AI1286" s="33" t="s">
        <v>2160</v>
      </c>
      <c r="AJ1286" s="44" t="s">
        <v>57</v>
      </c>
      <c r="AK1286" s="33">
        <v>2050</v>
      </c>
      <c r="AL1286" s="45" t="str">
        <f t="shared" si="167"/>
        <v>*0.86</v>
      </c>
      <c r="AM1286" s="43" t="str">
        <f t="shared" si="161"/>
        <v>REZoning_Sol-Win</v>
      </c>
      <c r="AP1286" t="s">
        <v>2160</v>
      </c>
      <c r="AQ1286" t="s">
        <v>57</v>
      </c>
      <c r="AR1286">
        <v>2100</v>
      </c>
      <c r="AS1286" t="s">
        <v>883</v>
      </c>
      <c r="AT1286" t="s">
        <v>58</v>
      </c>
    </row>
    <row r="1287" ht="29" spans="1:46">
      <c r="A1287" s="31" t="s">
        <v>95</v>
      </c>
      <c r="C1287" t="s">
        <v>2161</v>
      </c>
      <c r="D1287" s="5" t="s">
        <v>57</v>
      </c>
      <c r="E1287">
        <v>2035</v>
      </c>
      <c r="F1287" s="6" t="str">
        <f t="shared" si="162"/>
        <v>*0.95</v>
      </c>
      <c r="H1287" t="s">
        <v>2161</v>
      </c>
      <c r="I1287" s="5" t="s">
        <v>57</v>
      </c>
      <c r="J1287">
        <v>2050</v>
      </c>
      <c r="K1287" s="38" t="str">
        <f t="shared" si="163"/>
        <v>*0.93</v>
      </c>
      <c r="P1287" s="32" t="s">
        <v>2161</v>
      </c>
      <c r="Q1287" s="42" t="s">
        <v>57</v>
      </c>
      <c r="R1287" s="32">
        <v>2035</v>
      </c>
      <c r="S1287" s="43" t="str">
        <f t="shared" si="164"/>
        <v>*0.95</v>
      </c>
      <c r="U1287" s="32" t="s">
        <v>2161</v>
      </c>
      <c r="V1287" s="42" t="s">
        <v>57</v>
      </c>
      <c r="W1287" s="32">
        <v>2050</v>
      </c>
      <c r="X1287" s="43" t="str">
        <f t="shared" si="165"/>
        <v>*0.91</v>
      </c>
      <c r="AC1287" s="33" t="s">
        <v>2161</v>
      </c>
      <c r="AD1287" s="44" t="s">
        <v>57</v>
      </c>
      <c r="AE1287" s="33">
        <v>2035</v>
      </c>
      <c r="AF1287" s="45" t="str">
        <f t="shared" si="166"/>
        <v>*0.91</v>
      </c>
      <c r="AG1287" s="43" t="str">
        <f t="shared" si="160"/>
        <v>REZoning_Sol-Win</v>
      </c>
      <c r="AI1287" s="33" t="s">
        <v>2161</v>
      </c>
      <c r="AJ1287" s="44" t="s">
        <v>57</v>
      </c>
      <c r="AK1287" s="33">
        <v>2050</v>
      </c>
      <c r="AL1287" s="45" t="str">
        <f t="shared" si="167"/>
        <v>*0.86</v>
      </c>
      <c r="AM1287" s="43" t="str">
        <f t="shared" si="161"/>
        <v>REZoning_Sol-Win</v>
      </c>
      <c r="AP1287" t="s">
        <v>2161</v>
      </c>
      <c r="AQ1287" t="s">
        <v>57</v>
      </c>
      <c r="AR1287">
        <v>2100</v>
      </c>
      <c r="AS1287" t="s">
        <v>883</v>
      </c>
      <c r="AT1287" t="s">
        <v>58</v>
      </c>
    </row>
    <row r="1288" ht="29" spans="1:46">
      <c r="A1288" s="31" t="s">
        <v>95</v>
      </c>
      <c r="C1288" t="s">
        <v>2162</v>
      </c>
      <c r="D1288" s="5" t="s">
        <v>57</v>
      </c>
      <c r="E1288">
        <v>2035</v>
      </c>
      <c r="F1288" s="6" t="str">
        <f t="shared" si="162"/>
        <v>*0.95</v>
      </c>
      <c r="H1288" t="s">
        <v>2162</v>
      </c>
      <c r="I1288" s="5" t="s">
        <v>57</v>
      </c>
      <c r="J1288">
        <v>2050</v>
      </c>
      <c r="K1288" s="38" t="str">
        <f t="shared" si="163"/>
        <v>*0.93</v>
      </c>
      <c r="P1288" s="32" t="s">
        <v>2162</v>
      </c>
      <c r="Q1288" s="42" t="s">
        <v>57</v>
      </c>
      <c r="R1288" s="32">
        <v>2035</v>
      </c>
      <c r="S1288" s="43" t="str">
        <f t="shared" si="164"/>
        <v>*0.95</v>
      </c>
      <c r="U1288" s="32" t="s">
        <v>2162</v>
      </c>
      <c r="V1288" s="42" t="s">
        <v>57</v>
      </c>
      <c r="W1288" s="32">
        <v>2050</v>
      </c>
      <c r="X1288" s="43" t="str">
        <f t="shared" si="165"/>
        <v>*0.91</v>
      </c>
      <c r="AC1288" s="33" t="s">
        <v>2162</v>
      </c>
      <c r="AD1288" s="44" t="s">
        <v>57</v>
      </c>
      <c r="AE1288" s="33">
        <v>2035</v>
      </c>
      <c r="AF1288" s="45" t="str">
        <f t="shared" si="166"/>
        <v>*0.91</v>
      </c>
      <c r="AG1288" s="43" t="str">
        <f t="shared" si="160"/>
        <v>REZoning_Sol-Win</v>
      </c>
      <c r="AI1288" s="33" t="s">
        <v>2162</v>
      </c>
      <c r="AJ1288" s="44" t="s">
        <v>57</v>
      </c>
      <c r="AK1288" s="33">
        <v>2050</v>
      </c>
      <c r="AL1288" s="45" t="str">
        <f t="shared" si="167"/>
        <v>*0.86</v>
      </c>
      <c r="AM1288" s="43" t="str">
        <f t="shared" si="161"/>
        <v>REZoning_Sol-Win</v>
      </c>
      <c r="AP1288" t="s">
        <v>2162</v>
      </c>
      <c r="AQ1288" t="s">
        <v>57</v>
      </c>
      <c r="AR1288">
        <v>2100</v>
      </c>
      <c r="AS1288" t="s">
        <v>883</v>
      </c>
      <c r="AT1288" t="s">
        <v>58</v>
      </c>
    </row>
    <row r="1289" ht="29" spans="1:46">
      <c r="A1289" s="31" t="s">
        <v>95</v>
      </c>
      <c r="C1289" t="s">
        <v>2163</v>
      </c>
      <c r="D1289" s="5" t="s">
        <v>57</v>
      </c>
      <c r="E1289">
        <v>2035</v>
      </c>
      <c r="F1289" s="6" t="str">
        <f t="shared" si="162"/>
        <v>*0.95</v>
      </c>
      <c r="H1289" t="s">
        <v>2163</v>
      </c>
      <c r="I1289" s="5" t="s">
        <v>57</v>
      </c>
      <c r="J1289">
        <v>2050</v>
      </c>
      <c r="K1289" s="38" t="str">
        <f t="shared" si="163"/>
        <v>*0.93</v>
      </c>
      <c r="P1289" s="32" t="s">
        <v>2163</v>
      </c>
      <c r="Q1289" s="42" t="s">
        <v>57</v>
      </c>
      <c r="R1289" s="32">
        <v>2035</v>
      </c>
      <c r="S1289" s="43" t="str">
        <f t="shared" si="164"/>
        <v>*0.95</v>
      </c>
      <c r="U1289" s="32" t="s">
        <v>2163</v>
      </c>
      <c r="V1289" s="42" t="s">
        <v>57</v>
      </c>
      <c r="W1289" s="32">
        <v>2050</v>
      </c>
      <c r="X1289" s="43" t="str">
        <f t="shared" si="165"/>
        <v>*0.91</v>
      </c>
      <c r="AC1289" s="33" t="s">
        <v>2163</v>
      </c>
      <c r="AD1289" s="44" t="s">
        <v>57</v>
      </c>
      <c r="AE1289" s="33">
        <v>2035</v>
      </c>
      <c r="AF1289" s="45" t="str">
        <f t="shared" si="166"/>
        <v>*0.91</v>
      </c>
      <c r="AG1289" s="43" t="str">
        <f t="shared" ref="AG1289:AG1352" si="168">AG1288</f>
        <v>REZoning_Sol-Win</v>
      </c>
      <c r="AI1289" s="33" t="s">
        <v>2163</v>
      </c>
      <c r="AJ1289" s="44" t="s">
        <v>57</v>
      </c>
      <c r="AK1289" s="33">
        <v>2050</v>
      </c>
      <c r="AL1289" s="45" t="str">
        <f t="shared" si="167"/>
        <v>*0.86</v>
      </c>
      <c r="AM1289" s="43" t="str">
        <f t="shared" si="161"/>
        <v>REZoning_Sol-Win</v>
      </c>
      <c r="AP1289" t="s">
        <v>2163</v>
      </c>
      <c r="AQ1289" t="s">
        <v>57</v>
      </c>
      <c r="AR1289">
        <v>2100</v>
      </c>
      <c r="AS1289" t="s">
        <v>883</v>
      </c>
      <c r="AT1289" t="s">
        <v>58</v>
      </c>
    </row>
    <row r="1290" ht="29" spans="1:46">
      <c r="A1290" s="31" t="s">
        <v>95</v>
      </c>
      <c r="C1290" t="s">
        <v>2164</v>
      </c>
      <c r="D1290" s="5" t="s">
        <v>57</v>
      </c>
      <c r="E1290">
        <v>2035</v>
      </c>
      <c r="F1290" s="6" t="str">
        <f t="shared" si="162"/>
        <v>*0.95</v>
      </c>
      <c r="H1290" t="s">
        <v>2164</v>
      </c>
      <c r="I1290" s="5" t="s">
        <v>57</v>
      </c>
      <c r="J1290">
        <v>2050</v>
      </c>
      <c r="K1290" s="38" t="str">
        <f t="shared" si="163"/>
        <v>*0.93</v>
      </c>
      <c r="P1290" s="32" t="s">
        <v>2164</v>
      </c>
      <c r="Q1290" s="42" t="s">
        <v>57</v>
      </c>
      <c r="R1290" s="32">
        <v>2035</v>
      </c>
      <c r="S1290" s="43" t="str">
        <f t="shared" si="164"/>
        <v>*0.95</v>
      </c>
      <c r="U1290" s="32" t="s">
        <v>2164</v>
      </c>
      <c r="V1290" s="42" t="s">
        <v>57</v>
      </c>
      <c r="W1290" s="32">
        <v>2050</v>
      </c>
      <c r="X1290" s="43" t="str">
        <f t="shared" si="165"/>
        <v>*0.91</v>
      </c>
      <c r="AC1290" s="33" t="s">
        <v>2164</v>
      </c>
      <c r="AD1290" s="44" t="s">
        <v>57</v>
      </c>
      <c r="AE1290" s="33">
        <v>2035</v>
      </c>
      <c r="AF1290" s="45" t="str">
        <f t="shared" si="166"/>
        <v>*0.91</v>
      </c>
      <c r="AG1290" s="43" t="str">
        <f t="shared" si="168"/>
        <v>REZoning_Sol-Win</v>
      </c>
      <c r="AI1290" s="33" t="s">
        <v>2164</v>
      </c>
      <c r="AJ1290" s="44" t="s">
        <v>57</v>
      </c>
      <c r="AK1290" s="33">
        <v>2050</v>
      </c>
      <c r="AL1290" s="45" t="str">
        <f t="shared" si="167"/>
        <v>*0.86</v>
      </c>
      <c r="AM1290" s="43" t="str">
        <f t="shared" ref="AM1290:AM1353" si="169">AM1289</f>
        <v>REZoning_Sol-Win</v>
      </c>
      <c r="AP1290" t="s">
        <v>2164</v>
      </c>
      <c r="AQ1290" t="s">
        <v>57</v>
      </c>
      <c r="AR1290">
        <v>2100</v>
      </c>
      <c r="AS1290" t="s">
        <v>883</v>
      </c>
      <c r="AT1290" t="s">
        <v>58</v>
      </c>
    </row>
    <row r="1291" ht="29" spans="1:46">
      <c r="A1291" s="31" t="s">
        <v>95</v>
      </c>
      <c r="C1291" t="s">
        <v>2165</v>
      </c>
      <c r="D1291" s="5" t="s">
        <v>57</v>
      </c>
      <c r="E1291">
        <v>2035</v>
      </c>
      <c r="F1291" s="6" t="str">
        <f t="shared" si="162"/>
        <v>*0.95</v>
      </c>
      <c r="H1291" t="s">
        <v>2165</v>
      </c>
      <c r="I1291" s="5" t="s">
        <v>57</v>
      </c>
      <c r="J1291">
        <v>2050</v>
      </c>
      <c r="K1291" s="38" t="str">
        <f t="shared" si="163"/>
        <v>*0.93</v>
      </c>
      <c r="P1291" s="32" t="s">
        <v>2165</v>
      </c>
      <c r="Q1291" s="42" t="s">
        <v>57</v>
      </c>
      <c r="R1291" s="32">
        <v>2035</v>
      </c>
      <c r="S1291" s="43" t="str">
        <f t="shared" si="164"/>
        <v>*0.95</v>
      </c>
      <c r="U1291" s="32" t="s">
        <v>2165</v>
      </c>
      <c r="V1291" s="42" t="s">
        <v>57</v>
      </c>
      <c r="W1291" s="32">
        <v>2050</v>
      </c>
      <c r="X1291" s="43" t="str">
        <f t="shared" si="165"/>
        <v>*0.91</v>
      </c>
      <c r="AC1291" s="33" t="s">
        <v>2165</v>
      </c>
      <c r="AD1291" s="44" t="s">
        <v>57</v>
      </c>
      <c r="AE1291" s="33">
        <v>2035</v>
      </c>
      <c r="AF1291" s="45" t="str">
        <f t="shared" si="166"/>
        <v>*0.91</v>
      </c>
      <c r="AG1291" s="43" t="str">
        <f t="shared" si="168"/>
        <v>REZoning_Sol-Win</v>
      </c>
      <c r="AI1291" s="33" t="s">
        <v>2165</v>
      </c>
      <c r="AJ1291" s="44" t="s">
        <v>57</v>
      </c>
      <c r="AK1291" s="33">
        <v>2050</v>
      </c>
      <c r="AL1291" s="45" t="str">
        <f t="shared" si="167"/>
        <v>*0.86</v>
      </c>
      <c r="AM1291" s="43" t="str">
        <f t="shared" si="169"/>
        <v>REZoning_Sol-Win</v>
      </c>
      <c r="AP1291" t="s">
        <v>2165</v>
      </c>
      <c r="AQ1291" t="s">
        <v>57</v>
      </c>
      <c r="AR1291">
        <v>2100</v>
      </c>
      <c r="AS1291" t="s">
        <v>883</v>
      </c>
      <c r="AT1291" t="s">
        <v>58</v>
      </c>
    </row>
    <row r="1292" ht="29" spans="1:46">
      <c r="A1292" s="31" t="s">
        <v>95</v>
      </c>
      <c r="C1292" t="s">
        <v>2166</v>
      </c>
      <c r="D1292" s="5" t="s">
        <v>57</v>
      </c>
      <c r="E1292">
        <v>2035</v>
      </c>
      <c r="F1292" s="6" t="str">
        <f t="shared" si="162"/>
        <v>*0.95</v>
      </c>
      <c r="H1292" t="s">
        <v>2166</v>
      </c>
      <c r="I1292" s="5" t="s">
        <v>57</v>
      </c>
      <c r="J1292">
        <v>2050</v>
      </c>
      <c r="K1292" s="38" t="str">
        <f t="shared" si="163"/>
        <v>*0.93</v>
      </c>
      <c r="P1292" s="32" t="s">
        <v>2166</v>
      </c>
      <c r="Q1292" s="42" t="s">
        <v>57</v>
      </c>
      <c r="R1292" s="32">
        <v>2035</v>
      </c>
      <c r="S1292" s="43" t="str">
        <f t="shared" si="164"/>
        <v>*0.95</v>
      </c>
      <c r="U1292" s="32" t="s">
        <v>2166</v>
      </c>
      <c r="V1292" s="42" t="s">
        <v>57</v>
      </c>
      <c r="W1292" s="32">
        <v>2050</v>
      </c>
      <c r="X1292" s="43" t="str">
        <f t="shared" si="165"/>
        <v>*0.91</v>
      </c>
      <c r="AC1292" s="33" t="s">
        <v>2166</v>
      </c>
      <c r="AD1292" s="44" t="s">
        <v>57</v>
      </c>
      <c r="AE1292" s="33">
        <v>2035</v>
      </c>
      <c r="AF1292" s="45" t="str">
        <f t="shared" si="166"/>
        <v>*0.91</v>
      </c>
      <c r="AG1292" s="43" t="str">
        <f t="shared" si="168"/>
        <v>REZoning_Sol-Win</v>
      </c>
      <c r="AI1292" s="33" t="s">
        <v>2166</v>
      </c>
      <c r="AJ1292" s="44" t="s">
        <v>57</v>
      </c>
      <c r="AK1292" s="33">
        <v>2050</v>
      </c>
      <c r="AL1292" s="45" t="str">
        <f t="shared" si="167"/>
        <v>*0.86</v>
      </c>
      <c r="AM1292" s="43" t="str">
        <f t="shared" si="169"/>
        <v>REZoning_Sol-Win</v>
      </c>
      <c r="AP1292" t="s">
        <v>2166</v>
      </c>
      <c r="AQ1292" t="s">
        <v>57</v>
      </c>
      <c r="AR1292">
        <v>2100</v>
      </c>
      <c r="AS1292" t="s">
        <v>883</v>
      </c>
      <c r="AT1292" t="s">
        <v>58</v>
      </c>
    </row>
    <row r="1293" ht="29" spans="1:46">
      <c r="A1293" s="31" t="s">
        <v>95</v>
      </c>
      <c r="C1293" t="s">
        <v>2167</v>
      </c>
      <c r="D1293" s="5" t="s">
        <v>57</v>
      </c>
      <c r="E1293">
        <v>2035</v>
      </c>
      <c r="F1293" s="6" t="str">
        <f t="shared" si="162"/>
        <v>*0.95</v>
      </c>
      <c r="H1293" t="s">
        <v>2167</v>
      </c>
      <c r="I1293" s="5" t="s">
        <v>57</v>
      </c>
      <c r="J1293">
        <v>2050</v>
      </c>
      <c r="K1293" s="38" t="str">
        <f t="shared" si="163"/>
        <v>*0.93</v>
      </c>
      <c r="P1293" s="32" t="s">
        <v>2167</v>
      </c>
      <c r="Q1293" s="42" t="s">
        <v>57</v>
      </c>
      <c r="R1293" s="32">
        <v>2035</v>
      </c>
      <c r="S1293" s="43" t="str">
        <f t="shared" si="164"/>
        <v>*0.95</v>
      </c>
      <c r="U1293" s="32" t="s">
        <v>2167</v>
      </c>
      <c r="V1293" s="42" t="s">
        <v>57</v>
      </c>
      <c r="W1293" s="32">
        <v>2050</v>
      </c>
      <c r="X1293" s="43" t="str">
        <f t="shared" si="165"/>
        <v>*0.91</v>
      </c>
      <c r="AC1293" s="33" t="s">
        <v>2167</v>
      </c>
      <c r="AD1293" s="44" t="s">
        <v>57</v>
      </c>
      <c r="AE1293" s="33">
        <v>2035</v>
      </c>
      <c r="AF1293" s="45" t="str">
        <f t="shared" si="166"/>
        <v>*0.91</v>
      </c>
      <c r="AG1293" s="43" t="str">
        <f t="shared" si="168"/>
        <v>REZoning_Sol-Win</v>
      </c>
      <c r="AI1293" s="33" t="s">
        <v>2167</v>
      </c>
      <c r="AJ1293" s="44" t="s">
        <v>57</v>
      </c>
      <c r="AK1293" s="33">
        <v>2050</v>
      </c>
      <c r="AL1293" s="45" t="str">
        <f t="shared" si="167"/>
        <v>*0.86</v>
      </c>
      <c r="AM1293" s="43" t="str">
        <f t="shared" si="169"/>
        <v>REZoning_Sol-Win</v>
      </c>
      <c r="AP1293" t="s">
        <v>2167</v>
      </c>
      <c r="AQ1293" t="s">
        <v>57</v>
      </c>
      <c r="AR1293">
        <v>2100</v>
      </c>
      <c r="AS1293" t="s">
        <v>883</v>
      </c>
      <c r="AT1293" t="s">
        <v>58</v>
      </c>
    </row>
    <row r="1294" ht="29" spans="1:46">
      <c r="A1294" s="31" t="s">
        <v>95</v>
      </c>
      <c r="C1294" t="s">
        <v>2168</v>
      </c>
      <c r="D1294" s="5" t="s">
        <v>57</v>
      </c>
      <c r="E1294">
        <v>2035</v>
      </c>
      <c r="F1294" s="6" t="str">
        <f t="shared" si="162"/>
        <v>*0.95</v>
      </c>
      <c r="H1294" t="s">
        <v>2168</v>
      </c>
      <c r="I1294" s="5" t="s">
        <v>57</v>
      </c>
      <c r="J1294">
        <v>2050</v>
      </c>
      <c r="K1294" s="38" t="str">
        <f t="shared" si="163"/>
        <v>*0.93</v>
      </c>
      <c r="P1294" s="32" t="s">
        <v>2168</v>
      </c>
      <c r="Q1294" s="42" t="s">
        <v>57</v>
      </c>
      <c r="R1294" s="32">
        <v>2035</v>
      </c>
      <c r="S1294" s="43" t="str">
        <f t="shared" si="164"/>
        <v>*0.95</v>
      </c>
      <c r="U1294" s="32" t="s">
        <v>2168</v>
      </c>
      <c r="V1294" s="42" t="s">
        <v>57</v>
      </c>
      <c r="W1294" s="32">
        <v>2050</v>
      </c>
      <c r="X1294" s="43" t="str">
        <f t="shared" si="165"/>
        <v>*0.91</v>
      </c>
      <c r="AC1294" s="33" t="s">
        <v>2168</v>
      </c>
      <c r="AD1294" s="44" t="s">
        <v>57</v>
      </c>
      <c r="AE1294" s="33">
        <v>2035</v>
      </c>
      <c r="AF1294" s="45" t="str">
        <f t="shared" si="166"/>
        <v>*0.91</v>
      </c>
      <c r="AG1294" s="43" t="str">
        <f t="shared" si="168"/>
        <v>REZoning_Sol-Win</v>
      </c>
      <c r="AI1294" s="33" t="s">
        <v>2168</v>
      </c>
      <c r="AJ1294" s="44" t="s">
        <v>57</v>
      </c>
      <c r="AK1294" s="33">
        <v>2050</v>
      </c>
      <c r="AL1294" s="45" t="str">
        <f t="shared" si="167"/>
        <v>*0.86</v>
      </c>
      <c r="AM1294" s="43" t="str">
        <f t="shared" si="169"/>
        <v>REZoning_Sol-Win</v>
      </c>
      <c r="AP1294" t="s">
        <v>2168</v>
      </c>
      <c r="AQ1294" t="s">
        <v>57</v>
      </c>
      <c r="AR1294">
        <v>2100</v>
      </c>
      <c r="AS1294" t="s">
        <v>883</v>
      </c>
      <c r="AT1294" t="s">
        <v>58</v>
      </c>
    </row>
    <row r="1295" ht="29" spans="1:46">
      <c r="A1295" s="31" t="s">
        <v>95</v>
      </c>
      <c r="C1295" t="s">
        <v>2169</v>
      </c>
      <c r="D1295" s="5" t="s">
        <v>57</v>
      </c>
      <c r="E1295">
        <v>2035</v>
      </c>
      <c r="F1295" s="6" t="str">
        <f t="shared" si="162"/>
        <v>*0.95</v>
      </c>
      <c r="H1295" t="s">
        <v>2169</v>
      </c>
      <c r="I1295" s="5" t="s">
        <v>57</v>
      </c>
      <c r="J1295">
        <v>2050</v>
      </c>
      <c r="K1295" s="38" t="str">
        <f t="shared" si="163"/>
        <v>*0.93</v>
      </c>
      <c r="P1295" s="32" t="s">
        <v>2169</v>
      </c>
      <c r="Q1295" s="42" t="s">
        <v>57</v>
      </c>
      <c r="R1295" s="32">
        <v>2035</v>
      </c>
      <c r="S1295" s="43" t="str">
        <f t="shared" si="164"/>
        <v>*0.95</v>
      </c>
      <c r="U1295" s="32" t="s">
        <v>2169</v>
      </c>
      <c r="V1295" s="42" t="s">
        <v>57</v>
      </c>
      <c r="W1295" s="32">
        <v>2050</v>
      </c>
      <c r="X1295" s="43" t="str">
        <f t="shared" si="165"/>
        <v>*0.91</v>
      </c>
      <c r="AC1295" s="33" t="s">
        <v>2169</v>
      </c>
      <c r="AD1295" s="44" t="s">
        <v>57</v>
      </c>
      <c r="AE1295" s="33">
        <v>2035</v>
      </c>
      <c r="AF1295" s="45" t="str">
        <f t="shared" si="166"/>
        <v>*0.91</v>
      </c>
      <c r="AG1295" s="43" t="str">
        <f t="shared" si="168"/>
        <v>REZoning_Sol-Win</v>
      </c>
      <c r="AI1295" s="33" t="s">
        <v>2169</v>
      </c>
      <c r="AJ1295" s="44" t="s">
        <v>57</v>
      </c>
      <c r="AK1295" s="33">
        <v>2050</v>
      </c>
      <c r="AL1295" s="45" t="str">
        <f t="shared" si="167"/>
        <v>*0.86</v>
      </c>
      <c r="AM1295" s="43" t="str">
        <f t="shared" si="169"/>
        <v>REZoning_Sol-Win</v>
      </c>
      <c r="AP1295" t="s">
        <v>2169</v>
      </c>
      <c r="AQ1295" t="s">
        <v>57</v>
      </c>
      <c r="AR1295">
        <v>2100</v>
      </c>
      <c r="AS1295" t="s">
        <v>883</v>
      </c>
      <c r="AT1295" t="s">
        <v>58</v>
      </c>
    </row>
    <row r="1296" ht="29" spans="1:46">
      <c r="A1296" s="31" t="s">
        <v>95</v>
      </c>
      <c r="C1296" t="s">
        <v>2170</v>
      </c>
      <c r="D1296" s="5" t="s">
        <v>57</v>
      </c>
      <c r="E1296">
        <v>2035</v>
      </c>
      <c r="F1296" s="6" t="str">
        <f t="shared" si="162"/>
        <v>*0.95</v>
      </c>
      <c r="H1296" t="s">
        <v>2170</v>
      </c>
      <c r="I1296" s="5" t="s">
        <v>57</v>
      </c>
      <c r="J1296">
        <v>2050</v>
      </c>
      <c r="K1296" s="38" t="str">
        <f t="shared" si="163"/>
        <v>*0.93</v>
      </c>
      <c r="P1296" s="32" t="s">
        <v>2170</v>
      </c>
      <c r="Q1296" s="42" t="s">
        <v>57</v>
      </c>
      <c r="R1296" s="32">
        <v>2035</v>
      </c>
      <c r="S1296" s="43" t="str">
        <f t="shared" si="164"/>
        <v>*0.95</v>
      </c>
      <c r="U1296" s="32" t="s">
        <v>2170</v>
      </c>
      <c r="V1296" s="42" t="s">
        <v>57</v>
      </c>
      <c r="W1296" s="32">
        <v>2050</v>
      </c>
      <c r="X1296" s="43" t="str">
        <f t="shared" si="165"/>
        <v>*0.91</v>
      </c>
      <c r="AC1296" s="33" t="s">
        <v>2170</v>
      </c>
      <c r="AD1296" s="44" t="s">
        <v>57</v>
      </c>
      <c r="AE1296" s="33">
        <v>2035</v>
      </c>
      <c r="AF1296" s="45" t="str">
        <f t="shared" si="166"/>
        <v>*0.91</v>
      </c>
      <c r="AG1296" s="43" t="str">
        <f t="shared" si="168"/>
        <v>REZoning_Sol-Win</v>
      </c>
      <c r="AI1296" s="33" t="s">
        <v>2170</v>
      </c>
      <c r="AJ1296" s="44" t="s">
        <v>57</v>
      </c>
      <c r="AK1296" s="33">
        <v>2050</v>
      </c>
      <c r="AL1296" s="45" t="str">
        <f t="shared" si="167"/>
        <v>*0.86</v>
      </c>
      <c r="AM1296" s="43" t="str">
        <f t="shared" si="169"/>
        <v>REZoning_Sol-Win</v>
      </c>
      <c r="AP1296" t="s">
        <v>2170</v>
      </c>
      <c r="AQ1296" t="s">
        <v>57</v>
      </c>
      <c r="AR1296">
        <v>2100</v>
      </c>
      <c r="AS1296" t="s">
        <v>883</v>
      </c>
      <c r="AT1296" t="s">
        <v>58</v>
      </c>
    </row>
    <row r="1297" ht="29" spans="1:46">
      <c r="A1297" s="31" t="s">
        <v>95</v>
      </c>
      <c r="C1297" t="s">
        <v>2171</v>
      </c>
      <c r="D1297" s="5" t="s">
        <v>57</v>
      </c>
      <c r="E1297">
        <v>2035</v>
      </c>
      <c r="F1297" s="6" t="str">
        <f t="shared" si="162"/>
        <v>*0.95</v>
      </c>
      <c r="H1297" t="s">
        <v>2171</v>
      </c>
      <c r="I1297" s="5" t="s">
        <v>57</v>
      </c>
      <c r="J1297">
        <v>2050</v>
      </c>
      <c r="K1297" s="38" t="str">
        <f t="shared" si="163"/>
        <v>*0.93</v>
      </c>
      <c r="P1297" s="32" t="s">
        <v>2171</v>
      </c>
      <c r="Q1297" s="42" t="s">
        <v>57</v>
      </c>
      <c r="R1297" s="32">
        <v>2035</v>
      </c>
      <c r="S1297" s="43" t="str">
        <f t="shared" si="164"/>
        <v>*0.95</v>
      </c>
      <c r="U1297" s="32" t="s">
        <v>2171</v>
      </c>
      <c r="V1297" s="42" t="s">
        <v>57</v>
      </c>
      <c r="W1297" s="32">
        <v>2050</v>
      </c>
      <c r="X1297" s="43" t="str">
        <f t="shared" si="165"/>
        <v>*0.91</v>
      </c>
      <c r="AC1297" s="33" t="s">
        <v>2171</v>
      </c>
      <c r="AD1297" s="44" t="s">
        <v>57</v>
      </c>
      <c r="AE1297" s="33">
        <v>2035</v>
      </c>
      <c r="AF1297" s="45" t="str">
        <f t="shared" si="166"/>
        <v>*0.91</v>
      </c>
      <c r="AG1297" s="43" t="str">
        <f t="shared" si="168"/>
        <v>REZoning_Sol-Win</v>
      </c>
      <c r="AI1297" s="33" t="s">
        <v>2171</v>
      </c>
      <c r="AJ1297" s="44" t="s">
        <v>57</v>
      </c>
      <c r="AK1297" s="33">
        <v>2050</v>
      </c>
      <c r="AL1297" s="45" t="str">
        <f t="shared" si="167"/>
        <v>*0.86</v>
      </c>
      <c r="AM1297" s="43" t="str">
        <f t="shared" si="169"/>
        <v>REZoning_Sol-Win</v>
      </c>
      <c r="AP1297" t="s">
        <v>2171</v>
      </c>
      <c r="AQ1297" t="s">
        <v>57</v>
      </c>
      <c r="AR1297">
        <v>2100</v>
      </c>
      <c r="AS1297" t="s">
        <v>883</v>
      </c>
      <c r="AT1297" t="s">
        <v>58</v>
      </c>
    </row>
    <row r="1298" ht="29" spans="1:46">
      <c r="A1298" s="31" t="s">
        <v>95</v>
      </c>
      <c r="C1298" t="s">
        <v>2172</v>
      </c>
      <c r="D1298" s="5" t="s">
        <v>57</v>
      </c>
      <c r="E1298">
        <v>2035</v>
      </c>
      <c r="F1298" s="6" t="str">
        <f t="shared" si="162"/>
        <v>*0.95</v>
      </c>
      <c r="H1298" t="s">
        <v>2172</v>
      </c>
      <c r="I1298" s="5" t="s">
        <v>57</v>
      </c>
      <c r="J1298">
        <v>2050</v>
      </c>
      <c r="K1298" s="38" t="str">
        <f t="shared" si="163"/>
        <v>*0.93</v>
      </c>
      <c r="P1298" s="32" t="s">
        <v>2172</v>
      </c>
      <c r="Q1298" s="42" t="s">
        <v>57</v>
      </c>
      <c r="R1298" s="32">
        <v>2035</v>
      </c>
      <c r="S1298" s="43" t="str">
        <f t="shared" si="164"/>
        <v>*0.95</v>
      </c>
      <c r="U1298" s="32" t="s">
        <v>2172</v>
      </c>
      <c r="V1298" s="42" t="s">
        <v>57</v>
      </c>
      <c r="W1298" s="32">
        <v>2050</v>
      </c>
      <c r="X1298" s="43" t="str">
        <f t="shared" si="165"/>
        <v>*0.91</v>
      </c>
      <c r="AC1298" s="33" t="s">
        <v>2172</v>
      </c>
      <c r="AD1298" s="44" t="s">
        <v>57</v>
      </c>
      <c r="AE1298" s="33">
        <v>2035</v>
      </c>
      <c r="AF1298" s="45" t="str">
        <f t="shared" si="166"/>
        <v>*0.91</v>
      </c>
      <c r="AG1298" s="43" t="str">
        <f t="shared" si="168"/>
        <v>REZoning_Sol-Win</v>
      </c>
      <c r="AI1298" s="33" t="s">
        <v>2172</v>
      </c>
      <c r="AJ1298" s="44" t="s">
        <v>57</v>
      </c>
      <c r="AK1298" s="33">
        <v>2050</v>
      </c>
      <c r="AL1298" s="45" t="str">
        <f t="shared" si="167"/>
        <v>*0.86</v>
      </c>
      <c r="AM1298" s="43" t="str">
        <f t="shared" si="169"/>
        <v>REZoning_Sol-Win</v>
      </c>
      <c r="AP1298" t="s">
        <v>2172</v>
      </c>
      <c r="AQ1298" t="s">
        <v>57</v>
      </c>
      <c r="AR1298">
        <v>2100</v>
      </c>
      <c r="AS1298" t="s">
        <v>883</v>
      </c>
      <c r="AT1298" t="s">
        <v>58</v>
      </c>
    </row>
    <row r="1299" ht="29" spans="1:46">
      <c r="A1299" s="31" t="s">
        <v>95</v>
      </c>
      <c r="C1299" t="s">
        <v>2173</v>
      </c>
      <c r="D1299" s="5" t="s">
        <v>57</v>
      </c>
      <c r="E1299">
        <v>2035</v>
      </c>
      <c r="F1299" s="6" t="str">
        <f t="shared" si="162"/>
        <v>*0.95</v>
      </c>
      <c r="H1299" t="s">
        <v>2173</v>
      </c>
      <c r="I1299" s="5" t="s">
        <v>57</v>
      </c>
      <c r="J1299">
        <v>2050</v>
      </c>
      <c r="K1299" s="38" t="str">
        <f t="shared" si="163"/>
        <v>*0.93</v>
      </c>
      <c r="P1299" s="32" t="s">
        <v>2173</v>
      </c>
      <c r="Q1299" s="42" t="s">
        <v>57</v>
      </c>
      <c r="R1299" s="32">
        <v>2035</v>
      </c>
      <c r="S1299" s="43" t="str">
        <f t="shared" si="164"/>
        <v>*0.95</v>
      </c>
      <c r="U1299" s="32" t="s">
        <v>2173</v>
      </c>
      <c r="V1299" s="42" t="s">
        <v>57</v>
      </c>
      <c r="W1299" s="32">
        <v>2050</v>
      </c>
      <c r="X1299" s="43" t="str">
        <f t="shared" si="165"/>
        <v>*0.91</v>
      </c>
      <c r="AC1299" s="33" t="s">
        <v>2173</v>
      </c>
      <c r="AD1299" s="44" t="s">
        <v>57</v>
      </c>
      <c r="AE1299" s="33">
        <v>2035</v>
      </c>
      <c r="AF1299" s="45" t="str">
        <f t="shared" si="166"/>
        <v>*0.91</v>
      </c>
      <c r="AG1299" s="43" t="str">
        <f t="shared" si="168"/>
        <v>REZoning_Sol-Win</v>
      </c>
      <c r="AI1299" s="33" t="s">
        <v>2173</v>
      </c>
      <c r="AJ1299" s="44" t="s">
        <v>57</v>
      </c>
      <c r="AK1299" s="33">
        <v>2050</v>
      </c>
      <c r="AL1299" s="45" t="str">
        <f t="shared" si="167"/>
        <v>*0.86</v>
      </c>
      <c r="AM1299" s="43" t="str">
        <f t="shared" si="169"/>
        <v>REZoning_Sol-Win</v>
      </c>
      <c r="AP1299" t="s">
        <v>2173</v>
      </c>
      <c r="AQ1299" t="s">
        <v>57</v>
      </c>
      <c r="AR1299">
        <v>2100</v>
      </c>
      <c r="AS1299" t="s">
        <v>883</v>
      </c>
      <c r="AT1299" t="s">
        <v>58</v>
      </c>
    </row>
    <row r="1300" ht="29" spans="1:46">
      <c r="A1300" s="31" t="s">
        <v>169</v>
      </c>
      <c r="C1300" t="s">
        <v>2174</v>
      </c>
      <c r="D1300" s="5" t="s">
        <v>57</v>
      </c>
      <c r="E1300">
        <v>2035</v>
      </c>
      <c r="F1300" s="6" t="str">
        <f t="shared" si="162"/>
        <v>*0.94</v>
      </c>
      <c r="H1300" t="s">
        <v>2174</v>
      </c>
      <c r="I1300" s="5" t="s">
        <v>57</v>
      </c>
      <c r="J1300">
        <v>2050</v>
      </c>
      <c r="K1300" s="38" t="str">
        <f t="shared" si="163"/>
        <v>*0.92</v>
      </c>
      <c r="P1300" s="32" t="s">
        <v>2174</v>
      </c>
      <c r="Q1300" s="42" t="s">
        <v>57</v>
      </c>
      <c r="R1300" s="32">
        <v>2035</v>
      </c>
      <c r="S1300" s="43" t="str">
        <f t="shared" si="164"/>
        <v>*0.93</v>
      </c>
      <c r="U1300" s="32" t="s">
        <v>2174</v>
      </c>
      <c r="V1300" s="42" t="s">
        <v>57</v>
      </c>
      <c r="W1300" s="32">
        <v>2050</v>
      </c>
      <c r="X1300" s="43" t="str">
        <f t="shared" si="165"/>
        <v>*0.92</v>
      </c>
      <c r="AC1300" s="33" t="s">
        <v>2174</v>
      </c>
      <c r="AD1300" s="44" t="s">
        <v>57</v>
      </c>
      <c r="AE1300" s="33">
        <v>2035</v>
      </c>
      <c r="AF1300" s="45" t="str">
        <f t="shared" si="166"/>
        <v>*0.91</v>
      </c>
      <c r="AG1300" s="43" t="str">
        <f t="shared" si="168"/>
        <v>REZoning_Sol-Win</v>
      </c>
      <c r="AI1300" s="33" t="s">
        <v>2174</v>
      </c>
      <c r="AJ1300" s="44" t="s">
        <v>57</v>
      </c>
      <c r="AK1300" s="33">
        <v>2050</v>
      </c>
      <c r="AL1300" s="45" t="str">
        <f t="shared" si="167"/>
        <v>*0.87</v>
      </c>
      <c r="AM1300" s="43" t="str">
        <f t="shared" si="169"/>
        <v>REZoning_Sol-Win</v>
      </c>
      <c r="AP1300" t="s">
        <v>2174</v>
      </c>
      <c r="AQ1300" t="s">
        <v>57</v>
      </c>
      <c r="AR1300">
        <v>2100</v>
      </c>
      <c r="AS1300" t="s">
        <v>874</v>
      </c>
      <c r="AT1300" t="s">
        <v>58</v>
      </c>
    </row>
    <row r="1301" ht="29" spans="1:46">
      <c r="A1301" s="31" t="s">
        <v>169</v>
      </c>
      <c r="C1301" t="s">
        <v>2175</v>
      </c>
      <c r="D1301" s="5" t="s">
        <v>57</v>
      </c>
      <c r="E1301">
        <v>2035</v>
      </c>
      <c r="F1301" s="6" t="str">
        <f t="shared" si="162"/>
        <v>*0.94</v>
      </c>
      <c r="H1301" t="s">
        <v>2175</v>
      </c>
      <c r="I1301" s="5" t="s">
        <v>57</v>
      </c>
      <c r="J1301">
        <v>2050</v>
      </c>
      <c r="K1301" s="38" t="str">
        <f t="shared" si="163"/>
        <v>*0.92</v>
      </c>
      <c r="P1301" s="32" t="s">
        <v>2175</v>
      </c>
      <c r="Q1301" s="42" t="s">
        <v>57</v>
      </c>
      <c r="R1301" s="32">
        <v>2035</v>
      </c>
      <c r="S1301" s="43" t="str">
        <f t="shared" si="164"/>
        <v>*0.93</v>
      </c>
      <c r="U1301" s="32" t="s">
        <v>2175</v>
      </c>
      <c r="V1301" s="42" t="s">
        <v>57</v>
      </c>
      <c r="W1301" s="32">
        <v>2050</v>
      </c>
      <c r="X1301" s="43" t="str">
        <f t="shared" si="165"/>
        <v>*0.92</v>
      </c>
      <c r="AC1301" s="33" t="s">
        <v>2175</v>
      </c>
      <c r="AD1301" s="44" t="s">
        <v>57</v>
      </c>
      <c r="AE1301" s="33">
        <v>2035</v>
      </c>
      <c r="AF1301" s="45" t="str">
        <f t="shared" si="166"/>
        <v>*0.91</v>
      </c>
      <c r="AG1301" s="43" t="str">
        <f t="shared" si="168"/>
        <v>REZoning_Sol-Win</v>
      </c>
      <c r="AI1301" s="33" t="s">
        <v>2175</v>
      </c>
      <c r="AJ1301" s="44" t="s">
        <v>57</v>
      </c>
      <c r="AK1301" s="33">
        <v>2050</v>
      </c>
      <c r="AL1301" s="45" t="str">
        <f t="shared" si="167"/>
        <v>*0.87</v>
      </c>
      <c r="AM1301" s="43" t="str">
        <f t="shared" si="169"/>
        <v>REZoning_Sol-Win</v>
      </c>
      <c r="AP1301" t="s">
        <v>2175</v>
      </c>
      <c r="AQ1301" t="s">
        <v>57</v>
      </c>
      <c r="AR1301">
        <v>2100</v>
      </c>
      <c r="AS1301" t="s">
        <v>874</v>
      </c>
      <c r="AT1301" t="s">
        <v>58</v>
      </c>
    </row>
    <row r="1302" ht="29" spans="1:46">
      <c r="A1302" s="31" t="s">
        <v>169</v>
      </c>
      <c r="C1302" t="s">
        <v>2176</v>
      </c>
      <c r="D1302" s="5" t="s">
        <v>57</v>
      </c>
      <c r="E1302">
        <v>2035</v>
      </c>
      <c r="F1302" s="6" t="str">
        <f t="shared" si="162"/>
        <v>*0.94</v>
      </c>
      <c r="H1302" t="s">
        <v>2176</v>
      </c>
      <c r="I1302" s="5" t="s">
        <v>57</v>
      </c>
      <c r="J1302">
        <v>2050</v>
      </c>
      <c r="K1302" s="38" t="str">
        <f t="shared" si="163"/>
        <v>*0.92</v>
      </c>
      <c r="P1302" s="32" t="s">
        <v>2176</v>
      </c>
      <c r="Q1302" s="42" t="s">
        <v>57</v>
      </c>
      <c r="R1302" s="32">
        <v>2035</v>
      </c>
      <c r="S1302" s="43" t="str">
        <f t="shared" si="164"/>
        <v>*0.93</v>
      </c>
      <c r="U1302" s="32" t="s">
        <v>2176</v>
      </c>
      <c r="V1302" s="42" t="s">
        <v>57</v>
      </c>
      <c r="W1302" s="32">
        <v>2050</v>
      </c>
      <c r="X1302" s="43" t="str">
        <f t="shared" si="165"/>
        <v>*0.92</v>
      </c>
      <c r="AC1302" s="33" t="s">
        <v>2176</v>
      </c>
      <c r="AD1302" s="44" t="s">
        <v>57</v>
      </c>
      <c r="AE1302" s="33">
        <v>2035</v>
      </c>
      <c r="AF1302" s="45" t="str">
        <f t="shared" si="166"/>
        <v>*0.91</v>
      </c>
      <c r="AG1302" s="43" t="str">
        <f t="shared" si="168"/>
        <v>REZoning_Sol-Win</v>
      </c>
      <c r="AI1302" s="33" t="s">
        <v>2176</v>
      </c>
      <c r="AJ1302" s="44" t="s">
        <v>57</v>
      </c>
      <c r="AK1302" s="33">
        <v>2050</v>
      </c>
      <c r="AL1302" s="45" t="str">
        <f t="shared" si="167"/>
        <v>*0.87</v>
      </c>
      <c r="AM1302" s="43" t="str">
        <f t="shared" si="169"/>
        <v>REZoning_Sol-Win</v>
      </c>
      <c r="AP1302" t="s">
        <v>2176</v>
      </c>
      <c r="AQ1302" t="s">
        <v>57</v>
      </c>
      <c r="AR1302">
        <v>2100</v>
      </c>
      <c r="AS1302" t="s">
        <v>874</v>
      </c>
      <c r="AT1302" t="s">
        <v>58</v>
      </c>
    </row>
    <row r="1303" ht="29" spans="1:46">
      <c r="A1303" s="31" t="s">
        <v>169</v>
      </c>
      <c r="C1303" t="s">
        <v>2177</v>
      </c>
      <c r="D1303" s="5" t="s">
        <v>57</v>
      </c>
      <c r="E1303">
        <v>2035</v>
      </c>
      <c r="F1303" s="6" t="str">
        <f t="shared" si="162"/>
        <v>*0.94</v>
      </c>
      <c r="H1303" t="s">
        <v>2177</v>
      </c>
      <c r="I1303" s="5" t="s">
        <v>57</v>
      </c>
      <c r="J1303">
        <v>2050</v>
      </c>
      <c r="K1303" s="38" t="str">
        <f t="shared" si="163"/>
        <v>*0.92</v>
      </c>
      <c r="P1303" s="32" t="s">
        <v>2177</v>
      </c>
      <c r="Q1303" s="42" t="s">
        <v>57</v>
      </c>
      <c r="R1303" s="32">
        <v>2035</v>
      </c>
      <c r="S1303" s="43" t="str">
        <f t="shared" si="164"/>
        <v>*0.93</v>
      </c>
      <c r="U1303" s="32" t="s">
        <v>2177</v>
      </c>
      <c r="V1303" s="42" t="s">
        <v>57</v>
      </c>
      <c r="W1303" s="32">
        <v>2050</v>
      </c>
      <c r="X1303" s="43" t="str">
        <f t="shared" si="165"/>
        <v>*0.92</v>
      </c>
      <c r="AC1303" s="33" t="s">
        <v>2177</v>
      </c>
      <c r="AD1303" s="44" t="s">
        <v>57</v>
      </c>
      <c r="AE1303" s="33">
        <v>2035</v>
      </c>
      <c r="AF1303" s="45" t="str">
        <f t="shared" si="166"/>
        <v>*0.91</v>
      </c>
      <c r="AG1303" s="43" t="str">
        <f t="shared" si="168"/>
        <v>REZoning_Sol-Win</v>
      </c>
      <c r="AI1303" s="33" t="s">
        <v>2177</v>
      </c>
      <c r="AJ1303" s="44" t="s">
        <v>57</v>
      </c>
      <c r="AK1303" s="33">
        <v>2050</v>
      </c>
      <c r="AL1303" s="45" t="str">
        <f t="shared" si="167"/>
        <v>*0.87</v>
      </c>
      <c r="AM1303" s="43" t="str">
        <f t="shared" si="169"/>
        <v>REZoning_Sol-Win</v>
      </c>
      <c r="AP1303" t="s">
        <v>2177</v>
      </c>
      <c r="AQ1303" t="s">
        <v>57</v>
      </c>
      <c r="AR1303">
        <v>2100</v>
      </c>
      <c r="AS1303" t="s">
        <v>874</v>
      </c>
      <c r="AT1303" t="s">
        <v>58</v>
      </c>
    </row>
    <row r="1304" ht="29" spans="1:46">
      <c r="A1304" s="31" t="s">
        <v>169</v>
      </c>
      <c r="C1304" t="s">
        <v>2178</v>
      </c>
      <c r="D1304" s="5" t="s">
        <v>57</v>
      </c>
      <c r="E1304">
        <v>2035</v>
      </c>
      <c r="F1304" s="6" t="str">
        <f t="shared" si="162"/>
        <v>*0.94</v>
      </c>
      <c r="H1304" t="s">
        <v>2178</v>
      </c>
      <c r="I1304" s="5" t="s">
        <v>57</v>
      </c>
      <c r="J1304">
        <v>2050</v>
      </c>
      <c r="K1304" s="38" t="str">
        <f t="shared" si="163"/>
        <v>*0.92</v>
      </c>
      <c r="P1304" s="32" t="s">
        <v>2178</v>
      </c>
      <c r="Q1304" s="42" t="s">
        <v>57</v>
      </c>
      <c r="R1304" s="32">
        <v>2035</v>
      </c>
      <c r="S1304" s="43" t="str">
        <f t="shared" si="164"/>
        <v>*0.93</v>
      </c>
      <c r="U1304" s="32" t="s">
        <v>2178</v>
      </c>
      <c r="V1304" s="42" t="s">
        <v>57</v>
      </c>
      <c r="W1304" s="32">
        <v>2050</v>
      </c>
      <c r="X1304" s="43" t="str">
        <f t="shared" si="165"/>
        <v>*0.92</v>
      </c>
      <c r="AC1304" s="33" t="s">
        <v>2178</v>
      </c>
      <c r="AD1304" s="44" t="s">
        <v>57</v>
      </c>
      <c r="AE1304" s="33">
        <v>2035</v>
      </c>
      <c r="AF1304" s="45" t="str">
        <f t="shared" si="166"/>
        <v>*0.91</v>
      </c>
      <c r="AG1304" s="43" t="str">
        <f t="shared" si="168"/>
        <v>REZoning_Sol-Win</v>
      </c>
      <c r="AI1304" s="33" t="s">
        <v>2178</v>
      </c>
      <c r="AJ1304" s="44" t="s">
        <v>57</v>
      </c>
      <c r="AK1304" s="33">
        <v>2050</v>
      </c>
      <c r="AL1304" s="45" t="str">
        <f t="shared" si="167"/>
        <v>*0.87</v>
      </c>
      <c r="AM1304" s="43" t="str">
        <f t="shared" si="169"/>
        <v>REZoning_Sol-Win</v>
      </c>
      <c r="AP1304" t="s">
        <v>2178</v>
      </c>
      <c r="AQ1304" t="s">
        <v>57</v>
      </c>
      <c r="AR1304">
        <v>2100</v>
      </c>
      <c r="AS1304" t="s">
        <v>874</v>
      </c>
      <c r="AT1304" t="s">
        <v>58</v>
      </c>
    </row>
    <row r="1305" ht="29" spans="1:46">
      <c r="A1305" s="31" t="s">
        <v>169</v>
      </c>
      <c r="C1305" t="s">
        <v>2179</v>
      </c>
      <c r="D1305" s="5" t="s">
        <v>57</v>
      </c>
      <c r="E1305">
        <v>2035</v>
      </c>
      <c r="F1305" s="6" t="str">
        <f t="shared" si="162"/>
        <v>*0.94</v>
      </c>
      <c r="H1305" t="s">
        <v>2179</v>
      </c>
      <c r="I1305" s="5" t="s">
        <v>57</v>
      </c>
      <c r="J1305">
        <v>2050</v>
      </c>
      <c r="K1305" s="38" t="str">
        <f t="shared" si="163"/>
        <v>*0.92</v>
      </c>
      <c r="P1305" s="32" t="s">
        <v>2179</v>
      </c>
      <c r="Q1305" s="42" t="s">
        <v>57</v>
      </c>
      <c r="R1305" s="32">
        <v>2035</v>
      </c>
      <c r="S1305" s="43" t="str">
        <f t="shared" si="164"/>
        <v>*0.93</v>
      </c>
      <c r="U1305" s="32" t="s">
        <v>2179</v>
      </c>
      <c r="V1305" s="42" t="s">
        <v>57</v>
      </c>
      <c r="W1305" s="32">
        <v>2050</v>
      </c>
      <c r="X1305" s="43" t="str">
        <f t="shared" si="165"/>
        <v>*0.92</v>
      </c>
      <c r="AC1305" s="33" t="s">
        <v>2179</v>
      </c>
      <c r="AD1305" s="44" t="s">
        <v>57</v>
      </c>
      <c r="AE1305" s="33">
        <v>2035</v>
      </c>
      <c r="AF1305" s="45" t="str">
        <f t="shared" si="166"/>
        <v>*0.91</v>
      </c>
      <c r="AG1305" s="43" t="str">
        <f t="shared" si="168"/>
        <v>REZoning_Sol-Win</v>
      </c>
      <c r="AI1305" s="33" t="s">
        <v>2179</v>
      </c>
      <c r="AJ1305" s="44" t="s">
        <v>57</v>
      </c>
      <c r="AK1305" s="33">
        <v>2050</v>
      </c>
      <c r="AL1305" s="45" t="str">
        <f t="shared" si="167"/>
        <v>*0.87</v>
      </c>
      <c r="AM1305" s="43" t="str">
        <f t="shared" si="169"/>
        <v>REZoning_Sol-Win</v>
      </c>
      <c r="AP1305" t="s">
        <v>2179</v>
      </c>
      <c r="AQ1305" t="s">
        <v>57</v>
      </c>
      <c r="AR1305">
        <v>2100</v>
      </c>
      <c r="AS1305" t="s">
        <v>874</v>
      </c>
      <c r="AT1305" t="s">
        <v>58</v>
      </c>
    </row>
    <row r="1306" ht="29" spans="1:46">
      <c r="A1306" s="31" t="s">
        <v>169</v>
      </c>
      <c r="C1306" t="s">
        <v>2180</v>
      </c>
      <c r="D1306" s="5" t="s">
        <v>57</v>
      </c>
      <c r="E1306">
        <v>2035</v>
      </c>
      <c r="F1306" s="6" t="str">
        <f t="shared" si="162"/>
        <v>*0.94</v>
      </c>
      <c r="H1306" t="s">
        <v>2180</v>
      </c>
      <c r="I1306" s="5" t="s">
        <v>57</v>
      </c>
      <c r="J1306">
        <v>2050</v>
      </c>
      <c r="K1306" s="38" t="str">
        <f t="shared" si="163"/>
        <v>*0.92</v>
      </c>
      <c r="P1306" s="32" t="s">
        <v>2180</v>
      </c>
      <c r="Q1306" s="42" t="s">
        <v>57</v>
      </c>
      <c r="R1306" s="32">
        <v>2035</v>
      </c>
      <c r="S1306" s="43" t="str">
        <f t="shared" si="164"/>
        <v>*0.93</v>
      </c>
      <c r="U1306" s="32" t="s">
        <v>2180</v>
      </c>
      <c r="V1306" s="42" t="s">
        <v>57</v>
      </c>
      <c r="W1306" s="32">
        <v>2050</v>
      </c>
      <c r="X1306" s="43" t="str">
        <f t="shared" si="165"/>
        <v>*0.92</v>
      </c>
      <c r="AC1306" s="33" t="s">
        <v>2180</v>
      </c>
      <c r="AD1306" s="44" t="s">
        <v>57</v>
      </c>
      <c r="AE1306" s="33">
        <v>2035</v>
      </c>
      <c r="AF1306" s="45" t="str">
        <f t="shared" si="166"/>
        <v>*0.91</v>
      </c>
      <c r="AG1306" s="43" t="str">
        <f t="shared" si="168"/>
        <v>REZoning_Sol-Win</v>
      </c>
      <c r="AI1306" s="33" t="s">
        <v>2180</v>
      </c>
      <c r="AJ1306" s="44" t="s">
        <v>57</v>
      </c>
      <c r="AK1306" s="33">
        <v>2050</v>
      </c>
      <c r="AL1306" s="45" t="str">
        <f t="shared" si="167"/>
        <v>*0.87</v>
      </c>
      <c r="AM1306" s="43" t="str">
        <f t="shared" si="169"/>
        <v>REZoning_Sol-Win</v>
      </c>
      <c r="AP1306" t="s">
        <v>2180</v>
      </c>
      <c r="AQ1306" t="s">
        <v>57</v>
      </c>
      <c r="AR1306">
        <v>2100</v>
      </c>
      <c r="AS1306" t="s">
        <v>874</v>
      </c>
      <c r="AT1306" t="s">
        <v>58</v>
      </c>
    </row>
    <row r="1307" ht="29" spans="1:46">
      <c r="A1307" s="31" t="s">
        <v>169</v>
      </c>
      <c r="C1307" t="s">
        <v>2181</v>
      </c>
      <c r="D1307" s="5" t="s">
        <v>57</v>
      </c>
      <c r="E1307">
        <v>2035</v>
      </c>
      <c r="F1307" s="6" t="str">
        <f t="shared" si="162"/>
        <v>*0.94</v>
      </c>
      <c r="H1307" t="s">
        <v>2181</v>
      </c>
      <c r="I1307" s="5" t="s">
        <v>57</v>
      </c>
      <c r="J1307">
        <v>2050</v>
      </c>
      <c r="K1307" s="38" t="str">
        <f t="shared" si="163"/>
        <v>*0.92</v>
      </c>
      <c r="P1307" s="32" t="s">
        <v>2181</v>
      </c>
      <c r="Q1307" s="42" t="s">
        <v>57</v>
      </c>
      <c r="R1307" s="32">
        <v>2035</v>
      </c>
      <c r="S1307" s="43" t="str">
        <f t="shared" si="164"/>
        <v>*0.93</v>
      </c>
      <c r="U1307" s="32" t="s">
        <v>2181</v>
      </c>
      <c r="V1307" s="42" t="s">
        <v>57</v>
      </c>
      <c r="W1307" s="32">
        <v>2050</v>
      </c>
      <c r="X1307" s="43" t="str">
        <f t="shared" si="165"/>
        <v>*0.92</v>
      </c>
      <c r="AC1307" s="33" t="s">
        <v>2181</v>
      </c>
      <c r="AD1307" s="44" t="s">
        <v>57</v>
      </c>
      <c r="AE1307" s="33">
        <v>2035</v>
      </c>
      <c r="AF1307" s="45" t="str">
        <f t="shared" si="166"/>
        <v>*0.91</v>
      </c>
      <c r="AG1307" s="43" t="str">
        <f t="shared" si="168"/>
        <v>REZoning_Sol-Win</v>
      </c>
      <c r="AI1307" s="33" t="s">
        <v>2181</v>
      </c>
      <c r="AJ1307" s="44" t="s">
        <v>57</v>
      </c>
      <c r="AK1307" s="33">
        <v>2050</v>
      </c>
      <c r="AL1307" s="45" t="str">
        <f t="shared" si="167"/>
        <v>*0.87</v>
      </c>
      <c r="AM1307" s="43" t="str">
        <f t="shared" si="169"/>
        <v>REZoning_Sol-Win</v>
      </c>
      <c r="AP1307" t="s">
        <v>2181</v>
      </c>
      <c r="AQ1307" t="s">
        <v>57</v>
      </c>
      <c r="AR1307">
        <v>2100</v>
      </c>
      <c r="AS1307" t="s">
        <v>874</v>
      </c>
      <c r="AT1307" t="s">
        <v>58</v>
      </c>
    </row>
    <row r="1308" ht="29" spans="1:46">
      <c r="A1308" s="31" t="s">
        <v>169</v>
      </c>
      <c r="C1308" t="s">
        <v>2182</v>
      </c>
      <c r="D1308" s="5" t="s">
        <v>57</v>
      </c>
      <c r="E1308">
        <v>2035</v>
      </c>
      <c r="F1308" s="6" t="str">
        <f t="shared" si="162"/>
        <v>*0.94</v>
      </c>
      <c r="H1308" t="s">
        <v>2182</v>
      </c>
      <c r="I1308" s="5" t="s">
        <v>57</v>
      </c>
      <c r="J1308">
        <v>2050</v>
      </c>
      <c r="K1308" s="38" t="str">
        <f t="shared" si="163"/>
        <v>*0.92</v>
      </c>
      <c r="P1308" s="32" t="s">
        <v>2182</v>
      </c>
      <c r="Q1308" s="42" t="s">
        <v>57</v>
      </c>
      <c r="R1308" s="32">
        <v>2035</v>
      </c>
      <c r="S1308" s="43" t="str">
        <f t="shared" si="164"/>
        <v>*0.93</v>
      </c>
      <c r="U1308" s="32" t="s">
        <v>2182</v>
      </c>
      <c r="V1308" s="42" t="s">
        <v>57</v>
      </c>
      <c r="W1308" s="32">
        <v>2050</v>
      </c>
      <c r="X1308" s="43" t="str">
        <f t="shared" si="165"/>
        <v>*0.92</v>
      </c>
      <c r="AC1308" s="33" t="s">
        <v>2182</v>
      </c>
      <c r="AD1308" s="44" t="s">
        <v>57</v>
      </c>
      <c r="AE1308" s="33">
        <v>2035</v>
      </c>
      <c r="AF1308" s="45" t="str">
        <f t="shared" si="166"/>
        <v>*0.91</v>
      </c>
      <c r="AG1308" s="43" t="str">
        <f t="shared" si="168"/>
        <v>REZoning_Sol-Win</v>
      </c>
      <c r="AI1308" s="33" t="s">
        <v>2182</v>
      </c>
      <c r="AJ1308" s="44" t="s">
        <v>57</v>
      </c>
      <c r="AK1308" s="33">
        <v>2050</v>
      </c>
      <c r="AL1308" s="45" t="str">
        <f t="shared" si="167"/>
        <v>*0.87</v>
      </c>
      <c r="AM1308" s="43" t="str">
        <f t="shared" si="169"/>
        <v>REZoning_Sol-Win</v>
      </c>
      <c r="AP1308" t="s">
        <v>2182</v>
      </c>
      <c r="AQ1308" t="s">
        <v>57</v>
      </c>
      <c r="AR1308">
        <v>2100</v>
      </c>
      <c r="AS1308" t="s">
        <v>874</v>
      </c>
      <c r="AT1308" t="s">
        <v>58</v>
      </c>
    </row>
    <row r="1309" ht="29" spans="1:46">
      <c r="A1309" s="31" t="s">
        <v>169</v>
      </c>
      <c r="C1309" t="s">
        <v>2183</v>
      </c>
      <c r="D1309" s="5" t="s">
        <v>57</v>
      </c>
      <c r="E1309">
        <v>2035</v>
      </c>
      <c r="F1309" s="6" t="str">
        <f t="shared" si="162"/>
        <v>*0.94</v>
      </c>
      <c r="H1309" t="s">
        <v>2183</v>
      </c>
      <c r="I1309" s="5" t="s">
        <v>57</v>
      </c>
      <c r="J1309">
        <v>2050</v>
      </c>
      <c r="K1309" s="38" t="str">
        <f t="shared" si="163"/>
        <v>*0.92</v>
      </c>
      <c r="P1309" s="32" t="s">
        <v>2183</v>
      </c>
      <c r="Q1309" s="42" t="s">
        <v>57</v>
      </c>
      <c r="R1309" s="32">
        <v>2035</v>
      </c>
      <c r="S1309" s="43" t="str">
        <f t="shared" si="164"/>
        <v>*0.93</v>
      </c>
      <c r="U1309" s="32" t="s">
        <v>2183</v>
      </c>
      <c r="V1309" s="42" t="s">
        <v>57</v>
      </c>
      <c r="W1309" s="32">
        <v>2050</v>
      </c>
      <c r="X1309" s="43" t="str">
        <f t="shared" si="165"/>
        <v>*0.92</v>
      </c>
      <c r="AC1309" s="33" t="s">
        <v>2183</v>
      </c>
      <c r="AD1309" s="44" t="s">
        <v>57</v>
      </c>
      <c r="AE1309" s="33">
        <v>2035</v>
      </c>
      <c r="AF1309" s="45" t="str">
        <f t="shared" si="166"/>
        <v>*0.91</v>
      </c>
      <c r="AG1309" s="43" t="str">
        <f t="shared" si="168"/>
        <v>REZoning_Sol-Win</v>
      </c>
      <c r="AI1309" s="33" t="s">
        <v>2183</v>
      </c>
      <c r="AJ1309" s="44" t="s">
        <v>57</v>
      </c>
      <c r="AK1309" s="33">
        <v>2050</v>
      </c>
      <c r="AL1309" s="45" t="str">
        <f t="shared" si="167"/>
        <v>*0.87</v>
      </c>
      <c r="AM1309" s="43" t="str">
        <f t="shared" si="169"/>
        <v>REZoning_Sol-Win</v>
      </c>
      <c r="AP1309" t="s">
        <v>2183</v>
      </c>
      <c r="AQ1309" t="s">
        <v>57</v>
      </c>
      <c r="AR1309">
        <v>2100</v>
      </c>
      <c r="AS1309" t="s">
        <v>874</v>
      </c>
      <c r="AT1309" t="s">
        <v>58</v>
      </c>
    </row>
    <row r="1310" ht="29" spans="1:46">
      <c r="A1310" s="31" t="s">
        <v>169</v>
      </c>
      <c r="C1310" t="s">
        <v>2184</v>
      </c>
      <c r="D1310" s="5" t="s">
        <v>57</v>
      </c>
      <c r="E1310">
        <v>2035</v>
      </c>
      <c r="F1310" s="6" t="str">
        <f t="shared" si="162"/>
        <v>*0.94</v>
      </c>
      <c r="H1310" t="s">
        <v>2184</v>
      </c>
      <c r="I1310" s="5" t="s">
        <v>57</v>
      </c>
      <c r="J1310">
        <v>2050</v>
      </c>
      <c r="K1310" s="38" t="str">
        <f t="shared" si="163"/>
        <v>*0.92</v>
      </c>
      <c r="P1310" s="32" t="s">
        <v>2184</v>
      </c>
      <c r="Q1310" s="42" t="s">
        <v>57</v>
      </c>
      <c r="R1310" s="32">
        <v>2035</v>
      </c>
      <c r="S1310" s="43" t="str">
        <f t="shared" si="164"/>
        <v>*0.93</v>
      </c>
      <c r="U1310" s="32" t="s">
        <v>2184</v>
      </c>
      <c r="V1310" s="42" t="s">
        <v>57</v>
      </c>
      <c r="W1310" s="32">
        <v>2050</v>
      </c>
      <c r="X1310" s="43" t="str">
        <f t="shared" si="165"/>
        <v>*0.92</v>
      </c>
      <c r="AC1310" s="33" t="s">
        <v>2184</v>
      </c>
      <c r="AD1310" s="44" t="s">
        <v>57</v>
      </c>
      <c r="AE1310" s="33">
        <v>2035</v>
      </c>
      <c r="AF1310" s="45" t="str">
        <f t="shared" si="166"/>
        <v>*0.91</v>
      </c>
      <c r="AG1310" s="43" t="str">
        <f t="shared" si="168"/>
        <v>REZoning_Sol-Win</v>
      </c>
      <c r="AI1310" s="33" t="s">
        <v>2184</v>
      </c>
      <c r="AJ1310" s="44" t="s">
        <v>57</v>
      </c>
      <c r="AK1310" s="33">
        <v>2050</v>
      </c>
      <c r="AL1310" s="45" t="str">
        <f t="shared" si="167"/>
        <v>*0.87</v>
      </c>
      <c r="AM1310" s="43" t="str">
        <f t="shared" si="169"/>
        <v>REZoning_Sol-Win</v>
      </c>
      <c r="AP1310" t="s">
        <v>2184</v>
      </c>
      <c r="AQ1310" t="s">
        <v>57</v>
      </c>
      <c r="AR1310">
        <v>2100</v>
      </c>
      <c r="AS1310" t="s">
        <v>874</v>
      </c>
      <c r="AT1310" t="s">
        <v>58</v>
      </c>
    </row>
    <row r="1311" ht="29" spans="1:46">
      <c r="A1311" s="31" t="s">
        <v>494</v>
      </c>
      <c r="C1311" t="s">
        <v>2185</v>
      </c>
      <c r="D1311" s="5" t="s">
        <v>57</v>
      </c>
      <c r="E1311">
        <v>2035</v>
      </c>
      <c r="F1311" s="6" t="str">
        <f t="shared" si="162"/>
        <v>*0.94</v>
      </c>
      <c r="H1311" t="s">
        <v>2185</v>
      </c>
      <c r="I1311" s="5" t="s">
        <v>57</v>
      </c>
      <c r="J1311">
        <v>2050</v>
      </c>
      <c r="K1311" s="38" t="str">
        <f t="shared" si="163"/>
        <v>*0.92</v>
      </c>
      <c r="P1311" s="32" t="s">
        <v>2185</v>
      </c>
      <c r="Q1311" s="42" t="s">
        <v>57</v>
      </c>
      <c r="R1311" s="32">
        <v>2035</v>
      </c>
      <c r="S1311" s="43" t="str">
        <f t="shared" si="164"/>
        <v>*0.94</v>
      </c>
      <c r="U1311" s="32" t="s">
        <v>2185</v>
      </c>
      <c r="V1311" s="42" t="s">
        <v>57</v>
      </c>
      <c r="W1311" s="32">
        <v>2050</v>
      </c>
      <c r="X1311" s="43" t="str">
        <f t="shared" si="165"/>
        <v>*0.92</v>
      </c>
      <c r="AC1311" s="33" t="s">
        <v>2185</v>
      </c>
      <c r="AD1311" s="44" t="s">
        <v>57</v>
      </c>
      <c r="AE1311" s="33">
        <v>2035</v>
      </c>
      <c r="AF1311" s="45" t="str">
        <f t="shared" si="166"/>
        <v>*0.92</v>
      </c>
      <c r="AG1311" s="43" t="str">
        <f t="shared" si="168"/>
        <v>REZoning_Sol-Win</v>
      </c>
      <c r="AI1311" s="33" t="s">
        <v>2185</v>
      </c>
      <c r="AJ1311" s="44" t="s">
        <v>57</v>
      </c>
      <c r="AK1311" s="33">
        <v>2050</v>
      </c>
      <c r="AL1311" s="45" t="str">
        <f t="shared" si="167"/>
        <v>*0.89</v>
      </c>
      <c r="AM1311" s="43" t="str">
        <f t="shared" si="169"/>
        <v>REZoning_Sol-Win</v>
      </c>
      <c r="AP1311" t="s">
        <v>2185</v>
      </c>
      <c r="AQ1311" t="s">
        <v>57</v>
      </c>
      <c r="AR1311">
        <v>2100</v>
      </c>
      <c r="AS1311" t="s">
        <v>937</v>
      </c>
      <c r="AT1311" t="s">
        <v>58</v>
      </c>
    </row>
    <row r="1312" ht="29" spans="1:46">
      <c r="A1312" s="31" t="s">
        <v>494</v>
      </c>
      <c r="C1312" t="s">
        <v>2186</v>
      </c>
      <c r="D1312" s="5" t="s">
        <v>57</v>
      </c>
      <c r="E1312">
        <v>2035</v>
      </c>
      <c r="F1312" s="6" t="str">
        <f t="shared" si="162"/>
        <v>*0.94</v>
      </c>
      <c r="H1312" t="s">
        <v>2186</v>
      </c>
      <c r="I1312" s="5" t="s">
        <v>57</v>
      </c>
      <c r="J1312">
        <v>2050</v>
      </c>
      <c r="K1312" s="38" t="str">
        <f t="shared" si="163"/>
        <v>*0.92</v>
      </c>
      <c r="P1312" s="32" t="s">
        <v>2186</v>
      </c>
      <c r="Q1312" s="42" t="s">
        <v>57</v>
      </c>
      <c r="R1312" s="32">
        <v>2035</v>
      </c>
      <c r="S1312" s="43" t="str">
        <f t="shared" si="164"/>
        <v>*0.94</v>
      </c>
      <c r="U1312" s="32" t="s">
        <v>2186</v>
      </c>
      <c r="V1312" s="42" t="s">
        <v>57</v>
      </c>
      <c r="W1312" s="32">
        <v>2050</v>
      </c>
      <c r="X1312" s="43" t="str">
        <f t="shared" si="165"/>
        <v>*0.92</v>
      </c>
      <c r="AC1312" s="33" t="s">
        <v>2186</v>
      </c>
      <c r="AD1312" s="44" t="s">
        <v>57</v>
      </c>
      <c r="AE1312" s="33">
        <v>2035</v>
      </c>
      <c r="AF1312" s="45" t="str">
        <f t="shared" si="166"/>
        <v>*0.92</v>
      </c>
      <c r="AG1312" s="43" t="str">
        <f t="shared" si="168"/>
        <v>REZoning_Sol-Win</v>
      </c>
      <c r="AI1312" s="33" t="s">
        <v>2186</v>
      </c>
      <c r="AJ1312" s="44" t="s">
        <v>57</v>
      </c>
      <c r="AK1312" s="33">
        <v>2050</v>
      </c>
      <c r="AL1312" s="45" t="str">
        <f t="shared" si="167"/>
        <v>*0.89</v>
      </c>
      <c r="AM1312" s="43" t="str">
        <f t="shared" si="169"/>
        <v>REZoning_Sol-Win</v>
      </c>
      <c r="AP1312" t="s">
        <v>2186</v>
      </c>
      <c r="AQ1312" t="s">
        <v>57</v>
      </c>
      <c r="AR1312">
        <v>2100</v>
      </c>
      <c r="AS1312" t="s">
        <v>937</v>
      </c>
      <c r="AT1312" t="s">
        <v>58</v>
      </c>
    </row>
    <row r="1313" ht="29" spans="1:46">
      <c r="A1313" s="31" t="s">
        <v>494</v>
      </c>
      <c r="C1313" t="s">
        <v>2187</v>
      </c>
      <c r="D1313" s="5" t="s">
        <v>57</v>
      </c>
      <c r="E1313">
        <v>2035</v>
      </c>
      <c r="F1313" s="6" t="str">
        <f t="shared" si="162"/>
        <v>*0.94</v>
      </c>
      <c r="H1313" t="s">
        <v>2187</v>
      </c>
      <c r="I1313" s="5" t="s">
        <v>57</v>
      </c>
      <c r="J1313">
        <v>2050</v>
      </c>
      <c r="K1313" s="38" t="str">
        <f t="shared" si="163"/>
        <v>*0.92</v>
      </c>
      <c r="P1313" s="32" t="s">
        <v>2187</v>
      </c>
      <c r="Q1313" s="42" t="s">
        <v>57</v>
      </c>
      <c r="R1313" s="32">
        <v>2035</v>
      </c>
      <c r="S1313" s="43" t="str">
        <f t="shared" si="164"/>
        <v>*0.94</v>
      </c>
      <c r="U1313" s="32" t="s">
        <v>2187</v>
      </c>
      <c r="V1313" s="42" t="s">
        <v>57</v>
      </c>
      <c r="W1313" s="32">
        <v>2050</v>
      </c>
      <c r="X1313" s="43" t="str">
        <f t="shared" si="165"/>
        <v>*0.92</v>
      </c>
      <c r="AC1313" s="33" t="s">
        <v>2187</v>
      </c>
      <c r="AD1313" s="44" t="s">
        <v>57</v>
      </c>
      <c r="AE1313" s="33">
        <v>2035</v>
      </c>
      <c r="AF1313" s="45" t="str">
        <f t="shared" si="166"/>
        <v>*0.92</v>
      </c>
      <c r="AG1313" s="43" t="str">
        <f t="shared" si="168"/>
        <v>REZoning_Sol-Win</v>
      </c>
      <c r="AI1313" s="33" t="s">
        <v>2187</v>
      </c>
      <c r="AJ1313" s="44" t="s">
        <v>57</v>
      </c>
      <c r="AK1313" s="33">
        <v>2050</v>
      </c>
      <c r="AL1313" s="45" t="str">
        <f t="shared" si="167"/>
        <v>*0.89</v>
      </c>
      <c r="AM1313" s="43" t="str">
        <f t="shared" si="169"/>
        <v>REZoning_Sol-Win</v>
      </c>
      <c r="AP1313" t="s">
        <v>2187</v>
      </c>
      <c r="AQ1313" t="s">
        <v>57</v>
      </c>
      <c r="AR1313">
        <v>2100</v>
      </c>
      <c r="AS1313" t="s">
        <v>937</v>
      </c>
      <c r="AT1313" t="s">
        <v>58</v>
      </c>
    </row>
    <row r="1314" ht="29" spans="1:46">
      <c r="A1314" s="31" t="s">
        <v>494</v>
      </c>
      <c r="C1314" t="s">
        <v>2188</v>
      </c>
      <c r="D1314" s="5" t="s">
        <v>57</v>
      </c>
      <c r="E1314">
        <v>2035</v>
      </c>
      <c r="F1314" s="6" t="str">
        <f t="shared" si="162"/>
        <v>*0.94</v>
      </c>
      <c r="H1314" t="s">
        <v>2188</v>
      </c>
      <c r="I1314" s="5" t="s">
        <v>57</v>
      </c>
      <c r="J1314">
        <v>2050</v>
      </c>
      <c r="K1314" s="38" t="str">
        <f t="shared" si="163"/>
        <v>*0.92</v>
      </c>
      <c r="P1314" s="32" t="s">
        <v>2188</v>
      </c>
      <c r="Q1314" s="42" t="s">
        <v>57</v>
      </c>
      <c r="R1314" s="32">
        <v>2035</v>
      </c>
      <c r="S1314" s="43" t="str">
        <f t="shared" si="164"/>
        <v>*0.94</v>
      </c>
      <c r="U1314" s="32" t="s">
        <v>2188</v>
      </c>
      <c r="V1314" s="42" t="s">
        <v>57</v>
      </c>
      <c r="W1314" s="32">
        <v>2050</v>
      </c>
      <c r="X1314" s="43" t="str">
        <f t="shared" si="165"/>
        <v>*0.92</v>
      </c>
      <c r="AC1314" s="33" t="s">
        <v>2188</v>
      </c>
      <c r="AD1314" s="44" t="s">
        <v>57</v>
      </c>
      <c r="AE1314" s="33">
        <v>2035</v>
      </c>
      <c r="AF1314" s="45" t="str">
        <f t="shared" si="166"/>
        <v>*0.92</v>
      </c>
      <c r="AG1314" s="43" t="str">
        <f t="shared" si="168"/>
        <v>REZoning_Sol-Win</v>
      </c>
      <c r="AI1314" s="33" t="s">
        <v>2188</v>
      </c>
      <c r="AJ1314" s="44" t="s">
        <v>57</v>
      </c>
      <c r="AK1314" s="33">
        <v>2050</v>
      </c>
      <c r="AL1314" s="45" t="str">
        <f t="shared" si="167"/>
        <v>*0.89</v>
      </c>
      <c r="AM1314" s="43" t="str">
        <f t="shared" si="169"/>
        <v>REZoning_Sol-Win</v>
      </c>
      <c r="AP1314" t="s">
        <v>2188</v>
      </c>
      <c r="AQ1314" t="s">
        <v>57</v>
      </c>
      <c r="AR1314">
        <v>2100</v>
      </c>
      <c r="AS1314" t="s">
        <v>937</v>
      </c>
      <c r="AT1314" t="s">
        <v>58</v>
      </c>
    </row>
    <row r="1315" ht="29" spans="1:46">
      <c r="A1315" s="31" t="s">
        <v>494</v>
      </c>
      <c r="C1315" t="s">
        <v>2189</v>
      </c>
      <c r="D1315" s="5" t="s">
        <v>57</v>
      </c>
      <c r="E1315">
        <v>2035</v>
      </c>
      <c r="F1315" s="6" t="str">
        <f t="shared" si="162"/>
        <v>*0.94</v>
      </c>
      <c r="H1315" t="s">
        <v>2189</v>
      </c>
      <c r="I1315" s="5" t="s">
        <v>57</v>
      </c>
      <c r="J1315">
        <v>2050</v>
      </c>
      <c r="K1315" s="38" t="str">
        <f t="shared" si="163"/>
        <v>*0.92</v>
      </c>
      <c r="P1315" s="32" t="s">
        <v>2189</v>
      </c>
      <c r="Q1315" s="42" t="s">
        <v>57</v>
      </c>
      <c r="R1315" s="32">
        <v>2035</v>
      </c>
      <c r="S1315" s="43" t="str">
        <f t="shared" si="164"/>
        <v>*0.94</v>
      </c>
      <c r="U1315" s="32" t="s">
        <v>2189</v>
      </c>
      <c r="V1315" s="42" t="s">
        <v>57</v>
      </c>
      <c r="W1315" s="32">
        <v>2050</v>
      </c>
      <c r="X1315" s="43" t="str">
        <f t="shared" si="165"/>
        <v>*0.92</v>
      </c>
      <c r="AC1315" s="33" t="s">
        <v>2189</v>
      </c>
      <c r="AD1315" s="44" t="s">
        <v>57</v>
      </c>
      <c r="AE1315" s="33">
        <v>2035</v>
      </c>
      <c r="AF1315" s="45" t="str">
        <f t="shared" si="166"/>
        <v>*0.92</v>
      </c>
      <c r="AG1315" s="43" t="str">
        <f t="shared" si="168"/>
        <v>REZoning_Sol-Win</v>
      </c>
      <c r="AI1315" s="33" t="s">
        <v>2189</v>
      </c>
      <c r="AJ1315" s="44" t="s">
        <v>57</v>
      </c>
      <c r="AK1315" s="33">
        <v>2050</v>
      </c>
      <c r="AL1315" s="45" t="str">
        <f t="shared" si="167"/>
        <v>*0.89</v>
      </c>
      <c r="AM1315" s="43" t="str">
        <f t="shared" si="169"/>
        <v>REZoning_Sol-Win</v>
      </c>
      <c r="AP1315" t="s">
        <v>2189</v>
      </c>
      <c r="AQ1315" t="s">
        <v>57</v>
      </c>
      <c r="AR1315">
        <v>2100</v>
      </c>
      <c r="AS1315" t="s">
        <v>937</v>
      </c>
      <c r="AT1315" t="s">
        <v>58</v>
      </c>
    </row>
    <row r="1316" ht="29" spans="1:46">
      <c r="A1316" s="31" t="s">
        <v>494</v>
      </c>
      <c r="C1316" t="s">
        <v>2190</v>
      </c>
      <c r="D1316" s="5" t="s">
        <v>57</v>
      </c>
      <c r="E1316">
        <v>2035</v>
      </c>
      <c r="F1316" s="6" t="str">
        <f t="shared" si="162"/>
        <v>*0.94</v>
      </c>
      <c r="H1316" t="s">
        <v>2190</v>
      </c>
      <c r="I1316" s="5" t="s">
        <v>57</v>
      </c>
      <c r="J1316">
        <v>2050</v>
      </c>
      <c r="K1316" s="38" t="str">
        <f t="shared" si="163"/>
        <v>*0.92</v>
      </c>
      <c r="P1316" s="32" t="s">
        <v>2190</v>
      </c>
      <c r="Q1316" s="42" t="s">
        <v>57</v>
      </c>
      <c r="R1316" s="32">
        <v>2035</v>
      </c>
      <c r="S1316" s="43" t="str">
        <f t="shared" si="164"/>
        <v>*0.94</v>
      </c>
      <c r="U1316" s="32" t="s">
        <v>2190</v>
      </c>
      <c r="V1316" s="42" t="s">
        <v>57</v>
      </c>
      <c r="W1316" s="32">
        <v>2050</v>
      </c>
      <c r="X1316" s="43" t="str">
        <f t="shared" si="165"/>
        <v>*0.92</v>
      </c>
      <c r="AC1316" s="33" t="s">
        <v>2190</v>
      </c>
      <c r="AD1316" s="44" t="s">
        <v>57</v>
      </c>
      <c r="AE1316" s="33">
        <v>2035</v>
      </c>
      <c r="AF1316" s="45" t="str">
        <f t="shared" si="166"/>
        <v>*0.92</v>
      </c>
      <c r="AG1316" s="43" t="str">
        <f t="shared" si="168"/>
        <v>REZoning_Sol-Win</v>
      </c>
      <c r="AI1316" s="33" t="s">
        <v>2190</v>
      </c>
      <c r="AJ1316" s="44" t="s">
        <v>57</v>
      </c>
      <c r="AK1316" s="33">
        <v>2050</v>
      </c>
      <c r="AL1316" s="45" t="str">
        <f t="shared" si="167"/>
        <v>*0.89</v>
      </c>
      <c r="AM1316" s="43" t="str">
        <f t="shared" si="169"/>
        <v>REZoning_Sol-Win</v>
      </c>
      <c r="AP1316" t="s">
        <v>2190</v>
      </c>
      <c r="AQ1316" t="s">
        <v>57</v>
      </c>
      <c r="AR1316">
        <v>2100</v>
      </c>
      <c r="AS1316" t="s">
        <v>937</v>
      </c>
      <c r="AT1316" t="s">
        <v>58</v>
      </c>
    </row>
    <row r="1317" ht="29" spans="1:46">
      <c r="A1317" s="31" t="s">
        <v>494</v>
      </c>
      <c r="C1317" t="s">
        <v>2191</v>
      </c>
      <c r="D1317" s="5" t="s">
        <v>57</v>
      </c>
      <c r="E1317">
        <v>2035</v>
      </c>
      <c r="F1317" s="6" t="str">
        <f t="shared" si="162"/>
        <v>*0.94</v>
      </c>
      <c r="H1317" t="s">
        <v>2191</v>
      </c>
      <c r="I1317" s="5" t="s">
        <v>57</v>
      </c>
      <c r="J1317">
        <v>2050</v>
      </c>
      <c r="K1317" s="38" t="str">
        <f t="shared" si="163"/>
        <v>*0.92</v>
      </c>
      <c r="P1317" s="32" t="s">
        <v>2191</v>
      </c>
      <c r="Q1317" s="42" t="s">
        <v>57</v>
      </c>
      <c r="R1317" s="32">
        <v>2035</v>
      </c>
      <c r="S1317" s="43" t="str">
        <f t="shared" si="164"/>
        <v>*0.94</v>
      </c>
      <c r="U1317" s="32" t="s">
        <v>2191</v>
      </c>
      <c r="V1317" s="42" t="s">
        <v>57</v>
      </c>
      <c r="W1317" s="32">
        <v>2050</v>
      </c>
      <c r="X1317" s="43" t="str">
        <f t="shared" si="165"/>
        <v>*0.92</v>
      </c>
      <c r="AC1317" s="33" t="s">
        <v>2191</v>
      </c>
      <c r="AD1317" s="44" t="s">
        <v>57</v>
      </c>
      <c r="AE1317" s="33">
        <v>2035</v>
      </c>
      <c r="AF1317" s="45" t="str">
        <f t="shared" si="166"/>
        <v>*0.92</v>
      </c>
      <c r="AG1317" s="43" t="str">
        <f t="shared" si="168"/>
        <v>REZoning_Sol-Win</v>
      </c>
      <c r="AI1317" s="33" t="s">
        <v>2191</v>
      </c>
      <c r="AJ1317" s="44" t="s">
        <v>57</v>
      </c>
      <c r="AK1317" s="33">
        <v>2050</v>
      </c>
      <c r="AL1317" s="45" t="str">
        <f t="shared" si="167"/>
        <v>*0.89</v>
      </c>
      <c r="AM1317" s="43" t="str">
        <f t="shared" si="169"/>
        <v>REZoning_Sol-Win</v>
      </c>
      <c r="AP1317" t="s">
        <v>2191</v>
      </c>
      <c r="AQ1317" t="s">
        <v>57</v>
      </c>
      <c r="AR1317">
        <v>2100</v>
      </c>
      <c r="AS1317" t="s">
        <v>937</v>
      </c>
      <c r="AT1317" t="s">
        <v>58</v>
      </c>
    </row>
    <row r="1318" ht="29" spans="1:46">
      <c r="A1318" s="31" t="s">
        <v>494</v>
      </c>
      <c r="C1318" t="s">
        <v>2192</v>
      </c>
      <c r="D1318" s="5" t="s">
        <v>57</v>
      </c>
      <c r="E1318">
        <v>2035</v>
      </c>
      <c r="F1318" s="6" t="str">
        <f t="shared" si="162"/>
        <v>*0.94</v>
      </c>
      <c r="H1318" t="s">
        <v>2192</v>
      </c>
      <c r="I1318" s="5" t="s">
        <v>57</v>
      </c>
      <c r="J1318">
        <v>2050</v>
      </c>
      <c r="K1318" s="38" t="str">
        <f t="shared" si="163"/>
        <v>*0.92</v>
      </c>
      <c r="P1318" s="32" t="s">
        <v>2192</v>
      </c>
      <c r="Q1318" s="42" t="s">
        <v>57</v>
      </c>
      <c r="R1318" s="32">
        <v>2035</v>
      </c>
      <c r="S1318" s="43" t="str">
        <f t="shared" si="164"/>
        <v>*0.94</v>
      </c>
      <c r="U1318" s="32" t="s">
        <v>2192</v>
      </c>
      <c r="V1318" s="42" t="s">
        <v>57</v>
      </c>
      <c r="W1318" s="32">
        <v>2050</v>
      </c>
      <c r="X1318" s="43" t="str">
        <f t="shared" si="165"/>
        <v>*0.92</v>
      </c>
      <c r="AC1318" s="33" t="s">
        <v>2192</v>
      </c>
      <c r="AD1318" s="44" t="s">
        <v>57</v>
      </c>
      <c r="AE1318" s="33">
        <v>2035</v>
      </c>
      <c r="AF1318" s="45" t="str">
        <f t="shared" si="166"/>
        <v>*0.92</v>
      </c>
      <c r="AG1318" s="43" t="str">
        <f t="shared" si="168"/>
        <v>REZoning_Sol-Win</v>
      </c>
      <c r="AI1318" s="33" t="s">
        <v>2192</v>
      </c>
      <c r="AJ1318" s="44" t="s">
        <v>57</v>
      </c>
      <c r="AK1318" s="33">
        <v>2050</v>
      </c>
      <c r="AL1318" s="45" t="str">
        <f t="shared" si="167"/>
        <v>*0.89</v>
      </c>
      <c r="AM1318" s="43" t="str">
        <f t="shared" si="169"/>
        <v>REZoning_Sol-Win</v>
      </c>
      <c r="AP1318" t="s">
        <v>2192</v>
      </c>
      <c r="AQ1318" t="s">
        <v>57</v>
      </c>
      <c r="AR1318">
        <v>2100</v>
      </c>
      <c r="AS1318" t="s">
        <v>937</v>
      </c>
      <c r="AT1318" t="s">
        <v>58</v>
      </c>
    </row>
    <row r="1319" ht="29" spans="1:46">
      <c r="A1319" s="31" t="s">
        <v>494</v>
      </c>
      <c r="C1319" t="s">
        <v>2193</v>
      </c>
      <c r="D1319" s="5" t="s">
        <v>57</v>
      </c>
      <c r="E1319">
        <v>2035</v>
      </c>
      <c r="F1319" s="6" t="str">
        <f t="shared" si="162"/>
        <v>*0.94</v>
      </c>
      <c r="H1319" t="s">
        <v>2193</v>
      </c>
      <c r="I1319" s="5" t="s">
        <v>57</v>
      </c>
      <c r="J1319">
        <v>2050</v>
      </c>
      <c r="K1319" s="38" t="str">
        <f t="shared" si="163"/>
        <v>*0.92</v>
      </c>
      <c r="P1319" s="32" t="s">
        <v>2193</v>
      </c>
      <c r="Q1319" s="42" t="s">
        <v>57</v>
      </c>
      <c r="R1319" s="32">
        <v>2035</v>
      </c>
      <c r="S1319" s="43" t="str">
        <f t="shared" si="164"/>
        <v>*0.94</v>
      </c>
      <c r="U1319" s="32" t="s">
        <v>2193</v>
      </c>
      <c r="V1319" s="42" t="s">
        <v>57</v>
      </c>
      <c r="W1319" s="32">
        <v>2050</v>
      </c>
      <c r="X1319" s="43" t="str">
        <f t="shared" si="165"/>
        <v>*0.92</v>
      </c>
      <c r="AC1319" s="33" t="s">
        <v>2193</v>
      </c>
      <c r="AD1319" s="44" t="s">
        <v>57</v>
      </c>
      <c r="AE1319" s="33">
        <v>2035</v>
      </c>
      <c r="AF1319" s="45" t="str">
        <f t="shared" si="166"/>
        <v>*0.92</v>
      </c>
      <c r="AG1319" s="43" t="str">
        <f t="shared" si="168"/>
        <v>REZoning_Sol-Win</v>
      </c>
      <c r="AI1319" s="33" t="s">
        <v>2193</v>
      </c>
      <c r="AJ1319" s="44" t="s">
        <v>57</v>
      </c>
      <c r="AK1319" s="33">
        <v>2050</v>
      </c>
      <c r="AL1319" s="45" t="str">
        <f t="shared" si="167"/>
        <v>*0.89</v>
      </c>
      <c r="AM1319" s="43" t="str">
        <f t="shared" si="169"/>
        <v>REZoning_Sol-Win</v>
      </c>
      <c r="AP1319" t="s">
        <v>2193</v>
      </c>
      <c r="AQ1319" t="s">
        <v>57</v>
      </c>
      <c r="AR1319">
        <v>2100</v>
      </c>
      <c r="AS1319" t="s">
        <v>937</v>
      </c>
      <c r="AT1319" t="s">
        <v>58</v>
      </c>
    </row>
    <row r="1320" ht="29" spans="1:46">
      <c r="A1320" s="31" t="s">
        <v>494</v>
      </c>
      <c r="C1320" t="s">
        <v>2194</v>
      </c>
      <c r="D1320" s="5" t="s">
        <v>57</v>
      </c>
      <c r="E1320">
        <v>2035</v>
      </c>
      <c r="F1320" s="6" t="str">
        <f t="shared" si="162"/>
        <v>*0.94</v>
      </c>
      <c r="H1320" t="s">
        <v>2194</v>
      </c>
      <c r="I1320" s="5" t="s">
        <v>57</v>
      </c>
      <c r="J1320">
        <v>2050</v>
      </c>
      <c r="K1320" s="38" t="str">
        <f t="shared" si="163"/>
        <v>*0.92</v>
      </c>
      <c r="P1320" s="32" t="s">
        <v>2194</v>
      </c>
      <c r="Q1320" s="42" t="s">
        <v>57</v>
      </c>
      <c r="R1320" s="32">
        <v>2035</v>
      </c>
      <c r="S1320" s="43" t="str">
        <f t="shared" si="164"/>
        <v>*0.94</v>
      </c>
      <c r="U1320" s="32" t="s">
        <v>2194</v>
      </c>
      <c r="V1320" s="42" t="s">
        <v>57</v>
      </c>
      <c r="W1320" s="32">
        <v>2050</v>
      </c>
      <c r="X1320" s="43" t="str">
        <f t="shared" si="165"/>
        <v>*0.92</v>
      </c>
      <c r="AC1320" s="33" t="s">
        <v>2194</v>
      </c>
      <c r="AD1320" s="44" t="s">
        <v>57</v>
      </c>
      <c r="AE1320" s="33">
        <v>2035</v>
      </c>
      <c r="AF1320" s="45" t="str">
        <f t="shared" si="166"/>
        <v>*0.92</v>
      </c>
      <c r="AG1320" s="43" t="str">
        <f t="shared" si="168"/>
        <v>REZoning_Sol-Win</v>
      </c>
      <c r="AI1320" s="33" t="s">
        <v>2194</v>
      </c>
      <c r="AJ1320" s="44" t="s">
        <v>57</v>
      </c>
      <c r="AK1320" s="33">
        <v>2050</v>
      </c>
      <c r="AL1320" s="45" t="str">
        <f t="shared" si="167"/>
        <v>*0.89</v>
      </c>
      <c r="AM1320" s="43" t="str">
        <f t="shared" si="169"/>
        <v>REZoning_Sol-Win</v>
      </c>
      <c r="AP1320" t="s">
        <v>2194</v>
      </c>
      <c r="AQ1320" t="s">
        <v>57</v>
      </c>
      <c r="AR1320">
        <v>2100</v>
      </c>
      <c r="AS1320" t="s">
        <v>937</v>
      </c>
      <c r="AT1320" t="s">
        <v>58</v>
      </c>
    </row>
    <row r="1321" ht="29" spans="1:46">
      <c r="A1321" s="31" t="s">
        <v>494</v>
      </c>
      <c r="C1321" t="s">
        <v>2195</v>
      </c>
      <c r="D1321" s="5" t="s">
        <v>57</v>
      </c>
      <c r="E1321">
        <v>2035</v>
      </c>
      <c r="F1321" s="6" t="str">
        <f t="shared" si="162"/>
        <v>*0.94</v>
      </c>
      <c r="H1321" t="s">
        <v>2195</v>
      </c>
      <c r="I1321" s="5" t="s">
        <v>57</v>
      </c>
      <c r="J1321">
        <v>2050</v>
      </c>
      <c r="K1321" s="38" t="str">
        <f t="shared" si="163"/>
        <v>*0.92</v>
      </c>
      <c r="P1321" s="32" t="s">
        <v>2195</v>
      </c>
      <c r="Q1321" s="42" t="s">
        <v>57</v>
      </c>
      <c r="R1321" s="32">
        <v>2035</v>
      </c>
      <c r="S1321" s="43" t="str">
        <f t="shared" si="164"/>
        <v>*0.94</v>
      </c>
      <c r="U1321" s="32" t="s">
        <v>2195</v>
      </c>
      <c r="V1321" s="42" t="s">
        <v>57</v>
      </c>
      <c r="W1321" s="32">
        <v>2050</v>
      </c>
      <c r="X1321" s="43" t="str">
        <f t="shared" si="165"/>
        <v>*0.92</v>
      </c>
      <c r="AC1321" s="33" t="s">
        <v>2195</v>
      </c>
      <c r="AD1321" s="44" t="s">
        <v>57</v>
      </c>
      <c r="AE1321" s="33">
        <v>2035</v>
      </c>
      <c r="AF1321" s="45" t="str">
        <f t="shared" si="166"/>
        <v>*0.92</v>
      </c>
      <c r="AG1321" s="43" t="str">
        <f t="shared" si="168"/>
        <v>REZoning_Sol-Win</v>
      </c>
      <c r="AI1321" s="33" t="s">
        <v>2195</v>
      </c>
      <c r="AJ1321" s="44" t="s">
        <v>57</v>
      </c>
      <c r="AK1321" s="33">
        <v>2050</v>
      </c>
      <c r="AL1321" s="45" t="str">
        <f t="shared" si="167"/>
        <v>*0.89</v>
      </c>
      <c r="AM1321" s="43" t="str">
        <f t="shared" si="169"/>
        <v>REZoning_Sol-Win</v>
      </c>
      <c r="AP1321" t="s">
        <v>2195</v>
      </c>
      <c r="AQ1321" t="s">
        <v>57</v>
      </c>
      <c r="AR1321">
        <v>2100</v>
      </c>
      <c r="AS1321" t="s">
        <v>937</v>
      </c>
      <c r="AT1321" t="s">
        <v>58</v>
      </c>
    </row>
    <row r="1322" ht="29" spans="1:46">
      <c r="A1322" s="31" t="s">
        <v>494</v>
      </c>
      <c r="C1322" t="s">
        <v>2196</v>
      </c>
      <c r="D1322" s="5" t="s">
        <v>57</v>
      </c>
      <c r="E1322">
        <v>2035</v>
      </c>
      <c r="F1322" s="6" t="str">
        <f t="shared" si="162"/>
        <v>*0.94</v>
      </c>
      <c r="H1322" t="s">
        <v>2196</v>
      </c>
      <c r="I1322" s="5" t="s">
        <v>57</v>
      </c>
      <c r="J1322">
        <v>2050</v>
      </c>
      <c r="K1322" s="38" t="str">
        <f t="shared" si="163"/>
        <v>*0.92</v>
      </c>
      <c r="P1322" s="32" t="s">
        <v>2196</v>
      </c>
      <c r="Q1322" s="42" t="s">
        <v>57</v>
      </c>
      <c r="R1322" s="32">
        <v>2035</v>
      </c>
      <c r="S1322" s="43" t="str">
        <f t="shared" si="164"/>
        <v>*0.94</v>
      </c>
      <c r="U1322" s="32" t="s">
        <v>2196</v>
      </c>
      <c r="V1322" s="42" t="s">
        <v>57</v>
      </c>
      <c r="W1322" s="32">
        <v>2050</v>
      </c>
      <c r="X1322" s="43" t="str">
        <f t="shared" si="165"/>
        <v>*0.92</v>
      </c>
      <c r="AC1322" s="33" t="s">
        <v>2196</v>
      </c>
      <c r="AD1322" s="44" t="s">
        <v>57</v>
      </c>
      <c r="AE1322" s="33">
        <v>2035</v>
      </c>
      <c r="AF1322" s="45" t="str">
        <f t="shared" si="166"/>
        <v>*0.92</v>
      </c>
      <c r="AG1322" s="43" t="str">
        <f t="shared" si="168"/>
        <v>REZoning_Sol-Win</v>
      </c>
      <c r="AI1322" s="33" t="s">
        <v>2196</v>
      </c>
      <c r="AJ1322" s="44" t="s">
        <v>57</v>
      </c>
      <c r="AK1322" s="33">
        <v>2050</v>
      </c>
      <c r="AL1322" s="45" t="str">
        <f t="shared" si="167"/>
        <v>*0.89</v>
      </c>
      <c r="AM1322" s="43" t="str">
        <f t="shared" si="169"/>
        <v>REZoning_Sol-Win</v>
      </c>
      <c r="AP1322" t="s">
        <v>2196</v>
      </c>
      <c r="AQ1322" t="s">
        <v>57</v>
      </c>
      <c r="AR1322">
        <v>2100</v>
      </c>
      <c r="AS1322" t="s">
        <v>937</v>
      </c>
      <c r="AT1322" t="s">
        <v>58</v>
      </c>
    </row>
    <row r="1323" ht="29" spans="1:46">
      <c r="A1323" s="31" t="s">
        <v>494</v>
      </c>
      <c r="C1323" t="s">
        <v>2197</v>
      </c>
      <c r="D1323" s="5" t="s">
        <v>57</v>
      </c>
      <c r="E1323">
        <v>2035</v>
      </c>
      <c r="F1323" s="6" t="str">
        <f t="shared" si="162"/>
        <v>*0.94</v>
      </c>
      <c r="H1323" t="s">
        <v>2197</v>
      </c>
      <c r="I1323" s="5" t="s">
        <v>57</v>
      </c>
      <c r="J1323">
        <v>2050</v>
      </c>
      <c r="K1323" s="38" t="str">
        <f t="shared" si="163"/>
        <v>*0.92</v>
      </c>
      <c r="P1323" s="32" t="s">
        <v>2197</v>
      </c>
      <c r="Q1323" s="42" t="s">
        <v>57</v>
      </c>
      <c r="R1323" s="32">
        <v>2035</v>
      </c>
      <c r="S1323" s="43" t="str">
        <f t="shared" si="164"/>
        <v>*0.94</v>
      </c>
      <c r="U1323" s="32" t="s">
        <v>2197</v>
      </c>
      <c r="V1323" s="42" t="s">
        <v>57</v>
      </c>
      <c r="W1323" s="32">
        <v>2050</v>
      </c>
      <c r="X1323" s="43" t="str">
        <f t="shared" si="165"/>
        <v>*0.92</v>
      </c>
      <c r="AC1323" s="33" t="s">
        <v>2197</v>
      </c>
      <c r="AD1323" s="44" t="s">
        <v>57</v>
      </c>
      <c r="AE1323" s="33">
        <v>2035</v>
      </c>
      <c r="AF1323" s="45" t="str">
        <f t="shared" si="166"/>
        <v>*0.92</v>
      </c>
      <c r="AG1323" s="43" t="str">
        <f t="shared" si="168"/>
        <v>REZoning_Sol-Win</v>
      </c>
      <c r="AI1323" s="33" t="s">
        <v>2197</v>
      </c>
      <c r="AJ1323" s="44" t="s">
        <v>57</v>
      </c>
      <c r="AK1323" s="33">
        <v>2050</v>
      </c>
      <c r="AL1323" s="45" t="str">
        <f t="shared" si="167"/>
        <v>*0.89</v>
      </c>
      <c r="AM1323" s="43" t="str">
        <f t="shared" si="169"/>
        <v>REZoning_Sol-Win</v>
      </c>
      <c r="AP1323" t="s">
        <v>2197</v>
      </c>
      <c r="AQ1323" t="s">
        <v>57</v>
      </c>
      <c r="AR1323">
        <v>2100</v>
      </c>
      <c r="AS1323" t="s">
        <v>937</v>
      </c>
      <c r="AT1323" t="s">
        <v>58</v>
      </c>
    </row>
    <row r="1324" ht="29" spans="1:46">
      <c r="A1324" s="31" t="s">
        <v>494</v>
      </c>
      <c r="C1324" t="s">
        <v>2198</v>
      </c>
      <c r="D1324" s="5" t="s">
        <v>57</v>
      </c>
      <c r="E1324">
        <v>2035</v>
      </c>
      <c r="F1324" s="6" t="str">
        <f t="shared" si="162"/>
        <v>*0.94</v>
      </c>
      <c r="H1324" t="s">
        <v>2198</v>
      </c>
      <c r="I1324" s="5" t="s">
        <v>57</v>
      </c>
      <c r="J1324">
        <v>2050</v>
      </c>
      <c r="K1324" s="38" t="str">
        <f t="shared" si="163"/>
        <v>*0.92</v>
      </c>
      <c r="P1324" s="32" t="s">
        <v>2198</v>
      </c>
      <c r="Q1324" s="42" t="s">
        <v>57</v>
      </c>
      <c r="R1324" s="32">
        <v>2035</v>
      </c>
      <c r="S1324" s="43" t="str">
        <f t="shared" si="164"/>
        <v>*0.94</v>
      </c>
      <c r="U1324" s="32" t="s">
        <v>2198</v>
      </c>
      <c r="V1324" s="42" t="s">
        <v>57</v>
      </c>
      <c r="W1324" s="32">
        <v>2050</v>
      </c>
      <c r="X1324" s="43" t="str">
        <f t="shared" si="165"/>
        <v>*0.92</v>
      </c>
      <c r="AC1324" s="33" t="s">
        <v>2198</v>
      </c>
      <c r="AD1324" s="44" t="s">
        <v>57</v>
      </c>
      <c r="AE1324" s="33">
        <v>2035</v>
      </c>
      <c r="AF1324" s="45" t="str">
        <f t="shared" si="166"/>
        <v>*0.92</v>
      </c>
      <c r="AG1324" s="43" t="str">
        <f t="shared" si="168"/>
        <v>REZoning_Sol-Win</v>
      </c>
      <c r="AI1324" s="33" t="s">
        <v>2198</v>
      </c>
      <c r="AJ1324" s="44" t="s">
        <v>57</v>
      </c>
      <c r="AK1324" s="33">
        <v>2050</v>
      </c>
      <c r="AL1324" s="45" t="str">
        <f t="shared" si="167"/>
        <v>*0.89</v>
      </c>
      <c r="AM1324" s="43" t="str">
        <f t="shared" si="169"/>
        <v>REZoning_Sol-Win</v>
      </c>
      <c r="AP1324" t="s">
        <v>2198</v>
      </c>
      <c r="AQ1324" t="s">
        <v>57</v>
      </c>
      <c r="AR1324">
        <v>2100</v>
      </c>
      <c r="AS1324" t="s">
        <v>937</v>
      </c>
      <c r="AT1324" t="s">
        <v>58</v>
      </c>
    </row>
    <row r="1325" ht="29" spans="1:46">
      <c r="A1325" s="31" t="s">
        <v>494</v>
      </c>
      <c r="C1325" t="s">
        <v>2199</v>
      </c>
      <c r="D1325" s="5" t="s">
        <v>57</v>
      </c>
      <c r="E1325">
        <v>2035</v>
      </c>
      <c r="F1325" s="6" t="str">
        <f t="shared" si="162"/>
        <v>*0.94</v>
      </c>
      <c r="H1325" t="s">
        <v>2199</v>
      </c>
      <c r="I1325" s="5" t="s">
        <v>57</v>
      </c>
      <c r="J1325">
        <v>2050</v>
      </c>
      <c r="K1325" s="38" t="str">
        <f t="shared" si="163"/>
        <v>*0.92</v>
      </c>
      <c r="P1325" s="32" t="s">
        <v>2199</v>
      </c>
      <c r="Q1325" s="42" t="s">
        <v>57</v>
      </c>
      <c r="R1325" s="32">
        <v>2035</v>
      </c>
      <c r="S1325" s="43" t="str">
        <f t="shared" si="164"/>
        <v>*0.94</v>
      </c>
      <c r="U1325" s="32" t="s">
        <v>2199</v>
      </c>
      <c r="V1325" s="42" t="s">
        <v>57</v>
      </c>
      <c r="W1325" s="32">
        <v>2050</v>
      </c>
      <c r="X1325" s="43" t="str">
        <f t="shared" si="165"/>
        <v>*0.92</v>
      </c>
      <c r="AC1325" s="33" t="s">
        <v>2199</v>
      </c>
      <c r="AD1325" s="44" t="s">
        <v>57</v>
      </c>
      <c r="AE1325" s="33">
        <v>2035</v>
      </c>
      <c r="AF1325" s="45" t="str">
        <f t="shared" si="166"/>
        <v>*0.92</v>
      </c>
      <c r="AG1325" s="43" t="str">
        <f t="shared" si="168"/>
        <v>REZoning_Sol-Win</v>
      </c>
      <c r="AI1325" s="33" t="s">
        <v>2199</v>
      </c>
      <c r="AJ1325" s="44" t="s">
        <v>57</v>
      </c>
      <c r="AK1325" s="33">
        <v>2050</v>
      </c>
      <c r="AL1325" s="45" t="str">
        <f t="shared" si="167"/>
        <v>*0.89</v>
      </c>
      <c r="AM1325" s="43" t="str">
        <f t="shared" si="169"/>
        <v>REZoning_Sol-Win</v>
      </c>
      <c r="AP1325" t="s">
        <v>2199</v>
      </c>
      <c r="AQ1325" t="s">
        <v>57</v>
      </c>
      <c r="AR1325">
        <v>2100</v>
      </c>
      <c r="AS1325" t="s">
        <v>937</v>
      </c>
      <c r="AT1325" t="s">
        <v>58</v>
      </c>
    </row>
    <row r="1326" ht="29" spans="1:46">
      <c r="A1326" s="31" t="s">
        <v>494</v>
      </c>
      <c r="C1326" t="s">
        <v>2200</v>
      </c>
      <c r="D1326" s="5" t="s">
        <v>57</v>
      </c>
      <c r="E1326">
        <v>2035</v>
      </c>
      <c r="F1326" s="6" t="str">
        <f t="shared" si="162"/>
        <v>*0.94</v>
      </c>
      <c r="H1326" t="s">
        <v>2200</v>
      </c>
      <c r="I1326" s="5" t="s">
        <v>57</v>
      </c>
      <c r="J1326">
        <v>2050</v>
      </c>
      <c r="K1326" s="38" t="str">
        <f t="shared" si="163"/>
        <v>*0.92</v>
      </c>
      <c r="P1326" s="32" t="s">
        <v>2200</v>
      </c>
      <c r="Q1326" s="42" t="s">
        <v>57</v>
      </c>
      <c r="R1326" s="32">
        <v>2035</v>
      </c>
      <c r="S1326" s="43" t="str">
        <f t="shared" si="164"/>
        <v>*0.94</v>
      </c>
      <c r="U1326" s="32" t="s">
        <v>2200</v>
      </c>
      <c r="V1326" s="42" t="s">
        <v>57</v>
      </c>
      <c r="W1326" s="32">
        <v>2050</v>
      </c>
      <c r="X1326" s="43" t="str">
        <f t="shared" si="165"/>
        <v>*0.92</v>
      </c>
      <c r="AC1326" s="33" t="s">
        <v>2200</v>
      </c>
      <c r="AD1326" s="44" t="s">
        <v>57</v>
      </c>
      <c r="AE1326" s="33">
        <v>2035</v>
      </c>
      <c r="AF1326" s="45" t="str">
        <f t="shared" si="166"/>
        <v>*0.92</v>
      </c>
      <c r="AG1326" s="43" t="str">
        <f t="shared" si="168"/>
        <v>REZoning_Sol-Win</v>
      </c>
      <c r="AI1326" s="33" t="s">
        <v>2200</v>
      </c>
      <c r="AJ1326" s="44" t="s">
        <v>57</v>
      </c>
      <c r="AK1326" s="33">
        <v>2050</v>
      </c>
      <c r="AL1326" s="45" t="str">
        <f t="shared" si="167"/>
        <v>*0.89</v>
      </c>
      <c r="AM1326" s="43" t="str">
        <f t="shared" si="169"/>
        <v>REZoning_Sol-Win</v>
      </c>
      <c r="AP1326" t="s">
        <v>2200</v>
      </c>
      <c r="AQ1326" t="s">
        <v>57</v>
      </c>
      <c r="AR1326">
        <v>2100</v>
      </c>
      <c r="AS1326" t="s">
        <v>937</v>
      </c>
      <c r="AT1326" t="s">
        <v>58</v>
      </c>
    </row>
    <row r="1327" ht="29" spans="1:46">
      <c r="A1327" s="31" t="s">
        <v>494</v>
      </c>
      <c r="C1327" t="s">
        <v>2201</v>
      </c>
      <c r="D1327" s="5" t="s">
        <v>57</v>
      </c>
      <c r="E1327">
        <v>2035</v>
      </c>
      <c r="F1327" s="6" t="str">
        <f t="shared" si="162"/>
        <v>*0.94</v>
      </c>
      <c r="H1327" t="s">
        <v>2201</v>
      </c>
      <c r="I1327" s="5" t="s">
        <v>57</v>
      </c>
      <c r="J1327">
        <v>2050</v>
      </c>
      <c r="K1327" s="38" t="str">
        <f t="shared" si="163"/>
        <v>*0.92</v>
      </c>
      <c r="P1327" s="32" t="s">
        <v>2201</v>
      </c>
      <c r="Q1327" s="42" t="s">
        <v>57</v>
      </c>
      <c r="R1327" s="32">
        <v>2035</v>
      </c>
      <c r="S1327" s="43" t="str">
        <f t="shared" si="164"/>
        <v>*0.94</v>
      </c>
      <c r="U1327" s="32" t="s">
        <v>2201</v>
      </c>
      <c r="V1327" s="42" t="s">
        <v>57</v>
      </c>
      <c r="W1327" s="32">
        <v>2050</v>
      </c>
      <c r="X1327" s="43" t="str">
        <f t="shared" si="165"/>
        <v>*0.92</v>
      </c>
      <c r="AC1327" s="33" t="s">
        <v>2201</v>
      </c>
      <c r="AD1327" s="44" t="s">
        <v>57</v>
      </c>
      <c r="AE1327" s="33">
        <v>2035</v>
      </c>
      <c r="AF1327" s="45" t="str">
        <f t="shared" si="166"/>
        <v>*0.92</v>
      </c>
      <c r="AG1327" s="43" t="str">
        <f t="shared" si="168"/>
        <v>REZoning_Sol-Win</v>
      </c>
      <c r="AI1327" s="33" t="s">
        <v>2201</v>
      </c>
      <c r="AJ1327" s="44" t="s">
        <v>57</v>
      </c>
      <c r="AK1327" s="33">
        <v>2050</v>
      </c>
      <c r="AL1327" s="45" t="str">
        <f t="shared" si="167"/>
        <v>*0.89</v>
      </c>
      <c r="AM1327" s="43" t="str">
        <f t="shared" si="169"/>
        <v>REZoning_Sol-Win</v>
      </c>
      <c r="AP1327" t="s">
        <v>2201</v>
      </c>
      <c r="AQ1327" t="s">
        <v>57</v>
      </c>
      <c r="AR1327">
        <v>2100</v>
      </c>
      <c r="AS1327" t="s">
        <v>937</v>
      </c>
      <c r="AT1327" t="s">
        <v>58</v>
      </c>
    </row>
    <row r="1328" ht="29" spans="1:46">
      <c r="A1328" s="31" t="s">
        <v>494</v>
      </c>
      <c r="C1328" t="s">
        <v>2202</v>
      </c>
      <c r="D1328" s="5" t="s">
        <v>57</v>
      </c>
      <c r="E1328">
        <v>2035</v>
      </c>
      <c r="F1328" s="6" t="str">
        <f t="shared" si="162"/>
        <v>*0.94</v>
      </c>
      <c r="H1328" t="s">
        <v>2202</v>
      </c>
      <c r="I1328" s="5" t="s">
        <v>57</v>
      </c>
      <c r="J1328">
        <v>2050</v>
      </c>
      <c r="K1328" s="38" t="str">
        <f t="shared" si="163"/>
        <v>*0.92</v>
      </c>
      <c r="P1328" s="32" t="s">
        <v>2202</v>
      </c>
      <c r="Q1328" s="42" t="s">
        <v>57</v>
      </c>
      <c r="R1328" s="32">
        <v>2035</v>
      </c>
      <c r="S1328" s="43" t="str">
        <f t="shared" si="164"/>
        <v>*0.94</v>
      </c>
      <c r="U1328" s="32" t="s">
        <v>2202</v>
      </c>
      <c r="V1328" s="42" t="s">
        <v>57</v>
      </c>
      <c r="W1328" s="32">
        <v>2050</v>
      </c>
      <c r="X1328" s="43" t="str">
        <f t="shared" si="165"/>
        <v>*0.92</v>
      </c>
      <c r="AC1328" s="33" t="s">
        <v>2202</v>
      </c>
      <c r="AD1328" s="44" t="s">
        <v>57</v>
      </c>
      <c r="AE1328" s="33">
        <v>2035</v>
      </c>
      <c r="AF1328" s="45" t="str">
        <f t="shared" si="166"/>
        <v>*0.92</v>
      </c>
      <c r="AG1328" s="43" t="str">
        <f t="shared" si="168"/>
        <v>REZoning_Sol-Win</v>
      </c>
      <c r="AI1328" s="33" t="s">
        <v>2202</v>
      </c>
      <c r="AJ1328" s="44" t="s">
        <v>57</v>
      </c>
      <c r="AK1328" s="33">
        <v>2050</v>
      </c>
      <c r="AL1328" s="45" t="str">
        <f t="shared" si="167"/>
        <v>*0.89</v>
      </c>
      <c r="AM1328" s="43" t="str">
        <f t="shared" si="169"/>
        <v>REZoning_Sol-Win</v>
      </c>
      <c r="AP1328" t="s">
        <v>2202</v>
      </c>
      <c r="AQ1328" t="s">
        <v>57</v>
      </c>
      <c r="AR1328">
        <v>2100</v>
      </c>
      <c r="AS1328" t="s">
        <v>937</v>
      </c>
      <c r="AT1328" t="s">
        <v>58</v>
      </c>
    </row>
    <row r="1329" ht="29" spans="1:46">
      <c r="A1329" s="31" t="s">
        <v>494</v>
      </c>
      <c r="C1329" t="s">
        <v>2203</v>
      </c>
      <c r="D1329" s="5" t="s">
        <v>57</v>
      </c>
      <c r="E1329">
        <v>2035</v>
      </c>
      <c r="F1329" s="6" t="str">
        <f t="shared" si="162"/>
        <v>*0.94</v>
      </c>
      <c r="H1329" t="s">
        <v>2203</v>
      </c>
      <c r="I1329" s="5" t="s">
        <v>57</v>
      </c>
      <c r="J1329">
        <v>2050</v>
      </c>
      <c r="K1329" s="38" t="str">
        <f t="shared" si="163"/>
        <v>*0.92</v>
      </c>
      <c r="P1329" s="32" t="s">
        <v>2203</v>
      </c>
      <c r="Q1329" s="42" t="s">
        <v>57</v>
      </c>
      <c r="R1329" s="32">
        <v>2035</v>
      </c>
      <c r="S1329" s="43" t="str">
        <f t="shared" si="164"/>
        <v>*0.94</v>
      </c>
      <c r="U1329" s="32" t="s">
        <v>2203</v>
      </c>
      <c r="V1329" s="42" t="s">
        <v>57</v>
      </c>
      <c r="W1329" s="32">
        <v>2050</v>
      </c>
      <c r="X1329" s="43" t="str">
        <f t="shared" si="165"/>
        <v>*0.92</v>
      </c>
      <c r="AC1329" s="33" t="s">
        <v>2203</v>
      </c>
      <c r="AD1329" s="44" t="s">
        <v>57</v>
      </c>
      <c r="AE1329" s="33">
        <v>2035</v>
      </c>
      <c r="AF1329" s="45" t="str">
        <f t="shared" si="166"/>
        <v>*0.92</v>
      </c>
      <c r="AG1329" s="43" t="str">
        <f t="shared" si="168"/>
        <v>REZoning_Sol-Win</v>
      </c>
      <c r="AI1329" s="33" t="s">
        <v>2203</v>
      </c>
      <c r="AJ1329" s="44" t="s">
        <v>57</v>
      </c>
      <c r="AK1329" s="33">
        <v>2050</v>
      </c>
      <c r="AL1329" s="45" t="str">
        <f t="shared" si="167"/>
        <v>*0.89</v>
      </c>
      <c r="AM1329" s="43" t="str">
        <f t="shared" si="169"/>
        <v>REZoning_Sol-Win</v>
      </c>
      <c r="AP1329" t="s">
        <v>2203</v>
      </c>
      <c r="AQ1329" t="s">
        <v>57</v>
      </c>
      <c r="AR1329">
        <v>2100</v>
      </c>
      <c r="AS1329" t="s">
        <v>937</v>
      </c>
      <c r="AT1329" t="s">
        <v>58</v>
      </c>
    </row>
    <row r="1330" ht="29" spans="1:46">
      <c r="A1330" s="31" t="s">
        <v>494</v>
      </c>
      <c r="C1330" t="s">
        <v>2204</v>
      </c>
      <c r="D1330" s="5" t="s">
        <v>57</v>
      </c>
      <c r="E1330">
        <v>2035</v>
      </c>
      <c r="F1330" s="6" t="str">
        <f t="shared" si="162"/>
        <v>*0.94</v>
      </c>
      <c r="H1330" t="s">
        <v>2204</v>
      </c>
      <c r="I1330" s="5" t="s">
        <v>57</v>
      </c>
      <c r="J1330">
        <v>2050</v>
      </c>
      <c r="K1330" s="38" t="str">
        <f t="shared" si="163"/>
        <v>*0.92</v>
      </c>
      <c r="P1330" s="32" t="s">
        <v>2204</v>
      </c>
      <c r="Q1330" s="42" t="s">
        <v>57</v>
      </c>
      <c r="R1330" s="32">
        <v>2035</v>
      </c>
      <c r="S1330" s="43" t="str">
        <f t="shared" si="164"/>
        <v>*0.94</v>
      </c>
      <c r="U1330" s="32" t="s">
        <v>2204</v>
      </c>
      <c r="V1330" s="42" t="s">
        <v>57</v>
      </c>
      <c r="W1330" s="32">
        <v>2050</v>
      </c>
      <c r="X1330" s="43" t="str">
        <f t="shared" si="165"/>
        <v>*0.92</v>
      </c>
      <c r="AC1330" s="33" t="s">
        <v>2204</v>
      </c>
      <c r="AD1330" s="44" t="s">
        <v>57</v>
      </c>
      <c r="AE1330" s="33">
        <v>2035</v>
      </c>
      <c r="AF1330" s="45" t="str">
        <f t="shared" si="166"/>
        <v>*0.92</v>
      </c>
      <c r="AG1330" s="43" t="str">
        <f t="shared" si="168"/>
        <v>REZoning_Sol-Win</v>
      </c>
      <c r="AI1330" s="33" t="s">
        <v>2204</v>
      </c>
      <c r="AJ1330" s="44" t="s">
        <v>57</v>
      </c>
      <c r="AK1330" s="33">
        <v>2050</v>
      </c>
      <c r="AL1330" s="45" t="str">
        <f t="shared" si="167"/>
        <v>*0.89</v>
      </c>
      <c r="AM1330" s="43" t="str">
        <f t="shared" si="169"/>
        <v>REZoning_Sol-Win</v>
      </c>
      <c r="AP1330" t="s">
        <v>2204</v>
      </c>
      <c r="AQ1330" t="s">
        <v>57</v>
      </c>
      <c r="AR1330">
        <v>2100</v>
      </c>
      <c r="AS1330" t="s">
        <v>937</v>
      </c>
      <c r="AT1330" t="s">
        <v>58</v>
      </c>
    </row>
    <row r="1331" ht="29" spans="1:46">
      <c r="A1331" s="31" t="s">
        <v>494</v>
      </c>
      <c r="C1331" t="s">
        <v>2205</v>
      </c>
      <c r="D1331" s="5" t="s">
        <v>57</v>
      </c>
      <c r="E1331">
        <v>2035</v>
      </c>
      <c r="F1331" s="6" t="str">
        <f t="shared" si="162"/>
        <v>*0.94</v>
      </c>
      <c r="H1331" t="s">
        <v>2205</v>
      </c>
      <c r="I1331" s="5" t="s">
        <v>57</v>
      </c>
      <c r="J1331">
        <v>2050</v>
      </c>
      <c r="K1331" s="38" t="str">
        <f t="shared" si="163"/>
        <v>*0.92</v>
      </c>
      <c r="P1331" s="32" t="s">
        <v>2205</v>
      </c>
      <c r="Q1331" s="42" t="s">
        <v>57</v>
      </c>
      <c r="R1331" s="32">
        <v>2035</v>
      </c>
      <c r="S1331" s="43" t="str">
        <f t="shared" si="164"/>
        <v>*0.94</v>
      </c>
      <c r="U1331" s="32" t="s">
        <v>2205</v>
      </c>
      <c r="V1331" s="42" t="s">
        <v>57</v>
      </c>
      <c r="W1331" s="32">
        <v>2050</v>
      </c>
      <c r="X1331" s="43" t="str">
        <f t="shared" si="165"/>
        <v>*0.92</v>
      </c>
      <c r="AC1331" s="33" t="s">
        <v>2205</v>
      </c>
      <c r="AD1331" s="44" t="s">
        <v>57</v>
      </c>
      <c r="AE1331" s="33">
        <v>2035</v>
      </c>
      <c r="AF1331" s="45" t="str">
        <f t="shared" si="166"/>
        <v>*0.92</v>
      </c>
      <c r="AG1331" s="43" t="str">
        <f t="shared" si="168"/>
        <v>REZoning_Sol-Win</v>
      </c>
      <c r="AI1331" s="33" t="s">
        <v>2205</v>
      </c>
      <c r="AJ1331" s="44" t="s">
        <v>57</v>
      </c>
      <c r="AK1331" s="33">
        <v>2050</v>
      </c>
      <c r="AL1331" s="45" t="str">
        <f t="shared" si="167"/>
        <v>*0.89</v>
      </c>
      <c r="AM1331" s="43" t="str">
        <f t="shared" si="169"/>
        <v>REZoning_Sol-Win</v>
      </c>
      <c r="AP1331" t="s">
        <v>2205</v>
      </c>
      <c r="AQ1331" t="s">
        <v>57</v>
      </c>
      <c r="AR1331">
        <v>2100</v>
      </c>
      <c r="AS1331" t="s">
        <v>937</v>
      </c>
      <c r="AT1331" t="s">
        <v>58</v>
      </c>
    </row>
    <row r="1332" ht="29" spans="1:46">
      <c r="A1332" s="31" t="s">
        <v>494</v>
      </c>
      <c r="C1332" t="s">
        <v>2206</v>
      </c>
      <c r="D1332" s="5" t="s">
        <v>57</v>
      </c>
      <c r="E1332">
        <v>2035</v>
      </c>
      <c r="F1332" s="6" t="str">
        <f t="shared" si="162"/>
        <v>*0.94</v>
      </c>
      <c r="H1332" t="s">
        <v>2206</v>
      </c>
      <c r="I1332" s="5" t="s">
        <v>57</v>
      </c>
      <c r="J1332">
        <v>2050</v>
      </c>
      <c r="K1332" s="38" t="str">
        <f t="shared" si="163"/>
        <v>*0.92</v>
      </c>
      <c r="P1332" s="32" t="s">
        <v>2206</v>
      </c>
      <c r="Q1332" s="42" t="s">
        <v>57</v>
      </c>
      <c r="R1332" s="32">
        <v>2035</v>
      </c>
      <c r="S1332" s="43" t="str">
        <f t="shared" si="164"/>
        <v>*0.94</v>
      </c>
      <c r="U1332" s="32" t="s">
        <v>2206</v>
      </c>
      <c r="V1332" s="42" t="s">
        <v>57</v>
      </c>
      <c r="W1332" s="32">
        <v>2050</v>
      </c>
      <c r="X1332" s="43" t="str">
        <f t="shared" si="165"/>
        <v>*0.92</v>
      </c>
      <c r="AC1332" s="33" t="s">
        <v>2206</v>
      </c>
      <c r="AD1332" s="44" t="s">
        <v>57</v>
      </c>
      <c r="AE1332" s="33">
        <v>2035</v>
      </c>
      <c r="AF1332" s="45" t="str">
        <f t="shared" si="166"/>
        <v>*0.92</v>
      </c>
      <c r="AG1332" s="43" t="str">
        <f t="shared" si="168"/>
        <v>REZoning_Sol-Win</v>
      </c>
      <c r="AI1332" s="33" t="s">
        <v>2206</v>
      </c>
      <c r="AJ1332" s="44" t="s">
        <v>57</v>
      </c>
      <c r="AK1332" s="33">
        <v>2050</v>
      </c>
      <c r="AL1332" s="45" t="str">
        <f t="shared" si="167"/>
        <v>*0.89</v>
      </c>
      <c r="AM1332" s="43" t="str">
        <f t="shared" si="169"/>
        <v>REZoning_Sol-Win</v>
      </c>
      <c r="AP1332" t="s">
        <v>2206</v>
      </c>
      <c r="AQ1332" t="s">
        <v>57</v>
      </c>
      <c r="AR1332">
        <v>2100</v>
      </c>
      <c r="AS1332" t="s">
        <v>937</v>
      </c>
      <c r="AT1332" t="s">
        <v>58</v>
      </c>
    </row>
    <row r="1333" ht="29" spans="1:46">
      <c r="A1333" s="31" t="s">
        <v>494</v>
      </c>
      <c r="C1333" t="s">
        <v>2207</v>
      </c>
      <c r="D1333" s="5" t="s">
        <v>57</v>
      </c>
      <c r="E1333">
        <v>2035</v>
      </c>
      <c r="F1333" s="6" t="str">
        <f t="shared" si="162"/>
        <v>*0.94</v>
      </c>
      <c r="H1333" t="s">
        <v>2207</v>
      </c>
      <c r="I1333" s="5" t="s">
        <v>57</v>
      </c>
      <c r="J1333">
        <v>2050</v>
      </c>
      <c r="K1333" s="38" t="str">
        <f t="shared" si="163"/>
        <v>*0.92</v>
      </c>
      <c r="P1333" s="32" t="s">
        <v>2207</v>
      </c>
      <c r="Q1333" s="42" t="s">
        <v>57</v>
      </c>
      <c r="R1333" s="32">
        <v>2035</v>
      </c>
      <c r="S1333" s="43" t="str">
        <f t="shared" si="164"/>
        <v>*0.94</v>
      </c>
      <c r="U1333" s="32" t="s">
        <v>2207</v>
      </c>
      <c r="V1333" s="42" t="s">
        <v>57</v>
      </c>
      <c r="W1333" s="32">
        <v>2050</v>
      </c>
      <c r="X1333" s="43" t="str">
        <f t="shared" si="165"/>
        <v>*0.92</v>
      </c>
      <c r="AC1333" s="33" t="s">
        <v>2207</v>
      </c>
      <c r="AD1333" s="44" t="s">
        <v>57</v>
      </c>
      <c r="AE1333" s="33">
        <v>2035</v>
      </c>
      <c r="AF1333" s="45" t="str">
        <f t="shared" si="166"/>
        <v>*0.92</v>
      </c>
      <c r="AG1333" s="43" t="str">
        <f t="shared" si="168"/>
        <v>REZoning_Sol-Win</v>
      </c>
      <c r="AI1333" s="33" t="s">
        <v>2207</v>
      </c>
      <c r="AJ1333" s="44" t="s">
        <v>57</v>
      </c>
      <c r="AK1333" s="33">
        <v>2050</v>
      </c>
      <c r="AL1333" s="45" t="str">
        <f t="shared" si="167"/>
        <v>*0.89</v>
      </c>
      <c r="AM1333" s="43" t="str">
        <f t="shared" si="169"/>
        <v>REZoning_Sol-Win</v>
      </c>
      <c r="AP1333" t="s">
        <v>2207</v>
      </c>
      <c r="AQ1333" t="s">
        <v>57</v>
      </c>
      <c r="AR1333">
        <v>2100</v>
      </c>
      <c r="AS1333" t="s">
        <v>937</v>
      </c>
      <c r="AT1333" t="s">
        <v>58</v>
      </c>
    </row>
    <row r="1334" ht="29" spans="1:46">
      <c r="A1334" s="31" t="s">
        <v>494</v>
      </c>
      <c r="C1334" t="s">
        <v>2208</v>
      </c>
      <c r="D1334" s="5" t="s">
        <v>57</v>
      </c>
      <c r="E1334">
        <v>2035</v>
      </c>
      <c r="F1334" s="6" t="str">
        <f t="shared" si="162"/>
        <v>*0.94</v>
      </c>
      <c r="H1334" t="s">
        <v>2208</v>
      </c>
      <c r="I1334" s="5" t="s">
        <v>57</v>
      </c>
      <c r="J1334">
        <v>2050</v>
      </c>
      <c r="K1334" s="38" t="str">
        <f t="shared" si="163"/>
        <v>*0.92</v>
      </c>
      <c r="P1334" s="32" t="s">
        <v>2208</v>
      </c>
      <c r="Q1334" s="42" t="s">
        <v>57</v>
      </c>
      <c r="R1334" s="32">
        <v>2035</v>
      </c>
      <c r="S1334" s="43" t="str">
        <f t="shared" si="164"/>
        <v>*0.94</v>
      </c>
      <c r="U1334" s="32" t="s">
        <v>2208</v>
      </c>
      <c r="V1334" s="42" t="s">
        <v>57</v>
      </c>
      <c r="W1334" s="32">
        <v>2050</v>
      </c>
      <c r="X1334" s="43" t="str">
        <f t="shared" si="165"/>
        <v>*0.92</v>
      </c>
      <c r="AC1334" s="33" t="s">
        <v>2208</v>
      </c>
      <c r="AD1334" s="44" t="s">
        <v>57</v>
      </c>
      <c r="AE1334" s="33">
        <v>2035</v>
      </c>
      <c r="AF1334" s="45" t="str">
        <f t="shared" si="166"/>
        <v>*0.92</v>
      </c>
      <c r="AG1334" s="43" t="str">
        <f t="shared" si="168"/>
        <v>REZoning_Sol-Win</v>
      </c>
      <c r="AI1334" s="33" t="s">
        <v>2208</v>
      </c>
      <c r="AJ1334" s="44" t="s">
        <v>57</v>
      </c>
      <c r="AK1334" s="33">
        <v>2050</v>
      </c>
      <c r="AL1334" s="45" t="str">
        <f t="shared" si="167"/>
        <v>*0.89</v>
      </c>
      <c r="AM1334" s="43" t="str">
        <f t="shared" si="169"/>
        <v>REZoning_Sol-Win</v>
      </c>
      <c r="AP1334" t="s">
        <v>2208</v>
      </c>
      <c r="AQ1334" t="s">
        <v>57</v>
      </c>
      <c r="AR1334">
        <v>2100</v>
      </c>
      <c r="AS1334" t="s">
        <v>937</v>
      </c>
      <c r="AT1334" t="s">
        <v>58</v>
      </c>
    </row>
    <row r="1335" ht="29" spans="1:46">
      <c r="A1335" s="31" t="s">
        <v>494</v>
      </c>
      <c r="C1335" t="s">
        <v>2209</v>
      </c>
      <c r="D1335" s="5" t="s">
        <v>57</v>
      </c>
      <c r="E1335">
        <v>2035</v>
      </c>
      <c r="F1335" s="6" t="str">
        <f t="shared" si="162"/>
        <v>*0.94</v>
      </c>
      <c r="H1335" t="s">
        <v>2209</v>
      </c>
      <c r="I1335" s="5" t="s">
        <v>57</v>
      </c>
      <c r="J1335">
        <v>2050</v>
      </c>
      <c r="K1335" s="38" t="str">
        <f t="shared" si="163"/>
        <v>*0.92</v>
      </c>
      <c r="P1335" s="32" t="s">
        <v>2209</v>
      </c>
      <c r="Q1335" s="42" t="s">
        <v>57</v>
      </c>
      <c r="R1335" s="32">
        <v>2035</v>
      </c>
      <c r="S1335" s="43" t="str">
        <f t="shared" si="164"/>
        <v>*0.94</v>
      </c>
      <c r="U1335" s="32" t="s">
        <v>2209</v>
      </c>
      <c r="V1335" s="42" t="s">
        <v>57</v>
      </c>
      <c r="W1335" s="32">
        <v>2050</v>
      </c>
      <c r="X1335" s="43" t="str">
        <f t="shared" si="165"/>
        <v>*0.92</v>
      </c>
      <c r="AC1335" s="33" t="s">
        <v>2209</v>
      </c>
      <c r="AD1335" s="44" t="s">
        <v>57</v>
      </c>
      <c r="AE1335" s="33">
        <v>2035</v>
      </c>
      <c r="AF1335" s="45" t="str">
        <f t="shared" si="166"/>
        <v>*0.92</v>
      </c>
      <c r="AG1335" s="43" t="str">
        <f t="shared" si="168"/>
        <v>REZoning_Sol-Win</v>
      </c>
      <c r="AI1335" s="33" t="s">
        <v>2209</v>
      </c>
      <c r="AJ1335" s="44" t="s">
        <v>57</v>
      </c>
      <c r="AK1335" s="33">
        <v>2050</v>
      </c>
      <c r="AL1335" s="45" t="str">
        <f t="shared" si="167"/>
        <v>*0.89</v>
      </c>
      <c r="AM1335" s="43" t="str">
        <f t="shared" si="169"/>
        <v>REZoning_Sol-Win</v>
      </c>
      <c r="AP1335" t="s">
        <v>2209</v>
      </c>
      <c r="AQ1335" t="s">
        <v>57</v>
      </c>
      <c r="AR1335">
        <v>2100</v>
      </c>
      <c r="AS1335" t="s">
        <v>937</v>
      </c>
      <c r="AT1335" t="s">
        <v>58</v>
      </c>
    </row>
    <row r="1336" ht="29" spans="1:46">
      <c r="A1336" s="31" t="s">
        <v>494</v>
      </c>
      <c r="C1336" t="s">
        <v>2210</v>
      </c>
      <c r="D1336" s="5" t="s">
        <v>57</v>
      </c>
      <c r="E1336">
        <v>2035</v>
      </c>
      <c r="F1336" s="6" t="str">
        <f t="shared" si="162"/>
        <v>*0.94</v>
      </c>
      <c r="H1336" t="s">
        <v>2210</v>
      </c>
      <c r="I1336" s="5" t="s">
        <v>57</v>
      </c>
      <c r="J1336">
        <v>2050</v>
      </c>
      <c r="K1336" s="38" t="str">
        <f t="shared" si="163"/>
        <v>*0.92</v>
      </c>
      <c r="P1336" s="32" t="s">
        <v>2210</v>
      </c>
      <c r="Q1336" s="42" t="s">
        <v>57</v>
      </c>
      <c r="R1336" s="32">
        <v>2035</v>
      </c>
      <c r="S1336" s="43" t="str">
        <f t="shared" si="164"/>
        <v>*0.94</v>
      </c>
      <c r="U1336" s="32" t="s">
        <v>2210</v>
      </c>
      <c r="V1336" s="42" t="s">
        <v>57</v>
      </c>
      <c r="W1336" s="32">
        <v>2050</v>
      </c>
      <c r="X1336" s="43" t="str">
        <f t="shared" si="165"/>
        <v>*0.92</v>
      </c>
      <c r="AC1336" s="33" t="s">
        <v>2210</v>
      </c>
      <c r="AD1336" s="44" t="s">
        <v>57</v>
      </c>
      <c r="AE1336" s="33">
        <v>2035</v>
      </c>
      <c r="AF1336" s="45" t="str">
        <f t="shared" si="166"/>
        <v>*0.92</v>
      </c>
      <c r="AG1336" s="43" t="str">
        <f t="shared" si="168"/>
        <v>REZoning_Sol-Win</v>
      </c>
      <c r="AI1336" s="33" t="s">
        <v>2210</v>
      </c>
      <c r="AJ1336" s="44" t="s">
        <v>57</v>
      </c>
      <c r="AK1336" s="33">
        <v>2050</v>
      </c>
      <c r="AL1336" s="45" t="str">
        <f t="shared" si="167"/>
        <v>*0.89</v>
      </c>
      <c r="AM1336" s="43" t="str">
        <f t="shared" si="169"/>
        <v>REZoning_Sol-Win</v>
      </c>
      <c r="AP1336" t="s">
        <v>2210</v>
      </c>
      <c r="AQ1336" t="s">
        <v>57</v>
      </c>
      <c r="AR1336">
        <v>2100</v>
      </c>
      <c r="AS1336" t="s">
        <v>937</v>
      </c>
      <c r="AT1336" t="s">
        <v>58</v>
      </c>
    </row>
    <row r="1337" ht="29" spans="1:46">
      <c r="A1337" s="31" t="s">
        <v>494</v>
      </c>
      <c r="C1337" t="s">
        <v>2211</v>
      </c>
      <c r="D1337" s="5" t="s">
        <v>57</v>
      </c>
      <c r="E1337">
        <v>2035</v>
      </c>
      <c r="F1337" s="6" t="str">
        <f t="shared" si="162"/>
        <v>*0.94</v>
      </c>
      <c r="H1337" t="s">
        <v>2211</v>
      </c>
      <c r="I1337" s="5" t="s">
        <v>57</v>
      </c>
      <c r="J1337">
        <v>2050</v>
      </c>
      <c r="K1337" s="38" t="str">
        <f t="shared" si="163"/>
        <v>*0.92</v>
      </c>
      <c r="P1337" s="32" t="s">
        <v>2211</v>
      </c>
      <c r="Q1337" s="42" t="s">
        <v>57</v>
      </c>
      <c r="R1337" s="32">
        <v>2035</v>
      </c>
      <c r="S1337" s="43" t="str">
        <f t="shared" si="164"/>
        <v>*0.94</v>
      </c>
      <c r="U1337" s="32" t="s">
        <v>2211</v>
      </c>
      <c r="V1337" s="42" t="s">
        <v>57</v>
      </c>
      <c r="W1337" s="32">
        <v>2050</v>
      </c>
      <c r="X1337" s="43" t="str">
        <f t="shared" si="165"/>
        <v>*0.92</v>
      </c>
      <c r="AC1337" s="33" t="s">
        <v>2211</v>
      </c>
      <c r="AD1337" s="44" t="s">
        <v>57</v>
      </c>
      <c r="AE1337" s="33">
        <v>2035</v>
      </c>
      <c r="AF1337" s="45" t="str">
        <f t="shared" si="166"/>
        <v>*0.92</v>
      </c>
      <c r="AG1337" s="43" t="str">
        <f t="shared" si="168"/>
        <v>REZoning_Sol-Win</v>
      </c>
      <c r="AI1337" s="33" t="s">
        <v>2211</v>
      </c>
      <c r="AJ1337" s="44" t="s">
        <v>57</v>
      </c>
      <c r="AK1337" s="33">
        <v>2050</v>
      </c>
      <c r="AL1337" s="45" t="str">
        <f t="shared" si="167"/>
        <v>*0.89</v>
      </c>
      <c r="AM1337" s="43" t="str">
        <f t="shared" si="169"/>
        <v>REZoning_Sol-Win</v>
      </c>
      <c r="AP1337" t="s">
        <v>2211</v>
      </c>
      <c r="AQ1337" t="s">
        <v>57</v>
      </c>
      <c r="AR1337">
        <v>2100</v>
      </c>
      <c r="AS1337" t="s">
        <v>937</v>
      </c>
      <c r="AT1337" t="s">
        <v>58</v>
      </c>
    </row>
    <row r="1338" ht="29" spans="1:46">
      <c r="A1338" s="31" t="s">
        <v>494</v>
      </c>
      <c r="C1338" t="s">
        <v>2212</v>
      </c>
      <c r="D1338" s="5" t="s">
        <v>57</v>
      </c>
      <c r="E1338">
        <v>2035</v>
      </c>
      <c r="F1338" s="6" t="str">
        <f t="shared" si="162"/>
        <v>*0.94</v>
      </c>
      <c r="H1338" t="s">
        <v>2212</v>
      </c>
      <c r="I1338" s="5" t="s">
        <v>57</v>
      </c>
      <c r="J1338">
        <v>2050</v>
      </c>
      <c r="K1338" s="38" t="str">
        <f t="shared" si="163"/>
        <v>*0.92</v>
      </c>
      <c r="P1338" s="32" t="s">
        <v>2212</v>
      </c>
      <c r="Q1338" s="42" t="s">
        <v>57</v>
      </c>
      <c r="R1338" s="32">
        <v>2035</v>
      </c>
      <c r="S1338" s="43" t="str">
        <f t="shared" si="164"/>
        <v>*0.94</v>
      </c>
      <c r="U1338" s="32" t="s">
        <v>2212</v>
      </c>
      <c r="V1338" s="42" t="s">
        <v>57</v>
      </c>
      <c r="W1338" s="32">
        <v>2050</v>
      </c>
      <c r="X1338" s="43" t="str">
        <f t="shared" si="165"/>
        <v>*0.92</v>
      </c>
      <c r="AC1338" s="33" t="s">
        <v>2212</v>
      </c>
      <c r="AD1338" s="44" t="s">
        <v>57</v>
      </c>
      <c r="AE1338" s="33">
        <v>2035</v>
      </c>
      <c r="AF1338" s="45" t="str">
        <f t="shared" si="166"/>
        <v>*0.92</v>
      </c>
      <c r="AG1338" s="43" t="str">
        <f t="shared" si="168"/>
        <v>REZoning_Sol-Win</v>
      </c>
      <c r="AI1338" s="33" t="s">
        <v>2212</v>
      </c>
      <c r="AJ1338" s="44" t="s">
        <v>57</v>
      </c>
      <c r="AK1338" s="33">
        <v>2050</v>
      </c>
      <c r="AL1338" s="45" t="str">
        <f t="shared" si="167"/>
        <v>*0.89</v>
      </c>
      <c r="AM1338" s="43" t="str">
        <f t="shared" si="169"/>
        <v>REZoning_Sol-Win</v>
      </c>
      <c r="AP1338" t="s">
        <v>2212</v>
      </c>
      <c r="AQ1338" t="s">
        <v>57</v>
      </c>
      <c r="AR1338">
        <v>2100</v>
      </c>
      <c r="AS1338" t="s">
        <v>937</v>
      </c>
      <c r="AT1338" t="s">
        <v>58</v>
      </c>
    </row>
    <row r="1339" ht="29" spans="1:46">
      <c r="A1339" s="31" t="s">
        <v>494</v>
      </c>
      <c r="C1339" t="s">
        <v>2213</v>
      </c>
      <c r="D1339" s="5" t="s">
        <v>57</v>
      </c>
      <c r="E1339">
        <v>2035</v>
      </c>
      <c r="F1339" s="6" t="str">
        <f t="shared" si="162"/>
        <v>*0.94</v>
      </c>
      <c r="H1339" t="s">
        <v>2213</v>
      </c>
      <c r="I1339" s="5" t="s">
        <v>57</v>
      </c>
      <c r="J1339">
        <v>2050</v>
      </c>
      <c r="K1339" s="38" t="str">
        <f t="shared" si="163"/>
        <v>*0.92</v>
      </c>
      <c r="P1339" s="32" t="s">
        <v>2213</v>
      </c>
      <c r="Q1339" s="42" t="s">
        <v>57</v>
      </c>
      <c r="R1339" s="32">
        <v>2035</v>
      </c>
      <c r="S1339" s="43" t="str">
        <f t="shared" si="164"/>
        <v>*0.94</v>
      </c>
      <c r="U1339" s="32" t="s">
        <v>2213</v>
      </c>
      <c r="V1339" s="42" t="s">
        <v>57</v>
      </c>
      <c r="W1339" s="32">
        <v>2050</v>
      </c>
      <c r="X1339" s="43" t="str">
        <f t="shared" si="165"/>
        <v>*0.92</v>
      </c>
      <c r="AC1339" s="33" t="s">
        <v>2213</v>
      </c>
      <c r="AD1339" s="44" t="s">
        <v>57</v>
      </c>
      <c r="AE1339" s="33">
        <v>2035</v>
      </c>
      <c r="AF1339" s="45" t="str">
        <f t="shared" si="166"/>
        <v>*0.92</v>
      </c>
      <c r="AG1339" s="43" t="str">
        <f t="shared" si="168"/>
        <v>REZoning_Sol-Win</v>
      </c>
      <c r="AI1339" s="33" t="s">
        <v>2213</v>
      </c>
      <c r="AJ1339" s="44" t="s">
        <v>57</v>
      </c>
      <c r="AK1339" s="33">
        <v>2050</v>
      </c>
      <c r="AL1339" s="45" t="str">
        <f t="shared" si="167"/>
        <v>*0.89</v>
      </c>
      <c r="AM1339" s="43" t="str">
        <f t="shared" si="169"/>
        <v>REZoning_Sol-Win</v>
      </c>
      <c r="AP1339" t="s">
        <v>2213</v>
      </c>
      <c r="AQ1339" t="s">
        <v>57</v>
      </c>
      <c r="AR1339">
        <v>2100</v>
      </c>
      <c r="AS1339" t="s">
        <v>937</v>
      </c>
      <c r="AT1339" t="s">
        <v>58</v>
      </c>
    </row>
    <row r="1340" ht="29" spans="1:46">
      <c r="A1340" s="31" t="s">
        <v>494</v>
      </c>
      <c r="C1340" t="s">
        <v>2214</v>
      </c>
      <c r="D1340" s="5" t="s">
        <v>57</v>
      </c>
      <c r="E1340">
        <v>2035</v>
      </c>
      <c r="F1340" s="6" t="str">
        <f t="shared" si="162"/>
        <v>*0.94</v>
      </c>
      <c r="H1340" t="s">
        <v>2214</v>
      </c>
      <c r="I1340" s="5" t="s">
        <v>57</v>
      </c>
      <c r="J1340">
        <v>2050</v>
      </c>
      <c r="K1340" s="38" t="str">
        <f t="shared" si="163"/>
        <v>*0.92</v>
      </c>
      <c r="P1340" s="32" t="s">
        <v>2214</v>
      </c>
      <c r="Q1340" s="42" t="s">
        <v>57</v>
      </c>
      <c r="R1340" s="32">
        <v>2035</v>
      </c>
      <c r="S1340" s="43" t="str">
        <f t="shared" si="164"/>
        <v>*0.94</v>
      </c>
      <c r="U1340" s="32" t="s">
        <v>2214</v>
      </c>
      <c r="V1340" s="42" t="s">
        <v>57</v>
      </c>
      <c r="W1340" s="32">
        <v>2050</v>
      </c>
      <c r="X1340" s="43" t="str">
        <f t="shared" si="165"/>
        <v>*0.92</v>
      </c>
      <c r="AC1340" s="33" t="s">
        <v>2214</v>
      </c>
      <c r="AD1340" s="44" t="s">
        <v>57</v>
      </c>
      <c r="AE1340" s="33">
        <v>2035</v>
      </c>
      <c r="AF1340" s="45" t="str">
        <f t="shared" si="166"/>
        <v>*0.92</v>
      </c>
      <c r="AG1340" s="43" t="str">
        <f t="shared" si="168"/>
        <v>REZoning_Sol-Win</v>
      </c>
      <c r="AI1340" s="33" t="s">
        <v>2214</v>
      </c>
      <c r="AJ1340" s="44" t="s">
        <v>57</v>
      </c>
      <c r="AK1340" s="33">
        <v>2050</v>
      </c>
      <c r="AL1340" s="45" t="str">
        <f t="shared" si="167"/>
        <v>*0.89</v>
      </c>
      <c r="AM1340" s="43" t="str">
        <f t="shared" si="169"/>
        <v>REZoning_Sol-Win</v>
      </c>
      <c r="AP1340" t="s">
        <v>2214</v>
      </c>
      <c r="AQ1340" t="s">
        <v>57</v>
      </c>
      <c r="AR1340">
        <v>2100</v>
      </c>
      <c r="AS1340" t="s">
        <v>937</v>
      </c>
      <c r="AT1340" t="s">
        <v>58</v>
      </c>
    </row>
    <row r="1341" ht="29" spans="1:46">
      <c r="A1341" s="31" t="s">
        <v>494</v>
      </c>
      <c r="C1341" t="s">
        <v>2215</v>
      </c>
      <c r="D1341" s="5" t="s">
        <v>57</v>
      </c>
      <c r="E1341">
        <v>2035</v>
      </c>
      <c r="F1341" s="6" t="str">
        <f t="shared" si="162"/>
        <v>*0.94</v>
      </c>
      <c r="H1341" t="s">
        <v>2215</v>
      </c>
      <c r="I1341" s="5" t="s">
        <v>57</v>
      </c>
      <c r="J1341">
        <v>2050</v>
      </c>
      <c r="K1341" s="38" t="str">
        <f t="shared" si="163"/>
        <v>*0.92</v>
      </c>
      <c r="P1341" s="32" t="s">
        <v>2215</v>
      </c>
      <c r="Q1341" s="42" t="s">
        <v>57</v>
      </c>
      <c r="R1341" s="32">
        <v>2035</v>
      </c>
      <c r="S1341" s="43" t="str">
        <f t="shared" si="164"/>
        <v>*0.94</v>
      </c>
      <c r="U1341" s="32" t="s">
        <v>2215</v>
      </c>
      <c r="V1341" s="42" t="s">
        <v>57</v>
      </c>
      <c r="W1341" s="32">
        <v>2050</v>
      </c>
      <c r="X1341" s="43" t="str">
        <f t="shared" si="165"/>
        <v>*0.92</v>
      </c>
      <c r="AC1341" s="33" t="s">
        <v>2215</v>
      </c>
      <c r="AD1341" s="44" t="s">
        <v>57</v>
      </c>
      <c r="AE1341" s="33">
        <v>2035</v>
      </c>
      <c r="AF1341" s="45" t="str">
        <f t="shared" si="166"/>
        <v>*0.92</v>
      </c>
      <c r="AG1341" s="43" t="str">
        <f t="shared" si="168"/>
        <v>REZoning_Sol-Win</v>
      </c>
      <c r="AI1341" s="33" t="s">
        <v>2215</v>
      </c>
      <c r="AJ1341" s="44" t="s">
        <v>57</v>
      </c>
      <c r="AK1341" s="33">
        <v>2050</v>
      </c>
      <c r="AL1341" s="45" t="str">
        <f t="shared" si="167"/>
        <v>*0.89</v>
      </c>
      <c r="AM1341" s="43" t="str">
        <f t="shared" si="169"/>
        <v>REZoning_Sol-Win</v>
      </c>
      <c r="AP1341" t="s">
        <v>2215</v>
      </c>
      <c r="AQ1341" t="s">
        <v>57</v>
      </c>
      <c r="AR1341">
        <v>2100</v>
      </c>
      <c r="AS1341" t="s">
        <v>937</v>
      </c>
      <c r="AT1341" t="s">
        <v>58</v>
      </c>
    </row>
    <row r="1342" ht="29" spans="1:46">
      <c r="A1342" s="31" t="s">
        <v>79</v>
      </c>
      <c r="C1342" t="s">
        <v>2216</v>
      </c>
      <c r="D1342" s="5" t="s">
        <v>57</v>
      </c>
      <c r="E1342">
        <v>2035</v>
      </c>
      <c r="F1342" s="6" t="str">
        <f t="shared" si="162"/>
        <v>*0.94</v>
      </c>
      <c r="H1342" t="s">
        <v>2216</v>
      </c>
      <c r="I1342" s="5" t="s">
        <v>57</v>
      </c>
      <c r="J1342">
        <v>2050</v>
      </c>
      <c r="K1342" s="38" t="str">
        <f t="shared" si="163"/>
        <v>*0.9</v>
      </c>
      <c r="P1342" s="32" t="s">
        <v>2216</v>
      </c>
      <c r="Q1342" s="42" t="s">
        <v>57</v>
      </c>
      <c r="R1342" s="32">
        <v>2035</v>
      </c>
      <c r="S1342" s="43" t="str">
        <f t="shared" si="164"/>
        <v>*0.92</v>
      </c>
      <c r="U1342" s="32" t="s">
        <v>2216</v>
      </c>
      <c r="V1342" s="42" t="s">
        <v>57</v>
      </c>
      <c r="W1342" s="32">
        <v>2050</v>
      </c>
      <c r="X1342" s="43" t="str">
        <f t="shared" si="165"/>
        <v>*0.89</v>
      </c>
      <c r="AC1342" s="33" t="s">
        <v>2216</v>
      </c>
      <c r="AD1342" s="44" t="s">
        <v>57</v>
      </c>
      <c r="AE1342" s="33">
        <v>2035</v>
      </c>
      <c r="AF1342" s="45" t="str">
        <f t="shared" si="166"/>
        <v>*0.89</v>
      </c>
      <c r="AG1342" s="43" t="str">
        <f t="shared" si="168"/>
        <v>REZoning_Sol-Win</v>
      </c>
      <c r="AI1342" s="33" t="s">
        <v>2216</v>
      </c>
      <c r="AJ1342" s="44" t="s">
        <v>57</v>
      </c>
      <c r="AK1342" s="33">
        <v>2050</v>
      </c>
      <c r="AL1342" s="45" t="str">
        <f t="shared" si="167"/>
        <v>*0.84</v>
      </c>
      <c r="AM1342" s="43" t="str">
        <f t="shared" si="169"/>
        <v>REZoning_Sol-Win</v>
      </c>
      <c r="AP1342" t="s">
        <v>2216</v>
      </c>
      <c r="AQ1342" t="s">
        <v>57</v>
      </c>
      <c r="AR1342">
        <v>2100</v>
      </c>
      <c r="AS1342" t="s">
        <v>919</v>
      </c>
      <c r="AT1342" t="s">
        <v>58</v>
      </c>
    </row>
    <row r="1343" ht="29" spans="1:46">
      <c r="A1343" s="31" t="s">
        <v>79</v>
      </c>
      <c r="C1343" t="s">
        <v>2217</v>
      </c>
      <c r="D1343" s="5" t="s">
        <v>57</v>
      </c>
      <c r="E1343">
        <v>2035</v>
      </c>
      <c r="F1343" s="6" t="str">
        <f t="shared" si="162"/>
        <v>*0.94</v>
      </c>
      <c r="H1343" t="s">
        <v>2217</v>
      </c>
      <c r="I1343" s="5" t="s">
        <v>57</v>
      </c>
      <c r="J1343">
        <v>2050</v>
      </c>
      <c r="K1343" s="38" t="str">
        <f t="shared" si="163"/>
        <v>*0.9</v>
      </c>
      <c r="P1343" s="32" t="s">
        <v>2217</v>
      </c>
      <c r="Q1343" s="42" t="s">
        <v>57</v>
      </c>
      <c r="R1343" s="32">
        <v>2035</v>
      </c>
      <c r="S1343" s="43" t="str">
        <f t="shared" si="164"/>
        <v>*0.92</v>
      </c>
      <c r="U1343" s="32" t="s">
        <v>2217</v>
      </c>
      <c r="V1343" s="42" t="s">
        <v>57</v>
      </c>
      <c r="W1343" s="32">
        <v>2050</v>
      </c>
      <c r="X1343" s="43" t="str">
        <f t="shared" si="165"/>
        <v>*0.89</v>
      </c>
      <c r="AC1343" s="33" t="s">
        <v>2217</v>
      </c>
      <c r="AD1343" s="44" t="s">
        <v>57</v>
      </c>
      <c r="AE1343" s="33">
        <v>2035</v>
      </c>
      <c r="AF1343" s="45" t="str">
        <f t="shared" si="166"/>
        <v>*0.89</v>
      </c>
      <c r="AG1343" s="43" t="str">
        <f t="shared" si="168"/>
        <v>REZoning_Sol-Win</v>
      </c>
      <c r="AI1343" s="33" t="s">
        <v>2217</v>
      </c>
      <c r="AJ1343" s="44" t="s">
        <v>57</v>
      </c>
      <c r="AK1343" s="33">
        <v>2050</v>
      </c>
      <c r="AL1343" s="45" t="str">
        <f t="shared" si="167"/>
        <v>*0.84</v>
      </c>
      <c r="AM1343" s="43" t="str">
        <f t="shared" si="169"/>
        <v>REZoning_Sol-Win</v>
      </c>
      <c r="AP1343" t="s">
        <v>2217</v>
      </c>
      <c r="AQ1343" t="s">
        <v>57</v>
      </c>
      <c r="AR1343">
        <v>2100</v>
      </c>
      <c r="AS1343" t="s">
        <v>919</v>
      </c>
      <c r="AT1343" t="s">
        <v>58</v>
      </c>
    </row>
    <row r="1344" ht="29" spans="1:46">
      <c r="A1344" s="31" t="s">
        <v>79</v>
      </c>
      <c r="C1344" t="s">
        <v>2218</v>
      </c>
      <c r="D1344" s="5" t="s">
        <v>57</v>
      </c>
      <c r="E1344">
        <v>2035</v>
      </c>
      <c r="F1344" s="6" t="str">
        <f t="shared" si="162"/>
        <v>*0.94</v>
      </c>
      <c r="H1344" t="s">
        <v>2218</v>
      </c>
      <c r="I1344" s="5" t="s">
        <v>57</v>
      </c>
      <c r="J1344">
        <v>2050</v>
      </c>
      <c r="K1344" s="38" t="str">
        <f t="shared" si="163"/>
        <v>*0.9</v>
      </c>
      <c r="P1344" s="32" t="s">
        <v>2218</v>
      </c>
      <c r="Q1344" s="42" t="s">
        <v>57</v>
      </c>
      <c r="R1344" s="32">
        <v>2035</v>
      </c>
      <c r="S1344" s="43" t="str">
        <f t="shared" si="164"/>
        <v>*0.92</v>
      </c>
      <c r="U1344" s="32" t="s">
        <v>2218</v>
      </c>
      <c r="V1344" s="42" t="s">
        <v>57</v>
      </c>
      <c r="W1344" s="32">
        <v>2050</v>
      </c>
      <c r="X1344" s="43" t="str">
        <f t="shared" si="165"/>
        <v>*0.89</v>
      </c>
      <c r="AC1344" s="33" t="s">
        <v>2218</v>
      </c>
      <c r="AD1344" s="44" t="s">
        <v>57</v>
      </c>
      <c r="AE1344" s="33">
        <v>2035</v>
      </c>
      <c r="AF1344" s="45" t="str">
        <f t="shared" si="166"/>
        <v>*0.89</v>
      </c>
      <c r="AG1344" s="43" t="str">
        <f t="shared" si="168"/>
        <v>REZoning_Sol-Win</v>
      </c>
      <c r="AI1344" s="33" t="s">
        <v>2218</v>
      </c>
      <c r="AJ1344" s="44" t="s">
        <v>57</v>
      </c>
      <c r="AK1344" s="33">
        <v>2050</v>
      </c>
      <c r="AL1344" s="45" t="str">
        <f t="shared" si="167"/>
        <v>*0.84</v>
      </c>
      <c r="AM1344" s="43" t="str">
        <f t="shared" si="169"/>
        <v>REZoning_Sol-Win</v>
      </c>
      <c r="AP1344" t="s">
        <v>2218</v>
      </c>
      <c r="AQ1344" t="s">
        <v>57</v>
      </c>
      <c r="AR1344">
        <v>2100</v>
      </c>
      <c r="AS1344" t="s">
        <v>919</v>
      </c>
      <c r="AT1344" t="s">
        <v>58</v>
      </c>
    </row>
    <row r="1345" ht="29" spans="1:46">
      <c r="A1345" s="31" t="s">
        <v>79</v>
      </c>
      <c r="C1345" t="s">
        <v>2219</v>
      </c>
      <c r="D1345" s="5" t="s">
        <v>57</v>
      </c>
      <c r="E1345">
        <v>2035</v>
      </c>
      <c r="F1345" s="6" t="str">
        <f t="shared" si="162"/>
        <v>*0.94</v>
      </c>
      <c r="H1345" t="s">
        <v>2219</v>
      </c>
      <c r="I1345" s="5" t="s">
        <v>57</v>
      </c>
      <c r="J1345">
        <v>2050</v>
      </c>
      <c r="K1345" s="38" t="str">
        <f t="shared" si="163"/>
        <v>*0.9</v>
      </c>
      <c r="P1345" s="32" t="s">
        <v>2219</v>
      </c>
      <c r="Q1345" s="42" t="s">
        <v>57</v>
      </c>
      <c r="R1345" s="32">
        <v>2035</v>
      </c>
      <c r="S1345" s="43" t="str">
        <f t="shared" si="164"/>
        <v>*0.92</v>
      </c>
      <c r="U1345" s="32" t="s">
        <v>2219</v>
      </c>
      <c r="V1345" s="42" t="s">
        <v>57</v>
      </c>
      <c r="W1345" s="32">
        <v>2050</v>
      </c>
      <c r="X1345" s="43" t="str">
        <f t="shared" si="165"/>
        <v>*0.89</v>
      </c>
      <c r="AC1345" s="33" t="s">
        <v>2219</v>
      </c>
      <c r="AD1345" s="44" t="s">
        <v>57</v>
      </c>
      <c r="AE1345" s="33">
        <v>2035</v>
      </c>
      <c r="AF1345" s="45" t="str">
        <f t="shared" si="166"/>
        <v>*0.89</v>
      </c>
      <c r="AG1345" s="43" t="str">
        <f t="shared" si="168"/>
        <v>REZoning_Sol-Win</v>
      </c>
      <c r="AI1345" s="33" t="s">
        <v>2219</v>
      </c>
      <c r="AJ1345" s="44" t="s">
        <v>57</v>
      </c>
      <c r="AK1345" s="33">
        <v>2050</v>
      </c>
      <c r="AL1345" s="45" t="str">
        <f t="shared" si="167"/>
        <v>*0.84</v>
      </c>
      <c r="AM1345" s="43" t="str">
        <f t="shared" si="169"/>
        <v>REZoning_Sol-Win</v>
      </c>
      <c r="AP1345" t="s">
        <v>2219</v>
      </c>
      <c r="AQ1345" t="s">
        <v>57</v>
      </c>
      <c r="AR1345">
        <v>2100</v>
      </c>
      <c r="AS1345" t="s">
        <v>919</v>
      </c>
      <c r="AT1345" t="s">
        <v>58</v>
      </c>
    </row>
    <row r="1346" ht="29" spans="1:46">
      <c r="A1346" s="31" t="s">
        <v>79</v>
      </c>
      <c r="C1346" t="s">
        <v>2220</v>
      </c>
      <c r="D1346" s="5" t="s">
        <v>57</v>
      </c>
      <c r="E1346">
        <v>2035</v>
      </c>
      <c r="F1346" s="6" t="str">
        <f t="shared" si="162"/>
        <v>*0.94</v>
      </c>
      <c r="H1346" t="s">
        <v>2220</v>
      </c>
      <c r="I1346" s="5" t="s">
        <v>57</v>
      </c>
      <c r="J1346">
        <v>2050</v>
      </c>
      <c r="K1346" s="38" t="str">
        <f t="shared" si="163"/>
        <v>*0.9</v>
      </c>
      <c r="P1346" s="32" t="s">
        <v>2220</v>
      </c>
      <c r="Q1346" s="42" t="s">
        <v>57</v>
      </c>
      <c r="R1346" s="32">
        <v>2035</v>
      </c>
      <c r="S1346" s="43" t="str">
        <f t="shared" si="164"/>
        <v>*0.92</v>
      </c>
      <c r="U1346" s="32" t="s">
        <v>2220</v>
      </c>
      <c r="V1346" s="42" t="s">
        <v>57</v>
      </c>
      <c r="W1346" s="32">
        <v>2050</v>
      </c>
      <c r="X1346" s="43" t="str">
        <f t="shared" si="165"/>
        <v>*0.89</v>
      </c>
      <c r="AC1346" s="33" t="s">
        <v>2220</v>
      </c>
      <c r="AD1346" s="44" t="s">
        <v>57</v>
      </c>
      <c r="AE1346" s="33">
        <v>2035</v>
      </c>
      <c r="AF1346" s="45" t="str">
        <f t="shared" si="166"/>
        <v>*0.89</v>
      </c>
      <c r="AG1346" s="43" t="str">
        <f t="shared" si="168"/>
        <v>REZoning_Sol-Win</v>
      </c>
      <c r="AI1346" s="33" t="s">
        <v>2220</v>
      </c>
      <c r="AJ1346" s="44" t="s">
        <v>57</v>
      </c>
      <c r="AK1346" s="33">
        <v>2050</v>
      </c>
      <c r="AL1346" s="45" t="str">
        <f t="shared" si="167"/>
        <v>*0.84</v>
      </c>
      <c r="AM1346" s="43" t="str">
        <f t="shared" si="169"/>
        <v>REZoning_Sol-Win</v>
      </c>
      <c r="AP1346" t="s">
        <v>2220</v>
      </c>
      <c r="AQ1346" t="s">
        <v>57</v>
      </c>
      <c r="AR1346">
        <v>2100</v>
      </c>
      <c r="AS1346" t="s">
        <v>919</v>
      </c>
      <c r="AT1346" t="s">
        <v>58</v>
      </c>
    </row>
    <row r="1347" ht="29" spans="1:46">
      <c r="A1347" s="31" t="s">
        <v>79</v>
      </c>
      <c r="C1347" t="s">
        <v>2221</v>
      </c>
      <c r="D1347" s="5" t="s">
        <v>57</v>
      </c>
      <c r="E1347">
        <v>2035</v>
      </c>
      <c r="F1347" s="6" t="str">
        <f t="shared" si="162"/>
        <v>*0.94</v>
      </c>
      <c r="H1347" t="s">
        <v>2221</v>
      </c>
      <c r="I1347" s="5" t="s">
        <v>57</v>
      </c>
      <c r="J1347">
        <v>2050</v>
      </c>
      <c r="K1347" s="38" t="str">
        <f t="shared" si="163"/>
        <v>*0.9</v>
      </c>
      <c r="P1347" s="32" t="s">
        <v>2221</v>
      </c>
      <c r="Q1347" s="42" t="s">
        <v>57</v>
      </c>
      <c r="R1347" s="32">
        <v>2035</v>
      </c>
      <c r="S1347" s="43" t="str">
        <f t="shared" si="164"/>
        <v>*0.92</v>
      </c>
      <c r="U1347" s="32" t="s">
        <v>2221</v>
      </c>
      <c r="V1347" s="42" t="s">
        <v>57</v>
      </c>
      <c r="W1347" s="32">
        <v>2050</v>
      </c>
      <c r="X1347" s="43" t="str">
        <f t="shared" si="165"/>
        <v>*0.89</v>
      </c>
      <c r="AC1347" s="33" t="s">
        <v>2221</v>
      </c>
      <c r="AD1347" s="44" t="s">
        <v>57</v>
      </c>
      <c r="AE1347" s="33">
        <v>2035</v>
      </c>
      <c r="AF1347" s="45" t="str">
        <f t="shared" si="166"/>
        <v>*0.89</v>
      </c>
      <c r="AG1347" s="43" t="str">
        <f t="shared" si="168"/>
        <v>REZoning_Sol-Win</v>
      </c>
      <c r="AI1347" s="33" t="s">
        <v>2221</v>
      </c>
      <c r="AJ1347" s="44" t="s">
        <v>57</v>
      </c>
      <c r="AK1347" s="33">
        <v>2050</v>
      </c>
      <c r="AL1347" s="45" t="str">
        <f t="shared" si="167"/>
        <v>*0.84</v>
      </c>
      <c r="AM1347" s="43" t="str">
        <f t="shared" si="169"/>
        <v>REZoning_Sol-Win</v>
      </c>
      <c r="AP1347" t="s">
        <v>2221</v>
      </c>
      <c r="AQ1347" t="s">
        <v>57</v>
      </c>
      <c r="AR1347">
        <v>2100</v>
      </c>
      <c r="AS1347" t="s">
        <v>919</v>
      </c>
      <c r="AT1347" t="s">
        <v>58</v>
      </c>
    </row>
    <row r="1348" ht="29" spans="1:46">
      <c r="A1348" s="31" t="s">
        <v>79</v>
      </c>
      <c r="C1348" t="s">
        <v>2222</v>
      </c>
      <c r="D1348" s="5" t="s">
        <v>57</v>
      </c>
      <c r="E1348">
        <v>2035</v>
      </c>
      <c r="F1348" s="6" t="str">
        <f t="shared" ref="F1348:F1411" si="170">"*"&amp;IF(AND(A1348="EU",E1348=2035),0.95,IF(AND(A1348="EU",E1348=2050),0.93,IF(AND(A1348="USA",E1348=2035),0.96,IF(AND(A1348="USA",E1348=2050),0.94,IF(AND(A1348="Japan",E1348=2035),0.94,IF(AND(A1348="Japan",E1348=2050),0.92,IF(AND(A1348="Russia",E1348=2035),0.95,IF(AND(A1348="Russia",E1348=2050),0.93,IF(AND(A1348="China",E1348=2035),0.94,IF(AND(A1348="China",E1348=2050),0.92,IF(AND(A1348="India",E1348=2035),0.95,IF(AND(A1348="India",E1348=2050),0.92,IF(AND(A1348="Middle East",E1348=2035),0.94,IF(AND(A1348="Middle East",E1348=2050),0.9,IF(AND(A1348="Africa",E1348=2035),0.94,IF(AND(A1348="Africa",E1348=2050),0.91,IF(AND(A1348="Brazil",E1348=2035),0.95,IF(AND(A1348="Brazil",E1348=2050),0.92,""))))))))))))))))))</f>
        <v>*0.94</v>
      </c>
      <c r="H1348" t="s">
        <v>2222</v>
      </c>
      <c r="I1348" s="5" t="s">
        <v>57</v>
      </c>
      <c r="J1348">
        <v>2050</v>
      </c>
      <c r="K1348" s="38" t="str">
        <f t="shared" ref="K1348:K1411" si="171">"*"&amp;IF(AND(A1348="EU",J1348=2035),0.95,IF(AND(A1348="EU",J1348=2050),0.93,IF(AND(A1348="USA",J1348=2035),0.96,IF(AND(A1348="USA",J1348=2050),0.94,IF(AND(A1348="Japan",J1348=2035),0.94,IF(AND(A1348="Japan",J1348=2050),0.92,IF(AND(A1348="Russia",J1348=2035),0.95,IF(AND(A1348="Russia",J1348=2050),0.93,IF(AND(A1348="China",J1348=2035),0.94,IF(AND(A1348="China",J1348=2050),0.92,IF(AND(A1348="India",J1348=2035),0.95,IF(AND(A1348="India",J1348=2050),0.92,IF(AND(A1348="Middle East",J1348=2035),0.94,IF(AND(A1348="Middle East",J1348=2050),0.9,IF(AND(A1348="Africa",J1348=2035),0.94,IF(AND(A1348="Africa",J1348=2050),0.91,IF(AND(A1348="Brazil",J1348=2035),0.95,IF(AND(A1348="Brazil",J1348=2050),0.92,""))))))))))))))))))</f>
        <v>*0.9</v>
      </c>
      <c r="P1348" s="32" t="s">
        <v>2222</v>
      </c>
      <c r="Q1348" s="42" t="s">
        <v>57</v>
      </c>
      <c r="R1348" s="32">
        <v>2035</v>
      </c>
      <c r="S1348" s="43" t="str">
        <f t="shared" ref="S1348:S1411" si="172">"*"&amp;IF(AND(A1348="EU",R1348=2035),0.95,IF(AND(A1348="EU",R1348=2050),0.93,IF(AND(A1348="USA",R1348=2035),0.96,IF(AND(A1348="USA",R1348=2050),0.93,IF(AND(A1348="Japan",R1348=2035),0.94,IF(AND(A1348="Japan",R1348=2050),0.92,IF(AND(A1348="Russia",R1348=2035),0.95,IF(AND(A1348="Russia",R1348=2050),0.91,IF(AND(A1348="China",R1348=2035),0.93,IF(AND(A1348="China",R1348=2050),0.92,IF(AND(A1348="India",R1348=2035),0.94,IF(AND(A1348="India",R1348=2050),0.91,IF(AND(A1348="Middle East",R1348=2035),0.92,IF(AND(A1348="Middle East",R1348=2050),0.89,IF(AND(A1348="Africa",R1348=2035),0.93,IF(AND(A1348="Africa",R1348=2050),0.9,IF(AND(A1348="Brazil",R1348=2035),0.95,IF(AND(A1348="Brazil",R1348=2050),0.92,""))))))))))))))))))</f>
        <v>*0.92</v>
      </c>
      <c r="U1348" s="32" t="s">
        <v>2222</v>
      </c>
      <c r="V1348" s="42" t="s">
        <v>57</v>
      </c>
      <c r="W1348" s="32">
        <v>2050</v>
      </c>
      <c r="X1348" s="43" t="str">
        <f t="shared" ref="X1348:X1411" si="173">"*"&amp;IF(AND(A1348="EU",W1348=2035),0.95,IF(AND(A1348="EU",W1348=2050),0.93,IF(AND(A1348="USA",W1348=2035),0.96,IF(AND(A1348="USA",W1348=2050),0.93,IF(AND(A1348="Japan",W1348=2035),0.94,IF(AND(A1348="Japan",W1348=2050),0.92,IF(AND(A1348="Russia",W1348=2035),0.95,IF(AND(A1348="Russia",W1348=2050),0.91,IF(AND(A1348="China",W1348=2035),0.93,IF(AND(A1348="China",W1348=2050),0.92,IF(AND(A1348="India",W1348=2035),0.94,IF(AND(A1348="India",W1348=2050),0.91,IF(AND(A1348="Middle East",W1348=2035),0.92,IF(AND(A1348="Middle East",W1348=2050),0.89,IF(AND(A1348="Africa",W1348=2035),0.93,IF(AND(A1348="Africa",W1348=2050),0.9,IF(AND(A1348="Brazil",W1348=2035),0.95,IF(AND(A1348="Brazil",W1348=2050),0.92,""))))))))))))))))))</f>
        <v>*0.89</v>
      </c>
      <c r="AC1348" s="33" t="s">
        <v>2222</v>
      </c>
      <c r="AD1348" s="44" t="s">
        <v>57</v>
      </c>
      <c r="AE1348" s="33">
        <v>2035</v>
      </c>
      <c r="AF1348" s="45" t="str">
        <f t="shared" ref="AF1348:AF1411" si="174">"*"&amp;IF(AND(A1348="EU",AE1348=2035),0.93,IF(AND(A1348="EU",AE1348=2050),0.9,IF(AND(A1348="USA",AE1348=2035),0.92,IF(AND(A1348="USA",AE1348=2050),0.89,IF(AND(A1348="Japan",AE1348=2035),0.92,IF(AND(A1348="Japan",AE1348=2050),0.89,IF(AND(A1348="Russia",AE1348=2035),0.91,IF(AND(A1348="Russia",AE1348=2050),0.86,IF(AND(A1348="China",AE1348=2035),0.91,IF(AND(A1348="China",AE1348=2050),0.87,IF(AND(A1348="India",AE1348=2035),0.92,IF(AND(A1348="India",AE1348=2050),0.87,IF(AND(A1348="Middle East",AE1348=2035),0.89,IF(AND(A1348="Middle East",AE1348=2050),0.84,IF(AND(A1348="Africa",AE1348=2035),0.9,IF(AND(A1348="Africa",AE1348=2050),0.86,IF(AND(A1348="Brazil",AE1348=2035),0.93,IF(AND(A1348="Brazil",AE1348=2050),0.89,""))))))))))))))))))</f>
        <v>*0.89</v>
      </c>
      <c r="AG1348" s="43" t="str">
        <f t="shared" si="168"/>
        <v>REZoning_Sol-Win</v>
      </c>
      <c r="AI1348" s="33" t="s">
        <v>2222</v>
      </c>
      <c r="AJ1348" s="44" t="s">
        <v>57</v>
      </c>
      <c r="AK1348" s="33">
        <v>2050</v>
      </c>
      <c r="AL1348" s="45" t="str">
        <f t="shared" ref="AL1348:AL1411" si="175">"*"&amp;IF(AND(A1348="EU",AK1348=2035),0.93,IF(AND(A1348="EU",AK1348=2050),0.9,IF(AND(A1348="USA",AK1348=2035),0.92,IF(AND(A1348="USA",AK1348=2050),0.89,IF(AND(A1348="Japan",AK1348=2035),0.92,IF(AND(A1348="Japan",AK1348=2050),0.89,IF(AND(A1348="Russia",AK1348=2035),0.91,IF(AND(A1348="Russia",AK1348=2050),0.86,IF(AND(A1348="China",AK1348=2035),0.91,IF(AND(A1348="China",AK1348=2050),0.87,IF(AND(A1348="India",AK1348=2035),0.92,IF(AND(A1348="India",AK1348=2050),0.87,IF(AND(A1348="Middle East",AK1348=2035),0.89,IF(AND(A1348="Middle East",AK1348=2050),0.84,IF(AND(A1348="Africa",AK1348=2035),0.9,IF(AND(A1348="Africa",AK1348=2050),0.86,IF(AND(A1348="Brazil",AK1348=2035),0.93,IF(AND(A1348="Brazil",AK1348=2050),0.89,""))))))))))))))))))</f>
        <v>*0.84</v>
      </c>
      <c r="AM1348" s="43" t="str">
        <f t="shared" si="169"/>
        <v>REZoning_Sol-Win</v>
      </c>
      <c r="AP1348" t="s">
        <v>2222</v>
      </c>
      <c r="AQ1348" t="s">
        <v>57</v>
      </c>
      <c r="AR1348">
        <v>2100</v>
      </c>
      <c r="AS1348" t="s">
        <v>919</v>
      </c>
      <c r="AT1348" t="s">
        <v>58</v>
      </c>
    </row>
    <row r="1349" ht="29" spans="1:46">
      <c r="A1349" s="31" t="s">
        <v>79</v>
      </c>
      <c r="C1349" t="s">
        <v>2223</v>
      </c>
      <c r="D1349" s="5" t="s">
        <v>57</v>
      </c>
      <c r="E1349">
        <v>2035</v>
      </c>
      <c r="F1349" s="6" t="str">
        <f t="shared" si="170"/>
        <v>*0.94</v>
      </c>
      <c r="H1349" t="s">
        <v>2223</v>
      </c>
      <c r="I1349" s="5" t="s">
        <v>57</v>
      </c>
      <c r="J1349">
        <v>2050</v>
      </c>
      <c r="K1349" s="38" t="str">
        <f t="shared" si="171"/>
        <v>*0.9</v>
      </c>
      <c r="P1349" s="32" t="s">
        <v>2223</v>
      </c>
      <c r="Q1349" s="42" t="s">
        <v>57</v>
      </c>
      <c r="R1349" s="32">
        <v>2035</v>
      </c>
      <c r="S1349" s="43" t="str">
        <f t="shared" si="172"/>
        <v>*0.92</v>
      </c>
      <c r="U1349" s="32" t="s">
        <v>2223</v>
      </c>
      <c r="V1349" s="42" t="s">
        <v>57</v>
      </c>
      <c r="W1349" s="32">
        <v>2050</v>
      </c>
      <c r="X1349" s="43" t="str">
        <f t="shared" si="173"/>
        <v>*0.89</v>
      </c>
      <c r="AC1349" s="33" t="s">
        <v>2223</v>
      </c>
      <c r="AD1349" s="44" t="s">
        <v>57</v>
      </c>
      <c r="AE1349" s="33">
        <v>2035</v>
      </c>
      <c r="AF1349" s="45" t="str">
        <f t="shared" si="174"/>
        <v>*0.89</v>
      </c>
      <c r="AG1349" s="43" t="str">
        <f t="shared" si="168"/>
        <v>REZoning_Sol-Win</v>
      </c>
      <c r="AI1349" s="33" t="s">
        <v>2223</v>
      </c>
      <c r="AJ1349" s="44" t="s">
        <v>57</v>
      </c>
      <c r="AK1349" s="33">
        <v>2050</v>
      </c>
      <c r="AL1349" s="45" t="str">
        <f t="shared" si="175"/>
        <v>*0.84</v>
      </c>
      <c r="AM1349" s="43" t="str">
        <f t="shared" si="169"/>
        <v>REZoning_Sol-Win</v>
      </c>
      <c r="AP1349" t="s">
        <v>2223</v>
      </c>
      <c r="AQ1349" t="s">
        <v>57</v>
      </c>
      <c r="AR1349">
        <v>2100</v>
      </c>
      <c r="AS1349" t="s">
        <v>919</v>
      </c>
      <c r="AT1349" t="s">
        <v>58</v>
      </c>
    </row>
    <row r="1350" ht="29" spans="1:46">
      <c r="A1350" s="31" t="s">
        <v>169</v>
      </c>
      <c r="C1350" t="s">
        <v>2224</v>
      </c>
      <c r="D1350" s="5" t="s">
        <v>57</v>
      </c>
      <c r="E1350">
        <v>2035</v>
      </c>
      <c r="F1350" s="6" t="str">
        <f t="shared" si="170"/>
        <v>*0.94</v>
      </c>
      <c r="H1350" t="s">
        <v>2224</v>
      </c>
      <c r="I1350" s="5" t="s">
        <v>57</v>
      </c>
      <c r="J1350">
        <v>2050</v>
      </c>
      <c r="K1350" s="38" t="str">
        <f t="shared" si="171"/>
        <v>*0.92</v>
      </c>
      <c r="P1350" s="32" t="s">
        <v>2224</v>
      </c>
      <c r="Q1350" s="42" t="s">
        <v>57</v>
      </c>
      <c r="R1350" s="32">
        <v>2035</v>
      </c>
      <c r="S1350" s="43" t="str">
        <f t="shared" si="172"/>
        <v>*0.93</v>
      </c>
      <c r="U1350" s="32" t="s">
        <v>2224</v>
      </c>
      <c r="V1350" s="42" t="s">
        <v>57</v>
      </c>
      <c r="W1350" s="32">
        <v>2050</v>
      </c>
      <c r="X1350" s="43" t="str">
        <f t="shared" si="173"/>
        <v>*0.92</v>
      </c>
      <c r="AC1350" s="33" t="s">
        <v>2224</v>
      </c>
      <c r="AD1350" s="44" t="s">
        <v>57</v>
      </c>
      <c r="AE1350" s="33">
        <v>2035</v>
      </c>
      <c r="AF1350" s="45" t="str">
        <f t="shared" si="174"/>
        <v>*0.91</v>
      </c>
      <c r="AG1350" s="43" t="str">
        <f t="shared" si="168"/>
        <v>REZoning_Sol-Win</v>
      </c>
      <c r="AI1350" s="33" t="s">
        <v>2224</v>
      </c>
      <c r="AJ1350" s="44" t="s">
        <v>57</v>
      </c>
      <c r="AK1350" s="33">
        <v>2050</v>
      </c>
      <c r="AL1350" s="45" t="str">
        <f t="shared" si="175"/>
        <v>*0.87</v>
      </c>
      <c r="AM1350" s="43" t="str">
        <f t="shared" si="169"/>
        <v>REZoning_Sol-Win</v>
      </c>
      <c r="AP1350" t="s">
        <v>2224</v>
      </c>
      <c r="AQ1350" t="s">
        <v>57</v>
      </c>
      <c r="AR1350">
        <v>2100</v>
      </c>
      <c r="AS1350" t="s">
        <v>874</v>
      </c>
      <c r="AT1350" t="s">
        <v>58</v>
      </c>
    </row>
    <row r="1351" ht="29" spans="1:46">
      <c r="A1351" s="31" t="s">
        <v>169</v>
      </c>
      <c r="C1351" t="s">
        <v>2225</v>
      </c>
      <c r="D1351" s="5" t="s">
        <v>57</v>
      </c>
      <c r="E1351">
        <v>2035</v>
      </c>
      <c r="F1351" s="6" t="str">
        <f t="shared" si="170"/>
        <v>*0.94</v>
      </c>
      <c r="H1351" t="s">
        <v>2225</v>
      </c>
      <c r="I1351" s="5" t="s">
        <v>57</v>
      </c>
      <c r="J1351">
        <v>2050</v>
      </c>
      <c r="K1351" s="38" t="str">
        <f t="shared" si="171"/>
        <v>*0.92</v>
      </c>
      <c r="P1351" s="32" t="s">
        <v>2225</v>
      </c>
      <c r="Q1351" s="42" t="s">
        <v>57</v>
      </c>
      <c r="R1351" s="32">
        <v>2035</v>
      </c>
      <c r="S1351" s="43" t="str">
        <f t="shared" si="172"/>
        <v>*0.93</v>
      </c>
      <c r="U1351" s="32" t="s">
        <v>2225</v>
      </c>
      <c r="V1351" s="42" t="s">
        <v>57</v>
      </c>
      <c r="W1351" s="32">
        <v>2050</v>
      </c>
      <c r="X1351" s="43" t="str">
        <f t="shared" si="173"/>
        <v>*0.92</v>
      </c>
      <c r="AC1351" s="33" t="s">
        <v>2225</v>
      </c>
      <c r="AD1351" s="44" t="s">
        <v>57</v>
      </c>
      <c r="AE1351" s="33">
        <v>2035</v>
      </c>
      <c r="AF1351" s="45" t="str">
        <f t="shared" si="174"/>
        <v>*0.91</v>
      </c>
      <c r="AG1351" s="43" t="str">
        <f t="shared" si="168"/>
        <v>REZoning_Sol-Win</v>
      </c>
      <c r="AI1351" s="33" t="s">
        <v>2225</v>
      </c>
      <c r="AJ1351" s="44" t="s">
        <v>57</v>
      </c>
      <c r="AK1351" s="33">
        <v>2050</v>
      </c>
      <c r="AL1351" s="45" t="str">
        <f t="shared" si="175"/>
        <v>*0.87</v>
      </c>
      <c r="AM1351" s="43" t="str">
        <f t="shared" si="169"/>
        <v>REZoning_Sol-Win</v>
      </c>
      <c r="AP1351" t="s">
        <v>2225</v>
      </c>
      <c r="AQ1351" t="s">
        <v>57</v>
      </c>
      <c r="AR1351">
        <v>2100</v>
      </c>
      <c r="AS1351" t="s">
        <v>874</v>
      </c>
      <c r="AT1351" t="s">
        <v>58</v>
      </c>
    </row>
    <row r="1352" ht="29" spans="1:46">
      <c r="A1352" s="31" t="s">
        <v>169</v>
      </c>
      <c r="C1352" t="s">
        <v>2226</v>
      </c>
      <c r="D1352" s="5" t="s">
        <v>57</v>
      </c>
      <c r="E1352">
        <v>2035</v>
      </c>
      <c r="F1352" s="6" t="str">
        <f t="shared" si="170"/>
        <v>*0.94</v>
      </c>
      <c r="H1352" t="s">
        <v>2226</v>
      </c>
      <c r="I1352" s="5" t="s">
        <v>57</v>
      </c>
      <c r="J1352">
        <v>2050</v>
      </c>
      <c r="K1352" s="38" t="str">
        <f t="shared" si="171"/>
        <v>*0.92</v>
      </c>
      <c r="P1352" s="32" t="s">
        <v>2226</v>
      </c>
      <c r="Q1352" s="42" t="s">
        <v>57</v>
      </c>
      <c r="R1352" s="32">
        <v>2035</v>
      </c>
      <c r="S1352" s="43" t="str">
        <f t="shared" si="172"/>
        <v>*0.93</v>
      </c>
      <c r="U1352" s="32" t="s">
        <v>2226</v>
      </c>
      <c r="V1352" s="42" t="s">
        <v>57</v>
      </c>
      <c r="W1352" s="32">
        <v>2050</v>
      </c>
      <c r="X1352" s="43" t="str">
        <f t="shared" si="173"/>
        <v>*0.92</v>
      </c>
      <c r="AC1352" s="33" t="s">
        <v>2226</v>
      </c>
      <c r="AD1352" s="44" t="s">
        <v>57</v>
      </c>
      <c r="AE1352" s="33">
        <v>2035</v>
      </c>
      <c r="AF1352" s="45" t="str">
        <f t="shared" si="174"/>
        <v>*0.91</v>
      </c>
      <c r="AG1352" s="43" t="str">
        <f t="shared" si="168"/>
        <v>REZoning_Sol-Win</v>
      </c>
      <c r="AI1352" s="33" t="s">
        <v>2226</v>
      </c>
      <c r="AJ1352" s="44" t="s">
        <v>57</v>
      </c>
      <c r="AK1352" s="33">
        <v>2050</v>
      </c>
      <c r="AL1352" s="45" t="str">
        <f t="shared" si="175"/>
        <v>*0.87</v>
      </c>
      <c r="AM1352" s="43" t="str">
        <f t="shared" si="169"/>
        <v>REZoning_Sol-Win</v>
      </c>
      <c r="AP1352" t="s">
        <v>2226</v>
      </c>
      <c r="AQ1352" t="s">
        <v>57</v>
      </c>
      <c r="AR1352">
        <v>2100</v>
      </c>
      <c r="AS1352" t="s">
        <v>874</v>
      </c>
      <c r="AT1352" t="s">
        <v>58</v>
      </c>
    </row>
    <row r="1353" ht="29" spans="1:46">
      <c r="A1353" s="31" t="s">
        <v>169</v>
      </c>
      <c r="C1353" t="s">
        <v>2227</v>
      </c>
      <c r="D1353" s="5" t="s">
        <v>57</v>
      </c>
      <c r="E1353">
        <v>2035</v>
      </c>
      <c r="F1353" s="6" t="str">
        <f t="shared" si="170"/>
        <v>*0.94</v>
      </c>
      <c r="H1353" t="s">
        <v>2227</v>
      </c>
      <c r="I1353" s="5" t="s">
        <v>57</v>
      </c>
      <c r="J1353">
        <v>2050</v>
      </c>
      <c r="K1353" s="38" t="str">
        <f t="shared" si="171"/>
        <v>*0.92</v>
      </c>
      <c r="P1353" s="32" t="s">
        <v>2227</v>
      </c>
      <c r="Q1353" s="42" t="s">
        <v>57</v>
      </c>
      <c r="R1353" s="32">
        <v>2035</v>
      </c>
      <c r="S1353" s="43" t="str">
        <f t="shared" si="172"/>
        <v>*0.93</v>
      </c>
      <c r="U1353" s="32" t="s">
        <v>2227</v>
      </c>
      <c r="V1353" s="42" t="s">
        <v>57</v>
      </c>
      <c r="W1353" s="32">
        <v>2050</v>
      </c>
      <c r="X1353" s="43" t="str">
        <f t="shared" si="173"/>
        <v>*0.92</v>
      </c>
      <c r="AC1353" s="33" t="s">
        <v>2227</v>
      </c>
      <c r="AD1353" s="44" t="s">
        <v>57</v>
      </c>
      <c r="AE1353" s="33">
        <v>2035</v>
      </c>
      <c r="AF1353" s="45" t="str">
        <f t="shared" si="174"/>
        <v>*0.91</v>
      </c>
      <c r="AG1353" s="43" t="str">
        <f t="shared" ref="AG1353:AG1416" si="176">AG1352</f>
        <v>REZoning_Sol-Win</v>
      </c>
      <c r="AI1353" s="33" t="s">
        <v>2227</v>
      </c>
      <c r="AJ1353" s="44" t="s">
        <v>57</v>
      </c>
      <c r="AK1353" s="33">
        <v>2050</v>
      </c>
      <c r="AL1353" s="45" t="str">
        <f t="shared" si="175"/>
        <v>*0.87</v>
      </c>
      <c r="AM1353" s="43" t="str">
        <f t="shared" si="169"/>
        <v>REZoning_Sol-Win</v>
      </c>
      <c r="AP1353" t="s">
        <v>2227</v>
      </c>
      <c r="AQ1353" t="s">
        <v>57</v>
      </c>
      <c r="AR1353">
        <v>2100</v>
      </c>
      <c r="AS1353" t="s">
        <v>874</v>
      </c>
      <c r="AT1353" t="s">
        <v>58</v>
      </c>
    </row>
    <row r="1354" ht="29" spans="1:46">
      <c r="A1354" s="31" t="s">
        <v>169</v>
      </c>
      <c r="C1354" t="s">
        <v>2228</v>
      </c>
      <c r="D1354" s="5" t="s">
        <v>57</v>
      </c>
      <c r="E1354">
        <v>2035</v>
      </c>
      <c r="F1354" s="6" t="str">
        <f t="shared" si="170"/>
        <v>*0.94</v>
      </c>
      <c r="H1354" t="s">
        <v>2228</v>
      </c>
      <c r="I1354" s="5" t="s">
        <v>57</v>
      </c>
      <c r="J1354">
        <v>2050</v>
      </c>
      <c r="K1354" s="38" t="str">
        <f t="shared" si="171"/>
        <v>*0.92</v>
      </c>
      <c r="P1354" s="32" t="s">
        <v>2228</v>
      </c>
      <c r="Q1354" s="42" t="s">
        <v>57</v>
      </c>
      <c r="R1354" s="32">
        <v>2035</v>
      </c>
      <c r="S1354" s="43" t="str">
        <f t="shared" si="172"/>
        <v>*0.93</v>
      </c>
      <c r="U1354" s="32" t="s">
        <v>2228</v>
      </c>
      <c r="V1354" s="42" t="s">
        <v>57</v>
      </c>
      <c r="W1354" s="32">
        <v>2050</v>
      </c>
      <c r="X1354" s="43" t="str">
        <f t="shared" si="173"/>
        <v>*0.92</v>
      </c>
      <c r="AC1354" s="33" t="s">
        <v>2228</v>
      </c>
      <c r="AD1354" s="44" t="s">
        <v>57</v>
      </c>
      <c r="AE1354" s="33">
        <v>2035</v>
      </c>
      <c r="AF1354" s="45" t="str">
        <f t="shared" si="174"/>
        <v>*0.91</v>
      </c>
      <c r="AG1354" s="43" t="str">
        <f t="shared" si="176"/>
        <v>REZoning_Sol-Win</v>
      </c>
      <c r="AI1354" s="33" t="s">
        <v>2228</v>
      </c>
      <c r="AJ1354" s="44" t="s">
        <v>57</v>
      </c>
      <c r="AK1354" s="33">
        <v>2050</v>
      </c>
      <c r="AL1354" s="45" t="str">
        <f t="shared" si="175"/>
        <v>*0.87</v>
      </c>
      <c r="AM1354" s="43" t="str">
        <f t="shared" ref="AM1354:AM1417" si="177">AM1353</f>
        <v>REZoning_Sol-Win</v>
      </c>
      <c r="AP1354" t="s">
        <v>2228</v>
      </c>
      <c r="AQ1354" t="s">
        <v>57</v>
      </c>
      <c r="AR1354">
        <v>2100</v>
      </c>
      <c r="AS1354" t="s">
        <v>874</v>
      </c>
      <c r="AT1354" t="s">
        <v>58</v>
      </c>
    </row>
    <row r="1355" ht="29" spans="1:46">
      <c r="A1355" s="31" t="s">
        <v>169</v>
      </c>
      <c r="C1355" t="s">
        <v>2229</v>
      </c>
      <c r="D1355" s="5" t="s">
        <v>57</v>
      </c>
      <c r="E1355">
        <v>2035</v>
      </c>
      <c r="F1355" s="6" t="str">
        <f t="shared" si="170"/>
        <v>*0.94</v>
      </c>
      <c r="H1355" t="s">
        <v>2229</v>
      </c>
      <c r="I1355" s="5" t="s">
        <v>57</v>
      </c>
      <c r="J1355">
        <v>2050</v>
      </c>
      <c r="K1355" s="38" t="str">
        <f t="shared" si="171"/>
        <v>*0.92</v>
      </c>
      <c r="P1355" s="32" t="s">
        <v>2229</v>
      </c>
      <c r="Q1355" s="42" t="s">
        <v>57</v>
      </c>
      <c r="R1355" s="32">
        <v>2035</v>
      </c>
      <c r="S1355" s="43" t="str">
        <f t="shared" si="172"/>
        <v>*0.93</v>
      </c>
      <c r="U1355" s="32" t="s">
        <v>2229</v>
      </c>
      <c r="V1355" s="42" t="s">
        <v>57</v>
      </c>
      <c r="W1355" s="32">
        <v>2050</v>
      </c>
      <c r="X1355" s="43" t="str">
        <f t="shared" si="173"/>
        <v>*0.92</v>
      </c>
      <c r="AC1355" s="33" t="s">
        <v>2229</v>
      </c>
      <c r="AD1355" s="44" t="s">
        <v>57</v>
      </c>
      <c r="AE1355" s="33">
        <v>2035</v>
      </c>
      <c r="AF1355" s="45" t="str">
        <f t="shared" si="174"/>
        <v>*0.91</v>
      </c>
      <c r="AG1355" s="43" t="str">
        <f t="shared" si="176"/>
        <v>REZoning_Sol-Win</v>
      </c>
      <c r="AI1355" s="33" t="s">
        <v>2229</v>
      </c>
      <c r="AJ1355" s="44" t="s">
        <v>57</v>
      </c>
      <c r="AK1355" s="33">
        <v>2050</v>
      </c>
      <c r="AL1355" s="45" t="str">
        <f t="shared" si="175"/>
        <v>*0.87</v>
      </c>
      <c r="AM1355" s="43" t="str">
        <f t="shared" si="177"/>
        <v>REZoning_Sol-Win</v>
      </c>
      <c r="AP1355" t="s">
        <v>2229</v>
      </c>
      <c r="AQ1355" t="s">
        <v>57</v>
      </c>
      <c r="AR1355">
        <v>2100</v>
      </c>
      <c r="AS1355" t="s">
        <v>874</v>
      </c>
      <c r="AT1355" t="s">
        <v>58</v>
      </c>
    </row>
    <row r="1356" ht="29" spans="1:46">
      <c r="A1356" s="31" t="s">
        <v>169</v>
      </c>
      <c r="C1356" t="s">
        <v>2230</v>
      </c>
      <c r="D1356" s="5" t="s">
        <v>57</v>
      </c>
      <c r="E1356">
        <v>2035</v>
      </c>
      <c r="F1356" s="6" t="str">
        <f t="shared" si="170"/>
        <v>*0.94</v>
      </c>
      <c r="H1356" t="s">
        <v>2230</v>
      </c>
      <c r="I1356" s="5" t="s">
        <v>57</v>
      </c>
      <c r="J1356">
        <v>2050</v>
      </c>
      <c r="K1356" s="38" t="str">
        <f t="shared" si="171"/>
        <v>*0.92</v>
      </c>
      <c r="P1356" s="32" t="s">
        <v>2230</v>
      </c>
      <c r="Q1356" s="42" t="s">
        <v>57</v>
      </c>
      <c r="R1356" s="32">
        <v>2035</v>
      </c>
      <c r="S1356" s="43" t="str">
        <f t="shared" si="172"/>
        <v>*0.93</v>
      </c>
      <c r="U1356" s="32" t="s">
        <v>2230</v>
      </c>
      <c r="V1356" s="42" t="s">
        <v>57</v>
      </c>
      <c r="W1356" s="32">
        <v>2050</v>
      </c>
      <c r="X1356" s="43" t="str">
        <f t="shared" si="173"/>
        <v>*0.92</v>
      </c>
      <c r="AC1356" s="33" t="s">
        <v>2230</v>
      </c>
      <c r="AD1356" s="44" t="s">
        <v>57</v>
      </c>
      <c r="AE1356" s="33">
        <v>2035</v>
      </c>
      <c r="AF1356" s="45" t="str">
        <f t="shared" si="174"/>
        <v>*0.91</v>
      </c>
      <c r="AG1356" s="43" t="str">
        <f t="shared" si="176"/>
        <v>REZoning_Sol-Win</v>
      </c>
      <c r="AI1356" s="33" t="s">
        <v>2230</v>
      </c>
      <c r="AJ1356" s="44" t="s">
        <v>57</v>
      </c>
      <c r="AK1356" s="33">
        <v>2050</v>
      </c>
      <c r="AL1356" s="45" t="str">
        <f t="shared" si="175"/>
        <v>*0.87</v>
      </c>
      <c r="AM1356" s="43" t="str">
        <f t="shared" si="177"/>
        <v>REZoning_Sol-Win</v>
      </c>
      <c r="AP1356" t="s">
        <v>2230</v>
      </c>
      <c r="AQ1356" t="s">
        <v>57</v>
      </c>
      <c r="AR1356">
        <v>2100</v>
      </c>
      <c r="AS1356" t="s">
        <v>874</v>
      </c>
      <c r="AT1356" t="s">
        <v>58</v>
      </c>
    </row>
    <row r="1357" ht="29" spans="1:46">
      <c r="A1357" s="31" t="s">
        <v>169</v>
      </c>
      <c r="C1357" t="s">
        <v>2231</v>
      </c>
      <c r="D1357" s="5" t="s">
        <v>57</v>
      </c>
      <c r="E1357">
        <v>2035</v>
      </c>
      <c r="F1357" s="6" t="str">
        <f t="shared" si="170"/>
        <v>*0.94</v>
      </c>
      <c r="H1357" t="s">
        <v>2231</v>
      </c>
      <c r="I1357" s="5" t="s">
        <v>57</v>
      </c>
      <c r="J1357">
        <v>2050</v>
      </c>
      <c r="K1357" s="38" t="str">
        <f t="shared" si="171"/>
        <v>*0.92</v>
      </c>
      <c r="P1357" s="32" t="s">
        <v>2231</v>
      </c>
      <c r="Q1357" s="42" t="s">
        <v>57</v>
      </c>
      <c r="R1357" s="32">
        <v>2035</v>
      </c>
      <c r="S1357" s="43" t="str">
        <f t="shared" si="172"/>
        <v>*0.93</v>
      </c>
      <c r="U1357" s="32" t="s">
        <v>2231</v>
      </c>
      <c r="V1357" s="42" t="s">
        <v>57</v>
      </c>
      <c r="W1357" s="32">
        <v>2050</v>
      </c>
      <c r="X1357" s="43" t="str">
        <f t="shared" si="173"/>
        <v>*0.92</v>
      </c>
      <c r="AC1357" s="33" t="s">
        <v>2231</v>
      </c>
      <c r="AD1357" s="44" t="s">
        <v>57</v>
      </c>
      <c r="AE1357" s="33">
        <v>2035</v>
      </c>
      <c r="AF1357" s="45" t="str">
        <f t="shared" si="174"/>
        <v>*0.91</v>
      </c>
      <c r="AG1357" s="43" t="str">
        <f t="shared" si="176"/>
        <v>REZoning_Sol-Win</v>
      </c>
      <c r="AI1357" s="33" t="s">
        <v>2231</v>
      </c>
      <c r="AJ1357" s="44" t="s">
        <v>57</v>
      </c>
      <c r="AK1357" s="33">
        <v>2050</v>
      </c>
      <c r="AL1357" s="45" t="str">
        <f t="shared" si="175"/>
        <v>*0.87</v>
      </c>
      <c r="AM1357" s="43" t="str">
        <f t="shared" si="177"/>
        <v>REZoning_Sol-Win</v>
      </c>
      <c r="AP1357" t="s">
        <v>2231</v>
      </c>
      <c r="AQ1357" t="s">
        <v>57</v>
      </c>
      <c r="AR1357">
        <v>2100</v>
      </c>
      <c r="AS1357" t="s">
        <v>874</v>
      </c>
      <c r="AT1357" t="s">
        <v>58</v>
      </c>
    </row>
    <row r="1358" ht="29" spans="1:46">
      <c r="A1358" s="31" t="s">
        <v>169</v>
      </c>
      <c r="C1358" t="s">
        <v>2232</v>
      </c>
      <c r="D1358" s="5" t="s">
        <v>57</v>
      </c>
      <c r="E1358">
        <v>2035</v>
      </c>
      <c r="F1358" s="6" t="str">
        <f t="shared" si="170"/>
        <v>*0.94</v>
      </c>
      <c r="H1358" t="s">
        <v>2232</v>
      </c>
      <c r="I1358" s="5" t="s">
        <v>57</v>
      </c>
      <c r="J1358">
        <v>2050</v>
      </c>
      <c r="K1358" s="38" t="str">
        <f t="shared" si="171"/>
        <v>*0.92</v>
      </c>
      <c r="P1358" s="32" t="s">
        <v>2232</v>
      </c>
      <c r="Q1358" s="42" t="s">
        <v>57</v>
      </c>
      <c r="R1358" s="32">
        <v>2035</v>
      </c>
      <c r="S1358" s="43" t="str">
        <f t="shared" si="172"/>
        <v>*0.93</v>
      </c>
      <c r="U1358" s="32" t="s">
        <v>2232</v>
      </c>
      <c r="V1358" s="42" t="s">
        <v>57</v>
      </c>
      <c r="W1358" s="32">
        <v>2050</v>
      </c>
      <c r="X1358" s="43" t="str">
        <f t="shared" si="173"/>
        <v>*0.92</v>
      </c>
      <c r="AC1358" s="33" t="s">
        <v>2232</v>
      </c>
      <c r="AD1358" s="44" t="s">
        <v>57</v>
      </c>
      <c r="AE1358" s="33">
        <v>2035</v>
      </c>
      <c r="AF1358" s="45" t="str">
        <f t="shared" si="174"/>
        <v>*0.91</v>
      </c>
      <c r="AG1358" s="43" t="str">
        <f t="shared" si="176"/>
        <v>REZoning_Sol-Win</v>
      </c>
      <c r="AI1358" s="33" t="s">
        <v>2232</v>
      </c>
      <c r="AJ1358" s="44" t="s">
        <v>57</v>
      </c>
      <c r="AK1358" s="33">
        <v>2050</v>
      </c>
      <c r="AL1358" s="45" t="str">
        <f t="shared" si="175"/>
        <v>*0.87</v>
      </c>
      <c r="AM1358" s="43" t="str">
        <f t="shared" si="177"/>
        <v>REZoning_Sol-Win</v>
      </c>
      <c r="AP1358" t="s">
        <v>2232</v>
      </c>
      <c r="AQ1358" t="s">
        <v>57</v>
      </c>
      <c r="AR1358">
        <v>2100</v>
      </c>
      <c r="AS1358" t="s">
        <v>874</v>
      </c>
      <c r="AT1358" t="s">
        <v>58</v>
      </c>
    </row>
    <row r="1359" ht="29" spans="1:46">
      <c r="A1359" s="31" t="s">
        <v>169</v>
      </c>
      <c r="C1359" t="s">
        <v>2233</v>
      </c>
      <c r="D1359" s="5" t="s">
        <v>57</v>
      </c>
      <c r="E1359">
        <v>2035</v>
      </c>
      <c r="F1359" s="6" t="str">
        <f t="shared" si="170"/>
        <v>*0.94</v>
      </c>
      <c r="H1359" t="s">
        <v>2233</v>
      </c>
      <c r="I1359" s="5" t="s">
        <v>57</v>
      </c>
      <c r="J1359">
        <v>2050</v>
      </c>
      <c r="K1359" s="38" t="str">
        <f t="shared" si="171"/>
        <v>*0.92</v>
      </c>
      <c r="P1359" s="32" t="s">
        <v>2233</v>
      </c>
      <c r="Q1359" s="42" t="s">
        <v>57</v>
      </c>
      <c r="R1359" s="32">
        <v>2035</v>
      </c>
      <c r="S1359" s="43" t="str">
        <f t="shared" si="172"/>
        <v>*0.93</v>
      </c>
      <c r="U1359" s="32" t="s">
        <v>2233</v>
      </c>
      <c r="V1359" s="42" t="s">
        <v>57</v>
      </c>
      <c r="W1359" s="32">
        <v>2050</v>
      </c>
      <c r="X1359" s="43" t="str">
        <f t="shared" si="173"/>
        <v>*0.92</v>
      </c>
      <c r="AC1359" s="33" t="s">
        <v>2233</v>
      </c>
      <c r="AD1359" s="44" t="s">
        <v>57</v>
      </c>
      <c r="AE1359" s="33">
        <v>2035</v>
      </c>
      <c r="AF1359" s="45" t="str">
        <f t="shared" si="174"/>
        <v>*0.91</v>
      </c>
      <c r="AG1359" s="43" t="str">
        <f t="shared" si="176"/>
        <v>REZoning_Sol-Win</v>
      </c>
      <c r="AI1359" s="33" t="s">
        <v>2233</v>
      </c>
      <c r="AJ1359" s="44" t="s">
        <v>57</v>
      </c>
      <c r="AK1359" s="33">
        <v>2050</v>
      </c>
      <c r="AL1359" s="45" t="str">
        <f t="shared" si="175"/>
        <v>*0.87</v>
      </c>
      <c r="AM1359" s="43" t="str">
        <f t="shared" si="177"/>
        <v>REZoning_Sol-Win</v>
      </c>
      <c r="AP1359" t="s">
        <v>2233</v>
      </c>
      <c r="AQ1359" t="s">
        <v>57</v>
      </c>
      <c r="AR1359">
        <v>2100</v>
      </c>
      <c r="AS1359" t="s">
        <v>874</v>
      </c>
      <c r="AT1359" t="s">
        <v>58</v>
      </c>
    </row>
    <row r="1360" ht="29" spans="1:46">
      <c r="A1360" s="31" t="s">
        <v>169</v>
      </c>
      <c r="C1360" t="s">
        <v>2234</v>
      </c>
      <c r="D1360" s="5" t="s">
        <v>57</v>
      </c>
      <c r="E1360">
        <v>2035</v>
      </c>
      <c r="F1360" s="6" t="str">
        <f t="shared" si="170"/>
        <v>*0.94</v>
      </c>
      <c r="H1360" t="s">
        <v>2234</v>
      </c>
      <c r="I1360" s="5" t="s">
        <v>57</v>
      </c>
      <c r="J1360">
        <v>2050</v>
      </c>
      <c r="K1360" s="38" t="str">
        <f t="shared" si="171"/>
        <v>*0.92</v>
      </c>
      <c r="P1360" s="32" t="s">
        <v>2234</v>
      </c>
      <c r="Q1360" s="42" t="s">
        <v>57</v>
      </c>
      <c r="R1360" s="32">
        <v>2035</v>
      </c>
      <c r="S1360" s="43" t="str">
        <f t="shared" si="172"/>
        <v>*0.93</v>
      </c>
      <c r="U1360" s="32" t="s">
        <v>2234</v>
      </c>
      <c r="V1360" s="42" t="s">
        <v>57</v>
      </c>
      <c r="W1360" s="32">
        <v>2050</v>
      </c>
      <c r="X1360" s="43" t="str">
        <f t="shared" si="173"/>
        <v>*0.92</v>
      </c>
      <c r="AC1360" s="33" t="s">
        <v>2234</v>
      </c>
      <c r="AD1360" s="44" t="s">
        <v>57</v>
      </c>
      <c r="AE1360" s="33">
        <v>2035</v>
      </c>
      <c r="AF1360" s="45" t="str">
        <f t="shared" si="174"/>
        <v>*0.91</v>
      </c>
      <c r="AG1360" s="43" t="str">
        <f t="shared" si="176"/>
        <v>REZoning_Sol-Win</v>
      </c>
      <c r="AI1360" s="33" t="s">
        <v>2234</v>
      </c>
      <c r="AJ1360" s="44" t="s">
        <v>57</v>
      </c>
      <c r="AK1360" s="33">
        <v>2050</v>
      </c>
      <c r="AL1360" s="45" t="str">
        <f t="shared" si="175"/>
        <v>*0.87</v>
      </c>
      <c r="AM1360" s="43" t="str">
        <f t="shared" si="177"/>
        <v>REZoning_Sol-Win</v>
      </c>
      <c r="AP1360" t="s">
        <v>2234</v>
      </c>
      <c r="AQ1360" t="s">
        <v>57</v>
      </c>
      <c r="AR1360">
        <v>2100</v>
      </c>
      <c r="AS1360" t="s">
        <v>874</v>
      </c>
      <c r="AT1360" t="s">
        <v>58</v>
      </c>
    </row>
    <row r="1361" ht="29" spans="1:46">
      <c r="A1361" s="31" t="s">
        <v>169</v>
      </c>
      <c r="C1361" t="s">
        <v>2235</v>
      </c>
      <c r="D1361" s="5" t="s">
        <v>57</v>
      </c>
      <c r="E1361">
        <v>2035</v>
      </c>
      <c r="F1361" s="6" t="str">
        <f t="shared" si="170"/>
        <v>*0.94</v>
      </c>
      <c r="H1361" t="s">
        <v>2235</v>
      </c>
      <c r="I1361" s="5" t="s">
        <v>57</v>
      </c>
      <c r="J1361">
        <v>2050</v>
      </c>
      <c r="K1361" s="38" t="str">
        <f t="shared" si="171"/>
        <v>*0.92</v>
      </c>
      <c r="P1361" s="32" t="s">
        <v>2235</v>
      </c>
      <c r="Q1361" s="42" t="s">
        <v>57</v>
      </c>
      <c r="R1361" s="32">
        <v>2035</v>
      </c>
      <c r="S1361" s="43" t="str">
        <f t="shared" si="172"/>
        <v>*0.93</v>
      </c>
      <c r="U1361" s="32" t="s">
        <v>2235</v>
      </c>
      <c r="V1361" s="42" t="s">
        <v>57</v>
      </c>
      <c r="W1361" s="32">
        <v>2050</v>
      </c>
      <c r="X1361" s="43" t="str">
        <f t="shared" si="173"/>
        <v>*0.92</v>
      </c>
      <c r="AC1361" s="33" t="s">
        <v>2235</v>
      </c>
      <c r="AD1361" s="44" t="s">
        <v>57</v>
      </c>
      <c r="AE1361" s="33">
        <v>2035</v>
      </c>
      <c r="AF1361" s="45" t="str">
        <f t="shared" si="174"/>
        <v>*0.91</v>
      </c>
      <c r="AG1361" s="43" t="str">
        <f t="shared" si="176"/>
        <v>REZoning_Sol-Win</v>
      </c>
      <c r="AI1361" s="33" t="s">
        <v>2235</v>
      </c>
      <c r="AJ1361" s="44" t="s">
        <v>57</v>
      </c>
      <c r="AK1361" s="33">
        <v>2050</v>
      </c>
      <c r="AL1361" s="45" t="str">
        <f t="shared" si="175"/>
        <v>*0.87</v>
      </c>
      <c r="AM1361" s="43" t="str">
        <f t="shared" si="177"/>
        <v>REZoning_Sol-Win</v>
      </c>
      <c r="AP1361" t="s">
        <v>2235</v>
      </c>
      <c r="AQ1361" t="s">
        <v>57</v>
      </c>
      <c r="AR1361">
        <v>2100</v>
      </c>
      <c r="AS1361" t="s">
        <v>874</v>
      </c>
      <c r="AT1361" t="s">
        <v>58</v>
      </c>
    </row>
    <row r="1362" ht="29" spans="1:46">
      <c r="A1362" s="31" t="s">
        <v>169</v>
      </c>
      <c r="C1362" t="s">
        <v>2236</v>
      </c>
      <c r="D1362" s="5" t="s">
        <v>57</v>
      </c>
      <c r="E1362">
        <v>2035</v>
      </c>
      <c r="F1362" s="6" t="str">
        <f t="shared" si="170"/>
        <v>*0.94</v>
      </c>
      <c r="H1362" t="s">
        <v>2236</v>
      </c>
      <c r="I1362" s="5" t="s">
        <v>57</v>
      </c>
      <c r="J1362">
        <v>2050</v>
      </c>
      <c r="K1362" s="38" t="str">
        <f t="shared" si="171"/>
        <v>*0.92</v>
      </c>
      <c r="P1362" s="32" t="s">
        <v>2236</v>
      </c>
      <c r="Q1362" s="42" t="s">
        <v>57</v>
      </c>
      <c r="R1362" s="32">
        <v>2035</v>
      </c>
      <c r="S1362" s="43" t="str">
        <f t="shared" si="172"/>
        <v>*0.93</v>
      </c>
      <c r="U1362" s="32" t="s">
        <v>2236</v>
      </c>
      <c r="V1362" s="42" t="s">
        <v>57</v>
      </c>
      <c r="W1362" s="32">
        <v>2050</v>
      </c>
      <c r="X1362" s="43" t="str">
        <f t="shared" si="173"/>
        <v>*0.92</v>
      </c>
      <c r="AC1362" s="33" t="s">
        <v>2236</v>
      </c>
      <c r="AD1362" s="44" t="s">
        <v>57</v>
      </c>
      <c r="AE1362" s="33">
        <v>2035</v>
      </c>
      <c r="AF1362" s="45" t="str">
        <f t="shared" si="174"/>
        <v>*0.91</v>
      </c>
      <c r="AG1362" s="43" t="str">
        <f t="shared" si="176"/>
        <v>REZoning_Sol-Win</v>
      </c>
      <c r="AI1362" s="33" t="s">
        <v>2236</v>
      </c>
      <c r="AJ1362" s="44" t="s">
        <v>57</v>
      </c>
      <c r="AK1362" s="33">
        <v>2050</v>
      </c>
      <c r="AL1362" s="45" t="str">
        <f t="shared" si="175"/>
        <v>*0.87</v>
      </c>
      <c r="AM1362" s="43" t="str">
        <f t="shared" si="177"/>
        <v>REZoning_Sol-Win</v>
      </c>
      <c r="AP1362" t="s">
        <v>2236</v>
      </c>
      <c r="AQ1362" t="s">
        <v>57</v>
      </c>
      <c r="AR1362">
        <v>2100</v>
      </c>
      <c r="AS1362" t="s">
        <v>874</v>
      </c>
      <c r="AT1362" t="s">
        <v>58</v>
      </c>
    </row>
    <row r="1363" ht="29" spans="1:46">
      <c r="A1363" s="31" t="s">
        <v>169</v>
      </c>
      <c r="C1363" t="s">
        <v>2237</v>
      </c>
      <c r="D1363" s="5" t="s">
        <v>57</v>
      </c>
      <c r="E1363">
        <v>2035</v>
      </c>
      <c r="F1363" s="6" t="str">
        <f t="shared" si="170"/>
        <v>*0.94</v>
      </c>
      <c r="H1363" t="s">
        <v>2237</v>
      </c>
      <c r="I1363" s="5" t="s">
        <v>57</v>
      </c>
      <c r="J1363">
        <v>2050</v>
      </c>
      <c r="K1363" s="38" t="str">
        <f t="shared" si="171"/>
        <v>*0.92</v>
      </c>
      <c r="P1363" s="32" t="s">
        <v>2237</v>
      </c>
      <c r="Q1363" s="42" t="s">
        <v>57</v>
      </c>
      <c r="R1363" s="32">
        <v>2035</v>
      </c>
      <c r="S1363" s="43" t="str">
        <f t="shared" si="172"/>
        <v>*0.93</v>
      </c>
      <c r="U1363" s="32" t="s">
        <v>2237</v>
      </c>
      <c r="V1363" s="42" t="s">
        <v>57</v>
      </c>
      <c r="W1363" s="32">
        <v>2050</v>
      </c>
      <c r="X1363" s="43" t="str">
        <f t="shared" si="173"/>
        <v>*0.92</v>
      </c>
      <c r="AC1363" s="33" t="s">
        <v>2237</v>
      </c>
      <c r="AD1363" s="44" t="s">
        <v>57</v>
      </c>
      <c r="AE1363" s="33">
        <v>2035</v>
      </c>
      <c r="AF1363" s="45" t="str">
        <f t="shared" si="174"/>
        <v>*0.91</v>
      </c>
      <c r="AG1363" s="43" t="str">
        <f t="shared" si="176"/>
        <v>REZoning_Sol-Win</v>
      </c>
      <c r="AI1363" s="33" t="s">
        <v>2237</v>
      </c>
      <c r="AJ1363" s="44" t="s">
        <v>57</v>
      </c>
      <c r="AK1363" s="33">
        <v>2050</v>
      </c>
      <c r="AL1363" s="45" t="str">
        <f t="shared" si="175"/>
        <v>*0.87</v>
      </c>
      <c r="AM1363" s="43" t="str">
        <f t="shared" si="177"/>
        <v>REZoning_Sol-Win</v>
      </c>
      <c r="AP1363" t="s">
        <v>2237</v>
      </c>
      <c r="AQ1363" t="s">
        <v>57</v>
      </c>
      <c r="AR1363">
        <v>2100</v>
      </c>
      <c r="AS1363" t="s">
        <v>874</v>
      </c>
      <c r="AT1363" t="s">
        <v>58</v>
      </c>
    </row>
    <row r="1364" ht="29" spans="1:46">
      <c r="A1364" s="31" t="s">
        <v>169</v>
      </c>
      <c r="C1364" t="s">
        <v>2238</v>
      </c>
      <c r="D1364" s="5" t="s">
        <v>57</v>
      </c>
      <c r="E1364">
        <v>2035</v>
      </c>
      <c r="F1364" s="6" t="str">
        <f t="shared" si="170"/>
        <v>*0.94</v>
      </c>
      <c r="H1364" t="s">
        <v>2238</v>
      </c>
      <c r="I1364" s="5" t="s">
        <v>57</v>
      </c>
      <c r="J1364">
        <v>2050</v>
      </c>
      <c r="K1364" s="38" t="str">
        <f t="shared" si="171"/>
        <v>*0.92</v>
      </c>
      <c r="P1364" s="32" t="s">
        <v>2238</v>
      </c>
      <c r="Q1364" s="42" t="s">
        <v>57</v>
      </c>
      <c r="R1364" s="32">
        <v>2035</v>
      </c>
      <c r="S1364" s="43" t="str">
        <f t="shared" si="172"/>
        <v>*0.93</v>
      </c>
      <c r="U1364" s="32" t="s">
        <v>2238</v>
      </c>
      <c r="V1364" s="42" t="s">
        <v>57</v>
      </c>
      <c r="W1364" s="32">
        <v>2050</v>
      </c>
      <c r="X1364" s="43" t="str">
        <f t="shared" si="173"/>
        <v>*0.92</v>
      </c>
      <c r="AC1364" s="33" t="s">
        <v>2238</v>
      </c>
      <c r="AD1364" s="44" t="s">
        <v>57</v>
      </c>
      <c r="AE1364" s="33">
        <v>2035</v>
      </c>
      <c r="AF1364" s="45" t="str">
        <f t="shared" si="174"/>
        <v>*0.91</v>
      </c>
      <c r="AG1364" s="43" t="str">
        <f t="shared" si="176"/>
        <v>REZoning_Sol-Win</v>
      </c>
      <c r="AI1364" s="33" t="s">
        <v>2238</v>
      </c>
      <c r="AJ1364" s="44" t="s">
        <v>57</v>
      </c>
      <c r="AK1364" s="33">
        <v>2050</v>
      </c>
      <c r="AL1364" s="45" t="str">
        <f t="shared" si="175"/>
        <v>*0.87</v>
      </c>
      <c r="AM1364" s="43" t="str">
        <f t="shared" si="177"/>
        <v>REZoning_Sol-Win</v>
      </c>
      <c r="AP1364" t="s">
        <v>2238</v>
      </c>
      <c r="AQ1364" t="s">
        <v>57</v>
      </c>
      <c r="AR1364">
        <v>2100</v>
      </c>
      <c r="AS1364" t="s">
        <v>874</v>
      </c>
      <c r="AT1364" t="s">
        <v>58</v>
      </c>
    </row>
    <row r="1365" ht="29" spans="1:46">
      <c r="A1365" s="31" t="s">
        <v>169</v>
      </c>
      <c r="C1365" t="s">
        <v>2239</v>
      </c>
      <c r="D1365" s="5" t="s">
        <v>57</v>
      </c>
      <c r="E1365">
        <v>2035</v>
      </c>
      <c r="F1365" s="6" t="str">
        <f t="shared" si="170"/>
        <v>*0.94</v>
      </c>
      <c r="H1365" t="s">
        <v>2239</v>
      </c>
      <c r="I1365" s="5" t="s">
        <v>57</v>
      </c>
      <c r="J1365">
        <v>2050</v>
      </c>
      <c r="K1365" s="38" t="str">
        <f t="shared" si="171"/>
        <v>*0.92</v>
      </c>
      <c r="P1365" s="32" t="s">
        <v>2239</v>
      </c>
      <c r="Q1365" s="42" t="s">
        <v>57</v>
      </c>
      <c r="R1365" s="32">
        <v>2035</v>
      </c>
      <c r="S1365" s="43" t="str">
        <f t="shared" si="172"/>
        <v>*0.93</v>
      </c>
      <c r="U1365" s="32" t="s">
        <v>2239</v>
      </c>
      <c r="V1365" s="42" t="s">
        <v>57</v>
      </c>
      <c r="W1365" s="32">
        <v>2050</v>
      </c>
      <c r="X1365" s="43" t="str">
        <f t="shared" si="173"/>
        <v>*0.92</v>
      </c>
      <c r="AC1365" s="33" t="s">
        <v>2239</v>
      </c>
      <c r="AD1365" s="44" t="s">
        <v>57</v>
      </c>
      <c r="AE1365" s="33">
        <v>2035</v>
      </c>
      <c r="AF1365" s="45" t="str">
        <f t="shared" si="174"/>
        <v>*0.91</v>
      </c>
      <c r="AG1365" s="43" t="str">
        <f t="shared" si="176"/>
        <v>REZoning_Sol-Win</v>
      </c>
      <c r="AI1365" s="33" t="s">
        <v>2239</v>
      </c>
      <c r="AJ1365" s="44" t="s">
        <v>57</v>
      </c>
      <c r="AK1365" s="33">
        <v>2050</v>
      </c>
      <c r="AL1365" s="45" t="str">
        <f t="shared" si="175"/>
        <v>*0.87</v>
      </c>
      <c r="AM1365" s="43" t="str">
        <f t="shared" si="177"/>
        <v>REZoning_Sol-Win</v>
      </c>
      <c r="AP1365" t="s">
        <v>2239</v>
      </c>
      <c r="AQ1365" t="s">
        <v>57</v>
      </c>
      <c r="AR1365">
        <v>2100</v>
      </c>
      <c r="AS1365" t="s">
        <v>874</v>
      </c>
      <c r="AT1365" t="s">
        <v>58</v>
      </c>
    </row>
    <row r="1366" ht="29" spans="1:46">
      <c r="A1366" s="31" t="s">
        <v>169</v>
      </c>
      <c r="C1366" t="s">
        <v>2240</v>
      </c>
      <c r="D1366" s="5" t="s">
        <v>57</v>
      </c>
      <c r="E1366">
        <v>2035</v>
      </c>
      <c r="F1366" s="6" t="str">
        <f t="shared" si="170"/>
        <v>*0.94</v>
      </c>
      <c r="H1366" t="s">
        <v>2240</v>
      </c>
      <c r="I1366" s="5" t="s">
        <v>57</v>
      </c>
      <c r="J1366">
        <v>2050</v>
      </c>
      <c r="K1366" s="38" t="str">
        <f t="shared" si="171"/>
        <v>*0.92</v>
      </c>
      <c r="P1366" s="32" t="s">
        <v>2240</v>
      </c>
      <c r="Q1366" s="42" t="s">
        <v>57</v>
      </c>
      <c r="R1366" s="32">
        <v>2035</v>
      </c>
      <c r="S1366" s="43" t="str">
        <f t="shared" si="172"/>
        <v>*0.93</v>
      </c>
      <c r="U1366" s="32" t="s">
        <v>2240</v>
      </c>
      <c r="V1366" s="42" t="s">
        <v>57</v>
      </c>
      <c r="W1366" s="32">
        <v>2050</v>
      </c>
      <c r="X1366" s="43" t="str">
        <f t="shared" si="173"/>
        <v>*0.92</v>
      </c>
      <c r="AC1366" s="33" t="s">
        <v>2240</v>
      </c>
      <c r="AD1366" s="44" t="s">
        <v>57</v>
      </c>
      <c r="AE1366" s="33">
        <v>2035</v>
      </c>
      <c r="AF1366" s="45" t="str">
        <f t="shared" si="174"/>
        <v>*0.91</v>
      </c>
      <c r="AG1366" s="43" t="str">
        <f t="shared" si="176"/>
        <v>REZoning_Sol-Win</v>
      </c>
      <c r="AI1366" s="33" t="s">
        <v>2240</v>
      </c>
      <c r="AJ1366" s="44" t="s">
        <v>57</v>
      </c>
      <c r="AK1366" s="33">
        <v>2050</v>
      </c>
      <c r="AL1366" s="45" t="str">
        <f t="shared" si="175"/>
        <v>*0.87</v>
      </c>
      <c r="AM1366" s="43" t="str">
        <f t="shared" si="177"/>
        <v>REZoning_Sol-Win</v>
      </c>
      <c r="AP1366" t="s">
        <v>2240</v>
      </c>
      <c r="AQ1366" t="s">
        <v>57</v>
      </c>
      <c r="AR1366">
        <v>2100</v>
      </c>
      <c r="AS1366" t="s">
        <v>874</v>
      </c>
      <c r="AT1366" t="s">
        <v>58</v>
      </c>
    </row>
    <row r="1367" ht="29" spans="1:46">
      <c r="A1367" s="31" t="s">
        <v>169</v>
      </c>
      <c r="C1367" t="s">
        <v>2241</v>
      </c>
      <c r="D1367" s="5" t="s">
        <v>57</v>
      </c>
      <c r="E1367">
        <v>2035</v>
      </c>
      <c r="F1367" s="6" t="str">
        <f t="shared" si="170"/>
        <v>*0.94</v>
      </c>
      <c r="H1367" t="s">
        <v>2241</v>
      </c>
      <c r="I1367" s="5" t="s">
        <v>57</v>
      </c>
      <c r="J1367">
        <v>2050</v>
      </c>
      <c r="K1367" s="38" t="str">
        <f t="shared" si="171"/>
        <v>*0.92</v>
      </c>
      <c r="P1367" s="32" t="s">
        <v>2241</v>
      </c>
      <c r="Q1367" s="42" t="s">
        <v>57</v>
      </c>
      <c r="R1367" s="32">
        <v>2035</v>
      </c>
      <c r="S1367" s="43" t="str">
        <f t="shared" si="172"/>
        <v>*0.93</v>
      </c>
      <c r="U1367" s="32" t="s">
        <v>2241</v>
      </c>
      <c r="V1367" s="42" t="s">
        <v>57</v>
      </c>
      <c r="W1367" s="32">
        <v>2050</v>
      </c>
      <c r="X1367" s="43" t="str">
        <f t="shared" si="173"/>
        <v>*0.92</v>
      </c>
      <c r="AC1367" s="33" t="s">
        <v>2241</v>
      </c>
      <c r="AD1367" s="44" t="s">
        <v>57</v>
      </c>
      <c r="AE1367" s="33">
        <v>2035</v>
      </c>
      <c r="AF1367" s="45" t="str">
        <f t="shared" si="174"/>
        <v>*0.91</v>
      </c>
      <c r="AG1367" s="43" t="str">
        <f t="shared" si="176"/>
        <v>REZoning_Sol-Win</v>
      </c>
      <c r="AI1367" s="33" t="s">
        <v>2241</v>
      </c>
      <c r="AJ1367" s="44" t="s">
        <v>57</v>
      </c>
      <c r="AK1367" s="33">
        <v>2050</v>
      </c>
      <c r="AL1367" s="45" t="str">
        <f t="shared" si="175"/>
        <v>*0.87</v>
      </c>
      <c r="AM1367" s="43" t="str">
        <f t="shared" si="177"/>
        <v>REZoning_Sol-Win</v>
      </c>
      <c r="AP1367" t="s">
        <v>2241</v>
      </c>
      <c r="AQ1367" t="s">
        <v>57</v>
      </c>
      <c r="AR1367">
        <v>2100</v>
      </c>
      <c r="AS1367" t="s">
        <v>874</v>
      </c>
      <c r="AT1367" t="s">
        <v>58</v>
      </c>
    </row>
    <row r="1368" ht="29" spans="1:46">
      <c r="A1368" s="31" t="s">
        <v>169</v>
      </c>
      <c r="C1368" t="s">
        <v>2242</v>
      </c>
      <c r="D1368" s="5" t="s">
        <v>57</v>
      </c>
      <c r="E1368">
        <v>2035</v>
      </c>
      <c r="F1368" s="6" t="str">
        <f t="shared" si="170"/>
        <v>*0.94</v>
      </c>
      <c r="H1368" t="s">
        <v>2242</v>
      </c>
      <c r="I1368" s="5" t="s">
        <v>57</v>
      </c>
      <c r="J1368">
        <v>2050</v>
      </c>
      <c r="K1368" s="38" t="str">
        <f t="shared" si="171"/>
        <v>*0.92</v>
      </c>
      <c r="P1368" s="32" t="s">
        <v>2242</v>
      </c>
      <c r="Q1368" s="42" t="s">
        <v>57</v>
      </c>
      <c r="R1368" s="32">
        <v>2035</v>
      </c>
      <c r="S1368" s="43" t="str">
        <f t="shared" si="172"/>
        <v>*0.93</v>
      </c>
      <c r="U1368" s="32" t="s">
        <v>2242</v>
      </c>
      <c r="V1368" s="42" t="s">
        <v>57</v>
      </c>
      <c r="W1368" s="32">
        <v>2050</v>
      </c>
      <c r="X1368" s="43" t="str">
        <f t="shared" si="173"/>
        <v>*0.92</v>
      </c>
      <c r="AC1368" s="33" t="s">
        <v>2242</v>
      </c>
      <c r="AD1368" s="44" t="s">
        <v>57</v>
      </c>
      <c r="AE1368" s="33">
        <v>2035</v>
      </c>
      <c r="AF1368" s="45" t="str">
        <f t="shared" si="174"/>
        <v>*0.91</v>
      </c>
      <c r="AG1368" s="43" t="str">
        <f t="shared" si="176"/>
        <v>REZoning_Sol-Win</v>
      </c>
      <c r="AI1368" s="33" t="s">
        <v>2242</v>
      </c>
      <c r="AJ1368" s="44" t="s">
        <v>57</v>
      </c>
      <c r="AK1368" s="33">
        <v>2050</v>
      </c>
      <c r="AL1368" s="45" t="str">
        <f t="shared" si="175"/>
        <v>*0.87</v>
      </c>
      <c r="AM1368" s="43" t="str">
        <f t="shared" si="177"/>
        <v>REZoning_Sol-Win</v>
      </c>
      <c r="AP1368" t="s">
        <v>2242</v>
      </c>
      <c r="AQ1368" t="s">
        <v>57</v>
      </c>
      <c r="AR1368">
        <v>2100</v>
      </c>
      <c r="AS1368" t="s">
        <v>874</v>
      </c>
      <c r="AT1368" t="s">
        <v>58</v>
      </c>
    </row>
    <row r="1369" ht="29" spans="1:46">
      <c r="A1369" s="31" t="s">
        <v>169</v>
      </c>
      <c r="C1369" t="s">
        <v>2243</v>
      </c>
      <c r="D1369" s="5" t="s">
        <v>57</v>
      </c>
      <c r="E1369">
        <v>2035</v>
      </c>
      <c r="F1369" s="6" t="str">
        <f t="shared" si="170"/>
        <v>*0.94</v>
      </c>
      <c r="H1369" t="s">
        <v>2243</v>
      </c>
      <c r="I1369" s="5" t="s">
        <v>57</v>
      </c>
      <c r="J1369">
        <v>2050</v>
      </c>
      <c r="K1369" s="38" t="str">
        <f t="shared" si="171"/>
        <v>*0.92</v>
      </c>
      <c r="P1369" s="32" t="s">
        <v>2243</v>
      </c>
      <c r="Q1369" s="42" t="s">
        <v>57</v>
      </c>
      <c r="R1369" s="32">
        <v>2035</v>
      </c>
      <c r="S1369" s="43" t="str">
        <f t="shared" si="172"/>
        <v>*0.93</v>
      </c>
      <c r="U1369" s="32" t="s">
        <v>2243</v>
      </c>
      <c r="V1369" s="42" t="s">
        <v>57</v>
      </c>
      <c r="W1369" s="32">
        <v>2050</v>
      </c>
      <c r="X1369" s="43" t="str">
        <f t="shared" si="173"/>
        <v>*0.92</v>
      </c>
      <c r="AC1369" s="33" t="s">
        <v>2243</v>
      </c>
      <c r="AD1369" s="44" t="s">
        <v>57</v>
      </c>
      <c r="AE1369" s="33">
        <v>2035</v>
      </c>
      <c r="AF1369" s="45" t="str">
        <f t="shared" si="174"/>
        <v>*0.91</v>
      </c>
      <c r="AG1369" s="43" t="str">
        <f t="shared" si="176"/>
        <v>REZoning_Sol-Win</v>
      </c>
      <c r="AI1369" s="33" t="s">
        <v>2243</v>
      </c>
      <c r="AJ1369" s="44" t="s">
        <v>57</v>
      </c>
      <c r="AK1369" s="33">
        <v>2050</v>
      </c>
      <c r="AL1369" s="45" t="str">
        <f t="shared" si="175"/>
        <v>*0.87</v>
      </c>
      <c r="AM1369" s="43" t="str">
        <f t="shared" si="177"/>
        <v>REZoning_Sol-Win</v>
      </c>
      <c r="AP1369" t="s">
        <v>2243</v>
      </c>
      <c r="AQ1369" t="s">
        <v>57</v>
      </c>
      <c r="AR1369">
        <v>2100</v>
      </c>
      <c r="AS1369" t="s">
        <v>874</v>
      </c>
      <c r="AT1369" t="s">
        <v>58</v>
      </c>
    </row>
    <row r="1370" ht="29" spans="1:46">
      <c r="A1370" s="31" t="s">
        <v>169</v>
      </c>
      <c r="C1370" t="s">
        <v>2244</v>
      </c>
      <c r="D1370" s="5" t="s">
        <v>57</v>
      </c>
      <c r="E1370">
        <v>2035</v>
      </c>
      <c r="F1370" s="6" t="str">
        <f t="shared" si="170"/>
        <v>*0.94</v>
      </c>
      <c r="H1370" t="s">
        <v>2244</v>
      </c>
      <c r="I1370" s="5" t="s">
        <v>57</v>
      </c>
      <c r="J1370">
        <v>2050</v>
      </c>
      <c r="K1370" s="38" t="str">
        <f t="shared" si="171"/>
        <v>*0.92</v>
      </c>
      <c r="P1370" s="32" t="s">
        <v>2244</v>
      </c>
      <c r="Q1370" s="42" t="s">
        <v>57</v>
      </c>
      <c r="R1370" s="32">
        <v>2035</v>
      </c>
      <c r="S1370" s="43" t="str">
        <f t="shared" si="172"/>
        <v>*0.93</v>
      </c>
      <c r="U1370" s="32" t="s">
        <v>2244</v>
      </c>
      <c r="V1370" s="42" t="s">
        <v>57</v>
      </c>
      <c r="W1370" s="32">
        <v>2050</v>
      </c>
      <c r="X1370" s="43" t="str">
        <f t="shared" si="173"/>
        <v>*0.92</v>
      </c>
      <c r="AC1370" s="33" t="s">
        <v>2244</v>
      </c>
      <c r="AD1370" s="44" t="s">
        <v>57</v>
      </c>
      <c r="AE1370" s="33">
        <v>2035</v>
      </c>
      <c r="AF1370" s="45" t="str">
        <f t="shared" si="174"/>
        <v>*0.91</v>
      </c>
      <c r="AG1370" s="43" t="str">
        <f t="shared" si="176"/>
        <v>REZoning_Sol-Win</v>
      </c>
      <c r="AI1370" s="33" t="s">
        <v>2244</v>
      </c>
      <c r="AJ1370" s="44" t="s">
        <v>57</v>
      </c>
      <c r="AK1370" s="33">
        <v>2050</v>
      </c>
      <c r="AL1370" s="45" t="str">
        <f t="shared" si="175"/>
        <v>*0.87</v>
      </c>
      <c r="AM1370" s="43" t="str">
        <f t="shared" si="177"/>
        <v>REZoning_Sol-Win</v>
      </c>
      <c r="AP1370" t="s">
        <v>2244</v>
      </c>
      <c r="AQ1370" t="s">
        <v>57</v>
      </c>
      <c r="AR1370">
        <v>2100</v>
      </c>
      <c r="AS1370" t="s">
        <v>874</v>
      </c>
      <c r="AT1370" t="s">
        <v>58</v>
      </c>
    </row>
    <row r="1371" ht="29" spans="1:46">
      <c r="A1371" s="31" t="s">
        <v>169</v>
      </c>
      <c r="C1371" t="s">
        <v>2245</v>
      </c>
      <c r="D1371" s="5" t="s">
        <v>57</v>
      </c>
      <c r="E1371">
        <v>2035</v>
      </c>
      <c r="F1371" s="6" t="str">
        <f t="shared" si="170"/>
        <v>*0.94</v>
      </c>
      <c r="H1371" t="s">
        <v>2245</v>
      </c>
      <c r="I1371" s="5" t="s">
        <v>57</v>
      </c>
      <c r="J1371">
        <v>2050</v>
      </c>
      <c r="K1371" s="38" t="str">
        <f t="shared" si="171"/>
        <v>*0.92</v>
      </c>
      <c r="P1371" s="32" t="s">
        <v>2245</v>
      </c>
      <c r="Q1371" s="42" t="s">
        <v>57</v>
      </c>
      <c r="R1371" s="32">
        <v>2035</v>
      </c>
      <c r="S1371" s="43" t="str">
        <f t="shared" si="172"/>
        <v>*0.93</v>
      </c>
      <c r="U1371" s="32" t="s">
        <v>2245</v>
      </c>
      <c r="V1371" s="42" t="s">
        <v>57</v>
      </c>
      <c r="W1371" s="32">
        <v>2050</v>
      </c>
      <c r="X1371" s="43" t="str">
        <f t="shared" si="173"/>
        <v>*0.92</v>
      </c>
      <c r="AC1371" s="33" t="s">
        <v>2245</v>
      </c>
      <c r="AD1371" s="44" t="s">
        <v>57</v>
      </c>
      <c r="AE1371" s="33">
        <v>2035</v>
      </c>
      <c r="AF1371" s="45" t="str">
        <f t="shared" si="174"/>
        <v>*0.91</v>
      </c>
      <c r="AG1371" s="43" t="str">
        <f t="shared" si="176"/>
        <v>REZoning_Sol-Win</v>
      </c>
      <c r="AI1371" s="33" t="s">
        <v>2245</v>
      </c>
      <c r="AJ1371" s="44" t="s">
        <v>57</v>
      </c>
      <c r="AK1371" s="33">
        <v>2050</v>
      </c>
      <c r="AL1371" s="45" t="str">
        <f t="shared" si="175"/>
        <v>*0.87</v>
      </c>
      <c r="AM1371" s="43" t="str">
        <f t="shared" si="177"/>
        <v>REZoning_Sol-Win</v>
      </c>
      <c r="AP1371" t="s">
        <v>2245</v>
      </c>
      <c r="AQ1371" t="s">
        <v>57</v>
      </c>
      <c r="AR1371">
        <v>2100</v>
      </c>
      <c r="AS1371" t="s">
        <v>874</v>
      </c>
      <c r="AT1371" t="s">
        <v>58</v>
      </c>
    </row>
    <row r="1372" ht="29" spans="1:46">
      <c r="A1372" s="31" t="s">
        <v>169</v>
      </c>
      <c r="C1372" t="s">
        <v>2246</v>
      </c>
      <c r="D1372" s="5" t="s">
        <v>57</v>
      </c>
      <c r="E1372">
        <v>2035</v>
      </c>
      <c r="F1372" s="6" t="str">
        <f t="shared" si="170"/>
        <v>*0.94</v>
      </c>
      <c r="H1372" t="s">
        <v>2246</v>
      </c>
      <c r="I1372" s="5" t="s">
        <v>57</v>
      </c>
      <c r="J1372">
        <v>2050</v>
      </c>
      <c r="K1372" s="38" t="str">
        <f t="shared" si="171"/>
        <v>*0.92</v>
      </c>
      <c r="P1372" s="32" t="s">
        <v>2246</v>
      </c>
      <c r="Q1372" s="42" t="s">
        <v>57</v>
      </c>
      <c r="R1372" s="32">
        <v>2035</v>
      </c>
      <c r="S1372" s="43" t="str">
        <f t="shared" si="172"/>
        <v>*0.93</v>
      </c>
      <c r="U1372" s="32" t="s">
        <v>2246</v>
      </c>
      <c r="V1372" s="42" t="s">
        <v>57</v>
      </c>
      <c r="W1372" s="32">
        <v>2050</v>
      </c>
      <c r="X1372" s="43" t="str">
        <f t="shared" si="173"/>
        <v>*0.92</v>
      </c>
      <c r="AC1372" s="33" t="s">
        <v>2246</v>
      </c>
      <c r="AD1372" s="44" t="s">
        <v>57</v>
      </c>
      <c r="AE1372" s="33">
        <v>2035</v>
      </c>
      <c r="AF1372" s="45" t="str">
        <f t="shared" si="174"/>
        <v>*0.91</v>
      </c>
      <c r="AG1372" s="43" t="str">
        <f t="shared" si="176"/>
        <v>REZoning_Sol-Win</v>
      </c>
      <c r="AI1372" s="33" t="s">
        <v>2246</v>
      </c>
      <c r="AJ1372" s="44" t="s">
        <v>57</v>
      </c>
      <c r="AK1372" s="33">
        <v>2050</v>
      </c>
      <c r="AL1372" s="45" t="str">
        <f t="shared" si="175"/>
        <v>*0.87</v>
      </c>
      <c r="AM1372" s="43" t="str">
        <f t="shared" si="177"/>
        <v>REZoning_Sol-Win</v>
      </c>
      <c r="AP1372" t="s">
        <v>2246</v>
      </c>
      <c r="AQ1372" t="s">
        <v>57</v>
      </c>
      <c r="AR1372">
        <v>2100</v>
      </c>
      <c r="AS1372" t="s">
        <v>874</v>
      </c>
      <c r="AT1372" t="s">
        <v>58</v>
      </c>
    </row>
    <row r="1373" ht="29" spans="1:46">
      <c r="A1373" s="31" t="s">
        <v>169</v>
      </c>
      <c r="C1373" t="s">
        <v>2247</v>
      </c>
      <c r="D1373" s="5" t="s">
        <v>57</v>
      </c>
      <c r="E1373">
        <v>2035</v>
      </c>
      <c r="F1373" s="6" t="str">
        <f t="shared" si="170"/>
        <v>*0.94</v>
      </c>
      <c r="H1373" t="s">
        <v>2247</v>
      </c>
      <c r="I1373" s="5" t="s">
        <v>57</v>
      </c>
      <c r="J1373">
        <v>2050</v>
      </c>
      <c r="K1373" s="38" t="str">
        <f t="shared" si="171"/>
        <v>*0.92</v>
      </c>
      <c r="P1373" s="32" t="s">
        <v>2247</v>
      </c>
      <c r="Q1373" s="42" t="s">
        <v>57</v>
      </c>
      <c r="R1373" s="32">
        <v>2035</v>
      </c>
      <c r="S1373" s="43" t="str">
        <f t="shared" si="172"/>
        <v>*0.93</v>
      </c>
      <c r="U1373" s="32" t="s">
        <v>2247</v>
      </c>
      <c r="V1373" s="42" t="s">
        <v>57</v>
      </c>
      <c r="W1373" s="32">
        <v>2050</v>
      </c>
      <c r="X1373" s="43" t="str">
        <f t="shared" si="173"/>
        <v>*0.92</v>
      </c>
      <c r="AC1373" s="33" t="s">
        <v>2247</v>
      </c>
      <c r="AD1373" s="44" t="s">
        <v>57</v>
      </c>
      <c r="AE1373" s="33">
        <v>2035</v>
      </c>
      <c r="AF1373" s="45" t="str">
        <f t="shared" si="174"/>
        <v>*0.91</v>
      </c>
      <c r="AG1373" s="43" t="str">
        <f t="shared" si="176"/>
        <v>REZoning_Sol-Win</v>
      </c>
      <c r="AI1373" s="33" t="s">
        <v>2247</v>
      </c>
      <c r="AJ1373" s="44" t="s">
        <v>57</v>
      </c>
      <c r="AK1373" s="33">
        <v>2050</v>
      </c>
      <c r="AL1373" s="45" t="str">
        <f t="shared" si="175"/>
        <v>*0.87</v>
      </c>
      <c r="AM1373" s="43" t="str">
        <f t="shared" si="177"/>
        <v>REZoning_Sol-Win</v>
      </c>
      <c r="AP1373" t="s">
        <v>2247</v>
      </c>
      <c r="AQ1373" t="s">
        <v>57</v>
      </c>
      <c r="AR1373">
        <v>2100</v>
      </c>
      <c r="AS1373" t="s">
        <v>874</v>
      </c>
      <c r="AT1373" t="s">
        <v>58</v>
      </c>
    </row>
    <row r="1374" ht="29" spans="1:46">
      <c r="A1374" s="31" t="s">
        <v>169</v>
      </c>
      <c r="C1374" t="s">
        <v>2248</v>
      </c>
      <c r="D1374" s="5" t="s">
        <v>57</v>
      </c>
      <c r="E1374">
        <v>2035</v>
      </c>
      <c r="F1374" s="6" t="str">
        <f t="shared" si="170"/>
        <v>*0.94</v>
      </c>
      <c r="H1374" t="s">
        <v>2248</v>
      </c>
      <c r="I1374" s="5" t="s">
        <v>57</v>
      </c>
      <c r="J1374">
        <v>2050</v>
      </c>
      <c r="K1374" s="38" t="str">
        <f t="shared" si="171"/>
        <v>*0.92</v>
      </c>
      <c r="P1374" s="32" t="s">
        <v>2248</v>
      </c>
      <c r="Q1374" s="42" t="s">
        <v>57</v>
      </c>
      <c r="R1374" s="32">
        <v>2035</v>
      </c>
      <c r="S1374" s="43" t="str">
        <f t="shared" si="172"/>
        <v>*0.93</v>
      </c>
      <c r="U1374" s="32" t="s">
        <v>2248</v>
      </c>
      <c r="V1374" s="42" t="s">
        <v>57</v>
      </c>
      <c r="W1374" s="32">
        <v>2050</v>
      </c>
      <c r="X1374" s="43" t="str">
        <f t="shared" si="173"/>
        <v>*0.92</v>
      </c>
      <c r="AC1374" s="33" t="s">
        <v>2248</v>
      </c>
      <c r="AD1374" s="44" t="s">
        <v>57</v>
      </c>
      <c r="AE1374" s="33">
        <v>2035</v>
      </c>
      <c r="AF1374" s="45" t="str">
        <f t="shared" si="174"/>
        <v>*0.91</v>
      </c>
      <c r="AG1374" s="43" t="str">
        <f t="shared" si="176"/>
        <v>REZoning_Sol-Win</v>
      </c>
      <c r="AI1374" s="33" t="s">
        <v>2248</v>
      </c>
      <c r="AJ1374" s="44" t="s">
        <v>57</v>
      </c>
      <c r="AK1374" s="33">
        <v>2050</v>
      </c>
      <c r="AL1374" s="45" t="str">
        <f t="shared" si="175"/>
        <v>*0.87</v>
      </c>
      <c r="AM1374" s="43" t="str">
        <f t="shared" si="177"/>
        <v>REZoning_Sol-Win</v>
      </c>
      <c r="AP1374" t="s">
        <v>2248</v>
      </c>
      <c r="AQ1374" t="s">
        <v>57</v>
      </c>
      <c r="AR1374">
        <v>2100</v>
      </c>
      <c r="AS1374" t="s">
        <v>874</v>
      </c>
      <c r="AT1374" t="s">
        <v>58</v>
      </c>
    </row>
    <row r="1375" ht="29" spans="1:46">
      <c r="A1375" s="31" t="s">
        <v>169</v>
      </c>
      <c r="C1375" t="s">
        <v>2249</v>
      </c>
      <c r="D1375" s="5" t="s">
        <v>57</v>
      </c>
      <c r="E1375">
        <v>2035</v>
      </c>
      <c r="F1375" s="6" t="str">
        <f t="shared" si="170"/>
        <v>*0.94</v>
      </c>
      <c r="H1375" t="s">
        <v>2249</v>
      </c>
      <c r="I1375" s="5" t="s">
        <v>57</v>
      </c>
      <c r="J1375">
        <v>2050</v>
      </c>
      <c r="K1375" s="38" t="str">
        <f t="shared" si="171"/>
        <v>*0.92</v>
      </c>
      <c r="P1375" s="32" t="s">
        <v>2249</v>
      </c>
      <c r="Q1375" s="42" t="s">
        <v>57</v>
      </c>
      <c r="R1375" s="32">
        <v>2035</v>
      </c>
      <c r="S1375" s="43" t="str">
        <f t="shared" si="172"/>
        <v>*0.93</v>
      </c>
      <c r="U1375" s="32" t="s">
        <v>2249</v>
      </c>
      <c r="V1375" s="42" t="s">
        <v>57</v>
      </c>
      <c r="W1375" s="32">
        <v>2050</v>
      </c>
      <c r="X1375" s="43" t="str">
        <f t="shared" si="173"/>
        <v>*0.92</v>
      </c>
      <c r="AC1375" s="33" t="s">
        <v>2249</v>
      </c>
      <c r="AD1375" s="44" t="s">
        <v>57</v>
      </c>
      <c r="AE1375" s="33">
        <v>2035</v>
      </c>
      <c r="AF1375" s="45" t="str">
        <f t="shared" si="174"/>
        <v>*0.91</v>
      </c>
      <c r="AG1375" s="43" t="str">
        <f t="shared" si="176"/>
        <v>REZoning_Sol-Win</v>
      </c>
      <c r="AI1375" s="33" t="s">
        <v>2249</v>
      </c>
      <c r="AJ1375" s="44" t="s">
        <v>57</v>
      </c>
      <c r="AK1375" s="33">
        <v>2050</v>
      </c>
      <c r="AL1375" s="45" t="str">
        <f t="shared" si="175"/>
        <v>*0.87</v>
      </c>
      <c r="AM1375" s="43" t="str">
        <f t="shared" si="177"/>
        <v>REZoning_Sol-Win</v>
      </c>
      <c r="AP1375" t="s">
        <v>2249</v>
      </c>
      <c r="AQ1375" t="s">
        <v>57</v>
      </c>
      <c r="AR1375">
        <v>2100</v>
      </c>
      <c r="AS1375" t="s">
        <v>874</v>
      </c>
      <c r="AT1375" t="s">
        <v>58</v>
      </c>
    </row>
    <row r="1376" ht="29" spans="1:46">
      <c r="A1376" s="31" t="s">
        <v>169</v>
      </c>
      <c r="C1376" t="s">
        <v>2250</v>
      </c>
      <c r="D1376" s="5" t="s">
        <v>57</v>
      </c>
      <c r="E1376">
        <v>2035</v>
      </c>
      <c r="F1376" s="6" t="str">
        <f t="shared" si="170"/>
        <v>*0.94</v>
      </c>
      <c r="H1376" t="s">
        <v>2250</v>
      </c>
      <c r="I1376" s="5" t="s">
        <v>57</v>
      </c>
      <c r="J1376">
        <v>2050</v>
      </c>
      <c r="K1376" s="38" t="str">
        <f t="shared" si="171"/>
        <v>*0.92</v>
      </c>
      <c r="P1376" s="32" t="s">
        <v>2250</v>
      </c>
      <c r="Q1376" s="42" t="s">
        <v>57</v>
      </c>
      <c r="R1376" s="32">
        <v>2035</v>
      </c>
      <c r="S1376" s="43" t="str">
        <f t="shared" si="172"/>
        <v>*0.93</v>
      </c>
      <c r="U1376" s="32" t="s">
        <v>2250</v>
      </c>
      <c r="V1376" s="42" t="s">
        <v>57</v>
      </c>
      <c r="W1376" s="32">
        <v>2050</v>
      </c>
      <c r="X1376" s="43" t="str">
        <f t="shared" si="173"/>
        <v>*0.92</v>
      </c>
      <c r="AC1376" s="33" t="s">
        <v>2250</v>
      </c>
      <c r="AD1376" s="44" t="s">
        <v>57</v>
      </c>
      <c r="AE1376" s="33">
        <v>2035</v>
      </c>
      <c r="AF1376" s="45" t="str">
        <f t="shared" si="174"/>
        <v>*0.91</v>
      </c>
      <c r="AG1376" s="43" t="str">
        <f t="shared" si="176"/>
        <v>REZoning_Sol-Win</v>
      </c>
      <c r="AI1376" s="33" t="s">
        <v>2250</v>
      </c>
      <c r="AJ1376" s="44" t="s">
        <v>57</v>
      </c>
      <c r="AK1376" s="33">
        <v>2050</v>
      </c>
      <c r="AL1376" s="45" t="str">
        <f t="shared" si="175"/>
        <v>*0.87</v>
      </c>
      <c r="AM1376" s="43" t="str">
        <f t="shared" si="177"/>
        <v>REZoning_Sol-Win</v>
      </c>
      <c r="AP1376" t="s">
        <v>2250</v>
      </c>
      <c r="AQ1376" t="s">
        <v>57</v>
      </c>
      <c r="AR1376">
        <v>2100</v>
      </c>
      <c r="AS1376" t="s">
        <v>874</v>
      </c>
      <c r="AT1376" t="s">
        <v>58</v>
      </c>
    </row>
    <row r="1377" ht="29" spans="1:46">
      <c r="A1377" s="31" t="s">
        <v>169</v>
      </c>
      <c r="C1377" t="s">
        <v>2251</v>
      </c>
      <c r="D1377" s="5" t="s">
        <v>57</v>
      </c>
      <c r="E1377">
        <v>2035</v>
      </c>
      <c r="F1377" s="6" t="str">
        <f t="shared" si="170"/>
        <v>*0.94</v>
      </c>
      <c r="H1377" t="s">
        <v>2251</v>
      </c>
      <c r="I1377" s="5" t="s">
        <v>57</v>
      </c>
      <c r="J1377">
        <v>2050</v>
      </c>
      <c r="K1377" s="38" t="str">
        <f t="shared" si="171"/>
        <v>*0.92</v>
      </c>
      <c r="P1377" s="32" t="s">
        <v>2251</v>
      </c>
      <c r="Q1377" s="42" t="s">
        <v>57</v>
      </c>
      <c r="R1377" s="32">
        <v>2035</v>
      </c>
      <c r="S1377" s="43" t="str">
        <f t="shared" si="172"/>
        <v>*0.93</v>
      </c>
      <c r="U1377" s="32" t="s">
        <v>2251</v>
      </c>
      <c r="V1377" s="42" t="s">
        <v>57</v>
      </c>
      <c r="W1377" s="32">
        <v>2050</v>
      </c>
      <c r="X1377" s="43" t="str">
        <f t="shared" si="173"/>
        <v>*0.92</v>
      </c>
      <c r="AC1377" s="33" t="s">
        <v>2251</v>
      </c>
      <c r="AD1377" s="44" t="s">
        <v>57</v>
      </c>
      <c r="AE1377" s="33">
        <v>2035</v>
      </c>
      <c r="AF1377" s="45" t="str">
        <f t="shared" si="174"/>
        <v>*0.91</v>
      </c>
      <c r="AG1377" s="43" t="str">
        <f t="shared" si="176"/>
        <v>REZoning_Sol-Win</v>
      </c>
      <c r="AI1377" s="33" t="s">
        <v>2251</v>
      </c>
      <c r="AJ1377" s="44" t="s">
        <v>57</v>
      </c>
      <c r="AK1377" s="33">
        <v>2050</v>
      </c>
      <c r="AL1377" s="45" t="str">
        <f t="shared" si="175"/>
        <v>*0.87</v>
      </c>
      <c r="AM1377" s="43" t="str">
        <f t="shared" si="177"/>
        <v>REZoning_Sol-Win</v>
      </c>
      <c r="AP1377" t="s">
        <v>2251</v>
      </c>
      <c r="AQ1377" t="s">
        <v>57</v>
      </c>
      <c r="AR1377">
        <v>2100</v>
      </c>
      <c r="AS1377" t="s">
        <v>874</v>
      </c>
      <c r="AT1377" t="s">
        <v>58</v>
      </c>
    </row>
    <row r="1378" ht="29" spans="1:46">
      <c r="A1378" s="31" t="s">
        <v>169</v>
      </c>
      <c r="C1378" t="s">
        <v>2252</v>
      </c>
      <c r="D1378" s="5" t="s">
        <v>57</v>
      </c>
      <c r="E1378">
        <v>2035</v>
      </c>
      <c r="F1378" s="6" t="str">
        <f t="shared" si="170"/>
        <v>*0.94</v>
      </c>
      <c r="H1378" t="s">
        <v>2252</v>
      </c>
      <c r="I1378" s="5" t="s">
        <v>57</v>
      </c>
      <c r="J1378">
        <v>2050</v>
      </c>
      <c r="K1378" s="38" t="str">
        <f t="shared" si="171"/>
        <v>*0.92</v>
      </c>
      <c r="P1378" s="32" t="s">
        <v>2252</v>
      </c>
      <c r="Q1378" s="42" t="s">
        <v>57</v>
      </c>
      <c r="R1378" s="32">
        <v>2035</v>
      </c>
      <c r="S1378" s="43" t="str">
        <f t="shared" si="172"/>
        <v>*0.93</v>
      </c>
      <c r="U1378" s="32" t="s">
        <v>2252</v>
      </c>
      <c r="V1378" s="42" t="s">
        <v>57</v>
      </c>
      <c r="W1378" s="32">
        <v>2050</v>
      </c>
      <c r="X1378" s="43" t="str">
        <f t="shared" si="173"/>
        <v>*0.92</v>
      </c>
      <c r="AC1378" s="33" t="s">
        <v>2252</v>
      </c>
      <c r="AD1378" s="44" t="s">
        <v>57</v>
      </c>
      <c r="AE1378" s="33">
        <v>2035</v>
      </c>
      <c r="AF1378" s="45" t="str">
        <f t="shared" si="174"/>
        <v>*0.91</v>
      </c>
      <c r="AG1378" s="43" t="str">
        <f t="shared" si="176"/>
        <v>REZoning_Sol-Win</v>
      </c>
      <c r="AI1378" s="33" t="s">
        <v>2252</v>
      </c>
      <c r="AJ1378" s="44" t="s">
        <v>57</v>
      </c>
      <c r="AK1378" s="33">
        <v>2050</v>
      </c>
      <c r="AL1378" s="45" t="str">
        <f t="shared" si="175"/>
        <v>*0.87</v>
      </c>
      <c r="AM1378" s="43" t="str">
        <f t="shared" si="177"/>
        <v>REZoning_Sol-Win</v>
      </c>
      <c r="AP1378" t="s">
        <v>2252</v>
      </c>
      <c r="AQ1378" t="s">
        <v>57</v>
      </c>
      <c r="AR1378">
        <v>2100</v>
      </c>
      <c r="AS1378" t="s">
        <v>874</v>
      </c>
      <c r="AT1378" t="s">
        <v>58</v>
      </c>
    </row>
    <row r="1379" ht="29" spans="1:46">
      <c r="A1379" s="31" t="s">
        <v>169</v>
      </c>
      <c r="C1379" t="s">
        <v>2253</v>
      </c>
      <c r="D1379" s="5" t="s">
        <v>57</v>
      </c>
      <c r="E1379">
        <v>2035</v>
      </c>
      <c r="F1379" s="6" t="str">
        <f t="shared" si="170"/>
        <v>*0.94</v>
      </c>
      <c r="H1379" t="s">
        <v>2253</v>
      </c>
      <c r="I1379" s="5" t="s">
        <v>57</v>
      </c>
      <c r="J1379">
        <v>2050</v>
      </c>
      <c r="K1379" s="38" t="str">
        <f t="shared" si="171"/>
        <v>*0.92</v>
      </c>
      <c r="P1379" s="32" t="s">
        <v>2253</v>
      </c>
      <c r="Q1379" s="42" t="s">
        <v>57</v>
      </c>
      <c r="R1379" s="32">
        <v>2035</v>
      </c>
      <c r="S1379" s="43" t="str">
        <f t="shared" si="172"/>
        <v>*0.93</v>
      </c>
      <c r="U1379" s="32" t="s">
        <v>2253</v>
      </c>
      <c r="V1379" s="42" t="s">
        <v>57</v>
      </c>
      <c r="W1379" s="32">
        <v>2050</v>
      </c>
      <c r="X1379" s="43" t="str">
        <f t="shared" si="173"/>
        <v>*0.92</v>
      </c>
      <c r="AC1379" s="33" t="s">
        <v>2253</v>
      </c>
      <c r="AD1379" s="44" t="s">
        <v>57</v>
      </c>
      <c r="AE1379" s="33">
        <v>2035</v>
      </c>
      <c r="AF1379" s="45" t="str">
        <f t="shared" si="174"/>
        <v>*0.91</v>
      </c>
      <c r="AG1379" s="43" t="str">
        <f t="shared" si="176"/>
        <v>REZoning_Sol-Win</v>
      </c>
      <c r="AI1379" s="33" t="s">
        <v>2253</v>
      </c>
      <c r="AJ1379" s="44" t="s">
        <v>57</v>
      </c>
      <c r="AK1379" s="33">
        <v>2050</v>
      </c>
      <c r="AL1379" s="45" t="str">
        <f t="shared" si="175"/>
        <v>*0.87</v>
      </c>
      <c r="AM1379" s="43" t="str">
        <f t="shared" si="177"/>
        <v>REZoning_Sol-Win</v>
      </c>
      <c r="AP1379" t="s">
        <v>2253</v>
      </c>
      <c r="AQ1379" t="s">
        <v>57</v>
      </c>
      <c r="AR1379">
        <v>2100</v>
      </c>
      <c r="AS1379" t="s">
        <v>874</v>
      </c>
      <c r="AT1379" t="s">
        <v>58</v>
      </c>
    </row>
    <row r="1380" ht="29" spans="1:46">
      <c r="A1380" s="31" t="s">
        <v>169</v>
      </c>
      <c r="C1380" t="s">
        <v>2254</v>
      </c>
      <c r="D1380" s="5" t="s">
        <v>57</v>
      </c>
      <c r="E1380">
        <v>2035</v>
      </c>
      <c r="F1380" s="6" t="str">
        <f t="shared" si="170"/>
        <v>*0.94</v>
      </c>
      <c r="H1380" t="s">
        <v>2254</v>
      </c>
      <c r="I1380" s="5" t="s">
        <v>57</v>
      </c>
      <c r="J1380">
        <v>2050</v>
      </c>
      <c r="K1380" s="38" t="str">
        <f t="shared" si="171"/>
        <v>*0.92</v>
      </c>
      <c r="P1380" s="32" t="s">
        <v>2254</v>
      </c>
      <c r="Q1380" s="42" t="s">
        <v>57</v>
      </c>
      <c r="R1380" s="32">
        <v>2035</v>
      </c>
      <c r="S1380" s="43" t="str">
        <f t="shared" si="172"/>
        <v>*0.93</v>
      </c>
      <c r="U1380" s="32" t="s">
        <v>2254</v>
      </c>
      <c r="V1380" s="42" t="s">
        <v>57</v>
      </c>
      <c r="W1380" s="32">
        <v>2050</v>
      </c>
      <c r="X1380" s="43" t="str">
        <f t="shared" si="173"/>
        <v>*0.92</v>
      </c>
      <c r="AC1380" s="33" t="s">
        <v>2254</v>
      </c>
      <c r="AD1380" s="44" t="s">
        <v>57</v>
      </c>
      <c r="AE1380" s="33">
        <v>2035</v>
      </c>
      <c r="AF1380" s="45" t="str">
        <f t="shared" si="174"/>
        <v>*0.91</v>
      </c>
      <c r="AG1380" s="43" t="str">
        <f t="shared" si="176"/>
        <v>REZoning_Sol-Win</v>
      </c>
      <c r="AI1380" s="33" t="s">
        <v>2254</v>
      </c>
      <c r="AJ1380" s="44" t="s">
        <v>57</v>
      </c>
      <c r="AK1380" s="33">
        <v>2050</v>
      </c>
      <c r="AL1380" s="45" t="str">
        <f t="shared" si="175"/>
        <v>*0.87</v>
      </c>
      <c r="AM1380" s="43" t="str">
        <f t="shared" si="177"/>
        <v>REZoning_Sol-Win</v>
      </c>
      <c r="AP1380" t="s">
        <v>2254</v>
      </c>
      <c r="AQ1380" t="s">
        <v>57</v>
      </c>
      <c r="AR1380">
        <v>2100</v>
      </c>
      <c r="AS1380" t="s">
        <v>874</v>
      </c>
      <c r="AT1380" t="s">
        <v>58</v>
      </c>
    </row>
    <row r="1381" ht="29" spans="1:46">
      <c r="A1381" s="31" t="s">
        <v>169</v>
      </c>
      <c r="C1381" t="s">
        <v>2255</v>
      </c>
      <c r="D1381" s="5" t="s">
        <v>57</v>
      </c>
      <c r="E1381">
        <v>2035</v>
      </c>
      <c r="F1381" s="6" t="str">
        <f t="shared" si="170"/>
        <v>*0.94</v>
      </c>
      <c r="H1381" t="s">
        <v>2255</v>
      </c>
      <c r="I1381" s="5" t="s">
        <v>57</v>
      </c>
      <c r="J1381">
        <v>2050</v>
      </c>
      <c r="K1381" s="38" t="str">
        <f t="shared" si="171"/>
        <v>*0.92</v>
      </c>
      <c r="P1381" s="32" t="s">
        <v>2255</v>
      </c>
      <c r="Q1381" s="42" t="s">
        <v>57</v>
      </c>
      <c r="R1381" s="32">
        <v>2035</v>
      </c>
      <c r="S1381" s="43" t="str">
        <f t="shared" si="172"/>
        <v>*0.93</v>
      </c>
      <c r="U1381" s="32" t="s">
        <v>2255</v>
      </c>
      <c r="V1381" s="42" t="s">
        <v>57</v>
      </c>
      <c r="W1381" s="32">
        <v>2050</v>
      </c>
      <c r="X1381" s="43" t="str">
        <f t="shared" si="173"/>
        <v>*0.92</v>
      </c>
      <c r="AC1381" s="33" t="s">
        <v>2255</v>
      </c>
      <c r="AD1381" s="44" t="s">
        <v>57</v>
      </c>
      <c r="AE1381" s="33">
        <v>2035</v>
      </c>
      <c r="AF1381" s="45" t="str">
        <f t="shared" si="174"/>
        <v>*0.91</v>
      </c>
      <c r="AG1381" s="43" t="str">
        <f t="shared" si="176"/>
        <v>REZoning_Sol-Win</v>
      </c>
      <c r="AI1381" s="33" t="s">
        <v>2255</v>
      </c>
      <c r="AJ1381" s="44" t="s">
        <v>57</v>
      </c>
      <c r="AK1381" s="33">
        <v>2050</v>
      </c>
      <c r="AL1381" s="45" t="str">
        <f t="shared" si="175"/>
        <v>*0.87</v>
      </c>
      <c r="AM1381" s="43" t="str">
        <f t="shared" si="177"/>
        <v>REZoning_Sol-Win</v>
      </c>
      <c r="AP1381" t="s">
        <v>2255</v>
      </c>
      <c r="AQ1381" t="s">
        <v>57</v>
      </c>
      <c r="AR1381">
        <v>2100</v>
      </c>
      <c r="AS1381" t="s">
        <v>874</v>
      </c>
      <c r="AT1381" t="s">
        <v>58</v>
      </c>
    </row>
    <row r="1382" ht="29" spans="1:46">
      <c r="A1382" s="31" t="s">
        <v>79</v>
      </c>
      <c r="C1382" t="s">
        <v>2256</v>
      </c>
      <c r="D1382" s="5" t="s">
        <v>57</v>
      </c>
      <c r="E1382">
        <v>2035</v>
      </c>
      <c r="F1382" s="6" t="str">
        <f t="shared" si="170"/>
        <v>*0.94</v>
      </c>
      <c r="H1382" t="s">
        <v>2256</v>
      </c>
      <c r="I1382" s="5" t="s">
        <v>57</v>
      </c>
      <c r="J1382">
        <v>2050</v>
      </c>
      <c r="K1382" s="38" t="str">
        <f t="shared" si="171"/>
        <v>*0.9</v>
      </c>
      <c r="P1382" s="32" t="s">
        <v>2256</v>
      </c>
      <c r="Q1382" s="42" t="s">
        <v>57</v>
      </c>
      <c r="R1382" s="32">
        <v>2035</v>
      </c>
      <c r="S1382" s="43" t="str">
        <f t="shared" si="172"/>
        <v>*0.92</v>
      </c>
      <c r="U1382" s="32" t="s">
        <v>2256</v>
      </c>
      <c r="V1382" s="42" t="s">
        <v>57</v>
      </c>
      <c r="W1382" s="32">
        <v>2050</v>
      </c>
      <c r="X1382" s="43" t="str">
        <f t="shared" si="173"/>
        <v>*0.89</v>
      </c>
      <c r="AC1382" s="33" t="s">
        <v>2256</v>
      </c>
      <c r="AD1382" s="44" t="s">
        <v>57</v>
      </c>
      <c r="AE1382" s="33">
        <v>2035</v>
      </c>
      <c r="AF1382" s="45" t="str">
        <f t="shared" si="174"/>
        <v>*0.89</v>
      </c>
      <c r="AG1382" s="43" t="str">
        <f t="shared" si="176"/>
        <v>REZoning_Sol-Win</v>
      </c>
      <c r="AI1382" s="33" t="s">
        <v>2256</v>
      </c>
      <c r="AJ1382" s="44" t="s">
        <v>57</v>
      </c>
      <c r="AK1382" s="33">
        <v>2050</v>
      </c>
      <c r="AL1382" s="45" t="str">
        <f t="shared" si="175"/>
        <v>*0.84</v>
      </c>
      <c r="AM1382" s="43" t="str">
        <f t="shared" si="177"/>
        <v>REZoning_Sol-Win</v>
      </c>
      <c r="AP1382" t="s">
        <v>2256</v>
      </c>
      <c r="AQ1382" t="s">
        <v>57</v>
      </c>
      <c r="AR1382">
        <v>2100</v>
      </c>
      <c r="AS1382" t="s">
        <v>919</v>
      </c>
      <c r="AT1382" t="s">
        <v>58</v>
      </c>
    </row>
    <row r="1383" ht="29" spans="1:46">
      <c r="A1383" s="31" t="s">
        <v>79</v>
      </c>
      <c r="C1383" t="s">
        <v>2257</v>
      </c>
      <c r="D1383" s="5" t="s">
        <v>57</v>
      </c>
      <c r="E1383">
        <v>2035</v>
      </c>
      <c r="F1383" s="6" t="str">
        <f t="shared" si="170"/>
        <v>*0.94</v>
      </c>
      <c r="H1383" t="s">
        <v>2257</v>
      </c>
      <c r="I1383" s="5" t="s">
        <v>57</v>
      </c>
      <c r="J1383">
        <v>2050</v>
      </c>
      <c r="K1383" s="38" t="str">
        <f t="shared" si="171"/>
        <v>*0.9</v>
      </c>
      <c r="P1383" s="32" t="s">
        <v>2257</v>
      </c>
      <c r="Q1383" s="42" t="s">
        <v>57</v>
      </c>
      <c r="R1383" s="32">
        <v>2035</v>
      </c>
      <c r="S1383" s="43" t="str">
        <f t="shared" si="172"/>
        <v>*0.92</v>
      </c>
      <c r="U1383" s="32" t="s">
        <v>2257</v>
      </c>
      <c r="V1383" s="42" t="s">
        <v>57</v>
      </c>
      <c r="W1383" s="32">
        <v>2050</v>
      </c>
      <c r="X1383" s="43" t="str">
        <f t="shared" si="173"/>
        <v>*0.89</v>
      </c>
      <c r="AC1383" s="33" t="s">
        <v>2257</v>
      </c>
      <c r="AD1383" s="44" t="s">
        <v>57</v>
      </c>
      <c r="AE1383" s="33">
        <v>2035</v>
      </c>
      <c r="AF1383" s="45" t="str">
        <f t="shared" si="174"/>
        <v>*0.89</v>
      </c>
      <c r="AG1383" s="43" t="str">
        <f t="shared" si="176"/>
        <v>REZoning_Sol-Win</v>
      </c>
      <c r="AI1383" s="33" t="s">
        <v>2257</v>
      </c>
      <c r="AJ1383" s="44" t="s">
        <v>57</v>
      </c>
      <c r="AK1383" s="33">
        <v>2050</v>
      </c>
      <c r="AL1383" s="45" t="str">
        <f t="shared" si="175"/>
        <v>*0.84</v>
      </c>
      <c r="AM1383" s="43" t="str">
        <f t="shared" si="177"/>
        <v>REZoning_Sol-Win</v>
      </c>
      <c r="AP1383" t="s">
        <v>2257</v>
      </c>
      <c r="AQ1383" t="s">
        <v>57</v>
      </c>
      <c r="AR1383">
        <v>2100</v>
      </c>
      <c r="AS1383" t="s">
        <v>919</v>
      </c>
      <c r="AT1383" t="s">
        <v>58</v>
      </c>
    </row>
    <row r="1384" ht="29" spans="1:46">
      <c r="A1384" s="31" t="s">
        <v>79</v>
      </c>
      <c r="C1384" t="s">
        <v>2258</v>
      </c>
      <c r="D1384" s="5" t="s">
        <v>57</v>
      </c>
      <c r="E1384">
        <v>2035</v>
      </c>
      <c r="F1384" s="6" t="str">
        <f t="shared" si="170"/>
        <v>*0.94</v>
      </c>
      <c r="H1384" t="s">
        <v>2258</v>
      </c>
      <c r="I1384" s="5" t="s">
        <v>57</v>
      </c>
      <c r="J1384">
        <v>2050</v>
      </c>
      <c r="K1384" s="38" t="str">
        <f t="shared" si="171"/>
        <v>*0.9</v>
      </c>
      <c r="P1384" s="32" t="s">
        <v>2258</v>
      </c>
      <c r="Q1384" s="42" t="s">
        <v>57</v>
      </c>
      <c r="R1384" s="32">
        <v>2035</v>
      </c>
      <c r="S1384" s="43" t="str">
        <f t="shared" si="172"/>
        <v>*0.92</v>
      </c>
      <c r="U1384" s="32" t="s">
        <v>2258</v>
      </c>
      <c r="V1384" s="42" t="s">
        <v>57</v>
      </c>
      <c r="W1384" s="32">
        <v>2050</v>
      </c>
      <c r="X1384" s="43" t="str">
        <f t="shared" si="173"/>
        <v>*0.89</v>
      </c>
      <c r="AC1384" s="33" t="s">
        <v>2258</v>
      </c>
      <c r="AD1384" s="44" t="s">
        <v>57</v>
      </c>
      <c r="AE1384" s="33">
        <v>2035</v>
      </c>
      <c r="AF1384" s="45" t="str">
        <f t="shared" si="174"/>
        <v>*0.89</v>
      </c>
      <c r="AG1384" s="43" t="str">
        <f t="shared" si="176"/>
        <v>REZoning_Sol-Win</v>
      </c>
      <c r="AI1384" s="33" t="s">
        <v>2258</v>
      </c>
      <c r="AJ1384" s="44" t="s">
        <v>57</v>
      </c>
      <c r="AK1384" s="33">
        <v>2050</v>
      </c>
      <c r="AL1384" s="45" t="str">
        <f t="shared" si="175"/>
        <v>*0.84</v>
      </c>
      <c r="AM1384" s="43" t="str">
        <f t="shared" si="177"/>
        <v>REZoning_Sol-Win</v>
      </c>
      <c r="AP1384" t="s">
        <v>2258</v>
      </c>
      <c r="AQ1384" t="s">
        <v>57</v>
      </c>
      <c r="AR1384">
        <v>2100</v>
      </c>
      <c r="AS1384" t="s">
        <v>919</v>
      </c>
      <c r="AT1384" t="s">
        <v>58</v>
      </c>
    </row>
    <row r="1385" ht="29" spans="1:46">
      <c r="A1385" s="31" t="s">
        <v>79</v>
      </c>
      <c r="C1385" t="s">
        <v>2259</v>
      </c>
      <c r="D1385" s="5" t="s">
        <v>57</v>
      </c>
      <c r="E1385">
        <v>2035</v>
      </c>
      <c r="F1385" s="6" t="str">
        <f t="shared" si="170"/>
        <v>*0.94</v>
      </c>
      <c r="H1385" t="s">
        <v>2259</v>
      </c>
      <c r="I1385" s="5" t="s">
        <v>57</v>
      </c>
      <c r="J1385">
        <v>2050</v>
      </c>
      <c r="K1385" s="38" t="str">
        <f t="shared" si="171"/>
        <v>*0.9</v>
      </c>
      <c r="P1385" s="32" t="s">
        <v>2259</v>
      </c>
      <c r="Q1385" s="42" t="s">
        <v>57</v>
      </c>
      <c r="R1385" s="32">
        <v>2035</v>
      </c>
      <c r="S1385" s="43" t="str">
        <f t="shared" si="172"/>
        <v>*0.92</v>
      </c>
      <c r="U1385" s="32" t="s">
        <v>2259</v>
      </c>
      <c r="V1385" s="42" t="s">
        <v>57</v>
      </c>
      <c r="W1385" s="32">
        <v>2050</v>
      </c>
      <c r="X1385" s="43" t="str">
        <f t="shared" si="173"/>
        <v>*0.89</v>
      </c>
      <c r="AC1385" s="33" t="s">
        <v>2259</v>
      </c>
      <c r="AD1385" s="44" t="s">
        <v>57</v>
      </c>
      <c r="AE1385" s="33">
        <v>2035</v>
      </c>
      <c r="AF1385" s="45" t="str">
        <f t="shared" si="174"/>
        <v>*0.89</v>
      </c>
      <c r="AG1385" s="43" t="str">
        <f t="shared" si="176"/>
        <v>REZoning_Sol-Win</v>
      </c>
      <c r="AI1385" s="33" t="s">
        <v>2259</v>
      </c>
      <c r="AJ1385" s="44" t="s">
        <v>57</v>
      </c>
      <c r="AK1385" s="33">
        <v>2050</v>
      </c>
      <c r="AL1385" s="45" t="str">
        <f t="shared" si="175"/>
        <v>*0.84</v>
      </c>
      <c r="AM1385" s="43" t="str">
        <f t="shared" si="177"/>
        <v>REZoning_Sol-Win</v>
      </c>
      <c r="AP1385" t="s">
        <v>2259</v>
      </c>
      <c r="AQ1385" t="s">
        <v>57</v>
      </c>
      <c r="AR1385">
        <v>2100</v>
      </c>
      <c r="AS1385" t="s">
        <v>919</v>
      </c>
      <c r="AT1385" t="s">
        <v>58</v>
      </c>
    </row>
    <row r="1386" ht="29" spans="1:46">
      <c r="A1386" s="31" t="s">
        <v>79</v>
      </c>
      <c r="C1386" t="s">
        <v>2260</v>
      </c>
      <c r="D1386" s="5" t="s">
        <v>57</v>
      </c>
      <c r="E1386">
        <v>2035</v>
      </c>
      <c r="F1386" s="6" t="str">
        <f t="shared" si="170"/>
        <v>*0.94</v>
      </c>
      <c r="H1386" t="s">
        <v>2260</v>
      </c>
      <c r="I1386" s="5" t="s">
        <v>57</v>
      </c>
      <c r="J1386">
        <v>2050</v>
      </c>
      <c r="K1386" s="38" t="str">
        <f t="shared" si="171"/>
        <v>*0.9</v>
      </c>
      <c r="P1386" s="32" t="s">
        <v>2260</v>
      </c>
      <c r="Q1386" s="42" t="s">
        <v>57</v>
      </c>
      <c r="R1386" s="32">
        <v>2035</v>
      </c>
      <c r="S1386" s="43" t="str">
        <f t="shared" si="172"/>
        <v>*0.92</v>
      </c>
      <c r="U1386" s="32" t="s">
        <v>2260</v>
      </c>
      <c r="V1386" s="42" t="s">
        <v>57</v>
      </c>
      <c r="W1386" s="32">
        <v>2050</v>
      </c>
      <c r="X1386" s="43" t="str">
        <f t="shared" si="173"/>
        <v>*0.89</v>
      </c>
      <c r="AC1386" s="33" t="s">
        <v>2260</v>
      </c>
      <c r="AD1386" s="44" t="s">
        <v>57</v>
      </c>
      <c r="AE1386" s="33">
        <v>2035</v>
      </c>
      <c r="AF1386" s="45" t="str">
        <f t="shared" si="174"/>
        <v>*0.89</v>
      </c>
      <c r="AG1386" s="43" t="str">
        <f t="shared" si="176"/>
        <v>REZoning_Sol-Win</v>
      </c>
      <c r="AI1386" s="33" t="s">
        <v>2260</v>
      </c>
      <c r="AJ1386" s="44" t="s">
        <v>57</v>
      </c>
      <c r="AK1386" s="33">
        <v>2050</v>
      </c>
      <c r="AL1386" s="45" t="str">
        <f t="shared" si="175"/>
        <v>*0.84</v>
      </c>
      <c r="AM1386" s="43" t="str">
        <f t="shared" si="177"/>
        <v>REZoning_Sol-Win</v>
      </c>
      <c r="AP1386" t="s">
        <v>2260</v>
      </c>
      <c r="AQ1386" t="s">
        <v>57</v>
      </c>
      <c r="AR1386">
        <v>2100</v>
      </c>
      <c r="AS1386" t="s">
        <v>919</v>
      </c>
      <c r="AT1386" t="s">
        <v>58</v>
      </c>
    </row>
    <row r="1387" ht="29" spans="1:46">
      <c r="A1387" s="31" t="s">
        <v>79</v>
      </c>
      <c r="C1387" t="s">
        <v>2261</v>
      </c>
      <c r="D1387" s="5" t="s">
        <v>57</v>
      </c>
      <c r="E1387">
        <v>2035</v>
      </c>
      <c r="F1387" s="6" t="str">
        <f t="shared" si="170"/>
        <v>*0.94</v>
      </c>
      <c r="H1387" t="s">
        <v>2261</v>
      </c>
      <c r="I1387" s="5" t="s">
        <v>57</v>
      </c>
      <c r="J1387">
        <v>2050</v>
      </c>
      <c r="K1387" s="38" t="str">
        <f t="shared" si="171"/>
        <v>*0.9</v>
      </c>
      <c r="P1387" s="32" t="s">
        <v>2261</v>
      </c>
      <c r="Q1387" s="42" t="s">
        <v>57</v>
      </c>
      <c r="R1387" s="32">
        <v>2035</v>
      </c>
      <c r="S1387" s="43" t="str">
        <f t="shared" si="172"/>
        <v>*0.92</v>
      </c>
      <c r="U1387" s="32" t="s">
        <v>2261</v>
      </c>
      <c r="V1387" s="42" t="s">
        <v>57</v>
      </c>
      <c r="W1387" s="32">
        <v>2050</v>
      </c>
      <c r="X1387" s="43" t="str">
        <f t="shared" si="173"/>
        <v>*0.89</v>
      </c>
      <c r="AC1387" s="33" t="s">
        <v>2261</v>
      </c>
      <c r="AD1387" s="44" t="s">
        <v>57</v>
      </c>
      <c r="AE1387" s="33">
        <v>2035</v>
      </c>
      <c r="AF1387" s="45" t="str">
        <f t="shared" si="174"/>
        <v>*0.89</v>
      </c>
      <c r="AG1387" s="43" t="str">
        <f t="shared" si="176"/>
        <v>REZoning_Sol-Win</v>
      </c>
      <c r="AI1387" s="33" t="s">
        <v>2261</v>
      </c>
      <c r="AJ1387" s="44" t="s">
        <v>57</v>
      </c>
      <c r="AK1387" s="33">
        <v>2050</v>
      </c>
      <c r="AL1387" s="45" t="str">
        <f t="shared" si="175"/>
        <v>*0.84</v>
      </c>
      <c r="AM1387" s="43" t="str">
        <f t="shared" si="177"/>
        <v>REZoning_Sol-Win</v>
      </c>
      <c r="AP1387" t="s">
        <v>2261</v>
      </c>
      <c r="AQ1387" t="s">
        <v>57</v>
      </c>
      <c r="AR1387">
        <v>2100</v>
      </c>
      <c r="AS1387" t="s">
        <v>919</v>
      </c>
      <c r="AT1387" t="s">
        <v>58</v>
      </c>
    </row>
    <row r="1388" ht="29" spans="1:46">
      <c r="A1388" s="31" t="s">
        <v>79</v>
      </c>
      <c r="C1388" t="s">
        <v>2262</v>
      </c>
      <c r="D1388" s="5" t="s">
        <v>57</v>
      </c>
      <c r="E1388">
        <v>2035</v>
      </c>
      <c r="F1388" s="6" t="str">
        <f t="shared" si="170"/>
        <v>*0.94</v>
      </c>
      <c r="H1388" t="s">
        <v>2262</v>
      </c>
      <c r="I1388" s="5" t="s">
        <v>57</v>
      </c>
      <c r="J1388">
        <v>2050</v>
      </c>
      <c r="K1388" s="38" t="str">
        <f t="shared" si="171"/>
        <v>*0.9</v>
      </c>
      <c r="P1388" s="32" t="s">
        <v>2262</v>
      </c>
      <c r="Q1388" s="42" t="s">
        <v>57</v>
      </c>
      <c r="R1388" s="32">
        <v>2035</v>
      </c>
      <c r="S1388" s="43" t="str">
        <f t="shared" si="172"/>
        <v>*0.92</v>
      </c>
      <c r="U1388" s="32" t="s">
        <v>2262</v>
      </c>
      <c r="V1388" s="42" t="s">
        <v>57</v>
      </c>
      <c r="W1388" s="32">
        <v>2050</v>
      </c>
      <c r="X1388" s="43" t="str">
        <f t="shared" si="173"/>
        <v>*0.89</v>
      </c>
      <c r="AC1388" s="33" t="s">
        <v>2262</v>
      </c>
      <c r="AD1388" s="44" t="s">
        <v>57</v>
      </c>
      <c r="AE1388" s="33">
        <v>2035</v>
      </c>
      <c r="AF1388" s="45" t="str">
        <f t="shared" si="174"/>
        <v>*0.89</v>
      </c>
      <c r="AG1388" s="43" t="str">
        <f t="shared" si="176"/>
        <v>REZoning_Sol-Win</v>
      </c>
      <c r="AI1388" s="33" t="s">
        <v>2262</v>
      </c>
      <c r="AJ1388" s="44" t="s">
        <v>57</v>
      </c>
      <c r="AK1388" s="33">
        <v>2050</v>
      </c>
      <c r="AL1388" s="45" t="str">
        <f t="shared" si="175"/>
        <v>*0.84</v>
      </c>
      <c r="AM1388" s="43" t="str">
        <f t="shared" si="177"/>
        <v>REZoning_Sol-Win</v>
      </c>
      <c r="AP1388" t="s">
        <v>2262</v>
      </c>
      <c r="AQ1388" t="s">
        <v>57</v>
      </c>
      <c r="AR1388">
        <v>2100</v>
      </c>
      <c r="AS1388" t="s">
        <v>919</v>
      </c>
      <c r="AT1388" t="s">
        <v>58</v>
      </c>
    </row>
    <row r="1389" ht="29" spans="1:46">
      <c r="A1389" s="31" t="s">
        <v>79</v>
      </c>
      <c r="C1389" t="s">
        <v>2263</v>
      </c>
      <c r="D1389" s="5" t="s">
        <v>57</v>
      </c>
      <c r="E1389">
        <v>2035</v>
      </c>
      <c r="F1389" s="6" t="str">
        <f t="shared" si="170"/>
        <v>*0.94</v>
      </c>
      <c r="H1389" t="s">
        <v>2263</v>
      </c>
      <c r="I1389" s="5" t="s">
        <v>57</v>
      </c>
      <c r="J1389">
        <v>2050</v>
      </c>
      <c r="K1389" s="38" t="str">
        <f t="shared" si="171"/>
        <v>*0.9</v>
      </c>
      <c r="P1389" s="32" t="s">
        <v>2263</v>
      </c>
      <c r="Q1389" s="42" t="s">
        <v>57</v>
      </c>
      <c r="R1389" s="32">
        <v>2035</v>
      </c>
      <c r="S1389" s="43" t="str">
        <f t="shared" si="172"/>
        <v>*0.92</v>
      </c>
      <c r="U1389" s="32" t="s">
        <v>2263</v>
      </c>
      <c r="V1389" s="42" t="s">
        <v>57</v>
      </c>
      <c r="W1389" s="32">
        <v>2050</v>
      </c>
      <c r="X1389" s="43" t="str">
        <f t="shared" si="173"/>
        <v>*0.89</v>
      </c>
      <c r="AC1389" s="33" t="s">
        <v>2263</v>
      </c>
      <c r="AD1389" s="44" t="s">
        <v>57</v>
      </c>
      <c r="AE1389" s="33">
        <v>2035</v>
      </c>
      <c r="AF1389" s="45" t="str">
        <f t="shared" si="174"/>
        <v>*0.89</v>
      </c>
      <c r="AG1389" s="43" t="str">
        <f t="shared" si="176"/>
        <v>REZoning_Sol-Win</v>
      </c>
      <c r="AI1389" s="33" t="s">
        <v>2263</v>
      </c>
      <c r="AJ1389" s="44" t="s">
        <v>57</v>
      </c>
      <c r="AK1389" s="33">
        <v>2050</v>
      </c>
      <c r="AL1389" s="45" t="str">
        <f t="shared" si="175"/>
        <v>*0.84</v>
      </c>
      <c r="AM1389" s="43" t="str">
        <f t="shared" si="177"/>
        <v>REZoning_Sol-Win</v>
      </c>
      <c r="AP1389" t="s">
        <v>2263</v>
      </c>
      <c r="AQ1389" t="s">
        <v>57</v>
      </c>
      <c r="AR1389">
        <v>2100</v>
      </c>
      <c r="AS1389" t="s">
        <v>919</v>
      </c>
      <c r="AT1389" t="s">
        <v>58</v>
      </c>
    </row>
    <row r="1390" ht="29" spans="1:46">
      <c r="A1390" s="31" t="s">
        <v>55</v>
      </c>
      <c r="C1390" t="s">
        <v>2264</v>
      </c>
      <c r="D1390" s="5" t="s">
        <v>57</v>
      </c>
      <c r="E1390">
        <v>2035</v>
      </c>
      <c r="F1390" s="6" t="str">
        <f t="shared" si="170"/>
        <v>*0.95</v>
      </c>
      <c r="H1390" t="s">
        <v>2264</v>
      </c>
      <c r="I1390" s="5" t="s">
        <v>57</v>
      </c>
      <c r="J1390">
        <v>2050</v>
      </c>
      <c r="K1390" s="38" t="str">
        <f t="shared" si="171"/>
        <v>*0.92</v>
      </c>
      <c r="P1390" s="32" t="s">
        <v>2264</v>
      </c>
      <c r="Q1390" s="42" t="s">
        <v>57</v>
      </c>
      <c r="R1390" s="32">
        <v>2035</v>
      </c>
      <c r="S1390" s="43" t="str">
        <f t="shared" si="172"/>
        <v>*0.94</v>
      </c>
      <c r="U1390" s="32" t="s">
        <v>2264</v>
      </c>
      <c r="V1390" s="42" t="s">
        <v>57</v>
      </c>
      <c r="W1390" s="32">
        <v>2050</v>
      </c>
      <c r="X1390" s="43" t="str">
        <f t="shared" si="173"/>
        <v>*0.91</v>
      </c>
      <c r="AC1390" s="33" t="s">
        <v>2264</v>
      </c>
      <c r="AD1390" s="44" t="s">
        <v>57</v>
      </c>
      <c r="AE1390" s="33">
        <v>2035</v>
      </c>
      <c r="AF1390" s="45" t="str">
        <f t="shared" si="174"/>
        <v>*0.92</v>
      </c>
      <c r="AG1390" s="43" t="str">
        <f t="shared" si="176"/>
        <v>REZoning_Sol-Win</v>
      </c>
      <c r="AI1390" s="33" t="s">
        <v>2264</v>
      </c>
      <c r="AJ1390" s="44" t="s">
        <v>57</v>
      </c>
      <c r="AK1390" s="33">
        <v>2050</v>
      </c>
      <c r="AL1390" s="45" t="str">
        <f t="shared" si="175"/>
        <v>*0.87</v>
      </c>
      <c r="AM1390" s="43" t="str">
        <f t="shared" si="177"/>
        <v>REZoning_Sol-Win</v>
      </c>
      <c r="AP1390" t="s">
        <v>2264</v>
      </c>
      <c r="AQ1390" t="s">
        <v>57</v>
      </c>
      <c r="AR1390">
        <v>2100</v>
      </c>
      <c r="AS1390" t="s">
        <v>874</v>
      </c>
      <c r="AT1390" t="s">
        <v>58</v>
      </c>
    </row>
    <row r="1391" ht="29" spans="1:46">
      <c r="A1391" s="31" t="s">
        <v>55</v>
      </c>
      <c r="C1391" t="s">
        <v>2265</v>
      </c>
      <c r="D1391" s="5" t="s">
        <v>57</v>
      </c>
      <c r="E1391">
        <v>2035</v>
      </c>
      <c r="F1391" s="6" t="str">
        <f t="shared" si="170"/>
        <v>*0.95</v>
      </c>
      <c r="H1391" t="s">
        <v>2265</v>
      </c>
      <c r="I1391" s="5" t="s">
        <v>57</v>
      </c>
      <c r="J1391">
        <v>2050</v>
      </c>
      <c r="K1391" s="38" t="str">
        <f t="shared" si="171"/>
        <v>*0.92</v>
      </c>
      <c r="P1391" s="32" t="s">
        <v>2265</v>
      </c>
      <c r="Q1391" s="42" t="s">
        <v>57</v>
      </c>
      <c r="R1391" s="32">
        <v>2035</v>
      </c>
      <c r="S1391" s="43" t="str">
        <f t="shared" si="172"/>
        <v>*0.94</v>
      </c>
      <c r="U1391" s="32" t="s">
        <v>2265</v>
      </c>
      <c r="V1391" s="42" t="s">
        <v>57</v>
      </c>
      <c r="W1391" s="32">
        <v>2050</v>
      </c>
      <c r="X1391" s="43" t="str">
        <f t="shared" si="173"/>
        <v>*0.91</v>
      </c>
      <c r="AC1391" s="33" t="s">
        <v>2265</v>
      </c>
      <c r="AD1391" s="44" t="s">
        <v>57</v>
      </c>
      <c r="AE1391" s="33">
        <v>2035</v>
      </c>
      <c r="AF1391" s="45" t="str">
        <f t="shared" si="174"/>
        <v>*0.92</v>
      </c>
      <c r="AG1391" s="43" t="str">
        <f t="shared" si="176"/>
        <v>REZoning_Sol-Win</v>
      </c>
      <c r="AI1391" s="33" t="s">
        <v>2265</v>
      </c>
      <c r="AJ1391" s="44" t="s">
        <v>57</v>
      </c>
      <c r="AK1391" s="33">
        <v>2050</v>
      </c>
      <c r="AL1391" s="45" t="str">
        <f t="shared" si="175"/>
        <v>*0.87</v>
      </c>
      <c r="AM1391" s="43" t="str">
        <f t="shared" si="177"/>
        <v>REZoning_Sol-Win</v>
      </c>
      <c r="AP1391" t="s">
        <v>2265</v>
      </c>
      <c r="AQ1391" t="s">
        <v>57</v>
      </c>
      <c r="AR1391">
        <v>2100</v>
      </c>
      <c r="AS1391" t="s">
        <v>874</v>
      </c>
      <c r="AT1391" t="s">
        <v>58</v>
      </c>
    </row>
    <row r="1392" ht="29" spans="1:46">
      <c r="A1392" s="31" t="s">
        <v>55</v>
      </c>
      <c r="C1392" t="s">
        <v>2266</v>
      </c>
      <c r="D1392" s="5" t="s">
        <v>57</v>
      </c>
      <c r="E1392">
        <v>2035</v>
      </c>
      <c r="F1392" s="6" t="str">
        <f t="shared" si="170"/>
        <v>*0.95</v>
      </c>
      <c r="H1392" t="s">
        <v>2266</v>
      </c>
      <c r="I1392" s="5" t="s">
        <v>57</v>
      </c>
      <c r="J1392">
        <v>2050</v>
      </c>
      <c r="K1392" s="38" t="str">
        <f t="shared" si="171"/>
        <v>*0.92</v>
      </c>
      <c r="P1392" s="32" t="s">
        <v>2266</v>
      </c>
      <c r="Q1392" s="42" t="s">
        <v>57</v>
      </c>
      <c r="R1392" s="32">
        <v>2035</v>
      </c>
      <c r="S1392" s="43" t="str">
        <f t="shared" si="172"/>
        <v>*0.94</v>
      </c>
      <c r="U1392" s="32" t="s">
        <v>2266</v>
      </c>
      <c r="V1392" s="42" t="s">
        <v>57</v>
      </c>
      <c r="W1392" s="32">
        <v>2050</v>
      </c>
      <c r="X1392" s="43" t="str">
        <f t="shared" si="173"/>
        <v>*0.91</v>
      </c>
      <c r="AC1392" s="33" t="s">
        <v>2266</v>
      </c>
      <c r="AD1392" s="44" t="s">
        <v>57</v>
      </c>
      <c r="AE1392" s="33">
        <v>2035</v>
      </c>
      <c r="AF1392" s="45" t="str">
        <f t="shared" si="174"/>
        <v>*0.92</v>
      </c>
      <c r="AG1392" s="43" t="str">
        <f t="shared" si="176"/>
        <v>REZoning_Sol-Win</v>
      </c>
      <c r="AI1392" s="33" t="s">
        <v>2266</v>
      </c>
      <c r="AJ1392" s="44" t="s">
        <v>57</v>
      </c>
      <c r="AK1392" s="33">
        <v>2050</v>
      </c>
      <c r="AL1392" s="45" t="str">
        <f t="shared" si="175"/>
        <v>*0.87</v>
      </c>
      <c r="AM1392" s="43" t="str">
        <f t="shared" si="177"/>
        <v>REZoning_Sol-Win</v>
      </c>
      <c r="AP1392" t="s">
        <v>2266</v>
      </c>
      <c r="AQ1392" t="s">
        <v>57</v>
      </c>
      <c r="AR1392">
        <v>2100</v>
      </c>
      <c r="AS1392" t="s">
        <v>874</v>
      </c>
      <c r="AT1392" t="s">
        <v>58</v>
      </c>
    </row>
    <row r="1393" ht="29" spans="1:46">
      <c r="A1393" s="31" t="s">
        <v>55</v>
      </c>
      <c r="C1393" t="s">
        <v>2267</v>
      </c>
      <c r="D1393" s="5" t="s">
        <v>57</v>
      </c>
      <c r="E1393">
        <v>2035</v>
      </c>
      <c r="F1393" s="6" t="str">
        <f t="shared" si="170"/>
        <v>*0.95</v>
      </c>
      <c r="H1393" t="s">
        <v>2267</v>
      </c>
      <c r="I1393" s="5" t="s">
        <v>57</v>
      </c>
      <c r="J1393">
        <v>2050</v>
      </c>
      <c r="K1393" s="38" t="str">
        <f t="shared" si="171"/>
        <v>*0.92</v>
      </c>
      <c r="P1393" s="32" t="s">
        <v>2267</v>
      </c>
      <c r="Q1393" s="42" t="s">
        <v>57</v>
      </c>
      <c r="R1393" s="32">
        <v>2035</v>
      </c>
      <c r="S1393" s="43" t="str">
        <f t="shared" si="172"/>
        <v>*0.94</v>
      </c>
      <c r="U1393" s="32" t="s">
        <v>2267</v>
      </c>
      <c r="V1393" s="42" t="s">
        <v>57</v>
      </c>
      <c r="W1393" s="32">
        <v>2050</v>
      </c>
      <c r="X1393" s="43" t="str">
        <f t="shared" si="173"/>
        <v>*0.91</v>
      </c>
      <c r="AC1393" s="33" t="s">
        <v>2267</v>
      </c>
      <c r="AD1393" s="44" t="s">
        <v>57</v>
      </c>
      <c r="AE1393" s="33">
        <v>2035</v>
      </c>
      <c r="AF1393" s="45" t="str">
        <f t="shared" si="174"/>
        <v>*0.92</v>
      </c>
      <c r="AG1393" s="43" t="str">
        <f t="shared" si="176"/>
        <v>REZoning_Sol-Win</v>
      </c>
      <c r="AI1393" s="33" t="s">
        <v>2267</v>
      </c>
      <c r="AJ1393" s="44" t="s">
        <v>57</v>
      </c>
      <c r="AK1393" s="33">
        <v>2050</v>
      </c>
      <c r="AL1393" s="45" t="str">
        <f t="shared" si="175"/>
        <v>*0.87</v>
      </c>
      <c r="AM1393" s="43" t="str">
        <f t="shared" si="177"/>
        <v>REZoning_Sol-Win</v>
      </c>
      <c r="AP1393" t="s">
        <v>2267</v>
      </c>
      <c r="AQ1393" t="s">
        <v>57</v>
      </c>
      <c r="AR1393">
        <v>2100</v>
      </c>
      <c r="AS1393" t="s">
        <v>874</v>
      </c>
      <c r="AT1393" t="s">
        <v>58</v>
      </c>
    </row>
    <row r="1394" ht="29" spans="1:46">
      <c r="A1394" s="31" t="s">
        <v>55</v>
      </c>
      <c r="C1394" t="s">
        <v>2268</v>
      </c>
      <c r="D1394" s="5" t="s">
        <v>57</v>
      </c>
      <c r="E1394">
        <v>2035</v>
      </c>
      <c r="F1394" s="6" t="str">
        <f t="shared" si="170"/>
        <v>*0.95</v>
      </c>
      <c r="H1394" t="s">
        <v>2268</v>
      </c>
      <c r="I1394" s="5" t="s">
        <v>57</v>
      </c>
      <c r="J1394">
        <v>2050</v>
      </c>
      <c r="K1394" s="38" t="str">
        <f t="shared" si="171"/>
        <v>*0.92</v>
      </c>
      <c r="P1394" s="32" t="s">
        <v>2268</v>
      </c>
      <c r="Q1394" s="42" t="s">
        <v>57</v>
      </c>
      <c r="R1394" s="32">
        <v>2035</v>
      </c>
      <c r="S1394" s="43" t="str">
        <f t="shared" si="172"/>
        <v>*0.94</v>
      </c>
      <c r="U1394" s="32" t="s">
        <v>2268</v>
      </c>
      <c r="V1394" s="42" t="s">
        <v>57</v>
      </c>
      <c r="W1394" s="32">
        <v>2050</v>
      </c>
      <c r="X1394" s="43" t="str">
        <f t="shared" si="173"/>
        <v>*0.91</v>
      </c>
      <c r="AC1394" s="33" t="s">
        <v>2268</v>
      </c>
      <c r="AD1394" s="44" t="s">
        <v>57</v>
      </c>
      <c r="AE1394" s="33">
        <v>2035</v>
      </c>
      <c r="AF1394" s="45" t="str">
        <f t="shared" si="174"/>
        <v>*0.92</v>
      </c>
      <c r="AG1394" s="43" t="str">
        <f t="shared" si="176"/>
        <v>REZoning_Sol-Win</v>
      </c>
      <c r="AI1394" s="33" t="s">
        <v>2268</v>
      </c>
      <c r="AJ1394" s="44" t="s">
        <v>57</v>
      </c>
      <c r="AK1394" s="33">
        <v>2050</v>
      </c>
      <c r="AL1394" s="45" t="str">
        <f t="shared" si="175"/>
        <v>*0.87</v>
      </c>
      <c r="AM1394" s="43" t="str">
        <f t="shared" si="177"/>
        <v>REZoning_Sol-Win</v>
      </c>
      <c r="AP1394" t="s">
        <v>2268</v>
      </c>
      <c r="AQ1394" t="s">
        <v>57</v>
      </c>
      <c r="AR1394">
        <v>2100</v>
      </c>
      <c r="AS1394" t="s">
        <v>874</v>
      </c>
      <c r="AT1394" t="s">
        <v>58</v>
      </c>
    </row>
    <row r="1395" ht="29" spans="1:46">
      <c r="A1395" s="31" t="s">
        <v>55</v>
      </c>
      <c r="C1395" t="s">
        <v>2269</v>
      </c>
      <c r="D1395" s="5" t="s">
        <v>57</v>
      </c>
      <c r="E1395">
        <v>2035</v>
      </c>
      <c r="F1395" s="6" t="str">
        <f t="shared" si="170"/>
        <v>*0.95</v>
      </c>
      <c r="H1395" t="s">
        <v>2269</v>
      </c>
      <c r="I1395" s="5" t="s">
        <v>57</v>
      </c>
      <c r="J1395">
        <v>2050</v>
      </c>
      <c r="K1395" s="38" t="str">
        <f t="shared" si="171"/>
        <v>*0.92</v>
      </c>
      <c r="P1395" s="32" t="s">
        <v>2269</v>
      </c>
      <c r="Q1395" s="42" t="s">
        <v>57</v>
      </c>
      <c r="R1395" s="32">
        <v>2035</v>
      </c>
      <c r="S1395" s="43" t="str">
        <f t="shared" si="172"/>
        <v>*0.94</v>
      </c>
      <c r="U1395" s="32" t="s">
        <v>2269</v>
      </c>
      <c r="V1395" s="42" t="s">
        <v>57</v>
      </c>
      <c r="W1395" s="32">
        <v>2050</v>
      </c>
      <c r="X1395" s="43" t="str">
        <f t="shared" si="173"/>
        <v>*0.91</v>
      </c>
      <c r="AC1395" s="33" t="s">
        <v>2269</v>
      </c>
      <c r="AD1395" s="44" t="s">
        <v>57</v>
      </c>
      <c r="AE1395" s="33">
        <v>2035</v>
      </c>
      <c r="AF1395" s="45" t="str">
        <f t="shared" si="174"/>
        <v>*0.92</v>
      </c>
      <c r="AG1395" s="43" t="str">
        <f t="shared" si="176"/>
        <v>REZoning_Sol-Win</v>
      </c>
      <c r="AI1395" s="33" t="s">
        <v>2269</v>
      </c>
      <c r="AJ1395" s="44" t="s">
        <v>57</v>
      </c>
      <c r="AK1395" s="33">
        <v>2050</v>
      </c>
      <c r="AL1395" s="45" t="str">
        <f t="shared" si="175"/>
        <v>*0.87</v>
      </c>
      <c r="AM1395" s="43" t="str">
        <f t="shared" si="177"/>
        <v>REZoning_Sol-Win</v>
      </c>
      <c r="AP1395" t="s">
        <v>2269</v>
      </c>
      <c r="AQ1395" t="s">
        <v>57</v>
      </c>
      <c r="AR1395">
        <v>2100</v>
      </c>
      <c r="AS1395" t="s">
        <v>874</v>
      </c>
      <c r="AT1395" t="s">
        <v>58</v>
      </c>
    </row>
    <row r="1396" ht="29" spans="1:46">
      <c r="A1396" s="31" t="s">
        <v>55</v>
      </c>
      <c r="C1396" t="s">
        <v>2270</v>
      </c>
      <c r="D1396" s="5" t="s">
        <v>57</v>
      </c>
      <c r="E1396">
        <v>2035</v>
      </c>
      <c r="F1396" s="6" t="str">
        <f t="shared" si="170"/>
        <v>*0.95</v>
      </c>
      <c r="H1396" t="s">
        <v>2270</v>
      </c>
      <c r="I1396" s="5" t="s">
        <v>57</v>
      </c>
      <c r="J1396">
        <v>2050</v>
      </c>
      <c r="K1396" s="38" t="str">
        <f t="shared" si="171"/>
        <v>*0.92</v>
      </c>
      <c r="P1396" s="32" t="s">
        <v>2270</v>
      </c>
      <c r="Q1396" s="42" t="s">
        <v>57</v>
      </c>
      <c r="R1396" s="32">
        <v>2035</v>
      </c>
      <c r="S1396" s="43" t="str">
        <f t="shared" si="172"/>
        <v>*0.94</v>
      </c>
      <c r="U1396" s="32" t="s">
        <v>2270</v>
      </c>
      <c r="V1396" s="42" t="s">
        <v>57</v>
      </c>
      <c r="W1396" s="32">
        <v>2050</v>
      </c>
      <c r="X1396" s="43" t="str">
        <f t="shared" si="173"/>
        <v>*0.91</v>
      </c>
      <c r="AC1396" s="33" t="s">
        <v>2270</v>
      </c>
      <c r="AD1396" s="44" t="s">
        <v>57</v>
      </c>
      <c r="AE1396" s="33">
        <v>2035</v>
      </c>
      <c r="AF1396" s="45" t="str">
        <f t="shared" si="174"/>
        <v>*0.92</v>
      </c>
      <c r="AG1396" s="43" t="str">
        <f t="shared" si="176"/>
        <v>REZoning_Sol-Win</v>
      </c>
      <c r="AI1396" s="33" t="s">
        <v>2270</v>
      </c>
      <c r="AJ1396" s="44" t="s">
        <v>57</v>
      </c>
      <c r="AK1396" s="33">
        <v>2050</v>
      </c>
      <c r="AL1396" s="45" t="str">
        <f t="shared" si="175"/>
        <v>*0.87</v>
      </c>
      <c r="AM1396" s="43" t="str">
        <f t="shared" si="177"/>
        <v>REZoning_Sol-Win</v>
      </c>
      <c r="AP1396" t="s">
        <v>2270</v>
      </c>
      <c r="AQ1396" t="s">
        <v>57</v>
      </c>
      <c r="AR1396">
        <v>2100</v>
      </c>
      <c r="AS1396" t="s">
        <v>874</v>
      </c>
      <c r="AT1396" t="s">
        <v>58</v>
      </c>
    </row>
    <row r="1397" ht="29" spans="1:46">
      <c r="A1397" s="31" t="s">
        <v>55</v>
      </c>
      <c r="C1397" t="s">
        <v>2271</v>
      </c>
      <c r="D1397" s="5" t="s">
        <v>57</v>
      </c>
      <c r="E1397">
        <v>2035</v>
      </c>
      <c r="F1397" s="6" t="str">
        <f t="shared" si="170"/>
        <v>*0.95</v>
      </c>
      <c r="H1397" t="s">
        <v>2271</v>
      </c>
      <c r="I1397" s="5" t="s">
        <v>57</v>
      </c>
      <c r="J1397">
        <v>2050</v>
      </c>
      <c r="K1397" s="38" t="str">
        <f t="shared" si="171"/>
        <v>*0.92</v>
      </c>
      <c r="P1397" s="32" t="s">
        <v>2271</v>
      </c>
      <c r="Q1397" s="42" t="s">
        <v>57</v>
      </c>
      <c r="R1397" s="32">
        <v>2035</v>
      </c>
      <c r="S1397" s="43" t="str">
        <f t="shared" si="172"/>
        <v>*0.94</v>
      </c>
      <c r="U1397" s="32" t="s">
        <v>2271</v>
      </c>
      <c r="V1397" s="42" t="s">
        <v>57</v>
      </c>
      <c r="W1397" s="32">
        <v>2050</v>
      </c>
      <c r="X1397" s="43" t="str">
        <f t="shared" si="173"/>
        <v>*0.91</v>
      </c>
      <c r="AC1397" s="33" t="s">
        <v>2271</v>
      </c>
      <c r="AD1397" s="44" t="s">
        <v>57</v>
      </c>
      <c r="AE1397" s="33">
        <v>2035</v>
      </c>
      <c r="AF1397" s="45" t="str">
        <f t="shared" si="174"/>
        <v>*0.92</v>
      </c>
      <c r="AG1397" s="43" t="str">
        <f t="shared" si="176"/>
        <v>REZoning_Sol-Win</v>
      </c>
      <c r="AI1397" s="33" t="s">
        <v>2271</v>
      </c>
      <c r="AJ1397" s="44" t="s">
        <v>57</v>
      </c>
      <c r="AK1397" s="33">
        <v>2050</v>
      </c>
      <c r="AL1397" s="45" t="str">
        <f t="shared" si="175"/>
        <v>*0.87</v>
      </c>
      <c r="AM1397" s="43" t="str">
        <f t="shared" si="177"/>
        <v>REZoning_Sol-Win</v>
      </c>
      <c r="AP1397" t="s">
        <v>2271</v>
      </c>
      <c r="AQ1397" t="s">
        <v>57</v>
      </c>
      <c r="AR1397">
        <v>2100</v>
      </c>
      <c r="AS1397" t="s">
        <v>874</v>
      </c>
      <c r="AT1397" t="s">
        <v>58</v>
      </c>
    </row>
    <row r="1398" ht="29" spans="1:46">
      <c r="A1398" s="31" t="s">
        <v>55</v>
      </c>
      <c r="C1398" t="s">
        <v>2272</v>
      </c>
      <c r="D1398" s="5" t="s">
        <v>57</v>
      </c>
      <c r="E1398">
        <v>2035</v>
      </c>
      <c r="F1398" s="6" t="str">
        <f t="shared" si="170"/>
        <v>*0.95</v>
      </c>
      <c r="H1398" t="s">
        <v>2272</v>
      </c>
      <c r="I1398" s="5" t="s">
        <v>57</v>
      </c>
      <c r="J1398">
        <v>2050</v>
      </c>
      <c r="K1398" s="38" t="str">
        <f t="shared" si="171"/>
        <v>*0.92</v>
      </c>
      <c r="P1398" s="32" t="s">
        <v>2272</v>
      </c>
      <c r="Q1398" s="42" t="s">
        <v>57</v>
      </c>
      <c r="R1398" s="32">
        <v>2035</v>
      </c>
      <c r="S1398" s="43" t="str">
        <f t="shared" si="172"/>
        <v>*0.94</v>
      </c>
      <c r="U1398" s="32" t="s">
        <v>2272</v>
      </c>
      <c r="V1398" s="42" t="s">
        <v>57</v>
      </c>
      <c r="W1398" s="32">
        <v>2050</v>
      </c>
      <c r="X1398" s="43" t="str">
        <f t="shared" si="173"/>
        <v>*0.91</v>
      </c>
      <c r="AC1398" s="33" t="s">
        <v>2272</v>
      </c>
      <c r="AD1398" s="44" t="s">
        <v>57</v>
      </c>
      <c r="AE1398" s="33">
        <v>2035</v>
      </c>
      <c r="AF1398" s="45" t="str">
        <f t="shared" si="174"/>
        <v>*0.92</v>
      </c>
      <c r="AG1398" s="43" t="str">
        <f t="shared" si="176"/>
        <v>REZoning_Sol-Win</v>
      </c>
      <c r="AI1398" s="33" t="s">
        <v>2272</v>
      </c>
      <c r="AJ1398" s="44" t="s">
        <v>57</v>
      </c>
      <c r="AK1398" s="33">
        <v>2050</v>
      </c>
      <c r="AL1398" s="45" t="str">
        <f t="shared" si="175"/>
        <v>*0.87</v>
      </c>
      <c r="AM1398" s="43" t="str">
        <f t="shared" si="177"/>
        <v>REZoning_Sol-Win</v>
      </c>
      <c r="AP1398" t="s">
        <v>2272</v>
      </c>
      <c r="AQ1398" t="s">
        <v>57</v>
      </c>
      <c r="AR1398">
        <v>2100</v>
      </c>
      <c r="AS1398" t="s">
        <v>874</v>
      </c>
      <c r="AT1398" t="s">
        <v>58</v>
      </c>
    </row>
    <row r="1399" ht="29" spans="1:46">
      <c r="A1399" s="31" t="s">
        <v>55</v>
      </c>
      <c r="C1399" t="s">
        <v>2273</v>
      </c>
      <c r="D1399" s="5" t="s">
        <v>57</v>
      </c>
      <c r="E1399">
        <v>2035</v>
      </c>
      <c r="F1399" s="6" t="str">
        <f t="shared" si="170"/>
        <v>*0.95</v>
      </c>
      <c r="H1399" t="s">
        <v>2273</v>
      </c>
      <c r="I1399" s="5" t="s">
        <v>57</v>
      </c>
      <c r="J1399">
        <v>2050</v>
      </c>
      <c r="K1399" s="38" t="str">
        <f t="shared" si="171"/>
        <v>*0.92</v>
      </c>
      <c r="P1399" s="32" t="s">
        <v>2273</v>
      </c>
      <c r="Q1399" s="42" t="s">
        <v>57</v>
      </c>
      <c r="R1399" s="32">
        <v>2035</v>
      </c>
      <c r="S1399" s="43" t="str">
        <f t="shared" si="172"/>
        <v>*0.94</v>
      </c>
      <c r="U1399" s="32" t="s">
        <v>2273</v>
      </c>
      <c r="V1399" s="42" t="s">
        <v>57</v>
      </c>
      <c r="W1399" s="32">
        <v>2050</v>
      </c>
      <c r="X1399" s="43" t="str">
        <f t="shared" si="173"/>
        <v>*0.91</v>
      </c>
      <c r="AC1399" s="33" t="s">
        <v>2273</v>
      </c>
      <c r="AD1399" s="44" t="s">
        <v>57</v>
      </c>
      <c r="AE1399" s="33">
        <v>2035</v>
      </c>
      <c r="AF1399" s="45" t="str">
        <f t="shared" si="174"/>
        <v>*0.92</v>
      </c>
      <c r="AG1399" s="43" t="str">
        <f t="shared" si="176"/>
        <v>REZoning_Sol-Win</v>
      </c>
      <c r="AI1399" s="33" t="s">
        <v>2273</v>
      </c>
      <c r="AJ1399" s="44" t="s">
        <v>57</v>
      </c>
      <c r="AK1399" s="33">
        <v>2050</v>
      </c>
      <c r="AL1399" s="45" t="str">
        <f t="shared" si="175"/>
        <v>*0.87</v>
      </c>
      <c r="AM1399" s="43" t="str">
        <f t="shared" si="177"/>
        <v>REZoning_Sol-Win</v>
      </c>
      <c r="AP1399" t="s">
        <v>2273</v>
      </c>
      <c r="AQ1399" t="s">
        <v>57</v>
      </c>
      <c r="AR1399">
        <v>2100</v>
      </c>
      <c r="AS1399" t="s">
        <v>874</v>
      </c>
      <c r="AT1399" t="s">
        <v>58</v>
      </c>
    </row>
    <row r="1400" ht="29" spans="1:46">
      <c r="A1400" s="31" t="s">
        <v>55</v>
      </c>
      <c r="C1400" t="s">
        <v>2274</v>
      </c>
      <c r="D1400" s="5" t="s">
        <v>57</v>
      </c>
      <c r="E1400">
        <v>2035</v>
      </c>
      <c r="F1400" s="6" t="str">
        <f t="shared" si="170"/>
        <v>*0.95</v>
      </c>
      <c r="H1400" t="s">
        <v>2274</v>
      </c>
      <c r="I1400" s="5" t="s">
        <v>57</v>
      </c>
      <c r="J1400">
        <v>2050</v>
      </c>
      <c r="K1400" s="38" t="str">
        <f t="shared" si="171"/>
        <v>*0.92</v>
      </c>
      <c r="P1400" s="32" t="s">
        <v>2274</v>
      </c>
      <c r="Q1400" s="42" t="s">
        <v>57</v>
      </c>
      <c r="R1400" s="32">
        <v>2035</v>
      </c>
      <c r="S1400" s="43" t="str">
        <f t="shared" si="172"/>
        <v>*0.94</v>
      </c>
      <c r="U1400" s="32" t="s">
        <v>2274</v>
      </c>
      <c r="V1400" s="42" t="s">
        <v>57</v>
      </c>
      <c r="W1400" s="32">
        <v>2050</v>
      </c>
      <c r="X1400" s="43" t="str">
        <f t="shared" si="173"/>
        <v>*0.91</v>
      </c>
      <c r="AC1400" s="33" t="s">
        <v>2274</v>
      </c>
      <c r="AD1400" s="44" t="s">
        <v>57</v>
      </c>
      <c r="AE1400" s="33">
        <v>2035</v>
      </c>
      <c r="AF1400" s="45" t="str">
        <f t="shared" si="174"/>
        <v>*0.92</v>
      </c>
      <c r="AG1400" s="43" t="str">
        <f t="shared" si="176"/>
        <v>REZoning_Sol-Win</v>
      </c>
      <c r="AI1400" s="33" t="s">
        <v>2274</v>
      </c>
      <c r="AJ1400" s="44" t="s">
        <v>57</v>
      </c>
      <c r="AK1400" s="33">
        <v>2050</v>
      </c>
      <c r="AL1400" s="45" t="str">
        <f t="shared" si="175"/>
        <v>*0.87</v>
      </c>
      <c r="AM1400" s="43" t="str">
        <f t="shared" si="177"/>
        <v>REZoning_Sol-Win</v>
      </c>
      <c r="AP1400" t="s">
        <v>2274</v>
      </c>
      <c r="AQ1400" t="s">
        <v>57</v>
      </c>
      <c r="AR1400">
        <v>2100</v>
      </c>
      <c r="AS1400" t="s">
        <v>874</v>
      </c>
      <c r="AT1400" t="s">
        <v>58</v>
      </c>
    </row>
    <row r="1401" ht="29" spans="1:46">
      <c r="A1401" s="31" t="s">
        <v>55</v>
      </c>
      <c r="C1401" t="s">
        <v>2275</v>
      </c>
      <c r="D1401" s="5" t="s">
        <v>57</v>
      </c>
      <c r="E1401">
        <v>2035</v>
      </c>
      <c r="F1401" s="6" t="str">
        <f t="shared" si="170"/>
        <v>*0.95</v>
      </c>
      <c r="H1401" t="s">
        <v>2275</v>
      </c>
      <c r="I1401" s="5" t="s">
        <v>57</v>
      </c>
      <c r="J1401">
        <v>2050</v>
      </c>
      <c r="K1401" s="38" t="str">
        <f t="shared" si="171"/>
        <v>*0.92</v>
      </c>
      <c r="P1401" s="32" t="s">
        <v>2275</v>
      </c>
      <c r="Q1401" s="42" t="s">
        <v>57</v>
      </c>
      <c r="R1401" s="32">
        <v>2035</v>
      </c>
      <c r="S1401" s="43" t="str">
        <f t="shared" si="172"/>
        <v>*0.94</v>
      </c>
      <c r="U1401" s="32" t="s">
        <v>2275</v>
      </c>
      <c r="V1401" s="42" t="s">
        <v>57</v>
      </c>
      <c r="W1401" s="32">
        <v>2050</v>
      </c>
      <c r="X1401" s="43" t="str">
        <f t="shared" si="173"/>
        <v>*0.91</v>
      </c>
      <c r="AC1401" s="33" t="s">
        <v>2275</v>
      </c>
      <c r="AD1401" s="44" t="s">
        <v>57</v>
      </c>
      <c r="AE1401" s="33">
        <v>2035</v>
      </c>
      <c r="AF1401" s="45" t="str">
        <f t="shared" si="174"/>
        <v>*0.92</v>
      </c>
      <c r="AG1401" s="43" t="str">
        <f t="shared" si="176"/>
        <v>REZoning_Sol-Win</v>
      </c>
      <c r="AI1401" s="33" t="s">
        <v>2275</v>
      </c>
      <c r="AJ1401" s="44" t="s">
        <v>57</v>
      </c>
      <c r="AK1401" s="33">
        <v>2050</v>
      </c>
      <c r="AL1401" s="45" t="str">
        <f t="shared" si="175"/>
        <v>*0.87</v>
      </c>
      <c r="AM1401" s="43" t="str">
        <f t="shared" si="177"/>
        <v>REZoning_Sol-Win</v>
      </c>
      <c r="AP1401" t="s">
        <v>2275</v>
      </c>
      <c r="AQ1401" t="s">
        <v>57</v>
      </c>
      <c r="AR1401">
        <v>2100</v>
      </c>
      <c r="AS1401" t="s">
        <v>874</v>
      </c>
      <c r="AT1401" t="s">
        <v>58</v>
      </c>
    </row>
    <row r="1402" ht="29" spans="1:46">
      <c r="A1402" s="31" t="s">
        <v>55</v>
      </c>
      <c r="C1402" t="s">
        <v>2276</v>
      </c>
      <c r="D1402" s="5" t="s">
        <v>57</v>
      </c>
      <c r="E1402">
        <v>2035</v>
      </c>
      <c r="F1402" s="6" t="str">
        <f t="shared" si="170"/>
        <v>*0.95</v>
      </c>
      <c r="H1402" t="s">
        <v>2276</v>
      </c>
      <c r="I1402" s="5" t="s">
        <v>57</v>
      </c>
      <c r="J1402">
        <v>2050</v>
      </c>
      <c r="K1402" s="38" t="str">
        <f t="shared" si="171"/>
        <v>*0.92</v>
      </c>
      <c r="P1402" s="32" t="s">
        <v>2276</v>
      </c>
      <c r="Q1402" s="42" t="s">
        <v>57</v>
      </c>
      <c r="R1402" s="32">
        <v>2035</v>
      </c>
      <c r="S1402" s="43" t="str">
        <f t="shared" si="172"/>
        <v>*0.94</v>
      </c>
      <c r="U1402" s="32" t="s">
        <v>2276</v>
      </c>
      <c r="V1402" s="42" t="s">
        <v>57</v>
      </c>
      <c r="W1402" s="32">
        <v>2050</v>
      </c>
      <c r="X1402" s="43" t="str">
        <f t="shared" si="173"/>
        <v>*0.91</v>
      </c>
      <c r="AC1402" s="33" t="s">
        <v>2276</v>
      </c>
      <c r="AD1402" s="44" t="s">
        <v>57</v>
      </c>
      <c r="AE1402" s="33">
        <v>2035</v>
      </c>
      <c r="AF1402" s="45" t="str">
        <f t="shared" si="174"/>
        <v>*0.92</v>
      </c>
      <c r="AG1402" s="43" t="str">
        <f t="shared" si="176"/>
        <v>REZoning_Sol-Win</v>
      </c>
      <c r="AI1402" s="33" t="s">
        <v>2276</v>
      </c>
      <c r="AJ1402" s="44" t="s">
        <v>57</v>
      </c>
      <c r="AK1402" s="33">
        <v>2050</v>
      </c>
      <c r="AL1402" s="45" t="str">
        <f t="shared" si="175"/>
        <v>*0.87</v>
      </c>
      <c r="AM1402" s="43" t="str">
        <f t="shared" si="177"/>
        <v>REZoning_Sol-Win</v>
      </c>
      <c r="AP1402" t="s">
        <v>2276</v>
      </c>
      <c r="AQ1402" t="s">
        <v>57</v>
      </c>
      <c r="AR1402">
        <v>2100</v>
      </c>
      <c r="AS1402" t="s">
        <v>874</v>
      </c>
      <c r="AT1402" t="s">
        <v>58</v>
      </c>
    </row>
    <row r="1403" ht="29" spans="1:46">
      <c r="A1403" s="31" t="s">
        <v>65</v>
      </c>
      <c r="C1403" t="s">
        <v>2277</v>
      </c>
      <c r="D1403" s="5" t="s">
        <v>57</v>
      </c>
      <c r="E1403">
        <v>2035</v>
      </c>
      <c r="F1403" s="6" t="str">
        <f t="shared" si="170"/>
        <v>*0.94</v>
      </c>
      <c r="H1403" t="s">
        <v>2277</v>
      </c>
      <c r="I1403" s="5" t="s">
        <v>57</v>
      </c>
      <c r="J1403">
        <v>2050</v>
      </c>
      <c r="K1403" s="38" t="str">
        <f t="shared" si="171"/>
        <v>*0.91</v>
      </c>
      <c r="P1403" s="32" t="s">
        <v>2277</v>
      </c>
      <c r="Q1403" s="42" t="s">
        <v>57</v>
      </c>
      <c r="R1403" s="32">
        <v>2035</v>
      </c>
      <c r="S1403" s="43" t="str">
        <f t="shared" si="172"/>
        <v>*0.93</v>
      </c>
      <c r="U1403" s="32" t="s">
        <v>2277</v>
      </c>
      <c r="V1403" s="42" t="s">
        <v>57</v>
      </c>
      <c r="W1403" s="32">
        <v>2050</v>
      </c>
      <c r="X1403" s="43" t="str">
        <f t="shared" si="173"/>
        <v>*0.9</v>
      </c>
      <c r="AC1403" s="33" t="s">
        <v>2277</v>
      </c>
      <c r="AD1403" s="44" t="s">
        <v>57</v>
      </c>
      <c r="AE1403" s="33">
        <v>2035</v>
      </c>
      <c r="AF1403" s="45" t="str">
        <f t="shared" si="174"/>
        <v>*0.9</v>
      </c>
      <c r="AG1403" s="43" t="str">
        <f t="shared" si="176"/>
        <v>REZoning_Sol-Win</v>
      </c>
      <c r="AI1403" s="33" t="s">
        <v>2277</v>
      </c>
      <c r="AJ1403" s="44" t="s">
        <v>57</v>
      </c>
      <c r="AK1403" s="33">
        <v>2050</v>
      </c>
      <c r="AL1403" s="45" t="str">
        <f t="shared" si="175"/>
        <v>*0.86</v>
      </c>
      <c r="AM1403" s="43" t="str">
        <f t="shared" si="177"/>
        <v>REZoning_Sol-Win</v>
      </c>
      <c r="AP1403" t="s">
        <v>2277</v>
      </c>
      <c r="AQ1403" t="s">
        <v>57</v>
      </c>
      <c r="AR1403">
        <v>2100</v>
      </c>
      <c r="AS1403" t="s">
        <v>883</v>
      </c>
      <c r="AT1403" t="s">
        <v>58</v>
      </c>
    </row>
    <row r="1404" ht="29" spans="1:46">
      <c r="A1404" s="31" t="s">
        <v>65</v>
      </c>
      <c r="C1404" t="s">
        <v>2278</v>
      </c>
      <c r="D1404" s="5" t="s">
        <v>57</v>
      </c>
      <c r="E1404">
        <v>2035</v>
      </c>
      <c r="F1404" s="6" t="str">
        <f t="shared" si="170"/>
        <v>*0.94</v>
      </c>
      <c r="H1404" t="s">
        <v>2278</v>
      </c>
      <c r="I1404" s="5" t="s">
        <v>57</v>
      </c>
      <c r="J1404">
        <v>2050</v>
      </c>
      <c r="K1404" s="38" t="str">
        <f t="shared" si="171"/>
        <v>*0.91</v>
      </c>
      <c r="P1404" s="32" t="s">
        <v>2278</v>
      </c>
      <c r="Q1404" s="42" t="s">
        <v>57</v>
      </c>
      <c r="R1404" s="32">
        <v>2035</v>
      </c>
      <c r="S1404" s="43" t="str">
        <f t="shared" si="172"/>
        <v>*0.93</v>
      </c>
      <c r="U1404" s="32" t="s">
        <v>2278</v>
      </c>
      <c r="V1404" s="42" t="s">
        <v>57</v>
      </c>
      <c r="W1404" s="32">
        <v>2050</v>
      </c>
      <c r="X1404" s="43" t="str">
        <f t="shared" si="173"/>
        <v>*0.9</v>
      </c>
      <c r="AC1404" s="33" t="s">
        <v>2278</v>
      </c>
      <c r="AD1404" s="44" t="s">
        <v>57</v>
      </c>
      <c r="AE1404" s="33">
        <v>2035</v>
      </c>
      <c r="AF1404" s="45" t="str">
        <f t="shared" si="174"/>
        <v>*0.9</v>
      </c>
      <c r="AG1404" s="43" t="str">
        <f t="shared" si="176"/>
        <v>REZoning_Sol-Win</v>
      </c>
      <c r="AI1404" s="33" t="s">
        <v>2278</v>
      </c>
      <c r="AJ1404" s="44" t="s">
        <v>57</v>
      </c>
      <c r="AK1404" s="33">
        <v>2050</v>
      </c>
      <c r="AL1404" s="45" t="str">
        <f t="shared" si="175"/>
        <v>*0.86</v>
      </c>
      <c r="AM1404" s="43" t="str">
        <f t="shared" si="177"/>
        <v>REZoning_Sol-Win</v>
      </c>
      <c r="AP1404" t="s">
        <v>2278</v>
      </c>
      <c r="AQ1404" t="s">
        <v>57</v>
      </c>
      <c r="AR1404">
        <v>2100</v>
      </c>
      <c r="AS1404" t="s">
        <v>883</v>
      </c>
      <c r="AT1404" t="s">
        <v>58</v>
      </c>
    </row>
    <row r="1405" ht="29" spans="1:46">
      <c r="A1405" s="31" t="s">
        <v>73</v>
      </c>
      <c r="C1405" t="s">
        <v>2279</v>
      </c>
      <c r="D1405" s="5" t="s">
        <v>57</v>
      </c>
      <c r="E1405">
        <v>2035</v>
      </c>
      <c r="F1405" s="6" t="str">
        <f t="shared" si="170"/>
        <v>*0.95</v>
      </c>
      <c r="H1405" t="s">
        <v>2279</v>
      </c>
      <c r="I1405" s="5" t="s">
        <v>57</v>
      </c>
      <c r="J1405">
        <v>2050</v>
      </c>
      <c r="K1405" s="38" t="str">
        <f t="shared" si="171"/>
        <v>*0.93</v>
      </c>
      <c r="P1405" s="32" t="s">
        <v>2279</v>
      </c>
      <c r="Q1405" s="42" t="s">
        <v>57</v>
      </c>
      <c r="R1405" s="32">
        <v>2035</v>
      </c>
      <c r="S1405" s="43" t="str">
        <f t="shared" si="172"/>
        <v>*0.95</v>
      </c>
      <c r="U1405" s="32" t="s">
        <v>2279</v>
      </c>
      <c r="V1405" s="42" t="s">
        <v>57</v>
      </c>
      <c r="W1405" s="32">
        <v>2050</v>
      </c>
      <c r="X1405" s="43" t="str">
        <f t="shared" si="173"/>
        <v>*0.93</v>
      </c>
      <c r="AC1405" s="33" t="s">
        <v>2279</v>
      </c>
      <c r="AD1405" s="44" t="s">
        <v>57</v>
      </c>
      <c r="AE1405" s="33">
        <v>2035</v>
      </c>
      <c r="AF1405" s="45" t="str">
        <f t="shared" si="174"/>
        <v>*0.93</v>
      </c>
      <c r="AG1405" s="43" t="str">
        <f t="shared" si="176"/>
        <v>REZoning_Sol-Win</v>
      </c>
      <c r="AI1405" s="33" t="s">
        <v>2279</v>
      </c>
      <c r="AJ1405" s="44" t="s">
        <v>57</v>
      </c>
      <c r="AK1405" s="33">
        <v>2050</v>
      </c>
      <c r="AL1405" s="45" t="str">
        <f t="shared" si="175"/>
        <v>*0.9</v>
      </c>
      <c r="AM1405" s="43" t="str">
        <f t="shared" si="177"/>
        <v>REZoning_Sol-Win</v>
      </c>
      <c r="AP1405" t="s">
        <v>2279</v>
      </c>
      <c r="AQ1405" t="s">
        <v>57</v>
      </c>
      <c r="AR1405">
        <v>2100</v>
      </c>
      <c r="AS1405" t="s">
        <v>897</v>
      </c>
      <c r="AT1405" t="s">
        <v>58</v>
      </c>
    </row>
    <row r="1406" ht="29" spans="1:46">
      <c r="A1406" s="31" t="s">
        <v>73</v>
      </c>
      <c r="C1406" t="s">
        <v>2280</v>
      </c>
      <c r="D1406" s="5" t="s">
        <v>57</v>
      </c>
      <c r="E1406">
        <v>2035</v>
      </c>
      <c r="F1406" s="6" t="str">
        <f t="shared" si="170"/>
        <v>*0.95</v>
      </c>
      <c r="H1406" t="s">
        <v>2280</v>
      </c>
      <c r="I1406" s="5" t="s">
        <v>57</v>
      </c>
      <c r="J1406">
        <v>2050</v>
      </c>
      <c r="K1406" s="38" t="str">
        <f t="shared" si="171"/>
        <v>*0.93</v>
      </c>
      <c r="P1406" s="32" t="s">
        <v>2280</v>
      </c>
      <c r="Q1406" s="42" t="s">
        <v>57</v>
      </c>
      <c r="R1406" s="32">
        <v>2035</v>
      </c>
      <c r="S1406" s="43" t="str">
        <f t="shared" si="172"/>
        <v>*0.95</v>
      </c>
      <c r="U1406" s="32" t="s">
        <v>2280</v>
      </c>
      <c r="V1406" s="42" t="s">
        <v>57</v>
      </c>
      <c r="W1406" s="32">
        <v>2050</v>
      </c>
      <c r="X1406" s="43" t="str">
        <f t="shared" si="173"/>
        <v>*0.93</v>
      </c>
      <c r="AC1406" s="33" t="s">
        <v>2280</v>
      </c>
      <c r="AD1406" s="44" t="s">
        <v>57</v>
      </c>
      <c r="AE1406" s="33">
        <v>2035</v>
      </c>
      <c r="AF1406" s="45" t="str">
        <f t="shared" si="174"/>
        <v>*0.93</v>
      </c>
      <c r="AG1406" s="43" t="str">
        <f t="shared" si="176"/>
        <v>REZoning_Sol-Win</v>
      </c>
      <c r="AI1406" s="33" t="s">
        <v>2280</v>
      </c>
      <c r="AJ1406" s="44" t="s">
        <v>57</v>
      </c>
      <c r="AK1406" s="33">
        <v>2050</v>
      </c>
      <c r="AL1406" s="45" t="str">
        <f t="shared" si="175"/>
        <v>*0.9</v>
      </c>
      <c r="AM1406" s="43" t="str">
        <f t="shared" si="177"/>
        <v>REZoning_Sol-Win</v>
      </c>
      <c r="AP1406" t="s">
        <v>2280</v>
      </c>
      <c r="AQ1406" t="s">
        <v>57</v>
      </c>
      <c r="AR1406">
        <v>2100</v>
      </c>
      <c r="AS1406" t="s">
        <v>897</v>
      </c>
      <c r="AT1406" t="s">
        <v>58</v>
      </c>
    </row>
    <row r="1407" ht="29" spans="1:46">
      <c r="A1407" s="31" t="s">
        <v>73</v>
      </c>
      <c r="C1407" t="s">
        <v>2281</v>
      </c>
      <c r="D1407" s="5" t="s">
        <v>57</v>
      </c>
      <c r="E1407">
        <v>2035</v>
      </c>
      <c r="F1407" s="6" t="str">
        <f t="shared" si="170"/>
        <v>*0.95</v>
      </c>
      <c r="H1407" t="s">
        <v>2281</v>
      </c>
      <c r="I1407" s="5" t="s">
        <v>57</v>
      </c>
      <c r="J1407">
        <v>2050</v>
      </c>
      <c r="K1407" s="38" t="str">
        <f t="shared" si="171"/>
        <v>*0.93</v>
      </c>
      <c r="P1407" s="32" t="s">
        <v>2281</v>
      </c>
      <c r="Q1407" s="42" t="s">
        <v>57</v>
      </c>
      <c r="R1407" s="32">
        <v>2035</v>
      </c>
      <c r="S1407" s="43" t="str">
        <f t="shared" si="172"/>
        <v>*0.95</v>
      </c>
      <c r="U1407" s="32" t="s">
        <v>2281</v>
      </c>
      <c r="V1407" s="42" t="s">
        <v>57</v>
      </c>
      <c r="W1407" s="32">
        <v>2050</v>
      </c>
      <c r="X1407" s="43" t="str">
        <f t="shared" si="173"/>
        <v>*0.93</v>
      </c>
      <c r="AC1407" s="33" t="s">
        <v>2281</v>
      </c>
      <c r="AD1407" s="44" t="s">
        <v>57</v>
      </c>
      <c r="AE1407" s="33">
        <v>2035</v>
      </c>
      <c r="AF1407" s="45" t="str">
        <f t="shared" si="174"/>
        <v>*0.93</v>
      </c>
      <c r="AG1407" s="43" t="str">
        <f t="shared" si="176"/>
        <v>REZoning_Sol-Win</v>
      </c>
      <c r="AI1407" s="33" t="s">
        <v>2281</v>
      </c>
      <c r="AJ1407" s="44" t="s">
        <v>57</v>
      </c>
      <c r="AK1407" s="33">
        <v>2050</v>
      </c>
      <c r="AL1407" s="45" t="str">
        <f t="shared" si="175"/>
        <v>*0.9</v>
      </c>
      <c r="AM1407" s="43" t="str">
        <f t="shared" si="177"/>
        <v>REZoning_Sol-Win</v>
      </c>
      <c r="AP1407" t="s">
        <v>2281</v>
      </c>
      <c r="AQ1407" t="s">
        <v>57</v>
      </c>
      <c r="AR1407">
        <v>2100</v>
      </c>
      <c r="AS1407" t="s">
        <v>897</v>
      </c>
      <c r="AT1407" t="s">
        <v>58</v>
      </c>
    </row>
    <row r="1408" ht="29" spans="1:46">
      <c r="A1408" s="31" t="s">
        <v>73</v>
      </c>
      <c r="C1408" t="s">
        <v>2282</v>
      </c>
      <c r="D1408" s="5" t="s">
        <v>57</v>
      </c>
      <c r="E1408">
        <v>2035</v>
      </c>
      <c r="F1408" s="6" t="str">
        <f t="shared" si="170"/>
        <v>*0.95</v>
      </c>
      <c r="H1408" t="s">
        <v>2282</v>
      </c>
      <c r="I1408" s="5" t="s">
        <v>57</v>
      </c>
      <c r="J1408">
        <v>2050</v>
      </c>
      <c r="K1408" s="38" t="str">
        <f t="shared" si="171"/>
        <v>*0.93</v>
      </c>
      <c r="P1408" s="32" t="s">
        <v>2282</v>
      </c>
      <c r="Q1408" s="42" t="s">
        <v>57</v>
      </c>
      <c r="R1408" s="32">
        <v>2035</v>
      </c>
      <c r="S1408" s="43" t="str">
        <f t="shared" si="172"/>
        <v>*0.95</v>
      </c>
      <c r="U1408" s="32" t="s">
        <v>2282</v>
      </c>
      <c r="V1408" s="42" t="s">
        <v>57</v>
      </c>
      <c r="W1408" s="32">
        <v>2050</v>
      </c>
      <c r="X1408" s="43" t="str">
        <f t="shared" si="173"/>
        <v>*0.93</v>
      </c>
      <c r="AC1408" s="33" t="s">
        <v>2282</v>
      </c>
      <c r="AD1408" s="44" t="s">
        <v>57</v>
      </c>
      <c r="AE1408" s="33">
        <v>2035</v>
      </c>
      <c r="AF1408" s="45" t="str">
        <f t="shared" si="174"/>
        <v>*0.93</v>
      </c>
      <c r="AG1408" s="43" t="str">
        <f t="shared" si="176"/>
        <v>REZoning_Sol-Win</v>
      </c>
      <c r="AI1408" s="33" t="s">
        <v>2282</v>
      </c>
      <c r="AJ1408" s="44" t="s">
        <v>57</v>
      </c>
      <c r="AK1408" s="33">
        <v>2050</v>
      </c>
      <c r="AL1408" s="45" t="str">
        <f t="shared" si="175"/>
        <v>*0.9</v>
      </c>
      <c r="AM1408" s="43" t="str">
        <f t="shared" si="177"/>
        <v>REZoning_Sol-Win</v>
      </c>
      <c r="AP1408" t="s">
        <v>2282</v>
      </c>
      <c r="AQ1408" t="s">
        <v>57</v>
      </c>
      <c r="AR1408">
        <v>2100</v>
      </c>
      <c r="AS1408" t="s">
        <v>897</v>
      </c>
      <c r="AT1408" t="s">
        <v>58</v>
      </c>
    </row>
    <row r="1409" ht="29" spans="1:46">
      <c r="A1409" s="31" t="s">
        <v>73</v>
      </c>
      <c r="C1409" t="s">
        <v>2283</v>
      </c>
      <c r="D1409" s="5" t="s">
        <v>57</v>
      </c>
      <c r="E1409">
        <v>2035</v>
      </c>
      <c r="F1409" s="6" t="str">
        <f t="shared" si="170"/>
        <v>*0.95</v>
      </c>
      <c r="H1409" t="s">
        <v>2283</v>
      </c>
      <c r="I1409" s="5" t="s">
        <v>57</v>
      </c>
      <c r="J1409">
        <v>2050</v>
      </c>
      <c r="K1409" s="38" t="str">
        <f t="shared" si="171"/>
        <v>*0.93</v>
      </c>
      <c r="P1409" s="32" t="s">
        <v>2283</v>
      </c>
      <c r="Q1409" s="42" t="s">
        <v>57</v>
      </c>
      <c r="R1409" s="32">
        <v>2035</v>
      </c>
      <c r="S1409" s="43" t="str">
        <f t="shared" si="172"/>
        <v>*0.95</v>
      </c>
      <c r="U1409" s="32" t="s">
        <v>2283</v>
      </c>
      <c r="V1409" s="42" t="s">
        <v>57</v>
      </c>
      <c r="W1409" s="32">
        <v>2050</v>
      </c>
      <c r="X1409" s="43" t="str">
        <f t="shared" si="173"/>
        <v>*0.93</v>
      </c>
      <c r="AC1409" s="33" t="s">
        <v>2283</v>
      </c>
      <c r="AD1409" s="44" t="s">
        <v>57</v>
      </c>
      <c r="AE1409" s="33">
        <v>2035</v>
      </c>
      <c r="AF1409" s="45" t="str">
        <f t="shared" si="174"/>
        <v>*0.93</v>
      </c>
      <c r="AG1409" s="43" t="str">
        <f t="shared" si="176"/>
        <v>REZoning_Sol-Win</v>
      </c>
      <c r="AI1409" s="33" t="s">
        <v>2283</v>
      </c>
      <c r="AJ1409" s="44" t="s">
        <v>57</v>
      </c>
      <c r="AK1409" s="33">
        <v>2050</v>
      </c>
      <c r="AL1409" s="45" t="str">
        <f t="shared" si="175"/>
        <v>*0.9</v>
      </c>
      <c r="AM1409" s="43" t="str">
        <f t="shared" si="177"/>
        <v>REZoning_Sol-Win</v>
      </c>
      <c r="AP1409" t="s">
        <v>2283</v>
      </c>
      <c r="AQ1409" t="s">
        <v>57</v>
      </c>
      <c r="AR1409">
        <v>2100</v>
      </c>
      <c r="AS1409" t="s">
        <v>897</v>
      </c>
      <c r="AT1409" t="s">
        <v>58</v>
      </c>
    </row>
    <row r="1410" ht="29" spans="1:46">
      <c r="A1410" s="31" t="s">
        <v>73</v>
      </c>
      <c r="C1410" t="s">
        <v>2284</v>
      </c>
      <c r="D1410" s="5" t="s">
        <v>57</v>
      </c>
      <c r="E1410">
        <v>2035</v>
      </c>
      <c r="F1410" s="6" t="str">
        <f t="shared" si="170"/>
        <v>*0.95</v>
      </c>
      <c r="H1410" t="s">
        <v>2284</v>
      </c>
      <c r="I1410" s="5" t="s">
        <v>57</v>
      </c>
      <c r="J1410">
        <v>2050</v>
      </c>
      <c r="K1410" s="38" t="str">
        <f t="shared" si="171"/>
        <v>*0.93</v>
      </c>
      <c r="P1410" s="32" t="s">
        <v>2284</v>
      </c>
      <c r="Q1410" s="42" t="s">
        <v>57</v>
      </c>
      <c r="R1410" s="32">
        <v>2035</v>
      </c>
      <c r="S1410" s="43" t="str">
        <f t="shared" si="172"/>
        <v>*0.95</v>
      </c>
      <c r="U1410" s="32" t="s">
        <v>2284</v>
      </c>
      <c r="V1410" s="42" t="s">
        <v>57</v>
      </c>
      <c r="W1410" s="32">
        <v>2050</v>
      </c>
      <c r="X1410" s="43" t="str">
        <f t="shared" si="173"/>
        <v>*0.93</v>
      </c>
      <c r="AC1410" s="33" t="s">
        <v>2284</v>
      </c>
      <c r="AD1410" s="44" t="s">
        <v>57</v>
      </c>
      <c r="AE1410" s="33">
        <v>2035</v>
      </c>
      <c r="AF1410" s="45" t="str">
        <f t="shared" si="174"/>
        <v>*0.93</v>
      </c>
      <c r="AG1410" s="43" t="str">
        <f t="shared" si="176"/>
        <v>REZoning_Sol-Win</v>
      </c>
      <c r="AI1410" s="33" t="s">
        <v>2284</v>
      </c>
      <c r="AJ1410" s="44" t="s">
        <v>57</v>
      </c>
      <c r="AK1410" s="33">
        <v>2050</v>
      </c>
      <c r="AL1410" s="45" t="str">
        <f t="shared" si="175"/>
        <v>*0.9</v>
      </c>
      <c r="AM1410" s="43" t="str">
        <f t="shared" si="177"/>
        <v>REZoning_Sol-Win</v>
      </c>
      <c r="AP1410" t="s">
        <v>2284</v>
      </c>
      <c r="AQ1410" t="s">
        <v>57</v>
      </c>
      <c r="AR1410">
        <v>2100</v>
      </c>
      <c r="AS1410" t="s">
        <v>897</v>
      </c>
      <c r="AT1410" t="s">
        <v>58</v>
      </c>
    </row>
    <row r="1411" ht="29" spans="1:46">
      <c r="A1411" s="31" t="s">
        <v>73</v>
      </c>
      <c r="C1411" t="s">
        <v>2285</v>
      </c>
      <c r="D1411" s="5" t="s">
        <v>57</v>
      </c>
      <c r="E1411">
        <v>2035</v>
      </c>
      <c r="F1411" s="6" t="str">
        <f t="shared" si="170"/>
        <v>*0.95</v>
      </c>
      <c r="H1411" t="s">
        <v>2285</v>
      </c>
      <c r="I1411" s="5" t="s">
        <v>57</v>
      </c>
      <c r="J1411">
        <v>2050</v>
      </c>
      <c r="K1411" s="38" t="str">
        <f t="shared" si="171"/>
        <v>*0.93</v>
      </c>
      <c r="P1411" s="32" t="s">
        <v>2285</v>
      </c>
      <c r="Q1411" s="42" t="s">
        <v>57</v>
      </c>
      <c r="R1411" s="32">
        <v>2035</v>
      </c>
      <c r="S1411" s="43" t="str">
        <f t="shared" si="172"/>
        <v>*0.95</v>
      </c>
      <c r="U1411" s="32" t="s">
        <v>2285</v>
      </c>
      <c r="V1411" s="42" t="s">
        <v>57</v>
      </c>
      <c r="W1411" s="32">
        <v>2050</v>
      </c>
      <c r="X1411" s="43" t="str">
        <f t="shared" si="173"/>
        <v>*0.93</v>
      </c>
      <c r="AC1411" s="33" t="s">
        <v>2285</v>
      </c>
      <c r="AD1411" s="44" t="s">
        <v>57</v>
      </c>
      <c r="AE1411" s="33">
        <v>2035</v>
      </c>
      <c r="AF1411" s="45" t="str">
        <f t="shared" si="174"/>
        <v>*0.93</v>
      </c>
      <c r="AG1411" s="43" t="str">
        <f t="shared" si="176"/>
        <v>REZoning_Sol-Win</v>
      </c>
      <c r="AI1411" s="33" t="s">
        <v>2285</v>
      </c>
      <c r="AJ1411" s="44" t="s">
        <v>57</v>
      </c>
      <c r="AK1411" s="33">
        <v>2050</v>
      </c>
      <c r="AL1411" s="45" t="str">
        <f t="shared" si="175"/>
        <v>*0.9</v>
      </c>
      <c r="AM1411" s="43" t="str">
        <f t="shared" si="177"/>
        <v>REZoning_Sol-Win</v>
      </c>
      <c r="AP1411" t="s">
        <v>2285</v>
      </c>
      <c r="AQ1411" t="s">
        <v>57</v>
      </c>
      <c r="AR1411">
        <v>2100</v>
      </c>
      <c r="AS1411" t="s">
        <v>897</v>
      </c>
      <c r="AT1411" t="s">
        <v>58</v>
      </c>
    </row>
    <row r="1412" ht="29" spans="1:46">
      <c r="A1412" s="31" t="s">
        <v>73</v>
      </c>
      <c r="C1412" t="s">
        <v>2286</v>
      </c>
      <c r="D1412" s="5" t="s">
        <v>57</v>
      </c>
      <c r="E1412">
        <v>2035</v>
      </c>
      <c r="F1412" s="6" t="str">
        <f t="shared" ref="F1412:F1475" si="178">"*"&amp;IF(AND(A1412="EU",E1412=2035),0.95,IF(AND(A1412="EU",E1412=2050),0.93,IF(AND(A1412="USA",E1412=2035),0.96,IF(AND(A1412="USA",E1412=2050),0.94,IF(AND(A1412="Japan",E1412=2035),0.94,IF(AND(A1412="Japan",E1412=2050),0.92,IF(AND(A1412="Russia",E1412=2035),0.95,IF(AND(A1412="Russia",E1412=2050),0.93,IF(AND(A1412="China",E1412=2035),0.94,IF(AND(A1412="China",E1412=2050),0.92,IF(AND(A1412="India",E1412=2035),0.95,IF(AND(A1412="India",E1412=2050),0.92,IF(AND(A1412="Middle East",E1412=2035),0.94,IF(AND(A1412="Middle East",E1412=2050),0.9,IF(AND(A1412="Africa",E1412=2035),0.94,IF(AND(A1412="Africa",E1412=2050),0.91,IF(AND(A1412="Brazil",E1412=2035),0.95,IF(AND(A1412="Brazil",E1412=2050),0.92,""))))))))))))))))))</f>
        <v>*0.95</v>
      </c>
      <c r="H1412" t="s">
        <v>2286</v>
      </c>
      <c r="I1412" s="5" t="s">
        <v>57</v>
      </c>
      <c r="J1412">
        <v>2050</v>
      </c>
      <c r="K1412" s="38" t="str">
        <f t="shared" ref="K1412:K1475" si="179">"*"&amp;IF(AND(A1412="EU",J1412=2035),0.95,IF(AND(A1412="EU",J1412=2050),0.93,IF(AND(A1412="USA",J1412=2035),0.96,IF(AND(A1412="USA",J1412=2050),0.94,IF(AND(A1412="Japan",J1412=2035),0.94,IF(AND(A1412="Japan",J1412=2050),0.92,IF(AND(A1412="Russia",J1412=2035),0.95,IF(AND(A1412="Russia",J1412=2050),0.93,IF(AND(A1412="China",J1412=2035),0.94,IF(AND(A1412="China",J1412=2050),0.92,IF(AND(A1412="India",J1412=2035),0.95,IF(AND(A1412="India",J1412=2050),0.92,IF(AND(A1412="Middle East",J1412=2035),0.94,IF(AND(A1412="Middle East",J1412=2050),0.9,IF(AND(A1412="Africa",J1412=2035),0.94,IF(AND(A1412="Africa",J1412=2050),0.91,IF(AND(A1412="Brazil",J1412=2035),0.95,IF(AND(A1412="Brazil",J1412=2050),0.92,""))))))))))))))))))</f>
        <v>*0.93</v>
      </c>
      <c r="P1412" s="32" t="s">
        <v>2286</v>
      </c>
      <c r="Q1412" s="42" t="s">
        <v>57</v>
      </c>
      <c r="R1412" s="32">
        <v>2035</v>
      </c>
      <c r="S1412" s="43" t="str">
        <f t="shared" ref="S1412:S1475" si="180">"*"&amp;IF(AND(A1412="EU",R1412=2035),0.95,IF(AND(A1412="EU",R1412=2050),0.93,IF(AND(A1412="USA",R1412=2035),0.96,IF(AND(A1412="USA",R1412=2050),0.93,IF(AND(A1412="Japan",R1412=2035),0.94,IF(AND(A1412="Japan",R1412=2050),0.92,IF(AND(A1412="Russia",R1412=2035),0.95,IF(AND(A1412="Russia",R1412=2050),0.91,IF(AND(A1412="China",R1412=2035),0.93,IF(AND(A1412="China",R1412=2050),0.92,IF(AND(A1412="India",R1412=2035),0.94,IF(AND(A1412="India",R1412=2050),0.91,IF(AND(A1412="Middle East",R1412=2035),0.92,IF(AND(A1412="Middle East",R1412=2050),0.89,IF(AND(A1412="Africa",R1412=2035),0.93,IF(AND(A1412="Africa",R1412=2050),0.9,IF(AND(A1412="Brazil",R1412=2035),0.95,IF(AND(A1412="Brazil",R1412=2050),0.92,""))))))))))))))))))</f>
        <v>*0.95</v>
      </c>
      <c r="U1412" s="32" t="s">
        <v>2286</v>
      </c>
      <c r="V1412" s="42" t="s">
        <v>57</v>
      </c>
      <c r="W1412" s="32">
        <v>2050</v>
      </c>
      <c r="X1412" s="43" t="str">
        <f t="shared" ref="X1412:X1475" si="181">"*"&amp;IF(AND(A1412="EU",W1412=2035),0.95,IF(AND(A1412="EU",W1412=2050),0.93,IF(AND(A1412="USA",W1412=2035),0.96,IF(AND(A1412="USA",W1412=2050),0.93,IF(AND(A1412="Japan",W1412=2035),0.94,IF(AND(A1412="Japan",W1412=2050),0.92,IF(AND(A1412="Russia",W1412=2035),0.95,IF(AND(A1412="Russia",W1412=2050),0.91,IF(AND(A1412="China",W1412=2035),0.93,IF(AND(A1412="China",W1412=2050),0.92,IF(AND(A1412="India",W1412=2035),0.94,IF(AND(A1412="India",W1412=2050),0.91,IF(AND(A1412="Middle East",W1412=2035),0.92,IF(AND(A1412="Middle East",W1412=2050),0.89,IF(AND(A1412="Africa",W1412=2035),0.93,IF(AND(A1412="Africa",W1412=2050),0.9,IF(AND(A1412="Brazil",W1412=2035),0.95,IF(AND(A1412="Brazil",W1412=2050),0.92,""))))))))))))))))))</f>
        <v>*0.93</v>
      </c>
      <c r="AC1412" s="33" t="s">
        <v>2286</v>
      </c>
      <c r="AD1412" s="44" t="s">
        <v>57</v>
      </c>
      <c r="AE1412" s="33">
        <v>2035</v>
      </c>
      <c r="AF1412" s="45" t="str">
        <f t="shared" ref="AF1412:AF1475" si="182">"*"&amp;IF(AND(A1412="EU",AE1412=2035),0.93,IF(AND(A1412="EU",AE1412=2050),0.9,IF(AND(A1412="USA",AE1412=2035),0.92,IF(AND(A1412="USA",AE1412=2050),0.89,IF(AND(A1412="Japan",AE1412=2035),0.92,IF(AND(A1412="Japan",AE1412=2050),0.89,IF(AND(A1412="Russia",AE1412=2035),0.91,IF(AND(A1412="Russia",AE1412=2050),0.86,IF(AND(A1412="China",AE1412=2035),0.91,IF(AND(A1412="China",AE1412=2050),0.87,IF(AND(A1412="India",AE1412=2035),0.92,IF(AND(A1412="India",AE1412=2050),0.87,IF(AND(A1412="Middle East",AE1412=2035),0.89,IF(AND(A1412="Middle East",AE1412=2050),0.84,IF(AND(A1412="Africa",AE1412=2035),0.9,IF(AND(A1412="Africa",AE1412=2050),0.86,IF(AND(A1412="Brazil",AE1412=2035),0.93,IF(AND(A1412="Brazil",AE1412=2050),0.89,""))))))))))))))))))</f>
        <v>*0.93</v>
      </c>
      <c r="AG1412" s="43" t="str">
        <f t="shared" si="176"/>
        <v>REZoning_Sol-Win</v>
      </c>
      <c r="AI1412" s="33" t="s">
        <v>2286</v>
      </c>
      <c r="AJ1412" s="44" t="s">
        <v>57</v>
      </c>
      <c r="AK1412" s="33">
        <v>2050</v>
      </c>
      <c r="AL1412" s="45" t="str">
        <f t="shared" ref="AL1412:AL1475" si="183">"*"&amp;IF(AND(A1412="EU",AK1412=2035),0.93,IF(AND(A1412="EU",AK1412=2050),0.9,IF(AND(A1412="USA",AK1412=2035),0.92,IF(AND(A1412="USA",AK1412=2050),0.89,IF(AND(A1412="Japan",AK1412=2035),0.92,IF(AND(A1412="Japan",AK1412=2050),0.89,IF(AND(A1412="Russia",AK1412=2035),0.91,IF(AND(A1412="Russia",AK1412=2050),0.86,IF(AND(A1412="China",AK1412=2035),0.91,IF(AND(A1412="China",AK1412=2050),0.87,IF(AND(A1412="India",AK1412=2035),0.92,IF(AND(A1412="India",AK1412=2050),0.87,IF(AND(A1412="Middle East",AK1412=2035),0.89,IF(AND(A1412="Middle East",AK1412=2050),0.84,IF(AND(A1412="Africa",AK1412=2035),0.9,IF(AND(A1412="Africa",AK1412=2050),0.86,IF(AND(A1412="Brazil",AK1412=2035),0.93,IF(AND(A1412="Brazil",AK1412=2050),0.89,""))))))))))))))))))</f>
        <v>*0.9</v>
      </c>
      <c r="AM1412" s="43" t="str">
        <f t="shared" si="177"/>
        <v>REZoning_Sol-Win</v>
      </c>
      <c r="AP1412" t="s">
        <v>2286</v>
      </c>
      <c r="AQ1412" t="s">
        <v>57</v>
      </c>
      <c r="AR1412">
        <v>2100</v>
      </c>
      <c r="AS1412" t="s">
        <v>897</v>
      </c>
      <c r="AT1412" t="s">
        <v>58</v>
      </c>
    </row>
    <row r="1413" ht="29" spans="1:46">
      <c r="A1413" s="31" t="s">
        <v>79</v>
      </c>
      <c r="C1413" t="s">
        <v>2287</v>
      </c>
      <c r="D1413" s="5" t="s">
        <v>57</v>
      </c>
      <c r="E1413">
        <v>2035</v>
      </c>
      <c r="F1413" s="6" t="str">
        <f t="shared" si="178"/>
        <v>*0.94</v>
      </c>
      <c r="H1413" t="s">
        <v>2287</v>
      </c>
      <c r="I1413" s="5" t="s">
        <v>57</v>
      </c>
      <c r="J1413">
        <v>2050</v>
      </c>
      <c r="K1413" s="38" t="str">
        <f t="shared" si="179"/>
        <v>*0.9</v>
      </c>
      <c r="P1413" s="32" t="s">
        <v>2287</v>
      </c>
      <c r="Q1413" s="42" t="s">
        <v>57</v>
      </c>
      <c r="R1413" s="32">
        <v>2035</v>
      </c>
      <c r="S1413" s="43" t="str">
        <f t="shared" si="180"/>
        <v>*0.92</v>
      </c>
      <c r="U1413" s="32" t="s">
        <v>2287</v>
      </c>
      <c r="V1413" s="42" t="s">
        <v>57</v>
      </c>
      <c r="W1413" s="32">
        <v>2050</v>
      </c>
      <c r="X1413" s="43" t="str">
        <f t="shared" si="181"/>
        <v>*0.89</v>
      </c>
      <c r="AC1413" s="33" t="s">
        <v>2287</v>
      </c>
      <c r="AD1413" s="44" t="s">
        <v>57</v>
      </c>
      <c r="AE1413" s="33">
        <v>2035</v>
      </c>
      <c r="AF1413" s="45" t="str">
        <f t="shared" si="182"/>
        <v>*0.89</v>
      </c>
      <c r="AG1413" s="43" t="str">
        <f t="shared" si="176"/>
        <v>REZoning_Sol-Win</v>
      </c>
      <c r="AI1413" s="33" t="s">
        <v>2287</v>
      </c>
      <c r="AJ1413" s="44" t="s">
        <v>57</v>
      </c>
      <c r="AK1413" s="33">
        <v>2050</v>
      </c>
      <c r="AL1413" s="45" t="str">
        <f t="shared" si="183"/>
        <v>*0.84</v>
      </c>
      <c r="AM1413" s="43" t="str">
        <f t="shared" si="177"/>
        <v>REZoning_Sol-Win</v>
      </c>
      <c r="AP1413" t="s">
        <v>2287</v>
      </c>
      <c r="AQ1413" t="s">
        <v>57</v>
      </c>
      <c r="AR1413">
        <v>2100</v>
      </c>
      <c r="AS1413" t="s">
        <v>919</v>
      </c>
      <c r="AT1413" t="s">
        <v>58</v>
      </c>
    </row>
    <row r="1414" ht="29" spans="1:46">
      <c r="A1414" s="31" t="s">
        <v>79</v>
      </c>
      <c r="C1414" t="s">
        <v>2288</v>
      </c>
      <c r="D1414" s="5" t="s">
        <v>57</v>
      </c>
      <c r="E1414">
        <v>2035</v>
      </c>
      <c r="F1414" s="6" t="str">
        <f t="shared" si="178"/>
        <v>*0.94</v>
      </c>
      <c r="H1414" t="s">
        <v>2288</v>
      </c>
      <c r="I1414" s="5" t="s">
        <v>57</v>
      </c>
      <c r="J1414">
        <v>2050</v>
      </c>
      <c r="K1414" s="38" t="str">
        <f t="shared" si="179"/>
        <v>*0.9</v>
      </c>
      <c r="P1414" s="32" t="s">
        <v>2288</v>
      </c>
      <c r="Q1414" s="42" t="s">
        <v>57</v>
      </c>
      <c r="R1414" s="32">
        <v>2035</v>
      </c>
      <c r="S1414" s="43" t="str">
        <f t="shared" si="180"/>
        <v>*0.92</v>
      </c>
      <c r="U1414" s="32" t="s">
        <v>2288</v>
      </c>
      <c r="V1414" s="42" t="s">
        <v>57</v>
      </c>
      <c r="W1414" s="32">
        <v>2050</v>
      </c>
      <c r="X1414" s="43" t="str">
        <f t="shared" si="181"/>
        <v>*0.89</v>
      </c>
      <c r="AC1414" s="33" t="s">
        <v>2288</v>
      </c>
      <c r="AD1414" s="44" t="s">
        <v>57</v>
      </c>
      <c r="AE1414" s="33">
        <v>2035</v>
      </c>
      <c r="AF1414" s="45" t="str">
        <f t="shared" si="182"/>
        <v>*0.89</v>
      </c>
      <c r="AG1414" s="43" t="str">
        <f t="shared" si="176"/>
        <v>REZoning_Sol-Win</v>
      </c>
      <c r="AI1414" s="33" t="s">
        <v>2288</v>
      </c>
      <c r="AJ1414" s="44" t="s">
        <v>57</v>
      </c>
      <c r="AK1414" s="33">
        <v>2050</v>
      </c>
      <c r="AL1414" s="45" t="str">
        <f t="shared" si="183"/>
        <v>*0.84</v>
      </c>
      <c r="AM1414" s="43" t="str">
        <f t="shared" si="177"/>
        <v>REZoning_Sol-Win</v>
      </c>
      <c r="AP1414" t="s">
        <v>2288</v>
      </c>
      <c r="AQ1414" t="s">
        <v>57</v>
      </c>
      <c r="AR1414">
        <v>2100</v>
      </c>
      <c r="AS1414" t="s">
        <v>919</v>
      </c>
      <c r="AT1414" t="s">
        <v>58</v>
      </c>
    </row>
    <row r="1415" ht="29" spans="1:46">
      <c r="A1415" s="31" t="s">
        <v>79</v>
      </c>
      <c r="C1415" t="s">
        <v>2289</v>
      </c>
      <c r="D1415" s="5" t="s">
        <v>57</v>
      </c>
      <c r="E1415">
        <v>2035</v>
      </c>
      <c r="F1415" s="6" t="str">
        <f t="shared" si="178"/>
        <v>*0.94</v>
      </c>
      <c r="H1415" t="s">
        <v>2289</v>
      </c>
      <c r="I1415" s="5" t="s">
        <v>57</v>
      </c>
      <c r="J1415">
        <v>2050</v>
      </c>
      <c r="K1415" s="38" t="str">
        <f t="shared" si="179"/>
        <v>*0.9</v>
      </c>
      <c r="P1415" s="32" t="s">
        <v>2289</v>
      </c>
      <c r="Q1415" s="42" t="s">
        <v>57</v>
      </c>
      <c r="R1415" s="32">
        <v>2035</v>
      </c>
      <c r="S1415" s="43" t="str">
        <f t="shared" si="180"/>
        <v>*0.92</v>
      </c>
      <c r="U1415" s="32" t="s">
        <v>2289</v>
      </c>
      <c r="V1415" s="42" t="s">
        <v>57</v>
      </c>
      <c r="W1415" s="32">
        <v>2050</v>
      </c>
      <c r="X1415" s="43" t="str">
        <f t="shared" si="181"/>
        <v>*0.89</v>
      </c>
      <c r="AC1415" s="33" t="s">
        <v>2289</v>
      </c>
      <c r="AD1415" s="44" t="s">
        <v>57</v>
      </c>
      <c r="AE1415" s="33">
        <v>2035</v>
      </c>
      <c r="AF1415" s="45" t="str">
        <f t="shared" si="182"/>
        <v>*0.89</v>
      </c>
      <c r="AG1415" s="43" t="str">
        <f t="shared" si="176"/>
        <v>REZoning_Sol-Win</v>
      </c>
      <c r="AI1415" s="33" t="s">
        <v>2289</v>
      </c>
      <c r="AJ1415" s="44" t="s">
        <v>57</v>
      </c>
      <c r="AK1415" s="33">
        <v>2050</v>
      </c>
      <c r="AL1415" s="45" t="str">
        <f t="shared" si="183"/>
        <v>*0.84</v>
      </c>
      <c r="AM1415" s="43" t="str">
        <f t="shared" si="177"/>
        <v>REZoning_Sol-Win</v>
      </c>
      <c r="AP1415" t="s">
        <v>2289</v>
      </c>
      <c r="AQ1415" t="s">
        <v>57</v>
      </c>
      <c r="AR1415">
        <v>2100</v>
      </c>
      <c r="AS1415" t="s">
        <v>919</v>
      </c>
      <c r="AT1415" t="s">
        <v>58</v>
      </c>
    </row>
    <row r="1416" ht="29" spans="1:46">
      <c r="A1416" s="31" t="s">
        <v>79</v>
      </c>
      <c r="C1416" t="s">
        <v>2290</v>
      </c>
      <c r="D1416" s="5" t="s">
        <v>57</v>
      </c>
      <c r="E1416">
        <v>2035</v>
      </c>
      <c r="F1416" s="6" t="str">
        <f t="shared" si="178"/>
        <v>*0.94</v>
      </c>
      <c r="H1416" t="s">
        <v>2290</v>
      </c>
      <c r="I1416" s="5" t="s">
        <v>57</v>
      </c>
      <c r="J1416">
        <v>2050</v>
      </c>
      <c r="K1416" s="38" t="str">
        <f t="shared" si="179"/>
        <v>*0.9</v>
      </c>
      <c r="P1416" s="32" t="s">
        <v>2290</v>
      </c>
      <c r="Q1416" s="42" t="s">
        <v>57</v>
      </c>
      <c r="R1416" s="32">
        <v>2035</v>
      </c>
      <c r="S1416" s="43" t="str">
        <f t="shared" si="180"/>
        <v>*0.92</v>
      </c>
      <c r="U1416" s="32" t="s">
        <v>2290</v>
      </c>
      <c r="V1416" s="42" t="s">
        <v>57</v>
      </c>
      <c r="W1416" s="32">
        <v>2050</v>
      </c>
      <c r="X1416" s="43" t="str">
        <f t="shared" si="181"/>
        <v>*0.89</v>
      </c>
      <c r="AC1416" s="33" t="s">
        <v>2290</v>
      </c>
      <c r="AD1416" s="44" t="s">
        <v>57</v>
      </c>
      <c r="AE1416" s="33">
        <v>2035</v>
      </c>
      <c r="AF1416" s="45" t="str">
        <f t="shared" si="182"/>
        <v>*0.89</v>
      </c>
      <c r="AG1416" s="43" t="str">
        <f t="shared" si="176"/>
        <v>REZoning_Sol-Win</v>
      </c>
      <c r="AI1416" s="33" t="s">
        <v>2290</v>
      </c>
      <c r="AJ1416" s="44" t="s">
        <v>57</v>
      </c>
      <c r="AK1416" s="33">
        <v>2050</v>
      </c>
      <c r="AL1416" s="45" t="str">
        <f t="shared" si="183"/>
        <v>*0.84</v>
      </c>
      <c r="AM1416" s="43" t="str">
        <f t="shared" si="177"/>
        <v>REZoning_Sol-Win</v>
      </c>
      <c r="AP1416" t="s">
        <v>2290</v>
      </c>
      <c r="AQ1416" t="s">
        <v>57</v>
      </c>
      <c r="AR1416">
        <v>2100</v>
      </c>
      <c r="AS1416" t="s">
        <v>919</v>
      </c>
      <c r="AT1416" t="s">
        <v>58</v>
      </c>
    </row>
    <row r="1417" ht="29" spans="1:46">
      <c r="A1417" s="31" t="s">
        <v>79</v>
      </c>
      <c r="C1417" t="s">
        <v>2291</v>
      </c>
      <c r="D1417" s="5" t="s">
        <v>57</v>
      </c>
      <c r="E1417">
        <v>2035</v>
      </c>
      <c r="F1417" s="6" t="str">
        <f t="shared" si="178"/>
        <v>*0.94</v>
      </c>
      <c r="H1417" t="s">
        <v>2291</v>
      </c>
      <c r="I1417" s="5" t="s">
        <v>57</v>
      </c>
      <c r="J1417">
        <v>2050</v>
      </c>
      <c r="K1417" s="38" t="str">
        <f t="shared" si="179"/>
        <v>*0.9</v>
      </c>
      <c r="P1417" s="32" t="s">
        <v>2291</v>
      </c>
      <c r="Q1417" s="42" t="s">
        <v>57</v>
      </c>
      <c r="R1417" s="32">
        <v>2035</v>
      </c>
      <c r="S1417" s="43" t="str">
        <f t="shared" si="180"/>
        <v>*0.92</v>
      </c>
      <c r="U1417" s="32" t="s">
        <v>2291</v>
      </c>
      <c r="V1417" s="42" t="s">
        <v>57</v>
      </c>
      <c r="W1417" s="32">
        <v>2050</v>
      </c>
      <c r="X1417" s="43" t="str">
        <f t="shared" si="181"/>
        <v>*0.89</v>
      </c>
      <c r="AC1417" s="33" t="s">
        <v>2291</v>
      </c>
      <c r="AD1417" s="44" t="s">
        <v>57</v>
      </c>
      <c r="AE1417" s="33">
        <v>2035</v>
      </c>
      <c r="AF1417" s="45" t="str">
        <f t="shared" si="182"/>
        <v>*0.89</v>
      </c>
      <c r="AG1417" s="43" t="str">
        <f t="shared" ref="AG1417:AG1480" si="184">AG1416</f>
        <v>REZoning_Sol-Win</v>
      </c>
      <c r="AI1417" s="33" t="s">
        <v>2291</v>
      </c>
      <c r="AJ1417" s="44" t="s">
        <v>57</v>
      </c>
      <c r="AK1417" s="33">
        <v>2050</v>
      </c>
      <c r="AL1417" s="45" t="str">
        <f t="shared" si="183"/>
        <v>*0.84</v>
      </c>
      <c r="AM1417" s="43" t="str">
        <f t="shared" si="177"/>
        <v>REZoning_Sol-Win</v>
      </c>
      <c r="AP1417" t="s">
        <v>2291</v>
      </c>
      <c r="AQ1417" t="s">
        <v>57</v>
      </c>
      <c r="AR1417">
        <v>2100</v>
      </c>
      <c r="AS1417" t="s">
        <v>919</v>
      </c>
      <c r="AT1417" t="s">
        <v>58</v>
      </c>
    </row>
    <row r="1418" ht="29" spans="1:46">
      <c r="A1418" s="31" t="s">
        <v>79</v>
      </c>
      <c r="C1418" t="s">
        <v>2292</v>
      </c>
      <c r="D1418" s="5" t="s">
        <v>57</v>
      </c>
      <c r="E1418">
        <v>2035</v>
      </c>
      <c r="F1418" s="6" t="str">
        <f t="shared" si="178"/>
        <v>*0.94</v>
      </c>
      <c r="H1418" t="s">
        <v>2292</v>
      </c>
      <c r="I1418" s="5" t="s">
        <v>57</v>
      </c>
      <c r="J1418">
        <v>2050</v>
      </c>
      <c r="K1418" s="38" t="str">
        <f t="shared" si="179"/>
        <v>*0.9</v>
      </c>
      <c r="P1418" s="32" t="s">
        <v>2292</v>
      </c>
      <c r="Q1418" s="42" t="s">
        <v>57</v>
      </c>
      <c r="R1418" s="32">
        <v>2035</v>
      </c>
      <c r="S1418" s="43" t="str">
        <f t="shared" si="180"/>
        <v>*0.92</v>
      </c>
      <c r="U1418" s="32" t="s">
        <v>2292</v>
      </c>
      <c r="V1418" s="42" t="s">
        <v>57</v>
      </c>
      <c r="W1418" s="32">
        <v>2050</v>
      </c>
      <c r="X1418" s="43" t="str">
        <f t="shared" si="181"/>
        <v>*0.89</v>
      </c>
      <c r="AC1418" s="33" t="s">
        <v>2292</v>
      </c>
      <c r="AD1418" s="44" t="s">
        <v>57</v>
      </c>
      <c r="AE1418" s="33">
        <v>2035</v>
      </c>
      <c r="AF1418" s="45" t="str">
        <f t="shared" si="182"/>
        <v>*0.89</v>
      </c>
      <c r="AG1418" s="43" t="str">
        <f t="shared" si="184"/>
        <v>REZoning_Sol-Win</v>
      </c>
      <c r="AI1418" s="33" t="s">
        <v>2292</v>
      </c>
      <c r="AJ1418" s="44" t="s">
        <v>57</v>
      </c>
      <c r="AK1418" s="33">
        <v>2050</v>
      </c>
      <c r="AL1418" s="45" t="str">
        <f t="shared" si="183"/>
        <v>*0.84</v>
      </c>
      <c r="AM1418" s="43" t="str">
        <f t="shared" ref="AM1418:AM1481" si="185">AM1417</f>
        <v>REZoning_Sol-Win</v>
      </c>
      <c r="AP1418" t="s">
        <v>2292</v>
      </c>
      <c r="AQ1418" t="s">
        <v>57</v>
      </c>
      <c r="AR1418">
        <v>2100</v>
      </c>
      <c r="AS1418" t="s">
        <v>919</v>
      </c>
      <c r="AT1418" t="s">
        <v>58</v>
      </c>
    </row>
    <row r="1419" ht="29" spans="1:46">
      <c r="A1419" s="31" t="s">
        <v>79</v>
      </c>
      <c r="C1419" t="s">
        <v>2293</v>
      </c>
      <c r="D1419" s="5" t="s">
        <v>57</v>
      </c>
      <c r="E1419">
        <v>2035</v>
      </c>
      <c r="F1419" s="6" t="str">
        <f t="shared" si="178"/>
        <v>*0.94</v>
      </c>
      <c r="H1419" t="s">
        <v>2293</v>
      </c>
      <c r="I1419" s="5" t="s">
        <v>57</v>
      </c>
      <c r="J1419">
        <v>2050</v>
      </c>
      <c r="K1419" s="38" t="str">
        <f t="shared" si="179"/>
        <v>*0.9</v>
      </c>
      <c r="P1419" s="32" t="s">
        <v>2293</v>
      </c>
      <c r="Q1419" s="42" t="s">
        <v>57</v>
      </c>
      <c r="R1419" s="32">
        <v>2035</v>
      </c>
      <c r="S1419" s="43" t="str">
        <f t="shared" si="180"/>
        <v>*0.92</v>
      </c>
      <c r="U1419" s="32" t="s">
        <v>2293</v>
      </c>
      <c r="V1419" s="42" t="s">
        <v>57</v>
      </c>
      <c r="W1419" s="32">
        <v>2050</v>
      </c>
      <c r="X1419" s="43" t="str">
        <f t="shared" si="181"/>
        <v>*0.89</v>
      </c>
      <c r="AC1419" s="33" t="s">
        <v>2293</v>
      </c>
      <c r="AD1419" s="44" t="s">
        <v>57</v>
      </c>
      <c r="AE1419" s="33">
        <v>2035</v>
      </c>
      <c r="AF1419" s="45" t="str">
        <f t="shared" si="182"/>
        <v>*0.89</v>
      </c>
      <c r="AG1419" s="43" t="str">
        <f t="shared" si="184"/>
        <v>REZoning_Sol-Win</v>
      </c>
      <c r="AI1419" s="33" t="s">
        <v>2293</v>
      </c>
      <c r="AJ1419" s="44" t="s">
        <v>57</v>
      </c>
      <c r="AK1419" s="33">
        <v>2050</v>
      </c>
      <c r="AL1419" s="45" t="str">
        <f t="shared" si="183"/>
        <v>*0.84</v>
      </c>
      <c r="AM1419" s="43" t="str">
        <f t="shared" si="185"/>
        <v>REZoning_Sol-Win</v>
      </c>
      <c r="AP1419" t="s">
        <v>2293</v>
      </c>
      <c r="AQ1419" t="s">
        <v>57</v>
      </c>
      <c r="AR1419">
        <v>2100</v>
      </c>
      <c r="AS1419" t="s">
        <v>919</v>
      </c>
      <c r="AT1419" t="s">
        <v>58</v>
      </c>
    </row>
    <row r="1420" ht="29" spans="1:46">
      <c r="A1420" s="31" t="s">
        <v>79</v>
      </c>
      <c r="C1420" t="s">
        <v>2294</v>
      </c>
      <c r="D1420" s="5" t="s">
        <v>57</v>
      </c>
      <c r="E1420">
        <v>2035</v>
      </c>
      <c r="F1420" s="6" t="str">
        <f t="shared" si="178"/>
        <v>*0.94</v>
      </c>
      <c r="H1420" t="s">
        <v>2294</v>
      </c>
      <c r="I1420" s="5" t="s">
        <v>57</v>
      </c>
      <c r="J1420">
        <v>2050</v>
      </c>
      <c r="K1420" s="38" t="str">
        <f t="shared" si="179"/>
        <v>*0.9</v>
      </c>
      <c r="P1420" s="32" t="s">
        <v>2294</v>
      </c>
      <c r="Q1420" s="42" t="s">
        <v>57</v>
      </c>
      <c r="R1420" s="32">
        <v>2035</v>
      </c>
      <c r="S1420" s="43" t="str">
        <f t="shared" si="180"/>
        <v>*0.92</v>
      </c>
      <c r="U1420" s="32" t="s">
        <v>2294</v>
      </c>
      <c r="V1420" s="42" t="s">
        <v>57</v>
      </c>
      <c r="W1420" s="32">
        <v>2050</v>
      </c>
      <c r="X1420" s="43" t="str">
        <f t="shared" si="181"/>
        <v>*0.89</v>
      </c>
      <c r="AC1420" s="33" t="s">
        <v>2294</v>
      </c>
      <c r="AD1420" s="44" t="s">
        <v>57</v>
      </c>
      <c r="AE1420" s="33">
        <v>2035</v>
      </c>
      <c r="AF1420" s="45" t="str">
        <f t="shared" si="182"/>
        <v>*0.89</v>
      </c>
      <c r="AG1420" s="43" t="str">
        <f t="shared" si="184"/>
        <v>REZoning_Sol-Win</v>
      </c>
      <c r="AI1420" s="33" t="s">
        <v>2294</v>
      </c>
      <c r="AJ1420" s="44" t="s">
        <v>57</v>
      </c>
      <c r="AK1420" s="33">
        <v>2050</v>
      </c>
      <c r="AL1420" s="45" t="str">
        <f t="shared" si="183"/>
        <v>*0.84</v>
      </c>
      <c r="AM1420" s="43" t="str">
        <f t="shared" si="185"/>
        <v>REZoning_Sol-Win</v>
      </c>
      <c r="AP1420" t="s">
        <v>2294</v>
      </c>
      <c r="AQ1420" t="s">
        <v>57</v>
      </c>
      <c r="AR1420">
        <v>2100</v>
      </c>
      <c r="AS1420" t="s">
        <v>919</v>
      </c>
      <c r="AT1420" t="s">
        <v>58</v>
      </c>
    </row>
    <row r="1421" ht="29" spans="1:46">
      <c r="A1421" s="31" t="s">
        <v>79</v>
      </c>
      <c r="C1421" t="s">
        <v>2295</v>
      </c>
      <c r="D1421" s="5" t="s">
        <v>57</v>
      </c>
      <c r="E1421">
        <v>2035</v>
      </c>
      <c r="F1421" s="6" t="str">
        <f t="shared" si="178"/>
        <v>*0.94</v>
      </c>
      <c r="H1421" t="s">
        <v>2295</v>
      </c>
      <c r="I1421" s="5" t="s">
        <v>57</v>
      </c>
      <c r="J1421">
        <v>2050</v>
      </c>
      <c r="K1421" s="38" t="str">
        <f t="shared" si="179"/>
        <v>*0.9</v>
      </c>
      <c r="P1421" s="32" t="s">
        <v>2295</v>
      </c>
      <c r="Q1421" s="42" t="s">
        <v>57</v>
      </c>
      <c r="R1421" s="32">
        <v>2035</v>
      </c>
      <c r="S1421" s="43" t="str">
        <f t="shared" si="180"/>
        <v>*0.92</v>
      </c>
      <c r="U1421" s="32" t="s">
        <v>2295</v>
      </c>
      <c r="V1421" s="42" t="s">
        <v>57</v>
      </c>
      <c r="W1421" s="32">
        <v>2050</v>
      </c>
      <c r="X1421" s="43" t="str">
        <f t="shared" si="181"/>
        <v>*0.89</v>
      </c>
      <c r="AC1421" s="33" t="s">
        <v>2295</v>
      </c>
      <c r="AD1421" s="44" t="s">
        <v>57</v>
      </c>
      <c r="AE1421" s="33">
        <v>2035</v>
      </c>
      <c r="AF1421" s="45" t="str">
        <f t="shared" si="182"/>
        <v>*0.89</v>
      </c>
      <c r="AG1421" s="43" t="str">
        <f t="shared" si="184"/>
        <v>REZoning_Sol-Win</v>
      </c>
      <c r="AI1421" s="33" t="s">
        <v>2295</v>
      </c>
      <c r="AJ1421" s="44" t="s">
        <v>57</v>
      </c>
      <c r="AK1421" s="33">
        <v>2050</v>
      </c>
      <c r="AL1421" s="45" t="str">
        <f t="shared" si="183"/>
        <v>*0.84</v>
      </c>
      <c r="AM1421" s="43" t="str">
        <f t="shared" si="185"/>
        <v>REZoning_Sol-Win</v>
      </c>
      <c r="AP1421" t="s">
        <v>2295</v>
      </c>
      <c r="AQ1421" t="s">
        <v>57</v>
      </c>
      <c r="AR1421">
        <v>2100</v>
      </c>
      <c r="AS1421" t="s">
        <v>919</v>
      </c>
      <c r="AT1421" t="s">
        <v>58</v>
      </c>
    </row>
    <row r="1422" ht="29" spans="1:46">
      <c r="A1422" s="31" t="s">
        <v>79</v>
      </c>
      <c r="C1422" t="s">
        <v>2296</v>
      </c>
      <c r="D1422" s="5" t="s">
        <v>57</v>
      </c>
      <c r="E1422">
        <v>2035</v>
      </c>
      <c r="F1422" s="6" t="str">
        <f t="shared" si="178"/>
        <v>*0.94</v>
      </c>
      <c r="H1422" t="s">
        <v>2296</v>
      </c>
      <c r="I1422" s="5" t="s">
        <v>57</v>
      </c>
      <c r="J1422">
        <v>2050</v>
      </c>
      <c r="K1422" s="38" t="str">
        <f t="shared" si="179"/>
        <v>*0.9</v>
      </c>
      <c r="P1422" s="32" t="s">
        <v>2296</v>
      </c>
      <c r="Q1422" s="42" t="s">
        <v>57</v>
      </c>
      <c r="R1422" s="32">
        <v>2035</v>
      </c>
      <c r="S1422" s="43" t="str">
        <f t="shared" si="180"/>
        <v>*0.92</v>
      </c>
      <c r="U1422" s="32" t="s">
        <v>2296</v>
      </c>
      <c r="V1422" s="42" t="s">
        <v>57</v>
      </c>
      <c r="W1422" s="32">
        <v>2050</v>
      </c>
      <c r="X1422" s="43" t="str">
        <f t="shared" si="181"/>
        <v>*0.89</v>
      </c>
      <c r="AC1422" s="33" t="s">
        <v>2296</v>
      </c>
      <c r="AD1422" s="44" t="s">
        <v>57</v>
      </c>
      <c r="AE1422" s="33">
        <v>2035</v>
      </c>
      <c r="AF1422" s="45" t="str">
        <f t="shared" si="182"/>
        <v>*0.89</v>
      </c>
      <c r="AG1422" s="43" t="str">
        <f t="shared" si="184"/>
        <v>REZoning_Sol-Win</v>
      </c>
      <c r="AI1422" s="33" t="s">
        <v>2296</v>
      </c>
      <c r="AJ1422" s="44" t="s">
        <v>57</v>
      </c>
      <c r="AK1422" s="33">
        <v>2050</v>
      </c>
      <c r="AL1422" s="45" t="str">
        <f t="shared" si="183"/>
        <v>*0.84</v>
      </c>
      <c r="AM1422" s="43" t="str">
        <f t="shared" si="185"/>
        <v>REZoning_Sol-Win</v>
      </c>
      <c r="AP1422" t="s">
        <v>2296</v>
      </c>
      <c r="AQ1422" t="s">
        <v>57</v>
      </c>
      <c r="AR1422">
        <v>2100</v>
      </c>
      <c r="AS1422" t="s">
        <v>919</v>
      </c>
      <c r="AT1422" t="s">
        <v>58</v>
      </c>
    </row>
    <row r="1423" ht="29" spans="1:46">
      <c r="A1423" s="31" t="s">
        <v>79</v>
      </c>
      <c r="C1423" t="s">
        <v>2297</v>
      </c>
      <c r="D1423" s="5" t="s">
        <v>57</v>
      </c>
      <c r="E1423">
        <v>2035</v>
      </c>
      <c r="F1423" s="6" t="str">
        <f t="shared" si="178"/>
        <v>*0.94</v>
      </c>
      <c r="H1423" t="s">
        <v>2297</v>
      </c>
      <c r="I1423" s="5" t="s">
        <v>57</v>
      </c>
      <c r="J1423">
        <v>2050</v>
      </c>
      <c r="K1423" s="38" t="str">
        <f t="shared" si="179"/>
        <v>*0.9</v>
      </c>
      <c r="P1423" s="32" t="s">
        <v>2297</v>
      </c>
      <c r="Q1423" s="42" t="s">
        <v>57</v>
      </c>
      <c r="R1423" s="32">
        <v>2035</v>
      </c>
      <c r="S1423" s="43" t="str">
        <f t="shared" si="180"/>
        <v>*0.92</v>
      </c>
      <c r="U1423" s="32" t="s">
        <v>2297</v>
      </c>
      <c r="V1423" s="42" t="s">
        <v>57</v>
      </c>
      <c r="W1423" s="32">
        <v>2050</v>
      </c>
      <c r="X1423" s="43" t="str">
        <f t="shared" si="181"/>
        <v>*0.89</v>
      </c>
      <c r="AC1423" s="33" t="s">
        <v>2297</v>
      </c>
      <c r="AD1423" s="44" t="s">
        <v>57</v>
      </c>
      <c r="AE1423" s="33">
        <v>2035</v>
      </c>
      <c r="AF1423" s="45" t="str">
        <f t="shared" si="182"/>
        <v>*0.89</v>
      </c>
      <c r="AG1423" s="43" t="str">
        <f t="shared" si="184"/>
        <v>REZoning_Sol-Win</v>
      </c>
      <c r="AI1423" s="33" t="s">
        <v>2297</v>
      </c>
      <c r="AJ1423" s="44" t="s">
        <v>57</v>
      </c>
      <c r="AK1423" s="33">
        <v>2050</v>
      </c>
      <c r="AL1423" s="45" t="str">
        <f t="shared" si="183"/>
        <v>*0.84</v>
      </c>
      <c r="AM1423" s="43" t="str">
        <f t="shared" si="185"/>
        <v>REZoning_Sol-Win</v>
      </c>
      <c r="AP1423" t="s">
        <v>2297</v>
      </c>
      <c r="AQ1423" t="s">
        <v>57</v>
      </c>
      <c r="AR1423">
        <v>2100</v>
      </c>
      <c r="AS1423" t="s">
        <v>919</v>
      </c>
      <c r="AT1423" t="s">
        <v>58</v>
      </c>
    </row>
    <row r="1424" ht="29" spans="1:46">
      <c r="A1424" s="31" t="s">
        <v>79</v>
      </c>
      <c r="C1424" t="s">
        <v>2298</v>
      </c>
      <c r="D1424" s="5" t="s">
        <v>57</v>
      </c>
      <c r="E1424">
        <v>2035</v>
      </c>
      <c r="F1424" s="6" t="str">
        <f t="shared" si="178"/>
        <v>*0.94</v>
      </c>
      <c r="H1424" t="s">
        <v>2298</v>
      </c>
      <c r="I1424" s="5" t="s">
        <v>57</v>
      </c>
      <c r="J1424">
        <v>2050</v>
      </c>
      <c r="K1424" s="38" t="str">
        <f t="shared" si="179"/>
        <v>*0.9</v>
      </c>
      <c r="P1424" s="32" t="s">
        <v>2298</v>
      </c>
      <c r="Q1424" s="42" t="s">
        <v>57</v>
      </c>
      <c r="R1424" s="32">
        <v>2035</v>
      </c>
      <c r="S1424" s="43" t="str">
        <f t="shared" si="180"/>
        <v>*0.92</v>
      </c>
      <c r="U1424" s="32" t="s">
        <v>2298</v>
      </c>
      <c r="V1424" s="42" t="s">
        <v>57</v>
      </c>
      <c r="W1424" s="32">
        <v>2050</v>
      </c>
      <c r="X1424" s="43" t="str">
        <f t="shared" si="181"/>
        <v>*0.89</v>
      </c>
      <c r="AC1424" s="33" t="s">
        <v>2298</v>
      </c>
      <c r="AD1424" s="44" t="s">
        <v>57</v>
      </c>
      <c r="AE1424" s="33">
        <v>2035</v>
      </c>
      <c r="AF1424" s="45" t="str">
        <f t="shared" si="182"/>
        <v>*0.89</v>
      </c>
      <c r="AG1424" s="43" t="str">
        <f t="shared" si="184"/>
        <v>REZoning_Sol-Win</v>
      </c>
      <c r="AI1424" s="33" t="s">
        <v>2298</v>
      </c>
      <c r="AJ1424" s="44" t="s">
        <v>57</v>
      </c>
      <c r="AK1424" s="33">
        <v>2050</v>
      </c>
      <c r="AL1424" s="45" t="str">
        <f t="shared" si="183"/>
        <v>*0.84</v>
      </c>
      <c r="AM1424" s="43" t="str">
        <f t="shared" si="185"/>
        <v>REZoning_Sol-Win</v>
      </c>
      <c r="AP1424" t="s">
        <v>2298</v>
      </c>
      <c r="AQ1424" t="s">
        <v>57</v>
      </c>
      <c r="AR1424">
        <v>2100</v>
      </c>
      <c r="AS1424" t="s">
        <v>919</v>
      </c>
      <c r="AT1424" t="s">
        <v>58</v>
      </c>
    </row>
    <row r="1425" ht="29" spans="1:46">
      <c r="A1425" s="31" t="s">
        <v>79</v>
      </c>
      <c r="C1425" t="s">
        <v>2299</v>
      </c>
      <c r="D1425" s="5" t="s">
        <v>57</v>
      </c>
      <c r="E1425">
        <v>2035</v>
      </c>
      <c r="F1425" s="6" t="str">
        <f t="shared" si="178"/>
        <v>*0.94</v>
      </c>
      <c r="H1425" t="s">
        <v>2299</v>
      </c>
      <c r="I1425" s="5" t="s">
        <v>57</v>
      </c>
      <c r="J1425">
        <v>2050</v>
      </c>
      <c r="K1425" s="38" t="str">
        <f t="shared" si="179"/>
        <v>*0.9</v>
      </c>
      <c r="P1425" s="32" t="s">
        <v>2299</v>
      </c>
      <c r="Q1425" s="42" t="s">
        <v>57</v>
      </c>
      <c r="R1425" s="32">
        <v>2035</v>
      </c>
      <c r="S1425" s="43" t="str">
        <f t="shared" si="180"/>
        <v>*0.92</v>
      </c>
      <c r="U1425" s="32" t="s">
        <v>2299</v>
      </c>
      <c r="V1425" s="42" t="s">
        <v>57</v>
      </c>
      <c r="W1425" s="32">
        <v>2050</v>
      </c>
      <c r="X1425" s="43" t="str">
        <f t="shared" si="181"/>
        <v>*0.89</v>
      </c>
      <c r="AC1425" s="33" t="s">
        <v>2299</v>
      </c>
      <c r="AD1425" s="44" t="s">
        <v>57</v>
      </c>
      <c r="AE1425" s="33">
        <v>2035</v>
      </c>
      <c r="AF1425" s="45" t="str">
        <f t="shared" si="182"/>
        <v>*0.89</v>
      </c>
      <c r="AG1425" s="43" t="str">
        <f t="shared" si="184"/>
        <v>REZoning_Sol-Win</v>
      </c>
      <c r="AI1425" s="33" t="s">
        <v>2299</v>
      </c>
      <c r="AJ1425" s="44" t="s">
        <v>57</v>
      </c>
      <c r="AK1425" s="33">
        <v>2050</v>
      </c>
      <c r="AL1425" s="45" t="str">
        <f t="shared" si="183"/>
        <v>*0.84</v>
      </c>
      <c r="AM1425" s="43" t="str">
        <f t="shared" si="185"/>
        <v>REZoning_Sol-Win</v>
      </c>
      <c r="AP1425" t="s">
        <v>2299</v>
      </c>
      <c r="AQ1425" t="s">
        <v>57</v>
      </c>
      <c r="AR1425">
        <v>2100</v>
      </c>
      <c r="AS1425" t="s">
        <v>919</v>
      </c>
      <c r="AT1425" t="s">
        <v>58</v>
      </c>
    </row>
    <row r="1426" ht="29" spans="1:46">
      <c r="A1426" s="31" t="s">
        <v>79</v>
      </c>
      <c r="C1426" t="s">
        <v>2300</v>
      </c>
      <c r="D1426" s="5" t="s">
        <v>57</v>
      </c>
      <c r="E1426">
        <v>2035</v>
      </c>
      <c r="F1426" s="6" t="str">
        <f t="shared" si="178"/>
        <v>*0.94</v>
      </c>
      <c r="H1426" t="s">
        <v>2300</v>
      </c>
      <c r="I1426" s="5" t="s">
        <v>57</v>
      </c>
      <c r="J1426">
        <v>2050</v>
      </c>
      <c r="K1426" s="38" t="str">
        <f t="shared" si="179"/>
        <v>*0.9</v>
      </c>
      <c r="P1426" s="32" t="s">
        <v>2300</v>
      </c>
      <c r="Q1426" s="42" t="s">
        <v>57</v>
      </c>
      <c r="R1426" s="32">
        <v>2035</v>
      </c>
      <c r="S1426" s="43" t="str">
        <f t="shared" si="180"/>
        <v>*0.92</v>
      </c>
      <c r="U1426" s="32" t="s">
        <v>2300</v>
      </c>
      <c r="V1426" s="42" t="s">
        <v>57</v>
      </c>
      <c r="W1426" s="32">
        <v>2050</v>
      </c>
      <c r="X1426" s="43" t="str">
        <f t="shared" si="181"/>
        <v>*0.89</v>
      </c>
      <c r="AC1426" s="33" t="s">
        <v>2300</v>
      </c>
      <c r="AD1426" s="44" t="s">
        <v>57</v>
      </c>
      <c r="AE1426" s="33">
        <v>2035</v>
      </c>
      <c r="AF1426" s="45" t="str">
        <f t="shared" si="182"/>
        <v>*0.89</v>
      </c>
      <c r="AG1426" s="43" t="str">
        <f t="shared" si="184"/>
        <v>REZoning_Sol-Win</v>
      </c>
      <c r="AI1426" s="33" t="s">
        <v>2300</v>
      </c>
      <c r="AJ1426" s="44" t="s">
        <v>57</v>
      </c>
      <c r="AK1426" s="33">
        <v>2050</v>
      </c>
      <c r="AL1426" s="45" t="str">
        <f t="shared" si="183"/>
        <v>*0.84</v>
      </c>
      <c r="AM1426" s="43" t="str">
        <f t="shared" si="185"/>
        <v>REZoning_Sol-Win</v>
      </c>
      <c r="AP1426" t="s">
        <v>2300</v>
      </c>
      <c r="AQ1426" t="s">
        <v>57</v>
      </c>
      <c r="AR1426">
        <v>2100</v>
      </c>
      <c r="AS1426" t="s">
        <v>919</v>
      </c>
      <c r="AT1426" t="s">
        <v>58</v>
      </c>
    </row>
    <row r="1427" ht="29" spans="1:46">
      <c r="A1427" s="31" t="s">
        <v>79</v>
      </c>
      <c r="C1427" t="s">
        <v>2301</v>
      </c>
      <c r="D1427" s="5" t="s">
        <v>57</v>
      </c>
      <c r="E1427">
        <v>2035</v>
      </c>
      <c r="F1427" s="6" t="str">
        <f t="shared" si="178"/>
        <v>*0.94</v>
      </c>
      <c r="H1427" t="s">
        <v>2301</v>
      </c>
      <c r="I1427" s="5" t="s">
        <v>57</v>
      </c>
      <c r="J1427">
        <v>2050</v>
      </c>
      <c r="K1427" s="38" t="str">
        <f t="shared" si="179"/>
        <v>*0.9</v>
      </c>
      <c r="P1427" s="32" t="s">
        <v>2301</v>
      </c>
      <c r="Q1427" s="42" t="s">
        <v>57</v>
      </c>
      <c r="R1427" s="32">
        <v>2035</v>
      </c>
      <c r="S1427" s="43" t="str">
        <f t="shared" si="180"/>
        <v>*0.92</v>
      </c>
      <c r="U1427" s="32" t="s">
        <v>2301</v>
      </c>
      <c r="V1427" s="42" t="s">
        <v>57</v>
      </c>
      <c r="W1427" s="32">
        <v>2050</v>
      </c>
      <c r="X1427" s="43" t="str">
        <f t="shared" si="181"/>
        <v>*0.89</v>
      </c>
      <c r="AC1427" s="33" t="s">
        <v>2301</v>
      </c>
      <c r="AD1427" s="44" t="s">
        <v>57</v>
      </c>
      <c r="AE1427" s="33">
        <v>2035</v>
      </c>
      <c r="AF1427" s="45" t="str">
        <f t="shared" si="182"/>
        <v>*0.89</v>
      </c>
      <c r="AG1427" s="43" t="str">
        <f t="shared" si="184"/>
        <v>REZoning_Sol-Win</v>
      </c>
      <c r="AI1427" s="33" t="s">
        <v>2301</v>
      </c>
      <c r="AJ1427" s="44" t="s">
        <v>57</v>
      </c>
      <c r="AK1427" s="33">
        <v>2050</v>
      </c>
      <c r="AL1427" s="45" t="str">
        <f t="shared" si="183"/>
        <v>*0.84</v>
      </c>
      <c r="AM1427" s="43" t="str">
        <f t="shared" si="185"/>
        <v>REZoning_Sol-Win</v>
      </c>
      <c r="AP1427" t="s">
        <v>2301</v>
      </c>
      <c r="AQ1427" t="s">
        <v>57</v>
      </c>
      <c r="AR1427">
        <v>2100</v>
      </c>
      <c r="AS1427" t="s">
        <v>919</v>
      </c>
      <c r="AT1427" t="s">
        <v>58</v>
      </c>
    </row>
    <row r="1428" ht="29" spans="1:46">
      <c r="A1428" s="31" t="s">
        <v>79</v>
      </c>
      <c r="C1428" t="s">
        <v>2302</v>
      </c>
      <c r="D1428" s="5" t="s">
        <v>57</v>
      </c>
      <c r="E1428">
        <v>2035</v>
      </c>
      <c r="F1428" s="6" t="str">
        <f t="shared" si="178"/>
        <v>*0.94</v>
      </c>
      <c r="H1428" t="s">
        <v>2302</v>
      </c>
      <c r="I1428" s="5" t="s">
        <v>57</v>
      </c>
      <c r="J1428">
        <v>2050</v>
      </c>
      <c r="K1428" s="38" t="str">
        <f t="shared" si="179"/>
        <v>*0.9</v>
      </c>
      <c r="P1428" s="32" t="s">
        <v>2302</v>
      </c>
      <c r="Q1428" s="42" t="s">
        <v>57</v>
      </c>
      <c r="R1428" s="32">
        <v>2035</v>
      </c>
      <c r="S1428" s="43" t="str">
        <f t="shared" si="180"/>
        <v>*0.92</v>
      </c>
      <c r="U1428" s="32" t="s">
        <v>2302</v>
      </c>
      <c r="V1428" s="42" t="s">
        <v>57</v>
      </c>
      <c r="W1428" s="32">
        <v>2050</v>
      </c>
      <c r="X1428" s="43" t="str">
        <f t="shared" si="181"/>
        <v>*0.89</v>
      </c>
      <c r="AC1428" s="33" t="s">
        <v>2302</v>
      </c>
      <c r="AD1428" s="44" t="s">
        <v>57</v>
      </c>
      <c r="AE1428" s="33">
        <v>2035</v>
      </c>
      <c r="AF1428" s="45" t="str">
        <f t="shared" si="182"/>
        <v>*0.89</v>
      </c>
      <c r="AG1428" s="43" t="str">
        <f t="shared" si="184"/>
        <v>REZoning_Sol-Win</v>
      </c>
      <c r="AI1428" s="33" t="s">
        <v>2302</v>
      </c>
      <c r="AJ1428" s="44" t="s">
        <v>57</v>
      </c>
      <c r="AK1428" s="33">
        <v>2050</v>
      </c>
      <c r="AL1428" s="45" t="str">
        <f t="shared" si="183"/>
        <v>*0.84</v>
      </c>
      <c r="AM1428" s="43" t="str">
        <f t="shared" si="185"/>
        <v>REZoning_Sol-Win</v>
      </c>
      <c r="AP1428" t="s">
        <v>2302</v>
      </c>
      <c r="AQ1428" t="s">
        <v>57</v>
      </c>
      <c r="AR1428">
        <v>2100</v>
      </c>
      <c r="AS1428" t="s">
        <v>919</v>
      </c>
      <c r="AT1428" t="s">
        <v>58</v>
      </c>
    </row>
    <row r="1429" ht="29" spans="1:46">
      <c r="A1429" s="31" t="s">
        <v>79</v>
      </c>
      <c r="C1429" t="s">
        <v>2303</v>
      </c>
      <c r="D1429" s="5" t="s">
        <v>57</v>
      </c>
      <c r="E1429">
        <v>2035</v>
      </c>
      <c r="F1429" s="6" t="str">
        <f t="shared" si="178"/>
        <v>*0.94</v>
      </c>
      <c r="H1429" t="s">
        <v>2303</v>
      </c>
      <c r="I1429" s="5" t="s">
        <v>57</v>
      </c>
      <c r="J1429">
        <v>2050</v>
      </c>
      <c r="K1429" s="38" t="str">
        <f t="shared" si="179"/>
        <v>*0.9</v>
      </c>
      <c r="P1429" s="32" t="s">
        <v>2303</v>
      </c>
      <c r="Q1429" s="42" t="s">
        <v>57</v>
      </c>
      <c r="R1429" s="32">
        <v>2035</v>
      </c>
      <c r="S1429" s="43" t="str">
        <f t="shared" si="180"/>
        <v>*0.92</v>
      </c>
      <c r="U1429" s="32" t="s">
        <v>2303</v>
      </c>
      <c r="V1429" s="42" t="s">
        <v>57</v>
      </c>
      <c r="W1429" s="32">
        <v>2050</v>
      </c>
      <c r="X1429" s="43" t="str">
        <f t="shared" si="181"/>
        <v>*0.89</v>
      </c>
      <c r="AC1429" s="33" t="s">
        <v>2303</v>
      </c>
      <c r="AD1429" s="44" t="s">
        <v>57</v>
      </c>
      <c r="AE1429" s="33">
        <v>2035</v>
      </c>
      <c r="AF1429" s="45" t="str">
        <f t="shared" si="182"/>
        <v>*0.89</v>
      </c>
      <c r="AG1429" s="43" t="str">
        <f t="shared" si="184"/>
        <v>REZoning_Sol-Win</v>
      </c>
      <c r="AI1429" s="33" t="s">
        <v>2303</v>
      </c>
      <c r="AJ1429" s="44" t="s">
        <v>57</v>
      </c>
      <c r="AK1429" s="33">
        <v>2050</v>
      </c>
      <c r="AL1429" s="45" t="str">
        <f t="shared" si="183"/>
        <v>*0.84</v>
      </c>
      <c r="AM1429" s="43" t="str">
        <f t="shared" si="185"/>
        <v>REZoning_Sol-Win</v>
      </c>
      <c r="AP1429" t="s">
        <v>2303</v>
      </c>
      <c r="AQ1429" t="s">
        <v>57</v>
      </c>
      <c r="AR1429">
        <v>2100</v>
      </c>
      <c r="AS1429" t="s">
        <v>919</v>
      </c>
      <c r="AT1429" t="s">
        <v>58</v>
      </c>
    </row>
    <row r="1430" ht="29" spans="1:46">
      <c r="A1430" s="31" t="s">
        <v>79</v>
      </c>
      <c r="C1430" t="s">
        <v>2304</v>
      </c>
      <c r="D1430" s="5" t="s">
        <v>57</v>
      </c>
      <c r="E1430">
        <v>2035</v>
      </c>
      <c r="F1430" s="6" t="str">
        <f t="shared" si="178"/>
        <v>*0.94</v>
      </c>
      <c r="H1430" t="s">
        <v>2304</v>
      </c>
      <c r="I1430" s="5" t="s">
        <v>57</v>
      </c>
      <c r="J1430">
        <v>2050</v>
      </c>
      <c r="K1430" s="38" t="str">
        <f t="shared" si="179"/>
        <v>*0.9</v>
      </c>
      <c r="P1430" s="32" t="s">
        <v>2304</v>
      </c>
      <c r="Q1430" s="42" t="s">
        <v>57</v>
      </c>
      <c r="R1430" s="32">
        <v>2035</v>
      </c>
      <c r="S1430" s="43" t="str">
        <f t="shared" si="180"/>
        <v>*0.92</v>
      </c>
      <c r="U1430" s="32" t="s">
        <v>2304</v>
      </c>
      <c r="V1430" s="42" t="s">
        <v>57</v>
      </c>
      <c r="W1430" s="32">
        <v>2050</v>
      </c>
      <c r="X1430" s="43" t="str">
        <f t="shared" si="181"/>
        <v>*0.89</v>
      </c>
      <c r="AC1430" s="33" t="s">
        <v>2304</v>
      </c>
      <c r="AD1430" s="44" t="s">
        <v>57</v>
      </c>
      <c r="AE1430" s="33">
        <v>2035</v>
      </c>
      <c r="AF1430" s="45" t="str">
        <f t="shared" si="182"/>
        <v>*0.89</v>
      </c>
      <c r="AG1430" s="43" t="str">
        <f t="shared" si="184"/>
        <v>REZoning_Sol-Win</v>
      </c>
      <c r="AI1430" s="33" t="s">
        <v>2304</v>
      </c>
      <c r="AJ1430" s="44" t="s">
        <v>57</v>
      </c>
      <c r="AK1430" s="33">
        <v>2050</v>
      </c>
      <c r="AL1430" s="45" t="str">
        <f t="shared" si="183"/>
        <v>*0.84</v>
      </c>
      <c r="AM1430" s="43" t="str">
        <f t="shared" si="185"/>
        <v>REZoning_Sol-Win</v>
      </c>
      <c r="AP1430" t="s">
        <v>2304</v>
      </c>
      <c r="AQ1430" t="s">
        <v>57</v>
      </c>
      <c r="AR1430">
        <v>2100</v>
      </c>
      <c r="AS1430" t="s">
        <v>919</v>
      </c>
      <c r="AT1430" t="s">
        <v>58</v>
      </c>
    </row>
    <row r="1431" ht="29" spans="1:46">
      <c r="A1431" s="31" t="s">
        <v>79</v>
      </c>
      <c r="C1431" t="s">
        <v>2305</v>
      </c>
      <c r="D1431" s="5" t="s">
        <v>57</v>
      </c>
      <c r="E1431">
        <v>2035</v>
      </c>
      <c r="F1431" s="6" t="str">
        <f t="shared" si="178"/>
        <v>*0.94</v>
      </c>
      <c r="H1431" t="s">
        <v>2305</v>
      </c>
      <c r="I1431" s="5" t="s">
        <v>57</v>
      </c>
      <c r="J1431">
        <v>2050</v>
      </c>
      <c r="K1431" s="38" t="str">
        <f t="shared" si="179"/>
        <v>*0.9</v>
      </c>
      <c r="P1431" s="32" t="s">
        <v>2305</v>
      </c>
      <c r="Q1431" s="42" t="s">
        <v>57</v>
      </c>
      <c r="R1431" s="32">
        <v>2035</v>
      </c>
      <c r="S1431" s="43" t="str">
        <f t="shared" si="180"/>
        <v>*0.92</v>
      </c>
      <c r="U1431" s="32" t="s">
        <v>2305</v>
      </c>
      <c r="V1431" s="42" t="s">
        <v>57</v>
      </c>
      <c r="W1431" s="32">
        <v>2050</v>
      </c>
      <c r="X1431" s="43" t="str">
        <f t="shared" si="181"/>
        <v>*0.89</v>
      </c>
      <c r="AC1431" s="33" t="s">
        <v>2305</v>
      </c>
      <c r="AD1431" s="44" t="s">
        <v>57</v>
      </c>
      <c r="AE1431" s="33">
        <v>2035</v>
      </c>
      <c r="AF1431" s="45" t="str">
        <f t="shared" si="182"/>
        <v>*0.89</v>
      </c>
      <c r="AG1431" s="43" t="str">
        <f t="shared" si="184"/>
        <v>REZoning_Sol-Win</v>
      </c>
      <c r="AI1431" s="33" t="s">
        <v>2305</v>
      </c>
      <c r="AJ1431" s="44" t="s">
        <v>57</v>
      </c>
      <c r="AK1431" s="33">
        <v>2050</v>
      </c>
      <c r="AL1431" s="45" t="str">
        <f t="shared" si="183"/>
        <v>*0.84</v>
      </c>
      <c r="AM1431" s="43" t="str">
        <f t="shared" si="185"/>
        <v>REZoning_Sol-Win</v>
      </c>
      <c r="AP1431" t="s">
        <v>2305</v>
      </c>
      <c r="AQ1431" t="s">
        <v>57</v>
      </c>
      <c r="AR1431">
        <v>2100</v>
      </c>
      <c r="AS1431" t="s">
        <v>919</v>
      </c>
      <c r="AT1431" t="s">
        <v>58</v>
      </c>
    </row>
    <row r="1432" ht="29" spans="1:46">
      <c r="A1432" s="31" t="s">
        <v>95</v>
      </c>
      <c r="C1432" t="s">
        <v>2306</v>
      </c>
      <c r="D1432" s="5" t="s">
        <v>57</v>
      </c>
      <c r="E1432">
        <v>2035</v>
      </c>
      <c r="F1432" s="6" t="str">
        <f t="shared" si="178"/>
        <v>*0.95</v>
      </c>
      <c r="H1432" t="s">
        <v>2306</v>
      </c>
      <c r="I1432" s="5" t="s">
        <v>57</v>
      </c>
      <c r="J1432">
        <v>2050</v>
      </c>
      <c r="K1432" s="38" t="str">
        <f t="shared" si="179"/>
        <v>*0.93</v>
      </c>
      <c r="P1432" s="32" t="s">
        <v>2306</v>
      </c>
      <c r="Q1432" s="42" t="s">
        <v>57</v>
      </c>
      <c r="R1432" s="32">
        <v>2035</v>
      </c>
      <c r="S1432" s="43" t="str">
        <f t="shared" si="180"/>
        <v>*0.95</v>
      </c>
      <c r="U1432" s="32" t="s">
        <v>2306</v>
      </c>
      <c r="V1432" s="42" t="s">
        <v>57</v>
      </c>
      <c r="W1432" s="32">
        <v>2050</v>
      </c>
      <c r="X1432" s="43" t="str">
        <f t="shared" si="181"/>
        <v>*0.91</v>
      </c>
      <c r="AC1432" s="33" t="s">
        <v>2306</v>
      </c>
      <c r="AD1432" s="44" t="s">
        <v>57</v>
      </c>
      <c r="AE1432" s="33">
        <v>2035</v>
      </c>
      <c r="AF1432" s="45" t="str">
        <f t="shared" si="182"/>
        <v>*0.91</v>
      </c>
      <c r="AG1432" s="43" t="str">
        <f t="shared" si="184"/>
        <v>REZoning_Sol-Win</v>
      </c>
      <c r="AI1432" s="33" t="s">
        <v>2306</v>
      </c>
      <c r="AJ1432" s="44" t="s">
        <v>57</v>
      </c>
      <c r="AK1432" s="33">
        <v>2050</v>
      </c>
      <c r="AL1432" s="45" t="str">
        <f t="shared" si="183"/>
        <v>*0.86</v>
      </c>
      <c r="AM1432" s="43" t="str">
        <f t="shared" si="185"/>
        <v>REZoning_Sol-Win</v>
      </c>
      <c r="AP1432" t="s">
        <v>2306</v>
      </c>
      <c r="AQ1432" t="s">
        <v>57</v>
      </c>
      <c r="AR1432">
        <v>2100</v>
      </c>
      <c r="AS1432" t="s">
        <v>883</v>
      </c>
      <c r="AT1432" t="s">
        <v>58</v>
      </c>
    </row>
    <row r="1433" ht="29" spans="1:46">
      <c r="A1433" s="31" t="s">
        <v>65</v>
      </c>
      <c r="C1433" t="s">
        <v>2307</v>
      </c>
      <c r="D1433" s="5" t="s">
        <v>57</v>
      </c>
      <c r="E1433">
        <v>2035</v>
      </c>
      <c r="F1433" s="6" t="str">
        <f t="shared" si="178"/>
        <v>*0.94</v>
      </c>
      <c r="H1433" t="s">
        <v>2307</v>
      </c>
      <c r="I1433" s="5" t="s">
        <v>57</v>
      </c>
      <c r="J1433">
        <v>2050</v>
      </c>
      <c r="K1433" s="38" t="str">
        <f t="shared" si="179"/>
        <v>*0.91</v>
      </c>
      <c r="P1433" s="32" t="s">
        <v>2307</v>
      </c>
      <c r="Q1433" s="42" t="s">
        <v>57</v>
      </c>
      <c r="R1433" s="32">
        <v>2035</v>
      </c>
      <c r="S1433" s="43" t="str">
        <f t="shared" si="180"/>
        <v>*0.93</v>
      </c>
      <c r="U1433" s="32" t="s">
        <v>2307</v>
      </c>
      <c r="V1433" s="42" t="s">
        <v>57</v>
      </c>
      <c r="W1433" s="32">
        <v>2050</v>
      </c>
      <c r="X1433" s="43" t="str">
        <f t="shared" si="181"/>
        <v>*0.9</v>
      </c>
      <c r="AC1433" s="33" t="s">
        <v>2307</v>
      </c>
      <c r="AD1433" s="44" t="s">
        <v>57</v>
      </c>
      <c r="AE1433" s="33">
        <v>2035</v>
      </c>
      <c r="AF1433" s="45" t="str">
        <f t="shared" si="182"/>
        <v>*0.9</v>
      </c>
      <c r="AG1433" s="43" t="str">
        <f t="shared" si="184"/>
        <v>REZoning_Sol-Win</v>
      </c>
      <c r="AI1433" s="33" t="s">
        <v>2307</v>
      </c>
      <c r="AJ1433" s="44" t="s">
        <v>57</v>
      </c>
      <c r="AK1433" s="33">
        <v>2050</v>
      </c>
      <c r="AL1433" s="45" t="str">
        <f t="shared" si="183"/>
        <v>*0.86</v>
      </c>
      <c r="AM1433" s="43" t="str">
        <f t="shared" si="185"/>
        <v>REZoning_Sol-Win</v>
      </c>
      <c r="AP1433" t="s">
        <v>2307</v>
      </c>
      <c r="AQ1433" t="s">
        <v>57</v>
      </c>
      <c r="AR1433">
        <v>2100</v>
      </c>
      <c r="AS1433" t="s">
        <v>883</v>
      </c>
      <c r="AT1433" t="s">
        <v>58</v>
      </c>
    </row>
    <row r="1434" ht="29" spans="1:46">
      <c r="A1434" s="31" t="s">
        <v>65</v>
      </c>
      <c r="C1434" t="s">
        <v>2308</v>
      </c>
      <c r="D1434" s="5" t="s">
        <v>57</v>
      </c>
      <c r="E1434">
        <v>2035</v>
      </c>
      <c r="F1434" s="6" t="str">
        <f t="shared" si="178"/>
        <v>*0.94</v>
      </c>
      <c r="H1434" t="s">
        <v>2308</v>
      </c>
      <c r="I1434" s="5" t="s">
        <v>57</v>
      </c>
      <c r="J1434">
        <v>2050</v>
      </c>
      <c r="K1434" s="38" t="str">
        <f t="shared" si="179"/>
        <v>*0.91</v>
      </c>
      <c r="P1434" s="32" t="s">
        <v>2308</v>
      </c>
      <c r="Q1434" s="42" t="s">
        <v>57</v>
      </c>
      <c r="R1434" s="32">
        <v>2035</v>
      </c>
      <c r="S1434" s="43" t="str">
        <f t="shared" si="180"/>
        <v>*0.93</v>
      </c>
      <c r="U1434" s="32" t="s">
        <v>2308</v>
      </c>
      <c r="V1434" s="42" t="s">
        <v>57</v>
      </c>
      <c r="W1434" s="32">
        <v>2050</v>
      </c>
      <c r="X1434" s="43" t="str">
        <f t="shared" si="181"/>
        <v>*0.9</v>
      </c>
      <c r="AC1434" s="33" t="s">
        <v>2308</v>
      </c>
      <c r="AD1434" s="44" t="s">
        <v>57</v>
      </c>
      <c r="AE1434" s="33">
        <v>2035</v>
      </c>
      <c r="AF1434" s="45" t="str">
        <f t="shared" si="182"/>
        <v>*0.9</v>
      </c>
      <c r="AG1434" s="43" t="str">
        <f t="shared" si="184"/>
        <v>REZoning_Sol-Win</v>
      </c>
      <c r="AI1434" s="33" t="s">
        <v>2308</v>
      </c>
      <c r="AJ1434" s="44" t="s">
        <v>57</v>
      </c>
      <c r="AK1434" s="33">
        <v>2050</v>
      </c>
      <c r="AL1434" s="45" t="str">
        <f t="shared" si="183"/>
        <v>*0.86</v>
      </c>
      <c r="AM1434" s="43" t="str">
        <f t="shared" si="185"/>
        <v>REZoning_Sol-Win</v>
      </c>
      <c r="AP1434" t="s">
        <v>2308</v>
      </c>
      <c r="AQ1434" t="s">
        <v>57</v>
      </c>
      <c r="AR1434">
        <v>2100</v>
      </c>
      <c r="AS1434" t="s">
        <v>883</v>
      </c>
      <c r="AT1434" t="s">
        <v>58</v>
      </c>
    </row>
    <row r="1435" ht="29" spans="1:46">
      <c r="A1435" s="31" t="s">
        <v>65</v>
      </c>
      <c r="C1435" t="s">
        <v>2309</v>
      </c>
      <c r="D1435" s="5" t="s">
        <v>57</v>
      </c>
      <c r="E1435">
        <v>2035</v>
      </c>
      <c r="F1435" s="6" t="str">
        <f t="shared" si="178"/>
        <v>*0.94</v>
      </c>
      <c r="H1435" t="s">
        <v>2309</v>
      </c>
      <c r="I1435" s="5" t="s">
        <v>57</v>
      </c>
      <c r="J1435">
        <v>2050</v>
      </c>
      <c r="K1435" s="38" t="str">
        <f t="shared" si="179"/>
        <v>*0.91</v>
      </c>
      <c r="P1435" s="32" t="s">
        <v>2309</v>
      </c>
      <c r="Q1435" s="42" t="s">
        <v>57</v>
      </c>
      <c r="R1435" s="32">
        <v>2035</v>
      </c>
      <c r="S1435" s="43" t="str">
        <f t="shared" si="180"/>
        <v>*0.93</v>
      </c>
      <c r="U1435" s="32" t="s">
        <v>2309</v>
      </c>
      <c r="V1435" s="42" t="s">
        <v>57</v>
      </c>
      <c r="W1435" s="32">
        <v>2050</v>
      </c>
      <c r="X1435" s="43" t="str">
        <f t="shared" si="181"/>
        <v>*0.9</v>
      </c>
      <c r="AC1435" s="33" t="s">
        <v>2309</v>
      </c>
      <c r="AD1435" s="44" t="s">
        <v>57</v>
      </c>
      <c r="AE1435" s="33">
        <v>2035</v>
      </c>
      <c r="AF1435" s="45" t="str">
        <f t="shared" si="182"/>
        <v>*0.9</v>
      </c>
      <c r="AG1435" s="43" t="str">
        <f t="shared" si="184"/>
        <v>REZoning_Sol-Win</v>
      </c>
      <c r="AI1435" s="33" t="s">
        <v>2309</v>
      </c>
      <c r="AJ1435" s="44" t="s">
        <v>57</v>
      </c>
      <c r="AK1435" s="33">
        <v>2050</v>
      </c>
      <c r="AL1435" s="45" t="str">
        <f t="shared" si="183"/>
        <v>*0.86</v>
      </c>
      <c r="AM1435" s="43" t="str">
        <f t="shared" si="185"/>
        <v>REZoning_Sol-Win</v>
      </c>
      <c r="AP1435" t="s">
        <v>2309</v>
      </c>
      <c r="AQ1435" t="s">
        <v>57</v>
      </c>
      <c r="AR1435">
        <v>2100</v>
      </c>
      <c r="AS1435" t="s">
        <v>883</v>
      </c>
      <c r="AT1435" t="s">
        <v>58</v>
      </c>
    </row>
    <row r="1436" ht="29" spans="1:46">
      <c r="A1436" s="31" t="s">
        <v>65</v>
      </c>
      <c r="C1436" t="s">
        <v>2310</v>
      </c>
      <c r="D1436" s="5" t="s">
        <v>57</v>
      </c>
      <c r="E1436">
        <v>2035</v>
      </c>
      <c r="F1436" s="6" t="str">
        <f t="shared" si="178"/>
        <v>*0.94</v>
      </c>
      <c r="H1436" t="s">
        <v>2310</v>
      </c>
      <c r="I1436" s="5" t="s">
        <v>57</v>
      </c>
      <c r="J1436">
        <v>2050</v>
      </c>
      <c r="K1436" s="38" t="str">
        <f t="shared" si="179"/>
        <v>*0.91</v>
      </c>
      <c r="P1436" s="32" t="s">
        <v>2310</v>
      </c>
      <c r="Q1436" s="42" t="s">
        <v>57</v>
      </c>
      <c r="R1436" s="32">
        <v>2035</v>
      </c>
      <c r="S1436" s="43" t="str">
        <f t="shared" si="180"/>
        <v>*0.93</v>
      </c>
      <c r="U1436" s="32" t="s">
        <v>2310</v>
      </c>
      <c r="V1436" s="42" t="s">
        <v>57</v>
      </c>
      <c r="W1436" s="32">
        <v>2050</v>
      </c>
      <c r="X1436" s="43" t="str">
        <f t="shared" si="181"/>
        <v>*0.9</v>
      </c>
      <c r="AC1436" s="33" t="s">
        <v>2310</v>
      </c>
      <c r="AD1436" s="44" t="s">
        <v>57</v>
      </c>
      <c r="AE1436" s="33">
        <v>2035</v>
      </c>
      <c r="AF1436" s="45" t="str">
        <f t="shared" si="182"/>
        <v>*0.9</v>
      </c>
      <c r="AG1436" s="43" t="str">
        <f t="shared" si="184"/>
        <v>REZoning_Sol-Win</v>
      </c>
      <c r="AI1436" s="33" t="s">
        <v>2310</v>
      </c>
      <c r="AJ1436" s="44" t="s">
        <v>57</v>
      </c>
      <c r="AK1436" s="33">
        <v>2050</v>
      </c>
      <c r="AL1436" s="45" t="str">
        <f t="shared" si="183"/>
        <v>*0.86</v>
      </c>
      <c r="AM1436" s="43" t="str">
        <f t="shared" si="185"/>
        <v>REZoning_Sol-Win</v>
      </c>
      <c r="AP1436" t="s">
        <v>2310</v>
      </c>
      <c r="AQ1436" t="s">
        <v>57</v>
      </c>
      <c r="AR1436">
        <v>2100</v>
      </c>
      <c r="AS1436" t="s">
        <v>883</v>
      </c>
      <c r="AT1436" t="s">
        <v>58</v>
      </c>
    </row>
    <row r="1437" ht="29" spans="1:46">
      <c r="A1437" s="31" t="s">
        <v>65</v>
      </c>
      <c r="C1437" t="s">
        <v>2311</v>
      </c>
      <c r="D1437" s="5" t="s">
        <v>57</v>
      </c>
      <c r="E1437">
        <v>2035</v>
      </c>
      <c r="F1437" s="6" t="str">
        <f t="shared" si="178"/>
        <v>*0.94</v>
      </c>
      <c r="H1437" t="s">
        <v>2311</v>
      </c>
      <c r="I1437" s="5" t="s">
        <v>57</v>
      </c>
      <c r="J1437">
        <v>2050</v>
      </c>
      <c r="K1437" s="38" t="str">
        <f t="shared" si="179"/>
        <v>*0.91</v>
      </c>
      <c r="P1437" s="32" t="s">
        <v>2311</v>
      </c>
      <c r="Q1437" s="42" t="s">
        <v>57</v>
      </c>
      <c r="R1437" s="32">
        <v>2035</v>
      </c>
      <c r="S1437" s="43" t="str">
        <f t="shared" si="180"/>
        <v>*0.93</v>
      </c>
      <c r="U1437" s="32" t="s">
        <v>2311</v>
      </c>
      <c r="V1437" s="42" t="s">
        <v>57</v>
      </c>
      <c r="W1437" s="32">
        <v>2050</v>
      </c>
      <c r="X1437" s="43" t="str">
        <f t="shared" si="181"/>
        <v>*0.9</v>
      </c>
      <c r="AC1437" s="33" t="s">
        <v>2311</v>
      </c>
      <c r="AD1437" s="44" t="s">
        <v>57</v>
      </c>
      <c r="AE1437" s="33">
        <v>2035</v>
      </c>
      <c r="AF1437" s="45" t="str">
        <f t="shared" si="182"/>
        <v>*0.9</v>
      </c>
      <c r="AG1437" s="43" t="str">
        <f t="shared" si="184"/>
        <v>REZoning_Sol-Win</v>
      </c>
      <c r="AI1437" s="33" t="s">
        <v>2311</v>
      </c>
      <c r="AJ1437" s="44" t="s">
        <v>57</v>
      </c>
      <c r="AK1437" s="33">
        <v>2050</v>
      </c>
      <c r="AL1437" s="45" t="str">
        <f t="shared" si="183"/>
        <v>*0.86</v>
      </c>
      <c r="AM1437" s="43" t="str">
        <f t="shared" si="185"/>
        <v>REZoning_Sol-Win</v>
      </c>
      <c r="AP1437" t="s">
        <v>2311</v>
      </c>
      <c r="AQ1437" t="s">
        <v>57</v>
      </c>
      <c r="AR1437">
        <v>2100</v>
      </c>
      <c r="AS1437" t="s">
        <v>883</v>
      </c>
      <c r="AT1437" t="s">
        <v>58</v>
      </c>
    </row>
    <row r="1438" ht="29" spans="1:46">
      <c r="A1438" s="31" t="s">
        <v>65</v>
      </c>
      <c r="C1438" t="s">
        <v>2312</v>
      </c>
      <c r="D1438" s="5" t="s">
        <v>57</v>
      </c>
      <c r="E1438">
        <v>2035</v>
      </c>
      <c r="F1438" s="6" t="str">
        <f t="shared" si="178"/>
        <v>*0.94</v>
      </c>
      <c r="H1438" t="s">
        <v>2312</v>
      </c>
      <c r="I1438" s="5" t="s">
        <v>57</v>
      </c>
      <c r="J1438">
        <v>2050</v>
      </c>
      <c r="K1438" s="38" t="str">
        <f t="shared" si="179"/>
        <v>*0.91</v>
      </c>
      <c r="P1438" s="32" t="s">
        <v>2312</v>
      </c>
      <c r="Q1438" s="42" t="s">
        <v>57</v>
      </c>
      <c r="R1438" s="32">
        <v>2035</v>
      </c>
      <c r="S1438" s="43" t="str">
        <f t="shared" si="180"/>
        <v>*0.93</v>
      </c>
      <c r="U1438" s="32" t="s">
        <v>2312</v>
      </c>
      <c r="V1438" s="42" t="s">
        <v>57</v>
      </c>
      <c r="W1438" s="32">
        <v>2050</v>
      </c>
      <c r="X1438" s="43" t="str">
        <f t="shared" si="181"/>
        <v>*0.9</v>
      </c>
      <c r="AC1438" s="33" t="s">
        <v>2312</v>
      </c>
      <c r="AD1438" s="44" t="s">
        <v>57</v>
      </c>
      <c r="AE1438" s="33">
        <v>2035</v>
      </c>
      <c r="AF1438" s="45" t="str">
        <f t="shared" si="182"/>
        <v>*0.9</v>
      </c>
      <c r="AG1438" s="43" t="str">
        <f t="shared" si="184"/>
        <v>REZoning_Sol-Win</v>
      </c>
      <c r="AI1438" s="33" t="s">
        <v>2312</v>
      </c>
      <c r="AJ1438" s="44" t="s">
        <v>57</v>
      </c>
      <c r="AK1438" s="33">
        <v>2050</v>
      </c>
      <c r="AL1438" s="45" t="str">
        <f t="shared" si="183"/>
        <v>*0.86</v>
      </c>
      <c r="AM1438" s="43" t="str">
        <f t="shared" si="185"/>
        <v>REZoning_Sol-Win</v>
      </c>
      <c r="AP1438" t="s">
        <v>2312</v>
      </c>
      <c r="AQ1438" t="s">
        <v>57</v>
      </c>
      <c r="AR1438">
        <v>2100</v>
      </c>
      <c r="AS1438" t="s">
        <v>883</v>
      </c>
      <c r="AT1438" t="s">
        <v>58</v>
      </c>
    </row>
    <row r="1439" ht="29" spans="1:46">
      <c r="A1439" s="31" t="s">
        <v>65</v>
      </c>
      <c r="C1439" t="s">
        <v>2313</v>
      </c>
      <c r="D1439" s="5" t="s">
        <v>57</v>
      </c>
      <c r="E1439">
        <v>2035</v>
      </c>
      <c r="F1439" s="6" t="str">
        <f t="shared" si="178"/>
        <v>*0.94</v>
      </c>
      <c r="H1439" t="s">
        <v>2313</v>
      </c>
      <c r="I1439" s="5" t="s">
        <v>57</v>
      </c>
      <c r="J1439">
        <v>2050</v>
      </c>
      <c r="K1439" s="38" t="str">
        <f t="shared" si="179"/>
        <v>*0.91</v>
      </c>
      <c r="P1439" s="32" t="s">
        <v>2313</v>
      </c>
      <c r="Q1439" s="42" t="s">
        <v>57</v>
      </c>
      <c r="R1439" s="32">
        <v>2035</v>
      </c>
      <c r="S1439" s="43" t="str">
        <f t="shared" si="180"/>
        <v>*0.93</v>
      </c>
      <c r="U1439" s="32" t="s">
        <v>2313</v>
      </c>
      <c r="V1439" s="42" t="s">
        <v>57</v>
      </c>
      <c r="W1439" s="32">
        <v>2050</v>
      </c>
      <c r="X1439" s="43" t="str">
        <f t="shared" si="181"/>
        <v>*0.9</v>
      </c>
      <c r="AC1439" s="33" t="s">
        <v>2313</v>
      </c>
      <c r="AD1439" s="44" t="s">
        <v>57</v>
      </c>
      <c r="AE1439" s="33">
        <v>2035</v>
      </c>
      <c r="AF1439" s="45" t="str">
        <f t="shared" si="182"/>
        <v>*0.9</v>
      </c>
      <c r="AG1439" s="43" t="str">
        <f t="shared" si="184"/>
        <v>REZoning_Sol-Win</v>
      </c>
      <c r="AI1439" s="33" t="s">
        <v>2313</v>
      </c>
      <c r="AJ1439" s="44" t="s">
        <v>57</v>
      </c>
      <c r="AK1439" s="33">
        <v>2050</v>
      </c>
      <c r="AL1439" s="45" t="str">
        <f t="shared" si="183"/>
        <v>*0.86</v>
      </c>
      <c r="AM1439" s="43" t="str">
        <f t="shared" si="185"/>
        <v>REZoning_Sol-Win</v>
      </c>
      <c r="AP1439" t="s">
        <v>2313</v>
      </c>
      <c r="AQ1439" t="s">
        <v>57</v>
      </c>
      <c r="AR1439">
        <v>2100</v>
      </c>
      <c r="AS1439" t="s">
        <v>883</v>
      </c>
      <c r="AT1439" t="s">
        <v>58</v>
      </c>
    </row>
    <row r="1440" ht="29" spans="1:46">
      <c r="A1440" s="31" t="s">
        <v>65</v>
      </c>
      <c r="C1440" t="s">
        <v>2314</v>
      </c>
      <c r="D1440" s="5" t="s">
        <v>57</v>
      </c>
      <c r="E1440">
        <v>2035</v>
      </c>
      <c r="F1440" s="6" t="str">
        <f t="shared" si="178"/>
        <v>*0.94</v>
      </c>
      <c r="H1440" t="s">
        <v>2314</v>
      </c>
      <c r="I1440" s="5" t="s">
        <v>57</v>
      </c>
      <c r="J1440">
        <v>2050</v>
      </c>
      <c r="K1440" s="38" t="str">
        <f t="shared" si="179"/>
        <v>*0.91</v>
      </c>
      <c r="P1440" s="32" t="s">
        <v>2314</v>
      </c>
      <c r="Q1440" s="42" t="s">
        <v>57</v>
      </c>
      <c r="R1440" s="32">
        <v>2035</v>
      </c>
      <c r="S1440" s="43" t="str">
        <f t="shared" si="180"/>
        <v>*0.93</v>
      </c>
      <c r="U1440" s="32" t="s">
        <v>2314</v>
      </c>
      <c r="V1440" s="42" t="s">
        <v>57</v>
      </c>
      <c r="W1440" s="32">
        <v>2050</v>
      </c>
      <c r="X1440" s="43" t="str">
        <f t="shared" si="181"/>
        <v>*0.9</v>
      </c>
      <c r="AC1440" s="33" t="s">
        <v>2314</v>
      </c>
      <c r="AD1440" s="44" t="s">
        <v>57</v>
      </c>
      <c r="AE1440" s="33">
        <v>2035</v>
      </c>
      <c r="AF1440" s="45" t="str">
        <f t="shared" si="182"/>
        <v>*0.9</v>
      </c>
      <c r="AG1440" s="43" t="str">
        <f t="shared" si="184"/>
        <v>REZoning_Sol-Win</v>
      </c>
      <c r="AI1440" s="33" t="s">
        <v>2314</v>
      </c>
      <c r="AJ1440" s="44" t="s">
        <v>57</v>
      </c>
      <c r="AK1440" s="33">
        <v>2050</v>
      </c>
      <c r="AL1440" s="45" t="str">
        <f t="shared" si="183"/>
        <v>*0.86</v>
      </c>
      <c r="AM1440" s="43" t="str">
        <f t="shared" si="185"/>
        <v>REZoning_Sol-Win</v>
      </c>
      <c r="AP1440" t="s">
        <v>2314</v>
      </c>
      <c r="AQ1440" t="s">
        <v>57</v>
      </c>
      <c r="AR1440">
        <v>2100</v>
      </c>
      <c r="AS1440" t="s">
        <v>883</v>
      </c>
      <c r="AT1440" t="s">
        <v>58</v>
      </c>
    </row>
    <row r="1441" ht="29" spans="1:46">
      <c r="A1441" s="31" t="s">
        <v>65</v>
      </c>
      <c r="C1441" t="s">
        <v>2315</v>
      </c>
      <c r="D1441" s="5" t="s">
        <v>57</v>
      </c>
      <c r="E1441">
        <v>2035</v>
      </c>
      <c r="F1441" s="6" t="str">
        <f t="shared" si="178"/>
        <v>*0.94</v>
      </c>
      <c r="H1441" t="s">
        <v>2315</v>
      </c>
      <c r="I1441" s="5" t="s">
        <v>57</v>
      </c>
      <c r="J1441">
        <v>2050</v>
      </c>
      <c r="K1441" s="38" t="str">
        <f t="shared" si="179"/>
        <v>*0.91</v>
      </c>
      <c r="P1441" s="32" t="s">
        <v>2315</v>
      </c>
      <c r="Q1441" s="42" t="s">
        <v>57</v>
      </c>
      <c r="R1441" s="32">
        <v>2035</v>
      </c>
      <c r="S1441" s="43" t="str">
        <f t="shared" si="180"/>
        <v>*0.93</v>
      </c>
      <c r="U1441" s="32" t="s">
        <v>2315</v>
      </c>
      <c r="V1441" s="42" t="s">
        <v>57</v>
      </c>
      <c r="W1441" s="32">
        <v>2050</v>
      </c>
      <c r="X1441" s="43" t="str">
        <f t="shared" si="181"/>
        <v>*0.9</v>
      </c>
      <c r="AC1441" s="33" t="s">
        <v>2315</v>
      </c>
      <c r="AD1441" s="44" t="s">
        <v>57</v>
      </c>
      <c r="AE1441" s="33">
        <v>2035</v>
      </c>
      <c r="AF1441" s="45" t="str">
        <f t="shared" si="182"/>
        <v>*0.9</v>
      </c>
      <c r="AG1441" s="43" t="str">
        <f t="shared" si="184"/>
        <v>REZoning_Sol-Win</v>
      </c>
      <c r="AI1441" s="33" t="s">
        <v>2315</v>
      </c>
      <c r="AJ1441" s="44" t="s">
        <v>57</v>
      </c>
      <c r="AK1441" s="33">
        <v>2050</v>
      </c>
      <c r="AL1441" s="45" t="str">
        <f t="shared" si="183"/>
        <v>*0.86</v>
      </c>
      <c r="AM1441" s="43" t="str">
        <f t="shared" si="185"/>
        <v>REZoning_Sol-Win</v>
      </c>
      <c r="AP1441" t="s">
        <v>2315</v>
      </c>
      <c r="AQ1441" t="s">
        <v>57</v>
      </c>
      <c r="AR1441">
        <v>2100</v>
      </c>
      <c r="AS1441" t="s">
        <v>883</v>
      </c>
      <c r="AT1441" t="s">
        <v>58</v>
      </c>
    </row>
    <row r="1442" ht="29" spans="1:46">
      <c r="A1442" s="31" t="s">
        <v>65</v>
      </c>
      <c r="C1442" t="s">
        <v>2316</v>
      </c>
      <c r="D1442" s="5" t="s">
        <v>57</v>
      </c>
      <c r="E1442">
        <v>2035</v>
      </c>
      <c r="F1442" s="6" t="str">
        <f t="shared" si="178"/>
        <v>*0.94</v>
      </c>
      <c r="H1442" t="s">
        <v>2316</v>
      </c>
      <c r="I1442" s="5" t="s">
        <v>57</v>
      </c>
      <c r="J1442">
        <v>2050</v>
      </c>
      <c r="K1442" s="38" t="str">
        <f t="shared" si="179"/>
        <v>*0.91</v>
      </c>
      <c r="P1442" s="32" t="s">
        <v>2316</v>
      </c>
      <c r="Q1442" s="42" t="s">
        <v>57</v>
      </c>
      <c r="R1442" s="32">
        <v>2035</v>
      </c>
      <c r="S1442" s="43" t="str">
        <f t="shared" si="180"/>
        <v>*0.93</v>
      </c>
      <c r="U1442" s="32" t="s">
        <v>2316</v>
      </c>
      <c r="V1442" s="42" t="s">
        <v>57</v>
      </c>
      <c r="W1442" s="32">
        <v>2050</v>
      </c>
      <c r="X1442" s="43" t="str">
        <f t="shared" si="181"/>
        <v>*0.9</v>
      </c>
      <c r="AC1442" s="33" t="s">
        <v>2316</v>
      </c>
      <c r="AD1442" s="44" t="s">
        <v>57</v>
      </c>
      <c r="AE1442" s="33">
        <v>2035</v>
      </c>
      <c r="AF1442" s="45" t="str">
        <f t="shared" si="182"/>
        <v>*0.9</v>
      </c>
      <c r="AG1442" s="43" t="str">
        <f t="shared" si="184"/>
        <v>REZoning_Sol-Win</v>
      </c>
      <c r="AI1442" s="33" t="s">
        <v>2316</v>
      </c>
      <c r="AJ1442" s="44" t="s">
        <v>57</v>
      </c>
      <c r="AK1442" s="33">
        <v>2050</v>
      </c>
      <c r="AL1442" s="45" t="str">
        <f t="shared" si="183"/>
        <v>*0.86</v>
      </c>
      <c r="AM1442" s="43" t="str">
        <f t="shared" si="185"/>
        <v>REZoning_Sol-Win</v>
      </c>
      <c r="AP1442" t="s">
        <v>2316</v>
      </c>
      <c r="AQ1442" t="s">
        <v>57</v>
      </c>
      <c r="AR1442">
        <v>2100</v>
      </c>
      <c r="AS1442" t="s">
        <v>883</v>
      </c>
      <c r="AT1442" t="s">
        <v>58</v>
      </c>
    </row>
    <row r="1443" ht="29" spans="1:46">
      <c r="A1443" s="31" t="s">
        <v>83</v>
      </c>
      <c r="C1443" t="s">
        <v>2317</v>
      </c>
      <c r="D1443" s="5" t="s">
        <v>57</v>
      </c>
      <c r="E1443">
        <v>2035</v>
      </c>
      <c r="F1443" s="6" t="str">
        <f t="shared" si="178"/>
        <v>*0.95</v>
      </c>
      <c r="H1443" t="s">
        <v>2317</v>
      </c>
      <c r="I1443" s="5" t="s">
        <v>57</v>
      </c>
      <c r="J1443">
        <v>2050</v>
      </c>
      <c r="K1443" s="38" t="str">
        <f t="shared" si="179"/>
        <v>*0.92</v>
      </c>
      <c r="P1443" s="32" t="s">
        <v>2317</v>
      </c>
      <c r="Q1443" s="42" t="s">
        <v>57</v>
      </c>
      <c r="R1443" s="32">
        <v>2035</v>
      </c>
      <c r="S1443" s="43" t="str">
        <f t="shared" si="180"/>
        <v>*0.95</v>
      </c>
      <c r="U1443" s="32" t="s">
        <v>2317</v>
      </c>
      <c r="V1443" s="42" t="s">
        <v>57</v>
      </c>
      <c r="W1443" s="32">
        <v>2050</v>
      </c>
      <c r="X1443" s="43" t="str">
        <f t="shared" si="181"/>
        <v>*0.92</v>
      </c>
      <c r="AC1443" s="33" t="s">
        <v>2317</v>
      </c>
      <c r="AD1443" s="44" t="s">
        <v>57</v>
      </c>
      <c r="AE1443" s="33">
        <v>2035</v>
      </c>
      <c r="AF1443" s="45" t="str">
        <f t="shared" si="182"/>
        <v>*0.93</v>
      </c>
      <c r="AG1443" s="43" t="str">
        <f t="shared" si="184"/>
        <v>REZoning_Sol-Win</v>
      </c>
      <c r="AI1443" s="33" t="s">
        <v>2317</v>
      </c>
      <c r="AJ1443" s="44" t="s">
        <v>57</v>
      </c>
      <c r="AK1443" s="33">
        <v>2050</v>
      </c>
      <c r="AL1443" s="45" t="str">
        <f t="shared" si="183"/>
        <v>*0.89</v>
      </c>
      <c r="AM1443" s="43" t="str">
        <f t="shared" si="185"/>
        <v>REZoning_Sol-Win</v>
      </c>
      <c r="AP1443" t="s">
        <v>2317</v>
      </c>
      <c r="AQ1443" t="s">
        <v>57</v>
      </c>
      <c r="AR1443">
        <v>2100</v>
      </c>
      <c r="AS1443" t="s">
        <v>937</v>
      </c>
      <c r="AT1443" t="s">
        <v>58</v>
      </c>
    </row>
    <row r="1444" ht="29" spans="1:46">
      <c r="A1444" s="31" t="s">
        <v>83</v>
      </c>
      <c r="C1444" t="s">
        <v>2318</v>
      </c>
      <c r="D1444" s="5" t="s">
        <v>57</v>
      </c>
      <c r="E1444">
        <v>2035</v>
      </c>
      <c r="F1444" s="6" t="str">
        <f t="shared" si="178"/>
        <v>*0.95</v>
      </c>
      <c r="H1444" t="s">
        <v>2318</v>
      </c>
      <c r="I1444" s="5" t="s">
        <v>57</v>
      </c>
      <c r="J1444">
        <v>2050</v>
      </c>
      <c r="K1444" s="38" t="str">
        <f t="shared" si="179"/>
        <v>*0.92</v>
      </c>
      <c r="P1444" s="32" t="s">
        <v>2318</v>
      </c>
      <c r="Q1444" s="42" t="s">
        <v>57</v>
      </c>
      <c r="R1444" s="32">
        <v>2035</v>
      </c>
      <c r="S1444" s="43" t="str">
        <f t="shared" si="180"/>
        <v>*0.95</v>
      </c>
      <c r="U1444" s="32" t="s">
        <v>2318</v>
      </c>
      <c r="V1444" s="42" t="s">
        <v>57</v>
      </c>
      <c r="W1444" s="32">
        <v>2050</v>
      </c>
      <c r="X1444" s="43" t="str">
        <f t="shared" si="181"/>
        <v>*0.92</v>
      </c>
      <c r="AC1444" s="33" t="s">
        <v>2318</v>
      </c>
      <c r="AD1444" s="44" t="s">
        <v>57</v>
      </c>
      <c r="AE1444" s="33">
        <v>2035</v>
      </c>
      <c r="AF1444" s="45" t="str">
        <f t="shared" si="182"/>
        <v>*0.93</v>
      </c>
      <c r="AG1444" s="43" t="str">
        <f t="shared" si="184"/>
        <v>REZoning_Sol-Win</v>
      </c>
      <c r="AI1444" s="33" t="s">
        <v>2318</v>
      </c>
      <c r="AJ1444" s="44" t="s">
        <v>57</v>
      </c>
      <c r="AK1444" s="33">
        <v>2050</v>
      </c>
      <c r="AL1444" s="45" t="str">
        <f t="shared" si="183"/>
        <v>*0.89</v>
      </c>
      <c r="AM1444" s="43" t="str">
        <f t="shared" si="185"/>
        <v>REZoning_Sol-Win</v>
      </c>
      <c r="AP1444" t="s">
        <v>2318</v>
      </c>
      <c r="AQ1444" t="s">
        <v>57</v>
      </c>
      <c r="AR1444">
        <v>2100</v>
      </c>
      <c r="AS1444" t="s">
        <v>937</v>
      </c>
      <c r="AT1444" t="s">
        <v>58</v>
      </c>
    </row>
    <row r="1445" ht="29" spans="1:46">
      <c r="A1445" s="31" t="s">
        <v>83</v>
      </c>
      <c r="C1445" t="s">
        <v>2319</v>
      </c>
      <c r="D1445" s="5" t="s">
        <v>57</v>
      </c>
      <c r="E1445">
        <v>2035</v>
      </c>
      <c r="F1445" s="6" t="str">
        <f t="shared" si="178"/>
        <v>*0.95</v>
      </c>
      <c r="H1445" t="s">
        <v>2319</v>
      </c>
      <c r="I1445" s="5" t="s">
        <v>57</v>
      </c>
      <c r="J1445">
        <v>2050</v>
      </c>
      <c r="K1445" s="38" t="str">
        <f t="shared" si="179"/>
        <v>*0.92</v>
      </c>
      <c r="P1445" s="32" t="s">
        <v>2319</v>
      </c>
      <c r="Q1445" s="42" t="s">
        <v>57</v>
      </c>
      <c r="R1445" s="32">
        <v>2035</v>
      </c>
      <c r="S1445" s="43" t="str">
        <f t="shared" si="180"/>
        <v>*0.95</v>
      </c>
      <c r="U1445" s="32" t="s">
        <v>2319</v>
      </c>
      <c r="V1445" s="42" t="s">
        <v>57</v>
      </c>
      <c r="W1445" s="32">
        <v>2050</v>
      </c>
      <c r="X1445" s="43" t="str">
        <f t="shared" si="181"/>
        <v>*0.92</v>
      </c>
      <c r="AC1445" s="33" t="s">
        <v>2319</v>
      </c>
      <c r="AD1445" s="44" t="s">
        <v>57</v>
      </c>
      <c r="AE1445" s="33">
        <v>2035</v>
      </c>
      <c r="AF1445" s="45" t="str">
        <f t="shared" si="182"/>
        <v>*0.93</v>
      </c>
      <c r="AG1445" s="43" t="str">
        <f t="shared" si="184"/>
        <v>REZoning_Sol-Win</v>
      </c>
      <c r="AI1445" s="33" t="s">
        <v>2319</v>
      </c>
      <c r="AJ1445" s="44" t="s">
        <v>57</v>
      </c>
      <c r="AK1445" s="33">
        <v>2050</v>
      </c>
      <c r="AL1445" s="45" t="str">
        <f t="shared" si="183"/>
        <v>*0.89</v>
      </c>
      <c r="AM1445" s="43" t="str">
        <f t="shared" si="185"/>
        <v>REZoning_Sol-Win</v>
      </c>
      <c r="AP1445" t="s">
        <v>2319</v>
      </c>
      <c r="AQ1445" t="s">
        <v>57</v>
      </c>
      <c r="AR1445">
        <v>2100</v>
      </c>
      <c r="AS1445" t="s">
        <v>937</v>
      </c>
      <c r="AT1445" t="s">
        <v>58</v>
      </c>
    </row>
    <row r="1446" ht="29" spans="1:46">
      <c r="A1446" s="31" t="s">
        <v>83</v>
      </c>
      <c r="C1446" t="s">
        <v>2320</v>
      </c>
      <c r="D1446" s="5" t="s">
        <v>57</v>
      </c>
      <c r="E1446">
        <v>2035</v>
      </c>
      <c r="F1446" s="6" t="str">
        <f t="shared" si="178"/>
        <v>*0.95</v>
      </c>
      <c r="H1446" t="s">
        <v>2320</v>
      </c>
      <c r="I1446" s="5" t="s">
        <v>57</v>
      </c>
      <c r="J1446">
        <v>2050</v>
      </c>
      <c r="K1446" s="38" t="str">
        <f t="shared" si="179"/>
        <v>*0.92</v>
      </c>
      <c r="P1446" s="32" t="s">
        <v>2320</v>
      </c>
      <c r="Q1446" s="42" t="s">
        <v>57</v>
      </c>
      <c r="R1446" s="32">
        <v>2035</v>
      </c>
      <c r="S1446" s="43" t="str">
        <f t="shared" si="180"/>
        <v>*0.95</v>
      </c>
      <c r="U1446" s="32" t="s">
        <v>2320</v>
      </c>
      <c r="V1446" s="42" t="s">
        <v>57</v>
      </c>
      <c r="W1446" s="32">
        <v>2050</v>
      </c>
      <c r="X1446" s="43" t="str">
        <f t="shared" si="181"/>
        <v>*0.92</v>
      </c>
      <c r="AC1446" s="33" t="s">
        <v>2320</v>
      </c>
      <c r="AD1446" s="44" t="s">
        <v>57</v>
      </c>
      <c r="AE1446" s="33">
        <v>2035</v>
      </c>
      <c r="AF1446" s="45" t="str">
        <f t="shared" si="182"/>
        <v>*0.93</v>
      </c>
      <c r="AG1446" s="43" t="str">
        <f t="shared" si="184"/>
        <v>REZoning_Sol-Win</v>
      </c>
      <c r="AI1446" s="33" t="s">
        <v>2320</v>
      </c>
      <c r="AJ1446" s="44" t="s">
        <v>57</v>
      </c>
      <c r="AK1446" s="33">
        <v>2050</v>
      </c>
      <c r="AL1446" s="45" t="str">
        <f t="shared" si="183"/>
        <v>*0.89</v>
      </c>
      <c r="AM1446" s="43" t="str">
        <f t="shared" si="185"/>
        <v>REZoning_Sol-Win</v>
      </c>
      <c r="AP1446" t="s">
        <v>2320</v>
      </c>
      <c r="AQ1446" t="s">
        <v>57</v>
      </c>
      <c r="AR1446">
        <v>2100</v>
      </c>
      <c r="AS1446" t="s">
        <v>937</v>
      </c>
      <c r="AT1446" t="s">
        <v>58</v>
      </c>
    </row>
    <row r="1447" ht="29" spans="1:46">
      <c r="A1447" s="31" t="s">
        <v>83</v>
      </c>
      <c r="C1447" t="s">
        <v>2321</v>
      </c>
      <c r="D1447" s="5" t="s">
        <v>57</v>
      </c>
      <c r="E1447">
        <v>2035</v>
      </c>
      <c r="F1447" s="6" t="str">
        <f t="shared" si="178"/>
        <v>*0.95</v>
      </c>
      <c r="H1447" t="s">
        <v>2321</v>
      </c>
      <c r="I1447" s="5" t="s">
        <v>57</v>
      </c>
      <c r="J1447">
        <v>2050</v>
      </c>
      <c r="K1447" s="38" t="str">
        <f t="shared" si="179"/>
        <v>*0.92</v>
      </c>
      <c r="P1447" s="32" t="s">
        <v>2321</v>
      </c>
      <c r="Q1447" s="42" t="s">
        <v>57</v>
      </c>
      <c r="R1447" s="32">
        <v>2035</v>
      </c>
      <c r="S1447" s="43" t="str">
        <f t="shared" si="180"/>
        <v>*0.95</v>
      </c>
      <c r="U1447" s="32" t="s">
        <v>2321</v>
      </c>
      <c r="V1447" s="42" t="s">
        <v>57</v>
      </c>
      <c r="W1447" s="32">
        <v>2050</v>
      </c>
      <c r="X1447" s="43" t="str">
        <f t="shared" si="181"/>
        <v>*0.92</v>
      </c>
      <c r="AC1447" s="33" t="s">
        <v>2321</v>
      </c>
      <c r="AD1447" s="44" t="s">
        <v>57</v>
      </c>
      <c r="AE1447" s="33">
        <v>2035</v>
      </c>
      <c r="AF1447" s="45" t="str">
        <f t="shared" si="182"/>
        <v>*0.93</v>
      </c>
      <c r="AG1447" s="43" t="str">
        <f t="shared" si="184"/>
        <v>REZoning_Sol-Win</v>
      </c>
      <c r="AI1447" s="33" t="s">
        <v>2321</v>
      </c>
      <c r="AJ1447" s="44" t="s">
        <v>57</v>
      </c>
      <c r="AK1447" s="33">
        <v>2050</v>
      </c>
      <c r="AL1447" s="45" t="str">
        <f t="shared" si="183"/>
        <v>*0.89</v>
      </c>
      <c r="AM1447" s="43" t="str">
        <f t="shared" si="185"/>
        <v>REZoning_Sol-Win</v>
      </c>
      <c r="AP1447" t="s">
        <v>2321</v>
      </c>
      <c r="AQ1447" t="s">
        <v>57</v>
      </c>
      <c r="AR1447">
        <v>2100</v>
      </c>
      <c r="AS1447" t="s">
        <v>937</v>
      </c>
      <c r="AT1447" t="s">
        <v>58</v>
      </c>
    </row>
    <row r="1448" ht="29" spans="1:46">
      <c r="A1448" s="31" t="s">
        <v>83</v>
      </c>
      <c r="C1448" t="s">
        <v>2322</v>
      </c>
      <c r="D1448" s="5" t="s">
        <v>57</v>
      </c>
      <c r="E1448">
        <v>2035</v>
      </c>
      <c r="F1448" s="6" t="str">
        <f t="shared" si="178"/>
        <v>*0.95</v>
      </c>
      <c r="H1448" t="s">
        <v>2322</v>
      </c>
      <c r="I1448" s="5" t="s">
        <v>57</v>
      </c>
      <c r="J1448">
        <v>2050</v>
      </c>
      <c r="K1448" s="38" t="str">
        <f t="shared" si="179"/>
        <v>*0.92</v>
      </c>
      <c r="P1448" s="32" t="s">
        <v>2322</v>
      </c>
      <c r="Q1448" s="42" t="s">
        <v>57</v>
      </c>
      <c r="R1448" s="32">
        <v>2035</v>
      </c>
      <c r="S1448" s="43" t="str">
        <f t="shared" si="180"/>
        <v>*0.95</v>
      </c>
      <c r="U1448" s="32" t="s">
        <v>2322</v>
      </c>
      <c r="V1448" s="42" t="s">
        <v>57</v>
      </c>
      <c r="W1448" s="32">
        <v>2050</v>
      </c>
      <c r="X1448" s="43" t="str">
        <f t="shared" si="181"/>
        <v>*0.92</v>
      </c>
      <c r="AC1448" s="33" t="s">
        <v>2322</v>
      </c>
      <c r="AD1448" s="44" t="s">
        <v>57</v>
      </c>
      <c r="AE1448" s="33">
        <v>2035</v>
      </c>
      <c r="AF1448" s="45" t="str">
        <f t="shared" si="182"/>
        <v>*0.93</v>
      </c>
      <c r="AG1448" s="43" t="str">
        <f t="shared" si="184"/>
        <v>REZoning_Sol-Win</v>
      </c>
      <c r="AI1448" s="33" t="s">
        <v>2322</v>
      </c>
      <c r="AJ1448" s="44" t="s">
        <v>57</v>
      </c>
      <c r="AK1448" s="33">
        <v>2050</v>
      </c>
      <c r="AL1448" s="45" t="str">
        <f t="shared" si="183"/>
        <v>*0.89</v>
      </c>
      <c r="AM1448" s="43" t="str">
        <f t="shared" si="185"/>
        <v>REZoning_Sol-Win</v>
      </c>
      <c r="AP1448" t="s">
        <v>2322</v>
      </c>
      <c r="AQ1448" t="s">
        <v>57</v>
      </c>
      <c r="AR1448">
        <v>2100</v>
      </c>
      <c r="AS1448" t="s">
        <v>937</v>
      </c>
      <c r="AT1448" t="s">
        <v>58</v>
      </c>
    </row>
    <row r="1449" ht="29" spans="1:46">
      <c r="A1449" s="31" t="s">
        <v>83</v>
      </c>
      <c r="C1449" t="s">
        <v>2323</v>
      </c>
      <c r="D1449" s="5" t="s">
        <v>57</v>
      </c>
      <c r="E1449">
        <v>2035</v>
      </c>
      <c r="F1449" s="6" t="str">
        <f t="shared" si="178"/>
        <v>*0.95</v>
      </c>
      <c r="H1449" t="s">
        <v>2323</v>
      </c>
      <c r="I1449" s="5" t="s">
        <v>57</v>
      </c>
      <c r="J1449">
        <v>2050</v>
      </c>
      <c r="K1449" s="38" t="str">
        <f t="shared" si="179"/>
        <v>*0.92</v>
      </c>
      <c r="P1449" s="32" t="s">
        <v>2323</v>
      </c>
      <c r="Q1449" s="42" t="s">
        <v>57</v>
      </c>
      <c r="R1449" s="32">
        <v>2035</v>
      </c>
      <c r="S1449" s="43" t="str">
        <f t="shared" si="180"/>
        <v>*0.95</v>
      </c>
      <c r="U1449" s="32" t="s">
        <v>2323</v>
      </c>
      <c r="V1449" s="42" t="s">
        <v>57</v>
      </c>
      <c r="W1449" s="32">
        <v>2050</v>
      </c>
      <c r="X1449" s="43" t="str">
        <f t="shared" si="181"/>
        <v>*0.92</v>
      </c>
      <c r="AC1449" s="33" t="s">
        <v>2323</v>
      </c>
      <c r="AD1449" s="44" t="s">
        <v>57</v>
      </c>
      <c r="AE1449" s="33">
        <v>2035</v>
      </c>
      <c r="AF1449" s="45" t="str">
        <f t="shared" si="182"/>
        <v>*0.93</v>
      </c>
      <c r="AG1449" s="43" t="str">
        <f t="shared" si="184"/>
        <v>REZoning_Sol-Win</v>
      </c>
      <c r="AI1449" s="33" t="s">
        <v>2323</v>
      </c>
      <c r="AJ1449" s="44" t="s">
        <v>57</v>
      </c>
      <c r="AK1449" s="33">
        <v>2050</v>
      </c>
      <c r="AL1449" s="45" t="str">
        <f t="shared" si="183"/>
        <v>*0.89</v>
      </c>
      <c r="AM1449" s="43" t="str">
        <f t="shared" si="185"/>
        <v>REZoning_Sol-Win</v>
      </c>
      <c r="AP1449" t="s">
        <v>2323</v>
      </c>
      <c r="AQ1449" t="s">
        <v>57</v>
      </c>
      <c r="AR1449">
        <v>2100</v>
      </c>
      <c r="AS1449" t="s">
        <v>937</v>
      </c>
      <c r="AT1449" t="s">
        <v>58</v>
      </c>
    </row>
    <row r="1450" ht="29" spans="1:46">
      <c r="A1450" s="31" t="s">
        <v>83</v>
      </c>
      <c r="C1450" t="s">
        <v>2324</v>
      </c>
      <c r="D1450" s="5" t="s">
        <v>57</v>
      </c>
      <c r="E1450">
        <v>2035</v>
      </c>
      <c r="F1450" s="6" t="str">
        <f t="shared" si="178"/>
        <v>*0.95</v>
      </c>
      <c r="H1450" t="s">
        <v>2324</v>
      </c>
      <c r="I1450" s="5" t="s">
        <v>57</v>
      </c>
      <c r="J1450">
        <v>2050</v>
      </c>
      <c r="K1450" s="38" t="str">
        <f t="shared" si="179"/>
        <v>*0.92</v>
      </c>
      <c r="P1450" s="32" t="s">
        <v>2324</v>
      </c>
      <c r="Q1450" s="42" t="s">
        <v>57</v>
      </c>
      <c r="R1450" s="32">
        <v>2035</v>
      </c>
      <c r="S1450" s="43" t="str">
        <f t="shared" si="180"/>
        <v>*0.95</v>
      </c>
      <c r="U1450" s="32" t="s">
        <v>2324</v>
      </c>
      <c r="V1450" s="42" t="s">
        <v>57</v>
      </c>
      <c r="W1450" s="32">
        <v>2050</v>
      </c>
      <c r="X1450" s="43" t="str">
        <f t="shared" si="181"/>
        <v>*0.92</v>
      </c>
      <c r="AC1450" s="33" t="s">
        <v>2324</v>
      </c>
      <c r="AD1450" s="44" t="s">
        <v>57</v>
      </c>
      <c r="AE1450" s="33">
        <v>2035</v>
      </c>
      <c r="AF1450" s="45" t="str">
        <f t="shared" si="182"/>
        <v>*0.93</v>
      </c>
      <c r="AG1450" s="43" t="str">
        <f t="shared" si="184"/>
        <v>REZoning_Sol-Win</v>
      </c>
      <c r="AI1450" s="33" t="s">
        <v>2324</v>
      </c>
      <c r="AJ1450" s="44" t="s">
        <v>57</v>
      </c>
      <c r="AK1450" s="33">
        <v>2050</v>
      </c>
      <c r="AL1450" s="45" t="str">
        <f t="shared" si="183"/>
        <v>*0.89</v>
      </c>
      <c r="AM1450" s="43" t="str">
        <f t="shared" si="185"/>
        <v>REZoning_Sol-Win</v>
      </c>
      <c r="AP1450" t="s">
        <v>2324</v>
      </c>
      <c r="AQ1450" t="s">
        <v>57</v>
      </c>
      <c r="AR1450">
        <v>2100</v>
      </c>
      <c r="AS1450" t="s">
        <v>937</v>
      </c>
      <c r="AT1450" t="s">
        <v>58</v>
      </c>
    </row>
    <row r="1451" ht="29" spans="1:46">
      <c r="A1451" s="31" t="s">
        <v>83</v>
      </c>
      <c r="C1451" t="s">
        <v>2325</v>
      </c>
      <c r="D1451" s="5" t="s">
        <v>57</v>
      </c>
      <c r="E1451">
        <v>2035</v>
      </c>
      <c r="F1451" s="6" t="str">
        <f t="shared" si="178"/>
        <v>*0.95</v>
      </c>
      <c r="H1451" t="s">
        <v>2325</v>
      </c>
      <c r="I1451" s="5" t="s">
        <v>57</v>
      </c>
      <c r="J1451">
        <v>2050</v>
      </c>
      <c r="K1451" s="38" t="str">
        <f t="shared" si="179"/>
        <v>*0.92</v>
      </c>
      <c r="P1451" s="32" t="s">
        <v>2325</v>
      </c>
      <c r="Q1451" s="42" t="s">
        <v>57</v>
      </c>
      <c r="R1451" s="32">
        <v>2035</v>
      </c>
      <c r="S1451" s="43" t="str">
        <f t="shared" si="180"/>
        <v>*0.95</v>
      </c>
      <c r="U1451" s="32" t="s">
        <v>2325</v>
      </c>
      <c r="V1451" s="42" t="s">
        <v>57</v>
      </c>
      <c r="W1451" s="32">
        <v>2050</v>
      </c>
      <c r="X1451" s="43" t="str">
        <f t="shared" si="181"/>
        <v>*0.92</v>
      </c>
      <c r="AC1451" s="33" t="s">
        <v>2325</v>
      </c>
      <c r="AD1451" s="44" t="s">
        <v>57</v>
      </c>
      <c r="AE1451" s="33">
        <v>2035</v>
      </c>
      <c r="AF1451" s="45" t="str">
        <f t="shared" si="182"/>
        <v>*0.93</v>
      </c>
      <c r="AG1451" s="43" t="str">
        <f t="shared" si="184"/>
        <v>REZoning_Sol-Win</v>
      </c>
      <c r="AI1451" s="33" t="s">
        <v>2325</v>
      </c>
      <c r="AJ1451" s="44" t="s">
        <v>57</v>
      </c>
      <c r="AK1451" s="33">
        <v>2050</v>
      </c>
      <c r="AL1451" s="45" t="str">
        <f t="shared" si="183"/>
        <v>*0.89</v>
      </c>
      <c r="AM1451" s="43" t="str">
        <f t="shared" si="185"/>
        <v>REZoning_Sol-Win</v>
      </c>
      <c r="AP1451" t="s">
        <v>2325</v>
      </c>
      <c r="AQ1451" t="s">
        <v>57</v>
      </c>
      <c r="AR1451">
        <v>2100</v>
      </c>
      <c r="AS1451" t="s">
        <v>937</v>
      </c>
      <c r="AT1451" t="s">
        <v>58</v>
      </c>
    </row>
    <row r="1452" ht="29" spans="1:46">
      <c r="A1452" s="31" t="s">
        <v>83</v>
      </c>
      <c r="C1452" t="s">
        <v>2326</v>
      </c>
      <c r="D1452" s="5" t="s">
        <v>57</v>
      </c>
      <c r="E1452">
        <v>2035</v>
      </c>
      <c r="F1452" s="6" t="str">
        <f t="shared" si="178"/>
        <v>*0.95</v>
      </c>
      <c r="H1452" t="s">
        <v>2326</v>
      </c>
      <c r="I1452" s="5" t="s">
        <v>57</v>
      </c>
      <c r="J1452">
        <v>2050</v>
      </c>
      <c r="K1452" s="38" t="str">
        <f t="shared" si="179"/>
        <v>*0.92</v>
      </c>
      <c r="P1452" s="32" t="s">
        <v>2326</v>
      </c>
      <c r="Q1452" s="42" t="s">
        <v>57</v>
      </c>
      <c r="R1452" s="32">
        <v>2035</v>
      </c>
      <c r="S1452" s="43" t="str">
        <f t="shared" si="180"/>
        <v>*0.95</v>
      </c>
      <c r="U1452" s="32" t="s">
        <v>2326</v>
      </c>
      <c r="V1452" s="42" t="s">
        <v>57</v>
      </c>
      <c r="W1452" s="32">
        <v>2050</v>
      </c>
      <c r="X1452" s="43" t="str">
        <f t="shared" si="181"/>
        <v>*0.92</v>
      </c>
      <c r="AC1452" s="33" t="s">
        <v>2326</v>
      </c>
      <c r="AD1452" s="44" t="s">
        <v>57</v>
      </c>
      <c r="AE1452" s="33">
        <v>2035</v>
      </c>
      <c r="AF1452" s="45" t="str">
        <f t="shared" si="182"/>
        <v>*0.93</v>
      </c>
      <c r="AG1452" s="43" t="str">
        <f t="shared" si="184"/>
        <v>REZoning_Sol-Win</v>
      </c>
      <c r="AI1452" s="33" t="s">
        <v>2326</v>
      </c>
      <c r="AJ1452" s="44" t="s">
        <v>57</v>
      </c>
      <c r="AK1452" s="33">
        <v>2050</v>
      </c>
      <c r="AL1452" s="45" t="str">
        <f t="shared" si="183"/>
        <v>*0.89</v>
      </c>
      <c r="AM1452" s="43" t="str">
        <f t="shared" si="185"/>
        <v>REZoning_Sol-Win</v>
      </c>
      <c r="AP1452" t="s">
        <v>2326</v>
      </c>
      <c r="AQ1452" t="s">
        <v>57</v>
      </c>
      <c r="AR1452">
        <v>2100</v>
      </c>
      <c r="AS1452" t="s">
        <v>937</v>
      </c>
      <c r="AT1452" t="s">
        <v>58</v>
      </c>
    </row>
    <row r="1453" ht="29" spans="1:46">
      <c r="A1453" s="31" t="s">
        <v>83</v>
      </c>
      <c r="C1453" t="s">
        <v>2327</v>
      </c>
      <c r="D1453" s="5" t="s">
        <v>57</v>
      </c>
      <c r="E1453">
        <v>2035</v>
      </c>
      <c r="F1453" s="6" t="str">
        <f t="shared" si="178"/>
        <v>*0.95</v>
      </c>
      <c r="H1453" t="s">
        <v>2327</v>
      </c>
      <c r="I1453" s="5" t="s">
        <v>57</v>
      </c>
      <c r="J1453">
        <v>2050</v>
      </c>
      <c r="K1453" s="38" t="str">
        <f t="shared" si="179"/>
        <v>*0.92</v>
      </c>
      <c r="P1453" s="32" t="s">
        <v>2327</v>
      </c>
      <c r="Q1453" s="42" t="s">
        <v>57</v>
      </c>
      <c r="R1453" s="32">
        <v>2035</v>
      </c>
      <c r="S1453" s="43" t="str">
        <f t="shared" si="180"/>
        <v>*0.95</v>
      </c>
      <c r="U1453" s="32" t="s">
        <v>2327</v>
      </c>
      <c r="V1453" s="42" t="s">
        <v>57</v>
      </c>
      <c r="W1453" s="32">
        <v>2050</v>
      </c>
      <c r="X1453" s="43" t="str">
        <f t="shared" si="181"/>
        <v>*0.92</v>
      </c>
      <c r="AC1453" s="33" t="s">
        <v>2327</v>
      </c>
      <c r="AD1453" s="44" t="s">
        <v>57</v>
      </c>
      <c r="AE1453" s="33">
        <v>2035</v>
      </c>
      <c r="AF1453" s="45" t="str">
        <f t="shared" si="182"/>
        <v>*0.93</v>
      </c>
      <c r="AG1453" s="43" t="str">
        <f t="shared" si="184"/>
        <v>REZoning_Sol-Win</v>
      </c>
      <c r="AI1453" s="33" t="s">
        <v>2327</v>
      </c>
      <c r="AJ1453" s="44" t="s">
        <v>57</v>
      </c>
      <c r="AK1453" s="33">
        <v>2050</v>
      </c>
      <c r="AL1453" s="45" t="str">
        <f t="shared" si="183"/>
        <v>*0.89</v>
      </c>
      <c r="AM1453" s="43" t="str">
        <f t="shared" si="185"/>
        <v>REZoning_Sol-Win</v>
      </c>
      <c r="AP1453" t="s">
        <v>2327</v>
      </c>
      <c r="AQ1453" t="s">
        <v>57</v>
      </c>
      <c r="AR1453">
        <v>2100</v>
      </c>
      <c r="AS1453" t="s">
        <v>937</v>
      </c>
      <c r="AT1453" t="s">
        <v>58</v>
      </c>
    </row>
    <row r="1454" ht="29" spans="1:46">
      <c r="A1454" s="31" t="s">
        <v>83</v>
      </c>
      <c r="C1454" t="s">
        <v>2328</v>
      </c>
      <c r="D1454" s="5" t="s">
        <v>57</v>
      </c>
      <c r="E1454">
        <v>2035</v>
      </c>
      <c r="F1454" s="6" t="str">
        <f t="shared" si="178"/>
        <v>*0.95</v>
      </c>
      <c r="H1454" t="s">
        <v>2328</v>
      </c>
      <c r="I1454" s="5" t="s">
        <v>57</v>
      </c>
      <c r="J1454">
        <v>2050</v>
      </c>
      <c r="K1454" s="38" t="str">
        <f t="shared" si="179"/>
        <v>*0.92</v>
      </c>
      <c r="P1454" s="32" t="s">
        <v>2328</v>
      </c>
      <c r="Q1454" s="42" t="s">
        <v>57</v>
      </c>
      <c r="R1454" s="32">
        <v>2035</v>
      </c>
      <c r="S1454" s="43" t="str">
        <f t="shared" si="180"/>
        <v>*0.95</v>
      </c>
      <c r="U1454" s="32" t="s">
        <v>2328</v>
      </c>
      <c r="V1454" s="42" t="s">
        <v>57</v>
      </c>
      <c r="W1454" s="32">
        <v>2050</v>
      </c>
      <c r="X1454" s="43" t="str">
        <f t="shared" si="181"/>
        <v>*0.92</v>
      </c>
      <c r="AC1454" s="33" t="s">
        <v>2328</v>
      </c>
      <c r="AD1454" s="44" t="s">
        <v>57</v>
      </c>
      <c r="AE1454" s="33">
        <v>2035</v>
      </c>
      <c r="AF1454" s="45" t="str">
        <f t="shared" si="182"/>
        <v>*0.93</v>
      </c>
      <c r="AG1454" s="43" t="str">
        <f t="shared" si="184"/>
        <v>REZoning_Sol-Win</v>
      </c>
      <c r="AI1454" s="33" t="s">
        <v>2328</v>
      </c>
      <c r="AJ1454" s="44" t="s">
        <v>57</v>
      </c>
      <c r="AK1454" s="33">
        <v>2050</v>
      </c>
      <c r="AL1454" s="45" t="str">
        <f t="shared" si="183"/>
        <v>*0.89</v>
      </c>
      <c r="AM1454" s="43" t="str">
        <f t="shared" si="185"/>
        <v>REZoning_Sol-Win</v>
      </c>
      <c r="AP1454" t="s">
        <v>2328</v>
      </c>
      <c r="AQ1454" t="s">
        <v>57</v>
      </c>
      <c r="AR1454">
        <v>2100</v>
      </c>
      <c r="AS1454" t="s">
        <v>937</v>
      </c>
      <c r="AT1454" t="s">
        <v>58</v>
      </c>
    </row>
    <row r="1455" ht="29" spans="1:46">
      <c r="A1455" s="31" t="s">
        <v>83</v>
      </c>
      <c r="C1455" t="s">
        <v>2329</v>
      </c>
      <c r="D1455" s="5" t="s">
        <v>57</v>
      </c>
      <c r="E1455">
        <v>2035</v>
      </c>
      <c r="F1455" s="6" t="str">
        <f t="shared" si="178"/>
        <v>*0.95</v>
      </c>
      <c r="H1455" t="s">
        <v>2329</v>
      </c>
      <c r="I1455" s="5" t="s">
        <v>57</v>
      </c>
      <c r="J1455">
        <v>2050</v>
      </c>
      <c r="K1455" s="38" t="str">
        <f t="shared" si="179"/>
        <v>*0.92</v>
      </c>
      <c r="P1455" s="32" t="s">
        <v>2329</v>
      </c>
      <c r="Q1455" s="42" t="s">
        <v>57</v>
      </c>
      <c r="R1455" s="32">
        <v>2035</v>
      </c>
      <c r="S1455" s="43" t="str">
        <f t="shared" si="180"/>
        <v>*0.95</v>
      </c>
      <c r="U1455" s="32" t="s">
        <v>2329</v>
      </c>
      <c r="V1455" s="42" t="s">
        <v>57</v>
      </c>
      <c r="W1455" s="32">
        <v>2050</v>
      </c>
      <c r="X1455" s="43" t="str">
        <f t="shared" si="181"/>
        <v>*0.92</v>
      </c>
      <c r="AC1455" s="33" t="s">
        <v>2329</v>
      </c>
      <c r="AD1455" s="44" t="s">
        <v>57</v>
      </c>
      <c r="AE1455" s="33">
        <v>2035</v>
      </c>
      <c r="AF1455" s="45" t="str">
        <f t="shared" si="182"/>
        <v>*0.93</v>
      </c>
      <c r="AG1455" s="43" t="str">
        <f t="shared" si="184"/>
        <v>REZoning_Sol-Win</v>
      </c>
      <c r="AI1455" s="33" t="s">
        <v>2329</v>
      </c>
      <c r="AJ1455" s="44" t="s">
        <v>57</v>
      </c>
      <c r="AK1455" s="33">
        <v>2050</v>
      </c>
      <c r="AL1455" s="45" t="str">
        <f t="shared" si="183"/>
        <v>*0.89</v>
      </c>
      <c r="AM1455" s="43" t="str">
        <f t="shared" si="185"/>
        <v>REZoning_Sol-Win</v>
      </c>
      <c r="AP1455" t="s">
        <v>2329</v>
      </c>
      <c r="AQ1455" t="s">
        <v>57</v>
      </c>
      <c r="AR1455">
        <v>2100</v>
      </c>
      <c r="AS1455" t="s">
        <v>937</v>
      </c>
      <c r="AT1455" t="s">
        <v>58</v>
      </c>
    </row>
    <row r="1456" ht="29" spans="1:46">
      <c r="A1456" s="31" t="s">
        <v>83</v>
      </c>
      <c r="C1456" t="s">
        <v>2330</v>
      </c>
      <c r="D1456" s="5" t="s">
        <v>57</v>
      </c>
      <c r="E1456">
        <v>2035</v>
      </c>
      <c r="F1456" s="6" t="str">
        <f t="shared" si="178"/>
        <v>*0.95</v>
      </c>
      <c r="H1456" t="s">
        <v>2330</v>
      </c>
      <c r="I1456" s="5" t="s">
        <v>57</v>
      </c>
      <c r="J1456">
        <v>2050</v>
      </c>
      <c r="K1456" s="38" t="str">
        <f t="shared" si="179"/>
        <v>*0.92</v>
      </c>
      <c r="P1456" s="32" t="s">
        <v>2330</v>
      </c>
      <c r="Q1456" s="42" t="s">
        <v>57</v>
      </c>
      <c r="R1456" s="32">
        <v>2035</v>
      </c>
      <c r="S1456" s="43" t="str">
        <f t="shared" si="180"/>
        <v>*0.95</v>
      </c>
      <c r="U1456" s="32" t="s">
        <v>2330</v>
      </c>
      <c r="V1456" s="42" t="s">
        <v>57</v>
      </c>
      <c r="W1456" s="32">
        <v>2050</v>
      </c>
      <c r="X1456" s="43" t="str">
        <f t="shared" si="181"/>
        <v>*0.92</v>
      </c>
      <c r="AC1456" s="33" t="s">
        <v>2330</v>
      </c>
      <c r="AD1456" s="44" t="s">
        <v>57</v>
      </c>
      <c r="AE1456" s="33">
        <v>2035</v>
      </c>
      <c r="AF1456" s="45" t="str">
        <f t="shared" si="182"/>
        <v>*0.93</v>
      </c>
      <c r="AG1456" s="43" t="str">
        <f t="shared" si="184"/>
        <v>REZoning_Sol-Win</v>
      </c>
      <c r="AI1456" s="33" t="s">
        <v>2330</v>
      </c>
      <c r="AJ1456" s="44" t="s">
        <v>57</v>
      </c>
      <c r="AK1456" s="33">
        <v>2050</v>
      </c>
      <c r="AL1456" s="45" t="str">
        <f t="shared" si="183"/>
        <v>*0.89</v>
      </c>
      <c r="AM1456" s="43" t="str">
        <f t="shared" si="185"/>
        <v>REZoning_Sol-Win</v>
      </c>
      <c r="AP1456" t="s">
        <v>2330</v>
      </c>
      <c r="AQ1456" t="s">
        <v>57</v>
      </c>
      <c r="AR1456">
        <v>2100</v>
      </c>
      <c r="AS1456" t="s">
        <v>937</v>
      </c>
      <c r="AT1456" t="s">
        <v>58</v>
      </c>
    </row>
    <row r="1457" ht="29" spans="1:46">
      <c r="A1457" s="31" t="s">
        <v>83</v>
      </c>
      <c r="C1457" t="s">
        <v>2331</v>
      </c>
      <c r="D1457" s="5" t="s">
        <v>57</v>
      </c>
      <c r="E1457">
        <v>2035</v>
      </c>
      <c r="F1457" s="6" t="str">
        <f t="shared" si="178"/>
        <v>*0.95</v>
      </c>
      <c r="H1457" t="s">
        <v>2331</v>
      </c>
      <c r="I1457" s="5" t="s">
        <v>57</v>
      </c>
      <c r="J1457">
        <v>2050</v>
      </c>
      <c r="K1457" s="38" t="str">
        <f t="shared" si="179"/>
        <v>*0.92</v>
      </c>
      <c r="P1457" s="32" t="s">
        <v>2331</v>
      </c>
      <c r="Q1457" s="42" t="s">
        <v>57</v>
      </c>
      <c r="R1457" s="32">
        <v>2035</v>
      </c>
      <c r="S1457" s="43" t="str">
        <f t="shared" si="180"/>
        <v>*0.95</v>
      </c>
      <c r="U1457" s="32" t="s">
        <v>2331</v>
      </c>
      <c r="V1457" s="42" t="s">
        <v>57</v>
      </c>
      <c r="W1457" s="32">
        <v>2050</v>
      </c>
      <c r="X1457" s="43" t="str">
        <f t="shared" si="181"/>
        <v>*0.92</v>
      </c>
      <c r="AC1457" s="33" t="s">
        <v>2331</v>
      </c>
      <c r="AD1457" s="44" t="s">
        <v>57</v>
      </c>
      <c r="AE1457" s="33">
        <v>2035</v>
      </c>
      <c r="AF1457" s="45" t="str">
        <f t="shared" si="182"/>
        <v>*0.93</v>
      </c>
      <c r="AG1457" s="43" t="str">
        <f t="shared" si="184"/>
        <v>REZoning_Sol-Win</v>
      </c>
      <c r="AI1457" s="33" t="s">
        <v>2331</v>
      </c>
      <c r="AJ1457" s="44" t="s">
        <v>57</v>
      </c>
      <c r="AK1457" s="33">
        <v>2050</v>
      </c>
      <c r="AL1457" s="45" t="str">
        <f t="shared" si="183"/>
        <v>*0.89</v>
      </c>
      <c r="AM1457" s="43" t="str">
        <f t="shared" si="185"/>
        <v>REZoning_Sol-Win</v>
      </c>
      <c r="AP1457" t="s">
        <v>2331</v>
      </c>
      <c r="AQ1457" t="s">
        <v>57</v>
      </c>
      <c r="AR1457">
        <v>2100</v>
      </c>
      <c r="AS1457" t="s">
        <v>937</v>
      </c>
      <c r="AT1457" t="s">
        <v>58</v>
      </c>
    </row>
    <row r="1458" ht="29" spans="1:46">
      <c r="A1458" s="31" t="s">
        <v>83</v>
      </c>
      <c r="C1458" t="s">
        <v>2332</v>
      </c>
      <c r="D1458" s="5" t="s">
        <v>57</v>
      </c>
      <c r="E1458">
        <v>2035</v>
      </c>
      <c r="F1458" s="6" t="str">
        <f t="shared" si="178"/>
        <v>*0.95</v>
      </c>
      <c r="H1458" t="s">
        <v>2332</v>
      </c>
      <c r="I1458" s="5" t="s">
        <v>57</v>
      </c>
      <c r="J1458">
        <v>2050</v>
      </c>
      <c r="K1458" s="38" t="str">
        <f t="shared" si="179"/>
        <v>*0.92</v>
      </c>
      <c r="P1458" s="32" t="s">
        <v>2332</v>
      </c>
      <c r="Q1458" s="42" t="s">
        <v>57</v>
      </c>
      <c r="R1458" s="32">
        <v>2035</v>
      </c>
      <c r="S1458" s="43" t="str">
        <f t="shared" si="180"/>
        <v>*0.95</v>
      </c>
      <c r="U1458" s="32" t="s">
        <v>2332</v>
      </c>
      <c r="V1458" s="42" t="s">
        <v>57</v>
      </c>
      <c r="W1458" s="32">
        <v>2050</v>
      </c>
      <c r="X1458" s="43" t="str">
        <f t="shared" si="181"/>
        <v>*0.92</v>
      </c>
      <c r="AC1458" s="33" t="s">
        <v>2332</v>
      </c>
      <c r="AD1458" s="44" t="s">
        <v>57</v>
      </c>
      <c r="AE1458" s="33">
        <v>2035</v>
      </c>
      <c r="AF1458" s="45" t="str">
        <f t="shared" si="182"/>
        <v>*0.93</v>
      </c>
      <c r="AG1458" s="43" t="str">
        <f t="shared" si="184"/>
        <v>REZoning_Sol-Win</v>
      </c>
      <c r="AI1458" s="33" t="s">
        <v>2332</v>
      </c>
      <c r="AJ1458" s="44" t="s">
        <v>57</v>
      </c>
      <c r="AK1458" s="33">
        <v>2050</v>
      </c>
      <c r="AL1458" s="45" t="str">
        <f t="shared" si="183"/>
        <v>*0.89</v>
      </c>
      <c r="AM1458" s="43" t="str">
        <f t="shared" si="185"/>
        <v>REZoning_Sol-Win</v>
      </c>
      <c r="AP1458" t="s">
        <v>2332</v>
      </c>
      <c r="AQ1458" t="s">
        <v>57</v>
      </c>
      <c r="AR1458">
        <v>2100</v>
      </c>
      <c r="AS1458" t="s">
        <v>937</v>
      </c>
      <c r="AT1458" t="s">
        <v>58</v>
      </c>
    </row>
    <row r="1459" ht="29" spans="1:46">
      <c r="A1459" s="31" t="s">
        <v>83</v>
      </c>
      <c r="C1459" t="s">
        <v>2333</v>
      </c>
      <c r="D1459" s="5" t="s">
        <v>57</v>
      </c>
      <c r="E1459">
        <v>2035</v>
      </c>
      <c r="F1459" s="6" t="str">
        <f t="shared" si="178"/>
        <v>*0.95</v>
      </c>
      <c r="H1459" t="s">
        <v>2333</v>
      </c>
      <c r="I1459" s="5" t="s">
        <v>57</v>
      </c>
      <c r="J1459">
        <v>2050</v>
      </c>
      <c r="K1459" s="38" t="str">
        <f t="shared" si="179"/>
        <v>*0.92</v>
      </c>
      <c r="P1459" s="32" t="s">
        <v>2333</v>
      </c>
      <c r="Q1459" s="42" t="s">
        <v>57</v>
      </c>
      <c r="R1459" s="32">
        <v>2035</v>
      </c>
      <c r="S1459" s="43" t="str">
        <f t="shared" si="180"/>
        <v>*0.95</v>
      </c>
      <c r="U1459" s="32" t="s">
        <v>2333</v>
      </c>
      <c r="V1459" s="42" t="s">
        <v>57</v>
      </c>
      <c r="W1459" s="32">
        <v>2050</v>
      </c>
      <c r="X1459" s="43" t="str">
        <f t="shared" si="181"/>
        <v>*0.92</v>
      </c>
      <c r="AC1459" s="33" t="s">
        <v>2333</v>
      </c>
      <c r="AD1459" s="44" t="s">
        <v>57</v>
      </c>
      <c r="AE1459" s="33">
        <v>2035</v>
      </c>
      <c r="AF1459" s="45" t="str">
        <f t="shared" si="182"/>
        <v>*0.93</v>
      </c>
      <c r="AG1459" s="43" t="str">
        <f t="shared" si="184"/>
        <v>REZoning_Sol-Win</v>
      </c>
      <c r="AI1459" s="33" t="s">
        <v>2333</v>
      </c>
      <c r="AJ1459" s="44" t="s">
        <v>57</v>
      </c>
      <c r="AK1459" s="33">
        <v>2050</v>
      </c>
      <c r="AL1459" s="45" t="str">
        <f t="shared" si="183"/>
        <v>*0.89</v>
      </c>
      <c r="AM1459" s="43" t="str">
        <f t="shared" si="185"/>
        <v>REZoning_Sol-Win</v>
      </c>
      <c r="AP1459" t="s">
        <v>2333</v>
      </c>
      <c r="AQ1459" t="s">
        <v>57</v>
      </c>
      <c r="AR1459">
        <v>2100</v>
      </c>
      <c r="AS1459" t="s">
        <v>937</v>
      </c>
      <c r="AT1459" t="s">
        <v>58</v>
      </c>
    </row>
    <row r="1460" ht="29" spans="1:46">
      <c r="A1460" s="31" t="s">
        <v>83</v>
      </c>
      <c r="C1460" t="s">
        <v>2334</v>
      </c>
      <c r="D1460" s="5" t="s">
        <v>57</v>
      </c>
      <c r="E1460">
        <v>2035</v>
      </c>
      <c r="F1460" s="6" t="str">
        <f t="shared" si="178"/>
        <v>*0.95</v>
      </c>
      <c r="H1460" t="s">
        <v>2334</v>
      </c>
      <c r="I1460" s="5" t="s">
        <v>57</v>
      </c>
      <c r="J1460">
        <v>2050</v>
      </c>
      <c r="K1460" s="38" t="str">
        <f t="shared" si="179"/>
        <v>*0.92</v>
      </c>
      <c r="P1460" s="32" t="s">
        <v>2334</v>
      </c>
      <c r="Q1460" s="42" t="s">
        <v>57</v>
      </c>
      <c r="R1460" s="32">
        <v>2035</v>
      </c>
      <c r="S1460" s="43" t="str">
        <f t="shared" si="180"/>
        <v>*0.95</v>
      </c>
      <c r="U1460" s="32" t="s">
        <v>2334</v>
      </c>
      <c r="V1460" s="42" t="s">
        <v>57</v>
      </c>
      <c r="W1460" s="32">
        <v>2050</v>
      </c>
      <c r="X1460" s="43" t="str">
        <f t="shared" si="181"/>
        <v>*0.92</v>
      </c>
      <c r="AC1460" s="33" t="s">
        <v>2334</v>
      </c>
      <c r="AD1460" s="44" t="s">
        <v>57</v>
      </c>
      <c r="AE1460" s="33">
        <v>2035</v>
      </c>
      <c r="AF1460" s="45" t="str">
        <f t="shared" si="182"/>
        <v>*0.93</v>
      </c>
      <c r="AG1460" s="43" t="str">
        <f t="shared" si="184"/>
        <v>REZoning_Sol-Win</v>
      </c>
      <c r="AI1460" s="33" t="s">
        <v>2334</v>
      </c>
      <c r="AJ1460" s="44" t="s">
        <v>57</v>
      </c>
      <c r="AK1460" s="33">
        <v>2050</v>
      </c>
      <c r="AL1460" s="45" t="str">
        <f t="shared" si="183"/>
        <v>*0.89</v>
      </c>
      <c r="AM1460" s="43" t="str">
        <f t="shared" si="185"/>
        <v>REZoning_Sol-Win</v>
      </c>
      <c r="AP1460" t="s">
        <v>2334</v>
      </c>
      <c r="AQ1460" t="s">
        <v>57</v>
      </c>
      <c r="AR1460">
        <v>2100</v>
      </c>
      <c r="AS1460" t="s">
        <v>937</v>
      </c>
      <c r="AT1460" t="s">
        <v>58</v>
      </c>
    </row>
    <row r="1461" ht="29" spans="1:46">
      <c r="A1461" s="31" t="s">
        <v>83</v>
      </c>
      <c r="C1461" t="s">
        <v>2335</v>
      </c>
      <c r="D1461" s="5" t="s">
        <v>57</v>
      </c>
      <c r="E1461">
        <v>2035</v>
      </c>
      <c r="F1461" s="6" t="str">
        <f t="shared" si="178"/>
        <v>*0.95</v>
      </c>
      <c r="H1461" t="s">
        <v>2335</v>
      </c>
      <c r="I1461" s="5" t="s">
        <v>57</v>
      </c>
      <c r="J1461">
        <v>2050</v>
      </c>
      <c r="K1461" s="38" t="str">
        <f t="shared" si="179"/>
        <v>*0.92</v>
      </c>
      <c r="P1461" s="32" t="s">
        <v>2335</v>
      </c>
      <c r="Q1461" s="42" t="s">
        <v>57</v>
      </c>
      <c r="R1461" s="32">
        <v>2035</v>
      </c>
      <c r="S1461" s="43" t="str">
        <f t="shared" si="180"/>
        <v>*0.95</v>
      </c>
      <c r="U1461" s="32" t="s">
        <v>2335</v>
      </c>
      <c r="V1461" s="42" t="s">
        <v>57</v>
      </c>
      <c r="W1461" s="32">
        <v>2050</v>
      </c>
      <c r="X1461" s="43" t="str">
        <f t="shared" si="181"/>
        <v>*0.92</v>
      </c>
      <c r="AC1461" s="33" t="s">
        <v>2335</v>
      </c>
      <c r="AD1461" s="44" t="s">
        <v>57</v>
      </c>
      <c r="AE1461" s="33">
        <v>2035</v>
      </c>
      <c r="AF1461" s="45" t="str">
        <f t="shared" si="182"/>
        <v>*0.93</v>
      </c>
      <c r="AG1461" s="43" t="str">
        <f t="shared" si="184"/>
        <v>REZoning_Sol-Win</v>
      </c>
      <c r="AI1461" s="33" t="s">
        <v>2335</v>
      </c>
      <c r="AJ1461" s="44" t="s">
        <v>57</v>
      </c>
      <c r="AK1461" s="33">
        <v>2050</v>
      </c>
      <c r="AL1461" s="45" t="str">
        <f t="shared" si="183"/>
        <v>*0.89</v>
      </c>
      <c r="AM1461" s="43" t="str">
        <f t="shared" si="185"/>
        <v>REZoning_Sol-Win</v>
      </c>
      <c r="AP1461" t="s">
        <v>2335</v>
      </c>
      <c r="AQ1461" t="s">
        <v>57</v>
      </c>
      <c r="AR1461">
        <v>2100</v>
      </c>
      <c r="AS1461" t="s">
        <v>937</v>
      </c>
      <c r="AT1461" t="s">
        <v>58</v>
      </c>
    </row>
    <row r="1462" ht="29" spans="1:46">
      <c r="A1462" s="31" t="s">
        <v>83</v>
      </c>
      <c r="C1462" t="s">
        <v>2336</v>
      </c>
      <c r="D1462" s="5" t="s">
        <v>57</v>
      </c>
      <c r="E1462">
        <v>2035</v>
      </c>
      <c r="F1462" s="6" t="str">
        <f t="shared" si="178"/>
        <v>*0.95</v>
      </c>
      <c r="H1462" t="s">
        <v>2336</v>
      </c>
      <c r="I1462" s="5" t="s">
        <v>57</v>
      </c>
      <c r="J1462">
        <v>2050</v>
      </c>
      <c r="K1462" s="38" t="str">
        <f t="shared" si="179"/>
        <v>*0.92</v>
      </c>
      <c r="P1462" s="32" t="s">
        <v>2336</v>
      </c>
      <c r="Q1462" s="42" t="s">
        <v>57</v>
      </c>
      <c r="R1462" s="32">
        <v>2035</v>
      </c>
      <c r="S1462" s="43" t="str">
        <f t="shared" si="180"/>
        <v>*0.95</v>
      </c>
      <c r="U1462" s="32" t="s">
        <v>2336</v>
      </c>
      <c r="V1462" s="42" t="s">
        <v>57</v>
      </c>
      <c r="W1462" s="32">
        <v>2050</v>
      </c>
      <c r="X1462" s="43" t="str">
        <f t="shared" si="181"/>
        <v>*0.92</v>
      </c>
      <c r="AC1462" s="33" t="s">
        <v>2336</v>
      </c>
      <c r="AD1462" s="44" t="s">
        <v>57</v>
      </c>
      <c r="AE1462" s="33">
        <v>2035</v>
      </c>
      <c r="AF1462" s="45" t="str">
        <f t="shared" si="182"/>
        <v>*0.93</v>
      </c>
      <c r="AG1462" s="43" t="str">
        <f t="shared" si="184"/>
        <v>REZoning_Sol-Win</v>
      </c>
      <c r="AI1462" s="33" t="s">
        <v>2336</v>
      </c>
      <c r="AJ1462" s="44" t="s">
        <v>57</v>
      </c>
      <c r="AK1462" s="33">
        <v>2050</v>
      </c>
      <c r="AL1462" s="45" t="str">
        <f t="shared" si="183"/>
        <v>*0.89</v>
      </c>
      <c r="AM1462" s="43" t="str">
        <f t="shared" si="185"/>
        <v>REZoning_Sol-Win</v>
      </c>
      <c r="AP1462" t="s">
        <v>2336</v>
      </c>
      <c r="AQ1462" t="s">
        <v>57</v>
      </c>
      <c r="AR1462">
        <v>2100</v>
      </c>
      <c r="AS1462" t="s">
        <v>937</v>
      </c>
      <c r="AT1462" t="s">
        <v>58</v>
      </c>
    </row>
    <row r="1463" ht="29" spans="1:46">
      <c r="A1463" s="31" t="s">
        <v>83</v>
      </c>
      <c r="C1463" t="s">
        <v>2337</v>
      </c>
      <c r="D1463" s="5" t="s">
        <v>57</v>
      </c>
      <c r="E1463">
        <v>2035</v>
      </c>
      <c r="F1463" s="6" t="str">
        <f t="shared" si="178"/>
        <v>*0.95</v>
      </c>
      <c r="H1463" t="s">
        <v>2337</v>
      </c>
      <c r="I1463" s="5" t="s">
        <v>57</v>
      </c>
      <c r="J1463">
        <v>2050</v>
      </c>
      <c r="K1463" s="38" t="str">
        <f t="shared" si="179"/>
        <v>*0.92</v>
      </c>
      <c r="P1463" s="32" t="s">
        <v>2337</v>
      </c>
      <c r="Q1463" s="42" t="s">
        <v>57</v>
      </c>
      <c r="R1463" s="32">
        <v>2035</v>
      </c>
      <c r="S1463" s="43" t="str">
        <f t="shared" si="180"/>
        <v>*0.95</v>
      </c>
      <c r="U1463" s="32" t="s">
        <v>2337</v>
      </c>
      <c r="V1463" s="42" t="s">
        <v>57</v>
      </c>
      <c r="W1463" s="32">
        <v>2050</v>
      </c>
      <c r="X1463" s="43" t="str">
        <f t="shared" si="181"/>
        <v>*0.92</v>
      </c>
      <c r="AC1463" s="33" t="s">
        <v>2337</v>
      </c>
      <c r="AD1463" s="44" t="s">
        <v>57</v>
      </c>
      <c r="AE1463" s="33">
        <v>2035</v>
      </c>
      <c r="AF1463" s="45" t="str">
        <f t="shared" si="182"/>
        <v>*0.93</v>
      </c>
      <c r="AG1463" s="43" t="str">
        <f t="shared" si="184"/>
        <v>REZoning_Sol-Win</v>
      </c>
      <c r="AI1463" s="33" t="s">
        <v>2337</v>
      </c>
      <c r="AJ1463" s="44" t="s">
        <v>57</v>
      </c>
      <c r="AK1463" s="33">
        <v>2050</v>
      </c>
      <c r="AL1463" s="45" t="str">
        <f t="shared" si="183"/>
        <v>*0.89</v>
      </c>
      <c r="AM1463" s="43" t="str">
        <f t="shared" si="185"/>
        <v>REZoning_Sol-Win</v>
      </c>
      <c r="AP1463" t="s">
        <v>2337</v>
      </c>
      <c r="AQ1463" t="s">
        <v>57</v>
      </c>
      <c r="AR1463">
        <v>2100</v>
      </c>
      <c r="AS1463" t="s">
        <v>937</v>
      </c>
      <c r="AT1463" t="s">
        <v>58</v>
      </c>
    </row>
    <row r="1464" ht="29" spans="1:46">
      <c r="A1464" s="31" t="s">
        <v>83</v>
      </c>
      <c r="C1464" t="s">
        <v>2338</v>
      </c>
      <c r="D1464" s="5" t="s">
        <v>57</v>
      </c>
      <c r="E1464">
        <v>2035</v>
      </c>
      <c r="F1464" s="6" t="str">
        <f t="shared" si="178"/>
        <v>*0.95</v>
      </c>
      <c r="H1464" t="s">
        <v>2338</v>
      </c>
      <c r="I1464" s="5" t="s">
        <v>57</v>
      </c>
      <c r="J1464">
        <v>2050</v>
      </c>
      <c r="K1464" s="38" t="str">
        <f t="shared" si="179"/>
        <v>*0.92</v>
      </c>
      <c r="P1464" s="32" t="s">
        <v>2338</v>
      </c>
      <c r="Q1464" s="42" t="s">
        <v>57</v>
      </c>
      <c r="R1464" s="32">
        <v>2035</v>
      </c>
      <c r="S1464" s="43" t="str">
        <f t="shared" si="180"/>
        <v>*0.95</v>
      </c>
      <c r="U1464" s="32" t="s">
        <v>2338</v>
      </c>
      <c r="V1464" s="42" t="s">
        <v>57</v>
      </c>
      <c r="W1464" s="32">
        <v>2050</v>
      </c>
      <c r="X1464" s="43" t="str">
        <f t="shared" si="181"/>
        <v>*0.92</v>
      </c>
      <c r="AC1464" s="33" t="s">
        <v>2338</v>
      </c>
      <c r="AD1464" s="44" t="s">
        <v>57</v>
      </c>
      <c r="AE1464" s="33">
        <v>2035</v>
      </c>
      <c r="AF1464" s="45" t="str">
        <f t="shared" si="182"/>
        <v>*0.93</v>
      </c>
      <c r="AG1464" s="43" t="str">
        <f t="shared" si="184"/>
        <v>REZoning_Sol-Win</v>
      </c>
      <c r="AI1464" s="33" t="s">
        <v>2338</v>
      </c>
      <c r="AJ1464" s="44" t="s">
        <v>57</v>
      </c>
      <c r="AK1464" s="33">
        <v>2050</v>
      </c>
      <c r="AL1464" s="45" t="str">
        <f t="shared" si="183"/>
        <v>*0.89</v>
      </c>
      <c r="AM1464" s="43" t="str">
        <f t="shared" si="185"/>
        <v>REZoning_Sol-Win</v>
      </c>
      <c r="AP1464" t="s">
        <v>2338</v>
      </c>
      <c r="AQ1464" t="s">
        <v>57</v>
      </c>
      <c r="AR1464">
        <v>2100</v>
      </c>
      <c r="AS1464" t="s">
        <v>937</v>
      </c>
      <c r="AT1464" t="s">
        <v>58</v>
      </c>
    </row>
    <row r="1465" ht="29" spans="1:46">
      <c r="A1465" s="31" t="s">
        <v>83</v>
      </c>
      <c r="C1465" t="s">
        <v>2339</v>
      </c>
      <c r="D1465" s="5" t="s">
        <v>57</v>
      </c>
      <c r="E1465">
        <v>2035</v>
      </c>
      <c r="F1465" s="6" t="str">
        <f t="shared" si="178"/>
        <v>*0.95</v>
      </c>
      <c r="H1465" t="s">
        <v>2339</v>
      </c>
      <c r="I1465" s="5" t="s">
        <v>57</v>
      </c>
      <c r="J1465">
        <v>2050</v>
      </c>
      <c r="K1465" s="38" t="str">
        <f t="shared" si="179"/>
        <v>*0.92</v>
      </c>
      <c r="P1465" s="32" t="s">
        <v>2339</v>
      </c>
      <c r="Q1465" s="42" t="s">
        <v>57</v>
      </c>
      <c r="R1465" s="32">
        <v>2035</v>
      </c>
      <c r="S1465" s="43" t="str">
        <f t="shared" si="180"/>
        <v>*0.95</v>
      </c>
      <c r="U1465" s="32" t="s">
        <v>2339</v>
      </c>
      <c r="V1465" s="42" t="s">
        <v>57</v>
      </c>
      <c r="W1465" s="32">
        <v>2050</v>
      </c>
      <c r="X1465" s="43" t="str">
        <f t="shared" si="181"/>
        <v>*0.92</v>
      </c>
      <c r="AC1465" s="33" t="s">
        <v>2339</v>
      </c>
      <c r="AD1465" s="44" t="s">
        <v>57</v>
      </c>
      <c r="AE1465" s="33">
        <v>2035</v>
      </c>
      <c r="AF1465" s="45" t="str">
        <f t="shared" si="182"/>
        <v>*0.93</v>
      </c>
      <c r="AG1465" s="43" t="str">
        <f t="shared" si="184"/>
        <v>REZoning_Sol-Win</v>
      </c>
      <c r="AI1465" s="33" t="s">
        <v>2339</v>
      </c>
      <c r="AJ1465" s="44" t="s">
        <v>57</v>
      </c>
      <c r="AK1465" s="33">
        <v>2050</v>
      </c>
      <c r="AL1465" s="45" t="str">
        <f t="shared" si="183"/>
        <v>*0.89</v>
      </c>
      <c r="AM1465" s="43" t="str">
        <f t="shared" si="185"/>
        <v>REZoning_Sol-Win</v>
      </c>
      <c r="AP1465" t="s">
        <v>2339</v>
      </c>
      <c r="AQ1465" t="s">
        <v>57</v>
      </c>
      <c r="AR1465">
        <v>2100</v>
      </c>
      <c r="AS1465" t="s">
        <v>937</v>
      </c>
      <c r="AT1465" t="s">
        <v>58</v>
      </c>
    </row>
    <row r="1466" ht="29" spans="1:46">
      <c r="A1466" s="31" t="s">
        <v>83</v>
      </c>
      <c r="C1466" t="s">
        <v>2340</v>
      </c>
      <c r="D1466" s="5" t="s">
        <v>57</v>
      </c>
      <c r="E1466">
        <v>2035</v>
      </c>
      <c r="F1466" s="6" t="str">
        <f t="shared" si="178"/>
        <v>*0.95</v>
      </c>
      <c r="H1466" t="s">
        <v>2340</v>
      </c>
      <c r="I1466" s="5" t="s">
        <v>57</v>
      </c>
      <c r="J1466">
        <v>2050</v>
      </c>
      <c r="K1466" s="38" t="str">
        <f t="shared" si="179"/>
        <v>*0.92</v>
      </c>
      <c r="P1466" s="32" t="s">
        <v>2340</v>
      </c>
      <c r="Q1466" s="42" t="s">
        <v>57</v>
      </c>
      <c r="R1466" s="32">
        <v>2035</v>
      </c>
      <c r="S1466" s="43" t="str">
        <f t="shared" si="180"/>
        <v>*0.95</v>
      </c>
      <c r="U1466" s="32" t="s">
        <v>2340</v>
      </c>
      <c r="V1466" s="42" t="s">
        <v>57</v>
      </c>
      <c r="W1466" s="32">
        <v>2050</v>
      </c>
      <c r="X1466" s="43" t="str">
        <f t="shared" si="181"/>
        <v>*0.92</v>
      </c>
      <c r="AC1466" s="33" t="s">
        <v>2340</v>
      </c>
      <c r="AD1466" s="44" t="s">
        <v>57</v>
      </c>
      <c r="AE1466" s="33">
        <v>2035</v>
      </c>
      <c r="AF1466" s="45" t="str">
        <f t="shared" si="182"/>
        <v>*0.93</v>
      </c>
      <c r="AG1466" s="43" t="str">
        <f t="shared" si="184"/>
        <v>REZoning_Sol-Win</v>
      </c>
      <c r="AI1466" s="33" t="s">
        <v>2340</v>
      </c>
      <c r="AJ1466" s="44" t="s">
        <v>57</v>
      </c>
      <c r="AK1466" s="33">
        <v>2050</v>
      </c>
      <c r="AL1466" s="45" t="str">
        <f t="shared" si="183"/>
        <v>*0.89</v>
      </c>
      <c r="AM1466" s="43" t="str">
        <f t="shared" si="185"/>
        <v>REZoning_Sol-Win</v>
      </c>
      <c r="AP1466" t="s">
        <v>2340</v>
      </c>
      <c r="AQ1466" t="s">
        <v>57</v>
      </c>
      <c r="AR1466">
        <v>2100</v>
      </c>
      <c r="AS1466" t="s">
        <v>937</v>
      </c>
      <c r="AT1466" t="s">
        <v>58</v>
      </c>
    </row>
    <row r="1467" ht="29" spans="1:46">
      <c r="A1467" s="31" t="s">
        <v>83</v>
      </c>
      <c r="C1467" t="s">
        <v>2341</v>
      </c>
      <c r="D1467" s="5" t="s">
        <v>57</v>
      </c>
      <c r="E1467">
        <v>2035</v>
      </c>
      <c r="F1467" s="6" t="str">
        <f t="shared" si="178"/>
        <v>*0.95</v>
      </c>
      <c r="H1467" t="s">
        <v>2341</v>
      </c>
      <c r="I1467" s="5" t="s">
        <v>57</v>
      </c>
      <c r="J1467">
        <v>2050</v>
      </c>
      <c r="K1467" s="38" t="str">
        <f t="shared" si="179"/>
        <v>*0.92</v>
      </c>
      <c r="P1467" s="32" t="s">
        <v>2341</v>
      </c>
      <c r="Q1467" s="42" t="s">
        <v>57</v>
      </c>
      <c r="R1467" s="32">
        <v>2035</v>
      </c>
      <c r="S1467" s="43" t="str">
        <f t="shared" si="180"/>
        <v>*0.95</v>
      </c>
      <c r="U1467" s="32" t="s">
        <v>2341</v>
      </c>
      <c r="V1467" s="42" t="s">
        <v>57</v>
      </c>
      <c r="W1467" s="32">
        <v>2050</v>
      </c>
      <c r="X1467" s="43" t="str">
        <f t="shared" si="181"/>
        <v>*0.92</v>
      </c>
      <c r="AC1467" s="33" t="s">
        <v>2341</v>
      </c>
      <c r="AD1467" s="44" t="s">
        <v>57</v>
      </c>
      <c r="AE1467" s="33">
        <v>2035</v>
      </c>
      <c r="AF1467" s="45" t="str">
        <f t="shared" si="182"/>
        <v>*0.93</v>
      </c>
      <c r="AG1467" s="43" t="str">
        <f t="shared" si="184"/>
        <v>REZoning_Sol-Win</v>
      </c>
      <c r="AI1467" s="33" t="s">
        <v>2341</v>
      </c>
      <c r="AJ1467" s="44" t="s">
        <v>57</v>
      </c>
      <c r="AK1467" s="33">
        <v>2050</v>
      </c>
      <c r="AL1467" s="45" t="str">
        <f t="shared" si="183"/>
        <v>*0.89</v>
      </c>
      <c r="AM1467" s="43" t="str">
        <f t="shared" si="185"/>
        <v>REZoning_Sol-Win</v>
      </c>
      <c r="AP1467" t="s">
        <v>2341</v>
      </c>
      <c r="AQ1467" t="s">
        <v>57</v>
      </c>
      <c r="AR1467">
        <v>2100</v>
      </c>
      <c r="AS1467" t="s">
        <v>937</v>
      </c>
      <c r="AT1467" t="s">
        <v>58</v>
      </c>
    </row>
    <row r="1468" ht="29" spans="1:46">
      <c r="A1468" s="31" t="s">
        <v>83</v>
      </c>
      <c r="C1468" t="s">
        <v>2342</v>
      </c>
      <c r="D1468" s="5" t="s">
        <v>57</v>
      </c>
      <c r="E1468">
        <v>2035</v>
      </c>
      <c r="F1468" s="6" t="str">
        <f t="shared" si="178"/>
        <v>*0.95</v>
      </c>
      <c r="H1468" t="s">
        <v>2342</v>
      </c>
      <c r="I1468" s="5" t="s">
        <v>57</v>
      </c>
      <c r="J1468">
        <v>2050</v>
      </c>
      <c r="K1468" s="38" t="str">
        <f t="shared" si="179"/>
        <v>*0.92</v>
      </c>
      <c r="P1468" s="32" t="s">
        <v>2342</v>
      </c>
      <c r="Q1468" s="42" t="s">
        <v>57</v>
      </c>
      <c r="R1468" s="32">
        <v>2035</v>
      </c>
      <c r="S1468" s="43" t="str">
        <f t="shared" si="180"/>
        <v>*0.95</v>
      </c>
      <c r="U1468" s="32" t="s">
        <v>2342</v>
      </c>
      <c r="V1468" s="42" t="s">
        <v>57</v>
      </c>
      <c r="W1468" s="32">
        <v>2050</v>
      </c>
      <c r="X1468" s="43" t="str">
        <f t="shared" si="181"/>
        <v>*0.92</v>
      </c>
      <c r="AC1468" s="33" t="s">
        <v>2342</v>
      </c>
      <c r="AD1468" s="44" t="s">
        <v>57</v>
      </c>
      <c r="AE1468" s="33">
        <v>2035</v>
      </c>
      <c r="AF1468" s="45" t="str">
        <f t="shared" si="182"/>
        <v>*0.93</v>
      </c>
      <c r="AG1468" s="43" t="str">
        <f t="shared" si="184"/>
        <v>REZoning_Sol-Win</v>
      </c>
      <c r="AI1468" s="33" t="s">
        <v>2342</v>
      </c>
      <c r="AJ1468" s="44" t="s">
        <v>57</v>
      </c>
      <c r="AK1468" s="33">
        <v>2050</v>
      </c>
      <c r="AL1468" s="45" t="str">
        <f t="shared" si="183"/>
        <v>*0.89</v>
      </c>
      <c r="AM1468" s="43" t="str">
        <f t="shared" si="185"/>
        <v>REZoning_Sol-Win</v>
      </c>
      <c r="AP1468" t="s">
        <v>2342</v>
      </c>
      <c r="AQ1468" t="s">
        <v>57</v>
      </c>
      <c r="AR1468">
        <v>2100</v>
      </c>
      <c r="AS1468" t="s">
        <v>937</v>
      </c>
      <c r="AT1468" t="s">
        <v>58</v>
      </c>
    </row>
    <row r="1469" ht="29" spans="1:46">
      <c r="A1469" s="31" t="s">
        <v>83</v>
      </c>
      <c r="C1469" t="s">
        <v>2343</v>
      </c>
      <c r="D1469" s="5" t="s">
        <v>57</v>
      </c>
      <c r="E1469">
        <v>2035</v>
      </c>
      <c r="F1469" s="6" t="str">
        <f t="shared" si="178"/>
        <v>*0.95</v>
      </c>
      <c r="H1469" t="s">
        <v>2343</v>
      </c>
      <c r="I1469" s="5" t="s">
        <v>57</v>
      </c>
      <c r="J1469">
        <v>2050</v>
      </c>
      <c r="K1469" s="38" t="str">
        <f t="shared" si="179"/>
        <v>*0.92</v>
      </c>
      <c r="P1469" s="32" t="s">
        <v>2343</v>
      </c>
      <c r="Q1469" s="42" t="s">
        <v>57</v>
      </c>
      <c r="R1469" s="32">
        <v>2035</v>
      </c>
      <c r="S1469" s="43" t="str">
        <f t="shared" si="180"/>
        <v>*0.95</v>
      </c>
      <c r="U1469" s="32" t="s">
        <v>2343</v>
      </c>
      <c r="V1469" s="42" t="s">
        <v>57</v>
      </c>
      <c r="W1469" s="32">
        <v>2050</v>
      </c>
      <c r="X1469" s="43" t="str">
        <f t="shared" si="181"/>
        <v>*0.92</v>
      </c>
      <c r="AC1469" s="33" t="s">
        <v>2343</v>
      </c>
      <c r="AD1469" s="44" t="s">
        <v>57</v>
      </c>
      <c r="AE1469" s="33">
        <v>2035</v>
      </c>
      <c r="AF1469" s="45" t="str">
        <f t="shared" si="182"/>
        <v>*0.93</v>
      </c>
      <c r="AG1469" s="43" t="str">
        <f t="shared" si="184"/>
        <v>REZoning_Sol-Win</v>
      </c>
      <c r="AI1469" s="33" t="s">
        <v>2343</v>
      </c>
      <c r="AJ1469" s="44" t="s">
        <v>57</v>
      </c>
      <c r="AK1469" s="33">
        <v>2050</v>
      </c>
      <c r="AL1469" s="45" t="str">
        <f t="shared" si="183"/>
        <v>*0.89</v>
      </c>
      <c r="AM1469" s="43" t="str">
        <f t="shared" si="185"/>
        <v>REZoning_Sol-Win</v>
      </c>
      <c r="AP1469" t="s">
        <v>2343</v>
      </c>
      <c r="AQ1469" t="s">
        <v>57</v>
      </c>
      <c r="AR1469">
        <v>2100</v>
      </c>
      <c r="AS1469" t="s">
        <v>937</v>
      </c>
      <c r="AT1469" t="s">
        <v>58</v>
      </c>
    </row>
    <row r="1470" ht="29" spans="1:46">
      <c r="A1470" s="31" t="s">
        <v>83</v>
      </c>
      <c r="C1470" t="s">
        <v>2344</v>
      </c>
      <c r="D1470" s="5" t="s">
        <v>57</v>
      </c>
      <c r="E1470">
        <v>2035</v>
      </c>
      <c r="F1470" s="6" t="str">
        <f t="shared" si="178"/>
        <v>*0.95</v>
      </c>
      <c r="H1470" t="s">
        <v>2344</v>
      </c>
      <c r="I1470" s="5" t="s">
        <v>57</v>
      </c>
      <c r="J1470">
        <v>2050</v>
      </c>
      <c r="K1470" s="38" t="str">
        <f t="shared" si="179"/>
        <v>*0.92</v>
      </c>
      <c r="P1470" s="32" t="s">
        <v>2344</v>
      </c>
      <c r="Q1470" s="42" t="s">
        <v>57</v>
      </c>
      <c r="R1470" s="32">
        <v>2035</v>
      </c>
      <c r="S1470" s="43" t="str">
        <f t="shared" si="180"/>
        <v>*0.95</v>
      </c>
      <c r="U1470" s="32" t="s">
        <v>2344</v>
      </c>
      <c r="V1470" s="42" t="s">
        <v>57</v>
      </c>
      <c r="W1470" s="32">
        <v>2050</v>
      </c>
      <c r="X1470" s="43" t="str">
        <f t="shared" si="181"/>
        <v>*0.92</v>
      </c>
      <c r="AC1470" s="33" t="s">
        <v>2344</v>
      </c>
      <c r="AD1470" s="44" t="s">
        <v>57</v>
      </c>
      <c r="AE1470" s="33">
        <v>2035</v>
      </c>
      <c r="AF1470" s="45" t="str">
        <f t="shared" si="182"/>
        <v>*0.93</v>
      </c>
      <c r="AG1470" s="43" t="str">
        <f t="shared" si="184"/>
        <v>REZoning_Sol-Win</v>
      </c>
      <c r="AI1470" s="33" t="s">
        <v>2344</v>
      </c>
      <c r="AJ1470" s="44" t="s">
        <v>57</v>
      </c>
      <c r="AK1470" s="33">
        <v>2050</v>
      </c>
      <c r="AL1470" s="45" t="str">
        <f t="shared" si="183"/>
        <v>*0.89</v>
      </c>
      <c r="AM1470" s="43" t="str">
        <f t="shared" si="185"/>
        <v>REZoning_Sol-Win</v>
      </c>
      <c r="AP1470" t="s">
        <v>2344</v>
      </c>
      <c r="AQ1470" t="s">
        <v>57</v>
      </c>
      <c r="AR1470">
        <v>2100</v>
      </c>
      <c r="AS1470" t="s">
        <v>937</v>
      </c>
      <c r="AT1470" t="s">
        <v>58</v>
      </c>
    </row>
    <row r="1471" ht="29" spans="1:46">
      <c r="A1471" s="31" t="s">
        <v>83</v>
      </c>
      <c r="C1471" t="s">
        <v>2345</v>
      </c>
      <c r="D1471" s="5" t="s">
        <v>57</v>
      </c>
      <c r="E1471">
        <v>2035</v>
      </c>
      <c r="F1471" s="6" t="str">
        <f t="shared" si="178"/>
        <v>*0.95</v>
      </c>
      <c r="H1471" t="s">
        <v>2345</v>
      </c>
      <c r="I1471" s="5" t="s">
        <v>57</v>
      </c>
      <c r="J1471">
        <v>2050</v>
      </c>
      <c r="K1471" s="38" t="str">
        <f t="shared" si="179"/>
        <v>*0.92</v>
      </c>
      <c r="P1471" s="32" t="s">
        <v>2345</v>
      </c>
      <c r="Q1471" s="42" t="s">
        <v>57</v>
      </c>
      <c r="R1471" s="32">
        <v>2035</v>
      </c>
      <c r="S1471" s="43" t="str">
        <f t="shared" si="180"/>
        <v>*0.95</v>
      </c>
      <c r="U1471" s="32" t="s">
        <v>2345</v>
      </c>
      <c r="V1471" s="42" t="s">
        <v>57</v>
      </c>
      <c r="W1471" s="32">
        <v>2050</v>
      </c>
      <c r="X1471" s="43" t="str">
        <f t="shared" si="181"/>
        <v>*0.92</v>
      </c>
      <c r="AC1471" s="33" t="s">
        <v>2345</v>
      </c>
      <c r="AD1471" s="44" t="s">
        <v>57</v>
      </c>
      <c r="AE1471" s="33">
        <v>2035</v>
      </c>
      <c r="AF1471" s="45" t="str">
        <f t="shared" si="182"/>
        <v>*0.93</v>
      </c>
      <c r="AG1471" s="43" t="str">
        <f t="shared" si="184"/>
        <v>REZoning_Sol-Win</v>
      </c>
      <c r="AI1471" s="33" t="s">
        <v>2345</v>
      </c>
      <c r="AJ1471" s="44" t="s">
        <v>57</v>
      </c>
      <c r="AK1471" s="33">
        <v>2050</v>
      </c>
      <c r="AL1471" s="45" t="str">
        <f t="shared" si="183"/>
        <v>*0.89</v>
      </c>
      <c r="AM1471" s="43" t="str">
        <f t="shared" si="185"/>
        <v>REZoning_Sol-Win</v>
      </c>
      <c r="AP1471" t="s">
        <v>2345</v>
      </c>
      <c r="AQ1471" t="s">
        <v>57</v>
      </c>
      <c r="AR1471">
        <v>2100</v>
      </c>
      <c r="AS1471" t="s">
        <v>937</v>
      </c>
      <c r="AT1471" t="s">
        <v>58</v>
      </c>
    </row>
    <row r="1472" ht="29" spans="1:46">
      <c r="A1472" s="31" t="s">
        <v>83</v>
      </c>
      <c r="C1472" t="s">
        <v>2346</v>
      </c>
      <c r="D1472" s="5" t="s">
        <v>57</v>
      </c>
      <c r="E1472">
        <v>2035</v>
      </c>
      <c r="F1472" s="6" t="str">
        <f t="shared" si="178"/>
        <v>*0.95</v>
      </c>
      <c r="H1472" t="s">
        <v>2346</v>
      </c>
      <c r="I1472" s="5" t="s">
        <v>57</v>
      </c>
      <c r="J1472">
        <v>2050</v>
      </c>
      <c r="K1472" s="38" t="str">
        <f t="shared" si="179"/>
        <v>*0.92</v>
      </c>
      <c r="P1472" s="32" t="s">
        <v>2346</v>
      </c>
      <c r="Q1472" s="42" t="s">
        <v>57</v>
      </c>
      <c r="R1472" s="32">
        <v>2035</v>
      </c>
      <c r="S1472" s="43" t="str">
        <f t="shared" si="180"/>
        <v>*0.95</v>
      </c>
      <c r="U1472" s="32" t="s">
        <v>2346</v>
      </c>
      <c r="V1472" s="42" t="s">
        <v>57</v>
      </c>
      <c r="W1472" s="32">
        <v>2050</v>
      </c>
      <c r="X1472" s="43" t="str">
        <f t="shared" si="181"/>
        <v>*0.92</v>
      </c>
      <c r="AC1472" s="33" t="s">
        <v>2346</v>
      </c>
      <c r="AD1472" s="44" t="s">
        <v>57</v>
      </c>
      <c r="AE1472" s="33">
        <v>2035</v>
      </c>
      <c r="AF1472" s="45" t="str">
        <f t="shared" si="182"/>
        <v>*0.93</v>
      </c>
      <c r="AG1472" s="43" t="str">
        <f t="shared" si="184"/>
        <v>REZoning_Sol-Win</v>
      </c>
      <c r="AI1472" s="33" t="s">
        <v>2346</v>
      </c>
      <c r="AJ1472" s="44" t="s">
        <v>57</v>
      </c>
      <c r="AK1472" s="33">
        <v>2050</v>
      </c>
      <c r="AL1472" s="45" t="str">
        <f t="shared" si="183"/>
        <v>*0.89</v>
      </c>
      <c r="AM1472" s="43" t="str">
        <f t="shared" si="185"/>
        <v>REZoning_Sol-Win</v>
      </c>
      <c r="AP1472" t="s">
        <v>2346</v>
      </c>
      <c r="AQ1472" t="s">
        <v>57</v>
      </c>
      <c r="AR1472">
        <v>2100</v>
      </c>
      <c r="AS1472" t="s">
        <v>937</v>
      </c>
      <c r="AT1472" t="s">
        <v>58</v>
      </c>
    </row>
    <row r="1473" ht="29" spans="1:46">
      <c r="A1473" s="31" t="s">
        <v>83</v>
      </c>
      <c r="C1473" t="s">
        <v>2347</v>
      </c>
      <c r="D1473" s="5" t="s">
        <v>57</v>
      </c>
      <c r="E1473">
        <v>2035</v>
      </c>
      <c r="F1473" s="6" t="str">
        <f t="shared" si="178"/>
        <v>*0.95</v>
      </c>
      <c r="H1473" t="s">
        <v>2347</v>
      </c>
      <c r="I1473" s="5" t="s">
        <v>57</v>
      </c>
      <c r="J1473">
        <v>2050</v>
      </c>
      <c r="K1473" s="38" t="str">
        <f t="shared" si="179"/>
        <v>*0.92</v>
      </c>
      <c r="P1473" s="32" t="s">
        <v>2347</v>
      </c>
      <c r="Q1473" s="42" t="s">
        <v>57</v>
      </c>
      <c r="R1473" s="32">
        <v>2035</v>
      </c>
      <c r="S1473" s="43" t="str">
        <f t="shared" si="180"/>
        <v>*0.95</v>
      </c>
      <c r="U1473" s="32" t="s">
        <v>2347</v>
      </c>
      <c r="V1473" s="42" t="s">
        <v>57</v>
      </c>
      <c r="W1473" s="32">
        <v>2050</v>
      </c>
      <c r="X1473" s="43" t="str">
        <f t="shared" si="181"/>
        <v>*0.92</v>
      </c>
      <c r="AC1473" s="33" t="s">
        <v>2347</v>
      </c>
      <c r="AD1473" s="44" t="s">
        <v>57</v>
      </c>
      <c r="AE1473" s="33">
        <v>2035</v>
      </c>
      <c r="AF1473" s="45" t="str">
        <f t="shared" si="182"/>
        <v>*0.93</v>
      </c>
      <c r="AG1473" s="43" t="str">
        <f t="shared" si="184"/>
        <v>REZoning_Sol-Win</v>
      </c>
      <c r="AI1473" s="33" t="s">
        <v>2347</v>
      </c>
      <c r="AJ1473" s="44" t="s">
        <v>57</v>
      </c>
      <c r="AK1473" s="33">
        <v>2050</v>
      </c>
      <c r="AL1473" s="45" t="str">
        <f t="shared" si="183"/>
        <v>*0.89</v>
      </c>
      <c r="AM1473" s="43" t="str">
        <f t="shared" si="185"/>
        <v>REZoning_Sol-Win</v>
      </c>
      <c r="AP1473" t="s">
        <v>2347</v>
      </c>
      <c r="AQ1473" t="s">
        <v>57</v>
      </c>
      <c r="AR1473">
        <v>2100</v>
      </c>
      <c r="AS1473" t="s">
        <v>937</v>
      </c>
      <c r="AT1473" t="s">
        <v>58</v>
      </c>
    </row>
    <row r="1474" ht="29" spans="1:46">
      <c r="A1474" s="31" t="s">
        <v>83</v>
      </c>
      <c r="C1474" t="s">
        <v>2348</v>
      </c>
      <c r="D1474" s="5" t="s">
        <v>57</v>
      </c>
      <c r="E1474">
        <v>2035</v>
      </c>
      <c r="F1474" s="6" t="str">
        <f t="shared" si="178"/>
        <v>*0.95</v>
      </c>
      <c r="H1474" t="s">
        <v>2348</v>
      </c>
      <c r="I1474" s="5" t="s">
        <v>57</v>
      </c>
      <c r="J1474">
        <v>2050</v>
      </c>
      <c r="K1474" s="38" t="str">
        <f t="shared" si="179"/>
        <v>*0.92</v>
      </c>
      <c r="P1474" s="32" t="s">
        <v>2348</v>
      </c>
      <c r="Q1474" s="42" t="s">
        <v>57</v>
      </c>
      <c r="R1474" s="32">
        <v>2035</v>
      </c>
      <c r="S1474" s="43" t="str">
        <f t="shared" si="180"/>
        <v>*0.95</v>
      </c>
      <c r="U1474" s="32" t="s">
        <v>2348</v>
      </c>
      <c r="V1474" s="42" t="s">
        <v>57</v>
      </c>
      <c r="W1474" s="32">
        <v>2050</v>
      </c>
      <c r="X1474" s="43" t="str">
        <f t="shared" si="181"/>
        <v>*0.92</v>
      </c>
      <c r="AC1474" s="33" t="s">
        <v>2348</v>
      </c>
      <c r="AD1474" s="44" t="s">
        <v>57</v>
      </c>
      <c r="AE1474" s="33">
        <v>2035</v>
      </c>
      <c r="AF1474" s="45" t="str">
        <f t="shared" si="182"/>
        <v>*0.93</v>
      </c>
      <c r="AG1474" s="43" t="str">
        <f t="shared" si="184"/>
        <v>REZoning_Sol-Win</v>
      </c>
      <c r="AI1474" s="33" t="s">
        <v>2348</v>
      </c>
      <c r="AJ1474" s="44" t="s">
        <v>57</v>
      </c>
      <c r="AK1474" s="33">
        <v>2050</v>
      </c>
      <c r="AL1474" s="45" t="str">
        <f t="shared" si="183"/>
        <v>*0.89</v>
      </c>
      <c r="AM1474" s="43" t="str">
        <f t="shared" si="185"/>
        <v>REZoning_Sol-Win</v>
      </c>
      <c r="AP1474" t="s">
        <v>2348</v>
      </c>
      <c r="AQ1474" t="s">
        <v>57</v>
      </c>
      <c r="AR1474">
        <v>2100</v>
      </c>
      <c r="AS1474" t="s">
        <v>937</v>
      </c>
      <c r="AT1474" t="s">
        <v>58</v>
      </c>
    </row>
    <row r="1475" ht="29" spans="1:46">
      <c r="A1475" s="31" t="s">
        <v>83</v>
      </c>
      <c r="C1475" t="s">
        <v>2349</v>
      </c>
      <c r="D1475" s="5" t="s">
        <v>57</v>
      </c>
      <c r="E1475">
        <v>2035</v>
      </c>
      <c r="F1475" s="6" t="str">
        <f t="shared" si="178"/>
        <v>*0.95</v>
      </c>
      <c r="H1475" t="s">
        <v>2349</v>
      </c>
      <c r="I1475" s="5" t="s">
        <v>57</v>
      </c>
      <c r="J1475">
        <v>2050</v>
      </c>
      <c r="K1475" s="38" t="str">
        <f t="shared" si="179"/>
        <v>*0.92</v>
      </c>
      <c r="P1475" s="32" t="s">
        <v>2349</v>
      </c>
      <c r="Q1475" s="42" t="s">
        <v>57</v>
      </c>
      <c r="R1475" s="32">
        <v>2035</v>
      </c>
      <c r="S1475" s="43" t="str">
        <f t="shared" si="180"/>
        <v>*0.95</v>
      </c>
      <c r="U1475" s="32" t="s">
        <v>2349</v>
      </c>
      <c r="V1475" s="42" t="s">
        <v>57</v>
      </c>
      <c r="W1475" s="32">
        <v>2050</v>
      </c>
      <c r="X1475" s="43" t="str">
        <f t="shared" si="181"/>
        <v>*0.92</v>
      </c>
      <c r="AC1475" s="33" t="s">
        <v>2349</v>
      </c>
      <c r="AD1475" s="44" t="s">
        <v>57</v>
      </c>
      <c r="AE1475" s="33">
        <v>2035</v>
      </c>
      <c r="AF1475" s="45" t="str">
        <f t="shared" si="182"/>
        <v>*0.93</v>
      </c>
      <c r="AG1475" s="43" t="str">
        <f t="shared" si="184"/>
        <v>REZoning_Sol-Win</v>
      </c>
      <c r="AI1475" s="33" t="s">
        <v>2349</v>
      </c>
      <c r="AJ1475" s="44" t="s">
        <v>57</v>
      </c>
      <c r="AK1475" s="33">
        <v>2050</v>
      </c>
      <c r="AL1475" s="45" t="str">
        <f t="shared" si="183"/>
        <v>*0.89</v>
      </c>
      <c r="AM1475" s="43" t="str">
        <f t="shared" si="185"/>
        <v>REZoning_Sol-Win</v>
      </c>
      <c r="AP1475" t="s">
        <v>2349</v>
      </c>
      <c r="AQ1475" t="s">
        <v>57</v>
      </c>
      <c r="AR1475">
        <v>2100</v>
      </c>
      <c r="AS1475" t="s">
        <v>937</v>
      </c>
      <c r="AT1475" t="s">
        <v>58</v>
      </c>
    </row>
    <row r="1476" ht="29" spans="1:46">
      <c r="A1476" s="31" t="s">
        <v>83</v>
      </c>
      <c r="C1476" t="s">
        <v>2350</v>
      </c>
      <c r="D1476" s="5" t="s">
        <v>57</v>
      </c>
      <c r="E1476">
        <v>2035</v>
      </c>
      <c r="F1476" s="6" t="str">
        <f t="shared" ref="F1476:F1539" si="186">"*"&amp;IF(AND(A1476="EU",E1476=2035),0.95,IF(AND(A1476="EU",E1476=2050),0.93,IF(AND(A1476="USA",E1476=2035),0.96,IF(AND(A1476="USA",E1476=2050),0.94,IF(AND(A1476="Japan",E1476=2035),0.94,IF(AND(A1476="Japan",E1476=2050),0.92,IF(AND(A1476="Russia",E1476=2035),0.95,IF(AND(A1476="Russia",E1476=2050),0.93,IF(AND(A1476="China",E1476=2035),0.94,IF(AND(A1476="China",E1476=2050),0.92,IF(AND(A1476="India",E1476=2035),0.95,IF(AND(A1476="India",E1476=2050),0.92,IF(AND(A1476="Middle East",E1476=2035),0.94,IF(AND(A1476="Middle East",E1476=2050),0.9,IF(AND(A1476="Africa",E1476=2035),0.94,IF(AND(A1476="Africa",E1476=2050),0.91,IF(AND(A1476="Brazil",E1476=2035),0.95,IF(AND(A1476="Brazil",E1476=2050),0.92,""))))))))))))))))))</f>
        <v>*0.95</v>
      </c>
      <c r="H1476" t="s">
        <v>2350</v>
      </c>
      <c r="I1476" s="5" t="s">
        <v>57</v>
      </c>
      <c r="J1476">
        <v>2050</v>
      </c>
      <c r="K1476" s="38" t="str">
        <f t="shared" ref="K1476:K1539" si="187">"*"&amp;IF(AND(A1476="EU",J1476=2035),0.95,IF(AND(A1476="EU",J1476=2050),0.93,IF(AND(A1476="USA",J1476=2035),0.96,IF(AND(A1476="USA",J1476=2050),0.94,IF(AND(A1476="Japan",J1476=2035),0.94,IF(AND(A1476="Japan",J1476=2050),0.92,IF(AND(A1476="Russia",J1476=2035),0.95,IF(AND(A1476="Russia",J1476=2050),0.93,IF(AND(A1476="China",J1476=2035),0.94,IF(AND(A1476="China",J1476=2050),0.92,IF(AND(A1476="India",J1476=2035),0.95,IF(AND(A1476="India",J1476=2050),0.92,IF(AND(A1476="Middle East",J1476=2035),0.94,IF(AND(A1476="Middle East",J1476=2050),0.9,IF(AND(A1476="Africa",J1476=2035),0.94,IF(AND(A1476="Africa",J1476=2050),0.91,IF(AND(A1476="Brazil",J1476=2035),0.95,IF(AND(A1476="Brazil",J1476=2050),0.92,""))))))))))))))))))</f>
        <v>*0.92</v>
      </c>
      <c r="P1476" s="32" t="s">
        <v>2350</v>
      </c>
      <c r="Q1476" s="42" t="s">
        <v>57</v>
      </c>
      <c r="R1476" s="32">
        <v>2035</v>
      </c>
      <c r="S1476" s="43" t="str">
        <f t="shared" ref="S1476:S1539" si="188">"*"&amp;IF(AND(A1476="EU",R1476=2035),0.95,IF(AND(A1476="EU",R1476=2050),0.93,IF(AND(A1476="USA",R1476=2035),0.96,IF(AND(A1476="USA",R1476=2050),0.93,IF(AND(A1476="Japan",R1476=2035),0.94,IF(AND(A1476="Japan",R1476=2050),0.92,IF(AND(A1476="Russia",R1476=2035),0.95,IF(AND(A1476="Russia",R1476=2050),0.91,IF(AND(A1476="China",R1476=2035),0.93,IF(AND(A1476="China",R1476=2050),0.92,IF(AND(A1476="India",R1476=2035),0.94,IF(AND(A1476="India",R1476=2050),0.91,IF(AND(A1476="Middle East",R1476=2035),0.92,IF(AND(A1476="Middle East",R1476=2050),0.89,IF(AND(A1476="Africa",R1476=2035),0.93,IF(AND(A1476="Africa",R1476=2050),0.9,IF(AND(A1476="Brazil",R1476=2035),0.95,IF(AND(A1476="Brazil",R1476=2050),0.92,""))))))))))))))))))</f>
        <v>*0.95</v>
      </c>
      <c r="U1476" s="32" t="s">
        <v>2350</v>
      </c>
      <c r="V1476" s="42" t="s">
        <v>57</v>
      </c>
      <c r="W1476" s="32">
        <v>2050</v>
      </c>
      <c r="X1476" s="43" t="str">
        <f t="shared" ref="X1476:X1539" si="189">"*"&amp;IF(AND(A1476="EU",W1476=2035),0.95,IF(AND(A1476="EU",W1476=2050),0.93,IF(AND(A1476="USA",W1476=2035),0.96,IF(AND(A1476="USA",W1476=2050),0.93,IF(AND(A1476="Japan",W1476=2035),0.94,IF(AND(A1476="Japan",W1476=2050),0.92,IF(AND(A1476="Russia",W1476=2035),0.95,IF(AND(A1476="Russia",W1476=2050),0.91,IF(AND(A1476="China",W1476=2035),0.93,IF(AND(A1476="China",W1476=2050),0.92,IF(AND(A1476="India",W1476=2035),0.94,IF(AND(A1476="India",W1476=2050),0.91,IF(AND(A1476="Middle East",W1476=2035),0.92,IF(AND(A1476="Middle East",W1476=2050),0.89,IF(AND(A1476="Africa",W1476=2035),0.93,IF(AND(A1476="Africa",W1476=2050),0.9,IF(AND(A1476="Brazil",W1476=2035),0.95,IF(AND(A1476="Brazil",W1476=2050),0.92,""))))))))))))))))))</f>
        <v>*0.92</v>
      </c>
      <c r="AC1476" s="33" t="s">
        <v>2350</v>
      </c>
      <c r="AD1476" s="44" t="s">
        <v>57</v>
      </c>
      <c r="AE1476" s="33">
        <v>2035</v>
      </c>
      <c r="AF1476" s="45" t="str">
        <f t="shared" ref="AF1476:AF1539" si="190">"*"&amp;IF(AND(A1476="EU",AE1476=2035),0.93,IF(AND(A1476="EU",AE1476=2050),0.9,IF(AND(A1476="USA",AE1476=2035),0.92,IF(AND(A1476="USA",AE1476=2050),0.89,IF(AND(A1476="Japan",AE1476=2035),0.92,IF(AND(A1476="Japan",AE1476=2050),0.89,IF(AND(A1476="Russia",AE1476=2035),0.91,IF(AND(A1476="Russia",AE1476=2050),0.86,IF(AND(A1476="China",AE1476=2035),0.91,IF(AND(A1476="China",AE1476=2050),0.87,IF(AND(A1476="India",AE1476=2035),0.92,IF(AND(A1476="India",AE1476=2050),0.87,IF(AND(A1476="Middle East",AE1476=2035),0.89,IF(AND(A1476="Middle East",AE1476=2050),0.84,IF(AND(A1476="Africa",AE1476=2035),0.9,IF(AND(A1476="Africa",AE1476=2050),0.86,IF(AND(A1476="Brazil",AE1476=2035),0.93,IF(AND(A1476="Brazil",AE1476=2050),0.89,""))))))))))))))))))</f>
        <v>*0.93</v>
      </c>
      <c r="AG1476" s="43" t="str">
        <f t="shared" si="184"/>
        <v>REZoning_Sol-Win</v>
      </c>
      <c r="AI1476" s="33" t="s">
        <v>2350</v>
      </c>
      <c r="AJ1476" s="44" t="s">
        <v>57</v>
      </c>
      <c r="AK1476" s="33">
        <v>2050</v>
      </c>
      <c r="AL1476" s="45" t="str">
        <f t="shared" ref="AL1476:AL1539" si="191">"*"&amp;IF(AND(A1476="EU",AK1476=2035),0.93,IF(AND(A1476="EU",AK1476=2050),0.9,IF(AND(A1476="USA",AK1476=2035),0.92,IF(AND(A1476="USA",AK1476=2050),0.89,IF(AND(A1476="Japan",AK1476=2035),0.92,IF(AND(A1476="Japan",AK1476=2050),0.89,IF(AND(A1476="Russia",AK1476=2035),0.91,IF(AND(A1476="Russia",AK1476=2050),0.86,IF(AND(A1476="China",AK1476=2035),0.91,IF(AND(A1476="China",AK1476=2050),0.87,IF(AND(A1476="India",AK1476=2035),0.92,IF(AND(A1476="India",AK1476=2050),0.87,IF(AND(A1476="Middle East",AK1476=2035),0.89,IF(AND(A1476="Middle East",AK1476=2050),0.84,IF(AND(A1476="Africa",AK1476=2035),0.9,IF(AND(A1476="Africa",AK1476=2050),0.86,IF(AND(A1476="Brazil",AK1476=2035),0.93,IF(AND(A1476="Brazil",AK1476=2050),0.89,""))))))))))))))))))</f>
        <v>*0.89</v>
      </c>
      <c r="AM1476" s="43" t="str">
        <f t="shared" si="185"/>
        <v>REZoning_Sol-Win</v>
      </c>
      <c r="AP1476" t="s">
        <v>2350</v>
      </c>
      <c r="AQ1476" t="s">
        <v>57</v>
      </c>
      <c r="AR1476">
        <v>2100</v>
      </c>
      <c r="AS1476" t="s">
        <v>937</v>
      </c>
      <c r="AT1476" t="s">
        <v>58</v>
      </c>
    </row>
    <row r="1477" ht="29" spans="1:46">
      <c r="A1477" s="31" t="s">
        <v>83</v>
      </c>
      <c r="C1477" t="s">
        <v>2351</v>
      </c>
      <c r="D1477" s="5" t="s">
        <v>57</v>
      </c>
      <c r="E1477">
        <v>2035</v>
      </c>
      <c r="F1477" s="6" t="str">
        <f t="shared" si="186"/>
        <v>*0.95</v>
      </c>
      <c r="H1477" t="s">
        <v>2351</v>
      </c>
      <c r="I1477" s="5" t="s">
        <v>57</v>
      </c>
      <c r="J1477">
        <v>2050</v>
      </c>
      <c r="K1477" s="38" t="str">
        <f t="shared" si="187"/>
        <v>*0.92</v>
      </c>
      <c r="P1477" s="32" t="s">
        <v>2351</v>
      </c>
      <c r="Q1477" s="42" t="s">
        <v>57</v>
      </c>
      <c r="R1477" s="32">
        <v>2035</v>
      </c>
      <c r="S1477" s="43" t="str">
        <f t="shared" si="188"/>
        <v>*0.95</v>
      </c>
      <c r="U1477" s="32" t="s">
        <v>2351</v>
      </c>
      <c r="V1477" s="42" t="s">
        <v>57</v>
      </c>
      <c r="W1477" s="32">
        <v>2050</v>
      </c>
      <c r="X1477" s="43" t="str">
        <f t="shared" si="189"/>
        <v>*0.92</v>
      </c>
      <c r="AC1477" s="33" t="s">
        <v>2351</v>
      </c>
      <c r="AD1477" s="44" t="s">
        <v>57</v>
      </c>
      <c r="AE1477" s="33">
        <v>2035</v>
      </c>
      <c r="AF1477" s="45" t="str">
        <f t="shared" si="190"/>
        <v>*0.93</v>
      </c>
      <c r="AG1477" s="43" t="str">
        <f t="shared" si="184"/>
        <v>REZoning_Sol-Win</v>
      </c>
      <c r="AI1477" s="33" t="s">
        <v>2351</v>
      </c>
      <c r="AJ1477" s="44" t="s">
        <v>57</v>
      </c>
      <c r="AK1477" s="33">
        <v>2050</v>
      </c>
      <c r="AL1477" s="45" t="str">
        <f t="shared" si="191"/>
        <v>*0.89</v>
      </c>
      <c r="AM1477" s="43" t="str">
        <f t="shared" si="185"/>
        <v>REZoning_Sol-Win</v>
      </c>
      <c r="AP1477" t="s">
        <v>2351</v>
      </c>
      <c r="AQ1477" t="s">
        <v>57</v>
      </c>
      <c r="AR1477">
        <v>2100</v>
      </c>
      <c r="AS1477" t="s">
        <v>937</v>
      </c>
      <c r="AT1477" t="s">
        <v>58</v>
      </c>
    </row>
    <row r="1478" ht="29" spans="1:46">
      <c r="A1478" s="31" t="s">
        <v>83</v>
      </c>
      <c r="C1478" t="s">
        <v>2352</v>
      </c>
      <c r="D1478" s="5" t="s">
        <v>57</v>
      </c>
      <c r="E1478">
        <v>2035</v>
      </c>
      <c r="F1478" s="6" t="str">
        <f t="shared" si="186"/>
        <v>*0.95</v>
      </c>
      <c r="H1478" t="s">
        <v>2352</v>
      </c>
      <c r="I1478" s="5" t="s">
        <v>57</v>
      </c>
      <c r="J1478">
        <v>2050</v>
      </c>
      <c r="K1478" s="38" t="str">
        <f t="shared" si="187"/>
        <v>*0.92</v>
      </c>
      <c r="P1478" s="32" t="s">
        <v>2352</v>
      </c>
      <c r="Q1478" s="42" t="s">
        <v>57</v>
      </c>
      <c r="R1478" s="32">
        <v>2035</v>
      </c>
      <c r="S1478" s="43" t="str">
        <f t="shared" si="188"/>
        <v>*0.95</v>
      </c>
      <c r="U1478" s="32" t="s">
        <v>2352</v>
      </c>
      <c r="V1478" s="42" t="s">
        <v>57</v>
      </c>
      <c r="W1478" s="32">
        <v>2050</v>
      </c>
      <c r="X1478" s="43" t="str">
        <f t="shared" si="189"/>
        <v>*0.92</v>
      </c>
      <c r="AC1478" s="33" t="s">
        <v>2352</v>
      </c>
      <c r="AD1478" s="44" t="s">
        <v>57</v>
      </c>
      <c r="AE1478" s="33">
        <v>2035</v>
      </c>
      <c r="AF1478" s="45" t="str">
        <f t="shared" si="190"/>
        <v>*0.93</v>
      </c>
      <c r="AG1478" s="43" t="str">
        <f t="shared" si="184"/>
        <v>REZoning_Sol-Win</v>
      </c>
      <c r="AI1478" s="33" t="s">
        <v>2352</v>
      </c>
      <c r="AJ1478" s="44" t="s">
        <v>57</v>
      </c>
      <c r="AK1478" s="33">
        <v>2050</v>
      </c>
      <c r="AL1478" s="45" t="str">
        <f t="shared" si="191"/>
        <v>*0.89</v>
      </c>
      <c r="AM1478" s="43" t="str">
        <f t="shared" si="185"/>
        <v>REZoning_Sol-Win</v>
      </c>
      <c r="AP1478" t="s">
        <v>2352</v>
      </c>
      <c r="AQ1478" t="s">
        <v>57</v>
      </c>
      <c r="AR1478">
        <v>2100</v>
      </c>
      <c r="AS1478" t="s">
        <v>937</v>
      </c>
      <c r="AT1478" t="s">
        <v>58</v>
      </c>
    </row>
    <row r="1479" ht="29" spans="1:46">
      <c r="A1479" s="31" t="s">
        <v>83</v>
      </c>
      <c r="C1479" t="s">
        <v>2353</v>
      </c>
      <c r="D1479" s="5" t="s">
        <v>57</v>
      </c>
      <c r="E1479">
        <v>2035</v>
      </c>
      <c r="F1479" s="6" t="str">
        <f t="shared" si="186"/>
        <v>*0.95</v>
      </c>
      <c r="H1479" t="s">
        <v>2353</v>
      </c>
      <c r="I1479" s="5" t="s">
        <v>57</v>
      </c>
      <c r="J1479">
        <v>2050</v>
      </c>
      <c r="K1479" s="38" t="str">
        <f t="shared" si="187"/>
        <v>*0.92</v>
      </c>
      <c r="P1479" s="32" t="s">
        <v>2353</v>
      </c>
      <c r="Q1479" s="42" t="s">
        <v>57</v>
      </c>
      <c r="R1479" s="32">
        <v>2035</v>
      </c>
      <c r="S1479" s="43" t="str">
        <f t="shared" si="188"/>
        <v>*0.95</v>
      </c>
      <c r="U1479" s="32" t="s">
        <v>2353</v>
      </c>
      <c r="V1479" s="42" t="s">
        <v>57</v>
      </c>
      <c r="W1479" s="32">
        <v>2050</v>
      </c>
      <c r="X1479" s="43" t="str">
        <f t="shared" si="189"/>
        <v>*0.92</v>
      </c>
      <c r="AC1479" s="33" t="s">
        <v>2353</v>
      </c>
      <c r="AD1479" s="44" t="s">
        <v>57</v>
      </c>
      <c r="AE1479" s="33">
        <v>2035</v>
      </c>
      <c r="AF1479" s="45" t="str">
        <f t="shared" si="190"/>
        <v>*0.93</v>
      </c>
      <c r="AG1479" s="43" t="str">
        <f t="shared" si="184"/>
        <v>REZoning_Sol-Win</v>
      </c>
      <c r="AI1479" s="33" t="s">
        <v>2353</v>
      </c>
      <c r="AJ1479" s="44" t="s">
        <v>57</v>
      </c>
      <c r="AK1479" s="33">
        <v>2050</v>
      </c>
      <c r="AL1479" s="45" t="str">
        <f t="shared" si="191"/>
        <v>*0.89</v>
      </c>
      <c r="AM1479" s="43" t="str">
        <f t="shared" si="185"/>
        <v>REZoning_Sol-Win</v>
      </c>
      <c r="AP1479" t="s">
        <v>2353</v>
      </c>
      <c r="AQ1479" t="s">
        <v>57</v>
      </c>
      <c r="AR1479">
        <v>2100</v>
      </c>
      <c r="AS1479" t="s">
        <v>937</v>
      </c>
      <c r="AT1479" t="s">
        <v>58</v>
      </c>
    </row>
    <row r="1480" ht="29" spans="1:46">
      <c r="A1480" s="31" t="s">
        <v>83</v>
      </c>
      <c r="C1480" t="s">
        <v>2354</v>
      </c>
      <c r="D1480" s="5" t="s">
        <v>57</v>
      </c>
      <c r="E1480">
        <v>2035</v>
      </c>
      <c r="F1480" s="6" t="str">
        <f t="shared" si="186"/>
        <v>*0.95</v>
      </c>
      <c r="H1480" t="s">
        <v>2354</v>
      </c>
      <c r="I1480" s="5" t="s">
        <v>57</v>
      </c>
      <c r="J1480">
        <v>2050</v>
      </c>
      <c r="K1480" s="38" t="str">
        <f t="shared" si="187"/>
        <v>*0.92</v>
      </c>
      <c r="P1480" s="32" t="s">
        <v>2354</v>
      </c>
      <c r="Q1480" s="42" t="s">
        <v>57</v>
      </c>
      <c r="R1480" s="32">
        <v>2035</v>
      </c>
      <c r="S1480" s="43" t="str">
        <f t="shared" si="188"/>
        <v>*0.95</v>
      </c>
      <c r="U1480" s="32" t="s">
        <v>2354</v>
      </c>
      <c r="V1480" s="42" t="s">
        <v>57</v>
      </c>
      <c r="W1480" s="32">
        <v>2050</v>
      </c>
      <c r="X1480" s="43" t="str">
        <f t="shared" si="189"/>
        <v>*0.92</v>
      </c>
      <c r="AC1480" s="33" t="s">
        <v>2354</v>
      </c>
      <c r="AD1480" s="44" t="s">
        <v>57</v>
      </c>
      <c r="AE1480" s="33">
        <v>2035</v>
      </c>
      <c r="AF1480" s="45" t="str">
        <f t="shared" si="190"/>
        <v>*0.93</v>
      </c>
      <c r="AG1480" s="43" t="str">
        <f t="shared" si="184"/>
        <v>REZoning_Sol-Win</v>
      </c>
      <c r="AI1480" s="33" t="s">
        <v>2354</v>
      </c>
      <c r="AJ1480" s="44" t="s">
        <v>57</v>
      </c>
      <c r="AK1480" s="33">
        <v>2050</v>
      </c>
      <c r="AL1480" s="45" t="str">
        <f t="shared" si="191"/>
        <v>*0.89</v>
      </c>
      <c r="AM1480" s="43" t="str">
        <f t="shared" si="185"/>
        <v>REZoning_Sol-Win</v>
      </c>
      <c r="AP1480" t="s">
        <v>2354</v>
      </c>
      <c r="AQ1480" t="s">
        <v>57</v>
      </c>
      <c r="AR1480">
        <v>2100</v>
      </c>
      <c r="AS1480" t="s">
        <v>937</v>
      </c>
      <c r="AT1480" t="s">
        <v>58</v>
      </c>
    </row>
    <row r="1481" ht="29" spans="1:46">
      <c r="A1481" s="31" t="s">
        <v>83</v>
      </c>
      <c r="C1481" t="s">
        <v>2355</v>
      </c>
      <c r="D1481" s="5" t="s">
        <v>57</v>
      </c>
      <c r="E1481">
        <v>2035</v>
      </c>
      <c r="F1481" s="6" t="str">
        <f t="shared" si="186"/>
        <v>*0.95</v>
      </c>
      <c r="H1481" t="s">
        <v>2355</v>
      </c>
      <c r="I1481" s="5" t="s">
        <v>57</v>
      </c>
      <c r="J1481">
        <v>2050</v>
      </c>
      <c r="K1481" s="38" t="str">
        <f t="shared" si="187"/>
        <v>*0.92</v>
      </c>
      <c r="P1481" s="32" t="s">
        <v>2355</v>
      </c>
      <c r="Q1481" s="42" t="s">
        <v>57</v>
      </c>
      <c r="R1481" s="32">
        <v>2035</v>
      </c>
      <c r="S1481" s="43" t="str">
        <f t="shared" si="188"/>
        <v>*0.95</v>
      </c>
      <c r="U1481" s="32" t="s">
        <v>2355</v>
      </c>
      <c r="V1481" s="42" t="s">
        <v>57</v>
      </c>
      <c r="W1481" s="32">
        <v>2050</v>
      </c>
      <c r="X1481" s="43" t="str">
        <f t="shared" si="189"/>
        <v>*0.92</v>
      </c>
      <c r="AC1481" s="33" t="s">
        <v>2355</v>
      </c>
      <c r="AD1481" s="44" t="s">
        <v>57</v>
      </c>
      <c r="AE1481" s="33">
        <v>2035</v>
      </c>
      <c r="AF1481" s="45" t="str">
        <f t="shared" si="190"/>
        <v>*0.93</v>
      </c>
      <c r="AG1481" s="43" t="str">
        <f t="shared" ref="AG1481:AG1544" si="192">AG1480</f>
        <v>REZoning_Sol-Win</v>
      </c>
      <c r="AI1481" s="33" t="s">
        <v>2355</v>
      </c>
      <c r="AJ1481" s="44" t="s">
        <v>57</v>
      </c>
      <c r="AK1481" s="33">
        <v>2050</v>
      </c>
      <c r="AL1481" s="45" t="str">
        <f t="shared" si="191"/>
        <v>*0.89</v>
      </c>
      <c r="AM1481" s="43" t="str">
        <f t="shared" si="185"/>
        <v>REZoning_Sol-Win</v>
      </c>
      <c r="AP1481" t="s">
        <v>2355</v>
      </c>
      <c r="AQ1481" t="s">
        <v>57</v>
      </c>
      <c r="AR1481">
        <v>2100</v>
      </c>
      <c r="AS1481" t="s">
        <v>937</v>
      </c>
      <c r="AT1481" t="s">
        <v>58</v>
      </c>
    </row>
    <row r="1482" ht="29" spans="1:46">
      <c r="A1482" s="31" t="s">
        <v>83</v>
      </c>
      <c r="C1482" t="s">
        <v>2356</v>
      </c>
      <c r="D1482" s="5" t="s">
        <v>57</v>
      </c>
      <c r="E1482">
        <v>2035</v>
      </c>
      <c r="F1482" s="6" t="str">
        <f t="shared" si="186"/>
        <v>*0.95</v>
      </c>
      <c r="H1482" t="s">
        <v>2356</v>
      </c>
      <c r="I1482" s="5" t="s">
        <v>57</v>
      </c>
      <c r="J1482">
        <v>2050</v>
      </c>
      <c r="K1482" s="38" t="str">
        <f t="shared" si="187"/>
        <v>*0.92</v>
      </c>
      <c r="P1482" s="32" t="s">
        <v>2356</v>
      </c>
      <c r="Q1482" s="42" t="s">
        <v>57</v>
      </c>
      <c r="R1482" s="32">
        <v>2035</v>
      </c>
      <c r="S1482" s="43" t="str">
        <f t="shared" si="188"/>
        <v>*0.95</v>
      </c>
      <c r="U1482" s="32" t="s">
        <v>2356</v>
      </c>
      <c r="V1482" s="42" t="s">
        <v>57</v>
      </c>
      <c r="W1482" s="32">
        <v>2050</v>
      </c>
      <c r="X1482" s="43" t="str">
        <f t="shared" si="189"/>
        <v>*0.92</v>
      </c>
      <c r="AC1482" s="33" t="s">
        <v>2356</v>
      </c>
      <c r="AD1482" s="44" t="s">
        <v>57</v>
      </c>
      <c r="AE1482" s="33">
        <v>2035</v>
      </c>
      <c r="AF1482" s="45" t="str">
        <f t="shared" si="190"/>
        <v>*0.93</v>
      </c>
      <c r="AG1482" s="43" t="str">
        <f t="shared" si="192"/>
        <v>REZoning_Sol-Win</v>
      </c>
      <c r="AI1482" s="33" t="s">
        <v>2356</v>
      </c>
      <c r="AJ1482" s="44" t="s">
        <v>57</v>
      </c>
      <c r="AK1482" s="33">
        <v>2050</v>
      </c>
      <c r="AL1482" s="45" t="str">
        <f t="shared" si="191"/>
        <v>*0.89</v>
      </c>
      <c r="AM1482" s="43" t="str">
        <f t="shared" ref="AM1482:AM1545" si="193">AM1481</f>
        <v>REZoning_Sol-Win</v>
      </c>
      <c r="AP1482" t="s">
        <v>2356</v>
      </c>
      <c r="AQ1482" t="s">
        <v>57</v>
      </c>
      <c r="AR1482">
        <v>2100</v>
      </c>
      <c r="AS1482" t="s">
        <v>937</v>
      </c>
      <c r="AT1482" t="s">
        <v>58</v>
      </c>
    </row>
    <row r="1483" ht="29" spans="1:46">
      <c r="A1483" s="31" t="s">
        <v>83</v>
      </c>
      <c r="C1483" t="s">
        <v>2357</v>
      </c>
      <c r="D1483" s="5" t="s">
        <v>57</v>
      </c>
      <c r="E1483">
        <v>2035</v>
      </c>
      <c r="F1483" s="6" t="str">
        <f t="shared" si="186"/>
        <v>*0.95</v>
      </c>
      <c r="H1483" t="s">
        <v>2357</v>
      </c>
      <c r="I1483" s="5" t="s">
        <v>57</v>
      </c>
      <c r="J1483">
        <v>2050</v>
      </c>
      <c r="K1483" s="38" t="str">
        <f t="shared" si="187"/>
        <v>*0.92</v>
      </c>
      <c r="P1483" s="32" t="s">
        <v>2357</v>
      </c>
      <c r="Q1483" s="42" t="s">
        <v>57</v>
      </c>
      <c r="R1483" s="32">
        <v>2035</v>
      </c>
      <c r="S1483" s="43" t="str">
        <f t="shared" si="188"/>
        <v>*0.95</v>
      </c>
      <c r="U1483" s="32" t="s">
        <v>2357</v>
      </c>
      <c r="V1483" s="42" t="s">
        <v>57</v>
      </c>
      <c r="W1483" s="32">
        <v>2050</v>
      </c>
      <c r="X1483" s="43" t="str">
        <f t="shared" si="189"/>
        <v>*0.92</v>
      </c>
      <c r="AC1483" s="33" t="s">
        <v>2357</v>
      </c>
      <c r="AD1483" s="44" t="s">
        <v>57</v>
      </c>
      <c r="AE1483" s="33">
        <v>2035</v>
      </c>
      <c r="AF1483" s="45" t="str">
        <f t="shared" si="190"/>
        <v>*0.93</v>
      </c>
      <c r="AG1483" s="43" t="str">
        <f t="shared" si="192"/>
        <v>REZoning_Sol-Win</v>
      </c>
      <c r="AI1483" s="33" t="s">
        <v>2357</v>
      </c>
      <c r="AJ1483" s="44" t="s">
        <v>57</v>
      </c>
      <c r="AK1483" s="33">
        <v>2050</v>
      </c>
      <c r="AL1483" s="45" t="str">
        <f t="shared" si="191"/>
        <v>*0.89</v>
      </c>
      <c r="AM1483" s="43" t="str">
        <f t="shared" si="193"/>
        <v>REZoning_Sol-Win</v>
      </c>
      <c r="AP1483" t="s">
        <v>2357</v>
      </c>
      <c r="AQ1483" t="s">
        <v>57</v>
      </c>
      <c r="AR1483">
        <v>2100</v>
      </c>
      <c r="AS1483" t="s">
        <v>937</v>
      </c>
      <c r="AT1483" t="s">
        <v>58</v>
      </c>
    </row>
    <row r="1484" ht="29" spans="1:46">
      <c r="A1484" s="31" t="s">
        <v>83</v>
      </c>
      <c r="C1484" t="s">
        <v>2358</v>
      </c>
      <c r="D1484" s="5" t="s">
        <v>57</v>
      </c>
      <c r="E1484">
        <v>2035</v>
      </c>
      <c r="F1484" s="6" t="str">
        <f t="shared" si="186"/>
        <v>*0.95</v>
      </c>
      <c r="H1484" t="s">
        <v>2358</v>
      </c>
      <c r="I1484" s="5" t="s">
        <v>57</v>
      </c>
      <c r="J1484">
        <v>2050</v>
      </c>
      <c r="K1484" s="38" t="str">
        <f t="shared" si="187"/>
        <v>*0.92</v>
      </c>
      <c r="P1484" s="32" t="s">
        <v>2358</v>
      </c>
      <c r="Q1484" s="42" t="s">
        <v>57</v>
      </c>
      <c r="R1484" s="32">
        <v>2035</v>
      </c>
      <c r="S1484" s="43" t="str">
        <f t="shared" si="188"/>
        <v>*0.95</v>
      </c>
      <c r="U1484" s="32" t="s">
        <v>2358</v>
      </c>
      <c r="V1484" s="42" t="s">
        <v>57</v>
      </c>
      <c r="W1484" s="32">
        <v>2050</v>
      </c>
      <c r="X1484" s="43" t="str">
        <f t="shared" si="189"/>
        <v>*0.92</v>
      </c>
      <c r="AC1484" s="33" t="s">
        <v>2358</v>
      </c>
      <c r="AD1484" s="44" t="s">
        <v>57</v>
      </c>
      <c r="AE1484" s="33">
        <v>2035</v>
      </c>
      <c r="AF1484" s="45" t="str">
        <f t="shared" si="190"/>
        <v>*0.93</v>
      </c>
      <c r="AG1484" s="43" t="str">
        <f t="shared" si="192"/>
        <v>REZoning_Sol-Win</v>
      </c>
      <c r="AI1484" s="33" t="s">
        <v>2358</v>
      </c>
      <c r="AJ1484" s="44" t="s">
        <v>57</v>
      </c>
      <c r="AK1484" s="33">
        <v>2050</v>
      </c>
      <c r="AL1484" s="45" t="str">
        <f t="shared" si="191"/>
        <v>*0.89</v>
      </c>
      <c r="AM1484" s="43" t="str">
        <f t="shared" si="193"/>
        <v>REZoning_Sol-Win</v>
      </c>
      <c r="AP1484" t="s">
        <v>2358</v>
      </c>
      <c r="AQ1484" t="s">
        <v>57</v>
      </c>
      <c r="AR1484">
        <v>2100</v>
      </c>
      <c r="AS1484" t="s">
        <v>937</v>
      </c>
      <c r="AT1484" t="s">
        <v>58</v>
      </c>
    </row>
    <row r="1485" ht="29" spans="1:46">
      <c r="A1485" s="31" t="s">
        <v>83</v>
      </c>
      <c r="C1485" t="s">
        <v>2359</v>
      </c>
      <c r="D1485" s="5" t="s">
        <v>57</v>
      </c>
      <c r="E1485">
        <v>2035</v>
      </c>
      <c r="F1485" s="6" t="str">
        <f t="shared" si="186"/>
        <v>*0.95</v>
      </c>
      <c r="H1485" t="s">
        <v>2359</v>
      </c>
      <c r="I1485" s="5" t="s">
        <v>57</v>
      </c>
      <c r="J1485">
        <v>2050</v>
      </c>
      <c r="K1485" s="38" t="str">
        <f t="shared" si="187"/>
        <v>*0.92</v>
      </c>
      <c r="P1485" s="32" t="s">
        <v>2359</v>
      </c>
      <c r="Q1485" s="42" t="s">
        <v>57</v>
      </c>
      <c r="R1485" s="32">
        <v>2035</v>
      </c>
      <c r="S1485" s="43" t="str">
        <f t="shared" si="188"/>
        <v>*0.95</v>
      </c>
      <c r="U1485" s="32" t="s">
        <v>2359</v>
      </c>
      <c r="V1485" s="42" t="s">
        <v>57</v>
      </c>
      <c r="W1485" s="32">
        <v>2050</v>
      </c>
      <c r="X1485" s="43" t="str">
        <f t="shared" si="189"/>
        <v>*0.92</v>
      </c>
      <c r="AC1485" s="33" t="s">
        <v>2359</v>
      </c>
      <c r="AD1485" s="44" t="s">
        <v>57</v>
      </c>
      <c r="AE1485" s="33">
        <v>2035</v>
      </c>
      <c r="AF1485" s="45" t="str">
        <f t="shared" si="190"/>
        <v>*0.93</v>
      </c>
      <c r="AG1485" s="43" t="str">
        <f t="shared" si="192"/>
        <v>REZoning_Sol-Win</v>
      </c>
      <c r="AI1485" s="33" t="s">
        <v>2359</v>
      </c>
      <c r="AJ1485" s="44" t="s">
        <v>57</v>
      </c>
      <c r="AK1485" s="33">
        <v>2050</v>
      </c>
      <c r="AL1485" s="45" t="str">
        <f t="shared" si="191"/>
        <v>*0.89</v>
      </c>
      <c r="AM1485" s="43" t="str">
        <f t="shared" si="193"/>
        <v>REZoning_Sol-Win</v>
      </c>
      <c r="AP1485" t="s">
        <v>2359</v>
      </c>
      <c r="AQ1485" t="s">
        <v>57</v>
      </c>
      <c r="AR1485">
        <v>2100</v>
      </c>
      <c r="AS1485" t="s">
        <v>937</v>
      </c>
      <c r="AT1485" t="s">
        <v>58</v>
      </c>
    </row>
    <row r="1486" ht="29" spans="1:46">
      <c r="A1486" s="31" t="s">
        <v>83</v>
      </c>
      <c r="C1486" t="s">
        <v>2360</v>
      </c>
      <c r="D1486" s="5" t="s">
        <v>57</v>
      </c>
      <c r="E1486">
        <v>2035</v>
      </c>
      <c r="F1486" s="6" t="str">
        <f t="shared" si="186"/>
        <v>*0.95</v>
      </c>
      <c r="H1486" t="s">
        <v>2360</v>
      </c>
      <c r="I1486" s="5" t="s">
        <v>57</v>
      </c>
      <c r="J1486">
        <v>2050</v>
      </c>
      <c r="K1486" s="38" t="str">
        <f t="shared" si="187"/>
        <v>*0.92</v>
      </c>
      <c r="P1486" s="32" t="s">
        <v>2360</v>
      </c>
      <c r="Q1486" s="42" t="s">
        <v>57</v>
      </c>
      <c r="R1486" s="32">
        <v>2035</v>
      </c>
      <c r="S1486" s="43" t="str">
        <f t="shared" si="188"/>
        <v>*0.95</v>
      </c>
      <c r="U1486" s="32" t="s">
        <v>2360</v>
      </c>
      <c r="V1486" s="42" t="s">
        <v>57</v>
      </c>
      <c r="W1486" s="32">
        <v>2050</v>
      </c>
      <c r="X1486" s="43" t="str">
        <f t="shared" si="189"/>
        <v>*0.92</v>
      </c>
      <c r="AC1486" s="33" t="s">
        <v>2360</v>
      </c>
      <c r="AD1486" s="44" t="s">
        <v>57</v>
      </c>
      <c r="AE1486" s="33">
        <v>2035</v>
      </c>
      <c r="AF1486" s="45" t="str">
        <f t="shared" si="190"/>
        <v>*0.93</v>
      </c>
      <c r="AG1486" s="43" t="str">
        <f t="shared" si="192"/>
        <v>REZoning_Sol-Win</v>
      </c>
      <c r="AI1486" s="33" t="s">
        <v>2360</v>
      </c>
      <c r="AJ1486" s="44" t="s">
        <v>57</v>
      </c>
      <c r="AK1486" s="33">
        <v>2050</v>
      </c>
      <c r="AL1486" s="45" t="str">
        <f t="shared" si="191"/>
        <v>*0.89</v>
      </c>
      <c r="AM1486" s="43" t="str">
        <f t="shared" si="193"/>
        <v>REZoning_Sol-Win</v>
      </c>
      <c r="AP1486" t="s">
        <v>2360</v>
      </c>
      <c r="AQ1486" t="s">
        <v>57</v>
      </c>
      <c r="AR1486">
        <v>2100</v>
      </c>
      <c r="AS1486" t="s">
        <v>937</v>
      </c>
      <c r="AT1486" t="s">
        <v>58</v>
      </c>
    </row>
    <row r="1487" ht="29" spans="1:46">
      <c r="A1487" s="31" t="s">
        <v>83</v>
      </c>
      <c r="C1487" t="s">
        <v>2361</v>
      </c>
      <c r="D1487" s="5" t="s">
        <v>57</v>
      </c>
      <c r="E1487">
        <v>2035</v>
      </c>
      <c r="F1487" s="6" t="str">
        <f t="shared" si="186"/>
        <v>*0.95</v>
      </c>
      <c r="H1487" t="s">
        <v>2361</v>
      </c>
      <c r="I1487" s="5" t="s">
        <v>57</v>
      </c>
      <c r="J1487">
        <v>2050</v>
      </c>
      <c r="K1487" s="38" t="str">
        <f t="shared" si="187"/>
        <v>*0.92</v>
      </c>
      <c r="P1487" s="32" t="s">
        <v>2361</v>
      </c>
      <c r="Q1487" s="42" t="s">
        <v>57</v>
      </c>
      <c r="R1487" s="32">
        <v>2035</v>
      </c>
      <c r="S1487" s="43" t="str">
        <f t="shared" si="188"/>
        <v>*0.95</v>
      </c>
      <c r="U1487" s="32" t="s">
        <v>2361</v>
      </c>
      <c r="V1487" s="42" t="s">
        <v>57</v>
      </c>
      <c r="W1487" s="32">
        <v>2050</v>
      </c>
      <c r="X1487" s="43" t="str">
        <f t="shared" si="189"/>
        <v>*0.92</v>
      </c>
      <c r="AC1487" s="33" t="s">
        <v>2361</v>
      </c>
      <c r="AD1487" s="44" t="s">
        <v>57</v>
      </c>
      <c r="AE1487" s="33">
        <v>2035</v>
      </c>
      <c r="AF1487" s="45" t="str">
        <f t="shared" si="190"/>
        <v>*0.93</v>
      </c>
      <c r="AG1487" s="43" t="str">
        <f t="shared" si="192"/>
        <v>REZoning_Sol-Win</v>
      </c>
      <c r="AI1487" s="33" t="s">
        <v>2361</v>
      </c>
      <c r="AJ1487" s="44" t="s">
        <v>57</v>
      </c>
      <c r="AK1487" s="33">
        <v>2050</v>
      </c>
      <c r="AL1487" s="45" t="str">
        <f t="shared" si="191"/>
        <v>*0.89</v>
      </c>
      <c r="AM1487" s="43" t="str">
        <f t="shared" si="193"/>
        <v>REZoning_Sol-Win</v>
      </c>
      <c r="AP1487" t="s">
        <v>2361</v>
      </c>
      <c r="AQ1487" t="s">
        <v>57</v>
      </c>
      <c r="AR1487">
        <v>2100</v>
      </c>
      <c r="AS1487" t="s">
        <v>937</v>
      </c>
      <c r="AT1487" t="s">
        <v>58</v>
      </c>
    </row>
    <row r="1488" ht="29" spans="1:46">
      <c r="A1488" s="31" t="s">
        <v>83</v>
      </c>
      <c r="C1488" t="s">
        <v>2362</v>
      </c>
      <c r="D1488" s="5" t="s">
        <v>57</v>
      </c>
      <c r="E1488">
        <v>2035</v>
      </c>
      <c r="F1488" s="6" t="str">
        <f t="shared" si="186"/>
        <v>*0.95</v>
      </c>
      <c r="H1488" t="s">
        <v>2362</v>
      </c>
      <c r="I1488" s="5" t="s">
        <v>57</v>
      </c>
      <c r="J1488">
        <v>2050</v>
      </c>
      <c r="K1488" s="38" t="str">
        <f t="shared" si="187"/>
        <v>*0.92</v>
      </c>
      <c r="P1488" s="32" t="s">
        <v>2362</v>
      </c>
      <c r="Q1488" s="42" t="s">
        <v>57</v>
      </c>
      <c r="R1488" s="32">
        <v>2035</v>
      </c>
      <c r="S1488" s="43" t="str">
        <f t="shared" si="188"/>
        <v>*0.95</v>
      </c>
      <c r="U1488" s="32" t="s">
        <v>2362</v>
      </c>
      <c r="V1488" s="42" t="s">
        <v>57</v>
      </c>
      <c r="W1488" s="32">
        <v>2050</v>
      </c>
      <c r="X1488" s="43" t="str">
        <f t="shared" si="189"/>
        <v>*0.92</v>
      </c>
      <c r="AC1488" s="33" t="s">
        <v>2362</v>
      </c>
      <c r="AD1488" s="44" t="s">
        <v>57</v>
      </c>
      <c r="AE1488" s="33">
        <v>2035</v>
      </c>
      <c r="AF1488" s="45" t="str">
        <f t="shared" si="190"/>
        <v>*0.93</v>
      </c>
      <c r="AG1488" s="43" t="str">
        <f t="shared" si="192"/>
        <v>REZoning_Sol-Win</v>
      </c>
      <c r="AI1488" s="33" t="s">
        <v>2362</v>
      </c>
      <c r="AJ1488" s="44" t="s">
        <v>57</v>
      </c>
      <c r="AK1488" s="33">
        <v>2050</v>
      </c>
      <c r="AL1488" s="45" t="str">
        <f t="shared" si="191"/>
        <v>*0.89</v>
      </c>
      <c r="AM1488" s="43" t="str">
        <f t="shared" si="193"/>
        <v>REZoning_Sol-Win</v>
      </c>
      <c r="AP1488" t="s">
        <v>2362</v>
      </c>
      <c r="AQ1488" t="s">
        <v>57</v>
      </c>
      <c r="AR1488">
        <v>2100</v>
      </c>
      <c r="AS1488" t="s">
        <v>937</v>
      </c>
      <c r="AT1488" t="s">
        <v>58</v>
      </c>
    </row>
    <row r="1489" ht="29" spans="1:46">
      <c r="A1489" s="31" t="s">
        <v>83</v>
      </c>
      <c r="C1489" t="s">
        <v>2363</v>
      </c>
      <c r="D1489" s="5" t="s">
        <v>57</v>
      </c>
      <c r="E1489">
        <v>2035</v>
      </c>
      <c r="F1489" s="6" t="str">
        <f t="shared" si="186"/>
        <v>*0.95</v>
      </c>
      <c r="H1489" t="s">
        <v>2363</v>
      </c>
      <c r="I1489" s="5" t="s">
        <v>57</v>
      </c>
      <c r="J1489">
        <v>2050</v>
      </c>
      <c r="K1489" s="38" t="str">
        <f t="shared" si="187"/>
        <v>*0.92</v>
      </c>
      <c r="P1489" s="32" t="s">
        <v>2363</v>
      </c>
      <c r="Q1489" s="42" t="s">
        <v>57</v>
      </c>
      <c r="R1489" s="32">
        <v>2035</v>
      </c>
      <c r="S1489" s="43" t="str">
        <f t="shared" si="188"/>
        <v>*0.95</v>
      </c>
      <c r="U1489" s="32" t="s">
        <v>2363</v>
      </c>
      <c r="V1489" s="42" t="s">
        <v>57</v>
      </c>
      <c r="W1489" s="32">
        <v>2050</v>
      </c>
      <c r="X1489" s="43" t="str">
        <f t="shared" si="189"/>
        <v>*0.92</v>
      </c>
      <c r="AC1489" s="33" t="s">
        <v>2363</v>
      </c>
      <c r="AD1489" s="44" t="s">
        <v>57</v>
      </c>
      <c r="AE1489" s="33">
        <v>2035</v>
      </c>
      <c r="AF1489" s="45" t="str">
        <f t="shared" si="190"/>
        <v>*0.93</v>
      </c>
      <c r="AG1489" s="43" t="str">
        <f t="shared" si="192"/>
        <v>REZoning_Sol-Win</v>
      </c>
      <c r="AI1489" s="33" t="s">
        <v>2363</v>
      </c>
      <c r="AJ1489" s="44" t="s">
        <v>57</v>
      </c>
      <c r="AK1489" s="33">
        <v>2050</v>
      </c>
      <c r="AL1489" s="45" t="str">
        <f t="shared" si="191"/>
        <v>*0.89</v>
      </c>
      <c r="AM1489" s="43" t="str">
        <f t="shared" si="193"/>
        <v>REZoning_Sol-Win</v>
      </c>
      <c r="AP1489" t="s">
        <v>2363</v>
      </c>
      <c r="AQ1489" t="s">
        <v>57</v>
      </c>
      <c r="AR1489">
        <v>2100</v>
      </c>
      <c r="AS1489" t="s">
        <v>937</v>
      </c>
      <c r="AT1489" t="s">
        <v>58</v>
      </c>
    </row>
    <row r="1490" ht="29" spans="1:46">
      <c r="A1490" s="31" t="s">
        <v>83</v>
      </c>
      <c r="C1490" t="s">
        <v>2364</v>
      </c>
      <c r="D1490" s="5" t="s">
        <v>57</v>
      </c>
      <c r="E1490">
        <v>2035</v>
      </c>
      <c r="F1490" s="6" t="str">
        <f t="shared" si="186"/>
        <v>*0.95</v>
      </c>
      <c r="H1490" t="s">
        <v>2364</v>
      </c>
      <c r="I1490" s="5" t="s">
        <v>57</v>
      </c>
      <c r="J1490">
        <v>2050</v>
      </c>
      <c r="K1490" s="38" t="str">
        <f t="shared" si="187"/>
        <v>*0.92</v>
      </c>
      <c r="P1490" s="32" t="s">
        <v>2364</v>
      </c>
      <c r="Q1490" s="42" t="s">
        <v>57</v>
      </c>
      <c r="R1490" s="32">
        <v>2035</v>
      </c>
      <c r="S1490" s="43" t="str">
        <f t="shared" si="188"/>
        <v>*0.95</v>
      </c>
      <c r="U1490" s="32" t="s">
        <v>2364</v>
      </c>
      <c r="V1490" s="42" t="s">
        <v>57</v>
      </c>
      <c r="W1490" s="32">
        <v>2050</v>
      </c>
      <c r="X1490" s="43" t="str">
        <f t="shared" si="189"/>
        <v>*0.92</v>
      </c>
      <c r="AC1490" s="33" t="s">
        <v>2364</v>
      </c>
      <c r="AD1490" s="44" t="s">
        <v>57</v>
      </c>
      <c r="AE1490" s="33">
        <v>2035</v>
      </c>
      <c r="AF1490" s="45" t="str">
        <f t="shared" si="190"/>
        <v>*0.93</v>
      </c>
      <c r="AG1490" s="43" t="str">
        <f t="shared" si="192"/>
        <v>REZoning_Sol-Win</v>
      </c>
      <c r="AI1490" s="33" t="s">
        <v>2364</v>
      </c>
      <c r="AJ1490" s="44" t="s">
        <v>57</v>
      </c>
      <c r="AK1490" s="33">
        <v>2050</v>
      </c>
      <c r="AL1490" s="45" t="str">
        <f t="shared" si="191"/>
        <v>*0.89</v>
      </c>
      <c r="AM1490" s="43" t="str">
        <f t="shared" si="193"/>
        <v>REZoning_Sol-Win</v>
      </c>
      <c r="AP1490" t="s">
        <v>2364</v>
      </c>
      <c r="AQ1490" t="s">
        <v>57</v>
      </c>
      <c r="AR1490">
        <v>2100</v>
      </c>
      <c r="AS1490" t="s">
        <v>937</v>
      </c>
      <c r="AT1490" t="s">
        <v>58</v>
      </c>
    </row>
    <row r="1491" ht="29" spans="1:46">
      <c r="A1491" s="31" t="s">
        <v>83</v>
      </c>
      <c r="C1491" t="s">
        <v>2365</v>
      </c>
      <c r="D1491" s="5" t="s">
        <v>57</v>
      </c>
      <c r="E1491">
        <v>2035</v>
      </c>
      <c r="F1491" s="6" t="str">
        <f t="shared" si="186"/>
        <v>*0.95</v>
      </c>
      <c r="H1491" t="s">
        <v>2365</v>
      </c>
      <c r="I1491" s="5" t="s">
        <v>57</v>
      </c>
      <c r="J1491">
        <v>2050</v>
      </c>
      <c r="K1491" s="38" t="str">
        <f t="shared" si="187"/>
        <v>*0.92</v>
      </c>
      <c r="P1491" s="32" t="s">
        <v>2365</v>
      </c>
      <c r="Q1491" s="42" t="s">
        <v>57</v>
      </c>
      <c r="R1491" s="32">
        <v>2035</v>
      </c>
      <c r="S1491" s="43" t="str">
        <f t="shared" si="188"/>
        <v>*0.95</v>
      </c>
      <c r="U1491" s="32" t="s">
        <v>2365</v>
      </c>
      <c r="V1491" s="42" t="s">
        <v>57</v>
      </c>
      <c r="W1491" s="32">
        <v>2050</v>
      </c>
      <c r="X1491" s="43" t="str">
        <f t="shared" si="189"/>
        <v>*0.92</v>
      </c>
      <c r="AC1491" s="33" t="s">
        <v>2365</v>
      </c>
      <c r="AD1491" s="44" t="s">
        <v>57</v>
      </c>
      <c r="AE1491" s="33">
        <v>2035</v>
      </c>
      <c r="AF1491" s="45" t="str">
        <f t="shared" si="190"/>
        <v>*0.93</v>
      </c>
      <c r="AG1491" s="43" t="str">
        <f t="shared" si="192"/>
        <v>REZoning_Sol-Win</v>
      </c>
      <c r="AI1491" s="33" t="s">
        <v>2365</v>
      </c>
      <c r="AJ1491" s="44" t="s">
        <v>57</v>
      </c>
      <c r="AK1491" s="33">
        <v>2050</v>
      </c>
      <c r="AL1491" s="45" t="str">
        <f t="shared" si="191"/>
        <v>*0.89</v>
      </c>
      <c r="AM1491" s="43" t="str">
        <f t="shared" si="193"/>
        <v>REZoning_Sol-Win</v>
      </c>
      <c r="AP1491" t="s">
        <v>2365</v>
      </c>
      <c r="AQ1491" t="s">
        <v>57</v>
      </c>
      <c r="AR1491">
        <v>2100</v>
      </c>
      <c r="AS1491" t="s">
        <v>937</v>
      </c>
      <c r="AT1491" t="s">
        <v>58</v>
      </c>
    </row>
    <row r="1492" ht="29" spans="1:46">
      <c r="A1492" s="31" t="s">
        <v>83</v>
      </c>
      <c r="C1492" t="s">
        <v>2366</v>
      </c>
      <c r="D1492" s="5" t="s">
        <v>57</v>
      </c>
      <c r="E1492">
        <v>2035</v>
      </c>
      <c r="F1492" s="6" t="str">
        <f t="shared" si="186"/>
        <v>*0.95</v>
      </c>
      <c r="H1492" t="s">
        <v>2366</v>
      </c>
      <c r="I1492" s="5" t="s">
        <v>57</v>
      </c>
      <c r="J1492">
        <v>2050</v>
      </c>
      <c r="K1492" s="38" t="str">
        <f t="shared" si="187"/>
        <v>*0.92</v>
      </c>
      <c r="P1492" s="32" t="s">
        <v>2366</v>
      </c>
      <c r="Q1492" s="42" t="s">
        <v>57</v>
      </c>
      <c r="R1492" s="32">
        <v>2035</v>
      </c>
      <c r="S1492" s="43" t="str">
        <f t="shared" si="188"/>
        <v>*0.95</v>
      </c>
      <c r="U1492" s="32" t="s">
        <v>2366</v>
      </c>
      <c r="V1492" s="42" t="s">
        <v>57</v>
      </c>
      <c r="W1492" s="32">
        <v>2050</v>
      </c>
      <c r="X1492" s="43" t="str">
        <f t="shared" si="189"/>
        <v>*0.92</v>
      </c>
      <c r="AC1492" s="33" t="s">
        <v>2366</v>
      </c>
      <c r="AD1492" s="44" t="s">
        <v>57</v>
      </c>
      <c r="AE1492" s="33">
        <v>2035</v>
      </c>
      <c r="AF1492" s="45" t="str">
        <f t="shared" si="190"/>
        <v>*0.93</v>
      </c>
      <c r="AG1492" s="43" t="str">
        <f t="shared" si="192"/>
        <v>REZoning_Sol-Win</v>
      </c>
      <c r="AI1492" s="33" t="s">
        <v>2366</v>
      </c>
      <c r="AJ1492" s="44" t="s">
        <v>57</v>
      </c>
      <c r="AK1492" s="33">
        <v>2050</v>
      </c>
      <c r="AL1492" s="45" t="str">
        <f t="shared" si="191"/>
        <v>*0.89</v>
      </c>
      <c r="AM1492" s="43" t="str">
        <f t="shared" si="193"/>
        <v>REZoning_Sol-Win</v>
      </c>
      <c r="AP1492" t="s">
        <v>2366</v>
      </c>
      <c r="AQ1492" t="s">
        <v>57</v>
      </c>
      <c r="AR1492">
        <v>2100</v>
      </c>
      <c r="AS1492" t="s">
        <v>937</v>
      </c>
      <c r="AT1492" t="s">
        <v>58</v>
      </c>
    </row>
    <row r="1493" ht="29" spans="1:46">
      <c r="A1493" s="31" t="s">
        <v>83</v>
      </c>
      <c r="C1493" t="s">
        <v>2367</v>
      </c>
      <c r="D1493" s="5" t="s">
        <v>57</v>
      </c>
      <c r="E1493">
        <v>2035</v>
      </c>
      <c r="F1493" s="6" t="str">
        <f t="shared" si="186"/>
        <v>*0.95</v>
      </c>
      <c r="H1493" t="s">
        <v>2367</v>
      </c>
      <c r="I1493" s="5" t="s">
        <v>57</v>
      </c>
      <c r="J1493">
        <v>2050</v>
      </c>
      <c r="K1493" s="38" t="str">
        <f t="shared" si="187"/>
        <v>*0.92</v>
      </c>
      <c r="P1493" s="32" t="s">
        <v>2367</v>
      </c>
      <c r="Q1493" s="42" t="s">
        <v>57</v>
      </c>
      <c r="R1493" s="32">
        <v>2035</v>
      </c>
      <c r="S1493" s="43" t="str">
        <f t="shared" si="188"/>
        <v>*0.95</v>
      </c>
      <c r="U1493" s="32" t="s">
        <v>2367</v>
      </c>
      <c r="V1493" s="42" t="s">
        <v>57</v>
      </c>
      <c r="W1493" s="32">
        <v>2050</v>
      </c>
      <c r="X1493" s="43" t="str">
        <f t="shared" si="189"/>
        <v>*0.92</v>
      </c>
      <c r="AC1493" s="33" t="s">
        <v>2367</v>
      </c>
      <c r="AD1493" s="44" t="s">
        <v>57</v>
      </c>
      <c r="AE1493" s="33">
        <v>2035</v>
      </c>
      <c r="AF1493" s="45" t="str">
        <f t="shared" si="190"/>
        <v>*0.93</v>
      </c>
      <c r="AG1493" s="43" t="str">
        <f t="shared" si="192"/>
        <v>REZoning_Sol-Win</v>
      </c>
      <c r="AI1493" s="33" t="s">
        <v>2367</v>
      </c>
      <c r="AJ1493" s="44" t="s">
        <v>57</v>
      </c>
      <c r="AK1493" s="33">
        <v>2050</v>
      </c>
      <c r="AL1493" s="45" t="str">
        <f t="shared" si="191"/>
        <v>*0.89</v>
      </c>
      <c r="AM1493" s="43" t="str">
        <f t="shared" si="193"/>
        <v>REZoning_Sol-Win</v>
      </c>
      <c r="AP1493" t="s">
        <v>2367</v>
      </c>
      <c r="AQ1493" t="s">
        <v>57</v>
      </c>
      <c r="AR1493">
        <v>2100</v>
      </c>
      <c r="AS1493" t="s">
        <v>937</v>
      </c>
      <c r="AT1493" t="s">
        <v>58</v>
      </c>
    </row>
    <row r="1494" ht="29" spans="1:46">
      <c r="A1494" s="31" t="s">
        <v>83</v>
      </c>
      <c r="C1494" t="s">
        <v>2368</v>
      </c>
      <c r="D1494" s="5" t="s">
        <v>57</v>
      </c>
      <c r="E1494">
        <v>2035</v>
      </c>
      <c r="F1494" s="6" t="str">
        <f t="shared" si="186"/>
        <v>*0.95</v>
      </c>
      <c r="H1494" t="s">
        <v>2368</v>
      </c>
      <c r="I1494" s="5" t="s">
        <v>57</v>
      </c>
      <c r="J1494">
        <v>2050</v>
      </c>
      <c r="K1494" s="38" t="str">
        <f t="shared" si="187"/>
        <v>*0.92</v>
      </c>
      <c r="P1494" s="32" t="s">
        <v>2368</v>
      </c>
      <c r="Q1494" s="42" t="s">
        <v>57</v>
      </c>
      <c r="R1494" s="32">
        <v>2035</v>
      </c>
      <c r="S1494" s="43" t="str">
        <f t="shared" si="188"/>
        <v>*0.95</v>
      </c>
      <c r="U1494" s="32" t="s">
        <v>2368</v>
      </c>
      <c r="V1494" s="42" t="s">
        <v>57</v>
      </c>
      <c r="W1494" s="32">
        <v>2050</v>
      </c>
      <c r="X1494" s="43" t="str">
        <f t="shared" si="189"/>
        <v>*0.92</v>
      </c>
      <c r="AC1494" s="33" t="s">
        <v>2368</v>
      </c>
      <c r="AD1494" s="44" t="s">
        <v>57</v>
      </c>
      <c r="AE1494" s="33">
        <v>2035</v>
      </c>
      <c r="AF1494" s="45" t="str">
        <f t="shared" si="190"/>
        <v>*0.93</v>
      </c>
      <c r="AG1494" s="43" t="str">
        <f t="shared" si="192"/>
        <v>REZoning_Sol-Win</v>
      </c>
      <c r="AI1494" s="33" t="s">
        <v>2368</v>
      </c>
      <c r="AJ1494" s="44" t="s">
        <v>57</v>
      </c>
      <c r="AK1494" s="33">
        <v>2050</v>
      </c>
      <c r="AL1494" s="45" t="str">
        <f t="shared" si="191"/>
        <v>*0.89</v>
      </c>
      <c r="AM1494" s="43" t="str">
        <f t="shared" si="193"/>
        <v>REZoning_Sol-Win</v>
      </c>
      <c r="AP1494" t="s">
        <v>2368</v>
      </c>
      <c r="AQ1494" t="s">
        <v>57</v>
      </c>
      <c r="AR1494">
        <v>2100</v>
      </c>
      <c r="AS1494" t="s">
        <v>937</v>
      </c>
      <c r="AT1494" t="s">
        <v>58</v>
      </c>
    </row>
    <row r="1495" ht="29" spans="1:46">
      <c r="A1495" s="31" t="s">
        <v>83</v>
      </c>
      <c r="C1495" t="s">
        <v>2369</v>
      </c>
      <c r="D1495" s="5" t="s">
        <v>57</v>
      </c>
      <c r="E1495">
        <v>2035</v>
      </c>
      <c r="F1495" s="6" t="str">
        <f t="shared" si="186"/>
        <v>*0.95</v>
      </c>
      <c r="H1495" t="s">
        <v>2369</v>
      </c>
      <c r="I1495" s="5" t="s">
        <v>57</v>
      </c>
      <c r="J1495">
        <v>2050</v>
      </c>
      <c r="K1495" s="38" t="str">
        <f t="shared" si="187"/>
        <v>*0.92</v>
      </c>
      <c r="P1495" s="32" t="s">
        <v>2369</v>
      </c>
      <c r="Q1495" s="42" t="s">
        <v>57</v>
      </c>
      <c r="R1495" s="32">
        <v>2035</v>
      </c>
      <c r="S1495" s="43" t="str">
        <f t="shared" si="188"/>
        <v>*0.95</v>
      </c>
      <c r="U1495" s="32" t="s">
        <v>2369</v>
      </c>
      <c r="V1495" s="42" t="s">
        <v>57</v>
      </c>
      <c r="W1495" s="32">
        <v>2050</v>
      </c>
      <c r="X1495" s="43" t="str">
        <f t="shared" si="189"/>
        <v>*0.92</v>
      </c>
      <c r="AC1495" s="33" t="s">
        <v>2369</v>
      </c>
      <c r="AD1495" s="44" t="s">
        <v>57</v>
      </c>
      <c r="AE1495" s="33">
        <v>2035</v>
      </c>
      <c r="AF1495" s="45" t="str">
        <f t="shared" si="190"/>
        <v>*0.93</v>
      </c>
      <c r="AG1495" s="43" t="str">
        <f t="shared" si="192"/>
        <v>REZoning_Sol-Win</v>
      </c>
      <c r="AI1495" s="33" t="s">
        <v>2369</v>
      </c>
      <c r="AJ1495" s="44" t="s">
        <v>57</v>
      </c>
      <c r="AK1495" s="33">
        <v>2050</v>
      </c>
      <c r="AL1495" s="45" t="str">
        <f t="shared" si="191"/>
        <v>*0.89</v>
      </c>
      <c r="AM1495" s="43" t="str">
        <f t="shared" si="193"/>
        <v>REZoning_Sol-Win</v>
      </c>
      <c r="AP1495" t="s">
        <v>2369</v>
      </c>
      <c r="AQ1495" t="s">
        <v>57</v>
      </c>
      <c r="AR1495">
        <v>2100</v>
      </c>
      <c r="AS1495" t="s">
        <v>937</v>
      </c>
      <c r="AT1495" t="s">
        <v>58</v>
      </c>
    </row>
    <row r="1496" ht="29" spans="1:46">
      <c r="A1496" s="31" t="s">
        <v>83</v>
      </c>
      <c r="C1496" t="s">
        <v>2370</v>
      </c>
      <c r="D1496" s="5" t="s">
        <v>57</v>
      </c>
      <c r="E1496">
        <v>2035</v>
      </c>
      <c r="F1496" s="6" t="str">
        <f t="shared" si="186"/>
        <v>*0.95</v>
      </c>
      <c r="H1496" t="s">
        <v>2370</v>
      </c>
      <c r="I1496" s="5" t="s">
        <v>57</v>
      </c>
      <c r="J1496">
        <v>2050</v>
      </c>
      <c r="K1496" s="38" t="str">
        <f t="shared" si="187"/>
        <v>*0.92</v>
      </c>
      <c r="P1496" s="32" t="s">
        <v>2370</v>
      </c>
      <c r="Q1496" s="42" t="s">
        <v>57</v>
      </c>
      <c r="R1496" s="32">
        <v>2035</v>
      </c>
      <c r="S1496" s="43" t="str">
        <f t="shared" si="188"/>
        <v>*0.95</v>
      </c>
      <c r="U1496" s="32" t="s">
        <v>2370</v>
      </c>
      <c r="V1496" s="42" t="s">
        <v>57</v>
      </c>
      <c r="W1496" s="32">
        <v>2050</v>
      </c>
      <c r="X1496" s="43" t="str">
        <f t="shared" si="189"/>
        <v>*0.92</v>
      </c>
      <c r="AC1496" s="33" t="s">
        <v>2370</v>
      </c>
      <c r="AD1496" s="44" t="s">
        <v>57</v>
      </c>
      <c r="AE1496" s="33">
        <v>2035</v>
      </c>
      <c r="AF1496" s="45" t="str">
        <f t="shared" si="190"/>
        <v>*0.93</v>
      </c>
      <c r="AG1496" s="43" t="str">
        <f t="shared" si="192"/>
        <v>REZoning_Sol-Win</v>
      </c>
      <c r="AI1496" s="33" t="s">
        <v>2370</v>
      </c>
      <c r="AJ1496" s="44" t="s">
        <v>57</v>
      </c>
      <c r="AK1496" s="33">
        <v>2050</v>
      </c>
      <c r="AL1496" s="45" t="str">
        <f t="shared" si="191"/>
        <v>*0.89</v>
      </c>
      <c r="AM1496" s="43" t="str">
        <f t="shared" si="193"/>
        <v>REZoning_Sol-Win</v>
      </c>
      <c r="AP1496" t="s">
        <v>2370</v>
      </c>
      <c r="AQ1496" t="s">
        <v>57</v>
      </c>
      <c r="AR1496">
        <v>2100</v>
      </c>
      <c r="AS1496" t="s">
        <v>937</v>
      </c>
      <c r="AT1496" t="s">
        <v>58</v>
      </c>
    </row>
    <row r="1497" ht="29" spans="1:46">
      <c r="A1497" s="31" t="s">
        <v>83</v>
      </c>
      <c r="C1497" t="s">
        <v>2371</v>
      </c>
      <c r="D1497" s="5" t="s">
        <v>57</v>
      </c>
      <c r="E1497">
        <v>2035</v>
      </c>
      <c r="F1497" s="6" t="str">
        <f t="shared" si="186"/>
        <v>*0.95</v>
      </c>
      <c r="H1497" t="s">
        <v>2371</v>
      </c>
      <c r="I1497" s="5" t="s">
        <v>57</v>
      </c>
      <c r="J1497">
        <v>2050</v>
      </c>
      <c r="K1497" s="38" t="str">
        <f t="shared" si="187"/>
        <v>*0.92</v>
      </c>
      <c r="P1497" s="32" t="s">
        <v>2371</v>
      </c>
      <c r="Q1497" s="42" t="s">
        <v>57</v>
      </c>
      <c r="R1497" s="32">
        <v>2035</v>
      </c>
      <c r="S1497" s="43" t="str">
        <f t="shared" si="188"/>
        <v>*0.95</v>
      </c>
      <c r="U1497" s="32" t="s">
        <v>2371</v>
      </c>
      <c r="V1497" s="42" t="s">
        <v>57</v>
      </c>
      <c r="W1497" s="32">
        <v>2050</v>
      </c>
      <c r="X1497" s="43" t="str">
        <f t="shared" si="189"/>
        <v>*0.92</v>
      </c>
      <c r="AC1497" s="33" t="s">
        <v>2371</v>
      </c>
      <c r="AD1497" s="44" t="s">
        <v>57</v>
      </c>
      <c r="AE1497" s="33">
        <v>2035</v>
      </c>
      <c r="AF1497" s="45" t="str">
        <f t="shared" si="190"/>
        <v>*0.93</v>
      </c>
      <c r="AG1497" s="43" t="str">
        <f t="shared" si="192"/>
        <v>REZoning_Sol-Win</v>
      </c>
      <c r="AI1497" s="33" t="s">
        <v>2371</v>
      </c>
      <c r="AJ1497" s="44" t="s">
        <v>57</v>
      </c>
      <c r="AK1497" s="33">
        <v>2050</v>
      </c>
      <c r="AL1497" s="45" t="str">
        <f t="shared" si="191"/>
        <v>*0.89</v>
      </c>
      <c r="AM1497" s="43" t="str">
        <f t="shared" si="193"/>
        <v>REZoning_Sol-Win</v>
      </c>
      <c r="AP1497" t="s">
        <v>2371</v>
      </c>
      <c r="AQ1497" t="s">
        <v>57</v>
      </c>
      <c r="AR1497">
        <v>2100</v>
      </c>
      <c r="AS1497" t="s">
        <v>937</v>
      </c>
      <c r="AT1497" t="s">
        <v>58</v>
      </c>
    </row>
    <row r="1498" ht="29" spans="1:46">
      <c r="A1498" s="31" t="s">
        <v>73</v>
      </c>
      <c r="C1498" t="s">
        <v>2372</v>
      </c>
      <c r="D1498" s="5" t="s">
        <v>57</v>
      </c>
      <c r="E1498">
        <v>2035</v>
      </c>
      <c r="F1498" s="6" t="str">
        <f t="shared" si="186"/>
        <v>*0.95</v>
      </c>
      <c r="H1498" t="s">
        <v>2372</v>
      </c>
      <c r="I1498" s="5" t="s">
        <v>57</v>
      </c>
      <c r="J1498">
        <v>2050</v>
      </c>
      <c r="K1498" s="38" t="str">
        <f t="shared" si="187"/>
        <v>*0.93</v>
      </c>
      <c r="P1498" s="32" t="s">
        <v>2372</v>
      </c>
      <c r="Q1498" s="42" t="s">
        <v>57</v>
      </c>
      <c r="R1498" s="32">
        <v>2035</v>
      </c>
      <c r="S1498" s="43" t="str">
        <f t="shared" si="188"/>
        <v>*0.95</v>
      </c>
      <c r="U1498" s="32" t="s">
        <v>2372</v>
      </c>
      <c r="V1498" s="42" t="s">
        <v>57</v>
      </c>
      <c r="W1498" s="32">
        <v>2050</v>
      </c>
      <c r="X1498" s="43" t="str">
        <f t="shared" si="189"/>
        <v>*0.93</v>
      </c>
      <c r="AC1498" s="33" t="s">
        <v>2372</v>
      </c>
      <c r="AD1498" s="44" t="s">
        <v>57</v>
      </c>
      <c r="AE1498" s="33">
        <v>2035</v>
      </c>
      <c r="AF1498" s="45" t="str">
        <f t="shared" si="190"/>
        <v>*0.93</v>
      </c>
      <c r="AG1498" s="43" t="str">
        <f t="shared" si="192"/>
        <v>REZoning_Sol-Win</v>
      </c>
      <c r="AI1498" s="33" t="s">
        <v>2372</v>
      </c>
      <c r="AJ1498" s="44" t="s">
        <v>57</v>
      </c>
      <c r="AK1498" s="33">
        <v>2050</v>
      </c>
      <c r="AL1498" s="45" t="str">
        <f t="shared" si="191"/>
        <v>*0.9</v>
      </c>
      <c r="AM1498" s="43" t="str">
        <f t="shared" si="193"/>
        <v>REZoning_Sol-Win</v>
      </c>
      <c r="AP1498" t="s">
        <v>2372</v>
      </c>
      <c r="AQ1498" t="s">
        <v>57</v>
      </c>
      <c r="AR1498">
        <v>2100</v>
      </c>
      <c r="AS1498" t="s">
        <v>897</v>
      </c>
      <c r="AT1498" t="s">
        <v>58</v>
      </c>
    </row>
    <row r="1499" ht="29" spans="1:46">
      <c r="A1499" s="31" t="s">
        <v>73</v>
      </c>
      <c r="C1499" t="s">
        <v>2373</v>
      </c>
      <c r="D1499" s="5" t="s">
        <v>57</v>
      </c>
      <c r="E1499">
        <v>2035</v>
      </c>
      <c r="F1499" s="6" t="str">
        <f t="shared" si="186"/>
        <v>*0.95</v>
      </c>
      <c r="H1499" t="s">
        <v>2373</v>
      </c>
      <c r="I1499" s="5" t="s">
        <v>57</v>
      </c>
      <c r="J1499">
        <v>2050</v>
      </c>
      <c r="K1499" s="38" t="str">
        <f t="shared" si="187"/>
        <v>*0.93</v>
      </c>
      <c r="P1499" s="32" t="s">
        <v>2373</v>
      </c>
      <c r="Q1499" s="42" t="s">
        <v>57</v>
      </c>
      <c r="R1499" s="32">
        <v>2035</v>
      </c>
      <c r="S1499" s="43" t="str">
        <f t="shared" si="188"/>
        <v>*0.95</v>
      </c>
      <c r="U1499" s="32" t="s">
        <v>2373</v>
      </c>
      <c r="V1499" s="42" t="s">
        <v>57</v>
      </c>
      <c r="W1499" s="32">
        <v>2050</v>
      </c>
      <c r="X1499" s="43" t="str">
        <f t="shared" si="189"/>
        <v>*0.93</v>
      </c>
      <c r="AC1499" s="33" t="s">
        <v>2373</v>
      </c>
      <c r="AD1499" s="44" t="s">
        <v>57</v>
      </c>
      <c r="AE1499" s="33">
        <v>2035</v>
      </c>
      <c r="AF1499" s="45" t="str">
        <f t="shared" si="190"/>
        <v>*0.93</v>
      </c>
      <c r="AG1499" s="43" t="str">
        <f t="shared" si="192"/>
        <v>REZoning_Sol-Win</v>
      </c>
      <c r="AI1499" s="33" t="s">
        <v>2373</v>
      </c>
      <c r="AJ1499" s="44" t="s">
        <v>57</v>
      </c>
      <c r="AK1499" s="33">
        <v>2050</v>
      </c>
      <c r="AL1499" s="45" t="str">
        <f t="shared" si="191"/>
        <v>*0.9</v>
      </c>
      <c r="AM1499" s="43" t="str">
        <f t="shared" si="193"/>
        <v>REZoning_Sol-Win</v>
      </c>
      <c r="AP1499" t="s">
        <v>2373</v>
      </c>
      <c r="AQ1499" t="s">
        <v>57</v>
      </c>
      <c r="AR1499">
        <v>2100</v>
      </c>
      <c r="AS1499" t="s">
        <v>897</v>
      </c>
      <c r="AT1499" t="s">
        <v>58</v>
      </c>
    </row>
    <row r="1500" ht="29" spans="1:46">
      <c r="A1500" s="31" t="s">
        <v>73</v>
      </c>
      <c r="C1500" t="s">
        <v>2374</v>
      </c>
      <c r="D1500" s="5" t="s">
        <v>57</v>
      </c>
      <c r="E1500">
        <v>2035</v>
      </c>
      <c r="F1500" s="6" t="str">
        <f t="shared" si="186"/>
        <v>*0.95</v>
      </c>
      <c r="H1500" t="s">
        <v>2374</v>
      </c>
      <c r="I1500" s="5" t="s">
        <v>57</v>
      </c>
      <c r="J1500">
        <v>2050</v>
      </c>
      <c r="K1500" s="38" t="str">
        <f t="shared" si="187"/>
        <v>*0.93</v>
      </c>
      <c r="P1500" s="32" t="s">
        <v>2374</v>
      </c>
      <c r="Q1500" s="42" t="s">
        <v>57</v>
      </c>
      <c r="R1500" s="32">
        <v>2035</v>
      </c>
      <c r="S1500" s="43" t="str">
        <f t="shared" si="188"/>
        <v>*0.95</v>
      </c>
      <c r="U1500" s="32" t="s">
        <v>2374</v>
      </c>
      <c r="V1500" s="42" t="s">
        <v>57</v>
      </c>
      <c r="W1500" s="32">
        <v>2050</v>
      </c>
      <c r="X1500" s="43" t="str">
        <f t="shared" si="189"/>
        <v>*0.93</v>
      </c>
      <c r="AC1500" s="33" t="s">
        <v>2374</v>
      </c>
      <c r="AD1500" s="44" t="s">
        <v>57</v>
      </c>
      <c r="AE1500" s="33">
        <v>2035</v>
      </c>
      <c r="AF1500" s="45" t="str">
        <f t="shared" si="190"/>
        <v>*0.93</v>
      </c>
      <c r="AG1500" s="43" t="str">
        <f t="shared" si="192"/>
        <v>REZoning_Sol-Win</v>
      </c>
      <c r="AI1500" s="33" t="s">
        <v>2374</v>
      </c>
      <c r="AJ1500" s="44" t="s">
        <v>57</v>
      </c>
      <c r="AK1500" s="33">
        <v>2050</v>
      </c>
      <c r="AL1500" s="45" t="str">
        <f t="shared" si="191"/>
        <v>*0.9</v>
      </c>
      <c r="AM1500" s="43" t="str">
        <f t="shared" si="193"/>
        <v>REZoning_Sol-Win</v>
      </c>
      <c r="AP1500" t="s">
        <v>2374</v>
      </c>
      <c r="AQ1500" t="s">
        <v>57</v>
      </c>
      <c r="AR1500">
        <v>2100</v>
      </c>
      <c r="AS1500" t="s">
        <v>897</v>
      </c>
      <c r="AT1500" t="s">
        <v>58</v>
      </c>
    </row>
    <row r="1501" ht="29" spans="1:46">
      <c r="A1501" s="31" t="s">
        <v>73</v>
      </c>
      <c r="C1501" t="s">
        <v>2375</v>
      </c>
      <c r="D1501" s="5" t="s">
        <v>57</v>
      </c>
      <c r="E1501">
        <v>2035</v>
      </c>
      <c r="F1501" s="6" t="str">
        <f t="shared" si="186"/>
        <v>*0.95</v>
      </c>
      <c r="H1501" t="s">
        <v>2375</v>
      </c>
      <c r="I1501" s="5" t="s">
        <v>57</v>
      </c>
      <c r="J1501">
        <v>2050</v>
      </c>
      <c r="K1501" s="38" t="str">
        <f t="shared" si="187"/>
        <v>*0.93</v>
      </c>
      <c r="P1501" s="32" t="s">
        <v>2375</v>
      </c>
      <c r="Q1501" s="42" t="s">
        <v>57</v>
      </c>
      <c r="R1501" s="32">
        <v>2035</v>
      </c>
      <c r="S1501" s="43" t="str">
        <f t="shared" si="188"/>
        <v>*0.95</v>
      </c>
      <c r="U1501" s="32" t="s">
        <v>2375</v>
      </c>
      <c r="V1501" s="42" t="s">
        <v>57</v>
      </c>
      <c r="W1501" s="32">
        <v>2050</v>
      </c>
      <c r="X1501" s="43" t="str">
        <f t="shared" si="189"/>
        <v>*0.93</v>
      </c>
      <c r="AC1501" s="33" t="s">
        <v>2375</v>
      </c>
      <c r="AD1501" s="44" t="s">
        <v>57</v>
      </c>
      <c r="AE1501" s="33">
        <v>2035</v>
      </c>
      <c r="AF1501" s="45" t="str">
        <f t="shared" si="190"/>
        <v>*0.93</v>
      </c>
      <c r="AG1501" s="43" t="str">
        <f t="shared" si="192"/>
        <v>REZoning_Sol-Win</v>
      </c>
      <c r="AI1501" s="33" t="s">
        <v>2375</v>
      </c>
      <c r="AJ1501" s="44" t="s">
        <v>57</v>
      </c>
      <c r="AK1501" s="33">
        <v>2050</v>
      </c>
      <c r="AL1501" s="45" t="str">
        <f t="shared" si="191"/>
        <v>*0.9</v>
      </c>
      <c r="AM1501" s="43" t="str">
        <f t="shared" si="193"/>
        <v>REZoning_Sol-Win</v>
      </c>
      <c r="AP1501" t="s">
        <v>2375</v>
      </c>
      <c r="AQ1501" t="s">
        <v>57</v>
      </c>
      <c r="AR1501">
        <v>2100</v>
      </c>
      <c r="AS1501" t="s">
        <v>897</v>
      </c>
      <c r="AT1501" t="s">
        <v>58</v>
      </c>
    </row>
    <row r="1502" ht="29" spans="1:46">
      <c r="A1502" s="31" t="s">
        <v>73</v>
      </c>
      <c r="C1502" t="s">
        <v>2376</v>
      </c>
      <c r="D1502" s="5" t="s">
        <v>57</v>
      </c>
      <c r="E1502">
        <v>2035</v>
      </c>
      <c r="F1502" s="6" t="str">
        <f t="shared" si="186"/>
        <v>*0.95</v>
      </c>
      <c r="H1502" t="s">
        <v>2376</v>
      </c>
      <c r="I1502" s="5" t="s">
        <v>57</v>
      </c>
      <c r="J1502">
        <v>2050</v>
      </c>
      <c r="K1502" s="38" t="str">
        <f t="shared" si="187"/>
        <v>*0.93</v>
      </c>
      <c r="P1502" s="32" t="s">
        <v>2376</v>
      </c>
      <c r="Q1502" s="42" t="s">
        <v>57</v>
      </c>
      <c r="R1502" s="32">
        <v>2035</v>
      </c>
      <c r="S1502" s="43" t="str">
        <f t="shared" si="188"/>
        <v>*0.95</v>
      </c>
      <c r="U1502" s="32" t="s">
        <v>2376</v>
      </c>
      <c r="V1502" s="42" t="s">
        <v>57</v>
      </c>
      <c r="W1502" s="32">
        <v>2050</v>
      </c>
      <c r="X1502" s="43" t="str">
        <f t="shared" si="189"/>
        <v>*0.93</v>
      </c>
      <c r="AC1502" s="33" t="s">
        <v>2376</v>
      </c>
      <c r="AD1502" s="44" t="s">
        <v>57</v>
      </c>
      <c r="AE1502" s="33">
        <v>2035</v>
      </c>
      <c r="AF1502" s="45" t="str">
        <f t="shared" si="190"/>
        <v>*0.93</v>
      </c>
      <c r="AG1502" s="43" t="str">
        <f t="shared" si="192"/>
        <v>REZoning_Sol-Win</v>
      </c>
      <c r="AI1502" s="33" t="s">
        <v>2376</v>
      </c>
      <c r="AJ1502" s="44" t="s">
        <v>57</v>
      </c>
      <c r="AK1502" s="33">
        <v>2050</v>
      </c>
      <c r="AL1502" s="45" t="str">
        <f t="shared" si="191"/>
        <v>*0.9</v>
      </c>
      <c r="AM1502" s="43" t="str">
        <f t="shared" si="193"/>
        <v>REZoning_Sol-Win</v>
      </c>
      <c r="AP1502" t="s">
        <v>2376</v>
      </c>
      <c r="AQ1502" t="s">
        <v>57</v>
      </c>
      <c r="AR1502">
        <v>2100</v>
      </c>
      <c r="AS1502" t="s">
        <v>897</v>
      </c>
      <c r="AT1502" t="s">
        <v>58</v>
      </c>
    </row>
    <row r="1503" ht="29" spans="1:46">
      <c r="A1503" s="31" t="s">
        <v>73</v>
      </c>
      <c r="C1503" t="s">
        <v>2377</v>
      </c>
      <c r="D1503" s="5" t="s">
        <v>57</v>
      </c>
      <c r="E1503">
        <v>2035</v>
      </c>
      <c r="F1503" s="6" t="str">
        <f t="shared" si="186"/>
        <v>*0.95</v>
      </c>
      <c r="H1503" t="s">
        <v>2377</v>
      </c>
      <c r="I1503" s="5" t="s">
        <v>57</v>
      </c>
      <c r="J1503">
        <v>2050</v>
      </c>
      <c r="K1503" s="38" t="str">
        <f t="shared" si="187"/>
        <v>*0.93</v>
      </c>
      <c r="P1503" s="32" t="s">
        <v>2377</v>
      </c>
      <c r="Q1503" s="42" t="s">
        <v>57</v>
      </c>
      <c r="R1503" s="32">
        <v>2035</v>
      </c>
      <c r="S1503" s="43" t="str">
        <f t="shared" si="188"/>
        <v>*0.95</v>
      </c>
      <c r="U1503" s="32" t="s">
        <v>2377</v>
      </c>
      <c r="V1503" s="42" t="s">
        <v>57</v>
      </c>
      <c r="W1503" s="32">
        <v>2050</v>
      </c>
      <c r="X1503" s="43" t="str">
        <f t="shared" si="189"/>
        <v>*0.93</v>
      </c>
      <c r="AC1503" s="33" t="s">
        <v>2377</v>
      </c>
      <c r="AD1503" s="44" t="s">
        <v>57</v>
      </c>
      <c r="AE1503" s="33">
        <v>2035</v>
      </c>
      <c r="AF1503" s="45" t="str">
        <f t="shared" si="190"/>
        <v>*0.93</v>
      </c>
      <c r="AG1503" s="43" t="str">
        <f t="shared" si="192"/>
        <v>REZoning_Sol-Win</v>
      </c>
      <c r="AI1503" s="33" t="s">
        <v>2377</v>
      </c>
      <c r="AJ1503" s="44" t="s">
        <v>57</v>
      </c>
      <c r="AK1503" s="33">
        <v>2050</v>
      </c>
      <c r="AL1503" s="45" t="str">
        <f t="shared" si="191"/>
        <v>*0.9</v>
      </c>
      <c r="AM1503" s="43" t="str">
        <f t="shared" si="193"/>
        <v>REZoning_Sol-Win</v>
      </c>
      <c r="AP1503" t="s">
        <v>2377</v>
      </c>
      <c r="AQ1503" t="s">
        <v>57</v>
      </c>
      <c r="AR1503">
        <v>2100</v>
      </c>
      <c r="AS1503" t="s">
        <v>897</v>
      </c>
      <c r="AT1503" t="s">
        <v>58</v>
      </c>
    </row>
    <row r="1504" ht="29" spans="1:46">
      <c r="A1504" s="31" t="s">
        <v>73</v>
      </c>
      <c r="C1504" t="s">
        <v>2378</v>
      </c>
      <c r="D1504" s="5" t="s">
        <v>57</v>
      </c>
      <c r="E1504">
        <v>2035</v>
      </c>
      <c r="F1504" s="6" t="str">
        <f t="shared" si="186"/>
        <v>*0.95</v>
      </c>
      <c r="H1504" t="s">
        <v>2378</v>
      </c>
      <c r="I1504" s="5" t="s">
        <v>57</v>
      </c>
      <c r="J1504">
        <v>2050</v>
      </c>
      <c r="K1504" s="38" t="str">
        <f t="shared" si="187"/>
        <v>*0.93</v>
      </c>
      <c r="P1504" s="32" t="s">
        <v>2378</v>
      </c>
      <c r="Q1504" s="42" t="s">
        <v>57</v>
      </c>
      <c r="R1504" s="32">
        <v>2035</v>
      </c>
      <c r="S1504" s="43" t="str">
        <f t="shared" si="188"/>
        <v>*0.95</v>
      </c>
      <c r="U1504" s="32" t="s">
        <v>2378</v>
      </c>
      <c r="V1504" s="42" t="s">
        <v>57</v>
      </c>
      <c r="W1504" s="32">
        <v>2050</v>
      </c>
      <c r="X1504" s="43" t="str">
        <f t="shared" si="189"/>
        <v>*0.93</v>
      </c>
      <c r="AC1504" s="33" t="s">
        <v>2378</v>
      </c>
      <c r="AD1504" s="44" t="s">
        <v>57</v>
      </c>
      <c r="AE1504" s="33">
        <v>2035</v>
      </c>
      <c r="AF1504" s="45" t="str">
        <f t="shared" si="190"/>
        <v>*0.93</v>
      </c>
      <c r="AG1504" s="43" t="str">
        <f t="shared" si="192"/>
        <v>REZoning_Sol-Win</v>
      </c>
      <c r="AI1504" s="33" t="s">
        <v>2378</v>
      </c>
      <c r="AJ1504" s="44" t="s">
        <v>57</v>
      </c>
      <c r="AK1504" s="33">
        <v>2050</v>
      </c>
      <c r="AL1504" s="45" t="str">
        <f t="shared" si="191"/>
        <v>*0.9</v>
      </c>
      <c r="AM1504" s="43" t="str">
        <f t="shared" si="193"/>
        <v>REZoning_Sol-Win</v>
      </c>
      <c r="AP1504" t="s">
        <v>2378</v>
      </c>
      <c r="AQ1504" t="s">
        <v>57</v>
      </c>
      <c r="AR1504">
        <v>2100</v>
      </c>
      <c r="AS1504" t="s">
        <v>897</v>
      </c>
      <c r="AT1504" t="s">
        <v>58</v>
      </c>
    </row>
    <row r="1505" ht="29" spans="1:46">
      <c r="A1505" s="31" t="s">
        <v>73</v>
      </c>
      <c r="C1505" t="s">
        <v>2379</v>
      </c>
      <c r="D1505" s="5" t="s">
        <v>57</v>
      </c>
      <c r="E1505">
        <v>2035</v>
      </c>
      <c r="F1505" s="6" t="str">
        <f t="shared" si="186"/>
        <v>*0.95</v>
      </c>
      <c r="H1505" t="s">
        <v>2379</v>
      </c>
      <c r="I1505" s="5" t="s">
        <v>57</v>
      </c>
      <c r="J1505">
        <v>2050</v>
      </c>
      <c r="K1505" s="38" t="str">
        <f t="shared" si="187"/>
        <v>*0.93</v>
      </c>
      <c r="P1505" s="32" t="s">
        <v>2379</v>
      </c>
      <c r="Q1505" s="42" t="s">
        <v>57</v>
      </c>
      <c r="R1505" s="32">
        <v>2035</v>
      </c>
      <c r="S1505" s="43" t="str">
        <f t="shared" si="188"/>
        <v>*0.95</v>
      </c>
      <c r="U1505" s="32" t="s">
        <v>2379</v>
      </c>
      <c r="V1505" s="42" t="s">
        <v>57</v>
      </c>
      <c r="W1505" s="32">
        <v>2050</v>
      </c>
      <c r="X1505" s="43" t="str">
        <f t="shared" si="189"/>
        <v>*0.93</v>
      </c>
      <c r="AC1505" s="33" t="s">
        <v>2379</v>
      </c>
      <c r="AD1505" s="44" t="s">
        <v>57</v>
      </c>
      <c r="AE1505" s="33">
        <v>2035</v>
      </c>
      <c r="AF1505" s="45" t="str">
        <f t="shared" si="190"/>
        <v>*0.93</v>
      </c>
      <c r="AG1505" s="43" t="str">
        <f t="shared" si="192"/>
        <v>REZoning_Sol-Win</v>
      </c>
      <c r="AI1505" s="33" t="s">
        <v>2379</v>
      </c>
      <c r="AJ1505" s="44" t="s">
        <v>57</v>
      </c>
      <c r="AK1505" s="33">
        <v>2050</v>
      </c>
      <c r="AL1505" s="45" t="str">
        <f t="shared" si="191"/>
        <v>*0.9</v>
      </c>
      <c r="AM1505" s="43" t="str">
        <f t="shared" si="193"/>
        <v>REZoning_Sol-Win</v>
      </c>
      <c r="AP1505" t="s">
        <v>2379</v>
      </c>
      <c r="AQ1505" t="s">
        <v>57</v>
      </c>
      <c r="AR1505">
        <v>2100</v>
      </c>
      <c r="AS1505" t="s">
        <v>897</v>
      </c>
      <c r="AT1505" t="s">
        <v>58</v>
      </c>
    </row>
    <row r="1506" ht="29" spans="1:46">
      <c r="A1506" s="31" t="s">
        <v>65</v>
      </c>
      <c r="C1506" t="s">
        <v>2380</v>
      </c>
      <c r="D1506" s="5" t="s">
        <v>57</v>
      </c>
      <c r="E1506">
        <v>2035</v>
      </c>
      <c r="F1506" s="6" t="str">
        <f t="shared" si="186"/>
        <v>*0.94</v>
      </c>
      <c r="H1506" t="s">
        <v>2380</v>
      </c>
      <c r="I1506" s="5" t="s">
        <v>57</v>
      </c>
      <c r="J1506">
        <v>2050</v>
      </c>
      <c r="K1506" s="38" t="str">
        <f t="shared" si="187"/>
        <v>*0.91</v>
      </c>
      <c r="P1506" s="32" t="s">
        <v>2380</v>
      </c>
      <c r="Q1506" s="42" t="s">
        <v>57</v>
      </c>
      <c r="R1506" s="32">
        <v>2035</v>
      </c>
      <c r="S1506" s="43" t="str">
        <f t="shared" si="188"/>
        <v>*0.93</v>
      </c>
      <c r="U1506" s="32" t="s">
        <v>2380</v>
      </c>
      <c r="V1506" s="42" t="s">
        <v>57</v>
      </c>
      <c r="W1506" s="32">
        <v>2050</v>
      </c>
      <c r="X1506" s="43" t="str">
        <f t="shared" si="189"/>
        <v>*0.9</v>
      </c>
      <c r="AC1506" s="33" t="s">
        <v>2380</v>
      </c>
      <c r="AD1506" s="44" t="s">
        <v>57</v>
      </c>
      <c r="AE1506" s="33">
        <v>2035</v>
      </c>
      <c r="AF1506" s="45" t="str">
        <f t="shared" si="190"/>
        <v>*0.9</v>
      </c>
      <c r="AG1506" s="43" t="str">
        <f t="shared" si="192"/>
        <v>REZoning_Sol-Win</v>
      </c>
      <c r="AI1506" s="33" t="s">
        <v>2380</v>
      </c>
      <c r="AJ1506" s="44" t="s">
        <v>57</v>
      </c>
      <c r="AK1506" s="33">
        <v>2050</v>
      </c>
      <c r="AL1506" s="45" t="str">
        <f t="shared" si="191"/>
        <v>*0.86</v>
      </c>
      <c r="AM1506" s="43" t="str">
        <f t="shared" si="193"/>
        <v>REZoning_Sol-Win</v>
      </c>
      <c r="AP1506" t="s">
        <v>2380</v>
      </c>
      <c r="AQ1506" t="s">
        <v>57</v>
      </c>
      <c r="AR1506">
        <v>2100</v>
      </c>
      <c r="AS1506" t="s">
        <v>883</v>
      </c>
      <c r="AT1506" t="s">
        <v>58</v>
      </c>
    </row>
    <row r="1507" ht="29" spans="1:46">
      <c r="A1507" s="31" t="s">
        <v>55</v>
      </c>
      <c r="C1507" t="s">
        <v>2381</v>
      </c>
      <c r="D1507" s="5" t="s">
        <v>57</v>
      </c>
      <c r="E1507">
        <v>2035</v>
      </c>
      <c r="F1507" s="6" t="str">
        <f t="shared" si="186"/>
        <v>*0.95</v>
      </c>
      <c r="H1507" t="s">
        <v>2381</v>
      </c>
      <c r="I1507" s="5" t="s">
        <v>57</v>
      </c>
      <c r="J1507">
        <v>2050</v>
      </c>
      <c r="K1507" s="38" t="str">
        <f t="shared" si="187"/>
        <v>*0.92</v>
      </c>
      <c r="P1507" s="32" t="s">
        <v>2381</v>
      </c>
      <c r="Q1507" s="42" t="s">
        <v>57</v>
      </c>
      <c r="R1507" s="32">
        <v>2035</v>
      </c>
      <c r="S1507" s="43" t="str">
        <f t="shared" si="188"/>
        <v>*0.94</v>
      </c>
      <c r="U1507" s="32" t="s">
        <v>2381</v>
      </c>
      <c r="V1507" s="42" t="s">
        <v>57</v>
      </c>
      <c r="W1507" s="32">
        <v>2050</v>
      </c>
      <c r="X1507" s="43" t="str">
        <f t="shared" si="189"/>
        <v>*0.91</v>
      </c>
      <c r="AC1507" s="33" t="s">
        <v>2381</v>
      </c>
      <c r="AD1507" s="44" t="s">
        <v>57</v>
      </c>
      <c r="AE1507" s="33">
        <v>2035</v>
      </c>
      <c r="AF1507" s="45" t="str">
        <f t="shared" si="190"/>
        <v>*0.92</v>
      </c>
      <c r="AG1507" s="43" t="str">
        <f t="shared" si="192"/>
        <v>REZoning_Sol-Win</v>
      </c>
      <c r="AI1507" s="33" t="s">
        <v>2381</v>
      </c>
      <c r="AJ1507" s="44" t="s">
        <v>57</v>
      </c>
      <c r="AK1507" s="33">
        <v>2050</v>
      </c>
      <c r="AL1507" s="45" t="str">
        <f t="shared" si="191"/>
        <v>*0.87</v>
      </c>
      <c r="AM1507" s="43" t="str">
        <f t="shared" si="193"/>
        <v>REZoning_Sol-Win</v>
      </c>
      <c r="AP1507" t="s">
        <v>2381</v>
      </c>
      <c r="AQ1507" t="s">
        <v>57</v>
      </c>
      <c r="AR1507">
        <v>2100</v>
      </c>
      <c r="AS1507" t="s">
        <v>874</v>
      </c>
      <c r="AT1507" t="s">
        <v>58</v>
      </c>
    </row>
    <row r="1508" ht="29" spans="1:46">
      <c r="A1508" s="31" t="s">
        <v>55</v>
      </c>
      <c r="C1508" t="s">
        <v>2382</v>
      </c>
      <c r="D1508" s="5" t="s">
        <v>57</v>
      </c>
      <c r="E1508">
        <v>2035</v>
      </c>
      <c r="F1508" s="6" t="str">
        <f t="shared" si="186"/>
        <v>*0.95</v>
      </c>
      <c r="H1508" t="s">
        <v>2382</v>
      </c>
      <c r="I1508" s="5" t="s">
        <v>57</v>
      </c>
      <c r="J1508">
        <v>2050</v>
      </c>
      <c r="K1508" s="38" t="str">
        <f t="shared" si="187"/>
        <v>*0.92</v>
      </c>
      <c r="P1508" s="32" t="s">
        <v>2382</v>
      </c>
      <c r="Q1508" s="42" t="s">
        <v>57</v>
      </c>
      <c r="R1508" s="32">
        <v>2035</v>
      </c>
      <c r="S1508" s="43" t="str">
        <f t="shared" si="188"/>
        <v>*0.94</v>
      </c>
      <c r="U1508" s="32" t="s">
        <v>2382</v>
      </c>
      <c r="V1508" s="42" t="s">
        <v>57</v>
      </c>
      <c r="W1508" s="32">
        <v>2050</v>
      </c>
      <c r="X1508" s="43" t="str">
        <f t="shared" si="189"/>
        <v>*0.91</v>
      </c>
      <c r="AC1508" s="33" t="s">
        <v>2382</v>
      </c>
      <c r="AD1508" s="44" t="s">
        <v>57</v>
      </c>
      <c r="AE1508" s="33">
        <v>2035</v>
      </c>
      <c r="AF1508" s="45" t="str">
        <f t="shared" si="190"/>
        <v>*0.92</v>
      </c>
      <c r="AG1508" s="43" t="str">
        <f t="shared" si="192"/>
        <v>REZoning_Sol-Win</v>
      </c>
      <c r="AI1508" s="33" t="s">
        <v>2382</v>
      </c>
      <c r="AJ1508" s="44" t="s">
        <v>57</v>
      </c>
      <c r="AK1508" s="33">
        <v>2050</v>
      </c>
      <c r="AL1508" s="45" t="str">
        <f t="shared" si="191"/>
        <v>*0.87</v>
      </c>
      <c r="AM1508" s="43" t="str">
        <f t="shared" si="193"/>
        <v>REZoning_Sol-Win</v>
      </c>
      <c r="AP1508" t="s">
        <v>2382</v>
      </c>
      <c r="AQ1508" t="s">
        <v>57</v>
      </c>
      <c r="AR1508">
        <v>2100</v>
      </c>
      <c r="AS1508" t="s">
        <v>874</v>
      </c>
      <c r="AT1508" t="s">
        <v>58</v>
      </c>
    </row>
    <row r="1509" ht="29" spans="1:46">
      <c r="A1509" s="31" t="s">
        <v>55</v>
      </c>
      <c r="C1509" t="s">
        <v>2383</v>
      </c>
      <c r="D1509" s="5" t="s">
        <v>57</v>
      </c>
      <c r="E1509">
        <v>2035</v>
      </c>
      <c r="F1509" s="6" t="str">
        <f t="shared" si="186"/>
        <v>*0.95</v>
      </c>
      <c r="H1509" t="s">
        <v>2383</v>
      </c>
      <c r="I1509" s="5" t="s">
        <v>57</v>
      </c>
      <c r="J1509">
        <v>2050</v>
      </c>
      <c r="K1509" s="38" t="str">
        <f t="shared" si="187"/>
        <v>*0.92</v>
      </c>
      <c r="P1509" s="32" t="s">
        <v>2383</v>
      </c>
      <c r="Q1509" s="42" t="s">
        <v>57</v>
      </c>
      <c r="R1509" s="32">
        <v>2035</v>
      </c>
      <c r="S1509" s="43" t="str">
        <f t="shared" si="188"/>
        <v>*0.94</v>
      </c>
      <c r="U1509" s="32" t="s">
        <v>2383</v>
      </c>
      <c r="V1509" s="42" t="s">
        <v>57</v>
      </c>
      <c r="W1509" s="32">
        <v>2050</v>
      </c>
      <c r="X1509" s="43" t="str">
        <f t="shared" si="189"/>
        <v>*0.91</v>
      </c>
      <c r="AC1509" s="33" t="s">
        <v>2383</v>
      </c>
      <c r="AD1509" s="44" t="s">
        <v>57</v>
      </c>
      <c r="AE1509" s="33">
        <v>2035</v>
      </c>
      <c r="AF1509" s="45" t="str">
        <f t="shared" si="190"/>
        <v>*0.92</v>
      </c>
      <c r="AG1509" s="43" t="str">
        <f t="shared" si="192"/>
        <v>REZoning_Sol-Win</v>
      </c>
      <c r="AI1509" s="33" t="s">
        <v>2383</v>
      </c>
      <c r="AJ1509" s="44" t="s">
        <v>57</v>
      </c>
      <c r="AK1509" s="33">
        <v>2050</v>
      </c>
      <c r="AL1509" s="45" t="str">
        <f t="shared" si="191"/>
        <v>*0.87</v>
      </c>
      <c r="AM1509" s="43" t="str">
        <f t="shared" si="193"/>
        <v>REZoning_Sol-Win</v>
      </c>
      <c r="AP1509" t="s">
        <v>2383</v>
      </c>
      <c r="AQ1509" t="s">
        <v>57</v>
      </c>
      <c r="AR1509">
        <v>2100</v>
      </c>
      <c r="AS1509" t="s">
        <v>874</v>
      </c>
      <c r="AT1509" t="s">
        <v>58</v>
      </c>
    </row>
    <row r="1510" ht="29" spans="1:46">
      <c r="A1510" s="31" t="s">
        <v>55</v>
      </c>
      <c r="C1510" t="s">
        <v>2384</v>
      </c>
      <c r="D1510" s="5" t="s">
        <v>57</v>
      </c>
      <c r="E1510">
        <v>2035</v>
      </c>
      <c r="F1510" s="6" t="str">
        <f t="shared" si="186"/>
        <v>*0.95</v>
      </c>
      <c r="H1510" t="s">
        <v>2384</v>
      </c>
      <c r="I1510" s="5" t="s">
        <v>57</v>
      </c>
      <c r="J1510">
        <v>2050</v>
      </c>
      <c r="K1510" s="38" t="str">
        <f t="shared" si="187"/>
        <v>*0.92</v>
      </c>
      <c r="P1510" s="32" t="s">
        <v>2384</v>
      </c>
      <c r="Q1510" s="42" t="s">
        <v>57</v>
      </c>
      <c r="R1510" s="32">
        <v>2035</v>
      </c>
      <c r="S1510" s="43" t="str">
        <f t="shared" si="188"/>
        <v>*0.94</v>
      </c>
      <c r="U1510" s="32" t="s">
        <v>2384</v>
      </c>
      <c r="V1510" s="42" t="s">
        <v>57</v>
      </c>
      <c r="W1510" s="32">
        <v>2050</v>
      </c>
      <c r="X1510" s="43" t="str">
        <f t="shared" si="189"/>
        <v>*0.91</v>
      </c>
      <c r="AC1510" s="33" t="s">
        <v>2384</v>
      </c>
      <c r="AD1510" s="44" t="s">
        <v>57</v>
      </c>
      <c r="AE1510" s="33">
        <v>2035</v>
      </c>
      <c r="AF1510" s="45" t="str">
        <f t="shared" si="190"/>
        <v>*0.92</v>
      </c>
      <c r="AG1510" s="43" t="str">
        <f t="shared" si="192"/>
        <v>REZoning_Sol-Win</v>
      </c>
      <c r="AI1510" s="33" t="s">
        <v>2384</v>
      </c>
      <c r="AJ1510" s="44" t="s">
        <v>57</v>
      </c>
      <c r="AK1510" s="33">
        <v>2050</v>
      </c>
      <c r="AL1510" s="45" t="str">
        <f t="shared" si="191"/>
        <v>*0.87</v>
      </c>
      <c r="AM1510" s="43" t="str">
        <f t="shared" si="193"/>
        <v>REZoning_Sol-Win</v>
      </c>
      <c r="AP1510" t="s">
        <v>2384</v>
      </c>
      <c r="AQ1510" t="s">
        <v>57</v>
      </c>
      <c r="AR1510">
        <v>2100</v>
      </c>
      <c r="AS1510" t="s">
        <v>874</v>
      </c>
      <c r="AT1510" t="s">
        <v>58</v>
      </c>
    </row>
    <row r="1511" ht="29" spans="1:46">
      <c r="A1511" s="31" t="s">
        <v>55</v>
      </c>
      <c r="C1511" t="s">
        <v>2385</v>
      </c>
      <c r="D1511" s="5" t="s">
        <v>57</v>
      </c>
      <c r="E1511">
        <v>2035</v>
      </c>
      <c r="F1511" s="6" t="str">
        <f t="shared" si="186"/>
        <v>*0.95</v>
      </c>
      <c r="H1511" t="s">
        <v>2385</v>
      </c>
      <c r="I1511" s="5" t="s">
        <v>57</v>
      </c>
      <c r="J1511">
        <v>2050</v>
      </c>
      <c r="K1511" s="38" t="str">
        <f t="shared" si="187"/>
        <v>*0.92</v>
      </c>
      <c r="P1511" s="32" t="s">
        <v>2385</v>
      </c>
      <c r="Q1511" s="42" t="s">
        <v>57</v>
      </c>
      <c r="R1511" s="32">
        <v>2035</v>
      </c>
      <c r="S1511" s="43" t="str">
        <f t="shared" si="188"/>
        <v>*0.94</v>
      </c>
      <c r="U1511" s="32" t="s">
        <v>2385</v>
      </c>
      <c r="V1511" s="42" t="s">
        <v>57</v>
      </c>
      <c r="W1511" s="32">
        <v>2050</v>
      </c>
      <c r="X1511" s="43" t="str">
        <f t="shared" si="189"/>
        <v>*0.91</v>
      </c>
      <c r="AC1511" s="33" t="s">
        <v>2385</v>
      </c>
      <c r="AD1511" s="44" t="s">
        <v>57</v>
      </c>
      <c r="AE1511" s="33">
        <v>2035</v>
      </c>
      <c r="AF1511" s="45" t="str">
        <f t="shared" si="190"/>
        <v>*0.92</v>
      </c>
      <c r="AG1511" s="43" t="str">
        <f t="shared" si="192"/>
        <v>REZoning_Sol-Win</v>
      </c>
      <c r="AI1511" s="33" t="s">
        <v>2385</v>
      </c>
      <c r="AJ1511" s="44" t="s">
        <v>57</v>
      </c>
      <c r="AK1511" s="33">
        <v>2050</v>
      </c>
      <c r="AL1511" s="45" t="str">
        <f t="shared" si="191"/>
        <v>*0.87</v>
      </c>
      <c r="AM1511" s="43" t="str">
        <f t="shared" si="193"/>
        <v>REZoning_Sol-Win</v>
      </c>
      <c r="AP1511" t="s">
        <v>2385</v>
      </c>
      <c r="AQ1511" t="s">
        <v>57</v>
      </c>
      <c r="AR1511">
        <v>2100</v>
      </c>
      <c r="AS1511" t="s">
        <v>874</v>
      </c>
      <c r="AT1511" t="s">
        <v>58</v>
      </c>
    </row>
    <row r="1512" ht="29" spans="1:46">
      <c r="A1512" s="31" t="s">
        <v>55</v>
      </c>
      <c r="C1512" t="s">
        <v>2386</v>
      </c>
      <c r="D1512" s="5" t="s">
        <v>57</v>
      </c>
      <c r="E1512">
        <v>2035</v>
      </c>
      <c r="F1512" s="6" t="str">
        <f t="shared" si="186"/>
        <v>*0.95</v>
      </c>
      <c r="H1512" t="s">
        <v>2386</v>
      </c>
      <c r="I1512" s="5" t="s">
        <v>57</v>
      </c>
      <c r="J1512">
        <v>2050</v>
      </c>
      <c r="K1512" s="38" t="str">
        <f t="shared" si="187"/>
        <v>*0.92</v>
      </c>
      <c r="P1512" s="32" t="s">
        <v>2386</v>
      </c>
      <c r="Q1512" s="42" t="s">
        <v>57</v>
      </c>
      <c r="R1512" s="32">
        <v>2035</v>
      </c>
      <c r="S1512" s="43" t="str">
        <f t="shared" si="188"/>
        <v>*0.94</v>
      </c>
      <c r="U1512" s="32" t="s">
        <v>2386</v>
      </c>
      <c r="V1512" s="42" t="s">
        <v>57</v>
      </c>
      <c r="W1512" s="32">
        <v>2050</v>
      </c>
      <c r="X1512" s="43" t="str">
        <f t="shared" si="189"/>
        <v>*0.91</v>
      </c>
      <c r="AC1512" s="33" t="s">
        <v>2386</v>
      </c>
      <c r="AD1512" s="44" t="s">
        <v>57</v>
      </c>
      <c r="AE1512" s="33">
        <v>2035</v>
      </c>
      <c r="AF1512" s="45" t="str">
        <f t="shared" si="190"/>
        <v>*0.92</v>
      </c>
      <c r="AG1512" s="43" t="str">
        <f t="shared" si="192"/>
        <v>REZoning_Sol-Win</v>
      </c>
      <c r="AI1512" s="33" t="s">
        <v>2386</v>
      </c>
      <c r="AJ1512" s="44" t="s">
        <v>57</v>
      </c>
      <c r="AK1512" s="33">
        <v>2050</v>
      </c>
      <c r="AL1512" s="45" t="str">
        <f t="shared" si="191"/>
        <v>*0.87</v>
      </c>
      <c r="AM1512" s="43" t="str">
        <f t="shared" si="193"/>
        <v>REZoning_Sol-Win</v>
      </c>
      <c r="AP1512" t="s">
        <v>2386</v>
      </c>
      <c r="AQ1512" t="s">
        <v>57</v>
      </c>
      <c r="AR1512">
        <v>2100</v>
      </c>
      <c r="AS1512" t="s">
        <v>874</v>
      </c>
      <c r="AT1512" t="s">
        <v>58</v>
      </c>
    </row>
    <row r="1513" ht="29" spans="1:46">
      <c r="A1513" s="31" t="s">
        <v>55</v>
      </c>
      <c r="C1513" t="s">
        <v>2387</v>
      </c>
      <c r="D1513" s="5" t="s">
        <v>57</v>
      </c>
      <c r="E1513">
        <v>2035</v>
      </c>
      <c r="F1513" s="6" t="str">
        <f t="shared" si="186"/>
        <v>*0.95</v>
      </c>
      <c r="H1513" t="s">
        <v>2387</v>
      </c>
      <c r="I1513" s="5" t="s">
        <v>57</v>
      </c>
      <c r="J1513">
        <v>2050</v>
      </c>
      <c r="K1513" s="38" t="str">
        <f t="shared" si="187"/>
        <v>*0.92</v>
      </c>
      <c r="P1513" s="32" t="s">
        <v>2387</v>
      </c>
      <c r="Q1513" s="42" t="s">
        <v>57</v>
      </c>
      <c r="R1513" s="32">
        <v>2035</v>
      </c>
      <c r="S1513" s="43" t="str">
        <f t="shared" si="188"/>
        <v>*0.94</v>
      </c>
      <c r="U1513" s="32" t="s">
        <v>2387</v>
      </c>
      <c r="V1513" s="42" t="s">
        <v>57</v>
      </c>
      <c r="W1513" s="32">
        <v>2050</v>
      </c>
      <c r="X1513" s="43" t="str">
        <f t="shared" si="189"/>
        <v>*0.91</v>
      </c>
      <c r="AC1513" s="33" t="s">
        <v>2387</v>
      </c>
      <c r="AD1513" s="44" t="s">
        <v>57</v>
      </c>
      <c r="AE1513" s="33">
        <v>2035</v>
      </c>
      <c r="AF1513" s="45" t="str">
        <f t="shared" si="190"/>
        <v>*0.92</v>
      </c>
      <c r="AG1513" s="43" t="str">
        <f t="shared" si="192"/>
        <v>REZoning_Sol-Win</v>
      </c>
      <c r="AI1513" s="33" t="s">
        <v>2387</v>
      </c>
      <c r="AJ1513" s="44" t="s">
        <v>57</v>
      </c>
      <c r="AK1513" s="33">
        <v>2050</v>
      </c>
      <c r="AL1513" s="45" t="str">
        <f t="shared" si="191"/>
        <v>*0.87</v>
      </c>
      <c r="AM1513" s="43" t="str">
        <f t="shared" si="193"/>
        <v>REZoning_Sol-Win</v>
      </c>
      <c r="AP1513" t="s">
        <v>2387</v>
      </c>
      <c r="AQ1513" t="s">
        <v>57</v>
      </c>
      <c r="AR1513">
        <v>2100</v>
      </c>
      <c r="AS1513" t="s">
        <v>874</v>
      </c>
      <c r="AT1513" t="s">
        <v>58</v>
      </c>
    </row>
    <row r="1514" ht="29" spans="1:46">
      <c r="A1514" s="31" t="s">
        <v>55</v>
      </c>
      <c r="C1514" t="s">
        <v>2388</v>
      </c>
      <c r="D1514" s="5" t="s">
        <v>57</v>
      </c>
      <c r="E1514">
        <v>2035</v>
      </c>
      <c r="F1514" s="6" t="str">
        <f t="shared" si="186"/>
        <v>*0.95</v>
      </c>
      <c r="H1514" t="s">
        <v>2388</v>
      </c>
      <c r="I1514" s="5" t="s">
        <v>57</v>
      </c>
      <c r="J1514">
        <v>2050</v>
      </c>
      <c r="K1514" s="38" t="str">
        <f t="shared" si="187"/>
        <v>*0.92</v>
      </c>
      <c r="P1514" s="32" t="s">
        <v>2388</v>
      </c>
      <c r="Q1514" s="42" t="s">
        <v>57</v>
      </c>
      <c r="R1514" s="32">
        <v>2035</v>
      </c>
      <c r="S1514" s="43" t="str">
        <f t="shared" si="188"/>
        <v>*0.94</v>
      </c>
      <c r="U1514" s="32" t="s">
        <v>2388</v>
      </c>
      <c r="V1514" s="42" t="s">
        <v>57</v>
      </c>
      <c r="W1514" s="32">
        <v>2050</v>
      </c>
      <c r="X1514" s="43" t="str">
        <f t="shared" si="189"/>
        <v>*0.91</v>
      </c>
      <c r="AC1514" s="33" t="s">
        <v>2388</v>
      </c>
      <c r="AD1514" s="44" t="s">
        <v>57</v>
      </c>
      <c r="AE1514" s="33">
        <v>2035</v>
      </c>
      <c r="AF1514" s="45" t="str">
        <f t="shared" si="190"/>
        <v>*0.92</v>
      </c>
      <c r="AG1514" s="43" t="str">
        <f t="shared" si="192"/>
        <v>REZoning_Sol-Win</v>
      </c>
      <c r="AI1514" s="33" t="s">
        <v>2388</v>
      </c>
      <c r="AJ1514" s="44" t="s">
        <v>57</v>
      </c>
      <c r="AK1514" s="33">
        <v>2050</v>
      </c>
      <c r="AL1514" s="45" t="str">
        <f t="shared" si="191"/>
        <v>*0.87</v>
      </c>
      <c r="AM1514" s="43" t="str">
        <f t="shared" si="193"/>
        <v>REZoning_Sol-Win</v>
      </c>
      <c r="AP1514" t="s">
        <v>2388</v>
      </c>
      <c r="AQ1514" t="s">
        <v>57</v>
      </c>
      <c r="AR1514">
        <v>2100</v>
      </c>
      <c r="AS1514" t="s">
        <v>874</v>
      </c>
      <c r="AT1514" t="s">
        <v>58</v>
      </c>
    </row>
    <row r="1515" ht="29" spans="1:46">
      <c r="A1515" s="31" t="s">
        <v>55</v>
      </c>
      <c r="C1515" t="s">
        <v>2389</v>
      </c>
      <c r="D1515" s="5" t="s">
        <v>57</v>
      </c>
      <c r="E1515">
        <v>2035</v>
      </c>
      <c r="F1515" s="6" t="str">
        <f t="shared" si="186"/>
        <v>*0.95</v>
      </c>
      <c r="H1515" t="s">
        <v>2389</v>
      </c>
      <c r="I1515" s="5" t="s">
        <v>57</v>
      </c>
      <c r="J1515">
        <v>2050</v>
      </c>
      <c r="K1515" s="38" t="str">
        <f t="shared" si="187"/>
        <v>*0.92</v>
      </c>
      <c r="P1515" s="32" t="s">
        <v>2389</v>
      </c>
      <c r="Q1515" s="42" t="s">
        <v>57</v>
      </c>
      <c r="R1515" s="32">
        <v>2035</v>
      </c>
      <c r="S1515" s="43" t="str">
        <f t="shared" si="188"/>
        <v>*0.94</v>
      </c>
      <c r="U1515" s="32" t="s">
        <v>2389</v>
      </c>
      <c r="V1515" s="42" t="s">
        <v>57</v>
      </c>
      <c r="W1515" s="32">
        <v>2050</v>
      </c>
      <c r="X1515" s="43" t="str">
        <f t="shared" si="189"/>
        <v>*0.91</v>
      </c>
      <c r="AC1515" s="33" t="s">
        <v>2389</v>
      </c>
      <c r="AD1515" s="44" t="s">
        <v>57</v>
      </c>
      <c r="AE1515" s="33">
        <v>2035</v>
      </c>
      <c r="AF1515" s="45" t="str">
        <f t="shared" si="190"/>
        <v>*0.92</v>
      </c>
      <c r="AG1515" s="43" t="str">
        <f t="shared" si="192"/>
        <v>REZoning_Sol-Win</v>
      </c>
      <c r="AI1515" s="33" t="s">
        <v>2389</v>
      </c>
      <c r="AJ1515" s="44" t="s">
        <v>57</v>
      </c>
      <c r="AK1515" s="33">
        <v>2050</v>
      </c>
      <c r="AL1515" s="45" t="str">
        <f t="shared" si="191"/>
        <v>*0.87</v>
      </c>
      <c r="AM1515" s="43" t="str">
        <f t="shared" si="193"/>
        <v>REZoning_Sol-Win</v>
      </c>
      <c r="AP1515" t="s">
        <v>2389</v>
      </c>
      <c r="AQ1515" t="s">
        <v>57</v>
      </c>
      <c r="AR1515">
        <v>2100</v>
      </c>
      <c r="AS1515" t="s">
        <v>874</v>
      </c>
      <c r="AT1515" t="s">
        <v>58</v>
      </c>
    </row>
    <row r="1516" ht="29" spans="1:46">
      <c r="A1516" s="31" t="s">
        <v>73</v>
      </c>
      <c r="C1516" t="s">
        <v>2390</v>
      </c>
      <c r="D1516" s="5" t="s">
        <v>57</v>
      </c>
      <c r="E1516">
        <v>2035</v>
      </c>
      <c r="F1516" s="6" t="str">
        <f t="shared" si="186"/>
        <v>*0.95</v>
      </c>
      <c r="H1516" t="s">
        <v>2390</v>
      </c>
      <c r="I1516" s="5" t="s">
        <v>57</v>
      </c>
      <c r="J1516">
        <v>2050</v>
      </c>
      <c r="K1516" s="38" t="str">
        <f t="shared" si="187"/>
        <v>*0.93</v>
      </c>
      <c r="P1516" s="32" t="s">
        <v>2390</v>
      </c>
      <c r="Q1516" s="42" t="s">
        <v>57</v>
      </c>
      <c r="R1516" s="32">
        <v>2035</v>
      </c>
      <c r="S1516" s="43" t="str">
        <f t="shared" si="188"/>
        <v>*0.95</v>
      </c>
      <c r="U1516" s="32" t="s">
        <v>2390</v>
      </c>
      <c r="V1516" s="42" t="s">
        <v>57</v>
      </c>
      <c r="W1516" s="32">
        <v>2050</v>
      </c>
      <c r="X1516" s="43" t="str">
        <f t="shared" si="189"/>
        <v>*0.93</v>
      </c>
      <c r="AC1516" s="33" t="s">
        <v>2390</v>
      </c>
      <c r="AD1516" s="44" t="s">
        <v>57</v>
      </c>
      <c r="AE1516" s="33">
        <v>2035</v>
      </c>
      <c r="AF1516" s="45" t="str">
        <f t="shared" si="190"/>
        <v>*0.93</v>
      </c>
      <c r="AG1516" s="43" t="str">
        <f t="shared" si="192"/>
        <v>REZoning_Sol-Win</v>
      </c>
      <c r="AI1516" s="33" t="s">
        <v>2390</v>
      </c>
      <c r="AJ1516" s="44" t="s">
        <v>57</v>
      </c>
      <c r="AK1516" s="33">
        <v>2050</v>
      </c>
      <c r="AL1516" s="45" t="str">
        <f t="shared" si="191"/>
        <v>*0.9</v>
      </c>
      <c r="AM1516" s="43" t="str">
        <f t="shared" si="193"/>
        <v>REZoning_Sol-Win</v>
      </c>
      <c r="AP1516" t="s">
        <v>2390</v>
      </c>
      <c r="AQ1516" t="s">
        <v>57</v>
      </c>
      <c r="AR1516">
        <v>2100</v>
      </c>
      <c r="AS1516" t="s">
        <v>897</v>
      </c>
      <c r="AT1516" t="s">
        <v>58</v>
      </c>
    </row>
    <row r="1517" ht="29" spans="1:46">
      <c r="A1517" s="31" t="s">
        <v>73</v>
      </c>
      <c r="C1517" t="s">
        <v>2391</v>
      </c>
      <c r="D1517" s="5" t="s">
        <v>57</v>
      </c>
      <c r="E1517">
        <v>2035</v>
      </c>
      <c r="F1517" s="6" t="str">
        <f t="shared" si="186"/>
        <v>*0.95</v>
      </c>
      <c r="H1517" t="s">
        <v>2391</v>
      </c>
      <c r="I1517" s="5" t="s">
        <v>57</v>
      </c>
      <c r="J1517">
        <v>2050</v>
      </c>
      <c r="K1517" s="38" t="str">
        <f t="shared" si="187"/>
        <v>*0.93</v>
      </c>
      <c r="P1517" s="32" t="s">
        <v>2391</v>
      </c>
      <c r="Q1517" s="42" t="s">
        <v>57</v>
      </c>
      <c r="R1517" s="32">
        <v>2035</v>
      </c>
      <c r="S1517" s="43" t="str">
        <f t="shared" si="188"/>
        <v>*0.95</v>
      </c>
      <c r="U1517" s="32" t="s">
        <v>2391</v>
      </c>
      <c r="V1517" s="42" t="s">
        <v>57</v>
      </c>
      <c r="W1517" s="32">
        <v>2050</v>
      </c>
      <c r="X1517" s="43" t="str">
        <f t="shared" si="189"/>
        <v>*0.93</v>
      </c>
      <c r="AC1517" s="33" t="s">
        <v>2391</v>
      </c>
      <c r="AD1517" s="44" t="s">
        <v>57</v>
      </c>
      <c r="AE1517" s="33">
        <v>2035</v>
      </c>
      <c r="AF1517" s="45" t="str">
        <f t="shared" si="190"/>
        <v>*0.93</v>
      </c>
      <c r="AG1517" s="43" t="str">
        <f t="shared" si="192"/>
        <v>REZoning_Sol-Win</v>
      </c>
      <c r="AI1517" s="33" t="s">
        <v>2391</v>
      </c>
      <c r="AJ1517" s="44" t="s">
        <v>57</v>
      </c>
      <c r="AK1517" s="33">
        <v>2050</v>
      </c>
      <c r="AL1517" s="45" t="str">
        <f t="shared" si="191"/>
        <v>*0.9</v>
      </c>
      <c r="AM1517" s="43" t="str">
        <f t="shared" si="193"/>
        <v>REZoning_Sol-Win</v>
      </c>
      <c r="AP1517" t="s">
        <v>2391</v>
      </c>
      <c r="AQ1517" t="s">
        <v>57</v>
      </c>
      <c r="AR1517">
        <v>2100</v>
      </c>
      <c r="AS1517" t="s">
        <v>897</v>
      </c>
      <c r="AT1517" t="s">
        <v>58</v>
      </c>
    </row>
    <row r="1518" ht="29" spans="1:46">
      <c r="A1518" s="31" t="s">
        <v>73</v>
      </c>
      <c r="C1518" t="s">
        <v>2392</v>
      </c>
      <c r="D1518" s="5" t="s">
        <v>57</v>
      </c>
      <c r="E1518">
        <v>2035</v>
      </c>
      <c r="F1518" s="6" t="str">
        <f t="shared" si="186"/>
        <v>*0.95</v>
      </c>
      <c r="H1518" t="s">
        <v>2392</v>
      </c>
      <c r="I1518" s="5" t="s">
        <v>57</v>
      </c>
      <c r="J1518">
        <v>2050</v>
      </c>
      <c r="K1518" s="38" t="str">
        <f t="shared" si="187"/>
        <v>*0.93</v>
      </c>
      <c r="P1518" s="32" t="s">
        <v>2392</v>
      </c>
      <c r="Q1518" s="42" t="s">
        <v>57</v>
      </c>
      <c r="R1518" s="32">
        <v>2035</v>
      </c>
      <c r="S1518" s="43" t="str">
        <f t="shared" si="188"/>
        <v>*0.95</v>
      </c>
      <c r="U1518" s="32" t="s">
        <v>2392</v>
      </c>
      <c r="V1518" s="42" t="s">
        <v>57</v>
      </c>
      <c r="W1518" s="32">
        <v>2050</v>
      </c>
      <c r="X1518" s="43" t="str">
        <f t="shared" si="189"/>
        <v>*0.93</v>
      </c>
      <c r="AC1518" s="33" t="s">
        <v>2392</v>
      </c>
      <c r="AD1518" s="44" t="s">
        <v>57</v>
      </c>
      <c r="AE1518" s="33">
        <v>2035</v>
      </c>
      <c r="AF1518" s="45" t="str">
        <f t="shared" si="190"/>
        <v>*0.93</v>
      </c>
      <c r="AG1518" s="43" t="str">
        <f t="shared" si="192"/>
        <v>REZoning_Sol-Win</v>
      </c>
      <c r="AI1518" s="33" t="s">
        <v>2392</v>
      </c>
      <c r="AJ1518" s="44" t="s">
        <v>57</v>
      </c>
      <c r="AK1518" s="33">
        <v>2050</v>
      </c>
      <c r="AL1518" s="45" t="str">
        <f t="shared" si="191"/>
        <v>*0.9</v>
      </c>
      <c r="AM1518" s="43" t="str">
        <f t="shared" si="193"/>
        <v>REZoning_Sol-Win</v>
      </c>
      <c r="AP1518" t="s">
        <v>2392</v>
      </c>
      <c r="AQ1518" t="s">
        <v>57</v>
      </c>
      <c r="AR1518">
        <v>2100</v>
      </c>
      <c r="AS1518" t="s">
        <v>897</v>
      </c>
      <c r="AT1518" t="s">
        <v>58</v>
      </c>
    </row>
    <row r="1519" ht="29" spans="1:46">
      <c r="A1519" s="31" t="s">
        <v>169</v>
      </c>
      <c r="C1519" t="s">
        <v>2393</v>
      </c>
      <c r="D1519" s="5" t="s">
        <v>57</v>
      </c>
      <c r="E1519">
        <v>2035</v>
      </c>
      <c r="F1519" s="6" t="str">
        <f t="shared" si="186"/>
        <v>*0.94</v>
      </c>
      <c r="H1519" t="s">
        <v>2393</v>
      </c>
      <c r="I1519" s="5" t="s">
        <v>57</v>
      </c>
      <c r="J1519">
        <v>2050</v>
      </c>
      <c r="K1519" s="38" t="str">
        <f t="shared" si="187"/>
        <v>*0.92</v>
      </c>
      <c r="P1519" s="32" t="s">
        <v>2393</v>
      </c>
      <c r="Q1519" s="42" t="s">
        <v>57</v>
      </c>
      <c r="R1519" s="32">
        <v>2035</v>
      </c>
      <c r="S1519" s="43" t="str">
        <f t="shared" si="188"/>
        <v>*0.93</v>
      </c>
      <c r="U1519" s="32" t="s">
        <v>2393</v>
      </c>
      <c r="V1519" s="42" t="s">
        <v>57</v>
      </c>
      <c r="W1519" s="32">
        <v>2050</v>
      </c>
      <c r="X1519" s="43" t="str">
        <f t="shared" si="189"/>
        <v>*0.92</v>
      </c>
      <c r="AC1519" s="33" t="s">
        <v>2393</v>
      </c>
      <c r="AD1519" s="44" t="s">
        <v>57</v>
      </c>
      <c r="AE1519" s="33">
        <v>2035</v>
      </c>
      <c r="AF1519" s="45" t="str">
        <f t="shared" si="190"/>
        <v>*0.91</v>
      </c>
      <c r="AG1519" s="43" t="str">
        <f t="shared" si="192"/>
        <v>REZoning_Sol-Win</v>
      </c>
      <c r="AI1519" s="33" t="s">
        <v>2393</v>
      </c>
      <c r="AJ1519" s="44" t="s">
        <v>57</v>
      </c>
      <c r="AK1519" s="33">
        <v>2050</v>
      </c>
      <c r="AL1519" s="45" t="str">
        <f t="shared" si="191"/>
        <v>*0.87</v>
      </c>
      <c r="AM1519" s="43" t="str">
        <f t="shared" si="193"/>
        <v>REZoning_Sol-Win</v>
      </c>
      <c r="AP1519" t="s">
        <v>2393</v>
      </c>
      <c r="AQ1519" t="s">
        <v>57</v>
      </c>
      <c r="AR1519">
        <v>2100</v>
      </c>
      <c r="AS1519" t="s">
        <v>874</v>
      </c>
      <c r="AT1519" t="s">
        <v>58</v>
      </c>
    </row>
    <row r="1520" ht="29" spans="1:46">
      <c r="A1520" s="31" t="s">
        <v>169</v>
      </c>
      <c r="C1520" t="s">
        <v>2394</v>
      </c>
      <c r="D1520" s="5" t="s">
        <v>57</v>
      </c>
      <c r="E1520">
        <v>2035</v>
      </c>
      <c r="F1520" s="6" t="str">
        <f t="shared" si="186"/>
        <v>*0.94</v>
      </c>
      <c r="H1520" t="s">
        <v>2394</v>
      </c>
      <c r="I1520" s="5" t="s">
        <v>57</v>
      </c>
      <c r="J1520">
        <v>2050</v>
      </c>
      <c r="K1520" s="38" t="str">
        <f t="shared" si="187"/>
        <v>*0.92</v>
      </c>
      <c r="P1520" s="32" t="s">
        <v>2394</v>
      </c>
      <c r="Q1520" s="42" t="s">
        <v>57</v>
      </c>
      <c r="R1520" s="32">
        <v>2035</v>
      </c>
      <c r="S1520" s="43" t="str">
        <f t="shared" si="188"/>
        <v>*0.93</v>
      </c>
      <c r="U1520" s="32" t="s">
        <v>2394</v>
      </c>
      <c r="V1520" s="42" t="s">
        <v>57</v>
      </c>
      <c r="W1520" s="32">
        <v>2050</v>
      </c>
      <c r="X1520" s="43" t="str">
        <f t="shared" si="189"/>
        <v>*0.92</v>
      </c>
      <c r="AC1520" s="33" t="s">
        <v>2394</v>
      </c>
      <c r="AD1520" s="44" t="s">
        <v>57</v>
      </c>
      <c r="AE1520" s="33">
        <v>2035</v>
      </c>
      <c r="AF1520" s="45" t="str">
        <f t="shared" si="190"/>
        <v>*0.91</v>
      </c>
      <c r="AG1520" s="43" t="str">
        <f t="shared" si="192"/>
        <v>REZoning_Sol-Win</v>
      </c>
      <c r="AI1520" s="33" t="s">
        <v>2394</v>
      </c>
      <c r="AJ1520" s="44" t="s">
        <v>57</v>
      </c>
      <c r="AK1520" s="33">
        <v>2050</v>
      </c>
      <c r="AL1520" s="45" t="str">
        <f t="shared" si="191"/>
        <v>*0.87</v>
      </c>
      <c r="AM1520" s="43" t="str">
        <f t="shared" si="193"/>
        <v>REZoning_Sol-Win</v>
      </c>
      <c r="AP1520" t="s">
        <v>2394</v>
      </c>
      <c r="AQ1520" t="s">
        <v>57</v>
      </c>
      <c r="AR1520">
        <v>2100</v>
      </c>
      <c r="AS1520" t="s">
        <v>874</v>
      </c>
      <c r="AT1520" t="s">
        <v>58</v>
      </c>
    </row>
    <row r="1521" ht="29" spans="1:46">
      <c r="A1521" s="31" t="s">
        <v>65</v>
      </c>
      <c r="C1521" t="s">
        <v>2395</v>
      </c>
      <c r="D1521" s="5" t="s">
        <v>57</v>
      </c>
      <c r="E1521">
        <v>2035</v>
      </c>
      <c r="F1521" s="6" t="str">
        <f t="shared" si="186"/>
        <v>*0.94</v>
      </c>
      <c r="H1521" t="s">
        <v>2395</v>
      </c>
      <c r="I1521" s="5" t="s">
        <v>57</v>
      </c>
      <c r="J1521">
        <v>2050</v>
      </c>
      <c r="K1521" s="38" t="str">
        <f t="shared" si="187"/>
        <v>*0.91</v>
      </c>
      <c r="P1521" s="32" t="s">
        <v>2395</v>
      </c>
      <c r="Q1521" s="42" t="s">
        <v>57</v>
      </c>
      <c r="R1521" s="32">
        <v>2035</v>
      </c>
      <c r="S1521" s="43" t="str">
        <f t="shared" si="188"/>
        <v>*0.93</v>
      </c>
      <c r="U1521" s="32" t="s">
        <v>2395</v>
      </c>
      <c r="V1521" s="42" t="s">
        <v>57</v>
      </c>
      <c r="W1521" s="32">
        <v>2050</v>
      </c>
      <c r="X1521" s="43" t="str">
        <f t="shared" si="189"/>
        <v>*0.9</v>
      </c>
      <c r="AC1521" s="33" t="s">
        <v>2395</v>
      </c>
      <c r="AD1521" s="44" t="s">
        <v>57</v>
      </c>
      <c r="AE1521" s="33">
        <v>2035</v>
      </c>
      <c r="AF1521" s="45" t="str">
        <f t="shared" si="190"/>
        <v>*0.9</v>
      </c>
      <c r="AG1521" s="43" t="str">
        <f t="shared" si="192"/>
        <v>REZoning_Sol-Win</v>
      </c>
      <c r="AI1521" s="33" t="s">
        <v>2395</v>
      </c>
      <c r="AJ1521" s="44" t="s">
        <v>57</v>
      </c>
      <c r="AK1521" s="33">
        <v>2050</v>
      </c>
      <c r="AL1521" s="45" t="str">
        <f t="shared" si="191"/>
        <v>*0.86</v>
      </c>
      <c r="AM1521" s="43" t="str">
        <f t="shared" si="193"/>
        <v>REZoning_Sol-Win</v>
      </c>
      <c r="AP1521" t="s">
        <v>2395</v>
      </c>
      <c r="AQ1521" t="s">
        <v>57</v>
      </c>
      <c r="AR1521">
        <v>2100</v>
      </c>
      <c r="AS1521" t="s">
        <v>883</v>
      </c>
      <c r="AT1521" t="s">
        <v>58</v>
      </c>
    </row>
    <row r="1522" ht="29" spans="1:46">
      <c r="A1522" s="31" t="s">
        <v>65</v>
      </c>
      <c r="C1522" t="s">
        <v>2396</v>
      </c>
      <c r="D1522" s="5" t="s">
        <v>57</v>
      </c>
      <c r="E1522">
        <v>2035</v>
      </c>
      <c r="F1522" s="6" t="str">
        <f t="shared" si="186"/>
        <v>*0.94</v>
      </c>
      <c r="H1522" t="s">
        <v>2396</v>
      </c>
      <c r="I1522" s="5" t="s">
        <v>57</v>
      </c>
      <c r="J1522">
        <v>2050</v>
      </c>
      <c r="K1522" s="38" t="str">
        <f t="shared" si="187"/>
        <v>*0.91</v>
      </c>
      <c r="P1522" s="32" t="s">
        <v>2396</v>
      </c>
      <c r="Q1522" s="42" t="s">
        <v>57</v>
      </c>
      <c r="R1522" s="32">
        <v>2035</v>
      </c>
      <c r="S1522" s="43" t="str">
        <f t="shared" si="188"/>
        <v>*0.93</v>
      </c>
      <c r="U1522" s="32" t="s">
        <v>2396</v>
      </c>
      <c r="V1522" s="42" t="s">
        <v>57</v>
      </c>
      <c r="W1522" s="32">
        <v>2050</v>
      </c>
      <c r="X1522" s="43" t="str">
        <f t="shared" si="189"/>
        <v>*0.9</v>
      </c>
      <c r="AC1522" s="33" t="s">
        <v>2396</v>
      </c>
      <c r="AD1522" s="44" t="s">
        <v>57</v>
      </c>
      <c r="AE1522" s="33">
        <v>2035</v>
      </c>
      <c r="AF1522" s="45" t="str">
        <f t="shared" si="190"/>
        <v>*0.9</v>
      </c>
      <c r="AG1522" s="43" t="str">
        <f t="shared" si="192"/>
        <v>REZoning_Sol-Win</v>
      </c>
      <c r="AI1522" s="33" t="s">
        <v>2396</v>
      </c>
      <c r="AJ1522" s="44" t="s">
        <v>57</v>
      </c>
      <c r="AK1522" s="33">
        <v>2050</v>
      </c>
      <c r="AL1522" s="45" t="str">
        <f t="shared" si="191"/>
        <v>*0.86</v>
      </c>
      <c r="AM1522" s="43" t="str">
        <f t="shared" si="193"/>
        <v>REZoning_Sol-Win</v>
      </c>
      <c r="AP1522" t="s">
        <v>2396</v>
      </c>
      <c r="AQ1522" t="s">
        <v>57</v>
      </c>
      <c r="AR1522">
        <v>2100</v>
      </c>
      <c r="AS1522" t="s">
        <v>883</v>
      </c>
      <c r="AT1522" t="s">
        <v>58</v>
      </c>
    </row>
    <row r="1523" ht="29" spans="1:46">
      <c r="A1523" s="31" t="s">
        <v>65</v>
      </c>
      <c r="C1523" t="s">
        <v>2397</v>
      </c>
      <c r="D1523" s="5" t="s">
        <v>57</v>
      </c>
      <c r="E1523">
        <v>2035</v>
      </c>
      <c r="F1523" s="6" t="str">
        <f t="shared" si="186"/>
        <v>*0.94</v>
      </c>
      <c r="H1523" t="s">
        <v>2397</v>
      </c>
      <c r="I1523" s="5" t="s">
        <v>57</v>
      </c>
      <c r="J1523">
        <v>2050</v>
      </c>
      <c r="K1523" s="38" t="str">
        <f t="shared" si="187"/>
        <v>*0.91</v>
      </c>
      <c r="P1523" s="32" t="s">
        <v>2397</v>
      </c>
      <c r="Q1523" s="42" t="s">
        <v>57</v>
      </c>
      <c r="R1523" s="32">
        <v>2035</v>
      </c>
      <c r="S1523" s="43" t="str">
        <f t="shared" si="188"/>
        <v>*0.93</v>
      </c>
      <c r="U1523" s="32" t="s">
        <v>2397</v>
      </c>
      <c r="V1523" s="42" t="s">
        <v>57</v>
      </c>
      <c r="W1523" s="32">
        <v>2050</v>
      </c>
      <c r="X1523" s="43" t="str">
        <f t="shared" si="189"/>
        <v>*0.9</v>
      </c>
      <c r="AC1523" s="33" t="s">
        <v>2397</v>
      </c>
      <c r="AD1523" s="44" t="s">
        <v>57</v>
      </c>
      <c r="AE1523" s="33">
        <v>2035</v>
      </c>
      <c r="AF1523" s="45" t="str">
        <f t="shared" si="190"/>
        <v>*0.9</v>
      </c>
      <c r="AG1523" s="43" t="str">
        <f t="shared" si="192"/>
        <v>REZoning_Sol-Win</v>
      </c>
      <c r="AI1523" s="33" t="s">
        <v>2397</v>
      </c>
      <c r="AJ1523" s="44" t="s">
        <v>57</v>
      </c>
      <c r="AK1523" s="33">
        <v>2050</v>
      </c>
      <c r="AL1523" s="45" t="str">
        <f t="shared" si="191"/>
        <v>*0.86</v>
      </c>
      <c r="AM1523" s="43" t="str">
        <f t="shared" si="193"/>
        <v>REZoning_Sol-Win</v>
      </c>
      <c r="AP1523" t="s">
        <v>2397</v>
      </c>
      <c r="AQ1523" t="s">
        <v>57</v>
      </c>
      <c r="AR1523">
        <v>2100</v>
      </c>
      <c r="AS1523" t="s">
        <v>883</v>
      </c>
      <c r="AT1523" t="s">
        <v>58</v>
      </c>
    </row>
    <row r="1524" ht="29" spans="1:46">
      <c r="A1524" s="31" t="s">
        <v>65</v>
      </c>
      <c r="C1524" t="s">
        <v>2398</v>
      </c>
      <c r="D1524" s="5" t="s">
        <v>57</v>
      </c>
      <c r="E1524">
        <v>2035</v>
      </c>
      <c r="F1524" s="6" t="str">
        <f t="shared" si="186"/>
        <v>*0.94</v>
      </c>
      <c r="H1524" t="s">
        <v>2398</v>
      </c>
      <c r="I1524" s="5" t="s">
        <v>57</v>
      </c>
      <c r="J1524">
        <v>2050</v>
      </c>
      <c r="K1524" s="38" t="str">
        <f t="shared" si="187"/>
        <v>*0.91</v>
      </c>
      <c r="P1524" s="32" t="s">
        <v>2398</v>
      </c>
      <c r="Q1524" s="42" t="s">
        <v>57</v>
      </c>
      <c r="R1524" s="32">
        <v>2035</v>
      </c>
      <c r="S1524" s="43" t="str">
        <f t="shared" si="188"/>
        <v>*0.93</v>
      </c>
      <c r="U1524" s="32" t="s">
        <v>2398</v>
      </c>
      <c r="V1524" s="42" t="s">
        <v>57</v>
      </c>
      <c r="W1524" s="32">
        <v>2050</v>
      </c>
      <c r="X1524" s="43" t="str">
        <f t="shared" si="189"/>
        <v>*0.9</v>
      </c>
      <c r="AC1524" s="33" t="s">
        <v>2398</v>
      </c>
      <c r="AD1524" s="44" t="s">
        <v>57</v>
      </c>
      <c r="AE1524" s="33">
        <v>2035</v>
      </c>
      <c r="AF1524" s="45" t="str">
        <f t="shared" si="190"/>
        <v>*0.9</v>
      </c>
      <c r="AG1524" s="43" t="str">
        <f t="shared" si="192"/>
        <v>REZoning_Sol-Win</v>
      </c>
      <c r="AI1524" s="33" t="s">
        <v>2398</v>
      </c>
      <c r="AJ1524" s="44" t="s">
        <v>57</v>
      </c>
      <c r="AK1524" s="33">
        <v>2050</v>
      </c>
      <c r="AL1524" s="45" t="str">
        <f t="shared" si="191"/>
        <v>*0.86</v>
      </c>
      <c r="AM1524" s="43" t="str">
        <f t="shared" si="193"/>
        <v>REZoning_Sol-Win</v>
      </c>
      <c r="AP1524" t="s">
        <v>2398</v>
      </c>
      <c r="AQ1524" t="s">
        <v>57</v>
      </c>
      <c r="AR1524">
        <v>2100</v>
      </c>
      <c r="AS1524" t="s">
        <v>883</v>
      </c>
      <c r="AT1524" t="s">
        <v>58</v>
      </c>
    </row>
    <row r="1525" ht="29" spans="1:46">
      <c r="A1525" s="31" t="s">
        <v>65</v>
      </c>
      <c r="C1525" t="s">
        <v>2399</v>
      </c>
      <c r="D1525" s="5" t="s">
        <v>57</v>
      </c>
      <c r="E1525">
        <v>2035</v>
      </c>
      <c r="F1525" s="6" t="str">
        <f t="shared" si="186"/>
        <v>*0.94</v>
      </c>
      <c r="H1525" t="s">
        <v>2399</v>
      </c>
      <c r="I1525" s="5" t="s">
        <v>57</v>
      </c>
      <c r="J1525">
        <v>2050</v>
      </c>
      <c r="K1525" s="38" t="str">
        <f t="shared" si="187"/>
        <v>*0.91</v>
      </c>
      <c r="P1525" s="32" t="s">
        <v>2399</v>
      </c>
      <c r="Q1525" s="42" t="s">
        <v>57</v>
      </c>
      <c r="R1525" s="32">
        <v>2035</v>
      </c>
      <c r="S1525" s="43" t="str">
        <f t="shared" si="188"/>
        <v>*0.93</v>
      </c>
      <c r="U1525" s="32" t="s">
        <v>2399</v>
      </c>
      <c r="V1525" s="42" t="s">
        <v>57</v>
      </c>
      <c r="W1525" s="32">
        <v>2050</v>
      </c>
      <c r="X1525" s="43" t="str">
        <f t="shared" si="189"/>
        <v>*0.9</v>
      </c>
      <c r="AC1525" s="33" t="s">
        <v>2399</v>
      </c>
      <c r="AD1525" s="44" t="s">
        <v>57</v>
      </c>
      <c r="AE1525" s="33">
        <v>2035</v>
      </c>
      <c r="AF1525" s="45" t="str">
        <f t="shared" si="190"/>
        <v>*0.9</v>
      </c>
      <c r="AG1525" s="43" t="str">
        <f t="shared" si="192"/>
        <v>REZoning_Sol-Win</v>
      </c>
      <c r="AI1525" s="33" t="s">
        <v>2399</v>
      </c>
      <c r="AJ1525" s="44" t="s">
        <v>57</v>
      </c>
      <c r="AK1525" s="33">
        <v>2050</v>
      </c>
      <c r="AL1525" s="45" t="str">
        <f t="shared" si="191"/>
        <v>*0.86</v>
      </c>
      <c r="AM1525" s="43" t="str">
        <f t="shared" si="193"/>
        <v>REZoning_Sol-Win</v>
      </c>
      <c r="AP1525" t="s">
        <v>2399</v>
      </c>
      <c r="AQ1525" t="s">
        <v>57</v>
      </c>
      <c r="AR1525">
        <v>2100</v>
      </c>
      <c r="AS1525" t="s">
        <v>883</v>
      </c>
      <c r="AT1525" t="s">
        <v>58</v>
      </c>
    </row>
    <row r="1526" ht="29" spans="1:46">
      <c r="A1526" s="31" t="s">
        <v>65</v>
      </c>
      <c r="C1526" t="s">
        <v>2400</v>
      </c>
      <c r="D1526" s="5" t="s">
        <v>57</v>
      </c>
      <c r="E1526">
        <v>2035</v>
      </c>
      <c r="F1526" s="6" t="str">
        <f t="shared" si="186"/>
        <v>*0.94</v>
      </c>
      <c r="H1526" t="s">
        <v>2400</v>
      </c>
      <c r="I1526" s="5" t="s">
        <v>57</v>
      </c>
      <c r="J1526">
        <v>2050</v>
      </c>
      <c r="K1526" s="38" t="str">
        <f t="shared" si="187"/>
        <v>*0.91</v>
      </c>
      <c r="P1526" s="32" t="s">
        <v>2400</v>
      </c>
      <c r="Q1526" s="42" t="s">
        <v>57</v>
      </c>
      <c r="R1526" s="32">
        <v>2035</v>
      </c>
      <c r="S1526" s="43" t="str">
        <f t="shared" si="188"/>
        <v>*0.93</v>
      </c>
      <c r="U1526" s="32" t="s">
        <v>2400</v>
      </c>
      <c r="V1526" s="42" t="s">
        <v>57</v>
      </c>
      <c r="W1526" s="32">
        <v>2050</v>
      </c>
      <c r="X1526" s="43" t="str">
        <f t="shared" si="189"/>
        <v>*0.9</v>
      </c>
      <c r="AC1526" s="33" t="s">
        <v>2400</v>
      </c>
      <c r="AD1526" s="44" t="s">
        <v>57</v>
      </c>
      <c r="AE1526" s="33">
        <v>2035</v>
      </c>
      <c r="AF1526" s="45" t="str">
        <f t="shared" si="190"/>
        <v>*0.9</v>
      </c>
      <c r="AG1526" s="43" t="str">
        <f t="shared" si="192"/>
        <v>REZoning_Sol-Win</v>
      </c>
      <c r="AI1526" s="33" t="s">
        <v>2400</v>
      </c>
      <c r="AJ1526" s="44" t="s">
        <v>57</v>
      </c>
      <c r="AK1526" s="33">
        <v>2050</v>
      </c>
      <c r="AL1526" s="45" t="str">
        <f t="shared" si="191"/>
        <v>*0.86</v>
      </c>
      <c r="AM1526" s="43" t="str">
        <f t="shared" si="193"/>
        <v>REZoning_Sol-Win</v>
      </c>
      <c r="AP1526" t="s">
        <v>2400</v>
      </c>
      <c r="AQ1526" t="s">
        <v>57</v>
      </c>
      <c r="AR1526">
        <v>2100</v>
      </c>
      <c r="AS1526" t="s">
        <v>883</v>
      </c>
      <c r="AT1526" t="s">
        <v>58</v>
      </c>
    </row>
    <row r="1527" ht="29" spans="1:46">
      <c r="A1527" s="31" t="s">
        <v>65</v>
      </c>
      <c r="C1527" t="s">
        <v>2401</v>
      </c>
      <c r="D1527" s="5" t="s">
        <v>57</v>
      </c>
      <c r="E1527">
        <v>2035</v>
      </c>
      <c r="F1527" s="6" t="str">
        <f t="shared" si="186"/>
        <v>*0.94</v>
      </c>
      <c r="H1527" t="s">
        <v>2401</v>
      </c>
      <c r="I1527" s="5" t="s">
        <v>57</v>
      </c>
      <c r="J1527">
        <v>2050</v>
      </c>
      <c r="K1527" s="38" t="str">
        <f t="shared" si="187"/>
        <v>*0.91</v>
      </c>
      <c r="P1527" s="32" t="s">
        <v>2401</v>
      </c>
      <c r="Q1527" s="42" t="s">
        <v>57</v>
      </c>
      <c r="R1527" s="32">
        <v>2035</v>
      </c>
      <c r="S1527" s="43" t="str">
        <f t="shared" si="188"/>
        <v>*0.93</v>
      </c>
      <c r="U1527" s="32" t="s">
        <v>2401</v>
      </c>
      <c r="V1527" s="42" t="s">
        <v>57</v>
      </c>
      <c r="W1527" s="32">
        <v>2050</v>
      </c>
      <c r="X1527" s="43" t="str">
        <f t="shared" si="189"/>
        <v>*0.9</v>
      </c>
      <c r="AC1527" s="33" t="s">
        <v>2401</v>
      </c>
      <c r="AD1527" s="44" t="s">
        <v>57</v>
      </c>
      <c r="AE1527" s="33">
        <v>2035</v>
      </c>
      <c r="AF1527" s="45" t="str">
        <f t="shared" si="190"/>
        <v>*0.9</v>
      </c>
      <c r="AG1527" s="43" t="str">
        <f t="shared" si="192"/>
        <v>REZoning_Sol-Win</v>
      </c>
      <c r="AI1527" s="33" t="s">
        <v>2401</v>
      </c>
      <c r="AJ1527" s="44" t="s">
        <v>57</v>
      </c>
      <c r="AK1527" s="33">
        <v>2050</v>
      </c>
      <c r="AL1527" s="45" t="str">
        <f t="shared" si="191"/>
        <v>*0.86</v>
      </c>
      <c r="AM1527" s="43" t="str">
        <f t="shared" si="193"/>
        <v>REZoning_Sol-Win</v>
      </c>
      <c r="AP1527" t="s">
        <v>2401</v>
      </c>
      <c r="AQ1527" t="s">
        <v>57</v>
      </c>
      <c r="AR1527">
        <v>2100</v>
      </c>
      <c r="AS1527" t="s">
        <v>883</v>
      </c>
      <c r="AT1527" t="s">
        <v>58</v>
      </c>
    </row>
    <row r="1528" ht="29" spans="1:46">
      <c r="A1528" s="31" t="s">
        <v>65</v>
      </c>
      <c r="C1528" t="s">
        <v>2402</v>
      </c>
      <c r="D1528" s="5" t="s">
        <v>57</v>
      </c>
      <c r="E1528">
        <v>2035</v>
      </c>
      <c r="F1528" s="6" t="str">
        <f t="shared" si="186"/>
        <v>*0.94</v>
      </c>
      <c r="H1528" t="s">
        <v>2402</v>
      </c>
      <c r="I1528" s="5" t="s">
        <v>57</v>
      </c>
      <c r="J1528">
        <v>2050</v>
      </c>
      <c r="K1528" s="38" t="str">
        <f t="shared" si="187"/>
        <v>*0.91</v>
      </c>
      <c r="P1528" s="32" t="s">
        <v>2402</v>
      </c>
      <c r="Q1528" s="42" t="s">
        <v>57</v>
      </c>
      <c r="R1528" s="32">
        <v>2035</v>
      </c>
      <c r="S1528" s="43" t="str">
        <f t="shared" si="188"/>
        <v>*0.93</v>
      </c>
      <c r="U1528" s="32" t="s">
        <v>2402</v>
      </c>
      <c r="V1528" s="42" t="s">
        <v>57</v>
      </c>
      <c r="W1528" s="32">
        <v>2050</v>
      </c>
      <c r="X1528" s="43" t="str">
        <f t="shared" si="189"/>
        <v>*0.9</v>
      </c>
      <c r="AC1528" s="33" t="s">
        <v>2402</v>
      </c>
      <c r="AD1528" s="44" t="s">
        <v>57</v>
      </c>
      <c r="AE1528" s="33">
        <v>2035</v>
      </c>
      <c r="AF1528" s="45" t="str">
        <f t="shared" si="190"/>
        <v>*0.9</v>
      </c>
      <c r="AG1528" s="43" t="str">
        <f t="shared" si="192"/>
        <v>REZoning_Sol-Win</v>
      </c>
      <c r="AI1528" s="33" t="s">
        <v>2402</v>
      </c>
      <c r="AJ1528" s="44" t="s">
        <v>57</v>
      </c>
      <c r="AK1528" s="33">
        <v>2050</v>
      </c>
      <c r="AL1528" s="45" t="str">
        <f t="shared" si="191"/>
        <v>*0.86</v>
      </c>
      <c r="AM1528" s="43" t="str">
        <f t="shared" si="193"/>
        <v>REZoning_Sol-Win</v>
      </c>
      <c r="AP1528" t="s">
        <v>2402</v>
      </c>
      <c r="AQ1528" t="s">
        <v>57</v>
      </c>
      <c r="AR1528">
        <v>2100</v>
      </c>
      <c r="AS1528" t="s">
        <v>883</v>
      </c>
      <c r="AT1528" t="s">
        <v>58</v>
      </c>
    </row>
    <row r="1529" ht="29" spans="1:46">
      <c r="A1529" s="31" t="s">
        <v>65</v>
      </c>
      <c r="C1529" t="s">
        <v>2403</v>
      </c>
      <c r="D1529" s="5" t="s">
        <v>57</v>
      </c>
      <c r="E1529">
        <v>2035</v>
      </c>
      <c r="F1529" s="6" t="str">
        <f t="shared" si="186"/>
        <v>*0.94</v>
      </c>
      <c r="H1529" t="s">
        <v>2403</v>
      </c>
      <c r="I1529" s="5" t="s">
        <v>57</v>
      </c>
      <c r="J1529">
        <v>2050</v>
      </c>
      <c r="K1529" s="38" t="str">
        <f t="shared" si="187"/>
        <v>*0.91</v>
      </c>
      <c r="P1529" s="32" t="s">
        <v>2403</v>
      </c>
      <c r="Q1529" s="42" t="s">
        <v>57</v>
      </c>
      <c r="R1529" s="32">
        <v>2035</v>
      </c>
      <c r="S1529" s="43" t="str">
        <f t="shared" si="188"/>
        <v>*0.93</v>
      </c>
      <c r="U1529" s="32" t="s">
        <v>2403</v>
      </c>
      <c r="V1529" s="42" t="s">
        <v>57</v>
      </c>
      <c r="W1529" s="32">
        <v>2050</v>
      </c>
      <c r="X1529" s="43" t="str">
        <f t="shared" si="189"/>
        <v>*0.9</v>
      </c>
      <c r="AC1529" s="33" t="s">
        <v>2403</v>
      </c>
      <c r="AD1529" s="44" t="s">
        <v>57</v>
      </c>
      <c r="AE1529" s="33">
        <v>2035</v>
      </c>
      <c r="AF1529" s="45" t="str">
        <f t="shared" si="190"/>
        <v>*0.9</v>
      </c>
      <c r="AG1529" s="43" t="str">
        <f t="shared" si="192"/>
        <v>REZoning_Sol-Win</v>
      </c>
      <c r="AI1529" s="33" t="s">
        <v>2403</v>
      </c>
      <c r="AJ1529" s="44" t="s">
        <v>57</v>
      </c>
      <c r="AK1529" s="33">
        <v>2050</v>
      </c>
      <c r="AL1529" s="45" t="str">
        <f t="shared" si="191"/>
        <v>*0.86</v>
      </c>
      <c r="AM1529" s="43" t="str">
        <f t="shared" si="193"/>
        <v>REZoning_Sol-Win</v>
      </c>
      <c r="AP1529" t="s">
        <v>2403</v>
      </c>
      <c r="AQ1529" t="s">
        <v>57</v>
      </c>
      <c r="AR1529">
        <v>2100</v>
      </c>
      <c r="AS1529" t="s">
        <v>883</v>
      </c>
      <c r="AT1529" t="s">
        <v>58</v>
      </c>
    </row>
    <row r="1530" ht="29" spans="1:46">
      <c r="A1530" s="31" t="s">
        <v>65</v>
      </c>
      <c r="C1530" t="s">
        <v>2404</v>
      </c>
      <c r="D1530" s="5" t="s">
        <v>57</v>
      </c>
      <c r="E1530">
        <v>2035</v>
      </c>
      <c r="F1530" s="6" t="str">
        <f t="shared" si="186"/>
        <v>*0.94</v>
      </c>
      <c r="H1530" t="s">
        <v>2404</v>
      </c>
      <c r="I1530" s="5" t="s">
        <v>57</v>
      </c>
      <c r="J1530">
        <v>2050</v>
      </c>
      <c r="K1530" s="38" t="str">
        <f t="shared" si="187"/>
        <v>*0.91</v>
      </c>
      <c r="P1530" s="32" t="s">
        <v>2404</v>
      </c>
      <c r="Q1530" s="42" t="s">
        <v>57</v>
      </c>
      <c r="R1530" s="32">
        <v>2035</v>
      </c>
      <c r="S1530" s="43" t="str">
        <f t="shared" si="188"/>
        <v>*0.93</v>
      </c>
      <c r="U1530" s="32" t="s">
        <v>2404</v>
      </c>
      <c r="V1530" s="42" t="s">
        <v>57</v>
      </c>
      <c r="W1530" s="32">
        <v>2050</v>
      </c>
      <c r="X1530" s="43" t="str">
        <f t="shared" si="189"/>
        <v>*0.9</v>
      </c>
      <c r="AC1530" s="33" t="s">
        <v>2404</v>
      </c>
      <c r="AD1530" s="44" t="s">
        <v>57</v>
      </c>
      <c r="AE1530" s="33">
        <v>2035</v>
      </c>
      <c r="AF1530" s="45" t="str">
        <f t="shared" si="190"/>
        <v>*0.9</v>
      </c>
      <c r="AG1530" s="43" t="str">
        <f t="shared" si="192"/>
        <v>REZoning_Sol-Win</v>
      </c>
      <c r="AI1530" s="33" t="s">
        <v>2404</v>
      </c>
      <c r="AJ1530" s="44" t="s">
        <v>57</v>
      </c>
      <c r="AK1530" s="33">
        <v>2050</v>
      </c>
      <c r="AL1530" s="45" t="str">
        <f t="shared" si="191"/>
        <v>*0.86</v>
      </c>
      <c r="AM1530" s="43" t="str">
        <f t="shared" si="193"/>
        <v>REZoning_Sol-Win</v>
      </c>
      <c r="AP1530" t="s">
        <v>2404</v>
      </c>
      <c r="AQ1530" t="s">
        <v>57</v>
      </c>
      <c r="AR1530">
        <v>2100</v>
      </c>
      <c r="AS1530" t="s">
        <v>883</v>
      </c>
      <c r="AT1530" t="s">
        <v>58</v>
      </c>
    </row>
    <row r="1531" ht="29" spans="1:46">
      <c r="A1531" s="31" t="s">
        <v>65</v>
      </c>
      <c r="C1531" t="s">
        <v>2405</v>
      </c>
      <c r="D1531" s="5" t="s">
        <v>57</v>
      </c>
      <c r="E1531">
        <v>2035</v>
      </c>
      <c r="F1531" s="6" t="str">
        <f t="shared" si="186"/>
        <v>*0.94</v>
      </c>
      <c r="H1531" t="s">
        <v>2405</v>
      </c>
      <c r="I1531" s="5" t="s">
        <v>57</v>
      </c>
      <c r="J1531">
        <v>2050</v>
      </c>
      <c r="K1531" s="38" t="str">
        <f t="shared" si="187"/>
        <v>*0.91</v>
      </c>
      <c r="P1531" s="32" t="s">
        <v>2405</v>
      </c>
      <c r="Q1531" s="42" t="s">
        <v>57</v>
      </c>
      <c r="R1531" s="32">
        <v>2035</v>
      </c>
      <c r="S1531" s="43" t="str">
        <f t="shared" si="188"/>
        <v>*0.93</v>
      </c>
      <c r="U1531" s="32" t="s">
        <v>2405</v>
      </c>
      <c r="V1531" s="42" t="s">
        <v>57</v>
      </c>
      <c r="W1531" s="32">
        <v>2050</v>
      </c>
      <c r="X1531" s="43" t="str">
        <f t="shared" si="189"/>
        <v>*0.9</v>
      </c>
      <c r="AC1531" s="33" t="s">
        <v>2405</v>
      </c>
      <c r="AD1531" s="44" t="s">
        <v>57</v>
      </c>
      <c r="AE1531" s="33">
        <v>2035</v>
      </c>
      <c r="AF1531" s="45" t="str">
        <f t="shared" si="190"/>
        <v>*0.9</v>
      </c>
      <c r="AG1531" s="43" t="str">
        <f t="shared" si="192"/>
        <v>REZoning_Sol-Win</v>
      </c>
      <c r="AI1531" s="33" t="s">
        <v>2405</v>
      </c>
      <c r="AJ1531" s="44" t="s">
        <v>57</v>
      </c>
      <c r="AK1531" s="33">
        <v>2050</v>
      </c>
      <c r="AL1531" s="45" t="str">
        <f t="shared" si="191"/>
        <v>*0.86</v>
      </c>
      <c r="AM1531" s="43" t="str">
        <f t="shared" si="193"/>
        <v>REZoning_Sol-Win</v>
      </c>
      <c r="AP1531" t="s">
        <v>2405</v>
      </c>
      <c r="AQ1531" t="s">
        <v>57</v>
      </c>
      <c r="AR1531">
        <v>2100</v>
      </c>
      <c r="AS1531" t="s">
        <v>883</v>
      </c>
      <c r="AT1531" t="s">
        <v>58</v>
      </c>
    </row>
    <row r="1532" ht="29" spans="1:46">
      <c r="A1532" s="31" t="s">
        <v>65</v>
      </c>
      <c r="C1532" t="s">
        <v>2406</v>
      </c>
      <c r="D1532" s="5" t="s">
        <v>57</v>
      </c>
      <c r="E1532">
        <v>2035</v>
      </c>
      <c r="F1532" s="6" t="str">
        <f t="shared" si="186"/>
        <v>*0.94</v>
      </c>
      <c r="H1532" t="s">
        <v>2406</v>
      </c>
      <c r="I1532" s="5" t="s">
        <v>57</v>
      </c>
      <c r="J1532">
        <v>2050</v>
      </c>
      <c r="K1532" s="38" t="str">
        <f t="shared" si="187"/>
        <v>*0.91</v>
      </c>
      <c r="P1532" s="32" t="s">
        <v>2406</v>
      </c>
      <c r="Q1532" s="42" t="s">
        <v>57</v>
      </c>
      <c r="R1532" s="32">
        <v>2035</v>
      </c>
      <c r="S1532" s="43" t="str">
        <f t="shared" si="188"/>
        <v>*0.93</v>
      </c>
      <c r="U1532" s="32" t="s">
        <v>2406</v>
      </c>
      <c r="V1532" s="42" t="s">
        <v>57</v>
      </c>
      <c r="W1532" s="32">
        <v>2050</v>
      </c>
      <c r="X1532" s="43" t="str">
        <f t="shared" si="189"/>
        <v>*0.9</v>
      </c>
      <c r="AC1532" s="33" t="s">
        <v>2406</v>
      </c>
      <c r="AD1532" s="44" t="s">
        <v>57</v>
      </c>
      <c r="AE1532" s="33">
        <v>2035</v>
      </c>
      <c r="AF1532" s="45" t="str">
        <f t="shared" si="190"/>
        <v>*0.9</v>
      </c>
      <c r="AG1532" s="43" t="str">
        <f t="shared" si="192"/>
        <v>REZoning_Sol-Win</v>
      </c>
      <c r="AI1532" s="33" t="s">
        <v>2406</v>
      </c>
      <c r="AJ1532" s="44" t="s">
        <v>57</v>
      </c>
      <c r="AK1532" s="33">
        <v>2050</v>
      </c>
      <c r="AL1532" s="45" t="str">
        <f t="shared" si="191"/>
        <v>*0.86</v>
      </c>
      <c r="AM1532" s="43" t="str">
        <f t="shared" si="193"/>
        <v>REZoning_Sol-Win</v>
      </c>
      <c r="AP1532" t="s">
        <v>2406</v>
      </c>
      <c r="AQ1532" t="s">
        <v>57</v>
      </c>
      <c r="AR1532">
        <v>2100</v>
      </c>
      <c r="AS1532" t="s">
        <v>883</v>
      </c>
      <c r="AT1532" t="s">
        <v>58</v>
      </c>
    </row>
    <row r="1533" ht="29" spans="1:46">
      <c r="A1533" s="31" t="s">
        <v>65</v>
      </c>
      <c r="C1533" t="s">
        <v>2407</v>
      </c>
      <c r="D1533" s="5" t="s">
        <v>57</v>
      </c>
      <c r="E1533">
        <v>2035</v>
      </c>
      <c r="F1533" s="6" t="str">
        <f t="shared" si="186"/>
        <v>*0.94</v>
      </c>
      <c r="H1533" t="s">
        <v>2407</v>
      </c>
      <c r="I1533" s="5" t="s">
        <v>57</v>
      </c>
      <c r="J1533">
        <v>2050</v>
      </c>
      <c r="K1533" s="38" t="str">
        <f t="shared" si="187"/>
        <v>*0.91</v>
      </c>
      <c r="P1533" s="32" t="s">
        <v>2407</v>
      </c>
      <c r="Q1533" s="42" t="s">
        <v>57</v>
      </c>
      <c r="R1533" s="32">
        <v>2035</v>
      </c>
      <c r="S1533" s="43" t="str">
        <f t="shared" si="188"/>
        <v>*0.93</v>
      </c>
      <c r="U1533" s="32" t="s">
        <v>2407</v>
      </c>
      <c r="V1533" s="42" t="s">
        <v>57</v>
      </c>
      <c r="W1533" s="32">
        <v>2050</v>
      </c>
      <c r="X1533" s="43" t="str">
        <f t="shared" si="189"/>
        <v>*0.9</v>
      </c>
      <c r="AC1533" s="33" t="s">
        <v>2407</v>
      </c>
      <c r="AD1533" s="44" t="s">
        <v>57</v>
      </c>
      <c r="AE1533" s="33">
        <v>2035</v>
      </c>
      <c r="AF1533" s="45" t="str">
        <f t="shared" si="190"/>
        <v>*0.9</v>
      </c>
      <c r="AG1533" s="43" t="str">
        <f t="shared" si="192"/>
        <v>REZoning_Sol-Win</v>
      </c>
      <c r="AI1533" s="33" t="s">
        <v>2407</v>
      </c>
      <c r="AJ1533" s="44" t="s">
        <v>57</v>
      </c>
      <c r="AK1533" s="33">
        <v>2050</v>
      </c>
      <c r="AL1533" s="45" t="str">
        <f t="shared" si="191"/>
        <v>*0.86</v>
      </c>
      <c r="AM1533" s="43" t="str">
        <f t="shared" si="193"/>
        <v>REZoning_Sol-Win</v>
      </c>
      <c r="AP1533" t="s">
        <v>2407</v>
      </c>
      <c r="AQ1533" t="s">
        <v>57</v>
      </c>
      <c r="AR1533">
        <v>2100</v>
      </c>
      <c r="AS1533" t="s">
        <v>883</v>
      </c>
      <c r="AT1533" t="s">
        <v>58</v>
      </c>
    </row>
    <row r="1534" ht="29" spans="1:46">
      <c r="A1534" s="31" t="s">
        <v>65</v>
      </c>
      <c r="C1534" t="s">
        <v>2408</v>
      </c>
      <c r="D1534" s="5" t="s">
        <v>57</v>
      </c>
      <c r="E1534">
        <v>2035</v>
      </c>
      <c r="F1534" s="6" t="str">
        <f t="shared" si="186"/>
        <v>*0.94</v>
      </c>
      <c r="H1534" t="s">
        <v>2408</v>
      </c>
      <c r="I1534" s="5" t="s">
        <v>57</v>
      </c>
      <c r="J1534">
        <v>2050</v>
      </c>
      <c r="K1534" s="38" t="str">
        <f t="shared" si="187"/>
        <v>*0.91</v>
      </c>
      <c r="P1534" s="32" t="s">
        <v>2408</v>
      </c>
      <c r="Q1534" s="42" t="s">
        <v>57</v>
      </c>
      <c r="R1534" s="32">
        <v>2035</v>
      </c>
      <c r="S1534" s="43" t="str">
        <f t="shared" si="188"/>
        <v>*0.93</v>
      </c>
      <c r="U1534" s="32" t="s">
        <v>2408</v>
      </c>
      <c r="V1534" s="42" t="s">
        <v>57</v>
      </c>
      <c r="W1534" s="32">
        <v>2050</v>
      </c>
      <c r="X1534" s="43" t="str">
        <f t="shared" si="189"/>
        <v>*0.9</v>
      </c>
      <c r="AC1534" s="33" t="s">
        <v>2408</v>
      </c>
      <c r="AD1534" s="44" t="s">
        <v>57</v>
      </c>
      <c r="AE1534" s="33">
        <v>2035</v>
      </c>
      <c r="AF1534" s="45" t="str">
        <f t="shared" si="190"/>
        <v>*0.9</v>
      </c>
      <c r="AG1534" s="43" t="str">
        <f t="shared" si="192"/>
        <v>REZoning_Sol-Win</v>
      </c>
      <c r="AI1534" s="33" t="s">
        <v>2408</v>
      </c>
      <c r="AJ1534" s="44" t="s">
        <v>57</v>
      </c>
      <c r="AK1534" s="33">
        <v>2050</v>
      </c>
      <c r="AL1534" s="45" t="str">
        <f t="shared" si="191"/>
        <v>*0.86</v>
      </c>
      <c r="AM1534" s="43" t="str">
        <f t="shared" si="193"/>
        <v>REZoning_Sol-Win</v>
      </c>
      <c r="AP1534" t="s">
        <v>2408</v>
      </c>
      <c r="AQ1534" t="s">
        <v>57</v>
      </c>
      <c r="AR1534">
        <v>2100</v>
      </c>
      <c r="AS1534" t="s">
        <v>883</v>
      </c>
      <c r="AT1534" t="s">
        <v>58</v>
      </c>
    </row>
    <row r="1535" ht="29" spans="1:46">
      <c r="A1535" s="31" t="s">
        <v>65</v>
      </c>
      <c r="C1535" t="s">
        <v>2409</v>
      </c>
      <c r="D1535" s="5" t="s">
        <v>57</v>
      </c>
      <c r="E1535">
        <v>2035</v>
      </c>
      <c r="F1535" s="6" t="str">
        <f t="shared" si="186"/>
        <v>*0.94</v>
      </c>
      <c r="H1535" t="s">
        <v>2409</v>
      </c>
      <c r="I1535" s="5" t="s">
        <v>57</v>
      </c>
      <c r="J1535">
        <v>2050</v>
      </c>
      <c r="K1535" s="38" t="str">
        <f t="shared" si="187"/>
        <v>*0.91</v>
      </c>
      <c r="P1535" s="32" t="s">
        <v>2409</v>
      </c>
      <c r="Q1535" s="42" t="s">
        <v>57</v>
      </c>
      <c r="R1535" s="32">
        <v>2035</v>
      </c>
      <c r="S1535" s="43" t="str">
        <f t="shared" si="188"/>
        <v>*0.93</v>
      </c>
      <c r="U1535" s="32" t="s">
        <v>2409</v>
      </c>
      <c r="V1535" s="42" t="s">
        <v>57</v>
      </c>
      <c r="W1535" s="32">
        <v>2050</v>
      </c>
      <c r="X1535" s="43" t="str">
        <f t="shared" si="189"/>
        <v>*0.9</v>
      </c>
      <c r="AC1535" s="33" t="s">
        <v>2409</v>
      </c>
      <c r="AD1535" s="44" t="s">
        <v>57</v>
      </c>
      <c r="AE1535" s="33">
        <v>2035</v>
      </c>
      <c r="AF1535" s="45" t="str">
        <f t="shared" si="190"/>
        <v>*0.9</v>
      </c>
      <c r="AG1535" s="43" t="str">
        <f t="shared" si="192"/>
        <v>REZoning_Sol-Win</v>
      </c>
      <c r="AI1535" s="33" t="s">
        <v>2409</v>
      </c>
      <c r="AJ1535" s="44" t="s">
        <v>57</v>
      </c>
      <c r="AK1535" s="33">
        <v>2050</v>
      </c>
      <c r="AL1535" s="45" t="str">
        <f t="shared" si="191"/>
        <v>*0.86</v>
      </c>
      <c r="AM1535" s="43" t="str">
        <f t="shared" si="193"/>
        <v>REZoning_Sol-Win</v>
      </c>
      <c r="AP1535" t="s">
        <v>2409</v>
      </c>
      <c r="AQ1535" t="s">
        <v>57</v>
      </c>
      <c r="AR1535">
        <v>2100</v>
      </c>
      <c r="AS1535" t="s">
        <v>883</v>
      </c>
      <c r="AT1535" t="s">
        <v>58</v>
      </c>
    </row>
    <row r="1536" ht="29" spans="1:46">
      <c r="A1536" s="31" t="s">
        <v>65</v>
      </c>
      <c r="C1536" t="s">
        <v>2410</v>
      </c>
      <c r="D1536" s="5" t="s">
        <v>57</v>
      </c>
      <c r="E1536">
        <v>2035</v>
      </c>
      <c r="F1536" s="6" t="str">
        <f t="shared" si="186"/>
        <v>*0.94</v>
      </c>
      <c r="H1536" t="s">
        <v>2410</v>
      </c>
      <c r="I1536" s="5" t="s">
        <v>57</v>
      </c>
      <c r="J1536">
        <v>2050</v>
      </c>
      <c r="K1536" s="38" t="str">
        <f t="shared" si="187"/>
        <v>*0.91</v>
      </c>
      <c r="P1536" s="32" t="s">
        <v>2410</v>
      </c>
      <c r="Q1536" s="42" t="s">
        <v>57</v>
      </c>
      <c r="R1536" s="32">
        <v>2035</v>
      </c>
      <c r="S1536" s="43" t="str">
        <f t="shared" si="188"/>
        <v>*0.93</v>
      </c>
      <c r="U1536" s="32" t="s">
        <v>2410</v>
      </c>
      <c r="V1536" s="42" t="s">
        <v>57</v>
      </c>
      <c r="W1536" s="32">
        <v>2050</v>
      </c>
      <c r="X1536" s="43" t="str">
        <f t="shared" si="189"/>
        <v>*0.9</v>
      </c>
      <c r="AC1536" s="33" t="s">
        <v>2410</v>
      </c>
      <c r="AD1536" s="44" t="s">
        <v>57</v>
      </c>
      <c r="AE1536" s="33">
        <v>2035</v>
      </c>
      <c r="AF1536" s="45" t="str">
        <f t="shared" si="190"/>
        <v>*0.9</v>
      </c>
      <c r="AG1536" s="43" t="str">
        <f t="shared" si="192"/>
        <v>REZoning_Sol-Win</v>
      </c>
      <c r="AI1536" s="33" t="s">
        <v>2410</v>
      </c>
      <c r="AJ1536" s="44" t="s">
        <v>57</v>
      </c>
      <c r="AK1536" s="33">
        <v>2050</v>
      </c>
      <c r="AL1536" s="45" t="str">
        <f t="shared" si="191"/>
        <v>*0.86</v>
      </c>
      <c r="AM1536" s="43" t="str">
        <f t="shared" si="193"/>
        <v>REZoning_Sol-Win</v>
      </c>
      <c r="AP1536" t="s">
        <v>2410</v>
      </c>
      <c r="AQ1536" t="s">
        <v>57</v>
      </c>
      <c r="AR1536">
        <v>2100</v>
      </c>
      <c r="AS1536" t="s">
        <v>883</v>
      </c>
      <c r="AT1536" t="s">
        <v>58</v>
      </c>
    </row>
    <row r="1537" ht="29" spans="1:46">
      <c r="A1537" s="31" t="s">
        <v>65</v>
      </c>
      <c r="C1537" t="s">
        <v>2411</v>
      </c>
      <c r="D1537" s="5" t="s">
        <v>57</v>
      </c>
      <c r="E1537">
        <v>2035</v>
      </c>
      <c r="F1537" s="6" t="str">
        <f t="shared" si="186"/>
        <v>*0.94</v>
      </c>
      <c r="H1537" t="s">
        <v>2411</v>
      </c>
      <c r="I1537" s="5" t="s">
        <v>57</v>
      </c>
      <c r="J1537">
        <v>2050</v>
      </c>
      <c r="K1537" s="38" t="str">
        <f t="shared" si="187"/>
        <v>*0.91</v>
      </c>
      <c r="P1537" s="32" t="s">
        <v>2411</v>
      </c>
      <c r="Q1537" s="42" t="s">
        <v>57</v>
      </c>
      <c r="R1537" s="32">
        <v>2035</v>
      </c>
      <c r="S1537" s="43" t="str">
        <f t="shared" si="188"/>
        <v>*0.93</v>
      </c>
      <c r="U1537" s="32" t="s">
        <v>2411</v>
      </c>
      <c r="V1537" s="42" t="s">
        <v>57</v>
      </c>
      <c r="W1537" s="32">
        <v>2050</v>
      </c>
      <c r="X1537" s="43" t="str">
        <f t="shared" si="189"/>
        <v>*0.9</v>
      </c>
      <c r="AC1537" s="33" t="s">
        <v>2411</v>
      </c>
      <c r="AD1537" s="44" t="s">
        <v>57</v>
      </c>
      <c r="AE1537" s="33">
        <v>2035</v>
      </c>
      <c r="AF1537" s="45" t="str">
        <f t="shared" si="190"/>
        <v>*0.9</v>
      </c>
      <c r="AG1537" s="43" t="str">
        <f t="shared" si="192"/>
        <v>REZoning_Sol-Win</v>
      </c>
      <c r="AI1537" s="33" t="s">
        <v>2411</v>
      </c>
      <c r="AJ1537" s="44" t="s">
        <v>57</v>
      </c>
      <c r="AK1537" s="33">
        <v>2050</v>
      </c>
      <c r="AL1537" s="45" t="str">
        <f t="shared" si="191"/>
        <v>*0.86</v>
      </c>
      <c r="AM1537" s="43" t="str">
        <f t="shared" si="193"/>
        <v>REZoning_Sol-Win</v>
      </c>
      <c r="AP1537" t="s">
        <v>2411</v>
      </c>
      <c r="AQ1537" t="s">
        <v>57</v>
      </c>
      <c r="AR1537">
        <v>2100</v>
      </c>
      <c r="AS1537" t="s">
        <v>883</v>
      </c>
      <c r="AT1537" t="s">
        <v>58</v>
      </c>
    </row>
    <row r="1538" ht="29" spans="1:46">
      <c r="A1538" s="31" t="s">
        <v>65</v>
      </c>
      <c r="C1538" t="s">
        <v>2412</v>
      </c>
      <c r="D1538" s="5" t="s">
        <v>57</v>
      </c>
      <c r="E1538">
        <v>2035</v>
      </c>
      <c r="F1538" s="6" t="str">
        <f t="shared" si="186"/>
        <v>*0.94</v>
      </c>
      <c r="H1538" t="s">
        <v>2412</v>
      </c>
      <c r="I1538" s="5" t="s">
        <v>57</v>
      </c>
      <c r="J1538">
        <v>2050</v>
      </c>
      <c r="K1538" s="38" t="str">
        <f t="shared" si="187"/>
        <v>*0.91</v>
      </c>
      <c r="P1538" s="32" t="s">
        <v>2412</v>
      </c>
      <c r="Q1538" s="42" t="s">
        <v>57</v>
      </c>
      <c r="R1538" s="32">
        <v>2035</v>
      </c>
      <c r="S1538" s="43" t="str">
        <f t="shared" si="188"/>
        <v>*0.93</v>
      </c>
      <c r="U1538" s="32" t="s">
        <v>2412</v>
      </c>
      <c r="V1538" s="42" t="s">
        <v>57</v>
      </c>
      <c r="W1538" s="32">
        <v>2050</v>
      </c>
      <c r="X1538" s="43" t="str">
        <f t="shared" si="189"/>
        <v>*0.9</v>
      </c>
      <c r="AC1538" s="33" t="s">
        <v>2412</v>
      </c>
      <c r="AD1538" s="44" t="s">
        <v>57</v>
      </c>
      <c r="AE1538" s="33">
        <v>2035</v>
      </c>
      <c r="AF1538" s="45" t="str">
        <f t="shared" si="190"/>
        <v>*0.9</v>
      </c>
      <c r="AG1538" s="43" t="str">
        <f t="shared" si="192"/>
        <v>REZoning_Sol-Win</v>
      </c>
      <c r="AI1538" s="33" t="s">
        <v>2412</v>
      </c>
      <c r="AJ1538" s="44" t="s">
        <v>57</v>
      </c>
      <c r="AK1538" s="33">
        <v>2050</v>
      </c>
      <c r="AL1538" s="45" t="str">
        <f t="shared" si="191"/>
        <v>*0.86</v>
      </c>
      <c r="AM1538" s="43" t="str">
        <f t="shared" si="193"/>
        <v>REZoning_Sol-Win</v>
      </c>
      <c r="AP1538" t="s">
        <v>2412</v>
      </c>
      <c r="AQ1538" t="s">
        <v>57</v>
      </c>
      <c r="AR1538">
        <v>2100</v>
      </c>
      <c r="AS1538" t="s">
        <v>883</v>
      </c>
      <c r="AT1538" t="s">
        <v>58</v>
      </c>
    </row>
    <row r="1539" ht="29" spans="1:46">
      <c r="A1539" s="31" t="s">
        <v>65</v>
      </c>
      <c r="C1539" t="s">
        <v>2413</v>
      </c>
      <c r="D1539" s="5" t="s">
        <v>57</v>
      </c>
      <c r="E1539">
        <v>2035</v>
      </c>
      <c r="F1539" s="6" t="str">
        <f t="shared" si="186"/>
        <v>*0.94</v>
      </c>
      <c r="H1539" t="s">
        <v>2413</v>
      </c>
      <c r="I1539" s="5" t="s">
        <v>57</v>
      </c>
      <c r="J1539">
        <v>2050</v>
      </c>
      <c r="K1539" s="38" t="str">
        <f t="shared" si="187"/>
        <v>*0.91</v>
      </c>
      <c r="P1539" s="32" t="s">
        <v>2413</v>
      </c>
      <c r="Q1539" s="42" t="s">
        <v>57</v>
      </c>
      <c r="R1539" s="32">
        <v>2035</v>
      </c>
      <c r="S1539" s="43" t="str">
        <f t="shared" si="188"/>
        <v>*0.93</v>
      </c>
      <c r="U1539" s="32" t="s">
        <v>2413</v>
      </c>
      <c r="V1539" s="42" t="s">
        <v>57</v>
      </c>
      <c r="W1539" s="32">
        <v>2050</v>
      </c>
      <c r="X1539" s="43" t="str">
        <f t="shared" si="189"/>
        <v>*0.9</v>
      </c>
      <c r="AC1539" s="33" t="s">
        <v>2413</v>
      </c>
      <c r="AD1539" s="44" t="s">
        <v>57</v>
      </c>
      <c r="AE1539" s="33">
        <v>2035</v>
      </c>
      <c r="AF1539" s="45" t="str">
        <f t="shared" si="190"/>
        <v>*0.9</v>
      </c>
      <c r="AG1539" s="43" t="str">
        <f t="shared" si="192"/>
        <v>REZoning_Sol-Win</v>
      </c>
      <c r="AI1539" s="33" t="s">
        <v>2413</v>
      </c>
      <c r="AJ1539" s="44" t="s">
        <v>57</v>
      </c>
      <c r="AK1539" s="33">
        <v>2050</v>
      </c>
      <c r="AL1539" s="45" t="str">
        <f t="shared" si="191"/>
        <v>*0.86</v>
      </c>
      <c r="AM1539" s="43" t="str">
        <f t="shared" si="193"/>
        <v>REZoning_Sol-Win</v>
      </c>
      <c r="AP1539" t="s">
        <v>2413</v>
      </c>
      <c r="AQ1539" t="s">
        <v>57</v>
      </c>
      <c r="AR1539">
        <v>2100</v>
      </c>
      <c r="AS1539" t="s">
        <v>883</v>
      </c>
      <c r="AT1539" t="s">
        <v>58</v>
      </c>
    </row>
    <row r="1540" ht="29" spans="1:46">
      <c r="A1540" s="31" t="s">
        <v>65</v>
      </c>
      <c r="C1540" t="s">
        <v>2414</v>
      </c>
      <c r="D1540" s="5" t="s">
        <v>57</v>
      </c>
      <c r="E1540">
        <v>2035</v>
      </c>
      <c r="F1540" s="6" t="str">
        <f t="shared" ref="F1540:F1603" si="194">"*"&amp;IF(AND(A1540="EU",E1540=2035),0.95,IF(AND(A1540="EU",E1540=2050),0.93,IF(AND(A1540="USA",E1540=2035),0.96,IF(AND(A1540="USA",E1540=2050),0.94,IF(AND(A1540="Japan",E1540=2035),0.94,IF(AND(A1540="Japan",E1540=2050),0.92,IF(AND(A1540="Russia",E1540=2035),0.95,IF(AND(A1540="Russia",E1540=2050),0.93,IF(AND(A1540="China",E1540=2035),0.94,IF(AND(A1540="China",E1540=2050),0.92,IF(AND(A1540="India",E1540=2035),0.95,IF(AND(A1540="India",E1540=2050),0.92,IF(AND(A1540="Middle East",E1540=2035),0.94,IF(AND(A1540="Middle East",E1540=2050),0.9,IF(AND(A1540="Africa",E1540=2035),0.94,IF(AND(A1540="Africa",E1540=2050),0.91,IF(AND(A1540="Brazil",E1540=2035),0.95,IF(AND(A1540="Brazil",E1540=2050),0.92,""))))))))))))))))))</f>
        <v>*0.94</v>
      </c>
      <c r="H1540" t="s">
        <v>2414</v>
      </c>
      <c r="I1540" s="5" t="s">
        <v>57</v>
      </c>
      <c r="J1540">
        <v>2050</v>
      </c>
      <c r="K1540" s="38" t="str">
        <f t="shared" ref="K1540:K1603" si="195">"*"&amp;IF(AND(A1540="EU",J1540=2035),0.95,IF(AND(A1540="EU",J1540=2050),0.93,IF(AND(A1540="USA",J1540=2035),0.96,IF(AND(A1540="USA",J1540=2050),0.94,IF(AND(A1540="Japan",J1540=2035),0.94,IF(AND(A1540="Japan",J1540=2050),0.92,IF(AND(A1540="Russia",J1540=2035),0.95,IF(AND(A1540="Russia",J1540=2050),0.93,IF(AND(A1540="China",J1540=2035),0.94,IF(AND(A1540="China",J1540=2050),0.92,IF(AND(A1540="India",J1540=2035),0.95,IF(AND(A1540="India",J1540=2050),0.92,IF(AND(A1540="Middle East",J1540=2035),0.94,IF(AND(A1540="Middle East",J1540=2050),0.9,IF(AND(A1540="Africa",J1540=2035),0.94,IF(AND(A1540="Africa",J1540=2050),0.91,IF(AND(A1540="Brazil",J1540=2035),0.95,IF(AND(A1540="Brazil",J1540=2050),0.92,""))))))))))))))))))</f>
        <v>*0.91</v>
      </c>
      <c r="P1540" s="32" t="s">
        <v>2414</v>
      </c>
      <c r="Q1540" s="42" t="s">
        <v>57</v>
      </c>
      <c r="R1540" s="32">
        <v>2035</v>
      </c>
      <c r="S1540" s="43" t="str">
        <f t="shared" ref="S1540:S1603" si="196">"*"&amp;IF(AND(A1540="EU",R1540=2035),0.95,IF(AND(A1540="EU",R1540=2050),0.93,IF(AND(A1540="USA",R1540=2035),0.96,IF(AND(A1540="USA",R1540=2050),0.93,IF(AND(A1540="Japan",R1540=2035),0.94,IF(AND(A1540="Japan",R1540=2050),0.92,IF(AND(A1540="Russia",R1540=2035),0.95,IF(AND(A1540="Russia",R1540=2050),0.91,IF(AND(A1540="China",R1540=2035),0.93,IF(AND(A1540="China",R1540=2050),0.92,IF(AND(A1540="India",R1540=2035),0.94,IF(AND(A1540="India",R1540=2050),0.91,IF(AND(A1540="Middle East",R1540=2035),0.92,IF(AND(A1540="Middle East",R1540=2050),0.89,IF(AND(A1540="Africa",R1540=2035),0.93,IF(AND(A1540="Africa",R1540=2050),0.9,IF(AND(A1540="Brazil",R1540=2035),0.95,IF(AND(A1540="Brazil",R1540=2050),0.92,""))))))))))))))))))</f>
        <v>*0.93</v>
      </c>
      <c r="U1540" s="32" t="s">
        <v>2414</v>
      </c>
      <c r="V1540" s="42" t="s">
        <v>57</v>
      </c>
      <c r="W1540" s="32">
        <v>2050</v>
      </c>
      <c r="X1540" s="43" t="str">
        <f t="shared" ref="X1540:X1603" si="197">"*"&amp;IF(AND(A1540="EU",W1540=2035),0.95,IF(AND(A1540="EU",W1540=2050),0.93,IF(AND(A1540="USA",W1540=2035),0.96,IF(AND(A1540="USA",W1540=2050),0.93,IF(AND(A1540="Japan",W1540=2035),0.94,IF(AND(A1540="Japan",W1540=2050),0.92,IF(AND(A1540="Russia",W1540=2035),0.95,IF(AND(A1540="Russia",W1540=2050),0.91,IF(AND(A1540="China",W1540=2035),0.93,IF(AND(A1540="China",W1540=2050),0.92,IF(AND(A1540="India",W1540=2035),0.94,IF(AND(A1540="India",W1540=2050),0.91,IF(AND(A1540="Middle East",W1540=2035),0.92,IF(AND(A1540="Middle East",W1540=2050),0.89,IF(AND(A1540="Africa",W1540=2035),0.93,IF(AND(A1540="Africa",W1540=2050),0.9,IF(AND(A1540="Brazil",W1540=2035),0.95,IF(AND(A1540="Brazil",W1540=2050),0.92,""))))))))))))))))))</f>
        <v>*0.9</v>
      </c>
      <c r="AC1540" s="33" t="s">
        <v>2414</v>
      </c>
      <c r="AD1540" s="44" t="s">
        <v>57</v>
      </c>
      <c r="AE1540" s="33">
        <v>2035</v>
      </c>
      <c r="AF1540" s="45" t="str">
        <f t="shared" ref="AF1540:AF1603" si="198">"*"&amp;IF(AND(A1540="EU",AE1540=2035),0.93,IF(AND(A1540="EU",AE1540=2050),0.9,IF(AND(A1540="USA",AE1540=2035),0.92,IF(AND(A1540="USA",AE1540=2050),0.89,IF(AND(A1540="Japan",AE1540=2035),0.92,IF(AND(A1540="Japan",AE1540=2050),0.89,IF(AND(A1540="Russia",AE1540=2035),0.91,IF(AND(A1540="Russia",AE1540=2050),0.86,IF(AND(A1540="China",AE1540=2035),0.91,IF(AND(A1540="China",AE1540=2050),0.87,IF(AND(A1540="India",AE1540=2035),0.92,IF(AND(A1540="India",AE1540=2050),0.87,IF(AND(A1540="Middle East",AE1540=2035),0.89,IF(AND(A1540="Middle East",AE1540=2050),0.84,IF(AND(A1540="Africa",AE1540=2035),0.9,IF(AND(A1540="Africa",AE1540=2050),0.86,IF(AND(A1540="Brazil",AE1540=2035),0.93,IF(AND(A1540="Brazil",AE1540=2050),0.89,""))))))))))))))))))</f>
        <v>*0.9</v>
      </c>
      <c r="AG1540" s="43" t="str">
        <f t="shared" si="192"/>
        <v>REZoning_Sol-Win</v>
      </c>
      <c r="AI1540" s="33" t="s">
        <v>2414</v>
      </c>
      <c r="AJ1540" s="44" t="s">
        <v>57</v>
      </c>
      <c r="AK1540" s="33">
        <v>2050</v>
      </c>
      <c r="AL1540" s="45" t="str">
        <f t="shared" ref="AL1540:AL1603" si="199">"*"&amp;IF(AND(A1540="EU",AK1540=2035),0.93,IF(AND(A1540="EU",AK1540=2050),0.9,IF(AND(A1540="USA",AK1540=2035),0.92,IF(AND(A1540="USA",AK1540=2050),0.89,IF(AND(A1540="Japan",AK1540=2035),0.92,IF(AND(A1540="Japan",AK1540=2050),0.89,IF(AND(A1540="Russia",AK1540=2035),0.91,IF(AND(A1540="Russia",AK1540=2050),0.86,IF(AND(A1540="China",AK1540=2035),0.91,IF(AND(A1540="China",AK1540=2050),0.87,IF(AND(A1540="India",AK1540=2035),0.92,IF(AND(A1540="India",AK1540=2050),0.87,IF(AND(A1540="Middle East",AK1540=2035),0.89,IF(AND(A1540="Middle East",AK1540=2050),0.84,IF(AND(A1540="Africa",AK1540=2035),0.9,IF(AND(A1540="Africa",AK1540=2050),0.86,IF(AND(A1540="Brazil",AK1540=2035),0.93,IF(AND(A1540="Brazil",AK1540=2050),0.89,""))))))))))))))))))</f>
        <v>*0.86</v>
      </c>
      <c r="AM1540" s="43" t="str">
        <f t="shared" si="193"/>
        <v>REZoning_Sol-Win</v>
      </c>
      <c r="AP1540" t="s">
        <v>2414</v>
      </c>
      <c r="AQ1540" t="s">
        <v>57</v>
      </c>
      <c r="AR1540">
        <v>2100</v>
      </c>
      <c r="AS1540" t="s">
        <v>883</v>
      </c>
      <c r="AT1540" t="s">
        <v>58</v>
      </c>
    </row>
    <row r="1541" ht="29" spans="1:46">
      <c r="A1541" s="31" t="s">
        <v>65</v>
      </c>
      <c r="C1541" t="s">
        <v>2415</v>
      </c>
      <c r="D1541" s="5" t="s">
        <v>57</v>
      </c>
      <c r="E1541">
        <v>2035</v>
      </c>
      <c r="F1541" s="6" t="str">
        <f t="shared" si="194"/>
        <v>*0.94</v>
      </c>
      <c r="H1541" t="s">
        <v>2415</v>
      </c>
      <c r="I1541" s="5" t="s">
        <v>57</v>
      </c>
      <c r="J1541">
        <v>2050</v>
      </c>
      <c r="K1541" s="38" t="str">
        <f t="shared" si="195"/>
        <v>*0.91</v>
      </c>
      <c r="P1541" s="32" t="s">
        <v>2415</v>
      </c>
      <c r="Q1541" s="42" t="s">
        <v>57</v>
      </c>
      <c r="R1541" s="32">
        <v>2035</v>
      </c>
      <c r="S1541" s="43" t="str">
        <f t="shared" si="196"/>
        <v>*0.93</v>
      </c>
      <c r="U1541" s="32" t="s">
        <v>2415</v>
      </c>
      <c r="V1541" s="42" t="s">
        <v>57</v>
      </c>
      <c r="W1541" s="32">
        <v>2050</v>
      </c>
      <c r="X1541" s="43" t="str">
        <f t="shared" si="197"/>
        <v>*0.9</v>
      </c>
      <c r="AC1541" s="33" t="s">
        <v>2415</v>
      </c>
      <c r="AD1541" s="44" t="s">
        <v>57</v>
      </c>
      <c r="AE1541" s="33">
        <v>2035</v>
      </c>
      <c r="AF1541" s="45" t="str">
        <f t="shared" si="198"/>
        <v>*0.9</v>
      </c>
      <c r="AG1541" s="43" t="str">
        <f t="shared" si="192"/>
        <v>REZoning_Sol-Win</v>
      </c>
      <c r="AI1541" s="33" t="s">
        <v>2415</v>
      </c>
      <c r="AJ1541" s="44" t="s">
        <v>57</v>
      </c>
      <c r="AK1541" s="33">
        <v>2050</v>
      </c>
      <c r="AL1541" s="45" t="str">
        <f t="shared" si="199"/>
        <v>*0.86</v>
      </c>
      <c r="AM1541" s="43" t="str">
        <f t="shared" si="193"/>
        <v>REZoning_Sol-Win</v>
      </c>
      <c r="AP1541" t="s">
        <v>2415</v>
      </c>
      <c r="AQ1541" t="s">
        <v>57</v>
      </c>
      <c r="AR1541">
        <v>2100</v>
      </c>
      <c r="AS1541" t="s">
        <v>883</v>
      </c>
      <c r="AT1541" t="s">
        <v>58</v>
      </c>
    </row>
    <row r="1542" ht="29" spans="1:46">
      <c r="A1542" s="31" t="s">
        <v>65</v>
      </c>
      <c r="C1542" t="s">
        <v>2416</v>
      </c>
      <c r="D1542" s="5" t="s">
        <v>57</v>
      </c>
      <c r="E1542">
        <v>2035</v>
      </c>
      <c r="F1542" s="6" t="str">
        <f t="shared" si="194"/>
        <v>*0.94</v>
      </c>
      <c r="H1542" t="s">
        <v>2416</v>
      </c>
      <c r="I1542" s="5" t="s">
        <v>57</v>
      </c>
      <c r="J1542">
        <v>2050</v>
      </c>
      <c r="K1542" s="38" t="str">
        <f t="shared" si="195"/>
        <v>*0.91</v>
      </c>
      <c r="P1542" s="32" t="s">
        <v>2416</v>
      </c>
      <c r="Q1542" s="42" t="s">
        <v>57</v>
      </c>
      <c r="R1542" s="32">
        <v>2035</v>
      </c>
      <c r="S1542" s="43" t="str">
        <f t="shared" si="196"/>
        <v>*0.93</v>
      </c>
      <c r="U1542" s="32" t="s">
        <v>2416</v>
      </c>
      <c r="V1542" s="42" t="s">
        <v>57</v>
      </c>
      <c r="W1542" s="32">
        <v>2050</v>
      </c>
      <c r="X1542" s="43" t="str">
        <f t="shared" si="197"/>
        <v>*0.9</v>
      </c>
      <c r="AC1542" s="33" t="s">
        <v>2416</v>
      </c>
      <c r="AD1542" s="44" t="s">
        <v>57</v>
      </c>
      <c r="AE1542" s="33">
        <v>2035</v>
      </c>
      <c r="AF1542" s="45" t="str">
        <f t="shared" si="198"/>
        <v>*0.9</v>
      </c>
      <c r="AG1542" s="43" t="str">
        <f t="shared" si="192"/>
        <v>REZoning_Sol-Win</v>
      </c>
      <c r="AI1542" s="33" t="s">
        <v>2416</v>
      </c>
      <c r="AJ1542" s="44" t="s">
        <v>57</v>
      </c>
      <c r="AK1542" s="33">
        <v>2050</v>
      </c>
      <c r="AL1542" s="45" t="str">
        <f t="shared" si="199"/>
        <v>*0.86</v>
      </c>
      <c r="AM1542" s="43" t="str">
        <f t="shared" si="193"/>
        <v>REZoning_Sol-Win</v>
      </c>
      <c r="AP1542" t="s">
        <v>2416</v>
      </c>
      <c r="AQ1542" t="s">
        <v>57</v>
      </c>
      <c r="AR1542">
        <v>2100</v>
      </c>
      <c r="AS1542" t="s">
        <v>883</v>
      </c>
      <c r="AT1542" t="s">
        <v>58</v>
      </c>
    </row>
    <row r="1543" ht="29" spans="1:46">
      <c r="A1543" s="31" t="s">
        <v>65</v>
      </c>
      <c r="C1543" t="s">
        <v>2417</v>
      </c>
      <c r="D1543" s="5" t="s">
        <v>57</v>
      </c>
      <c r="E1543">
        <v>2035</v>
      </c>
      <c r="F1543" s="6" t="str">
        <f t="shared" si="194"/>
        <v>*0.94</v>
      </c>
      <c r="H1543" t="s">
        <v>2417</v>
      </c>
      <c r="I1543" s="5" t="s">
        <v>57</v>
      </c>
      <c r="J1543">
        <v>2050</v>
      </c>
      <c r="K1543" s="38" t="str">
        <f t="shared" si="195"/>
        <v>*0.91</v>
      </c>
      <c r="P1543" s="32" t="s">
        <v>2417</v>
      </c>
      <c r="Q1543" s="42" t="s">
        <v>57</v>
      </c>
      <c r="R1543" s="32">
        <v>2035</v>
      </c>
      <c r="S1543" s="43" t="str">
        <f t="shared" si="196"/>
        <v>*0.93</v>
      </c>
      <c r="U1543" s="32" t="s">
        <v>2417</v>
      </c>
      <c r="V1543" s="42" t="s">
        <v>57</v>
      </c>
      <c r="W1543" s="32">
        <v>2050</v>
      </c>
      <c r="X1543" s="43" t="str">
        <f t="shared" si="197"/>
        <v>*0.9</v>
      </c>
      <c r="AC1543" s="33" t="s">
        <v>2417</v>
      </c>
      <c r="AD1543" s="44" t="s">
        <v>57</v>
      </c>
      <c r="AE1543" s="33">
        <v>2035</v>
      </c>
      <c r="AF1543" s="45" t="str">
        <f t="shared" si="198"/>
        <v>*0.9</v>
      </c>
      <c r="AG1543" s="43" t="str">
        <f t="shared" si="192"/>
        <v>REZoning_Sol-Win</v>
      </c>
      <c r="AI1543" s="33" t="s">
        <v>2417</v>
      </c>
      <c r="AJ1543" s="44" t="s">
        <v>57</v>
      </c>
      <c r="AK1543" s="33">
        <v>2050</v>
      </c>
      <c r="AL1543" s="45" t="str">
        <f t="shared" si="199"/>
        <v>*0.86</v>
      </c>
      <c r="AM1543" s="43" t="str">
        <f t="shared" si="193"/>
        <v>REZoning_Sol-Win</v>
      </c>
      <c r="AP1543" t="s">
        <v>2417</v>
      </c>
      <c r="AQ1543" t="s">
        <v>57</v>
      </c>
      <c r="AR1543">
        <v>2100</v>
      </c>
      <c r="AS1543" t="s">
        <v>883</v>
      </c>
      <c r="AT1543" t="s">
        <v>58</v>
      </c>
    </row>
    <row r="1544" ht="29" spans="1:46">
      <c r="A1544" s="31" t="s">
        <v>65</v>
      </c>
      <c r="C1544" t="s">
        <v>2418</v>
      </c>
      <c r="D1544" s="5" t="s">
        <v>57</v>
      </c>
      <c r="E1544">
        <v>2035</v>
      </c>
      <c r="F1544" s="6" t="str">
        <f t="shared" si="194"/>
        <v>*0.94</v>
      </c>
      <c r="H1544" t="s">
        <v>2418</v>
      </c>
      <c r="I1544" s="5" t="s">
        <v>57</v>
      </c>
      <c r="J1544">
        <v>2050</v>
      </c>
      <c r="K1544" s="38" t="str">
        <f t="shared" si="195"/>
        <v>*0.91</v>
      </c>
      <c r="P1544" s="32" t="s">
        <v>2418</v>
      </c>
      <c r="Q1544" s="42" t="s">
        <v>57</v>
      </c>
      <c r="R1544" s="32">
        <v>2035</v>
      </c>
      <c r="S1544" s="43" t="str">
        <f t="shared" si="196"/>
        <v>*0.93</v>
      </c>
      <c r="U1544" s="32" t="s">
        <v>2418</v>
      </c>
      <c r="V1544" s="42" t="s">
        <v>57</v>
      </c>
      <c r="W1544" s="32">
        <v>2050</v>
      </c>
      <c r="X1544" s="43" t="str">
        <f t="shared" si="197"/>
        <v>*0.9</v>
      </c>
      <c r="AC1544" s="33" t="s">
        <v>2418</v>
      </c>
      <c r="AD1544" s="44" t="s">
        <v>57</v>
      </c>
      <c r="AE1544" s="33">
        <v>2035</v>
      </c>
      <c r="AF1544" s="45" t="str">
        <f t="shared" si="198"/>
        <v>*0.9</v>
      </c>
      <c r="AG1544" s="43" t="str">
        <f t="shared" si="192"/>
        <v>REZoning_Sol-Win</v>
      </c>
      <c r="AI1544" s="33" t="s">
        <v>2418</v>
      </c>
      <c r="AJ1544" s="44" t="s">
        <v>57</v>
      </c>
      <c r="AK1544" s="33">
        <v>2050</v>
      </c>
      <c r="AL1544" s="45" t="str">
        <f t="shared" si="199"/>
        <v>*0.86</v>
      </c>
      <c r="AM1544" s="43" t="str">
        <f t="shared" si="193"/>
        <v>REZoning_Sol-Win</v>
      </c>
      <c r="AP1544" t="s">
        <v>2418</v>
      </c>
      <c r="AQ1544" t="s">
        <v>57</v>
      </c>
      <c r="AR1544">
        <v>2100</v>
      </c>
      <c r="AS1544" t="s">
        <v>883</v>
      </c>
      <c r="AT1544" t="s">
        <v>58</v>
      </c>
    </row>
    <row r="1545" ht="29" spans="1:46">
      <c r="A1545" s="31" t="s">
        <v>65</v>
      </c>
      <c r="C1545" t="s">
        <v>2419</v>
      </c>
      <c r="D1545" s="5" t="s">
        <v>57</v>
      </c>
      <c r="E1545">
        <v>2035</v>
      </c>
      <c r="F1545" s="6" t="str">
        <f t="shared" si="194"/>
        <v>*0.94</v>
      </c>
      <c r="H1545" t="s">
        <v>2419</v>
      </c>
      <c r="I1545" s="5" t="s">
        <v>57</v>
      </c>
      <c r="J1545">
        <v>2050</v>
      </c>
      <c r="K1545" s="38" t="str">
        <f t="shared" si="195"/>
        <v>*0.91</v>
      </c>
      <c r="P1545" s="32" t="s">
        <v>2419</v>
      </c>
      <c r="Q1545" s="42" t="s">
        <v>57</v>
      </c>
      <c r="R1545" s="32">
        <v>2035</v>
      </c>
      <c r="S1545" s="43" t="str">
        <f t="shared" si="196"/>
        <v>*0.93</v>
      </c>
      <c r="U1545" s="32" t="s">
        <v>2419</v>
      </c>
      <c r="V1545" s="42" t="s">
        <v>57</v>
      </c>
      <c r="W1545" s="32">
        <v>2050</v>
      </c>
      <c r="X1545" s="43" t="str">
        <f t="shared" si="197"/>
        <v>*0.9</v>
      </c>
      <c r="AC1545" s="33" t="s">
        <v>2419</v>
      </c>
      <c r="AD1545" s="44" t="s">
        <v>57</v>
      </c>
      <c r="AE1545" s="33">
        <v>2035</v>
      </c>
      <c r="AF1545" s="45" t="str">
        <f t="shared" si="198"/>
        <v>*0.9</v>
      </c>
      <c r="AG1545" s="43" t="str">
        <f t="shared" ref="AG1545:AG1608" si="200">AG1544</f>
        <v>REZoning_Sol-Win</v>
      </c>
      <c r="AI1545" s="33" t="s">
        <v>2419</v>
      </c>
      <c r="AJ1545" s="44" t="s">
        <v>57</v>
      </c>
      <c r="AK1545" s="33">
        <v>2050</v>
      </c>
      <c r="AL1545" s="45" t="str">
        <f t="shared" si="199"/>
        <v>*0.86</v>
      </c>
      <c r="AM1545" s="43" t="str">
        <f t="shared" si="193"/>
        <v>REZoning_Sol-Win</v>
      </c>
      <c r="AP1545" t="s">
        <v>2419</v>
      </c>
      <c r="AQ1545" t="s">
        <v>57</v>
      </c>
      <c r="AR1545">
        <v>2100</v>
      </c>
      <c r="AS1545" t="s">
        <v>883</v>
      </c>
      <c r="AT1545" t="s">
        <v>58</v>
      </c>
    </row>
    <row r="1546" ht="29" spans="1:46">
      <c r="A1546" s="31" t="s">
        <v>65</v>
      </c>
      <c r="C1546" t="s">
        <v>2420</v>
      </c>
      <c r="D1546" s="5" t="s">
        <v>57</v>
      </c>
      <c r="E1546">
        <v>2035</v>
      </c>
      <c r="F1546" s="6" t="str">
        <f t="shared" si="194"/>
        <v>*0.94</v>
      </c>
      <c r="H1546" t="s">
        <v>2420</v>
      </c>
      <c r="I1546" s="5" t="s">
        <v>57</v>
      </c>
      <c r="J1546">
        <v>2050</v>
      </c>
      <c r="K1546" s="38" t="str">
        <f t="shared" si="195"/>
        <v>*0.91</v>
      </c>
      <c r="P1546" s="32" t="s">
        <v>2420</v>
      </c>
      <c r="Q1546" s="42" t="s">
        <v>57</v>
      </c>
      <c r="R1546" s="32">
        <v>2035</v>
      </c>
      <c r="S1546" s="43" t="str">
        <f t="shared" si="196"/>
        <v>*0.93</v>
      </c>
      <c r="U1546" s="32" t="s">
        <v>2420</v>
      </c>
      <c r="V1546" s="42" t="s">
        <v>57</v>
      </c>
      <c r="W1546" s="32">
        <v>2050</v>
      </c>
      <c r="X1546" s="43" t="str">
        <f t="shared" si="197"/>
        <v>*0.9</v>
      </c>
      <c r="AC1546" s="33" t="s">
        <v>2420</v>
      </c>
      <c r="AD1546" s="44" t="s">
        <v>57</v>
      </c>
      <c r="AE1546" s="33">
        <v>2035</v>
      </c>
      <c r="AF1546" s="45" t="str">
        <f t="shared" si="198"/>
        <v>*0.9</v>
      </c>
      <c r="AG1546" s="43" t="str">
        <f t="shared" si="200"/>
        <v>REZoning_Sol-Win</v>
      </c>
      <c r="AI1546" s="33" t="s">
        <v>2420</v>
      </c>
      <c r="AJ1546" s="44" t="s">
        <v>57</v>
      </c>
      <c r="AK1546" s="33">
        <v>2050</v>
      </c>
      <c r="AL1546" s="45" t="str">
        <f t="shared" si="199"/>
        <v>*0.86</v>
      </c>
      <c r="AM1546" s="43" t="str">
        <f t="shared" ref="AM1546:AM1609" si="201">AM1545</f>
        <v>REZoning_Sol-Win</v>
      </c>
      <c r="AP1546" t="s">
        <v>2420</v>
      </c>
      <c r="AQ1546" t="s">
        <v>57</v>
      </c>
      <c r="AR1546">
        <v>2100</v>
      </c>
      <c r="AS1546" t="s">
        <v>883</v>
      </c>
      <c r="AT1546" t="s">
        <v>58</v>
      </c>
    </row>
    <row r="1547" ht="29" spans="1:46">
      <c r="A1547" s="31" t="s">
        <v>65</v>
      </c>
      <c r="C1547" t="s">
        <v>2421</v>
      </c>
      <c r="D1547" s="5" t="s">
        <v>57</v>
      </c>
      <c r="E1547">
        <v>2035</v>
      </c>
      <c r="F1547" s="6" t="str">
        <f t="shared" si="194"/>
        <v>*0.94</v>
      </c>
      <c r="H1547" t="s">
        <v>2421</v>
      </c>
      <c r="I1547" s="5" t="s">
        <v>57</v>
      </c>
      <c r="J1547">
        <v>2050</v>
      </c>
      <c r="K1547" s="38" t="str">
        <f t="shared" si="195"/>
        <v>*0.91</v>
      </c>
      <c r="P1547" s="32" t="s">
        <v>2421</v>
      </c>
      <c r="Q1547" s="42" t="s">
        <v>57</v>
      </c>
      <c r="R1547" s="32">
        <v>2035</v>
      </c>
      <c r="S1547" s="43" t="str">
        <f t="shared" si="196"/>
        <v>*0.93</v>
      </c>
      <c r="U1547" s="32" t="s">
        <v>2421</v>
      </c>
      <c r="V1547" s="42" t="s">
        <v>57</v>
      </c>
      <c r="W1547" s="32">
        <v>2050</v>
      </c>
      <c r="X1547" s="43" t="str">
        <f t="shared" si="197"/>
        <v>*0.9</v>
      </c>
      <c r="AC1547" s="33" t="s">
        <v>2421</v>
      </c>
      <c r="AD1547" s="44" t="s">
        <v>57</v>
      </c>
      <c r="AE1547" s="33">
        <v>2035</v>
      </c>
      <c r="AF1547" s="45" t="str">
        <f t="shared" si="198"/>
        <v>*0.9</v>
      </c>
      <c r="AG1547" s="43" t="str">
        <f t="shared" si="200"/>
        <v>REZoning_Sol-Win</v>
      </c>
      <c r="AI1547" s="33" t="s">
        <v>2421</v>
      </c>
      <c r="AJ1547" s="44" t="s">
        <v>57</v>
      </c>
      <c r="AK1547" s="33">
        <v>2050</v>
      </c>
      <c r="AL1547" s="45" t="str">
        <f t="shared" si="199"/>
        <v>*0.86</v>
      </c>
      <c r="AM1547" s="43" t="str">
        <f t="shared" si="201"/>
        <v>REZoning_Sol-Win</v>
      </c>
      <c r="AP1547" t="s">
        <v>2421</v>
      </c>
      <c r="AQ1547" t="s">
        <v>57</v>
      </c>
      <c r="AR1547">
        <v>2100</v>
      </c>
      <c r="AS1547" t="s">
        <v>883</v>
      </c>
      <c r="AT1547" t="s">
        <v>58</v>
      </c>
    </row>
    <row r="1548" ht="29" spans="1:46">
      <c r="A1548" s="31" t="s">
        <v>65</v>
      </c>
      <c r="C1548" t="s">
        <v>2422</v>
      </c>
      <c r="D1548" s="5" t="s">
        <v>57</v>
      </c>
      <c r="E1548">
        <v>2035</v>
      </c>
      <c r="F1548" s="6" t="str">
        <f t="shared" si="194"/>
        <v>*0.94</v>
      </c>
      <c r="H1548" t="s">
        <v>2422</v>
      </c>
      <c r="I1548" s="5" t="s">
        <v>57</v>
      </c>
      <c r="J1548">
        <v>2050</v>
      </c>
      <c r="K1548" s="38" t="str">
        <f t="shared" si="195"/>
        <v>*0.91</v>
      </c>
      <c r="P1548" s="32" t="s">
        <v>2422</v>
      </c>
      <c r="Q1548" s="42" t="s">
        <v>57</v>
      </c>
      <c r="R1548" s="32">
        <v>2035</v>
      </c>
      <c r="S1548" s="43" t="str">
        <f t="shared" si="196"/>
        <v>*0.93</v>
      </c>
      <c r="U1548" s="32" t="s">
        <v>2422</v>
      </c>
      <c r="V1548" s="42" t="s">
        <v>57</v>
      </c>
      <c r="W1548" s="32">
        <v>2050</v>
      </c>
      <c r="X1548" s="43" t="str">
        <f t="shared" si="197"/>
        <v>*0.9</v>
      </c>
      <c r="AC1548" s="33" t="s">
        <v>2422</v>
      </c>
      <c r="AD1548" s="44" t="s">
        <v>57</v>
      </c>
      <c r="AE1548" s="33">
        <v>2035</v>
      </c>
      <c r="AF1548" s="45" t="str">
        <f t="shared" si="198"/>
        <v>*0.9</v>
      </c>
      <c r="AG1548" s="43" t="str">
        <f t="shared" si="200"/>
        <v>REZoning_Sol-Win</v>
      </c>
      <c r="AI1548" s="33" t="s">
        <v>2422</v>
      </c>
      <c r="AJ1548" s="44" t="s">
        <v>57</v>
      </c>
      <c r="AK1548" s="33">
        <v>2050</v>
      </c>
      <c r="AL1548" s="45" t="str">
        <f t="shared" si="199"/>
        <v>*0.86</v>
      </c>
      <c r="AM1548" s="43" t="str">
        <f t="shared" si="201"/>
        <v>REZoning_Sol-Win</v>
      </c>
      <c r="AP1548" t="s">
        <v>2422</v>
      </c>
      <c r="AQ1548" t="s">
        <v>57</v>
      </c>
      <c r="AR1548">
        <v>2100</v>
      </c>
      <c r="AS1548" t="s">
        <v>883</v>
      </c>
      <c r="AT1548" t="s">
        <v>58</v>
      </c>
    </row>
    <row r="1549" ht="29" spans="1:46">
      <c r="A1549" s="31" t="s">
        <v>65</v>
      </c>
      <c r="C1549" t="s">
        <v>2423</v>
      </c>
      <c r="D1549" s="5" t="s">
        <v>57</v>
      </c>
      <c r="E1549">
        <v>2035</v>
      </c>
      <c r="F1549" s="6" t="str">
        <f t="shared" si="194"/>
        <v>*0.94</v>
      </c>
      <c r="H1549" t="s">
        <v>2423</v>
      </c>
      <c r="I1549" s="5" t="s">
        <v>57</v>
      </c>
      <c r="J1549">
        <v>2050</v>
      </c>
      <c r="K1549" s="38" t="str">
        <f t="shared" si="195"/>
        <v>*0.91</v>
      </c>
      <c r="P1549" s="32" t="s">
        <v>2423</v>
      </c>
      <c r="Q1549" s="42" t="s">
        <v>57</v>
      </c>
      <c r="R1549" s="32">
        <v>2035</v>
      </c>
      <c r="S1549" s="43" t="str">
        <f t="shared" si="196"/>
        <v>*0.93</v>
      </c>
      <c r="U1549" s="32" t="s">
        <v>2423</v>
      </c>
      <c r="V1549" s="42" t="s">
        <v>57</v>
      </c>
      <c r="W1549" s="32">
        <v>2050</v>
      </c>
      <c r="X1549" s="43" t="str">
        <f t="shared" si="197"/>
        <v>*0.9</v>
      </c>
      <c r="AC1549" s="33" t="s">
        <v>2423</v>
      </c>
      <c r="AD1549" s="44" t="s">
        <v>57</v>
      </c>
      <c r="AE1549" s="33">
        <v>2035</v>
      </c>
      <c r="AF1549" s="45" t="str">
        <f t="shared" si="198"/>
        <v>*0.9</v>
      </c>
      <c r="AG1549" s="43" t="str">
        <f t="shared" si="200"/>
        <v>REZoning_Sol-Win</v>
      </c>
      <c r="AI1549" s="33" t="s">
        <v>2423</v>
      </c>
      <c r="AJ1549" s="44" t="s">
        <v>57</v>
      </c>
      <c r="AK1549" s="33">
        <v>2050</v>
      </c>
      <c r="AL1549" s="45" t="str">
        <f t="shared" si="199"/>
        <v>*0.86</v>
      </c>
      <c r="AM1549" s="43" t="str">
        <f t="shared" si="201"/>
        <v>REZoning_Sol-Win</v>
      </c>
      <c r="AP1549" t="s">
        <v>2423</v>
      </c>
      <c r="AQ1549" t="s">
        <v>57</v>
      </c>
      <c r="AR1549">
        <v>2100</v>
      </c>
      <c r="AS1549" t="s">
        <v>883</v>
      </c>
      <c r="AT1549" t="s">
        <v>58</v>
      </c>
    </row>
    <row r="1550" ht="29" spans="1:46">
      <c r="A1550" s="31" t="s">
        <v>65</v>
      </c>
      <c r="C1550" t="s">
        <v>2424</v>
      </c>
      <c r="D1550" s="5" t="s">
        <v>57</v>
      </c>
      <c r="E1550">
        <v>2035</v>
      </c>
      <c r="F1550" s="6" t="str">
        <f t="shared" si="194"/>
        <v>*0.94</v>
      </c>
      <c r="H1550" t="s">
        <v>2424</v>
      </c>
      <c r="I1550" s="5" t="s">
        <v>57</v>
      </c>
      <c r="J1550">
        <v>2050</v>
      </c>
      <c r="K1550" s="38" t="str">
        <f t="shared" si="195"/>
        <v>*0.91</v>
      </c>
      <c r="P1550" s="32" t="s">
        <v>2424</v>
      </c>
      <c r="Q1550" s="42" t="s">
        <v>57</v>
      </c>
      <c r="R1550" s="32">
        <v>2035</v>
      </c>
      <c r="S1550" s="43" t="str">
        <f t="shared" si="196"/>
        <v>*0.93</v>
      </c>
      <c r="U1550" s="32" t="s">
        <v>2424</v>
      </c>
      <c r="V1550" s="42" t="s">
        <v>57</v>
      </c>
      <c r="W1550" s="32">
        <v>2050</v>
      </c>
      <c r="X1550" s="43" t="str">
        <f t="shared" si="197"/>
        <v>*0.9</v>
      </c>
      <c r="AC1550" s="33" t="s">
        <v>2424</v>
      </c>
      <c r="AD1550" s="44" t="s">
        <v>57</v>
      </c>
      <c r="AE1550" s="33">
        <v>2035</v>
      </c>
      <c r="AF1550" s="45" t="str">
        <f t="shared" si="198"/>
        <v>*0.9</v>
      </c>
      <c r="AG1550" s="43" t="str">
        <f t="shared" si="200"/>
        <v>REZoning_Sol-Win</v>
      </c>
      <c r="AI1550" s="33" t="s">
        <v>2424</v>
      </c>
      <c r="AJ1550" s="44" t="s">
        <v>57</v>
      </c>
      <c r="AK1550" s="33">
        <v>2050</v>
      </c>
      <c r="AL1550" s="45" t="str">
        <f t="shared" si="199"/>
        <v>*0.86</v>
      </c>
      <c r="AM1550" s="43" t="str">
        <f t="shared" si="201"/>
        <v>REZoning_Sol-Win</v>
      </c>
      <c r="AP1550" t="s">
        <v>2424</v>
      </c>
      <c r="AQ1550" t="s">
        <v>57</v>
      </c>
      <c r="AR1550">
        <v>2100</v>
      </c>
      <c r="AS1550" t="s">
        <v>883</v>
      </c>
      <c r="AT1550" t="s">
        <v>58</v>
      </c>
    </row>
    <row r="1551" ht="29" spans="1:46">
      <c r="A1551" s="31" t="s">
        <v>65</v>
      </c>
      <c r="C1551" t="s">
        <v>2425</v>
      </c>
      <c r="D1551" s="5" t="s">
        <v>57</v>
      </c>
      <c r="E1551">
        <v>2035</v>
      </c>
      <c r="F1551" s="6" t="str">
        <f t="shared" si="194"/>
        <v>*0.94</v>
      </c>
      <c r="H1551" t="s">
        <v>2425</v>
      </c>
      <c r="I1551" s="5" t="s">
        <v>57</v>
      </c>
      <c r="J1551">
        <v>2050</v>
      </c>
      <c r="K1551" s="38" t="str">
        <f t="shared" si="195"/>
        <v>*0.91</v>
      </c>
      <c r="P1551" s="32" t="s">
        <v>2425</v>
      </c>
      <c r="Q1551" s="42" t="s">
        <v>57</v>
      </c>
      <c r="R1551" s="32">
        <v>2035</v>
      </c>
      <c r="S1551" s="43" t="str">
        <f t="shared" si="196"/>
        <v>*0.93</v>
      </c>
      <c r="U1551" s="32" t="s">
        <v>2425</v>
      </c>
      <c r="V1551" s="42" t="s">
        <v>57</v>
      </c>
      <c r="W1551" s="32">
        <v>2050</v>
      </c>
      <c r="X1551" s="43" t="str">
        <f t="shared" si="197"/>
        <v>*0.9</v>
      </c>
      <c r="AC1551" s="33" t="s">
        <v>2425</v>
      </c>
      <c r="AD1551" s="44" t="s">
        <v>57</v>
      </c>
      <c r="AE1551" s="33">
        <v>2035</v>
      </c>
      <c r="AF1551" s="45" t="str">
        <f t="shared" si="198"/>
        <v>*0.9</v>
      </c>
      <c r="AG1551" s="43" t="str">
        <f t="shared" si="200"/>
        <v>REZoning_Sol-Win</v>
      </c>
      <c r="AI1551" s="33" t="s">
        <v>2425</v>
      </c>
      <c r="AJ1551" s="44" t="s">
        <v>57</v>
      </c>
      <c r="AK1551" s="33">
        <v>2050</v>
      </c>
      <c r="AL1551" s="45" t="str">
        <f t="shared" si="199"/>
        <v>*0.86</v>
      </c>
      <c r="AM1551" s="43" t="str">
        <f t="shared" si="201"/>
        <v>REZoning_Sol-Win</v>
      </c>
      <c r="AP1551" t="s">
        <v>2425</v>
      </c>
      <c r="AQ1551" t="s">
        <v>57</v>
      </c>
      <c r="AR1551">
        <v>2100</v>
      </c>
      <c r="AS1551" t="s">
        <v>883</v>
      </c>
      <c r="AT1551" t="s">
        <v>58</v>
      </c>
    </row>
    <row r="1552" ht="29" spans="1:46">
      <c r="A1552" s="31" t="s">
        <v>65</v>
      </c>
      <c r="C1552" t="s">
        <v>2426</v>
      </c>
      <c r="D1552" s="5" t="s">
        <v>57</v>
      </c>
      <c r="E1552">
        <v>2035</v>
      </c>
      <c r="F1552" s="6" t="str">
        <f t="shared" si="194"/>
        <v>*0.94</v>
      </c>
      <c r="H1552" t="s">
        <v>2426</v>
      </c>
      <c r="I1552" s="5" t="s">
        <v>57</v>
      </c>
      <c r="J1552">
        <v>2050</v>
      </c>
      <c r="K1552" s="38" t="str">
        <f t="shared" si="195"/>
        <v>*0.91</v>
      </c>
      <c r="P1552" s="32" t="s">
        <v>2426</v>
      </c>
      <c r="Q1552" s="42" t="s">
        <v>57</v>
      </c>
      <c r="R1552" s="32">
        <v>2035</v>
      </c>
      <c r="S1552" s="43" t="str">
        <f t="shared" si="196"/>
        <v>*0.93</v>
      </c>
      <c r="U1552" s="32" t="s">
        <v>2426</v>
      </c>
      <c r="V1552" s="42" t="s">
        <v>57</v>
      </c>
      <c r="W1552" s="32">
        <v>2050</v>
      </c>
      <c r="X1552" s="43" t="str">
        <f t="shared" si="197"/>
        <v>*0.9</v>
      </c>
      <c r="AC1552" s="33" t="s">
        <v>2426</v>
      </c>
      <c r="AD1552" s="44" t="s">
        <v>57</v>
      </c>
      <c r="AE1552" s="33">
        <v>2035</v>
      </c>
      <c r="AF1552" s="45" t="str">
        <f t="shared" si="198"/>
        <v>*0.9</v>
      </c>
      <c r="AG1552" s="43" t="str">
        <f t="shared" si="200"/>
        <v>REZoning_Sol-Win</v>
      </c>
      <c r="AI1552" s="33" t="s">
        <v>2426</v>
      </c>
      <c r="AJ1552" s="44" t="s">
        <v>57</v>
      </c>
      <c r="AK1552" s="33">
        <v>2050</v>
      </c>
      <c r="AL1552" s="45" t="str">
        <f t="shared" si="199"/>
        <v>*0.86</v>
      </c>
      <c r="AM1552" s="43" t="str">
        <f t="shared" si="201"/>
        <v>REZoning_Sol-Win</v>
      </c>
      <c r="AP1552" t="s">
        <v>2426</v>
      </c>
      <c r="AQ1552" t="s">
        <v>57</v>
      </c>
      <c r="AR1552">
        <v>2100</v>
      </c>
      <c r="AS1552" t="s">
        <v>883</v>
      </c>
      <c r="AT1552" t="s">
        <v>58</v>
      </c>
    </row>
    <row r="1553" ht="29" spans="1:46">
      <c r="A1553" s="31" t="s">
        <v>65</v>
      </c>
      <c r="C1553" t="s">
        <v>2427</v>
      </c>
      <c r="D1553" s="5" t="s">
        <v>57</v>
      </c>
      <c r="E1553">
        <v>2035</v>
      </c>
      <c r="F1553" s="6" t="str">
        <f t="shared" si="194"/>
        <v>*0.94</v>
      </c>
      <c r="H1553" t="s">
        <v>2427</v>
      </c>
      <c r="I1553" s="5" t="s">
        <v>57</v>
      </c>
      <c r="J1553">
        <v>2050</v>
      </c>
      <c r="K1553" s="38" t="str">
        <f t="shared" si="195"/>
        <v>*0.91</v>
      </c>
      <c r="P1553" s="32" t="s">
        <v>2427</v>
      </c>
      <c r="Q1553" s="42" t="s">
        <v>57</v>
      </c>
      <c r="R1553" s="32">
        <v>2035</v>
      </c>
      <c r="S1553" s="43" t="str">
        <f t="shared" si="196"/>
        <v>*0.93</v>
      </c>
      <c r="U1553" s="32" t="s">
        <v>2427</v>
      </c>
      <c r="V1553" s="42" t="s">
        <v>57</v>
      </c>
      <c r="W1553" s="32">
        <v>2050</v>
      </c>
      <c r="X1553" s="43" t="str">
        <f t="shared" si="197"/>
        <v>*0.9</v>
      </c>
      <c r="AC1553" s="33" t="s">
        <v>2427</v>
      </c>
      <c r="AD1553" s="44" t="s">
        <v>57</v>
      </c>
      <c r="AE1553" s="33">
        <v>2035</v>
      </c>
      <c r="AF1553" s="45" t="str">
        <f t="shared" si="198"/>
        <v>*0.9</v>
      </c>
      <c r="AG1553" s="43" t="str">
        <f t="shared" si="200"/>
        <v>REZoning_Sol-Win</v>
      </c>
      <c r="AI1553" s="33" t="s">
        <v>2427</v>
      </c>
      <c r="AJ1553" s="44" t="s">
        <v>57</v>
      </c>
      <c r="AK1553" s="33">
        <v>2050</v>
      </c>
      <c r="AL1553" s="45" t="str">
        <f t="shared" si="199"/>
        <v>*0.86</v>
      </c>
      <c r="AM1553" s="43" t="str">
        <f t="shared" si="201"/>
        <v>REZoning_Sol-Win</v>
      </c>
      <c r="AP1553" t="s">
        <v>2427</v>
      </c>
      <c r="AQ1553" t="s">
        <v>57</v>
      </c>
      <c r="AR1553">
        <v>2100</v>
      </c>
      <c r="AS1553" t="s">
        <v>883</v>
      </c>
      <c r="AT1553" t="s">
        <v>58</v>
      </c>
    </row>
    <row r="1554" ht="29" spans="1:46">
      <c r="A1554" s="31" t="s">
        <v>65</v>
      </c>
      <c r="C1554" t="s">
        <v>2428</v>
      </c>
      <c r="D1554" s="5" t="s">
        <v>57</v>
      </c>
      <c r="E1554">
        <v>2035</v>
      </c>
      <c r="F1554" s="6" t="str">
        <f t="shared" si="194"/>
        <v>*0.94</v>
      </c>
      <c r="H1554" t="s">
        <v>2428</v>
      </c>
      <c r="I1554" s="5" t="s">
        <v>57</v>
      </c>
      <c r="J1554">
        <v>2050</v>
      </c>
      <c r="K1554" s="38" t="str">
        <f t="shared" si="195"/>
        <v>*0.91</v>
      </c>
      <c r="P1554" s="32" t="s">
        <v>2428</v>
      </c>
      <c r="Q1554" s="42" t="s">
        <v>57</v>
      </c>
      <c r="R1554" s="32">
        <v>2035</v>
      </c>
      <c r="S1554" s="43" t="str">
        <f t="shared" si="196"/>
        <v>*0.93</v>
      </c>
      <c r="U1554" s="32" t="s">
        <v>2428</v>
      </c>
      <c r="V1554" s="42" t="s">
        <v>57</v>
      </c>
      <c r="W1554" s="32">
        <v>2050</v>
      </c>
      <c r="X1554" s="43" t="str">
        <f t="shared" si="197"/>
        <v>*0.9</v>
      </c>
      <c r="AC1554" s="33" t="s">
        <v>2428</v>
      </c>
      <c r="AD1554" s="44" t="s">
        <v>57</v>
      </c>
      <c r="AE1554" s="33">
        <v>2035</v>
      </c>
      <c r="AF1554" s="45" t="str">
        <f t="shared" si="198"/>
        <v>*0.9</v>
      </c>
      <c r="AG1554" s="43" t="str">
        <f t="shared" si="200"/>
        <v>REZoning_Sol-Win</v>
      </c>
      <c r="AI1554" s="33" t="s">
        <v>2428</v>
      </c>
      <c r="AJ1554" s="44" t="s">
        <v>57</v>
      </c>
      <c r="AK1554" s="33">
        <v>2050</v>
      </c>
      <c r="AL1554" s="45" t="str">
        <f t="shared" si="199"/>
        <v>*0.86</v>
      </c>
      <c r="AM1554" s="43" t="str">
        <f t="shared" si="201"/>
        <v>REZoning_Sol-Win</v>
      </c>
      <c r="AP1554" t="s">
        <v>2428</v>
      </c>
      <c r="AQ1554" t="s">
        <v>57</v>
      </c>
      <c r="AR1554">
        <v>2100</v>
      </c>
      <c r="AS1554" t="s">
        <v>883</v>
      </c>
      <c r="AT1554" t="s">
        <v>58</v>
      </c>
    </row>
    <row r="1555" ht="29" spans="1:46">
      <c r="A1555" s="31" t="s">
        <v>65</v>
      </c>
      <c r="C1555" t="s">
        <v>2429</v>
      </c>
      <c r="D1555" s="5" t="s">
        <v>57</v>
      </c>
      <c r="E1555">
        <v>2035</v>
      </c>
      <c r="F1555" s="6" t="str">
        <f t="shared" si="194"/>
        <v>*0.94</v>
      </c>
      <c r="H1555" t="s">
        <v>2429</v>
      </c>
      <c r="I1555" s="5" t="s">
        <v>57</v>
      </c>
      <c r="J1555">
        <v>2050</v>
      </c>
      <c r="K1555" s="38" t="str">
        <f t="shared" si="195"/>
        <v>*0.91</v>
      </c>
      <c r="P1555" s="32" t="s">
        <v>2429</v>
      </c>
      <c r="Q1555" s="42" t="s">
        <v>57</v>
      </c>
      <c r="R1555" s="32">
        <v>2035</v>
      </c>
      <c r="S1555" s="43" t="str">
        <f t="shared" si="196"/>
        <v>*0.93</v>
      </c>
      <c r="U1555" s="32" t="s">
        <v>2429</v>
      </c>
      <c r="V1555" s="42" t="s">
        <v>57</v>
      </c>
      <c r="W1555" s="32">
        <v>2050</v>
      </c>
      <c r="X1555" s="43" t="str">
        <f t="shared" si="197"/>
        <v>*0.9</v>
      </c>
      <c r="AC1555" s="33" t="s">
        <v>2429</v>
      </c>
      <c r="AD1555" s="44" t="s">
        <v>57</v>
      </c>
      <c r="AE1555" s="33">
        <v>2035</v>
      </c>
      <c r="AF1555" s="45" t="str">
        <f t="shared" si="198"/>
        <v>*0.9</v>
      </c>
      <c r="AG1555" s="43" t="str">
        <f t="shared" si="200"/>
        <v>REZoning_Sol-Win</v>
      </c>
      <c r="AI1555" s="33" t="s">
        <v>2429</v>
      </c>
      <c r="AJ1555" s="44" t="s">
        <v>57</v>
      </c>
      <c r="AK1555" s="33">
        <v>2050</v>
      </c>
      <c r="AL1555" s="45" t="str">
        <f t="shared" si="199"/>
        <v>*0.86</v>
      </c>
      <c r="AM1555" s="43" t="str">
        <f t="shared" si="201"/>
        <v>REZoning_Sol-Win</v>
      </c>
      <c r="AP1555" t="s">
        <v>2429</v>
      </c>
      <c r="AQ1555" t="s">
        <v>57</v>
      </c>
      <c r="AR1555">
        <v>2100</v>
      </c>
      <c r="AS1555" t="s">
        <v>883</v>
      </c>
      <c r="AT1555" t="s">
        <v>58</v>
      </c>
    </row>
    <row r="1556" ht="29" spans="1:46">
      <c r="A1556" s="31" t="s">
        <v>65</v>
      </c>
      <c r="C1556" t="s">
        <v>2430</v>
      </c>
      <c r="D1556" s="5" t="s">
        <v>57</v>
      </c>
      <c r="E1556">
        <v>2035</v>
      </c>
      <c r="F1556" s="6" t="str">
        <f t="shared" si="194"/>
        <v>*0.94</v>
      </c>
      <c r="H1556" t="s">
        <v>2430</v>
      </c>
      <c r="I1556" s="5" t="s">
        <v>57</v>
      </c>
      <c r="J1556">
        <v>2050</v>
      </c>
      <c r="K1556" s="38" t="str">
        <f t="shared" si="195"/>
        <v>*0.91</v>
      </c>
      <c r="P1556" s="32" t="s">
        <v>2430</v>
      </c>
      <c r="Q1556" s="42" t="s">
        <v>57</v>
      </c>
      <c r="R1556" s="32">
        <v>2035</v>
      </c>
      <c r="S1556" s="43" t="str">
        <f t="shared" si="196"/>
        <v>*0.93</v>
      </c>
      <c r="U1556" s="32" t="s">
        <v>2430</v>
      </c>
      <c r="V1556" s="42" t="s">
        <v>57</v>
      </c>
      <c r="W1556" s="32">
        <v>2050</v>
      </c>
      <c r="X1556" s="43" t="str">
        <f t="shared" si="197"/>
        <v>*0.9</v>
      </c>
      <c r="AC1556" s="33" t="s">
        <v>2430</v>
      </c>
      <c r="AD1556" s="44" t="s">
        <v>57</v>
      </c>
      <c r="AE1556" s="33">
        <v>2035</v>
      </c>
      <c r="AF1556" s="45" t="str">
        <f t="shared" si="198"/>
        <v>*0.9</v>
      </c>
      <c r="AG1556" s="43" t="str">
        <f t="shared" si="200"/>
        <v>REZoning_Sol-Win</v>
      </c>
      <c r="AI1556" s="33" t="s">
        <v>2430</v>
      </c>
      <c r="AJ1556" s="44" t="s">
        <v>57</v>
      </c>
      <c r="AK1556" s="33">
        <v>2050</v>
      </c>
      <c r="AL1556" s="45" t="str">
        <f t="shared" si="199"/>
        <v>*0.86</v>
      </c>
      <c r="AM1556" s="43" t="str">
        <f t="shared" si="201"/>
        <v>REZoning_Sol-Win</v>
      </c>
      <c r="AP1556" t="s">
        <v>2430</v>
      </c>
      <c r="AQ1556" t="s">
        <v>57</v>
      </c>
      <c r="AR1556">
        <v>2100</v>
      </c>
      <c r="AS1556" t="s">
        <v>883</v>
      </c>
      <c r="AT1556" t="s">
        <v>58</v>
      </c>
    </row>
    <row r="1557" ht="29" spans="1:46">
      <c r="A1557" s="31" t="s">
        <v>65</v>
      </c>
      <c r="C1557" t="s">
        <v>2431</v>
      </c>
      <c r="D1557" s="5" t="s">
        <v>57</v>
      </c>
      <c r="E1557">
        <v>2035</v>
      </c>
      <c r="F1557" s="6" t="str">
        <f t="shared" si="194"/>
        <v>*0.94</v>
      </c>
      <c r="H1557" t="s">
        <v>2431</v>
      </c>
      <c r="I1557" s="5" t="s">
        <v>57</v>
      </c>
      <c r="J1557">
        <v>2050</v>
      </c>
      <c r="K1557" s="38" t="str">
        <f t="shared" si="195"/>
        <v>*0.91</v>
      </c>
      <c r="P1557" s="32" t="s">
        <v>2431</v>
      </c>
      <c r="Q1557" s="42" t="s">
        <v>57</v>
      </c>
      <c r="R1557" s="32">
        <v>2035</v>
      </c>
      <c r="S1557" s="43" t="str">
        <f t="shared" si="196"/>
        <v>*0.93</v>
      </c>
      <c r="U1557" s="32" t="s">
        <v>2431</v>
      </c>
      <c r="V1557" s="42" t="s">
        <v>57</v>
      </c>
      <c r="W1557" s="32">
        <v>2050</v>
      </c>
      <c r="X1557" s="43" t="str">
        <f t="shared" si="197"/>
        <v>*0.9</v>
      </c>
      <c r="AC1557" s="33" t="s">
        <v>2431</v>
      </c>
      <c r="AD1557" s="44" t="s">
        <v>57</v>
      </c>
      <c r="AE1557" s="33">
        <v>2035</v>
      </c>
      <c r="AF1557" s="45" t="str">
        <f t="shared" si="198"/>
        <v>*0.9</v>
      </c>
      <c r="AG1557" s="43" t="str">
        <f t="shared" si="200"/>
        <v>REZoning_Sol-Win</v>
      </c>
      <c r="AI1557" s="33" t="s">
        <v>2431</v>
      </c>
      <c r="AJ1557" s="44" t="s">
        <v>57</v>
      </c>
      <c r="AK1557" s="33">
        <v>2050</v>
      </c>
      <c r="AL1557" s="45" t="str">
        <f t="shared" si="199"/>
        <v>*0.86</v>
      </c>
      <c r="AM1557" s="43" t="str">
        <f t="shared" si="201"/>
        <v>REZoning_Sol-Win</v>
      </c>
      <c r="AP1557" t="s">
        <v>2431</v>
      </c>
      <c r="AQ1557" t="s">
        <v>57</v>
      </c>
      <c r="AR1557">
        <v>2100</v>
      </c>
      <c r="AS1557" t="s">
        <v>883</v>
      </c>
      <c r="AT1557" t="s">
        <v>58</v>
      </c>
    </row>
    <row r="1558" ht="29" spans="1:46">
      <c r="A1558" s="31" t="s">
        <v>65</v>
      </c>
      <c r="C1558" t="s">
        <v>2432</v>
      </c>
      <c r="D1558" s="5" t="s">
        <v>57</v>
      </c>
      <c r="E1558">
        <v>2035</v>
      </c>
      <c r="F1558" s="6" t="str">
        <f t="shared" si="194"/>
        <v>*0.94</v>
      </c>
      <c r="H1558" t="s">
        <v>2432</v>
      </c>
      <c r="I1558" s="5" t="s">
        <v>57</v>
      </c>
      <c r="J1558">
        <v>2050</v>
      </c>
      <c r="K1558" s="38" t="str">
        <f t="shared" si="195"/>
        <v>*0.91</v>
      </c>
      <c r="P1558" s="32" t="s">
        <v>2432</v>
      </c>
      <c r="Q1558" s="42" t="s">
        <v>57</v>
      </c>
      <c r="R1558" s="32">
        <v>2035</v>
      </c>
      <c r="S1558" s="43" t="str">
        <f t="shared" si="196"/>
        <v>*0.93</v>
      </c>
      <c r="U1558" s="32" t="s">
        <v>2432</v>
      </c>
      <c r="V1558" s="42" t="s">
        <v>57</v>
      </c>
      <c r="W1558" s="32">
        <v>2050</v>
      </c>
      <c r="X1558" s="43" t="str">
        <f t="shared" si="197"/>
        <v>*0.9</v>
      </c>
      <c r="AC1558" s="33" t="s">
        <v>2432</v>
      </c>
      <c r="AD1558" s="44" t="s">
        <v>57</v>
      </c>
      <c r="AE1558" s="33">
        <v>2035</v>
      </c>
      <c r="AF1558" s="45" t="str">
        <f t="shared" si="198"/>
        <v>*0.9</v>
      </c>
      <c r="AG1558" s="43" t="str">
        <f t="shared" si="200"/>
        <v>REZoning_Sol-Win</v>
      </c>
      <c r="AI1558" s="33" t="s">
        <v>2432</v>
      </c>
      <c r="AJ1558" s="44" t="s">
        <v>57</v>
      </c>
      <c r="AK1558" s="33">
        <v>2050</v>
      </c>
      <c r="AL1558" s="45" t="str">
        <f t="shared" si="199"/>
        <v>*0.86</v>
      </c>
      <c r="AM1558" s="43" t="str">
        <f t="shared" si="201"/>
        <v>REZoning_Sol-Win</v>
      </c>
      <c r="AP1558" t="s">
        <v>2432</v>
      </c>
      <c r="AQ1558" t="s">
        <v>57</v>
      </c>
      <c r="AR1558">
        <v>2100</v>
      </c>
      <c r="AS1558" t="s">
        <v>883</v>
      </c>
      <c r="AT1558" t="s">
        <v>58</v>
      </c>
    </row>
    <row r="1559" ht="29" spans="1:46">
      <c r="A1559" s="31" t="s">
        <v>65</v>
      </c>
      <c r="C1559" t="s">
        <v>2433</v>
      </c>
      <c r="D1559" s="5" t="s">
        <v>57</v>
      </c>
      <c r="E1559">
        <v>2035</v>
      </c>
      <c r="F1559" s="6" t="str">
        <f t="shared" si="194"/>
        <v>*0.94</v>
      </c>
      <c r="H1559" t="s">
        <v>2433</v>
      </c>
      <c r="I1559" s="5" t="s">
        <v>57</v>
      </c>
      <c r="J1559">
        <v>2050</v>
      </c>
      <c r="K1559" s="38" t="str">
        <f t="shared" si="195"/>
        <v>*0.91</v>
      </c>
      <c r="P1559" s="32" t="s">
        <v>2433</v>
      </c>
      <c r="Q1559" s="42" t="s">
        <v>57</v>
      </c>
      <c r="R1559" s="32">
        <v>2035</v>
      </c>
      <c r="S1559" s="43" t="str">
        <f t="shared" si="196"/>
        <v>*0.93</v>
      </c>
      <c r="U1559" s="32" t="s">
        <v>2433</v>
      </c>
      <c r="V1559" s="42" t="s">
        <v>57</v>
      </c>
      <c r="W1559" s="32">
        <v>2050</v>
      </c>
      <c r="X1559" s="43" t="str">
        <f t="shared" si="197"/>
        <v>*0.9</v>
      </c>
      <c r="AC1559" s="33" t="s">
        <v>2433</v>
      </c>
      <c r="AD1559" s="44" t="s">
        <v>57</v>
      </c>
      <c r="AE1559" s="33">
        <v>2035</v>
      </c>
      <c r="AF1559" s="45" t="str">
        <f t="shared" si="198"/>
        <v>*0.9</v>
      </c>
      <c r="AG1559" s="43" t="str">
        <f t="shared" si="200"/>
        <v>REZoning_Sol-Win</v>
      </c>
      <c r="AI1559" s="33" t="s">
        <v>2433</v>
      </c>
      <c r="AJ1559" s="44" t="s">
        <v>57</v>
      </c>
      <c r="AK1559" s="33">
        <v>2050</v>
      </c>
      <c r="AL1559" s="45" t="str">
        <f t="shared" si="199"/>
        <v>*0.86</v>
      </c>
      <c r="AM1559" s="43" t="str">
        <f t="shared" si="201"/>
        <v>REZoning_Sol-Win</v>
      </c>
      <c r="AP1559" t="s">
        <v>2433</v>
      </c>
      <c r="AQ1559" t="s">
        <v>57</v>
      </c>
      <c r="AR1559">
        <v>2100</v>
      </c>
      <c r="AS1559" t="s">
        <v>883</v>
      </c>
      <c r="AT1559" t="s">
        <v>58</v>
      </c>
    </row>
    <row r="1560" ht="29" spans="1:46">
      <c r="A1560" s="31" t="s">
        <v>65</v>
      </c>
      <c r="C1560" t="s">
        <v>2434</v>
      </c>
      <c r="D1560" s="5" t="s">
        <v>57</v>
      </c>
      <c r="E1560">
        <v>2035</v>
      </c>
      <c r="F1560" s="6" t="str">
        <f t="shared" si="194"/>
        <v>*0.94</v>
      </c>
      <c r="H1560" t="s">
        <v>2434</v>
      </c>
      <c r="I1560" s="5" t="s">
        <v>57</v>
      </c>
      <c r="J1560">
        <v>2050</v>
      </c>
      <c r="K1560" s="38" t="str">
        <f t="shared" si="195"/>
        <v>*0.91</v>
      </c>
      <c r="P1560" s="32" t="s">
        <v>2434</v>
      </c>
      <c r="Q1560" s="42" t="s">
        <v>57</v>
      </c>
      <c r="R1560" s="32">
        <v>2035</v>
      </c>
      <c r="S1560" s="43" t="str">
        <f t="shared" si="196"/>
        <v>*0.93</v>
      </c>
      <c r="U1560" s="32" t="s">
        <v>2434</v>
      </c>
      <c r="V1560" s="42" t="s">
        <v>57</v>
      </c>
      <c r="W1560" s="32">
        <v>2050</v>
      </c>
      <c r="X1560" s="43" t="str">
        <f t="shared" si="197"/>
        <v>*0.9</v>
      </c>
      <c r="AC1560" s="33" t="s">
        <v>2434</v>
      </c>
      <c r="AD1560" s="44" t="s">
        <v>57</v>
      </c>
      <c r="AE1560" s="33">
        <v>2035</v>
      </c>
      <c r="AF1560" s="45" t="str">
        <f t="shared" si="198"/>
        <v>*0.9</v>
      </c>
      <c r="AG1560" s="43" t="str">
        <f t="shared" si="200"/>
        <v>REZoning_Sol-Win</v>
      </c>
      <c r="AI1560" s="33" t="s">
        <v>2434</v>
      </c>
      <c r="AJ1560" s="44" t="s">
        <v>57</v>
      </c>
      <c r="AK1560" s="33">
        <v>2050</v>
      </c>
      <c r="AL1560" s="45" t="str">
        <f t="shared" si="199"/>
        <v>*0.86</v>
      </c>
      <c r="AM1560" s="43" t="str">
        <f t="shared" si="201"/>
        <v>REZoning_Sol-Win</v>
      </c>
      <c r="AP1560" t="s">
        <v>2434</v>
      </c>
      <c r="AQ1560" t="s">
        <v>57</v>
      </c>
      <c r="AR1560">
        <v>2100</v>
      </c>
      <c r="AS1560" t="s">
        <v>883</v>
      </c>
      <c r="AT1560" t="s">
        <v>58</v>
      </c>
    </row>
    <row r="1561" ht="29" spans="1:46">
      <c r="A1561" s="31" t="s">
        <v>65</v>
      </c>
      <c r="C1561" t="s">
        <v>2435</v>
      </c>
      <c r="D1561" s="5" t="s">
        <v>57</v>
      </c>
      <c r="E1561">
        <v>2035</v>
      </c>
      <c r="F1561" s="6" t="str">
        <f t="shared" si="194"/>
        <v>*0.94</v>
      </c>
      <c r="H1561" t="s">
        <v>2435</v>
      </c>
      <c r="I1561" s="5" t="s">
        <v>57</v>
      </c>
      <c r="J1561">
        <v>2050</v>
      </c>
      <c r="K1561" s="38" t="str">
        <f t="shared" si="195"/>
        <v>*0.91</v>
      </c>
      <c r="P1561" s="32" t="s">
        <v>2435</v>
      </c>
      <c r="Q1561" s="42" t="s">
        <v>57</v>
      </c>
      <c r="R1561" s="32">
        <v>2035</v>
      </c>
      <c r="S1561" s="43" t="str">
        <f t="shared" si="196"/>
        <v>*0.93</v>
      </c>
      <c r="U1561" s="32" t="s">
        <v>2435</v>
      </c>
      <c r="V1561" s="42" t="s">
        <v>57</v>
      </c>
      <c r="W1561" s="32">
        <v>2050</v>
      </c>
      <c r="X1561" s="43" t="str">
        <f t="shared" si="197"/>
        <v>*0.9</v>
      </c>
      <c r="AC1561" s="33" t="s">
        <v>2435</v>
      </c>
      <c r="AD1561" s="44" t="s">
        <v>57</v>
      </c>
      <c r="AE1561" s="33">
        <v>2035</v>
      </c>
      <c r="AF1561" s="45" t="str">
        <f t="shared" si="198"/>
        <v>*0.9</v>
      </c>
      <c r="AG1561" s="43" t="str">
        <f t="shared" si="200"/>
        <v>REZoning_Sol-Win</v>
      </c>
      <c r="AI1561" s="33" t="s">
        <v>2435</v>
      </c>
      <c r="AJ1561" s="44" t="s">
        <v>57</v>
      </c>
      <c r="AK1561" s="33">
        <v>2050</v>
      </c>
      <c r="AL1561" s="45" t="str">
        <f t="shared" si="199"/>
        <v>*0.86</v>
      </c>
      <c r="AM1561" s="43" t="str">
        <f t="shared" si="201"/>
        <v>REZoning_Sol-Win</v>
      </c>
      <c r="AP1561" t="s">
        <v>2435</v>
      </c>
      <c r="AQ1561" t="s">
        <v>57</v>
      </c>
      <c r="AR1561">
        <v>2100</v>
      </c>
      <c r="AS1561" t="s">
        <v>883</v>
      </c>
      <c r="AT1561" t="s">
        <v>58</v>
      </c>
    </row>
    <row r="1562" ht="29" spans="1:46">
      <c r="A1562" s="31" t="s">
        <v>65</v>
      </c>
      <c r="C1562" t="s">
        <v>2436</v>
      </c>
      <c r="D1562" s="5" t="s">
        <v>57</v>
      </c>
      <c r="E1562">
        <v>2035</v>
      </c>
      <c r="F1562" s="6" t="str">
        <f t="shared" si="194"/>
        <v>*0.94</v>
      </c>
      <c r="H1562" t="s">
        <v>2436</v>
      </c>
      <c r="I1562" s="5" t="s">
        <v>57</v>
      </c>
      <c r="J1562">
        <v>2050</v>
      </c>
      <c r="K1562" s="38" t="str">
        <f t="shared" si="195"/>
        <v>*0.91</v>
      </c>
      <c r="P1562" s="32" t="s">
        <v>2436</v>
      </c>
      <c r="Q1562" s="42" t="s">
        <v>57</v>
      </c>
      <c r="R1562" s="32">
        <v>2035</v>
      </c>
      <c r="S1562" s="43" t="str">
        <f t="shared" si="196"/>
        <v>*0.93</v>
      </c>
      <c r="U1562" s="32" t="s">
        <v>2436</v>
      </c>
      <c r="V1562" s="42" t="s">
        <v>57</v>
      </c>
      <c r="W1562" s="32">
        <v>2050</v>
      </c>
      <c r="X1562" s="43" t="str">
        <f t="shared" si="197"/>
        <v>*0.9</v>
      </c>
      <c r="AC1562" s="33" t="s">
        <v>2436</v>
      </c>
      <c r="AD1562" s="44" t="s">
        <v>57</v>
      </c>
      <c r="AE1562" s="33">
        <v>2035</v>
      </c>
      <c r="AF1562" s="45" t="str">
        <f t="shared" si="198"/>
        <v>*0.9</v>
      </c>
      <c r="AG1562" s="43" t="str">
        <f t="shared" si="200"/>
        <v>REZoning_Sol-Win</v>
      </c>
      <c r="AI1562" s="33" t="s">
        <v>2436</v>
      </c>
      <c r="AJ1562" s="44" t="s">
        <v>57</v>
      </c>
      <c r="AK1562" s="33">
        <v>2050</v>
      </c>
      <c r="AL1562" s="45" t="str">
        <f t="shared" si="199"/>
        <v>*0.86</v>
      </c>
      <c r="AM1562" s="43" t="str">
        <f t="shared" si="201"/>
        <v>REZoning_Sol-Win</v>
      </c>
      <c r="AP1562" t="s">
        <v>2436</v>
      </c>
      <c r="AQ1562" t="s">
        <v>57</v>
      </c>
      <c r="AR1562">
        <v>2100</v>
      </c>
      <c r="AS1562" t="s">
        <v>883</v>
      </c>
      <c r="AT1562" t="s">
        <v>58</v>
      </c>
    </row>
    <row r="1563" ht="29" spans="1:46">
      <c r="A1563" s="31" t="s">
        <v>65</v>
      </c>
      <c r="C1563" t="s">
        <v>2437</v>
      </c>
      <c r="D1563" s="5" t="s">
        <v>57</v>
      </c>
      <c r="E1563">
        <v>2035</v>
      </c>
      <c r="F1563" s="6" t="str">
        <f t="shared" si="194"/>
        <v>*0.94</v>
      </c>
      <c r="H1563" t="s">
        <v>2437</v>
      </c>
      <c r="I1563" s="5" t="s">
        <v>57</v>
      </c>
      <c r="J1563">
        <v>2050</v>
      </c>
      <c r="K1563" s="38" t="str">
        <f t="shared" si="195"/>
        <v>*0.91</v>
      </c>
      <c r="P1563" s="32" t="s">
        <v>2437</v>
      </c>
      <c r="Q1563" s="42" t="s">
        <v>57</v>
      </c>
      <c r="R1563" s="32">
        <v>2035</v>
      </c>
      <c r="S1563" s="43" t="str">
        <f t="shared" si="196"/>
        <v>*0.93</v>
      </c>
      <c r="U1563" s="32" t="s">
        <v>2437</v>
      </c>
      <c r="V1563" s="42" t="s">
        <v>57</v>
      </c>
      <c r="W1563" s="32">
        <v>2050</v>
      </c>
      <c r="X1563" s="43" t="str">
        <f t="shared" si="197"/>
        <v>*0.9</v>
      </c>
      <c r="AC1563" s="33" t="s">
        <v>2437</v>
      </c>
      <c r="AD1563" s="44" t="s">
        <v>57</v>
      </c>
      <c r="AE1563" s="33">
        <v>2035</v>
      </c>
      <c r="AF1563" s="45" t="str">
        <f t="shared" si="198"/>
        <v>*0.9</v>
      </c>
      <c r="AG1563" s="43" t="str">
        <f t="shared" si="200"/>
        <v>REZoning_Sol-Win</v>
      </c>
      <c r="AI1563" s="33" t="s">
        <v>2437</v>
      </c>
      <c r="AJ1563" s="44" t="s">
        <v>57</v>
      </c>
      <c r="AK1563" s="33">
        <v>2050</v>
      </c>
      <c r="AL1563" s="45" t="str">
        <f t="shared" si="199"/>
        <v>*0.86</v>
      </c>
      <c r="AM1563" s="43" t="str">
        <f t="shared" si="201"/>
        <v>REZoning_Sol-Win</v>
      </c>
      <c r="AP1563" t="s">
        <v>2437</v>
      </c>
      <c r="AQ1563" t="s">
        <v>57</v>
      </c>
      <c r="AR1563">
        <v>2100</v>
      </c>
      <c r="AS1563" t="s">
        <v>883</v>
      </c>
      <c r="AT1563" t="s">
        <v>58</v>
      </c>
    </row>
    <row r="1564" ht="29" spans="1:46">
      <c r="A1564" s="31" t="s">
        <v>65</v>
      </c>
      <c r="C1564" t="s">
        <v>2438</v>
      </c>
      <c r="D1564" s="5" t="s">
        <v>57</v>
      </c>
      <c r="E1564">
        <v>2035</v>
      </c>
      <c r="F1564" s="6" t="str">
        <f t="shared" si="194"/>
        <v>*0.94</v>
      </c>
      <c r="H1564" t="s">
        <v>2438</v>
      </c>
      <c r="I1564" s="5" t="s">
        <v>57</v>
      </c>
      <c r="J1564">
        <v>2050</v>
      </c>
      <c r="K1564" s="38" t="str">
        <f t="shared" si="195"/>
        <v>*0.91</v>
      </c>
      <c r="P1564" s="32" t="s">
        <v>2438</v>
      </c>
      <c r="Q1564" s="42" t="s">
        <v>57</v>
      </c>
      <c r="R1564" s="32">
        <v>2035</v>
      </c>
      <c r="S1564" s="43" t="str">
        <f t="shared" si="196"/>
        <v>*0.93</v>
      </c>
      <c r="U1564" s="32" t="s">
        <v>2438</v>
      </c>
      <c r="V1564" s="42" t="s">
        <v>57</v>
      </c>
      <c r="W1564" s="32">
        <v>2050</v>
      </c>
      <c r="X1564" s="43" t="str">
        <f t="shared" si="197"/>
        <v>*0.9</v>
      </c>
      <c r="AC1564" s="33" t="s">
        <v>2438</v>
      </c>
      <c r="AD1564" s="44" t="s">
        <v>57</v>
      </c>
      <c r="AE1564" s="33">
        <v>2035</v>
      </c>
      <c r="AF1564" s="45" t="str">
        <f t="shared" si="198"/>
        <v>*0.9</v>
      </c>
      <c r="AG1564" s="43" t="str">
        <f t="shared" si="200"/>
        <v>REZoning_Sol-Win</v>
      </c>
      <c r="AI1564" s="33" t="s">
        <v>2438</v>
      </c>
      <c r="AJ1564" s="44" t="s">
        <v>57</v>
      </c>
      <c r="AK1564" s="33">
        <v>2050</v>
      </c>
      <c r="AL1564" s="45" t="str">
        <f t="shared" si="199"/>
        <v>*0.86</v>
      </c>
      <c r="AM1564" s="43" t="str">
        <f t="shared" si="201"/>
        <v>REZoning_Sol-Win</v>
      </c>
      <c r="AP1564" t="s">
        <v>2438</v>
      </c>
      <c r="AQ1564" t="s">
        <v>57</v>
      </c>
      <c r="AR1564">
        <v>2100</v>
      </c>
      <c r="AS1564" t="s">
        <v>883</v>
      </c>
      <c r="AT1564" t="s">
        <v>58</v>
      </c>
    </row>
    <row r="1565" ht="29" spans="1:46">
      <c r="A1565" s="31" t="s">
        <v>65</v>
      </c>
      <c r="C1565" t="s">
        <v>2439</v>
      </c>
      <c r="D1565" s="5" t="s">
        <v>57</v>
      </c>
      <c r="E1565">
        <v>2035</v>
      </c>
      <c r="F1565" s="6" t="str">
        <f t="shared" si="194"/>
        <v>*0.94</v>
      </c>
      <c r="H1565" t="s">
        <v>2439</v>
      </c>
      <c r="I1565" s="5" t="s">
        <v>57</v>
      </c>
      <c r="J1565">
        <v>2050</v>
      </c>
      <c r="K1565" s="38" t="str">
        <f t="shared" si="195"/>
        <v>*0.91</v>
      </c>
      <c r="P1565" s="32" t="s">
        <v>2439</v>
      </c>
      <c r="Q1565" s="42" t="s">
        <v>57</v>
      </c>
      <c r="R1565" s="32">
        <v>2035</v>
      </c>
      <c r="S1565" s="43" t="str">
        <f t="shared" si="196"/>
        <v>*0.93</v>
      </c>
      <c r="U1565" s="32" t="s">
        <v>2439</v>
      </c>
      <c r="V1565" s="42" t="s">
        <v>57</v>
      </c>
      <c r="W1565" s="32">
        <v>2050</v>
      </c>
      <c r="X1565" s="43" t="str">
        <f t="shared" si="197"/>
        <v>*0.9</v>
      </c>
      <c r="AC1565" s="33" t="s">
        <v>2439</v>
      </c>
      <c r="AD1565" s="44" t="s">
        <v>57</v>
      </c>
      <c r="AE1565" s="33">
        <v>2035</v>
      </c>
      <c r="AF1565" s="45" t="str">
        <f t="shared" si="198"/>
        <v>*0.9</v>
      </c>
      <c r="AG1565" s="43" t="str">
        <f t="shared" si="200"/>
        <v>REZoning_Sol-Win</v>
      </c>
      <c r="AI1565" s="33" t="s">
        <v>2439</v>
      </c>
      <c r="AJ1565" s="44" t="s">
        <v>57</v>
      </c>
      <c r="AK1565" s="33">
        <v>2050</v>
      </c>
      <c r="AL1565" s="45" t="str">
        <f t="shared" si="199"/>
        <v>*0.86</v>
      </c>
      <c r="AM1565" s="43" t="str">
        <f t="shared" si="201"/>
        <v>REZoning_Sol-Win</v>
      </c>
      <c r="AP1565" t="s">
        <v>2439</v>
      </c>
      <c r="AQ1565" t="s">
        <v>57</v>
      </c>
      <c r="AR1565">
        <v>2100</v>
      </c>
      <c r="AS1565" t="s">
        <v>883</v>
      </c>
      <c r="AT1565" t="s">
        <v>58</v>
      </c>
    </row>
    <row r="1566" ht="29" spans="1:46">
      <c r="A1566" s="31" t="s">
        <v>65</v>
      </c>
      <c r="C1566" t="s">
        <v>2440</v>
      </c>
      <c r="D1566" s="5" t="s">
        <v>57</v>
      </c>
      <c r="E1566">
        <v>2035</v>
      </c>
      <c r="F1566" s="6" t="str">
        <f t="shared" si="194"/>
        <v>*0.94</v>
      </c>
      <c r="H1566" t="s">
        <v>2440</v>
      </c>
      <c r="I1566" s="5" t="s">
        <v>57</v>
      </c>
      <c r="J1566">
        <v>2050</v>
      </c>
      <c r="K1566" s="38" t="str">
        <f t="shared" si="195"/>
        <v>*0.91</v>
      </c>
      <c r="P1566" s="32" t="s">
        <v>2440</v>
      </c>
      <c r="Q1566" s="42" t="s">
        <v>57</v>
      </c>
      <c r="R1566" s="32">
        <v>2035</v>
      </c>
      <c r="S1566" s="43" t="str">
        <f t="shared" si="196"/>
        <v>*0.93</v>
      </c>
      <c r="U1566" s="32" t="s">
        <v>2440</v>
      </c>
      <c r="V1566" s="42" t="s">
        <v>57</v>
      </c>
      <c r="W1566" s="32">
        <v>2050</v>
      </c>
      <c r="X1566" s="43" t="str">
        <f t="shared" si="197"/>
        <v>*0.9</v>
      </c>
      <c r="AC1566" s="33" t="s">
        <v>2440</v>
      </c>
      <c r="AD1566" s="44" t="s">
        <v>57</v>
      </c>
      <c r="AE1566" s="33">
        <v>2035</v>
      </c>
      <c r="AF1566" s="45" t="str">
        <f t="shared" si="198"/>
        <v>*0.9</v>
      </c>
      <c r="AG1566" s="43" t="str">
        <f t="shared" si="200"/>
        <v>REZoning_Sol-Win</v>
      </c>
      <c r="AI1566" s="33" t="s">
        <v>2440</v>
      </c>
      <c r="AJ1566" s="44" t="s">
        <v>57</v>
      </c>
      <c r="AK1566" s="33">
        <v>2050</v>
      </c>
      <c r="AL1566" s="45" t="str">
        <f t="shared" si="199"/>
        <v>*0.86</v>
      </c>
      <c r="AM1566" s="43" t="str">
        <f t="shared" si="201"/>
        <v>REZoning_Sol-Win</v>
      </c>
      <c r="AP1566" t="s">
        <v>2440</v>
      </c>
      <c r="AQ1566" t="s">
        <v>57</v>
      </c>
      <c r="AR1566">
        <v>2100</v>
      </c>
      <c r="AS1566" t="s">
        <v>883</v>
      </c>
      <c r="AT1566" t="s">
        <v>58</v>
      </c>
    </row>
    <row r="1567" ht="29" spans="1:46">
      <c r="A1567" s="31" t="s">
        <v>65</v>
      </c>
      <c r="C1567" t="s">
        <v>2441</v>
      </c>
      <c r="D1567" s="5" t="s">
        <v>57</v>
      </c>
      <c r="E1567">
        <v>2035</v>
      </c>
      <c r="F1567" s="6" t="str">
        <f t="shared" si="194"/>
        <v>*0.94</v>
      </c>
      <c r="H1567" t="s">
        <v>2441</v>
      </c>
      <c r="I1567" s="5" t="s">
        <v>57</v>
      </c>
      <c r="J1567">
        <v>2050</v>
      </c>
      <c r="K1567" s="38" t="str">
        <f t="shared" si="195"/>
        <v>*0.91</v>
      </c>
      <c r="P1567" s="32" t="s">
        <v>2441</v>
      </c>
      <c r="Q1567" s="42" t="s">
        <v>57</v>
      </c>
      <c r="R1567" s="32">
        <v>2035</v>
      </c>
      <c r="S1567" s="43" t="str">
        <f t="shared" si="196"/>
        <v>*0.93</v>
      </c>
      <c r="U1567" s="32" t="s">
        <v>2441</v>
      </c>
      <c r="V1567" s="42" t="s">
        <v>57</v>
      </c>
      <c r="W1567" s="32">
        <v>2050</v>
      </c>
      <c r="X1567" s="43" t="str">
        <f t="shared" si="197"/>
        <v>*0.9</v>
      </c>
      <c r="AC1567" s="33" t="s">
        <v>2441</v>
      </c>
      <c r="AD1567" s="44" t="s">
        <v>57</v>
      </c>
      <c r="AE1567" s="33">
        <v>2035</v>
      </c>
      <c r="AF1567" s="45" t="str">
        <f t="shared" si="198"/>
        <v>*0.9</v>
      </c>
      <c r="AG1567" s="43" t="str">
        <f t="shared" si="200"/>
        <v>REZoning_Sol-Win</v>
      </c>
      <c r="AI1567" s="33" t="s">
        <v>2441</v>
      </c>
      <c r="AJ1567" s="44" t="s">
        <v>57</v>
      </c>
      <c r="AK1567" s="33">
        <v>2050</v>
      </c>
      <c r="AL1567" s="45" t="str">
        <f t="shared" si="199"/>
        <v>*0.86</v>
      </c>
      <c r="AM1567" s="43" t="str">
        <f t="shared" si="201"/>
        <v>REZoning_Sol-Win</v>
      </c>
      <c r="AP1567" t="s">
        <v>2441</v>
      </c>
      <c r="AQ1567" t="s">
        <v>57</v>
      </c>
      <c r="AR1567">
        <v>2100</v>
      </c>
      <c r="AS1567" t="s">
        <v>883</v>
      </c>
      <c r="AT1567" t="s">
        <v>58</v>
      </c>
    </row>
    <row r="1568" ht="29" spans="1:46">
      <c r="A1568" s="31" t="s">
        <v>65</v>
      </c>
      <c r="C1568" t="s">
        <v>2442</v>
      </c>
      <c r="D1568" s="5" t="s">
        <v>57</v>
      </c>
      <c r="E1568">
        <v>2035</v>
      </c>
      <c r="F1568" s="6" t="str">
        <f t="shared" si="194"/>
        <v>*0.94</v>
      </c>
      <c r="H1568" t="s">
        <v>2442</v>
      </c>
      <c r="I1568" s="5" t="s">
        <v>57</v>
      </c>
      <c r="J1568">
        <v>2050</v>
      </c>
      <c r="K1568" s="38" t="str">
        <f t="shared" si="195"/>
        <v>*0.91</v>
      </c>
      <c r="P1568" s="32" t="s">
        <v>2442</v>
      </c>
      <c r="Q1568" s="42" t="s">
        <v>57</v>
      </c>
      <c r="R1568" s="32">
        <v>2035</v>
      </c>
      <c r="S1568" s="43" t="str">
        <f t="shared" si="196"/>
        <v>*0.93</v>
      </c>
      <c r="U1568" s="32" t="s">
        <v>2442</v>
      </c>
      <c r="V1568" s="42" t="s">
        <v>57</v>
      </c>
      <c r="W1568" s="32">
        <v>2050</v>
      </c>
      <c r="X1568" s="43" t="str">
        <f t="shared" si="197"/>
        <v>*0.9</v>
      </c>
      <c r="AC1568" s="33" t="s">
        <v>2442</v>
      </c>
      <c r="AD1568" s="44" t="s">
        <v>57</v>
      </c>
      <c r="AE1568" s="33">
        <v>2035</v>
      </c>
      <c r="AF1568" s="45" t="str">
        <f t="shared" si="198"/>
        <v>*0.9</v>
      </c>
      <c r="AG1568" s="43" t="str">
        <f t="shared" si="200"/>
        <v>REZoning_Sol-Win</v>
      </c>
      <c r="AI1568" s="33" t="s">
        <v>2442</v>
      </c>
      <c r="AJ1568" s="44" t="s">
        <v>57</v>
      </c>
      <c r="AK1568" s="33">
        <v>2050</v>
      </c>
      <c r="AL1568" s="45" t="str">
        <f t="shared" si="199"/>
        <v>*0.86</v>
      </c>
      <c r="AM1568" s="43" t="str">
        <f t="shared" si="201"/>
        <v>REZoning_Sol-Win</v>
      </c>
      <c r="AP1568" t="s">
        <v>2442</v>
      </c>
      <c r="AQ1568" t="s">
        <v>57</v>
      </c>
      <c r="AR1568">
        <v>2100</v>
      </c>
      <c r="AS1568" t="s">
        <v>883</v>
      </c>
      <c r="AT1568" t="s">
        <v>58</v>
      </c>
    </row>
    <row r="1569" ht="29" spans="1:46">
      <c r="A1569" s="31" t="s">
        <v>65</v>
      </c>
      <c r="C1569" t="s">
        <v>2443</v>
      </c>
      <c r="D1569" s="5" t="s">
        <v>57</v>
      </c>
      <c r="E1569">
        <v>2035</v>
      </c>
      <c r="F1569" s="6" t="str">
        <f t="shared" si="194"/>
        <v>*0.94</v>
      </c>
      <c r="H1569" t="s">
        <v>2443</v>
      </c>
      <c r="I1569" s="5" t="s">
        <v>57</v>
      </c>
      <c r="J1569">
        <v>2050</v>
      </c>
      <c r="K1569" s="38" t="str">
        <f t="shared" si="195"/>
        <v>*0.91</v>
      </c>
      <c r="P1569" s="32" t="s">
        <v>2443</v>
      </c>
      <c r="Q1569" s="42" t="s">
        <v>57</v>
      </c>
      <c r="R1569" s="32">
        <v>2035</v>
      </c>
      <c r="S1569" s="43" t="str">
        <f t="shared" si="196"/>
        <v>*0.93</v>
      </c>
      <c r="U1569" s="32" t="s">
        <v>2443</v>
      </c>
      <c r="V1569" s="42" t="s">
        <v>57</v>
      </c>
      <c r="W1569" s="32">
        <v>2050</v>
      </c>
      <c r="X1569" s="43" t="str">
        <f t="shared" si="197"/>
        <v>*0.9</v>
      </c>
      <c r="AC1569" s="33" t="s">
        <v>2443</v>
      </c>
      <c r="AD1569" s="44" t="s">
        <v>57</v>
      </c>
      <c r="AE1569" s="33">
        <v>2035</v>
      </c>
      <c r="AF1569" s="45" t="str">
        <f t="shared" si="198"/>
        <v>*0.9</v>
      </c>
      <c r="AG1569" s="43" t="str">
        <f t="shared" si="200"/>
        <v>REZoning_Sol-Win</v>
      </c>
      <c r="AI1569" s="33" t="s">
        <v>2443</v>
      </c>
      <c r="AJ1569" s="44" t="s">
        <v>57</v>
      </c>
      <c r="AK1569" s="33">
        <v>2050</v>
      </c>
      <c r="AL1569" s="45" t="str">
        <f t="shared" si="199"/>
        <v>*0.86</v>
      </c>
      <c r="AM1569" s="43" t="str">
        <f t="shared" si="201"/>
        <v>REZoning_Sol-Win</v>
      </c>
      <c r="AP1569" t="s">
        <v>2443</v>
      </c>
      <c r="AQ1569" t="s">
        <v>57</v>
      </c>
      <c r="AR1569">
        <v>2100</v>
      </c>
      <c r="AS1569" t="s">
        <v>883</v>
      </c>
      <c r="AT1569" t="s">
        <v>58</v>
      </c>
    </row>
    <row r="1570" ht="29" spans="1:46">
      <c r="A1570" s="31" t="s">
        <v>65</v>
      </c>
      <c r="C1570" t="s">
        <v>2444</v>
      </c>
      <c r="D1570" s="5" t="s">
        <v>57</v>
      </c>
      <c r="E1570">
        <v>2035</v>
      </c>
      <c r="F1570" s="6" t="str">
        <f t="shared" si="194"/>
        <v>*0.94</v>
      </c>
      <c r="H1570" t="s">
        <v>2444</v>
      </c>
      <c r="I1570" s="5" t="s">
        <v>57</v>
      </c>
      <c r="J1570">
        <v>2050</v>
      </c>
      <c r="K1570" s="38" t="str">
        <f t="shared" si="195"/>
        <v>*0.91</v>
      </c>
      <c r="P1570" s="32" t="s">
        <v>2444</v>
      </c>
      <c r="Q1570" s="42" t="s">
        <v>57</v>
      </c>
      <c r="R1570" s="32">
        <v>2035</v>
      </c>
      <c r="S1570" s="43" t="str">
        <f t="shared" si="196"/>
        <v>*0.93</v>
      </c>
      <c r="U1570" s="32" t="s">
        <v>2444</v>
      </c>
      <c r="V1570" s="42" t="s">
        <v>57</v>
      </c>
      <c r="W1570" s="32">
        <v>2050</v>
      </c>
      <c r="X1570" s="43" t="str">
        <f t="shared" si="197"/>
        <v>*0.9</v>
      </c>
      <c r="AC1570" s="33" t="s">
        <v>2444</v>
      </c>
      <c r="AD1570" s="44" t="s">
        <v>57</v>
      </c>
      <c r="AE1570" s="33">
        <v>2035</v>
      </c>
      <c r="AF1570" s="45" t="str">
        <f t="shared" si="198"/>
        <v>*0.9</v>
      </c>
      <c r="AG1570" s="43" t="str">
        <f t="shared" si="200"/>
        <v>REZoning_Sol-Win</v>
      </c>
      <c r="AI1570" s="33" t="s">
        <v>2444</v>
      </c>
      <c r="AJ1570" s="44" t="s">
        <v>57</v>
      </c>
      <c r="AK1570" s="33">
        <v>2050</v>
      </c>
      <c r="AL1570" s="45" t="str">
        <f t="shared" si="199"/>
        <v>*0.86</v>
      </c>
      <c r="AM1570" s="43" t="str">
        <f t="shared" si="201"/>
        <v>REZoning_Sol-Win</v>
      </c>
      <c r="AP1570" t="s">
        <v>2444</v>
      </c>
      <c r="AQ1570" t="s">
        <v>57</v>
      </c>
      <c r="AR1570">
        <v>2100</v>
      </c>
      <c r="AS1570" t="s">
        <v>883</v>
      </c>
      <c r="AT1570" t="s">
        <v>58</v>
      </c>
    </row>
    <row r="1571" ht="29" spans="1:46">
      <c r="A1571" s="31" t="s">
        <v>65</v>
      </c>
      <c r="C1571" t="s">
        <v>2445</v>
      </c>
      <c r="D1571" s="5" t="s">
        <v>57</v>
      </c>
      <c r="E1571">
        <v>2035</v>
      </c>
      <c r="F1571" s="6" t="str">
        <f t="shared" si="194"/>
        <v>*0.94</v>
      </c>
      <c r="H1571" t="s">
        <v>2445</v>
      </c>
      <c r="I1571" s="5" t="s">
        <v>57</v>
      </c>
      <c r="J1571">
        <v>2050</v>
      </c>
      <c r="K1571" s="38" t="str">
        <f t="shared" si="195"/>
        <v>*0.91</v>
      </c>
      <c r="P1571" s="32" t="s">
        <v>2445</v>
      </c>
      <c r="Q1571" s="42" t="s">
        <v>57</v>
      </c>
      <c r="R1571" s="32">
        <v>2035</v>
      </c>
      <c r="S1571" s="43" t="str">
        <f t="shared" si="196"/>
        <v>*0.93</v>
      </c>
      <c r="U1571" s="32" t="s">
        <v>2445</v>
      </c>
      <c r="V1571" s="42" t="s">
        <v>57</v>
      </c>
      <c r="W1571" s="32">
        <v>2050</v>
      </c>
      <c r="X1571" s="43" t="str">
        <f t="shared" si="197"/>
        <v>*0.9</v>
      </c>
      <c r="AC1571" s="33" t="s">
        <v>2445</v>
      </c>
      <c r="AD1571" s="44" t="s">
        <v>57</v>
      </c>
      <c r="AE1571" s="33">
        <v>2035</v>
      </c>
      <c r="AF1571" s="45" t="str">
        <f t="shared" si="198"/>
        <v>*0.9</v>
      </c>
      <c r="AG1571" s="43" t="str">
        <f t="shared" si="200"/>
        <v>REZoning_Sol-Win</v>
      </c>
      <c r="AI1571" s="33" t="s">
        <v>2445</v>
      </c>
      <c r="AJ1571" s="44" t="s">
        <v>57</v>
      </c>
      <c r="AK1571" s="33">
        <v>2050</v>
      </c>
      <c r="AL1571" s="45" t="str">
        <f t="shared" si="199"/>
        <v>*0.86</v>
      </c>
      <c r="AM1571" s="43" t="str">
        <f t="shared" si="201"/>
        <v>REZoning_Sol-Win</v>
      </c>
      <c r="AP1571" t="s">
        <v>2445</v>
      </c>
      <c r="AQ1571" t="s">
        <v>57</v>
      </c>
      <c r="AR1571">
        <v>2100</v>
      </c>
      <c r="AS1571" t="s">
        <v>883</v>
      </c>
      <c r="AT1571" t="s">
        <v>58</v>
      </c>
    </row>
    <row r="1572" ht="29" spans="1:46">
      <c r="A1572" s="31" t="s">
        <v>65</v>
      </c>
      <c r="C1572" t="s">
        <v>2446</v>
      </c>
      <c r="D1572" s="5" t="s">
        <v>57</v>
      </c>
      <c r="E1572">
        <v>2035</v>
      </c>
      <c r="F1572" s="6" t="str">
        <f t="shared" si="194"/>
        <v>*0.94</v>
      </c>
      <c r="H1572" t="s">
        <v>2446</v>
      </c>
      <c r="I1572" s="5" t="s">
        <v>57</v>
      </c>
      <c r="J1572">
        <v>2050</v>
      </c>
      <c r="K1572" s="38" t="str">
        <f t="shared" si="195"/>
        <v>*0.91</v>
      </c>
      <c r="P1572" s="32" t="s">
        <v>2446</v>
      </c>
      <c r="Q1572" s="42" t="s">
        <v>57</v>
      </c>
      <c r="R1572" s="32">
        <v>2035</v>
      </c>
      <c r="S1572" s="43" t="str">
        <f t="shared" si="196"/>
        <v>*0.93</v>
      </c>
      <c r="U1572" s="32" t="s">
        <v>2446</v>
      </c>
      <c r="V1572" s="42" t="s">
        <v>57</v>
      </c>
      <c r="W1572" s="32">
        <v>2050</v>
      </c>
      <c r="X1572" s="43" t="str">
        <f t="shared" si="197"/>
        <v>*0.9</v>
      </c>
      <c r="AC1572" s="33" t="s">
        <v>2446</v>
      </c>
      <c r="AD1572" s="44" t="s">
        <v>57</v>
      </c>
      <c r="AE1572" s="33">
        <v>2035</v>
      </c>
      <c r="AF1572" s="45" t="str">
        <f t="shared" si="198"/>
        <v>*0.9</v>
      </c>
      <c r="AG1572" s="43" t="str">
        <f t="shared" si="200"/>
        <v>REZoning_Sol-Win</v>
      </c>
      <c r="AI1572" s="33" t="s">
        <v>2446</v>
      </c>
      <c r="AJ1572" s="44" t="s">
        <v>57</v>
      </c>
      <c r="AK1572" s="33">
        <v>2050</v>
      </c>
      <c r="AL1572" s="45" t="str">
        <f t="shared" si="199"/>
        <v>*0.86</v>
      </c>
      <c r="AM1572" s="43" t="str">
        <f t="shared" si="201"/>
        <v>REZoning_Sol-Win</v>
      </c>
      <c r="AP1572" t="s">
        <v>2446</v>
      </c>
      <c r="AQ1572" t="s">
        <v>57</v>
      </c>
      <c r="AR1572">
        <v>2100</v>
      </c>
      <c r="AS1572" t="s">
        <v>883</v>
      </c>
      <c r="AT1572" t="s">
        <v>58</v>
      </c>
    </row>
    <row r="1573" ht="29" spans="1:46">
      <c r="A1573" s="31" t="s">
        <v>65</v>
      </c>
      <c r="C1573" t="s">
        <v>2447</v>
      </c>
      <c r="D1573" s="5" t="s">
        <v>57</v>
      </c>
      <c r="E1573">
        <v>2035</v>
      </c>
      <c r="F1573" s="6" t="str">
        <f t="shared" si="194"/>
        <v>*0.94</v>
      </c>
      <c r="H1573" t="s">
        <v>2447</v>
      </c>
      <c r="I1573" s="5" t="s">
        <v>57</v>
      </c>
      <c r="J1573">
        <v>2050</v>
      </c>
      <c r="K1573" s="38" t="str">
        <f t="shared" si="195"/>
        <v>*0.91</v>
      </c>
      <c r="P1573" s="32" t="s">
        <v>2447</v>
      </c>
      <c r="Q1573" s="42" t="s">
        <v>57</v>
      </c>
      <c r="R1573" s="32">
        <v>2035</v>
      </c>
      <c r="S1573" s="43" t="str">
        <f t="shared" si="196"/>
        <v>*0.93</v>
      </c>
      <c r="U1573" s="32" t="s">
        <v>2447</v>
      </c>
      <c r="V1573" s="42" t="s">
        <v>57</v>
      </c>
      <c r="W1573" s="32">
        <v>2050</v>
      </c>
      <c r="X1573" s="43" t="str">
        <f t="shared" si="197"/>
        <v>*0.9</v>
      </c>
      <c r="AC1573" s="33" t="s">
        <v>2447</v>
      </c>
      <c r="AD1573" s="44" t="s">
        <v>57</v>
      </c>
      <c r="AE1573" s="33">
        <v>2035</v>
      </c>
      <c r="AF1573" s="45" t="str">
        <f t="shared" si="198"/>
        <v>*0.9</v>
      </c>
      <c r="AG1573" s="43" t="str">
        <f t="shared" si="200"/>
        <v>REZoning_Sol-Win</v>
      </c>
      <c r="AI1573" s="33" t="s">
        <v>2447</v>
      </c>
      <c r="AJ1573" s="44" t="s">
        <v>57</v>
      </c>
      <c r="AK1573" s="33">
        <v>2050</v>
      </c>
      <c r="AL1573" s="45" t="str">
        <f t="shared" si="199"/>
        <v>*0.86</v>
      </c>
      <c r="AM1573" s="43" t="str">
        <f t="shared" si="201"/>
        <v>REZoning_Sol-Win</v>
      </c>
      <c r="AP1573" t="s">
        <v>2447</v>
      </c>
      <c r="AQ1573" t="s">
        <v>57</v>
      </c>
      <c r="AR1573">
        <v>2100</v>
      </c>
      <c r="AS1573" t="s">
        <v>883</v>
      </c>
      <c r="AT1573" t="s">
        <v>58</v>
      </c>
    </row>
    <row r="1574" ht="29" spans="1:46">
      <c r="A1574" s="31" t="s">
        <v>65</v>
      </c>
      <c r="C1574" t="s">
        <v>2448</v>
      </c>
      <c r="D1574" s="5" t="s">
        <v>57</v>
      </c>
      <c r="E1574">
        <v>2035</v>
      </c>
      <c r="F1574" s="6" t="str">
        <f t="shared" si="194"/>
        <v>*0.94</v>
      </c>
      <c r="H1574" t="s">
        <v>2448</v>
      </c>
      <c r="I1574" s="5" t="s">
        <v>57</v>
      </c>
      <c r="J1574">
        <v>2050</v>
      </c>
      <c r="K1574" s="38" t="str">
        <f t="shared" si="195"/>
        <v>*0.91</v>
      </c>
      <c r="P1574" s="32" t="s">
        <v>2448</v>
      </c>
      <c r="Q1574" s="42" t="s">
        <v>57</v>
      </c>
      <c r="R1574" s="32">
        <v>2035</v>
      </c>
      <c r="S1574" s="43" t="str">
        <f t="shared" si="196"/>
        <v>*0.93</v>
      </c>
      <c r="U1574" s="32" t="s">
        <v>2448</v>
      </c>
      <c r="V1574" s="42" t="s">
        <v>57</v>
      </c>
      <c r="W1574" s="32">
        <v>2050</v>
      </c>
      <c r="X1574" s="43" t="str">
        <f t="shared" si="197"/>
        <v>*0.9</v>
      </c>
      <c r="AC1574" s="33" t="s">
        <v>2448</v>
      </c>
      <c r="AD1574" s="44" t="s">
        <v>57</v>
      </c>
      <c r="AE1574" s="33">
        <v>2035</v>
      </c>
      <c r="AF1574" s="45" t="str">
        <f t="shared" si="198"/>
        <v>*0.9</v>
      </c>
      <c r="AG1574" s="43" t="str">
        <f t="shared" si="200"/>
        <v>REZoning_Sol-Win</v>
      </c>
      <c r="AI1574" s="33" t="s">
        <v>2448</v>
      </c>
      <c r="AJ1574" s="44" t="s">
        <v>57</v>
      </c>
      <c r="AK1574" s="33">
        <v>2050</v>
      </c>
      <c r="AL1574" s="45" t="str">
        <f t="shared" si="199"/>
        <v>*0.86</v>
      </c>
      <c r="AM1574" s="43" t="str">
        <f t="shared" si="201"/>
        <v>REZoning_Sol-Win</v>
      </c>
      <c r="AP1574" t="s">
        <v>2448</v>
      </c>
      <c r="AQ1574" t="s">
        <v>57</v>
      </c>
      <c r="AR1574">
        <v>2100</v>
      </c>
      <c r="AS1574" t="s">
        <v>883</v>
      </c>
      <c r="AT1574" t="s">
        <v>58</v>
      </c>
    </row>
    <row r="1575" ht="29" spans="1:46">
      <c r="A1575" s="31" t="s">
        <v>65</v>
      </c>
      <c r="C1575" t="s">
        <v>2449</v>
      </c>
      <c r="D1575" s="5" t="s">
        <v>57</v>
      </c>
      <c r="E1575">
        <v>2035</v>
      </c>
      <c r="F1575" s="6" t="str">
        <f t="shared" si="194"/>
        <v>*0.94</v>
      </c>
      <c r="H1575" t="s">
        <v>2449</v>
      </c>
      <c r="I1575" s="5" t="s">
        <v>57</v>
      </c>
      <c r="J1575">
        <v>2050</v>
      </c>
      <c r="K1575" s="38" t="str">
        <f t="shared" si="195"/>
        <v>*0.91</v>
      </c>
      <c r="P1575" s="32" t="s">
        <v>2449</v>
      </c>
      <c r="Q1575" s="42" t="s">
        <v>57</v>
      </c>
      <c r="R1575" s="32">
        <v>2035</v>
      </c>
      <c r="S1575" s="43" t="str">
        <f t="shared" si="196"/>
        <v>*0.93</v>
      </c>
      <c r="U1575" s="32" t="s">
        <v>2449</v>
      </c>
      <c r="V1575" s="42" t="s">
        <v>57</v>
      </c>
      <c r="W1575" s="32">
        <v>2050</v>
      </c>
      <c r="X1575" s="43" t="str">
        <f t="shared" si="197"/>
        <v>*0.9</v>
      </c>
      <c r="AC1575" s="33" t="s">
        <v>2449</v>
      </c>
      <c r="AD1575" s="44" t="s">
        <v>57</v>
      </c>
      <c r="AE1575" s="33">
        <v>2035</v>
      </c>
      <c r="AF1575" s="45" t="str">
        <f t="shared" si="198"/>
        <v>*0.9</v>
      </c>
      <c r="AG1575" s="43" t="str">
        <f t="shared" si="200"/>
        <v>REZoning_Sol-Win</v>
      </c>
      <c r="AI1575" s="33" t="s">
        <v>2449</v>
      </c>
      <c r="AJ1575" s="44" t="s">
        <v>57</v>
      </c>
      <c r="AK1575" s="33">
        <v>2050</v>
      </c>
      <c r="AL1575" s="45" t="str">
        <f t="shared" si="199"/>
        <v>*0.86</v>
      </c>
      <c r="AM1575" s="43" t="str">
        <f t="shared" si="201"/>
        <v>REZoning_Sol-Win</v>
      </c>
      <c r="AP1575" t="s">
        <v>2449</v>
      </c>
      <c r="AQ1575" t="s">
        <v>57</v>
      </c>
      <c r="AR1575">
        <v>2100</v>
      </c>
      <c r="AS1575" t="s">
        <v>883</v>
      </c>
      <c r="AT1575" t="s">
        <v>58</v>
      </c>
    </row>
    <row r="1576" ht="29" spans="1:46">
      <c r="A1576" s="31" t="s">
        <v>65</v>
      </c>
      <c r="C1576" t="s">
        <v>2450</v>
      </c>
      <c r="D1576" s="5" t="s">
        <v>57</v>
      </c>
      <c r="E1576">
        <v>2035</v>
      </c>
      <c r="F1576" s="6" t="str">
        <f t="shared" si="194"/>
        <v>*0.94</v>
      </c>
      <c r="H1576" t="s">
        <v>2450</v>
      </c>
      <c r="I1576" s="5" t="s">
        <v>57</v>
      </c>
      <c r="J1576">
        <v>2050</v>
      </c>
      <c r="K1576" s="38" t="str">
        <f t="shared" si="195"/>
        <v>*0.91</v>
      </c>
      <c r="P1576" s="32" t="s">
        <v>2450</v>
      </c>
      <c r="Q1576" s="42" t="s">
        <v>57</v>
      </c>
      <c r="R1576" s="32">
        <v>2035</v>
      </c>
      <c r="S1576" s="43" t="str">
        <f t="shared" si="196"/>
        <v>*0.93</v>
      </c>
      <c r="U1576" s="32" t="s">
        <v>2450</v>
      </c>
      <c r="V1576" s="42" t="s">
        <v>57</v>
      </c>
      <c r="W1576" s="32">
        <v>2050</v>
      </c>
      <c r="X1576" s="43" t="str">
        <f t="shared" si="197"/>
        <v>*0.9</v>
      </c>
      <c r="AC1576" s="33" t="s">
        <v>2450</v>
      </c>
      <c r="AD1576" s="44" t="s">
        <v>57</v>
      </c>
      <c r="AE1576" s="33">
        <v>2035</v>
      </c>
      <c r="AF1576" s="45" t="str">
        <f t="shared" si="198"/>
        <v>*0.9</v>
      </c>
      <c r="AG1576" s="43" t="str">
        <f t="shared" si="200"/>
        <v>REZoning_Sol-Win</v>
      </c>
      <c r="AI1576" s="33" t="s">
        <v>2450</v>
      </c>
      <c r="AJ1576" s="44" t="s">
        <v>57</v>
      </c>
      <c r="AK1576" s="33">
        <v>2050</v>
      </c>
      <c r="AL1576" s="45" t="str">
        <f t="shared" si="199"/>
        <v>*0.86</v>
      </c>
      <c r="AM1576" s="43" t="str">
        <f t="shared" si="201"/>
        <v>REZoning_Sol-Win</v>
      </c>
      <c r="AP1576" t="s">
        <v>2450</v>
      </c>
      <c r="AQ1576" t="s">
        <v>57</v>
      </c>
      <c r="AR1576">
        <v>2100</v>
      </c>
      <c r="AS1576" t="s">
        <v>883</v>
      </c>
      <c r="AT1576" t="s">
        <v>58</v>
      </c>
    </row>
    <row r="1577" ht="29" spans="1:46">
      <c r="A1577" s="31" t="s">
        <v>65</v>
      </c>
      <c r="C1577" t="s">
        <v>2451</v>
      </c>
      <c r="D1577" s="5" t="s">
        <v>57</v>
      </c>
      <c r="E1577">
        <v>2035</v>
      </c>
      <c r="F1577" s="6" t="str">
        <f t="shared" si="194"/>
        <v>*0.94</v>
      </c>
      <c r="H1577" t="s">
        <v>2451</v>
      </c>
      <c r="I1577" s="5" t="s">
        <v>57</v>
      </c>
      <c r="J1577">
        <v>2050</v>
      </c>
      <c r="K1577" s="38" t="str">
        <f t="shared" si="195"/>
        <v>*0.91</v>
      </c>
      <c r="P1577" s="32" t="s">
        <v>2451</v>
      </c>
      <c r="Q1577" s="42" t="s">
        <v>57</v>
      </c>
      <c r="R1577" s="32">
        <v>2035</v>
      </c>
      <c r="S1577" s="43" t="str">
        <f t="shared" si="196"/>
        <v>*0.93</v>
      </c>
      <c r="U1577" s="32" t="s">
        <v>2451</v>
      </c>
      <c r="V1577" s="42" t="s">
        <v>57</v>
      </c>
      <c r="W1577" s="32">
        <v>2050</v>
      </c>
      <c r="X1577" s="43" t="str">
        <f t="shared" si="197"/>
        <v>*0.9</v>
      </c>
      <c r="AC1577" s="33" t="s">
        <v>2451</v>
      </c>
      <c r="AD1577" s="44" t="s">
        <v>57</v>
      </c>
      <c r="AE1577" s="33">
        <v>2035</v>
      </c>
      <c r="AF1577" s="45" t="str">
        <f t="shared" si="198"/>
        <v>*0.9</v>
      </c>
      <c r="AG1577" s="43" t="str">
        <f t="shared" si="200"/>
        <v>REZoning_Sol-Win</v>
      </c>
      <c r="AI1577" s="33" t="s">
        <v>2451</v>
      </c>
      <c r="AJ1577" s="44" t="s">
        <v>57</v>
      </c>
      <c r="AK1577" s="33">
        <v>2050</v>
      </c>
      <c r="AL1577" s="45" t="str">
        <f t="shared" si="199"/>
        <v>*0.86</v>
      </c>
      <c r="AM1577" s="43" t="str">
        <f t="shared" si="201"/>
        <v>REZoning_Sol-Win</v>
      </c>
      <c r="AP1577" t="s">
        <v>2451</v>
      </c>
      <c r="AQ1577" t="s">
        <v>57</v>
      </c>
      <c r="AR1577">
        <v>2100</v>
      </c>
      <c r="AS1577" t="s">
        <v>883</v>
      </c>
      <c r="AT1577" t="s">
        <v>58</v>
      </c>
    </row>
    <row r="1578" ht="29" spans="1:46">
      <c r="A1578" s="31" t="s">
        <v>65</v>
      </c>
      <c r="C1578" t="s">
        <v>2452</v>
      </c>
      <c r="D1578" s="5" t="s">
        <v>57</v>
      </c>
      <c r="E1578">
        <v>2035</v>
      </c>
      <c r="F1578" s="6" t="str">
        <f t="shared" si="194"/>
        <v>*0.94</v>
      </c>
      <c r="H1578" t="s">
        <v>2452</v>
      </c>
      <c r="I1578" s="5" t="s">
        <v>57</v>
      </c>
      <c r="J1578">
        <v>2050</v>
      </c>
      <c r="K1578" s="38" t="str">
        <f t="shared" si="195"/>
        <v>*0.91</v>
      </c>
      <c r="P1578" s="32" t="s">
        <v>2452</v>
      </c>
      <c r="Q1578" s="42" t="s">
        <v>57</v>
      </c>
      <c r="R1578" s="32">
        <v>2035</v>
      </c>
      <c r="S1578" s="43" t="str">
        <f t="shared" si="196"/>
        <v>*0.93</v>
      </c>
      <c r="U1578" s="32" t="s">
        <v>2452</v>
      </c>
      <c r="V1578" s="42" t="s">
        <v>57</v>
      </c>
      <c r="W1578" s="32">
        <v>2050</v>
      </c>
      <c r="X1578" s="43" t="str">
        <f t="shared" si="197"/>
        <v>*0.9</v>
      </c>
      <c r="AC1578" s="33" t="s">
        <v>2452</v>
      </c>
      <c r="AD1578" s="44" t="s">
        <v>57</v>
      </c>
      <c r="AE1578" s="33">
        <v>2035</v>
      </c>
      <c r="AF1578" s="45" t="str">
        <f t="shared" si="198"/>
        <v>*0.9</v>
      </c>
      <c r="AG1578" s="43" t="str">
        <f t="shared" si="200"/>
        <v>REZoning_Sol-Win</v>
      </c>
      <c r="AI1578" s="33" t="s">
        <v>2452</v>
      </c>
      <c r="AJ1578" s="44" t="s">
        <v>57</v>
      </c>
      <c r="AK1578" s="33">
        <v>2050</v>
      </c>
      <c r="AL1578" s="45" t="str">
        <f t="shared" si="199"/>
        <v>*0.86</v>
      </c>
      <c r="AM1578" s="43" t="str">
        <f t="shared" si="201"/>
        <v>REZoning_Sol-Win</v>
      </c>
      <c r="AP1578" t="s">
        <v>2452</v>
      </c>
      <c r="AQ1578" t="s">
        <v>57</v>
      </c>
      <c r="AR1578">
        <v>2100</v>
      </c>
      <c r="AS1578" t="s">
        <v>883</v>
      </c>
      <c r="AT1578" t="s">
        <v>58</v>
      </c>
    </row>
    <row r="1579" ht="29" spans="1:46">
      <c r="A1579" s="31" t="s">
        <v>65</v>
      </c>
      <c r="C1579" t="s">
        <v>2453</v>
      </c>
      <c r="D1579" s="5" t="s">
        <v>57</v>
      </c>
      <c r="E1579">
        <v>2035</v>
      </c>
      <c r="F1579" s="6" t="str">
        <f t="shared" si="194"/>
        <v>*0.94</v>
      </c>
      <c r="H1579" t="s">
        <v>2453</v>
      </c>
      <c r="I1579" s="5" t="s">
        <v>57</v>
      </c>
      <c r="J1579">
        <v>2050</v>
      </c>
      <c r="K1579" s="38" t="str">
        <f t="shared" si="195"/>
        <v>*0.91</v>
      </c>
      <c r="P1579" s="32" t="s">
        <v>2453</v>
      </c>
      <c r="Q1579" s="42" t="s">
        <v>57</v>
      </c>
      <c r="R1579" s="32">
        <v>2035</v>
      </c>
      <c r="S1579" s="43" t="str">
        <f t="shared" si="196"/>
        <v>*0.93</v>
      </c>
      <c r="U1579" s="32" t="s">
        <v>2453</v>
      </c>
      <c r="V1579" s="42" t="s">
        <v>57</v>
      </c>
      <c r="W1579" s="32">
        <v>2050</v>
      </c>
      <c r="X1579" s="43" t="str">
        <f t="shared" si="197"/>
        <v>*0.9</v>
      </c>
      <c r="AC1579" s="33" t="s">
        <v>2453</v>
      </c>
      <c r="AD1579" s="44" t="s">
        <v>57</v>
      </c>
      <c r="AE1579" s="33">
        <v>2035</v>
      </c>
      <c r="AF1579" s="45" t="str">
        <f t="shared" si="198"/>
        <v>*0.9</v>
      </c>
      <c r="AG1579" s="43" t="str">
        <f t="shared" si="200"/>
        <v>REZoning_Sol-Win</v>
      </c>
      <c r="AI1579" s="33" t="s">
        <v>2453</v>
      </c>
      <c r="AJ1579" s="44" t="s">
        <v>57</v>
      </c>
      <c r="AK1579" s="33">
        <v>2050</v>
      </c>
      <c r="AL1579" s="45" t="str">
        <f t="shared" si="199"/>
        <v>*0.86</v>
      </c>
      <c r="AM1579" s="43" t="str">
        <f t="shared" si="201"/>
        <v>REZoning_Sol-Win</v>
      </c>
      <c r="AP1579" t="s">
        <v>2453</v>
      </c>
      <c r="AQ1579" t="s">
        <v>57</v>
      </c>
      <c r="AR1579">
        <v>2100</v>
      </c>
      <c r="AS1579" t="s">
        <v>883</v>
      </c>
      <c r="AT1579" t="s">
        <v>58</v>
      </c>
    </row>
    <row r="1580" ht="29" spans="1:46">
      <c r="A1580" s="31" t="s">
        <v>65</v>
      </c>
      <c r="C1580" t="s">
        <v>2454</v>
      </c>
      <c r="D1580" s="5" t="s">
        <v>57</v>
      </c>
      <c r="E1580">
        <v>2035</v>
      </c>
      <c r="F1580" s="6" t="str">
        <f t="shared" si="194"/>
        <v>*0.94</v>
      </c>
      <c r="H1580" t="s">
        <v>2454</v>
      </c>
      <c r="I1580" s="5" t="s">
        <v>57</v>
      </c>
      <c r="J1580">
        <v>2050</v>
      </c>
      <c r="K1580" s="38" t="str">
        <f t="shared" si="195"/>
        <v>*0.91</v>
      </c>
      <c r="P1580" s="32" t="s">
        <v>2454</v>
      </c>
      <c r="Q1580" s="42" t="s">
        <v>57</v>
      </c>
      <c r="R1580" s="32">
        <v>2035</v>
      </c>
      <c r="S1580" s="43" t="str">
        <f t="shared" si="196"/>
        <v>*0.93</v>
      </c>
      <c r="U1580" s="32" t="s">
        <v>2454</v>
      </c>
      <c r="V1580" s="42" t="s">
        <v>57</v>
      </c>
      <c r="W1580" s="32">
        <v>2050</v>
      </c>
      <c r="X1580" s="43" t="str">
        <f t="shared" si="197"/>
        <v>*0.9</v>
      </c>
      <c r="AC1580" s="33" t="s">
        <v>2454</v>
      </c>
      <c r="AD1580" s="44" t="s">
        <v>57</v>
      </c>
      <c r="AE1580" s="33">
        <v>2035</v>
      </c>
      <c r="AF1580" s="45" t="str">
        <f t="shared" si="198"/>
        <v>*0.9</v>
      </c>
      <c r="AG1580" s="43" t="str">
        <f t="shared" si="200"/>
        <v>REZoning_Sol-Win</v>
      </c>
      <c r="AI1580" s="33" t="s">
        <v>2454</v>
      </c>
      <c r="AJ1580" s="44" t="s">
        <v>57</v>
      </c>
      <c r="AK1580" s="33">
        <v>2050</v>
      </c>
      <c r="AL1580" s="45" t="str">
        <f t="shared" si="199"/>
        <v>*0.86</v>
      </c>
      <c r="AM1580" s="43" t="str">
        <f t="shared" si="201"/>
        <v>REZoning_Sol-Win</v>
      </c>
      <c r="AP1580" t="s">
        <v>2454</v>
      </c>
      <c r="AQ1580" t="s">
        <v>57</v>
      </c>
      <c r="AR1580">
        <v>2100</v>
      </c>
      <c r="AS1580" t="s">
        <v>883</v>
      </c>
      <c r="AT1580" t="s">
        <v>58</v>
      </c>
    </row>
    <row r="1581" ht="29" spans="1:46">
      <c r="A1581" s="31" t="s">
        <v>65</v>
      </c>
      <c r="C1581" t="s">
        <v>2455</v>
      </c>
      <c r="D1581" s="5" t="s">
        <v>57</v>
      </c>
      <c r="E1581">
        <v>2035</v>
      </c>
      <c r="F1581" s="6" t="str">
        <f t="shared" si="194"/>
        <v>*0.94</v>
      </c>
      <c r="H1581" t="s">
        <v>2455</v>
      </c>
      <c r="I1581" s="5" t="s">
        <v>57</v>
      </c>
      <c r="J1581">
        <v>2050</v>
      </c>
      <c r="K1581" s="38" t="str">
        <f t="shared" si="195"/>
        <v>*0.91</v>
      </c>
      <c r="P1581" s="32" t="s">
        <v>2455</v>
      </c>
      <c r="Q1581" s="42" t="s">
        <v>57</v>
      </c>
      <c r="R1581" s="32">
        <v>2035</v>
      </c>
      <c r="S1581" s="43" t="str">
        <f t="shared" si="196"/>
        <v>*0.93</v>
      </c>
      <c r="U1581" s="32" t="s">
        <v>2455</v>
      </c>
      <c r="V1581" s="42" t="s">
        <v>57</v>
      </c>
      <c r="W1581" s="32">
        <v>2050</v>
      </c>
      <c r="X1581" s="43" t="str">
        <f t="shared" si="197"/>
        <v>*0.9</v>
      </c>
      <c r="AC1581" s="33" t="s">
        <v>2455</v>
      </c>
      <c r="AD1581" s="44" t="s">
        <v>57</v>
      </c>
      <c r="AE1581" s="33">
        <v>2035</v>
      </c>
      <c r="AF1581" s="45" t="str">
        <f t="shared" si="198"/>
        <v>*0.9</v>
      </c>
      <c r="AG1581" s="43" t="str">
        <f t="shared" si="200"/>
        <v>REZoning_Sol-Win</v>
      </c>
      <c r="AI1581" s="33" t="s">
        <v>2455</v>
      </c>
      <c r="AJ1581" s="44" t="s">
        <v>57</v>
      </c>
      <c r="AK1581" s="33">
        <v>2050</v>
      </c>
      <c r="AL1581" s="45" t="str">
        <f t="shared" si="199"/>
        <v>*0.86</v>
      </c>
      <c r="AM1581" s="43" t="str">
        <f t="shared" si="201"/>
        <v>REZoning_Sol-Win</v>
      </c>
      <c r="AP1581" t="s">
        <v>2455</v>
      </c>
      <c r="AQ1581" t="s">
        <v>57</v>
      </c>
      <c r="AR1581">
        <v>2100</v>
      </c>
      <c r="AS1581" t="s">
        <v>883</v>
      </c>
      <c r="AT1581" t="s">
        <v>58</v>
      </c>
    </row>
    <row r="1582" ht="29" spans="1:46">
      <c r="A1582" s="31" t="s">
        <v>65</v>
      </c>
      <c r="C1582" t="s">
        <v>2456</v>
      </c>
      <c r="D1582" s="5" t="s">
        <v>57</v>
      </c>
      <c r="E1582">
        <v>2035</v>
      </c>
      <c r="F1582" s="6" t="str">
        <f t="shared" si="194"/>
        <v>*0.94</v>
      </c>
      <c r="H1582" t="s">
        <v>2456</v>
      </c>
      <c r="I1582" s="5" t="s">
        <v>57</v>
      </c>
      <c r="J1582">
        <v>2050</v>
      </c>
      <c r="K1582" s="38" t="str">
        <f t="shared" si="195"/>
        <v>*0.91</v>
      </c>
      <c r="P1582" s="32" t="s">
        <v>2456</v>
      </c>
      <c r="Q1582" s="42" t="s">
        <v>57</v>
      </c>
      <c r="R1582" s="32">
        <v>2035</v>
      </c>
      <c r="S1582" s="43" t="str">
        <f t="shared" si="196"/>
        <v>*0.93</v>
      </c>
      <c r="U1582" s="32" t="s">
        <v>2456</v>
      </c>
      <c r="V1582" s="42" t="s">
        <v>57</v>
      </c>
      <c r="W1582" s="32">
        <v>2050</v>
      </c>
      <c r="X1582" s="43" t="str">
        <f t="shared" si="197"/>
        <v>*0.9</v>
      </c>
      <c r="AC1582" s="33" t="s">
        <v>2456</v>
      </c>
      <c r="AD1582" s="44" t="s">
        <v>57</v>
      </c>
      <c r="AE1582" s="33">
        <v>2035</v>
      </c>
      <c r="AF1582" s="45" t="str">
        <f t="shared" si="198"/>
        <v>*0.9</v>
      </c>
      <c r="AG1582" s="43" t="str">
        <f t="shared" si="200"/>
        <v>REZoning_Sol-Win</v>
      </c>
      <c r="AI1582" s="33" t="s">
        <v>2456</v>
      </c>
      <c r="AJ1582" s="44" t="s">
        <v>57</v>
      </c>
      <c r="AK1582" s="33">
        <v>2050</v>
      </c>
      <c r="AL1582" s="45" t="str">
        <f t="shared" si="199"/>
        <v>*0.86</v>
      </c>
      <c r="AM1582" s="43" t="str">
        <f t="shared" si="201"/>
        <v>REZoning_Sol-Win</v>
      </c>
      <c r="AP1582" t="s">
        <v>2456</v>
      </c>
      <c r="AQ1582" t="s">
        <v>57</v>
      </c>
      <c r="AR1582">
        <v>2100</v>
      </c>
      <c r="AS1582" t="s">
        <v>883</v>
      </c>
      <c r="AT1582" t="s">
        <v>58</v>
      </c>
    </row>
    <row r="1583" ht="29" spans="1:46">
      <c r="A1583" s="31" t="s">
        <v>65</v>
      </c>
      <c r="C1583" t="s">
        <v>2457</v>
      </c>
      <c r="D1583" s="5" t="s">
        <v>57</v>
      </c>
      <c r="E1583">
        <v>2035</v>
      </c>
      <c r="F1583" s="6" t="str">
        <f t="shared" si="194"/>
        <v>*0.94</v>
      </c>
      <c r="H1583" t="s">
        <v>2457</v>
      </c>
      <c r="I1583" s="5" t="s">
        <v>57</v>
      </c>
      <c r="J1583">
        <v>2050</v>
      </c>
      <c r="K1583" s="38" t="str">
        <f t="shared" si="195"/>
        <v>*0.91</v>
      </c>
      <c r="P1583" s="32" t="s">
        <v>2457</v>
      </c>
      <c r="Q1583" s="42" t="s">
        <v>57</v>
      </c>
      <c r="R1583" s="32">
        <v>2035</v>
      </c>
      <c r="S1583" s="43" t="str">
        <f t="shared" si="196"/>
        <v>*0.93</v>
      </c>
      <c r="U1583" s="32" t="s">
        <v>2457</v>
      </c>
      <c r="V1583" s="42" t="s">
        <v>57</v>
      </c>
      <c r="W1583" s="32">
        <v>2050</v>
      </c>
      <c r="X1583" s="43" t="str">
        <f t="shared" si="197"/>
        <v>*0.9</v>
      </c>
      <c r="AC1583" s="33" t="s">
        <v>2457</v>
      </c>
      <c r="AD1583" s="44" t="s">
        <v>57</v>
      </c>
      <c r="AE1583" s="33">
        <v>2035</v>
      </c>
      <c r="AF1583" s="45" t="str">
        <f t="shared" si="198"/>
        <v>*0.9</v>
      </c>
      <c r="AG1583" s="43" t="str">
        <f t="shared" si="200"/>
        <v>REZoning_Sol-Win</v>
      </c>
      <c r="AI1583" s="33" t="s">
        <v>2457</v>
      </c>
      <c r="AJ1583" s="44" t="s">
        <v>57</v>
      </c>
      <c r="AK1583" s="33">
        <v>2050</v>
      </c>
      <c r="AL1583" s="45" t="str">
        <f t="shared" si="199"/>
        <v>*0.86</v>
      </c>
      <c r="AM1583" s="43" t="str">
        <f t="shared" si="201"/>
        <v>REZoning_Sol-Win</v>
      </c>
      <c r="AP1583" t="s">
        <v>2457</v>
      </c>
      <c r="AQ1583" t="s">
        <v>57</v>
      </c>
      <c r="AR1583">
        <v>2100</v>
      </c>
      <c r="AS1583" t="s">
        <v>883</v>
      </c>
      <c r="AT1583" t="s">
        <v>58</v>
      </c>
    </row>
    <row r="1584" ht="29" spans="1:46">
      <c r="A1584" s="31" t="s">
        <v>65</v>
      </c>
      <c r="C1584" t="s">
        <v>2458</v>
      </c>
      <c r="D1584" s="5" t="s">
        <v>57</v>
      </c>
      <c r="E1584">
        <v>2035</v>
      </c>
      <c r="F1584" s="6" t="str">
        <f t="shared" si="194"/>
        <v>*0.94</v>
      </c>
      <c r="H1584" t="s">
        <v>2458</v>
      </c>
      <c r="I1584" s="5" t="s">
        <v>57</v>
      </c>
      <c r="J1584">
        <v>2050</v>
      </c>
      <c r="K1584" s="38" t="str">
        <f t="shared" si="195"/>
        <v>*0.91</v>
      </c>
      <c r="P1584" s="32" t="s">
        <v>2458</v>
      </c>
      <c r="Q1584" s="42" t="s">
        <v>57</v>
      </c>
      <c r="R1584" s="32">
        <v>2035</v>
      </c>
      <c r="S1584" s="43" t="str">
        <f t="shared" si="196"/>
        <v>*0.93</v>
      </c>
      <c r="U1584" s="32" t="s">
        <v>2458</v>
      </c>
      <c r="V1584" s="42" t="s">
        <v>57</v>
      </c>
      <c r="W1584" s="32">
        <v>2050</v>
      </c>
      <c r="X1584" s="43" t="str">
        <f t="shared" si="197"/>
        <v>*0.9</v>
      </c>
      <c r="AC1584" s="33" t="s">
        <v>2458</v>
      </c>
      <c r="AD1584" s="44" t="s">
        <v>57</v>
      </c>
      <c r="AE1584" s="33">
        <v>2035</v>
      </c>
      <c r="AF1584" s="45" t="str">
        <f t="shared" si="198"/>
        <v>*0.9</v>
      </c>
      <c r="AG1584" s="43" t="str">
        <f t="shared" si="200"/>
        <v>REZoning_Sol-Win</v>
      </c>
      <c r="AI1584" s="33" t="s">
        <v>2458</v>
      </c>
      <c r="AJ1584" s="44" t="s">
        <v>57</v>
      </c>
      <c r="AK1584" s="33">
        <v>2050</v>
      </c>
      <c r="AL1584" s="45" t="str">
        <f t="shared" si="199"/>
        <v>*0.86</v>
      </c>
      <c r="AM1584" s="43" t="str">
        <f t="shared" si="201"/>
        <v>REZoning_Sol-Win</v>
      </c>
      <c r="AP1584" t="s">
        <v>2458</v>
      </c>
      <c r="AQ1584" t="s">
        <v>57</v>
      </c>
      <c r="AR1584">
        <v>2100</v>
      </c>
      <c r="AS1584" t="s">
        <v>883</v>
      </c>
      <c r="AT1584" t="s">
        <v>58</v>
      </c>
    </row>
    <row r="1585" ht="29" spans="1:46">
      <c r="A1585" s="31" t="s">
        <v>65</v>
      </c>
      <c r="C1585" t="s">
        <v>2459</v>
      </c>
      <c r="D1585" s="5" t="s">
        <v>57</v>
      </c>
      <c r="E1585">
        <v>2035</v>
      </c>
      <c r="F1585" s="6" t="str">
        <f t="shared" si="194"/>
        <v>*0.94</v>
      </c>
      <c r="H1585" t="s">
        <v>2459</v>
      </c>
      <c r="I1585" s="5" t="s">
        <v>57</v>
      </c>
      <c r="J1585">
        <v>2050</v>
      </c>
      <c r="K1585" s="38" t="str">
        <f t="shared" si="195"/>
        <v>*0.91</v>
      </c>
      <c r="P1585" s="32" t="s">
        <v>2459</v>
      </c>
      <c r="Q1585" s="42" t="s">
        <v>57</v>
      </c>
      <c r="R1585" s="32">
        <v>2035</v>
      </c>
      <c r="S1585" s="43" t="str">
        <f t="shared" si="196"/>
        <v>*0.93</v>
      </c>
      <c r="U1585" s="32" t="s">
        <v>2459</v>
      </c>
      <c r="V1585" s="42" t="s">
        <v>57</v>
      </c>
      <c r="W1585" s="32">
        <v>2050</v>
      </c>
      <c r="X1585" s="43" t="str">
        <f t="shared" si="197"/>
        <v>*0.9</v>
      </c>
      <c r="AC1585" s="33" t="s">
        <v>2459</v>
      </c>
      <c r="AD1585" s="44" t="s">
        <v>57</v>
      </c>
      <c r="AE1585" s="33">
        <v>2035</v>
      </c>
      <c r="AF1585" s="45" t="str">
        <f t="shared" si="198"/>
        <v>*0.9</v>
      </c>
      <c r="AG1585" s="43" t="str">
        <f t="shared" si="200"/>
        <v>REZoning_Sol-Win</v>
      </c>
      <c r="AI1585" s="33" t="s">
        <v>2459</v>
      </c>
      <c r="AJ1585" s="44" t="s">
        <v>57</v>
      </c>
      <c r="AK1585" s="33">
        <v>2050</v>
      </c>
      <c r="AL1585" s="45" t="str">
        <f t="shared" si="199"/>
        <v>*0.86</v>
      </c>
      <c r="AM1585" s="43" t="str">
        <f t="shared" si="201"/>
        <v>REZoning_Sol-Win</v>
      </c>
      <c r="AP1585" t="s">
        <v>2459</v>
      </c>
      <c r="AQ1585" t="s">
        <v>57</v>
      </c>
      <c r="AR1585">
        <v>2100</v>
      </c>
      <c r="AS1585" t="s">
        <v>883</v>
      </c>
      <c r="AT1585" t="s">
        <v>58</v>
      </c>
    </row>
    <row r="1586" ht="29" spans="1:46">
      <c r="A1586" s="31" t="s">
        <v>65</v>
      </c>
      <c r="C1586" t="s">
        <v>2460</v>
      </c>
      <c r="D1586" s="5" t="s">
        <v>57</v>
      </c>
      <c r="E1586">
        <v>2035</v>
      </c>
      <c r="F1586" s="6" t="str">
        <f t="shared" si="194"/>
        <v>*0.94</v>
      </c>
      <c r="H1586" t="s">
        <v>2460</v>
      </c>
      <c r="I1586" s="5" t="s">
        <v>57</v>
      </c>
      <c r="J1586">
        <v>2050</v>
      </c>
      <c r="K1586" s="38" t="str">
        <f t="shared" si="195"/>
        <v>*0.91</v>
      </c>
      <c r="P1586" s="32" t="s">
        <v>2460</v>
      </c>
      <c r="Q1586" s="42" t="s">
        <v>57</v>
      </c>
      <c r="R1586" s="32">
        <v>2035</v>
      </c>
      <c r="S1586" s="43" t="str">
        <f t="shared" si="196"/>
        <v>*0.93</v>
      </c>
      <c r="U1586" s="32" t="s">
        <v>2460</v>
      </c>
      <c r="V1586" s="42" t="s">
        <v>57</v>
      </c>
      <c r="W1586" s="32">
        <v>2050</v>
      </c>
      <c r="X1586" s="43" t="str">
        <f t="shared" si="197"/>
        <v>*0.9</v>
      </c>
      <c r="AC1586" s="33" t="s">
        <v>2460</v>
      </c>
      <c r="AD1586" s="44" t="s">
        <v>57</v>
      </c>
      <c r="AE1586" s="33">
        <v>2035</v>
      </c>
      <c r="AF1586" s="45" t="str">
        <f t="shared" si="198"/>
        <v>*0.9</v>
      </c>
      <c r="AG1586" s="43" t="str">
        <f t="shared" si="200"/>
        <v>REZoning_Sol-Win</v>
      </c>
      <c r="AI1586" s="33" t="s">
        <v>2460</v>
      </c>
      <c r="AJ1586" s="44" t="s">
        <v>57</v>
      </c>
      <c r="AK1586" s="33">
        <v>2050</v>
      </c>
      <c r="AL1586" s="45" t="str">
        <f t="shared" si="199"/>
        <v>*0.86</v>
      </c>
      <c r="AM1586" s="43" t="str">
        <f t="shared" si="201"/>
        <v>REZoning_Sol-Win</v>
      </c>
      <c r="AP1586" t="s">
        <v>2460</v>
      </c>
      <c r="AQ1586" t="s">
        <v>57</v>
      </c>
      <c r="AR1586">
        <v>2100</v>
      </c>
      <c r="AS1586" t="s">
        <v>883</v>
      </c>
      <c r="AT1586" t="s">
        <v>58</v>
      </c>
    </row>
    <row r="1587" ht="29" spans="1:46">
      <c r="A1587" s="31" t="s">
        <v>65</v>
      </c>
      <c r="C1587" t="s">
        <v>2461</v>
      </c>
      <c r="D1587" s="5" t="s">
        <v>57</v>
      </c>
      <c r="E1587">
        <v>2035</v>
      </c>
      <c r="F1587" s="6" t="str">
        <f t="shared" si="194"/>
        <v>*0.94</v>
      </c>
      <c r="H1587" t="s">
        <v>2461</v>
      </c>
      <c r="I1587" s="5" t="s">
        <v>57</v>
      </c>
      <c r="J1587">
        <v>2050</v>
      </c>
      <c r="K1587" s="38" t="str">
        <f t="shared" si="195"/>
        <v>*0.91</v>
      </c>
      <c r="P1587" s="32" t="s">
        <v>2461</v>
      </c>
      <c r="Q1587" s="42" t="s">
        <v>57</v>
      </c>
      <c r="R1587" s="32">
        <v>2035</v>
      </c>
      <c r="S1587" s="43" t="str">
        <f t="shared" si="196"/>
        <v>*0.93</v>
      </c>
      <c r="U1587" s="32" t="s">
        <v>2461</v>
      </c>
      <c r="V1587" s="42" t="s">
        <v>57</v>
      </c>
      <c r="W1587" s="32">
        <v>2050</v>
      </c>
      <c r="X1587" s="43" t="str">
        <f t="shared" si="197"/>
        <v>*0.9</v>
      </c>
      <c r="AC1587" s="33" t="s">
        <v>2461</v>
      </c>
      <c r="AD1587" s="44" t="s">
        <v>57</v>
      </c>
      <c r="AE1587" s="33">
        <v>2035</v>
      </c>
      <c r="AF1587" s="45" t="str">
        <f t="shared" si="198"/>
        <v>*0.9</v>
      </c>
      <c r="AG1587" s="43" t="str">
        <f t="shared" si="200"/>
        <v>REZoning_Sol-Win</v>
      </c>
      <c r="AI1587" s="33" t="s">
        <v>2461</v>
      </c>
      <c r="AJ1587" s="44" t="s">
        <v>57</v>
      </c>
      <c r="AK1587" s="33">
        <v>2050</v>
      </c>
      <c r="AL1587" s="45" t="str">
        <f t="shared" si="199"/>
        <v>*0.86</v>
      </c>
      <c r="AM1587" s="43" t="str">
        <f t="shared" si="201"/>
        <v>REZoning_Sol-Win</v>
      </c>
      <c r="AP1587" t="s">
        <v>2461</v>
      </c>
      <c r="AQ1587" t="s">
        <v>57</v>
      </c>
      <c r="AR1587">
        <v>2100</v>
      </c>
      <c r="AS1587" t="s">
        <v>883</v>
      </c>
      <c r="AT1587" t="s">
        <v>58</v>
      </c>
    </row>
    <row r="1588" ht="29" spans="1:46">
      <c r="A1588" s="31" t="s">
        <v>65</v>
      </c>
      <c r="C1588" t="s">
        <v>2462</v>
      </c>
      <c r="D1588" s="5" t="s">
        <v>57</v>
      </c>
      <c r="E1588">
        <v>2035</v>
      </c>
      <c r="F1588" s="6" t="str">
        <f t="shared" si="194"/>
        <v>*0.94</v>
      </c>
      <c r="H1588" t="s">
        <v>2462</v>
      </c>
      <c r="I1588" s="5" t="s">
        <v>57</v>
      </c>
      <c r="J1588">
        <v>2050</v>
      </c>
      <c r="K1588" s="38" t="str">
        <f t="shared" si="195"/>
        <v>*0.91</v>
      </c>
      <c r="P1588" s="32" t="s">
        <v>2462</v>
      </c>
      <c r="Q1588" s="42" t="s">
        <v>57</v>
      </c>
      <c r="R1588" s="32">
        <v>2035</v>
      </c>
      <c r="S1588" s="43" t="str">
        <f t="shared" si="196"/>
        <v>*0.93</v>
      </c>
      <c r="U1588" s="32" t="s">
        <v>2462</v>
      </c>
      <c r="V1588" s="42" t="s">
        <v>57</v>
      </c>
      <c r="W1588" s="32">
        <v>2050</v>
      </c>
      <c r="X1588" s="43" t="str">
        <f t="shared" si="197"/>
        <v>*0.9</v>
      </c>
      <c r="AC1588" s="33" t="s">
        <v>2462</v>
      </c>
      <c r="AD1588" s="44" t="s">
        <v>57</v>
      </c>
      <c r="AE1588" s="33">
        <v>2035</v>
      </c>
      <c r="AF1588" s="45" t="str">
        <f t="shared" si="198"/>
        <v>*0.9</v>
      </c>
      <c r="AG1588" s="43" t="str">
        <f t="shared" si="200"/>
        <v>REZoning_Sol-Win</v>
      </c>
      <c r="AI1588" s="33" t="s">
        <v>2462</v>
      </c>
      <c r="AJ1588" s="44" t="s">
        <v>57</v>
      </c>
      <c r="AK1588" s="33">
        <v>2050</v>
      </c>
      <c r="AL1588" s="45" t="str">
        <f t="shared" si="199"/>
        <v>*0.86</v>
      </c>
      <c r="AM1588" s="43" t="str">
        <f t="shared" si="201"/>
        <v>REZoning_Sol-Win</v>
      </c>
      <c r="AP1588" t="s">
        <v>2462</v>
      </c>
      <c r="AQ1588" t="s">
        <v>57</v>
      </c>
      <c r="AR1588">
        <v>2100</v>
      </c>
      <c r="AS1588" t="s">
        <v>883</v>
      </c>
      <c r="AT1588" t="s">
        <v>58</v>
      </c>
    </row>
    <row r="1589" ht="29" spans="1:46">
      <c r="A1589" s="31" t="s">
        <v>65</v>
      </c>
      <c r="C1589" t="s">
        <v>2463</v>
      </c>
      <c r="D1589" s="5" t="s">
        <v>57</v>
      </c>
      <c r="E1589">
        <v>2035</v>
      </c>
      <c r="F1589" s="6" t="str">
        <f t="shared" si="194"/>
        <v>*0.94</v>
      </c>
      <c r="H1589" t="s">
        <v>2463</v>
      </c>
      <c r="I1589" s="5" t="s">
        <v>57</v>
      </c>
      <c r="J1589">
        <v>2050</v>
      </c>
      <c r="K1589" s="38" t="str">
        <f t="shared" si="195"/>
        <v>*0.91</v>
      </c>
      <c r="P1589" s="32" t="s">
        <v>2463</v>
      </c>
      <c r="Q1589" s="42" t="s">
        <v>57</v>
      </c>
      <c r="R1589" s="32">
        <v>2035</v>
      </c>
      <c r="S1589" s="43" t="str">
        <f t="shared" si="196"/>
        <v>*0.93</v>
      </c>
      <c r="U1589" s="32" t="s">
        <v>2463</v>
      </c>
      <c r="V1589" s="42" t="s">
        <v>57</v>
      </c>
      <c r="W1589" s="32">
        <v>2050</v>
      </c>
      <c r="X1589" s="43" t="str">
        <f t="shared" si="197"/>
        <v>*0.9</v>
      </c>
      <c r="AC1589" s="33" t="s">
        <v>2463</v>
      </c>
      <c r="AD1589" s="44" t="s">
        <v>57</v>
      </c>
      <c r="AE1589" s="33">
        <v>2035</v>
      </c>
      <c r="AF1589" s="45" t="str">
        <f t="shared" si="198"/>
        <v>*0.9</v>
      </c>
      <c r="AG1589" s="43" t="str">
        <f t="shared" si="200"/>
        <v>REZoning_Sol-Win</v>
      </c>
      <c r="AI1589" s="33" t="s">
        <v>2463</v>
      </c>
      <c r="AJ1589" s="44" t="s">
        <v>57</v>
      </c>
      <c r="AK1589" s="33">
        <v>2050</v>
      </c>
      <c r="AL1589" s="45" t="str">
        <f t="shared" si="199"/>
        <v>*0.86</v>
      </c>
      <c r="AM1589" s="43" t="str">
        <f t="shared" si="201"/>
        <v>REZoning_Sol-Win</v>
      </c>
      <c r="AP1589" t="s">
        <v>2463</v>
      </c>
      <c r="AQ1589" t="s">
        <v>57</v>
      </c>
      <c r="AR1589">
        <v>2100</v>
      </c>
      <c r="AS1589" t="s">
        <v>883</v>
      </c>
      <c r="AT1589" t="s">
        <v>58</v>
      </c>
    </row>
    <row r="1590" ht="29" spans="1:46">
      <c r="A1590" s="31" t="s">
        <v>65</v>
      </c>
      <c r="C1590" t="s">
        <v>2464</v>
      </c>
      <c r="D1590" s="5" t="s">
        <v>57</v>
      </c>
      <c r="E1590">
        <v>2035</v>
      </c>
      <c r="F1590" s="6" t="str">
        <f t="shared" si="194"/>
        <v>*0.94</v>
      </c>
      <c r="H1590" t="s">
        <v>2464</v>
      </c>
      <c r="I1590" s="5" t="s">
        <v>57</v>
      </c>
      <c r="J1590">
        <v>2050</v>
      </c>
      <c r="K1590" s="38" t="str">
        <f t="shared" si="195"/>
        <v>*0.91</v>
      </c>
      <c r="P1590" s="32" t="s">
        <v>2464</v>
      </c>
      <c r="Q1590" s="42" t="s">
        <v>57</v>
      </c>
      <c r="R1590" s="32">
        <v>2035</v>
      </c>
      <c r="S1590" s="43" t="str">
        <f t="shared" si="196"/>
        <v>*0.93</v>
      </c>
      <c r="U1590" s="32" t="s">
        <v>2464</v>
      </c>
      <c r="V1590" s="42" t="s">
        <v>57</v>
      </c>
      <c r="W1590" s="32">
        <v>2050</v>
      </c>
      <c r="X1590" s="43" t="str">
        <f t="shared" si="197"/>
        <v>*0.9</v>
      </c>
      <c r="AC1590" s="33" t="s">
        <v>2464</v>
      </c>
      <c r="AD1590" s="44" t="s">
        <v>57</v>
      </c>
      <c r="AE1590" s="33">
        <v>2035</v>
      </c>
      <c r="AF1590" s="45" t="str">
        <f t="shared" si="198"/>
        <v>*0.9</v>
      </c>
      <c r="AG1590" s="43" t="str">
        <f t="shared" si="200"/>
        <v>REZoning_Sol-Win</v>
      </c>
      <c r="AI1590" s="33" t="s">
        <v>2464</v>
      </c>
      <c r="AJ1590" s="44" t="s">
        <v>57</v>
      </c>
      <c r="AK1590" s="33">
        <v>2050</v>
      </c>
      <c r="AL1590" s="45" t="str">
        <f t="shared" si="199"/>
        <v>*0.86</v>
      </c>
      <c r="AM1590" s="43" t="str">
        <f t="shared" si="201"/>
        <v>REZoning_Sol-Win</v>
      </c>
      <c r="AP1590" t="s">
        <v>2464</v>
      </c>
      <c r="AQ1590" t="s">
        <v>57</v>
      </c>
      <c r="AR1590">
        <v>2100</v>
      </c>
      <c r="AS1590" t="s">
        <v>883</v>
      </c>
      <c r="AT1590" t="s">
        <v>58</v>
      </c>
    </row>
    <row r="1591" ht="29" spans="1:46">
      <c r="A1591" s="31" t="s">
        <v>65</v>
      </c>
      <c r="C1591" t="s">
        <v>2465</v>
      </c>
      <c r="D1591" s="5" t="s">
        <v>57</v>
      </c>
      <c r="E1591">
        <v>2035</v>
      </c>
      <c r="F1591" s="6" t="str">
        <f t="shared" si="194"/>
        <v>*0.94</v>
      </c>
      <c r="H1591" t="s">
        <v>2465</v>
      </c>
      <c r="I1591" s="5" t="s">
        <v>57</v>
      </c>
      <c r="J1591">
        <v>2050</v>
      </c>
      <c r="K1591" s="38" t="str">
        <f t="shared" si="195"/>
        <v>*0.91</v>
      </c>
      <c r="P1591" s="32" t="s">
        <v>2465</v>
      </c>
      <c r="Q1591" s="42" t="s">
        <v>57</v>
      </c>
      <c r="R1591" s="32">
        <v>2035</v>
      </c>
      <c r="S1591" s="43" t="str">
        <f t="shared" si="196"/>
        <v>*0.93</v>
      </c>
      <c r="U1591" s="32" t="s">
        <v>2465</v>
      </c>
      <c r="V1591" s="42" t="s">
        <v>57</v>
      </c>
      <c r="W1591" s="32">
        <v>2050</v>
      </c>
      <c r="X1591" s="43" t="str">
        <f t="shared" si="197"/>
        <v>*0.9</v>
      </c>
      <c r="AC1591" s="33" t="s">
        <v>2465</v>
      </c>
      <c r="AD1591" s="44" t="s">
        <v>57</v>
      </c>
      <c r="AE1591" s="33">
        <v>2035</v>
      </c>
      <c r="AF1591" s="45" t="str">
        <f t="shared" si="198"/>
        <v>*0.9</v>
      </c>
      <c r="AG1591" s="43" t="str">
        <f t="shared" si="200"/>
        <v>REZoning_Sol-Win</v>
      </c>
      <c r="AI1591" s="33" t="s">
        <v>2465</v>
      </c>
      <c r="AJ1591" s="44" t="s">
        <v>57</v>
      </c>
      <c r="AK1591" s="33">
        <v>2050</v>
      </c>
      <c r="AL1591" s="45" t="str">
        <f t="shared" si="199"/>
        <v>*0.86</v>
      </c>
      <c r="AM1591" s="43" t="str">
        <f t="shared" si="201"/>
        <v>REZoning_Sol-Win</v>
      </c>
      <c r="AP1591" t="s">
        <v>2465</v>
      </c>
      <c r="AQ1591" t="s">
        <v>57</v>
      </c>
      <c r="AR1591">
        <v>2100</v>
      </c>
      <c r="AS1591" t="s">
        <v>883</v>
      </c>
      <c r="AT1591" t="s">
        <v>58</v>
      </c>
    </row>
    <row r="1592" ht="29" spans="1:46">
      <c r="A1592" s="31" t="s">
        <v>65</v>
      </c>
      <c r="C1592" t="s">
        <v>2466</v>
      </c>
      <c r="D1592" s="5" t="s">
        <v>57</v>
      </c>
      <c r="E1592">
        <v>2035</v>
      </c>
      <c r="F1592" s="6" t="str">
        <f t="shared" si="194"/>
        <v>*0.94</v>
      </c>
      <c r="H1592" t="s">
        <v>2466</v>
      </c>
      <c r="I1592" s="5" t="s">
        <v>57</v>
      </c>
      <c r="J1592">
        <v>2050</v>
      </c>
      <c r="K1592" s="38" t="str">
        <f t="shared" si="195"/>
        <v>*0.91</v>
      </c>
      <c r="P1592" s="32" t="s">
        <v>2466</v>
      </c>
      <c r="Q1592" s="42" t="s">
        <v>57</v>
      </c>
      <c r="R1592" s="32">
        <v>2035</v>
      </c>
      <c r="S1592" s="43" t="str">
        <f t="shared" si="196"/>
        <v>*0.93</v>
      </c>
      <c r="U1592" s="32" t="s">
        <v>2466</v>
      </c>
      <c r="V1592" s="42" t="s">
        <v>57</v>
      </c>
      <c r="W1592" s="32">
        <v>2050</v>
      </c>
      <c r="X1592" s="43" t="str">
        <f t="shared" si="197"/>
        <v>*0.9</v>
      </c>
      <c r="AC1592" s="33" t="s">
        <v>2466</v>
      </c>
      <c r="AD1592" s="44" t="s">
        <v>57</v>
      </c>
      <c r="AE1592" s="33">
        <v>2035</v>
      </c>
      <c r="AF1592" s="45" t="str">
        <f t="shared" si="198"/>
        <v>*0.9</v>
      </c>
      <c r="AG1592" s="43" t="str">
        <f t="shared" si="200"/>
        <v>REZoning_Sol-Win</v>
      </c>
      <c r="AI1592" s="33" t="s">
        <v>2466</v>
      </c>
      <c r="AJ1592" s="44" t="s">
        <v>57</v>
      </c>
      <c r="AK1592" s="33">
        <v>2050</v>
      </c>
      <c r="AL1592" s="45" t="str">
        <f t="shared" si="199"/>
        <v>*0.86</v>
      </c>
      <c r="AM1592" s="43" t="str">
        <f t="shared" si="201"/>
        <v>REZoning_Sol-Win</v>
      </c>
      <c r="AP1592" t="s">
        <v>2466</v>
      </c>
      <c r="AQ1592" t="s">
        <v>57</v>
      </c>
      <c r="AR1592">
        <v>2100</v>
      </c>
      <c r="AS1592" t="s">
        <v>883</v>
      </c>
      <c r="AT1592" t="s">
        <v>58</v>
      </c>
    </row>
    <row r="1593" ht="29" spans="1:46">
      <c r="A1593" s="31" t="s">
        <v>65</v>
      </c>
      <c r="C1593" t="s">
        <v>2467</v>
      </c>
      <c r="D1593" s="5" t="s">
        <v>57</v>
      </c>
      <c r="E1593">
        <v>2035</v>
      </c>
      <c r="F1593" s="6" t="str">
        <f t="shared" si="194"/>
        <v>*0.94</v>
      </c>
      <c r="H1593" t="s">
        <v>2467</v>
      </c>
      <c r="I1593" s="5" t="s">
        <v>57</v>
      </c>
      <c r="J1593">
        <v>2050</v>
      </c>
      <c r="K1593" s="38" t="str">
        <f t="shared" si="195"/>
        <v>*0.91</v>
      </c>
      <c r="P1593" s="32" t="s">
        <v>2467</v>
      </c>
      <c r="Q1593" s="42" t="s">
        <v>57</v>
      </c>
      <c r="R1593" s="32">
        <v>2035</v>
      </c>
      <c r="S1593" s="43" t="str">
        <f t="shared" si="196"/>
        <v>*0.93</v>
      </c>
      <c r="U1593" s="32" t="s">
        <v>2467</v>
      </c>
      <c r="V1593" s="42" t="s">
        <v>57</v>
      </c>
      <c r="W1593" s="32">
        <v>2050</v>
      </c>
      <c r="X1593" s="43" t="str">
        <f t="shared" si="197"/>
        <v>*0.9</v>
      </c>
      <c r="AC1593" s="33" t="s">
        <v>2467</v>
      </c>
      <c r="AD1593" s="44" t="s">
        <v>57</v>
      </c>
      <c r="AE1593" s="33">
        <v>2035</v>
      </c>
      <c r="AF1593" s="45" t="str">
        <f t="shared" si="198"/>
        <v>*0.9</v>
      </c>
      <c r="AG1593" s="43" t="str">
        <f t="shared" si="200"/>
        <v>REZoning_Sol-Win</v>
      </c>
      <c r="AI1593" s="33" t="s">
        <v>2467</v>
      </c>
      <c r="AJ1593" s="44" t="s">
        <v>57</v>
      </c>
      <c r="AK1593" s="33">
        <v>2050</v>
      </c>
      <c r="AL1593" s="45" t="str">
        <f t="shared" si="199"/>
        <v>*0.86</v>
      </c>
      <c r="AM1593" s="43" t="str">
        <f t="shared" si="201"/>
        <v>REZoning_Sol-Win</v>
      </c>
      <c r="AP1593" t="s">
        <v>2467</v>
      </c>
      <c r="AQ1593" t="s">
        <v>57</v>
      </c>
      <c r="AR1593">
        <v>2100</v>
      </c>
      <c r="AS1593" t="s">
        <v>883</v>
      </c>
      <c r="AT1593" t="s">
        <v>58</v>
      </c>
    </row>
    <row r="1594" ht="29" spans="1:46">
      <c r="A1594" s="31" t="s">
        <v>65</v>
      </c>
      <c r="C1594" t="s">
        <v>2468</v>
      </c>
      <c r="D1594" s="5" t="s">
        <v>57</v>
      </c>
      <c r="E1594">
        <v>2035</v>
      </c>
      <c r="F1594" s="6" t="str">
        <f t="shared" si="194"/>
        <v>*0.94</v>
      </c>
      <c r="H1594" t="s">
        <v>2468</v>
      </c>
      <c r="I1594" s="5" t="s">
        <v>57</v>
      </c>
      <c r="J1594">
        <v>2050</v>
      </c>
      <c r="K1594" s="38" t="str">
        <f t="shared" si="195"/>
        <v>*0.91</v>
      </c>
      <c r="P1594" s="32" t="s">
        <v>2468</v>
      </c>
      <c r="Q1594" s="42" t="s">
        <v>57</v>
      </c>
      <c r="R1594" s="32">
        <v>2035</v>
      </c>
      <c r="S1594" s="43" t="str">
        <f t="shared" si="196"/>
        <v>*0.93</v>
      </c>
      <c r="U1594" s="32" t="s">
        <v>2468</v>
      </c>
      <c r="V1594" s="42" t="s">
        <v>57</v>
      </c>
      <c r="W1594" s="32">
        <v>2050</v>
      </c>
      <c r="X1594" s="43" t="str">
        <f t="shared" si="197"/>
        <v>*0.9</v>
      </c>
      <c r="AC1594" s="33" t="s">
        <v>2468</v>
      </c>
      <c r="AD1594" s="44" t="s">
        <v>57</v>
      </c>
      <c r="AE1594" s="33">
        <v>2035</v>
      </c>
      <c r="AF1594" s="45" t="str">
        <f t="shared" si="198"/>
        <v>*0.9</v>
      </c>
      <c r="AG1594" s="43" t="str">
        <f t="shared" si="200"/>
        <v>REZoning_Sol-Win</v>
      </c>
      <c r="AI1594" s="33" t="s">
        <v>2468</v>
      </c>
      <c r="AJ1594" s="44" t="s">
        <v>57</v>
      </c>
      <c r="AK1594" s="33">
        <v>2050</v>
      </c>
      <c r="AL1594" s="45" t="str">
        <f t="shared" si="199"/>
        <v>*0.86</v>
      </c>
      <c r="AM1594" s="43" t="str">
        <f t="shared" si="201"/>
        <v>REZoning_Sol-Win</v>
      </c>
      <c r="AP1594" t="s">
        <v>2468</v>
      </c>
      <c r="AQ1594" t="s">
        <v>57</v>
      </c>
      <c r="AR1594">
        <v>2100</v>
      </c>
      <c r="AS1594" t="s">
        <v>883</v>
      </c>
      <c r="AT1594" t="s">
        <v>58</v>
      </c>
    </row>
    <row r="1595" ht="29" spans="1:46">
      <c r="A1595" s="31" t="s">
        <v>65</v>
      </c>
      <c r="C1595" t="s">
        <v>2469</v>
      </c>
      <c r="D1595" s="5" t="s">
        <v>57</v>
      </c>
      <c r="E1595">
        <v>2035</v>
      </c>
      <c r="F1595" s="6" t="str">
        <f t="shared" si="194"/>
        <v>*0.94</v>
      </c>
      <c r="H1595" t="s">
        <v>2469</v>
      </c>
      <c r="I1595" s="5" t="s">
        <v>57</v>
      </c>
      <c r="J1595">
        <v>2050</v>
      </c>
      <c r="K1595" s="38" t="str">
        <f t="shared" si="195"/>
        <v>*0.91</v>
      </c>
      <c r="P1595" s="32" t="s">
        <v>2469</v>
      </c>
      <c r="Q1595" s="42" t="s">
        <v>57</v>
      </c>
      <c r="R1595" s="32">
        <v>2035</v>
      </c>
      <c r="S1595" s="43" t="str">
        <f t="shared" si="196"/>
        <v>*0.93</v>
      </c>
      <c r="U1595" s="32" t="s">
        <v>2469</v>
      </c>
      <c r="V1595" s="42" t="s">
        <v>57</v>
      </c>
      <c r="W1595" s="32">
        <v>2050</v>
      </c>
      <c r="X1595" s="43" t="str">
        <f t="shared" si="197"/>
        <v>*0.9</v>
      </c>
      <c r="AC1595" s="33" t="s">
        <v>2469</v>
      </c>
      <c r="AD1595" s="44" t="s">
        <v>57</v>
      </c>
      <c r="AE1595" s="33">
        <v>2035</v>
      </c>
      <c r="AF1595" s="45" t="str">
        <f t="shared" si="198"/>
        <v>*0.9</v>
      </c>
      <c r="AG1595" s="43" t="str">
        <f t="shared" si="200"/>
        <v>REZoning_Sol-Win</v>
      </c>
      <c r="AI1595" s="33" t="s">
        <v>2469</v>
      </c>
      <c r="AJ1595" s="44" t="s">
        <v>57</v>
      </c>
      <c r="AK1595" s="33">
        <v>2050</v>
      </c>
      <c r="AL1595" s="45" t="str">
        <f t="shared" si="199"/>
        <v>*0.86</v>
      </c>
      <c r="AM1595" s="43" t="str">
        <f t="shared" si="201"/>
        <v>REZoning_Sol-Win</v>
      </c>
      <c r="AP1595" t="s">
        <v>2469</v>
      </c>
      <c r="AQ1595" t="s">
        <v>57</v>
      </c>
      <c r="AR1595">
        <v>2100</v>
      </c>
      <c r="AS1595" t="s">
        <v>883</v>
      </c>
      <c r="AT1595" t="s">
        <v>58</v>
      </c>
    </row>
    <row r="1596" ht="29" spans="1:46">
      <c r="A1596" s="31" t="s">
        <v>65</v>
      </c>
      <c r="C1596" t="s">
        <v>2470</v>
      </c>
      <c r="D1596" s="5" t="s">
        <v>57</v>
      </c>
      <c r="E1596">
        <v>2035</v>
      </c>
      <c r="F1596" s="6" t="str">
        <f t="shared" si="194"/>
        <v>*0.94</v>
      </c>
      <c r="H1596" t="s">
        <v>2470</v>
      </c>
      <c r="I1596" s="5" t="s">
        <v>57</v>
      </c>
      <c r="J1596">
        <v>2050</v>
      </c>
      <c r="K1596" s="38" t="str">
        <f t="shared" si="195"/>
        <v>*0.91</v>
      </c>
      <c r="P1596" s="32" t="s">
        <v>2470</v>
      </c>
      <c r="Q1596" s="42" t="s">
        <v>57</v>
      </c>
      <c r="R1596" s="32">
        <v>2035</v>
      </c>
      <c r="S1596" s="43" t="str">
        <f t="shared" si="196"/>
        <v>*0.93</v>
      </c>
      <c r="U1596" s="32" t="s">
        <v>2470</v>
      </c>
      <c r="V1596" s="42" t="s">
        <v>57</v>
      </c>
      <c r="W1596" s="32">
        <v>2050</v>
      </c>
      <c r="X1596" s="43" t="str">
        <f t="shared" si="197"/>
        <v>*0.9</v>
      </c>
      <c r="AC1596" s="33" t="s">
        <v>2470</v>
      </c>
      <c r="AD1596" s="44" t="s">
        <v>57</v>
      </c>
      <c r="AE1596" s="33">
        <v>2035</v>
      </c>
      <c r="AF1596" s="45" t="str">
        <f t="shared" si="198"/>
        <v>*0.9</v>
      </c>
      <c r="AG1596" s="43" t="str">
        <f t="shared" si="200"/>
        <v>REZoning_Sol-Win</v>
      </c>
      <c r="AI1596" s="33" t="s">
        <v>2470</v>
      </c>
      <c r="AJ1596" s="44" t="s">
        <v>57</v>
      </c>
      <c r="AK1596" s="33">
        <v>2050</v>
      </c>
      <c r="AL1596" s="45" t="str">
        <f t="shared" si="199"/>
        <v>*0.86</v>
      </c>
      <c r="AM1596" s="43" t="str">
        <f t="shared" si="201"/>
        <v>REZoning_Sol-Win</v>
      </c>
      <c r="AP1596" t="s">
        <v>2470</v>
      </c>
      <c r="AQ1596" t="s">
        <v>57</v>
      </c>
      <c r="AR1596">
        <v>2100</v>
      </c>
      <c r="AS1596" t="s">
        <v>883</v>
      </c>
      <c r="AT1596" t="s">
        <v>58</v>
      </c>
    </row>
    <row r="1597" ht="29" spans="1:46">
      <c r="A1597" s="31" t="s">
        <v>65</v>
      </c>
      <c r="C1597" t="s">
        <v>2471</v>
      </c>
      <c r="D1597" s="5" t="s">
        <v>57</v>
      </c>
      <c r="E1597">
        <v>2035</v>
      </c>
      <c r="F1597" s="6" t="str">
        <f t="shared" si="194"/>
        <v>*0.94</v>
      </c>
      <c r="H1597" t="s">
        <v>2471</v>
      </c>
      <c r="I1597" s="5" t="s">
        <v>57</v>
      </c>
      <c r="J1597">
        <v>2050</v>
      </c>
      <c r="K1597" s="38" t="str">
        <f t="shared" si="195"/>
        <v>*0.91</v>
      </c>
      <c r="P1597" s="32" t="s">
        <v>2471</v>
      </c>
      <c r="Q1597" s="42" t="s">
        <v>57</v>
      </c>
      <c r="R1597" s="32">
        <v>2035</v>
      </c>
      <c r="S1597" s="43" t="str">
        <f t="shared" si="196"/>
        <v>*0.93</v>
      </c>
      <c r="U1597" s="32" t="s">
        <v>2471</v>
      </c>
      <c r="V1597" s="42" t="s">
        <v>57</v>
      </c>
      <c r="W1597" s="32">
        <v>2050</v>
      </c>
      <c r="X1597" s="43" t="str">
        <f t="shared" si="197"/>
        <v>*0.9</v>
      </c>
      <c r="AC1597" s="33" t="s">
        <v>2471</v>
      </c>
      <c r="AD1597" s="44" t="s">
        <v>57</v>
      </c>
      <c r="AE1597" s="33">
        <v>2035</v>
      </c>
      <c r="AF1597" s="45" t="str">
        <f t="shared" si="198"/>
        <v>*0.9</v>
      </c>
      <c r="AG1597" s="43" t="str">
        <f t="shared" si="200"/>
        <v>REZoning_Sol-Win</v>
      </c>
      <c r="AI1597" s="33" t="s">
        <v>2471</v>
      </c>
      <c r="AJ1597" s="44" t="s">
        <v>57</v>
      </c>
      <c r="AK1597" s="33">
        <v>2050</v>
      </c>
      <c r="AL1597" s="45" t="str">
        <f t="shared" si="199"/>
        <v>*0.86</v>
      </c>
      <c r="AM1597" s="43" t="str">
        <f t="shared" si="201"/>
        <v>REZoning_Sol-Win</v>
      </c>
      <c r="AP1597" t="s">
        <v>2471</v>
      </c>
      <c r="AQ1597" t="s">
        <v>57</v>
      </c>
      <c r="AR1597">
        <v>2100</v>
      </c>
      <c r="AS1597" t="s">
        <v>883</v>
      </c>
      <c r="AT1597" t="s">
        <v>58</v>
      </c>
    </row>
    <row r="1598" ht="29" spans="1:46">
      <c r="A1598" s="31" t="s">
        <v>65</v>
      </c>
      <c r="C1598" t="s">
        <v>2472</v>
      </c>
      <c r="D1598" s="5" t="s">
        <v>57</v>
      </c>
      <c r="E1598">
        <v>2035</v>
      </c>
      <c r="F1598" s="6" t="str">
        <f t="shared" si="194"/>
        <v>*0.94</v>
      </c>
      <c r="H1598" t="s">
        <v>2472</v>
      </c>
      <c r="I1598" s="5" t="s">
        <v>57</v>
      </c>
      <c r="J1598">
        <v>2050</v>
      </c>
      <c r="K1598" s="38" t="str">
        <f t="shared" si="195"/>
        <v>*0.91</v>
      </c>
      <c r="P1598" s="32" t="s">
        <v>2472</v>
      </c>
      <c r="Q1598" s="42" t="s">
        <v>57</v>
      </c>
      <c r="R1598" s="32">
        <v>2035</v>
      </c>
      <c r="S1598" s="43" t="str">
        <f t="shared" si="196"/>
        <v>*0.93</v>
      </c>
      <c r="U1598" s="32" t="s">
        <v>2472</v>
      </c>
      <c r="V1598" s="42" t="s">
        <v>57</v>
      </c>
      <c r="W1598" s="32">
        <v>2050</v>
      </c>
      <c r="X1598" s="43" t="str">
        <f t="shared" si="197"/>
        <v>*0.9</v>
      </c>
      <c r="AC1598" s="33" t="s">
        <v>2472</v>
      </c>
      <c r="AD1598" s="44" t="s">
        <v>57</v>
      </c>
      <c r="AE1598" s="33">
        <v>2035</v>
      </c>
      <c r="AF1598" s="45" t="str">
        <f t="shared" si="198"/>
        <v>*0.9</v>
      </c>
      <c r="AG1598" s="43" t="str">
        <f t="shared" si="200"/>
        <v>REZoning_Sol-Win</v>
      </c>
      <c r="AI1598" s="33" t="s">
        <v>2472</v>
      </c>
      <c r="AJ1598" s="44" t="s">
        <v>57</v>
      </c>
      <c r="AK1598" s="33">
        <v>2050</v>
      </c>
      <c r="AL1598" s="45" t="str">
        <f t="shared" si="199"/>
        <v>*0.86</v>
      </c>
      <c r="AM1598" s="43" t="str">
        <f t="shared" si="201"/>
        <v>REZoning_Sol-Win</v>
      </c>
      <c r="AP1598" t="s">
        <v>2472</v>
      </c>
      <c r="AQ1598" t="s">
        <v>57</v>
      </c>
      <c r="AR1598">
        <v>2100</v>
      </c>
      <c r="AS1598" t="s">
        <v>883</v>
      </c>
      <c r="AT1598" t="s">
        <v>58</v>
      </c>
    </row>
    <row r="1599" ht="29" spans="1:46">
      <c r="A1599" s="31" t="s">
        <v>65</v>
      </c>
      <c r="C1599" t="s">
        <v>2473</v>
      </c>
      <c r="D1599" s="5" t="s">
        <v>57</v>
      </c>
      <c r="E1599">
        <v>2035</v>
      </c>
      <c r="F1599" s="6" t="str">
        <f t="shared" si="194"/>
        <v>*0.94</v>
      </c>
      <c r="H1599" t="s">
        <v>2473</v>
      </c>
      <c r="I1599" s="5" t="s">
        <v>57</v>
      </c>
      <c r="J1599">
        <v>2050</v>
      </c>
      <c r="K1599" s="38" t="str">
        <f t="shared" si="195"/>
        <v>*0.91</v>
      </c>
      <c r="P1599" s="32" t="s">
        <v>2473</v>
      </c>
      <c r="Q1599" s="42" t="s">
        <v>57</v>
      </c>
      <c r="R1599" s="32">
        <v>2035</v>
      </c>
      <c r="S1599" s="43" t="str">
        <f t="shared" si="196"/>
        <v>*0.93</v>
      </c>
      <c r="U1599" s="32" t="s">
        <v>2473</v>
      </c>
      <c r="V1599" s="42" t="s">
        <v>57</v>
      </c>
      <c r="W1599" s="32">
        <v>2050</v>
      </c>
      <c r="X1599" s="43" t="str">
        <f t="shared" si="197"/>
        <v>*0.9</v>
      </c>
      <c r="AC1599" s="33" t="s">
        <v>2473</v>
      </c>
      <c r="AD1599" s="44" t="s">
        <v>57</v>
      </c>
      <c r="AE1599" s="33">
        <v>2035</v>
      </c>
      <c r="AF1599" s="45" t="str">
        <f t="shared" si="198"/>
        <v>*0.9</v>
      </c>
      <c r="AG1599" s="43" t="str">
        <f t="shared" si="200"/>
        <v>REZoning_Sol-Win</v>
      </c>
      <c r="AI1599" s="33" t="s">
        <v>2473</v>
      </c>
      <c r="AJ1599" s="44" t="s">
        <v>57</v>
      </c>
      <c r="AK1599" s="33">
        <v>2050</v>
      </c>
      <c r="AL1599" s="45" t="str">
        <f t="shared" si="199"/>
        <v>*0.86</v>
      </c>
      <c r="AM1599" s="43" t="str">
        <f t="shared" si="201"/>
        <v>REZoning_Sol-Win</v>
      </c>
      <c r="AP1599" t="s">
        <v>2473</v>
      </c>
      <c r="AQ1599" t="s">
        <v>57</v>
      </c>
      <c r="AR1599">
        <v>2100</v>
      </c>
      <c r="AS1599" t="s">
        <v>883</v>
      </c>
      <c r="AT1599" t="s">
        <v>58</v>
      </c>
    </row>
    <row r="1600" ht="29" spans="1:46">
      <c r="A1600" s="31" t="s">
        <v>65</v>
      </c>
      <c r="C1600" t="s">
        <v>2474</v>
      </c>
      <c r="D1600" s="5" t="s">
        <v>57</v>
      </c>
      <c r="E1600">
        <v>2035</v>
      </c>
      <c r="F1600" s="6" t="str">
        <f t="shared" si="194"/>
        <v>*0.94</v>
      </c>
      <c r="H1600" t="s">
        <v>2474</v>
      </c>
      <c r="I1600" s="5" t="s">
        <v>57</v>
      </c>
      <c r="J1600">
        <v>2050</v>
      </c>
      <c r="K1600" s="38" t="str">
        <f t="shared" si="195"/>
        <v>*0.91</v>
      </c>
      <c r="P1600" s="32" t="s">
        <v>2474</v>
      </c>
      <c r="Q1600" s="42" t="s">
        <v>57</v>
      </c>
      <c r="R1600" s="32">
        <v>2035</v>
      </c>
      <c r="S1600" s="43" t="str">
        <f t="shared" si="196"/>
        <v>*0.93</v>
      </c>
      <c r="U1600" s="32" t="s">
        <v>2474</v>
      </c>
      <c r="V1600" s="42" t="s">
        <v>57</v>
      </c>
      <c r="W1600" s="32">
        <v>2050</v>
      </c>
      <c r="X1600" s="43" t="str">
        <f t="shared" si="197"/>
        <v>*0.9</v>
      </c>
      <c r="AC1600" s="33" t="s">
        <v>2474</v>
      </c>
      <c r="AD1600" s="44" t="s">
        <v>57</v>
      </c>
      <c r="AE1600" s="33">
        <v>2035</v>
      </c>
      <c r="AF1600" s="45" t="str">
        <f t="shared" si="198"/>
        <v>*0.9</v>
      </c>
      <c r="AG1600" s="43" t="str">
        <f t="shared" si="200"/>
        <v>REZoning_Sol-Win</v>
      </c>
      <c r="AI1600" s="33" t="s">
        <v>2474</v>
      </c>
      <c r="AJ1600" s="44" t="s">
        <v>57</v>
      </c>
      <c r="AK1600" s="33">
        <v>2050</v>
      </c>
      <c r="AL1600" s="45" t="str">
        <f t="shared" si="199"/>
        <v>*0.86</v>
      </c>
      <c r="AM1600" s="43" t="str">
        <f t="shared" si="201"/>
        <v>REZoning_Sol-Win</v>
      </c>
      <c r="AP1600" t="s">
        <v>2474</v>
      </c>
      <c r="AQ1600" t="s">
        <v>57</v>
      </c>
      <c r="AR1600">
        <v>2100</v>
      </c>
      <c r="AS1600" t="s">
        <v>883</v>
      </c>
      <c r="AT1600" t="s">
        <v>58</v>
      </c>
    </row>
    <row r="1601" ht="29" spans="1:46">
      <c r="A1601" s="31" t="s">
        <v>65</v>
      </c>
      <c r="C1601" t="s">
        <v>2475</v>
      </c>
      <c r="D1601" s="5" t="s">
        <v>57</v>
      </c>
      <c r="E1601">
        <v>2035</v>
      </c>
      <c r="F1601" s="6" t="str">
        <f t="shared" si="194"/>
        <v>*0.94</v>
      </c>
      <c r="H1601" t="s">
        <v>2475</v>
      </c>
      <c r="I1601" s="5" t="s">
        <v>57</v>
      </c>
      <c r="J1601">
        <v>2050</v>
      </c>
      <c r="K1601" s="38" t="str">
        <f t="shared" si="195"/>
        <v>*0.91</v>
      </c>
      <c r="P1601" s="32" t="s">
        <v>2475</v>
      </c>
      <c r="Q1601" s="42" t="s">
        <v>57</v>
      </c>
      <c r="R1601" s="32">
        <v>2035</v>
      </c>
      <c r="S1601" s="43" t="str">
        <f t="shared" si="196"/>
        <v>*0.93</v>
      </c>
      <c r="U1601" s="32" t="s">
        <v>2475</v>
      </c>
      <c r="V1601" s="42" t="s">
        <v>57</v>
      </c>
      <c r="W1601" s="32">
        <v>2050</v>
      </c>
      <c r="X1601" s="43" t="str">
        <f t="shared" si="197"/>
        <v>*0.9</v>
      </c>
      <c r="AC1601" s="33" t="s">
        <v>2475</v>
      </c>
      <c r="AD1601" s="44" t="s">
        <v>57</v>
      </c>
      <c r="AE1601" s="33">
        <v>2035</v>
      </c>
      <c r="AF1601" s="45" t="str">
        <f t="shared" si="198"/>
        <v>*0.9</v>
      </c>
      <c r="AG1601" s="43" t="str">
        <f t="shared" si="200"/>
        <v>REZoning_Sol-Win</v>
      </c>
      <c r="AI1601" s="33" t="s">
        <v>2475</v>
      </c>
      <c r="AJ1601" s="44" t="s">
        <v>57</v>
      </c>
      <c r="AK1601" s="33">
        <v>2050</v>
      </c>
      <c r="AL1601" s="45" t="str">
        <f t="shared" si="199"/>
        <v>*0.86</v>
      </c>
      <c r="AM1601" s="43" t="str">
        <f t="shared" si="201"/>
        <v>REZoning_Sol-Win</v>
      </c>
      <c r="AP1601" t="s">
        <v>2475</v>
      </c>
      <c r="AQ1601" t="s">
        <v>57</v>
      </c>
      <c r="AR1601">
        <v>2100</v>
      </c>
      <c r="AS1601" t="s">
        <v>883</v>
      </c>
      <c r="AT1601" t="s">
        <v>58</v>
      </c>
    </row>
    <row r="1602" ht="29" spans="1:46">
      <c r="A1602" s="31" t="s">
        <v>65</v>
      </c>
      <c r="C1602" t="s">
        <v>2476</v>
      </c>
      <c r="D1602" s="5" t="s">
        <v>57</v>
      </c>
      <c r="E1602">
        <v>2035</v>
      </c>
      <c r="F1602" s="6" t="str">
        <f t="shared" si="194"/>
        <v>*0.94</v>
      </c>
      <c r="H1602" t="s">
        <v>2476</v>
      </c>
      <c r="I1602" s="5" t="s">
        <v>57</v>
      </c>
      <c r="J1602">
        <v>2050</v>
      </c>
      <c r="K1602" s="38" t="str">
        <f t="shared" si="195"/>
        <v>*0.91</v>
      </c>
      <c r="P1602" s="32" t="s">
        <v>2476</v>
      </c>
      <c r="Q1602" s="42" t="s">
        <v>57</v>
      </c>
      <c r="R1602" s="32">
        <v>2035</v>
      </c>
      <c r="S1602" s="43" t="str">
        <f t="shared" si="196"/>
        <v>*0.93</v>
      </c>
      <c r="U1602" s="32" t="s">
        <v>2476</v>
      </c>
      <c r="V1602" s="42" t="s">
        <v>57</v>
      </c>
      <c r="W1602" s="32">
        <v>2050</v>
      </c>
      <c r="X1602" s="43" t="str">
        <f t="shared" si="197"/>
        <v>*0.9</v>
      </c>
      <c r="AC1602" s="33" t="s">
        <v>2476</v>
      </c>
      <c r="AD1602" s="44" t="s">
        <v>57</v>
      </c>
      <c r="AE1602" s="33">
        <v>2035</v>
      </c>
      <c r="AF1602" s="45" t="str">
        <f t="shared" si="198"/>
        <v>*0.9</v>
      </c>
      <c r="AG1602" s="43" t="str">
        <f t="shared" si="200"/>
        <v>REZoning_Sol-Win</v>
      </c>
      <c r="AI1602" s="33" t="s">
        <v>2476</v>
      </c>
      <c r="AJ1602" s="44" t="s">
        <v>57</v>
      </c>
      <c r="AK1602" s="33">
        <v>2050</v>
      </c>
      <c r="AL1602" s="45" t="str">
        <f t="shared" si="199"/>
        <v>*0.86</v>
      </c>
      <c r="AM1602" s="43" t="str">
        <f t="shared" si="201"/>
        <v>REZoning_Sol-Win</v>
      </c>
      <c r="AP1602" t="s">
        <v>2476</v>
      </c>
      <c r="AQ1602" t="s">
        <v>57</v>
      </c>
      <c r="AR1602">
        <v>2100</v>
      </c>
      <c r="AS1602" t="s">
        <v>883</v>
      </c>
      <c r="AT1602" t="s">
        <v>58</v>
      </c>
    </row>
    <row r="1603" ht="29" spans="1:46">
      <c r="A1603" s="31" t="s">
        <v>65</v>
      </c>
      <c r="C1603" t="s">
        <v>2477</v>
      </c>
      <c r="D1603" s="5" t="s">
        <v>57</v>
      </c>
      <c r="E1603">
        <v>2035</v>
      </c>
      <c r="F1603" s="6" t="str">
        <f t="shared" si="194"/>
        <v>*0.94</v>
      </c>
      <c r="H1603" t="s">
        <v>2477</v>
      </c>
      <c r="I1603" s="5" t="s">
        <v>57</v>
      </c>
      <c r="J1603">
        <v>2050</v>
      </c>
      <c r="K1603" s="38" t="str">
        <f t="shared" si="195"/>
        <v>*0.91</v>
      </c>
      <c r="P1603" s="32" t="s">
        <v>2477</v>
      </c>
      <c r="Q1603" s="42" t="s">
        <v>57</v>
      </c>
      <c r="R1603" s="32">
        <v>2035</v>
      </c>
      <c r="S1603" s="43" t="str">
        <f t="shared" si="196"/>
        <v>*0.93</v>
      </c>
      <c r="U1603" s="32" t="s">
        <v>2477</v>
      </c>
      <c r="V1603" s="42" t="s">
        <v>57</v>
      </c>
      <c r="W1603" s="32">
        <v>2050</v>
      </c>
      <c r="X1603" s="43" t="str">
        <f t="shared" si="197"/>
        <v>*0.9</v>
      </c>
      <c r="AC1603" s="33" t="s">
        <v>2477</v>
      </c>
      <c r="AD1603" s="44" t="s">
        <v>57</v>
      </c>
      <c r="AE1603" s="33">
        <v>2035</v>
      </c>
      <c r="AF1603" s="45" t="str">
        <f t="shared" si="198"/>
        <v>*0.9</v>
      </c>
      <c r="AG1603" s="43" t="str">
        <f t="shared" si="200"/>
        <v>REZoning_Sol-Win</v>
      </c>
      <c r="AI1603" s="33" t="s">
        <v>2477</v>
      </c>
      <c r="AJ1603" s="44" t="s">
        <v>57</v>
      </c>
      <c r="AK1603" s="33">
        <v>2050</v>
      </c>
      <c r="AL1603" s="45" t="str">
        <f t="shared" si="199"/>
        <v>*0.86</v>
      </c>
      <c r="AM1603" s="43" t="str">
        <f t="shared" si="201"/>
        <v>REZoning_Sol-Win</v>
      </c>
      <c r="AP1603" t="s">
        <v>2477</v>
      </c>
      <c r="AQ1603" t="s">
        <v>57</v>
      </c>
      <c r="AR1603">
        <v>2100</v>
      </c>
      <c r="AS1603" t="s">
        <v>883</v>
      </c>
      <c r="AT1603" t="s">
        <v>58</v>
      </c>
    </row>
    <row r="1604" ht="29" spans="1:46">
      <c r="A1604" s="31" t="s">
        <v>65</v>
      </c>
      <c r="C1604" t="s">
        <v>2478</v>
      </c>
      <c r="D1604" s="5" t="s">
        <v>57</v>
      </c>
      <c r="E1604">
        <v>2035</v>
      </c>
      <c r="F1604" s="6" t="str">
        <f t="shared" ref="F1604:F1667" si="202">"*"&amp;IF(AND(A1604="EU",E1604=2035),0.95,IF(AND(A1604="EU",E1604=2050),0.93,IF(AND(A1604="USA",E1604=2035),0.96,IF(AND(A1604="USA",E1604=2050),0.94,IF(AND(A1604="Japan",E1604=2035),0.94,IF(AND(A1604="Japan",E1604=2050),0.92,IF(AND(A1604="Russia",E1604=2035),0.95,IF(AND(A1604="Russia",E1604=2050),0.93,IF(AND(A1604="China",E1604=2035),0.94,IF(AND(A1604="China",E1604=2050),0.92,IF(AND(A1604="India",E1604=2035),0.95,IF(AND(A1604="India",E1604=2050),0.92,IF(AND(A1604="Middle East",E1604=2035),0.94,IF(AND(A1604="Middle East",E1604=2050),0.9,IF(AND(A1604="Africa",E1604=2035),0.94,IF(AND(A1604="Africa",E1604=2050),0.91,IF(AND(A1604="Brazil",E1604=2035),0.95,IF(AND(A1604="Brazil",E1604=2050),0.92,""))))))))))))))))))</f>
        <v>*0.94</v>
      </c>
      <c r="H1604" t="s">
        <v>2478</v>
      </c>
      <c r="I1604" s="5" t="s">
        <v>57</v>
      </c>
      <c r="J1604">
        <v>2050</v>
      </c>
      <c r="K1604" s="38" t="str">
        <f t="shared" ref="K1604:K1667" si="203">"*"&amp;IF(AND(A1604="EU",J1604=2035),0.95,IF(AND(A1604="EU",J1604=2050),0.93,IF(AND(A1604="USA",J1604=2035),0.96,IF(AND(A1604="USA",J1604=2050),0.94,IF(AND(A1604="Japan",J1604=2035),0.94,IF(AND(A1604="Japan",J1604=2050),0.92,IF(AND(A1604="Russia",J1604=2035),0.95,IF(AND(A1604="Russia",J1604=2050),0.93,IF(AND(A1604="China",J1604=2035),0.94,IF(AND(A1604="China",J1604=2050),0.92,IF(AND(A1604="India",J1604=2035),0.95,IF(AND(A1604="India",J1604=2050),0.92,IF(AND(A1604="Middle East",J1604=2035),0.94,IF(AND(A1604="Middle East",J1604=2050),0.9,IF(AND(A1604="Africa",J1604=2035),0.94,IF(AND(A1604="Africa",J1604=2050),0.91,IF(AND(A1604="Brazil",J1604=2035),0.95,IF(AND(A1604="Brazil",J1604=2050),0.92,""))))))))))))))))))</f>
        <v>*0.91</v>
      </c>
      <c r="P1604" s="32" t="s">
        <v>2478</v>
      </c>
      <c r="Q1604" s="42" t="s">
        <v>57</v>
      </c>
      <c r="R1604" s="32">
        <v>2035</v>
      </c>
      <c r="S1604" s="43" t="str">
        <f t="shared" ref="S1604:S1667" si="204">"*"&amp;IF(AND(A1604="EU",R1604=2035),0.95,IF(AND(A1604="EU",R1604=2050),0.93,IF(AND(A1604="USA",R1604=2035),0.96,IF(AND(A1604="USA",R1604=2050),0.93,IF(AND(A1604="Japan",R1604=2035),0.94,IF(AND(A1604="Japan",R1604=2050),0.92,IF(AND(A1604="Russia",R1604=2035),0.95,IF(AND(A1604="Russia",R1604=2050),0.91,IF(AND(A1604="China",R1604=2035),0.93,IF(AND(A1604="China",R1604=2050),0.92,IF(AND(A1604="India",R1604=2035),0.94,IF(AND(A1604="India",R1604=2050),0.91,IF(AND(A1604="Middle East",R1604=2035),0.92,IF(AND(A1604="Middle East",R1604=2050),0.89,IF(AND(A1604="Africa",R1604=2035),0.93,IF(AND(A1604="Africa",R1604=2050),0.9,IF(AND(A1604="Brazil",R1604=2035),0.95,IF(AND(A1604="Brazil",R1604=2050),0.92,""))))))))))))))))))</f>
        <v>*0.93</v>
      </c>
      <c r="U1604" s="32" t="s">
        <v>2478</v>
      </c>
      <c r="V1604" s="42" t="s">
        <v>57</v>
      </c>
      <c r="W1604" s="32">
        <v>2050</v>
      </c>
      <c r="X1604" s="43" t="str">
        <f t="shared" ref="X1604:X1667" si="205">"*"&amp;IF(AND(A1604="EU",W1604=2035),0.95,IF(AND(A1604="EU",W1604=2050),0.93,IF(AND(A1604="USA",W1604=2035),0.96,IF(AND(A1604="USA",W1604=2050),0.93,IF(AND(A1604="Japan",W1604=2035),0.94,IF(AND(A1604="Japan",W1604=2050),0.92,IF(AND(A1604="Russia",W1604=2035),0.95,IF(AND(A1604="Russia",W1604=2050),0.91,IF(AND(A1604="China",W1604=2035),0.93,IF(AND(A1604="China",W1604=2050),0.92,IF(AND(A1604="India",W1604=2035),0.94,IF(AND(A1604="India",W1604=2050),0.91,IF(AND(A1604="Middle East",W1604=2035),0.92,IF(AND(A1604="Middle East",W1604=2050),0.89,IF(AND(A1604="Africa",W1604=2035),0.93,IF(AND(A1604="Africa",W1604=2050),0.9,IF(AND(A1604="Brazil",W1604=2035),0.95,IF(AND(A1604="Brazil",W1604=2050),0.92,""))))))))))))))))))</f>
        <v>*0.9</v>
      </c>
      <c r="AC1604" s="33" t="s">
        <v>2478</v>
      </c>
      <c r="AD1604" s="44" t="s">
        <v>57</v>
      </c>
      <c r="AE1604" s="33">
        <v>2035</v>
      </c>
      <c r="AF1604" s="45" t="str">
        <f t="shared" ref="AF1604:AF1667" si="206">"*"&amp;IF(AND(A1604="EU",AE1604=2035),0.93,IF(AND(A1604="EU",AE1604=2050),0.9,IF(AND(A1604="USA",AE1604=2035),0.92,IF(AND(A1604="USA",AE1604=2050),0.89,IF(AND(A1604="Japan",AE1604=2035),0.92,IF(AND(A1604="Japan",AE1604=2050),0.89,IF(AND(A1604="Russia",AE1604=2035),0.91,IF(AND(A1604="Russia",AE1604=2050),0.86,IF(AND(A1604="China",AE1604=2035),0.91,IF(AND(A1604="China",AE1604=2050),0.87,IF(AND(A1604="India",AE1604=2035),0.92,IF(AND(A1604="India",AE1604=2050),0.87,IF(AND(A1604="Middle East",AE1604=2035),0.89,IF(AND(A1604="Middle East",AE1604=2050),0.84,IF(AND(A1604="Africa",AE1604=2035),0.9,IF(AND(A1604="Africa",AE1604=2050),0.86,IF(AND(A1604="Brazil",AE1604=2035),0.93,IF(AND(A1604="Brazil",AE1604=2050),0.89,""))))))))))))))))))</f>
        <v>*0.9</v>
      </c>
      <c r="AG1604" s="43" t="str">
        <f t="shared" si="200"/>
        <v>REZoning_Sol-Win</v>
      </c>
      <c r="AI1604" s="33" t="s">
        <v>2478</v>
      </c>
      <c r="AJ1604" s="44" t="s">
        <v>57</v>
      </c>
      <c r="AK1604" s="33">
        <v>2050</v>
      </c>
      <c r="AL1604" s="45" t="str">
        <f t="shared" ref="AL1604:AL1667" si="207">"*"&amp;IF(AND(A1604="EU",AK1604=2035),0.93,IF(AND(A1604="EU",AK1604=2050),0.9,IF(AND(A1604="USA",AK1604=2035),0.92,IF(AND(A1604="USA",AK1604=2050),0.89,IF(AND(A1604="Japan",AK1604=2035),0.92,IF(AND(A1604="Japan",AK1604=2050),0.89,IF(AND(A1604="Russia",AK1604=2035),0.91,IF(AND(A1604="Russia",AK1604=2050),0.86,IF(AND(A1604="China",AK1604=2035),0.91,IF(AND(A1604="China",AK1604=2050),0.87,IF(AND(A1604="India",AK1604=2035),0.92,IF(AND(A1604="India",AK1604=2050),0.87,IF(AND(A1604="Middle East",AK1604=2035),0.89,IF(AND(A1604="Middle East",AK1604=2050),0.84,IF(AND(A1604="Africa",AK1604=2035),0.9,IF(AND(A1604="Africa",AK1604=2050),0.86,IF(AND(A1604="Brazil",AK1604=2035),0.93,IF(AND(A1604="Brazil",AK1604=2050),0.89,""))))))))))))))))))</f>
        <v>*0.86</v>
      </c>
      <c r="AM1604" s="43" t="str">
        <f t="shared" si="201"/>
        <v>REZoning_Sol-Win</v>
      </c>
      <c r="AP1604" t="s">
        <v>2478</v>
      </c>
      <c r="AQ1604" t="s">
        <v>57</v>
      </c>
      <c r="AR1604">
        <v>2100</v>
      </c>
      <c r="AS1604" t="s">
        <v>883</v>
      </c>
      <c r="AT1604" t="s">
        <v>58</v>
      </c>
    </row>
    <row r="1605" ht="29" spans="1:46">
      <c r="A1605" s="31" t="s">
        <v>65</v>
      </c>
      <c r="C1605" t="s">
        <v>2479</v>
      </c>
      <c r="D1605" s="5" t="s">
        <v>57</v>
      </c>
      <c r="E1605">
        <v>2035</v>
      </c>
      <c r="F1605" s="6" t="str">
        <f t="shared" si="202"/>
        <v>*0.94</v>
      </c>
      <c r="H1605" t="s">
        <v>2479</v>
      </c>
      <c r="I1605" s="5" t="s">
        <v>57</v>
      </c>
      <c r="J1605">
        <v>2050</v>
      </c>
      <c r="K1605" s="38" t="str">
        <f t="shared" si="203"/>
        <v>*0.91</v>
      </c>
      <c r="P1605" s="32" t="s">
        <v>2479</v>
      </c>
      <c r="Q1605" s="42" t="s">
        <v>57</v>
      </c>
      <c r="R1605" s="32">
        <v>2035</v>
      </c>
      <c r="S1605" s="43" t="str">
        <f t="shared" si="204"/>
        <v>*0.93</v>
      </c>
      <c r="U1605" s="32" t="s">
        <v>2479</v>
      </c>
      <c r="V1605" s="42" t="s">
        <v>57</v>
      </c>
      <c r="W1605" s="32">
        <v>2050</v>
      </c>
      <c r="X1605" s="43" t="str">
        <f t="shared" si="205"/>
        <v>*0.9</v>
      </c>
      <c r="AC1605" s="33" t="s">
        <v>2479</v>
      </c>
      <c r="AD1605" s="44" t="s">
        <v>57</v>
      </c>
      <c r="AE1605" s="33">
        <v>2035</v>
      </c>
      <c r="AF1605" s="45" t="str">
        <f t="shared" si="206"/>
        <v>*0.9</v>
      </c>
      <c r="AG1605" s="43" t="str">
        <f t="shared" si="200"/>
        <v>REZoning_Sol-Win</v>
      </c>
      <c r="AI1605" s="33" t="s">
        <v>2479</v>
      </c>
      <c r="AJ1605" s="44" t="s">
        <v>57</v>
      </c>
      <c r="AK1605" s="33">
        <v>2050</v>
      </c>
      <c r="AL1605" s="45" t="str">
        <f t="shared" si="207"/>
        <v>*0.86</v>
      </c>
      <c r="AM1605" s="43" t="str">
        <f t="shared" si="201"/>
        <v>REZoning_Sol-Win</v>
      </c>
      <c r="AP1605" t="s">
        <v>2479</v>
      </c>
      <c r="AQ1605" t="s">
        <v>57</v>
      </c>
      <c r="AR1605">
        <v>2100</v>
      </c>
      <c r="AS1605" t="s">
        <v>883</v>
      </c>
      <c r="AT1605" t="s">
        <v>58</v>
      </c>
    </row>
    <row r="1606" ht="29" spans="1:46">
      <c r="A1606" s="31" t="s">
        <v>65</v>
      </c>
      <c r="C1606" t="s">
        <v>2480</v>
      </c>
      <c r="D1606" s="5" t="s">
        <v>57</v>
      </c>
      <c r="E1606">
        <v>2035</v>
      </c>
      <c r="F1606" s="6" t="str">
        <f t="shared" si="202"/>
        <v>*0.94</v>
      </c>
      <c r="H1606" t="s">
        <v>2480</v>
      </c>
      <c r="I1606" s="5" t="s">
        <v>57</v>
      </c>
      <c r="J1606">
        <v>2050</v>
      </c>
      <c r="K1606" s="38" t="str">
        <f t="shared" si="203"/>
        <v>*0.91</v>
      </c>
      <c r="P1606" s="32" t="s">
        <v>2480</v>
      </c>
      <c r="Q1606" s="42" t="s">
        <v>57</v>
      </c>
      <c r="R1606" s="32">
        <v>2035</v>
      </c>
      <c r="S1606" s="43" t="str">
        <f t="shared" si="204"/>
        <v>*0.93</v>
      </c>
      <c r="U1606" s="32" t="s">
        <v>2480</v>
      </c>
      <c r="V1606" s="42" t="s">
        <v>57</v>
      </c>
      <c r="W1606" s="32">
        <v>2050</v>
      </c>
      <c r="X1606" s="43" t="str">
        <f t="shared" si="205"/>
        <v>*0.9</v>
      </c>
      <c r="AC1606" s="33" t="s">
        <v>2480</v>
      </c>
      <c r="AD1606" s="44" t="s">
        <v>57</v>
      </c>
      <c r="AE1606" s="33">
        <v>2035</v>
      </c>
      <c r="AF1606" s="45" t="str">
        <f t="shared" si="206"/>
        <v>*0.9</v>
      </c>
      <c r="AG1606" s="43" t="str">
        <f t="shared" si="200"/>
        <v>REZoning_Sol-Win</v>
      </c>
      <c r="AI1606" s="33" t="s">
        <v>2480</v>
      </c>
      <c r="AJ1606" s="44" t="s">
        <v>57</v>
      </c>
      <c r="AK1606" s="33">
        <v>2050</v>
      </c>
      <c r="AL1606" s="45" t="str">
        <f t="shared" si="207"/>
        <v>*0.86</v>
      </c>
      <c r="AM1606" s="43" t="str">
        <f t="shared" si="201"/>
        <v>REZoning_Sol-Win</v>
      </c>
      <c r="AP1606" t="s">
        <v>2480</v>
      </c>
      <c r="AQ1606" t="s">
        <v>57</v>
      </c>
      <c r="AR1606">
        <v>2100</v>
      </c>
      <c r="AS1606" t="s">
        <v>883</v>
      </c>
      <c r="AT1606" t="s">
        <v>58</v>
      </c>
    </row>
    <row r="1607" ht="29" spans="1:46">
      <c r="A1607" s="31" t="s">
        <v>65</v>
      </c>
      <c r="C1607" t="s">
        <v>2481</v>
      </c>
      <c r="D1607" s="5" t="s">
        <v>57</v>
      </c>
      <c r="E1607">
        <v>2035</v>
      </c>
      <c r="F1607" s="6" t="str">
        <f t="shared" si="202"/>
        <v>*0.94</v>
      </c>
      <c r="H1607" t="s">
        <v>2481</v>
      </c>
      <c r="I1607" s="5" t="s">
        <v>57</v>
      </c>
      <c r="J1607">
        <v>2050</v>
      </c>
      <c r="K1607" s="38" t="str">
        <f t="shared" si="203"/>
        <v>*0.91</v>
      </c>
      <c r="P1607" s="32" t="s">
        <v>2481</v>
      </c>
      <c r="Q1607" s="42" t="s">
        <v>57</v>
      </c>
      <c r="R1607" s="32">
        <v>2035</v>
      </c>
      <c r="S1607" s="43" t="str">
        <f t="shared" si="204"/>
        <v>*0.93</v>
      </c>
      <c r="U1607" s="32" t="s">
        <v>2481</v>
      </c>
      <c r="V1607" s="42" t="s">
        <v>57</v>
      </c>
      <c r="W1607" s="32">
        <v>2050</v>
      </c>
      <c r="X1607" s="43" t="str">
        <f t="shared" si="205"/>
        <v>*0.9</v>
      </c>
      <c r="AC1607" s="33" t="s">
        <v>2481</v>
      </c>
      <c r="AD1607" s="44" t="s">
        <v>57</v>
      </c>
      <c r="AE1607" s="33">
        <v>2035</v>
      </c>
      <c r="AF1607" s="45" t="str">
        <f t="shared" si="206"/>
        <v>*0.9</v>
      </c>
      <c r="AG1607" s="43" t="str">
        <f t="shared" si="200"/>
        <v>REZoning_Sol-Win</v>
      </c>
      <c r="AI1607" s="33" t="s">
        <v>2481</v>
      </c>
      <c r="AJ1607" s="44" t="s">
        <v>57</v>
      </c>
      <c r="AK1607" s="33">
        <v>2050</v>
      </c>
      <c r="AL1607" s="45" t="str">
        <f t="shared" si="207"/>
        <v>*0.86</v>
      </c>
      <c r="AM1607" s="43" t="str">
        <f t="shared" si="201"/>
        <v>REZoning_Sol-Win</v>
      </c>
      <c r="AP1607" t="s">
        <v>2481</v>
      </c>
      <c r="AQ1607" t="s">
        <v>57</v>
      </c>
      <c r="AR1607">
        <v>2100</v>
      </c>
      <c r="AS1607" t="s">
        <v>883</v>
      </c>
      <c r="AT1607" t="s">
        <v>58</v>
      </c>
    </row>
    <row r="1608" ht="29" spans="1:46">
      <c r="A1608" s="31" t="s">
        <v>65</v>
      </c>
      <c r="C1608" t="s">
        <v>2482</v>
      </c>
      <c r="D1608" s="5" t="s">
        <v>57</v>
      </c>
      <c r="E1608">
        <v>2035</v>
      </c>
      <c r="F1608" s="6" t="str">
        <f t="shared" si="202"/>
        <v>*0.94</v>
      </c>
      <c r="H1608" t="s">
        <v>2482</v>
      </c>
      <c r="I1608" s="5" t="s">
        <v>57</v>
      </c>
      <c r="J1608">
        <v>2050</v>
      </c>
      <c r="K1608" s="38" t="str">
        <f t="shared" si="203"/>
        <v>*0.91</v>
      </c>
      <c r="P1608" s="32" t="s">
        <v>2482</v>
      </c>
      <c r="Q1608" s="42" t="s">
        <v>57</v>
      </c>
      <c r="R1608" s="32">
        <v>2035</v>
      </c>
      <c r="S1608" s="43" t="str">
        <f t="shared" si="204"/>
        <v>*0.93</v>
      </c>
      <c r="U1608" s="32" t="s">
        <v>2482</v>
      </c>
      <c r="V1608" s="42" t="s">
        <v>57</v>
      </c>
      <c r="W1608" s="32">
        <v>2050</v>
      </c>
      <c r="X1608" s="43" t="str">
        <f t="shared" si="205"/>
        <v>*0.9</v>
      </c>
      <c r="AC1608" s="33" t="s">
        <v>2482</v>
      </c>
      <c r="AD1608" s="44" t="s">
        <v>57</v>
      </c>
      <c r="AE1608" s="33">
        <v>2035</v>
      </c>
      <c r="AF1608" s="45" t="str">
        <f t="shared" si="206"/>
        <v>*0.9</v>
      </c>
      <c r="AG1608" s="43" t="str">
        <f t="shared" si="200"/>
        <v>REZoning_Sol-Win</v>
      </c>
      <c r="AI1608" s="33" t="s">
        <v>2482</v>
      </c>
      <c r="AJ1608" s="44" t="s">
        <v>57</v>
      </c>
      <c r="AK1608" s="33">
        <v>2050</v>
      </c>
      <c r="AL1608" s="45" t="str">
        <f t="shared" si="207"/>
        <v>*0.86</v>
      </c>
      <c r="AM1608" s="43" t="str">
        <f t="shared" si="201"/>
        <v>REZoning_Sol-Win</v>
      </c>
      <c r="AP1608" t="s">
        <v>2482</v>
      </c>
      <c r="AQ1608" t="s">
        <v>57</v>
      </c>
      <c r="AR1608">
        <v>2100</v>
      </c>
      <c r="AS1608" t="s">
        <v>883</v>
      </c>
      <c r="AT1608" t="s">
        <v>58</v>
      </c>
    </row>
    <row r="1609" ht="29" spans="1:46">
      <c r="A1609" s="31" t="s">
        <v>65</v>
      </c>
      <c r="C1609" t="s">
        <v>2483</v>
      </c>
      <c r="D1609" s="5" t="s">
        <v>57</v>
      </c>
      <c r="E1609">
        <v>2035</v>
      </c>
      <c r="F1609" s="6" t="str">
        <f t="shared" si="202"/>
        <v>*0.94</v>
      </c>
      <c r="H1609" t="s">
        <v>2483</v>
      </c>
      <c r="I1609" s="5" t="s">
        <v>57</v>
      </c>
      <c r="J1609">
        <v>2050</v>
      </c>
      <c r="K1609" s="38" t="str">
        <f t="shared" si="203"/>
        <v>*0.91</v>
      </c>
      <c r="P1609" s="32" t="s">
        <v>2483</v>
      </c>
      <c r="Q1609" s="42" t="s">
        <v>57</v>
      </c>
      <c r="R1609" s="32">
        <v>2035</v>
      </c>
      <c r="S1609" s="43" t="str">
        <f t="shared" si="204"/>
        <v>*0.93</v>
      </c>
      <c r="U1609" s="32" t="s">
        <v>2483</v>
      </c>
      <c r="V1609" s="42" t="s">
        <v>57</v>
      </c>
      <c r="W1609" s="32">
        <v>2050</v>
      </c>
      <c r="X1609" s="43" t="str">
        <f t="shared" si="205"/>
        <v>*0.9</v>
      </c>
      <c r="AC1609" s="33" t="s">
        <v>2483</v>
      </c>
      <c r="AD1609" s="44" t="s">
        <v>57</v>
      </c>
      <c r="AE1609" s="33">
        <v>2035</v>
      </c>
      <c r="AF1609" s="45" t="str">
        <f t="shared" si="206"/>
        <v>*0.9</v>
      </c>
      <c r="AG1609" s="43" t="str">
        <f t="shared" ref="AG1609:AG1672" si="208">AG1608</f>
        <v>REZoning_Sol-Win</v>
      </c>
      <c r="AI1609" s="33" t="s">
        <v>2483</v>
      </c>
      <c r="AJ1609" s="44" t="s">
        <v>57</v>
      </c>
      <c r="AK1609" s="33">
        <v>2050</v>
      </c>
      <c r="AL1609" s="45" t="str">
        <f t="shared" si="207"/>
        <v>*0.86</v>
      </c>
      <c r="AM1609" s="43" t="str">
        <f t="shared" si="201"/>
        <v>REZoning_Sol-Win</v>
      </c>
      <c r="AP1609" t="s">
        <v>2483</v>
      </c>
      <c r="AQ1609" t="s">
        <v>57</v>
      </c>
      <c r="AR1609">
        <v>2100</v>
      </c>
      <c r="AS1609" t="s">
        <v>883</v>
      </c>
      <c r="AT1609" t="s">
        <v>58</v>
      </c>
    </row>
    <row r="1610" ht="29" spans="1:46">
      <c r="A1610" s="31" t="s">
        <v>65</v>
      </c>
      <c r="C1610" t="s">
        <v>2484</v>
      </c>
      <c r="D1610" s="5" t="s">
        <v>57</v>
      </c>
      <c r="E1610">
        <v>2035</v>
      </c>
      <c r="F1610" s="6" t="str">
        <f t="shared" si="202"/>
        <v>*0.94</v>
      </c>
      <c r="H1610" t="s">
        <v>2484</v>
      </c>
      <c r="I1610" s="5" t="s">
        <v>57</v>
      </c>
      <c r="J1610">
        <v>2050</v>
      </c>
      <c r="K1610" s="38" t="str">
        <f t="shared" si="203"/>
        <v>*0.91</v>
      </c>
      <c r="P1610" s="32" t="s">
        <v>2484</v>
      </c>
      <c r="Q1610" s="42" t="s">
        <v>57</v>
      </c>
      <c r="R1610" s="32">
        <v>2035</v>
      </c>
      <c r="S1610" s="43" t="str">
        <f t="shared" si="204"/>
        <v>*0.93</v>
      </c>
      <c r="U1610" s="32" t="s">
        <v>2484</v>
      </c>
      <c r="V1610" s="42" t="s">
        <v>57</v>
      </c>
      <c r="W1610" s="32">
        <v>2050</v>
      </c>
      <c r="X1610" s="43" t="str">
        <f t="shared" si="205"/>
        <v>*0.9</v>
      </c>
      <c r="AC1610" s="33" t="s">
        <v>2484</v>
      </c>
      <c r="AD1610" s="44" t="s">
        <v>57</v>
      </c>
      <c r="AE1610" s="33">
        <v>2035</v>
      </c>
      <c r="AF1610" s="45" t="str">
        <f t="shared" si="206"/>
        <v>*0.9</v>
      </c>
      <c r="AG1610" s="43" t="str">
        <f t="shared" si="208"/>
        <v>REZoning_Sol-Win</v>
      </c>
      <c r="AI1610" s="33" t="s">
        <v>2484</v>
      </c>
      <c r="AJ1610" s="44" t="s">
        <v>57</v>
      </c>
      <c r="AK1610" s="33">
        <v>2050</v>
      </c>
      <c r="AL1610" s="45" t="str">
        <f t="shared" si="207"/>
        <v>*0.86</v>
      </c>
      <c r="AM1610" s="43" t="str">
        <f t="shared" ref="AM1610:AM1673" si="209">AM1609</f>
        <v>REZoning_Sol-Win</v>
      </c>
      <c r="AP1610" t="s">
        <v>2484</v>
      </c>
      <c r="AQ1610" t="s">
        <v>57</v>
      </c>
      <c r="AR1610">
        <v>2100</v>
      </c>
      <c r="AS1610" t="s">
        <v>883</v>
      </c>
      <c r="AT1610" t="s">
        <v>58</v>
      </c>
    </row>
    <row r="1611" ht="29" spans="1:46">
      <c r="A1611" s="31" t="s">
        <v>65</v>
      </c>
      <c r="C1611" t="s">
        <v>2485</v>
      </c>
      <c r="D1611" s="5" t="s">
        <v>57</v>
      </c>
      <c r="E1611">
        <v>2035</v>
      </c>
      <c r="F1611" s="6" t="str">
        <f t="shared" si="202"/>
        <v>*0.94</v>
      </c>
      <c r="H1611" t="s">
        <v>2485</v>
      </c>
      <c r="I1611" s="5" t="s">
        <v>57</v>
      </c>
      <c r="J1611">
        <v>2050</v>
      </c>
      <c r="K1611" s="38" t="str">
        <f t="shared" si="203"/>
        <v>*0.91</v>
      </c>
      <c r="P1611" s="32" t="s">
        <v>2485</v>
      </c>
      <c r="Q1611" s="42" t="s">
        <v>57</v>
      </c>
      <c r="R1611" s="32">
        <v>2035</v>
      </c>
      <c r="S1611" s="43" t="str">
        <f t="shared" si="204"/>
        <v>*0.93</v>
      </c>
      <c r="U1611" s="32" t="s">
        <v>2485</v>
      </c>
      <c r="V1611" s="42" t="s">
        <v>57</v>
      </c>
      <c r="W1611" s="32">
        <v>2050</v>
      </c>
      <c r="X1611" s="43" t="str">
        <f t="shared" si="205"/>
        <v>*0.9</v>
      </c>
      <c r="AC1611" s="33" t="s">
        <v>2485</v>
      </c>
      <c r="AD1611" s="44" t="s">
        <v>57</v>
      </c>
      <c r="AE1611" s="33">
        <v>2035</v>
      </c>
      <c r="AF1611" s="45" t="str">
        <f t="shared" si="206"/>
        <v>*0.9</v>
      </c>
      <c r="AG1611" s="43" t="str">
        <f t="shared" si="208"/>
        <v>REZoning_Sol-Win</v>
      </c>
      <c r="AI1611" s="33" t="s">
        <v>2485</v>
      </c>
      <c r="AJ1611" s="44" t="s">
        <v>57</v>
      </c>
      <c r="AK1611" s="33">
        <v>2050</v>
      </c>
      <c r="AL1611" s="45" t="str">
        <f t="shared" si="207"/>
        <v>*0.86</v>
      </c>
      <c r="AM1611" s="43" t="str">
        <f t="shared" si="209"/>
        <v>REZoning_Sol-Win</v>
      </c>
      <c r="AP1611" t="s">
        <v>2485</v>
      </c>
      <c r="AQ1611" t="s">
        <v>57</v>
      </c>
      <c r="AR1611">
        <v>2100</v>
      </c>
      <c r="AS1611" t="s">
        <v>883</v>
      </c>
      <c r="AT1611" t="s">
        <v>58</v>
      </c>
    </row>
    <row r="1612" ht="29" spans="1:46">
      <c r="A1612" s="31" t="s">
        <v>65</v>
      </c>
      <c r="C1612" t="s">
        <v>2486</v>
      </c>
      <c r="D1612" s="5" t="s">
        <v>57</v>
      </c>
      <c r="E1612">
        <v>2035</v>
      </c>
      <c r="F1612" s="6" t="str">
        <f t="shared" si="202"/>
        <v>*0.94</v>
      </c>
      <c r="H1612" t="s">
        <v>2486</v>
      </c>
      <c r="I1612" s="5" t="s">
        <v>57</v>
      </c>
      <c r="J1612">
        <v>2050</v>
      </c>
      <c r="K1612" s="38" t="str">
        <f t="shared" si="203"/>
        <v>*0.91</v>
      </c>
      <c r="P1612" s="32" t="s">
        <v>2486</v>
      </c>
      <c r="Q1612" s="42" t="s">
        <v>57</v>
      </c>
      <c r="R1612" s="32">
        <v>2035</v>
      </c>
      <c r="S1612" s="43" t="str">
        <f t="shared" si="204"/>
        <v>*0.93</v>
      </c>
      <c r="U1612" s="32" t="s">
        <v>2486</v>
      </c>
      <c r="V1612" s="42" t="s">
        <v>57</v>
      </c>
      <c r="W1612" s="32">
        <v>2050</v>
      </c>
      <c r="X1612" s="43" t="str">
        <f t="shared" si="205"/>
        <v>*0.9</v>
      </c>
      <c r="AC1612" s="33" t="s">
        <v>2486</v>
      </c>
      <c r="AD1612" s="44" t="s">
        <v>57</v>
      </c>
      <c r="AE1612" s="33">
        <v>2035</v>
      </c>
      <c r="AF1612" s="45" t="str">
        <f t="shared" si="206"/>
        <v>*0.9</v>
      </c>
      <c r="AG1612" s="43" t="str">
        <f t="shared" si="208"/>
        <v>REZoning_Sol-Win</v>
      </c>
      <c r="AI1612" s="33" t="s">
        <v>2486</v>
      </c>
      <c r="AJ1612" s="44" t="s">
        <v>57</v>
      </c>
      <c r="AK1612" s="33">
        <v>2050</v>
      </c>
      <c r="AL1612" s="45" t="str">
        <f t="shared" si="207"/>
        <v>*0.86</v>
      </c>
      <c r="AM1612" s="43" t="str">
        <f t="shared" si="209"/>
        <v>REZoning_Sol-Win</v>
      </c>
      <c r="AP1612" t="s">
        <v>2486</v>
      </c>
      <c r="AQ1612" t="s">
        <v>57</v>
      </c>
      <c r="AR1612">
        <v>2100</v>
      </c>
      <c r="AS1612" t="s">
        <v>883</v>
      </c>
      <c r="AT1612" t="s">
        <v>58</v>
      </c>
    </row>
    <row r="1613" ht="29" spans="1:46">
      <c r="A1613" s="31" t="s">
        <v>65</v>
      </c>
      <c r="C1613" t="s">
        <v>2487</v>
      </c>
      <c r="D1613" s="5" t="s">
        <v>57</v>
      </c>
      <c r="E1613">
        <v>2035</v>
      </c>
      <c r="F1613" s="6" t="str">
        <f t="shared" si="202"/>
        <v>*0.94</v>
      </c>
      <c r="H1613" t="s">
        <v>2487</v>
      </c>
      <c r="I1613" s="5" t="s">
        <v>57</v>
      </c>
      <c r="J1613">
        <v>2050</v>
      </c>
      <c r="K1613" s="38" t="str">
        <f t="shared" si="203"/>
        <v>*0.91</v>
      </c>
      <c r="P1613" s="32" t="s">
        <v>2487</v>
      </c>
      <c r="Q1613" s="42" t="s">
        <v>57</v>
      </c>
      <c r="R1613" s="32">
        <v>2035</v>
      </c>
      <c r="S1613" s="43" t="str">
        <f t="shared" si="204"/>
        <v>*0.93</v>
      </c>
      <c r="U1613" s="32" t="s">
        <v>2487</v>
      </c>
      <c r="V1613" s="42" t="s">
        <v>57</v>
      </c>
      <c r="W1613" s="32">
        <v>2050</v>
      </c>
      <c r="X1613" s="43" t="str">
        <f t="shared" si="205"/>
        <v>*0.9</v>
      </c>
      <c r="AC1613" s="33" t="s">
        <v>2487</v>
      </c>
      <c r="AD1613" s="44" t="s">
        <v>57</v>
      </c>
      <c r="AE1613" s="33">
        <v>2035</v>
      </c>
      <c r="AF1613" s="45" t="str">
        <f t="shared" si="206"/>
        <v>*0.9</v>
      </c>
      <c r="AG1613" s="43" t="str">
        <f t="shared" si="208"/>
        <v>REZoning_Sol-Win</v>
      </c>
      <c r="AI1613" s="33" t="s">
        <v>2487</v>
      </c>
      <c r="AJ1613" s="44" t="s">
        <v>57</v>
      </c>
      <c r="AK1613" s="33">
        <v>2050</v>
      </c>
      <c r="AL1613" s="45" t="str">
        <f t="shared" si="207"/>
        <v>*0.86</v>
      </c>
      <c r="AM1613" s="43" t="str">
        <f t="shared" si="209"/>
        <v>REZoning_Sol-Win</v>
      </c>
      <c r="AP1613" t="s">
        <v>2487</v>
      </c>
      <c r="AQ1613" t="s">
        <v>57</v>
      </c>
      <c r="AR1613">
        <v>2100</v>
      </c>
      <c r="AS1613" t="s">
        <v>883</v>
      </c>
      <c r="AT1613" t="s">
        <v>58</v>
      </c>
    </row>
    <row r="1614" ht="29" spans="1:46">
      <c r="A1614" s="31" t="s">
        <v>65</v>
      </c>
      <c r="C1614" t="s">
        <v>2488</v>
      </c>
      <c r="D1614" s="5" t="s">
        <v>57</v>
      </c>
      <c r="E1614">
        <v>2035</v>
      </c>
      <c r="F1614" s="6" t="str">
        <f t="shared" si="202"/>
        <v>*0.94</v>
      </c>
      <c r="H1614" t="s">
        <v>2488</v>
      </c>
      <c r="I1614" s="5" t="s">
        <v>57</v>
      </c>
      <c r="J1614">
        <v>2050</v>
      </c>
      <c r="K1614" s="38" t="str">
        <f t="shared" si="203"/>
        <v>*0.91</v>
      </c>
      <c r="P1614" s="32" t="s">
        <v>2488</v>
      </c>
      <c r="Q1614" s="42" t="s">
        <v>57</v>
      </c>
      <c r="R1614" s="32">
        <v>2035</v>
      </c>
      <c r="S1614" s="43" t="str">
        <f t="shared" si="204"/>
        <v>*0.93</v>
      </c>
      <c r="U1614" s="32" t="s">
        <v>2488</v>
      </c>
      <c r="V1614" s="42" t="s">
        <v>57</v>
      </c>
      <c r="W1614" s="32">
        <v>2050</v>
      </c>
      <c r="X1614" s="43" t="str">
        <f t="shared" si="205"/>
        <v>*0.9</v>
      </c>
      <c r="AC1614" s="33" t="s">
        <v>2488</v>
      </c>
      <c r="AD1614" s="44" t="s">
        <v>57</v>
      </c>
      <c r="AE1614" s="33">
        <v>2035</v>
      </c>
      <c r="AF1614" s="45" t="str">
        <f t="shared" si="206"/>
        <v>*0.9</v>
      </c>
      <c r="AG1614" s="43" t="str">
        <f t="shared" si="208"/>
        <v>REZoning_Sol-Win</v>
      </c>
      <c r="AI1614" s="33" t="s">
        <v>2488</v>
      </c>
      <c r="AJ1614" s="44" t="s">
        <v>57</v>
      </c>
      <c r="AK1614" s="33">
        <v>2050</v>
      </c>
      <c r="AL1614" s="45" t="str">
        <f t="shared" si="207"/>
        <v>*0.86</v>
      </c>
      <c r="AM1614" s="43" t="str">
        <f t="shared" si="209"/>
        <v>REZoning_Sol-Win</v>
      </c>
      <c r="AP1614" t="s">
        <v>2488</v>
      </c>
      <c r="AQ1614" t="s">
        <v>57</v>
      </c>
      <c r="AR1614">
        <v>2100</v>
      </c>
      <c r="AS1614" t="s">
        <v>883</v>
      </c>
      <c r="AT1614" t="s">
        <v>58</v>
      </c>
    </row>
    <row r="1615" ht="29" spans="1:46">
      <c r="A1615" s="31" t="s">
        <v>65</v>
      </c>
      <c r="C1615" t="s">
        <v>2489</v>
      </c>
      <c r="D1615" s="5" t="s">
        <v>57</v>
      </c>
      <c r="E1615">
        <v>2035</v>
      </c>
      <c r="F1615" s="6" t="str">
        <f t="shared" si="202"/>
        <v>*0.94</v>
      </c>
      <c r="H1615" t="s">
        <v>2489</v>
      </c>
      <c r="I1615" s="5" t="s">
        <v>57</v>
      </c>
      <c r="J1615">
        <v>2050</v>
      </c>
      <c r="K1615" s="38" t="str">
        <f t="shared" si="203"/>
        <v>*0.91</v>
      </c>
      <c r="P1615" s="32" t="s">
        <v>2489</v>
      </c>
      <c r="Q1615" s="42" t="s">
        <v>57</v>
      </c>
      <c r="R1615" s="32">
        <v>2035</v>
      </c>
      <c r="S1615" s="43" t="str">
        <f t="shared" si="204"/>
        <v>*0.93</v>
      </c>
      <c r="U1615" s="32" t="s">
        <v>2489</v>
      </c>
      <c r="V1615" s="42" t="s">
        <v>57</v>
      </c>
      <c r="W1615" s="32">
        <v>2050</v>
      </c>
      <c r="X1615" s="43" t="str">
        <f t="shared" si="205"/>
        <v>*0.9</v>
      </c>
      <c r="AC1615" s="33" t="s">
        <v>2489</v>
      </c>
      <c r="AD1615" s="44" t="s">
        <v>57</v>
      </c>
      <c r="AE1615" s="33">
        <v>2035</v>
      </c>
      <c r="AF1615" s="45" t="str">
        <f t="shared" si="206"/>
        <v>*0.9</v>
      </c>
      <c r="AG1615" s="43" t="str">
        <f t="shared" si="208"/>
        <v>REZoning_Sol-Win</v>
      </c>
      <c r="AI1615" s="33" t="s">
        <v>2489</v>
      </c>
      <c r="AJ1615" s="44" t="s">
        <v>57</v>
      </c>
      <c r="AK1615" s="33">
        <v>2050</v>
      </c>
      <c r="AL1615" s="45" t="str">
        <f t="shared" si="207"/>
        <v>*0.86</v>
      </c>
      <c r="AM1615" s="43" t="str">
        <f t="shared" si="209"/>
        <v>REZoning_Sol-Win</v>
      </c>
      <c r="AP1615" t="s">
        <v>2489</v>
      </c>
      <c r="AQ1615" t="s">
        <v>57</v>
      </c>
      <c r="AR1615">
        <v>2100</v>
      </c>
      <c r="AS1615" t="s">
        <v>883</v>
      </c>
      <c r="AT1615" t="s">
        <v>58</v>
      </c>
    </row>
    <row r="1616" ht="29" spans="1:46">
      <c r="A1616" s="31" t="s">
        <v>65</v>
      </c>
      <c r="C1616" t="s">
        <v>2490</v>
      </c>
      <c r="D1616" s="5" t="s">
        <v>57</v>
      </c>
      <c r="E1616">
        <v>2035</v>
      </c>
      <c r="F1616" s="6" t="str">
        <f t="shared" si="202"/>
        <v>*0.94</v>
      </c>
      <c r="H1616" t="s">
        <v>2490</v>
      </c>
      <c r="I1616" s="5" t="s">
        <v>57</v>
      </c>
      <c r="J1616">
        <v>2050</v>
      </c>
      <c r="K1616" s="38" t="str">
        <f t="shared" si="203"/>
        <v>*0.91</v>
      </c>
      <c r="P1616" s="32" t="s">
        <v>2490</v>
      </c>
      <c r="Q1616" s="42" t="s">
        <v>57</v>
      </c>
      <c r="R1616" s="32">
        <v>2035</v>
      </c>
      <c r="S1616" s="43" t="str">
        <f t="shared" si="204"/>
        <v>*0.93</v>
      </c>
      <c r="U1616" s="32" t="s">
        <v>2490</v>
      </c>
      <c r="V1616" s="42" t="s">
        <v>57</v>
      </c>
      <c r="W1616" s="32">
        <v>2050</v>
      </c>
      <c r="X1616" s="43" t="str">
        <f t="shared" si="205"/>
        <v>*0.9</v>
      </c>
      <c r="AC1616" s="33" t="s">
        <v>2490</v>
      </c>
      <c r="AD1616" s="44" t="s">
        <v>57</v>
      </c>
      <c r="AE1616" s="33">
        <v>2035</v>
      </c>
      <c r="AF1616" s="45" t="str">
        <f t="shared" si="206"/>
        <v>*0.9</v>
      </c>
      <c r="AG1616" s="43" t="str">
        <f t="shared" si="208"/>
        <v>REZoning_Sol-Win</v>
      </c>
      <c r="AI1616" s="33" t="s">
        <v>2490</v>
      </c>
      <c r="AJ1616" s="44" t="s">
        <v>57</v>
      </c>
      <c r="AK1616" s="33">
        <v>2050</v>
      </c>
      <c r="AL1616" s="45" t="str">
        <f t="shared" si="207"/>
        <v>*0.86</v>
      </c>
      <c r="AM1616" s="43" t="str">
        <f t="shared" si="209"/>
        <v>REZoning_Sol-Win</v>
      </c>
      <c r="AP1616" t="s">
        <v>2490</v>
      </c>
      <c r="AQ1616" t="s">
        <v>57</v>
      </c>
      <c r="AR1616">
        <v>2100</v>
      </c>
      <c r="AS1616" t="s">
        <v>883</v>
      </c>
      <c r="AT1616" t="s">
        <v>58</v>
      </c>
    </row>
    <row r="1617" ht="29" spans="1:46">
      <c r="A1617" s="31" t="s">
        <v>65</v>
      </c>
      <c r="C1617" t="s">
        <v>2491</v>
      </c>
      <c r="D1617" s="5" t="s">
        <v>57</v>
      </c>
      <c r="E1617">
        <v>2035</v>
      </c>
      <c r="F1617" s="6" t="str">
        <f t="shared" si="202"/>
        <v>*0.94</v>
      </c>
      <c r="H1617" t="s">
        <v>2491</v>
      </c>
      <c r="I1617" s="5" t="s">
        <v>57</v>
      </c>
      <c r="J1617">
        <v>2050</v>
      </c>
      <c r="K1617" s="38" t="str">
        <f t="shared" si="203"/>
        <v>*0.91</v>
      </c>
      <c r="P1617" s="32" t="s">
        <v>2491</v>
      </c>
      <c r="Q1617" s="42" t="s">
        <v>57</v>
      </c>
      <c r="R1617" s="32">
        <v>2035</v>
      </c>
      <c r="S1617" s="43" t="str">
        <f t="shared" si="204"/>
        <v>*0.93</v>
      </c>
      <c r="U1617" s="32" t="s">
        <v>2491</v>
      </c>
      <c r="V1617" s="42" t="s">
        <v>57</v>
      </c>
      <c r="W1617" s="32">
        <v>2050</v>
      </c>
      <c r="X1617" s="43" t="str">
        <f t="shared" si="205"/>
        <v>*0.9</v>
      </c>
      <c r="AC1617" s="33" t="s">
        <v>2491</v>
      </c>
      <c r="AD1617" s="44" t="s">
        <v>57</v>
      </c>
      <c r="AE1617" s="33">
        <v>2035</v>
      </c>
      <c r="AF1617" s="45" t="str">
        <f t="shared" si="206"/>
        <v>*0.9</v>
      </c>
      <c r="AG1617" s="43" t="str">
        <f t="shared" si="208"/>
        <v>REZoning_Sol-Win</v>
      </c>
      <c r="AI1617" s="33" t="s">
        <v>2491</v>
      </c>
      <c r="AJ1617" s="44" t="s">
        <v>57</v>
      </c>
      <c r="AK1617" s="33">
        <v>2050</v>
      </c>
      <c r="AL1617" s="45" t="str">
        <f t="shared" si="207"/>
        <v>*0.86</v>
      </c>
      <c r="AM1617" s="43" t="str">
        <f t="shared" si="209"/>
        <v>REZoning_Sol-Win</v>
      </c>
      <c r="AP1617" t="s">
        <v>2491</v>
      </c>
      <c r="AQ1617" t="s">
        <v>57</v>
      </c>
      <c r="AR1617">
        <v>2100</v>
      </c>
      <c r="AS1617" t="s">
        <v>883</v>
      </c>
      <c r="AT1617" t="s">
        <v>58</v>
      </c>
    </row>
    <row r="1618" ht="29" spans="1:46">
      <c r="A1618" s="31" t="s">
        <v>65</v>
      </c>
      <c r="C1618" t="s">
        <v>2492</v>
      </c>
      <c r="D1618" s="5" t="s">
        <v>57</v>
      </c>
      <c r="E1618">
        <v>2035</v>
      </c>
      <c r="F1618" s="6" t="str">
        <f t="shared" si="202"/>
        <v>*0.94</v>
      </c>
      <c r="H1618" t="s">
        <v>2492</v>
      </c>
      <c r="I1618" s="5" t="s">
        <v>57</v>
      </c>
      <c r="J1618">
        <v>2050</v>
      </c>
      <c r="K1618" s="38" t="str">
        <f t="shared" si="203"/>
        <v>*0.91</v>
      </c>
      <c r="P1618" s="32" t="s">
        <v>2492</v>
      </c>
      <c r="Q1618" s="42" t="s">
        <v>57</v>
      </c>
      <c r="R1618" s="32">
        <v>2035</v>
      </c>
      <c r="S1618" s="43" t="str">
        <f t="shared" si="204"/>
        <v>*0.93</v>
      </c>
      <c r="U1618" s="32" t="s">
        <v>2492</v>
      </c>
      <c r="V1618" s="42" t="s">
        <v>57</v>
      </c>
      <c r="W1618" s="32">
        <v>2050</v>
      </c>
      <c r="X1618" s="43" t="str">
        <f t="shared" si="205"/>
        <v>*0.9</v>
      </c>
      <c r="AC1618" s="33" t="s">
        <v>2492</v>
      </c>
      <c r="AD1618" s="44" t="s">
        <v>57</v>
      </c>
      <c r="AE1618" s="33">
        <v>2035</v>
      </c>
      <c r="AF1618" s="45" t="str">
        <f t="shared" si="206"/>
        <v>*0.9</v>
      </c>
      <c r="AG1618" s="43" t="str">
        <f t="shared" si="208"/>
        <v>REZoning_Sol-Win</v>
      </c>
      <c r="AI1618" s="33" t="s">
        <v>2492</v>
      </c>
      <c r="AJ1618" s="44" t="s">
        <v>57</v>
      </c>
      <c r="AK1618" s="33">
        <v>2050</v>
      </c>
      <c r="AL1618" s="45" t="str">
        <f t="shared" si="207"/>
        <v>*0.86</v>
      </c>
      <c r="AM1618" s="43" t="str">
        <f t="shared" si="209"/>
        <v>REZoning_Sol-Win</v>
      </c>
      <c r="AP1618" t="s">
        <v>2492</v>
      </c>
      <c r="AQ1618" t="s">
        <v>57</v>
      </c>
      <c r="AR1618">
        <v>2100</v>
      </c>
      <c r="AS1618" t="s">
        <v>883</v>
      </c>
      <c r="AT1618" t="s">
        <v>58</v>
      </c>
    </row>
    <row r="1619" ht="29" spans="1:46">
      <c r="A1619" s="31" t="s">
        <v>83</v>
      </c>
      <c r="C1619" t="s">
        <v>2493</v>
      </c>
      <c r="D1619" s="5" t="s">
        <v>57</v>
      </c>
      <c r="E1619">
        <v>2035</v>
      </c>
      <c r="F1619" s="6" t="str">
        <f t="shared" si="202"/>
        <v>*0.95</v>
      </c>
      <c r="H1619" t="s">
        <v>2493</v>
      </c>
      <c r="I1619" s="5" t="s">
        <v>57</v>
      </c>
      <c r="J1619">
        <v>2050</v>
      </c>
      <c r="K1619" s="38" t="str">
        <f t="shared" si="203"/>
        <v>*0.92</v>
      </c>
      <c r="P1619" s="32" t="s">
        <v>2493</v>
      </c>
      <c r="Q1619" s="42" t="s">
        <v>57</v>
      </c>
      <c r="R1619" s="32">
        <v>2035</v>
      </c>
      <c r="S1619" s="43" t="str">
        <f t="shared" si="204"/>
        <v>*0.95</v>
      </c>
      <c r="U1619" s="32" t="s">
        <v>2493</v>
      </c>
      <c r="V1619" s="42" t="s">
        <v>57</v>
      </c>
      <c r="W1619" s="32">
        <v>2050</v>
      </c>
      <c r="X1619" s="43" t="str">
        <f t="shared" si="205"/>
        <v>*0.92</v>
      </c>
      <c r="AC1619" s="33" t="s">
        <v>2493</v>
      </c>
      <c r="AD1619" s="44" t="s">
        <v>57</v>
      </c>
      <c r="AE1619" s="33">
        <v>2035</v>
      </c>
      <c r="AF1619" s="45" t="str">
        <f t="shared" si="206"/>
        <v>*0.93</v>
      </c>
      <c r="AG1619" s="43" t="str">
        <f t="shared" si="208"/>
        <v>REZoning_Sol-Win</v>
      </c>
      <c r="AI1619" s="33" t="s">
        <v>2493</v>
      </c>
      <c r="AJ1619" s="44" t="s">
        <v>57</v>
      </c>
      <c r="AK1619" s="33">
        <v>2050</v>
      </c>
      <c r="AL1619" s="45" t="str">
        <f t="shared" si="207"/>
        <v>*0.89</v>
      </c>
      <c r="AM1619" s="43" t="str">
        <f t="shared" si="209"/>
        <v>REZoning_Sol-Win</v>
      </c>
      <c r="AP1619" t="s">
        <v>2493</v>
      </c>
      <c r="AQ1619" t="s">
        <v>57</v>
      </c>
      <c r="AR1619">
        <v>2100</v>
      </c>
      <c r="AS1619" t="s">
        <v>937</v>
      </c>
      <c r="AT1619" t="s">
        <v>58</v>
      </c>
    </row>
    <row r="1620" ht="29" spans="1:46">
      <c r="A1620" s="31" t="s">
        <v>83</v>
      </c>
      <c r="C1620" t="s">
        <v>2494</v>
      </c>
      <c r="D1620" s="5" t="s">
        <v>57</v>
      </c>
      <c r="E1620">
        <v>2035</v>
      </c>
      <c r="F1620" s="6" t="str">
        <f t="shared" si="202"/>
        <v>*0.95</v>
      </c>
      <c r="H1620" t="s">
        <v>2494</v>
      </c>
      <c r="I1620" s="5" t="s">
        <v>57</v>
      </c>
      <c r="J1620">
        <v>2050</v>
      </c>
      <c r="K1620" s="38" t="str">
        <f t="shared" si="203"/>
        <v>*0.92</v>
      </c>
      <c r="P1620" s="32" t="s">
        <v>2494</v>
      </c>
      <c r="Q1620" s="42" t="s">
        <v>57</v>
      </c>
      <c r="R1620" s="32">
        <v>2035</v>
      </c>
      <c r="S1620" s="43" t="str">
        <f t="shared" si="204"/>
        <v>*0.95</v>
      </c>
      <c r="U1620" s="32" t="s">
        <v>2494</v>
      </c>
      <c r="V1620" s="42" t="s">
        <v>57</v>
      </c>
      <c r="W1620" s="32">
        <v>2050</v>
      </c>
      <c r="X1620" s="43" t="str">
        <f t="shared" si="205"/>
        <v>*0.92</v>
      </c>
      <c r="AC1620" s="33" t="s">
        <v>2494</v>
      </c>
      <c r="AD1620" s="44" t="s">
        <v>57</v>
      </c>
      <c r="AE1620" s="33">
        <v>2035</v>
      </c>
      <c r="AF1620" s="45" t="str">
        <f t="shared" si="206"/>
        <v>*0.93</v>
      </c>
      <c r="AG1620" s="43" t="str">
        <f t="shared" si="208"/>
        <v>REZoning_Sol-Win</v>
      </c>
      <c r="AI1620" s="33" t="s">
        <v>2494</v>
      </c>
      <c r="AJ1620" s="44" t="s">
        <v>57</v>
      </c>
      <c r="AK1620" s="33">
        <v>2050</v>
      </c>
      <c r="AL1620" s="45" t="str">
        <f t="shared" si="207"/>
        <v>*0.89</v>
      </c>
      <c r="AM1620" s="43" t="str">
        <f t="shared" si="209"/>
        <v>REZoning_Sol-Win</v>
      </c>
      <c r="AP1620" t="s">
        <v>2494</v>
      </c>
      <c r="AQ1620" t="s">
        <v>57</v>
      </c>
      <c r="AR1620">
        <v>2100</v>
      </c>
      <c r="AS1620" t="s">
        <v>937</v>
      </c>
      <c r="AT1620" t="s">
        <v>58</v>
      </c>
    </row>
    <row r="1621" ht="29" spans="1:46">
      <c r="A1621" s="31" t="s">
        <v>83</v>
      </c>
      <c r="C1621" t="s">
        <v>2495</v>
      </c>
      <c r="D1621" s="5" t="s">
        <v>57</v>
      </c>
      <c r="E1621">
        <v>2035</v>
      </c>
      <c r="F1621" s="6" t="str">
        <f t="shared" si="202"/>
        <v>*0.95</v>
      </c>
      <c r="H1621" t="s">
        <v>2495</v>
      </c>
      <c r="I1621" s="5" t="s">
        <v>57</v>
      </c>
      <c r="J1621">
        <v>2050</v>
      </c>
      <c r="K1621" s="38" t="str">
        <f t="shared" si="203"/>
        <v>*0.92</v>
      </c>
      <c r="P1621" s="32" t="s">
        <v>2495</v>
      </c>
      <c r="Q1621" s="42" t="s">
        <v>57</v>
      </c>
      <c r="R1621" s="32">
        <v>2035</v>
      </c>
      <c r="S1621" s="43" t="str">
        <f t="shared" si="204"/>
        <v>*0.95</v>
      </c>
      <c r="U1621" s="32" t="s">
        <v>2495</v>
      </c>
      <c r="V1621" s="42" t="s">
        <v>57</v>
      </c>
      <c r="W1621" s="32">
        <v>2050</v>
      </c>
      <c r="X1621" s="43" t="str">
        <f t="shared" si="205"/>
        <v>*0.92</v>
      </c>
      <c r="AC1621" s="33" t="s">
        <v>2495</v>
      </c>
      <c r="AD1621" s="44" t="s">
        <v>57</v>
      </c>
      <c r="AE1621" s="33">
        <v>2035</v>
      </c>
      <c r="AF1621" s="45" t="str">
        <f t="shared" si="206"/>
        <v>*0.93</v>
      </c>
      <c r="AG1621" s="43" t="str">
        <f t="shared" si="208"/>
        <v>REZoning_Sol-Win</v>
      </c>
      <c r="AI1621" s="33" t="s">
        <v>2495</v>
      </c>
      <c r="AJ1621" s="44" t="s">
        <v>57</v>
      </c>
      <c r="AK1621" s="33">
        <v>2050</v>
      </c>
      <c r="AL1621" s="45" t="str">
        <f t="shared" si="207"/>
        <v>*0.89</v>
      </c>
      <c r="AM1621" s="43" t="str">
        <f t="shared" si="209"/>
        <v>REZoning_Sol-Win</v>
      </c>
      <c r="AP1621" t="s">
        <v>2495</v>
      </c>
      <c r="AQ1621" t="s">
        <v>57</v>
      </c>
      <c r="AR1621">
        <v>2100</v>
      </c>
      <c r="AS1621" t="s">
        <v>937</v>
      </c>
      <c r="AT1621" t="s">
        <v>58</v>
      </c>
    </row>
    <row r="1622" ht="29" spans="1:46">
      <c r="A1622" s="31" t="s">
        <v>83</v>
      </c>
      <c r="C1622" t="s">
        <v>2496</v>
      </c>
      <c r="D1622" s="5" t="s">
        <v>57</v>
      </c>
      <c r="E1622">
        <v>2035</v>
      </c>
      <c r="F1622" s="6" t="str">
        <f t="shared" si="202"/>
        <v>*0.95</v>
      </c>
      <c r="H1622" t="s">
        <v>2496</v>
      </c>
      <c r="I1622" s="5" t="s">
        <v>57</v>
      </c>
      <c r="J1622">
        <v>2050</v>
      </c>
      <c r="K1622" s="38" t="str">
        <f t="shared" si="203"/>
        <v>*0.92</v>
      </c>
      <c r="P1622" s="32" t="s">
        <v>2496</v>
      </c>
      <c r="Q1622" s="42" t="s">
        <v>57</v>
      </c>
      <c r="R1622" s="32">
        <v>2035</v>
      </c>
      <c r="S1622" s="43" t="str">
        <f t="shared" si="204"/>
        <v>*0.95</v>
      </c>
      <c r="U1622" s="32" t="s">
        <v>2496</v>
      </c>
      <c r="V1622" s="42" t="s">
        <v>57</v>
      </c>
      <c r="W1622" s="32">
        <v>2050</v>
      </c>
      <c r="X1622" s="43" t="str">
        <f t="shared" si="205"/>
        <v>*0.92</v>
      </c>
      <c r="AC1622" s="33" t="s">
        <v>2496</v>
      </c>
      <c r="AD1622" s="44" t="s">
        <v>57</v>
      </c>
      <c r="AE1622" s="33">
        <v>2035</v>
      </c>
      <c r="AF1622" s="45" t="str">
        <f t="shared" si="206"/>
        <v>*0.93</v>
      </c>
      <c r="AG1622" s="43" t="str">
        <f t="shared" si="208"/>
        <v>REZoning_Sol-Win</v>
      </c>
      <c r="AI1622" s="33" t="s">
        <v>2496</v>
      </c>
      <c r="AJ1622" s="44" t="s">
        <v>57</v>
      </c>
      <c r="AK1622" s="33">
        <v>2050</v>
      </c>
      <c r="AL1622" s="45" t="str">
        <f t="shared" si="207"/>
        <v>*0.89</v>
      </c>
      <c r="AM1622" s="43" t="str">
        <f t="shared" si="209"/>
        <v>REZoning_Sol-Win</v>
      </c>
      <c r="AP1622" t="s">
        <v>2496</v>
      </c>
      <c r="AQ1622" t="s">
        <v>57</v>
      </c>
      <c r="AR1622">
        <v>2100</v>
      </c>
      <c r="AS1622" t="s">
        <v>937</v>
      </c>
      <c r="AT1622" t="s">
        <v>58</v>
      </c>
    </row>
    <row r="1623" ht="29" spans="1:46">
      <c r="A1623" s="31" t="s">
        <v>83</v>
      </c>
      <c r="C1623" t="s">
        <v>2497</v>
      </c>
      <c r="D1623" s="5" t="s">
        <v>57</v>
      </c>
      <c r="E1623">
        <v>2035</v>
      </c>
      <c r="F1623" s="6" t="str">
        <f t="shared" si="202"/>
        <v>*0.95</v>
      </c>
      <c r="H1623" t="s">
        <v>2497</v>
      </c>
      <c r="I1623" s="5" t="s">
        <v>57</v>
      </c>
      <c r="J1623">
        <v>2050</v>
      </c>
      <c r="K1623" s="38" t="str">
        <f t="shared" si="203"/>
        <v>*0.92</v>
      </c>
      <c r="P1623" s="32" t="s">
        <v>2497</v>
      </c>
      <c r="Q1623" s="42" t="s">
        <v>57</v>
      </c>
      <c r="R1623" s="32">
        <v>2035</v>
      </c>
      <c r="S1623" s="43" t="str">
        <f t="shared" si="204"/>
        <v>*0.95</v>
      </c>
      <c r="U1623" s="32" t="s">
        <v>2497</v>
      </c>
      <c r="V1623" s="42" t="s">
        <v>57</v>
      </c>
      <c r="W1623" s="32">
        <v>2050</v>
      </c>
      <c r="X1623" s="43" t="str">
        <f t="shared" si="205"/>
        <v>*0.92</v>
      </c>
      <c r="AC1623" s="33" t="s">
        <v>2497</v>
      </c>
      <c r="AD1623" s="44" t="s">
        <v>57</v>
      </c>
      <c r="AE1623" s="33">
        <v>2035</v>
      </c>
      <c r="AF1623" s="45" t="str">
        <f t="shared" si="206"/>
        <v>*0.93</v>
      </c>
      <c r="AG1623" s="43" t="str">
        <f t="shared" si="208"/>
        <v>REZoning_Sol-Win</v>
      </c>
      <c r="AI1623" s="33" t="s">
        <v>2497</v>
      </c>
      <c r="AJ1623" s="44" t="s">
        <v>57</v>
      </c>
      <c r="AK1623" s="33">
        <v>2050</v>
      </c>
      <c r="AL1623" s="45" t="str">
        <f t="shared" si="207"/>
        <v>*0.89</v>
      </c>
      <c r="AM1623" s="43" t="str">
        <f t="shared" si="209"/>
        <v>REZoning_Sol-Win</v>
      </c>
      <c r="AP1623" t="s">
        <v>2497</v>
      </c>
      <c r="AQ1623" t="s">
        <v>57</v>
      </c>
      <c r="AR1623">
        <v>2100</v>
      </c>
      <c r="AS1623" t="s">
        <v>937</v>
      </c>
      <c r="AT1623" t="s">
        <v>58</v>
      </c>
    </row>
    <row r="1624" ht="29" spans="1:46">
      <c r="A1624" s="31" t="s">
        <v>83</v>
      </c>
      <c r="C1624" t="s">
        <v>2498</v>
      </c>
      <c r="D1624" s="5" t="s">
        <v>57</v>
      </c>
      <c r="E1624">
        <v>2035</v>
      </c>
      <c r="F1624" s="6" t="str">
        <f t="shared" si="202"/>
        <v>*0.95</v>
      </c>
      <c r="H1624" t="s">
        <v>2498</v>
      </c>
      <c r="I1624" s="5" t="s">
        <v>57</v>
      </c>
      <c r="J1624">
        <v>2050</v>
      </c>
      <c r="K1624" s="38" t="str">
        <f t="shared" si="203"/>
        <v>*0.92</v>
      </c>
      <c r="P1624" s="32" t="s">
        <v>2498</v>
      </c>
      <c r="Q1624" s="42" t="s">
        <v>57</v>
      </c>
      <c r="R1624" s="32">
        <v>2035</v>
      </c>
      <c r="S1624" s="43" t="str">
        <f t="shared" si="204"/>
        <v>*0.95</v>
      </c>
      <c r="U1624" s="32" t="s">
        <v>2498</v>
      </c>
      <c r="V1624" s="42" t="s">
        <v>57</v>
      </c>
      <c r="W1624" s="32">
        <v>2050</v>
      </c>
      <c r="X1624" s="43" t="str">
        <f t="shared" si="205"/>
        <v>*0.92</v>
      </c>
      <c r="AC1624" s="33" t="s">
        <v>2498</v>
      </c>
      <c r="AD1624" s="44" t="s">
        <v>57</v>
      </c>
      <c r="AE1624" s="33">
        <v>2035</v>
      </c>
      <c r="AF1624" s="45" t="str">
        <f t="shared" si="206"/>
        <v>*0.93</v>
      </c>
      <c r="AG1624" s="43" t="str">
        <f t="shared" si="208"/>
        <v>REZoning_Sol-Win</v>
      </c>
      <c r="AI1624" s="33" t="s">
        <v>2498</v>
      </c>
      <c r="AJ1624" s="44" t="s">
        <v>57</v>
      </c>
      <c r="AK1624" s="33">
        <v>2050</v>
      </c>
      <c r="AL1624" s="45" t="str">
        <f t="shared" si="207"/>
        <v>*0.89</v>
      </c>
      <c r="AM1624" s="43" t="str">
        <f t="shared" si="209"/>
        <v>REZoning_Sol-Win</v>
      </c>
      <c r="AP1624" t="s">
        <v>2498</v>
      </c>
      <c r="AQ1624" t="s">
        <v>57</v>
      </c>
      <c r="AR1624">
        <v>2100</v>
      </c>
      <c r="AS1624" t="s">
        <v>937</v>
      </c>
      <c r="AT1624" t="s">
        <v>58</v>
      </c>
    </row>
    <row r="1625" ht="29" spans="1:46">
      <c r="A1625" s="31" t="s">
        <v>83</v>
      </c>
      <c r="C1625" t="s">
        <v>2499</v>
      </c>
      <c r="D1625" s="5" t="s">
        <v>57</v>
      </c>
      <c r="E1625">
        <v>2035</v>
      </c>
      <c r="F1625" s="6" t="str">
        <f t="shared" si="202"/>
        <v>*0.95</v>
      </c>
      <c r="H1625" t="s">
        <v>2499</v>
      </c>
      <c r="I1625" s="5" t="s">
        <v>57</v>
      </c>
      <c r="J1625">
        <v>2050</v>
      </c>
      <c r="K1625" s="38" t="str">
        <f t="shared" si="203"/>
        <v>*0.92</v>
      </c>
      <c r="P1625" s="32" t="s">
        <v>2499</v>
      </c>
      <c r="Q1625" s="42" t="s">
        <v>57</v>
      </c>
      <c r="R1625" s="32">
        <v>2035</v>
      </c>
      <c r="S1625" s="43" t="str">
        <f t="shared" si="204"/>
        <v>*0.95</v>
      </c>
      <c r="U1625" s="32" t="s">
        <v>2499</v>
      </c>
      <c r="V1625" s="42" t="s">
        <v>57</v>
      </c>
      <c r="W1625" s="32">
        <v>2050</v>
      </c>
      <c r="X1625" s="43" t="str">
        <f t="shared" si="205"/>
        <v>*0.92</v>
      </c>
      <c r="AC1625" s="33" t="s">
        <v>2499</v>
      </c>
      <c r="AD1625" s="44" t="s">
        <v>57</v>
      </c>
      <c r="AE1625" s="33">
        <v>2035</v>
      </c>
      <c r="AF1625" s="45" t="str">
        <f t="shared" si="206"/>
        <v>*0.93</v>
      </c>
      <c r="AG1625" s="43" t="str">
        <f t="shared" si="208"/>
        <v>REZoning_Sol-Win</v>
      </c>
      <c r="AI1625" s="33" t="s">
        <v>2499</v>
      </c>
      <c r="AJ1625" s="44" t="s">
        <v>57</v>
      </c>
      <c r="AK1625" s="33">
        <v>2050</v>
      </c>
      <c r="AL1625" s="45" t="str">
        <f t="shared" si="207"/>
        <v>*0.89</v>
      </c>
      <c r="AM1625" s="43" t="str">
        <f t="shared" si="209"/>
        <v>REZoning_Sol-Win</v>
      </c>
      <c r="AP1625" t="s">
        <v>2499</v>
      </c>
      <c r="AQ1625" t="s">
        <v>57</v>
      </c>
      <c r="AR1625">
        <v>2100</v>
      </c>
      <c r="AS1625" t="s">
        <v>937</v>
      </c>
      <c r="AT1625" t="s">
        <v>58</v>
      </c>
    </row>
    <row r="1626" ht="29" spans="1:46">
      <c r="A1626" s="31" t="s">
        <v>73</v>
      </c>
      <c r="C1626" t="s">
        <v>2500</v>
      </c>
      <c r="D1626" s="5" t="s">
        <v>57</v>
      </c>
      <c r="E1626">
        <v>2035</v>
      </c>
      <c r="F1626" s="6" t="str">
        <f t="shared" si="202"/>
        <v>*0.95</v>
      </c>
      <c r="H1626" t="s">
        <v>2500</v>
      </c>
      <c r="I1626" s="5" t="s">
        <v>57</v>
      </c>
      <c r="J1626">
        <v>2050</v>
      </c>
      <c r="K1626" s="38" t="str">
        <f t="shared" si="203"/>
        <v>*0.93</v>
      </c>
      <c r="P1626" s="32" t="s">
        <v>2500</v>
      </c>
      <c r="Q1626" s="42" t="s">
        <v>57</v>
      </c>
      <c r="R1626" s="32">
        <v>2035</v>
      </c>
      <c r="S1626" s="43" t="str">
        <f t="shared" si="204"/>
        <v>*0.95</v>
      </c>
      <c r="U1626" s="32" t="s">
        <v>2500</v>
      </c>
      <c r="V1626" s="42" t="s">
        <v>57</v>
      </c>
      <c r="W1626" s="32">
        <v>2050</v>
      </c>
      <c r="X1626" s="43" t="str">
        <f t="shared" si="205"/>
        <v>*0.93</v>
      </c>
      <c r="AC1626" s="33" t="s">
        <v>2500</v>
      </c>
      <c r="AD1626" s="44" t="s">
        <v>57</v>
      </c>
      <c r="AE1626" s="33">
        <v>2035</v>
      </c>
      <c r="AF1626" s="45" t="str">
        <f t="shared" si="206"/>
        <v>*0.93</v>
      </c>
      <c r="AG1626" s="43" t="str">
        <f t="shared" si="208"/>
        <v>REZoning_Sol-Win</v>
      </c>
      <c r="AI1626" s="33" t="s">
        <v>2500</v>
      </c>
      <c r="AJ1626" s="44" t="s">
        <v>57</v>
      </c>
      <c r="AK1626" s="33">
        <v>2050</v>
      </c>
      <c r="AL1626" s="45" t="str">
        <f t="shared" si="207"/>
        <v>*0.9</v>
      </c>
      <c r="AM1626" s="43" t="str">
        <f t="shared" si="209"/>
        <v>REZoning_Sol-Win</v>
      </c>
      <c r="AP1626" t="s">
        <v>2500</v>
      </c>
      <c r="AQ1626" t="s">
        <v>57</v>
      </c>
      <c r="AR1626">
        <v>2100</v>
      </c>
      <c r="AS1626" t="s">
        <v>897</v>
      </c>
      <c r="AT1626" t="s">
        <v>58</v>
      </c>
    </row>
    <row r="1627" ht="29" spans="1:46">
      <c r="A1627" s="31" t="s">
        <v>73</v>
      </c>
      <c r="C1627" t="s">
        <v>2501</v>
      </c>
      <c r="D1627" s="5" t="s">
        <v>57</v>
      </c>
      <c r="E1627">
        <v>2035</v>
      </c>
      <c r="F1627" s="6" t="str">
        <f t="shared" si="202"/>
        <v>*0.95</v>
      </c>
      <c r="H1627" t="s">
        <v>2501</v>
      </c>
      <c r="I1627" s="5" t="s">
        <v>57</v>
      </c>
      <c r="J1627">
        <v>2050</v>
      </c>
      <c r="K1627" s="38" t="str">
        <f t="shared" si="203"/>
        <v>*0.93</v>
      </c>
      <c r="P1627" s="32" t="s">
        <v>2501</v>
      </c>
      <c r="Q1627" s="42" t="s">
        <v>57</v>
      </c>
      <c r="R1627" s="32">
        <v>2035</v>
      </c>
      <c r="S1627" s="43" t="str">
        <f t="shared" si="204"/>
        <v>*0.95</v>
      </c>
      <c r="U1627" s="32" t="s">
        <v>2501</v>
      </c>
      <c r="V1627" s="42" t="s">
        <v>57</v>
      </c>
      <c r="W1627" s="32">
        <v>2050</v>
      </c>
      <c r="X1627" s="43" t="str">
        <f t="shared" si="205"/>
        <v>*0.93</v>
      </c>
      <c r="AC1627" s="33" t="s">
        <v>2501</v>
      </c>
      <c r="AD1627" s="44" t="s">
        <v>57</v>
      </c>
      <c r="AE1627" s="33">
        <v>2035</v>
      </c>
      <c r="AF1627" s="45" t="str">
        <f t="shared" si="206"/>
        <v>*0.93</v>
      </c>
      <c r="AG1627" s="43" t="str">
        <f t="shared" si="208"/>
        <v>REZoning_Sol-Win</v>
      </c>
      <c r="AI1627" s="33" t="s">
        <v>2501</v>
      </c>
      <c r="AJ1627" s="44" t="s">
        <v>57</v>
      </c>
      <c r="AK1627" s="33">
        <v>2050</v>
      </c>
      <c r="AL1627" s="45" t="str">
        <f t="shared" si="207"/>
        <v>*0.9</v>
      </c>
      <c r="AM1627" s="43" t="str">
        <f t="shared" si="209"/>
        <v>REZoning_Sol-Win</v>
      </c>
      <c r="AP1627" t="s">
        <v>2501</v>
      </c>
      <c r="AQ1627" t="s">
        <v>57</v>
      </c>
      <c r="AR1627">
        <v>2100</v>
      </c>
      <c r="AS1627" t="s">
        <v>897</v>
      </c>
      <c r="AT1627" t="s">
        <v>58</v>
      </c>
    </row>
    <row r="1628" ht="29" spans="1:46">
      <c r="A1628" s="31" t="s">
        <v>73</v>
      </c>
      <c r="C1628" t="s">
        <v>2502</v>
      </c>
      <c r="D1628" s="5" t="s">
        <v>57</v>
      </c>
      <c r="E1628">
        <v>2035</v>
      </c>
      <c r="F1628" s="6" t="str">
        <f t="shared" si="202"/>
        <v>*0.95</v>
      </c>
      <c r="H1628" t="s">
        <v>2502</v>
      </c>
      <c r="I1628" s="5" t="s">
        <v>57</v>
      </c>
      <c r="J1628">
        <v>2050</v>
      </c>
      <c r="K1628" s="38" t="str">
        <f t="shared" si="203"/>
        <v>*0.93</v>
      </c>
      <c r="P1628" s="32" t="s">
        <v>2502</v>
      </c>
      <c r="Q1628" s="42" t="s">
        <v>57</v>
      </c>
      <c r="R1628" s="32">
        <v>2035</v>
      </c>
      <c r="S1628" s="43" t="str">
        <f t="shared" si="204"/>
        <v>*0.95</v>
      </c>
      <c r="U1628" s="32" t="s">
        <v>2502</v>
      </c>
      <c r="V1628" s="42" t="s">
        <v>57</v>
      </c>
      <c r="W1628" s="32">
        <v>2050</v>
      </c>
      <c r="X1628" s="43" t="str">
        <f t="shared" si="205"/>
        <v>*0.93</v>
      </c>
      <c r="AC1628" s="33" t="s">
        <v>2502</v>
      </c>
      <c r="AD1628" s="44" t="s">
        <v>57</v>
      </c>
      <c r="AE1628" s="33">
        <v>2035</v>
      </c>
      <c r="AF1628" s="45" t="str">
        <f t="shared" si="206"/>
        <v>*0.93</v>
      </c>
      <c r="AG1628" s="43" t="str">
        <f t="shared" si="208"/>
        <v>REZoning_Sol-Win</v>
      </c>
      <c r="AI1628" s="33" t="s">
        <v>2502</v>
      </c>
      <c r="AJ1628" s="44" t="s">
        <v>57</v>
      </c>
      <c r="AK1628" s="33">
        <v>2050</v>
      </c>
      <c r="AL1628" s="45" t="str">
        <f t="shared" si="207"/>
        <v>*0.9</v>
      </c>
      <c r="AM1628" s="43" t="str">
        <f t="shared" si="209"/>
        <v>REZoning_Sol-Win</v>
      </c>
      <c r="AP1628" t="s">
        <v>2502</v>
      </c>
      <c r="AQ1628" t="s">
        <v>57</v>
      </c>
      <c r="AR1628">
        <v>2100</v>
      </c>
      <c r="AS1628" t="s">
        <v>897</v>
      </c>
      <c r="AT1628" t="s">
        <v>58</v>
      </c>
    </row>
    <row r="1629" ht="29" spans="1:46">
      <c r="A1629" s="31" t="s">
        <v>73</v>
      </c>
      <c r="C1629" t="s">
        <v>2503</v>
      </c>
      <c r="D1629" s="5" t="s">
        <v>57</v>
      </c>
      <c r="E1629">
        <v>2035</v>
      </c>
      <c r="F1629" s="6" t="str">
        <f t="shared" si="202"/>
        <v>*0.95</v>
      </c>
      <c r="H1629" t="s">
        <v>2503</v>
      </c>
      <c r="I1629" s="5" t="s">
        <v>57</v>
      </c>
      <c r="J1629">
        <v>2050</v>
      </c>
      <c r="K1629" s="38" t="str">
        <f t="shared" si="203"/>
        <v>*0.93</v>
      </c>
      <c r="P1629" s="32" t="s">
        <v>2503</v>
      </c>
      <c r="Q1629" s="42" t="s">
        <v>57</v>
      </c>
      <c r="R1629" s="32">
        <v>2035</v>
      </c>
      <c r="S1629" s="43" t="str">
        <f t="shared" si="204"/>
        <v>*0.95</v>
      </c>
      <c r="U1629" s="32" t="s">
        <v>2503</v>
      </c>
      <c r="V1629" s="42" t="s">
        <v>57</v>
      </c>
      <c r="W1629" s="32">
        <v>2050</v>
      </c>
      <c r="X1629" s="43" t="str">
        <f t="shared" si="205"/>
        <v>*0.93</v>
      </c>
      <c r="AC1629" s="33" t="s">
        <v>2503</v>
      </c>
      <c r="AD1629" s="44" t="s">
        <v>57</v>
      </c>
      <c r="AE1629" s="33">
        <v>2035</v>
      </c>
      <c r="AF1629" s="45" t="str">
        <f t="shared" si="206"/>
        <v>*0.93</v>
      </c>
      <c r="AG1629" s="43" t="str">
        <f t="shared" si="208"/>
        <v>REZoning_Sol-Win</v>
      </c>
      <c r="AI1629" s="33" t="s">
        <v>2503</v>
      </c>
      <c r="AJ1629" s="44" t="s">
        <v>57</v>
      </c>
      <c r="AK1629" s="33">
        <v>2050</v>
      </c>
      <c r="AL1629" s="45" t="str">
        <f t="shared" si="207"/>
        <v>*0.9</v>
      </c>
      <c r="AM1629" s="43" t="str">
        <f t="shared" si="209"/>
        <v>REZoning_Sol-Win</v>
      </c>
      <c r="AP1629" t="s">
        <v>2503</v>
      </c>
      <c r="AQ1629" t="s">
        <v>57</v>
      </c>
      <c r="AR1629">
        <v>2100</v>
      </c>
      <c r="AS1629" t="s">
        <v>897</v>
      </c>
      <c r="AT1629" t="s">
        <v>58</v>
      </c>
    </row>
    <row r="1630" ht="29" spans="1:46">
      <c r="A1630" s="31" t="s">
        <v>73</v>
      </c>
      <c r="C1630" t="s">
        <v>2504</v>
      </c>
      <c r="D1630" s="5" t="s">
        <v>57</v>
      </c>
      <c r="E1630">
        <v>2035</v>
      </c>
      <c r="F1630" s="6" t="str">
        <f t="shared" si="202"/>
        <v>*0.95</v>
      </c>
      <c r="H1630" t="s">
        <v>2504</v>
      </c>
      <c r="I1630" s="5" t="s">
        <v>57</v>
      </c>
      <c r="J1630">
        <v>2050</v>
      </c>
      <c r="K1630" s="38" t="str">
        <f t="shared" si="203"/>
        <v>*0.93</v>
      </c>
      <c r="P1630" s="32" t="s">
        <v>2504</v>
      </c>
      <c r="Q1630" s="42" t="s">
        <v>57</v>
      </c>
      <c r="R1630" s="32">
        <v>2035</v>
      </c>
      <c r="S1630" s="43" t="str">
        <f t="shared" si="204"/>
        <v>*0.95</v>
      </c>
      <c r="U1630" s="32" t="s">
        <v>2504</v>
      </c>
      <c r="V1630" s="42" t="s">
        <v>57</v>
      </c>
      <c r="W1630" s="32">
        <v>2050</v>
      </c>
      <c r="X1630" s="43" t="str">
        <f t="shared" si="205"/>
        <v>*0.93</v>
      </c>
      <c r="AC1630" s="33" t="s">
        <v>2504</v>
      </c>
      <c r="AD1630" s="44" t="s">
        <v>57</v>
      </c>
      <c r="AE1630" s="33">
        <v>2035</v>
      </c>
      <c r="AF1630" s="45" t="str">
        <f t="shared" si="206"/>
        <v>*0.93</v>
      </c>
      <c r="AG1630" s="43" t="str">
        <f t="shared" si="208"/>
        <v>REZoning_Sol-Win</v>
      </c>
      <c r="AI1630" s="33" t="s">
        <v>2504</v>
      </c>
      <c r="AJ1630" s="44" t="s">
        <v>57</v>
      </c>
      <c r="AK1630" s="33">
        <v>2050</v>
      </c>
      <c r="AL1630" s="45" t="str">
        <f t="shared" si="207"/>
        <v>*0.9</v>
      </c>
      <c r="AM1630" s="43" t="str">
        <f t="shared" si="209"/>
        <v>REZoning_Sol-Win</v>
      </c>
      <c r="AP1630" t="s">
        <v>2504</v>
      </c>
      <c r="AQ1630" t="s">
        <v>57</v>
      </c>
      <c r="AR1630">
        <v>2100</v>
      </c>
      <c r="AS1630" t="s">
        <v>897</v>
      </c>
      <c r="AT1630" t="s">
        <v>58</v>
      </c>
    </row>
    <row r="1631" ht="29" spans="1:46">
      <c r="A1631" s="31" t="s">
        <v>73</v>
      </c>
      <c r="C1631" t="s">
        <v>2505</v>
      </c>
      <c r="D1631" s="5" t="s">
        <v>57</v>
      </c>
      <c r="E1631">
        <v>2035</v>
      </c>
      <c r="F1631" s="6" t="str">
        <f t="shared" si="202"/>
        <v>*0.95</v>
      </c>
      <c r="H1631" t="s">
        <v>2505</v>
      </c>
      <c r="I1631" s="5" t="s">
        <v>57</v>
      </c>
      <c r="J1631">
        <v>2050</v>
      </c>
      <c r="K1631" s="38" t="str">
        <f t="shared" si="203"/>
        <v>*0.93</v>
      </c>
      <c r="P1631" s="32" t="s">
        <v>2505</v>
      </c>
      <c r="Q1631" s="42" t="s">
        <v>57</v>
      </c>
      <c r="R1631" s="32">
        <v>2035</v>
      </c>
      <c r="S1631" s="43" t="str">
        <f t="shared" si="204"/>
        <v>*0.95</v>
      </c>
      <c r="U1631" s="32" t="s">
        <v>2505</v>
      </c>
      <c r="V1631" s="42" t="s">
        <v>57</v>
      </c>
      <c r="W1631" s="32">
        <v>2050</v>
      </c>
      <c r="X1631" s="43" t="str">
        <f t="shared" si="205"/>
        <v>*0.93</v>
      </c>
      <c r="AC1631" s="33" t="s">
        <v>2505</v>
      </c>
      <c r="AD1631" s="44" t="s">
        <v>57</v>
      </c>
      <c r="AE1631" s="33">
        <v>2035</v>
      </c>
      <c r="AF1631" s="45" t="str">
        <f t="shared" si="206"/>
        <v>*0.93</v>
      </c>
      <c r="AG1631" s="43" t="str">
        <f t="shared" si="208"/>
        <v>REZoning_Sol-Win</v>
      </c>
      <c r="AI1631" s="33" t="s">
        <v>2505</v>
      </c>
      <c r="AJ1631" s="44" t="s">
        <v>57</v>
      </c>
      <c r="AK1631" s="33">
        <v>2050</v>
      </c>
      <c r="AL1631" s="45" t="str">
        <f t="shared" si="207"/>
        <v>*0.9</v>
      </c>
      <c r="AM1631" s="43" t="str">
        <f t="shared" si="209"/>
        <v>REZoning_Sol-Win</v>
      </c>
      <c r="AP1631" t="s">
        <v>2505</v>
      </c>
      <c r="AQ1631" t="s">
        <v>57</v>
      </c>
      <c r="AR1631">
        <v>2100</v>
      </c>
      <c r="AS1631" t="s">
        <v>897</v>
      </c>
      <c r="AT1631" t="s">
        <v>58</v>
      </c>
    </row>
    <row r="1632" ht="29" spans="1:46">
      <c r="A1632" s="31" t="s">
        <v>73</v>
      </c>
      <c r="C1632" t="s">
        <v>2506</v>
      </c>
      <c r="D1632" s="5" t="s">
        <v>57</v>
      </c>
      <c r="E1632">
        <v>2035</v>
      </c>
      <c r="F1632" s="6" t="str">
        <f t="shared" si="202"/>
        <v>*0.95</v>
      </c>
      <c r="H1632" t="s">
        <v>2506</v>
      </c>
      <c r="I1632" s="5" t="s">
        <v>57</v>
      </c>
      <c r="J1632">
        <v>2050</v>
      </c>
      <c r="K1632" s="38" t="str">
        <f t="shared" si="203"/>
        <v>*0.93</v>
      </c>
      <c r="P1632" s="32" t="s">
        <v>2506</v>
      </c>
      <c r="Q1632" s="42" t="s">
        <v>57</v>
      </c>
      <c r="R1632" s="32">
        <v>2035</v>
      </c>
      <c r="S1632" s="43" t="str">
        <f t="shared" si="204"/>
        <v>*0.95</v>
      </c>
      <c r="U1632" s="32" t="s">
        <v>2506</v>
      </c>
      <c r="V1632" s="42" t="s">
        <v>57</v>
      </c>
      <c r="W1632" s="32">
        <v>2050</v>
      </c>
      <c r="X1632" s="43" t="str">
        <f t="shared" si="205"/>
        <v>*0.93</v>
      </c>
      <c r="AC1632" s="33" t="s">
        <v>2506</v>
      </c>
      <c r="AD1632" s="44" t="s">
        <v>57</v>
      </c>
      <c r="AE1632" s="33">
        <v>2035</v>
      </c>
      <c r="AF1632" s="45" t="str">
        <f t="shared" si="206"/>
        <v>*0.93</v>
      </c>
      <c r="AG1632" s="43" t="str">
        <f t="shared" si="208"/>
        <v>REZoning_Sol-Win</v>
      </c>
      <c r="AI1632" s="33" t="s">
        <v>2506</v>
      </c>
      <c r="AJ1632" s="44" t="s">
        <v>57</v>
      </c>
      <c r="AK1632" s="33">
        <v>2050</v>
      </c>
      <c r="AL1632" s="45" t="str">
        <f t="shared" si="207"/>
        <v>*0.9</v>
      </c>
      <c r="AM1632" s="43" t="str">
        <f t="shared" si="209"/>
        <v>REZoning_Sol-Win</v>
      </c>
      <c r="AP1632" t="s">
        <v>2506</v>
      </c>
      <c r="AQ1632" t="s">
        <v>57</v>
      </c>
      <c r="AR1632">
        <v>2100</v>
      </c>
      <c r="AS1632" t="s">
        <v>897</v>
      </c>
      <c r="AT1632" t="s">
        <v>58</v>
      </c>
    </row>
    <row r="1633" ht="29" spans="1:46">
      <c r="A1633" s="31" t="s">
        <v>73</v>
      </c>
      <c r="C1633" t="s">
        <v>2507</v>
      </c>
      <c r="D1633" s="5" t="s">
        <v>57</v>
      </c>
      <c r="E1633">
        <v>2035</v>
      </c>
      <c r="F1633" s="6" t="str">
        <f t="shared" si="202"/>
        <v>*0.95</v>
      </c>
      <c r="H1633" t="s">
        <v>2507</v>
      </c>
      <c r="I1633" s="5" t="s">
        <v>57</v>
      </c>
      <c r="J1633">
        <v>2050</v>
      </c>
      <c r="K1633" s="38" t="str">
        <f t="shared" si="203"/>
        <v>*0.93</v>
      </c>
      <c r="P1633" s="32" t="s">
        <v>2507</v>
      </c>
      <c r="Q1633" s="42" t="s">
        <v>57</v>
      </c>
      <c r="R1633" s="32">
        <v>2035</v>
      </c>
      <c r="S1633" s="43" t="str">
        <f t="shared" si="204"/>
        <v>*0.95</v>
      </c>
      <c r="U1633" s="32" t="s">
        <v>2507</v>
      </c>
      <c r="V1633" s="42" t="s">
        <v>57</v>
      </c>
      <c r="W1633" s="32">
        <v>2050</v>
      </c>
      <c r="X1633" s="43" t="str">
        <f t="shared" si="205"/>
        <v>*0.93</v>
      </c>
      <c r="AC1633" s="33" t="s">
        <v>2507</v>
      </c>
      <c r="AD1633" s="44" t="s">
        <v>57</v>
      </c>
      <c r="AE1633" s="33">
        <v>2035</v>
      </c>
      <c r="AF1633" s="45" t="str">
        <f t="shared" si="206"/>
        <v>*0.93</v>
      </c>
      <c r="AG1633" s="43" t="str">
        <f t="shared" si="208"/>
        <v>REZoning_Sol-Win</v>
      </c>
      <c r="AI1633" s="33" t="s">
        <v>2507</v>
      </c>
      <c r="AJ1633" s="44" t="s">
        <v>57</v>
      </c>
      <c r="AK1633" s="33">
        <v>2050</v>
      </c>
      <c r="AL1633" s="45" t="str">
        <f t="shared" si="207"/>
        <v>*0.9</v>
      </c>
      <c r="AM1633" s="43" t="str">
        <f t="shared" si="209"/>
        <v>REZoning_Sol-Win</v>
      </c>
      <c r="AP1633" t="s">
        <v>2507</v>
      </c>
      <c r="AQ1633" t="s">
        <v>57</v>
      </c>
      <c r="AR1633">
        <v>2100</v>
      </c>
      <c r="AS1633" t="s">
        <v>897</v>
      </c>
      <c r="AT1633" t="s">
        <v>58</v>
      </c>
    </row>
    <row r="1634" ht="29" spans="1:46">
      <c r="A1634" s="31" t="s">
        <v>73</v>
      </c>
      <c r="C1634" t="s">
        <v>2508</v>
      </c>
      <c r="D1634" s="5" t="s">
        <v>57</v>
      </c>
      <c r="E1634">
        <v>2035</v>
      </c>
      <c r="F1634" s="6" t="str">
        <f t="shared" si="202"/>
        <v>*0.95</v>
      </c>
      <c r="H1634" t="s">
        <v>2508</v>
      </c>
      <c r="I1634" s="5" t="s">
        <v>57</v>
      </c>
      <c r="J1634">
        <v>2050</v>
      </c>
      <c r="K1634" s="38" t="str">
        <f t="shared" si="203"/>
        <v>*0.93</v>
      </c>
      <c r="P1634" s="32" t="s">
        <v>2508</v>
      </c>
      <c r="Q1634" s="42" t="s">
        <v>57</v>
      </c>
      <c r="R1634" s="32">
        <v>2035</v>
      </c>
      <c r="S1634" s="43" t="str">
        <f t="shared" si="204"/>
        <v>*0.95</v>
      </c>
      <c r="U1634" s="32" t="s">
        <v>2508</v>
      </c>
      <c r="V1634" s="42" t="s">
        <v>57</v>
      </c>
      <c r="W1634" s="32">
        <v>2050</v>
      </c>
      <c r="X1634" s="43" t="str">
        <f t="shared" si="205"/>
        <v>*0.93</v>
      </c>
      <c r="AC1634" s="33" t="s">
        <v>2508</v>
      </c>
      <c r="AD1634" s="44" t="s">
        <v>57</v>
      </c>
      <c r="AE1634" s="33">
        <v>2035</v>
      </c>
      <c r="AF1634" s="45" t="str">
        <f t="shared" si="206"/>
        <v>*0.93</v>
      </c>
      <c r="AG1634" s="43" t="str">
        <f t="shared" si="208"/>
        <v>REZoning_Sol-Win</v>
      </c>
      <c r="AI1634" s="33" t="s">
        <v>2508</v>
      </c>
      <c r="AJ1634" s="44" t="s">
        <v>57</v>
      </c>
      <c r="AK1634" s="33">
        <v>2050</v>
      </c>
      <c r="AL1634" s="45" t="str">
        <f t="shared" si="207"/>
        <v>*0.9</v>
      </c>
      <c r="AM1634" s="43" t="str">
        <f t="shared" si="209"/>
        <v>REZoning_Sol-Win</v>
      </c>
      <c r="AP1634" t="s">
        <v>2508</v>
      </c>
      <c r="AQ1634" t="s">
        <v>57</v>
      </c>
      <c r="AR1634">
        <v>2100</v>
      </c>
      <c r="AS1634" t="s">
        <v>897</v>
      </c>
      <c r="AT1634" t="s">
        <v>58</v>
      </c>
    </row>
    <row r="1635" ht="29" spans="1:46">
      <c r="A1635" s="31" t="s">
        <v>73</v>
      </c>
      <c r="C1635" t="s">
        <v>2509</v>
      </c>
      <c r="D1635" s="5" t="s">
        <v>57</v>
      </c>
      <c r="E1635">
        <v>2035</v>
      </c>
      <c r="F1635" s="6" t="str">
        <f t="shared" si="202"/>
        <v>*0.95</v>
      </c>
      <c r="H1635" t="s">
        <v>2509</v>
      </c>
      <c r="I1635" s="5" t="s">
        <v>57</v>
      </c>
      <c r="J1635">
        <v>2050</v>
      </c>
      <c r="K1635" s="38" t="str">
        <f t="shared" si="203"/>
        <v>*0.93</v>
      </c>
      <c r="P1635" s="32" t="s">
        <v>2509</v>
      </c>
      <c r="Q1635" s="42" t="s">
        <v>57</v>
      </c>
      <c r="R1635" s="32">
        <v>2035</v>
      </c>
      <c r="S1635" s="43" t="str">
        <f t="shared" si="204"/>
        <v>*0.95</v>
      </c>
      <c r="U1635" s="32" t="s">
        <v>2509</v>
      </c>
      <c r="V1635" s="42" t="s">
        <v>57</v>
      </c>
      <c r="W1635" s="32">
        <v>2050</v>
      </c>
      <c r="X1635" s="43" t="str">
        <f t="shared" si="205"/>
        <v>*0.93</v>
      </c>
      <c r="AC1635" s="33" t="s">
        <v>2509</v>
      </c>
      <c r="AD1635" s="44" t="s">
        <v>57</v>
      </c>
      <c r="AE1635" s="33">
        <v>2035</v>
      </c>
      <c r="AF1635" s="45" t="str">
        <f t="shared" si="206"/>
        <v>*0.93</v>
      </c>
      <c r="AG1635" s="43" t="str">
        <f t="shared" si="208"/>
        <v>REZoning_Sol-Win</v>
      </c>
      <c r="AI1635" s="33" t="s">
        <v>2509</v>
      </c>
      <c r="AJ1635" s="44" t="s">
        <v>57</v>
      </c>
      <c r="AK1635" s="33">
        <v>2050</v>
      </c>
      <c r="AL1635" s="45" t="str">
        <f t="shared" si="207"/>
        <v>*0.9</v>
      </c>
      <c r="AM1635" s="43" t="str">
        <f t="shared" si="209"/>
        <v>REZoning_Sol-Win</v>
      </c>
      <c r="AP1635" t="s">
        <v>2509</v>
      </c>
      <c r="AQ1635" t="s">
        <v>57</v>
      </c>
      <c r="AR1635">
        <v>2100</v>
      </c>
      <c r="AS1635" t="s">
        <v>897</v>
      </c>
      <c r="AT1635" t="s">
        <v>58</v>
      </c>
    </row>
    <row r="1636" ht="29" spans="1:46">
      <c r="A1636" s="31" t="s">
        <v>73</v>
      </c>
      <c r="C1636" t="s">
        <v>2510</v>
      </c>
      <c r="D1636" s="5" t="s">
        <v>57</v>
      </c>
      <c r="E1636">
        <v>2035</v>
      </c>
      <c r="F1636" s="6" t="str">
        <f t="shared" si="202"/>
        <v>*0.95</v>
      </c>
      <c r="H1636" t="s">
        <v>2510</v>
      </c>
      <c r="I1636" s="5" t="s">
        <v>57</v>
      </c>
      <c r="J1636">
        <v>2050</v>
      </c>
      <c r="K1636" s="38" t="str">
        <f t="shared" si="203"/>
        <v>*0.93</v>
      </c>
      <c r="P1636" s="32" t="s">
        <v>2510</v>
      </c>
      <c r="Q1636" s="42" t="s">
        <v>57</v>
      </c>
      <c r="R1636" s="32">
        <v>2035</v>
      </c>
      <c r="S1636" s="43" t="str">
        <f t="shared" si="204"/>
        <v>*0.95</v>
      </c>
      <c r="U1636" s="32" t="s">
        <v>2510</v>
      </c>
      <c r="V1636" s="42" t="s">
        <v>57</v>
      </c>
      <c r="W1636" s="32">
        <v>2050</v>
      </c>
      <c r="X1636" s="43" t="str">
        <f t="shared" si="205"/>
        <v>*0.93</v>
      </c>
      <c r="AC1636" s="33" t="s">
        <v>2510</v>
      </c>
      <c r="AD1636" s="44" t="s">
        <v>57</v>
      </c>
      <c r="AE1636" s="33">
        <v>2035</v>
      </c>
      <c r="AF1636" s="45" t="str">
        <f t="shared" si="206"/>
        <v>*0.93</v>
      </c>
      <c r="AG1636" s="43" t="str">
        <f t="shared" si="208"/>
        <v>REZoning_Sol-Win</v>
      </c>
      <c r="AI1636" s="33" t="s">
        <v>2510</v>
      </c>
      <c r="AJ1636" s="44" t="s">
        <v>57</v>
      </c>
      <c r="AK1636" s="33">
        <v>2050</v>
      </c>
      <c r="AL1636" s="45" t="str">
        <f t="shared" si="207"/>
        <v>*0.9</v>
      </c>
      <c r="AM1636" s="43" t="str">
        <f t="shared" si="209"/>
        <v>REZoning_Sol-Win</v>
      </c>
      <c r="AP1636" t="s">
        <v>2510</v>
      </c>
      <c r="AQ1636" t="s">
        <v>57</v>
      </c>
      <c r="AR1636">
        <v>2100</v>
      </c>
      <c r="AS1636" t="s">
        <v>897</v>
      </c>
      <c r="AT1636" t="s">
        <v>58</v>
      </c>
    </row>
    <row r="1637" ht="29" spans="1:46">
      <c r="A1637" s="31" t="s">
        <v>73</v>
      </c>
      <c r="C1637" t="s">
        <v>2511</v>
      </c>
      <c r="D1637" s="5" t="s">
        <v>57</v>
      </c>
      <c r="E1637">
        <v>2035</v>
      </c>
      <c r="F1637" s="6" t="str">
        <f t="shared" si="202"/>
        <v>*0.95</v>
      </c>
      <c r="H1637" t="s">
        <v>2511</v>
      </c>
      <c r="I1637" s="5" t="s">
        <v>57</v>
      </c>
      <c r="J1637">
        <v>2050</v>
      </c>
      <c r="K1637" s="38" t="str">
        <f t="shared" si="203"/>
        <v>*0.93</v>
      </c>
      <c r="P1637" s="32" t="s">
        <v>2511</v>
      </c>
      <c r="Q1637" s="42" t="s">
        <v>57</v>
      </c>
      <c r="R1637" s="32">
        <v>2035</v>
      </c>
      <c r="S1637" s="43" t="str">
        <f t="shared" si="204"/>
        <v>*0.95</v>
      </c>
      <c r="U1637" s="32" t="s">
        <v>2511</v>
      </c>
      <c r="V1637" s="42" t="s">
        <v>57</v>
      </c>
      <c r="W1637" s="32">
        <v>2050</v>
      </c>
      <c r="X1637" s="43" t="str">
        <f t="shared" si="205"/>
        <v>*0.93</v>
      </c>
      <c r="AC1637" s="33" t="s">
        <v>2511</v>
      </c>
      <c r="AD1637" s="44" t="s">
        <v>57</v>
      </c>
      <c r="AE1637" s="33">
        <v>2035</v>
      </c>
      <c r="AF1637" s="45" t="str">
        <f t="shared" si="206"/>
        <v>*0.93</v>
      </c>
      <c r="AG1637" s="43" t="str">
        <f t="shared" si="208"/>
        <v>REZoning_Sol-Win</v>
      </c>
      <c r="AI1637" s="33" t="s">
        <v>2511</v>
      </c>
      <c r="AJ1637" s="44" t="s">
        <v>57</v>
      </c>
      <c r="AK1637" s="33">
        <v>2050</v>
      </c>
      <c r="AL1637" s="45" t="str">
        <f t="shared" si="207"/>
        <v>*0.9</v>
      </c>
      <c r="AM1637" s="43" t="str">
        <f t="shared" si="209"/>
        <v>REZoning_Sol-Win</v>
      </c>
      <c r="AP1637" t="s">
        <v>2511</v>
      </c>
      <c r="AQ1637" t="s">
        <v>57</v>
      </c>
      <c r="AR1637">
        <v>2100</v>
      </c>
      <c r="AS1637" t="s">
        <v>897</v>
      </c>
      <c r="AT1637" t="s">
        <v>58</v>
      </c>
    </row>
    <row r="1638" ht="29" spans="1:46">
      <c r="A1638" s="31" t="s">
        <v>73</v>
      </c>
      <c r="C1638" t="s">
        <v>2512</v>
      </c>
      <c r="D1638" s="5" t="s">
        <v>57</v>
      </c>
      <c r="E1638">
        <v>2035</v>
      </c>
      <c r="F1638" s="6" t="str">
        <f t="shared" si="202"/>
        <v>*0.95</v>
      </c>
      <c r="H1638" t="s">
        <v>2512</v>
      </c>
      <c r="I1638" s="5" t="s">
        <v>57</v>
      </c>
      <c r="J1638">
        <v>2050</v>
      </c>
      <c r="K1638" s="38" t="str">
        <f t="shared" si="203"/>
        <v>*0.93</v>
      </c>
      <c r="P1638" s="32" t="s">
        <v>2512</v>
      </c>
      <c r="Q1638" s="42" t="s">
        <v>57</v>
      </c>
      <c r="R1638" s="32">
        <v>2035</v>
      </c>
      <c r="S1638" s="43" t="str">
        <f t="shared" si="204"/>
        <v>*0.95</v>
      </c>
      <c r="U1638" s="32" t="s">
        <v>2512</v>
      </c>
      <c r="V1638" s="42" t="s">
        <v>57</v>
      </c>
      <c r="W1638" s="32">
        <v>2050</v>
      </c>
      <c r="X1638" s="43" t="str">
        <f t="shared" si="205"/>
        <v>*0.93</v>
      </c>
      <c r="AC1638" s="33" t="s">
        <v>2512</v>
      </c>
      <c r="AD1638" s="44" t="s">
        <v>57</v>
      </c>
      <c r="AE1638" s="33">
        <v>2035</v>
      </c>
      <c r="AF1638" s="45" t="str">
        <f t="shared" si="206"/>
        <v>*0.93</v>
      </c>
      <c r="AG1638" s="43" t="str">
        <f t="shared" si="208"/>
        <v>REZoning_Sol-Win</v>
      </c>
      <c r="AI1638" s="33" t="s">
        <v>2512</v>
      </c>
      <c r="AJ1638" s="44" t="s">
        <v>57</v>
      </c>
      <c r="AK1638" s="33">
        <v>2050</v>
      </c>
      <c r="AL1638" s="45" t="str">
        <f t="shared" si="207"/>
        <v>*0.9</v>
      </c>
      <c r="AM1638" s="43" t="str">
        <f t="shared" si="209"/>
        <v>REZoning_Sol-Win</v>
      </c>
      <c r="AP1638" t="s">
        <v>2512</v>
      </c>
      <c r="AQ1638" t="s">
        <v>57</v>
      </c>
      <c r="AR1638">
        <v>2100</v>
      </c>
      <c r="AS1638" t="s">
        <v>897</v>
      </c>
      <c r="AT1638" t="s">
        <v>58</v>
      </c>
    </row>
    <row r="1639" ht="29" spans="1:46">
      <c r="A1639" s="31" t="s">
        <v>73</v>
      </c>
      <c r="C1639" t="s">
        <v>2513</v>
      </c>
      <c r="D1639" s="5" t="s">
        <v>57</v>
      </c>
      <c r="E1639">
        <v>2035</v>
      </c>
      <c r="F1639" s="6" t="str">
        <f t="shared" si="202"/>
        <v>*0.95</v>
      </c>
      <c r="H1639" t="s">
        <v>2513</v>
      </c>
      <c r="I1639" s="5" t="s">
        <v>57</v>
      </c>
      <c r="J1639">
        <v>2050</v>
      </c>
      <c r="K1639" s="38" t="str">
        <f t="shared" si="203"/>
        <v>*0.93</v>
      </c>
      <c r="P1639" s="32" t="s">
        <v>2513</v>
      </c>
      <c r="Q1639" s="42" t="s">
        <v>57</v>
      </c>
      <c r="R1639" s="32">
        <v>2035</v>
      </c>
      <c r="S1639" s="43" t="str">
        <f t="shared" si="204"/>
        <v>*0.95</v>
      </c>
      <c r="U1639" s="32" t="s">
        <v>2513</v>
      </c>
      <c r="V1639" s="42" t="s">
        <v>57</v>
      </c>
      <c r="W1639" s="32">
        <v>2050</v>
      </c>
      <c r="X1639" s="43" t="str">
        <f t="shared" si="205"/>
        <v>*0.93</v>
      </c>
      <c r="AC1639" s="33" t="s">
        <v>2513</v>
      </c>
      <c r="AD1639" s="44" t="s">
        <v>57</v>
      </c>
      <c r="AE1639" s="33">
        <v>2035</v>
      </c>
      <c r="AF1639" s="45" t="str">
        <f t="shared" si="206"/>
        <v>*0.93</v>
      </c>
      <c r="AG1639" s="43" t="str">
        <f t="shared" si="208"/>
        <v>REZoning_Sol-Win</v>
      </c>
      <c r="AI1639" s="33" t="s">
        <v>2513</v>
      </c>
      <c r="AJ1639" s="44" t="s">
        <v>57</v>
      </c>
      <c r="AK1639" s="33">
        <v>2050</v>
      </c>
      <c r="AL1639" s="45" t="str">
        <f t="shared" si="207"/>
        <v>*0.9</v>
      </c>
      <c r="AM1639" s="43" t="str">
        <f t="shared" si="209"/>
        <v>REZoning_Sol-Win</v>
      </c>
      <c r="AP1639" t="s">
        <v>2513</v>
      </c>
      <c r="AQ1639" t="s">
        <v>57</v>
      </c>
      <c r="AR1639">
        <v>2100</v>
      </c>
      <c r="AS1639" t="s">
        <v>897</v>
      </c>
      <c r="AT1639" t="s">
        <v>58</v>
      </c>
    </row>
    <row r="1640" ht="29" spans="1:46">
      <c r="A1640" s="31" t="s">
        <v>73</v>
      </c>
      <c r="C1640" t="s">
        <v>2514</v>
      </c>
      <c r="D1640" s="5" t="s">
        <v>57</v>
      </c>
      <c r="E1640">
        <v>2035</v>
      </c>
      <c r="F1640" s="6" t="str">
        <f t="shared" si="202"/>
        <v>*0.95</v>
      </c>
      <c r="H1640" t="s">
        <v>2514</v>
      </c>
      <c r="I1640" s="5" t="s">
        <v>57</v>
      </c>
      <c r="J1640">
        <v>2050</v>
      </c>
      <c r="K1640" s="38" t="str">
        <f t="shared" si="203"/>
        <v>*0.93</v>
      </c>
      <c r="P1640" s="32" t="s">
        <v>2514</v>
      </c>
      <c r="Q1640" s="42" t="s">
        <v>57</v>
      </c>
      <c r="R1640" s="32">
        <v>2035</v>
      </c>
      <c r="S1640" s="43" t="str">
        <f t="shared" si="204"/>
        <v>*0.95</v>
      </c>
      <c r="U1640" s="32" t="s">
        <v>2514</v>
      </c>
      <c r="V1640" s="42" t="s">
        <v>57</v>
      </c>
      <c r="W1640" s="32">
        <v>2050</v>
      </c>
      <c r="X1640" s="43" t="str">
        <f t="shared" si="205"/>
        <v>*0.93</v>
      </c>
      <c r="AC1640" s="33" t="s">
        <v>2514</v>
      </c>
      <c r="AD1640" s="44" t="s">
        <v>57</v>
      </c>
      <c r="AE1640" s="33">
        <v>2035</v>
      </c>
      <c r="AF1640" s="45" t="str">
        <f t="shared" si="206"/>
        <v>*0.93</v>
      </c>
      <c r="AG1640" s="43" t="str">
        <f t="shared" si="208"/>
        <v>REZoning_Sol-Win</v>
      </c>
      <c r="AI1640" s="33" t="s">
        <v>2514</v>
      </c>
      <c r="AJ1640" s="44" t="s">
        <v>57</v>
      </c>
      <c r="AK1640" s="33">
        <v>2050</v>
      </c>
      <c r="AL1640" s="45" t="str">
        <f t="shared" si="207"/>
        <v>*0.9</v>
      </c>
      <c r="AM1640" s="43" t="str">
        <f t="shared" si="209"/>
        <v>REZoning_Sol-Win</v>
      </c>
      <c r="AP1640" t="s">
        <v>2514</v>
      </c>
      <c r="AQ1640" t="s">
        <v>57</v>
      </c>
      <c r="AR1640">
        <v>2100</v>
      </c>
      <c r="AS1640" t="s">
        <v>897</v>
      </c>
      <c r="AT1640" t="s">
        <v>58</v>
      </c>
    </row>
    <row r="1641" ht="29" spans="1:46">
      <c r="A1641" s="31" t="s">
        <v>73</v>
      </c>
      <c r="C1641" t="s">
        <v>2515</v>
      </c>
      <c r="D1641" s="5" t="s">
        <v>57</v>
      </c>
      <c r="E1641">
        <v>2035</v>
      </c>
      <c r="F1641" s="6" t="str">
        <f t="shared" si="202"/>
        <v>*0.95</v>
      </c>
      <c r="H1641" t="s">
        <v>2515</v>
      </c>
      <c r="I1641" s="5" t="s">
        <v>57</v>
      </c>
      <c r="J1641">
        <v>2050</v>
      </c>
      <c r="K1641" s="38" t="str">
        <f t="shared" si="203"/>
        <v>*0.93</v>
      </c>
      <c r="P1641" s="32" t="s">
        <v>2515</v>
      </c>
      <c r="Q1641" s="42" t="s">
        <v>57</v>
      </c>
      <c r="R1641" s="32">
        <v>2035</v>
      </c>
      <c r="S1641" s="43" t="str">
        <f t="shared" si="204"/>
        <v>*0.95</v>
      </c>
      <c r="U1641" s="32" t="s">
        <v>2515</v>
      </c>
      <c r="V1641" s="42" t="s">
        <v>57</v>
      </c>
      <c r="W1641" s="32">
        <v>2050</v>
      </c>
      <c r="X1641" s="43" t="str">
        <f t="shared" si="205"/>
        <v>*0.93</v>
      </c>
      <c r="AC1641" s="33" t="s">
        <v>2515</v>
      </c>
      <c r="AD1641" s="44" t="s">
        <v>57</v>
      </c>
      <c r="AE1641" s="33">
        <v>2035</v>
      </c>
      <c r="AF1641" s="45" t="str">
        <f t="shared" si="206"/>
        <v>*0.93</v>
      </c>
      <c r="AG1641" s="43" t="str">
        <f t="shared" si="208"/>
        <v>REZoning_Sol-Win</v>
      </c>
      <c r="AI1641" s="33" t="s">
        <v>2515</v>
      </c>
      <c r="AJ1641" s="44" t="s">
        <v>57</v>
      </c>
      <c r="AK1641" s="33">
        <v>2050</v>
      </c>
      <c r="AL1641" s="45" t="str">
        <f t="shared" si="207"/>
        <v>*0.9</v>
      </c>
      <c r="AM1641" s="43" t="str">
        <f t="shared" si="209"/>
        <v>REZoning_Sol-Win</v>
      </c>
      <c r="AP1641" t="s">
        <v>2515</v>
      </c>
      <c r="AQ1641" t="s">
        <v>57</v>
      </c>
      <c r="AR1641">
        <v>2100</v>
      </c>
      <c r="AS1641" t="s">
        <v>897</v>
      </c>
      <c r="AT1641" t="s">
        <v>58</v>
      </c>
    </row>
    <row r="1642" ht="29" spans="1:46">
      <c r="A1642" s="31" t="s">
        <v>73</v>
      </c>
      <c r="C1642" t="s">
        <v>2516</v>
      </c>
      <c r="D1642" s="5" t="s">
        <v>57</v>
      </c>
      <c r="E1642">
        <v>2035</v>
      </c>
      <c r="F1642" s="6" t="str">
        <f t="shared" si="202"/>
        <v>*0.95</v>
      </c>
      <c r="H1642" t="s">
        <v>2516</v>
      </c>
      <c r="I1642" s="5" t="s">
        <v>57</v>
      </c>
      <c r="J1642">
        <v>2050</v>
      </c>
      <c r="K1642" s="38" t="str">
        <f t="shared" si="203"/>
        <v>*0.93</v>
      </c>
      <c r="P1642" s="32" t="s">
        <v>2516</v>
      </c>
      <c r="Q1642" s="42" t="s">
        <v>57</v>
      </c>
      <c r="R1642" s="32">
        <v>2035</v>
      </c>
      <c r="S1642" s="43" t="str">
        <f t="shared" si="204"/>
        <v>*0.95</v>
      </c>
      <c r="U1642" s="32" t="s">
        <v>2516</v>
      </c>
      <c r="V1642" s="42" t="s">
        <v>57</v>
      </c>
      <c r="W1642" s="32">
        <v>2050</v>
      </c>
      <c r="X1642" s="43" t="str">
        <f t="shared" si="205"/>
        <v>*0.93</v>
      </c>
      <c r="AC1642" s="33" t="s">
        <v>2516</v>
      </c>
      <c r="AD1642" s="44" t="s">
        <v>57</v>
      </c>
      <c r="AE1642" s="33">
        <v>2035</v>
      </c>
      <c r="AF1642" s="45" t="str">
        <f t="shared" si="206"/>
        <v>*0.93</v>
      </c>
      <c r="AG1642" s="43" t="str">
        <f t="shared" si="208"/>
        <v>REZoning_Sol-Win</v>
      </c>
      <c r="AI1642" s="33" t="s">
        <v>2516</v>
      </c>
      <c r="AJ1642" s="44" t="s">
        <v>57</v>
      </c>
      <c r="AK1642" s="33">
        <v>2050</v>
      </c>
      <c r="AL1642" s="45" t="str">
        <f t="shared" si="207"/>
        <v>*0.9</v>
      </c>
      <c r="AM1642" s="43" t="str">
        <f t="shared" si="209"/>
        <v>REZoning_Sol-Win</v>
      </c>
      <c r="AP1642" t="s">
        <v>2516</v>
      </c>
      <c r="AQ1642" t="s">
        <v>57</v>
      </c>
      <c r="AR1642">
        <v>2100</v>
      </c>
      <c r="AS1642" t="s">
        <v>897</v>
      </c>
      <c r="AT1642" t="s">
        <v>58</v>
      </c>
    </row>
    <row r="1643" ht="29" spans="1:46">
      <c r="A1643" s="31" t="s">
        <v>73</v>
      </c>
      <c r="C1643" t="s">
        <v>2517</v>
      </c>
      <c r="D1643" s="5" t="s">
        <v>57</v>
      </c>
      <c r="E1643">
        <v>2035</v>
      </c>
      <c r="F1643" s="6" t="str">
        <f t="shared" si="202"/>
        <v>*0.95</v>
      </c>
      <c r="H1643" t="s">
        <v>2517</v>
      </c>
      <c r="I1643" s="5" t="s">
        <v>57</v>
      </c>
      <c r="J1643">
        <v>2050</v>
      </c>
      <c r="K1643" s="38" t="str">
        <f t="shared" si="203"/>
        <v>*0.93</v>
      </c>
      <c r="P1643" s="32" t="s">
        <v>2517</v>
      </c>
      <c r="Q1643" s="42" t="s">
        <v>57</v>
      </c>
      <c r="R1643" s="32">
        <v>2035</v>
      </c>
      <c r="S1643" s="43" t="str">
        <f t="shared" si="204"/>
        <v>*0.95</v>
      </c>
      <c r="U1643" s="32" t="s">
        <v>2517</v>
      </c>
      <c r="V1643" s="42" t="s">
        <v>57</v>
      </c>
      <c r="W1643" s="32">
        <v>2050</v>
      </c>
      <c r="X1643" s="43" t="str">
        <f t="shared" si="205"/>
        <v>*0.93</v>
      </c>
      <c r="AC1643" s="33" t="s">
        <v>2517</v>
      </c>
      <c r="AD1643" s="44" t="s">
        <v>57</v>
      </c>
      <c r="AE1643" s="33">
        <v>2035</v>
      </c>
      <c r="AF1643" s="45" t="str">
        <f t="shared" si="206"/>
        <v>*0.93</v>
      </c>
      <c r="AG1643" s="43" t="str">
        <f t="shared" si="208"/>
        <v>REZoning_Sol-Win</v>
      </c>
      <c r="AI1643" s="33" t="s">
        <v>2517</v>
      </c>
      <c r="AJ1643" s="44" t="s">
        <v>57</v>
      </c>
      <c r="AK1643" s="33">
        <v>2050</v>
      </c>
      <c r="AL1643" s="45" t="str">
        <f t="shared" si="207"/>
        <v>*0.9</v>
      </c>
      <c r="AM1643" s="43" t="str">
        <f t="shared" si="209"/>
        <v>REZoning_Sol-Win</v>
      </c>
      <c r="AP1643" t="s">
        <v>2517</v>
      </c>
      <c r="AQ1643" t="s">
        <v>57</v>
      </c>
      <c r="AR1643">
        <v>2100</v>
      </c>
      <c r="AS1643" t="s">
        <v>897</v>
      </c>
      <c r="AT1643" t="s">
        <v>58</v>
      </c>
    </row>
    <row r="1644" ht="29" spans="1:46">
      <c r="A1644" s="31" t="s">
        <v>73</v>
      </c>
      <c r="C1644" t="s">
        <v>2518</v>
      </c>
      <c r="D1644" s="5" t="s">
        <v>57</v>
      </c>
      <c r="E1644">
        <v>2035</v>
      </c>
      <c r="F1644" s="6" t="str">
        <f t="shared" si="202"/>
        <v>*0.95</v>
      </c>
      <c r="H1644" t="s">
        <v>2518</v>
      </c>
      <c r="I1644" s="5" t="s">
        <v>57</v>
      </c>
      <c r="J1644">
        <v>2050</v>
      </c>
      <c r="K1644" s="38" t="str">
        <f t="shared" si="203"/>
        <v>*0.93</v>
      </c>
      <c r="P1644" s="32" t="s">
        <v>2518</v>
      </c>
      <c r="Q1644" s="42" t="s">
        <v>57</v>
      </c>
      <c r="R1644" s="32">
        <v>2035</v>
      </c>
      <c r="S1644" s="43" t="str">
        <f t="shared" si="204"/>
        <v>*0.95</v>
      </c>
      <c r="U1644" s="32" t="s">
        <v>2518</v>
      </c>
      <c r="V1644" s="42" t="s">
        <v>57</v>
      </c>
      <c r="W1644" s="32">
        <v>2050</v>
      </c>
      <c r="X1644" s="43" t="str">
        <f t="shared" si="205"/>
        <v>*0.93</v>
      </c>
      <c r="AC1644" s="33" t="s">
        <v>2518</v>
      </c>
      <c r="AD1644" s="44" t="s">
        <v>57</v>
      </c>
      <c r="AE1644" s="33">
        <v>2035</v>
      </c>
      <c r="AF1644" s="45" t="str">
        <f t="shared" si="206"/>
        <v>*0.93</v>
      </c>
      <c r="AG1644" s="43" t="str">
        <f t="shared" si="208"/>
        <v>REZoning_Sol-Win</v>
      </c>
      <c r="AI1644" s="33" t="s">
        <v>2518</v>
      </c>
      <c r="AJ1644" s="44" t="s">
        <v>57</v>
      </c>
      <c r="AK1644" s="33">
        <v>2050</v>
      </c>
      <c r="AL1644" s="45" t="str">
        <f t="shared" si="207"/>
        <v>*0.9</v>
      </c>
      <c r="AM1644" s="43" t="str">
        <f t="shared" si="209"/>
        <v>REZoning_Sol-Win</v>
      </c>
      <c r="AP1644" t="s">
        <v>2518</v>
      </c>
      <c r="AQ1644" t="s">
        <v>57</v>
      </c>
      <c r="AR1644">
        <v>2100</v>
      </c>
      <c r="AS1644" t="s">
        <v>897</v>
      </c>
      <c r="AT1644" t="s">
        <v>58</v>
      </c>
    </row>
    <row r="1645" ht="29" spans="1:46">
      <c r="A1645" s="31" t="s">
        <v>55</v>
      </c>
      <c r="C1645" t="s">
        <v>2519</v>
      </c>
      <c r="D1645" s="5" t="s">
        <v>57</v>
      </c>
      <c r="E1645">
        <v>2035</v>
      </c>
      <c r="F1645" s="6" t="str">
        <f t="shared" si="202"/>
        <v>*0.95</v>
      </c>
      <c r="H1645" t="s">
        <v>2519</v>
      </c>
      <c r="I1645" s="5" t="s">
        <v>57</v>
      </c>
      <c r="J1645">
        <v>2050</v>
      </c>
      <c r="K1645" s="38" t="str">
        <f t="shared" si="203"/>
        <v>*0.92</v>
      </c>
      <c r="P1645" s="32" t="s">
        <v>2519</v>
      </c>
      <c r="Q1645" s="42" t="s">
        <v>57</v>
      </c>
      <c r="R1645" s="32">
        <v>2035</v>
      </c>
      <c r="S1645" s="43" t="str">
        <f t="shared" si="204"/>
        <v>*0.94</v>
      </c>
      <c r="U1645" s="32" t="s">
        <v>2519</v>
      </c>
      <c r="V1645" s="42" t="s">
        <v>57</v>
      </c>
      <c r="W1645" s="32">
        <v>2050</v>
      </c>
      <c r="X1645" s="43" t="str">
        <f t="shared" si="205"/>
        <v>*0.91</v>
      </c>
      <c r="AC1645" s="33" t="s">
        <v>2519</v>
      </c>
      <c r="AD1645" s="44" t="s">
        <v>57</v>
      </c>
      <c r="AE1645" s="33">
        <v>2035</v>
      </c>
      <c r="AF1645" s="45" t="str">
        <f t="shared" si="206"/>
        <v>*0.92</v>
      </c>
      <c r="AG1645" s="43" t="str">
        <f t="shared" si="208"/>
        <v>REZoning_Sol-Win</v>
      </c>
      <c r="AI1645" s="33" t="s">
        <v>2519</v>
      </c>
      <c r="AJ1645" s="44" t="s">
        <v>57</v>
      </c>
      <c r="AK1645" s="33">
        <v>2050</v>
      </c>
      <c r="AL1645" s="45" t="str">
        <f t="shared" si="207"/>
        <v>*0.87</v>
      </c>
      <c r="AM1645" s="43" t="str">
        <f t="shared" si="209"/>
        <v>REZoning_Sol-Win</v>
      </c>
      <c r="AP1645" t="s">
        <v>2519</v>
      </c>
      <c r="AQ1645" t="s">
        <v>57</v>
      </c>
      <c r="AR1645">
        <v>2100</v>
      </c>
      <c r="AS1645" t="s">
        <v>874</v>
      </c>
      <c r="AT1645" t="s">
        <v>58</v>
      </c>
    </row>
    <row r="1646" ht="29" spans="1:46">
      <c r="A1646" s="31" t="s">
        <v>79</v>
      </c>
      <c r="C1646" t="s">
        <v>2520</v>
      </c>
      <c r="D1646" s="5" t="s">
        <v>57</v>
      </c>
      <c r="E1646">
        <v>2035</v>
      </c>
      <c r="F1646" s="6" t="str">
        <f t="shared" si="202"/>
        <v>*0.94</v>
      </c>
      <c r="H1646" t="s">
        <v>2520</v>
      </c>
      <c r="I1646" s="5" t="s">
        <v>57</v>
      </c>
      <c r="J1646">
        <v>2050</v>
      </c>
      <c r="K1646" s="38" t="str">
        <f t="shared" si="203"/>
        <v>*0.9</v>
      </c>
      <c r="P1646" s="32" t="s">
        <v>2520</v>
      </c>
      <c r="Q1646" s="42" t="s">
        <v>57</v>
      </c>
      <c r="R1646" s="32">
        <v>2035</v>
      </c>
      <c r="S1646" s="43" t="str">
        <f t="shared" si="204"/>
        <v>*0.92</v>
      </c>
      <c r="U1646" s="32" t="s">
        <v>2520</v>
      </c>
      <c r="V1646" s="42" t="s">
        <v>57</v>
      </c>
      <c r="W1646" s="32">
        <v>2050</v>
      </c>
      <c r="X1646" s="43" t="str">
        <f t="shared" si="205"/>
        <v>*0.89</v>
      </c>
      <c r="AC1646" s="33" t="s">
        <v>2520</v>
      </c>
      <c r="AD1646" s="44" t="s">
        <v>57</v>
      </c>
      <c r="AE1646" s="33">
        <v>2035</v>
      </c>
      <c r="AF1646" s="45" t="str">
        <f t="shared" si="206"/>
        <v>*0.89</v>
      </c>
      <c r="AG1646" s="43" t="str">
        <f t="shared" si="208"/>
        <v>REZoning_Sol-Win</v>
      </c>
      <c r="AI1646" s="33" t="s">
        <v>2520</v>
      </c>
      <c r="AJ1646" s="44" t="s">
        <v>57</v>
      </c>
      <c r="AK1646" s="33">
        <v>2050</v>
      </c>
      <c r="AL1646" s="45" t="str">
        <f t="shared" si="207"/>
        <v>*0.84</v>
      </c>
      <c r="AM1646" s="43" t="str">
        <f t="shared" si="209"/>
        <v>REZoning_Sol-Win</v>
      </c>
      <c r="AP1646" t="s">
        <v>2520</v>
      </c>
      <c r="AQ1646" t="s">
        <v>57</v>
      </c>
      <c r="AR1646">
        <v>2100</v>
      </c>
      <c r="AS1646" t="s">
        <v>919</v>
      </c>
      <c r="AT1646" t="s">
        <v>58</v>
      </c>
    </row>
    <row r="1647" ht="29" spans="1:46">
      <c r="A1647" s="31" t="s">
        <v>79</v>
      </c>
      <c r="C1647" t="s">
        <v>2521</v>
      </c>
      <c r="D1647" s="5" t="s">
        <v>57</v>
      </c>
      <c r="E1647">
        <v>2035</v>
      </c>
      <c r="F1647" s="6" t="str">
        <f t="shared" si="202"/>
        <v>*0.94</v>
      </c>
      <c r="H1647" t="s">
        <v>2521</v>
      </c>
      <c r="I1647" s="5" t="s">
        <v>57</v>
      </c>
      <c r="J1647">
        <v>2050</v>
      </c>
      <c r="K1647" s="38" t="str">
        <f t="shared" si="203"/>
        <v>*0.9</v>
      </c>
      <c r="P1647" s="32" t="s">
        <v>2521</v>
      </c>
      <c r="Q1647" s="42" t="s">
        <v>57</v>
      </c>
      <c r="R1647" s="32">
        <v>2035</v>
      </c>
      <c r="S1647" s="43" t="str">
        <f t="shared" si="204"/>
        <v>*0.92</v>
      </c>
      <c r="U1647" s="32" t="s">
        <v>2521</v>
      </c>
      <c r="V1647" s="42" t="s">
        <v>57</v>
      </c>
      <c r="W1647" s="32">
        <v>2050</v>
      </c>
      <c r="X1647" s="43" t="str">
        <f t="shared" si="205"/>
        <v>*0.89</v>
      </c>
      <c r="AC1647" s="33" t="s">
        <v>2521</v>
      </c>
      <c r="AD1647" s="44" t="s">
        <v>57</v>
      </c>
      <c r="AE1647" s="33">
        <v>2035</v>
      </c>
      <c r="AF1647" s="45" t="str">
        <f t="shared" si="206"/>
        <v>*0.89</v>
      </c>
      <c r="AG1647" s="43" t="str">
        <f t="shared" si="208"/>
        <v>REZoning_Sol-Win</v>
      </c>
      <c r="AI1647" s="33" t="s">
        <v>2521</v>
      </c>
      <c r="AJ1647" s="44" t="s">
        <v>57</v>
      </c>
      <c r="AK1647" s="33">
        <v>2050</v>
      </c>
      <c r="AL1647" s="45" t="str">
        <f t="shared" si="207"/>
        <v>*0.84</v>
      </c>
      <c r="AM1647" s="43" t="str">
        <f t="shared" si="209"/>
        <v>REZoning_Sol-Win</v>
      </c>
      <c r="AP1647" t="s">
        <v>2521</v>
      </c>
      <c r="AQ1647" t="s">
        <v>57</v>
      </c>
      <c r="AR1647">
        <v>2100</v>
      </c>
      <c r="AS1647" t="s">
        <v>919</v>
      </c>
      <c r="AT1647" t="s">
        <v>58</v>
      </c>
    </row>
    <row r="1648" ht="29" spans="1:46">
      <c r="A1648" s="31" t="s">
        <v>79</v>
      </c>
      <c r="C1648" t="s">
        <v>2522</v>
      </c>
      <c r="D1648" s="5" t="s">
        <v>57</v>
      </c>
      <c r="E1648">
        <v>2035</v>
      </c>
      <c r="F1648" s="6" t="str">
        <f t="shared" si="202"/>
        <v>*0.94</v>
      </c>
      <c r="H1648" t="s">
        <v>2522</v>
      </c>
      <c r="I1648" s="5" t="s">
        <v>57</v>
      </c>
      <c r="J1648">
        <v>2050</v>
      </c>
      <c r="K1648" s="38" t="str">
        <f t="shared" si="203"/>
        <v>*0.9</v>
      </c>
      <c r="P1648" s="32" t="s">
        <v>2522</v>
      </c>
      <c r="Q1648" s="42" t="s">
        <v>57</v>
      </c>
      <c r="R1648" s="32">
        <v>2035</v>
      </c>
      <c r="S1648" s="43" t="str">
        <f t="shared" si="204"/>
        <v>*0.92</v>
      </c>
      <c r="U1648" s="32" t="s">
        <v>2522</v>
      </c>
      <c r="V1648" s="42" t="s">
        <v>57</v>
      </c>
      <c r="W1648" s="32">
        <v>2050</v>
      </c>
      <c r="X1648" s="43" t="str">
        <f t="shared" si="205"/>
        <v>*0.89</v>
      </c>
      <c r="AC1648" s="33" t="s">
        <v>2522</v>
      </c>
      <c r="AD1648" s="44" t="s">
        <v>57</v>
      </c>
      <c r="AE1648" s="33">
        <v>2035</v>
      </c>
      <c r="AF1648" s="45" t="str">
        <f t="shared" si="206"/>
        <v>*0.89</v>
      </c>
      <c r="AG1648" s="43" t="str">
        <f t="shared" si="208"/>
        <v>REZoning_Sol-Win</v>
      </c>
      <c r="AI1648" s="33" t="s">
        <v>2522</v>
      </c>
      <c r="AJ1648" s="44" t="s">
        <v>57</v>
      </c>
      <c r="AK1648" s="33">
        <v>2050</v>
      </c>
      <c r="AL1648" s="45" t="str">
        <f t="shared" si="207"/>
        <v>*0.84</v>
      </c>
      <c r="AM1648" s="43" t="str">
        <f t="shared" si="209"/>
        <v>REZoning_Sol-Win</v>
      </c>
      <c r="AP1648" t="s">
        <v>2522</v>
      </c>
      <c r="AQ1648" t="s">
        <v>57</v>
      </c>
      <c r="AR1648">
        <v>2100</v>
      </c>
      <c r="AS1648" t="s">
        <v>919</v>
      </c>
      <c r="AT1648" t="s">
        <v>58</v>
      </c>
    </row>
    <row r="1649" ht="29" spans="1:46">
      <c r="A1649" s="31" t="s">
        <v>79</v>
      </c>
      <c r="C1649" t="s">
        <v>2523</v>
      </c>
      <c r="D1649" s="5" t="s">
        <v>57</v>
      </c>
      <c r="E1649">
        <v>2035</v>
      </c>
      <c r="F1649" s="6" t="str">
        <f t="shared" si="202"/>
        <v>*0.94</v>
      </c>
      <c r="H1649" t="s">
        <v>2523</v>
      </c>
      <c r="I1649" s="5" t="s">
        <v>57</v>
      </c>
      <c r="J1649">
        <v>2050</v>
      </c>
      <c r="K1649" s="38" t="str">
        <f t="shared" si="203"/>
        <v>*0.9</v>
      </c>
      <c r="P1649" s="32" t="s">
        <v>2523</v>
      </c>
      <c r="Q1649" s="42" t="s">
        <v>57</v>
      </c>
      <c r="R1649" s="32">
        <v>2035</v>
      </c>
      <c r="S1649" s="43" t="str">
        <f t="shared" si="204"/>
        <v>*0.92</v>
      </c>
      <c r="U1649" s="32" t="s">
        <v>2523</v>
      </c>
      <c r="V1649" s="42" t="s">
        <v>57</v>
      </c>
      <c r="W1649" s="32">
        <v>2050</v>
      </c>
      <c r="X1649" s="43" t="str">
        <f t="shared" si="205"/>
        <v>*0.89</v>
      </c>
      <c r="AC1649" s="33" t="s">
        <v>2523</v>
      </c>
      <c r="AD1649" s="44" t="s">
        <v>57</v>
      </c>
      <c r="AE1649" s="33">
        <v>2035</v>
      </c>
      <c r="AF1649" s="45" t="str">
        <f t="shared" si="206"/>
        <v>*0.89</v>
      </c>
      <c r="AG1649" s="43" t="str">
        <f t="shared" si="208"/>
        <v>REZoning_Sol-Win</v>
      </c>
      <c r="AI1649" s="33" t="s">
        <v>2523</v>
      </c>
      <c r="AJ1649" s="44" t="s">
        <v>57</v>
      </c>
      <c r="AK1649" s="33">
        <v>2050</v>
      </c>
      <c r="AL1649" s="45" t="str">
        <f t="shared" si="207"/>
        <v>*0.84</v>
      </c>
      <c r="AM1649" s="43" t="str">
        <f t="shared" si="209"/>
        <v>REZoning_Sol-Win</v>
      </c>
      <c r="AP1649" t="s">
        <v>2523</v>
      </c>
      <c r="AQ1649" t="s">
        <v>57</v>
      </c>
      <c r="AR1649">
        <v>2100</v>
      </c>
      <c r="AS1649" t="s">
        <v>919</v>
      </c>
      <c r="AT1649" t="s">
        <v>58</v>
      </c>
    </row>
    <row r="1650" ht="29" spans="1:46">
      <c r="A1650" s="31" t="s">
        <v>79</v>
      </c>
      <c r="C1650" t="s">
        <v>2524</v>
      </c>
      <c r="D1650" s="5" t="s">
        <v>57</v>
      </c>
      <c r="E1650">
        <v>2035</v>
      </c>
      <c r="F1650" s="6" t="str">
        <f t="shared" si="202"/>
        <v>*0.94</v>
      </c>
      <c r="H1650" t="s">
        <v>2524</v>
      </c>
      <c r="I1650" s="5" t="s">
        <v>57</v>
      </c>
      <c r="J1650">
        <v>2050</v>
      </c>
      <c r="K1650" s="38" t="str">
        <f t="shared" si="203"/>
        <v>*0.9</v>
      </c>
      <c r="P1650" s="32" t="s">
        <v>2524</v>
      </c>
      <c r="Q1650" s="42" t="s">
        <v>57</v>
      </c>
      <c r="R1650" s="32">
        <v>2035</v>
      </c>
      <c r="S1650" s="43" t="str">
        <f t="shared" si="204"/>
        <v>*0.92</v>
      </c>
      <c r="U1650" s="32" t="s">
        <v>2524</v>
      </c>
      <c r="V1650" s="42" t="s">
        <v>57</v>
      </c>
      <c r="W1650" s="32">
        <v>2050</v>
      </c>
      <c r="X1650" s="43" t="str">
        <f t="shared" si="205"/>
        <v>*0.89</v>
      </c>
      <c r="AC1650" s="33" t="s">
        <v>2524</v>
      </c>
      <c r="AD1650" s="44" t="s">
        <v>57</v>
      </c>
      <c r="AE1650" s="33">
        <v>2035</v>
      </c>
      <c r="AF1650" s="45" t="str">
        <f t="shared" si="206"/>
        <v>*0.89</v>
      </c>
      <c r="AG1650" s="43" t="str">
        <f t="shared" si="208"/>
        <v>REZoning_Sol-Win</v>
      </c>
      <c r="AI1650" s="33" t="s">
        <v>2524</v>
      </c>
      <c r="AJ1650" s="44" t="s">
        <v>57</v>
      </c>
      <c r="AK1650" s="33">
        <v>2050</v>
      </c>
      <c r="AL1650" s="45" t="str">
        <f t="shared" si="207"/>
        <v>*0.84</v>
      </c>
      <c r="AM1650" s="43" t="str">
        <f t="shared" si="209"/>
        <v>REZoning_Sol-Win</v>
      </c>
      <c r="AP1650" t="s">
        <v>2524</v>
      </c>
      <c r="AQ1650" t="s">
        <v>57</v>
      </c>
      <c r="AR1650">
        <v>2100</v>
      </c>
      <c r="AS1650" t="s">
        <v>919</v>
      </c>
      <c r="AT1650" t="s">
        <v>58</v>
      </c>
    </row>
    <row r="1651" ht="29" spans="1:46">
      <c r="A1651" s="31" t="s">
        <v>79</v>
      </c>
      <c r="C1651" t="s">
        <v>2525</v>
      </c>
      <c r="D1651" s="5" t="s">
        <v>57</v>
      </c>
      <c r="E1651">
        <v>2035</v>
      </c>
      <c r="F1651" s="6" t="str">
        <f t="shared" si="202"/>
        <v>*0.94</v>
      </c>
      <c r="H1651" t="s">
        <v>2525</v>
      </c>
      <c r="I1651" s="5" t="s">
        <v>57</v>
      </c>
      <c r="J1651">
        <v>2050</v>
      </c>
      <c r="K1651" s="38" t="str">
        <f t="shared" si="203"/>
        <v>*0.9</v>
      </c>
      <c r="P1651" s="32" t="s">
        <v>2525</v>
      </c>
      <c r="Q1651" s="42" t="s">
        <v>57</v>
      </c>
      <c r="R1651" s="32">
        <v>2035</v>
      </c>
      <c r="S1651" s="43" t="str">
        <f t="shared" si="204"/>
        <v>*0.92</v>
      </c>
      <c r="U1651" s="32" t="s">
        <v>2525</v>
      </c>
      <c r="V1651" s="42" t="s">
        <v>57</v>
      </c>
      <c r="W1651" s="32">
        <v>2050</v>
      </c>
      <c r="X1651" s="43" t="str">
        <f t="shared" si="205"/>
        <v>*0.89</v>
      </c>
      <c r="AC1651" s="33" t="s">
        <v>2525</v>
      </c>
      <c r="AD1651" s="44" t="s">
        <v>57</v>
      </c>
      <c r="AE1651" s="33">
        <v>2035</v>
      </c>
      <c r="AF1651" s="45" t="str">
        <f t="shared" si="206"/>
        <v>*0.89</v>
      </c>
      <c r="AG1651" s="43" t="str">
        <f t="shared" si="208"/>
        <v>REZoning_Sol-Win</v>
      </c>
      <c r="AI1651" s="33" t="s">
        <v>2525</v>
      </c>
      <c r="AJ1651" s="44" t="s">
        <v>57</v>
      </c>
      <c r="AK1651" s="33">
        <v>2050</v>
      </c>
      <c r="AL1651" s="45" t="str">
        <f t="shared" si="207"/>
        <v>*0.84</v>
      </c>
      <c r="AM1651" s="43" t="str">
        <f t="shared" si="209"/>
        <v>REZoning_Sol-Win</v>
      </c>
      <c r="AP1651" t="s">
        <v>2525</v>
      </c>
      <c r="AQ1651" t="s">
        <v>57</v>
      </c>
      <c r="AR1651">
        <v>2100</v>
      </c>
      <c r="AS1651" t="s">
        <v>919</v>
      </c>
      <c r="AT1651" t="s">
        <v>58</v>
      </c>
    </row>
    <row r="1652" ht="29" spans="1:46">
      <c r="A1652" s="31" t="s">
        <v>79</v>
      </c>
      <c r="C1652" t="s">
        <v>2526</v>
      </c>
      <c r="D1652" s="5" t="s">
        <v>57</v>
      </c>
      <c r="E1652">
        <v>2035</v>
      </c>
      <c r="F1652" s="6" t="str">
        <f t="shared" si="202"/>
        <v>*0.94</v>
      </c>
      <c r="H1652" t="s">
        <v>2526</v>
      </c>
      <c r="I1652" s="5" t="s">
        <v>57</v>
      </c>
      <c r="J1652">
        <v>2050</v>
      </c>
      <c r="K1652" s="38" t="str">
        <f t="shared" si="203"/>
        <v>*0.9</v>
      </c>
      <c r="P1652" s="32" t="s">
        <v>2526</v>
      </c>
      <c r="Q1652" s="42" t="s">
        <v>57</v>
      </c>
      <c r="R1652" s="32">
        <v>2035</v>
      </c>
      <c r="S1652" s="43" t="str">
        <f t="shared" si="204"/>
        <v>*0.92</v>
      </c>
      <c r="U1652" s="32" t="s">
        <v>2526</v>
      </c>
      <c r="V1652" s="42" t="s">
        <v>57</v>
      </c>
      <c r="W1652" s="32">
        <v>2050</v>
      </c>
      <c r="X1652" s="43" t="str">
        <f t="shared" si="205"/>
        <v>*0.89</v>
      </c>
      <c r="AC1652" s="33" t="s">
        <v>2526</v>
      </c>
      <c r="AD1652" s="44" t="s">
        <v>57</v>
      </c>
      <c r="AE1652" s="33">
        <v>2035</v>
      </c>
      <c r="AF1652" s="45" t="str">
        <f t="shared" si="206"/>
        <v>*0.89</v>
      </c>
      <c r="AG1652" s="43" t="str">
        <f t="shared" si="208"/>
        <v>REZoning_Sol-Win</v>
      </c>
      <c r="AI1652" s="33" t="s">
        <v>2526</v>
      </c>
      <c r="AJ1652" s="44" t="s">
        <v>57</v>
      </c>
      <c r="AK1652" s="33">
        <v>2050</v>
      </c>
      <c r="AL1652" s="45" t="str">
        <f t="shared" si="207"/>
        <v>*0.84</v>
      </c>
      <c r="AM1652" s="43" t="str">
        <f t="shared" si="209"/>
        <v>REZoning_Sol-Win</v>
      </c>
      <c r="AP1652" t="s">
        <v>2526</v>
      </c>
      <c r="AQ1652" t="s">
        <v>57</v>
      </c>
      <c r="AR1652">
        <v>2100</v>
      </c>
      <c r="AS1652" t="s">
        <v>919</v>
      </c>
      <c r="AT1652" t="s">
        <v>58</v>
      </c>
    </row>
    <row r="1653" ht="29" spans="1:46">
      <c r="A1653" s="31" t="s">
        <v>79</v>
      </c>
      <c r="C1653" t="s">
        <v>2527</v>
      </c>
      <c r="D1653" s="5" t="s">
        <v>57</v>
      </c>
      <c r="E1653">
        <v>2035</v>
      </c>
      <c r="F1653" s="6" t="str">
        <f t="shared" si="202"/>
        <v>*0.94</v>
      </c>
      <c r="H1653" t="s">
        <v>2527</v>
      </c>
      <c r="I1653" s="5" t="s">
        <v>57</v>
      </c>
      <c r="J1653">
        <v>2050</v>
      </c>
      <c r="K1653" s="38" t="str">
        <f t="shared" si="203"/>
        <v>*0.9</v>
      </c>
      <c r="P1653" s="32" t="s">
        <v>2527</v>
      </c>
      <c r="Q1653" s="42" t="s">
        <v>57</v>
      </c>
      <c r="R1653" s="32">
        <v>2035</v>
      </c>
      <c r="S1653" s="43" t="str">
        <f t="shared" si="204"/>
        <v>*0.92</v>
      </c>
      <c r="U1653" s="32" t="s">
        <v>2527</v>
      </c>
      <c r="V1653" s="42" t="s">
        <v>57</v>
      </c>
      <c r="W1653" s="32">
        <v>2050</v>
      </c>
      <c r="X1653" s="43" t="str">
        <f t="shared" si="205"/>
        <v>*0.89</v>
      </c>
      <c r="AC1653" s="33" t="s">
        <v>2527</v>
      </c>
      <c r="AD1653" s="44" t="s">
        <v>57</v>
      </c>
      <c r="AE1653" s="33">
        <v>2035</v>
      </c>
      <c r="AF1653" s="45" t="str">
        <f t="shared" si="206"/>
        <v>*0.89</v>
      </c>
      <c r="AG1653" s="43" t="str">
        <f t="shared" si="208"/>
        <v>REZoning_Sol-Win</v>
      </c>
      <c r="AI1653" s="33" t="s">
        <v>2527</v>
      </c>
      <c r="AJ1653" s="44" t="s">
        <v>57</v>
      </c>
      <c r="AK1653" s="33">
        <v>2050</v>
      </c>
      <c r="AL1653" s="45" t="str">
        <f t="shared" si="207"/>
        <v>*0.84</v>
      </c>
      <c r="AM1653" s="43" t="str">
        <f t="shared" si="209"/>
        <v>REZoning_Sol-Win</v>
      </c>
      <c r="AP1653" t="s">
        <v>2527</v>
      </c>
      <c r="AQ1653" t="s">
        <v>57</v>
      </c>
      <c r="AR1653">
        <v>2100</v>
      </c>
      <c r="AS1653" t="s">
        <v>919</v>
      </c>
      <c r="AT1653" t="s">
        <v>58</v>
      </c>
    </row>
    <row r="1654" ht="29" spans="1:46">
      <c r="A1654" s="31" t="s">
        <v>79</v>
      </c>
      <c r="C1654" t="s">
        <v>2528</v>
      </c>
      <c r="D1654" s="5" t="s">
        <v>57</v>
      </c>
      <c r="E1654">
        <v>2035</v>
      </c>
      <c r="F1654" s="6" t="str">
        <f t="shared" si="202"/>
        <v>*0.94</v>
      </c>
      <c r="H1654" t="s">
        <v>2528</v>
      </c>
      <c r="I1654" s="5" t="s">
        <v>57</v>
      </c>
      <c r="J1654">
        <v>2050</v>
      </c>
      <c r="K1654" s="38" t="str">
        <f t="shared" si="203"/>
        <v>*0.9</v>
      </c>
      <c r="P1654" s="32" t="s">
        <v>2528</v>
      </c>
      <c r="Q1654" s="42" t="s">
        <v>57</v>
      </c>
      <c r="R1654" s="32">
        <v>2035</v>
      </c>
      <c r="S1654" s="43" t="str">
        <f t="shared" si="204"/>
        <v>*0.92</v>
      </c>
      <c r="U1654" s="32" t="s">
        <v>2528</v>
      </c>
      <c r="V1654" s="42" t="s">
        <v>57</v>
      </c>
      <c r="W1654" s="32">
        <v>2050</v>
      </c>
      <c r="X1654" s="43" t="str">
        <f t="shared" si="205"/>
        <v>*0.89</v>
      </c>
      <c r="AC1654" s="33" t="s">
        <v>2528</v>
      </c>
      <c r="AD1654" s="44" t="s">
        <v>57</v>
      </c>
      <c r="AE1654" s="33">
        <v>2035</v>
      </c>
      <c r="AF1654" s="45" t="str">
        <f t="shared" si="206"/>
        <v>*0.89</v>
      </c>
      <c r="AG1654" s="43" t="str">
        <f t="shared" si="208"/>
        <v>REZoning_Sol-Win</v>
      </c>
      <c r="AI1654" s="33" t="s">
        <v>2528</v>
      </c>
      <c r="AJ1654" s="44" t="s">
        <v>57</v>
      </c>
      <c r="AK1654" s="33">
        <v>2050</v>
      </c>
      <c r="AL1654" s="45" t="str">
        <f t="shared" si="207"/>
        <v>*0.84</v>
      </c>
      <c r="AM1654" s="43" t="str">
        <f t="shared" si="209"/>
        <v>REZoning_Sol-Win</v>
      </c>
      <c r="AP1654" t="s">
        <v>2528</v>
      </c>
      <c r="AQ1654" t="s">
        <v>57</v>
      </c>
      <c r="AR1654">
        <v>2100</v>
      </c>
      <c r="AS1654" t="s">
        <v>919</v>
      </c>
      <c r="AT1654" t="s">
        <v>58</v>
      </c>
    </row>
    <row r="1655" ht="29" spans="1:46">
      <c r="A1655" s="31" t="s">
        <v>79</v>
      </c>
      <c r="C1655" t="s">
        <v>2529</v>
      </c>
      <c r="D1655" s="5" t="s">
        <v>57</v>
      </c>
      <c r="E1655">
        <v>2035</v>
      </c>
      <c r="F1655" s="6" t="str">
        <f t="shared" si="202"/>
        <v>*0.94</v>
      </c>
      <c r="H1655" t="s">
        <v>2529</v>
      </c>
      <c r="I1655" s="5" t="s">
        <v>57</v>
      </c>
      <c r="J1655">
        <v>2050</v>
      </c>
      <c r="K1655" s="38" t="str">
        <f t="shared" si="203"/>
        <v>*0.9</v>
      </c>
      <c r="P1655" s="32" t="s">
        <v>2529</v>
      </c>
      <c r="Q1655" s="42" t="s">
        <v>57</v>
      </c>
      <c r="R1655" s="32">
        <v>2035</v>
      </c>
      <c r="S1655" s="43" t="str">
        <f t="shared" si="204"/>
        <v>*0.92</v>
      </c>
      <c r="U1655" s="32" t="s">
        <v>2529</v>
      </c>
      <c r="V1655" s="42" t="s">
        <v>57</v>
      </c>
      <c r="W1655" s="32">
        <v>2050</v>
      </c>
      <c r="X1655" s="43" t="str">
        <f t="shared" si="205"/>
        <v>*0.89</v>
      </c>
      <c r="AC1655" s="33" t="s">
        <v>2529</v>
      </c>
      <c r="AD1655" s="44" t="s">
        <v>57</v>
      </c>
      <c r="AE1655" s="33">
        <v>2035</v>
      </c>
      <c r="AF1655" s="45" t="str">
        <f t="shared" si="206"/>
        <v>*0.89</v>
      </c>
      <c r="AG1655" s="43" t="str">
        <f t="shared" si="208"/>
        <v>REZoning_Sol-Win</v>
      </c>
      <c r="AI1655" s="33" t="s">
        <v>2529</v>
      </c>
      <c r="AJ1655" s="44" t="s">
        <v>57</v>
      </c>
      <c r="AK1655" s="33">
        <v>2050</v>
      </c>
      <c r="AL1655" s="45" t="str">
        <f t="shared" si="207"/>
        <v>*0.84</v>
      </c>
      <c r="AM1655" s="43" t="str">
        <f t="shared" si="209"/>
        <v>REZoning_Sol-Win</v>
      </c>
      <c r="AP1655" t="s">
        <v>2529</v>
      </c>
      <c r="AQ1655" t="s">
        <v>57</v>
      </c>
      <c r="AR1655">
        <v>2100</v>
      </c>
      <c r="AS1655" t="s">
        <v>919</v>
      </c>
      <c r="AT1655" t="s">
        <v>58</v>
      </c>
    </row>
    <row r="1656" ht="29" spans="1:46">
      <c r="A1656" s="31" t="s">
        <v>79</v>
      </c>
      <c r="C1656" t="s">
        <v>2530</v>
      </c>
      <c r="D1656" s="5" t="s">
        <v>57</v>
      </c>
      <c r="E1656">
        <v>2035</v>
      </c>
      <c r="F1656" s="6" t="str">
        <f t="shared" si="202"/>
        <v>*0.94</v>
      </c>
      <c r="H1656" t="s">
        <v>2530</v>
      </c>
      <c r="I1656" s="5" t="s">
        <v>57</v>
      </c>
      <c r="J1656">
        <v>2050</v>
      </c>
      <c r="K1656" s="38" t="str">
        <f t="shared" si="203"/>
        <v>*0.9</v>
      </c>
      <c r="P1656" s="32" t="s">
        <v>2530</v>
      </c>
      <c r="Q1656" s="42" t="s">
        <v>57</v>
      </c>
      <c r="R1656" s="32">
        <v>2035</v>
      </c>
      <c r="S1656" s="43" t="str">
        <f t="shared" si="204"/>
        <v>*0.92</v>
      </c>
      <c r="U1656" s="32" t="s">
        <v>2530</v>
      </c>
      <c r="V1656" s="42" t="s">
        <v>57</v>
      </c>
      <c r="W1656" s="32">
        <v>2050</v>
      </c>
      <c r="X1656" s="43" t="str">
        <f t="shared" si="205"/>
        <v>*0.89</v>
      </c>
      <c r="AC1656" s="33" t="s">
        <v>2530</v>
      </c>
      <c r="AD1656" s="44" t="s">
        <v>57</v>
      </c>
      <c r="AE1656" s="33">
        <v>2035</v>
      </c>
      <c r="AF1656" s="45" t="str">
        <f t="shared" si="206"/>
        <v>*0.89</v>
      </c>
      <c r="AG1656" s="43" t="str">
        <f t="shared" si="208"/>
        <v>REZoning_Sol-Win</v>
      </c>
      <c r="AI1656" s="33" t="s">
        <v>2530</v>
      </c>
      <c r="AJ1656" s="44" t="s">
        <v>57</v>
      </c>
      <c r="AK1656" s="33">
        <v>2050</v>
      </c>
      <c r="AL1656" s="45" t="str">
        <f t="shared" si="207"/>
        <v>*0.84</v>
      </c>
      <c r="AM1656" s="43" t="str">
        <f t="shared" si="209"/>
        <v>REZoning_Sol-Win</v>
      </c>
      <c r="AP1656" t="s">
        <v>2530</v>
      </c>
      <c r="AQ1656" t="s">
        <v>57</v>
      </c>
      <c r="AR1656">
        <v>2100</v>
      </c>
      <c r="AS1656" t="s">
        <v>919</v>
      </c>
      <c r="AT1656" t="s">
        <v>58</v>
      </c>
    </row>
    <row r="1657" ht="29" spans="1:46">
      <c r="A1657" s="31" t="s">
        <v>79</v>
      </c>
      <c r="C1657" t="s">
        <v>2531</v>
      </c>
      <c r="D1657" s="5" t="s">
        <v>57</v>
      </c>
      <c r="E1657">
        <v>2035</v>
      </c>
      <c r="F1657" s="6" t="str">
        <f t="shared" si="202"/>
        <v>*0.94</v>
      </c>
      <c r="H1657" t="s">
        <v>2531</v>
      </c>
      <c r="I1657" s="5" t="s">
        <v>57</v>
      </c>
      <c r="J1657">
        <v>2050</v>
      </c>
      <c r="K1657" s="38" t="str">
        <f t="shared" si="203"/>
        <v>*0.9</v>
      </c>
      <c r="P1657" s="32" t="s">
        <v>2531</v>
      </c>
      <c r="Q1657" s="42" t="s">
        <v>57</v>
      </c>
      <c r="R1657" s="32">
        <v>2035</v>
      </c>
      <c r="S1657" s="43" t="str">
        <f t="shared" si="204"/>
        <v>*0.92</v>
      </c>
      <c r="U1657" s="32" t="s">
        <v>2531</v>
      </c>
      <c r="V1657" s="42" t="s">
        <v>57</v>
      </c>
      <c r="W1657" s="32">
        <v>2050</v>
      </c>
      <c r="X1657" s="43" t="str">
        <f t="shared" si="205"/>
        <v>*0.89</v>
      </c>
      <c r="AC1657" s="33" t="s">
        <v>2531</v>
      </c>
      <c r="AD1657" s="44" t="s">
        <v>57</v>
      </c>
      <c r="AE1657" s="33">
        <v>2035</v>
      </c>
      <c r="AF1657" s="45" t="str">
        <f t="shared" si="206"/>
        <v>*0.89</v>
      </c>
      <c r="AG1657" s="43" t="str">
        <f t="shared" si="208"/>
        <v>REZoning_Sol-Win</v>
      </c>
      <c r="AI1657" s="33" t="s">
        <v>2531</v>
      </c>
      <c r="AJ1657" s="44" t="s">
        <v>57</v>
      </c>
      <c r="AK1657" s="33">
        <v>2050</v>
      </c>
      <c r="AL1657" s="45" t="str">
        <f t="shared" si="207"/>
        <v>*0.84</v>
      </c>
      <c r="AM1657" s="43" t="str">
        <f t="shared" si="209"/>
        <v>REZoning_Sol-Win</v>
      </c>
      <c r="AP1657" t="s">
        <v>2531</v>
      </c>
      <c r="AQ1657" t="s">
        <v>57</v>
      </c>
      <c r="AR1657">
        <v>2100</v>
      </c>
      <c r="AS1657" t="s">
        <v>919</v>
      </c>
      <c r="AT1657" t="s">
        <v>58</v>
      </c>
    </row>
    <row r="1658" ht="29" spans="1:46">
      <c r="A1658" s="31" t="s">
        <v>79</v>
      </c>
      <c r="C1658" t="s">
        <v>2532</v>
      </c>
      <c r="D1658" s="5" t="s">
        <v>57</v>
      </c>
      <c r="E1658">
        <v>2035</v>
      </c>
      <c r="F1658" s="6" t="str">
        <f t="shared" si="202"/>
        <v>*0.94</v>
      </c>
      <c r="H1658" t="s">
        <v>2532</v>
      </c>
      <c r="I1658" s="5" t="s">
        <v>57</v>
      </c>
      <c r="J1658">
        <v>2050</v>
      </c>
      <c r="K1658" s="38" t="str">
        <f t="shared" si="203"/>
        <v>*0.9</v>
      </c>
      <c r="P1658" s="32" t="s">
        <v>2532</v>
      </c>
      <c r="Q1658" s="42" t="s">
        <v>57</v>
      </c>
      <c r="R1658" s="32">
        <v>2035</v>
      </c>
      <c r="S1658" s="43" t="str">
        <f t="shared" si="204"/>
        <v>*0.92</v>
      </c>
      <c r="U1658" s="32" t="s">
        <v>2532</v>
      </c>
      <c r="V1658" s="42" t="s">
        <v>57</v>
      </c>
      <c r="W1658" s="32">
        <v>2050</v>
      </c>
      <c r="X1658" s="43" t="str">
        <f t="shared" si="205"/>
        <v>*0.89</v>
      </c>
      <c r="AC1658" s="33" t="s">
        <v>2532</v>
      </c>
      <c r="AD1658" s="44" t="s">
        <v>57</v>
      </c>
      <c r="AE1658" s="33">
        <v>2035</v>
      </c>
      <c r="AF1658" s="45" t="str">
        <f t="shared" si="206"/>
        <v>*0.89</v>
      </c>
      <c r="AG1658" s="43" t="str">
        <f t="shared" si="208"/>
        <v>REZoning_Sol-Win</v>
      </c>
      <c r="AI1658" s="33" t="s">
        <v>2532</v>
      </c>
      <c r="AJ1658" s="44" t="s">
        <v>57</v>
      </c>
      <c r="AK1658" s="33">
        <v>2050</v>
      </c>
      <c r="AL1658" s="45" t="str">
        <f t="shared" si="207"/>
        <v>*0.84</v>
      </c>
      <c r="AM1658" s="43" t="str">
        <f t="shared" si="209"/>
        <v>REZoning_Sol-Win</v>
      </c>
      <c r="AP1658" t="s">
        <v>2532</v>
      </c>
      <c r="AQ1658" t="s">
        <v>57</v>
      </c>
      <c r="AR1658">
        <v>2100</v>
      </c>
      <c r="AS1658" t="s">
        <v>919</v>
      </c>
      <c r="AT1658" t="s">
        <v>58</v>
      </c>
    </row>
    <row r="1659" ht="29" spans="1:46">
      <c r="A1659" s="31" t="s">
        <v>79</v>
      </c>
      <c r="C1659" t="s">
        <v>2533</v>
      </c>
      <c r="D1659" s="5" t="s">
        <v>57</v>
      </c>
      <c r="E1659">
        <v>2035</v>
      </c>
      <c r="F1659" s="6" t="str">
        <f t="shared" si="202"/>
        <v>*0.94</v>
      </c>
      <c r="H1659" t="s">
        <v>2533</v>
      </c>
      <c r="I1659" s="5" t="s">
        <v>57</v>
      </c>
      <c r="J1659">
        <v>2050</v>
      </c>
      <c r="K1659" s="38" t="str">
        <f t="shared" si="203"/>
        <v>*0.9</v>
      </c>
      <c r="P1659" s="32" t="s">
        <v>2533</v>
      </c>
      <c r="Q1659" s="42" t="s">
        <v>57</v>
      </c>
      <c r="R1659" s="32">
        <v>2035</v>
      </c>
      <c r="S1659" s="43" t="str">
        <f t="shared" si="204"/>
        <v>*0.92</v>
      </c>
      <c r="U1659" s="32" t="s">
        <v>2533</v>
      </c>
      <c r="V1659" s="42" t="s">
        <v>57</v>
      </c>
      <c r="W1659" s="32">
        <v>2050</v>
      </c>
      <c r="X1659" s="43" t="str">
        <f t="shared" si="205"/>
        <v>*0.89</v>
      </c>
      <c r="AC1659" s="33" t="s">
        <v>2533</v>
      </c>
      <c r="AD1659" s="44" t="s">
        <v>57</v>
      </c>
      <c r="AE1659" s="33">
        <v>2035</v>
      </c>
      <c r="AF1659" s="45" t="str">
        <f t="shared" si="206"/>
        <v>*0.89</v>
      </c>
      <c r="AG1659" s="43" t="str">
        <f t="shared" si="208"/>
        <v>REZoning_Sol-Win</v>
      </c>
      <c r="AI1659" s="33" t="s">
        <v>2533</v>
      </c>
      <c r="AJ1659" s="44" t="s">
        <v>57</v>
      </c>
      <c r="AK1659" s="33">
        <v>2050</v>
      </c>
      <c r="AL1659" s="45" t="str">
        <f t="shared" si="207"/>
        <v>*0.84</v>
      </c>
      <c r="AM1659" s="43" t="str">
        <f t="shared" si="209"/>
        <v>REZoning_Sol-Win</v>
      </c>
      <c r="AP1659" t="s">
        <v>2533</v>
      </c>
      <c r="AQ1659" t="s">
        <v>57</v>
      </c>
      <c r="AR1659">
        <v>2100</v>
      </c>
      <c r="AS1659" t="s">
        <v>919</v>
      </c>
      <c r="AT1659" t="s">
        <v>58</v>
      </c>
    </row>
    <row r="1660" ht="29" spans="1:46">
      <c r="A1660" s="31" t="s">
        <v>55</v>
      </c>
      <c r="C1660" t="s">
        <v>2534</v>
      </c>
      <c r="D1660" s="5" t="s">
        <v>57</v>
      </c>
      <c r="E1660">
        <v>2035</v>
      </c>
      <c r="F1660" s="6" t="str">
        <f t="shared" si="202"/>
        <v>*0.95</v>
      </c>
      <c r="H1660" t="s">
        <v>2534</v>
      </c>
      <c r="I1660" s="5" t="s">
        <v>57</v>
      </c>
      <c r="J1660">
        <v>2050</v>
      </c>
      <c r="K1660" s="38" t="str">
        <f t="shared" si="203"/>
        <v>*0.92</v>
      </c>
      <c r="P1660" s="32" t="s">
        <v>2534</v>
      </c>
      <c r="Q1660" s="42" t="s">
        <v>57</v>
      </c>
      <c r="R1660" s="32">
        <v>2035</v>
      </c>
      <c r="S1660" s="43" t="str">
        <f t="shared" si="204"/>
        <v>*0.94</v>
      </c>
      <c r="U1660" s="32" t="s">
        <v>2534</v>
      </c>
      <c r="V1660" s="42" t="s">
        <v>57</v>
      </c>
      <c r="W1660" s="32">
        <v>2050</v>
      </c>
      <c r="X1660" s="43" t="str">
        <f t="shared" si="205"/>
        <v>*0.91</v>
      </c>
      <c r="AC1660" s="33" t="s">
        <v>2534</v>
      </c>
      <c r="AD1660" s="44" t="s">
        <v>57</v>
      </c>
      <c r="AE1660" s="33">
        <v>2035</v>
      </c>
      <c r="AF1660" s="45" t="str">
        <f t="shared" si="206"/>
        <v>*0.92</v>
      </c>
      <c r="AG1660" s="43" t="str">
        <f t="shared" si="208"/>
        <v>REZoning_Sol-Win</v>
      </c>
      <c r="AI1660" s="33" t="s">
        <v>2534</v>
      </c>
      <c r="AJ1660" s="44" t="s">
        <v>57</v>
      </c>
      <c r="AK1660" s="33">
        <v>2050</v>
      </c>
      <c r="AL1660" s="45" t="str">
        <f t="shared" si="207"/>
        <v>*0.87</v>
      </c>
      <c r="AM1660" s="43" t="str">
        <f t="shared" si="209"/>
        <v>REZoning_Sol-Win</v>
      </c>
      <c r="AP1660" t="s">
        <v>2534</v>
      </c>
      <c r="AQ1660" t="s">
        <v>57</v>
      </c>
      <c r="AR1660">
        <v>2100</v>
      </c>
      <c r="AS1660" t="s">
        <v>874</v>
      </c>
      <c r="AT1660" t="s">
        <v>58</v>
      </c>
    </row>
    <row r="1661" ht="29" spans="1:46">
      <c r="A1661" s="31" t="s">
        <v>55</v>
      </c>
      <c r="C1661" t="s">
        <v>2535</v>
      </c>
      <c r="D1661" s="5" t="s">
        <v>57</v>
      </c>
      <c r="E1661">
        <v>2035</v>
      </c>
      <c r="F1661" s="6" t="str">
        <f t="shared" si="202"/>
        <v>*0.95</v>
      </c>
      <c r="H1661" t="s">
        <v>2535</v>
      </c>
      <c r="I1661" s="5" t="s">
        <v>57</v>
      </c>
      <c r="J1661">
        <v>2050</v>
      </c>
      <c r="K1661" s="38" t="str">
        <f t="shared" si="203"/>
        <v>*0.92</v>
      </c>
      <c r="P1661" s="32" t="s">
        <v>2535</v>
      </c>
      <c r="Q1661" s="42" t="s">
        <v>57</v>
      </c>
      <c r="R1661" s="32">
        <v>2035</v>
      </c>
      <c r="S1661" s="43" t="str">
        <f t="shared" si="204"/>
        <v>*0.94</v>
      </c>
      <c r="U1661" s="32" t="s">
        <v>2535</v>
      </c>
      <c r="V1661" s="42" t="s">
        <v>57</v>
      </c>
      <c r="W1661" s="32">
        <v>2050</v>
      </c>
      <c r="X1661" s="43" t="str">
        <f t="shared" si="205"/>
        <v>*0.91</v>
      </c>
      <c r="AC1661" s="33" t="s">
        <v>2535</v>
      </c>
      <c r="AD1661" s="44" t="s">
        <v>57</v>
      </c>
      <c r="AE1661" s="33">
        <v>2035</v>
      </c>
      <c r="AF1661" s="45" t="str">
        <f t="shared" si="206"/>
        <v>*0.92</v>
      </c>
      <c r="AG1661" s="43" t="str">
        <f t="shared" si="208"/>
        <v>REZoning_Sol-Win</v>
      </c>
      <c r="AI1661" s="33" t="s">
        <v>2535</v>
      </c>
      <c r="AJ1661" s="44" t="s">
        <v>57</v>
      </c>
      <c r="AK1661" s="33">
        <v>2050</v>
      </c>
      <c r="AL1661" s="45" t="str">
        <f t="shared" si="207"/>
        <v>*0.87</v>
      </c>
      <c r="AM1661" s="43" t="str">
        <f t="shared" si="209"/>
        <v>REZoning_Sol-Win</v>
      </c>
      <c r="AP1661" t="s">
        <v>2535</v>
      </c>
      <c r="AQ1661" t="s">
        <v>57</v>
      </c>
      <c r="AR1661">
        <v>2100</v>
      </c>
      <c r="AS1661" t="s">
        <v>874</v>
      </c>
      <c r="AT1661" t="s">
        <v>58</v>
      </c>
    </row>
    <row r="1662" ht="29" spans="1:46">
      <c r="A1662" s="31" t="s">
        <v>55</v>
      </c>
      <c r="C1662" t="s">
        <v>2536</v>
      </c>
      <c r="D1662" s="5" t="s">
        <v>57</v>
      </c>
      <c r="E1662">
        <v>2035</v>
      </c>
      <c r="F1662" s="6" t="str">
        <f t="shared" si="202"/>
        <v>*0.95</v>
      </c>
      <c r="H1662" t="s">
        <v>2536</v>
      </c>
      <c r="I1662" s="5" t="s">
        <v>57</v>
      </c>
      <c r="J1662">
        <v>2050</v>
      </c>
      <c r="K1662" s="38" t="str">
        <f t="shared" si="203"/>
        <v>*0.92</v>
      </c>
      <c r="P1662" s="32" t="s">
        <v>2536</v>
      </c>
      <c r="Q1662" s="42" t="s">
        <v>57</v>
      </c>
      <c r="R1662" s="32">
        <v>2035</v>
      </c>
      <c r="S1662" s="43" t="str">
        <f t="shared" si="204"/>
        <v>*0.94</v>
      </c>
      <c r="U1662" s="32" t="s">
        <v>2536</v>
      </c>
      <c r="V1662" s="42" t="s">
        <v>57</v>
      </c>
      <c r="W1662" s="32">
        <v>2050</v>
      </c>
      <c r="X1662" s="43" t="str">
        <f t="shared" si="205"/>
        <v>*0.91</v>
      </c>
      <c r="AC1662" s="33" t="s">
        <v>2536</v>
      </c>
      <c r="AD1662" s="44" t="s">
        <v>57</v>
      </c>
      <c r="AE1662" s="33">
        <v>2035</v>
      </c>
      <c r="AF1662" s="45" t="str">
        <f t="shared" si="206"/>
        <v>*0.92</v>
      </c>
      <c r="AG1662" s="43" t="str">
        <f t="shared" si="208"/>
        <v>REZoning_Sol-Win</v>
      </c>
      <c r="AI1662" s="33" t="s">
        <v>2536</v>
      </c>
      <c r="AJ1662" s="44" t="s">
        <v>57</v>
      </c>
      <c r="AK1662" s="33">
        <v>2050</v>
      </c>
      <c r="AL1662" s="45" t="str">
        <f t="shared" si="207"/>
        <v>*0.87</v>
      </c>
      <c r="AM1662" s="43" t="str">
        <f t="shared" si="209"/>
        <v>REZoning_Sol-Win</v>
      </c>
      <c r="AP1662" t="s">
        <v>2536</v>
      </c>
      <c r="AQ1662" t="s">
        <v>57</v>
      </c>
      <c r="AR1662">
        <v>2100</v>
      </c>
      <c r="AS1662" t="s">
        <v>874</v>
      </c>
      <c r="AT1662" t="s">
        <v>58</v>
      </c>
    </row>
    <row r="1663" ht="29" spans="1:46">
      <c r="A1663" s="31" t="s">
        <v>55</v>
      </c>
      <c r="C1663" t="s">
        <v>2537</v>
      </c>
      <c r="D1663" s="5" t="s">
        <v>57</v>
      </c>
      <c r="E1663">
        <v>2035</v>
      </c>
      <c r="F1663" s="6" t="str">
        <f t="shared" si="202"/>
        <v>*0.95</v>
      </c>
      <c r="H1663" t="s">
        <v>2537</v>
      </c>
      <c r="I1663" s="5" t="s">
        <v>57</v>
      </c>
      <c r="J1663">
        <v>2050</v>
      </c>
      <c r="K1663" s="38" t="str">
        <f t="shared" si="203"/>
        <v>*0.92</v>
      </c>
      <c r="P1663" s="32" t="s">
        <v>2537</v>
      </c>
      <c r="Q1663" s="42" t="s">
        <v>57</v>
      </c>
      <c r="R1663" s="32">
        <v>2035</v>
      </c>
      <c r="S1663" s="43" t="str">
        <f t="shared" si="204"/>
        <v>*0.94</v>
      </c>
      <c r="U1663" s="32" t="s">
        <v>2537</v>
      </c>
      <c r="V1663" s="42" t="s">
        <v>57</v>
      </c>
      <c r="W1663" s="32">
        <v>2050</v>
      </c>
      <c r="X1663" s="43" t="str">
        <f t="shared" si="205"/>
        <v>*0.91</v>
      </c>
      <c r="AC1663" s="33" t="s">
        <v>2537</v>
      </c>
      <c r="AD1663" s="44" t="s">
        <v>57</v>
      </c>
      <c r="AE1663" s="33">
        <v>2035</v>
      </c>
      <c r="AF1663" s="45" t="str">
        <f t="shared" si="206"/>
        <v>*0.92</v>
      </c>
      <c r="AG1663" s="43" t="str">
        <f t="shared" si="208"/>
        <v>REZoning_Sol-Win</v>
      </c>
      <c r="AI1663" s="33" t="s">
        <v>2537</v>
      </c>
      <c r="AJ1663" s="44" t="s">
        <v>57</v>
      </c>
      <c r="AK1663" s="33">
        <v>2050</v>
      </c>
      <c r="AL1663" s="45" t="str">
        <f t="shared" si="207"/>
        <v>*0.87</v>
      </c>
      <c r="AM1663" s="43" t="str">
        <f t="shared" si="209"/>
        <v>REZoning_Sol-Win</v>
      </c>
      <c r="AP1663" t="s">
        <v>2537</v>
      </c>
      <c r="AQ1663" t="s">
        <v>57</v>
      </c>
      <c r="AR1663">
        <v>2100</v>
      </c>
      <c r="AS1663" t="s">
        <v>874</v>
      </c>
      <c r="AT1663" t="s">
        <v>58</v>
      </c>
    </row>
    <row r="1664" ht="29" spans="1:46">
      <c r="A1664" s="31" t="s">
        <v>55</v>
      </c>
      <c r="C1664" t="s">
        <v>2538</v>
      </c>
      <c r="D1664" s="5" t="s">
        <v>57</v>
      </c>
      <c r="E1664">
        <v>2035</v>
      </c>
      <c r="F1664" s="6" t="str">
        <f t="shared" si="202"/>
        <v>*0.95</v>
      </c>
      <c r="H1664" t="s">
        <v>2538</v>
      </c>
      <c r="I1664" s="5" t="s">
        <v>57</v>
      </c>
      <c r="J1664">
        <v>2050</v>
      </c>
      <c r="K1664" s="38" t="str">
        <f t="shared" si="203"/>
        <v>*0.92</v>
      </c>
      <c r="P1664" s="32" t="s">
        <v>2538</v>
      </c>
      <c r="Q1664" s="42" t="s">
        <v>57</v>
      </c>
      <c r="R1664" s="32">
        <v>2035</v>
      </c>
      <c r="S1664" s="43" t="str">
        <f t="shared" si="204"/>
        <v>*0.94</v>
      </c>
      <c r="U1664" s="32" t="s">
        <v>2538</v>
      </c>
      <c r="V1664" s="42" t="s">
        <v>57</v>
      </c>
      <c r="W1664" s="32">
        <v>2050</v>
      </c>
      <c r="X1664" s="43" t="str">
        <f t="shared" si="205"/>
        <v>*0.91</v>
      </c>
      <c r="AC1664" s="33" t="s">
        <v>2538</v>
      </c>
      <c r="AD1664" s="44" t="s">
        <v>57</v>
      </c>
      <c r="AE1664" s="33">
        <v>2035</v>
      </c>
      <c r="AF1664" s="45" t="str">
        <f t="shared" si="206"/>
        <v>*0.92</v>
      </c>
      <c r="AG1664" s="43" t="str">
        <f t="shared" si="208"/>
        <v>REZoning_Sol-Win</v>
      </c>
      <c r="AI1664" s="33" t="s">
        <v>2538</v>
      </c>
      <c r="AJ1664" s="44" t="s">
        <v>57</v>
      </c>
      <c r="AK1664" s="33">
        <v>2050</v>
      </c>
      <c r="AL1664" s="45" t="str">
        <f t="shared" si="207"/>
        <v>*0.87</v>
      </c>
      <c r="AM1664" s="43" t="str">
        <f t="shared" si="209"/>
        <v>REZoning_Sol-Win</v>
      </c>
      <c r="AP1664" t="s">
        <v>2538</v>
      </c>
      <c r="AQ1664" t="s">
        <v>57</v>
      </c>
      <c r="AR1664">
        <v>2100</v>
      </c>
      <c r="AS1664" t="s">
        <v>874</v>
      </c>
      <c r="AT1664" t="s">
        <v>58</v>
      </c>
    </row>
    <row r="1665" ht="29" spans="1:46">
      <c r="A1665" s="31" t="s">
        <v>55</v>
      </c>
      <c r="C1665" t="s">
        <v>2539</v>
      </c>
      <c r="D1665" s="5" t="s">
        <v>57</v>
      </c>
      <c r="E1665">
        <v>2035</v>
      </c>
      <c r="F1665" s="6" t="str">
        <f t="shared" si="202"/>
        <v>*0.95</v>
      </c>
      <c r="H1665" t="s">
        <v>2539</v>
      </c>
      <c r="I1665" s="5" t="s">
        <v>57</v>
      </c>
      <c r="J1665">
        <v>2050</v>
      </c>
      <c r="K1665" s="38" t="str">
        <f t="shared" si="203"/>
        <v>*0.92</v>
      </c>
      <c r="P1665" s="32" t="s">
        <v>2539</v>
      </c>
      <c r="Q1665" s="42" t="s">
        <v>57</v>
      </c>
      <c r="R1665" s="32">
        <v>2035</v>
      </c>
      <c r="S1665" s="43" t="str">
        <f t="shared" si="204"/>
        <v>*0.94</v>
      </c>
      <c r="U1665" s="32" t="s">
        <v>2539</v>
      </c>
      <c r="V1665" s="42" t="s">
        <v>57</v>
      </c>
      <c r="W1665" s="32">
        <v>2050</v>
      </c>
      <c r="X1665" s="43" t="str">
        <f t="shared" si="205"/>
        <v>*0.91</v>
      </c>
      <c r="AC1665" s="33" t="s">
        <v>2539</v>
      </c>
      <c r="AD1665" s="44" t="s">
        <v>57</v>
      </c>
      <c r="AE1665" s="33">
        <v>2035</v>
      </c>
      <c r="AF1665" s="45" t="str">
        <f t="shared" si="206"/>
        <v>*0.92</v>
      </c>
      <c r="AG1665" s="43" t="str">
        <f t="shared" si="208"/>
        <v>REZoning_Sol-Win</v>
      </c>
      <c r="AI1665" s="33" t="s">
        <v>2539</v>
      </c>
      <c r="AJ1665" s="44" t="s">
        <v>57</v>
      </c>
      <c r="AK1665" s="33">
        <v>2050</v>
      </c>
      <c r="AL1665" s="45" t="str">
        <f t="shared" si="207"/>
        <v>*0.87</v>
      </c>
      <c r="AM1665" s="43" t="str">
        <f t="shared" si="209"/>
        <v>REZoning_Sol-Win</v>
      </c>
      <c r="AP1665" t="s">
        <v>2539</v>
      </c>
      <c r="AQ1665" t="s">
        <v>57</v>
      </c>
      <c r="AR1665">
        <v>2100</v>
      </c>
      <c r="AS1665" t="s">
        <v>874</v>
      </c>
      <c r="AT1665" t="s">
        <v>58</v>
      </c>
    </row>
    <row r="1666" ht="29" spans="1:46">
      <c r="A1666" s="31" t="s">
        <v>55</v>
      </c>
      <c r="C1666" t="s">
        <v>2540</v>
      </c>
      <c r="D1666" s="5" t="s">
        <v>57</v>
      </c>
      <c r="E1666">
        <v>2035</v>
      </c>
      <c r="F1666" s="6" t="str">
        <f t="shared" si="202"/>
        <v>*0.95</v>
      </c>
      <c r="H1666" t="s">
        <v>2540</v>
      </c>
      <c r="I1666" s="5" t="s">
        <v>57</v>
      </c>
      <c r="J1666">
        <v>2050</v>
      </c>
      <c r="K1666" s="38" t="str">
        <f t="shared" si="203"/>
        <v>*0.92</v>
      </c>
      <c r="P1666" s="32" t="s">
        <v>2540</v>
      </c>
      <c r="Q1666" s="42" t="s">
        <v>57</v>
      </c>
      <c r="R1666" s="32">
        <v>2035</v>
      </c>
      <c r="S1666" s="43" t="str">
        <f t="shared" si="204"/>
        <v>*0.94</v>
      </c>
      <c r="U1666" s="32" t="s">
        <v>2540</v>
      </c>
      <c r="V1666" s="42" t="s">
        <v>57</v>
      </c>
      <c r="W1666" s="32">
        <v>2050</v>
      </c>
      <c r="X1666" s="43" t="str">
        <f t="shared" si="205"/>
        <v>*0.91</v>
      </c>
      <c r="AC1666" s="33" t="s">
        <v>2540</v>
      </c>
      <c r="AD1666" s="44" t="s">
        <v>57</v>
      </c>
      <c r="AE1666" s="33">
        <v>2035</v>
      </c>
      <c r="AF1666" s="45" t="str">
        <f t="shared" si="206"/>
        <v>*0.92</v>
      </c>
      <c r="AG1666" s="43" t="str">
        <f t="shared" si="208"/>
        <v>REZoning_Sol-Win</v>
      </c>
      <c r="AI1666" s="33" t="s">
        <v>2540</v>
      </c>
      <c r="AJ1666" s="44" t="s">
        <v>57</v>
      </c>
      <c r="AK1666" s="33">
        <v>2050</v>
      </c>
      <c r="AL1666" s="45" t="str">
        <f t="shared" si="207"/>
        <v>*0.87</v>
      </c>
      <c r="AM1666" s="43" t="str">
        <f t="shared" si="209"/>
        <v>REZoning_Sol-Win</v>
      </c>
      <c r="AP1666" t="s">
        <v>2540</v>
      </c>
      <c r="AQ1666" t="s">
        <v>57</v>
      </c>
      <c r="AR1666">
        <v>2100</v>
      </c>
      <c r="AS1666" t="s">
        <v>874</v>
      </c>
      <c r="AT1666" t="s">
        <v>58</v>
      </c>
    </row>
    <row r="1667" ht="29" spans="1:46">
      <c r="A1667" s="31" t="s">
        <v>55</v>
      </c>
      <c r="C1667" t="s">
        <v>2541</v>
      </c>
      <c r="D1667" s="5" t="s">
        <v>57</v>
      </c>
      <c r="E1667">
        <v>2035</v>
      </c>
      <c r="F1667" s="6" t="str">
        <f t="shared" si="202"/>
        <v>*0.95</v>
      </c>
      <c r="H1667" t="s">
        <v>2541</v>
      </c>
      <c r="I1667" s="5" t="s">
        <v>57</v>
      </c>
      <c r="J1667">
        <v>2050</v>
      </c>
      <c r="K1667" s="38" t="str">
        <f t="shared" si="203"/>
        <v>*0.92</v>
      </c>
      <c r="P1667" s="32" t="s">
        <v>2541</v>
      </c>
      <c r="Q1667" s="42" t="s">
        <v>57</v>
      </c>
      <c r="R1667" s="32">
        <v>2035</v>
      </c>
      <c r="S1667" s="43" t="str">
        <f t="shared" si="204"/>
        <v>*0.94</v>
      </c>
      <c r="U1667" s="32" t="s">
        <v>2541</v>
      </c>
      <c r="V1667" s="42" t="s">
        <v>57</v>
      </c>
      <c r="W1667" s="32">
        <v>2050</v>
      </c>
      <c r="X1667" s="43" t="str">
        <f t="shared" si="205"/>
        <v>*0.91</v>
      </c>
      <c r="AC1667" s="33" t="s">
        <v>2541</v>
      </c>
      <c r="AD1667" s="44" t="s">
        <v>57</v>
      </c>
      <c r="AE1667" s="33">
        <v>2035</v>
      </c>
      <c r="AF1667" s="45" t="str">
        <f t="shared" si="206"/>
        <v>*0.92</v>
      </c>
      <c r="AG1667" s="43" t="str">
        <f t="shared" si="208"/>
        <v>REZoning_Sol-Win</v>
      </c>
      <c r="AI1667" s="33" t="s">
        <v>2541</v>
      </c>
      <c r="AJ1667" s="44" t="s">
        <v>57</v>
      </c>
      <c r="AK1667" s="33">
        <v>2050</v>
      </c>
      <c r="AL1667" s="45" t="str">
        <f t="shared" si="207"/>
        <v>*0.87</v>
      </c>
      <c r="AM1667" s="43" t="str">
        <f t="shared" si="209"/>
        <v>REZoning_Sol-Win</v>
      </c>
      <c r="AP1667" t="s">
        <v>2541</v>
      </c>
      <c r="AQ1667" t="s">
        <v>57</v>
      </c>
      <c r="AR1667">
        <v>2100</v>
      </c>
      <c r="AS1667" t="s">
        <v>874</v>
      </c>
      <c r="AT1667" t="s">
        <v>58</v>
      </c>
    </row>
    <row r="1668" ht="29" spans="1:46">
      <c r="A1668" s="31" t="s">
        <v>55</v>
      </c>
      <c r="C1668" t="s">
        <v>2542</v>
      </c>
      <c r="D1668" s="5" t="s">
        <v>57</v>
      </c>
      <c r="E1668">
        <v>2035</v>
      </c>
      <c r="F1668" s="6" t="str">
        <f t="shared" ref="F1668:F1731" si="210">"*"&amp;IF(AND(A1668="EU",E1668=2035),0.95,IF(AND(A1668="EU",E1668=2050),0.93,IF(AND(A1668="USA",E1668=2035),0.96,IF(AND(A1668="USA",E1668=2050),0.94,IF(AND(A1668="Japan",E1668=2035),0.94,IF(AND(A1668="Japan",E1668=2050),0.92,IF(AND(A1668="Russia",E1668=2035),0.95,IF(AND(A1668="Russia",E1668=2050),0.93,IF(AND(A1668="China",E1668=2035),0.94,IF(AND(A1668="China",E1668=2050),0.92,IF(AND(A1668="India",E1668=2035),0.95,IF(AND(A1668="India",E1668=2050),0.92,IF(AND(A1668="Middle East",E1668=2035),0.94,IF(AND(A1668="Middle East",E1668=2050),0.9,IF(AND(A1668="Africa",E1668=2035),0.94,IF(AND(A1668="Africa",E1668=2050),0.91,IF(AND(A1668="Brazil",E1668=2035),0.95,IF(AND(A1668="Brazil",E1668=2050),0.92,""))))))))))))))))))</f>
        <v>*0.95</v>
      </c>
      <c r="H1668" t="s">
        <v>2542</v>
      </c>
      <c r="I1668" s="5" t="s">
        <v>57</v>
      </c>
      <c r="J1668">
        <v>2050</v>
      </c>
      <c r="K1668" s="38" t="str">
        <f t="shared" ref="K1668:K1731" si="211">"*"&amp;IF(AND(A1668="EU",J1668=2035),0.95,IF(AND(A1668="EU",J1668=2050),0.93,IF(AND(A1668="USA",J1668=2035),0.96,IF(AND(A1668="USA",J1668=2050),0.94,IF(AND(A1668="Japan",J1668=2035),0.94,IF(AND(A1668="Japan",J1668=2050),0.92,IF(AND(A1668="Russia",J1668=2035),0.95,IF(AND(A1668="Russia",J1668=2050),0.93,IF(AND(A1668="China",J1668=2035),0.94,IF(AND(A1668="China",J1668=2050),0.92,IF(AND(A1668="India",J1668=2035),0.95,IF(AND(A1668="India",J1668=2050),0.92,IF(AND(A1668="Middle East",J1668=2035),0.94,IF(AND(A1668="Middle East",J1668=2050),0.9,IF(AND(A1668="Africa",J1668=2035),0.94,IF(AND(A1668="Africa",J1668=2050),0.91,IF(AND(A1668="Brazil",J1668=2035),0.95,IF(AND(A1668="Brazil",J1668=2050),0.92,""))))))))))))))))))</f>
        <v>*0.92</v>
      </c>
      <c r="P1668" s="32" t="s">
        <v>2542</v>
      </c>
      <c r="Q1668" s="42" t="s">
        <v>57</v>
      </c>
      <c r="R1668" s="32">
        <v>2035</v>
      </c>
      <c r="S1668" s="43" t="str">
        <f t="shared" ref="S1668:S1731" si="212">"*"&amp;IF(AND(A1668="EU",R1668=2035),0.95,IF(AND(A1668="EU",R1668=2050),0.93,IF(AND(A1668="USA",R1668=2035),0.96,IF(AND(A1668="USA",R1668=2050),0.93,IF(AND(A1668="Japan",R1668=2035),0.94,IF(AND(A1668="Japan",R1668=2050),0.92,IF(AND(A1668="Russia",R1668=2035),0.95,IF(AND(A1668="Russia",R1668=2050),0.91,IF(AND(A1668="China",R1668=2035),0.93,IF(AND(A1668="China",R1668=2050),0.92,IF(AND(A1668="India",R1668=2035),0.94,IF(AND(A1668="India",R1668=2050),0.91,IF(AND(A1668="Middle East",R1668=2035),0.92,IF(AND(A1668="Middle East",R1668=2050),0.89,IF(AND(A1668="Africa",R1668=2035),0.93,IF(AND(A1668="Africa",R1668=2050),0.9,IF(AND(A1668="Brazil",R1668=2035),0.95,IF(AND(A1668="Brazil",R1668=2050),0.92,""))))))))))))))))))</f>
        <v>*0.94</v>
      </c>
      <c r="U1668" s="32" t="s">
        <v>2542</v>
      </c>
      <c r="V1668" s="42" t="s">
        <v>57</v>
      </c>
      <c r="W1668" s="32">
        <v>2050</v>
      </c>
      <c r="X1668" s="43" t="str">
        <f t="shared" ref="X1668:X1731" si="213">"*"&amp;IF(AND(A1668="EU",W1668=2035),0.95,IF(AND(A1668="EU",W1668=2050),0.93,IF(AND(A1668="USA",W1668=2035),0.96,IF(AND(A1668="USA",W1668=2050),0.93,IF(AND(A1668="Japan",W1668=2035),0.94,IF(AND(A1668="Japan",W1668=2050),0.92,IF(AND(A1668="Russia",W1668=2035),0.95,IF(AND(A1668="Russia",W1668=2050),0.91,IF(AND(A1668="China",W1668=2035),0.93,IF(AND(A1668="China",W1668=2050),0.92,IF(AND(A1668="India",W1668=2035),0.94,IF(AND(A1668="India",W1668=2050),0.91,IF(AND(A1668="Middle East",W1668=2035),0.92,IF(AND(A1668="Middle East",W1668=2050),0.89,IF(AND(A1668="Africa",W1668=2035),0.93,IF(AND(A1668="Africa",W1668=2050),0.9,IF(AND(A1668="Brazil",W1668=2035),0.95,IF(AND(A1668="Brazil",W1668=2050),0.92,""))))))))))))))))))</f>
        <v>*0.91</v>
      </c>
      <c r="AC1668" s="33" t="s">
        <v>2542</v>
      </c>
      <c r="AD1668" s="44" t="s">
        <v>57</v>
      </c>
      <c r="AE1668" s="33">
        <v>2035</v>
      </c>
      <c r="AF1668" s="45" t="str">
        <f t="shared" ref="AF1668:AF1731" si="214">"*"&amp;IF(AND(A1668="EU",AE1668=2035),0.93,IF(AND(A1668="EU",AE1668=2050),0.9,IF(AND(A1668="USA",AE1668=2035),0.92,IF(AND(A1668="USA",AE1668=2050),0.89,IF(AND(A1668="Japan",AE1668=2035),0.92,IF(AND(A1668="Japan",AE1668=2050),0.89,IF(AND(A1668="Russia",AE1668=2035),0.91,IF(AND(A1668="Russia",AE1668=2050),0.86,IF(AND(A1668="China",AE1668=2035),0.91,IF(AND(A1668="China",AE1668=2050),0.87,IF(AND(A1668="India",AE1668=2035),0.92,IF(AND(A1668="India",AE1668=2050),0.87,IF(AND(A1668="Middle East",AE1668=2035),0.89,IF(AND(A1668="Middle East",AE1668=2050),0.84,IF(AND(A1668="Africa",AE1668=2035),0.9,IF(AND(A1668="Africa",AE1668=2050),0.86,IF(AND(A1668="Brazil",AE1668=2035),0.93,IF(AND(A1668="Brazil",AE1668=2050),0.89,""))))))))))))))))))</f>
        <v>*0.92</v>
      </c>
      <c r="AG1668" s="43" t="str">
        <f t="shared" si="208"/>
        <v>REZoning_Sol-Win</v>
      </c>
      <c r="AI1668" s="33" t="s">
        <v>2542</v>
      </c>
      <c r="AJ1668" s="44" t="s">
        <v>57</v>
      </c>
      <c r="AK1668" s="33">
        <v>2050</v>
      </c>
      <c r="AL1668" s="45" t="str">
        <f t="shared" ref="AL1668:AL1731" si="215">"*"&amp;IF(AND(A1668="EU",AK1668=2035),0.93,IF(AND(A1668="EU",AK1668=2050),0.9,IF(AND(A1668="USA",AK1668=2035),0.92,IF(AND(A1668="USA",AK1668=2050),0.89,IF(AND(A1668="Japan",AK1668=2035),0.92,IF(AND(A1668="Japan",AK1668=2050),0.89,IF(AND(A1668="Russia",AK1668=2035),0.91,IF(AND(A1668="Russia",AK1668=2050),0.86,IF(AND(A1668="China",AK1668=2035),0.91,IF(AND(A1668="China",AK1668=2050),0.87,IF(AND(A1668="India",AK1668=2035),0.92,IF(AND(A1668="India",AK1668=2050),0.87,IF(AND(A1668="Middle East",AK1668=2035),0.89,IF(AND(A1668="Middle East",AK1668=2050),0.84,IF(AND(A1668="Africa",AK1668=2035),0.9,IF(AND(A1668="Africa",AK1668=2050),0.86,IF(AND(A1668="Brazil",AK1668=2035),0.93,IF(AND(A1668="Brazil",AK1668=2050),0.89,""))))))))))))))))))</f>
        <v>*0.87</v>
      </c>
      <c r="AM1668" s="43" t="str">
        <f t="shared" si="209"/>
        <v>REZoning_Sol-Win</v>
      </c>
      <c r="AP1668" t="s">
        <v>2542</v>
      </c>
      <c r="AQ1668" t="s">
        <v>57</v>
      </c>
      <c r="AR1668">
        <v>2100</v>
      </c>
      <c r="AS1668" t="s">
        <v>874</v>
      </c>
      <c r="AT1668" t="s">
        <v>58</v>
      </c>
    </row>
    <row r="1669" ht="29" spans="1:46">
      <c r="A1669" s="31" t="s">
        <v>55</v>
      </c>
      <c r="C1669" t="s">
        <v>2543</v>
      </c>
      <c r="D1669" s="5" t="s">
        <v>57</v>
      </c>
      <c r="E1669">
        <v>2035</v>
      </c>
      <c r="F1669" s="6" t="str">
        <f t="shared" si="210"/>
        <v>*0.95</v>
      </c>
      <c r="H1669" t="s">
        <v>2543</v>
      </c>
      <c r="I1669" s="5" t="s">
        <v>57</v>
      </c>
      <c r="J1669">
        <v>2050</v>
      </c>
      <c r="K1669" s="38" t="str">
        <f t="shared" si="211"/>
        <v>*0.92</v>
      </c>
      <c r="P1669" s="32" t="s">
        <v>2543</v>
      </c>
      <c r="Q1669" s="42" t="s">
        <v>57</v>
      </c>
      <c r="R1669" s="32">
        <v>2035</v>
      </c>
      <c r="S1669" s="43" t="str">
        <f t="shared" si="212"/>
        <v>*0.94</v>
      </c>
      <c r="U1669" s="32" t="s">
        <v>2543</v>
      </c>
      <c r="V1669" s="42" t="s">
        <v>57</v>
      </c>
      <c r="W1669" s="32">
        <v>2050</v>
      </c>
      <c r="X1669" s="43" t="str">
        <f t="shared" si="213"/>
        <v>*0.91</v>
      </c>
      <c r="AC1669" s="33" t="s">
        <v>2543</v>
      </c>
      <c r="AD1669" s="44" t="s">
        <v>57</v>
      </c>
      <c r="AE1669" s="33">
        <v>2035</v>
      </c>
      <c r="AF1669" s="45" t="str">
        <f t="shared" si="214"/>
        <v>*0.92</v>
      </c>
      <c r="AG1669" s="43" t="str">
        <f t="shared" si="208"/>
        <v>REZoning_Sol-Win</v>
      </c>
      <c r="AI1669" s="33" t="s">
        <v>2543</v>
      </c>
      <c r="AJ1669" s="44" t="s">
        <v>57</v>
      </c>
      <c r="AK1669" s="33">
        <v>2050</v>
      </c>
      <c r="AL1669" s="45" t="str">
        <f t="shared" si="215"/>
        <v>*0.87</v>
      </c>
      <c r="AM1669" s="43" t="str">
        <f t="shared" si="209"/>
        <v>REZoning_Sol-Win</v>
      </c>
      <c r="AP1669" t="s">
        <v>2543</v>
      </c>
      <c r="AQ1669" t="s">
        <v>57</v>
      </c>
      <c r="AR1669">
        <v>2100</v>
      </c>
      <c r="AS1669" t="s">
        <v>874</v>
      </c>
      <c r="AT1669" t="s">
        <v>58</v>
      </c>
    </row>
    <row r="1670" ht="29" spans="1:46">
      <c r="A1670" s="31" t="s">
        <v>55</v>
      </c>
      <c r="C1670" t="s">
        <v>2544</v>
      </c>
      <c r="D1670" s="5" t="s">
        <v>57</v>
      </c>
      <c r="E1670">
        <v>2035</v>
      </c>
      <c r="F1670" s="6" t="str">
        <f t="shared" si="210"/>
        <v>*0.95</v>
      </c>
      <c r="H1670" t="s">
        <v>2544</v>
      </c>
      <c r="I1670" s="5" t="s">
        <v>57</v>
      </c>
      <c r="J1670">
        <v>2050</v>
      </c>
      <c r="K1670" s="38" t="str">
        <f t="shared" si="211"/>
        <v>*0.92</v>
      </c>
      <c r="P1670" s="32" t="s">
        <v>2544</v>
      </c>
      <c r="Q1670" s="42" t="s">
        <v>57</v>
      </c>
      <c r="R1670" s="32">
        <v>2035</v>
      </c>
      <c r="S1670" s="43" t="str">
        <f t="shared" si="212"/>
        <v>*0.94</v>
      </c>
      <c r="U1670" s="32" t="s">
        <v>2544</v>
      </c>
      <c r="V1670" s="42" t="s">
        <v>57</v>
      </c>
      <c r="W1670" s="32">
        <v>2050</v>
      </c>
      <c r="X1670" s="43" t="str">
        <f t="shared" si="213"/>
        <v>*0.91</v>
      </c>
      <c r="AC1670" s="33" t="s">
        <v>2544</v>
      </c>
      <c r="AD1670" s="44" t="s">
        <v>57</v>
      </c>
      <c r="AE1670" s="33">
        <v>2035</v>
      </c>
      <c r="AF1670" s="45" t="str">
        <f t="shared" si="214"/>
        <v>*0.92</v>
      </c>
      <c r="AG1670" s="43" t="str">
        <f t="shared" si="208"/>
        <v>REZoning_Sol-Win</v>
      </c>
      <c r="AI1670" s="33" t="s">
        <v>2544</v>
      </c>
      <c r="AJ1670" s="44" t="s">
        <v>57</v>
      </c>
      <c r="AK1670" s="33">
        <v>2050</v>
      </c>
      <c r="AL1670" s="45" t="str">
        <f t="shared" si="215"/>
        <v>*0.87</v>
      </c>
      <c r="AM1670" s="43" t="str">
        <f t="shared" si="209"/>
        <v>REZoning_Sol-Win</v>
      </c>
      <c r="AP1670" t="s">
        <v>2544</v>
      </c>
      <c r="AQ1670" t="s">
        <v>57</v>
      </c>
      <c r="AR1670">
        <v>2100</v>
      </c>
      <c r="AS1670" t="s">
        <v>874</v>
      </c>
      <c r="AT1670" t="s">
        <v>58</v>
      </c>
    </row>
    <row r="1671" ht="29" spans="1:46">
      <c r="A1671" s="31" t="s">
        <v>55</v>
      </c>
      <c r="C1671" t="s">
        <v>2545</v>
      </c>
      <c r="D1671" s="5" t="s">
        <v>57</v>
      </c>
      <c r="E1671">
        <v>2035</v>
      </c>
      <c r="F1671" s="6" t="str">
        <f t="shared" si="210"/>
        <v>*0.95</v>
      </c>
      <c r="H1671" t="s">
        <v>2545</v>
      </c>
      <c r="I1671" s="5" t="s">
        <v>57</v>
      </c>
      <c r="J1671">
        <v>2050</v>
      </c>
      <c r="K1671" s="38" t="str">
        <f t="shared" si="211"/>
        <v>*0.92</v>
      </c>
      <c r="P1671" s="32" t="s">
        <v>2545</v>
      </c>
      <c r="Q1671" s="42" t="s">
        <v>57</v>
      </c>
      <c r="R1671" s="32">
        <v>2035</v>
      </c>
      <c r="S1671" s="43" t="str">
        <f t="shared" si="212"/>
        <v>*0.94</v>
      </c>
      <c r="U1671" s="32" t="s">
        <v>2545</v>
      </c>
      <c r="V1671" s="42" t="s">
        <v>57</v>
      </c>
      <c r="W1671" s="32">
        <v>2050</v>
      </c>
      <c r="X1671" s="43" t="str">
        <f t="shared" si="213"/>
        <v>*0.91</v>
      </c>
      <c r="AC1671" s="33" t="s">
        <v>2545</v>
      </c>
      <c r="AD1671" s="44" t="s">
        <v>57</v>
      </c>
      <c r="AE1671" s="33">
        <v>2035</v>
      </c>
      <c r="AF1671" s="45" t="str">
        <f t="shared" si="214"/>
        <v>*0.92</v>
      </c>
      <c r="AG1671" s="43" t="str">
        <f t="shared" si="208"/>
        <v>REZoning_Sol-Win</v>
      </c>
      <c r="AI1671" s="33" t="s">
        <v>2545</v>
      </c>
      <c r="AJ1671" s="44" t="s">
        <v>57</v>
      </c>
      <c r="AK1671" s="33">
        <v>2050</v>
      </c>
      <c r="AL1671" s="45" t="str">
        <f t="shared" si="215"/>
        <v>*0.87</v>
      </c>
      <c r="AM1671" s="43" t="str">
        <f t="shared" si="209"/>
        <v>REZoning_Sol-Win</v>
      </c>
      <c r="AP1671" t="s">
        <v>2545</v>
      </c>
      <c r="AQ1671" t="s">
        <v>57</v>
      </c>
      <c r="AR1671">
        <v>2100</v>
      </c>
      <c r="AS1671" t="s">
        <v>874</v>
      </c>
      <c r="AT1671" t="s">
        <v>58</v>
      </c>
    </row>
    <row r="1672" ht="29" spans="1:46">
      <c r="A1672" s="31" t="s">
        <v>55</v>
      </c>
      <c r="C1672" t="s">
        <v>2546</v>
      </c>
      <c r="D1672" s="5" t="s">
        <v>57</v>
      </c>
      <c r="E1672">
        <v>2035</v>
      </c>
      <c r="F1672" s="6" t="str">
        <f t="shared" si="210"/>
        <v>*0.95</v>
      </c>
      <c r="H1672" t="s">
        <v>2546</v>
      </c>
      <c r="I1672" s="5" t="s">
        <v>57</v>
      </c>
      <c r="J1672">
        <v>2050</v>
      </c>
      <c r="K1672" s="38" t="str">
        <f t="shared" si="211"/>
        <v>*0.92</v>
      </c>
      <c r="P1672" s="32" t="s">
        <v>2546</v>
      </c>
      <c r="Q1672" s="42" t="s">
        <v>57</v>
      </c>
      <c r="R1672" s="32">
        <v>2035</v>
      </c>
      <c r="S1672" s="43" t="str">
        <f t="shared" si="212"/>
        <v>*0.94</v>
      </c>
      <c r="U1672" s="32" t="s">
        <v>2546</v>
      </c>
      <c r="V1672" s="42" t="s">
        <v>57</v>
      </c>
      <c r="W1672" s="32">
        <v>2050</v>
      </c>
      <c r="X1672" s="43" t="str">
        <f t="shared" si="213"/>
        <v>*0.91</v>
      </c>
      <c r="AC1672" s="33" t="s">
        <v>2546</v>
      </c>
      <c r="AD1672" s="44" t="s">
        <v>57</v>
      </c>
      <c r="AE1672" s="33">
        <v>2035</v>
      </c>
      <c r="AF1672" s="45" t="str">
        <f t="shared" si="214"/>
        <v>*0.92</v>
      </c>
      <c r="AG1672" s="43" t="str">
        <f t="shared" si="208"/>
        <v>REZoning_Sol-Win</v>
      </c>
      <c r="AI1672" s="33" t="s">
        <v>2546</v>
      </c>
      <c r="AJ1672" s="44" t="s">
        <v>57</v>
      </c>
      <c r="AK1672" s="33">
        <v>2050</v>
      </c>
      <c r="AL1672" s="45" t="str">
        <f t="shared" si="215"/>
        <v>*0.87</v>
      </c>
      <c r="AM1672" s="43" t="str">
        <f t="shared" si="209"/>
        <v>REZoning_Sol-Win</v>
      </c>
      <c r="AP1672" t="s">
        <v>2546</v>
      </c>
      <c r="AQ1672" t="s">
        <v>57</v>
      </c>
      <c r="AR1672">
        <v>2100</v>
      </c>
      <c r="AS1672" t="s">
        <v>874</v>
      </c>
      <c r="AT1672" t="s">
        <v>58</v>
      </c>
    </row>
    <row r="1673" ht="29" spans="1:46">
      <c r="A1673" s="31" t="s">
        <v>55</v>
      </c>
      <c r="C1673" t="s">
        <v>2547</v>
      </c>
      <c r="D1673" s="5" t="s">
        <v>57</v>
      </c>
      <c r="E1673">
        <v>2035</v>
      </c>
      <c r="F1673" s="6" t="str">
        <f t="shared" si="210"/>
        <v>*0.95</v>
      </c>
      <c r="H1673" t="s">
        <v>2547</v>
      </c>
      <c r="I1673" s="5" t="s">
        <v>57</v>
      </c>
      <c r="J1673">
        <v>2050</v>
      </c>
      <c r="K1673" s="38" t="str">
        <f t="shared" si="211"/>
        <v>*0.92</v>
      </c>
      <c r="P1673" s="32" t="s">
        <v>2547</v>
      </c>
      <c r="Q1673" s="42" t="s">
        <v>57</v>
      </c>
      <c r="R1673" s="32">
        <v>2035</v>
      </c>
      <c r="S1673" s="43" t="str">
        <f t="shared" si="212"/>
        <v>*0.94</v>
      </c>
      <c r="U1673" s="32" t="s">
        <v>2547</v>
      </c>
      <c r="V1673" s="42" t="s">
        <v>57</v>
      </c>
      <c r="W1673" s="32">
        <v>2050</v>
      </c>
      <c r="X1673" s="43" t="str">
        <f t="shared" si="213"/>
        <v>*0.91</v>
      </c>
      <c r="AC1673" s="33" t="s">
        <v>2547</v>
      </c>
      <c r="AD1673" s="44" t="s">
        <v>57</v>
      </c>
      <c r="AE1673" s="33">
        <v>2035</v>
      </c>
      <c r="AF1673" s="45" t="str">
        <f t="shared" si="214"/>
        <v>*0.92</v>
      </c>
      <c r="AG1673" s="43" t="str">
        <f t="shared" ref="AG1673:AG1736" si="216">AG1672</f>
        <v>REZoning_Sol-Win</v>
      </c>
      <c r="AI1673" s="33" t="s">
        <v>2547</v>
      </c>
      <c r="AJ1673" s="44" t="s">
        <v>57</v>
      </c>
      <c r="AK1673" s="33">
        <v>2050</v>
      </c>
      <c r="AL1673" s="45" t="str">
        <f t="shared" si="215"/>
        <v>*0.87</v>
      </c>
      <c r="AM1673" s="43" t="str">
        <f t="shared" si="209"/>
        <v>REZoning_Sol-Win</v>
      </c>
      <c r="AP1673" t="s">
        <v>2547</v>
      </c>
      <c r="AQ1673" t="s">
        <v>57</v>
      </c>
      <c r="AR1673">
        <v>2100</v>
      </c>
      <c r="AS1673" t="s">
        <v>874</v>
      </c>
      <c r="AT1673" t="s">
        <v>58</v>
      </c>
    </row>
    <row r="1674" ht="29" spans="1:46">
      <c r="A1674" s="31" t="s">
        <v>55</v>
      </c>
      <c r="C1674" t="s">
        <v>2548</v>
      </c>
      <c r="D1674" s="5" t="s">
        <v>57</v>
      </c>
      <c r="E1674">
        <v>2035</v>
      </c>
      <c r="F1674" s="6" t="str">
        <f t="shared" si="210"/>
        <v>*0.95</v>
      </c>
      <c r="H1674" t="s">
        <v>2548</v>
      </c>
      <c r="I1674" s="5" t="s">
        <v>57</v>
      </c>
      <c r="J1674">
        <v>2050</v>
      </c>
      <c r="K1674" s="38" t="str">
        <f t="shared" si="211"/>
        <v>*0.92</v>
      </c>
      <c r="P1674" s="32" t="s">
        <v>2548</v>
      </c>
      <c r="Q1674" s="42" t="s">
        <v>57</v>
      </c>
      <c r="R1674" s="32">
        <v>2035</v>
      </c>
      <c r="S1674" s="43" t="str">
        <f t="shared" si="212"/>
        <v>*0.94</v>
      </c>
      <c r="U1674" s="32" t="s">
        <v>2548</v>
      </c>
      <c r="V1674" s="42" t="s">
        <v>57</v>
      </c>
      <c r="W1674" s="32">
        <v>2050</v>
      </c>
      <c r="X1674" s="43" t="str">
        <f t="shared" si="213"/>
        <v>*0.91</v>
      </c>
      <c r="AC1674" s="33" t="s">
        <v>2548</v>
      </c>
      <c r="AD1674" s="44" t="s">
        <v>57</v>
      </c>
      <c r="AE1674" s="33">
        <v>2035</v>
      </c>
      <c r="AF1674" s="45" t="str">
        <f t="shared" si="214"/>
        <v>*0.92</v>
      </c>
      <c r="AG1674" s="43" t="str">
        <f t="shared" si="216"/>
        <v>REZoning_Sol-Win</v>
      </c>
      <c r="AI1674" s="33" t="s">
        <v>2548</v>
      </c>
      <c r="AJ1674" s="44" t="s">
        <v>57</v>
      </c>
      <c r="AK1674" s="33">
        <v>2050</v>
      </c>
      <c r="AL1674" s="45" t="str">
        <f t="shared" si="215"/>
        <v>*0.87</v>
      </c>
      <c r="AM1674" s="43" t="str">
        <f t="shared" ref="AM1674:AM1737" si="217">AM1673</f>
        <v>REZoning_Sol-Win</v>
      </c>
      <c r="AP1674" t="s">
        <v>2548</v>
      </c>
      <c r="AQ1674" t="s">
        <v>57</v>
      </c>
      <c r="AR1674">
        <v>2100</v>
      </c>
      <c r="AS1674" t="s">
        <v>874</v>
      </c>
      <c r="AT1674" t="s">
        <v>58</v>
      </c>
    </row>
    <row r="1675" ht="29" spans="1:46">
      <c r="A1675" s="31" t="s">
        <v>55</v>
      </c>
      <c r="C1675" t="s">
        <v>2549</v>
      </c>
      <c r="D1675" s="5" t="s">
        <v>57</v>
      </c>
      <c r="E1675">
        <v>2035</v>
      </c>
      <c r="F1675" s="6" t="str">
        <f t="shared" si="210"/>
        <v>*0.95</v>
      </c>
      <c r="H1675" t="s">
        <v>2549</v>
      </c>
      <c r="I1675" s="5" t="s">
        <v>57</v>
      </c>
      <c r="J1675">
        <v>2050</v>
      </c>
      <c r="K1675" s="38" t="str">
        <f t="shared" si="211"/>
        <v>*0.92</v>
      </c>
      <c r="P1675" s="32" t="s">
        <v>2549</v>
      </c>
      <c r="Q1675" s="42" t="s">
        <v>57</v>
      </c>
      <c r="R1675" s="32">
        <v>2035</v>
      </c>
      <c r="S1675" s="43" t="str">
        <f t="shared" si="212"/>
        <v>*0.94</v>
      </c>
      <c r="U1675" s="32" t="s">
        <v>2549</v>
      </c>
      <c r="V1675" s="42" t="s">
        <v>57</v>
      </c>
      <c r="W1675" s="32">
        <v>2050</v>
      </c>
      <c r="X1675" s="43" t="str">
        <f t="shared" si="213"/>
        <v>*0.91</v>
      </c>
      <c r="AC1675" s="33" t="s">
        <v>2549</v>
      </c>
      <c r="AD1675" s="44" t="s">
        <v>57</v>
      </c>
      <c r="AE1675" s="33">
        <v>2035</v>
      </c>
      <c r="AF1675" s="45" t="str">
        <f t="shared" si="214"/>
        <v>*0.92</v>
      </c>
      <c r="AG1675" s="43" t="str">
        <f t="shared" si="216"/>
        <v>REZoning_Sol-Win</v>
      </c>
      <c r="AI1675" s="33" t="s">
        <v>2549</v>
      </c>
      <c r="AJ1675" s="44" t="s">
        <v>57</v>
      </c>
      <c r="AK1675" s="33">
        <v>2050</v>
      </c>
      <c r="AL1675" s="45" t="str">
        <f t="shared" si="215"/>
        <v>*0.87</v>
      </c>
      <c r="AM1675" s="43" t="str">
        <f t="shared" si="217"/>
        <v>REZoning_Sol-Win</v>
      </c>
      <c r="AP1675" t="s">
        <v>2549</v>
      </c>
      <c r="AQ1675" t="s">
        <v>57</v>
      </c>
      <c r="AR1675">
        <v>2100</v>
      </c>
      <c r="AS1675" t="s">
        <v>874</v>
      </c>
      <c r="AT1675" t="s">
        <v>58</v>
      </c>
    </row>
    <row r="1676" ht="29" spans="1:46">
      <c r="A1676" s="31" t="s">
        <v>55</v>
      </c>
      <c r="C1676" t="s">
        <v>2550</v>
      </c>
      <c r="D1676" s="5" t="s">
        <v>57</v>
      </c>
      <c r="E1676">
        <v>2035</v>
      </c>
      <c r="F1676" s="6" t="str">
        <f t="shared" si="210"/>
        <v>*0.95</v>
      </c>
      <c r="H1676" t="s">
        <v>2550</v>
      </c>
      <c r="I1676" s="5" t="s">
        <v>57</v>
      </c>
      <c r="J1676">
        <v>2050</v>
      </c>
      <c r="K1676" s="38" t="str">
        <f t="shared" si="211"/>
        <v>*0.92</v>
      </c>
      <c r="P1676" s="32" t="s">
        <v>2550</v>
      </c>
      <c r="Q1676" s="42" t="s">
        <v>57</v>
      </c>
      <c r="R1676" s="32">
        <v>2035</v>
      </c>
      <c r="S1676" s="43" t="str">
        <f t="shared" si="212"/>
        <v>*0.94</v>
      </c>
      <c r="U1676" s="32" t="s">
        <v>2550</v>
      </c>
      <c r="V1676" s="42" t="s">
        <v>57</v>
      </c>
      <c r="W1676" s="32">
        <v>2050</v>
      </c>
      <c r="X1676" s="43" t="str">
        <f t="shared" si="213"/>
        <v>*0.91</v>
      </c>
      <c r="AC1676" s="33" t="s">
        <v>2550</v>
      </c>
      <c r="AD1676" s="44" t="s">
        <v>57</v>
      </c>
      <c r="AE1676" s="33">
        <v>2035</v>
      </c>
      <c r="AF1676" s="45" t="str">
        <f t="shared" si="214"/>
        <v>*0.92</v>
      </c>
      <c r="AG1676" s="43" t="str">
        <f t="shared" si="216"/>
        <v>REZoning_Sol-Win</v>
      </c>
      <c r="AI1676" s="33" t="s">
        <v>2550</v>
      </c>
      <c r="AJ1676" s="44" t="s">
        <v>57</v>
      </c>
      <c r="AK1676" s="33">
        <v>2050</v>
      </c>
      <c r="AL1676" s="45" t="str">
        <f t="shared" si="215"/>
        <v>*0.87</v>
      </c>
      <c r="AM1676" s="43" t="str">
        <f t="shared" si="217"/>
        <v>REZoning_Sol-Win</v>
      </c>
      <c r="AP1676" t="s">
        <v>2550</v>
      </c>
      <c r="AQ1676" t="s">
        <v>57</v>
      </c>
      <c r="AR1676">
        <v>2100</v>
      </c>
      <c r="AS1676" t="s">
        <v>874</v>
      </c>
      <c r="AT1676" t="s">
        <v>58</v>
      </c>
    </row>
    <row r="1677" ht="29" spans="1:46">
      <c r="A1677" s="31" t="s">
        <v>55</v>
      </c>
      <c r="C1677" t="s">
        <v>2551</v>
      </c>
      <c r="D1677" s="5" t="s">
        <v>57</v>
      </c>
      <c r="E1677">
        <v>2035</v>
      </c>
      <c r="F1677" s="6" t="str">
        <f t="shared" si="210"/>
        <v>*0.95</v>
      </c>
      <c r="H1677" t="s">
        <v>2551</v>
      </c>
      <c r="I1677" s="5" t="s">
        <v>57</v>
      </c>
      <c r="J1677">
        <v>2050</v>
      </c>
      <c r="K1677" s="38" t="str">
        <f t="shared" si="211"/>
        <v>*0.92</v>
      </c>
      <c r="P1677" s="32" t="s">
        <v>2551</v>
      </c>
      <c r="Q1677" s="42" t="s">
        <v>57</v>
      </c>
      <c r="R1677" s="32">
        <v>2035</v>
      </c>
      <c r="S1677" s="43" t="str">
        <f t="shared" si="212"/>
        <v>*0.94</v>
      </c>
      <c r="U1677" s="32" t="s">
        <v>2551</v>
      </c>
      <c r="V1677" s="42" t="s">
        <v>57</v>
      </c>
      <c r="W1677" s="32">
        <v>2050</v>
      </c>
      <c r="X1677" s="43" t="str">
        <f t="shared" si="213"/>
        <v>*0.91</v>
      </c>
      <c r="AC1677" s="33" t="s">
        <v>2551</v>
      </c>
      <c r="AD1677" s="44" t="s">
        <v>57</v>
      </c>
      <c r="AE1677" s="33">
        <v>2035</v>
      </c>
      <c r="AF1677" s="45" t="str">
        <f t="shared" si="214"/>
        <v>*0.92</v>
      </c>
      <c r="AG1677" s="43" t="str">
        <f t="shared" si="216"/>
        <v>REZoning_Sol-Win</v>
      </c>
      <c r="AI1677" s="33" t="s">
        <v>2551</v>
      </c>
      <c r="AJ1677" s="44" t="s">
        <v>57</v>
      </c>
      <c r="AK1677" s="33">
        <v>2050</v>
      </c>
      <c r="AL1677" s="45" t="str">
        <f t="shared" si="215"/>
        <v>*0.87</v>
      </c>
      <c r="AM1677" s="43" t="str">
        <f t="shared" si="217"/>
        <v>REZoning_Sol-Win</v>
      </c>
      <c r="AP1677" t="s">
        <v>2551</v>
      </c>
      <c r="AQ1677" t="s">
        <v>57</v>
      </c>
      <c r="AR1677">
        <v>2100</v>
      </c>
      <c r="AS1677" t="s">
        <v>874</v>
      </c>
      <c r="AT1677" t="s">
        <v>58</v>
      </c>
    </row>
    <row r="1678" ht="29" spans="1:46">
      <c r="A1678" s="31" t="s">
        <v>55</v>
      </c>
      <c r="C1678" t="s">
        <v>2552</v>
      </c>
      <c r="D1678" s="5" t="s">
        <v>57</v>
      </c>
      <c r="E1678">
        <v>2035</v>
      </c>
      <c r="F1678" s="6" t="str">
        <f t="shared" si="210"/>
        <v>*0.95</v>
      </c>
      <c r="H1678" t="s">
        <v>2552</v>
      </c>
      <c r="I1678" s="5" t="s">
        <v>57</v>
      </c>
      <c r="J1678">
        <v>2050</v>
      </c>
      <c r="K1678" s="38" t="str">
        <f t="shared" si="211"/>
        <v>*0.92</v>
      </c>
      <c r="P1678" s="32" t="s">
        <v>2552</v>
      </c>
      <c r="Q1678" s="42" t="s">
        <v>57</v>
      </c>
      <c r="R1678" s="32">
        <v>2035</v>
      </c>
      <c r="S1678" s="43" t="str">
        <f t="shared" si="212"/>
        <v>*0.94</v>
      </c>
      <c r="U1678" s="32" t="s">
        <v>2552</v>
      </c>
      <c r="V1678" s="42" t="s">
        <v>57</v>
      </c>
      <c r="W1678" s="32">
        <v>2050</v>
      </c>
      <c r="X1678" s="43" t="str">
        <f t="shared" si="213"/>
        <v>*0.91</v>
      </c>
      <c r="AC1678" s="33" t="s">
        <v>2552</v>
      </c>
      <c r="AD1678" s="44" t="s">
        <v>57</v>
      </c>
      <c r="AE1678" s="33">
        <v>2035</v>
      </c>
      <c r="AF1678" s="45" t="str">
        <f t="shared" si="214"/>
        <v>*0.92</v>
      </c>
      <c r="AG1678" s="43" t="str">
        <f t="shared" si="216"/>
        <v>REZoning_Sol-Win</v>
      </c>
      <c r="AI1678" s="33" t="s">
        <v>2552</v>
      </c>
      <c r="AJ1678" s="44" t="s">
        <v>57</v>
      </c>
      <c r="AK1678" s="33">
        <v>2050</v>
      </c>
      <c r="AL1678" s="45" t="str">
        <f t="shared" si="215"/>
        <v>*0.87</v>
      </c>
      <c r="AM1678" s="43" t="str">
        <f t="shared" si="217"/>
        <v>REZoning_Sol-Win</v>
      </c>
      <c r="AP1678" t="s">
        <v>2552</v>
      </c>
      <c r="AQ1678" t="s">
        <v>57</v>
      </c>
      <c r="AR1678">
        <v>2100</v>
      </c>
      <c r="AS1678" t="s">
        <v>874</v>
      </c>
      <c r="AT1678" t="s">
        <v>58</v>
      </c>
    </row>
    <row r="1679" ht="29" spans="1:46">
      <c r="A1679" s="31" t="s">
        <v>55</v>
      </c>
      <c r="C1679" t="s">
        <v>2553</v>
      </c>
      <c r="D1679" s="5" t="s">
        <v>57</v>
      </c>
      <c r="E1679">
        <v>2035</v>
      </c>
      <c r="F1679" s="6" t="str">
        <f t="shared" si="210"/>
        <v>*0.95</v>
      </c>
      <c r="H1679" t="s">
        <v>2553</v>
      </c>
      <c r="I1679" s="5" t="s">
        <v>57</v>
      </c>
      <c r="J1679">
        <v>2050</v>
      </c>
      <c r="K1679" s="38" t="str">
        <f t="shared" si="211"/>
        <v>*0.92</v>
      </c>
      <c r="P1679" s="32" t="s">
        <v>2553</v>
      </c>
      <c r="Q1679" s="42" t="s">
        <v>57</v>
      </c>
      <c r="R1679" s="32">
        <v>2035</v>
      </c>
      <c r="S1679" s="43" t="str">
        <f t="shared" si="212"/>
        <v>*0.94</v>
      </c>
      <c r="U1679" s="32" t="s">
        <v>2553</v>
      </c>
      <c r="V1679" s="42" t="s">
        <v>57</v>
      </c>
      <c r="W1679" s="32">
        <v>2050</v>
      </c>
      <c r="X1679" s="43" t="str">
        <f t="shared" si="213"/>
        <v>*0.91</v>
      </c>
      <c r="AC1679" s="33" t="s">
        <v>2553</v>
      </c>
      <c r="AD1679" s="44" t="s">
        <v>57</v>
      </c>
      <c r="AE1679" s="33">
        <v>2035</v>
      </c>
      <c r="AF1679" s="45" t="str">
        <f t="shared" si="214"/>
        <v>*0.92</v>
      </c>
      <c r="AG1679" s="43" t="str">
        <f t="shared" si="216"/>
        <v>REZoning_Sol-Win</v>
      </c>
      <c r="AI1679" s="33" t="s">
        <v>2553</v>
      </c>
      <c r="AJ1679" s="44" t="s">
        <v>57</v>
      </c>
      <c r="AK1679" s="33">
        <v>2050</v>
      </c>
      <c r="AL1679" s="45" t="str">
        <f t="shared" si="215"/>
        <v>*0.87</v>
      </c>
      <c r="AM1679" s="43" t="str">
        <f t="shared" si="217"/>
        <v>REZoning_Sol-Win</v>
      </c>
      <c r="AP1679" t="s">
        <v>2553</v>
      </c>
      <c r="AQ1679" t="s">
        <v>57</v>
      </c>
      <c r="AR1679">
        <v>2100</v>
      </c>
      <c r="AS1679" t="s">
        <v>874</v>
      </c>
      <c r="AT1679" t="s">
        <v>58</v>
      </c>
    </row>
    <row r="1680" ht="29" spans="1:46">
      <c r="A1680" s="31" t="s">
        <v>55</v>
      </c>
      <c r="C1680" t="s">
        <v>2554</v>
      </c>
      <c r="D1680" s="5" t="s">
        <v>57</v>
      </c>
      <c r="E1680">
        <v>2035</v>
      </c>
      <c r="F1680" s="6" t="str">
        <f t="shared" si="210"/>
        <v>*0.95</v>
      </c>
      <c r="H1680" t="s">
        <v>2554</v>
      </c>
      <c r="I1680" s="5" t="s">
        <v>57</v>
      </c>
      <c r="J1680">
        <v>2050</v>
      </c>
      <c r="K1680" s="38" t="str">
        <f t="shared" si="211"/>
        <v>*0.92</v>
      </c>
      <c r="P1680" s="32" t="s">
        <v>2554</v>
      </c>
      <c r="Q1680" s="42" t="s">
        <v>57</v>
      </c>
      <c r="R1680" s="32">
        <v>2035</v>
      </c>
      <c r="S1680" s="43" t="str">
        <f t="shared" si="212"/>
        <v>*0.94</v>
      </c>
      <c r="U1680" s="32" t="s">
        <v>2554</v>
      </c>
      <c r="V1680" s="42" t="s">
        <v>57</v>
      </c>
      <c r="W1680" s="32">
        <v>2050</v>
      </c>
      <c r="X1680" s="43" t="str">
        <f t="shared" si="213"/>
        <v>*0.91</v>
      </c>
      <c r="AC1680" s="33" t="s">
        <v>2554</v>
      </c>
      <c r="AD1680" s="44" t="s">
        <v>57</v>
      </c>
      <c r="AE1680" s="33">
        <v>2035</v>
      </c>
      <c r="AF1680" s="45" t="str">
        <f t="shared" si="214"/>
        <v>*0.92</v>
      </c>
      <c r="AG1680" s="43" t="str">
        <f t="shared" si="216"/>
        <v>REZoning_Sol-Win</v>
      </c>
      <c r="AI1680" s="33" t="s">
        <v>2554</v>
      </c>
      <c r="AJ1680" s="44" t="s">
        <v>57</v>
      </c>
      <c r="AK1680" s="33">
        <v>2050</v>
      </c>
      <c r="AL1680" s="45" t="str">
        <f t="shared" si="215"/>
        <v>*0.87</v>
      </c>
      <c r="AM1680" s="43" t="str">
        <f t="shared" si="217"/>
        <v>REZoning_Sol-Win</v>
      </c>
      <c r="AP1680" t="s">
        <v>2554</v>
      </c>
      <c r="AQ1680" t="s">
        <v>57</v>
      </c>
      <c r="AR1680">
        <v>2100</v>
      </c>
      <c r="AS1680" t="s">
        <v>874</v>
      </c>
      <c r="AT1680" t="s">
        <v>58</v>
      </c>
    </row>
    <row r="1681" ht="29" spans="1:46">
      <c r="A1681" s="31" t="s">
        <v>55</v>
      </c>
      <c r="C1681" t="s">
        <v>2555</v>
      </c>
      <c r="D1681" s="5" t="s">
        <v>57</v>
      </c>
      <c r="E1681">
        <v>2035</v>
      </c>
      <c r="F1681" s="6" t="str">
        <f t="shared" si="210"/>
        <v>*0.95</v>
      </c>
      <c r="H1681" t="s">
        <v>2555</v>
      </c>
      <c r="I1681" s="5" t="s">
        <v>57</v>
      </c>
      <c r="J1681">
        <v>2050</v>
      </c>
      <c r="K1681" s="38" t="str">
        <f t="shared" si="211"/>
        <v>*0.92</v>
      </c>
      <c r="P1681" s="32" t="s">
        <v>2555</v>
      </c>
      <c r="Q1681" s="42" t="s">
        <v>57</v>
      </c>
      <c r="R1681" s="32">
        <v>2035</v>
      </c>
      <c r="S1681" s="43" t="str">
        <f t="shared" si="212"/>
        <v>*0.94</v>
      </c>
      <c r="U1681" s="32" t="s">
        <v>2555</v>
      </c>
      <c r="V1681" s="42" t="s">
        <v>57</v>
      </c>
      <c r="W1681" s="32">
        <v>2050</v>
      </c>
      <c r="X1681" s="43" t="str">
        <f t="shared" si="213"/>
        <v>*0.91</v>
      </c>
      <c r="AC1681" s="33" t="s">
        <v>2555</v>
      </c>
      <c r="AD1681" s="44" t="s">
        <v>57</v>
      </c>
      <c r="AE1681" s="33">
        <v>2035</v>
      </c>
      <c r="AF1681" s="45" t="str">
        <f t="shared" si="214"/>
        <v>*0.92</v>
      </c>
      <c r="AG1681" s="43" t="str">
        <f t="shared" si="216"/>
        <v>REZoning_Sol-Win</v>
      </c>
      <c r="AI1681" s="33" t="s">
        <v>2555</v>
      </c>
      <c r="AJ1681" s="44" t="s">
        <v>57</v>
      </c>
      <c r="AK1681" s="33">
        <v>2050</v>
      </c>
      <c r="AL1681" s="45" t="str">
        <f t="shared" si="215"/>
        <v>*0.87</v>
      </c>
      <c r="AM1681" s="43" t="str">
        <f t="shared" si="217"/>
        <v>REZoning_Sol-Win</v>
      </c>
      <c r="AP1681" t="s">
        <v>2555</v>
      </c>
      <c r="AQ1681" t="s">
        <v>57</v>
      </c>
      <c r="AR1681">
        <v>2100</v>
      </c>
      <c r="AS1681" t="s">
        <v>874</v>
      </c>
      <c r="AT1681" t="s">
        <v>58</v>
      </c>
    </row>
    <row r="1682" ht="29" spans="1:46">
      <c r="A1682" s="31" t="s">
        <v>55</v>
      </c>
      <c r="C1682" t="s">
        <v>2556</v>
      </c>
      <c r="D1682" s="5" t="s">
        <v>57</v>
      </c>
      <c r="E1682">
        <v>2035</v>
      </c>
      <c r="F1682" s="6" t="str">
        <f t="shared" si="210"/>
        <v>*0.95</v>
      </c>
      <c r="H1682" t="s">
        <v>2556</v>
      </c>
      <c r="I1682" s="5" t="s">
        <v>57</v>
      </c>
      <c r="J1682">
        <v>2050</v>
      </c>
      <c r="K1682" s="38" t="str">
        <f t="shared" si="211"/>
        <v>*0.92</v>
      </c>
      <c r="P1682" s="32" t="s">
        <v>2556</v>
      </c>
      <c r="Q1682" s="42" t="s">
        <v>57</v>
      </c>
      <c r="R1682" s="32">
        <v>2035</v>
      </c>
      <c r="S1682" s="43" t="str">
        <f t="shared" si="212"/>
        <v>*0.94</v>
      </c>
      <c r="U1682" s="32" t="s">
        <v>2556</v>
      </c>
      <c r="V1682" s="42" t="s">
        <v>57</v>
      </c>
      <c r="W1682" s="32">
        <v>2050</v>
      </c>
      <c r="X1682" s="43" t="str">
        <f t="shared" si="213"/>
        <v>*0.91</v>
      </c>
      <c r="AC1682" s="33" t="s">
        <v>2556</v>
      </c>
      <c r="AD1682" s="44" t="s">
        <v>57</v>
      </c>
      <c r="AE1682" s="33">
        <v>2035</v>
      </c>
      <c r="AF1682" s="45" t="str">
        <f t="shared" si="214"/>
        <v>*0.92</v>
      </c>
      <c r="AG1682" s="43" t="str">
        <f t="shared" si="216"/>
        <v>REZoning_Sol-Win</v>
      </c>
      <c r="AI1682" s="33" t="s">
        <v>2556</v>
      </c>
      <c r="AJ1682" s="44" t="s">
        <v>57</v>
      </c>
      <c r="AK1682" s="33">
        <v>2050</v>
      </c>
      <c r="AL1682" s="45" t="str">
        <f t="shared" si="215"/>
        <v>*0.87</v>
      </c>
      <c r="AM1682" s="43" t="str">
        <f t="shared" si="217"/>
        <v>REZoning_Sol-Win</v>
      </c>
      <c r="AP1682" t="s">
        <v>2556</v>
      </c>
      <c r="AQ1682" t="s">
        <v>57</v>
      </c>
      <c r="AR1682">
        <v>2100</v>
      </c>
      <c r="AS1682" t="s">
        <v>874</v>
      </c>
      <c r="AT1682" t="s">
        <v>58</v>
      </c>
    </row>
    <row r="1683" ht="29" spans="1:46">
      <c r="A1683" s="31" t="s">
        <v>55</v>
      </c>
      <c r="C1683" t="s">
        <v>2557</v>
      </c>
      <c r="D1683" s="5" t="s">
        <v>57</v>
      </c>
      <c r="E1683">
        <v>2035</v>
      </c>
      <c r="F1683" s="6" t="str">
        <f t="shared" si="210"/>
        <v>*0.95</v>
      </c>
      <c r="H1683" t="s">
        <v>2557</v>
      </c>
      <c r="I1683" s="5" t="s">
        <v>57</v>
      </c>
      <c r="J1683">
        <v>2050</v>
      </c>
      <c r="K1683" s="38" t="str">
        <f t="shared" si="211"/>
        <v>*0.92</v>
      </c>
      <c r="P1683" s="32" t="s">
        <v>2557</v>
      </c>
      <c r="Q1683" s="42" t="s">
        <v>57</v>
      </c>
      <c r="R1683" s="32">
        <v>2035</v>
      </c>
      <c r="S1683" s="43" t="str">
        <f t="shared" si="212"/>
        <v>*0.94</v>
      </c>
      <c r="U1683" s="32" t="s">
        <v>2557</v>
      </c>
      <c r="V1683" s="42" t="s">
        <v>57</v>
      </c>
      <c r="W1683" s="32">
        <v>2050</v>
      </c>
      <c r="X1683" s="43" t="str">
        <f t="shared" si="213"/>
        <v>*0.91</v>
      </c>
      <c r="AC1683" s="33" t="s">
        <v>2557</v>
      </c>
      <c r="AD1683" s="44" t="s">
        <v>57</v>
      </c>
      <c r="AE1683" s="33">
        <v>2035</v>
      </c>
      <c r="AF1683" s="45" t="str">
        <f t="shared" si="214"/>
        <v>*0.92</v>
      </c>
      <c r="AG1683" s="43" t="str">
        <f t="shared" si="216"/>
        <v>REZoning_Sol-Win</v>
      </c>
      <c r="AI1683" s="33" t="s">
        <v>2557</v>
      </c>
      <c r="AJ1683" s="44" t="s">
        <v>57</v>
      </c>
      <c r="AK1683" s="33">
        <v>2050</v>
      </c>
      <c r="AL1683" s="45" t="str">
        <f t="shared" si="215"/>
        <v>*0.87</v>
      </c>
      <c r="AM1683" s="43" t="str">
        <f t="shared" si="217"/>
        <v>REZoning_Sol-Win</v>
      </c>
      <c r="AP1683" t="s">
        <v>2557</v>
      </c>
      <c r="AQ1683" t="s">
        <v>57</v>
      </c>
      <c r="AR1683">
        <v>2100</v>
      </c>
      <c r="AS1683" t="s">
        <v>874</v>
      </c>
      <c r="AT1683" t="s">
        <v>58</v>
      </c>
    </row>
    <row r="1684" ht="29" spans="1:46">
      <c r="A1684" s="31" t="s">
        <v>55</v>
      </c>
      <c r="C1684" t="s">
        <v>2558</v>
      </c>
      <c r="D1684" s="5" t="s">
        <v>57</v>
      </c>
      <c r="E1684">
        <v>2035</v>
      </c>
      <c r="F1684" s="6" t="str">
        <f t="shared" si="210"/>
        <v>*0.95</v>
      </c>
      <c r="H1684" t="s">
        <v>2558</v>
      </c>
      <c r="I1684" s="5" t="s">
        <v>57</v>
      </c>
      <c r="J1684">
        <v>2050</v>
      </c>
      <c r="K1684" s="38" t="str">
        <f t="shared" si="211"/>
        <v>*0.92</v>
      </c>
      <c r="P1684" s="32" t="s">
        <v>2558</v>
      </c>
      <c r="Q1684" s="42" t="s">
        <v>57</v>
      </c>
      <c r="R1684" s="32">
        <v>2035</v>
      </c>
      <c r="S1684" s="43" t="str">
        <f t="shared" si="212"/>
        <v>*0.94</v>
      </c>
      <c r="U1684" s="32" t="s">
        <v>2558</v>
      </c>
      <c r="V1684" s="42" t="s">
        <v>57</v>
      </c>
      <c r="W1684" s="32">
        <v>2050</v>
      </c>
      <c r="X1684" s="43" t="str">
        <f t="shared" si="213"/>
        <v>*0.91</v>
      </c>
      <c r="AC1684" s="33" t="s">
        <v>2558</v>
      </c>
      <c r="AD1684" s="44" t="s">
        <v>57</v>
      </c>
      <c r="AE1684" s="33">
        <v>2035</v>
      </c>
      <c r="AF1684" s="45" t="str">
        <f t="shared" si="214"/>
        <v>*0.92</v>
      </c>
      <c r="AG1684" s="43" t="str">
        <f t="shared" si="216"/>
        <v>REZoning_Sol-Win</v>
      </c>
      <c r="AI1684" s="33" t="s">
        <v>2558</v>
      </c>
      <c r="AJ1684" s="44" t="s">
        <v>57</v>
      </c>
      <c r="AK1684" s="33">
        <v>2050</v>
      </c>
      <c r="AL1684" s="45" t="str">
        <f t="shared" si="215"/>
        <v>*0.87</v>
      </c>
      <c r="AM1684" s="43" t="str">
        <f t="shared" si="217"/>
        <v>REZoning_Sol-Win</v>
      </c>
      <c r="AP1684" t="s">
        <v>2558</v>
      </c>
      <c r="AQ1684" t="s">
        <v>57</v>
      </c>
      <c r="AR1684">
        <v>2100</v>
      </c>
      <c r="AS1684" t="s">
        <v>874</v>
      </c>
      <c r="AT1684" t="s">
        <v>58</v>
      </c>
    </row>
    <row r="1685" ht="29" spans="1:46">
      <c r="A1685" s="31" t="s">
        <v>55</v>
      </c>
      <c r="C1685" t="s">
        <v>2559</v>
      </c>
      <c r="D1685" s="5" t="s">
        <v>57</v>
      </c>
      <c r="E1685">
        <v>2035</v>
      </c>
      <c r="F1685" s="6" t="str">
        <f t="shared" si="210"/>
        <v>*0.95</v>
      </c>
      <c r="H1685" t="s">
        <v>2559</v>
      </c>
      <c r="I1685" s="5" t="s">
        <v>57</v>
      </c>
      <c r="J1685">
        <v>2050</v>
      </c>
      <c r="K1685" s="38" t="str">
        <f t="shared" si="211"/>
        <v>*0.92</v>
      </c>
      <c r="P1685" s="32" t="s">
        <v>2559</v>
      </c>
      <c r="Q1685" s="42" t="s">
        <v>57</v>
      </c>
      <c r="R1685" s="32">
        <v>2035</v>
      </c>
      <c r="S1685" s="43" t="str">
        <f t="shared" si="212"/>
        <v>*0.94</v>
      </c>
      <c r="U1685" s="32" t="s">
        <v>2559</v>
      </c>
      <c r="V1685" s="42" t="s">
        <v>57</v>
      </c>
      <c r="W1685" s="32">
        <v>2050</v>
      </c>
      <c r="X1685" s="43" t="str">
        <f t="shared" si="213"/>
        <v>*0.91</v>
      </c>
      <c r="AC1685" s="33" t="s">
        <v>2559</v>
      </c>
      <c r="AD1685" s="44" t="s">
        <v>57</v>
      </c>
      <c r="AE1685" s="33">
        <v>2035</v>
      </c>
      <c r="AF1685" s="45" t="str">
        <f t="shared" si="214"/>
        <v>*0.92</v>
      </c>
      <c r="AG1685" s="43" t="str">
        <f t="shared" si="216"/>
        <v>REZoning_Sol-Win</v>
      </c>
      <c r="AI1685" s="33" t="s">
        <v>2559</v>
      </c>
      <c r="AJ1685" s="44" t="s">
        <v>57</v>
      </c>
      <c r="AK1685" s="33">
        <v>2050</v>
      </c>
      <c r="AL1685" s="45" t="str">
        <f t="shared" si="215"/>
        <v>*0.87</v>
      </c>
      <c r="AM1685" s="43" t="str">
        <f t="shared" si="217"/>
        <v>REZoning_Sol-Win</v>
      </c>
      <c r="AP1685" t="s">
        <v>2559</v>
      </c>
      <c r="AQ1685" t="s">
        <v>57</v>
      </c>
      <c r="AR1685">
        <v>2100</v>
      </c>
      <c r="AS1685" t="s">
        <v>874</v>
      </c>
      <c r="AT1685" t="s">
        <v>58</v>
      </c>
    </row>
    <row r="1686" ht="29" spans="1:46">
      <c r="A1686" s="31" t="s">
        <v>55</v>
      </c>
      <c r="C1686" t="s">
        <v>2560</v>
      </c>
      <c r="D1686" s="5" t="s">
        <v>57</v>
      </c>
      <c r="E1686">
        <v>2035</v>
      </c>
      <c r="F1686" s="6" t="str">
        <f t="shared" si="210"/>
        <v>*0.95</v>
      </c>
      <c r="H1686" t="s">
        <v>2560</v>
      </c>
      <c r="I1686" s="5" t="s">
        <v>57</v>
      </c>
      <c r="J1686">
        <v>2050</v>
      </c>
      <c r="K1686" s="38" t="str">
        <f t="shared" si="211"/>
        <v>*0.92</v>
      </c>
      <c r="P1686" s="32" t="s">
        <v>2560</v>
      </c>
      <c r="Q1686" s="42" t="s">
        <v>57</v>
      </c>
      <c r="R1686" s="32">
        <v>2035</v>
      </c>
      <c r="S1686" s="43" t="str">
        <f t="shared" si="212"/>
        <v>*0.94</v>
      </c>
      <c r="U1686" s="32" t="s">
        <v>2560</v>
      </c>
      <c r="V1686" s="42" t="s">
        <v>57</v>
      </c>
      <c r="W1686" s="32">
        <v>2050</v>
      </c>
      <c r="X1686" s="43" t="str">
        <f t="shared" si="213"/>
        <v>*0.91</v>
      </c>
      <c r="AC1686" s="33" t="s">
        <v>2560</v>
      </c>
      <c r="AD1686" s="44" t="s">
        <v>57</v>
      </c>
      <c r="AE1686" s="33">
        <v>2035</v>
      </c>
      <c r="AF1686" s="45" t="str">
        <f t="shared" si="214"/>
        <v>*0.92</v>
      </c>
      <c r="AG1686" s="43" t="str">
        <f t="shared" si="216"/>
        <v>REZoning_Sol-Win</v>
      </c>
      <c r="AI1686" s="33" t="s">
        <v>2560</v>
      </c>
      <c r="AJ1686" s="44" t="s">
        <v>57</v>
      </c>
      <c r="AK1686" s="33">
        <v>2050</v>
      </c>
      <c r="AL1686" s="45" t="str">
        <f t="shared" si="215"/>
        <v>*0.87</v>
      </c>
      <c r="AM1686" s="43" t="str">
        <f t="shared" si="217"/>
        <v>REZoning_Sol-Win</v>
      </c>
      <c r="AP1686" t="s">
        <v>2560</v>
      </c>
      <c r="AQ1686" t="s">
        <v>57</v>
      </c>
      <c r="AR1686">
        <v>2100</v>
      </c>
      <c r="AS1686" t="s">
        <v>874</v>
      </c>
      <c r="AT1686" t="s">
        <v>58</v>
      </c>
    </row>
    <row r="1687" ht="29" spans="1:46">
      <c r="A1687" s="31" t="s">
        <v>55</v>
      </c>
      <c r="C1687" t="s">
        <v>2561</v>
      </c>
      <c r="D1687" s="5" t="s">
        <v>57</v>
      </c>
      <c r="E1687">
        <v>2035</v>
      </c>
      <c r="F1687" s="6" t="str">
        <f t="shared" si="210"/>
        <v>*0.95</v>
      </c>
      <c r="H1687" t="s">
        <v>2561</v>
      </c>
      <c r="I1687" s="5" t="s">
        <v>57</v>
      </c>
      <c r="J1687">
        <v>2050</v>
      </c>
      <c r="K1687" s="38" t="str">
        <f t="shared" si="211"/>
        <v>*0.92</v>
      </c>
      <c r="P1687" s="32" t="s">
        <v>2561</v>
      </c>
      <c r="Q1687" s="42" t="s">
        <v>57</v>
      </c>
      <c r="R1687" s="32">
        <v>2035</v>
      </c>
      <c r="S1687" s="43" t="str">
        <f t="shared" si="212"/>
        <v>*0.94</v>
      </c>
      <c r="U1687" s="32" t="s">
        <v>2561</v>
      </c>
      <c r="V1687" s="42" t="s">
        <v>57</v>
      </c>
      <c r="W1687" s="32">
        <v>2050</v>
      </c>
      <c r="X1687" s="43" t="str">
        <f t="shared" si="213"/>
        <v>*0.91</v>
      </c>
      <c r="AC1687" s="33" t="s">
        <v>2561</v>
      </c>
      <c r="AD1687" s="44" t="s">
        <v>57</v>
      </c>
      <c r="AE1687" s="33">
        <v>2035</v>
      </c>
      <c r="AF1687" s="45" t="str">
        <f t="shared" si="214"/>
        <v>*0.92</v>
      </c>
      <c r="AG1687" s="43" t="str">
        <f t="shared" si="216"/>
        <v>REZoning_Sol-Win</v>
      </c>
      <c r="AI1687" s="33" t="s">
        <v>2561</v>
      </c>
      <c r="AJ1687" s="44" t="s">
        <v>57</v>
      </c>
      <c r="AK1687" s="33">
        <v>2050</v>
      </c>
      <c r="AL1687" s="45" t="str">
        <f t="shared" si="215"/>
        <v>*0.87</v>
      </c>
      <c r="AM1687" s="43" t="str">
        <f t="shared" si="217"/>
        <v>REZoning_Sol-Win</v>
      </c>
      <c r="AP1687" t="s">
        <v>2561</v>
      </c>
      <c r="AQ1687" t="s">
        <v>57</v>
      </c>
      <c r="AR1687">
        <v>2100</v>
      </c>
      <c r="AS1687" t="s">
        <v>874</v>
      </c>
      <c r="AT1687" t="s">
        <v>58</v>
      </c>
    </row>
    <row r="1688" ht="29" spans="1:46">
      <c r="A1688" s="31" t="s">
        <v>55</v>
      </c>
      <c r="C1688" t="s">
        <v>2562</v>
      </c>
      <c r="D1688" s="5" t="s">
        <v>57</v>
      </c>
      <c r="E1688">
        <v>2035</v>
      </c>
      <c r="F1688" s="6" t="str">
        <f t="shared" si="210"/>
        <v>*0.95</v>
      </c>
      <c r="H1688" t="s">
        <v>2562</v>
      </c>
      <c r="I1688" s="5" t="s">
        <v>57</v>
      </c>
      <c r="J1688">
        <v>2050</v>
      </c>
      <c r="K1688" s="38" t="str">
        <f t="shared" si="211"/>
        <v>*0.92</v>
      </c>
      <c r="P1688" s="32" t="s">
        <v>2562</v>
      </c>
      <c r="Q1688" s="42" t="s">
        <v>57</v>
      </c>
      <c r="R1688" s="32">
        <v>2035</v>
      </c>
      <c r="S1688" s="43" t="str">
        <f t="shared" si="212"/>
        <v>*0.94</v>
      </c>
      <c r="U1688" s="32" t="s">
        <v>2562</v>
      </c>
      <c r="V1688" s="42" t="s">
        <v>57</v>
      </c>
      <c r="W1688" s="32">
        <v>2050</v>
      </c>
      <c r="X1688" s="43" t="str">
        <f t="shared" si="213"/>
        <v>*0.91</v>
      </c>
      <c r="AC1688" s="33" t="s">
        <v>2562</v>
      </c>
      <c r="AD1688" s="44" t="s">
        <v>57</v>
      </c>
      <c r="AE1688" s="33">
        <v>2035</v>
      </c>
      <c r="AF1688" s="45" t="str">
        <f t="shared" si="214"/>
        <v>*0.92</v>
      </c>
      <c r="AG1688" s="43" t="str">
        <f t="shared" si="216"/>
        <v>REZoning_Sol-Win</v>
      </c>
      <c r="AI1688" s="33" t="s">
        <v>2562</v>
      </c>
      <c r="AJ1688" s="44" t="s">
        <v>57</v>
      </c>
      <c r="AK1688" s="33">
        <v>2050</v>
      </c>
      <c r="AL1688" s="45" t="str">
        <f t="shared" si="215"/>
        <v>*0.87</v>
      </c>
      <c r="AM1688" s="43" t="str">
        <f t="shared" si="217"/>
        <v>REZoning_Sol-Win</v>
      </c>
      <c r="AP1688" t="s">
        <v>2562</v>
      </c>
      <c r="AQ1688" t="s">
        <v>57</v>
      </c>
      <c r="AR1688">
        <v>2100</v>
      </c>
      <c r="AS1688" t="s">
        <v>874</v>
      </c>
      <c r="AT1688" t="s">
        <v>58</v>
      </c>
    </row>
    <row r="1689" ht="29" spans="1:46">
      <c r="A1689" s="31" t="s">
        <v>55</v>
      </c>
      <c r="C1689" t="s">
        <v>2563</v>
      </c>
      <c r="D1689" s="5" t="s">
        <v>57</v>
      </c>
      <c r="E1689">
        <v>2035</v>
      </c>
      <c r="F1689" s="6" t="str">
        <f t="shared" si="210"/>
        <v>*0.95</v>
      </c>
      <c r="H1689" t="s">
        <v>2563</v>
      </c>
      <c r="I1689" s="5" t="s">
        <v>57</v>
      </c>
      <c r="J1689">
        <v>2050</v>
      </c>
      <c r="K1689" s="38" t="str">
        <f t="shared" si="211"/>
        <v>*0.92</v>
      </c>
      <c r="P1689" s="32" t="s">
        <v>2563</v>
      </c>
      <c r="Q1689" s="42" t="s">
        <v>57</v>
      </c>
      <c r="R1689" s="32">
        <v>2035</v>
      </c>
      <c r="S1689" s="43" t="str">
        <f t="shared" si="212"/>
        <v>*0.94</v>
      </c>
      <c r="U1689" s="32" t="s">
        <v>2563</v>
      </c>
      <c r="V1689" s="42" t="s">
        <v>57</v>
      </c>
      <c r="W1689" s="32">
        <v>2050</v>
      </c>
      <c r="X1689" s="43" t="str">
        <f t="shared" si="213"/>
        <v>*0.91</v>
      </c>
      <c r="AC1689" s="33" t="s">
        <v>2563</v>
      </c>
      <c r="AD1689" s="44" t="s">
        <v>57</v>
      </c>
      <c r="AE1689" s="33">
        <v>2035</v>
      </c>
      <c r="AF1689" s="45" t="str">
        <f t="shared" si="214"/>
        <v>*0.92</v>
      </c>
      <c r="AG1689" s="43" t="str">
        <f t="shared" si="216"/>
        <v>REZoning_Sol-Win</v>
      </c>
      <c r="AI1689" s="33" t="s">
        <v>2563</v>
      </c>
      <c r="AJ1689" s="44" t="s">
        <v>57</v>
      </c>
      <c r="AK1689" s="33">
        <v>2050</v>
      </c>
      <c r="AL1689" s="45" t="str">
        <f t="shared" si="215"/>
        <v>*0.87</v>
      </c>
      <c r="AM1689" s="43" t="str">
        <f t="shared" si="217"/>
        <v>REZoning_Sol-Win</v>
      </c>
      <c r="AP1689" t="s">
        <v>2563</v>
      </c>
      <c r="AQ1689" t="s">
        <v>57</v>
      </c>
      <c r="AR1689">
        <v>2100</v>
      </c>
      <c r="AS1689" t="s">
        <v>874</v>
      </c>
      <c r="AT1689" t="s">
        <v>58</v>
      </c>
    </row>
    <row r="1690" ht="29" spans="1:46">
      <c r="A1690" s="31" t="s">
        <v>55</v>
      </c>
      <c r="C1690" t="s">
        <v>2564</v>
      </c>
      <c r="D1690" s="5" t="s">
        <v>57</v>
      </c>
      <c r="E1690">
        <v>2035</v>
      </c>
      <c r="F1690" s="6" t="str">
        <f t="shared" si="210"/>
        <v>*0.95</v>
      </c>
      <c r="H1690" t="s">
        <v>2564</v>
      </c>
      <c r="I1690" s="5" t="s">
        <v>57</v>
      </c>
      <c r="J1690">
        <v>2050</v>
      </c>
      <c r="K1690" s="38" t="str">
        <f t="shared" si="211"/>
        <v>*0.92</v>
      </c>
      <c r="P1690" s="32" t="s">
        <v>2564</v>
      </c>
      <c r="Q1690" s="42" t="s">
        <v>57</v>
      </c>
      <c r="R1690" s="32">
        <v>2035</v>
      </c>
      <c r="S1690" s="43" t="str">
        <f t="shared" si="212"/>
        <v>*0.94</v>
      </c>
      <c r="U1690" s="32" t="s">
        <v>2564</v>
      </c>
      <c r="V1690" s="42" t="s">
        <v>57</v>
      </c>
      <c r="W1690" s="32">
        <v>2050</v>
      </c>
      <c r="X1690" s="43" t="str">
        <f t="shared" si="213"/>
        <v>*0.91</v>
      </c>
      <c r="AC1690" s="33" t="s">
        <v>2564</v>
      </c>
      <c r="AD1690" s="44" t="s">
        <v>57</v>
      </c>
      <c r="AE1690" s="33">
        <v>2035</v>
      </c>
      <c r="AF1690" s="45" t="str">
        <f t="shared" si="214"/>
        <v>*0.92</v>
      </c>
      <c r="AG1690" s="43" t="str">
        <f t="shared" si="216"/>
        <v>REZoning_Sol-Win</v>
      </c>
      <c r="AI1690" s="33" t="s">
        <v>2564</v>
      </c>
      <c r="AJ1690" s="44" t="s">
        <v>57</v>
      </c>
      <c r="AK1690" s="33">
        <v>2050</v>
      </c>
      <c r="AL1690" s="45" t="str">
        <f t="shared" si="215"/>
        <v>*0.87</v>
      </c>
      <c r="AM1690" s="43" t="str">
        <f t="shared" si="217"/>
        <v>REZoning_Sol-Win</v>
      </c>
      <c r="AP1690" t="s">
        <v>2564</v>
      </c>
      <c r="AQ1690" t="s">
        <v>57</v>
      </c>
      <c r="AR1690">
        <v>2100</v>
      </c>
      <c r="AS1690" t="s">
        <v>874</v>
      </c>
      <c r="AT1690" t="s">
        <v>58</v>
      </c>
    </row>
    <row r="1691" ht="29" spans="1:46">
      <c r="A1691" s="31" t="s">
        <v>55</v>
      </c>
      <c r="C1691" t="s">
        <v>2565</v>
      </c>
      <c r="D1691" s="5" t="s">
        <v>57</v>
      </c>
      <c r="E1691">
        <v>2035</v>
      </c>
      <c r="F1691" s="6" t="str">
        <f t="shared" si="210"/>
        <v>*0.95</v>
      </c>
      <c r="H1691" t="s">
        <v>2565</v>
      </c>
      <c r="I1691" s="5" t="s">
        <v>57</v>
      </c>
      <c r="J1691">
        <v>2050</v>
      </c>
      <c r="K1691" s="38" t="str">
        <f t="shared" si="211"/>
        <v>*0.92</v>
      </c>
      <c r="P1691" s="32" t="s">
        <v>2565</v>
      </c>
      <c r="Q1691" s="42" t="s">
        <v>57</v>
      </c>
      <c r="R1691" s="32">
        <v>2035</v>
      </c>
      <c r="S1691" s="43" t="str">
        <f t="shared" si="212"/>
        <v>*0.94</v>
      </c>
      <c r="U1691" s="32" t="s">
        <v>2565</v>
      </c>
      <c r="V1691" s="42" t="s">
        <v>57</v>
      </c>
      <c r="W1691" s="32">
        <v>2050</v>
      </c>
      <c r="X1691" s="43" t="str">
        <f t="shared" si="213"/>
        <v>*0.91</v>
      </c>
      <c r="AC1691" s="33" t="s">
        <v>2565</v>
      </c>
      <c r="AD1691" s="44" t="s">
        <v>57</v>
      </c>
      <c r="AE1691" s="33">
        <v>2035</v>
      </c>
      <c r="AF1691" s="45" t="str">
        <f t="shared" si="214"/>
        <v>*0.92</v>
      </c>
      <c r="AG1691" s="43" t="str">
        <f t="shared" si="216"/>
        <v>REZoning_Sol-Win</v>
      </c>
      <c r="AI1691" s="33" t="s">
        <v>2565</v>
      </c>
      <c r="AJ1691" s="44" t="s">
        <v>57</v>
      </c>
      <c r="AK1691" s="33">
        <v>2050</v>
      </c>
      <c r="AL1691" s="45" t="str">
        <f t="shared" si="215"/>
        <v>*0.87</v>
      </c>
      <c r="AM1691" s="43" t="str">
        <f t="shared" si="217"/>
        <v>REZoning_Sol-Win</v>
      </c>
      <c r="AP1691" t="s">
        <v>2565</v>
      </c>
      <c r="AQ1691" t="s">
        <v>57</v>
      </c>
      <c r="AR1691">
        <v>2100</v>
      </c>
      <c r="AS1691" t="s">
        <v>874</v>
      </c>
      <c r="AT1691" t="s">
        <v>58</v>
      </c>
    </row>
    <row r="1692" ht="29" spans="1:46">
      <c r="A1692" s="31" t="s">
        <v>55</v>
      </c>
      <c r="C1692" t="s">
        <v>2566</v>
      </c>
      <c r="D1692" s="5" t="s">
        <v>57</v>
      </c>
      <c r="E1692">
        <v>2035</v>
      </c>
      <c r="F1692" s="6" t="str">
        <f t="shared" si="210"/>
        <v>*0.95</v>
      </c>
      <c r="H1692" t="s">
        <v>2566</v>
      </c>
      <c r="I1692" s="5" t="s">
        <v>57</v>
      </c>
      <c r="J1692">
        <v>2050</v>
      </c>
      <c r="K1692" s="38" t="str">
        <f t="shared" si="211"/>
        <v>*0.92</v>
      </c>
      <c r="P1692" s="32" t="s">
        <v>2566</v>
      </c>
      <c r="Q1692" s="42" t="s">
        <v>57</v>
      </c>
      <c r="R1692" s="32">
        <v>2035</v>
      </c>
      <c r="S1692" s="43" t="str">
        <f t="shared" si="212"/>
        <v>*0.94</v>
      </c>
      <c r="U1692" s="32" t="s">
        <v>2566</v>
      </c>
      <c r="V1692" s="42" t="s">
        <v>57</v>
      </c>
      <c r="W1692" s="32">
        <v>2050</v>
      </c>
      <c r="X1692" s="43" t="str">
        <f t="shared" si="213"/>
        <v>*0.91</v>
      </c>
      <c r="AC1692" s="33" t="s">
        <v>2566</v>
      </c>
      <c r="AD1692" s="44" t="s">
        <v>57</v>
      </c>
      <c r="AE1692" s="33">
        <v>2035</v>
      </c>
      <c r="AF1692" s="45" t="str">
        <f t="shared" si="214"/>
        <v>*0.92</v>
      </c>
      <c r="AG1692" s="43" t="str">
        <f t="shared" si="216"/>
        <v>REZoning_Sol-Win</v>
      </c>
      <c r="AI1692" s="33" t="s">
        <v>2566</v>
      </c>
      <c r="AJ1692" s="44" t="s">
        <v>57</v>
      </c>
      <c r="AK1692" s="33">
        <v>2050</v>
      </c>
      <c r="AL1692" s="45" t="str">
        <f t="shared" si="215"/>
        <v>*0.87</v>
      </c>
      <c r="AM1692" s="43" t="str">
        <f t="shared" si="217"/>
        <v>REZoning_Sol-Win</v>
      </c>
      <c r="AP1692" t="s">
        <v>2566</v>
      </c>
      <c r="AQ1692" t="s">
        <v>57</v>
      </c>
      <c r="AR1692">
        <v>2100</v>
      </c>
      <c r="AS1692" t="s">
        <v>874</v>
      </c>
      <c r="AT1692" t="s">
        <v>58</v>
      </c>
    </row>
    <row r="1693" ht="29" spans="1:46">
      <c r="A1693" s="31" t="s">
        <v>55</v>
      </c>
      <c r="C1693" t="s">
        <v>2567</v>
      </c>
      <c r="D1693" s="5" t="s">
        <v>57</v>
      </c>
      <c r="E1693">
        <v>2035</v>
      </c>
      <c r="F1693" s="6" t="str">
        <f t="shared" si="210"/>
        <v>*0.95</v>
      </c>
      <c r="H1693" t="s">
        <v>2567</v>
      </c>
      <c r="I1693" s="5" t="s">
        <v>57</v>
      </c>
      <c r="J1693">
        <v>2050</v>
      </c>
      <c r="K1693" s="38" t="str">
        <f t="shared" si="211"/>
        <v>*0.92</v>
      </c>
      <c r="P1693" s="32" t="s">
        <v>2567</v>
      </c>
      <c r="Q1693" s="42" t="s">
        <v>57</v>
      </c>
      <c r="R1693" s="32">
        <v>2035</v>
      </c>
      <c r="S1693" s="43" t="str">
        <f t="shared" si="212"/>
        <v>*0.94</v>
      </c>
      <c r="U1693" s="32" t="s">
        <v>2567</v>
      </c>
      <c r="V1693" s="42" t="s">
        <v>57</v>
      </c>
      <c r="W1693" s="32">
        <v>2050</v>
      </c>
      <c r="X1693" s="43" t="str">
        <f t="shared" si="213"/>
        <v>*0.91</v>
      </c>
      <c r="AC1693" s="33" t="s">
        <v>2567</v>
      </c>
      <c r="AD1693" s="44" t="s">
        <v>57</v>
      </c>
      <c r="AE1693" s="33">
        <v>2035</v>
      </c>
      <c r="AF1693" s="45" t="str">
        <f t="shared" si="214"/>
        <v>*0.92</v>
      </c>
      <c r="AG1693" s="43" t="str">
        <f t="shared" si="216"/>
        <v>REZoning_Sol-Win</v>
      </c>
      <c r="AI1693" s="33" t="s">
        <v>2567</v>
      </c>
      <c r="AJ1693" s="44" t="s">
        <v>57</v>
      </c>
      <c r="AK1693" s="33">
        <v>2050</v>
      </c>
      <c r="AL1693" s="45" t="str">
        <f t="shared" si="215"/>
        <v>*0.87</v>
      </c>
      <c r="AM1693" s="43" t="str">
        <f t="shared" si="217"/>
        <v>REZoning_Sol-Win</v>
      </c>
      <c r="AP1693" t="s">
        <v>2567</v>
      </c>
      <c r="AQ1693" t="s">
        <v>57</v>
      </c>
      <c r="AR1693">
        <v>2100</v>
      </c>
      <c r="AS1693" t="s">
        <v>874</v>
      </c>
      <c r="AT1693" t="s">
        <v>58</v>
      </c>
    </row>
    <row r="1694" ht="29" spans="1:46">
      <c r="A1694" s="31" t="s">
        <v>55</v>
      </c>
      <c r="C1694" t="s">
        <v>2568</v>
      </c>
      <c r="D1694" s="5" t="s">
        <v>57</v>
      </c>
      <c r="E1694">
        <v>2035</v>
      </c>
      <c r="F1694" s="6" t="str">
        <f t="shared" si="210"/>
        <v>*0.95</v>
      </c>
      <c r="H1694" t="s">
        <v>2568</v>
      </c>
      <c r="I1694" s="5" t="s">
        <v>57</v>
      </c>
      <c r="J1694">
        <v>2050</v>
      </c>
      <c r="K1694" s="38" t="str">
        <f t="shared" si="211"/>
        <v>*0.92</v>
      </c>
      <c r="P1694" s="32" t="s">
        <v>2568</v>
      </c>
      <c r="Q1694" s="42" t="s">
        <v>57</v>
      </c>
      <c r="R1694" s="32">
        <v>2035</v>
      </c>
      <c r="S1694" s="43" t="str">
        <f t="shared" si="212"/>
        <v>*0.94</v>
      </c>
      <c r="U1694" s="32" t="s">
        <v>2568</v>
      </c>
      <c r="V1694" s="42" t="s">
        <v>57</v>
      </c>
      <c r="W1694" s="32">
        <v>2050</v>
      </c>
      <c r="X1694" s="43" t="str">
        <f t="shared" si="213"/>
        <v>*0.91</v>
      </c>
      <c r="AC1694" s="33" t="s">
        <v>2568</v>
      </c>
      <c r="AD1694" s="44" t="s">
        <v>57</v>
      </c>
      <c r="AE1694" s="33">
        <v>2035</v>
      </c>
      <c r="AF1694" s="45" t="str">
        <f t="shared" si="214"/>
        <v>*0.92</v>
      </c>
      <c r="AG1694" s="43" t="str">
        <f t="shared" si="216"/>
        <v>REZoning_Sol-Win</v>
      </c>
      <c r="AI1694" s="33" t="s">
        <v>2568</v>
      </c>
      <c r="AJ1694" s="44" t="s">
        <v>57</v>
      </c>
      <c r="AK1694" s="33">
        <v>2050</v>
      </c>
      <c r="AL1694" s="45" t="str">
        <f t="shared" si="215"/>
        <v>*0.87</v>
      </c>
      <c r="AM1694" s="43" t="str">
        <f t="shared" si="217"/>
        <v>REZoning_Sol-Win</v>
      </c>
      <c r="AP1694" t="s">
        <v>2568</v>
      </c>
      <c r="AQ1694" t="s">
        <v>57</v>
      </c>
      <c r="AR1694">
        <v>2100</v>
      </c>
      <c r="AS1694" t="s">
        <v>874</v>
      </c>
      <c r="AT1694" t="s">
        <v>58</v>
      </c>
    </row>
    <row r="1695" ht="29" spans="1:46">
      <c r="A1695" s="31" t="s">
        <v>55</v>
      </c>
      <c r="C1695" t="s">
        <v>2569</v>
      </c>
      <c r="D1695" s="5" t="s">
        <v>57</v>
      </c>
      <c r="E1695">
        <v>2035</v>
      </c>
      <c r="F1695" s="6" t="str">
        <f t="shared" si="210"/>
        <v>*0.95</v>
      </c>
      <c r="H1695" t="s">
        <v>2569</v>
      </c>
      <c r="I1695" s="5" t="s">
        <v>57</v>
      </c>
      <c r="J1695">
        <v>2050</v>
      </c>
      <c r="K1695" s="38" t="str">
        <f t="shared" si="211"/>
        <v>*0.92</v>
      </c>
      <c r="P1695" s="32" t="s">
        <v>2569</v>
      </c>
      <c r="Q1695" s="42" t="s">
        <v>57</v>
      </c>
      <c r="R1695" s="32">
        <v>2035</v>
      </c>
      <c r="S1695" s="43" t="str">
        <f t="shared" si="212"/>
        <v>*0.94</v>
      </c>
      <c r="U1695" s="32" t="s">
        <v>2569</v>
      </c>
      <c r="V1695" s="42" t="s">
        <v>57</v>
      </c>
      <c r="W1695" s="32">
        <v>2050</v>
      </c>
      <c r="X1695" s="43" t="str">
        <f t="shared" si="213"/>
        <v>*0.91</v>
      </c>
      <c r="AC1695" s="33" t="s">
        <v>2569</v>
      </c>
      <c r="AD1695" s="44" t="s">
        <v>57</v>
      </c>
      <c r="AE1695" s="33">
        <v>2035</v>
      </c>
      <c r="AF1695" s="45" t="str">
        <f t="shared" si="214"/>
        <v>*0.92</v>
      </c>
      <c r="AG1695" s="43" t="str">
        <f t="shared" si="216"/>
        <v>REZoning_Sol-Win</v>
      </c>
      <c r="AI1695" s="33" t="s">
        <v>2569</v>
      </c>
      <c r="AJ1695" s="44" t="s">
        <v>57</v>
      </c>
      <c r="AK1695" s="33">
        <v>2050</v>
      </c>
      <c r="AL1695" s="45" t="str">
        <f t="shared" si="215"/>
        <v>*0.87</v>
      </c>
      <c r="AM1695" s="43" t="str">
        <f t="shared" si="217"/>
        <v>REZoning_Sol-Win</v>
      </c>
      <c r="AP1695" t="s">
        <v>2569</v>
      </c>
      <c r="AQ1695" t="s">
        <v>57</v>
      </c>
      <c r="AR1695">
        <v>2100</v>
      </c>
      <c r="AS1695" t="s">
        <v>874</v>
      </c>
      <c r="AT1695" t="s">
        <v>58</v>
      </c>
    </row>
    <row r="1696" ht="29" spans="1:46">
      <c r="A1696" s="31" t="s">
        <v>55</v>
      </c>
      <c r="C1696" t="s">
        <v>2570</v>
      </c>
      <c r="D1696" s="5" t="s">
        <v>57</v>
      </c>
      <c r="E1696">
        <v>2035</v>
      </c>
      <c r="F1696" s="6" t="str">
        <f t="shared" si="210"/>
        <v>*0.95</v>
      </c>
      <c r="H1696" t="s">
        <v>2570</v>
      </c>
      <c r="I1696" s="5" t="s">
        <v>57</v>
      </c>
      <c r="J1696">
        <v>2050</v>
      </c>
      <c r="K1696" s="38" t="str">
        <f t="shared" si="211"/>
        <v>*0.92</v>
      </c>
      <c r="P1696" s="32" t="s">
        <v>2570</v>
      </c>
      <c r="Q1696" s="42" t="s">
        <v>57</v>
      </c>
      <c r="R1696" s="32">
        <v>2035</v>
      </c>
      <c r="S1696" s="43" t="str">
        <f t="shared" si="212"/>
        <v>*0.94</v>
      </c>
      <c r="U1696" s="32" t="s">
        <v>2570</v>
      </c>
      <c r="V1696" s="42" t="s">
        <v>57</v>
      </c>
      <c r="W1696" s="32">
        <v>2050</v>
      </c>
      <c r="X1696" s="43" t="str">
        <f t="shared" si="213"/>
        <v>*0.91</v>
      </c>
      <c r="AC1696" s="33" t="s">
        <v>2570</v>
      </c>
      <c r="AD1696" s="44" t="s">
        <v>57</v>
      </c>
      <c r="AE1696" s="33">
        <v>2035</v>
      </c>
      <c r="AF1696" s="45" t="str">
        <f t="shared" si="214"/>
        <v>*0.92</v>
      </c>
      <c r="AG1696" s="43" t="str">
        <f t="shared" si="216"/>
        <v>REZoning_Sol-Win</v>
      </c>
      <c r="AI1696" s="33" t="s">
        <v>2570</v>
      </c>
      <c r="AJ1696" s="44" t="s">
        <v>57</v>
      </c>
      <c r="AK1696" s="33">
        <v>2050</v>
      </c>
      <c r="AL1696" s="45" t="str">
        <f t="shared" si="215"/>
        <v>*0.87</v>
      </c>
      <c r="AM1696" s="43" t="str">
        <f t="shared" si="217"/>
        <v>REZoning_Sol-Win</v>
      </c>
      <c r="AP1696" t="s">
        <v>2570</v>
      </c>
      <c r="AQ1696" t="s">
        <v>57</v>
      </c>
      <c r="AR1696">
        <v>2100</v>
      </c>
      <c r="AS1696" t="s">
        <v>874</v>
      </c>
      <c r="AT1696" t="s">
        <v>58</v>
      </c>
    </row>
    <row r="1697" ht="29" spans="1:46">
      <c r="A1697" s="31" t="s">
        <v>55</v>
      </c>
      <c r="C1697" t="s">
        <v>2571</v>
      </c>
      <c r="D1697" s="5" t="s">
        <v>57</v>
      </c>
      <c r="E1697">
        <v>2035</v>
      </c>
      <c r="F1697" s="6" t="str">
        <f t="shared" si="210"/>
        <v>*0.95</v>
      </c>
      <c r="H1697" t="s">
        <v>2571</v>
      </c>
      <c r="I1697" s="5" t="s">
        <v>57</v>
      </c>
      <c r="J1697">
        <v>2050</v>
      </c>
      <c r="K1697" s="38" t="str">
        <f t="shared" si="211"/>
        <v>*0.92</v>
      </c>
      <c r="P1697" s="32" t="s">
        <v>2571</v>
      </c>
      <c r="Q1697" s="42" t="s">
        <v>57</v>
      </c>
      <c r="R1697" s="32">
        <v>2035</v>
      </c>
      <c r="S1697" s="43" t="str">
        <f t="shared" si="212"/>
        <v>*0.94</v>
      </c>
      <c r="U1697" s="32" t="s">
        <v>2571</v>
      </c>
      <c r="V1697" s="42" t="s">
        <v>57</v>
      </c>
      <c r="W1697" s="32">
        <v>2050</v>
      </c>
      <c r="X1697" s="43" t="str">
        <f t="shared" si="213"/>
        <v>*0.91</v>
      </c>
      <c r="AC1697" s="33" t="s">
        <v>2571</v>
      </c>
      <c r="AD1697" s="44" t="s">
        <v>57</v>
      </c>
      <c r="AE1697" s="33">
        <v>2035</v>
      </c>
      <c r="AF1697" s="45" t="str">
        <f t="shared" si="214"/>
        <v>*0.92</v>
      </c>
      <c r="AG1697" s="43" t="str">
        <f t="shared" si="216"/>
        <v>REZoning_Sol-Win</v>
      </c>
      <c r="AI1697" s="33" t="s">
        <v>2571</v>
      </c>
      <c r="AJ1697" s="44" t="s">
        <v>57</v>
      </c>
      <c r="AK1697" s="33">
        <v>2050</v>
      </c>
      <c r="AL1697" s="45" t="str">
        <f t="shared" si="215"/>
        <v>*0.87</v>
      </c>
      <c r="AM1697" s="43" t="str">
        <f t="shared" si="217"/>
        <v>REZoning_Sol-Win</v>
      </c>
      <c r="AP1697" t="s">
        <v>2571</v>
      </c>
      <c r="AQ1697" t="s">
        <v>57</v>
      </c>
      <c r="AR1697">
        <v>2100</v>
      </c>
      <c r="AS1697" t="s">
        <v>874</v>
      </c>
      <c r="AT1697" t="s">
        <v>58</v>
      </c>
    </row>
    <row r="1698" ht="29" spans="1:46">
      <c r="A1698" s="31" t="s">
        <v>55</v>
      </c>
      <c r="C1698" t="s">
        <v>2572</v>
      </c>
      <c r="D1698" s="5" t="s">
        <v>57</v>
      </c>
      <c r="E1698">
        <v>2035</v>
      </c>
      <c r="F1698" s="6" t="str">
        <f t="shared" si="210"/>
        <v>*0.95</v>
      </c>
      <c r="H1698" t="s">
        <v>2572</v>
      </c>
      <c r="I1698" s="5" t="s">
        <v>57</v>
      </c>
      <c r="J1698">
        <v>2050</v>
      </c>
      <c r="K1698" s="38" t="str">
        <f t="shared" si="211"/>
        <v>*0.92</v>
      </c>
      <c r="P1698" s="32" t="s">
        <v>2572</v>
      </c>
      <c r="Q1698" s="42" t="s">
        <v>57</v>
      </c>
      <c r="R1698" s="32">
        <v>2035</v>
      </c>
      <c r="S1698" s="43" t="str">
        <f t="shared" si="212"/>
        <v>*0.94</v>
      </c>
      <c r="U1698" s="32" t="s">
        <v>2572</v>
      </c>
      <c r="V1698" s="42" t="s">
        <v>57</v>
      </c>
      <c r="W1698" s="32">
        <v>2050</v>
      </c>
      <c r="X1698" s="43" t="str">
        <f t="shared" si="213"/>
        <v>*0.91</v>
      </c>
      <c r="AC1698" s="33" t="s">
        <v>2572</v>
      </c>
      <c r="AD1698" s="44" t="s">
        <v>57</v>
      </c>
      <c r="AE1698" s="33">
        <v>2035</v>
      </c>
      <c r="AF1698" s="45" t="str">
        <f t="shared" si="214"/>
        <v>*0.92</v>
      </c>
      <c r="AG1698" s="43" t="str">
        <f t="shared" si="216"/>
        <v>REZoning_Sol-Win</v>
      </c>
      <c r="AI1698" s="33" t="s">
        <v>2572</v>
      </c>
      <c r="AJ1698" s="44" t="s">
        <v>57</v>
      </c>
      <c r="AK1698" s="33">
        <v>2050</v>
      </c>
      <c r="AL1698" s="45" t="str">
        <f t="shared" si="215"/>
        <v>*0.87</v>
      </c>
      <c r="AM1698" s="43" t="str">
        <f t="shared" si="217"/>
        <v>REZoning_Sol-Win</v>
      </c>
      <c r="AP1698" t="s">
        <v>2572</v>
      </c>
      <c r="AQ1698" t="s">
        <v>57</v>
      </c>
      <c r="AR1698">
        <v>2100</v>
      </c>
      <c r="AS1698" t="s">
        <v>874</v>
      </c>
      <c r="AT1698" t="s">
        <v>58</v>
      </c>
    </row>
    <row r="1699" ht="29" spans="1:46">
      <c r="A1699" s="31" t="s">
        <v>55</v>
      </c>
      <c r="C1699" t="s">
        <v>2573</v>
      </c>
      <c r="D1699" s="5" t="s">
        <v>57</v>
      </c>
      <c r="E1699">
        <v>2035</v>
      </c>
      <c r="F1699" s="6" t="str">
        <f t="shared" si="210"/>
        <v>*0.95</v>
      </c>
      <c r="H1699" t="s">
        <v>2573</v>
      </c>
      <c r="I1699" s="5" t="s">
        <v>57</v>
      </c>
      <c r="J1699">
        <v>2050</v>
      </c>
      <c r="K1699" s="38" t="str">
        <f t="shared" si="211"/>
        <v>*0.92</v>
      </c>
      <c r="P1699" s="32" t="s">
        <v>2573</v>
      </c>
      <c r="Q1699" s="42" t="s">
        <v>57</v>
      </c>
      <c r="R1699" s="32">
        <v>2035</v>
      </c>
      <c r="S1699" s="43" t="str">
        <f t="shared" si="212"/>
        <v>*0.94</v>
      </c>
      <c r="U1699" s="32" t="s">
        <v>2573</v>
      </c>
      <c r="V1699" s="42" t="s">
        <v>57</v>
      </c>
      <c r="W1699" s="32">
        <v>2050</v>
      </c>
      <c r="X1699" s="43" t="str">
        <f t="shared" si="213"/>
        <v>*0.91</v>
      </c>
      <c r="AC1699" s="33" t="s">
        <v>2573</v>
      </c>
      <c r="AD1699" s="44" t="s">
        <v>57</v>
      </c>
      <c r="AE1699" s="33">
        <v>2035</v>
      </c>
      <c r="AF1699" s="45" t="str">
        <f t="shared" si="214"/>
        <v>*0.92</v>
      </c>
      <c r="AG1699" s="43" t="str">
        <f t="shared" si="216"/>
        <v>REZoning_Sol-Win</v>
      </c>
      <c r="AI1699" s="33" t="s">
        <v>2573</v>
      </c>
      <c r="AJ1699" s="44" t="s">
        <v>57</v>
      </c>
      <c r="AK1699" s="33">
        <v>2050</v>
      </c>
      <c r="AL1699" s="45" t="str">
        <f t="shared" si="215"/>
        <v>*0.87</v>
      </c>
      <c r="AM1699" s="43" t="str">
        <f t="shared" si="217"/>
        <v>REZoning_Sol-Win</v>
      </c>
      <c r="AP1699" t="s">
        <v>2573</v>
      </c>
      <c r="AQ1699" t="s">
        <v>57</v>
      </c>
      <c r="AR1699">
        <v>2100</v>
      </c>
      <c r="AS1699" t="s">
        <v>874</v>
      </c>
      <c r="AT1699" t="s">
        <v>58</v>
      </c>
    </row>
    <row r="1700" ht="29" spans="1:46">
      <c r="A1700" s="31" t="s">
        <v>55</v>
      </c>
      <c r="C1700" t="s">
        <v>2574</v>
      </c>
      <c r="D1700" s="5" t="s">
        <v>57</v>
      </c>
      <c r="E1700">
        <v>2035</v>
      </c>
      <c r="F1700" s="6" t="str">
        <f t="shared" si="210"/>
        <v>*0.95</v>
      </c>
      <c r="H1700" t="s">
        <v>2574</v>
      </c>
      <c r="I1700" s="5" t="s">
        <v>57</v>
      </c>
      <c r="J1700">
        <v>2050</v>
      </c>
      <c r="K1700" s="38" t="str">
        <f t="shared" si="211"/>
        <v>*0.92</v>
      </c>
      <c r="P1700" s="32" t="s">
        <v>2574</v>
      </c>
      <c r="Q1700" s="42" t="s">
        <v>57</v>
      </c>
      <c r="R1700" s="32">
        <v>2035</v>
      </c>
      <c r="S1700" s="43" t="str">
        <f t="shared" si="212"/>
        <v>*0.94</v>
      </c>
      <c r="U1700" s="32" t="s">
        <v>2574</v>
      </c>
      <c r="V1700" s="42" t="s">
        <v>57</v>
      </c>
      <c r="W1700" s="32">
        <v>2050</v>
      </c>
      <c r="X1700" s="43" t="str">
        <f t="shared" si="213"/>
        <v>*0.91</v>
      </c>
      <c r="AC1700" s="33" t="s">
        <v>2574</v>
      </c>
      <c r="AD1700" s="44" t="s">
        <v>57</v>
      </c>
      <c r="AE1700" s="33">
        <v>2035</v>
      </c>
      <c r="AF1700" s="45" t="str">
        <f t="shared" si="214"/>
        <v>*0.92</v>
      </c>
      <c r="AG1700" s="43" t="str">
        <f t="shared" si="216"/>
        <v>REZoning_Sol-Win</v>
      </c>
      <c r="AI1700" s="33" t="s">
        <v>2574</v>
      </c>
      <c r="AJ1700" s="44" t="s">
        <v>57</v>
      </c>
      <c r="AK1700" s="33">
        <v>2050</v>
      </c>
      <c r="AL1700" s="45" t="str">
        <f t="shared" si="215"/>
        <v>*0.87</v>
      </c>
      <c r="AM1700" s="43" t="str">
        <f t="shared" si="217"/>
        <v>REZoning_Sol-Win</v>
      </c>
      <c r="AP1700" t="s">
        <v>2574</v>
      </c>
      <c r="AQ1700" t="s">
        <v>57</v>
      </c>
      <c r="AR1700">
        <v>2100</v>
      </c>
      <c r="AS1700" t="s">
        <v>874</v>
      </c>
      <c r="AT1700" t="s">
        <v>58</v>
      </c>
    </row>
    <row r="1701" ht="29" spans="1:46">
      <c r="A1701" s="31" t="s">
        <v>55</v>
      </c>
      <c r="C1701" t="s">
        <v>2575</v>
      </c>
      <c r="D1701" s="5" t="s">
        <v>57</v>
      </c>
      <c r="E1701">
        <v>2035</v>
      </c>
      <c r="F1701" s="6" t="str">
        <f t="shared" si="210"/>
        <v>*0.95</v>
      </c>
      <c r="H1701" t="s">
        <v>2575</v>
      </c>
      <c r="I1701" s="5" t="s">
        <v>57</v>
      </c>
      <c r="J1701">
        <v>2050</v>
      </c>
      <c r="K1701" s="38" t="str">
        <f t="shared" si="211"/>
        <v>*0.92</v>
      </c>
      <c r="P1701" s="32" t="s">
        <v>2575</v>
      </c>
      <c r="Q1701" s="42" t="s">
        <v>57</v>
      </c>
      <c r="R1701" s="32">
        <v>2035</v>
      </c>
      <c r="S1701" s="43" t="str">
        <f t="shared" si="212"/>
        <v>*0.94</v>
      </c>
      <c r="U1701" s="32" t="s">
        <v>2575</v>
      </c>
      <c r="V1701" s="42" t="s">
        <v>57</v>
      </c>
      <c r="W1701" s="32">
        <v>2050</v>
      </c>
      <c r="X1701" s="43" t="str">
        <f t="shared" si="213"/>
        <v>*0.91</v>
      </c>
      <c r="AC1701" s="33" t="s">
        <v>2575</v>
      </c>
      <c r="AD1701" s="44" t="s">
        <v>57</v>
      </c>
      <c r="AE1701" s="33">
        <v>2035</v>
      </c>
      <c r="AF1701" s="45" t="str">
        <f t="shared" si="214"/>
        <v>*0.92</v>
      </c>
      <c r="AG1701" s="43" t="str">
        <f t="shared" si="216"/>
        <v>REZoning_Sol-Win</v>
      </c>
      <c r="AI1701" s="33" t="s">
        <v>2575</v>
      </c>
      <c r="AJ1701" s="44" t="s">
        <v>57</v>
      </c>
      <c r="AK1701" s="33">
        <v>2050</v>
      </c>
      <c r="AL1701" s="45" t="str">
        <f t="shared" si="215"/>
        <v>*0.87</v>
      </c>
      <c r="AM1701" s="43" t="str">
        <f t="shared" si="217"/>
        <v>REZoning_Sol-Win</v>
      </c>
      <c r="AP1701" t="s">
        <v>2575</v>
      </c>
      <c r="AQ1701" t="s">
        <v>57</v>
      </c>
      <c r="AR1701">
        <v>2100</v>
      </c>
      <c r="AS1701" t="s">
        <v>874</v>
      </c>
      <c r="AT1701" t="s">
        <v>58</v>
      </c>
    </row>
    <row r="1702" ht="29" spans="1:46">
      <c r="A1702" s="31" t="s">
        <v>55</v>
      </c>
      <c r="C1702" t="s">
        <v>2576</v>
      </c>
      <c r="D1702" s="5" t="s">
        <v>57</v>
      </c>
      <c r="E1702">
        <v>2035</v>
      </c>
      <c r="F1702" s="6" t="str">
        <f t="shared" si="210"/>
        <v>*0.95</v>
      </c>
      <c r="H1702" t="s">
        <v>2576</v>
      </c>
      <c r="I1702" s="5" t="s">
        <v>57</v>
      </c>
      <c r="J1702">
        <v>2050</v>
      </c>
      <c r="K1702" s="38" t="str">
        <f t="shared" si="211"/>
        <v>*0.92</v>
      </c>
      <c r="P1702" s="32" t="s">
        <v>2576</v>
      </c>
      <c r="Q1702" s="42" t="s">
        <v>57</v>
      </c>
      <c r="R1702" s="32">
        <v>2035</v>
      </c>
      <c r="S1702" s="43" t="str">
        <f t="shared" si="212"/>
        <v>*0.94</v>
      </c>
      <c r="U1702" s="32" t="s">
        <v>2576</v>
      </c>
      <c r="V1702" s="42" t="s">
        <v>57</v>
      </c>
      <c r="W1702" s="32">
        <v>2050</v>
      </c>
      <c r="X1702" s="43" t="str">
        <f t="shared" si="213"/>
        <v>*0.91</v>
      </c>
      <c r="AC1702" s="33" t="s">
        <v>2576</v>
      </c>
      <c r="AD1702" s="44" t="s">
        <v>57</v>
      </c>
      <c r="AE1702" s="33">
        <v>2035</v>
      </c>
      <c r="AF1702" s="45" t="str">
        <f t="shared" si="214"/>
        <v>*0.92</v>
      </c>
      <c r="AG1702" s="43" t="str">
        <f t="shared" si="216"/>
        <v>REZoning_Sol-Win</v>
      </c>
      <c r="AI1702" s="33" t="s">
        <v>2576</v>
      </c>
      <c r="AJ1702" s="44" t="s">
        <v>57</v>
      </c>
      <c r="AK1702" s="33">
        <v>2050</v>
      </c>
      <c r="AL1702" s="45" t="str">
        <f t="shared" si="215"/>
        <v>*0.87</v>
      </c>
      <c r="AM1702" s="43" t="str">
        <f t="shared" si="217"/>
        <v>REZoning_Sol-Win</v>
      </c>
      <c r="AP1702" t="s">
        <v>2576</v>
      </c>
      <c r="AQ1702" t="s">
        <v>57</v>
      </c>
      <c r="AR1702">
        <v>2100</v>
      </c>
      <c r="AS1702" t="s">
        <v>874</v>
      </c>
      <c r="AT1702" t="s">
        <v>58</v>
      </c>
    </row>
    <row r="1703" ht="29" spans="1:46">
      <c r="A1703" s="31" t="s">
        <v>55</v>
      </c>
      <c r="C1703" t="s">
        <v>2577</v>
      </c>
      <c r="D1703" s="5" t="s">
        <v>57</v>
      </c>
      <c r="E1703">
        <v>2035</v>
      </c>
      <c r="F1703" s="6" t="str">
        <f t="shared" si="210"/>
        <v>*0.95</v>
      </c>
      <c r="H1703" t="s">
        <v>2577</v>
      </c>
      <c r="I1703" s="5" t="s">
        <v>57</v>
      </c>
      <c r="J1703">
        <v>2050</v>
      </c>
      <c r="K1703" s="38" t="str">
        <f t="shared" si="211"/>
        <v>*0.92</v>
      </c>
      <c r="P1703" s="32" t="s">
        <v>2577</v>
      </c>
      <c r="Q1703" s="42" t="s">
        <v>57</v>
      </c>
      <c r="R1703" s="32">
        <v>2035</v>
      </c>
      <c r="S1703" s="43" t="str">
        <f t="shared" si="212"/>
        <v>*0.94</v>
      </c>
      <c r="U1703" s="32" t="s">
        <v>2577</v>
      </c>
      <c r="V1703" s="42" t="s">
        <v>57</v>
      </c>
      <c r="W1703" s="32">
        <v>2050</v>
      </c>
      <c r="X1703" s="43" t="str">
        <f t="shared" si="213"/>
        <v>*0.91</v>
      </c>
      <c r="AC1703" s="33" t="s">
        <v>2577</v>
      </c>
      <c r="AD1703" s="44" t="s">
        <v>57</v>
      </c>
      <c r="AE1703" s="33">
        <v>2035</v>
      </c>
      <c r="AF1703" s="45" t="str">
        <f t="shared" si="214"/>
        <v>*0.92</v>
      </c>
      <c r="AG1703" s="43" t="str">
        <f t="shared" si="216"/>
        <v>REZoning_Sol-Win</v>
      </c>
      <c r="AI1703" s="33" t="s">
        <v>2577</v>
      </c>
      <c r="AJ1703" s="44" t="s">
        <v>57</v>
      </c>
      <c r="AK1703" s="33">
        <v>2050</v>
      </c>
      <c r="AL1703" s="45" t="str">
        <f t="shared" si="215"/>
        <v>*0.87</v>
      </c>
      <c r="AM1703" s="43" t="str">
        <f t="shared" si="217"/>
        <v>REZoning_Sol-Win</v>
      </c>
      <c r="AP1703" t="s">
        <v>2577</v>
      </c>
      <c r="AQ1703" t="s">
        <v>57</v>
      </c>
      <c r="AR1703">
        <v>2100</v>
      </c>
      <c r="AS1703" t="s">
        <v>874</v>
      </c>
      <c r="AT1703" t="s">
        <v>58</v>
      </c>
    </row>
    <row r="1704" ht="29" spans="1:46">
      <c r="A1704" s="31" t="s">
        <v>55</v>
      </c>
      <c r="C1704" t="s">
        <v>2578</v>
      </c>
      <c r="D1704" s="5" t="s">
        <v>57</v>
      </c>
      <c r="E1704">
        <v>2035</v>
      </c>
      <c r="F1704" s="6" t="str">
        <f t="shared" si="210"/>
        <v>*0.95</v>
      </c>
      <c r="H1704" t="s">
        <v>2578</v>
      </c>
      <c r="I1704" s="5" t="s">
        <v>57</v>
      </c>
      <c r="J1704">
        <v>2050</v>
      </c>
      <c r="K1704" s="38" t="str">
        <f t="shared" si="211"/>
        <v>*0.92</v>
      </c>
      <c r="P1704" s="32" t="s">
        <v>2578</v>
      </c>
      <c r="Q1704" s="42" t="s">
        <v>57</v>
      </c>
      <c r="R1704" s="32">
        <v>2035</v>
      </c>
      <c r="S1704" s="43" t="str">
        <f t="shared" si="212"/>
        <v>*0.94</v>
      </c>
      <c r="U1704" s="32" t="s">
        <v>2578</v>
      </c>
      <c r="V1704" s="42" t="s">
        <v>57</v>
      </c>
      <c r="W1704" s="32">
        <v>2050</v>
      </c>
      <c r="X1704" s="43" t="str">
        <f t="shared" si="213"/>
        <v>*0.91</v>
      </c>
      <c r="AC1704" s="33" t="s">
        <v>2578</v>
      </c>
      <c r="AD1704" s="44" t="s">
        <v>57</v>
      </c>
      <c r="AE1704" s="33">
        <v>2035</v>
      </c>
      <c r="AF1704" s="45" t="str">
        <f t="shared" si="214"/>
        <v>*0.92</v>
      </c>
      <c r="AG1704" s="43" t="str">
        <f t="shared" si="216"/>
        <v>REZoning_Sol-Win</v>
      </c>
      <c r="AI1704" s="33" t="s">
        <v>2578</v>
      </c>
      <c r="AJ1704" s="44" t="s">
        <v>57</v>
      </c>
      <c r="AK1704" s="33">
        <v>2050</v>
      </c>
      <c r="AL1704" s="45" t="str">
        <f t="shared" si="215"/>
        <v>*0.87</v>
      </c>
      <c r="AM1704" s="43" t="str">
        <f t="shared" si="217"/>
        <v>REZoning_Sol-Win</v>
      </c>
      <c r="AP1704" t="s">
        <v>2578</v>
      </c>
      <c r="AQ1704" t="s">
        <v>57</v>
      </c>
      <c r="AR1704">
        <v>2100</v>
      </c>
      <c r="AS1704" t="s">
        <v>874</v>
      </c>
      <c r="AT1704" t="s">
        <v>58</v>
      </c>
    </row>
    <row r="1705" ht="29" spans="1:46">
      <c r="A1705" s="31" t="s">
        <v>55</v>
      </c>
      <c r="C1705" t="s">
        <v>2579</v>
      </c>
      <c r="D1705" s="5" t="s">
        <v>57</v>
      </c>
      <c r="E1705">
        <v>2035</v>
      </c>
      <c r="F1705" s="6" t="str">
        <f t="shared" si="210"/>
        <v>*0.95</v>
      </c>
      <c r="H1705" t="s">
        <v>2579</v>
      </c>
      <c r="I1705" s="5" t="s">
        <v>57</v>
      </c>
      <c r="J1705">
        <v>2050</v>
      </c>
      <c r="K1705" s="38" t="str">
        <f t="shared" si="211"/>
        <v>*0.92</v>
      </c>
      <c r="P1705" s="32" t="s">
        <v>2579</v>
      </c>
      <c r="Q1705" s="42" t="s">
        <v>57</v>
      </c>
      <c r="R1705" s="32">
        <v>2035</v>
      </c>
      <c r="S1705" s="43" t="str">
        <f t="shared" si="212"/>
        <v>*0.94</v>
      </c>
      <c r="U1705" s="32" t="s">
        <v>2579</v>
      </c>
      <c r="V1705" s="42" t="s">
        <v>57</v>
      </c>
      <c r="W1705" s="32">
        <v>2050</v>
      </c>
      <c r="X1705" s="43" t="str">
        <f t="shared" si="213"/>
        <v>*0.91</v>
      </c>
      <c r="AC1705" s="33" t="s">
        <v>2579</v>
      </c>
      <c r="AD1705" s="44" t="s">
        <v>57</v>
      </c>
      <c r="AE1705" s="33">
        <v>2035</v>
      </c>
      <c r="AF1705" s="45" t="str">
        <f t="shared" si="214"/>
        <v>*0.92</v>
      </c>
      <c r="AG1705" s="43" t="str">
        <f t="shared" si="216"/>
        <v>REZoning_Sol-Win</v>
      </c>
      <c r="AI1705" s="33" t="s">
        <v>2579</v>
      </c>
      <c r="AJ1705" s="44" t="s">
        <v>57</v>
      </c>
      <c r="AK1705" s="33">
        <v>2050</v>
      </c>
      <c r="AL1705" s="45" t="str">
        <f t="shared" si="215"/>
        <v>*0.87</v>
      </c>
      <c r="AM1705" s="43" t="str">
        <f t="shared" si="217"/>
        <v>REZoning_Sol-Win</v>
      </c>
      <c r="AP1705" t="s">
        <v>2579</v>
      </c>
      <c r="AQ1705" t="s">
        <v>57</v>
      </c>
      <c r="AR1705">
        <v>2100</v>
      </c>
      <c r="AS1705" t="s">
        <v>874</v>
      </c>
      <c r="AT1705" t="s">
        <v>58</v>
      </c>
    </row>
    <row r="1706" ht="29" spans="1:46">
      <c r="A1706" s="31" t="s">
        <v>55</v>
      </c>
      <c r="C1706" t="s">
        <v>2580</v>
      </c>
      <c r="D1706" s="5" t="s">
        <v>57</v>
      </c>
      <c r="E1706">
        <v>2035</v>
      </c>
      <c r="F1706" s="6" t="str">
        <f t="shared" si="210"/>
        <v>*0.95</v>
      </c>
      <c r="H1706" t="s">
        <v>2580</v>
      </c>
      <c r="I1706" s="5" t="s">
        <v>57</v>
      </c>
      <c r="J1706">
        <v>2050</v>
      </c>
      <c r="K1706" s="38" t="str">
        <f t="shared" si="211"/>
        <v>*0.92</v>
      </c>
      <c r="P1706" s="32" t="s">
        <v>2580</v>
      </c>
      <c r="Q1706" s="42" t="s">
        <v>57</v>
      </c>
      <c r="R1706" s="32">
        <v>2035</v>
      </c>
      <c r="S1706" s="43" t="str">
        <f t="shared" si="212"/>
        <v>*0.94</v>
      </c>
      <c r="U1706" s="32" t="s">
        <v>2580</v>
      </c>
      <c r="V1706" s="42" t="s">
        <v>57</v>
      </c>
      <c r="W1706" s="32">
        <v>2050</v>
      </c>
      <c r="X1706" s="43" t="str">
        <f t="shared" si="213"/>
        <v>*0.91</v>
      </c>
      <c r="AC1706" s="33" t="s">
        <v>2580</v>
      </c>
      <c r="AD1706" s="44" t="s">
        <v>57</v>
      </c>
      <c r="AE1706" s="33">
        <v>2035</v>
      </c>
      <c r="AF1706" s="45" t="str">
        <f t="shared" si="214"/>
        <v>*0.92</v>
      </c>
      <c r="AG1706" s="43" t="str">
        <f t="shared" si="216"/>
        <v>REZoning_Sol-Win</v>
      </c>
      <c r="AI1706" s="33" t="s">
        <v>2580</v>
      </c>
      <c r="AJ1706" s="44" t="s">
        <v>57</v>
      </c>
      <c r="AK1706" s="33">
        <v>2050</v>
      </c>
      <c r="AL1706" s="45" t="str">
        <f t="shared" si="215"/>
        <v>*0.87</v>
      </c>
      <c r="AM1706" s="43" t="str">
        <f t="shared" si="217"/>
        <v>REZoning_Sol-Win</v>
      </c>
      <c r="AP1706" t="s">
        <v>2580</v>
      </c>
      <c r="AQ1706" t="s">
        <v>57</v>
      </c>
      <c r="AR1706">
        <v>2100</v>
      </c>
      <c r="AS1706" t="s">
        <v>874</v>
      </c>
      <c r="AT1706" t="s">
        <v>58</v>
      </c>
    </row>
    <row r="1707" ht="29" spans="1:46">
      <c r="A1707" s="31" t="s">
        <v>55</v>
      </c>
      <c r="C1707" t="s">
        <v>2581</v>
      </c>
      <c r="D1707" s="5" t="s">
        <v>57</v>
      </c>
      <c r="E1707">
        <v>2035</v>
      </c>
      <c r="F1707" s="6" t="str">
        <f t="shared" si="210"/>
        <v>*0.95</v>
      </c>
      <c r="H1707" t="s">
        <v>2581</v>
      </c>
      <c r="I1707" s="5" t="s">
        <v>57</v>
      </c>
      <c r="J1707">
        <v>2050</v>
      </c>
      <c r="K1707" s="38" t="str">
        <f t="shared" si="211"/>
        <v>*0.92</v>
      </c>
      <c r="P1707" s="32" t="s">
        <v>2581</v>
      </c>
      <c r="Q1707" s="42" t="s">
        <v>57</v>
      </c>
      <c r="R1707" s="32">
        <v>2035</v>
      </c>
      <c r="S1707" s="43" t="str">
        <f t="shared" si="212"/>
        <v>*0.94</v>
      </c>
      <c r="U1707" s="32" t="s">
        <v>2581</v>
      </c>
      <c r="V1707" s="42" t="s">
        <v>57</v>
      </c>
      <c r="W1707" s="32">
        <v>2050</v>
      </c>
      <c r="X1707" s="43" t="str">
        <f t="shared" si="213"/>
        <v>*0.91</v>
      </c>
      <c r="AC1707" s="33" t="s">
        <v>2581</v>
      </c>
      <c r="AD1707" s="44" t="s">
        <v>57</v>
      </c>
      <c r="AE1707" s="33">
        <v>2035</v>
      </c>
      <c r="AF1707" s="45" t="str">
        <f t="shared" si="214"/>
        <v>*0.92</v>
      </c>
      <c r="AG1707" s="43" t="str">
        <f t="shared" si="216"/>
        <v>REZoning_Sol-Win</v>
      </c>
      <c r="AI1707" s="33" t="s">
        <v>2581</v>
      </c>
      <c r="AJ1707" s="44" t="s">
        <v>57</v>
      </c>
      <c r="AK1707" s="33">
        <v>2050</v>
      </c>
      <c r="AL1707" s="45" t="str">
        <f t="shared" si="215"/>
        <v>*0.87</v>
      </c>
      <c r="AM1707" s="43" t="str">
        <f t="shared" si="217"/>
        <v>REZoning_Sol-Win</v>
      </c>
      <c r="AP1707" t="s">
        <v>2581</v>
      </c>
      <c r="AQ1707" t="s">
        <v>57</v>
      </c>
      <c r="AR1707">
        <v>2100</v>
      </c>
      <c r="AS1707" t="s">
        <v>874</v>
      </c>
      <c r="AT1707" t="s">
        <v>58</v>
      </c>
    </row>
    <row r="1708" ht="29" spans="1:46">
      <c r="A1708" s="31" t="s">
        <v>55</v>
      </c>
      <c r="C1708" t="s">
        <v>2582</v>
      </c>
      <c r="D1708" s="5" t="s">
        <v>57</v>
      </c>
      <c r="E1708">
        <v>2035</v>
      </c>
      <c r="F1708" s="6" t="str">
        <f t="shared" si="210"/>
        <v>*0.95</v>
      </c>
      <c r="H1708" t="s">
        <v>2582</v>
      </c>
      <c r="I1708" s="5" t="s">
        <v>57</v>
      </c>
      <c r="J1708">
        <v>2050</v>
      </c>
      <c r="K1708" s="38" t="str">
        <f t="shared" si="211"/>
        <v>*0.92</v>
      </c>
      <c r="P1708" s="32" t="s">
        <v>2582</v>
      </c>
      <c r="Q1708" s="42" t="s">
        <v>57</v>
      </c>
      <c r="R1708" s="32">
        <v>2035</v>
      </c>
      <c r="S1708" s="43" t="str">
        <f t="shared" si="212"/>
        <v>*0.94</v>
      </c>
      <c r="U1708" s="32" t="s">
        <v>2582</v>
      </c>
      <c r="V1708" s="42" t="s">
        <v>57</v>
      </c>
      <c r="W1708" s="32">
        <v>2050</v>
      </c>
      <c r="X1708" s="43" t="str">
        <f t="shared" si="213"/>
        <v>*0.91</v>
      </c>
      <c r="AC1708" s="33" t="s">
        <v>2582</v>
      </c>
      <c r="AD1708" s="44" t="s">
        <v>57</v>
      </c>
      <c r="AE1708" s="33">
        <v>2035</v>
      </c>
      <c r="AF1708" s="45" t="str">
        <f t="shared" si="214"/>
        <v>*0.92</v>
      </c>
      <c r="AG1708" s="43" t="str">
        <f t="shared" si="216"/>
        <v>REZoning_Sol-Win</v>
      </c>
      <c r="AI1708" s="33" t="s">
        <v>2582</v>
      </c>
      <c r="AJ1708" s="44" t="s">
        <v>57</v>
      </c>
      <c r="AK1708" s="33">
        <v>2050</v>
      </c>
      <c r="AL1708" s="45" t="str">
        <f t="shared" si="215"/>
        <v>*0.87</v>
      </c>
      <c r="AM1708" s="43" t="str">
        <f t="shared" si="217"/>
        <v>REZoning_Sol-Win</v>
      </c>
      <c r="AP1708" t="s">
        <v>2582</v>
      </c>
      <c r="AQ1708" t="s">
        <v>57</v>
      </c>
      <c r="AR1708">
        <v>2100</v>
      </c>
      <c r="AS1708" t="s">
        <v>874</v>
      </c>
      <c r="AT1708" t="s">
        <v>58</v>
      </c>
    </row>
    <row r="1709" ht="29" spans="1:46">
      <c r="A1709" s="31" t="s">
        <v>55</v>
      </c>
      <c r="C1709" t="s">
        <v>2583</v>
      </c>
      <c r="D1709" s="5" t="s">
        <v>57</v>
      </c>
      <c r="E1709">
        <v>2035</v>
      </c>
      <c r="F1709" s="6" t="str">
        <f t="shared" si="210"/>
        <v>*0.95</v>
      </c>
      <c r="H1709" t="s">
        <v>2583</v>
      </c>
      <c r="I1709" s="5" t="s">
        <v>57</v>
      </c>
      <c r="J1709">
        <v>2050</v>
      </c>
      <c r="K1709" s="38" t="str">
        <f t="shared" si="211"/>
        <v>*0.92</v>
      </c>
      <c r="P1709" s="32" t="s">
        <v>2583</v>
      </c>
      <c r="Q1709" s="42" t="s">
        <v>57</v>
      </c>
      <c r="R1709" s="32">
        <v>2035</v>
      </c>
      <c r="S1709" s="43" t="str">
        <f t="shared" si="212"/>
        <v>*0.94</v>
      </c>
      <c r="U1709" s="32" t="s">
        <v>2583</v>
      </c>
      <c r="V1709" s="42" t="s">
        <v>57</v>
      </c>
      <c r="W1709" s="32">
        <v>2050</v>
      </c>
      <c r="X1709" s="43" t="str">
        <f t="shared" si="213"/>
        <v>*0.91</v>
      </c>
      <c r="AC1709" s="33" t="s">
        <v>2583</v>
      </c>
      <c r="AD1709" s="44" t="s">
        <v>57</v>
      </c>
      <c r="AE1709" s="33">
        <v>2035</v>
      </c>
      <c r="AF1709" s="45" t="str">
        <f t="shared" si="214"/>
        <v>*0.92</v>
      </c>
      <c r="AG1709" s="43" t="str">
        <f t="shared" si="216"/>
        <v>REZoning_Sol-Win</v>
      </c>
      <c r="AI1709" s="33" t="s">
        <v>2583</v>
      </c>
      <c r="AJ1709" s="44" t="s">
        <v>57</v>
      </c>
      <c r="AK1709" s="33">
        <v>2050</v>
      </c>
      <c r="AL1709" s="45" t="str">
        <f t="shared" si="215"/>
        <v>*0.87</v>
      </c>
      <c r="AM1709" s="43" t="str">
        <f t="shared" si="217"/>
        <v>REZoning_Sol-Win</v>
      </c>
      <c r="AP1709" t="s">
        <v>2583</v>
      </c>
      <c r="AQ1709" t="s">
        <v>57</v>
      </c>
      <c r="AR1709">
        <v>2100</v>
      </c>
      <c r="AS1709" t="s">
        <v>874</v>
      </c>
      <c r="AT1709" t="s">
        <v>58</v>
      </c>
    </row>
    <row r="1710" ht="29" spans="1:46">
      <c r="A1710" s="31" t="s">
        <v>55</v>
      </c>
      <c r="C1710" t="s">
        <v>2584</v>
      </c>
      <c r="D1710" s="5" t="s">
        <v>57</v>
      </c>
      <c r="E1710">
        <v>2035</v>
      </c>
      <c r="F1710" s="6" t="str">
        <f t="shared" si="210"/>
        <v>*0.95</v>
      </c>
      <c r="H1710" t="s">
        <v>2584</v>
      </c>
      <c r="I1710" s="5" t="s">
        <v>57</v>
      </c>
      <c r="J1710">
        <v>2050</v>
      </c>
      <c r="K1710" s="38" t="str">
        <f t="shared" si="211"/>
        <v>*0.92</v>
      </c>
      <c r="P1710" s="32" t="s">
        <v>2584</v>
      </c>
      <c r="Q1710" s="42" t="s">
        <v>57</v>
      </c>
      <c r="R1710" s="32">
        <v>2035</v>
      </c>
      <c r="S1710" s="43" t="str">
        <f t="shared" si="212"/>
        <v>*0.94</v>
      </c>
      <c r="U1710" s="32" t="s">
        <v>2584</v>
      </c>
      <c r="V1710" s="42" t="s">
        <v>57</v>
      </c>
      <c r="W1710" s="32">
        <v>2050</v>
      </c>
      <c r="X1710" s="43" t="str">
        <f t="shared" si="213"/>
        <v>*0.91</v>
      </c>
      <c r="AC1710" s="33" t="s">
        <v>2584</v>
      </c>
      <c r="AD1710" s="44" t="s">
        <v>57</v>
      </c>
      <c r="AE1710" s="33">
        <v>2035</v>
      </c>
      <c r="AF1710" s="45" t="str">
        <f t="shared" si="214"/>
        <v>*0.92</v>
      </c>
      <c r="AG1710" s="43" t="str">
        <f t="shared" si="216"/>
        <v>REZoning_Sol-Win</v>
      </c>
      <c r="AI1710" s="33" t="s">
        <v>2584</v>
      </c>
      <c r="AJ1710" s="44" t="s">
        <v>57</v>
      </c>
      <c r="AK1710" s="33">
        <v>2050</v>
      </c>
      <c r="AL1710" s="45" t="str">
        <f t="shared" si="215"/>
        <v>*0.87</v>
      </c>
      <c r="AM1710" s="43" t="str">
        <f t="shared" si="217"/>
        <v>REZoning_Sol-Win</v>
      </c>
      <c r="AP1710" t="s">
        <v>2584</v>
      </c>
      <c r="AQ1710" t="s">
        <v>57</v>
      </c>
      <c r="AR1710">
        <v>2100</v>
      </c>
      <c r="AS1710" t="s">
        <v>874</v>
      </c>
      <c r="AT1710" t="s">
        <v>58</v>
      </c>
    </row>
    <row r="1711" ht="29" spans="1:46">
      <c r="A1711" s="31" t="s">
        <v>55</v>
      </c>
      <c r="C1711" t="s">
        <v>2585</v>
      </c>
      <c r="D1711" s="5" t="s">
        <v>57</v>
      </c>
      <c r="E1711">
        <v>2035</v>
      </c>
      <c r="F1711" s="6" t="str">
        <f t="shared" si="210"/>
        <v>*0.95</v>
      </c>
      <c r="H1711" t="s">
        <v>2585</v>
      </c>
      <c r="I1711" s="5" t="s">
        <v>57</v>
      </c>
      <c r="J1711">
        <v>2050</v>
      </c>
      <c r="K1711" s="38" t="str">
        <f t="shared" si="211"/>
        <v>*0.92</v>
      </c>
      <c r="P1711" s="32" t="s">
        <v>2585</v>
      </c>
      <c r="Q1711" s="42" t="s">
        <v>57</v>
      </c>
      <c r="R1711" s="32">
        <v>2035</v>
      </c>
      <c r="S1711" s="43" t="str">
        <f t="shared" si="212"/>
        <v>*0.94</v>
      </c>
      <c r="U1711" s="32" t="s">
        <v>2585</v>
      </c>
      <c r="V1711" s="42" t="s">
        <v>57</v>
      </c>
      <c r="W1711" s="32">
        <v>2050</v>
      </c>
      <c r="X1711" s="43" t="str">
        <f t="shared" si="213"/>
        <v>*0.91</v>
      </c>
      <c r="AC1711" s="33" t="s">
        <v>2585</v>
      </c>
      <c r="AD1711" s="44" t="s">
        <v>57</v>
      </c>
      <c r="AE1711" s="33">
        <v>2035</v>
      </c>
      <c r="AF1711" s="45" t="str">
        <f t="shared" si="214"/>
        <v>*0.92</v>
      </c>
      <c r="AG1711" s="43" t="str">
        <f t="shared" si="216"/>
        <v>REZoning_Sol-Win</v>
      </c>
      <c r="AI1711" s="33" t="s">
        <v>2585</v>
      </c>
      <c r="AJ1711" s="44" t="s">
        <v>57</v>
      </c>
      <c r="AK1711" s="33">
        <v>2050</v>
      </c>
      <c r="AL1711" s="45" t="str">
        <f t="shared" si="215"/>
        <v>*0.87</v>
      </c>
      <c r="AM1711" s="43" t="str">
        <f t="shared" si="217"/>
        <v>REZoning_Sol-Win</v>
      </c>
      <c r="AP1711" t="s">
        <v>2585</v>
      </c>
      <c r="AQ1711" t="s">
        <v>57</v>
      </c>
      <c r="AR1711">
        <v>2100</v>
      </c>
      <c r="AS1711" t="s">
        <v>874</v>
      </c>
      <c r="AT1711" t="s">
        <v>58</v>
      </c>
    </row>
    <row r="1712" ht="29" spans="1:46">
      <c r="A1712" s="31" t="s">
        <v>55</v>
      </c>
      <c r="C1712" t="s">
        <v>2586</v>
      </c>
      <c r="D1712" s="5" t="s">
        <v>57</v>
      </c>
      <c r="E1712">
        <v>2035</v>
      </c>
      <c r="F1712" s="6" t="str">
        <f t="shared" si="210"/>
        <v>*0.95</v>
      </c>
      <c r="H1712" t="s">
        <v>2586</v>
      </c>
      <c r="I1712" s="5" t="s">
        <v>57</v>
      </c>
      <c r="J1712">
        <v>2050</v>
      </c>
      <c r="K1712" s="38" t="str">
        <f t="shared" si="211"/>
        <v>*0.92</v>
      </c>
      <c r="P1712" s="32" t="s">
        <v>2586</v>
      </c>
      <c r="Q1712" s="42" t="s">
        <v>57</v>
      </c>
      <c r="R1712" s="32">
        <v>2035</v>
      </c>
      <c r="S1712" s="43" t="str">
        <f t="shared" si="212"/>
        <v>*0.94</v>
      </c>
      <c r="U1712" s="32" t="s">
        <v>2586</v>
      </c>
      <c r="V1712" s="42" t="s">
        <v>57</v>
      </c>
      <c r="W1712" s="32">
        <v>2050</v>
      </c>
      <c r="X1712" s="43" t="str">
        <f t="shared" si="213"/>
        <v>*0.91</v>
      </c>
      <c r="AC1712" s="33" t="s">
        <v>2586</v>
      </c>
      <c r="AD1712" s="44" t="s">
        <v>57</v>
      </c>
      <c r="AE1712" s="33">
        <v>2035</v>
      </c>
      <c r="AF1712" s="45" t="str">
        <f t="shared" si="214"/>
        <v>*0.92</v>
      </c>
      <c r="AG1712" s="43" t="str">
        <f t="shared" si="216"/>
        <v>REZoning_Sol-Win</v>
      </c>
      <c r="AI1712" s="33" t="s">
        <v>2586</v>
      </c>
      <c r="AJ1712" s="44" t="s">
        <v>57</v>
      </c>
      <c r="AK1712" s="33">
        <v>2050</v>
      </c>
      <c r="AL1712" s="45" t="str">
        <f t="shared" si="215"/>
        <v>*0.87</v>
      </c>
      <c r="AM1712" s="43" t="str">
        <f t="shared" si="217"/>
        <v>REZoning_Sol-Win</v>
      </c>
      <c r="AP1712" t="s">
        <v>2586</v>
      </c>
      <c r="AQ1712" t="s">
        <v>57</v>
      </c>
      <c r="AR1712">
        <v>2100</v>
      </c>
      <c r="AS1712" t="s">
        <v>874</v>
      </c>
      <c r="AT1712" t="s">
        <v>58</v>
      </c>
    </row>
    <row r="1713" ht="29" spans="1:46">
      <c r="A1713" s="31" t="s">
        <v>55</v>
      </c>
      <c r="C1713" t="s">
        <v>2587</v>
      </c>
      <c r="D1713" s="5" t="s">
        <v>57</v>
      </c>
      <c r="E1713">
        <v>2035</v>
      </c>
      <c r="F1713" s="6" t="str">
        <f t="shared" si="210"/>
        <v>*0.95</v>
      </c>
      <c r="H1713" t="s">
        <v>2587</v>
      </c>
      <c r="I1713" s="5" t="s">
        <v>57</v>
      </c>
      <c r="J1713">
        <v>2050</v>
      </c>
      <c r="K1713" s="38" t="str">
        <f t="shared" si="211"/>
        <v>*0.92</v>
      </c>
      <c r="P1713" s="32" t="s">
        <v>2587</v>
      </c>
      <c r="Q1713" s="42" t="s">
        <v>57</v>
      </c>
      <c r="R1713" s="32">
        <v>2035</v>
      </c>
      <c r="S1713" s="43" t="str">
        <f t="shared" si="212"/>
        <v>*0.94</v>
      </c>
      <c r="U1713" s="32" t="s">
        <v>2587</v>
      </c>
      <c r="V1713" s="42" t="s">
        <v>57</v>
      </c>
      <c r="W1713" s="32">
        <v>2050</v>
      </c>
      <c r="X1713" s="43" t="str">
        <f t="shared" si="213"/>
        <v>*0.91</v>
      </c>
      <c r="AC1713" s="33" t="s">
        <v>2587</v>
      </c>
      <c r="AD1713" s="44" t="s">
        <v>57</v>
      </c>
      <c r="AE1713" s="33">
        <v>2035</v>
      </c>
      <c r="AF1713" s="45" t="str">
        <f t="shared" si="214"/>
        <v>*0.92</v>
      </c>
      <c r="AG1713" s="43" t="str">
        <f t="shared" si="216"/>
        <v>REZoning_Sol-Win</v>
      </c>
      <c r="AI1713" s="33" t="s">
        <v>2587</v>
      </c>
      <c r="AJ1713" s="44" t="s">
        <v>57</v>
      </c>
      <c r="AK1713" s="33">
        <v>2050</v>
      </c>
      <c r="AL1713" s="45" t="str">
        <f t="shared" si="215"/>
        <v>*0.87</v>
      </c>
      <c r="AM1713" s="43" t="str">
        <f t="shared" si="217"/>
        <v>REZoning_Sol-Win</v>
      </c>
      <c r="AP1713" t="s">
        <v>2587</v>
      </c>
      <c r="AQ1713" t="s">
        <v>57</v>
      </c>
      <c r="AR1713">
        <v>2100</v>
      </c>
      <c r="AS1713" t="s">
        <v>874</v>
      </c>
      <c r="AT1713" t="s">
        <v>58</v>
      </c>
    </row>
    <row r="1714" ht="29" spans="1:46">
      <c r="A1714" s="31" t="s">
        <v>83</v>
      </c>
      <c r="C1714" t="s">
        <v>2588</v>
      </c>
      <c r="D1714" s="5" t="s">
        <v>57</v>
      </c>
      <c r="E1714">
        <v>2035</v>
      </c>
      <c r="F1714" s="6" t="str">
        <f t="shared" si="210"/>
        <v>*0.95</v>
      </c>
      <c r="H1714" t="s">
        <v>2588</v>
      </c>
      <c r="I1714" s="5" t="s">
        <v>57</v>
      </c>
      <c r="J1714">
        <v>2050</v>
      </c>
      <c r="K1714" s="38" t="str">
        <f t="shared" si="211"/>
        <v>*0.92</v>
      </c>
      <c r="P1714" s="32" t="s">
        <v>2588</v>
      </c>
      <c r="Q1714" s="42" t="s">
        <v>57</v>
      </c>
      <c r="R1714" s="32">
        <v>2035</v>
      </c>
      <c r="S1714" s="43" t="str">
        <f t="shared" si="212"/>
        <v>*0.95</v>
      </c>
      <c r="U1714" s="32" t="s">
        <v>2588</v>
      </c>
      <c r="V1714" s="42" t="s">
        <v>57</v>
      </c>
      <c r="W1714" s="32">
        <v>2050</v>
      </c>
      <c r="X1714" s="43" t="str">
        <f t="shared" si="213"/>
        <v>*0.92</v>
      </c>
      <c r="AC1714" s="33" t="s">
        <v>2588</v>
      </c>
      <c r="AD1714" s="44" t="s">
        <v>57</v>
      </c>
      <c r="AE1714" s="33">
        <v>2035</v>
      </c>
      <c r="AF1714" s="45" t="str">
        <f t="shared" si="214"/>
        <v>*0.93</v>
      </c>
      <c r="AG1714" s="43" t="str">
        <f t="shared" si="216"/>
        <v>REZoning_Sol-Win</v>
      </c>
      <c r="AI1714" s="33" t="s">
        <v>2588</v>
      </c>
      <c r="AJ1714" s="44" t="s">
        <v>57</v>
      </c>
      <c r="AK1714" s="33">
        <v>2050</v>
      </c>
      <c r="AL1714" s="45" t="str">
        <f t="shared" si="215"/>
        <v>*0.89</v>
      </c>
      <c r="AM1714" s="43" t="str">
        <f t="shared" si="217"/>
        <v>REZoning_Sol-Win</v>
      </c>
      <c r="AP1714" t="s">
        <v>2588</v>
      </c>
      <c r="AQ1714" t="s">
        <v>57</v>
      </c>
      <c r="AR1714">
        <v>2100</v>
      </c>
      <c r="AS1714" t="s">
        <v>937</v>
      </c>
      <c r="AT1714" t="s">
        <v>58</v>
      </c>
    </row>
    <row r="1715" ht="29" spans="1:46">
      <c r="A1715" s="31" t="s">
        <v>83</v>
      </c>
      <c r="C1715" t="s">
        <v>2589</v>
      </c>
      <c r="D1715" s="5" t="s">
        <v>57</v>
      </c>
      <c r="E1715">
        <v>2035</v>
      </c>
      <c r="F1715" s="6" t="str">
        <f t="shared" si="210"/>
        <v>*0.95</v>
      </c>
      <c r="H1715" t="s">
        <v>2589</v>
      </c>
      <c r="I1715" s="5" t="s">
        <v>57</v>
      </c>
      <c r="J1715">
        <v>2050</v>
      </c>
      <c r="K1715" s="38" t="str">
        <f t="shared" si="211"/>
        <v>*0.92</v>
      </c>
      <c r="P1715" s="32" t="s">
        <v>2589</v>
      </c>
      <c r="Q1715" s="42" t="s">
        <v>57</v>
      </c>
      <c r="R1715" s="32">
        <v>2035</v>
      </c>
      <c r="S1715" s="43" t="str">
        <f t="shared" si="212"/>
        <v>*0.95</v>
      </c>
      <c r="U1715" s="32" t="s">
        <v>2589</v>
      </c>
      <c r="V1715" s="42" t="s">
        <v>57</v>
      </c>
      <c r="W1715" s="32">
        <v>2050</v>
      </c>
      <c r="X1715" s="43" t="str">
        <f t="shared" si="213"/>
        <v>*0.92</v>
      </c>
      <c r="AC1715" s="33" t="s">
        <v>2589</v>
      </c>
      <c r="AD1715" s="44" t="s">
        <v>57</v>
      </c>
      <c r="AE1715" s="33">
        <v>2035</v>
      </c>
      <c r="AF1715" s="45" t="str">
        <f t="shared" si="214"/>
        <v>*0.93</v>
      </c>
      <c r="AG1715" s="43" t="str">
        <f t="shared" si="216"/>
        <v>REZoning_Sol-Win</v>
      </c>
      <c r="AI1715" s="33" t="s">
        <v>2589</v>
      </c>
      <c r="AJ1715" s="44" t="s">
        <v>57</v>
      </c>
      <c r="AK1715" s="33">
        <v>2050</v>
      </c>
      <c r="AL1715" s="45" t="str">
        <f t="shared" si="215"/>
        <v>*0.89</v>
      </c>
      <c r="AM1715" s="43" t="str">
        <f t="shared" si="217"/>
        <v>REZoning_Sol-Win</v>
      </c>
      <c r="AP1715" t="s">
        <v>2589</v>
      </c>
      <c r="AQ1715" t="s">
        <v>57</v>
      </c>
      <c r="AR1715">
        <v>2100</v>
      </c>
      <c r="AS1715" t="s">
        <v>937</v>
      </c>
      <c r="AT1715" t="s">
        <v>58</v>
      </c>
    </row>
    <row r="1716" ht="29" spans="1:46">
      <c r="A1716" s="31" t="s">
        <v>83</v>
      </c>
      <c r="C1716" t="s">
        <v>2590</v>
      </c>
      <c r="D1716" s="5" t="s">
        <v>57</v>
      </c>
      <c r="E1716">
        <v>2035</v>
      </c>
      <c r="F1716" s="6" t="str">
        <f t="shared" si="210"/>
        <v>*0.95</v>
      </c>
      <c r="H1716" t="s">
        <v>2590</v>
      </c>
      <c r="I1716" s="5" t="s">
        <v>57</v>
      </c>
      <c r="J1716">
        <v>2050</v>
      </c>
      <c r="K1716" s="38" t="str">
        <f t="shared" si="211"/>
        <v>*0.92</v>
      </c>
      <c r="P1716" s="32" t="s">
        <v>2590</v>
      </c>
      <c r="Q1716" s="42" t="s">
        <v>57</v>
      </c>
      <c r="R1716" s="32">
        <v>2035</v>
      </c>
      <c r="S1716" s="43" t="str">
        <f t="shared" si="212"/>
        <v>*0.95</v>
      </c>
      <c r="U1716" s="32" t="s">
        <v>2590</v>
      </c>
      <c r="V1716" s="42" t="s">
        <v>57</v>
      </c>
      <c r="W1716" s="32">
        <v>2050</v>
      </c>
      <c r="X1716" s="43" t="str">
        <f t="shared" si="213"/>
        <v>*0.92</v>
      </c>
      <c r="AC1716" s="33" t="s">
        <v>2590</v>
      </c>
      <c r="AD1716" s="44" t="s">
        <v>57</v>
      </c>
      <c r="AE1716" s="33">
        <v>2035</v>
      </c>
      <c r="AF1716" s="45" t="str">
        <f t="shared" si="214"/>
        <v>*0.93</v>
      </c>
      <c r="AG1716" s="43" t="str">
        <f t="shared" si="216"/>
        <v>REZoning_Sol-Win</v>
      </c>
      <c r="AI1716" s="33" t="s">
        <v>2590</v>
      </c>
      <c r="AJ1716" s="44" t="s">
        <v>57</v>
      </c>
      <c r="AK1716" s="33">
        <v>2050</v>
      </c>
      <c r="AL1716" s="45" t="str">
        <f t="shared" si="215"/>
        <v>*0.89</v>
      </c>
      <c r="AM1716" s="43" t="str">
        <f t="shared" si="217"/>
        <v>REZoning_Sol-Win</v>
      </c>
      <c r="AP1716" t="s">
        <v>2590</v>
      </c>
      <c r="AQ1716" t="s">
        <v>57</v>
      </c>
      <c r="AR1716">
        <v>2100</v>
      </c>
      <c r="AS1716" t="s">
        <v>937</v>
      </c>
      <c r="AT1716" t="s">
        <v>58</v>
      </c>
    </row>
    <row r="1717" ht="29" spans="1:46">
      <c r="A1717" s="31" t="s">
        <v>83</v>
      </c>
      <c r="C1717" t="s">
        <v>2591</v>
      </c>
      <c r="D1717" s="5" t="s">
        <v>57</v>
      </c>
      <c r="E1717">
        <v>2035</v>
      </c>
      <c r="F1717" s="6" t="str">
        <f t="shared" si="210"/>
        <v>*0.95</v>
      </c>
      <c r="H1717" t="s">
        <v>2591</v>
      </c>
      <c r="I1717" s="5" t="s">
        <v>57</v>
      </c>
      <c r="J1717">
        <v>2050</v>
      </c>
      <c r="K1717" s="38" t="str">
        <f t="shared" si="211"/>
        <v>*0.92</v>
      </c>
      <c r="P1717" s="32" t="s">
        <v>2591</v>
      </c>
      <c r="Q1717" s="42" t="s">
        <v>57</v>
      </c>
      <c r="R1717" s="32">
        <v>2035</v>
      </c>
      <c r="S1717" s="43" t="str">
        <f t="shared" si="212"/>
        <v>*0.95</v>
      </c>
      <c r="U1717" s="32" t="s">
        <v>2591</v>
      </c>
      <c r="V1717" s="42" t="s">
        <v>57</v>
      </c>
      <c r="W1717" s="32">
        <v>2050</v>
      </c>
      <c r="X1717" s="43" t="str">
        <f t="shared" si="213"/>
        <v>*0.92</v>
      </c>
      <c r="AC1717" s="33" t="s">
        <v>2591</v>
      </c>
      <c r="AD1717" s="44" t="s">
        <v>57</v>
      </c>
      <c r="AE1717" s="33">
        <v>2035</v>
      </c>
      <c r="AF1717" s="45" t="str">
        <f t="shared" si="214"/>
        <v>*0.93</v>
      </c>
      <c r="AG1717" s="43" t="str">
        <f t="shared" si="216"/>
        <v>REZoning_Sol-Win</v>
      </c>
      <c r="AI1717" s="33" t="s">
        <v>2591</v>
      </c>
      <c r="AJ1717" s="44" t="s">
        <v>57</v>
      </c>
      <c r="AK1717" s="33">
        <v>2050</v>
      </c>
      <c r="AL1717" s="45" t="str">
        <f t="shared" si="215"/>
        <v>*0.89</v>
      </c>
      <c r="AM1717" s="43" t="str">
        <f t="shared" si="217"/>
        <v>REZoning_Sol-Win</v>
      </c>
      <c r="AP1717" t="s">
        <v>2591</v>
      </c>
      <c r="AQ1717" t="s">
        <v>57</v>
      </c>
      <c r="AR1717">
        <v>2100</v>
      </c>
      <c r="AS1717" t="s">
        <v>937</v>
      </c>
      <c r="AT1717" t="s">
        <v>58</v>
      </c>
    </row>
    <row r="1718" ht="29" spans="1:46">
      <c r="A1718" s="31" t="s">
        <v>83</v>
      </c>
      <c r="C1718" t="s">
        <v>2592</v>
      </c>
      <c r="D1718" s="5" t="s">
        <v>57</v>
      </c>
      <c r="E1718">
        <v>2035</v>
      </c>
      <c r="F1718" s="6" t="str">
        <f t="shared" si="210"/>
        <v>*0.95</v>
      </c>
      <c r="H1718" t="s">
        <v>2592</v>
      </c>
      <c r="I1718" s="5" t="s">
        <v>57</v>
      </c>
      <c r="J1718">
        <v>2050</v>
      </c>
      <c r="K1718" s="38" t="str">
        <f t="shared" si="211"/>
        <v>*0.92</v>
      </c>
      <c r="P1718" s="32" t="s">
        <v>2592</v>
      </c>
      <c r="Q1718" s="42" t="s">
        <v>57</v>
      </c>
      <c r="R1718" s="32">
        <v>2035</v>
      </c>
      <c r="S1718" s="43" t="str">
        <f t="shared" si="212"/>
        <v>*0.95</v>
      </c>
      <c r="U1718" s="32" t="s">
        <v>2592</v>
      </c>
      <c r="V1718" s="42" t="s">
        <v>57</v>
      </c>
      <c r="W1718" s="32">
        <v>2050</v>
      </c>
      <c r="X1718" s="43" t="str">
        <f t="shared" si="213"/>
        <v>*0.92</v>
      </c>
      <c r="AC1718" s="33" t="s">
        <v>2592</v>
      </c>
      <c r="AD1718" s="44" t="s">
        <v>57</v>
      </c>
      <c r="AE1718" s="33">
        <v>2035</v>
      </c>
      <c r="AF1718" s="45" t="str">
        <f t="shared" si="214"/>
        <v>*0.93</v>
      </c>
      <c r="AG1718" s="43" t="str">
        <f t="shared" si="216"/>
        <v>REZoning_Sol-Win</v>
      </c>
      <c r="AI1718" s="33" t="s">
        <v>2592</v>
      </c>
      <c r="AJ1718" s="44" t="s">
        <v>57</v>
      </c>
      <c r="AK1718" s="33">
        <v>2050</v>
      </c>
      <c r="AL1718" s="45" t="str">
        <f t="shared" si="215"/>
        <v>*0.89</v>
      </c>
      <c r="AM1718" s="43" t="str">
        <f t="shared" si="217"/>
        <v>REZoning_Sol-Win</v>
      </c>
      <c r="AP1718" t="s">
        <v>2592</v>
      </c>
      <c r="AQ1718" t="s">
        <v>57</v>
      </c>
      <c r="AR1718">
        <v>2100</v>
      </c>
      <c r="AS1718" t="s">
        <v>937</v>
      </c>
      <c r="AT1718" t="s">
        <v>58</v>
      </c>
    </row>
    <row r="1719" ht="29" spans="1:46">
      <c r="A1719" s="31" t="s">
        <v>83</v>
      </c>
      <c r="C1719" t="s">
        <v>2593</v>
      </c>
      <c r="D1719" s="5" t="s">
        <v>57</v>
      </c>
      <c r="E1719">
        <v>2035</v>
      </c>
      <c r="F1719" s="6" t="str">
        <f t="shared" si="210"/>
        <v>*0.95</v>
      </c>
      <c r="H1719" t="s">
        <v>2593</v>
      </c>
      <c r="I1719" s="5" t="s">
        <v>57</v>
      </c>
      <c r="J1719">
        <v>2050</v>
      </c>
      <c r="K1719" s="38" t="str">
        <f t="shared" si="211"/>
        <v>*0.92</v>
      </c>
      <c r="P1719" s="32" t="s">
        <v>2593</v>
      </c>
      <c r="Q1719" s="42" t="s">
        <v>57</v>
      </c>
      <c r="R1719" s="32">
        <v>2035</v>
      </c>
      <c r="S1719" s="43" t="str">
        <f t="shared" si="212"/>
        <v>*0.95</v>
      </c>
      <c r="U1719" s="32" t="s">
        <v>2593</v>
      </c>
      <c r="V1719" s="42" t="s">
        <v>57</v>
      </c>
      <c r="W1719" s="32">
        <v>2050</v>
      </c>
      <c r="X1719" s="43" t="str">
        <f t="shared" si="213"/>
        <v>*0.92</v>
      </c>
      <c r="AC1719" s="33" t="s">
        <v>2593</v>
      </c>
      <c r="AD1719" s="44" t="s">
        <v>57</v>
      </c>
      <c r="AE1719" s="33">
        <v>2035</v>
      </c>
      <c r="AF1719" s="45" t="str">
        <f t="shared" si="214"/>
        <v>*0.93</v>
      </c>
      <c r="AG1719" s="43" t="str">
        <f t="shared" si="216"/>
        <v>REZoning_Sol-Win</v>
      </c>
      <c r="AI1719" s="33" t="s">
        <v>2593</v>
      </c>
      <c r="AJ1719" s="44" t="s">
        <v>57</v>
      </c>
      <c r="AK1719" s="33">
        <v>2050</v>
      </c>
      <c r="AL1719" s="45" t="str">
        <f t="shared" si="215"/>
        <v>*0.89</v>
      </c>
      <c r="AM1719" s="43" t="str">
        <f t="shared" si="217"/>
        <v>REZoning_Sol-Win</v>
      </c>
      <c r="AP1719" t="s">
        <v>2593</v>
      </c>
      <c r="AQ1719" t="s">
        <v>57</v>
      </c>
      <c r="AR1719">
        <v>2100</v>
      </c>
      <c r="AS1719" t="s">
        <v>937</v>
      </c>
      <c r="AT1719" t="s">
        <v>58</v>
      </c>
    </row>
    <row r="1720" ht="29" spans="1:46">
      <c r="A1720" s="31" t="s">
        <v>83</v>
      </c>
      <c r="C1720" t="s">
        <v>2594</v>
      </c>
      <c r="D1720" s="5" t="s">
        <v>57</v>
      </c>
      <c r="E1720">
        <v>2035</v>
      </c>
      <c r="F1720" s="6" t="str">
        <f t="shared" si="210"/>
        <v>*0.95</v>
      </c>
      <c r="H1720" t="s">
        <v>2594</v>
      </c>
      <c r="I1720" s="5" t="s">
        <v>57</v>
      </c>
      <c r="J1720">
        <v>2050</v>
      </c>
      <c r="K1720" s="38" t="str">
        <f t="shared" si="211"/>
        <v>*0.92</v>
      </c>
      <c r="P1720" s="32" t="s">
        <v>2594</v>
      </c>
      <c r="Q1720" s="42" t="s">
        <v>57</v>
      </c>
      <c r="R1720" s="32">
        <v>2035</v>
      </c>
      <c r="S1720" s="43" t="str">
        <f t="shared" si="212"/>
        <v>*0.95</v>
      </c>
      <c r="U1720" s="32" t="s">
        <v>2594</v>
      </c>
      <c r="V1720" s="42" t="s">
        <v>57</v>
      </c>
      <c r="W1720" s="32">
        <v>2050</v>
      </c>
      <c r="X1720" s="43" t="str">
        <f t="shared" si="213"/>
        <v>*0.92</v>
      </c>
      <c r="AC1720" s="33" t="s">
        <v>2594</v>
      </c>
      <c r="AD1720" s="44" t="s">
        <v>57</v>
      </c>
      <c r="AE1720" s="33">
        <v>2035</v>
      </c>
      <c r="AF1720" s="45" t="str">
        <f t="shared" si="214"/>
        <v>*0.93</v>
      </c>
      <c r="AG1720" s="43" t="str">
        <f t="shared" si="216"/>
        <v>REZoning_Sol-Win</v>
      </c>
      <c r="AI1720" s="33" t="s">
        <v>2594</v>
      </c>
      <c r="AJ1720" s="44" t="s">
        <v>57</v>
      </c>
      <c r="AK1720" s="33">
        <v>2050</v>
      </c>
      <c r="AL1720" s="45" t="str">
        <f t="shared" si="215"/>
        <v>*0.89</v>
      </c>
      <c r="AM1720" s="43" t="str">
        <f t="shared" si="217"/>
        <v>REZoning_Sol-Win</v>
      </c>
      <c r="AP1720" t="s">
        <v>2594</v>
      </c>
      <c r="AQ1720" t="s">
        <v>57</v>
      </c>
      <c r="AR1720">
        <v>2100</v>
      </c>
      <c r="AS1720" t="s">
        <v>937</v>
      </c>
      <c r="AT1720" t="s">
        <v>58</v>
      </c>
    </row>
    <row r="1721" ht="29" spans="1:46">
      <c r="A1721" s="31" t="s">
        <v>83</v>
      </c>
      <c r="C1721" t="s">
        <v>2595</v>
      </c>
      <c r="D1721" s="5" t="s">
        <v>57</v>
      </c>
      <c r="E1721">
        <v>2035</v>
      </c>
      <c r="F1721" s="6" t="str">
        <f t="shared" si="210"/>
        <v>*0.95</v>
      </c>
      <c r="H1721" t="s">
        <v>2595</v>
      </c>
      <c r="I1721" s="5" t="s">
        <v>57</v>
      </c>
      <c r="J1721">
        <v>2050</v>
      </c>
      <c r="K1721" s="38" t="str">
        <f t="shared" si="211"/>
        <v>*0.92</v>
      </c>
      <c r="P1721" s="32" t="s">
        <v>2595</v>
      </c>
      <c r="Q1721" s="42" t="s">
        <v>57</v>
      </c>
      <c r="R1721" s="32">
        <v>2035</v>
      </c>
      <c r="S1721" s="43" t="str">
        <f t="shared" si="212"/>
        <v>*0.95</v>
      </c>
      <c r="U1721" s="32" t="s">
        <v>2595</v>
      </c>
      <c r="V1721" s="42" t="s">
        <v>57</v>
      </c>
      <c r="W1721" s="32">
        <v>2050</v>
      </c>
      <c r="X1721" s="43" t="str">
        <f t="shared" si="213"/>
        <v>*0.92</v>
      </c>
      <c r="AC1721" s="33" t="s">
        <v>2595</v>
      </c>
      <c r="AD1721" s="44" t="s">
        <v>57</v>
      </c>
      <c r="AE1721" s="33">
        <v>2035</v>
      </c>
      <c r="AF1721" s="45" t="str">
        <f t="shared" si="214"/>
        <v>*0.93</v>
      </c>
      <c r="AG1721" s="43" t="str">
        <f t="shared" si="216"/>
        <v>REZoning_Sol-Win</v>
      </c>
      <c r="AI1721" s="33" t="s">
        <v>2595</v>
      </c>
      <c r="AJ1721" s="44" t="s">
        <v>57</v>
      </c>
      <c r="AK1721" s="33">
        <v>2050</v>
      </c>
      <c r="AL1721" s="45" t="str">
        <f t="shared" si="215"/>
        <v>*0.89</v>
      </c>
      <c r="AM1721" s="43" t="str">
        <f t="shared" si="217"/>
        <v>REZoning_Sol-Win</v>
      </c>
      <c r="AP1721" t="s">
        <v>2595</v>
      </c>
      <c r="AQ1721" t="s">
        <v>57</v>
      </c>
      <c r="AR1721">
        <v>2100</v>
      </c>
      <c r="AS1721" t="s">
        <v>937</v>
      </c>
      <c r="AT1721" t="s">
        <v>58</v>
      </c>
    </row>
    <row r="1722" ht="29" spans="1:46">
      <c r="A1722" s="31" t="s">
        <v>83</v>
      </c>
      <c r="C1722" t="s">
        <v>2596</v>
      </c>
      <c r="D1722" s="5" t="s">
        <v>57</v>
      </c>
      <c r="E1722">
        <v>2035</v>
      </c>
      <c r="F1722" s="6" t="str">
        <f t="shared" si="210"/>
        <v>*0.95</v>
      </c>
      <c r="H1722" t="s">
        <v>2596</v>
      </c>
      <c r="I1722" s="5" t="s">
        <v>57</v>
      </c>
      <c r="J1722">
        <v>2050</v>
      </c>
      <c r="K1722" s="38" t="str">
        <f t="shared" si="211"/>
        <v>*0.92</v>
      </c>
      <c r="P1722" s="32" t="s">
        <v>2596</v>
      </c>
      <c r="Q1722" s="42" t="s">
        <v>57</v>
      </c>
      <c r="R1722" s="32">
        <v>2035</v>
      </c>
      <c r="S1722" s="43" t="str">
        <f t="shared" si="212"/>
        <v>*0.95</v>
      </c>
      <c r="U1722" s="32" t="s">
        <v>2596</v>
      </c>
      <c r="V1722" s="42" t="s">
        <v>57</v>
      </c>
      <c r="W1722" s="32">
        <v>2050</v>
      </c>
      <c r="X1722" s="43" t="str">
        <f t="shared" si="213"/>
        <v>*0.92</v>
      </c>
      <c r="AC1722" s="33" t="s">
        <v>2596</v>
      </c>
      <c r="AD1722" s="44" t="s">
        <v>57</v>
      </c>
      <c r="AE1722" s="33">
        <v>2035</v>
      </c>
      <c r="AF1722" s="45" t="str">
        <f t="shared" si="214"/>
        <v>*0.93</v>
      </c>
      <c r="AG1722" s="43" t="str">
        <f t="shared" si="216"/>
        <v>REZoning_Sol-Win</v>
      </c>
      <c r="AI1722" s="33" t="s">
        <v>2596</v>
      </c>
      <c r="AJ1722" s="44" t="s">
        <v>57</v>
      </c>
      <c r="AK1722" s="33">
        <v>2050</v>
      </c>
      <c r="AL1722" s="45" t="str">
        <f t="shared" si="215"/>
        <v>*0.89</v>
      </c>
      <c r="AM1722" s="43" t="str">
        <f t="shared" si="217"/>
        <v>REZoning_Sol-Win</v>
      </c>
      <c r="AP1722" t="s">
        <v>2596</v>
      </c>
      <c r="AQ1722" t="s">
        <v>57</v>
      </c>
      <c r="AR1722">
        <v>2100</v>
      </c>
      <c r="AS1722" t="s">
        <v>937</v>
      </c>
      <c r="AT1722" t="s">
        <v>58</v>
      </c>
    </row>
    <row r="1723" ht="29" spans="1:46">
      <c r="A1723" s="31" t="s">
        <v>83</v>
      </c>
      <c r="C1723" t="s">
        <v>2597</v>
      </c>
      <c r="D1723" s="5" t="s">
        <v>57</v>
      </c>
      <c r="E1723">
        <v>2035</v>
      </c>
      <c r="F1723" s="6" t="str">
        <f t="shared" si="210"/>
        <v>*0.95</v>
      </c>
      <c r="H1723" t="s">
        <v>2597</v>
      </c>
      <c r="I1723" s="5" t="s">
        <v>57</v>
      </c>
      <c r="J1723">
        <v>2050</v>
      </c>
      <c r="K1723" s="38" t="str">
        <f t="shared" si="211"/>
        <v>*0.92</v>
      </c>
      <c r="P1723" s="32" t="s">
        <v>2597</v>
      </c>
      <c r="Q1723" s="42" t="s">
        <v>57</v>
      </c>
      <c r="R1723" s="32">
        <v>2035</v>
      </c>
      <c r="S1723" s="43" t="str">
        <f t="shared" si="212"/>
        <v>*0.95</v>
      </c>
      <c r="U1723" s="32" t="s">
        <v>2597</v>
      </c>
      <c r="V1723" s="42" t="s">
        <v>57</v>
      </c>
      <c r="W1723" s="32">
        <v>2050</v>
      </c>
      <c r="X1723" s="43" t="str">
        <f t="shared" si="213"/>
        <v>*0.92</v>
      </c>
      <c r="AC1723" s="33" t="s">
        <v>2597</v>
      </c>
      <c r="AD1723" s="44" t="s">
        <v>57</v>
      </c>
      <c r="AE1723" s="33">
        <v>2035</v>
      </c>
      <c r="AF1723" s="45" t="str">
        <f t="shared" si="214"/>
        <v>*0.93</v>
      </c>
      <c r="AG1723" s="43" t="str">
        <f t="shared" si="216"/>
        <v>REZoning_Sol-Win</v>
      </c>
      <c r="AI1723" s="33" t="s">
        <v>2597</v>
      </c>
      <c r="AJ1723" s="44" t="s">
        <v>57</v>
      </c>
      <c r="AK1723" s="33">
        <v>2050</v>
      </c>
      <c r="AL1723" s="45" t="str">
        <f t="shared" si="215"/>
        <v>*0.89</v>
      </c>
      <c r="AM1723" s="43" t="str">
        <f t="shared" si="217"/>
        <v>REZoning_Sol-Win</v>
      </c>
      <c r="AP1723" t="s">
        <v>2597</v>
      </c>
      <c r="AQ1723" t="s">
        <v>57</v>
      </c>
      <c r="AR1723">
        <v>2100</v>
      </c>
      <c r="AS1723" t="s">
        <v>937</v>
      </c>
      <c r="AT1723" t="s">
        <v>58</v>
      </c>
    </row>
    <row r="1724" ht="29" spans="1:46">
      <c r="A1724" s="31" t="s">
        <v>83</v>
      </c>
      <c r="C1724" t="s">
        <v>2598</v>
      </c>
      <c r="D1724" s="5" t="s">
        <v>57</v>
      </c>
      <c r="E1724">
        <v>2035</v>
      </c>
      <c r="F1724" s="6" t="str">
        <f t="shared" si="210"/>
        <v>*0.95</v>
      </c>
      <c r="H1724" t="s">
        <v>2598</v>
      </c>
      <c r="I1724" s="5" t="s">
        <v>57</v>
      </c>
      <c r="J1724">
        <v>2050</v>
      </c>
      <c r="K1724" s="38" t="str">
        <f t="shared" si="211"/>
        <v>*0.92</v>
      </c>
      <c r="P1724" s="32" t="s">
        <v>2598</v>
      </c>
      <c r="Q1724" s="42" t="s">
        <v>57</v>
      </c>
      <c r="R1724" s="32">
        <v>2035</v>
      </c>
      <c r="S1724" s="43" t="str">
        <f t="shared" si="212"/>
        <v>*0.95</v>
      </c>
      <c r="U1724" s="32" t="s">
        <v>2598</v>
      </c>
      <c r="V1724" s="42" t="s">
        <v>57</v>
      </c>
      <c r="W1724" s="32">
        <v>2050</v>
      </c>
      <c r="X1724" s="43" t="str">
        <f t="shared" si="213"/>
        <v>*0.92</v>
      </c>
      <c r="AC1724" s="33" t="s">
        <v>2598</v>
      </c>
      <c r="AD1724" s="44" t="s">
        <v>57</v>
      </c>
      <c r="AE1724" s="33">
        <v>2035</v>
      </c>
      <c r="AF1724" s="45" t="str">
        <f t="shared" si="214"/>
        <v>*0.93</v>
      </c>
      <c r="AG1724" s="43" t="str">
        <f t="shared" si="216"/>
        <v>REZoning_Sol-Win</v>
      </c>
      <c r="AI1724" s="33" t="s">
        <v>2598</v>
      </c>
      <c r="AJ1724" s="44" t="s">
        <v>57</v>
      </c>
      <c r="AK1724" s="33">
        <v>2050</v>
      </c>
      <c r="AL1724" s="45" t="str">
        <f t="shared" si="215"/>
        <v>*0.89</v>
      </c>
      <c r="AM1724" s="43" t="str">
        <f t="shared" si="217"/>
        <v>REZoning_Sol-Win</v>
      </c>
      <c r="AP1724" t="s">
        <v>2598</v>
      </c>
      <c r="AQ1724" t="s">
        <v>57</v>
      </c>
      <c r="AR1724">
        <v>2100</v>
      </c>
      <c r="AS1724" t="s">
        <v>937</v>
      </c>
      <c r="AT1724" t="s">
        <v>58</v>
      </c>
    </row>
    <row r="1725" ht="29" spans="1:46">
      <c r="A1725" s="31" t="s">
        <v>83</v>
      </c>
      <c r="C1725" t="s">
        <v>2599</v>
      </c>
      <c r="D1725" s="5" t="s">
        <v>57</v>
      </c>
      <c r="E1725">
        <v>2035</v>
      </c>
      <c r="F1725" s="6" t="str">
        <f t="shared" si="210"/>
        <v>*0.95</v>
      </c>
      <c r="H1725" t="s">
        <v>2599</v>
      </c>
      <c r="I1725" s="5" t="s">
        <v>57</v>
      </c>
      <c r="J1725">
        <v>2050</v>
      </c>
      <c r="K1725" s="38" t="str">
        <f t="shared" si="211"/>
        <v>*0.92</v>
      </c>
      <c r="P1725" s="32" t="s">
        <v>2599</v>
      </c>
      <c r="Q1725" s="42" t="s">
        <v>57</v>
      </c>
      <c r="R1725" s="32">
        <v>2035</v>
      </c>
      <c r="S1725" s="43" t="str">
        <f t="shared" si="212"/>
        <v>*0.95</v>
      </c>
      <c r="U1725" s="32" t="s">
        <v>2599</v>
      </c>
      <c r="V1725" s="42" t="s">
        <v>57</v>
      </c>
      <c r="W1725" s="32">
        <v>2050</v>
      </c>
      <c r="X1725" s="43" t="str">
        <f t="shared" si="213"/>
        <v>*0.92</v>
      </c>
      <c r="AC1725" s="33" t="s">
        <v>2599</v>
      </c>
      <c r="AD1725" s="44" t="s">
        <v>57</v>
      </c>
      <c r="AE1725" s="33">
        <v>2035</v>
      </c>
      <c r="AF1725" s="45" t="str">
        <f t="shared" si="214"/>
        <v>*0.93</v>
      </c>
      <c r="AG1725" s="43" t="str">
        <f t="shared" si="216"/>
        <v>REZoning_Sol-Win</v>
      </c>
      <c r="AI1725" s="33" t="s">
        <v>2599</v>
      </c>
      <c r="AJ1725" s="44" t="s">
        <v>57</v>
      </c>
      <c r="AK1725" s="33">
        <v>2050</v>
      </c>
      <c r="AL1725" s="45" t="str">
        <f t="shared" si="215"/>
        <v>*0.89</v>
      </c>
      <c r="AM1725" s="43" t="str">
        <f t="shared" si="217"/>
        <v>REZoning_Sol-Win</v>
      </c>
      <c r="AP1725" t="s">
        <v>2599</v>
      </c>
      <c r="AQ1725" t="s">
        <v>57</v>
      </c>
      <c r="AR1725">
        <v>2100</v>
      </c>
      <c r="AS1725" t="s">
        <v>937</v>
      </c>
      <c r="AT1725" t="s">
        <v>58</v>
      </c>
    </row>
    <row r="1726" ht="29" spans="1:46">
      <c r="A1726" s="31" t="s">
        <v>83</v>
      </c>
      <c r="C1726" t="s">
        <v>2600</v>
      </c>
      <c r="D1726" s="5" t="s">
        <v>57</v>
      </c>
      <c r="E1726">
        <v>2035</v>
      </c>
      <c r="F1726" s="6" t="str">
        <f t="shared" si="210"/>
        <v>*0.95</v>
      </c>
      <c r="H1726" t="s">
        <v>2600</v>
      </c>
      <c r="I1726" s="5" t="s">
        <v>57</v>
      </c>
      <c r="J1726">
        <v>2050</v>
      </c>
      <c r="K1726" s="38" t="str">
        <f t="shared" si="211"/>
        <v>*0.92</v>
      </c>
      <c r="P1726" s="32" t="s">
        <v>2600</v>
      </c>
      <c r="Q1726" s="42" t="s">
        <v>57</v>
      </c>
      <c r="R1726" s="32">
        <v>2035</v>
      </c>
      <c r="S1726" s="43" t="str">
        <f t="shared" si="212"/>
        <v>*0.95</v>
      </c>
      <c r="U1726" s="32" t="s">
        <v>2600</v>
      </c>
      <c r="V1726" s="42" t="s">
        <v>57</v>
      </c>
      <c r="W1726" s="32">
        <v>2050</v>
      </c>
      <c r="X1726" s="43" t="str">
        <f t="shared" si="213"/>
        <v>*0.92</v>
      </c>
      <c r="AC1726" s="33" t="s">
        <v>2600</v>
      </c>
      <c r="AD1726" s="44" t="s">
        <v>57</v>
      </c>
      <c r="AE1726" s="33">
        <v>2035</v>
      </c>
      <c r="AF1726" s="45" t="str">
        <f t="shared" si="214"/>
        <v>*0.93</v>
      </c>
      <c r="AG1726" s="43" t="str">
        <f t="shared" si="216"/>
        <v>REZoning_Sol-Win</v>
      </c>
      <c r="AI1726" s="33" t="s">
        <v>2600</v>
      </c>
      <c r="AJ1726" s="44" t="s">
        <v>57</v>
      </c>
      <c r="AK1726" s="33">
        <v>2050</v>
      </c>
      <c r="AL1726" s="45" t="str">
        <f t="shared" si="215"/>
        <v>*0.89</v>
      </c>
      <c r="AM1726" s="43" t="str">
        <f t="shared" si="217"/>
        <v>REZoning_Sol-Win</v>
      </c>
      <c r="AP1726" t="s">
        <v>2600</v>
      </c>
      <c r="AQ1726" t="s">
        <v>57</v>
      </c>
      <c r="AR1726">
        <v>2100</v>
      </c>
      <c r="AS1726" t="s">
        <v>937</v>
      </c>
      <c r="AT1726" t="s">
        <v>58</v>
      </c>
    </row>
    <row r="1727" ht="29" spans="1:46">
      <c r="A1727" s="31" t="s">
        <v>83</v>
      </c>
      <c r="C1727" t="s">
        <v>2601</v>
      </c>
      <c r="D1727" s="5" t="s">
        <v>57</v>
      </c>
      <c r="E1727">
        <v>2035</v>
      </c>
      <c r="F1727" s="6" t="str">
        <f t="shared" si="210"/>
        <v>*0.95</v>
      </c>
      <c r="H1727" t="s">
        <v>2601</v>
      </c>
      <c r="I1727" s="5" t="s">
        <v>57</v>
      </c>
      <c r="J1727">
        <v>2050</v>
      </c>
      <c r="K1727" s="38" t="str">
        <f t="shared" si="211"/>
        <v>*0.92</v>
      </c>
      <c r="P1727" s="32" t="s">
        <v>2601</v>
      </c>
      <c r="Q1727" s="42" t="s">
        <v>57</v>
      </c>
      <c r="R1727" s="32">
        <v>2035</v>
      </c>
      <c r="S1727" s="43" t="str">
        <f t="shared" si="212"/>
        <v>*0.95</v>
      </c>
      <c r="U1727" s="32" t="s">
        <v>2601</v>
      </c>
      <c r="V1727" s="42" t="s">
        <v>57</v>
      </c>
      <c r="W1727" s="32">
        <v>2050</v>
      </c>
      <c r="X1727" s="43" t="str">
        <f t="shared" si="213"/>
        <v>*0.92</v>
      </c>
      <c r="AC1727" s="33" t="s">
        <v>2601</v>
      </c>
      <c r="AD1727" s="44" t="s">
        <v>57</v>
      </c>
      <c r="AE1727" s="33">
        <v>2035</v>
      </c>
      <c r="AF1727" s="45" t="str">
        <f t="shared" si="214"/>
        <v>*0.93</v>
      </c>
      <c r="AG1727" s="43" t="str">
        <f t="shared" si="216"/>
        <v>REZoning_Sol-Win</v>
      </c>
      <c r="AI1727" s="33" t="s">
        <v>2601</v>
      </c>
      <c r="AJ1727" s="44" t="s">
        <v>57</v>
      </c>
      <c r="AK1727" s="33">
        <v>2050</v>
      </c>
      <c r="AL1727" s="45" t="str">
        <f t="shared" si="215"/>
        <v>*0.89</v>
      </c>
      <c r="AM1727" s="43" t="str">
        <f t="shared" si="217"/>
        <v>REZoning_Sol-Win</v>
      </c>
      <c r="AP1727" t="s">
        <v>2601</v>
      </c>
      <c r="AQ1727" t="s">
        <v>57</v>
      </c>
      <c r="AR1727">
        <v>2100</v>
      </c>
      <c r="AS1727" t="s">
        <v>937</v>
      </c>
      <c r="AT1727" t="s">
        <v>58</v>
      </c>
    </row>
    <row r="1728" ht="29" spans="1:46">
      <c r="A1728" s="31" t="s">
        <v>83</v>
      </c>
      <c r="C1728" t="s">
        <v>2602</v>
      </c>
      <c r="D1728" s="5" t="s">
        <v>57</v>
      </c>
      <c r="E1728">
        <v>2035</v>
      </c>
      <c r="F1728" s="6" t="str">
        <f t="shared" si="210"/>
        <v>*0.95</v>
      </c>
      <c r="H1728" t="s">
        <v>2602</v>
      </c>
      <c r="I1728" s="5" t="s">
        <v>57</v>
      </c>
      <c r="J1728">
        <v>2050</v>
      </c>
      <c r="K1728" s="38" t="str">
        <f t="shared" si="211"/>
        <v>*0.92</v>
      </c>
      <c r="P1728" s="32" t="s">
        <v>2602</v>
      </c>
      <c r="Q1728" s="42" t="s">
        <v>57</v>
      </c>
      <c r="R1728" s="32">
        <v>2035</v>
      </c>
      <c r="S1728" s="43" t="str">
        <f t="shared" si="212"/>
        <v>*0.95</v>
      </c>
      <c r="U1728" s="32" t="s">
        <v>2602</v>
      </c>
      <c r="V1728" s="42" t="s">
        <v>57</v>
      </c>
      <c r="W1728" s="32">
        <v>2050</v>
      </c>
      <c r="X1728" s="43" t="str">
        <f t="shared" si="213"/>
        <v>*0.92</v>
      </c>
      <c r="AC1728" s="33" t="s">
        <v>2602</v>
      </c>
      <c r="AD1728" s="44" t="s">
        <v>57</v>
      </c>
      <c r="AE1728" s="33">
        <v>2035</v>
      </c>
      <c r="AF1728" s="45" t="str">
        <f t="shared" si="214"/>
        <v>*0.93</v>
      </c>
      <c r="AG1728" s="43" t="str">
        <f t="shared" si="216"/>
        <v>REZoning_Sol-Win</v>
      </c>
      <c r="AI1728" s="33" t="s">
        <v>2602</v>
      </c>
      <c r="AJ1728" s="44" t="s">
        <v>57</v>
      </c>
      <c r="AK1728" s="33">
        <v>2050</v>
      </c>
      <c r="AL1728" s="45" t="str">
        <f t="shared" si="215"/>
        <v>*0.89</v>
      </c>
      <c r="AM1728" s="43" t="str">
        <f t="shared" si="217"/>
        <v>REZoning_Sol-Win</v>
      </c>
      <c r="AP1728" t="s">
        <v>2602</v>
      </c>
      <c r="AQ1728" t="s">
        <v>57</v>
      </c>
      <c r="AR1728">
        <v>2100</v>
      </c>
      <c r="AS1728" t="s">
        <v>937</v>
      </c>
      <c r="AT1728" t="s">
        <v>58</v>
      </c>
    </row>
    <row r="1729" ht="29" spans="1:46">
      <c r="A1729" s="31" t="s">
        <v>83</v>
      </c>
      <c r="C1729" t="s">
        <v>2603</v>
      </c>
      <c r="D1729" s="5" t="s">
        <v>57</v>
      </c>
      <c r="E1729">
        <v>2035</v>
      </c>
      <c r="F1729" s="6" t="str">
        <f t="shared" si="210"/>
        <v>*0.95</v>
      </c>
      <c r="H1729" t="s">
        <v>2603</v>
      </c>
      <c r="I1729" s="5" t="s">
        <v>57</v>
      </c>
      <c r="J1729">
        <v>2050</v>
      </c>
      <c r="K1729" s="38" t="str">
        <f t="shared" si="211"/>
        <v>*0.92</v>
      </c>
      <c r="P1729" s="32" t="s">
        <v>2603</v>
      </c>
      <c r="Q1729" s="42" t="s">
        <v>57</v>
      </c>
      <c r="R1729" s="32">
        <v>2035</v>
      </c>
      <c r="S1729" s="43" t="str">
        <f t="shared" si="212"/>
        <v>*0.95</v>
      </c>
      <c r="U1729" s="32" t="s">
        <v>2603</v>
      </c>
      <c r="V1729" s="42" t="s">
        <v>57</v>
      </c>
      <c r="W1729" s="32">
        <v>2050</v>
      </c>
      <c r="X1729" s="43" t="str">
        <f t="shared" si="213"/>
        <v>*0.92</v>
      </c>
      <c r="AC1729" s="33" t="s">
        <v>2603</v>
      </c>
      <c r="AD1729" s="44" t="s">
        <v>57</v>
      </c>
      <c r="AE1729" s="33">
        <v>2035</v>
      </c>
      <c r="AF1729" s="45" t="str">
        <f t="shared" si="214"/>
        <v>*0.93</v>
      </c>
      <c r="AG1729" s="43" t="str">
        <f t="shared" si="216"/>
        <v>REZoning_Sol-Win</v>
      </c>
      <c r="AI1729" s="33" t="s">
        <v>2603</v>
      </c>
      <c r="AJ1729" s="44" t="s">
        <v>57</v>
      </c>
      <c r="AK1729" s="33">
        <v>2050</v>
      </c>
      <c r="AL1729" s="45" t="str">
        <f t="shared" si="215"/>
        <v>*0.89</v>
      </c>
      <c r="AM1729" s="43" t="str">
        <f t="shared" si="217"/>
        <v>REZoning_Sol-Win</v>
      </c>
      <c r="AP1729" t="s">
        <v>2603</v>
      </c>
      <c r="AQ1729" t="s">
        <v>57</v>
      </c>
      <c r="AR1729">
        <v>2100</v>
      </c>
      <c r="AS1729" t="s">
        <v>937</v>
      </c>
      <c r="AT1729" t="s">
        <v>58</v>
      </c>
    </row>
    <row r="1730" ht="29" spans="1:46">
      <c r="A1730" s="31" t="s">
        <v>83</v>
      </c>
      <c r="C1730" t="s">
        <v>2604</v>
      </c>
      <c r="D1730" s="5" t="s">
        <v>57</v>
      </c>
      <c r="E1730">
        <v>2035</v>
      </c>
      <c r="F1730" s="6" t="str">
        <f t="shared" si="210"/>
        <v>*0.95</v>
      </c>
      <c r="H1730" t="s">
        <v>2604</v>
      </c>
      <c r="I1730" s="5" t="s">
        <v>57</v>
      </c>
      <c r="J1730">
        <v>2050</v>
      </c>
      <c r="K1730" s="38" t="str">
        <f t="shared" si="211"/>
        <v>*0.92</v>
      </c>
      <c r="P1730" s="32" t="s">
        <v>2604</v>
      </c>
      <c r="Q1730" s="42" t="s">
        <v>57</v>
      </c>
      <c r="R1730" s="32">
        <v>2035</v>
      </c>
      <c r="S1730" s="43" t="str">
        <f t="shared" si="212"/>
        <v>*0.95</v>
      </c>
      <c r="U1730" s="32" t="s">
        <v>2604</v>
      </c>
      <c r="V1730" s="42" t="s">
        <v>57</v>
      </c>
      <c r="W1730" s="32">
        <v>2050</v>
      </c>
      <c r="X1730" s="43" t="str">
        <f t="shared" si="213"/>
        <v>*0.92</v>
      </c>
      <c r="AC1730" s="33" t="s">
        <v>2604</v>
      </c>
      <c r="AD1730" s="44" t="s">
        <v>57</v>
      </c>
      <c r="AE1730" s="33">
        <v>2035</v>
      </c>
      <c r="AF1730" s="45" t="str">
        <f t="shared" si="214"/>
        <v>*0.93</v>
      </c>
      <c r="AG1730" s="43" t="str">
        <f t="shared" si="216"/>
        <v>REZoning_Sol-Win</v>
      </c>
      <c r="AI1730" s="33" t="s">
        <v>2604</v>
      </c>
      <c r="AJ1730" s="44" t="s">
        <v>57</v>
      </c>
      <c r="AK1730" s="33">
        <v>2050</v>
      </c>
      <c r="AL1730" s="45" t="str">
        <f t="shared" si="215"/>
        <v>*0.89</v>
      </c>
      <c r="AM1730" s="43" t="str">
        <f t="shared" si="217"/>
        <v>REZoning_Sol-Win</v>
      </c>
      <c r="AP1730" t="s">
        <v>2604</v>
      </c>
      <c r="AQ1730" t="s">
        <v>57</v>
      </c>
      <c r="AR1730">
        <v>2100</v>
      </c>
      <c r="AS1730" t="s">
        <v>937</v>
      </c>
      <c r="AT1730" t="s">
        <v>58</v>
      </c>
    </row>
    <row r="1731" ht="29" spans="1:46">
      <c r="A1731" s="31" t="s">
        <v>83</v>
      </c>
      <c r="C1731" t="s">
        <v>2605</v>
      </c>
      <c r="D1731" s="5" t="s">
        <v>57</v>
      </c>
      <c r="E1731">
        <v>2035</v>
      </c>
      <c r="F1731" s="6" t="str">
        <f t="shared" si="210"/>
        <v>*0.95</v>
      </c>
      <c r="H1731" t="s">
        <v>2605</v>
      </c>
      <c r="I1731" s="5" t="s">
        <v>57</v>
      </c>
      <c r="J1731">
        <v>2050</v>
      </c>
      <c r="K1731" s="38" t="str">
        <f t="shared" si="211"/>
        <v>*0.92</v>
      </c>
      <c r="P1731" s="32" t="s">
        <v>2605</v>
      </c>
      <c r="Q1731" s="42" t="s">
        <v>57</v>
      </c>
      <c r="R1731" s="32">
        <v>2035</v>
      </c>
      <c r="S1731" s="43" t="str">
        <f t="shared" si="212"/>
        <v>*0.95</v>
      </c>
      <c r="U1731" s="32" t="s">
        <v>2605</v>
      </c>
      <c r="V1731" s="42" t="s">
        <v>57</v>
      </c>
      <c r="W1731" s="32">
        <v>2050</v>
      </c>
      <c r="X1731" s="43" t="str">
        <f t="shared" si="213"/>
        <v>*0.92</v>
      </c>
      <c r="AC1731" s="33" t="s">
        <v>2605</v>
      </c>
      <c r="AD1731" s="44" t="s">
        <v>57</v>
      </c>
      <c r="AE1731" s="33">
        <v>2035</v>
      </c>
      <c r="AF1731" s="45" t="str">
        <f t="shared" si="214"/>
        <v>*0.93</v>
      </c>
      <c r="AG1731" s="43" t="str">
        <f t="shared" si="216"/>
        <v>REZoning_Sol-Win</v>
      </c>
      <c r="AI1731" s="33" t="s">
        <v>2605</v>
      </c>
      <c r="AJ1731" s="44" t="s">
        <v>57</v>
      </c>
      <c r="AK1731" s="33">
        <v>2050</v>
      </c>
      <c r="AL1731" s="45" t="str">
        <f t="shared" si="215"/>
        <v>*0.89</v>
      </c>
      <c r="AM1731" s="43" t="str">
        <f t="shared" si="217"/>
        <v>REZoning_Sol-Win</v>
      </c>
      <c r="AP1731" t="s">
        <v>2605</v>
      </c>
      <c r="AQ1731" t="s">
        <v>57</v>
      </c>
      <c r="AR1731">
        <v>2100</v>
      </c>
      <c r="AS1731" t="s">
        <v>937</v>
      </c>
      <c r="AT1731" t="s">
        <v>58</v>
      </c>
    </row>
    <row r="1732" ht="29" spans="1:46">
      <c r="A1732" s="31" t="s">
        <v>83</v>
      </c>
      <c r="C1732" t="s">
        <v>2606</v>
      </c>
      <c r="D1732" s="5" t="s">
        <v>57</v>
      </c>
      <c r="E1732">
        <v>2035</v>
      </c>
      <c r="F1732" s="6" t="str">
        <f t="shared" ref="F1732:F1795" si="218">"*"&amp;IF(AND(A1732="EU",E1732=2035),0.95,IF(AND(A1732="EU",E1732=2050),0.93,IF(AND(A1732="USA",E1732=2035),0.96,IF(AND(A1732="USA",E1732=2050),0.94,IF(AND(A1732="Japan",E1732=2035),0.94,IF(AND(A1732="Japan",E1732=2050),0.92,IF(AND(A1732="Russia",E1732=2035),0.95,IF(AND(A1732="Russia",E1732=2050),0.93,IF(AND(A1732="China",E1732=2035),0.94,IF(AND(A1732="China",E1732=2050),0.92,IF(AND(A1732="India",E1732=2035),0.95,IF(AND(A1732="India",E1732=2050),0.92,IF(AND(A1732="Middle East",E1732=2035),0.94,IF(AND(A1732="Middle East",E1732=2050),0.9,IF(AND(A1732="Africa",E1732=2035),0.94,IF(AND(A1732="Africa",E1732=2050),0.91,IF(AND(A1732="Brazil",E1732=2035),0.95,IF(AND(A1732="Brazil",E1732=2050),0.92,""))))))))))))))))))</f>
        <v>*0.95</v>
      </c>
      <c r="H1732" t="s">
        <v>2606</v>
      </c>
      <c r="I1732" s="5" t="s">
        <v>57</v>
      </c>
      <c r="J1732">
        <v>2050</v>
      </c>
      <c r="K1732" s="38" t="str">
        <f t="shared" ref="K1732:K1795" si="219">"*"&amp;IF(AND(A1732="EU",J1732=2035),0.95,IF(AND(A1732="EU",J1732=2050),0.93,IF(AND(A1732="USA",J1732=2035),0.96,IF(AND(A1732="USA",J1732=2050),0.94,IF(AND(A1732="Japan",J1732=2035),0.94,IF(AND(A1732="Japan",J1732=2050),0.92,IF(AND(A1732="Russia",J1732=2035),0.95,IF(AND(A1732="Russia",J1732=2050),0.93,IF(AND(A1732="China",J1732=2035),0.94,IF(AND(A1732="China",J1732=2050),0.92,IF(AND(A1732="India",J1732=2035),0.95,IF(AND(A1732="India",J1732=2050),0.92,IF(AND(A1732="Middle East",J1732=2035),0.94,IF(AND(A1732="Middle East",J1732=2050),0.9,IF(AND(A1732="Africa",J1732=2035),0.94,IF(AND(A1732="Africa",J1732=2050),0.91,IF(AND(A1732="Brazil",J1732=2035),0.95,IF(AND(A1732="Brazil",J1732=2050),0.92,""))))))))))))))))))</f>
        <v>*0.92</v>
      </c>
      <c r="P1732" s="32" t="s">
        <v>2606</v>
      </c>
      <c r="Q1732" s="42" t="s">
        <v>57</v>
      </c>
      <c r="R1732" s="32">
        <v>2035</v>
      </c>
      <c r="S1732" s="43" t="str">
        <f t="shared" ref="S1732:S1795" si="220">"*"&amp;IF(AND(A1732="EU",R1732=2035),0.95,IF(AND(A1732="EU",R1732=2050),0.93,IF(AND(A1732="USA",R1732=2035),0.96,IF(AND(A1732="USA",R1732=2050),0.93,IF(AND(A1732="Japan",R1732=2035),0.94,IF(AND(A1732="Japan",R1732=2050),0.92,IF(AND(A1732="Russia",R1732=2035),0.95,IF(AND(A1732="Russia",R1732=2050),0.91,IF(AND(A1732="China",R1732=2035),0.93,IF(AND(A1732="China",R1732=2050),0.92,IF(AND(A1732="India",R1732=2035),0.94,IF(AND(A1732="India",R1732=2050),0.91,IF(AND(A1732="Middle East",R1732=2035),0.92,IF(AND(A1732="Middle East",R1732=2050),0.89,IF(AND(A1732="Africa",R1732=2035),0.93,IF(AND(A1732="Africa",R1732=2050),0.9,IF(AND(A1732="Brazil",R1732=2035),0.95,IF(AND(A1732="Brazil",R1732=2050),0.92,""))))))))))))))))))</f>
        <v>*0.95</v>
      </c>
      <c r="U1732" s="32" t="s">
        <v>2606</v>
      </c>
      <c r="V1732" s="42" t="s">
        <v>57</v>
      </c>
      <c r="W1732" s="32">
        <v>2050</v>
      </c>
      <c r="X1732" s="43" t="str">
        <f t="shared" ref="X1732:X1795" si="221">"*"&amp;IF(AND(A1732="EU",W1732=2035),0.95,IF(AND(A1732="EU",W1732=2050),0.93,IF(AND(A1732="USA",W1732=2035),0.96,IF(AND(A1732="USA",W1732=2050),0.93,IF(AND(A1732="Japan",W1732=2035),0.94,IF(AND(A1732="Japan",W1732=2050),0.92,IF(AND(A1732="Russia",W1732=2035),0.95,IF(AND(A1732="Russia",W1732=2050),0.91,IF(AND(A1732="China",W1732=2035),0.93,IF(AND(A1732="China",W1732=2050),0.92,IF(AND(A1732="India",W1732=2035),0.94,IF(AND(A1732="India",W1732=2050),0.91,IF(AND(A1732="Middle East",W1732=2035),0.92,IF(AND(A1732="Middle East",W1732=2050),0.89,IF(AND(A1732="Africa",W1732=2035),0.93,IF(AND(A1732="Africa",W1732=2050),0.9,IF(AND(A1732="Brazil",W1732=2035),0.95,IF(AND(A1732="Brazil",W1732=2050),0.92,""))))))))))))))))))</f>
        <v>*0.92</v>
      </c>
      <c r="AC1732" s="33" t="s">
        <v>2606</v>
      </c>
      <c r="AD1732" s="44" t="s">
        <v>57</v>
      </c>
      <c r="AE1732" s="33">
        <v>2035</v>
      </c>
      <c r="AF1732" s="45" t="str">
        <f t="shared" ref="AF1732:AF1795" si="222">"*"&amp;IF(AND(A1732="EU",AE1732=2035),0.93,IF(AND(A1732="EU",AE1732=2050),0.9,IF(AND(A1732="USA",AE1732=2035),0.92,IF(AND(A1732="USA",AE1732=2050),0.89,IF(AND(A1732="Japan",AE1732=2035),0.92,IF(AND(A1732="Japan",AE1732=2050),0.89,IF(AND(A1732="Russia",AE1732=2035),0.91,IF(AND(A1732="Russia",AE1732=2050),0.86,IF(AND(A1732="China",AE1732=2035),0.91,IF(AND(A1732="China",AE1732=2050),0.87,IF(AND(A1732="India",AE1732=2035),0.92,IF(AND(A1732="India",AE1732=2050),0.87,IF(AND(A1732="Middle East",AE1732=2035),0.89,IF(AND(A1732="Middle East",AE1732=2050),0.84,IF(AND(A1732="Africa",AE1732=2035),0.9,IF(AND(A1732="Africa",AE1732=2050),0.86,IF(AND(A1732="Brazil",AE1732=2035),0.93,IF(AND(A1732="Brazil",AE1732=2050),0.89,""))))))))))))))))))</f>
        <v>*0.93</v>
      </c>
      <c r="AG1732" s="43" t="str">
        <f t="shared" si="216"/>
        <v>REZoning_Sol-Win</v>
      </c>
      <c r="AI1732" s="33" t="s">
        <v>2606</v>
      </c>
      <c r="AJ1732" s="44" t="s">
        <v>57</v>
      </c>
      <c r="AK1732" s="33">
        <v>2050</v>
      </c>
      <c r="AL1732" s="45" t="str">
        <f t="shared" ref="AL1732:AL1795" si="223">"*"&amp;IF(AND(A1732="EU",AK1732=2035),0.93,IF(AND(A1732="EU",AK1732=2050),0.9,IF(AND(A1732="USA",AK1732=2035),0.92,IF(AND(A1732="USA",AK1732=2050),0.89,IF(AND(A1732="Japan",AK1732=2035),0.92,IF(AND(A1732="Japan",AK1732=2050),0.89,IF(AND(A1732="Russia",AK1732=2035),0.91,IF(AND(A1732="Russia",AK1732=2050),0.86,IF(AND(A1732="China",AK1732=2035),0.91,IF(AND(A1732="China",AK1732=2050),0.87,IF(AND(A1732="India",AK1732=2035),0.92,IF(AND(A1732="India",AK1732=2050),0.87,IF(AND(A1732="Middle East",AK1732=2035),0.89,IF(AND(A1732="Middle East",AK1732=2050),0.84,IF(AND(A1732="Africa",AK1732=2035),0.9,IF(AND(A1732="Africa",AK1732=2050),0.86,IF(AND(A1732="Brazil",AK1732=2035),0.93,IF(AND(A1732="Brazil",AK1732=2050),0.89,""))))))))))))))))))</f>
        <v>*0.89</v>
      </c>
      <c r="AM1732" s="43" t="str">
        <f t="shared" si="217"/>
        <v>REZoning_Sol-Win</v>
      </c>
      <c r="AP1732" t="s">
        <v>2606</v>
      </c>
      <c r="AQ1732" t="s">
        <v>57</v>
      </c>
      <c r="AR1732">
        <v>2100</v>
      </c>
      <c r="AS1732" t="s">
        <v>937</v>
      </c>
      <c r="AT1732" t="s">
        <v>58</v>
      </c>
    </row>
    <row r="1733" ht="29" spans="1:46">
      <c r="A1733" s="31" t="s">
        <v>83</v>
      </c>
      <c r="C1733" t="s">
        <v>2607</v>
      </c>
      <c r="D1733" s="5" t="s">
        <v>57</v>
      </c>
      <c r="E1733">
        <v>2035</v>
      </c>
      <c r="F1733" s="6" t="str">
        <f t="shared" si="218"/>
        <v>*0.95</v>
      </c>
      <c r="H1733" t="s">
        <v>2607</v>
      </c>
      <c r="I1733" s="5" t="s">
        <v>57</v>
      </c>
      <c r="J1733">
        <v>2050</v>
      </c>
      <c r="K1733" s="38" t="str">
        <f t="shared" si="219"/>
        <v>*0.92</v>
      </c>
      <c r="P1733" s="32" t="s">
        <v>2607</v>
      </c>
      <c r="Q1733" s="42" t="s">
        <v>57</v>
      </c>
      <c r="R1733" s="32">
        <v>2035</v>
      </c>
      <c r="S1733" s="43" t="str">
        <f t="shared" si="220"/>
        <v>*0.95</v>
      </c>
      <c r="U1733" s="32" t="s">
        <v>2607</v>
      </c>
      <c r="V1733" s="42" t="s">
        <v>57</v>
      </c>
      <c r="W1733" s="32">
        <v>2050</v>
      </c>
      <c r="X1733" s="43" t="str">
        <f t="shared" si="221"/>
        <v>*0.92</v>
      </c>
      <c r="AC1733" s="33" t="s">
        <v>2607</v>
      </c>
      <c r="AD1733" s="44" t="s">
        <v>57</v>
      </c>
      <c r="AE1733" s="33">
        <v>2035</v>
      </c>
      <c r="AF1733" s="45" t="str">
        <f t="shared" si="222"/>
        <v>*0.93</v>
      </c>
      <c r="AG1733" s="43" t="str">
        <f t="shared" si="216"/>
        <v>REZoning_Sol-Win</v>
      </c>
      <c r="AI1733" s="33" t="s">
        <v>2607</v>
      </c>
      <c r="AJ1733" s="44" t="s">
        <v>57</v>
      </c>
      <c r="AK1733" s="33">
        <v>2050</v>
      </c>
      <c r="AL1733" s="45" t="str">
        <f t="shared" si="223"/>
        <v>*0.89</v>
      </c>
      <c r="AM1733" s="43" t="str">
        <f t="shared" si="217"/>
        <v>REZoning_Sol-Win</v>
      </c>
      <c r="AP1733" t="s">
        <v>2607</v>
      </c>
      <c r="AQ1733" t="s">
        <v>57</v>
      </c>
      <c r="AR1733">
        <v>2100</v>
      </c>
      <c r="AS1733" t="s">
        <v>937</v>
      </c>
      <c r="AT1733" t="s">
        <v>58</v>
      </c>
    </row>
    <row r="1734" ht="29" spans="1:46">
      <c r="A1734" s="31" t="s">
        <v>83</v>
      </c>
      <c r="C1734" t="s">
        <v>2608</v>
      </c>
      <c r="D1734" s="5" t="s">
        <v>57</v>
      </c>
      <c r="E1734">
        <v>2035</v>
      </c>
      <c r="F1734" s="6" t="str">
        <f t="shared" si="218"/>
        <v>*0.95</v>
      </c>
      <c r="H1734" t="s">
        <v>2608</v>
      </c>
      <c r="I1734" s="5" t="s">
        <v>57</v>
      </c>
      <c r="J1734">
        <v>2050</v>
      </c>
      <c r="K1734" s="38" t="str">
        <f t="shared" si="219"/>
        <v>*0.92</v>
      </c>
      <c r="P1734" s="32" t="s">
        <v>2608</v>
      </c>
      <c r="Q1734" s="42" t="s">
        <v>57</v>
      </c>
      <c r="R1734" s="32">
        <v>2035</v>
      </c>
      <c r="S1734" s="43" t="str">
        <f t="shared" si="220"/>
        <v>*0.95</v>
      </c>
      <c r="U1734" s="32" t="s">
        <v>2608</v>
      </c>
      <c r="V1734" s="42" t="s">
        <v>57</v>
      </c>
      <c r="W1734" s="32">
        <v>2050</v>
      </c>
      <c r="X1734" s="43" t="str">
        <f t="shared" si="221"/>
        <v>*0.92</v>
      </c>
      <c r="AC1734" s="33" t="s">
        <v>2608</v>
      </c>
      <c r="AD1734" s="44" t="s">
        <v>57</v>
      </c>
      <c r="AE1734" s="33">
        <v>2035</v>
      </c>
      <c r="AF1734" s="45" t="str">
        <f t="shared" si="222"/>
        <v>*0.93</v>
      </c>
      <c r="AG1734" s="43" t="str">
        <f t="shared" si="216"/>
        <v>REZoning_Sol-Win</v>
      </c>
      <c r="AI1734" s="33" t="s">
        <v>2608</v>
      </c>
      <c r="AJ1734" s="44" t="s">
        <v>57</v>
      </c>
      <c r="AK1734" s="33">
        <v>2050</v>
      </c>
      <c r="AL1734" s="45" t="str">
        <f t="shared" si="223"/>
        <v>*0.89</v>
      </c>
      <c r="AM1734" s="43" t="str">
        <f t="shared" si="217"/>
        <v>REZoning_Sol-Win</v>
      </c>
      <c r="AP1734" t="s">
        <v>2608</v>
      </c>
      <c r="AQ1734" t="s">
        <v>57</v>
      </c>
      <c r="AR1734">
        <v>2100</v>
      </c>
      <c r="AS1734" t="s">
        <v>937</v>
      </c>
      <c r="AT1734" t="s">
        <v>58</v>
      </c>
    </row>
    <row r="1735" ht="29" spans="1:46">
      <c r="A1735" s="31" t="s">
        <v>83</v>
      </c>
      <c r="C1735" t="s">
        <v>2609</v>
      </c>
      <c r="D1735" s="5" t="s">
        <v>57</v>
      </c>
      <c r="E1735">
        <v>2035</v>
      </c>
      <c r="F1735" s="6" t="str">
        <f t="shared" si="218"/>
        <v>*0.95</v>
      </c>
      <c r="H1735" t="s">
        <v>2609</v>
      </c>
      <c r="I1735" s="5" t="s">
        <v>57</v>
      </c>
      <c r="J1735">
        <v>2050</v>
      </c>
      <c r="K1735" s="38" t="str">
        <f t="shared" si="219"/>
        <v>*0.92</v>
      </c>
      <c r="P1735" s="32" t="s">
        <v>2609</v>
      </c>
      <c r="Q1735" s="42" t="s">
        <v>57</v>
      </c>
      <c r="R1735" s="32">
        <v>2035</v>
      </c>
      <c r="S1735" s="43" t="str">
        <f t="shared" si="220"/>
        <v>*0.95</v>
      </c>
      <c r="U1735" s="32" t="s">
        <v>2609</v>
      </c>
      <c r="V1735" s="42" t="s">
        <v>57</v>
      </c>
      <c r="W1735" s="32">
        <v>2050</v>
      </c>
      <c r="X1735" s="43" t="str">
        <f t="shared" si="221"/>
        <v>*0.92</v>
      </c>
      <c r="AC1735" s="33" t="s">
        <v>2609</v>
      </c>
      <c r="AD1735" s="44" t="s">
        <v>57</v>
      </c>
      <c r="AE1735" s="33">
        <v>2035</v>
      </c>
      <c r="AF1735" s="45" t="str">
        <f t="shared" si="222"/>
        <v>*0.93</v>
      </c>
      <c r="AG1735" s="43" t="str">
        <f t="shared" si="216"/>
        <v>REZoning_Sol-Win</v>
      </c>
      <c r="AI1735" s="33" t="s">
        <v>2609</v>
      </c>
      <c r="AJ1735" s="44" t="s">
        <v>57</v>
      </c>
      <c r="AK1735" s="33">
        <v>2050</v>
      </c>
      <c r="AL1735" s="45" t="str">
        <f t="shared" si="223"/>
        <v>*0.89</v>
      </c>
      <c r="AM1735" s="43" t="str">
        <f t="shared" si="217"/>
        <v>REZoning_Sol-Win</v>
      </c>
      <c r="AP1735" t="s">
        <v>2609</v>
      </c>
      <c r="AQ1735" t="s">
        <v>57</v>
      </c>
      <c r="AR1735">
        <v>2100</v>
      </c>
      <c r="AS1735" t="s">
        <v>937</v>
      </c>
      <c r="AT1735" t="s">
        <v>58</v>
      </c>
    </row>
    <row r="1736" ht="29" spans="1:46">
      <c r="A1736" s="31" t="s">
        <v>83</v>
      </c>
      <c r="C1736" t="s">
        <v>2610</v>
      </c>
      <c r="D1736" s="5" t="s">
        <v>57</v>
      </c>
      <c r="E1736">
        <v>2035</v>
      </c>
      <c r="F1736" s="6" t="str">
        <f t="shared" si="218"/>
        <v>*0.95</v>
      </c>
      <c r="H1736" t="s">
        <v>2610</v>
      </c>
      <c r="I1736" s="5" t="s">
        <v>57</v>
      </c>
      <c r="J1736">
        <v>2050</v>
      </c>
      <c r="K1736" s="38" t="str">
        <f t="shared" si="219"/>
        <v>*0.92</v>
      </c>
      <c r="P1736" s="32" t="s">
        <v>2610</v>
      </c>
      <c r="Q1736" s="42" t="s">
        <v>57</v>
      </c>
      <c r="R1736" s="32">
        <v>2035</v>
      </c>
      <c r="S1736" s="43" t="str">
        <f t="shared" si="220"/>
        <v>*0.95</v>
      </c>
      <c r="U1736" s="32" t="s">
        <v>2610</v>
      </c>
      <c r="V1736" s="42" t="s">
        <v>57</v>
      </c>
      <c r="W1736" s="32">
        <v>2050</v>
      </c>
      <c r="X1736" s="43" t="str">
        <f t="shared" si="221"/>
        <v>*0.92</v>
      </c>
      <c r="AC1736" s="33" t="s">
        <v>2610</v>
      </c>
      <c r="AD1736" s="44" t="s">
        <v>57</v>
      </c>
      <c r="AE1736" s="33">
        <v>2035</v>
      </c>
      <c r="AF1736" s="45" t="str">
        <f t="shared" si="222"/>
        <v>*0.93</v>
      </c>
      <c r="AG1736" s="43" t="str">
        <f t="shared" si="216"/>
        <v>REZoning_Sol-Win</v>
      </c>
      <c r="AI1736" s="33" t="s">
        <v>2610</v>
      </c>
      <c r="AJ1736" s="44" t="s">
        <v>57</v>
      </c>
      <c r="AK1736" s="33">
        <v>2050</v>
      </c>
      <c r="AL1736" s="45" t="str">
        <f t="shared" si="223"/>
        <v>*0.89</v>
      </c>
      <c r="AM1736" s="43" t="str">
        <f t="shared" si="217"/>
        <v>REZoning_Sol-Win</v>
      </c>
      <c r="AP1736" t="s">
        <v>2610</v>
      </c>
      <c r="AQ1736" t="s">
        <v>57</v>
      </c>
      <c r="AR1736">
        <v>2100</v>
      </c>
      <c r="AS1736" t="s">
        <v>937</v>
      </c>
      <c r="AT1736" t="s">
        <v>58</v>
      </c>
    </row>
    <row r="1737" ht="29" spans="1:46">
      <c r="A1737" s="31" t="s">
        <v>83</v>
      </c>
      <c r="C1737" t="s">
        <v>2611</v>
      </c>
      <c r="D1737" s="5" t="s">
        <v>57</v>
      </c>
      <c r="E1737">
        <v>2035</v>
      </c>
      <c r="F1737" s="6" t="str">
        <f t="shared" si="218"/>
        <v>*0.95</v>
      </c>
      <c r="H1737" t="s">
        <v>2611</v>
      </c>
      <c r="I1737" s="5" t="s">
        <v>57</v>
      </c>
      <c r="J1737">
        <v>2050</v>
      </c>
      <c r="K1737" s="38" t="str">
        <f t="shared" si="219"/>
        <v>*0.92</v>
      </c>
      <c r="P1737" s="32" t="s">
        <v>2611</v>
      </c>
      <c r="Q1737" s="42" t="s">
        <v>57</v>
      </c>
      <c r="R1737" s="32">
        <v>2035</v>
      </c>
      <c r="S1737" s="43" t="str">
        <f t="shared" si="220"/>
        <v>*0.95</v>
      </c>
      <c r="U1737" s="32" t="s">
        <v>2611</v>
      </c>
      <c r="V1737" s="42" t="s">
        <v>57</v>
      </c>
      <c r="W1737" s="32">
        <v>2050</v>
      </c>
      <c r="X1737" s="43" t="str">
        <f t="shared" si="221"/>
        <v>*0.92</v>
      </c>
      <c r="AC1737" s="33" t="s">
        <v>2611</v>
      </c>
      <c r="AD1737" s="44" t="s">
        <v>57</v>
      </c>
      <c r="AE1737" s="33">
        <v>2035</v>
      </c>
      <c r="AF1737" s="45" t="str">
        <f t="shared" si="222"/>
        <v>*0.93</v>
      </c>
      <c r="AG1737" s="43" t="str">
        <f t="shared" ref="AG1737:AG1800" si="224">AG1736</f>
        <v>REZoning_Sol-Win</v>
      </c>
      <c r="AI1737" s="33" t="s">
        <v>2611</v>
      </c>
      <c r="AJ1737" s="44" t="s">
        <v>57</v>
      </c>
      <c r="AK1737" s="33">
        <v>2050</v>
      </c>
      <c r="AL1737" s="45" t="str">
        <f t="shared" si="223"/>
        <v>*0.89</v>
      </c>
      <c r="AM1737" s="43" t="str">
        <f t="shared" si="217"/>
        <v>REZoning_Sol-Win</v>
      </c>
      <c r="AP1737" t="s">
        <v>2611</v>
      </c>
      <c r="AQ1737" t="s">
        <v>57</v>
      </c>
      <c r="AR1737">
        <v>2100</v>
      </c>
      <c r="AS1737" t="s">
        <v>937</v>
      </c>
      <c r="AT1737" t="s">
        <v>58</v>
      </c>
    </row>
    <row r="1738" ht="29" spans="1:46">
      <c r="A1738" s="31" t="s">
        <v>83</v>
      </c>
      <c r="C1738" t="s">
        <v>2612</v>
      </c>
      <c r="D1738" s="5" t="s">
        <v>57</v>
      </c>
      <c r="E1738">
        <v>2035</v>
      </c>
      <c r="F1738" s="6" t="str">
        <f t="shared" si="218"/>
        <v>*0.95</v>
      </c>
      <c r="H1738" t="s">
        <v>2612</v>
      </c>
      <c r="I1738" s="5" t="s">
        <v>57</v>
      </c>
      <c r="J1738">
        <v>2050</v>
      </c>
      <c r="K1738" s="38" t="str">
        <f t="shared" si="219"/>
        <v>*0.92</v>
      </c>
      <c r="P1738" s="32" t="s">
        <v>2612</v>
      </c>
      <c r="Q1738" s="42" t="s">
        <v>57</v>
      </c>
      <c r="R1738" s="32">
        <v>2035</v>
      </c>
      <c r="S1738" s="43" t="str">
        <f t="shared" si="220"/>
        <v>*0.95</v>
      </c>
      <c r="U1738" s="32" t="s">
        <v>2612</v>
      </c>
      <c r="V1738" s="42" t="s">
        <v>57</v>
      </c>
      <c r="W1738" s="32">
        <v>2050</v>
      </c>
      <c r="X1738" s="43" t="str">
        <f t="shared" si="221"/>
        <v>*0.92</v>
      </c>
      <c r="AC1738" s="33" t="s">
        <v>2612</v>
      </c>
      <c r="AD1738" s="44" t="s">
        <v>57</v>
      </c>
      <c r="AE1738" s="33">
        <v>2035</v>
      </c>
      <c r="AF1738" s="45" t="str">
        <f t="shared" si="222"/>
        <v>*0.93</v>
      </c>
      <c r="AG1738" s="43" t="str">
        <f t="shared" si="224"/>
        <v>REZoning_Sol-Win</v>
      </c>
      <c r="AI1738" s="33" t="s">
        <v>2612</v>
      </c>
      <c r="AJ1738" s="44" t="s">
        <v>57</v>
      </c>
      <c r="AK1738" s="33">
        <v>2050</v>
      </c>
      <c r="AL1738" s="45" t="str">
        <f t="shared" si="223"/>
        <v>*0.89</v>
      </c>
      <c r="AM1738" s="43" t="str">
        <f t="shared" ref="AM1738:AM1801" si="225">AM1737</f>
        <v>REZoning_Sol-Win</v>
      </c>
      <c r="AP1738" t="s">
        <v>2612</v>
      </c>
      <c r="AQ1738" t="s">
        <v>57</v>
      </c>
      <c r="AR1738">
        <v>2100</v>
      </c>
      <c r="AS1738" t="s">
        <v>937</v>
      </c>
      <c r="AT1738" t="s">
        <v>58</v>
      </c>
    </row>
    <row r="1739" ht="29" spans="1:46">
      <c r="A1739" s="31" t="s">
        <v>83</v>
      </c>
      <c r="C1739" t="s">
        <v>2613</v>
      </c>
      <c r="D1739" s="5" t="s">
        <v>57</v>
      </c>
      <c r="E1739">
        <v>2035</v>
      </c>
      <c r="F1739" s="6" t="str">
        <f t="shared" si="218"/>
        <v>*0.95</v>
      </c>
      <c r="H1739" t="s">
        <v>2613</v>
      </c>
      <c r="I1739" s="5" t="s">
        <v>57</v>
      </c>
      <c r="J1739">
        <v>2050</v>
      </c>
      <c r="K1739" s="38" t="str">
        <f t="shared" si="219"/>
        <v>*0.92</v>
      </c>
      <c r="P1739" s="32" t="s">
        <v>2613</v>
      </c>
      <c r="Q1739" s="42" t="s">
        <v>57</v>
      </c>
      <c r="R1739" s="32">
        <v>2035</v>
      </c>
      <c r="S1739" s="43" t="str">
        <f t="shared" si="220"/>
        <v>*0.95</v>
      </c>
      <c r="U1739" s="32" t="s">
        <v>2613</v>
      </c>
      <c r="V1739" s="42" t="s">
        <v>57</v>
      </c>
      <c r="W1739" s="32">
        <v>2050</v>
      </c>
      <c r="X1739" s="43" t="str">
        <f t="shared" si="221"/>
        <v>*0.92</v>
      </c>
      <c r="AC1739" s="33" t="s">
        <v>2613</v>
      </c>
      <c r="AD1739" s="44" t="s">
        <v>57</v>
      </c>
      <c r="AE1739" s="33">
        <v>2035</v>
      </c>
      <c r="AF1739" s="45" t="str">
        <f t="shared" si="222"/>
        <v>*0.93</v>
      </c>
      <c r="AG1739" s="43" t="str">
        <f t="shared" si="224"/>
        <v>REZoning_Sol-Win</v>
      </c>
      <c r="AI1739" s="33" t="s">
        <v>2613</v>
      </c>
      <c r="AJ1739" s="44" t="s">
        <v>57</v>
      </c>
      <c r="AK1739" s="33">
        <v>2050</v>
      </c>
      <c r="AL1739" s="45" t="str">
        <f t="shared" si="223"/>
        <v>*0.89</v>
      </c>
      <c r="AM1739" s="43" t="str">
        <f t="shared" si="225"/>
        <v>REZoning_Sol-Win</v>
      </c>
      <c r="AP1739" t="s">
        <v>2613</v>
      </c>
      <c r="AQ1739" t="s">
        <v>57</v>
      </c>
      <c r="AR1739">
        <v>2100</v>
      </c>
      <c r="AS1739" t="s">
        <v>937</v>
      </c>
      <c r="AT1739" t="s">
        <v>58</v>
      </c>
    </row>
    <row r="1740" ht="29" spans="1:46">
      <c r="A1740" s="31" t="s">
        <v>83</v>
      </c>
      <c r="C1740" t="s">
        <v>2614</v>
      </c>
      <c r="D1740" s="5" t="s">
        <v>57</v>
      </c>
      <c r="E1740">
        <v>2035</v>
      </c>
      <c r="F1740" s="6" t="str">
        <f t="shared" si="218"/>
        <v>*0.95</v>
      </c>
      <c r="H1740" t="s">
        <v>2614</v>
      </c>
      <c r="I1740" s="5" t="s">
        <v>57</v>
      </c>
      <c r="J1740">
        <v>2050</v>
      </c>
      <c r="K1740" s="38" t="str">
        <f t="shared" si="219"/>
        <v>*0.92</v>
      </c>
      <c r="P1740" s="32" t="s">
        <v>2614</v>
      </c>
      <c r="Q1740" s="42" t="s">
        <v>57</v>
      </c>
      <c r="R1740" s="32">
        <v>2035</v>
      </c>
      <c r="S1740" s="43" t="str">
        <f t="shared" si="220"/>
        <v>*0.95</v>
      </c>
      <c r="U1740" s="32" t="s">
        <v>2614</v>
      </c>
      <c r="V1740" s="42" t="s">
        <v>57</v>
      </c>
      <c r="W1740" s="32">
        <v>2050</v>
      </c>
      <c r="X1740" s="43" t="str">
        <f t="shared" si="221"/>
        <v>*0.92</v>
      </c>
      <c r="AC1740" s="33" t="s">
        <v>2614</v>
      </c>
      <c r="AD1740" s="44" t="s">
        <v>57</v>
      </c>
      <c r="AE1740" s="33">
        <v>2035</v>
      </c>
      <c r="AF1740" s="45" t="str">
        <f t="shared" si="222"/>
        <v>*0.93</v>
      </c>
      <c r="AG1740" s="43" t="str">
        <f t="shared" si="224"/>
        <v>REZoning_Sol-Win</v>
      </c>
      <c r="AI1740" s="33" t="s">
        <v>2614</v>
      </c>
      <c r="AJ1740" s="44" t="s">
        <v>57</v>
      </c>
      <c r="AK1740" s="33">
        <v>2050</v>
      </c>
      <c r="AL1740" s="45" t="str">
        <f t="shared" si="223"/>
        <v>*0.89</v>
      </c>
      <c r="AM1740" s="43" t="str">
        <f t="shared" si="225"/>
        <v>REZoning_Sol-Win</v>
      </c>
      <c r="AP1740" t="s">
        <v>2614</v>
      </c>
      <c r="AQ1740" t="s">
        <v>57</v>
      </c>
      <c r="AR1740">
        <v>2100</v>
      </c>
      <c r="AS1740" t="s">
        <v>937</v>
      </c>
      <c r="AT1740" t="s">
        <v>58</v>
      </c>
    </row>
    <row r="1741" ht="29" spans="1:46">
      <c r="A1741" s="31" t="s">
        <v>83</v>
      </c>
      <c r="C1741" t="s">
        <v>2615</v>
      </c>
      <c r="D1741" s="5" t="s">
        <v>57</v>
      </c>
      <c r="E1741">
        <v>2035</v>
      </c>
      <c r="F1741" s="6" t="str">
        <f t="shared" si="218"/>
        <v>*0.95</v>
      </c>
      <c r="H1741" t="s">
        <v>2615</v>
      </c>
      <c r="I1741" s="5" t="s">
        <v>57</v>
      </c>
      <c r="J1741">
        <v>2050</v>
      </c>
      <c r="K1741" s="38" t="str">
        <f t="shared" si="219"/>
        <v>*0.92</v>
      </c>
      <c r="P1741" s="32" t="s">
        <v>2615</v>
      </c>
      <c r="Q1741" s="42" t="s">
        <v>57</v>
      </c>
      <c r="R1741" s="32">
        <v>2035</v>
      </c>
      <c r="S1741" s="43" t="str">
        <f t="shared" si="220"/>
        <v>*0.95</v>
      </c>
      <c r="U1741" s="32" t="s">
        <v>2615</v>
      </c>
      <c r="V1741" s="42" t="s">
        <v>57</v>
      </c>
      <c r="W1741" s="32">
        <v>2050</v>
      </c>
      <c r="X1741" s="43" t="str">
        <f t="shared" si="221"/>
        <v>*0.92</v>
      </c>
      <c r="AC1741" s="33" t="s">
        <v>2615</v>
      </c>
      <c r="AD1741" s="44" t="s">
        <v>57</v>
      </c>
      <c r="AE1741" s="33">
        <v>2035</v>
      </c>
      <c r="AF1741" s="45" t="str">
        <f t="shared" si="222"/>
        <v>*0.93</v>
      </c>
      <c r="AG1741" s="43" t="str">
        <f t="shared" si="224"/>
        <v>REZoning_Sol-Win</v>
      </c>
      <c r="AI1741" s="33" t="s">
        <v>2615</v>
      </c>
      <c r="AJ1741" s="44" t="s">
        <v>57</v>
      </c>
      <c r="AK1741" s="33">
        <v>2050</v>
      </c>
      <c r="AL1741" s="45" t="str">
        <f t="shared" si="223"/>
        <v>*0.89</v>
      </c>
      <c r="AM1741" s="43" t="str">
        <f t="shared" si="225"/>
        <v>REZoning_Sol-Win</v>
      </c>
      <c r="AP1741" t="s">
        <v>2615</v>
      </c>
      <c r="AQ1741" t="s">
        <v>57</v>
      </c>
      <c r="AR1741">
        <v>2100</v>
      </c>
      <c r="AS1741" t="s">
        <v>937</v>
      </c>
      <c r="AT1741" t="s">
        <v>58</v>
      </c>
    </row>
    <row r="1742" ht="29" spans="1:46">
      <c r="A1742" s="31" t="s">
        <v>83</v>
      </c>
      <c r="C1742" t="s">
        <v>2616</v>
      </c>
      <c r="D1742" s="5" t="s">
        <v>57</v>
      </c>
      <c r="E1742">
        <v>2035</v>
      </c>
      <c r="F1742" s="6" t="str">
        <f t="shared" si="218"/>
        <v>*0.95</v>
      </c>
      <c r="H1742" t="s">
        <v>2616</v>
      </c>
      <c r="I1742" s="5" t="s">
        <v>57</v>
      </c>
      <c r="J1742">
        <v>2050</v>
      </c>
      <c r="K1742" s="38" t="str">
        <f t="shared" si="219"/>
        <v>*0.92</v>
      </c>
      <c r="P1742" s="32" t="s">
        <v>2616</v>
      </c>
      <c r="Q1742" s="42" t="s">
        <v>57</v>
      </c>
      <c r="R1742" s="32">
        <v>2035</v>
      </c>
      <c r="S1742" s="43" t="str">
        <f t="shared" si="220"/>
        <v>*0.95</v>
      </c>
      <c r="U1742" s="32" t="s">
        <v>2616</v>
      </c>
      <c r="V1742" s="42" t="s">
        <v>57</v>
      </c>
      <c r="W1742" s="32">
        <v>2050</v>
      </c>
      <c r="X1742" s="43" t="str">
        <f t="shared" si="221"/>
        <v>*0.92</v>
      </c>
      <c r="AC1742" s="33" t="s">
        <v>2616</v>
      </c>
      <c r="AD1742" s="44" t="s">
        <v>57</v>
      </c>
      <c r="AE1742" s="33">
        <v>2035</v>
      </c>
      <c r="AF1742" s="45" t="str">
        <f t="shared" si="222"/>
        <v>*0.93</v>
      </c>
      <c r="AG1742" s="43" t="str">
        <f t="shared" si="224"/>
        <v>REZoning_Sol-Win</v>
      </c>
      <c r="AI1742" s="33" t="s">
        <v>2616</v>
      </c>
      <c r="AJ1742" s="44" t="s">
        <v>57</v>
      </c>
      <c r="AK1742" s="33">
        <v>2050</v>
      </c>
      <c r="AL1742" s="45" t="str">
        <f t="shared" si="223"/>
        <v>*0.89</v>
      </c>
      <c r="AM1742" s="43" t="str">
        <f t="shared" si="225"/>
        <v>REZoning_Sol-Win</v>
      </c>
      <c r="AP1742" t="s">
        <v>2616</v>
      </c>
      <c r="AQ1742" t="s">
        <v>57</v>
      </c>
      <c r="AR1742">
        <v>2100</v>
      </c>
      <c r="AS1742" t="s">
        <v>937</v>
      </c>
      <c r="AT1742" t="s">
        <v>58</v>
      </c>
    </row>
    <row r="1743" ht="29" spans="1:46">
      <c r="A1743" s="31" t="s">
        <v>83</v>
      </c>
      <c r="C1743" t="s">
        <v>2617</v>
      </c>
      <c r="D1743" s="5" t="s">
        <v>57</v>
      </c>
      <c r="E1743">
        <v>2035</v>
      </c>
      <c r="F1743" s="6" t="str">
        <f t="shared" si="218"/>
        <v>*0.95</v>
      </c>
      <c r="H1743" t="s">
        <v>2617</v>
      </c>
      <c r="I1743" s="5" t="s">
        <v>57</v>
      </c>
      <c r="J1743">
        <v>2050</v>
      </c>
      <c r="K1743" s="38" t="str">
        <f t="shared" si="219"/>
        <v>*0.92</v>
      </c>
      <c r="P1743" s="32" t="s">
        <v>2617</v>
      </c>
      <c r="Q1743" s="42" t="s">
        <v>57</v>
      </c>
      <c r="R1743" s="32">
        <v>2035</v>
      </c>
      <c r="S1743" s="43" t="str">
        <f t="shared" si="220"/>
        <v>*0.95</v>
      </c>
      <c r="U1743" s="32" t="s">
        <v>2617</v>
      </c>
      <c r="V1743" s="42" t="s">
        <v>57</v>
      </c>
      <c r="W1743" s="32">
        <v>2050</v>
      </c>
      <c r="X1743" s="43" t="str">
        <f t="shared" si="221"/>
        <v>*0.92</v>
      </c>
      <c r="AC1743" s="33" t="s">
        <v>2617</v>
      </c>
      <c r="AD1743" s="44" t="s">
        <v>57</v>
      </c>
      <c r="AE1743" s="33">
        <v>2035</v>
      </c>
      <c r="AF1743" s="45" t="str">
        <f t="shared" si="222"/>
        <v>*0.93</v>
      </c>
      <c r="AG1743" s="43" t="str">
        <f t="shared" si="224"/>
        <v>REZoning_Sol-Win</v>
      </c>
      <c r="AI1743" s="33" t="s">
        <v>2617</v>
      </c>
      <c r="AJ1743" s="44" t="s">
        <v>57</v>
      </c>
      <c r="AK1743" s="33">
        <v>2050</v>
      </c>
      <c r="AL1743" s="45" t="str">
        <f t="shared" si="223"/>
        <v>*0.89</v>
      </c>
      <c r="AM1743" s="43" t="str">
        <f t="shared" si="225"/>
        <v>REZoning_Sol-Win</v>
      </c>
      <c r="AP1743" t="s">
        <v>2617</v>
      </c>
      <c r="AQ1743" t="s">
        <v>57</v>
      </c>
      <c r="AR1743">
        <v>2100</v>
      </c>
      <c r="AS1743" t="s">
        <v>937</v>
      </c>
      <c r="AT1743" t="s">
        <v>58</v>
      </c>
    </row>
    <row r="1744" ht="29" spans="1:46">
      <c r="A1744" s="31" t="s">
        <v>83</v>
      </c>
      <c r="C1744" t="s">
        <v>2618</v>
      </c>
      <c r="D1744" s="5" t="s">
        <v>57</v>
      </c>
      <c r="E1744">
        <v>2035</v>
      </c>
      <c r="F1744" s="6" t="str">
        <f t="shared" si="218"/>
        <v>*0.95</v>
      </c>
      <c r="H1744" t="s">
        <v>2618</v>
      </c>
      <c r="I1744" s="5" t="s">
        <v>57</v>
      </c>
      <c r="J1744">
        <v>2050</v>
      </c>
      <c r="K1744" s="38" t="str">
        <f t="shared" si="219"/>
        <v>*0.92</v>
      </c>
      <c r="P1744" s="32" t="s">
        <v>2618</v>
      </c>
      <c r="Q1744" s="42" t="s">
        <v>57</v>
      </c>
      <c r="R1744" s="32">
        <v>2035</v>
      </c>
      <c r="S1744" s="43" t="str">
        <f t="shared" si="220"/>
        <v>*0.95</v>
      </c>
      <c r="U1744" s="32" t="s">
        <v>2618</v>
      </c>
      <c r="V1744" s="42" t="s">
        <v>57</v>
      </c>
      <c r="W1744" s="32">
        <v>2050</v>
      </c>
      <c r="X1744" s="43" t="str">
        <f t="shared" si="221"/>
        <v>*0.92</v>
      </c>
      <c r="AC1744" s="33" t="s">
        <v>2618</v>
      </c>
      <c r="AD1744" s="44" t="s">
        <v>57</v>
      </c>
      <c r="AE1744" s="33">
        <v>2035</v>
      </c>
      <c r="AF1744" s="45" t="str">
        <f t="shared" si="222"/>
        <v>*0.93</v>
      </c>
      <c r="AG1744" s="43" t="str">
        <f t="shared" si="224"/>
        <v>REZoning_Sol-Win</v>
      </c>
      <c r="AI1744" s="33" t="s">
        <v>2618</v>
      </c>
      <c r="AJ1744" s="44" t="s">
        <v>57</v>
      </c>
      <c r="AK1744" s="33">
        <v>2050</v>
      </c>
      <c r="AL1744" s="45" t="str">
        <f t="shared" si="223"/>
        <v>*0.89</v>
      </c>
      <c r="AM1744" s="43" t="str">
        <f t="shared" si="225"/>
        <v>REZoning_Sol-Win</v>
      </c>
      <c r="AP1744" t="s">
        <v>2618</v>
      </c>
      <c r="AQ1744" t="s">
        <v>57</v>
      </c>
      <c r="AR1744">
        <v>2100</v>
      </c>
      <c r="AS1744" t="s">
        <v>937</v>
      </c>
      <c r="AT1744" t="s">
        <v>58</v>
      </c>
    </row>
    <row r="1745" ht="29" spans="1:46">
      <c r="A1745" s="31" t="s">
        <v>83</v>
      </c>
      <c r="C1745" t="s">
        <v>2619</v>
      </c>
      <c r="D1745" s="5" t="s">
        <v>57</v>
      </c>
      <c r="E1745">
        <v>2035</v>
      </c>
      <c r="F1745" s="6" t="str">
        <f t="shared" si="218"/>
        <v>*0.95</v>
      </c>
      <c r="H1745" t="s">
        <v>2619</v>
      </c>
      <c r="I1745" s="5" t="s">
        <v>57</v>
      </c>
      <c r="J1745">
        <v>2050</v>
      </c>
      <c r="K1745" s="38" t="str">
        <f t="shared" si="219"/>
        <v>*0.92</v>
      </c>
      <c r="P1745" s="32" t="s">
        <v>2619</v>
      </c>
      <c r="Q1745" s="42" t="s">
        <v>57</v>
      </c>
      <c r="R1745" s="32">
        <v>2035</v>
      </c>
      <c r="S1745" s="43" t="str">
        <f t="shared" si="220"/>
        <v>*0.95</v>
      </c>
      <c r="U1745" s="32" t="s">
        <v>2619</v>
      </c>
      <c r="V1745" s="42" t="s">
        <v>57</v>
      </c>
      <c r="W1745" s="32">
        <v>2050</v>
      </c>
      <c r="X1745" s="43" t="str">
        <f t="shared" si="221"/>
        <v>*0.92</v>
      </c>
      <c r="AC1745" s="33" t="s">
        <v>2619</v>
      </c>
      <c r="AD1745" s="44" t="s">
        <v>57</v>
      </c>
      <c r="AE1745" s="33">
        <v>2035</v>
      </c>
      <c r="AF1745" s="45" t="str">
        <f t="shared" si="222"/>
        <v>*0.93</v>
      </c>
      <c r="AG1745" s="43" t="str">
        <f t="shared" si="224"/>
        <v>REZoning_Sol-Win</v>
      </c>
      <c r="AI1745" s="33" t="s">
        <v>2619</v>
      </c>
      <c r="AJ1745" s="44" t="s">
        <v>57</v>
      </c>
      <c r="AK1745" s="33">
        <v>2050</v>
      </c>
      <c r="AL1745" s="45" t="str">
        <f t="shared" si="223"/>
        <v>*0.89</v>
      </c>
      <c r="AM1745" s="43" t="str">
        <f t="shared" si="225"/>
        <v>REZoning_Sol-Win</v>
      </c>
      <c r="AP1745" t="s">
        <v>2619</v>
      </c>
      <c r="AQ1745" t="s">
        <v>57</v>
      </c>
      <c r="AR1745">
        <v>2100</v>
      </c>
      <c r="AS1745" t="s">
        <v>937</v>
      </c>
      <c r="AT1745" t="s">
        <v>58</v>
      </c>
    </row>
    <row r="1746" ht="29" spans="1:46">
      <c r="A1746" s="31" t="s">
        <v>83</v>
      </c>
      <c r="C1746" t="s">
        <v>2620</v>
      </c>
      <c r="D1746" s="5" t="s">
        <v>57</v>
      </c>
      <c r="E1746">
        <v>2035</v>
      </c>
      <c r="F1746" s="6" t="str">
        <f t="shared" si="218"/>
        <v>*0.95</v>
      </c>
      <c r="H1746" t="s">
        <v>2620</v>
      </c>
      <c r="I1746" s="5" t="s">
        <v>57</v>
      </c>
      <c r="J1746">
        <v>2050</v>
      </c>
      <c r="K1746" s="38" t="str">
        <f t="shared" si="219"/>
        <v>*0.92</v>
      </c>
      <c r="P1746" s="32" t="s">
        <v>2620</v>
      </c>
      <c r="Q1746" s="42" t="s">
        <v>57</v>
      </c>
      <c r="R1746" s="32">
        <v>2035</v>
      </c>
      <c r="S1746" s="43" t="str">
        <f t="shared" si="220"/>
        <v>*0.95</v>
      </c>
      <c r="U1746" s="32" t="s">
        <v>2620</v>
      </c>
      <c r="V1746" s="42" t="s">
        <v>57</v>
      </c>
      <c r="W1746" s="32">
        <v>2050</v>
      </c>
      <c r="X1746" s="43" t="str">
        <f t="shared" si="221"/>
        <v>*0.92</v>
      </c>
      <c r="AC1746" s="33" t="s">
        <v>2620</v>
      </c>
      <c r="AD1746" s="44" t="s">
        <v>57</v>
      </c>
      <c r="AE1746" s="33">
        <v>2035</v>
      </c>
      <c r="AF1746" s="45" t="str">
        <f t="shared" si="222"/>
        <v>*0.93</v>
      </c>
      <c r="AG1746" s="43" t="str">
        <f t="shared" si="224"/>
        <v>REZoning_Sol-Win</v>
      </c>
      <c r="AI1746" s="33" t="s">
        <v>2620</v>
      </c>
      <c r="AJ1746" s="44" t="s">
        <v>57</v>
      </c>
      <c r="AK1746" s="33">
        <v>2050</v>
      </c>
      <c r="AL1746" s="45" t="str">
        <f t="shared" si="223"/>
        <v>*0.89</v>
      </c>
      <c r="AM1746" s="43" t="str">
        <f t="shared" si="225"/>
        <v>REZoning_Sol-Win</v>
      </c>
      <c r="AP1746" t="s">
        <v>2620</v>
      </c>
      <c r="AQ1746" t="s">
        <v>57</v>
      </c>
      <c r="AR1746">
        <v>2100</v>
      </c>
      <c r="AS1746" t="s">
        <v>937</v>
      </c>
      <c r="AT1746" t="s">
        <v>58</v>
      </c>
    </row>
    <row r="1747" ht="29" spans="1:46">
      <c r="A1747" s="31" t="s">
        <v>83</v>
      </c>
      <c r="C1747" t="s">
        <v>2621</v>
      </c>
      <c r="D1747" s="5" t="s">
        <v>57</v>
      </c>
      <c r="E1747">
        <v>2035</v>
      </c>
      <c r="F1747" s="6" t="str">
        <f t="shared" si="218"/>
        <v>*0.95</v>
      </c>
      <c r="H1747" t="s">
        <v>2621</v>
      </c>
      <c r="I1747" s="5" t="s">
        <v>57</v>
      </c>
      <c r="J1747">
        <v>2050</v>
      </c>
      <c r="K1747" s="38" t="str">
        <f t="shared" si="219"/>
        <v>*0.92</v>
      </c>
      <c r="P1747" s="32" t="s">
        <v>2621</v>
      </c>
      <c r="Q1747" s="42" t="s">
        <v>57</v>
      </c>
      <c r="R1747" s="32">
        <v>2035</v>
      </c>
      <c r="S1747" s="43" t="str">
        <f t="shared" si="220"/>
        <v>*0.95</v>
      </c>
      <c r="U1747" s="32" t="s">
        <v>2621</v>
      </c>
      <c r="V1747" s="42" t="s">
        <v>57</v>
      </c>
      <c r="W1747" s="32">
        <v>2050</v>
      </c>
      <c r="X1747" s="43" t="str">
        <f t="shared" si="221"/>
        <v>*0.92</v>
      </c>
      <c r="AC1747" s="33" t="s">
        <v>2621</v>
      </c>
      <c r="AD1747" s="44" t="s">
        <v>57</v>
      </c>
      <c r="AE1747" s="33">
        <v>2035</v>
      </c>
      <c r="AF1747" s="45" t="str">
        <f t="shared" si="222"/>
        <v>*0.93</v>
      </c>
      <c r="AG1747" s="43" t="str">
        <f t="shared" si="224"/>
        <v>REZoning_Sol-Win</v>
      </c>
      <c r="AI1747" s="33" t="s">
        <v>2621</v>
      </c>
      <c r="AJ1747" s="44" t="s">
        <v>57</v>
      </c>
      <c r="AK1747" s="33">
        <v>2050</v>
      </c>
      <c r="AL1747" s="45" t="str">
        <f t="shared" si="223"/>
        <v>*0.89</v>
      </c>
      <c r="AM1747" s="43" t="str">
        <f t="shared" si="225"/>
        <v>REZoning_Sol-Win</v>
      </c>
      <c r="AP1747" t="s">
        <v>2621</v>
      </c>
      <c r="AQ1747" t="s">
        <v>57</v>
      </c>
      <c r="AR1747">
        <v>2100</v>
      </c>
      <c r="AS1747" t="s">
        <v>937</v>
      </c>
      <c r="AT1747" t="s">
        <v>58</v>
      </c>
    </row>
    <row r="1748" ht="29" spans="1:46">
      <c r="A1748" s="31" t="s">
        <v>83</v>
      </c>
      <c r="C1748" t="s">
        <v>2622</v>
      </c>
      <c r="D1748" s="5" t="s">
        <v>57</v>
      </c>
      <c r="E1748">
        <v>2035</v>
      </c>
      <c r="F1748" s="6" t="str">
        <f t="shared" si="218"/>
        <v>*0.95</v>
      </c>
      <c r="H1748" t="s">
        <v>2622</v>
      </c>
      <c r="I1748" s="5" t="s">
        <v>57</v>
      </c>
      <c r="J1748">
        <v>2050</v>
      </c>
      <c r="K1748" s="38" t="str">
        <f t="shared" si="219"/>
        <v>*0.92</v>
      </c>
      <c r="P1748" s="32" t="s">
        <v>2622</v>
      </c>
      <c r="Q1748" s="42" t="s">
        <v>57</v>
      </c>
      <c r="R1748" s="32">
        <v>2035</v>
      </c>
      <c r="S1748" s="43" t="str">
        <f t="shared" si="220"/>
        <v>*0.95</v>
      </c>
      <c r="U1748" s="32" t="s">
        <v>2622</v>
      </c>
      <c r="V1748" s="42" t="s">
        <v>57</v>
      </c>
      <c r="W1748" s="32">
        <v>2050</v>
      </c>
      <c r="X1748" s="43" t="str">
        <f t="shared" si="221"/>
        <v>*0.92</v>
      </c>
      <c r="AC1748" s="33" t="s">
        <v>2622</v>
      </c>
      <c r="AD1748" s="44" t="s">
        <v>57</v>
      </c>
      <c r="AE1748" s="33">
        <v>2035</v>
      </c>
      <c r="AF1748" s="45" t="str">
        <f t="shared" si="222"/>
        <v>*0.93</v>
      </c>
      <c r="AG1748" s="43" t="str">
        <f t="shared" si="224"/>
        <v>REZoning_Sol-Win</v>
      </c>
      <c r="AI1748" s="33" t="s">
        <v>2622</v>
      </c>
      <c r="AJ1748" s="44" t="s">
        <v>57</v>
      </c>
      <c r="AK1748" s="33">
        <v>2050</v>
      </c>
      <c r="AL1748" s="45" t="str">
        <f t="shared" si="223"/>
        <v>*0.89</v>
      </c>
      <c r="AM1748" s="43" t="str">
        <f t="shared" si="225"/>
        <v>REZoning_Sol-Win</v>
      </c>
      <c r="AP1748" t="s">
        <v>2622</v>
      </c>
      <c r="AQ1748" t="s">
        <v>57</v>
      </c>
      <c r="AR1748">
        <v>2100</v>
      </c>
      <c r="AS1748" t="s">
        <v>937</v>
      </c>
      <c r="AT1748" t="s">
        <v>58</v>
      </c>
    </row>
    <row r="1749" ht="29" spans="1:46">
      <c r="A1749" s="31" t="s">
        <v>169</v>
      </c>
      <c r="C1749" t="s">
        <v>2623</v>
      </c>
      <c r="D1749" s="5" t="s">
        <v>57</v>
      </c>
      <c r="E1749">
        <v>2035</v>
      </c>
      <c r="F1749" s="6" t="str">
        <f t="shared" si="218"/>
        <v>*0.94</v>
      </c>
      <c r="H1749" t="s">
        <v>2623</v>
      </c>
      <c r="I1749" s="5" t="s">
        <v>57</v>
      </c>
      <c r="J1749">
        <v>2050</v>
      </c>
      <c r="K1749" s="38" t="str">
        <f t="shared" si="219"/>
        <v>*0.92</v>
      </c>
      <c r="P1749" s="32" t="s">
        <v>2623</v>
      </c>
      <c r="Q1749" s="42" t="s">
        <v>57</v>
      </c>
      <c r="R1749" s="32">
        <v>2035</v>
      </c>
      <c r="S1749" s="43" t="str">
        <f t="shared" si="220"/>
        <v>*0.93</v>
      </c>
      <c r="U1749" s="32" t="s">
        <v>2623</v>
      </c>
      <c r="V1749" s="42" t="s">
        <v>57</v>
      </c>
      <c r="W1749" s="32">
        <v>2050</v>
      </c>
      <c r="X1749" s="43" t="str">
        <f t="shared" si="221"/>
        <v>*0.92</v>
      </c>
      <c r="AC1749" s="33" t="s">
        <v>2623</v>
      </c>
      <c r="AD1749" s="44" t="s">
        <v>57</v>
      </c>
      <c r="AE1749" s="33">
        <v>2035</v>
      </c>
      <c r="AF1749" s="45" t="str">
        <f t="shared" si="222"/>
        <v>*0.91</v>
      </c>
      <c r="AG1749" s="43" t="str">
        <f t="shared" si="224"/>
        <v>REZoning_Sol-Win</v>
      </c>
      <c r="AI1749" s="33" t="s">
        <v>2623</v>
      </c>
      <c r="AJ1749" s="44" t="s">
        <v>57</v>
      </c>
      <c r="AK1749" s="33">
        <v>2050</v>
      </c>
      <c r="AL1749" s="45" t="str">
        <f t="shared" si="223"/>
        <v>*0.87</v>
      </c>
      <c r="AM1749" s="43" t="str">
        <f t="shared" si="225"/>
        <v>REZoning_Sol-Win</v>
      </c>
      <c r="AP1749" t="s">
        <v>2623</v>
      </c>
      <c r="AQ1749" t="s">
        <v>57</v>
      </c>
      <c r="AR1749">
        <v>2100</v>
      </c>
      <c r="AS1749" t="s">
        <v>874</v>
      </c>
      <c r="AT1749" t="s">
        <v>58</v>
      </c>
    </row>
    <row r="1750" ht="29" spans="1:46">
      <c r="A1750" s="31" t="s">
        <v>169</v>
      </c>
      <c r="C1750" t="s">
        <v>2624</v>
      </c>
      <c r="D1750" s="5" t="s">
        <v>57</v>
      </c>
      <c r="E1750">
        <v>2035</v>
      </c>
      <c r="F1750" s="6" t="str">
        <f t="shared" si="218"/>
        <v>*0.94</v>
      </c>
      <c r="H1750" t="s">
        <v>2624</v>
      </c>
      <c r="I1750" s="5" t="s">
        <v>57</v>
      </c>
      <c r="J1750">
        <v>2050</v>
      </c>
      <c r="K1750" s="38" t="str">
        <f t="shared" si="219"/>
        <v>*0.92</v>
      </c>
      <c r="P1750" s="32" t="s">
        <v>2624</v>
      </c>
      <c r="Q1750" s="42" t="s">
        <v>57</v>
      </c>
      <c r="R1750" s="32">
        <v>2035</v>
      </c>
      <c r="S1750" s="43" t="str">
        <f t="shared" si="220"/>
        <v>*0.93</v>
      </c>
      <c r="U1750" s="32" t="s">
        <v>2624</v>
      </c>
      <c r="V1750" s="42" t="s">
        <v>57</v>
      </c>
      <c r="W1750" s="32">
        <v>2050</v>
      </c>
      <c r="X1750" s="43" t="str">
        <f t="shared" si="221"/>
        <v>*0.92</v>
      </c>
      <c r="AC1750" s="33" t="s">
        <v>2624</v>
      </c>
      <c r="AD1750" s="44" t="s">
        <v>57</v>
      </c>
      <c r="AE1750" s="33">
        <v>2035</v>
      </c>
      <c r="AF1750" s="45" t="str">
        <f t="shared" si="222"/>
        <v>*0.91</v>
      </c>
      <c r="AG1750" s="43" t="str">
        <f t="shared" si="224"/>
        <v>REZoning_Sol-Win</v>
      </c>
      <c r="AI1750" s="33" t="s">
        <v>2624</v>
      </c>
      <c r="AJ1750" s="44" t="s">
        <v>57</v>
      </c>
      <c r="AK1750" s="33">
        <v>2050</v>
      </c>
      <c r="AL1750" s="45" t="str">
        <f t="shared" si="223"/>
        <v>*0.87</v>
      </c>
      <c r="AM1750" s="43" t="str">
        <f t="shared" si="225"/>
        <v>REZoning_Sol-Win</v>
      </c>
      <c r="AP1750" t="s">
        <v>2624</v>
      </c>
      <c r="AQ1750" t="s">
        <v>57</v>
      </c>
      <c r="AR1750">
        <v>2100</v>
      </c>
      <c r="AS1750" t="s">
        <v>874</v>
      </c>
      <c r="AT1750" t="s">
        <v>58</v>
      </c>
    </row>
    <row r="1751" ht="29" spans="1:46">
      <c r="A1751" s="31" t="s">
        <v>169</v>
      </c>
      <c r="C1751" t="s">
        <v>2625</v>
      </c>
      <c r="D1751" s="5" t="s">
        <v>57</v>
      </c>
      <c r="E1751">
        <v>2035</v>
      </c>
      <c r="F1751" s="6" t="str">
        <f t="shared" si="218"/>
        <v>*0.94</v>
      </c>
      <c r="H1751" t="s">
        <v>2625</v>
      </c>
      <c r="I1751" s="5" t="s">
        <v>57</v>
      </c>
      <c r="J1751">
        <v>2050</v>
      </c>
      <c r="K1751" s="38" t="str">
        <f t="shared" si="219"/>
        <v>*0.92</v>
      </c>
      <c r="P1751" s="32" t="s">
        <v>2625</v>
      </c>
      <c r="Q1751" s="42" t="s">
        <v>57</v>
      </c>
      <c r="R1751" s="32">
        <v>2035</v>
      </c>
      <c r="S1751" s="43" t="str">
        <f t="shared" si="220"/>
        <v>*0.93</v>
      </c>
      <c r="U1751" s="32" t="s">
        <v>2625</v>
      </c>
      <c r="V1751" s="42" t="s">
        <v>57</v>
      </c>
      <c r="W1751" s="32">
        <v>2050</v>
      </c>
      <c r="X1751" s="43" t="str">
        <f t="shared" si="221"/>
        <v>*0.92</v>
      </c>
      <c r="AC1751" s="33" t="s">
        <v>2625</v>
      </c>
      <c r="AD1751" s="44" t="s">
        <v>57</v>
      </c>
      <c r="AE1751" s="33">
        <v>2035</v>
      </c>
      <c r="AF1751" s="45" t="str">
        <f t="shared" si="222"/>
        <v>*0.91</v>
      </c>
      <c r="AG1751" s="43" t="str">
        <f t="shared" si="224"/>
        <v>REZoning_Sol-Win</v>
      </c>
      <c r="AI1751" s="33" t="s">
        <v>2625</v>
      </c>
      <c r="AJ1751" s="44" t="s">
        <v>57</v>
      </c>
      <c r="AK1751" s="33">
        <v>2050</v>
      </c>
      <c r="AL1751" s="45" t="str">
        <f t="shared" si="223"/>
        <v>*0.87</v>
      </c>
      <c r="AM1751" s="43" t="str">
        <f t="shared" si="225"/>
        <v>REZoning_Sol-Win</v>
      </c>
      <c r="AP1751" t="s">
        <v>2625</v>
      </c>
      <c r="AQ1751" t="s">
        <v>57</v>
      </c>
      <c r="AR1751">
        <v>2100</v>
      </c>
      <c r="AS1751" t="s">
        <v>874</v>
      </c>
      <c r="AT1751" t="s">
        <v>58</v>
      </c>
    </row>
    <row r="1752" ht="29" spans="1:46">
      <c r="A1752" s="31" t="s">
        <v>169</v>
      </c>
      <c r="C1752" t="s">
        <v>2626</v>
      </c>
      <c r="D1752" s="5" t="s">
        <v>57</v>
      </c>
      <c r="E1752">
        <v>2035</v>
      </c>
      <c r="F1752" s="6" t="str">
        <f t="shared" si="218"/>
        <v>*0.94</v>
      </c>
      <c r="H1752" t="s">
        <v>2626</v>
      </c>
      <c r="I1752" s="5" t="s">
        <v>57</v>
      </c>
      <c r="J1752">
        <v>2050</v>
      </c>
      <c r="K1752" s="38" t="str">
        <f t="shared" si="219"/>
        <v>*0.92</v>
      </c>
      <c r="P1752" s="32" t="s">
        <v>2626</v>
      </c>
      <c r="Q1752" s="42" t="s">
        <v>57</v>
      </c>
      <c r="R1752" s="32">
        <v>2035</v>
      </c>
      <c r="S1752" s="43" t="str">
        <f t="shared" si="220"/>
        <v>*0.93</v>
      </c>
      <c r="U1752" s="32" t="s">
        <v>2626</v>
      </c>
      <c r="V1752" s="42" t="s">
        <v>57</v>
      </c>
      <c r="W1752" s="32">
        <v>2050</v>
      </c>
      <c r="X1752" s="43" t="str">
        <f t="shared" si="221"/>
        <v>*0.92</v>
      </c>
      <c r="AC1752" s="33" t="s">
        <v>2626</v>
      </c>
      <c r="AD1752" s="44" t="s">
        <v>57</v>
      </c>
      <c r="AE1752" s="33">
        <v>2035</v>
      </c>
      <c r="AF1752" s="45" t="str">
        <f t="shared" si="222"/>
        <v>*0.91</v>
      </c>
      <c r="AG1752" s="43" t="str">
        <f t="shared" si="224"/>
        <v>REZoning_Sol-Win</v>
      </c>
      <c r="AI1752" s="33" t="s">
        <v>2626</v>
      </c>
      <c r="AJ1752" s="44" t="s">
        <v>57</v>
      </c>
      <c r="AK1752" s="33">
        <v>2050</v>
      </c>
      <c r="AL1752" s="45" t="str">
        <f t="shared" si="223"/>
        <v>*0.87</v>
      </c>
      <c r="AM1752" s="43" t="str">
        <f t="shared" si="225"/>
        <v>REZoning_Sol-Win</v>
      </c>
      <c r="AP1752" t="s">
        <v>2626</v>
      </c>
      <c r="AQ1752" t="s">
        <v>57</v>
      </c>
      <c r="AR1752">
        <v>2100</v>
      </c>
      <c r="AS1752" t="s">
        <v>874</v>
      </c>
      <c r="AT1752" t="s">
        <v>58</v>
      </c>
    </row>
    <row r="1753" ht="29" spans="1:46">
      <c r="A1753" s="31" t="s">
        <v>169</v>
      </c>
      <c r="C1753" t="s">
        <v>2627</v>
      </c>
      <c r="D1753" s="5" t="s">
        <v>57</v>
      </c>
      <c r="E1753">
        <v>2035</v>
      </c>
      <c r="F1753" s="6" t="str">
        <f t="shared" si="218"/>
        <v>*0.94</v>
      </c>
      <c r="H1753" t="s">
        <v>2627</v>
      </c>
      <c r="I1753" s="5" t="s">
        <v>57</v>
      </c>
      <c r="J1753">
        <v>2050</v>
      </c>
      <c r="K1753" s="38" t="str">
        <f t="shared" si="219"/>
        <v>*0.92</v>
      </c>
      <c r="P1753" s="32" t="s">
        <v>2627</v>
      </c>
      <c r="Q1753" s="42" t="s">
        <v>57</v>
      </c>
      <c r="R1753" s="32">
        <v>2035</v>
      </c>
      <c r="S1753" s="43" t="str">
        <f t="shared" si="220"/>
        <v>*0.93</v>
      </c>
      <c r="U1753" s="32" t="s">
        <v>2627</v>
      </c>
      <c r="V1753" s="42" t="s">
        <v>57</v>
      </c>
      <c r="W1753" s="32">
        <v>2050</v>
      </c>
      <c r="X1753" s="43" t="str">
        <f t="shared" si="221"/>
        <v>*0.92</v>
      </c>
      <c r="AC1753" s="33" t="s">
        <v>2627</v>
      </c>
      <c r="AD1753" s="44" t="s">
        <v>57</v>
      </c>
      <c r="AE1753" s="33">
        <v>2035</v>
      </c>
      <c r="AF1753" s="45" t="str">
        <f t="shared" si="222"/>
        <v>*0.91</v>
      </c>
      <c r="AG1753" s="43" t="str">
        <f t="shared" si="224"/>
        <v>REZoning_Sol-Win</v>
      </c>
      <c r="AI1753" s="33" t="s">
        <v>2627</v>
      </c>
      <c r="AJ1753" s="44" t="s">
        <v>57</v>
      </c>
      <c r="AK1753" s="33">
        <v>2050</v>
      </c>
      <c r="AL1753" s="45" t="str">
        <f t="shared" si="223"/>
        <v>*0.87</v>
      </c>
      <c r="AM1753" s="43" t="str">
        <f t="shared" si="225"/>
        <v>REZoning_Sol-Win</v>
      </c>
      <c r="AP1753" t="s">
        <v>2627</v>
      </c>
      <c r="AQ1753" t="s">
        <v>57</v>
      </c>
      <c r="AR1753">
        <v>2100</v>
      </c>
      <c r="AS1753" t="s">
        <v>874</v>
      </c>
      <c r="AT1753" t="s">
        <v>58</v>
      </c>
    </row>
    <row r="1754" ht="29" spans="1:46">
      <c r="A1754" s="31" t="s">
        <v>169</v>
      </c>
      <c r="C1754" t="s">
        <v>2628</v>
      </c>
      <c r="D1754" s="5" t="s">
        <v>57</v>
      </c>
      <c r="E1754">
        <v>2035</v>
      </c>
      <c r="F1754" s="6" t="str">
        <f t="shared" si="218"/>
        <v>*0.94</v>
      </c>
      <c r="H1754" t="s">
        <v>2628</v>
      </c>
      <c r="I1754" s="5" t="s">
        <v>57</v>
      </c>
      <c r="J1754">
        <v>2050</v>
      </c>
      <c r="K1754" s="38" t="str">
        <f t="shared" si="219"/>
        <v>*0.92</v>
      </c>
      <c r="P1754" s="32" t="s">
        <v>2628</v>
      </c>
      <c r="Q1754" s="42" t="s">
        <v>57</v>
      </c>
      <c r="R1754" s="32">
        <v>2035</v>
      </c>
      <c r="S1754" s="43" t="str">
        <f t="shared" si="220"/>
        <v>*0.93</v>
      </c>
      <c r="U1754" s="32" t="s">
        <v>2628</v>
      </c>
      <c r="V1754" s="42" t="s">
        <v>57</v>
      </c>
      <c r="W1754" s="32">
        <v>2050</v>
      </c>
      <c r="X1754" s="43" t="str">
        <f t="shared" si="221"/>
        <v>*0.92</v>
      </c>
      <c r="AC1754" s="33" t="s">
        <v>2628</v>
      </c>
      <c r="AD1754" s="44" t="s">
        <v>57</v>
      </c>
      <c r="AE1754" s="33">
        <v>2035</v>
      </c>
      <c r="AF1754" s="45" t="str">
        <f t="shared" si="222"/>
        <v>*0.91</v>
      </c>
      <c r="AG1754" s="43" t="str">
        <f t="shared" si="224"/>
        <v>REZoning_Sol-Win</v>
      </c>
      <c r="AI1754" s="33" t="s">
        <v>2628</v>
      </c>
      <c r="AJ1754" s="44" t="s">
        <v>57</v>
      </c>
      <c r="AK1754" s="33">
        <v>2050</v>
      </c>
      <c r="AL1754" s="45" t="str">
        <f t="shared" si="223"/>
        <v>*0.87</v>
      </c>
      <c r="AM1754" s="43" t="str">
        <f t="shared" si="225"/>
        <v>REZoning_Sol-Win</v>
      </c>
      <c r="AP1754" t="s">
        <v>2628</v>
      </c>
      <c r="AQ1754" t="s">
        <v>57</v>
      </c>
      <c r="AR1754">
        <v>2100</v>
      </c>
      <c r="AS1754" t="s">
        <v>874</v>
      </c>
      <c r="AT1754" t="s">
        <v>58</v>
      </c>
    </row>
    <row r="1755" ht="29" spans="1:46">
      <c r="A1755" s="31" t="s">
        <v>169</v>
      </c>
      <c r="C1755" t="s">
        <v>2629</v>
      </c>
      <c r="D1755" s="5" t="s">
        <v>57</v>
      </c>
      <c r="E1755">
        <v>2035</v>
      </c>
      <c r="F1755" s="6" t="str">
        <f t="shared" si="218"/>
        <v>*0.94</v>
      </c>
      <c r="H1755" t="s">
        <v>2629</v>
      </c>
      <c r="I1755" s="5" t="s">
        <v>57</v>
      </c>
      <c r="J1755">
        <v>2050</v>
      </c>
      <c r="K1755" s="38" t="str">
        <f t="shared" si="219"/>
        <v>*0.92</v>
      </c>
      <c r="P1755" s="32" t="s">
        <v>2629</v>
      </c>
      <c r="Q1755" s="42" t="s">
        <v>57</v>
      </c>
      <c r="R1755" s="32">
        <v>2035</v>
      </c>
      <c r="S1755" s="43" t="str">
        <f t="shared" si="220"/>
        <v>*0.93</v>
      </c>
      <c r="U1755" s="32" t="s">
        <v>2629</v>
      </c>
      <c r="V1755" s="42" t="s">
        <v>57</v>
      </c>
      <c r="W1755" s="32">
        <v>2050</v>
      </c>
      <c r="X1755" s="43" t="str">
        <f t="shared" si="221"/>
        <v>*0.92</v>
      </c>
      <c r="AC1755" s="33" t="s">
        <v>2629</v>
      </c>
      <c r="AD1755" s="44" t="s">
        <v>57</v>
      </c>
      <c r="AE1755" s="33">
        <v>2035</v>
      </c>
      <c r="AF1755" s="45" t="str">
        <f t="shared" si="222"/>
        <v>*0.91</v>
      </c>
      <c r="AG1755" s="43" t="str">
        <f t="shared" si="224"/>
        <v>REZoning_Sol-Win</v>
      </c>
      <c r="AI1755" s="33" t="s">
        <v>2629</v>
      </c>
      <c r="AJ1755" s="44" t="s">
        <v>57</v>
      </c>
      <c r="AK1755" s="33">
        <v>2050</v>
      </c>
      <c r="AL1755" s="45" t="str">
        <f t="shared" si="223"/>
        <v>*0.87</v>
      </c>
      <c r="AM1755" s="43" t="str">
        <f t="shared" si="225"/>
        <v>REZoning_Sol-Win</v>
      </c>
      <c r="AP1755" t="s">
        <v>2629</v>
      </c>
      <c r="AQ1755" t="s">
        <v>57</v>
      </c>
      <c r="AR1755">
        <v>2100</v>
      </c>
      <c r="AS1755" t="s">
        <v>874</v>
      </c>
      <c r="AT1755" t="s">
        <v>58</v>
      </c>
    </row>
    <row r="1756" ht="29" spans="1:46">
      <c r="A1756" s="31" t="s">
        <v>169</v>
      </c>
      <c r="C1756" t="s">
        <v>2630</v>
      </c>
      <c r="D1756" s="5" t="s">
        <v>57</v>
      </c>
      <c r="E1756">
        <v>2035</v>
      </c>
      <c r="F1756" s="6" t="str">
        <f t="shared" si="218"/>
        <v>*0.94</v>
      </c>
      <c r="H1756" t="s">
        <v>2630</v>
      </c>
      <c r="I1756" s="5" t="s">
        <v>57</v>
      </c>
      <c r="J1756">
        <v>2050</v>
      </c>
      <c r="K1756" s="38" t="str">
        <f t="shared" si="219"/>
        <v>*0.92</v>
      </c>
      <c r="P1756" s="32" t="s">
        <v>2630</v>
      </c>
      <c r="Q1756" s="42" t="s">
        <v>57</v>
      </c>
      <c r="R1756" s="32">
        <v>2035</v>
      </c>
      <c r="S1756" s="43" t="str">
        <f t="shared" si="220"/>
        <v>*0.93</v>
      </c>
      <c r="U1756" s="32" t="s">
        <v>2630</v>
      </c>
      <c r="V1756" s="42" t="s">
        <v>57</v>
      </c>
      <c r="W1756" s="32">
        <v>2050</v>
      </c>
      <c r="X1756" s="43" t="str">
        <f t="shared" si="221"/>
        <v>*0.92</v>
      </c>
      <c r="AC1756" s="33" t="s">
        <v>2630</v>
      </c>
      <c r="AD1756" s="44" t="s">
        <v>57</v>
      </c>
      <c r="AE1756" s="33">
        <v>2035</v>
      </c>
      <c r="AF1756" s="45" t="str">
        <f t="shared" si="222"/>
        <v>*0.91</v>
      </c>
      <c r="AG1756" s="43" t="str">
        <f t="shared" si="224"/>
        <v>REZoning_Sol-Win</v>
      </c>
      <c r="AI1756" s="33" t="s">
        <v>2630</v>
      </c>
      <c r="AJ1756" s="44" t="s">
        <v>57</v>
      </c>
      <c r="AK1756" s="33">
        <v>2050</v>
      </c>
      <c r="AL1756" s="45" t="str">
        <f t="shared" si="223"/>
        <v>*0.87</v>
      </c>
      <c r="AM1756" s="43" t="str">
        <f t="shared" si="225"/>
        <v>REZoning_Sol-Win</v>
      </c>
      <c r="AP1756" t="s">
        <v>2630</v>
      </c>
      <c r="AQ1756" t="s">
        <v>57</v>
      </c>
      <c r="AR1756">
        <v>2100</v>
      </c>
      <c r="AS1756" t="s">
        <v>874</v>
      </c>
      <c r="AT1756" t="s">
        <v>58</v>
      </c>
    </row>
    <row r="1757" ht="29" spans="1:46">
      <c r="A1757" s="31" t="s">
        <v>169</v>
      </c>
      <c r="C1757" t="s">
        <v>2631</v>
      </c>
      <c r="D1757" s="5" t="s">
        <v>57</v>
      </c>
      <c r="E1757">
        <v>2035</v>
      </c>
      <c r="F1757" s="6" t="str">
        <f t="shared" si="218"/>
        <v>*0.94</v>
      </c>
      <c r="H1757" t="s">
        <v>2631</v>
      </c>
      <c r="I1757" s="5" t="s">
        <v>57</v>
      </c>
      <c r="J1757">
        <v>2050</v>
      </c>
      <c r="K1757" s="38" t="str">
        <f t="shared" si="219"/>
        <v>*0.92</v>
      </c>
      <c r="P1757" s="32" t="s">
        <v>2631</v>
      </c>
      <c r="Q1757" s="42" t="s">
        <v>57</v>
      </c>
      <c r="R1757" s="32">
        <v>2035</v>
      </c>
      <c r="S1757" s="43" t="str">
        <f t="shared" si="220"/>
        <v>*0.93</v>
      </c>
      <c r="U1757" s="32" t="s">
        <v>2631</v>
      </c>
      <c r="V1757" s="42" t="s">
        <v>57</v>
      </c>
      <c r="W1757" s="32">
        <v>2050</v>
      </c>
      <c r="X1757" s="43" t="str">
        <f t="shared" si="221"/>
        <v>*0.92</v>
      </c>
      <c r="AC1757" s="33" t="s">
        <v>2631</v>
      </c>
      <c r="AD1757" s="44" t="s">
        <v>57</v>
      </c>
      <c r="AE1757" s="33">
        <v>2035</v>
      </c>
      <c r="AF1757" s="45" t="str">
        <f t="shared" si="222"/>
        <v>*0.91</v>
      </c>
      <c r="AG1757" s="43" t="str">
        <f t="shared" si="224"/>
        <v>REZoning_Sol-Win</v>
      </c>
      <c r="AI1757" s="33" t="s">
        <v>2631</v>
      </c>
      <c r="AJ1757" s="44" t="s">
        <v>57</v>
      </c>
      <c r="AK1757" s="33">
        <v>2050</v>
      </c>
      <c r="AL1757" s="45" t="str">
        <f t="shared" si="223"/>
        <v>*0.87</v>
      </c>
      <c r="AM1757" s="43" t="str">
        <f t="shared" si="225"/>
        <v>REZoning_Sol-Win</v>
      </c>
      <c r="AP1757" t="s">
        <v>2631</v>
      </c>
      <c r="AQ1757" t="s">
        <v>57</v>
      </c>
      <c r="AR1757">
        <v>2100</v>
      </c>
      <c r="AS1757" t="s">
        <v>874</v>
      </c>
      <c r="AT1757" t="s">
        <v>58</v>
      </c>
    </row>
    <row r="1758" ht="29" spans="1:46">
      <c r="A1758" s="31" t="s">
        <v>169</v>
      </c>
      <c r="C1758" t="s">
        <v>2632</v>
      </c>
      <c r="D1758" s="5" t="s">
        <v>57</v>
      </c>
      <c r="E1758">
        <v>2035</v>
      </c>
      <c r="F1758" s="6" t="str">
        <f t="shared" si="218"/>
        <v>*0.94</v>
      </c>
      <c r="H1758" t="s">
        <v>2632</v>
      </c>
      <c r="I1758" s="5" t="s">
        <v>57</v>
      </c>
      <c r="J1758">
        <v>2050</v>
      </c>
      <c r="K1758" s="38" t="str">
        <f t="shared" si="219"/>
        <v>*0.92</v>
      </c>
      <c r="P1758" s="32" t="s">
        <v>2632</v>
      </c>
      <c r="Q1758" s="42" t="s">
        <v>57</v>
      </c>
      <c r="R1758" s="32">
        <v>2035</v>
      </c>
      <c r="S1758" s="43" t="str">
        <f t="shared" si="220"/>
        <v>*0.93</v>
      </c>
      <c r="U1758" s="32" t="s">
        <v>2632</v>
      </c>
      <c r="V1758" s="42" t="s">
        <v>57</v>
      </c>
      <c r="W1758" s="32">
        <v>2050</v>
      </c>
      <c r="X1758" s="43" t="str">
        <f t="shared" si="221"/>
        <v>*0.92</v>
      </c>
      <c r="AC1758" s="33" t="s">
        <v>2632</v>
      </c>
      <c r="AD1758" s="44" t="s">
        <v>57</v>
      </c>
      <c r="AE1758" s="33">
        <v>2035</v>
      </c>
      <c r="AF1758" s="45" t="str">
        <f t="shared" si="222"/>
        <v>*0.91</v>
      </c>
      <c r="AG1758" s="43" t="str">
        <f t="shared" si="224"/>
        <v>REZoning_Sol-Win</v>
      </c>
      <c r="AI1758" s="33" t="s">
        <v>2632</v>
      </c>
      <c r="AJ1758" s="44" t="s">
        <v>57</v>
      </c>
      <c r="AK1758" s="33">
        <v>2050</v>
      </c>
      <c r="AL1758" s="45" t="str">
        <f t="shared" si="223"/>
        <v>*0.87</v>
      </c>
      <c r="AM1758" s="43" t="str">
        <f t="shared" si="225"/>
        <v>REZoning_Sol-Win</v>
      </c>
      <c r="AP1758" t="s">
        <v>2632</v>
      </c>
      <c r="AQ1758" t="s">
        <v>57</v>
      </c>
      <c r="AR1758">
        <v>2100</v>
      </c>
      <c r="AS1758" t="s">
        <v>874</v>
      </c>
      <c r="AT1758" t="s">
        <v>58</v>
      </c>
    </row>
    <row r="1759" ht="29" spans="1:46">
      <c r="A1759" s="31" t="s">
        <v>169</v>
      </c>
      <c r="C1759" t="s">
        <v>2633</v>
      </c>
      <c r="D1759" s="5" t="s">
        <v>57</v>
      </c>
      <c r="E1759">
        <v>2035</v>
      </c>
      <c r="F1759" s="6" t="str">
        <f t="shared" si="218"/>
        <v>*0.94</v>
      </c>
      <c r="H1759" t="s">
        <v>2633</v>
      </c>
      <c r="I1759" s="5" t="s">
        <v>57</v>
      </c>
      <c r="J1759">
        <v>2050</v>
      </c>
      <c r="K1759" s="38" t="str">
        <f t="shared" si="219"/>
        <v>*0.92</v>
      </c>
      <c r="P1759" s="32" t="s">
        <v>2633</v>
      </c>
      <c r="Q1759" s="42" t="s">
        <v>57</v>
      </c>
      <c r="R1759" s="32">
        <v>2035</v>
      </c>
      <c r="S1759" s="43" t="str">
        <f t="shared" si="220"/>
        <v>*0.93</v>
      </c>
      <c r="U1759" s="32" t="s">
        <v>2633</v>
      </c>
      <c r="V1759" s="42" t="s">
        <v>57</v>
      </c>
      <c r="W1759" s="32">
        <v>2050</v>
      </c>
      <c r="X1759" s="43" t="str">
        <f t="shared" si="221"/>
        <v>*0.92</v>
      </c>
      <c r="AC1759" s="33" t="s">
        <v>2633</v>
      </c>
      <c r="AD1759" s="44" t="s">
        <v>57</v>
      </c>
      <c r="AE1759" s="33">
        <v>2035</v>
      </c>
      <c r="AF1759" s="45" t="str">
        <f t="shared" si="222"/>
        <v>*0.91</v>
      </c>
      <c r="AG1759" s="43" t="str">
        <f t="shared" si="224"/>
        <v>REZoning_Sol-Win</v>
      </c>
      <c r="AI1759" s="33" t="s">
        <v>2633</v>
      </c>
      <c r="AJ1759" s="44" t="s">
        <v>57</v>
      </c>
      <c r="AK1759" s="33">
        <v>2050</v>
      </c>
      <c r="AL1759" s="45" t="str">
        <f t="shared" si="223"/>
        <v>*0.87</v>
      </c>
      <c r="AM1759" s="43" t="str">
        <f t="shared" si="225"/>
        <v>REZoning_Sol-Win</v>
      </c>
      <c r="AP1759" t="s">
        <v>2633</v>
      </c>
      <c r="AQ1759" t="s">
        <v>57</v>
      </c>
      <c r="AR1759">
        <v>2100</v>
      </c>
      <c r="AS1759" t="s">
        <v>874</v>
      </c>
      <c r="AT1759" t="s">
        <v>58</v>
      </c>
    </row>
    <row r="1760" ht="29" spans="1:46">
      <c r="A1760" s="31" t="s">
        <v>169</v>
      </c>
      <c r="C1760" t="s">
        <v>2634</v>
      </c>
      <c r="D1760" s="5" t="s">
        <v>57</v>
      </c>
      <c r="E1760">
        <v>2035</v>
      </c>
      <c r="F1760" s="6" t="str">
        <f t="shared" si="218"/>
        <v>*0.94</v>
      </c>
      <c r="H1760" t="s">
        <v>2634</v>
      </c>
      <c r="I1760" s="5" t="s">
        <v>57</v>
      </c>
      <c r="J1760">
        <v>2050</v>
      </c>
      <c r="K1760" s="38" t="str">
        <f t="shared" si="219"/>
        <v>*0.92</v>
      </c>
      <c r="P1760" s="32" t="s">
        <v>2634</v>
      </c>
      <c r="Q1760" s="42" t="s">
        <v>57</v>
      </c>
      <c r="R1760" s="32">
        <v>2035</v>
      </c>
      <c r="S1760" s="43" t="str">
        <f t="shared" si="220"/>
        <v>*0.93</v>
      </c>
      <c r="U1760" s="32" t="s">
        <v>2634</v>
      </c>
      <c r="V1760" s="42" t="s">
        <v>57</v>
      </c>
      <c r="W1760" s="32">
        <v>2050</v>
      </c>
      <c r="X1760" s="43" t="str">
        <f t="shared" si="221"/>
        <v>*0.92</v>
      </c>
      <c r="AC1760" s="33" t="s">
        <v>2634</v>
      </c>
      <c r="AD1760" s="44" t="s">
        <v>57</v>
      </c>
      <c r="AE1760" s="33">
        <v>2035</v>
      </c>
      <c r="AF1760" s="45" t="str">
        <f t="shared" si="222"/>
        <v>*0.91</v>
      </c>
      <c r="AG1760" s="43" t="str">
        <f t="shared" si="224"/>
        <v>REZoning_Sol-Win</v>
      </c>
      <c r="AI1760" s="33" t="s">
        <v>2634</v>
      </c>
      <c r="AJ1760" s="44" t="s">
        <v>57</v>
      </c>
      <c r="AK1760" s="33">
        <v>2050</v>
      </c>
      <c r="AL1760" s="45" t="str">
        <f t="shared" si="223"/>
        <v>*0.87</v>
      </c>
      <c r="AM1760" s="43" t="str">
        <f t="shared" si="225"/>
        <v>REZoning_Sol-Win</v>
      </c>
      <c r="AP1760" t="s">
        <v>2634</v>
      </c>
      <c r="AQ1760" t="s">
        <v>57</v>
      </c>
      <c r="AR1760">
        <v>2100</v>
      </c>
      <c r="AS1760" t="s">
        <v>874</v>
      </c>
      <c r="AT1760" t="s">
        <v>58</v>
      </c>
    </row>
    <row r="1761" ht="29" spans="1:46">
      <c r="A1761" s="31" t="s">
        <v>169</v>
      </c>
      <c r="C1761" t="s">
        <v>2635</v>
      </c>
      <c r="D1761" s="5" t="s">
        <v>57</v>
      </c>
      <c r="E1761">
        <v>2035</v>
      </c>
      <c r="F1761" s="6" t="str">
        <f t="shared" si="218"/>
        <v>*0.94</v>
      </c>
      <c r="H1761" t="s">
        <v>2635</v>
      </c>
      <c r="I1761" s="5" t="s">
        <v>57</v>
      </c>
      <c r="J1761">
        <v>2050</v>
      </c>
      <c r="K1761" s="38" t="str">
        <f t="shared" si="219"/>
        <v>*0.92</v>
      </c>
      <c r="P1761" s="32" t="s">
        <v>2635</v>
      </c>
      <c r="Q1761" s="42" t="s">
        <v>57</v>
      </c>
      <c r="R1761" s="32">
        <v>2035</v>
      </c>
      <c r="S1761" s="43" t="str">
        <f t="shared" si="220"/>
        <v>*0.93</v>
      </c>
      <c r="U1761" s="32" t="s">
        <v>2635</v>
      </c>
      <c r="V1761" s="42" t="s">
        <v>57</v>
      </c>
      <c r="W1761" s="32">
        <v>2050</v>
      </c>
      <c r="X1761" s="43" t="str">
        <f t="shared" si="221"/>
        <v>*0.92</v>
      </c>
      <c r="AC1761" s="33" t="s">
        <v>2635</v>
      </c>
      <c r="AD1761" s="44" t="s">
        <v>57</v>
      </c>
      <c r="AE1761" s="33">
        <v>2035</v>
      </c>
      <c r="AF1761" s="45" t="str">
        <f t="shared" si="222"/>
        <v>*0.91</v>
      </c>
      <c r="AG1761" s="43" t="str">
        <f t="shared" si="224"/>
        <v>REZoning_Sol-Win</v>
      </c>
      <c r="AI1761" s="33" t="s">
        <v>2635</v>
      </c>
      <c r="AJ1761" s="44" t="s">
        <v>57</v>
      </c>
      <c r="AK1761" s="33">
        <v>2050</v>
      </c>
      <c r="AL1761" s="45" t="str">
        <f t="shared" si="223"/>
        <v>*0.87</v>
      </c>
      <c r="AM1761" s="43" t="str">
        <f t="shared" si="225"/>
        <v>REZoning_Sol-Win</v>
      </c>
      <c r="AP1761" t="s">
        <v>2635</v>
      </c>
      <c r="AQ1761" t="s">
        <v>57</v>
      </c>
      <c r="AR1761">
        <v>2100</v>
      </c>
      <c r="AS1761" t="s">
        <v>874</v>
      </c>
      <c r="AT1761" t="s">
        <v>58</v>
      </c>
    </row>
    <row r="1762" ht="29" spans="1:46">
      <c r="A1762" s="31" t="s">
        <v>169</v>
      </c>
      <c r="C1762" t="s">
        <v>2636</v>
      </c>
      <c r="D1762" s="5" t="s">
        <v>57</v>
      </c>
      <c r="E1762">
        <v>2035</v>
      </c>
      <c r="F1762" s="6" t="str">
        <f t="shared" si="218"/>
        <v>*0.94</v>
      </c>
      <c r="H1762" t="s">
        <v>2636</v>
      </c>
      <c r="I1762" s="5" t="s">
        <v>57</v>
      </c>
      <c r="J1762">
        <v>2050</v>
      </c>
      <c r="K1762" s="38" t="str">
        <f t="shared" si="219"/>
        <v>*0.92</v>
      </c>
      <c r="P1762" s="32" t="s">
        <v>2636</v>
      </c>
      <c r="Q1762" s="42" t="s">
        <v>57</v>
      </c>
      <c r="R1762" s="32">
        <v>2035</v>
      </c>
      <c r="S1762" s="43" t="str">
        <f t="shared" si="220"/>
        <v>*0.93</v>
      </c>
      <c r="U1762" s="32" t="s">
        <v>2636</v>
      </c>
      <c r="V1762" s="42" t="s">
        <v>57</v>
      </c>
      <c r="W1762" s="32">
        <v>2050</v>
      </c>
      <c r="X1762" s="43" t="str">
        <f t="shared" si="221"/>
        <v>*0.92</v>
      </c>
      <c r="AC1762" s="33" t="s">
        <v>2636</v>
      </c>
      <c r="AD1762" s="44" t="s">
        <v>57</v>
      </c>
      <c r="AE1762" s="33">
        <v>2035</v>
      </c>
      <c r="AF1762" s="45" t="str">
        <f t="shared" si="222"/>
        <v>*0.91</v>
      </c>
      <c r="AG1762" s="43" t="str">
        <f t="shared" si="224"/>
        <v>REZoning_Sol-Win</v>
      </c>
      <c r="AI1762" s="33" t="s">
        <v>2636</v>
      </c>
      <c r="AJ1762" s="44" t="s">
        <v>57</v>
      </c>
      <c r="AK1762" s="33">
        <v>2050</v>
      </c>
      <c r="AL1762" s="45" t="str">
        <f t="shared" si="223"/>
        <v>*0.87</v>
      </c>
      <c r="AM1762" s="43" t="str">
        <f t="shared" si="225"/>
        <v>REZoning_Sol-Win</v>
      </c>
      <c r="AP1762" t="s">
        <v>2636</v>
      </c>
      <c r="AQ1762" t="s">
        <v>57</v>
      </c>
      <c r="AR1762">
        <v>2100</v>
      </c>
      <c r="AS1762" t="s">
        <v>874</v>
      </c>
      <c r="AT1762" t="s">
        <v>58</v>
      </c>
    </row>
    <row r="1763" ht="29" spans="1:46">
      <c r="A1763" s="31" t="s">
        <v>169</v>
      </c>
      <c r="C1763" t="s">
        <v>2637</v>
      </c>
      <c r="D1763" s="5" t="s">
        <v>57</v>
      </c>
      <c r="E1763">
        <v>2035</v>
      </c>
      <c r="F1763" s="6" t="str">
        <f t="shared" si="218"/>
        <v>*0.94</v>
      </c>
      <c r="H1763" t="s">
        <v>2637</v>
      </c>
      <c r="I1763" s="5" t="s">
        <v>57</v>
      </c>
      <c r="J1763">
        <v>2050</v>
      </c>
      <c r="K1763" s="38" t="str">
        <f t="shared" si="219"/>
        <v>*0.92</v>
      </c>
      <c r="P1763" s="32" t="s">
        <v>2637</v>
      </c>
      <c r="Q1763" s="42" t="s">
        <v>57</v>
      </c>
      <c r="R1763" s="32">
        <v>2035</v>
      </c>
      <c r="S1763" s="43" t="str">
        <f t="shared" si="220"/>
        <v>*0.93</v>
      </c>
      <c r="U1763" s="32" t="s">
        <v>2637</v>
      </c>
      <c r="V1763" s="42" t="s">
        <v>57</v>
      </c>
      <c r="W1763" s="32">
        <v>2050</v>
      </c>
      <c r="X1763" s="43" t="str">
        <f t="shared" si="221"/>
        <v>*0.92</v>
      </c>
      <c r="AC1763" s="33" t="s">
        <v>2637</v>
      </c>
      <c r="AD1763" s="44" t="s">
        <v>57</v>
      </c>
      <c r="AE1763" s="33">
        <v>2035</v>
      </c>
      <c r="AF1763" s="45" t="str">
        <f t="shared" si="222"/>
        <v>*0.91</v>
      </c>
      <c r="AG1763" s="43" t="str">
        <f t="shared" si="224"/>
        <v>REZoning_Sol-Win</v>
      </c>
      <c r="AI1763" s="33" t="s">
        <v>2637</v>
      </c>
      <c r="AJ1763" s="44" t="s">
        <v>57</v>
      </c>
      <c r="AK1763" s="33">
        <v>2050</v>
      </c>
      <c r="AL1763" s="45" t="str">
        <f t="shared" si="223"/>
        <v>*0.87</v>
      </c>
      <c r="AM1763" s="43" t="str">
        <f t="shared" si="225"/>
        <v>REZoning_Sol-Win</v>
      </c>
      <c r="AP1763" t="s">
        <v>2637</v>
      </c>
      <c r="AQ1763" t="s">
        <v>57</v>
      </c>
      <c r="AR1763">
        <v>2100</v>
      </c>
      <c r="AS1763" t="s">
        <v>874</v>
      </c>
      <c r="AT1763" t="s">
        <v>58</v>
      </c>
    </row>
    <row r="1764" ht="29" spans="1:46">
      <c r="A1764" s="31" t="s">
        <v>169</v>
      </c>
      <c r="C1764" t="s">
        <v>2638</v>
      </c>
      <c r="D1764" s="5" t="s">
        <v>57</v>
      </c>
      <c r="E1764">
        <v>2035</v>
      </c>
      <c r="F1764" s="6" t="str">
        <f t="shared" si="218"/>
        <v>*0.94</v>
      </c>
      <c r="H1764" t="s">
        <v>2638</v>
      </c>
      <c r="I1764" s="5" t="s">
        <v>57</v>
      </c>
      <c r="J1764">
        <v>2050</v>
      </c>
      <c r="K1764" s="38" t="str">
        <f t="shared" si="219"/>
        <v>*0.92</v>
      </c>
      <c r="P1764" s="32" t="s">
        <v>2638</v>
      </c>
      <c r="Q1764" s="42" t="s">
        <v>57</v>
      </c>
      <c r="R1764" s="32">
        <v>2035</v>
      </c>
      <c r="S1764" s="43" t="str">
        <f t="shared" si="220"/>
        <v>*0.93</v>
      </c>
      <c r="U1764" s="32" t="s">
        <v>2638</v>
      </c>
      <c r="V1764" s="42" t="s">
        <v>57</v>
      </c>
      <c r="W1764" s="32">
        <v>2050</v>
      </c>
      <c r="X1764" s="43" t="str">
        <f t="shared" si="221"/>
        <v>*0.92</v>
      </c>
      <c r="AC1764" s="33" t="s">
        <v>2638</v>
      </c>
      <c r="AD1764" s="44" t="s">
        <v>57</v>
      </c>
      <c r="AE1764" s="33">
        <v>2035</v>
      </c>
      <c r="AF1764" s="45" t="str">
        <f t="shared" si="222"/>
        <v>*0.91</v>
      </c>
      <c r="AG1764" s="43" t="str">
        <f t="shared" si="224"/>
        <v>REZoning_Sol-Win</v>
      </c>
      <c r="AI1764" s="33" t="s">
        <v>2638</v>
      </c>
      <c r="AJ1764" s="44" t="s">
        <v>57</v>
      </c>
      <c r="AK1764" s="33">
        <v>2050</v>
      </c>
      <c r="AL1764" s="45" t="str">
        <f t="shared" si="223"/>
        <v>*0.87</v>
      </c>
      <c r="AM1764" s="43" t="str">
        <f t="shared" si="225"/>
        <v>REZoning_Sol-Win</v>
      </c>
      <c r="AP1764" t="s">
        <v>2638</v>
      </c>
      <c r="AQ1764" t="s">
        <v>57</v>
      </c>
      <c r="AR1764">
        <v>2100</v>
      </c>
      <c r="AS1764" t="s">
        <v>874</v>
      </c>
      <c r="AT1764" t="s">
        <v>58</v>
      </c>
    </row>
    <row r="1765" ht="29" spans="1:46">
      <c r="A1765" s="31" t="s">
        <v>169</v>
      </c>
      <c r="C1765" t="s">
        <v>2639</v>
      </c>
      <c r="D1765" s="5" t="s">
        <v>57</v>
      </c>
      <c r="E1765">
        <v>2035</v>
      </c>
      <c r="F1765" s="6" t="str">
        <f t="shared" si="218"/>
        <v>*0.94</v>
      </c>
      <c r="H1765" t="s">
        <v>2639</v>
      </c>
      <c r="I1765" s="5" t="s">
        <v>57</v>
      </c>
      <c r="J1765">
        <v>2050</v>
      </c>
      <c r="K1765" s="38" t="str">
        <f t="shared" si="219"/>
        <v>*0.92</v>
      </c>
      <c r="P1765" s="32" t="s">
        <v>2639</v>
      </c>
      <c r="Q1765" s="42" t="s">
        <v>57</v>
      </c>
      <c r="R1765" s="32">
        <v>2035</v>
      </c>
      <c r="S1765" s="43" t="str">
        <f t="shared" si="220"/>
        <v>*0.93</v>
      </c>
      <c r="U1765" s="32" t="s">
        <v>2639</v>
      </c>
      <c r="V1765" s="42" t="s">
        <v>57</v>
      </c>
      <c r="W1765" s="32">
        <v>2050</v>
      </c>
      <c r="X1765" s="43" t="str">
        <f t="shared" si="221"/>
        <v>*0.92</v>
      </c>
      <c r="AC1765" s="33" t="s">
        <v>2639</v>
      </c>
      <c r="AD1765" s="44" t="s">
        <v>57</v>
      </c>
      <c r="AE1765" s="33">
        <v>2035</v>
      </c>
      <c r="AF1765" s="45" t="str">
        <f t="shared" si="222"/>
        <v>*0.91</v>
      </c>
      <c r="AG1765" s="43" t="str">
        <f t="shared" si="224"/>
        <v>REZoning_Sol-Win</v>
      </c>
      <c r="AI1765" s="33" t="s">
        <v>2639</v>
      </c>
      <c r="AJ1765" s="44" t="s">
        <v>57</v>
      </c>
      <c r="AK1765" s="33">
        <v>2050</v>
      </c>
      <c r="AL1765" s="45" t="str">
        <f t="shared" si="223"/>
        <v>*0.87</v>
      </c>
      <c r="AM1765" s="43" t="str">
        <f t="shared" si="225"/>
        <v>REZoning_Sol-Win</v>
      </c>
      <c r="AP1765" t="s">
        <v>2639</v>
      </c>
      <c r="AQ1765" t="s">
        <v>57</v>
      </c>
      <c r="AR1765">
        <v>2100</v>
      </c>
      <c r="AS1765" t="s">
        <v>874</v>
      </c>
      <c r="AT1765" t="s">
        <v>58</v>
      </c>
    </row>
    <row r="1766" ht="29" spans="1:46">
      <c r="A1766" s="31" t="s">
        <v>169</v>
      </c>
      <c r="C1766" t="s">
        <v>2640</v>
      </c>
      <c r="D1766" s="5" t="s">
        <v>57</v>
      </c>
      <c r="E1766">
        <v>2035</v>
      </c>
      <c r="F1766" s="6" t="str">
        <f t="shared" si="218"/>
        <v>*0.94</v>
      </c>
      <c r="H1766" t="s">
        <v>2640</v>
      </c>
      <c r="I1766" s="5" t="s">
        <v>57</v>
      </c>
      <c r="J1766">
        <v>2050</v>
      </c>
      <c r="K1766" s="38" t="str">
        <f t="shared" si="219"/>
        <v>*0.92</v>
      </c>
      <c r="P1766" s="32" t="s">
        <v>2640</v>
      </c>
      <c r="Q1766" s="42" t="s">
        <v>57</v>
      </c>
      <c r="R1766" s="32">
        <v>2035</v>
      </c>
      <c r="S1766" s="43" t="str">
        <f t="shared" si="220"/>
        <v>*0.93</v>
      </c>
      <c r="U1766" s="32" t="s">
        <v>2640</v>
      </c>
      <c r="V1766" s="42" t="s">
        <v>57</v>
      </c>
      <c r="W1766" s="32">
        <v>2050</v>
      </c>
      <c r="X1766" s="43" t="str">
        <f t="shared" si="221"/>
        <v>*0.92</v>
      </c>
      <c r="AC1766" s="33" t="s">
        <v>2640</v>
      </c>
      <c r="AD1766" s="44" t="s">
        <v>57</v>
      </c>
      <c r="AE1766" s="33">
        <v>2035</v>
      </c>
      <c r="AF1766" s="45" t="str">
        <f t="shared" si="222"/>
        <v>*0.91</v>
      </c>
      <c r="AG1766" s="43" t="str">
        <f t="shared" si="224"/>
        <v>REZoning_Sol-Win</v>
      </c>
      <c r="AI1766" s="33" t="s">
        <v>2640</v>
      </c>
      <c r="AJ1766" s="44" t="s">
        <v>57</v>
      </c>
      <c r="AK1766" s="33">
        <v>2050</v>
      </c>
      <c r="AL1766" s="45" t="str">
        <f t="shared" si="223"/>
        <v>*0.87</v>
      </c>
      <c r="AM1766" s="43" t="str">
        <f t="shared" si="225"/>
        <v>REZoning_Sol-Win</v>
      </c>
      <c r="AP1766" t="s">
        <v>2640</v>
      </c>
      <c r="AQ1766" t="s">
        <v>57</v>
      </c>
      <c r="AR1766">
        <v>2100</v>
      </c>
      <c r="AS1766" t="s">
        <v>874</v>
      </c>
      <c r="AT1766" t="s">
        <v>58</v>
      </c>
    </row>
    <row r="1767" ht="29" spans="1:46">
      <c r="A1767" s="31" t="s">
        <v>169</v>
      </c>
      <c r="C1767" t="s">
        <v>2641</v>
      </c>
      <c r="D1767" s="5" t="s">
        <v>57</v>
      </c>
      <c r="E1767">
        <v>2035</v>
      </c>
      <c r="F1767" s="6" t="str">
        <f t="shared" si="218"/>
        <v>*0.94</v>
      </c>
      <c r="H1767" t="s">
        <v>2641</v>
      </c>
      <c r="I1767" s="5" t="s">
        <v>57</v>
      </c>
      <c r="J1767">
        <v>2050</v>
      </c>
      <c r="K1767" s="38" t="str">
        <f t="shared" si="219"/>
        <v>*0.92</v>
      </c>
      <c r="P1767" s="32" t="s">
        <v>2641</v>
      </c>
      <c r="Q1767" s="42" t="s">
        <v>57</v>
      </c>
      <c r="R1767" s="32">
        <v>2035</v>
      </c>
      <c r="S1767" s="43" t="str">
        <f t="shared" si="220"/>
        <v>*0.93</v>
      </c>
      <c r="U1767" s="32" t="s">
        <v>2641</v>
      </c>
      <c r="V1767" s="42" t="s">
        <v>57</v>
      </c>
      <c r="W1767" s="32">
        <v>2050</v>
      </c>
      <c r="X1767" s="43" t="str">
        <f t="shared" si="221"/>
        <v>*0.92</v>
      </c>
      <c r="AC1767" s="33" t="s">
        <v>2641</v>
      </c>
      <c r="AD1767" s="44" t="s">
        <v>57</v>
      </c>
      <c r="AE1767" s="33">
        <v>2035</v>
      </c>
      <c r="AF1767" s="45" t="str">
        <f t="shared" si="222"/>
        <v>*0.91</v>
      </c>
      <c r="AG1767" s="43" t="str">
        <f t="shared" si="224"/>
        <v>REZoning_Sol-Win</v>
      </c>
      <c r="AI1767" s="33" t="s">
        <v>2641</v>
      </c>
      <c r="AJ1767" s="44" t="s">
        <v>57</v>
      </c>
      <c r="AK1767" s="33">
        <v>2050</v>
      </c>
      <c r="AL1767" s="45" t="str">
        <f t="shared" si="223"/>
        <v>*0.87</v>
      </c>
      <c r="AM1767" s="43" t="str">
        <f t="shared" si="225"/>
        <v>REZoning_Sol-Win</v>
      </c>
      <c r="AP1767" t="s">
        <v>2641</v>
      </c>
      <c r="AQ1767" t="s">
        <v>57</v>
      </c>
      <c r="AR1767">
        <v>2100</v>
      </c>
      <c r="AS1767" t="s">
        <v>874</v>
      </c>
      <c r="AT1767" t="s">
        <v>58</v>
      </c>
    </row>
    <row r="1768" ht="29" spans="1:46">
      <c r="A1768" s="31" t="s">
        <v>169</v>
      </c>
      <c r="C1768" t="s">
        <v>2642</v>
      </c>
      <c r="D1768" s="5" t="s">
        <v>57</v>
      </c>
      <c r="E1768">
        <v>2035</v>
      </c>
      <c r="F1768" s="6" t="str">
        <f t="shared" si="218"/>
        <v>*0.94</v>
      </c>
      <c r="H1768" t="s">
        <v>2642</v>
      </c>
      <c r="I1768" s="5" t="s">
        <v>57</v>
      </c>
      <c r="J1768">
        <v>2050</v>
      </c>
      <c r="K1768" s="38" t="str">
        <f t="shared" si="219"/>
        <v>*0.92</v>
      </c>
      <c r="P1768" s="32" t="s">
        <v>2642</v>
      </c>
      <c r="Q1768" s="42" t="s">
        <v>57</v>
      </c>
      <c r="R1768" s="32">
        <v>2035</v>
      </c>
      <c r="S1768" s="43" t="str">
        <f t="shared" si="220"/>
        <v>*0.93</v>
      </c>
      <c r="U1768" s="32" t="s">
        <v>2642</v>
      </c>
      <c r="V1768" s="42" t="s">
        <v>57</v>
      </c>
      <c r="W1768" s="32">
        <v>2050</v>
      </c>
      <c r="X1768" s="43" t="str">
        <f t="shared" si="221"/>
        <v>*0.92</v>
      </c>
      <c r="AC1768" s="33" t="s">
        <v>2642</v>
      </c>
      <c r="AD1768" s="44" t="s">
        <v>57</v>
      </c>
      <c r="AE1768" s="33">
        <v>2035</v>
      </c>
      <c r="AF1768" s="45" t="str">
        <f t="shared" si="222"/>
        <v>*0.91</v>
      </c>
      <c r="AG1768" s="43" t="str">
        <f t="shared" si="224"/>
        <v>REZoning_Sol-Win</v>
      </c>
      <c r="AI1768" s="33" t="s">
        <v>2642</v>
      </c>
      <c r="AJ1768" s="44" t="s">
        <v>57</v>
      </c>
      <c r="AK1768" s="33">
        <v>2050</v>
      </c>
      <c r="AL1768" s="45" t="str">
        <f t="shared" si="223"/>
        <v>*0.87</v>
      </c>
      <c r="AM1768" s="43" t="str">
        <f t="shared" si="225"/>
        <v>REZoning_Sol-Win</v>
      </c>
      <c r="AP1768" t="s">
        <v>2642</v>
      </c>
      <c r="AQ1768" t="s">
        <v>57</v>
      </c>
      <c r="AR1768">
        <v>2100</v>
      </c>
      <c r="AS1768" t="s">
        <v>874</v>
      </c>
      <c r="AT1768" t="s">
        <v>58</v>
      </c>
    </row>
    <row r="1769" ht="29" spans="1:46">
      <c r="A1769" s="31" t="s">
        <v>169</v>
      </c>
      <c r="C1769" t="s">
        <v>2643</v>
      </c>
      <c r="D1769" s="5" t="s">
        <v>57</v>
      </c>
      <c r="E1769">
        <v>2035</v>
      </c>
      <c r="F1769" s="6" t="str">
        <f t="shared" si="218"/>
        <v>*0.94</v>
      </c>
      <c r="H1769" t="s">
        <v>2643</v>
      </c>
      <c r="I1769" s="5" t="s">
        <v>57</v>
      </c>
      <c r="J1769">
        <v>2050</v>
      </c>
      <c r="K1769" s="38" t="str">
        <f t="shared" si="219"/>
        <v>*0.92</v>
      </c>
      <c r="P1769" s="32" t="s">
        <v>2643</v>
      </c>
      <c r="Q1769" s="42" t="s">
        <v>57</v>
      </c>
      <c r="R1769" s="32">
        <v>2035</v>
      </c>
      <c r="S1769" s="43" t="str">
        <f t="shared" si="220"/>
        <v>*0.93</v>
      </c>
      <c r="U1769" s="32" t="s">
        <v>2643</v>
      </c>
      <c r="V1769" s="42" t="s">
        <v>57</v>
      </c>
      <c r="W1769" s="32">
        <v>2050</v>
      </c>
      <c r="X1769" s="43" t="str">
        <f t="shared" si="221"/>
        <v>*0.92</v>
      </c>
      <c r="AC1769" s="33" t="s">
        <v>2643</v>
      </c>
      <c r="AD1769" s="44" t="s">
        <v>57</v>
      </c>
      <c r="AE1769" s="33">
        <v>2035</v>
      </c>
      <c r="AF1769" s="45" t="str">
        <f t="shared" si="222"/>
        <v>*0.91</v>
      </c>
      <c r="AG1769" s="43" t="str">
        <f t="shared" si="224"/>
        <v>REZoning_Sol-Win</v>
      </c>
      <c r="AI1769" s="33" t="s">
        <v>2643</v>
      </c>
      <c r="AJ1769" s="44" t="s">
        <v>57</v>
      </c>
      <c r="AK1769" s="33">
        <v>2050</v>
      </c>
      <c r="AL1769" s="45" t="str">
        <f t="shared" si="223"/>
        <v>*0.87</v>
      </c>
      <c r="AM1769" s="43" t="str">
        <f t="shared" si="225"/>
        <v>REZoning_Sol-Win</v>
      </c>
      <c r="AP1769" t="s">
        <v>2643</v>
      </c>
      <c r="AQ1769" t="s">
        <v>57</v>
      </c>
      <c r="AR1769">
        <v>2100</v>
      </c>
      <c r="AS1769" t="s">
        <v>874</v>
      </c>
      <c r="AT1769" t="s">
        <v>58</v>
      </c>
    </row>
    <row r="1770" ht="29" spans="1:46">
      <c r="A1770" s="31" t="s">
        <v>169</v>
      </c>
      <c r="C1770" t="s">
        <v>2644</v>
      </c>
      <c r="D1770" s="5" t="s">
        <v>57</v>
      </c>
      <c r="E1770">
        <v>2035</v>
      </c>
      <c r="F1770" s="6" t="str">
        <f t="shared" si="218"/>
        <v>*0.94</v>
      </c>
      <c r="H1770" t="s">
        <v>2644</v>
      </c>
      <c r="I1770" s="5" t="s">
        <v>57</v>
      </c>
      <c r="J1770">
        <v>2050</v>
      </c>
      <c r="K1770" s="38" t="str">
        <f t="shared" si="219"/>
        <v>*0.92</v>
      </c>
      <c r="P1770" s="32" t="s">
        <v>2644</v>
      </c>
      <c r="Q1770" s="42" t="s">
        <v>57</v>
      </c>
      <c r="R1770" s="32">
        <v>2035</v>
      </c>
      <c r="S1770" s="43" t="str">
        <f t="shared" si="220"/>
        <v>*0.93</v>
      </c>
      <c r="U1770" s="32" t="s">
        <v>2644</v>
      </c>
      <c r="V1770" s="42" t="s">
        <v>57</v>
      </c>
      <c r="W1770" s="32">
        <v>2050</v>
      </c>
      <c r="X1770" s="43" t="str">
        <f t="shared" si="221"/>
        <v>*0.92</v>
      </c>
      <c r="AC1770" s="33" t="s">
        <v>2644</v>
      </c>
      <c r="AD1770" s="44" t="s">
        <v>57</v>
      </c>
      <c r="AE1770" s="33">
        <v>2035</v>
      </c>
      <c r="AF1770" s="45" t="str">
        <f t="shared" si="222"/>
        <v>*0.91</v>
      </c>
      <c r="AG1770" s="43" t="str">
        <f t="shared" si="224"/>
        <v>REZoning_Sol-Win</v>
      </c>
      <c r="AI1770" s="33" t="s">
        <v>2644</v>
      </c>
      <c r="AJ1770" s="44" t="s">
        <v>57</v>
      </c>
      <c r="AK1770" s="33">
        <v>2050</v>
      </c>
      <c r="AL1770" s="45" t="str">
        <f t="shared" si="223"/>
        <v>*0.87</v>
      </c>
      <c r="AM1770" s="43" t="str">
        <f t="shared" si="225"/>
        <v>REZoning_Sol-Win</v>
      </c>
      <c r="AP1770" t="s">
        <v>2644</v>
      </c>
      <c r="AQ1770" t="s">
        <v>57</v>
      </c>
      <c r="AR1770">
        <v>2100</v>
      </c>
      <c r="AS1770" t="s">
        <v>874</v>
      </c>
      <c r="AT1770" t="s">
        <v>58</v>
      </c>
    </row>
    <row r="1771" ht="29" spans="1:46">
      <c r="A1771" s="31" t="s">
        <v>169</v>
      </c>
      <c r="C1771" t="s">
        <v>2645</v>
      </c>
      <c r="D1771" s="5" t="s">
        <v>57</v>
      </c>
      <c r="E1771">
        <v>2035</v>
      </c>
      <c r="F1771" s="6" t="str">
        <f t="shared" si="218"/>
        <v>*0.94</v>
      </c>
      <c r="H1771" t="s">
        <v>2645</v>
      </c>
      <c r="I1771" s="5" t="s">
        <v>57</v>
      </c>
      <c r="J1771">
        <v>2050</v>
      </c>
      <c r="K1771" s="38" t="str">
        <f t="shared" si="219"/>
        <v>*0.92</v>
      </c>
      <c r="P1771" s="32" t="s">
        <v>2645</v>
      </c>
      <c r="Q1771" s="42" t="s">
        <v>57</v>
      </c>
      <c r="R1771" s="32">
        <v>2035</v>
      </c>
      <c r="S1771" s="43" t="str">
        <f t="shared" si="220"/>
        <v>*0.93</v>
      </c>
      <c r="U1771" s="32" t="s">
        <v>2645</v>
      </c>
      <c r="V1771" s="42" t="s">
        <v>57</v>
      </c>
      <c r="W1771" s="32">
        <v>2050</v>
      </c>
      <c r="X1771" s="43" t="str">
        <f t="shared" si="221"/>
        <v>*0.92</v>
      </c>
      <c r="AC1771" s="33" t="s">
        <v>2645</v>
      </c>
      <c r="AD1771" s="44" t="s">
        <v>57</v>
      </c>
      <c r="AE1771" s="33">
        <v>2035</v>
      </c>
      <c r="AF1771" s="45" t="str">
        <f t="shared" si="222"/>
        <v>*0.91</v>
      </c>
      <c r="AG1771" s="43" t="str">
        <f t="shared" si="224"/>
        <v>REZoning_Sol-Win</v>
      </c>
      <c r="AI1771" s="33" t="s">
        <v>2645</v>
      </c>
      <c r="AJ1771" s="44" t="s">
        <v>57</v>
      </c>
      <c r="AK1771" s="33">
        <v>2050</v>
      </c>
      <c r="AL1771" s="45" t="str">
        <f t="shared" si="223"/>
        <v>*0.87</v>
      </c>
      <c r="AM1771" s="43" t="str">
        <f t="shared" si="225"/>
        <v>REZoning_Sol-Win</v>
      </c>
      <c r="AP1771" t="s">
        <v>2645</v>
      </c>
      <c r="AQ1771" t="s">
        <v>57</v>
      </c>
      <c r="AR1771">
        <v>2100</v>
      </c>
      <c r="AS1771" t="s">
        <v>874</v>
      </c>
      <c r="AT1771" t="s">
        <v>58</v>
      </c>
    </row>
    <row r="1772" ht="29" spans="1:46">
      <c r="A1772" s="31" t="s">
        <v>169</v>
      </c>
      <c r="C1772" t="s">
        <v>2646</v>
      </c>
      <c r="D1772" s="5" t="s">
        <v>57</v>
      </c>
      <c r="E1772">
        <v>2035</v>
      </c>
      <c r="F1772" s="6" t="str">
        <f t="shared" si="218"/>
        <v>*0.94</v>
      </c>
      <c r="H1772" t="s">
        <v>2646</v>
      </c>
      <c r="I1772" s="5" t="s">
        <v>57</v>
      </c>
      <c r="J1772">
        <v>2050</v>
      </c>
      <c r="K1772" s="38" t="str">
        <f t="shared" si="219"/>
        <v>*0.92</v>
      </c>
      <c r="P1772" s="32" t="s">
        <v>2646</v>
      </c>
      <c r="Q1772" s="42" t="s">
        <v>57</v>
      </c>
      <c r="R1772" s="32">
        <v>2035</v>
      </c>
      <c r="S1772" s="43" t="str">
        <f t="shared" si="220"/>
        <v>*0.93</v>
      </c>
      <c r="U1772" s="32" t="s">
        <v>2646</v>
      </c>
      <c r="V1772" s="42" t="s">
        <v>57</v>
      </c>
      <c r="W1772" s="32">
        <v>2050</v>
      </c>
      <c r="X1772" s="43" t="str">
        <f t="shared" si="221"/>
        <v>*0.92</v>
      </c>
      <c r="AC1772" s="33" t="s">
        <v>2646</v>
      </c>
      <c r="AD1772" s="44" t="s">
        <v>57</v>
      </c>
      <c r="AE1772" s="33">
        <v>2035</v>
      </c>
      <c r="AF1772" s="45" t="str">
        <f t="shared" si="222"/>
        <v>*0.91</v>
      </c>
      <c r="AG1772" s="43" t="str">
        <f t="shared" si="224"/>
        <v>REZoning_Sol-Win</v>
      </c>
      <c r="AI1772" s="33" t="s">
        <v>2646</v>
      </c>
      <c r="AJ1772" s="44" t="s">
        <v>57</v>
      </c>
      <c r="AK1772" s="33">
        <v>2050</v>
      </c>
      <c r="AL1772" s="45" t="str">
        <f t="shared" si="223"/>
        <v>*0.87</v>
      </c>
      <c r="AM1772" s="43" t="str">
        <f t="shared" si="225"/>
        <v>REZoning_Sol-Win</v>
      </c>
      <c r="AP1772" t="s">
        <v>2646</v>
      </c>
      <c r="AQ1772" t="s">
        <v>57</v>
      </c>
      <c r="AR1772">
        <v>2100</v>
      </c>
      <c r="AS1772" t="s">
        <v>874</v>
      </c>
      <c r="AT1772" t="s">
        <v>58</v>
      </c>
    </row>
    <row r="1773" ht="29" spans="1:46">
      <c r="A1773" s="31" t="s">
        <v>169</v>
      </c>
      <c r="C1773" t="s">
        <v>2647</v>
      </c>
      <c r="D1773" s="5" t="s">
        <v>57</v>
      </c>
      <c r="E1773">
        <v>2035</v>
      </c>
      <c r="F1773" s="6" t="str">
        <f t="shared" si="218"/>
        <v>*0.94</v>
      </c>
      <c r="H1773" t="s">
        <v>2647</v>
      </c>
      <c r="I1773" s="5" t="s">
        <v>57</v>
      </c>
      <c r="J1773">
        <v>2050</v>
      </c>
      <c r="K1773" s="38" t="str">
        <f t="shared" si="219"/>
        <v>*0.92</v>
      </c>
      <c r="P1773" s="32" t="s">
        <v>2647</v>
      </c>
      <c r="Q1773" s="42" t="s">
        <v>57</v>
      </c>
      <c r="R1773" s="32">
        <v>2035</v>
      </c>
      <c r="S1773" s="43" t="str">
        <f t="shared" si="220"/>
        <v>*0.93</v>
      </c>
      <c r="U1773" s="32" t="s">
        <v>2647</v>
      </c>
      <c r="V1773" s="42" t="s">
        <v>57</v>
      </c>
      <c r="W1773" s="32">
        <v>2050</v>
      </c>
      <c r="X1773" s="43" t="str">
        <f t="shared" si="221"/>
        <v>*0.92</v>
      </c>
      <c r="AC1773" s="33" t="s">
        <v>2647</v>
      </c>
      <c r="AD1773" s="44" t="s">
        <v>57</v>
      </c>
      <c r="AE1773" s="33">
        <v>2035</v>
      </c>
      <c r="AF1773" s="45" t="str">
        <f t="shared" si="222"/>
        <v>*0.91</v>
      </c>
      <c r="AG1773" s="43" t="str">
        <f t="shared" si="224"/>
        <v>REZoning_Sol-Win</v>
      </c>
      <c r="AI1773" s="33" t="s">
        <v>2647</v>
      </c>
      <c r="AJ1773" s="44" t="s">
        <v>57</v>
      </c>
      <c r="AK1773" s="33">
        <v>2050</v>
      </c>
      <c r="AL1773" s="45" t="str">
        <f t="shared" si="223"/>
        <v>*0.87</v>
      </c>
      <c r="AM1773" s="43" t="str">
        <f t="shared" si="225"/>
        <v>REZoning_Sol-Win</v>
      </c>
      <c r="AP1773" t="s">
        <v>2647</v>
      </c>
      <c r="AQ1773" t="s">
        <v>57</v>
      </c>
      <c r="AR1773">
        <v>2100</v>
      </c>
      <c r="AS1773" t="s">
        <v>874</v>
      </c>
      <c r="AT1773" t="s">
        <v>58</v>
      </c>
    </row>
    <row r="1774" ht="29" spans="1:46">
      <c r="A1774" s="31" t="s">
        <v>169</v>
      </c>
      <c r="C1774" t="s">
        <v>2648</v>
      </c>
      <c r="D1774" s="5" t="s">
        <v>57</v>
      </c>
      <c r="E1774">
        <v>2035</v>
      </c>
      <c r="F1774" s="6" t="str">
        <f t="shared" si="218"/>
        <v>*0.94</v>
      </c>
      <c r="H1774" t="s">
        <v>2648</v>
      </c>
      <c r="I1774" s="5" t="s">
        <v>57</v>
      </c>
      <c r="J1774">
        <v>2050</v>
      </c>
      <c r="K1774" s="38" t="str">
        <f t="shared" si="219"/>
        <v>*0.92</v>
      </c>
      <c r="P1774" s="32" t="s">
        <v>2648</v>
      </c>
      <c r="Q1774" s="42" t="s">
        <v>57</v>
      </c>
      <c r="R1774" s="32">
        <v>2035</v>
      </c>
      <c r="S1774" s="43" t="str">
        <f t="shared" si="220"/>
        <v>*0.93</v>
      </c>
      <c r="U1774" s="32" t="s">
        <v>2648</v>
      </c>
      <c r="V1774" s="42" t="s">
        <v>57</v>
      </c>
      <c r="W1774" s="32">
        <v>2050</v>
      </c>
      <c r="X1774" s="43" t="str">
        <f t="shared" si="221"/>
        <v>*0.92</v>
      </c>
      <c r="AC1774" s="33" t="s">
        <v>2648</v>
      </c>
      <c r="AD1774" s="44" t="s">
        <v>57</v>
      </c>
      <c r="AE1774" s="33">
        <v>2035</v>
      </c>
      <c r="AF1774" s="45" t="str">
        <f t="shared" si="222"/>
        <v>*0.91</v>
      </c>
      <c r="AG1774" s="43" t="str">
        <f t="shared" si="224"/>
        <v>REZoning_Sol-Win</v>
      </c>
      <c r="AI1774" s="33" t="s">
        <v>2648</v>
      </c>
      <c r="AJ1774" s="44" t="s">
        <v>57</v>
      </c>
      <c r="AK1774" s="33">
        <v>2050</v>
      </c>
      <c r="AL1774" s="45" t="str">
        <f t="shared" si="223"/>
        <v>*0.87</v>
      </c>
      <c r="AM1774" s="43" t="str">
        <f t="shared" si="225"/>
        <v>REZoning_Sol-Win</v>
      </c>
      <c r="AP1774" t="s">
        <v>2648</v>
      </c>
      <c r="AQ1774" t="s">
        <v>57</v>
      </c>
      <c r="AR1774">
        <v>2100</v>
      </c>
      <c r="AS1774" t="s">
        <v>874</v>
      </c>
      <c r="AT1774" t="s">
        <v>58</v>
      </c>
    </row>
    <row r="1775" ht="29" spans="1:46">
      <c r="A1775" s="31" t="s">
        <v>169</v>
      </c>
      <c r="C1775" t="s">
        <v>2649</v>
      </c>
      <c r="D1775" s="5" t="s">
        <v>57</v>
      </c>
      <c r="E1775">
        <v>2035</v>
      </c>
      <c r="F1775" s="6" t="str">
        <f t="shared" si="218"/>
        <v>*0.94</v>
      </c>
      <c r="H1775" t="s">
        <v>2649</v>
      </c>
      <c r="I1775" s="5" t="s">
        <v>57</v>
      </c>
      <c r="J1775">
        <v>2050</v>
      </c>
      <c r="K1775" s="38" t="str">
        <f t="shared" si="219"/>
        <v>*0.92</v>
      </c>
      <c r="P1775" s="32" t="s">
        <v>2649</v>
      </c>
      <c r="Q1775" s="42" t="s">
        <v>57</v>
      </c>
      <c r="R1775" s="32">
        <v>2035</v>
      </c>
      <c r="S1775" s="43" t="str">
        <f t="shared" si="220"/>
        <v>*0.93</v>
      </c>
      <c r="U1775" s="32" t="s">
        <v>2649</v>
      </c>
      <c r="V1775" s="42" t="s">
        <v>57</v>
      </c>
      <c r="W1775" s="32">
        <v>2050</v>
      </c>
      <c r="X1775" s="43" t="str">
        <f t="shared" si="221"/>
        <v>*0.92</v>
      </c>
      <c r="AC1775" s="33" t="s">
        <v>2649</v>
      </c>
      <c r="AD1775" s="44" t="s">
        <v>57</v>
      </c>
      <c r="AE1775" s="33">
        <v>2035</v>
      </c>
      <c r="AF1775" s="45" t="str">
        <f t="shared" si="222"/>
        <v>*0.91</v>
      </c>
      <c r="AG1775" s="43" t="str">
        <f t="shared" si="224"/>
        <v>REZoning_Sol-Win</v>
      </c>
      <c r="AI1775" s="33" t="s">
        <v>2649</v>
      </c>
      <c r="AJ1775" s="44" t="s">
        <v>57</v>
      </c>
      <c r="AK1775" s="33">
        <v>2050</v>
      </c>
      <c r="AL1775" s="45" t="str">
        <f t="shared" si="223"/>
        <v>*0.87</v>
      </c>
      <c r="AM1775" s="43" t="str">
        <f t="shared" si="225"/>
        <v>REZoning_Sol-Win</v>
      </c>
      <c r="AP1775" t="s">
        <v>2649</v>
      </c>
      <c r="AQ1775" t="s">
        <v>57</v>
      </c>
      <c r="AR1775">
        <v>2100</v>
      </c>
      <c r="AS1775" t="s">
        <v>874</v>
      </c>
      <c r="AT1775" t="s">
        <v>58</v>
      </c>
    </row>
    <row r="1776" ht="29" spans="1:46">
      <c r="A1776" s="31" t="s">
        <v>169</v>
      </c>
      <c r="C1776" t="s">
        <v>2650</v>
      </c>
      <c r="D1776" s="5" t="s">
        <v>57</v>
      </c>
      <c r="E1776">
        <v>2035</v>
      </c>
      <c r="F1776" s="6" t="str">
        <f t="shared" si="218"/>
        <v>*0.94</v>
      </c>
      <c r="H1776" t="s">
        <v>2650</v>
      </c>
      <c r="I1776" s="5" t="s">
        <v>57</v>
      </c>
      <c r="J1776">
        <v>2050</v>
      </c>
      <c r="K1776" s="38" t="str">
        <f t="shared" si="219"/>
        <v>*0.92</v>
      </c>
      <c r="P1776" s="32" t="s">
        <v>2650</v>
      </c>
      <c r="Q1776" s="42" t="s">
        <v>57</v>
      </c>
      <c r="R1776" s="32">
        <v>2035</v>
      </c>
      <c r="S1776" s="43" t="str">
        <f t="shared" si="220"/>
        <v>*0.93</v>
      </c>
      <c r="U1776" s="32" t="s">
        <v>2650</v>
      </c>
      <c r="V1776" s="42" t="s">
        <v>57</v>
      </c>
      <c r="W1776" s="32">
        <v>2050</v>
      </c>
      <c r="X1776" s="43" t="str">
        <f t="shared" si="221"/>
        <v>*0.92</v>
      </c>
      <c r="AC1776" s="33" t="s">
        <v>2650</v>
      </c>
      <c r="AD1776" s="44" t="s">
        <v>57</v>
      </c>
      <c r="AE1776" s="33">
        <v>2035</v>
      </c>
      <c r="AF1776" s="45" t="str">
        <f t="shared" si="222"/>
        <v>*0.91</v>
      </c>
      <c r="AG1776" s="43" t="str">
        <f t="shared" si="224"/>
        <v>REZoning_Sol-Win</v>
      </c>
      <c r="AI1776" s="33" t="s">
        <v>2650</v>
      </c>
      <c r="AJ1776" s="44" t="s">
        <v>57</v>
      </c>
      <c r="AK1776" s="33">
        <v>2050</v>
      </c>
      <c r="AL1776" s="45" t="str">
        <f t="shared" si="223"/>
        <v>*0.87</v>
      </c>
      <c r="AM1776" s="43" t="str">
        <f t="shared" si="225"/>
        <v>REZoning_Sol-Win</v>
      </c>
      <c r="AP1776" t="s">
        <v>2650</v>
      </c>
      <c r="AQ1776" t="s">
        <v>57</v>
      </c>
      <c r="AR1776">
        <v>2100</v>
      </c>
      <c r="AS1776" t="s">
        <v>874</v>
      </c>
      <c r="AT1776" t="s">
        <v>58</v>
      </c>
    </row>
    <row r="1777" ht="29" spans="1:46">
      <c r="A1777" s="31" t="s">
        <v>169</v>
      </c>
      <c r="C1777" t="s">
        <v>2651</v>
      </c>
      <c r="D1777" s="5" t="s">
        <v>57</v>
      </c>
      <c r="E1777">
        <v>2035</v>
      </c>
      <c r="F1777" s="6" t="str">
        <f t="shared" si="218"/>
        <v>*0.94</v>
      </c>
      <c r="H1777" t="s">
        <v>2651</v>
      </c>
      <c r="I1777" s="5" t="s">
        <v>57</v>
      </c>
      <c r="J1777">
        <v>2050</v>
      </c>
      <c r="K1777" s="38" t="str">
        <f t="shared" si="219"/>
        <v>*0.92</v>
      </c>
      <c r="P1777" s="32" t="s">
        <v>2651</v>
      </c>
      <c r="Q1777" s="42" t="s">
        <v>57</v>
      </c>
      <c r="R1777" s="32">
        <v>2035</v>
      </c>
      <c r="S1777" s="43" t="str">
        <f t="shared" si="220"/>
        <v>*0.93</v>
      </c>
      <c r="U1777" s="32" t="s">
        <v>2651</v>
      </c>
      <c r="V1777" s="42" t="s">
        <v>57</v>
      </c>
      <c r="W1777" s="32">
        <v>2050</v>
      </c>
      <c r="X1777" s="43" t="str">
        <f t="shared" si="221"/>
        <v>*0.92</v>
      </c>
      <c r="AC1777" s="33" t="s">
        <v>2651</v>
      </c>
      <c r="AD1777" s="44" t="s">
        <v>57</v>
      </c>
      <c r="AE1777" s="33">
        <v>2035</v>
      </c>
      <c r="AF1777" s="45" t="str">
        <f t="shared" si="222"/>
        <v>*0.91</v>
      </c>
      <c r="AG1777" s="43" t="str">
        <f t="shared" si="224"/>
        <v>REZoning_Sol-Win</v>
      </c>
      <c r="AI1777" s="33" t="s">
        <v>2651</v>
      </c>
      <c r="AJ1777" s="44" t="s">
        <v>57</v>
      </c>
      <c r="AK1777" s="33">
        <v>2050</v>
      </c>
      <c r="AL1777" s="45" t="str">
        <f t="shared" si="223"/>
        <v>*0.87</v>
      </c>
      <c r="AM1777" s="43" t="str">
        <f t="shared" si="225"/>
        <v>REZoning_Sol-Win</v>
      </c>
      <c r="AP1777" t="s">
        <v>2651</v>
      </c>
      <c r="AQ1777" t="s">
        <v>57</v>
      </c>
      <c r="AR1777">
        <v>2100</v>
      </c>
      <c r="AS1777" t="s">
        <v>874</v>
      </c>
      <c r="AT1777" t="s">
        <v>58</v>
      </c>
    </row>
    <row r="1778" ht="29" spans="1:46">
      <c r="A1778" s="31" t="s">
        <v>169</v>
      </c>
      <c r="C1778" t="s">
        <v>2652</v>
      </c>
      <c r="D1778" s="5" t="s">
        <v>57</v>
      </c>
      <c r="E1778">
        <v>2035</v>
      </c>
      <c r="F1778" s="6" t="str">
        <f t="shared" si="218"/>
        <v>*0.94</v>
      </c>
      <c r="H1778" t="s">
        <v>2652</v>
      </c>
      <c r="I1778" s="5" t="s">
        <v>57</v>
      </c>
      <c r="J1778">
        <v>2050</v>
      </c>
      <c r="K1778" s="38" t="str">
        <f t="shared" si="219"/>
        <v>*0.92</v>
      </c>
      <c r="P1778" s="32" t="s">
        <v>2652</v>
      </c>
      <c r="Q1778" s="42" t="s">
        <v>57</v>
      </c>
      <c r="R1778" s="32">
        <v>2035</v>
      </c>
      <c r="S1778" s="43" t="str">
        <f t="shared" si="220"/>
        <v>*0.93</v>
      </c>
      <c r="U1778" s="32" t="s">
        <v>2652</v>
      </c>
      <c r="V1778" s="42" t="s">
        <v>57</v>
      </c>
      <c r="W1778" s="32">
        <v>2050</v>
      </c>
      <c r="X1778" s="43" t="str">
        <f t="shared" si="221"/>
        <v>*0.92</v>
      </c>
      <c r="AC1778" s="33" t="s">
        <v>2652</v>
      </c>
      <c r="AD1778" s="44" t="s">
        <v>57</v>
      </c>
      <c r="AE1778" s="33">
        <v>2035</v>
      </c>
      <c r="AF1778" s="45" t="str">
        <f t="shared" si="222"/>
        <v>*0.91</v>
      </c>
      <c r="AG1778" s="43" t="str">
        <f t="shared" si="224"/>
        <v>REZoning_Sol-Win</v>
      </c>
      <c r="AI1778" s="33" t="s">
        <v>2652</v>
      </c>
      <c r="AJ1778" s="44" t="s">
        <v>57</v>
      </c>
      <c r="AK1778" s="33">
        <v>2050</v>
      </c>
      <c r="AL1778" s="45" t="str">
        <f t="shared" si="223"/>
        <v>*0.87</v>
      </c>
      <c r="AM1778" s="43" t="str">
        <f t="shared" si="225"/>
        <v>REZoning_Sol-Win</v>
      </c>
      <c r="AP1778" t="s">
        <v>2652</v>
      </c>
      <c r="AQ1778" t="s">
        <v>57</v>
      </c>
      <c r="AR1778">
        <v>2100</v>
      </c>
      <c r="AS1778" t="s">
        <v>874</v>
      </c>
      <c r="AT1778" t="s">
        <v>58</v>
      </c>
    </row>
    <row r="1779" ht="29" spans="1:46">
      <c r="A1779" s="31" t="s">
        <v>169</v>
      </c>
      <c r="C1779" t="s">
        <v>2653</v>
      </c>
      <c r="D1779" s="5" t="s">
        <v>57</v>
      </c>
      <c r="E1779">
        <v>2035</v>
      </c>
      <c r="F1779" s="6" t="str">
        <f t="shared" si="218"/>
        <v>*0.94</v>
      </c>
      <c r="H1779" t="s">
        <v>2653</v>
      </c>
      <c r="I1779" s="5" t="s">
        <v>57</v>
      </c>
      <c r="J1779">
        <v>2050</v>
      </c>
      <c r="K1779" s="38" t="str">
        <f t="shared" si="219"/>
        <v>*0.92</v>
      </c>
      <c r="P1779" s="32" t="s">
        <v>2653</v>
      </c>
      <c r="Q1779" s="42" t="s">
        <v>57</v>
      </c>
      <c r="R1779" s="32">
        <v>2035</v>
      </c>
      <c r="S1779" s="43" t="str">
        <f t="shared" si="220"/>
        <v>*0.93</v>
      </c>
      <c r="U1779" s="32" t="s">
        <v>2653</v>
      </c>
      <c r="V1779" s="42" t="s">
        <v>57</v>
      </c>
      <c r="W1779" s="32">
        <v>2050</v>
      </c>
      <c r="X1779" s="43" t="str">
        <f t="shared" si="221"/>
        <v>*0.92</v>
      </c>
      <c r="AC1779" s="33" t="s">
        <v>2653</v>
      </c>
      <c r="AD1779" s="44" t="s">
        <v>57</v>
      </c>
      <c r="AE1779" s="33">
        <v>2035</v>
      </c>
      <c r="AF1779" s="45" t="str">
        <f t="shared" si="222"/>
        <v>*0.91</v>
      </c>
      <c r="AG1779" s="43" t="str">
        <f t="shared" si="224"/>
        <v>REZoning_Sol-Win</v>
      </c>
      <c r="AI1779" s="33" t="s">
        <v>2653</v>
      </c>
      <c r="AJ1779" s="44" t="s">
        <v>57</v>
      </c>
      <c r="AK1779" s="33">
        <v>2050</v>
      </c>
      <c r="AL1779" s="45" t="str">
        <f t="shared" si="223"/>
        <v>*0.87</v>
      </c>
      <c r="AM1779" s="43" t="str">
        <f t="shared" si="225"/>
        <v>REZoning_Sol-Win</v>
      </c>
      <c r="AP1779" t="s">
        <v>2653</v>
      </c>
      <c r="AQ1779" t="s">
        <v>57</v>
      </c>
      <c r="AR1779">
        <v>2100</v>
      </c>
      <c r="AS1779" t="s">
        <v>874</v>
      </c>
      <c r="AT1779" t="s">
        <v>58</v>
      </c>
    </row>
    <row r="1780" ht="29" spans="1:46">
      <c r="A1780" s="31" t="s">
        <v>169</v>
      </c>
      <c r="C1780" t="s">
        <v>2654</v>
      </c>
      <c r="D1780" s="5" t="s">
        <v>57</v>
      </c>
      <c r="E1780">
        <v>2035</v>
      </c>
      <c r="F1780" s="6" t="str">
        <f t="shared" si="218"/>
        <v>*0.94</v>
      </c>
      <c r="H1780" t="s">
        <v>2654</v>
      </c>
      <c r="I1780" s="5" t="s">
        <v>57</v>
      </c>
      <c r="J1780">
        <v>2050</v>
      </c>
      <c r="K1780" s="38" t="str">
        <f t="shared" si="219"/>
        <v>*0.92</v>
      </c>
      <c r="P1780" s="32" t="s">
        <v>2654</v>
      </c>
      <c r="Q1780" s="42" t="s">
        <v>57</v>
      </c>
      <c r="R1780" s="32">
        <v>2035</v>
      </c>
      <c r="S1780" s="43" t="str">
        <f t="shared" si="220"/>
        <v>*0.93</v>
      </c>
      <c r="U1780" s="32" t="s">
        <v>2654</v>
      </c>
      <c r="V1780" s="42" t="s">
        <v>57</v>
      </c>
      <c r="W1780" s="32">
        <v>2050</v>
      </c>
      <c r="X1780" s="43" t="str">
        <f t="shared" si="221"/>
        <v>*0.92</v>
      </c>
      <c r="AC1780" s="33" t="s">
        <v>2654</v>
      </c>
      <c r="AD1780" s="44" t="s">
        <v>57</v>
      </c>
      <c r="AE1780" s="33">
        <v>2035</v>
      </c>
      <c r="AF1780" s="45" t="str">
        <f t="shared" si="222"/>
        <v>*0.91</v>
      </c>
      <c r="AG1780" s="43" t="str">
        <f t="shared" si="224"/>
        <v>REZoning_Sol-Win</v>
      </c>
      <c r="AI1780" s="33" t="s">
        <v>2654</v>
      </c>
      <c r="AJ1780" s="44" t="s">
        <v>57</v>
      </c>
      <c r="AK1780" s="33">
        <v>2050</v>
      </c>
      <c r="AL1780" s="45" t="str">
        <f t="shared" si="223"/>
        <v>*0.87</v>
      </c>
      <c r="AM1780" s="43" t="str">
        <f t="shared" si="225"/>
        <v>REZoning_Sol-Win</v>
      </c>
      <c r="AP1780" t="s">
        <v>2654</v>
      </c>
      <c r="AQ1780" t="s">
        <v>57</v>
      </c>
      <c r="AR1780">
        <v>2100</v>
      </c>
      <c r="AS1780" t="s">
        <v>874</v>
      </c>
      <c r="AT1780" t="s">
        <v>58</v>
      </c>
    </row>
    <row r="1781" ht="29" spans="1:46">
      <c r="A1781" s="31" t="s">
        <v>169</v>
      </c>
      <c r="C1781" t="s">
        <v>2655</v>
      </c>
      <c r="D1781" s="5" t="s">
        <v>57</v>
      </c>
      <c r="E1781">
        <v>2035</v>
      </c>
      <c r="F1781" s="6" t="str">
        <f t="shared" si="218"/>
        <v>*0.94</v>
      </c>
      <c r="H1781" t="s">
        <v>2655</v>
      </c>
      <c r="I1781" s="5" t="s">
        <v>57</v>
      </c>
      <c r="J1781">
        <v>2050</v>
      </c>
      <c r="K1781" s="38" t="str">
        <f t="shared" si="219"/>
        <v>*0.92</v>
      </c>
      <c r="P1781" s="32" t="s">
        <v>2655</v>
      </c>
      <c r="Q1781" s="42" t="s">
        <v>57</v>
      </c>
      <c r="R1781" s="32">
        <v>2035</v>
      </c>
      <c r="S1781" s="43" t="str">
        <f t="shared" si="220"/>
        <v>*0.93</v>
      </c>
      <c r="U1781" s="32" t="s">
        <v>2655</v>
      </c>
      <c r="V1781" s="42" t="s">
        <v>57</v>
      </c>
      <c r="W1781" s="32">
        <v>2050</v>
      </c>
      <c r="X1781" s="43" t="str">
        <f t="shared" si="221"/>
        <v>*0.92</v>
      </c>
      <c r="AC1781" s="33" t="s">
        <v>2655</v>
      </c>
      <c r="AD1781" s="44" t="s">
        <v>57</v>
      </c>
      <c r="AE1781" s="33">
        <v>2035</v>
      </c>
      <c r="AF1781" s="45" t="str">
        <f t="shared" si="222"/>
        <v>*0.91</v>
      </c>
      <c r="AG1781" s="43" t="str">
        <f t="shared" si="224"/>
        <v>REZoning_Sol-Win</v>
      </c>
      <c r="AI1781" s="33" t="s">
        <v>2655</v>
      </c>
      <c r="AJ1781" s="44" t="s">
        <v>57</v>
      </c>
      <c r="AK1781" s="33">
        <v>2050</v>
      </c>
      <c r="AL1781" s="45" t="str">
        <f t="shared" si="223"/>
        <v>*0.87</v>
      </c>
      <c r="AM1781" s="43" t="str">
        <f t="shared" si="225"/>
        <v>REZoning_Sol-Win</v>
      </c>
      <c r="AP1781" t="s">
        <v>2655</v>
      </c>
      <c r="AQ1781" t="s">
        <v>57</v>
      </c>
      <c r="AR1781">
        <v>2100</v>
      </c>
      <c r="AS1781" t="s">
        <v>874</v>
      </c>
      <c r="AT1781" t="s">
        <v>58</v>
      </c>
    </row>
    <row r="1782" ht="29" spans="1:46">
      <c r="A1782" s="31" t="s">
        <v>169</v>
      </c>
      <c r="C1782" t="s">
        <v>2656</v>
      </c>
      <c r="D1782" s="5" t="s">
        <v>57</v>
      </c>
      <c r="E1782">
        <v>2035</v>
      </c>
      <c r="F1782" s="6" t="str">
        <f t="shared" si="218"/>
        <v>*0.94</v>
      </c>
      <c r="H1782" t="s">
        <v>2656</v>
      </c>
      <c r="I1782" s="5" t="s">
        <v>57</v>
      </c>
      <c r="J1782">
        <v>2050</v>
      </c>
      <c r="K1782" s="38" t="str">
        <f t="shared" si="219"/>
        <v>*0.92</v>
      </c>
      <c r="P1782" s="32" t="s">
        <v>2656</v>
      </c>
      <c r="Q1782" s="42" t="s">
        <v>57</v>
      </c>
      <c r="R1782" s="32">
        <v>2035</v>
      </c>
      <c r="S1782" s="43" t="str">
        <f t="shared" si="220"/>
        <v>*0.93</v>
      </c>
      <c r="U1782" s="32" t="s">
        <v>2656</v>
      </c>
      <c r="V1782" s="42" t="s">
        <v>57</v>
      </c>
      <c r="W1782" s="32">
        <v>2050</v>
      </c>
      <c r="X1782" s="43" t="str">
        <f t="shared" si="221"/>
        <v>*0.92</v>
      </c>
      <c r="AC1782" s="33" t="s">
        <v>2656</v>
      </c>
      <c r="AD1782" s="44" t="s">
        <v>57</v>
      </c>
      <c r="AE1782" s="33">
        <v>2035</v>
      </c>
      <c r="AF1782" s="45" t="str">
        <f t="shared" si="222"/>
        <v>*0.91</v>
      </c>
      <c r="AG1782" s="43" t="str">
        <f t="shared" si="224"/>
        <v>REZoning_Sol-Win</v>
      </c>
      <c r="AI1782" s="33" t="s">
        <v>2656</v>
      </c>
      <c r="AJ1782" s="44" t="s">
        <v>57</v>
      </c>
      <c r="AK1782" s="33">
        <v>2050</v>
      </c>
      <c r="AL1782" s="45" t="str">
        <f t="shared" si="223"/>
        <v>*0.87</v>
      </c>
      <c r="AM1782" s="43" t="str">
        <f t="shared" si="225"/>
        <v>REZoning_Sol-Win</v>
      </c>
      <c r="AP1782" t="s">
        <v>2656</v>
      </c>
      <c r="AQ1782" t="s">
        <v>57</v>
      </c>
      <c r="AR1782">
        <v>2100</v>
      </c>
      <c r="AS1782" t="s">
        <v>874</v>
      </c>
      <c r="AT1782" t="s">
        <v>58</v>
      </c>
    </row>
    <row r="1783" ht="29" spans="1:46">
      <c r="A1783" s="31" t="s">
        <v>169</v>
      </c>
      <c r="C1783" t="s">
        <v>2657</v>
      </c>
      <c r="D1783" s="5" t="s">
        <v>57</v>
      </c>
      <c r="E1783">
        <v>2035</v>
      </c>
      <c r="F1783" s="6" t="str">
        <f t="shared" si="218"/>
        <v>*0.94</v>
      </c>
      <c r="H1783" t="s">
        <v>2657</v>
      </c>
      <c r="I1783" s="5" t="s">
        <v>57</v>
      </c>
      <c r="J1783">
        <v>2050</v>
      </c>
      <c r="K1783" s="38" t="str">
        <f t="shared" si="219"/>
        <v>*0.92</v>
      </c>
      <c r="P1783" s="32" t="s">
        <v>2657</v>
      </c>
      <c r="Q1783" s="42" t="s">
        <v>57</v>
      </c>
      <c r="R1783" s="32">
        <v>2035</v>
      </c>
      <c r="S1783" s="43" t="str">
        <f t="shared" si="220"/>
        <v>*0.93</v>
      </c>
      <c r="U1783" s="32" t="s">
        <v>2657</v>
      </c>
      <c r="V1783" s="42" t="s">
        <v>57</v>
      </c>
      <c r="W1783" s="32">
        <v>2050</v>
      </c>
      <c r="X1783" s="43" t="str">
        <f t="shared" si="221"/>
        <v>*0.92</v>
      </c>
      <c r="AC1783" s="33" t="s">
        <v>2657</v>
      </c>
      <c r="AD1783" s="44" t="s">
        <v>57</v>
      </c>
      <c r="AE1783" s="33">
        <v>2035</v>
      </c>
      <c r="AF1783" s="45" t="str">
        <f t="shared" si="222"/>
        <v>*0.91</v>
      </c>
      <c r="AG1783" s="43" t="str">
        <f t="shared" si="224"/>
        <v>REZoning_Sol-Win</v>
      </c>
      <c r="AI1783" s="33" t="s">
        <v>2657</v>
      </c>
      <c r="AJ1783" s="44" t="s">
        <v>57</v>
      </c>
      <c r="AK1783" s="33">
        <v>2050</v>
      </c>
      <c r="AL1783" s="45" t="str">
        <f t="shared" si="223"/>
        <v>*0.87</v>
      </c>
      <c r="AM1783" s="43" t="str">
        <f t="shared" si="225"/>
        <v>REZoning_Sol-Win</v>
      </c>
      <c r="AP1783" t="s">
        <v>2657</v>
      </c>
      <c r="AQ1783" t="s">
        <v>57</v>
      </c>
      <c r="AR1783">
        <v>2100</v>
      </c>
      <c r="AS1783" t="s">
        <v>874</v>
      </c>
      <c r="AT1783" t="s">
        <v>58</v>
      </c>
    </row>
    <row r="1784" ht="29" spans="1:46">
      <c r="A1784" s="31" t="s">
        <v>169</v>
      </c>
      <c r="C1784" t="s">
        <v>2658</v>
      </c>
      <c r="D1784" s="5" t="s">
        <v>57</v>
      </c>
      <c r="E1784">
        <v>2035</v>
      </c>
      <c r="F1784" s="6" t="str">
        <f t="shared" si="218"/>
        <v>*0.94</v>
      </c>
      <c r="H1784" t="s">
        <v>2658</v>
      </c>
      <c r="I1784" s="5" t="s">
        <v>57</v>
      </c>
      <c r="J1784">
        <v>2050</v>
      </c>
      <c r="K1784" s="38" t="str">
        <f t="shared" si="219"/>
        <v>*0.92</v>
      </c>
      <c r="P1784" s="32" t="s">
        <v>2658</v>
      </c>
      <c r="Q1784" s="42" t="s">
        <v>57</v>
      </c>
      <c r="R1784" s="32">
        <v>2035</v>
      </c>
      <c r="S1784" s="43" t="str">
        <f t="shared" si="220"/>
        <v>*0.93</v>
      </c>
      <c r="U1784" s="32" t="s">
        <v>2658</v>
      </c>
      <c r="V1784" s="42" t="s">
        <v>57</v>
      </c>
      <c r="W1784" s="32">
        <v>2050</v>
      </c>
      <c r="X1784" s="43" t="str">
        <f t="shared" si="221"/>
        <v>*0.92</v>
      </c>
      <c r="AC1784" s="33" t="s">
        <v>2658</v>
      </c>
      <c r="AD1784" s="44" t="s">
        <v>57</v>
      </c>
      <c r="AE1784" s="33">
        <v>2035</v>
      </c>
      <c r="AF1784" s="45" t="str">
        <f t="shared" si="222"/>
        <v>*0.91</v>
      </c>
      <c r="AG1784" s="43" t="str">
        <f t="shared" si="224"/>
        <v>REZoning_Sol-Win</v>
      </c>
      <c r="AI1784" s="33" t="s">
        <v>2658</v>
      </c>
      <c r="AJ1784" s="44" t="s">
        <v>57</v>
      </c>
      <c r="AK1784" s="33">
        <v>2050</v>
      </c>
      <c r="AL1784" s="45" t="str">
        <f t="shared" si="223"/>
        <v>*0.87</v>
      </c>
      <c r="AM1784" s="43" t="str">
        <f t="shared" si="225"/>
        <v>REZoning_Sol-Win</v>
      </c>
      <c r="AP1784" t="s">
        <v>2658</v>
      </c>
      <c r="AQ1784" t="s">
        <v>57</v>
      </c>
      <c r="AR1784">
        <v>2100</v>
      </c>
      <c r="AS1784" t="s">
        <v>874</v>
      </c>
      <c r="AT1784" t="s">
        <v>58</v>
      </c>
    </row>
    <row r="1785" ht="29" spans="1:46">
      <c r="A1785" s="31" t="s">
        <v>169</v>
      </c>
      <c r="C1785" t="s">
        <v>2659</v>
      </c>
      <c r="D1785" s="5" t="s">
        <v>57</v>
      </c>
      <c r="E1785">
        <v>2035</v>
      </c>
      <c r="F1785" s="6" t="str">
        <f t="shared" si="218"/>
        <v>*0.94</v>
      </c>
      <c r="H1785" t="s">
        <v>2659</v>
      </c>
      <c r="I1785" s="5" t="s">
        <v>57</v>
      </c>
      <c r="J1785">
        <v>2050</v>
      </c>
      <c r="K1785" s="38" t="str">
        <f t="shared" si="219"/>
        <v>*0.92</v>
      </c>
      <c r="P1785" s="32" t="s">
        <v>2659</v>
      </c>
      <c r="Q1785" s="42" t="s">
        <v>57</v>
      </c>
      <c r="R1785" s="32">
        <v>2035</v>
      </c>
      <c r="S1785" s="43" t="str">
        <f t="shared" si="220"/>
        <v>*0.93</v>
      </c>
      <c r="U1785" s="32" t="s">
        <v>2659</v>
      </c>
      <c r="V1785" s="42" t="s">
        <v>57</v>
      </c>
      <c r="W1785" s="32">
        <v>2050</v>
      </c>
      <c r="X1785" s="43" t="str">
        <f t="shared" si="221"/>
        <v>*0.92</v>
      </c>
      <c r="AC1785" s="33" t="s">
        <v>2659</v>
      </c>
      <c r="AD1785" s="44" t="s">
        <v>57</v>
      </c>
      <c r="AE1785" s="33">
        <v>2035</v>
      </c>
      <c r="AF1785" s="45" t="str">
        <f t="shared" si="222"/>
        <v>*0.91</v>
      </c>
      <c r="AG1785" s="43" t="str">
        <f t="shared" si="224"/>
        <v>REZoning_Sol-Win</v>
      </c>
      <c r="AI1785" s="33" t="s">
        <v>2659</v>
      </c>
      <c r="AJ1785" s="44" t="s">
        <v>57</v>
      </c>
      <c r="AK1785" s="33">
        <v>2050</v>
      </c>
      <c r="AL1785" s="45" t="str">
        <f t="shared" si="223"/>
        <v>*0.87</v>
      </c>
      <c r="AM1785" s="43" t="str">
        <f t="shared" si="225"/>
        <v>REZoning_Sol-Win</v>
      </c>
      <c r="AP1785" t="s">
        <v>2659</v>
      </c>
      <c r="AQ1785" t="s">
        <v>57</v>
      </c>
      <c r="AR1785">
        <v>2100</v>
      </c>
      <c r="AS1785" t="s">
        <v>874</v>
      </c>
      <c r="AT1785" t="s">
        <v>58</v>
      </c>
    </row>
    <row r="1786" ht="29" spans="1:46">
      <c r="A1786" s="31" t="s">
        <v>169</v>
      </c>
      <c r="C1786" t="s">
        <v>2660</v>
      </c>
      <c r="D1786" s="5" t="s">
        <v>57</v>
      </c>
      <c r="E1786">
        <v>2035</v>
      </c>
      <c r="F1786" s="6" t="str">
        <f t="shared" si="218"/>
        <v>*0.94</v>
      </c>
      <c r="H1786" t="s">
        <v>2660</v>
      </c>
      <c r="I1786" s="5" t="s">
        <v>57</v>
      </c>
      <c r="J1786">
        <v>2050</v>
      </c>
      <c r="K1786" s="38" t="str">
        <f t="shared" si="219"/>
        <v>*0.92</v>
      </c>
      <c r="P1786" s="32" t="s">
        <v>2660</v>
      </c>
      <c r="Q1786" s="42" t="s">
        <v>57</v>
      </c>
      <c r="R1786" s="32">
        <v>2035</v>
      </c>
      <c r="S1786" s="43" t="str">
        <f t="shared" si="220"/>
        <v>*0.93</v>
      </c>
      <c r="U1786" s="32" t="s">
        <v>2660</v>
      </c>
      <c r="V1786" s="42" t="s">
        <v>57</v>
      </c>
      <c r="W1786" s="32">
        <v>2050</v>
      </c>
      <c r="X1786" s="43" t="str">
        <f t="shared" si="221"/>
        <v>*0.92</v>
      </c>
      <c r="AC1786" s="33" t="s">
        <v>2660</v>
      </c>
      <c r="AD1786" s="44" t="s">
        <v>57</v>
      </c>
      <c r="AE1786" s="33">
        <v>2035</v>
      </c>
      <c r="AF1786" s="45" t="str">
        <f t="shared" si="222"/>
        <v>*0.91</v>
      </c>
      <c r="AG1786" s="43" t="str">
        <f t="shared" si="224"/>
        <v>REZoning_Sol-Win</v>
      </c>
      <c r="AI1786" s="33" t="s">
        <v>2660</v>
      </c>
      <c r="AJ1786" s="44" t="s">
        <v>57</v>
      </c>
      <c r="AK1786" s="33">
        <v>2050</v>
      </c>
      <c r="AL1786" s="45" t="str">
        <f t="shared" si="223"/>
        <v>*0.87</v>
      </c>
      <c r="AM1786" s="43" t="str">
        <f t="shared" si="225"/>
        <v>REZoning_Sol-Win</v>
      </c>
      <c r="AP1786" t="s">
        <v>2660</v>
      </c>
      <c r="AQ1786" t="s">
        <v>57</v>
      </c>
      <c r="AR1786">
        <v>2100</v>
      </c>
      <c r="AS1786" t="s">
        <v>874</v>
      </c>
      <c r="AT1786" t="s">
        <v>58</v>
      </c>
    </row>
    <row r="1787" ht="29" spans="1:46">
      <c r="A1787" s="31" t="s">
        <v>169</v>
      </c>
      <c r="C1787" t="s">
        <v>2661</v>
      </c>
      <c r="D1787" s="5" t="s">
        <v>57</v>
      </c>
      <c r="E1787">
        <v>2035</v>
      </c>
      <c r="F1787" s="6" t="str">
        <f t="shared" si="218"/>
        <v>*0.94</v>
      </c>
      <c r="H1787" t="s">
        <v>2661</v>
      </c>
      <c r="I1787" s="5" t="s">
        <v>57</v>
      </c>
      <c r="J1787">
        <v>2050</v>
      </c>
      <c r="K1787" s="38" t="str">
        <f t="shared" si="219"/>
        <v>*0.92</v>
      </c>
      <c r="P1787" s="32" t="s">
        <v>2661</v>
      </c>
      <c r="Q1787" s="42" t="s">
        <v>57</v>
      </c>
      <c r="R1787" s="32">
        <v>2035</v>
      </c>
      <c r="S1787" s="43" t="str">
        <f t="shared" si="220"/>
        <v>*0.93</v>
      </c>
      <c r="U1787" s="32" t="s">
        <v>2661</v>
      </c>
      <c r="V1787" s="42" t="s">
        <v>57</v>
      </c>
      <c r="W1787" s="32">
        <v>2050</v>
      </c>
      <c r="X1787" s="43" t="str">
        <f t="shared" si="221"/>
        <v>*0.92</v>
      </c>
      <c r="AC1787" s="33" t="s">
        <v>2661</v>
      </c>
      <c r="AD1787" s="44" t="s">
        <v>57</v>
      </c>
      <c r="AE1787" s="33">
        <v>2035</v>
      </c>
      <c r="AF1787" s="45" t="str">
        <f t="shared" si="222"/>
        <v>*0.91</v>
      </c>
      <c r="AG1787" s="43" t="str">
        <f t="shared" si="224"/>
        <v>REZoning_Sol-Win</v>
      </c>
      <c r="AI1787" s="33" t="s">
        <v>2661</v>
      </c>
      <c r="AJ1787" s="44" t="s">
        <v>57</v>
      </c>
      <c r="AK1787" s="33">
        <v>2050</v>
      </c>
      <c r="AL1787" s="45" t="str">
        <f t="shared" si="223"/>
        <v>*0.87</v>
      </c>
      <c r="AM1787" s="43" t="str">
        <f t="shared" si="225"/>
        <v>REZoning_Sol-Win</v>
      </c>
      <c r="AP1787" t="s">
        <v>2661</v>
      </c>
      <c r="AQ1787" t="s">
        <v>57</v>
      </c>
      <c r="AR1787">
        <v>2100</v>
      </c>
      <c r="AS1787" t="s">
        <v>874</v>
      </c>
      <c r="AT1787" t="s">
        <v>58</v>
      </c>
    </row>
    <row r="1788" ht="29" spans="1:46">
      <c r="A1788" s="31" t="s">
        <v>169</v>
      </c>
      <c r="C1788" t="s">
        <v>2662</v>
      </c>
      <c r="D1788" s="5" t="s">
        <v>57</v>
      </c>
      <c r="E1788">
        <v>2035</v>
      </c>
      <c r="F1788" s="6" t="str">
        <f t="shared" si="218"/>
        <v>*0.94</v>
      </c>
      <c r="H1788" t="s">
        <v>2662</v>
      </c>
      <c r="I1788" s="5" t="s">
        <v>57</v>
      </c>
      <c r="J1788">
        <v>2050</v>
      </c>
      <c r="K1788" s="38" t="str">
        <f t="shared" si="219"/>
        <v>*0.92</v>
      </c>
      <c r="P1788" s="32" t="s">
        <v>2662</v>
      </c>
      <c r="Q1788" s="42" t="s">
        <v>57</v>
      </c>
      <c r="R1788" s="32">
        <v>2035</v>
      </c>
      <c r="S1788" s="43" t="str">
        <f t="shared" si="220"/>
        <v>*0.93</v>
      </c>
      <c r="U1788" s="32" t="s">
        <v>2662</v>
      </c>
      <c r="V1788" s="42" t="s">
        <v>57</v>
      </c>
      <c r="W1788" s="32">
        <v>2050</v>
      </c>
      <c r="X1788" s="43" t="str">
        <f t="shared" si="221"/>
        <v>*0.92</v>
      </c>
      <c r="AC1788" s="33" t="s">
        <v>2662</v>
      </c>
      <c r="AD1788" s="44" t="s">
        <v>57</v>
      </c>
      <c r="AE1788" s="33">
        <v>2035</v>
      </c>
      <c r="AF1788" s="45" t="str">
        <f t="shared" si="222"/>
        <v>*0.91</v>
      </c>
      <c r="AG1788" s="43" t="str">
        <f t="shared" si="224"/>
        <v>REZoning_Sol-Win</v>
      </c>
      <c r="AI1788" s="33" t="s">
        <v>2662</v>
      </c>
      <c r="AJ1788" s="44" t="s">
        <v>57</v>
      </c>
      <c r="AK1788" s="33">
        <v>2050</v>
      </c>
      <c r="AL1788" s="45" t="str">
        <f t="shared" si="223"/>
        <v>*0.87</v>
      </c>
      <c r="AM1788" s="43" t="str">
        <f t="shared" si="225"/>
        <v>REZoning_Sol-Win</v>
      </c>
      <c r="AP1788" t="s">
        <v>2662</v>
      </c>
      <c r="AQ1788" t="s">
        <v>57</v>
      </c>
      <c r="AR1788">
        <v>2100</v>
      </c>
      <c r="AS1788" t="s">
        <v>874</v>
      </c>
      <c r="AT1788" t="s">
        <v>58</v>
      </c>
    </row>
    <row r="1789" ht="29" spans="1:46">
      <c r="A1789" s="31" t="s">
        <v>169</v>
      </c>
      <c r="C1789" t="s">
        <v>2663</v>
      </c>
      <c r="D1789" s="5" t="s">
        <v>57</v>
      </c>
      <c r="E1789">
        <v>2035</v>
      </c>
      <c r="F1789" s="6" t="str">
        <f t="shared" si="218"/>
        <v>*0.94</v>
      </c>
      <c r="H1789" t="s">
        <v>2663</v>
      </c>
      <c r="I1789" s="5" t="s">
        <v>57</v>
      </c>
      <c r="J1789">
        <v>2050</v>
      </c>
      <c r="K1789" s="38" t="str">
        <f t="shared" si="219"/>
        <v>*0.92</v>
      </c>
      <c r="P1789" s="32" t="s">
        <v>2663</v>
      </c>
      <c r="Q1789" s="42" t="s">
        <v>57</v>
      </c>
      <c r="R1789" s="32">
        <v>2035</v>
      </c>
      <c r="S1789" s="43" t="str">
        <f t="shared" si="220"/>
        <v>*0.93</v>
      </c>
      <c r="U1789" s="32" t="s">
        <v>2663</v>
      </c>
      <c r="V1789" s="42" t="s">
        <v>57</v>
      </c>
      <c r="W1789" s="32">
        <v>2050</v>
      </c>
      <c r="X1789" s="43" t="str">
        <f t="shared" si="221"/>
        <v>*0.92</v>
      </c>
      <c r="AC1789" s="33" t="s">
        <v>2663</v>
      </c>
      <c r="AD1789" s="44" t="s">
        <v>57</v>
      </c>
      <c r="AE1789" s="33">
        <v>2035</v>
      </c>
      <c r="AF1789" s="45" t="str">
        <f t="shared" si="222"/>
        <v>*0.91</v>
      </c>
      <c r="AG1789" s="43" t="str">
        <f t="shared" si="224"/>
        <v>REZoning_Sol-Win</v>
      </c>
      <c r="AI1789" s="33" t="s">
        <v>2663</v>
      </c>
      <c r="AJ1789" s="44" t="s">
        <v>57</v>
      </c>
      <c r="AK1789" s="33">
        <v>2050</v>
      </c>
      <c r="AL1789" s="45" t="str">
        <f t="shared" si="223"/>
        <v>*0.87</v>
      </c>
      <c r="AM1789" s="43" t="str">
        <f t="shared" si="225"/>
        <v>REZoning_Sol-Win</v>
      </c>
      <c r="AP1789" t="s">
        <v>2663</v>
      </c>
      <c r="AQ1789" t="s">
        <v>57</v>
      </c>
      <c r="AR1789">
        <v>2100</v>
      </c>
      <c r="AS1789" t="s">
        <v>874</v>
      </c>
      <c r="AT1789" t="s">
        <v>58</v>
      </c>
    </row>
    <row r="1790" ht="29" spans="1:46">
      <c r="A1790" s="31" t="s">
        <v>169</v>
      </c>
      <c r="C1790" t="s">
        <v>2664</v>
      </c>
      <c r="D1790" s="5" t="s">
        <v>57</v>
      </c>
      <c r="E1790">
        <v>2035</v>
      </c>
      <c r="F1790" s="6" t="str">
        <f t="shared" si="218"/>
        <v>*0.94</v>
      </c>
      <c r="H1790" t="s">
        <v>2664</v>
      </c>
      <c r="I1790" s="5" t="s">
        <v>57</v>
      </c>
      <c r="J1790">
        <v>2050</v>
      </c>
      <c r="K1790" s="38" t="str">
        <f t="shared" si="219"/>
        <v>*0.92</v>
      </c>
      <c r="P1790" s="32" t="s">
        <v>2664</v>
      </c>
      <c r="Q1790" s="42" t="s">
        <v>57</v>
      </c>
      <c r="R1790" s="32">
        <v>2035</v>
      </c>
      <c r="S1790" s="43" t="str">
        <f t="shared" si="220"/>
        <v>*0.93</v>
      </c>
      <c r="U1790" s="32" t="s">
        <v>2664</v>
      </c>
      <c r="V1790" s="42" t="s">
        <v>57</v>
      </c>
      <c r="W1790" s="32">
        <v>2050</v>
      </c>
      <c r="X1790" s="43" t="str">
        <f t="shared" si="221"/>
        <v>*0.92</v>
      </c>
      <c r="AC1790" s="33" t="s">
        <v>2664</v>
      </c>
      <c r="AD1790" s="44" t="s">
        <v>57</v>
      </c>
      <c r="AE1790" s="33">
        <v>2035</v>
      </c>
      <c r="AF1790" s="45" t="str">
        <f t="shared" si="222"/>
        <v>*0.91</v>
      </c>
      <c r="AG1790" s="43" t="str">
        <f t="shared" si="224"/>
        <v>REZoning_Sol-Win</v>
      </c>
      <c r="AI1790" s="33" t="s">
        <v>2664</v>
      </c>
      <c r="AJ1790" s="44" t="s">
        <v>57</v>
      </c>
      <c r="AK1790" s="33">
        <v>2050</v>
      </c>
      <c r="AL1790" s="45" t="str">
        <f t="shared" si="223"/>
        <v>*0.87</v>
      </c>
      <c r="AM1790" s="43" t="str">
        <f t="shared" si="225"/>
        <v>REZoning_Sol-Win</v>
      </c>
      <c r="AP1790" t="s">
        <v>2664</v>
      </c>
      <c r="AQ1790" t="s">
        <v>57</v>
      </c>
      <c r="AR1790">
        <v>2100</v>
      </c>
      <c r="AS1790" t="s">
        <v>874</v>
      </c>
      <c r="AT1790" t="s">
        <v>58</v>
      </c>
    </row>
    <row r="1791" ht="29" spans="1:46">
      <c r="A1791" s="31" t="s">
        <v>169</v>
      </c>
      <c r="C1791" t="s">
        <v>2665</v>
      </c>
      <c r="D1791" s="5" t="s">
        <v>57</v>
      </c>
      <c r="E1791">
        <v>2035</v>
      </c>
      <c r="F1791" s="6" t="str">
        <f t="shared" si="218"/>
        <v>*0.94</v>
      </c>
      <c r="H1791" t="s">
        <v>2665</v>
      </c>
      <c r="I1791" s="5" t="s">
        <v>57</v>
      </c>
      <c r="J1791">
        <v>2050</v>
      </c>
      <c r="K1791" s="38" t="str">
        <f t="shared" si="219"/>
        <v>*0.92</v>
      </c>
      <c r="P1791" s="32" t="s">
        <v>2665</v>
      </c>
      <c r="Q1791" s="42" t="s">
        <v>57</v>
      </c>
      <c r="R1791" s="32">
        <v>2035</v>
      </c>
      <c r="S1791" s="43" t="str">
        <f t="shared" si="220"/>
        <v>*0.93</v>
      </c>
      <c r="U1791" s="32" t="s">
        <v>2665</v>
      </c>
      <c r="V1791" s="42" t="s">
        <v>57</v>
      </c>
      <c r="W1791" s="32">
        <v>2050</v>
      </c>
      <c r="X1791" s="43" t="str">
        <f t="shared" si="221"/>
        <v>*0.92</v>
      </c>
      <c r="AC1791" s="33" t="s">
        <v>2665</v>
      </c>
      <c r="AD1791" s="44" t="s">
        <v>57</v>
      </c>
      <c r="AE1791" s="33">
        <v>2035</v>
      </c>
      <c r="AF1791" s="45" t="str">
        <f t="shared" si="222"/>
        <v>*0.91</v>
      </c>
      <c r="AG1791" s="43" t="str">
        <f t="shared" si="224"/>
        <v>REZoning_Sol-Win</v>
      </c>
      <c r="AI1791" s="33" t="s">
        <v>2665</v>
      </c>
      <c r="AJ1791" s="44" t="s">
        <v>57</v>
      </c>
      <c r="AK1791" s="33">
        <v>2050</v>
      </c>
      <c r="AL1791" s="45" t="str">
        <f t="shared" si="223"/>
        <v>*0.87</v>
      </c>
      <c r="AM1791" s="43" t="str">
        <f t="shared" si="225"/>
        <v>REZoning_Sol-Win</v>
      </c>
      <c r="AP1791" t="s">
        <v>2665</v>
      </c>
      <c r="AQ1791" t="s">
        <v>57</v>
      </c>
      <c r="AR1791">
        <v>2100</v>
      </c>
      <c r="AS1791" t="s">
        <v>874</v>
      </c>
      <c r="AT1791" t="s">
        <v>58</v>
      </c>
    </row>
    <row r="1792" ht="29" spans="1:46">
      <c r="A1792" s="31" t="s">
        <v>169</v>
      </c>
      <c r="C1792" t="s">
        <v>2666</v>
      </c>
      <c r="D1792" s="5" t="s">
        <v>57</v>
      </c>
      <c r="E1792">
        <v>2035</v>
      </c>
      <c r="F1792" s="6" t="str">
        <f t="shared" si="218"/>
        <v>*0.94</v>
      </c>
      <c r="H1792" t="s">
        <v>2666</v>
      </c>
      <c r="I1792" s="5" t="s">
        <v>57</v>
      </c>
      <c r="J1792">
        <v>2050</v>
      </c>
      <c r="K1792" s="38" t="str">
        <f t="shared" si="219"/>
        <v>*0.92</v>
      </c>
      <c r="P1792" s="32" t="s">
        <v>2666</v>
      </c>
      <c r="Q1792" s="42" t="s">
        <v>57</v>
      </c>
      <c r="R1792" s="32">
        <v>2035</v>
      </c>
      <c r="S1792" s="43" t="str">
        <f t="shared" si="220"/>
        <v>*0.93</v>
      </c>
      <c r="U1792" s="32" t="s">
        <v>2666</v>
      </c>
      <c r="V1792" s="42" t="s">
        <v>57</v>
      </c>
      <c r="W1792" s="32">
        <v>2050</v>
      </c>
      <c r="X1792" s="43" t="str">
        <f t="shared" si="221"/>
        <v>*0.92</v>
      </c>
      <c r="AC1792" s="33" t="s">
        <v>2666</v>
      </c>
      <c r="AD1792" s="44" t="s">
        <v>57</v>
      </c>
      <c r="AE1792" s="33">
        <v>2035</v>
      </c>
      <c r="AF1792" s="45" t="str">
        <f t="shared" si="222"/>
        <v>*0.91</v>
      </c>
      <c r="AG1792" s="43" t="str">
        <f t="shared" si="224"/>
        <v>REZoning_Sol-Win</v>
      </c>
      <c r="AI1792" s="33" t="s">
        <v>2666</v>
      </c>
      <c r="AJ1792" s="44" t="s">
        <v>57</v>
      </c>
      <c r="AK1792" s="33">
        <v>2050</v>
      </c>
      <c r="AL1792" s="45" t="str">
        <f t="shared" si="223"/>
        <v>*0.87</v>
      </c>
      <c r="AM1792" s="43" t="str">
        <f t="shared" si="225"/>
        <v>REZoning_Sol-Win</v>
      </c>
      <c r="AP1792" t="s">
        <v>2666</v>
      </c>
      <c r="AQ1792" t="s">
        <v>57</v>
      </c>
      <c r="AR1792">
        <v>2100</v>
      </c>
      <c r="AS1792" t="s">
        <v>874</v>
      </c>
      <c r="AT1792" t="s">
        <v>58</v>
      </c>
    </row>
    <row r="1793" ht="29" spans="1:46">
      <c r="A1793" s="31" t="s">
        <v>169</v>
      </c>
      <c r="C1793" t="s">
        <v>2667</v>
      </c>
      <c r="D1793" s="5" t="s">
        <v>57</v>
      </c>
      <c r="E1793">
        <v>2035</v>
      </c>
      <c r="F1793" s="6" t="str">
        <f t="shared" si="218"/>
        <v>*0.94</v>
      </c>
      <c r="H1793" t="s">
        <v>2667</v>
      </c>
      <c r="I1793" s="5" t="s">
        <v>57</v>
      </c>
      <c r="J1793">
        <v>2050</v>
      </c>
      <c r="K1793" s="38" t="str">
        <f t="shared" si="219"/>
        <v>*0.92</v>
      </c>
      <c r="P1793" s="32" t="s">
        <v>2667</v>
      </c>
      <c r="Q1793" s="42" t="s">
        <v>57</v>
      </c>
      <c r="R1793" s="32">
        <v>2035</v>
      </c>
      <c r="S1793" s="43" t="str">
        <f t="shared" si="220"/>
        <v>*0.93</v>
      </c>
      <c r="U1793" s="32" t="s">
        <v>2667</v>
      </c>
      <c r="V1793" s="42" t="s">
        <v>57</v>
      </c>
      <c r="W1793" s="32">
        <v>2050</v>
      </c>
      <c r="X1793" s="43" t="str">
        <f t="shared" si="221"/>
        <v>*0.92</v>
      </c>
      <c r="AC1793" s="33" t="s">
        <v>2667</v>
      </c>
      <c r="AD1793" s="44" t="s">
        <v>57</v>
      </c>
      <c r="AE1793" s="33">
        <v>2035</v>
      </c>
      <c r="AF1793" s="45" t="str">
        <f t="shared" si="222"/>
        <v>*0.91</v>
      </c>
      <c r="AG1793" s="43" t="str">
        <f t="shared" si="224"/>
        <v>REZoning_Sol-Win</v>
      </c>
      <c r="AI1793" s="33" t="s">
        <v>2667</v>
      </c>
      <c r="AJ1793" s="44" t="s">
        <v>57</v>
      </c>
      <c r="AK1793" s="33">
        <v>2050</v>
      </c>
      <c r="AL1793" s="45" t="str">
        <f t="shared" si="223"/>
        <v>*0.87</v>
      </c>
      <c r="AM1793" s="43" t="str">
        <f t="shared" si="225"/>
        <v>REZoning_Sol-Win</v>
      </c>
      <c r="AP1793" t="s">
        <v>2667</v>
      </c>
      <c r="AQ1793" t="s">
        <v>57</v>
      </c>
      <c r="AR1793">
        <v>2100</v>
      </c>
      <c r="AS1793" t="s">
        <v>874</v>
      </c>
      <c r="AT1793" t="s">
        <v>58</v>
      </c>
    </row>
    <row r="1794" ht="29" spans="1:46">
      <c r="A1794" s="31" t="s">
        <v>169</v>
      </c>
      <c r="C1794" t="s">
        <v>2668</v>
      </c>
      <c r="D1794" s="5" t="s">
        <v>57</v>
      </c>
      <c r="E1794">
        <v>2035</v>
      </c>
      <c r="F1794" s="6" t="str">
        <f t="shared" si="218"/>
        <v>*0.94</v>
      </c>
      <c r="H1794" t="s">
        <v>2668</v>
      </c>
      <c r="I1794" s="5" t="s">
        <v>57</v>
      </c>
      <c r="J1794">
        <v>2050</v>
      </c>
      <c r="K1794" s="38" t="str">
        <f t="shared" si="219"/>
        <v>*0.92</v>
      </c>
      <c r="P1794" s="32" t="s">
        <v>2668</v>
      </c>
      <c r="Q1794" s="42" t="s">
        <v>57</v>
      </c>
      <c r="R1794" s="32">
        <v>2035</v>
      </c>
      <c r="S1794" s="43" t="str">
        <f t="shared" si="220"/>
        <v>*0.93</v>
      </c>
      <c r="U1794" s="32" t="s">
        <v>2668</v>
      </c>
      <c r="V1794" s="42" t="s">
        <v>57</v>
      </c>
      <c r="W1794" s="32">
        <v>2050</v>
      </c>
      <c r="X1794" s="43" t="str">
        <f t="shared" si="221"/>
        <v>*0.92</v>
      </c>
      <c r="AC1794" s="33" t="s">
        <v>2668</v>
      </c>
      <c r="AD1794" s="44" t="s">
        <v>57</v>
      </c>
      <c r="AE1794" s="33">
        <v>2035</v>
      </c>
      <c r="AF1794" s="45" t="str">
        <f t="shared" si="222"/>
        <v>*0.91</v>
      </c>
      <c r="AG1794" s="43" t="str">
        <f t="shared" si="224"/>
        <v>REZoning_Sol-Win</v>
      </c>
      <c r="AI1794" s="33" t="s">
        <v>2668</v>
      </c>
      <c r="AJ1794" s="44" t="s">
        <v>57</v>
      </c>
      <c r="AK1794" s="33">
        <v>2050</v>
      </c>
      <c r="AL1794" s="45" t="str">
        <f t="shared" si="223"/>
        <v>*0.87</v>
      </c>
      <c r="AM1794" s="43" t="str">
        <f t="shared" si="225"/>
        <v>REZoning_Sol-Win</v>
      </c>
      <c r="AP1794" t="s">
        <v>2668</v>
      </c>
      <c r="AQ1794" t="s">
        <v>57</v>
      </c>
      <c r="AR1794">
        <v>2100</v>
      </c>
      <c r="AS1794" t="s">
        <v>874</v>
      </c>
      <c r="AT1794" t="s">
        <v>58</v>
      </c>
    </row>
    <row r="1795" ht="29" spans="1:46">
      <c r="A1795" s="31" t="s">
        <v>169</v>
      </c>
      <c r="C1795" t="s">
        <v>2669</v>
      </c>
      <c r="D1795" s="5" t="s">
        <v>57</v>
      </c>
      <c r="E1795">
        <v>2035</v>
      </c>
      <c r="F1795" s="6" t="str">
        <f t="shared" si="218"/>
        <v>*0.94</v>
      </c>
      <c r="H1795" t="s">
        <v>2669</v>
      </c>
      <c r="I1795" s="5" t="s">
        <v>57</v>
      </c>
      <c r="J1795">
        <v>2050</v>
      </c>
      <c r="K1795" s="38" t="str">
        <f t="shared" si="219"/>
        <v>*0.92</v>
      </c>
      <c r="P1795" s="32" t="s">
        <v>2669</v>
      </c>
      <c r="Q1795" s="42" t="s">
        <v>57</v>
      </c>
      <c r="R1795" s="32">
        <v>2035</v>
      </c>
      <c r="S1795" s="43" t="str">
        <f t="shared" si="220"/>
        <v>*0.93</v>
      </c>
      <c r="U1795" s="32" t="s">
        <v>2669</v>
      </c>
      <c r="V1795" s="42" t="s">
        <v>57</v>
      </c>
      <c r="W1795" s="32">
        <v>2050</v>
      </c>
      <c r="X1795" s="43" t="str">
        <f t="shared" si="221"/>
        <v>*0.92</v>
      </c>
      <c r="AC1795" s="33" t="s">
        <v>2669</v>
      </c>
      <c r="AD1795" s="44" t="s">
        <v>57</v>
      </c>
      <c r="AE1795" s="33">
        <v>2035</v>
      </c>
      <c r="AF1795" s="45" t="str">
        <f t="shared" si="222"/>
        <v>*0.91</v>
      </c>
      <c r="AG1795" s="43" t="str">
        <f t="shared" si="224"/>
        <v>REZoning_Sol-Win</v>
      </c>
      <c r="AI1795" s="33" t="s">
        <v>2669</v>
      </c>
      <c r="AJ1795" s="44" t="s">
        <v>57</v>
      </c>
      <c r="AK1795" s="33">
        <v>2050</v>
      </c>
      <c r="AL1795" s="45" t="str">
        <f t="shared" si="223"/>
        <v>*0.87</v>
      </c>
      <c r="AM1795" s="43" t="str">
        <f t="shared" si="225"/>
        <v>REZoning_Sol-Win</v>
      </c>
      <c r="AP1795" t="s">
        <v>2669</v>
      </c>
      <c r="AQ1795" t="s">
        <v>57</v>
      </c>
      <c r="AR1795">
        <v>2100</v>
      </c>
      <c r="AS1795" t="s">
        <v>874</v>
      </c>
      <c r="AT1795" t="s">
        <v>58</v>
      </c>
    </row>
    <row r="1796" ht="29" spans="1:46">
      <c r="A1796" s="31" t="s">
        <v>169</v>
      </c>
      <c r="C1796" t="s">
        <v>2670</v>
      </c>
      <c r="D1796" s="5" t="s">
        <v>57</v>
      </c>
      <c r="E1796">
        <v>2035</v>
      </c>
      <c r="F1796" s="6" t="str">
        <f t="shared" ref="F1796:F1859" si="226">"*"&amp;IF(AND(A1796="EU",E1796=2035),0.95,IF(AND(A1796="EU",E1796=2050),0.93,IF(AND(A1796="USA",E1796=2035),0.96,IF(AND(A1796="USA",E1796=2050),0.94,IF(AND(A1796="Japan",E1796=2035),0.94,IF(AND(A1796="Japan",E1796=2050),0.92,IF(AND(A1796="Russia",E1796=2035),0.95,IF(AND(A1796="Russia",E1796=2050),0.93,IF(AND(A1796="China",E1796=2035),0.94,IF(AND(A1796="China",E1796=2050),0.92,IF(AND(A1796="India",E1796=2035),0.95,IF(AND(A1796="India",E1796=2050),0.92,IF(AND(A1796="Middle East",E1796=2035),0.94,IF(AND(A1796="Middle East",E1796=2050),0.9,IF(AND(A1796="Africa",E1796=2035),0.94,IF(AND(A1796="Africa",E1796=2050),0.91,IF(AND(A1796="Brazil",E1796=2035),0.95,IF(AND(A1796="Brazil",E1796=2050),0.92,""))))))))))))))))))</f>
        <v>*0.94</v>
      </c>
      <c r="H1796" t="s">
        <v>2670</v>
      </c>
      <c r="I1796" s="5" t="s">
        <v>57</v>
      </c>
      <c r="J1796">
        <v>2050</v>
      </c>
      <c r="K1796" s="38" t="str">
        <f t="shared" ref="K1796:K1859" si="227">"*"&amp;IF(AND(A1796="EU",J1796=2035),0.95,IF(AND(A1796="EU",J1796=2050),0.93,IF(AND(A1796="USA",J1796=2035),0.96,IF(AND(A1796="USA",J1796=2050),0.94,IF(AND(A1796="Japan",J1796=2035),0.94,IF(AND(A1796="Japan",J1796=2050),0.92,IF(AND(A1796="Russia",J1796=2035),0.95,IF(AND(A1796="Russia",J1796=2050),0.93,IF(AND(A1796="China",J1796=2035),0.94,IF(AND(A1796="China",J1796=2050),0.92,IF(AND(A1796="India",J1796=2035),0.95,IF(AND(A1796="India",J1796=2050),0.92,IF(AND(A1796="Middle East",J1796=2035),0.94,IF(AND(A1796="Middle East",J1796=2050),0.9,IF(AND(A1796="Africa",J1796=2035),0.94,IF(AND(A1796="Africa",J1796=2050),0.91,IF(AND(A1796="Brazil",J1796=2035),0.95,IF(AND(A1796="Brazil",J1796=2050),0.92,""))))))))))))))))))</f>
        <v>*0.92</v>
      </c>
      <c r="P1796" s="32" t="s">
        <v>2670</v>
      </c>
      <c r="Q1796" s="42" t="s">
        <v>57</v>
      </c>
      <c r="R1796" s="32">
        <v>2035</v>
      </c>
      <c r="S1796" s="43" t="str">
        <f t="shared" ref="S1796:S1859" si="228">"*"&amp;IF(AND(A1796="EU",R1796=2035),0.95,IF(AND(A1796="EU",R1796=2050),0.93,IF(AND(A1796="USA",R1796=2035),0.96,IF(AND(A1796="USA",R1796=2050),0.93,IF(AND(A1796="Japan",R1796=2035),0.94,IF(AND(A1796="Japan",R1796=2050),0.92,IF(AND(A1796="Russia",R1796=2035),0.95,IF(AND(A1796="Russia",R1796=2050),0.91,IF(AND(A1796="China",R1796=2035),0.93,IF(AND(A1796="China",R1796=2050),0.92,IF(AND(A1796="India",R1796=2035),0.94,IF(AND(A1796="India",R1796=2050),0.91,IF(AND(A1796="Middle East",R1796=2035),0.92,IF(AND(A1796="Middle East",R1796=2050),0.89,IF(AND(A1796="Africa",R1796=2035),0.93,IF(AND(A1796="Africa",R1796=2050),0.9,IF(AND(A1796="Brazil",R1796=2035),0.95,IF(AND(A1796="Brazil",R1796=2050),0.92,""))))))))))))))))))</f>
        <v>*0.93</v>
      </c>
      <c r="U1796" s="32" t="s">
        <v>2670</v>
      </c>
      <c r="V1796" s="42" t="s">
        <v>57</v>
      </c>
      <c r="W1796" s="32">
        <v>2050</v>
      </c>
      <c r="X1796" s="43" t="str">
        <f t="shared" ref="X1796:X1859" si="229">"*"&amp;IF(AND(A1796="EU",W1796=2035),0.95,IF(AND(A1796="EU",W1796=2050),0.93,IF(AND(A1796="USA",W1796=2035),0.96,IF(AND(A1796="USA",W1796=2050),0.93,IF(AND(A1796="Japan",W1796=2035),0.94,IF(AND(A1796="Japan",W1796=2050),0.92,IF(AND(A1796="Russia",W1796=2035),0.95,IF(AND(A1796="Russia",W1796=2050),0.91,IF(AND(A1796="China",W1796=2035),0.93,IF(AND(A1796="China",W1796=2050),0.92,IF(AND(A1796="India",W1796=2035),0.94,IF(AND(A1796="India",W1796=2050),0.91,IF(AND(A1796="Middle East",W1796=2035),0.92,IF(AND(A1796="Middle East",W1796=2050),0.89,IF(AND(A1796="Africa",W1796=2035),0.93,IF(AND(A1796="Africa",W1796=2050),0.9,IF(AND(A1796="Brazil",W1796=2035),0.95,IF(AND(A1796="Brazil",W1796=2050),0.92,""))))))))))))))))))</f>
        <v>*0.92</v>
      </c>
      <c r="AC1796" s="33" t="s">
        <v>2670</v>
      </c>
      <c r="AD1796" s="44" t="s">
        <v>57</v>
      </c>
      <c r="AE1796" s="33">
        <v>2035</v>
      </c>
      <c r="AF1796" s="45" t="str">
        <f t="shared" ref="AF1796:AF1859" si="230">"*"&amp;IF(AND(A1796="EU",AE1796=2035),0.93,IF(AND(A1796="EU",AE1796=2050),0.9,IF(AND(A1796="USA",AE1796=2035),0.92,IF(AND(A1796="USA",AE1796=2050),0.89,IF(AND(A1796="Japan",AE1796=2035),0.92,IF(AND(A1796="Japan",AE1796=2050),0.89,IF(AND(A1796="Russia",AE1796=2035),0.91,IF(AND(A1796="Russia",AE1796=2050),0.86,IF(AND(A1796="China",AE1796=2035),0.91,IF(AND(A1796="China",AE1796=2050),0.87,IF(AND(A1796="India",AE1796=2035),0.92,IF(AND(A1796="India",AE1796=2050),0.87,IF(AND(A1796="Middle East",AE1796=2035),0.89,IF(AND(A1796="Middle East",AE1796=2050),0.84,IF(AND(A1796="Africa",AE1796=2035),0.9,IF(AND(A1796="Africa",AE1796=2050),0.86,IF(AND(A1796="Brazil",AE1796=2035),0.93,IF(AND(A1796="Brazil",AE1796=2050),0.89,""))))))))))))))))))</f>
        <v>*0.91</v>
      </c>
      <c r="AG1796" s="43" t="str">
        <f t="shared" si="224"/>
        <v>REZoning_Sol-Win</v>
      </c>
      <c r="AI1796" s="33" t="s">
        <v>2670</v>
      </c>
      <c r="AJ1796" s="44" t="s">
        <v>57</v>
      </c>
      <c r="AK1796" s="33">
        <v>2050</v>
      </c>
      <c r="AL1796" s="45" t="str">
        <f t="shared" ref="AL1796:AL1859" si="231">"*"&amp;IF(AND(A1796="EU",AK1796=2035),0.93,IF(AND(A1796="EU",AK1796=2050),0.9,IF(AND(A1796="USA",AK1796=2035),0.92,IF(AND(A1796="USA",AK1796=2050),0.89,IF(AND(A1796="Japan",AK1796=2035),0.92,IF(AND(A1796="Japan",AK1796=2050),0.89,IF(AND(A1796="Russia",AK1796=2035),0.91,IF(AND(A1796="Russia",AK1796=2050),0.86,IF(AND(A1796="China",AK1796=2035),0.91,IF(AND(A1796="China",AK1796=2050),0.87,IF(AND(A1796="India",AK1796=2035),0.92,IF(AND(A1796="India",AK1796=2050),0.87,IF(AND(A1796="Middle East",AK1796=2035),0.89,IF(AND(A1796="Middle East",AK1796=2050),0.84,IF(AND(A1796="Africa",AK1796=2035),0.9,IF(AND(A1796="Africa",AK1796=2050),0.86,IF(AND(A1796="Brazil",AK1796=2035),0.93,IF(AND(A1796="Brazil",AK1796=2050),0.89,""))))))))))))))))))</f>
        <v>*0.87</v>
      </c>
      <c r="AM1796" s="43" t="str">
        <f t="shared" si="225"/>
        <v>REZoning_Sol-Win</v>
      </c>
      <c r="AP1796" t="s">
        <v>2670</v>
      </c>
      <c r="AQ1796" t="s">
        <v>57</v>
      </c>
      <c r="AR1796">
        <v>2100</v>
      </c>
      <c r="AS1796" t="s">
        <v>874</v>
      </c>
      <c r="AT1796" t="s">
        <v>58</v>
      </c>
    </row>
    <row r="1797" ht="29" spans="1:46">
      <c r="A1797" s="31" t="s">
        <v>169</v>
      </c>
      <c r="C1797" t="s">
        <v>2671</v>
      </c>
      <c r="D1797" s="5" t="s">
        <v>57</v>
      </c>
      <c r="E1797">
        <v>2035</v>
      </c>
      <c r="F1797" s="6" t="str">
        <f t="shared" si="226"/>
        <v>*0.94</v>
      </c>
      <c r="H1797" t="s">
        <v>2671</v>
      </c>
      <c r="I1797" s="5" t="s">
        <v>57</v>
      </c>
      <c r="J1797">
        <v>2050</v>
      </c>
      <c r="K1797" s="38" t="str">
        <f t="shared" si="227"/>
        <v>*0.92</v>
      </c>
      <c r="P1797" s="32" t="s">
        <v>2671</v>
      </c>
      <c r="Q1797" s="42" t="s">
        <v>57</v>
      </c>
      <c r="R1797" s="32">
        <v>2035</v>
      </c>
      <c r="S1797" s="43" t="str">
        <f t="shared" si="228"/>
        <v>*0.93</v>
      </c>
      <c r="U1797" s="32" t="s">
        <v>2671</v>
      </c>
      <c r="V1797" s="42" t="s">
        <v>57</v>
      </c>
      <c r="W1797" s="32">
        <v>2050</v>
      </c>
      <c r="X1797" s="43" t="str">
        <f t="shared" si="229"/>
        <v>*0.92</v>
      </c>
      <c r="AC1797" s="33" t="s">
        <v>2671</v>
      </c>
      <c r="AD1797" s="44" t="s">
        <v>57</v>
      </c>
      <c r="AE1797" s="33">
        <v>2035</v>
      </c>
      <c r="AF1797" s="45" t="str">
        <f t="shared" si="230"/>
        <v>*0.91</v>
      </c>
      <c r="AG1797" s="43" t="str">
        <f t="shared" si="224"/>
        <v>REZoning_Sol-Win</v>
      </c>
      <c r="AI1797" s="33" t="s">
        <v>2671</v>
      </c>
      <c r="AJ1797" s="44" t="s">
        <v>57</v>
      </c>
      <c r="AK1797" s="33">
        <v>2050</v>
      </c>
      <c r="AL1797" s="45" t="str">
        <f t="shared" si="231"/>
        <v>*0.87</v>
      </c>
      <c r="AM1797" s="43" t="str">
        <f t="shared" si="225"/>
        <v>REZoning_Sol-Win</v>
      </c>
      <c r="AP1797" t="s">
        <v>2671</v>
      </c>
      <c r="AQ1797" t="s">
        <v>57</v>
      </c>
      <c r="AR1797">
        <v>2100</v>
      </c>
      <c r="AS1797" t="s">
        <v>874</v>
      </c>
      <c r="AT1797" t="s">
        <v>58</v>
      </c>
    </row>
    <row r="1798" ht="29" spans="1:46">
      <c r="A1798" s="31" t="s">
        <v>169</v>
      </c>
      <c r="C1798" t="s">
        <v>2672</v>
      </c>
      <c r="D1798" s="5" t="s">
        <v>57</v>
      </c>
      <c r="E1798">
        <v>2035</v>
      </c>
      <c r="F1798" s="6" t="str">
        <f t="shared" si="226"/>
        <v>*0.94</v>
      </c>
      <c r="H1798" t="s">
        <v>2672</v>
      </c>
      <c r="I1798" s="5" t="s">
        <v>57</v>
      </c>
      <c r="J1798">
        <v>2050</v>
      </c>
      <c r="K1798" s="38" t="str">
        <f t="shared" si="227"/>
        <v>*0.92</v>
      </c>
      <c r="P1798" s="32" t="s">
        <v>2672</v>
      </c>
      <c r="Q1798" s="42" t="s">
        <v>57</v>
      </c>
      <c r="R1798" s="32">
        <v>2035</v>
      </c>
      <c r="S1798" s="43" t="str">
        <f t="shared" si="228"/>
        <v>*0.93</v>
      </c>
      <c r="U1798" s="32" t="s">
        <v>2672</v>
      </c>
      <c r="V1798" s="42" t="s">
        <v>57</v>
      </c>
      <c r="W1798" s="32">
        <v>2050</v>
      </c>
      <c r="X1798" s="43" t="str">
        <f t="shared" si="229"/>
        <v>*0.92</v>
      </c>
      <c r="AC1798" s="33" t="s">
        <v>2672</v>
      </c>
      <c r="AD1798" s="44" t="s">
        <v>57</v>
      </c>
      <c r="AE1798" s="33">
        <v>2035</v>
      </c>
      <c r="AF1798" s="45" t="str">
        <f t="shared" si="230"/>
        <v>*0.91</v>
      </c>
      <c r="AG1798" s="43" t="str">
        <f t="shared" si="224"/>
        <v>REZoning_Sol-Win</v>
      </c>
      <c r="AI1798" s="33" t="s">
        <v>2672</v>
      </c>
      <c r="AJ1798" s="44" t="s">
        <v>57</v>
      </c>
      <c r="AK1798" s="33">
        <v>2050</v>
      </c>
      <c r="AL1798" s="45" t="str">
        <f t="shared" si="231"/>
        <v>*0.87</v>
      </c>
      <c r="AM1798" s="43" t="str">
        <f t="shared" si="225"/>
        <v>REZoning_Sol-Win</v>
      </c>
      <c r="AP1798" t="s">
        <v>2672</v>
      </c>
      <c r="AQ1798" t="s">
        <v>57</v>
      </c>
      <c r="AR1798">
        <v>2100</v>
      </c>
      <c r="AS1798" t="s">
        <v>874</v>
      </c>
      <c r="AT1798" t="s">
        <v>58</v>
      </c>
    </row>
    <row r="1799" ht="29" spans="1:46">
      <c r="A1799" s="31" t="s">
        <v>169</v>
      </c>
      <c r="C1799" t="s">
        <v>2673</v>
      </c>
      <c r="D1799" s="5" t="s">
        <v>57</v>
      </c>
      <c r="E1799">
        <v>2035</v>
      </c>
      <c r="F1799" s="6" t="str">
        <f t="shared" si="226"/>
        <v>*0.94</v>
      </c>
      <c r="H1799" t="s">
        <v>2673</v>
      </c>
      <c r="I1799" s="5" t="s">
        <v>57</v>
      </c>
      <c r="J1799">
        <v>2050</v>
      </c>
      <c r="K1799" s="38" t="str">
        <f t="shared" si="227"/>
        <v>*0.92</v>
      </c>
      <c r="P1799" s="32" t="s">
        <v>2673</v>
      </c>
      <c r="Q1799" s="42" t="s">
        <v>57</v>
      </c>
      <c r="R1799" s="32">
        <v>2035</v>
      </c>
      <c r="S1799" s="43" t="str">
        <f t="shared" si="228"/>
        <v>*0.93</v>
      </c>
      <c r="U1799" s="32" t="s">
        <v>2673</v>
      </c>
      <c r="V1799" s="42" t="s">
        <v>57</v>
      </c>
      <c r="W1799" s="32">
        <v>2050</v>
      </c>
      <c r="X1799" s="43" t="str">
        <f t="shared" si="229"/>
        <v>*0.92</v>
      </c>
      <c r="AC1799" s="33" t="s">
        <v>2673</v>
      </c>
      <c r="AD1799" s="44" t="s">
        <v>57</v>
      </c>
      <c r="AE1799" s="33">
        <v>2035</v>
      </c>
      <c r="AF1799" s="45" t="str">
        <f t="shared" si="230"/>
        <v>*0.91</v>
      </c>
      <c r="AG1799" s="43" t="str">
        <f t="shared" si="224"/>
        <v>REZoning_Sol-Win</v>
      </c>
      <c r="AI1799" s="33" t="s">
        <v>2673</v>
      </c>
      <c r="AJ1799" s="44" t="s">
        <v>57</v>
      </c>
      <c r="AK1799" s="33">
        <v>2050</v>
      </c>
      <c r="AL1799" s="45" t="str">
        <f t="shared" si="231"/>
        <v>*0.87</v>
      </c>
      <c r="AM1799" s="43" t="str">
        <f t="shared" si="225"/>
        <v>REZoning_Sol-Win</v>
      </c>
      <c r="AP1799" t="s">
        <v>2673</v>
      </c>
      <c r="AQ1799" t="s">
        <v>57</v>
      </c>
      <c r="AR1799">
        <v>2100</v>
      </c>
      <c r="AS1799" t="s">
        <v>874</v>
      </c>
      <c r="AT1799" t="s">
        <v>58</v>
      </c>
    </row>
    <row r="1800" ht="29" spans="1:46">
      <c r="A1800" s="31" t="s">
        <v>169</v>
      </c>
      <c r="C1800" t="s">
        <v>2674</v>
      </c>
      <c r="D1800" s="5" t="s">
        <v>57</v>
      </c>
      <c r="E1800">
        <v>2035</v>
      </c>
      <c r="F1800" s="6" t="str">
        <f t="shared" si="226"/>
        <v>*0.94</v>
      </c>
      <c r="H1800" t="s">
        <v>2674</v>
      </c>
      <c r="I1800" s="5" t="s">
        <v>57</v>
      </c>
      <c r="J1800">
        <v>2050</v>
      </c>
      <c r="K1800" s="38" t="str">
        <f t="shared" si="227"/>
        <v>*0.92</v>
      </c>
      <c r="P1800" s="32" t="s">
        <v>2674</v>
      </c>
      <c r="Q1800" s="42" t="s">
        <v>57</v>
      </c>
      <c r="R1800" s="32">
        <v>2035</v>
      </c>
      <c r="S1800" s="43" t="str">
        <f t="shared" si="228"/>
        <v>*0.93</v>
      </c>
      <c r="U1800" s="32" t="s">
        <v>2674</v>
      </c>
      <c r="V1800" s="42" t="s">
        <v>57</v>
      </c>
      <c r="W1800" s="32">
        <v>2050</v>
      </c>
      <c r="X1800" s="43" t="str">
        <f t="shared" si="229"/>
        <v>*0.92</v>
      </c>
      <c r="AC1800" s="33" t="s">
        <v>2674</v>
      </c>
      <c r="AD1800" s="44" t="s">
        <v>57</v>
      </c>
      <c r="AE1800" s="33">
        <v>2035</v>
      </c>
      <c r="AF1800" s="45" t="str">
        <f t="shared" si="230"/>
        <v>*0.91</v>
      </c>
      <c r="AG1800" s="43" t="str">
        <f t="shared" si="224"/>
        <v>REZoning_Sol-Win</v>
      </c>
      <c r="AI1800" s="33" t="s">
        <v>2674</v>
      </c>
      <c r="AJ1800" s="44" t="s">
        <v>57</v>
      </c>
      <c r="AK1800" s="33">
        <v>2050</v>
      </c>
      <c r="AL1800" s="45" t="str">
        <f t="shared" si="231"/>
        <v>*0.87</v>
      </c>
      <c r="AM1800" s="43" t="str">
        <f t="shared" si="225"/>
        <v>REZoning_Sol-Win</v>
      </c>
      <c r="AP1800" t="s">
        <v>2674</v>
      </c>
      <c r="AQ1800" t="s">
        <v>57</v>
      </c>
      <c r="AR1800">
        <v>2100</v>
      </c>
      <c r="AS1800" t="s">
        <v>874</v>
      </c>
      <c r="AT1800" t="s">
        <v>58</v>
      </c>
    </row>
    <row r="1801" ht="29" spans="1:46">
      <c r="A1801" s="31" t="s">
        <v>169</v>
      </c>
      <c r="C1801" t="s">
        <v>2675</v>
      </c>
      <c r="D1801" s="5" t="s">
        <v>57</v>
      </c>
      <c r="E1801">
        <v>2035</v>
      </c>
      <c r="F1801" s="6" t="str">
        <f t="shared" si="226"/>
        <v>*0.94</v>
      </c>
      <c r="H1801" t="s">
        <v>2675</v>
      </c>
      <c r="I1801" s="5" t="s">
        <v>57</v>
      </c>
      <c r="J1801">
        <v>2050</v>
      </c>
      <c r="K1801" s="38" t="str">
        <f t="shared" si="227"/>
        <v>*0.92</v>
      </c>
      <c r="P1801" s="32" t="s">
        <v>2675</v>
      </c>
      <c r="Q1801" s="42" t="s">
        <v>57</v>
      </c>
      <c r="R1801" s="32">
        <v>2035</v>
      </c>
      <c r="S1801" s="43" t="str">
        <f t="shared" si="228"/>
        <v>*0.93</v>
      </c>
      <c r="U1801" s="32" t="s">
        <v>2675</v>
      </c>
      <c r="V1801" s="42" t="s">
        <v>57</v>
      </c>
      <c r="W1801" s="32">
        <v>2050</v>
      </c>
      <c r="X1801" s="43" t="str">
        <f t="shared" si="229"/>
        <v>*0.92</v>
      </c>
      <c r="AC1801" s="33" t="s">
        <v>2675</v>
      </c>
      <c r="AD1801" s="44" t="s">
        <v>57</v>
      </c>
      <c r="AE1801" s="33">
        <v>2035</v>
      </c>
      <c r="AF1801" s="45" t="str">
        <f t="shared" si="230"/>
        <v>*0.91</v>
      </c>
      <c r="AG1801" s="43" t="str">
        <f t="shared" ref="AG1801:AG1864" si="232">AG1800</f>
        <v>REZoning_Sol-Win</v>
      </c>
      <c r="AI1801" s="33" t="s">
        <v>2675</v>
      </c>
      <c r="AJ1801" s="44" t="s">
        <v>57</v>
      </c>
      <c r="AK1801" s="33">
        <v>2050</v>
      </c>
      <c r="AL1801" s="45" t="str">
        <f t="shared" si="231"/>
        <v>*0.87</v>
      </c>
      <c r="AM1801" s="43" t="str">
        <f t="shared" si="225"/>
        <v>REZoning_Sol-Win</v>
      </c>
      <c r="AP1801" t="s">
        <v>2675</v>
      </c>
      <c r="AQ1801" t="s">
        <v>57</v>
      </c>
      <c r="AR1801">
        <v>2100</v>
      </c>
      <c r="AS1801" t="s">
        <v>874</v>
      </c>
      <c r="AT1801" t="s">
        <v>58</v>
      </c>
    </row>
    <row r="1802" ht="29" spans="1:46">
      <c r="A1802" s="31" t="s">
        <v>73</v>
      </c>
      <c r="C1802" t="s">
        <v>2676</v>
      </c>
      <c r="D1802" s="5" t="s">
        <v>57</v>
      </c>
      <c r="E1802">
        <v>2035</v>
      </c>
      <c r="F1802" s="6" t="str">
        <f t="shared" si="226"/>
        <v>*0.95</v>
      </c>
      <c r="H1802" t="s">
        <v>2676</v>
      </c>
      <c r="I1802" s="5" t="s">
        <v>57</v>
      </c>
      <c r="J1802">
        <v>2050</v>
      </c>
      <c r="K1802" s="38" t="str">
        <f t="shared" si="227"/>
        <v>*0.93</v>
      </c>
      <c r="P1802" s="32" t="s">
        <v>2676</v>
      </c>
      <c r="Q1802" s="42" t="s">
        <v>57</v>
      </c>
      <c r="R1802" s="32">
        <v>2035</v>
      </c>
      <c r="S1802" s="43" t="str">
        <f t="shared" si="228"/>
        <v>*0.95</v>
      </c>
      <c r="U1802" s="32" t="s">
        <v>2676</v>
      </c>
      <c r="V1802" s="42" t="s">
        <v>57</v>
      </c>
      <c r="W1802" s="32">
        <v>2050</v>
      </c>
      <c r="X1802" s="43" t="str">
        <f t="shared" si="229"/>
        <v>*0.93</v>
      </c>
      <c r="AC1802" s="33" t="s">
        <v>2676</v>
      </c>
      <c r="AD1802" s="44" t="s">
        <v>57</v>
      </c>
      <c r="AE1802" s="33">
        <v>2035</v>
      </c>
      <c r="AF1802" s="45" t="str">
        <f t="shared" si="230"/>
        <v>*0.93</v>
      </c>
      <c r="AG1802" s="43" t="str">
        <f t="shared" si="232"/>
        <v>REZoning_Sol-Win</v>
      </c>
      <c r="AI1802" s="33" t="s">
        <v>2676</v>
      </c>
      <c r="AJ1802" s="44" t="s">
        <v>57</v>
      </c>
      <c r="AK1802" s="33">
        <v>2050</v>
      </c>
      <c r="AL1802" s="45" t="str">
        <f t="shared" si="231"/>
        <v>*0.9</v>
      </c>
      <c r="AM1802" s="43" t="str">
        <f t="shared" ref="AM1802:AM1865" si="233">AM1801</f>
        <v>REZoning_Sol-Win</v>
      </c>
      <c r="AP1802" t="s">
        <v>2676</v>
      </c>
      <c r="AQ1802" t="s">
        <v>57</v>
      </c>
      <c r="AR1802">
        <v>2100</v>
      </c>
      <c r="AS1802" t="s">
        <v>897</v>
      </c>
      <c r="AT1802" t="s">
        <v>58</v>
      </c>
    </row>
    <row r="1803" ht="29" spans="1:46">
      <c r="A1803" s="31" t="s">
        <v>73</v>
      </c>
      <c r="C1803" t="s">
        <v>2677</v>
      </c>
      <c r="D1803" s="5" t="s">
        <v>57</v>
      </c>
      <c r="E1803">
        <v>2035</v>
      </c>
      <c r="F1803" s="6" t="str">
        <f t="shared" si="226"/>
        <v>*0.95</v>
      </c>
      <c r="H1803" t="s">
        <v>2677</v>
      </c>
      <c r="I1803" s="5" t="s">
        <v>57</v>
      </c>
      <c r="J1803">
        <v>2050</v>
      </c>
      <c r="K1803" s="38" t="str">
        <f t="shared" si="227"/>
        <v>*0.93</v>
      </c>
      <c r="P1803" s="32" t="s">
        <v>2677</v>
      </c>
      <c r="Q1803" s="42" t="s">
        <v>57</v>
      </c>
      <c r="R1803" s="32">
        <v>2035</v>
      </c>
      <c r="S1803" s="43" t="str">
        <f t="shared" si="228"/>
        <v>*0.95</v>
      </c>
      <c r="U1803" s="32" t="s">
        <v>2677</v>
      </c>
      <c r="V1803" s="42" t="s">
        <v>57</v>
      </c>
      <c r="W1803" s="32">
        <v>2050</v>
      </c>
      <c r="X1803" s="43" t="str">
        <f t="shared" si="229"/>
        <v>*0.93</v>
      </c>
      <c r="AC1803" s="33" t="s">
        <v>2677</v>
      </c>
      <c r="AD1803" s="44" t="s">
        <v>57</v>
      </c>
      <c r="AE1803" s="33">
        <v>2035</v>
      </c>
      <c r="AF1803" s="45" t="str">
        <f t="shared" si="230"/>
        <v>*0.93</v>
      </c>
      <c r="AG1803" s="43" t="str">
        <f t="shared" si="232"/>
        <v>REZoning_Sol-Win</v>
      </c>
      <c r="AI1803" s="33" t="s">
        <v>2677</v>
      </c>
      <c r="AJ1803" s="44" t="s">
        <v>57</v>
      </c>
      <c r="AK1803" s="33">
        <v>2050</v>
      </c>
      <c r="AL1803" s="45" t="str">
        <f t="shared" si="231"/>
        <v>*0.9</v>
      </c>
      <c r="AM1803" s="43" t="str">
        <f t="shared" si="233"/>
        <v>REZoning_Sol-Win</v>
      </c>
      <c r="AP1803" t="s">
        <v>2677</v>
      </c>
      <c r="AQ1803" t="s">
        <v>57</v>
      </c>
      <c r="AR1803">
        <v>2100</v>
      </c>
      <c r="AS1803" t="s">
        <v>897</v>
      </c>
      <c r="AT1803" t="s">
        <v>58</v>
      </c>
    </row>
    <row r="1804" ht="29" spans="1:46">
      <c r="A1804" s="31" t="s">
        <v>73</v>
      </c>
      <c r="C1804" t="s">
        <v>2678</v>
      </c>
      <c r="D1804" s="5" t="s">
        <v>57</v>
      </c>
      <c r="E1804">
        <v>2035</v>
      </c>
      <c r="F1804" s="6" t="str">
        <f t="shared" si="226"/>
        <v>*0.95</v>
      </c>
      <c r="H1804" t="s">
        <v>2678</v>
      </c>
      <c r="I1804" s="5" t="s">
        <v>57</v>
      </c>
      <c r="J1804">
        <v>2050</v>
      </c>
      <c r="K1804" s="38" t="str">
        <f t="shared" si="227"/>
        <v>*0.93</v>
      </c>
      <c r="P1804" s="32" t="s">
        <v>2678</v>
      </c>
      <c r="Q1804" s="42" t="s">
        <v>57</v>
      </c>
      <c r="R1804" s="32">
        <v>2035</v>
      </c>
      <c r="S1804" s="43" t="str">
        <f t="shared" si="228"/>
        <v>*0.95</v>
      </c>
      <c r="U1804" s="32" t="s">
        <v>2678</v>
      </c>
      <c r="V1804" s="42" t="s">
        <v>57</v>
      </c>
      <c r="W1804" s="32">
        <v>2050</v>
      </c>
      <c r="X1804" s="43" t="str">
        <f t="shared" si="229"/>
        <v>*0.93</v>
      </c>
      <c r="AC1804" s="33" t="s">
        <v>2678</v>
      </c>
      <c r="AD1804" s="44" t="s">
        <v>57</v>
      </c>
      <c r="AE1804" s="33">
        <v>2035</v>
      </c>
      <c r="AF1804" s="45" t="str">
        <f t="shared" si="230"/>
        <v>*0.93</v>
      </c>
      <c r="AG1804" s="43" t="str">
        <f t="shared" si="232"/>
        <v>REZoning_Sol-Win</v>
      </c>
      <c r="AI1804" s="33" t="s">
        <v>2678</v>
      </c>
      <c r="AJ1804" s="44" t="s">
        <v>57</v>
      </c>
      <c r="AK1804" s="33">
        <v>2050</v>
      </c>
      <c r="AL1804" s="45" t="str">
        <f t="shared" si="231"/>
        <v>*0.9</v>
      </c>
      <c r="AM1804" s="43" t="str">
        <f t="shared" si="233"/>
        <v>REZoning_Sol-Win</v>
      </c>
      <c r="AP1804" t="s">
        <v>2678</v>
      </c>
      <c r="AQ1804" t="s">
        <v>57</v>
      </c>
      <c r="AR1804">
        <v>2100</v>
      </c>
      <c r="AS1804" t="s">
        <v>897</v>
      </c>
      <c r="AT1804" t="s">
        <v>58</v>
      </c>
    </row>
    <row r="1805" ht="29" spans="1:46">
      <c r="A1805" s="31" t="s">
        <v>73</v>
      </c>
      <c r="C1805" t="s">
        <v>2679</v>
      </c>
      <c r="D1805" s="5" t="s">
        <v>57</v>
      </c>
      <c r="E1805">
        <v>2035</v>
      </c>
      <c r="F1805" s="6" t="str">
        <f t="shared" si="226"/>
        <v>*0.95</v>
      </c>
      <c r="H1805" t="s">
        <v>2679</v>
      </c>
      <c r="I1805" s="5" t="s">
        <v>57</v>
      </c>
      <c r="J1805">
        <v>2050</v>
      </c>
      <c r="K1805" s="38" t="str">
        <f t="shared" si="227"/>
        <v>*0.93</v>
      </c>
      <c r="P1805" s="32" t="s">
        <v>2679</v>
      </c>
      <c r="Q1805" s="42" t="s">
        <v>57</v>
      </c>
      <c r="R1805" s="32">
        <v>2035</v>
      </c>
      <c r="S1805" s="43" t="str">
        <f t="shared" si="228"/>
        <v>*0.95</v>
      </c>
      <c r="U1805" s="32" t="s">
        <v>2679</v>
      </c>
      <c r="V1805" s="42" t="s">
        <v>57</v>
      </c>
      <c r="W1805" s="32">
        <v>2050</v>
      </c>
      <c r="X1805" s="43" t="str">
        <f t="shared" si="229"/>
        <v>*0.93</v>
      </c>
      <c r="AC1805" s="33" t="s">
        <v>2679</v>
      </c>
      <c r="AD1805" s="44" t="s">
        <v>57</v>
      </c>
      <c r="AE1805" s="33">
        <v>2035</v>
      </c>
      <c r="AF1805" s="45" t="str">
        <f t="shared" si="230"/>
        <v>*0.93</v>
      </c>
      <c r="AG1805" s="43" t="str">
        <f t="shared" si="232"/>
        <v>REZoning_Sol-Win</v>
      </c>
      <c r="AI1805" s="33" t="s">
        <v>2679</v>
      </c>
      <c r="AJ1805" s="44" t="s">
        <v>57</v>
      </c>
      <c r="AK1805" s="33">
        <v>2050</v>
      </c>
      <c r="AL1805" s="45" t="str">
        <f t="shared" si="231"/>
        <v>*0.9</v>
      </c>
      <c r="AM1805" s="43" t="str">
        <f t="shared" si="233"/>
        <v>REZoning_Sol-Win</v>
      </c>
      <c r="AP1805" t="s">
        <v>2679</v>
      </c>
      <c r="AQ1805" t="s">
        <v>57</v>
      </c>
      <c r="AR1805">
        <v>2100</v>
      </c>
      <c r="AS1805" t="s">
        <v>897</v>
      </c>
      <c r="AT1805" t="s">
        <v>58</v>
      </c>
    </row>
    <row r="1806" ht="29" spans="1:46">
      <c r="A1806" s="31" t="s">
        <v>73</v>
      </c>
      <c r="C1806" t="s">
        <v>2680</v>
      </c>
      <c r="D1806" s="5" t="s">
        <v>57</v>
      </c>
      <c r="E1806">
        <v>2035</v>
      </c>
      <c r="F1806" s="6" t="str">
        <f t="shared" si="226"/>
        <v>*0.95</v>
      </c>
      <c r="H1806" t="s">
        <v>2680</v>
      </c>
      <c r="I1806" s="5" t="s">
        <v>57</v>
      </c>
      <c r="J1806">
        <v>2050</v>
      </c>
      <c r="K1806" s="38" t="str">
        <f t="shared" si="227"/>
        <v>*0.93</v>
      </c>
      <c r="P1806" s="32" t="s">
        <v>2680</v>
      </c>
      <c r="Q1806" s="42" t="s">
        <v>57</v>
      </c>
      <c r="R1806" s="32">
        <v>2035</v>
      </c>
      <c r="S1806" s="43" t="str">
        <f t="shared" si="228"/>
        <v>*0.95</v>
      </c>
      <c r="U1806" s="32" t="s">
        <v>2680</v>
      </c>
      <c r="V1806" s="42" t="s">
        <v>57</v>
      </c>
      <c r="W1806" s="32">
        <v>2050</v>
      </c>
      <c r="X1806" s="43" t="str">
        <f t="shared" si="229"/>
        <v>*0.93</v>
      </c>
      <c r="AC1806" s="33" t="s">
        <v>2680</v>
      </c>
      <c r="AD1806" s="44" t="s">
        <v>57</v>
      </c>
      <c r="AE1806" s="33">
        <v>2035</v>
      </c>
      <c r="AF1806" s="45" t="str">
        <f t="shared" si="230"/>
        <v>*0.93</v>
      </c>
      <c r="AG1806" s="43" t="str">
        <f t="shared" si="232"/>
        <v>REZoning_Sol-Win</v>
      </c>
      <c r="AI1806" s="33" t="s">
        <v>2680</v>
      </c>
      <c r="AJ1806" s="44" t="s">
        <v>57</v>
      </c>
      <c r="AK1806" s="33">
        <v>2050</v>
      </c>
      <c r="AL1806" s="45" t="str">
        <f t="shared" si="231"/>
        <v>*0.9</v>
      </c>
      <c r="AM1806" s="43" t="str">
        <f t="shared" si="233"/>
        <v>REZoning_Sol-Win</v>
      </c>
      <c r="AP1806" t="s">
        <v>2680</v>
      </c>
      <c r="AQ1806" t="s">
        <v>57</v>
      </c>
      <c r="AR1806">
        <v>2100</v>
      </c>
      <c r="AS1806" t="s">
        <v>897</v>
      </c>
      <c r="AT1806" t="s">
        <v>58</v>
      </c>
    </row>
    <row r="1807" ht="29" spans="1:46">
      <c r="A1807" s="31" t="s">
        <v>73</v>
      </c>
      <c r="C1807" t="s">
        <v>2681</v>
      </c>
      <c r="D1807" s="5" t="s">
        <v>57</v>
      </c>
      <c r="E1807">
        <v>2035</v>
      </c>
      <c r="F1807" s="6" t="str">
        <f t="shared" si="226"/>
        <v>*0.95</v>
      </c>
      <c r="H1807" t="s">
        <v>2681</v>
      </c>
      <c r="I1807" s="5" t="s">
        <v>57</v>
      </c>
      <c r="J1807">
        <v>2050</v>
      </c>
      <c r="K1807" s="38" t="str">
        <f t="shared" si="227"/>
        <v>*0.93</v>
      </c>
      <c r="P1807" s="32" t="s">
        <v>2681</v>
      </c>
      <c r="Q1807" s="42" t="s">
        <v>57</v>
      </c>
      <c r="R1807" s="32">
        <v>2035</v>
      </c>
      <c r="S1807" s="43" t="str">
        <f t="shared" si="228"/>
        <v>*0.95</v>
      </c>
      <c r="U1807" s="32" t="s">
        <v>2681</v>
      </c>
      <c r="V1807" s="42" t="s">
        <v>57</v>
      </c>
      <c r="W1807" s="32">
        <v>2050</v>
      </c>
      <c r="X1807" s="43" t="str">
        <f t="shared" si="229"/>
        <v>*0.93</v>
      </c>
      <c r="AC1807" s="33" t="s">
        <v>2681</v>
      </c>
      <c r="AD1807" s="44" t="s">
        <v>57</v>
      </c>
      <c r="AE1807" s="33">
        <v>2035</v>
      </c>
      <c r="AF1807" s="45" t="str">
        <f t="shared" si="230"/>
        <v>*0.93</v>
      </c>
      <c r="AG1807" s="43" t="str">
        <f t="shared" si="232"/>
        <v>REZoning_Sol-Win</v>
      </c>
      <c r="AI1807" s="33" t="s">
        <v>2681</v>
      </c>
      <c r="AJ1807" s="44" t="s">
        <v>57</v>
      </c>
      <c r="AK1807" s="33">
        <v>2050</v>
      </c>
      <c r="AL1807" s="45" t="str">
        <f t="shared" si="231"/>
        <v>*0.9</v>
      </c>
      <c r="AM1807" s="43" t="str">
        <f t="shared" si="233"/>
        <v>REZoning_Sol-Win</v>
      </c>
      <c r="AP1807" t="s">
        <v>2681</v>
      </c>
      <c r="AQ1807" t="s">
        <v>57</v>
      </c>
      <c r="AR1807">
        <v>2100</v>
      </c>
      <c r="AS1807" t="s">
        <v>897</v>
      </c>
      <c r="AT1807" t="s">
        <v>58</v>
      </c>
    </row>
    <row r="1808" ht="29" spans="1:46">
      <c r="A1808" s="31" t="s">
        <v>73</v>
      </c>
      <c r="C1808" t="s">
        <v>2682</v>
      </c>
      <c r="D1808" s="5" t="s">
        <v>57</v>
      </c>
      <c r="E1808">
        <v>2035</v>
      </c>
      <c r="F1808" s="6" t="str">
        <f t="shared" si="226"/>
        <v>*0.95</v>
      </c>
      <c r="H1808" t="s">
        <v>2682</v>
      </c>
      <c r="I1808" s="5" t="s">
        <v>57</v>
      </c>
      <c r="J1808">
        <v>2050</v>
      </c>
      <c r="K1808" s="38" t="str">
        <f t="shared" si="227"/>
        <v>*0.93</v>
      </c>
      <c r="P1808" s="32" t="s">
        <v>2682</v>
      </c>
      <c r="Q1808" s="42" t="s">
        <v>57</v>
      </c>
      <c r="R1808" s="32">
        <v>2035</v>
      </c>
      <c r="S1808" s="43" t="str">
        <f t="shared" si="228"/>
        <v>*0.95</v>
      </c>
      <c r="U1808" s="32" t="s">
        <v>2682</v>
      </c>
      <c r="V1808" s="42" t="s">
        <v>57</v>
      </c>
      <c r="W1808" s="32">
        <v>2050</v>
      </c>
      <c r="X1808" s="43" t="str">
        <f t="shared" si="229"/>
        <v>*0.93</v>
      </c>
      <c r="AC1808" s="33" t="s">
        <v>2682</v>
      </c>
      <c r="AD1808" s="44" t="s">
        <v>57</v>
      </c>
      <c r="AE1808" s="33">
        <v>2035</v>
      </c>
      <c r="AF1808" s="45" t="str">
        <f t="shared" si="230"/>
        <v>*0.93</v>
      </c>
      <c r="AG1808" s="43" t="str">
        <f t="shared" si="232"/>
        <v>REZoning_Sol-Win</v>
      </c>
      <c r="AI1808" s="33" t="s">
        <v>2682</v>
      </c>
      <c r="AJ1808" s="44" t="s">
        <v>57</v>
      </c>
      <c r="AK1808" s="33">
        <v>2050</v>
      </c>
      <c r="AL1808" s="45" t="str">
        <f t="shared" si="231"/>
        <v>*0.9</v>
      </c>
      <c r="AM1808" s="43" t="str">
        <f t="shared" si="233"/>
        <v>REZoning_Sol-Win</v>
      </c>
      <c r="AP1808" t="s">
        <v>2682</v>
      </c>
      <c r="AQ1808" t="s">
        <v>57</v>
      </c>
      <c r="AR1808">
        <v>2100</v>
      </c>
      <c r="AS1808" t="s">
        <v>897</v>
      </c>
      <c r="AT1808" t="s">
        <v>58</v>
      </c>
    </row>
    <row r="1809" ht="29" spans="1:46">
      <c r="A1809" s="31" t="s">
        <v>73</v>
      </c>
      <c r="C1809" t="s">
        <v>2683</v>
      </c>
      <c r="D1809" s="5" t="s">
        <v>57</v>
      </c>
      <c r="E1809">
        <v>2035</v>
      </c>
      <c r="F1809" s="6" t="str">
        <f t="shared" si="226"/>
        <v>*0.95</v>
      </c>
      <c r="H1809" t="s">
        <v>2683</v>
      </c>
      <c r="I1809" s="5" t="s">
        <v>57</v>
      </c>
      <c r="J1809">
        <v>2050</v>
      </c>
      <c r="K1809" s="38" t="str">
        <f t="shared" si="227"/>
        <v>*0.93</v>
      </c>
      <c r="P1809" s="32" t="s">
        <v>2683</v>
      </c>
      <c r="Q1809" s="42" t="s">
        <v>57</v>
      </c>
      <c r="R1809" s="32">
        <v>2035</v>
      </c>
      <c r="S1809" s="43" t="str">
        <f t="shared" si="228"/>
        <v>*0.95</v>
      </c>
      <c r="U1809" s="32" t="s">
        <v>2683</v>
      </c>
      <c r="V1809" s="42" t="s">
        <v>57</v>
      </c>
      <c r="W1809" s="32">
        <v>2050</v>
      </c>
      <c r="X1809" s="43" t="str">
        <f t="shared" si="229"/>
        <v>*0.93</v>
      </c>
      <c r="AC1809" s="33" t="s">
        <v>2683</v>
      </c>
      <c r="AD1809" s="44" t="s">
        <v>57</v>
      </c>
      <c r="AE1809" s="33">
        <v>2035</v>
      </c>
      <c r="AF1809" s="45" t="str">
        <f t="shared" si="230"/>
        <v>*0.93</v>
      </c>
      <c r="AG1809" s="43" t="str">
        <f t="shared" si="232"/>
        <v>REZoning_Sol-Win</v>
      </c>
      <c r="AI1809" s="33" t="s">
        <v>2683</v>
      </c>
      <c r="AJ1809" s="44" t="s">
        <v>57</v>
      </c>
      <c r="AK1809" s="33">
        <v>2050</v>
      </c>
      <c r="AL1809" s="45" t="str">
        <f t="shared" si="231"/>
        <v>*0.9</v>
      </c>
      <c r="AM1809" s="43" t="str">
        <f t="shared" si="233"/>
        <v>REZoning_Sol-Win</v>
      </c>
      <c r="AP1809" t="s">
        <v>2683</v>
      </c>
      <c r="AQ1809" t="s">
        <v>57</v>
      </c>
      <c r="AR1809">
        <v>2100</v>
      </c>
      <c r="AS1809" t="s">
        <v>897</v>
      </c>
      <c r="AT1809" t="s">
        <v>58</v>
      </c>
    </row>
    <row r="1810" ht="29" spans="1:46">
      <c r="A1810" s="31" t="s">
        <v>73</v>
      </c>
      <c r="C1810" t="s">
        <v>2684</v>
      </c>
      <c r="D1810" s="5" t="s">
        <v>57</v>
      </c>
      <c r="E1810">
        <v>2035</v>
      </c>
      <c r="F1810" s="6" t="str">
        <f t="shared" si="226"/>
        <v>*0.95</v>
      </c>
      <c r="H1810" t="s">
        <v>2684</v>
      </c>
      <c r="I1810" s="5" t="s">
        <v>57</v>
      </c>
      <c r="J1810">
        <v>2050</v>
      </c>
      <c r="K1810" s="38" t="str">
        <f t="shared" si="227"/>
        <v>*0.93</v>
      </c>
      <c r="P1810" s="32" t="s">
        <v>2684</v>
      </c>
      <c r="Q1810" s="42" t="s">
        <v>57</v>
      </c>
      <c r="R1810" s="32">
        <v>2035</v>
      </c>
      <c r="S1810" s="43" t="str">
        <f t="shared" si="228"/>
        <v>*0.95</v>
      </c>
      <c r="U1810" s="32" t="s">
        <v>2684</v>
      </c>
      <c r="V1810" s="42" t="s">
        <v>57</v>
      </c>
      <c r="W1810" s="32">
        <v>2050</v>
      </c>
      <c r="X1810" s="43" t="str">
        <f t="shared" si="229"/>
        <v>*0.93</v>
      </c>
      <c r="AC1810" s="33" t="s">
        <v>2684</v>
      </c>
      <c r="AD1810" s="44" t="s">
        <v>57</v>
      </c>
      <c r="AE1810" s="33">
        <v>2035</v>
      </c>
      <c r="AF1810" s="45" t="str">
        <f t="shared" si="230"/>
        <v>*0.93</v>
      </c>
      <c r="AG1810" s="43" t="str">
        <f t="shared" si="232"/>
        <v>REZoning_Sol-Win</v>
      </c>
      <c r="AI1810" s="33" t="s">
        <v>2684</v>
      </c>
      <c r="AJ1810" s="44" t="s">
        <v>57</v>
      </c>
      <c r="AK1810" s="33">
        <v>2050</v>
      </c>
      <c r="AL1810" s="45" t="str">
        <f t="shared" si="231"/>
        <v>*0.9</v>
      </c>
      <c r="AM1810" s="43" t="str">
        <f t="shared" si="233"/>
        <v>REZoning_Sol-Win</v>
      </c>
      <c r="AP1810" t="s">
        <v>2684</v>
      </c>
      <c r="AQ1810" t="s">
        <v>57</v>
      </c>
      <c r="AR1810">
        <v>2100</v>
      </c>
      <c r="AS1810" t="s">
        <v>897</v>
      </c>
      <c r="AT1810" t="s">
        <v>58</v>
      </c>
    </row>
    <row r="1811" ht="29" spans="1:46">
      <c r="A1811" s="31" t="s">
        <v>73</v>
      </c>
      <c r="C1811" t="s">
        <v>2685</v>
      </c>
      <c r="D1811" s="5" t="s">
        <v>57</v>
      </c>
      <c r="E1811">
        <v>2035</v>
      </c>
      <c r="F1811" s="6" t="str">
        <f t="shared" si="226"/>
        <v>*0.95</v>
      </c>
      <c r="H1811" t="s">
        <v>2685</v>
      </c>
      <c r="I1811" s="5" t="s">
        <v>57</v>
      </c>
      <c r="J1811">
        <v>2050</v>
      </c>
      <c r="K1811" s="38" t="str">
        <f t="shared" si="227"/>
        <v>*0.93</v>
      </c>
      <c r="P1811" s="32" t="s">
        <v>2685</v>
      </c>
      <c r="Q1811" s="42" t="s">
        <v>57</v>
      </c>
      <c r="R1811" s="32">
        <v>2035</v>
      </c>
      <c r="S1811" s="43" t="str">
        <f t="shared" si="228"/>
        <v>*0.95</v>
      </c>
      <c r="U1811" s="32" t="s">
        <v>2685</v>
      </c>
      <c r="V1811" s="42" t="s">
        <v>57</v>
      </c>
      <c r="W1811" s="32">
        <v>2050</v>
      </c>
      <c r="X1811" s="43" t="str">
        <f t="shared" si="229"/>
        <v>*0.93</v>
      </c>
      <c r="AC1811" s="33" t="s">
        <v>2685</v>
      </c>
      <c r="AD1811" s="44" t="s">
        <v>57</v>
      </c>
      <c r="AE1811" s="33">
        <v>2035</v>
      </c>
      <c r="AF1811" s="45" t="str">
        <f t="shared" si="230"/>
        <v>*0.93</v>
      </c>
      <c r="AG1811" s="43" t="str">
        <f t="shared" si="232"/>
        <v>REZoning_Sol-Win</v>
      </c>
      <c r="AI1811" s="33" t="s">
        <v>2685</v>
      </c>
      <c r="AJ1811" s="44" t="s">
        <v>57</v>
      </c>
      <c r="AK1811" s="33">
        <v>2050</v>
      </c>
      <c r="AL1811" s="45" t="str">
        <f t="shared" si="231"/>
        <v>*0.9</v>
      </c>
      <c r="AM1811" s="43" t="str">
        <f t="shared" si="233"/>
        <v>REZoning_Sol-Win</v>
      </c>
      <c r="AP1811" t="s">
        <v>2685</v>
      </c>
      <c r="AQ1811" t="s">
        <v>57</v>
      </c>
      <c r="AR1811">
        <v>2100</v>
      </c>
      <c r="AS1811" t="s">
        <v>897</v>
      </c>
      <c r="AT1811" t="s">
        <v>58</v>
      </c>
    </row>
    <row r="1812" ht="29" spans="1:46">
      <c r="A1812" s="31" t="s">
        <v>73</v>
      </c>
      <c r="C1812" t="s">
        <v>2686</v>
      </c>
      <c r="D1812" s="5" t="s">
        <v>57</v>
      </c>
      <c r="E1812">
        <v>2035</v>
      </c>
      <c r="F1812" s="6" t="str">
        <f t="shared" si="226"/>
        <v>*0.95</v>
      </c>
      <c r="H1812" t="s">
        <v>2686</v>
      </c>
      <c r="I1812" s="5" t="s">
        <v>57</v>
      </c>
      <c r="J1812">
        <v>2050</v>
      </c>
      <c r="K1812" s="38" t="str">
        <f t="shared" si="227"/>
        <v>*0.93</v>
      </c>
      <c r="P1812" s="32" t="s">
        <v>2686</v>
      </c>
      <c r="Q1812" s="42" t="s">
        <v>57</v>
      </c>
      <c r="R1812" s="32">
        <v>2035</v>
      </c>
      <c r="S1812" s="43" t="str">
        <f t="shared" si="228"/>
        <v>*0.95</v>
      </c>
      <c r="U1812" s="32" t="s">
        <v>2686</v>
      </c>
      <c r="V1812" s="42" t="s">
        <v>57</v>
      </c>
      <c r="W1812" s="32">
        <v>2050</v>
      </c>
      <c r="X1812" s="43" t="str">
        <f t="shared" si="229"/>
        <v>*0.93</v>
      </c>
      <c r="AC1812" s="33" t="s">
        <v>2686</v>
      </c>
      <c r="AD1812" s="44" t="s">
        <v>57</v>
      </c>
      <c r="AE1812" s="33">
        <v>2035</v>
      </c>
      <c r="AF1812" s="45" t="str">
        <f t="shared" si="230"/>
        <v>*0.93</v>
      </c>
      <c r="AG1812" s="43" t="str">
        <f t="shared" si="232"/>
        <v>REZoning_Sol-Win</v>
      </c>
      <c r="AI1812" s="33" t="s">
        <v>2686</v>
      </c>
      <c r="AJ1812" s="44" t="s">
        <v>57</v>
      </c>
      <c r="AK1812" s="33">
        <v>2050</v>
      </c>
      <c r="AL1812" s="45" t="str">
        <f t="shared" si="231"/>
        <v>*0.9</v>
      </c>
      <c r="AM1812" s="43" t="str">
        <f t="shared" si="233"/>
        <v>REZoning_Sol-Win</v>
      </c>
      <c r="AP1812" t="s">
        <v>2686</v>
      </c>
      <c r="AQ1812" t="s">
        <v>57</v>
      </c>
      <c r="AR1812">
        <v>2100</v>
      </c>
      <c r="AS1812" t="s">
        <v>897</v>
      </c>
      <c r="AT1812" t="s">
        <v>58</v>
      </c>
    </row>
    <row r="1813" ht="29" spans="1:46">
      <c r="A1813" s="31" t="s">
        <v>73</v>
      </c>
      <c r="C1813" t="s">
        <v>2687</v>
      </c>
      <c r="D1813" s="5" t="s">
        <v>57</v>
      </c>
      <c r="E1813">
        <v>2035</v>
      </c>
      <c r="F1813" s="6" t="str">
        <f t="shared" si="226"/>
        <v>*0.95</v>
      </c>
      <c r="H1813" t="s">
        <v>2687</v>
      </c>
      <c r="I1813" s="5" t="s">
        <v>57</v>
      </c>
      <c r="J1813">
        <v>2050</v>
      </c>
      <c r="K1813" s="38" t="str">
        <f t="shared" si="227"/>
        <v>*0.93</v>
      </c>
      <c r="P1813" s="32" t="s">
        <v>2687</v>
      </c>
      <c r="Q1813" s="42" t="s">
        <v>57</v>
      </c>
      <c r="R1813" s="32">
        <v>2035</v>
      </c>
      <c r="S1813" s="43" t="str">
        <f t="shared" si="228"/>
        <v>*0.95</v>
      </c>
      <c r="U1813" s="32" t="s">
        <v>2687</v>
      </c>
      <c r="V1813" s="42" t="s">
        <v>57</v>
      </c>
      <c r="W1813" s="32">
        <v>2050</v>
      </c>
      <c r="X1813" s="43" t="str">
        <f t="shared" si="229"/>
        <v>*0.93</v>
      </c>
      <c r="AC1813" s="33" t="s">
        <v>2687</v>
      </c>
      <c r="AD1813" s="44" t="s">
        <v>57</v>
      </c>
      <c r="AE1813" s="33">
        <v>2035</v>
      </c>
      <c r="AF1813" s="45" t="str">
        <f t="shared" si="230"/>
        <v>*0.93</v>
      </c>
      <c r="AG1813" s="43" t="str">
        <f t="shared" si="232"/>
        <v>REZoning_Sol-Win</v>
      </c>
      <c r="AI1813" s="33" t="s">
        <v>2687</v>
      </c>
      <c r="AJ1813" s="44" t="s">
        <v>57</v>
      </c>
      <c r="AK1813" s="33">
        <v>2050</v>
      </c>
      <c r="AL1813" s="45" t="str">
        <f t="shared" si="231"/>
        <v>*0.9</v>
      </c>
      <c r="AM1813" s="43" t="str">
        <f t="shared" si="233"/>
        <v>REZoning_Sol-Win</v>
      </c>
      <c r="AP1813" t="s">
        <v>2687</v>
      </c>
      <c r="AQ1813" t="s">
        <v>57</v>
      </c>
      <c r="AR1813">
        <v>2100</v>
      </c>
      <c r="AS1813" t="s">
        <v>897</v>
      </c>
      <c r="AT1813" t="s">
        <v>58</v>
      </c>
    </row>
    <row r="1814" ht="29" spans="1:46">
      <c r="A1814" s="31" t="s">
        <v>73</v>
      </c>
      <c r="C1814" t="s">
        <v>2688</v>
      </c>
      <c r="D1814" s="5" t="s">
        <v>57</v>
      </c>
      <c r="E1814">
        <v>2035</v>
      </c>
      <c r="F1814" s="6" t="str">
        <f t="shared" si="226"/>
        <v>*0.95</v>
      </c>
      <c r="H1814" t="s">
        <v>2688</v>
      </c>
      <c r="I1814" s="5" t="s">
        <v>57</v>
      </c>
      <c r="J1814">
        <v>2050</v>
      </c>
      <c r="K1814" s="38" t="str">
        <f t="shared" si="227"/>
        <v>*0.93</v>
      </c>
      <c r="P1814" s="32" t="s">
        <v>2688</v>
      </c>
      <c r="Q1814" s="42" t="s">
        <v>57</v>
      </c>
      <c r="R1814" s="32">
        <v>2035</v>
      </c>
      <c r="S1814" s="43" t="str">
        <f t="shared" si="228"/>
        <v>*0.95</v>
      </c>
      <c r="U1814" s="32" t="s">
        <v>2688</v>
      </c>
      <c r="V1814" s="42" t="s">
        <v>57</v>
      </c>
      <c r="W1814" s="32">
        <v>2050</v>
      </c>
      <c r="X1814" s="43" t="str">
        <f t="shared" si="229"/>
        <v>*0.93</v>
      </c>
      <c r="AC1814" s="33" t="s">
        <v>2688</v>
      </c>
      <c r="AD1814" s="44" t="s">
        <v>57</v>
      </c>
      <c r="AE1814" s="33">
        <v>2035</v>
      </c>
      <c r="AF1814" s="45" t="str">
        <f t="shared" si="230"/>
        <v>*0.93</v>
      </c>
      <c r="AG1814" s="43" t="str">
        <f t="shared" si="232"/>
        <v>REZoning_Sol-Win</v>
      </c>
      <c r="AI1814" s="33" t="s">
        <v>2688</v>
      </c>
      <c r="AJ1814" s="44" t="s">
        <v>57</v>
      </c>
      <c r="AK1814" s="33">
        <v>2050</v>
      </c>
      <c r="AL1814" s="45" t="str">
        <f t="shared" si="231"/>
        <v>*0.9</v>
      </c>
      <c r="AM1814" s="43" t="str">
        <f t="shared" si="233"/>
        <v>REZoning_Sol-Win</v>
      </c>
      <c r="AP1814" t="s">
        <v>2688</v>
      </c>
      <c r="AQ1814" t="s">
        <v>57</v>
      </c>
      <c r="AR1814">
        <v>2100</v>
      </c>
      <c r="AS1814" t="s">
        <v>897</v>
      </c>
      <c r="AT1814" t="s">
        <v>58</v>
      </c>
    </row>
    <row r="1815" ht="29" spans="1:46">
      <c r="A1815" s="31" t="s">
        <v>73</v>
      </c>
      <c r="C1815" t="s">
        <v>2689</v>
      </c>
      <c r="D1815" s="5" t="s">
        <v>57</v>
      </c>
      <c r="E1815">
        <v>2035</v>
      </c>
      <c r="F1815" s="6" t="str">
        <f t="shared" si="226"/>
        <v>*0.95</v>
      </c>
      <c r="H1815" t="s">
        <v>2689</v>
      </c>
      <c r="I1815" s="5" t="s">
        <v>57</v>
      </c>
      <c r="J1815">
        <v>2050</v>
      </c>
      <c r="K1815" s="38" t="str">
        <f t="shared" si="227"/>
        <v>*0.93</v>
      </c>
      <c r="P1815" s="32" t="s">
        <v>2689</v>
      </c>
      <c r="Q1815" s="42" t="s">
        <v>57</v>
      </c>
      <c r="R1815" s="32">
        <v>2035</v>
      </c>
      <c r="S1815" s="43" t="str">
        <f t="shared" si="228"/>
        <v>*0.95</v>
      </c>
      <c r="U1815" s="32" t="s">
        <v>2689</v>
      </c>
      <c r="V1815" s="42" t="s">
        <v>57</v>
      </c>
      <c r="W1815" s="32">
        <v>2050</v>
      </c>
      <c r="X1815" s="43" t="str">
        <f t="shared" si="229"/>
        <v>*0.93</v>
      </c>
      <c r="AC1815" s="33" t="s">
        <v>2689</v>
      </c>
      <c r="AD1815" s="44" t="s">
        <v>57</v>
      </c>
      <c r="AE1815" s="33">
        <v>2035</v>
      </c>
      <c r="AF1815" s="45" t="str">
        <f t="shared" si="230"/>
        <v>*0.93</v>
      </c>
      <c r="AG1815" s="43" t="str">
        <f t="shared" si="232"/>
        <v>REZoning_Sol-Win</v>
      </c>
      <c r="AI1815" s="33" t="s">
        <v>2689</v>
      </c>
      <c r="AJ1815" s="44" t="s">
        <v>57</v>
      </c>
      <c r="AK1815" s="33">
        <v>2050</v>
      </c>
      <c r="AL1815" s="45" t="str">
        <f t="shared" si="231"/>
        <v>*0.9</v>
      </c>
      <c r="AM1815" s="43" t="str">
        <f t="shared" si="233"/>
        <v>REZoning_Sol-Win</v>
      </c>
      <c r="AP1815" t="s">
        <v>2689</v>
      </c>
      <c r="AQ1815" t="s">
        <v>57</v>
      </c>
      <c r="AR1815">
        <v>2100</v>
      </c>
      <c r="AS1815" t="s">
        <v>897</v>
      </c>
      <c r="AT1815" t="s">
        <v>58</v>
      </c>
    </row>
    <row r="1816" ht="29" spans="1:46">
      <c r="A1816" s="31" t="s">
        <v>73</v>
      </c>
      <c r="C1816" t="s">
        <v>2690</v>
      </c>
      <c r="D1816" s="5" t="s">
        <v>57</v>
      </c>
      <c r="E1816">
        <v>2035</v>
      </c>
      <c r="F1816" s="6" t="str">
        <f t="shared" si="226"/>
        <v>*0.95</v>
      </c>
      <c r="H1816" t="s">
        <v>2690</v>
      </c>
      <c r="I1816" s="5" t="s">
        <v>57</v>
      </c>
      <c r="J1816">
        <v>2050</v>
      </c>
      <c r="K1816" s="38" t="str">
        <f t="shared" si="227"/>
        <v>*0.93</v>
      </c>
      <c r="P1816" s="32" t="s">
        <v>2690</v>
      </c>
      <c r="Q1816" s="42" t="s">
        <v>57</v>
      </c>
      <c r="R1816" s="32">
        <v>2035</v>
      </c>
      <c r="S1816" s="43" t="str">
        <f t="shared" si="228"/>
        <v>*0.95</v>
      </c>
      <c r="U1816" s="32" t="s">
        <v>2690</v>
      </c>
      <c r="V1816" s="42" t="s">
        <v>57</v>
      </c>
      <c r="W1816" s="32">
        <v>2050</v>
      </c>
      <c r="X1816" s="43" t="str">
        <f t="shared" si="229"/>
        <v>*0.93</v>
      </c>
      <c r="AC1816" s="33" t="s">
        <v>2690</v>
      </c>
      <c r="AD1816" s="44" t="s">
        <v>57</v>
      </c>
      <c r="AE1816" s="33">
        <v>2035</v>
      </c>
      <c r="AF1816" s="45" t="str">
        <f t="shared" si="230"/>
        <v>*0.93</v>
      </c>
      <c r="AG1816" s="43" t="str">
        <f t="shared" si="232"/>
        <v>REZoning_Sol-Win</v>
      </c>
      <c r="AI1816" s="33" t="s">
        <v>2690</v>
      </c>
      <c r="AJ1816" s="44" t="s">
        <v>57</v>
      </c>
      <c r="AK1816" s="33">
        <v>2050</v>
      </c>
      <c r="AL1816" s="45" t="str">
        <f t="shared" si="231"/>
        <v>*0.9</v>
      </c>
      <c r="AM1816" s="43" t="str">
        <f t="shared" si="233"/>
        <v>REZoning_Sol-Win</v>
      </c>
      <c r="AP1816" t="s">
        <v>2690</v>
      </c>
      <c r="AQ1816" t="s">
        <v>57</v>
      </c>
      <c r="AR1816">
        <v>2100</v>
      </c>
      <c r="AS1816" t="s">
        <v>897</v>
      </c>
      <c r="AT1816" t="s">
        <v>58</v>
      </c>
    </row>
    <row r="1817" ht="29" spans="1:46">
      <c r="A1817" s="31" t="s">
        <v>73</v>
      </c>
      <c r="C1817" t="s">
        <v>2691</v>
      </c>
      <c r="D1817" s="5" t="s">
        <v>57</v>
      </c>
      <c r="E1817">
        <v>2035</v>
      </c>
      <c r="F1817" s="6" t="str">
        <f t="shared" si="226"/>
        <v>*0.95</v>
      </c>
      <c r="H1817" t="s">
        <v>2691</v>
      </c>
      <c r="I1817" s="5" t="s">
        <v>57</v>
      </c>
      <c r="J1817">
        <v>2050</v>
      </c>
      <c r="K1817" s="38" t="str">
        <f t="shared" si="227"/>
        <v>*0.93</v>
      </c>
      <c r="P1817" s="32" t="s">
        <v>2691</v>
      </c>
      <c r="Q1817" s="42" t="s">
        <v>57</v>
      </c>
      <c r="R1817" s="32">
        <v>2035</v>
      </c>
      <c r="S1817" s="43" t="str">
        <f t="shared" si="228"/>
        <v>*0.95</v>
      </c>
      <c r="U1817" s="32" t="s">
        <v>2691</v>
      </c>
      <c r="V1817" s="42" t="s">
        <v>57</v>
      </c>
      <c r="W1817" s="32">
        <v>2050</v>
      </c>
      <c r="X1817" s="43" t="str">
        <f t="shared" si="229"/>
        <v>*0.93</v>
      </c>
      <c r="AC1817" s="33" t="s">
        <v>2691</v>
      </c>
      <c r="AD1817" s="44" t="s">
        <v>57</v>
      </c>
      <c r="AE1817" s="33">
        <v>2035</v>
      </c>
      <c r="AF1817" s="45" t="str">
        <f t="shared" si="230"/>
        <v>*0.93</v>
      </c>
      <c r="AG1817" s="43" t="str">
        <f t="shared" si="232"/>
        <v>REZoning_Sol-Win</v>
      </c>
      <c r="AI1817" s="33" t="s">
        <v>2691</v>
      </c>
      <c r="AJ1817" s="44" t="s">
        <v>57</v>
      </c>
      <c r="AK1817" s="33">
        <v>2050</v>
      </c>
      <c r="AL1817" s="45" t="str">
        <f t="shared" si="231"/>
        <v>*0.9</v>
      </c>
      <c r="AM1817" s="43" t="str">
        <f t="shared" si="233"/>
        <v>REZoning_Sol-Win</v>
      </c>
      <c r="AP1817" t="s">
        <v>2691</v>
      </c>
      <c r="AQ1817" t="s">
        <v>57</v>
      </c>
      <c r="AR1817">
        <v>2100</v>
      </c>
      <c r="AS1817" t="s">
        <v>897</v>
      </c>
      <c r="AT1817" t="s">
        <v>58</v>
      </c>
    </row>
    <row r="1818" ht="29" spans="1:46">
      <c r="A1818" s="31" t="s">
        <v>73</v>
      </c>
      <c r="C1818" t="s">
        <v>2692</v>
      </c>
      <c r="D1818" s="5" t="s">
        <v>57</v>
      </c>
      <c r="E1818">
        <v>2035</v>
      </c>
      <c r="F1818" s="6" t="str">
        <f t="shared" si="226"/>
        <v>*0.95</v>
      </c>
      <c r="H1818" t="s">
        <v>2692</v>
      </c>
      <c r="I1818" s="5" t="s">
        <v>57</v>
      </c>
      <c r="J1818">
        <v>2050</v>
      </c>
      <c r="K1818" s="38" t="str">
        <f t="shared" si="227"/>
        <v>*0.93</v>
      </c>
      <c r="P1818" s="32" t="s">
        <v>2692</v>
      </c>
      <c r="Q1818" s="42" t="s">
        <v>57</v>
      </c>
      <c r="R1818" s="32">
        <v>2035</v>
      </c>
      <c r="S1818" s="43" t="str">
        <f t="shared" si="228"/>
        <v>*0.95</v>
      </c>
      <c r="U1818" s="32" t="s">
        <v>2692</v>
      </c>
      <c r="V1818" s="42" t="s">
        <v>57</v>
      </c>
      <c r="W1818" s="32">
        <v>2050</v>
      </c>
      <c r="X1818" s="43" t="str">
        <f t="shared" si="229"/>
        <v>*0.93</v>
      </c>
      <c r="AC1818" s="33" t="s">
        <v>2692</v>
      </c>
      <c r="AD1818" s="44" t="s">
        <v>57</v>
      </c>
      <c r="AE1818" s="33">
        <v>2035</v>
      </c>
      <c r="AF1818" s="45" t="str">
        <f t="shared" si="230"/>
        <v>*0.93</v>
      </c>
      <c r="AG1818" s="43" t="str">
        <f t="shared" si="232"/>
        <v>REZoning_Sol-Win</v>
      </c>
      <c r="AI1818" s="33" t="s">
        <v>2692</v>
      </c>
      <c r="AJ1818" s="44" t="s">
        <v>57</v>
      </c>
      <c r="AK1818" s="33">
        <v>2050</v>
      </c>
      <c r="AL1818" s="45" t="str">
        <f t="shared" si="231"/>
        <v>*0.9</v>
      </c>
      <c r="AM1818" s="43" t="str">
        <f t="shared" si="233"/>
        <v>REZoning_Sol-Win</v>
      </c>
      <c r="AP1818" t="s">
        <v>2692</v>
      </c>
      <c r="AQ1818" t="s">
        <v>57</v>
      </c>
      <c r="AR1818">
        <v>2100</v>
      </c>
      <c r="AS1818" t="s">
        <v>897</v>
      </c>
      <c r="AT1818" t="s">
        <v>58</v>
      </c>
    </row>
    <row r="1819" ht="29" spans="1:46">
      <c r="A1819" s="31" t="s">
        <v>73</v>
      </c>
      <c r="C1819" t="s">
        <v>2693</v>
      </c>
      <c r="D1819" s="5" t="s">
        <v>57</v>
      </c>
      <c r="E1819">
        <v>2035</v>
      </c>
      <c r="F1819" s="6" t="str">
        <f t="shared" si="226"/>
        <v>*0.95</v>
      </c>
      <c r="H1819" t="s">
        <v>2693</v>
      </c>
      <c r="I1819" s="5" t="s">
        <v>57</v>
      </c>
      <c r="J1819">
        <v>2050</v>
      </c>
      <c r="K1819" s="38" t="str">
        <f t="shared" si="227"/>
        <v>*0.93</v>
      </c>
      <c r="P1819" s="32" t="s">
        <v>2693</v>
      </c>
      <c r="Q1819" s="42" t="s">
        <v>57</v>
      </c>
      <c r="R1819" s="32">
        <v>2035</v>
      </c>
      <c r="S1819" s="43" t="str">
        <f t="shared" si="228"/>
        <v>*0.95</v>
      </c>
      <c r="U1819" s="32" t="s">
        <v>2693</v>
      </c>
      <c r="V1819" s="42" t="s">
        <v>57</v>
      </c>
      <c r="W1819" s="32">
        <v>2050</v>
      </c>
      <c r="X1819" s="43" t="str">
        <f t="shared" si="229"/>
        <v>*0.93</v>
      </c>
      <c r="AC1819" s="33" t="s">
        <v>2693</v>
      </c>
      <c r="AD1819" s="44" t="s">
        <v>57</v>
      </c>
      <c r="AE1819" s="33">
        <v>2035</v>
      </c>
      <c r="AF1819" s="45" t="str">
        <f t="shared" si="230"/>
        <v>*0.93</v>
      </c>
      <c r="AG1819" s="43" t="str">
        <f t="shared" si="232"/>
        <v>REZoning_Sol-Win</v>
      </c>
      <c r="AI1819" s="33" t="s">
        <v>2693</v>
      </c>
      <c r="AJ1819" s="44" t="s">
        <v>57</v>
      </c>
      <c r="AK1819" s="33">
        <v>2050</v>
      </c>
      <c r="AL1819" s="45" t="str">
        <f t="shared" si="231"/>
        <v>*0.9</v>
      </c>
      <c r="AM1819" s="43" t="str">
        <f t="shared" si="233"/>
        <v>REZoning_Sol-Win</v>
      </c>
      <c r="AP1819" t="s">
        <v>2693</v>
      </c>
      <c r="AQ1819" t="s">
        <v>57</v>
      </c>
      <c r="AR1819">
        <v>2100</v>
      </c>
      <c r="AS1819" t="s">
        <v>897</v>
      </c>
      <c r="AT1819" t="s">
        <v>58</v>
      </c>
    </row>
    <row r="1820" ht="29" spans="1:46">
      <c r="A1820" s="31" t="s">
        <v>73</v>
      </c>
      <c r="C1820" t="s">
        <v>2694</v>
      </c>
      <c r="D1820" s="5" t="s">
        <v>57</v>
      </c>
      <c r="E1820">
        <v>2035</v>
      </c>
      <c r="F1820" s="6" t="str">
        <f t="shared" si="226"/>
        <v>*0.95</v>
      </c>
      <c r="H1820" t="s">
        <v>2694</v>
      </c>
      <c r="I1820" s="5" t="s">
        <v>57</v>
      </c>
      <c r="J1820">
        <v>2050</v>
      </c>
      <c r="K1820" s="38" t="str">
        <f t="shared" si="227"/>
        <v>*0.93</v>
      </c>
      <c r="P1820" s="32" t="s">
        <v>2694</v>
      </c>
      <c r="Q1820" s="42" t="s">
        <v>57</v>
      </c>
      <c r="R1820" s="32">
        <v>2035</v>
      </c>
      <c r="S1820" s="43" t="str">
        <f t="shared" si="228"/>
        <v>*0.95</v>
      </c>
      <c r="U1820" s="32" t="s">
        <v>2694</v>
      </c>
      <c r="V1820" s="42" t="s">
        <v>57</v>
      </c>
      <c r="W1820" s="32">
        <v>2050</v>
      </c>
      <c r="X1820" s="43" t="str">
        <f t="shared" si="229"/>
        <v>*0.93</v>
      </c>
      <c r="AC1820" s="33" t="s">
        <v>2694</v>
      </c>
      <c r="AD1820" s="44" t="s">
        <v>57</v>
      </c>
      <c r="AE1820" s="33">
        <v>2035</v>
      </c>
      <c r="AF1820" s="45" t="str">
        <f t="shared" si="230"/>
        <v>*0.93</v>
      </c>
      <c r="AG1820" s="43" t="str">
        <f t="shared" si="232"/>
        <v>REZoning_Sol-Win</v>
      </c>
      <c r="AI1820" s="33" t="s">
        <v>2694</v>
      </c>
      <c r="AJ1820" s="44" t="s">
        <v>57</v>
      </c>
      <c r="AK1820" s="33">
        <v>2050</v>
      </c>
      <c r="AL1820" s="45" t="str">
        <f t="shared" si="231"/>
        <v>*0.9</v>
      </c>
      <c r="AM1820" s="43" t="str">
        <f t="shared" si="233"/>
        <v>REZoning_Sol-Win</v>
      </c>
      <c r="AP1820" t="s">
        <v>2694</v>
      </c>
      <c r="AQ1820" t="s">
        <v>57</v>
      </c>
      <c r="AR1820">
        <v>2100</v>
      </c>
      <c r="AS1820" t="s">
        <v>897</v>
      </c>
      <c r="AT1820" t="s">
        <v>58</v>
      </c>
    </row>
    <row r="1821" ht="29" spans="1:46">
      <c r="A1821" s="31" t="s">
        <v>73</v>
      </c>
      <c r="C1821" t="s">
        <v>2695</v>
      </c>
      <c r="D1821" s="5" t="s">
        <v>57</v>
      </c>
      <c r="E1821">
        <v>2035</v>
      </c>
      <c r="F1821" s="6" t="str">
        <f t="shared" si="226"/>
        <v>*0.95</v>
      </c>
      <c r="H1821" t="s">
        <v>2695</v>
      </c>
      <c r="I1821" s="5" t="s">
        <v>57</v>
      </c>
      <c r="J1821">
        <v>2050</v>
      </c>
      <c r="K1821" s="38" t="str">
        <f t="shared" si="227"/>
        <v>*0.93</v>
      </c>
      <c r="P1821" s="32" t="s">
        <v>2695</v>
      </c>
      <c r="Q1821" s="42" t="s">
        <v>57</v>
      </c>
      <c r="R1821" s="32">
        <v>2035</v>
      </c>
      <c r="S1821" s="43" t="str">
        <f t="shared" si="228"/>
        <v>*0.95</v>
      </c>
      <c r="U1821" s="32" t="s">
        <v>2695</v>
      </c>
      <c r="V1821" s="42" t="s">
        <v>57</v>
      </c>
      <c r="W1821" s="32">
        <v>2050</v>
      </c>
      <c r="X1821" s="43" t="str">
        <f t="shared" si="229"/>
        <v>*0.93</v>
      </c>
      <c r="AC1821" s="33" t="s">
        <v>2695</v>
      </c>
      <c r="AD1821" s="44" t="s">
        <v>57</v>
      </c>
      <c r="AE1821" s="33">
        <v>2035</v>
      </c>
      <c r="AF1821" s="45" t="str">
        <f t="shared" si="230"/>
        <v>*0.93</v>
      </c>
      <c r="AG1821" s="43" t="str">
        <f t="shared" si="232"/>
        <v>REZoning_Sol-Win</v>
      </c>
      <c r="AI1821" s="33" t="s">
        <v>2695</v>
      </c>
      <c r="AJ1821" s="44" t="s">
        <v>57</v>
      </c>
      <c r="AK1821" s="33">
        <v>2050</v>
      </c>
      <c r="AL1821" s="45" t="str">
        <f t="shared" si="231"/>
        <v>*0.9</v>
      </c>
      <c r="AM1821" s="43" t="str">
        <f t="shared" si="233"/>
        <v>REZoning_Sol-Win</v>
      </c>
      <c r="AP1821" t="s">
        <v>2695</v>
      </c>
      <c r="AQ1821" t="s">
        <v>57</v>
      </c>
      <c r="AR1821">
        <v>2100</v>
      </c>
      <c r="AS1821" t="s">
        <v>897</v>
      </c>
      <c r="AT1821" t="s">
        <v>58</v>
      </c>
    </row>
    <row r="1822" ht="29" spans="1:46">
      <c r="A1822" s="31" t="s">
        <v>73</v>
      </c>
      <c r="C1822" t="s">
        <v>2696</v>
      </c>
      <c r="D1822" s="5" t="s">
        <v>57</v>
      </c>
      <c r="E1822">
        <v>2035</v>
      </c>
      <c r="F1822" s="6" t="str">
        <f t="shared" si="226"/>
        <v>*0.95</v>
      </c>
      <c r="H1822" t="s">
        <v>2696</v>
      </c>
      <c r="I1822" s="5" t="s">
        <v>57</v>
      </c>
      <c r="J1822">
        <v>2050</v>
      </c>
      <c r="K1822" s="38" t="str">
        <f t="shared" si="227"/>
        <v>*0.93</v>
      </c>
      <c r="P1822" s="32" t="s">
        <v>2696</v>
      </c>
      <c r="Q1822" s="42" t="s">
        <v>57</v>
      </c>
      <c r="R1822" s="32">
        <v>2035</v>
      </c>
      <c r="S1822" s="43" t="str">
        <f t="shared" si="228"/>
        <v>*0.95</v>
      </c>
      <c r="U1822" s="32" t="s">
        <v>2696</v>
      </c>
      <c r="V1822" s="42" t="s">
        <v>57</v>
      </c>
      <c r="W1822" s="32">
        <v>2050</v>
      </c>
      <c r="X1822" s="43" t="str">
        <f t="shared" si="229"/>
        <v>*0.93</v>
      </c>
      <c r="AC1822" s="33" t="s">
        <v>2696</v>
      </c>
      <c r="AD1822" s="44" t="s">
        <v>57</v>
      </c>
      <c r="AE1822" s="33">
        <v>2035</v>
      </c>
      <c r="AF1822" s="45" t="str">
        <f t="shared" si="230"/>
        <v>*0.93</v>
      </c>
      <c r="AG1822" s="43" t="str">
        <f t="shared" si="232"/>
        <v>REZoning_Sol-Win</v>
      </c>
      <c r="AI1822" s="33" t="s">
        <v>2696</v>
      </c>
      <c r="AJ1822" s="44" t="s">
        <v>57</v>
      </c>
      <c r="AK1822" s="33">
        <v>2050</v>
      </c>
      <c r="AL1822" s="45" t="str">
        <f t="shared" si="231"/>
        <v>*0.9</v>
      </c>
      <c r="AM1822" s="43" t="str">
        <f t="shared" si="233"/>
        <v>REZoning_Sol-Win</v>
      </c>
      <c r="AP1822" t="s">
        <v>2696</v>
      </c>
      <c r="AQ1822" t="s">
        <v>57</v>
      </c>
      <c r="AR1822">
        <v>2100</v>
      </c>
      <c r="AS1822" t="s">
        <v>897</v>
      </c>
      <c r="AT1822" t="s">
        <v>58</v>
      </c>
    </row>
    <row r="1823" ht="29" spans="1:46">
      <c r="A1823" s="31" t="s">
        <v>73</v>
      </c>
      <c r="C1823" t="s">
        <v>2697</v>
      </c>
      <c r="D1823" s="5" t="s">
        <v>57</v>
      </c>
      <c r="E1823">
        <v>2035</v>
      </c>
      <c r="F1823" s="6" t="str">
        <f t="shared" si="226"/>
        <v>*0.95</v>
      </c>
      <c r="H1823" t="s">
        <v>2697</v>
      </c>
      <c r="I1823" s="5" t="s">
        <v>57</v>
      </c>
      <c r="J1823">
        <v>2050</v>
      </c>
      <c r="K1823" s="38" t="str">
        <f t="shared" si="227"/>
        <v>*0.93</v>
      </c>
      <c r="P1823" s="32" t="s">
        <v>2697</v>
      </c>
      <c r="Q1823" s="42" t="s">
        <v>57</v>
      </c>
      <c r="R1823" s="32">
        <v>2035</v>
      </c>
      <c r="S1823" s="43" t="str">
        <f t="shared" si="228"/>
        <v>*0.95</v>
      </c>
      <c r="U1823" s="32" t="s">
        <v>2697</v>
      </c>
      <c r="V1823" s="42" t="s">
        <v>57</v>
      </c>
      <c r="W1823" s="32">
        <v>2050</v>
      </c>
      <c r="X1823" s="43" t="str">
        <f t="shared" si="229"/>
        <v>*0.93</v>
      </c>
      <c r="AC1823" s="33" t="s">
        <v>2697</v>
      </c>
      <c r="AD1823" s="44" t="s">
        <v>57</v>
      </c>
      <c r="AE1823" s="33">
        <v>2035</v>
      </c>
      <c r="AF1823" s="45" t="str">
        <f t="shared" si="230"/>
        <v>*0.93</v>
      </c>
      <c r="AG1823" s="43" t="str">
        <f t="shared" si="232"/>
        <v>REZoning_Sol-Win</v>
      </c>
      <c r="AI1823" s="33" t="s">
        <v>2697</v>
      </c>
      <c r="AJ1823" s="44" t="s">
        <v>57</v>
      </c>
      <c r="AK1823" s="33">
        <v>2050</v>
      </c>
      <c r="AL1823" s="45" t="str">
        <f t="shared" si="231"/>
        <v>*0.9</v>
      </c>
      <c r="AM1823" s="43" t="str">
        <f t="shared" si="233"/>
        <v>REZoning_Sol-Win</v>
      </c>
      <c r="AP1823" t="s">
        <v>2697</v>
      </c>
      <c r="AQ1823" t="s">
        <v>57</v>
      </c>
      <c r="AR1823">
        <v>2100</v>
      </c>
      <c r="AS1823" t="s">
        <v>897</v>
      </c>
      <c r="AT1823" t="s">
        <v>58</v>
      </c>
    </row>
    <row r="1824" ht="29" spans="1:46">
      <c r="A1824" s="31" t="s">
        <v>73</v>
      </c>
      <c r="C1824" t="s">
        <v>2698</v>
      </c>
      <c r="D1824" s="5" t="s">
        <v>57</v>
      </c>
      <c r="E1824">
        <v>2035</v>
      </c>
      <c r="F1824" s="6" t="str">
        <f t="shared" si="226"/>
        <v>*0.95</v>
      </c>
      <c r="H1824" t="s">
        <v>2698</v>
      </c>
      <c r="I1824" s="5" t="s">
        <v>57</v>
      </c>
      <c r="J1824">
        <v>2050</v>
      </c>
      <c r="K1824" s="38" t="str">
        <f t="shared" si="227"/>
        <v>*0.93</v>
      </c>
      <c r="P1824" s="32" t="s">
        <v>2698</v>
      </c>
      <c r="Q1824" s="42" t="s">
        <v>57</v>
      </c>
      <c r="R1824" s="32">
        <v>2035</v>
      </c>
      <c r="S1824" s="43" t="str">
        <f t="shared" si="228"/>
        <v>*0.95</v>
      </c>
      <c r="U1824" s="32" t="s">
        <v>2698</v>
      </c>
      <c r="V1824" s="42" t="s">
        <v>57</v>
      </c>
      <c r="W1824" s="32">
        <v>2050</v>
      </c>
      <c r="X1824" s="43" t="str">
        <f t="shared" si="229"/>
        <v>*0.93</v>
      </c>
      <c r="AC1824" s="33" t="s">
        <v>2698</v>
      </c>
      <c r="AD1824" s="44" t="s">
        <v>57</v>
      </c>
      <c r="AE1824" s="33">
        <v>2035</v>
      </c>
      <c r="AF1824" s="45" t="str">
        <f t="shared" si="230"/>
        <v>*0.93</v>
      </c>
      <c r="AG1824" s="43" t="str">
        <f t="shared" si="232"/>
        <v>REZoning_Sol-Win</v>
      </c>
      <c r="AI1824" s="33" t="s">
        <v>2698</v>
      </c>
      <c r="AJ1824" s="44" t="s">
        <v>57</v>
      </c>
      <c r="AK1824" s="33">
        <v>2050</v>
      </c>
      <c r="AL1824" s="45" t="str">
        <f t="shared" si="231"/>
        <v>*0.9</v>
      </c>
      <c r="AM1824" s="43" t="str">
        <f t="shared" si="233"/>
        <v>REZoning_Sol-Win</v>
      </c>
      <c r="AP1824" t="s">
        <v>2698</v>
      </c>
      <c r="AQ1824" t="s">
        <v>57</v>
      </c>
      <c r="AR1824">
        <v>2100</v>
      </c>
      <c r="AS1824" t="s">
        <v>897</v>
      </c>
      <c r="AT1824" t="s">
        <v>58</v>
      </c>
    </row>
    <row r="1825" ht="29" spans="1:46">
      <c r="A1825" s="31" t="s">
        <v>73</v>
      </c>
      <c r="C1825" t="s">
        <v>2699</v>
      </c>
      <c r="D1825" s="5" t="s">
        <v>57</v>
      </c>
      <c r="E1825">
        <v>2035</v>
      </c>
      <c r="F1825" s="6" t="str">
        <f t="shared" si="226"/>
        <v>*0.95</v>
      </c>
      <c r="H1825" t="s">
        <v>2699</v>
      </c>
      <c r="I1825" s="5" t="s">
        <v>57</v>
      </c>
      <c r="J1825">
        <v>2050</v>
      </c>
      <c r="K1825" s="38" t="str">
        <f t="shared" si="227"/>
        <v>*0.93</v>
      </c>
      <c r="P1825" s="32" t="s">
        <v>2699</v>
      </c>
      <c r="Q1825" s="42" t="s">
        <v>57</v>
      </c>
      <c r="R1825" s="32">
        <v>2035</v>
      </c>
      <c r="S1825" s="43" t="str">
        <f t="shared" si="228"/>
        <v>*0.95</v>
      </c>
      <c r="U1825" s="32" t="s">
        <v>2699</v>
      </c>
      <c r="V1825" s="42" t="s">
        <v>57</v>
      </c>
      <c r="W1825" s="32">
        <v>2050</v>
      </c>
      <c r="X1825" s="43" t="str">
        <f t="shared" si="229"/>
        <v>*0.93</v>
      </c>
      <c r="AC1825" s="33" t="s">
        <v>2699</v>
      </c>
      <c r="AD1825" s="44" t="s">
        <v>57</v>
      </c>
      <c r="AE1825" s="33">
        <v>2035</v>
      </c>
      <c r="AF1825" s="45" t="str">
        <f t="shared" si="230"/>
        <v>*0.93</v>
      </c>
      <c r="AG1825" s="43" t="str">
        <f t="shared" si="232"/>
        <v>REZoning_Sol-Win</v>
      </c>
      <c r="AI1825" s="33" t="s">
        <v>2699</v>
      </c>
      <c r="AJ1825" s="44" t="s">
        <v>57</v>
      </c>
      <c r="AK1825" s="33">
        <v>2050</v>
      </c>
      <c r="AL1825" s="45" t="str">
        <f t="shared" si="231"/>
        <v>*0.9</v>
      </c>
      <c r="AM1825" s="43" t="str">
        <f t="shared" si="233"/>
        <v>REZoning_Sol-Win</v>
      </c>
      <c r="AP1825" t="s">
        <v>2699</v>
      </c>
      <c r="AQ1825" t="s">
        <v>57</v>
      </c>
      <c r="AR1825">
        <v>2100</v>
      </c>
      <c r="AS1825" t="s">
        <v>897</v>
      </c>
      <c r="AT1825" t="s">
        <v>58</v>
      </c>
    </row>
    <row r="1826" ht="29" spans="1:46">
      <c r="A1826" s="31" t="s">
        <v>73</v>
      </c>
      <c r="C1826" t="s">
        <v>2700</v>
      </c>
      <c r="D1826" s="5" t="s">
        <v>57</v>
      </c>
      <c r="E1826">
        <v>2035</v>
      </c>
      <c r="F1826" s="6" t="str">
        <f t="shared" si="226"/>
        <v>*0.95</v>
      </c>
      <c r="H1826" t="s">
        <v>2700</v>
      </c>
      <c r="I1826" s="5" t="s">
        <v>57</v>
      </c>
      <c r="J1826">
        <v>2050</v>
      </c>
      <c r="K1826" s="38" t="str">
        <f t="shared" si="227"/>
        <v>*0.93</v>
      </c>
      <c r="P1826" s="32" t="s">
        <v>2700</v>
      </c>
      <c r="Q1826" s="42" t="s">
        <v>57</v>
      </c>
      <c r="R1826" s="32">
        <v>2035</v>
      </c>
      <c r="S1826" s="43" t="str">
        <f t="shared" si="228"/>
        <v>*0.95</v>
      </c>
      <c r="U1826" s="32" t="s">
        <v>2700</v>
      </c>
      <c r="V1826" s="42" t="s">
        <v>57</v>
      </c>
      <c r="W1826" s="32">
        <v>2050</v>
      </c>
      <c r="X1826" s="43" t="str">
        <f t="shared" si="229"/>
        <v>*0.93</v>
      </c>
      <c r="AC1826" s="33" t="s">
        <v>2700</v>
      </c>
      <c r="AD1826" s="44" t="s">
        <v>57</v>
      </c>
      <c r="AE1826" s="33">
        <v>2035</v>
      </c>
      <c r="AF1826" s="45" t="str">
        <f t="shared" si="230"/>
        <v>*0.93</v>
      </c>
      <c r="AG1826" s="43" t="str">
        <f t="shared" si="232"/>
        <v>REZoning_Sol-Win</v>
      </c>
      <c r="AI1826" s="33" t="s">
        <v>2700</v>
      </c>
      <c r="AJ1826" s="44" t="s">
        <v>57</v>
      </c>
      <c r="AK1826" s="33">
        <v>2050</v>
      </c>
      <c r="AL1826" s="45" t="str">
        <f t="shared" si="231"/>
        <v>*0.9</v>
      </c>
      <c r="AM1826" s="43" t="str">
        <f t="shared" si="233"/>
        <v>REZoning_Sol-Win</v>
      </c>
      <c r="AP1826" t="s">
        <v>2700</v>
      </c>
      <c r="AQ1826" t="s">
        <v>57</v>
      </c>
      <c r="AR1826">
        <v>2100</v>
      </c>
      <c r="AS1826" t="s">
        <v>897</v>
      </c>
      <c r="AT1826" t="s">
        <v>58</v>
      </c>
    </row>
    <row r="1827" ht="29" spans="1:46">
      <c r="A1827" s="31" t="s">
        <v>73</v>
      </c>
      <c r="C1827" t="s">
        <v>2701</v>
      </c>
      <c r="D1827" s="5" t="s">
        <v>57</v>
      </c>
      <c r="E1827">
        <v>2035</v>
      </c>
      <c r="F1827" s="6" t="str">
        <f t="shared" si="226"/>
        <v>*0.95</v>
      </c>
      <c r="H1827" t="s">
        <v>2701</v>
      </c>
      <c r="I1827" s="5" t="s">
        <v>57</v>
      </c>
      <c r="J1827">
        <v>2050</v>
      </c>
      <c r="K1827" s="38" t="str">
        <f t="shared" si="227"/>
        <v>*0.93</v>
      </c>
      <c r="P1827" s="32" t="s">
        <v>2701</v>
      </c>
      <c r="Q1827" s="42" t="s">
        <v>57</v>
      </c>
      <c r="R1827" s="32">
        <v>2035</v>
      </c>
      <c r="S1827" s="43" t="str">
        <f t="shared" si="228"/>
        <v>*0.95</v>
      </c>
      <c r="U1827" s="32" t="s">
        <v>2701</v>
      </c>
      <c r="V1827" s="42" t="s">
        <v>57</v>
      </c>
      <c r="W1827" s="32">
        <v>2050</v>
      </c>
      <c r="X1827" s="43" t="str">
        <f t="shared" si="229"/>
        <v>*0.93</v>
      </c>
      <c r="AC1827" s="33" t="s">
        <v>2701</v>
      </c>
      <c r="AD1827" s="44" t="s">
        <v>57</v>
      </c>
      <c r="AE1827" s="33">
        <v>2035</v>
      </c>
      <c r="AF1827" s="45" t="str">
        <f t="shared" si="230"/>
        <v>*0.93</v>
      </c>
      <c r="AG1827" s="43" t="str">
        <f t="shared" si="232"/>
        <v>REZoning_Sol-Win</v>
      </c>
      <c r="AI1827" s="33" t="s">
        <v>2701</v>
      </c>
      <c r="AJ1827" s="44" t="s">
        <v>57</v>
      </c>
      <c r="AK1827" s="33">
        <v>2050</v>
      </c>
      <c r="AL1827" s="45" t="str">
        <f t="shared" si="231"/>
        <v>*0.9</v>
      </c>
      <c r="AM1827" s="43" t="str">
        <f t="shared" si="233"/>
        <v>REZoning_Sol-Win</v>
      </c>
      <c r="AP1827" t="s">
        <v>2701</v>
      </c>
      <c r="AQ1827" t="s">
        <v>57</v>
      </c>
      <c r="AR1827">
        <v>2100</v>
      </c>
      <c r="AS1827" t="s">
        <v>897</v>
      </c>
      <c r="AT1827" t="s">
        <v>58</v>
      </c>
    </row>
    <row r="1828" ht="29" spans="1:46">
      <c r="A1828" s="31" t="s">
        <v>73</v>
      </c>
      <c r="C1828" t="s">
        <v>2702</v>
      </c>
      <c r="D1828" s="5" t="s">
        <v>57</v>
      </c>
      <c r="E1828">
        <v>2035</v>
      </c>
      <c r="F1828" s="6" t="str">
        <f t="shared" si="226"/>
        <v>*0.95</v>
      </c>
      <c r="H1828" t="s">
        <v>2702</v>
      </c>
      <c r="I1828" s="5" t="s">
        <v>57</v>
      </c>
      <c r="J1828">
        <v>2050</v>
      </c>
      <c r="K1828" s="38" t="str">
        <f t="shared" si="227"/>
        <v>*0.93</v>
      </c>
      <c r="P1828" s="32" t="s">
        <v>2702</v>
      </c>
      <c r="Q1828" s="42" t="s">
        <v>57</v>
      </c>
      <c r="R1828" s="32">
        <v>2035</v>
      </c>
      <c r="S1828" s="43" t="str">
        <f t="shared" si="228"/>
        <v>*0.95</v>
      </c>
      <c r="U1828" s="32" t="s">
        <v>2702</v>
      </c>
      <c r="V1828" s="42" t="s">
        <v>57</v>
      </c>
      <c r="W1828" s="32">
        <v>2050</v>
      </c>
      <c r="X1828" s="43" t="str">
        <f t="shared" si="229"/>
        <v>*0.93</v>
      </c>
      <c r="AC1828" s="33" t="s">
        <v>2702</v>
      </c>
      <c r="AD1828" s="44" t="s">
        <v>57</v>
      </c>
      <c r="AE1828" s="33">
        <v>2035</v>
      </c>
      <c r="AF1828" s="45" t="str">
        <f t="shared" si="230"/>
        <v>*0.93</v>
      </c>
      <c r="AG1828" s="43" t="str">
        <f t="shared" si="232"/>
        <v>REZoning_Sol-Win</v>
      </c>
      <c r="AI1828" s="33" t="s">
        <v>2702</v>
      </c>
      <c r="AJ1828" s="44" t="s">
        <v>57</v>
      </c>
      <c r="AK1828" s="33">
        <v>2050</v>
      </c>
      <c r="AL1828" s="45" t="str">
        <f t="shared" si="231"/>
        <v>*0.9</v>
      </c>
      <c r="AM1828" s="43" t="str">
        <f t="shared" si="233"/>
        <v>REZoning_Sol-Win</v>
      </c>
      <c r="AP1828" t="s">
        <v>2702</v>
      </c>
      <c r="AQ1828" t="s">
        <v>57</v>
      </c>
      <c r="AR1828">
        <v>2100</v>
      </c>
      <c r="AS1828" t="s">
        <v>897</v>
      </c>
      <c r="AT1828" t="s">
        <v>58</v>
      </c>
    </row>
    <row r="1829" ht="29" spans="1:46">
      <c r="A1829" s="31" t="s">
        <v>73</v>
      </c>
      <c r="C1829" t="s">
        <v>2703</v>
      </c>
      <c r="D1829" s="5" t="s">
        <v>57</v>
      </c>
      <c r="E1829">
        <v>2035</v>
      </c>
      <c r="F1829" s="6" t="str">
        <f t="shared" si="226"/>
        <v>*0.95</v>
      </c>
      <c r="H1829" t="s">
        <v>2703</v>
      </c>
      <c r="I1829" s="5" t="s">
        <v>57</v>
      </c>
      <c r="J1829">
        <v>2050</v>
      </c>
      <c r="K1829" s="38" t="str">
        <f t="shared" si="227"/>
        <v>*0.93</v>
      </c>
      <c r="P1829" s="32" t="s">
        <v>2703</v>
      </c>
      <c r="Q1829" s="42" t="s">
        <v>57</v>
      </c>
      <c r="R1829" s="32">
        <v>2035</v>
      </c>
      <c r="S1829" s="43" t="str">
        <f t="shared" si="228"/>
        <v>*0.95</v>
      </c>
      <c r="U1829" s="32" t="s">
        <v>2703</v>
      </c>
      <c r="V1829" s="42" t="s">
        <v>57</v>
      </c>
      <c r="W1829" s="32">
        <v>2050</v>
      </c>
      <c r="X1829" s="43" t="str">
        <f t="shared" si="229"/>
        <v>*0.93</v>
      </c>
      <c r="AC1829" s="33" t="s">
        <v>2703</v>
      </c>
      <c r="AD1829" s="44" t="s">
        <v>57</v>
      </c>
      <c r="AE1829" s="33">
        <v>2035</v>
      </c>
      <c r="AF1829" s="45" t="str">
        <f t="shared" si="230"/>
        <v>*0.93</v>
      </c>
      <c r="AG1829" s="43" t="str">
        <f t="shared" si="232"/>
        <v>REZoning_Sol-Win</v>
      </c>
      <c r="AI1829" s="33" t="s">
        <v>2703</v>
      </c>
      <c r="AJ1829" s="44" t="s">
        <v>57</v>
      </c>
      <c r="AK1829" s="33">
        <v>2050</v>
      </c>
      <c r="AL1829" s="45" t="str">
        <f t="shared" si="231"/>
        <v>*0.9</v>
      </c>
      <c r="AM1829" s="43" t="str">
        <f t="shared" si="233"/>
        <v>REZoning_Sol-Win</v>
      </c>
      <c r="AP1829" t="s">
        <v>2703</v>
      </c>
      <c r="AQ1829" t="s">
        <v>57</v>
      </c>
      <c r="AR1829">
        <v>2100</v>
      </c>
      <c r="AS1829" t="s">
        <v>897</v>
      </c>
      <c r="AT1829" t="s">
        <v>58</v>
      </c>
    </row>
    <row r="1830" ht="29" spans="1:46">
      <c r="A1830" s="31" t="s">
        <v>169</v>
      </c>
      <c r="C1830" t="s">
        <v>2704</v>
      </c>
      <c r="D1830" s="5" t="s">
        <v>57</v>
      </c>
      <c r="E1830">
        <v>2035</v>
      </c>
      <c r="F1830" s="6" t="str">
        <f t="shared" si="226"/>
        <v>*0.94</v>
      </c>
      <c r="H1830" t="s">
        <v>2704</v>
      </c>
      <c r="I1830" s="5" t="s">
        <v>57</v>
      </c>
      <c r="J1830">
        <v>2050</v>
      </c>
      <c r="K1830" s="38" t="str">
        <f t="shared" si="227"/>
        <v>*0.92</v>
      </c>
      <c r="P1830" s="32" t="s">
        <v>2704</v>
      </c>
      <c r="Q1830" s="42" t="s">
        <v>57</v>
      </c>
      <c r="R1830" s="32">
        <v>2035</v>
      </c>
      <c r="S1830" s="43" t="str">
        <f t="shared" si="228"/>
        <v>*0.93</v>
      </c>
      <c r="U1830" s="32" t="s">
        <v>2704</v>
      </c>
      <c r="V1830" s="42" t="s">
        <v>57</v>
      </c>
      <c r="W1830" s="32">
        <v>2050</v>
      </c>
      <c r="X1830" s="43" t="str">
        <f t="shared" si="229"/>
        <v>*0.92</v>
      </c>
      <c r="AC1830" s="33" t="s">
        <v>2704</v>
      </c>
      <c r="AD1830" s="44" t="s">
        <v>57</v>
      </c>
      <c r="AE1830" s="33">
        <v>2035</v>
      </c>
      <c r="AF1830" s="45" t="str">
        <f t="shared" si="230"/>
        <v>*0.91</v>
      </c>
      <c r="AG1830" s="43" t="str">
        <f t="shared" si="232"/>
        <v>REZoning_Sol-Win</v>
      </c>
      <c r="AI1830" s="33" t="s">
        <v>2704</v>
      </c>
      <c r="AJ1830" s="44" t="s">
        <v>57</v>
      </c>
      <c r="AK1830" s="33">
        <v>2050</v>
      </c>
      <c r="AL1830" s="45" t="str">
        <f t="shared" si="231"/>
        <v>*0.87</v>
      </c>
      <c r="AM1830" s="43" t="str">
        <f t="shared" si="233"/>
        <v>REZoning_Sol-Win</v>
      </c>
      <c r="AP1830" t="s">
        <v>2704</v>
      </c>
      <c r="AQ1830" t="s">
        <v>57</v>
      </c>
      <c r="AR1830">
        <v>2100</v>
      </c>
      <c r="AS1830" t="s">
        <v>874</v>
      </c>
      <c r="AT1830" t="s">
        <v>58</v>
      </c>
    </row>
    <row r="1831" ht="29" spans="1:46">
      <c r="A1831" s="31" t="s">
        <v>169</v>
      </c>
      <c r="C1831" t="s">
        <v>2705</v>
      </c>
      <c r="D1831" s="5" t="s">
        <v>57</v>
      </c>
      <c r="E1831">
        <v>2035</v>
      </c>
      <c r="F1831" s="6" t="str">
        <f t="shared" si="226"/>
        <v>*0.94</v>
      </c>
      <c r="H1831" t="s">
        <v>2705</v>
      </c>
      <c r="I1831" s="5" t="s">
        <v>57</v>
      </c>
      <c r="J1831">
        <v>2050</v>
      </c>
      <c r="K1831" s="38" t="str">
        <f t="shared" si="227"/>
        <v>*0.92</v>
      </c>
      <c r="P1831" s="32" t="s">
        <v>2705</v>
      </c>
      <c r="Q1831" s="42" t="s">
        <v>57</v>
      </c>
      <c r="R1831" s="32">
        <v>2035</v>
      </c>
      <c r="S1831" s="43" t="str">
        <f t="shared" si="228"/>
        <v>*0.93</v>
      </c>
      <c r="U1831" s="32" t="s">
        <v>2705</v>
      </c>
      <c r="V1831" s="42" t="s">
        <v>57</v>
      </c>
      <c r="W1831" s="32">
        <v>2050</v>
      </c>
      <c r="X1831" s="43" t="str">
        <f t="shared" si="229"/>
        <v>*0.92</v>
      </c>
      <c r="AC1831" s="33" t="s">
        <v>2705</v>
      </c>
      <c r="AD1831" s="44" t="s">
        <v>57</v>
      </c>
      <c r="AE1831" s="33">
        <v>2035</v>
      </c>
      <c r="AF1831" s="45" t="str">
        <f t="shared" si="230"/>
        <v>*0.91</v>
      </c>
      <c r="AG1831" s="43" t="str">
        <f t="shared" si="232"/>
        <v>REZoning_Sol-Win</v>
      </c>
      <c r="AI1831" s="33" t="s">
        <v>2705</v>
      </c>
      <c r="AJ1831" s="44" t="s">
        <v>57</v>
      </c>
      <c r="AK1831" s="33">
        <v>2050</v>
      </c>
      <c r="AL1831" s="45" t="str">
        <f t="shared" si="231"/>
        <v>*0.87</v>
      </c>
      <c r="AM1831" s="43" t="str">
        <f t="shared" si="233"/>
        <v>REZoning_Sol-Win</v>
      </c>
      <c r="AP1831" t="s">
        <v>2705</v>
      </c>
      <c r="AQ1831" t="s">
        <v>57</v>
      </c>
      <c r="AR1831">
        <v>2100</v>
      </c>
      <c r="AS1831" t="s">
        <v>874</v>
      </c>
      <c r="AT1831" t="s">
        <v>58</v>
      </c>
    </row>
    <row r="1832" ht="29" spans="1:46">
      <c r="A1832" s="31" t="s">
        <v>169</v>
      </c>
      <c r="C1832" t="s">
        <v>2706</v>
      </c>
      <c r="D1832" s="5" t="s">
        <v>57</v>
      </c>
      <c r="E1832">
        <v>2035</v>
      </c>
      <c r="F1832" s="6" t="str">
        <f t="shared" si="226"/>
        <v>*0.94</v>
      </c>
      <c r="H1832" t="s">
        <v>2706</v>
      </c>
      <c r="I1832" s="5" t="s">
        <v>57</v>
      </c>
      <c r="J1832">
        <v>2050</v>
      </c>
      <c r="K1832" s="38" t="str">
        <f t="shared" si="227"/>
        <v>*0.92</v>
      </c>
      <c r="P1832" s="32" t="s">
        <v>2706</v>
      </c>
      <c r="Q1832" s="42" t="s">
        <v>57</v>
      </c>
      <c r="R1832" s="32">
        <v>2035</v>
      </c>
      <c r="S1832" s="43" t="str">
        <f t="shared" si="228"/>
        <v>*0.93</v>
      </c>
      <c r="U1832" s="32" t="s">
        <v>2706</v>
      </c>
      <c r="V1832" s="42" t="s">
        <v>57</v>
      </c>
      <c r="W1832" s="32">
        <v>2050</v>
      </c>
      <c r="X1832" s="43" t="str">
        <f t="shared" si="229"/>
        <v>*0.92</v>
      </c>
      <c r="AC1832" s="33" t="s">
        <v>2706</v>
      </c>
      <c r="AD1832" s="44" t="s">
        <v>57</v>
      </c>
      <c r="AE1832" s="33">
        <v>2035</v>
      </c>
      <c r="AF1832" s="45" t="str">
        <f t="shared" si="230"/>
        <v>*0.91</v>
      </c>
      <c r="AG1832" s="43" t="str">
        <f t="shared" si="232"/>
        <v>REZoning_Sol-Win</v>
      </c>
      <c r="AI1832" s="33" t="s">
        <v>2706</v>
      </c>
      <c r="AJ1832" s="44" t="s">
        <v>57</v>
      </c>
      <c r="AK1832" s="33">
        <v>2050</v>
      </c>
      <c r="AL1832" s="45" t="str">
        <f t="shared" si="231"/>
        <v>*0.87</v>
      </c>
      <c r="AM1832" s="43" t="str">
        <f t="shared" si="233"/>
        <v>REZoning_Sol-Win</v>
      </c>
      <c r="AP1832" t="s">
        <v>2706</v>
      </c>
      <c r="AQ1832" t="s">
        <v>57</v>
      </c>
      <c r="AR1832">
        <v>2100</v>
      </c>
      <c r="AS1832" t="s">
        <v>874</v>
      </c>
      <c r="AT1832" t="s">
        <v>58</v>
      </c>
    </row>
    <row r="1833" ht="29" spans="1:46">
      <c r="A1833" s="31" t="s">
        <v>169</v>
      </c>
      <c r="C1833" t="s">
        <v>2707</v>
      </c>
      <c r="D1833" s="5" t="s">
        <v>57</v>
      </c>
      <c r="E1833">
        <v>2035</v>
      </c>
      <c r="F1833" s="6" t="str">
        <f t="shared" si="226"/>
        <v>*0.94</v>
      </c>
      <c r="H1833" t="s">
        <v>2707</v>
      </c>
      <c r="I1833" s="5" t="s">
        <v>57</v>
      </c>
      <c r="J1833">
        <v>2050</v>
      </c>
      <c r="K1833" s="38" t="str">
        <f t="shared" si="227"/>
        <v>*0.92</v>
      </c>
      <c r="P1833" s="32" t="s">
        <v>2707</v>
      </c>
      <c r="Q1833" s="42" t="s">
        <v>57</v>
      </c>
      <c r="R1833" s="32">
        <v>2035</v>
      </c>
      <c r="S1833" s="43" t="str">
        <f t="shared" si="228"/>
        <v>*0.93</v>
      </c>
      <c r="U1833" s="32" t="s">
        <v>2707</v>
      </c>
      <c r="V1833" s="42" t="s">
        <v>57</v>
      </c>
      <c r="W1833" s="32">
        <v>2050</v>
      </c>
      <c r="X1833" s="43" t="str">
        <f t="shared" si="229"/>
        <v>*0.92</v>
      </c>
      <c r="AC1833" s="33" t="s">
        <v>2707</v>
      </c>
      <c r="AD1833" s="44" t="s">
        <v>57</v>
      </c>
      <c r="AE1833" s="33">
        <v>2035</v>
      </c>
      <c r="AF1833" s="45" t="str">
        <f t="shared" si="230"/>
        <v>*0.91</v>
      </c>
      <c r="AG1833" s="43" t="str">
        <f t="shared" si="232"/>
        <v>REZoning_Sol-Win</v>
      </c>
      <c r="AI1833" s="33" t="s">
        <v>2707</v>
      </c>
      <c r="AJ1833" s="44" t="s">
        <v>57</v>
      </c>
      <c r="AK1833" s="33">
        <v>2050</v>
      </c>
      <c r="AL1833" s="45" t="str">
        <f t="shared" si="231"/>
        <v>*0.87</v>
      </c>
      <c r="AM1833" s="43" t="str">
        <f t="shared" si="233"/>
        <v>REZoning_Sol-Win</v>
      </c>
      <c r="AP1833" t="s">
        <v>2707</v>
      </c>
      <c r="AQ1833" t="s">
        <v>57</v>
      </c>
      <c r="AR1833">
        <v>2100</v>
      </c>
      <c r="AS1833" t="s">
        <v>874</v>
      </c>
      <c r="AT1833" t="s">
        <v>58</v>
      </c>
    </row>
    <row r="1834" ht="29" spans="1:46">
      <c r="A1834" s="31" t="s">
        <v>169</v>
      </c>
      <c r="C1834" t="s">
        <v>2708</v>
      </c>
      <c r="D1834" s="5" t="s">
        <v>57</v>
      </c>
      <c r="E1834">
        <v>2035</v>
      </c>
      <c r="F1834" s="6" t="str">
        <f t="shared" si="226"/>
        <v>*0.94</v>
      </c>
      <c r="H1834" t="s">
        <v>2708</v>
      </c>
      <c r="I1834" s="5" t="s">
        <v>57</v>
      </c>
      <c r="J1834">
        <v>2050</v>
      </c>
      <c r="K1834" s="38" t="str">
        <f t="shared" si="227"/>
        <v>*0.92</v>
      </c>
      <c r="P1834" s="32" t="s">
        <v>2708</v>
      </c>
      <c r="Q1834" s="42" t="s">
        <v>57</v>
      </c>
      <c r="R1834" s="32">
        <v>2035</v>
      </c>
      <c r="S1834" s="43" t="str">
        <f t="shared" si="228"/>
        <v>*0.93</v>
      </c>
      <c r="U1834" s="32" t="s">
        <v>2708</v>
      </c>
      <c r="V1834" s="42" t="s">
        <v>57</v>
      </c>
      <c r="W1834" s="32">
        <v>2050</v>
      </c>
      <c r="X1834" s="43" t="str">
        <f t="shared" si="229"/>
        <v>*0.92</v>
      </c>
      <c r="AC1834" s="33" t="s">
        <v>2708</v>
      </c>
      <c r="AD1834" s="44" t="s">
        <v>57</v>
      </c>
      <c r="AE1834" s="33">
        <v>2035</v>
      </c>
      <c r="AF1834" s="45" t="str">
        <f t="shared" si="230"/>
        <v>*0.91</v>
      </c>
      <c r="AG1834" s="43" t="str">
        <f t="shared" si="232"/>
        <v>REZoning_Sol-Win</v>
      </c>
      <c r="AI1834" s="33" t="s">
        <v>2708</v>
      </c>
      <c r="AJ1834" s="44" t="s">
        <v>57</v>
      </c>
      <c r="AK1834" s="33">
        <v>2050</v>
      </c>
      <c r="AL1834" s="45" t="str">
        <f t="shared" si="231"/>
        <v>*0.87</v>
      </c>
      <c r="AM1834" s="43" t="str">
        <f t="shared" si="233"/>
        <v>REZoning_Sol-Win</v>
      </c>
      <c r="AP1834" t="s">
        <v>2708</v>
      </c>
      <c r="AQ1834" t="s">
        <v>57</v>
      </c>
      <c r="AR1834">
        <v>2100</v>
      </c>
      <c r="AS1834" t="s">
        <v>874</v>
      </c>
      <c r="AT1834" t="s">
        <v>58</v>
      </c>
    </row>
    <row r="1835" ht="29" spans="1:46">
      <c r="A1835" s="31" t="s">
        <v>169</v>
      </c>
      <c r="C1835" t="s">
        <v>2709</v>
      </c>
      <c r="D1835" s="5" t="s">
        <v>57</v>
      </c>
      <c r="E1835">
        <v>2035</v>
      </c>
      <c r="F1835" s="6" t="str">
        <f t="shared" si="226"/>
        <v>*0.94</v>
      </c>
      <c r="H1835" t="s">
        <v>2709</v>
      </c>
      <c r="I1835" s="5" t="s">
        <v>57</v>
      </c>
      <c r="J1835">
        <v>2050</v>
      </c>
      <c r="K1835" s="38" t="str">
        <f t="shared" si="227"/>
        <v>*0.92</v>
      </c>
      <c r="P1835" s="32" t="s">
        <v>2709</v>
      </c>
      <c r="Q1835" s="42" t="s">
        <v>57</v>
      </c>
      <c r="R1835" s="32">
        <v>2035</v>
      </c>
      <c r="S1835" s="43" t="str">
        <f t="shared" si="228"/>
        <v>*0.93</v>
      </c>
      <c r="U1835" s="32" t="s">
        <v>2709</v>
      </c>
      <c r="V1835" s="42" t="s">
        <v>57</v>
      </c>
      <c r="W1835" s="32">
        <v>2050</v>
      </c>
      <c r="X1835" s="43" t="str">
        <f t="shared" si="229"/>
        <v>*0.92</v>
      </c>
      <c r="AC1835" s="33" t="s">
        <v>2709</v>
      </c>
      <c r="AD1835" s="44" t="s">
        <v>57</v>
      </c>
      <c r="AE1835" s="33">
        <v>2035</v>
      </c>
      <c r="AF1835" s="45" t="str">
        <f t="shared" si="230"/>
        <v>*0.91</v>
      </c>
      <c r="AG1835" s="43" t="str">
        <f t="shared" si="232"/>
        <v>REZoning_Sol-Win</v>
      </c>
      <c r="AI1835" s="33" t="s">
        <v>2709</v>
      </c>
      <c r="AJ1835" s="44" t="s">
        <v>57</v>
      </c>
      <c r="AK1835" s="33">
        <v>2050</v>
      </c>
      <c r="AL1835" s="45" t="str">
        <f t="shared" si="231"/>
        <v>*0.87</v>
      </c>
      <c r="AM1835" s="43" t="str">
        <f t="shared" si="233"/>
        <v>REZoning_Sol-Win</v>
      </c>
      <c r="AP1835" t="s">
        <v>2709</v>
      </c>
      <c r="AQ1835" t="s">
        <v>57</v>
      </c>
      <c r="AR1835">
        <v>2100</v>
      </c>
      <c r="AS1835" t="s">
        <v>874</v>
      </c>
      <c r="AT1835" t="s">
        <v>58</v>
      </c>
    </row>
    <row r="1836" ht="29" spans="1:46">
      <c r="A1836" s="31" t="s">
        <v>169</v>
      </c>
      <c r="C1836" t="s">
        <v>2710</v>
      </c>
      <c r="D1836" s="5" t="s">
        <v>57</v>
      </c>
      <c r="E1836">
        <v>2035</v>
      </c>
      <c r="F1836" s="6" t="str">
        <f t="shared" si="226"/>
        <v>*0.94</v>
      </c>
      <c r="H1836" t="s">
        <v>2710</v>
      </c>
      <c r="I1836" s="5" t="s">
        <v>57</v>
      </c>
      <c r="J1836">
        <v>2050</v>
      </c>
      <c r="K1836" s="38" t="str">
        <f t="shared" si="227"/>
        <v>*0.92</v>
      </c>
      <c r="P1836" s="32" t="s">
        <v>2710</v>
      </c>
      <c r="Q1836" s="42" t="s">
        <v>57</v>
      </c>
      <c r="R1836" s="32">
        <v>2035</v>
      </c>
      <c r="S1836" s="43" t="str">
        <f t="shared" si="228"/>
        <v>*0.93</v>
      </c>
      <c r="U1836" s="32" t="s">
        <v>2710</v>
      </c>
      <c r="V1836" s="42" t="s">
        <v>57</v>
      </c>
      <c r="W1836" s="32">
        <v>2050</v>
      </c>
      <c r="X1836" s="43" t="str">
        <f t="shared" si="229"/>
        <v>*0.92</v>
      </c>
      <c r="AC1836" s="33" t="s">
        <v>2710</v>
      </c>
      <c r="AD1836" s="44" t="s">
        <v>57</v>
      </c>
      <c r="AE1836" s="33">
        <v>2035</v>
      </c>
      <c r="AF1836" s="45" t="str">
        <f t="shared" si="230"/>
        <v>*0.91</v>
      </c>
      <c r="AG1836" s="43" t="str">
        <f t="shared" si="232"/>
        <v>REZoning_Sol-Win</v>
      </c>
      <c r="AI1836" s="33" t="s">
        <v>2710</v>
      </c>
      <c r="AJ1836" s="44" t="s">
        <v>57</v>
      </c>
      <c r="AK1836" s="33">
        <v>2050</v>
      </c>
      <c r="AL1836" s="45" t="str">
        <f t="shared" si="231"/>
        <v>*0.87</v>
      </c>
      <c r="AM1836" s="43" t="str">
        <f t="shared" si="233"/>
        <v>REZoning_Sol-Win</v>
      </c>
      <c r="AP1836" t="s">
        <v>2710</v>
      </c>
      <c r="AQ1836" t="s">
        <v>57</v>
      </c>
      <c r="AR1836">
        <v>2100</v>
      </c>
      <c r="AS1836" t="s">
        <v>874</v>
      </c>
      <c r="AT1836" t="s">
        <v>58</v>
      </c>
    </row>
    <row r="1837" ht="29" spans="1:46">
      <c r="A1837" s="31" t="s">
        <v>169</v>
      </c>
      <c r="C1837" t="s">
        <v>2711</v>
      </c>
      <c r="D1837" s="5" t="s">
        <v>57</v>
      </c>
      <c r="E1837">
        <v>2035</v>
      </c>
      <c r="F1837" s="6" t="str">
        <f t="shared" si="226"/>
        <v>*0.94</v>
      </c>
      <c r="H1837" t="s">
        <v>2711</v>
      </c>
      <c r="I1837" s="5" t="s">
        <v>57</v>
      </c>
      <c r="J1837">
        <v>2050</v>
      </c>
      <c r="K1837" s="38" t="str">
        <f t="shared" si="227"/>
        <v>*0.92</v>
      </c>
      <c r="P1837" s="32" t="s">
        <v>2711</v>
      </c>
      <c r="Q1837" s="42" t="s">
        <v>57</v>
      </c>
      <c r="R1837" s="32">
        <v>2035</v>
      </c>
      <c r="S1837" s="43" t="str">
        <f t="shared" si="228"/>
        <v>*0.93</v>
      </c>
      <c r="U1837" s="32" t="s">
        <v>2711</v>
      </c>
      <c r="V1837" s="42" t="s">
        <v>57</v>
      </c>
      <c r="W1837" s="32">
        <v>2050</v>
      </c>
      <c r="X1837" s="43" t="str">
        <f t="shared" si="229"/>
        <v>*0.92</v>
      </c>
      <c r="AC1837" s="33" t="s">
        <v>2711</v>
      </c>
      <c r="AD1837" s="44" t="s">
        <v>57</v>
      </c>
      <c r="AE1837" s="33">
        <v>2035</v>
      </c>
      <c r="AF1837" s="45" t="str">
        <f t="shared" si="230"/>
        <v>*0.91</v>
      </c>
      <c r="AG1837" s="43" t="str">
        <f t="shared" si="232"/>
        <v>REZoning_Sol-Win</v>
      </c>
      <c r="AI1837" s="33" t="s">
        <v>2711</v>
      </c>
      <c r="AJ1837" s="44" t="s">
        <v>57</v>
      </c>
      <c r="AK1837" s="33">
        <v>2050</v>
      </c>
      <c r="AL1837" s="45" t="str">
        <f t="shared" si="231"/>
        <v>*0.87</v>
      </c>
      <c r="AM1837" s="43" t="str">
        <f t="shared" si="233"/>
        <v>REZoning_Sol-Win</v>
      </c>
      <c r="AP1837" t="s">
        <v>2711</v>
      </c>
      <c r="AQ1837" t="s">
        <v>57</v>
      </c>
      <c r="AR1837">
        <v>2100</v>
      </c>
      <c r="AS1837" t="s">
        <v>874</v>
      </c>
      <c r="AT1837" t="s">
        <v>58</v>
      </c>
    </row>
    <row r="1838" ht="29" spans="1:46">
      <c r="A1838" s="31" t="s">
        <v>169</v>
      </c>
      <c r="C1838" t="s">
        <v>2712</v>
      </c>
      <c r="D1838" s="5" t="s">
        <v>57</v>
      </c>
      <c r="E1838">
        <v>2035</v>
      </c>
      <c r="F1838" s="6" t="str">
        <f t="shared" si="226"/>
        <v>*0.94</v>
      </c>
      <c r="H1838" t="s">
        <v>2712</v>
      </c>
      <c r="I1838" s="5" t="s">
        <v>57</v>
      </c>
      <c r="J1838">
        <v>2050</v>
      </c>
      <c r="K1838" s="38" t="str">
        <f t="shared" si="227"/>
        <v>*0.92</v>
      </c>
      <c r="P1838" s="32" t="s">
        <v>2712</v>
      </c>
      <c r="Q1838" s="42" t="s">
        <v>57</v>
      </c>
      <c r="R1838" s="32">
        <v>2035</v>
      </c>
      <c r="S1838" s="43" t="str">
        <f t="shared" si="228"/>
        <v>*0.93</v>
      </c>
      <c r="U1838" s="32" t="s">
        <v>2712</v>
      </c>
      <c r="V1838" s="42" t="s">
        <v>57</v>
      </c>
      <c r="W1838" s="32">
        <v>2050</v>
      </c>
      <c r="X1838" s="43" t="str">
        <f t="shared" si="229"/>
        <v>*0.92</v>
      </c>
      <c r="AC1838" s="33" t="s">
        <v>2712</v>
      </c>
      <c r="AD1838" s="44" t="s">
        <v>57</v>
      </c>
      <c r="AE1838" s="33">
        <v>2035</v>
      </c>
      <c r="AF1838" s="45" t="str">
        <f t="shared" si="230"/>
        <v>*0.91</v>
      </c>
      <c r="AG1838" s="43" t="str">
        <f t="shared" si="232"/>
        <v>REZoning_Sol-Win</v>
      </c>
      <c r="AI1838" s="33" t="s">
        <v>2712</v>
      </c>
      <c r="AJ1838" s="44" t="s">
        <v>57</v>
      </c>
      <c r="AK1838" s="33">
        <v>2050</v>
      </c>
      <c r="AL1838" s="45" t="str">
        <f t="shared" si="231"/>
        <v>*0.87</v>
      </c>
      <c r="AM1838" s="43" t="str">
        <f t="shared" si="233"/>
        <v>REZoning_Sol-Win</v>
      </c>
      <c r="AP1838" t="s">
        <v>2712</v>
      </c>
      <c r="AQ1838" t="s">
        <v>57</v>
      </c>
      <c r="AR1838">
        <v>2100</v>
      </c>
      <c r="AS1838" t="s">
        <v>874</v>
      </c>
      <c r="AT1838" t="s">
        <v>58</v>
      </c>
    </row>
    <row r="1839" ht="29" spans="1:46">
      <c r="A1839" s="31" t="s">
        <v>73</v>
      </c>
      <c r="C1839" t="s">
        <v>2713</v>
      </c>
      <c r="D1839" s="5" t="s">
        <v>57</v>
      </c>
      <c r="E1839">
        <v>2035</v>
      </c>
      <c r="F1839" s="6" t="str">
        <f t="shared" si="226"/>
        <v>*0.95</v>
      </c>
      <c r="H1839" t="s">
        <v>2713</v>
      </c>
      <c r="I1839" s="5" t="s">
        <v>57</v>
      </c>
      <c r="J1839">
        <v>2050</v>
      </c>
      <c r="K1839" s="38" t="str">
        <f t="shared" si="227"/>
        <v>*0.93</v>
      </c>
      <c r="P1839" s="32" t="s">
        <v>2713</v>
      </c>
      <c r="Q1839" s="42" t="s">
        <v>57</v>
      </c>
      <c r="R1839" s="32">
        <v>2035</v>
      </c>
      <c r="S1839" s="43" t="str">
        <f t="shared" si="228"/>
        <v>*0.95</v>
      </c>
      <c r="U1839" s="32" t="s">
        <v>2713</v>
      </c>
      <c r="V1839" s="42" t="s">
        <v>57</v>
      </c>
      <c r="W1839" s="32">
        <v>2050</v>
      </c>
      <c r="X1839" s="43" t="str">
        <f t="shared" si="229"/>
        <v>*0.93</v>
      </c>
      <c r="AC1839" s="33" t="s">
        <v>2713</v>
      </c>
      <c r="AD1839" s="44" t="s">
        <v>57</v>
      </c>
      <c r="AE1839" s="33">
        <v>2035</v>
      </c>
      <c r="AF1839" s="45" t="str">
        <f t="shared" si="230"/>
        <v>*0.93</v>
      </c>
      <c r="AG1839" s="43" t="str">
        <f t="shared" si="232"/>
        <v>REZoning_Sol-Win</v>
      </c>
      <c r="AI1839" s="33" t="s">
        <v>2713</v>
      </c>
      <c r="AJ1839" s="44" t="s">
        <v>57</v>
      </c>
      <c r="AK1839" s="33">
        <v>2050</v>
      </c>
      <c r="AL1839" s="45" t="str">
        <f t="shared" si="231"/>
        <v>*0.9</v>
      </c>
      <c r="AM1839" s="43" t="str">
        <f t="shared" si="233"/>
        <v>REZoning_Sol-Win</v>
      </c>
      <c r="AP1839" t="s">
        <v>2713</v>
      </c>
      <c r="AQ1839" t="s">
        <v>57</v>
      </c>
      <c r="AR1839">
        <v>2100</v>
      </c>
      <c r="AS1839" t="s">
        <v>897</v>
      </c>
      <c r="AT1839" t="s">
        <v>58</v>
      </c>
    </row>
    <row r="1840" ht="29" spans="1:46">
      <c r="A1840" s="31" t="s">
        <v>73</v>
      </c>
      <c r="C1840" t="s">
        <v>2714</v>
      </c>
      <c r="D1840" s="5" t="s">
        <v>57</v>
      </c>
      <c r="E1840">
        <v>2035</v>
      </c>
      <c r="F1840" s="6" t="str">
        <f t="shared" si="226"/>
        <v>*0.95</v>
      </c>
      <c r="H1840" t="s">
        <v>2714</v>
      </c>
      <c r="I1840" s="5" t="s">
        <v>57</v>
      </c>
      <c r="J1840">
        <v>2050</v>
      </c>
      <c r="K1840" s="38" t="str">
        <f t="shared" si="227"/>
        <v>*0.93</v>
      </c>
      <c r="P1840" s="32" t="s">
        <v>2714</v>
      </c>
      <c r="Q1840" s="42" t="s">
        <v>57</v>
      </c>
      <c r="R1840" s="32">
        <v>2035</v>
      </c>
      <c r="S1840" s="43" t="str">
        <f t="shared" si="228"/>
        <v>*0.95</v>
      </c>
      <c r="U1840" s="32" t="s">
        <v>2714</v>
      </c>
      <c r="V1840" s="42" t="s">
        <v>57</v>
      </c>
      <c r="W1840" s="32">
        <v>2050</v>
      </c>
      <c r="X1840" s="43" t="str">
        <f t="shared" si="229"/>
        <v>*0.93</v>
      </c>
      <c r="AC1840" s="33" t="s">
        <v>2714</v>
      </c>
      <c r="AD1840" s="44" t="s">
        <v>57</v>
      </c>
      <c r="AE1840" s="33">
        <v>2035</v>
      </c>
      <c r="AF1840" s="45" t="str">
        <f t="shared" si="230"/>
        <v>*0.93</v>
      </c>
      <c r="AG1840" s="43" t="str">
        <f t="shared" si="232"/>
        <v>REZoning_Sol-Win</v>
      </c>
      <c r="AI1840" s="33" t="s">
        <v>2714</v>
      </c>
      <c r="AJ1840" s="44" t="s">
        <v>57</v>
      </c>
      <c r="AK1840" s="33">
        <v>2050</v>
      </c>
      <c r="AL1840" s="45" t="str">
        <f t="shared" si="231"/>
        <v>*0.9</v>
      </c>
      <c r="AM1840" s="43" t="str">
        <f t="shared" si="233"/>
        <v>REZoning_Sol-Win</v>
      </c>
      <c r="AP1840" t="s">
        <v>2714</v>
      </c>
      <c r="AQ1840" t="s">
        <v>57</v>
      </c>
      <c r="AR1840">
        <v>2100</v>
      </c>
      <c r="AS1840" t="s">
        <v>897</v>
      </c>
      <c r="AT1840" t="s">
        <v>58</v>
      </c>
    </row>
    <row r="1841" ht="29" spans="1:46">
      <c r="A1841" s="31" t="s">
        <v>73</v>
      </c>
      <c r="C1841" t="s">
        <v>2715</v>
      </c>
      <c r="D1841" s="5" t="s">
        <v>57</v>
      </c>
      <c r="E1841">
        <v>2035</v>
      </c>
      <c r="F1841" s="6" t="str">
        <f t="shared" si="226"/>
        <v>*0.95</v>
      </c>
      <c r="H1841" t="s">
        <v>2715</v>
      </c>
      <c r="I1841" s="5" t="s">
        <v>57</v>
      </c>
      <c r="J1841">
        <v>2050</v>
      </c>
      <c r="K1841" s="38" t="str">
        <f t="shared" si="227"/>
        <v>*0.93</v>
      </c>
      <c r="P1841" s="32" t="s">
        <v>2715</v>
      </c>
      <c r="Q1841" s="42" t="s">
        <v>57</v>
      </c>
      <c r="R1841" s="32">
        <v>2035</v>
      </c>
      <c r="S1841" s="43" t="str">
        <f t="shared" si="228"/>
        <v>*0.95</v>
      </c>
      <c r="U1841" s="32" t="s">
        <v>2715</v>
      </c>
      <c r="V1841" s="42" t="s">
        <v>57</v>
      </c>
      <c r="W1841" s="32">
        <v>2050</v>
      </c>
      <c r="X1841" s="43" t="str">
        <f t="shared" si="229"/>
        <v>*0.93</v>
      </c>
      <c r="AC1841" s="33" t="s">
        <v>2715</v>
      </c>
      <c r="AD1841" s="44" t="s">
        <v>57</v>
      </c>
      <c r="AE1841" s="33">
        <v>2035</v>
      </c>
      <c r="AF1841" s="45" t="str">
        <f t="shared" si="230"/>
        <v>*0.93</v>
      </c>
      <c r="AG1841" s="43" t="str">
        <f t="shared" si="232"/>
        <v>REZoning_Sol-Win</v>
      </c>
      <c r="AI1841" s="33" t="s">
        <v>2715</v>
      </c>
      <c r="AJ1841" s="44" t="s">
        <v>57</v>
      </c>
      <c r="AK1841" s="33">
        <v>2050</v>
      </c>
      <c r="AL1841" s="45" t="str">
        <f t="shared" si="231"/>
        <v>*0.9</v>
      </c>
      <c r="AM1841" s="43" t="str">
        <f t="shared" si="233"/>
        <v>REZoning_Sol-Win</v>
      </c>
      <c r="AP1841" t="s">
        <v>2715</v>
      </c>
      <c r="AQ1841" t="s">
        <v>57</v>
      </c>
      <c r="AR1841">
        <v>2100</v>
      </c>
      <c r="AS1841" t="s">
        <v>897</v>
      </c>
      <c r="AT1841" t="s">
        <v>58</v>
      </c>
    </row>
    <row r="1842" ht="29" spans="1:46">
      <c r="A1842" s="31" t="s">
        <v>73</v>
      </c>
      <c r="C1842" t="s">
        <v>2716</v>
      </c>
      <c r="D1842" s="5" t="s">
        <v>57</v>
      </c>
      <c r="E1842">
        <v>2035</v>
      </c>
      <c r="F1842" s="6" t="str">
        <f t="shared" si="226"/>
        <v>*0.95</v>
      </c>
      <c r="H1842" t="s">
        <v>2716</v>
      </c>
      <c r="I1842" s="5" t="s">
        <v>57</v>
      </c>
      <c r="J1842">
        <v>2050</v>
      </c>
      <c r="K1842" s="38" t="str">
        <f t="shared" si="227"/>
        <v>*0.93</v>
      </c>
      <c r="P1842" s="32" t="s">
        <v>2716</v>
      </c>
      <c r="Q1842" s="42" t="s">
        <v>57</v>
      </c>
      <c r="R1842" s="32">
        <v>2035</v>
      </c>
      <c r="S1842" s="43" t="str">
        <f t="shared" si="228"/>
        <v>*0.95</v>
      </c>
      <c r="U1842" s="32" t="s">
        <v>2716</v>
      </c>
      <c r="V1842" s="42" t="s">
        <v>57</v>
      </c>
      <c r="W1842" s="32">
        <v>2050</v>
      </c>
      <c r="X1842" s="43" t="str">
        <f t="shared" si="229"/>
        <v>*0.93</v>
      </c>
      <c r="AC1842" s="33" t="s">
        <v>2716</v>
      </c>
      <c r="AD1842" s="44" t="s">
        <v>57</v>
      </c>
      <c r="AE1842" s="33">
        <v>2035</v>
      </c>
      <c r="AF1842" s="45" t="str">
        <f t="shared" si="230"/>
        <v>*0.93</v>
      </c>
      <c r="AG1842" s="43" t="str">
        <f t="shared" si="232"/>
        <v>REZoning_Sol-Win</v>
      </c>
      <c r="AI1842" s="33" t="s">
        <v>2716</v>
      </c>
      <c r="AJ1842" s="44" t="s">
        <v>57</v>
      </c>
      <c r="AK1842" s="33">
        <v>2050</v>
      </c>
      <c r="AL1842" s="45" t="str">
        <f t="shared" si="231"/>
        <v>*0.9</v>
      </c>
      <c r="AM1842" s="43" t="str">
        <f t="shared" si="233"/>
        <v>REZoning_Sol-Win</v>
      </c>
      <c r="AP1842" t="s">
        <v>2716</v>
      </c>
      <c r="AQ1842" t="s">
        <v>57</v>
      </c>
      <c r="AR1842">
        <v>2100</v>
      </c>
      <c r="AS1842" t="s">
        <v>897</v>
      </c>
      <c r="AT1842" t="s">
        <v>58</v>
      </c>
    </row>
    <row r="1843" ht="29" spans="1:46">
      <c r="A1843" s="31" t="s">
        <v>73</v>
      </c>
      <c r="C1843" t="s">
        <v>2717</v>
      </c>
      <c r="D1843" s="5" t="s">
        <v>57</v>
      </c>
      <c r="E1843">
        <v>2035</v>
      </c>
      <c r="F1843" s="6" t="str">
        <f t="shared" si="226"/>
        <v>*0.95</v>
      </c>
      <c r="H1843" t="s">
        <v>2717</v>
      </c>
      <c r="I1843" s="5" t="s">
        <v>57</v>
      </c>
      <c r="J1843">
        <v>2050</v>
      </c>
      <c r="K1843" s="38" t="str">
        <f t="shared" si="227"/>
        <v>*0.93</v>
      </c>
      <c r="P1843" s="32" t="s">
        <v>2717</v>
      </c>
      <c r="Q1843" s="42" t="s">
        <v>57</v>
      </c>
      <c r="R1843" s="32">
        <v>2035</v>
      </c>
      <c r="S1843" s="43" t="str">
        <f t="shared" si="228"/>
        <v>*0.95</v>
      </c>
      <c r="U1843" s="32" t="s">
        <v>2717</v>
      </c>
      <c r="V1843" s="42" t="s">
        <v>57</v>
      </c>
      <c r="W1843" s="32">
        <v>2050</v>
      </c>
      <c r="X1843" s="43" t="str">
        <f t="shared" si="229"/>
        <v>*0.93</v>
      </c>
      <c r="AC1843" s="33" t="s">
        <v>2717</v>
      </c>
      <c r="AD1843" s="44" t="s">
        <v>57</v>
      </c>
      <c r="AE1843" s="33">
        <v>2035</v>
      </c>
      <c r="AF1843" s="45" t="str">
        <f t="shared" si="230"/>
        <v>*0.93</v>
      </c>
      <c r="AG1843" s="43" t="str">
        <f t="shared" si="232"/>
        <v>REZoning_Sol-Win</v>
      </c>
      <c r="AI1843" s="33" t="s">
        <v>2717</v>
      </c>
      <c r="AJ1843" s="44" t="s">
        <v>57</v>
      </c>
      <c r="AK1843" s="33">
        <v>2050</v>
      </c>
      <c r="AL1843" s="45" t="str">
        <f t="shared" si="231"/>
        <v>*0.9</v>
      </c>
      <c r="AM1843" s="43" t="str">
        <f t="shared" si="233"/>
        <v>REZoning_Sol-Win</v>
      </c>
      <c r="AP1843" t="s">
        <v>2717</v>
      </c>
      <c r="AQ1843" t="s">
        <v>57</v>
      </c>
      <c r="AR1843">
        <v>2100</v>
      </c>
      <c r="AS1843" t="s">
        <v>897</v>
      </c>
      <c r="AT1843" t="s">
        <v>58</v>
      </c>
    </row>
    <row r="1844" ht="29" spans="1:46">
      <c r="A1844" s="31" t="s">
        <v>73</v>
      </c>
      <c r="C1844" t="s">
        <v>2718</v>
      </c>
      <c r="D1844" s="5" t="s">
        <v>57</v>
      </c>
      <c r="E1844">
        <v>2035</v>
      </c>
      <c r="F1844" s="6" t="str">
        <f t="shared" si="226"/>
        <v>*0.95</v>
      </c>
      <c r="H1844" t="s">
        <v>2718</v>
      </c>
      <c r="I1844" s="5" t="s">
        <v>57</v>
      </c>
      <c r="J1844">
        <v>2050</v>
      </c>
      <c r="K1844" s="38" t="str">
        <f t="shared" si="227"/>
        <v>*0.93</v>
      </c>
      <c r="P1844" s="32" t="s">
        <v>2718</v>
      </c>
      <c r="Q1844" s="42" t="s">
        <v>57</v>
      </c>
      <c r="R1844" s="32">
        <v>2035</v>
      </c>
      <c r="S1844" s="43" t="str">
        <f t="shared" si="228"/>
        <v>*0.95</v>
      </c>
      <c r="U1844" s="32" t="s">
        <v>2718</v>
      </c>
      <c r="V1844" s="42" t="s">
        <v>57</v>
      </c>
      <c r="W1844" s="32">
        <v>2050</v>
      </c>
      <c r="X1844" s="43" t="str">
        <f t="shared" si="229"/>
        <v>*0.93</v>
      </c>
      <c r="AC1844" s="33" t="s">
        <v>2718</v>
      </c>
      <c r="AD1844" s="44" t="s">
        <v>57</v>
      </c>
      <c r="AE1844" s="33">
        <v>2035</v>
      </c>
      <c r="AF1844" s="45" t="str">
        <f t="shared" si="230"/>
        <v>*0.93</v>
      </c>
      <c r="AG1844" s="43" t="str">
        <f t="shared" si="232"/>
        <v>REZoning_Sol-Win</v>
      </c>
      <c r="AI1844" s="33" t="s">
        <v>2718</v>
      </c>
      <c r="AJ1844" s="44" t="s">
        <v>57</v>
      </c>
      <c r="AK1844" s="33">
        <v>2050</v>
      </c>
      <c r="AL1844" s="45" t="str">
        <f t="shared" si="231"/>
        <v>*0.9</v>
      </c>
      <c r="AM1844" s="43" t="str">
        <f t="shared" si="233"/>
        <v>REZoning_Sol-Win</v>
      </c>
      <c r="AP1844" t="s">
        <v>2718</v>
      </c>
      <c r="AQ1844" t="s">
        <v>57</v>
      </c>
      <c r="AR1844">
        <v>2100</v>
      </c>
      <c r="AS1844" t="s">
        <v>897</v>
      </c>
      <c r="AT1844" t="s">
        <v>58</v>
      </c>
    </row>
    <row r="1845" ht="29" spans="1:46">
      <c r="A1845" s="31" t="s">
        <v>73</v>
      </c>
      <c r="C1845" t="s">
        <v>2719</v>
      </c>
      <c r="D1845" s="5" t="s">
        <v>57</v>
      </c>
      <c r="E1845">
        <v>2035</v>
      </c>
      <c r="F1845" s="6" t="str">
        <f t="shared" si="226"/>
        <v>*0.95</v>
      </c>
      <c r="H1845" t="s">
        <v>2719</v>
      </c>
      <c r="I1845" s="5" t="s">
        <v>57</v>
      </c>
      <c r="J1845">
        <v>2050</v>
      </c>
      <c r="K1845" s="38" t="str">
        <f t="shared" si="227"/>
        <v>*0.93</v>
      </c>
      <c r="P1845" s="32" t="s">
        <v>2719</v>
      </c>
      <c r="Q1845" s="42" t="s">
        <v>57</v>
      </c>
      <c r="R1845" s="32">
        <v>2035</v>
      </c>
      <c r="S1845" s="43" t="str">
        <f t="shared" si="228"/>
        <v>*0.95</v>
      </c>
      <c r="U1845" s="32" t="s">
        <v>2719</v>
      </c>
      <c r="V1845" s="42" t="s">
        <v>57</v>
      </c>
      <c r="W1845" s="32">
        <v>2050</v>
      </c>
      <c r="X1845" s="43" t="str">
        <f t="shared" si="229"/>
        <v>*0.93</v>
      </c>
      <c r="AC1845" s="33" t="s">
        <v>2719</v>
      </c>
      <c r="AD1845" s="44" t="s">
        <v>57</v>
      </c>
      <c r="AE1845" s="33">
        <v>2035</v>
      </c>
      <c r="AF1845" s="45" t="str">
        <f t="shared" si="230"/>
        <v>*0.93</v>
      </c>
      <c r="AG1845" s="43" t="str">
        <f t="shared" si="232"/>
        <v>REZoning_Sol-Win</v>
      </c>
      <c r="AI1845" s="33" t="s">
        <v>2719</v>
      </c>
      <c r="AJ1845" s="44" t="s">
        <v>57</v>
      </c>
      <c r="AK1845" s="33">
        <v>2050</v>
      </c>
      <c r="AL1845" s="45" t="str">
        <f t="shared" si="231"/>
        <v>*0.9</v>
      </c>
      <c r="AM1845" s="43" t="str">
        <f t="shared" si="233"/>
        <v>REZoning_Sol-Win</v>
      </c>
      <c r="AP1845" t="s">
        <v>2719</v>
      </c>
      <c r="AQ1845" t="s">
        <v>57</v>
      </c>
      <c r="AR1845">
        <v>2100</v>
      </c>
      <c r="AS1845" t="s">
        <v>897</v>
      </c>
      <c r="AT1845" t="s">
        <v>58</v>
      </c>
    </row>
    <row r="1846" ht="29" spans="1:46">
      <c r="A1846" s="31" t="s">
        <v>73</v>
      </c>
      <c r="C1846" t="s">
        <v>2720</v>
      </c>
      <c r="D1846" s="5" t="s">
        <v>57</v>
      </c>
      <c r="E1846">
        <v>2035</v>
      </c>
      <c r="F1846" s="6" t="str">
        <f t="shared" si="226"/>
        <v>*0.95</v>
      </c>
      <c r="H1846" t="s">
        <v>2720</v>
      </c>
      <c r="I1846" s="5" t="s">
        <v>57</v>
      </c>
      <c r="J1846">
        <v>2050</v>
      </c>
      <c r="K1846" s="38" t="str">
        <f t="shared" si="227"/>
        <v>*0.93</v>
      </c>
      <c r="P1846" s="32" t="s">
        <v>2720</v>
      </c>
      <c r="Q1846" s="42" t="s">
        <v>57</v>
      </c>
      <c r="R1846" s="32">
        <v>2035</v>
      </c>
      <c r="S1846" s="43" t="str">
        <f t="shared" si="228"/>
        <v>*0.95</v>
      </c>
      <c r="U1846" s="32" t="s">
        <v>2720</v>
      </c>
      <c r="V1846" s="42" t="s">
        <v>57</v>
      </c>
      <c r="W1846" s="32">
        <v>2050</v>
      </c>
      <c r="X1846" s="43" t="str">
        <f t="shared" si="229"/>
        <v>*0.93</v>
      </c>
      <c r="AC1846" s="33" t="s">
        <v>2720</v>
      </c>
      <c r="AD1846" s="44" t="s">
        <v>57</v>
      </c>
      <c r="AE1846" s="33">
        <v>2035</v>
      </c>
      <c r="AF1846" s="45" t="str">
        <f t="shared" si="230"/>
        <v>*0.93</v>
      </c>
      <c r="AG1846" s="43" t="str">
        <f t="shared" si="232"/>
        <v>REZoning_Sol-Win</v>
      </c>
      <c r="AI1846" s="33" t="s">
        <v>2720</v>
      </c>
      <c r="AJ1846" s="44" t="s">
        <v>57</v>
      </c>
      <c r="AK1846" s="33">
        <v>2050</v>
      </c>
      <c r="AL1846" s="45" t="str">
        <f t="shared" si="231"/>
        <v>*0.9</v>
      </c>
      <c r="AM1846" s="43" t="str">
        <f t="shared" si="233"/>
        <v>REZoning_Sol-Win</v>
      </c>
      <c r="AP1846" t="s">
        <v>2720</v>
      </c>
      <c r="AQ1846" t="s">
        <v>57</v>
      </c>
      <c r="AR1846">
        <v>2100</v>
      </c>
      <c r="AS1846" t="s">
        <v>897</v>
      </c>
      <c r="AT1846" t="s">
        <v>58</v>
      </c>
    </row>
    <row r="1847" ht="29" spans="1:46">
      <c r="A1847" s="31" t="s">
        <v>73</v>
      </c>
      <c r="C1847" t="s">
        <v>2721</v>
      </c>
      <c r="D1847" s="5" t="s">
        <v>57</v>
      </c>
      <c r="E1847">
        <v>2035</v>
      </c>
      <c r="F1847" s="6" t="str">
        <f t="shared" si="226"/>
        <v>*0.95</v>
      </c>
      <c r="H1847" t="s">
        <v>2721</v>
      </c>
      <c r="I1847" s="5" t="s">
        <v>57</v>
      </c>
      <c r="J1847">
        <v>2050</v>
      </c>
      <c r="K1847" s="38" t="str">
        <f t="shared" si="227"/>
        <v>*0.93</v>
      </c>
      <c r="P1847" s="32" t="s">
        <v>2721</v>
      </c>
      <c r="Q1847" s="42" t="s">
        <v>57</v>
      </c>
      <c r="R1847" s="32">
        <v>2035</v>
      </c>
      <c r="S1847" s="43" t="str">
        <f t="shared" si="228"/>
        <v>*0.95</v>
      </c>
      <c r="U1847" s="32" t="s">
        <v>2721</v>
      </c>
      <c r="V1847" s="42" t="s">
        <v>57</v>
      </c>
      <c r="W1847" s="32">
        <v>2050</v>
      </c>
      <c r="X1847" s="43" t="str">
        <f t="shared" si="229"/>
        <v>*0.93</v>
      </c>
      <c r="AC1847" s="33" t="s">
        <v>2721</v>
      </c>
      <c r="AD1847" s="44" t="s">
        <v>57</v>
      </c>
      <c r="AE1847" s="33">
        <v>2035</v>
      </c>
      <c r="AF1847" s="45" t="str">
        <f t="shared" si="230"/>
        <v>*0.93</v>
      </c>
      <c r="AG1847" s="43" t="str">
        <f t="shared" si="232"/>
        <v>REZoning_Sol-Win</v>
      </c>
      <c r="AI1847" s="33" t="s">
        <v>2721</v>
      </c>
      <c r="AJ1847" s="44" t="s">
        <v>57</v>
      </c>
      <c r="AK1847" s="33">
        <v>2050</v>
      </c>
      <c r="AL1847" s="45" t="str">
        <f t="shared" si="231"/>
        <v>*0.9</v>
      </c>
      <c r="AM1847" s="43" t="str">
        <f t="shared" si="233"/>
        <v>REZoning_Sol-Win</v>
      </c>
      <c r="AP1847" t="s">
        <v>2721</v>
      </c>
      <c r="AQ1847" t="s">
        <v>57</v>
      </c>
      <c r="AR1847">
        <v>2100</v>
      </c>
      <c r="AS1847" t="s">
        <v>897</v>
      </c>
      <c r="AT1847" t="s">
        <v>58</v>
      </c>
    </row>
    <row r="1848" ht="29" spans="1:46">
      <c r="A1848" s="31" t="s">
        <v>73</v>
      </c>
      <c r="C1848" t="s">
        <v>2722</v>
      </c>
      <c r="D1848" s="5" t="s">
        <v>57</v>
      </c>
      <c r="E1848">
        <v>2035</v>
      </c>
      <c r="F1848" s="6" t="str">
        <f t="shared" si="226"/>
        <v>*0.95</v>
      </c>
      <c r="H1848" t="s">
        <v>2722</v>
      </c>
      <c r="I1848" s="5" t="s">
        <v>57</v>
      </c>
      <c r="J1848">
        <v>2050</v>
      </c>
      <c r="K1848" s="38" t="str">
        <f t="shared" si="227"/>
        <v>*0.93</v>
      </c>
      <c r="P1848" s="32" t="s">
        <v>2722</v>
      </c>
      <c r="Q1848" s="42" t="s">
        <v>57</v>
      </c>
      <c r="R1848" s="32">
        <v>2035</v>
      </c>
      <c r="S1848" s="43" t="str">
        <f t="shared" si="228"/>
        <v>*0.95</v>
      </c>
      <c r="U1848" s="32" t="s">
        <v>2722</v>
      </c>
      <c r="V1848" s="42" t="s">
        <v>57</v>
      </c>
      <c r="W1848" s="32">
        <v>2050</v>
      </c>
      <c r="X1848" s="43" t="str">
        <f t="shared" si="229"/>
        <v>*0.93</v>
      </c>
      <c r="AC1848" s="33" t="s">
        <v>2722</v>
      </c>
      <c r="AD1848" s="44" t="s">
        <v>57</v>
      </c>
      <c r="AE1848" s="33">
        <v>2035</v>
      </c>
      <c r="AF1848" s="45" t="str">
        <f t="shared" si="230"/>
        <v>*0.93</v>
      </c>
      <c r="AG1848" s="43" t="str">
        <f t="shared" si="232"/>
        <v>REZoning_Sol-Win</v>
      </c>
      <c r="AI1848" s="33" t="s">
        <v>2722</v>
      </c>
      <c r="AJ1848" s="44" t="s">
        <v>57</v>
      </c>
      <c r="AK1848" s="33">
        <v>2050</v>
      </c>
      <c r="AL1848" s="45" t="str">
        <f t="shared" si="231"/>
        <v>*0.9</v>
      </c>
      <c r="AM1848" s="43" t="str">
        <f t="shared" si="233"/>
        <v>REZoning_Sol-Win</v>
      </c>
      <c r="AP1848" t="s">
        <v>2722</v>
      </c>
      <c r="AQ1848" t="s">
        <v>57</v>
      </c>
      <c r="AR1848">
        <v>2100</v>
      </c>
      <c r="AS1848" t="s">
        <v>897</v>
      </c>
      <c r="AT1848" t="s">
        <v>58</v>
      </c>
    </row>
    <row r="1849" ht="29" spans="1:46">
      <c r="A1849" s="31" t="s">
        <v>73</v>
      </c>
      <c r="C1849" t="s">
        <v>2723</v>
      </c>
      <c r="D1849" s="5" t="s">
        <v>57</v>
      </c>
      <c r="E1849">
        <v>2035</v>
      </c>
      <c r="F1849" s="6" t="str">
        <f t="shared" si="226"/>
        <v>*0.95</v>
      </c>
      <c r="H1849" t="s">
        <v>2723</v>
      </c>
      <c r="I1849" s="5" t="s">
        <v>57</v>
      </c>
      <c r="J1849">
        <v>2050</v>
      </c>
      <c r="K1849" s="38" t="str">
        <f t="shared" si="227"/>
        <v>*0.93</v>
      </c>
      <c r="P1849" s="32" t="s">
        <v>2723</v>
      </c>
      <c r="Q1849" s="42" t="s">
        <v>57</v>
      </c>
      <c r="R1849" s="32">
        <v>2035</v>
      </c>
      <c r="S1849" s="43" t="str">
        <f t="shared" si="228"/>
        <v>*0.95</v>
      </c>
      <c r="U1849" s="32" t="s">
        <v>2723</v>
      </c>
      <c r="V1849" s="42" t="s">
        <v>57</v>
      </c>
      <c r="W1849" s="32">
        <v>2050</v>
      </c>
      <c r="X1849" s="43" t="str">
        <f t="shared" si="229"/>
        <v>*0.93</v>
      </c>
      <c r="AC1849" s="33" t="s">
        <v>2723</v>
      </c>
      <c r="AD1849" s="44" t="s">
        <v>57</v>
      </c>
      <c r="AE1849" s="33">
        <v>2035</v>
      </c>
      <c r="AF1849" s="45" t="str">
        <f t="shared" si="230"/>
        <v>*0.93</v>
      </c>
      <c r="AG1849" s="43" t="str">
        <f t="shared" si="232"/>
        <v>REZoning_Sol-Win</v>
      </c>
      <c r="AI1849" s="33" t="s">
        <v>2723</v>
      </c>
      <c r="AJ1849" s="44" t="s">
        <v>57</v>
      </c>
      <c r="AK1849" s="33">
        <v>2050</v>
      </c>
      <c r="AL1849" s="45" t="str">
        <f t="shared" si="231"/>
        <v>*0.9</v>
      </c>
      <c r="AM1849" s="43" t="str">
        <f t="shared" si="233"/>
        <v>REZoning_Sol-Win</v>
      </c>
      <c r="AP1849" t="s">
        <v>2723</v>
      </c>
      <c r="AQ1849" t="s">
        <v>57</v>
      </c>
      <c r="AR1849">
        <v>2100</v>
      </c>
      <c r="AS1849" t="s">
        <v>897</v>
      </c>
      <c r="AT1849" t="s">
        <v>58</v>
      </c>
    </row>
    <row r="1850" ht="29" spans="1:46">
      <c r="A1850" s="31" t="s">
        <v>73</v>
      </c>
      <c r="C1850" t="s">
        <v>2724</v>
      </c>
      <c r="D1850" s="5" t="s">
        <v>57</v>
      </c>
      <c r="E1850">
        <v>2035</v>
      </c>
      <c r="F1850" s="6" t="str">
        <f t="shared" si="226"/>
        <v>*0.95</v>
      </c>
      <c r="H1850" t="s">
        <v>2724</v>
      </c>
      <c r="I1850" s="5" t="s">
        <v>57</v>
      </c>
      <c r="J1850">
        <v>2050</v>
      </c>
      <c r="K1850" s="38" t="str">
        <f t="shared" si="227"/>
        <v>*0.93</v>
      </c>
      <c r="P1850" s="32" t="s">
        <v>2724</v>
      </c>
      <c r="Q1850" s="42" t="s">
        <v>57</v>
      </c>
      <c r="R1850" s="32">
        <v>2035</v>
      </c>
      <c r="S1850" s="43" t="str">
        <f t="shared" si="228"/>
        <v>*0.95</v>
      </c>
      <c r="U1850" s="32" t="s">
        <v>2724</v>
      </c>
      <c r="V1850" s="42" t="s">
        <v>57</v>
      </c>
      <c r="W1850" s="32">
        <v>2050</v>
      </c>
      <c r="X1850" s="43" t="str">
        <f t="shared" si="229"/>
        <v>*0.93</v>
      </c>
      <c r="AC1850" s="33" t="s">
        <v>2724</v>
      </c>
      <c r="AD1850" s="44" t="s">
        <v>57</v>
      </c>
      <c r="AE1850" s="33">
        <v>2035</v>
      </c>
      <c r="AF1850" s="45" t="str">
        <f t="shared" si="230"/>
        <v>*0.93</v>
      </c>
      <c r="AG1850" s="43" t="str">
        <f t="shared" si="232"/>
        <v>REZoning_Sol-Win</v>
      </c>
      <c r="AI1850" s="33" t="s">
        <v>2724</v>
      </c>
      <c r="AJ1850" s="44" t="s">
        <v>57</v>
      </c>
      <c r="AK1850" s="33">
        <v>2050</v>
      </c>
      <c r="AL1850" s="45" t="str">
        <f t="shared" si="231"/>
        <v>*0.9</v>
      </c>
      <c r="AM1850" s="43" t="str">
        <f t="shared" si="233"/>
        <v>REZoning_Sol-Win</v>
      </c>
      <c r="AP1850" t="s">
        <v>2724</v>
      </c>
      <c r="AQ1850" t="s">
        <v>57</v>
      </c>
      <c r="AR1850">
        <v>2100</v>
      </c>
      <c r="AS1850" t="s">
        <v>897</v>
      </c>
      <c r="AT1850" t="s">
        <v>58</v>
      </c>
    </row>
    <row r="1851" ht="29" spans="1:46">
      <c r="A1851" s="31" t="s">
        <v>73</v>
      </c>
      <c r="C1851" t="s">
        <v>2725</v>
      </c>
      <c r="D1851" s="5" t="s">
        <v>57</v>
      </c>
      <c r="E1851">
        <v>2035</v>
      </c>
      <c r="F1851" s="6" t="str">
        <f t="shared" si="226"/>
        <v>*0.95</v>
      </c>
      <c r="H1851" t="s">
        <v>2725</v>
      </c>
      <c r="I1851" s="5" t="s">
        <v>57</v>
      </c>
      <c r="J1851">
        <v>2050</v>
      </c>
      <c r="K1851" s="38" t="str">
        <f t="shared" si="227"/>
        <v>*0.93</v>
      </c>
      <c r="P1851" s="32" t="s">
        <v>2725</v>
      </c>
      <c r="Q1851" s="42" t="s">
        <v>57</v>
      </c>
      <c r="R1851" s="32">
        <v>2035</v>
      </c>
      <c r="S1851" s="43" t="str">
        <f t="shared" si="228"/>
        <v>*0.95</v>
      </c>
      <c r="U1851" s="32" t="s">
        <v>2725</v>
      </c>
      <c r="V1851" s="42" t="s">
        <v>57</v>
      </c>
      <c r="W1851" s="32">
        <v>2050</v>
      </c>
      <c r="X1851" s="43" t="str">
        <f t="shared" si="229"/>
        <v>*0.93</v>
      </c>
      <c r="AC1851" s="33" t="s">
        <v>2725</v>
      </c>
      <c r="AD1851" s="44" t="s">
        <v>57</v>
      </c>
      <c r="AE1851" s="33">
        <v>2035</v>
      </c>
      <c r="AF1851" s="45" t="str">
        <f t="shared" si="230"/>
        <v>*0.93</v>
      </c>
      <c r="AG1851" s="43" t="str">
        <f t="shared" si="232"/>
        <v>REZoning_Sol-Win</v>
      </c>
      <c r="AI1851" s="33" t="s">
        <v>2725</v>
      </c>
      <c r="AJ1851" s="44" t="s">
        <v>57</v>
      </c>
      <c r="AK1851" s="33">
        <v>2050</v>
      </c>
      <c r="AL1851" s="45" t="str">
        <f t="shared" si="231"/>
        <v>*0.9</v>
      </c>
      <c r="AM1851" s="43" t="str">
        <f t="shared" si="233"/>
        <v>REZoning_Sol-Win</v>
      </c>
      <c r="AP1851" t="s">
        <v>2725</v>
      </c>
      <c r="AQ1851" t="s">
        <v>57</v>
      </c>
      <c r="AR1851">
        <v>2100</v>
      </c>
      <c r="AS1851" t="s">
        <v>897</v>
      </c>
      <c r="AT1851" t="s">
        <v>58</v>
      </c>
    </row>
    <row r="1852" ht="29" spans="1:46">
      <c r="A1852" s="31" t="s">
        <v>73</v>
      </c>
      <c r="C1852" t="s">
        <v>2726</v>
      </c>
      <c r="D1852" s="5" t="s">
        <v>57</v>
      </c>
      <c r="E1852">
        <v>2035</v>
      </c>
      <c r="F1852" s="6" t="str">
        <f t="shared" si="226"/>
        <v>*0.95</v>
      </c>
      <c r="H1852" t="s">
        <v>2726</v>
      </c>
      <c r="I1852" s="5" t="s">
        <v>57</v>
      </c>
      <c r="J1852">
        <v>2050</v>
      </c>
      <c r="K1852" s="38" t="str">
        <f t="shared" si="227"/>
        <v>*0.93</v>
      </c>
      <c r="P1852" s="32" t="s">
        <v>2726</v>
      </c>
      <c r="Q1852" s="42" t="s">
        <v>57</v>
      </c>
      <c r="R1852" s="32">
        <v>2035</v>
      </c>
      <c r="S1852" s="43" t="str">
        <f t="shared" si="228"/>
        <v>*0.95</v>
      </c>
      <c r="U1852" s="32" t="s">
        <v>2726</v>
      </c>
      <c r="V1852" s="42" t="s">
        <v>57</v>
      </c>
      <c r="W1852" s="32">
        <v>2050</v>
      </c>
      <c r="X1852" s="43" t="str">
        <f t="shared" si="229"/>
        <v>*0.93</v>
      </c>
      <c r="AC1852" s="33" t="s">
        <v>2726</v>
      </c>
      <c r="AD1852" s="44" t="s">
        <v>57</v>
      </c>
      <c r="AE1852" s="33">
        <v>2035</v>
      </c>
      <c r="AF1852" s="45" t="str">
        <f t="shared" si="230"/>
        <v>*0.93</v>
      </c>
      <c r="AG1852" s="43" t="str">
        <f t="shared" si="232"/>
        <v>REZoning_Sol-Win</v>
      </c>
      <c r="AI1852" s="33" t="s">
        <v>2726</v>
      </c>
      <c r="AJ1852" s="44" t="s">
        <v>57</v>
      </c>
      <c r="AK1852" s="33">
        <v>2050</v>
      </c>
      <c r="AL1852" s="45" t="str">
        <f t="shared" si="231"/>
        <v>*0.9</v>
      </c>
      <c r="AM1852" s="43" t="str">
        <f t="shared" si="233"/>
        <v>REZoning_Sol-Win</v>
      </c>
      <c r="AP1852" t="s">
        <v>2726</v>
      </c>
      <c r="AQ1852" t="s">
        <v>57</v>
      </c>
      <c r="AR1852">
        <v>2100</v>
      </c>
      <c r="AS1852" t="s">
        <v>897</v>
      </c>
      <c r="AT1852" t="s">
        <v>58</v>
      </c>
    </row>
    <row r="1853" ht="29" spans="1:46">
      <c r="A1853" s="31" t="s">
        <v>73</v>
      </c>
      <c r="C1853" t="s">
        <v>2727</v>
      </c>
      <c r="D1853" s="5" t="s">
        <v>57</v>
      </c>
      <c r="E1853">
        <v>2035</v>
      </c>
      <c r="F1853" s="6" t="str">
        <f t="shared" si="226"/>
        <v>*0.95</v>
      </c>
      <c r="H1853" t="s">
        <v>2727</v>
      </c>
      <c r="I1853" s="5" t="s">
        <v>57</v>
      </c>
      <c r="J1853">
        <v>2050</v>
      </c>
      <c r="K1853" s="38" t="str">
        <f t="shared" si="227"/>
        <v>*0.93</v>
      </c>
      <c r="P1853" s="32" t="s">
        <v>2727</v>
      </c>
      <c r="Q1853" s="42" t="s">
        <v>57</v>
      </c>
      <c r="R1853" s="32">
        <v>2035</v>
      </c>
      <c r="S1853" s="43" t="str">
        <f t="shared" si="228"/>
        <v>*0.95</v>
      </c>
      <c r="U1853" s="32" t="s">
        <v>2727</v>
      </c>
      <c r="V1853" s="42" t="s">
        <v>57</v>
      </c>
      <c r="W1853" s="32">
        <v>2050</v>
      </c>
      <c r="X1853" s="43" t="str">
        <f t="shared" si="229"/>
        <v>*0.93</v>
      </c>
      <c r="AC1853" s="33" t="s">
        <v>2727</v>
      </c>
      <c r="AD1853" s="44" t="s">
        <v>57</v>
      </c>
      <c r="AE1853" s="33">
        <v>2035</v>
      </c>
      <c r="AF1853" s="45" t="str">
        <f t="shared" si="230"/>
        <v>*0.93</v>
      </c>
      <c r="AG1853" s="43" t="str">
        <f t="shared" si="232"/>
        <v>REZoning_Sol-Win</v>
      </c>
      <c r="AI1853" s="33" t="s">
        <v>2727</v>
      </c>
      <c r="AJ1853" s="44" t="s">
        <v>57</v>
      </c>
      <c r="AK1853" s="33">
        <v>2050</v>
      </c>
      <c r="AL1853" s="45" t="str">
        <f t="shared" si="231"/>
        <v>*0.9</v>
      </c>
      <c r="AM1853" s="43" t="str">
        <f t="shared" si="233"/>
        <v>REZoning_Sol-Win</v>
      </c>
      <c r="AP1853" t="s">
        <v>2727</v>
      </c>
      <c r="AQ1853" t="s">
        <v>57</v>
      </c>
      <c r="AR1853">
        <v>2100</v>
      </c>
      <c r="AS1853" t="s">
        <v>897</v>
      </c>
      <c r="AT1853" t="s">
        <v>58</v>
      </c>
    </row>
    <row r="1854" ht="29" spans="1:46">
      <c r="A1854" s="31" t="s">
        <v>73</v>
      </c>
      <c r="C1854" t="s">
        <v>2728</v>
      </c>
      <c r="D1854" s="5" t="s">
        <v>57</v>
      </c>
      <c r="E1854">
        <v>2035</v>
      </c>
      <c r="F1854" s="6" t="str">
        <f t="shared" si="226"/>
        <v>*0.95</v>
      </c>
      <c r="H1854" t="s">
        <v>2728</v>
      </c>
      <c r="I1854" s="5" t="s">
        <v>57</v>
      </c>
      <c r="J1854">
        <v>2050</v>
      </c>
      <c r="K1854" s="38" t="str">
        <f t="shared" si="227"/>
        <v>*0.93</v>
      </c>
      <c r="P1854" s="32" t="s">
        <v>2728</v>
      </c>
      <c r="Q1854" s="42" t="s">
        <v>57</v>
      </c>
      <c r="R1854" s="32">
        <v>2035</v>
      </c>
      <c r="S1854" s="43" t="str">
        <f t="shared" si="228"/>
        <v>*0.95</v>
      </c>
      <c r="U1854" s="32" t="s">
        <v>2728</v>
      </c>
      <c r="V1854" s="42" t="s">
        <v>57</v>
      </c>
      <c r="W1854" s="32">
        <v>2050</v>
      </c>
      <c r="X1854" s="43" t="str">
        <f t="shared" si="229"/>
        <v>*0.93</v>
      </c>
      <c r="AC1854" s="33" t="s">
        <v>2728</v>
      </c>
      <c r="AD1854" s="44" t="s">
        <v>57</v>
      </c>
      <c r="AE1854" s="33">
        <v>2035</v>
      </c>
      <c r="AF1854" s="45" t="str">
        <f t="shared" si="230"/>
        <v>*0.93</v>
      </c>
      <c r="AG1854" s="43" t="str">
        <f t="shared" si="232"/>
        <v>REZoning_Sol-Win</v>
      </c>
      <c r="AI1854" s="33" t="s">
        <v>2728</v>
      </c>
      <c r="AJ1854" s="44" t="s">
        <v>57</v>
      </c>
      <c r="AK1854" s="33">
        <v>2050</v>
      </c>
      <c r="AL1854" s="45" t="str">
        <f t="shared" si="231"/>
        <v>*0.9</v>
      </c>
      <c r="AM1854" s="43" t="str">
        <f t="shared" si="233"/>
        <v>REZoning_Sol-Win</v>
      </c>
      <c r="AP1854" t="s">
        <v>2728</v>
      </c>
      <c r="AQ1854" t="s">
        <v>57</v>
      </c>
      <c r="AR1854">
        <v>2100</v>
      </c>
      <c r="AS1854" t="s">
        <v>897</v>
      </c>
      <c r="AT1854" t="s">
        <v>58</v>
      </c>
    </row>
    <row r="1855" ht="29" spans="1:46">
      <c r="A1855" s="31" t="s">
        <v>73</v>
      </c>
      <c r="C1855" t="s">
        <v>2729</v>
      </c>
      <c r="D1855" s="5" t="s">
        <v>57</v>
      </c>
      <c r="E1855">
        <v>2035</v>
      </c>
      <c r="F1855" s="6" t="str">
        <f t="shared" si="226"/>
        <v>*0.95</v>
      </c>
      <c r="H1855" t="s">
        <v>2729</v>
      </c>
      <c r="I1855" s="5" t="s">
        <v>57</v>
      </c>
      <c r="J1855">
        <v>2050</v>
      </c>
      <c r="K1855" s="38" t="str">
        <f t="shared" si="227"/>
        <v>*0.93</v>
      </c>
      <c r="P1855" s="32" t="s">
        <v>2729</v>
      </c>
      <c r="Q1855" s="42" t="s">
        <v>57</v>
      </c>
      <c r="R1855" s="32">
        <v>2035</v>
      </c>
      <c r="S1855" s="43" t="str">
        <f t="shared" si="228"/>
        <v>*0.95</v>
      </c>
      <c r="U1855" s="32" t="s">
        <v>2729</v>
      </c>
      <c r="V1855" s="42" t="s">
        <v>57</v>
      </c>
      <c r="W1855" s="32">
        <v>2050</v>
      </c>
      <c r="X1855" s="43" t="str">
        <f t="shared" si="229"/>
        <v>*0.93</v>
      </c>
      <c r="AC1855" s="33" t="s">
        <v>2729</v>
      </c>
      <c r="AD1855" s="44" t="s">
        <v>57</v>
      </c>
      <c r="AE1855" s="33">
        <v>2035</v>
      </c>
      <c r="AF1855" s="45" t="str">
        <f t="shared" si="230"/>
        <v>*0.93</v>
      </c>
      <c r="AG1855" s="43" t="str">
        <f t="shared" si="232"/>
        <v>REZoning_Sol-Win</v>
      </c>
      <c r="AI1855" s="33" t="s">
        <v>2729</v>
      </c>
      <c r="AJ1855" s="44" t="s">
        <v>57</v>
      </c>
      <c r="AK1855" s="33">
        <v>2050</v>
      </c>
      <c r="AL1855" s="45" t="str">
        <f t="shared" si="231"/>
        <v>*0.9</v>
      </c>
      <c r="AM1855" s="43" t="str">
        <f t="shared" si="233"/>
        <v>REZoning_Sol-Win</v>
      </c>
      <c r="AP1855" t="s">
        <v>2729</v>
      </c>
      <c r="AQ1855" t="s">
        <v>57</v>
      </c>
      <c r="AR1855">
        <v>2100</v>
      </c>
      <c r="AS1855" t="s">
        <v>897</v>
      </c>
      <c r="AT1855" t="s">
        <v>58</v>
      </c>
    </row>
    <row r="1856" ht="29" spans="1:46">
      <c r="A1856" s="31" t="s">
        <v>73</v>
      </c>
      <c r="C1856" t="s">
        <v>2730</v>
      </c>
      <c r="D1856" s="5" t="s">
        <v>57</v>
      </c>
      <c r="E1856">
        <v>2035</v>
      </c>
      <c r="F1856" s="6" t="str">
        <f t="shared" si="226"/>
        <v>*0.95</v>
      </c>
      <c r="H1856" t="s">
        <v>2730</v>
      </c>
      <c r="I1856" s="5" t="s">
        <v>57</v>
      </c>
      <c r="J1856">
        <v>2050</v>
      </c>
      <c r="K1856" s="38" t="str">
        <f t="shared" si="227"/>
        <v>*0.93</v>
      </c>
      <c r="P1856" s="32" t="s">
        <v>2730</v>
      </c>
      <c r="Q1856" s="42" t="s">
        <v>57</v>
      </c>
      <c r="R1856" s="32">
        <v>2035</v>
      </c>
      <c r="S1856" s="43" t="str">
        <f t="shared" si="228"/>
        <v>*0.95</v>
      </c>
      <c r="U1856" s="32" t="s">
        <v>2730</v>
      </c>
      <c r="V1856" s="42" t="s">
        <v>57</v>
      </c>
      <c r="W1856" s="32">
        <v>2050</v>
      </c>
      <c r="X1856" s="43" t="str">
        <f t="shared" si="229"/>
        <v>*0.93</v>
      </c>
      <c r="AC1856" s="33" t="s">
        <v>2730</v>
      </c>
      <c r="AD1856" s="44" t="s">
        <v>57</v>
      </c>
      <c r="AE1856" s="33">
        <v>2035</v>
      </c>
      <c r="AF1856" s="45" t="str">
        <f t="shared" si="230"/>
        <v>*0.93</v>
      </c>
      <c r="AG1856" s="43" t="str">
        <f t="shared" si="232"/>
        <v>REZoning_Sol-Win</v>
      </c>
      <c r="AI1856" s="33" t="s">
        <v>2730</v>
      </c>
      <c r="AJ1856" s="44" t="s">
        <v>57</v>
      </c>
      <c r="AK1856" s="33">
        <v>2050</v>
      </c>
      <c r="AL1856" s="45" t="str">
        <f t="shared" si="231"/>
        <v>*0.9</v>
      </c>
      <c r="AM1856" s="43" t="str">
        <f t="shared" si="233"/>
        <v>REZoning_Sol-Win</v>
      </c>
      <c r="AP1856" t="s">
        <v>2730</v>
      </c>
      <c r="AQ1856" t="s">
        <v>57</v>
      </c>
      <c r="AR1856">
        <v>2100</v>
      </c>
      <c r="AS1856" t="s">
        <v>897</v>
      </c>
      <c r="AT1856" t="s">
        <v>58</v>
      </c>
    </row>
    <row r="1857" ht="29" spans="1:46">
      <c r="A1857" s="31" t="s">
        <v>73</v>
      </c>
      <c r="C1857" t="s">
        <v>2731</v>
      </c>
      <c r="D1857" s="5" t="s">
        <v>57</v>
      </c>
      <c r="E1857">
        <v>2035</v>
      </c>
      <c r="F1857" s="6" t="str">
        <f t="shared" si="226"/>
        <v>*0.95</v>
      </c>
      <c r="H1857" t="s">
        <v>2731</v>
      </c>
      <c r="I1857" s="5" t="s">
        <v>57</v>
      </c>
      <c r="J1857">
        <v>2050</v>
      </c>
      <c r="K1857" s="38" t="str">
        <f t="shared" si="227"/>
        <v>*0.93</v>
      </c>
      <c r="P1857" s="32" t="s">
        <v>2731</v>
      </c>
      <c r="Q1857" s="42" t="s">
        <v>57</v>
      </c>
      <c r="R1857" s="32">
        <v>2035</v>
      </c>
      <c r="S1857" s="43" t="str">
        <f t="shared" si="228"/>
        <v>*0.95</v>
      </c>
      <c r="U1857" s="32" t="s">
        <v>2731</v>
      </c>
      <c r="V1857" s="42" t="s">
        <v>57</v>
      </c>
      <c r="W1857" s="32">
        <v>2050</v>
      </c>
      <c r="X1857" s="43" t="str">
        <f t="shared" si="229"/>
        <v>*0.93</v>
      </c>
      <c r="AC1857" s="33" t="s">
        <v>2731</v>
      </c>
      <c r="AD1857" s="44" t="s">
        <v>57</v>
      </c>
      <c r="AE1857" s="33">
        <v>2035</v>
      </c>
      <c r="AF1857" s="45" t="str">
        <f t="shared" si="230"/>
        <v>*0.93</v>
      </c>
      <c r="AG1857" s="43" t="str">
        <f t="shared" si="232"/>
        <v>REZoning_Sol-Win</v>
      </c>
      <c r="AI1857" s="33" t="s">
        <v>2731</v>
      </c>
      <c r="AJ1857" s="44" t="s">
        <v>57</v>
      </c>
      <c r="AK1857" s="33">
        <v>2050</v>
      </c>
      <c r="AL1857" s="45" t="str">
        <f t="shared" si="231"/>
        <v>*0.9</v>
      </c>
      <c r="AM1857" s="43" t="str">
        <f t="shared" si="233"/>
        <v>REZoning_Sol-Win</v>
      </c>
      <c r="AP1857" t="s">
        <v>2731</v>
      </c>
      <c r="AQ1857" t="s">
        <v>57</v>
      </c>
      <c r="AR1857">
        <v>2100</v>
      </c>
      <c r="AS1857" t="s">
        <v>897</v>
      </c>
      <c r="AT1857" t="s">
        <v>58</v>
      </c>
    </row>
    <row r="1858" ht="29" spans="1:46">
      <c r="A1858" s="31" t="s">
        <v>73</v>
      </c>
      <c r="C1858" t="s">
        <v>2732</v>
      </c>
      <c r="D1858" s="5" t="s">
        <v>57</v>
      </c>
      <c r="E1858">
        <v>2035</v>
      </c>
      <c r="F1858" s="6" t="str">
        <f t="shared" si="226"/>
        <v>*0.95</v>
      </c>
      <c r="H1858" t="s">
        <v>2732</v>
      </c>
      <c r="I1858" s="5" t="s">
        <v>57</v>
      </c>
      <c r="J1858">
        <v>2050</v>
      </c>
      <c r="K1858" s="38" t="str">
        <f t="shared" si="227"/>
        <v>*0.93</v>
      </c>
      <c r="P1858" s="32" t="s">
        <v>2732</v>
      </c>
      <c r="Q1858" s="42" t="s">
        <v>57</v>
      </c>
      <c r="R1858" s="32">
        <v>2035</v>
      </c>
      <c r="S1858" s="43" t="str">
        <f t="shared" si="228"/>
        <v>*0.95</v>
      </c>
      <c r="U1858" s="32" t="s">
        <v>2732</v>
      </c>
      <c r="V1858" s="42" t="s">
        <v>57</v>
      </c>
      <c r="W1858" s="32">
        <v>2050</v>
      </c>
      <c r="X1858" s="43" t="str">
        <f t="shared" si="229"/>
        <v>*0.93</v>
      </c>
      <c r="AC1858" s="33" t="s">
        <v>2732</v>
      </c>
      <c r="AD1858" s="44" t="s">
        <v>57</v>
      </c>
      <c r="AE1858" s="33">
        <v>2035</v>
      </c>
      <c r="AF1858" s="45" t="str">
        <f t="shared" si="230"/>
        <v>*0.93</v>
      </c>
      <c r="AG1858" s="43" t="str">
        <f t="shared" si="232"/>
        <v>REZoning_Sol-Win</v>
      </c>
      <c r="AI1858" s="33" t="s">
        <v>2732</v>
      </c>
      <c r="AJ1858" s="44" t="s">
        <v>57</v>
      </c>
      <c r="AK1858" s="33">
        <v>2050</v>
      </c>
      <c r="AL1858" s="45" t="str">
        <f t="shared" si="231"/>
        <v>*0.9</v>
      </c>
      <c r="AM1858" s="43" t="str">
        <f t="shared" si="233"/>
        <v>REZoning_Sol-Win</v>
      </c>
      <c r="AP1858" t="s">
        <v>2732</v>
      </c>
      <c r="AQ1858" t="s">
        <v>57</v>
      </c>
      <c r="AR1858">
        <v>2100</v>
      </c>
      <c r="AS1858" t="s">
        <v>897</v>
      </c>
      <c r="AT1858" t="s">
        <v>58</v>
      </c>
    </row>
    <row r="1859" ht="29" spans="1:46">
      <c r="A1859" s="31" t="s">
        <v>73</v>
      </c>
      <c r="C1859" t="s">
        <v>2733</v>
      </c>
      <c r="D1859" s="5" t="s">
        <v>57</v>
      </c>
      <c r="E1859">
        <v>2035</v>
      </c>
      <c r="F1859" s="6" t="str">
        <f t="shared" si="226"/>
        <v>*0.95</v>
      </c>
      <c r="H1859" t="s">
        <v>2733</v>
      </c>
      <c r="I1859" s="5" t="s">
        <v>57</v>
      </c>
      <c r="J1859">
        <v>2050</v>
      </c>
      <c r="K1859" s="38" t="str">
        <f t="shared" si="227"/>
        <v>*0.93</v>
      </c>
      <c r="P1859" s="32" t="s">
        <v>2733</v>
      </c>
      <c r="Q1859" s="42" t="s">
        <v>57</v>
      </c>
      <c r="R1859" s="32">
        <v>2035</v>
      </c>
      <c r="S1859" s="43" t="str">
        <f t="shared" si="228"/>
        <v>*0.95</v>
      </c>
      <c r="U1859" s="32" t="s">
        <v>2733</v>
      </c>
      <c r="V1859" s="42" t="s">
        <v>57</v>
      </c>
      <c r="W1859" s="32">
        <v>2050</v>
      </c>
      <c r="X1859" s="43" t="str">
        <f t="shared" si="229"/>
        <v>*0.93</v>
      </c>
      <c r="AC1859" s="33" t="s">
        <v>2733</v>
      </c>
      <c r="AD1859" s="44" t="s">
        <v>57</v>
      </c>
      <c r="AE1859" s="33">
        <v>2035</v>
      </c>
      <c r="AF1859" s="45" t="str">
        <f t="shared" si="230"/>
        <v>*0.93</v>
      </c>
      <c r="AG1859" s="43" t="str">
        <f t="shared" si="232"/>
        <v>REZoning_Sol-Win</v>
      </c>
      <c r="AI1859" s="33" t="s">
        <v>2733</v>
      </c>
      <c r="AJ1859" s="44" t="s">
        <v>57</v>
      </c>
      <c r="AK1859" s="33">
        <v>2050</v>
      </c>
      <c r="AL1859" s="45" t="str">
        <f t="shared" si="231"/>
        <v>*0.9</v>
      </c>
      <c r="AM1859" s="43" t="str">
        <f t="shared" si="233"/>
        <v>REZoning_Sol-Win</v>
      </c>
      <c r="AP1859" t="s">
        <v>2733</v>
      </c>
      <c r="AQ1859" t="s">
        <v>57</v>
      </c>
      <c r="AR1859">
        <v>2100</v>
      </c>
      <c r="AS1859" t="s">
        <v>897</v>
      </c>
      <c r="AT1859" t="s">
        <v>58</v>
      </c>
    </row>
    <row r="1860" ht="29" spans="1:46">
      <c r="A1860" s="31" t="s">
        <v>73</v>
      </c>
      <c r="C1860" t="s">
        <v>2734</v>
      </c>
      <c r="D1860" s="5" t="s">
        <v>57</v>
      </c>
      <c r="E1860">
        <v>2035</v>
      </c>
      <c r="F1860" s="6" t="str">
        <f t="shared" ref="F1860:F1923" si="234">"*"&amp;IF(AND(A1860="EU",E1860=2035),0.95,IF(AND(A1860="EU",E1860=2050),0.93,IF(AND(A1860="USA",E1860=2035),0.96,IF(AND(A1860="USA",E1860=2050),0.94,IF(AND(A1860="Japan",E1860=2035),0.94,IF(AND(A1860="Japan",E1860=2050),0.92,IF(AND(A1860="Russia",E1860=2035),0.95,IF(AND(A1860="Russia",E1860=2050),0.93,IF(AND(A1860="China",E1860=2035),0.94,IF(AND(A1860="China",E1860=2050),0.92,IF(AND(A1860="India",E1860=2035),0.95,IF(AND(A1860="India",E1860=2050),0.92,IF(AND(A1860="Middle East",E1860=2035),0.94,IF(AND(A1860="Middle East",E1860=2050),0.9,IF(AND(A1860="Africa",E1860=2035),0.94,IF(AND(A1860="Africa",E1860=2050),0.91,IF(AND(A1860="Brazil",E1860=2035),0.95,IF(AND(A1860="Brazil",E1860=2050),0.92,""))))))))))))))))))</f>
        <v>*0.95</v>
      </c>
      <c r="H1860" t="s">
        <v>2734</v>
      </c>
      <c r="I1860" s="5" t="s">
        <v>57</v>
      </c>
      <c r="J1860">
        <v>2050</v>
      </c>
      <c r="K1860" s="38" t="str">
        <f t="shared" ref="K1860:K1923" si="235">"*"&amp;IF(AND(A1860="EU",J1860=2035),0.95,IF(AND(A1860="EU",J1860=2050),0.93,IF(AND(A1860="USA",J1860=2035),0.96,IF(AND(A1860="USA",J1860=2050),0.94,IF(AND(A1860="Japan",J1860=2035),0.94,IF(AND(A1860="Japan",J1860=2050),0.92,IF(AND(A1860="Russia",J1860=2035),0.95,IF(AND(A1860="Russia",J1860=2050),0.93,IF(AND(A1860="China",J1860=2035),0.94,IF(AND(A1860="China",J1860=2050),0.92,IF(AND(A1860="India",J1860=2035),0.95,IF(AND(A1860="India",J1860=2050),0.92,IF(AND(A1860="Middle East",J1860=2035),0.94,IF(AND(A1860="Middle East",J1860=2050),0.9,IF(AND(A1860="Africa",J1860=2035),0.94,IF(AND(A1860="Africa",J1860=2050),0.91,IF(AND(A1860="Brazil",J1860=2035),0.95,IF(AND(A1860="Brazil",J1860=2050),0.92,""))))))))))))))))))</f>
        <v>*0.93</v>
      </c>
      <c r="P1860" s="32" t="s">
        <v>2734</v>
      </c>
      <c r="Q1860" s="42" t="s">
        <v>57</v>
      </c>
      <c r="R1860" s="32">
        <v>2035</v>
      </c>
      <c r="S1860" s="43" t="str">
        <f t="shared" ref="S1860:S1923" si="236">"*"&amp;IF(AND(A1860="EU",R1860=2035),0.95,IF(AND(A1860="EU",R1860=2050),0.93,IF(AND(A1860="USA",R1860=2035),0.96,IF(AND(A1860="USA",R1860=2050),0.93,IF(AND(A1860="Japan",R1860=2035),0.94,IF(AND(A1860="Japan",R1860=2050),0.92,IF(AND(A1860="Russia",R1860=2035),0.95,IF(AND(A1860="Russia",R1860=2050),0.91,IF(AND(A1860="China",R1860=2035),0.93,IF(AND(A1860="China",R1860=2050),0.92,IF(AND(A1860="India",R1860=2035),0.94,IF(AND(A1860="India",R1860=2050),0.91,IF(AND(A1860="Middle East",R1860=2035),0.92,IF(AND(A1860="Middle East",R1860=2050),0.89,IF(AND(A1860="Africa",R1860=2035),0.93,IF(AND(A1860="Africa",R1860=2050),0.9,IF(AND(A1860="Brazil",R1860=2035),0.95,IF(AND(A1860="Brazil",R1860=2050),0.92,""))))))))))))))))))</f>
        <v>*0.95</v>
      </c>
      <c r="U1860" s="32" t="s">
        <v>2734</v>
      </c>
      <c r="V1860" s="42" t="s">
        <v>57</v>
      </c>
      <c r="W1860" s="32">
        <v>2050</v>
      </c>
      <c r="X1860" s="43" t="str">
        <f t="shared" ref="X1860:X1923" si="237">"*"&amp;IF(AND(A1860="EU",W1860=2035),0.95,IF(AND(A1860="EU",W1860=2050),0.93,IF(AND(A1860="USA",W1860=2035),0.96,IF(AND(A1860="USA",W1860=2050),0.93,IF(AND(A1860="Japan",W1860=2035),0.94,IF(AND(A1860="Japan",W1860=2050),0.92,IF(AND(A1860="Russia",W1860=2035),0.95,IF(AND(A1860="Russia",W1860=2050),0.91,IF(AND(A1860="China",W1860=2035),0.93,IF(AND(A1860="China",W1860=2050),0.92,IF(AND(A1860="India",W1860=2035),0.94,IF(AND(A1860="India",W1860=2050),0.91,IF(AND(A1860="Middle East",W1860=2035),0.92,IF(AND(A1860="Middle East",W1860=2050),0.89,IF(AND(A1860="Africa",W1860=2035),0.93,IF(AND(A1860="Africa",W1860=2050),0.9,IF(AND(A1860="Brazil",W1860=2035),0.95,IF(AND(A1860="Brazil",W1860=2050),0.92,""))))))))))))))))))</f>
        <v>*0.93</v>
      </c>
      <c r="AC1860" s="33" t="s">
        <v>2734</v>
      </c>
      <c r="AD1860" s="44" t="s">
        <v>57</v>
      </c>
      <c r="AE1860" s="33">
        <v>2035</v>
      </c>
      <c r="AF1860" s="45" t="str">
        <f t="shared" ref="AF1860:AF1923" si="238">"*"&amp;IF(AND(A1860="EU",AE1860=2035),0.93,IF(AND(A1860="EU",AE1860=2050),0.9,IF(AND(A1860="USA",AE1860=2035),0.92,IF(AND(A1860="USA",AE1860=2050),0.89,IF(AND(A1860="Japan",AE1860=2035),0.92,IF(AND(A1860="Japan",AE1860=2050),0.89,IF(AND(A1860="Russia",AE1860=2035),0.91,IF(AND(A1860="Russia",AE1860=2050),0.86,IF(AND(A1860="China",AE1860=2035),0.91,IF(AND(A1860="China",AE1860=2050),0.87,IF(AND(A1860="India",AE1860=2035),0.92,IF(AND(A1860="India",AE1860=2050),0.87,IF(AND(A1860="Middle East",AE1860=2035),0.89,IF(AND(A1860="Middle East",AE1860=2050),0.84,IF(AND(A1860="Africa",AE1860=2035),0.9,IF(AND(A1860="Africa",AE1860=2050),0.86,IF(AND(A1860="Brazil",AE1860=2035),0.93,IF(AND(A1860="Brazil",AE1860=2050),0.89,""))))))))))))))))))</f>
        <v>*0.93</v>
      </c>
      <c r="AG1860" s="43" t="str">
        <f t="shared" si="232"/>
        <v>REZoning_Sol-Win</v>
      </c>
      <c r="AI1860" s="33" t="s">
        <v>2734</v>
      </c>
      <c r="AJ1860" s="44" t="s">
        <v>57</v>
      </c>
      <c r="AK1860" s="33">
        <v>2050</v>
      </c>
      <c r="AL1860" s="45" t="str">
        <f t="shared" ref="AL1860:AL1923" si="239">"*"&amp;IF(AND(A1860="EU",AK1860=2035),0.93,IF(AND(A1860="EU",AK1860=2050),0.9,IF(AND(A1860="USA",AK1860=2035),0.92,IF(AND(A1860="USA",AK1860=2050),0.89,IF(AND(A1860="Japan",AK1860=2035),0.92,IF(AND(A1860="Japan",AK1860=2050),0.89,IF(AND(A1860="Russia",AK1860=2035),0.91,IF(AND(A1860="Russia",AK1860=2050),0.86,IF(AND(A1860="China",AK1860=2035),0.91,IF(AND(A1860="China",AK1860=2050),0.87,IF(AND(A1860="India",AK1860=2035),0.92,IF(AND(A1860="India",AK1860=2050),0.87,IF(AND(A1860="Middle East",AK1860=2035),0.89,IF(AND(A1860="Middle East",AK1860=2050),0.84,IF(AND(A1860="Africa",AK1860=2035),0.9,IF(AND(A1860="Africa",AK1860=2050),0.86,IF(AND(A1860="Brazil",AK1860=2035),0.93,IF(AND(A1860="Brazil",AK1860=2050),0.89,""))))))))))))))))))</f>
        <v>*0.9</v>
      </c>
      <c r="AM1860" s="43" t="str">
        <f t="shared" si="233"/>
        <v>REZoning_Sol-Win</v>
      </c>
      <c r="AP1860" t="s">
        <v>2734</v>
      </c>
      <c r="AQ1860" t="s">
        <v>57</v>
      </c>
      <c r="AR1860">
        <v>2100</v>
      </c>
      <c r="AS1860" t="s">
        <v>897</v>
      </c>
      <c r="AT1860" t="s">
        <v>58</v>
      </c>
    </row>
    <row r="1861" ht="29" spans="1:46">
      <c r="A1861" s="31" t="s">
        <v>73</v>
      </c>
      <c r="C1861" t="s">
        <v>2735</v>
      </c>
      <c r="D1861" s="5" t="s">
        <v>57</v>
      </c>
      <c r="E1861">
        <v>2035</v>
      </c>
      <c r="F1861" s="6" t="str">
        <f t="shared" si="234"/>
        <v>*0.95</v>
      </c>
      <c r="H1861" t="s">
        <v>2735</v>
      </c>
      <c r="I1861" s="5" t="s">
        <v>57</v>
      </c>
      <c r="J1861">
        <v>2050</v>
      </c>
      <c r="K1861" s="38" t="str">
        <f t="shared" si="235"/>
        <v>*0.93</v>
      </c>
      <c r="P1861" s="32" t="s">
        <v>2735</v>
      </c>
      <c r="Q1861" s="42" t="s">
        <v>57</v>
      </c>
      <c r="R1861" s="32">
        <v>2035</v>
      </c>
      <c r="S1861" s="43" t="str">
        <f t="shared" si="236"/>
        <v>*0.95</v>
      </c>
      <c r="U1861" s="32" t="s">
        <v>2735</v>
      </c>
      <c r="V1861" s="42" t="s">
        <v>57</v>
      </c>
      <c r="W1861" s="32">
        <v>2050</v>
      </c>
      <c r="X1861" s="43" t="str">
        <f t="shared" si="237"/>
        <v>*0.93</v>
      </c>
      <c r="AC1861" s="33" t="s">
        <v>2735</v>
      </c>
      <c r="AD1861" s="44" t="s">
        <v>57</v>
      </c>
      <c r="AE1861" s="33">
        <v>2035</v>
      </c>
      <c r="AF1861" s="45" t="str">
        <f t="shared" si="238"/>
        <v>*0.93</v>
      </c>
      <c r="AG1861" s="43" t="str">
        <f t="shared" si="232"/>
        <v>REZoning_Sol-Win</v>
      </c>
      <c r="AI1861" s="33" t="s">
        <v>2735</v>
      </c>
      <c r="AJ1861" s="44" t="s">
        <v>57</v>
      </c>
      <c r="AK1861" s="33">
        <v>2050</v>
      </c>
      <c r="AL1861" s="45" t="str">
        <f t="shared" si="239"/>
        <v>*0.9</v>
      </c>
      <c r="AM1861" s="43" t="str">
        <f t="shared" si="233"/>
        <v>REZoning_Sol-Win</v>
      </c>
      <c r="AP1861" t="s">
        <v>2735</v>
      </c>
      <c r="AQ1861" t="s">
        <v>57</v>
      </c>
      <c r="AR1861">
        <v>2100</v>
      </c>
      <c r="AS1861" t="s">
        <v>897</v>
      </c>
      <c r="AT1861" t="s">
        <v>58</v>
      </c>
    </row>
    <row r="1862" ht="29" spans="1:46">
      <c r="A1862" s="31" t="s">
        <v>73</v>
      </c>
      <c r="C1862" t="s">
        <v>2736</v>
      </c>
      <c r="D1862" s="5" t="s">
        <v>57</v>
      </c>
      <c r="E1862">
        <v>2035</v>
      </c>
      <c r="F1862" s="6" t="str">
        <f t="shared" si="234"/>
        <v>*0.95</v>
      </c>
      <c r="H1862" t="s">
        <v>2736</v>
      </c>
      <c r="I1862" s="5" t="s">
        <v>57</v>
      </c>
      <c r="J1862">
        <v>2050</v>
      </c>
      <c r="K1862" s="38" t="str">
        <f t="shared" si="235"/>
        <v>*0.93</v>
      </c>
      <c r="P1862" s="32" t="s">
        <v>2736</v>
      </c>
      <c r="Q1862" s="42" t="s">
        <v>57</v>
      </c>
      <c r="R1862" s="32">
        <v>2035</v>
      </c>
      <c r="S1862" s="43" t="str">
        <f t="shared" si="236"/>
        <v>*0.95</v>
      </c>
      <c r="U1862" s="32" t="s">
        <v>2736</v>
      </c>
      <c r="V1862" s="42" t="s">
        <v>57</v>
      </c>
      <c r="W1862" s="32">
        <v>2050</v>
      </c>
      <c r="X1862" s="43" t="str">
        <f t="shared" si="237"/>
        <v>*0.93</v>
      </c>
      <c r="AC1862" s="33" t="s">
        <v>2736</v>
      </c>
      <c r="AD1862" s="44" t="s">
        <v>57</v>
      </c>
      <c r="AE1862" s="33">
        <v>2035</v>
      </c>
      <c r="AF1862" s="45" t="str">
        <f t="shared" si="238"/>
        <v>*0.93</v>
      </c>
      <c r="AG1862" s="43" t="str">
        <f t="shared" si="232"/>
        <v>REZoning_Sol-Win</v>
      </c>
      <c r="AI1862" s="33" t="s">
        <v>2736</v>
      </c>
      <c r="AJ1862" s="44" t="s">
        <v>57</v>
      </c>
      <c r="AK1862" s="33">
        <v>2050</v>
      </c>
      <c r="AL1862" s="45" t="str">
        <f t="shared" si="239"/>
        <v>*0.9</v>
      </c>
      <c r="AM1862" s="43" t="str">
        <f t="shared" si="233"/>
        <v>REZoning_Sol-Win</v>
      </c>
      <c r="AP1862" t="s">
        <v>2736</v>
      </c>
      <c r="AQ1862" t="s">
        <v>57</v>
      </c>
      <c r="AR1862">
        <v>2100</v>
      </c>
      <c r="AS1862" t="s">
        <v>897</v>
      </c>
      <c r="AT1862" t="s">
        <v>58</v>
      </c>
    </row>
    <row r="1863" ht="29" spans="1:46">
      <c r="A1863" s="31" t="s">
        <v>73</v>
      </c>
      <c r="C1863" t="s">
        <v>2737</v>
      </c>
      <c r="D1863" s="5" t="s">
        <v>57</v>
      </c>
      <c r="E1863">
        <v>2035</v>
      </c>
      <c r="F1863" s="6" t="str">
        <f t="shared" si="234"/>
        <v>*0.95</v>
      </c>
      <c r="H1863" t="s">
        <v>2737</v>
      </c>
      <c r="I1863" s="5" t="s">
        <v>57</v>
      </c>
      <c r="J1863">
        <v>2050</v>
      </c>
      <c r="K1863" s="38" t="str">
        <f t="shared" si="235"/>
        <v>*0.93</v>
      </c>
      <c r="P1863" s="32" t="s">
        <v>2737</v>
      </c>
      <c r="Q1863" s="42" t="s">
        <v>57</v>
      </c>
      <c r="R1863" s="32">
        <v>2035</v>
      </c>
      <c r="S1863" s="43" t="str">
        <f t="shared" si="236"/>
        <v>*0.95</v>
      </c>
      <c r="U1863" s="32" t="s">
        <v>2737</v>
      </c>
      <c r="V1863" s="42" t="s">
        <v>57</v>
      </c>
      <c r="W1863" s="32">
        <v>2050</v>
      </c>
      <c r="X1863" s="43" t="str">
        <f t="shared" si="237"/>
        <v>*0.93</v>
      </c>
      <c r="AC1863" s="33" t="s">
        <v>2737</v>
      </c>
      <c r="AD1863" s="44" t="s">
        <v>57</v>
      </c>
      <c r="AE1863" s="33">
        <v>2035</v>
      </c>
      <c r="AF1863" s="45" t="str">
        <f t="shared" si="238"/>
        <v>*0.93</v>
      </c>
      <c r="AG1863" s="43" t="str">
        <f t="shared" si="232"/>
        <v>REZoning_Sol-Win</v>
      </c>
      <c r="AI1863" s="33" t="s">
        <v>2737</v>
      </c>
      <c r="AJ1863" s="44" t="s">
        <v>57</v>
      </c>
      <c r="AK1863" s="33">
        <v>2050</v>
      </c>
      <c r="AL1863" s="45" t="str">
        <f t="shared" si="239"/>
        <v>*0.9</v>
      </c>
      <c r="AM1863" s="43" t="str">
        <f t="shared" si="233"/>
        <v>REZoning_Sol-Win</v>
      </c>
      <c r="AP1863" t="s">
        <v>2737</v>
      </c>
      <c r="AQ1863" t="s">
        <v>57</v>
      </c>
      <c r="AR1863">
        <v>2100</v>
      </c>
      <c r="AS1863" t="s">
        <v>897</v>
      </c>
      <c r="AT1863" t="s">
        <v>58</v>
      </c>
    </row>
    <row r="1864" ht="29" spans="1:46">
      <c r="A1864" s="31" t="s">
        <v>83</v>
      </c>
      <c r="C1864" t="s">
        <v>2738</v>
      </c>
      <c r="D1864" s="5" t="s">
        <v>57</v>
      </c>
      <c r="E1864">
        <v>2035</v>
      </c>
      <c r="F1864" s="6" t="str">
        <f t="shared" si="234"/>
        <v>*0.95</v>
      </c>
      <c r="H1864" t="s">
        <v>2738</v>
      </c>
      <c r="I1864" s="5" t="s">
        <v>57</v>
      </c>
      <c r="J1864">
        <v>2050</v>
      </c>
      <c r="K1864" s="38" t="str">
        <f t="shared" si="235"/>
        <v>*0.92</v>
      </c>
      <c r="P1864" s="32" t="s">
        <v>2738</v>
      </c>
      <c r="Q1864" s="42" t="s">
        <v>57</v>
      </c>
      <c r="R1864" s="32">
        <v>2035</v>
      </c>
      <c r="S1864" s="43" t="str">
        <f t="shared" si="236"/>
        <v>*0.95</v>
      </c>
      <c r="U1864" s="32" t="s">
        <v>2738</v>
      </c>
      <c r="V1864" s="42" t="s">
        <v>57</v>
      </c>
      <c r="W1864" s="32">
        <v>2050</v>
      </c>
      <c r="X1864" s="43" t="str">
        <f t="shared" si="237"/>
        <v>*0.92</v>
      </c>
      <c r="AC1864" s="33" t="s">
        <v>2738</v>
      </c>
      <c r="AD1864" s="44" t="s">
        <v>57</v>
      </c>
      <c r="AE1864" s="33">
        <v>2035</v>
      </c>
      <c r="AF1864" s="45" t="str">
        <f t="shared" si="238"/>
        <v>*0.93</v>
      </c>
      <c r="AG1864" s="43" t="str">
        <f t="shared" si="232"/>
        <v>REZoning_Sol-Win</v>
      </c>
      <c r="AI1864" s="33" t="s">
        <v>2738</v>
      </c>
      <c r="AJ1864" s="44" t="s">
        <v>57</v>
      </c>
      <c r="AK1864" s="33">
        <v>2050</v>
      </c>
      <c r="AL1864" s="45" t="str">
        <f t="shared" si="239"/>
        <v>*0.89</v>
      </c>
      <c r="AM1864" s="43" t="str">
        <f t="shared" si="233"/>
        <v>REZoning_Sol-Win</v>
      </c>
      <c r="AP1864" t="s">
        <v>2738</v>
      </c>
      <c r="AQ1864" t="s">
        <v>57</v>
      </c>
      <c r="AR1864">
        <v>2100</v>
      </c>
      <c r="AS1864" t="s">
        <v>937</v>
      </c>
      <c r="AT1864" t="s">
        <v>58</v>
      </c>
    </row>
    <row r="1865" ht="29" spans="1:46">
      <c r="A1865" s="31" t="s">
        <v>83</v>
      </c>
      <c r="C1865" t="s">
        <v>2739</v>
      </c>
      <c r="D1865" s="5" t="s">
        <v>57</v>
      </c>
      <c r="E1865">
        <v>2035</v>
      </c>
      <c r="F1865" s="6" t="str">
        <f t="shared" si="234"/>
        <v>*0.95</v>
      </c>
      <c r="H1865" t="s">
        <v>2739</v>
      </c>
      <c r="I1865" s="5" t="s">
        <v>57</v>
      </c>
      <c r="J1865">
        <v>2050</v>
      </c>
      <c r="K1865" s="38" t="str">
        <f t="shared" si="235"/>
        <v>*0.92</v>
      </c>
      <c r="P1865" s="32" t="s">
        <v>2739</v>
      </c>
      <c r="Q1865" s="42" t="s">
        <v>57</v>
      </c>
      <c r="R1865" s="32">
        <v>2035</v>
      </c>
      <c r="S1865" s="43" t="str">
        <f t="shared" si="236"/>
        <v>*0.95</v>
      </c>
      <c r="U1865" s="32" t="s">
        <v>2739</v>
      </c>
      <c r="V1865" s="42" t="s">
        <v>57</v>
      </c>
      <c r="W1865" s="32">
        <v>2050</v>
      </c>
      <c r="X1865" s="43" t="str">
        <f t="shared" si="237"/>
        <v>*0.92</v>
      </c>
      <c r="AC1865" s="33" t="s">
        <v>2739</v>
      </c>
      <c r="AD1865" s="44" t="s">
        <v>57</v>
      </c>
      <c r="AE1865" s="33">
        <v>2035</v>
      </c>
      <c r="AF1865" s="45" t="str">
        <f t="shared" si="238"/>
        <v>*0.93</v>
      </c>
      <c r="AG1865" s="43" t="str">
        <f t="shared" ref="AG1865:AG1928" si="240">AG1864</f>
        <v>REZoning_Sol-Win</v>
      </c>
      <c r="AI1865" s="33" t="s">
        <v>2739</v>
      </c>
      <c r="AJ1865" s="44" t="s">
        <v>57</v>
      </c>
      <c r="AK1865" s="33">
        <v>2050</v>
      </c>
      <c r="AL1865" s="45" t="str">
        <f t="shared" si="239"/>
        <v>*0.89</v>
      </c>
      <c r="AM1865" s="43" t="str">
        <f t="shared" si="233"/>
        <v>REZoning_Sol-Win</v>
      </c>
      <c r="AP1865" t="s">
        <v>2739</v>
      </c>
      <c r="AQ1865" t="s">
        <v>57</v>
      </c>
      <c r="AR1865">
        <v>2100</v>
      </c>
      <c r="AS1865" t="s">
        <v>937</v>
      </c>
      <c r="AT1865" t="s">
        <v>58</v>
      </c>
    </row>
    <row r="1866" ht="29" spans="1:46">
      <c r="A1866" s="31" t="s">
        <v>83</v>
      </c>
      <c r="C1866" t="s">
        <v>2740</v>
      </c>
      <c r="D1866" s="5" t="s">
        <v>57</v>
      </c>
      <c r="E1866">
        <v>2035</v>
      </c>
      <c r="F1866" s="6" t="str">
        <f t="shared" si="234"/>
        <v>*0.95</v>
      </c>
      <c r="H1866" t="s">
        <v>2740</v>
      </c>
      <c r="I1866" s="5" t="s">
        <v>57</v>
      </c>
      <c r="J1866">
        <v>2050</v>
      </c>
      <c r="K1866" s="38" t="str">
        <f t="shared" si="235"/>
        <v>*0.92</v>
      </c>
      <c r="P1866" s="32" t="s">
        <v>2740</v>
      </c>
      <c r="Q1866" s="42" t="s">
        <v>57</v>
      </c>
      <c r="R1866" s="32">
        <v>2035</v>
      </c>
      <c r="S1866" s="43" t="str">
        <f t="shared" si="236"/>
        <v>*0.95</v>
      </c>
      <c r="U1866" s="32" t="s">
        <v>2740</v>
      </c>
      <c r="V1866" s="42" t="s">
        <v>57</v>
      </c>
      <c r="W1866" s="32">
        <v>2050</v>
      </c>
      <c r="X1866" s="43" t="str">
        <f t="shared" si="237"/>
        <v>*0.92</v>
      </c>
      <c r="AC1866" s="33" t="s">
        <v>2740</v>
      </c>
      <c r="AD1866" s="44" t="s">
        <v>57</v>
      </c>
      <c r="AE1866" s="33">
        <v>2035</v>
      </c>
      <c r="AF1866" s="45" t="str">
        <f t="shared" si="238"/>
        <v>*0.93</v>
      </c>
      <c r="AG1866" s="43" t="str">
        <f t="shared" si="240"/>
        <v>REZoning_Sol-Win</v>
      </c>
      <c r="AI1866" s="33" t="s">
        <v>2740</v>
      </c>
      <c r="AJ1866" s="44" t="s">
        <v>57</v>
      </c>
      <c r="AK1866" s="33">
        <v>2050</v>
      </c>
      <c r="AL1866" s="45" t="str">
        <f t="shared" si="239"/>
        <v>*0.89</v>
      </c>
      <c r="AM1866" s="43" t="str">
        <f t="shared" ref="AM1866:AM1929" si="241">AM1865</f>
        <v>REZoning_Sol-Win</v>
      </c>
      <c r="AP1866" t="s">
        <v>2740</v>
      </c>
      <c r="AQ1866" t="s">
        <v>57</v>
      </c>
      <c r="AR1866">
        <v>2100</v>
      </c>
      <c r="AS1866" t="s">
        <v>937</v>
      </c>
      <c r="AT1866" t="s">
        <v>58</v>
      </c>
    </row>
    <row r="1867" ht="29" spans="1:46">
      <c r="A1867" s="31" t="s">
        <v>83</v>
      </c>
      <c r="C1867" t="s">
        <v>2741</v>
      </c>
      <c r="D1867" s="5" t="s">
        <v>57</v>
      </c>
      <c r="E1867">
        <v>2035</v>
      </c>
      <c r="F1867" s="6" t="str">
        <f t="shared" si="234"/>
        <v>*0.95</v>
      </c>
      <c r="H1867" t="s">
        <v>2741</v>
      </c>
      <c r="I1867" s="5" t="s">
        <v>57</v>
      </c>
      <c r="J1867">
        <v>2050</v>
      </c>
      <c r="K1867" s="38" t="str">
        <f t="shared" si="235"/>
        <v>*0.92</v>
      </c>
      <c r="P1867" s="32" t="s">
        <v>2741</v>
      </c>
      <c r="Q1867" s="42" t="s">
        <v>57</v>
      </c>
      <c r="R1867" s="32">
        <v>2035</v>
      </c>
      <c r="S1867" s="43" t="str">
        <f t="shared" si="236"/>
        <v>*0.95</v>
      </c>
      <c r="U1867" s="32" t="s">
        <v>2741</v>
      </c>
      <c r="V1867" s="42" t="s">
        <v>57</v>
      </c>
      <c r="W1867" s="32">
        <v>2050</v>
      </c>
      <c r="X1867" s="43" t="str">
        <f t="shared" si="237"/>
        <v>*0.92</v>
      </c>
      <c r="AC1867" s="33" t="s">
        <v>2741</v>
      </c>
      <c r="AD1867" s="44" t="s">
        <v>57</v>
      </c>
      <c r="AE1867" s="33">
        <v>2035</v>
      </c>
      <c r="AF1867" s="45" t="str">
        <f t="shared" si="238"/>
        <v>*0.93</v>
      </c>
      <c r="AG1867" s="43" t="str">
        <f t="shared" si="240"/>
        <v>REZoning_Sol-Win</v>
      </c>
      <c r="AI1867" s="33" t="s">
        <v>2741</v>
      </c>
      <c r="AJ1867" s="44" t="s">
        <v>57</v>
      </c>
      <c r="AK1867" s="33">
        <v>2050</v>
      </c>
      <c r="AL1867" s="45" t="str">
        <f t="shared" si="239"/>
        <v>*0.89</v>
      </c>
      <c r="AM1867" s="43" t="str">
        <f t="shared" si="241"/>
        <v>REZoning_Sol-Win</v>
      </c>
      <c r="AP1867" t="s">
        <v>2741</v>
      </c>
      <c r="AQ1867" t="s">
        <v>57</v>
      </c>
      <c r="AR1867">
        <v>2100</v>
      </c>
      <c r="AS1867" t="s">
        <v>937</v>
      </c>
      <c r="AT1867" t="s">
        <v>58</v>
      </c>
    </row>
    <row r="1868" ht="29" spans="1:46">
      <c r="A1868" s="31" t="s">
        <v>83</v>
      </c>
      <c r="C1868" t="s">
        <v>2742</v>
      </c>
      <c r="D1868" s="5" t="s">
        <v>57</v>
      </c>
      <c r="E1868">
        <v>2035</v>
      </c>
      <c r="F1868" s="6" t="str">
        <f t="shared" si="234"/>
        <v>*0.95</v>
      </c>
      <c r="H1868" t="s">
        <v>2742</v>
      </c>
      <c r="I1868" s="5" t="s">
        <v>57</v>
      </c>
      <c r="J1868">
        <v>2050</v>
      </c>
      <c r="K1868" s="38" t="str">
        <f t="shared" si="235"/>
        <v>*0.92</v>
      </c>
      <c r="P1868" s="32" t="s">
        <v>2742</v>
      </c>
      <c r="Q1868" s="42" t="s">
        <v>57</v>
      </c>
      <c r="R1868" s="32">
        <v>2035</v>
      </c>
      <c r="S1868" s="43" t="str">
        <f t="shared" si="236"/>
        <v>*0.95</v>
      </c>
      <c r="U1868" s="32" t="s">
        <v>2742</v>
      </c>
      <c r="V1868" s="42" t="s">
        <v>57</v>
      </c>
      <c r="W1868" s="32">
        <v>2050</v>
      </c>
      <c r="X1868" s="43" t="str">
        <f t="shared" si="237"/>
        <v>*0.92</v>
      </c>
      <c r="AC1868" s="33" t="s">
        <v>2742</v>
      </c>
      <c r="AD1868" s="44" t="s">
        <v>57</v>
      </c>
      <c r="AE1868" s="33">
        <v>2035</v>
      </c>
      <c r="AF1868" s="45" t="str">
        <f t="shared" si="238"/>
        <v>*0.93</v>
      </c>
      <c r="AG1868" s="43" t="str">
        <f t="shared" si="240"/>
        <v>REZoning_Sol-Win</v>
      </c>
      <c r="AI1868" s="33" t="s">
        <v>2742</v>
      </c>
      <c r="AJ1868" s="44" t="s">
        <v>57</v>
      </c>
      <c r="AK1868" s="33">
        <v>2050</v>
      </c>
      <c r="AL1868" s="45" t="str">
        <f t="shared" si="239"/>
        <v>*0.89</v>
      </c>
      <c r="AM1868" s="43" t="str">
        <f t="shared" si="241"/>
        <v>REZoning_Sol-Win</v>
      </c>
      <c r="AP1868" t="s">
        <v>2742</v>
      </c>
      <c r="AQ1868" t="s">
        <v>57</v>
      </c>
      <c r="AR1868">
        <v>2100</v>
      </c>
      <c r="AS1868" t="s">
        <v>937</v>
      </c>
      <c r="AT1868" t="s">
        <v>58</v>
      </c>
    </row>
    <row r="1869" ht="29" spans="1:46">
      <c r="A1869" s="31" t="s">
        <v>83</v>
      </c>
      <c r="C1869" t="s">
        <v>2743</v>
      </c>
      <c r="D1869" s="5" t="s">
        <v>57</v>
      </c>
      <c r="E1869">
        <v>2035</v>
      </c>
      <c r="F1869" s="6" t="str">
        <f t="shared" si="234"/>
        <v>*0.95</v>
      </c>
      <c r="H1869" t="s">
        <v>2743</v>
      </c>
      <c r="I1869" s="5" t="s">
        <v>57</v>
      </c>
      <c r="J1869">
        <v>2050</v>
      </c>
      <c r="K1869" s="38" t="str">
        <f t="shared" si="235"/>
        <v>*0.92</v>
      </c>
      <c r="P1869" s="32" t="s">
        <v>2743</v>
      </c>
      <c r="Q1869" s="42" t="s">
        <v>57</v>
      </c>
      <c r="R1869" s="32">
        <v>2035</v>
      </c>
      <c r="S1869" s="43" t="str">
        <f t="shared" si="236"/>
        <v>*0.95</v>
      </c>
      <c r="U1869" s="32" t="s">
        <v>2743</v>
      </c>
      <c r="V1869" s="42" t="s">
        <v>57</v>
      </c>
      <c r="W1869" s="32">
        <v>2050</v>
      </c>
      <c r="X1869" s="43" t="str">
        <f t="shared" si="237"/>
        <v>*0.92</v>
      </c>
      <c r="AC1869" s="33" t="s">
        <v>2743</v>
      </c>
      <c r="AD1869" s="44" t="s">
        <v>57</v>
      </c>
      <c r="AE1869" s="33">
        <v>2035</v>
      </c>
      <c r="AF1869" s="45" t="str">
        <f t="shared" si="238"/>
        <v>*0.93</v>
      </c>
      <c r="AG1869" s="43" t="str">
        <f t="shared" si="240"/>
        <v>REZoning_Sol-Win</v>
      </c>
      <c r="AI1869" s="33" t="s">
        <v>2743</v>
      </c>
      <c r="AJ1869" s="44" t="s">
        <v>57</v>
      </c>
      <c r="AK1869" s="33">
        <v>2050</v>
      </c>
      <c r="AL1869" s="45" t="str">
        <f t="shared" si="239"/>
        <v>*0.89</v>
      </c>
      <c r="AM1869" s="43" t="str">
        <f t="shared" si="241"/>
        <v>REZoning_Sol-Win</v>
      </c>
      <c r="AP1869" t="s">
        <v>2743</v>
      </c>
      <c r="AQ1869" t="s">
        <v>57</v>
      </c>
      <c r="AR1869">
        <v>2100</v>
      </c>
      <c r="AS1869" t="s">
        <v>937</v>
      </c>
      <c r="AT1869" t="s">
        <v>58</v>
      </c>
    </row>
    <row r="1870" ht="29" spans="1:46">
      <c r="A1870" s="31" t="s">
        <v>83</v>
      </c>
      <c r="C1870" t="s">
        <v>2744</v>
      </c>
      <c r="D1870" s="5" t="s">
        <v>57</v>
      </c>
      <c r="E1870">
        <v>2035</v>
      </c>
      <c r="F1870" s="6" t="str">
        <f t="shared" si="234"/>
        <v>*0.95</v>
      </c>
      <c r="H1870" t="s">
        <v>2744</v>
      </c>
      <c r="I1870" s="5" t="s">
        <v>57</v>
      </c>
      <c r="J1870">
        <v>2050</v>
      </c>
      <c r="K1870" s="38" t="str">
        <f t="shared" si="235"/>
        <v>*0.92</v>
      </c>
      <c r="P1870" s="32" t="s">
        <v>2744</v>
      </c>
      <c r="Q1870" s="42" t="s">
        <v>57</v>
      </c>
      <c r="R1870" s="32">
        <v>2035</v>
      </c>
      <c r="S1870" s="43" t="str">
        <f t="shared" si="236"/>
        <v>*0.95</v>
      </c>
      <c r="U1870" s="32" t="s">
        <v>2744</v>
      </c>
      <c r="V1870" s="42" t="s">
        <v>57</v>
      </c>
      <c r="W1870" s="32">
        <v>2050</v>
      </c>
      <c r="X1870" s="43" t="str">
        <f t="shared" si="237"/>
        <v>*0.92</v>
      </c>
      <c r="AC1870" s="33" t="s">
        <v>2744</v>
      </c>
      <c r="AD1870" s="44" t="s">
        <v>57</v>
      </c>
      <c r="AE1870" s="33">
        <v>2035</v>
      </c>
      <c r="AF1870" s="45" t="str">
        <f t="shared" si="238"/>
        <v>*0.93</v>
      </c>
      <c r="AG1870" s="43" t="str">
        <f t="shared" si="240"/>
        <v>REZoning_Sol-Win</v>
      </c>
      <c r="AI1870" s="33" t="s">
        <v>2744</v>
      </c>
      <c r="AJ1870" s="44" t="s">
        <v>57</v>
      </c>
      <c r="AK1870" s="33">
        <v>2050</v>
      </c>
      <c r="AL1870" s="45" t="str">
        <f t="shared" si="239"/>
        <v>*0.89</v>
      </c>
      <c r="AM1870" s="43" t="str">
        <f t="shared" si="241"/>
        <v>REZoning_Sol-Win</v>
      </c>
      <c r="AP1870" t="s">
        <v>2744</v>
      </c>
      <c r="AQ1870" t="s">
        <v>57</v>
      </c>
      <c r="AR1870">
        <v>2100</v>
      </c>
      <c r="AS1870" t="s">
        <v>937</v>
      </c>
      <c r="AT1870" t="s">
        <v>58</v>
      </c>
    </row>
    <row r="1871" ht="29" spans="1:46">
      <c r="A1871" s="31" t="s">
        <v>83</v>
      </c>
      <c r="C1871" t="s">
        <v>2745</v>
      </c>
      <c r="D1871" s="5" t="s">
        <v>57</v>
      </c>
      <c r="E1871">
        <v>2035</v>
      </c>
      <c r="F1871" s="6" t="str">
        <f t="shared" si="234"/>
        <v>*0.95</v>
      </c>
      <c r="H1871" t="s">
        <v>2745</v>
      </c>
      <c r="I1871" s="5" t="s">
        <v>57</v>
      </c>
      <c r="J1871">
        <v>2050</v>
      </c>
      <c r="K1871" s="38" t="str">
        <f t="shared" si="235"/>
        <v>*0.92</v>
      </c>
      <c r="P1871" s="32" t="s">
        <v>2745</v>
      </c>
      <c r="Q1871" s="42" t="s">
        <v>57</v>
      </c>
      <c r="R1871" s="32">
        <v>2035</v>
      </c>
      <c r="S1871" s="43" t="str">
        <f t="shared" si="236"/>
        <v>*0.95</v>
      </c>
      <c r="U1871" s="32" t="s">
        <v>2745</v>
      </c>
      <c r="V1871" s="42" t="s">
        <v>57</v>
      </c>
      <c r="W1871" s="32">
        <v>2050</v>
      </c>
      <c r="X1871" s="43" t="str">
        <f t="shared" si="237"/>
        <v>*0.92</v>
      </c>
      <c r="AC1871" s="33" t="s">
        <v>2745</v>
      </c>
      <c r="AD1871" s="44" t="s">
        <v>57</v>
      </c>
      <c r="AE1871" s="33">
        <v>2035</v>
      </c>
      <c r="AF1871" s="45" t="str">
        <f t="shared" si="238"/>
        <v>*0.93</v>
      </c>
      <c r="AG1871" s="43" t="str">
        <f t="shared" si="240"/>
        <v>REZoning_Sol-Win</v>
      </c>
      <c r="AI1871" s="33" t="s">
        <v>2745</v>
      </c>
      <c r="AJ1871" s="44" t="s">
        <v>57</v>
      </c>
      <c r="AK1871" s="33">
        <v>2050</v>
      </c>
      <c r="AL1871" s="45" t="str">
        <f t="shared" si="239"/>
        <v>*0.89</v>
      </c>
      <c r="AM1871" s="43" t="str">
        <f t="shared" si="241"/>
        <v>REZoning_Sol-Win</v>
      </c>
      <c r="AP1871" t="s">
        <v>2745</v>
      </c>
      <c r="AQ1871" t="s">
        <v>57</v>
      </c>
      <c r="AR1871">
        <v>2100</v>
      </c>
      <c r="AS1871" t="s">
        <v>937</v>
      </c>
      <c r="AT1871" t="s">
        <v>58</v>
      </c>
    </row>
    <row r="1872" ht="29" spans="1:46">
      <c r="A1872" s="31" t="s">
        <v>83</v>
      </c>
      <c r="C1872" t="s">
        <v>2746</v>
      </c>
      <c r="D1872" s="5" t="s">
        <v>57</v>
      </c>
      <c r="E1872">
        <v>2035</v>
      </c>
      <c r="F1872" s="6" t="str">
        <f t="shared" si="234"/>
        <v>*0.95</v>
      </c>
      <c r="H1872" t="s">
        <v>2746</v>
      </c>
      <c r="I1872" s="5" t="s">
        <v>57</v>
      </c>
      <c r="J1872">
        <v>2050</v>
      </c>
      <c r="K1872" s="38" t="str">
        <f t="shared" si="235"/>
        <v>*0.92</v>
      </c>
      <c r="P1872" s="32" t="s">
        <v>2746</v>
      </c>
      <c r="Q1872" s="42" t="s">
        <v>57</v>
      </c>
      <c r="R1872" s="32">
        <v>2035</v>
      </c>
      <c r="S1872" s="43" t="str">
        <f t="shared" si="236"/>
        <v>*0.95</v>
      </c>
      <c r="U1872" s="32" t="s">
        <v>2746</v>
      </c>
      <c r="V1872" s="42" t="s">
        <v>57</v>
      </c>
      <c r="W1872" s="32">
        <v>2050</v>
      </c>
      <c r="X1872" s="43" t="str">
        <f t="shared" si="237"/>
        <v>*0.92</v>
      </c>
      <c r="AC1872" s="33" t="s">
        <v>2746</v>
      </c>
      <c r="AD1872" s="44" t="s">
        <v>57</v>
      </c>
      <c r="AE1872" s="33">
        <v>2035</v>
      </c>
      <c r="AF1872" s="45" t="str">
        <f t="shared" si="238"/>
        <v>*0.93</v>
      </c>
      <c r="AG1872" s="43" t="str">
        <f t="shared" si="240"/>
        <v>REZoning_Sol-Win</v>
      </c>
      <c r="AI1872" s="33" t="s">
        <v>2746</v>
      </c>
      <c r="AJ1872" s="44" t="s">
        <v>57</v>
      </c>
      <c r="AK1872" s="33">
        <v>2050</v>
      </c>
      <c r="AL1872" s="45" t="str">
        <f t="shared" si="239"/>
        <v>*0.89</v>
      </c>
      <c r="AM1872" s="43" t="str">
        <f t="shared" si="241"/>
        <v>REZoning_Sol-Win</v>
      </c>
      <c r="AP1872" t="s">
        <v>2746</v>
      </c>
      <c r="AQ1872" t="s">
        <v>57</v>
      </c>
      <c r="AR1872">
        <v>2100</v>
      </c>
      <c r="AS1872" t="s">
        <v>937</v>
      </c>
      <c r="AT1872" t="s">
        <v>58</v>
      </c>
    </row>
    <row r="1873" ht="29" spans="1:46">
      <c r="A1873" s="31" t="s">
        <v>83</v>
      </c>
      <c r="C1873" t="s">
        <v>2747</v>
      </c>
      <c r="D1873" s="5" t="s">
        <v>57</v>
      </c>
      <c r="E1873">
        <v>2035</v>
      </c>
      <c r="F1873" s="6" t="str">
        <f t="shared" si="234"/>
        <v>*0.95</v>
      </c>
      <c r="H1873" t="s">
        <v>2747</v>
      </c>
      <c r="I1873" s="5" t="s">
        <v>57</v>
      </c>
      <c r="J1873">
        <v>2050</v>
      </c>
      <c r="K1873" s="38" t="str">
        <f t="shared" si="235"/>
        <v>*0.92</v>
      </c>
      <c r="P1873" s="32" t="s">
        <v>2747</v>
      </c>
      <c r="Q1873" s="42" t="s">
        <v>57</v>
      </c>
      <c r="R1873" s="32">
        <v>2035</v>
      </c>
      <c r="S1873" s="43" t="str">
        <f t="shared" si="236"/>
        <v>*0.95</v>
      </c>
      <c r="U1873" s="32" t="s">
        <v>2747</v>
      </c>
      <c r="V1873" s="42" t="s">
        <v>57</v>
      </c>
      <c r="W1873" s="32">
        <v>2050</v>
      </c>
      <c r="X1873" s="43" t="str">
        <f t="shared" si="237"/>
        <v>*0.92</v>
      </c>
      <c r="AC1873" s="33" t="s">
        <v>2747</v>
      </c>
      <c r="AD1873" s="44" t="s">
        <v>57</v>
      </c>
      <c r="AE1873" s="33">
        <v>2035</v>
      </c>
      <c r="AF1873" s="45" t="str">
        <f t="shared" si="238"/>
        <v>*0.93</v>
      </c>
      <c r="AG1873" s="43" t="str">
        <f t="shared" si="240"/>
        <v>REZoning_Sol-Win</v>
      </c>
      <c r="AI1873" s="33" t="s">
        <v>2747</v>
      </c>
      <c r="AJ1873" s="44" t="s">
        <v>57</v>
      </c>
      <c r="AK1873" s="33">
        <v>2050</v>
      </c>
      <c r="AL1873" s="45" t="str">
        <f t="shared" si="239"/>
        <v>*0.89</v>
      </c>
      <c r="AM1873" s="43" t="str">
        <f t="shared" si="241"/>
        <v>REZoning_Sol-Win</v>
      </c>
      <c r="AP1873" t="s">
        <v>2747</v>
      </c>
      <c r="AQ1873" t="s">
        <v>57</v>
      </c>
      <c r="AR1873">
        <v>2100</v>
      </c>
      <c r="AS1873" t="s">
        <v>937</v>
      </c>
      <c r="AT1873" t="s">
        <v>58</v>
      </c>
    </row>
    <row r="1874" ht="29" spans="1:46">
      <c r="A1874" s="31" t="s">
        <v>83</v>
      </c>
      <c r="C1874" t="s">
        <v>2748</v>
      </c>
      <c r="D1874" s="5" t="s">
        <v>57</v>
      </c>
      <c r="E1874">
        <v>2035</v>
      </c>
      <c r="F1874" s="6" t="str">
        <f t="shared" si="234"/>
        <v>*0.95</v>
      </c>
      <c r="H1874" t="s">
        <v>2748</v>
      </c>
      <c r="I1874" s="5" t="s">
        <v>57</v>
      </c>
      <c r="J1874">
        <v>2050</v>
      </c>
      <c r="K1874" s="38" t="str">
        <f t="shared" si="235"/>
        <v>*0.92</v>
      </c>
      <c r="P1874" s="32" t="s">
        <v>2748</v>
      </c>
      <c r="Q1874" s="42" t="s">
        <v>57</v>
      </c>
      <c r="R1874" s="32">
        <v>2035</v>
      </c>
      <c r="S1874" s="43" t="str">
        <f t="shared" si="236"/>
        <v>*0.95</v>
      </c>
      <c r="U1874" s="32" t="s">
        <v>2748</v>
      </c>
      <c r="V1874" s="42" t="s">
        <v>57</v>
      </c>
      <c r="W1874" s="32">
        <v>2050</v>
      </c>
      <c r="X1874" s="43" t="str">
        <f t="shared" si="237"/>
        <v>*0.92</v>
      </c>
      <c r="AC1874" s="33" t="s">
        <v>2748</v>
      </c>
      <c r="AD1874" s="44" t="s">
        <v>57</v>
      </c>
      <c r="AE1874" s="33">
        <v>2035</v>
      </c>
      <c r="AF1874" s="45" t="str">
        <f t="shared" si="238"/>
        <v>*0.93</v>
      </c>
      <c r="AG1874" s="43" t="str">
        <f t="shared" si="240"/>
        <v>REZoning_Sol-Win</v>
      </c>
      <c r="AI1874" s="33" t="s">
        <v>2748</v>
      </c>
      <c r="AJ1874" s="44" t="s">
        <v>57</v>
      </c>
      <c r="AK1874" s="33">
        <v>2050</v>
      </c>
      <c r="AL1874" s="45" t="str">
        <f t="shared" si="239"/>
        <v>*0.89</v>
      </c>
      <c r="AM1874" s="43" t="str">
        <f t="shared" si="241"/>
        <v>REZoning_Sol-Win</v>
      </c>
      <c r="AP1874" t="s">
        <v>2748</v>
      </c>
      <c r="AQ1874" t="s">
        <v>57</v>
      </c>
      <c r="AR1874">
        <v>2100</v>
      </c>
      <c r="AS1874" t="s">
        <v>937</v>
      </c>
      <c r="AT1874" t="s">
        <v>58</v>
      </c>
    </row>
    <row r="1875" ht="29" spans="1:46">
      <c r="A1875" s="31" t="s">
        <v>79</v>
      </c>
      <c r="C1875" t="s">
        <v>2749</v>
      </c>
      <c r="D1875" s="5" t="s">
        <v>57</v>
      </c>
      <c r="E1875">
        <v>2035</v>
      </c>
      <c r="F1875" s="6" t="str">
        <f t="shared" si="234"/>
        <v>*0.94</v>
      </c>
      <c r="H1875" t="s">
        <v>2749</v>
      </c>
      <c r="I1875" s="5" t="s">
        <v>57</v>
      </c>
      <c r="J1875">
        <v>2050</v>
      </c>
      <c r="K1875" s="38" t="str">
        <f t="shared" si="235"/>
        <v>*0.9</v>
      </c>
      <c r="P1875" s="32" t="s">
        <v>2749</v>
      </c>
      <c r="Q1875" s="42" t="s">
        <v>57</v>
      </c>
      <c r="R1875" s="32">
        <v>2035</v>
      </c>
      <c r="S1875" s="43" t="str">
        <f t="shared" si="236"/>
        <v>*0.92</v>
      </c>
      <c r="U1875" s="32" t="s">
        <v>2749</v>
      </c>
      <c r="V1875" s="42" t="s">
        <v>57</v>
      </c>
      <c r="W1875" s="32">
        <v>2050</v>
      </c>
      <c r="X1875" s="43" t="str">
        <f t="shared" si="237"/>
        <v>*0.89</v>
      </c>
      <c r="AC1875" s="33" t="s">
        <v>2749</v>
      </c>
      <c r="AD1875" s="44" t="s">
        <v>57</v>
      </c>
      <c r="AE1875" s="33">
        <v>2035</v>
      </c>
      <c r="AF1875" s="45" t="str">
        <f t="shared" si="238"/>
        <v>*0.89</v>
      </c>
      <c r="AG1875" s="43" t="str">
        <f t="shared" si="240"/>
        <v>REZoning_Sol-Win</v>
      </c>
      <c r="AI1875" s="33" t="s">
        <v>2749</v>
      </c>
      <c r="AJ1875" s="44" t="s">
        <v>57</v>
      </c>
      <c r="AK1875" s="33">
        <v>2050</v>
      </c>
      <c r="AL1875" s="45" t="str">
        <f t="shared" si="239"/>
        <v>*0.84</v>
      </c>
      <c r="AM1875" s="43" t="str">
        <f t="shared" si="241"/>
        <v>REZoning_Sol-Win</v>
      </c>
      <c r="AP1875" t="s">
        <v>2749</v>
      </c>
      <c r="AQ1875" t="s">
        <v>57</v>
      </c>
      <c r="AR1875">
        <v>2100</v>
      </c>
      <c r="AS1875" t="s">
        <v>919</v>
      </c>
      <c r="AT1875" t="s">
        <v>58</v>
      </c>
    </row>
    <row r="1876" ht="29" spans="1:46">
      <c r="A1876" s="31" t="s">
        <v>79</v>
      </c>
      <c r="C1876" t="s">
        <v>2750</v>
      </c>
      <c r="D1876" s="5" t="s">
        <v>57</v>
      </c>
      <c r="E1876">
        <v>2035</v>
      </c>
      <c r="F1876" s="6" t="str">
        <f t="shared" si="234"/>
        <v>*0.94</v>
      </c>
      <c r="H1876" t="s">
        <v>2750</v>
      </c>
      <c r="I1876" s="5" t="s">
        <v>57</v>
      </c>
      <c r="J1876">
        <v>2050</v>
      </c>
      <c r="K1876" s="38" t="str">
        <f t="shared" si="235"/>
        <v>*0.9</v>
      </c>
      <c r="P1876" s="32" t="s">
        <v>2750</v>
      </c>
      <c r="Q1876" s="42" t="s">
        <v>57</v>
      </c>
      <c r="R1876" s="32">
        <v>2035</v>
      </c>
      <c r="S1876" s="43" t="str">
        <f t="shared" si="236"/>
        <v>*0.92</v>
      </c>
      <c r="U1876" s="32" t="s">
        <v>2750</v>
      </c>
      <c r="V1876" s="42" t="s">
        <v>57</v>
      </c>
      <c r="W1876" s="32">
        <v>2050</v>
      </c>
      <c r="X1876" s="43" t="str">
        <f t="shared" si="237"/>
        <v>*0.89</v>
      </c>
      <c r="AC1876" s="33" t="s">
        <v>2750</v>
      </c>
      <c r="AD1876" s="44" t="s">
        <v>57</v>
      </c>
      <c r="AE1876" s="33">
        <v>2035</v>
      </c>
      <c r="AF1876" s="45" t="str">
        <f t="shared" si="238"/>
        <v>*0.89</v>
      </c>
      <c r="AG1876" s="43" t="str">
        <f t="shared" si="240"/>
        <v>REZoning_Sol-Win</v>
      </c>
      <c r="AI1876" s="33" t="s">
        <v>2750</v>
      </c>
      <c r="AJ1876" s="44" t="s">
        <v>57</v>
      </c>
      <c r="AK1876" s="33">
        <v>2050</v>
      </c>
      <c r="AL1876" s="45" t="str">
        <f t="shared" si="239"/>
        <v>*0.84</v>
      </c>
      <c r="AM1876" s="43" t="str">
        <f t="shared" si="241"/>
        <v>REZoning_Sol-Win</v>
      </c>
      <c r="AP1876" t="s">
        <v>2750</v>
      </c>
      <c r="AQ1876" t="s">
        <v>57</v>
      </c>
      <c r="AR1876">
        <v>2100</v>
      </c>
      <c r="AS1876" t="s">
        <v>919</v>
      </c>
      <c r="AT1876" t="s">
        <v>58</v>
      </c>
    </row>
    <row r="1877" ht="29" spans="1:46">
      <c r="A1877" s="31" t="s">
        <v>79</v>
      </c>
      <c r="C1877" t="s">
        <v>2751</v>
      </c>
      <c r="D1877" s="5" t="s">
        <v>57</v>
      </c>
      <c r="E1877">
        <v>2035</v>
      </c>
      <c r="F1877" s="6" t="str">
        <f t="shared" si="234"/>
        <v>*0.94</v>
      </c>
      <c r="H1877" t="s">
        <v>2751</v>
      </c>
      <c r="I1877" s="5" t="s">
        <v>57</v>
      </c>
      <c r="J1877">
        <v>2050</v>
      </c>
      <c r="K1877" s="38" t="str">
        <f t="shared" si="235"/>
        <v>*0.9</v>
      </c>
      <c r="P1877" s="32" t="s">
        <v>2751</v>
      </c>
      <c r="Q1877" s="42" t="s">
        <v>57</v>
      </c>
      <c r="R1877" s="32">
        <v>2035</v>
      </c>
      <c r="S1877" s="43" t="str">
        <f t="shared" si="236"/>
        <v>*0.92</v>
      </c>
      <c r="U1877" s="32" t="s">
        <v>2751</v>
      </c>
      <c r="V1877" s="42" t="s">
        <v>57</v>
      </c>
      <c r="W1877" s="32">
        <v>2050</v>
      </c>
      <c r="X1877" s="43" t="str">
        <f t="shared" si="237"/>
        <v>*0.89</v>
      </c>
      <c r="AC1877" s="33" t="s">
        <v>2751</v>
      </c>
      <c r="AD1877" s="44" t="s">
        <v>57</v>
      </c>
      <c r="AE1877" s="33">
        <v>2035</v>
      </c>
      <c r="AF1877" s="45" t="str">
        <f t="shared" si="238"/>
        <v>*0.89</v>
      </c>
      <c r="AG1877" s="43" t="str">
        <f t="shared" si="240"/>
        <v>REZoning_Sol-Win</v>
      </c>
      <c r="AI1877" s="33" t="s">
        <v>2751</v>
      </c>
      <c r="AJ1877" s="44" t="s">
        <v>57</v>
      </c>
      <c r="AK1877" s="33">
        <v>2050</v>
      </c>
      <c r="AL1877" s="45" t="str">
        <f t="shared" si="239"/>
        <v>*0.84</v>
      </c>
      <c r="AM1877" s="43" t="str">
        <f t="shared" si="241"/>
        <v>REZoning_Sol-Win</v>
      </c>
      <c r="AP1877" t="s">
        <v>2751</v>
      </c>
      <c r="AQ1877" t="s">
        <v>57</v>
      </c>
      <c r="AR1877">
        <v>2100</v>
      </c>
      <c r="AS1877" t="s">
        <v>919</v>
      </c>
      <c r="AT1877" t="s">
        <v>58</v>
      </c>
    </row>
    <row r="1878" ht="29" spans="1:46">
      <c r="A1878" s="31" t="s">
        <v>73</v>
      </c>
      <c r="C1878" t="s">
        <v>2752</v>
      </c>
      <c r="D1878" s="5" t="s">
        <v>57</v>
      </c>
      <c r="E1878">
        <v>2035</v>
      </c>
      <c r="F1878" s="6" t="str">
        <f t="shared" si="234"/>
        <v>*0.95</v>
      </c>
      <c r="H1878" t="s">
        <v>2752</v>
      </c>
      <c r="I1878" s="5" t="s">
        <v>57</v>
      </c>
      <c r="J1878">
        <v>2050</v>
      </c>
      <c r="K1878" s="38" t="str">
        <f t="shared" si="235"/>
        <v>*0.93</v>
      </c>
      <c r="P1878" s="32" t="s">
        <v>2752</v>
      </c>
      <c r="Q1878" s="42" t="s">
        <v>57</v>
      </c>
      <c r="R1878" s="32">
        <v>2035</v>
      </c>
      <c r="S1878" s="43" t="str">
        <f t="shared" si="236"/>
        <v>*0.95</v>
      </c>
      <c r="U1878" s="32" t="s">
        <v>2752</v>
      </c>
      <c r="V1878" s="42" t="s">
        <v>57</v>
      </c>
      <c r="W1878" s="32">
        <v>2050</v>
      </c>
      <c r="X1878" s="43" t="str">
        <f t="shared" si="237"/>
        <v>*0.93</v>
      </c>
      <c r="AC1878" s="33" t="s">
        <v>2752</v>
      </c>
      <c r="AD1878" s="44" t="s">
        <v>57</v>
      </c>
      <c r="AE1878" s="33">
        <v>2035</v>
      </c>
      <c r="AF1878" s="45" t="str">
        <f t="shared" si="238"/>
        <v>*0.93</v>
      </c>
      <c r="AG1878" s="43" t="str">
        <f t="shared" si="240"/>
        <v>REZoning_Sol-Win</v>
      </c>
      <c r="AI1878" s="33" t="s">
        <v>2752</v>
      </c>
      <c r="AJ1878" s="44" t="s">
        <v>57</v>
      </c>
      <c r="AK1878" s="33">
        <v>2050</v>
      </c>
      <c r="AL1878" s="45" t="str">
        <f t="shared" si="239"/>
        <v>*0.9</v>
      </c>
      <c r="AM1878" s="43" t="str">
        <f t="shared" si="241"/>
        <v>REZoning_Sol-Win</v>
      </c>
      <c r="AP1878" t="s">
        <v>2752</v>
      </c>
      <c r="AQ1878" t="s">
        <v>57</v>
      </c>
      <c r="AR1878">
        <v>2100</v>
      </c>
      <c r="AS1878" t="s">
        <v>897</v>
      </c>
      <c r="AT1878" t="s">
        <v>58</v>
      </c>
    </row>
    <row r="1879" ht="29" spans="1:46">
      <c r="A1879" s="31" t="s">
        <v>73</v>
      </c>
      <c r="C1879" t="s">
        <v>2753</v>
      </c>
      <c r="D1879" s="5" t="s">
        <v>57</v>
      </c>
      <c r="E1879">
        <v>2035</v>
      </c>
      <c r="F1879" s="6" t="str">
        <f t="shared" si="234"/>
        <v>*0.95</v>
      </c>
      <c r="H1879" t="s">
        <v>2753</v>
      </c>
      <c r="I1879" s="5" t="s">
        <v>57</v>
      </c>
      <c r="J1879">
        <v>2050</v>
      </c>
      <c r="K1879" s="38" t="str">
        <f t="shared" si="235"/>
        <v>*0.93</v>
      </c>
      <c r="P1879" s="32" t="s">
        <v>2753</v>
      </c>
      <c r="Q1879" s="42" t="s">
        <v>57</v>
      </c>
      <c r="R1879" s="32">
        <v>2035</v>
      </c>
      <c r="S1879" s="43" t="str">
        <f t="shared" si="236"/>
        <v>*0.95</v>
      </c>
      <c r="U1879" s="32" t="s">
        <v>2753</v>
      </c>
      <c r="V1879" s="42" t="s">
        <v>57</v>
      </c>
      <c r="W1879" s="32">
        <v>2050</v>
      </c>
      <c r="X1879" s="43" t="str">
        <f t="shared" si="237"/>
        <v>*0.93</v>
      </c>
      <c r="AC1879" s="33" t="s">
        <v>2753</v>
      </c>
      <c r="AD1879" s="44" t="s">
        <v>57</v>
      </c>
      <c r="AE1879" s="33">
        <v>2035</v>
      </c>
      <c r="AF1879" s="45" t="str">
        <f t="shared" si="238"/>
        <v>*0.93</v>
      </c>
      <c r="AG1879" s="43" t="str">
        <f t="shared" si="240"/>
        <v>REZoning_Sol-Win</v>
      </c>
      <c r="AI1879" s="33" t="s">
        <v>2753</v>
      </c>
      <c r="AJ1879" s="44" t="s">
        <v>57</v>
      </c>
      <c r="AK1879" s="33">
        <v>2050</v>
      </c>
      <c r="AL1879" s="45" t="str">
        <f t="shared" si="239"/>
        <v>*0.9</v>
      </c>
      <c r="AM1879" s="43" t="str">
        <f t="shared" si="241"/>
        <v>REZoning_Sol-Win</v>
      </c>
      <c r="AP1879" t="s">
        <v>2753</v>
      </c>
      <c r="AQ1879" t="s">
        <v>57</v>
      </c>
      <c r="AR1879">
        <v>2100</v>
      </c>
      <c r="AS1879" t="s">
        <v>897</v>
      </c>
      <c r="AT1879" t="s">
        <v>58</v>
      </c>
    </row>
    <row r="1880" ht="29" spans="1:46">
      <c r="A1880" s="31" t="s">
        <v>73</v>
      </c>
      <c r="C1880" t="s">
        <v>2754</v>
      </c>
      <c r="D1880" s="5" t="s">
        <v>57</v>
      </c>
      <c r="E1880">
        <v>2035</v>
      </c>
      <c r="F1880" s="6" t="str">
        <f t="shared" si="234"/>
        <v>*0.95</v>
      </c>
      <c r="H1880" t="s">
        <v>2754</v>
      </c>
      <c r="I1880" s="5" t="s">
        <v>57</v>
      </c>
      <c r="J1880">
        <v>2050</v>
      </c>
      <c r="K1880" s="38" t="str">
        <f t="shared" si="235"/>
        <v>*0.93</v>
      </c>
      <c r="P1880" s="32" t="s">
        <v>2754</v>
      </c>
      <c r="Q1880" s="42" t="s">
        <v>57</v>
      </c>
      <c r="R1880" s="32">
        <v>2035</v>
      </c>
      <c r="S1880" s="43" t="str">
        <f t="shared" si="236"/>
        <v>*0.95</v>
      </c>
      <c r="U1880" s="32" t="s">
        <v>2754</v>
      </c>
      <c r="V1880" s="42" t="s">
        <v>57</v>
      </c>
      <c r="W1880" s="32">
        <v>2050</v>
      </c>
      <c r="X1880" s="43" t="str">
        <f t="shared" si="237"/>
        <v>*0.93</v>
      </c>
      <c r="AC1880" s="33" t="s">
        <v>2754</v>
      </c>
      <c r="AD1880" s="44" t="s">
        <v>57</v>
      </c>
      <c r="AE1880" s="33">
        <v>2035</v>
      </c>
      <c r="AF1880" s="45" t="str">
        <f t="shared" si="238"/>
        <v>*0.93</v>
      </c>
      <c r="AG1880" s="43" t="str">
        <f t="shared" si="240"/>
        <v>REZoning_Sol-Win</v>
      </c>
      <c r="AI1880" s="33" t="s">
        <v>2754</v>
      </c>
      <c r="AJ1880" s="44" t="s">
        <v>57</v>
      </c>
      <c r="AK1880" s="33">
        <v>2050</v>
      </c>
      <c r="AL1880" s="45" t="str">
        <f t="shared" si="239"/>
        <v>*0.9</v>
      </c>
      <c r="AM1880" s="43" t="str">
        <f t="shared" si="241"/>
        <v>REZoning_Sol-Win</v>
      </c>
      <c r="AP1880" t="s">
        <v>2754</v>
      </c>
      <c r="AQ1880" t="s">
        <v>57</v>
      </c>
      <c r="AR1880">
        <v>2100</v>
      </c>
      <c r="AS1880" t="s">
        <v>897</v>
      </c>
      <c r="AT1880" t="s">
        <v>58</v>
      </c>
    </row>
    <row r="1881" ht="29" spans="1:46">
      <c r="A1881" s="31" t="s">
        <v>73</v>
      </c>
      <c r="C1881" t="s">
        <v>2755</v>
      </c>
      <c r="D1881" s="5" t="s">
        <v>57</v>
      </c>
      <c r="E1881">
        <v>2035</v>
      </c>
      <c r="F1881" s="6" t="str">
        <f t="shared" si="234"/>
        <v>*0.95</v>
      </c>
      <c r="H1881" t="s">
        <v>2755</v>
      </c>
      <c r="I1881" s="5" t="s">
        <v>57</v>
      </c>
      <c r="J1881">
        <v>2050</v>
      </c>
      <c r="K1881" s="38" t="str">
        <f t="shared" si="235"/>
        <v>*0.93</v>
      </c>
      <c r="P1881" s="32" t="s">
        <v>2755</v>
      </c>
      <c r="Q1881" s="42" t="s">
        <v>57</v>
      </c>
      <c r="R1881" s="32">
        <v>2035</v>
      </c>
      <c r="S1881" s="43" t="str">
        <f t="shared" si="236"/>
        <v>*0.95</v>
      </c>
      <c r="U1881" s="32" t="s">
        <v>2755</v>
      </c>
      <c r="V1881" s="42" t="s">
        <v>57</v>
      </c>
      <c r="W1881" s="32">
        <v>2050</v>
      </c>
      <c r="X1881" s="43" t="str">
        <f t="shared" si="237"/>
        <v>*0.93</v>
      </c>
      <c r="AC1881" s="33" t="s">
        <v>2755</v>
      </c>
      <c r="AD1881" s="44" t="s">
        <v>57</v>
      </c>
      <c r="AE1881" s="33">
        <v>2035</v>
      </c>
      <c r="AF1881" s="45" t="str">
        <f t="shared" si="238"/>
        <v>*0.93</v>
      </c>
      <c r="AG1881" s="43" t="str">
        <f t="shared" si="240"/>
        <v>REZoning_Sol-Win</v>
      </c>
      <c r="AI1881" s="33" t="s">
        <v>2755</v>
      </c>
      <c r="AJ1881" s="44" t="s">
        <v>57</v>
      </c>
      <c r="AK1881" s="33">
        <v>2050</v>
      </c>
      <c r="AL1881" s="45" t="str">
        <f t="shared" si="239"/>
        <v>*0.9</v>
      </c>
      <c r="AM1881" s="43" t="str">
        <f t="shared" si="241"/>
        <v>REZoning_Sol-Win</v>
      </c>
      <c r="AP1881" t="s">
        <v>2755</v>
      </c>
      <c r="AQ1881" t="s">
        <v>57</v>
      </c>
      <c r="AR1881">
        <v>2100</v>
      </c>
      <c r="AS1881" t="s">
        <v>897</v>
      </c>
      <c r="AT1881" t="s">
        <v>58</v>
      </c>
    </row>
    <row r="1882" ht="29" spans="1:46">
      <c r="A1882" s="31" t="s">
        <v>73</v>
      </c>
      <c r="C1882" t="s">
        <v>2756</v>
      </c>
      <c r="D1882" s="5" t="s">
        <v>57</v>
      </c>
      <c r="E1882">
        <v>2035</v>
      </c>
      <c r="F1882" s="6" t="str">
        <f t="shared" si="234"/>
        <v>*0.95</v>
      </c>
      <c r="H1882" t="s">
        <v>2756</v>
      </c>
      <c r="I1882" s="5" t="s">
        <v>57</v>
      </c>
      <c r="J1882">
        <v>2050</v>
      </c>
      <c r="K1882" s="38" t="str">
        <f t="shared" si="235"/>
        <v>*0.93</v>
      </c>
      <c r="P1882" s="32" t="s">
        <v>2756</v>
      </c>
      <c r="Q1882" s="42" t="s">
        <v>57</v>
      </c>
      <c r="R1882" s="32">
        <v>2035</v>
      </c>
      <c r="S1882" s="43" t="str">
        <f t="shared" si="236"/>
        <v>*0.95</v>
      </c>
      <c r="U1882" s="32" t="s">
        <v>2756</v>
      </c>
      <c r="V1882" s="42" t="s">
        <v>57</v>
      </c>
      <c r="W1882" s="32">
        <v>2050</v>
      </c>
      <c r="X1882" s="43" t="str">
        <f t="shared" si="237"/>
        <v>*0.93</v>
      </c>
      <c r="AC1882" s="33" t="s">
        <v>2756</v>
      </c>
      <c r="AD1882" s="44" t="s">
        <v>57</v>
      </c>
      <c r="AE1882" s="33">
        <v>2035</v>
      </c>
      <c r="AF1882" s="45" t="str">
        <f t="shared" si="238"/>
        <v>*0.93</v>
      </c>
      <c r="AG1882" s="43" t="str">
        <f t="shared" si="240"/>
        <v>REZoning_Sol-Win</v>
      </c>
      <c r="AI1882" s="33" t="s">
        <v>2756</v>
      </c>
      <c r="AJ1882" s="44" t="s">
        <v>57</v>
      </c>
      <c r="AK1882" s="33">
        <v>2050</v>
      </c>
      <c r="AL1882" s="45" t="str">
        <f t="shared" si="239"/>
        <v>*0.9</v>
      </c>
      <c r="AM1882" s="43" t="str">
        <f t="shared" si="241"/>
        <v>REZoning_Sol-Win</v>
      </c>
      <c r="AP1882" t="s">
        <v>2756</v>
      </c>
      <c r="AQ1882" t="s">
        <v>57</v>
      </c>
      <c r="AR1882">
        <v>2100</v>
      </c>
      <c r="AS1882" t="s">
        <v>897</v>
      </c>
      <c r="AT1882" t="s">
        <v>58</v>
      </c>
    </row>
    <row r="1883" ht="29" spans="1:46">
      <c r="A1883" s="31" t="s">
        <v>73</v>
      </c>
      <c r="C1883" t="s">
        <v>2757</v>
      </c>
      <c r="D1883" s="5" t="s">
        <v>57</v>
      </c>
      <c r="E1883">
        <v>2035</v>
      </c>
      <c r="F1883" s="6" t="str">
        <f t="shared" si="234"/>
        <v>*0.95</v>
      </c>
      <c r="H1883" t="s">
        <v>2757</v>
      </c>
      <c r="I1883" s="5" t="s">
        <v>57</v>
      </c>
      <c r="J1883">
        <v>2050</v>
      </c>
      <c r="K1883" s="38" t="str">
        <f t="shared" si="235"/>
        <v>*0.93</v>
      </c>
      <c r="P1883" s="32" t="s">
        <v>2757</v>
      </c>
      <c r="Q1883" s="42" t="s">
        <v>57</v>
      </c>
      <c r="R1883" s="32">
        <v>2035</v>
      </c>
      <c r="S1883" s="43" t="str">
        <f t="shared" si="236"/>
        <v>*0.95</v>
      </c>
      <c r="U1883" s="32" t="s">
        <v>2757</v>
      </c>
      <c r="V1883" s="42" t="s">
        <v>57</v>
      </c>
      <c r="W1883" s="32">
        <v>2050</v>
      </c>
      <c r="X1883" s="43" t="str">
        <f t="shared" si="237"/>
        <v>*0.93</v>
      </c>
      <c r="AC1883" s="33" t="s">
        <v>2757</v>
      </c>
      <c r="AD1883" s="44" t="s">
        <v>57</v>
      </c>
      <c r="AE1883" s="33">
        <v>2035</v>
      </c>
      <c r="AF1883" s="45" t="str">
        <f t="shared" si="238"/>
        <v>*0.93</v>
      </c>
      <c r="AG1883" s="43" t="str">
        <f t="shared" si="240"/>
        <v>REZoning_Sol-Win</v>
      </c>
      <c r="AI1883" s="33" t="s">
        <v>2757</v>
      </c>
      <c r="AJ1883" s="44" t="s">
        <v>57</v>
      </c>
      <c r="AK1883" s="33">
        <v>2050</v>
      </c>
      <c r="AL1883" s="45" t="str">
        <f t="shared" si="239"/>
        <v>*0.9</v>
      </c>
      <c r="AM1883" s="43" t="str">
        <f t="shared" si="241"/>
        <v>REZoning_Sol-Win</v>
      </c>
      <c r="AP1883" t="s">
        <v>2757</v>
      </c>
      <c r="AQ1883" t="s">
        <v>57</v>
      </c>
      <c r="AR1883">
        <v>2100</v>
      </c>
      <c r="AS1883" t="s">
        <v>897</v>
      </c>
      <c r="AT1883" t="s">
        <v>58</v>
      </c>
    </row>
    <row r="1884" ht="29" spans="1:46">
      <c r="A1884" s="31" t="s">
        <v>73</v>
      </c>
      <c r="C1884" t="s">
        <v>2758</v>
      </c>
      <c r="D1884" s="5" t="s">
        <v>57</v>
      </c>
      <c r="E1884">
        <v>2035</v>
      </c>
      <c r="F1884" s="6" t="str">
        <f t="shared" si="234"/>
        <v>*0.95</v>
      </c>
      <c r="H1884" t="s">
        <v>2758</v>
      </c>
      <c r="I1884" s="5" t="s">
        <v>57</v>
      </c>
      <c r="J1884">
        <v>2050</v>
      </c>
      <c r="K1884" s="38" t="str">
        <f t="shared" si="235"/>
        <v>*0.93</v>
      </c>
      <c r="P1884" s="32" t="s">
        <v>2758</v>
      </c>
      <c r="Q1884" s="42" t="s">
        <v>57</v>
      </c>
      <c r="R1884" s="32">
        <v>2035</v>
      </c>
      <c r="S1884" s="43" t="str">
        <f t="shared" si="236"/>
        <v>*0.95</v>
      </c>
      <c r="U1884" s="32" t="s">
        <v>2758</v>
      </c>
      <c r="V1884" s="42" t="s">
        <v>57</v>
      </c>
      <c r="W1884" s="32">
        <v>2050</v>
      </c>
      <c r="X1884" s="43" t="str">
        <f t="shared" si="237"/>
        <v>*0.93</v>
      </c>
      <c r="AC1884" s="33" t="s">
        <v>2758</v>
      </c>
      <c r="AD1884" s="44" t="s">
        <v>57</v>
      </c>
      <c r="AE1884" s="33">
        <v>2035</v>
      </c>
      <c r="AF1884" s="45" t="str">
        <f t="shared" si="238"/>
        <v>*0.93</v>
      </c>
      <c r="AG1884" s="43" t="str">
        <f t="shared" si="240"/>
        <v>REZoning_Sol-Win</v>
      </c>
      <c r="AI1884" s="33" t="s">
        <v>2758</v>
      </c>
      <c r="AJ1884" s="44" t="s">
        <v>57</v>
      </c>
      <c r="AK1884" s="33">
        <v>2050</v>
      </c>
      <c r="AL1884" s="45" t="str">
        <f t="shared" si="239"/>
        <v>*0.9</v>
      </c>
      <c r="AM1884" s="43" t="str">
        <f t="shared" si="241"/>
        <v>REZoning_Sol-Win</v>
      </c>
      <c r="AP1884" t="s">
        <v>2758</v>
      </c>
      <c r="AQ1884" t="s">
        <v>57</v>
      </c>
      <c r="AR1884">
        <v>2100</v>
      </c>
      <c r="AS1884" t="s">
        <v>897</v>
      </c>
      <c r="AT1884" t="s">
        <v>58</v>
      </c>
    </row>
    <row r="1885" ht="29" spans="1:46">
      <c r="A1885" s="31" t="s">
        <v>73</v>
      </c>
      <c r="C1885" t="s">
        <v>2759</v>
      </c>
      <c r="D1885" s="5" t="s">
        <v>57</v>
      </c>
      <c r="E1885">
        <v>2035</v>
      </c>
      <c r="F1885" s="6" t="str">
        <f t="shared" si="234"/>
        <v>*0.95</v>
      </c>
      <c r="H1885" t="s">
        <v>2759</v>
      </c>
      <c r="I1885" s="5" t="s">
        <v>57</v>
      </c>
      <c r="J1885">
        <v>2050</v>
      </c>
      <c r="K1885" s="38" t="str">
        <f t="shared" si="235"/>
        <v>*0.93</v>
      </c>
      <c r="P1885" s="32" t="s">
        <v>2759</v>
      </c>
      <c r="Q1885" s="42" t="s">
        <v>57</v>
      </c>
      <c r="R1885" s="32">
        <v>2035</v>
      </c>
      <c r="S1885" s="43" t="str">
        <f t="shared" si="236"/>
        <v>*0.95</v>
      </c>
      <c r="U1885" s="32" t="s">
        <v>2759</v>
      </c>
      <c r="V1885" s="42" t="s">
        <v>57</v>
      </c>
      <c r="W1885" s="32">
        <v>2050</v>
      </c>
      <c r="X1885" s="43" t="str">
        <f t="shared" si="237"/>
        <v>*0.93</v>
      </c>
      <c r="AC1885" s="33" t="s">
        <v>2759</v>
      </c>
      <c r="AD1885" s="44" t="s">
        <v>57</v>
      </c>
      <c r="AE1885" s="33">
        <v>2035</v>
      </c>
      <c r="AF1885" s="45" t="str">
        <f t="shared" si="238"/>
        <v>*0.93</v>
      </c>
      <c r="AG1885" s="43" t="str">
        <f t="shared" si="240"/>
        <v>REZoning_Sol-Win</v>
      </c>
      <c r="AI1885" s="33" t="s">
        <v>2759</v>
      </c>
      <c r="AJ1885" s="44" t="s">
        <v>57</v>
      </c>
      <c r="AK1885" s="33">
        <v>2050</v>
      </c>
      <c r="AL1885" s="45" t="str">
        <f t="shared" si="239"/>
        <v>*0.9</v>
      </c>
      <c r="AM1885" s="43" t="str">
        <f t="shared" si="241"/>
        <v>REZoning_Sol-Win</v>
      </c>
      <c r="AP1885" t="s">
        <v>2759</v>
      </c>
      <c r="AQ1885" t="s">
        <v>57</v>
      </c>
      <c r="AR1885">
        <v>2100</v>
      </c>
      <c r="AS1885" t="s">
        <v>897</v>
      </c>
      <c r="AT1885" t="s">
        <v>58</v>
      </c>
    </row>
    <row r="1886" ht="29" spans="1:46">
      <c r="A1886" s="31" t="s">
        <v>95</v>
      </c>
      <c r="C1886" t="s">
        <v>2760</v>
      </c>
      <c r="D1886" s="5" t="s">
        <v>57</v>
      </c>
      <c r="E1886">
        <v>2035</v>
      </c>
      <c r="F1886" s="6" t="str">
        <f t="shared" si="234"/>
        <v>*0.95</v>
      </c>
      <c r="H1886" t="s">
        <v>2760</v>
      </c>
      <c r="I1886" s="5" t="s">
        <v>57</v>
      </c>
      <c r="J1886">
        <v>2050</v>
      </c>
      <c r="K1886" s="38" t="str">
        <f t="shared" si="235"/>
        <v>*0.93</v>
      </c>
      <c r="P1886" s="32" t="s">
        <v>2760</v>
      </c>
      <c r="Q1886" s="42" t="s">
        <v>57</v>
      </c>
      <c r="R1886" s="32">
        <v>2035</v>
      </c>
      <c r="S1886" s="43" t="str">
        <f t="shared" si="236"/>
        <v>*0.95</v>
      </c>
      <c r="U1886" s="32" t="s">
        <v>2760</v>
      </c>
      <c r="V1886" s="42" t="s">
        <v>57</v>
      </c>
      <c r="W1886" s="32">
        <v>2050</v>
      </c>
      <c r="X1886" s="43" t="str">
        <f t="shared" si="237"/>
        <v>*0.91</v>
      </c>
      <c r="AC1886" s="33" t="s">
        <v>2760</v>
      </c>
      <c r="AD1886" s="44" t="s">
        <v>57</v>
      </c>
      <c r="AE1886" s="33">
        <v>2035</v>
      </c>
      <c r="AF1886" s="45" t="str">
        <f t="shared" si="238"/>
        <v>*0.91</v>
      </c>
      <c r="AG1886" s="43" t="str">
        <f t="shared" si="240"/>
        <v>REZoning_Sol-Win</v>
      </c>
      <c r="AI1886" s="33" t="s">
        <v>2760</v>
      </c>
      <c r="AJ1886" s="44" t="s">
        <v>57</v>
      </c>
      <c r="AK1886" s="33">
        <v>2050</v>
      </c>
      <c r="AL1886" s="45" t="str">
        <f t="shared" si="239"/>
        <v>*0.86</v>
      </c>
      <c r="AM1886" s="43" t="str">
        <f t="shared" si="241"/>
        <v>REZoning_Sol-Win</v>
      </c>
      <c r="AP1886" t="s">
        <v>2760</v>
      </c>
      <c r="AQ1886" t="s">
        <v>57</v>
      </c>
      <c r="AR1886">
        <v>2100</v>
      </c>
      <c r="AS1886" t="s">
        <v>883</v>
      </c>
      <c r="AT1886" t="s">
        <v>58</v>
      </c>
    </row>
    <row r="1887" ht="29" spans="1:46">
      <c r="A1887" s="31" t="s">
        <v>95</v>
      </c>
      <c r="C1887" t="s">
        <v>2761</v>
      </c>
      <c r="D1887" s="5" t="s">
        <v>57</v>
      </c>
      <c r="E1887">
        <v>2035</v>
      </c>
      <c r="F1887" s="6" t="str">
        <f t="shared" si="234"/>
        <v>*0.95</v>
      </c>
      <c r="H1887" t="s">
        <v>2761</v>
      </c>
      <c r="I1887" s="5" t="s">
        <v>57</v>
      </c>
      <c r="J1887">
        <v>2050</v>
      </c>
      <c r="K1887" s="38" t="str">
        <f t="shared" si="235"/>
        <v>*0.93</v>
      </c>
      <c r="P1887" s="32" t="s">
        <v>2761</v>
      </c>
      <c r="Q1887" s="42" t="s">
        <v>57</v>
      </c>
      <c r="R1887" s="32">
        <v>2035</v>
      </c>
      <c r="S1887" s="43" t="str">
        <f t="shared" si="236"/>
        <v>*0.95</v>
      </c>
      <c r="U1887" s="32" t="s">
        <v>2761</v>
      </c>
      <c r="V1887" s="42" t="s">
        <v>57</v>
      </c>
      <c r="W1887" s="32">
        <v>2050</v>
      </c>
      <c r="X1887" s="43" t="str">
        <f t="shared" si="237"/>
        <v>*0.91</v>
      </c>
      <c r="AC1887" s="33" t="s">
        <v>2761</v>
      </c>
      <c r="AD1887" s="44" t="s">
        <v>57</v>
      </c>
      <c r="AE1887" s="33">
        <v>2035</v>
      </c>
      <c r="AF1887" s="45" t="str">
        <f t="shared" si="238"/>
        <v>*0.91</v>
      </c>
      <c r="AG1887" s="43" t="str">
        <f t="shared" si="240"/>
        <v>REZoning_Sol-Win</v>
      </c>
      <c r="AI1887" s="33" t="s">
        <v>2761</v>
      </c>
      <c r="AJ1887" s="44" t="s">
        <v>57</v>
      </c>
      <c r="AK1887" s="33">
        <v>2050</v>
      </c>
      <c r="AL1887" s="45" t="str">
        <f t="shared" si="239"/>
        <v>*0.86</v>
      </c>
      <c r="AM1887" s="43" t="str">
        <f t="shared" si="241"/>
        <v>REZoning_Sol-Win</v>
      </c>
      <c r="AP1887" t="s">
        <v>2761</v>
      </c>
      <c r="AQ1887" t="s">
        <v>57</v>
      </c>
      <c r="AR1887">
        <v>2100</v>
      </c>
      <c r="AS1887" t="s">
        <v>883</v>
      </c>
      <c r="AT1887" t="s">
        <v>58</v>
      </c>
    </row>
    <row r="1888" ht="29" spans="1:46">
      <c r="A1888" s="31" t="s">
        <v>95</v>
      </c>
      <c r="C1888" t="s">
        <v>2762</v>
      </c>
      <c r="D1888" s="5" t="s">
        <v>57</v>
      </c>
      <c r="E1888">
        <v>2035</v>
      </c>
      <c r="F1888" s="6" t="str">
        <f t="shared" si="234"/>
        <v>*0.95</v>
      </c>
      <c r="H1888" t="s">
        <v>2762</v>
      </c>
      <c r="I1888" s="5" t="s">
        <v>57</v>
      </c>
      <c r="J1888">
        <v>2050</v>
      </c>
      <c r="K1888" s="38" t="str">
        <f t="shared" si="235"/>
        <v>*0.93</v>
      </c>
      <c r="P1888" s="32" t="s">
        <v>2762</v>
      </c>
      <c r="Q1888" s="42" t="s">
        <v>57</v>
      </c>
      <c r="R1888" s="32">
        <v>2035</v>
      </c>
      <c r="S1888" s="43" t="str">
        <f t="shared" si="236"/>
        <v>*0.95</v>
      </c>
      <c r="U1888" s="32" t="s">
        <v>2762</v>
      </c>
      <c r="V1888" s="42" t="s">
        <v>57</v>
      </c>
      <c r="W1888" s="32">
        <v>2050</v>
      </c>
      <c r="X1888" s="43" t="str">
        <f t="shared" si="237"/>
        <v>*0.91</v>
      </c>
      <c r="AC1888" s="33" t="s">
        <v>2762</v>
      </c>
      <c r="AD1888" s="44" t="s">
        <v>57</v>
      </c>
      <c r="AE1888" s="33">
        <v>2035</v>
      </c>
      <c r="AF1888" s="45" t="str">
        <f t="shared" si="238"/>
        <v>*0.91</v>
      </c>
      <c r="AG1888" s="43" t="str">
        <f t="shared" si="240"/>
        <v>REZoning_Sol-Win</v>
      </c>
      <c r="AI1888" s="33" t="s">
        <v>2762</v>
      </c>
      <c r="AJ1888" s="44" t="s">
        <v>57</v>
      </c>
      <c r="AK1888" s="33">
        <v>2050</v>
      </c>
      <c r="AL1888" s="45" t="str">
        <f t="shared" si="239"/>
        <v>*0.86</v>
      </c>
      <c r="AM1888" s="43" t="str">
        <f t="shared" si="241"/>
        <v>REZoning_Sol-Win</v>
      </c>
      <c r="AP1888" t="s">
        <v>2762</v>
      </c>
      <c r="AQ1888" t="s">
        <v>57</v>
      </c>
      <c r="AR1888">
        <v>2100</v>
      </c>
      <c r="AS1888" t="s">
        <v>883</v>
      </c>
      <c r="AT1888" t="s">
        <v>58</v>
      </c>
    </row>
    <row r="1889" ht="29" spans="1:46">
      <c r="A1889" s="31" t="s">
        <v>95</v>
      </c>
      <c r="C1889" t="s">
        <v>2763</v>
      </c>
      <c r="D1889" s="5" t="s">
        <v>57</v>
      </c>
      <c r="E1889">
        <v>2035</v>
      </c>
      <c r="F1889" s="6" t="str">
        <f t="shared" si="234"/>
        <v>*0.95</v>
      </c>
      <c r="H1889" t="s">
        <v>2763</v>
      </c>
      <c r="I1889" s="5" t="s">
        <v>57</v>
      </c>
      <c r="J1889">
        <v>2050</v>
      </c>
      <c r="K1889" s="38" t="str">
        <f t="shared" si="235"/>
        <v>*0.93</v>
      </c>
      <c r="P1889" s="32" t="s">
        <v>2763</v>
      </c>
      <c r="Q1889" s="42" t="s">
        <v>57</v>
      </c>
      <c r="R1889" s="32">
        <v>2035</v>
      </c>
      <c r="S1889" s="43" t="str">
        <f t="shared" si="236"/>
        <v>*0.95</v>
      </c>
      <c r="U1889" s="32" t="s">
        <v>2763</v>
      </c>
      <c r="V1889" s="42" t="s">
        <v>57</v>
      </c>
      <c r="W1889" s="32">
        <v>2050</v>
      </c>
      <c r="X1889" s="43" t="str">
        <f t="shared" si="237"/>
        <v>*0.91</v>
      </c>
      <c r="AC1889" s="33" t="s">
        <v>2763</v>
      </c>
      <c r="AD1889" s="44" t="s">
        <v>57</v>
      </c>
      <c r="AE1889" s="33">
        <v>2035</v>
      </c>
      <c r="AF1889" s="45" t="str">
        <f t="shared" si="238"/>
        <v>*0.91</v>
      </c>
      <c r="AG1889" s="43" t="str">
        <f t="shared" si="240"/>
        <v>REZoning_Sol-Win</v>
      </c>
      <c r="AI1889" s="33" t="s">
        <v>2763</v>
      </c>
      <c r="AJ1889" s="44" t="s">
        <v>57</v>
      </c>
      <c r="AK1889" s="33">
        <v>2050</v>
      </c>
      <c r="AL1889" s="45" t="str">
        <f t="shared" si="239"/>
        <v>*0.86</v>
      </c>
      <c r="AM1889" s="43" t="str">
        <f t="shared" si="241"/>
        <v>REZoning_Sol-Win</v>
      </c>
      <c r="AP1889" t="s">
        <v>2763</v>
      </c>
      <c r="AQ1889" t="s">
        <v>57</v>
      </c>
      <c r="AR1889">
        <v>2100</v>
      </c>
      <c r="AS1889" t="s">
        <v>883</v>
      </c>
      <c r="AT1889" t="s">
        <v>58</v>
      </c>
    </row>
    <row r="1890" ht="29" spans="1:46">
      <c r="A1890" s="31" t="s">
        <v>95</v>
      </c>
      <c r="C1890" t="s">
        <v>2764</v>
      </c>
      <c r="D1890" s="5" t="s">
        <v>57</v>
      </c>
      <c r="E1890">
        <v>2035</v>
      </c>
      <c r="F1890" s="6" t="str">
        <f t="shared" si="234"/>
        <v>*0.95</v>
      </c>
      <c r="H1890" t="s">
        <v>2764</v>
      </c>
      <c r="I1890" s="5" t="s">
        <v>57</v>
      </c>
      <c r="J1890">
        <v>2050</v>
      </c>
      <c r="K1890" s="38" t="str">
        <f t="shared" si="235"/>
        <v>*0.93</v>
      </c>
      <c r="P1890" s="32" t="s">
        <v>2764</v>
      </c>
      <c r="Q1890" s="42" t="s">
        <v>57</v>
      </c>
      <c r="R1890" s="32">
        <v>2035</v>
      </c>
      <c r="S1890" s="43" t="str">
        <f t="shared" si="236"/>
        <v>*0.95</v>
      </c>
      <c r="U1890" s="32" t="s">
        <v>2764</v>
      </c>
      <c r="V1890" s="42" t="s">
        <v>57</v>
      </c>
      <c r="W1890" s="32">
        <v>2050</v>
      </c>
      <c r="X1890" s="43" t="str">
        <f t="shared" si="237"/>
        <v>*0.91</v>
      </c>
      <c r="AC1890" s="33" t="s">
        <v>2764</v>
      </c>
      <c r="AD1890" s="44" t="s">
        <v>57</v>
      </c>
      <c r="AE1890" s="33">
        <v>2035</v>
      </c>
      <c r="AF1890" s="45" t="str">
        <f t="shared" si="238"/>
        <v>*0.91</v>
      </c>
      <c r="AG1890" s="43" t="str">
        <f t="shared" si="240"/>
        <v>REZoning_Sol-Win</v>
      </c>
      <c r="AI1890" s="33" t="s">
        <v>2764</v>
      </c>
      <c r="AJ1890" s="44" t="s">
        <v>57</v>
      </c>
      <c r="AK1890" s="33">
        <v>2050</v>
      </c>
      <c r="AL1890" s="45" t="str">
        <f t="shared" si="239"/>
        <v>*0.86</v>
      </c>
      <c r="AM1890" s="43" t="str">
        <f t="shared" si="241"/>
        <v>REZoning_Sol-Win</v>
      </c>
      <c r="AP1890" t="s">
        <v>2764</v>
      </c>
      <c r="AQ1890" t="s">
        <v>57</v>
      </c>
      <c r="AR1890">
        <v>2100</v>
      </c>
      <c r="AS1890" t="s">
        <v>883</v>
      </c>
      <c r="AT1890" t="s">
        <v>58</v>
      </c>
    </row>
    <row r="1891" ht="29" spans="1:46">
      <c r="A1891" s="31" t="s">
        <v>95</v>
      </c>
      <c r="C1891" t="s">
        <v>2765</v>
      </c>
      <c r="D1891" s="5" t="s">
        <v>57</v>
      </c>
      <c r="E1891">
        <v>2035</v>
      </c>
      <c r="F1891" s="6" t="str">
        <f t="shared" si="234"/>
        <v>*0.95</v>
      </c>
      <c r="H1891" t="s">
        <v>2765</v>
      </c>
      <c r="I1891" s="5" t="s">
        <v>57</v>
      </c>
      <c r="J1891">
        <v>2050</v>
      </c>
      <c r="K1891" s="38" t="str">
        <f t="shared" si="235"/>
        <v>*0.93</v>
      </c>
      <c r="P1891" s="32" t="s">
        <v>2765</v>
      </c>
      <c r="Q1891" s="42" t="s">
        <v>57</v>
      </c>
      <c r="R1891" s="32">
        <v>2035</v>
      </c>
      <c r="S1891" s="43" t="str">
        <f t="shared" si="236"/>
        <v>*0.95</v>
      </c>
      <c r="U1891" s="32" t="s">
        <v>2765</v>
      </c>
      <c r="V1891" s="42" t="s">
        <v>57</v>
      </c>
      <c r="W1891" s="32">
        <v>2050</v>
      </c>
      <c r="X1891" s="43" t="str">
        <f t="shared" si="237"/>
        <v>*0.91</v>
      </c>
      <c r="AC1891" s="33" t="s">
        <v>2765</v>
      </c>
      <c r="AD1891" s="44" t="s">
        <v>57</v>
      </c>
      <c r="AE1891" s="33">
        <v>2035</v>
      </c>
      <c r="AF1891" s="45" t="str">
        <f t="shared" si="238"/>
        <v>*0.91</v>
      </c>
      <c r="AG1891" s="43" t="str">
        <f t="shared" si="240"/>
        <v>REZoning_Sol-Win</v>
      </c>
      <c r="AI1891" s="33" t="s">
        <v>2765</v>
      </c>
      <c r="AJ1891" s="44" t="s">
        <v>57</v>
      </c>
      <c r="AK1891" s="33">
        <v>2050</v>
      </c>
      <c r="AL1891" s="45" t="str">
        <f t="shared" si="239"/>
        <v>*0.86</v>
      </c>
      <c r="AM1891" s="43" t="str">
        <f t="shared" si="241"/>
        <v>REZoning_Sol-Win</v>
      </c>
      <c r="AP1891" t="s">
        <v>2765</v>
      </c>
      <c r="AQ1891" t="s">
        <v>57</v>
      </c>
      <c r="AR1891">
        <v>2100</v>
      </c>
      <c r="AS1891" t="s">
        <v>883</v>
      </c>
      <c r="AT1891" t="s">
        <v>58</v>
      </c>
    </row>
    <row r="1892" ht="29" spans="1:46">
      <c r="A1892" s="31" t="s">
        <v>95</v>
      </c>
      <c r="C1892" t="s">
        <v>2766</v>
      </c>
      <c r="D1892" s="5" t="s">
        <v>57</v>
      </c>
      <c r="E1892">
        <v>2035</v>
      </c>
      <c r="F1892" s="6" t="str">
        <f t="shared" si="234"/>
        <v>*0.95</v>
      </c>
      <c r="H1892" t="s">
        <v>2766</v>
      </c>
      <c r="I1892" s="5" t="s">
        <v>57</v>
      </c>
      <c r="J1892">
        <v>2050</v>
      </c>
      <c r="K1892" s="38" t="str">
        <f t="shared" si="235"/>
        <v>*0.93</v>
      </c>
      <c r="P1892" s="32" t="s">
        <v>2766</v>
      </c>
      <c r="Q1892" s="42" t="s">
        <v>57</v>
      </c>
      <c r="R1892" s="32">
        <v>2035</v>
      </c>
      <c r="S1892" s="43" t="str">
        <f t="shared" si="236"/>
        <v>*0.95</v>
      </c>
      <c r="U1892" s="32" t="s">
        <v>2766</v>
      </c>
      <c r="V1892" s="42" t="s">
        <v>57</v>
      </c>
      <c r="W1892" s="32">
        <v>2050</v>
      </c>
      <c r="X1892" s="43" t="str">
        <f t="shared" si="237"/>
        <v>*0.91</v>
      </c>
      <c r="AC1892" s="33" t="s">
        <v>2766</v>
      </c>
      <c r="AD1892" s="44" t="s">
        <v>57</v>
      </c>
      <c r="AE1892" s="33">
        <v>2035</v>
      </c>
      <c r="AF1892" s="45" t="str">
        <f t="shared" si="238"/>
        <v>*0.91</v>
      </c>
      <c r="AG1892" s="43" t="str">
        <f t="shared" si="240"/>
        <v>REZoning_Sol-Win</v>
      </c>
      <c r="AI1892" s="33" t="s">
        <v>2766</v>
      </c>
      <c r="AJ1892" s="44" t="s">
        <v>57</v>
      </c>
      <c r="AK1892" s="33">
        <v>2050</v>
      </c>
      <c r="AL1892" s="45" t="str">
        <f t="shared" si="239"/>
        <v>*0.86</v>
      </c>
      <c r="AM1892" s="43" t="str">
        <f t="shared" si="241"/>
        <v>REZoning_Sol-Win</v>
      </c>
      <c r="AP1892" t="s">
        <v>2766</v>
      </c>
      <c r="AQ1892" t="s">
        <v>57</v>
      </c>
      <c r="AR1892">
        <v>2100</v>
      </c>
      <c r="AS1892" t="s">
        <v>883</v>
      </c>
      <c r="AT1892" t="s">
        <v>58</v>
      </c>
    </row>
    <row r="1893" ht="29" spans="1:46">
      <c r="A1893" s="31" t="s">
        <v>95</v>
      </c>
      <c r="C1893" t="s">
        <v>2767</v>
      </c>
      <c r="D1893" s="5" t="s">
        <v>57</v>
      </c>
      <c r="E1893">
        <v>2035</v>
      </c>
      <c r="F1893" s="6" t="str">
        <f t="shared" si="234"/>
        <v>*0.95</v>
      </c>
      <c r="H1893" t="s">
        <v>2767</v>
      </c>
      <c r="I1893" s="5" t="s">
        <v>57</v>
      </c>
      <c r="J1893">
        <v>2050</v>
      </c>
      <c r="K1893" s="38" t="str">
        <f t="shared" si="235"/>
        <v>*0.93</v>
      </c>
      <c r="P1893" s="32" t="s">
        <v>2767</v>
      </c>
      <c r="Q1893" s="42" t="s">
        <v>57</v>
      </c>
      <c r="R1893" s="32">
        <v>2035</v>
      </c>
      <c r="S1893" s="43" t="str">
        <f t="shared" si="236"/>
        <v>*0.95</v>
      </c>
      <c r="U1893" s="32" t="s">
        <v>2767</v>
      </c>
      <c r="V1893" s="42" t="s">
        <v>57</v>
      </c>
      <c r="W1893" s="32">
        <v>2050</v>
      </c>
      <c r="X1893" s="43" t="str">
        <f t="shared" si="237"/>
        <v>*0.91</v>
      </c>
      <c r="AC1893" s="33" t="s">
        <v>2767</v>
      </c>
      <c r="AD1893" s="44" t="s">
        <v>57</v>
      </c>
      <c r="AE1893" s="33">
        <v>2035</v>
      </c>
      <c r="AF1893" s="45" t="str">
        <f t="shared" si="238"/>
        <v>*0.91</v>
      </c>
      <c r="AG1893" s="43" t="str">
        <f t="shared" si="240"/>
        <v>REZoning_Sol-Win</v>
      </c>
      <c r="AI1893" s="33" t="s">
        <v>2767</v>
      </c>
      <c r="AJ1893" s="44" t="s">
        <v>57</v>
      </c>
      <c r="AK1893" s="33">
        <v>2050</v>
      </c>
      <c r="AL1893" s="45" t="str">
        <f t="shared" si="239"/>
        <v>*0.86</v>
      </c>
      <c r="AM1893" s="43" t="str">
        <f t="shared" si="241"/>
        <v>REZoning_Sol-Win</v>
      </c>
      <c r="AP1893" t="s">
        <v>2767</v>
      </c>
      <c r="AQ1893" t="s">
        <v>57</v>
      </c>
      <c r="AR1893">
        <v>2100</v>
      </c>
      <c r="AS1893" t="s">
        <v>883</v>
      </c>
      <c r="AT1893" t="s">
        <v>58</v>
      </c>
    </row>
    <row r="1894" ht="29" spans="1:46">
      <c r="A1894" s="31" t="s">
        <v>95</v>
      </c>
      <c r="C1894" t="s">
        <v>2768</v>
      </c>
      <c r="D1894" s="5" t="s">
        <v>57</v>
      </c>
      <c r="E1894">
        <v>2035</v>
      </c>
      <c r="F1894" s="6" t="str">
        <f t="shared" si="234"/>
        <v>*0.95</v>
      </c>
      <c r="H1894" t="s">
        <v>2768</v>
      </c>
      <c r="I1894" s="5" t="s">
        <v>57</v>
      </c>
      <c r="J1894">
        <v>2050</v>
      </c>
      <c r="K1894" s="38" t="str">
        <f t="shared" si="235"/>
        <v>*0.93</v>
      </c>
      <c r="P1894" s="32" t="s">
        <v>2768</v>
      </c>
      <c r="Q1894" s="42" t="s">
        <v>57</v>
      </c>
      <c r="R1894" s="32">
        <v>2035</v>
      </c>
      <c r="S1894" s="43" t="str">
        <f t="shared" si="236"/>
        <v>*0.95</v>
      </c>
      <c r="U1894" s="32" t="s">
        <v>2768</v>
      </c>
      <c r="V1894" s="42" t="s">
        <v>57</v>
      </c>
      <c r="W1894" s="32">
        <v>2050</v>
      </c>
      <c r="X1894" s="43" t="str">
        <f t="shared" si="237"/>
        <v>*0.91</v>
      </c>
      <c r="AC1894" s="33" t="s">
        <v>2768</v>
      </c>
      <c r="AD1894" s="44" t="s">
        <v>57</v>
      </c>
      <c r="AE1894" s="33">
        <v>2035</v>
      </c>
      <c r="AF1894" s="45" t="str">
        <f t="shared" si="238"/>
        <v>*0.91</v>
      </c>
      <c r="AG1894" s="43" t="str">
        <f t="shared" si="240"/>
        <v>REZoning_Sol-Win</v>
      </c>
      <c r="AI1894" s="33" t="s">
        <v>2768</v>
      </c>
      <c r="AJ1894" s="44" t="s">
        <v>57</v>
      </c>
      <c r="AK1894" s="33">
        <v>2050</v>
      </c>
      <c r="AL1894" s="45" t="str">
        <f t="shared" si="239"/>
        <v>*0.86</v>
      </c>
      <c r="AM1894" s="43" t="str">
        <f t="shared" si="241"/>
        <v>REZoning_Sol-Win</v>
      </c>
      <c r="AP1894" t="s">
        <v>2768</v>
      </c>
      <c r="AQ1894" t="s">
        <v>57</v>
      </c>
      <c r="AR1894">
        <v>2100</v>
      </c>
      <c r="AS1894" t="s">
        <v>883</v>
      </c>
      <c r="AT1894" t="s">
        <v>58</v>
      </c>
    </row>
    <row r="1895" ht="29" spans="1:46">
      <c r="A1895" s="31" t="s">
        <v>95</v>
      </c>
      <c r="C1895" t="s">
        <v>2769</v>
      </c>
      <c r="D1895" s="5" t="s">
        <v>57</v>
      </c>
      <c r="E1895">
        <v>2035</v>
      </c>
      <c r="F1895" s="6" t="str">
        <f t="shared" si="234"/>
        <v>*0.95</v>
      </c>
      <c r="H1895" t="s">
        <v>2769</v>
      </c>
      <c r="I1895" s="5" t="s">
        <v>57</v>
      </c>
      <c r="J1895">
        <v>2050</v>
      </c>
      <c r="K1895" s="38" t="str">
        <f t="shared" si="235"/>
        <v>*0.93</v>
      </c>
      <c r="P1895" s="32" t="s">
        <v>2769</v>
      </c>
      <c r="Q1895" s="42" t="s">
        <v>57</v>
      </c>
      <c r="R1895" s="32">
        <v>2035</v>
      </c>
      <c r="S1895" s="43" t="str">
        <f t="shared" si="236"/>
        <v>*0.95</v>
      </c>
      <c r="U1895" s="32" t="s">
        <v>2769</v>
      </c>
      <c r="V1895" s="42" t="s">
        <v>57</v>
      </c>
      <c r="W1895" s="32">
        <v>2050</v>
      </c>
      <c r="X1895" s="43" t="str">
        <f t="shared" si="237"/>
        <v>*0.91</v>
      </c>
      <c r="AC1895" s="33" t="s">
        <v>2769</v>
      </c>
      <c r="AD1895" s="44" t="s">
        <v>57</v>
      </c>
      <c r="AE1895" s="33">
        <v>2035</v>
      </c>
      <c r="AF1895" s="45" t="str">
        <f t="shared" si="238"/>
        <v>*0.91</v>
      </c>
      <c r="AG1895" s="43" t="str">
        <f t="shared" si="240"/>
        <v>REZoning_Sol-Win</v>
      </c>
      <c r="AI1895" s="33" t="s">
        <v>2769</v>
      </c>
      <c r="AJ1895" s="44" t="s">
        <v>57</v>
      </c>
      <c r="AK1895" s="33">
        <v>2050</v>
      </c>
      <c r="AL1895" s="45" t="str">
        <f t="shared" si="239"/>
        <v>*0.86</v>
      </c>
      <c r="AM1895" s="43" t="str">
        <f t="shared" si="241"/>
        <v>REZoning_Sol-Win</v>
      </c>
      <c r="AP1895" t="s">
        <v>2769</v>
      </c>
      <c r="AQ1895" t="s">
        <v>57</v>
      </c>
      <c r="AR1895">
        <v>2100</v>
      </c>
      <c r="AS1895" t="s">
        <v>883</v>
      </c>
      <c r="AT1895" t="s">
        <v>58</v>
      </c>
    </row>
    <row r="1896" ht="29" spans="1:46">
      <c r="A1896" s="31" t="s">
        <v>95</v>
      </c>
      <c r="C1896" t="s">
        <v>2770</v>
      </c>
      <c r="D1896" s="5" t="s">
        <v>57</v>
      </c>
      <c r="E1896">
        <v>2035</v>
      </c>
      <c r="F1896" s="6" t="str">
        <f t="shared" si="234"/>
        <v>*0.95</v>
      </c>
      <c r="H1896" t="s">
        <v>2770</v>
      </c>
      <c r="I1896" s="5" t="s">
        <v>57</v>
      </c>
      <c r="J1896">
        <v>2050</v>
      </c>
      <c r="K1896" s="38" t="str">
        <f t="shared" si="235"/>
        <v>*0.93</v>
      </c>
      <c r="P1896" s="32" t="s">
        <v>2770</v>
      </c>
      <c r="Q1896" s="42" t="s">
        <v>57</v>
      </c>
      <c r="R1896" s="32">
        <v>2035</v>
      </c>
      <c r="S1896" s="43" t="str">
        <f t="shared" si="236"/>
        <v>*0.95</v>
      </c>
      <c r="U1896" s="32" t="s">
        <v>2770</v>
      </c>
      <c r="V1896" s="42" t="s">
        <v>57</v>
      </c>
      <c r="W1896" s="32">
        <v>2050</v>
      </c>
      <c r="X1896" s="43" t="str">
        <f t="shared" si="237"/>
        <v>*0.91</v>
      </c>
      <c r="AC1896" s="33" t="s">
        <v>2770</v>
      </c>
      <c r="AD1896" s="44" t="s">
        <v>57</v>
      </c>
      <c r="AE1896" s="33">
        <v>2035</v>
      </c>
      <c r="AF1896" s="45" t="str">
        <f t="shared" si="238"/>
        <v>*0.91</v>
      </c>
      <c r="AG1896" s="43" t="str">
        <f t="shared" si="240"/>
        <v>REZoning_Sol-Win</v>
      </c>
      <c r="AI1896" s="33" t="s">
        <v>2770</v>
      </c>
      <c r="AJ1896" s="44" t="s">
        <v>57</v>
      </c>
      <c r="AK1896" s="33">
        <v>2050</v>
      </c>
      <c r="AL1896" s="45" t="str">
        <f t="shared" si="239"/>
        <v>*0.86</v>
      </c>
      <c r="AM1896" s="43" t="str">
        <f t="shared" si="241"/>
        <v>REZoning_Sol-Win</v>
      </c>
      <c r="AP1896" t="s">
        <v>2770</v>
      </c>
      <c r="AQ1896" t="s">
        <v>57</v>
      </c>
      <c r="AR1896">
        <v>2100</v>
      </c>
      <c r="AS1896" t="s">
        <v>883</v>
      </c>
      <c r="AT1896" t="s">
        <v>58</v>
      </c>
    </row>
    <row r="1897" ht="29" spans="1:46">
      <c r="A1897" s="31" t="s">
        <v>95</v>
      </c>
      <c r="C1897" t="s">
        <v>2771</v>
      </c>
      <c r="D1897" s="5" t="s">
        <v>57</v>
      </c>
      <c r="E1897">
        <v>2035</v>
      </c>
      <c r="F1897" s="6" t="str">
        <f t="shared" si="234"/>
        <v>*0.95</v>
      </c>
      <c r="H1897" t="s">
        <v>2771</v>
      </c>
      <c r="I1897" s="5" t="s">
        <v>57</v>
      </c>
      <c r="J1897">
        <v>2050</v>
      </c>
      <c r="K1897" s="38" t="str">
        <f t="shared" si="235"/>
        <v>*0.93</v>
      </c>
      <c r="P1897" s="32" t="s">
        <v>2771</v>
      </c>
      <c r="Q1897" s="42" t="s">
        <v>57</v>
      </c>
      <c r="R1897" s="32">
        <v>2035</v>
      </c>
      <c r="S1897" s="43" t="str">
        <f t="shared" si="236"/>
        <v>*0.95</v>
      </c>
      <c r="U1897" s="32" t="s">
        <v>2771</v>
      </c>
      <c r="V1897" s="42" t="s">
        <v>57</v>
      </c>
      <c r="W1897" s="32">
        <v>2050</v>
      </c>
      <c r="X1897" s="43" t="str">
        <f t="shared" si="237"/>
        <v>*0.91</v>
      </c>
      <c r="AC1897" s="33" t="s">
        <v>2771</v>
      </c>
      <c r="AD1897" s="44" t="s">
        <v>57</v>
      </c>
      <c r="AE1897" s="33">
        <v>2035</v>
      </c>
      <c r="AF1897" s="45" t="str">
        <f t="shared" si="238"/>
        <v>*0.91</v>
      </c>
      <c r="AG1897" s="43" t="str">
        <f t="shared" si="240"/>
        <v>REZoning_Sol-Win</v>
      </c>
      <c r="AI1897" s="33" t="s">
        <v>2771</v>
      </c>
      <c r="AJ1897" s="44" t="s">
        <v>57</v>
      </c>
      <c r="AK1897" s="33">
        <v>2050</v>
      </c>
      <c r="AL1897" s="45" t="str">
        <f t="shared" si="239"/>
        <v>*0.86</v>
      </c>
      <c r="AM1897" s="43" t="str">
        <f t="shared" si="241"/>
        <v>REZoning_Sol-Win</v>
      </c>
      <c r="AP1897" t="s">
        <v>2771</v>
      </c>
      <c r="AQ1897" t="s">
        <v>57</v>
      </c>
      <c r="AR1897">
        <v>2100</v>
      </c>
      <c r="AS1897" t="s">
        <v>883</v>
      </c>
      <c r="AT1897" t="s">
        <v>58</v>
      </c>
    </row>
    <row r="1898" ht="29" spans="1:46">
      <c r="A1898" s="31" t="s">
        <v>95</v>
      </c>
      <c r="C1898" t="s">
        <v>2772</v>
      </c>
      <c r="D1898" s="5" t="s">
        <v>57</v>
      </c>
      <c r="E1898">
        <v>2035</v>
      </c>
      <c r="F1898" s="6" t="str">
        <f t="shared" si="234"/>
        <v>*0.95</v>
      </c>
      <c r="H1898" t="s">
        <v>2772</v>
      </c>
      <c r="I1898" s="5" t="s">
        <v>57</v>
      </c>
      <c r="J1898">
        <v>2050</v>
      </c>
      <c r="K1898" s="38" t="str">
        <f t="shared" si="235"/>
        <v>*0.93</v>
      </c>
      <c r="P1898" s="32" t="s">
        <v>2772</v>
      </c>
      <c r="Q1898" s="42" t="s">
        <v>57</v>
      </c>
      <c r="R1898" s="32">
        <v>2035</v>
      </c>
      <c r="S1898" s="43" t="str">
        <f t="shared" si="236"/>
        <v>*0.95</v>
      </c>
      <c r="U1898" s="32" t="s">
        <v>2772</v>
      </c>
      <c r="V1898" s="42" t="s">
        <v>57</v>
      </c>
      <c r="W1898" s="32">
        <v>2050</v>
      </c>
      <c r="X1898" s="43" t="str">
        <f t="shared" si="237"/>
        <v>*0.91</v>
      </c>
      <c r="AC1898" s="33" t="s">
        <v>2772</v>
      </c>
      <c r="AD1898" s="44" t="s">
        <v>57</v>
      </c>
      <c r="AE1898" s="33">
        <v>2035</v>
      </c>
      <c r="AF1898" s="45" t="str">
        <f t="shared" si="238"/>
        <v>*0.91</v>
      </c>
      <c r="AG1898" s="43" t="str">
        <f t="shared" si="240"/>
        <v>REZoning_Sol-Win</v>
      </c>
      <c r="AI1898" s="33" t="s">
        <v>2772</v>
      </c>
      <c r="AJ1898" s="44" t="s">
        <v>57</v>
      </c>
      <c r="AK1898" s="33">
        <v>2050</v>
      </c>
      <c r="AL1898" s="45" t="str">
        <f t="shared" si="239"/>
        <v>*0.86</v>
      </c>
      <c r="AM1898" s="43" t="str">
        <f t="shared" si="241"/>
        <v>REZoning_Sol-Win</v>
      </c>
      <c r="AP1898" t="s">
        <v>2772</v>
      </c>
      <c r="AQ1898" t="s">
        <v>57</v>
      </c>
      <c r="AR1898">
        <v>2100</v>
      </c>
      <c r="AS1898" t="s">
        <v>883</v>
      </c>
      <c r="AT1898" t="s">
        <v>58</v>
      </c>
    </row>
    <row r="1899" ht="29" spans="1:46">
      <c r="A1899" s="31" t="s">
        <v>95</v>
      </c>
      <c r="C1899" t="s">
        <v>2773</v>
      </c>
      <c r="D1899" s="5" t="s">
        <v>57</v>
      </c>
      <c r="E1899">
        <v>2035</v>
      </c>
      <c r="F1899" s="6" t="str">
        <f t="shared" si="234"/>
        <v>*0.95</v>
      </c>
      <c r="H1899" t="s">
        <v>2773</v>
      </c>
      <c r="I1899" s="5" t="s">
        <v>57</v>
      </c>
      <c r="J1899">
        <v>2050</v>
      </c>
      <c r="K1899" s="38" t="str">
        <f t="shared" si="235"/>
        <v>*0.93</v>
      </c>
      <c r="P1899" s="32" t="s">
        <v>2773</v>
      </c>
      <c r="Q1899" s="42" t="s">
        <v>57</v>
      </c>
      <c r="R1899" s="32">
        <v>2035</v>
      </c>
      <c r="S1899" s="43" t="str">
        <f t="shared" si="236"/>
        <v>*0.95</v>
      </c>
      <c r="U1899" s="32" t="s">
        <v>2773</v>
      </c>
      <c r="V1899" s="42" t="s">
        <v>57</v>
      </c>
      <c r="W1899" s="32">
        <v>2050</v>
      </c>
      <c r="X1899" s="43" t="str">
        <f t="shared" si="237"/>
        <v>*0.91</v>
      </c>
      <c r="AC1899" s="33" t="s">
        <v>2773</v>
      </c>
      <c r="AD1899" s="44" t="s">
        <v>57</v>
      </c>
      <c r="AE1899" s="33">
        <v>2035</v>
      </c>
      <c r="AF1899" s="45" t="str">
        <f t="shared" si="238"/>
        <v>*0.91</v>
      </c>
      <c r="AG1899" s="43" t="str">
        <f t="shared" si="240"/>
        <v>REZoning_Sol-Win</v>
      </c>
      <c r="AI1899" s="33" t="s">
        <v>2773</v>
      </c>
      <c r="AJ1899" s="44" t="s">
        <v>57</v>
      </c>
      <c r="AK1899" s="33">
        <v>2050</v>
      </c>
      <c r="AL1899" s="45" t="str">
        <f t="shared" si="239"/>
        <v>*0.86</v>
      </c>
      <c r="AM1899" s="43" t="str">
        <f t="shared" si="241"/>
        <v>REZoning_Sol-Win</v>
      </c>
      <c r="AP1899" t="s">
        <v>2773</v>
      </c>
      <c r="AQ1899" t="s">
        <v>57</v>
      </c>
      <c r="AR1899">
        <v>2100</v>
      </c>
      <c r="AS1899" t="s">
        <v>883</v>
      </c>
      <c r="AT1899" t="s">
        <v>58</v>
      </c>
    </row>
    <row r="1900" ht="29" spans="1:46">
      <c r="A1900" s="31" t="s">
        <v>95</v>
      </c>
      <c r="C1900" t="s">
        <v>2774</v>
      </c>
      <c r="D1900" s="5" t="s">
        <v>57</v>
      </c>
      <c r="E1900">
        <v>2035</v>
      </c>
      <c r="F1900" s="6" t="str">
        <f t="shared" si="234"/>
        <v>*0.95</v>
      </c>
      <c r="H1900" t="s">
        <v>2774</v>
      </c>
      <c r="I1900" s="5" t="s">
        <v>57</v>
      </c>
      <c r="J1900">
        <v>2050</v>
      </c>
      <c r="K1900" s="38" t="str">
        <f t="shared" si="235"/>
        <v>*0.93</v>
      </c>
      <c r="P1900" s="32" t="s">
        <v>2774</v>
      </c>
      <c r="Q1900" s="42" t="s">
        <v>57</v>
      </c>
      <c r="R1900" s="32">
        <v>2035</v>
      </c>
      <c r="S1900" s="43" t="str">
        <f t="shared" si="236"/>
        <v>*0.95</v>
      </c>
      <c r="U1900" s="32" t="s">
        <v>2774</v>
      </c>
      <c r="V1900" s="42" t="s">
        <v>57</v>
      </c>
      <c r="W1900" s="32">
        <v>2050</v>
      </c>
      <c r="X1900" s="43" t="str">
        <f t="shared" si="237"/>
        <v>*0.91</v>
      </c>
      <c r="AC1900" s="33" t="s">
        <v>2774</v>
      </c>
      <c r="AD1900" s="44" t="s">
        <v>57</v>
      </c>
      <c r="AE1900" s="33">
        <v>2035</v>
      </c>
      <c r="AF1900" s="45" t="str">
        <f t="shared" si="238"/>
        <v>*0.91</v>
      </c>
      <c r="AG1900" s="43" t="str">
        <f t="shared" si="240"/>
        <v>REZoning_Sol-Win</v>
      </c>
      <c r="AI1900" s="33" t="s">
        <v>2774</v>
      </c>
      <c r="AJ1900" s="44" t="s">
        <v>57</v>
      </c>
      <c r="AK1900" s="33">
        <v>2050</v>
      </c>
      <c r="AL1900" s="45" t="str">
        <f t="shared" si="239"/>
        <v>*0.86</v>
      </c>
      <c r="AM1900" s="43" t="str">
        <f t="shared" si="241"/>
        <v>REZoning_Sol-Win</v>
      </c>
      <c r="AP1900" t="s">
        <v>2774</v>
      </c>
      <c r="AQ1900" t="s">
        <v>57</v>
      </c>
      <c r="AR1900">
        <v>2100</v>
      </c>
      <c r="AS1900" t="s">
        <v>883</v>
      </c>
      <c r="AT1900" t="s">
        <v>58</v>
      </c>
    </row>
    <row r="1901" ht="29" spans="1:46">
      <c r="A1901" s="31" t="s">
        <v>95</v>
      </c>
      <c r="C1901" t="s">
        <v>2775</v>
      </c>
      <c r="D1901" s="5" t="s">
        <v>57</v>
      </c>
      <c r="E1901">
        <v>2035</v>
      </c>
      <c r="F1901" s="6" t="str">
        <f t="shared" si="234"/>
        <v>*0.95</v>
      </c>
      <c r="H1901" t="s">
        <v>2775</v>
      </c>
      <c r="I1901" s="5" t="s">
        <v>57</v>
      </c>
      <c r="J1901">
        <v>2050</v>
      </c>
      <c r="K1901" s="38" t="str">
        <f t="shared" si="235"/>
        <v>*0.93</v>
      </c>
      <c r="P1901" s="32" t="s">
        <v>2775</v>
      </c>
      <c r="Q1901" s="42" t="s">
        <v>57</v>
      </c>
      <c r="R1901" s="32">
        <v>2035</v>
      </c>
      <c r="S1901" s="43" t="str">
        <f t="shared" si="236"/>
        <v>*0.95</v>
      </c>
      <c r="U1901" s="32" t="s">
        <v>2775</v>
      </c>
      <c r="V1901" s="42" t="s">
        <v>57</v>
      </c>
      <c r="W1901" s="32">
        <v>2050</v>
      </c>
      <c r="X1901" s="43" t="str">
        <f t="shared" si="237"/>
        <v>*0.91</v>
      </c>
      <c r="AC1901" s="33" t="s">
        <v>2775</v>
      </c>
      <c r="AD1901" s="44" t="s">
        <v>57</v>
      </c>
      <c r="AE1901" s="33">
        <v>2035</v>
      </c>
      <c r="AF1901" s="45" t="str">
        <f t="shared" si="238"/>
        <v>*0.91</v>
      </c>
      <c r="AG1901" s="43" t="str">
        <f t="shared" si="240"/>
        <v>REZoning_Sol-Win</v>
      </c>
      <c r="AI1901" s="33" t="s">
        <v>2775</v>
      </c>
      <c r="AJ1901" s="44" t="s">
        <v>57</v>
      </c>
      <c r="AK1901" s="33">
        <v>2050</v>
      </c>
      <c r="AL1901" s="45" t="str">
        <f t="shared" si="239"/>
        <v>*0.86</v>
      </c>
      <c r="AM1901" s="43" t="str">
        <f t="shared" si="241"/>
        <v>REZoning_Sol-Win</v>
      </c>
      <c r="AP1901" t="s">
        <v>2775</v>
      </c>
      <c r="AQ1901" t="s">
        <v>57</v>
      </c>
      <c r="AR1901">
        <v>2100</v>
      </c>
      <c r="AS1901" t="s">
        <v>883</v>
      </c>
      <c r="AT1901" t="s">
        <v>58</v>
      </c>
    </row>
    <row r="1902" ht="29" spans="1:46">
      <c r="A1902" s="31" t="s">
        <v>95</v>
      </c>
      <c r="C1902" t="s">
        <v>2776</v>
      </c>
      <c r="D1902" s="5" t="s">
        <v>57</v>
      </c>
      <c r="E1902">
        <v>2035</v>
      </c>
      <c r="F1902" s="6" t="str">
        <f t="shared" si="234"/>
        <v>*0.95</v>
      </c>
      <c r="H1902" t="s">
        <v>2776</v>
      </c>
      <c r="I1902" s="5" t="s">
        <v>57</v>
      </c>
      <c r="J1902">
        <v>2050</v>
      </c>
      <c r="K1902" s="38" t="str">
        <f t="shared" si="235"/>
        <v>*0.93</v>
      </c>
      <c r="P1902" s="32" t="s">
        <v>2776</v>
      </c>
      <c r="Q1902" s="42" t="s">
        <v>57</v>
      </c>
      <c r="R1902" s="32">
        <v>2035</v>
      </c>
      <c r="S1902" s="43" t="str">
        <f t="shared" si="236"/>
        <v>*0.95</v>
      </c>
      <c r="U1902" s="32" t="s">
        <v>2776</v>
      </c>
      <c r="V1902" s="42" t="s">
        <v>57</v>
      </c>
      <c r="W1902" s="32">
        <v>2050</v>
      </c>
      <c r="X1902" s="43" t="str">
        <f t="shared" si="237"/>
        <v>*0.91</v>
      </c>
      <c r="AC1902" s="33" t="s">
        <v>2776</v>
      </c>
      <c r="AD1902" s="44" t="s">
        <v>57</v>
      </c>
      <c r="AE1902" s="33">
        <v>2035</v>
      </c>
      <c r="AF1902" s="45" t="str">
        <f t="shared" si="238"/>
        <v>*0.91</v>
      </c>
      <c r="AG1902" s="43" t="str">
        <f t="shared" si="240"/>
        <v>REZoning_Sol-Win</v>
      </c>
      <c r="AI1902" s="33" t="s">
        <v>2776</v>
      </c>
      <c r="AJ1902" s="44" t="s">
        <v>57</v>
      </c>
      <c r="AK1902" s="33">
        <v>2050</v>
      </c>
      <c r="AL1902" s="45" t="str">
        <f t="shared" si="239"/>
        <v>*0.86</v>
      </c>
      <c r="AM1902" s="43" t="str">
        <f t="shared" si="241"/>
        <v>REZoning_Sol-Win</v>
      </c>
      <c r="AP1902" t="s">
        <v>2776</v>
      </c>
      <c r="AQ1902" t="s">
        <v>57</v>
      </c>
      <c r="AR1902">
        <v>2100</v>
      </c>
      <c r="AS1902" t="s">
        <v>883</v>
      </c>
      <c r="AT1902" t="s">
        <v>58</v>
      </c>
    </row>
    <row r="1903" ht="29" spans="1:46">
      <c r="A1903" s="31" t="s">
        <v>95</v>
      </c>
      <c r="C1903" t="s">
        <v>2777</v>
      </c>
      <c r="D1903" s="5" t="s">
        <v>57</v>
      </c>
      <c r="E1903">
        <v>2035</v>
      </c>
      <c r="F1903" s="6" t="str">
        <f t="shared" si="234"/>
        <v>*0.95</v>
      </c>
      <c r="H1903" t="s">
        <v>2777</v>
      </c>
      <c r="I1903" s="5" t="s">
        <v>57</v>
      </c>
      <c r="J1903">
        <v>2050</v>
      </c>
      <c r="K1903" s="38" t="str">
        <f t="shared" si="235"/>
        <v>*0.93</v>
      </c>
      <c r="P1903" s="32" t="s">
        <v>2777</v>
      </c>
      <c r="Q1903" s="42" t="s">
        <v>57</v>
      </c>
      <c r="R1903" s="32">
        <v>2035</v>
      </c>
      <c r="S1903" s="43" t="str">
        <f t="shared" si="236"/>
        <v>*0.95</v>
      </c>
      <c r="U1903" s="32" t="s">
        <v>2777</v>
      </c>
      <c r="V1903" s="42" t="s">
        <v>57</v>
      </c>
      <c r="W1903" s="32">
        <v>2050</v>
      </c>
      <c r="X1903" s="43" t="str">
        <f t="shared" si="237"/>
        <v>*0.91</v>
      </c>
      <c r="AC1903" s="33" t="s">
        <v>2777</v>
      </c>
      <c r="AD1903" s="44" t="s">
        <v>57</v>
      </c>
      <c r="AE1903" s="33">
        <v>2035</v>
      </c>
      <c r="AF1903" s="45" t="str">
        <f t="shared" si="238"/>
        <v>*0.91</v>
      </c>
      <c r="AG1903" s="43" t="str">
        <f t="shared" si="240"/>
        <v>REZoning_Sol-Win</v>
      </c>
      <c r="AI1903" s="33" t="s">
        <v>2777</v>
      </c>
      <c r="AJ1903" s="44" t="s">
        <v>57</v>
      </c>
      <c r="AK1903" s="33">
        <v>2050</v>
      </c>
      <c r="AL1903" s="45" t="str">
        <f t="shared" si="239"/>
        <v>*0.86</v>
      </c>
      <c r="AM1903" s="43" t="str">
        <f t="shared" si="241"/>
        <v>REZoning_Sol-Win</v>
      </c>
      <c r="AP1903" t="s">
        <v>2777</v>
      </c>
      <c r="AQ1903" t="s">
        <v>57</v>
      </c>
      <c r="AR1903">
        <v>2100</v>
      </c>
      <c r="AS1903" t="s">
        <v>883</v>
      </c>
      <c r="AT1903" t="s">
        <v>58</v>
      </c>
    </row>
    <row r="1904" ht="29" spans="1:46">
      <c r="A1904" s="31" t="s">
        <v>95</v>
      </c>
      <c r="C1904" t="s">
        <v>2778</v>
      </c>
      <c r="D1904" s="5" t="s">
        <v>57</v>
      </c>
      <c r="E1904">
        <v>2035</v>
      </c>
      <c r="F1904" s="6" t="str">
        <f t="shared" si="234"/>
        <v>*0.95</v>
      </c>
      <c r="H1904" t="s">
        <v>2778</v>
      </c>
      <c r="I1904" s="5" t="s">
        <v>57</v>
      </c>
      <c r="J1904">
        <v>2050</v>
      </c>
      <c r="K1904" s="38" t="str">
        <f t="shared" si="235"/>
        <v>*0.93</v>
      </c>
      <c r="P1904" s="32" t="s">
        <v>2778</v>
      </c>
      <c r="Q1904" s="42" t="s">
        <v>57</v>
      </c>
      <c r="R1904" s="32">
        <v>2035</v>
      </c>
      <c r="S1904" s="43" t="str">
        <f t="shared" si="236"/>
        <v>*0.95</v>
      </c>
      <c r="U1904" s="32" t="s">
        <v>2778</v>
      </c>
      <c r="V1904" s="42" t="s">
        <v>57</v>
      </c>
      <c r="W1904" s="32">
        <v>2050</v>
      </c>
      <c r="X1904" s="43" t="str">
        <f t="shared" si="237"/>
        <v>*0.91</v>
      </c>
      <c r="AC1904" s="33" t="s">
        <v>2778</v>
      </c>
      <c r="AD1904" s="44" t="s">
        <v>57</v>
      </c>
      <c r="AE1904" s="33">
        <v>2035</v>
      </c>
      <c r="AF1904" s="45" t="str">
        <f t="shared" si="238"/>
        <v>*0.91</v>
      </c>
      <c r="AG1904" s="43" t="str">
        <f t="shared" si="240"/>
        <v>REZoning_Sol-Win</v>
      </c>
      <c r="AI1904" s="33" t="s">
        <v>2778</v>
      </c>
      <c r="AJ1904" s="44" t="s">
        <v>57</v>
      </c>
      <c r="AK1904" s="33">
        <v>2050</v>
      </c>
      <c r="AL1904" s="45" t="str">
        <f t="shared" si="239"/>
        <v>*0.86</v>
      </c>
      <c r="AM1904" s="43" t="str">
        <f t="shared" si="241"/>
        <v>REZoning_Sol-Win</v>
      </c>
      <c r="AP1904" t="s">
        <v>2778</v>
      </c>
      <c r="AQ1904" t="s">
        <v>57</v>
      </c>
      <c r="AR1904">
        <v>2100</v>
      </c>
      <c r="AS1904" t="s">
        <v>883</v>
      </c>
      <c r="AT1904" t="s">
        <v>58</v>
      </c>
    </row>
    <row r="1905" ht="29" spans="1:46">
      <c r="A1905" s="31" t="s">
        <v>95</v>
      </c>
      <c r="C1905" t="s">
        <v>2779</v>
      </c>
      <c r="D1905" s="5" t="s">
        <v>57</v>
      </c>
      <c r="E1905">
        <v>2035</v>
      </c>
      <c r="F1905" s="6" t="str">
        <f t="shared" si="234"/>
        <v>*0.95</v>
      </c>
      <c r="H1905" t="s">
        <v>2779</v>
      </c>
      <c r="I1905" s="5" t="s">
        <v>57</v>
      </c>
      <c r="J1905">
        <v>2050</v>
      </c>
      <c r="K1905" s="38" t="str">
        <f t="shared" si="235"/>
        <v>*0.93</v>
      </c>
      <c r="P1905" s="32" t="s">
        <v>2779</v>
      </c>
      <c r="Q1905" s="42" t="s">
        <v>57</v>
      </c>
      <c r="R1905" s="32">
        <v>2035</v>
      </c>
      <c r="S1905" s="43" t="str">
        <f t="shared" si="236"/>
        <v>*0.95</v>
      </c>
      <c r="U1905" s="32" t="s">
        <v>2779</v>
      </c>
      <c r="V1905" s="42" t="s">
        <v>57</v>
      </c>
      <c r="W1905" s="32">
        <v>2050</v>
      </c>
      <c r="X1905" s="43" t="str">
        <f t="shared" si="237"/>
        <v>*0.91</v>
      </c>
      <c r="AC1905" s="33" t="s">
        <v>2779</v>
      </c>
      <c r="AD1905" s="44" t="s">
        <v>57</v>
      </c>
      <c r="AE1905" s="33">
        <v>2035</v>
      </c>
      <c r="AF1905" s="45" t="str">
        <f t="shared" si="238"/>
        <v>*0.91</v>
      </c>
      <c r="AG1905" s="43" t="str">
        <f t="shared" si="240"/>
        <v>REZoning_Sol-Win</v>
      </c>
      <c r="AI1905" s="33" t="s">
        <v>2779</v>
      </c>
      <c r="AJ1905" s="44" t="s">
        <v>57</v>
      </c>
      <c r="AK1905" s="33">
        <v>2050</v>
      </c>
      <c r="AL1905" s="45" t="str">
        <f t="shared" si="239"/>
        <v>*0.86</v>
      </c>
      <c r="AM1905" s="43" t="str">
        <f t="shared" si="241"/>
        <v>REZoning_Sol-Win</v>
      </c>
      <c r="AP1905" t="s">
        <v>2779</v>
      </c>
      <c r="AQ1905" t="s">
        <v>57</v>
      </c>
      <c r="AR1905">
        <v>2100</v>
      </c>
      <c r="AS1905" t="s">
        <v>883</v>
      </c>
      <c r="AT1905" t="s">
        <v>58</v>
      </c>
    </row>
    <row r="1906" ht="29" spans="1:46">
      <c r="A1906" s="31" t="s">
        <v>95</v>
      </c>
      <c r="C1906" t="s">
        <v>2780</v>
      </c>
      <c r="D1906" s="5" t="s">
        <v>57</v>
      </c>
      <c r="E1906">
        <v>2035</v>
      </c>
      <c r="F1906" s="6" t="str">
        <f t="shared" si="234"/>
        <v>*0.95</v>
      </c>
      <c r="H1906" t="s">
        <v>2780</v>
      </c>
      <c r="I1906" s="5" t="s">
        <v>57</v>
      </c>
      <c r="J1906">
        <v>2050</v>
      </c>
      <c r="K1906" s="38" t="str">
        <f t="shared" si="235"/>
        <v>*0.93</v>
      </c>
      <c r="P1906" s="32" t="s">
        <v>2780</v>
      </c>
      <c r="Q1906" s="42" t="s">
        <v>57</v>
      </c>
      <c r="R1906" s="32">
        <v>2035</v>
      </c>
      <c r="S1906" s="43" t="str">
        <f t="shared" si="236"/>
        <v>*0.95</v>
      </c>
      <c r="U1906" s="32" t="s">
        <v>2780</v>
      </c>
      <c r="V1906" s="42" t="s">
        <v>57</v>
      </c>
      <c r="W1906" s="32">
        <v>2050</v>
      </c>
      <c r="X1906" s="43" t="str">
        <f t="shared" si="237"/>
        <v>*0.91</v>
      </c>
      <c r="AC1906" s="33" t="s">
        <v>2780</v>
      </c>
      <c r="AD1906" s="44" t="s">
        <v>57</v>
      </c>
      <c r="AE1906" s="33">
        <v>2035</v>
      </c>
      <c r="AF1906" s="45" t="str">
        <f t="shared" si="238"/>
        <v>*0.91</v>
      </c>
      <c r="AG1906" s="43" t="str">
        <f t="shared" si="240"/>
        <v>REZoning_Sol-Win</v>
      </c>
      <c r="AI1906" s="33" t="s">
        <v>2780</v>
      </c>
      <c r="AJ1906" s="44" t="s">
        <v>57</v>
      </c>
      <c r="AK1906" s="33">
        <v>2050</v>
      </c>
      <c r="AL1906" s="45" t="str">
        <f t="shared" si="239"/>
        <v>*0.86</v>
      </c>
      <c r="AM1906" s="43" t="str">
        <f t="shared" si="241"/>
        <v>REZoning_Sol-Win</v>
      </c>
      <c r="AP1906" t="s">
        <v>2780</v>
      </c>
      <c r="AQ1906" t="s">
        <v>57</v>
      </c>
      <c r="AR1906">
        <v>2100</v>
      </c>
      <c r="AS1906" t="s">
        <v>883</v>
      </c>
      <c r="AT1906" t="s">
        <v>58</v>
      </c>
    </row>
    <row r="1907" ht="29" spans="1:46">
      <c r="A1907" s="31" t="s">
        <v>95</v>
      </c>
      <c r="C1907" t="s">
        <v>2781</v>
      </c>
      <c r="D1907" s="5" t="s">
        <v>57</v>
      </c>
      <c r="E1907">
        <v>2035</v>
      </c>
      <c r="F1907" s="6" t="str">
        <f t="shared" si="234"/>
        <v>*0.95</v>
      </c>
      <c r="H1907" t="s">
        <v>2781</v>
      </c>
      <c r="I1907" s="5" t="s">
        <v>57</v>
      </c>
      <c r="J1907">
        <v>2050</v>
      </c>
      <c r="K1907" s="38" t="str">
        <f t="shared" si="235"/>
        <v>*0.93</v>
      </c>
      <c r="P1907" s="32" t="s">
        <v>2781</v>
      </c>
      <c r="Q1907" s="42" t="s">
        <v>57</v>
      </c>
      <c r="R1907" s="32">
        <v>2035</v>
      </c>
      <c r="S1907" s="43" t="str">
        <f t="shared" si="236"/>
        <v>*0.95</v>
      </c>
      <c r="U1907" s="32" t="s">
        <v>2781</v>
      </c>
      <c r="V1907" s="42" t="s">
        <v>57</v>
      </c>
      <c r="W1907" s="32">
        <v>2050</v>
      </c>
      <c r="X1907" s="43" t="str">
        <f t="shared" si="237"/>
        <v>*0.91</v>
      </c>
      <c r="AC1907" s="33" t="s">
        <v>2781</v>
      </c>
      <c r="AD1907" s="44" t="s">
        <v>57</v>
      </c>
      <c r="AE1907" s="33">
        <v>2035</v>
      </c>
      <c r="AF1907" s="45" t="str">
        <f t="shared" si="238"/>
        <v>*0.91</v>
      </c>
      <c r="AG1907" s="43" t="str">
        <f t="shared" si="240"/>
        <v>REZoning_Sol-Win</v>
      </c>
      <c r="AI1907" s="33" t="s">
        <v>2781</v>
      </c>
      <c r="AJ1907" s="44" t="s">
        <v>57</v>
      </c>
      <c r="AK1907" s="33">
        <v>2050</v>
      </c>
      <c r="AL1907" s="45" t="str">
        <f t="shared" si="239"/>
        <v>*0.86</v>
      </c>
      <c r="AM1907" s="43" t="str">
        <f t="shared" si="241"/>
        <v>REZoning_Sol-Win</v>
      </c>
      <c r="AP1907" t="s">
        <v>2781</v>
      </c>
      <c r="AQ1907" t="s">
        <v>57</v>
      </c>
      <c r="AR1907">
        <v>2100</v>
      </c>
      <c r="AS1907" t="s">
        <v>883</v>
      </c>
      <c r="AT1907" t="s">
        <v>58</v>
      </c>
    </row>
    <row r="1908" ht="29" spans="1:46">
      <c r="A1908" s="31" t="s">
        <v>95</v>
      </c>
      <c r="C1908" t="s">
        <v>2782</v>
      </c>
      <c r="D1908" s="5" t="s">
        <v>57</v>
      </c>
      <c r="E1908">
        <v>2035</v>
      </c>
      <c r="F1908" s="6" t="str">
        <f t="shared" si="234"/>
        <v>*0.95</v>
      </c>
      <c r="H1908" t="s">
        <v>2782</v>
      </c>
      <c r="I1908" s="5" t="s">
        <v>57</v>
      </c>
      <c r="J1908">
        <v>2050</v>
      </c>
      <c r="K1908" s="38" t="str">
        <f t="shared" si="235"/>
        <v>*0.93</v>
      </c>
      <c r="P1908" s="32" t="s">
        <v>2782</v>
      </c>
      <c r="Q1908" s="42" t="s">
        <v>57</v>
      </c>
      <c r="R1908" s="32">
        <v>2035</v>
      </c>
      <c r="S1908" s="43" t="str">
        <f t="shared" si="236"/>
        <v>*0.95</v>
      </c>
      <c r="U1908" s="32" t="s">
        <v>2782</v>
      </c>
      <c r="V1908" s="42" t="s">
        <v>57</v>
      </c>
      <c r="W1908" s="32">
        <v>2050</v>
      </c>
      <c r="X1908" s="43" t="str">
        <f t="shared" si="237"/>
        <v>*0.91</v>
      </c>
      <c r="AC1908" s="33" t="s">
        <v>2782</v>
      </c>
      <c r="AD1908" s="44" t="s">
        <v>57</v>
      </c>
      <c r="AE1908" s="33">
        <v>2035</v>
      </c>
      <c r="AF1908" s="45" t="str">
        <f t="shared" si="238"/>
        <v>*0.91</v>
      </c>
      <c r="AG1908" s="43" t="str">
        <f t="shared" si="240"/>
        <v>REZoning_Sol-Win</v>
      </c>
      <c r="AI1908" s="33" t="s">
        <v>2782</v>
      </c>
      <c r="AJ1908" s="44" t="s">
        <v>57</v>
      </c>
      <c r="AK1908" s="33">
        <v>2050</v>
      </c>
      <c r="AL1908" s="45" t="str">
        <f t="shared" si="239"/>
        <v>*0.86</v>
      </c>
      <c r="AM1908" s="43" t="str">
        <f t="shared" si="241"/>
        <v>REZoning_Sol-Win</v>
      </c>
      <c r="AP1908" t="s">
        <v>2782</v>
      </c>
      <c r="AQ1908" t="s">
        <v>57</v>
      </c>
      <c r="AR1908">
        <v>2100</v>
      </c>
      <c r="AS1908" t="s">
        <v>883</v>
      </c>
      <c r="AT1908" t="s">
        <v>58</v>
      </c>
    </row>
    <row r="1909" ht="29" spans="1:46">
      <c r="A1909" s="31" t="s">
        <v>95</v>
      </c>
      <c r="C1909" t="s">
        <v>2783</v>
      </c>
      <c r="D1909" s="5" t="s">
        <v>57</v>
      </c>
      <c r="E1909">
        <v>2035</v>
      </c>
      <c r="F1909" s="6" t="str">
        <f t="shared" si="234"/>
        <v>*0.95</v>
      </c>
      <c r="H1909" t="s">
        <v>2783</v>
      </c>
      <c r="I1909" s="5" t="s">
        <v>57</v>
      </c>
      <c r="J1909">
        <v>2050</v>
      </c>
      <c r="K1909" s="38" t="str">
        <f t="shared" si="235"/>
        <v>*0.93</v>
      </c>
      <c r="P1909" s="32" t="s">
        <v>2783</v>
      </c>
      <c r="Q1909" s="42" t="s">
        <v>57</v>
      </c>
      <c r="R1909" s="32">
        <v>2035</v>
      </c>
      <c r="S1909" s="43" t="str">
        <f t="shared" si="236"/>
        <v>*0.95</v>
      </c>
      <c r="U1909" s="32" t="s">
        <v>2783</v>
      </c>
      <c r="V1909" s="42" t="s">
        <v>57</v>
      </c>
      <c r="W1909" s="32">
        <v>2050</v>
      </c>
      <c r="X1909" s="43" t="str">
        <f t="shared" si="237"/>
        <v>*0.91</v>
      </c>
      <c r="AC1909" s="33" t="s">
        <v>2783</v>
      </c>
      <c r="AD1909" s="44" t="s">
        <v>57</v>
      </c>
      <c r="AE1909" s="33">
        <v>2035</v>
      </c>
      <c r="AF1909" s="45" t="str">
        <f t="shared" si="238"/>
        <v>*0.91</v>
      </c>
      <c r="AG1909" s="43" t="str">
        <f t="shared" si="240"/>
        <v>REZoning_Sol-Win</v>
      </c>
      <c r="AI1909" s="33" t="s">
        <v>2783</v>
      </c>
      <c r="AJ1909" s="44" t="s">
        <v>57</v>
      </c>
      <c r="AK1909" s="33">
        <v>2050</v>
      </c>
      <c r="AL1909" s="45" t="str">
        <f t="shared" si="239"/>
        <v>*0.86</v>
      </c>
      <c r="AM1909" s="43" t="str">
        <f t="shared" si="241"/>
        <v>REZoning_Sol-Win</v>
      </c>
      <c r="AP1909" t="s">
        <v>2783</v>
      </c>
      <c r="AQ1909" t="s">
        <v>57</v>
      </c>
      <c r="AR1909">
        <v>2100</v>
      </c>
      <c r="AS1909" t="s">
        <v>883</v>
      </c>
      <c r="AT1909" t="s">
        <v>58</v>
      </c>
    </row>
    <row r="1910" ht="29" spans="1:46">
      <c r="A1910" s="31" t="s">
        <v>95</v>
      </c>
      <c r="C1910" t="s">
        <v>2784</v>
      </c>
      <c r="D1910" s="5" t="s">
        <v>57</v>
      </c>
      <c r="E1910">
        <v>2035</v>
      </c>
      <c r="F1910" s="6" t="str">
        <f t="shared" si="234"/>
        <v>*0.95</v>
      </c>
      <c r="H1910" t="s">
        <v>2784</v>
      </c>
      <c r="I1910" s="5" t="s">
        <v>57</v>
      </c>
      <c r="J1910">
        <v>2050</v>
      </c>
      <c r="K1910" s="38" t="str">
        <f t="shared" si="235"/>
        <v>*0.93</v>
      </c>
      <c r="P1910" s="32" t="s">
        <v>2784</v>
      </c>
      <c r="Q1910" s="42" t="s">
        <v>57</v>
      </c>
      <c r="R1910" s="32">
        <v>2035</v>
      </c>
      <c r="S1910" s="43" t="str">
        <f t="shared" si="236"/>
        <v>*0.95</v>
      </c>
      <c r="U1910" s="32" t="s">
        <v>2784</v>
      </c>
      <c r="V1910" s="42" t="s">
        <v>57</v>
      </c>
      <c r="W1910" s="32">
        <v>2050</v>
      </c>
      <c r="X1910" s="43" t="str">
        <f t="shared" si="237"/>
        <v>*0.91</v>
      </c>
      <c r="AC1910" s="33" t="s">
        <v>2784</v>
      </c>
      <c r="AD1910" s="44" t="s">
        <v>57</v>
      </c>
      <c r="AE1910" s="33">
        <v>2035</v>
      </c>
      <c r="AF1910" s="45" t="str">
        <f t="shared" si="238"/>
        <v>*0.91</v>
      </c>
      <c r="AG1910" s="43" t="str">
        <f t="shared" si="240"/>
        <v>REZoning_Sol-Win</v>
      </c>
      <c r="AI1910" s="33" t="s">
        <v>2784</v>
      </c>
      <c r="AJ1910" s="44" t="s">
        <v>57</v>
      </c>
      <c r="AK1910" s="33">
        <v>2050</v>
      </c>
      <c r="AL1910" s="45" t="str">
        <f t="shared" si="239"/>
        <v>*0.86</v>
      </c>
      <c r="AM1910" s="43" t="str">
        <f t="shared" si="241"/>
        <v>REZoning_Sol-Win</v>
      </c>
      <c r="AP1910" t="s">
        <v>2784</v>
      </c>
      <c r="AQ1910" t="s">
        <v>57</v>
      </c>
      <c r="AR1910">
        <v>2100</v>
      </c>
      <c r="AS1910" t="s">
        <v>883</v>
      </c>
      <c r="AT1910" t="s">
        <v>58</v>
      </c>
    </row>
    <row r="1911" ht="29" spans="1:46">
      <c r="A1911" s="31" t="s">
        <v>65</v>
      </c>
      <c r="C1911" t="s">
        <v>2785</v>
      </c>
      <c r="D1911" s="5" t="s">
        <v>57</v>
      </c>
      <c r="E1911">
        <v>2035</v>
      </c>
      <c r="F1911" s="6" t="str">
        <f t="shared" si="234"/>
        <v>*0.94</v>
      </c>
      <c r="H1911" t="s">
        <v>2785</v>
      </c>
      <c r="I1911" s="5" t="s">
        <v>57</v>
      </c>
      <c r="J1911">
        <v>2050</v>
      </c>
      <c r="K1911" s="38" t="str">
        <f t="shared" si="235"/>
        <v>*0.91</v>
      </c>
      <c r="P1911" s="32" t="s">
        <v>2785</v>
      </c>
      <c r="Q1911" s="42" t="s">
        <v>57</v>
      </c>
      <c r="R1911" s="32">
        <v>2035</v>
      </c>
      <c r="S1911" s="43" t="str">
        <f t="shared" si="236"/>
        <v>*0.93</v>
      </c>
      <c r="U1911" s="32" t="s">
        <v>2785</v>
      </c>
      <c r="V1911" s="42" t="s">
        <v>57</v>
      </c>
      <c r="W1911" s="32">
        <v>2050</v>
      </c>
      <c r="X1911" s="43" t="str">
        <f t="shared" si="237"/>
        <v>*0.9</v>
      </c>
      <c r="AC1911" s="33" t="s">
        <v>2785</v>
      </c>
      <c r="AD1911" s="44" t="s">
        <v>57</v>
      </c>
      <c r="AE1911" s="33">
        <v>2035</v>
      </c>
      <c r="AF1911" s="45" t="str">
        <f t="shared" si="238"/>
        <v>*0.9</v>
      </c>
      <c r="AG1911" s="43" t="str">
        <f t="shared" si="240"/>
        <v>REZoning_Sol-Win</v>
      </c>
      <c r="AI1911" s="33" t="s">
        <v>2785</v>
      </c>
      <c r="AJ1911" s="44" t="s">
        <v>57</v>
      </c>
      <c r="AK1911" s="33">
        <v>2050</v>
      </c>
      <c r="AL1911" s="45" t="str">
        <f t="shared" si="239"/>
        <v>*0.86</v>
      </c>
      <c r="AM1911" s="43" t="str">
        <f t="shared" si="241"/>
        <v>REZoning_Sol-Win</v>
      </c>
      <c r="AP1911" t="s">
        <v>2785</v>
      </c>
      <c r="AQ1911" t="s">
        <v>57</v>
      </c>
      <c r="AR1911">
        <v>2100</v>
      </c>
      <c r="AS1911" t="s">
        <v>883</v>
      </c>
      <c r="AT1911" t="s">
        <v>58</v>
      </c>
    </row>
    <row r="1912" ht="29" spans="1:46">
      <c r="A1912" s="31" t="s">
        <v>79</v>
      </c>
      <c r="C1912" t="s">
        <v>2786</v>
      </c>
      <c r="D1912" s="5" t="s">
        <v>57</v>
      </c>
      <c r="E1912">
        <v>2035</v>
      </c>
      <c r="F1912" s="6" t="str">
        <f t="shared" si="234"/>
        <v>*0.94</v>
      </c>
      <c r="H1912" t="s">
        <v>2786</v>
      </c>
      <c r="I1912" s="5" t="s">
        <v>57</v>
      </c>
      <c r="J1912">
        <v>2050</v>
      </c>
      <c r="K1912" s="38" t="str">
        <f t="shared" si="235"/>
        <v>*0.9</v>
      </c>
      <c r="P1912" s="32" t="s">
        <v>2786</v>
      </c>
      <c r="Q1912" s="42" t="s">
        <v>57</v>
      </c>
      <c r="R1912" s="32">
        <v>2035</v>
      </c>
      <c r="S1912" s="43" t="str">
        <f t="shared" si="236"/>
        <v>*0.92</v>
      </c>
      <c r="U1912" s="32" t="s">
        <v>2786</v>
      </c>
      <c r="V1912" s="42" t="s">
        <v>57</v>
      </c>
      <c r="W1912" s="32">
        <v>2050</v>
      </c>
      <c r="X1912" s="43" t="str">
        <f t="shared" si="237"/>
        <v>*0.89</v>
      </c>
      <c r="AC1912" s="33" t="s">
        <v>2786</v>
      </c>
      <c r="AD1912" s="44" t="s">
        <v>57</v>
      </c>
      <c r="AE1912" s="33">
        <v>2035</v>
      </c>
      <c r="AF1912" s="45" t="str">
        <f t="shared" si="238"/>
        <v>*0.89</v>
      </c>
      <c r="AG1912" s="43" t="str">
        <f t="shared" si="240"/>
        <v>REZoning_Sol-Win</v>
      </c>
      <c r="AI1912" s="33" t="s">
        <v>2786</v>
      </c>
      <c r="AJ1912" s="44" t="s">
        <v>57</v>
      </c>
      <c r="AK1912" s="33">
        <v>2050</v>
      </c>
      <c r="AL1912" s="45" t="str">
        <f t="shared" si="239"/>
        <v>*0.84</v>
      </c>
      <c r="AM1912" s="43" t="str">
        <f t="shared" si="241"/>
        <v>REZoning_Sol-Win</v>
      </c>
      <c r="AP1912" t="s">
        <v>2786</v>
      </c>
      <c r="AQ1912" t="s">
        <v>57</v>
      </c>
      <c r="AR1912">
        <v>2100</v>
      </c>
      <c r="AS1912" t="s">
        <v>919</v>
      </c>
      <c r="AT1912" t="s">
        <v>58</v>
      </c>
    </row>
    <row r="1913" ht="29" spans="1:46">
      <c r="A1913" s="31" t="s">
        <v>79</v>
      </c>
      <c r="C1913" t="s">
        <v>2787</v>
      </c>
      <c r="D1913" s="5" t="s">
        <v>57</v>
      </c>
      <c r="E1913">
        <v>2035</v>
      </c>
      <c r="F1913" s="6" t="str">
        <f t="shared" si="234"/>
        <v>*0.94</v>
      </c>
      <c r="H1913" t="s">
        <v>2787</v>
      </c>
      <c r="I1913" s="5" t="s">
        <v>57</v>
      </c>
      <c r="J1913">
        <v>2050</v>
      </c>
      <c r="K1913" s="38" t="str">
        <f t="shared" si="235"/>
        <v>*0.9</v>
      </c>
      <c r="P1913" s="32" t="s">
        <v>2787</v>
      </c>
      <c r="Q1913" s="42" t="s">
        <v>57</v>
      </c>
      <c r="R1913" s="32">
        <v>2035</v>
      </c>
      <c r="S1913" s="43" t="str">
        <f t="shared" si="236"/>
        <v>*0.92</v>
      </c>
      <c r="U1913" s="32" t="s">
        <v>2787</v>
      </c>
      <c r="V1913" s="42" t="s">
        <v>57</v>
      </c>
      <c r="W1913" s="32">
        <v>2050</v>
      </c>
      <c r="X1913" s="43" t="str">
        <f t="shared" si="237"/>
        <v>*0.89</v>
      </c>
      <c r="AC1913" s="33" t="s">
        <v>2787</v>
      </c>
      <c r="AD1913" s="44" t="s">
        <v>57</v>
      </c>
      <c r="AE1913" s="33">
        <v>2035</v>
      </c>
      <c r="AF1913" s="45" t="str">
        <f t="shared" si="238"/>
        <v>*0.89</v>
      </c>
      <c r="AG1913" s="43" t="str">
        <f t="shared" si="240"/>
        <v>REZoning_Sol-Win</v>
      </c>
      <c r="AI1913" s="33" t="s">
        <v>2787</v>
      </c>
      <c r="AJ1913" s="44" t="s">
        <v>57</v>
      </c>
      <c r="AK1913" s="33">
        <v>2050</v>
      </c>
      <c r="AL1913" s="45" t="str">
        <f t="shared" si="239"/>
        <v>*0.84</v>
      </c>
      <c r="AM1913" s="43" t="str">
        <f t="shared" si="241"/>
        <v>REZoning_Sol-Win</v>
      </c>
      <c r="AP1913" t="s">
        <v>2787</v>
      </c>
      <c r="AQ1913" t="s">
        <v>57</v>
      </c>
      <c r="AR1913">
        <v>2100</v>
      </c>
      <c r="AS1913" t="s">
        <v>919</v>
      </c>
      <c r="AT1913" t="s">
        <v>58</v>
      </c>
    </row>
    <row r="1914" ht="29" spans="1:46">
      <c r="A1914" s="31" t="s">
        <v>79</v>
      </c>
      <c r="C1914" t="s">
        <v>2788</v>
      </c>
      <c r="D1914" s="5" t="s">
        <v>57</v>
      </c>
      <c r="E1914">
        <v>2035</v>
      </c>
      <c r="F1914" s="6" t="str">
        <f t="shared" si="234"/>
        <v>*0.94</v>
      </c>
      <c r="H1914" t="s">
        <v>2788</v>
      </c>
      <c r="I1914" s="5" t="s">
        <v>57</v>
      </c>
      <c r="J1914">
        <v>2050</v>
      </c>
      <c r="K1914" s="38" t="str">
        <f t="shared" si="235"/>
        <v>*0.9</v>
      </c>
      <c r="P1914" s="32" t="s">
        <v>2788</v>
      </c>
      <c r="Q1914" s="42" t="s">
        <v>57</v>
      </c>
      <c r="R1914" s="32">
        <v>2035</v>
      </c>
      <c r="S1914" s="43" t="str">
        <f t="shared" si="236"/>
        <v>*0.92</v>
      </c>
      <c r="U1914" s="32" t="s">
        <v>2788</v>
      </c>
      <c r="V1914" s="42" t="s">
        <v>57</v>
      </c>
      <c r="W1914" s="32">
        <v>2050</v>
      </c>
      <c r="X1914" s="43" t="str">
        <f t="shared" si="237"/>
        <v>*0.89</v>
      </c>
      <c r="AC1914" s="33" t="s">
        <v>2788</v>
      </c>
      <c r="AD1914" s="44" t="s">
        <v>57</v>
      </c>
      <c r="AE1914" s="33">
        <v>2035</v>
      </c>
      <c r="AF1914" s="45" t="str">
        <f t="shared" si="238"/>
        <v>*0.89</v>
      </c>
      <c r="AG1914" s="43" t="str">
        <f t="shared" si="240"/>
        <v>REZoning_Sol-Win</v>
      </c>
      <c r="AI1914" s="33" t="s">
        <v>2788</v>
      </c>
      <c r="AJ1914" s="44" t="s">
        <v>57</v>
      </c>
      <c r="AK1914" s="33">
        <v>2050</v>
      </c>
      <c r="AL1914" s="45" t="str">
        <f t="shared" si="239"/>
        <v>*0.84</v>
      </c>
      <c r="AM1914" s="43" t="str">
        <f t="shared" si="241"/>
        <v>REZoning_Sol-Win</v>
      </c>
      <c r="AP1914" t="s">
        <v>2788</v>
      </c>
      <c r="AQ1914" t="s">
        <v>57</v>
      </c>
      <c r="AR1914">
        <v>2100</v>
      </c>
      <c r="AS1914" t="s">
        <v>919</v>
      </c>
      <c r="AT1914" t="s">
        <v>58</v>
      </c>
    </row>
    <row r="1915" ht="29" spans="1:46">
      <c r="A1915" s="31" t="s">
        <v>79</v>
      </c>
      <c r="C1915" t="s">
        <v>2789</v>
      </c>
      <c r="D1915" s="5" t="s">
        <v>57</v>
      </c>
      <c r="E1915">
        <v>2035</v>
      </c>
      <c r="F1915" s="6" t="str">
        <f t="shared" si="234"/>
        <v>*0.94</v>
      </c>
      <c r="H1915" t="s">
        <v>2789</v>
      </c>
      <c r="I1915" s="5" t="s">
        <v>57</v>
      </c>
      <c r="J1915">
        <v>2050</v>
      </c>
      <c r="K1915" s="38" t="str">
        <f t="shared" si="235"/>
        <v>*0.9</v>
      </c>
      <c r="P1915" s="32" t="s">
        <v>2789</v>
      </c>
      <c r="Q1915" s="42" t="s">
        <v>57</v>
      </c>
      <c r="R1915" s="32">
        <v>2035</v>
      </c>
      <c r="S1915" s="43" t="str">
        <f t="shared" si="236"/>
        <v>*0.92</v>
      </c>
      <c r="U1915" s="32" t="s">
        <v>2789</v>
      </c>
      <c r="V1915" s="42" t="s">
        <v>57</v>
      </c>
      <c r="W1915" s="32">
        <v>2050</v>
      </c>
      <c r="X1915" s="43" t="str">
        <f t="shared" si="237"/>
        <v>*0.89</v>
      </c>
      <c r="AC1915" s="33" t="s">
        <v>2789</v>
      </c>
      <c r="AD1915" s="44" t="s">
        <v>57</v>
      </c>
      <c r="AE1915" s="33">
        <v>2035</v>
      </c>
      <c r="AF1915" s="45" t="str">
        <f t="shared" si="238"/>
        <v>*0.89</v>
      </c>
      <c r="AG1915" s="43" t="str">
        <f t="shared" si="240"/>
        <v>REZoning_Sol-Win</v>
      </c>
      <c r="AI1915" s="33" t="s">
        <v>2789</v>
      </c>
      <c r="AJ1915" s="44" t="s">
        <v>57</v>
      </c>
      <c r="AK1915" s="33">
        <v>2050</v>
      </c>
      <c r="AL1915" s="45" t="str">
        <f t="shared" si="239"/>
        <v>*0.84</v>
      </c>
      <c r="AM1915" s="43" t="str">
        <f t="shared" si="241"/>
        <v>REZoning_Sol-Win</v>
      </c>
      <c r="AP1915" t="s">
        <v>2789</v>
      </c>
      <c r="AQ1915" t="s">
        <v>57</v>
      </c>
      <c r="AR1915">
        <v>2100</v>
      </c>
      <c r="AS1915" t="s">
        <v>919</v>
      </c>
      <c r="AT1915" t="s">
        <v>58</v>
      </c>
    </row>
    <row r="1916" ht="29" spans="1:46">
      <c r="A1916" s="31" t="s">
        <v>79</v>
      </c>
      <c r="C1916" t="s">
        <v>2790</v>
      </c>
      <c r="D1916" s="5" t="s">
        <v>57</v>
      </c>
      <c r="E1916">
        <v>2035</v>
      </c>
      <c r="F1916" s="6" t="str">
        <f t="shared" si="234"/>
        <v>*0.94</v>
      </c>
      <c r="H1916" t="s">
        <v>2790</v>
      </c>
      <c r="I1916" s="5" t="s">
        <v>57</v>
      </c>
      <c r="J1916">
        <v>2050</v>
      </c>
      <c r="K1916" s="38" t="str">
        <f t="shared" si="235"/>
        <v>*0.9</v>
      </c>
      <c r="P1916" s="32" t="s">
        <v>2790</v>
      </c>
      <c r="Q1916" s="42" t="s">
        <v>57</v>
      </c>
      <c r="R1916" s="32">
        <v>2035</v>
      </c>
      <c r="S1916" s="43" t="str">
        <f t="shared" si="236"/>
        <v>*0.92</v>
      </c>
      <c r="U1916" s="32" t="s">
        <v>2790</v>
      </c>
      <c r="V1916" s="42" t="s">
        <v>57</v>
      </c>
      <c r="W1916" s="32">
        <v>2050</v>
      </c>
      <c r="X1916" s="43" t="str">
        <f t="shared" si="237"/>
        <v>*0.89</v>
      </c>
      <c r="AC1916" s="33" t="s">
        <v>2790</v>
      </c>
      <c r="AD1916" s="44" t="s">
        <v>57</v>
      </c>
      <c r="AE1916" s="33">
        <v>2035</v>
      </c>
      <c r="AF1916" s="45" t="str">
        <f t="shared" si="238"/>
        <v>*0.89</v>
      </c>
      <c r="AG1916" s="43" t="str">
        <f t="shared" si="240"/>
        <v>REZoning_Sol-Win</v>
      </c>
      <c r="AI1916" s="33" t="s">
        <v>2790</v>
      </c>
      <c r="AJ1916" s="44" t="s">
        <v>57</v>
      </c>
      <c r="AK1916" s="33">
        <v>2050</v>
      </c>
      <c r="AL1916" s="45" t="str">
        <f t="shared" si="239"/>
        <v>*0.84</v>
      </c>
      <c r="AM1916" s="43" t="str">
        <f t="shared" si="241"/>
        <v>REZoning_Sol-Win</v>
      </c>
      <c r="AP1916" t="s">
        <v>2790</v>
      </c>
      <c r="AQ1916" t="s">
        <v>57</v>
      </c>
      <c r="AR1916">
        <v>2100</v>
      </c>
      <c r="AS1916" t="s">
        <v>919</v>
      </c>
      <c r="AT1916" t="s">
        <v>58</v>
      </c>
    </row>
    <row r="1917" ht="29" spans="1:46">
      <c r="A1917" s="31" t="s">
        <v>79</v>
      </c>
      <c r="C1917" t="s">
        <v>2791</v>
      </c>
      <c r="D1917" s="5" t="s">
        <v>57</v>
      </c>
      <c r="E1917">
        <v>2035</v>
      </c>
      <c r="F1917" s="6" t="str">
        <f t="shared" si="234"/>
        <v>*0.94</v>
      </c>
      <c r="H1917" t="s">
        <v>2791</v>
      </c>
      <c r="I1917" s="5" t="s">
        <v>57</v>
      </c>
      <c r="J1917">
        <v>2050</v>
      </c>
      <c r="K1917" s="38" t="str">
        <f t="shared" si="235"/>
        <v>*0.9</v>
      </c>
      <c r="P1917" s="32" t="s">
        <v>2791</v>
      </c>
      <c r="Q1917" s="42" t="s">
        <v>57</v>
      </c>
      <c r="R1917" s="32">
        <v>2035</v>
      </c>
      <c r="S1917" s="43" t="str">
        <f t="shared" si="236"/>
        <v>*0.92</v>
      </c>
      <c r="U1917" s="32" t="s">
        <v>2791</v>
      </c>
      <c r="V1917" s="42" t="s">
        <v>57</v>
      </c>
      <c r="W1917" s="32">
        <v>2050</v>
      </c>
      <c r="X1917" s="43" t="str">
        <f t="shared" si="237"/>
        <v>*0.89</v>
      </c>
      <c r="AC1917" s="33" t="s">
        <v>2791</v>
      </c>
      <c r="AD1917" s="44" t="s">
        <v>57</v>
      </c>
      <c r="AE1917" s="33">
        <v>2035</v>
      </c>
      <c r="AF1917" s="45" t="str">
        <f t="shared" si="238"/>
        <v>*0.89</v>
      </c>
      <c r="AG1917" s="43" t="str">
        <f t="shared" si="240"/>
        <v>REZoning_Sol-Win</v>
      </c>
      <c r="AI1917" s="33" t="s">
        <v>2791</v>
      </c>
      <c r="AJ1917" s="44" t="s">
        <v>57</v>
      </c>
      <c r="AK1917" s="33">
        <v>2050</v>
      </c>
      <c r="AL1917" s="45" t="str">
        <f t="shared" si="239"/>
        <v>*0.84</v>
      </c>
      <c r="AM1917" s="43" t="str">
        <f t="shared" si="241"/>
        <v>REZoning_Sol-Win</v>
      </c>
      <c r="AP1917" t="s">
        <v>2791</v>
      </c>
      <c r="AQ1917" t="s">
        <v>57</v>
      </c>
      <c r="AR1917">
        <v>2100</v>
      </c>
      <c r="AS1917" t="s">
        <v>919</v>
      </c>
      <c r="AT1917" t="s">
        <v>58</v>
      </c>
    </row>
    <row r="1918" ht="29" spans="1:46">
      <c r="A1918" s="31" t="s">
        <v>79</v>
      </c>
      <c r="C1918" t="s">
        <v>2792</v>
      </c>
      <c r="D1918" s="5" t="s">
        <v>57</v>
      </c>
      <c r="E1918">
        <v>2035</v>
      </c>
      <c r="F1918" s="6" t="str">
        <f t="shared" si="234"/>
        <v>*0.94</v>
      </c>
      <c r="H1918" t="s">
        <v>2792</v>
      </c>
      <c r="I1918" s="5" t="s">
        <v>57</v>
      </c>
      <c r="J1918">
        <v>2050</v>
      </c>
      <c r="K1918" s="38" t="str">
        <f t="shared" si="235"/>
        <v>*0.9</v>
      </c>
      <c r="P1918" s="32" t="s">
        <v>2792</v>
      </c>
      <c r="Q1918" s="42" t="s">
        <v>57</v>
      </c>
      <c r="R1918" s="32">
        <v>2035</v>
      </c>
      <c r="S1918" s="43" t="str">
        <f t="shared" si="236"/>
        <v>*0.92</v>
      </c>
      <c r="U1918" s="32" t="s">
        <v>2792</v>
      </c>
      <c r="V1918" s="42" t="s">
        <v>57</v>
      </c>
      <c r="W1918" s="32">
        <v>2050</v>
      </c>
      <c r="X1918" s="43" t="str">
        <f t="shared" si="237"/>
        <v>*0.89</v>
      </c>
      <c r="AC1918" s="33" t="s">
        <v>2792</v>
      </c>
      <c r="AD1918" s="44" t="s">
        <v>57</v>
      </c>
      <c r="AE1918" s="33">
        <v>2035</v>
      </c>
      <c r="AF1918" s="45" t="str">
        <f t="shared" si="238"/>
        <v>*0.89</v>
      </c>
      <c r="AG1918" s="43" t="str">
        <f t="shared" si="240"/>
        <v>REZoning_Sol-Win</v>
      </c>
      <c r="AI1918" s="33" t="s">
        <v>2792</v>
      </c>
      <c r="AJ1918" s="44" t="s">
        <v>57</v>
      </c>
      <c r="AK1918" s="33">
        <v>2050</v>
      </c>
      <c r="AL1918" s="45" t="str">
        <f t="shared" si="239"/>
        <v>*0.84</v>
      </c>
      <c r="AM1918" s="43" t="str">
        <f t="shared" si="241"/>
        <v>REZoning_Sol-Win</v>
      </c>
      <c r="AP1918" t="s">
        <v>2792</v>
      </c>
      <c r="AQ1918" t="s">
        <v>57</v>
      </c>
      <c r="AR1918">
        <v>2100</v>
      </c>
      <c r="AS1918" t="s">
        <v>919</v>
      </c>
      <c r="AT1918" t="s">
        <v>58</v>
      </c>
    </row>
    <row r="1919" ht="29" spans="1:46">
      <c r="A1919" s="31" t="s">
        <v>79</v>
      </c>
      <c r="C1919" t="s">
        <v>2793</v>
      </c>
      <c r="D1919" s="5" t="s">
        <v>57</v>
      </c>
      <c r="E1919">
        <v>2035</v>
      </c>
      <c r="F1919" s="6" t="str">
        <f t="shared" si="234"/>
        <v>*0.94</v>
      </c>
      <c r="H1919" t="s">
        <v>2793</v>
      </c>
      <c r="I1919" s="5" t="s">
        <v>57</v>
      </c>
      <c r="J1919">
        <v>2050</v>
      </c>
      <c r="K1919" s="38" t="str">
        <f t="shared" si="235"/>
        <v>*0.9</v>
      </c>
      <c r="P1919" s="32" t="s">
        <v>2793</v>
      </c>
      <c r="Q1919" s="42" t="s">
        <v>57</v>
      </c>
      <c r="R1919" s="32">
        <v>2035</v>
      </c>
      <c r="S1919" s="43" t="str">
        <f t="shared" si="236"/>
        <v>*0.92</v>
      </c>
      <c r="U1919" s="32" t="s">
        <v>2793</v>
      </c>
      <c r="V1919" s="42" t="s">
        <v>57</v>
      </c>
      <c r="W1919" s="32">
        <v>2050</v>
      </c>
      <c r="X1919" s="43" t="str">
        <f t="shared" si="237"/>
        <v>*0.89</v>
      </c>
      <c r="AC1919" s="33" t="s">
        <v>2793</v>
      </c>
      <c r="AD1919" s="44" t="s">
        <v>57</v>
      </c>
      <c r="AE1919" s="33">
        <v>2035</v>
      </c>
      <c r="AF1919" s="45" t="str">
        <f t="shared" si="238"/>
        <v>*0.89</v>
      </c>
      <c r="AG1919" s="43" t="str">
        <f t="shared" si="240"/>
        <v>REZoning_Sol-Win</v>
      </c>
      <c r="AI1919" s="33" t="s">
        <v>2793</v>
      </c>
      <c r="AJ1919" s="44" t="s">
        <v>57</v>
      </c>
      <c r="AK1919" s="33">
        <v>2050</v>
      </c>
      <c r="AL1919" s="45" t="str">
        <f t="shared" si="239"/>
        <v>*0.84</v>
      </c>
      <c r="AM1919" s="43" t="str">
        <f t="shared" si="241"/>
        <v>REZoning_Sol-Win</v>
      </c>
      <c r="AP1919" t="s">
        <v>2793</v>
      </c>
      <c r="AQ1919" t="s">
        <v>57</v>
      </c>
      <c r="AR1919">
        <v>2100</v>
      </c>
      <c r="AS1919" t="s">
        <v>919</v>
      </c>
      <c r="AT1919" t="s">
        <v>58</v>
      </c>
    </row>
    <row r="1920" ht="29" spans="1:46">
      <c r="A1920" s="31" t="s">
        <v>79</v>
      </c>
      <c r="C1920" t="s">
        <v>2794</v>
      </c>
      <c r="D1920" s="5" t="s">
        <v>57</v>
      </c>
      <c r="E1920">
        <v>2035</v>
      </c>
      <c r="F1920" s="6" t="str">
        <f t="shared" si="234"/>
        <v>*0.94</v>
      </c>
      <c r="H1920" t="s">
        <v>2794</v>
      </c>
      <c r="I1920" s="5" t="s">
        <v>57</v>
      </c>
      <c r="J1920">
        <v>2050</v>
      </c>
      <c r="K1920" s="38" t="str">
        <f t="shared" si="235"/>
        <v>*0.9</v>
      </c>
      <c r="P1920" s="32" t="s">
        <v>2794</v>
      </c>
      <c r="Q1920" s="42" t="s">
        <v>57</v>
      </c>
      <c r="R1920" s="32">
        <v>2035</v>
      </c>
      <c r="S1920" s="43" t="str">
        <f t="shared" si="236"/>
        <v>*0.92</v>
      </c>
      <c r="U1920" s="32" t="s">
        <v>2794</v>
      </c>
      <c r="V1920" s="42" t="s">
        <v>57</v>
      </c>
      <c r="W1920" s="32">
        <v>2050</v>
      </c>
      <c r="X1920" s="43" t="str">
        <f t="shared" si="237"/>
        <v>*0.89</v>
      </c>
      <c r="AC1920" s="33" t="s">
        <v>2794</v>
      </c>
      <c r="AD1920" s="44" t="s">
        <v>57</v>
      </c>
      <c r="AE1920" s="33">
        <v>2035</v>
      </c>
      <c r="AF1920" s="45" t="str">
        <f t="shared" si="238"/>
        <v>*0.89</v>
      </c>
      <c r="AG1920" s="43" t="str">
        <f t="shared" si="240"/>
        <v>REZoning_Sol-Win</v>
      </c>
      <c r="AI1920" s="33" t="s">
        <v>2794</v>
      </c>
      <c r="AJ1920" s="44" t="s">
        <v>57</v>
      </c>
      <c r="AK1920" s="33">
        <v>2050</v>
      </c>
      <c r="AL1920" s="45" t="str">
        <f t="shared" si="239"/>
        <v>*0.84</v>
      </c>
      <c r="AM1920" s="43" t="str">
        <f t="shared" si="241"/>
        <v>REZoning_Sol-Win</v>
      </c>
      <c r="AP1920" t="s">
        <v>2794</v>
      </c>
      <c r="AQ1920" t="s">
        <v>57</v>
      </c>
      <c r="AR1920">
        <v>2100</v>
      </c>
      <c r="AS1920" t="s">
        <v>919</v>
      </c>
      <c r="AT1920" t="s">
        <v>58</v>
      </c>
    </row>
    <row r="1921" ht="29" spans="1:46">
      <c r="A1921" s="31" t="s">
        <v>79</v>
      </c>
      <c r="C1921" t="s">
        <v>2795</v>
      </c>
      <c r="D1921" s="5" t="s">
        <v>57</v>
      </c>
      <c r="E1921">
        <v>2035</v>
      </c>
      <c r="F1921" s="6" t="str">
        <f t="shared" si="234"/>
        <v>*0.94</v>
      </c>
      <c r="H1921" t="s">
        <v>2795</v>
      </c>
      <c r="I1921" s="5" t="s">
        <v>57</v>
      </c>
      <c r="J1921">
        <v>2050</v>
      </c>
      <c r="K1921" s="38" t="str">
        <f t="shared" si="235"/>
        <v>*0.9</v>
      </c>
      <c r="P1921" s="32" t="s">
        <v>2795</v>
      </c>
      <c r="Q1921" s="42" t="s">
        <v>57</v>
      </c>
      <c r="R1921" s="32">
        <v>2035</v>
      </c>
      <c r="S1921" s="43" t="str">
        <f t="shared" si="236"/>
        <v>*0.92</v>
      </c>
      <c r="U1921" s="32" t="s">
        <v>2795</v>
      </c>
      <c r="V1921" s="42" t="s">
        <v>57</v>
      </c>
      <c r="W1921" s="32">
        <v>2050</v>
      </c>
      <c r="X1921" s="43" t="str">
        <f t="shared" si="237"/>
        <v>*0.89</v>
      </c>
      <c r="AC1921" s="33" t="s">
        <v>2795</v>
      </c>
      <c r="AD1921" s="44" t="s">
        <v>57</v>
      </c>
      <c r="AE1921" s="33">
        <v>2035</v>
      </c>
      <c r="AF1921" s="45" t="str">
        <f t="shared" si="238"/>
        <v>*0.89</v>
      </c>
      <c r="AG1921" s="43" t="str">
        <f t="shared" si="240"/>
        <v>REZoning_Sol-Win</v>
      </c>
      <c r="AI1921" s="33" t="s">
        <v>2795</v>
      </c>
      <c r="AJ1921" s="44" t="s">
        <v>57</v>
      </c>
      <c r="AK1921" s="33">
        <v>2050</v>
      </c>
      <c r="AL1921" s="45" t="str">
        <f t="shared" si="239"/>
        <v>*0.84</v>
      </c>
      <c r="AM1921" s="43" t="str">
        <f t="shared" si="241"/>
        <v>REZoning_Sol-Win</v>
      </c>
      <c r="AP1921" t="s">
        <v>2795</v>
      </c>
      <c r="AQ1921" t="s">
        <v>57</v>
      </c>
      <c r="AR1921">
        <v>2100</v>
      </c>
      <c r="AS1921" t="s">
        <v>919</v>
      </c>
      <c r="AT1921" t="s">
        <v>58</v>
      </c>
    </row>
    <row r="1922" ht="29" spans="1:46">
      <c r="A1922" s="31" t="s">
        <v>79</v>
      </c>
      <c r="C1922" t="s">
        <v>2796</v>
      </c>
      <c r="D1922" s="5" t="s">
        <v>57</v>
      </c>
      <c r="E1922">
        <v>2035</v>
      </c>
      <c r="F1922" s="6" t="str">
        <f t="shared" si="234"/>
        <v>*0.94</v>
      </c>
      <c r="H1922" t="s">
        <v>2796</v>
      </c>
      <c r="I1922" s="5" t="s">
        <v>57</v>
      </c>
      <c r="J1922">
        <v>2050</v>
      </c>
      <c r="K1922" s="38" t="str">
        <f t="shared" si="235"/>
        <v>*0.9</v>
      </c>
      <c r="P1922" s="32" t="s">
        <v>2796</v>
      </c>
      <c r="Q1922" s="42" t="s">
        <v>57</v>
      </c>
      <c r="R1922" s="32">
        <v>2035</v>
      </c>
      <c r="S1922" s="43" t="str">
        <f t="shared" si="236"/>
        <v>*0.92</v>
      </c>
      <c r="U1922" s="32" t="s">
        <v>2796</v>
      </c>
      <c r="V1922" s="42" t="s">
        <v>57</v>
      </c>
      <c r="W1922" s="32">
        <v>2050</v>
      </c>
      <c r="X1922" s="43" t="str">
        <f t="shared" si="237"/>
        <v>*0.89</v>
      </c>
      <c r="AC1922" s="33" t="s">
        <v>2796</v>
      </c>
      <c r="AD1922" s="44" t="s">
        <v>57</v>
      </c>
      <c r="AE1922" s="33">
        <v>2035</v>
      </c>
      <c r="AF1922" s="45" t="str">
        <f t="shared" si="238"/>
        <v>*0.89</v>
      </c>
      <c r="AG1922" s="43" t="str">
        <f t="shared" si="240"/>
        <v>REZoning_Sol-Win</v>
      </c>
      <c r="AI1922" s="33" t="s">
        <v>2796</v>
      </c>
      <c r="AJ1922" s="44" t="s">
        <v>57</v>
      </c>
      <c r="AK1922" s="33">
        <v>2050</v>
      </c>
      <c r="AL1922" s="45" t="str">
        <f t="shared" si="239"/>
        <v>*0.84</v>
      </c>
      <c r="AM1922" s="43" t="str">
        <f t="shared" si="241"/>
        <v>REZoning_Sol-Win</v>
      </c>
      <c r="AP1922" t="s">
        <v>2796</v>
      </c>
      <c r="AQ1922" t="s">
        <v>57</v>
      </c>
      <c r="AR1922">
        <v>2100</v>
      </c>
      <c r="AS1922" t="s">
        <v>919</v>
      </c>
      <c r="AT1922" t="s">
        <v>58</v>
      </c>
    </row>
    <row r="1923" ht="29" spans="1:46">
      <c r="A1923" s="31" t="s">
        <v>79</v>
      </c>
      <c r="C1923" t="s">
        <v>2797</v>
      </c>
      <c r="D1923" s="5" t="s">
        <v>57</v>
      </c>
      <c r="E1923">
        <v>2035</v>
      </c>
      <c r="F1923" s="6" t="str">
        <f t="shared" si="234"/>
        <v>*0.94</v>
      </c>
      <c r="H1923" t="s">
        <v>2797</v>
      </c>
      <c r="I1923" s="5" t="s">
        <v>57</v>
      </c>
      <c r="J1923">
        <v>2050</v>
      </c>
      <c r="K1923" s="38" t="str">
        <f t="shared" si="235"/>
        <v>*0.9</v>
      </c>
      <c r="P1923" s="32" t="s">
        <v>2797</v>
      </c>
      <c r="Q1923" s="42" t="s">
        <v>57</v>
      </c>
      <c r="R1923" s="32">
        <v>2035</v>
      </c>
      <c r="S1923" s="43" t="str">
        <f t="shared" si="236"/>
        <v>*0.92</v>
      </c>
      <c r="U1923" s="32" t="s">
        <v>2797</v>
      </c>
      <c r="V1923" s="42" t="s">
        <v>57</v>
      </c>
      <c r="W1923" s="32">
        <v>2050</v>
      </c>
      <c r="X1923" s="43" t="str">
        <f t="shared" si="237"/>
        <v>*0.89</v>
      </c>
      <c r="AC1923" s="33" t="s">
        <v>2797</v>
      </c>
      <c r="AD1923" s="44" t="s">
        <v>57</v>
      </c>
      <c r="AE1923" s="33">
        <v>2035</v>
      </c>
      <c r="AF1923" s="45" t="str">
        <f t="shared" si="238"/>
        <v>*0.89</v>
      </c>
      <c r="AG1923" s="43" t="str">
        <f t="shared" si="240"/>
        <v>REZoning_Sol-Win</v>
      </c>
      <c r="AI1923" s="33" t="s">
        <v>2797</v>
      </c>
      <c r="AJ1923" s="44" t="s">
        <v>57</v>
      </c>
      <c r="AK1923" s="33">
        <v>2050</v>
      </c>
      <c r="AL1923" s="45" t="str">
        <f t="shared" si="239"/>
        <v>*0.84</v>
      </c>
      <c r="AM1923" s="43" t="str">
        <f t="shared" si="241"/>
        <v>REZoning_Sol-Win</v>
      </c>
      <c r="AP1923" t="s">
        <v>2797</v>
      </c>
      <c r="AQ1923" t="s">
        <v>57</v>
      </c>
      <c r="AR1923">
        <v>2100</v>
      </c>
      <c r="AS1923" t="s">
        <v>919</v>
      </c>
      <c r="AT1923" t="s">
        <v>58</v>
      </c>
    </row>
    <row r="1924" ht="29" spans="1:46">
      <c r="A1924" s="31" t="s">
        <v>79</v>
      </c>
      <c r="C1924" t="s">
        <v>2798</v>
      </c>
      <c r="D1924" s="5" t="s">
        <v>57</v>
      </c>
      <c r="E1924">
        <v>2035</v>
      </c>
      <c r="F1924" s="6" t="str">
        <f t="shared" ref="F1924:F1987" si="242">"*"&amp;IF(AND(A1924="EU",E1924=2035),0.95,IF(AND(A1924="EU",E1924=2050),0.93,IF(AND(A1924="USA",E1924=2035),0.96,IF(AND(A1924="USA",E1924=2050),0.94,IF(AND(A1924="Japan",E1924=2035),0.94,IF(AND(A1924="Japan",E1924=2050),0.92,IF(AND(A1924="Russia",E1924=2035),0.95,IF(AND(A1924="Russia",E1924=2050),0.93,IF(AND(A1924="China",E1924=2035),0.94,IF(AND(A1924="China",E1924=2050),0.92,IF(AND(A1924="India",E1924=2035),0.95,IF(AND(A1924="India",E1924=2050),0.92,IF(AND(A1924="Middle East",E1924=2035),0.94,IF(AND(A1924="Middle East",E1924=2050),0.9,IF(AND(A1924="Africa",E1924=2035),0.94,IF(AND(A1924="Africa",E1924=2050),0.91,IF(AND(A1924="Brazil",E1924=2035),0.95,IF(AND(A1924="Brazil",E1924=2050),0.92,""))))))))))))))))))</f>
        <v>*0.94</v>
      </c>
      <c r="H1924" t="s">
        <v>2798</v>
      </c>
      <c r="I1924" s="5" t="s">
        <v>57</v>
      </c>
      <c r="J1924">
        <v>2050</v>
      </c>
      <c r="K1924" s="38" t="str">
        <f t="shared" ref="K1924:K1987" si="243">"*"&amp;IF(AND(A1924="EU",J1924=2035),0.95,IF(AND(A1924="EU",J1924=2050),0.93,IF(AND(A1924="USA",J1924=2035),0.96,IF(AND(A1924="USA",J1924=2050),0.94,IF(AND(A1924="Japan",J1924=2035),0.94,IF(AND(A1924="Japan",J1924=2050),0.92,IF(AND(A1924="Russia",J1924=2035),0.95,IF(AND(A1924="Russia",J1924=2050),0.93,IF(AND(A1924="China",J1924=2035),0.94,IF(AND(A1924="China",J1924=2050),0.92,IF(AND(A1924="India",J1924=2035),0.95,IF(AND(A1924="India",J1924=2050),0.92,IF(AND(A1924="Middle East",J1924=2035),0.94,IF(AND(A1924="Middle East",J1924=2050),0.9,IF(AND(A1924="Africa",J1924=2035),0.94,IF(AND(A1924="Africa",J1924=2050),0.91,IF(AND(A1924="Brazil",J1924=2035),0.95,IF(AND(A1924="Brazil",J1924=2050),0.92,""))))))))))))))))))</f>
        <v>*0.9</v>
      </c>
      <c r="P1924" s="32" t="s">
        <v>2798</v>
      </c>
      <c r="Q1924" s="42" t="s">
        <v>57</v>
      </c>
      <c r="R1924" s="32">
        <v>2035</v>
      </c>
      <c r="S1924" s="43" t="str">
        <f t="shared" ref="S1924:S1987" si="244">"*"&amp;IF(AND(A1924="EU",R1924=2035),0.95,IF(AND(A1924="EU",R1924=2050),0.93,IF(AND(A1924="USA",R1924=2035),0.96,IF(AND(A1924="USA",R1924=2050),0.93,IF(AND(A1924="Japan",R1924=2035),0.94,IF(AND(A1924="Japan",R1924=2050),0.92,IF(AND(A1924="Russia",R1924=2035),0.95,IF(AND(A1924="Russia",R1924=2050),0.91,IF(AND(A1924="China",R1924=2035),0.93,IF(AND(A1924="China",R1924=2050),0.92,IF(AND(A1924="India",R1924=2035),0.94,IF(AND(A1924="India",R1924=2050),0.91,IF(AND(A1924="Middle East",R1924=2035),0.92,IF(AND(A1924="Middle East",R1924=2050),0.89,IF(AND(A1924="Africa",R1924=2035),0.93,IF(AND(A1924="Africa",R1924=2050),0.9,IF(AND(A1924="Brazil",R1924=2035),0.95,IF(AND(A1924="Brazil",R1924=2050),0.92,""))))))))))))))))))</f>
        <v>*0.92</v>
      </c>
      <c r="U1924" s="32" t="s">
        <v>2798</v>
      </c>
      <c r="V1924" s="42" t="s">
        <v>57</v>
      </c>
      <c r="W1924" s="32">
        <v>2050</v>
      </c>
      <c r="X1924" s="43" t="str">
        <f t="shared" ref="X1924:X1987" si="245">"*"&amp;IF(AND(A1924="EU",W1924=2035),0.95,IF(AND(A1924="EU",W1924=2050),0.93,IF(AND(A1924="USA",W1924=2035),0.96,IF(AND(A1924="USA",W1924=2050),0.93,IF(AND(A1924="Japan",W1924=2035),0.94,IF(AND(A1924="Japan",W1924=2050),0.92,IF(AND(A1924="Russia",W1924=2035),0.95,IF(AND(A1924="Russia",W1924=2050),0.91,IF(AND(A1924="China",W1924=2035),0.93,IF(AND(A1924="China",W1924=2050),0.92,IF(AND(A1924="India",W1924=2035),0.94,IF(AND(A1924="India",W1924=2050),0.91,IF(AND(A1924="Middle East",W1924=2035),0.92,IF(AND(A1924="Middle East",W1924=2050),0.89,IF(AND(A1924="Africa",W1924=2035),0.93,IF(AND(A1924="Africa",W1924=2050),0.9,IF(AND(A1924="Brazil",W1924=2035),0.95,IF(AND(A1924="Brazil",W1924=2050),0.92,""))))))))))))))))))</f>
        <v>*0.89</v>
      </c>
      <c r="AC1924" s="33" t="s">
        <v>2798</v>
      </c>
      <c r="AD1924" s="44" t="s">
        <v>57</v>
      </c>
      <c r="AE1924" s="33">
        <v>2035</v>
      </c>
      <c r="AF1924" s="45" t="str">
        <f t="shared" ref="AF1924:AF1987" si="246">"*"&amp;IF(AND(A1924="EU",AE1924=2035),0.93,IF(AND(A1924="EU",AE1924=2050),0.9,IF(AND(A1924="USA",AE1924=2035),0.92,IF(AND(A1924="USA",AE1924=2050),0.89,IF(AND(A1924="Japan",AE1924=2035),0.92,IF(AND(A1924="Japan",AE1924=2050),0.89,IF(AND(A1924="Russia",AE1924=2035),0.91,IF(AND(A1924="Russia",AE1924=2050),0.86,IF(AND(A1924="China",AE1924=2035),0.91,IF(AND(A1924="China",AE1924=2050),0.87,IF(AND(A1924="India",AE1924=2035),0.92,IF(AND(A1924="India",AE1924=2050),0.87,IF(AND(A1924="Middle East",AE1924=2035),0.89,IF(AND(A1924="Middle East",AE1924=2050),0.84,IF(AND(A1924="Africa",AE1924=2035),0.9,IF(AND(A1924="Africa",AE1924=2050),0.86,IF(AND(A1924="Brazil",AE1924=2035),0.93,IF(AND(A1924="Brazil",AE1924=2050),0.89,""))))))))))))))))))</f>
        <v>*0.89</v>
      </c>
      <c r="AG1924" s="43" t="str">
        <f t="shared" si="240"/>
        <v>REZoning_Sol-Win</v>
      </c>
      <c r="AI1924" s="33" t="s">
        <v>2798</v>
      </c>
      <c r="AJ1924" s="44" t="s">
        <v>57</v>
      </c>
      <c r="AK1924" s="33">
        <v>2050</v>
      </c>
      <c r="AL1924" s="45" t="str">
        <f t="shared" ref="AL1924:AL1987" si="247">"*"&amp;IF(AND(A1924="EU",AK1924=2035),0.93,IF(AND(A1924="EU",AK1924=2050),0.9,IF(AND(A1924="USA",AK1924=2035),0.92,IF(AND(A1924="USA",AK1924=2050),0.89,IF(AND(A1924="Japan",AK1924=2035),0.92,IF(AND(A1924="Japan",AK1924=2050),0.89,IF(AND(A1924="Russia",AK1924=2035),0.91,IF(AND(A1924="Russia",AK1924=2050),0.86,IF(AND(A1924="China",AK1924=2035),0.91,IF(AND(A1924="China",AK1924=2050),0.87,IF(AND(A1924="India",AK1924=2035),0.92,IF(AND(A1924="India",AK1924=2050),0.87,IF(AND(A1924="Middle East",AK1924=2035),0.89,IF(AND(A1924="Middle East",AK1924=2050),0.84,IF(AND(A1924="Africa",AK1924=2035),0.9,IF(AND(A1924="Africa",AK1924=2050),0.86,IF(AND(A1924="Brazil",AK1924=2035),0.93,IF(AND(A1924="Brazil",AK1924=2050),0.89,""))))))))))))))))))</f>
        <v>*0.84</v>
      </c>
      <c r="AM1924" s="43" t="str">
        <f t="shared" si="241"/>
        <v>REZoning_Sol-Win</v>
      </c>
      <c r="AP1924" t="s">
        <v>2798</v>
      </c>
      <c r="AQ1924" t="s">
        <v>57</v>
      </c>
      <c r="AR1924">
        <v>2100</v>
      </c>
      <c r="AS1924" t="s">
        <v>919</v>
      </c>
      <c r="AT1924" t="s">
        <v>58</v>
      </c>
    </row>
    <row r="1925" ht="29" spans="1:46">
      <c r="A1925" s="31" t="s">
        <v>79</v>
      </c>
      <c r="C1925" t="s">
        <v>2799</v>
      </c>
      <c r="D1925" s="5" t="s">
        <v>57</v>
      </c>
      <c r="E1925">
        <v>2035</v>
      </c>
      <c r="F1925" s="6" t="str">
        <f t="shared" si="242"/>
        <v>*0.94</v>
      </c>
      <c r="H1925" t="s">
        <v>2799</v>
      </c>
      <c r="I1925" s="5" t="s">
        <v>57</v>
      </c>
      <c r="J1925">
        <v>2050</v>
      </c>
      <c r="K1925" s="38" t="str">
        <f t="shared" si="243"/>
        <v>*0.9</v>
      </c>
      <c r="P1925" s="32" t="s">
        <v>2799</v>
      </c>
      <c r="Q1925" s="42" t="s">
        <v>57</v>
      </c>
      <c r="R1925" s="32">
        <v>2035</v>
      </c>
      <c r="S1925" s="43" t="str">
        <f t="shared" si="244"/>
        <v>*0.92</v>
      </c>
      <c r="U1925" s="32" t="s">
        <v>2799</v>
      </c>
      <c r="V1925" s="42" t="s">
        <v>57</v>
      </c>
      <c r="W1925" s="32">
        <v>2050</v>
      </c>
      <c r="X1925" s="43" t="str">
        <f t="shared" si="245"/>
        <v>*0.89</v>
      </c>
      <c r="AC1925" s="33" t="s">
        <v>2799</v>
      </c>
      <c r="AD1925" s="44" t="s">
        <v>57</v>
      </c>
      <c r="AE1925" s="33">
        <v>2035</v>
      </c>
      <c r="AF1925" s="45" t="str">
        <f t="shared" si="246"/>
        <v>*0.89</v>
      </c>
      <c r="AG1925" s="43" t="str">
        <f t="shared" si="240"/>
        <v>REZoning_Sol-Win</v>
      </c>
      <c r="AI1925" s="33" t="s">
        <v>2799</v>
      </c>
      <c r="AJ1925" s="44" t="s">
        <v>57</v>
      </c>
      <c r="AK1925" s="33">
        <v>2050</v>
      </c>
      <c r="AL1925" s="45" t="str">
        <f t="shared" si="247"/>
        <v>*0.84</v>
      </c>
      <c r="AM1925" s="43" t="str">
        <f t="shared" si="241"/>
        <v>REZoning_Sol-Win</v>
      </c>
      <c r="AP1925" t="s">
        <v>2799</v>
      </c>
      <c r="AQ1925" t="s">
        <v>57</v>
      </c>
      <c r="AR1925">
        <v>2100</v>
      </c>
      <c r="AS1925" t="s">
        <v>919</v>
      </c>
      <c r="AT1925" t="s">
        <v>58</v>
      </c>
    </row>
    <row r="1926" ht="29" spans="1:46">
      <c r="A1926" s="31" t="s">
        <v>79</v>
      </c>
      <c r="C1926" t="s">
        <v>2800</v>
      </c>
      <c r="D1926" s="5" t="s">
        <v>57</v>
      </c>
      <c r="E1926">
        <v>2035</v>
      </c>
      <c r="F1926" s="6" t="str">
        <f t="shared" si="242"/>
        <v>*0.94</v>
      </c>
      <c r="H1926" t="s">
        <v>2800</v>
      </c>
      <c r="I1926" s="5" t="s">
        <v>57</v>
      </c>
      <c r="J1926">
        <v>2050</v>
      </c>
      <c r="K1926" s="38" t="str">
        <f t="shared" si="243"/>
        <v>*0.9</v>
      </c>
      <c r="P1926" s="32" t="s">
        <v>2800</v>
      </c>
      <c r="Q1926" s="42" t="s">
        <v>57</v>
      </c>
      <c r="R1926" s="32">
        <v>2035</v>
      </c>
      <c r="S1926" s="43" t="str">
        <f t="shared" si="244"/>
        <v>*0.92</v>
      </c>
      <c r="U1926" s="32" t="s">
        <v>2800</v>
      </c>
      <c r="V1926" s="42" t="s">
        <v>57</v>
      </c>
      <c r="W1926" s="32">
        <v>2050</v>
      </c>
      <c r="X1926" s="43" t="str">
        <f t="shared" si="245"/>
        <v>*0.89</v>
      </c>
      <c r="AC1926" s="33" t="s">
        <v>2800</v>
      </c>
      <c r="AD1926" s="44" t="s">
        <v>57</v>
      </c>
      <c r="AE1926" s="33">
        <v>2035</v>
      </c>
      <c r="AF1926" s="45" t="str">
        <f t="shared" si="246"/>
        <v>*0.89</v>
      </c>
      <c r="AG1926" s="43" t="str">
        <f t="shared" si="240"/>
        <v>REZoning_Sol-Win</v>
      </c>
      <c r="AI1926" s="33" t="s">
        <v>2800</v>
      </c>
      <c r="AJ1926" s="44" t="s">
        <v>57</v>
      </c>
      <c r="AK1926" s="33">
        <v>2050</v>
      </c>
      <c r="AL1926" s="45" t="str">
        <f t="shared" si="247"/>
        <v>*0.84</v>
      </c>
      <c r="AM1926" s="43" t="str">
        <f t="shared" si="241"/>
        <v>REZoning_Sol-Win</v>
      </c>
      <c r="AP1926" t="s">
        <v>2800</v>
      </c>
      <c r="AQ1926" t="s">
        <v>57</v>
      </c>
      <c r="AR1926">
        <v>2100</v>
      </c>
      <c r="AS1926" t="s">
        <v>919</v>
      </c>
      <c r="AT1926" t="s">
        <v>58</v>
      </c>
    </row>
    <row r="1927" ht="29" spans="1:46">
      <c r="A1927" s="31" t="s">
        <v>79</v>
      </c>
      <c r="C1927" t="s">
        <v>2801</v>
      </c>
      <c r="D1927" s="5" t="s">
        <v>57</v>
      </c>
      <c r="E1927">
        <v>2035</v>
      </c>
      <c r="F1927" s="6" t="str">
        <f t="shared" si="242"/>
        <v>*0.94</v>
      </c>
      <c r="H1927" t="s">
        <v>2801</v>
      </c>
      <c r="I1927" s="5" t="s">
        <v>57</v>
      </c>
      <c r="J1927">
        <v>2050</v>
      </c>
      <c r="K1927" s="38" t="str">
        <f t="shared" si="243"/>
        <v>*0.9</v>
      </c>
      <c r="P1927" s="32" t="s">
        <v>2801</v>
      </c>
      <c r="Q1927" s="42" t="s">
        <v>57</v>
      </c>
      <c r="R1927" s="32">
        <v>2035</v>
      </c>
      <c r="S1927" s="43" t="str">
        <f t="shared" si="244"/>
        <v>*0.92</v>
      </c>
      <c r="U1927" s="32" t="s">
        <v>2801</v>
      </c>
      <c r="V1927" s="42" t="s">
        <v>57</v>
      </c>
      <c r="W1927" s="32">
        <v>2050</v>
      </c>
      <c r="X1927" s="43" t="str">
        <f t="shared" si="245"/>
        <v>*0.89</v>
      </c>
      <c r="AC1927" s="33" t="s">
        <v>2801</v>
      </c>
      <c r="AD1927" s="44" t="s">
        <v>57</v>
      </c>
      <c r="AE1927" s="33">
        <v>2035</v>
      </c>
      <c r="AF1927" s="45" t="str">
        <f t="shared" si="246"/>
        <v>*0.89</v>
      </c>
      <c r="AG1927" s="43" t="str">
        <f t="shared" si="240"/>
        <v>REZoning_Sol-Win</v>
      </c>
      <c r="AI1927" s="33" t="s">
        <v>2801</v>
      </c>
      <c r="AJ1927" s="44" t="s">
        <v>57</v>
      </c>
      <c r="AK1927" s="33">
        <v>2050</v>
      </c>
      <c r="AL1927" s="45" t="str">
        <f t="shared" si="247"/>
        <v>*0.84</v>
      </c>
      <c r="AM1927" s="43" t="str">
        <f t="shared" si="241"/>
        <v>REZoning_Sol-Win</v>
      </c>
      <c r="AP1927" t="s">
        <v>2801</v>
      </c>
      <c r="AQ1927" t="s">
        <v>57</v>
      </c>
      <c r="AR1927">
        <v>2100</v>
      </c>
      <c r="AS1927" t="s">
        <v>919</v>
      </c>
      <c r="AT1927" t="s">
        <v>58</v>
      </c>
    </row>
    <row r="1928" ht="29" spans="1:46">
      <c r="A1928" s="31" t="s">
        <v>79</v>
      </c>
      <c r="C1928" t="s">
        <v>2802</v>
      </c>
      <c r="D1928" s="5" t="s">
        <v>57</v>
      </c>
      <c r="E1928">
        <v>2035</v>
      </c>
      <c r="F1928" s="6" t="str">
        <f t="shared" si="242"/>
        <v>*0.94</v>
      </c>
      <c r="H1928" t="s">
        <v>2802</v>
      </c>
      <c r="I1928" s="5" t="s">
        <v>57</v>
      </c>
      <c r="J1928">
        <v>2050</v>
      </c>
      <c r="K1928" s="38" t="str">
        <f t="shared" si="243"/>
        <v>*0.9</v>
      </c>
      <c r="P1928" s="32" t="s">
        <v>2802</v>
      </c>
      <c r="Q1928" s="42" t="s">
        <v>57</v>
      </c>
      <c r="R1928" s="32">
        <v>2035</v>
      </c>
      <c r="S1928" s="43" t="str">
        <f t="shared" si="244"/>
        <v>*0.92</v>
      </c>
      <c r="U1928" s="32" t="s">
        <v>2802</v>
      </c>
      <c r="V1928" s="42" t="s">
        <v>57</v>
      </c>
      <c r="W1928" s="32">
        <v>2050</v>
      </c>
      <c r="X1928" s="43" t="str">
        <f t="shared" si="245"/>
        <v>*0.89</v>
      </c>
      <c r="AC1928" s="33" t="s">
        <v>2802</v>
      </c>
      <c r="AD1928" s="44" t="s">
        <v>57</v>
      </c>
      <c r="AE1928" s="33">
        <v>2035</v>
      </c>
      <c r="AF1928" s="45" t="str">
        <f t="shared" si="246"/>
        <v>*0.89</v>
      </c>
      <c r="AG1928" s="43" t="str">
        <f t="shared" si="240"/>
        <v>REZoning_Sol-Win</v>
      </c>
      <c r="AI1928" s="33" t="s">
        <v>2802</v>
      </c>
      <c r="AJ1928" s="44" t="s">
        <v>57</v>
      </c>
      <c r="AK1928" s="33">
        <v>2050</v>
      </c>
      <c r="AL1928" s="45" t="str">
        <f t="shared" si="247"/>
        <v>*0.84</v>
      </c>
      <c r="AM1928" s="43" t="str">
        <f t="shared" si="241"/>
        <v>REZoning_Sol-Win</v>
      </c>
      <c r="AP1928" t="s">
        <v>2802</v>
      </c>
      <c r="AQ1928" t="s">
        <v>57</v>
      </c>
      <c r="AR1928">
        <v>2100</v>
      </c>
      <c r="AS1928" t="s">
        <v>919</v>
      </c>
      <c r="AT1928" t="s">
        <v>58</v>
      </c>
    </row>
    <row r="1929" ht="29" spans="1:46">
      <c r="A1929" s="31" t="s">
        <v>65</v>
      </c>
      <c r="C1929" t="s">
        <v>2803</v>
      </c>
      <c r="D1929" s="5" t="s">
        <v>57</v>
      </c>
      <c r="E1929">
        <v>2035</v>
      </c>
      <c r="F1929" s="6" t="str">
        <f t="shared" si="242"/>
        <v>*0.94</v>
      </c>
      <c r="H1929" t="s">
        <v>2803</v>
      </c>
      <c r="I1929" s="5" t="s">
        <v>57</v>
      </c>
      <c r="J1929">
        <v>2050</v>
      </c>
      <c r="K1929" s="38" t="str">
        <f t="shared" si="243"/>
        <v>*0.91</v>
      </c>
      <c r="P1929" s="32" t="s">
        <v>2803</v>
      </c>
      <c r="Q1929" s="42" t="s">
        <v>57</v>
      </c>
      <c r="R1929" s="32">
        <v>2035</v>
      </c>
      <c r="S1929" s="43" t="str">
        <f t="shared" si="244"/>
        <v>*0.93</v>
      </c>
      <c r="U1929" s="32" t="s">
        <v>2803</v>
      </c>
      <c r="V1929" s="42" t="s">
        <v>57</v>
      </c>
      <c r="W1929" s="32">
        <v>2050</v>
      </c>
      <c r="X1929" s="43" t="str">
        <f t="shared" si="245"/>
        <v>*0.9</v>
      </c>
      <c r="AC1929" s="33" t="s">
        <v>2803</v>
      </c>
      <c r="AD1929" s="44" t="s">
        <v>57</v>
      </c>
      <c r="AE1929" s="33">
        <v>2035</v>
      </c>
      <c r="AF1929" s="45" t="str">
        <f t="shared" si="246"/>
        <v>*0.9</v>
      </c>
      <c r="AG1929" s="43" t="str">
        <f t="shared" ref="AG1929:AG1992" si="248">AG1928</f>
        <v>REZoning_Sol-Win</v>
      </c>
      <c r="AI1929" s="33" t="s">
        <v>2803</v>
      </c>
      <c r="AJ1929" s="44" t="s">
        <v>57</v>
      </c>
      <c r="AK1929" s="33">
        <v>2050</v>
      </c>
      <c r="AL1929" s="45" t="str">
        <f t="shared" si="247"/>
        <v>*0.86</v>
      </c>
      <c r="AM1929" s="43" t="str">
        <f t="shared" si="241"/>
        <v>REZoning_Sol-Win</v>
      </c>
      <c r="AP1929" t="s">
        <v>2803</v>
      </c>
      <c r="AQ1929" t="s">
        <v>57</v>
      </c>
      <c r="AR1929">
        <v>2100</v>
      </c>
      <c r="AS1929" t="s">
        <v>883</v>
      </c>
      <c r="AT1929" t="s">
        <v>58</v>
      </c>
    </row>
    <row r="1930" ht="29" spans="1:46">
      <c r="A1930" s="31" t="s">
        <v>65</v>
      </c>
      <c r="C1930" t="s">
        <v>2804</v>
      </c>
      <c r="D1930" s="5" t="s">
        <v>57</v>
      </c>
      <c r="E1930">
        <v>2035</v>
      </c>
      <c r="F1930" s="6" t="str">
        <f t="shared" si="242"/>
        <v>*0.94</v>
      </c>
      <c r="H1930" t="s">
        <v>2804</v>
      </c>
      <c r="I1930" s="5" t="s">
        <v>57</v>
      </c>
      <c r="J1930">
        <v>2050</v>
      </c>
      <c r="K1930" s="38" t="str">
        <f t="shared" si="243"/>
        <v>*0.91</v>
      </c>
      <c r="P1930" s="32" t="s">
        <v>2804</v>
      </c>
      <c r="Q1930" s="42" t="s">
        <v>57</v>
      </c>
      <c r="R1930" s="32">
        <v>2035</v>
      </c>
      <c r="S1930" s="43" t="str">
        <f t="shared" si="244"/>
        <v>*0.93</v>
      </c>
      <c r="U1930" s="32" t="s">
        <v>2804</v>
      </c>
      <c r="V1930" s="42" t="s">
        <v>57</v>
      </c>
      <c r="W1930" s="32">
        <v>2050</v>
      </c>
      <c r="X1930" s="43" t="str">
        <f t="shared" si="245"/>
        <v>*0.9</v>
      </c>
      <c r="AC1930" s="33" t="s">
        <v>2804</v>
      </c>
      <c r="AD1930" s="44" t="s">
        <v>57</v>
      </c>
      <c r="AE1930" s="33">
        <v>2035</v>
      </c>
      <c r="AF1930" s="45" t="str">
        <f t="shared" si="246"/>
        <v>*0.9</v>
      </c>
      <c r="AG1930" s="43" t="str">
        <f t="shared" si="248"/>
        <v>REZoning_Sol-Win</v>
      </c>
      <c r="AI1930" s="33" t="s">
        <v>2804</v>
      </c>
      <c r="AJ1930" s="44" t="s">
        <v>57</v>
      </c>
      <c r="AK1930" s="33">
        <v>2050</v>
      </c>
      <c r="AL1930" s="45" t="str">
        <f t="shared" si="247"/>
        <v>*0.86</v>
      </c>
      <c r="AM1930" s="43" t="str">
        <f t="shared" ref="AM1930:AM1993" si="249">AM1929</f>
        <v>REZoning_Sol-Win</v>
      </c>
      <c r="AP1930" t="s">
        <v>2804</v>
      </c>
      <c r="AQ1930" t="s">
        <v>57</v>
      </c>
      <c r="AR1930">
        <v>2100</v>
      </c>
      <c r="AS1930" t="s">
        <v>883</v>
      </c>
      <c r="AT1930" t="s">
        <v>58</v>
      </c>
    </row>
    <row r="1931" ht="29" spans="1:46">
      <c r="A1931" s="31" t="s">
        <v>65</v>
      </c>
      <c r="C1931" t="s">
        <v>2805</v>
      </c>
      <c r="D1931" s="5" t="s">
        <v>57</v>
      </c>
      <c r="E1931">
        <v>2035</v>
      </c>
      <c r="F1931" s="6" t="str">
        <f t="shared" si="242"/>
        <v>*0.94</v>
      </c>
      <c r="H1931" t="s">
        <v>2805</v>
      </c>
      <c r="I1931" s="5" t="s">
        <v>57</v>
      </c>
      <c r="J1931">
        <v>2050</v>
      </c>
      <c r="K1931" s="38" t="str">
        <f t="shared" si="243"/>
        <v>*0.91</v>
      </c>
      <c r="P1931" s="32" t="s">
        <v>2805</v>
      </c>
      <c r="Q1931" s="42" t="s">
        <v>57</v>
      </c>
      <c r="R1931" s="32">
        <v>2035</v>
      </c>
      <c r="S1931" s="43" t="str">
        <f t="shared" si="244"/>
        <v>*0.93</v>
      </c>
      <c r="U1931" s="32" t="s">
        <v>2805</v>
      </c>
      <c r="V1931" s="42" t="s">
        <v>57</v>
      </c>
      <c r="W1931" s="32">
        <v>2050</v>
      </c>
      <c r="X1931" s="43" t="str">
        <f t="shared" si="245"/>
        <v>*0.9</v>
      </c>
      <c r="AC1931" s="33" t="s">
        <v>2805</v>
      </c>
      <c r="AD1931" s="44" t="s">
        <v>57</v>
      </c>
      <c r="AE1931" s="33">
        <v>2035</v>
      </c>
      <c r="AF1931" s="45" t="str">
        <f t="shared" si="246"/>
        <v>*0.9</v>
      </c>
      <c r="AG1931" s="43" t="str">
        <f t="shared" si="248"/>
        <v>REZoning_Sol-Win</v>
      </c>
      <c r="AI1931" s="33" t="s">
        <v>2805</v>
      </c>
      <c r="AJ1931" s="44" t="s">
        <v>57</v>
      </c>
      <c r="AK1931" s="33">
        <v>2050</v>
      </c>
      <c r="AL1931" s="45" t="str">
        <f t="shared" si="247"/>
        <v>*0.86</v>
      </c>
      <c r="AM1931" s="43" t="str">
        <f t="shared" si="249"/>
        <v>REZoning_Sol-Win</v>
      </c>
      <c r="AP1931" t="s">
        <v>2805</v>
      </c>
      <c r="AQ1931" t="s">
        <v>57</v>
      </c>
      <c r="AR1931">
        <v>2100</v>
      </c>
      <c r="AS1931" t="s">
        <v>883</v>
      </c>
      <c r="AT1931" t="s">
        <v>58</v>
      </c>
    </row>
    <row r="1932" ht="29" spans="1:46">
      <c r="A1932" s="31" t="s">
        <v>65</v>
      </c>
      <c r="C1932" t="s">
        <v>2806</v>
      </c>
      <c r="D1932" s="5" t="s">
        <v>57</v>
      </c>
      <c r="E1932">
        <v>2035</v>
      </c>
      <c r="F1932" s="6" t="str">
        <f t="shared" si="242"/>
        <v>*0.94</v>
      </c>
      <c r="H1932" t="s">
        <v>2806</v>
      </c>
      <c r="I1932" s="5" t="s">
        <v>57</v>
      </c>
      <c r="J1932">
        <v>2050</v>
      </c>
      <c r="K1932" s="38" t="str">
        <f t="shared" si="243"/>
        <v>*0.91</v>
      </c>
      <c r="P1932" s="32" t="s">
        <v>2806</v>
      </c>
      <c r="Q1932" s="42" t="s">
        <v>57</v>
      </c>
      <c r="R1932" s="32">
        <v>2035</v>
      </c>
      <c r="S1932" s="43" t="str">
        <f t="shared" si="244"/>
        <v>*0.93</v>
      </c>
      <c r="U1932" s="32" t="s">
        <v>2806</v>
      </c>
      <c r="V1932" s="42" t="s">
        <v>57</v>
      </c>
      <c r="W1932" s="32">
        <v>2050</v>
      </c>
      <c r="X1932" s="43" t="str">
        <f t="shared" si="245"/>
        <v>*0.9</v>
      </c>
      <c r="AC1932" s="33" t="s">
        <v>2806</v>
      </c>
      <c r="AD1932" s="44" t="s">
        <v>57</v>
      </c>
      <c r="AE1932" s="33">
        <v>2035</v>
      </c>
      <c r="AF1932" s="45" t="str">
        <f t="shared" si="246"/>
        <v>*0.9</v>
      </c>
      <c r="AG1932" s="43" t="str">
        <f t="shared" si="248"/>
        <v>REZoning_Sol-Win</v>
      </c>
      <c r="AI1932" s="33" t="s">
        <v>2806</v>
      </c>
      <c r="AJ1932" s="44" t="s">
        <v>57</v>
      </c>
      <c r="AK1932" s="33">
        <v>2050</v>
      </c>
      <c r="AL1932" s="45" t="str">
        <f t="shared" si="247"/>
        <v>*0.86</v>
      </c>
      <c r="AM1932" s="43" t="str">
        <f t="shared" si="249"/>
        <v>REZoning_Sol-Win</v>
      </c>
      <c r="AP1932" t="s">
        <v>2806</v>
      </c>
      <c r="AQ1932" t="s">
        <v>57</v>
      </c>
      <c r="AR1932">
        <v>2100</v>
      </c>
      <c r="AS1932" t="s">
        <v>883</v>
      </c>
      <c r="AT1932" t="s">
        <v>58</v>
      </c>
    </row>
    <row r="1933" ht="29" spans="1:46">
      <c r="A1933" s="31" t="s">
        <v>65</v>
      </c>
      <c r="C1933" t="s">
        <v>2807</v>
      </c>
      <c r="D1933" s="5" t="s">
        <v>57</v>
      </c>
      <c r="E1933">
        <v>2035</v>
      </c>
      <c r="F1933" s="6" t="str">
        <f t="shared" si="242"/>
        <v>*0.94</v>
      </c>
      <c r="H1933" t="s">
        <v>2807</v>
      </c>
      <c r="I1933" s="5" t="s">
        <v>57</v>
      </c>
      <c r="J1933">
        <v>2050</v>
      </c>
      <c r="K1933" s="38" t="str">
        <f t="shared" si="243"/>
        <v>*0.91</v>
      </c>
      <c r="P1933" s="32" t="s">
        <v>2807</v>
      </c>
      <c r="Q1933" s="42" t="s">
        <v>57</v>
      </c>
      <c r="R1933" s="32">
        <v>2035</v>
      </c>
      <c r="S1933" s="43" t="str">
        <f t="shared" si="244"/>
        <v>*0.93</v>
      </c>
      <c r="U1933" s="32" t="s">
        <v>2807</v>
      </c>
      <c r="V1933" s="42" t="s">
        <v>57</v>
      </c>
      <c r="W1933" s="32">
        <v>2050</v>
      </c>
      <c r="X1933" s="43" t="str">
        <f t="shared" si="245"/>
        <v>*0.9</v>
      </c>
      <c r="AC1933" s="33" t="s">
        <v>2807</v>
      </c>
      <c r="AD1933" s="44" t="s">
        <v>57</v>
      </c>
      <c r="AE1933" s="33">
        <v>2035</v>
      </c>
      <c r="AF1933" s="45" t="str">
        <f t="shared" si="246"/>
        <v>*0.9</v>
      </c>
      <c r="AG1933" s="43" t="str">
        <f t="shared" si="248"/>
        <v>REZoning_Sol-Win</v>
      </c>
      <c r="AI1933" s="33" t="s">
        <v>2807</v>
      </c>
      <c r="AJ1933" s="44" t="s">
        <v>57</v>
      </c>
      <c r="AK1933" s="33">
        <v>2050</v>
      </c>
      <c r="AL1933" s="45" t="str">
        <f t="shared" si="247"/>
        <v>*0.86</v>
      </c>
      <c r="AM1933" s="43" t="str">
        <f t="shared" si="249"/>
        <v>REZoning_Sol-Win</v>
      </c>
      <c r="AP1933" t="s">
        <v>2807</v>
      </c>
      <c r="AQ1933" t="s">
        <v>57</v>
      </c>
      <c r="AR1933">
        <v>2100</v>
      </c>
      <c r="AS1933" t="s">
        <v>883</v>
      </c>
      <c r="AT1933" t="s">
        <v>58</v>
      </c>
    </row>
    <row r="1934" ht="29" spans="1:46">
      <c r="A1934" s="31" t="s">
        <v>65</v>
      </c>
      <c r="C1934" t="s">
        <v>2808</v>
      </c>
      <c r="D1934" s="5" t="s">
        <v>57</v>
      </c>
      <c r="E1934">
        <v>2035</v>
      </c>
      <c r="F1934" s="6" t="str">
        <f t="shared" si="242"/>
        <v>*0.94</v>
      </c>
      <c r="H1934" t="s">
        <v>2808</v>
      </c>
      <c r="I1934" s="5" t="s">
        <v>57</v>
      </c>
      <c r="J1934">
        <v>2050</v>
      </c>
      <c r="K1934" s="38" t="str">
        <f t="shared" si="243"/>
        <v>*0.91</v>
      </c>
      <c r="P1934" s="32" t="s">
        <v>2808</v>
      </c>
      <c r="Q1934" s="42" t="s">
        <v>57</v>
      </c>
      <c r="R1934" s="32">
        <v>2035</v>
      </c>
      <c r="S1934" s="43" t="str">
        <f t="shared" si="244"/>
        <v>*0.93</v>
      </c>
      <c r="U1934" s="32" t="s">
        <v>2808</v>
      </c>
      <c r="V1934" s="42" t="s">
        <v>57</v>
      </c>
      <c r="W1934" s="32">
        <v>2050</v>
      </c>
      <c r="X1934" s="43" t="str">
        <f t="shared" si="245"/>
        <v>*0.9</v>
      </c>
      <c r="AC1934" s="33" t="s">
        <v>2808</v>
      </c>
      <c r="AD1934" s="44" t="s">
        <v>57</v>
      </c>
      <c r="AE1934" s="33">
        <v>2035</v>
      </c>
      <c r="AF1934" s="45" t="str">
        <f t="shared" si="246"/>
        <v>*0.9</v>
      </c>
      <c r="AG1934" s="43" t="str">
        <f t="shared" si="248"/>
        <v>REZoning_Sol-Win</v>
      </c>
      <c r="AI1934" s="33" t="s">
        <v>2808</v>
      </c>
      <c r="AJ1934" s="44" t="s">
        <v>57</v>
      </c>
      <c r="AK1934" s="33">
        <v>2050</v>
      </c>
      <c r="AL1934" s="45" t="str">
        <f t="shared" si="247"/>
        <v>*0.86</v>
      </c>
      <c r="AM1934" s="43" t="str">
        <f t="shared" si="249"/>
        <v>REZoning_Sol-Win</v>
      </c>
      <c r="AP1934" t="s">
        <v>2808</v>
      </c>
      <c r="AQ1934" t="s">
        <v>57</v>
      </c>
      <c r="AR1934">
        <v>2100</v>
      </c>
      <c r="AS1934" t="s">
        <v>883</v>
      </c>
      <c r="AT1934" t="s">
        <v>58</v>
      </c>
    </row>
    <row r="1935" ht="29" spans="1:46">
      <c r="A1935" s="31" t="s">
        <v>65</v>
      </c>
      <c r="C1935" t="s">
        <v>2809</v>
      </c>
      <c r="D1935" s="5" t="s">
        <v>57</v>
      </c>
      <c r="E1935">
        <v>2035</v>
      </c>
      <c r="F1935" s="6" t="str">
        <f t="shared" si="242"/>
        <v>*0.94</v>
      </c>
      <c r="H1935" t="s">
        <v>2809</v>
      </c>
      <c r="I1935" s="5" t="s">
        <v>57</v>
      </c>
      <c r="J1935">
        <v>2050</v>
      </c>
      <c r="K1935" s="38" t="str">
        <f t="shared" si="243"/>
        <v>*0.91</v>
      </c>
      <c r="P1935" s="32" t="s">
        <v>2809</v>
      </c>
      <c r="Q1935" s="42" t="s">
        <v>57</v>
      </c>
      <c r="R1935" s="32">
        <v>2035</v>
      </c>
      <c r="S1935" s="43" t="str">
        <f t="shared" si="244"/>
        <v>*0.93</v>
      </c>
      <c r="U1935" s="32" t="s">
        <v>2809</v>
      </c>
      <c r="V1935" s="42" t="s">
        <v>57</v>
      </c>
      <c r="W1935" s="32">
        <v>2050</v>
      </c>
      <c r="X1935" s="43" t="str">
        <f t="shared" si="245"/>
        <v>*0.9</v>
      </c>
      <c r="AC1935" s="33" t="s">
        <v>2809</v>
      </c>
      <c r="AD1935" s="44" t="s">
        <v>57</v>
      </c>
      <c r="AE1935" s="33">
        <v>2035</v>
      </c>
      <c r="AF1935" s="45" t="str">
        <f t="shared" si="246"/>
        <v>*0.9</v>
      </c>
      <c r="AG1935" s="43" t="str">
        <f t="shared" si="248"/>
        <v>REZoning_Sol-Win</v>
      </c>
      <c r="AI1935" s="33" t="s">
        <v>2809</v>
      </c>
      <c r="AJ1935" s="44" t="s">
        <v>57</v>
      </c>
      <c r="AK1935" s="33">
        <v>2050</v>
      </c>
      <c r="AL1935" s="45" t="str">
        <f t="shared" si="247"/>
        <v>*0.86</v>
      </c>
      <c r="AM1935" s="43" t="str">
        <f t="shared" si="249"/>
        <v>REZoning_Sol-Win</v>
      </c>
      <c r="AP1935" t="s">
        <v>2809</v>
      </c>
      <c r="AQ1935" t="s">
        <v>57</v>
      </c>
      <c r="AR1935">
        <v>2100</v>
      </c>
      <c r="AS1935" t="s">
        <v>883</v>
      </c>
      <c r="AT1935" t="s">
        <v>58</v>
      </c>
    </row>
    <row r="1936" ht="29" spans="1:46">
      <c r="A1936" s="31" t="s">
        <v>65</v>
      </c>
      <c r="C1936" t="s">
        <v>2810</v>
      </c>
      <c r="D1936" s="5" t="s">
        <v>57</v>
      </c>
      <c r="E1936">
        <v>2035</v>
      </c>
      <c r="F1936" s="6" t="str">
        <f t="shared" si="242"/>
        <v>*0.94</v>
      </c>
      <c r="H1936" t="s">
        <v>2810</v>
      </c>
      <c r="I1936" s="5" t="s">
        <v>57</v>
      </c>
      <c r="J1936">
        <v>2050</v>
      </c>
      <c r="K1936" s="38" t="str">
        <f t="shared" si="243"/>
        <v>*0.91</v>
      </c>
      <c r="P1936" s="32" t="s">
        <v>2810</v>
      </c>
      <c r="Q1936" s="42" t="s">
        <v>57</v>
      </c>
      <c r="R1936" s="32">
        <v>2035</v>
      </c>
      <c r="S1936" s="43" t="str">
        <f t="shared" si="244"/>
        <v>*0.93</v>
      </c>
      <c r="U1936" s="32" t="s">
        <v>2810</v>
      </c>
      <c r="V1936" s="42" t="s">
        <v>57</v>
      </c>
      <c r="W1936" s="32">
        <v>2050</v>
      </c>
      <c r="X1936" s="43" t="str">
        <f t="shared" si="245"/>
        <v>*0.9</v>
      </c>
      <c r="AC1936" s="33" t="s">
        <v>2810</v>
      </c>
      <c r="AD1936" s="44" t="s">
        <v>57</v>
      </c>
      <c r="AE1936" s="33">
        <v>2035</v>
      </c>
      <c r="AF1936" s="45" t="str">
        <f t="shared" si="246"/>
        <v>*0.9</v>
      </c>
      <c r="AG1936" s="43" t="str">
        <f t="shared" si="248"/>
        <v>REZoning_Sol-Win</v>
      </c>
      <c r="AI1936" s="33" t="s">
        <v>2810</v>
      </c>
      <c r="AJ1936" s="44" t="s">
        <v>57</v>
      </c>
      <c r="AK1936" s="33">
        <v>2050</v>
      </c>
      <c r="AL1936" s="45" t="str">
        <f t="shared" si="247"/>
        <v>*0.86</v>
      </c>
      <c r="AM1936" s="43" t="str">
        <f t="shared" si="249"/>
        <v>REZoning_Sol-Win</v>
      </c>
      <c r="AP1936" t="s">
        <v>2810</v>
      </c>
      <c r="AQ1936" t="s">
        <v>57</v>
      </c>
      <c r="AR1936">
        <v>2100</v>
      </c>
      <c r="AS1936" t="s">
        <v>883</v>
      </c>
      <c r="AT1936" t="s">
        <v>58</v>
      </c>
    </row>
    <row r="1937" ht="29" spans="1:46">
      <c r="A1937" s="31" t="s">
        <v>65</v>
      </c>
      <c r="C1937" t="s">
        <v>2811</v>
      </c>
      <c r="D1937" s="5" t="s">
        <v>57</v>
      </c>
      <c r="E1937">
        <v>2035</v>
      </c>
      <c r="F1937" s="6" t="str">
        <f t="shared" si="242"/>
        <v>*0.94</v>
      </c>
      <c r="H1937" t="s">
        <v>2811</v>
      </c>
      <c r="I1937" s="5" t="s">
        <v>57</v>
      </c>
      <c r="J1937">
        <v>2050</v>
      </c>
      <c r="K1937" s="38" t="str">
        <f t="shared" si="243"/>
        <v>*0.91</v>
      </c>
      <c r="P1937" s="32" t="s">
        <v>2811</v>
      </c>
      <c r="Q1937" s="42" t="s">
        <v>57</v>
      </c>
      <c r="R1937" s="32">
        <v>2035</v>
      </c>
      <c r="S1937" s="43" t="str">
        <f t="shared" si="244"/>
        <v>*0.93</v>
      </c>
      <c r="U1937" s="32" t="s">
        <v>2811</v>
      </c>
      <c r="V1937" s="42" t="s">
        <v>57</v>
      </c>
      <c r="W1937" s="32">
        <v>2050</v>
      </c>
      <c r="X1937" s="43" t="str">
        <f t="shared" si="245"/>
        <v>*0.9</v>
      </c>
      <c r="AC1937" s="33" t="s">
        <v>2811</v>
      </c>
      <c r="AD1937" s="44" t="s">
        <v>57</v>
      </c>
      <c r="AE1937" s="33">
        <v>2035</v>
      </c>
      <c r="AF1937" s="45" t="str">
        <f t="shared" si="246"/>
        <v>*0.9</v>
      </c>
      <c r="AG1937" s="43" t="str">
        <f t="shared" si="248"/>
        <v>REZoning_Sol-Win</v>
      </c>
      <c r="AI1937" s="33" t="s">
        <v>2811</v>
      </c>
      <c r="AJ1937" s="44" t="s">
        <v>57</v>
      </c>
      <c r="AK1937" s="33">
        <v>2050</v>
      </c>
      <c r="AL1937" s="45" t="str">
        <f t="shared" si="247"/>
        <v>*0.86</v>
      </c>
      <c r="AM1937" s="43" t="str">
        <f t="shared" si="249"/>
        <v>REZoning_Sol-Win</v>
      </c>
      <c r="AP1937" t="s">
        <v>2811</v>
      </c>
      <c r="AQ1937" t="s">
        <v>57</v>
      </c>
      <c r="AR1937">
        <v>2100</v>
      </c>
      <c r="AS1937" t="s">
        <v>883</v>
      </c>
      <c r="AT1937" t="s">
        <v>58</v>
      </c>
    </row>
    <row r="1938" ht="29" spans="1:46">
      <c r="A1938" s="31" t="s">
        <v>65</v>
      </c>
      <c r="C1938" t="s">
        <v>2812</v>
      </c>
      <c r="D1938" s="5" t="s">
        <v>57</v>
      </c>
      <c r="E1938">
        <v>2035</v>
      </c>
      <c r="F1938" s="6" t="str">
        <f t="shared" si="242"/>
        <v>*0.94</v>
      </c>
      <c r="H1938" t="s">
        <v>2812</v>
      </c>
      <c r="I1938" s="5" t="s">
        <v>57</v>
      </c>
      <c r="J1938">
        <v>2050</v>
      </c>
      <c r="K1938" s="38" t="str">
        <f t="shared" si="243"/>
        <v>*0.91</v>
      </c>
      <c r="P1938" s="32" t="s">
        <v>2812</v>
      </c>
      <c r="Q1938" s="42" t="s">
        <v>57</v>
      </c>
      <c r="R1938" s="32">
        <v>2035</v>
      </c>
      <c r="S1938" s="43" t="str">
        <f t="shared" si="244"/>
        <v>*0.93</v>
      </c>
      <c r="U1938" s="32" t="s">
        <v>2812</v>
      </c>
      <c r="V1938" s="42" t="s">
        <v>57</v>
      </c>
      <c r="W1938" s="32">
        <v>2050</v>
      </c>
      <c r="X1938" s="43" t="str">
        <f t="shared" si="245"/>
        <v>*0.9</v>
      </c>
      <c r="AC1938" s="33" t="s">
        <v>2812</v>
      </c>
      <c r="AD1938" s="44" t="s">
        <v>57</v>
      </c>
      <c r="AE1938" s="33">
        <v>2035</v>
      </c>
      <c r="AF1938" s="45" t="str">
        <f t="shared" si="246"/>
        <v>*0.9</v>
      </c>
      <c r="AG1938" s="43" t="str">
        <f t="shared" si="248"/>
        <v>REZoning_Sol-Win</v>
      </c>
      <c r="AI1938" s="33" t="s">
        <v>2812</v>
      </c>
      <c r="AJ1938" s="44" t="s">
        <v>57</v>
      </c>
      <c r="AK1938" s="33">
        <v>2050</v>
      </c>
      <c r="AL1938" s="45" t="str">
        <f t="shared" si="247"/>
        <v>*0.86</v>
      </c>
      <c r="AM1938" s="43" t="str">
        <f t="shared" si="249"/>
        <v>REZoning_Sol-Win</v>
      </c>
      <c r="AP1938" t="s">
        <v>2812</v>
      </c>
      <c r="AQ1938" t="s">
        <v>57</v>
      </c>
      <c r="AR1938">
        <v>2100</v>
      </c>
      <c r="AS1938" t="s">
        <v>883</v>
      </c>
      <c r="AT1938" t="s">
        <v>58</v>
      </c>
    </row>
    <row r="1939" ht="29" spans="1:46">
      <c r="A1939" s="31" t="s">
        <v>65</v>
      </c>
      <c r="C1939" t="s">
        <v>2813</v>
      </c>
      <c r="D1939" s="5" t="s">
        <v>57</v>
      </c>
      <c r="E1939">
        <v>2035</v>
      </c>
      <c r="F1939" s="6" t="str">
        <f t="shared" si="242"/>
        <v>*0.94</v>
      </c>
      <c r="H1939" t="s">
        <v>2813</v>
      </c>
      <c r="I1939" s="5" t="s">
        <v>57</v>
      </c>
      <c r="J1939">
        <v>2050</v>
      </c>
      <c r="K1939" s="38" t="str">
        <f t="shared" si="243"/>
        <v>*0.91</v>
      </c>
      <c r="P1939" s="32" t="s">
        <v>2813</v>
      </c>
      <c r="Q1939" s="42" t="s">
        <v>57</v>
      </c>
      <c r="R1939" s="32">
        <v>2035</v>
      </c>
      <c r="S1939" s="43" t="str">
        <f t="shared" si="244"/>
        <v>*0.93</v>
      </c>
      <c r="U1939" s="32" t="s">
        <v>2813</v>
      </c>
      <c r="V1939" s="42" t="s">
        <v>57</v>
      </c>
      <c r="W1939" s="32">
        <v>2050</v>
      </c>
      <c r="X1939" s="43" t="str">
        <f t="shared" si="245"/>
        <v>*0.9</v>
      </c>
      <c r="AC1939" s="33" t="s">
        <v>2813</v>
      </c>
      <c r="AD1939" s="44" t="s">
        <v>57</v>
      </c>
      <c r="AE1939" s="33">
        <v>2035</v>
      </c>
      <c r="AF1939" s="45" t="str">
        <f t="shared" si="246"/>
        <v>*0.9</v>
      </c>
      <c r="AG1939" s="43" t="str">
        <f t="shared" si="248"/>
        <v>REZoning_Sol-Win</v>
      </c>
      <c r="AI1939" s="33" t="s">
        <v>2813</v>
      </c>
      <c r="AJ1939" s="44" t="s">
        <v>57</v>
      </c>
      <c r="AK1939" s="33">
        <v>2050</v>
      </c>
      <c r="AL1939" s="45" t="str">
        <f t="shared" si="247"/>
        <v>*0.86</v>
      </c>
      <c r="AM1939" s="43" t="str">
        <f t="shared" si="249"/>
        <v>REZoning_Sol-Win</v>
      </c>
      <c r="AP1939" t="s">
        <v>2813</v>
      </c>
      <c r="AQ1939" t="s">
        <v>57</v>
      </c>
      <c r="AR1939">
        <v>2100</v>
      </c>
      <c r="AS1939" t="s">
        <v>883</v>
      </c>
      <c r="AT1939" t="s">
        <v>58</v>
      </c>
    </row>
    <row r="1940" ht="29" spans="1:46">
      <c r="A1940" s="31" t="s">
        <v>83</v>
      </c>
      <c r="C1940" t="s">
        <v>2814</v>
      </c>
      <c r="D1940" s="5" t="s">
        <v>57</v>
      </c>
      <c r="E1940">
        <v>2035</v>
      </c>
      <c r="F1940" s="6" t="str">
        <f t="shared" si="242"/>
        <v>*0.95</v>
      </c>
      <c r="H1940" t="s">
        <v>2814</v>
      </c>
      <c r="I1940" s="5" t="s">
        <v>57</v>
      </c>
      <c r="J1940">
        <v>2050</v>
      </c>
      <c r="K1940" s="38" t="str">
        <f t="shared" si="243"/>
        <v>*0.92</v>
      </c>
      <c r="P1940" s="32" t="s">
        <v>2814</v>
      </c>
      <c r="Q1940" s="42" t="s">
        <v>57</v>
      </c>
      <c r="R1940" s="32">
        <v>2035</v>
      </c>
      <c r="S1940" s="43" t="str">
        <f t="shared" si="244"/>
        <v>*0.95</v>
      </c>
      <c r="U1940" s="32" t="s">
        <v>2814</v>
      </c>
      <c r="V1940" s="42" t="s">
        <v>57</v>
      </c>
      <c r="W1940" s="32">
        <v>2050</v>
      </c>
      <c r="X1940" s="43" t="str">
        <f t="shared" si="245"/>
        <v>*0.92</v>
      </c>
      <c r="AC1940" s="33" t="s">
        <v>2814</v>
      </c>
      <c r="AD1940" s="44" t="s">
        <v>57</v>
      </c>
      <c r="AE1940" s="33">
        <v>2035</v>
      </c>
      <c r="AF1940" s="45" t="str">
        <f t="shared" si="246"/>
        <v>*0.93</v>
      </c>
      <c r="AG1940" s="43" t="str">
        <f t="shared" si="248"/>
        <v>REZoning_Sol-Win</v>
      </c>
      <c r="AI1940" s="33" t="s">
        <v>2814</v>
      </c>
      <c r="AJ1940" s="44" t="s">
        <v>57</v>
      </c>
      <c r="AK1940" s="33">
        <v>2050</v>
      </c>
      <c r="AL1940" s="45" t="str">
        <f t="shared" si="247"/>
        <v>*0.89</v>
      </c>
      <c r="AM1940" s="43" t="str">
        <f t="shared" si="249"/>
        <v>REZoning_Sol-Win</v>
      </c>
      <c r="AP1940" t="s">
        <v>2814</v>
      </c>
      <c r="AQ1940" t="s">
        <v>57</v>
      </c>
      <c r="AR1940">
        <v>2100</v>
      </c>
      <c r="AS1940" t="s">
        <v>937</v>
      </c>
      <c r="AT1940" t="s">
        <v>58</v>
      </c>
    </row>
    <row r="1941" ht="29" spans="1:46">
      <c r="A1941" s="31" t="s">
        <v>83</v>
      </c>
      <c r="C1941" t="s">
        <v>2815</v>
      </c>
      <c r="D1941" s="5" t="s">
        <v>57</v>
      </c>
      <c r="E1941">
        <v>2035</v>
      </c>
      <c r="F1941" s="6" t="str">
        <f t="shared" si="242"/>
        <v>*0.95</v>
      </c>
      <c r="H1941" t="s">
        <v>2815</v>
      </c>
      <c r="I1941" s="5" t="s">
        <v>57</v>
      </c>
      <c r="J1941">
        <v>2050</v>
      </c>
      <c r="K1941" s="38" t="str">
        <f t="shared" si="243"/>
        <v>*0.92</v>
      </c>
      <c r="P1941" s="32" t="s">
        <v>2815</v>
      </c>
      <c r="Q1941" s="42" t="s">
        <v>57</v>
      </c>
      <c r="R1941" s="32">
        <v>2035</v>
      </c>
      <c r="S1941" s="43" t="str">
        <f t="shared" si="244"/>
        <v>*0.95</v>
      </c>
      <c r="U1941" s="32" t="s">
        <v>2815</v>
      </c>
      <c r="V1941" s="42" t="s">
        <v>57</v>
      </c>
      <c r="W1941" s="32">
        <v>2050</v>
      </c>
      <c r="X1941" s="43" t="str">
        <f t="shared" si="245"/>
        <v>*0.92</v>
      </c>
      <c r="AC1941" s="33" t="s">
        <v>2815</v>
      </c>
      <c r="AD1941" s="44" t="s">
        <v>57</v>
      </c>
      <c r="AE1941" s="33">
        <v>2035</v>
      </c>
      <c r="AF1941" s="45" t="str">
        <f t="shared" si="246"/>
        <v>*0.93</v>
      </c>
      <c r="AG1941" s="43" t="str">
        <f t="shared" si="248"/>
        <v>REZoning_Sol-Win</v>
      </c>
      <c r="AI1941" s="33" t="s">
        <v>2815</v>
      </c>
      <c r="AJ1941" s="44" t="s">
        <v>57</v>
      </c>
      <c r="AK1941" s="33">
        <v>2050</v>
      </c>
      <c r="AL1941" s="45" t="str">
        <f t="shared" si="247"/>
        <v>*0.89</v>
      </c>
      <c r="AM1941" s="43" t="str">
        <f t="shared" si="249"/>
        <v>REZoning_Sol-Win</v>
      </c>
      <c r="AP1941" t="s">
        <v>2815</v>
      </c>
      <c r="AQ1941" t="s">
        <v>57</v>
      </c>
      <c r="AR1941">
        <v>2100</v>
      </c>
      <c r="AS1941" t="s">
        <v>937</v>
      </c>
      <c r="AT1941" t="s">
        <v>58</v>
      </c>
    </row>
    <row r="1942" ht="29" spans="1:46">
      <c r="A1942" s="31" t="s">
        <v>83</v>
      </c>
      <c r="C1942" t="s">
        <v>2816</v>
      </c>
      <c r="D1942" s="5" t="s">
        <v>57</v>
      </c>
      <c r="E1942">
        <v>2035</v>
      </c>
      <c r="F1942" s="6" t="str">
        <f t="shared" si="242"/>
        <v>*0.95</v>
      </c>
      <c r="H1942" t="s">
        <v>2816</v>
      </c>
      <c r="I1942" s="5" t="s">
        <v>57</v>
      </c>
      <c r="J1942">
        <v>2050</v>
      </c>
      <c r="K1942" s="38" t="str">
        <f t="shared" si="243"/>
        <v>*0.92</v>
      </c>
      <c r="P1942" s="32" t="s">
        <v>2816</v>
      </c>
      <c r="Q1942" s="42" t="s">
        <v>57</v>
      </c>
      <c r="R1942" s="32">
        <v>2035</v>
      </c>
      <c r="S1942" s="43" t="str">
        <f t="shared" si="244"/>
        <v>*0.95</v>
      </c>
      <c r="U1942" s="32" t="s">
        <v>2816</v>
      </c>
      <c r="V1942" s="42" t="s">
        <v>57</v>
      </c>
      <c r="W1942" s="32">
        <v>2050</v>
      </c>
      <c r="X1942" s="43" t="str">
        <f t="shared" si="245"/>
        <v>*0.92</v>
      </c>
      <c r="AC1942" s="33" t="s">
        <v>2816</v>
      </c>
      <c r="AD1942" s="44" t="s">
        <v>57</v>
      </c>
      <c r="AE1942" s="33">
        <v>2035</v>
      </c>
      <c r="AF1942" s="45" t="str">
        <f t="shared" si="246"/>
        <v>*0.93</v>
      </c>
      <c r="AG1942" s="43" t="str">
        <f t="shared" si="248"/>
        <v>REZoning_Sol-Win</v>
      </c>
      <c r="AI1942" s="33" t="s">
        <v>2816</v>
      </c>
      <c r="AJ1942" s="44" t="s">
        <v>57</v>
      </c>
      <c r="AK1942" s="33">
        <v>2050</v>
      </c>
      <c r="AL1942" s="45" t="str">
        <f t="shared" si="247"/>
        <v>*0.89</v>
      </c>
      <c r="AM1942" s="43" t="str">
        <f t="shared" si="249"/>
        <v>REZoning_Sol-Win</v>
      </c>
      <c r="AP1942" t="s">
        <v>2816</v>
      </c>
      <c r="AQ1942" t="s">
        <v>57</v>
      </c>
      <c r="AR1942">
        <v>2100</v>
      </c>
      <c r="AS1942" t="s">
        <v>937</v>
      </c>
      <c r="AT1942" t="s">
        <v>58</v>
      </c>
    </row>
    <row r="1943" ht="29" spans="1:46">
      <c r="A1943" s="31" t="s">
        <v>65</v>
      </c>
      <c r="C1943" t="s">
        <v>2817</v>
      </c>
      <c r="D1943" s="5" t="s">
        <v>57</v>
      </c>
      <c r="E1943">
        <v>2035</v>
      </c>
      <c r="F1943" s="6" t="str">
        <f t="shared" si="242"/>
        <v>*0.94</v>
      </c>
      <c r="H1943" t="s">
        <v>2817</v>
      </c>
      <c r="I1943" s="5" t="s">
        <v>57</v>
      </c>
      <c r="J1943">
        <v>2050</v>
      </c>
      <c r="K1943" s="38" t="str">
        <f t="shared" si="243"/>
        <v>*0.91</v>
      </c>
      <c r="P1943" s="32" t="s">
        <v>2817</v>
      </c>
      <c r="Q1943" s="42" t="s">
        <v>57</v>
      </c>
      <c r="R1943" s="32">
        <v>2035</v>
      </c>
      <c r="S1943" s="43" t="str">
        <f t="shared" si="244"/>
        <v>*0.93</v>
      </c>
      <c r="U1943" s="32" t="s">
        <v>2817</v>
      </c>
      <c r="V1943" s="42" t="s">
        <v>57</v>
      </c>
      <c r="W1943" s="32">
        <v>2050</v>
      </c>
      <c r="X1943" s="43" t="str">
        <f t="shared" si="245"/>
        <v>*0.9</v>
      </c>
      <c r="AC1943" s="33" t="s">
        <v>2817</v>
      </c>
      <c r="AD1943" s="44" t="s">
        <v>57</v>
      </c>
      <c r="AE1943" s="33">
        <v>2035</v>
      </c>
      <c r="AF1943" s="45" t="str">
        <f t="shared" si="246"/>
        <v>*0.9</v>
      </c>
      <c r="AG1943" s="43" t="str">
        <f t="shared" si="248"/>
        <v>REZoning_Sol-Win</v>
      </c>
      <c r="AI1943" s="33" t="s">
        <v>2817</v>
      </c>
      <c r="AJ1943" s="44" t="s">
        <v>57</v>
      </c>
      <c r="AK1943" s="33">
        <v>2050</v>
      </c>
      <c r="AL1943" s="45" t="str">
        <f t="shared" si="247"/>
        <v>*0.86</v>
      </c>
      <c r="AM1943" s="43" t="str">
        <f t="shared" si="249"/>
        <v>REZoning_Sol-Win</v>
      </c>
      <c r="AP1943" t="s">
        <v>2817</v>
      </c>
      <c r="AQ1943" t="s">
        <v>57</v>
      </c>
      <c r="AR1943">
        <v>2100</v>
      </c>
      <c r="AS1943" t="s">
        <v>883</v>
      </c>
      <c r="AT1943" t="s">
        <v>58</v>
      </c>
    </row>
    <row r="1944" ht="29" spans="1:46">
      <c r="A1944" s="31" t="s">
        <v>65</v>
      </c>
      <c r="C1944" t="s">
        <v>2818</v>
      </c>
      <c r="D1944" s="5" t="s">
        <v>57</v>
      </c>
      <c r="E1944">
        <v>2035</v>
      </c>
      <c r="F1944" s="6" t="str">
        <f t="shared" si="242"/>
        <v>*0.94</v>
      </c>
      <c r="H1944" t="s">
        <v>2818</v>
      </c>
      <c r="I1944" s="5" t="s">
        <v>57</v>
      </c>
      <c r="J1944">
        <v>2050</v>
      </c>
      <c r="K1944" s="38" t="str">
        <f t="shared" si="243"/>
        <v>*0.91</v>
      </c>
      <c r="P1944" s="32" t="s">
        <v>2818</v>
      </c>
      <c r="Q1944" s="42" t="s">
        <v>57</v>
      </c>
      <c r="R1944" s="32">
        <v>2035</v>
      </c>
      <c r="S1944" s="43" t="str">
        <f t="shared" si="244"/>
        <v>*0.93</v>
      </c>
      <c r="U1944" s="32" t="s">
        <v>2818</v>
      </c>
      <c r="V1944" s="42" t="s">
        <v>57</v>
      </c>
      <c r="W1944" s="32">
        <v>2050</v>
      </c>
      <c r="X1944" s="43" t="str">
        <f t="shared" si="245"/>
        <v>*0.9</v>
      </c>
      <c r="AC1944" s="33" t="s">
        <v>2818</v>
      </c>
      <c r="AD1944" s="44" t="s">
        <v>57</v>
      </c>
      <c r="AE1944" s="33">
        <v>2035</v>
      </c>
      <c r="AF1944" s="45" t="str">
        <f t="shared" si="246"/>
        <v>*0.9</v>
      </c>
      <c r="AG1944" s="43" t="str">
        <f t="shared" si="248"/>
        <v>REZoning_Sol-Win</v>
      </c>
      <c r="AI1944" s="33" t="s">
        <v>2818</v>
      </c>
      <c r="AJ1944" s="44" t="s">
        <v>57</v>
      </c>
      <c r="AK1944" s="33">
        <v>2050</v>
      </c>
      <c r="AL1944" s="45" t="str">
        <f t="shared" si="247"/>
        <v>*0.86</v>
      </c>
      <c r="AM1944" s="43" t="str">
        <f t="shared" si="249"/>
        <v>REZoning_Sol-Win</v>
      </c>
      <c r="AP1944" t="s">
        <v>2818</v>
      </c>
      <c r="AQ1944" t="s">
        <v>57</v>
      </c>
      <c r="AR1944">
        <v>2100</v>
      </c>
      <c r="AS1944" t="s">
        <v>883</v>
      </c>
      <c r="AT1944" t="s">
        <v>58</v>
      </c>
    </row>
    <row r="1945" ht="29" spans="1:46">
      <c r="A1945" s="31" t="s">
        <v>65</v>
      </c>
      <c r="C1945" t="s">
        <v>2819</v>
      </c>
      <c r="D1945" s="5" t="s">
        <v>57</v>
      </c>
      <c r="E1945">
        <v>2035</v>
      </c>
      <c r="F1945" s="6" t="str">
        <f t="shared" si="242"/>
        <v>*0.94</v>
      </c>
      <c r="H1945" t="s">
        <v>2819</v>
      </c>
      <c r="I1945" s="5" t="s">
        <v>57</v>
      </c>
      <c r="J1945">
        <v>2050</v>
      </c>
      <c r="K1945" s="38" t="str">
        <f t="shared" si="243"/>
        <v>*0.91</v>
      </c>
      <c r="P1945" s="32" t="s">
        <v>2819</v>
      </c>
      <c r="Q1945" s="42" t="s">
        <v>57</v>
      </c>
      <c r="R1945" s="32">
        <v>2035</v>
      </c>
      <c r="S1945" s="43" t="str">
        <f t="shared" si="244"/>
        <v>*0.93</v>
      </c>
      <c r="U1945" s="32" t="s">
        <v>2819</v>
      </c>
      <c r="V1945" s="42" t="s">
        <v>57</v>
      </c>
      <c r="W1945" s="32">
        <v>2050</v>
      </c>
      <c r="X1945" s="43" t="str">
        <f t="shared" si="245"/>
        <v>*0.9</v>
      </c>
      <c r="AC1945" s="33" t="s">
        <v>2819</v>
      </c>
      <c r="AD1945" s="44" t="s">
        <v>57</v>
      </c>
      <c r="AE1945" s="33">
        <v>2035</v>
      </c>
      <c r="AF1945" s="45" t="str">
        <f t="shared" si="246"/>
        <v>*0.9</v>
      </c>
      <c r="AG1945" s="43" t="str">
        <f t="shared" si="248"/>
        <v>REZoning_Sol-Win</v>
      </c>
      <c r="AI1945" s="33" t="s">
        <v>2819</v>
      </c>
      <c r="AJ1945" s="44" t="s">
        <v>57</v>
      </c>
      <c r="AK1945" s="33">
        <v>2050</v>
      </c>
      <c r="AL1945" s="45" t="str">
        <f t="shared" si="247"/>
        <v>*0.86</v>
      </c>
      <c r="AM1945" s="43" t="str">
        <f t="shared" si="249"/>
        <v>REZoning_Sol-Win</v>
      </c>
      <c r="AP1945" t="s">
        <v>2819</v>
      </c>
      <c r="AQ1945" t="s">
        <v>57</v>
      </c>
      <c r="AR1945">
        <v>2100</v>
      </c>
      <c r="AS1945" t="s">
        <v>883</v>
      </c>
      <c r="AT1945" t="s">
        <v>58</v>
      </c>
    </row>
    <row r="1946" ht="29" spans="1:46">
      <c r="A1946" s="31" t="s">
        <v>65</v>
      </c>
      <c r="C1946" t="s">
        <v>2820</v>
      </c>
      <c r="D1946" s="5" t="s">
        <v>57</v>
      </c>
      <c r="E1946">
        <v>2035</v>
      </c>
      <c r="F1946" s="6" t="str">
        <f t="shared" si="242"/>
        <v>*0.94</v>
      </c>
      <c r="H1946" t="s">
        <v>2820</v>
      </c>
      <c r="I1946" s="5" t="s">
        <v>57</v>
      </c>
      <c r="J1946">
        <v>2050</v>
      </c>
      <c r="K1946" s="38" t="str">
        <f t="shared" si="243"/>
        <v>*0.91</v>
      </c>
      <c r="P1946" s="32" t="s">
        <v>2820</v>
      </c>
      <c r="Q1946" s="42" t="s">
        <v>57</v>
      </c>
      <c r="R1946" s="32">
        <v>2035</v>
      </c>
      <c r="S1946" s="43" t="str">
        <f t="shared" si="244"/>
        <v>*0.93</v>
      </c>
      <c r="U1946" s="32" t="s">
        <v>2820</v>
      </c>
      <c r="V1946" s="42" t="s">
        <v>57</v>
      </c>
      <c r="W1946" s="32">
        <v>2050</v>
      </c>
      <c r="X1946" s="43" t="str">
        <f t="shared" si="245"/>
        <v>*0.9</v>
      </c>
      <c r="AC1946" s="33" t="s">
        <v>2820</v>
      </c>
      <c r="AD1946" s="44" t="s">
        <v>57</v>
      </c>
      <c r="AE1946" s="33">
        <v>2035</v>
      </c>
      <c r="AF1946" s="45" t="str">
        <f t="shared" si="246"/>
        <v>*0.9</v>
      </c>
      <c r="AG1946" s="43" t="str">
        <f t="shared" si="248"/>
        <v>REZoning_Sol-Win</v>
      </c>
      <c r="AI1946" s="33" t="s">
        <v>2820</v>
      </c>
      <c r="AJ1946" s="44" t="s">
        <v>57</v>
      </c>
      <c r="AK1946" s="33">
        <v>2050</v>
      </c>
      <c r="AL1946" s="45" t="str">
        <f t="shared" si="247"/>
        <v>*0.86</v>
      </c>
      <c r="AM1946" s="43" t="str">
        <f t="shared" si="249"/>
        <v>REZoning_Sol-Win</v>
      </c>
      <c r="AP1946" t="s">
        <v>2820</v>
      </c>
      <c r="AQ1946" t="s">
        <v>57</v>
      </c>
      <c r="AR1946">
        <v>2100</v>
      </c>
      <c r="AS1946" t="s">
        <v>883</v>
      </c>
      <c r="AT1946" t="s">
        <v>58</v>
      </c>
    </row>
    <row r="1947" ht="29" spans="1:46">
      <c r="A1947" s="31" t="s">
        <v>65</v>
      </c>
      <c r="C1947" t="s">
        <v>2821</v>
      </c>
      <c r="D1947" s="5" t="s">
        <v>57</v>
      </c>
      <c r="E1947">
        <v>2035</v>
      </c>
      <c r="F1947" s="6" t="str">
        <f t="shared" si="242"/>
        <v>*0.94</v>
      </c>
      <c r="H1947" t="s">
        <v>2821</v>
      </c>
      <c r="I1947" s="5" t="s">
        <v>57</v>
      </c>
      <c r="J1947">
        <v>2050</v>
      </c>
      <c r="K1947" s="38" t="str">
        <f t="shared" si="243"/>
        <v>*0.91</v>
      </c>
      <c r="P1947" s="32" t="s">
        <v>2821</v>
      </c>
      <c r="Q1947" s="42" t="s">
        <v>57</v>
      </c>
      <c r="R1947" s="32">
        <v>2035</v>
      </c>
      <c r="S1947" s="43" t="str">
        <f t="shared" si="244"/>
        <v>*0.93</v>
      </c>
      <c r="U1947" s="32" t="s">
        <v>2821</v>
      </c>
      <c r="V1947" s="42" t="s">
        <v>57</v>
      </c>
      <c r="W1947" s="32">
        <v>2050</v>
      </c>
      <c r="X1947" s="43" t="str">
        <f t="shared" si="245"/>
        <v>*0.9</v>
      </c>
      <c r="AC1947" s="33" t="s">
        <v>2821</v>
      </c>
      <c r="AD1947" s="44" t="s">
        <v>57</v>
      </c>
      <c r="AE1947" s="33">
        <v>2035</v>
      </c>
      <c r="AF1947" s="45" t="str">
        <f t="shared" si="246"/>
        <v>*0.9</v>
      </c>
      <c r="AG1947" s="43" t="str">
        <f t="shared" si="248"/>
        <v>REZoning_Sol-Win</v>
      </c>
      <c r="AI1947" s="33" t="s">
        <v>2821</v>
      </c>
      <c r="AJ1947" s="44" t="s">
        <v>57</v>
      </c>
      <c r="AK1947" s="33">
        <v>2050</v>
      </c>
      <c r="AL1947" s="45" t="str">
        <f t="shared" si="247"/>
        <v>*0.86</v>
      </c>
      <c r="AM1947" s="43" t="str">
        <f t="shared" si="249"/>
        <v>REZoning_Sol-Win</v>
      </c>
      <c r="AP1947" t="s">
        <v>2821</v>
      </c>
      <c r="AQ1947" t="s">
        <v>57</v>
      </c>
      <c r="AR1947">
        <v>2100</v>
      </c>
      <c r="AS1947" t="s">
        <v>883</v>
      </c>
      <c r="AT1947" t="s">
        <v>58</v>
      </c>
    </row>
    <row r="1948" ht="29" spans="1:46">
      <c r="A1948" s="31" t="s">
        <v>65</v>
      </c>
      <c r="C1948" t="s">
        <v>2822</v>
      </c>
      <c r="D1948" s="5" t="s">
        <v>57</v>
      </c>
      <c r="E1948">
        <v>2035</v>
      </c>
      <c r="F1948" s="6" t="str">
        <f t="shared" si="242"/>
        <v>*0.94</v>
      </c>
      <c r="H1948" t="s">
        <v>2822</v>
      </c>
      <c r="I1948" s="5" t="s">
        <v>57</v>
      </c>
      <c r="J1948">
        <v>2050</v>
      </c>
      <c r="K1948" s="38" t="str">
        <f t="shared" si="243"/>
        <v>*0.91</v>
      </c>
      <c r="P1948" s="32" t="s">
        <v>2822</v>
      </c>
      <c r="Q1948" s="42" t="s">
        <v>57</v>
      </c>
      <c r="R1948" s="32">
        <v>2035</v>
      </c>
      <c r="S1948" s="43" t="str">
        <f t="shared" si="244"/>
        <v>*0.93</v>
      </c>
      <c r="U1948" s="32" t="s">
        <v>2822</v>
      </c>
      <c r="V1948" s="42" t="s">
        <v>57</v>
      </c>
      <c r="W1948" s="32">
        <v>2050</v>
      </c>
      <c r="X1948" s="43" t="str">
        <f t="shared" si="245"/>
        <v>*0.9</v>
      </c>
      <c r="AC1948" s="33" t="s">
        <v>2822</v>
      </c>
      <c r="AD1948" s="44" t="s">
        <v>57</v>
      </c>
      <c r="AE1948" s="33">
        <v>2035</v>
      </c>
      <c r="AF1948" s="45" t="str">
        <f t="shared" si="246"/>
        <v>*0.9</v>
      </c>
      <c r="AG1948" s="43" t="str">
        <f t="shared" si="248"/>
        <v>REZoning_Sol-Win</v>
      </c>
      <c r="AI1948" s="33" t="s">
        <v>2822</v>
      </c>
      <c r="AJ1948" s="44" t="s">
        <v>57</v>
      </c>
      <c r="AK1948" s="33">
        <v>2050</v>
      </c>
      <c r="AL1948" s="45" t="str">
        <f t="shared" si="247"/>
        <v>*0.86</v>
      </c>
      <c r="AM1948" s="43" t="str">
        <f t="shared" si="249"/>
        <v>REZoning_Sol-Win</v>
      </c>
      <c r="AP1948" t="s">
        <v>2822</v>
      </c>
      <c r="AQ1948" t="s">
        <v>57</v>
      </c>
      <c r="AR1948">
        <v>2100</v>
      </c>
      <c r="AS1948" t="s">
        <v>883</v>
      </c>
      <c r="AT1948" t="s">
        <v>58</v>
      </c>
    </row>
    <row r="1949" ht="29" spans="1:46">
      <c r="A1949" s="31" t="s">
        <v>73</v>
      </c>
      <c r="C1949" t="s">
        <v>2823</v>
      </c>
      <c r="D1949" s="5" t="s">
        <v>57</v>
      </c>
      <c r="E1949">
        <v>2035</v>
      </c>
      <c r="F1949" s="6" t="str">
        <f t="shared" si="242"/>
        <v>*0.95</v>
      </c>
      <c r="H1949" t="s">
        <v>2823</v>
      </c>
      <c r="I1949" s="5" t="s">
        <v>57</v>
      </c>
      <c r="J1949">
        <v>2050</v>
      </c>
      <c r="K1949" s="38" t="str">
        <f t="shared" si="243"/>
        <v>*0.93</v>
      </c>
      <c r="P1949" s="32" t="s">
        <v>2823</v>
      </c>
      <c r="Q1949" s="42" t="s">
        <v>57</v>
      </c>
      <c r="R1949" s="32">
        <v>2035</v>
      </c>
      <c r="S1949" s="43" t="str">
        <f t="shared" si="244"/>
        <v>*0.95</v>
      </c>
      <c r="U1949" s="32" t="s">
        <v>2823</v>
      </c>
      <c r="V1949" s="42" t="s">
        <v>57</v>
      </c>
      <c r="W1949" s="32">
        <v>2050</v>
      </c>
      <c r="X1949" s="43" t="str">
        <f t="shared" si="245"/>
        <v>*0.93</v>
      </c>
      <c r="AC1949" s="33" t="s">
        <v>2823</v>
      </c>
      <c r="AD1949" s="44" t="s">
        <v>57</v>
      </c>
      <c r="AE1949" s="33">
        <v>2035</v>
      </c>
      <c r="AF1949" s="45" t="str">
        <f t="shared" si="246"/>
        <v>*0.93</v>
      </c>
      <c r="AG1949" s="43" t="str">
        <f t="shared" si="248"/>
        <v>REZoning_Sol-Win</v>
      </c>
      <c r="AI1949" s="33" t="s">
        <v>2823</v>
      </c>
      <c r="AJ1949" s="44" t="s">
        <v>57</v>
      </c>
      <c r="AK1949" s="33">
        <v>2050</v>
      </c>
      <c r="AL1949" s="45" t="str">
        <f t="shared" si="247"/>
        <v>*0.9</v>
      </c>
      <c r="AM1949" s="43" t="str">
        <f t="shared" si="249"/>
        <v>REZoning_Sol-Win</v>
      </c>
      <c r="AP1949" t="s">
        <v>2823</v>
      </c>
      <c r="AQ1949" t="s">
        <v>57</v>
      </c>
      <c r="AR1949">
        <v>2100</v>
      </c>
      <c r="AS1949" t="s">
        <v>897</v>
      </c>
      <c r="AT1949" t="s">
        <v>58</v>
      </c>
    </row>
    <row r="1950" ht="29" spans="1:46">
      <c r="A1950" s="31" t="s">
        <v>73</v>
      </c>
      <c r="C1950" t="s">
        <v>2824</v>
      </c>
      <c r="D1950" s="5" t="s">
        <v>57</v>
      </c>
      <c r="E1950">
        <v>2035</v>
      </c>
      <c r="F1950" s="6" t="str">
        <f t="shared" si="242"/>
        <v>*0.95</v>
      </c>
      <c r="H1950" t="s">
        <v>2824</v>
      </c>
      <c r="I1950" s="5" t="s">
        <v>57</v>
      </c>
      <c r="J1950">
        <v>2050</v>
      </c>
      <c r="K1950" s="38" t="str">
        <f t="shared" si="243"/>
        <v>*0.93</v>
      </c>
      <c r="P1950" s="32" t="s">
        <v>2824</v>
      </c>
      <c r="Q1950" s="42" t="s">
        <v>57</v>
      </c>
      <c r="R1950" s="32">
        <v>2035</v>
      </c>
      <c r="S1950" s="43" t="str">
        <f t="shared" si="244"/>
        <v>*0.95</v>
      </c>
      <c r="U1950" s="32" t="s">
        <v>2824</v>
      </c>
      <c r="V1950" s="42" t="s">
        <v>57</v>
      </c>
      <c r="W1950" s="32">
        <v>2050</v>
      </c>
      <c r="X1950" s="43" t="str">
        <f t="shared" si="245"/>
        <v>*0.93</v>
      </c>
      <c r="AC1950" s="33" t="s">
        <v>2824</v>
      </c>
      <c r="AD1950" s="44" t="s">
        <v>57</v>
      </c>
      <c r="AE1950" s="33">
        <v>2035</v>
      </c>
      <c r="AF1950" s="45" t="str">
        <f t="shared" si="246"/>
        <v>*0.93</v>
      </c>
      <c r="AG1950" s="43" t="str">
        <f t="shared" si="248"/>
        <v>REZoning_Sol-Win</v>
      </c>
      <c r="AI1950" s="33" t="s">
        <v>2824</v>
      </c>
      <c r="AJ1950" s="44" t="s">
        <v>57</v>
      </c>
      <c r="AK1950" s="33">
        <v>2050</v>
      </c>
      <c r="AL1950" s="45" t="str">
        <f t="shared" si="247"/>
        <v>*0.9</v>
      </c>
      <c r="AM1950" s="43" t="str">
        <f t="shared" si="249"/>
        <v>REZoning_Sol-Win</v>
      </c>
      <c r="AP1950" t="s">
        <v>2824</v>
      </c>
      <c r="AQ1950" t="s">
        <v>57</v>
      </c>
      <c r="AR1950">
        <v>2100</v>
      </c>
      <c r="AS1950" t="s">
        <v>897</v>
      </c>
      <c r="AT1950" t="s">
        <v>58</v>
      </c>
    </row>
    <row r="1951" ht="29" spans="1:46">
      <c r="A1951" s="31" t="s">
        <v>73</v>
      </c>
      <c r="C1951" t="s">
        <v>2825</v>
      </c>
      <c r="D1951" s="5" t="s">
        <v>57</v>
      </c>
      <c r="E1951">
        <v>2035</v>
      </c>
      <c r="F1951" s="6" t="str">
        <f t="shared" si="242"/>
        <v>*0.95</v>
      </c>
      <c r="H1951" t="s">
        <v>2825</v>
      </c>
      <c r="I1951" s="5" t="s">
        <v>57</v>
      </c>
      <c r="J1951">
        <v>2050</v>
      </c>
      <c r="K1951" s="38" t="str">
        <f t="shared" si="243"/>
        <v>*0.93</v>
      </c>
      <c r="P1951" s="32" t="s">
        <v>2825</v>
      </c>
      <c r="Q1951" s="42" t="s">
        <v>57</v>
      </c>
      <c r="R1951" s="32">
        <v>2035</v>
      </c>
      <c r="S1951" s="43" t="str">
        <f t="shared" si="244"/>
        <v>*0.95</v>
      </c>
      <c r="U1951" s="32" t="s">
        <v>2825</v>
      </c>
      <c r="V1951" s="42" t="s">
        <v>57</v>
      </c>
      <c r="W1951" s="32">
        <v>2050</v>
      </c>
      <c r="X1951" s="43" t="str">
        <f t="shared" si="245"/>
        <v>*0.93</v>
      </c>
      <c r="AC1951" s="33" t="s">
        <v>2825</v>
      </c>
      <c r="AD1951" s="44" t="s">
        <v>57</v>
      </c>
      <c r="AE1951" s="33">
        <v>2035</v>
      </c>
      <c r="AF1951" s="45" t="str">
        <f t="shared" si="246"/>
        <v>*0.93</v>
      </c>
      <c r="AG1951" s="43" t="str">
        <f t="shared" si="248"/>
        <v>REZoning_Sol-Win</v>
      </c>
      <c r="AI1951" s="33" t="s">
        <v>2825</v>
      </c>
      <c r="AJ1951" s="44" t="s">
        <v>57</v>
      </c>
      <c r="AK1951" s="33">
        <v>2050</v>
      </c>
      <c r="AL1951" s="45" t="str">
        <f t="shared" si="247"/>
        <v>*0.9</v>
      </c>
      <c r="AM1951" s="43" t="str">
        <f t="shared" si="249"/>
        <v>REZoning_Sol-Win</v>
      </c>
      <c r="AP1951" t="s">
        <v>2825</v>
      </c>
      <c r="AQ1951" t="s">
        <v>57</v>
      </c>
      <c r="AR1951">
        <v>2100</v>
      </c>
      <c r="AS1951" t="s">
        <v>897</v>
      </c>
      <c r="AT1951" t="s">
        <v>58</v>
      </c>
    </row>
    <row r="1952" ht="29" spans="1:46">
      <c r="A1952" s="31" t="s">
        <v>73</v>
      </c>
      <c r="C1952" t="s">
        <v>2826</v>
      </c>
      <c r="D1952" s="5" t="s">
        <v>57</v>
      </c>
      <c r="E1952">
        <v>2035</v>
      </c>
      <c r="F1952" s="6" t="str">
        <f t="shared" si="242"/>
        <v>*0.95</v>
      </c>
      <c r="H1952" t="s">
        <v>2826</v>
      </c>
      <c r="I1952" s="5" t="s">
        <v>57</v>
      </c>
      <c r="J1952">
        <v>2050</v>
      </c>
      <c r="K1952" s="38" t="str">
        <f t="shared" si="243"/>
        <v>*0.93</v>
      </c>
      <c r="P1952" s="32" t="s">
        <v>2826</v>
      </c>
      <c r="Q1952" s="42" t="s">
        <v>57</v>
      </c>
      <c r="R1952" s="32">
        <v>2035</v>
      </c>
      <c r="S1952" s="43" t="str">
        <f t="shared" si="244"/>
        <v>*0.95</v>
      </c>
      <c r="U1952" s="32" t="s">
        <v>2826</v>
      </c>
      <c r="V1952" s="42" t="s">
        <v>57</v>
      </c>
      <c r="W1952" s="32">
        <v>2050</v>
      </c>
      <c r="X1952" s="43" t="str">
        <f t="shared" si="245"/>
        <v>*0.93</v>
      </c>
      <c r="AC1952" s="33" t="s">
        <v>2826</v>
      </c>
      <c r="AD1952" s="44" t="s">
        <v>57</v>
      </c>
      <c r="AE1952" s="33">
        <v>2035</v>
      </c>
      <c r="AF1952" s="45" t="str">
        <f t="shared" si="246"/>
        <v>*0.93</v>
      </c>
      <c r="AG1952" s="43" t="str">
        <f t="shared" si="248"/>
        <v>REZoning_Sol-Win</v>
      </c>
      <c r="AI1952" s="33" t="s">
        <v>2826</v>
      </c>
      <c r="AJ1952" s="44" t="s">
        <v>57</v>
      </c>
      <c r="AK1952" s="33">
        <v>2050</v>
      </c>
      <c r="AL1952" s="45" t="str">
        <f t="shared" si="247"/>
        <v>*0.9</v>
      </c>
      <c r="AM1952" s="43" t="str">
        <f t="shared" si="249"/>
        <v>REZoning_Sol-Win</v>
      </c>
      <c r="AP1952" t="s">
        <v>2826</v>
      </c>
      <c r="AQ1952" t="s">
        <v>57</v>
      </c>
      <c r="AR1952">
        <v>2100</v>
      </c>
      <c r="AS1952" t="s">
        <v>897</v>
      </c>
      <c r="AT1952" t="s">
        <v>58</v>
      </c>
    </row>
    <row r="1953" ht="29" spans="1:46">
      <c r="A1953" s="31" t="s">
        <v>73</v>
      </c>
      <c r="C1953" t="s">
        <v>2827</v>
      </c>
      <c r="D1953" s="5" t="s">
        <v>57</v>
      </c>
      <c r="E1953">
        <v>2035</v>
      </c>
      <c r="F1953" s="6" t="str">
        <f t="shared" si="242"/>
        <v>*0.95</v>
      </c>
      <c r="H1953" t="s">
        <v>2827</v>
      </c>
      <c r="I1953" s="5" t="s">
        <v>57</v>
      </c>
      <c r="J1953">
        <v>2050</v>
      </c>
      <c r="K1953" s="38" t="str">
        <f t="shared" si="243"/>
        <v>*0.93</v>
      </c>
      <c r="P1953" s="32" t="s">
        <v>2827</v>
      </c>
      <c r="Q1953" s="42" t="s">
        <v>57</v>
      </c>
      <c r="R1953" s="32">
        <v>2035</v>
      </c>
      <c r="S1953" s="43" t="str">
        <f t="shared" si="244"/>
        <v>*0.95</v>
      </c>
      <c r="U1953" s="32" t="s">
        <v>2827</v>
      </c>
      <c r="V1953" s="42" t="s">
        <v>57</v>
      </c>
      <c r="W1953" s="32">
        <v>2050</v>
      </c>
      <c r="X1953" s="43" t="str">
        <f t="shared" si="245"/>
        <v>*0.93</v>
      </c>
      <c r="AC1953" s="33" t="s">
        <v>2827</v>
      </c>
      <c r="AD1953" s="44" t="s">
        <v>57</v>
      </c>
      <c r="AE1953" s="33">
        <v>2035</v>
      </c>
      <c r="AF1953" s="45" t="str">
        <f t="shared" si="246"/>
        <v>*0.93</v>
      </c>
      <c r="AG1953" s="43" t="str">
        <f t="shared" si="248"/>
        <v>REZoning_Sol-Win</v>
      </c>
      <c r="AI1953" s="33" t="s">
        <v>2827</v>
      </c>
      <c r="AJ1953" s="44" t="s">
        <v>57</v>
      </c>
      <c r="AK1953" s="33">
        <v>2050</v>
      </c>
      <c r="AL1953" s="45" t="str">
        <f t="shared" si="247"/>
        <v>*0.9</v>
      </c>
      <c r="AM1953" s="43" t="str">
        <f t="shared" si="249"/>
        <v>REZoning_Sol-Win</v>
      </c>
      <c r="AP1953" t="s">
        <v>2827</v>
      </c>
      <c r="AQ1953" t="s">
        <v>57</v>
      </c>
      <c r="AR1953">
        <v>2100</v>
      </c>
      <c r="AS1953" t="s">
        <v>897</v>
      </c>
      <c r="AT1953" t="s">
        <v>58</v>
      </c>
    </row>
    <row r="1954" ht="29" spans="1:46">
      <c r="A1954" s="31" t="s">
        <v>73</v>
      </c>
      <c r="C1954" t="s">
        <v>2828</v>
      </c>
      <c r="D1954" s="5" t="s">
        <v>57</v>
      </c>
      <c r="E1954">
        <v>2035</v>
      </c>
      <c r="F1954" s="6" t="str">
        <f t="shared" si="242"/>
        <v>*0.95</v>
      </c>
      <c r="H1954" t="s">
        <v>2828</v>
      </c>
      <c r="I1954" s="5" t="s">
        <v>57</v>
      </c>
      <c r="J1954">
        <v>2050</v>
      </c>
      <c r="K1954" s="38" t="str">
        <f t="shared" si="243"/>
        <v>*0.93</v>
      </c>
      <c r="P1954" s="32" t="s">
        <v>2828</v>
      </c>
      <c r="Q1954" s="42" t="s">
        <v>57</v>
      </c>
      <c r="R1954" s="32">
        <v>2035</v>
      </c>
      <c r="S1954" s="43" t="str">
        <f t="shared" si="244"/>
        <v>*0.95</v>
      </c>
      <c r="U1954" s="32" t="s">
        <v>2828</v>
      </c>
      <c r="V1954" s="42" t="s">
        <v>57</v>
      </c>
      <c r="W1954" s="32">
        <v>2050</v>
      </c>
      <c r="X1954" s="43" t="str">
        <f t="shared" si="245"/>
        <v>*0.93</v>
      </c>
      <c r="AC1954" s="33" t="s">
        <v>2828</v>
      </c>
      <c r="AD1954" s="44" t="s">
        <v>57</v>
      </c>
      <c r="AE1954" s="33">
        <v>2035</v>
      </c>
      <c r="AF1954" s="45" t="str">
        <f t="shared" si="246"/>
        <v>*0.93</v>
      </c>
      <c r="AG1954" s="43" t="str">
        <f t="shared" si="248"/>
        <v>REZoning_Sol-Win</v>
      </c>
      <c r="AI1954" s="33" t="s">
        <v>2828</v>
      </c>
      <c r="AJ1954" s="44" t="s">
        <v>57</v>
      </c>
      <c r="AK1954" s="33">
        <v>2050</v>
      </c>
      <c r="AL1954" s="45" t="str">
        <f t="shared" si="247"/>
        <v>*0.9</v>
      </c>
      <c r="AM1954" s="43" t="str">
        <f t="shared" si="249"/>
        <v>REZoning_Sol-Win</v>
      </c>
      <c r="AP1954" t="s">
        <v>2828</v>
      </c>
      <c r="AQ1954" t="s">
        <v>57</v>
      </c>
      <c r="AR1954">
        <v>2100</v>
      </c>
      <c r="AS1954" t="s">
        <v>897</v>
      </c>
      <c r="AT1954" t="s">
        <v>58</v>
      </c>
    </row>
    <row r="1955" ht="29" spans="1:46">
      <c r="A1955" s="31" t="s">
        <v>73</v>
      </c>
      <c r="C1955" t="s">
        <v>2829</v>
      </c>
      <c r="D1955" s="5" t="s">
        <v>57</v>
      </c>
      <c r="E1955">
        <v>2035</v>
      </c>
      <c r="F1955" s="6" t="str">
        <f t="shared" si="242"/>
        <v>*0.95</v>
      </c>
      <c r="H1955" t="s">
        <v>2829</v>
      </c>
      <c r="I1955" s="5" t="s">
        <v>57</v>
      </c>
      <c r="J1955">
        <v>2050</v>
      </c>
      <c r="K1955" s="38" t="str">
        <f t="shared" si="243"/>
        <v>*0.93</v>
      </c>
      <c r="P1955" s="32" t="s">
        <v>2829</v>
      </c>
      <c r="Q1955" s="42" t="s">
        <v>57</v>
      </c>
      <c r="R1955" s="32">
        <v>2035</v>
      </c>
      <c r="S1955" s="43" t="str">
        <f t="shared" si="244"/>
        <v>*0.95</v>
      </c>
      <c r="U1955" s="32" t="s">
        <v>2829</v>
      </c>
      <c r="V1955" s="42" t="s">
        <v>57</v>
      </c>
      <c r="W1955" s="32">
        <v>2050</v>
      </c>
      <c r="X1955" s="43" t="str">
        <f t="shared" si="245"/>
        <v>*0.93</v>
      </c>
      <c r="AC1955" s="33" t="s">
        <v>2829</v>
      </c>
      <c r="AD1955" s="44" t="s">
        <v>57</v>
      </c>
      <c r="AE1955" s="33">
        <v>2035</v>
      </c>
      <c r="AF1955" s="45" t="str">
        <f t="shared" si="246"/>
        <v>*0.93</v>
      </c>
      <c r="AG1955" s="43" t="str">
        <f t="shared" si="248"/>
        <v>REZoning_Sol-Win</v>
      </c>
      <c r="AI1955" s="33" t="s">
        <v>2829</v>
      </c>
      <c r="AJ1955" s="44" t="s">
        <v>57</v>
      </c>
      <c r="AK1955" s="33">
        <v>2050</v>
      </c>
      <c r="AL1955" s="45" t="str">
        <f t="shared" si="247"/>
        <v>*0.9</v>
      </c>
      <c r="AM1955" s="43" t="str">
        <f t="shared" si="249"/>
        <v>REZoning_Sol-Win</v>
      </c>
      <c r="AP1955" t="s">
        <v>2829</v>
      </c>
      <c r="AQ1955" t="s">
        <v>57</v>
      </c>
      <c r="AR1955">
        <v>2100</v>
      </c>
      <c r="AS1955" t="s">
        <v>897</v>
      </c>
      <c r="AT1955" t="s">
        <v>58</v>
      </c>
    </row>
    <row r="1956" ht="29" spans="1:46">
      <c r="A1956" s="31" t="s">
        <v>73</v>
      </c>
      <c r="C1956" t="s">
        <v>2830</v>
      </c>
      <c r="D1956" s="5" t="s">
        <v>57</v>
      </c>
      <c r="E1956">
        <v>2035</v>
      </c>
      <c r="F1956" s="6" t="str">
        <f t="shared" si="242"/>
        <v>*0.95</v>
      </c>
      <c r="H1956" t="s">
        <v>2830</v>
      </c>
      <c r="I1956" s="5" t="s">
        <v>57</v>
      </c>
      <c r="J1956">
        <v>2050</v>
      </c>
      <c r="K1956" s="38" t="str">
        <f t="shared" si="243"/>
        <v>*0.93</v>
      </c>
      <c r="P1956" s="32" t="s">
        <v>2830</v>
      </c>
      <c r="Q1956" s="42" t="s">
        <v>57</v>
      </c>
      <c r="R1956" s="32">
        <v>2035</v>
      </c>
      <c r="S1956" s="43" t="str">
        <f t="shared" si="244"/>
        <v>*0.95</v>
      </c>
      <c r="U1956" s="32" t="s">
        <v>2830</v>
      </c>
      <c r="V1956" s="42" t="s">
        <v>57</v>
      </c>
      <c r="W1956" s="32">
        <v>2050</v>
      </c>
      <c r="X1956" s="43" t="str">
        <f t="shared" si="245"/>
        <v>*0.93</v>
      </c>
      <c r="AC1956" s="33" t="s">
        <v>2830</v>
      </c>
      <c r="AD1956" s="44" t="s">
        <v>57</v>
      </c>
      <c r="AE1956" s="33">
        <v>2035</v>
      </c>
      <c r="AF1956" s="45" t="str">
        <f t="shared" si="246"/>
        <v>*0.93</v>
      </c>
      <c r="AG1956" s="43" t="str">
        <f t="shared" si="248"/>
        <v>REZoning_Sol-Win</v>
      </c>
      <c r="AI1956" s="33" t="s">
        <v>2830</v>
      </c>
      <c r="AJ1956" s="44" t="s">
        <v>57</v>
      </c>
      <c r="AK1956" s="33">
        <v>2050</v>
      </c>
      <c r="AL1956" s="45" t="str">
        <f t="shared" si="247"/>
        <v>*0.9</v>
      </c>
      <c r="AM1956" s="43" t="str">
        <f t="shared" si="249"/>
        <v>REZoning_Sol-Win</v>
      </c>
      <c r="AP1956" t="s">
        <v>2830</v>
      </c>
      <c r="AQ1956" t="s">
        <v>57</v>
      </c>
      <c r="AR1956">
        <v>2100</v>
      </c>
      <c r="AS1956" t="s">
        <v>897</v>
      </c>
      <c r="AT1956" t="s">
        <v>58</v>
      </c>
    </row>
    <row r="1957" ht="29" spans="1:46">
      <c r="A1957" s="31" t="s">
        <v>73</v>
      </c>
      <c r="C1957" t="s">
        <v>2831</v>
      </c>
      <c r="D1957" s="5" t="s">
        <v>57</v>
      </c>
      <c r="E1957">
        <v>2035</v>
      </c>
      <c r="F1957" s="6" t="str">
        <f t="shared" si="242"/>
        <v>*0.95</v>
      </c>
      <c r="H1957" t="s">
        <v>2831</v>
      </c>
      <c r="I1957" s="5" t="s">
        <v>57</v>
      </c>
      <c r="J1957">
        <v>2050</v>
      </c>
      <c r="K1957" s="38" t="str">
        <f t="shared" si="243"/>
        <v>*0.93</v>
      </c>
      <c r="P1957" s="32" t="s">
        <v>2831</v>
      </c>
      <c r="Q1957" s="42" t="s">
        <v>57</v>
      </c>
      <c r="R1957" s="32">
        <v>2035</v>
      </c>
      <c r="S1957" s="43" t="str">
        <f t="shared" si="244"/>
        <v>*0.95</v>
      </c>
      <c r="U1957" s="32" t="s">
        <v>2831</v>
      </c>
      <c r="V1957" s="42" t="s">
        <v>57</v>
      </c>
      <c r="W1957" s="32">
        <v>2050</v>
      </c>
      <c r="X1957" s="43" t="str">
        <f t="shared" si="245"/>
        <v>*0.93</v>
      </c>
      <c r="AC1957" s="33" t="s">
        <v>2831</v>
      </c>
      <c r="AD1957" s="44" t="s">
        <v>57</v>
      </c>
      <c r="AE1957" s="33">
        <v>2035</v>
      </c>
      <c r="AF1957" s="45" t="str">
        <f t="shared" si="246"/>
        <v>*0.93</v>
      </c>
      <c r="AG1957" s="43" t="str">
        <f t="shared" si="248"/>
        <v>REZoning_Sol-Win</v>
      </c>
      <c r="AI1957" s="33" t="s">
        <v>2831</v>
      </c>
      <c r="AJ1957" s="44" t="s">
        <v>57</v>
      </c>
      <c r="AK1957" s="33">
        <v>2050</v>
      </c>
      <c r="AL1957" s="45" t="str">
        <f t="shared" si="247"/>
        <v>*0.9</v>
      </c>
      <c r="AM1957" s="43" t="str">
        <f t="shared" si="249"/>
        <v>REZoning_Sol-Win</v>
      </c>
      <c r="AP1957" t="s">
        <v>2831</v>
      </c>
      <c r="AQ1957" t="s">
        <v>57</v>
      </c>
      <c r="AR1957">
        <v>2100</v>
      </c>
      <c r="AS1957" t="s">
        <v>897</v>
      </c>
      <c r="AT1957" t="s">
        <v>58</v>
      </c>
    </row>
    <row r="1958" ht="29" spans="1:46">
      <c r="A1958" s="31" t="s">
        <v>73</v>
      </c>
      <c r="C1958" t="s">
        <v>2832</v>
      </c>
      <c r="D1958" s="5" t="s">
        <v>57</v>
      </c>
      <c r="E1958">
        <v>2035</v>
      </c>
      <c r="F1958" s="6" t="str">
        <f t="shared" si="242"/>
        <v>*0.95</v>
      </c>
      <c r="H1958" t="s">
        <v>2832</v>
      </c>
      <c r="I1958" s="5" t="s">
        <v>57</v>
      </c>
      <c r="J1958">
        <v>2050</v>
      </c>
      <c r="K1958" s="38" t="str">
        <f t="shared" si="243"/>
        <v>*0.93</v>
      </c>
      <c r="P1958" s="32" t="s">
        <v>2832</v>
      </c>
      <c r="Q1958" s="42" t="s">
        <v>57</v>
      </c>
      <c r="R1958" s="32">
        <v>2035</v>
      </c>
      <c r="S1958" s="43" t="str">
        <f t="shared" si="244"/>
        <v>*0.95</v>
      </c>
      <c r="U1958" s="32" t="s">
        <v>2832</v>
      </c>
      <c r="V1958" s="42" t="s">
        <v>57</v>
      </c>
      <c r="W1958" s="32">
        <v>2050</v>
      </c>
      <c r="X1958" s="43" t="str">
        <f t="shared" si="245"/>
        <v>*0.93</v>
      </c>
      <c r="AC1958" s="33" t="s">
        <v>2832</v>
      </c>
      <c r="AD1958" s="44" t="s">
        <v>57</v>
      </c>
      <c r="AE1958" s="33">
        <v>2035</v>
      </c>
      <c r="AF1958" s="45" t="str">
        <f t="shared" si="246"/>
        <v>*0.93</v>
      </c>
      <c r="AG1958" s="43" t="str">
        <f t="shared" si="248"/>
        <v>REZoning_Sol-Win</v>
      </c>
      <c r="AI1958" s="33" t="s">
        <v>2832</v>
      </c>
      <c r="AJ1958" s="44" t="s">
        <v>57</v>
      </c>
      <c r="AK1958" s="33">
        <v>2050</v>
      </c>
      <c r="AL1958" s="45" t="str">
        <f t="shared" si="247"/>
        <v>*0.9</v>
      </c>
      <c r="AM1958" s="43" t="str">
        <f t="shared" si="249"/>
        <v>REZoning_Sol-Win</v>
      </c>
      <c r="AP1958" t="s">
        <v>2832</v>
      </c>
      <c r="AQ1958" t="s">
        <v>57</v>
      </c>
      <c r="AR1958">
        <v>2100</v>
      </c>
      <c r="AS1958" t="s">
        <v>897</v>
      </c>
      <c r="AT1958" t="s">
        <v>58</v>
      </c>
    </row>
    <row r="1959" ht="29" spans="1:46">
      <c r="A1959" s="31" t="s">
        <v>73</v>
      </c>
      <c r="C1959" t="s">
        <v>2833</v>
      </c>
      <c r="D1959" s="5" t="s">
        <v>57</v>
      </c>
      <c r="E1959">
        <v>2035</v>
      </c>
      <c r="F1959" s="6" t="str">
        <f t="shared" si="242"/>
        <v>*0.95</v>
      </c>
      <c r="H1959" t="s">
        <v>2833</v>
      </c>
      <c r="I1959" s="5" t="s">
        <v>57</v>
      </c>
      <c r="J1959">
        <v>2050</v>
      </c>
      <c r="K1959" s="38" t="str">
        <f t="shared" si="243"/>
        <v>*0.93</v>
      </c>
      <c r="P1959" s="32" t="s">
        <v>2833</v>
      </c>
      <c r="Q1959" s="42" t="s">
        <v>57</v>
      </c>
      <c r="R1959" s="32">
        <v>2035</v>
      </c>
      <c r="S1959" s="43" t="str">
        <f t="shared" si="244"/>
        <v>*0.95</v>
      </c>
      <c r="U1959" s="32" t="s">
        <v>2833</v>
      </c>
      <c r="V1959" s="42" t="s">
        <v>57</v>
      </c>
      <c r="W1959" s="32">
        <v>2050</v>
      </c>
      <c r="X1959" s="43" t="str">
        <f t="shared" si="245"/>
        <v>*0.93</v>
      </c>
      <c r="AC1959" s="33" t="s">
        <v>2833</v>
      </c>
      <c r="AD1959" s="44" t="s">
        <v>57</v>
      </c>
      <c r="AE1959" s="33">
        <v>2035</v>
      </c>
      <c r="AF1959" s="45" t="str">
        <f t="shared" si="246"/>
        <v>*0.93</v>
      </c>
      <c r="AG1959" s="43" t="str">
        <f t="shared" si="248"/>
        <v>REZoning_Sol-Win</v>
      </c>
      <c r="AI1959" s="33" t="s">
        <v>2833</v>
      </c>
      <c r="AJ1959" s="44" t="s">
        <v>57</v>
      </c>
      <c r="AK1959" s="33">
        <v>2050</v>
      </c>
      <c r="AL1959" s="45" t="str">
        <f t="shared" si="247"/>
        <v>*0.9</v>
      </c>
      <c r="AM1959" s="43" t="str">
        <f t="shared" si="249"/>
        <v>REZoning_Sol-Win</v>
      </c>
      <c r="AP1959" t="s">
        <v>2833</v>
      </c>
      <c r="AQ1959" t="s">
        <v>57</v>
      </c>
      <c r="AR1959">
        <v>2100</v>
      </c>
      <c r="AS1959" t="s">
        <v>897</v>
      </c>
      <c r="AT1959" t="s">
        <v>58</v>
      </c>
    </row>
    <row r="1960" ht="29" spans="1:46">
      <c r="A1960" s="31" t="s">
        <v>65</v>
      </c>
      <c r="C1960" t="s">
        <v>2834</v>
      </c>
      <c r="D1960" s="5" t="s">
        <v>57</v>
      </c>
      <c r="E1960">
        <v>2035</v>
      </c>
      <c r="F1960" s="6" t="str">
        <f t="shared" si="242"/>
        <v>*0.94</v>
      </c>
      <c r="H1960" t="s">
        <v>2834</v>
      </c>
      <c r="I1960" s="5" t="s">
        <v>57</v>
      </c>
      <c r="J1960">
        <v>2050</v>
      </c>
      <c r="K1960" s="38" t="str">
        <f t="shared" si="243"/>
        <v>*0.91</v>
      </c>
      <c r="P1960" s="32" t="s">
        <v>2834</v>
      </c>
      <c r="Q1960" s="42" t="s">
        <v>57</v>
      </c>
      <c r="R1960" s="32">
        <v>2035</v>
      </c>
      <c r="S1960" s="43" t="str">
        <f t="shared" si="244"/>
        <v>*0.93</v>
      </c>
      <c r="U1960" s="32" t="s">
        <v>2834</v>
      </c>
      <c r="V1960" s="42" t="s">
        <v>57</v>
      </c>
      <c r="W1960" s="32">
        <v>2050</v>
      </c>
      <c r="X1960" s="43" t="str">
        <f t="shared" si="245"/>
        <v>*0.9</v>
      </c>
      <c r="AC1960" s="33" t="s">
        <v>2834</v>
      </c>
      <c r="AD1960" s="44" t="s">
        <v>57</v>
      </c>
      <c r="AE1960" s="33">
        <v>2035</v>
      </c>
      <c r="AF1960" s="45" t="str">
        <f t="shared" si="246"/>
        <v>*0.9</v>
      </c>
      <c r="AG1960" s="43" t="str">
        <f t="shared" si="248"/>
        <v>REZoning_Sol-Win</v>
      </c>
      <c r="AI1960" s="33" t="s">
        <v>2834</v>
      </c>
      <c r="AJ1960" s="44" t="s">
        <v>57</v>
      </c>
      <c r="AK1960" s="33">
        <v>2050</v>
      </c>
      <c r="AL1960" s="45" t="str">
        <f t="shared" si="247"/>
        <v>*0.86</v>
      </c>
      <c r="AM1960" s="43" t="str">
        <f t="shared" si="249"/>
        <v>REZoning_Sol-Win</v>
      </c>
      <c r="AP1960" t="s">
        <v>2834</v>
      </c>
      <c r="AQ1960" t="s">
        <v>57</v>
      </c>
      <c r="AR1960">
        <v>2100</v>
      </c>
      <c r="AS1960" t="s">
        <v>883</v>
      </c>
      <c r="AT1960" t="s">
        <v>58</v>
      </c>
    </row>
    <row r="1961" ht="29" spans="1:46">
      <c r="A1961" s="31" t="s">
        <v>65</v>
      </c>
      <c r="C1961" t="s">
        <v>2835</v>
      </c>
      <c r="D1961" s="5" t="s">
        <v>57</v>
      </c>
      <c r="E1961">
        <v>2035</v>
      </c>
      <c r="F1961" s="6" t="str">
        <f t="shared" si="242"/>
        <v>*0.94</v>
      </c>
      <c r="H1961" t="s">
        <v>2835</v>
      </c>
      <c r="I1961" s="5" t="s">
        <v>57</v>
      </c>
      <c r="J1961">
        <v>2050</v>
      </c>
      <c r="K1961" s="38" t="str">
        <f t="shared" si="243"/>
        <v>*0.91</v>
      </c>
      <c r="P1961" s="32" t="s">
        <v>2835</v>
      </c>
      <c r="Q1961" s="42" t="s">
        <v>57</v>
      </c>
      <c r="R1961" s="32">
        <v>2035</v>
      </c>
      <c r="S1961" s="43" t="str">
        <f t="shared" si="244"/>
        <v>*0.93</v>
      </c>
      <c r="U1961" s="32" t="s">
        <v>2835</v>
      </c>
      <c r="V1961" s="42" t="s">
        <v>57</v>
      </c>
      <c r="W1961" s="32">
        <v>2050</v>
      </c>
      <c r="X1961" s="43" t="str">
        <f t="shared" si="245"/>
        <v>*0.9</v>
      </c>
      <c r="AC1961" s="33" t="s">
        <v>2835</v>
      </c>
      <c r="AD1961" s="44" t="s">
        <v>57</v>
      </c>
      <c r="AE1961" s="33">
        <v>2035</v>
      </c>
      <c r="AF1961" s="45" t="str">
        <f t="shared" si="246"/>
        <v>*0.9</v>
      </c>
      <c r="AG1961" s="43" t="str">
        <f t="shared" si="248"/>
        <v>REZoning_Sol-Win</v>
      </c>
      <c r="AI1961" s="33" t="s">
        <v>2835</v>
      </c>
      <c r="AJ1961" s="44" t="s">
        <v>57</v>
      </c>
      <c r="AK1961" s="33">
        <v>2050</v>
      </c>
      <c r="AL1961" s="45" t="str">
        <f t="shared" si="247"/>
        <v>*0.86</v>
      </c>
      <c r="AM1961" s="43" t="str">
        <f t="shared" si="249"/>
        <v>REZoning_Sol-Win</v>
      </c>
      <c r="AP1961" t="s">
        <v>2835</v>
      </c>
      <c r="AQ1961" t="s">
        <v>57</v>
      </c>
      <c r="AR1961">
        <v>2100</v>
      </c>
      <c r="AS1961" t="s">
        <v>883</v>
      </c>
      <c r="AT1961" t="s">
        <v>58</v>
      </c>
    </row>
    <row r="1962" ht="29" spans="1:46">
      <c r="A1962" s="31" t="s">
        <v>65</v>
      </c>
      <c r="C1962" t="s">
        <v>2836</v>
      </c>
      <c r="D1962" s="5" t="s">
        <v>57</v>
      </c>
      <c r="E1962">
        <v>2035</v>
      </c>
      <c r="F1962" s="6" t="str">
        <f t="shared" si="242"/>
        <v>*0.94</v>
      </c>
      <c r="H1962" t="s">
        <v>2836</v>
      </c>
      <c r="I1962" s="5" t="s">
        <v>57</v>
      </c>
      <c r="J1962">
        <v>2050</v>
      </c>
      <c r="K1962" s="38" t="str">
        <f t="shared" si="243"/>
        <v>*0.91</v>
      </c>
      <c r="P1962" s="32" t="s">
        <v>2836</v>
      </c>
      <c r="Q1962" s="42" t="s">
        <v>57</v>
      </c>
      <c r="R1962" s="32">
        <v>2035</v>
      </c>
      <c r="S1962" s="43" t="str">
        <f t="shared" si="244"/>
        <v>*0.93</v>
      </c>
      <c r="U1962" s="32" t="s">
        <v>2836</v>
      </c>
      <c r="V1962" s="42" t="s">
        <v>57</v>
      </c>
      <c r="W1962" s="32">
        <v>2050</v>
      </c>
      <c r="X1962" s="43" t="str">
        <f t="shared" si="245"/>
        <v>*0.9</v>
      </c>
      <c r="AC1962" s="33" t="s">
        <v>2836</v>
      </c>
      <c r="AD1962" s="44" t="s">
        <v>57</v>
      </c>
      <c r="AE1962" s="33">
        <v>2035</v>
      </c>
      <c r="AF1962" s="45" t="str">
        <f t="shared" si="246"/>
        <v>*0.9</v>
      </c>
      <c r="AG1962" s="43" t="str">
        <f t="shared" si="248"/>
        <v>REZoning_Sol-Win</v>
      </c>
      <c r="AI1962" s="33" t="s">
        <v>2836</v>
      </c>
      <c r="AJ1962" s="44" t="s">
        <v>57</v>
      </c>
      <c r="AK1962" s="33">
        <v>2050</v>
      </c>
      <c r="AL1962" s="45" t="str">
        <f t="shared" si="247"/>
        <v>*0.86</v>
      </c>
      <c r="AM1962" s="43" t="str">
        <f t="shared" si="249"/>
        <v>REZoning_Sol-Win</v>
      </c>
      <c r="AP1962" t="s">
        <v>2836</v>
      </c>
      <c r="AQ1962" t="s">
        <v>57</v>
      </c>
      <c r="AR1962">
        <v>2100</v>
      </c>
      <c r="AS1962" t="s">
        <v>883</v>
      </c>
      <c r="AT1962" t="s">
        <v>58</v>
      </c>
    </row>
    <row r="1963" ht="29" spans="1:46">
      <c r="A1963" s="31" t="s">
        <v>65</v>
      </c>
      <c r="C1963" t="s">
        <v>2837</v>
      </c>
      <c r="D1963" s="5" t="s">
        <v>57</v>
      </c>
      <c r="E1963">
        <v>2035</v>
      </c>
      <c r="F1963" s="6" t="str">
        <f t="shared" si="242"/>
        <v>*0.94</v>
      </c>
      <c r="H1963" t="s">
        <v>2837</v>
      </c>
      <c r="I1963" s="5" t="s">
        <v>57</v>
      </c>
      <c r="J1963">
        <v>2050</v>
      </c>
      <c r="K1963" s="38" t="str">
        <f t="shared" si="243"/>
        <v>*0.91</v>
      </c>
      <c r="P1963" s="32" t="s">
        <v>2837</v>
      </c>
      <c r="Q1963" s="42" t="s">
        <v>57</v>
      </c>
      <c r="R1963" s="32">
        <v>2035</v>
      </c>
      <c r="S1963" s="43" t="str">
        <f t="shared" si="244"/>
        <v>*0.93</v>
      </c>
      <c r="U1963" s="32" t="s">
        <v>2837</v>
      </c>
      <c r="V1963" s="42" t="s">
        <v>57</v>
      </c>
      <c r="W1963" s="32">
        <v>2050</v>
      </c>
      <c r="X1963" s="43" t="str">
        <f t="shared" si="245"/>
        <v>*0.9</v>
      </c>
      <c r="AC1963" s="33" t="s">
        <v>2837</v>
      </c>
      <c r="AD1963" s="44" t="s">
        <v>57</v>
      </c>
      <c r="AE1963" s="33">
        <v>2035</v>
      </c>
      <c r="AF1963" s="45" t="str">
        <f t="shared" si="246"/>
        <v>*0.9</v>
      </c>
      <c r="AG1963" s="43" t="str">
        <f t="shared" si="248"/>
        <v>REZoning_Sol-Win</v>
      </c>
      <c r="AI1963" s="33" t="s">
        <v>2837</v>
      </c>
      <c r="AJ1963" s="44" t="s">
        <v>57</v>
      </c>
      <c r="AK1963" s="33">
        <v>2050</v>
      </c>
      <c r="AL1963" s="45" t="str">
        <f t="shared" si="247"/>
        <v>*0.86</v>
      </c>
      <c r="AM1963" s="43" t="str">
        <f t="shared" si="249"/>
        <v>REZoning_Sol-Win</v>
      </c>
      <c r="AP1963" t="s">
        <v>2837</v>
      </c>
      <c r="AQ1963" t="s">
        <v>57</v>
      </c>
      <c r="AR1963">
        <v>2100</v>
      </c>
      <c r="AS1963" t="s">
        <v>883</v>
      </c>
      <c r="AT1963" t="s">
        <v>58</v>
      </c>
    </row>
    <row r="1964" ht="29" spans="1:46">
      <c r="A1964" s="31" t="s">
        <v>65</v>
      </c>
      <c r="C1964" t="s">
        <v>2838</v>
      </c>
      <c r="D1964" s="5" t="s">
        <v>57</v>
      </c>
      <c r="E1964">
        <v>2035</v>
      </c>
      <c r="F1964" s="6" t="str">
        <f t="shared" si="242"/>
        <v>*0.94</v>
      </c>
      <c r="H1964" t="s">
        <v>2838</v>
      </c>
      <c r="I1964" s="5" t="s">
        <v>57</v>
      </c>
      <c r="J1964">
        <v>2050</v>
      </c>
      <c r="K1964" s="38" t="str">
        <f t="shared" si="243"/>
        <v>*0.91</v>
      </c>
      <c r="P1964" s="32" t="s">
        <v>2838</v>
      </c>
      <c r="Q1964" s="42" t="s">
        <v>57</v>
      </c>
      <c r="R1964" s="32">
        <v>2035</v>
      </c>
      <c r="S1964" s="43" t="str">
        <f t="shared" si="244"/>
        <v>*0.93</v>
      </c>
      <c r="U1964" s="32" t="s">
        <v>2838</v>
      </c>
      <c r="V1964" s="42" t="s">
        <v>57</v>
      </c>
      <c r="W1964" s="32">
        <v>2050</v>
      </c>
      <c r="X1964" s="43" t="str">
        <f t="shared" si="245"/>
        <v>*0.9</v>
      </c>
      <c r="AC1964" s="33" t="s">
        <v>2838</v>
      </c>
      <c r="AD1964" s="44" t="s">
        <v>57</v>
      </c>
      <c r="AE1964" s="33">
        <v>2035</v>
      </c>
      <c r="AF1964" s="45" t="str">
        <f t="shared" si="246"/>
        <v>*0.9</v>
      </c>
      <c r="AG1964" s="43" t="str">
        <f t="shared" si="248"/>
        <v>REZoning_Sol-Win</v>
      </c>
      <c r="AI1964" s="33" t="s">
        <v>2838</v>
      </c>
      <c r="AJ1964" s="44" t="s">
        <v>57</v>
      </c>
      <c r="AK1964" s="33">
        <v>2050</v>
      </c>
      <c r="AL1964" s="45" t="str">
        <f t="shared" si="247"/>
        <v>*0.86</v>
      </c>
      <c r="AM1964" s="43" t="str">
        <f t="shared" si="249"/>
        <v>REZoning_Sol-Win</v>
      </c>
      <c r="AP1964" t="s">
        <v>2838</v>
      </c>
      <c r="AQ1964" t="s">
        <v>57</v>
      </c>
      <c r="AR1964">
        <v>2100</v>
      </c>
      <c r="AS1964" t="s">
        <v>883</v>
      </c>
      <c r="AT1964" t="s">
        <v>58</v>
      </c>
    </row>
    <row r="1965" ht="29" spans="1:46">
      <c r="A1965" s="31" t="s">
        <v>65</v>
      </c>
      <c r="C1965" t="s">
        <v>2839</v>
      </c>
      <c r="D1965" s="5" t="s">
        <v>57</v>
      </c>
      <c r="E1965">
        <v>2035</v>
      </c>
      <c r="F1965" s="6" t="str">
        <f t="shared" si="242"/>
        <v>*0.94</v>
      </c>
      <c r="H1965" t="s">
        <v>2839</v>
      </c>
      <c r="I1965" s="5" t="s">
        <v>57</v>
      </c>
      <c r="J1965">
        <v>2050</v>
      </c>
      <c r="K1965" s="38" t="str">
        <f t="shared" si="243"/>
        <v>*0.91</v>
      </c>
      <c r="P1965" s="32" t="s">
        <v>2839</v>
      </c>
      <c r="Q1965" s="42" t="s">
        <v>57</v>
      </c>
      <c r="R1965" s="32">
        <v>2035</v>
      </c>
      <c r="S1965" s="43" t="str">
        <f t="shared" si="244"/>
        <v>*0.93</v>
      </c>
      <c r="U1965" s="32" t="s">
        <v>2839</v>
      </c>
      <c r="V1965" s="42" t="s">
        <v>57</v>
      </c>
      <c r="W1965" s="32">
        <v>2050</v>
      </c>
      <c r="X1965" s="43" t="str">
        <f t="shared" si="245"/>
        <v>*0.9</v>
      </c>
      <c r="AC1965" s="33" t="s">
        <v>2839</v>
      </c>
      <c r="AD1965" s="44" t="s">
        <v>57</v>
      </c>
      <c r="AE1965" s="33">
        <v>2035</v>
      </c>
      <c r="AF1965" s="45" t="str">
        <f t="shared" si="246"/>
        <v>*0.9</v>
      </c>
      <c r="AG1965" s="43" t="str">
        <f t="shared" si="248"/>
        <v>REZoning_Sol-Win</v>
      </c>
      <c r="AI1965" s="33" t="s">
        <v>2839</v>
      </c>
      <c r="AJ1965" s="44" t="s">
        <v>57</v>
      </c>
      <c r="AK1965" s="33">
        <v>2050</v>
      </c>
      <c r="AL1965" s="45" t="str">
        <f t="shared" si="247"/>
        <v>*0.86</v>
      </c>
      <c r="AM1965" s="43" t="str">
        <f t="shared" si="249"/>
        <v>REZoning_Sol-Win</v>
      </c>
      <c r="AP1965" t="s">
        <v>2839</v>
      </c>
      <c r="AQ1965" t="s">
        <v>57</v>
      </c>
      <c r="AR1965">
        <v>2100</v>
      </c>
      <c r="AS1965" t="s">
        <v>883</v>
      </c>
      <c r="AT1965" t="s">
        <v>58</v>
      </c>
    </row>
    <row r="1966" ht="29" spans="1:46">
      <c r="A1966" s="31" t="s">
        <v>65</v>
      </c>
      <c r="C1966" t="s">
        <v>2840</v>
      </c>
      <c r="D1966" s="5" t="s">
        <v>57</v>
      </c>
      <c r="E1966">
        <v>2035</v>
      </c>
      <c r="F1966" s="6" t="str">
        <f t="shared" si="242"/>
        <v>*0.94</v>
      </c>
      <c r="H1966" t="s">
        <v>2840</v>
      </c>
      <c r="I1966" s="5" t="s">
        <v>57</v>
      </c>
      <c r="J1966">
        <v>2050</v>
      </c>
      <c r="K1966" s="38" t="str">
        <f t="shared" si="243"/>
        <v>*0.91</v>
      </c>
      <c r="P1966" s="32" t="s">
        <v>2840</v>
      </c>
      <c r="Q1966" s="42" t="s">
        <v>57</v>
      </c>
      <c r="R1966" s="32">
        <v>2035</v>
      </c>
      <c r="S1966" s="43" t="str">
        <f t="shared" si="244"/>
        <v>*0.93</v>
      </c>
      <c r="U1966" s="32" t="s">
        <v>2840</v>
      </c>
      <c r="V1966" s="42" t="s">
        <v>57</v>
      </c>
      <c r="W1966" s="32">
        <v>2050</v>
      </c>
      <c r="X1966" s="43" t="str">
        <f t="shared" si="245"/>
        <v>*0.9</v>
      </c>
      <c r="AC1966" s="33" t="s">
        <v>2840</v>
      </c>
      <c r="AD1966" s="44" t="s">
        <v>57</v>
      </c>
      <c r="AE1966" s="33">
        <v>2035</v>
      </c>
      <c r="AF1966" s="45" t="str">
        <f t="shared" si="246"/>
        <v>*0.9</v>
      </c>
      <c r="AG1966" s="43" t="str">
        <f t="shared" si="248"/>
        <v>REZoning_Sol-Win</v>
      </c>
      <c r="AI1966" s="33" t="s">
        <v>2840</v>
      </c>
      <c r="AJ1966" s="44" t="s">
        <v>57</v>
      </c>
      <c r="AK1966" s="33">
        <v>2050</v>
      </c>
      <c r="AL1966" s="45" t="str">
        <f t="shared" si="247"/>
        <v>*0.86</v>
      </c>
      <c r="AM1966" s="43" t="str">
        <f t="shared" si="249"/>
        <v>REZoning_Sol-Win</v>
      </c>
      <c r="AP1966" t="s">
        <v>2840</v>
      </c>
      <c r="AQ1966" t="s">
        <v>57</v>
      </c>
      <c r="AR1966">
        <v>2100</v>
      </c>
      <c r="AS1966" t="s">
        <v>883</v>
      </c>
      <c r="AT1966" t="s">
        <v>58</v>
      </c>
    </row>
    <row r="1967" ht="29" spans="1:46">
      <c r="A1967" s="31" t="s">
        <v>65</v>
      </c>
      <c r="C1967" t="s">
        <v>2841</v>
      </c>
      <c r="D1967" s="5" t="s">
        <v>57</v>
      </c>
      <c r="E1967">
        <v>2035</v>
      </c>
      <c r="F1967" s="6" t="str">
        <f t="shared" si="242"/>
        <v>*0.94</v>
      </c>
      <c r="H1967" t="s">
        <v>2841</v>
      </c>
      <c r="I1967" s="5" t="s">
        <v>57</v>
      </c>
      <c r="J1967">
        <v>2050</v>
      </c>
      <c r="K1967" s="38" t="str">
        <f t="shared" si="243"/>
        <v>*0.91</v>
      </c>
      <c r="P1967" s="32" t="s">
        <v>2841</v>
      </c>
      <c r="Q1967" s="42" t="s">
        <v>57</v>
      </c>
      <c r="R1967" s="32">
        <v>2035</v>
      </c>
      <c r="S1967" s="43" t="str">
        <f t="shared" si="244"/>
        <v>*0.93</v>
      </c>
      <c r="U1967" s="32" t="s">
        <v>2841</v>
      </c>
      <c r="V1967" s="42" t="s">
        <v>57</v>
      </c>
      <c r="W1967" s="32">
        <v>2050</v>
      </c>
      <c r="X1967" s="43" t="str">
        <f t="shared" si="245"/>
        <v>*0.9</v>
      </c>
      <c r="AC1967" s="33" t="s">
        <v>2841</v>
      </c>
      <c r="AD1967" s="44" t="s">
        <v>57</v>
      </c>
      <c r="AE1967" s="33">
        <v>2035</v>
      </c>
      <c r="AF1967" s="45" t="str">
        <f t="shared" si="246"/>
        <v>*0.9</v>
      </c>
      <c r="AG1967" s="43" t="str">
        <f t="shared" si="248"/>
        <v>REZoning_Sol-Win</v>
      </c>
      <c r="AI1967" s="33" t="s">
        <v>2841</v>
      </c>
      <c r="AJ1967" s="44" t="s">
        <v>57</v>
      </c>
      <c r="AK1967" s="33">
        <v>2050</v>
      </c>
      <c r="AL1967" s="45" t="str">
        <f t="shared" si="247"/>
        <v>*0.86</v>
      </c>
      <c r="AM1967" s="43" t="str">
        <f t="shared" si="249"/>
        <v>REZoning_Sol-Win</v>
      </c>
      <c r="AP1967" t="s">
        <v>2841</v>
      </c>
      <c r="AQ1967" t="s">
        <v>57</v>
      </c>
      <c r="AR1967">
        <v>2100</v>
      </c>
      <c r="AS1967" t="s">
        <v>883</v>
      </c>
      <c r="AT1967" t="s">
        <v>58</v>
      </c>
    </row>
    <row r="1968" ht="29" spans="1:46">
      <c r="A1968" s="31" t="s">
        <v>65</v>
      </c>
      <c r="C1968" t="s">
        <v>2842</v>
      </c>
      <c r="D1968" s="5" t="s">
        <v>57</v>
      </c>
      <c r="E1968">
        <v>2035</v>
      </c>
      <c r="F1968" s="6" t="str">
        <f t="shared" si="242"/>
        <v>*0.94</v>
      </c>
      <c r="H1968" t="s">
        <v>2842</v>
      </c>
      <c r="I1968" s="5" t="s">
        <v>57</v>
      </c>
      <c r="J1968">
        <v>2050</v>
      </c>
      <c r="K1968" s="38" t="str">
        <f t="shared" si="243"/>
        <v>*0.91</v>
      </c>
      <c r="P1968" s="32" t="s">
        <v>2842</v>
      </c>
      <c r="Q1968" s="42" t="s">
        <v>57</v>
      </c>
      <c r="R1968" s="32">
        <v>2035</v>
      </c>
      <c r="S1968" s="43" t="str">
        <f t="shared" si="244"/>
        <v>*0.93</v>
      </c>
      <c r="U1968" s="32" t="s">
        <v>2842</v>
      </c>
      <c r="V1968" s="42" t="s">
        <v>57</v>
      </c>
      <c r="W1968" s="32">
        <v>2050</v>
      </c>
      <c r="X1968" s="43" t="str">
        <f t="shared" si="245"/>
        <v>*0.9</v>
      </c>
      <c r="AC1968" s="33" t="s">
        <v>2842</v>
      </c>
      <c r="AD1968" s="44" t="s">
        <v>57</v>
      </c>
      <c r="AE1968" s="33">
        <v>2035</v>
      </c>
      <c r="AF1968" s="45" t="str">
        <f t="shared" si="246"/>
        <v>*0.9</v>
      </c>
      <c r="AG1968" s="43" t="str">
        <f t="shared" si="248"/>
        <v>REZoning_Sol-Win</v>
      </c>
      <c r="AI1968" s="33" t="s">
        <v>2842</v>
      </c>
      <c r="AJ1968" s="44" t="s">
        <v>57</v>
      </c>
      <c r="AK1968" s="33">
        <v>2050</v>
      </c>
      <c r="AL1968" s="45" t="str">
        <f t="shared" si="247"/>
        <v>*0.86</v>
      </c>
      <c r="AM1968" s="43" t="str">
        <f t="shared" si="249"/>
        <v>REZoning_Sol-Win</v>
      </c>
      <c r="AP1968" t="s">
        <v>2842</v>
      </c>
      <c r="AQ1968" t="s">
        <v>57</v>
      </c>
      <c r="AR1968">
        <v>2100</v>
      </c>
      <c r="AS1968" t="s">
        <v>883</v>
      </c>
      <c r="AT1968" t="s">
        <v>58</v>
      </c>
    </row>
    <row r="1969" ht="29" spans="1:46">
      <c r="A1969" s="31" t="s">
        <v>65</v>
      </c>
      <c r="C1969" t="s">
        <v>2843</v>
      </c>
      <c r="D1969" s="5" t="s">
        <v>57</v>
      </c>
      <c r="E1969">
        <v>2035</v>
      </c>
      <c r="F1969" s="6" t="str">
        <f t="shared" si="242"/>
        <v>*0.94</v>
      </c>
      <c r="H1969" t="s">
        <v>2843</v>
      </c>
      <c r="I1969" s="5" t="s">
        <v>57</v>
      </c>
      <c r="J1969">
        <v>2050</v>
      </c>
      <c r="K1969" s="38" t="str">
        <f t="shared" si="243"/>
        <v>*0.91</v>
      </c>
      <c r="P1969" s="32" t="s">
        <v>2843</v>
      </c>
      <c r="Q1969" s="42" t="s">
        <v>57</v>
      </c>
      <c r="R1969" s="32">
        <v>2035</v>
      </c>
      <c r="S1969" s="43" t="str">
        <f t="shared" si="244"/>
        <v>*0.93</v>
      </c>
      <c r="U1969" s="32" t="s">
        <v>2843</v>
      </c>
      <c r="V1969" s="42" t="s">
        <v>57</v>
      </c>
      <c r="W1969" s="32">
        <v>2050</v>
      </c>
      <c r="X1969" s="43" t="str">
        <f t="shared" si="245"/>
        <v>*0.9</v>
      </c>
      <c r="AC1969" s="33" t="s">
        <v>2843</v>
      </c>
      <c r="AD1969" s="44" t="s">
        <v>57</v>
      </c>
      <c r="AE1969" s="33">
        <v>2035</v>
      </c>
      <c r="AF1969" s="45" t="str">
        <f t="shared" si="246"/>
        <v>*0.9</v>
      </c>
      <c r="AG1969" s="43" t="str">
        <f t="shared" si="248"/>
        <v>REZoning_Sol-Win</v>
      </c>
      <c r="AI1969" s="33" t="s">
        <v>2843</v>
      </c>
      <c r="AJ1969" s="44" t="s">
        <v>57</v>
      </c>
      <c r="AK1969" s="33">
        <v>2050</v>
      </c>
      <c r="AL1969" s="45" t="str">
        <f t="shared" si="247"/>
        <v>*0.86</v>
      </c>
      <c r="AM1969" s="43" t="str">
        <f t="shared" si="249"/>
        <v>REZoning_Sol-Win</v>
      </c>
      <c r="AP1969" t="s">
        <v>2843</v>
      </c>
      <c r="AQ1969" t="s">
        <v>57</v>
      </c>
      <c r="AR1969">
        <v>2100</v>
      </c>
      <c r="AS1969" t="s">
        <v>883</v>
      </c>
      <c r="AT1969" t="s">
        <v>58</v>
      </c>
    </row>
    <row r="1970" ht="29" spans="1:46">
      <c r="A1970" s="31" t="s">
        <v>65</v>
      </c>
      <c r="C1970" t="s">
        <v>2844</v>
      </c>
      <c r="D1970" s="5" t="s">
        <v>57</v>
      </c>
      <c r="E1970">
        <v>2035</v>
      </c>
      <c r="F1970" s="6" t="str">
        <f t="shared" si="242"/>
        <v>*0.94</v>
      </c>
      <c r="H1970" t="s">
        <v>2844</v>
      </c>
      <c r="I1970" s="5" t="s">
        <v>57</v>
      </c>
      <c r="J1970">
        <v>2050</v>
      </c>
      <c r="K1970" s="38" t="str">
        <f t="shared" si="243"/>
        <v>*0.91</v>
      </c>
      <c r="P1970" s="32" t="s">
        <v>2844</v>
      </c>
      <c r="Q1970" s="42" t="s">
        <v>57</v>
      </c>
      <c r="R1970" s="32">
        <v>2035</v>
      </c>
      <c r="S1970" s="43" t="str">
        <f t="shared" si="244"/>
        <v>*0.93</v>
      </c>
      <c r="U1970" s="32" t="s">
        <v>2844</v>
      </c>
      <c r="V1970" s="42" t="s">
        <v>57</v>
      </c>
      <c r="W1970" s="32">
        <v>2050</v>
      </c>
      <c r="X1970" s="43" t="str">
        <f t="shared" si="245"/>
        <v>*0.9</v>
      </c>
      <c r="AC1970" s="33" t="s">
        <v>2844</v>
      </c>
      <c r="AD1970" s="44" t="s">
        <v>57</v>
      </c>
      <c r="AE1970" s="33">
        <v>2035</v>
      </c>
      <c r="AF1970" s="45" t="str">
        <f t="shared" si="246"/>
        <v>*0.9</v>
      </c>
      <c r="AG1970" s="43" t="str">
        <f t="shared" si="248"/>
        <v>REZoning_Sol-Win</v>
      </c>
      <c r="AI1970" s="33" t="s">
        <v>2844</v>
      </c>
      <c r="AJ1970" s="44" t="s">
        <v>57</v>
      </c>
      <c r="AK1970" s="33">
        <v>2050</v>
      </c>
      <c r="AL1970" s="45" t="str">
        <f t="shared" si="247"/>
        <v>*0.86</v>
      </c>
      <c r="AM1970" s="43" t="str">
        <f t="shared" si="249"/>
        <v>REZoning_Sol-Win</v>
      </c>
      <c r="AP1970" t="s">
        <v>2844</v>
      </c>
      <c r="AQ1970" t="s">
        <v>57</v>
      </c>
      <c r="AR1970">
        <v>2100</v>
      </c>
      <c r="AS1970" t="s">
        <v>883</v>
      </c>
      <c r="AT1970" t="s">
        <v>58</v>
      </c>
    </row>
    <row r="1971" ht="29" spans="1:46">
      <c r="A1971" s="31" t="s">
        <v>65</v>
      </c>
      <c r="C1971" t="s">
        <v>2845</v>
      </c>
      <c r="D1971" s="5" t="s">
        <v>57</v>
      </c>
      <c r="E1971">
        <v>2035</v>
      </c>
      <c r="F1971" s="6" t="str">
        <f t="shared" si="242"/>
        <v>*0.94</v>
      </c>
      <c r="H1971" t="s">
        <v>2845</v>
      </c>
      <c r="I1971" s="5" t="s">
        <v>57</v>
      </c>
      <c r="J1971">
        <v>2050</v>
      </c>
      <c r="K1971" s="38" t="str">
        <f t="shared" si="243"/>
        <v>*0.91</v>
      </c>
      <c r="P1971" s="32" t="s">
        <v>2845</v>
      </c>
      <c r="Q1971" s="42" t="s">
        <v>57</v>
      </c>
      <c r="R1971" s="32">
        <v>2035</v>
      </c>
      <c r="S1971" s="43" t="str">
        <f t="shared" si="244"/>
        <v>*0.93</v>
      </c>
      <c r="U1971" s="32" t="s">
        <v>2845</v>
      </c>
      <c r="V1971" s="42" t="s">
        <v>57</v>
      </c>
      <c r="W1971" s="32">
        <v>2050</v>
      </c>
      <c r="X1971" s="43" t="str">
        <f t="shared" si="245"/>
        <v>*0.9</v>
      </c>
      <c r="AC1971" s="33" t="s">
        <v>2845</v>
      </c>
      <c r="AD1971" s="44" t="s">
        <v>57</v>
      </c>
      <c r="AE1971" s="33">
        <v>2035</v>
      </c>
      <c r="AF1971" s="45" t="str">
        <f t="shared" si="246"/>
        <v>*0.9</v>
      </c>
      <c r="AG1971" s="43" t="str">
        <f t="shared" si="248"/>
        <v>REZoning_Sol-Win</v>
      </c>
      <c r="AI1971" s="33" t="s">
        <v>2845</v>
      </c>
      <c r="AJ1971" s="44" t="s">
        <v>57</v>
      </c>
      <c r="AK1971" s="33">
        <v>2050</v>
      </c>
      <c r="AL1971" s="45" t="str">
        <f t="shared" si="247"/>
        <v>*0.86</v>
      </c>
      <c r="AM1971" s="43" t="str">
        <f t="shared" si="249"/>
        <v>REZoning_Sol-Win</v>
      </c>
      <c r="AP1971" t="s">
        <v>2845</v>
      </c>
      <c r="AQ1971" t="s">
        <v>57</v>
      </c>
      <c r="AR1971">
        <v>2100</v>
      </c>
      <c r="AS1971" t="s">
        <v>883</v>
      </c>
      <c r="AT1971" t="s">
        <v>58</v>
      </c>
    </row>
    <row r="1972" ht="29" spans="1:46">
      <c r="A1972" s="31" t="s">
        <v>65</v>
      </c>
      <c r="C1972" t="s">
        <v>2846</v>
      </c>
      <c r="D1972" s="5" t="s">
        <v>57</v>
      </c>
      <c r="E1972">
        <v>2035</v>
      </c>
      <c r="F1972" s="6" t="str">
        <f t="shared" si="242"/>
        <v>*0.94</v>
      </c>
      <c r="H1972" t="s">
        <v>2846</v>
      </c>
      <c r="I1972" s="5" t="s">
        <v>57</v>
      </c>
      <c r="J1972">
        <v>2050</v>
      </c>
      <c r="K1972" s="38" t="str">
        <f t="shared" si="243"/>
        <v>*0.91</v>
      </c>
      <c r="P1972" s="32" t="s">
        <v>2846</v>
      </c>
      <c r="Q1972" s="42" t="s">
        <v>57</v>
      </c>
      <c r="R1972" s="32">
        <v>2035</v>
      </c>
      <c r="S1972" s="43" t="str">
        <f t="shared" si="244"/>
        <v>*0.93</v>
      </c>
      <c r="U1972" s="32" t="s">
        <v>2846</v>
      </c>
      <c r="V1972" s="42" t="s">
        <v>57</v>
      </c>
      <c r="W1972" s="32">
        <v>2050</v>
      </c>
      <c r="X1972" s="43" t="str">
        <f t="shared" si="245"/>
        <v>*0.9</v>
      </c>
      <c r="AC1972" s="33" t="s">
        <v>2846</v>
      </c>
      <c r="AD1972" s="44" t="s">
        <v>57</v>
      </c>
      <c r="AE1972" s="33">
        <v>2035</v>
      </c>
      <c r="AF1972" s="45" t="str">
        <f t="shared" si="246"/>
        <v>*0.9</v>
      </c>
      <c r="AG1972" s="43" t="str">
        <f t="shared" si="248"/>
        <v>REZoning_Sol-Win</v>
      </c>
      <c r="AI1972" s="33" t="s">
        <v>2846</v>
      </c>
      <c r="AJ1972" s="44" t="s">
        <v>57</v>
      </c>
      <c r="AK1972" s="33">
        <v>2050</v>
      </c>
      <c r="AL1972" s="45" t="str">
        <f t="shared" si="247"/>
        <v>*0.86</v>
      </c>
      <c r="AM1972" s="43" t="str">
        <f t="shared" si="249"/>
        <v>REZoning_Sol-Win</v>
      </c>
      <c r="AP1972" t="s">
        <v>2846</v>
      </c>
      <c r="AQ1972" t="s">
        <v>57</v>
      </c>
      <c r="AR1972">
        <v>2100</v>
      </c>
      <c r="AS1972" t="s">
        <v>883</v>
      </c>
      <c r="AT1972" t="s">
        <v>58</v>
      </c>
    </row>
    <row r="1973" ht="29" spans="1:46">
      <c r="A1973" s="31" t="s">
        <v>65</v>
      </c>
      <c r="C1973" t="s">
        <v>2847</v>
      </c>
      <c r="D1973" s="5" t="s">
        <v>57</v>
      </c>
      <c r="E1973">
        <v>2035</v>
      </c>
      <c r="F1973" s="6" t="str">
        <f t="shared" si="242"/>
        <v>*0.94</v>
      </c>
      <c r="H1973" t="s">
        <v>2847</v>
      </c>
      <c r="I1973" s="5" t="s">
        <v>57</v>
      </c>
      <c r="J1973">
        <v>2050</v>
      </c>
      <c r="K1973" s="38" t="str">
        <f t="shared" si="243"/>
        <v>*0.91</v>
      </c>
      <c r="P1973" s="32" t="s">
        <v>2847</v>
      </c>
      <c r="Q1973" s="42" t="s">
        <v>57</v>
      </c>
      <c r="R1973" s="32">
        <v>2035</v>
      </c>
      <c r="S1973" s="43" t="str">
        <f t="shared" si="244"/>
        <v>*0.93</v>
      </c>
      <c r="U1973" s="32" t="s">
        <v>2847</v>
      </c>
      <c r="V1973" s="42" t="s">
        <v>57</v>
      </c>
      <c r="W1973" s="32">
        <v>2050</v>
      </c>
      <c r="X1973" s="43" t="str">
        <f t="shared" si="245"/>
        <v>*0.9</v>
      </c>
      <c r="AC1973" s="33" t="s">
        <v>2847</v>
      </c>
      <c r="AD1973" s="44" t="s">
        <v>57</v>
      </c>
      <c r="AE1973" s="33">
        <v>2035</v>
      </c>
      <c r="AF1973" s="45" t="str">
        <f t="shared" si="246"/>
        <v>*0.9</v>
      </c>
      <c r="AG1973" s="43" t="str">
        <f t="shared" si="248"/>
        <v>REZoning_Sol-Win</v>
      </c>
      <c r="AI1973" s="33" t="s">
        <v>2847</v>
      </c>
      <c r="AJ1973" s="44" t="s">
        <v>57</v>
      </c>
      <c r="AK1973" s="33">
        <v>2050</v>
      </c>
      <c r="AL1973" s="45" t="str">
        <f t="shared" si="247"/>
        <v>*0.86</v>
      </c>
      <c r="AM1973" s="43" t="str">
        <f t="shared" si="249"/>
        <v>REZoning_Sol-Win</v>
      </c>
      <c r="AP1973" t="s">
        <v>2847</v>
      </c>
      <c r="AQ1973" t="s">
        <v>57</v>
      </c>
      <c r="AR1973">
        <v>2100</v>
      </c>
      <c r="AS1973" t="s">
        <v>883</v>
      </c>
      <c r="AT1973" t="s">
        <v>58</v>
      </c>
    </row>
    <row r="1974" ht="29" spans="1:46">
      <c r="A1974" s="31" t="s">
        <v>65</v>
      </c>
      <c r="C1974" t="s">
        <v>2848</v>
      </c>
      <c r="D1974" s="5" t="s">
        <v>57</v>
      </c>
      <c r="E1974">
        <v>2035</v>
      </c>
      <c r="F1974" s="6" t="str">
        <f t="shared" si="242"/>
        <v>*0.94</v>
      </c>
      <c r="H1974" t="s">
        <v>2848</v>
      </c>
      <c r="I1974" s="5" t="s">
        <v>57</v>
      </c>
      <c r="J1974">
        <v>2050</v>
      </c>
      <c r="K1974" s="38" t="str">
        <f t="shared" si="243"/>
        <v>*0.91</v>
      </c>
      <c r="P1974" s="32" t="s">
        <v>2848</v>
      </c>
      <c r="Q1974" s="42" t="s">
        <v>57</v>
      </c>
      <c r="R1974" s="32">
        <v>2035</v>
      </c>
      <c r="S1974" s="43" t="str">
        <f t="shared" si="244"/>
        <v>*0.93</v>
      </c>
      <c r="U1974" s="32" t="s">
        <v>2848</v>
      </c>
      <c r="V1974" s="42" t="s">
        <v>57</v>
      </c>
      <c r="W1974" s="32">
        <v>2050</v>
      </c>
      <c r="X1974" s="43" t="str">
        <f t="shared" si="245"/>
        <v>*0.9</v>
      </c>
      <c r="AC1974" s="33" t="s">
        <v>2848</v>
      </c>
      <c r="AD1974" s="44" t="s">
        <v>57</v>
      </c>
      <c r="AE1974" s="33">
        <v>2035</v>
      </c>
      <c r="AF1974" s="45" t="str">
        <f t="shared" si="246"/>
        <v>*0.9</v>
      </c>
      <c r="AG1974" s="43" t="str">
        <f t="shared" si="248"/>
        <v>REZoning_Sol-Win</v>
      </c>
      <c r="AI1974" s="33" t="s">
        <v>2848</v>
      </c>
      <c r="AJ1974" s="44" t="s">
        <v>57</v>
      </c>
      <c r="AK1974" s="33">
        <v>2050</v>
      </c>
      <c r="AL1974" s="45" t="str">
        <f t="shared" si="247"/>
        <v>*0.86</v>
      </c>
      <c r="AM1974" s="43" t="str">
        <f t="shared" si="249"/>
        <v>REZoning_Sol-Win</v>
      </c>
      <c r="AP1974" t="s">
        <v>2848</v>
      </c>
      <c r="AQ1974" t="s">
        <v>57</v>
      </c>
      <c r="AR1974">
        <v>2100</v>
      </c>
      <c r="AS1974" t="s">
        <v>883</v>
      </c>
      <c r="AT1974" t="s">
        <v>58</v>
      </c>
    </row>
    <row r="1975" ht="29" spans="1:46">
      <c r="A1975" s="31" t="s">
        <v>65</v>
      </c>
      <c r="C1975" t="s">
        <v>2849</v>
      </c>
      <c r="D1975" s="5" t="s">
        <v>57</v>
      </c>
      <c r="E1975">
        <v>2035</v>
      </c>
      <c r="F1975" s="6" t="str">
        <f t="shared" si="242"/>
        <v>*0.94</v>
      </c>
      <c r="H1975" t="s">
        <v>2849</v>
      </c>
      <c r="I1975" s="5" t="s">
        <v>57</v>
      </c>
      <c r="J1975">
        <v>2050</v>
      </c>
      <c r="K1975" s="38" t="str">
        <f t="shared" si="243"/>
        <v>*0.91</v>
      </c>
      <c r="P1975" s="32" t="s">
        <v>2849</v>
      </c>
      <c r="Q1975" s="42" t="s">
        <v>57</v>
      </c>
      <c r="R1975" s="32">
        <v>2035</v>
      </c>
      <c r="S1975" s="43" t="str">
        <f t="shared" si="244"/>
        <v>*0.93</v>
      </c>
      <c r="U1975" s="32" t="s">
        <v>2849</v>
      </c>
      <c r="V1975" s="42" t="s">
        <v>57</v>
      </c>
      <c r="W1975" s="32">
        <v>2050</v>
      </c>
      <c r="X1975" s="43" t="str">
        <f t="shared" si="245"/>
        <v>*0.9</v>
      </c>
      <c r="AC1975" s="33" t="s">
        <v>2849</v>
      </c>
      <c r="AD1975" s="44" t="s">
        <v>57</v>
      </c>
      <c r="AE1975" s="33">
        <v>2035</v>
      </c>
      <c r="AF1975" s="45" t="str">
        <f t="shared" si="246"/>
        <v>*0.9</v>
      </c>
      <c r="AG1975" s="43" t="str">
        <f t="shared" si="248"/>
        <v>REZoning_Sol-Win</v>
      </c>
      <c r="AI1975" s="33" t="s">
        <v>2849</v>
      </c>
      <c r="AJ1975" s="44" t="s">
        <v>57</v>
      </c>
      <c r="AK1975" s="33">
        <v>2050</v>
      </c>
      <c r="AL1975" s="45" t="str">
        <f t="shared" si="247"/>
        <v>*0.86</v>
      </c>
      <c r="AM1975" s="43" t="str">
        <f t="shared" si="249"/>
        <v>REZoning_Sol-Win</v>
      </c>
      <c r="AP1975" t="s">
        <v>2849</v>
      </c>
      <c r="AQ1975" t="s">
        <v>57</v>
      </c>
      <c r="AR1975">
        <v>2100</v>
      </c>
      <c r="AS1975" t="s">
        <v>883</v>
      </c>
      <c r="AT1975" t="s">
        <v>58</v>
      </c>
    </row>
    <row r="1976" ht="29" spans="1:46">
      <c r="A1976" s="31" t="s">
        <v>65</v>
      </c>
      <c r="C1976" t="s">
        <v>2850</v>
      </c>
      <c r="D1976" s="5" t="s">
        <v>57</v>
      </c>
      <c r="E1976">
        <v>2035</v>
      </c>
      <c r="F1976" s="6" t="str">
        <f t="shared" si="242"/>
        <v>*0.94</v>
      </c>
      <c r="H1976" t="s">
        <v>2850</v>
      </c>
      <c r="I1976" s="5" t="s">
        <v>57</v>
      </c>
      <c r="J1976">
        <v>2050</v>
      </c>
      <c r="K1976" s="38" t="str">
        <f t="shared" si="243"/>
        <v>*0.91</v>
      </c>
      <c r="P1976" s="32" t="s">
        <v>2850</v>
      </c>
      <c r="Q1976" s="42" t="s">
        <v>57</v>
      </c>
      <c r="R1976" s="32">
        <v>2035</v>
      </c>
      <c r="S1976" s="43" t="str">
        <f t="shared" si="244"/>
        <v>*0.93</v>
      </c>
      <c r="U1976" s="32" t="s">
        <v>2850</v>
      </c>
      <c r="V1976" s="42" t="s">
        <v>57</v>
      </c>
      <c r="W1976" s="32">
        <v>2050</v>
      </c>
      <c r="X1976" s="43" t="str">
        <f t="shared" si="245"/>
        <v>*0.9</v>
      </c>
      <c r="AC1976" s="33" t="s">
        <v>2850</v>
      </c>
      <c r="AD1976" s="44" t="s">
        <v>57</v>
      </c>
      <c r="AE1976" s="33">
        <v>2035</v>
      </c>
      <c r="AF1976" s="45" t="str">
        <f t="shared" si="246"/>
        <v>*0.9</v>
      </c>
      <c r="AG1976" s="43" t="str">
        <f t="shared" si="248"/>
        <v>REZoning_Sol-Win</v>
      </c>
      <c r="AI1976" s="33" t="s">
        <v>2850</v>
      </c>
      <c r="AJ1976" s="44" t="s">
        <v>57</v>
      </c>
      <c r="AK1976" s="33">
        <v>2050</v>
      </c>
      <c r="AL1976" s="45" t="str">
        <f t="shared" si="247"/>
        <v>*0.86</v>
      </c>
      <c r="AM1976" s="43" t="str">
        <f t="shared" si="249"/>
        <v>REZoning_Sol-Win</v>
      </c>
      <c r="AP1976" t="s">
        <v>2850</v>
      </c>
      <c r="AQ1976" t="s">
        <v>57</v>
      </c>
      <c r="AR1976">
        <v>2100</v>
      </c>
      <c r="AS1976" t="s">
        <v>883</v>
      </c>
      <c r="AT1976" t="s">
        <v>58</v>
      </c>
    </row>
    <row r="1977" ht="29" spans="1:46">
      <c r="A1977" s="31" t="s">
        <v>65</v>
      </c>
      <c r="C1977" t="s">
        <v>2851</v>
      </c>
      <c r="D1977" s="5" t="s">
        <v>57</v>
      </c>
      <c r="E1977">
        <v>2035</v>
      </c>
      <c r="F1977" s="6" t="str">
        <f t="shared" si="242"/>
        <v>*0.94</v>
      </c>
      <c r="H1977" t="s">
        <v>2851</v>
      </c>
      <c r="I1977" s="5" t="s">
        <v>57</v>
      </c>
      <c r="J1977">
        <v>2050</v>
      </c>
      <c r="K1977" s="38" t="str">
        <f t="shared" si="243"/>
        <v>*0.91</v>
      </c>
      <c r="P1977" s="32" t="s">
        <v>2851</v>
      </c>
      <c r="Q1977" s="42" t="s">
        <v>57</v>
      </c>
      <c r="R1977" s="32">
        <v>2035</v>
      </c>
      <c r="S1977" s="43" t="str">
        <f t="shared" si="244"/>
        <v>*0.93</v>
      </c>
      <c r="U1977" s="32" t="s">
        <v>2851</v>
      </c>
      <c r="V1977" s="42" t="s">
        <v>57</v>
      </c>
      <c r="W1977" s="32">
        <v>2050</v>
      </c>
      <c r="X1977" s="43" t="str">
        <f t="shared" si="245"/>
        <v>*0.9</v>
      </c>
      <c r="AC1977" s="33" t="s">
        <v>2851</v>
      </c>
      <c r="AD1977" s="44" t="s">
        <v>57</v>
      </c>
      <c r="AE1977" s="33">
        <v>2035</v>
      </c>
      <c r="AF1977" s="45" t="str">
        <f t="shared" si="246"/>
        <v>*0.9</v>
      </c>
      <c r="AG1977" s="43" t="str">
        <f t="shared" si="248"/>
        <v>REZoning_Sol-Win</v>
      </c>
      <c r="AI1977" s="33" t="s">
        <v>2851</v>
      </c>
      <c r="AJ1977" s="44" t="s">
        <v>57</v>
      </c>
      <c r="AK1977" s="33">
        <v>2050</v>
      </c>
      <c r="AL1977" s="45" t="str">
        <f t="shared" si="247"/>
        <v>*0.86</v>
      </c>
      <c r="AM1977" s="43" t="str">
        <f t="shared" si="249"/>
        <v>REZoning_Sol-Win</v>
      </c>
      <c r="AP1977" t="s">
        <v>2851</v>
      </c>
      <c r="AQ1977" t="s">
        <v>57</v>
      </c>
      <c r="AR1977">
        <v>2100</v>
      </c>
      <c r="AS1977" t="s">
        <v>883</v>
      </c>
      <c r="AT1977" t="s">
        <v>58</v>
      </c>
    </row>
    <row r="1978" ht="29" spans="1:46">
      <c r="A1978" s="31" t="s">
        <v>65</v>
      </c>
      <c r="C1978" t="s">
        <v>2852</v>
      </c>
      <c r="D1978" s="5" t="s">
        <v>57</v>
      </c>
      <c r="E1978">
        <v>2035</v>
      </c>
      <c r="F1978" s="6" t="str">
        <f t="shared" si="242"/>
        <v>*0.94</v>
      </c>
      <c r="H1978" t="s">
        <v>2852</v>
      </c>
      <c r="I1978" s="5" t="s">
        <v>57</v>
      </c>
      <c r="J1978">
        <v>2050</v>
      </c>
      <c r="K1978" s="38" t="str">
        <f t="shared" si="243"/>
        <v>*0.91</v>
      </c>
      <c r="P1978" s="32" t="s">
        <v>2852</v>
      </c>
      <c r="Q1978" s="42" t="s">
        <v>57</v>
      </c>
      <c r="R1978" s="32">
        <v>2035</v>
      </c>
      <c r="S1978" s="43" t="str">
        <f t="shared" si="244"/>
        <v>*0.93</v>
      </c>
      <c r="U1978" s="32" t="s">
        <v>2852</v>
      </c>
      <c r="V1978" s="42" t="s">
        <v>57</v>
      </c>
      <c r="W1978" s="32">
        <v>2050</v>
      </c>
      <c r="X1978" s="43" t="str">
        <f t="shared" si="245"/>
        <v>*0.9</v>
      </c>
      <c r="AC1978" s="33" t="s">
        <v>2852</v>
      </c>
      <c r="AD1978" s="44" t="s">
        <v>57</v>
      </c>
      <c r="AE1978" s="33">
        <v>2035</v>
      </c>
      <c r="AF1978" s="45" t="str">
        <f t="shared" si="246"/>
        <v>*0.9</v>
      </c>
      <c r="AG1978" s="43" t="str">
        <f t="shared" si="248"/>
        <v>REZoning_Sol-Win</v>
      </c>
      <c r="AI1978" s="33" t="s">
        <v>2852</v>
      </c>
      <c r="AJ1978" s="44" t="s">
        <v>57</v>
      </c>
      <c r="AK1978" s="33">
        <v>2050</v>
      </c>
      <c r="AL1978" s="45" t="str">
        <f t="shared" si="247"/>
        <v>*0.86</v>
      </c>
      <c r="AM1978" s="43" t="str">
        <f t="shared" si="249"/>
        <v>REZoning_Sol-Win</v>
      </c>
      <c r="AP1978" t="s">
        <v>2852</v>
      </c>
      <c r="AQ1978" t="s">
        <v>57</v>
      </c>
      <c r="AR1978">
        <v>2100</v>
      </c>
      <c r="AS1978" t="s">
        <v>883</v>
      </c>
      <c r="AT1978" t="s">
        <v>58</v>
      </c>
    </row>
    <row r="1979" ht="29" spans="1:46">
      <c r="A1979" s="31" t="s">
        <v>65</v>
      </c>
      <c r="C1979" t="s">
        <v>2853</v>
      </c>
      <c r="D1979" s="5" t="s">
        <v>57</v>
      </c>
      <c r="E1979">
        <v>2035</v>
      </c>
      <c r="F1979" s="6" t="str">
        <f t="shared" si="242"/>
        <v>*0.94</v>
      </c>
      <c r="H1979" t="s">
        <v>2853</v>
      </c>
      <c r="I1979" s="5" t="s">
        <v>57</v>
      </c>
      <c r="J1979">
        <v>2050</v>
      </c>
      <c r="K1979" s="38" t="str">
        <f t="shared" si="243"/>
        <v>*0.91</v>
      </c>
      <c r="P1979" s="32" t="s">
        <v>2853</v>
      </c>
      <c r="Q1979" s="42" t="s">
        <v>57</v>
      </c>
      <c r="R1979" s="32">
        <v>2035</v>
      </c>
      <c r="S1979" s="43" t="str">
        <f t="shared" si="244"/>
        <v>*0.93</v>
      </c>
      <c r="U1979" s="32" t="s">
        <v>2853</v>
      </c>
      <c r="V1979" s="42" t="s">
        <v>57</v>
      </c>
      <c r="W1979" s="32">
        <v>2050</v>
      </c>
      <c r="X1979" s="43" t="str">
        <f t="shared" si="245"/>
        <v>*0.9</v>
      </c>
      <c r="AC1979" s="33" t="s">
        <v>2853</v>
      </c>
      <c r="AD1979" s="44" t="s">
        <v>57</v>
      </c>
      <c r="AE1979" s="33">
        <v>2035</v>
      </c>
      <c r="AF1979" s="45" t="str">
        <f t="shared" si="246"/>
        <v>*0.9</v>
      </c>
      <c r="AG1979" s="43" t="str">
        <f t="shared" si="248"/>
        <v>REZoning_Sol-Win</v>
      </c>
      <c r="AI1979" s="33" t="s">
        <v>2853</v>
      </c>
      <c r="AJ1979" s="44" t="s">
        <v>57</v>
      </c>
      <c r="AK1979" s="33">
        <v>2050</v>
      </c>
      <c r="AL1979" s="45" t="str">
        <f t="shared" si="247"/>
        <v>*0.86</v>
      </c>
      <c r="AM1979" s="43" t="str">
        <f t="shared" si="249"/>
        <v>REZoning_Sol-Win</v>
      </c>
      <c r="AP1979" t="s">
        <v>2853</v>
      </c>
      <c r="AQ1979" t="s">
        <v>57</v>
      </c>
      <c r="AR1979">
        <v>2100</v>
      </c>
      <c r="AS1979" t="s">
        <v>883</v>
      </c>
      <c r="AT1979" t="s">
        <v>58</v>
      </c>
    </row>
    <row r="1980" ht="29" spans="1:46">
      <c r="A1980" s="31" t="s">
        <v>65</v>
      </c>
      <c r="C1980" t="s">
        <v>2854</v>
      </c>
      <c r="D1980" s="5" t="s">
        <v>57</v>
      </c>
      <c r="E1980">
        <v>2035</v>
      </c>
      <c r="F1980" s="6" t="str">
        <f t="shared" si="242"/>
        <v>*0.94</v>
      </c>
      <c r="H1980" t="s">
        <v>2854</v>
      </c>
      <c r="I1980" s="5" t="s">
        <v>57</v>
      </c>
      <c r="J1980">
        <v>2050</v>
      </c>
      <c r="K1980" s="38" t="str">
        <f t="shared" si="243"/>
        <v>*0.91</v>
      </c>
      <c r="P1980" s="32" t="s">
        <v>2854</v>
      </c>
      <c r="Q1980" s="42" t="s">
        <v>57</v>
      </c>
      <c r="R1980" s="32">
        <v>2035</v>
      </c>
      <c r="S1980" s="43" t="str">
        <f t="shared" si="244"/>
        <v>*0.93</v>
      </c>
      <c r="U1980" s="32" t="s">
        <v>2854</v>
      </c>
      <c r="V1980" s="42" t="s">
        <v>57</v>
      </c>
      <c r="W1980" s="32">
        <v>2050</v>
      </c>
      <c r="X1980" s="43" t="str">
        <f t="shared" si="245"/>
        <v>*0.9</v>
      </c>
      <c r="AC1980" s="33" t="s">
        <v>2854</v>
      </c>
      <c r="AD1980" s="44" t="s">
        <v>57</v>
      </c>
      <c r="AE1980" s="33">
        <v>2035</v>
      </c>
      <c r="AF1980" s="45" t="str">
        <f t="shared" si="246"/>
        <v>*0.9</v>
      </c>
      <c r="AG1980" s="43" t="str">
        <f t="shared" si="248"/>
        <v>REZoning_Sol-Win</v>
      </c>
      <c r="AI1980" s="33" t="s">
        <v>2854</v>
      </c>
      <c r="AJ1980" s="44" t="s">
        <v>57</v>
      </c>
      <c r="AK1980" s="33">
        <v>2050</v>
      </c>
      <c r="AL1980" s="45" t="str">
        <f t="shared" si="247"/>
        <v>*0.86</v>
      </c>
      <c r="AM1980" s="43" t="str">
        <f t="shared" si="249"/>
        <v>REZoning_Sol-Win</v>
      </c>
      <c r="AP1980" t="s">
        <v>2854</v>
      </c>
      <c r="AQ1980" t="s">
        <v>57</v>
      </c>
      <c r="AR1980">
        <v>2100</v>
      </c>
      <c r="AS1980" t="s">
        <v>883</v>
      </c>
      <c r="AT1980" t="s">
        <v>58</v>
      </c>
    </row>
    <row r="1981" ht="29" spans="1:46">
      <c r="A1981" s="31" t="s">
        <v>65</v>
      </c>
      <c r="C1981" t="s">
        <v>2855</v>
      </c>
      <c r="D1981" s="5" t="s">
        <v>57</v>
      </c>
      <c r="E1981">
        <v>2035</v>
      </c>
      <c r="F1981" s="6" t="str">
        <f t="shared" si="242"/>
        <v>*0.94</v>
      </c>
      <c r="H1981" t="s">
        <v>2855</v>
      </c>
      <c r="I1981" s="5" t="s">
        <v>57</v>
      </c>
      <c r="J1981">
        <v>2050</v>
      </c>
      <c r="K1981" s="38" t="str">
        <f t="shared" si="243"/>
        <v>*0.91</v>
      </c>
      <c r="P1981" s="32" t="s">
        <v>2855</v>
      </c>
      <c r="Q1981" s="42" t="s">
        <v>57</v>
      </c>
      <c r="R1981" s="32">
        <v>2035</v>
      </c>
      <c r="S1981" s="43" t="str">
        <f t="shared" si="244"/>
        <v>*0.93</v>
      </c>
      <c r="U1981" s="32" t="s">
        <v>2855</v>
      </c>
      <c r="V1981" s="42" t="s">
        <v>57</v>
      </c>
      <c r="W1981" s="32">
        <v>2050</v>
      </c>
      <c r="X1981" s="43" t="str">
        <f t="shared" si="245"/>
        <v>*0.9</v>
      </c>
      <c r="AC1981" s="33" t="s">
        <v>2855</v>
      </c>
      <c r="AD1981" s="44" t="s">
        <v>57</v>
      </c>
      <c r="AE1981" s="33">
        <v>2035</v>
      </c>
      <c r="AF1981" s="45" t="str">
        <f t="shared" si="246"/>
        <v>*0.9</v>
      </c>
      <c r="AG1981" s="43" t="str">
        <f t="shared" si="248"/>
        <v>REZoning_Sol-Win</v>
      </c>
      <c r="AI1981" s="33" t="s">
        <v>2855</v>
      </c>
      <c r="AJ1981" s="44" t="s">
        <v>57</v>
      </c>
      <c r="AK1981" s="33">
        <v>2050</v>
      </c>
      <c r="AL1981" s="45" t="str">
        <f t="shared" si="247"/>
        <v>*0.86</v>
      </c>
      <c r="AM1981" s="43" t="str">
        <f t="shared" si="249"/>
        <v>REZoning_Sol-Win</v>
      </c>
      <c r="AP1981" t="s">
        <v>2855</v>
      </c>
      <c r="AQ1981" t="s">
        <v>57</v>
      </c>
      <c r="AR1981">
        <v>2100</v>
      </c>
      <c r="AS1981" t="s">
        <v>883</v>
      </c>
      <c r="AT1981" t="s">
        <v>58</v>
      </c>
    </row>
    <row r="1982" ht="29" spans="1:46">
      <c r="A1982" s="31" t="s">
        <v>65</v>
      </c>
      <c r="C1982" t="s">
        <v>2856</v>
      </c>
      <c r="D1982" s="5" t="s">
        <v>57</v>
      </c>
      <c r="E1982">
        <v>2035</v>
      </c>
      <c r="F1982" s="6" t="str">
        <f t="shared" si="242"/>
        <v>*0.94</v>
      </c>
      <c r="H1982" t="s">
        <v>2856</v>
      </c>
      <c r="I1982" s="5" t="s">
        <v>57</v>
      </c>
      <c r="J1982">
        <v>2050</v>
      </c>
      <c r="K1982" s="38" t="str">
        <f t="shared" si="243"/>
        <v>*0.91</v>
      </c>
      <c r="P1982" s="32" t="s">
        <v>2856</v>
      </c>
      <c r="Q1982" s="42" t="s">
        <v>57</v>
      </c>
      <c r="R1982" s="32">
        <v>2035</v>
      </c>
      <c r="S1982" s="43" t="str">
        <f t="shared" si="244"/>
        <v>*0.93</v>
      </c>
      <c r="U1982" s="32" t="s">
        <v>2856</v>
      </c>
      <c r="V1982" s="42" t="s">
        <v>57</v>
      </c>
      <c r="W1982" s="32">
        <v>2050</v>
      </c>
      <c r="X1982" s="43" t="str">
        <f t="shared" si="245"/>
        <v>*0.9</v>
      </c>
      <c r="AC1982" s="33" t="s">
        <v>2856</v>
      </c>
      <c r="AD1982" s="44" t="s">
        <v>57</v>
      </c>
      <c r="AE1982" s="33">
        <v>2035</v>
      </c>
      <c r="AF1982" s="45" t="str">
        <f t="shared" si="246"/>
        <v>*0.9</v>
      </c>
      <c r="AG1982" s="43" t="str">
        <f t="shared" si="248"/>
        <v>REZoning_Sol-Win</v>
      </c>
      <c r="AI1982" s="33" t="s">
        <v>2856</v>
      </c>
      <c r="AJ1982" s="44" t="s">
        <v>57</v>
      </c>
      <c r="AK1982" s="33">
        <v>2050</v>
      </c>
      <c r="AL1982" s="45" t="str">
        <f t="shared" si="247"/>
        <v>*0.86</v>
      </c>
      <c r="AM1982" s="43" t="str">
        <f t="shared" si="249"/>
        <v>REZoning_Sol-Win</v>
      </c>
      <c r="AP1982" t="s">
        <v>2856</v>
      </c>
      <c r="AQ1982" t="s">
        <v>57</v>
      </c>
      <c r="AR1982">
        <v>2100</v>
      </c>
      <c r="AS1982" t="s">
        <v>883</v>
      </c>
      <c r="AT1982" t="s">
        <v>58</v>
      </c>
    </row>
    <row r="1983" ht="29" spans="1:46">
      <c r="A1983" s="31" t="s">
        <v>65</v>
      </c>
      <c r="C1983" t="s">
        <v>2857</v>
      </c>
      <c r="D1983" s="5" t="s">
        <v>57</v>
      </c>
      <c r="E1983">
        <v>2035</v>
      </c>
      <c r="F1983" s="6" t="str">
        <f t="shared" si="242"/>
        <v>*0.94</v>
      </c>
      <c r="H1983" t="s">
        <v>2857</v>
      </c>
      <c r="I1983" s="5" t="s">
        <v>57</v>
      </c>
      <c r="J1983">
        <v>2050</v>
      </c>
      <c r="K1983" s="38" t="str">
        <f t="shared" si="243"/>
        <v>*0.91</v>
      </c>
      <c r="P1983" s="32" t="s">
        <v>2857</v>
      </c>
      <c r="Q1983" s="42" t="s">
        <v>57</v>
      </c>
      <c r="R1983" s="32">
        <v>2035</v>
      </c>
      <c r="S1983" s="43" t="str">
        <f t="shared" si="244"/>
        <v>*0.93</v>
      </c>
      <c r="U1983" s="32" t="s">
        <v>2857</v>
      </c>
      <c r="V1983" s="42" t="s">
        <v>57</v>
      </c>
      <c r="W1983" s="32">
        <v>2050</v>
      </c>
      <c r="X1983" s="43" t="str">
        <f t="shared" si="245"/>
        <v>*0.9</v>
      </c>
      <c r="AC1983" s="33" t="s">
        <v>2857</v>
      </c>
      <c r="AD1983" s="44" t="s">
        <v>57</v>
      </c>
      <c r="AE1983" s="33">
        <v>2035</v>
      </c>
      <c r="AF1983" s="45" t="str">
        <f t="shared" si="246"/>
        <v>*0.9</v>
      </c>
      <c r="AG1983" s="43" t="str">
        <f t="shared" si="248"/>
        <v>REZoning_Sol-Win</v>
      </c>
      <c r="AI1983" s="33" t="s">
        <v>2857</v>
      </c>
      <c r="AJ1983" s="44" t="s">
        <v>57</v>
      </c>
      <c r="AK1983" s="33">
        <v>2050</v>
      </c>
      <c r="AL1983" s="45" t="str">
        <f t="shared" si="247"/>
        <v>*0.86</v>
      </c>
      <c r="AM1983" s="43" t="str">
        <f t="shared" si="249"/>
        <v>REZoning_Sol-Win</v>
      </c>
      <c r="AP1983" t="s">
        <v>2857</v>
      </c>
      <c r="AQ1983" t="s">
        <v>57</v>
      </c>
      <c r="AR1983">
        <v>2100</v>
      </c>
      <c r="AS1983" t="s">
        <v>883</v>
      </c>
      <c r="AT1983" t="s">
        <v>58</v>
      </c>
    </row>
    <row r="1984" ht="29" spans="1:46">
      <c r="A1984" s="31" t="s">
        <v>65</v>
      </c>
      <c r="C1984" t="s">
        <v>2858</v>
      </c>
      <c r="D1984" s="5" t="s">
        <v>57</v>
      </c>
      <c r="E1984">
        <v>2035</v>
      </c>
      <c r="F1984" s="6" t="str">
        <f t="shared" si="242"/>
        <v>*0.94</v>
      </c>
      <c r="H1984" t="s">
        <v>2858</v>
      </c>
      <c r="I1984" s="5" t="s">
        <v>57</v>
      </c>
      <c r="J1984">
        <v>2050</v>
      </c>
      <c r="K1984" s="38" t="str">
        <f t="shared" si="243"/>
        <v>*0.91</v>
      </c>
      <c r="P1984" s="32" t="s">
        <v>2858</v>
      </c>
      <c r="Q1984" s="42" t="s">
        <v>57</v>
      </c>
      <c r="R1984" s="32">
        <v>2035</v>
      </c>
      <c r="S1984" s="43" t="str">
        <f t="shared" si="244"/>
        <v>*0.93</v>
      </c>
      <c r="U1984" s="32" t="s">
        <v>2858</v>
      </c>
      <c r="V1984" s="42" t="s">
        <v>57</v>
      </c>
      <c r="W1984" s="32">
        <v>2050</v>
      </c>
      <c r="X1984" s="43" t="str">
        <f t="shared" si="245"/>
        <v>*0.9</v>
      </c>
      <c r="AC1984" s="33" t="s">
        <v>2858</v>
      </c>
      <c r="AD1984" s="44" t="s">
        <v>57</v>
      </c>
      <c r="AE1984" s="33">
        <v>2035</v>
      </c>
      <c r="AF1984" s="45" t="str">
        <f t="shared" si="246"/>
        <v>*0.9</v>
      </c>
      <c r="AG1984" s="43" t="str">
        <f t="shared" si="248"/>
        <v>REZoning_Sol-Win</v>
      </c>
      <c r="AI1984" s="33" t="s">
        <v>2858</v>
      </c>
      <c r="AJ1984" s="44" t="s">
        <v>57</v>
      </c>
      <c r="AK1984" s="33">
        <v>2050</v>
      </c>
      <c r="AL1984" s="45" t="str">
        <f t="shared" si="247"/>
        <v>*0.86</v>
      </c>
      <c r="AM1984" s="43" t="str">
        <f t="shared" si="249"/>
        <v>REZoning_Sol-Win</v>
      </c>
      <c r="AP1984" t="s">
        <v>2858</v>
      </c>
      <c r="AQ1984" t="s">
        <v>57</v>
      </c>
      <c r="AR1984">
        <v>2100</v>
      </c>
      <c r="AS1984" t="s">
        <v>883</v>
      </c>
      <c r="AT1984" t="s">
        <v>58</v>
      </c>
    </row>
    <row r="1985" ht="29" spans="1:46">
      <c r="A1985" s="31" t="s">
        <v>65</v>
      </c>
      <c r="C1985" t="s">
        <v>2859</v>
      </c>
      <c r="D1985" s="5" t="s">
        <v>57</v>
      </c>
      <c r="E1985">
        <v>2035</v>
      </c>
      <c r="F1985" s="6" t="str">
        <f t="shared" si="242"/>
        <v>*0.94</v>
      </c>
      <c r="H1985" t="s">
        <v>2859</v>
      </c>
      <c r="I1985" s="5" t="s">
        <v>57</v>
      </c>
      <c r="J1985">
        <v>2050</v>
      </c>
      <c r="K1985" s="38" t="str">
        <f t="shared" si="243"/>
        <v>*0.91</v>
      </c>
      <c r="P1985" s="32" t="s">
        <v>2859</v>
      </c>
      <c r="Q1985" s="42" t="s">
        <v>57</v>
      </c>
      <c r="R1985" s="32">
        <v>2035</v>
      </c>
      <c r="S1985" s="43" t="str">
        <f t="shared" si="244"/>
        <v>*0.93</v>
      </c>
      <c r="U1985" s="32" t="s">
        <v>2859</v>
      </c>
      <c r="V1985" s="42" t="s">
        <v>57</v>
      </c>
      <c r="W1985" s="32">
        <v>2050</v>
      </c>
      <c r="X1985" s="43" t="str">
        <f t="shared" si="245"/>
        <v>*0.9</v>
      </c>
      <c r="AC1985" s="33" t="s">
        <v>2859</v>
      </c>
      <c r="AD1985" s="44" t="s">
        <v>57</v>
      </c>
      <c r="AE1985" s="33">
        <v>2035</v>
      </c>
      <c r="AF1985" s="45" t="str">
        <f t="shared" si="246"/>
        <v>*0.9</v>
      </c>
      <c r="AG1985" s="43" t="str">
        <f t="shared" si="248"/>
        <v>REZoning_Sol-Win</v>
      </c>
      <c r="AI1985" s="33" t="s">
        <v>2859</v>
      </c>
      <c r="AJ1985" s="44" t="s">
        <v>57</v>
      </c>
      <c r="AK1985" s="33">
        <v>2050</v>
      </c>
      <c r="AL1985" s="45" t="str">
        <f t="shared" si="247"/>
        <v>*0.86</v>
      </c>
      <c r="AM1985" s="43" t="str">
        <f t="shared" si="249"/>
        <v>REZoning_Sol-Win</v>
      </c>
      <c r="AP1985" t="s">
        <v>2859</v>
      </c>
      <c r="AQ1985" t="s">
        <v>57</v>
      </c>
      <c r="AR1985">
        <v>2100</v>
      </c>
      <c r="AS1985" t="s">
        <v>883</v>
      </c>
      <c r="AT1985" t="s">
        <v>58</v>
      </c>
    </row>
    <row r="1986" ht="29" spans="1:46">
      <c r="A1986" s="31" t="s">
        <v>65</v>
      </c>
      <c r="C1986" t="s">
        <v>2860</v>
      </c>
      <c r="D1986" s="5" t="s">
        <v>57</v>
      </c>
      <c r="E1986">
        <v>2035</v>
      </c>
      <c r="F1986" s="6" t="str">
        <f t="shared" si="242"/>
        <v>*0.94</v>
      </c>
      <c r="H1986" t="s">
        <v>2860</v>
      </c>
      <c r="I1986" s="5" t="s">
        <v>57</v>
      </c>
      <c r="J1986">
        <v>2050</v>
      </c>
      <c r="K1986" s="38" t="str">
        <f t="shared" si="243"/>
        <v>*0.91</v>
      </c>
      <c r="P1986" s="32" t="s">
        <v>2860</v>
      </c>
      <c r="Q1986" s="42" t="s">
        <v>57</v>
      </c>
      <c r="R1986" s="32">
        <v>2035</v>
      </c>
      <c r="S1986" s="43" t="str">
        <f t="shared" si="244"/>
        <v>*0.93</v>
      </c>
      <c r="U1986" s="32" t="s">
        <v>2860</v>
      </c>
      <c r="V1986" s="42" t="s">
        <v>57</v>
      </c>
      <c r="W1986" s="32">
        <v>2050</v>
      </c>
      <c r="X1986" s="43" t="str">
        <f t="shared" si="245"/>
        <v>*0.9</v>
      </c>
      <c r="AC1986" s="33" t="s">
        <v>2860</v>
      </c>
      <c r="AD1986" s="44" t="s">
        <v>57</v>
      </c>
      <c r="AE1986" s="33">
        <v>2035</v>
      </c>
      <c r="AF1986" s="45" t="str">
        <f t="shared" si="246"/>
        <v>*0.9</v>
      </c>
      <c r="AG1986" s="43" t="str">
        <f t="shared" si="248"/>
        <v>REZoning_Sol-Win</v>
      </c>
      <c r="AI1986" s="33" t="s">
        <v>2860</v>
      </c>
      <c r="AJ1986" s="44" t="s">
        <v>57</v>
      </c>
      <c r="AK1986" s="33">
        <v>2050</v>
      </c>
      <c r="AL1986" s="45" t="str">
        <f t="shared" si="247"/>
        <v>*0.86</v>
      </c>
      <c r="AM1986" s="43" t="str">
        <f t="shared" si="249"/>
        <v>REZoning_Sol-Win</v>
      </c>
      <c r="AP1986" t="s">
        <v>2860</v>
      </c>
      <c r="AQ1986" t="s">
        <v>57</v>
      </c>
      <c r="AR1986">
        <v>2100</v>
      </c>
      <c r="AS1986" t="s">
        <v>883</v>
      </c>
      <c r="AT1986" t="s">
        <v>58</v>
      </c>
    </row>
    <row r="1987" ht="29" spans="1:46">
      <c r="A1987" s="31" t="s">
        <v>65</v>
      </c>
      <c r="C1987" t="s">
        <v>2861</v>
      </c>
      <c r="D1987" s="5" t="s">
        <v>57</v>
      </c>
      <c r="E1987">
        <v>2035</v>
      </c>
      <c r="F1987" s="6" t="str">
        <f t="shared" si="242"/>
        <v>*0.94</v>
      </c>
      <c r="H1987" t="s">
        <v>2861</v>
      </c>
      <c r="I1987" s="5" t="s">
        <v>57</v>
      </c>
      <c r="J1987">
        <v>2050</v>
      </c>
      <c r="K1987" s="38" t="str">
        <f t="shared" si="243"/>
        <v>*0.91</v>
      </c>
      <c r="P1987" s="32" t="s">
        <v>2861</v>
      </c>
      <c r="Q1987" s="42" t="s">
        <v>57</v>
      </c>
      <c r="R1987" s="32">
        <v>2035</v>
      </c>
      <c r="S1987" s="43" t="str">
        <f t="shared" si="244"/>
        <v>*0.93</v>
      </c>
      <c r="U1987" s="32" t="s">
        <v>2861</v>
      </c>
      <c r="V1987" s="42" t="s">
        <v>57</v>
      </c>
      <c r="W1987" s="32">
        <v>2050</v>
      </c>
      <c r="X1987" s="43" t="str">
        <f t="shared" si="245"/>
        <v>*0.9</v>
      </c>
      <c r="AC1987" s="33" t="s">
        <v>2861</v>
      </c>
      <c r="AD1987" s="44" t="s">
        <v>57</v>
      </c>
      <c r="AE1987" s="33">
        <v>2035</v>
      </c>
      <c r="AF1987" s="45" t="str">
        <f t="shared" si="246"/>
        <v>*0.9</v>
      </c>
      <c r="AG1987" s="43" t="str">
        <f t="shared" si="248"/>
        <v>REZoning_Sol-Win</v>
      </c>
      <c r="AI1987" s="33" t="s">
        <v>2861</v>
      </c>
      <c r="AJ1987" s="44" t="s">
        <v>57</v>
      </c>
      <c r="AK1987" s="33">
        <v>2050</v>
      </c>
      <c r="AL1987" s="45" t="str">
        <f t="shared" si="247"/>
        <v>*0.86</v>
      </c>
      <c r="AM1987" s="43" t="str">
        <f t="shared" si="249"/>
        <v>REZoning_Sol-Win</v>
      </c>
      <c r="AP1987" t="s">
        <v>2861</v>
      </c>
      <c r="AQ1987" t="s">
        <v>57</v>
      </c>
      <c r="AR1987">
        <v>2100</v>
      </c>
      <c r="AS1987" t="s">
        <v>883</v>
      </c>
      <c r="AT1987" t="s">
        <v>58</v>
      </c>
    </row>
    <row r="1988" ht="29" spans="1:46">
      <c r="A1988" s="31" t="s">
        <v>65</v>
      </c>
      <c r="C1988" t="s">
        <v>2862</v>
      </c>
      <c r="D1988" s="5" t="s">
        <v>57</v>
      </c>
      <c r="E1988">
        <v>2035</v>
      </c>
      <c r="F1988" s="6" t="str">
        <f t="shared" ref="F1988:F2051" si="250">"*"&amp;IF(AND(A1988="EU",E1988=2035),0.95,IF(AND(A1988="EU",E1988=2050),0.93,IF(AND(A1988="USA",E1988=2035),0.96,IF(AND(A1988="USA",E1988=2050),0.94,IF(AND(A1988="Japan",E1988=2035),0.94,IF(AND(A1988="Japan",E1988=2050),0.92,IF(AND(A1988="Russia",E1988=2035),0.95,IF(AND(A1988="Russia",E1988=2050),0.93,IF(AND(A1988="China",E1988=2035),0.94,IF(AND(A1988="China",E1988=2050),0.92,IF(AND(A1988="India",E1988=2035),0.95,IF(AND(A1988="India",E1988=2050),0.92,IF(AND(A1988="Middle East",E1988=2035),0.94,IF(AND(A1988="Middle East",E1988=2050),0.9,IF(AND(A1988="Africa",E1988=2035),0.94,IF(AND(A1988="Africa",E1988=2050),0.91,IF(AND(A1988="Brazil",E1988=2035),0.95,IF(AND(A1988="Brazil",E1988=2050),0.92,""))))))))))))))))))</f>
        <v>*0.94</v>
      </c>
      <c r="H1988" t="s">
        <v>2862</v>
      </c>
      <c r="I1988" s="5" t="s">
        <v>57</v>
      </c>
      <c r="J1988">
        <v>2050</v>
      </c>
      <c r="K1988" s="38" t="str">
        <f t="shared" ref="K1988:K2051" si="251">"*"&amp;IF(AND(A1988="EU",J1988=2035),0.95,IF(AND(A1988="EU",J1988=2050),0.93,IF(AND(A1988="USA",J1988=2035),0.96,IF(AND(A1988="USA",J1988=2050),0.94,IF(AND(A1988="Japan",J1988=2035),0.94,IF(AND(A1988="Japan",J1988=2050),0.92,IF(AND(A1988="Russia",J1988=2035),0.95,IF(AND(A1988="Russia",J1988=2050),0.93,IF(AND(A1988="China",J1988=2035),0.94,IF(AND(A1988="China",J1988=2050),0.92,IF(AND(A1988="India",J1988=2035),0.95,IF(AND(A1988="India",J1988=2050),0.92,IF(AND(A1988="Middle East",J1988=2035),0.94,IF(AND(A1988="Middle East",J1988=2050),0.9,IF(AND(A1988="Africa",J1988=2035),0.94,IF(AND(A1988="Africa",J1988=2050),0.91,IF(AND(A1988="Brazil",J1988=2035),0.95,IF(AND(A1988="Brazil",J1988=2050),0.92,""))))))))))))))))))</f>
        <v>*0.91</v>
      </c>
      <c r="P1988" s="32" t="s">
        <v>2862</v>
      </c>
      <c r="Q1988" s="42" t="s">
        <v>57</v>
      </c>
      <c r="R1988" s="32">
        <v>2035</v>
      </c>
      <c r="S1988" s="43" t="str">
        <f t="shared" ref="S1988:S2051" si="252">"*"&amp;IF(AND(A1988="EU",R1988=2035),0.95,IF(AND(A1988="EU",R1988=2050),0.93,IF(AND(A1988="USA",R1988=2035),0.96,IF(AND(A1988="USA",R1988=2050),0.93,IF(AND(A1988="Japan",R1988=2035),0.94,IF(AND(A1988="Japan",R1988=2050),0.92,IF(AND(A1988="Russia",R1988=2035),0.95,IF(AND(A1988="Russia",R1988=2050),0.91,IF(AND(A1988="China",R1988=2035),0.93,IF(AND(A1988="China",R1988=2050),0.92,IF(AND(A1988="India",R1988=2035),0.94,IF(AND(A1988="India",R1988=2050),0.91,IF(AND(A1988="Middle East",R1988=2035),0.92,IF(AND(A1988="Middle East",R1988=2050),0.89,IF(AND(A1988="Africa",R1988=2035),0.93,IF(AND(A1988="Africa",R1988=2050),0.9,IF(AND(A1988="Brazil",R1988=2035),0.95,IF(AND(A1988="Brazil",R1988=2050),0.92,""))))))))))))))))))</f>
        <v>*0.93</v>
      </c>
      <c r="U1988" s="32" t="s">
        <v>2862</v>
      </c>
      <c r="V1988" s="42" t="s">
        <v>57</v>
      </c>
      <c r="W1988" s="32">
        <v>2050</v>
      </c>
      <c r="X1988" s="43" t="str">
        <f t="shared" ref="X1988:X2051" si="253">"*"&amp;IF(AND(A1988="EU",W1988=2035),0.95,IF(AND(A1988="EU",W1988=2050),0.93,IF(AND(A1988="USA",W1988=2035),0.96,IF(AND(A1988="USA",W1988=2050),0.93,IF(AND(A1988="Japan",W1988=2035),0.94,IF(AND(A1988="Japan",W1988=2050),0.92,IF(AND(A1988="Russia",W1988=2035),0.95,IF(AND(A1988="Russia",W1988=2050),0.91,IF(AND(A1988="China",W1988=2035),0.93,IF(AND(A1988="China",W1988=2050),0.92,IF(AND(A1988="India",W1988=2035),0.94,IF(AND(A1988="India",W1988=2050),0.91,IF(AND(A1988="Middle East",W1988=2035),0.92,IF(AND(A1988="Middle East",W1988=2050),0.89,IF(AND(A1988="Africa",W1988=2035),0.93,IF(AND(A1988="Africa",W1988=2050),0.9,IF(AND(A1988="Brazil",W1988=2035),0.95,IF(AND(A1988="Brazil",W1988=2050),0.92,""))))))))))))))))))</f>
        <v>*0.9</v>
      </c>
      <c r="AC1988" s="33" t="s">
        <v>2862</v>
      </c>
      <c r="AD1988" s="44" t="s">
        <v>57</v>
      </c>
      <c r="AE1988" s="33">
        <v>2035</v>
      </c>
      <c r="AF1988" s="45" t="str">
        <f t="shared" ref="AF1988:AF2051" si="254">"*"&amp;IF(AND(A1988="EU",AE1988=2035),0.93,IF(AND(A1988="EU",AE1988=2050),0.9,IF(AND(A1988="USA",AE1988=2035),0.92,IF(AND(A1988="USA",AE1988=2050),0.89,IF(AND(A1988="Japan",AE1988=2035),0.92,IF(AND(A1988="Japan",AE1988=2050),0.89,IF(AND(A1988="Russia",AE1988=2035),0.91,IF(AND(A1988="Russia",AE1988=2050),0.86,IF(AND(A1988="China",AE1988=2035),0.91,IF(AND(A1988="China",AE1988=2050),0.87,IF(AND(A1988="India",AE1988=2035),0.92,IF(AND(A1988="India",AE1988=2050),0.87,IF(AND(A1988="Middle East",AE1988=2035),0.89,IF(AND(A1988="Middle East",AE1988=2050),0.84,IF(AND(A1988="Africa",AE1988=2035),0.9,IF(AND(A1988="Africa",AE1988=2050),0.86,IF(AND(A1988="Brazil",AE1988=2035),0.93,IF(AND(A1988="Brazil",AE1988=2050),0.89,""))))))))))))))))))</f>
        <v>*0.9</v>
      </c>
      <c r="AG1988" s="43" t="str">
        <f t="shared" si="248"/>
        <v>REZoning_Sol-Win</v>
      </c>
      <c r="AI1988" s="33" t="s">
        <v>2862</v>
      </c>
      <c r="AJ1988" s="44" t="s">
        <v>57</v>
      </c>
      <c r="AK1988" s="33">
        <v>2050</v>
      </c>
      <c r="AL1988" s="45" t="str">
        <f t="shared" ref="AL1988:AL2051" si="255">"*"&amp;IF(AND(A1988="EU",AK1988=2035),0.93,IF(AND(A1988="EU",AK1988=2050),0.9,IF(AND(A1988="USA",AK1988=2035),0.92,IF(AND(A1988="USA",AK1988=2050),0.89,IF(AND(A1988="Japan",AK1988=2035),0.92,IF(AND(A1988="Japan",AK1988=2050),0.89,IF(AND(A1988="Russia",AK1988=2035),0.91,IF(AND(A1988="Russia",AK1988=2050),0.86,IF(AND(A1988="China",AK1988=2035),0.91,IF(AND(A1988="China",AK1988=2050),0.87,IF(AND(A1988="India",AK1988=2035),0.92,IF(AND(A1988="India",AK1988=2050),0.87,IF(AND(A1988="Middle East",AK1988=2035),0.89,IF(AND(A1988="Middle East",AK1988=2050),0.84,IF(AND(A1988="Africa",AK1988=2035),0.9,IF(AND(A1988="Africa",AK1988=2050),0.86,IF(AND(A1988="Brazil",AK1988=2035),0.93,IF(AND(A1988="Brazil",AK1988=2050),0.89,""))))))))))))))))))</f>
        <v>*0.86</v>
      </c>
      <c r="AM1988" s="43" t="str">
        <f t="shared" si="249"/>
        <v>REZoning_Sol-Win</v>
      </c>
      <c r="AP1988" t="s">
        <v>2862</v>
      </c>
      <c r="AQ1988" t="s">
        <v>57</v>
      </c>
      <c r="AR1988">
        <v>2100</v>
      </c>
      <c r="AS1988" t="s">
        <v>883</v>
      </c>
      <c r="AT1988" t="s">
        <v>58</v>
      </c>
    </row>
    <row r="1989" ht="29" spans="1:46">
      <c r="A1989" s="31" t="s">
        <v>83</v>
      </c>
      <c r="C1989" t="s">
        <v>2863</v>
      </c>
      <c r="D1989" s="5" t="s">
        <v>57</v>
      </c>
      <c r="E1989">
        <v>2035</v>
      </c>
      <c r="F1989" s="6" t="str">
        <f t="shared" si="250"/>
        <v>*0.95</v>
      </c>
      <c r="H1989" t="s">
        <v>2863</v>
      </c>
      <c r="I1989" s="5" t="s">
        <v>57</v>
      </c>
      <c r="J1989">
        <v>2050</v>
      </c>
      <c r="K1989" s="38" t="str">
        <f t="shared" si="251"/>
        <v>*0.92</v>
      </c>
      <c r="P1989" s="32" t="s">
        <v>2863</v>
      </c>
      <c r="Q1989" s="42" t="s">
        <v>57</v>
      </c>
      <c r="R1989" s="32">
        <v>2035</v>
      </c>
      <c r="S1989" s="43" t="str">
        <f t="shared" si="252"/>
        <v>*0.95</v>
      </c>
      <c r="U1989" s="32" t="s">
        <v>2863</v>
      </c>
      <c r="V1989" s="42" t="s">
        <v>57</v>
      </c>
      <c r="W1989" s="32">
        <v>2050</v>
      </c>
      <c r="X1989" s="43" t="str">
        <f t="shared" si="253"/>
        <v>*0.92</v>
      </c>
      <c r="AC1989" s="33" t="s">
        <v>2863</v>
      </c>
      <c r="AD1989" s="44" t="s">
        <v>57</v>
      </c>
      <c r="AE1989" s="33">
        <v>2035</v>
      </c>
      <c r="AF1989" s="45" t="str">
        <f t="shared" si="254"/>
        <v>*0.93</v>
      </c>
      <c r="AG1989" s="43" t="str">
        <f t="shared" si="248"/>
        <v>REZoning_Sol-Win</v>
      </c>
      <c r="AI1989" s="33" t="s">
        <v>2863</v>
      </c>
      <c r="AJ1989" s="44" t="s">
        <v>57</v>
      </c>
      <c r="AK1989" s="33">
        <v>2050</v>
      </c>
      <c r="AL1989" s="45" t="str">
        <f t="shared" si="255"/>
        <v>*0.89</v>
      </c>
      <c r="AM1989" s="43" t="str">
        <f t="shared" si="249"/>
        <v>REZoning_Sol-Win</v>
      </c>
      <c r="AP1989" t="s">
        <v>2863</v>
      </c>
      <c r="AQ1989" t="s">
        <v>57</v>
      </c>
      <c r="AR1989">
        <v>2100</v>
      </c>
      <c r="AS1989" t="s">
        <v>937</v>
      </c>
      <c r="AT1989" t="s">
        <v>58</v>
      </c>
    </row>
    <row r="1990" ht="29" spans="1:46">
      <c r="A1990" s="31" t="s">
        <v>73</v>
      </c>
      <c r="C1990" t="s">
        <v>2864</v>
      </c>
      <c r="D1990" s="5" t="s">
        <v>57</v>
      </c>
      <c r="E1990">
        <v>2035</v>
      </c>
      <c r="F1990" s="6" t="str">
        <f t="shared" si="250"/>
        <v>*0.95</v>
      </c>
      <c r="H1990" t="s">
        <v>2864</v>
      </c>
      <c r="I1990" s="5" t="s">
        <v>57</v>
      </c>
      <c r="J1990">
        <v>2050</v>
      </c>
      <c r="K1990" s="38" t="str">
        <f t="shared" si="251"/>
        <v>*0.93</v>
      </c>
      <c r="P1990" s="32" t="s">
        <v>2864</v>
      </c>
      <c r="Q1990" s="42" t="s">
        <v>57</v>
      </c>
      <c r="R1990" s="32">
        <v>2035</v>
      </c>
      <c r="S1990" s="43" t="str">
        <f t="shared" si="252"/>
        <v>*0.95</v>
      </c>
      <c r="U1990" s="32" t="s">
        <v>2864</v>
      </c>
      <c r="V1990" s="42" t="s">
        <v>57</v>
      </c>
      <c r="W1990" s="32">
        <v>2050</v>
      </c>
      <c r="X1990" s="43" t="str">
        <f t="shared" si="253"/>
        <v>*0.93</v>
      </c>
      <c r="AC1990" s="33" t="s">
        <v>2864</v>
      </c>
      <c r="AD1990" s="44" t="s">
        <v>57</v>
      </c>
      <c r="AE1990" s="33">
        <v>2035</v>
      </c>
      <c r="AF1990" s="45" t="str">
        <f t="shared" si="254"/>
        <v>*0.93</v>
      </c>
      <c r="AG1990" s="43" t="str">
        <f t="shared" si="248"/>
        <v>REZoning_Sol-Win</v>
      </c>
      <c r="AI1990" s="33" t="s">
        <v>2864</v>
      </c>
      <c r="AJ1990" s="44" t="s">
        <v>57</v>
      </c>
      <c r="AK1990" s="33">
        <v>2050</v>
      </c>
      <c r="AL1990" s="45" t="str">
        <f t="shared" si="255"/>
        <v>*0.9</v>
      </c>
      <c r="AM1990" s="43" t="str">
        <f t="shared" si="249"/>
        <v>REZoning_Sol-Win</v>
      </c>
      <c r="AP1990" t="s">
        <v>2864</v>
      </c>
      <c r="AQ1990" t="s">
        <v>57</v>
      </c>
      <c r="AR1990">
        <v>2100</v>
      </c>
      <c r="AS1990" t="s">
        <v>897</v>
      </c>
      <c r="AT1990" t="s">
        <v>58</v>
      </c>
    </row>
    <row r="1991" ht="29" spans="1:46">
      <c r="A1991" s="31" t="s">
        <v>73</v>
      </c>
      <c r="C1991" t="s">
        <v>2865</v>
      </c>
      <c r="D1991" s="5" t="s">
        <v>57</v>
      </c>
      <c r="E1991">
        <v>2035</v>
      </c>
      <c r="F1991" s="6" t="str">
        <f t="shared" si="250"/>
        <v>*0.95</v>
      </c>
      <c r="H1991" t="s">
        <v>2865</v>
      </c>
      <c r="I1991" s="5" t="s">
        <v>57</v>
      </c>
      <c r="J1991">
        <v>2050</v>
      </c>
      <c r="K1991" s="38" t="str">
        <f t="shared" si="251"/>
        <v>*0.93</v>
      </c>
      <c r="P1991" s="32" t="s">
        <v>2865</v>
      </c>
      <c r="Q1991" s="42" t="s">
        <v>57</v>
      </c>
      <c r="R1991" s="32">
        <v>2035</v>
      </c>
      <c r="S1991" s="43" t="str">
        <f t="shared" si="252"/>
        <v>*0.95</v>
      </c>
      <c r="U1991" s="32" t="s">
        <v>2865</v>
      </c>
      <c r="V1991" s="42" t="s">
        <v>57</v>
      </c>
      <c r="W1991" s="32">
        <v>2050</v>
      </c>
      <c r="X1991" s="43" t="str">
        <f t="shared" si="253"/>
        <v>*0.93</v>
      </c>
      <c r="AC1991" s="33" t="s">
        <v>2865</v>
      </c>
      <c r="AD1991" s="44" t="s">
        <v>57</v>
      </c>
      <c r="AE1991" s="33">
        <v>2035</v>
      </c>
      <c r="AF1991" s="45" t="str">
        <f t="shared" si="254"/>
        <v>*0.93</v>
      </c>
      <c r="AG1991" s="43" t="str">
        <f t="shared" si="248"/>
        <v>REZoning_Sol-Win</v>
      </c>
      <c r="AI1991" s="33" t="s">
        <v>2865</v>
      </c>
      <c r="AJ1991" s="44" t="s">
        <v>57</v>
      </c>
      <c r="AK1991" s="33">
        <v>2050</v>
      </c>
      <c r="AL1991" s="45" t="str">
        <f t="shared" si="255"/>
        <v>*0.9</v>
      </c>
      <c r="AM1991" s="43" t="str">
        <f t="shared" si="249"/>
        <v>REZoning_Sol-Win</v>
      </c>
      <c r="AP1991" t="s">
        <v>2865</v>
      </c>
      <c r="AQ1991" t="s">
        <v>57</v>
      </c>
      <c r="AR1991">
        <v>2100</v>
      </c>
      <c r="AS1991" t="s">
        <v>897</v>
      </c>
      <c r="AT1991" t="s">
        <v>58</v>
      </c>
    </row>
    <row r="1992" ht="29" spans="1:46">
      <c r="A1992" s="31" t="s">
        <v>73</v>
      </c>
      <c r="C1992" t="s">
        <v>2866</v>
      </c>
      <c r="D1992" s="5" t="s">
        <v>57</v>
      </c>
      <c r="E1992">
        <v>2035</v>
      </c>
      <c r="F1992" s="6" t="str">
        <f t="shared" si="250"/>
        <v>*0.95</v>
      </c>
      <c r="H1992" t="s">
        <v>2866</v>
      </c>
      <c r="I1992" s="5" t="s">
        <v>57</v>
      </c>
      <c r="J1992">
        <v>2050</v>
      </c>
      <c r="K1992" s="38" t="str">
        <f t="shared" si="251"/>
        <v>*0.93</v>
      </c>
      <c r="P1992" s="32" t="s">
        <v>2866</v>
      </c>
      <c r="Q1992" s="42" t="s">
        <v>57</v>
      </c>
      <c r="R1992" s="32">
        <v>2035</v>
      </c>
      <c r="S1992" s="43" t="str">
        <f t="shared" si="252"/>
        <v>*0.95</v>
      </c>
      <c r="U1992" s="32" t="s">
        <v>2866</v>
      </c>
      <c r="V1992" s="42" t="s">
        <v>57</v>
      </c>
      <c r="W1992" s="32">
        <v>2050</v>
      </c>
      <c r="X1992" s="43" t="str">
        <f t="shared" si="253"/>
        <v>*0.93</v>
      </c>
      <c r="AC1992" s="33" t="s">
        <v>2866</v>
      </c>
      <c r="AD1992" s="44" t="s">
        <v>57</v>
      </c>
      <c r="AE1992" s="33">
        <v>2035</v>
      </c>
      <c r="AF1992" s="45" t="str">
        <f t="shared" si="254"/>
        <v>*0.93</v>
      </c>
      <c r="AG1992" s="43" t="str">
        <f t="shared" si="248"/>
        <v>REZoning_Sol-Win</v>
      </c>
      <c r="AI1992" s="33" t="s">
        <v>2866</v>
      </c>
      <c r="AJ1992" s="44" t="s">
        <v>57</v>
      </c>
      <c r="AK1992" s="33">
        <v>2050</v>
      </c>
      <c r="AL1992" s="45" t="str">
        <f t="shared" si="255"/>
        <v>*0.9</v>
      </c>
      <c r="AM1992" s="43" t="str">
        <f t="shared" si="249"/>
        <v>REZoning_Sol-Win</v>
      </c>
      <c r="AP1992" t="s">
        <v>2866</v>
      </c>
      <c r="AQ1992" t="s">
        <v>57</v>
      </c>
      <c r="AR1992">
        <v>2100</v>
      </c>
      <c r="AS1992" t="s">
        <v>897</v>
      </c>
      <c r="AT1992" t="s">
        <v>58</v>
      </c>
    </row>
    <row r="1993" ht="29" spans="1:46">
      <c r="A1993" s="31" t="s">
        <v>73</v>
      </c>
      <c r="C1993" t="s">
        <v>2867</v>
      </c>
      <c r="D1993" s="5" t="s">
        <v>57</v>
      </c>
      <c r="E1993">
        <v>2035</v>
      </c>
      <c r="F1993" s="6" t="str">
        <f t="shared" si="250"/>
        <v>*0.95</v>
      </c>
      <c r="H1993" t="s">
        <v>2867</v>
      </c>
      <c r="I1993" s="5" t="s">
        <v>57</v>
      </c>
      <c r="J1993">
        <v>2050</v>
      </c>
      <c r="K1993" s="38" t="str">
        <f t="shared" si="251"/>
        <v>*0.93</v>
      </c>
      <c r="P1993" s="32" t="s">
        <v>2867</v>
      </c>
      <c r="Q1993" s="42" t="s">
        <v>57</v>
      </c>
      <c r="R1993" s="32">
        <v>2035</v>
      </c>
      <c r="S1993" s="43" t="str">
        <f t="shared" si="252"/>
        <v>*0.95</v>
      </c>
      <c r="U1993" s="32" t="s">
        <v>2867</v>
      </c>
      <c r="V1993" s="42" t="s">
        <v>57</v>
      </c>
      <c r="W1993" s="32">
        <v>2050</v>
      </c>
      <c r="X1993" s="43" t="str">
        <f t="shared" si="253"/>
        <v>*0.93</v>
      </c>
      <c r="AC1993" s="33" t="s">
        <v>2867</v>
      </c>
      <c r="AD1993" s="44" t="s">
        <v>57</v>
      </c>
      <c r="AE1993" s="33">
        <v>2035</v>
      </c>
      <c r="AF1993" s="45" t="str">
        <f t="shared" si="254"/>
        <v>*0.93</v>
      </c>
      <c r="AG1993" s="43" t="str">
        <f t="shared" ref="AG1993:AG2056" si="256">AG1992</f>
        <v>REZoning_Sol-Win</v>
      </c>
      <c r="AI1993" s="33" t="s">
        <v>2867</v>
      </c>
      <c r="AJ1993" s="44" t="s">
        <v>57</v>
      </c>
      <c r="AK1993" s="33">
        <v>2050</v>
      </c>
      <c r="AL1993" s="45" t="str">
        <f t="shared" si="255"/>
        <v>*0.9</v>
      </c>
      <c r="AM1993" s="43" t="str">
        <f t="shared" si="249"/>
        <v>REZoning_Sol-Win</v>
      </c>
      <c r="AP1993" t="s">
        <v>2867</v>
      </c>
      <c r="AQ1993" t="s">
        <v>57</v>
      </c>
      <c r="AR1993">
        <v>2100</v>
      </c>
      <c r="AS1993" t="s">
        <v>897</v>
      </c>
      <c r="AT1993" t="s">
        <v>58</v>
      </c>
    </row>
    <row r="1994" ht="29" spans="1:46">
      <c r="A1994" s="31" t="s">
        <v>73</v>
      </c>
      <c r="C1994" t="s">
        <v>2868</v>
      </c>
      <c r="D1994" s="5" t="s">
        <v>57</v>
      </c>
      <c r="E1994">
        <v>2035</v>
      </c>
      <c r="F1994" s="6" t="str">
        <f t="shared" si="250"/>
        <v>*0.95</v>
      </c>
      <c r="H1994" t="s">
        <v>2868</v>
      </c>
      <c r="I1994" s="5" t="s">
        <v>57</v>
      </c>
      <c r="J1994">
        <v>2050</v>
      </c>
      <c r="K1994" s="38" t="str">
        <f t="shared" si="251"/>
        <v>*0.93</v>
      </c>
      <c r="P1994" s="32" t="s">
        <v>2868</v>
      </c>
      <c r="Q1994" s="42" t="s">
        <v>57</v>
      </c>
      <c r="R1994" s="32">
        <v>2035</v>
      </c>
      <c r="S1994" s="43" t="str">
        <f t="shared" si="252"/>
        <v>*0.95</v>
      </c>
      <c r="U1994" s="32" t="s">
        <v>2868</v>
      </c>
      <c r="V1994" s="42" t="s">
        <v>57</v>
      </c>
      <c r="W1994" s="32">
        <v>2050</v>
      </c>
      <c r="X1994" s="43" t="str">
        <f t="shared" si="253"/>
        <v>*0.93</v>
      </c>
      <c r="AC1994" s="33" t="s">
        <v>2868</v>
      </c>
      <c r="AD1994" s="44" t="s">
        <v>57</v>
      </c>
      <c r="AE1994" s="33">
        <v>2035</v>
      </c>
      <c r="AF1994" s="45" t="str">
        <f t="shared" si="254"/>
        <v>*0.93</v>
      </c>
      <c r="AG1994" s="43" t="str">
        <f t="shared" si="256"/>
        <v>REZoning_Sol-Win</v>
      </c>
      <c r="AI1994" s="33" t="s">
        <v>2868</v>
      </c>
      <c r="AJ1994" s="44" t="s">
        <v>57</v>
      </c>
      <c r="AK1994" s="33">
        <v>2050</v>
      </c>
      <c r="AL1994" s="45" t="str">
        <f t="shared" si="255"/>
        <v>*0.9</v>
      </c>
      <c r="AM1994" s="43" t="str">
        <f t="shared" ref="AM1994:AM2057" si="257">AM1993</f>
        <v>REZoning_Sol-Win</v>
      </c>
      <c r="AP1994" t="s">
        <v>2868</v>
      </c>
      <c r="AQ1994" t="s">
        <v>57</v>
      </c>
      <c r="AR1994">
        <v>2100</v>
      </c>
      <c r="AS1994" t="s">
        <v>897</v>
      </c>
      <c r="AT1994" t="s">
        <v>58</v>
      </c>
    </row>
    <row r="1995" ht="29" spans="1:46">
      <c r="A1995" s="31" t="s">
        <v>73</v>
      </c>
      <c r="C1995" t="s">
        <v>2869</v>
      </c>
      <c r="D1995" s="5" t="s">
        <v>57</v>
      </c>
      <c r="E1995">
        <v>2035</v>
      </c>
      <c r="F1995" s="6" t="str">
        <f t="shared" si="250"/>
        <v>*0.95</v>
      </c>
      <c r="H1995" t="s">
        <v>2869</v>
      </c>
      <c r="I1995" s="5" t="s">
        <v>57</v>
      </c>
      <c r="J1995">
        <v>2050</v>
      </c>
      <c r="K1995" s="38" t="str">
        <f t="shared" si="251"/>
        <v>*0.93</v>
      </c>
      <c r="P1995" s="32" t="s">
        <v>2869</v>
      </c>
      <c r="Q1995" s="42" t="s">
        <v>57</v>
      </c>
      <c r="R1995" s="32">
        <v>2035</v>
      </c>
      <c r="S1995" s="43" t="str">
        <f t="shared" si="252"/>
        <v>*0.95</v>
      </c>
      <c r="U1995" s="32" t="s">
        <v>2869</v>
      </c>
      <c r="V1995" s="42" t="s">
        <v>57</v>
      </c>
      <c r="W1995" s="32">
        <v>2050</v>
      </c>
      <c r="X1995" s="43" t="str">
        <f t="shared" si="253"/>
        <v>*0.93</v>
      </c>
      <c r="AC1995" s="33" t="s">
        <v>2869</v>
      </c>
      <c r="AD1995" s="44" t="s">
        <v>57</v>
      </c>
      <c r="AE1995" s="33">
        <v>2035</v>
      </c>
      <c r="AF1995" s="45" t="str">
        <f t="shared" si="254"/>
        <v>*0.93</v>
      </c>
      <c r="AG1995" s="43" t="str">
        <f t="shared" si="256"/>
        <v>REZoning_Sol-Win</v>
      </c>
      <c r="AI1995" s="33" t="s">
        <v>2869</v>
      </c>
      <c r="AJ1995" s="44" t="s">
        <v>57</v>
      </c>
      <c r="AK1995" s="33">
        <v>2050</v>
      </c>
      <c r="AL1995" s="45" t="str">
        <f t="shared" si="255"/>
        <v>*0.9</v>
      </c>
      <c r="AM1995" s="43" t="str">
        <f t="shared" si="257"/>
        <v>REZoning_Sol-Win</v>
      </c>
      <c r="AP1995" t="s">
        <v>2869</v>
      </c>
      <c r="AQ1995" t="s">
        <v>57</v>
      </c>
      <c r="AR1995">
        <v>2100</v>
      </c>
      <c r="AS1995" t="s">
        <v>897</v>
      </c>
      <c r="AT1995" t="s">
        <v>58</v>
      </c>
    </row>
    <row r="1996" ht="29" spans="1:46">
      <c r="A1996" s="31" t="s">
        <v>73</v>
      </c>
      <c r="C1996" t="s">
        <v>2870</v>
      </c>
      <c r="D1996" s="5" t="s">
        <v>57</v>
      </c>
      <c r="E1996">
        <v>2035</v>
      </c>
      <c r="F1996" s="6" t="str">
        <f t="shared" si="250"/>
        <v>*0.95</v>
      </c>
      <c r="H1996" t="s">
        <v>2870</v>
      </c>
      <c r="I1996" s="5" t="s">
        <v>57</v>
      </c>
      <c r="J1996">
        <v>2050</v>
      </c>
      <c r="K1996" s="38" t="str">
        <f t="shared" si="251"/>
        <v>*0.93</v>
      </c>
      <c r="P1996" s="32" t="s">
        <v>2870</v>
      </c>
      <c r="Q1996" s="42" t="s">
        <v>57</v>
      </c>
      <c r="R1996" s="32">
        <v>2035</v>
      </c>
      <c r="S1996" s="43" t="str">
        <f t="shared" si="252"/>
        <v>*0.95</v>
      </c>
      <c r="U1996" s="32" t="s">
        <v>2870</v>
      </c>
      <c r="V1996" s="42" t="s">
        <v>57</v>
      </c>
      <c r="W1996" s="32">
        <v>2050</v>
      </c>
      <c r="X1996" s="43" t="str">
        <f t="shared" si="253"/>
        <v>*0.93</v>
      </c>
      <c r="AC1996" s="33" t="s">
        <v>2870</v>
      </c>
      <c r="AD1996" s="44" t="s">
        <v>57</v>
      </c>
      <c r="AE1996" s="33">
        <v>2035</v>
      </c>
      <c r="AF1996" s="45" t="str">
        <f t="shared" si="254"/>
        <v>*0.93</v>
      </c>
      <c r="AG1996" s="43" t="str">
        <f t="shared" si="256"/>
        <v>REZoning_Sol-Win</v>
      </c>
      <c r="AI1996" s="33" t="s">
        <v>2870</v>
      </c>
      <c r="AJ1996" s="44" t="s">
        <v>57</v>
      </c>
      <c r="AK1996" s="33">
        <v>2050</v>
      </c>
      <c r="AL1996" s="45" t="str">
        <f t="shared" si="255"/>
        <v>*0.9</v>
      </c>
      <c r="AM1996" s="43" t="str">
        <f t="shared" si="257"/>
        <v>REZoning_Sol-Win</v>
      </c>
      <c r="AP1996" t="s">
        <v>2870</v>
      </c>
      <c r="AQ1996" t="s">
        <v>57</v>
      </c>
      <c r="AR1996">
        <v>2100</v>
      </c>
      <c r="AS1996" t="s">
        <v>897</v>
      </c>
      <c r="AT1996" t="s">
        <v>58</v>
      </c>
    </row>
    <row r="1997" ht="29" spans="1:46">
      <c r="A1997" s="31" t="s">
        <v>73</v>
      </c>
      <c r="C1997" t="s">
        <v>2871</v>
      </c>
      <c r="D1997" s="5" t="s">
        <v>57</v>
      </c>
      <c r="E1997">
        <v>2035</v>
      </c>
      <c r="F1997" s="6" t="str">
        <f t="shared" si="250"/>
        <v>*0.95</v>
      </c>
      <c r="H1997" t="s">
        <v>2871</v>
      </c>
      <c r="I1997" s="5" t="s">
        <v>57</v>
      </c>
      <c r="J1997">
        <v>2050</v>
      </c>
      <c r="K1997" s="38" t="str">
        <f t="shared" si="251"/>
        <v>*0.93</v>
      </c>
      <c r="P1997" s="32" t="s">
        <v>2871</v>
      </c>
      <c r="Q1997" s="42" t="s">
        <v>57</v>
      </c>
      <c r="R1997" s="32">
        <v>2035</v>
      </c>
      <c r="S1997" s="43" t="str">
        <f t="shared" si="252"/>
        <v>*0.95</v>
      </c>
      <c r="U1997" s="32" t="s">
        <v>2871</v>
      </c>
      <c r="V1997" s="42" t="s">
        <v>57</v>
      </c>
      <c r="W1997" s="32">
        <v>2050</v>
      </c>
      <c r="X1997" s="43" t="str">
        <f t="shared" si="253"/>
        <v>*0.93</v>
      </c>
      <c r="AC1997" s="33" t="s">
        <v>2871</v>
      </c>
      <c r="AD1997" s="44" t="s">
        <v>57</v>
      </c>
      <c r="AE1997" s="33">
        <v>2035</v>
      </c>
      <c r="AF1997" s="45" t="str">
        <f t="shared" si="254"/>
        <v>*0.93</v>
      </c>
      <c r="AG1997" s="43" t="str">
        <f t="shared" si="256"/>
        <v>REZoning_Sol-Win</v>
      </c>
      <c r="AI1997" s="33" t="s">
        <v>2871</v>
      </c>
      <c r="AJ1997" s="44" t="s">
        <v>57</v>
      </c>
      <c r="AK1997" s="33">
        <v>2050</v>
      </c>
      <c r="AL1997" s="45" t="str">
        <f t="shared" si="255"/>
        <v>*0.9</v>
      </c>
      <c r="AM1997" s="43" t="str">
        <f t="shared" si="257"/>
        <v>REZoning_Sol-Win</v>
      </c>
      <c r="AP1997" t="s">
        <v>2871</v>
      </c>
      <c r="AQ1997" t="s">
        <v>57</v>
      </c>
      <c r="AR1997">
        <v>2100</v>
      </c>
      <c r="AS1997" t="s">
        <v>897</v>
      </c>
      <c r="AT1997" t="s">
        <v>58</v>
      </c>
    </row>
    <row r="1998" ht="29" spans="1:46">
      <c r="A1998" s="31" t="s">
        <v>73</v>
      </c>
      <c r="C1998" t="s">
        <v>2872</v>
      </c>
      <c r="D1998" s="5" t="s">
        <v>57</v>
      </c>
      <c r="E1998">
        <v>2035</v>
      </c>
      <c r="F1998" s="6" t="str">
        <f t="shared" si="250"/>
        <v>*0.95</v>
      </c>
      <c r="H1998" t="s">
        <v>2872</v>
      </c>
      <c r="I1998" s="5" t="s">
        <v>57</v>
      </c>
      <c r="J1998">
        <v>2050</v>
      </c>
      <c r="K1998" s="38" t="str">
        <f t="shared" si="251"/>
        <v>*0.93</v>
      </c>
      <c r="P1998" s="32" t="s">
        <v>2872</v>
      </c>
      <c r="Q1998" s="42" t="s">
        <v>57</v>
      </c>
      <c r="R1998" s="32">
        <v>2035</v>
      </c>
      <c r="S1998" s="43" t="str">
        <f t="shared" si="252"/>
        <v>*0.95</v>
      </c>
      <c r="U1998" s="32" t="s">
        <v>2872</v>
      </c>
      <c r="V1998" s="42" t="s">
        <v>57</v>
      </c>
      <c r="W1998" s="32">
        <v>2050</v>
      </c>
      <c r="X1998" s="43" t="str">
        <f t="shared" si="253"/>
        <v>*0.93</v>
      </c>
      <c r="AC1998" s="33" t="s">
        <v>2872</v>
      </c>
      <c r="AD1998" s="44" t="s">
        <v>57</v>
      </c>
      <c r="AE1998" s="33">
        <v>2035</v>
      </c>
      <c r="AF1998" s="45" t="str">
        <f t="shared" si="254"/>
        <v>*0.93</v>
      </c>
      <c r="AG1998" s="43" t="str">
        <f t="shared" si="256"/>
        <v>REZoning_Sol-Win</v>
      </c>
      <c r="AI1998" s="33" t="s">
        <v>2872</v>
      </c>
      <c r="AJ1998" s="44" t="s">
        <v>57</v>
      </c>
      <c r="AK1998" s="33">
        <v>2050</v>
      </c>
      <c r="AL1998" s="45" t="str">
        <f t="shared" si="255"/>
        <v>*0.9</v>
      </c>
      <c r="AM1998" s="43" t="str">
        <f t="shared" si="257"/>
        <v>REZoning_Sol-Win</v>
      </c>
      <c r="AP1998" t="s">
        <v>2872</v>
      </c>
      <c r="AQ1998" t="s">
        <v>57</v>
      </c>
      <c r="AR1998">
        <v>2100</v>
      </c>
      <c r="AS1998" t="s">
        <v>897</v>
      </c>
      <c r="AT1998" t="s">
        <v>58</v>
      </c>
    </row>
    <row r="1999" ht="29" spans="1:46">
      <c r="A1999" s="31" t="s">
        <v>73</v>
      </c>
      <c r="C1999" t="s">
        <v>2873</v>
      </c>
      <c r="D1999" s="5" t="s">
        <v>57</v>
      </c>
      <c r="E1999">
        <v>2035</v>
      </c>
      <c r="F1999" s="6" t="str">
        <f t="shared" si="250"/>
        <v>*0.95</v>
      </c>
      <c r="H1999" t="s">
        <v>2873</v>
      </c>
      <c r="I1999" s="5" t="s">
        <v>57</v>
      </c>
      <c r="J1999">
        <v>2050</v>
      </c>
      <c r="K1999" s="38" t="str">
        <f t="shared" si="251"/>
        <v>*0.93</v>
      </c>
      <c r="P1999" s="32" t="s">
        <v>2873</v>
      </c>
      <c r="Q1999" s="42" t="s">
        <v>57</v>
      </c>
      <c r="R1999" s="32">
        <v>2035</v>
      </c>
      <c r="S1999" s="43" t="str">
        <f t="shared" si="252"/>
        <v>*0.95</v>
      </c>
      <c r="U1999" s="32" t="s">
        <v>2873</v>
      </c>
      <c r="V1999" s="42" t="s">
        <v>57</v>
      </c>
      <c r="W1999" s="32">
        <v>2050</v>
      </c>
      <c r="X1999" s="43" t="str">
        <f t="shared" si="253"/>
        <v>*0.93</v>
      </c>
      <c r="AC1999" s="33" t="s">
        <v>2873</v>
      </c>
      <c r="AD1999" s="44" t="s">
        <v>57</v>
      </c>
      <c r="AE1999" s="33">
        <v>2035</v>
      </c>
      <c r="AF1999" s="45" t="str">
        <f t="shared" si="254"/>
        <v>*0.93</v>
      </c>
      <c r="AG1999" s="43" t="str">
        <f t="shared" si="256"/>
        <v>REZoning_Sol-Win</v>
      </c>
      <c r="AI1999" s="33" t="s">
        <v>2873</v>
      </c>
      <c r="AJ1999" s="44" t="s">
        <v>57</v>
      </c>
      <c r="AK1999" s="33">
        <v>2050</v>
      </c>
      <c r="AL1999" s="45" t="str">
        <f t="shared" si="255"/>
        <v>*0.9</v>
      </c>
      <c r="AM1999" s="43" t="str">
        <f t="shared" si="257"/>
        <v>REZoning_Sol-Win</v>
      </c>
      <c r="AP1999" t="s">
        <v>2873</v>
      </c>
      <c r="AQ1999" t="s">
        <v>57</v>
      </c>
      <c r="AR1999">
        <v>2100</v>
      </c>
      <c r="AS1999" t="s">
        <v>897</v>
      </c>
      <c r="AT1999" t="s">
        <v>58</v>
      </c>
    </row>
    <row r="2000" ht="29" spans="1:46">
      <c r="A2000" s="31" t="s">
        <v>73</v>
      </c>
      <c r="C2000" t="s">
        <v>2874</v>
      </c>
      <c r="D2000" s="5" t="s">
        <v>57</v>
      </c>
      <c r="E2000">
        <v>2035</v>
      </c>
      <c r="F2000" s="6" t="str">
        <f t="shared" si="250"/>
        <v>*0.95</v>
      </c>
      <c r="H2000" t="s">
        <v>2874</v>
      </c>
      <c r="I2000" s="5" t="s">
        <v>57</v>
      </c>
      <c r="J2000">
        <v>2050</v>
      </c>
      <c r="K2000" s="38" t="str">
        <f t="shared" si="251"/>
        <v>*0.93</v>
      </c>
      <c r="P2000" s="32" t="s">
        <v>2874</v>
      </c>
      <c r="Q2000" s="42" t="s">
        <v>57</v>
      </c>
      <c r="R2000" s="32">
        <v>2035</v>
      </c>
      <c r="S2000" s="43" t="str">
        <f t="shared" si="252"/>
        <v>*0.95</v>
      </c>
      <c r="U2000" s="32" t="s">
        <v>2874</v>
      </c>
      <c r="V2000" s="42" t="s">
        <v>57</v>
      </c>
      <c r="W2000" s="32">
        <v>2050</v>
      </c>
      <c r="X2000" s="43" t="str">
        <f t="shared" si="253"/>
        <v>*0.93</v>
      </c>
      <c r="AC2000" s="33" t="s">
        <v>2874</v>
      </c>
      <c r="AD2000" s="44" t="s">
        <v>57</v>
      </c>
      <c r="AE2000" s="33">
        <v>2035</v>
      </c>
      <c r="AF2000" s="45" t="str">
        <f t="shared" si="254"/>
        <v>*0.93</v>
      </c>
      <c r="AG2000" s="43" t="str">
        <f t="shared" si="256"/>
        <v>REZoning_Sol-Win</v>
      </c>
      <c r="AI2000" s="33" t="s">
        <v>2874</v>
      </c>
      <c r="AJ2000" s="44" t="s">
        <v>57</v>
      </c>
      <c r="AK2000" s="33">
        <v>2050</v>
      </c>
      <c r="AL2000" s="45" t="str">
        <f t="shared" si="255"/>
        <v>*0.9</v>
      </c>
      <c r="AM2000" s="43" t="str">
        <f t="shared" si="257"/>
        <v>REZoning_Sol-Win</v>
      </c>
      <c r="AP2000" t="s">
        <v>2874</v>
      </c>
      <c r="AQ2000" t="s">
        <v>57</v>
      </c>
      <c r="AR2000">
        <v>2100</v>
      </c>
      <c r="AS2000" t="s">
        <v>897</v>
      </c>
      <c r="AT2000" t="s">
        <v>58</v>
      </c>
    </row>
    <row r="2001" ht="29" spans="1:46">
      <c r="A2001" s="31" t="s">
        <v>73</v>
      </c>
      <c r="C2001" t="s">
        <v>2875</v>
      </c>
      <c r="D2001" s="5" t="s">
        <v>57</v>
      </c>
      <c r="E2001">
        <v>2035</v>
      </c>
      <c r="F2001" s="6" t="str">
        <f t="shared" si="250"/>
        <v>*0.95</v>
      </c>
      <c r="H2001" t="s">
        <v>2875</v>
      </c>
      <c r="I2001" s="5" t="s">
        <v>57</v>
      </c>
      <c r="J2001">
        <v>2050</v>
      </c>
      <c r="K2001" s="38" t="str">
        <f t="shared" si="251"/>
        <v>*0.93</v>
      </c>
      <c r="P2001" s="32" t="s">
        <v>2875</v>
      </c>
      <c r="Q2001" s="42" t="s">
        <v>57</v>
      </c>
      <c r="R2001" s="32">
        <v>2035</v>
      </c>
      <c r="S2001" s="43" t="str">
        <f t="shared" si="252"/>
        <v>*0.95</v>
      </c>
      <c r="U2001" s="32" t="s">
        <v>2875</v>
      </c>
      <c r="V2001" s="42" t="s">
        <v>57</v>
      </c>
      <c r="W2001" s="32">
        <v>2050</v>
      </c>
      <c r="X2001" s="43" t="str">
        <f t="shared" si="253"/>
        <v>*0.93</v>
      </c>
      <c r="AC2001" s="33" t="s">
        <v>2875</v>
      </c>
      <c r="AD2001" s="44" t="s">
        <v>57</v>
      </c>
      <c r="AE2001" s="33">
        <v>2035</v>
      </c>
      <c r="AF2001" s="45" t="str">
        <f t="shared" si="254"/>
        <v>*0.93</v>
      </c>
      <c r="AG2001" s="43" t="str">
        <f t="shared" si="256"/>
        <v>REZoning_Sol-Win</v>
      </c>
      <c r="AI2001" s="33" t="s">
        <v>2875</v>
      </c>
      <c r="AJ2001" s="44" t="s">
        <v>57</v>
      </c>
      <c r="AK2001" s="33">
        <v>2050</v>
      </c>
      <c r="AL2001" s="45" t="str">
        <f t="shared" si="255"/>
        <v>*0.9</v>
      </c>
      <c r="AM2001" s="43" t="str">
        <f t="shared" si="257"/>
        <v>REZoning_Sol-Win</v>
      </c>
      <c r="AP2001" t="s">
        <v>2875</v>
      </c>
      <c r="AQ2001" t="s">
        <v>57</v>
      </c>
      <c r="AR2001">
        <v>2100</v>
      </c>
      <c r="AS2001" t="s">
        <v>897</v>
      </c>
      <c r="AT2001" t="s">
        <v>58</v>
      </c>
    </row>
    <row r="2002" ht="29" spans="1:46">
      <c r="A2002" s="31" t="s">
        <v>73</v>
      </c>
      <c r="C2002" t="s">
        <v>2876</v>
      </c>
      <c r="D2002" s="5" t="s">
        <v>57</v>
      </c>
      <c r="E2002">
        <v>2035</v>
      </c>
      <c r="F2002" s="6" t="str">
        <f t="shared" si="250"/>
        <v>*0.95</v>
      </c>
      <c r="H2002" t="s">
        <v>2876</v>
      </c>
      <c r="I2002" s="5" t="s">
        <v>57</v>
      </c>
      <c r="J2002">
        <v>2050</v>
      </c>
      <c r="K2002" s="38" t="str">
        <f t="shared" si="251"/>
        <v>*0.93</v>
      </c>
      <c r="P2002" s="32" t="s">
        <v>2876</v>
      </c>
      <c r="Q2002" s="42" t="s">
        <v>57</v>
      </c>
      <c r="R2002" s="32">
        <v>2035</v>
      </c>
      <c r="S2002" s="43" t="str">
        <f t="shared" si="252"/>
        <v>*0.95</v>
      </c>
      <c r="U2002" s="32" t="s">
        <v>2876</v>
      </c>
      <c r="V2002" s="42" t="s">
        <v>57</v>
      </c>
      <c r="W2002" s="32">
        <v>2050</v>
      </c>
      <c r="X2002" s="43" t="str">
        <f t="shared" si="253"/>
        <v>*0.93</v>
      </c>
      <c r="AC2002" s="33" t="s">
        <v>2876</v>
      </c>
      <c r="AD2002" s="44" t="s">
        <v>57</v>
      </c>
      <c r="AE2002" s="33">
        <v>2035</v>
      </c>
      <c r="AF2002" s="45" t="str">
        <f t="shared" si="254"/>
        <v>*0.93</v>
      </c>
      <c r="AG2002" s="43" t="str">
        <f t="shared" si="256"/>
        <v>REZoning_Sol-Win</v>
      </c>
      <c r="AI2002" s="33" t="s">
        <v>2876</v>
      </c>
      <c r="AJ2002" s="44" t="s">
        <v>57</v>
      </c>
      <c r="AK2002" s="33">
        <v>2050</v>
      </c>
      <c r="AL2002" s="45" t="str">
        <f t="shared" si="255"/>
        <v>*0.9</v>
      </c>
      <c r="AM2002" s="43" t="str">
        <f t="shared" si="257"/>
        <v>REZoning_Sol-Win</v>
      </c>
      <c r="AP2002" t="s">
        <v>2876</v>
      </c>
      <c r="AQ2002" t="s">
        <v>57</v>
      </c>
      <c r="AR2002">
        <v>2100</v>
      </c>
      <c r="AS2002" t="s">
        <v>897</v>
      </c>
      <c r="AT2002" t="s">
        <v>58</v>
      </c>
    </row>
    <row r="2003" ht="29" spans="1:46">
      <c r="A2003" s="31" t="s">
        <v>73</v>
      </c>
      <c r="C2003" t="s">
        <v>2877</v>
      </c>
      <c r="D2003" s="5" t="s">
        <v>57</v>
      </c>
      <c r="E2003">
        <v>2035</v>
      </c>
      <c r="F2003" s="6" t="str">
        <f t="shared" si="250"/>
        <v>*0.95</v>
      </c>
      <c r="H2003" t="s">
        <v>2877</v>
      </c>
      <c r="I2003" s="5" t="s">
        <v>57</v>
      </c>
      <c r="J2003">
        <v>2050</v>
      </c>
      <c r="K2003" s="38" t="str">
        <f t="shared" si="251"/>
        <v>*0.93</v>
      </c>
      <c r="P2003" s="32" t="s">
        <v>2877</v>
      </c>
      <c r="Q2003" s="42" t="s">
        <v>57</v>
      </c>
      <c r="R2003" s="32">
        <v>2035</v>
      </c>
      <c r="S2003" s="43" t="str">
        <f t="shared" si="252"/>
        <v>*0.95</v>
      </c>
      <c r="U2003" s="32" t="s">
        <v>2877</v>
      </c>
      <c r="V2003" s="42" t="s">
        <v>57</v>
      </c>
      <c r="W2003" s="32">
        <v>2050</v>
      </c>
      <c r="X2003" s="43" t="str">
        <f t="shared" si="253"/>
        <v>*0.93</v>
      </c>
      <c r="AC2003" s="33" t="s">
        <v>2877</v>
      </c>
      <c r="AD2003" s="44" t="s">
        <v>57</v>
      </c>
      <c r="AE2003" s="33">
        <v>2035</v>
      </c>
      <c r="AF2003" s="45" t="str">
        <f t="shared" si="254"/>
        <v>*0.93</v>
      </c>
      <c r="AG2003" s="43" t="str">
        <f t="shared" si="256"/>
        <v>REZoning_Sol-Win</v>
      </c>
      <c r="AI2003" s="33" t="s">
        <v>2877</v>
      </c>
      <c r="AJ2003" s="44" t="s">
        <v>57</v>
      </c>
      <c r="AK2003" s="33">
        <v>2050</v>
      </c>
      <c r="AL2003" s="45" t="str">
        <f t="shared" si="255"/>
        <v>*0.9</v>
      </c>
      <c r="AM2003" s="43" t="str">
        <f t="shared" si="257"/>
        <v>REZoning_Sol-Win</v>
      </c>
      <c r="AP2003" t="s">
        <v>2877</v>
      </c>
      <c r="AQ2003" t="s">
        <v>57</v>
      </c>
      <c r="AR2003">
        <v>2100</v>
      </c>
      <c r="AS2003" t="s">
        <v>897</v>
      </c>
      <c r="AT2003" t="s">
        <v>58</v>
      </c>
    </row>
    <row r="2004" ht="29" spans="1:46">
      <c r="A2004" s="31" t="s">
        <v>73</v>
      </c>
      <c r="C2004" t="s">
        <v>2878</v>
      </c>
      <c r="D2004" s="5" t="s">
        <v>57</v>
      </c>
      <c r="E2004">
        <v>2035</v>
      </c>
      <c r="F2004" s="6" t="str">
        <f t="shared" si="250"/>
        <v>*0.95</v>
      </c>
      <c r="H2004" t="s">
        <v>2878</v>
      </c>
      <c r="I2004" s="5" t="s">
        <v>57</v>
      </c>
      <c r="J2004">
        <v>2050</v>
      </c>
      <c r="K2004" s="38" t="str">
        <f t="shared" si="251"/>
        <v>*0.93</v>
      </c>
      <c r="P2004" s="32" t="s">
        <v>2878</v>
      </c>
      <c r="Q2004" s="42" t="s">
        <v>57</v>
      </c>
      <c r="R2004" s="32">
        <v>2035</v>
      </c>
      <c r="S2004" s="43" t="str">
        <f t="shared" si="252"/>
        <v>*0.95</v>
      </c>
      <c r="U2004" s="32" t="s">
        <v>2878</v>
      </c>
      <c r="V2004" s="42" t="s">
        <v>57</v>
      </c>
      <c r="W2004" s="32">
        <v>2050</v>
      </c>
      <c r="X2004" s="43" t="str">
        <f t="shared" si="253"/>
        <v>*0.93</v>
      </c>
      <c r="AC2004" s="33" t="s">
        <v>2878</v>
      </c>
      <c r="AD2004" s="44" t="s">
        <v>57</v>
      </c>
      <c r="AE2004" s="33">
        <v>2035</v>
      </c>
      <c r="AF2004" s="45" t="str">
        <f t="shared" si="254"/>
        <v>*0.93</v>
      </c>
      <c r="AG2004" s="43" t="str">
        <f t="shared" si="256"/>
        <v>REZoning_Sol-Win</v>
      </c>
      <c r="AI2004" s="33" t="s">
        <v>2878</v>
      </c>
      <c r="AJ2004" s="44" t="s">
        <v>57</v>
      </c>
      <c r="AK2004" s="33">
        <v>2050</v>
      </c>
      <c r="AL2004" s="45" t="str">
        <f t="shared" si="255"/>
        <v>*0.9</v>
      </c>
      <c r="AM2004" s="43" t="str">
        <f t="shared" si="257"/>
        <v>REZoning_Sol-Win</v>
      </c>
      <c r="AP2004" t="s">
        <v>2878</v>
      </c>
      <c r="AQ2004" t="s">
        <v>57</v>
      </c>
      <c r="AR2004">
        <v>2100</v>
      </c>
      <c r="AS2004" t="s">
        <v>897</v>
      </c>
      <c r="AT2004" t="s">
        <v>58</v>
      </c>
    </row>
    <row r="2005" ht="29" spans="1:46">
      <c r="A2005" s="31" t="s">
        <v>73</v>
      </c>
      <c r="C2005" t="s">
        <v>2879</v>
      </c>
      <c r="D2005" s="5" t="s">
        <v>57</v>
      </c>
      <c r="E2005">
        <v>2035</v>
      </c>
      <c r="F2005" s="6" t="str">
        <f t="shared" si="250"/>
        <v>*0.95</v>
      </c>
      <c r="H2005" t="s">
        <v>2879</v>
      </c>
      <c r="I2005" s="5" t="s">
        <v>57</v>
      </c>
      <c r="J2005">
        <v>2050</v>
      </c>
      <c r="K2005" s="38" t="str">
        <f t="shared" si="251"/>
        <v>*0.93</v>
      </c>
      <c r="P2005" s="32" t="s">
        <v>2879</v>
      </c>
      <c r="Q2005" s="42" t="s">
        <v>57</v>
      </c>
      <c r="R2005" s="32">
        <v>2035</v>
      </c>
      <c r="S2005" s="43" t="str">
        <f t="shared" si="252"/>
        <v>*0.95</v>
      </c>
      <c r="U2005" s="32" t="s">
        <v>2879</v>
      </c>
      <c r="V2005" s="42" t="s">
        <v>57</v>
      </c>
      <c r="W2005" s="32">
        <v>2050</v>
      </c>
      <c r="X2005" s="43" t="str">
        <f t="shared" si="253"/>
        <v>*0.93</v>
      </c>
      <c r="AC2005" s="33" t="s">
        <v>2879</v>
      </c>
      <c r="AD2005" s="44" t="s">
        <v>57</v>
      </c>
      <c r="AE2005" s="33">
        <v>2035</v>
      </c>
      <c r="AF2005" s="45" t="str">
        <f t="shared" si="254"/>
        <v>*0.93</v>
      </c>
      <c r="AG2005" s="43" t="str">
        <f t="shared" si="256"/>
        <v>REZoning_Sol-Win</v>
      </c>
      <c r="AI2005" s="33" t="s">
        <v>2879</v>
      </c>
      <c r="AJ2005" s="44" t="s">
        <v>57</v>
      </c>
      <c r="AK2005" s="33">
        <v>2050</v>
      </c>
      <c r="AL2005" s="45" t="str">
        <f t="shared" si="255"/>
        <v>*0.9</v>
      </c>
      <c r="AM2005" s="43" t="str">
        <f t="shared" si="257"/>
        <v>REZoning_Sol-Win</v>
      </c>
      <c r="AP2005" t="s">
        <v>2879</v>
      </c>
      <c r="AQ2005" t="s">
        <v>57</v>
      </c>
      <c r="AR2005">
        <v>2100</v>
      </c>
      <c r="AS2005" t="s">
        <v>897</v>
      </c>
      <c r="AT2005" t="s">
        <v>58</v>
      </c>
    </row>
    <row r="2006" ht="29" spans="1:46">
      <c r="A2006" s="31" t="s">
        <v>73</v>
      </c>
      <c r="C2006" t="s">
        <v>2880</v>
      </c>
      <c r="D2006" s="5" t="s">
        <v>57</v>
      </c>
      <c r="E2006">
        <v>2035</v>
      </c>
      <c r="F2006" s="6" t="str">
        <f t="shared" si="250"/>
        <v>*0.95</v>
      </c>
      <c r="H2006" t="s">
        <v>2880</v>
      </c>
      <c r="I2006" s="5" t="s">
        <v>57</v>
      </c>
      <c r="J2006">
        <v>2050</v>
      </c>
      <c r="K2006" s="38" t="str">
        <f t="shared" si="251"/>
        <v>*0.93</v>
      </c>
      <c r="P2006" s="32" t="s">
        <v>2880</v>
      </c>
      <c r="Q2006" s="42" t="s">
        <v>57</v>
      </c>
      <c r="R2006" s="32">
        <v>2035</v>
      </c>
      <c r="S2006" s="43" t="str">
        <f t="shared" si="252"/>
        <v>*0.95</v>
      </c>
      <c r="U2006" s="32" t="s">
        <v>2880</v>
      </c>
      <c r="V2006" s="42" t="s">
        <v>57</v>
      </c>
      <c r="W2006" s="32">
        <v>2050</v>
      </c>
      <c r="X2006" s="43" t="str">
        <f t="shared" si="253"/>
        <v>*0.93</v>
      </c>
      <c r="AC2006" s="33" t="s">
        <v>2880</v>
      </c>
      <c r="AD2006" s="44" t="s">
        <v>57</v>
      </c>
      <c r="AE2006" s="33">
        <v>2035</v>
      </c>
      <c r="AF2006" s="45" t="str">
        <f t="shared" si="254"/>
        <v>*0.93</v>
      </c>
      <c r="AG2006" s="43" t="str">
        <f t="shared" si="256"/>
        <v>REZoning_Sol-Win</v>
      </c>
      <c r="AI2006" s="33" t="s">
        <v>2880</v>
      </c>
      <c r="AJ2006" s="44" t="s">
        <v>57</v>
      </c>
      <c r="AK2006" s="33">
        <v>2050</v>
      </c>
      <c r="AL2006" s="45" t="str">
        <f t="shared" si="255"/>
        <v>*0.9</v>
      </c>
      <c r="AM2006" s="43" t="str">
        <f t="shared" si="257"/>
        <v>REZoning_Sol-Win</v>
      </c>
      <c r="AP2006" t="s">
        <v>2880</v>
      </c>
      <c r="AQ2006" t="s">
        <v>57</v>
      </c>
      <c r="AR2006">
        <v>2100</v>
      </c>
      <c r="AS2006" t="s">
        <v>897</v>
      </c>
      <c r="AT2006" t="s">
        <v>58</v>
      </c>
    </row>
    <row r="2007" ht="29" spans="1:46">
      <c r="A2007" s="31" t="s">
        <v>73</v>
      </c>
      <c r="C2007" t="s">
        <v>2881</v>
      </c>
      <c r="D2007" s="5" t="s">
        <v>57</v>
      </c>
      <c r="E2007">
        <v>2035</v>
      </c>
      <c r="F2007" s="6" t="str">
        <f t="shared" si="250"/>
        <v>*0.95</v>
      </c>
      <c r="H2007" t="s">
        <v>2881</v>
      </c>
      <c r="I2007" s="5" t="s">
        <v>57</v>
      </c>
      <c r="J2007">
        <v>2050</v>
      </c>
      <c r="K2007" s="38" t="str">
        <f t="shared" si="251"/>
        <v>*0.93</v>
      </c>
      <c r="P2007" s="32" t="s">
        <v>2881</v>
      </c>
      <c r="Q2007" s="42" t="s">
        <v>57</v>
      </c>
      <c r="R2007" s="32">
        <v>2035</v>
      </c>
      <c r="S2007" s="43" t="str">
        <f t="shared" si="252"/>
        <v>*0.95</v>
      </c>
      <c r="U2007" s="32" t="s">
        <v>2881</v>
      </c>
      <c r="V2007" s="42" t="s">
        <v>57</v>
      </c>
      <c r="W2007" s="32">
        <v>2050</v>
      </c>
      <c r="X2007" s="43" t="str">
        <f t="shared" si="253"/>
        <v>*0.93</v>
      </c>
      <c r="AC2007" s="33" t="s">
        <v>2881</v>
      </c>
      <c r="AD2007" s="44" t="s">
        <v>57</v>
      </c>
      <c r="AE2007" s="33">
        <v>2035</v>
      </c>
      <c r="AF2007" s="45" t="str">
        <f t="shared" si="254"/>
        <v>*0.93</v>
      </c>
      <c r="AG2007" s="43" t="str">
        <f t="shared" si="256"/>
        <v>REZoning_Sol-Win</v>
      </c>
      <c r="AI2007" s="33" t="s">
        <v>2881</v>
      </c>
      <c r="AJ2007" s="44" t="s">
        <v>57</v>
      </c>
      <c r="AK2007" s="33">
        <v>2050</v>
      </c>
      <c r="AL2007" s="45" t="str">
        <f t="shared" si="255"/>
        <v>*0.9</v>
      </c>
      <c r="AM2007" s="43" t="str">
        <f t="shared" si="257"/>
        <v>REZoning_Sol-Win</v>
      </c>
      <c r="AP2007" t="s">
        <v>2881</v>
      </c>
      <c r="AQ2007" t="s">
        <v>57</v>
      </c>
      <c r="AR2007">
        <v>2100</v>
      </c>
      <c r="AS2007" t="s">
        <v>897</v>
      </c>
      <c r="AT2007" t="s">
        <v>58</v>
      </c>
    </row>
    <row r="2008" ht="29" spans="1:46">
      <c r="A2008" s="31" t="s">
        <v>73</v>
      </c>
      <c r="C2008" t="s">
        <v>2882</v>
      </c>
      <c r="D2008" s="5" t="s">
        <v>57</v>
      </c>
      <c r="E2008">
        <v>2035</v>
      </c>
      <c r="F2008" s="6" t="str">
        <f t="shared" si="250"/>
        <v>*0.95</v>
      </c>
      <c r="H2008" t="s">
        <v>2882</v>
      </c>
      <c r="I2008" s="5" t="s">
        <v>57</v>
      </c>
      <c r="J2008">
        <v>2050</v>
      </c>
      <c r="K2008" s="38" t="str">
        <f t="shared" si="251"/>
        <v>*0.93</v>
      </c>
      <c r="P2008" s="32" t="s">
        <v>2882</v>
      </c>
      <c r="Q2008" s="42" t="s">
        <v>57</v>
      </c>
      <c r="R2008" s="32">
        <v>2035</v>
      </c>
      <c r="S2008" s="43" t="str">
        <f t="shared" si="252"/>
        <v>*0.95</v>
      </c>
      <c r="U2008" s="32" t="s">
        <v>2882</v>
      </c>
      <c r="V2008" s="42" t="s">
        <v>57</v>
      </c>
      <c r="W2008" s="32">
        <v>2050</v>
      </c>
      <c r="X2008" s="43" t="str">
        <f t="shared" si="253"/>
        <v>*0.93</v>
      </c>
      <c r="AC2008" s="33" t="s">
        <v>2882</v>
      </c>
      <c r="AD2008" s="44" t="s">
        <v>57</v>
      </c>
      <c r="AE2008" s="33">
        <v>2035</v>
      </c>
      <c r="AF2008" s="45" t="str">
        <f t="shared" si="254"/>
        <v>*0.93</v>
      </c>
      <c r="AG2008" s="43" t="str">
        <f t="shared" si="256"/>
        <v>REZoning_Sol-Win</v>
      </c>
      <c r="AI2008" s="33" t="s">
        <v>2882</v>
      </c>
      <c r="AJ2008" s="44" t="s">
        <v>57</v>
      </c>
      <c r="AK2008" s="33">
        <v>2050</v>
      </c>
      <c r="AL2008" s="45" t="str">
        <f t="shared" si="255"/>
        <v>*0.9</v>
      </c>
      <c r="AM2008" s="43" t="str">
        <f t="shared" si="257"/>
        <v>REZoning_Sol-Win</v>
      </c>
      <c r="AP2008" t="s">
        <v>2882</v>
      </c>
      <c r="AQ2008" t="s">
        <v>57</v>
      </c>
      <c r="AR2008">
        <v>2100</v>
      </c>
      <c r="AS2008" t="s">
        <v>897</v>
      </c>
      <c r="AT2008" t="s">
        <v>58</v>
      </c>
    </row>
    <row r="2009" ht="29" spans="1:46">
      <c r="A2009" s="31" t="s">
        <v>73</v>
      </c>
      <c r="C2009" t="s">
        <v>2883</v>
      </c>
      <c r="D2009" s="5" t="s">
        <v>57</v>
      </c>
      <c r="E2009">
        <v>2035</v>
      </c>
      <c r="F2009" s="6" t="str">
        <f t="shared" si="250"/>
        <v>*0.95</v>
      </c>
      <c r="H2009" t="s">
        <v>2883</v>
      </c>
      <c r="I2009" s="5" t="s">
        <v>57</v>
      </c>
      <c r="J2009">
        <v>2050</v>
      </c>
      <c r="K2009" s="38" t="str">
        <f t="shared" si="251"/>
        <v>*0.93</v>
      </c>
      <c r="P2009" s="32" t="s">
        <v>2883</v>
      </c>
      <c r="Q2009" s="42" t="s">
        <v>57</v>
      </c>
      <c r="R2009" s="32">
        <v>2035</v>
      </c>
      <c r="S2009" s="43" t="str">
        <f t="shared" si="252"/>
        <v>*0.95</v>
      </c>
      <c r="U2009" s="32" t="s">
        <v>2883</v>
      </c>
      <c r="V2009" s="42" t="s">
        <v>57</v>
      </c>
      <c r="W2009" s="32">
        <v>2050</v>
      </c>
      <c r="X2009" s="43" t="str">
        <f t="shared" si="253"/>
        <v>*0.93</v>
      </c>
      <c r="AC2009" s="33" t="s">
        <v>2883</v>
      </c>
      <c r="AD2009" s="44" t="s">
        <v>57</v>
      </c>
      <c r="AE2009" s="33">
        <v>2035</v>
      </c>
      <c r="AF2009" s="45" t="str">
        <f t="shared" si="254"/>
        <v>*0.93</v>
      </c>
      <c r="AG2009" s="43" t="str">
        <f t="shared" si="256"/>
        <v>REZoning_Sol-Win</v>
      </c>
      <c r="AI2009" s="33" t="s">
        <v>2883</v>
      </c>
      <c r="AJ2009" s="44" t="s">
        <v>57</v>
      </c>
      <c r="AK2009" s="33">
        <v>2050</v>
      </c>
      <c r="AL2009" s="45" t="str">
        <f t="shared" si="255"/>
        <v>*0.9</v>
      </c>
      <c r="AM2009" s="43" t="str">
        <f t="shared" si="257"/>
        <v>REZoning_Sol-Win</v>
      </c>
      <c r="AP2009" t="s">
        <v>2883</v>
      </c>
      <c r="AQ2009" t="s">
        <v>57</v>
      </c>
      <c r="AR2009">
        <v>2100</v>
      </c>
      <c r="AS2009" t="s">
        <v>897</v>
      </c>
      <c r="AT2009" t="s">
        <v>58</v>
      </c>
    </row>
    <row r="2010" ht="29" spans="1:46">
      <c r="A2010" s="31" t="s">
        <v>73</v>
      </c>
      <c r="C2010" t="s">
        <v>2884</v>
      </c>
      <c r="D2010" s="5" t="s">
        <v>57</v>
      </c>
      <c r="E2010">
        <v>2035</v>
      </c>
      <c r="F2010" s="6" t="str">
        <f t="shared" si="250"/>
        <v>*0.95</v>
      </c>
      <c r="H2010" t="s">
        <v>2884</v>
      </c>
      <c r="I2010" s="5" t="s">
        <v>57</v>
      </c>
      <c r="J2010">
        <v>2050</v>
      </c>
      <c r="K2010" s="38" t="str">
        <f t="shared" si="251"/>
        <v>*0.93</v>
      </c>
      <c r="P2010" s="32" t="s">
        <v>2884</v>
      </c>
      <c r="Q2010" s="42" t="s">
        <v>57</v>
      </c>
      <c r="R2010" s="32">
        <v>2035</v>
      </c>
      <c r="S2010" s="43" t="str">
        <f t="shared" si="252"/>
        <v>*0.95</v>
      </c>
      <c r="U2010" s="32" t="s">
        <v>2884</v>
      </c>
      <c r="V2010" s="42" t="s">
        <v>57</v>
      </c>
      <c r="W2010" s="32">
        <v>2050</v>
      </c>
      <c r="X2010" s="43" t="str">
        <f t="shared" si="253"/>
        <v>*0.93</v>
      </c>
      <c r="AC2010" s="33" t="s">
        <v>2884</v>
      </c>
      <c r="AD2010" s="44" t="s">
        <v>57</v>
      </c>
      <c r="AE2010" s="33">
        <v>2035</v>
      </c>
      <c r="AF2010" s="45" t="str">
        <f t="shared" si="254"/>
        <v>*0.93</v>
      </c>
      <c r="AG2010" s="43" t="str">
        <f t="shared" si="256"/>
        <v>REZoning_Sol-Win</v>
      </c>
      <c r="AI2010" s="33" t="s">
        <v>2884</v>
      </c>
      <c r="AJ2010" s="44" t="s">
        <v>57</v>
      </c>
      <c r="AK2010" s="33">
        <v>2050</v>
      </c>
      <c r="AL2010" s="45" t="str">
        <f t="shared" si="255"/>
        <v>*0.9</v>
      </c>
      <c r="AM2010" s="43" t="str">
        <f t="shared" si="257"/>
        <v>REZoning_Sol-Win</v>
      </c>
      <c r="AP2010" t="s">
        <v>2884</v>
      </c>
      <c r="AQ2010" t="s">
        <v>57</v>
      </c>
      <c r="AR2010">
        <v>2100</v>
      </c>
      <c r="AS2010" t="s">
        <v>897</v>
      </c>
      <c r="AT2010" t="s">
        <v>58</v>
      </c>
    </row>
    <row r="2011" ht="29" spans="1:46">
      <c r="A2011" s="31" t="s">
        <v>73</v>
      </c>
      <c r="C2011" t="s">
        <v>2885</v>
      </c>
      <c r="D2011" s="5" t="s">
        <v>57</v>
      </c>
      <c r="E2011">
        <v>2035</v>
      </c>
      <c r="F2011" s="6" t="str">
        <f t="shared" si="250"/>
        <v>*0.95</v>
      </c>
      <c r="H2011" t="s">
        <v>2885</v>
      </c>
      <c r="I2011" s="5" t="s">
        <v>57</v>
      </c>
      <c r="J2011">
        <v>2050</v>
      </c>
      <c r="K2011" s="38" t="str">
        <f t="shared" si="251"/>
        <v>*0.93</v>
      </c>
      <c r="P2011" s="32" t="s">
        <v>2885</v>
      </c>
      <c r="Q2011" s="42" t="s">
        <v>57</v>
      </c>
      <c r="R2011" s="32">
        <v>2035</v>
      </c>
      <c r="S2011" s="43" t="str">
        <f t="shared" si="252"/>
        <v>*0.95</v>
      </c>
      <c r="U2011" s="32" t="s">
        <v>2885</v>
      </c>
      <c r="V2011" s="42" t="s">
        <v>57</v>
      </c>
      <c r="W2011" s="32">
        <v>2050</v>
      </c>
      <c r="X2011" s="43" t="str">
        <f t="shared" si="253"/>
        <v>*0.93</v>
      </c>
      <c r="AC2011" s="33" t="s">
        <v>2885</v>
      </c>
      <c r="AD2011" s="44" t="s">
        <v>57</v>
      </c>
      <c r="AE2011" s="33">
        <v>2035</v>
      </c>
      <c r="AF2011" s="45" t="str">
        <f t="shared" si="254"/>
        <v>*0.93</v>
      </c>
      <c r="AG2011" s="43" t="str">
        <f t="shared" si="256"/>
        <v>REZoning_Sol-Win</v>
      </c>
      <c r="AI2011" s="33" t="s">
        <v>2885</v>
      </c>
      <c r="AJ2011" s="44" t="s">
        <v>57</v>
      </c>
      <c r="AK2011" s="33">
        <v>2050</v>
      </c>
      <c r="AL2011" s="45" t="str">
        <f t="shared" si="255"/>
        <v>*0.9</v>
      </c>
      <c r="AM2011" s="43" t="str">
        <f t="shared" si="257"/>
        <v>REZoning_Sol-Win</v>
      </c>
      <c r="AP2011" t="s">
        <v>2885</v>
      </c>
      <c r="AQ2011" t="s">
        <v>57</v>
      </c>
      <c r="AR2011">
        <v>2100</v>
      </c>
      <c r="AS2011" t="s">
        <v>897</v>
      </c>
      <c r="AT2011" t="s">
        <v>58</v>
      </c>
    </row>
    <row r="2012" ht="29" spans="1:46">
      <c r="A2012" s="31" t="s">
        <v>73</v>
      </c>
      <c r="C2012" t="s">
        <v>2886</v>
      </c>
      <c r="D2012" s="5" t="s">
        <v>57</v>
      </c>
      <c r="E2012">
        <v>2035</v>
      </c>
      <c r="F2012" s="6" t="str">
        <f t="shared" si="250"/>
        <v>*0.95</v>
      </c>
      <c r="H2012" t="s">
        <v>2886</v>
      </c>
      <c r="I2012" s="5" t="s">
        <v>57</v>
      </c>
      <c r="J2012">
        <v>2050</v>
      </c>
      <c r="K2012" s="38" t="str">
        <f t="shared" si="251"/>
        <v>*0.93</v>
      </c>
      <c r="P2012" s="32" t="s">
        <v>2886</v>
      </c>
      <c r="Q2012" s="42" t="s">
        <v>57</v>
      </c>
      <c r="R2012" s="32">
        <v>2035</v>
      </c>
      <c r="S2012" s="43" t="str">
        <f t="shared" si="252"/>
        <v>*0.95</v>
      </c>
      <c r="U2012" s="32" t="s">
        <v>2886</v>
      </c>
      <c r="V2012" s="42" t="s">
        <v>57</v>
      </c>
      <c r="W2012" s="32">
        <v>2050</v>
      </c>
      <c r="X2012" s="43" t="str">
        <f t="shared" si="253"/>
        <v>*0.93</v>
      </c>
      <c r="AC2012" s="33" t="s">
        <v>2886</v>
      </c>
      <c r="AD2012" s="44" t="s">
        <v>57</v>
      </c>
      <c r="AE2012" s="33">
        <v>2035</v>
      </c>
      <c r="AF2012" s="45" t="str">
        <f t="shared" si="254"/>
        <v>*0.93</v>
      </c>
      <c r="AG2012" s="43" t="str">
        <f t="shared" si="256"/>
        <v>REZoning_Sol-Win</v>
      </c>
      <c r="AI2012" s="33" t="s">
        <v>2886</v>
      </c>
      <c r="AJ2012" s="44" t="s">
        <v>57</v>
      </c>
      <c r="AK2012" s="33">
        <v>2050</v>
      </c>
      <c r="AL2012" s="45" t="str">
        <f t="shared" si="255"/>
        <v>*0.9</v>
      </c>
      <c r="AM2012" s="43" t="str">
        <f t="shared" si="257"/>
        <v>REZoning_Sol-Win</v>
      </c>
      <c r="AP2012" t="s">
        <v>2886</v>
      </c>
      <c r="AQ2012" t="s">
        <v>57</v>
      </c>
      <c r="AR2012">
        <v>2100</v>
      </c>
      <c r="AS2012" t="s">
        <v>897</v>
      </c>
      <c r="AT2012" t="s">
        <v>58</v>
      </c>
    </row>
    <row r="2013" ht="29" spans="1:46">
      <c r="A2013" s="31" t="s">
        <v>73</v>
      </c>
      <c r="C2013" t="s">
        <v>2887</v>
      </c>
      <c r="D2013" s="5" t="s">
        <v>57</v>
      </c>
      <c r="E2013">
        <v>2035</v>
      </c>
      <c r="F2013" s="6" t="str">
        <f t="shared" si="250"/>
        <v>*0.95</v>
      </c>
      <c r="H2013" t="s">
        <v>2887</v>
      </c>
      <c r="I2013" s="5" t="s">
        <v>57</v>
      </c>
      <c r="J2013">
        <v>2050</v>
      </c>
      <c r="K2013" s="38" t="str">
        <f t="shared" si="251"/>
        <v>*0.93</v>
      </c>
      <c r="P2013" s="32" t="s">
        <v>2887</v>
      </c>
      <c r="Q2013" s="42" t="s">
        <v>57</v>
      </c>
      <c r="R2013" s="32">
        <v>2035</v>
      </c>
      <c r="S2013" s="43" t="str">
        <f t="shared" si="252"/>
        <v>*0.95</v>
      </c>
      <c r="U2013" s="32" t="s">
        <v>2887</v>
      </c>
      <c r="V2013" s="42" t="s">
        <v>57</v>
      </c>
      <c r="W2013" s="32">
        <v>2050</v>
      </c>
      <c r="X2013" s="43" t="str">
        <f t="shared" si="253"/>
        <v>*0.93</v>
      </c>
      <c r="AC2013" s="33" t="s">
        <v>2887</v>
      </c>
      <c r="AD2013" s="44" t="s">
        <v>57</v>
      </c>
      <c r="AE2013" s="33">
        <v>2035</v>
      </c>
      <c r="AF2013" s="45" t="str">
        <f t="shared" si="254"/>
        <v>*0.93</v>
      </c>
      <c r="AG2013" s="43" t="str">
        <f t="shared" si="256"/>
        <v>REZoning_Sol-Win</v>
      </c>
      <c r="AI2013" s="33" t="s">
        <v>2887</v>
      </c>
      <c r="AJ2013" s="44" t="s">
        <v>57</v>
      </c>
      <c r="AK2013" s="33">
        <v>2050</v>
      </c>
      <c r="AL2013" s="45" t="str">
        <f t="shared" si="255"/>
        <v>*0.9</v>
      </c>
      <c r="AM2013" s="43" t="str">
        <f t="shared" si="257"/>
        <v>REZoning_Sol-Win</v>
      </c>
      <c r="AP2013" t="s">
        <v>2887</v>
      </c>
      <c r="AQ2013" t="s">
        <v>57</v>
      </c>
      <c r="AR2013">
        <v>2100</v>
      </c>
      <c r="AS2013" t="s">
        <v>897</v>
      </c>
      <c r="AT2013" t="s">
        <v>58</v>
      </c>
    </row>
    <row r="2014" ht="29" spans="1:46">
      <c r="A2014" s="31" t="s">
        <v>73</v>
      </c>
      <c r="C2014" t="s">
        <v>2888</v>
      </c>
      <c r="D2014" s="5" t="s">
        <v>57</v>
      </c>
      <c r="E2014">
        <v>2035</v>
      </c>
      <c r="F2014" s="6" t="str">
        <f t="shared" si="250"/>
        <v>*0.95</v>
      </c>
      <c r="H2014" t="s">
        <v>2888</v>
      </c>
      <c r="I2014" s="5" t="s">
        <v>57</v>
      </c>
      <c r="J2014">
        <v>2050</v>
      </c>
      <c r="K2014" s="38" t="str">
        <f t="shared" si="251"/>
        <v>*0.93</v>
      </c>
      <c r="P2014" s="32" t="s">
        <v>2888</v>
      </c>
      <c r="Q2014" s="42" t="s">
        <v>57</v>
      </c>
      <c r="R2014" s="32">
        <v>2035</v>
      </c>
      <c r="S2014" s="43" t="str">
        <f t="shared" si="252"/>
        <v>*0.95</v>
      </c>
      <c r="U2014" s="32" t="s">
        <v>2888</v>
      </c>
      <c r="V2014" s="42" t="s">
        <v>57</v>
      </c>
      <c r="W2014" s="32">
        <v>2050</v>
      </c>
      <c r="X2014" s="43" t="str">
        <f t="shared" si="253"/>
        <v>*0.93</v>
      </c>
      <c r="AC2014" s="33" t="s">
        <v>2888</v>
      </c>
      <c r="AD2014" s="44" t="s">
        <v>57</v>
      </c>
      <c r="AE2014" s="33">
        <v>2035</v>
      </c>
      <c r="AF2014" s="45" t="str">
        <f t="shared" si="254"/>
        <v>*0.93</v>
      </c>
      <c r="AG2014" s="43" t="str">
        <f t="shared" si="256"/>
        <v>REZoning_Sol-Win</v>
      </c>
      <c r="AI2014" s="33" t="s">
        <v>2888</v>
      </c>
      <c r="AJ2014" s="44" t="s">
        <v>57</v>
      </c>
      <c r="AK2014" s="33">
        <v>2050</v>
      </c>
      <c r="AL2014" s="45" t="str">
        <f t="shared" si="255"/>
        <v>*0.9</v>
      </c>
      <c r="AM2014" s="43" t="str">
        <f t="shared" si="257"/>
        <v>REZoning_Sol-Win</v>
      </c>
      <c r="AP2014" t="s">
        <v>2888</v>
      </c>
      <c r="AQ2014" t="s">
        <v>57</v>
      </c>
      <c r="AR2014">
        <v>2100</v>
      </c>
      <c r="AS2014" t="s">
        <v>897</v>
      </c>
      <c r="AT2014" t="s">
        <v>58</v>
      </c>
    </row>
    <row r="2015" ht="29" spans="1:46">
      <c r="A2015" s="31" t="s">
        <v>73</v>
      </c>
      <c r="C2015" t="s">
        <v>2889</v>
      </c>
      <c r="D2015" s="5" t="s">
        <v>57</v>
      </c>
      <c r="E2015">
        <v>2035</v>
      </c>
      <c r="F2015" s="6" t="str">
        <f t="shared" si="250"/>
        <v>*0.95</v>
      </c>
      <c r="H2015" t="s">
        <v>2889</v>
      </c>
      <c r="I2015" s="5" t="s">
        <v>57</v>
      </c>
      <c r="J2015">
        <v>2050</v>
      </c>
      <c r="K2015" s="38" t="str">
        <f t="shared" si="251"/>
        <v>*0.93</v>
      </c>
      <c r="P2015" s="32" t="s">
        <v>2889</v>
      </c>
      <c r="Q2015" s="42" t="s">
        <v>57</v>
      </c>
      <c r="R2015" s="32">
        <v>2035</v>
      </c>
      <c r="S2015" s="43" t="str">
        <f t="shared" si="252"/>
        <v>*0.95</v>
      </c>
      <c r="U2015" s="32" t="s">
        <v>2889</v>
      </c>
      <c r="V2015" s="42" t="s">
        <v>57</v>
      </c>
      <c r="W2015" s="32">
        <v>2050</v>
      </c>
      <c r="X2015" s="43" t="str">
        <f t="shared" si="253"/>
        <v>*0.93</v>
      </c>
      <c r="AC2015" s="33" t="s">
        <v>2889</v>
      </c>
      <c r="AD2015" s="44" t="s">
        <v>57</v>
      </c>
      <c r="AE2015" s="33">
        <v>2035</v>
      </c>
      <c r="AF2015" s="45" t="str">
        <f t="shared" si="254"/>
        <v>*0.93</v>
      </c>
      <c r="AG2015" s="43" t="str">
        <f t="shared" si="256"/>
        <v>REZoning_Sol-Win</v>
      </c>
      <c r="AI2015" s="33" t="s">
        <v>2889</v>
      </c>
      <c r="AJ2015" s="44" t="s">
        <v>57</v>
      </c>
      <c r="AK2015" s="33">
        <v>2050</v>
      </c>
      <c r="AL2015" s="45" t="str">
        <f t="shared" si="255"/>
        <v>*0.9</v>
      </c>
      <c r="AM2015" s="43" t="str">
        <f t="shared" si="257"/>
        <v>REZoning_Sol-Win</v>
      </c>
      <c r="AP2015" t="s">
        <v>2889</v>
      </c>
      <c r="AQ2015" t="s">
        <v>57</v>
      </c>
      <c r="AR2015">
        <v>2100</v>
      </c>
      <c r="AS2015" t="s">
        <v>897</v>
      </c>
      <c r="AT2015" t="s">
        <v>58</v>
      </c>
    </row>
    <row r="2016" ht="29" spans="1:46">
      <c r="A2016" s="31" t="s">
        <v>73</v>
      </c>
      <c r="C2016" t="s">
        <v>2890</v>
      </c>
      <c r="D2016" s="5" t="s">
        <v>57</v>
      </c>
      <c r="E2016">
        <v>2035</v>
      </c>
      <c r="F2016" s="6" t="str">
        <f t="shared" si="250"/>
        <v>*0.95</v>
      </c>
      <c r="H2016" t="s">
        <v>2890</v>
      </c>
      <c r="I2016" s="5" t="s">
        <v>57</v>
      </c>
      <c r="J2016">
        <v>2050</v>
      </c>
      <c r="K2016" s="38" t="str">
        <f t="shared" si="251"/>
        <v>*0.93</v>
      </c>
      <c r="P2016" s="32" t="s">
        <v>2890</v>
      </c>
      <c r="Q2016" s="42" t="s">
        <v>57</v>
      </c>
      <c r="R2016" s="32">
        <v>2035</v>
      </c>
      <c r="S2016" s="43" t="str">
        <f t="shared" si="252"/>
        <v>*0.95</v>
      </c>
      <c r="U2016" s="32" t="s">
        <v>2890</v>
      </c>
      <c r="V2016" s="42" t="s">
        <v>57</v>
      </c>
      <c r="W2016" s="32">
        <v>2050</v>
      </c>
      <c r="X2016" s="43" t="str">
        <f t="shared" si="253"/>
        <v>*0.93</v>
      </c>
      <c r="AC2016" s="33" t="s">
        <v>2890</v>
      </c>
      <c r="AD2016" s="44" t="s">
        <v>57</v>
      </c>
      <c r="AE2016" s="33">
        <v>2035</v>
      </c>
      <c r="AF2016" s="45" t="str">
        <f t="shared" si="254"/>
        <v>*0.93</v>
      </c>
      <c r="AG2016" s="43" t="str">
        <f t="shared" si="256"/>
        <v>REZoning_Sol-Win</v>
      </c>
      <c r="AI2016" s="33" t="s">
        <v>2890</v>
      </c>
      <c r="AJ2016" s="44" t="s">
        <v>57</v>
      </c>
      <c r="AK2016" s="33">
        <v>2050</v>
      </c>
      <c r="AL2016" s="45" t="str">
        <f t="shared" si="255"/>
        <v>*0.9</v>
      </c>
      <c r="AM2016" s="43" t="str">
        <f t="shared" si="257"/>
        <v>REZoning_Sol-Win</v>
      </c>
      <c r="AP2016" t="s">
        <v>2890</v>
      </c>
      <c r="AQ2016" t="s">
        <v>57</v>
      </c>
      <c r="AR2016">
        <v>2100</v>
      </c>
      <c r="AS2016" t="s">
        <v>897</v>
      </c>
      <c r="AT2016" t="s">
        <v>58</v>
      </c>
    </row>
    <row r="2017" ht="29" spans="1:46">
      <c r="A2017" s="31" t="s">
        <v>73</v>
      </c>
      <c r="C2017" t="s">
        <v>2891</v>
      </c>
      <c r="D2017" s="5" t="s">
        <v>57</v>
      </c>
      <c r="E2017">
        <v>2035</v>
      </c>
      <c r="F2017" s="6" t="str">
        <f t="shared" si="250"/>
        <v>*0.95</v>
      </c>
      <c r="H2017" t="s">
        <v>2891</v>
      </c>
      <c r="I2017" s="5" t="s">
        <v>57</v>
      </c>
      <c r="J2017">
        <v>2050</v>
      </c>
      <c r="K2017" s="38" t="str">
        <f t="shared" si="251"/>
        <v>*0.93</v>
      </c>
      <c r="P2017" s="32" t="s">
        <v>2891</v>
      </c>
      <c r="Q2017" s="42" t="s">
        <v>57</v>
      </c>
      <c r="R2017" s="32">
        <v>2035</v>
      </c>
      <c r="S2017" s="43" t="str">
        <f t="shared" si="252"/>
        <v>*0.95</v>
      </c>
      <c r="U2017" s="32" t="s">
        <v>2891</v>
      </c>
      <c r="V2017" s="42" t="s">
        <v>57</v>
      </c>
      <c r="W2017" s="32">
        <v>2050</v>
      </c>
      <c r="X2017" s="43" t="str">
        <f t="shared" si="253"/>
        <v>*0.93</v>
      </c>
      <c r="AC2017" s="33" t="s">
        <v>2891</v>
      </c>
      <c r="AD2017" s="44" t="s">
        <v>57</v>
      </c>
      <c r="AE2017" s="33">
        <v>2035</v>
      </c>
      <c r="AF2017" s="45" t="str">
        <f t="shared" si="254"/>
        <v>*0.93</v>
      </c>
      <c r="AG2017" s="43" t="str">
        <f t="shared" si="256"/>
        <v>REZoning_Sol-Win</v>
      </c>
      <c r="AI2017" s="33" t="s">
        <v>2891</v>
      </c>
      <c r="AJ2017" s="44" t="s">
        <v>57</v>
      </c>
      <c r="AK2017" s="33">
        <v>2050</v>
      </c>
      <c r="AL2017" s="45" t="str">
        <f t="shared" si="255"/>
        <v>*0.9</v>
      </c>
      <c r="AM2017" s="43" t="str">
        <f t="shared" si="257"/>
        <v>REZoning_Sol-Win</v>
      </c>
      <c r="AP2017" t="s">
        <v>2891</v>
      </c>
      <c r="AQ2017" t="s">
        <v>57</v>
      </c>
      <c r="AR2017">
        <v>2100</v>
      </c>
      <c r="AS2017" t="s">
        <v>897</v>
      </c>
      <c r="AT2017" t="s">
        <v>58</v>
      </c>
    </row>
    <row r="2018" ht="29" spans="1:46">
      <c r="A2018" s="31" t="s">
        <v>73</v>
      </c>
      <c r="C2018" t="s">
        <v>2892</v>
      </c>
      <c r="D2018" s="5" t="s">
        <v>57</v>
      </c>
      <c r="E2018">
        <v>2035</v>
      </c>
      <c r="F2018" s="6" t="str">
        <f t="shared" si="250"/>
        <v>*0.95</v>
      </c>
      <c r="H2018" t="s">
        <v>2892</v>
      </c>
      <c r="I2018" s="5" t="s">
        <v>57</v>
      </c>
      <c r="J2018">
        <v>2050</v>
      </c>
      <c r="K2018" s="38" t="str">
        <f t="shared" si="251"/>
        <v>*0.93</v>
      </c>
      <c r="P2018" s="32" t="s">
        <v>2892</v>
      </c>
      <c r="Q2018" s="42" t="s">
        <v>57</v>
      </c>
      <c r="R2018" s="32">
        <v>2035</v>
      </c>
      <c r="S2018" s="43" t="str">
        <f t="shared" si="252"/>
        <v>*0.95</v>
      </c>
      <c r="U2018" s="32" t="s">
        <v>2892</v>
      </c>
      <c r="V2018" s="42" t="s">
        <v>57</v>
      </c>
      <c r="W2018" s="32">
        <v>2050</v>
      </c>
      <c r="X2018" s="43" t="str">
        <f t="shared" si="253"/>
        <v>*0.93</v>
      </c>
      <c r="AC2018" s="33" t="s">
        <v>2892</v>
      </c>
      <c r="AD2018" s="44" t="s">
        <v>57</v>
      </c>
      <c r="AE2018" s="33">
        <v>2035</v>
      </c>
      <c r="AF2018" s="45" t="str">
        <f t="shared" si="254"/>
        <v>*0.93</v>
      </c>
      <c r="AG2018" s="43" t="str">
        <f t="shared" si="256"/>
        <v>REZoning_Sol-Win</v>
      </c>
      <c r="AI2018" s="33" t="s">
        <v>2892</v>
      </c>
      <c r="AJ2018" s="44" t="s">
        <v>57</v>
      </c>
      <c r="AK2018" s="33">
        <v>2050</v>
      </c>
      <c r="AL2018" s="45" t="str">
        <f t="shared" si="255"/>
        <v>*0.9</v>
      </c>
      <c r="AM2018" s="43" t="str">
        <f t="shared" si="257"/>
        <v>REZoning_Sol-Win</v>
      </c>
      <c r="AP2018" t="s">
        <v>2892</v>
      </c>
      <c r="AQ2018" t="s">
        <v>57</v>
      </c>
      <c r="AR2018">
        <v>2100</v>
      </c>
      <c r="AS2018" t="s">
        <v>897</v>
      </c>
      <c r="AT2018" t="s">
        <v>58</v>
      </c>
    </row>
    <row r="2019" ht="29" spans="1:46">
      <c r="A2019" s="31" t="s">
        <v>73</v>
      </c>
      <c r="C2019" t="s">
        <v>2893</v>
      </c>
      <c r="D2019" s="5" t="s">
        <v>57</v>
      </c>
      <c r="E2019">
        <v>2035</v>
      </c>
      <c r="F2019" s="6" t="str">
        <f t="shared" si="250"/>
        <v>*0.95</v>
      </c>
      <c r="H2019" t="s">
        <v>2893</v>
      </c>
      <c r="I2019" s="5" t="s">
        <v>57</v>
      </c>
      <c r="J2019">
        <v>2050</v>
      </c>
      <c r="K2019" s="38" t="str">
        <f t="shared" si="251"/>
        <v>*0.93</v>
      </c>
      <c r="P2019" s="32" t="s">
        <v>2893</v>
      </c>
      <c r="Q2019" s="42" t="s">
        <v>57</v>
      </c>
      <c r="R2019" s="32">
        <v>2035</v>
      </c>
      <c r="S2019" s="43" t="str">
        <f t="shared" si="252"/>
        <v>*0.95</v>
      </c>
      <c r="U2019" s="32" t="s">
        <v>2893</v>
      </c>
      <c r="V2019" s="42" t="s">
        <v>57</v>
      </c>
      <c r="W2019" s="32">
        <v>2050</v>
      </c>
      <c r="X2019" s="43" t="str">
        <f t="shared" si="253"/>
        <v>*0.93</v>
      </c>
      <c r="AC2019" s="33" t="s">
        <v>2893</v>
      </c>
      <c r="AD2019" s="44" t="s">
        <v>57</v>
      </c>
      <c r="AE2019" s="33">
        <v>2035</v>
      </c>
      <c r="AF2019" s="45" t="str">
        <f t="shared" si="254"/>
        <v>*0.93</v>
      </c>
      <c r="AG2019" s="43" t="str">
        <f t="shared" si="256"/>
        <v>REZoning_Sol-Win</v>
      </c>
      <c r="AI2019" s="33" t="s">
        <v>2893</v>
      </c>
      <c r="AJ2019" s="44" t="s">
        <v>57</v>
      </c>
      <c r="AK2019" s="33">
        <v>2050</v>
      </c>
      <c r="AL2019" s="45" t="str">
        <f t="shared" si="255"/>
        <v>*0.9</v>
      </c>
      <c r="AM2019" s="43" t="str">
        <f t="shared" si="257"/>
        <v>REZoning_Sol-Win</v>
      </c>
      <c r="AP2019" t="s">
        <v>2893</v>
      </c>
      <c r="AQ2019" t="s">
        <v>57</v>
      </c>
      <c r="AR2019">
        <v>2100</v>
      </c>
      <c r="AS2019" t="s">
        <v>897</v>
      </c>
      <c r="AT2019" t="s">
        <v>58</v>
      </c>
    </row>
    <row r="2020" ht="29" spans="1:46">
      <c r="A2020" s="31" t="s">
        <v>73</v>
      </c>
      <c r="C2020" t="s">
        <v>2894</v>
      </c>
      <c r="D2020" s="5" t="s">
        <v>57</v>
      </c>
      <c r="E2020">
        <v>2035</v>
      </c>
      <c r="F2020" s="6" t="str">
        <f t="shared" si="250"/>
        <v>*0.95</v>
      </c>
      <c r="H2020" t="s">
        <v>2894</v>
      </c>
      <c r="I2020" s="5" t="s">
        <v>57</v>
      </c>
      <c r="J2020">
        <v>2050</v>
      </c>
      <c r="K2020" s="38" t="str">
        <f t="shared" si="251"/>
        <v>*0.93</v>
      </c>
      <c r="P2020" s="32" t="s">
        <v>2894</v>
      </c>
      <c r="Q2020" s="42" t="s">
        <v>57</v>
      </c>
      <c r="R2020" s="32">
        <v>2035</v>
      </c>
      <c r="S2020" s="43" t="str">
        <f t="shared" si="252"/>
        <v>*0.95</v>
      </c>
      <c r="U2020" s="32" t="s">
        <v>2894</v>
      </c>
      <c r="V2020" s="42" t="s">
        <v>57</v>
      </c>
      <c r="W2020" s="32">
        <v>2050</v>
      </c>
      <c r="X2020" s="43" t="str">
        <f t="shared" si="253"/>
        <v>*0.93</v>
      </c>
      <c r="AC2020" s="33" t="s">
        <v>2894</v>
      </c>
      <c r="AD2020" s="44" t="s">
        <v>57</v>
      </c>
      <c r="AE2020" s="33">
        <v>2035</v>
      </c>
      <c r="AF2020" s="45" t="str">
        <f t="shared" si="254"/>
        <v>*0.93</v>
      </c>
      <c r="AG2020" s="43" t="str">
        <f t="shared" si="256"/>
        <v>REZoning_Sol-Win</v>
      </c>
      <c r="AI2020" s="33" t="s">
        <v>2894</v>
      </c>
      <c r="AJ2020" s="44" t="s">
        <v>57</v>
      </c>
      <c r="AK2020" s="33">
        <v>2050</v>
      </c>
      <c r="AL2020" s="45" t="str">
        <f t="shared" si="255"/>
        <v>*0.9</v>
      </c>
      <c r="AM2020" s="43" t="str">
        <f t="shared" si="257"/>
        <v>REZoning_Sol-Win</v>
      </c>
      <c r="AP2020" t="s">
        <v>2894</v>
      </c>
      <c r="AQ2020" t="s">
        <v>57</v>
      </c>
      <c r="AR2020">
        <v>2100</v>
      </c>
      <c r="AS2020" t="s">
        <v>897</v>
      </c>
      <c r="AT2020" t="s">
        <v>58</v>
      </c>
    </row>
    <row r="2021" ht="29" spans="1:46">
      <c r="A2021" s="31" t="s">
        <v>73</v>
      </c>
      <c r="C2021" t="s">
        <v>2895</v>
      </c>
      <c r="D2021" s="5" t="s">
        <v>57</v>
      </c>
      <c r="E2021">
        <v>2035</v>
      </c>
      <c r="F2021" s="6" t="str">
        <f t="shared" si="250"/>
        <v>*0.95</v>
      </c>
      <c r="H2021" t="s">
        <v>2895</v>
      </c>
      <c r="I2021" s="5" t="s">
        <v>57</v>
      </c>
      <c r="J2021">
        <v>2050</v>
      </c>
      <c r="K2021" s="38" t="str">
        <f t="shared" si="251"/>
        <v>*0.93</v>
      </c>
      <c r="P2021" s="32" t="s">
        <v>2895</v>
      </c>
      <c r="Q2021" s="42" t="s">
        <v>57</v>
      </c>
      <c r="R2021" s="32">
        <v>2035</v>
      </c>
      <c r="S2021" s="43" t="str">
        <f t="shared" si="252"/>
        <v>*0.95</v>
      </c>
      <c r="U2021" s="32" t="s">
        <v>2895</v>
      </c>
      <c r="V2021" s="42" t="s">
        <v>57</v>
      </c>
      <c r="W2021" s="32">
        <v>2050</v>
      </c>
      <c r="X2021" s="43" t="str">
        <f t="shared" si="253"/>
        <v>*0.93</v>
      </c>
      <c r="AC2021" s="33" t="s">
        <v>2895</v>
      </c>
      <c r="AD2021" s="44" t="s">
        <v>57</v>
      </c>
      <c r="AE2021" s="33">
        <v>2035</v>
      </c>
      <c r="AF2021" s="45" t="str">
        <f t="shared" si="254"/>
        <v>*0.93</v>
      </c>
      <c r="AG2021" s="43" t="str">
        <f t="shared" si="256"/>
        <v>REZoning_Sol-Win</v>
      </c>
      <c r="AI2021" s="33" t="s">
        <v>2895</v>
      </c>
      <c r="AJ2021" s="44" t="s">
        <v>57</v>
      </c>
      <c r="AK2021" s="33">
        <v>2050</v>
      </c>
      <c r="AL2021" s="45" t="str">
        <f t="shared" si="255"/>
        <v>*0.9</v>
      </c>
      <c r="AM2021" s="43" t="str">
        <f t="shared" si="257"/>
        <v>REZoning_Sol-Win</v>
      </c>
      <c r="AP2021" t="s">
        <v>2895</v>
      </c>
      <c r="AQ2021" t="s">
        <v>57</v>
      </c>
      <c r="AR2021">
        <v>2100</v>
      </c>
      <c r="AS2021" t="s">
        <v>897</v>
      </c>
      <c r="AT2021" t="s">
        <v>58</v>
      </c>
    </row>
    <row r="2022" ht="29" spans="1:46">
      <c r="A2022" s="31" t="s">
        <v>65</v>
      </c>
      <c r="C2022" t="s">
        <v>2896</v>
      </c>
      <c r="D2022" s="5" t="s">
        <v>57</v>
      </c>
      <c r="E2022">
        <v>2035</v>
      </c>
      <c r="F2022" s="6" t="str">
        <f t="shared" si="250"/>
        <v>*0.94</v>
      </c>
      <c r="H2022" t="s">
        <v>2896</v>
      </c>
      <c r="I2022" s="5" t="s">
        <v>57</v>
      </c>
      <c r="J2022">
        <v>2050</v>
      </c>
      <c r="K2022" s="38" t="str">
        <f t="shared" si="251"/>
        <v>*0.91</v>
      </c>
      <c r="P2022" s="32" t="s">
        <v>2896</v>
      </c>
      <c r="Q2022" s="42" t="s">
        <v>57</v>
      </c>
      <c r="R2022" s="32">
        <v>2035</v>
      </c>
      <c r="S2022" s="43" t="str">
        <f t="shared" si="252"/>
        <v>*0.93</v>
      </c>
      <c r="U2022" s="32" t="s">
        <v>2896</v>
      </c>
      <c r="V2022" s="42" t="s">
        <v>57</v>
      </c>
      <c r="W2022" s="32">
        <v>2050</v>
      </c>
      <c r="X2022" s="43" t="str">
        <f t="shared" si="253"/>
        <v>*0.9</v>
      </c>
      <c r="AC2022" s="33" t="s">
        <v>2896</v>
      </c>
      <c r="AD2022" s="44" t="s">
        <v>57</v>
      </c>
      <c r="AE2022" s="33">
        <v>2035</v>
      </c>
      <c r="AF2022" s="45" t="str">
        <f t="shared" si="254"/>
        <v>*0.9</v>
      </c>
      <c r="AG2022" s="43" t="str">
        <f t="shared" si="256"/>
        <v>REZoning_Sol-Win</v>
      </c>
      <c r="AI2022" s="33" t="s">
        <v>2896</v>
      </c>
      <c r="AJ2022" s="44" t="s">
        <v>57</v>
      </c>
      <c r="AK2022" s="33">
        <v>2050</v>
      </c>
      <c r="AL2022" s="45" t="str">
        <f t="shared" si="255"/>
        <v>*0.86</v>
      </c>
      <c r="AM2022" s="43" t="str">
        <f t="shared" si="257"/>
        <v>REZoning_Sol-Win</v>
      </c>
      <c r="AP2022" t="s">
        <v>2896</v>
      </c>
      <c r="AQ2022" t="s">
        <v>57</v>
      </c>
      <c r="AR2022">
        <v>2100</v>
      </c>
      <c r="AS2022" t="s">
        <v>883</v>
      </c>
      <c r="AT2022" t="s">
        <v>58</v>
      </c>
    </row>
    <row r="2023" ht="29" spans="1:46">
      <c r="A2023" s="31" t="s">
        <v>65</v>
      </c>
      <c r="C2023" t="s">
        <v>2897</v>
      </c>
      <c r="D2023" s="5" t="s">
        <v>57</v>
      </c>
      <c r="E2023">
        <v>2035</v>
      </c>
      <c r="F2023" s="6" t="str">
        <f t="shared" si="250"/>
        <v>*0.94</v>
      </c>
      <c r="H2023" t="s">
        <v>2897</v>
      </c>
      <c r="I2023" s="5" t="s">
        <v>57</v>
      </c>
      <c r="J2023">
        <v>2050</v>
      </c>
      <c r="K2023" s="38" t="str">
        <f t="shared" si="251"/>
        <v>*0.91</v>
      </c>
      <c r="P2023" s="32" t="s">
        <v>2897</v>
      </c>
      <c r="Q2023" s="42" t="s">
        <v>57</v>
      </c>
      <c r="R2023" s="32">
        <v>2035</v>
      </c>
      <c r="S2023" s="43" t="str">
        <f t="shared" si="252"/>
        <v>*0.93</v>
      </c>
      <c r="U2023" s="32" t="s">
        <v>2897</v>
      </c>
      <c r="V2023" s="42" t="s">
        <v>57</v>
      </c>
      <c r="W2023" s="32">
        <v>2050</v>
      </c>
      <c r="X2023" s="43" t="str">
        <f t="shared" si="253"/>
        <v>*0.9</v>
      </c>
      <c r="AC2023" s="33" t="s">
        <v>2897</v>
      </c>
      <c r="AD2023" s="44" t="s">
        <v>57</v>
      </c>
      <c r="AE2023" s="33">
        <v>2035</v>
      </c>
      <c r="AF2023" s="45" t="str">
        <f t="shared" si="254"/>
        <v>*0.9</v>
      </c>
      <c r="AG2023" s="43" t="str">
        <f t="shared" si="256"/>
        <v>REZoning_Sol-Win</v>
      </c>
      <c r="AI2023" s="33" t="s">
        <v>2897</v>
      </c>
      <c r="AJ2023" s="44" t="s">
        <v>57</v>
      </c>
      <c r="AK2023" s="33">
        <v>2050</v>
      </c>
      <c r="AL2023" s="45" t="str">
        <f t="shared" si="255"/>
        <v>*0.86</v>
      </c>
      <c r="AM2023" s="43" t="str">
        <f t="shared" si="257"/>
        <v>REZoning_Sol-Win</v>
      </c>
      <c r="AP2023" t="s">
        <v>2897</v>
      </c>
      <c r="AQ2023" t="s">
        <v>57</v>
      </c>
      <c r="AR2023">
        <v>2100</v>
      </c>
      <c r="AS2023" t="s">
        <v>883</v>
      </c>
      <c r="AT2023" t="s">
        <v>58</v>
      </c>
    </row>
    <row r="2024" ht="29" spans="1:46">
      <c r="A2024" s="31" t="s">
        <v>65</v>
      </c>
      <c r="C2024" t="s">
        <v>2898</v>
      </c>
      <c r="D2024" s="5" t="s">
        <v>57</v>
      </c>
      <c r="E2024">
        <v>2035</v>
      </c>
      <c r="F2024" s="6" t="str">
        <f t="shared" si="250"/>
        <v>*0.94</v>
      </c>
      <c r="H2024" t="s">
        <v>2898</v>
      </c>
      <c r="I2024" s="5" t="s">
        <v>57</v>
      </c>
      <c r="J2024">
        <v>2050</v>
      </c>
      <c r="K2024" s="38" t="str">
        <f t="shared" si="251"/>
        <v>*0.91</v>
      </c>
      <c r="P2024" s="32" t="s">
        <v>2898</v>
      </c>
      <c r="Q2024" s="42" t="s">
        <v>57</v>
      </c>
      <c r="R2024" s="32">
        <v>2035</v>
      </c>
      <c r="S2024" s="43" t="str">
        <f t="shared" si="252"/>
        <v>*0.93</v>
      </c>
      <c r="U2024" s="32" t="s">
        <v>2898</v>
      </c>
      <c r="V2024" s="42" t="s">
        <v>57</v>
      </c>
      <c r="W2024" s="32">
        <v>2050</v>
      </c>
      <c r="X2024" s="43" t="str">
        <f t="shared" si="253"/>
        <v>*0.9</v>
      </c>
      <c r="AC2024" s="33" t="s">
        <v>2898</v>
      </c>
      <c r="AD2024" s="44" t="s">
        <v>57</v>
      </c>
      <c r="AE2024" s="33">
        <v>2035</v>
      </c>
      <c r="AF2024" s="45" t="str">
        <f t="shared" si="254"/>
        <v>*0.9</v>
      </c>
      <c r="AG2024" s="43" t="str">
        <f t="shared" si="256"/>
        <v>REZoning_Sol-Win</v>
      </c>
      <c r="AI2024" s="33" t="s">
        <v>2898</v>
      </c>
      <c r="AJ2024" s="44" t="s">
        <v>57</v>
      </c>
      <c r="AK2024" s="33">
        <v>2050</v>
      </c>
      <c r="AL2024" s="45" t="str">
        <f t="shared" si="255"/>
        <v>*0.86</v>
      </c>
      <c r="AM2024" s="43" t="str">
        <f t="shared" si="257"/>
        <v>REZoning_Sol-Win</v>
      </c>
      <c r="AP2024" t="s">
        <v>2898</v>
      </c>
      <c r="AQ2024" t="s">
        <v>57</v>
      </c>
      <c r="AR2024">
        <v>2100</v>
      </c>
      <c r="AS2024" t="s">
        <v>883</v>
      </c>
      <c r="AT2024" t="s">
        <v>58</v>
      </c>
    </row>
    <row r="2025" ht="29" spans="1:46">
      <c r="A2025" s="31" t="s">
        <v>79</v>
      </c>
      <c r="C2025" t="s">
        <v>2899</v>
      </c>
      <c r="D2025" s="5" t="s">
        <v>57</v>
      </c>
      <c r="E2025">
        <v>2035</v>
      </c>
      <c r="F2025" s="6" t="str">
        <f t="shared" si="250"/>
        <v>*0.94</v>
      </c>
      <c r="H2025" t="s">
        <v>2899</v>
      </c>
      <c r="I2025" s="5" t="s">
        <v>57</v>
      </c>
      <c r="J2025">
        <v>2050</v>
      </c>
      <c r="K2025" s="38" t="str">
        <f t="shared" si="251"/>
        <v>*0.9</v>
      </c>
      <c r="P2025" s="32" t="s">
        <v>2899</v>
      </c>
      <c r="Q2025" s="42" t="s">
        <v>57</v>
      </c>
      <c r="R2025" s="32">
        <v>2035</v>
      </c>
      <c r="S2025" s="43" t="str">
        <f t="shared" si="252"/>
        <v>*0.92</v>
      </c>
      <c r="U2025" s="32" t="s">
        <v>2899</v>
      </c>
      <c r="V2025" s="42" t="s">
        <v>57</v>
      </c>
      <c r="W2025" s="32">
        <v>2050</v>
      </c>
      <c r="X2025" s="43" t="str">
        <f t="shared" si="253"/>
        <v>*0.89</v>
      </c>
      <c r="AC2025" s="33" t="s">
        <v>2899</v>
      </c>
      <c r="AD2025" s="44" t="s">
        <v>57</v>
      </c>
      <c r="AE2025" s="33">
        <v>2035</v>
      </c>
      <c r="AF2025" s="45" t="str">
        <f t="shared" si="254"/>
        <v>*0.89</v>
      </c>
      <c r="AG2025" s="43" t="str">
        <f t="shared" si="256"/>
        <v>REZoning_Sol-Win</v>
      </c>
      <c r="AI2025" s="33" t="s">
        <v>2899</v>
      </c>
      <c r="AJ2025" s="44" t="s">
        <v>57</v>
      </c>
      <c r="AK2025" s="33">
        <v>2050</v>
      </c>
      <c r="AL2025" s="45" t="str">
        <f t="shared" si="255"/>
        <v>*0.84</v>
      </c>
      <c r="AM2025" s="43" t="str">
        <f t="shared" si="257"/>
        <v>REZoning_Sol-Win</v>
      </c>
      <c r="AP2025" t="s">
        <v>2899</v>
      </c>
      <c r="AQ2025" t="s">
        <v>57</v>
      </c>
      <c r="AR2025">
        <v>2100</v>
      </c>
      <c r="AS2025" t="s">
        <v>919</v>
      </c>
      <c r="AT2025" t="s">
        <v>58</v>
      </c>
    </row>
    <row r="2026" ht="29" spans="1:46">
      <c r="A2026" s="31" t="s">
        <v>79</v>
      </c>
      <c r="C2026" t="s">
        <v>2900</v>
      </c>
      <c r="D2026" s="5" t="s">
        <v>57</v>
      </c>
      <c r="E2026">
        <v>2035</v>
      </c>
      <c r="F2026" s="6" t="str">
        <f t="shared" si="250"/>
        <v>*0.94</v>
      </c>
      <c r="H2026" t="s">
        <v>2900</v>
      </c>
      <c r="I2026" s="5" t="s">
        <v>57</v>
      </c>
      <c r="J2026">
        <v>2050</v>
      </c>
      <c r="K2026" s="38" t="str">
        <f t="shared" si="251"/>
        <v>*0.9</v>
      </c>
      <c r="P2026" s="32" t="s">
        <v>2900</v>
      </c>
      <c r="Q2026" s="42" t="s">
        <v>57</v>
      </c>
      <c r="R2026" s="32">
        <v>2035</v>
      </c>
      <c r="S2026" s="43" t="str">
        <f t="shared" si="252"/>
        <v>*0.92</v>
      </c>
      <c r="U2026" s="32" t="s">
        <v>2900</v>
      </c>
      <c r="V2026" s="42" t="s">
        <v>57</v>
      </c>
      <c r="W2026" s="32">
        <v>2050</v>
      </c>
      <c r="X2026" s="43" t="str">
        <f t="shared" si="253"/>
        <v>*0.89</v>
      </c>
      <c r="AC2026" s="33" t="s">
        <v>2900</v>
      </c>
      <c r="AD2026" s="44" t="s">
        <v>57</v>
      </c>
      <c r="AE2026" s="33">
        <v>2035</v>
      </c>
      <c r="AF2026" s="45" t="str">
        <f t="shared" si="254"/>
        <v>*0.89</v>
      </c>
      <c r="AG2026" s="43" t="str">
        <f t="shared" si="256"/>
        <v>REZoning_Sol-Win</v>
      </c>
      <c r="AI2026" s="33" t="s">
        <v>2900</v>
      </c>
      <c r="AJ2026" s="44" t="s">
        <v>57</v>
      </c>
      <c r="AK2026" s="33">
        <v>2050</v>
      </c>
      <c r="AL2026" s="45" t="str">
        <f t="shared" si="255"/>
        <v>*0.84</v>
      </c>
      <c r="AM2026" s="43" t="str">
        <f t="shared" si="257"/>
        <v>REZoning_Sol-Win</v>
      </c>
      <c r="AP2026" t="s">
        <v>2900</v>
      </c>
      <c r="AQ2026" t="s">
        <v>57</v>
      </c>
      <c r="AR2026">
        <v>2100</v>
      </c>
      <c r="AS2026" t="s">
        <v>919</v>
      </c>
      <c r="AT2026" t="s">
        <v>58</v>
      </c>
    </row>
    <row r="2027" ht="29" spans="1:46">
      <c r="A2027" s="31" t="s">
        <v>79</v>
      </c>
      <c r="C2027" t="s">
        <v>2901</v>
      </c>
      <c r="D2027" s="5" t="s">
        <v>57</v>
      </c>
      <c r="E2027">
        <v>2035</v>
      </c>
      <c r="F2027" s="6" t="str">
        <f t="shared" si="250"/>
        <v>*0.94</v>
      </c>
      <c r="H2027" t="s">
        <v>2901</v>
      </c>
      <c r="I2027" s="5" t="s">
        <v>57</v>
      </c>
      <c r="J2027">
        <v>2050</v>
      </c>
      <c r="K2027" s="38" t="str">
        <f t="shared" si="251"/>
        <v>*0.9</v>
      </c>
      <c r="P2027" s="32" t="s">
        <v>2901</v>
      </c>
      <c r="Q2027" s="42" t="s">
        <v>57</v>
      </c>
      <c r="R2027" s="32">
        <v>2035</v>
      </c>
      <c r="S2027" s="43" t="str">
        <f t="shared" si="252"/>
        <v>*0.92</v>
      </c>
      <c r="U2027" s="32" t="s">
        <v>2901</v>
      </c>
      <c r="V2027" s="42" t="s">
        <v>57</v>
      </c>
      <c r="W2027" s="32">
        <v>2050</v>
      </c>
      <c r="X2027" s="43" t="str">
        <f t="shared" si="253"/>
        <v>*0.89</v>
      </c>
      <c r="AC2027" s="33" t="s">
        <v>2901</v>
      </c>
      <c r="AD2027" s="44" t="s">
        <v>57</v>
      </c>
      <c r="AE2027" s="33">
        <v>2035</v>
      </c>
      <c r="AF2027" s="45" t="str">
        <f t="shared" si="254"/>
        <v>*0.89</v>
      </c>
      <c r="AG2027" s="43" t="str">
        <f t="shared" si="256"/>
        <v>REZoning_Sol-Win</v>
      </c>
      <c r="AI2027" s="33" t="s">
        <v>2901</v>
      </c>
      <c r="AJ2027" s="44" t="s">
        <v>57</v>
      </c>
      <c r="AK2027" s="33">
        <v>2050</v>
      </c>
      <c r="AL2027" s="45" t="str">
        <f t="shared" si="255"/>
        <v>*0.84</v>
      </c>
      <c r="AM2027" s="43" t="str">
        <f t="shared" si="257"/>
        <v>REZoning_Sol-Win</v>
      </c>
      <c r="AP2027" t="s">
        <v>2901</v>
      </c>
      <c r="AQ2027" t="s">
        <v>57</v>
      </c>
      <c r="AR2027">
        <v>2100</v>
      </c>
      <c r="AS2027" t="s">
        <v>919</v>
      </c>
      <c r="AT2027" t="s">
        <v>58</v>
      </c>
    </row>
    <row r="2028" ht="29" spans="1:46">
      <c r="A2028" s="31" t="s">
        <v>79</v>
      </c>
      <c r="C2028" t="s">
        <v>2902</v>
      </c>
      <c r="D2028" s="5" t="s">
        <v>57</v>
      </c>
      <c r="E2028">
        <v>2035</v>
      </c>
      <c r="F2028" s="6" t="str">
        <f t="shared" si="250"/>
        <v>*0.94</v>
      </c>
      <c r="H2028" t="s">
        <v>2902</v>
      </c>
      <c r="I2028" s="5" t="s">
        <v>57</v>
      </c>
      <c r="J2028">
        <v>2050</v>
      </c>
      <c r="K2028" s="38" t="str">
        <f t="shared" si="251"/>
        <v>*0.9</v>
      </c>
      <c r="P2028" s="32" t="s">
        <v>2902</v>
      </c>
      <c r="Q2028" s="42" t="s">
        <v>57</v>
      </c>
      <c r="R2028" s="32">
        <v>2035</v>
      </c>
      <c r="S2028" s="43" t="str">
        <f t="shared" si="252"/>
        <v>*0.92</v>
      </c>
      <c r="U2028" s="32" t="s">
        <v>2902</v>
      </c>
      <c r="V2028" s="42" t="s">
        <v>57</v>
      </c>
      <c r="W2028" s="32">
        <v>2050</v>
      </c>
      <c r="X2028" s="43" t="str">
        <f t="shared" si="253"/>
        <v>*0.89</v>
      </c>
      <c r="AC2028" s="33" t="s">
        <v>2902</v>
      </c>
      <c r="AD2028" s="44" t="s">
        <v>57</v>
      </c>
      <c r="AE2028" s="33">
        <v>2035</v>
      </c>
      <c r="AF2028" s="45" t="str">
        <f t="shared" si="254"/>
        <v>*0.89</v>
      </c>
      <c r="AG2028" s="43" t="str">
        <f t="shared" si="256"/>
        <v>REZoning_Sol-Win</v>
      </c>
      <c r="AI2028" s="33" t="s">
        <v>2902</v>
      </c>
      <c r="AJ2028" s="44" t="s">
        <v>57</v>
      </c>
      <c r="AK2028" s="33">
        <v>2050</v>
      </c>
      <c r="AL2028" s="45" t="str">
        <f t="shared" si="255"/>
        <v>*0.84</v>
      </c>
      <c r="AM2028" s="43" t="str">
        <f t="shared" si="257"/>
        <v>REZoning_Sol-Win</v>
      </c>
      <c r="AP2028" t="s">
        <v>2902</v>
      </c>
      <c r="AQ2028" t="s">
        <v>57</v>
      </c>
      <c r="AR2028">
        <v>2100</v>
      </c>
      <c r="AS2028" t="s">
        <v>919</v>
      </c>
      <c r="AT2028" t="s">
        <v>58</v>
      </c>
    </row>
    <row r="2029" ht="29" spans="1:46">
      <c r="A2029" s="31" t="s">
        <v>79</v>
      </c>
      <c r="C2029" t="s">
        <v>2903</v>
      </c>
      <c r="D2029" s="5" t="s">
        <v>57</v>
      </c>
      <c r="E2029">
        <v>2035</v>
      </c>
      <c r="F2029" s="6" t="str">
        <f t="shared" si="250"/>
        <v>*0.94</v>
      </c>
      <c r="H2029" t="s">
        <v>2903</v>
      </c>
      <c r="I2029" s="5" t="s">
        <v>57</v>
      </c>
      <c r="J2029">
        <v>2050</v>
      </c>
      <c r="K2029" s="38" t="str">
        <f t="shared" si="251"/>
        <v>*0.9</v>
      </c>
      <c r="P2029" s="32" t="s">
        <v>2903</v>
      </c>
      <c r="Q2029" s="42" t="s">
        <v>57</v>
      </c>
      <c r="R2029" s="32">
        <v>2035</v>
      </c>
      <c r="S2029" s="43" t="str">
        <f t="shared" si="252"/>
        <v>*0.92</v>
      </c>
      <c r="U2029" s="32" t="s">
        <v>2903</v>
      </c>
      <c r="V2029" s="42" t="s">
        <v>57</v>
      </c>
      <c r="W2029" s="32">
        <v>2050</v>
      </c>
      <c r="X2029" s="43" t="str">
        <f t="shared" si="253"/>
        <v>*0.89</v>
      </c>
      <c r="AC2029" s="33" t="s">
        <v>2903</v>
      </c>
      <c r="AD2029" s="44" t="s">
        <v>57</v>
      </c>
      <c r="AE2029" s="33">
        <v>2035</v>
      </c>
      <c r="AF2029" s="45" t="str">
        <f t="shared" si="254"/>
        <v>*0.89</v>
      </c>
      <c r="AG2029" s="43" t="str">
        <f t="shared" si="256"/>
        <v>REZoning_Sol-Win</v>
      </c>
      <c r="AI2029" s="33" t="s">
        <v>2903</v>
      </c>
      <c r="AJ2029" s="44" t="s">
        <v>57</v>
      </c>
      <c r="AK2029" s="33">
        <v>2050</v>
      </c>
      <c r="AL2029" s="45" t="str">
        <f t="shared" si="255"/>
        <v>*0.84</v>
      </c>
      <c r="AM2029" s="43" t="str">
        <f t="shared" si="257"/>
        <v>REZoning_Sol-Win</v>
      </c>
      <c r="AP2029" t="s">
        <v>2903</v>
      </c>
      <c r="AQ2029" t="s">
        <v>57</v>
      </c>
      <c r="AR2029">
        <v>2100</v>
      </c>
      <c r="AS2029" t="s">
        <v>919</v>
      </c>
      <c r="AT2029" t="s">
        <v>58</v>
      </c>
    </row>
    <row r="2030" ht="29" spans="1:46">
      <c r="A2030" s="31" t="s">
        <v>79</v>
      </c>
      <c r="C2030" t="s">
        <v>2904</v>
      </c>
      <c r="D2030" s="5" t="s">
        <v>57</v>
      </c>
      <c r="E2030">
        <v>2035</v>
      </c>
      <c r="F2030" s="6" t="str">
        <f t="shared" si="250"/>
        <v>*0.94</v>
      </c>
      <c r="H2030" t="s">
        <v>2904</v>
      </c>
      <c r="I2030" s="5" t="s">
        <v>57</v>
      </c>
      <c r="J2030">
        <v>2050</v>
      </c>
      <c r="K2030" s="38" t="str">
        <f t="shared" si="251"/>
        <v>*0.9</v>
      </c>
      <c r="P2030" s="32" t="s">
        <v>2904</v>
      </c>
      <c r="Q2030" s="42" t="s">
        <v>57</v>
      </c>
      <c r="R2030" s="32">
        <v>2035</v>
      </c>
      <c r="S2030" s="43" t="str">
        <f t="shared" si="252"/>
        <v>*0.92</v>
      </c>
      <c r="U2030" s="32" t="s">
        <v>2904</v>
      </c>
      <c r="V2030" s="42" t="s">
        <v>57</v>
      </c>
      <c r="W2030" s="32">
        <v>2050</v>
      </c>
      <c r="X2030" s="43" t="str">
        <f t="shared" si="253"/>
        <v>*0.89</v>
      </c>
      <c r="AC2030" s="33" t="s">
        <v>2904</v>
      </c>
      <c r="AD2030" s="44" t="s">
        <v>57</v>
      </c>
      <c r="AE2030" s="33">
        <v>2035</v>
      </c>
      <c r="AF2030" s="45" t="str">
        <f t="shared" si="254"/>
        <v>*0.89</v>
      </c>
      <c r="AG2030" s="43" t="str">
        <f t="shared" si="256"/>
        <v>REZoning_Sol-Win</v>
      </c>
      <c r="AI2030" s="33" t="s">
        <v>2904</v>
      </c>
      <c r="AJ2030" s="44" t="s">
        <v>57</v>
      </c>
      <c r="AK2030" s="33">
        <v>2050</v>
      </c>
      <c r="AL2030" s="45" t="str">
        <f t="shared" si="255"/>
        <v>*0.84</v>
      </c>
      <c r="AM2030" s="43" t="str">
        <f t="shared" si="257"/>
        <v>REZoning_Sol-Win</v>
      </c>
      <c r="AP2030" t="s">
        <v>2904</v>
      </c>
      <c r="AQ2030" t="s">
        <v>57</v>
      </c>
      <c r="AR2030">
        <v>2100</v>
      </c>
      <c r="AS2030" t="s">
        <v>919</v>
      </c>
      <c r="AT2030" t="s">
        <v>58</v>
      </c>
    </row>
    <row r="2031" ht="29" spans="1:46">
      <c r="A2031" s="31" t="s">
        <v>79</v>
      </c>
      <c r="C2031" t="s">
        <v>2905</v>
      </c>
      <c r="D2031" s="5" t="s">
        <v>57</v>
      </c>
      <c r="E2031">
        <v>2035</v>
      </c>
      <c r="F2031" s="6" t="str">
        <f t="shared" si="250"/>
        <v>*0.94</v>
      </c>
      <c r="H2031" t="s">
        <v>2905</v>
      </c>
      <c r="I2031" s="5" t="s">
        <v>57</v>
      </c>
      <c r="J2031">
        <v>2050</v>
      </c>
      <c r="K2031" s="38" t="str">
        <f t="shared" si="251"/>
        <v>*0.9</v>
      </c>
      <c r="P2031" s="32" t="s">
        <v>2905</v>
      </c>
      <c r="Q2031" s="42" t="s">
        <v>57</v>
      </c>
      <c r="R2031" s="32">
        <v>2035</v>
      </c>
      <c r="S2031" s="43" t="str">
        <f t="shared" si="252"/>
        <v>*0.92</v>
      </c>
      <c r="U2031" s="32" t="s">
        <v>2905</v>
      </c>
      <c r="V2031" s="42" t="s">
        <v>57</v>
      </c>
      <c r="W2031" s="32">
        <v>2050</v>
      </c>
      <c r="X2031" s="43" t="str">
        <f t="shared" si="253"/>
        <v>*0.89</v>
      </c>
      <c r="AC2031" s="33" t="s">
        <v>2905</v>
      </c>
      <c r="AD2031" s="44" t="s">
        <v>57</v>
      </c>
      <c r="AE2031" s="33">
        <v>2035</v>
      </c>
      <c r="AF2031" s="45" t="str">
        <f t="shared" si="254"/>
        <v>*0.89</v>
      </c>
      <c r="AG2031" s="43" t="str">
        <f t="shared" si="256"/>
        <v>REZoning_Sol-Win</v>
      </c>
      <c r="AI2031" s="33" t="s">
        <v>2905</v>
      </c>
      <c r="AJ2031" s="44" t="s">
        <v>57</v>
      </c>
      <c r="AK2031" s="33">
        <v>2050</v>
      </c>
      <c r="AL2031" s="45" t="str">
        <f t="shared" si="255"/>
        <v>*0.84</v>
      </c>
      <c r="AM2031" s="43" t="str">
        <f t="shared" si="257"/>
        <v>REZoning_Sol-Win</v>
      </c>
      <c r="AP2031" t="s">
        <v>2905</v>
      </c>
      <c r="AQ2031" t="s">
        <v>57</v>
      </c>
      <c r="AR2031">
        <v>2100</v>
      </c>
      <c r="AS2031" t="s">
        <v>919</v>
      </c>
      <c r="AT2031" t="s">
        <v>58</v>
      </c>
    </row>
    <row r="2032" ht="29" spans="1:46">
      <c r="A2032" s="31" t="s">
        <v>65</v>
      </c>
      <c r="C2032" t="s">
        <v>2906</v>
      </c>
      <c r="D2032" s="5" t="s">
        <v>57</v>
      </c>
      <c r="E2032">
        <v>2035</v>
      </c>
      <c r="F2032" s="6" t="str">
        <f t="shared" si="250"/>
        <v>*0.94</v>
      </c>
      <c r="H2032" t="s">
        <v>2906</v>
      </c>
      <c r="I2032" s="5" t="s">
        <v>57</v>
      </c>
      <c r="J2032">
        <v>2050</v>
      </c>
      <c r="K2032" s="38" t="str">
        <f t="shared" si="251"/>
        <v>*0.91</v>
      </c>
      <c r="P2032" s="32" t="s">
        <v>2906</v>
      </c>
      <c r="Q2032" s="42" t="s">
        <v>57</v>
      </c>
      <c r="R2032" s="32">
        <v>2035</v>
      </c>
      <c r="S2032" s="43" t="str">
        <f t="shared" si="252"/>
        <v>*0.93</v>
      </c>
      <c r="U2032" s="32" t="s">
        <v>2906</v>
      </c>
      <c r="V2032" s="42" t="s">
        <v>57</v>
      </c>
      <c r="W2032" s="32">
        <v>2050</v>
      </c>
      <c r="X2032" s="43" t="str">
        <f t="shared" si="253"/>
        <v>*0.9</v>
      </c>
      <c r="AC2032" s="33" t="s">
        <v>2906</v>
      </c>
      <c r="AD2032" s="44" t="s">
        <v>57</v>
      </c>
      <c r="AE2032" s="33">
        <v>2035</v>
      </c>
      <c r="AF2032" s="45" t="str">
        <f t="shared" si="254"/>
        <v>*0.9</v>
      </c>
      <c r="AG2032" s="43" t="str">
        <f t="shared" si="256"/>
        <v>REZoning_Sol-Win</v>
      </c>
      <c r="AI2032" s="33" t="s">
        <v>2906</v>
      </c>
      <c r="AJ2032" s="44" t="s">
        <v>57</v>
      </c>
      <c r="AK2032" s="33">
        <v>2050</v>
      </c>
      <c r="AL2032" s="45" t="str">
        <f t="shared" si="255"/>
        <v>*0.86</v>
      </c>
      <c r="AM2032" s="43" t="str">
        <f t="shared" si="257"/>
        <v>REZoning_Sol-Win</v>
      </c>
      <c r="AP2032" t="s">
        <v>2906</v>
      </c>
      <c r="AQ2032" t="s">
        <v>57</v>
      </c>
      <c r="AR2032">
        <v>2100</v>
      </c>
      <c r="AS2032" t="s">
        <v>883</v>
      </c>
      <c r="AT2032" t="s">
        <v>58</v>
      </c>
    </row>
    <row r="2033" ht="29" spans="1:46">
      <c r="A2033" s="31" t="s">
        <v>65</v>
      </c>
      <c r="C2033" t="s">
        <v>2907</v>
      </c>
      <c r="D2033" s="5" t="s">
        <v>57</v>
      </c>
      <c r="E2033">
        <v>2035</v>
      </c>
      <c r="F2033" s="6" t="str">
        <f t="shared" si="250"/>
        <v>*0.94</v>
      </c>
      <c r="H2033" t="s">
        <v>2907</v>
      </c>
      <c r="I2033" s="5" t="s">
        <v>57</v>
      </c>
      <c r="J2033">
        <v>2050</v>
      </c>
      <c r="K2033" s="38" t="str">
        <f t="shared" si="251"/>
        <v>*0.91</v>
      </c>
      <c r="P2033" s="32" t="s">
        <v>2907</v>
      </c>
      <c r="Q2033" s="42" t="s">
        <v>57</v>
      </c>
      <c r="R2033" s="32">
        <v>2035</v>
      </c>
      <c r="S2033" s="43" t="str">
        <f t="shared" si="252"/>
        <v>*0.93</v>
      </c>
      <c r="U2033" s="32" t="s">
        <v>2907</v>
      </c>
      <c r="V2033" s="42" t="s">
        <v>57</v>
      </c>
      <c r="W2033" s="32">
        <v>2050</v>
      </c>
      <c r="X2033" s="43" t="str">
        <f t="shared" si="253"/>
        <v>*0.9</v>
      </c>
      <c r="AC2033" s="33" t="s">
        <v>2907</v>
      </c>
      <c r="AD2033" s="44" t="s">
        <v>57</v>
      </c>
      <c r="AE2033" s="33">
        <v>2035</v>
      </c>
      <c r="AF2033" s="45" t="str">
        <f t="shared" si="254"/>
        <v>*0.9</v>
      </c>
      <c r="AG2033" s="43" t="str">
        <f t="shared" si="256"/>
        <v>REZoning_Sol-Win</v>
      </c>
      <c r="AI2033" s="33" t="s">
        <v>2907</v>
      </c>
      <c r="AJ2033" s="44" t="s">
        <v>57</v>
      </c>
      <c r="AK2033" s="33">
        <v>2050</v>
      </c>
      <c r="AL2033" s="45" t="str">
        <f t="shared" si="255"/>
        <v>*0.86</v>
      </c>
      <c r="AM2033" s="43" t="str">
        <f t="shared" si="257"/>
        <v>REZoning_Sol-Win</v>
      </c>
      <c r="AP2033" t="s">
        <v>2907</v>
      </c>
      <c r="AQ2033" t="s">
        <v>57</v>
      </c>
      <c r="AR2033">
        <v>2100</v>
      </c>
      <c r="AS2033" t="s">
        <v>883</v>
      </c>
      <c r="AT2033" t="s">
        <v>58</v>
      </c>
    </row>
    <row r="2034" ht="29" spans="1:46">
      <c r="A2034" s="31" t="s">
        <v>65</v>
      </c>
      <c r="C2034" t="s">
        <v>2908</v>
      </c>
      <c r="D2034" s="5" t="s">
        <v>57</v>
      </c>
      <c r="E2034">
        <v>2035</v>
      </c>
      <c r="F2034" s="6" t="str">
        <f t="shared" si="250"/>
        <v>*0.94</v>
      </c>
      <c r="H2034" t="s">
        <v>2908</v>
      </c>
      <c r="I2034" s="5" t="s">
        <v>57</v>
      </c>
      <c r="J2034">
        <v>2050</v>
      </c>
      <c r="K2034" s="38" t="str">
        <f t="shared" si="251"/>
        <v>*0.91</v>
      </c>
      <c r="P2034" s="32" t="s">
        <v>2908</v>
      </c>
      <c r="Q2034" s="42" t="s">
        <v>57</v>
      </c>
      <c r="R2034" s="32">
        <v>2035</v>
      </c>
      <c r="S2034" s="43" t="str">
        <f t="shared" si="252"/>
        <v>*0.93</v>
      </c>
      <c r="U2034" s="32" t="s">
        <v>2908</v>
      </c>
      <c r="V2034" s="42" t="s">
        <v>57</v>
      </c>
      <c r="W2034" s="32">
        <v>2050</v>
      </c>
      <c r="X2034" s="43" t="str">
        <f t="shared" si="253"/>
        <v>*0.9</v>
      </c>
      <c r="AC2034" s="33" t="s">
        <v>2908</v>
      </c>
      <c r="AD2034" s="44" t="s">
        <v>57</v>
      </c>
      <c r="AE2034" s="33">
        <v>2035</v>
      </c>
      <c r="AF2034" s="45" t="str">
        <f t="shared" si="254"/>
        <v>*0.9</v>
      </c>
      <c r="AG2034" s="43" t="str">
        <f t="shared" si="256"/>
        <v>REZoning_Sol-Win</v>
      </c>
      <c r="AI2034" s="33" t="s">
        <v>2908</v>
      </c>
      <c r="AJ2034" s="44" t="s">
        <v>57</v>
      </c>
      <c r="AK2034" s="33">
        <v>2050</v>
      </c>
      <c r="AL2034" s="45" t="str">
        <f t="shared" si="255"/>
        <v>*0.86</v>
      </c>
      <c r="AM2034" s="43" t="str">
        <f t="shared" si="257"/>
        <v>REZoning_Sol-Win</v>
      </c>
      <c r="AP2034" t="s">
        <v>2908</v>
      </c>
      <c r="AQ2034" t="s">
        <v>57</v>
      </c>
      <c r="AR2034">
        <v>2100</v>
      </c>
      <c r="AS2034" t="s">
        <v>883</v>
      </c>
      <c r="AT2034" t="s">
        <v>58</v>
      </c>
    </row>
    <row r="2035" ht="29" spans="1:46">
      <c r="A2035" s="31" t="s">
        <v>169</v>
      </c>
      <c r="C2035" t="s">
        <v>2909</v>
      </c>
      <c r="D2035" s="5" t="s">
        <v>57</v>
      </c>
      <c r="E2035">
        <v>2035</v>
      </c>
      <c r="F2035" s="6" t="str">
        <f t="shared" si="250"/>
        <v>*0.94</v>
      </c>
      <c r="H2035" t="s">
        <v>2909</v>
      </c>
      <c r="I2035" s="5" t="s">
        <v>57</v>
      </c>
      <c r="J2035">
        <v>2050</v>
      </c>
      <c r="K2035" s="38" t="str">
        <f t="shared" si="251"/>
        <v>*0.92</v>
      </c>
      <c r="P2035" s="32" t="s">
        <v>2909</v>
      </c>
      <c r="Q2035" s="42" t="s">
        <v>57</v>
      </c>
      <c r="R2035" s="32">
        <v>2035</v>
      </c>
      <c r="S2035" s="43" t="str">
        <f t="shared" si="252"/>
        <v>*0.93</v>
      </c>
      <c r="U2035" s="32" t="s">
        <v>2909</v>
      </c>
      <c r="V2035" s="42" t="s">
        <v>57</v>
      </c>
      <c r="W2035" s="32">
        <v>2050</v>
      </c>
      <c r="X2035" s="43" t="str">
        <f t="shared" si="253"/>
        <v>*0.92</v>
      </c>
      <c r="AC2035" s="33" t="s">
        <v>2909</v>
      </c>
      <c r="AD2035" s="44" t="s">
        <v>57</v>
      </c>
      <c r="AE2035" s="33">
        <v>2035</v>
      </c>
      <c r="AF2035" s="45" t="str">
        <f t="shared" si="254"/>
        <v>*0.91</v>
      </c>
      <c r="AG2035" s="43" t="str">
        <f t="shared" si="256"/>
        <v>REZoning_Sol-Win</v>
      </c>
      <c r="AI2035" s="33" t="s">
        <v>2909</v>
      </c>
      <c r="AJ2035" s="44" t="s">
        <v>57</v>
      </c>
      <c r="AK2035" s="33">
        <v>2050</v>
      </c>
      <c r="AL2035" s="45" t="str">
        <f t="shared" si="255"/>
        <v>*0.87</v>
      </c>
      <c r="AM2035" s="43" t="str">
        <f t="shared" si="257"/>
        <v>REZoning_Sol-Win</v>
      </c>
      <c r="AP2035" t="s">
        <v>2909</v>
      </c>
      <c r="AQ2035" t="s">
        <v>57</v>
      </c>
      <c r="AR2035">
        <v>2100</v>
      </c>
      <c r="AS2035" t="s">
        <v>874</v>
      </c>
      <c r="AT2035" t="s">
        <v>58</v>
      </c>
    </row>
    <row r="2036" ht="29" spans="1:46">
      <c r="A2036" s="31" t="s">
        <v>169</v>
      </c>
      <c r="C2036" t="s">
        <v>2910</v>
      </c>
      <c r="D2036" s="5" t="s">
        <v>57</v>
      </c>
      <c r="E2036">
        <v>2035</v>
      </c>
      <c r="F2036" s="6" t="str">
        <f t="shared" si="250"/>
        <v>*0.94</v>
      </c>
      <c r="H2036" t="s">
        <v>2910</v>
      </c>
      <c r="I2036" s="5" t="s">
        <v>57</v>
      </c>
      <c r="J2036">
        <v>2050</v>
      </c>
      <c r="K2036" s="38" t="str">
        <f t="shared" si="251"/>
        <v>*0.92</v>
      </c>
      <c r="P2036" s="32" t="s">
        <v>2910</v>
      </c>
      <c r="Q2036" s="42" t="s">
        <v>57</v>
      </c>
      <c r="R2036" s="32">
        <v>2035</v>
      </c>
      <c r="S2036" s="43" t="str">
        <f t="shared" si="252"/>
        <v>*0.93</v>
      </c>
      <c r="U2036" s="32" t="s">
        <v>2910</v>
      </c>
      <c r="V2036" s="42" t="s">
        <v>57</v>
      </c>
      <c r="W2036" s="32">
        <v>2050</v>
      </c>
      <c r="X2036" s="43" t="str">
        <f t="shared" si="253"/>
        <v>*0.92</v>
      </c>
      <c r="AC2036" s="33" t="s">
        <v>2910</v>
      </c>
      <c r="AD2036" s="44" t="s">
        <v>57</v>
      </c>
      <c r="AE2036" s="33">
        <v>2035</v>
      </c>
      <c r="AF2036" s="45" t="str">
        <f t="shared" si="254"/>
        <v>*0.91</v>
      </c>
      <c r="AG2036" s="43" t="str">
        <f t="shared" si="256"/>
        <v>REZoning_Sol-Win</v>
      </c>
      <c r="AI2036" s="33" t="s">
        <v>2910</v>
      </c>
      <c r="AJ2036" s="44" t="s">
        <v>57</v>
      </c>
      <c r="AK2036" s="33">
        <v>2050</v>
      </c>
      <c r="AL2036" s="45" t="str">
        <f t="shared" si="255"/>
        <v>*0.87</v>
      </c>
      <c r="AM2036" s="43" t="str">
        <f t="shared" si="257"/>
        <v>REZoning_Sol-Win</v>
      </c>
      <c r="AP2036" t="s">
        <v>2910</v>
      </c>
      <c r="AQ2036" t="s">
        <v>57</v>
      </c>
      <c r="AR2036">
        <v>2100</v>
      </c>
      <c r="AS2036" t="s">
        <v>874</v>
      </c>
      <c r="AT2036" t="s">
        <v>58</v>
      </c>
    </row>
    <row r="2037" ht="29" spans="1:46">
      <c r="A2037" s="31" t="s">
        <v>169</v>
      </c>
      <c r="C2037" t="s">
        <v>2911</v>
      </c>
      <c r="D2037" s="5" t="s">
        <v>57</v>
      </c>
      <c r="E2037">
        <v>2035</v>
      </c>
      <c r="F2037" s="6" t="str">
        <f t="shared" si="250"/>
        <v>*0.94</v>
      </c>
      <c r="H2037" t="s">
        <v>2911</v>
      </c>
      <c r="I2037" s="5" t="s">
        <v>57</v>
      </c>
      <c r="J2037">
        <v>2050</v>
      </c>
      <c r="K2037" s="38" t="str">
        <f t="shared" si="251"/>
        <v>*0.92</v>
      </c>
      <c r="P2037" s="32" t="s">
        <v>2911</v>
      </c>
      <c r="Q2037" s="42" t="s">
        <v>57</v>
      </c>
      <c r="R2037" s="32">
        <v>2035</v>
      </c>
      <c r="S2037" s="43" t="str">
        <f t="shared" si="252"/>
        <v>*0.93</v>
      </c>
      <c r="U2037" s="32" t="s">
        <v>2911</v>
      </c>
      <c r="V2037" s="42" t="s">
        <v>57</v>
      </c>
      <c r="W2037" s="32">
        <v>2050</v>
      </c>
      <c r="X2037" s="43" t="str">
        <f t="shared" si="253"/>
        <v>*0.92</v>
      </c>
      <c r="AC2037" s="33" t="s">
        <v>2911</v>
      </c>
      <c r="AD2037" s="44" t="s">
        <v>57</v>
      </c>
      <c r="AE2037" s="33">
        <v>2035</v>
      </c>
      <c r="AF2037" s="45" t="str">
        <f t="shared" si="254"/>
        <v>*0.91</v>
      </c>
      <c r="AG2037" s="43" t="str">
        <f t="shared" si="256"/>
        <v>REZoning_Sol-Win</v>
      </c>
      <c r="AI2037" s="33" t="s">
        <v>2911</v>
      </c>
      <c r="AJ2037" s="44" t="s">
        <v>57</v>
      </c>
      <c r="AK2037" s="33">
        <v>2050</v>
      </c>
      <c r="AL2037" s="45" t="str">
        <f t="shared" si="255"/>
        <v>*0.87</v>
      </c>
      <c r="AM2037" s="43" t="str">
        <f t="shared" si="257"/>
        <v>REZoning_Sol-Win</v>
      </c>
      <c r="AP2037" t="s">
        <v>2911</v>
      </c>
      <c r="AQ2037" t="s">
        <v>57</v>
      </c>
      <c r="AR2037">
        <v>2100</v>
      </c>
      <c r="AS2037" t="s">
        <v>874</v>
      </c>
      <c r="AT2037" t="s">
        <v>58</v>
      </c>
    </row>
    <row r="2038" ht="29" spans="1:46">
      <c r="A2038" s="31" t="s">
        <v>169</v>
      </c>
      <c r="C2038" t="s">
        <v>2912</v>
      </c>
      <c r="D2038" s="5" t="s">
        <v>57</v>
      </c>
      <c r="E2038">
        <v>2035</v>
      </c>
      <c r="F2038" s="6" t="str">
        <f t="shared" si="250"/>
        <v>*0.94</v>
      </c>
      <c r="H2038" t="s">
        <v>2912</v>
      </c>
      <c r="I2038" s="5" t="s">
        <v>57</v>
      </c>
      <c r="J2038">
        <v>2050</v>
      </c>
      <c r="K2038" s="38" t="str">
        <f t="shared" si="251"/>
        <v>*0.92</v>
      </c>
      <c r="P2038" s="32" t="s">
        <v>2912</v>
      </c>
      <c r="Q2038" s="42" t="s">
        <v>57</v>
      </c>
      <c r="R2038" s="32">
        <v>2035</v>
      </c>
      <c r="S2038" s="43" t="str">
        <f t="shared" si="252"/>
        <v>*0.93</v>
      </c>
      <c r="U2038" s="32" t="s">
        <v>2912</v>
      </c>
      <c r="V2038" s="42" t="s">
        <v>57</v>
      </c>
      <c r="W2038" s="32">
        <v>2050</v>
      </c>
      <c r="X2038" s="43" t="str">
        <f t="shared" si="253"/>
        <v>*0.92</v>
      </c>
      <c r="AC2038" s="33" t="s">
        <v>2912</v>
      </c>
      <c r="AD2038" s="44" t="s">
        <v>57</v>
      </c>
      <c r="AE2038" s="33">
        <v>2035</v>
      </c>
      <c r="AF2038" s="45" t="str">
        <f t="shared" si="254"/>
        <v>*0.91</v>
      </c>
      <c r="AG2038" s="43" t="str">
        <f t="shared" si="256"/>
        <v>REZoning_Sol-Win</v>
      </c>
      <c r="AI2038" s="33" t="s">
        <v>2912</v>
      </c>
      <c r="AJ2038" s="44" t="s">
        <v>57</v>
      </c>
      <c r="AK2038" s="33">
        <v>2050</v>
      </c>
      <c r="AL2038" s="45" t="str">
        <f t="shared" si="255"/>
        <v>*0.87</v>
      </c>
      <c r="AM2038" s="43" t="str">
        <f t="shared" si="257"/>
        <v>REZoning_Sol-Win</v>
      </c>
      <c r="AP2038" t="s">
        <v>2912</v>
      </c>
      <c r="AQ2038" t="s">
        <v>57</v>
      </c>
      <c r="AR2038">
        <v>2100</v>
      </c>
      <c r="AS2038" t="s">
        <v>874</v>
      </c>
      <c r="AT2038" t="s">
        <v>58</v>
      </c>
    </row>
    <row r="2039" ht="29" spans="1:46">
      <c r="A2039" s="31" t="s">
        <v>169</v>
      </c>
      <c r="C2039" t="s">
        <v>2913</v>
      </c>
      <c r="D2039" s="5" t="s">
        <v>57</v>
      </c>
      <c r="E2039">
        <v>2035</v>
      </c>
      <c r="F2039" s="6" t="str">
        <f t="shared" si="250"/>
        <v>*0.94</v>
      </c>
      <c r="H2039" t="s">
        <v>2913</v>
      </c>
      <c r="I2039" s="5" t="s">
        <v>57</v>
      </c>
      <c r="J2039">
        <v>2050</v>
      </c>
      <c r="K2039" s="38" t="str">
        <f t="shared" si="251"/>
        <v>*0.92</v>
      </c>
      <c r="P2039" s="32" t="s">
        <v>2913</v>
      </c>
      <c r="Q2039" s="42" t="s">
        <v>57</v>
      </c>
      <c r="R2039" s="32">
        <v>2035</v>
      </c>
      <c r="S2039" s="43" t="str">
        <f t="shared" si="252"/>
        <v>*0.93</v>
      </c>
      <c r="U2039" s="32" t="s">
        <v>2913</v>
      </c>
      <c r="V2039" s="42" t="s">
        <v>57</v>
      </c>
      <c r="W2039" s="32">
        <v>2050</v>
      </c>
      <c r="X2039" s="43" t="str">
        <f t="shared" si="253"/>
        <v>*0.92</v>
      </c>
      <c r="AC2039" s="33" t="s">
        <v>2913</v>
      </c>
      <c r="AD2039" s="44" t="s">
        <v>57</v>
      </c>
      <c r="AE2039" s="33">
        <v>2035</v>
      </c>
      <c r="AF2039" s="45" t="str">
        <f t="shared" si="254"/>
        <v>*0.91</v>
      </c>
      <c r="AG2039" s="43" t="str">
        <f t="shared" si="256"/>
        <v>REZoning_Sol-Win</v>
      </c>
      <c r="AI2039" s="33" t="s">
        <v>2913</v>
      </c>
      <c r="AJ2039" s="44" t="s">
        <v>57</v>
      </c>
      <c r="AK2039" s="33">
        <v>2050</v>
      </c>
      <c r="AL2039" s="45" t="str">
        <f t="shared" si="255"/>
        <v>*0.87</v>
      </c>
      <c r="AM2039" s="43" t="str">
        <f t="shared" si="257"/>
        <v>REZoning_Sol-Win</v>
      </c>
      <c r="AP2039" t="s">
        <v>2913</v>
      </c>
      <c r="AQ2039" t="s">
        <v>57</v>
      </c>
      <c r="AR2039">
        <v>2100</v>
      </c>
      <c r="AS2039" t="s">
        <v>874</v>
      </c>
      <c r="AT2039" t="s">
        <v>58</v>
      </c>
    </row>
    <row r="2040" ht="29" spans="1:46">
      <c r="A2040" s="31" t="s">
        <v>169</v>
      </c>
      <c r="C2040" t="s">
        <v>2914</v>
      </c>
      <c r="D2040" s="5" t="s">
        <v>57</v>
      </c>
      <c r="E2040">
        <v>2035</v>
      </c>
      <c r="F2040" s="6" t="str">
        <f t="shared" si="250"/>
        <v>*0.94</v>
      </c>
      <c r="H2040" t="s">
        <v>2914</v>
      </c>
      <c r="I2040" s="5" t="s">
        <v>57</v>
      </c>
      <c r="J2040">
        <v>2050</v>
      </c>
      <c r="K2040" s="38" t="str">
        <f t="shared" si="251"/>
        <v>*0.92</v>
      </c>
      <c r="P2040" s="32" t="s">
        <v>2914</v>
      </c>
      <c r="Q2040" s="42" t="s">
        <v>57</v>
      </c>
      <c r="R2040" s="32">
        <v>2035</v>
      </c>
      <c r="S2040" s="43" t="str">
        <f t="shared" si="252"/>
        <v>*0.93</v>
      </c>
      <c r="U2040" s="32" t="s">
        <v>2914</v>
      </c>
      <c r="V2040" s="42" t="s">
        <v>57</v>
      </c>
      <c r="W2040" s="32">
        <v>2050</v>
      </c>
      <c r="X2040" s="43" t="str">
        <f t="shared" si="253"/>
        <v>*0.92</v>
      </c>
      <c r="AC2040" s="33" t="s">
        <v>2914</v>
      </c>
      <c r="AD2040" s="44" t="s">
        <v>57</v>
      </c>
      <c r="AE2040" s="33">
        <v>2035</v>
      </c>
      <c r="AF2040" s="45" t="str">
        <f t="shared" si="254"/>
        <v>*0.91</v>
      </c>
      <c r="AG2040" s="43" t="str">
        <f t="shared" si="256"/>
        <v>REZoning_Sol-Win</v>
      </c>
      <c r="AI2040" s="33" t="s">
        <v>2914</v>
      </c>
      <c r="AJ2040" s="44" t="s">
        <v>57</v>
      </c>
      <c r="AK2040" s="33">
        <v>2050</v>
      </c>
      <c r="AL2040" s="45" t="str">
        <f t="shared" si="255"/>
        <v>*0.87</v>
      </c>
      <c r="AM2040" s="43" t="str">
        <f t="shared" si="257"/>
        <v>REZoning_Sol-Win</v>
      </c>
      <c r="AP2040" t="s">
        <v>2914</v>
      </c>
      <c r="AQ2040" t="s">
        <v>57</v>
      </c>
      <c r="AR2040">
        <v>2100</v>
      </c>
      <c r="AS2040" t="s">
        <v>874</v>
      </c>
      <c r="AT2040" t="s">
        <v>58</v>
      </c>
    </row>
    <row r="2041" ht="29" spans="1:46">
      <c r="A2041" s="31" t="s">
        <v>169</v>
      </c>
      <c r="C2041" t="s">
        <v>2915</v>
      </c>
      <c r="D2041" s="5" t="s">
        <v>57</v>
      </c>
      <c r="E2041">
        <v>2035</v>
      </c>
      <c r="F2041" s="6" t="str">
        <f t="shared" si="250"/>
        <v>*0.94</v>
      </c>
      <c r="H2041" t="s">
        <v>2915</v>
      </c>
      <c r="I2041" s="5" t="s">
        <v>57</v>
      </c>
      <c r="J2041">
        <v>2050</v>
      </c>
      <c r="K2041" s="38" t="str">
        <f t="shared" si="251"/>
        <v>*0.92</v>
      </c>
      <c r="P2041" s="32" t="s">
        <v>2915</v>
      </c>
      <c r="Q2041" s="42" t="s">
        <v>57</v>
      </c>
      <c r="R2041" s="32">
        <v>2035</v>
      </c>
      <c r="S2041" s="43" t="str">
        <f t="shared" si="252"/>
        <v>*0.93</v>
      </c>
      <c r="U2041" s="32" t="s">
        <v>2915</v>
      </c>
      <c r="V2041" s="42" t="s">
        <v>57</v>
      </c>
      <c r="W2041" s="32">
        <v>2050</v>
      </c>
      <c r="X2041" s="43" t="str">
        <f t="shared" si="253"/>
        <v>*0.92</v>
      </c>
      <c r="AC2041" s="33" t="s">
        <v>2915</v>
      </c>
      <c r="AD2041" s="44" t="s">
        <v>57</v>
      </c>
      <c r="AE2041" s="33">
        <v>2035</v>
      </c>
      <c r="AF2041" s="45" t="str">
        <f t="shared" si="254"/>
        <v>*0.91</v>
      </c>
      <c r="AG2041" s="43" t="str">
        <f t="shared" si="256"/>
        <v>REZoning_Sol-Win</v>
      </c>
      <c r="AI2041" s="33" t="s">
        <v>2915</v>
      </c>
      <c r="AJ2041" s="44" t="s">
        <v>57</v>
      </c>
      <c r="AK2041" s="33">
        <v>2050</v>
      </c>
      <c r="AL2041" s="45" t="str">
        <f t="shared" si="255"/>
        <v>*0.87</v>
      </c>
      <c r="AM2041" s="43" t="str">
        <f t="shared" si="257"/>
        <v>REZoning_Sol-Win</v>
      </c>
      <c r="AP2041" t="s">
        <v>2915</v>
      </c>
      <c r="AQ2041" t="s">
        <v>57</v>
      </c>
      <c r="AR2041">
        <v>2100</v>
      </c>
      <c r="AS2041" t="s">
        <v>874</v>
      </c>
      <c r="AT2041" t="s">
        <v>58</v>
      </c>
    </row>
    <row r="2042" ht="29" spans="1:46">
      <c r="A2042" s="31" t="s">
        <v>169</v>
      </c>
      <c r="C2042" t="s">
        <v>2916</v>
      </c>
      <c r="D2042" s="5" t="s">
        <v>57</v>
      </c>
      <c r="E2042">
        <v>2035</v>
      </c>
      <c r="F2042" s="6" t="str">
        <f t="shared" si="250"/>
        <v>*0.94</v>
      </c>
      <c r="H2042" t="s">
        <v>2916</v>
      </c>
      <c r="I2042" s="5" t="s">
        <v>57</v>
      </c>
      <c r="J2042">
        <v>2050</v>
      </c>
      <c r="K2042" s="38" t="str">
        <f t="shared" si="251"/>
        <v>*0.92</v>
      </c>
      <c r="P2042" s="32" t="s">
        <v>2916</v>
      </c>
      <c r="Q2042" s="42" t="s">
        <v>57</v>
      </c>
      <c r="R2042" s="32">
        <v>2035</v>
      </c>
      <c r="S2042" s="43" t="str">
        <f t="shared" si="252"/>
        <v>*0.93</v>
      </c>
      <c r="U2042" s="32" t="s">
        <v>2916</v>
      </c>
      <c r="V2042" s="42" t="s">
        <v>57</v>
      </c>
      <c r="W2042" s="32">
        <v>2050</v>
      </c>
      <c r="X2042" s="43" t="str">
        <f t="shared" si="253"/>
        <v>*0.92</v>
      </c>
      <c r="AC2042" s="33" t="s">
        <v>2916</v>
      </c>
      <c r="AD2042" s="44" t="s">
        <v>57</v>
      </c>
      <c r="AE2042" s="33">
        <v>2035</v>
      </c>
      <c r="AF2042" s="45" t="str">
        <f t="shared" si="254"/>
        <v>*0.91</v>
      </c>
      <c r="AG2042" s="43" t="str">
        <f t="shared" si="256"/>
        <v>REZoning_Sol-Win</v>
      </c>
      <c r="AI2042" s="33" t="s">
        <v>2916</v>
      </c>
      <c r="AJ2042" s="44" t="s">
        <v>57</v>
      </c>
      <c r="AK2042" s="33">
        <v>2050</v>
      </c>
      <c r="AL2042" s="45" t="str">
        <f t="shared" si="255"/>
        <v>*0.87</v>
      </c>
      <c r="AM2042" s="43" t="str">
        <f t="shared" si="257"/>
        <v>REZoning_Sol-Win</v>
      </c>
      <c r="AP2042" t="s">
        <v>2916</v>
      </c>
      <c r="AQ2042" t="s">
        <v>57</v>
      </c>
      <c r="AR2042">
        <v>2100</v>
      </c>
      <c r="AS2042" t="s">
        <v>874</v>
      </c>
      <c r="AT2042" t="s">
        <v>58</v>
      </c>
    </row>
    <row r="2043" ht="29" spans="1:46">
      <c r="A2043" s="31" t="s">
        <v>169</v>
      </c>
      <c r="C2043" t="s">
        <v>2917</v>
      </c>
      <c r="D2043" s="5" t="s">
        <v>57</v>
      </c>
      <c r="E2043">
        <v>2035</v>
      </c>
      <c r="F2043" s="6" t="str">
        <f t="shared" si="250"/>
        <v>*0.94</v>
      </c>
      <c r="H2043" t="s">
        <v>2917</v>
      </c>
      <c r="I2043" s="5" t="s">
        <v>57</v>
      </c>
      <c r="J2043">
        <v>2050</v>
      </c>
      <c r="K2043" s="38" t="str">
        <f t="shared" si="251"/>
        <v>*0.92</v>
      </c>
      <c r="P2043" s="32" t="s">
        <v>2917</v>
      </c>
      <c r="Q2043" s="42" t="s">
        <v>57</v>
      </c>
      <c r="R2043" s="32">
        <v>2035</v>
      </c>
      <c r="S2043" s="43" t="str">
        <f t="shared" si="252"/>
        <v>*0.93</v>
      </c>
      <c r="U2043" s="32" t="s">
        <v>2917</v>
      </c>
      <c r="V2043" s="42" t="s">
        <v>57</v>
      </c>
      <c r="W2043" s="32">
        <v>2050</v>
      </c>
      <c r="X2043" s="43" t="str">
        <f t="shared" si="253"/>
        <v>*0.92</v>
      </c>
      <c r="AC2043" s="33" t="s">
        <v>2917</v>
      </c>
      <c r="AD2043" s="44" t="s">
        <v>57</v>
      </c>
      <c r="AE2043" s="33">
        <v>2035</v>
      </c>
      <c r="AF2043" s="45" t="str">
        <f t="shared" si="254"/>
        <v>*0.91</v>
      </c>
      <c r="AG2043" s="43" t="str">
        <f t="shared" si="256"/>
        <v>REZoning_Sol-Win</v>
      </c>
      <c r="AI2043" s="33" t="s">
        <v>2917</v>
      </c>
      <c r="AJ2043" s="44" t="s">
        <v>57</v>
      </c>
      <c r="AK2043" s="33">
        <v>2050</v>
      </c>
      <c r="AL2043" s="45" t="str">
        <f t="shared" si="255"/>
        <v>*0.87</v>
      </c>
      <c r="AM2043" s="43" t="str">
        <f t="shared" si="257"/>
        <v>REZoning_Sol-Win</v>
      </c>
      <c r="AP2043" t="s">
        <v>2917</v>
      </c>
      <c r="AQ2043" t="s">
        <v>57</v>
      </c>
      <c r="AR2043">
        <v>2100</v>
      </c>
      <c r="AS2043" t="s">
        <v>874</v>
      </c>
      <c r="AT2043" t="s">
        <v>58</v>
      </c>
    </row>
    <row r="2044" ht="29" spans="1:46">
      <c r="A2044" s="31" t="s">
        <v>169</v>
      </c>
      <c r="C2044" t="s">
        <v>2918</v>
      </c>
      <c r="D2044" s="5" t="s">
        <v>57</v>
      </c>
      <c r="E2044">
        <v>2035</v>
      </c>
      <c r="F2044" s="6" t="str">
        <f t="shared" si="250"/>
        <v>*0.94</v>
      </c>
      <c r="H2044" t="s">
        <v>2918</v>
      </c>
      <c r="I2044" s="5" t="s">
        <v>57</v>
      </c>
      <c r="J2044">
        <v>2050</v>
      </c>
      <c r="K2044" s="38" t="str">
        <f t="shared" si="251"/>
        <v>*0.92</v>
      </c>
      <c r="P2044" s="32" t="s">
        <v>2918</v>
      </c>
      <c r="Q2044" s="42" t="s">
        <v>57</v>
      </c>
      <c r="R2044" s="32">
        <v>2035</v>
      </c>
      <c r="S2044" s="43" t="str">
        <f t="shared" si="252"/>
        <v>*0.93</v>
      </c>
      <c r="U2044" s="32" t="s">
        <v>2918</v>
      </c>
      <c r="V2044" s="42" t="s">
        <v>57</v>
      </c>
      <c r="W2044" s="32">
        <v>2050</v>
      </c>
      <c r="X2044" s="43" t="str">
        <f t="shared" si="253"/>
        <v>*0.92</v>
      </c>
      <c r="AC2044" s="33" t="s">
        <v>2918</v>
      </c>
      <c r="AD2044" s="44" t="s">
        <v>57</v>
      </c>
      <c r="AE2044" s="33">
        <v>2035</v>
      </c>
      <c r="AF2044" s="45" t="str">
        <f t="shared" si="254"/>
        <v>*0.91</v>
      </c>
      <c r="AG2044" s="43" t="str">
        <f t="shared" si="256"/>
        <v>REZoning_Sol-Win</v>
      </c>
      <c r="AI2044" s="33" t="s">
        <v>2918</v>
      </c>
      <c r="AJ2044" s="44" t="s">
        <v>57</v>
      </c>
      <c r="AK2044" s="33">
        <v>2050</v>
      </c>
      <c r="AL2044" s="45" t="str">
        <f t="shared" si="255"/>
        <v>*0.87</v>
      </c>
      <c r="AM2044" s="43" t="str">
        <f t="shared" si="257"/>
        <v>REZoning_Sol-Win</v>
      </c>
      <c r="AP2044" t="s">
        <v>2918</v>
      </c>
      <c r="AQ2044" t="s">
        <v>57</v>
      </c>
      <c r="AR2044">
        <v>2100</v>
      </c>
      <c r="AS2044" t="s">
        <v>874</v>
      </c>
      <c r="AT2044" t="s">
        <v>58</v>
      </c>
    </row>
    <row r="2045" ht="29" spans="1:46">
      <c r="A2045" s="31" t="s">
        <v>169</v>
      </c>
      <c r="C2045" t="s">
        <v>2919</v>
      </c>
      <c r="D2045" s="5" t="s">
        <v>57</v>
      </c>
      <c r="E2045">
        <v>2035</v>
      </c>
      <c r="F2045" s="6" t="str">
        <f t="shared" si="250"/>
        <v>*0.94</v>
      </c>
      <c r="H2045" t="s">
        <v>2919</v>
      </c>
      <c r="I2045" s="5" t="s">
        <v>57</v>
      </c>
      <c r="J2045">
        <v>2050</v>
      </c>
      <c r="K2045" s="38" t="str">
        <f t="shared" si="251"/>
        <v>*0.92</v>
      </c>
      <c r="P2045" s="32" t="s">
        <v>2919</v>
      </c>
      <c r="Q2045" s="42" t="s">
        <v>57</v>
      </c>
      <c r="R2045" s="32">
        <v>2035</v>
      </c>
      <c r="S2045" s="43" t="str">
        <f t="shared" si="252"/>
        <v>*0.93</v>
      </c>
      <c r="U2045" s="32" t="s">
        <v>2919</v>
      </c>
      <c r="V2045" s="42" t="s">
        <v>57</v>
      </c>
      <c r="W2045" s="32">
        <v>2050</v>
      </c>
      <c r="X2045" s="43" t="str">
        <f t="shared" si="253"/>
        <v>*0.92</v>
      </c>
      <c r="AC2045" s="33" t="s">
        <v>2919</v>
      </c>
      <c r="AD2045" s="44" t="s">
        <v>57</v>
      </c>
      <c r="AE2045" s="33">
        <v>2035</v>
      </c>
      <c r="AF2045" s="45" t="str">
        <f t="shared" si="254"/>
        <v>*0.91</v>
      </c>
      <c r="AG2045" s="43" t="str">
        <f t="shared" si="256"/>
        <v>REZoning_Sol-Win</v>
      </c>
      <c r="AI2045" s="33" t="s">
        <v>2919</v>
      </c>
      <c r="AJ2045" s="44" t="s">
        <v>57</v>
      </c>
      <c r="AK2045" s="33">
        <v>2050</v>
      </c>
      <c r="AL2045" s="45" t="str">
        <f t="shared" si="255"/>
        <v>*0.87</v>
      </c>
      <c r="AM2045" s="43" t="str">
        <f t="shared" si="257"/>
        <v>REZoning_Sol-Win</v>
      </c>
      <c r="AP2045" t="s">
        <v>2919</v>
      </c>
      <c r="AQ2045" t="s">
        <v>57</v>
      </c>
      <c r="AR2045">
        <v>2100</v>
      </c>
      <c r="AS2045" t="s">
        <v>874</v>
      </c>
      <c r="AT2045" t="s">
        <v>58</v>
      </c>
    </row>
    <row r="2046" ht="29" spans="1:46">
      <c r="A2046" s="31" t="s">
        <v>169</v>
      </c>
      <c r="C2046" t="s">
        <v>2920</v>
      </c>
      <c r="D2046" s="5" t="s">
        <v>57</v>
      </c>
      <c r="E2046">
        <v>2035</v>
      </c>
      <c r="F2046" s="6" t="str">
        <f t="shared" si="250"/>
        <v>*0.94</v>
      </c>
      <c r="H2046" t="s">
        <v>2920</v>
      </c>
      <c r="I2046" s="5" t="s">
        <v>57</v>
      </c>
      <c r="J2046">
        <v>2050</v>
      </c>
      <c r="K2046" s="38" t="str">
        <f t="shared" si="251"/>
        <v>*0.92</v>
      </c>
      <c r="P2046" s="32" t="s">
        <v>2920</v>
      </c>
      <c r="Q2046" s="42" t="s">
        <v>57</v>
      </c>
      <c r="R2046" s="32">
        <v>2035</v>
      </c>
      <c r="S2046" s="43" t="str">
        <f t="shared" si="252"/>
        <v>*0.93</v>
      </c>
      <c r="U2046" s="32" t="s">
        <v>2920</v>
      </c>
      <c r="V2046" s="42" t="s">
        <v>57</v>
      </c>
      <c r="W2046" s="32">
        <v>2050</v>
      </c>
      <c r="X2046" s="43" t="str">
        <f t="shared" si="253"/>
        <v>*0.92</v>
      </c>
      <c r="AC2046" s="33" t="s">
        <v>2920</v>
      </c>
      <c r="AD2046" s="44" t="s">
        <v>57</v>
      </c>
      <c r="AE2046" s="33">
        <v>2035</v>
      </c>
      <c r="AF2046" s="45" t="str">
        <f t="shared" si="254"/>
        <v>*0.91</v>
      </c>
      <c r="AG2046" s="43" t="str">
        <f t="shared" si="256"/>
        <v>REZoning_Sol-Win</v>
      </c>
      <c r="AI2046" s="33" t="s">
        <v>2920</v>
      </c>
      <c r="AJ2046" s="44" t="s">
        <v>57</v>
      </c>
      <c r="AK2046" s="33">
        <v>2050</v>
      </c>
      <c r="AL2046" s="45" t="str">
        <f t="shared" si="255"/>
        <v>*0.87</v>
      </c>
      <c r="AM2046" s="43" t="str">
        <f t="shared" si="257"/>
        <v>REZoning_Sol-Win</v>
      </c>
      <c r="AP2046" t="s">
        <v>2920</v>
      </c>
      <c r="AQ2046" t="s">
        <v>57</v>
      </c>
      <c r="AR2046">
        <v>2100</v>
      </c>
      <c r="AS2046" t="s">
        <v>874</v>
      </c>
      <c r="AT2046" t="s">
        <v>58</v>
      </c>
    </row>
    <row r="2047" ht="29" spans="1:46">
      <c r="A2047" s="31" t="s">
        <v>169</v>
      </c>
      <c r="C2047" t="s">
        <v>2921</v>
      </c>
      <c r="D2047" s="5" t="s">
        <v>57</v>
      </c>
      <c r="E2047">
        <v>2035</v>
      </c>
      <c r="F2047" s="6" t="str">
        <f t="shared" si="250"/>
        <v>*0.94</v>
      </c>
      <c r="H2047" t="s">
        <v>2921</v>
      </c>
      <c r="I2047" s="5" t="s">
        <v>57</v>
      </c>
      <c r="J2047">
        <v>2050</v>
      </c>
      <c r="K2047" s="38" t="str">
        <f t="shared" si="251"/>
        <v>*0.92</v>
      </c>
      <c r="P2047" s="32" t="s">
        <v>2921</v>
      </c>
      <c r="Q2047" s="42" t="s">
        <v>57</v>
      </c>
      <c r="R2047" s="32">
        <v>2035</v>
      </c>
      <c r="S2047" s="43" t="str">
        <f t="shared" si="252"/>
        <v>*0.93</v>
      </c>
      <c r="U2047" s="32" t="s">
        <v>2921</v>
      </c>
      <c r="V2047" s="42" t="s">
        <v>57</v>
      </c>
      <c r="W2047" s="32">
        <v>2050</v>
      </c>
      <c r="X2047" s="43" t="str">
        <f t="shared" si="253"/>
        <v>*0.92</v>
      </c>
      <c r="AC2047" s="33" t="s">
        <v>2921</v>
      </c>
      <c r="AD2047" s="44" t="s">
        <v>57</v>
      </c>
      <c r="AE2047" s="33">
        <v>2035</v>
      </c>
      <c r="AF2047" s="45" t="str">
        <f t="shared" si="254"/>
        <v>*0.91</v>
      </c>
      <c r="AG2047" s="43" t="str">
        <f t="shared" si="256"/>
        <v>REZoning_Sol-Win</v>
      </c>
      <c r="AI2047" s="33" t="s">
        <v>2921</v>
      </c>
      <c r="AJ2047" s="44" t="s">
        <v>57</v>
      </c>
      <c r="AK2047" s="33">
        <v>2050</v>
      </c>
      <c r="AL2047" s="45" t="str">
        <f t="shared" si="255"/>
        <v>*0.87</v>
      </c>
      <c r="AM2047" s="43" t="str">
        <f t="shared" si="257"/>
        <v>REZoning_Sol-Win</v>
      </c>
      <c r="AP2047" t="s">
        <v>2921</v>
      </c>
      <c r="AQ2047" t="s">
        <v>57</v>
      </c>
      <c r="AR2047">
        <v>2100</v>
      </c>
      <c r="AS2047" t="s">
        <v>874</v>
      </c>
      <c r="AT2047" t="s">
        <v>58</v>
      </c>
    </row>
    <row r="2048" ht="29" spans="1:46">
      <c r="A2048" s="31" t="s">
        <v>169</v>
      </c>
      <c r="C2048" t="s">
        <v>2922</v>
      </c>
      <c r="D2048" s="5" t="s">
        <v>57</v>
      </c>
      <c r="E2048">
        <v>2035</v>
      </c>
      <c r="F2048" s="6" t="str">
        <f t="shared" si="250"/>
        <v>*0.94</v>
      </c>
      <c r="H2048" t="s">
        <v>2922</v>
      </c>
      <c r="I2048" s="5" t="s">
        <v>57</v>
      </c>
      <c r="J2048">
        <v>2050</v>
      </c>
      <c r="K2048" s="38" t="str">
        <f t="shared" si="251"/>
        <v>*0.92</v>
      </c>
      <c r="P2048" s="32" t="s">
        <v>2922</v>
      </c>
      <c r="Q2048" s="42" t="s">
        <v>57</v>
      </c>
      <c r="R2048" s="32">
        <v>2035</v>
      </c>
      <c r="S2048" s="43" t="str">
        <f t="shared" si="252"/>
        <v>*0.93</v>
      </c>
      <c r="U2048" s="32" t="s">
        <v>2922</v>
      </c>
      <c r="V2048" s="42" t="s">
        <v>57</v>
      </c>
      <c r="W2048" s="32">
        <v>2050</v>
      </c>
      <c r="X2048" s="43" t="str">
        <f t="shared" si="253"/>
        <v>*0.92</v>
      </c>
      <c r="AC2048" s="33" t="s">
        <v>2922</v>
      </c>
      <c r="AD2048" s="44" t="s">
        <v>57</v>
      </c>
      <c r="AE2048" s="33">
        <v>2035</v>
      </c>
      <c r="AF2048" s="45" t="str">
        <f t="shared" si="254"/>
        <v>*0.91</v>
      </c>
      <c r="AG2048" s="43" t="str">
        <f t="shared" si="256"/>
        <v>REZoning_Sol-Win</v>
      </c>
      <c r="AI2048" s="33" t="s">
        <v>2922</v>
      </c>
      <c r="AJ2048" s="44" t="s">
        <v>57</v>
      </c>
      <c r="AK2048" s="33">
        <v>2050</v>
      </c>
      <c r="AL2048" s="45" t="str">
        <f t="shared" si="255"/>
        <v>*0.87</v>
      </c>
      <c r="AM2048" s="43" t="str">
        <f t="shared" si="257"/>
        <v>REZoning_Sol-Win</v>
      </c>
      <c r="AP2048" t="s">
        <v>2922</v>
      </c>
      <c r="AQ2048" t="s">
        <v>57</v>
      </c>
      <c r="AR2048">
        <v>2100</v>
      </c>
      <c r="AS2048" t="s">
        <v>874</v>
      </c>
      <c r="AT2048" t="s">
        <v>58</v>
      </c>
    </row>
    <row r="2049" ht="29" spans="1:46">
      <c r="A2049" s="31" t="s">
        <v>169</v>
      </c>
      <c r="C2049" t="s">
        <v>2923</v>
      </c>
      <c r="D2049" s="5" t="s">
        <v>57</v>
      </c>
      <c r="E2049">
        <v>2035</v>
      </c>
      <c r="F2049" s="6" t="str">
        <f t="shared" si="250"/>
        <v>*0.94</v>
      </c>
      <c r="H2049" t="s">
        <v>2923</v>
      </c>
      <c r="I2049" s="5" t="s">
        <v>57</v>
      </c>
      <c r="J2049">
        <v>2050</v>
      </c>
      <c r="K2049" s="38" t="str">
        <f t="shared" si="251"/>
        <v>*0.92</v>
      </c>
      <c r="P2049" s="32" t="s">
        <v>2923</v>
      </c>
      <c r="Q2049" s="42" t="s">
        <v>57</v>
      </c>
      <c r="R2049" s="32">
        <v>2035</v>
      </c>
      <c r="S2049" s="43" t="str">
        <f t="shared" si="252"/>
        <v>*0.93</v>
      </c>
      <c r="U2049" s="32" t="s">
        <v>2923</v>
      </c>
      <c r="V2049" s="42" t="s">
        <v>57</v>
      </c>
      <c r="W2049" s="32">
        <v>2050</v>
      </c>
      <c r="X2049" s="43" t="str">
        <f t="shared" si="253"/>
        <v>*0.92</v>
      </c>
      <c r="AC2049" s="33" t="s">
        <v>2923</v>
      </c>
      <c r="AD2049" s="44" t="s">
        <v>57</v>
      </c>
      <c r="AE2049" s="33">
        <v>2035</v>
      </c>
      <c r="AF2049" s="45" t="str">
        <f t="shared" si="254"/>
        <v>*0.91</v>
      </c>
      <c r="AG2049" s="43" t="str">
        <f t="shared" si="256"/>
        <v>REZoning_Sol-Win</v>
      </c>
      <c r="AI2049" s="33" t="s">
        <v>2923</v>
      </c>
      <c r="AJ2049" s="44" t="s">
        <v>57</v>
      </c>
      <c r="AK2049" s="33">
        <v>2050</v>
      </c>
      <c r="AL2049" s="45" t="str">
        <f t="shared" si="255"/>
        <v>*0.87</v>
      </c>
      <c r="AM2049" s="43" t="str">
        <f t="shared" si="257"/>
        <v>REZoning_Sol-Win</v>
      </c>
      <c r="AP2049" t="s">
        <v>2923</v>
      </c>
      <c r="AQ2049" t="s">
        <v>57</v>
      </c>
      <c r="AR2049">
        <v>2100</v>
      </c>
      <c r="AS2049" t="s">
        <v>874</v>
      </c>
      <c r="AT2049" t="s">
        <v>58</v>
      </c>
    </row>
    <row r="2050" ht="29" spans="1:46">
      <c r="A2050" s="31" t="s">
        <v>169</v>
      </c>
      <c r="C2050" t="s">
        <v>2924</v>
      </c>
      <c r="D2050" s="5" t="s">
        <v>57</v>
      </c>
      <c r="E2050">
        <v>2035</v>
      </c>
      <c r="F2050" s="6" t="str">
        <f t="shared" si="250"/>
        <v>*0.94</v>
      </c>
      <c r="H2050" t="s">
        <v>2924</v>
      </c>
      <c r="I2050" s="5" t="s">
        <v>57</v>
      </c>
      <c r="J2050">
        <v>2050</v>
      </c>
      <c r="K2050" s="38" t="str">
        <f t="shared" si="251"/>
        <v>*0.92</v>
      </c>
      <c r="P2050" s="32" t="s">
        <v>2924</v>
      </c>
      <c r="Q2050" s="42" t="s">
        <v>57</v>
      </c>
      <c r="R2050" s="32">
        <v>2035</v>
      </c>
      <c r="S2050" s="43" t="str">
        <f t="shared" si="252"/>
        <v>*0.93</v>
      </c>
      <c r="U2050" s="32" t="s">
        <v>2924</v>
      </c>
      <c r="V2050" s="42" t="s">
        <v>57</v>
      </c>
      <c r="W2050" s="32">
        <v>2050</v>
      </c>
      <c r="X2050" s="43" t="str">
        <f t="shared" si="253"/>
        <v>*0.92</v>
      </c>
      <c r="AC2050" s="33" t="s">
        <v>2924</v>
      </c>
      <c r="AD2050" s="44" t="s">
        <v>57</v>
      </c>
      <c r="AE2050" s="33">
        <v>2035</v>
      </c>
      <c r="AF2050" s="45" t="str">
        <f t="shared" si="254"/>
        <v>*0.91</v>
      </c>
      <c r="AG2050" s="43" t="str">
        <f t="shared" si="256"/>
        <v>REZoning_Sol-Win</v>
      </c>
      <c r="AI2050" s="33" t="s">
        <v>2924</v>
      </c>
      <c r="AJ2050" s="44" t="s">
        <v>57</v>
      </c>
      <c r="AK2050" s="33">
        <v>2050</v>
      </c>
      <c r="AL2050" s="45" t="str">
        <f t="shared" si="255"/>
        <v>*0.87</v>
      </c>
      <c r="AM2050" s="43" t="str">
        <f t="shared" si="257"/>
        <v>REZoning_Sol-Win</v>
      </c>
      <c r="AP2050" t="s">
        <v>2924</v>
      </c>
      <c r="AQ2050" t="s">
        <v>57</v>
      </c>
      <c r="AR2050">
        <v>2100</v>
      </c>
      <c r="AS2050" t="s">
        <v>874</v>
      </c>
      <c r="AT2050" t="s">
        <v>58</v>
      </c>
    </row>
    <row r="2051" ht="29" spans="1:46">
      <c r="A2051" s="31" t="s">
        <v>169</v>
      </c>
      <c r="C2051" t="s">
        <v>2925</v>
      </c>
      <c r="D2051" s="5" t="s">
        <v>57</v>
      </c>
      <c r="E2051">
        <v>2035</v>
      </c>
      <c r="F2051" s="6" t="str">
        <f t="shared" si="250"/>
        <v>*0.94</v>
      </c>
      <c r="H2051" t="s">
        <v>2925</v>
      </c>
      <c r="I2051" s="5" t="s">
        <v>57</v>
      </c>
      <c r="J2051">
        <v>2050</v>
      </c>
      <c r="K2051" s="38" t="str">
        <f t="shared" si="251"/>
        <v>*0.92</v>
      </c>
      <c r="P2051" s="32" t="s">
        <v>2925</v>
      </c>
      <c r="Q2051" s="42" t="s">
        <v>57</v>
      </c>
      <c r="R2051" s="32">
        <v>2035</v>
      </c>
      <c r="S2051" s="43" t="str">
        <f t="shared" si="252"/>
        <v>*0.93</v>
      </c>
      <c r="U2051" s="32" t="s">
        <v>2925</v>
      </c>
      <c r="V2051" s="42" t="s">
        <v>57</v>
      </c>
      <c r="W2051" s="32">
        <v>2050</v>
      </c>
      <c r="X2051" s="43" t="str">
        <f t="shared" si="253"/>
        <v>*0.92</v>
      </c>
      <c r="AC2051" s="33" t="s">
        <v>2925</v>
      </c>
      <c r="AD2051" s="44" t="s">
        <v>57</v>
      </c>
      <c r="AE2051" s="33">
        <v>2035</v>
      </c>
      <c r="AF2051" s="45" t="str">
        <f t="shared" si="254"/>
        <v>*0.91</v>
      </c>
      <c r="AG2051" s="43" t="str">
        <f t="shared" si="256"/>
        <v>REZoning_Sol-Win</v>
      </c>
      <c r="AI2051" s="33" t="s">
        <v>2925</v>
      </c>
      <c r="AJ2051" s="44" t="s">
        <v>57</v>
      </c>
      <c r="AK2051" s="33">
        <v>2050</v>
      </c>
      <c r="AL2051" s="45" t="str">
        <f t="shared" si="255"/>
        <v>*0.87</v>
      </c>
      <c r="AM2051" s="43" t="str">
        <f t="shared" si="257"/>
        <v>REZoning_Sol-Win</v>
      </c>
      <c r="AP2051" t="s">
        <v>2925</v>
      </c>
      <c r="AQ2051" t="s">
        <v>57</v>
      </c>
      <c r="AR2051">
        <v>2100</v>
      </c>
      <c r="AS2051" t="s">
        <v>874</v>
      </c>
      <c r="AT2051" t="s">
        <v>58</v>
      </c>
    </row>
    <row r="2052" ht="29" spans="1:46">
      <c r="A2052" s="31" t="s">
        <v>169</v>
      </c>
      <c r="C2052" t="s">
        <v>2926</v>
      </c>
      <c r="D2052" s="5" t="s">
        <v>57</v>
      </c>
      <c r="E2052">
        <v>2035</v>
      </c>
      <c r="F2052" s="6" t="str">
        <f t="shared" ref="F2052:F2115" si="258">"*"&amp;IF(AND(A2052="EU",E2052=2035),0.95,IF(AND(A2052="EU",E2052=2050),0.93,IF(AND(A2052="USA",E2052=2035),0.96,IF(AND(A2052="USA",E2052=2050),0.94,IF(AND(A2052="Japan",E2052=2035),0.94,IF(AND(A2052="Japan",E2052=2050),0.92,IF(AND(A2052="Russia",E2052=2035),0.95,IF(AND(A2052="Russia",E2052=2050),0.93,IF(AND(A2052="China",E2052=2035),0.94,IF(AND(A2052="China",E2052=2050),0.92,IF(AND(A2052="India",E2052=2035),0.95,IF(AND(A2052="India",E2052=2050),0.92,IF(AND(A2052="Middle East",E2052=2035),0.94,IF(AND(A2052="Middle East",E2052=2050),0.9,IF(AND(A2052="Africa",E2052=2035),0.94,IF(AND(A2052="Africa",E2052=2050),0.91,IF(AND(A2052="Brazil",E2052=2035),0.95,IF(AND(A2052="Brazil",E2052=2050),0.92,""))))))))))))))))))</f>
        <v>*0.94</v>
      </c>
      <c r="H2052" t="s">
        <v>2926</v>
      </c>
      <c r="I2052" s="5" t="s">
        <v>57</v>
      </c>
      <c r="J2052">
        <v>2050</v>
      </c>
      <c r="K2052" s="38" t="str">
        <f t="shared" ref="K2052:K2115" si="259">"*"&amp;IF(AND(A2052="EU",J2052=2035),0.95,IF(AND(A2052="EU",J2052=2050),0.93,IF(AND(A2052="USA",J2052=2035),0.96,IF(AND(A2052="USA",J2052=2050),0.94,IF(AND(A2052="Japan",J2052=2035),0.94,IF(AND(A2052="Japan",J2052=2050),0.92,IF(AND(A2052="Russia",J2052=2035),0.95,IF(AND(A2052="Russia",J2052=2050),0.93,IF(AND(A2052="China",J2052=2035),0.94,IF(AND(A2052="China",J2052=2050),0.92,IF(AND(A2052="India",J2052=2035),0.95,IF(AND(A2052="India",J2052=2050),0.92,IF(AND(A2052="Middle East",J2052=2035),0.94,IF(AND(A2052="Middle East",J2052=2050),0.9,IF(AND(A2052="Africa",J2052=2035),0.94,IF(AND(A2052="Africa",J2052=2050),0.91,IF(AND(A2052="Brazil",J2052=2035),0.95,IF(AND(A2052="Brazil",J2052=2050),0.92,""))))))))))))))))))</f>
        <v>*0.92</v>
      </c>
      <c r="P2052" s="32" t="s">
        <v>2926</v>
      </c>
      <c r="Q2052" s="42" t="s">
        <v>57</v>
      </c>
      <c r="R2052" s="32">
        <v>2035</v>
      </c>
      <c r="S2052" s="43" t="str">
        <f t="shared" ref="S2052:S2115" si="260">"*"&amp;IF(AND(A2052="EU",R2052=2035),0.95,IF(AND(A2052="EU",R2052=2050),0.93,IF(AND(A2052="USA",R2052=2035),0.96,IF(AND(A2052="USA",R2052=2050),0.93,IF(AND(A2052="Japan",R2052=2035),0.94,IF(AND(A2052="Japan",R2052=2050),0.92,IF(AND(A2052="Russia",R2052=2035),0.95,IF(AND(A2052="Russia",R2052=2050),0.91,IF(AND(A2052="China",R2052=2035),0.93,IF(AND(A2052="China",R2052=2050),0.92,IF(AND(A2052="India",R2052=2035),0.94,IF(AND(A2052="India",R2052=2050),0.91,IF(AND(A2052="Middle East",R2052=2035),0.92,IF(AND(A2052="Middle East",R2052=2050),0.89,IF(AND(A2052="Africa",R2052=2035),0.93,IF(AND(A2052="Africa",R2052=2050),0.9,IF(AND(A2052="Brazil",R2052=2035),0.95,IF(AND(A2052="Brazil",R2052=2050),0.92,""))))))))))))))))))</f>
        <v>*0.93</v>
      </c>
      <c r="U2052" s="32" t="s">
        <v>2926</v>
      </c>
      <c r="V2052" s="42" t="s">
        <v>57</v>
      </c>
      <c r="W2052" s="32">
        <v>2050</v>
      </c>
      <c r="X2052" s="43" t="str">
        <f t="shared" ref="X2052:X2115" si="261">"*"&amp;IF(AND(A2052="EU",W2052=2035),0.95,IF(AND(A2052="EU",W2052=2050),0.93,IF(AND(A2052="USA",W2052=2035),0.96,IF(AND(A2052="USA",W2052=2050),0.93,IF(AND(A2052="Japan",W2052=2035),0.94,IF(AND(A2052="Japan",W2052=2050),0.92,IF(AND(A2052="Russia",W2052=2035),0.95,IF(AND(A2052="Russia",W2052=2050),0.91,IF(AND(A2052="China",W2052=2035),0.93,IF(AND(A2052="China",W2052=2050),0.92,IF(AND(A2052="India",W2052=2035),0.94,IF(AND(A2052="India",W2052=2050),0.91,IF(AND(A2052="Middle East",W2052=2035),0.92,IF(AND(A2052="Middle East",W2052=2050),0.89,IF(AND(A2052="Africa",W2052=2035),0.93,IF(AND(A2052="Africa",W2052=2050),0.9,IF(AND(A2052="Brazil",W2052=2035),0.95,IF(AND(A2052="Brazil",W2052=2050),0.92,""))))))))))))))))))</f>
        <v>*0.92</v>
      </c>
      <c r="AC2052" s="33" t="s">
        <v>2926</v>
      </c>
      <c r="AD2052" s="44" t="s">
        <v>57</v>
      </c>
      <c r="AE2052" s="33">
        <v>2035</v>
      </c>
      <c r="AF2052" s="45" t="str">
        <f t="shared" ref="AF2052:AF2115" si="262">"*"&amp;IF(AND(A2052="EU",AE2052=2035),0.93,IF(AND(A2052="EU",AE2052=2050),0.9,IF(AND(A2052="USA",AE2052=2035),0.92,IF(AND(A2052="USA",AE2052=2050),0.89,IF(AND(A2052="Japan",AE2052=2035),0.92,IF(AND(A2052="Japan",AE2052=2050),0.89,IF(AND(A2052="Russia",AE2052=2035),0.91,IF(AND(A2052="Russia",AE2052=2050),0.86,IF(AND(A2052="China",AE2052=2035),0.91,IF(AND(A2052="China",AE2052=2050),0.87,IF(AND(A2052="India",AE2052=2035),0.92,IF(AND(A2052="India",AE2052=2050),0.87,IF(AND(A2052="Middle East",AE2052=2035),0.89,IF(AND(A2052="Middle East",AE2052=2050),0.84,IF(AND(A2052="Africa",AE2052=2035),0.9,IF(AND(A2052="Africa",AE2052=2050),0.86,IF(AND(A2052="Brazil",AE2052=2035),0.93,IF(AND(A2052="Brazil",AE2052=2050),0.89,""))))))))))))))))))</f>
        <v>*0.91</v>
      </c>
      <c r="AG2052" s="43" t="str">
        <f t="shared" si="256"/>
        <v>REZoning_Sol-Win</v>
      </c>
      <c r="AI2052" s="33" t="s">
        <v>2926</v>
      </c>
      <c r="AJ2052" s="44" t="s">
        <v>57</v>
      </c>
      <c r="AK2052" s="33">
        <v>2050</v>
      </c>
      <c r="AL2052" s="45" t="str">
        <f t="shared" ref="AL2052:AL2115" si="263">"*"&amp;IF(AND(A2052="EU",AK2052=2035),0.93,IF(AND(A2052="EU",AK2052=2050),0.9,IF(AND(A2052="USA",AK2052=2035),0.92,IF(AND(A2052="USA",AK2052=2050),0.89,IF(AND(A2052="Japan",AK2052=2035),0.92,IF(AND(A2052="Japan",AK2052=2050),0.89,IF(AND(A2052="Russia",AK2052=2035),0.91,IF(AND(A2052="Russia",AK2052=2050),0.86,IF(AND(A2052="China",AK2052=2035),0.91,IF(AND(A2052="China",AK2052=2050),0.87,IF(AND(A2052="India",AK2052=2035),0.92,IF(AND(A2052="India",AK2052=2050),0.87,IF(AND(A2052="Middle East",AK2052=2035),0.89,IF(AND(A2052="Middle East",AK2052=2050),0.84,IF(AND(A2052="Africa",AK2052=2035),0.9,IF(AND(A2052="Africa",AK2052=2050),0.86,IF(AND(A2052="Brazil",AK2052=2035),0.93,IF(AND(A2052="Brazil",AK2052=2050),0.89,""))))))))))))))))))</f>
        <v>*0.87</v>
      </c>
      <c r="AM2052" s="43" t="str">
        <f t="shared" si="257"/>
        <v>REZoning_Sol-Win</v>
      </c>
      <c r="AP2052" t="s">
        <v>2926</v>
      </c>
      <c r="AQ2052" t="s">
        <v>57</v>
      </c>
      <c r="AR2052">
        <v>2100</v>
      </c>
      <c r="AS2052" t="s">
        <v>874</v>
      </c>
      <c r="AT2052" t="s">
        <v>58</v>
      </c>
    </row>
    <row r="2053" ht="29" spans="1:46">
      <c r="A2053" s="31" t="s">
        <v>169</v>
      </c>
      <c r="C2053" t="s">
        <v>2927</v>
      </c>
      <c r="D2053" s="5" t="s">
        <v>57</v>
      </c>
      <c r="E2053">
        <v>2035</v>
      </c>
      <c r="F2053" s="6" t="str">
        <f t="shared" si="258"/>
        <v>*0.94</v>
      </c>
      <c r="H2053" t="s">
        <v>2927</v>
      </c>
      <c r="I2053" s="5" t="s">
        <v>57</v>
      </c>
      <c r="J2053">
        <v>2050</v>
      </c>
      <c r="K2053" s="38" t="str">
        <f t="shared" si="259"/>
        <v>*0.92</v>
      </c>
      <c r="P2053" s="32" t="s">
        <v>2927</v>
      </c>
      <c r="Q2053" s="42" t="s">
        <v>57</v>
      </c>
      <c r="R2053" s="32">
        <v>2035</v>
      </c>
      <c r="S2053" s="43" t="str">
        <f t="shared" si="260"/>
        <v>*0.93</v>
      </c>
      <c r="U2053" s="32" t="s">
        <v>2927</v>
      </c>
      <c r="V2053" s="42" t="s">
        <v>57</v>
      </c>
      <c r="W2053" s="32">
        <v>2050</v>
      </c>
      <c r="X2053" s="43" t="str">
        <f t="shared" si="261"/>
        <v>*0.92</v>
      </c>
      <c r="AC2053" s="33" t="s">
        <v>2927</v>
      </c>
      <c r="AD2053" s="44" t="s">
        <v>57</v>
      </c>
      <c r="AE2053" s="33">
        <v>2035</v>
      </c>
      <c r="AF2053" s="45" t="str">
        <f t="shared" si="262"/>
        <v>*0.91</v>
      </c>
      <c r="AG2053" s="43" t="str">
        <f t="shared" si="256"/>
        <v>REZoning_Sol-Win</v>
      </c>
      <c r="AI2053" s="33" t="s">
        <v>2927</v>
      </c>
      <c r="AJ2053" s="44" t="s">
        <v>57</v>
      </c>
      <c r="AK2053" s="33">
        <v>2050</v>
      </c>
      <c r="AL2053" s="45" t="str">
        <f t="shared" si="263"/>
        <v>*0.87</v>
      </c>
      <c r="AM2053" s="43" t="str">
        <f t="shared" si="257"/>
        <v>REZoning_Sol-Win</v>
      </c>
      <c r="AP2053" t="s">
        <v>2927</v>
      </c>
      <c r="AQ2053" t="s">
        <v>57</v>
      </c>
      <c r="AR2053">
        <v>2100</v>
      </c>
      <c r="AS2053" t="s">
        <v>874</v>
      </c>
      <c r="AT2053" t="s">
        <v>58</v>
      </c>
    </row>
    <row r="2054" ht="29" spans="1:46">
      <c r="A2054" s="31" t="s">
        <v>169</v>
      </c>
      <c r="C2054" t="s">
        <v>2928</v>
      </c>
      <c r="D2054" s="5" t="s">
        <v>57</v>
      </c>
      <c r="E2054">
        <v>2035</v>
      </c>
      <c r="F2054" s="6" t="str">
        <f t="shared" si="258"/>
        <v>*0.94</v>
      </c>
      <c r="H2054" t="s">
        <v>2928</v>
      </c>
      <c r="I2054" s="5" t="s">
        <v>57</v>
      </c>
      <c r="J2054">
        <v>2050</v>
      </c>
      <c r="K2054" s="38" t="str">
        <f t="shared" si="259"/>
        <v>*0.92</v>
      </c>
      <c r="P2054" s="32" t="s">
        <v>2928</v>
      </c>
      <c r="Q2054" s="42" t="s">
        <v>57</v>
      </c>
      <c r="R2054" s="32">
        <v>2035</v>
      </c>
      <c r="S2054" s="43" t="str">
        <f t="shared" si="260"/>
        <v>*0.93</v>
      </c>
      <c r="U2054" s="32" t="s">
        <v>2928</v>
      </c>
      <c r="V2054" s="42" t="s">
        <v>57</v>
      </c>
      <c r="W2054" s="32">
        <v>2050</v>
      </c>
      <c r="X2054" s="43" t="str">
        <f t="shared" si="261"/>
        <v>*0.92</v>
      </c>
      <c r="AC2054" s="33" t="s">
        <v>2928</v>
      </c>
      <c r="AD2054" s="44" t="s">
        <v>57</v>
      </c>
      <c r="AE2054" s="33">
        <v>2035</v>
      </c>
      <c r="AF2054" s="45" t="str">
        <f t="shared" si="262"/>
        <v>*0.91</v>
      </c>
      <c r="AG2054" s="43" t="str">
        <f t="shared" si="256"/>
        <v>REZoning_Sol-Win</v>
      </c>
      <c r="AI2054" s="33" t="s">
        <v>2928</v>
      </c>
      <c r="AJ2054" s="44" t="s">
        <v>57</v>
      </c>
      <c r="AK2054" s="33">
        <v>2050</v>
      </c>
      <c r="AL2054" s="45" t="str">
        <f t="shared" si="263"/>
        <v>*0.87</v>
      </c>
      <c r="AM2054" s="43" t="str">
        <f t="shared" si="257"/>
        <v>REZoning_Sol-Win</v>
      </c>
      <c r="AP2054" t="s">
        <v>2928</v>
      </c>
      <c r="AQ2054" t="s">
        <v>57</v>
      </c>
      <c r="AR2054">
        <v>2100</v>
      </c>
      <c r="AS2054" t="s">
        <v>874</v>
      </c>
      <c r="AT2054" t="s">
        <v>58</v>
      </c>
    </row>
    <row r="2055" ht="29" spans="1:46">
      <c r="A2055" s="31" t="s">
        <v>169</v>
      </c>
      <c r="C2055" t="s">
        <v>2929</v>
      </c>
      <c r="D2055" s="5" t="s">
        <v>57</v>
      </c>
      <c r="E2055">
        <v>2035</v>
      </c>
      <c r="F2055" s="6" t="str">
        <f t="shared" si="258"/>
        <v>*0.94</v>
      </c>
      <c r="H2055" t="s">
        <v>2929</v>
      </c>
      <c r="I2055" s="5" t="s">
        <v>57</v>
      </c>
      <c r="J2055">
        <v>2050</v>
      </c>
      <c r="K2055" s="38" t="str">
        <f t="shared" si="259"/>
        <v>*0.92</v>
      </c>
      <c r="P2055" s="32" t="s">
        <v>2929</v>
      </c>
      <c r="Q2055" s="42" t="s">
        <v>57</v>
      </c>
      <c r="R2055" s="32">
        <v>2035</v>
      </c>
      <c r="S2055" s="43" t="str">
        <f t="shared" si="260"/>
        <v>*0.93</v>
      </c>
      <c r="U2055" s="32" t="s">
        <v>2929</v>
      </c>
      <c r="V2055" s="42" t="s">
        <v>57</v>
      </c>
      <c r="W2055" s="32">
        <v>2050</v>
      </c>
      <c r="X2055" s="43" t="str">
        <f t="shared" si="261"/>
        <v>*0.92</v>
      </c>
      <c r="AC2055" s="33" t="s">
        <v>2929</v>
      </c>
      <c r="AD2055" s="44" t="s">
        <v>57</v>
      </c>
      <c r="AE2055" s="33">
        <v>2035</v>
      </c>
      <c r="AF2055" s="45" t="str">
        <f t="shared" si="262"/>
        <v>*0.91</v>
      </c>
      <c r="AG2055" s="43" t="str">
        <f t="shared" si="256"/>
        <v>REZoning_Sol-Win</v>
      </c>
      <c r="AI2055" s="33" t="s">
        <v>2929</v>
      </c>
      <c r="AJ2055" s="44" t="s">
        <v>57</v>
      </c>
      <c r="AK2055" s="33">
        <v>2050</v>
      </c>
      <c r="AL2055" s="45" t="str">
        <f t="shared" si="263"/>
        <v>*0.87</v>
      </c>
      <c r="AM2055" s="43" t="str">
        <f t="shared" si="257"/>
        <v>REZoning_Sol-Win</v>
      </c>
      <c r="AP2055" t="s">
        <v>2929</v>
      </c>
      <c r="AQ2055" t="s">
        <v>57</v>
      </c>
      <c r="AR2055">
        <v>2100</v>
      </c>
      <c r="AS2055" t="s">
        <v>874</v>
      </c>
      <c r="AT2055" t="s">
        <v>58</v>
      </c>
    </row>
    <row r="2056" ht="29" spans="1:46">
      <c r="A2056" s="31" t="s">
        <v>169</v>
      </c>
      <c r="C2056" t="s">
        <v>2930</v>
      </c>
      <c r="D2056" s="5" t="s">
        <v>57</v>
      </c>
      <c r="E2056">
        <v>2035</v>
      </c>
      <c r="F2056" s="6" t="str">
        <f t="shared" si="258"/>
        <v>*0.94</v>
      </c>
      <c r="H2056" t="s">
        <v>2930</v>
      </c>
      <c r="I2056" s="5" t="s">
        <v>57</v>
      </c>
      <c r="J2056">
        <v>2050</v>
      </c>
      <c r="K2056" s="38" t="str">
        <f t="shared" si="259"/>
        <v>*0.92</v>
      </c>
      <c r="P2056" s="32" t="s">
        <v>2930</v>
      </c>
      <c r="Q2056" s="42" t="s">
        <v>57</v>
      </c>
      <c r="R2056" s="32">
        <v>2035</v>
      </c>
      <c r="S2056" s="43" t="str">
        <f t="shared" si="260"/>
        <v>*0.93</v>
      </c>
      <c r="U2056" s="32" t="s">
        <v>2930</v>
      </c>
      <c r="V2056" s="42" t="s">
        <v>57</v>
      </c>
      <c r="W2056" s="32">
        <v>2050</v>
      </c>
      <c r="X2056" s="43" t="str">
        <f t="shared" si="261"/>
        <v>*0.92</v>
      </c>
      <c r="AC2056" s="33" t="s">
        <v>2930</v>
      </c>
      <c r="AD2056" s="44" t="s">
        <v>57</v>
      </c>
      <c r="AE2056" s="33">
        <v>2035</v>
      </c>
      <c r="AF2056" s="45" t="str">
        <f t="shared" si="262"/>
        <v>*0.91</v>
      </c>
      <c r="AG2056" s="43" t="str">
        <f t="shared" si="256"/>
        <v>REZoning_Sol-Win</v>
      </c>
      <c r="AI2056" s="33" t="s">
        <v>2930</v>
      </c>
      <c r="AJ2056" s="44" t="s">
        <v>57</v>
      </c>
      <c r="AK2056" s="33">
        <v>2050</v>
      </c>
      <c r="AL2056" s="45" t="str">
        <f t="shared" si="263"/>
        <v>*0.87</v>
      </c>
      <c r="AM2056" s="43" t="str">
        <f t="shared" si="257"/>
        <v>REZoning_Sol-Win</v>
      </c>
      <c r="AP2056" t="s">
        <v>2930</v>
      </c>
      <c r="AQ2056" t="s">
        <v>57</v>
      </c>
      <c r="AR2056">
        <v>2100</v>
      </c>
      <c r="AS2056" t="s">
        <v>874</v>
      </c>
      <c r="AT2056" t="s">
        <v>58</v>
      </c>
    </row>
    <row r="2057" ht="29" spans="1:46">
      <c r="A2057" s="31" t="s">
        <v>169</v>
      </c>
      <c r="C2057" t="s">
        <v>2931</v>
      </c>
      <c r="D2057" s="5" t="s">
        <v>57</v>
      </c>
      <c r="E2057">
        <v>2035</v>
      </c>
      <c r="F2057" s="6" t="str">
        <f t="shared" si="258"/>
        <v>*0.94</v>
      </c>
      <c r="H2057" t="s">
        <v>2931</v>
      </c>
      <c r="I2057" s="5" t="s">
        <v>57</v>
      </c>
      <c r="J2057">
        <v>2050</v>
      </c>
      <c r="K2057" s="38" t="str">
        <f t="shared" si="259"/>
        <v>*0.92</v>
      </c>
      <c r="P2057" s="32" t="s">
        <v>2931</v>
      </c>
      <c r="Q2057" s="42" t="s">
        <v>57</v>
      </c>
      <c r="R2057" s="32">
        <v>2035</v>
      </c>
      <c r="S2057" s="43" t="str">
        <f t="shared" si="260"/>
        <v>*0.93</v>
      </c>
      <c r="U2057" s="32" t="s">
        <v>2931</v>
      </c>
      <c r="V2057" s="42" t="s">
        <v>57</v>
      </c>
      <c r="W2057" s="32">
        <v>2050</v>
      </c>
      <c r="X2057" s="43" t="str">
        <f t="shared" si="261"/>
        <v>*0.92</v>
      </c>
      <c r="AC2057" s="33" t="s">
        <v>2931</v>
      </c>
      <c r="AD2057" s="44" t="s">
        <v>57</v>
      </c>
      <c r="AE2057" s="33">
        <v>2035</v>
      </c>
      <c r="AF2057" s="45" t="str">
        <f t="shared" si="262"/>
        <v>*0.91</v>
      </c>
      <c r="AG2057" s="43" t="str">
        <f t="shared" ref="AG2057:AG2120" si="264">AG2056</f>
        <v>REZoning_Sol-Win</v>
      </c>
      <c r="AI2057" s="33" t="s">
        <v>2931</v>
      </c>
      <c r="AJ2057" s="44" t="s">
        <v>57</v>
      </c>
      <c r="AK2057" s="33">
        <v>2050</v>
      </c>
      <c r="AL2057" s="45" t="str">
        <f t="shared" si="263"/>
        <v>*0.87</v>
      </c>
      <c r="AM2057" s="43" t="str">
        <f t="shared" si="257"/>
        <v>REZoning_Sol-Win</v>
      </c>
      <c r="AP2057" t="s">
        <v>2931</v>
      </c>
      <c r="AQ2057" t="s">
        <v>57</v>
      </c>
      <c r="AR2057">
        <v>2100</v>
      </c>
      <c r="AS2057" t="s">
        <v>874</v>
      </c>
      <c r="AT2057" t="s">
        <v>58</v>
      </c>
    </row>
    <row r="2058" ht="29" spans="1:46">
      <c r="A2058" s="31" t="s">
        <v>169</v>
      </c>
      <c r="C2058" t="s">
        <v>2932</v>
      </c>
      <c r="D2058" s="5" t="s">
        <v>57</v>
      </c>
      <c r="E2058">
        <v>2035</v>
      </c>
      <c r="F2058" s="6" t="str">
        <f t="shared" si="258"/>
        <v>*0.94</v>
      </c>
      <c r="H2058" t="s">
        <v>2932</v>
      </c>
      <c r="I2058" s="5" t="s">
        <v>57</v>
      </c>
      <c r="J2058">
        <v>2050</v>
      </c>
      <c r="K2058" s="38" t="str">
        <f t="shared" si="259"/>
        <v>*0.92</v>
      </c>
      <c r="P2058" s="32" t="s">
        <v>2932</v>
      </c>
      <c r="Q2058" s="42" t="s">
        <v>57</v>
      </c>
      <c r="R2058" s="32">
        <v>2035</v>
      </c>
      <c r="S2058" s="43" t="str">
        <f t="shared" si="260"/>
        <v>*0.93</v>
      </c>
      <c r="U2058" s="32" t="s">
        <v>2932</v>
      </c>
      <c r="V2058" s="42" t="s">
        <v>57</v>
      </c>
      <c r="W2058" s="32">
        <v>2050</v>
      </c>
      <c r="X2058" s="43" t="str">
        <f t="shared" si="261"/>
        <v>*0.92</v>
      </c>
      <c r="AC2058" s="33" t="s">
        <v>2932</v>
      </c>
      <c r="AD2058" s="44" t="s">
        <v>57</v>
      </c>
      <c r="AE2058" s="33">
        <v>2035</v>
      </c>
      <c r="AF2058" s="45" t="str">
        <f t="shared" si="262"/>
        <v>*0.91</v>
      </c>
      <c r="AG2058" s="43" t="str">
        <f t="shared" si="264"/>
        <v>REZoning_Sol-Win</v>
      </c>
      <c r="AI2058" s="33" t="s">
        <v>2932</v>
      </c>
      <c r="AJ2058" s="44" t="s">
        <v>57</v>
      </c>
      <c r="AK2058" s="33">
        <v>2050</v>
      </c>
      <c r="AL2058" s="45" t="str">
        <f t="shared" si="263"/>
        <v>*0.87</v>
      </c>
      <c r="AM2058" s="43" t="str">
        <f t="shared" ref="AM2058:AM2121" si="265">AM2057</f>
        <v>REZoning_Sol-Win</v>
      </c>
      <c r="AP2058" t="s">
        <v>2932</v>
      </c>
      <c r="AQ2058" t="s">
        <v>57</v>
      </c>
      <c r="AR2058">
        <v>2100</v>
      </c>
      <c r="AS2058" t="s">
        <v>874</v>
      </c>
      <c r="AT2058" t="s">
        <v>58</v>
      </c>
    </row>
    <row r="2059" ht="29" spans="1:46">
      <c r="A2059" s="31" t="s">
        <v>169</v>
      </c>
      <c r="C2059" t="s">
        <v>2933</v>
      </c>
      <c r="D2059" s="5" t="s">
        <v>57</v>
      </c>
      <c r="E2059">
        <v>2035</v>
      </c>
      <c r="F2059" s="6" t="str">
        <f t="shared" si="258"/>
        <v>*0.94</v>
      </c>
      <c r="H2059" t="s">
        <v>2933</v>
      </c>
      <c r="I2059" s="5" t="s">
        <v>57</v>
      </c>
      <c r="J2059">
        <v>2050</v>
      </c>
      <c r="K2059" s="38" t="str">
        <f t="shared" si="259"/>
        <v>*0.92</v>
      </c>
      <c r="P2059" s="32" t="s">
        <v>2933</v>
      </c>
      <c r="Q2059" s="42" t="s">
        <v>57</v>
      </c>
      <c r="R2059" s="32">
        <v>2035</v>
      </c>
      <c r="S2059" s="43" t="str">
        <f t="shared" si="260"/>
        <v>*0.93</v>
      </c>
      <c r="U2059" s="32" t="s">
        <v>2933</v>
      </c>
      <c r="V2059" s="42" t="s">
        <v>57</v>
      </c>
      <c r="W2059" s="32">
        <v>2050</v>
      </c>
      <c r="X2059" s="43" t="str">
        <f t="shared" si="261"/>
        <v>*0.92</v>
      </c>
      <c r="AC2059" s="33" t="s">
        <v>2933</v>
      </c>
      <c r="AD2059" s="44" t="s">
        <v>57</v>
      </c>
      <c r="AE2059" s="33">
        <v>2035</v>
      </c>
      <c r="AF2059" s="45" t="str">
        <f t="shared" si="262"/>
        <v>*0.91</v>
      </c>
      <c r="AG2059" s="43" t="str">
        <f t="shared" si="264"/>
        <v>REZoning_Sol-Win</v>
      </c>
      <c r="AI2059" s="33" t="s">
        <v>2933</v>
      </c>
      <c r="AJ2059" s="44" t="s">
        <v>57</v>
      </c>
      <c r="AK2059" s="33">
        <v>2050</v>
      </c>
      <c r="AL2059" s="45" t="str">
        <f t="shared" si="263"/>
        <v>*0.87</v>
      </c>
      <c r="AM2059" s="43" t="str">
        <f t="shared" si="265"/>
        <v>REZoning_Sol-Win</v>
      </c>
      <c r="AP2059" t="s">
        <v>2933</v>
      </c>
      <c r="AQ2059" t="s">
        <v>57</v>
      </c>
      <c r="AR2059">
        <v>2100</v>
      </c>
      <c r="AS2059" t="s">
        <v>874</v>
      </c>
      <c r="AT2059" t="s">
        <v>58</v>
      </c>
    </row>
    <row r="2060" ht="29" spans="1:46">
      <c r="A2060" s="31" t="s">
        <v>169</v>
      </c>
      <c r="C2060" t="s">
        <v>2934</v>
      </c>
      <c r="D2060" s="5" t="s">
        <v>57</v>
      </c>
      <c r="E2060">
        <v>2035</v>
      </c>
      <c r="F2060" s="6" t="str">
        <f t="shared" si="258"/>
        <v>*0.94</v>
      </c>
      <c r="H2060" t="s">
        <v>2934</v>
      </c>
      <c r="I2060" s="5" t="s">
        <v>57</v>
      </c>
      <c r="J2060">
        <v>2050</v>
      </c>
      <c r="K2060" s="38" t="str">
        <f t="shared" si="259"/>
        <v>*0.92</v>
      </c>
      <c r="P2060" s="32" t="s">
        <v>2934</v>
      </c>
      <c r="Q2060" s="42" t="s">
        <v>57</v>
      </c>
      <c r="R2060" s="32">
        <v>2035</v>
      </c>
      <c r="S2060" s="43" t="str">
        <f t="shared" si="260"/>
        <v>*0.93</v>
      </c>
      <c r="U2060" s="32" t="s">
        <v>2934</v>
      </c>
      <c r="V2060" s="42" t="s">
        <v>57</v>
      </c>
      <c r="W2060" s="32">
        <v>2050</v>
      </c>
      <c r="X2060" s="43" t="str">
        <f t="shared" si="261"/>
        <v>*0.92</v>
      </c>
      <c r="AC2060" s="33" t="s">
        <v>2934</v>
      </c>
      <c r="AD2060" s="44" t="s">
        <v>57</v>
      </c>
      <c r="AE2060" s="33">
        <v>2035</v>
      </c>
      <c r="AF2060" s="45" t="str">
        <f t="shared" si="262"/>
        <v>*0.91</v>
      </c>
      <c r="AG2060" s="43" t="str">
        <f t="shared" si="264"/>
        <v>REZoning_Sol-Win</v>
      </c>
      <c r="AI2060" s="33" t="s">
        <v>2934</v>
      </c>
      <c r="AJ2060" s="44" t="s">
        <v>57</v>
      </c>
      <c r="AK2060" s="33">
        <v>2050</v>
      </c>
      <c r="AL2060" s="45" t="str">
        <f t="shared" si="263"/>
        <v>*0.87</v>
      </c>
      <c r="AM2060" s="43" t="str">
        <f t="shared" si="265"/>
        <v>REZoning_Sol-Win</v>
      </c>
      <c r="AP2060" t="s">
        <v>2934</v>
      </c>
      <c r="AQ2060" t="s">
        <v>57</v>
      </c>
      <c r="AR2060">
        <v>2100</v>
      </c>
      <c r="AS2060" t="s">
        <v>874</v>
      </c>
      <c r="AT2060" t="s">
        <v>58</v>
      </c>
    </row>
    <row r="2061" ht="29" spans="1:46">
      <c r="A2061" s="31" t="s">
        <v>95</v>
      </c>
      <c r="C2061" t="s">
        <v>2935</v>
      </c>
      <c r="D2061" s="5" t="s">
        <v>57</v>
      </c>
      <c r="E2061">
        <v>2035</v>
      </c>
      <c r="F2061" s="6" t="str">
        <f t="shared" si="258"/>
        <v>*0.95</v>
      </c>
      <c r="H2061" t="s">
        <v>2935</v>
      </c>
      <c r="I2061" s="5" t="s">
        <v>57</v>
      </c>
      <c r="J2061">
        <v>2050</v>
      </c>
      <c r="K2061" s="38" t="str">
        <f t="shared" si="259"/>
        <v>*0.93</v>
      </c>
      <c r="P2061" s="32" t="s">
        <v>2935</v>
      </c>
      <c r="Q2061" s="42" t="s">
        <v>57</v>
      </c>
      <c r="R2061" s="32">
        <v>2035</v>
      </c>
      <c r="S2061" s="43" t="str">
        <f t="shared" si="260"/>
        <v>*0.95</v>
      </c>
      <c r="U2061" s="32" t="s">
        <v>2935</v>
      </c>
      <c r="V2061" s="42" t="s">
        <v>57</v>
      </c>
      <c r="W2061" s="32">
        <v>2050</v>
      </c>
      <c r="X2061" s="43" t="str">
        <f t="shared" si="261"/>
        <v>*0.91</v>
      </c>
      <c r="AC2061" s="33" t="s">
        <v>2935</v>
      </c>
      <c r="AD2061" s="44" t="s">
        <v>57</v>
      </c>
      <c r="AE2061" s="33">
        <v>2035</v>
      </c>
      <c r="AF2061" s="45" t="str">
        <f t="shared" si="262"/>
        <v>*0.91</v>
      </c>
      <c r="AG2061" s="43" t="str">
        <f t="shared" si="264"/>
        <v>REZoning_Sol-Win</v>
      </c>
      <c r="AI2061" s="33" t="s">
        <v>2935</v>
      </c>
      <c r="AJ2061" s="44" t="s">
        <v>57</v>
      </c>
      <c r="AK2061" s="33">
        <v>2050</v>
      </c>
      <c r="AL2061" s="45" t="str">
        <f t="shared" si="263"/>
        <v>*0.86</v>
      </c>
      <c r="AM2061" s="43" t="str">
        <f t="shared" si="265"/>
        <v>REZoning_Sol-Win</v>
      </c>
      <c r="AP2061" t="s">
        <v>2935</v>
      </c>
      <c r="AQ2061" t="s">
        <v>57</v>
      </c>
      <c r="AR2061">
        <v>2100</v>
      </c>
      <c r="AS2061" t="s">
        <v>883</v>
      </c>
      <c r="AT2061" t="s">
        <v>58</v>
      </c>
    </row>
    <row r="2062" ht="29" spans="1:46">
      <c r="A2062" s="31" t="s">
        <v>95</v>
      </c>
      <c r="C2062" t="s">
        <v>2936</v>
      </c>
      <c r="D2062" s="5" t="s">
        <v>57</v>
      </c>
      <c r="E2062">
        <v>2035</v>
      </c>
      <c r="F2062" s="6" t="str">
        <f t="shared" si="258"/>
        <v>*0.95</v>
      </c>
      <c r="H2062" t="s">
        <v>2936</v>
      </c>
      <c r="I2062" s="5" t="s">
        <v>57</v>
      </c>
      <c r="J2062">
        <v>2050</v>
      </c>
      <c r="K2062" s="38" t="str">
        <f t="shared" si="259"/>
        <v>*0.93</v>
      </c>
      <c r="P2062" s="32" t="s">
        <v>2936</v>
      </c>
      <c r="Q2062" s="42" t="s">
        <v>57</v>
      </c>
      <c r="R2062" s="32">
        <v>2035</v>
      </c>
      <c r="S2062" s="43" t="str">
        <f t="shared" si="260"/>
        <v>*0.95</v>
      </c>
      <c r="U2062" s="32" t="s">
        <v>2936</v>
      </c>
      <c r="V2062" s="42" t="s">
        <v>57</v>
      </c>
      <c r="W2062" s="32">
        <v>2050</v>
      </c>
      <c r="X2062" s="43" t="str">
        <f t="shared" si="261"/>
        <v>*0.91</v>
      </c>
      <c r="AC2062" s="33" t="s">
        <v>2936</v>
      </c>
      <c r="AD2062" s="44" t="s">
        <v>57</v>
      </c>
      <c r="AE2062" s="33">
        <v>2035</v>
      </c>
      <c r="AF2062" s="45" t="str">
        <f t="shared" si="262"/>
        <v>*0.91</v>
      </c>
      <c r="AG2062" s="43" t="str">
        <f t="shared" si="264"/>
        <v>REZoning_Sol-Win</v>
      </c>
      <c r="AI2062" s="33" t="s">
        <v>2936</v>
      </c>
      <c r="AJ2062" s="44" t="s">
        <v>57</v>
      </c>
      <c r="AK2062" s="33">
        <v>2050</v>
      </c>
      <c r="AL2062" s="45" t="str">
        <f t="shared" si="263"/>
        <v>*0.86</v>
      </c>
      <c r="AM2062" s="43" t="str">
        <f t="shared" si="265"/>
        <v>REZoning_Sol-Win</v>
      </c>
      <c r="AP2062" t="s">
        <v>2936</v>
      </c>
      <c r="AQ2062" t="s">
        <v>57</v>
      </c>
      <c r="AR2062">
        <v>2100</v>
      </c>
      <c r="AS2062" t="s">
        <v>883</v>
      </c>
      <c r="AT2062" t="s">
        <v>58</v>
      </c>
    </row>
    <row r="2063" ht="29" spans="1:46">
      <c r="A2063" s="31" t="s">
        <v>95</v>
      </c>
      <c r="C2063" t="s">
        <v>2937</v>
      </c>
      <c r="D2063" s="5" t="s">
        <v>57</v>
      </c>
      <c r="E2063">
        <v>2035</v>
      </c>
      <c r="F2063" s="6" t="str">
        <f t="shared" si="258"/>
        <v>*0.95</v>
      </c>
      <c r="H2063" t="s">
        <v>2937</v>
      </c>
      <c r="I2063" s="5" t="s">
        <v>57</v>
      </c>
      <c r="J2063">
        <v>2050</v>
      </c>
      <c r="K2063" s="38" t="str">
        <f t="shared" si="259"/>
        <v>*0.93</v>
      </c>
      <c r="P2063" s="32" t="s">
        <v>2937</v>
      </c>
      <c r="Q2063" s="42" t="s">
        <v>57</v>
      </c>
      <c r="R2063" s="32">
        <v>2035</v>
      </c>
      <c r="S2063" s="43" t="str">
        <f t="shared" si="260"/>
        <v>*0.95</v>
      </c>
      <c r="U2063" s="32" t="s">
        <v>2937</v>
      </c>
      <c r="V2063" s="42" t="s">
        <v>57</v>
      </c>
      <c r="W2063" s="32">
        <v>2050</v>
      </c>
      <c r="X2063" s="43" t="str">
        <f t="shared" si="261"/>
        <v>*0.91</v>
      </c>
      <c r="AC2063" s="33" t="s">
        <v>2937</v>
      </c>
      <c r="AD2063" s="44" t="s">
        <v>57</v>
      </c>
      <c r="AE2063" s="33">
        <v>2035</v>
      </c>
      <c r="AF2063" s="45" t="str">
        <f t="shared" si="262"/>
        <v>*0.91</v>
      </c>
      <c r="AG2063" s="43" t="str">
        <f t="shared" si="264"/>
        <v>REZoning_Sol-Win</v>
      </c>
      <c r="AI2063" s="33" t="s">
        <v>2937</v>
      </c>
      <c r="AJ2063" s="44" t="s">
        <v>57</v>
      </c>
      <c r="AK2063" s="33">
        <v>2050</v>
      </c>
      <c r="AL2063" s="45" t="str">
        <f t="shared" si="263"/>
        <v>*0.86</v>
      </c>
      <c r="AM2063" s="43" t="str">
        <f t="shared" si="265"/>
        <v>REZoning_Sol-Win</v>
      </c>
      <c r="AP2063" t="s">
        <v>2937</v>
      </c>
      <c r="AQ2063" t="s">
        <v>57</v>
      </c>
      <c r="AR2063">
        <v>2100</v>
      </c>
      <c r="AS2063" t="s">
        <v>883</v>
      </c>
      <c r="AT2063" t="s">
        <v>58</v>
      </c>
    </row>
    <row r="2064" ht="29" spans="1:46">
      <c r="A2064" s="31" t="s">
        <v>95</v>
      </c>
      <c r="C2064" t="s">
        <v>2938</v>
      </c>
      <c r="D2064" s="5" t="s">
        <v>57</v>
      </c>
      <c r="E2064">
        <v>2035</v>
      </c>
      <c r="F2064" s="6" t="str">
        <f t="shared" si="258"/>
        <v>*0.95</v>
      </c>
      <c r="H2064" t="s">
        <v>2938</v>
      </c>
      <c r="I2064" s="5" t="s">
        <v>57</v>
      </c>
      <c r="J2064">
        <v>2050</v>
      </c>
      <c r="K2064" s="38" t="str">
        <f t="shared" si="259"/>
        <v>*0.93</v>
      </c>
      <c r="P2064" s="32" t="s">
        <v>2938</v>
      </c>
      <c r="Q2064" s="42" t="s">
        <v>57</v>
      </c>
      <c r="R2064" s="32">
        <v>2035</v>
      </c>
      <c r="S2064" s="43" t="str">
        <f t="shared" si="260"/>
        <v>*0.95</v>
      </c>
      <c r="U2064" s="32" t="s">
        <v>2938</v>
      </c>
      <c r="V2064" s="42" t="s">
        <v>57</v>
      </c>
      <c r="W2064" s="32">
        <v>2050</v>
      </c>
      <c r="X2064" s="43" t="str">
        <f t="shared" si="261"/>
        <v>*0.91</v>
      </c>
      <c r="AC2064" s="33" t="s">
        <v>2938</v>
      </c>
      <c r="AD2064" s="44" t="s">
        <v>57</v>
      </c>
      <c r="AE2064" s="33">
        <v>2035</v>
      </c>
      <c r="AF2064" s="45" t="str">
        <f t="shared" si="262"/>
        <v>*0.91</v>
      </c>
      <c r="AG2064" s="43" t="str">
        <f t="shared" si="264"/>
        <v>REZoning_Sol-Win</v>
      </c>
      <c r="AI2064" s="33" t="s">
        <v>2938</v>
      </c>
      <c r="AJ2064" s="44" t="s">
        <v>57</v>
      </c>
      <c r="AK2064" s="33">
        <v>2050</v>
      </c>
      <c r="AL2064" s="45" t="str">
        <f t="shared" si="263"/>
        <v>*0.86</v>
      </c>
      <c r="AM2064" s="43" t="str">
        <f t="shared" si="265"/>
        <v>REZoning_Sol-Win</v>
      </c>
      <c r="AP2064" t="s">
        <v>2938</v>
      </c>
      <c r="AQ2064" t="s">
        <v>57</v>
      </c>
      <c r="AR2064">
        <v>2100</v>
      </c>
      <c r="AS2064" t="s">
        <v>883</v>
      </c>
      <c r="AT2064" t="s">
        <v>58</v>
      </c>
    </row>
    <row r="2065" ht="29" spans="1:46">
      <c r="A2065" s="31" t="s">
        <v>95</v>
      </c>
      <c r="C2065" t="s">
        <v>2939</v>
      </c>
      <c r="D2065" s="5" t="s">
        <v>57</v>
      </c>
      <c r="E2065">
        <v>2035</v>
      </c>
      <c r="F2065" s="6" t="str">
        <f t="shared" si="258"/>
        <v>*0.95</v>
      </c>
      <c r="H2065" t="s">
        <v>2939</v>
      </c>
      <c r="I2065" s="5" t="s">
        <v>57</v>
      </c>
      <c r="J2065">
        <v>2050</v>
      </c>
      <c r="K2065" s="38" t="str">
        <f t="shared" si="259"/>
        <v>*0.93</v>
      </c>
      <c r="P2065" s="32" t="s">
        <v>2939</v>
      </c>
      <c r="Q2065" s="42" t="s">
        <v>57</v>
      </c>
      <c r="R2065" s="32">
        <v>2035</v>
      </c>
      <c r="S2065" s="43" t="str">
        <f t="shared" si="260"/>
        <v>*0.95</v>
      </c>
      <c r="U2065" s="32" t="s">
        <v>2939</v>
      </c>
      <c r="V2065" s="42" t="s">
        <v>57</v>
      </c>
      <c r="W2065" s="32">
        <v>2050</v>
      </c>
      <c r="X2065" s="43" t="str">
        <f t="shared" si="261"/>
        <v>*0.91</v>
      </c>
      <c r="AC2065" s="33" t="s">
        <v>2939</v>
      </c>
      <c r="AD2065" s="44" t="s">
        <v>57</v>
      </c>
      <c r="AE2065" s="33">
        <v>2035</v>
      </c>
      <c r="AF2065" s="45" t="str">
        <f t="shared" si="262"/>
        <v>*0.91</v>
      </c>
      <c r="AG2065" s="43" t="str">
        <f t="shared" si="264"/>
        <v>REZoning_Sol-Win</v>
      </c>
      <c r="AI2065" s="33" t="s">
        <v>2939</v>
      </c>
      <c r="AJ2065" s="44" t="s">
        <v>57</v>
      </c>
      <c r="AK2065" s="33">
        <v>2050</v>
      </c>
      <c r="AL2065" s="45" t="str">
        <f t="shared" si="263"/>
        <v>*0.86</v>
      </c>
      <c r="AM2065" s="43" t="str">
        <f t="shared" si="265"/>
        <v>REZoning_Sol-Win</v>
      </c>
      <c r="AP2065" t="s">
        <v>2939</v>
      </c>
      <c r="AQ2065" t="s">
        <v>57</v>
      </c>
      <c r="AR2065">
        <v>2100</v>
      </c>
      <c r="AS2065" t="s">
        <v>883</v>
      </c>
      <c r="AT2065" t="s">
        <v>58</v>
      </c>
    </row>
    <row r="2066" ht="29" spans="1:46">
      <c r="A2066" s="31" t="s">
        <v>95</v>
      </c>
      <c r="C2066" t="s">
        <v>2940</v>
      </c>
      <c r="D2066" s="5" t="s">
        <v>57</v>
      </c>
      <c r="E2066">
        <v>2035</v>
      </c>
      <c r="F2066" s="6" t="str">
        <f t="shared" si="258"/>
        <v>*0.95</v>
      </c>
      <c r="H2066" t="s">
        <v>2940</v>
      </c>
      <c r="I2066" s="5" t="s">
        <v>57</v>
      </c>
      <c r="J2066">
        <v>2050</v>
      </c>
      <c r="K2066" s="38" t="str">
        <f t="shared" si="259"/>
        <v>*0.93</v>
      </c>
      <c r="P2066" s="32" t="s">
        <v>2940</v>
      </c>
      <c r="Q2066" s="42" t="s">
        <v>57</v>
      </c>
      <c r="R2066" s="32">
        <v>2035</v>
      </c>
      <c r="S2066" s="43" t="str">
        <f t="shared" si="260"/>
        <v>*0.95</v>
      </c>
      <c r="U2066" s="32" t="s">
        <v>2940</v>
      </c>
      <c r="V2066" s="42" t="s">
        <v>57</v>
      </c>
      <c r="W2066" s="32">
        <v>2050</v>
      </c>
      <c r="X2066" s="43" t="str">
        <f t="shared" si="261"/>
        <v>*0.91</v>
      </c>
      <c r="AC2066" s="33" t="s">
        <v>2940</v>
      </c>
      <c r="AD2066" s="44" t="s">
        <v>57</v>
      </c>
      <c r="AE2066" s="33">
        <v>2035</v>
      </c>
      <c r="AF2066" s="45" t="str">
        <f t="shared" si="262"/>
        <v>*0.91</v>
      </c>
      <c r="AG2066" s="43" t="str">
        <f t="shared" si="264"/>
        <v>REZoning_Sol-Win</v>
      </c>
      <c r="AI2066" s="33" t="s">
        <v>2940</v>
      </c>
      <c r="AJ2066" s="44" t="s">
        <v>57</v>
      </c>
      <c r="AK2066" s="33">
        <v>2050</v>
      </c>
      <c r="AL2066" s="45" t="str">
        <f t="shared" si="263"/>
        <v>*0.86</v>
      </c>
      <c r="AM2066" s="43" t="str">
        <f t="shared" si="265"/>
        <v>REZoning_Sol-Win</v>
      </c>
      <c r="AP2066" t="s">
        <v>2940</v>
      </c>
      <c r="AQ2066" t="s">
        <v>57</v>
      </c>
      <c r="AR2066">
        <v>2100</v>
      </c>
      <c r="AS2066" t="s">
        <v>883</v>
      </c>
      <c r="AT2066" t="s">
        <v>58</v>
      </c>
    </row>
    <row r="2067" ht="29" spans="1:46">
      <c r="A2067" s="31" t="s">
        <v>95</v>
      </c>
      <c r="C2067" t="s">
        <v>2941</v>
      </c>
      <c r="D2067" s="5" t="s">
        <v>57</v>
      </c>
      <c r="E2067">
        <v>2035</v>
      </c>
      <c r="F2067" s="6" t="str">
        <f t="shared" si="258"/>
        <v>*0.95</v>
      </c>
      <c r="H2067" t="s">
        <v>2941</v>
      </c>
      <c r="I2067" s="5" t="s">
        <v>57</v>
      </c>
      <c r="J2067">
        <v>2050</v>
      </c>
      <c r="K2067" s="38" t="str">
        <f t="shared" si="259"/>
        <v>*0.93</v>
      </c>
      <c r="P2067" s="32" t="s">
        <v>2941</v>
      </c>
      <c r="Q2067" s="42" t="s">
        <v>57</v>
      </c>
      <c r="R2067" s="32">
        <v>2035</v>
      </c>
      <c r="S2067" s="43" t="str">
        <f t="shared" si="260"/>
        <v>*0.95</v>
      </c>
      <c r="U2067" s="32" t="s">
        <v>2941</v>
      </c>
      <c r="V2067" s="42" t="s">
        <v>57</v>
      </c>
      <c r="W2067" s="32">
        <v>2050</v>
      </c>
      <c r="X2067" s="43" t="str">
        <f t="shared" si="261"/>
        <v>*0.91</v>
      </c>
      <c r="AC2067" s="33" t="s">
        <v>2941</v>
      </c>
      <c r="AD2067" s="44" t="s">
        <v>57</v>
      </c>
      <c r="AE2067" s="33">
        <v>2035</v>
      </c>
      <c r="AF2067" s="45" t="str">
        <f t="shared" si="262"/>
        <v>*0.91</v>
      </c>
      <c r="AG2067" s="43" t="str">
        <f t="shared" si="264"/>
        <v>REZoning_Sol-Win</v>
      </c>
      <c r="AI2067" s="33" t="s">
        <v>2941</v>
      </c>
      <c r="AJ2067" s="44" t="s">
        <v>57</v>
      </c>
      <c r="AK2067" s="33">
        <v>2050</v>
      </c>
      <c r="AL2067" s="45" t="str">
        <f t="shared" si="263"/>
        <v>*0.86</v>
      </c>
      <c r="AM2067" s="43" t="str">
        <f t="shared" si="265"/>
        <v>REZoning_Sol-Win</v>
      </c>
      <c r="AP2067" t="s">
        <v>2941</v>
      </c>
      <c r="AQ2067" t="s">
        <v>57</v>
      </c>
      <c r="AR2067">
        <v>2100</v>
      </c>
      <c r="AS2067" t="s">
        <v>883</v>
      </c>
      <c r="AT2067" t="s">
        <v>58</v>
      </c>
    </row>
    <row r="2068" ht="29" spans="1:46">
      <c r="A2068" s="31" t="s">
        <v>95</v>
      </c>
      <c r="C2068" t="s">
        <v>2942</v>
      </c>
      <c r="D2068" s="5" t="s">
        <v>57</v>
      </c>
      <c r="E2068">
        <v>2035</v>
      </c>
      <c r="F2068" s="6" t="str">
        <f t="shared" si="258"/>
        <v>*0.95</v>
      </c>
      <c r="H2068" t="s">
        <v>2942</v>
      </c>
      <c r="I2068" s="5" t="s">
        <v>57</v>
      </c>
      <c r="J2068">
        <v>2050</v>
      </c>
      <c r="K2068" s="38" t="str">
        <f t="shared" si="259"/>
        <v>*0.93</v>
      </c>
      <c r="P2068" s="32" t="s">
        <v>2942</v>
      </c>
      <c r="Q2068" s="42" t="s">
        <v>57</v>
      </c>
      <c r="R2068" s="32">
        <v>2035</v>
      </c>
      <c r="S2068" s="43" t="str">
        <f t="shared" si="260"/>
        <v>*0.95</v>
      </c>
      <c r="U2068" s="32" t="s">
        <v>2942</v>
      </c>
      <c r="V2068" s="42" t="s">
        <v>57</v>
      </c>
      <c r="W2068" s="32">
        <v>2050</v>
      </c>
      <c r="X2068" s="43" t="str">
        <f t="shared" si="261"/>
        <v>*0.91</v>
      </c>
      <c r="AC2068" s="33" t="s">
        <v>2942</v>
      </c>
      <c r="AD2068" s="44" t="s">
        <v>57</v>
      </c>
      <c r="AE2068" s="33">
        <v>2035</v>
      </c>
      <c r="AF2068" s="45" t="str">
        <f t="shared" si="262"/>
        <v>*0.91</v>
      </c>
      <c r="AG2068" s="43" t="str">
        <f t="shared" si="264"/>
        <v>REZoning_Sol-Win</v>
      </c>
      <c r="AI2068" s="33" t="s">
        <v>2942</v>
      </c>
      <c r="AJ2068" s="44" t="s">
        <v>57</v>
      </c>
      <c r="AK2068" s="33">
        <v>2050</v>
      </c>
      <c r="AL2068" s="45" t="str">
        <f t="shared" si="263"/>
        <v>*0.86</v>
      </c>
      <c r="AM2068" s="43" t="str">
        <f t="shared" si="265"/>
        <v>REZoning_Sol-Win</v>
      </c>
      <c r="AP2068" t="s">
        <v>2942</v>
      </c>
      <c r="AQ2068" t="s">
        <v>57</v>
      </c>
      <c r="AR2068">
        <v>2100</v>
      </c>
      <c r="AS2068" t="s">
        <v>883</v>
      </c>
      <c r="AT2068" t="s">
        <v>58</v>
      </c>
    </row>
    <row r="2069" ht="29" spans="1:46">
      <c r="A2069" s="31" t="s">
        <v>95</v>
      </c>
      <c r="C2069" t="s">
        <v>2943</v>
      </c>
      <c r="D2069" s="5" t="s">
        <v>57</v>
      </c>
      <c r="E2069">
        <v>2035</v>
      </c>
      <c r="F2069" s="6" t="str">
        <f t="shared" si="258"/>
        <v>*0.95</v>
      </c>
      <c r="H2069" t="s">
        <v>2943</v>
      </c>
      <c r="I2069" s="5" t="s">
        <v>57</v>
      </c>
      <c r="J2069">
        <v>2050</v>
      </c>
      <c r="K2069" s="38" t="str">
        <f t="shared" si="259"/>
        <v>*0.93</v>
      </c>
      <c r="P2069" s="32" t="s">
        <v>2943</v>
      </c>
      <c r="Q2069" s="42" t="s">
        <v>57</v>
      </c>
      <c r="R2069" s="32">
        <v>2035</v>
      </c>
      <c r="S2069" s="43" t="str">
        <f t="shared" si="260"/>
        <v>*0.95</v>
      </c>
      <c r="U2069" s="32" t="s">
        <v>2943</v>
      </c>
      <c r="V2069" s="42" t="s">
        <v>57</v>
      </c>
      <c r="W2069" s="32">
        <v>2050</v>
      </c>
      <c r="X2069" s="43" t="str">
        <f t="shared" si="261"/>
        <v>*0.91</v>
      </c>
      <c r="AC2069" s="33" t="s">
        <v>2943</v>
      </c>
      <c r="AD2069" s="44" t="s">
        <v>57</v>
      </c>
      <c r="AE2069" s="33">
        <v>2035</v>
      </c>
      <c r="AF2069" s="45" t="str">
        <f t="shared" si="262"/>
        <v>*0.91</v>
      </c>
      <c r="AG2069" s="43" t="str">
        <f t="shared" si="264"/>
        <v>REZoning_Sol-Win</v>
      </c>
      <c r="AI2069" s="33" t="s">
        <v>2943</v>
      </c>
      <c r="AJ2069" s="44" t="s">
        <v>57</v>
      </c>
      <c r="AK2069" s="33">
        <v>2050</v>
      </c>
      <c r="AL2069" s="45" t="str">
        <f t="shared" si="263"/>
        <v>*0.86</v>
      </c>
      <c r="AM2069" s="43" t="str">
        <f t="shared" si="265"/>
        <v>REZoning_Sol-Win</v>
      </c>
      <c r="AP2069" t="s">
        <v>2943</v>
      </c>
      <c r="AQ2069" t="s">
        <v>57</v>
      </c>
      <c r="AR2069">
        <v>2100</v>
      </c>
      <c r="AS2069" t="s">
        <v>883</v>
      </c>
      <c r="AT2069" t="s">
        <v>58</v>
      </c>
    </row>
    <row r="2070" ht="29" spans="1:46">
      <c r="A2070" s="31" t="s">
        <v>95</v>
      </c>
      <c r="C2070" t="s">
        <v>2944</v>
      </c>
      <c r="D2070" s="5" t="s">
        <v>57</v>
      </c>
      <c r="E2070">
        <v>2035</v>
      </c>
      <c r="F2070" s="6" t="str">
        <f t="shared" si="258"/>
        <v>*0.95</v>
      </c>
      <c r="H2070" t="s">
        <v>2944</v>
      </c>
      <c r="I2070" s="5" t="s">
        <v>57</v>
      </c>
      <c r="J2070">
        <v>2050</v>
      </c>
      <c r="K2070" s="38" t="str">
        <f t="shared" si="259"/>
        <v>*0.93</v>
      </c>
      <c r="P2070" s="32" t="s">
        <v>2944</v>
      </c>
      <c r="Q2070" s="42" t="s">
        <v>57</v>
      </c>
      <c r="R2070" s="32">
        <v>2035</v>
      </c>
      <c r="S2070" s="43" t="str">
        <f t="shared" si="260"/>
        <v>*0.95</v>
      </c>
      <c r="U2070" s="32" t="s">
        <v>2944</v>
      </c>
      <c r="V2070" s="42" t="s">
        <v>57</v>
      </c>
      <c r="W2070" s="32">
        <v>2050</v>
      </c>
      <c r="X2070" s="43" t="str">
        <f t="shared" si="261"/>
        <v>*0.91</v>
      </c>
      <c r="AC2070" s="33" t="s">
        <v>2944</v>
      </c>
      <c r="AD2070" s="44" t="s">
        <v>57</v>
      </c>
      <c r="AE2070" s="33">
        <v>2035</v>
      </c>
      <c r="AF2070" s="45" t="str">
        <f t="shared" si="262"/>
        <v>*0.91</v>
      </c>
      <c r="AG2070" s="43" t="str">
        <f t="shared" si="264"/>
        <v>REZoning_Sol-Win</v>
      </c>
      <c r="AI2070" s="33" t="s">
        <v>2944</v>
      </c>
      <c r="AJ2070" s="44" t="s">
        <v>57</v>
      </c>
      <c r="AK2070" s="33">
        <v>2050</v>
      </c>
      <c r="AL2070" s="45" t="str">
        <f t="shared" si="263"/>
        <v>*0.86</v>
      </c>
      <c r="AM2070" s="43" t="str">
        <f t="shared" si="265"/>
        <v>REZoning_Sol-Win</v>
      </c>
      <c r="AP2070" t="s">
        <v>2944</v>
      </c>
      <c r="AQ2070" t="s">
        <v>57</v>
      </c>
      <c r="AR2070">
        <v>2100</v>
      </c>
      <c r="AS2070" t="s">
        <v>883</v>
      </c>
      <c r="AT2070" t="s">
        <v>58</v>
      </c>
    </row>
    <row r="2071" ht="29" spans="1:46">
      <c r="A2071" s="31" t="s">
        <v>95</v>
      </c>
      <c r="C2071" t="s">
        <v>2945</v>
      </c>
      <c r="D2071" s="5" t="s">
        <v>57</v>
      </c>
      <c r="E2071">
        <v>2035</v>
      </c>
      <c r="F2071" s="6" t="str">
        <f t="shared" si="258"/>
        <v>*0.95</v>
      </c>
      <c r="H2071" t="s">
        <v>2945</v>
      </c>
      <c r="I2071" s="5" t="s">
        <v>57</v>
      </c>
      <c r="J2071">
        <v>2050</v>
      </c>
      <c r="K2071" s="38" t="str">
        <f t="shared" si="259"/>
        <v>*0.93</v>
      </c>
      <c r="P2071" s="32" t="s">
        <v>2945</v>
      </c>
      <c r="Q2071" s="42" t="s">
        <v>57</v>
      </c>
      <c r="R2071" s="32">
        <v>2035</v>
      </c>
      <c r="S2071" s="43" t="str">
        <f t="shared" si="260"/>
        <v>*0.95</v>
      </c>
      <c r="U2071" s="32" t="s">
        <v>2945</v>
      </c>
      <c r="V2071" s="42" t="s">
        <v>57</v>
      </c>
      <c r="W2071" s="32">
        <v>2050</v>
      </c>
      <c r="X2071" s="43" t="str">
        <f t="shared" si="261"/>
        <v>*0.91</v>
      </c>
      <c r="AC2071" s="33" t="s">
        <v>2945</v>
      </c>
      <c r="AD2071" s="44" t="s">
        <v>57</v>
      </c>
      <c r="AE2071" s="33">
        <v>2035</v>
      </c>
      <c r="AF2071" s="45" t="str">
        <f t="shared" si="262"/>
        <v>*0.91</v>
      </c>
      <c r="AG2071" s="43" t="str">
        <f t="shared" si="264"/>
        <v>REZoning_Sol-Win</v>
      </c>
      <c r="AI2071" s="33" t="s">
        <v>2945</v>
      </c>
      <c r="AJ2071" s="44" t="s">
        <v>57</v>
      </c>
      <c r="AK2071" s="33">
        <v>2050</v>
      </c>
      <c r="AL2071" s="45" t="str">
        <f t="shared" si="263"/>
        <v>*0.86</v>
      </c>
      <c r="AM2071" s="43" t="str">
        <f t="shared" si="265"/>
        <v>REZoning_Sol-Win</v>
      </c>
      <c r="AP2071" t="s">
        <v>2945</v>
      </c>
      <c r="AQ2071" t="s">
        <v>57</v>
      </c>
      <c r="AR2071">
        <v>2100</v>
      </c>
      <c r="AS2071" t="s">
        <v>883</v>
      </c>
      <c r="AT2071" t="s">
        <v>58</v>
      </c>
    </row>
    <row r="2072" ht="29" spans="1:46">
      <c r="A2072" s="31" t="s">
        <v>95</v>
      </c>
      <c r="C2072" t="s">
        <v>2946</v>
      </c>
      <c r="D2072" s="5" t="s">
        <v>57</v>
      </c>
      <c r="E2072">
        <v>2035</v>
      </c>
      <c r="F2072" s="6" t="str">
        <f t="shared" si="258"/>
        <v>*0.95</v>
      </c>
      <c r="H2072" t="s">
        <v>2946</v>
      </c>
      <c r="I2072" s="5" t="s">
        <v>57</v>
      </c>
      <c r="J2072">
        <v>2050</v>
      </c>
      <c r="K2072" s="38" t="str">
        <f t="shared" si="259"/>
        <v>*0.93</v>
      </c>
      <c r="P2072" s="32" t="s">
        <v>2946</v>
      </c>
      <c r="Q2072" s="42" t="s">
        <v>57</v>
      </c>
      <c r="R2072" s="32">
        <v>2035</v>
      </c>
      <c r="S2072" s="43" t="str">
        <f t="shared" si="260"/>
        <v>*0.95</v>
      </c>
      <c r="U2072" s="32" t="s">
        <v>2946</v>
      </c>
      <c r="V2072" s="42" t="s">
        <v>57</v>
      </c>
      <c r="W2072" s="32">
        <v>2050</v>
      </c>
      <c r="X2072" s="43" t="str">
        <f t="shared" si="261"/>
        <v>*0.91</v>
      </c>
      <c r="AC2072" s="33" t="s">
        <v>2946</v>
      </c>
      <c r="AD2072" s="44" t="s">
        <v>57</v>
      </c>
      <c r="AE2072" s="33">
        <v>2035</v>
      </c>
      <c r="AF2072" s="45" t="str">
        <f t="shared" si="262"/>
        <v>*0.91</v>
      </c>
      <c r="AG2072" s="43" t="str">
        <f t="shared" si="264"/>
        <v>REZoning_Sol-Win</v>
      </c>
      <c r="AI2072" s="33" t="s">
        <v>2946</v>
      </c>
      <c r="AJ2072" s="44" t="s">
        <v>57</v>
      </c>
      <c r="AK2072" s="33">
        <v>2050</v>
      </c>
      <c r="AL2072" s="45" t="str">
        <f t="shared" si="263"/>
        <v>*0.86</v>
      </c>
      <c r="AM2072" s="43" t="str">
        <f t="shared" si="265"/>
        <v>REZoning_Sol-Win</v>
      </c>
      <c r="AP2072" t="s">
        <v>2946</v>
      </c>
      <c r="AQ2072" t="s">
        <v>57</v>
      </c>
      <c r="AR2072">
        <v>2100</v>
      </c>
      <c r="AS2072" t="s">
        <v>883</v>
      </c>
      <c r="AT2072" t="s">
        <v>58</v>
      </c>
    </row>
    <row r="2073" ht="29" spans="1:46">
      <c r="A2073" s="31" t="s">
        <v>95</v>
      </c>
      <c r="C2073" t="s">
        <v>2947</v>
      </c>
      <c r="D2073" s="5" t="s">
        <v>57</v>
      </c>
      <c r="E2073">
        <v>2035</v>
      </c>
      <c r="F2073" s="6" t="str">
        <f t="shared" si="258"/>
        <v>*0.95</v>
      </c>
      <c r="H2073" t="s">
        <v>2947</v>
      </c>
      <c r="I2073" s="5" t="s">
        <v>57</v>
      </c>
      <c r="J2073">
        <v>2050</v>
      </c>
      <c r="K2073" s="38" t="str">
        <f t="shared" si="259"/>
        <v>*0.93</v>
      </c>
      <c r="P2073" s="32" t="s">
        <v>2947</v>
      </c>
      <c r="Q2073" s="42" t="s">
        <v>57</v>
      </c>
      <c r="R2073" s="32">
        <v>2035</v>
      </c>
      <c r="S2073" s="43" t="str">
        <f t="shared" si="260"/>
        <v>*0.95</v>
      </c>
      <c r="U2073" s="32" t="s">
        <v>2947</v>
      </c>
      <c r="V2073" s="42" t="s">
        <v>57</v>
      </c>
      <c r="W2073" s="32">
        <v>2050</v>
      </c>
      <c r="X2073" s="43" t="str">
        <f t="shared" si="261"/>
        <v>*0.91</v>
      </c>
      <c r="AC2073" s="33" t="s">
        <v>2947</v>
      </c>
      <c r="AD2073" s="44" t="s">
        <v>57</v>
      </c>
      <c r="AE2073" s="33">
        <v>2035</v>
      </c>
      <c r="AF2073" s="45" t="str">
        <f t="shared" si="262"/>
        <v>*0.91</v>
      </c>
      <c r="AG2073" s="43" t="str">
        <f t="shared" si="264"/>
        <v>REZoning_Sol-Win</v>
      </c>
      <c r="AI2073" s="33" t="s">
        <v>2947</v>
      </c>
      <c r="AJ2073" s="44" t="s">
        <v>57</v>
      </c>
      <c r="AK2073" s="33">
        <v>2050</v>
      </c>
      <c r="AL2073" s="45" t="str">
        <f t="shared" si="263"/>
        <v>*0.86</v>
      </c>
      <c r="AM2073" s="43" t="str">
        <f t="shared" si="265"/>
        <v>REZoning_Sol-Win</v>
      </c>
      <c r="AP2073" t="s">
        <v>2947</v>
      </c>
      <c r="AQ2073" t="s">
        <v>57</v>
      </c>
      <c r="AR2073">
        <v>2100</v>
      </c>
      <c r="AS2073" t="s">
        <v>883</v>
      </c>
      <c r="AT2073" t="s">
        <v>58</v>
      </c>
    </row>
    <row r="2074" ht="29" spans="1:46">
      <c r="A2074" s="31" t="s">
        <v>95</v>
      </c>
      <c r="C2074" t="s">
        <v>2948</v>
      </c>
      <c r="D2074" s="5" t="s">
        <v>57</v>
      </c>
      <c r="E2074">
        <v>2035</v>
      </c>
      <c r="F2074" s="6" t="str">
        <f t="shared" si="258"/>
        <v>*0.95</v>
      </c>
      <c r="H2074" t="s">
        <v>2948</v>
      </c>
      <c r="I2074" s="5" t="s">
        <v>57</v>
      </c>
      <c r="J2074">
        <v>2050</v>
      </c>
      <c r="K2074" s="38" t="str">
        <f t="shared" si="259"/>
        <v>*0.93</v>
      </c>
      <c r="P2074" s="32" t="s">
        <v>2948</v>
      </c>
      <c r="Q2074" s="42" t="s">
        <v>57</v>
      </c>
      <c r="R2074" s="32">
        <v>2035</v>
      </c>
      <c r="S2074" s="43" t="str">
        <f t="shared" si="260"/>
        <v>*0.95</v>
      </c>
      <c r="U2074" s="32" t="s">
        <v>2948</v>
      </c>
      <c r="V2074" s="42" t="s">
        <v>57</v>
      </c>
      <c r="W2074" s="32">
        <v>2050</v>
      </c>
      <c r="X2074" s="43" t="str">
        <f t="shared" si="261"/>
        <v>*0.91</v>
      </c>
      <c r="AC2074" s="33" t="s">
        <v>2948</v>
      </c>
      <c r="AD2074" s="44" t="s">
        <v>57</v>
      </c>
      <c r="AE2074" s="33">
        <v>2035</v>
      </c>
      <c r="AF2074" s="45" t="str">
        <f t="shared" si="262"/>
        <v>*0.91</v>
      </c>
      <c r="AG2074" s="43" t="str">
        <f t="shared" si="264"/>
        <v>REZoning_Sol-Win</v>
      </c>
      <c r="AI2074" s="33" t="s">
        <v>2948</v>
      </c>
      <c r="AJ2074" s="44" t="s">
        <v>57</v>
      </c>
      <c r="AK2074" s="33">
        <v>2050</v>
      </c>
      <c r="AL2074" s="45" t="str">
        <f t="shared" si="263"/>
        <v>*0.86</v>
      </c>
      <c r="AM2074" s="43" t="str">
        <f t="shared" si="265"/>
        <v>REZoning_Sol-Win</v>
      </c>
      <c r="AP2074" t="s">
        <v>2948</v>
      </c>
      <c r="AQ2074" t="s">
        <v>57</v>
      </c>
      <c r="AR2074">
        <v>2100</v>
      </c>
      <c r="AS2074" t="s">
        <v>883</v>
      </c>
      <c r="AT2074" t="s">
        <v>58</v>
      </c>
    </row>
    <row r="2075" ht="29" spans="1:46">
      <c r="A2075" s="31" t="s">
        <v>95</v>
      </c>
      <c r="C2075" t="s">
        <v>2949</v>
      </c>
      <c r="D2075" s="5" t="s">
        <v>57</v>
      </c>
      <c r="E2075">
        <v>2035</v>
      </c>
      <c r="F2075" s="6" t="str">
        <f t="shared" si="258"/>
        <v>*0.95</v>
      </c>
      <c r="H2075" t="s">
        <v>2949</v>
      </c>
      <c r="I2075" s="5" t="s">
        <v>57</v>
      </c>
      <c r="J2075">
        <v>2050</v>
      </c>
      <c r="K2075" s="38" t="str">
        <f t="shared" si="259"/>
        <v>*0.93</v>
      </c>
      <c r="P2075" s="32" t="s">
        <v>2949</v>
      </c>
      <c r="Q2075" s="42" t="s">
        <v>57</v>
      </c>
      <c r="R2075" s="32">
        <v>2035</v>
      </c>
      <c r="S2075" s="43" t="str">
        <f t="shared" si="260"/>
        <v>*0.95</v>
      </c>
      <c r="U2075" s="32" t="s">
        <v>2949</v>
      </c>
      <c r="V2075" s="42" t="s">
        <v>57</v>
      </c>
      <c r="W2075" s="32">
        <v>2050</v>
      </c>
      <c r="X2075" s="43" t="str">
        <f t="shared" si="261"/>
        <v>*0.91</v>
      </c>
      <c r="AC2075" s="33" t="s">
        <v>2949</v>
      </c>
      <c r="AD2075" s="44" t="s">
        <v>57</v>
      </c>
      <c r="AE2075" s="33">
        <v>2035</v>
      </c>
      <c r="AF2075" s="45" t="str">
        <f t="shared" si="262"/>
        <v>*0.91</v>
      </c>
      <c r="AG2075" s="43" t="str">
        <f t="shared" si="264"/>
        <v>REZoning_Sol-Win</v>
      </c>
      <c r="AI2075" s="33" t="s">
        <v>2949</v>
      </c>
      <c r="AJ2075" s="44" t="s">
        <v>57</v>
      </c>
      <c r="AK2075" s="33">
        <v>2050</v>
      </c>
      <c r="AL2075" s="45" t="str">
        <f t="shared" si="263"/>
        <v>*0.86</v>
      </c>
      <c r="AM2075" s="43" t="str">
        <f t="shared" si="265"/>
        <v>REZoning_Sol-Win</v>
      </c>
      <c r="AP2075" t="s">
        <v>2949</v>
      </c>
      <c r="AQ2075" t="s">
        <v>57</v>
      </c>
      <c r="AR2075">
        <v>2100</v>
      </c>
      <c r="AS2075" t="s">
        <v>883</v>
      </c>
      <c r="AT2075" t="s">
        <v>58</v>
      </c>
    </row>
    <row r="2076" ht="29" spans="1:46">
      <c r="A2076" s="31" t="s">
        <v>95</v>
      </c>
      <c r="C2076" t="s">
        <v>2950</v>
      </c>
      <c r="D2076" s="5" t="s">
        <v>57</v>
      </c>
      <c r="E2076">
        <v>2035</v>
      </c>
      <c r="F2076" s="6" t="str">
        <f t="shared" si="258"/>
        <v>*0.95</v>
      </c>
      <c r="H2076" t="s">
        <v>2950</v>
      </c>
      <c r="I2076" s="5" t="s">
        <v>57</v>
      </c>
      <c r="J2076">
        <v>2050</v>
      </c>
      <c r="K2076" s="38" t="str">
        <f t="shared" si="259"/>
        <v>*0.93</v>
      </c>
      <c r="P2076" s="32" t="s">
        <v>2950</v>
      </c>
      <c r="Q2076" s="42" t="s">
        <v>57</v>
      </c>
      <c r="R2076" s="32">
        <v>2035</v>
      </c>
      <c r="S2076" s="43" t="str">
        <f t="shared" si="260"/>
        <v>*0.95</v>
      </c>
      <c r="U2076" s="32" t="s">
        <v>2950</v>
      </c>
      <c r="V2076" s="42" t="s">
        <v>57</v>
      </c>
      <c r="W2076" s="32">
        <v>2050</v>
      </c>
      <c r="X2076" s="43" t="str">
        <f t="shared" si="261"/>
        <v>*0.91</v>
      </c>
      <c r="AC2076" s="33" t="s">
        <v>2950</v>
      </c>
      <c r="AD2076" s="44" t="s">
        <v>57</v>
      </c>
      <c r="AE2076" s="33">
        <v>2035</v>
      </c>
      <c r="AF2076" s="45" t="str">
        <f t="shared" si="262"/>
        <v>*0.91</v>
      </c>
      <c r="AG2076" s="43" t="str">
        <f t="shared" si="264"/>
        <v>REZoning_Sol-Win</v>
      </c>
      <c r="AI2076" s="33" t="s">
        <v>2950</v>
      </c>
      <c r="AJ2076" s="44" t="s">
        <v>57</v>
      </c>
      <c r="AK2076" s="33">
        <v>2050</v>
      </c>
      <c r="AL2076" s="45" t="str">
        <f t="shared" si="263"/>
        <v>*0.86</v>
      </c>
      <c r="AM2076" s="43" t="str">
        <f t="shared" si="265"/>
        <v>REZoning_Sol-Win</v>
      </c>
      <c r="AP2076" t="s">
        <v>2950</v>
      </c>
      <c r="AQ2076" t="s">
        <v>57</v>
      </c>
      <c r="AR2076">
        <v>2100</v>
      </c>
      <c r="AS2076" t="s">
        <v>883</v>
      </c>
      <c r="AT2076" t="s">
        <v>58</v>
      </c>
    </row>
    <row r="2077" ht="29" spans="1:46">
      <c r="A2077" s="31" t="s">
        <v>95</v>
      </c>
      <c r="C2077" t="s">
        <v>2951</v>
      </c>
      <c r="D2077" s="5" t="s">
        <v>57</v>
      </c>
      <c r="E2077">
        <v>2035</v>
      </c>
      <c r="F2077" s="6" t="str">
        <f t="shared" si="258"/>
        <v>*0.95</v>
      </c>
      <c r="H2077" t="s">
        <v>2951</v>
      </c>
      <c r="I2077" s="5" t="s">
        <v>57</v>
      </c>
      <c r="J2077">
        <v>2050</v>
      </c>
      <c r="K2077" s="38" t="str">
        <f t="shared" si="259"/>
        <v>*0.93</v>
      </c>
      <c r="P2077" s="32" t="s">
        <v>2951</v>
      </c>
      <c r="Q2077" s="42" t="s">
        <v>57</v>
      </c>
      <c r="R2077" s="32">
        <v>2035</v>
      </c>
      <c r="S2077" s="43" t="str">
        <f t="shared" si="260"/>
        <v>*0.95</v>
      </c>
      <c r="U2077" s="32" t="s">
        <v>2951</v>
      </c>
      <c r="V2077" s="42" t="s">
        <v>57</v>
      </c>
      <c r="W2077" s="32">
        <v>2050</v>
      </c>
      <c r="X2077" s="43" t="str">
        <f t="shared" si="261"/>
        <v>*0.91</v>
      </c>
      <c r="AC2077" s="33" t="s">
        <v>2951</v>
      </c>
      <c r="AD2077" s="44" t="s">
        <v>57</v>
      </c>
      <c r="AE2077" s="33">
        <v>2035</v>
      </c>
      <c r="AF2077" s="45" t="str">
        <f t="shared" si="262"/>
        <v>*0.91</v>
      </c>
      <c r="AG2077" s="43" t="str">
        <f t="shared" si="264"/>
        <v>REZoning_Sol-Win</v>
      </c>
      <c r="AI2077" s="33" t="s">
        <v>2951</v>
      </c>
      <c r="AJ2077" s="44" t="s">
        <v>57</v>
      </c>
      <c r="AK2077" s="33">
        <v>2050</v>
      </c>
      <c r="AL2077" s="45" t="str">
        <f t="shared" si="263"/>
        <v>*0.86</v>
      </c>
      <c r="AM2077" s="43" t="str">
        <f t="shared" si="265"/>
        <v>REZoning_Sol-Win</v>
      </c>
      <c r="AP2077" t="s">
        <v>2951</v>
      </c>
      <c r="AQ2077" t="s">
        <v>57</v>
      </c>
      <c r="AR2077">
        <v>2100</v>
      </c>
      <c r="AS2077" t="s">
        <v>883</v>
      </c>
      <c r="AT2077" t="s">
        <v>58</v>
      </c>
    </row>
    <row r="2078" ht="29" spans="1:46">
      <c r="A2078" s="31" t="s">
        <v>95</v>
      </c>
      <c r="C2078" t="s">
        <v>2952</v>
      </c>
      <c r="D2078" s="5" t="s">
        <v>57</v>
      </c>
      <c r="E2078">
        <v>2035</v>
      </c>
      <c r="F2078" s="6" t="str">
        <f t="shared" si="258"/>
        <v>*0.95</v>
      </c>
      <c r="H2078" t="s">
        <v>2952</v>
      </c>
      <c r="I2078" s="5" t="s">
        <v>57</v>
      </c>
      <c r="J2078">
        <v>2050</v>
      </c>
      <c r="K2078" s="38" t="str">
        <f t="shared" si="259"/>
        <v>*0.93</v>
      </c>
      <c r="P2078" s="32" t="s">
        <v>2952</v>
      </c>
      <c r="Q2078" s="42" t="s">
        <v>57</v>
      </c>
      <c r="R2078" s="32">
        <v>2035</v>
      </c>
      <c r="S2078" s="43" t="str">
        <f t="shared" si="260"/>
        <v>*0.95</v>
      </c>
      <c r="U2078" s="32" t="s">
        <v>2952</v>
      </c>
      <c r="V2078" s="42" t="s">
        <v>57</v>
      </c>
      <c r="W2078" s="32">
        <v>2050</v>
      </c>
      <c r="X2078" s="43" t="str">
        <f t="shared" si="261"/>
        <v>*0.91</v>
      </c>
      <c r="AC2078" s="33" t="s">
        <v>2952</v>
      </c>
      <c r="AD2078" s="44" t="s">
        <v>57</v>
      </c>
      <c r="AE2078" s="33">
        <v>2035</v>
      </c>
      <c r="AF2078" s="45" t="str">
        <f t="shared" si="262"/>
        <v>*0.91</v>
      </c>
      <c r="AG2078" s="43" t="str">
        <f t="shared" si="264"/>
        <v>REZoning_Sol-Win</v>
      </c>
      <c r="AI2078" s="33" t="s">
        <v>2952</v>
      </c>
      <c r="AJ2078" s="44" t="s">
        <v>57</v>
      </c>
      <c r="AK2078" s="33">
        <v>2050</v>
      </c>
      <c r="AL2078" s="45" t="str">
        <f t="shared" si="263"/>
        <v>*0.86</v>
      </c>
      <c r="AM2078" s="43" t="str">
        <f t="shared" si="265"/>
        <v>REZoning_Sol-Win</v>
      </c>
      <c r="AP2078" t="s">
        <v>2952</v>
      </c>
      <c r="AQ2078" t="s">
        <v>57</v>
      </c>
      <c r="AR2078">
        <v>2100</v>
      </c>
      <c r="AS2078" t="s">
        <v>883</v>
      </c>
      <c r="AT2078" t="s">
        <v>58</v>
      </c>
    </row>
    <row r="2079" ht="29" spans="1:46">
      <c r="A2079" s="31" t="s">
        <v>95</v>
      </c>
      <c r="C2079" t="s">
        <v>2953</v>
      </c>
      <c r="D2079" s="5" t="s">
        <v>57</v>
      </c>
      <c r="E2079">
        <v>2035</v>
      </c>
      <c r="F2079" s="6" t="str">
        <f t="shared" si="258"/>
        <v>*0.95</v>
      </c>
      <c r="H2079" t="s">
        <v>2953</v>
      </c>
      <c r="I2079" s="5" t="s">
        <v>57</v>
      </c>
      <c r="J2079">
        <v>2050</v>
      </c>
      <c r="K2079" s="38" t="str">
        <f t="shared" si="259"/>
        <v>*0.93</v>
      </c>
      <c r="P2079" s="32" t="s">
        <v>2953</v>
      </c>
      <c r="Q2079" s="42" t="s">
        <v>57</v>
      </c>
      <c r="R2079" s="32">
        <v>2035</v>
      </c>
      <c r="S2079" s="43" t="str">
        <f t="shared" si="260"/>
        <v>*0.95</v>
      </c>
      <c r="U2079" s="32" t="s">
        <v>2953</v>
      </c>
      <c r="V2079" s="42" t="s">
        <v>57</v>
      </c>
      <c r="W2079" s="32">
        <v>2050</v>
      </c>
      <c r="X2079" s="43" t="str">
        <f t="shared" si="261"/>
        <v>*0.91</v>
      </c>
      <c r="AC2079" s="33" t="s">
        <v>2953</v>
      </c>
      <c r="AD2079" s="44" t="s">
        <v>57</v>
      </c>
      <c r="AE2079" s="33">
        <v>2035</v>
      </c>
      <c r="AF2079" s="45" t="str">
        <f t="shared" si="262"/>
        <v>*0.91</v>
      </c>
      <c r="AG2079" s="43" t="str">
        <f t="shared" si="264"/>
        <v>REZoning_Sol-Win</v>
      </c>
      <c r="AI2079" s="33" t="s">
        <v>2953</v>
      </c>
      <c r="AJ2079" s="44" t="s">
        <v>57</v>
      </c>
      <c r="AK2079" s="33">
        <v>2050</v>
      </c>
      <c r="AL2079" s="45" t="str">
        <f t="shared" si="263"/>
        <v>*0.86</v>
      </c>
      <c r="AM2079" s="43" t="str">
        <f t="shared" si="265"/>
        <v>REZoning_Sol-Win</v>
      </c>
      <c r="AP2079" t="s">
        <v>2953</v>
      </c>
      <c r="AQ2079" t="s">
        <v>57</v>
      </c>
      <c r="AR2079">
        <v>2100</v>
      </c>
      <c r="AS2079" t="s">
        <v>883</v>
      </c>
      <c r="AT2079" t="s">
        <v>58</v>
      </c>
    </row>
    <row r="2080" ht="29" spans="1:46">
      <c r="A2080" s="31" t="s">
        <v>95</v>
      </c>
      <c r="C2080" t="s">
        <v>2954</v>
      </c>
      <c r="D2080" s="5" t="s">
        <v>57</v>
      </c>
      <c r="E2080">
        <v>2035</v>
      </c>
      <c r="F2080" s="6" t="str">
        <f t="shared" si="258"/>
        <v>*0.95</v>
      </c>
      <c r="H2080" t="s">
        <v>2954</v>
      </c>
      <c r="I2080" s="5" t="s">
        <v>57</v>
      </c>
      <c r="J2080">
        <v>2050</v>
      </c>
      <c r="K2080" s="38" t="str">
        <f t="shared" si="259"/>
        <v>*0.93</v>
      </c>
      <c r="P2080" s="32" t="s">
        <v>2954</v>
      </c>
      <c r="Q2080" s="42" t="s">
        <v>57</v>
      </c>
      <c r="R2080" s="32">
        <v>2035</v>
      </c>
      <c r="S2080" s="43" t="str">
        <f t="shared" si="260"/>
        <v>*0.95</v>
      </c>
      <c r="U2080" s="32" t="s">
        <v>2954</v>
      </c>
      <c r="V2080" s="42" t="s">
        <v>57</v>
      </c>
      <c r="W2080" s="32">
        <v>2050</v>
      </c>
      <c r="X2080" s="43" t="str">
        <f t="shared" si="261"/>
        <v>*0.91</v>
      </c>
      <c r="AC2080" s="33" t="s">
        <v>2954</v>
      </c>
      <c r="AD2080" s="44" t="s">
        <v>57</v>
      </c>
      <c r="AE2080" s="33">
        <v>2035</v>
      </c>
      <c r="AF2080" s="45" t="str">
        <f t="shared" si="262"/>
        <v>*0.91</v>
      </c>
      <c r="AG2080" s="43" t="str">
        <f t="shared" si="264"/>
        <v>REZoning_Sol-Win</v>
      </c>
      <c r="AI2080" s="33" t="s">
        <v>2954</v>
      </c>
      <c r="AJ2080" s="44" t="s">
        <v>57</v>
      </c>
      <c r="AK2080" s="33">
        <v>2050</v>
      </c>
      <c r="AL2080" s="45" t="str">
        <f t="shared" si="263"/>
        <v>*0.86</v>
      </c>
      <c r="AM2080" s="43" t="str">
        <f t="shared" si="265"/>
        <v>REZoning_Sol-Win</v>
      </c>
      <c r="AP2080" t="s">
        <v>2954</v>
      </c>
      <c r="AQ2080" t="s">
        <v>57</v>
      </c>
      <c r="AR2080">
        <v>2100</v>
      </c>
      <c r="AS2080" t="s">
        <v>883</v>
      </c>
      <c r="AT2080" t="s">
        <v>58</v>
      </c>
    </row>
    <row r="2081" ht="29" spans="1:46">
      <c r="A2081" s="31" t="s">
        <v>95</v>
      </c>
      <c r="C2081" t="s">
        <v>2955</v>
      </c>
      <c r="D2081" s="5" t="s">
        <v>57</v>
      </c>
      <c r="E2081">
        <v>2035</v>
      </c>
      <c r="F2081" s="6" t="str">
        <f t="shared" si="258"/>
        <v>*0.95</v>
      </c>
      <c r="H2081" t="s">
        <v>2955</v>
      </c>
      <c r="I2081" s="5" t="s">
        <v>57</v>
      </c>
      <c r="J2081">
        <v>2050</v>
      </c>
      <c r="K2081" s="38" t="str">
        <f t="shared" si="259"/>
        <v>*0.93</v>
      </c>
      <c r="P2081" s="32" t="s">
        <v>2955</v>
      </c>
      <c r="Q2081" s="42" t="s">
        <v>57</v>
      </c>
      <c r="R2081" s="32">
        <v>2035</v>
      </c>
      <c r="S2081" s="43" t="str">
        <f t="shared" si="260"/>
        <v>*0.95</v>
      </c>
      <c r="U2081" s="32" t="s">
        <v>2955</v>
      </c>
      <c r="V2081" s="42" t="s">
        <v>57</v>
      </c>
      <c r="W2081" s="32">
        <v>2050</v>
      </c>
      <c r="X2081" s="43" t="str">
        <f t="shared" si="261"/>
        <v>*0.91</v>
      </c>
      <c r="AC2081" s="33" t="s">
        <v>2955</v>
      </c>
      <c r="AD2081" s="44" t="s">
        <v>57</v>
      </c>
      <c r="AE2081" s="33">
        <v>2035</v>
      </c>
      <c r="AF2081" s="45" t="str">
        <f t="shared" si="262"/>
        <v>*0.91</v>
      </c>
      <c r="AG2081" s="43" t="str">
        <f t="shared" si="264"/>
        <v>REZoning_Sol-Win</v>
      </c>
      <c r="AI2081" s="33" t="s">
        <v>2955</v>
      </c>
      <c r="AJ2081" s="44" t="s">
        <v>57</v>
      </c>
      <c r="AK2081" s="33">
        <v>2050</v>
      </c>
      <c r="AL2081" s="45" t="str">
        <f t="shared" si="263"/>
        <v>*0.86</v>
      </c>
      <c r="AM2081" s="43" t="str">
        <f t="shared" si="265"/>
        <v>REZoning_Sol-Win</v>
      </c>
      <c r="AP2081" t="s">
        <v>2955</v>
      </c>
      <c r="AQ2081" t="s">
        <v>57</v>
      </c>
      <c r="AR2081">
        <v>2100</v>
      </c>
      <c r="AS2081" t="s">
        <v>883</v>
      </c>
      <c r="AT2081" t="s">
        <v>58</v>
      </c>
    </row>
    <row r="2082" ht="29" spans="1:46">
      <c r="A2082" s="31" t="s">
        <v>95</v>
      </c>
      <c r="C2082" t="s">
        <v>2956</v>
      </c>
      <c r="D2082" s="5" t="s">
        <v>57</v>
      </c>
      <c r="E2082">
        <v>2035</v>
      </c>
      <c r="F2082" s="6" t="str">
        <f t="shared" si="258"/>
        <v>*0.95</v>
      </c>
      <c r="H2082" t="s">
        <v>2956</v>
      </c>
      <c r="I2082" s="5" t="s">
        <v>57</v>
      </c>
      <c r="J2082">
        <v>2050</v>
      </c>
      <c r="K2082" s="38" t="str">
        <f t="shared" si="259"/>
        <v>*0.93</v>
      </c>
      <c r="P2082" s="32" t="s">
        <v>2956</v>
      </c>
      <c r="Q2082" s="42" t="s">
        <v>57</v>
      </c>
      <c r="R2082" s="32">
        <v>2035</v>
      </c>
      <c r="S2082" s="43" t="str">
        <f t="shared" si="260"/>
        <v>*0.95</v>
      </c>
      <c r="U2082" s="32" t="s">
        <v>2956</v>
      </c>
      <c r="V2082" s="42" t="s">
        <v>57</v>
      </c>
      <c r="W2082" s="32">
        <v>2050</v>
      </c>
      <c r="X2082" s="43" t="str">
        <f t="shared" si="261"/>
        <v>*0.91</v>
      </c>
      <c r="AC2082" s="33" t="s">
        <v>2956</v>
      </c>
      <c r="AD2082" s="44" t="s">
        <v>57</v>
      </c>
      <c r="AE2082" s="33">
        <v>2035</v>
      </c>
      <c r="AF2082" s="45" t="str">
        <f t="shared" si="262"/>
        <v>*0.91</v>
      </c>
      <c r="AG2082" s="43" t="str">
        <f t="shared" si="264"/>
        <v>REZoning_Sol-Win</v>
      </c>
      <c r="AI2082" s="33" t="s">
        <v>2956</v>
      </c>
      <c r="AJ2082" s="44" t="s">
        <v>57</v>
      </c>
      <c r="AK2082" s="33">
        <v>2050</v>
      </c>
      <c r="AL2082" s="45" t="str">
        <f t="shared" si="263"/>
        <v>*0.86</v>
      </c>
      <c r="AM2082" s="43" t="str">
        <f t="shared" si="265"/>
        <v>REZoning_Sol-Win</v>
      </c>
      <c r="AP2082" t="s">
        <v>2956</v>
      </c>
      <c r="AQ2082" t="s">
        <v>57</v>
      </c>
      <c r="AR2082">
        <v>2100</v>
      </c>
      <c r="AS2082" t="s">
        <v>883</v>
      </c>
      <c r="AT2082" t="s">
        <v>58</v>
      </c>
    </row>
    <row r="2083" ht="29" spans="1:46">
      <c r="A2083" s="31" t="s">
        <v>95</v>
      </c>
      <c r="C2083" t="s">
        <v>2957</v>
      </c>
      <c r="D2083" s="5" t="s">
        <v>57</v>
      </c>
      <c r="E2083">
        <v>2035</v>
      </c>
      <c r="F2083" s="6" t="str">
        <f t="shared" si="258"/>
        <v>*0.95</v>
      </c>
      <c r="H2083" t="s">
        <v>2957</v>
      </c>
      <c r="I2083" s="5" t="s">
        <v>57</v>
      </c>
      <c r="J2083">
        <v>2050</v>
      </c>
      <c r="K2083" s="38" t="str">
        <f t="shared" si="259"/>
        <v>*0.93</v>
      </c>
      <c r="P2083" s="32" t="s">
        <v>2957</v>
      </c>
      <c r="Q2083" s="42" t="s">
        <v>57</v>
      </c>
      <c r="R2083" s="32">
        <v>2035</v>
      </c>
      <c r="S2083" s="43" t="str">
        <f t="shared" si="260"/>
        <v>*0.95</v>
      </c>
      <c r="U2083" s="32" t="s">
        <v>2957</v>
      </c>
      <c r="V2083" s="42" t="s">
        <v>57</v>
      </c>
      <c r="W2083" s="32">
        <v>2050</v>
      </c>
      <c r="X2083" s="43" t="str">
        <f t="shared" si="261"/>
        <v>*0.91</v>
      </c>
      <c r="AC2083" s="33" t="s">
        <v>2957</v>
      </c>
      <c r="AD2083" s="44" t="s">
        <v>57</v>
      </c>
      <c r="AE2083" s="33">
        <v>2035</v>
      </c>
      <c r="AF2083" s="45" t="str">
        <f t="shared" si="262"/>
        <v>*0.91</v>
      </c>
      <c r="AG2083" s="43" t="str">
        <f t="shared" si="264"/>
        <v>REZoning_Sol-Win</v>
      </c>
      <c r="AI2083" s="33" t="s">
        <v>2957</v>
      </c>
      <c r="AJ2083" s="44" t="s">
        <v>57</v>
      </c>
      <c r="AK2083" s="33">
        <v>2050</v>
      </c>
      <c r="AL2083" s="45" t="str">
        <f t="shared" si="263"/>
        <v>*0.86</v>
      </c>
      <c r="AM2083" s="43" t="str">
        <f t="shared" si="265"/>
        <v>REZoning_Sol-Win</v>
      </c>
      <c r="AP2083" t="s">
        <v>2957</v>
      </c>
      <c r="AQ2083" t="s">
        <v>57</v>
      </c>
      <c r="AR2083">
        <v>2100</v>
      </c>
      <c r="AS2083" t="s">
        <v>883</v>
      </c>
      <c r="AT2083" t="s">
        <v>58</v>
      </c>
    </row>
    <row r="2084" ht="29" spans="1:46">
      <c r="A2084" s="31" t="s">
        <v>95</v>
      </c>
      <c r="C2084" t="s">
        <v>2958</v>
      </c>
      <c r="D2084" s="5" t="s">
        <v>57</v>
      </c>
      <c r="E2084">
        <v>2035</v>
      </c>
      <c r="F2084" s="6" t="str">
        <f t="shared" si="258"/>
        <v>*0.95</v>
      </c>
      <c r="H2084" t="s">
        <v>2958</v>
      </c>
      <c r="I2084" s="5" t="s">
        <v>57</v>
      </c>
      <c r="J2084">
        <v>2050</v>
      </c>
      <c r="K2084" s="38" t="str">
        <f t="shared" si="259"/>
        <v>*0.93</v>
      </c>
      <c r="P2084" s="32" t="s">
        <v>2958</v>
      </c>
      <c r="Q2084" s="42" t="s">
        <v>57</v>
      </c>
      <c r="R2084" s="32">
        <v>2035</v>
      </c>
      <c r="S2084" s="43" t="str">
        <f t="shared" si="260"/>
        <v>*0.95</v>
      </c>
      <c r="U2084" s="32" t="s">
        <v>2958</v>
      </c>
      <c r="V2084" s="42" t="s">
        <v>57</v>
      </c>
      <c r="W2084" s="32">
        <v>2050</v>
      </c>
      <c r="X2084" s="43" t="str">
        <f t="shared" si="261"/>
        <v>*0.91</v>
      </c>
      <c r="AC2084" s="33" t="s">
        <v>2958</v>
      </c>
      <c r="AD2084" s="44" t="s">
        <v>57</v>
      </c>
      <c r="AE2084" s="33">
        <v>2035</v>
      </c>
      <c r="AF2084" s="45" t="str">
        <f t="shared" si="262"/>
        <v>*0.91</v>
      </c>
      <c r="AG2084" s="43" t="str">
        <f t="shared" si="264"/>
        <v>REZoning_Sol-Win</v>
      </c>
      <c r="AI2084" s="33" t="s">
        <v>2958</v>
      </c>
      <c r="AJ2084" s="44" t="s">
        <v>57</v>
      </c>
      <c r="AK2084" s="33">
        <v>2050</v>
      </c>
      <c r="AL2084" s="45" t="str">
        <f t="shared" si="263"/>
        <v>*0.86</v>
      </c>
      <c r="AM2084" s="43" t="str">
        <f t="shared" si="265"/>
        <v>REZoning_Sol-Win</v>
      </c>
      <c r="AP2084" t="s">
        <v>2958</v>
      </c>
      <c r="AQ2084" t="s">
        <v>57</v>
      </c>
      <c r="AR2084">
        <v>2100</v>
      </c>
      <c r="AS2084" t="s">
        <v>883</v>
      </c>
      <c r="AT2084" t="s">
        <v>58</v>
      </c>
    </row>
    <row r="2085" ht="29" spans="1:46">
      <c r="A2085" s="31" t="s">
        <v>95</v>
      </c>
      <c r="C2085" t="s">
        <v>2959</v>
      </c>
      <c r="D2085" s="5" t="s">
        <v>57</v>
      </c>
      <c r="E2085">
        <v>2035</v>
      </c>
      <c r="F2085" s="6" t="str">
        <f t="shared" si="258"/>
        <v>*0.95</v>
      </c>
      <c r="H2085" t="s">
        <v>2959</v>
      </c>
      <c r="I2085" s="5" t="s">
        <v>57</v>
      </c>
      <c r="J2085">
        <v>2050</v>
      </c>
      <c r="K2085" s="38" t="str">
        <f t="shared" si="259"/>
        <v>*0.93</v>
      </c>
      <c r="P2085" s="32" t="s">
        <v>2959</v>
      </c>
      <c r="Q2085" s="42" t="s">
        <v>57</v>
      </c>
      <c r="R2085" s="32">
        <v>2035</v>
      </c>
      <c r="S2085" s="43" t="str">
        <f t="shared" si="260"/>
        <v>*0.95</v>
      </c>
      <c r="U2085" s="32" t="s">
        <v>2959</v>
      </c>
      <c r="V2085" s="42" t="s">
        <v>57</v>
      </c>
      <c r="W2085" s="32">
        <v>2050</v>
      </c>
      <c r="X2085" s="43" t="str">
        <f t="shared" si="261"/>
        <v>*0.91</v>
      </c>
      <c r="AC2085" s="33" t="s">
        <v>2959</v>
      </c>
      <c r="AD2085" s="44" t="s">
        <v>57</v>
      </c>
      <c r="AE2085" s="33">
        <v>2035</v>
      </c>
      <c r="AF2085" s="45" t="str">
        <f t="shared" si="262"/>
        <v>*0.91</v>
      </c>
      <c r="AG2085" s="43" t="str">
        <f t="shared" si="264"/>
        <v>REZoning_Sol-Win</v>
      </c>
      <c r="AI2085" s="33" t="s">
        <v>2959</v>
      </c>
      <c r="AJ2085" s="44" t="s">
        <v>57</v>
      </c>
      <c r="AK2085" s="33">
        <v>2050</v>
      </c>
      <c r="AL2085" s="45" t="str">
        <f t="shared" si="263"/>
        <v>*0.86</v>
      </c>
      <c r="AM2085" s="43" t="str">
        <f t="shared" si="265"/>
        <v>REZoning_Sol-Win</v>
      </c>
      <c r="AP2085" t="s">
        <v>2959</v>
      </c>
      <c r="AQ2085" t="s">
        <v>57</v>
      </c>
      <c r="AR2085">
        <v>2100</v>
      </c>
      <c r="AS2085" t="s">
        <v>883</v>
      </c>
      <c r="AT2085" t="s">
        <v>58</v>
      </c>
    </row>
    <row r="2086" ht="29" spans="1:46">
      <c r="A2086" s="31" t="s">
        <v>95</v>
      </c>
      <c r="C2086" t="s">
        <v>2960</v>
      </c>
      <c r="D2086" s="5" t="s">
        <v>57</v>
      </c>
      <c r="E2086">
        <v>2035</v>
      </c>
      <c r="F2086" s="6" t="str">
        <f t="shared" si="258"/>
        <v>*0.95</v>
      </c>
      <c r="H2086" t="s">
        <v>2960</v>
      </c>
      <c r="I2086" s="5" t="s">
        <v>57</v>
      </c>
      <c r="J2086">
        <v>2050</v>
      </c>
      <c r="K2086" s="38" t="str">
        <f t="shared" si="259"/>
        <v>*0.93</v>
      </c>
      <c r="P2086" s="32" t="s">
        <v>2960</v>
      </c>
      <c r="Q2086" s="42" t="s">
        <v>57</v>
      </c>
      <c r="R2086" s="32">
        <v>2035</v>
      </c>
      <c r="S2086" s="43" t="str">
        <f t="shared" si="260"/>
        <v>*0.95</v>
      </c>
      <c r="U2086" s="32" t="s">
        <v>2960</v>
      </c>
      <c r="V2086" s="42" t="s">
        <v>57</v>
      </c>
      <c r="W2086" s="32">
        <v>2050</v>
      </c>
      <c r="X2086" s="43" t="str">
        <f t="shared" si="261"/>
        <v>*0.91</v>
      </c>
      <c r="AC2086" s="33" t="s">
        <v>2960</v>
      </c>
      <c r="AD2086" s="44" t="s">
        <v>57</v>
      </c>
      <c r="AE2086" s="33">
        <v>2035</v>
      </c>
      <c r="AF2086" s="45" t="str">
        <f t="shared" si="262"/>
        <v>*0.91</v>
      </c>
      <c r="AG2086" s="43" t="str">
        <f t="shared" si="264"/>
        <v>REZoning_Sol-Win</v>
      </c>
      <c r="AI2086" s="33" t="s">
        <v>2960</v>
      </c>
      <c r="AJ2086" s="44" t="s">
        <v>57</v>
      </c>
      <c r="AK2086" s="33">
        <v>2050</v>
      </c>
      <c r="AL2086" s="45" t="str">
        <f t="shared" si="263"/>
        <v>*0.86</v>
      </c>
      <c r="AM2086" s="43" t="str">
        <f t="shared" si="265"/>
        <v>REZoning_Sol-Win</v>
      </c>
      <c r="AP2086" t="s">
        <v>2960</v>
      </c>
      <c r="AQ2086" t="s">
        <v>57</v>
      </c>
      <c r="AR2086">
        <v>2100</v>
      </c>
      <c r="AS2086" t="s">
        <v>883</v>
      </c>
      <c r="AT2086" t="s">
        <v>58</v>
      </c>
    </row>
    <row r="2087" ht="29" spans="1:46">
      <c r="A2087" s="31" t="s">
        <v>169</v>
      </c>
      <c r="C2087" t="s">
        <v>2961</v>
      </c>
      <c r="D2087" s="5" t="s">
        <v>57</v>
      </c>
      <c r="E2087">
        <v>2035</v>
      </c>
      <c r="F2087" s="6" t="str">
        <f t="shared" si="258"/>
        <v>*0.94</v>
      </c>
      <c r="H2087" t="s">
        <v>2961</v>
      </c>
      <c r="I2087" s="5" t="s">
        <v>57</v>
      </c>
      <c r="J2087">
        <v>2050</v>
      </c>
      <c r="K2087" s="38" t="str">
        <f t="shared" si="259"/>
        <v>*0.92</v>
      </c>
      <c r="P2087" s="32" t="s">
        <v>2961</v>
      </c>
      <c r="Q2087" s="42" t="s">
        <v>57</v>
      </c>
      <c r="R2087" s="32">
        <v>2035</v>
      </c>
      <c r="S2087" s="43" t="str">
        <f t="shared" si="260"/>
        <v>*0.93</v>
      </c>
      <c r="U2087" s="32" t="s">
        <v>2961</v>
      </c>
      <c r="V2087" s="42" t="s">
        <v>57</v>
      </c>
      <c r="W2087" s="32">
        <v>2050</v>
      </c>
      <c r="X2087" s="43" t="str">
        <f t="shared" si="261"/>
        <v>*0.92</v>
      </c>
      <c r="AC2087" s="33" t="s">
        <v>2961</v>
      </c>
      <c r="AD2087" s="44" t="s">
        <v>57</v>
      </c>
      <c r="AE2087" s="33">
        <v>2035</v>
      </c>
      <c r="AF2087" s="45" t="str">
        <f t="shared" si="262"/>
        <v>*0.91</v>
      </c>
      <c r="AG2087" s="43" t="str">
        <f t="shared" si="264"/>
        <v>REZoning_Sol-Win</v>
      </c>
      <c r="AI2087" s="33" t="s">
        <v>2961</v>
      </c>
      <c r="AJ2087" s="44" t="s">
        <v>57</v>
      </c>
      <c r="AK2087" s="33">
        <v>2050</v>
      </c>
      <c r="AL2087" s="45" t="str">
        <f t="shared" si="263"/>
        <v>*0.87</v>
      </c>
      <c r="AM2087" s="43" t="str">
        <f t="shared" si="265"/>
        <v>REZoning_Sol-Win</v>
      </c>
      <c r="AP2087" t="s">
        <v>2961</v>
      </c>
      <c r="AQ2087" t="s">
        <v>57</v>
      </c>
      <c r="AR2087">
        <v>2100</v>
      </c>
      <c r="AS2087" t="s">
        <v>874</v>
      </c>
      <c r="AT2087" t="s">
        <v>58</v>
      </c>
    </row>
    <row r="2088" ht="29" spans="1:46">
      <c r="A2088" s="31" t="s">
        <v>169</v>
      </c>
      <c r="C2088" t="s">
        <v>2962</v>
      </c>
      <c r="D2088" s="5" t="s">
        <v>57</v>
      </c>
      <c r="E2088">
        <v>2035</v>
      </c>
      <c r="F2088" s="6" t="str">
        <f t="shared" si="258"/>
        <v>*0.94</v>
      </c>
      <c r="H2088" t="s">
        <v>2962</v>
      </c>
      <c r="I2088" s="5" t="s">
        <v>57</v>
      </c>
      <c r="J2088">
        <v>2050</v>
      </c>
      <c r="K2088" s="38" t="str">
        <f t="shared" si="259"/>
        <v>*0.92</v>
      </c>
      <c r="P2088" s="32" t="s">
        <v>2962</v>
      </c>
      <c r="Q2088" s="42" t="s">
        <v>57</v>
      </c>
      <c r="R2088" s="32">
        <v>2035</v>
      </c>
      <c r="S2088" s="43" t="str">
        <f t="shared" si="260"/>
        <v>*0.93</v>
      </c>
      <c r="U2088" s="32" t="s">
        <v>2962</v>
      </c>
      <c r="V2088" s="42" t="s">
        <v>57</v>
      </c>
      <c r="W2088" s="32">
        <v>2050</v>
      </c>
      <c r="X2088" s="43" t="str">
        <f t="shared" si="261"/>
        <v>*0.92</v>
      </c>
      <c r="AC2088" s="33" t="s">
        <v>2962</v>
      </c>
      <c r="AD2088" s="44" t="s">
        <v>57</v>
      </c>
      <c r="AE2088" s="33">
        <v>2035</v>
      </c>
      <c r="AF2088" s="45" t="str">
        <f t="shared" si="262"/>
        <v>*0.91</v>
      </c>
      <c r="AG2088" s="43" t="str">
        <f t="shared" si="264"/>
        <v>REZoning_Sol-Win</v>
      </c>
      <c r="AI2088" s="33" t="s">
        <v>2962</v>
      </c>
      <c r="AJ2088" s="44" t="s">
        <v>57</v>
      </c>
      <c r="AK2088" s="33">
        <v>2050</v>
      </c>
      <c r="AL2088" s="45" t="str">
        <f t="shared" si="263"/>
        <v>*0.87</v>
      </c>
      <c r="AM2088" s="43" t="str">
        <f t="shared" si="265"/>
        <v>REZoning_Sol-Win</v>
      </c>
      <c r="AP2088" t="s">
        <v>2962</v>
      </c>
      <c r="AQ2088" t="s">
        <v>57</v>
      </c>
      <c r="AR2088">
        <v>2100</v>
      </c>
      <c r="AS2088" t="s">
        <v>874</v>
      </c>
      <c r="AT2088" t="s">
        <v>58</v>
      </c>
    </row>
    <row r="2089" ht="29" spans="1:46">
      <c r="A2089" s="31" t="s">
        <v>169</v>
      </c>
      <c r="C2089" t="s">
        <v>2963</v>
      </c>
      <c r="D2089" s="5" t="s">
        <v>57</v>
      </c>
      <c r="E2089">
        <v>2035</v>
      </c>
      <c r="F2089" s="6" t="str">
        <f t="shared" si="258"/>
        <v>*0.94</v>
      </c>
      <c r="H2089" t="s">
        <v>2963</v>
      </c>
      <c r="I2089" s="5" t="s">
        <v>57</v>
      </c>
      <c r="J2089">
        <v>2050</v>
      </c>
      <c r="K2089" s="38" t="str">
        <f t="shared" si="259"/>
        <v>*0.92</v>
      </c>
      <c r="P2089" s="32" t="s">
        <v>2963</v>
      </c>
      <c r="Q2089" s="42" t="s">
        <v>57</v>
      </c>
      <c r="R2089" s="32">
        <v>2035</v>
      </c>
      <c r="S2089" s="43" t="str">
        <f t="shared" si="260"/>
        <v>*0.93</v>
      </c>
      <c r="U2089" s="32" t="s">
        <v>2963</v>
      </c>
      <c r="V2089" s="42" t="s">
        <v>57</v>
      </c>
      <c r="W2089" s="32">
        <v>2050</v>
      </c>
      <c r="X2089" s="43" t="str">
        <f t="shared" si="261"/>
        <v>*0.92</v>
      </c>
      <c r="AC2089" s="33" t="s">
        <v>2963</v>
      </c>
      <c r="AD2089" s="44" t="s">
        <v>57</v>
      </c>
      <c r="AE2089" s="33">
        <v>2035</v>
      </c>
      <c r="AF2089" s="45" t="str">
        <f t="shared" si="262"/>
        <v>*0.91</v>
      </c>
      <c r="AG2089" s="43" t="str">
        <f t="shared" si="264"/>
        <v>REZoning_Sol-Win</v>
      </c>
      <c r="AI2089" s="33" t="s">
        <v>2963</v>
      </c>
      <c r="AJ2089" s="44" t="s">
        <v>57</v>
      </c>
      <c r="AK2089" s="33">
        <v>2050</v>
      </c>
      <c r="AL2089" s="45" t="str">
        <f t="shared" si="263"/>
        <v>*0.87</v>
      </c>
      <c r="AM2089" s="43" t="str">
        <f t="shared" si="265"/>
        <v>REZoning_Sol-Win</v>
      </c>
      <c r="AP2089" t="s">
        <v>2963</v>
      </c>
      <c r="AQ2089" t="s">
        <v>57</v>
      </c>
      <c r="AR2089">
        <v>2100</v>
      </c>
      <c r="AS2089" t="s">
        <v>874</v>
      </c>
      <c r="AT2089" t="s">
        <v>58</v>
      </c>
    </row>
    <row r="2090" ht="29" spans="1:46">
      <c r="A2090" s="31" t="s">
        <v>83</v>
      </c>
      <c r="C2090" t="s">
        <v>2964</v>
      </c>
      <c r="D2090" s="5" t="s">
        <v>57</v>
      </c>
      <c r="E2090">
        <v>2035</v>
      </c>
      <c r="F2090" s="6" t="str">
        <f t="shared" si="258"/>
        <v>*0.95</v>
      </c>
      <c r="H2090" t="s">
        <v>2964</v>
      </c>
      <c r="I2090" s="5" t="s">
        <v>57</v>
      </c>
      <c r="J2090">
        <v>2050</v>
      </c>
      <c r="K2090" s="38" t="str">
        <f t="shared" si="259"/>
        <v>*0.92</v>
      </c>
      <c r="P2090" s="32" t="s">
        <v>2964</v>
      </c>
      <c r="Q2090" s="42" t="s">
        <v>57</v>
      </c>
      <c r="R2090" s="32">
        <v>2035</v>
      </c>
      <c r="S2090" s="43" t="str">
        <f t="shared" si="260"/>
        <v>*0.95</v>
      </c>
      <c r="U2090" s="32" t="s">
        <v>2964</v>
      </c>
      <c r="V2090" s="42" t="s">
        <v>57</v>
      </c>
      <c r="W2090" s="32">
        <v>2050</v>
      </c>
      <c r="X2090" s="43" t="str">
        <f t="shared" si="261"/>
        <v>*0.92</v>
      </c>
      <c r="AC2090" s="33" t="s">
        <v>2964</v>
      </c>
      <c r="AD2090" s="44" t="s">
        <v>57</v>
      </c>
      <c r="AE2090" s="33">
        <v>2035</v>
      </c>
      <c r="AF2090" s="45" t="str">
        <f t="shared" si="262"/>
        <v>*0.93</v>
      </c>
      <c r="AG2090" s="43" t="str">
        <f t="shared" si="264"/>
        <v>REZoning_Sol-Win</v>
      </c>
      <c r="AI2090" s="33" t="s">
        <v>2964</v>
      </c>
      <c r="AJ2090" s="44" t="s">
        <v>57</v>
      </c>
      <c r="AK2090" s="33">
        <v>2050</v>
      </c>
      <c r="AL2090" s="45" t="str">
        <f t="shared" si="263"/>
        <v>*0.89</v>
      </c>
      <c r="AM2090" s="43" t="str">
        <f t="shared" si="265"/>
        <v>REZoning_Sol-Win</v>
      </c>
      <c r="AP2090" t="s">
        <v>2964</v>
      </c>
      <c r="AQ2090" t="s">
        <v>57</v>
      </c>
      <c r="AR2090">
        <v>2100</v>
      </c>
      <c r="AS2090" t="s">
        <v>937</v>
      </c>
      <c r="AT2090" t="s">
        <v>58</v>
      </c>
    </row>
    <row r="2091" ht="29" spans="1:46">
      <c r="A2091" s="31" t="s">
        <v>83</v>
      </c>
      <c r="C2091" t="s">
        <v>2965</v>
      </c>
      <c r="D2091" s="5" t="s">
        <v>57</v>
      </c>
      <c r="E2091">
        <v>2035</v>
      </c>
      <c r="F2091" s="6" t="str">
        <f t="shared" si="258"/>
        <v>*0.95</v>
      </c>
      <c r="H2091" t="s">
        <v>2965</v>
      </c>
      <c r="I2091" s="5" t="s">
        <v>57</v>
      </c>
      <c r="J2091">
        <v>2050</v>
      </c>
      <c r="K2091" s="38" t="str">
        <f t="shared" si="259"/>
        <v>*0.92</v>
      </c>
      <c r="P2091" s="32" t="s">
        <v>2965</v>
      </c>
      <c r="Q2091" s="42" t="s">
        <v>57</v>
      </c>
      <c r="R2091" s="32">
        <v>2035</v>
      </c>
      <c r="S2091" s="43" t="str">
        <f t="shared" si="260"/>
        <v>*0.95</v>
      </c>
      <c r="U2091" s="32" t="s">
        <v>2965</v>
      </c>
      <c r="V2091" s="42" t="s">
        <v>57</v>
      </c>
      <c r="W2091" s="32">
        <v>2050</v>
      </c>
      <c r="X2091" s="43" t="str">
        <f t="shared" si="261"/>
        <v>*0.92</v>
      </c>
      <c r="AC2091" s="33" t="s">
        <v>2965</v>
      </c>
      <c r="AD2091" s="44" t="s">
        <v>57</v>
      </c>
      <c r="AE2091" s="33">
        <v>2035</v>
      </c>
      <c r="AF2091" s="45" t="str">
        <f t="shared" si="262"/>
        <v>*0.93</v>
      </c>
      <c r="AG2091" s="43" t="str">
        <f t="shared" si="264"/>
        <v>REZoning_Sol-Win</v>
      </c>
      <c r="AI2091" s="33" t="s">
        <v>2965</v>
      </c>
      <c r="AJ2091" s="44" t="s">
        <v>57</v>
      </c>
      <c r="AK2091" s="33">
        <v>2050</v>
      </c>
      <c r="AL2091" s="45" t="str">
        <f t="shared" si="263"/>
        <v>*0.89</v>
      </c>
      <c r="AM2091" s="43" t="str">
        <f t="shared" si="265"/>
        <v>REZoning_Sol-Win</v>
      </c>
      <c r="AP2091" t="s">
        <v>2965</v>
      </c>
      <c r="AQ2091" t="s">
        <v>57</v>
      </c>
      <c r="AR2091">
        <v>2100</v>
      </c>
      <c r="AS2091" t="s">
        <v>937</v>
      </c>
      <c r="AT2091" t="s">
        <v>58</v>
      </c>
    </row>
    <row r="2092" ht="29" spans="1:46">
      <c r="A2092" s="31" t="s">
        <v>79</v>
      </c>
      <c r="C2092" t="s">
        <v>2966</v>
      </c>
      <c r="D2092" s="5" t="s">
        <v>57</v>
      </c>
      <c r="E2092">
        <v>2035</v>
      </c>
      <c r="F2092" s="6" t="str">
        <f t="shared" si="258"/>
        <v>*0.94</v>
      </c>
      <c r="H2092" t="s">
        <v>2966</v>
      </c>
      <c r="I2092" s="5" t="s">
        <v>57</v>
      </c>
      <c r="J2092">
        <v>2050</v>
      </c>
      <c r="K2092" s="38" t="str">
        <f t="shared" si="259"/>
        <v>*0.9</v>
      </c>
      <c r="P2092" s="32" t="s">
        <v>2966</v>
      </c>
      <c r="Q2092" s="42" t="s">
        <v>57</v>
      </c>
      <c r="R2092" s="32">
        <v>2035</v>
      </c>
      <c r="S2092" s="43" t="str">
        <f t="shared" si="260"/>
        <v>*0.92</v>
      </c>
      <c r="U2092" s="32" t="s">
        <v>2966</v>
      </c>
      <c r="V2092" s="42" t="s">
        <v>57</v>
      </c>
      <c r="W2092" s="32">
        <v>2050</v>
      </c>
      <c r="X2092" s="43" t="str">
        <f t="shared" si="261"/>
        <v>*0.89</v>
      </c>
      <c r="AC2092" s="33" t="s">
        <v>2966</v>
      </c>
      <c r="AD2092" s="44" t="s">
        <v>57</v>
      </c>
      <c r="AE2092" s="33">
        <v>2035</v>
      </c>
      <c r="AF2092" s="45" t="str">
        <f t="shared" si="262"/>
        <v>*0.89</v>
      </c>
      <c r="AG2092" s="43" t="str">
        <f t="shared" si="264"/>
        <v>REZoning_Sol-Win</v>
      </c>
      <c r="AI2092" s="33" t="s">
        <v>2966</v>
      </c>
      <c r="AJ2092" s="44" t="s">
        <v>57</v>
      </c>
      <c r="AK2092" s="33">
        <v>2050</v>
      </c>
      <c r="AL2092" s="45" t="str">
        <f t="shared" si="263"/>
        <v>*0.84</v>
      </c>
      <c r="AM2092" s="43" t="str">
        <f t="shared" si="265"/>
        <v>REZoning_Sol-Win</v>
      </c>
      <c r="AP2092" t="s">
        <v>2966</v>
      </c>
      <c r="AQ2092" t="s">
        <v>57</v>
      </c>
      <c r="AR2092">
        <v>2100</v>
      </c>
      <c r="AS2092" t="s">
        <v>919</v>
      </c>
      <c r="AT2092" t="s">
        <v>58</v>
      </c>
    </row>
    <row r="2093" ht="29" spans="1:46">
      <c r="A2093" s="31" t="s">
        <v>79</v>
      </c>
      <c r="C2093" t="s">
        <v>2967</v>
      </c>
      <c r="D2093" s="5" t="s">
        <v>57</v>
      </c>
      <c r="E2093">
        <v>2035</v>
      </c>
      <c r="F2093" s="6" t="str">
        <f t="shared" si="258"/>
        <v>*0.94</v>
      </c>
      <c r="H2093" t="s">
        <v>2967</v>
      </c>
      <c r="I2093" s="5" t="s">
        <v>57</v>
      </c>
      <c r="J2093">
        <v>2050</v>
      </c>
      <c r="K2093" s="38" t="str">
        <f t="shared" si="259"/>
        <v>*0.9</v>
      </c>
      <c r="P2093" s="32" t="s">
        <v>2967</v>
      </c>
      <c r="Q2093" s="42" t="s">
        <v>57</v>
      </c>
      <c r="R2093" s="32">
        <v>2035</v>
      </c>
      <c r="S2093" s="43" t="str">
        <f t="shared" si="260"/>
        <v>*0.92</v>
      </c>
      <c r="U2093" s="32" t="s">
        <v>2967</v>
      </c>
      <c r="V2093" s="42" t="s">
        <v>57</v>
      </c>
      <c r="W2093" s="32">
        <v>2050</v>
      </c>
      <c r="X2093" s="43" t="str">
        <f t="shared" si="261"/>
        <v>*0.89</v>
      </c>
      <c r="AC2093" s="33" t="s">
        <v>2967</v>
      </c>
      <c r="AD2093" s="44" t="s">
        <v>57</v>
      </c>
      <c r="AE2093" s="33">
        <v>2035</v>
      </c>
      <c r="AF2093" s="45" t="str">
        <f t="shared" si="262"/>
        <v>*0.89</v>
      </c>
      <c r="AG2093" s="43" t="str">
        <f t="shared" si="264"/>
        <v>REZoning_Sol-Win</v>
      </c>
      <c r="AI2093" s="33" t="s">
        <v>2967</v>
      </c>
      <c r="AJ2093" s="44" t="s">
        <v>57</v>
      </c>
      <c r="AK2093" s="33">
        <v>2050</v>
      </c>
      <c r="AL2093" s="45" t="str">
        <f t="shared" si="263"/>
        <v>*0.84</v>
      </c>
      <c r="AM2093" s="43" t="str">
        <f t="shared" si="265"/>
        <v>REZoning_Sol-Win</v>
      </c>
      <c r="AP2093" t="s">
        <v>2967</v>
      </c>
      <c r="AQ2093" t="s">
        <v>57</v>
      </c>
      <c r="AR2093">
        <v>2100</v>
      </c>
      <c r="AS2093" t="s">
        <v>919</v>
      </c>
      <c r="AT2093" t="s">
        <v>58</v>
      </c>
    </row>
    <row r="2094" ht="29" spans="1:46">
      <c r="A2094" s="31" t="s">
        <v>79</v>
      </c>
      <c r="C2094" t="s">
        <v>2968</v>
      </c>
      <c r="D2094" s="5" t="s">
        <v>57</v>
      </c>
      <c r="E2094">
        <v>2035</v>
      </c>
      <c r="F2094" s="6" t="str">
        <f t="shared" si="258"/>
        <v>*0.94</v>
      </c>
      <c r="H2094" t="s">
        <v>2968</v>
      </c>
      <c r="I2094" s="5" t="s">
        <v>57</v>
      </c>
      <c r="J2094">
        <v>2050</v>
      </c>
      <c r="K2094" s="38" t="str">
        <f t="shared" si="259"/>
        <v>*0.9</v>
      </c>
      <c r="P2094" s="32" t="s">
        <v>2968</v>
      </c>
      <c r="Q2094" s="42" t="s">
        <v>57</v>
      </c>
      <c r="R2094" s="32">
        <v>2035</v>
      </c>
      <c r="S2094" s="43" t="str">
        <f t="shared" si="260"/>
        <v>*0.92</v>
      </c>
      <c r="U2094" s="32" t="s">
        <v>2968</v>
      </c>
      <c r="V2094" s="42" t="s">
        <v>57</v>
      </c>
      <c r="W2094" s="32">
        <v>2050</v>
      </c>
      <c r="X2094" s="43" t="str">
        <f t="shared" si="261"/>
        <v>*0.89</v>
      </c>
      <c r="AC2094" s="33" t="s">
        <v>2968</v>
      </c>
      <c r="AD2094" s="44" t="s">
        <v>57</v>
      </c>
      <c r="AE2094" s="33">
        <v>2035</v>
      </c>
      <c r="AF2094" s="45" t="str">
        <f t="shared" si="262"/>
        <v>*0.89</v>
      </c>
      <c r="AG2094" s="43" t="str">
        <f t="shared" si="264"/>
        <v>REZoning_Sol-Win</v>
      </c>
      <c r="AI2094" s="33" t="s">
        <v>2968</v>
      </c>
      <c r="AJ2094" s="44" t="s">
        <v>57</v>
      </c>
      <c r="AK2094" s="33">
        <v>2050</v>
      </c>
      <c r="AL2094" s="45" t="str">
        <f t="shared" si="263"/>
        <v>*0.84</v>
      </c>
      <c r="AM2094" s="43" t="str">
        <f t="shared" si="265"/>
        <v>REZoning_Sol-Win</v>
      </c>
      <c r="AP2094" t="s">
        <v>2968</v>
      </c>
      <c r="AQ2094" t="s">
        <v>57</v>
      </c>
      <c r="AR2094">
        <v>2100</v>
      </c>
      <c r="AS2094" t="s">
        <v>919</v>
      </c>
      <c r="AT2094" t="s">
        <v>58</v>
      </c>
    </row>
    <row r="2095" ht="29" spans="1:46">
      <c r="A2095" s="31" t="s">
        <v>79</v>
      </c>
      <c r="C2095" t="s">
        <v>2969</v>
      </c>
      <c r="D2095" s="5" t="s">
        <v>57</v>
      </c>
      <c r="E2095">
        <v>2035</v>
      </c>
      <c r="F2095" s="6" t="str">
        <f t="shared" si="258"/>
        <v>*0.94</v>
      </c>
      <c r="H2095" t="s">
        <v>2969</v>
      </c>
      <c r="I2095" s="5" t="s">
        <v>57</v>
      </c>
      <c r="J2095">
        <v>2050</v>
      </c>
      <c r="K2095" s="38" t="str">
        <f t="shared" si="259"/>
        <v>*0.9</v>
      </c>
      <c r="P2095" s="32" t="s">
        <v>2969</v>
      </c>
      <c r="Q2095" s="42" t="s">
        <v>57</v>
      </c>
      <c r="R2095" s="32">
        <v>2035</v>
      </c>
      <c r="S2095" s="43" t="str">
        <f t="shared" si="260"/>
        <v>*0.92</v>
      </c>
      <c r="U2095" s="32" t="s">
        <v>2969</v>
      </c>
      <c r="V2095" s="42" t="s">
        <v>57</v>
      </c>
      <c r="W2095" s="32">
        <v>2050</v>
      </c>
      <c r="X2095" s="43" t="str">
        <f t="shared" si="261"/>
        <v>*0.89</v>
      </c>
      <c r="AC2095" s="33" t="s">
        <v>2969</v>
      </c>
      <c r="AD2095" s="44" t="s">
        <v>57</v>
      </c>
      <c r="AE2095" s="33">
        <v>2035</v>
      </c>
      <c r="AF2095" s="45" t="str">
        <f t="shared" si="262"/>
        <v>*0.89</v>
      </c>
      <c r="AG2095" s="43" t="str">
        <f t="shared" si="264"/>
        <v>REZoning_Sol-Win</v>
      </c>
      <c r="AI2095" s="33" t="s">
        <v>2969</v>
      </c>
      <c r="AJ2095" s="44" t="s">
        <v>57</v>
      </c>
      <c r="AK2095" s="33">
        <v>2050</v>
      </c>
      <c r="AL2095" s="45" t="str">
        <f t="shared" si="263"/>
        <v>*0.84</v>
      </c>
      <c r="AM2095" s="43" t="str">
        <f t="shared" si="265"/>
        <v>REZoning_Sol-Win</v>
      </c>
      <c r="AP2095" t="s">
        <v>2969</v>
      </c>
      <c r="AQ2095" t="s">
        <v>57</v>
      </c>
      <c r="AR2095">
        <v>2100</v>
      </c>
      <c r="AS2095" t="s">
        <v>919</v>
      </c>
      <c r="AT2095" t="s">
        <v>58</v>
      </c>
    </row>
    <row r="2096" ht="29" spans="1:46">
      <c r="A2096" s="31" t="s">
        <v>79</v>
      </c>
      <c r="C2096" t="s">
        <v>2970</v>
      </c>
      <c r="D2096" s="5" t="s">
        <v>57</v>
      </c>
      <c r="E2096">
        <v>2035</v>
      </c>
      <c r="F2096" s="6" t="str">
        <f t="shared" si="258"/>
        <v>*0.94</v>
      </c>
      <c r="H2096" t="s">
        <v>2970</v>
      </c>
      <c r="I2096" s="5" t="s">
        <v>57</v>
      </c>
      <c r="J2096">
        <v>2050</v>
      </c>
      <c r="K2096" s="38" t="str">
        <f t="shared" si="259"/>
        <v>*0.9</v>
      </c>
      <c r="P2096" s="32" t="s">
        <v>2970</v>
      </c>
      <c r="Q2096" s="42" t="s">
        <v>57</v>
      </c>
      <c r="R2096" s="32">
        <v>2035</v>
      </c>
      <c r="S2096" s="43" t="str">
        <f t="shared" si="260"/>
        <v>*0.92</v>
      </c>
      <c r="U2096" s="32" t="s">
        <v>2970</v>
      </c>
      <c r="V2096" s="42" t="s">
        <v>57</v>
      </c>
      <c r="W2096" s="32">
        <v>2050</v>
      </c>
      <c r="X2096" s="43" t="str">
        <f t="shared" si="261"/>
        <v>*0.89</v>
      </c>
      <c r="AC2096" s="33" t="s">
        <v>2970</v>
      </c>
      <c r="AD2096" s="44" t="s">
        <v>57</v>
      </c>
      <c r="AE2096" s="33">
        <v>2035</v>
      </c>
      <c r="AF2096" s="45" t="str">
        <f t="shared" si="262"/>
        <v>*0.89</v>
      </c>
      <c r="AG2096" s="43" t="str">
        <f t="shared" si="264"/>
        <v>REZoning_Sol-Win</v>
      </c>
      <c r="AI2096" s="33" t="s">
        <v>2970</v>
      </c>
      <c r="AJ2096" s="44" t="s">
        <v>57</v>
      </c>
      <c r="AK2096" s="33">
        <v>2050</v>
      </c>
      <c r="AL2096" s="45" t="str">
        <f t="shared" si="263"/>
        <v>*0.84</v>
      </c>
      <c r="AM2096" s="43" t="str">
        <f t="shared" si="265"/>
        <v>REZoning_Sol-Win</v>
      </c>
      <c r="AP2096" t="s">
        <v>2970</v>
      </c>
      <c r="AQ2096" t="s">
        <v>57</v>
      </c>
      <c r="AR2096">
        <v>2100</v>
      </c>
      <c r="AS2096" t="s">
        <v>919</v>
      </c>
      <c r="AT2096" t="s">
        <v>58</v>
      </c>
    </row>
    <row r="2097" ht="29" spans="1:46">
      <c r="A2097" s="31" t="s">
        <v>79</v>
      </c>
      <c r="C2097" t="s">
        <v>2971</v>
      </c>
      <c r="D2097" s="5" t="s">
        <v>57</v>
      </c>
      <c r="E2097">
        <v>2035</v>
      </c>
      <c r="F2097" s="6" t="str">
        <f t="shared" si="258"/>
        <v>*0.94</v>
      </c>
      <c r="H2097" t="s">
        <v>2971</v>
      </c>
      <c r="I2097" s="5" t="s">
        <v>57</v>
      </c>
      <c r="J2097">
        <v>2050</v>
      </c>
      <c r="K2097" s="38" t="str">
        <f t="shared" si="259"/>
        <v>*0.9</v>
      </c>
      <c r="P2097" s="32" t="s">
        <v>2971</v>
      </c>
      <c r="Q2097" s="42" t="s">
        <v>57</v>
      </c>
      <c r="R2097" s="32">
        <v>2035</v>
      </c>
      <c r="S2097" s="43" t="str">
        <f t="shared" si="260"/>
        <v>*0.92</v>
      </c>
      <c r="U2097" s="32" t="s">
        <v>2971</v>
      </c>
      <c r="V2097" s="42" t="s">
        <v>57</v>
      </c>
      <c r="W2097" s="32">
        <v>2050</v>
      </c>
      <c r="X2097" s="43" t="str">
        <f t="shared" si="261"/>
        <v>*0.89</v>
      </c>
      <c r="AC2097" s="33" t="s">
        <v>2971</v>
      </c>
      <c r="AD2097" s="44" t="s">
        <v>57</v>
      </c>
      <c r="AE2097" s="33">
        <v>2035</v>
      </c>
      <c r="AF2097" s="45" t="str">
        <f t="shared" si="262"/>
        <v>*0.89</v>
      </c>
      <c r="AG2097" s="43" t="str">
        <f t="shared" si="264"/>
        <v>REZoning_Sol-Win</v>
      </c>
      <c r="AI2097" s="33" t="s">
        <v>2971</v>
      </c>
      <c r="AJ2097" s="44" t="s">
        <v>57</v>
      </c>
      <c r="AK2097" s="33">
        <v>2050</v>
      </c>
      <c r="AL2097" s="45" t="str">
        <f t="shared" si="263"/>
        <v>*0.84</v>
      </c>
      <c r="AM2097" s="43" t="str">
        <f t="shared" si="265"/>
        <v>REZoning_Sol-Win</v>
      </c>
      <c r="AP2097" t="s">
        <v>2971</v>
      </c>
      <c r="AQ2097" t="s">
        <v>57</v>
      </c>
      <c r="AR2097">
        <v>2100</v>
      </c>
      <c r="AS2097" t="s">
        <v>919</v>
      </c>
      <c r="AT2097" t="s">
        <v>58</v>
      </c>
    </row>
    <row r="2098" ht="29" spans="1:46">
      <c r="A2098" s="31" t="s">
        <v>79</v>
      </c>
      <c r="C2098" t="s">
        <v>2972</v>
      </c>
      <c r="D2098" s="5" t="s">
        <v>57</v>
      </c>
      <c r="E2098">
        <v>2035</v>
      </c>
      <c r="F2098" s="6" t="str">
        <f t="shared" si="258"/>
        <v>*0.94</v>
      </c>
      <c r="H2098" t="s">
        <v>2972</v>
      </c>
      <c r="I2098" s="5" t="s">
        <v>57</v>
      </c>
      <c r="J2098">
        <v>2050</v>
      </c>
      <c r="K2098" s="38" t="str">
        <f t="shared" si="259"/>
        <v>*0.9</v>
      </c>
      <c r="P2098" s="32" t="s">
        <v>2972</v>
      </c>
      <c r="Q2098" s="42" t="s">
        <v>57</v>
      </c>
      <c r="R2098" s="32">
        <v>2035</v>
      </c>
      <c r="S2098" s="43" t="str">
        <f t="shared" si="260"/>
        <v>*0.92</v>
      </c>
      <c r="U2098" s="32" t="s">
        <v>2972</v>
      </c>
      <c r="V2098" s="42" t="s">
        <v>57</v>
      </c>
      <c r="W2098" s="32">
        <v>2050</v>
      </c>
      <c r="X2098" s="43" t="str">
        <f t="shared" si="261"/>
        <v>*0.89</v>
      </c>
      <c r="AC2098" s="33" t="s">
        <v>2972</v>
      </c>
      <c r="AD2098" s="44" t="s">
        <v>57</v>
      </c>
      <c r="AE2098" s="33">
        <v>2035</v>
      </c>
      <c r="AF2098" s="45" t="str">
        <f t="shared" si="262"/>
        <v>*0.89</v>
      </c>
      <c r="AG2098" s="43" t="str">
        <f t="shared" si="264"/>
        <v>REZoning_Sol-Win</v>
      </c>
      <c r="AI2098" s="33" t="s">
        <v>2972</v>
      </c>
      <c r="AJ2098" s="44" t="s">
        <v>57</v>
      </c>
      <c r="AK2098" s="33">
        <v>2050</v>
      </c>
      <c r="AL2098" s="45" t="str">
        <f t="shared" si="263"/>
        <v>*0.84</v>
      </c>
      <c r="AM2098" s="43" t="str">
        <f t="shared" si="265"/>
        <v>REZoning_Sol-Win</v>
      </c>
      <c r="AP2098" t="s">
        <v>2972</v>
      </c>
      <c r="AQ2098" t="s">
        <v>57</v>
      </c>
      <c r="AR2098">
        <v>2100</v>
      </c>
      <c r="AS2098" t="s">
        <v>919</v>
      </c>
      <c r="AT2098" t="s">
        <v>58</v>
      </c>
    </row>
    <row r="2099" ht="29" spans="1:46">
      <c r="A2099" s="31" t="s">
        <v>79</v>
      </c>
      <c r="C2099" t="s">
        <v>2973</v>
      </c>
      <c r="D2099" s="5" t="s">
        <v>57</v>
      </c>
      <c r="E2099">
        <v>2035</v>
      </c>
      <c r="F2099" s="6" t="str">
        <f t="shared" si="258"/>
        <v>*0.94</v>
      </c>
      <c r="H2099" t="s">
        <v>2973</v>
      </c>
      <c r="I2099" s="5" t="s">
        <v>57</v>
      </c>
      <c r="J2099">
        <v>2050</v>
      </c>
      <c r="K2099" s="38" t="str">
        <f t="shared" si="259"/>
        <v>*0.9</v>
      </c>
      <c r="P2099" s="32" t="s">
        <v>2973</v>
      </c>
      <c r="Q2099" s="42" t="s">
        <v>57</v>
      </c>
      <c r="R2099" s="32">
        <v>2035</v>
      </c>
      <c r="S2099" s="43" t="str">
        <f t="shared" si="260"/>
        <v>*0.92</v>
      </c>
      <c r="U2099" s="32" t="s">
        <v>2973</v>
      </c>
      <c r="V2099" s="42" t="s">
        <v>57</v>
      </c>
      <c r="W2099" s="32">
        <v>2050</v>
      </c>
      <c r="X2099" s="43" t="str">
        <f t="shared" si="261"/>
        <v>*0.89</v>
      </c>
      <c r="AC2099" s="33" t="s">
        <v>2973</v>
      </c>
      <c r="AD2099" s="44" t="s">
        <v>57</v>
      </c>
      <c r="AE2099" s="33">
        <v>2035</v>
      </c>
      <c r="AF2099" s="45" t="str">
        <f t="shared" si="262"/>
        <v>*0.89</v>
      </c>
      <c r="AG2099" s="43" t="str">
        <f t="shared" si="264"/>
        <v>REZoning_Sol-Win</v>
      </c>
      <c r="AI2099" s="33" t="s">
        <v>2973</v>
      </c>
      <c r="AJ2099" s="44" t="s">
        <v>57</v>
      </c>
      <c r="AK2099" s="33">
        <v>2050</v>
      </c>
      <c r="AL2099" s="45" t="str">
        <f t="shared" si="263"/>
        <v>*0.84</v>
      </c>
      <c r="AM2099" s="43" t="str">
        <f t="shared" si="265"/>
        <v>REZoning_Sol-Win</v>
      </c>
      <c r="AP2099" t="s">
        <v>2973</v>
      </c>
      <c r="AQ2099" t="s">
        <v>57</v>
      </c>
      <c r="AR2099">
        <v>2100</v>
      </c>
      <c r="AS2099" t="s">
        <v>919</v>
      </c>
      <c r="AT2099" t="s">
        <v>58</v>
      </c>
    </row>
    <row r="2100" ht="29" spans="1:46">
      <c r="A2100" s="31" t="s">
        <v>79</v>
      </c>
      <c r="C2100" t="s">
        <v>2974</v>
      </c>
      <c r="D2100" s="5" t="s">
        <v>57</v>
      </c>
      <c r="E2100">
        <v>2035</v>
      </c>
      <c r="F2100" s="6" t="str">
        <f t="shared" si="258"/>
        <v>*0.94</v>
      </c>
      <c r="H2100" t="s">
        <v>2974</v>
      </c>
      <c r="I2100" s="5" t="s">
        <v>57</v>
      </c>
      <c r="J2100">
        <v>2050</v>
      </c>
      <c r="K2100" s="38" t="str">
        <f t="shared" si="259"/>
        <v>*0.9</v>
      </c>
      <c r="P2100" s="32" t="s">
        <v>2974</v>
      </c>
      <c r="Q2100" s="42" t="s">
        <v>57</v>
      </c>
      <c r="R2100" s="32">
        <v>2035</v>
      </c>
      <c r="S2100" s="43" t="str">
        <f t="shared" si="260"/>
        <v>*0.92</v>
      </c>
      <c r="U2100" s="32" t="s">
        <v>2974</v>
      </c>
      <c r="V2100" s="42" t="s">
        <v>57</v>
      </c>
      <c r="W2100" s="32">
        <v>2050</v>
      </c>
      <c r="X2100" s="43" t="str">
        <f t="shared" si="261"/>
        <v>*0.89</v>
      </c>
      <c r="AC2100" s="33" t="s">
        <v>2974</v>
      </c>
      <c r="AD2100" s="44" t="s">
        <v>57</v>
      </c>
      <c r="AE2100" s="33">
        <v>2035</v>
      </c>
      <c r="AF2100" s="45" t="str">
        <f t="shared" si="262"/>
        <v>*0.89</v>
      </c>
      <c r="AG2100" s="43" t="str">
        <f t="shared" si="264"/>
        <v>REZoning_Sol-Win</v>
      </c>
      <c r="AI2100" s="33" t="s">
        <v>2974</v>
      </c>
      <c r="AJ2100" s="44" t="s">
        <v>57</v>
      </c>
      <c r="AK2100" s="33">
        <v>2050</v>
      </c>
      <c r="AL2100" s="45" t="str">
        <f t="shared" si="263"/>
        <v>*0.84</v>
      </c>
      <c r="AM2100" s="43" t="str">
        <f t="shared" si="265"/>
        <v>REZoning_Sol-Win</v>
      </c>
      <c r="AP2100" t="s">
        <v>2974</v>
      </c>
      <c r="AQ2100" t="s">
        <v>57</v>
      </c>
      <c r="AR2100">
        <v>2100</v>
      </c>
      <c r="AS2100" t="s">
        <v>919</v>
      </c>
      <c r="AT2100" t="s">
        <v>58</v>
      </c>
    </row>
    <row r="2101" ht="29" spans="1:46">
      <c r="A2101" s="31" t="s">
        <v>79</v>
      </c>
      <c r="C2101" t="s">
        <v>2975</v>
      </c>
      <c r="D2101" s="5" t="s">
        <v>57</v>
      </c>
      <c r="E2101">
        <v>2035</v>
      </c>
      <c r="F2101" s="6" t="str">
        <f t="shared" si="258"/>
        <v>*0.94</v>
      </c>
      <c r="H2101" t="s">
        <v>2975</v>
      </c>
      <c r="I2101" s="5" t="s">
        <v>57</v>
      </c>
      <c r="J2101">
        <v>2050</v>
      </c>
      <c r="K2101" s="38" t="str">
        <f t="shared" si="259"/>
        <v>*0.9</v>
      </c>
      <c r="P2101" s="32" t="s">
        <v>2975</v>
      </c>
      <c r="Q2101" s="42" t="s">
        <v>57</v>
      </c>
      <c r="R2101" s="32">
        <v>2035</v>
      </c>
      <c r="S2101" s="43" t="str">
        <f t="shared" si="260"/>
        <v>*0.92</v>
      </c>
      <c r="U2101" s="32" t="s">
        <v>2975</v>
      </c>
      <c r="V2101" s="42" t="s">
        <v>57</v>
      </c>
      <c r="W2101" s="32">
        <v>2050</v>
      </c>
      <c r="X2101" s="43" t="str">
        <f t="shared" si="261"/>
        <v>*0.89</v>
      </c>
      <c r="AC2101" s="33" t="s">
        <v>2975</v>
      </c>
      <c r="AD2101" s="44" t="s">
        <v>57</v>
      </c>
      <c r="AE2101" s="33">
        <v>2035</v>
      </c>
      <c r="AF2101" s="45" t="str">
        <f t="shared" si="262"/>
        <v>*0.89</v>
      </c>
      <c r="AG2101" s="43" t="str">
        <f t="shared" si="264"/>
        <v>REZoning_Sol-Win</v>
      </c>
      <c r="AI2101" s="33" t="s">
        <v>2975</v>
      </c>
      <c r="AJ2101" s="44" t="s">
        <v>57</v>
      </c>
      <c r="AK2101" s="33">
        <v>2050</v>
      </c>
      <c r="AL2101" s="45" t="str">
        <f t="shared" si="263"/>
        <v>*0.84</v>
      </c>
      <c r="AM2101" s="43" t="str">
        <f t="shared" si="265"/>
        <v>REZoning_Sol-Win</v>
      </c>
      <c r="AP2101" t="s">
        <v>2975</v>
      </c>
      <c r="AQ2101" t="s">
        <v>57</v>
      </c>
      <c r="AR2101">
        <v>2100</v>
      </c>
      <c r="AS2101" t="s">
        <v>919</v>
      </c>
      <c r="AT2101" t="s">
        <v>58</v>
      </c>
    </row>
    <row r="2102" ht="29" spans="1:46">
      <c r="A2102" s="31" t="s">
        <v>79</v>
      </c>
      <c r="C2102" t="s">
        <v>2976</v>
      </c>
      <c r="D2102" s="5" t="s">
        <v>57</v>
      </c>
      <c r="E2102">
        <v>2035</v>
      </c>
      <c r="F2102" s="6" t="str">
        <f t="shared" si="258"/>
        <v>*0.94</v>
      </c>
      <c r="H2102" t="s">
        <v>2976</v>
      </c>
      <c r="I2102" s="5" t="s">
        <v>57</v>
      </c>
      <c r="J2102">
        <v>2050</v>
      </c>
      <c r="K2102" s="38" t="str">
        <f t="shared" si="259"/>
        <v>*0.9</v>
      </c>
      <c r="P2102" s="32" t="s">
        <v>2976</v>
      </c>
      <c r="Q2102" s="42" t="s">
        <v>57</v>
      </c>
      <c r="R2102" s="32">
        <v>2035</v>
      </c>
      <c r="S2102" s="43" t="str">
        <f t="shared" si="260"/>
        <v>*0.92</v>
      </c>
      <c r="U2102" s="32" t="s">
        <v>2976</v>
      </c>
      <c r="V2102" s="42" t="s">
        <v>57</v>
      </c>
      <c r="W2102" s="32">
        <v>2050</v>
      </c>
      <c r="X2102" s="43" t="str">
        <f t="shared" si="261"/>
        <v>*0.89</v>
      </c>
      <c r="AC2102" s="33" t="s">
        <v>2976</v>
      </c>
      <c r="AD2102" s="44" t="s">
        <v>57</v>
      </c>
      <c r="AE2102" s="33">
        <v>2035</v>
      </c>
      <c r="AF2102" s="45" t="str">
        <f t="shared" si="262"/>
        <v>*0.89</v>
      </c>
      <c r="AG2102" s="43" t="str">
        <f t="shared" si="264"/>
        <v>REZoning_Sol-Win</v>
      </c>
      <c r="AI2102" s="33" t="s">
        <v>2976</v>
      </c>
      <c r="AJ2102" s="44" t="s">
        <v>57</v>
      </c>
      <c r="AK2102" s="33">
        <v>2050</v>
      </c>
      <c r="AL2102" s="45" t="str">
        <f t="shared" si="263"/>
        <v>*0.84</v>
      </c>
      <c r="AM2102" s="43" t="str">
        <f t="shared" si="265"/>
        <v>REZoning_Sol-Win</v>
      </c>
      <c r="AP2102" t="s">
        <v>2976</v>
      </c>
      <c r="AQ2102" t="s">
        <v>57</v>
      </c>
      <c r="AR2102">
        <v>2100</v>
      </c>
      <c r="AS2102" t="s">
        <v>919</v>
      </c>
      <c r="AT2102" t="s">
        <v>58</v>
      </c>
    </row>
    <row r="2103" ht="29" spans="1:46">
      <c r="A2103" s="31" t="s">
        <v>79</v>
      </c>
      <c r="C2103" t="s">
        <v>2977</v>
      </c>
      <c r="D2103" s="5" t="s">
        <v>57</v>
      </c>
      <c r="E2103">
        <v>2035</v>
      </c>
      <c r="F2103" s="6" t="str">
        <f t="shared" si="258"/>
        <v>*0.94</v>
      </c>
      <c r="H2103" t="s">
        <v>2977</v>
      </c>
      <c r="I2103" s="5" t="s">
        <v>57</v>
      </c>
      <c r="J2103">
        <v>2050</v>
      </c>
      <c r="K2103" s="38" t="str">
        <f t="shared" si="259"/>
        <v>*0.9</v>
      </c>
      <c r="P2103" s="32" t="s">
        <v>2977</v>
      </c>
      <c r="Q2103" s="42" t="s">
        <v>57</v>
      </c>
      <c r="R2103" s="32">
        <v>2035</v>
      </c>
      <c r="S2103" s="43" t="str">
        <f t="shared" si="260"/>
        <v>*0.92</v>
      </c>
      <c r="U2103" s="32" t="s">
        <v>2977</v>
      </c>
      <c r="V2103" s="42" t="s">
        <v>57</v>
      </c>
      <c r="W2103" s="32">
        <v>2050</v>
      </c>
      <c r="X2103" s="43" t="str">
        <f t="shared" si="261"/>
        <v>*0.89</v>
      </c>
      <c r="AC2103" s="33" t="s">
        <v>2977</v>
      </c>
      <c r="AD2103" s="44" t="s">
        <v>57</v>
      </c>
      <c r="AE2103" s="33">
        <v>2035</v>
      </c>
      <c r="AF2103" s="45" t="str">
        <f t="shared" si="262"/>
        <v>*0.89</v>
      </c>
      <c r="AG2103" s="43" t="str">
        <f t="shared" si="264"/>
        <v>REZoning_Sol-Win</v>
      </c>
      <c r="AI2103" s="33" t="s">
        <v>2977</v>
      </c>
      <c r="AJ2103" s="44" t="s">
        <v>57</v>
      </c>
      <c r="AK2103" s="33">
        <v>2050</v>
      </c>
      <c r="AL2103" s="45" t="str">
        <f t="shared" si="263"/>
        <v>*0.84</v>
      </c>
      <c r="AM2103" s="43" t="str">
        <f t="shared" si="265"/>
        <v>REZoning_Sol-Win</v>
      </c>
      <c r="AP2103" t="s">
        <v>2977</v>
      </c>
      <c r="AQ2103" t="s">
        <v>57</v>
      </c>
      <c r="AR2103">
        <v>2100</v>
      </c>
      <c r="AS2103" t="s">
        <v>919</v>
      </c>
      <c r="AT2103" t="s">
        <v>58</v>
      </c>
    </row>
    <row r="2104" ht="29" spans="1:46">
      <c r="A2104" s="31" t="s">
        <v>79</v>
      </c>
      <c r="C2104" t="s">
        <v>2978</v>
      </c>
      <c r="D2104" s="5" t="s">
        <v>57</v>
      </c>
      <c r="E2104">
        <v>2035</v>
      </c>
      <c r="F2104" s="6" t="str">
        <f t="shared" si="258"/>
        <v>*0.94</v>
      </c>
      <c r="H2104" t="s">
        <v>2978</v>
      </c>
      <c r="I2104" s="5" t="s">
        <v>57</v>
      </c>
      <c r="J2104">
        <v>2050</v>
      </c>
      <c r="K2104" s="38" t="str">
        <f t="shared" si="259"/>
        <v>*0.9</v>
      </c>
      <c r="P2104" s="32" t="s">
        <v>2978</v>
      </c>
      <c r="Q2104" s="42" t="s">
        <v>57</v>
      </c>
      <c r="R2104" s="32">
        <v>2035</v>
      </c>
      <c r="S2104" s="43" t="str">
        <f t="shared" si="260"/>
        <v>*0.92</v>
      </c>
      <c r="U2104" s="32" t="s">
        <v>2978</v>
      </c>
      <c r="V2104" s="42" t="s">
        <v>57</v>
      </c>
      <c r="W2104" s="32">
        <v>2050</v>
      </c>
      <c r="X2104" s="43" t="str">
        <f t="shared" si="261"/>
        <v>*0.89</v>
      </c>
      <c r="AC2104" s="33" t="s">
        <v>2978</v>
      </c>
      <c r="AD2104" s="44" t="s">
        <v>57</v>
      </c>
      <c r="AE2104" s="33">
        <v>2035</v>
      </c>
      <c r="AF2104" s="45" t="str">
        <f t="shared" si="262"/>
        <v>*0.89</v>
      </c>
      <c r="AG2104" s="43" t="str">
        <f t="shared" si="264"/>
        <v>REZoning_Sol-Win</v>
      </c>
      <c r="AI2104" s="33" t="s">
        <v>2978</v>
      </c>
      <c r="AJ2104" s="44" t="s">
        <v>57</v>
      </c>
      <c r="AK2104" s="33">
        <v>2050</v>
      </c>
      <c r="AL2104" s="45" t="str">
        <f t="shared" si="263"/>
        <v>*0.84</v>
      </c>
      <c r="AM2104" s="43" t="str">
        <f t="shared" si="265"/>
        <v>REZoning_Sol-Win</v>
      </c>
      <c r="AP2104" t="s">
        <v>2978</v>
      </c>
      <c r="AQ2104" t="s">
        <v>57</v>
      </c>
      <c r="AR2104">
        <v>2100</v>
      </c>
      <c r="AS2104" t="s">
        <v>919</v>
      </c>
      <c r="AT2104" t="s">
        <v>58</v>
      </c>
    </row>
    <row r="2105" ht="29" spans="1:46">
      <c r="A2105" s="31" t="s">
        <v>79</v>
      </c>
      <c r="C2105" t="s">
        <v>2979</v>
      </c>
      <c r="D2105" s="5" t="s">
        <v>57</v>
      </c>
      <c r="E2105">
        <v>2035</v>
      </c>
      <c r="F2105" s="6" t="str">
        <f t="shared" si="258"/>
        <v>*0.94</v>
      </c>
      <c r="H2105" t="s">
        <v>2979</v>
      </c>
      <c r="I2105" s="5" t="s">
        <v>57</v>
      </c>
      <c r="J2105">
        <v>2050</v>
      </c>
      <c r="K2105" s="38" t="str">
        <f t="shared" si="259"/>
        <v>*0.9</v>
      </c>
      <c r="P2105" s="32" t="s">
        <v>2979</v>
      </c>
      <c r="Q2105" s="42" t="s">
        <v>57</v>
      </c>
      <c r="R2105" s="32">
        <v>2035</v>
      </c>
      <c r="S2105" s="43" t="str">
        <f t="shared" si="260"/>
        <v>*0.92</v>
      </c>
      <c r="U2105" s="32" t="s">
        <v>2979</v>
      </c>
      <c r="V2105" s="42" t="s">
        <v>57</v>
      </c>
      <c r="W2105" s="32">
        <v>2050</v>
      </c>
      <c r="X2105" s="43" t="str">
        <f t="shared" si="261"/>
        <v>*0.89</v>
      </c>
      <c r="AC2105" s="33" t="s">
        <v>2979</v>
      </c>
      <c r="AD2105" s="44" t="s">
        <v>57</v>
      </c>
      <c r="AE2105" s="33">
        <v>2035</v>
      </c>
      <c r="AF2105" s="45" t="str">
        <f t="shared" si="262"/>
        <v>*0.89</v>
      </c>
      <c r="AG2105" s="43" t="str">
        <f t="shared" si="264"/>
        <v>REZoning_Sol-Win</v>
      </c>
      <c r="AI2105" s="33" t="s">
        <v>2979</v>
      </c>
      <c r="AJ2105" s="44" t="s">
        <v>57</v>
      </c>
      <c r="AK2105" s="33">
        <v>2050</v>
      </c>
      <c r="AL2105" s="45" t="str">
        <f t="shared" si="263"/>
        <v>*0.84</v>
      </c>
      <c r="AM2105" s="43" t="str">
        <f t="shared" si="265"/>
        <v>REZoning_Sol-Win</v>
      </c>
      <c r="AP2105" t="s">
        <v>2979</v>
      </c>
      <c r="AQ2105" t="s">
        <v>57</v>
      </c>
      <c r="AR2105">
        <v>2100</v>
      </c>
      <c r="AS2105" t="s">
        <v>919</v>
      </c>
      <c r="AT2105" t="s">
        <v>58</v>
      </c>
    </row>
    <row r="2106" ht="29" spans="1:46">
      <c r="A2106" s="31" t="s">
        <v>79</v>
      </c>
      <c r="C2106" t="s">
        <v>2980</v>
      </c>
      <c r="D2106" s="5" t="s">
        <v>57</v>
      </c>
      <c r="E2106">
        <v>2035</v>
      </c>
      <c r="F2106" s="6" t="str">
        <f t="shared" si="258"/>
        <v>*0.94</v>
      </c>
      <c r="H2106" t="s">
        <v>2980</v>
      </c>
      <c r="I2106" s="5" t="s">
        <v>57</v>
      </c>
      <c r="J2106">
        <v>2050</v>
      </c>
      <c r="K2106" s="38" t="str">
        <f t="shared" si="259"/>
        <v>*0.9</v>
      </c>
      <c r="P2106" s="32" t="s">
        <v>2980</v>
      </c>
      <c r="Q2106" s="42" t="s">
        <v>57</v>
      </c>
      <c r="R2106" s="32">
        <v>2035</v>
      </c>
      <c r="S2106" s="43" t="str">
        <f t="shared" si="260"/>
        <v>*0.92</v>
      </c>
      <c r="U2106" s="32" t="s">
        <v>2980</v>
      </c>
      <c r="V2106" s="42" t="s">
        <v>57</v>
      </c>
      <c r="W2106" s="32">
        <v>2050</v>
      </c>
      <c r="X2106" s="43" t="str">
        <f t="shared" si="261"/>
        <v>*0.89</v>
      </c>
      <c r="AC2106" s="33" t="s">
        <v>2980</v>
      </c>
      <c r="AD2106" s="44" t="s">
        <v>57</v>
      </c>
      <c r="AE2106" s="33">
        <v>2035</v>
      </c>
      <c r="AF2106" s="45" t="str">
        <f t="shared" si="262"/>
        <v>*0.89</v>
      </c>
      <c r="AG2106" s="43" t="str">
        <f t="shared" si="264"/>
        <v>REZoning_Sol-Win</v>
      </c>
      <c r="AI2106" s="33" t="s">
        <v>2980</v>
      </c>
      <c r="AJ2106" s="44" t="s">
        <v>57</v>
      </c>
      <c r="AK2106" s="33">
        <v>2050</v>
      </c>
      <c r="AL2106" s="45" t="str">
        <f t="shared" si="263"/>
        <v>*0.84</v>
      </c>
      <c r="AM2106" s="43" t="str">
        <f t="shared" si="265"/>
        <v>REZoning_Sol-Win</v>
      </c>
      <c r="AP2106" t="s">
        <v>2980</v>
      </c>
      <c r="AQ2106" t="s">
        <v>57</v>
      </c>
      <c r="AR2106">
        <v>2100</v>
      </c>
      <c r="AS2106" t="s">
        <v>919</v>
      </c>
      <c r="AT2106" t="s">
        <v>58</v>
      </c>
    </row>
    <row r="2107" ht="29" spans="1:46">
      <c r="A2107" s="31" t="s">
        <v>79</v>
      </c>
      <c r="C2107" t="s">
        <v>2981</v>
      </c>
      <c r="D2107" s="5" t="s">
        <v>57</v>
      </c>
      <c r="E2107">
        <v>2035</v>
      </c>
      <c r="F2107" s="6" t="str">
        <f t="shared" si="258"/>
        <v>*0.94</v>
      </c>
      <c r="H2107" t="s">
        <v>2981</v>
      </c>
      <c r="I2107" s="5" t="s">
        <v>57</v>
      </c>
      <c r="J2107">
        <v>2050</v>
      </c>
      <c r="K2107" s="38" t="str">
        <f t="shared" si="259"/>
        <v>*0.9</v>
      </c>
      <c r="P2107" s="32" t="s">
        <v>2981</v>
      </c>
      <c r="Q2107" s="42" t="s">
        <v>57</v>
      </c>
      <c r="R2107" s="32">
        <v>2035</v>
      </c>
      <c r="S2107" s="43" t="str">
        <f t="shared" si="260"/>
        <v>*0.92</v>
      </c>
      <c r="U2107" s="32" t="s">
        <v>2981</v>
      </c>
      <c r="V2107" s="42" t="s">
        <v>57</v>
      </c>
      <c r="W2107" s="32">
        <v>2050</v>
      </c>
      <c r="X2107" s="43" t="str">
        <f t="shared" si="261"/>
        <v>*0.89</v>
      </c>
      <c r="AC2107" s="33" t="s">
        <v>2981</v>
      </c>
      <c r="AD2107" s="44" t="s">
        <v>57</v>
      </c>
      <c r="AE2107" s="33">
        <v>2035</v>
      </c>
      <c r="AF2107" s="45" t="str">
        <f t="shared" si="262"/>
        <v>*0.89</v>
      </c>
      <c r="AG2107" s="43" t="str">
        <f t="shared" si="264"/>
        <v>REZoning_Sol-Win</v>
      </c>
      <c r="AI2107" s="33" t="s">
        <v>2981</v>
      </c>
      <c r="AJ2107" s="44" t="s">
        <v>57</v>
      </c>
      <c r="AK2107" s="33">
        <v>2050</v>
      </c>
      <c r="AL2107" s="45" t="str">
        <f t="shared" si="263"/>
        <v>*0.84</v>
      </c>
      <c r="AM2107" s="43" t="str">
        <f t="shared" si="265"/>
        <v>REZoning_Sol-Win</v>
      </c>
      <c r="AP2107" t="s">
        <v>2981</v>
      </c>
      <c r="AQ2107" t="s">
        <v>57</v>
      </c>
      <c r="AR2107">
        <v>2100</v>
      </c>
      <c r="AS2107" t="s">
        <v>919</v>
      </c>
      <c r="AT2107" t="s">
        <v>58</v>
      </c>
    </row>
    <row r="2108" ht="29" spans="1:46">
      <c r="A2108" s="31" t="s">
        <v>79</v>
      </c>
      <c r="C2108" t="s">
        <v>2982</v>
      </c>
      <c r="D2108" s="5" t="s">
        <v>57</v>
      </c>
      <c r="E2108">
        <v>2035</v>
      </c>
      <c r="F2108" s="6" t="str">
        <f t="shared" si="258"/>
        <v>*0.94</v>
      </c>
      <c r="H2108" t="s">
        <v>2982</v>
      </c>
      <c r="I2108" s="5" t="s">
        <v>57</v>
      </c>
      <c r="J2108">
        <v>2050</v>
      </c>
      <c r="K2108" s="38" t="str">
        <f t="shared" si="259"/>
        <v>*0.9</v>
      </c>
      <c r="P2108" s="32" t="s">
        <v>2982</v>
      </c>
      <c r="Q2108" s="42" t="s">
        <v>57</v>
      </c>
      <c r="R2108" s="32">
        <v>2035</v>
      </c>
      <c r="S2108" s="43" t="str">
        <f t="shared" si="260"/>
        <v>*0.92</v>
      </c>
      <c r="U2108" s="32" t="s">
        <v>2982</v>
      </c>
      <c r="V2108" s="42" t="s">
        <v>57</v>
      </c>
      <c r="W2108" s="32">
        <v>2050</v>
      </c>
      <c r="X2108" s="43" t="str">
        <f t="shared" si="261"/>
        <v>*0.89</v>
      </c>
      <c r="AC2108" s="33" t="s">
        <v>2982</v>
      </c>
      <c r="AD2108" s="44" t="s">
        <v>57</v>
      </c>
      <c r="AE2108" s="33">
        <v>2035</v>
      </c>
      <c r="AF2108" s="45" t="str">
        <f t="shared" si="262"/>
        <v>*0.89</v>
      </c>
      <c r="AG2108" s="43" t="str">
        <f t="shared" si="264"/>
        <v>REZoning_Sol-Win</v>
      </c>
      <c r="AI2108" s="33" t="s">
        <v>2982</v>
      </c>
      <c r="AJ2108" s="44" t="s">
        <v>57</v>
      </c>
      <c r="AK2108" s="33">
        <v>2050</v>
      </c>
      <c r="AL2108" s="45" t="str">
        <f t="shared" si="263"/>
        <v>*0.84</v>
      </c>
      <c r="AM2108" s="43" t="str">
        <f t="shared" si="265"/>
        <v>REZoning_Sol-Win</v>
      </c>
      <c r="AP2108" t="s">
        <v>2982</v>
      </c>
      <c r="AQ2108" t="s">
        <v>57</v>
      </c>
      <c r="AR2108">
        <v>2100</v>
      </c>
      <c r="AS2108" t="s">
        <v>919</v>
      </c>
      <c r="AT2108" t="s">
        <v>58</v>
      </c>
    </row>
    <row r="2109" ht="29" spans="1:46">
      <c r="A2109" s="31" t="s">
        <v>79</v>
      </c>
      <c r="C2109" t="s">
        <v>2983</v>
      </c>
      <c r="D2109" s="5" t="s">
        <v>57</v>
      </c>
      <c r="E2109">
        <v>2035</v>
      </c>
      <c r="F2109" s="6" t="str">
        <f t="shared" si="258"/>
        <v>*0.94</v>
      </c>
      <c r="H2109" t="s">
        <v>2983</v>
      </c>
      <c r="I2109" s="5" t="s">
        <v>57</v>
      </c>
      <c r="J2109">
        <v>2050</v>
      </c>
      <c r="K2109" s="38" t="str">
        <f t="shared" si="259"/>
        <v>*0.9</v>
      </c>
      <c r="P2109" s="32" t="s">
        <v>2983</v>
      </c>
      <c r="Q2109" s="42" t="s">
        <v>57</v>
      </c>
      <c r="R2109" s="32">
        <v>2035</v>
      </c>
      <c r="S2109" s="43" t="str">
        <f t="shared" si="260"/>
        <v>*0.92</v>
      </c>
      <c r="U2109" s="32" t="s">
        <v>2983</v>
      </c>
      <c r="V2109" s="42" t="s">
        <v>57</v>
      </c>
      <c r="W2109" s="32">
        <v>2050</v>
      </c>
      <c r="X2109" s="43" t="str">
        <f t="shared" si="261"/>
        <v>*0.89</v>
      </c>
      <c r="AC2109" s="33" t="s">
        <v>2983</v>
      </c>
      <c r="AD2109" s="44" t="s">
        <v>57</v>
      </c>
      <c r="AE2109" s="33">
        <v>2035</v>
      </c>
      <c r="AF2109" s="45" t="str">
        <f t="shared" si="262"/>
        <v>*0.89</v>
      </c>
      <c r="AG2109" s="43" t="str">
        <f t="shared" si="264"/>
        <v>REZoning_Sol-Win</v>
      </c>
      <c r="AI2109" s="33" t="s">
        <v>2983</v>
      </c>
      <c r="AJ2109" s="44" t="s">
        <v>57</v>
      </c>
      <c r="AK2109" s="33">
        <v>2050</v>
      </c>
      <c r="AL2109" s="45" t="str">
        <f t="shared" si="263"/>
        <v>*0.84</v>
      </c>
      <c r="AM2109" s="43" t="str">
        <f t="shared" si="265"/>
        <v>REZoning_Sol-Win</v>
      </c>
      <c r="AP2109" t="s">
        <v>2983</v>
      </c>
      <c r="AQ2109" t="s">
        <v>57</v>
      </c>
      <c r="AR2109">
        <v>2100</v>
      </c>
      <c r="AS2109" t="s">
        <v>919</v>
      </c>
      <c r="AT2109" t="s">
        <v>58</v>
      </c>
    </row>
    <row r="2110" ht="29" spans="1:46">
      <c r="A2110" s="31" t="s">
        <v>79</v>
      </c>
      <c r="C2110" t="s">
        <v>2984</v>
      </c>
      <c r="D2110" s="5" t="s">
        <v>57</v>
      </c>
      <c r="E2110">
        <v>2035</v>
      </c>
      <c r="F2110" s="6" t="str">
        <f t="shared" si="258"/>
        <v>*0.94</v>
      </c>
      <c r="H2110" t="s">
        <v>2984</v>
      </c>
      <c r="I2110" s="5" t="s">
        <v>57</v>
      </c>
      <c r="J2110">
        <v>2050</v>
      </c>
      <c r="K2110" s="38" t="str">
        <f t="shared" si="259"/>
        <v>*0.9</v>
      </c>
      <c r="P2110" s="32" t="s">
        <v>2984</v>
      </c>
      <c r="Q2110" s="42" t="s">
        <v>57</v>
      </c>
      <c r="R2110" s="32">
        <v>2035</v>
      </c>
      <c r="S2110" s="43" t="str">
        <f t="shared" si="260"/>
        <v>*0.92</v>
      </c>
      <c r="U2110" s="32" t="s">
        <v>2984</v>
      </c>
      <c r="V2110" s="42" t="s">
        <v>57</v>
      </c>
      <c r="W2110" s="32">
        <v>2050</v>
      </c>
      <c r="X2110" s="43" t="str">
        <f t="shared" si="261"/>
        <v>*0.89</v>
      </c>
      <c r="AC2110" s="33" t="s">
        <v>2984</v>
      </c>
      <c r="AD2110" s="44" t="s">
        <v>57</v>
      </c>
      <c r="AE2110" s="33">
        <v>2035</v>
      </c>
      <c r="AF2110" s="45" t="str">
        <f t="shared" si="262"/>
        <v>*0.89</v>
      </c>
      <c r="AG2110" s="43" t="str">
        <f t="shared" si="264"/>
        <v>REZoning_Sol-Win</v>
      </c>
      <c r="AI2110" s="33" t="s">
        <v>2984</v>
      </c>
      <c r="AJ2110" s="44" t="s">
        <v>57</v>
      </c>
      <c r="AK2110" s="33">
        <v>2050</v>
      </c>
      <c r="AL2110" s="45" t="str">
        <f t="shared" si="263"/>
        <v>*0.84</v>
      </c>
      <c r="AM2110" s="43" t="str">
        <f t="shared" si="265"/>
        <v>REZoning_Sol-Win</v>
      </c>
      <c r="AP2110" t="s">
        <v>2984</v>
      </c>
      <c r="AQ2110" t="s">
        <v>57</v>
      </c>
      <c r="AR2110">
        <v>2100</v>
      </c>
      <c r="AS2110" t="s">
        <v>919</v>
      </c>
      <c r="AT2110" t="s">
        <v>58</v>
      </c>
    </row>
    <row r="2111" ht="29" spans="1:46">
      <c r="A2111" s="31" t="s">
        <v>79</v>
      </c>
      <c r="C2111" t="s">
        <v>2985</v>
      </c>
      <c r="D2111" s="5" t="s">
        <v>57</v>
      </c>
      <c r="E2111">
        <v>2035</v>
      </c>
      <c r="F2111" s="6" t="str">
        <f t="shared" si="258"/>
        <v>*0.94</v>
      </c>
      <c r="H2111" t="s">
        <v>2985</v>
      </c>
      <c r="I2111" s="5" t="s">
        <v>57</v>
      </c>
      <c r="J2111">
        <v>2050</v>
      </c>
      <c r="K2111" s="38" t="str">
        <f t="shared" si="259"/>
        <v>*0.9</v>
      </c>
      <c r="P2111" s="32" t="s">
        <v>2985</v>
      </c>
      <c r="Q2111" s="42" t="s">
        <v>57</v>
      </c>
      <c r="R2111" s="32">
        <v>2035</v>
      </c>
      <c r="S2111" s="43" t="str">
        <f t="shared" si="260"/>
        <v>*0.92</v>
      </c>
      <c r="U2111" s="32" t="s">
        <v>2985</v>
      </c>
      <c r="V2111" s="42" t="s">
        <v>57</v>
      </c>
      <c r="W2111" s="32">
        <v>2050</v>
      </c>
      <c r="X2111" s="43" t="str">
        <f t="shared" si="261"/>
        <v>*0.89</v>
      </c>
      <c r="AC2111" s="33" t="s">
        <v>2985</v>
      </c>
      <c r="AD2111" s="44" t="s">
        <v>57</v>
      </c>
      <c r="AE2111" s="33">
        <v>2035</v>
      </c>
      <c r="AF2111" s="45" t="str">
        <f t="shared" si="262"/>
        <v>*0.89</v>
      </c>
      <c r="AG2111" s="43" t="str">
        <f t="shared" si="264"/>
        <v>REZoning_Sol-Win</v>
      </c>
      <c r="AI2111" s="33" t="s">
        <v>2985</v>
      </c>
      <c r="AJ2111" s="44" t="s">
        <v>57</v>
      </c>
      <c r="AK2111" s="33">
        <v>2050</v>
      </c>
      <c r="AL2111" s="45" t="str">
        <f t="shared" si="263"/>
        <v>*0.84</v>
      </c>
      <c r="AM2111" s="43" t="str">
        <f t="shared" si="265"/>
        <v>REZoning_Sol-Win</v>
      </c>
      <c r="AP2111" t="s">
        <v>2985</v>
      </c>
      <c r="AQ2111" t="s">
        <v>57</v>
      </c>
      <c r="AR2111">
        <v>2100</v>
      </c>
      <c r="AS2111" t="s">
        <v>919</v>
      </c>
      <c r="AT2111" t="s">
        <v>58</v>
      </c>
    </row>
    <row r="2112" ht="29" spans="1:46">
      <c r="A2112" s="31" t="s">
        <v>79</v>
      </c>
      <c r="C2112" t="s">
        <v>2986</v>
      </c>
      <c r="D2112" s="5" t="s">
        <v>57</v>
      </c>
      <c r="E2112">
        <v>2035</v>
      </c>
      <c r="F2112" s="6" t="str">
        <f t="shared" si="258"/>
        <v>*0.94</v>
      </c>
      <c r="H2112" t="s">
        <v>2986</v>
      </c>
      <c r="I2112" s="5" t="s">
        <v>57</v>
      </c>
      <c r="J2112">
        <v>2050</v>
      </c>
      <c r="K2112" s="38" t="str">
        <f t="shared" si="259"/>
        <v>*0.9</v>
      </c>
      <c r="P2112" s="32" t="s">
        <v>2986</v>
      </c>
      <c r="Q2112" s="42" t="s">
        <v>57</v>
      </c>
      <c r="R2112" s="32">
        <v>2035</v>
      </c>
      <c r="S2112" s="43" t="str">
        <f t="shared" si="260"/>
        <v>*0.92</v>
      </c>
      <c r="U2112" s="32" t="s">
        <v>2986</v>
      </c>
      <c r="V2112" s="42" t="s">
        <v>57</v>
      </c>
      <c r="W2112" s="32">
        <v>2050</v>
      </c>
      <c r="X2112" s="43" t="str">
        <f t="shared" si="261"/>
        <v>*0.89</v>
      </c>
      <c r="AC2112" s="33" t="s">
        <v>2986</v>
      </c>
      <c r="AD2112" s="44" t="s">
        <v>57</v>
      </c>
      <c r="AE2112" s="33">
        <v>2035</v>
      </c>
      <c r="AF2112" s="45" t="str">
        <f t="shared" si="262"/>
        <v>*0.89</v>
      </c>
      <c r="AG2112" s="43" t="str">
        <f t="shared" si="264"/>
        <v>REZoning_Sol-Win</v>
      </c>
      <c r="AI2112" s="33" t="s">
        <v>2986</v>
      </c>
      <c r="AJ2112" s="44" t="s">
        <v>57</v>
      </c>
      <c r="AK2112" s="33">
        <v>2050</v>
      </c>
      <c r="AL2112" s="45" t="str">
        <f t="shared" si="263"/>
        <v>*0.84</v>
      </c>
      <c r="AM2112" s="43" t="str">
        <f t="shared" si="265"/>
        <v>REZoning_Sol-Win</v>
      </c>
      <c r="AP2112" t="s">
        <v>2986</v>
      </c>
      <c r="AQ2112" t="s">
        <v>57</v>
      </c>
      <c r="AR2112">
        <v>2100</v>
      </c>
      <c r="AS2112" t="s">
        <v>919</v>
      </c>
      <c r="AT2112" t="s">
        <v>58</v>
      </c>
    </row>
    <row r="2113" ht="29" spans="1:46">
      <c r="A2113" s="31" t="s">
        <v>79</v>
      </c>
      <c r="C2113" t="s">
        <v>2987</v>
      </c>
      <c r="D2113" s="5" t="s">
        <v>57</v>
      </c>
      <c r="E2113">
        <v>2035</v>
      </c>
      <c r="F2113" s="6" t="str">
        <f t="shared" si="258"/>
        <v>*0.94</v>
      </c>
      <c r="H2113" t="s">
        <v>2987</v>
      </c>
      <c r="I2113" s="5" t="s">
        <v>57</v>
      </c>
      <c r="J2113">
        <v>2050</v>
      </c>
      <c r="K2113" s="38" t="str">
        <f t="shared" si="259"/>
        <v>*0.9</v>
      </c>
      <c r="P2113" s="32" t="s">
        <v>2987</v>
      </c>
      <c r="Q2113" s="42" t="s">
        <v>57</v>
      </c>
      <c r="R2113" s="32">
        <v>2035</v>
      </c>
      <c r="S2113" s="43" t="str">
        <f t="shared" si="260"/>
        <v>*0.92</v>
      </c>
      <c r="U2113" s="32" t="s">
        <v>2987</v>
      </c>
      <c r="V2113" s="42" t="s">
        <v>57</v>
      </c>
      <c r="W2113" s="32">
        <v>2050</v>
      </c>
      <c r="X2113" s="43" t="str">
        <f t="shared" si="261"/>
        <v>*0.89</v>
      </c>
      <c r="AC2113" s="33" t="s">
        <v>2987</v>
      </c>
      <c r="AD2113" s="44" t="s">
        <v>57</v>
      </c>
      <c r="AE2113" s="33">
        <v>2035</v>
      </c>
      <c r="AF2113" s="45" t="str">
        <f t="shared" si="262"/>
        <v>*0.89</v>
      </c>
      <c r="AG2113" s="43" t="str">
        <f t="shared" si="264"/>
        <v>REZoning_Sol-Win</v>
      </c>
      <c r="AI2113" s="33" t="s">
        <v>2987</v>
      </c>
      <c r="AJ2113" s="44" t="s">
        <v>57</v>
      </c>
      <c r="AK2113" s="33">
        <v>2050</v>
      </c>
      <c r="AL2113" s="45" t="str">
        <f t="shared" si="263"/>
        <v>*0.84</v>
      </c>
      <c r="AM2113" s="43" t="str">
        <f t="shared" si="265"/>
        <v>REZoning_Sol-Win</v>
      </c>
      <c r="AP2113" t="s">
        <v>2987</v>
      </c>
      <c r="AQ2113" t="s">
        <v>57</v>
      </c>
      <c r="AR2113">
        <v>2100</v>
      </c>
      <c r="AS2113" t="s">
        <v>919</v>
      </c>
      <c r="AT2113" t="s">
        <v>58</v>
      </c>
    </row>
    <row r="2114" ht="29" spans="1:46">
      <c r="A2114" s="31" t="s">
        <v>79</v>
      </c>
      <c r="C2114" t="s">
        <v>2988</v>
      </c>
      <c r="D2114" s="5" t="s">
        <v>57</v>
      </c>
      <c r="E2114">
        <v>2035</v>
      </c>
      <c r="F2114" s="6" t="str">
        <f t="shared" si="258"/>
        <v>*0.94</v>
      </c>
      <c r="H2114" t="s">
        <v>2988</v>
      </c>
      <c r="I2114" s="5" t="s">
        <v>57</v>
      </c>
      <c r="J2114">
        <v>2050</v>
      </c>
      <c r="K2114" s="38" t="str">
        <f t="shared" si="259"/>
        <v>*0.9</v>
      </c>
      <c r="P2114" s="32" t="s">
        <v>2988</v>
      </c>
      <c r="Q2114" s="42" t="s">
        <v>57</v>
      </c>
      <c r="R2114" s="32">
        <v>2035</v>
      </c>
      <c r="S2114" s="43" t="str">
        <f t="shared" si="260"/>
        <v>*0.92</v>
      </c>
      <c r="U2114" s="32" t="s">
        <v>2988</v>
      </c>
      <c r="V2114" s="42" t="s">
        <v>57</v>
      </c>
      <c r="W2114" s="32">
        <v>2050</v>
      </c>
      <c r="X2114" s="43" t="str">
        <f t="shared" si="261"/>
        <v>*0.89</v>
      </c>
      <c r="AC2114" s="33" t="s">
        <v>2988</v>
      </c>
      <c r="AD2114" s="44" t="s">
        <v>57</v>
      </c>
      <c r="AE2114" s="33">
        <v>2035</v>
      </c>
      <c r="AF2114" s="45" t="str">
        <f t="shared" si="262"/>
        <v>*0.89</v>
      </c>
      <c r="AG2114" s="43" t="str">
        <f t="shared" si="264"/>
        <v>REZoning_Sol-Win</v>
      </c>
      <c r="AI2114" s="33" t="s">
        <v>2988</v>
      </c>
      <c r="AJ2114" s="44" t="s">
        <v>57</v>
      </c>
      <c r="AK2114" s="33">
        <v>2050</v>
      </c>
      <c r="AL2114" s="45" t="str">
        <f t="shared" si="263"/>
        <v>*0.84</v>
      </c>
      <c r="AM2114" s="43" t="str">
        <f t="shared" si="265"/>
        <v>REZoning_Sol-Win</v>
      </c>
      <c r="AP2114" t="s">
        <v>2988</v>
      </c>
      <c r="AQ2114" t="s">
        <v>57</v>
      </c>
      <c r="AR2114">
        <v>2100</v>
      </c>
      <c r="AS2114" t="s">
        <v>919</v>
      </c>
      <c r="AT2114" t="s">
        <v>58</v>
      </c>
    </row>
    <row r="2115" ht="29" spans="1:46">
      <c r="A2115" s="31" t="s">
        <v>79</v>
      </c>
      <c r="C2115" t="s">
        <v>2989</v>
      </c>
      <c r="D2115" s="5" t="s">
        <v>57</v>
      </c>
      <c r="E2115">
        <v>2035</v>
      </c>
      <c r="F2115" s="6" t="str">
        <f t="shared" si="258"/>
        <v>*0.94</v>
      </c>
      <c r="H2115" t="s">
        <v>2989</v>
      </c>
      <c r="I2115" s="5" t="s">
        <v>57</v>
      </c>
      <c r="J2115">
        <v>2050</v>
      </c>
      <c r="K2115" s="38" t="str">
        <f t="shared" si="259"/>
        <v>*0.9</v>
      </c>
      <c r="P2115" s="32" t="s">
        <v>2989</v>
      </c>
      <c r="Q2115" s="42" t="s">
        <v>57</v>
      </c>
      <c r="R2115" s="32">
        <v>2035</v>
      </c>
      <c r="S2115" s="43" t="str">
        <f t="shared" si="260"/>
        <v>*0.92</v>
      </c>
      <c r="U2115" s="32" t="s">
        <v>2989</v>
      </c>
      <c r="V2115" s="42" t="s">
        <v>57</v>
      </c>
      <c r="W2115" s="32">
        <v>2050</v>
      </c>
      <c r="X2115" s="43" t="str">
        <f t="shared" si="261"/>
        <v>*0.89</v>
      </c>
      <c r="AC2115" s="33" t="s">
        <v>2989</v>
      </c>
      <c r="AD2115" s="44" t="s">
        <v>57</v>
      </c>
      <c r="AE2115" s="33">
        <v>2035</v>
      </c>
      <c r="AF2115" s="45" t="str">
        <f t="shared" si="262"/>
        <v>*0.89</v>
      </c>
      <c r="AG2115" s="43" t="str">
        <f t="shared" si="264"/>
        <v>REZoning_Sol-Win</v>
      </c>
      <c r="AI2115" s="33" t="s">
        <v>2989</v>
      </c>
      <c r="AJ2115" s="44" t="s">
        <v>57</v>
      </c>
      <c r="AK2115" s="33">
        <v>2050</v>
      </c>
      <c r="AL2115" s="45" t="str">
        <f t="shared" si="263"/>
        <v>*0.84</v>
      </c>
      <c r="AM2115" s="43" t="str">
        <f t="shared" si="265"/>
        <v>REZoning_Sol-Win</v>
      </c>
      <c r="AP2115" t="s">
        <v>2989</v>
      </c>
      <c r="AQ2115" t="s">
        <v>57</v>
      </c>
      <c r="AR2115">
        <v>2100</v>
      </c>
      <c r="AS2115" t="s">
        <v>919</v>
      </c>
      <c r="AT2115" t="s">
        <v>58</v>
      </c>
    </row>
    <row r="2116" ht="29" spans="1:46">
      <c r="A2116" s="31" t="s">
        <v>79</v>
      </c>
      <c r="C2116" t="s">
        <v>2990</v>
      </c>
      <c r="D2116" s="5" t="s">
        <v>57</v>
      </c>
      <c r="E2116">
        <v>2035</v>
      </c>
      <c r="F2116" s="6" t="str">
        <f t="shared" ref="F2116:F2179" si="266">"*"&amp;IF(AND(A2116="EU",E2116=2035),0.95,IF(AND(A2116="EU",E2116=2050),0.93,IF(AND(A2116="USA",E2116=2035),0.96,IF(AND(A2116="USA",E2116=2050),0.94,IF(AND(A2116="Japan",E2116=2035),0.94,IF(AND(A2116="Japan",E2116=2050),0.92,IF(AND(A2116="Russia",E2116=2035),0.95,IF(AND(A2116="Russia",E2116=2050),0.93,IF(AND(A2116="China",E2116=2035),0.94,IF(AND(A2116="China",E2116=2050),0.92,IF(AND(A2116="India",E2116=2035),0.95,IF(AND(A2116="India",E2116=2050),0.92,IF(AND(A2116="Middle East",E2116=2035),0.94,IF(AND(A2116="Middle East",E2116=2050),0.9,IF(AND(A2116="Africa",E2116=2035),0.94,IF(AND(A2116="Africa",E2116=2050),0.91,IF(AND(A2116="Brazil",E2116=2035),0.95,IF(AND(A2116="Brazil",E2116=2050),0.92,""))))))))))))))))))</f>
        <v>*0.94</v>
      </c>
      <c r="H2116" t="s">
        <v>2990</v>
      </c>
      <c r="I2116" s="5" t="s">
        <v>57</v>
      </c>
      <c r="J2116">
        <v>2050</v>
      </c>
      <c r="K2116" s="38" t="str">
        <f t="shared" ref="K2116:K2179" si="267">"*"&amp;IF(AND(A2116="EU",J2116=2035),0.95,IF(AND(A2116="EU",J2116=2050),0.93,IF(AND(A2116="USA",J2116=2035),0.96,IF(AND(A2116="USA",J2116=2050),0.94,IF(AND(A2116="Japan",J2116=2035),0.94,IF(AND(A2116="Japan",J2116=2050),0.92,IF(AND(A2116="Russia",J2116=2035),0.95,IF(AND(A2116="Russia",J2116=2050),0.93,IF(AND(A2116="China",J2116=2035),0.94,IF(AND(A2116="China",J2116=2050),0.92,IF(AND(A2116="India",J2116=2035),0.95,IF(AND(A2116="India",J2116=2050),0.92,IF(AND(A2116="Middle East",J2116=2035),0.94,IF(AND(A2116="Middle East",J2116=2050),0.9,IF(AND(A2116="Africa",J2116=2035),0.94,IF(AND(A2116="Africa",J2116=2050),0.91,IF(AND(A2116="Brazil",J2116=2035),0.95,IF(AND(A2116="Brazil",J2116=2050),0.92,""))))))))))))))))))</f>
        <v>*0.9</v>
      </c>
      <c r="P2116" s="32" t="s">
        <v>2990</v>
      </c>
      <c r="Q2116" s="42" t="s">
        <v>57</v>
      </c>
      <c r="R2116" s="32">
        <v>2035</v>
      </c>
      <c r="S2116" s="43" t="str">
        <f t="shared" ref="S2116:S2179" si="268">"*"&amp;IF(AND(A2116="EU",R2116=2035),0.95,IF(AND(A2116="EU",R2116=2050),0.93,IF(AND(A2116="USA",R2116=2035),0.96,IF(AND(A2116="USA",R2116=2050),0.93,IF(AND(A2116="Japan",R2116=2035),0.94,IF(AND(A2116="Japan",R2116=2050),0.92,IF(AND(A2116="Russia",R2116=2035),0.95,IF(AND(A2116="Russia",R2116=2050),0.91,IF(AND(A2116="China",R2116=2035),0.93,IF(AND(A2116="China",R2116=2050),0.92,IF(AND(A2116="India",R2116=2035),0.94,IF(AND(A2116="India",R2116=2050),0.91,IF(AND(A2116="Middle East",R2116=2035),0.92,IF(AND(A2116="Middle East",R2116=2050),0.89,IF(AND(A2116="Africa",R2116=2035),0.93,IF(AND(A2116="Africa",R2116=2050),0.9,IF(AND(A2116="Brazil",R2116=2035),0.95,IF(AND(A2116="Brazil",R2116=2050),0.92,""))))))))))))))))))</f>
        <v>*0.92</v>
      </c>
      <c r="U2116" s="32" t="s">
        <v>2990</v>
      </c>
      <c r="V2116" s="42" t="s">
        <v>57</v>
      </c>
      <c r="W2116" s="32">
        <v>2050</v>
      </c>
      <c r="X2116" s="43" t="str">
        <f t="shared" ref="X2116:X2179" si="269">"*"&amp;IF(AND(A2116="EU",W2116=2035),0.95,IF(AND(A2116="EU",W2116=2050),0.93,IF(AND(A2116="USA",W2116=2035),0.96,IF(AND(A2116="USA",W2116=2050),0.93,IF(AND(A2116="Japan",W2116=2035),0.94,IF(AND(A2116="Japan",W2116=2050),0.92,IF(AND(A2116="Russia",W2116=2035),0.95,IF(AND(A2116="Russia",W2116=2050),0.91,IF(AND(A2116="China",W2116=2035),0.93,IF(AND(A2116="China",W2116=2050),0.92,IF(AND(A2116="India",W2116=2035),0.94,IF(AND(A2116="India",W2116=2050),0.91,IF(AND(A2116="Middle East",W2116=2035),0.92,IF(AND(A2116="Middle East",W2116=2050),0.89,IF(AND(A2116="Africa",W2116=2035),0.93,IF(AND(A2116="Africa",W2116=2050),0.9,IF(AND(A2116="Brazil",W2116=2035),0.95,IF(AND(A2116="Brazil",W2116=2050),0.92,""))))))))))))))))))</f>
        <v>*0.89</v>
      </c>
      <c r="AC2116" s="33" t="s">
        <v>2990</v>
      </c>
      <c r="AD2116" s="44" t="s">
        <v>57</v>
      </c>
      <c r="AE2116" s="33">
        <v>2035</v>
      </c>
      <c r="AF2116" s="45" t="str">
        <f t="shared" ref="AF2116:AF2179" si="270">"*"&amp;IF(AND(A2116="EU",AE2116=2035),0.93,IF(AND(A2116="EU",AE2116=2050),0.9,IF(AND(A2116="USA",AE2116=2035),0.92,IF(AND(A2116="USA",AE2116=2050),0.89,IF(AND(A2116="Japan",AE2116=2035),0.92,IF(AND(A2116="Japan",AE2116=2050),0.89,IF(AND(A2116="Russia",AE2116=2035),0.91,IF(AND(A2116="Russia",AE2116=2050),0.86,IF(AND(A2116="China",AE2116=2035),0.91,IF(AND(A2116="China",AE2116=2050),0.87,IF(AND(A2116="India",AE2116=2035),0.92,IF(AND(A2116="India",AE2116=2050),0.87,IF(AND(A2116="Middle East",AE2116=2035),0.89,IF(AND(A2116="Middle East",AE2116=2050),0.84,IF(AND(A2116="Africa",AE2116=2035),0.9,IF(AND(A2116="Africa",AE2116=2050),0.86,IF(AND(A2116="Brazil",AE2116=2035),0.93,IF(AND(A2116="Brazil",AE2116=2050),0.89,""))))))))))))))))))</f>
        <v>*0.89</v>
      </c>
      <c r="AG2116" s="43" t="str">
        <f t="shared" si="264"/>
        <v>REZoning_Sol-Win</v>
      </c>
      <c r="AI2116" s="33" t="s">
        <v>2990</v>
      </c>
      <c r="AJ2116" s="44" t="s">
        <v>57</v>
      </c>
      <c r="AK2116" s="33">
        <v>2050</v>
      </c>
      <c r="AL2116" s="45" t="str">
        <f t="shared" ref="AL2116:AL2179" si="271">"*"&amp;IF(AND(A2116="EU",AK2116=2035),0.93,IF(AND(A2116="EU",AK2116=2050),0.9,IF(AND(A2116="USA",AK2116=2035),0.92,IF(AND(A2116="USA",AK2116=2050),0.89,IF(AND(A2116="Japan",AK2116=2035),0.92,IF(AND(A2116="Japan",AK2116=2050),0.89,IF(AND(A2116="Russia",AK2116=2035),0.91,IF(AND(A2116="Russia",AK2116=2050),0.86,IF(AND(A2116="China",AK2116=2035),0.91,IF(AND(A2116="China",AK2116=2050),0.87,IF(AND(A2116="India",AK2116=2035),0.92,IF(AND(A2116="India",AK2116=2050),0.87,IF(AND(A2116="Middle East",AK2116=2035),0.89,IF(AND(A2116="Middle East",AK2116=2050),0.84,IF(AND(A2116="Africa",AK2116=2035),0.9,IF(AND(A2116="Africa",AK2116=2050),0.86,IF(AND(A2116="Brazil",AK2116=2035),0.93,IF(AND(A2116="Brazil",AK2116=2050),0.89,""))))))))))))))))))</f>
        <v>*0.84</v>
      </c>
      <c r="AM2116" s="43" t="str">
        <f t="shared" si="265"/>
        <v>REZoning_Sol-Win</v>
      </c>
      <c r="AP2116" t="s">
        <v>2990</v>
      </c>
      <c r="AQ2116" t="s">
        <v>57</v>
      </c>
      <c r="AR2116">
        <v>2100</v>
      </c>
      <c r="AS2116" t="s">
        <v>919</v>
      </c>
      <c r="AT2116" t="s">
        <v>58</v>
      </c>
    </row>
    <row r="2117" ht="29" spans="1:46">
      <c r="A2117" s="31" t="s">
        <v>79</v>
      </c>
      <c r="C2117" t="s">
        <v>2991</v>
      </c>
      <c r="D2117" s="5" t="s">
        <v>57</v>
      </c>
      <c r="E2117">
        <v>2035</v>
      </c>
      <c r="F2117" s="6" t="str">
        <f t="shared" si="266"/>
        <v>*0.94</v>
      </c>
      <c r="H2117" t="s">
        <v>2991</v>
      </c>
      <c r="I2117" s="5" t="s">
        <v>57</v>
      </c>
      <c r="J2117">
        <v>2050</v>
      </c>
      <c r="K2117" s="38" t="str">
        <f t="shared" si="267"/>
        <v>*0.9</v>
      </c>
      <c r="P2117" s="32" t="s">
        <v>2991</v>
      </c>
      <c r="Q2117" s="42" t="s">
        <v>57</v>
      </c>
      <c r="R2117" s="32">
        <v>2035</v>
      </c>
      <c r="S2117" s="43" t="str">
        <f t="shared" si="268"/>
        <v>*0.92</v>
      </c>
      <c r="U2117" s="32" t="s">
        <v>2991</v>
      </c>
      <c r="V2117" s="42" t="s">
        <v>57</v>
      </c>
      <c r="W2117" s="32">
        <v>2050</v>
      </c>
      <c r="X2117" s="43" t="str">
        <f t="shared" si="269"/>
        <v>*0.89</v>
      </c>
      <c r="AC2117" s="33" t="s">
        <v>2991</v>
      </c>
      <c r="AD2117" s="44" t="s">
        <v>57</v>
      </c>
      <c r="AE2117" s="33">
        <v>2035</v>
      </c>
      <c r="AF2117" s="45" t="str">
        <f t="shared" si="270"/>
        <v>*0.89</v>
      </c>
      <c r="AG2117" s="43" t="str">
        <f t="shared" si="264"/>
        <v>REZoning_Sol-Win</v>
      </c>
      <c r="AI2117" s="33" t="s">
        <v>2991</v>
      </c>
      <c r="AJ2117" s="44" t="s">
        <v>57</v>
      </c>
      <c r="AK2117" s="33">
        <v>2050</v>
      </c>
      <c r="AL2117" s="45" t="str">
        <f t="shared" si="271"/>
        <v>*0.84</v>
      </c>
      <c r="AM2117" s="43" t="str">
        <f t="shared" si="265"/>
        <v>REZoning_Sol-Win</v>
      </c>
      <c r="AP2117" t="s">
        <v>2991</v>
      </c>
      <c r="AQ2117" t="s">
        <v>57</v>
      </c>
      <c r="AR2117">
        <v>2100</v>
      </c>
      <c r="AS2117" t="s">
        <v>919</v>
      </c>
      <c r="AT2117" t="s">
        <v>58</v>
      </c>
    </row>
    <row r="2118" ht="29" spans="1:46">
      <c r="A2118" s="31" t="s">
        <v>79</v>
      </c>
      <c r="C2118" t="s">
        <v>2992</v>
      </c>
      <c r="D2118" s="5" t="s">
        <v>57</v>
      </c>
      <c r="E2118">
        <v>2035</v>
      </c>
      <c r="F2118" s="6" t="str">
        <f t="shared" si="266"/>
        <v>*0.94</v>
      </c>
      <c r="H2118" t="s">
        <v>2992</v>
      </c>
      <c r="I2118" s="5" t="s">
        <v>57</v>
      </c>
      <c r="J2118">
        <v>2050</v>
      </c>
      <c r="K2118" s="38" t="str">
        <f t="shared" si="267"/>
        <v>*0.9</v>
      </c>
      <c r="P2118" s="32" t="s">
        <v>2992</v>
      </c>
      <c r="Q2118" s="42" t="s">
        <v>57</v>
      </c>
      <c r="R2118" s="32">
        <v>2035</v>
      </c>
      <c r="S2118" s="43" t="str">
        <f t="shared" si="268"/>
        <v>*0.92</v>
      </c>
      <c r="U2118" s="32" t="s">
        <v>2992</v>
      </c>
      <c r="V2118" s="42" t="s">
        <v>57</v>
      </c>
      <c r="W2118" s="32">
        <v>2050</v>
      </c>
      <c r="X2118" s="43" t="str">
        <f t="shared" si="269"/>
        <v>*0.89</v>
      </c>
      <c r="AC2118" s="33" t="s">
        <v>2992</v>
      </c>
      <c r="AD2118" s="44" t="s">
        <v>57</v>
      </c>
      <c r="AE2118" s="33">
        <v>2035</v>
      </c>
      <c r="AF2118" s="45" t="str">
        <f t="shared" si="270"/>
        <v>*0.89</v>
      </c>
      <c r="AG2118" s="43" t="str">
        <f t="shared" si="264"/>
        <v>REZoning_Sol-Win</v>
      </c>
      <c r="AI2118" s="33" t="s">
        <v>2992</v>
      </c>
      <c r="AJ2118" s="44" t="s">
        <v>57</v>
      </c>
      <c r="AK2118" s="33">
        <v>2050</v>
      </c>
      <c r="AL2118" s="45" t="str">
        <f t="shared" si="271"/>
        <v>*0.84</v>
      </c>
      <c r="AM2118" s="43" t="str">
        <f t="shared" si="265"/>
        <v>REZoning_Sol-Win</v>
      </c>
      <c r="AP2118" t="s">
        <v>2992</v>
      </c>
      <c r="AQ2118" t="s">
        <v>57</v>
      </c>
      <c r="AR2118">
        <v>2100</v>
      </c>
      <c r="AS2118" t="s">
        <v>919</v>
      </c>
      <c r="AT2118" t="s">
        <v>58</v>
      </c>
    </row>
    <row r="2119" ht="29" spans="1:46">
      <c r="A2119" s="31" t="s">
        <v>79</v>
      </c>
      <c r="C2119" t="s">
        <v>2993</v>
      </c>
      <c r="D2119" s="5" t="s">
        <v>57</v>
      </c>
      <c r="E2119">
        <v>2035</v>
      </c>
      <c r="F2119" s="6" t="str">
        <f t="shared" si="266"/>
        <v>*0.94</v>
      </c>
      <c r="H2119" t="s">
        <v>2993</v>
      </c>
      <c r="I2119" s="5" t="s">
        <v>57</v>
      </c>
      <c r="J2119">
        <v>2050</v>
      </c>
      <c r="K2119" s="38" t="str">
        <f t="shared" si="267"/>
        <v>*0.9</v>
      </c>
      <c r="P2119" s="32" t="s">
        <v>2993</v>
      </c>
      <c r="Q2119" s="42" t="s">
        <v>57</v>
      </c>
      <c r="R2119" s="32">
        <v>2035</v>
      </c>
      <c r="S2119" s="43" t="str">
        <f t="shared" si="268"/>
        <v>*0.92</v>
      </c>
      <c r="U2119" s="32" t="s">
        <v>2993</v>
      </c>
      <c r="V2119" s="42" t="s">
        <v>57</v>
      </c>
      <c r="W2119" s="32">
        <v>2050</v>
      </c>
      <c r="X2119" s="43" t="str">
        <f t="shared" si="269"/>
        <v>*0.89</v>
      </c>
      <c r="AC2119" s="33" t="s">
        <v>2993</v>
      </c>
      <c r="AD2119" s="44" t="s">
        <v>57</v>
      </c>
      <c r="AE2119" s="33">
        <v>2035</v>
      </c>
      <c r="AF2119" s="45" t="str">
        <f t="shared" si="270"/>
        <v>*0.89</v>
      </c>
      <c r="AG2119" s="43" t="str">
        <f t="shared" si="264"/>
        <v>REZoning_Sol-Win</v>
      </c>
      <c r="AI2119" s="33" t="s">
        <v>2993</v>
      </c>
      <c r="AJ2119" s="44" t="s">
        <v>57</v>
      </c>
      <c r="AK2119" s="33">
        <v>2050</v>
      </c>
      <c r="AL2119" s="45" t="str">
        <f t="shared" si="271"/>
        <v>*0.84</v>
      </c>
      <c r="AM2119" s="43" t="str">
        <f t="shared" si="265"/>
        <v>REZoning_Sol-Win</v>
      </c>
      <c r="AP2119" t="s">
        <v>2993</v>
      </c>
      <c r="AQ2119" t="s">
        <v>57</v>
      </c>
      <c r="AR2119">
        <v>2100</v>
      </c>
      <c r="AS2119" t="s">
        <v>919</v>
      </c>
      <c r="AT2119" t="s">
        <v>58</v>
      </c>
    </row>
    <row r="2120" ht="29" spans="1:46">
      <c r="A2120" s="31" t="s">
        <v>79</v>
      </c>
      <c r="C2120" t="s">
        <v>2994</v>
      </c>
      <c r="D2120" s="5" t="s">
        <v>57</v>
      </c>
      <c r="E2120">
        <v>2035</v>
      </c>
      <c r="F2120" s="6" t="str">
        <f t="shared" si="266"/>
        <v>*0.94</v>
      </c>
      <c r="H2120" t="s">
        <v>2994</v>
      </c>
      <c r="I2120" s="5" t="s">
        <v>57</v>
      </c>
      <c r="J2120">
        <v>2050</v>
      </c>
      <c r="K2120" s="38" t="str">
        <f t="shared" si="267"/>
        <v>*0.9</v>
      </c>
      <c r="P2120" s="32" t="s">
        <v>2994</v>
      </c>
      <c r="Q2120" s="42" t="s">
        <v>57</v>
      </c>
      <c r="R2120" s="32">
        <v>2035</v>
      </c>
      <c r="S2120" s="43" t="str">
        <f t="shared" si="268"/>
        <v>*0.92</v>
      </c>
      <c r="U2120" s="32" t="s">
        <v>2994</v>
      </c>
      <c r="V2120" s="42" t="s">
        <v>57</v>
      </c>
      <c r="W2120" s="32">
        <v>2050</v>
      </c>
      <c r="X2120" s="43" t="str">
        <f t="shared" si="269"/>
        <v>*0.89</v>
      </c>
      <c r="AC2120" s="33" t="s">
        <v>2994</v>
      </c>
      <c r="AD2120" s="44" t="s">
        <v>57</v>
      </c>
      <c r="AE2120" s="33">
        <v>2035</v>
      </c>
      <c r="AF2120" s="45" t="str">
        <f t="shared" si="270"/>
        <v>*0.89</v>
      </c>
      <c r="AG2120" s="43" t="str">
        <f t="shared" si="264"/>
        <v>REZoning_Sol-Win</v>
      </c>
      <c r="AI2120" s="33" t="s">
        <v>2994</v>
      </c>
      <c r="AJ2120" s="44" t="s">
        <v>57</v>
      </c>
      <c r="AK2120" s="33">
        <v>2050</v>
      </c>
      <c r="AL2120" s="45" t="str">
        <f t="shared" si="271"/>
        <v>*0.84</v>
      </c>
      <c r="AM2120" s="43" t="str">
        <f t="shared" si="265"/>
        <v>REZoning_Sol-Win</v>
      </c>
      <c r="AP2120" t="s">
        <v>2994</v>
      </c>
      <c r="AQ2120" t="s">
        <v>57</v>
      </c>
      <c r="AR2120">
        <v>2100</v>
      </c>
      <c r="AS2120" t="s">
        <v>919</v>
      </c>
      <c r="AT2120" t="s">
        <v>58</v>
      </c>
    </row>
    <row r="2121" ht="29" spans="1:46">
      <c r="A2121" s="31" t="s">
        <v>79</v>
      </c>
      <c r="C2121" t="s">
        <v>2995</v>
      </c>
      <c r="D2121" s="5" t="s">
        <v>57</v>
      </c>
      <c r="E2121">
        <v>2035</v>
      </c>
      <c r="F2121" s="6" t="str">
        <f t="shared" si="266"/>
        <v>*0.94</v>
      </c>
      <c r="H2121" t="s">
        <v>2995</v>
      </c>
      <c r="I2121" s="5" t="s">
        <v>57</v>
      </c>
      <c r="J2121">
        <v>2050</v>
      </c>
      <c r="K2121" s="38" t="str">
        <f t="shared" si="267"/>
        <v>*0.9</v>
      </c>
      <c r="P2121" s="32" t="s">
        <v>2995</v>
      </c>
      <c r="Q2121" s="42" t="s">
        <v>57</v>
      </c>
      <c r="R2121" s="32">
        <v>2035</v>
      </c>
      <c r="S2121" s="43" t="str">
        <f t="shared" si="268"/>
        <v>*0.92</v>
      </c>
      <c r="U2121" s="32" t="s">
        <v>2995</v>
      </c>
      <c r="V2121" s="42" t="s">
        <v>57</v>
      </c>
      <c r="W2121" s="32">
        <v>2050</v>
      </c>
      <c r="X2121" s="43" t="str">
        <f t="shared" si="269"/>
        <v>*0.89</v>
      </c>
      <c r="AC2121" s="33" t="s">
        <v>2995</v>
      </c>
      <c r="AD2121" s="44" t="s">
        <v>57</v>
      </c>
      <c r="AE2121" s="33">
        <v>2035</v>
      </c>
      <c r="AF2121" s="45" t="str">
        <f t="shared" si="270"/>
        <v>*0.89</v>
      </c>
      <c r="AG2121" s="43" t="str">
        <f t="shared" ref="AG2121:AG2184" si="272">AG2120</f>
        <v>REZoning_Sol-Win</v>
      </c>
      <c r="AI2121" s="33" t="s">
        <v>2995</v>
      </c>
      <c r="AJ2121" s="44" t="s">
        <v>57</v>
      </c>
      <c r="AK2121" s="33">
        <v>2050</v>
      </c>
      <c r="AL2121" s="45" t="str">
        <f t="shared" si="271"/>
        <v>*0.84</v>
      </c>
      <c r="AM2121" s="43" t="str">
        <f t="shared" si="265"/>
        <v>REZoning_Sol-Win</v>
      </c>
      <c r="AP2121" t="s">
        <v>2995</v>
      </c>
      <c r="AQ2121" t="s">
        <v>57</v>
      </c>
      <c r="AR2121">
        <v>2100</v>
      </c>
      <c r="AS2121" t="s">
        <v>919</v>
      </c>
      <c r="AT2121" t="s">
        <v>58</v>
      </c>
    </row>
    <row r="2122" ht="29" spans="1:46">
      <c r="A2122" s="31" t="s">
        <v>79</v>
      </c>
      <c r="C2122" t="s">
        <v>2996</v>
      </c>
      <c r="D2122" s="5" t="s">
        <v>57</v>
      </c>
      <c r="E2122">
        <v>2035</v>
      </c>
      <c r="F2122" s="6" t="str">
        <f t="shared" si="266"/>
        <v>*0.94</v>
      </c>
      <c r="H2122" t="s">
        <v>2996</v>
      </c>
      <c r="I2122" s="5" t="s">
        <v>57</v>
      </c>
      <c r="J2122">
        <v>2050</v>
      </c>
      <c r="K2122" s="38" t="str">
        <f t="shared" si="267"/>
        <v>*0.9</v>
      </c>
      <c r="P2122" s="32" t="s">
        <v>2996</v>
      </c>
      <c r="Q2122" s="42" t="s">
        <v>57</v>
      </c>
      <c r="R2122" s="32">
        <v>2035</v>
      </c>
      <c r="S2122" s="43" t="str">
        <f t="shared" si="268"/>
        <v>*0.92</v>
      </c>
      <c r="U2122" s="32" t="s">
        <v>2996</v>
      </c>
      <c r="V2122" s="42" t="s">
        <v>57</v>
      </c>
      <c r="W2122" s="32">
        <v>2050</v>
      </c>
      <c r="X2122" s="43" t="str">
        <f t="shared" si="269"/>
        <v>*0.89</v>
      </c>
      <c r="AC2122" s="33" t="s">
        <v>2996</v>
      </c>
      <c r="AD2122" s="44" t="s">
        <v>57</v>
      </c>
      <c r="AE2122" s="33">
        <v>2035</v>
      </c>
      <c r="AF2122" s="45" t="str">
        <f t="shared" si="270"/>
        <v>*0.89</v>
      </c>
      <c r="AG2122" s="43" t="str">
        <f t="shared" si="272"/>
        <v>REZoning_Sol-Win</v>
      </c>
      <c r="AI2122" s="33" t="s">
        <v>2996</v>
      </c>
      <c r="AJ2122" s="44" t="s">
        <v>57</v>
      </c>
      <c r="AK2122" s="33">
        <v>2050</v>
      </c>
      <c r="AL2122" s="45" t="str">
        <f t="shared" si="271"/>
        <v>*0.84</v>
      </c>
      <c r="AM2122" s="43" t="str">
        <f t="shared" ref="AM2122:AM2185" si="273">AM2121</f>
        <v>REZoning_Sol-Win</v>
      </c>
      <c r="AP2122" t="s">
        <v>2996</v>
      </c>
      <c r="AQ2122" t="s">
        <v>57</v>
      </c>
      <c r="AR2122">
        <v>2100</v>
      </c>
      <c r="AS2122" t="s">
        <v>919</v>
      </c>
      <c r="AT2122" t="s">
        <v>58</v>
      </c>
    </row>
    <row r="2123" ht="29" spans="1:46">
      <c r="A2123" s="31" t="s">
        <v>79</v>
      </c>
      <c r="C2123" t="s">
        <v>2997</v>
      </c>
      <c r="D2123" s="5" t="s">
        <v>57</v>
      </c>
      <c r="E2123">
        <v>2035</v>
      </c>
      <c r="F2123" s="6" t="str">
        <f t="shared" si="266"/>
        <v>*0.94</v>
      </c>
      <c r="H2123" t="s">
        <v>2997</v>
      </c>
      <c r="I2123" s="5" t="s">
        <v>57</v>
      </c>
      <c r="J2123">
        <v>2050</v>
      </c>
      <c r="K2123" s="38" t="str">
        <f t="shared" si="267"/>
        <v>*0.9</v>
      </c>
      <c r="P2123" s="32" t="s">
        <v>2997</v>
      </c>
      <c r="Q2123" s="42" t="s">
        <v>57</v>
      </c>
      <c r="R2123" s="32">
        <v>2035</v>
      </c>
      <c r="S2123" s="43" t="str">
        <f t="shared" si="268"/>
        <v>*0.92</v>
      </c>
      <c r="U2123" s="32" t="s">
        <v>2997</v>
      </c>
      <c r="V2123" s="42" t="s">
        <v>57</v>
      </c>
      <c r="W2123" s="32">
        <v>2050</v>
      </c>
      <c r="X2123" s="43" t="str">
        <f t="shared" si="269"/>
        <v>*0.89</v>
      </c>
      <c r="AC2123" s="33" t="s">
        <v>2997</v>
      </c>
      <c r="AD2123" s="44" t="s">
        <v>57</v>
      </c>
      <c r="AE2123" s="33">
        <v>2035</v>
      </c>
      <c r="AF2123" s="45" t="str">
        <f t="shared" si="270"/>
        <v>*0.89</v>
      </c>
      <c r="AG2123" s="43" t="str">
        <f t="shared" si="272"/>
        <v>REZoning_Sol-Win</v>
      </c>
      <c r="AI2123" s="33" t="s">
        <v>2997</v>
      </c>
      <c r="AJ2123" s="44" t="s">
        <v>57</v>
      </c>
      <c r="AK2123" s="33">
        <v>2050</v>
      </c>
      <c r="AL2123" s="45" t="str">
        <f t="shared" si="271"/>
        <v>*0.84</v>
      </c>
      <c r="AM2123" s="43" t="str">
        <f t="shared" si="273"/>
        <v>REZoning_Sol-Win</v>
      </c>
      <c r="AP2123" t="s">
        <v>2997</v>
      </c>
      <c r="AQ2123" t="s">
        <v>57</v>
      </c>
      <c r="AR2123">
        <v>2100</v>
      </c>
      <c r="AS2123" t="s">
        <v>919</v>
      </c>
      <c r="AT2123" t="s">
        <v>58</v>
      </c>
    </row>
    <row r="2124" ht="29" spans="1:46">
      <c r="A2124" s="31" t="s">
        <v>79</v>
      </c>
      <c r="C2124" t="s">
        <v>2998</v>
      </c>
      <c r="D2124" s="5" t="s">
        <v>57</v>
      </c>
      <c r="E2124">
        <v>2035</v>
      </c>
      <c r="F2124" s="6" t="str">
        <f t="shared" si="266"/>
        <v>*0.94</v>
      </c>
      <c r="H2124" t="s">
        <v>2998</v>
      </c>
      <c r="I2124" s="5" t="s">
        <v>57</v>
      </c>
      <c r="J2124">
        <v>2050</v>
      </c>
      <c r="K2124" s="38" t="str">
        <f t="shared" si="267"/>
        <v>*0.9</v>
      </c>
      <c r="P2124" s="32" t="s">
        <v>2998</v>
      </c>
      <c r="Q2124" s="42" t="s">
        <v>57</v>
      </c>
      <c r="R2124" s="32">
        <v>2035</v>
      </c>
      <c r="S2124" s="43" t="str">
        <f t="shared" si="268"/>
        <v>*0.92</v>
      </c>
      <c r="U2124" s="32" t="s">
        <v>2998</v>
      </c>
      <c r="V2124" s="42" t="s">
        <v>57</v>
      </c>
      <c r="W2124" s="32">
        <v>2050</v>
      </c>
      <c r="X2124" s="43" t="str">
        <f t="shared" si="269"/>
        <v>*0.89</v>
      </c>
      <c r="AC2124" s="33" t="s">
        <v>2998</v>
      </c>
      <c r="AD2124" s="44" t="s">
        <v>57</v>
      </c>
      <c r="AE2124" s="33">
        <v>2035</v>
      </c>
      <c r="AF2124" s="45" t="str">
        <f t="shared" si="270"/>
        <v>*0.89</v>
      </c>
      <c r="AG2124" s="43" t="str">
        <f t="shared" si="272"/>
        <v>REZoning_Sol-Win</v>
      </c>
      <c r="AI2124" s="33" t="s">
        <v>2998</v>
      </c>
      <c r="AJ2124" s="44" t="s">
        <v>57</v>
      </c>
      <c r="AK2124" s="33">
        <v>2050</v>
      </c>
      <c r="AL2124" s="45" t="str">
        <f t="shared" si="271"/>
        <v>*0.84</v>
      </c>
      <c r="AM2124" s="43" t="str">
        <f t="shared" si="273"/>
        <v>REZoning_Sol-Win</v>
      </c>
      <c r="AP2124" t="s">
        <v>2998</v>
      </c>
      <c r="AQ2124" t="s">
        <v>57</v>
      </c>
      <c r="AR2124">
        <v>2100</v>
      </c>
      <c r="AS2124" t="s">
        <v>919</v>
      </c>
      <c r="AT2124" t="s">
        <v>58</v>
      </c>
    </row>
    <row r="2125" ht="29" spans="1:46">
      <c r="A2125" s="31" t="s">
        <v>79</v>
      </c>
      <c r="C2125" t="s">
        <v>2999</v>
      </c>
      <c r="D2125" s="5" t="s">
        <v>57</v>
      </c>
      <c r="E2125">
        <v>2035</v>
      </c>
      <c r="F2125" s="6" t="str">
        <f t="shared" si="266"/>
        <v>*0.94</v>
      </c>
      <c r="H2125" t="s">
        <v>2999</v>
      </c>
      <c r="I2125" s="5" t="s">
        <v>57</v>
      </c>
      <c r="J2125">
        <v>2050</v>
      </c>
      <c r="K2125" s="38" t="str">
        <f t="shared" si="267"/>
        <v>*0.9</v>
      </c>
      <c r="P2125" s="32" t="s">
        <v>2999</v>
      </c>
      <c r="Q2125" s="42" t="s">
        <v>57</v>
      </c>
      <c r="R2125" s="32">
        <v>2035</v>
      </c>
      <c r="S2125" s="43" t="str">
        <f t="shared" si="268"/>
        <v>*0.92</v>
      </c>
      <c r="U2125" s="32" t="s">
        <v>2999</v>
      </c>
      <c r="V2125" s="42" t="s">
        <v>57</v>
      </c>
      <c r="W2125" s="32">
        <v>2050</v>
      </c>
      <c r="X2125" s="43" t="str">
        <f t="shared" si="269"/>
        <v>*0.89</v>
      </c>
      <c r="AC2125" s="33" t="s">
        <v>2999</v>
      </c>
      <c r="AD2125" s="44" t="s">
        <v>57</v>
      </c>
      <c r="AE2125" s="33">
        <v>2035</v>
      </c>
      <c r="AF2125" s="45" t="str">
        <f t="shared" si="270"/>
        <v>*0.89</v>
      </c>
      <c r="AG2125" s="43" t="str">
        <f t="shared" si="272"/>
        <v>REZoning_Sol-Win</v>
      </c>
      <c r="AI2125" s="33" t="s">
        <v>2999</v>
      </c>
      <c r="AJ2125" s="44" t="s">
        <v>57</v>
      </c>
      <c r="AK2125" s="33">
        <v>2050</v>
      </c>
      <c r="AL2125" s="45" t="str">
        <f t="shared" si="271"/>
        <v>*0.84</v>
      </c>
      <c r="AM2125" s="43" t="str">
        <f t="shared" si="273"/>
        <v>REZoning_Sol-Win</v>
      </c>
      <c r="AP2125" t="s">
        <v>2999</v>
      </c>
      <c r="AQ2125" t="s">
        <v>57</v>
      </c>
      <c r="AR2125">
        <v>2100</v>
      </c>
      <c r="AS2125" t="s">
        <v>919</v>
      </c>
      <c r="AT2125" t="s">
        <v>58</v>
      </c>
    </row>
    <row r="2126" ht="29" spans="1:46">
      <c r="A2126" s="31" t="s">
        <v>79</v>
      </c>
      <c r="C2126" t="s">
        <v>3000</v>
      </c>
      <c r="D2126" s="5" t="s">
        <v>57</v>
      </c>
      <c r="E2126">
        <v>2035</v>
      </c>
      <c r="F2126" s="6" t="str">
        <f t="shared" si="266"/>
        <v>*0.94</v>
      </c>
      <c r="H2126" t="s">
        <v>3000</v>
      </c>
      <c r="I2126" s="5" t="s">
        <v>57</v>
      </c>
      <c r="J2126">
        <v>2050</v>
      </c>
      <c r="K2126" s="38" t="str">
        <f t="shared" si="267"/>
        <v>*0.9</v>
      </c>
      <c r="P2126" s="32" t="s">
        <v>3000</v>
      </c>
      <c r="Q2126" s="42" t="s">
        <v>57</v>
      </c>
      <c r="R2126" s="32">
        <v>2035</v>
      </c>
      <c r="S2126" s="43" t="str">
        <f t="shared" si="268"/>
        <v>*0.92</v>
      </c>
      <c r="U2126" s="32" t="s">
        <v>3000</v>
      </c>
      <c r="V2126" s="42" t="s">
        <v>57</v>
      </c>
      <c r="W2126" s="32">
        <v>2050</v>
      </c>
      <c r="X2126" s="43" t="str">
        <f t="shared" si="269"/>
        <v>*0.89</v>
      </c>
      <c r="AC2126" s="33" t="s">
        <v>3000</v>
      </c>
      <c r="AD2126" s="44" t="s">
        <v>57</v>
      </c>
      <c r="AE2126" s="33">
        <v>2035</v>
      </c>
      <c r="AF2126" s="45" t="str">
        <f t="shared" si="270"/>
        <v>*0.89</v>
      </c>
      <c r="AG2126" s="43" t="str">
        <f t="shared" si="272"/>
        <v>REZoning_Sol-Win</v>
      </c>
      <c r="AI2126" s="33" t="s">
        <v>3000</v>
      </c>
      <c r="AJ2126" s="44" t="s">
        <v>57</v>
      </c>
      <c r="AK2126" s="33">
        <v>2050</v>
      </c>
      <c r="AL2126" s="45" t="str">
        <f t="shared" si="271"/>
        <v>*0.84</v>
      </c>
      <c r="AM2126" s="43" t="str">
        <f t="shared" si="273"/>
        <v>REZoning_Sol-Win</v>
      </c>
      <c r="AP2126" t="s">
        <v>3000</v>
      </c>
      <c r="AQ2126" t="s">
        <v>57</v>
      </c>
      <c r="AR2126">
        <v>2100</v>
      </c>
      <c r="AS2126" t="s">
        <v>919</v>
      </c>
      <c r="AT2126" t="s">
        <v>58</v>
      </c>
    </row>
    <row r="2127" ht="29" spans="1:46">
      <c r="A2127" s="31" t="s">
        <v>79</v>
      </c>
      <c r="C2127" t="s">
        <v>3001</v>
      </c>
      <c r="D2127" s="5" t="s">
        <v>57</v>
      </c>
      <c r="E2127">
        <v>2035</v>
      </c>
      <c r="F2127" s="6" t="str">
        <f t="shared" si="266"/>
        <v>*0.94</v>
      </c>
      <c r="H2127" t="s">
        <v>3001</v>
      </c>
      <c r="I2127" s="5" t="s">
        <v>57</v>
      </c>
      <c r="J2127">
        <v>2050</v>
      </c>
      <c r="K2127" s="38" t="str">
        <f t="shared" si="267"/>
        <v>*0.9</v>
      </c>
      <c r="P2127" s="32" t="s">
        <v>3001</v>
      </c>
      <c r="Q2127" s="42" t="s">
        <v>57</v>
      </c>
      <c r="R2127" s="32">
        <v>2035</v>
      </c>
      <c r="S2127" s="43" t="str">
        <f t="shared" si="268"/>
        <v>*0.92</v>
      </c>
      <c r="U2127" s="32" t="s">
        <v>3001</v>
      </c>
      <c r="V2127" s="42" t="s">
        <v>57</v>
      </c>
      <c r="W2127" s="32">
        <v>2050</v>
      </c>
      <c r="X2127" s="43" t="str">
        <f t="shared" si="269"/>
        <v>*0.89</v>
      </c>
      <c r="AC2127" s="33" t="s">
        <v>3001</v>
      </c>
      <c r="AD2127" s="44" t="s">
        <v>57</v>
      </c>
      <c r="AE2127" s="33">
        <v>2035</v>
      </c>
      <c r="AF2127" s="45" t="str">
        <f t="shared" si="270"/>
        <v>*0.89</v>
      </c>
      <c r="AG2127" s="43" t="str">
        <f t="shared" si="272"/>
        <v>REZoning_Sol-Win</v>
      </c>
      <c r="AI2127" s="33" t="s">
        <v>3001</v>
      </c>
      <c r="AJ2127" s="44" t="s">
        <v>57</v>
      </c>
      <c r="AK2127" s="33">
        <v>2050</v>
      </c>
      <c r="AL2127" s="45" t="str">
        <f t="shared" si="271"/>
        <v>*0.84</v>
      </c>
      <c r="AM2127" s="43" t="str">
        <f t="shared" si="273"/>
        <v>REZoning_Sol-Win</v>
      </c>
      <c r="AP2127" t="s">
        <v>3001</v>
      </c>
      <c r="AQ2127" t="s">
        <v>57</v>
      </c>
      <c r="AR2127">
        <v>2100</v>
      </c>
      <c r="AS2127" t="s">
        <v>919</v>
      </c>
      <c r="AT2127" t="s">
        <v>58</v>
      </c>
    </row>
    <row r="2128" ht="29" spans="1:46">
      <c r="A2128" s="31" t="s">
        <v>79</v>
      </c>
      <c r="C2128" t="s">
        <v>3002</v>
      </c>
      <c r="D2128" s="5" t="s">
        <v>57</v>
      </c>
      <c r="E2128">
        <v>2035</v>
      </c>
      <c r="F2128" s="6" t="str">
        <f t="shared" si="266"/>
        <v>*0.94</v>
      </c>
      <c r="H2128" t="s">
        <v>3002</v>
      </c>
      <c r="I2128" s="5" t="s">
        <v>57</v>
      </c>
      <c r="J2128">
        <v>2050</v>
      </c>
      <c r="K2128" s="38" t="str">
        <f t="shared" si="267"/>
        <v>*0.9</v>
      </c>
      <c r="P2128" s="32" t="s">
        <v>3002</v>
      </c>
      <c r="Q2128" s="42" t="s">
        <v>57</v>
      </c>
      <c r="R2128" s="32">
        <v>2035</v>
      </c>
      <c r="S2128" s="43" t="str">
        <f t="shared" si="268"/>
        <v>*0.92</v>
      </c>
      <c r="U2128" s="32" t="s">
        <v>3002</v>
      </c>
      <c r="V2128" s="42" t="s">
        <v>57</v>
      </c>
      <c r="W2128" s="32">
        <v>2050</v>
      </c>
      <c r="X2128" s="43" t="str">
        <f t="shared" si="269"/>
        <v>*0.89</v>
      </c>
      <c r="AC2128" s="33" t="s">
        <v>3002</v>
      </c>
      <c r="AD2128" s="44" t="s">
        <v>57</v>
      </c>
      <c r="AE2128" s="33">
        <v>2035</v>
      </c>
      <c r="AF2128" s="45" t="str">
        <f t="shared" si="270"/>
        <v>*0.89</v>
      </c>
      <c r="AG2128" s="43" t="str">
        <f t="shared" si="272"/>
        <v>REZoning_Sol-Win</v>
      </c>
      <c r="AI2128" s="33" t="s">
        <v>3002</v>
      </c>
      <c r="AJ2128" s="44" t="s">
        <v>57</v>
      </c>
      <c r="AK2128" s="33">
        <v>2050</v>
      </c>
      <c r="AL2128" s="45" t="str">
        <f t="shared" si="271"/>
        <v>*0.84</v>
      </c>
      <c r="AM2128" s="43" t="str">
        <f t="shared" si="273"/>
        <v>REZoning_Sol-Win</v>
      </c>
      <c r="AP2128" t="s">
        <v>3002</v>
      </c>
      <c r="AQ2128" t="s">
        <v>57</v>
      </c>
      <c r="AR2128">
        <v>2100</v>
      </c>
      <c r="AS2128" t="s">
        <v>919</v>
      </c>
      <c r="AT2128" t="s">
        <v>58</v>
      </c>
    </row>
    <row r="2129" ht="29" spans="1:46">
      <c r="A2129" s="31" t="s">
        <v>79</v>
      </c>
      <c r="C2129" t="s">
        <v>3003</v>
      </c>
      <c r="D2129" s="5" t="s">
        <v>57</v>
      </c>
      <c r="E2129">
        <v>2035</v>
      </c>
      <c r="F2129" s="6" t="str">
        <f t="shared" si="266"/>
        <v>*0.94</v>
      </c>
      <c r="H2129" t="s">
        <v>3003</v>
      </c>
      <c r="I2129" s="5" t="s">
        <v>57</v>
      </c>
      <c r="J2129">
        <v>2050</v>
      </c>
      <c r="K2129" s="38" t="str">
        <f t="shared" si="267"/>
        <v>*0.9</v>
      </c>
      <c r="P2129" s="32" t="s">
        <v>3003</v>
      </c>
      <c r="Q2129" s="42" t="s">
        <v>57</v>
      </c>
      <c r="R2129" s="32">
        <v>2035</v>
      </c>
      <c r="S2129" s="43" t="str">
        <f t="shared" si="268"/>
        <v>*0.92</v>
      </c>
      <c r="U2129" s="32" t="s">
        <v>3003</v>
      </c>
      <c r="V2129" s="42" t="s">
        <v>57</v>
      </c>
      <c r="W2129" s="32">
        <v>2050</v>
      </c>
      <c r="X2129" s="43" t="str">
        <f t="shared" si="269"/>
        <v>*0.89</v>
      </c>
      <c r="AC2129" s="33" t="s">
        <v>3003</v>
      </c>
      <c r="AD2129" s="44" t="s">
        <v>57</v>
      </c>
      <c r="AE2129" s="33">
        <v>2035</v>
      </c>
      <c r="AF2129" s="45" t="str">
        <f t="shared" si="270"/>
        <v>*0.89</v>
      </c>
      <c r="AG2129" s="43" t="str">
        <f t="shared" si="272"/>
        <v>REZoning_Sol-Win</v>
      </c>
      <c r="AI2129" s="33" t="s">
        <v>3003</v>
      </c>
      <c r="AJ2129" s="44" t="s">
        <v>57</v>
      </c>
      <c r="AK2129" s="33">
        <v>2050</v>
      </c>
      <c r="AL2129" s="45" t="str">
        <f t="shared" si="271"/>
        <v>*0.84</v>
      </c>
      <c r="AM2129" s="43" t="str">
        <f t="shared" si="273"/>
        <v>REZoning_Sol-Win</v>
      </c>
      <c r="AP2129" t="s">
        <v>3003</v>
      </c>
      <c r="AQ2129" t="s">
        <v>57</v>
      </c>
      <c r="AR2129">
        <v>2100</v>
      </c>
      <c r="AS2129" t="s">
        <v>919</v>
      </c>
      <c r="AT2129" t="s">
        <v>58</v>
      </c>
    </row>
    <row r="2130" ht="29" spans="1:46">
      <c r="A2130" s="31" t="s">
        <v>79</v>
      </c>
      <c r="C2130" t="s">
        <v>3004</v>
      </c>
      <c r="D2130" s="5" t="s">
        <v>57</v>
      </c>
      <c r="E2130">
        <v>2035</v>
      </c>
      <c r="F2130" s="6" t="str">
        <f t="shared" si="266"/>
        <v>*0.94</v>
      </c>
      <c r="H2130" t="s">
        <v>3004</v>
      </c>
      <c r="I2130" s="5" t="s">
        <v>57</v>
      </c>
      <c r="J2130">
        <v>2050</v>
      </c>
      <c r="K2130" s="38" t="str">
        <f t="shared" si="267"/>
        <v>*0.9</v>
      </c>
      <c r="P2130" s="32" t="s">
        <v>3004</v>
      </c>
      <c r="Q2130" s="42" t="s">
        <v>57</v>
      </c>
      <c r="R2130" s="32">
        <v>2035</v>
      </c>
      <c r="S2130" s="43" t="str">
        <f t="shared" si="268"/>
        <v>*0.92</v>
      </c>
      <c r="U2130" s="32" t="s">
        <v>3004</v>
      </c>
      <c r="V2130" s="42" t="s">
        <v>57</v>
      </c>
      <c r="W2130" s="32">
        <v>2050</v>
      </c>
      <c r="X2130" s="43" t="str">
        <f t="shared" si="269"/>
        <v>*0.89</v>
      </c>
      <c r="AC2130" s="33" t="s">
        <v>3004</v>
      </c>
      <c r="AD2130" s="44" t="s">
        <v>57</v>
      </c>
      <c r="AE2130" s="33">
        <v>2035</v>
      </c>
      <c r="AF2130" s="45" t="str">
        <f t="shared" si="270"/>
        <v>*0.89</v>
      </c>
      <c r="AG2130" s="43" t="str">
        <f t="shared" si="272"/>
        <v>REZoning_Sol-Win</v>
      </c>
      <c r="AI2130" s="33" t="s">
        <v>3004</v>
      </c>
      <c r="AJ2130" s="44" t="s">
        <v>57</v>
      </c>
      <c r="AK2130" s="33">
        <v>2050</v>
      </c>
      <c r="AL2130" s="45" t="str">
        <f t="shared" si="271"/>
        <v>*0.84</v>
      </c>
      <c r="AM2130" s="43" t="str">
        <f t="shared" si="273"/>
        <v>REZoning_Sol-Win</v>
      </c>
      <c r="AP2130" t="s">
        <v>3004</v>
      </c>
      <c r="AQ2130" t="s">
        <v>57</v>
      </c>
      <c r="AR2130">
        <v>2100</v>
      </c>
      <c r="AS2130" t="s">
        <v>919</v>
      </c>
      <c r="AT2130" t="s">
        <v>58</v>
      </c>
    </row>
    <row r="2131" ht="29" spans="1:46">
      <c r="A2131" s="31" t="s">
        <v>79</v>
      </c>
      <c r="C2131" t="s">
        <v>3005</v>
      </c>
      <c r="D2131" s="5" t="s">
        <v>57</v>
      </c>
      <c r="E2131">
        <v>2035</v>
      </c>
      <c r="F2131" s="6" t="str">
        <f t="shared" si="266"/>
        <v>*0.94</v>
      </c>
      <c r="H2131" t="s">
        <v>3005</v>
      </c>
      <c r="I2131" s="5" t="s">
        <v>57</v>
      </c>
      <c r="J2131">
        <v>2050</v>
      </c>
      <c r="K2131" s="38" t="str">
        <f t="shared" si="267"/>
        <v>*0.9</v>
      </c>
      <c r="P2131" s="32" t="s">
        <v>3005</v>
      </c>
      <c r="Q2131" s="42" t="s">
        <v>57</v>
      </c>
      <c r="R2131" s="32">
        <v>2035</v>
      </c>
      <c r="S2131" s="43" t="str">
        <f t="shared" si="268"/>
        <v>*0.92</v>
      </c>
      <c r="U2131" s="32" t="s">
        <v>3005</v>
      </c>
      <c r="V2131" s="42" t="s">
        <v>57</v>
      </c>
      <c r="W2131" s="32">
        <v>2050</v>
      </c>
      <c r="X2131" s="43" t="str">
        <f t="shared" si="269"/>
        <v>*0.89</v>
      </c>
      <c r="AC2131" s="33" t="s">
        <v>3005</v>
      </c>
      <c r="AD2131" s="44" t="s">
        <v>57</v>
      </c>
      <c r="AE2131" s="33">
        <v>2035</v>
      </c>
      <c r="AF2131" s="45" t="str">
        <f t="shared" si="270"/>
        <v>*0.89</v>
      </c>
      <c r="AG2131" s="43" t="str">
        <f t="shared" si="272"/>
        <v>REZoning_Sol-Win</v>
      </c>
      <c r="AI2131" s="33" t="s">
        <v>3005</v>
      </c>
      <c r="AJ2131" s="44" t="s">
        <v>57</v>
      </c>
      <c r="AK2131" s="33">
        <v>2050</v>
      </c>
      <c r="AL2131" s="45" t="str">
        <f t="shared" si="271"/>
        <v>*0.84</v>
      </c>
      <c r="AM2131" s="43" t="str">
        <f t="shared" si="273"/>
        <v>REZoning_Sol-Win</v>
      </c>
      <c r="AP2131" t="s">
        <v>3005</v>
      </c>
      <c r="AQ2131" t="s">
        <v>57</v>
      </c>
      <c r="AR2131">
        <v>2100</v>
      </c>
      <c r="AS2131" t="s">
        <v>919</v>
      </c>
      <c r="AT2131" t="s">
        <v>58</v>
      </c>
    </row>
    <row r="2132" ht="29" spans="1:46">
      <c r="A2132" s="31" t="s">
        <v>79</v>
      </c>
      <c r="C2132" t="s">
        <v>3006</v>
      </c>
      <c r="D2132" s="5" t="s">
        <v>57</v>
      </c>
      <c r="E2132">
        <v>2035</v>
      </c>
      <c r="F2132" s="6" t="str">
        <f t="shared" si="266"/>
        <v>*0.94</v>
      </c>
      <c r="H2132" t="s">
        <v>3006</v>
      </c>
      <c r="I2132" s="5" t="s">
        <v>57</v>
      </c>
      <c r="J2132">
        <v>2050</v>
      </c>
      <c r="K2132" s="38" t="str">
        <f t="shared" si="267"/>
        <v>*0.9</v>
      </c>
      <c r="P2132" s="32" t="s">
        <v>3006</v>
      </c>
      <c r="Q2132" s="42" t="s">
        <v>57</v>
      </c>
      <c r="R2132" s="32">
        <v>2035</v>
      </c>
      <c r="S2132" s="43" t="str">
        <f t="shared" si="268"/>
        <v>*0.92</v>
      </c>
      <c r="U2132" s="32" t="s">
        <v>3006</v>
      </c>
      <c r="V2132" s="42" t="s">
        <v>57</v>
      </c>
      <c r="W2132" s="32">
        <v>2050</v>
      </c>
      <c r="X2132" s="43" t="str">
        <f t="shared" si="269"/>
        <v>*0.89</v>
      </c>
      <c r="AC2132" s="33" t="s">
        <v>3006</v>
      </c>
      <c r="AD2132" s="44" t="s">
        <v>57</v>
      </c>
      <c r="AE2132" s="33">
        <v>2035</v>
      </c>
      <c r="AF2132" s="45" t="str">
        <f t="shared" si="270"/>
        <v>*0.89</v>
      </c>
      <c r="AG2132" s="43" t="str">
        <f t="shared" si="272"/>
        <v>REZoning_Sol-Win</v>
      </c>
      <c r="AI2132" s="33" t="s">
        <v>3006</v>
      </c>
      <c r="AJ2132" s="44" t="s">
        <v>57</v>
      </c>
      <c r="AK2132" s="33">
        <v>2050</v>
      </c>
      <c r="AL2132" s="45" t="str">
        <f t="shared" si="271"/>
        <v>*0.84</v>
      </c>
      <c r="AM2132" s="43" t="str">
        <f t="shared" si="273"/>
        <v>REZoning_Sol-Win</v>
      </c>
      <c r="AP2132" t="s">
        <v>3006</v>
      </c>
      <c r="AQ2132" t="s">
        <v>57</v>
      </c>
      <c r="AR2132">
        <v>2100</v>
      </c>
      <c r="AS2132" t="s">
        <v>919</v>
      </c>
      <c r="AT2132" t="s">
        <v>58</v>
      </c>
    </row>
    <row r="2133" ht="29" spans="1:46">
      <c r="A2133" s="31" t="s">
        <v>79</v>
      </c>
      <c r="C2133" t="s">
        <v>3007</v>
      </c>
      <c r="D2133" s="5" t="s">
        <v>57</v>
      </c>
      <c r="E2133">
        <v>2035</v>
      </c>
      <c r="F2133" s="6" t="str">
        <f t="shared" si="266"/>
        <v>*0.94</v>
      </c>
      <c r="H2133" t="s">
        <v>3007</v>
      </c>
      <c r="I2133" s="5" t="s">
        <v>57</v>
      </c>
      <c r="J2133">
        <v>2050</v>
      </c>
      <c r="K2133" s="38" t="str">
        <f t="shared" si="267"/>
        <v>*0.9</v>
      </c>
      <c r="P2133" s="32" t="s">
        <v>3007</v>
      </c>
      <c r="Q2133" s="42" t="s">
        <v>57</v>
      </c>
      <c r="R2133" s="32">
        <v>2035</v>
      </c>
      <c r="S2133" s="43" t="str">
        <f t="shared" si="268"/>
        <v>*0.92</v>
      </c>
      <c r="U2133" s="32" t="s">
        <v>3007</v>
      </c>
      <c r="V2133" s="42" t="s">
        <v>57</v>
      </c>
      <c r="W2133" s="32">
        <v>2050</v>
      </c>
      <c r="X2133" s="43" t="str">
        <f t="shared" si="269"/>
        <v>*0.89</v>
      </c>
      <c r="AC2133" s="33" t="s">
        <v>3007</v>
      </c>
      <c r="AD2133" s="44" t="s">
        <v>57</v>
      </c>
      <c r="AE2133" s="33">
        <v>2035</v>
      </c>
      <c r="AF2133" s="45" t="str">
        <f t="shared" si="270"/>
        <v>*0.89</v>
      </c>
      <c r="AG2133" s="43" t="str">
        <f t="shared" si="272"/>
        <v>REZoning_Sol-Win</v>
      </c>
      <c r="AI2133" s="33" t="s">
        <v>3007</v>
      </c>
      <c r="AJ2133" s="44" t="s">
        <v>57</v>
      </c>
      <c r="AK2133" s="33">
        <v>2050</v>
      </c>
      <c r="AL2133" s="45" t="str">
        <f t="shared" si="271"/>
        <v>*0.84</v>
      </c>
      <c r="AM2133" s="43" t="str">
        <f t="shared" si="273"/>
        <v>REZoning_Sol-Win</v>
      </c>
      <c r="AP2133" t="s">
        <v>3007</v>
      </c>
      <c r="AQ2133" t="s">
        <v>57</v>
      </c>
      <c r="AR2133">
        <v>2100</v>
      </c>
      <c r="AS2133" t="s">
        <v>919</v>
      </c>
      <c r="AT2133" t="s">
        <v>58</v>
      </c>
    </row>
    <row r="2134" ht="29" spans="1:46">
      <c r="A2134" s="31" t="s">
        <v>79</v>
      </c>
      <c r="C2134" t="s">
        <v>3008</v>
      </c>
      <c r="D2134" s="5" t="s">
        <v>57</v>
      </c>
      <c r="E2134">
        <v>2035</v>
      </c>
      <c r="F2134" s="6" t="str">
        <f t="shared" si="266"/>
        <v>*0.94</v>
      </c>
      <c r="H2134" t="s">
        <v>3008</v>
      </c>
      <c r="I2134" s="5" t="s">
        <v>57</v>
      </c>
      <c r="J2134">
        <v>2050</v>
      </c>
      <c r="K2134" s="38" t="str">
        <f t="shared" si="267"/>
        <v>*0.9</v>
      </c>
      <c r="P2134" s="32" t="s">
        <v>3008</v>
      </c>
      <c r="Q2134" s="42" t="s">
        <v>57</v>
      </c>
      <c r="R2134" s="32">
        <v>2035</v>
      </c>
      <c r="S2134" s="43" t="str">
        <f t="shared" si="268"/>
        <v>*0.92</v>
      </c>
      <c r="U2134" s="32" t="s">
        <v>3008</v>
      </c>
      <c r="V2134" s="42" t="s">
        <v>57</v>
      </c>
      <c r="W2134" s="32">
        <v>2050</v>
      </c>
      <c r="X2134" s="43" t="str">
        <f t="shared" si="269"/>
        <v>*0.89</v>
      </c>
      <c r="AC2134" s="33" t="s">
        <v>3008</v>
      </c>
      <c r="AD2134" s="44" t="s">
        <v>57</v>
      </c>
      <c r="AE2134" s="33">
        <v>2035</v>
      </c>
      <c r="AF2134" s="45" t="str">
        <f t="shared" si="270"/>
        <v>*0.89</v>
      </c>
      <c r="AG2134" s="43" t="str">
        <f t="shared" si="272"/>
        <v>REZoning_Sol-Win</v>
      </c>
      <c r="AI2134" s="33" t="s">
        <v>3008</v>
      </c>
      <c r="AJ2134" s="44" t="s">
        <v>57</v>
      </c>
      <c r="AK2134" s="33">
        <v>2050</v>
      </c>
      <c r="AL2134" s="45" t="str">
        <f t="shared" si="271"/>
        <v>*0.84</v>
      </c>
      <c r="AM2134" s="43" t="str">
        <f t="shared" si="273"/>
        <v>REZoning_Sol-Win</v>
      </c>
      <c r="AP2134" t="s">
        <v>3008</v>
      </c>
      <c r="AQ2134" t="s">
        <v>57</v>
      </c>
      <c r="AR2134">
        <v>2100</v>
      </c>
      <c r="AS2134" t="s">
        <v>919</v>
      </c>
      <c r="AT2134" t="s">
        <v>58</v>
      </c>
    </row>
    <row r="2135" ht="29" spans="1:46">
      <c r="A2135" s="31" t="s">
        <v>79</v>
      </c>
      <c r="C2135" t="s">
        <v>3009</v>
      </c>
      <c r="D2135" s="5" t="s">
        <v>57</v>
      </c>
      <c r="E2135">
        <v>2035</v>
      </c>
      <c r="F2135" s="6" t="str">
        <f t="shared" si="266"/>
        <v>*0.94</v>
      </c>
      <c r="H2135" t="s">
        <v>3009</v>
      </c>
      <c r="I2135" s="5" t="s">
        <v>57</v>
      </c>
      <c r="J2135">
        <v>2050</v>
      </c>
      <c r="K2135" s="38" t="str">
        <f t="shared" si="267"/>
        <v>*0.9</v>
      </c>
      <c r="P2135" s="32" t="s">
        <v>3009</v>
      </c>
      <c r="Q2135" s="42" t="s">
        <v>57</v>
      </c>
      <c r="R2135" s="32">
        <v>2035</v>
      </c>
      <c r="S2135" s="43" t="str">
        <f t="shared" si="268"/>
        <v>*0.92</v>
      </c>
      <c r="U2135" s="32" t="s">
        <v>3009</v>
      </c>
      <c r="V2135" s="42" t="s">
        <v>57</v>
      </c>
      <c r="W2135" s="32">
        <v>2050</v>
      </c>
      <c r="X2135" s="43" t="str">
        <f t="shared" si="269"/>
        <v>*0.89</v>
      </c>
      <c r="AC2135" s="33" t="s">
        <v>3009</v>
      </c>
      <c r="AD2135" s="44" t="s">
        <v>57</v>
      </c>
      <c r="AE2135" s="33">
        <v>2035</v>
      </c>
      <c r="AF2135" s="45" t="str">
        <f t="shared" si="270"/>
        <v>*0.89</v>
      </c>
      <c r="AG2135" s="43" t="str">
        <f t="shared" si="272"/>
        <v>REZoning_Sol-Win</v>
      </c>
      <c r="AI2135" s="33" t="s">
        <v>3009</v>
      </c>
      <c r="AJ2135" s="44" t="s">
        <v>57</v>
      </c>
      <c r="AK2135" s="33">
        <v>2050</v>
      </c>
      <c r="AL2135" s="45" t="str">
        <f t="shared" si="271"/>
        <v>*0.84</v>
      </c>
      <c r="AM2135" s="43" t="str">
        <f t="shared" si="273"/>
        <v>REZoning_Sol-Win</v>
      </c>
      <c r="AP2135" t="s">
        <v>3009</v>
      </c>
      <c r="AQ2135" t="s">
        <v>57</v>
      </c>
      <c r="AR2135">
        <v>2100</v>
      </c>
      <c r="AS2135" t="s">
        <v>919</v>
      </c>
      <c r="AT2135" t="s">
        <v>58</v>
      </c>
    </row>
    <row r="2136" ht="29" spans="1:46">
      <c r="A2136" s="31" t="s">
        <v>79</v>
      </c>
      <c r="C2136" t="s">
        <v>3010</v>
      </c>
      <c r="D2136" s="5" t="s">
        <v>57</v>
      </c>
      <c r="E2136">
        <v>2035</v>
      </c>
      <c r="F2136" s="6" t="str">
        <f t="shared" si="266"/>
        <v>*0.94</v>
      </c>
      <c r="H2136" t="s">
        <v>3010</v>
      </c>
      <c r="I2136" s="5" t="s">
        <v>57</v>
      </c>
      <c r="J2136">
        <v>2050</v>
      </c>
      <c r="K2136" s="38" t="str">
        <f t="shared" si="267"/>
        <v>*0.9</v>
      </c>
      <c r="P2136" s="32" t="s">
        <v>3010</v>
      </c>
      <c r="Q2136" s="42" t="s">
        <v>57</v>
      </c>
      <c r="R2136" s="32">
        <v>2035</v>
      </c>
      <c r="S2136" s="43" t="str">
        <f t="shared" si="268"/>
        <v>*0.92</v>
      </c>
      <c r="U2136" s="32" t="s">
        <v>3010</v>
      </c>
      <c r="V2136" s="42" t="s">
        <v>57</v>
      </c>
      <c r="W2136" s="32">
        <v>2050</v>
      </c>
      <c r="X2136" s="43" t="str">
        <f t="shared" si="269"/>
        <v>*0.89</v>
      </c>
      <c r="AC2136" s="33" t="s">
        <v>3010</v>
      </c>
      <c r="AD2136" s="44" t="s">
        <v>57</v>
      </c>
      <c r="AE2136" s="33">
        <v>2035</v>
      </c>
      <c r="AF2136" s="45" t="str">
        <f t="shared" si="270"/>
        <v>*0.89</v>
      </c>
      <c r="AG2136" s="43" t="str">
        <f t="shared" si="272"/>
        <v>REZoning_Sol-Win</v>
      </c>
      <c r="AI2136" s="33" t="s">
        <v>3010</v>
      </c>
      <c r="AJ2136" s="44" t="s">
        <v>57</v>
      </c>
      <c r="AK2136" s="33">
        <v>2050</v>
      </c>
      <c r="AL2136" s="45" t="str">
        <f t="shared" si="271"/>
        <v>*0.84</v>
      </c>
      <c r="AM2136" s="43" t="str">
        <f t="shared" si="273"/>
        <v>REZoning_Sol-Win</v>
      </c>
      <c r="AP2136" t="s">
        <v>3010</v>
      </c>
      <c r="AQ2136" t="s">
        <v>57</v>
      </c>
      <c r="AR2136">
        <v>2100</v>
      </c>
      <c r="AS2136" t="s">
        <v>919</v>
      </c>
      <c r="AT2136" t="s">
        <v>58</v>
      </c>
    </row>
    <row r="2137" ht="29" spans="1:46">
      <c r="A2137" s="31" t="s">
        <v>79</v>
      </c>
      <c r="C2137" t="s">
        <v>3011</v>
      </c>
      <c r="D2137" s="5" t="s">
        <v>57</v>
      </c>
      <c r="E2137">
        <v>2035</v>
      </c>
      <c r="F2137" s="6" t="str">
        <f t="shared" si="266"/>
        <v>*0.94</v>
      </c>
      <c r="H2137" t="s">
        <v>3011</v>
      </c>
      <c r="I2137" s="5" t="s">
        <v>57</v>
      </c>
      <c r="J2137">
        <v>2050</v>
      </c>
      <c r="K2137" s="38" t="str">
        <f t="shared" si="267"/>
        <v>*0.9</v>
      </c>
      <c r="P2137" s="32" t="s">
        <v>3011</v>
      </c>
      <c r="Q2137" s="42" t="s">
        <v>57</v>
      </c>
      <c r="R2137" s="32">
        <v>2035</v>
      </c>
      <c r="S2137" s="43" t="str">
        <f t="shared" si="268"/>
        <v>*0.92</v>
      </c>
      <c r="U2137" s="32" t="s">
        <v>3011</v>
      </c>
      <c r="V2137" s="42" t="s">
        <v>57</v>
      </c>
      <c r="W2137" s="32">
        <v>2050</v>
      </c>
      <c r="X2137" s="43" t="str">
        <f t="shared" si="269"/>
        <v>*0.89</v>
      </c>
      <c r="AC2137" s="33" t="s">
        <v>3011</v>
      </c>
      <c r="AD2137" s="44" t="s">
        <v>57</v>
      </c>
      <c r="AE2137" s="33">
        <v>2035</v>
      </c>
      <c r="AF2137" s="45" t="str">
        <f t="shared" si="270"/>
        <v>*0.89</v>
      </c>
      <c r="AG2137" s="43" t="str">
        <f t="shared" si="272"/>
        <v>REZoning_Sol-Win</v>
      </c>
      <c r="AI2137" s="33" t="s">
        <v>3011</v>
      </c>
      <c r="AJ2137" s="44" t="s">
        <v>57</v>
      </c>
      <c r="AK2137" s="33">
        <v>2050</v>
      </c>
      <c r="AL2137" s="45" t="str">
        <f t="shared" si="271"/>
        <v>*0.84</v>
      </c>
      <c r="AM2137" s="43" t="str">
        <f t="shared" si="273"/>
        <v>REZoning_Sol-Win</v>
      </c>
      <c r="AP2137" t="s">
        <v>3011</v>
      </c>
      <c r="AQ2137" t="s">
        <v>57</v>
      </c>
      <c r="AR2137">
        <v>2100</v>
      </c>
      <c r="AS2137" t="s">
        <v>919</v>
      </c>
      <c r="AT2137" t="s">
        <v>58</v>
      </c>
    </row>
    <row r="2138" ht="29" spans="1:46">
      <c r="A2138" s="31" t="s">
        <v>79</v>
      </c>
      <c r="C2138" t="s">
        <v>3012</v>
      </c>
      <c r="D2138" s="5" t="s">
        <v>57</v>
      </c>
      <c r="E2138">
        <v>2035</v>
      </c>
      <c r="F2138" s="6" t="str">
        <f t="shared" si="266"/>
        <v>*0.94</v>
      </c>
      <c r="H2138" t="s">
        <v>3012</v>
      </c>
      <c r="I2138" s="5" t="s">
        <v>57</v>
      </c>
      <c r="J2138">
        <v>2050</v>
      </c>
      <c r="K2138" s="38" t="str">
        <f t="shared" si="267"/>
        <v>*0.9</v>
      </c>
      <c r="P2138" s="32" t="s">
        <v>3012</v>
      </c>
      <c r="Q2138" s="42" t="s">
        <v>57</v>
      </c>
      <c r="R2138" s="32">
        <v>2035</v>
      </c>
      <c r="S2138" s="43" t="str">
        <f t="shared" si="268"/>
        <v>*0.92</v>
      </c>
      <c r="U2138" s="32" t="s">
        <v>3012</v>
      </c>
      <c r="V2138" s="42" t="s">
        <v>57</v>
      </c>
      <c r="W2138" s="32">
        <v>2050</v>
      </c>
      <c r="X2138" s="43" t="str">
        <f t="shared" si="269"/>
        <v>*0.89</v>
      </c>
      <c r="AC2138" s="33" t="s">
        <v>3012</v>
      </c>
      <c r="AD2138" s="44" t="s">
        <v>57</v>
      </c>
      <c r="AE2138" s="33">
        <v>2035</v>
      </c>
      <c r="AF2138" s="45" t="str">
        <f t="shared" si="270"/>
        <v>*0.89</v>
      </c>
      <c r="AG2138" s="43" t="str">
        <f t="shared" si="272"/>
        <v>REZoning_Sol-Win</v>
      </c>
      <c r="AI2138" s="33" t="s">
        <v>3012</v>
      </c>
      <c r="AJ2138" s="44" t="s">
        <v>57</v>
      </c>
      <c r="AK2138" s="33">
        <v>2050</v>
      </c>
      <c r="AL2138" s="45" t="str">
        <f t="shared" si="271"/>
        <v>*0.84</v>
      </c>
      <c r="AM2138" s="43" t="str">
        <f t="shared" si="273"/>
        <v>REZoning_Sol-Win</v>
      </c>
      <c r="AP2138" t="s">
        <v>3012</v>
      </c>
      <c r="AQ2138" t="s">
        <v>57</v>
      </c>
      <c r="AR2138">
        <v>2100</v>
      </c>
      <c r="AS2138" t="s">
        <v>919</v>
      </c>
      <c r="AT2138" t="s">
        <v>58</v>
      </c>
    </row>
    <row r="2139" ht="29" spans="1:46">
      <c r="A2139" s="31" t="s">
        <v>79</v>
      </c>
      <c r="C2139" t="s">
        <v>3013</v>
      </c>
      <c r="D2139" s="5" t="s">
        <v>57</v>
      </c>
      <c r="E2139">
        <v>2035</v>
      </c>
      <c r="F2139" s="6" t="str">
        <f t="shared" si="266"/>
        <v>*0.94</v>
      </c>
      <c r="H2139" t="s">
        <v>3013</v>
      </c>
      <c r="I2139" s="5" t="s">
        <v>57</v>
      </c>
      <c r="J2139">
        <v>2050</v>
      </c>
      <c r="K2139" s="38" t="str">
        <f t="shared" si="267"/>
        <v>*0.9</v>
      </c>
      <c r="P2139" s="32" t="s">
        <v>3013</v>
      </c>
      <c r="Q2139" s="42" t="s">
        <v>57</v>
      </c>
      <c r="R2139" s="32">
        <v>2035</v>
      </c>
      <c r="S2139" s="43" t="str">
        <f t="shared" si="268"/>
        <v>*0.92</v>
      </c>
      <c r="U2139" s="32" t="s">
        <v>3013</v>
      </c>
      <c r="V2139" s="42" t="s">
        <v>57</v>
      </c>
      <c r="W2139" s="32">
        <v>2050</v>
      </c>
      <c r="X2139" s="43" t="str">
        <f t="shared" si="269"/>
        <v>*0.89</v>
      </c>
      <c r="AC2139" s="33" t="s">
        <v>3013</v>
      </c>
      <c r="AD2139" s="44" t="s">
        <v>57</v>
      </c>
      <c r="AE2139" s="33">
        <v>2035</v>
      </c>
      <c r="AF2139" s="45" t="str">
        <f t="shared" si="270"/>
        <v>*0.89</v>
      </c>
      <c r="AG2139" s="43" t="str">
        <f t="shared" si="272"/>
        <v>REZoning_Sol-Win</v>
      </c>
      <c r="AI2139" s="33" t="s">
        <v>3013</v>
      </c>
      <c r="AJ2139" s="44" t="s">
        <v>57</v>
      </c>
      <c r="AK2139" s="33">
        <v>2050</v>
      </c>
      <c r="AL2139" s="45" t="str">
        <f t="shared" si="271"/>
        <v>*0.84</v>
      </c>
      <c r="AM2139" s="43" t="str">
        <f t="shared" si="273"/>
        <v>REZoning_Sol-Win</v>
      </c>
      <c r="AP2139" t="s">
        <v>3013</v>
      </c>
      <c r="AQ2139" t="s">
        <v>57</v>
      </c>
      <c r="AR2139">
        <v>2100</v>
      </c>
      <c r="AS2139" t="s">
        <v>919</v>
      </c>
      <c r="AT2139" t="s">
        <v>58</v>
      </c>
    </row>
    <row r="2140" ht="29" spans="1:46">
      <c r="A2140" s="31" t="s">
        <v>79</v>
      </c>
      <c r="C2140" t="s">
        <v>3014</v>
      </c>
      <c r="D2140" s="5" t="s">
        <v>57</v>
      </c>
      <c r="E2140">
        <v>2035</v>
      </c>
      <c r="F2140" s="6" t="str">
        <f t="shared" si="266"/>
        <v>*0.94</v>
      </c>
      <c r="H2140" t="s">
        <v>3014</v>
      </c>
      <c r="I2140" s="5" t="s">
        <v>57</v>
      </c>
      <c r="J2140">
        <v>2050</v>
      </c>
      <c r="K2140" s="38" t="str">
        <f t="shared" si="267"/>
        <v>*0.9</v>
      </c>
      <c r="P2140" s="32" t="s">
        <v>3014</v>
      </c>
      <c r="Q2140" s="42" t="s">
        <v>57</v>
      </c>
      <c r="R2140" s="32">
        <v>2035</v>
      </c>
      <c r="S2140" s="43" t="str">
        <f t="shared" si="268"/>
        <v>*0.92</v>
      </c>
      <c r="U2140" s="32" t="s">
        <v>3014</v>
      </c>
      <c r="V2140" s="42" t="s">
        <v>57</v>
      </c>
      <c r="W2140" s="32">
        <v>2050</v>
      </c>
      <c r="X2140" s="43" t="str">
        <f t="shared" si="269"/>
        <v>*0.89</v>
      </c>
      <c r="AC2140" s="33" t="s">
        <v>3014</v>
      </c>
      <c r="AD2140" s="44" t="s">
        <v>57</v>
      </c>
      <c r="AE2140" s="33">
        <v>2035</v>
      </c>
      <c r="AF2140" s="45" t="str">
        <f t="shared" si="270"/>
        <v>*0.89</v>
      </c>
      <c r="AG2140" s="43" t="str">
        <f t="shared" si="272"/>
        <v>REZoning_Sol-Win</v>
      </c>
      <c r="AI2140" s="33" t="s">
        <v>3014</v>
      </c>
      <c r="AJ2140" s="44" t="s">
        <v>57</v>
      </c>
      <c r="AK2140" s="33">
        <v>2050</v>
      </c>
      <c r="AL2140" s="45" t="str">
        <f t="shared" si="271"/>
        <v>*0.84</v>
      </c>
      <c r="AM2140" s="43" t="str">
        <f t="shared" si="273"/>
        <v>REZoning_Sol-Win</v>
      </c>
      <c r="AP2140" t="s">
        <v>3014</v>
      </c>
      <c r="AQ2140" t="s">
        <v>57</v>
      </c>
      <c r="AR2140">
        <v>2100</v>
      </c>
      <c r="AS2140" t="s">
        <v>919</v>
      </c>
      <c r="AT2140" t="s">
        <v>58</v>
      </c>
    </row>
    <row r="2141" ht="29" spans="1:46">
      <c r="A2141" s="31" t="s">
        <v>79</v>
      </c>
      <c r="C2141" t="s">
        <v>3015</v>
      </c>
      <c r="D2141" s="5" t="s">
        <v>57</v>
      </c>
      <c r="E2141">
        <v>2035</v>
      </c>
      <c r="F2141" s="6" t="str">
        <f t="shared" si="266"/>
        <v>*0.94</v>
      </c>
      <c r="H2141" t="s">
        <v>3015</v>
      </c>
      <c r="I2141" s="5" t="s">
        <v>57</v>
      </c>
      <c r="J2141">
        <v>2050</v>
      </c>
      <c r="K2141" s="38" t="str">
        <f t="shared" si="267"/>
        <v>*0.9</v>
      </c>
      <c r="P2141" s="32" t="s">
        <v>3015</v>
      </c>
      <c r="Q2141" s="42" t="s">
        <v>57</v>
      </c>
      <c r="R2141" s="32">
        <v>2035</v>
      </c>
      <c r="S2141" s="43" t="str">
        <f t="shared" si="268"/>
        <v>*0.92</v>
      </c>
      <c r="U2141" s="32" t="s">
        <v>3015</v>
      </c>
      <c r="V2141" s="42" t="s">
        <v>57</v>
      </c>
      <c r="W2141" s="32">
        <v>2050</v>
      </c>
      <c r="X2141" s="43" t="str">
        <f t="shared" si="269"/>
        <v>*0.89</v>
      </c>
      <c r="AC2141" s="33" t="s">
        <v>3015</v>
      </c>
      <c r="AD2141" s="44" t="s">
        <v>57</v>
      </c>
      <c r="AE2141" s="33">
        <v>2035</v>
      </c>
      <c r="AF2141" s="45" t="str">
        <f t="shared" si="270"/>
        <v>*0.89</v>
      </c>
      <c r="AG2141" s="43" t="str">
        <f t="shared" si="272"/>
        <v>REZoning_Sol-Win</v>
      </c>
      <c r="AI2141" s="33" t="s">
        <v>3015</v>
      </c>
      <c r="AJ2141" s="44" t="s">
        <v>57</v>
      </c>
      <c r="AK2141" s="33">
        <v>2050</v>
      </c>
      <c r="AL2141" s="45" t="str">
        <f t="shared" si="271"/>
        <v>*0.84</v>
      </c>
      <c r="AM2141" s="43" t="str">
        <f t="shared" si="273"/>
        <v>REZoning_Sol-Win</v>
      </c>
      <c r="AP2141" t="s">
        <v>3015</v>
      </c>
      <c r="AQ2141" t="s">
        <v>57</v>
      </c>
      <c r="AR2141">
        <v>2100</v>
      </c>
      <c r="AS2141" t="s">
        <v>919</v>
      </c>
      <c r="AT2141" t="s">
        <v>58</v>
      </c>
    </row>
    <row r="2142" ht="29" spans="1:46">
      <c r="A2142" s="31" t="s">
        <v>79</v>
      </c>
      <c r="C2142" t="s">
        <v>3016</v>
      </c>
      <c r="D2142" s="5" t="s">
        <v>57</v>
      </c>
      <c r="E2142">
        <v>2035</v>
      </c>
      <c r="F2142" s="6" t="str">
        <f t="shared" si="266"/>
        <v>*0.94</v>
      </c>
      <c r="H2142" t="s">
        <v>3016</v>
      </c>
      <c r="I2142" s="5" t="s">
        <v>57</v>
      </c>
      <c r="J2142">
        <v>2050</v>
      </c>
      <c r="K2142" s="38" t="str">
        <f t="shared" si="267"/>
        <v>*0.9</v>
      </c>
      <c r="P2142" s="32" t="s">
        <v>3016</v>
      </c>
      <c r="Q2142" s="42" t="s">
        <v>57</v>
      </c>
      <c r="R2142" s="32">
        <v>2035</v>
      </c>
      <c r="S2142" s="43" t="str">
        <f t="shared" si="268"/>
        <v>*0.92</v>
      </c>
      <c r="U2142" s="32" t="s">
        <v>3016</v>
      </c>
      <c r="V2142" s="42" t="s">
        <v>57</v>
      </c>
      <c r="W2142" s="32">
        <v>2050</v>
      </c>
      <c r="X2142" s="43" t="str">
        <f t="shared" si="269"/>
        <v>*0.89</v>
      </c>
      <c r="AC2142" s="33" t="s">
        <v>3016</v>
      </c>
      <c r="AD2142" s="44" t="s">
        <v>57</v>
      </c>
      <c r="AE2142" s="33">
        <v>2035</v>
      </c>
      <c r="AF2142" s="45" t="str">
        <f t="shared" si="270"/>
        <v>*0.89</v>
      </c>
      <c r="AG2142" s="43" t="str">
        <f t="shared" si="272"/>
        <v>REZoning_Sol-Win</v>
      </c>
      <c r="AI2142" s="33" t="s">
        <v>3016</v>
      </c>
      <c r="AJ2142" s="44" t="s">
        <v>57</v>
      </c>
      <c r="AK2142" s="33">
        <v>2050</v>
      </c>
      <c r="AL2142" s="45" t="str">
        <f t="shared" si="271"/>
        <v>*0.84</v>
      </c>
      <c r="AM2142" s="43" t="str">
        <f t="shared" si="273"/>
        <v>REZoning_Sol-Win</v>
      </c>
      <c r="AP2142" t="s">
        <v>3016</v>
      </c>
      <c r="AQ2142" t="s">
        <v>57</v>
      </c>
      <c r="AR2142">
        <v>2100</v>
      </c>
      <c r="AS2142" t="s">
        <v>919</v>
      </c>
      <c r="AT2142" t="s">
        <v>58</v>
      </c>
    </row>
    <row r="2143" ht="29" spans="1:46">
      <c r="A2143" s="31" t="s">
        <v>79</v>
      </c>
      <c r="C2143" t="s">
        <v>3017</v>
      </c>
      <c r="D2143" s="5" t="s">
        <v>57</v>
      </c>
      <c r="E2143">
        <v>2035</v>
      </c>
      <c r="F2143" s="6" t="str">
        <f t="shared" si="266"/>
        <v>*0.94</v>
      </c>
      <c r="H2143" t="s">
        <v>3017</v>
      </c>
      <c r="I2143" s="5" t="s">
        <v>57</v>
      </c>
      <c r="J2143">
        <v>2050</v>
      </c>
      <c r="K2143" s="38" t="str">
        <f t="shared" si="267"/>
        <v>*0.9</v>
      </c>
      <c r="P2143" s="32" t="s">
        <v>3017</v>
      </c>
      <c r="Q2143" s="42" t="s">
        <v>57</v>
      </c>
      <c r="R2143" s="32">
        <v>2035</v>
      </c>
      <c r="S2143" s="43" t="str">
        <f t="shared" si="268"/>
        <v>*0.92</v>
      </c>
      <c r="U2143" s="32" t="s">
        <v>3017</v>
      </c>
      <c r="V2143" s="42" t="s">
        <v>57</v>
      </c>
      <c r="W2143" s="32">
        <v>2050</v>
      </c>
      <c r="X2143" s="43" t="str">
        <f t="shared" si="269"/>
        <v>*0.89</v>
      </c>
      <c r="AC2143" s="33" t="s">
        <v>3017</v>
      </c>
      <c r="AD2143" s="44" t="s">
        <v>57</v>
      </c>
      <c r="AE2143" s="33">
        <v>2035</v>
      </c>
      <c r="AF2143" s="45" t="str">
        <f t="shared" si="270"/>
        <v>*0.89</v>
      </c>
      <c r="AG2143" s="43" t="str">
        <f t="shared" si="272"/>
        <v>REZoning_Sol-Win</v>
      </c>
      <c r="AI2143" s="33" t="s">
        <v>3017</v>
      </c>
      <c r="AJ2143" s="44" t="s">
        <v>57</v>
      </c>
      <c r="AK2143" s="33">
        <v>2050</v>
      </c>
      <c r="AL2143" s="45" t="str">
        <f t="shared" si="271"/>
        <v>*0.84</v>
      </c>
      <c r="AM2143" s="43" t="str">
        <f t="shared" si="273"/>
        <v>REZoning_Sol-Win</v>
      </c>
      <c r="AP2143" t="s">
        <v>3017</v>
      </c>
      <c r="AQ2143" t="s">
        <v>57</v>
      </c>
      <c r="AR2143">
        <v>2100</v>
      </c>
      <c r="AS2143" t="s">
        <v>919</v>
      </c>
      <c r="AT2143" t="s">
        <v>58</v>
      </c>
    </row>
    <row r="2144" ht="29" spans="1:46">
      <c r="A2144" s="31" t="s">
        <v>79</v>
      </c>
      <c r="C2144" t="s">
        <v>3018</v>
      </c>
      <c r="D2144" s="5" t="s">
        <v>57</v>
      </c>
      <c r="E2144">
        <v>2035</v>
      </c>
      <c r="F2144" s="6" t="str">
        <f t="shared" si="266"/>
        <v>*0.94</v>
      </c>
      <c r="H2144" t="s">
        <v>3018</v>
      </c>
      <c r="I2144" s="5" t="s">
        <v>57</v>
      </c>
      <c r="J2144">
        <v>2050</v>
      </c>
      <c r="K2144" s="38" t="str">
        <f t="shared" si="267"/>
        <v>*0.9</v>
      </c>
      <c r="P2144" s="32" t="s">
        <v>3018</v>
      </c>
      <c r="Q2144" s="42" t="s">
        <v>57</v>
      </c>
      <c r="R2144" s="32">
        <v>2035</v>
      </c>
      <c r="S2144" s="43" t="str">
        <f t="shared" si="268"/>
        <v>*0.92</v>
      </c>
      <c r="U2144" s="32" t="s">
        <v>3018</v>
      </c>
      <c r="V2144" s="42" t="s">
        <v>57</v>
      </c>
      <c r="W2144" s="32">
        <v>2050</v>
      </c>
      <c r="X2144" s="43" t="str">
        <f t="shared" si="269"/>
        <v>*0.89</v>
      </c>
      <c r="AC2144" s="33" t="s">
        <v>3018</v>
      </c>
      <c r="AD2144" s="44" t="s">
        <v>57</v>
      </c>
      <c r="AE2144" s="33">
        <v>2035</v>
      </c>
      <c r="AF2144" s="45" t="str">
        <f t="shared" si="270"/>
        <v>*0.89</v>
      </c>
      <c r="AG2144" s="43" t="str">
        <f t="shared" si="272"/>
        <v>REZoning_Sol-Win</v>
      </c>
      <c r="AI2144" s="33" t="s">
        <v>3018</v>
      </c>
      <c r="AJ2144" s="44" t="s">
        <v>57</v>
      </c>
      <c r="AK2144" s="33">
        <v>2050</v>
      </c>
      <c r="AL2144" s="45" t="str">
        <f t="shared" si="271"/>
        <v>*0.84</v>
      </c>
      <c r="AM2144" s="43" t="str">
        <f t="shared" si="273"/>
        <v>REZoning_Sol-Win</v>
      </c>
      <c r="AP2144" t="s">
        <v>3018</v>
      </c>
      <c r="AQ2144" t="s">
        <v>57</v>
      </c>
      <c r="AR2144">
        <v>2100</v>
      </c>
      <c r="AS2144" t="s">
        <v>919</v>
      </c>
      <c r="AT2144" t="s">
        <v>58</v>
      </c>
    </row>
    <row r="2145" ht="29" spans="1:46">
      <c r="A2145" s="31" t="s">
        <v>65</v>
      </c>
      <c r="C2145" t="s">
        <v>3019</v>
      </c>
      <c r="D2145" s="5" t="s">
        <v>57</v>
      </c>
      <c r="E2145">
        <v>2035</v>
      </c>
      <c r="F2145" s="6" t="str">
        <f t="shared" si="266"/>
        <v>*0.94</v>
      </c>
      <c r="H2145" t="s">
        <v>3019</v>
      </c>
      <c r="I2145" s="5" t="s">
        <v>57</v>
      </c>
      <c r="J2145">
        <v>2050</v>
      </c>
      <c r="K2145" s="38" t="str">
        <f t="shared" si="267"/>
        <v>*0.91</v>
      </c>
      <c r="P2145" s="32" t="s">
        <v>3019</v>
      </c>
      <c r="Q2145" s="42" t="s">
        <v>57</v>
      </c>
      <c r="R2145" s="32">
        <v>2035</v>
      </c>
      <c r="S2145" s="43" t="str">
        <f t="shared" si="268"/>
        <v>*0.93</v>
      </c>
      <c r="U2145" s="32" t="s">
        <v>3019</v>
      </c>
      <c r="V2145" s="42" t="s">
        <v>57</v>
      </c>
      <c r="W2145" s="32">
        <v>2050</v>
      </c>
      <c r="X2145" s="43" t="str">
        <f t="shared" si="269"/>
        <v>*0.9</v>
      </c>
      <c r="AC2145" s="33" t="s">
        <v>3019</v>
      </c>
      <c r="AD2145" s="44" t="s">
        <v>57</v>
      </c>
      <c r="AE2145" s="33">
        <v>2035</v>
      </c>
      <c r="AF2145" s="45" t="str">
        <f t="shared" si="270"/>
        <v>*0.9</v>
      </c>
      <c r="AG2145" s="43" t="str">
        <f t="shared" si="272"/>
        <v>REZoning_Sol-Win</v>
      </c>
      <c r="AI2145" s="33" t="s">
        <v>3019</v>
      </c>
      <c r="AJ2145" s="44" t="s">
        <v>57</v>
      </c>
      <c r="AK2145" s="33">
        <v>2050</v>
      </c>
      <c r="AL2145" s="45" t="str">
        <f t="shared" si="271"/>
        <v>*0.86</v>
      </c>
      <c r="AM2145" s="43" t="str">
        <f t="shared" si="273"/>
        <v>REZoning_Sol-Win</v>
      </c>
      <c r="AP2145" t="s">
        <v>3019</v>
      </c>
      <c r="AQ2145" t="s">
        <v>57</v>
      </c>
      <c r="AR2145">
        <v>2100</v>
      </c>
      <c r="AS2145" t="s">
        <v>883</v>
      </c>
      <c r="AT2145" t="s">
        <v>58</v>
      </c>
    </row>
    <row r="2146" ht="29" spans="1:46">
      <c r="A2146" s="31" t="s">
        <v>65</v>
      </c>
      <c r="C2146" t="s">
        <v>3020</v>
      </c>
      <c r="D2146" s="5" t="s">
        <v>57</v>
      </c>
      <c r="E2146">
        <v>2035</v>
      </c>
      <c r="F2146" s="6" t="str">
        <f t="shared" si="266"/>
        <v>*0.94</v>
      </c>
      <c r="H2146" t="s">
        <v>3020</v>
      </c>
      <c r="I2146" s="5" t="s">
        <v>57</v>
      </c>
      <c r="J2146">
        <v>2050</v>
      </c>
      <c r="K2146" s="38" t="str">
        <f t="shared" si="267"/>
        <v>*0.91</v>
      </c>
      <c r="P2146" s="32" t="s">
        <v>3020</v>
      </c>
      <c r="Q2146" s="42" t="s">
        <v>57</v>
      </c>
      <c r="R2146" s="32">
        <v>2035</v>
      </c>
      <c r="S2146" s="43" t="str">
        <f t="shared" si="268"/>
        <v>*0.93</v>
      </c>
      <c r="U2146" s="32" t="s">
        <v>3020</v>
      </c>
      <c r="V2146" s="42" t="s">
        <v>57</v>
      </c>
      <c r="W2146" s="32">
        <v>2050</v>
      </c>
      <c r="X2146" s="43" t="str">
        <f t="shared" si="269"/>
        <v>*0.9</v>
      </c>
      <c r="AC2146" s="33" t="s">
        <v>3020</v>
      </c>
      <c r="AD2146" s="44" t="s">
        <v>57</v>
      </c>
      <c r="AE2146" s="33">
        <v>2035</v>
      </c>
      <c r="AF2146" s="45" t="str">
        <f t="shared" si="270"/>
        <v>*0.9</v>
      </c>
      <c r="AG2146" s="43" t="str">
        <f t="shared" si="272"/>
        <v>REZoning_Sol-Win</v>
      </c>
      <c r="AI2146" s="33" t="s">
        <v>3020</v>
      </c>
      <c r="AJ2146" s="44" t="s">
        <v>57</v>
      </c>
      <c r="AK2146" s="33">
        <v>2050</v>
      </c>
      <c r="AL2146" s="45" t="str">
        <f t="shared" si="271"/>
        <v>*0.86</v>
      </c>
      <c r="AM2146" s="43" t="str">
        <f t="shared" si="273"/>
        <v>REZoning_Sol-Win</v>
      </c>
      <c r="AP2146" t="s">
        <v>3020</v>
      </c>
      <c r="AQ2146" t="s">
        <v>57</v>
      </c>
      <c r="AR2146">
        <v>2100</v>
      </c>
      <c r="AS2146" t="s">
        <v>883</v>
      </c>
      <c r="AT2146" t="s">
        <v>58</v>
      </c>
    </row>
    <row r="2147" ht="29" spans="1:46">
      <c r="A2147" s="31" t="s">
        <v>65</v>
      </c>
      <c r="C2147" t="s">
        <v>3021</v>
      </c>
      <c r="D2147" s="5" t="s">
        <v>57</v>
      </c>
      <c r="E2147">
        <v>2035</v>
      </c>
      <c r="F2147" s="6" t="str">
        <f t="shared" si="266"/>
        <v>*0.94</v>
      </c>
      <c r="H2147" t="s">
        <v>3021</v>
      </c>
      <c r="I2147" s="5" t="s">
        <v>57</v>
      </c>
      <c r="J2147">
        <v>2050</v>
      </c>
      <c r="K2147" s="38" t="str">
        <f t="shared" si="267"/>
        <v>*0.91</v>
      </c>
      <c r="P2147" s="32" t="s">
        <v>3021</v>
      </c>
      <c r="Q2147" s="42" t="s">
        <v>57</v>
      </c>
      <c r="R2147" s="32">
        <v>2035</v>
      </c>
      <c r="S2147" s="43" t="str">
        <f t="shared" si="268"/>
        <v>*0.93</v>
      </c>
      <c r="U2147" s="32" t="s">
        <v>3021</v>
      </c>
      <c r="V2147" s="42" t="s">
        <v>57</v>
      </c>
      <c r="W2147" s="32">
        <v>2050</v>
      </c>
      <c r="X2147" s="43" t="str">
        <f t="shared" si="269"/>
        <v>*0.9</v>
      </c>
      <c r="AC2147" s="33" t="s">
        <v>3021</v>
      </c>
      <c r="AD2147" s="44" t="s">
        <v>57</v>
      </c>
      <c r="AE2147" s="33">
        <v>2035</v>
      </c>
      <c r="AF2147" s="45" t="str">
        <f t="shared" si="270"/>
        <v>*0.9</v>
      </c>
      <c r="AG2147" s="43" t="str">
        <f t="shared" si="272"/>
        <v>REZoning_Sol-Win</v>
      </c>
      <c r="AI2147" s="33" t="s">
        <v>3021</v>
      </c>
      <c r="AJ2147" s="44" t="s">
        <v>57</v>
      </c>
      <c r="AK2147" s="33">
        <v>2050</v>
      </c>
      <c r="AL2147" s="45" t="str">
        <f t="shared" si="271"/>
        <v>*0.86</v>
      </c>
      <c r="AM2147" s="43" t="str">
        <f t="shared" si="273"/>
        <v>REZoning_Sol-Win</v>
      </c>
      <c r="AP2147" t="s">
        <v>3021</v>
      </c>
      <c r="AQ2147" t="s">
        <v>57</v>
      </c>
      <c r="AR2147">
        <v>2100</v>
      </c>
      <c r="AS2147" t="s">
        <v>883</v>
      </c>
      <c r="AT2147" t="s">
        <v>58</v>
      </c>
    </row>
    <row r="2148" ht="29" spans="1:46">
      <c r="A2148" s="31" t="s">
        <v>65</v>
      </c>
      <c r="C2148" t="s">
        <v>3022</v>
      </c>
      <c r="D2148" s="5" t="s">
        <v>57</v>
      </c>
      <c r="E2148">
        <v>2035</v>
      </c>
      <c r="F2148" s="6" t="str">
        <f t="shared" si="266"/>
        <v>*0.94</v>
      </c>
      <c r="H2148" t="s">
        <v>3022</v>
      </c>
      <c r="I2148" s="5" t="s">
        <v>57</v>
      </c>
      <c r="J2148">
        <v>2050</v>
      </c>
      <c r="K2148" s="38" t="str">
        <f t="shared" si="267"/>
        <v>*0.91</v>
      </c>
      <c r="P2148" s="32" t="s">
        <v>3022</v>
      </c>
      <c r="Q2148" s="42" t="s">
        <v>57</v>
      </c>
      <c r="R2148" s="32">
        <v>2035</v>
      </c>
      <c r="S2148" s="43" t="str">
        <f t="shared" si="268"/>
        <v>*0.93</v>
      </c>
      <c r="U2148" s="32" t="s">
        <v>3022</v>
      </c>
      <c r="V2148" s="42" t="s">
        <v>57</v>
      </c>
      <c r="W2148" s="32">
        <v>2050</v>
      </c>
      <c r="X2148" s="43" t="str">
        <f t="shared" si="269"/>
        <v>*0.9</v>
      </c>
      <c r="AC2148" s="33" t="s">
        <v>3022</v>
      </c>
      <c r="AD2148" s="44" t="s">
        <v>57</v>
      </c>
      <c r="AE2148" s="33">
        <v>2035</v>
      </c>
      <c r="AF2148" s="45" t="str">
        <f t="shared" si="270"/>
        <v>*0.9</v>
      </c>
      <c r="AG2148" s="43" t="str">
        <f t="shared" si="272"/>
        <v>REZoning_Sol-Win</v>
      </c>
      <c r="AI2148" s="33" t="s">
        <v>3022</v>
      </c>
      <c r="AJ2148" s="44" t="s">
        <v>57</v>
      </c>
      <c r="AK2148" s="33">
        <v>2050</v>
      </c>
      <c r="AL2148" s="45" t="str">
        <f t="shared" si="271"/>
        <v>*0.86</v>
      </c>
      <c r="AM2148" s="43" t="str">
        <f t="shared" si="273"/>
        <v>REZoning_Sol-Win</v>
      </c>
      <c r="AP2148" t="s">
        <v>3022</v>
      </c>
      <c r="AQ2148" t="s">
        <v>57</v>
      </c>
      <c r="AR2148">
        <v>2100</v>
      </c>
      <c r="AS2148" t="s">
        <v>883</v>
      </c>
      <c r="AT2148" t="s">
        <v>58</v>
      </c>
    </row>
    <row r="2149" ht="29" spans="1:46">
      <c r="A2149" s="31" t="s">
        <v>65</v>
      </c>
      <c r="C2149" t="s">
        <v>3023</v>
      </c>
      <c r="D2149" s="5" t="s">
        <v>57</v>
      </c>
      <c r="E2149">
        <v>2035</v>
      </c>
      <c r="F2149" s="6" t="str">
        <f t="shared" si="266"/>
        <v>*0.94</v>
      </c>
      <c r="H2149" t="s">
        <v>3023</v>
      </c>
      <c r="I2149" s="5" t="s">
        <v>57</v>
      </c>
      <c r="J2149">
        <v>2050</v>
      </c>
      <c r="K2149" s="38" t="str">
        <f t="shared" si="267"/>
        <v>*0.91</v>
      </c>
      <c r="P2149" s="32" t="s">
        <v>3023</v>
      </c>
      <c r="Q2149" s="42" t="s">
        <v>57</v>
      </c>
      <c r="R2149" s="32">
        <v>2035</v>
      </c>
      <c r="S2149" s="43" t="str">
        <f t="shared" si="268"/>
        <v>*0.93</v>
      </c>
      <c r="U2149" s="32" t="s">
        <v>3023</v>
      </c>
      <c r="V2149" s="42" t="s">
        <v>57</v>
      </c>
      <c r="W2149" s="32">
        <v>2050</v>
      </c>
      <c r="X2149" s="43" t="str">
        <f t="shared" si="269"/>
        <v>*0.9</v>
      </c>
      <c r="AC2149" s="33" t="s">
        <v>3023</v>
      </c>
      <c r="AD2149" s="44" t="s">
        <v>57</v>
      </c>
      <c r="AE2149" s="33">
        <v>2035</v>
      </c>
      <c r="AF2149" s="45" t="str">
        <f t="shared" si="270"/>
        <v>*0.9</v>
      </c>
      <c r="AG2149" s="43" t="str">
        <f t="shared" si="272"/>
        <v>REZoning_Sol-Win</v>
      </c>
      <c r="AI2149" s="33" t="s">
        <v>3023</v>
      </c>
      <c r="AJ2149" s="44" t="s">
        <v>57</v>
      </c>
      <c r="AK2149" s="33">
        <v>2050</v>
      </c>
      <c r="AL2149" s="45" t="str">
        <f t="shared" si="271"/>
        <v>*0.86</v>
      </c>
      <c r="AM2149" s="43" t="str">
        <f t="shared" si="273"/>
        <v>REZoning_Sol-Win</v>
      </c>
      <c r="AP2149" t="s">
        <v>3023</v>
      </c>
      <c r="AQ2149" t="s">
        <v>57</v>
      </c>
      <c r="AR2149">
        <v>2100</v>
      </c>
      <c r="AS2149" t="s">
        <v>883</v>
      </c>
      <c r="AT2149" t="s">
        <v>58</v>
      </c>
    </row>
    <row r="2150" ht="29" spans="1:46">
      <c r="A2150" s="31" t="s">
        <v>65</v>
      </c>
      <c r="C2150" t="s">
        <v>3024</v>
      </c>
      <c r="D2150" s="5" t="s">
        <v>57</v>
      </c>
      <c r="E2150">
        <v>2035</v>
      </c>
      <c r="F2150" s="6" t="str">
        <f t="shared" si="266"/>
        <v>*0.94</v>
      </c>
      <c r="H2150" t="s">
        <v>3024</v>
      </c>
      <c r="I2150" s="5" t="s">
        <v>57</v>
      </c>
      <c r="J2150">
        <v>2050</v>
      </c>
      <c r="K2150" s="38" t="str">
        <f t="shared" si="267"/>
        <v>*0.91</v>
      </c>
      <c r="P2150" s="32" t="s">
        <v>3024</v>
      </c>
      <c r="Q2150" s="42" t="s">
        <v>57</v>
      </c>
      <c r="R2150" s="32">
        <v>2035</v>
      </c>
      <c r="S2150" s="43" t="str">
        <f t="shared" si="268"/>
        <v>*0.93</v>
      </c>
      <c r="U2150" s="32" t="s">
        <v>3024</v>
      </c>
      <c r="V2150" s="42" t="s">
        <v>57</v>
      </c>
      <c r="W2150" s="32">
        <v>2050</v>
      </c>
      <c r="X2150" s="43" t="str">
        <f t="shared" si="269"/>
        <v>*0.9</v>
      </c>
      <c r="AC2150" s="33" t="s">
        <v>3024</v>
      </c>
      <c r="AD2150" s="44" t="s">
        <v>57</v>
      </c>
      <c r="AE2150" s="33">
        <v>2035</v>
      </c>
      <c r="AF2150" s="45" t="str">
        <f t="shared" si="270"/>
        <v>*0.9</v>
      </c>
      <c r="AG2150" s="43" t="str">
        <f t="shared" si="272"/>
        <v>REZoning_Sol-Win</v>
      </c>
      <c r="AI2150" s="33" t="s">
        <v>3024</v>
      </c>
      <c r="AJ2150" s="44" t="s">
        <v>57</v>
      </c>
      <c r="AK2150" s="33">
        <v>2050</v>
      </c>
      <c r="AL2150" s="45" t="str">
        <f t="shared" si="271"/>
        <v>*0.86</v>
      </c>
      <c r="AM2150" s="43" t="str">
        <f t="shared" si="273"/>
        <v>REZoning_Sol-Win</v>
      </c>
      <c r="AP2150" t="s">
        <v>3024</v>
      </c>
      <c r="AQ2150" t="s">
        <v>57</v>
      </c>
      <c r="AR2150">
        <v>2100</v>
      </c>
      <c r="AS2150" t="s">
        <v>883</v>
      </c>
      <c r="AT2150" t="s">
        <v>58</v>
      </c>
    </row>
    <row r="2151" ht="29" spans="1:46">
      <c r="A2151" s="31" t="s">
        <v>65</v>
      </c>
      <c r="C2151" t="s">
        <v>3025</v>
      </c>
      <c r="D2151" s="5" t="s">
        <v>57</v>
      </c>
      <c r="E2151">
        <v>2035</v>
      </c>
      <c r="F2151" s="6" t="str">
        <f t="shared" si="266"/>
        <v>*0.94</v>
      </c>
      <c r="H2151" t="s">
        <v>3025</v>
      </c>
      <c r="I2151" s="5" t="s">
        <v>57</v>
      </c>
      <c r="J2151">
        <v>2050</v>
      </c>
      <c r="K2151" s="38" t="str">
        <f t="shared" si="267"/>
        <v>*0.91</v>
      </c>
      <c r="P2151" s="32" t="s">
        <v>3025</v>
      </c>
      <c r="Q2151" s="42" t="s">
        <v>57</v>
      </c>
      <c r="R2151" s="32">
        <v>2035</v>
      </c>
      <c r="S2151" s="43" t="str">
        <f t="shared" si="268"/>
        <v>*0.93</v>
      </c>
      <c r="U2151" s="32" t="s">
        <v>3025</v>
      </c>
      <c r="V2151" s="42" t="s">
        <v>57</v>
      </c>
      <c r="W2151" s="32">
        <v>2050</v>
      </c>
      <c r="X2151" s="43" t="str">
        <f t="shared" si="269"/>
        <v>*0.9</v>
      </c>
      <c r="AC2151" s="33" t="s">
        <v>3025</v>
      </c>
      <c r="AD2151" s="44" t="s">
        <v>57</v>
      </c>
      <c r="AE2151" s="33">
        <v>2035</v>
      </c>
      <c r="AF2151" s="45" t="str">
        <f t="shared" si="270"/>
        <v>*0.9</v>
      </c>
      <c r="AG2151" s="43" t="str">
        <f t="shared" si="272"/>
        <v>REZoning_Sol-Win</v>
      </c>
      <c r="AI2151" s="33" t="s">
        <v>3025</v>
      </c>
      <c r="AJ2151" s="44" t="s">
        <v>57</v>
      </c>
      <c r="AK2151" s="33">
        <v>2050</v>
      </c>
      <c r="AL2151" s="45" t="str">
        <f t="shared" si="271"/>
        <v>*0.86</v>
      </c>
      <c r="AM2151" s="43" t="str">
        <f t="shared" si="273"/>
        <v>REZoning_Sol-Win</v>
      </c>
      <c r="AP2151" t="s">
        <v>3025</v>
      </c>
      <c r="AQ2151" t="s">
        <v>57</v>
      </c>
      <c r="AR2151">
        <v>2100</v>
      </c>
      <c r="AS2151" t="s">
        <v>883</v>
      </c>
      <c r="AT2151" t="s">
        <v>58</v>
      </c>
    </row>
    <row r="2152" ht="29" spans="1:46">
      <c r="A2152" s="31" t="s">
        <v>65</v>
      </c>
      <c r="C2152" t="s">
        <v>3026</v>
      </c>
      <c r="D2152" s="5" t="s">
        <v>57</v>
      </c>
      <c r="E2152">
        <v>2035</v>
      </c>
      <c r="F2152" s="6" t="str">
        <f t="shared" si="266"/>
        <v>*0.94</v>
      </c>
      <c r="H2152" t="s">
        <v>3026</v>
      </c>
      <c r="I2152" s="5" t="s">
        <v>57</v>
      </c>
      <c r="J2152">
        <v>2050</v>
      </c>
      <c r="K2152" s="38" t="str">
        <f t="shared" si="267"/>
        <v>*0.91</v>
      </c>
      <c r="P2152" s="32" t="s">
        <v>3026</v>
      </c>
      <c r="Q2152" s="42" t="s">
        <v>57</v>
      </c>
      <c r="R2152" s="32">
        <v>2035</v>
      </c>
      <c r="S2152" s="43" t="str">
        <f t="shared" si="268"/>
        <v>*0.93</v>
      </c>
      <c r="U2152" s="32" t="s">
        <v>3026</v>
      </c>
      <c r="V2152" s="42" t="s">
        <v>57</v>
      </c>
      <c r="W2152" s="32">
        <v>2050</v>
      </c>
      <c r="X2152" s="43" t="str">
        <f t="shared" si="269"/>
        <v>*0.9</v>
      </c>
      <c r="AC2152" s="33" t="s">
        <v>3026</v>
      </c>
      <c r="AD2152" s="44" t="s">
        <v>57</v>
      </c>
      <c r="AE2152" s="33">
        <v>2035</v>
      </c>
      <c r="AF2152" s="45" t="str">
        <f t="shared" si="270"/>
        <v>*0.9</v>
      </c>
      <c r="AG2152" s="43" t="str">
        <f t="shared" si="272"/>
        <v>REZoning_Sol-Win</v>
      </c>
      <c r="AI2152" s="33" t="s">
        <v>3026</v>
      </c>
      <c r="AJ2152" s="44" t="s">
        <v>57</v>
      </c>
      <c r="AK2152" s="33">
        <v>2050</v>
      </c>
      <c r="AL2152" s="45" t="str">
        <f t="shared" si="271"/>
        <v>*0.86</v>
      </c>
      <c r="AM2152" s="43" t="str">
        <f t="shared" si="273"/>
        <v>REZoning_Sol-Win</v>
      </c>
      <c r="AP2152" t="s">
        <v>3026</v>
      </c>
      <c r="AQ2152" t="s">
        <v>57</v>
      </c>
      <c r="AR2152">
        <v>2100</v>
      </c>
      <c r="AS2152" t="s">
        <v>883</v>
      </c>
      <c r="AT2152" t="s">
        <v>58</v>
      </c>
    </row>
    <row r="2153" ht="29" spans="1:46">
      <c r="A2153" s="31" t="s">
        <v>65</v>
      </c>
      <c r="C2153" t="s">
        <v>3027</v>
      </c>
      <c r="D2153" s="5" t="s">
        <v>57</v>
      </c>
      <c r="E2153">
        <v>2035</v>
      </c>
      <c r="F2153" s="6" t="str">
        <f t="shared" si="266"/>
        <v>*0.94</v>
      </c>
      <c r="H2153" t="s">
        <v>3027</v>
      </c>
      <c r="I2153" s="5" t="s">
        <v>57</v>
      </c>
      <c r="J2153">
        <v>2050</v>
      </c>
      <c r="K2153" s="38" t="str">
        <f t="shared" si="267"/>
        <v>*0.91</v>
      </c>
      <c r="P2153" s="32" t="s">
        <v>3027</v>
      </c>
      <c r="Q2153" s="42" t="s">
        <v>57</v>
      </c>
      <c r="R2153" s="32">
        <v>2035</v>
      </c>
      <c r="S2153" s="43" t="str">
        <f t="shared" si="268"/>
        <v>*0.93</v>
      </c>
      <c r="U2153" s="32" t="s">
        <v>3027</v>
      </c>
      <c r="V2153" s="42" t="s">
        <v>57</v>
      </c>
      <c r="W2153" s="32">
        <v>2050</v>
      </c>
      <c r="X2153" s="43" t="str">
        <f t="shared" si="269"/>
        <v>*0.9</v>
      </c>
      <c r="AC2153" s="33" t="s">
        <v>3027</v>
      </c>
      <c r="AD2153" s="44" t="s">
        <v>57</v>
      </c>
      <c r="AE2153" s="33">
        <v>2035</v>
      </c>
      <c r="AF2153" s="45" t="str">
        <f t="shared" si="270"/>
        <v>*0.9</v>
      </c>
      <c r="AG2153" s="43" t="str">
        <f t="shared" si="272"/>
        <v>REZoning_Sol-Win</v>
      </c>
      <c r="AI2153" s="33" t="s">
        <v>3027</v>
      </c>
      <c r="AJ2153" s="44" t="s">
        <v>57</v>
      </c>
      <c r="AK2153" s="33">
        <v>2050</v>
      </c>
      <c r="AL2153" s="45" t="str">
        <f t="shared" si="271"/>
        <v>*0.86</v>
      </c>
      <c r="AM2153" s="43" t="str">
        <f t="shared" si="273"/>
        <v>REZoning_Sol-Win</v>
      </c>
      <c r="AP2153" t="s">
        <v>3027</v>
      </c>
      <c r="AQ2153" t="s">
        <v>57</v>
      </c>
      <c r="AR2153">
        <v>2100</v>
      </c>
      <c r="AS2153" t="s">
        <v>883</v>
      </c>
      <c r="AT2153" t="s">
        <v>58</v>
      </c>
    </row>
    <row r="2154" ht="29" spans="1:46">
      <c r="A2154" s="31" t="s">
        <v>65</v>
      </c>
      <c r="C2154" t="s">
        <v>3028</v>
      </c>
      <c r="D2154" s="5" t="s">
        <v>57</v>
      </c>
      <c r="E2154">
        <v>2035</v>
      </c>
      <c r="F2154" s="6" t="str">
        <f t="shared" si="266"/>
        <v>*0.94</v>
      </c>
      <c r="H2154" t="s">
        <v>3028</v>
      </c>
      <c r="I2154" s="5" t="s">
        <v>57</v>
      </c>
      <c r="J2154">
        <v>2050</v>
      </c>
      <c r="K2154" s="38" t="str">
        <f t="shared" si="267"/>
        <v>*0.91</v>
      </c>
      <c r="P2154" s="32" t="s">
        <v>3028</v>
      </c>
      <c r="Q2154" s="42" t="s">
        <v>57</v>
      </c>
      <c r="R2154" s="32">
        <v>2035</v>
      </c>
      <c r="S2154" s="43" t="str">
        <f t="shared" si="268"/>
        <v>*0.93</v>
      </c>
      <c r="U2154" s="32" t="s">
        <v>3028</v>
      </c>
      <c r="V2154" s="42" t="s">
        <v>57</v>
      </c>
      <c r="W2154" s="32">
        <v>2050</v>
      </c>
      <c r="X2154" s="43" t="str">
        <f t="shared" si="269"/>
        <v>*0.9</v>
      </c>
      <c r="AC2154" s="33" t="s">
        <v>3028</v>
      </c>
      <c r="AD2154" s="44" t="s">
        <v>57</v>
      </c>
      <c r="AE2154" s="33">
        <v>2035</v>
      </c>
      <c r="AF2154" s="45" t="str">
        <f t="shared" si="270"/>
        <v>*0.9</v>
      </c>
      <c r="AG2154" s="43" t="str">
        <f t="shared" si="272"/>
        <v>REZoning_Sol-Win</v>
      </c>
      <c r="AI2154" s="33" t="s">
        <v>3028</v>
      </c>
      <c r="AJ2154" s="44" t="s">
        <v>57</v>
      </c>
      <c r="AK2154" s="33">
        <v>2050</v>
      </c>
      <c r="AL2154" s="45" t="str">
        <f t="shared" si="271"/>
        <v>*0.86</v>
      </c>
      <c r="AM2154" s="43" t="str">
        <f t="shared" si="273"/>
        <v>REZoning_Sol-Win</v>
      </c>
      <c r="AP2154" t="s">
        <v>3028</v>
      </c>
      <c r="AQ2154" t="s">
        <v>57</v>
      </c>
      <c r="AR2154">
        <v>2100</v>
      </c>
      <c r="AS2154" t="s">
        <v>883</v>
      </c>
      <c r="AT2154" t="s">
        <v>58</v>
      </c>
    </row>
    <row r="2155" ht="29" spans="1:46">
      <c r="A2155" s="31" t="s">
        <v>65</v>
      </c>
      <c r="C2155" t="s">
        <v>3029</v>
      </c>
      <c r="D2155" s="5" t="s">
        <v>57</v>
      </c>
      <c r="E2155">
        <v>2035</v>
      </c>
      <c r="F2155" s="6" t="str">
        <f t="shared" si="266"/>
        <v>*0.94</v>
      </c>
      <c r="H2155" t="s">
        <v>3029</v>
      </c>
      <c r="I2155" s="5" t="s">
        <v>57</v>
      </c>
      <c r="J2155">
        <v>2050</v>
      </c>
      <c r="K2155" s="38" t="str">
        <f t="shared" si="267"/>
        <v>*0.91</v>
      </c>
      <c r="P2155" s="32" t="s">
        <v>3029</v>
      </c>
      <c r="Q2155" s="42" t="s">
        <v>57</v>
      </c>
      <c r="R2155" s="32">
        <v>2035</v>
      </c>
      <c r="S2155" s="43" t="str">
        <f t="shared" si="268"/>
        <v>*0.93</v>
      </c>
      <c r="U2155" s="32" t="s">
        <v>3029</v>
      </c>
      <c r="V2155" s="42" t="s">
        <v>57</v>
      </c>
      <c r="W2155" s="32">
        <v>2050</v>
      </c>
      <c r="X2155" s="43" t="str">
        <f t="shared" si="269"/>
        <v>*0.9</v>
      </c>
      <c r="AC2155" s="33" t="s">
        <v>3029</v>
      </c>
      <c r="AD2155" s="44" t="s">
        <v>57</v>
      </c>
      <c r="AE2155" s="33">
        <v>2035</v>
      </c>
      <c r="AF2155" s="45" t="str">
        <f t="shared" si="270"/>
        <v>*0.9</v>
      </c>
      <c r="AG2155" s="43" t="str">
        <f t="shared" si="272"/>
        <v>REZoning_Sol-Win</v>
      </c>
      <c r="AI2155" s="33" t="s">
        <v>3029</v>
      </c>
      <c r="AJ2155" s="44" t="s">
        <v>57</v>
      </c>
      <c r="AK2155" s="33">
        <v>2050</v>
      </c>
      <c r="AL2155" s="45" t="str">
        <f t="shared" si="271"/>
        <v>*0.86</v>
      </c>
      <c r="AM2155" s="43" t="str">
        <f t="shared" si="273"/>
        <v>REZoning_Sol-Win</v>
      </c>
      <c r="AP2155" t="s">
        <v>3029</v>
      </c>
      <c r="AQ2155" t="s">
        <v>57</v>
      </c>
      <c r="AR2155">
        <v>2100</v>
      </c>
      <c r="AS2155" t="s">
        <v>883</v>
      </c>
      <c r="AT2155" t="s">
        <v>58</v>
      </c>
    </row>
    <row r="2156" ht="29" spans="1:46">
      <c r="A2156" s="31" t="s">
        <v>65</v>
      </c>
      <c r="C2156" t="s">
        <v>3030</v>
      </c>
      <c r="D2156" s="5" t="s">
        <v>57</v>
      </c>
      <c r="E2156">
        <v>2035</v>
      </c>
      <c r="F2156" s="6" t="str">
        <f t="shared" si="266"/>
        <v>*0.94</v>
      </c>
      <c r="H2156" t="s">
        <v>3030</v>
      </c>
      <c r="I2156" s="5" t="s">
        <v>57</v>
      </c>
      <c r="J2156">
        <v>2050</v>
      </c>
      <c r="K2156" s="38" t="str">
        <f t="shared" si="267"/>
        <v>*0.91</v>
      </c>
      <c r="P2156" s="32" t="s">
        <v>3030</v>
      </c>
      <c r="Q2156" s="42" t="s">
        <v>57</v>
      </c>
      <c r="R2156" s="32">
        <v>2035</v>
      </c>
      <c r="S2156" s="43" t="str">
        <f t="shared" si="268"/>
        <v>*0.93</v>
      </c>
      <c r="U2156" s="32" t="s">
        <v>3030</v>
      </c>
      <c r="V2156" s="42" t="s">
        <v>57</v>
      </c>
      <c r="W2156" s="32">
        <v>2050</v>
      </c>
      <c r="X2156" s="43" t="str">
        <f t="shared" si="269"/>
        <v>*0.9</v>
      </c>
      <c r="AC2156" s="33" t="s">
        <v>3030</v>
      </c>
      <c r="AD2156" s="44" t="s">
        <v>57</v>
      </c>
      <c r="AE2156" s="33">
        <v>2035</v>
      </c>
      <c r="AF2156" s="45" t="str">
        <f t="shared" si="270"/>
        <v>*0.9</v>
      </c>
      <c r="AG2156" s="43" t="str">
        <f t="shared" si="272"/>
        <v>REZoning_Sol-Win</v>
      </c>
      <c r="AI2156" s="33" t="s">
        <v>3030</v>
      </c>
      <c r="AJ2156" s="44" t="s">
        <v>57</v>
      </c>
      <c r="AK2156" s="33">
        <v>2050</v>
      </c>
      <c r="AL2156" s="45" t="str">
        <f t="shared" si="271"/>
        <v>*0.86</v>
      </c>
      <c r="AM2156" s="43" t="str">
        <f t="shared" si="273"/>
        <v>REZoning_Sol-Win</v>
      </c>
      <c r="AP2156" t="s">
        <v>3030</v>
      </c>
      <c r="AQ2156" t="s">
        <v>57</v>
      </c>
      <c r="AR2156">
        <v>2100</v>
      </c>
      <c r="AS2156" t="s">
        <v>883</v>
      </c>
      <c r="AT2156" t="s">
        <v>58</v>
      </c>
    </row>
    <row r="2157" ht="29" spans="1:46">
      <c r="A2157" s="31" t="s">
        <v>65</v>
      </c>
      <c r="C2157" t="s">
        <v>3031</v>
      </c>
      <c r="D2157" s="5" t="s">
        <v>57</v>
      </c>
      <c r="E2157">
        <v>2035</v>
      </c>
      <c r="F2157" s="6" t="str">
        <f t="shared" si="266"/>
        <v>*0.94</v>
      </c>
      <c r="H2157" t="s">
        <v>3031</v>
      </c>
      <c r="I2157" s="5" t="s">
        <v>57</v>
      </c>
      <c r="J2157">
        <v>2050</v>
      </c>
      <c r="K2157" s="38" t="str">
        <f t="shared" si="267"/>
        <v>*0.91</v>
      </c>
      <c r="P2157" s="32" t="s">
        <v>3031</v>
      </c>
      <c r="Q2157" s="42" t="s">
        <v>57</v>
      </c>
      <c r="R2157" s="32">
        <v>2035</v>
      </c>
      <c r="S2157" s="43" t="str">
        <f t="shared" si="268"/>
        <v>*0.93</v>
      </c>
      <c r="U2157" s="32" t="s">
        <v>3031</v>
      </c>
      <c r="V2157" s="42" t="s">
        <v>57</v>
      </c>
      <c r="W2157" s="32">
        <v>2050</v>
      </c>
      <c r="X2157" s="43" t="str">
        <f t="shared" si="269"/>
        <v>*0.9</v>
      </c>
      <c r="AC2157" s="33" t="s">
        <v>3031</v>
      </c>
      <c r="AD2157" s="44" t="s">
        <v>57</v>
      </c>
      <c r="AE2157" s="33">
        <v>2035</v>
      </c>
      <c r="AF2157" s="45" t="str">
        <f t="shared" si="270"/>
        <v>*0.9</v>
      </c>
      <c r="AG2157" s="43" t="str">
        <f t="shared" si="272"/>
        <v>REZoning_Sol-Win</v>
      </c>
      <c r="AI2157" s="33" t="s">
        <v>3031</v>
      </c>
      <c r="AJ2157" s="44" t="s">
        <v>57</v>
      </c>
      <c r="AK2157" s="33">
        <v>2050</v>
      </c>
      <c r="AL2157" s="45" t="str">
        <f t="shared" si="271"/>
        <v>*0.86</v>
      </c>
      <c r="AM2157" s="43" t="str">
        <f t="shared" si="273"/>
        <v>REZoning_Sol-Win</v>
      </c>
      <c r="AP2157" t="s">
        <v>3031</v>
      </c>
      <c r="AQ2157" t="s">
        <v>57</v>
      </c>
      <c r="AR2157">
        <v>2100</v>
      </c>
      <c r="AS2157" t="s">
        <v>883</v>
      </c>
      <c r="AT2157" t="s">
        <v>58</v>
      </c>
    </row>
    <row r="2158" ht="29" spans="1:46">
      <c r="A2158" s="31" t="s">
        <v>65</v>
      </c>
      <c r="C2158" t="s">
        <v>3032</v>
      </c>
      <c r="D2158" s="5" t="s">
        <v>57</v>
      </c>
      <c r="E2158">
        <v>2035</v>
      </c>
      <c r="F2158" s="6" t="str">
        <f t="shared" si="266"/>
        <v>*0.94</v>
      </c>
      <c r="H2158" t="s">
        <v>3032</v>
      </c>
      <c r="I2158" s="5" t="s">
        <v>57</v>
      </c>
      <c r="J2158">
        <v>2050</v>
      </c>
      <c r="K2158" s="38" t="str">
        <f t="shared" si="267"/>
        <v>*0.91</v>
      </c>
      <c r="P2158" s="32" t="s">
        <v>3032</v>
      </c>
      <c r="Q2158" s="42" t="s">
        <v>57</v>
      </c>
      <c r="R2158" s="32">
        <v>2035</v>
      </c>
      <c r="S2158" s="43" t="str">
        <f t="shared" si="268"/>
        <v>*0.93</v>
      </c>
      <c r="U2158" s="32" t="s">
        <v>3032</v>
      </c>
      <c r="V2158" s="42" t="s">
        <v>57</v>
      </c>
      <c r="W2158" s="32">
        <v>2050</v>
      </c>
      <c r="X2158" s="43" t="str">
        <f t="shared" si="269"/>
        <v>*0.9</v>
      </c>
      <c r="AC2158" s="33" t="s">
        <v>3032</v>
      </c>
      <c r="AD2158" s="44" t="s">
        <v>57</v>
      </c>
      <c r="AE2158" s="33">
        <v>2035</v>
      </c>
      <c r="AF2158" s="45" t="str">
        <f t="shared" si="270"/>
        <v>*0.9</v>
      </c>
      <c r="AG2158" s="43" t="str">
        <f t="shared" si="272"/>
        <v>REZoning_Sol-Win</v>
      </c>
      <c r="AI2158" s="33" t="s">
        <v>3032</v>
      </c>
      <c r="AJ2158" s="44" t="s">
        <v>57</v>
      </c>
      <c r="AK2158" s="33">
        <v>2050</v>
      </c>
      <c r="AL2158" s="45" t="str">
        <f t="shared" si="271"/>
        <v>*0.86</v>
      </c>
      <c r="AM2158" s="43" t="str">
        <f t="shared" si="273"/>
        <v>REZoning_Sol-Win</v>
      </c>
      <c r="AP2158" t="s">
        <v>3032</v>
      </c>
      <c r="AQ2158" t="s">
        <v>57</v>
      </c>
      <c r="AR2158">
        <v>2100</v>
      </c>
      <c r="AS2158" t="s">
        <v>883</v>
      </c>
      <c r="AT2158" t="s">
        <v>58</v>
      </c>
    </row>
    <row r="2159" ht="29" spans="1:46">
      <c r="A2159" s="31" t="s">
        <v>65</v>
      </c>
      <c r="C2159" t="s">
        <v>3033</v>
      </c>
      <c r="D2159" s="5" t="s">
        <v>57</v>
      </c>
      <c r="E2159">
        <v>2035</v>
      </c>
      <c r="F2159" s="6" t="str">
        <f t="shared" si="266"/>
        <v>*0.94</v>
      </c>
      <c r="H2159" t="s">
        <v>3033</v>
      </c>
      <c r="I2159" s="5" t="s">
        <v>57</v>
      </c>
      <c r="J2159">
        <v>2050</v>
      </c>
      <c r="K2159" s="38" t="str">
        <f t="shared" si="267"/>
        <v>*0.91</v>
      </c>
      <c r="P2159" s="32" t="s">
        <v>3033</v>
      </c>
      <c r="Q2159" s="42" t="s">
        <v>57</v>
      </c>
      <c r="R2159" s="32">
        <v>2035</v>
      </c>
      <c r="S2159" s="43" t="str">
        <f t="shared" si="268"/>
        <v>*0.93</v>
      </c>
      <c r="U2159" s="32" t="s">
        <v>3033</v>
      </c>
      <c r="V2159" s="42" t="s">
        <v>57</v>
      </c>
      <c r="W2159" s="32">
        <v>2050</v>
      </c>
      <c r="X2159" s="43" t="str">
        <f t="shared" si="269"/>
        <v>*0.9</v>
      </c>
      <c r="AC2159" s="33" t="s">
        <v>3033</v>
      </c>
      <c r="AD2159" s="44" t="s">
        <v>57</v>
      </c>
      <c r="AE2159" s="33">
        <v>2035</v>
      </c>
      <c r="AF2159" s="45" t="str">
        <f t="shared" si="270"/>
        <v>*0.9</v>
      </c>
      <c r="AG2159" s="43" t="str">
        <f t="shared" si="272"/>
        <v>REZoning_Sol-Win</v>
      </c>
      <c r="AI2159" s="33" t="s">
        <v>3033</v>
      </c>
      <c r="AJ2159" s="44" t="s">
        <v>57</v>
      </c>
      <c r="AK2159" s="33">
        <v>2050</v>
      </c>
      <c r="AL2159" s="45" t="str">
        <f t="shared" si="271"/>
        <v>*0.86</v>
      </c>
      <c r="AM2159" s="43" t="str">
        <f t="shared" si="273"/>
        <v>REZoning_Sol-Win</v>
      </c>
      <c r="AP2159" t="s">
        <v>3033</v>
      </c>
      <c r="AQ2159" t="s">
        <v>57</v>
      </c>
      <c r="AR2159">
        <v>2100</v>
      </c>
      <c r="AS2159" t="s">
        <v>883</v>
      </c>
      <c r="AT2159" t="s">
        <v>58</v>
      </c>
    </row>
    <row r="2160" ht="29" spans="1:46">
      <c r="A2160" s="31" t="s">
        <v>65</v>
      </c>
      <c r="C2160" t="s">
        <v>3034</v>
      </c>
      <c r="D2160" s="5" t="s">
        <v>57</v>
      </c>
      <c r="E2160">
        <v>2035</v>
      </c>
      <c r="F2160" s="6" t="str">
        <f t="shared" si="266"/>
        <v>*0.94</v>
      </c>
      <c r="H2160" t="s">
        <v>3034</v>
      </c>
      <c r="I2160" s="5" t="s">
        <v>57</v>
      </c>
      <c r="J2160">
        <v>2050</v>
      </c>
      <c r="K2160" s="38" t="str">
        <f t="shared" si="267"/>
        <v>*0.91</v>
      </c>
      <c r="P2160" s="32" t="s">
        <v>3034</v>
      </c>
      <c r="Q2160" s="42" t="s">
        <v>57</v>
      </c>
      <c r="R2160" s="32">
        <v>2035</v>
      </c>
      <c r="S2160" s="43" t="str">
        <f t="shared" si="268"/>
        <v>*0.93</v>
      </c>
      <c r="U2160" s="32" t="s">
        <v>3034</v>
      </c>
      <c r="V2160" s="42" t="s">
        <v>57</v>
      </c>
      <c r="W2160" s="32">
        <v>2050</v>
      </c>
      <c r="X2160" s="43" t="str">
        <f t="shared" si="269"/>
        <v>*0.9</v>
      </c>
      <c r="AC2160" s="33" t="s">
        <v>3034</v>
      </c>
      <c r="AD2160" s="44" t="s">
        <v>57</v>
      </c>
      <c r="AE2160" s="33">
        <v>2035</v>
      </c>
      <c r="AF2160" s="45" t="str">
        <f t="shared" si="270"/>
        <v>*0.9</v>
      </c>
      <c r="AG2160" s="43" t="str">
        <f t="shared" si="272"/>
        <v>REZoning_Sol-Win</v>
      </c>
      <c r="AI2160" s="33" t="s">
        <v>3034</v>
      </c>
      <c r="AJ2160" s="44" t="s">
        <v>57</v>
      </c>
      <c r="AK2160" s="33">
        <v>2050</v>
      </c>
      <c r="AL2160" s="45" t="str">
        <f t="shared" si="271"/>
        <v>*0.86</v>
      </c>
      <c r="AM2160" s="43" t="str">
        <f t="shared" si="273"/>
        <v>REZoning_Sol-Win</v>
      </c>
      <c r="AP2160" t="s">
        <v>3034</v>
      </c>
      <c r="AQ2160" t="s">
        <v>57</v>
      </c>
      <c r="AR2160">
        <v>2100</v>
      </c>
      <c r="AS2160" t="s">
        <v>883</v>
      </c>
      <c r="AT2160" t="s">
        <v>58</v>
      </c>
    </row>
    <row r="2161" ht="29" spans="1:46">
      <c r="A2161" s="31" t="s">
        <v>65</v>
      </c>
      <c r="C2161" t="s">
        <v>3035</v>
      </c>
      <c r="D2161" s="5" t="s">
        <v>57</v>
      </c>
      <c r="E2161">
        <v>2035</v>
      </c>
      <c r="F2161" s="6" t="str">
        <f t="shared" si="266"/>
        <v>*0.94</v>
      </c>
      <c r="H2161" t="s">
        <v>3035</v>
      </c>
      <c r="I2161" s="5" t="s">
        <v>57</v>
      </c>
      <c r="J2161">
        <v>2050</v>
      </c>
      <c r="K2161" s="38" t="str">
        <f t="shared" si="267"/>
        <v>*0.91</v>
      </c>
      <c r="P2161" s="32" t="s">
        <v>3035</v>
      </c>
      <c r="Q2161" s="42" t="s">
        <v>57</v>
      </c>
      <c r="R2161" s="32">
        <v>2035</v>
      </c>
      <c r="S2161" s="43" t="str">
        <f t="shared" si="268"/>
        <v>*0.93</v>
      </c>
      <c r="U2161" s="32" t="s">
        <v>3035</v>
      </c>
      <c r="V2161" s="42" t="s">
        <v>57</v>
      </c>
      <c r="W2161" s="32">
        <v>2050</v>
      </c>
      <c r="X2161" s="43" t="str">
        <f t="shared" si="269"/>
        <v>*0.9</v>
      </c>
      <c r="AC2161" s="33" t="s">
        <v>3035</v>
      </c>
      <c r="AD2161" s="44" t="s">
        <v>57</v>
      </c>
      <c r="AE2161" s="33">
        <v>2035</v>
      </c>
      <c r="AF2161" s="45" t="str">
        <f t="shared" si="270"/>
        <v>*0.9</v>
      </c>
      <c r="AG2161" s="43" t="str">
        <f t="shared" si="272"/>
        <v>REZoning_Sol-Win</v>
      </c>
      <c r="AI2161" s="33" t="s">
        <v>3035</v>
      </c>
      <c r="AJ2161" s="44" t="s">
        <v>57</v>
      </c>
      <c r="AK2161" s="33">
        <v>2050</v>
      </c>
      <c r="AL2161" s="45" t="str">
        <f t="shared" si="271"/>
        <v>*0.86</v>
      </c>
      <c r="AM2161" s="43" t="str">
        <f t="shared" si="273"/>
        <v>REZoning_Sol-Win</v>
      </c>
      <c r="AP2161" t="s">
        <v>3035</v>
      </c>
      <c r="AQ2161" t="s">
        <v>57</v>
      </c>
      <c r="AR2161">
        <v>2100</v>
      </c>
      <c r="AS2161" t="s">
        <v>883</v>
      </c>
      <c r="AT2161" t="s">
        <v>58</v>
      </c>
    </row>
    <row r="2162" ht="29" spans="1:46">
      <c r="A2162" s="31" t="s">
        <v>65</v>
      </c>
      <c r="C2162" t="s">
        <v>3036</v>
      </c>
      <c r="D2162" s="5" t="s">
        <v>57</v>
      </c>
      <c r="E2162">
        <v>2035</v>
      </c>
      <c r="F2162" s="6" t="str">
        <f t="shared" si="266"/>
        <v>*0.94</v>
      </c>
      <c r="H2162" t="s">
        <v>3036</v>
      </c>
      <c r="I2162" s="5" t="s">
        <v>57</v>
      </c>
      <c r="J2162">
        <v>2050</v>
      </c>
      <c r="K2162" s="38" t="str">
        <f t="shared" si="267"/>
        <v>*0.91</v>
      </c>
      <c r="P2162" s="32" t="s">
        <v>3036</v>
      </c>
      <c r="Q2162" s="42" t="s">
        <v>57</v>
      </c>
      <c r="R2162" s="32">
        <v>2035</v>
      </c>
      <c r="S2162" s="43" t="str">
        <f t="shared" si="268"/>
        <v>*0.93</v>
      </c>
      <c r="U2162" s="32" t="s">
        <v>3036</v>
      </c>
      <c r="V2162" s="42" t="s">
        <v>57</v>
      </c>
      <c r="W2162" s="32">
        <v>2050</v>
      </c>
      <c r="X2162" s="43" t="str">
        <f t="shared" si="269"/>
        <v>*0.9</v>
      </c>
      <c r="AC2162" s="33" t="s">
        <v>3036</v>
      </c>
      <c r="AD2162" s="44" t="s">
        <v>57</v>
      </c>
      <c r="AE2162" s="33">
        <v>2035</v>
      </c>
      <c r="AF2162" s="45" t="str">
        <f t="shared" si="270"/>
        <v>*0.9</v>
      </c>
      <c r="AG2162" s="43" t="str">
        <f t="shared" si="272"/>
        <v>REZoning_Sol-Win</v>
      </c>
      <c r="AI2162" s="33" t="s">
        <v>3036</v>
      </c>
      <c r="AJ2162" s="44" t="s">
        <v>57</v>
      </c>
      <c r="AK2162" s="33">
        <v>2050</v>
      </c>
      <c r="AL2162" s="45" t="str">
        <f t="shared" si="271"/>
        <v>*0.86</v>
      </c>
      <c r="AM2162" s="43" t="str">
        <f t="shared" si="273"/>
        <v>REZoning_Sol-Win</v>
      </c>
      <c r="AP2162" t="s">
        <v>3036</v>
      </c>
      <c r="AQ2162" t="s">
        <v>57</v>
      </c>
      <c r="AR2162">
        <v>2100</v>
      </c>
      <c r="AS2162" t="s">
        <v>883</v>
      </c>
      <c r="AT2162" t="s">
        <v>58</v>
      </c>
    </row>
    <row r="2163" ht="29" spans="1:46">
      <c r="A2163" s="31" t="s">
        <v>65</v>
      </c>
      <c r="C2163" t="s">
        <v>3037</v>
      </c>
      <c r="D2163" s="5" t="s">
        <v>57</v>
      </c>
      <c r="E2163">
        <v>2035</v>
      </c>
      <c r="F2163" s="6" t="str">
        <f t="shared" si="266"/>
        <v>*0.94</v>
      </c>
      <c r="H2163" t="s">
        <v>3037</v>
      </c>
      <c r="I2163" s="5" t="s">
        <v>57</v>
      </c>
      <c r="J2163">
        <v>2050</v>
      </c>
      <c r="K2163" s="38" t="str">
        <f t="shared" si="267"/>
        <v>*0.91</v>
      </c>
      <c r="P2163" s="32" t="s">
        <v>3037</v>
      </c>
      <c r="Q2163" s="42" t="s">
        <v>57</v>
      </c>
      <c r="R2163" s="32">
        <v>2035</v>
      </c>
      <c r="S2163" s="43" t="str">
        <f t="shared" si="268"/>
        <v>*0.93</v>
      </c>
      <c r="U2163" s="32" t="s">
        <v>3037</v>
      </c>
      <c r="V2163" s="42" t="s">
        <v>57</v>
      </c>
      <c r="W2163" s="32">
        <v>2050</v>
      </c>
      <c r="X2163" s="43" t="str">
        <f t="shared" si="269"/>
        <v>*0.9</v>
      </c>
      <c r="AC2163" s="33" t="s">
        <v>3037</v>
      </c>
      <c r="AD2163" s="44" t="s">
        <v>57</v>
      </c>
      <c r="AE2163" s="33">
        <v>2035</v>
      </c>
      <c r="AF2163" s="45" t="str">
        <f t="shared" si="270"/>
        <v>*0.9</v>
      </c>
      <c r="AG2163" s="43" t="str">
        <f t="shared" si="272"/>
        <v>REZoning_Sol-Win</v>
      </c>
      <c r="AI2163" s="33" t="s">
        <v>3037</v>
      </c>
      <c r="AJ2163" s="44" t="s">
        <v>57</v>
      </c>
      <c r="AK2163" s="33">
        <v>2050</v>
      </c>
      <c r="AL2163" s="45" t="str">
        <f t="shared" si="271"/>
        <v>*0.86</v>
      </c>
      <c r="AM2163" s="43" t="str">
        <f t="shared" si="273"/>
        <v>REZoning_Sol-Win</v>
      </c>
      <c r="AP2163" t="s">
        <v>3037</v>
      </c>
      <c r="AQ2163" t="s">
        <v>57</v>
      </c>
      <c r="AR2163">
        <v>2100</v>
      </c>
      <c r="AS2163" t="s">
        <v>883</v>
      </c>
      <c r="AT2163" t="s">
        <v>58</v>
      </c>
    </row>
    <row r="2164" ht="29" spans="1:46">
      <c r="A2164" s="31" t="s">
        <v>65</v>
      </c>
      <c r="C2164" t="s">
        <v>3038</v>
      </c>
      <c r="D2164" s="5" t="s">
        <v>57</v>
      </c>
      <c r="E2164">
        <v>2035</v>
      </c>
      <c r="F2164" s="6" t="str">
        <f t="shared" si="266"/>
        <v>*0.94</v>
      </c>
      <c r="H2164" t="s">
        <v>3038</v>
      </c>
      <c r="I2164" s="5" t="s">
        <v>57</v>
      </c>
      <c r="J2164">
        <v>2050</v>
      </c>
      <c r="K2164" s="38" t="str">
        <f t="shared" si="267"/>
        <v>*0.91</v>
      </c>
      <c r="P2164" s="32" t="s">
        <v>3038</v>
      </c>
      <c r="Q2164" s="42" t="s">
        <v>57</v>
      </c>
      <c r="R2164" s="32">
        <v>2035</v>
      </c>
      <c r="S2164" s="43" t="str">
        <f t="shared" si="268"/>
        <v>*0.93</v>
      </c>
      <c r="U2164" s="32" t="s">
        <v>3038</v>
      </c>
      <c r="V2164" s="42" t="s">
        <v>57</v>
      </c>
      <c r="W2164" s="32">
        <v>2050</v>
      </c>
      <c r="X2164" s="43" t="str">
        <f t="shared" si="269"/>
        <v>*0.9</v>
      </c>
      <c r="AC2164" s="33" t="s">
        <v>3038</v>
      </c>
      <c r="AD2164" s="44" t="s">
        <v>57</v>
      </c>
      <c r="AE2164" s="33">
        <v>2035</v>
      </c>
      <c r="AF2164" s="45" t="str">
        <f t="shared" si="270"/>
        <v>*0.9</v>
      </c>
      <c r="AG2164" s="43" t="str">
        <f t="shared" si="272"/>
        <v>REZoning_Sol-Win</v>
      </c>
      <c r="AI2164" s="33" t="s">
        <v>3038</v>
      </c>
      <c r="AJ2164" s="44" t="s">
        <v>57</v>
      </c>
      <c r="AK2164" s="33">
        <v>2050</v>
      </c>
      <c r="AL2164" s="45" t="str">
        <f t="shared" si="271"/>
        <v>*0.86</v>
      </c>
      <c r="AM2164" s="43" t="str">
        <f t="shared" si="273"/>
        <v>REZoning_Sol-Win</v>
      </c>
      <c r="AP2164" t="s">
        <v>3038</v>
      </c>
      <c r="AQ2164" t="s">
        <v>57</v>
      </c>
      <c r="AR2164">
        <v>2100</v>
      </c>
      <c r="AS2164" t="s">
        <v>883</v>
      </c>
      <c r="AT2164" t="s">
        <v>58</v>
      </c>
    </row>
    <row r="2165" ht="29" spans="1:46">
      <c r="A2165" s="31" t="s">
        <v>65</v>
      </c>
      <c r="C2165" t="s">
        <v>3039</v>
      </c>
      <c r="D2165" s="5" t="s">
        <v>57</v>
      </c>
      <c r="E2165">
        <v>2035</v>
      </c>
      <c r="F2165" s="6" t="str">
        <f t="shared" si="266"/>
        <v>*0.94</v>
      </c>
      <c r="H2165" t="s">
        <v>3039</v>
      </c>
      <c r="I2165" s="5" t="s">
        <v>57</v>
      </c>
      <c r="J2165">
        <v>2050</v>
      </c>
      <c r="K2165" s="38" t="str">
        <f t="shared" si="267"/>
        <v>*0.91</v>
      </c>
      <c r="P2165" s="32" t="s">
        <v>3039</v>
      </c>
      <c r="Q2165" s="42" t="s">
        <v>57</v>
      </c>
      <c r="R2165" s="32">
        <v>2035</v>
      </c>
      <c r="S2165" s="43" t="str">
        <f t="shared" si="268"/>
        <v>*0.93</v>
      </c>
      <c r="U2165" s="32" t="s">
        <v>3039</v>
      </c>
      <c r="V2165" s="42" t="s">
        <v>57</v>
      </c>
      <c r="W2165" s="32">
        <v>2050</v>
      </c>
      <c r="X2165" s="43" t="str">
        <f t="shared" si="269"/>
        <v>*0.9</v>
      </c>
      <c r="AC2165" s="33" t="s">
        <v>3039</v>
      </c>
      <c r="AD2165" s="44" t="s">
        <v>57</v>
      </c>
      <c r="AE2165" s="33">
        <v>2035</v>
      </c>
      <c r="AF2165" s="45" t="str">
        <f t="shared" si="270"/>
        <v>*0.9</v>
      </c>
      <c r="AG2165" s="43" t="str">
        <f t="shared" si="272"/>
        <v>REZoning_Sol-Win</v>
      </c>
      <c r="AI2165" s="33" t="s">
        <v>3039</v>
      </c>
      <c r="AJ2165" s="44" t="s">
        <v>57</v>
      </c>
      <c r="AK2165" s="33">
        <v>2050</v>
      </c>
      <c r="AL2165" s="45" t="str">
        <f t="shared" si="271"/>
        <v>*0.86</v>
      </c>
      <c r="AM2165" s="43" t="str">
        <f t="shared" si="273"/>
        <v>REZoning_Sol-Win</v>
      </c>
      <c r="AP2165" t="s">
        <v>3039</v>
      </c>
      <c r="AQ2165" t="s">
        <v>57</v>
      </c>
      <c r="AR2165">
        <v>2100</v>
      </c>
      <c r="AS2165" t="s">
        <v>883</v>
      </c>
      <c r="AT2165" t="s">
        <v>58</v>
      </c>
    </row>
    <row r="2166" ht="29" spans="1:46">
      <c r="A2166" s="31" t="s">
        <v>65</v>
      </c>
      <c r="C2166" t="s">
        <v>3040</v>
      </c>
      <c r="D2166" s="5" t="s">
        <v>57</v>
      </c>
      <c r="E2166">
        <v>2035</v>
      </c>
      <c r="F2166" s="6" t="str">
        <f t="shared" si="266"/>
        <v>*0.94</v>
      </c>
      <c r="H2166" t="s">
        <v>3040</v>
      </c>
      <c r="I2166" s="5" t="s">
        <v>57</v>
      </c>
      <c r="J2166">
        <v>2050</v>
      </c>
      <c r="K2166" s="38" t="str">
        <f t="shared" si="267"/>
        <v>*0.91</v>
      </c>
      <c r="P2166" s="32" t="s">
        <v>3040</v>
      </c>
      <c r="Q2166" s="42" t="s">
        <v>57</v>
      </c>
      <c r="R2166" s="32">
        <v>2035</v>
      </c>
      <c r="S2166" s="43" t="str">
        <f t="shared" si="268"/>
        <v>*0.93</v>
      </c>
      <c r="U2166" s="32" t="s">
        <v>3040</v>
      </c>
      <c r="V2166" s="42" t="s">
        <v>57</v>
      </c>
      <c r="W2166" s="32">
        <v>2050</v>
      </c>
      <c r="X2166" s="43" t="str">
        <f t="shared" si="269"/>
        <v>*0.9</v>
      </c>
      <c r="AC2166" s="33" t="s">
        <v>3040</v>
      </c>
      <c r="AD2166" s="44" t="s">
        <v>57</v>
      </c>
      <c r="AE2166" s="33">
        <v>2035</v>
      </c>
      <c r="AF2166" s="45" t="str">
        <f t="shared" si="270"/>
        <v>*0.9</v>
      </c>
      <c r="AG2166" s="43" t="str">
        <f t="shared" si="272"/>
        <v>REZoning_Sol-Win</v>
      </c>
      <c r="AI2166" s="33" t="s">
        <v>3040</v>
      </c>
      <c r="AJ2166" s="44" t="s">
        <v>57</v>
      </c>
      <c r="AK2166" s="33">
        <v>2050</v>
      </c>
      <c r="AL2166" s="45" t="str">
        <f t="shared" si="271"/>
        <v>*0.86</v>
      </c>
      <c r="AM2166" s="43" t="str">
        <f t="shared" si="273"/>
        <v>REZoning_Sol-Win</v>
      </c>
      <c r="AP2166" t="s">
        <v>3040</v>
      </c>
      <c r="AQ2166" t="s">
        <v>57</v>
      </c>
      <c r="AR2166">
        <v>2100</v>
      </c>
      <c r="AS2166" t="s">
        <v>883</v>
      </c>
      <c r="AT2166" t="s">
        <v>58</v>
      </c>
    </row>
    <row r="2167" ht="29" spans="1:46">
      <c r="A2167" s="31" t="s">
        <v>65</v>
      </c>
      <c r="C2167" t="s">
        <v>3041</v>
      </c>
      <c r="D2167" s="5" t="s">
        <v>57</v>
      </c>
      <c r="E2167">
        <v>2035</v>
      </c>
      <c r="F2167" s="6" t="str">
        <f t="shared" si="266"/>
        <v>*0.94</v>
      </c>
      <c r="H2167" t="s">
        <v>3041</v>
      </c>
      <c r="I2167" s="5" t="s">
        <v>57</v>
      </c>
      <c r="J2167">
        <v>2050</v>
      </c>
      <c r="K2167" s="38" t="str">
        <f t="shared" si="267"/>
        <v>*0.91</v>
      </c>
      <c r="P2167" s="32" t="s">
        <v>3041</v>
      </c>
      <c r="Q2167" s="42" t="s">
        <v>57</v>
      </c>
      <c r="R2167" s="32">
        <v>2035</v>
      </c>
      <c r="S2167" s="43" t="str">
        <f t="shared" si="268"/>
        <v>*0.93</v>
      </c>
      <c r="U2167" s="32" t="s">
        <v>3041</v>
      </c>
      <c r="V2167" s="42" t="s">
        <v>57</v>
      </c>
      <c r="W2167" s="32">
        <v>2050</v>
      </c>
      <c r="X2167" s="43" t="str">
        <f t="shared" si="269"/>
        <v>*0.9</v>
      </c>
      <c r="AC2167" s="33" t="s">
        <v>3041</v>
      </c>
      <c r="AD2167" s="44" t="s">
        <v>57</v>
      </c>
      <c r="AE2167" s="33">
        <v>2035</v>
      </c>
      <c r="AF2167" s="45" t="str">
        <f t="shared" si="270"/>
        <v>*0.9</v>
      </c>
      <c r="AG2167" s="43" t="str">
        <f t="shared" si="272"/>
        <v>REZoning_Sol-Win</v>
      </c>
      <c r="AI2167" s="33" t="s">
        <v>3041</v>
      </c>
      <c r="AJ2167" s="44" t="s">
        <v>57</v>
      </c>
      <c r="AK2167" s="33">
        <v>2050</v>
      </c>
      <c r="AL2167" s="45" t="str">
        <f t="shared" si="271"/>
        <v>*0.86</v>
      </c>
      <c r="AM2167" s="43" t="str">
        <f t="shared" si="273"/>
        <v>REZoning_Sol-Win</v>
      </c>
      <c r="AP2167" t="s">
        <v>3041</v>
      </c>
      <c r="AQ2167" t="s">
        <v>57</v>
      </c>
      <c r="AR2167">
        <v>2100</v>
      </c>
      <c r="AS2167" t="s">
        <v>883</v>
      </c>
      <c r="AT2167" t="s">
        <v>58</v>
      </c>
    </row>
    <row r="2168" ht="29" spans="1:46">
      <c r="A2168" s="31" t="s">
        <v>65</v>
      </c>
      <c r="C2168" t="s">
        <v>3042</v>
      </c>
      <c r="D2168" s="5" t="s">
        <v>57</v>
      </c>
      <c r="E2168">
        <v>2035</v>
      </c>
      <c r="F2168" s="6" t="str">
        <f t="shared" si="266"/>
        <v>*0.94</v>
      </c>
      <c r="H2168" t="s">
        <v>3042</v>
      </c>
      <c r="I2168" s="5" t="s">
        <v>57</v>
      </c>
      <c r="J2168">
        <v>2050</v>
      </c>
      <c r="K2168" s="38" t="str">
        <f t="shared" si="267"/>
        <v>*0.91</v>
      </c>
      <c r="P2168" s="32" t="s">
        <v>3042</v>
      </c>
      <c r="Q2168" s="42" t="s">
        <v>57</v>
      </c>
      <c r="R2168" s="32">
        <v>2035</v>
      </c>
      <c r="S2168" s="43" t="str">
        <f t="shared" si="268"/>
        <v>*0.93</v>
      </c>
      <c r="U2168" s="32" t="s">
        <v>3042</v>
      </c>
      <c r="V2168" s="42" t="s">
        <v>57</v>
      </c>
      <c r="W2168" s="32">
        <v>2050</v>
      </c>
      <c r="X2168" s="43" t="str">
        <f t="shared" si="269"/>
        <v>*0.9</v>
      </c>
      <c r="AC2168" s="33" t="s">
        <v>3042</v>
      </c>
      <c r="AD2168" s="44" t="s">
        <v>57</v>
      </c>
      <c r="AE2168" s="33">
        <v>2035</v>
      </c>
      <c r="AF2168" s="45" t="str">
        <f t="shared" si="270"/>
        <v>*0.9</v>
      </c>
      <c r="AG2168" s="43" t="str">
        <f t="shared" si="272"/>
        <v>REZoning_Sol-Win</v>
      </c>
      <c r="AI2168" s="33" t="s">
        <v>3042</v>
      </c>
      <c r="AJ2168" s="44" t="s">
        <v>57</v>
      </c>
      <c r="AK2168" s="33">
        <v>2050</v>
      </c>
      <c r="AL2168" s="45" t="str">
        <f t="shared" si="271"/>
        <v>*0.86</v>
      </c>
      <c r="AM2168" s="43" t="str">
        <f t="shared" si="273"/>
        <v>REZoning_Sol-Win</v>
      </c>
      <c r="AP2168" t="s">
        <v>3042</v>
      </c>
      <c r="AQ2168" t="s">
        <v>57</v>
      </c>
      <c r="AR2168">
        <v>2100</v>
      </c>
      <c r="AS2168" t="s">
        <v>883</v>
      </c>
      <c r="AT2168" t="s">
        <v>58</v>
      </c>
    </row>
    <row r="2169" ht="29" spans="1:46">
      <c r="A2169" s="31" t="s">
        <v>65</v>
      </c>
      <c r="C2169" t="s">
        <v>3043</v>
      </c>
      <c r="D2169" s="5" t="s">
        <v>57</v>
      </c>
      <c r="E2169">
        <v>2035</v>
      </c>
      <c r="F2169" s="6" t="str">
        <f t="shared" si="266"/>
        <v>*0.94</v>
      </c>
      <c r="H2169" t="s">
        <v>3043</v>
      </c>
      <c r="I2169" s="5" t="s">
        <v>57</v>
      </c>
      <c r="J2169">
        <v>2050</v>
      </c>
      <c r="K2169" s="38" t="str">
        <f t="shared" si="267"/>
        <v>*0.91</v>
      </c>
      <c r="P2169" s="32" t="s">
        <v>3043</v>
      </c>
      <c r="Q2169" s="42" t="s">
        <v>57</v>
      </c>
      <c r="R2169" s="32">
        <v>2035</v>
      </c>
      <c r="S2169" s="43" t="str">
        <f t="shared" si="268"/>
        <v>*0.93</v>
      </c>
      <c r="U2169" s="32" t="s">
        <v>3043</v>
      </c>
      <c r="V2169" s="42" t="s">
        <v>57</v>
      </c>
      <c r="W2169" s="32">
        <v>2050</v>
      </c>
      <c r="X2169" s="43" t="str">
        <f t="shared" si="269"/>
        <v>*0.9</v>
      </c>
      <c r="AC2169" s="33" t="s">
        <v>3043</v>
      </c>
      <c r="AD2169" s="44" t="s">
        <v>57</v>
      </c>
      <c r="AE2169" s="33">
        <v>2035</v>
      </c>
      <c r="AF2169" s="45" t="str">
        <f t="shared" si="270"/>
        <v>*0.9</v>
      </c>
      <c r="AG2169" s="43" t="str">
        <f t="shared" si="272"/>
        <v>REZoning_Sol-Win</v>
      </c>
      <c r="AI2169" s="33" t="s">
        <v>3043</v>
      </c>
      <c r="AJ2169" s="44" t="s">
        <v>57</v>
      </c>
      <c r="AK2169" s="33">
        <v>2050</v>
      </c>
      <c r="AL2169" s="45" t="str">
        <f t="shared" si="271"/>
        <v>*0.86</v>
      </c>
      <c r="AM2169" s="43" t="str">
        <f t="shared" si="273"/>
        <v>REZoning_Sol-Win</v>
      </c>
      <c r="AP2169" t="s">
        <v>3043</v>
      </c>
      <c r="AQ2169" t="s">
        <v>57</v>
      </c>
      <c r="AR2169">
        <v>2100</v>
      </c>
      <c r="AS2169" t="s">
        <v>883</v>
      </c>
      <c r="AT2169" t="s">
        <v>58</v>
      </c>
    </row>
    <row r="2170" ht="29" spans="1:46">
      <c r="A2170" s="31" t="s">
        <v>65</v>
      </c>
      <c r="C2170" t="s">
        <v>3044</v>
      </c>
      <c r="D2170" s="5" t="s">
        <v>57</v>
      </c>
      <c r="E2170">
        <v>2035</v>
      </c>
      <c r="F2170" s="6" t="str">
        <f t="shared" si="266"/>
        <v>*0.94</v>
      </c>
      <c r="H2170" t="s">
        <v>3044</v>
      </c>
      <c r="I2170" s="5" t="s">
        <v>57</v>
      </c>
      <c r="J2170">
        <v>2050</v>
      </c>
      <c r="K2170" s="38" t="str">
        <f t="shared" si="267"/>
        <v>*0.91</v>
      </c>
      <c r="P2170" s="32" t="s">
        <v>3044</v>
      </c>
      <c r="Q2170" s="42" t="s">
        <v>57</v>
      </c>
      <c r="R2170" s="32">
        <v>2035</v>
      </c>
      <c r="S2170" s="43" t="str">
        <f t="shared" si="268"/>
        <v>*0.93</v>
      </c>
      <c r="U2170" s="32" t="s">
        <v>3044</v>
      </c>
      <c r="V2170" s="42" t="s">
        <v>57</v>
      </c>
      <c r="W2170" s="32">
        <v>2050</v>
      </c>
      <c r="X2170" s="43" t="str">
        <f t="shared" si="269"/>
        <v>*0.9</v>
      </c>
      <c r="AC2170" s="33" t="s">
        <v>3044</v>
      </c>
      <c r="AD2170" s="44" t="s">
        <v>57</v>
      </c>
      <c r="AE2170" s="33">
        <v>2035</v>
      </c>
      <c r="AF2170" s="45" t="str">
        <f t="shared" si="270"/>
        <v>*0.9</v>
      </c>
      <c r="AG2170" s="43" t="str">
        <f t="shared" si="272"/>
        <v>REZoning_Sol-Win</v>
      </c>
      <c r="AI2170" s="33" t="s">
        <v>3044</v>
      </c>
      <c r="AJ2170" s="44" t="s">
        <v>57</v>
      </c>
      <c r="AK2170" s="33">
        <v>2050</v>
      </c>
      <c r="AL2170" s="45" t="str">
        <f t="shared" si="271"/>
        <v>*0.86</v>
      </c>
      <c r="AM2170" s="43" t="str">
        <f t="shared" si="273"/>
        <v>REZoning_Sol-Win</v>
      </c>
      <c r="AP2170" t="s">
        <v>3044</v>
      </c>
      <c r="AQ2170" t="s">
        <v>57</v>
      </c>
      <c r="AR2170">
        <v>2100</v>
      </c>
      <c r="AS2170" t="s">
        <v>883</v>
      </c>
      <c r="AT2170" t="s">
        <v>58</v>
      </c>
    </row>
    <row r="2171" ht="29" spans="1:46">
      <c r="A2171" s="31" t="s">
        <v>65</v>
      </c>
      <c r="C2171" t="s">
        <v>3045</v>
      </c>
      <c r="D2171" s="5" t="s">
        <v>57</v>
      </c>
      <c r="E2171">
        <v>2035</v>
      </c>
      <c r="F2171" s="6" t="str">
        <f t="shared" si="266"/>
        <v>*0.94</v>
      </c>
      <c r="H2171" t="s">
        <v>3045</v>
      </c>
      <c r="I2171" s="5" t="s">
        <v>57</v>
      </c>
      <c r="J2171">
        <v>2050</v>
      </c>
      <c r="K2171" s="38" t="str">
        <f t="shared" si="267"/>
        <v>*0.91</v>
      </c>
      <c r="P2171" s="32" t="s">
        <v>3045</v>
      </c>
      <c r="Q2171" s="42" t="s">
        <v>57</v>
      </c>
      <c r="R2171" s="32">
        <v>2035</v>
      </c>
      <c r="S2171" s="43" t="str">
        <f t="shared" si="268"/>
        <v>*0.93</v>
      </c>
      <c r="U2171" s="32" t="s">
        <v>3045</v>
      </c>
      <c r="V2171" s="42" t="s">
        <v>57</v>
      </c>
      <c r="W2171" s="32">
        <v>2050</v>
      </c>
      <c r="X2171" s="43" t="str">
        <f t="shared" si="269"/>
        <v>*0.9</v>
      </c>
      <c r="AC2171" s="33" t="s">
        <v>3045</v>
      </c>
      <c r="AD2171" s="44" t="s">
        <v>57</v>
      </c>
      <c r="AE2171" s="33">
        <v>2035</v>
      </c>
      <c r="AF2171" s="45" t="str">
        <f t="shared" si="270"/>
        <v>*0.9</v>
      </c>
      <c r="AG2171" s="43" t="str">
        <f t="shared" si="272"/>
        <v>REZoning_Sol-Win</v>
      </c>
      <c r="AI2171" s="33" t="s">
        <v>3045</v>
      </c>
      <c r="AJ2171" s="44" t="s">
        <v>57</v>
      </c>
      <c r="AK2171" s="33">
        <v>2050</v>
      </c>
      <c r="AL2171" s="45" t="str">
        <f t="shared" si="271"/>
        <v>*0.86</v>
      </c>
      <c r="AM2171" s="43" t="str">
        <f t="shared" si="273"/>
        <v>REZoning_Sol-Win</v>
      </c>
      <c r="AP2171" t="s">
        <v>3045</v>
      </c>
      <c r="AQ2171" t="s">
        <v>57</v>
      </c>
      <c r="AR2171">
        <v>2100</v>
      </c>
      <c r="AS2171" t="s">
        <v>883</v>
      </c>
      <c r="AT2171" t="s">
        <v>58</v>
      </c>
    </row>
    <row r="2172" ht="29" spans="1:46">
      <c r="A2172" s="31" t="s">
        <v>65</v>
      </c>
      <c r="C2172" t="s">
        <v>3046</v>
      </c>
      <c r="D2172" s="5" t="s">
        <v>57</v>
      </c>
      <c r="E2172">
        <v>2035</v>
      </c>
      <c r="F2172" s="6" t="str">
        <f t="shared" si="266"/>
        <v>*0.94</v>
      </c>
      <c r="H2172" t="s">
        <v>3046</v>
      </c>
      <c r="I2172" s="5" t="s">
        <v>57</v>
      </c>
      <c r="J2172">
        <v>2050</v>
      </c>
      <c r="K2172" s="38" t="str">
        <f t="shared" si="267"/>
        <v>*0.91</v>
      </c>
      <c r="P2172" s="32" t="s">
        <v>3046</v>
      </c>
      <c r="Q2172" s="42" t="s">
        <v>57</v>
      </c>
      <c r="R2172" s="32">
        <v>2035</v>
      </c>
      <c r="S2172" s="43" t="str">
        <f t="shared" si="268"/>
        <v>*0.93</v>
      </c>
      <c r="U2172" s="32" t="s">
        <v>3046</v>
      </c>
      <c r="V2172" s="42" t="s">
        <v>57</v>
      </c>
      <c r="W2172" s="32">
        <v>2050</v>
      </c>
      <c r="X2172" s="43" t="str">
        <f t="shared" si="269"/>
        <v>*0.9</v>
      </c>
      <c r="AC2172" s="33" t="s">
        <v>3046</v>
      </c>
      <c r="AD2172" s="44" t="s">
        <v>57</v>
      </c>
      <c r="AE2172" s="33">
        <v>2035</v>
      </c>
      <c r="AF2172" s="45" t="str">
        <f t="shared" si="270"/>
        <v>*0.9</v>
      </c>
      <c r="AG2172" s="43" t="str">
        <f t="shared" si="272"/>
        <v>REZoning_Sol-Win</v>
      </c>
      <c r="AI2172" s="33" t="s">
        <v>3046</v>
      </c>
      <c r="AJ2172" s="44" t="s">
        <v>57</v>
      </c>
      <c r="AK2172" s="33">
        <v>2050</v>
      </c>
      <c r="AL2172" s="45" t="str">
        <f t="shared" si="271"/>
        <v>*0.86</v>
      </c>
      <c r="AM2172" s="43" t="str">
        <f t="shared" si="273"/>
        <v>REZoning_Sol-Win</v>
      </c>
      <c r="AP2172" t="s">
        <v>3046</v>
      </c>
      <c r="AQ2172" t="s">
        <v>57</v>
      </c>
      <c r="AR2172">
        <v>2100</v>
      </c>
      <c r="AS2172" t="s">
        <v>883</v>
      </c>
      <c r="AT2172" t="s">
        <v>58</v>
      </c>
    </row>
    <row r="2173" ht="29" spans="1:46">
      <c r="A2173" s="31" t="s">
        <v>65</v>
      </c>
      <c r="C2173" t="s">
        <v>3047</v>
      </c>
      <c r="D2173" s="5" t="s">
        <v>57</v>
      </c>
      <c r="E2173">
        <v>2035</v>
      </c>
      <c r="F2173" s="6" t="str">
        <f t="shared" si="266"/>
        <v>*0.94</v>
      </c>
      <c r="H2173" t="s">
        <v>3047</v>
      </c>
      <c r="I2173" s="5" t="s">
        <v>57</v>
      </c>
      <c r="J2173">
        <v>2050</v>
      </c>
      <c r="K2173" s="38" t="str">
        <f t="shared" si="267"/>
        <v>*0.91</v>
      </c>
      <c r="P2173" s="32" t="s">
        <v>3047</v>
      </c>
      <c r="Q2173" s="42" t="s">
        <v>57</v>
      </c>
      <c r="R2173" s="32">
        <v>2035</v>
      </c>
      <c r="S2173" s="43" t="str">
        <f t="shared" si="268"/>
        <v>*0.93</v>
      </c>
      <c r="U2173" s="32" t="s">
        <v>3047</v>
      </c>
      <c r="V2173" s="42" t="s">
        <v>57</v>
      </c>
      <c r="W2173" s="32">
        <v>2050</v>
      </c>
      <c r="X2173" s="43" t="str">
        <f t="shared" si="269"/>
        <v>*0.9</v>
      </c>
      <c r="AC2173" s="33" t="s">
        <v>3047</v>
      </c>
      <c r="AD2173" s="44" t="s">
        <v>57</v>
      </c>
      <c r="AE2173" s="33">
        <v>2035</v>
      </c>
      <c r="AF2173" s="45" t="str">
        <f t="shared" si="270"/>
        <v>*0.9</v>
      </c>
      <c r="AG2173" s="43" t="str">
        <f t="shared" si="272"/>
        <v>REZoning_Sol-Win</v>
      </c>
      <c r="AI2173" s="33" t="s">
        <v>3047</v>
      </c>
      <c r="AJ2173" s="44" t="s">
        <v>57</v>
      </c>
      <c r="AK2173" s="33">
        <v>2050</v>
      </c>
      <c r="AL2173" s="45" t="str">
        <f t="shared" si="271"/>
        <v>*0.86</v>
      </c>
      <c r="AM2173" s="43" t="str">
        <f t="shared" si="273"/>
        <v>REZoning_Sol-Win</v>
      </c>
      <c r="AP2173" t="s">
        <v>3047</v>
      </c>
      <c r="AQ2173" t="s">
        <v>57</v>
      </c>
      <c r="AR2173">
        <v>2100</v>
      </c>
      <c r="AS2173" t="s">
        <v>883</v>
      </c>
      <c r="AT2173" t="s">
        <v>58</v>
      </c>
    </row>
    <row r="2174" ht="29" spans="1:46">
      <c r="A2174" s="31" t="s">
        <v>65</v>
      </c>
      <c r="C2174" t="s">
        <v>3048</v>
      </c>
      <c r="D2174" s="5" t="s">
        <v>57</v>
      </c>
      <c r="E2174">
        <v>2035</v>
      </c>
      <c r="F2174" s="6" t="str">
        <f t="shared" si="266"/>
        <v>*0.94</v>
      </c>
      <c r="H2174" t="s">
        <v>3048</v>
      </c>
      <c r="I2174" s="5" t="s">
        <v>57</v>
      </c>
      <c r="J2174">
        <v>2050</v>
      </c>
      <c r="K2174" s="38" t="str">
        <f t="shared" si="267"/>
        <v>*0.91</v>
      </c>
      <c r="P2174" s="32" t="s">
        <v>3048</v>
      </c>
      <c r="Q2174" s="42" t="s">
        <v>57</v>
      </c>
      <c r="R2174" s="32">
        <v>2035</v>
      </c>
      <c r="S2174" s="43" t="str">
        <f t="shared" si="268"/>
        <v>*0.93</v>
      </c>
      <c r="U2174" s="32" t="s">
        <v>3048</v>
      </c>
      <c r="V2174" s="42" t="s">
        <v>57</v>
      </c>
      <c r="W2174" s="32">
        <v>2050</v>
      </c>
      <c r="X2174" s="43" t="str">
        <f t="shared" si="269"/>
        <v>*0.9</v>
      </c>
      <c r="AC2174" s="33" t="s">
        <v>3048</v>
      </c>
      <c r="AD2174" s="44" t="s">
        <v>57</v>
      </c>
      <c r="AE2174" s="33">
        <v>2035</v>
      </c>
      <c r="AF2174" s="45" t="str">
        <f t="shared" si="270"/>
        <v>*0.9</v>
      </c>
      <c r="AG2174" s="43" t="str">
        <f t="shared" si="272"/>
        <v>REZoning_Sol-Win</v>
      </c>
      <c r="AI2174" s="33" t="s">
        <v>3048</v>
      </c>
      <c r="AJ2174" s="44" t="s">
        <v>57</v>
      </c>
      <c r="AK2174" s="33">
        <v>2050</v>
      </c>
      <c r="AL2174" s="45" t="str">
        <f t="shared" si="271"/>
        <v>*0.86</v>
      </c>
      <c r="AM2174" s="43" t="str">
        <f t="shared" si="273"/>
        <v>REZoning_Sol-Win</v>
      </c>
      <c r="AP2174" t="s">
        <v>3048</v>
      </c>
      <c r="AQ2174" t="s">
        <v>57</v>
      </c>
      <c r="AR2174">
        <v>2100</v>
      </c>
      <c r="AS2174" t="s">
        <v>883</v>
      </c>
      <c r="AT2174" t="s">
        <v>58</v>
      </c>
    </row>
    <row r="2175" ht="29" spans="1:46">
      <c r="A2175" s="31" t="s">
        <v>65</v>
      </c>
      <c r="C2175" t="s">
        <v>3049</v>
      </c>
      <c r="D2175" s="5" t="s">
        <v>57</v>
      </c>
      <c r="E2175">
        <v>2035</v>
      </c>
      <c r="F2175" s="6" t="str">
        <f t="shared" si="266"/>
        <v>*0.94</v>
      </c>
      <c r="H2175" t="s">
        <v>3049</v>
      </c>
      <c r="I2175" s="5" t="s">
        <v>57</v>
      </c>
      <c r="J2175">
        <v>2050</v>
      </c>
      <c r="K2175" s="38" t="str">
        <f t="shared" si="267"/>
        <v>*0.91</v>
      </c>
      <c r="P2175" s="32" t="s">
        <v>3049</v>
      </c>
      <c r="Q2175" s="42" t="s">
        <v>57</v>
      </c>
      <c r="R2175" s="32">
        <v>2035</v>
      </c>
      <c r="S2175" s="43" t="str">
        <f t="shared" si="268"/>
        <v>*0.93</v>
      </c>
      <c r="U2175" s="32" t="s">
        <v>3049</v>
      </c>
      <c r="V2175" s="42" t="s">
        <v>57</v>
      </c>
      <c r="W2175" s="32">
        <v>2050</v>
      </c>
      <c r="X2175" s="43" t="str">
        <f t="shared" si="269"/>
        <v>*0.9</v>
      </c>
      <c r="AC2175" s="33" t="s">
        <v>3049</v>
      </c>
      <c r="AD2175" s="44" t="s">
        <v>57</v>
      </c>
      <c r="AE2175" s="33">
        <v>2035</v>
      </c>
      <c r="AF2175" s="45" t="str">
        <f t="shared" si="270"/>
        <v>*0.9</v>
      </c>
      <c r="AG2175" s="43" t="str">
        <f t="shared" si="272"/>
        <v>REZoning_Sol-Win</v>
      </c>
      <c r="AI2175" s="33" t="s">
        <v>3049</v>
      </c>
      <c r="AJ2175" s="44" t="s">
        <v>57</v>
      </c>
      <c r="AK2175" s="33">
        <v>2050</v>
      </c>
      <c r="AL2175" s="45" t="str">
        <f t="shared" si="271"/>
        <v>*0.86</v>
      </c>
      <c r="AM2175" s="43" t="str">
        <f t="shared" si="273"/>
        <v>REZoning_Sol-Win</v>
      </c>
      <c r="AP2175" t="s">
        <v>3049</v>
      </c>
      <c r="AQ2175" t="s">
        <v>57</v>
      </c>
      <c r="AR2175">
        <v>2100</v>
      </c>
      <c r="AS2175" t="s">
        <v>883</v>
      </c>
      <c r="AT2175" t="s">
        <v>58</v>
      </c>
    </row>
    <row r="2176" ht="29" spans="1:46">
      <c r="A2176" s="31" t="s">
        <v>65</v>
      </c>
      <c r="C2176" t="s">
        <v>3050</v>
      </c>
      <c r="D2176" s="5" t="s">
        <v>57</v>
      </c>
      <c r="E2176">
        <v>2035</v>
      </c>
      <c r="F2176" s="6" t="str">
        <f t="shared" si="266"/>
        <v>*0.94</v>
      </c>
      <c r="H2176" t="s">
        <v>3050</v>
      </c>
      <c r="I2176" s="5" t="s">
        <v>57</v>
      </c>
      <c r="J2176">
        <v>2050</v>
      </c>
      <c r="K2176" s="38" t="str">
        <f t="shared" si="267"/>
        <v>*0.91</v>
      </c>
      <c r="P2176" s="32" t="s">
        <v>3050</v>
      </c>
      <c r="Q2176" s="42" t="s">
        <v>57</v>
      </c>
      <c r="R2176" s="32">
        <v>2035</v>
      </c>
      <c r="S2176" s="43" t="str">
        <f t="shared" si="268"/>
        <v>*0.93</v>
      </c>
      <c r="U2176" s="32" t="s">
        <v>3050</v>
      </c>
      <c r="V2176" s="42" t="s">
        <v>57</v>
      </c>
      <c r="W2176" s="32">
        <v>2050</v>
      </c>
      <c r="X2176" s="43" t="str">
        <f t="shared" si="269"/>
        <v>*0.9</v>
      </c>
      <c r="AC2176" s="33" t="s">
        <v>3050</v>
      </c>
      <c r="AD2176" s="44" t="s">
        <v>57</v>
      </c>
      <c r="AE2176" s="33">
        <v>2035</v>
      </c>
      <c r="AF2176" s="45" t="str">
        <f t="shared" si="270"/>
        <v>*0.9</v>
      </c>
      <c r="AG2176" s="43" t="str">
        <f t="shared" si="272"/>
        <v>REZoning_Sol-Win</v>
      </c>
      <c r="AI2176" s="33" t="s">
        <v>3050</v>
      </c>
      <c r="AJ2176" s="44" t="s">
        <v>57</v>
      </c>
      <c r="AK2176" s="33">
        <v>2050</v>
      </c>
      <c r="AL2176" s="45" t="str">
        <f t="shared" si="271"/>
        <v>*0.86</v>
      </c>
      <c r="AM2176" s="43" t="str">
        <f t="shared" si="273"/>
        <v>REZoning_Sol-Win</v>
      </c>
      <c r="AP2176" t="s">
        <v>3050</v>
      </c>
      <c r="AQ2176" t="s">
        <v>57</v>
      </c>
      <c r="AR2176">
        <v>2100</v>
      </c>
      <c r="AS2176" t="s">
        <v>883</v>
      </c>
      <c r="AT2176" t="s">
        <v>58</v>
      </c>
    </row>
    <row r="2177" ht="29" spans="1:46">
      <c r="A2177" s="31" t="s">
        <v>65</v>
      </c>
      <c r="C2177" t="s">
        <v>3051</v>
      </c>
      <c r="D2177" s="5" t="s">
        <v>57</v>
      </c>
      <c r="E2177">
        <v>2035</v>
      </c>
      <c r="F2177" s="6" t="str">
        <f t="shared" si="266"/>
        <v>*0.94</v>
      </c>
      <c r="H2177" t="s">
        <v>3051</v>
      </c>
      <c r="I2177" s="5" t="s">
        <v>57</v>
      </c>
      <c r="J2177">
        <v>2050</v>
      </c>
      <c r="K2177" s="38" t="str">
        <f t="shared" si="267"/>
        <v>*0.91</v>
      </c>
      <c r="P2177" s="32" t="s">
        <v>3051</v>
      </c>
      <c r="Q2177" s="42" t="s">
        <v>57</v>
      </c>
      <c r="R2177" s="32">
        <v>2035</v>
      </c>
      <c r="S2177" s="43" t="str">
        <f t="shared" si="268"/>
        <v>*0.93</v>
      </c>
      <c r="U2177" s="32" t="s">
        <v>3051</v>
      </c>
      <c r="V2177" s="42" t="s">
        <v>57</v>
      </c>
      <c r="W2177" s="32">
        <v>2050</v>
      </c>
      <c r="X2177" s="43" t="str">
        <f t="shared" si="269"/>
        <v>*0.9</v>
      </c>
      <c r="AC2177" s="33" t="s">
        <v>3051</v>
      </c>
      <c r="AD2177" s="44" t="s">
        <v>57</v>
      </c>
      <c r="AE2177" s="33">
        <v>2035</v>
      </c>
      <c r="AF2177" s="45" t="str">
        <f t="shared" si="270"/>
        <v>*0.9</v>
      </c>
      <c r="AG2177" s="43" t="str">
        <f t="shared" si="272"/>
        <v>REZoning_Sol-Win</v>
      </c>
      <c r="AI2177" s="33" t="s">
        <v>3051</v>
      </c>
      <c r="AJ2177" s="44" t="s">
        <v>57</v>
      </c>
      <c r="AK2177" s="33">
        <v>2050</v>
      </c>
      <c r="AL2177" s="45" t="str">
        <f t="shared" si="271"/>
        <v>*0.86</v>
      </c>
      <c r="AM2177" s="43" t="str">
        <f t="shared" si="273"/>
        <v>REZoning_Sol-Win</v>
      </c>
      <c r="AP2177" t="s">
        <v>3051</v>
      </c>
      <c r="AQ2177" t="s">
        <v>57</v>
      </c>
      <c r="AR2177">
        <v>2100</v>
      </c>
      <c r="AS2177" t="s">
        <v>883</v>
      </c>
      <c r="AT2177" t="s">
        <v>58</v>
      </c>
    </row>
    <row r="2178" ht="29" spans="1:46">
      <c r="A2178" s="31" t="s">
        <v>65</v>
      </c>
      <c r="C2178" t="s">
        <v>3052</v>
      </c>
      <c r="D2178" s="5" t="s">
        <v>57</v>
      </c>
      <c r="E2178">
        <v>2035</v>
      </c>
      <c r="F2178" s="6" t="str">
        <f t="shared" si="266"/>
        <v>*0.94</v>
      </c>
      <c r="H2178" t="s">
        <v>3052</v>
      </c>
      <c r="I2178" s="5" t="s">
        <v>57</v>
      </c>
      <c r="J2178">
        <v>2050</v>
      </c>
      <c r="K2178" s="38" t="str">
        <f t="shared" si="267"/>
        <v>*0.91</v>
      </c>
      <c r="P2178" s="32" t="s">
        <v>3052</v>
      </c>
      <c r="Q2178" s="42" t="s">
        <v>57</v>
      </c>
      <c r="R2178" s="32">
        <v>2035</v>
      </c>
      <c r="S2178" s="43" t="str">
        <f t="shared" si="268"/>
        <v>*0.93</v>
      </c>
      <c r="U2178" s="32" t="s">
        <v>3052</v>
      </c>
      <c r="V2178" s="42" t="s">
        <v>57</v>
      </c>
      <c r="W2178" s="32">
        <v>2050</v>
      </c>
      <c r="X2178" s="43" t="str">
        <f t="shared" si="269"/>
        <v>*0.9</v>
      </c>
      <c r="AC2178" s="33" t="s">
        <v>3052</v>
      </c>
      <c r="AD2178" s="44" t="s">
        <v>57</v>
      </c>
      <c r="AE2178" s="33">
        <v>2035</v>
      </c>
      <c r="AF2178" s="45" t="str">
        <f t="shared" si="270"/>
        <v>*0.9</v>
      </c>
      <c r="AG2178" s="43" t="str">
        <f t="shared" si="272"/>
        <v>REZoning_Sol-Win</v>
      </c>
      <c r="AI2178" s="33" t="s">
        <v>3052</v>
      </c>
      <c r="AJ2178" s="44" t="s">
        <v>57</v>
      </c>
      <c r="AK2178" s="33">
        <v>2050</v>
      </c>
      <c r="AL2178" s="45" t="str">
        <f t="shared" si="271"/>
        <v>*0.86</v>
      </c>
      <c r="AM2178" s="43" t="str">
        <f t="shared" si="273"/>
        <v>REZoning_Sol-Win</v>
      </c>
      <c r="AP2178" t="s">
        <v>3052</v>
      </c>
      <c r="AQ2178" t="s">
        <v>57</v>
      </c>
      <c r="AR2178">
        <v>2100</v>
      </c>
      <c r="AS2178" t="s">
        <v>883</v>
      </c>
      <c r="AT2178" t="s">
        <v>58</v>
      </c>
    </row>
    <row r="2179" ht="29" spans="1:46">
      <c r="A2179" s="31" t="s">
        <v>95</v>
      </c>
      <c r="C2179" t="s">
        <v>3053</v>
      </c>
      <c r="D2179" s="5" t="s">
        <v>57</v>
      </c>
      <c r="E2179">
        <v>2035</v>
      </c>
      <c r="F2179" s="6" t="str">
        <f t="shared" si="266"/>
        <v>*0.95</v>
      </c>
      <c r="H2179" t="s">
        <v>3053</v>
      </c>
      <c r="I2179" s="5" t="s">
        <v>57</v>
      </c>
      <c r="J2179">
        <v>2050</v>
      </c>
      <c r="K2179" s="38" t="str">
        <f t="shared" si="267"/>
        <v>*0.93</v>
      </c>
      <c r="P2179" s="32" t="s">
        <v>3053</v>
      </c>
      <c r="Q2179" s="42" t="s">
        <v>57</v>
      </c>
      <c r="R2179" s="32">
        <v>2035</v>
      </c>
      <c r="S2179" s="43" t="str">
        <f t="shared" si="268"/>
        <v>*0.95</v>
      </c>
      <c r="U2179" s="32" t="s">
        <v>3053</v>
      </c>
      <c r="V2179" s="42" t="s">
        <v>57</v>
      </c>
      <c r="W2179" s="32">
        <v>2050</v>
      </c>
      <c r="X2179" s="43" t="str">
        <f t="shared" si="269"/>
        <v>*0.91</v>
      </c>
      <c r="AC2179" s="33" t="s">
        <v>3053</v>
      </c>
      <c r="AD2179" s="44" t="s">
        <v>57</v>
      </c>
      <c r="AE2179" s="33">
        <v>2035</v>
      </c>
      <c r="AF2179" s="45" t="str">
        <f t="shared" si="270"/>
        <v>*0.91</v>
      </c>
      <c r="AG2179" s="43" t="str">
        <f t="shared" si="272"/>
        <v>REZoning_Sol-Win</v>
      </c>
      <c r="AI2179" s="33" t="s">
        <v>3053</v>
      </c>
      <c r="AJ2179" s="44" t="s">
        <v>57</v>
      </c>
      <c r="AK2179" s="33">
        <v>2050</v>
      </c>
      <c r="AL2179" s="45" t="str">
        <f t="shared" si="271"/>
        <v>*0.86</v>
      </c>
      <c r="AM2179" s="43" t="str">
        <f t="shared" si="273"/>
        <v>REZoning_Sol-Win</v>
      </c>
      <c r="AP2179" t="s">
        <v>3053</v>
      </c>
      <c r="AQ2179" t="s">
        <v>57</v>
      </c>
      <c r="AR2179">
        <v>2100</v>
      </c>
      <c r="AS2179" t="s">
        <v>883</v>
      </c>
      <c r="AT2179" t="s">
        <v>58</v>
      </c>
    </row>
    <row r="2180" ht="29" spans="1:46">
      <c r="A2180" s="31" t="s">
        <v>95</v>
      </c>
      <c r="C2180" t="s">
        <v>3054</v>
      </c>
      <c r="D2180" s="5" t="s">
        <v>57</v>
      </c>
      <c r="E2180">
        <v>2035</v>
      </c>
      <c r="F2180" s="6" t="str">
        <f t="shared" ref="F2180:F2243" si="274">"*"&amp;IF(AND(A2180="EU",E2180=2035),0.95,IF(AND(A2180="EU",E2180=2050),0.93,IF(AND(A2180="USA",E2180=2035),0.96,IF(AND(A2180="USA",E2180=2050),0.94,IF(AND(A2180="Japan",E2180=2035),0.94,IF(AND(A2180="Japan",E2180=2050),0.92,IF(AND(A2180="Russia",E2180=2035),0.95,IF(AND(A2180="Russia",E2180=2050),0.93,IF(AND(A2180="China",E2180=2035),0.94,IF(AND(A2180="China",E2180=2050),0.92,IF(AND(A2180="India",E2180=2035),0.95,IF(AND(A2180="India",E2180=2050),0.92,IF(AND(A2180="Middle East",E2180=2035),0.94,IF(AND(A2180="Middle East",E2180=2050),0.9,IF(AND(A2180="Africa",E2180=2035),0.94,IF(AND(A2180="Africa",E2180=2050),0.91,IF(AND(A2180="Brazil",E2180=2035),0.95,IF(AND(A2180="Brazil",E2180=2050),0.92,""))))))))))))))))))</f>
        <v>*0.95</v>
      </c>
      <c r="H2180" t="s">
        <v>3054</v>
      </c>
      <c r="I2180" s="5" t="s">
        <v>57</v>
      </c>
      <c r="J2180">
        <v>2050</v>
      </c>
      <c r="K2180" s="38" t="str">
        <f t="shared" ref="K2180:K2243" si="275">"*"&amp;IF(AND(A2180="EU",J2180=2035),0.95,IF(AND(A2180="EU",J2180=2050),0.93,IF(AND(A2180="USA",J2180=2035),0.96,IF(AND(A2180="USA",J2180=2050),0.94,IF(AND(A2180="Japan",J2180=2035),0.94,IF(AND(A2180="Japan",J2180=2050),0.92,IF(AND(A2180="Russia",J2180=2035),0.95,IF(AND(A2180="Russia",J2180=2050),0.93,IF(AND(A2180="China",J2180=2035),0.94,IF(AND(A2180="China",J2180=2050),0.92,IF(AND(A2180="India",J2180=2035),0.95,IF(AND(A2180="India",J2180=2050),0.92,IF(AND(A2180="Middle East",J2180=2035),0.94,IF(AND(A2180="Middle East",J2180=2050),0.9,IF(AND(A2180="Africa",J2180=2035),0.94,IF(AND(A2180="Africa",J2180=2050),0.91,IF(AND(A2180="Brazil",J2180=2035),0.95,IF(AND(A2180="Brazil",J2180=2050),0.92,""))))))))))))))))))</f>
        <v>*0.93</v>
      </c>
      <c r="P2180" s="32" t="s">
        <v>3054</v>
      </c>
      <c r="Q2180" s="42" t="s">
        <v>57</v>
      </c>
      <c r="R2180" s="32">
        <v>2035</v>
      </c>
      <c r="S2180" s="43" t="str">
        <f t="shared" ref="S2180:S2243" si="276">"*"&amp;IF(AND(A2180="EU",R2180=2035),0.95,IF(AND(A2180="EU",R2180=2050),0.93,IF(AND(A2180="USA",R2180=2035),0.96,IF(AND(A2180="USA",R2180=2050),0.93,IF(AND(A2180="Japan",R2180=2035),0.94,IF(AND(A2180="Japan",R2180=2050),0.92,IF(AND(A2180="Russia",R2180=2035),0.95,IF(AND(A2180="Russia",R2180=2050),0.91,IF(AND(A2180="China",R2180=2035),0.93,IF(AND(A2180="China",R2180=2050),0.92,IF(AND(A2180="India",R2180=2035),0.94,IF(AND(A2180="India",R2180=2050),0.91,IF(AND(A2180="Middle East",R2180=2035),0.92,IF(AND(A2180="Middle East",R2180=2050),0.89,IF(AND(A2180="Africa",R2180=2035),0.93,IF(AND(A2180="Africa",R2180=2050),0.9,IF(AND(A2180="Brazil",R2180=2035),0.95,IF(AND(A2180="Brazil",R2180=2050),0.92,""))))))))))))))))))</f>
        <v>*0.95</v>
      </c>
      <c r="U2180" s="32" t="s">
        <v>3054</v>
      </c>
      <c r="V2180" s="42" t="s">
        <v>57</v>
      </c>
      <c r="W2180" s="32">
        <v>2050</v>
      </c>
      <c r="X2180" s="43" t="str">
        <f t="shared" ref="X2180:X2243" si="277">"*"&amp;IF(AND(A2180="EU",W2180=2035),0.95,IF(AND(A2180="EU",W2180=2050),0.93,IF(AND(A2180="USA",W2180=2035),0.96,IF(AND(A2180="USA",W2180=2050),0.93,IF(AND(A2180="Japan",W2180=2035),0.94,IF(AND(A2180="Japan",W2180=2050),0.92,IF(AND(A2180="Russia",W2180=2035),0.95,IF(AND(A2180="Russia",W2180=2050),0.91,IF(AND(A2180="China",W2180=2035),0.93,IF(AND(A2180="China",W2180=2050),0.92,IF(AND(A2180="India",W2180=2035),0.94,IF(AND(A2180="India",W2180=2050),0.91,IF(AND(A2180="Middle East",W2180=2035),0.92,IF(AND(A2180="Middle East",W2180=2050),0.89,IF(AND(A2180="Africa",W2180=2035),0.93,IF(AND(A2180="Africa",W2180=2050),0.9,IF(AND(A2180="Brazil",W2180=2035),0.95,IF(AND(A2180="Brazil",W2180=2050),0.92,""))))))))))))))))))</f>
        <v>*0.91</v>
      </c>
      <c r="AC2180" s="33" t="s">
        <v>3054</v>
      </c>
      <c r="AD2180" s="44" t="s">
        <v>57</v>
      </c>
      <c r="AE2180" s="33">
        <v>2035</v>
      </c>
      <c r="AF2180" s="45" t="str">
        <f t="shared" ref="AF2180:AF2243" si="278">"*"&amp;IF(AND(A2180="EU",AE2180=2035),0.93,IF(AND(A2180="EU",AE2180=2050),0.9,IF(AND(A2180="USA",AE2180=2035),0.92,IF(AND(A2180="USA",AE2180=2050),0.89,IF(AND(A2180="Japan",AE2180=2035),0.92,IF(AND(A2180="Japan",AE2180=2050),0.89,IF(AND(A2180="Russia",AE2180=2035),0.91,IF(AND(A2180="Russia",AE2180=2050),0.86,IF(AND(A2180="China",AE2180=2035),0.91,IF(AND(A2180="China",AE2180=2050),0.87,IF(AND(A2180="India",AE2180=2035),0.92,IF(AND(A2180="India",AE2180=2050),0.87,IF(AND(A2180="Middle East",AE2180=2035),0.89,IF(AND(A2180="Middle East",AE2180=2050),0.84,IF(AND(A2180="Africa",AE2180=2035),0.9,IF(AND(A2180="Africa",AE2180=2050),0.86,IF(AND(A2180="Brazil",AE2180=2035),0.93,IF(AND(A2180="Brazil",AE2180=2050),0.89,""))))))))))))))))))</f>
        <v>*0.91</v>
      </c>
      <c r="AG2180" s="43" t="str">
        <f t="shared" si="272"/>
        <v>REZoning_Sol-Win</v>
      </c>
      <c r="AI2180" s="33" t="s">
        <v>3054</v>
      </c>
      <c r="AJ2180" s="44" t="s">
        <v>57</v>
      </c>
      <c r="AK2180" s="33">
        <v>2050</v>
      </c>
      <c r="AL2180" s="45" t="str">
        <f t="shared" ref="AL2180:AL2243" si="279">"*"&amp;IF(AND(A2180="EU",AK2180=2035),0.93,IF(AND(A2180="EU",AK2180=2050),0.9,IF(AND(A2180="USA",AK2180=2035),0.92,IF(AND(A2180="USA",AK2180=2050),0.89,IF(AND(A2180="Japan",AK2180=2035),0.92,IF(AND(A2180="Japan",AK2180=2050),0.89,IF(AND(A2180="Russia",AK2180=2035),0.91,IF(AND(A2180="Russia",AK2180=2050),0.86,IF(AND(A2180="China",AK2180=2035),0.91,IF(AND(A2180="China",AK2180=2050),0.87,IF(AND(A2180="India",AK2180=2035),0.92,IF(AND(A2180="India",AK2180=2050),0.87,IF(AND(A2180="Middle East",AK2180=2035),0.89,IF(AND(A2180="Middle East",AK2180=2050),0.84,IF(AND(A2180="Africa",AK2180=2035),0.9,IF(AND(A2180="Africa",AK2180=2050),0.86,IF(AND(A2180="Brazil",AK2180=2035),0.93,IF(AND(A2180="Brazil",AK2180=2050),0.89,""))))))))))))))))))</f>
        <v>*0.86</v>
      </c>
      <c r="AM2180" s="43" t="str">
        <f t="shared" si="273"/>
        <v>REZoning_Sol-Win</v>
      </c>
      <c r="AP2180" t="s">
        <v>3054</v>
      </c>
      <c r="AQ2180" t="s">
        <v>57</v>
      </c>
      <c r="AR2180">
        <v>2100</v>
      </c>
      <c r="AS2180" t="s">
        <v>883</v>
      </c>
      <c r="AT2180" t="s">
        <v>58</v>
      </c>
    </row>
    <row r="2181" ht="29" spans="1:46">
      <c r="A2181" s="31" t="s">
        <v>95</v>
      </c>
      <c r="C2181" t="s">
        <v>3055</v>
      </c>
      <c r="D2181" s="5" t="s">
        <v>57</v>
      </c>
      <c r="E2181">
        <v>2035</v>
      </c>
      <c r="F2181" s="6" t="str">
        <f t="shared" si="274"/>
        <v>*0.95</v>
      </c>
      <c r="H2181" t="s">
        <v>3055</v>
      </c>
      <c r="I2181" s="5" t="s">
        <v>57</v>
      </c>
      <c r="J2181">
        <v>2050</v>
      </c>
      <c r="K2181" s="38" t="str">
        <f t="shared" si="275"/>
        <v>*0.93</v>
      </c>
      <c r="P2181" s="32" t="s">
        <v>3055</v>
      </c>
      <c r="Q2181" s="42" t="s">
        <v>57</v>
      </c>
      <c r="R2181" s="32">
        <v>2035</v>
      </c>
      <c r="S2181" s="43" t="str">
        <f t="shared" si="276"/>
        <v>*0.95</v>
      </c>
      <c r="U2181" s="32" t="s">
        <v>3055</v>
      </c>
      <c r="V2181" s="42" t="s">
        <v>57</v>
      </c>
      <c r="W2181" s="32">
        <v>2050</v>
      </c>
      <c r="X2181" s="43" t="str">
        <f t="shared" si="277"/>
        <v>*0.91</v>
      </c>
      <c r="AC2181" s="33" t="s">
        <v>3055</v>
      </c>
      <c r="AD2181" s="44" t="s">
        <v>57</v>
      </c>
      <c r="AE2181" s="33">
        <v>2035</v>
      </c>
      <c r="AF2181" s="45" t="str">
        <f t="shared" si="278"/>
        <v>*0.91</v>
      </c>
      <c r="AG2181" s="43" t="str">
        <f t="shared" si="272"/>
        <v>REZoning_Sol-Win</v>
      </c>
      <c r="AI2181" s="33" t="s">
        <v>3055</v>
      </c>
      <c r="AJ2181" s="44" t="s">
        <v>57</v>
      </c>
      <c r="AK2181" s="33">
        <v>2050</v>
      </c>
      <c r="AL2181" s="45" t="str">
        <f t="shared" si="279"/>
        <v>*0.86</v>
      </c>
      <c r="AM2181" s="43" t="str">
        <f t="shared" si="273"/>
        <v>REZoning_Sol-Win</v>
      </c>
      <c r="AP2181" t="s">
        <v>3055</v>
      </c>
      <c r="AQ2181" t="s">
        <v>57</v>
      </c>
      <c r="AR2181">
        <v>2100</v>
      </c>
      <c r="AS2181" t="s">
        <v>883</v>
      </c>
      <c r="AT2181" t="s">
        <v>58</v>
      </c>
    </row>
    <row r="2182" ht="29" spans="1:46">
      <c r="A2182" s="31" t="s">
        <v>83</v>
      </c>
      <c r="C2182" t="s">
        <v>3056</v>
      </c>
      <c r="D2182" s="5" t="s">
        <v>57</v>
      </c>
      <c r="E2182">
        <v>2035</v>
      </c>
      <c r="F2182" s="6" t="str">
        <f t="shared" si="274"/>
        <v>*0.95</v>
      </c>
      <c r="H2182" t="s">
        <v>3056</v>
      </c>
      <c r="I2182" s="5" t="s">
        <v>57</v>
      </c>
      <c r="J2182">
        <v>2050</v>
      </c>
      <c r="K2182" s="38" t="str">
        <f t="shared" si="275"/>
        <v>*0.92</v>
      </c>
      <c r="P2182" s="32" t="s">
        <v>3056</v>
      </c>
      <c r="Q2182" s="42" t="s">
        <v>57</v>
      </c>
      <c r="R2182" s="32">
        <v>2035</v>
      </c>
      <c r="S2182" s="43" t="str">
        <f t="shared" si="276"/>
        <v>*0.95</v>
      </c>
      <c r="U2182" s="32" t="s">
        <v>3056</v>
      </c>
      <c r="V2182" s="42" t="s">
        <v>57</v>
      </c>
      <c r="W2182" s="32">
        <v>2050</v>
      </c>
      <c r="X2182" s="43" t="str">
        <f t="shared" si="277"/>
        <v>*0.92</v>
      </c>
      <c r="AC2182" s="33" t="s">
        <v>3056</v>
      </c>
      <c r="AD2182" s="44" t="s">
        <v>57</v>
      </c>
      <c r="AE2182" s="33">
        <v>2035</v>
      </c>
      <c r="AF2182" s="45" t="str">
        <f t="shared" si="278"/>
        <v>*0.93</v>
      </c>
      <c r="AG2182" s="43" t="str">
        <f t="shared" si="272"/>
        <v>REZoning_Sol-Win</v>
      </c>
      <c r="AI2182" s="33" t="s">
        <v>3056</v>
      </c>
      <c r="AJ2182" s="44" t="s">
        <v>57</v>
      </c>
      <c r="AK2182" s="33">
        <v>2050</v>
      </c>
      <c r="AL2182" s="45" t="str">
        <f t="shared" si="279"/>
        <v>*0.89</v>
      </c>
      <c r="AM2182" s="43" t="str">
        <f t="shared" si="273"/>
        <v>REZoning_Sol-Win</v>
      </c>
      <c r="AP2182" t="s">
        <v>3056</v>
      </c>
      <c r="AQ2182" t="s">
        <v>57</v>
      </c>
      <c r="AR2182">
        <v>2100</v>
      </c>
      <c r="AS2182" t="s">
        <v>937</v>
      </c>
      <c r="AT2182" t="s">
        <v>58</v>
      </c>
    </row>
    <row r="2183" ht="29" spans="1:46">
      <c r="A2183" s="31" t="s">
        <v>83</v>
      </c>
      <c r="C2183" t="s">
        <v>3057</v>
      </c>
      <c r="D2183" s="5" t="s">
        <v>57</v>
      </c>
      <c r="E2183">
        <v>2035</v>
      </c>
      <c r="F2183" s="6" t="str">
        <f t="shared" si="274"/>
        <v>*0.95</v>
      </c>
      <c r="H2183" t="s">
        <v>3057</v>
      </c>
      <c r="I2183" s="5" t="s">
        <v>57</v>
      </c>
      <c r="J2183">
        <v>2050</v>
      </c>
      <c r="K2183" s="38" t="str">
        <f t="shared" si="275"/>
        <v>*0.92</v>
      </c>
      <c r="P2183" s="32" t="s">
        <v>3057</v>
      </c>
      <c r="Q2183" s="42" t="s">
        <v>57</v>
      </c>
      <c r="R2183" s="32">
        <v>2035</v>
      </c>
      <c r="S2183" s="43" t="str">
        <f t="shared" si="276"/>
        <v>*0.95</v>
      </c>
      <c r="U2183" s="32" t="s">
        <v>3057</v>
      </c>
      <c r="V2183" s="42" t="s">
        <v>57</v>
      </c>
      <c r="W2183" s="32">
        <v>2050</v>
      </c>
      <c r="X2183" s="43" t="str">
        <f t="shared" si="277"/>
        <v>*0.92</v>
      </c>
      <c r="AC2183" s="33" t="s">
        <v>3057</v>
      </c>
      <c r="AD2183" s="44" t="s">
        <v>57</v>
      </c>
      <c r="AE2183" s="33">
        <v>2035</v>
      </c>
      <c r="AF2183" s="45" t="str">
        <f t="shared" si="278"/>
        <v>*0.93</v>
      </c>
      <c r="AG2183" s="43" t="str">
        <f t="shared" si="272"/>
        <v>REZoning_Sol-Win</v>
      </c>
      <c r="AI2183" s="33" t="s">
        <v>3057</v>
      </c>
      <c r="AJ2183" s="44" t="s">
        <v>57</v>
      </c>
      <c r="AK2183" s="33">
        <v>2050</v>
      </c>
      <c r="AL2183" s="45" t="str">
        <f t="shared" si="279"/>
        <v>*0.89</v>
      </c>
      <c r="AM2183" s="43" t="str">
        <f t="shared" si="273"/>
        <v>REZoning_Sol-Win</v>
      </c>
      <c r="AP2183" t="s">
        <v>3057</v>
      </c>
      <c r="AQ2183" t="s">
        <v>57</v>
      </c>
      <c r="AR2183">
        <v>2100</v>
      </c>
      <c r="AS2183" t="s">
        <v>937</v>
      </c>
      <c r="AT2183" t="s">
        <v>58</v>
      </c>
    </row>
    <row r="2184" ht="29" spans="1:46">
      <c r="A2184" s="31" t="s">
        <v>83</v>
      </c>
      <c r="C2184" t="s">
        <v>3058</v>
      </c>
      <c r="D2184" s="5" t="s">
        <v>57</v>
      </c>
      <c r="E2184">
        <v>2035</v>
      </c>
      <c r="F2184" s="6" t="str">
        <f t="shared" si="274"/>
        <v>*0.95</v>
      </c>
      <c r="H2184" t="s">
        <v>3058</v>
      </c>
      <c r="I2184" s="5" t="s">
        <v>57</v>
      </c>
      <c r="J2184">
        <v>2050</v>
      </c>
      <c r="K2184" s="38" t="str">
        <f t="shared" si="275"/>
        <v>*0.92</v>
      </c>
      <c r="P2184" s="32" t="s">
        <v>3058</v>
      </c>
      <c r="Q2184" s="42" t="s">
        <v>57</v>
      </c>
      <c r="R2184" s="32">
        <v>2035</v>
      </c>
      <c r="S2184" s="43" t="str">
        <f t="shared" si="276"/>
        <v>*0.95</v>
      </c>
      <c r="U2184" s="32" t="s">
        <v>3058</v>
      </c>
      <c r="V2184" s="42" t="s">
        <v>57</v>
      </c>
      <c r="W2184" s="32">
        <v>2050</v>
      </c>
      <c r="X2184" s="43" t="str">
        <f t="shared" si="277"/>
        <v>*0.92</v>
      </c>
      <c r="AC2184" s="33" t="s">
        <v>3058</v>
      </c>
      <c r="AD2184" s="44" t="s">
        <v>57</v>
      </c>
      <c r="AE2184" s="33">
        <v>2035</v>
      </c>
      <c r="AF2184" s="45" t="str">
        <f t="shared" si="278"/>
        <v>*0.93</v>
      </c>
      <c r="AG2184" s="43" t="str">
        <f t="shared" si="272"/>
        <v>REZoning_Sol-Win</v>
      </c>
      <c r="AI2184" s="33" t="s">
        <v>3058</v>
      </c>
      <c r="AJ2184" s="44" t="s">
        <v>57</v>
      </c>
      <c r="AK2184" s="33">
        <v>2050</v>
      </c>
      <c r="AL2184" s="45" t="str">
        <f t="shared" si="279"/>
        <v>*0.89</v>
      </c>
      <c r="AM2184" s="43" t="str">
        <f t="shared" si="273"/>
        <v>REZoning_Sol-Win</v>
      </c>
      <c r="AP2184" t="s">
        <v>3058</v>
      </c>
      <c r="AQ2184" t="s">
        <v>57</v>
      </c>
      <c r="AR2184">
        <v>2100</v>
      </c>
      <c r="AS2184" t="s">
        <v>937</v>
      </c>
      <c r="AT2184" t="s">
        <v>58</v>
      </c>
    </row>
    <row r="2185" ht="29" spans="1:46">
      <c r="A2185" s="31" t="s">
        <v>98</v>
      </c>
      <c r="C2185" t="s">
        <v>3059</v>
      </c>
      <c r="D2185" s="5" t="s">
        <v>57</v>
      </c>
      <c r="E2185">
        <v>2035</v>
      </c>
      <c r="F2185" s="6" t="str">
        <f t="shared" si="274"/>
        <v>*0.96</v>
      </c>
      <c r="H2185" t="s">
        <v>3059</v>
      </c>
      <c r="I2185" s="5" t="s">
        <v>57</v>
      </c>
      <c r="J2185">
        <v>2050</v>
      </c>
      <c r="K2185" s="38" t="str">
        <f t="shared" si="275"/>
        <v>*0.94</v>
      </c>
      <c r="P2185" s="32" t="s">
        <v>3059</v>
      </c>
      <c r="Q2185" s="42" t="s">
        <v>57</v>
      </c>
      <c r="R2185" s="32">
        <v>2035</v>
      </c>
      <c r="S2185" s="43" t="str">
        <f t="shared" si="276"/>
        <v>*0.96</v>
      </c>
      <c r="U2185" s="32" t="s">
        <v>3059</v>
      </c>
      <c r="V2185" s="42" t="s">
        <v>57</v>
      </c>
      <c r="W2185" s="32">
        <v>2050</v>
      </c>
      <c r="X2185" s="43" t="str">
        <f t="shared" si="277"/>
        <v>*0.93</v>
      </c>
      <c r="AC2185" s="33" t="s">
        <v>3059</v>
      </c>
      <c r="AD2185" s="44" t="s">
        <v>57</v>
      </c>
      <c r="AE2185" s="33">
        <v>2035</v>
      </c>
      <c r="AF2185" s="45" t="str">
        <f t="shared" si="278"/>
        <v>*0.92</v>
      </c>
      <c r="AG2185" s="43" t="str">
        <f t="shared" ref="AG2185:AG2248" si="280">AG2184</f>
        <v>REZoning_Sol-Win</v>
      </c>
      <c r="AI2185" s="33" t="s">
        <v>3059</v>
      </c>
      <c r="AJ2185" s="44" t="s">
        <v>57</v>
      </c>
      <c r="AK2185" s="33">
        <v>2050</v>
      </c>
      <c r="AL2185" s="45" t="str">
        <f t="shared" si="279"/>
        <v>*0.89</v>
      </c>
      <c r="AM2185" s="43" t="str">
        <f t="shared" si="273"/>
        <v>REZoning_Sol-Win</v>
      </c>
      <c r="AP2185" t="s">
        <v>3059</v>
      </c>
      <c r="AQ2185" t="s">
        <v>57</v>
      </c>
      <c r="AR2185">
        <v>2100</v>
      </c>
      <c r="AS2185" t="s">
        <v>937</v>
      </c>
      <c r="AT2185" t="s">
        <v>58</v>
      </c>
    </row>
    <row r="2186" ht="29" spans="1:46">
      <c r="A2186" s="31" t="s">
        <v>98</v>
      </c>
      <c r="C2186" t="s">
        <v>3060</v>
      </c>
      <c r="D2186" s="5" t="s">
        <v>57</v>
      </c>
      <c r="E2186">
        <v>2035</v>
      </c>
      <c r="F2186" s="6" t="str">
        <f t="shared" si="274"/>
        <v>*0.96</v>
      </c>
      <c r="H2186" t="s">
        <v>3060</v>
      </c>
      <c r="I2186" s="5" t="s">
        <v>57</v>
      </c>
      <c r="J2186">
        <v>2050</v>
      </c>
      <c r="K2186" s="38" t="str">
        <f t="shared" si="275"/>
        <v>*0.94</v>
      </c>
      <c r="P2186" s="32" t="s">
        <v>3060</v>
      </c>
      <c r="Q2186" s="42" t="s">
        <v>57</v>
      </c>
      <c r="R2186" s="32">
        <v>2035</v>
      </c>
      <c r="S2186" s="43" t="str">
        <f t="shared" si="276"/>
        <v>*0.96</v>
      </c>
      <c r="U2186" s="32" t="s">
        <v>3060</v>
      </c>
      <c r="V2186" s="42" t="s">
        <v>57</v>
      </c>
      <c r="W2186" s="32">
        <v>2050</v>
      </c>
      <c r="X2186" s="43" t="str">
        <f t="shared" si="277"/>
        <v>*0.93</v>
      </c>
      <c r="AC2186" s="33" t="s">
        <v>3060</v>
      </c>
      <c r="AD2186" s="44" t="s">
        <v>57</v>
      </c>
      <c r="AE2186" s="33">
        <v>2035</v>
      </c>
      <c r="AF2186" s="45" t="str">
        <f t="shared" si="278"/>
        <v>*0.92</v>
      </c>
      <c r="AG2186" s="43" t="str">
        <f t="shared" si="280"/>
        <v>REZoning_Sol-Win</v>
      </c>
      <c r="AI2186" s="33" t="s">
        <v>3060</v>
      </c>
      <c r="AJ2186" s="44" t="s">
        <v>57</v>
      </c>
      <c r="AK2186" s="33">
        <v>2050</v>
      </c>
      <c r="AL2186" s="45" t="str">
        <f t="shared" si="279"/>
        <v>*0.89</v>
      </c>
      <c r="AM2186" s="43" t="str">
        <f t="shared" ref="AM2186:AM2249" si="281">AM2185</f>
        <v>REZoning_Sol-Win</v>
      </c>
      <c r="AP2186" t="s">
        <v>3060</v>
      </c>
      <c r="AQ2186" t="s">
        <v>57</v>
      </c>
      <c r="AR2186">
        <v>2100</v>
      </c>
      <c r="AS2186" t="s">
        <v>937</v>
      </c>
      <c r="AT2186" t="s">
        <v>58</v>
      </c>
    </row>
    <row r="2187" ht="29" spans="1:46">
      <c r="A2187" s="31" t="s">
        <v>98</v>
      </c>
      <c r="C2187" t="s">
        <v>3061</v>
      </c>
      <c r="D2187" s="5" t="s">
        <v>57</v>
      </c>
      <c r="E2187">
        <v>2035</v>
      </c>
      <c r="F2187" s="6" t="str">
        <f t="shared" si="274"/>
        <v>*0.96</v>
      </c>
      <c r="H2187" t="s">
        <v>3061</v>
      </c>
      <c r="I2187" s="5" t="s">
        <v>57</v>
      </c>
      <c r="J2187">
        <v>2050</v>
      </c>
      <c r="K2187" s="38" t="str">
        <f t="shared" si="275"/>
        <v>*0.94</v>
      </c>
      <c r="P2187" s="32" t="s">
        <v>3061</v>
      </c>
      <c r="Q2187" s="42" t="s">
        <v>57</v>
      </c>
      <c r="R2187" s="32">
        <v>2035</v>
      </c>
      <c r="S2187" s="43" t="str">
        <f t="shared" si="276"/>
        <v>*0.96</v>
      </c>
      <c r="U2187" s="32" t="s">
        <v>3061</v>
      </c>
      <c r="V2187" s="42" t="s">
        <v>57</v>
      </c>
      <c r="W2187" s="32">
        <v>2050</v>
      </c>
      <c r="X2187" s="43" t="str">
        <f t="shared" si="277"/>
        <v>*0.93</v>
      </c>
      <c r="AC2187" s="33" t="s">
        <v>3061</v>
      </c>
      <c r="AD2187" s="44" t="s">
        <v>57</v>
      </c>
      <c r="AE2187" s="33">
        <v>2035</v>
      </c>
      <c r="AF2187" s="45" t="str">
        <f t="shared" si="278"/>
        <v>*0.92</v>
      </c>
      <c r="AG2187" s="43" t="str">
        <f t="shared" si="280"/>
        <v>REZoning_Sol-Win</v>
      </c>
      <c r="AI2187" s="33" t="s">
        <v>3061</v>
      </c>
      <c r="AJ2187" s="44" t="s">
        <v>57</v>
      </c>
      <c r="AK2187" s="33">
        <v>2050</v>
      </c>
      <c r="AL2187" s="45" t="str">
        <f t="shared" si="279"/>
        <v>*0.89</v>
      </c>
      <c r="AM2187" s="43" t="str">
        <f t="shared" si="281"/>
        <v>REZoning_Sol-Win</v>
      </c>
      <c r="AP2187" t="s">
        <v>3061</v>
      </c>
      <c r="AQ2187" t="s">
        <v>57</v>
      </c>
      <c r="AR2187">
        <v>2100</v>
      </c>
      <c r="AS2187" t="s">
        <v>937</v>
      </c>
      <c r="AT2187" t="s">
        <v>58</v>
      </c>
    </row>
    <row r="2188" ht="29" spans="1:46">
      <c r="A2188" s="31" t="s">
        <v>98</v>
      </c>
      <c r="C2188" t="s">
        <v>3062</v>
      </c>
      <c r="D2188" s="5" t="s">
        <v>57</v>
      </c>
      <c r="E2188">
        <v>2035</v>
      </c>
      <c r="F2188" s="6" t="str">
        <f t="shared" si="274"/>
        <v>*0.96</v>
      </c>
      <c r="H2188" t="s">
        <v>3062</v>
      </c>
      <c r="I2188" s="5" t="s">
        <v>57</v>
      </c>
      <c r="J2188">
        <v>2050</v>
      </c>
      <c r="K2188" s="38" t="str">
        <f t="shared" si="275"/>
        <v>*0.94</v>
      </c>
      <c r="P2188" s="32" t="s">
        <v>3062</v>
      </c>
      <c r="Q2188" s="42" t="s">
        <v>57</v>
      </c>
      <c r="R2188" s="32">
        <v>2035</v>
      </c>
      <c r="S2188" s="43" t="str">
        <f t="shared" si="276"/>
        <v>*0.96</v>
      </c>
      <c r="U2188" s="32" t="s">
        <v>3062</v>
      </c>
      <c r="V2188" s="42" t="s">
        <v>57</v>
      </c>
      <c r="W2188" s="32">
        <v>2050</v>
      </c>
      <c r="X2188" s="43" t="str">
        <f t="shared" si="277"/>
        <v>*0.93</v>
      </c>
      <c r="AC2188" s="33" t="s">
        <v>3062</v>
      </c>
      <c r="AD2188" s="44" t="s">
        <v>57</v>
      </c>
      <c r="AE2188" s="33">
        <v>2035</v>
      </c>
      <c r="AF2188" s="45" t="str">
        <f t="shared" si="278"/>
        <v>*0.92</v>
      </c>
      <c r="AG2188" s="43" t="str">
        <f t="shared" si="280"/>
        <v>REZoning_Sol-Win</v>
      </c>
      <c r="AI2188" s="33" t="s">
        <v>3062</v>
      </c>
      <c r="AJ2188" s="44" t="s">
        <v>57</v>
      </c>
      <c r="AK2188" s="33">
        <v>2050</v>
      </c>
      <c r="AL2188" s="45" t="str">
        <f t="shared" si="279"/>
        <v>*0.89</v>
      </c>
      <c r="AM2188" s="43" t="str">
        <f t="shared" si="281"/>
        <v>REZoning_Sol-Win</v>
      </c>
      <c r="AP2188" t="s">
        <v>3062</v>
      </c>
      <c r="AQ2188" t="s">
        <v>57</v>
      </c>
      <c r="AR2188">
        <v>2100</v>
      </c>
      <c r="AS2188" t="s">
        <v>937</v>
      </c>
      <c r="AT2188" t="s">
        <v>58</v>
      </c>
    </row>
    <row r="2189" ht="29" spans="1:46">
      <c r="A2189" s="31" t="s">
        <v>98</v>
      </c>
      <c r="C2189" t="s">
        <v>3063</v>
      </c>
      <c r="D2189" s="5" t="s">
        <v>57</v>
      </c>
      <c r="E2189">
        <v>2035</v>
      </c>
      <c r="F2189" s="6" t="str">
        <f t="shared" si="274"/>
        <v>*0.96</v>
      </c>
      <c r="H2189" t="s">
        <v>3063</v>
      </c>
      <c r="I2189" s="5" t="s">
        <v>57</v>
      </c>
      <c r="J2189">
        <v>2050</v>
      </c>
      <c r="K2189" s="38" t="str">
        <f t="shared" si="275"/>
        <v>*0.94</v>
      </c>
      <c r="P2189" s="32" t="s">
        <v>3063</v>
      </c>
      <c r="Q2189" s="42" t="s">
        <v>57</v>
      </c>
      <c r="R2189" s="32">
        <v>2035</v>
      </c>
      <c r="S2189" s="43" t="str">
        <f t="shared" si="276"/>
        <v>*0.96</v>
      </c>
      <c r="U2189" s="32" t="s">
        <v>3063</v>
      </c>
      <c r="V2189" s="42" t="s">
        <v>57</v>
      </c>
      <c r="W2189" s="32">
        <v>2050</v>
      </c>
      <c r="X2189" s="43" t="str">
        <f t="shared" si="277"/>
        <v>*0.93</v>
      </c>
      <c r="AC2189" s="33" t="s">
        <v>3063</v>
      </c>
      <c r="AD2189" s="44" t="s">
        <v>57</v>
      </c>
      <c r="AE2189" s="33">
        <v>2035</v>
      </c>
      <c r="AF2189" s="45" t="str">
        <f t="shared" si="278"/>
        <v>*0.92</v>
      </c>
      <c r="AG2189" s="43" t="str">
        <f t="shared" si="280"/>
        <v>REZoning_Sol-Win</v>
      </c>
      <c r="AI2189" s="33" t="s">
        <v>3063</v>
      </c>
      <c r="AJ2189" s="44" t="s">
        <v>57</v>
      </c>
      <c r="AK2189" s="33">
        <v>2050</v>
      </c>
      <c r="AL2189" s="45" t="str">
        <f t="shared" si="279"/>
        <v>*0.89</v>
      </c>
      <c r="AM2189" s="43" t="str">
        <f t="shared" si="281"/>
        <v>REZoning_Sol-Win</v>
      </c>
      <c r="AP2189" t="s">
        <v>3063</v>
      </c>
      <c r="AQ2189" t="s">
        <v>57</v>
      </c>
      <c r="AR2189">
        <v>2100</v>
      </c>
      <c r="AS2189" t="s">
        <v>937</v>
      </c>
      <c r="AT2189" t="s">
        <v>58</v>
      </c>
    </row>
    <row r="2190" ht="29" spans="1:46">
      <c r="A2190" s="31" t="s">
        <v>98</v>
      </c>
      <c r="C2190" t="s">
        <v>3064</v>
      </c>
      <c r="D2190" s="5" t="s">
        <v>57</v>
      </c>
      <c r="E2190">
        <v>2035</v>
      </c>
      <c r="F2190" s="6" t="str">
        <f t="shared" si="274"/>
        <v>*0.96</v>
      </c>
      <c r="H2190" t="s">
        <v>3064</v>
      </c>
      <c r="I2190" s="5" t="s">
        <v>57</v>
      </c>
      <c r="J2190">
        <v>2050</v>
      </c>
      <c r="K2190" s="38" t="str">
        <f t="shared" si="275"/>
        <v>*0.94</v>
      </c>
      <c r="P2190" s="32" t="s">
        <v>3064</v>
      </c>
      <c r="Q2190" s="42" t="s">
        <v>57</v>
      </c>
      <c r="R2190" s="32">
        <v>2035</v>
      </c>
      <c r="S2190" s="43" t="str">
        <f t="shared" si="276"/>
        <v>*0.96</v>
      </c>
      <c r="U2190" s="32" t="s">
        <v>3064</v>
      </c>
      <c r="V2190" s="42" t="s">
        <v>57</v>
      </c>
      <c r="W2190" s="32">
        <v>2050</v>
      </c>
      <c r="X2190" s="43" t="str">
        <f t="shared" si="277"/>
        <v>*0.93</v>
      </c>
      <c r="AC2190" s="33" t="s">
        <v>3064</v>
      </c>
      <c r="AD2190" s="44" t="s">
        <v>57</v>
      </c>
      <c r="AE2190" s="33">
        <v>2035</v>
      </c>
      <c r="AF2190" s="45" t="str">
        <f t="shared" si="278"/>
        <v>*0.92</v>
      </c>
      <c r="AG2190" s="43" t="str">
        <f t="shared" si="280"/>
        <v>REZoning_Sol-Win</v>
      </c>
      <c r="AI2190" s="33" t="s">
        <v>3064</v>
      </c>
      <c r="AJ2190" s="44" t="s">
        <v>57</v>
      </c>
      <c r="AK2190" s="33">
        <v>2050</v>
      </c>
      <c r="AL2190" s="45" t="str">
        <f t="shared" si="279"/>
        <v>*0.89</v>
      </c>
      <c r="AM2190" s="43" t="str">
        <f t="shared" si="281"/>
        <v>REZoning_Sol-Win</v>
      </c>
      <c r="AP2190" t="s">
        <v>3064</v>
      </c>
      <c r="AQ2190" t="s">
        <v>57</v>
      </c>
      <c r="AR2190">
        <v>2100</v>
      </c>
      <c r="AS2190" t="s">
        <v>937</v>
      </c>
      <c r="AT2190" t="s">
        <v>58</v>
      </c>
    </row>
    <row r="2191" ht="29" spans="1:46">
      <c r="A2191" s="31" t="s">
        <v>98</v>
      </c>
      <c r="C2191" t="s">
        <v>3065</v>
      </c>
      <c r="D2191" s="5" t="s">
        <v>57</v>
      </c>
      <c r="E2191">
        <v>2035</v>
      </c>
      <c r="F2191" s="6" t="str">
        <f t="shared" si="274"/>
        <v>*0.96</v>
      </c>
      <c r="H2191" t="s">
        <v>3065</v>
      </c>
      <c r="I2191" s="5" t="s">
        <v>57</v>
      </c>
      <c r="J2191">
        <v>2050</v>
      </c>
      <c r="K2191" s="38" t="str">
        <f t="shared" si="275"/>
        <v>*0.94</v>
      </c>
      <c r="P2191" s="32" t="s">
        <v>3065</v>
      </c>
      <c r="Q2191" s="42" t="s">
        <v>57</v>
      </c>
      <c r="R2191" s="32">
        <v>2035</v>
      </c>
      <c r="S2191" s="43" t="str">
        <f t="shared" si="276"/>
        <v>*0.96</v>
      </c>
      <c r="U2191" s="32" t="s">
        <v>3065</v>
      </c>
      <c r="V2191" s="42" t="s">
        <v>57</v>
      </c>
      <c r="W2191" s="32">
        <v>2050</v>
      </c>
      <c r="X2191" s="43" t="str">
        <f t="shared" si="277"/>
        <v>*0.93</v>
      </c>
      <c r="AC2191" s="33" t="s">
        <v>3065</v>
      </c>
      <c r="AD2191" s="44" t="s">
        <v>57</v>
      </c>
      <c r="AE2191" s="33">
        <v>2035</v>
      </c>
      <c r="AF2191" s="45" t="str">
        <f t="shared" si="278"/>
        <v>*0.92</v>
      </c>
      <c r="AG2191" s="43" t="str">
        <f t="shared" si="280"/>
        <v>REZoning_Sol-Win</v>
      </c>
      <c r="AI2191" s="33" t="s">
        <v>3065</v>
      </c>
      <c r="AJ2191" s="44" t="s">
        <v>57</v>
      </c>
      <c r="AK2191" s="33">
        <v>2050</v>
      </c>
      <c r="AL2191" s="45" t="str">
        <f t="shared" si="279"/>
        <v>*0.89</v>
      </c>
      <c r="AM2191" s="43" t="str">
        <f t="shared" si="281"/>
        <v>REZoning_Sol-Win</v>
      </c>
      <c r="AP2191" t="s">
        <v>3065</v>
      </c>
      <c r="AQ2191" t="s">
        <v>57</v>
      </c>
      <c r="AR2191">
        <v>2100</v>
      </c>
      <c r="AS2191" t="s">
        <v>937</v>
      </c>
      <c r="AT2191" t="s">
        <v>58</v>
      </c>
    </row>
    <row r="2192" ht="29" spans="1:46">
      <c r="A2192" s="31" t="s">
        <v>98</v>
      </c>
      <c r="C2192" t="s">
        <v>3066</v>
      </c>
      <c r="D2192" s="5" t="s">
        <v>57</v>
      </c>
      <c r="E2192">
        <v>2035</v>
      </c>
      <c r="F2192" s="6" t="str">
        <f t="shared" si="274"/>
        <v>*0.96</v>
      </c>
      <c r="H2192" t="s">
        <v>3066</v>
      </c>
      <c r="I2192" s="5" t="s">
        <v>57</v>
      </c>
      <c r="J2192">
        <v>2050</v>
      </c>
      <c r="K2192" s="38" t="str">
        <f t="shared" si="275"/>
        <v>*0.94</v>
      </c>
      <c r="P2192" s="32" t="s">
        <v>3066</v>
      </c>
      <c r="Q2192" s="42" t="s">
        <v>57</v>
      </c>
      <c r="R2192" s="32">
        <v>2035</v>
      </c>
      <c r="S2192" s="43" t="str">
        <f t="shared" si="276"/>
        <v>*0.96</v>
      </c>
      <c r="U2192" s="32" t="s">
        <v>3066</v>
      </c>
      <c r="V2192" s="42" t="s">
        <v>57</v>
      </c>
      <c r="W2192" s="32">
        <v>2050</v>
      </c>
      <c r="X2192" s="43" t="str">
        <f t="shared" si="277"/>
        <v>*0.93</v>
      </c>
      <c r="AC2192" s="33" t="s">
        <v>3066</v>
      </c>
      <c r="AD2192" s="44" t="s">
        <v>57</v>
      </c>
      <c r="AE2192" s="33">
        <v>2035</v>
      </c>
      <c r="AF2192" s="45" t="str">
        <f t="shared" si="278"/>
        <v>*0.92</v>
      </c>
      <c r="AG2192" s="43" t="str">
        <f t="shared" si="280"/>
        <v>REZoning_Sol-Win</v>
      </c>
      <c r="AI2192" s="33" t="s">
        <v>3066</v>
      </c>
      <c r="AJ2192" s="44" t="s">
        <v>57</v>
      </c>
      <c r="AK2192" s="33">
        <v>2050</v>
      </c>
      <c r="AL2192" s="45" t="str">
        <f t="shared" si="279"/>
        <v>*0.89</v>
      </c>
      <c r="AM2192" s="43" t="str">
        <f t="shared" si="281"/>
        <v>REZoning_Sol-Win</v>
      </c>
      <c r="AP2192" t="s">
        <v>3066</v>
      </c>
      <c r="AQ2192" t="s">
        <v>57</v>
      </c>
      <c r="AR2192">
        <v>2100</v>
      </c>
      <c r="AS2192" t="s">
        <v>937</v>
      </c>
      <c r="AT2192" t="s">
        <v>58</v>
      </c>
    </row>
    <row r="2193" ht="29" spans="1:46">
      <c r="A2193" s="31" t="s">
        <v>98</v>
      </c>
      <c r="C2193" t="s">
        <v>3067</v>
      </c>
      <c r="D2193" s="5" t="s">
        <v>57</v>
      </c>
      <c r="E2193">
        <v>2035</v>
      </c>
      <c r="F2193" s="6" t="str">
        <f t="shared" si="274"/>
        <v>*0.96</v>
      </c>
      <c r="H2193" t="s">
        <v>3067</v>
      </c>
      <c r="I2193" s="5" t="s">
        <v>57</v>
      </c>
      <c r="J2193">
        <v>2050</v>
      </c>
      <c r="K2193" s="38" t="str">
        <f t="shared" si="275"/>
        <v>*0.94</v>
      </c>
      <c r="P2193" s="32" t="s">
        <v>3067</v>
      </c>
      <c r="Q2193" s="42" t="s">
        <v>57</v>
      </c>
      <c r="R2193" s="32">
        <v>2035</v>
      </c>
      <c r="S2193" s="43" t="str">
        <f t="shared" si="276"/>
        <v>*0.96</v>
      </c>
      <c r="U2193" s="32" t="s">
        <v>3067</v>
      </c>
      <c r="V2193" s="42" t="s">
        <v>57</v>
      </c>
      <c r="W2193" s="32">
        <v>2050</v>
      </c>
      <c r="X2193" s="43" t="str">
        <f t="shared" si="277"/>
        <v>*0.93</v>
      </c>
      <c r="AC2193" s="33" t="s">
        <v>3067</v>
      </c>
      <c r="AD2193" s="44" t="s">
        <v>57</v>
      </c>
      <c r="AE2193" s="33">
        <v>2035</v>
      </c>
      <c r="AF2193" s="45" t="str">
        <f t="shared" si="278"/>
        <v>*0.92</v>
      </c>
      <c r="AG2193" s="43" t="str">
        <f t="shared" si="280"/>
        <v>REZoning_Sol-Win</v>
      </c>
      <c r="AI2193" s="33" t="s">
        <v>3067</v>
      </c>
      <c r="AJ2193" s="44" t="s">
        <v>57</v>
      </c>
      <c r="AK2193" s="33">
        <v>2050</v>
      </c>
      <c r="AL2193" s="45" t="str">
        <f t="shared" si="279"/>
        <v>*0.89</v>
      </c>
      <c r="AM2193" s="43" t="str">
        <f t="shared" si="281"/>
        <v>REZoning_Sol-Win</v>
      </c>
      <c r="AP2193" t="s">
        <v>3067</v>
      </c>
      <c r="AQ2193" t="s">
        <v>57</v>
      </c>
      <c r="AR2193">
        <v>2100</v>
      </c>
      <c r="AS2193" t="s">
        <v>937</v>
      </c>
      <c r="AT2193" t="s">
        <v>58</v>
      </c>
    </row>
    <row r="2194" ht="29" spans="1:46">
      <c r="A2194" s="31" t="s">
        <v>98</v>
      </c>
      <c r="C2194" t="s">
        <v>3068</v>
      </c>
      <c r="D2194" s="5" t="s">
        <v>57</v>
      </c>
      <c r="E2194">
        <v>2035</v>
      </c>
      <c r="F2194" s="6" t="str">
        <f t="shared" si="274"/>
        <v>*0.96</v>
      </c>
      <c r="H2194" t="s">
        <v>3068</v>
      </c>
      <c r="I2194" s="5" t="s">
        <v>57</v>
      </c>
      <c r="J2194">
        <v>2050</v>
      </c>
      <c r="K2194" s="38" t="str">
        <f t="shared" si="275"/>
        <v>*0.94</v>
      </c>
      <c r="P2194" s="32" t="s">
        <v>3068</v>
      </c>
      <c r="Q2194" s="42" t="s">
        <v>57</v>
      </c>
      <c r="R2194" s="32">
        <v>2035</v>
      </c>
      <c r="S2194" s="43" t="str">
        <f t="shared" si="276"/>
        <v>*0.96</v>
      </c>
      <c r="U2194" s="32" t="s">
        <v>3068</v>
      </c>
      <c r="V2194" s="42" t="s">
        <v>57</v>
      </c>
      <c r="W2194" s="32">
        <v>2050</v>
      </c>
      <c r="X2194" s="43" t="str">
        <f t="shared" si="277"/>
        <v>*0.93</v>
      </c>
      <c r="AC2194" s="33" t="s">
        <v>3068</v>
      </c>
      <c r="AD2194" s="44" t="s">
        <v>57</v>
      </c>
      <c r="AE2194" s="33">
        <v>2035</v>
      </c>
      <c r="AF2194" s="45" t="str">
        <f t="shared" si="278"/>
        <v>*0.92</v>
      </c>
      <c r="AG2194" s="43" t="str">
        <f t="shared" si="280"/>
        <v>REZoning_Sol-Win</v>
      </c>
      <c r="AI2194" s="33" t="s">
        <v>3068</v>
      </c>
      <c r="AJ2194" s="44" t="s">
        <v>57</v>
      </c>
      <c r="AK2194" s="33">
        <v>2050</v>
      </c>
      <c r="AL2194" s="45" t="str">
        <f t="shared" si="279"/>
        <v>*0.89</v>
      </c>
      <c r="AM2194" s="43" t="str">
        <f t="shared" si="281"/>
        <v>REZoning_Sol-Win</v>
      </c>
      <c r="AP2194" t="s">
        <v>3068</v>
      </c>
      <c r="AQ2194" t="s">
        <v>57</v>
      </c>
      <c r="AR2194">
        <v>2100</v>
      </c>
      <c r="AS2194" t="s">
        <v>937</v>
      </c>
      <c r="AT2194" t="s">
        <v>58</v>
      </c>
    </row>
    <row r="2195" ht="29" spans="1:46">
      <c r="A2195" s="31" t="s">
        <v>98</v>
      </c>
      <c r="C2195" t="s">
        <v>3069</v>
      </c>
      <c r="D2195" s="5" t="s">
        <v>57</v>
      </c>
      <c r="E2195">
        <v>2035</v>
      </c>
      <c r="F2195" s="6" t="str">
        <f t="shared" si="274"/>
        <v>*0.96</v>
      </c>
      <c r="H2195" t="s">
        <v>3069</v>
      </c>
      <c r="I2195" s="5" t="s">
        <v>57</v>
      </c>
      <c r="J2195">
        <v>2050</v>
      </c>
      <c r="K2195" s="38" t="str">
        <f t="shared" si="275"/>
        <v>*0.94</v>
      </c>
      <c r="P2195" s="32" t="s">
        <v>3069</v>
      </c>
      <c r="Q2195" s="42" t="s">
        <v>57</v>
      </c>
      <c r="R2195" s="32">
        <v>2035</v>
      </c>
      <c r="S2195" s="43" t="str">
        <f t="shared" si="276"/>
        <v>*0.96</v>
      </c>
      <c r="U2195" s="32" t="s">
        <v>3069</v>
      </c>
      <c r="V2195" s="42" t="s">
        <v>57</v>
      </c>
      <c r="W2195" s="32">
        <v>2050</v>
      </c>
      <c r="X2195" s="43" t="str">
        <f t="shared" si="277"/>
        <v>*0.93</v>
      </c>
      <c r="AC2195" s="33" t="s">
        <v>3069</v>
      </c>
      <c r="AD2195" s="44" t="s">
        <v>57</v>
      </c>
      <c r="AE2195" s="33">
        <v>2035</v>
      </c>
      <c r="AF2195" s="45" t="str">
        <f t="shared" si="278"/>
        <v>*0.92</v>
      </c>
      <c r="AG2195" s="43" t="str">
        <f t="shared" si="280"/>
        <v>REZoning_Sol-Win</v>
      </c>
      <c r="AI2195" s="33" t="s">
        <v>3069</v>
      </c>
      <c r="AJ2195" s="44" t="s">
        <v>57</v>
      </c>
      <c r="AK2195" s="33">
        <v>2050</v>
      </c>
      <c r="AL2195" s="45" t="str">
        <f t="shared" si="279"/>
        <v>*0.89</v>
      </c>
      <c r="AM2195" s="43" t="str">
        <f t="shared" si="281"/>
        <v>REZoning_Sol-Win</v>
      </c>
      <c r="AP2195" t="s">
        <v>3069</v>
      </c>
      <c r="AQ2195" t="s">
        <v>57</v>
      </c>
      <c r="AR2195">
        <v>2100</v>
      </c>
      <c r="AS2195" t="s">
        <v>937</v>
      </c>
      <c r="AT2195" t="s">
        <v>58</v>
      </c>
    </row>
    <row r="2196" ht="29" spans="1:46">
      <c r="A2196" s="31" t="s">
        <v>98</v>
      </c>
      <c r="C2196" t="s">
        <v>3070</v>
      </c>
      <c r="D2196" s="5" t="s">
        <v>57</v>
      </c>
      <c r="E2196">
        <v>2035</v>
      </c>
      <c r="F2196" s="6" t="str">
        <f t="shared" si="274"/>
        <v>*0.96</v>
      </c>
      <c r="H2196" t="s">
        <v>3070</v>
      </c>
      <c r="I2196" s="5" t="s">
        <v>57</v>
      </c>
      <c r="J2196">
        <v>2050</v>
      </c>
      <c r="K2196" s="38" t="str">
        <f t="shared" si="275"/>
        <v>*0.94</v>
      </c>
      <c r="P2196" s="32" t="s">
        <v>3070</v>
      </c>
      <c r="Q2196" s="42" t="s">
        <v>57</v>
      </c>
      <c r="R2196" s="32">
        <v>2035</v>
      </c>
      <c r="S2196" s="43" t="str">
        <f t="shared" si="276"/>
        <v>*0.96</v>
      </c>
      <c r="U2196" s="32" t="s">
        <v>3070</v>
      </c>
      <c r="V2196" s="42" t="s">
        <v>57</v>
      </c>
      <c r="W2196" s="32">
        <v>2050</v>
      </c>
      <c r="X2196" s="43" t="str">
        <f t="shared" si="277"/>
        <v>*0.93</v>
      </c>
      <c r="AC2196" s="33" t="s">
        <v>3070</v>
      </c>
      <c r="AD2196" s="44" t="s">
        <v>57</v>
      </c>
      <c r="AE2196" s="33">
        <v>2035</v>
      </c>
      <c r="AF2196" s="45" t="str">
        <f t="shared" si="278"/>
        <v>*0.92</v>
      </c>
      <c r="AG2196" s="43" t="str">
        <f t="shared" si="280"/>
        <v>REZoning_Sol-Win</v>
      </c>
      <c r="AI2196" s="33" t="s">
        <v>3070</v>
      </c>
      <c r="AJ2196" s="44" t="s">
        <v>57</v>
      </c>
      <c r="AK2196" s="33">
        <v>2050</v>
      </c>
      <c r="AL2196" s="45" t="str">
        <f t="shared" si="279"/>
        <v>*0.89</v>
      </c>
      <c r="AM2196" s="43" t="str">
        <f t="shared" si="281"/>
        <v>REZoning_Sol-Win</v>
      </c>
      <c r="AP2196" t="s">
        <v>3070</v>
      </c>
      <c r="AQ2196" t="s">
        <v>57</v>
      </c>
      <c r="AR2196">
        <v>2100</v>
      </c>
      <c r="AS2196" t="s">
        <v>937</v>
      </c>
      <c r="AT2196" t="s">
        <v>58</v>
      </c>
    </row>
    <row r="2197" ht="29" spans="1:46">
      <c r="A2197" s="31" t="s">
        <v>98</v>
      </c>
      <c r="C2197" t="s">
        <v>3071</v>
      </c>
      <c r="D2197" s="5" t="s">
        <v>57</v>
      </c>
      <c r="E2197">
        <v>2035</v>
      </c>
      <c r="F2197" s="6" t="str">
        <f t="shared" si="274"/>
        <v>*0.96</v>
      </c>
      <c r="H2197" t="s">
        <v>3071</v>
      </c>
      <c r="I2197" s="5" t="s">
        <v>57</v>
      </c>
      <c r="J2197">
        <v>2050</v>
      </c>
      <c r="K2197" s="38" t="str">
        <f t="shared" si="275"/>
        <v>*0.94</v>
      </c>
      <c r="P2197" s="32" t="s">
        <v>3071</v>
      </c>
      <c r="Q2197" s="42" t="s">
        <v>57</v>
      </c>
      <c r="R2197" s="32">
        <v>2035</v>
      </c>
      <c r="S2197" s="43" t="str">
        <f t="shared" si="276"/>
        <v>*0.96</v>
      </c>
      <c r="U2197" s="32" t="s">
        <v>3071</v>
      </c>
      <c r="V2197" s="42" t="s">
        <v>57</v>
      </c>
      <c r="W2197" s="32">
        <v>2050</v>
      </c>
      <c r="X2197" s="43" t="str">
        <f t="shared" si="277"/>
        <v>*0.93</v>
      </c>
      <c r="AC2197" s="33" t="s">
        <v>3071</v>
      </c>
      <c r="AD2197" s="44" t="s">
        <v>57</v>
      </c>
      <c r="AE2197" s="33">
        <v>2035</v>
      </c>
      <c r="AF2197" s="45" t="str">
        <f t="shared" si="278"/>
        <v>*0.92</v>
      </c>
      <c r="AG2197" s="43" t="str">
        <f t="shared" si="280"/>
        <v>REZoning_Sol-Win</v>
      </c>
      <c r="AI2197" s="33" t="s">
        <v>3071</v>
      </c>
      <c r="AJ2197" s="44" t="s">
        <v>57</v>
      </c>
      <c r="AK2197" s="33">
        <v>2050</v>
      </c>
      <c r="AL2197" s="45" t="str">
        <f t="shared" si="279"/>
        <v>*0.89</v>
      </c>
      <c r="AM2197" s="43" t="str">
        <f t="shared" si="281"/>
        <v>REZoning_Sol-Win</v>
      </c>
      <c r="AP2197" t="s">
        <v>3071</v>
      </c>
      <c r="AQ2197" t="s">
        <v>57</v>
      </c>
      <c r="AR2197">
        <v>2100</v>
      </c>
      <c r="AS2197" t="s">
        <v>937</v>
      </c>
      <c r="AT2197" t="s">
        <v>58</v>
      </c>
    </row>
    <row r="2198" ht="29" spans="1:46">
      <c r="A2198" s="31" t="s">
        <v>98</v>
      </c>
      <c r="C2198" t="s">
        <v>3072</v>
      </c>
      <c r="D2198" s="5" t="s">
        <v>57</v>
      </c>
      <c r="E2198">
        <v>2035</v>
      </c>
      <c r="F2198" s="6" t="str">
        <f t="shared" si="274"/>
        <v>*0.96</v>
      </c>
      <c r="H2198" t="s">
        <v>3072</v>
      </c>
      <c r="I2198" s="5" t="s">
        <v>57</v>
      </c>
      <c r="J2198">
        <v>2050</v>
      </c>
      <c r="K2198" s="38" t="str">
        <f t="shared" si="275"/>
        <v>*0.94</v>
      </c>
      <c r="P2198" s="32" t="s">
        <v>3072</v>
      </c>
      <c r="Q2198" s="42" t="s">
        <v>57</v>
      </c>
      <c r="R2198" s="32">
        <v>2035</v>
      </c>
      <c r="S2198" s="43" t="str">
        <f t="shared" si="276"/>
        <v>*0.96</v>
      </c>
      <c r="U2198" s="32" t="s">
        <v>3072</v>
      </c>
      <c r="V2198" s="42" t="s">
        <v>57</v>
      </c>
      <c r="W2198" s="32">
        <v>2050</v>
      </c>
      <c r="X2198" s="43" t="str">
        <f t="shared" si="277"/>
        <v>*0.93</v>
      </c>
      <c r="AC2198" s="33" t="s">
        <v>3072</v>
      </c>
      <c r="AD2198" s="44" t="s">
        <v>57</v>
      </c>
      <c r="AE2198" s="33">
        <v>2035</v>
      </c>
      <c r="AF2198" s="45" t="str">
        <f t="shared" si="278"/>
        <v>*0.92</v>
      </c>
      <c r="AG2198" s="43" t="str">
        <f t="shared" si="280"/>
        <v>REZoning_Sol-Win</v>
      </c>
      <c r="AI2198" s="33" t="s">
        <v>3072</v>
      </c>
      <c r="AJ2198" s="44" t="s">
        <v>57</v>
      </c>
      <c r="AK2198" s="33">
        <v>2050</v>
      </c>
      <c r="AL2198" s="45" t="str">
        <f t="shared" si="279"/>
        <v>*0.89</v>
      </c>
      <c r="AM2198" s="43" t="str">
        <f t="shared" si="281"/>
        <v>REZoning_Sol-Win</v>
      </c>
      <c r="AP2198" t="s">
        <v>3072</v>
      </c>
      <c r="AQ2198" t="s">
        <v>57</v>
      </c>
      <c r="AR2198">
        <v>2100</v>
      </c>
      <c r="AS2198" t="s">
        <v>937</v>
      </c>
      <c r="AT2198" t="s">
        <v>58</v>
      </c>
    </row>
    <row r="2199" ht="29" spans="1:46">
      <c r="A2199" s="31" t="s">
        <v>98</v>
      </c>
      <c r="C2199" t="s">
        <v>3073</v>
      </c>
      <c r="D2199" s="5" t="s">
        <v>57</v>
      </c>
      <c r="E2199">
        <v>2035</v>
      </c>
      <c r="F2199" s="6" t="str">
        <f t="shared" si="274"/>
        <v>*0.96</v>
      </c>
      <c r="H2199" t="s">
        <v>3073</v>
      </c>
      <c r="I2199" s="5" t="s">
        <v>57</v>
      </c>
      <c r="J2199">
        <v>2050</v>
      </c>
      <c r="K2199" s="38" t="str">
        <f t="shared" si="275"/>
        <v>*0.94</v>
      </c>
      <c r="P2199" s="32" t="s">
        <v>3073</v>
      </c>
      <c r="Q2199" s="42" t="s">
        <v>57</v>
      </c>
      <c r="R2199" s="32">
        <v>2035</v>
      </c>
      <c r="S2199" s="43" t="str">
        <f t="shared" si="276"/>
        <v>*0.96</v>
      </c>
      <c r="U2199" s="32" t="s">
        <v>3073</v>
      </c>
      <c r="V2199" s="42" t="s">
        <v>57</v>
      </c>
      <c r="W2199" s="32">
        <v>2050</v>
      </c>
      <c r="X2199" s="43" t="str">
        <f t="shared" si="277"/>
        <v>*0.93</v>
      </c>
      <c r="AC2199" s="33" t="s">
        <v>3073</v>
      </c>
      <c r="AD2199" s="44" t="s">
        <v>57</v>
      </c>
      <c r="AE2199" s="33">
        <v>2035</v>
      </c>
      <c r="AF2199" s="45" t="str">
        <f t="shared" si="278"/>
        <v>*0.92</v>
      </c>
      <c r="AG2199" s="43" t="str">
        <f t="shared" si="280"/>
        <v>REZoning_Sol-Win</v>
      </c>
      <c r="AI2199" s="33" t="s">
        <v>3073</v>
      </c>
      <c r="AJ2199" s="44" t="s">
        <v>57</v>
      </c>
      <c r="AK2199" s="33">
        <v>2050</v>
      </c>
      <c r="AL2199" s="45" t="str">
        <f t="shared" si="279"/>
        <v>*0.89</v>
      </c>
      <c r="AM2199" s="43" t="str">
        <f t="shared" si="281"/>
        <v>REZoning_Sol-Win</v>
      </c>
      <c r="AP2199" t="s">
        <v>3073</v>
      </c>
      <c r="AQ2199" t="s">
        <v>57</v>
      </c>
      <c r="AR2199">
        <v>2100</v>
      </c>
      <c r="AS2199" t="s">
        <v>937</v>
      </c>
      <c r="AT2199" t="s">
        <v>58</v>
      </c>
    </row>
    <row r="2200" ht="29" spans="1:46">
      <c r="A2200" s="31" t="s">
        <v>98</v>
      </c>
      <c r="C2200" t="s">
        <v>3074</v>
      </c>
      <c r="D2200" s="5" t="s">
        <v>57</v>
      </c>
      <c r="E2200">
        <v>2035</v>
      </c>
      <c r="F2200" s="6" t="str">
        <f t="shared" si="274"/>
        <v>*0.96</v>
      </c>
      <c r="H2200" t="s">
        <v>3074</v>
      </c>
      <c r="I2200" s="5" t="s">
        <v>57</v>
      </c>
      <c r="J2200">
        <v>2050</v>
      </c>
      <c r="K2200" s="38" t="str">
        <f t="shared" si="275"/>
        <v>*0.94</v>
      </c>
      <c r="P2200" s="32" t="s">
        <v>3074</v>
      </c>
      <c r="Q2200" s="42" t="s">
        <v>57</v>
      </c>
      <c r="R2200" s="32">
        <v>2035</v>
      </c>
      <c r="S2200" s="43" t="str">
        <f t="shared" si="276"/>
        <v>*0.96</v>
      </c>
      <c r="U2200" s="32" t="s">
        <v>3074</v>
      </c>
      <c r="V2200" s="42" t="s">
        <v>57</v>
      </c>
      <c r="W2200" s="32">
        <v>2050</v>
      </c>
      <c r="X2200" s="43" t="str">
        <f t="shared" si="277"/>
        <v>*0.93</v>
      </c>
      <c r="AC2200" s="33" t="s">
        <v>3074</v>
      </c>
      <c r="AD2200" s="44" t="s">
        <v>57</v>
      </c>
      <c r="AE2200" s="33">
        <v>2035</v>
      </c>
      <c r="AF2200" s="45" t="str">
        <f t="shared" si="278"/>
        <v>*0.92</v>
      </c>
      <c r="AG2200" s="43" t="str">
        <f t="shared" si="280"/>
        <v>REZoning_Sol-Win</v>
      </c>
      <c r="AI2200" s="33" t="s">
        <v>3074</v>
      </c>
      <c r="AJ2200" s="44" t="s">
        <v>57</v>
      </c>
      <c r="AK2200" s="33">
        <v>2050</v>
      </c>
      <c r="AL2200" s="45" t="str">
        <f t="shared" si="279"/>
        <v>*0.89</v>
      </c>
      <c r="AM2200" s="43" t="str">
        <f t="shared" si="281"/>
        <v>REZoning_Sol-Win</v>
      </c>
      <c r="AP2200" t="s">
        <v>3074</v>
      </c>
      <c r="AQ2200" t="s">
        <v>57</v>
      </c>
      <c r="AR2200">
        <v>2100</v>
      </c>
      <c r="AS2200" t="s">
        <v>937</v>
      </c>
      <c r="AT2200" t="s">
        <v>58</v>
      </c>
    </row>
    <row r="2201" ht="29" spans="1:46">
      <c r="A2201" s="31" t="s">
        <v>98</v>
      </c>
      <c r="C2201" t="s">
        <v>3075</v>
      </c>
      <c r="D2201" s="5" t="s">
        <v>57</v>
      </c>
      <c r="E2201">
        <v>2035</v>
      </c>
      <c r="F2201" s="6" t="str">
        <f t="shared" si="274"/>
        <v>*0.96</v>
      </c>
      <c r="H2201" t="s">
        <v>3075</v>
      </c>
      <c r="I2201" s="5" t="s">
        <v>57</v>
      </c>
      <c r="J2201">
        <v>2050</v>
      </c>
      <c r="K2201" s="38" t="str">
        <f t="shared" si="275"/>
        <v>*0.94</v>
      </c>
      <c r="P2201" s="32" t="s">
        <v>3075</v>
      </c>
      <c r="Q2201" s="42" t="s">
        <v>57</v>
      </c>
      <c r="R2201" s="32">
        <v>2035</v>
      </c>
      <c r="S2201" s="43" t="str">
        <f t="shared" si="276"/>
        <v>*0.96</v>
      </c>
      <c r="U2201" s="32" t="s">
        <v>3075</v>
      </c>
      <c r="V2201" s="42" t="s">
        <v>57</v>
      </c>
      <c r="W2201" s="32">
        <v>2050</v>
      </c>
      <c r="X2201" s="43" t="str">
        <f t="shared" si="277"/>
        <v>*0.93</v>
      </c>
      <c r="AC2201" s="33" t="s">
        <v>3075</v>
      </c>
      <c r="AD2201" s="44" t="s">
        <v>57</v>
      </c>
      <c r="AE2201" s="33">
        <v>2035</v>
      </c>
      <c r="AF2201" s="45" t="str">
        <f t="shared" si="278"/>
        <v>*0.92</v>
      </c>
      <c r="AG2201" s="43" t="str">
        <f t="shared" si="280"/>
        <v>REZoning_Sol-Win</v>
      </c>
      <c r="AI2201" s="33" t="s">
        <v>3075</v>
      </c>
      <c r="AJ2201" s="44" t="s">
        <v>57</v>
      </c>
      <c r="AK2201" s="33">
        <v>2050</v>
      </c>
      <c r="AL2201" s="45" t="str">
        <f t="shared" si="279"/>
        <v>*0.89</v>
      </c>
      <c r="AM2201" s="43" t="str">
        <f t="shared" si="281"/>
        <v>REZoning_Sol-Win</v>
      </c>
      <c r="AP2201" t="s">
        <v>3075</v>
      </c>
      <c r="AQ2201" t="s">
        <v>57</v>
      </c>
      <c r="AR2201">
        <v>2100</v>
      </c>
      <c r="AS2201" t="s">
        <v>937</v>
      </c>
      <c r="AT2201" t="s">
        <v>58</v>
      </c>
    </row>
    <row r="2202" ht="29" spans="1:46">
      <c r="A2202" s="31" t="s">
        <v>98</v>
      </c>
      <c r="C2202" t="s">
        <v>3076</v>
      </c>
      <c r="D2202" s="5" t="s">
        <v>57</v>
      </c>
      <c r="E2202">
        <v>2035</v>
      </c>
      <c r="F2202" s="6" t="str">
        <f t="shared" si="274"/>
        <v>*0.96</v>
      </c>
      <c r="H2202" t="s">
        <v>3076</v>
      </c>
      <c r="I2202" s="5" t="s">
        <v>57</v>
      </c>
      <c r="J2202">
        <v>2050</v>
      </c>
      <c r="K2202" s="38" t="str">
        <f t="shared" si="275"/>
        <v>*0.94</v>
      </c>
      <c r="P2202" s="32" t="s">
        <v>3076</v>
      </c>
      <c r="Q2202" s="42" t="s">
        <v>57</v>
      </c>
      <c r="R2202" s="32">
        <v>2035</v>
      </c>
      <c r="S2202" s="43" t="str">
        <f t="shared" si="276"/>
        <v>*0.96</v>
      </c>
      <c r="U2202" s="32" t="s">
        <v>3076</v>
      </c>
      <c r="V2202" s="42" t="s">
        <v>57</v>
      </c>
      <c r="W2202" s="32">
        <v>2050</v>
      </c>
      <c r="X2202" s="43" t="str">
        <f t="shared" si="277"/>
        <v>*0.93</v>
      </c>
      <c r="AC2202" s="33" t="s">
        <v>3076</v>
      </c>
      <c r="AD2202" s="44" t="s">
        <v>57</v>
      </c>
      <c r="AE2202" s="33">
        <v>2035</v>
      </c>
      <c r="AF2202" s="45" t="str">
        <f t="shared" si="278"/>
        <v>*0.92</v>
      </c>
      <c r="AG2202" s="43" t="str">
        <f t="shared" si="280"/>
        <v>REZoning_Sol-Win</v>
      </c>
      <c r="AI2202" s="33" t="s">
        <v>3076</v>
      </c>
      <c r="AJ2202" s="44" t="s">
        <v>57</v>
      </c>
      <c r="AK2202" s="33">
        <v>2050</v>
      </c>
      <c r="AL2202" s="45" t="str">
        <f t="shared" si="279"/>
        <v>*0.89</v>
      </c>
      <c r="AM2202" s="43" t="str">
        <f t="shared" si="281"/>
        <v>REZoning_Sol-Win</v>
      </c>
      <c r="AP2202" t="s">
        <v>3076</v>
      </c>
      <c r="AQ2202" t="s">
        <v>57</v>
      </c>
      <c r="AR2202">
        <v>2100</v>
      </c>
      <c r="AS2202" t="s">
        <v>937</v>
      </c>
      <c r="AT2202" t="s">
        <v>58</v>
      </c>
    </row>
    <row r="2203" ht="29" spans="1:46">
      <c r="A2203" s="31" t="s">
        <v>98</v>
      </c>
      <c r="C2203" t="s">
        <v>3077</v>
      </c>
      <c r="D2203" s="5" t="s">
        <v>57</v>
      </c>
      <c r="E2203">
        <v>2035</v>
      </c>
      <c r="F2203" s="6" t="str">
        <f t="shared" si="274"/>
        <v>*0.96</v>
      </c>
      <c r="H2203" t="s">
        <v>3077</v>
      </c>
      <c r="I2203" s="5" t="s">
        <v>57</v>
      </c>
      <c r="J2203">
        <v>2050</v>
      </c>
      <c r="K2203" s="38" t="str">
        <f t="shared" si="275"/>
        <v>*0.94</v>
      </c>
      <c r="P2203" s="32" t="s">
        <v>3077</v>
      </c>
      <c r="Q2203" s="42" t="s">
        <v>57</v>
      </c>
      <c r="R2203" s="32">
        <v>2035</v>
      </c>
      <c r="S2203" s="43" t="str">
        <f t="shared" si="276"/>
        <v>*0.96</v>
      </c>
      <c r="U2203" s="32" t="s">
        <v>3077</v>
      </c>
      <c r="V2203" s="42" t="s">
        <v>57</v>
      </c>
      <c r="W2203" s="32">
        <v>2050</v>
      </c>
      <c r="X2203" s="43" t="str">
        <f t="shared" si="277"/>
        <v>*0.93</v>
      </c>
      <c r="AC2203" s="33" t="s">
        <v>3077</v>
      </c>
      <c r="AD2203" s="44" t="s">
        <v>57</v>
      </c>
      <c r="AE2203" s="33">
        <v>2035</v>
      </c>
      <c r="AF2203" s="45" t="str">
        <f t="shared" si="278"/>
        <v>*0.92</v>
      </c>
      <c r="AG2203" s="43" t="str">
        <f t="shared" si="280"/>
        <v>REZoning_Sol-Win</v>
      </c>
      <c r="AI2203" s="33" t="s">
        <v>3077</v>
      </c>
      <c r="AJ2203" s="44" t="s">
        <v>57</v>
      </c>
      <c r="AK2203" s="33">
        <v>2050</v>
      </c>
      <c r="AL2203" s="45" t="str">
        <f t="shared" si="279"/>
        <v>*0.89</v>
      </c>
      <c r="AM2203" s="43" t="str">
        <f t="shared" si="281"/>
        <v>REZoning_Sol-Win</v>
      </c>
      <c r="AP2203" t="s">
        <v>3077</v>
      </c>
      <c r="AQ2203" t="s">
        <v>57</v>
      </c>
      <c r="AR2203">
        <v>2100</v>
      </c>
      <c r="AS2203" t="s">
        <v>937</v>
      </c>
      <c r="AT2203" t="s">
        <v>58</v>
      </c>
    </row>
    <row r="2204" ht="29" spans="1:46">
      <c r="A2204" s="31" t="s">
        <v>98</v>
      </c>
      <c r="C2204" t="s">
        <v>3078</v>
      </c>
      <c r="D2204" s="5" t="s">
        <v>57</v>
      </c>
      <c r="E2204">
        <v>2035</v>
      </c>
      <c r="F2204" s="6" t="str">
        <f t="shared" si="274"/>
        <v>*0.96</v>
      </c>
      <c r="H2204" t="s">
        <v>3078</v>
      </c>
      <c r="I2204" s="5" t="s">
        <v>57</v>
      </c>
      <c r="J2204">
        <v>2050</v>
      </c>
      <c r="K2204" s="38" t="str">
        <f t="shared" si="275"/>
        <v>*0.94</v>
      </c>
      <c r="P2204" s="32" t="s">
        <v>3078</v>
      </c>
      <c r="Q2204" s="42" t="s">
        <v>57</v>
      </c>
      <c r="R2204" s="32">
        <v>2035</v>
      </c>
      <c r="S2204" s="43" t="str">
        <f t="shared" si="276"/>
        <v>*0.96</v>
      </c>
      <c r="U2204" s="32" t="s">
        <v>3078</v>
      </c>
      <c r="V2204" s="42" t="s">
        <v>57</v>
      </c>
      <c r="W2204" s="32">
        <v>2050</v>
      </c>
      <c r="X2204" s="43" t="str">
        <f t="shared" si="277"/>
        <v>*0.93</v>
      </c>
      <c r="AC2204" s="33" t="s">
        <v>3078</v>
      </c>
      <c r="AD2204" s="44" t="s">
        <v>57</v>
      </c>
      <c r="AE2204" s="33">
        <v>2035</v>
      </c>
      <c r="AF2204" s="45" t="str">
        <f t="shared" si="278"/>
        <v>*0.92</v>
      </c>
      <c r="AG2204" s="43" t="str">
        <f t="shared" si="280"/>
        <v>REZoning_Sol-Win</v>
      </c>
      <c r="AI2204" s="33" t="s">
        <v>3078</v>
      </c>
      <c r="AJ2204" s="44" t="s">
        <v>57</v>
      </c>
      <c r="AK2204" s="33">
        <v>2050</v>
      </c>
      <c r="AL2204" s="45" t="str">
        <f t="shared" si="279"/>
        <v>*0.89</v>
      </c>
      <c r="AM2204" s="43" t="str">
        <f t="shared" si="281"/>
        <v>REZoning_Sol-Win</v>
      </c>
      <c r="AP2204" t="s">
        <v>3078</v>
      </c>
      <c r="AQ2204" t="s">
        <v>57</v>
      </c>
      <c r="AR2204">
        <v>2100</v>
      </c>
      <c r="AS2204" t="s">
        <v>937</v>
      </c>
      <c r="AT2204" t="s">
        <v>58</v>
      </c>
    </row>
    <row r="2205" ht="29" spans="1:46">
      <c r="A2205" s="31" t="s">
        <v>98</v>
      </c>
      <c r="C2205" t="s">
        <v>3079</v>
      </c>
      <c r="D2205" s="5" t="s">
        <v>57</v>
      </c>
      <c r="E2205">
        <v>2035</v>
      </c>
      <c r="F2205" s="6" t="str">
        <f t="shared" si="274"/>
        <v>*0.96</v>
      </c>
      <c r="H2205" t="s">
        <v>3079</v>
      </c>
      <c r="I2205" s="5" t="s">
        <v>57</v>
      </c>
      <c r="J2205">
        <v>2050</v>
      </c>
      <c r="K2205" s="38" t="str">
        <f t="shared" si="275"/>
        <v>*0.94</v>
      </c>
      <c r="P2205" s="32" t="s">
        <v>3079</v>
      </c>
      <c r="Q2205" s="42" t="s">
        <v>57</v>
      </c>
      <c r="R2205" s="32">
        <v>2035</v>
      </c>
      <c r="S2205" s="43" t="str">
        <f t="shared" si="276"/>
        <v>*0.96</v>
      </c>
      <c r="U2205" s="32" t="s">
        <v>3079</v>
      </c>
      <c r="V2205" s="42" t="s">
        <v>57</v>
      </c>
      <c r="W2205" s="32">
        <v>2050</v>
      </c>
      <c r="X2205" s="43" t="str">
        <f t="shared" si="277"/>
        <v>*0.93</v>
      </c>
      <c r="AC2205" s="33" t="s">
        <v>3079</v>
      </c>
      <c r="AD2205" s="44" t="s">
        <v>57</v>
      </c>
      <c r="AE2205" s="33">
        <v>2035</v>
      </c>
      <c r="AF2205" s="45" t="str">
        <f t="shared" si="278"/>
        <v>*0.92</v>
      </c>
      <c r="AG2205" s="43" t="str">
        <f t="shared" si="280"/>
        <v>REZoning_Sol-Win</v>
      </c>
      <c r="AI2205" s="33" t="s">
        <v>3079</v>
      </c>
      <c r="AJ2205" s="44" t="s">
        <v>57</v>
      </c>
      <c r="AK2205" s="33">
        <v>2050</v>
      </c>
      <c r="AL2205" s="45" t="str">
        <f t="shared" si="279"/>
        <v>*0.89</v>
      </c>
      <c r="AM2205" s="43" t="str">
        <f t="shared" si="281"/>
        <v>REZoning_Sol-Win</v>
      </c>
      <c r="AP2205" t="s">
        <v>3079</v>
      </c>
      <c r="AQ2205" t="s">
        <v>57</v>
      </c>
      <c r="AR2205">
        <v>2100</v>
      </c>
      <c r="AS2205" t="s">
        <v>937</v>
      </c>
      <c r="AT2205" t="s">
        <v>58</v>
      </c>
    </row>
    <row r="2206" ht="29" spans="1:46">
      <c r="A2206" s="31" t="s">
        <v>98</v>
      </c>
      <c r="C2206" t="s">
        <v>3080</v>
      </c>
      <c r="D2206" s="5" t="s">
        <v>57</v>
      </c>
      <c r="E2206">
        <v>2035</v>
      </c>
      <c r="F2206" s="6" t="str">
        <f t="shared" si="274"/>
        <v>*0.96</v>
      </c>
      <c r="H2206" t="s">
        <v>3080</v>
      </c>
      <c r="I2206" s="5" t="s">
        <v>57</v>
      </c>
      <c r="J2206">
        <v>2050</v>
      </c>
      <c r="K2206" s="38" t="str">
        <f t="shared" si="275"/>
        <v>*0.94</v>
      </c>
      <c r="P2206" s="32" t="s">
        <v>3080</v>
      </c>
      <c r="Q2206" s="42" t="s">
        <v>57</v>
      </c>
      <c r="R2206" s="32">
        <v>2035</v>
      </c>
      <c r="S2206" s="43" t="str">
        <f t="shared" si="276"/>
        <v>*0.96</v>
      </c>
      <c r="U2206" s="32" t="s">
        <v>3080</v>
      </c>
      <c r="V2206" s="42" t="s">
        <v>57</v>
      </c>
      <c r="W2206" s="32">
        <v>2050</v>
      </c>
      <c r="X2206" s="43" t="str">
        <f t="shared" si="277"/>
        <v>*0.93</v>
      </c>
      <c r="AC2206" s="33" t="s">
        <v>3080</v>
      </c>
      <c r="AD2206" s="44" t="s">
        <v>57</v>
      </c>
      <c r="AE2206" s="33">
        <v>2035</v>
      </c>
      <c r="AF2206" s="45" t="str">
        <f t="shared" si="278"/>
        <v>*0.92</v>
      </c>
      <c r="AG2206" s="43" t="str">
        <f t="shared" si="280"/>
        <v>REZoning_Sol-Win</v>
      </c>
      <c r="AI2206" s="33" t="s">
        <v>3080</v>
      </c>
      <c r="AJ2206" s="44" t="s">
        <v>57</v>
      </c>
      <c r="AK2206" s="33">
        <v>2050</v>
      </c>
      <c r="AL2206" s="45" t="str">
        <f t="shared" si="279"/>
        <v>*0.89</v>
      </c>
      <c r="AM2206" s="43" t="str">
        <f t="shared" si="281"/>
        <v>REZoning_Sol-Win</v>
      </c>
      <c r="AP2206" t="s">
        <v>3080</v>
      </c>
      <c r="AQ2206" t="s">
        <v>57</v>
      </c>
      <c r="AR2206">
        <v>2100</v>
      </c>
      <c r="AS2206" t="s">
        <v>937</v>
      </c>
      <c r="AT2206" t="s">
        <v>58</v>
      </c>
    </row>
    <row r="2207" ht="29" spans="1:46">
      <c r="A2207" s="31" t="s">
        <v>98</v>
      </c>
      <c r="C2207" t="s">
        <v>3081</v>
      </c>
      <c r="D2207" s="5" t="s">
        <v>57</v>
      </c>
      <c r="E2207">
        <v>2035</v>
      </c>
      <c r="F2207" s="6" t="str">
        <f t="shared" si="274"/>
        <v>*0.96</v>
      </c>
      <c r="H2207" t="s">
        <v>3081</v>
      </c>
      <c r="I2207" s="5" t="s">
        <v>57</v>
      </c>
      <c r="J2207">
        <v>2050</v>
      </c>
      <c r="K2207" s="38" t="str">
        <f t="shared" si="275"/>
        <v>*0.94</v>
      </c>
      <c r="P2207" s="32" t="s">
        <v>3081</v>
      </c>
      <c r="Q2207" s="42" t="s">
        <v>57</v>
      </c>
      <c r="R2207" s="32">
        <v>2035</v>
      </c>
      <c r="S2207" s="43" t="str">
        <f t="shared" si="276"/>
        <v>*0.96</v>
      </c>
      <c r="U2207" s="32" t="s">
        <v>3081</v>
      </c>
      <c r="V2207" s="42" t="s">
        <v>57</v>
      </c>
      <c r="W2207" s="32">
        <v>2050</v>
      </c>
      <c r="X2207" s="43" t="str">
        <f t="shared" si="277"/>
        <v>*0.93</v>
      </c>
      <c r="AC2207" s="33" t="s">
        <v>3081</v>
      </c>
      <c r="AD2207" s="44" t="s">
        <v>57</v>
      </c>
      <c r="AE2207" s="33">
        <v>2035</v>
      </c>
      <c r="AF2207" s="45" t="str">
        <f t="shared" si="278"/>
        <v>*0.92</v>
      </c>
      <c r="AG2207" s="43" t="str">
        <f t="shared" si="280"/>
        <v>REZoning_Sol-Win</v>
      </c>
      <c r="AI2207" s="33" t="s">
        <v>3081</v>
      </c>
      <c r="AJ2207" s="44" t="s">
        <v>57</v>
      </c>
      <c r="AK2207" s="33">
        <v>2050</v>
      </c>
      <c r="AL2207" s="45" t="str">
        <f t="shared" si="279"/>
        <v>*0.89</v>
      </c>
      <c r="AM2207" s="43" t="str">
        <f t="shared" si="281"/>
        <v>REZoning_Sol-Win</v>
      </c>
      <c r="AP2207" t="s">
        <v>3081</v>
      </c>
      <c r="AQ2207" t="s">
        <v>57</v>
      </c>
      <c r="AR2207">
        <v>2100</v>
      </c>
      <c r="AS2207" t="s">
        <v>937</v>
      </c>
      <c r="AT2207" t="s">
        <v>58</v>
      </c>
    </row>
    <row r="2208" ht="29" spans="1:46">
      <c r="A2208" s="31" t="s">
        <v>98</v>
      </c>
      <c r="C2208" t="s">
        <v>3082</v>
      </c>
      <c r="D2208" s="5" t="s">
        <v>57</v>
      </c>
      <c r="E2208">
        <v>2035</v>
      </c>
      <c r="F2208" s="6" t="str">
        <f t="shared" si="274"/>
        <v>*0.96</v>
      </c>
      <c r="H2208" t="s">
        <v>3082</v>
      </c>
      <c r="I2208" s="5" t="s">
        <v>57</v>
      </c>
      <c r="J2208">
        <v>2050</v>
      </c>
      <c r="K2208" s="38" t="str">
        <f t="shared" si="275"/>
        <v>*0.94</v>
      </c>
      <c r="P2208" s="32" t="s">
        <v>3082</v>
      </c>
      <c r="Q2208" s="42" t="s">
        <v>57</v>
      </c>
      <c r="R2208" s="32">
        <v>2035</v>
      </c>
      <c r="S2208" s="43" t="str">
        <f t="shared" si="276"/>
        <v>*0.96</v>
      </c>
      <c r="U2208" s="32" t="s">
        <v>3082</v>
      </c>
      <c r="V2208" s="42" t="s">
        <v>57</v>
      </c>
      <c r="W2208" s="32">
        <v>2050</v>
      </c>
      <c r="X2208" s="43" t="str">
        <f t="shared" si="277"/>
        <v>*0.93</v>
      </c>
      <c r="AC2208" s="33" t="s">
        <v>3082</v>
      </c>
      <c r="AD2208" s="44" t="s">
        <v>57</v>
      </c>
      <c r="AE2208" s="33">
        <v>2035</v>
      </c>
      <c r="AF2208" s="45" t="str">
        <f t="shared" si="278"/>
        <v>*0.92</v>
      </c>
      <c r="AG2208" s="43" t="str">
        <f t="shared" si="280"/>
        <v>REZoning_Sol-Win</v>
      </c>
      <c r="AI2208" s="33" t="s">
        <v>3082</v>
      </c>
      <c r="AJ2208" s="44" t="s">
        <v>57</v>
      </c>
      <c r="AK2208" s="33">
        <v>2050</v>
      </c>
      <c r="AL2208" s="45" t="str">
        <f t="shared" si="279"/>
        <v>*0.89</v>
      </c>
      <c r="AM2208" s="43" t="str">
        <f t="shared" si="281"/>
        <v>REZoning_Sol-Win</v>
      </c>
      <c r="AP2208" t="s">
        <v>3082</v>
      </c>
      <c r="AQ2208" t="s">
        <v>57</v>
      </c>
      <c r="AR2208">
        <v>2100</v>
      </c>
      <c r="AS2208" t="s">
        <v>937</v>
      </c>
      <c r="AT2208" t="s">
        <v>58</v>
      </c>
    </row>
    <row r="2209" ht="29" spans="1:46">
      <c r="A2209" s="31" t="s">
        <v>98</v>
      </c>
      <c r="C2209" t="s">
        <v>3083</v>
      </c>
      <c r="D2209" s="5" t="s">
        <v>57</v>
      </c>
      <c r="E2209">
        <v>2035</v>
      </c>
      <c r="F2209" s="6" t="str">
        <f t="shared" si="274"/>
        <v>*0.96</v>
      </c>
      <c r="H2209" t="s">
        <v>3083</v>
      </c>
      <c r="I2209" s="5" t="s">
        <v>57</v>
      </c>
      <c r="J2209">
        <v>2050</v>
      </c>
      <c r="K2209" s="38" t="str">
        <f t="shared" si="275"/>
        <v>*0.94</v>
      </c>
      <c r="P2209" s="32" t="s">
        <v>3083</v>
      </c>
      <c r="Q2209" s="42" t="s">
        <v>57</v>
      </c>
      <c r="R2209" s="32">
        <v>2035</v>
      </c>
      <c r="S2209" s="43" t="str">
        <f t="shared" si="276"/>
        <v>*0.96</v>
      </c>
      <c r="U2209" s="32" t="s">
        <v>3083</v>
      </c>
      <c r="V2209" s="42" t="s">
        <v>57</v>
      </c>
      <c r="W2209" s="32">
        <v>2050</v>
      </c>
      <c r="X2209" s="43" t="str">
        <f t="shared" si="277"/>
        <v>*0.93</v>
      </c>
      <c r="AC2209" s="33" t="s">
        <v>3083</v>
      </c>
      <c r="AD2209" s="44" t="s">
        <v>57</v>
      </c>
      <c r="AE2209" s="33">
        <v>2035</v>
      </c>
      <c r="AF2209" s="45" t="str">
        <f t="shared" si="278"/>
        <v>*0.92</v>
      </c>
      <c r="AG2209" s="43" t="str">
        <f t="shared" si="280"/>
        <v>REZoning_Sol-Win</v>
      </c>
      <c r="AI2209" s="33" t="s">
        <v>3083</v>
      </c>
      <c r="AJ2209" s="44" t="s">
        <v>57</v>
      </c>
      <c r="AK2209" s="33">
        <v>2050</v>
      </c>
      <c r="AL2209" s="45" t="str">
        <f t="shared" si="279"/>
        <v>*0.89</v>
      </c>
      <c r="AM2209" s="43" t="str">
        <f t="shared" si="281"/>
        <v>REZoning_Sol-Win</v>
      </c>
      <c r="AP2209" t="s">
        <v>3083</v>
      </c>
      <c r="AQ2209" t="s">
        <v>57</v>
      </c>
      <c r="AR2209">
        <v>2100</v>
      </c>
      <c r="AS2209" t="s">
        <v>937</v>
      </c>
      <c r="AT2209" t="s">
        <v>58</v>
      </c>
    </row>
    <row r="2210" ht="29" spans="1:46">
      <c r="A2210" s="31" t="s">
        <v>98</v>
      </c>
      <c r="C2210" t="s">
        <v>3084</v>
      </c>
      <c r="D2210" s="5" t="s">
        <v>57</v>
      </c>
      <c r="E2210">
        <v>2035</v>
      </c>
      <c r="F2210" s="6" t="str">
        <f t="shared" si="274"/>
        <v>*0.96</v>
      </c>
      <c r="H2210" t="s">
        <v>3084</v>
      </c>
      <c r="I2210" s="5" t="s">
        <v>57</v>
      </c>
      <c r="J2210">
        <v>2050</v>
      </c>
      <c r="K2210" s="38" t="str">
        <f t="shared" si="275"/>
        <v>*0.94</v>
      </c>
      <c r="P2210" s="32" t="s">
        <v>3084</v>
      </c>
      <c r="Q2210" s="42" t="s">
        <v>57</v>
      </c>
      <c r="R2210" s="32">
        <v>2035</v>
      </c>
      <c r="S2210" s="43" t="str">
        <f t="shared" si="276"/>
        <v>*0.96</v>
      </c>
      <c r="U2210" s="32" t="s">
        <v>3084</v>
      </c>
      <c r="V2210" s="42" t="s">
        <v>57</v>
      </c>
      <c r="W2210" s="32">
        <v>2050</v>
      </c>
      <c r="X2210" s="43" t="str">
        <f t="shared" si="277"/>
        <v>*0.93</v>
      </c>
      <c r="AC2210" s="33" t="s">
        <v>3084</v>
      </c>
      <c r="AD2210" s="44" t="s">
        <v>57</v>
      </c>
      <c r="AE2210" s="33">
        <v>2035</v>
      </c>
      <c r="AF2210" s="45" t="str">
        <f t="shared" si="278"/>
        <v>*0.92</v>
      </c>
      <c r="AG2210" s="43" t="str">
        <f t="shared" si="280"/>
        <v>REZoning_Sol-Win</v>
      </c>
      <c r="AI2210" s="33" t="s">
        <v>3084</v>
      </c>
      <c r="AJ2210" s="44" t="s">
        <v>57</v>
      </c>
      <c r="AK2210" s="33">
        <v>2050</v>
      </c>
      <c r="AL2210" s="45" t="str">
        <f t="shared" si="279"/>
        <v>*0.89</v>
      </c>
      <c r="AM2210" s="43" t="str">
        <f t="shared" si="281"/>
        <v>REZoning_Sol-Win</v>
      </c>
      <c r="AP2210" t="s">
        <v>3084</v>
      </c>
      <c r="AQ2210" t="s">
        <v>57</v>
      </c>
      <c r="AR2210">
        <v>2100</v>
      </c>
      <c r="AS2210" t="s">
        <v>937</v>
      </c>
      <c r="AT2210" t="s">
        <v>58</v>
      </c>
    </row>
    <row r="2211" ht="29" spans="1:46">
      <c r="A2211" s="31" t="s">
        <v>98</v>
      </c>
      <c r="C2211" t="s">
        <v>3085</v>
      </c>
      <c r="D2211" s="5" t="s">
        <v>57</v>
      </c>
      <c r="E2211">
        <v>2035</v>
      </c>
      <c r="F2211" s="6" t="str">
        <f t="shared" si="274"/>
        <v>*0.96</v>
      </c>
      <c r="H2211" t="s">
        <v>3085</v>
      </c>
      <c r="I2211" s="5" t="s">
        <v>57</v>
      </c>
      <c r="J2211">
        <v>2050</v>
      </c>
      <c r="K2211" s="38" t="str">
        <f t="shared" si="275"/>
        <v>*0.94</v>
      </c>
      <c r="P2211" s="32" t="s">
        <v>3085</v>
      </c>
      <c r="Q2211" s="42" t="s">
        <v>57</v>
      </c>
      <c r="R2211" s="32">
        <v>2035</v>
      </c>
      <c r="S2211" s="43" t="str">
        <f t="shared" si="276"/>
        <v>*0.96</v>
      </c>
      <c r="U2211" s="32" t="s">
        <v>3085</v>
      </c>
      <c r="V2211" s="42" t="s">
        <v>57</v>
      </c>
      <c r="W2211" s="32">
        <v>2050</v>
      </c>
      <c r="X2211" s="43" t="str">
        <f t="shared" si="277"/>
        <v>*0.93</v>
      </c>
      <c r="AC2211" s="33" t="s">
        <v>3085</v>
      </c>
      <c r="AD2211" s="44" t="s">
        <v>57</v>
      </c>
      <c r="AE2211" s="33">
        <v>2035</v>
      </c>
      <c r="AF2211" s="45" t="str">
        <f t="shared" si="278"/>
        <v>*0.92</v>
      </c>
      <c r="AG2211" s="43" t="str">
        <f t="shared" si="280"/>
        <v>REZoning_Sol-Win</v>
      </c>
      <c r="AI2211" s="33" t="s">
        <v>3085</v>
      </c>
      <c r="AJ2211" s="44" t="s">
        <v>57</v>
      </c>
      <c r="AK2211" s="33">
        <v>2050</v>
      </c>
      <c r="AL2211" s="45" t="str">
        <f t="shared" si="279"/>
        <v>*0.89</v>
      </c>
      <c r="AM2211" s="43" t="str">
        <f t="shared" si="281"/>
        <v>REZoning_Sol-Win</v>
      </c>
      <c r="AP2211" t="s">
        <v>3085</v>
      </c>
      <c r="AQ2211" t="s">
        <v>57</v>
      </c>
      <c r="AR2211">
        <v>2100</v>
      </c>
      <c r="AS2211" t="s">
        <v>937</v>
      </c>
      <c r="AT2211" t="s">
        <v>58</v>
      </c>
    </row>
    <row r="2212" ht="29" spans="1:46">
      <c r="A2212" s="31" t="s">
        <v>98</v>
      </c>
      <c r="C2212" t="s">
        <v>3086</v>
      </c>
      <c r="D2212" s="5" t="s">
        <v>57</v>
      </c>
      <c r="E2212">
        <v>2035</v>
      </c>
      <c r="F2212" s="6" t="str">
        <f t="shared" si="274"/>
        <v>*0.96</v>
      </c>
      <c r="H2212" t="s">
        <v>3086</v>
      </c>
      <c r="I2212" s="5" t="s">
        <v>57</v>
      </c>
      <c r="J2212">
        <v>2050</v>
      </c>
      <c r="K2212" s="38" t="str">
        <f t="shared" si="275"/>
        <v>*0.94</v>
      </c>
      <c r="P2212" s="32" t="s">
        <v>3086</v>
      </c>
      <c r="Q2212" s="42" t="s">
        <v>57</v>
      </c>
      <c r="R2212" s="32">
        <v>2035</v>
      </c>
      <c r="S2212" s="43" t="str">
        <f t="shared" si="276"/>
        <v>*0.96</v>
      </c>
      <c r="U2212" s="32" t="s">
        <v>3086</v>
      </c>
      <c r="V2212" s="42" t="s">
        <v>57</v>
      </c>
      <c r="W2212" s="32">
        <v>2050</v>
      </c>
      <c r="X2212" s="43" t="str">
        <f t="shared" si="277"/>
        <v>*0.93</v>
      </c>
      <c r="AC2212" s="33" t="s">
        <v>3086</v>
      </c>
      <c r="AD2212" s="44" t="s">
        <v>57</v>
      </c>
      <c r="AE2212" s="33">
        <v>2035</v>
      </c>
      <c r="AF2212" s="45" t="str">
        <f t="shared" si="278"/>
        <v>*0.92</v>
      </c>
      <c r="AG2212" s="43" t="str">
        <f t="shared" si="280"/>
        <v>REZoning_Sol-Win</v>
      </c>
      <c r="AI2212" s="33" t="s">
        <v>3086</v>
      </c>
      <c r="AJ2212" s="44" t="s">
        <v>57</v>
      </c>
      <c r="AK2212" s="33">
        <v>2050</v>
      </c>
      <c r="AL2212" s="45" t="str">
        <f t="shared" si="279"/>
        <v>*0.89</v>
      </c>
      <c r="AM2212" s="43" t="str">
        <f t="shared" si="281"/>
        <v>REZoning_Sol-Win</v>
      </c>
      <c r="AP2212" t="s">
        <v>3086</v>
      </c>
      <c r="AQ2212" t="s">
        <v>57</v>
      </c>
      <c r="AR2212">
        <v>2100</v>
      </c>
      <c r="AS2212" t="s">
        <v>937</v>
      </c>
      <c r="AT2212" t="s">
        <v>58</v>
      </c>
    </row>
    <row r="2213" ht="29" spans="1:46">
      <c r="A2213" s="31" t="s">
        <v>98</v>
      </c>
      <c r="C2213" t="s">
        <v>3087</v>
      </c>
      <c r="D2213" s="5" t="s">
        <v>57</v>
      </c>
      <c r="E2213">
        <v>2035</v>
      </c>
      <c r="F2213" s="6" t="str">
        <f t="shared" si="274"/>
        <v>*0.96</v>
      </c>
      <c r="H2213" t="s">
        <v>3087</v>
      </c>
      <c r="I2213" s="5" t="s">
        <v>57</v>
      </c>
      <c r="J2213">
        <v>2050</v>
      </c>
      <c r="K2213" s="38" t="str">
        <f t="shared" si="275"/>
        <v>*0.94</v>
      </c>
      <c r="P2213" s="32" t="s">
        <v>3087</v>
      </c>
      <c r="Q2213" s="42" t="s">
        <v>57</v>
      </c>
      <c r="R2213" s="32">
        <v>2035</v>
      </c>
      <c r="S2213" s="43" t="str">
        <f t="shared" si="276"/>
        <v>*0.96</v>
      </c>
      <c r="U2213" s="32" t="s">
        <v>3087</v>
      </c>
      <c r="V2213" s="42" t="s">
        <v>57</v>
      </c>
      <c r="W2213" s="32">
        <v>2050</v>
      </c>
      <c r="X2213" s="43" t="str">
        <f t="shared" si="277"/>
        <v>*0.93</v>
      </c>
      <c r="AC2213" s="33" t="s">
        <v>3087</v>
      </c>
      <c r="AD2213" s="44" t="s">
        <v>57</v>
      </c>
      <c r="AE2213" s="33">
        <v>2035</v>
      </c>
      <c r="AF2213" s="45" t="str">
        <f t="shared" si="278"/>
        <v>*0.92</v>
      </c>
      <c r="AG2213" s="43" t="str">
        <f t="shared" si="280"/>
        <v>REZoning_Sol-Win</v>
      </c>
      <c r="AI2213" s="33" t="s">
        <v>3087</v>
      </c>
      <c r="AJ2213" s="44" t="s">
        <v>57</v>
      </c>
      <c r="AK2213" s="33">
        <v>2050</v>
      </c>
      <c r="AL2213" s="45" t="str">
        <f t="shared" si="279"/>
        <v>*0.89</v>
      </c>
      <c r="AM2213" s="43" t="str">
        <f t="shared" si="281"/>
        <v>REZoning_Sol-Win</v>
      </c>
      <c r="AP2213" t="s">
        <v>3087</v>
      </c>
      <c r="AQ2213" t="s">
        <v>57</v>
      </c>
      <c r="AR2213">
        <v>2100</v>
      </c>
      <c r="AS2213" t="s">
        <v>937</v>
      </c>
      <c r="AT2213" t="s">
        <v>58</v>
      </c>
    </row>
    <row r="2214" ht="29" spans="1:46">
      <c r="A2214" s="31" t="s">
        <v>98</v>
      </c>
      <c r="C2214" t="s">
        <v>3088</v>
      </c>
      <c r="D2214" s="5" t="s">
        <v>57</v>
      </c>
      <c r="E2214">
        <v>2035</v>
      </c>
      <c r="F2214" s="6" t="str">
        <f t="shared" si="274"/>
        <v>*0.96</v>
      </c>
      <c r="H2214" t="s">
        <v>3088</v>
      </c>
      <c r="I2214" s="5" t="s">
        <v>57</v>
      </c>
      <c r="J2214">
        <v>2050</v>
      </c>
      <c r="K2214" s="38" t="str">
        <f t="shared" si="275"/>
        <v>*0.94</v>
      </c>
      <c r="P2214" s="32" t="s">
        <v>3088</v>
      </c>
      <c r="Q2214" s="42" t="s">
        <v>57</v>
      </c>
      <c r="R2214" s="32">
        <v>2035</v>
      </c>
      <c r="S2214" s="43" t="str">
        <f t="shared" si="276"/>
        <v>*0.96</v>
      </c>
      <c r="U2214" s="32" t="s">
        <v>3088</v>
      </c>
      <c r="V2214" s="42" t="s">
        <v>57</v>
      </c>
      <c r="W2214" s="32">
        <v>2050</v>
      </c>
      <c r="X2214" s="43" t="str">
        <f t="shared" si="277"/>
        <v>*0.93</v>
      </c>
      <c r="AC2214" s="33" t="s">
        <v>3088</v>
      </c>
      <c r="AD2214" s="44" t="s">
        <v>57</v>
      </c>
      <c r="AE2214" s="33">
        <v>2035</v>
      </c>
      <c r="AF2214" s="45" t="str">
        <f t="shared" si="278"/>
        <v>*0.92</v>
      </c>
      <c r="AG2214" s="43" t="str">
        <f t="shared" si="280"/>
        <v>REZoning_Sol-Win</v>
      </c>
      <c r="AI2214" s="33" t="s">
        <v>3088</v>
      </c>
      <c r="AJ2214" s="44" t="s">
        <v>57</v>
      </c>
      <c r="AK2214" s="33">
        <v>2050</v>
      </c>
      <c r="AL2214" s="45" t="str">
        <f t="shared" si="279"/>
        <v>*0.89</v>
      </c>
      <c r="AM2214" s="43" t="str">
        <f t="shared" si="281"/>
        <v>REZoning_Sol-Win</v>
      </c>
      <c r="AP2214" t="s">
        <v>3088</v>
      </c>
      <c r="AQ2214" t="s">
        <v>57</v>
      </c>
      <c r="AR2214">
        <v>2100</v>
      </c>
      <c r="AS2214" t="s">
        <v>937</v>
      </c>
      <c r="AT2214" t="s">
        <v>58</v>
      </c>
    </row>
    <row r="2215" ht="29" spans="1:46">
      <c r="A2215" s="31" t="s">
        <v>98</v>
      </c>
      <c r="C2215" t="s">
        <v>3089</v>
      </c>
      <c r="D2215" s="5" t="s">
        <v>57</v>
      </c>
      <c r="E2215">
        <v>2035</v>
      </c>
      <c r="F2215" s="6" t="str">
        <f t="shared" si="274"/>
        <v>*0.96</v>
      </c>
      <c r="H2215" t="s">
        <v>3089</v>
      </c>
      <c r="I2215" s="5" t="s">
        <v>57</v>
      </c>
      <c r="J2215">
        <v>2050</v>
      </c>
      <c r="K2215" s="38" t="str">
        <f t="shared" si="275"/>
        <v>*0.94</v>
      </c>
      <c r="P2215" s="32" t="s">
        <v>3089</v>
      </c>
      <c r="Q2215" s="42" t="s">
        <v>57</v>
      </c>
      <c r="R2215" s="32">
        <v>2035</v>
      </c>
      <c r="S2215" s="43" t="str">
        <f t="shared" si="276"/>
        <v>*0.96</v>
      </c>
      <c r="U2215" s="32" t="s">
        <v>3089</v>
      </c>
      <c r="V2215" s="42" t="s">
        <v>57</v>
      </c>
      <c r="W2215" s="32">
        <v>2050</v>
      </c>
      <c r="X2215" s="43" t="str">
        <f t="shared" si="277"/>
        <v>*0.93</v>
      </c>
      <c r="AC2215" s="33" t="s">
        <v>3089</v>
      </c>
      <c r="AD2215" s="44" t="s">
        <v>57</v>
      </c>
      <c r="AE2215" s="33">
        <v>2035</v>
      </c>
      <c r="AF2215" s="45" t="str">
        <f t="shared" si="278"/>
        <v>*0.92</v>
      </c>
      <c r="AG2215" s="43" t="str">
        <f t="shared" si="280"/>
        <v>REZoning_Sol-Win</v>
      </c>
      <c r="AI2215" s="33" t="s">
        <v>3089</v>
      </c>
      <c r="AJ2215" s="44" t="s">
        <v>57</v>
      </c>
      <c r="AK2215" s="33">
        <v>2050</v>
      </c>
      <c r="AL2215" s="45" t="str">
        <f t="shared" si="279"/>
        <v>*0.89</v>
      </c>
      <c r="AM2215" s="43" t="str">
        <f t="shared" si="281"/>
        <v>REZoning_Sol-Win</v>
      </c>
      <c r="AP2215" t="s">
        <v>3089</v>
      </c>
      <c r="AQ2215" t="s">
        <v>57</v>
      </c>
      <c r="AR2215">
        <v>2100</v>
      </c>
      <c r="AS2215" t="s">
        <v>937</v>
      </c>
      <c r="AT2215" t="s">
        <v>58</v>
      </c>
    </row>
    <row r="2216" ht="29" spans="1:46">
      <c r="A2216" s="31" t="s">
        <v>98</v>
      </c>
      <c r="C2216" t="s">
        <v>3090</v>
      </c>
      <c r="D2216" s="5" t="s">
        <v>57</v>
      </c>
      <c r="E2216">
        <v>2035</v>
      </c>
      <c r="F2216" s="6" t="str">
        <f t="shared" si="274"/>
        <v>*0.96</v>
      </c>
      <c r="H2216" t="s">
        <v>3090</v>
      </c>
      <c r="I2216" s="5" t="s">
        <v>57</v>
      </c>
      <c r="J2216">
        <v>2050</v>
      </c>
      <c r="K2216" s="38" t="str">
        <f t="shared" si="275"/>
        <v>*0.94</v>
      </c>
      <c r="P2216" s="32" t="s">
        <v>3090</v>
      </c>
      <c r="Q2216" s="42" t="s">
        <v>57</v>
      </c>
      <c r="R2216" s="32">
        <v>2035</v>
      </c>
      <c r="S2216" s="43" t="str">
        <f t="shared" si="276"/>
        <v>*0.96</v>
      </c>
      <c r="U2216" s="32" t="s">
        <v>3090</v>
      </c>
      <c r="V2216" s="42" t="s">
        <v>57</v>
      </c>
      <c r="W2216" s="32">
        <v>2050</v>
      </c>
      <c r="X2216" s="43" t="str">
        <f t="shared" si="277"/>
        <v>*0.93</v>
      </c>
      <c r="AC2216" s="33" t="s">
        <v>3090</v>
      </c>
      <c r="AD2216" s="44" t="s">
        <v>57</v>
      </c>
      <c r="AE2216" s="33">
        <v>2035</v>
      </c>
      <c r="AF2216" s="45" t="str">
        <f t="shared" si="278"/>
        <v>*0.92</v>
      </c>
      <c r="AG2216" s="43" t="str">
        <f t="shared" si="280"/>
        <v>REZoning_Sol-Win</v>
      </c>
      <c r="AI2216" s="33" t="s">
        <v>3090</v>
      </c>
      <c r="AJ2216" s="44" t="s">
        <v>57</v>
      </c>
      <c r="AK2216" s="33">
        <v>2050</v>
      </c>
      <c r="AL2216" s="45" t="str">
        <f t="shared" si="279"/>
        <v>*0.89</v>
      </c>
      <c r="AM2216" s="43" t="str">
        <f t="shared" si="281"/>
        <v>REZoning_Sol-Win</v>
      </c>
      <c r="AP2216" t="s">
        <v>3090</v>
      </c>
      <c r="AQ2216" t="s">
        <v>57</v>
      </c>
      <c r="AR2216">
        <v>2100</v>
      </c>
      <c r="AS2216" t="s">
        <v>937</v>
      </c>
      <c r="AT2216" t="s">
        <v>58</v>
      </c>
    </row>
    <row r="2217" ht="29" spans="1:46">
      <c r="A2217" s="31" t="s">
        <v>98</v>
      </c>
      <c r="C2217" t="s">
        <v>3091</v>
      </c>
      <c r="D2217" s="5" t="s">
        <v>57</v>
      </c>
      <c r="E2217">
        <v>2035</v>
      </c>
      <c r="F2217" s="6" t="str">
        <f t="shared" si="274"/>
        <v>*0.96</v>
      </c>
      <c r="H2217" t="s">
        <v>3091</v>
      </c>
      <c r="I2217" s="5" t="s">
        <v>57</v>
      </c>
      <c r="J2217">
        <v>2050</v>
      </c>
      <c r="K2217" s="38" t="str">
        <f t="shared" si="275"/>
        <v>*0.94</v>
      </c>
      <c r="P2217" s="32" t="s">
        <v>3091</v>
      </c>
      <c r="Q2217" s="42" t="s">
        <v>57</v>
      </c>
      <c r="R2217" s="32">
        <v>2035</v>
      </c>
      <c r="S2217" s="43" t="str">
        <f t="shared" si="276"/>
        <v>*0.96</v>
      </c>
      <c r="U2217" s="32" t="s">
        <v>3091</v>
      </c>
      <c r="V2217" s="42" t="s">
        <v>57</v>
      </c>
      <c r="W2217" s="32">
        <v>2050</v>
      </c>
      <c r="X2217" s="43" t="str">
        <f t="shared" si="277"/>
        <v>*0.93</v>
      </c>
      <c r="AC2217" s="33" t="s">
        <v>3091</v>
      </c>
      <c r="AD2217" s="44" t="s">
        <v>57</v>
      </c>
      <c r="AE2217" s="33">
        <v>2035</v>
      </c>
      <c r="AF2217" s="45" t="str">
        <f t="shared" si="278"/>
        <v>*0.92</v>
      </c>
      <c r="AG2217" s="43" t="str">
        <f t="shared" si="280"/>
        <v>REZoning_Sol-Win</v>
      </c>
      <c r="AI2217" s="33" t="s">
        <v>3091</v>
      </c>
      <c r="AJ2217" s="44" t="s">
        <v>57</v>
      </c>
      <c r="AK2217" s="33">
        <v>2050</v>
      </c>
      <c r="AL2217" s="45" t="str">
        <f t="shared" si="279"/>
        <v>*0.89</v>
      </c>
      <c r="AM2217" s="43" t="str">
        <f t="shared" si="281"/>
        <v>REZoning_Sol-Win</v>
      </c>
      <c r="AP2217" t="s">
        <v>3091</v>
      </c>
      <c r="AQ2217" t="s">
        <v>57</v>
      </c>
      <c r="AR2217">
        <v>2100</v>
      </c>
      <c r="AS2217" t="s">
        <v>937</v>
      </c>
      <c r="AT2217" t="s">
        <v>58</v>
      </c>
    </row>
    <row r="2218" ht="29" spans="1:46">
      <c r="A2218" s="31" t="s">
        <v>98</v>
      </c>
      <c r="C2218" t="s">
        <v>3092</v>
      </c>
      <c r="D2218" s="5" t="s">
        <v>57</v>
      </c>
      <c r="E2218">
        <v>2035</v>
      </c>
      <c r="F2218" s="6" t="str">
        <f t="shared" si="274"/>
        <v>*0.96</v>
      </c>
      <c r="H2218" t="s">
        <v>3092</v>
      </c>
      <c r="I2218" s="5" t="s">
        <v>57</v>
      </c>
      <c r="J2218">
        <v>2050</v>
      </c>
      <c r="K2218" s="38" t="str">
        <f t="shared" si="275"/>
        <v>*0.94</v>
      </c>
      <c r="P2218" s="32" t="s">
        <v>3092</v>
      </c>
      <c r="Q2218" s="42" t="s">
        <v>57</v>
      </c>
      <c r="R2218" s="32">
        <v>2035</v>
      </c>
      <c r="S2218" s="43" t="str">
        <f t="shared" si="276"/>
        <v>*0.96</v>
      </c>
      <c r="U2218" s="32" t="s">
        <v>3092</v>
      </c>
      <c r="V2218" s="42" t="s">
        <v>57</v>
      </c>
      <c r="W2218" s="32">
        <v>2050</v>
      </c>
      <c r="X2218" s="43" t="str">
        <f t="shared" si="277"/>
        <v>*0.93</v>
      </c>
      <c r="AC2218" s="33" t="s">
        <v>3092</v>
      </c>
      <c r="AD2218" s="44" t="s">
        <v>57</v>
      </c>
      <c r="AE2218" s="33">
        <v>2035</v>
      </c>
      <c r="AF2218" s="45" t="str">
        <f t="shared" si="278"/>
        <v>*0.92</v>
      </c>
      <c r="AG2218" s="43" t="str">
        <f t="shared" si="280"/>
        <v>REZoning_Sol-Win</v>
      </c>
      <c r="AI2218" s="33" t="s">
        <v>3092</v>
      </c>
      <c r="AJ2218" s="44" t="s">
        <v>57</v>
      </c>
      <c r="AK2218" s="33">
        <v>2050</v>
      </c>
      <c r="AL2218" s="45" t="str">
        <f t="shared" si="279"/>
        <v>*0.89</v>
      </c>
      <c r="AM2218" s="43" t="str">
        <f t="shared" si="281"/>
        <v>REZoning_Sol-Win</v>
      </c>
      <c r="AP2218" t="s">
        <v>3092</v>
      </c>
      <c r="AQ2218" t="s">
        <v>57</v>
      </c>
      <c r="AR2218">
        <v>2100</v>
      </c>
      <c r="AS2218" t="s">
        <v>937</v>
      </c>
      <c r="AT2218" t="s">
        <v>58</v>
      </c>
    </row>
    <row r="2219" ht="29" spans="1:46">
      <c r="A2219" s="31" t="s">
        <v>98</v>
      </c>
      <c r="C2219" t="s">
        <v>3093</v>
      </c>
      <c r="D2219" s="5" t="s">
        <v>57</v>
      </c>
      <c r="E2219">
        <v>2035</v>
      </c>
      <c r="F2219" s="6" t="str">
        <f t="shared" si="274"/>
        <v>*0.96</v>
      </c>
      <c r="H2219" t="s">
        <v>3093</v>
      </c>
      <c r="I2219" s="5" t="s">
        <v>57</v>
      </c>
      <c r="J2219">
        <v>2050</v>
      </c>
      <c r="K2219" s="38" t="str">
        <f t="shared" si="275"/>
        <v>*0.94</v>
      </c>
      <c r="P2219" s="32" t="s">
        <v>3093</v>
      </c>
      <c r="Q2219" s="42" t="s">
        <v>57</v>
      </c>
      <c r="R2219" s="32">
        <v>2035</v>
      </c>
      <c r="S2219" s="43" t="str">
        <f t="shared" si="276"/>
        <v>*0.96</v>
      </c>
      <c r="U2219" s="32" t="s">
        <v>3093</v>
      </c>
      <c r="V2219" s="42" t="s">
        <v>57</v>
      </c>
      <c r="W2219" s="32">
        <v>2050</v>
      </c>
      <c r="X2219" s="43" t="str">
        <f t="shared" si="277"/>
        <v>*0.93</v>
      </c>
      <c r="AC2219" s="33" t="s">
        <v>3093</v>
      </c>
      <c r="AD2219" s="44" t="s">
        <v>57</v>
      </c>
      <c r="AE2219" s="33">
        <v>2035</v>
      </c>
      <c r="AF2219" s="45" t="str">
        <f t="shared" si="278"/>
        <v>*0.92</v>
      </c>
      <c r="AG2219" s="43" t="str">
        <f t="shared" si="280"/>
        <v>REZoning_Sol-Win</v>
      </c>
      <c r="AI2219" s="33" t="s">
        <v>3093</v>
      </c>
      <c r="AJ2219" s="44" t="s">
        <v>57</v>
      </c>
      <c r="AK2219" s="33">
        <v>2050</v>
      </c>
      <c r="AL2219" s="45" t="str">
        <f t="shared" si="279"/>
        <v>*0.89</v>
      </c>
      <c r="AM2219" s="43" t="str">
        <f t="shared" si="281"/>
        <v>REZoning_Sol-Win</v>
      </c>
      <c r="AP2219" t="s">
        <v>3093</v>
      </c>
      <c r="AQ2219" t="s">
        <v>57</v>
      </c>
      <c r="AR2219">
        <v>2100</v>
      </c>
      <c r="AS2219" t="s">
        <v>937</v>
      </c>
      <c r="AT2219" t="s">
        <v>58</v>
      </c>
    </row>
    <row r="2220" ht="29" spans="1:46">
      <c r="A2220" s="31" t="s">
        <v>98</v>
      </c>
      <c r="C2220" t="s">
        <v>3094</v>
      </c>
      <c r="D2220" s="5" t="s">
        <v>57</v>
      </c>
      <c r="E2220">
        <v>2035</v>
      </c>
      <c r="F2220" s="6" t="str">
        <f t="shared" si="274"/>
        <v>*0.96</v>
      </c>
      <c r="H2220" t="s">
        <v>3094</v>
      </c>
      <c r="I2220" s="5" t="s">
        <v>57</v>
      </c>
      <c r="J2220">
        <v>2050</v>
      </c>
      <c r="K2220" s="38" t="str">
        <f t="shared" si="275"/>
        <v>*0.94</v>
      </c>
      <c r="P2220" s="32" t="s">
        <v>3094</v>
      </c>
      <c r="Q2220" s="42" t="s">
        <v>57</v>
      </c>
      <c r="R2220" s="32">
        <v>2035</v>
      </c>
      <c r="S2220" s="43" t="str">
        <f t="shared" si="276"/>
        <v>*0.96</v>
      </c>
      <c r="U2220" s="32" t="s">
        <v>3094</v>
      </c>
      <c r="V2220" s="42" t="s">
        <v>57</v>
      </c>
      <c r="W2220" s="32">
        <v>2050</v>
      </c>
      <c r="X2220" s="43" t="str">
        <f t="shared" si="277"/>
        <v>*0.93</v>
      </c>
      <c r="AC2220" s="33" t="s">
        <v>3094</v>
      </c>
      <c r="AD2220" s="44" t="s">
        <v>57</v>
      </c>
      <c r="AE2220" s="33">
        <v>2035</v>
      </c>
      <c r="AF2220" s="45" t="str">
        <f t="shared" si="278"/>
        <v>*0.92</v>
      </c>
      <c r="AG2220" s="43" t="str">
        <f t="shared" si="280"/>
        <v>REZoning_Sol-Win</v>
      </c>
      <c r="AI2220" s="33" t="s">
        <v>3094</v>
      </c>
      <c r="AJ2220" s="44" t="s">
        <v>57</v>
      </c>
      <c r="AK2220" s="33">
        <v>2050</v>
      </c>
      <c r="AL2220" s="45" t="str">
        <f t="shared" si="279"/>
        <v>*0.89</v>
      </c>
      <c r="AM2220" s="43" t="str">
        <f t="shared" si="281"/>
        <v>REZoning_Sol-Win</v>
      </c>
      <c r="AP2220" t="s">
        <v>3094</v>
      </c>
      <c r="AQ2220" t="s">
        <v>57</v>
      </c>
      <c r="AR2220">
        <v>2100</v>
      </c>
      <c r="AS2220" t="s">
        <v>937</v>
      </c>
      <c r="AT2220" t="s">
        <v>58</v>
      </c>
    </row>
    <row r="2221" ht="29" spans="1:46">
      <c r="A2221" s="31" t="s">
        <v>98</v>
      </c>
      <c r="C2221" t="s">
        <v>3095</v>
      </c>
      <c r="D2221" s="5" t="s">
        <v>57</v>
      </c>
      <c r="E2221">
        <v>2035</v>
      </c>
      <c r="F2221" s="6" t="str">
        <f t="shared" si="274"/>
        <v>*0.96</v>
      </c>
      <c r="H2221" t="s">
        <v>3095</v>
      </c>
      <c r="I2221" s="5" t="s">
        <v>57</v>
      </c>
      <c r="J2221">
        <v>2050</v>
      </c>
      <c r="K2221" s="38" t="str">
        <f t="shared" si="275"/>
        <v>*0.94</v>
      </c>
      <c r="P2221" s="32" t="s">
        <v>3095</v>
      </c>
      <c r="Q2221" s="42" t="s">
        <v>57</v>
      </c>
      <c r="R2221" s="32">
        <v>2035</v>
      </c>
      <c r="S2221" s="43" t="str">
        <f t="shared" si="276"/>
        <v>*0.96</v>
      </c>
      <c r="U2221" s="32" t="s">
        <v>3095</v>
      </c>
      <c r="V2221" s="42" t="s">
        <v>57</v>
      </c>
      <c r="W2221" s="32">
        <v>2050</v>
      </c>
      <c r="X2221" s="43" t="str">
        <f t="shared" si="277"/>
        <v>*0.93</v>
      </c>
      <c r="AC2221" s="33" t="s">
        <v>3095</v>
      </c>
      <c r="AD2221" s="44" t="s">
        <v>57</v>
      </c>
      <c r="AE2221" s="33">
        <v>2035</v>
      </c>
      <c r="AF2221" s="45" t="str">
        <f t="shared" si="278"/>
        <v>*0.92</v>
      </c>
      <c r="AG2221" s="43" t="str">
        <f t="shared" si="280"/>
        <v>REZoning_Sol-Win</v>
      </c>
      <c r="AI2221" s="33" t="s">
        <v>3095</v>
      </c>
      <c r="AJ2221" s="44" t="s">
        <v>57</v>
      </c>
      <c r="AK2221" s="33">
        <v>2050</v>
      </c>
      <c r="AL2221" s="45" t="str">
        <f t="shared" si="279"/>
        <v>*0.89</v>
      </c>
      <c r="AM2221" s="43" t="str">
        <f t="shared" si="281"/>
        <v>REZoning_Sol-Win</v>
      </c>
      <c r="AP2221" t="s">
        <v>3095</v>
      </c>
      <c r="AQ2221" t="s">
        <v>57</v>
      </c>
      <c r="AR2221">
        <v>2100</v>
      </c>
      <c r="AS2221" t="s">
        <v>937</v>
      </c>
      <c r="AT2221" t="s">
        <v>58</v>
      </c>
    </row>
    <row r="2222" ht="29" spans="1:46">
      <c r="A2222" s="31" t="s">
        <v>98</v>
      </c>
      <c r="C2222" t="s">
        <v>3096</v>
      </c>
      <c r="D2222" s="5" t="s">
        <v>57</v>
      </c>
      <c r="E2222">
        <v>2035</v>
      </c>
      <c r="F2222" s="6" t="str">
        <f t="shared" si="274"/>
        <v>*0.96</v>
      </c>
      <c r="H2222" t="s">
        <v>3096</v>
      </c>
      <c r="I2222" s="5" t="s">
        <v>57</v>
      </c>
      <c r="J2222">
        <v>2050</v>
      </c>
      <c r="K2222" s="38" t="str">
        <f t="shared" si="275"/>
        <v>*0.94</v>
      </c>
      <c r="P2222" s="32" t="s">
        <v>3096</v>
      </c>
      <c r="Q2222" s="42" t="s">
        <v>57</v>
      </c>
      <c r="R2222" s="32">
        <v>2035</v>
      </c>
      <c r="S2222" s="43" t="str">
        <f t="shared" si="276"/>
        <v>*0.96</v>
      </c>
      <c r="U2222" s="32" t="s">
        <v>3096</v>
      </c>
      <c r="V2222" s="42" t="s">
        <v>57</v>
      </c>
      <c r="W2222" s="32">
        <v>2050</v>
      </c>
      <c r="X2222" s="43" t="str">
        <f t="shared" si="277"/>
        <v>*0.93</v>
      </c>
      <c r="AC2222" s="33" t="s">
        <v>3096</v>
      </c>
      <c r="AD2222" s="44" t="s">
        <v>57</v>
      </c>
      <c r="AE2222" s="33">
        <v>2035</v>
      </c>
      <c r="AF2222" s="45" t="str">
        <f t="shared" si="278"/>
        <v>*0.92</v>
      </c>
      <c r="AG2222" s="43" t="str">
        <f t="shared" si="280"/>
        <v>REZoning_Sol-Win</v>
      </c>
      <c r="AI2222" s="33" t="s">
        <v>3096</v>
      </c>
      <c r="AJ2222" s="44" t="s">
        <v>57</v>
      </c>
      <c r="AK2222" s="33">
        <v>2050</v>
      </c>
      <c r="AL2222" s="45" t="str">
        <f t="shared" si="279"/>
        <v>*0.89</v>
      </c>
      <c r="AM2222" s="43" t="str">
        <f t="shared" si="281"/>
        <v>REZoning_Sol-Win</v>
      </c>
      <c r="AP2222" t="s">
        <v>3096</v>
      </c>
      <c r="AQ2222" t="s">
        <v>57</v>
      </c>
      <c r="AR2222">
        <v>2100</v>
      </c>
      <c r="AS2222" t="s">
        <v>937</v>
      </c>
      <c r="AT2222" t="s">
        <v>58</v>
      </c>
    </row>
    <row r="2223" ht="29" spans="1:46">
      <c r="A2223" s="31" t="s">
        <v>98</v>
      </c>
      <c r="C2223" t="s">
        <v>3097</v>
      </c>
      <c r="D2223" s="5" t="s">
        <v>57</v>
      </c>
      <c r="E2223">
        <v>2035</v>
      </c>
      <c r="F2223" s="6" t="str">
        <f t="shared" si="274"/>
        <v>*0.96</v>
      </c>
      <c r="H2223" t="s">
        <v>3097</v>
      </c>
      <c r="I2223" s="5" t="s">
        <v>57</v>
      </c>
      <c r="J2223">
        <v>2050</v>
      </c>
      <c r="K2223" s="38" t="str">
        <f t="shared" si="275"/>
        <v>*0.94</v>
      </c>
      <c r="P2223" s="32" t="s">
        <v>3097</v>
      </c>
      <c r="Q2223" s="42" t="s">
        <v>57</v>
      </c>
      <c r="R2223" s="32">
        <v>2035</v>
      </c>
      <c r="S2223" s="43" t="str">
        <f t="shared" si="276"/>
        <v>*0.96</v>
      </c>
      <c r="U2223" s="32" t="s">
        <v>3097</v>
      </c>
      <c r="V2223" s="42" t="s">
        <v>57</v>
      </c>
      <c r="W2223" s="32">
        <v>2050</v>
      </c>
      <c r="X2223" s="43" t="str">
        <f t="shared" si="277"/>
        <v>*0.93</v>
      </c>
      <c r="AC2223" s="33" t="s">
        <v>3097</v>
      </c>
      <c r="AD2223" s="44" t="s">
        <v>57</v>
      </c>
      <c r="AE2223" s="33">
        <v>2035</v>
      </c>
      <c r="AF2223" s="45" t="str">
        <f t="shared" si="278"/>
        <v>*0.92</v>
      </c>
      <c r="AG2223" s="43" t="str">
        <f t="shared" si="280"/>
        <v>REZoning_Sol-Win</v>
      </c>
      <c r="AI2223" s="33" t="s">
        <v>3097</v>
      </c>
      <c r="AJ2223" s="44" t="s">
        <v>57</v>
      </c>
      <c r="AK2223" s="33">
        <v>2050</v>
      </c>
      <c r="AL2223" s="45" t="str">
        <f t="shared" si="279"/>
        <v>*0.89</v>
      </c>
      <c r="AM2223" s="43" t="str">
        <f t="shared" si="281"/>
        <v>REZoning_Sol-Win</v>
      </c>
      <c r="AP2223" t="s">
        <v>3097</v>
      </c>
      <c r="AQ2223" t="s">
        <v>57</v>
      </c>
      <c r="AR2223">
        <v>2100</v>
      </c>
      <c r="AS2223" t="s">
        <v>937</v>
      </c>
      <c r="AT2223" t="s">
        <v>58</v>
      </c>
    </row>
    <row r="2224" ht="29" spans="1:46">
      <c r="A2224" s="31" t="s">
        <v>98</v>
      </c>
      <c r="C2224" t="s">
        <v>3098</v>
      </c>
      <c r="D2224" s="5" t="s">
        <v>57</v>
      </c>
      <c r="E2224">
        <v>2035</v>
      </c>
      <c r="F2224" s="6" t="str">
        <f t="shared" si="274"/>
        <v>*0.96</v>
      </c>
      <c r="H2224" t="s">
        <v>3098</v>
      </c>
      <c r="I2224" s="5" t="s">
        <v>57</v>
      </c>
      <c r="J2224">
        <v>2050</v>
      </c>
      <c r="K2224" s="38" t="str">
        <f t="shared" si="275"/>
        <v>*0.94</v>
      </c>
      <c r="P2224" s="32" t="s">
        <v>3098</v>
      </c>
      <c r="Q2224" s="42" t="s">
        <v>57</v>
      </c>
      <c r="R2224" s="32">
        <v>2035</v>
      </c>
      <c r="S2224" s="43" t="str">
        <f t="shared" si="276"/>
        <v>*0.96</v>
      </c>
      <c r="U2224" s="32" t="s">
        <v>3098</v>
      </c>
      <c r="V2224" s="42" t="s">
        <v>57</v>
      </c>
      <c r="W2224" s="32">
        <v>2050</v>
      </c>
      <c r="X2224" s="43" t="str">
        <f t="shared" si="277"/>
        <v>*0.93</v>
      </c>
      <c r="AC2224" s="33" t="s">
        <v>3098</v>
      </c>
      <c r="AD2224" s="44" t="s">
        <v>57</v>
      </c>
      <c r="AE2224" s="33">
        <v>2035</v>
      </c>
      <c r="AF2224" s="45" t="str">
        <f t="shared" si="278"/>
        <v>*0.92</v>
      </c>
      <c r="AG2224" s="43" t="str">
        <f t="shared" si="280"/>
        <v>REZoning_Sol-Win</v>
      </c>
      <c r="AI2224" s="33" t="s">
        <v>3098</v>
      </c>
      <c r="AJ2224" s="44" t="s">
        <v>57</v>
      </c>
      <c r="AK2224" s="33">
        <v>2050</v>
      </c>
      <c r="AL2224" s="45" t="str">
        <f t="shared" si="279"/>
        <v>*0.89</v>
      </c>
      <c r="AM2224" s="43" t="str">
        <f t="shared" si="281"/>
        <v>REZoning_Sol-Win</v>
      </c>
      <c r="AP2224" t="s">
        <v>3098</v>
      </c>
      <c r="AQ2224" t="s">
        <v>57</v>
      </c>
      <c r="AR2224">
        <v>2100</v>
      </c>
      <c r="AS2224" t="s">
        <v>937</v>
      </c>
      <c r="AT2224" t="s">
        <v>58</v>
      </c>
    </row>
    <row r="2225" ht="29" spans="1:46">
      <c r="A2225" s="31" t="s">
        <v>98</v>
      </c>
      <c r="C2225" t="s">
        <v>3099</v>
      </c>
      <c r="D2225" s="5" t="s">
        <v>57</v>
      </c>
      <c r="E2225">
        <v>2035</v>
      </c>
      <c r="F2225" s="6" t="str">
        <f t="shared" si="274"/>
        <v>*0.96</v>
      </c>
      <c r="H2225" t="s">
        <v>3099</v>
      </c>
      <c r="I2225" s="5" t="s">
        <v>57</v>
      </c>
      <c r="J2225">
        <v>2050</v>
      </c>
      <c r="K2225" s="38" t="str">
        <f t="shared" si="275"/>
        <v>*0.94</v>
      </c>
      <c r="P2225" s="32" t="s">
        <v>3099</v>
      </c>
      <c r="Q2225" s="42" t="s">
        <v>57</v>
      </c>
      <c r="R2225" s="32">
        <v>2035</v>
      </c>
      <c r="S2225" s="43" t="str">
        <f t="shared" si="276"/>
        <v>*0.96</v>
      </c>
      <c r="U2225" s="32" t="s">
        <v>3099</v>
      </c>
      <c r="V2225" s="42" t="s">
        <v>57</v>
      </c>
      <c r="W2225" s="32">
        <v>2050</v>
      </c>
      <c r="X2225" s="43" t="str">
        <f t="shared" si="277"/>
        <v>*0.93</v>
      </c>
      <c r="AC2225" s="33" t="s">
        <v>3099</v>
      </c>
      <c r="AD2225" s="44" t="s">
        <v>57</v>
      </c>
      <c r="AE2225" s="33">
        <v>2035</v>
      </c>
      <c r="AF2225" s="45" t="str">
        <f t="shared" si="278"/>
        <v>*0.92</v>
      </c>
      <c r="AG2225" s="43" t="str">
        <f t="shared" si="280"/>
        <v>REZoning_Sol-Win</v>
      </c>
      <c r="AI2225" s="33" t="s">
        <v>3099</v>
      </c>
      <c r="AJ2225" s="44" t="s">
        <v>57</v>
      </c>
      <c r="AK2225" s="33">
        <v>2050</v>
      </c>
      <c r="AL2225" s="45" t="str">
        <f t="shared" si="279"/>
        <v>*0.89</v>
      </c>
      <c r="AM2225" s="43" t="str">
        <f t="shared" si="281"/>
        <v>REZoning_Sol-Win</v>
      </c>
      <c r="AP2225" t="s">
        <v>3099</v>
      </c>
      <c r="AQ2225" t="s">
        <v>57</v>
      </c>
      <c r="AR2225">
        <v>2100</v>
      </c>
      <c r="AS2225" t="s">
        <v>937</v>
      </c>
      <c r="AT2225" t="s">
        <v>58</v>
      </c>
    </row>
    <row r="2226" ht="29" spans="1:46">
      <c r="A2226" s="31" t="s">
        <v>98</v>
      </c>
      <c r="C2226" t="s">
        <v>3100</v>
      </c>
      <c r="D2226" s="5" t="s">
        <v>57</v>
      </c>
      <c r="E2226">
        <v>2035</v>
      </c>
      <c r="F2226" s="6" t="str">
        <f t="shared" si="274"/>
        <v>*0.96</v>
      </c>
      <c r="H2226" t="s">
        <v>3100</v>
      </c>
      <c r="I2226" s="5" t="s">
        <v>57</v>
      </c>
      <c r="J2226">
        <v>2050</v>
      </c>
      <c r="K2226" s="38" t="str">
        <f t="shared" si="275"/>
        <v>*0.94</v>
      </c>
      <c r="P2226" s="32" t="s">
        <v>3100</v>
      </c>
      <c r="Q2226" s="42" t="s">
        <v>57</v>
      </c>
      <c r="R2226" s="32">
        <v>2035</v>
      </c>
      <c r="S2226" s="43" t="str">
        <f t="shared" si="276"/>
        <v>*0.96</v>
      </c>
      <c r="U2226" s="32" t="s">
        <v>3100</v>
      </c>
      <c r="V2226" s="42" t="s">
        <v>57</v>
      </c>
      <c r="W2226" s="32">
        <v>2050</v>
      </c>
      <c r="X2226" s="43" t="str">
        <f t="shared" si="277"/>
        <v>*0.93</v>
      </c>
      <c r="AC2226" s="33" t="s">
        <v>3100</v>
      </c>
      <c r="AD2226" s="44" t="s">
        <v>57</v>
      </c>
      <c r="AE2226" s="33">
        <v>2035</v>
      </c>
      <c r="AF2226" s="45" t="str">
        <f t="shared" si="278"/>
        <v>*0.92</v>
      </c>
      <c r="AG2226" s="43" t="str">
        <f t="shared" si="280"/>
        <v>REZoning_Sol-Win</v>
      </c>
      <c r="AI2226" s="33" t="s">
        <v>3100</v>
      </c>
      <c r="AJ2226" s="44" t="s">
        <v>57</v>
      </c>
      <c r="AK2226" s="33">
        <v>2050</v>
      </c>
      <c r="AL2226" s="45" t="str">
        <f t="shared" si="279"/>
        <v>*0.89</v>
      </c>
      <c r="AM2226" s="43" t="str">
        <f t="shared" si="281"/>
        <v>REZoning_Sol-Win</v>
      </c>
      <c r="AP2226" t="s">
        <v>3100</v>
      </c>
      <c r="AQ2226" t="s">
        <v>57</v>
      </c>
      <c r="AR2226">
        <v>2100</v>
      </c>
      <c r="AS2226" t="s">
        <v>937</v>
      </c>
      <c r="AT2226" t="s">
        <v>58</v>
      </c>
    </row>
    <row r="2227" ht="29" spans="1:46">
      <c r="A2227" s="31" t="s">
        <v>98</v>
      </c>
      <c r="C2227" t="s">
        <v>3101</v>
      </c>
      <c r="D2227" s="5" t="s">
        <v>57</v>
      </c>
      <c r="E2227">
        <v>2035</v>
      </c>
      <c r="F2227" s="6" t="str">
        <f t="shared" si="274"/>
        <v>*0.96</v>
      </c>
      <c r="H2227" t="s">
        <v>3101</v>
      </c>
      <c r="I2227" s="5" t="s">
        <v>57</v>
      </c>
      <c r="J2227">
        <v>2050</v>
      </c>
      <c r="K2227" s="38" t="str">
        <f t="shared" si="275"/>
        <v>*0.94</v>
      </c>
      <c r="P2227" s="32" t="s">
        <v>3101</v>
      </c>
      <c r="Q2227" s="42" t="s">
        <v>57</v>
      </c>
      <c r="R2227" s="32">
        <v>2035</v>
      </c>
      <c r="S2227" s="43" t="str">
        <f t="shared" si="276"/>
        <v>*0.96</v>
      </c>
      <c r="U2227" s="32" t="s">
        <v>3101</v>
      </c>
      <c r="V2227" s="42" t="s">
        <v>57</v>
      </c>
      <c r="W2227" s="32">
        <v>2050</v>
      </c>
      <c r="X2227" s="43" t="str">
        <f t="shared" si="277"/>
        <v>*0.93</v>
      </c>
      <c r="AC2227" s="33" t="s">
        <v>3101</v>
      </c>
      <c r="AD2227" s="44" t="s">
        <v>57</v>
      </c>
      <c r="AE2227" s="33">
        <v>2035</v>
      </c>
      <c r="AF2227" s="45" t="str">
        <f t="shared" si="278"/>
        <v>*0.92</v>
      </c>
      <c r="AG2227" s="43" t="str">
        <f t="shared" si="280"/>
        <v>REZoning_Sol-Win</v>
      </c>
      <c r="AI2227" s="33" t="s">
        <v>3101</v>
      </c>
      <c r="AJ2227" s="44" t="s">
        <v>57</v>
      </c>
      <c r="AK2227" s="33">
        <v>2050</v>
      </c>
      <c r="AL2227" s="45" t="str">
        <f t="shared" si="279"/>
        <v>*0.89</v>
      </c>
      <c r="AM2227" s="43" t="str">
        <f t="shared" si="281"/>
        <v>REZoning_Sol-Win</v>
      </c>
      <c r="AP2227" t="s">
        <v>3101</v>
      </c>
      <c r="AQ2227" t="s">
        <v>57</v>
      </c>
      <c r="AR2227">
        <v>2100</v>
      </c>
      <c r="AS2227" t="s">
        <v>937</v>
      </c>
      <c r="AT2227" t="s">
        <v>58</v>
      </c>
    </row>
    <row r="2228" ht="29" spans="1:46">
      <c r="A2228" s="31" t="s">
        <v>98</v>
      </c>
      <c r="C2228" t="s">
        <v>3102</v>
      </c>
      <c r="D2228" s="5" t="s">
        <v>57</v>
      </c>
      <c r="E2228">
        <v>2035</v>
      </c>
      <c r="F2228" s="6" t="str">
        <f t="shared" si="274"/>
        <v>*0.96</v>
      </c>
      <c r="H2228" t="s">
        <v>3102</v>
      </c>
      <c r="I2228" s="5" t="s">
        <v>57</v>
      </c>
      <c r="J2228">
        <v>2050</v>
      </c>
      <c r="K2228" s="38" t="str">
        <f t="shared" si="275"/>
        <v>*0.94</v>
      </c>
      <c r="P2228" s="32" t="s">
        <v>3102</v>
      </c>
      <c r="Q2228" s="42" t="s">
        <v>57</v>
      </c>
      <c r="R2228" s="32">
        <v>2035</v>
      </c>
      <c r="S2228" s="43" t="str">
        <f t="shared" si="276"/>
        <v>*0.96</v>
      </c>
      <c r="U2228" s="32" t="s">
        <v>3102</v>
      </c>
      <c r="V2228" s="42" t="s">
        <v>57</v>
      </c>
      <c r="W2228" s="32">
        <v>2050</v>
      </c>
      <c r="X2228" s="43" t="str">
        <f t="shared" si="277"/>
        <v>*0.93</v>
      </c>
      <c r="AC2228" s="33" t="s">
        <v>3102</v>
      </c>
      <c r="AD2228" s="44" t="s">
        <v>57</v>
      </c>
      <c r="AE2228" s="33">
        <v>2035</v>
      </c>
      <c r="AF2228" s="45" t="str">
        <f t="shared" si="278"/>
        <v>*0.92</v>
      </c>
      <c r="AG2228" s="43" t="str">
        <f t="shared" si="280"/>
        <v>REZoning_Sol-Win</v>
      </c>
      <c r="AI2228" s="33" t="s">
        <v>3102</v>
      </c>
      <c r="AJ2228" s="44" t="s">
        <v>57</v>
      </c>
      <c r="AK2228" s="33">
        <v>2050</v>
      </c>
      <c r="AL2228" s="45" t="str">
        <f t="shared" si="279"/>
        <v>*0.89</v>
      </c>
      <c r="AM2228" s="43" t="str">
        <f t="shared" si="281"/>
        <v>REZoning_Sol-Win</v>
      </c>
      <c r="AP2228" t="s">
        <v>3102</v>
      </c>
      <c r="AQ2228" t="s">
        <v>57</v>
      </c>
      <c r="AR2228">
        <v>2100</v>
      </c>
      <c r="AS2228" t="s">
        <v>937</v>
      </c>
      <c r="AT2228" t="s">
        <v>58</v>
      </c>
    </row>
    <row r="2229" ht="29" spans="1:46">
      <c r="A2229" s="31" t="s">
        <v>98</v>
      </c>
      <c r="C2229" t="s">
        <v>3103</v>
      </c>
      <c r="D2229" s="5" t="s">
        <v>57</v>
      </c>
      <c r="E2229">
        <v>2035</v>
      </c>
      <c r="F2229" s="6" t="str">
        <f t="shared" si="274"/>
        <v>*0.96</v>
      </c>
      <c r="H2229" t="s">
        <v>3103</v>
      </c>
      <c r="I2229" s="5" t="s">
        <v>57</v>
      </c>
      <c r="J2229">
        <v>2050</v>
      </c>
      <c r="K2229" s="38" t="str">
        <f t="shared" si="275"/>
        <v>*0.94</v>
      </c>
      <c r="P2229" s="32" t="s">
        <v>3103</v>
      </c>
      <c r="Q2229" s="42" t="s">
        <v>57</v>
      </c>
      <c r="R2229" s="32">
        <v>2035</v>
      </c>
      <c r="S2229" s="43" t="str">
        <f t="shared" si="276"/>
        <v>*0.96</v>
      </c>
      <c r="U2229" s="32" t="s">
        <v>3103</v>
      </c>
      <c r="V2229" s="42" t="s">
        <v>57</v>
      </c>
      <c r="W2229" s="32">
        <v>2050</v>
      </c>
      <c r="X2229" s="43" t="str">
        <f t="shared" si="277"/>
        <v>*0.93</v>
      </c>
      <c r="AC2229" s="33" t="s">
        <v>3103</v>
      </c>
      <c r="AD2229" s="44" t="s">
        <v>57</v>
      </c>
      <c r="AE2229" s="33">
        <v>2035</v>
      </c>
      <c r="AF2229" s="45" t="str">
        <f t="shared" si="278"/>
        <v>*0.92</v>
      </c>
      <c r="AG2229" s="43" t="str">
        <f t="shared" si="280"/>
        <v>REZoning_Sol-Win</v>
      </c>
      <c r="AI2229" s="33" t="s">
        <v>3103</v>
      </c>
      <c r="AJ2229" s="44" t="s">
        <v>57</v>
      </c>
      <c r="AK2229" s="33">
        <v>2050</v>
      </c>
      <c r="AL2229" s="45" t="str">
        <f t="shared" si="279"/>
        <v>*0.89</v>
      </c>
      <c r="AM2229" s="43" t="str">
        <f t="shared" si="281"/>
        <v>REZoning_Sol-Win</v>
      </c>
      <c r="AP2229" t="s">
        <v>3103</v>
      </c>
      <c r="AQ2229" t="s">
        <v>57</v>
      </c>
      <c r="AR2229">
        <v>2100</v>
      </c>
      <c r="AS2229" t="s">
        <v>937</v>
      </c>
      <c r="AT2229" t="s">
        <v>58</v>
      </c>
    </row>
    <row r="2230" ht="29" spans="1:46">
      <c r="A2230" s="31" t="s">
        <v>98</v>
      </c>
      <c r="C2230" t="s">
        <v>3104</v>
      </c>
      <c r="D2230" s="5" t="s">
        <v>57</v>
      </c>
      <c r="E2230">
        <v>2035</v>
      </c>
      <c r="F2230" s="6" t="str">
        <f t="shared" si="274"/>
        <v>*0.96</v>
      </c>
      <c r="H2230" t="s">
        <v>3104</v>
      </c>
      <c r="I2230" s="5" t="s">
        <v>57</v>
      </c>
      <c r="J2230">
        <v>2050</v>
      </c>
      <c r="K2230" s="38" t="str">
        <f t="shared" si="275"/>
        <v>*0.94</v>
      </c>
      <c r="P2230" s="32" t="s">
        <v>3104</v>
      </c>
      <c r="Q2230" s="42" t="s">
        <v>57</v>
      </c>
      <c r="R2230" s="32">
        <v>2035</v>
      </c>
      <c r="S2230" s="43" t="str">
        <f t="shared" si="276"/>
        <v>*0.96</v>
      </c>
      <c r="U2230" s="32" t="s">
        <v>3104</v>
      </c>
      <c r="V2230" s="42" t="s">
        <v>57</v>
      </c>
      <c r="W2230" s="32">
        <v>2050</v>
      </c>
      <c r="X2230" s="43" t="str">
        <f t="shared" si="277"/>
        <v>*0.93</v>
      </c>
      <c r="AC2230" s="33" t="s">
        <v>3104</v>
      </c>
      <c r="AD2230" s="44" t="s">
        <v>57</v>
      </c>
      <c r="AE2230" s="33">
        <v>2035</v>
      </c>
      <c r="AF2230" s="45" t="str">
        <f t="shared" si="278"/>
        <v>*0.92</v>
      </c>
      <c r="AG2230" s="43" t="str">
        <f t="shared" si="280"/>
        <v>REZoning_Sol-Win</v>
      </c>
      <c r="AI2230" s="33" t="s">
        <v>3104</v>
      </c>
      <c r="AJ2230" s="44" t="s">
        <v>57</v>
      </c>
      <c r="AK2230" s="33">
        <v>2050</v>
      </c>
      <c r="AL2230" s="45" t="str">
        <f t="shared" si="279"/>
        <v>*0.89</v>
      </c>
      <c r="AM2230" s="43" t="str">
        <f t="shared" si="281"/>
        <v>REZoning_Sol-Win</v>
      </c>
      <c r="AP2230" t="s">
        <v>3104</v>
      </c>
      <c r="AQ2230" t="s">
        <v>57</v>
      </c>
      <c r="AR2230">
        <v>2100</v>
      </c>
      <c r="AS2230" t="s">
        <v>937</v>
      </c>
      <c r="AT2230" t="s">
        <v>58</v>
      </c>
    </row>
    <row r="2231" ht="29" spans="1:46">
      <c r="A2231" s="31" t="s">
        <v>98</v>
      </c>
      <c r="C2231" t="s">
        <v>3105</v>
      </c>
      <c r="D2231" s="5" t="s">
        <v>57</v>
      </c>
      <c r="E2231">
        <v>2035</v>
      </c>
      <c r="F2231" s="6" t="str">
        <f t="shared" si="274"/>
        <v>*0.96</v>
      </c>
      <c r="H2231" t="s">
        <v>3105</v>
      </c>
      <c r="I2231" s="5" t="s">
        <v>57</v>
      </c>
      <c r="J2231">
        <v>2050</v>
      </c>
      <c r="K2231" s="38" t="str">
        <f t="shared" si="275"/>
        <v>*0.94</v>
      </c>
      <c r="P2231" s="32" t="s">
        <v>3105</v>
      </c>
      <c r="Q2231" s="42" t="s">
        <v>57</v>
      </c>
      <c r="R2231" s="32">
        <v>2035</v>
      </c>
      <c r="S2231" s="43" t="str">
        <f t="shared" si="276"/>
        <v>*0.96</v>
      </c>
      <c r="U2231" s="32" t="s">
        <v>3105</v>
      </c>
      <c r="V2231" s="42" t="s">
        <v>57</v>
      </c>
      <c r="W2231" s="32">
        <v>2050</v>
      </c>
      <c r="X2231" s="43" t="str">
        <f t="shared" si="277"/>
        <v>*0.93</v>
      </c>
      <c r="AC2231" s="33" t="s">
        <v>3105</v>
      </c>
      <c r="AD2231" s="44" t="s">
        <v>57</v>
      </c>
      <c r="AE2231" s="33">
        <v>2035</v>
      </c>
      <c r="AF2231" s="45" t="str">
        <f t="shared" si="278"/>
        <v>*0.92</v>
      </c>
      <c r="AG2231" s="43" t="str">
        <f t="shared" si="280"/>
        <v>REZoning_Sol-Win</v>
      </c>
      <c r="AI2231" s="33" t="s">
        <v>3105</v>
      </c>
      <c r="AJ2231" s="44" t="s">
        <v>57</v>
      </c>
      <c r="AK2231" s="33">
        <v>2050</v>
      </c>
      <c r="AL2231" s="45" t="str">
        <f t="shared" si="279"/>
        <v>*0.89</v>
      </c>
      <c r="AM2231" s="43" t="str">
        <f t="shared" si="281"/>
        <v>REZoning_Sol-Win</v>
      </c>
      <c r="AP2231" t="s">
        <v>3105</v>
      </c>
      <c r="AQ2231" t="s">
        <v>57</v>
      </c>
      <c r="AR2231">
        <v>2100</v>
      </c>
      <c r="AS2231" t="s">
        <v>937</v>
      </c>
      <c r="AT2231" t="s">
        <v>58</v>
      </c>
    </row>
    <row r="2232" ht="29" spans="1:46">
      <c r="A2232" s="31" t="s">
        <v>98</v>
      </c>
      <c r="C2232" t="s">
        <v>3106</v>
      </c>
      <c r="D2232" s="5" t="s">
        <v>57</v>
      </c>
      <c r="E2232">
        <v>2035</v>
      </c>
      <c r="F2232" s="6" t="str">
        <f t="shared" si="274"/>
        <v>*0.96</v>
      </c>
      <c r="H2232" t="s">
        <v>3106</v>
      </c>
      <c r="I2232" s="5" t="s">
        <v>57</v>
      </c>
      <c r="J2232">
        <v>2050</v>
      </c>
      <c r="K2232" s="38" t="str">
        <f t="shared" si="275"/>
        <v>*0.94</v>
      </c>
      <c r="P2232" s="32" t="s">
        <v>3106</v>
      </c>
      <c r="Q2232" s="42" t="s">
        <v>57</v>
      </c>
      <c r="R2232" s="32">
        <v>2035</v>
      </c>
      <c r="S2232" s="43" t="str">
        <f t="shared" si="276"/>
        <v>*0.96</v>
      </c>
      <c r="U2232" s="32" t="s">
        <v>3106</v>
      </c>
      <c r="V2232" s="42" t="s">
        <v>57</v>
      </c>
      <c r="W2232" s="32">
        <v>2050</v>
      </c>
      <c r="X2232" s="43" t="str">
        <f t="shared" si="277"/>
        <v>*0.93</v>
      </c>
      <c r="AC2232" s="33" t="s">
        <v>3106</v>
      </c>
      <c r="AD2232" s="44" t="s">
        <v>57</v>
      </c>
      <c r="AE2232" s="33">
        <v>2035</v>
      </c>
      <c r="AF2232" s="45" t="str">
        <f t="shared" si="278"/>
        <v>*0.92</v>
      </c>
      <c r="AG2232" s="43" t="str">
        <f t="shared" si="280"/>
        <v>REZoning_Sol-Win</v>
      </c>
      <c r="AI2232" s="33" t="s">
        <v>3106</v>
      </c>
      <c r="AJ2232" s="44" t="s">
        <v>57</v>
      </c>
      <c r="AK2232" s="33">
        <v>2050</v>
      </c>
      <c r="AL2232" s="45" t="str">
        <f t="shared" si="279"/>
        <v>*0.89</v>
      </c>
      <c r="AM2232" s="43" t="str">
        <f t="shared" si="281"/>
        <v>REZoning_Sol-Win</v>
      </c>
      <c r="AP2232" t="s">
        <v>3106</v>
      </c>
      <c r="AQ2232" t="s">
        <v>57</v>
      </c>
      <c r="AR2232">
        <v>2100</v>
      </c>
      <c r="AS2232" t="s">
        <v>937</v>
      </c>
      <c r="AT2232" t="s">
        <v>58</v>
      </c>
    </row>
    <row r="2233" ht="29" spans="1:46">
      <c r="A2233" s="31" t="s">
        <v>98</v>
      </c>
      <c r="C2233" t="s">
        <v>3107</v>
      </c>
      <c r="D2233" s="5" t="s">
        <v>57</v>
      </c>
      <c r="E2233">
        <v>2035</v>
      </c>
      <c r="F2233" s="6" t="str">
        <f t="shared" si="274"/>
        <v>*0.96</v>
      </c>
      <c r="H2233" t="s">
        <v>3107</v>
      </c>
      <c r="I2233" s="5" t="s">
        <v>57</v>
      </c>
      <c r="J2233">
        <v>2050</v>
      </c>
      <c r="K2233" s="38" t="str">
        <f t="shared" si="275"/>
        <v>*0.94</v>
      </c>
      <c r="P2233" s="32" t="s">
        <v>3107</v>
      </c>
      <c r="Q2233" s="42" t="s">
        <v>57</v>
      </c>
      <c r="R2233" s="32">
        <v>2035</v>
      </c>
      <c r="S2233" s="43" t="str">
        <f t="shared" si="276"/>
        <v>*0.96</v>
      </c>
      <c r="U2233" s="32" t="s">
        <v>3107</v>
      </c>
      <c r="V2233" s="42" t="s">
        <v>57</v>
      </c>
      <c r="W2233" s="32">
        <v>2050</v>
      </c>
      <c r="X2233" s="43" t="str">
        <f t="shared" si="277"/>
        <v>*0.93</v>
      </c>
      <c r="AC2233" s="33" t="s">
        <v>3107</v>
      </c>
      <c r="AD2233" s="44" t="s">
        <v>57</v>
      </c>
      <c r="AE2233" s="33">
        <v>2035</v>
      </c>
      <c r="AF2233" s="45" t="str">
        <f t="shared" si="278"/>
        <v>*0.92</v>
      </c>
      <c r="AG2233" s="43" t="str">
        <f t="shared" si="280"/>
        <v>REZoning_Sol-Win</v>
      </c>
      <c r="AI2233" s="33" t="s">
        <v>3107</v>
      </c>
      <c r="AJ2233" s="44" t="s">
        <v>57</v>
      </c>
      <c r="AK2233" s="33">
        <v>2050</v>
      </c>
      <c r="AL2233" s="45" t="str">
        <f t="shared" si="279"/>
        <v>*0.89</v>
      </c>
      <c r="AM2233" s="43" t="str">
        <f t="shared" si="281"/>
        <v>REZoning_Sol-Win</v>
      </c>
      <c r="AP2233" t="s">
        <v>3107</v>
      </c>
      <c r="AQ2233" t="s">
        <v>57</v>
      </c>
      <c r="AR2233">
        <v>2100</v>
      </c>
      <c r="AS2233" t="s">
        <v>937</v>
      </c>
      <c r="AT2233" t="s">
        <v>58</v>
      </c>
    </row>
    <row r="2234" ht="29" spans="1:46">
      <c r="A2234" s="31" t="s">
        <v>98</v>
      </c>
      <c r="C2234" t="s">
        <v>3108</v>
      </c>
      <c r="D2234" s="5" t="s">
        <v>57</v>
      </c>
      <c r="E2234">
        <v>2035</v>
      </c>
      <c r="F2234" s="6" t="str">
        <f t="shared" si="274"/>
        <v>*0.96</v>
      </c>
      <c r="H2234" t="s">
        <v>3108</v>
      </c>
      <c r="I2234" s="5" t="s">
        <v>57</v>
      </c>
      <c r="J2234">
        <v>2050</v>
      </c>
      <c r="K2234" s="38" t="str">
        <f t="shared" si="275"/>
        <v>*0.94</v>
      </c>
      <c r="P2234" s="32" t="s">
        <v>3108</v>
      </c>
      <c r="Q2234" s="42" t="s">
        <v>57</v>
      </c>
      <c r="R2234" s="32">
        <v>2035</v>
      </c>
      <c r="S2234" s="43" t="str">
        <f t="shared" si="276"/>
        <v>*0.96</v>
      </c>
      <c r="U2234" s="32" t="s">
        <v>3108</v>
      </c>
      <c r="V2234" s="42" t="s">
        <v>57</v>
      </c>
      <c r="W2234" s="32">
        <v>2050</v>
      </c>
      <c r="X2234" s="43" t="str">
        <f t="shared" si="277"/>
        <v>*0.93</v>
      </c>
      <c r="AC2234" s="33" t="s">
        <v>3108</v>
      </c>
      <c r="AD2234" s="44" t="s">
        <v>57</v>
      </c>
      <c r="AE2234" s="33">
        <v>2035</v>
      </c>
      <c r="AF2234" s="45" t="str">
        <f t="shared" si="278"/>
        <v>*0.92</v>
      </c>
      <c r="AG2234" s="43" t="str">
        <f t="shared" si="280"/>
        <v>REZoning_Sol-Win</v>
      </c>
      <c r="AI2234" s="33" t="s">
        <v>3108</v>
      </c>
      <c r="AJ2234" s="44" t="s">
        <v>57</v>
      </c>
      <c r="AK2234" s="33">
        <v>2050</v>
      </c>
      <c r="AL2234" s="45" t="str">
        <f t="shared" si="279"/>
        <v>*0.89</v>
      </c>
      <c r="AM2234" s="43" t="str">
        <f t="shared" si="281"/>
        <v>REZoning_Sol-Win</v>
      </c>
      <c r="AP2234" t="s">
        <v>3108</v>
      </c>
      <c r="AQ2234" t="s">
        <v>57</v>
      </c>
      <c r="AR2234">
        <v>2100</v>
      </c>
      <c r="AS2234" t="s">
        <v>937</v>
      </c>
      <c r="AT2234" t="s">
        <v>58</v>
      </c>
    </row>
    <row r="2235" ht="29" spans="1:46">
      <c r="A2235" s="31" t="s">
        <v>98</v>
      </c>
      <c r="C2235" t="s">
        <v>3109</v>
      </c>
      <c r="D2235" s="5" t="s">
        <v>57</v>
      </c>
      <c r="E2235">
        <v>2035</v>
      </c>
      <c r="F2235" s="6" t="str">
        <f t="shared" si="274"/>
        <v>*0.96</v>
      </c>
      <c r="H2235" t="s">
        <v>3109</v>
      </c>
      <c r="I2235" s="5" t="s">
        <v>57</v>
      </c>
      <c r="J2235">
        <v>2050</v>
      </c>
      <c r="K2235" s="38" t="str">
        <f t="shared" si="275"/>
        <v>*0.94</v>
      </c>
      <c r="P2235" s="32" t="s">
        <v>3109</v>
      </c>
      <c r="Q2235" s="42" t="s">
        <v>57</v>
      </c>
      <c r="R2235" s="32">
        <v>2035</v>
      </c>
      <c r="S2235" s="43" t="str">
        <f t="shared" si="276"/>
        <v>*0.96</v>
      </c>
      <c r="U2235" s="32" t="s">
        <v>3109</v>
      </c>
      <c r="V2235" s="42" t="s">
        <v>57</v>
      </c>
      <c r="W2235" s="32">
        <v>2050</v>
      </c>
      <c r="X2235" s="43" t="str">
        <f t="shared" si="277"/>
        <v>*0.93</v>
      </c>
      <c r="AC2235" s="33" t="s">
        <v>3109</v>
      </c>
      <c r="AD2235" s="44" t="s">
        <v>57</v>
      </c>
      <c r="AE2235" s="33">
        <v>2035</v>
      </c>
      <c r="AF2235" s="45" t="str">
        <f t="shared" si="278"/>
        <v>*0.92</v>
      </c>
      <c r="AG2235" s="43" t="str">
        <f t="shared" si="280"/>
        <v>REZoning_Sol-Win</v>
      </c>
      <c r="AI2235" s="33" t="s">
        <v>3109</v>
      </c>
      <c r="AJ2235" s="44" t="s">
        <v>57</v>
      </c>
      <c r="AK2235" s="33">
        <v>2050</v>
      </c>
      <c r="AL2235" s="45" t="str">
        <f t="shared" si="279"/>
        <v>*0.89</v>
      </c>
      <c r="AM2235" s="43" t="str">
        <f t="shared" si="281"/>
        <v>REZoning_Sol-Win</v>
      </c>
      <c r="AP2235" t="s">
        <v>3109</v>
      </c>
      <c r="AQ2235" t="s">
        <v>57</v>
      </c>
      <c r="AR2235">
        <v>2100</v>
      </c>
      <c r="AS2235" t="s">
        <v>937</v>
      </c>
      <c r="AT2235" t="s">
        <v>58</v>
      </c>
    </row>
    <row r="2236" ht="29" spans="1:46">
      <c r="A2236" s="31" t="s">
        <v>98</v>
      </c>
      <c r="C2236" t="s">
        <v>3110</v>
      </c>
      <c r="D2236" s="5" t="s">
        <v>57</v>
      </c>
      <c r="E2236">
        <v>2035</v>
      </c>
      <c r="F2236" s="6" t="str">
        <f t="shared" si="274"/>
        <v>*0.96</v>
      </c>
      <c r="H2236" t="s">
        <v>3110</v>
      </c>
      <c r="I2236" s="5" t="s">
        <v>57</v>
      </c>
      <c r="J2236">
        <v>2050</v>
      </c>
      <c r="K2236" s="38" t="str">
        <f t="shared" si="275"/>
        <v>*0.94</v>
      </c>
      <c r="P2236" s="32" t="s">
        <v>3110</v>
      </c>
      <c r="Q2236" s="42" t="s">
        <v>57</v>
      </c>
      <c r="R2236" s="32">
        <v>2035</v>
      </c>
      <c r="S2236" s="43" t="str">
        <f t="shared" si="276"/>
        <v>*0.96</v>
      </c>
      <c r="U2236" s="32" t="s">
        <v>3110</v>
      </c>
      <c r="V2236" s="42" t="s">
        <v>57</v>
      </c>
      <c r="W2236" s="32">
        <v>2050</v>
      </c>
      <c r="X2236" s="43" t="str">
        <f t="shared" si="277"/>
        <v>*0.93</v>
      </c>
      <c r="AC2236" s="33" t="s">
        <v>3110</v>
      </c>
      <c r="AD2236" s="44" t="s">
        <v>57</v>
      </c>
      <c r="AE2236" s="33">
        <v>2035</v>
      </c>
      <c r="AF2236" s="45" t="str">
        <f t="shared" si="278"/>
        <v>*0.92</v>
      </c>
      <c r="AG2236" s="43" t="str">
        <f t="shared" si="280"/>
        <v>REZoning_Sol-Win</v>
      </c>
      <c r="AI2236" s="33" t="s">
        <v>3110</v>
      </c>
      <c r="AJ2236" s="44" t="s">
        <v>57</v>
      </c>
      <c r="AK2236" s="33">
        <v>2050</v>
      </c>
      <c r="AL2236" s="45" t="str">
        <f t="shared" si="279"/>
        <v>*0.89</v>
      </c>
      <c r="AM2236" s="43" t="str">
        <f t="shared" si="281"/>
        <v>REZoning_Sol-Win</v>
      </c>
      <c r="AP2236" t="s">
        <v>3110</v>
      </c>
      <c r="AQ2236" t="s">
        <v>57</v>
      </c>
      <c r="AR2236">
        <v>2100</v>
      </c>
      <c r="AS2236" t="s">
        <v>937</v>
      </c>
      <c r="AT2236" t="s">
        <v>58</v>
      </c>
    </row>
    <row r="2237" ht="29" spans="1:46">
      <c r="A2237" s="31" t="s">
        <v>98</v>
      </c>
      <c r="C2237" t="s">
        <v>3111</v>
      </c>
      <c r="D2237" s="5" t="s">
        <v>57</v>
      </c>
      <c r="E2237">
        <v>2035</v>
      </c>
      <c r="F2237" s="6" t="str">
        <f t="shared" si="274"/>
        <v>*0.96</v>
      </c>
      <c r="H2237" t="s">
        <v>3111</v>
      </c>
      <c r="I2237" s="5" t="s">
        <v>57</v>
      </c>
      <c r="J2237">
        <v>2050</v>
      </c>
      <c r="K2237" s="38" t="str">
        <f t="shared" si="275"/>
        <v>*0.94</v>
      </c>
      <c r="P2237" s="32" t="s">
        <v>3111</v>
      </c>
      <c r="Q2237" s="42" t="s">
        <v>57</v>
      </c>
      <c r="R2237" s="32">
        <v>2035</v>
      </c>
      <c r="S2237" s="43" t="str">
        <f t="shared" si="276"/>
        <v>*0.96</v>
      </c>
      <c r="U2237" s="32" t="s">
        <v>3111</v>
      </c>
      <c r="V2237" s="42" t="s">
        <v>57</v>
      </c>
      <c r="W2237" s="32">
        <v>2050</v>
      </c>
      <c r="X2237" s="43" t="str">
        <f t="shared" si="277"/>
        <v>*0.93</v>
      </c>
      <c r="AC2237" s="33" t="s">
        <v>3111</v>
      </c>
      <c r="AD2237" s="44" t="s">
        <v>57</v>
      </c>
      <c r="AE2237" s="33">
        <v>2035</v>
      </c>
      <c r="AF2237" s="45" t="str">
        <f t="shared" si="278"/>
        <v>*0.92</v>
      </c>
      <c r="AG2237" s="43" t="str">
        <f t="shared" si="280"/>
        <v>REZoning_Sol-Win</v>
      </c>
      <c r="AI2237" s="33" t="s">
        <v>3111</v>
      </c>
      <c r="AJ2237" s="44" t="s">
        <v>57</v>
      </c>
      <c r="AK2237" s="33">
        <v>2050</v>
      </c>
      <c r="AL2237" s="45" t="str">
        <f t="shared" si="279"/>
        <v>*0.89</v>
      </c>
      <c r="AM2237" s="43" t="str">
        <f t="shared" si="281"/>
        <v>REZoning_Sol-Win</v>
      </c>
      <c r="AP2237" t="s">
        <v>3111</v>
      </c>
      <c r="AQ2237" t="s">
        <v>57</v>
      </c>
      <c r="AR2237">
        <v>2100</v>
      </c>
      <c r="AS2237" t="s">
        <v>937</v>
      </c>
      <c r="AT2237" t="s">
        <v>58</v>
      </c>
    </row>
    <row r="2238" ht="29" spans="1:46">
      <c r="A2238" s="31" t="s">
        <v>98</v>
      </c>
      <c r="C2238" t="s">
        <v>3112</v>
      </c>
      <c r="D2238" s="5" t="s">
        <v>57</v>
      </c>
      <c r="E2238">
        <v>2035</v>
      </c>
      <c r="F2238" s="6" t="str">
        <f t="shared" si="274"/>
        <v>*0.96</v>
      </c>
      <c r="H2238" t="s">
        <v>3112</v>
      </c>
      <c r="I2238" s="5" t="s">
        <v>57</v>
      </c>
      <c r="J2238">
        <v>2050</v>
      </c>
      <c r="K2238" s="38" t="str">
        <f t="shared" si="275"/>
        <v>*0.94</v>
      </c>
      <c r="P2238" s="32" t="s">
        <v>3112</v>
      </c>
      <c r="Q2238" s="42" t="s">
        <v>57</v>
      </c>
      <c r="R2238" s="32">
        <v>2035</v>
      </c>
      <c r="S2238" s="43" t="str">
        <f t="shared" si="276"/>
        <v>*0.96</v>
      </c>
      <c r="U2238" s="32" t="s">
        <v>3112</v>
      </c>
      <c r="V2238" s="42" t="s">
        <v>57</v>
      </c>
      <c r="W2238" s="32">
        <v>2050</v>
      </c>
      <c r="X2238" s="43" t="str">
        <f t="shared" si="277"/>
        <v>*0.93</v>
      </c>
      <c r="AC2238" s="33" t="s">
        <v>3112</v>
      </c>
      <c r="AD2238" s="44" t="s">
        <v>57</v>
      </c>
      <c r="AE2238" s="33">
        <v>2035</v>
      </c>
      <c r="AF2238" s="45" t="str">
        <f t="shared" si="278"/>
        <v>*0.92</v>
      </c>
      <c r="AG2238" s="43" t="str">
        <f t="shared" si="280"/>
        <v>REZoning_Sol-Win</v>
      </c>
      <c r="AI2238" s="33" t="s">
        <v>3112</v>
      </c>
      <c r="AJ2238" s="44" t="s">
        <v>57</v>
      </c>
      <c r="AK2238" s="33">
        <v>2050</v>
      </c>
      <c r="AL2238" s="45" t="str">
        <f t="shared" si="279"/>
        <v>*0.89</v>
      </c>
      <c r="AM2238" s="43" t="str">
        <f t="shared" si="281"/>
        <v>REZoning_Sol-Win</v>
      </c>
      <c r="AP2238" t="s">
        <v>3112</v>
      </c>
      <c r="AQ2238" t="s">
        <v>57</v>
      </c>
      <c r="AR2238">
        <v>2100</v>
      </c>
      <c r="AS2238" t="s">
        <v>937</v>
      </c>
      <c r="AT2238" t="s">
        <v>58</v>
      </c>
    </row>
    <row r="2239" ht="29" spans="1:46">
      <c r="A2239" s="31" t="s">
        <v>98</v>
      </c>
      <c r="C2239" t="s">
        <v>3113</v>
      </c>
      <c r="D2239" s="5" t="s">
        <v>57</v>
      </c>
      <c r="E2239">
        <v>2035</v>
      </c>
      <c r="F2239" s="6" t="str">
        <f t="shared" si="274"/>
        <v>*0.96</v>
      </c>
      <c r="H2239" t="s">
        <v>3113</v>
      </c>
      <c r="I2239" s="5" t="s">
        <v>57</v>
      </c>
      <c r="J2239">
        <v>2050</v>
      </c>
      <c r="K2239" s="38" t="str">
        <f t="shared" si="275"/>
        <v>*0.94</v>
      </c>
      <c r="P2239" s="32" t="s">
        <v>3113</v>
      </c>
      <c r="Q2239" s="42" t="s">
        <v>57</v>
      </c>
      <c r="R2239" s="32">
        <v>2035</v>
      </c>
      <c r="S2239" s="43" t="str">
        <f t="shared" si="276"/>
        <v>*0.96</v>
      </c>
      <c r="U2239" s="32" t="s">
        <v>3113</v>
      </c>
      <c r="V2239" s="42" t="s">
        <v>57</v>
      </c>
      <c r="W2239" s="32">
        <v>2050</v>
      </c>
      <c r="X2239" s="43" t="str">
        <f t="shared" si="277"/>
        <v>*0.93</v>
      </c>
      <c r="AC2239" s="33" t="s">
        <v>3113</v>
      </c>
      <c r="AD2239" s="44" t="s">
        <v>57</v>
      </c>
      <c r="AE2239" s="33">
        <v>2035</v>
      </c>
      <c r="AF2239" s="45" t="str">
        <f t="shared" si="278"/>
        <v>*0.92</v>
      </c>
      <c r="AG2239" s="43" t="str">
        <f t="shared" si="280"/>
        <v>REZoning_Sol-Win</v>
      </c>
      <c r="AI2239" s="33" t="s">
        <v>3113</v>
      </c>
      <c r="AJ2239" s="44" t="s">
        <v>57</v>
      </c>
      <c r="AK2239" s="33">
        <v>2050</v>
      </c>
      <c r="AL2239" s="45" t="str">
        <f t="shared" si="279"/>
        <v>*0.89</v>
      </c>
      <c r="AM2239" s="43" t="str">
        <f t="shared" si="281"/>
        <v>REZoning_Sol-Win</v>
      </c>
      <c r="AP2239" t="s">
        <v>3113</v>
      </c>
      <c r="AQ2239" t="s">
        <v>57</v>
      </c>
      <c r="AR2239">
        <v>2100</v>
      </c>
      <c r="AS2239" t="s">
        <v>937</v>
      </c>
      <c r="AT2239" t="s">
        <v>58</v>
      </c>
    </row>
    <row r="2240" ht="29" spans="1:46">
      <c r="A2240" s="31" t="s">
        <v>98</v>
      </c>
      <c r="C2240" t="s">
        <v>3114</v>
      </c>
      <c r="D2240" s="5" t="s">
        <v>57</v>
      </c>
      <c r="E2240">
        <v>2035</v>
      </c>
      <c r="F2240" s="6" t="str">
        <f t="shared" si="274"/>
        <v>*0.96</v>
      </c>
      <c r="H2240" t="s">
        <v>3114</v>
      </c>
      <c r="I2240" s="5" t="s">
        <v>57</v>
      </c>
      <c r="J2240">
        <v>2050</v>
      </c>
      <c r="K2240" s="38" t="str">
        <f t="shared" si="275"/>
        <v>*0.94</v>
      </c>
      <c r="P2240" s="32" t="s">
        <v>3114</v>
      </c>
      <c r="Q2240" s="42" t="s">
        <v>57</v>
      </c>
      <c r="R2240" s="32">
        <v>2035</v>
      </c>
      <c r="S2240" s="43" t="str">
        <f t="shared" si="276"/>
        <v>*0.96</v>
      </c>
      <c r="U2240" s="32" t="s">
        <v>3114</v>
      </c>
      <c r="V2240" s="42" t="s">
        <v>57</v>
      </c>
      <c r="W2240" s="32">
        <v>2050</v>
      </c>
      <c r="X2240" s="43" t="str">
        <f t="shared" si="277"/>
        <v>*0.93</v>
      </c>
      <c r="AC2240" s="33" t="s">
        <v>3114</v>
      </c>
      <c r="AD2240" s="44" t="s">
        <v>57</v>
      </c>
      <c r="AE2240" s="33">
        <v>2035</v>
      </c>
      <c r="AF2240" s="45" t="str">
        <f t="shared" si="278"/>
        <v>*0.92</v>
      </c>
      <c r="AG2240" s="43" t="str">
        <f t="shared" si="280"/>
        <v>REZoning_Sol-Win</v>
      </c>
      <c r="AI2240" s="33" t="s">
        <v>3114</v>
      </c>
      <c r="AJ2240" s="44" t="s">
        <v>57</v>
      </c>
      <c r="AK2240" s="33">
        <v>2050</v>
      </c>
      <c r="AL2240" s="45" t="str">
        <f t="shared" si="279"/>
        <v>*0.89</v>
      </c>
      <c r="AM2240" s="43" t="str">
        <f t="shared" si="281"/>
        <v>REZoning_Sol-Win</v>
      </c>
      <c r="AP2240" t="s">
        <v>3114</v>
      </c>
      <c r="AQ2240" t="s">
        <v>57</v>
      </c>
      <c r="AR2240">
        <v>2100</v>
      </c>
      <c r="AS2240" t="s">
        <v>937</v>
      </c>
      <c r="AT2240" t="s">
        <v>58</v>
      </c>
    </row>
    <row r="2241" ht="29" spans="1:46">
      <c r="A2241" s="31" t="s">
        <v>98</v>
      </c>
      <c r="C2241" t="s">
        <v>3115</v>
      </c>
      <c r="D2241" s="5" t="s">
        <v>57</v>
      </c>
      <c r="E2241">
        <v>2035</v>
      </c>
      <c r="F2241" s="6" t="str">
        <f t="shared" si="274"/>
        <v>*0.96</v>
      </c>
      <c r="H2241" t="s">
        <v>3115</v>
      </c>
      <c r="I2241" s="5" t="s">
        <v>57</v>
      </c>
      <c r="J2241">
        <v>2050</v>
      </c>
      <c r="K2241" s="38" t="str">
        <f t="shared" si="275"/>
        <v>*0.94</v>
      </c>
      <c r="P2241" s="32" t="s">
        <v>3115</v>
      </c>
      <c r="Q2241" s="42" t="s">
        <v>57</v>
      </c>
      <c r="R2241" s="32">
        <v>2035</v>
      </c>
      <c r="S2241" s="43" t="str">
        <f t="shared" si="276"/>
        <v>*0.96</v>
      </c>
      <c r="U2241" s="32" t="s">
        <v>3115</v>
      </c>
      <c r="V2241" s="42" t="s">
        <v>57</v>
      </c>
      <c r="W2241" s="32">
        <v>2050</v>
      </c>
      <c r="X2241" s="43" t="str">
        <f t="shared" si="277"/>
        <v>*0.93</v>
      </c>
      <c r="AC2241" s="33" t="s">
        <v>3115</v>
      </c>
      <c r="AD2241" s="44" t="s">
        <v>57</v>
      </c>
      <c r="AE2241" s="33">
        <v>2035</v>
      </c>
      <c r="AF2241" s="45" t="str">
        <f t="shared" si="278"/>
        <v>*0.92</v>
      </c>
      <c r="AG2241" s="43" t="str">
        <f t="shared" si="280"/>
        <v>REZoning_Sol-Win</v>
      </c>
      <c r="AI2241" s="33" t="s">
        <v>3115</v>
      </c>
      <c r="AJ2241" s="44" t="s">
        <v>57</v>
      </c>
      <c r="AK2241" s="33">
        <v>2050</v>
      </c>
      <c r="AL2241" s="45" t="str">
        <f t="shared" si="279"/>
        <v>*0.89</v>
      </c>
      <c r="AM2241" s="43" t="str">
        <f t="shared" si="281"/>
        <v>REZoning_Sol-Win</v>
      </c>
      <c r="AP2241" t="s">
        <v>3115</v>
      </c>
      <c r="AQ2241" t="s">
        <v>57</v>
      </c>
      <c r="AR2241">
        <v>2100</v>
      </c>
      <c r="AS2241" t="s">
        <v>937</v>
      </c>
      <c r="AT2241" t="s">
        <v>58</v>
      </c>
    </row>
    <row r="2242" ht="29" spans="1:46">
      <c r="A2242" s="31" t="s">
        <v>98</v>
      </c>
      <c r="C2242" t="s">
        <v>3116</v>
      </c>
      <c r="D2242" s="5" t="s">
        <v>57</v>
      </c>
      <c r="E2242">
        <v>2035</v>
      </c>
      <c r="F2242" s="6" t="str">
        <f t="shared" si="274"/>
        <v>*0.96</v>
      </c>
      <c r="H2242" t="s">
        <v>3116</v>
      </c>
      <c r="I2242" s="5" t="s">
        <v>57</v>
      </c>
      <c r="J2242">
        <v>2050</v>
      </c>
      <c r="K2242" s="38" t="str">
        <f t="shared" si="275"/>
        <v>*0.94</v>
      </c>
      <c r="P2242" s="32" t="s">
        <v>3116</v>
      </c>
      <c r="Q2242" s="42" t="s">
        <v>57</v>
      </c>
      <c r="R2242" s="32">
        <v>2035</v>
      </c>
      <c r="S2242" s="43" t="str">
        <f t="shared" si="276"/>
        <v>*0.96</v>
      </c>
      <c r="U2242" s="32" t="s">
        <v>3116</v>
      </c>
      <c r="V2242" s="42" t="s">
        <v>57</v>
      </c>
      <c r="W2242" s="32">
        <v>2050</v>
      </c>
      <c r="X2242" s="43" t="str">
        <f t="shared" si="277"/>
        <v>*0.93</v>
      </c>
      <c r="AC2242" s="33" t="s">
        <v>3116</v>
      </c>
      <c r="AD2242" s="44" t="s">
        <v>57</v>
      </c>
      <c r="AE2242" s="33">
        <v>2035</v>
      </c>
      <c r="AF2242" s="45" t="str">
        <f t="shared" si="278"/>
        <v>*0.92</v>
      </c>
      <c r="AG2242" s="43" t="str">
        <f t="shared" si="280"/>
        <v>REZoning_Sol-Win</v>
      </c>
      <c r="AI2242" s="33" t="s">
        <v>3116</v>
      </c>
      <c r="AJ2242" s="44" t="s">
        <v>57</v>
      </c>
      <c r="AK2242" s="33">
        <v>2050</v>
      </c>
      <c r="AL2242" s="45" t="str">
        <f t="shared" si="279"/>
        <v>*0.89</v>
      </c>
      <c r="AM2242" s="43" t="str">
        <f t="shared" si="281"/>
        <v>REZoning_Sol-Win</v>
      </c>
      <c r="AP2242" t="s">
        <v>3116</v>
      </c>
      <c r="AQ2242" t="s">
        <v>57</v>
      </c>
      <c r="AR2242">
        <v>2100</v>
      </c>
      <c r="AS2242" t="s">
        <v>937</v>
      </c>
      <c r="AT2242" t="s">
        <v>58</v>
      </c>
    </row>
    <row r="2243" ht="29" spans="1:46">
      <c r="A2243" s="31" t="s">
        <v>98</v>
      </c>
      <c r="C2243" t="s">
        <v>3117</v>
      </c>
      <c r="D2243" s="5" t="s">
        <v>57</v>
      </c>
      <c r="E2243">
        <v>2035</v>
      </c>
      <c r="F2243" s="6" t="str">
        <f t="shared" si="274"/>
        <v>*0.96</v>
      </c>
      <c r="H2243" t="s">
        <v>3117</v>
      </c>
      <c r="I2243" s="5" t="s">
        <v>57</v>
      </c>
      <c r="J2243">
        <v>2050</v>
      </c>
      <c r="K2243" s="38" t="str">
        <f t="shared" si="275"/>
        <v>*0.94</v>
      </c>
      <c r="P2243" s="32" t="s">
        <v>3117</v>
      </c>
      <c r="Q2243" s="42" t="s">
        <v>57</v>
      </c>
      <c r="R2243" s="32">
        <v>2035</v>
      </c>
      <c r="S2243" s="43" t="str">
        <f t="shared" si="276"/>
        <v>*0.96</v>
      </c>
      <c r="U2243" s="32" t="s">
        <v>3117</v>
      </c>
      <c r="V2243" s="42" t="s">
        <v>57</v>
      </c>
      <c r="W2243" s="32">
        <v>2050</v>
      </c>
      <c r="X2243" s="43" t="str">
        <f t="shared" si="277"/>
        <v>*0.93</v>
      </c>
      <c r="AC2243" s="33" t="s">
        <v>3117</v>
      </c>
      <c r="AD2243" s="44" t="s">
        <v>57</v>
      </c>
      <c r="AE2243" s="33">
        <v>2035</v>
      </c>
      <c r="AF2243" s="45" t="str">
        <f t="shared" si="278"/>
        <v>*0.92</v>
      </c>
      <c r="AG2243" s="43" t="str">
        <f t="shared" si="280"/>
        <v>REZoning_Sol-Win</v>
      </c>
      <c r="AI2243" s="33" t="s">
        <v>3117</v>
      </c>
      <c r="AJ2243" s="44" t="s">
        <v>57</v>
      </c>
      <c r="AK2243" s="33">
        <v>2050</v>
      </c>
      <c r="AL2243" s="45" t="str">
        <f t="shared" si="279"/>
        <v>*0.89</v>
      </c>
      <c r="AM2243" s="43" t="str">
        <f t="shared" si="281"/>
        <v>REZoning_Sol-Win</v>
      </c>
      <c r="AP2243" t="s">
        <v>3117</v>
      </c>
      <c r="AQ2243" t="s">
        <v>57</v>
      </c>
      <c r="AR2243">
        <v>2100</v>
      </c>
      <c r="AS2243" t="s">
        <v>937</v>
      </c>
      <c r="AT2243" t="s">
        <v>58</v>
      </c>
    </row>
    <row r="2244" ht="29" spans="1:46">
      <c r="A2244" s="31" t="s">
        <v>98</v>
      </c>
      <c r="C2244" t="s">
        <v>3118</v>
      </c>
      <c r="D2244" s="5" t="s">
        <v>57</v>
      </c>
      <c r="E2244">
        <v>2035</v>
      </c>
      <c r="F2244" s="6" t="str">
        <f t="shared" ref="F2244:F2307" si="282">"*"&amp;IF(AND(A2244="EU",E2244=2035),0.95,IF(AND(A2244="EU",E2244=2050),0.93,IF(AND(A2244="USA",E2244=2035),0.96,IF(AND(A2244="USA",E2244=2050),0.94,IF(AND(A2244="Japan",E2244=2035),0.94,IF(AND(A2244="Japan",E2244=2050),0.92,IF(AND(A2244="Russia",E2244=2035),0.95,IF(AND(A2244="Russia",E2244=2050),0.93,IF(AND(A2244="China",E2244=2035),0.94,IF(AND(A2244="China",E2244=2050),0.92,IF(AND(A2244="India",E2244=2035),0.95,IF(AND(A2244="India",E2244=2050),0.92,IF(AND(A2244="Middle East",E2244=2035),0.94,IF(AND(A2244="Middle East",E2244=2050),0.9,IF(AND(A2244="Africa",E2244=2035),0.94,IF(AND(A2244="Africa",E2244=2050),0.91,IF(AND(A2244="Brazil",E2244=2035),0.95,IF(AND(A2244="Brazil",E2244=2050),0.92,""))))))))))))))))))</f>
        <v>*0.96</v>
      </c>
      <c r="H2244" t="s">
        <v>3118</v>
      </c>
      <c r="I2244" s="5" t="s">
        <v>57</v>
      </c>
      <c r="J2244">
        <v>2050</v>
      </c>
      <c r="K2244" s="38" t="str">
        <f t="shared" ref="K2244:K2307" si="283">"*"&amp;IF(AND(A2244="EU",J2244=2035),0.95,IF(AND(A2244="EU",J2244=2050),0.93,IF(AND(A2244="USA",J2244=2035),0.96,IF(AND(A2244="USA",J2244=2050),0.94,IF(AND(A2244="Japan",J2244=2035),0.94,IF(AND(A2244="Japan",J2244=2050),0.92,IF(AND(A2244="Russia",J2244=2035),0.95,IF(AND(A2244="Russia",J2244=2050),0.93,IF(AND(A2244="China",J2244=2035),0.94,IF(AND(A2244="China",J2244=2050),0.92,IF(AND(A2244="India",J2244=2035),0.95,IF(AND(A2244="India",J2244=2050),0.92,IF(AND(A2244="Middle East",J2244=2035),0.94,IF(AND(A2244="Middle East",J2244=2050),0.9,IF(AND(A2244="Africa",J2244=2035),0.94,IF(AND(A2244="Africa",J2244=2050),0.91,IF(AND(A2244="Brazil",J2244=2035),0.95,IF(AND(A2244="Brazil",J2244=2050),0.92,""))))))))))))))))))</f>
        <v>*0.94</v>
      </c>
      <c r="P2244" s="32" t="s">
        <v>3118</v>
      </c>
      <c r="Q2244" s="42" t="s">
        <v>57</v>
      </c>
      <c r="R2244" s="32">
        <v>2035</v>
      </c>
      <c r="S2244" s="43" t="str">
        <f t="shared" ref="S2244:S2307" si="284">"*"&amp;IF(AND(A2244="EU",R2244=2035),0.95,IF(AND(A2244="EU",R2244=2050),0.93,IF(AND(A2244="USA",R2244=2035),0.96,IF(AND(A2244="USA",R2244=2050),0.93,IF(AND(A2244="Japan",R2244=2035),0.94,IF(AND(A2244="Japan",R2244=2050),0.92,IF(AND(A2244="Russia",R2244=2035),0.95,IF(AND(A2244="Russia",R2244=2050),0.91,IF(AND(A2244="China",R2244=2035),0.93,IF(AND(A2244="China",R2244=2050),0.92,IF(AND(A2244="India",R2244=2035),0.94,IF(AND(A2244="India",R2244=2050),0.91,IF(AND(A2244="Middle East",R2244=2035),0.92,IF(AND(A2244="Middle East",R2244=2050),0.89,IF(AND(A2244="Africa",R2244=2035),0.93,IF(AND(A2244="Africa",R2244=2050),0.9,IF(AND(A2244="Brazil",R2244=2035),0.95,IF(AND(A2244="Brazil",R2244=2050),0.92,""))))))))))))))))))</f>
        <v>*0.96</v>
      </c>
      <c r="U2244" s="32" t="s">
        <v>3118</v>
      </c>
      <c r="V2244" s="42" t="s">
        <v>57</v>
      </c>
      <c r="W2244" s="32">
        <v>2050</v>
      </c>
      <c r="X2244" s="43" t="str">
        <f t="shared" ref="X2244:X2307" si="285">"*"&amp;IF(AND(A2244="EU",W2244=2035),0.95,IF(AND(A2244="EU",W2244=2050),0.93,IF(AND(A2244="USA",W2244=2035),0.96,IF(AND(A2244="USA",W2244=2050),0.93,IF(AND(A2244="Japan",W2244=2035),0.94,IF(AND(A2244="Japan",W2244=2050),0.92,IF(AND(A2244="Russia",W2244=2035),0.95,IF(AND(A2244="Russia",W2244=2050),0.91,IF(AND(A2244="China",W2244=2035),0.93,IF(AND(A2244="China",W2244=2050),0.92,IF(AND(A2244="India",W2244=2035),0.94,IF(AND(A2244="India",W2244=2050),0.91,IF(AND(A2244="Middle East",W2244=2035),0.92,IF(AND(A2244="Middle East",W2244=2050),0.89,IF(AND(A2244="Africa",W2244=2035),0.93,IF(AND(A2244="Africa",W2244=2050),0.9,IF(AND(A2244="Brazil",W2244=2035),0.95,IF(AND(A2244="Brazil",W2244=2050),0.92,""))))))))))))))))))</f>
        <v>*0.93</v>
      </c>
      <c r="AC2244" s="33" t="s">
        <v>3118</v>
      </c>
      <c r="AD2244" s="44" t="s">
        <v>57</v>
      </c>
      <c r="AE2244" s="33">
        <v>2035</v>
      </c>
      <c r="AF2244" s="45" t="str">
        <f t="shared" ref="AF2244:AF2307" si="286">"*"&amp;IF(AND(A2244="EU",AE2244=2035),0.93,IF(AND(A2244="EU",AE2244=2050),0.9,IF(AND(A2244="USA",AE2244=2035),0.92,IF(AND(A2244="USA",AE2244=2050),0.89,IF(AND(A2244="Japan",AE2244=2035),0.92,IF(AND(A2244="Japan",AE2244=2050),0.89,IF(AND(A2244="Russia",AE2244=2035),0.91,IF(AND(A2244="Russia",AE2244=2050),0.86,IF(AND(A2244="China",AE2244=2035),0.91,IF(AND(A2244="China",AE2244=2050),0.87,IF(AND(A2244="India",AE2244=2035),0.92,IF(AND(A2244="India",AE2244=2050),0.87,IF(AND(A2244="Middle East",AE2244=2035),0.89,IF(AND(A2244="Middle East",AE2244=2050),0.84,IF(AND(A2244="Africa",AE2244=2035),0.9,IF(AND(A2244="Africa",AE2244=2050),0.86,IF(AND(A2244="Brazil",AE2244=2035),0.93,IF(AND(A2244="Brazil",AE2244=2050),0.89,""))))))))))))))))))</f>
        <v>*0.92</v>
      </c>
      <c r="AG2244" s="43" t="str">
        <f t="shared" si="280"/>
        <v>REZoning_Sol-Win</v>
      </c>
      <c r="AI2244" s="33" t="s">
        <v>3118</v>
      </c>
      <c r="AJ2244" s="44" t="s">
        <v>57</v>
      </c>
      <c r="AK2244" s="33">
        <v>2050</v>
      </c>
      <c r="AL2244" s="45" t="str">
        <f t="shared" ref="AL2244:AL2307" si="287">"*"&amp;IF(AND(A2244="EU",AK2244=2035),0.93,IF(AND(A2244="EU",AK2244=2050),0.9,IF(AND(A2244="USA",AK2244=2035),0.92,IF(AND(A2244="USA",AK2244=2050),0.89,IF(AND(A2244="Japan",AK2244=2035),0.92,IF(AND(A2244="Japan",AK2244=2050),0.89,IF(AND(A2244="Russia",AK2244=2035),0.91,IF(AND(A2244="Russia",AK2244=2050),0.86,IF(AND(A2244="China",AK2244=2035),0.91,IF(AND(A2244="China",AK2244=2050),0.87,IF(AND(A2244="India",AK2244=2035),0.92,IF(AND(A2244="India",AK2244=2050),0.87,IF(AND(A2244="Middle East",AK2244=2035),0.89,IF(AND(A2244="Middle East",AK2244=2050),0.84,IF(AND(A2244="Africa",AK2244=2035),0.9,IF(AND(A2244="Africa",AK2244=2050),0.86,IF(AND(A2244="Brazil",AK2244=2035),0.93,IF(AND(A2244="Brazil",AK2244=2050),0.89,""))))))))))))))))))</f>
        <v>*0.89</v>
      </c>
      <c r="AM2244" s="43" t="str">
        <f t="shared" si="281"/>
        <v>REZoning_Sol-Win</v>
      </c>
      <c r="AP2244" t="s">
        <v>3118</v>
      </c>
      <c r="AQ2244" t="s">
        <v>57</v>
      </c>
      <c r="AR2244">
        <v>2100</v>
      </c>
      <c r="AS2244" t="s">
        <v>937</v>
      </c>
      <c r="AT2244" t="s">
        <v>58</v>
      </c>
    </row>
    <row r="2245" ht="29" spans="1:46">
      <c r="A2245" s="31" t="s">
        <v>98</v>
      </c>
      <c r="C2245" t="s">
        <v>3119</v>
      </c>
      <c r="D2245" s="5" t="s">
        <v>57</v>
      </c>
      <c r="E2245">
        <v>2035</v>
      </c>
      <c r="F2245" s="6" t="str">
        <f t="shared" si="282"/>
        <v>*0.96</v>
      </c>
      <c r="H2245" t="s">
        <v>3119</v>
      </c>
      <c r="I2245" s="5" t="s">
        <v>57</v>
      </c>
      <c r="J2245">
        <v>2050</v>
      </c>
      <c r="K2245" s="38" t="str">
        <f t="shared" si="283"/>
        <v>*0.94</v>
      </c>
      <c r="P2245" s="32" t="s">
        <v>3119</v>
      </c>
      <c r="Q2245" s="42" t="s">
        <v>57</v>
      </c>
      <c r="R2245" s="32">
        <v>2035</v>
      </c>
      <c r="S2245" s="43" t="str">
        <f t="shared" si="284"/>
        <v>*0.96</v>
      </c>
      <c r="U2245" s="32" t="s">
        <v>3119</v>
      </c>
      <c r="V2245" s="42" t="s">
        <v>57</v>
      </c>
      <c r="W2245" s="32">
        <v>2050</v>
      </c>
      <c r="X2245" s="43" t="str">
        <f t="shared" si="285"/>
        <v>*0.93</v>
      </c>
      <c r="AC2245" s="33" t="s">
        <v>3119</v>
      </c>
      <c r="AD2245" s="44" t="s">
        <v>57</v>
      </c>
      <c r="AE2245" s="33">
        <v>2035</v>
      </c>
      <c r="AF2245" s="45" t="str">
        <f t="shared" si="286"/>
        <v>*0.92</v>
      </c>
      <c r="AG2245" s="43" t="str">
        <f t="shared" si="280"/>
        <v>REZoning_Sol-Win</v>
      </c>
      <c r="AI2245" s="33" t="s">
        <v>3119</v>
      </c>
      <c r="AJ2245" s="44" t="s">
        <v>57</v>
      </c>
      <c r="AK2245" s="33">
        <v>2050</v>
      </c>
      <c r="AL2245" s="45" t="str">
        <f t="shared" si="287"/>
        <v>*0.89</v>
      </c>
      <c r="AM2245" s="43" t="str">
        <f t="shared" si="281"/>
        <v>REZoning_Sol-Win</v>
      </c>
      <c r="AP2245" t="s">
        <v>3119</v>
      </c>
      <c r="AQ2245" t="s">
        <v>57</v>
      </c>
      <c r="AR2245">
        <v>2100</v>
      </c>
      <c r="AS2245" t="s">
        <v>937</v>
      </c>
      <c r="AT2245" t="s">
        <v>58</v>
      </c>
    </row>
    <row r="2246" ht="29" spans="1:46">
      <c r="A2246" s="31" t="s">
        <v>98</v>
      </c>
      <c r="C2246" t="s">
        <v>3120</v>
      </c>
      <c r="D2246" s="5" t="s">
        <v>57</v>
      </c>
      <c r="E2246">
        <v>2035</v>
      </c>
      <c r="F2246" s="6" t="str">
        <f t="shared" si="282"/>
        <v>*0.96</v>
      </c>
      <c r="H2246" t="s">
        <v>3120</v>
      </c>
      <c r="I2246" s="5" t="s">
        <v>57</v>
      </c>
      <c r="J2246">
        <v>2050</v>
      </c>
      <c r="K2246" s="38" t="str">
        <f t="shared" si="283"/>
        <v>*0.94</v>
      </c>
      <c r="P2246" s="32" t="s">
        <v>3120</v>
      </c>
      <c r="Q2246" s="42" t="s">
        <v>57</v>
      </c>
      <c r="R2246" s="32">
        <v>2035</v>
      </c>
      <c r="S2246" s="43" t="str">
        <f t="shared" si="284"/>
        <v>*0.96</v>
      </c>
      <c r="U2246" s="32" t="s">
        <v>3120</v>
      </c>
      <c r="V2246" s="42" t="s">
        <v>57</v>
      </c>
      <c r="W2246" s="32">
        <v>2050</v>
      </c>
      <c r="X2246" s="43" t="str">
        <f t="shared" si="285"/>
        <v>*0.93</v>
      </c>
      <c r="AC2246" s="33" t="s">
        <v>3120</v>
      </c>
      <c r="AD2246" s="44" t="s">
        <v>57</v>
      </c>
      <c r="AE2246" s="33">
        <v>2035</v>
      </c>
      <c r="AF2246" s="45" t="str">
        <f t="shared" si="286"/>
        <v>*0.92</v>
      </c>
      <c r="AG2246" s="43" t="str">
        <f t="shared" si="280"/>
        <v>REZoning_Sol-Win</v>
      </c>
      <c r="AI2246" s="33" t="s">
        <v>3120</v>
      </c>
      <c r="AJ2246" s="44" t="s">
        <v>57</v>
      </c>
      <c r="AK2246" s="33">
        <v>2050</v>
      </c>
      <c r="AL2246" s="45" t="str">
        <f t="shared" si="287"/>
        <v>*0.89</v>
      </c>
      <c r="AM2246" s="43" t="str">
        <f t="shared" si="281"/>
        <v>REZoning_Sol-Win</v>
      </c>
      <c r="AP2246" t="s">
        <v>3120</v>
      </c>
      <c r="AQ2246" t="s">
        <v>57</v>
      </c>
      <c r="AR2246">
        <v>2100</v>
      </c>
      <c r="AS2246" t="s">
        <v>937</v>
      </c>
      <c r="AT2246" t="s">
        <v>58</v>
      </c>
    </row>
    <row r="2247" ht="29" spans="1:46">
      <c r="A2247" s="31" t="s">
        <v>98</v>
      </c>
      <c r="C2247" t="s">
        <v>3121</v>
      </c>
      <c r="D2247" s="5" t="s">
        <v>57</v>
      </c>
      <c r="E2247">
        <v>2035</v>
      </c>
      <c r="F2247" s="6" t="str">
        <f t="shared" si="282"/>
        <v>*0.96</v>
      </c>
      <c r="H2247" t="s">
        <v>3121</v>
      </c>
      <c r="I2247" s="5" t="s">
        <v>57</v>
      </c>
      <c r="J2247">
        <v>2050</v>
      </c>
      <c r="K2247" s="38" t="str">
        <f t="shared" si="283"/>
        <v>*0.94</v>
      </c>
      <c r="P2247" s="32" t="s">
        <v>3121</v>
      </c>
      <c r="Q2247" s="42" t="s">
        <v>57</v>
      </c>
      <c r="R2247" s="32">
        <v>2035</v>
      </c>
      <c r="S2247" s="43" t="str">
        <f t="shared" si="284"/>
        <v>*0.96</v>
      </c>
      <c r="U2247" s="32" t="s">
        <v>3121</v>
      </c>
      <c r="V2247" s="42" t="s">
        <v>57</v>
      </c>
      <c r="W2247" s="32">
        <v>2050</v>
      </c>
      <c r="X2247" s="43" t="str">
        <f t="shared" si="285"/>
        <v>*0.93</v>
      </c>
      <c r="AC2247" s="33" t="s">
        <v>3121</v>
      </c>
      <c r="AD2247" s="44" t="s">
        <v>57</v>
      </c>
      <c r="AE2247" s="33">
        <v>2035</v>
      </c>
      <c r="AF2247" s="45" t="str">
        <f t="shared" si="286"/>
        <v>*0.92</v>
      </c>
      <c r="AG2247" s="43" t="str">
        <f t="shared" si="280"/>
        <v>REZoning_Sol-Win</v>
      </c>
      <c r="AI2247" s="33" t="s">
        <v>3121</v>
      </c>
      <c r="AJ2247" s="44" t="s">
        <v>57</v>
      </c>
      <c r="AK2247" s="33">
        <v>2050</v>
      </c>
      <c r="AL2247" s="45" t="str">
        <f t="shared" si="287"/>
        <v>*0.89</v>
      </c>
      <c r="AM2247" s="43" t="str">
        <f t="shared" si="281"/>
        <v>REZoning_Sol-Win</v>
      </c>
      <c r="AP2247" t="s">
        <v>3121</v>
      </c>
      <c r="AQ2247" t="s">
        <v>57</v>
      </c>
      <c r="AR2247">
        <v>2100</v>
      </c>
      <c r="AS2247" t="s">
        <v>937</v>
      </c>
      <c r="AT2247" t="s">
        <v>58</v>
      </c>
    </row>
    <row r="2248" ht="29" spans="1:46">
      <c r="A2248" s="31" t="s">
        <v>98</v>
      </c>
      <c r="C2248" t="s">
        <v>3122</v>
      </c>
      <c r="D2248" s="5" t="s">
        <v>57</v>
      </c>
      <c r="E2248">
        <v>2035</v>
      </c>
      <c r="F2248" s="6" t="str">
        <f t="shared" si="282"/>
        <v>*0.96</v>
      </c>
      <c r="H2248" t="s">
        <v>3122</v>
      </c>
      <c r="I2248" s="5" t="s">
        <v>57</v>
      </c>
      <c r="J2248">
        <v>2050</v>
      </c>
      <c r="K2248" s="38" t="str">
        <f t="shared" si="283"/>
        <v>*0.94</v>
      </c>
      <c r="P2248" s="32" t="s">
        <v>3122</v>
      </c>
      <c r="Q2248" s="42" t="s">
        <v>57</v>
      </c>
      <c r="R2248" s="32">
        <v>2035</v>
      </c>
      <c r="S2248" s="43" t="str">
        <f t="shared" si="284"/>
        <v>*0.96</v>
      </c>
      <c r="U2248" s="32" t="s">
        <v>3122</v>
      </c>
      <c r="V2248" s="42" t="s">
        <v>57</v>
      </c>
      <c r="W2248" s="32">
        <v>2050</v>
      </c>
      <c r="X2248" s="43" t="str">
        <f t="shared" si="285"/>
        <v>*0.93</v>
      </c>
      <c r="AC2248" s="33" t="s">
        <v>3122</v>
      </c>
      <c r="AD2248" s="44" t="s">
        <v>57</v>
      </c>
      <c r="AE2248" s="33">
        <v>2035</v>
      </c>
      <c r="AF2248" s="45" t="str">
        <f t="shared" si="286"/>
        <v>*0.92</v>
      </c>
      <c r="AG2248" s="43" t="str">
        <f t="shared" si="280"/>
        <v>REZoning_Sol-Win</v>
      </c>
      <c r="AI2248" s="33" t="s">
        <v>3122</v>
      </c>
      <c r="AJ2248" s="44" t="s">
        <v>57</v>
      </c>
      <c r="AK2248" s="33">
        <v>2050</v>
      </c>
      <c r="AL2248" s="45" t="str">
        <f t="shared" si="287"/>
        <v>*0.89</v>
      </c>
      <c r="AM2248" s="43" t="str">
        <f t="shared" si="281"/>
        <v>REZoning_Sol-Win</v>
      </c>
      <c r="AP2248" t="s">
        <v>3122</v>
      </c>
      <c r="AQ2248" t="s">
        <v>57</v>
      </c>
      <c r="AR2248">
        <v>2100</v>
      </c>
      <c r="AS2248" t="s">
        <v>937</v>
      </c>
      <c r="AT2248" t="s">
        <v>58</v>
      </c>
    </row>
    <row r="2249" ht="29" spans="1:46">
      <c r="A2249" s="31" t="s">
        <v>98</v>
      </c>
      <c r="C2249" t="s">
        <v>3123</v>
      </c>
      <c r="D2249" s="5" t="s">
        <v>57</v>
      </c>
      <c r="E2249">
        <v>2035</v>
      </c>
      <c r="F2249" s="6" t="str">
        <f t="shared" si="282"/>
        <v>*0.96</v>
      </c>
      <c r="H2249" t="s">
        <v>3123</v>
      </c>
      <c r="I2249" s="5" t="s">
        <v>57</v>
      </c>
      <c r="J2249">
        <v>2050</v>
      </c>
      <c r="K2249" s="38" t="str">
        <f t="shared" si="283"/>
        <v>*0.94</v>
      </c>
      <c r="P2249" s="32" t="s">
        <v>3123</v>
      </c>
      <c r="Q2249" s="42" t="s">
        <v>57</v>
      </c>
      <c r="R2249" s="32">
        <v>2035</v>
      </c>
      <c r="S2249" s="43" t="str">
        <f t="shared" si="284"/>
        <v>*0.96</v>
      </c>
      <c r="U2249" s="32" t="s">
        <v>3123</v>
      </c>
      <c r="V2249" s="42" t="s">
        <v>57</v>
      </c>
      <c r="W2249" s="32">
        <v>2050</v>
      </c>
      <c r="X2249" s="43" t="str">
        <f t="shared" si="285"/>
        <v>*0.93</v>
      </c>
      <c r="AC2249" s="33" t="s">
        <v>3123</v>
      </c>
      <c r="AD2249" s="44" t="s">
        <v>57</v>
      </c>
      <c r="AE2249" s="33">
        <v>2035</v>
      </c>
      <c r="AF2249" s="45" t="str">
        <f t="shared" si="286"/>
        <v>*0.92</v>
      </c>
      <c r="AG2249" s="43" t="str">
        <f t="shared" ref="AG2249:AG2312" si="288">AG2248</f>
        <v>REZoning_Sol-Win</v>
      </c>
      <c r="AI2249" s="33" t="s">
        <v>3123</v>
      </c>
      <c r="AJ2249" s="44" t="s">
        <v>57</v>
      </c>
      <c r="AK2249" s="33">
        <v>2050</v>
      </c>
      <c r="AL2249" s="45" t="str">
        <f t="shared" si="287"/>
        <v>*0.89</v>
      </c>
      <c r="AM2249" s="43" t="str">
        <f t="shared" si="281"/>
        <v>REZoning_Sol-Win</v>
      </c>
      <c r="AP2249" t="s">
        <v>3123</v>
      </c>
      <c r="AQ2249" t="s">
        <v>57</v>
      </c>
      <c r="AR2249">
        <v>2100</v>
      </c>
      <c r="AS2249" t="s">
        <v>937</v>
      </c>
      <c r="AT2249" t="s">
        <v>58</v>
      </c>
    </row>
    <row r="2250" ht="29" spans="1:46">
      <c r="A2250" s="31" t="s">
        <v>98</v>
      </c>
      <c r="C2250" t="s">
        <v>3124</v>
      </c>
      <c r="D2250" s="5" t="s">
        <v>57</v>
      </c>
      <c r="E2250">
        <v>2035</v>
      </c>
      <c r="F2250" s="6" t="str">
        <f t="shared" si="282"/>
        <v>*0.96</v>
      </c>
      <c r="H2250" t="s">
        <v>3124</v>
      </c>
      <c r="I2250" s="5" t="s">
        <v>57</v>
      </c>
      <c r="J2250">
        <v>2050</v>
      </c>
      <c r="K2250" s="38" t="str">
        <f t="shared" si="283"/>
        <v>*0.94</v>
      </c>
      <c r="P2250" s="32" t="s">
        <v>3124</v>
      </c>
      <c r="Q2250" s="42" t="s">
        <v>57</v>
      </c>
      <c r="R2250" s="32">
        <v>2035</v>
      </c>
      <c r="S2250" s="43" t="str">
        <f t="shared" si="284"/>
        <v>*0.96</v>
      </c>
      <c r="U2250" s="32" t="s">
        <v>3124</v>
      </c>
      <c r="V2250" s="42" t="s">
        <v>57</v>
      </c>
      <c r="W2250" s="32">
        <v>2050</v>
      </c>
      <c r="X2250" s="43" t="str">
        <f t="shared" si="285"/>
        <v>*0.93</v>
      </c>
      <c r="AC2250" s="33" t="s">
        <v>3124</v>
      </c>
      <c r="AD2250" s="44" t="s">
        <v>57</v>
      </c>
      <c r="AE2250" s="33">
        <v>2035</v>
      </c>
      <c r="AF2250" s="45" t="str">
        <f t="shared" si="286"/>
        <v>*0.92</v>
      </c>
      <c r="AG2250" s="43" t="str">
        <f t="shared" si="288"/>
        <v>REZoning_Sol-Win</v>
      </c>
      <c r="AI2250" s="33" t="s">
        <v>3124</v>
      </c>
      <c r="AJ2250" s="44" t="s">
        <v>57</v>
      </c>
      <c r="AK2250" s="33">
        <v>2050</v>
      </c>
      <c r="AL2250" s="45" t="str">
        <f t="shared" si="287"/>
        <v>*0.89</v>
      </c>
      <c r="AM2250" s="43" t="str">
        <f t="shared" ref="AM2250:AM2313" si="289">AM2249</f>
        <v>REZoning_Sol-Win</v>
      </c>
      <c r="AP2250" t="s">
        <v>3124</v>
      </c>
      <c r="AQ2250" t="s">
        <v>57</v>
      </c>
      <c r="AR2250">
        <v>2100</v>
      </c>
      <c r="AS2250" t="s">
        <v>937</v>
      </c>
      <c r="AT2250" t="s">
        <v>58</v>
      </c>
    </row>
    <row r="2251" ht="29" spans="1:46">
      <c r="A2251" s="31" t="s">
        <v>98</v>
      </c>
      <c r="C2251" t="s">
        <v>3125</v>
      </c>
      <c r="D2251" s="5" t="s">
        <v>57</v>
      </c>
      <c r="E2251">
        <v>2035</v>
      </c>
      <c r="F2251" s="6" t="str">
        <f t="shared" si="282"/>
        <v>*0.96</v>
      </c>
      <c r="H2251" t="s">
        <v>3125</v>
      </c>
      <c r="I2251" s="5" t="s">
        <v>57</v>
      </c>
      <c r="J2251">
        <v>2050</v>
      </c>
      <c r="K2251" s="38" t="str">
        <f t="shared" si="283"/>
        <v>*0.94</v>
      </c>
      <c r="P2251" s="32" t="s">
        <v>3125</v>
      </c>
      <c r="Q2251" s="42" t="s">
        <v>57</v>
      </c>
      <c r="R2251" s="32">
        <v>2035</v>
      </c>
      <c r="S2251" s="43" t="str">
        <f t="shared" si="284"/>
        <v>*0.96</v>
      </c>
      <c r="U2251" s="32" t="s">
        <v>3125</v>
      </c>
      <c r="V2251" s="42" t="s">
        <v>57</v>
      </c>
      <c r="W2251" s="32">
        <v>2050</v>
      </c>
      <c r="X2251" s="43" t="str">
        <f t="shared" si="285"/>
        <v>*0.93</v>
      </c>
      <c r="AC2251" s="33" t="s">
        <v>3125</v>
      </c>
      <c r="AD2251" s="44" t="s">
        <v>57</v>
      </c>
      <c r="AE2251" s="33">
        <v>2035</v>
      </c>
      <c r="AF2251" s="45" t="str">
        <f t="shared" si="286"/>
        <v>*0.92</v>
      </c>
      <c r="AG2251" s="43" t="str">
        <f t="shared" si="288"/>
        <v>REZoning_Sol-Win</v>
      </c>
      <c r="AI2251" s="33" t="s">
        <v>3125</v>
      </c>
      <c r="AJ2251" s="44" t="s">
        <v>57</v>
      </c>
      <c r="AK2251" s="33">
        <v>2050</v>
      </c>
      <c r="AL2251" s="45" t="str">
        <f t="shared" si="287"/>
        <v>*0.89</v>
      </c>
      <c r="AM2251" s="43" t="str">
        <f t="shared" si="289"/>
        <v>REZoning_Sol-Win</v>
      </c>
      <c r="AP2251" t="s">
        <v>3125</v>
      </c>
      <c r="AQ2251" t="s">
        <v>57</v>
      </c>
      <c r="AR2251">
        <v>2100</v>
      </c>
      <c r="AS2251" t="s">
        <v>937</v>
      </c>
      <c r="AT2251" t="s">
        <v>58</v>
      </c>
    </row>
    <row r="2252" ht="29" spans="1:46">
      <c r="A2252" s="31" t="s">
        <v>98</v>
      </c>
      <c r="C2252" t="s">
        <v>3126</v>
      </c>
      <c r="D2252" s="5" t="s">
        <v>57</v>
      </c>
      <c r="E2252">
        <v>2035</v>
      </c>
      <c r="F2252" s="6" t="str">
        <f t="shared" si="282"/>
        <v>*0.96</v>
      </c>
      <c r="H2252" t="s">
        <v>3126</v>
      </c>
      <c r="I2252" s="5" t="s">
        <v>57</v>
      </c>
      <c r="J2252">
        <v>2050</v>
      </c>
      <c r="K2252" s="38" t="str">
        <f t="shared" si="283"/>
        <v>*0.94</v>
      </c>
      <c r="P2252" s="32" t="s">
        <v>3126</v>
      </c>
      <c r="Q2252" s="42" t="s">
        <v>57</v>
      </c>
      <c r="R2252" s="32">
        <v>2035</v>
      </c>
      <c r="S2252" s="43" t="str">
        <f t="shared" si="284"/>
        <v>*0.96</v>
      </c>
      <c r="U2252" s="32" t="s">
        <v>3126</v>
      </c>
      <c r="V2252" s="42" t="s">
        <v>57</v>
      </c>
      <c r="W2252" s="32">
        <v>2050</v>
      </c>
      <c r="X2252" s="43" t="str">
        <f t="shared" si="285"/>
        <v>*0.93</v>
      </c>
      <c r="AC2252" s="33" t="s">
        <v>3126</v>
      </c>
      <c r="AD2252" s="44" t="s">
        <v>57</v>
      </c>
      <c r="AE2252" s="33">
        <v>2035</v>
      </c>
      <c r="AF2252" s="45" t="str">
        <f t="shared" si="286"/>
        <v>*0.92</v>
      </c>
      <c r="AG2252" s="43" t="str">
        <f t="shared" si="288"/>
        <v>REZoning_Sol-Win</v>
      </c>
      <c r="AI2252" s="33" t="s">
        <v>3126</v>
      </c>
      <c r="AJ2252" s="44" t="s">
        <v>57</v>
      </c>
      <c r="AK2252" s="33">
        <v>2050</v>
      </c>
      <c r="AL2252" s="45" t="str">
        <f t="shared" si="287"/>
        <v>*0.89</v>
      </c>
      <c r="AM2252" s="43" t="str">
        <f t="shared" si="289"/>
        <v>REZoning_Sol-Win</v>
      </c>
      <c r="AP2252" t="s">
        <v>3126</v>
      </c>
      <c r="AQ2252" t="s">
        <v>57</v>
      </c>
      <c r="AR2252">
        <v>2100</v>
      </c>
      <c r="AS2252" t="s">
        <v>937</v>
      </c>
      <c r="AT2252" t="s">
        <v>58</v>
      </c>
    </row>
    <row r="2253" ht="29" spans="1:46">
      <c r="A2253" s="31" t="s">
        <v>98</v>
      </c>
      <c r="C2253" t="s">
        <v>3127</v>
      </c>
      <c r="D2253" s="5" t="s">
        <v>57</v>
      </c>
      <c r="E2253">
        <v>2035</v>
      </c>
      <c r="F2253" s="6" t="str">
        <f t="shared" si="282"/>
        <v>*0.96</v>
      </c>
      <c r="H2253" t="s">
        <v>3127</v>
      </c>
      <c r="I2253" s="5" t="s">
        <v>57</v>
      </c>
      <c r="J2253">
        <v>2050</v>
      </c>
      <c r="K2253" s="38" t="str">
        <f t="shared" si="283"/>
        <v>*0.94</v>
      </c>
      <c r="P2253" s="32" t="s">
        <v>3127</v>
      </c>
      <c r="Q2253" s="42" t="s">
        <v>57</v>
      </c>
      <c r="R2253" s="32">
        <v>2035</v>
      </c>
      <c r="S2253" s="43" t="str">
        <f t="shared" si="284"/>
        <v>*0.96</v>
      </c>
      <c r="U2253" s="32" t="s">
        <v>3127</v>
      </c>
      <c r="V2253" s="42" t="s">
        <v>57</v>
      </c>
      <c r="W2253" s="32">
        <v>2050</v>
      </c>
      <c r="X2253" s="43" t="str">
        <f t="shared" si="285"/>
        <v>*0.93</v>
      </c>
      <c r="AC2253" s="33" t="s">
        <v>3127</v>
      </c>
      <c r="AD2253" s="44" t="s">
        <v>57</v>
      </c>
      <c r="AE2253" s="33">
        <v>2035</v>
      </c>
      <c r="AF2253" s="45" t="str">
        <f t="shared" si="286"/>
        <v>*0.92</v>
      </c>
      <c r="AG2253" s="43" t="str">
        <f t="shared" si="288"/>
        <v>REZoning_Sol-Win</v>
      </c>
      <c r="AI2253" s="33" t="s">
        <v>3127</v>
      </c>
      <c r="AJ2253" s="44" t="s">
        <v>57</v>
      </c>
      <c r="AK2253" s="33">
        <v>2050</v>
      </c>
      <c r="AL2253" s="45" t="str">
        <f t="shared" si="287"/>
        <v>*0.89</v>
      </c>
      <c r="AM2253" s="43" t="str">
        <f t="shared" si="289"/>
        <v>REZoning_Sol-Win</v>
      </c>
      <c r="AP2253" t="s">
        <v>3127</v>
      </c>
      <c r="AQ2253" t="s">
        <v>57</v>
      </c>
      <c r="AR2253">
        <v>2100</v>
      </c>
      <c r="AS2253" t="s">
        <v>937</v>
      </c>
      <c r="AT2253" t="s">
        <v>58</v>
      </c>
    </row>
    <row r="2254" ht="29" spans="1:46">
      <c r="A2254" s="31" t="s">
        <v>98</v>
      </c>
      <c r="C2254" t="s">
        <v>3128</v>
      </c>
      <c r="D2254" s="5" t="s">
        <v>57</v>
      </c>
      <c r="E2254">
        <v>2035</v>
      </c>
      <c r="F2254" s="6" t="str">
        <f t="shared" si="282"/>
        <v>*0.96</v>
      </c>
      <c r="H2254" t="s">
        <v>3128</v>
      </c>
      <c r="I2254" s="5" t="s">
        <v>57</v>
      </c>
      <c r="J2254">
        <v>2050</v>
      </c>
      <c r="K2254" s="38" t="str">
        <f t="shared" si="283"/>
        <v>*0.94</v>
      </c>
      <c r="P2254" s="32" t="s">
        <v>3128</v>
      </c>
      <c r="Q2254" s="42" t="s">
        <v>57</v>
      </c>
      <c r="R2254" s="32">
        <v>2035</v>
      </c>
      <c r="S2254" s="43" t="str">
        <f t="shared" si="284"/>
        <v>*0.96</v>
      </c>
      <c r="U2254" s="32" t="s">
        <v>3128</v>
      </c>
      <c r="V2254" s="42" t="s">
        <v>57</v>
      </c>
      <c r="W2254" s="32">
        <v>2050</v>
      </c>
      <c r="X2254" s="43" t="str">
        <f t="shared" si="285"/>
        <v>*0.93</v>
      </c>
      <c r="AC2254" s="33" t="s">
        <v>3128</v>
      </c>
      <c r="AD2254" s="44" t="s">
        <v>57</v>
      </c>
      <c r="AE2254" s="33">
        <v>2035</v>
      </c>
      <c r="AF2254" s="45" t="str">
        <f t="shared" si="286"/>
        <v>*0.92</v>
      </c>
      <c r="AG2254" s="43" t="str">
        <f t="shared" si="288"/>
        <v>REZoning_Sol-Win</v>
      </c>
      <c r="AI2254" s="33" t="s">
        <v>3128</v>
      </c>
      <c r="AJ2254" s="44" t="s">
        <v>57</v>
      </c>
      <c r="AK2254" s="33">
        <v>2050</v>
      </c>
      <c r="AL2254" s="45" t="str">
        <f t="shared" si="287"/>
        <v>*0.89</v>
      </c>
      <c r="AM2254" s="43" t="str">
        <f t="shared" si="289"/>
        <v>REZoning_Sol-Win</v>
      </c>
      <c r="AP2254" t="s">
        <v>3128</v>
      </c>
      <c r="AQ2254" t="s">
        <v>57</v>
      </c>
      <c r="AR2254">
        <v>2100</v>
      </c>
      <c r="AS2254" t="s">
        <v>937</v>
      </c>
      <c r="AT2254" t="s">
        <v>58</v>
      </c>
    </row>
    <row r="2255" ht="29" spans="1:46">
      <c r="A2255" s="31" t="s">
        <v>98</v>
      </c>
      <c r="C2255" t="s">
        <v>3129</v>
      </c>
      <c r="D2255" s="5" t="s">
        <v>57</v>
      </c>
      <c r="E2255">
        <v>2035</v>
      </c>
      <c r="F2255" s="6" t="str">
        <f t="shared" si="282"/>
        <v>*0.96</v>
      </c>
      <c r="H2255" t="s">
        <v>3129</v>
      </c>
      <c r="I2255" s="5" t="s">
        <v>57</v>
      </c>
      <c r="J2255">
        <v>2050</v>
      </c>
      <c r="K2255" s="38" t="str">
        <f t="shared" si="283"/>
        <v>*0.94</v>
      </c>
      <c r="P2255" s="32" t="s">
        <v>3129</v>
      </c>
      <c r="Q2255" s="42" t="s">
        <v>57</v>
      </c>
      <c r="R2255" s="32">
        <v>2035</v>
      </c>
      <c r="S2255" s="43" t="str">
        <f t="shared" si="284"/>
        <v>*0.96</v>
      </c>
      <c r="U2255" s="32" t="s">
        <v>3129</v>
      </c>
      <c r="V2255" s="42" t="s">
        <v>57</v>
      </c>
      <c r="W2255" s="32">
        <v>2050</v>
      </c>
      <c r="X2255" s="43" t="str">
        <f t="shared" si="285"/>
        <v>*0.93</v>
      </c>
      <c r="AC2255" s="33" t="s">
        <v>3129</v>
      </c>
      <c r="AD2255" s="44" t="s">
        <v>57</v>
      </c>
      <c r="AE2255" s="33">
        <v>2035</v>
      </c>
      <c r="AF2255" s="45" t="str">
        <f t="shared" si="286"/>
        <v>*0.92</v>
      </c>
      <c r="AG2255" s="43" t="str">
        <f t="shared" si="288"/>
        <v>REZoning_Sol-Win</v>
      </c>
      <c r="AI2255" s="33" t="s">
        <v>3129</v>
      </c>
      <c r="AJ2255" s="44" t="s">
        <v>57</v>
      </c>
      <c r="AK2255" s="33">
        <v>2050</v>
      </c>
      <c r="AL2255" s="45" t="str">
        <f t="shared" si="287"/>
        <v>*0.89</v>
      </c>
      <c r="AM2255" s="43" t="str">
        <f t="shared" si="289"/>
        <v>REZoning_Sol-Win</v>
      </c>
      <c r="AP2255" t="s">
        <v>3129</v>
      </c>
      <c r="AQ2255" t="s">
        <v>57</v>
      </c>
      <c r="AR2255">
        <v>2100</v>
      </c>
      <c r="AS2255" t="s">
        <v>937</v>
      </c>
      <c r="AT2255" t="s">
        <v>58</v>
      </c>
    </row>
    <row r="2256" ht="29" spans="1:46">
      <c r="A2256" s="31" t="s">
        <v>98</v>
      </c>
      <c r="C2256" t="s">
        <v>3130</v>
      </c>
      <c r="D2256" s="5" t="s">
        <v>57</v>
      </c>
      <c r="E2256">
        <v>2035</v>
      </c>
      <c r="F2256" s="6" t="str">
        <f t="shared" si="282"/>
        <v>*0.96</v>
      </c>
      <c r="H2256" t="s">
        <v>3130</v>
      </c>
      <c r="I2256" s="5" t="s">
        <v>57</v>
      </c>
      <c r="J2256">
        <v>2050</v>
      </c>
      <c r="K2256" s="38" t="str">
        <f t="shared" si="283"/>
        <v>*0.94</v>
      </c>
      <c r="P2256" s="32" t="s">
        <v>3130</v>
      </c>
      <c r="Q2256" s="42" t="s">
        <v>57</v>
      </c>
      <c r="R2256" s="32">
        <v>2035</v>
      </c>
      <c r="S2256" s="43" t="str">
        <f t="shared" si="284"/>
        <v>*0.96</v>
      </c>
      <c r="U2256" s="32" t="s">
        <v>3130</v>
      </c>
      <c r="V2256" s="42" t="s">
        <v>57</v>
      </c>
      <c r="W2256" s="32">
        <v>2050</v>
      </c>
      <c r="X2256" s="43" t="str">
        <f t="shared" si="285"/>
        <v>*0.93</v>
      </c>
      <c r="AC2256" s="33" t="s">
        <v>3130</v>
      </c>
      <c r="AD2256" s="44" t="s">
        <v>57</v>
      </c>
      <c r="AE2256" s="33">
        <v>2035</v>
      </c>
      <c r="AF2256" s="45" t="str">
        <f t="shared" si="286"/>
        <v>*0.92</v>
      </c>
      <c r="AG2256" s="43" t="str">
        <f t="shared" si="288"/>
        <v>REZoning_Sol-Win</v>
      </c>
      <c r="AI2256" s="33" t="s">
        <v>3130</v>
      </c>
      <c r="AJ2256" s="44" t="s">
        <v>57</v>
      </c>
      <c r="AK2256" s="33">
        <v>2050</v>
      </c>
      <c r="AL2256" s="45" t="str">
        <f t="shared" si="287"/>
        <v>*0.89</v>
      </c>
      <c r="AM2256" s="43" t="str">
        <f t="shared" si="289"/>
        <v>REZoning_Sol-Win</v>
      </c>
      <c r="AP2256" t="s">
        <v>3130</v>
      </c>
      <c r="AQ2256" t="s">
        <v>57</v>
      </c>
      <c r="AR2256">
        <v>2100</v>
      </c>
      <c r="AS2256" t="s">
        <v>937</v>
      </c>
      <c r="AT2256" t="s">
        <v>58</v>
      </c>
    </row>
    <row r="2257" ht="29" spans="1:46">
      <c r="A2257" s="31" t="s">
        <v>98</v>
      </c>
      <c r="C2257" t="s">
        <v>3131</v>
      </c>
      <c r="D2257" s="5" t="s">
        <v>57</v>
      </c>
      <c r="E2257">
        <v>2035</v>
      </c>
      <c r="F2257" s="6" t="str">
        <f t="shared" si="282"/>
        <v>*0.96</v>
      </c>
      <c r="H2257" t="s">
        <v>3131</v>
      </c>
      <c r="I2257" s="5" t="s">
        <v>57</v>
      </c>
      <c r="J2257">
        <v>2050</v>
      </c>
      <c r="K2257" s="38" t="str">
        <f t="shared" si="283"/>
        <v>*0.94</v>
      </c>
      <c r="P2257" s="32" t="s">
        <v>3131</v>
      </c>
      <c r="Q2257" s="42" t="s">
        <v>57</v>
      </c>
      <c r="R2257" s="32">
        <v>2035</v>
      </c>
      <c r="S2257" s="43" t="str">
        <f t="shared" si="284"/>
        <v>*0.96</v>
      </c>
      <c r="U2257" s="32" t="s">
        <v>3131</v>
      </c>
      <c r="V2257" s="42" t="s">
        <v>57</v>
      </c>
      <c r="W2257" s="32">
        <v>2050</v>
      </c>
      <c r="X2257" s="43" t="str">
        <f t="shared" si="285"/>
        <v>*0.93</v>
      </c>
      <c r="AC2257" s="33" t="s">
        <v>3131</v>
      </c>
      <c r="AD2257" s="44" t="s">
        <v>57</v>
      </c>
      <c r="AE2257" s="33">
        <v>2035</v>
      </c>
      <c r="AF2257" s="45" t="str">
        <f t="shared" si="286"/>
        <v>*0.92</v>
      </c>
      <c r="AG2257" s="43" t="str">
        <f t="shared" si="288"/>
        <v>REZoning_Sol-Win</v>
      </c>
      <c r="AI2257" s="33" t="s">
        <v>3131</v>
      </c>
      <c r="AJ2257" s="44" t="s">
        <v>57</v>
      </c>
      <c r="AK2257" s="33">
        <v>2050</v>
      </c>
      <c r="AL2257" s="45" t="str">
        <f t="shared" si="287"/>
        <v>*0.89</v>
      </c>
      <c r="AM2257" s="43" t="str">
        <f t="shared" si="289"/>
        <v>REZoning_Sol-Win</v>
      </c>
      <c r="AP2257" t="s">
        <v>3131</v>
      </c>
      <c r="AQ2257" t="s">
        <v>57</v>
      </c>
      <c r="AR2257">
        <v>2100</v>
      </c>
      <c r="AS2257" t="s">
        <v>937</v>
      </c>
      <c r="AT2257" t="s">
        <v>58</v>
      </c>
    </row>
    <row r="2258" ht="29" spans="1:46">
      <c r="A2258" s="31" t="s">
        <v>98</v>
      </c>
      <c r="C2258" t="s">
        <v>3132</v>
      </c>
      <c r="D2258" s="5" t="s">
        <v>57</v>
      </c>
      <c r="E2258">
        <v>2035</v>
      </c>
      <c r="F2258" s="6" t="str">
        <f t="shared" si="282"/>
        <v>*0.96</v>
      </c>
      <c r="H2258" t="s">
        <v>3132</v>
      </c>
      <c r="I2258" s="5" t="s">
        <v>57</v>
      </c>
      <c r="J2258">
        <v>2050</v>
      </c>
      <c r="K2258" s="38" t="str">
        <f t="shared" si="283"/>
        <v>*0.94</v>
      </c>
      <c r="P2258" s="32" t="s">
        <v>3132</v>
      </c>
      <c r="Q2258" s="42" t="s">
        <v>57</v>
      </c>
      <c r="R2258" s="32">
        <v>2035</v>
      </c>
      <c r="S2258" s="43" t="str">
        <f t="shared" si="284"/>
        <v>*0.96</v>
      </c>
      <c r="U2258" s="32" t="s">
        <v>3132</v>
      </c>
      <c r="V2258" s="42" t="s">
        <v>57</v>
      </c>
      <c r="W2258" s="32">
        <v>2050</v>
      </c>
      <c r="X2258" s="43" t="str">
        <f t="shared" si="285"/>
        <v>*0.93</v>
      </c>
      <c r="AC2258" s="33" t="s">
        <v>3132</v>
      </c>
      <c r="AD2258" s="44" t="s">
        <v>57</v>
      </c>
      <c r="AE2258" s="33">
        <v>2035</v>
      </c>
      <c r="AF2258" s="45" t="str">
        <f t="shared" si="286"/>
        <v>*0.92</v>
      </c>
      <c r="AG2258" s="43" t="str">
        <f t="shared" si="288"/>
        <v>REZoning_Sol-Win</v>
      </c>
      <c r="AI2258" s="33" t="s">
        <v>3132</v>
      </c>
      <c r="AJ2258" s="44" t="s">
        <v>57</v>
      </c>
      <c r="AK2258" s="33">
        <v>2050</v>
      </c>
      <c r="AL2258" s="45" t="str">
        <f t="shared" si="287"/>
        <v>*0.89</v>
      </c>
      <c r="AM2258" s="43" t="str">
        <f t="shared" si="289"/>
        <v>REZoning_Sol-Win</v>
      </c>
      <c r="AP2258" t="s">
        <v>3132</v>
      </c>
      <c r="AQ2258" t="s">
        <v>57</v>
      </c>
      <c r="AR2258">
        <v>2100</v>
      </c>
      <c r="AS2258" t="s">
        <v>937</v>
      </c>
      <c r="AT2258" t="s">
        <v>58</v>
      </c>
    </row>
    <row r="2259" ht="29" spans="1:46">
      <c r="A2259" s="31" t="s">
        <v>98</v>
      </c>
      <c r="C2259" t="s">
        <v>3133</v>
      </c>
      <c r="D2259" s="5" t="s">
        <v>57</v>
      </c>
      <c r="E2259">
        <v>2035</v>
      </c>
      <c r="F2259" s="6" t="str">
        <f t="shared" si="282"/>
        <v>*0.96</v>
      </c>
      <c r="H2259" t="s">
        <v>3133</v>
      </c>
      <c r="I2259" s="5" t="s">
        <v>57</v>
      </c>
      <c r="J2259">
        <v>2050</v>
      </c>
      <c r="K2259" s="38" t="str">
        <f t="shared" si="283"/>
        <v>*0.94</v>
      </c>
      <c r="P2259" s="32" t="s">
        <v>3133</v>
      </c>
      <c r="Q2259" s="42" t="s">
        <v>57</v>
      </c>
      <c r="R2259" s="32">
        <v>2035</v>
      </c>
      <c r="S2259" s="43" t="str">
        <f t="shared" si="284"/>
        <v>*0.96</v>
      </c>
      <c r="U2259" s="32" t="s">
        <v>3133</v>
      </c>
      <c r="V2259" s="42" t="s">
        <v>57</v>
      </c>
      <c r="W2259" s="32">
        <v>2050</v>
      </c>
      <c r="X2259" s="43" t="str">
        <f t="shared" si="285"/>
        <v>*0.93</v>
      </c>
      <c r="AC2259" s="33" t="s">
        <v>3133</v>
      </c>
      <c r="AD2259" s="44" t="s">
        <v>57</v>
      </c>
      <c r="AE2259" s="33">
        <v>2035</v>
      </c>
      <c r="AF2259" s="45" t="str">
        <f t="shared" si="286"/>
        <v>*0.92</v>
      </c>
      <c r="AG2259" s="43" t="str">
        <f t="shared" si="288"/>
        <v>REZoning_Sol-Win</v>
      </c>
      <c r="AI2259" s="33" t="s">
        <v>3133</v>
      </c>
      <c r="AJ2259" s="44" t="s">
        <v>57</v>
      </c>
      <c r="AK2259" s="33">
        <v>2050</v>
      </c>
      <c r="AL2259" s="45" t="str">
        <f t="shared" si="287"/>
        <v>*0.89</v>
      </c>
      <c r="AM2259" s="43" t="str">
        <f t="shared" si="289"/>
        <v>REZoning_Sol-Win</v>
      </c>
      <c r="AP2259" t="s">
        <v>3133</v>
      </c>
      <c r="AQ2259" t="s">
        <v>57</v>
      </c>
      <c r="AR2259">
        <v>2100</v>
      </c>
      <c r="AS2259" t="s">
        <v>937</v>
      </c>
      <c r="AT2259" t="s">
        <v>58</v>
      </c>
    </row>
    <row r="2260" ht="29" spans="1:46">
      <c r="A2260" s="31" t="s">
        <v>98</v>
      </c>
      <c r="C2260" t="s">
        <v>3134</v>
      </c>
      <c r="D2260" s="5" t="s">
        <v>57</v>
      </c>
      <c r="E2260">
        <v>2035</v>
      </c>
      <c r="F2260" s="6" t="str">
        <f t="shared" si="282"/>
        <v>*0.96</v>
      </c>
      <c r="H2260" t="s">
        <v>3134</v>
      </c>
      <c r="I2260" s="5" t="s">
        <v>57</v>
      </c>
      <c r="J2260">
        <v>2050</v>
      </c>
      <c r="K2260" s="38" t="str">
        <f t="shared" si="283"/>
        <v>*0.94</v>
      </c>
      <c r="P2260" s="32" t="s">
        <v>3134</v>
      </c>
      <c r="Q2260" s="42" t="s">
        <v>57</v>
      </c>
      <c r="R2260" s="32">
        <v>2035</v>
      </c>
      <c r="S2260" s="43" t="str">
        <f t="shared" si="284"/>
        <v>*0.96</v>
      </c>
      <c r="U2260" s="32" t="s">
        <v>3134</v>
      </c>
      <c r="V2260" s="42" t="s">
        <v>57</v>
      </c>
      <c r="W2260" s="32">
        <v>2050</v>
      </c>
      <c r="X2260" s="43" t="str">
        <f t="shared" si="285"/>
        <v>*0.93</v>
      </c>
      <c r="AC2260" s="33" t="s">
        <v>3134</v>
      </c>
      <c r="AD2260" s="44" t="s">
        <v>57</v>
      </c>
      <c r="AE2260" s="33">
        <v>2035</v>
      </c>
      <c r="AF2260" s="45" t="str">
        <f t="shared" si="286"/>
        <v>*0.92</v>
      </c>
      <c r="AG2260" s="43" t="str">
        <f t="shared" si="288"/>
        <v>REZoning_Sol-Win</v>
      </c>
      <c r="AI2260" s="33" t="s">
        <v>3134</v>
      </c>
      <c r="AJ2260" s="44" t="s">
        <v>57</v>
      </c>
      <c r="AK2260" s="33">
        <v>2050</v>
      </c>
      <c r="AL2260" s="45" t="str">
        <f t="shared" si="287"/>
        <v>*0.89</v>
      </c>
      <c r="AM2260" s="43" t="str">
        <f t="shared" si="289"/>
        <v>REZoning_Sol-Win</v>
      </c>
      <c r="AP2260" t="s">
        <v>3134</v>
      </c>
      <c r="AQ2260" t="s">
        <v>57</v>
      </c>
      <c r="AR2260">
        <v>2100</v>
      </c>
      <c r="AS2260" t="s">
        <v>937</v>
      </c>
      <c r="AT2260" t="s">
        <v>58</v>
      </c>
    </row>
    <row r="2261" ht="29" spans="1:46">
      <c r="A2261" s="31" t="s">
        <v>98</v>
      </c>
      <c r="C2261" t="s">
        <v>3135</v>
      </c>
      <c r="D2261" s="5" t="s">
        <v>57</v>
      </c>
      <c r="E2261">
        <v>2035</v>
      </c>
      <c r="F2261" s="6" t="str">
        <f t="shared" si="282"/>
        <v>*0.96</v>
      </c>
      <c r="H2261" t="s">
        <v>3135</v>
      </c>
      <c r="I2261" s="5" t="s">
        <v>57</v>
      </c>
      <c r="J2261">
        <v>2050</v>
      </c>
      <c r="K2261" s="38" t="str">
        <f t="shared" si="283"/>
        <v>*0.94</v>
      </c>
      <c r="P2261" s="32" t="s">
        <v>3135</v>
      </c>
      <c r="Q2261" s="42" t="s">
        <v>57</v>
      </c>
      <c r="R2261" s="32">
        <v>2035</v>
      </c>
      <c r="S2261" s="43" t="str">
        <f t="shared" si="284"/>
        <v>*0.96</v>
      </c>
      <c r="U2261" s="32" t="s">
        <v>3135</v>
      </c>
      <c r="V2261" s="42" t="s">
        <v>57</v>
      </c>
      <c r="W2261" s="32">
        <v>2050</v>
      </c>
      <c r="X2261" s="43" t="str">
        <f t="shared" si="285"/>
        <v>*0.93</v>
      </c>
      <c r="AC2261" s="33" t="s">
        <v>3135</v>
      </c>
      <c r="AD2261" s="44" t="s">
        <v>57</v>
      </c>
      <c r="AE2261" s="33">
        <v>2035</v>
      </c>
      <c r="AF2261" s="45" t="str">
        <f t="shared" si="286"/>
        <v>*0.92</v>
      </c>
      <c r="AG2261" s="43" t="str">
        <f t="shared" si="288"/>
        <v>REZoning_Sol-Win</v>
      </c>
      <c r="AI2261" s="33" t="s">
        <v>3135</v>
      </c>
      <c r="AJ2261" s="44" t="s">
        <v>57</v>
      </c>
      <c r="AK2261" s="33">
        <v>2050</v>
      </c>
      <c r="AL2261" s="45" t="str">
        <f t="shared" si="287"/>
        <v>*0.89</v>
      </c>
      <c r="AM2261" s="43" t="str">
        <f t="shared" si="289"/>
        <v>REZoning_Sol-Win</v>
      </c>
      <c r="AP2261" t="s">
        <v>3135</v>
      </c>
      <c r="AQ2261" t="s">
        <v>57</v>
      </c>
      <c r="AR2261">
        <v>2100</v>
      </c>
      <c r="AS2261" t="s">
        <v>937</v>
      </c>
      <c r="AT2261" t="s">
        <v>58</v>
      </c>
    </row>
    <row r="2262" ht="29" spans="1:46">
      <c r="A2262" s="31" t="s">
        <v>98</v>
      </c>
      <c r="C2262" t="s">
        <v>3136</v>
      </c>
      <c r="D2262" s="5" t="s">
        <v>57</v>
      </c>
      <c r="E2262">
        <v>2035</v>
      </c>
      <c r="F2262" s="6" t="str">
        <f t="shared" si="282"/>
        <v>*0.96</v>
      </c>
      <c r="H2262" t="s">
        <v>3136</v>
      </c>
      <c r="I2262" s="5" t="s">
        <v>57</v>
      </c>
      <c r="J2262">
        <v>2050</v>
      </c>
      <c r="K2262" s="38" t="str">
        <f t="shared" si="283"/>
        <v>*0.94</v>
      </c>
      <c r="P2262" s="32" t="s">
        <v>3136</v>
      </c>
      <c r="Q2262" s="42" t="s">
        <v>57</v>
      </c>
      <c r="R2262" s="32">
        <v>2035</v>
      </c>
      <c r="S2262" s="43" t="str">
        <f t="shared" si="284"/>
        <v>*0.96</v>
      </c>
      <c r="U2262" s="32" t="s">
        <v>3136</v>
      </c>
      <c r="V2262" s="42" t="s">
        <v>57</v>
      </c>
      <c r="W2262" s="32">
        <v>2050</v>
      </c>
      <c r="X2262" s="43" t="str">
        <f t="shared" si="285"/>
        <v>*0.93</v>
      </c>
      <c r="AC2262" s="33" t="s">
        <v>3136</v>
      </c>
      <c r="AD2262" s="44" t="s">
        <v>57</v>
      </c>
      <c r="AE2262" s="33">
        <v>2035</v>
      </c>
      <c r="AF2262" s="45" t="str">
        <f t="shared" si="286"/>
        <v>*0.92</v>
      </c>
      <c r="AG2262" s="43" t="str">
        <f t="shared" si="288"/>
        <v>REZoning_Sol-Win</v>
      </c>
      <c r="AI2262" s="33" t="s">
        <v>3136</v>
      </c>
      <c r="AJ2262" s="44" t="s">
        <v>57</v>
      </c>
      <c r="AK2262" s="33">
        <v>2050</v>
      </c>
      <c r="AL2262" s="45" t="str">
        <f t="shared" si="287"/>
        <v>*0.89</v>
      </c>
      <c r="AM2262" s="43" t="str">
        <f t="shared" si="289"/>
        <v>REZoning_Sol-Win</v>
      </c>
      <c r="AP2262" t="s">
        <v>3136</v>
      </c>
      <c r="AQ2262" t="s">
        <v>57</v>
      </c>
      <c r="AR2262">
        <v>2100</v>
      </c>
      <c r="AS2262" t="s">
        <v>937</v>
      </c>
      <c r="AT2262" t="s">
        <v>58</v>
      </c>
    </row>
    <row r="2263" ht="29" spans="1:46">
      <c r="A2263" s="31" t="s">
        <v>98</v>
      </c>
      <c r="C2263" t="s">
        <v>3137</v>
      </c>
      <c r="D2263" s="5" t="s">
        <v>57</v>
      </c>
      <c r="E2263">
        <v>2035</v>
      </c>
      <c r="F2263" s="6" t="str">
        <f t="shared" si="282"/>
        <v>*0.96</v>
      </c>
      <c r="H2263" t="s">
        <v>3137</v>
      </c>
      <c r="I2263" s="5" t="s">
        <v>57</v>
      </c>
      <c r="J2263">
        <v>2050</v>
      </c>
      <c r="K2263" s="38" t="str">
        <f t="shared" si="283"/>
        <v>*0.94</v>
      </c>
      <c r="P2263" s="32" t="s">
        <v>3137</v>
      </c>
      <c r="Q2263" s="42" t="s">
        <v>57</v>
      </c>
      <c r="R2263" s="32">
        <v>2035</v>
      </c>
      <c r="S2263" s="43" t="str">
        <f t="shared" si="284"/>
        <v>*0.96</v>
      </c>
      <c r="U2263" s="32" t="s">
        <v>3137</v>
      </c>
      <c r="V2263" s="42" t="s">
        <v>57</v>
      </c>
      <c r="W2263" s="32">
        <v>2050</v>
      </c>
      <c r="X2263" s="43" t="str">
        <f t="shared" si="285"/>
        <v>*0.93</v>
      </c>
      <c r="AC2263" s="33" t="s">
        <v>3137</v>
      </c>
      <c r="AD2263" s="44" t="s">
        <v>57</v>
      </c>
      <c r="AE2263" s="33">
        <v>2035</v>
      </c>
      <c r="AF2263" s="45" t="str">
        <f t="shared" si="286"/>
        <v>*0.92</v>
      </c>
      <c r="AG2263" s="43" t="str">
        <f t="shared" si="288"/>
        <v>REZoning_Sol-Win</v>
      </c>
      <c r="AI2263" s="33" t="s">
        <v>3137</v>
      </c>
      <c r="AJ2263" s="44" t="s">
        <v>57</v>
      </c>
      <c r="AK2263" s="33">
        <v>2050</v>
      </c>
      <c r="AL2263" s="45" t="str">
        <f t="shared" si="287"/>
        <v>*0.89</v>
      </c>
      <c r="AM2263" s="43" t="str">
        <f t="shared" si="289"/>
        <v>REZoning_Sol-Win</v>
      </c>
      <c r="AP2263" t="s">
        <v>3137</v>
      </c>
      <c r="AQ2263" t="s">
        <v>57</v>
      </c>
      <c r="AR2263">
        <v>2100</v>
      </c>
      <c r="AS2263" t="s">
        <v>937</v>
      </c>
      <c r="AT2263" t="s">
        <v>58</v>
      </c>
    </row>
    <row r="2264" ht="29" spans="1:46">
      <c r="A2264" s="31" t="s">
        <v>98</v>
      </c>
      <c r="C2264" t="s">
        <v>3138</v>
      </c>
      <c r="D2264" s="5" t="s">
        <v>57</v>
      </c>
      <c r="E2264">
        <v>2035</v>
      </c>
      <c r="F2264" s="6" t="str">
        <f t="shared" si="282"/>
        <v>*0.96</v>
      </c>
      <c r="H2264" t="s">
        <v>3138</v>
      </c>
      <c r="I2264" s="5" t="s">
        <v>57</v>
      </c>
      <c r="J2264">
        <v>2050</v>
      </c>
      <c r="K2264" s="38" t="str">
        <f t="shared" si="283"/>
        <v>*0.94</v>
      </c>
      <c r="P2264" s="32" t="s">
        <v>3138</v>
      </c>
      <c r="Q2264" s="42" t="s">
        <v>57</v>
      </c>
      <c r="R2264" s="32">
        <v>2035</v>
      </c>
      <c r="S2264" s="43" t="str">
        <f t="shared" si="284"/>
        <v>*0.96</v>
      </c>
      <c r="U2264" s="32" t="s">
        <v>3138</v>
      </c>
      <c r="V2264" s="42" t="s">
        <v>57</v>
      </c>
      <c r="W2264" s="32">
        <v>2050</v>
      </c>
      <c r="X2264" s="43" t="str">
        <f t="shared" si="285"/>
        <v>*0.93</v>
      </c>
      <c r="AC2264" s="33" t="s">
        <v>3138</v>
      </c>
      <c r="AD2264" s="44" t="s">
        <v>57</v>
      </c>
      <c r="AE2264" s="33">
        <v>2035</v>
      </c>
      <c r="AF2264" s="45" t="str">
        <f t="shared" si="286"/>
        <v>*0.92</v>
      </c>
      <c r="AG2264" s="43" t="str">
        <f t="shared" si="288"/>
        <v>REZoning_Sol-Win</v>
      </c>
      <c r="AI2264" s="33" t="s">
        <v>3138</v>
      </c>
      <c r="AJ2264" s="44" t="s">
        <v>57</v>
      </c>
      <c r="AK2264" s="33">
        <v>2050</v>
      </c>
      <c r="AL2264" s="45" t="str">
        <f t="shared" si="287"/>
        <v>*0.89</v>
      </c>
      <c r="AM2264" s="43" t="str">
        <f t="shared" si="289"/>
        <v>REZoning_Sol-Win</v>
      </c>
      <c r="AP2264" t="s">
        <v>3138</v>
      </c>
      <c r="AQ2264" t="s">
        <v>57</v>
      </c>
      <c r="AR2264">
        <v>2100</v>
      </c>
      <c r="AS2264" t="s">
        <v>937</v>
      </c>
      <c r="AT2264" t="s">
        <v>58</v>
      </c>
    </row>
    <row r="2265" ht="29" spans="1:46">
      <c r="A2265" s="31" t="s">
        <v>98</v>
      </c>
      <c r="C2265" t="s">
        <v>3139</v>
      </c>
      <c r="D2265" s="5" t="s">
        <v>57</v>
      </c>
      <c r="E2265">
        <v>2035</v>
      </c>
      <c r="F2265" s="6" t="str">
        <f t="shared" si="282"/>
        <v>*0.96</v>
      </c>
      <c r="H2265" t="s">
        <v>3139</v>
      </c>
      <c r="I2265" s="5" t="s">
        <v>57</v>
      </c>
      <c r="J2265">
        <v>2050</v>
      </c>
      <c r="K2265" s="38" t="str">
        <f t="shared" si="283"/>
        <v>*0.94</v>
      </c>
      <c r="P2265" s="32" t="s">
        <v>3139</v>
      </c>
      <c r="Q2265" s="42" t="s">
        <v>57</v>
      </c>
      <c r="R2265" s="32">
        <v>2035</v>
      </c>
      <c r="S2265" s="43" t="str">
        <f t="shared" si="284"/>
        <v>*0.96</v>
      </c>
      <c r="U2265" s="32" t="s">
        <v>3139</v>
      </c>
      <c r="V2265" s="42" t="s">
        <v>57</v>
      </c>
      <c r="W2265" s="32">
        <v>2050</v>
      </c>
      <c r="X2265" s="43" t="str">
        <f t="shared" si="285"/>
        <v>*0.93</v>
      </c>
      <c r="AC2265" s="33" t="s">
        <v>3139</v>
      </c>
      <c r="AD2265" s="44" t="s">
        <v>57</v>
      </c>
      <c r="AE2265" s="33">
        <v>2035</v>
      </c>
      <c r="AF2265" s="45" t="str">
        <f t="shared" si="286"/>
        <v>*0.92</v>
      </c>
      <c r="AG2265" s="43" t="str">
        <f t="shared" si="288"/>
        <v>REZoning_Sol-Win</v>
      </c>
      <c r="AI2265" s="33" t="s">
        <v>3139</v>
      </c>
      <c r="AJ2265" s="44" t="s">
        <v>57</v>
      </c>
      <c r="AK2265" s="33">
        <v>2050</v>
      </c>
      <c r="AL2265" s="45" t="str">
        <f t="shared" si="287"/>
        <v>*0.89</v>
      </c>
      <c r="AM2265" s="43" t="str">
        <f t="shared" si="289"/>
        <v>REZoning_Sol-Win</v>
      </c>
      <c r="AP2265" t="s">
        <v>3139</v>
      </c>
      <c r="AQ2265" t="s">
        <v>57</v>
      </c>
      <c r="AR2265">
        <v>2100</v>
      </c>
      <c r="AS2265" t="s">
        <v>937</v>
      </c>
      <c r="AT2265" t="s">
        <v>58</v>
      </c>
    </row>
    <row r="2266" ht="29" spans="1:46">
      <c r="A2266" s="31" t="s">
        <v>98</v>
      </c>
      <c r="C2266" t="s">
        <v>3140</v>
      </c>
      <c r="D2266" s="5" t="s">
        <v>57</v>
      </c>
      <c r="E2266">
        <v>2035</v>
      </c>
      <c r="F2266" s="6" t="str">
        <f t="shared" si="282"/>
        <v>*0.96</v>
      </c>
      <c r="H2266" t="s">
        <v>3140</v>
      </c>
      <c r="I2266" s="5" t="s">
        <v>57</v>
      </c>
      <c r="J2266">
        <v>2050</v>
      </c>
      <c r="K2266" s="38" t="str">
        <f t="shared" si="283"/>
        <v>*0.94</v>
      </c>
      <c r="P2266" s="32" t="s">
        <v>3140</v>
      </c>
      <c r="Q2266" s="42" t="s">
        <v>57</v>
      </c>
      <c r="R2266" s="32">
        <v>2035</v>
      </c>
      <c r="S2266" s="43" t="str">
        <f t="shared" si="284"/>
        <v>*0.96</v>
      </c>
      <c r="U2266" s="32" t="s">
        <v>3140</v>
      </c>
      <c r="V2266" s="42" t="s">
        <v>57</v>
      </c>
      <c r="W2266" s="32">
        <v>2050</v>
      </c>
      <c r="X2266" s="43" t="str">
        <f t="shared" si="285"/>
        <v>*0.93</v>
      </c>
      <c r="AC2266" s="33" t="s">
        <v>3140</v>
      </c>
      <c r="AD2266" s="44" t="s">
        <v>57</v>
      </c>
      <c r="AE2266" s="33">
        <v>2035</v>
      </c>
      <c r="AF2266" s="45" t="str">
        <f t="shared" si="286"/>
        <v>*0.92</v>
      </c>
      <c r="AG2266" s="43" t="str">
        <f t="shared" si="288"/>
        <v>REZoning_Sol-Win</v>
      </c>
      <c r="AI2266" s="33" t="s">
        <v>3140</v>
      </c>
      <c r="AJ2266" s="44" t="s">
        <v>57</v>
      </c>
      <c r="AK2266" s="33">
        <v>2050</v>
      </c>
      <c r="AL2266" s="45" t="str">
        <f t="shared" si="287"/>
        <v>*0.89</v>
      </c>
      <c r="AM2266" s="43" t="str">
        <f t="shared" si="289"/>
        <v>REZoning_Sol-Win</v>
      </c>
      <c r="AP2266" t="s">
        <v>3140</v>
      </c>
      <c r="AQ2266" t="s">
        <v>57</v>
      </c>
      <c r="AR2266">
        <v>2100</v>
      </c>
      <c r="AS2266" t="s">
        <v>937</v>
      </c>
      <c r="AT2266" t="s">
        <v>58</v>
      </c>
    </row>
    <row r="2267" ht="29" spans="1:46">
      <c r="A2267" s="31" t="s">
        <v>98</v>
      </c>
      <c r="C2267" t="s">
        <v>3141</v>
      </c>
      <c r="D2267" s="5" t="s">
        <v>57</v>
      </c>
      <c r="E2267">
        <v>2035</v>
      </c>
      <c r="F2267" s="6" t="str">
        <f t="shared" si="282"/>
        <v>*0.96</v>
      </c>
      <c r="H2267" t="s">
        <v>3141</v>
      </c>
      <c r="I2267" s="5" t="s">
        <v>57</v>
      </c>
      <c r="J2267">
        <v>2050</v>
      </c>
      <c r="K2267" s="38" t="str">
        <f t="shared" si="283"/>
        <v>*0.94</v>
      </c>
      <c r="P2267" s="32" t="s">
        <v>3141</v>
      </c>
      <c r="Q2267" s="42" t="s">
        <v>57</v>
      </c>
      <c r="R2267" s="32">
        <v>2035</v>
      </c>
      <c r="S2267" s="43" t="str">
        <f t="shared" si="284"/>
        <v>*0.96</v>
      </c>
      <c r="U2267" s="32" t="s">
        <v>3141</v>
      </c>
      <c r="V2267" s="42" t="s">
        <v>57</v>
      </c>
      <c r="W2267" s="32">
        <v>2050</v>
      </c>
      <c r="X2267" s="43" t="str">
        <f t="shared" si="285"/>
        <v>*0.93</v>
      </c>
      <c r="AC2267" s="33" t="s">
        <v>3141</v>
      </c>
      <c r="AD2267" s="44" t="s">
        <v>57</v>
      </c>
      <c r="AE2267" s="33">
        <v>2035</v>
      </c>
      <c r="AF2267" s="45" t="str">
        <f t="shared" si="286"/>
        <v>*0.92</v>
      </c>
      <c r="AG2267" s="43" t="str">
        <f t="shared" si="288"/>
        <v>REZoning_Sol-Win</v>
      </c>
      <c r="AI2267" s="33" t="s">
        <v>3141</v>
      </c>
      <c r="AJ2267" s="44" t="s">
        <v>57</v>
      </c>
      <c r="AK2267" s="33">
        <v>2050</v>
      </c>
      <c r="AL2267" s="45" t="str">
        <f t="shared" si="287"/>
        <v>*0.89</v>
      </c>
      <c r="AM2267" s="43" t="str">
        <f t="shared" si="289"/>
        <v>REZoning_Sol-Win</v>
      </c>
      <c r="AP2267" t="s">
        <v>3141</v>
      </c>
      <c r="AQ2267" t="s">
        <v>57</v>
      </c>
      <c r="AR2267">
        <v>2100</v>
      </c>
      <c r="AS2267" t="s">
        <v>937</v>
      </c>
      <c r="AT2267" t="s">
        <v>58</v>
      </c>
    </row>
    <row r="2268" ht="29" spans="1:46">
      <c r="A2268" s="31" t="s">
        <v>98</v>
      </c>
      <c r="C2268" t="s">
        <v>3142</v>
      </c>
      <c r="D2268" s="5" t="s">
        <v>57</v>
      </c>
      <c r="E2268">
        <v>2035</v>
      </c>
      <c r="F2268" s="6" t="str">
        <f t="shared" si="282"/>
        <v>*0.96</v>
      </c>
      <c r="H2268" t="s">
        <v>3142</v>
      </c>
      <c r="I2268" s="5" t="s">
        <v>57</v>
      </c>
      <c r="J2268">
        <v>2050</v>
      </c>
      <c r="K2268" s="38" t="str">
        <f t="shared" si="283"/>
        <v>*0.94</v>
      </c>
      <c r="P2268" s="32" t="s">
        <v>3142</v>
      </c>
      <c r="Q2268" s="42" t="s">
        <v>57</v>
      </c>
      <c r="R2268" s="32">
        <v>2035</v>
      </c>
      <c r="S2268" s="43" t="str">
        <f t="shared" si="284"/>
        <v>*0.96</v>
      </c>
      <c r="U2268" s="32" t="s">
        <v>3142</v>
      </c>
      <c r="V2268" s="42" t="s">
        <v>57</v>
      </c>
      <c r="W2268" s="32">
        <v>2050</v>
      </c>
      <c r="X2268" s="43" t="str">
        <f t="shared" si="285"/>
        <v>*0.93</v>
      </c>
      <c r="AC2268" s="33" t="s">
        <v>3142</v>
      </c>
      <c r="AD2268" s="44" t="s">
        <v>57</v>
      </c>
      <c r="AE2268" s="33">
        <v>2035</v>
      </c>
      <c r="AF2268" s="45" t="str">
        <f t="shared" si="286"/>
        <v>*0.92</v>
      </c>
      <c r="AG2268" s="43" t="str">
        <f t="shared" si="288"/>
        <v>REZoning_Sol-Win</v>
      </c>
      <c r="AI2268" s="33" t="s">
        <v>3142</v>
      </c>
      <c r="AJ2268" s="44" t="s">
        <v>57</v>
      </c>
      <c r="AK2268" s="33">
        <v>2050</v>
      </c>
      <c r="AL2268" s="45" t="str">
        <f t="shared" si="287"/>
        <v>*0.89</v>
      </c>
      <c r="AM2268" s="43" t="str">
        <f t="shared" si="289"/>
        <v>REZoning_Sol-Win</v>
      </c>
      <c r="AP2268" t="s">
        <v>3142</v>
      </c>
      <c r="AQ2268" t="s">
        <v>57</v>
      </c>
      <c r="AR2268">
        <v>2100</v>
      </c>
      <c r="AS2268" t="s">
        <v>937</v>
      </c>
      <c r="AT2268" t="s">
        <v>58</v>
      </c>
    </row>
    <row r="2269" ht="29" spans="1:46">
      <c r="A2269" s="31" t="s">
        <v>98</v>
      </c>
      <c r="C2269" t="s">
        <v>3143</v>
      </c>
      <c r="D2269" s="5" t="s">
        <v>57</v>
      </c>
      <c r="E2269">
        <v>2035</v>
      </c>
      <c r="F2269" s="6" t="str">
        <f t="shared" si="282"/>
        <v>*0.96</v>
      </c>
      <c r="H2269" t="s">
        <v>3143</v>
      </c>
      <c r="I2269" s="5" t="s">
        <v>57</v>
      </c>
      <c r="J2269">
        <v>2050</v>
      </c>
      <c r="K2269" s="38" t="str">
        <f t="shared" si="283"/>
        <v>*0.94</v>
      </c>
      <c r="P2269" s="32" t="s">
        <v>3143</v>
      </c>
      <c r="Q2269" s="42" t="s">
        <v>57</v>
      </c>
      <c r="R2269" s="32">
        <v>2035</v>
      </c>
      <c r="S2269" s="43" t="str">
        <f t="shared" si="284"/>
        <v>*0.96</v>
      </c>
      <c r="U2269" s="32" t="s">
        <v>3143</v>
      </c>
      <c r="V2269" s="42" t="s">
        <v>57</v>
      </c>
      <c r="W2269" s="32">
        <v>2050</v>
      </c>
      <c r="X2269" s="43" t="str">
        <f t="shared" si="285"/>
        <v>*0.93</v>
      </c>
      <c r="AC2269" s="33" t="s">
        <v>3143</v>
      </c>
      <c r="AD2269" s="44" t="s">
        <v>57</v>
      </c>
      <c r="AE2269" s="33">
        <v>2035</v>
      </c>
      <c r="AF2269" s="45" t="str">
        <f t="shared" si="286"/>
        <v>*0.92</v>
      </c>
      <c r="AG2269" s="43" t="str">
        <f t="shared" si="288"/>
        <v>REZoning_Sol-Win</v>
      </c>
      <c r="AI2269" s="33" t="s">
        <v>3143</v>
      </c>
      <c r="AJ2269" s="44" t="s">
        <v>57</v>
      </c>
      <c r="AK2269" s="33">
        <v>2050</v>
      </c>
      <c r="AL2269" s="45" t="str">
        <f t="shared" si="287"/>
        <v>*0.89</v>
      </c>
      <c r="AM2269" s="43" t="str">
        <f t="shared" si="289"/>
        <v>REZoning_Sol-Win</v>
      </c>
      <c r="AP2269" t="s">
        <v>3143</v>
      </c>
      <c r="AQ2269" t="s">
        <v>57</v>
      </c>
      <c r="AR2269">
        <v>2100</v>
      </c>
      <c r="AS2269" t="s">
        <v>937</v>
      </c>
      <c r="AT2269" t="s">
        <v>58</v>
      </c>
    </row>
    <row r="2270" ht="29" spans="1:46">
      <c r="A2270" s="31" t="s">
        <v>98</v>
      </c>
      <c r="C2270" t="s">
        <v>3144</v>
      </c>
      <c r="D2270" s="5" t="s">
        <v>57</v>
      </c>
      <c r="E2270">
        <v>2035</v>
      </c>
      <c r="F2270" s="6" t="str">
        <f t="shared" si="282"/>
        <v>*0.96</v>
      </c>
      <c r="H2270" t="s">
        <v>3144</v>
      </c>
      <c r="I2270" s="5" t="s">
        <v>57</v>
      </c>
      <c r="J2270">
        <v>2050</v>
      </c>
      <c r="K2270" s="38" t="str">
        <f t="shared" si="283"/>
        <v>*0.94</v>
      </c>
      <c r="P2270" s="32" t="s">
        <v>3144</v>
      </c>
      <c r="Q2270" s="42" t="s">
        <v>57</v>
      </c>
      <c r="R2270" s="32">
        <v>2035</v>
      </c>
      <c r="S2270" s="43" t="str">
        <f t="shared" si="284"/>
        <v>*0.96</v>
      </c>
      <c r="U2270" s="32" t="s">
        <v>3144</v>
      </c>
      <c r="V2270" s="42" t="s">
        <v>57</v>
      </c>
      <c r="W2270" s="32">
        <v>2050</v>
      </c>
      <c r="X2270" s="43" t="str">
        <f t="shared" si="285"/>
        <v>*0.93</v>
      </c>
      <c r="AC2270" s="33" t="s">
        <v>3144</v>
      </c>
      <c r="AD2270" s="44" t="s">
        <v>57</v>
      </c>
      <c r="AE2270" s="33">
        <v>2035</v>
      </c>
      <c r="AF2270" s="45" t="str">
        <f t="shared" si="286"/>
        <v>*0.92</v>
      </c>
      <c r="AG2270" s="43" t="str">
        <f t="shared" si="288"/>
        <v>REZoning_Sol-Win</v>
      </c>
      <c r="AI2270" s="33" t="s">
        <v>3144</v>
      </c>
      <c r="AJ2270" s="44" t="s">
        <v>57</v>
      </c>
      <c r="AK2270" s="33">
        <v>2050</v>
      </c>
      <c r="AL2270" s="45" t="str">
        <f t="shared" si="287"/>
        <v>*0.89</v>
      </c>
      <c r="AM2270" s="43" t="str">
        <f t="shared" si="289"/>
        <v>REZoning_Sol-Win</v>
      </c>
      <c r="AP2270" t="s">
        <v>3144</v>
      </c>
      <c r="AQ2270" t="s">
        <v>57</v>
      </c>
      <c r="AR2270">
        <v>2100</v>
      </c>
      <c r="AS2270" t="s">
        <v>937</v>
      </c>
      <c r="AT2270" t="s">
        <v>58</v>
      </c>
    </row>
    <row r="2271" ht="29" spans="1:46">
      <c r="A2271" s="31" t="s">
        <v>98</v>
      </c>
      <c r="C2271" t="s">
        <v>3145</v>
      </c>
      <c r="D2271" s="5" t="s">
        <v>57</v>
      </c>
      <c r="E2271">
        <v>2035</v>
      </c>
      <c r="F2271" s="6" t="str">
        <f t="shared" si="282"/>
        <v>*0.96</v>
      </c>
      <c r="H2271" t="s">
        <v>3145</v>
      </c>
      <c r="I2271" s="5" t="s">
        <v>57</v>
      </c>
      <c r="J2271">
        <v>2050</v>
      </c>
      <c r="K2271" s="38" t="str">
        <f t="shared" si="283"/>
        <v>*0.94</v>
      </c>
      <c r="P2271" s="32" t="s">
        <v>3145</v>
      </c>
      <c r="Q2271" s="42" t="s">
        <v>57</v>
      </c>
      <c r="R2271" s="32">
        <v>2035</v>
      </c>
      <c r="S2271" s="43" t="str">
        <f t="shared" si="284"/>
        <v>*0.96</v>
      </c>
      <c r="U2271" s="32" t="s">
        <v>3145</v>
      </c>
      <c r="V2271" s="42" t="s">
        <v>57</v>
      </c>
      <c r="W2271" s="32">
        <v>2050</v>
      </c>
      <c r="X2271" s="43" t="str">
        <f t="shared" si="285"/>
        <v>*0.93</v>
      </c>
      <c r="AC2271" s="33" t="s">
        <v>3145</v>
      </c>
      <c r="AD2271" s="44" t="s">
        <v>57</v>
      </c>
      <c r="AE2271" s="33">
        <v>2035</v>
      </c>
      <c r="AF2271" s="45" t="str">
        <f t="shared" si="286"/>
        <v>*0.92</v>
      </c>
      <c r="AG2271" s="43" t="str">
        <f t="shared" si="288"/>
        <v>REZoning_Sol-Win</v>
      </c>
      <c r="AI2271" s="33" t="s">
        <v>3145</v>
      </c>
      <c r="AJ2271" s="44" t="s">
        <v>57</v>
      </c>
      <c r="AK2271" s="33">
        <v>2050</v>
      </c>
      <c r="AL2271" s="45" t="str">
        <f t="shared" si="287"/>
        <v>*0.89</v>
      </c>
      <c r="AM2271" s="43" t="str">
        <f t="shared" si="289"/>
        <v>REZoning_Sol-Win</v>
      </c>
      <c r="AP2271" t="s">
        <v>3145</v>
      </c>
      <c r="AQ2271" t="s">
        <v>57</v>
      </c>
      <c r="AR2271">
        <v>2100</v>
      </c>
      <c r="AS2271" t="s">
        <v>937</v>
      </c>
      <c r="AT2271" t="s">
        <v>58</v>
      </c>
    </row>
    <row r="2272" ht="29" spans="1:46">
      <c r="A2272" s="31" t="s">
        <v>98</v>
      </c>
      <c r="C2272" t="s">
        <v>3146</v>
      </c>
      <c r="D2272" s="5" t="s">
        <v>57</v>
      </c>
      <c r="E2272">
        <v>2035</v>
      </c>
      <c r="F2272" s="6" t="str">
        <f t="shared" si="282"/>
        <v>*0.96</v>
      </c>
      <c r="H2272" t="s">
        <v>3146</v>
      </c>
      <c r="I2272" s="5" t="s">
        <v>57</v>
      </c>
      <c r="J2272">
        <v>2050</v>
      </c>
      <c r="K2272" s="38" t="str">
        <f t="shared" si="283"/>
        <v>*0.94</v>
      </c>
      <c r="P2272" s="32" t="s">
        <v>3146</v>
      </c>
      <c r="Q2272" s="42" t="s">
        <v>57</v>
      </c>
      <c r="R2272" s="32">
        <v>2035</v>
      </c>
      <c r="S2272" s="43" t="str">
        <f t="shared" si="284"/>
        <v>*0.96</v>
      </c>
      <c r="U2272" s="32" t="s">
        <v>3146</v>
      </c>
      <c r="V2272" s="42" t="s">
        <v>57</v>
      </c>
      <c r="W2272" s="32">
        <v>2050</v>
      </c>
      <c r="X2272" s="43" t="str">
        <f t="shared" si="285"/>
        <v>*0.93</v>
      </c>
      <c r="AC2272" s="33" t="s">
        <v>3146</v>
      </c>
      <c r="AD2272" s="44" t="s">
        <v>57</v>
      </c>
      <c r="AE2272" s="33">
        <v>2035</v>
      </c>
      <c r="AF2272" s="45" t="str">
        <f t="shared" si="286"/>
        <v>*0.92</v>
      </c>
      <c r="AG2272" s="43" t="str">
        <f t="shared" si="288"/>
        <v>REZoning_Sol-Win</v>
      </c>
      <c r="AI2272" s="33" t="s">
        <v>3146</v>
      </c>
      <c r="AJ2272" s="44" t="s">
        <v>57</v>
      </c>
      <c r="AK2272" s="33">
        <v>2050</v>
      </c>
      <c r="AL2272" s="45" t="str">
        <f t="shared" si="287"/>
        <v>*0.89</v>
      </c>
      <c r="AM2272" s="43" t="str">
        <f t="shared" si="289"/>
        <v>REZoning_Sol-Win</v>
      </c>
      <c r="AP2272" t="s">
        <v>3146</v>
      </c>
      <c r="AQ2272" t="s">
        <v>57</v>
      </c>
      <c r="AR2272">
        <v>2100</v>
      </c>
      <c r="AS2272" t="s">
        <v>937</v>
      </c>
      <c r="AT2272" t="s">
        <v>58</v>
      </c>
    </row>
    <row r="2273" ht="29" spans="1:46">
      <c r="A2273" s="31" t="s">
        <v>98</v>
      </c>
      <c r="C2273" t="s">
        <v>3147</v>
      </c>
      <c r="D2273" s="5" t="s">
        <v>57</v>
      </c>
      <c r="E2273">
        <v>2035</v>
      </c>
      <c r="F2273" s="6" t="str">
        <f t="shared" si="282"/>
        <v>*0.96</v>
      </c>
      <c r="H2273" t="s">
        <v>3147</v>
      </c>
      <c r="I2273" s="5" t="s">
        <v>57</v>
      </c>
      <c r="J2273">
        <v>2050</v>
      </c>
      <c r="K2273" s="38" t="str">
        <f t="shared" si="283"/>
        <v>*0.94</v>
      </c>
      <c r="P2273" s="32" t="s">
        <v>3147</v>
      </c>
      <c r="Q2273" s="42" t="s">
        <v>57</v>
      </c>
      <c r="R2273" s="32">
        <v>2035</v>
      </c>
      <c r="S2273" s="43" t="str">
        <f t="shared" si="284"/>
        <v>*0.96</v>
      </c>
      <c r="U2273" s="32" t="s">
        <v>3147</v>
      </c>
      <c r="V2273" s="42" t="s">
        <v>57</v>
      </c>
      <c r="W2273" s="32">
        <v>2050</v>
      </c>
      <c r="X2273" s="43" t="str">
        <f t="shared" si="285"/>
        <v>*0.93</v>
      </c>
      <c r="AC2273" s="33" t="s">
        <v>3147</v>
      </c>
      <c r="AD2273" s="44" t="s">
        <v>57</v>
      </c>
      <c r="AE2273" s="33">
        <v>2035</v>
      </c>
      <c r="AF2273" s="45" t="str">
        <f t="shared" si="286"/>
        <v>*0.92</v>
      </c>
      <c r="AG2273" s="43" t="str">
        <f t="shared" si="288"/>
        <v>REZoning_Sol-Win</v>
      </c>
      <c r="AI2273" s="33" t="s">
        <v>3147</v>
      </c>
      <c r="AJ2273" s="44" t="s">
        <v>57</v>
      </c>
      <c r="AK2273" s="33">
        <v>2050</v>
      </c>
      <c r="AL2273" s="45" t="str">
        <f t="shared" si="287"/>
        <v>*0.89</v>
      </c>
      <c r="AM2273" s="43" t="str">
        <f t="shared" si="289"/>
        <v>REZoning_Sol-Win</v>
      </c>
      <c r="AP2273" t="s">
        <v>3147</v>
      </c>
      <c r="AQ2273" t="s">
        <v>57</v>
      </c>
      <c r="AR2273">
        <v>2100</v>
      </c>
      <c r="AS2273" t="s">
        <v>937</v>
      </c>
      <c r="AT2273" t="s">
        <v>58</v>
      </c>
    </row>
    <row r="2274" ht="29" spans="1:46">
      <c r="A2274" s="31" t="s">
        <v>98</v>
      </c>
      <c r="C2274" t="s">
        <v>3148</v>
      </c>
      <c r="D2274" s="5" t="s">
        <v>57</v>
      </c>
      <c r="E2274">
        <v>2035</v>
      </c>
      <c r="F2274" s="6" t="str">
        <f t="shared" si="282"/>
        <v>*0.96</v>
      </c>
      <c r="H2274" t="s">
        <v>3148</v>
      </c>
      <c r="I2274" s="5" t="s">
        <v>57</v>
      </c>
      <c r="J2274">
        <v>2050</v>
      </c>
      <c r="K2274" s="38" t="str">
        <f t="shared" si="283"/>
        <v>*0.94</v>
      </c>
      <c r="P2274" s="32" t="s">
        <v>3148</v>
      </c>
      <c r="Q2274" s="42" t="s">
        <v>57</v>
      </c>
      <c r="R2274" s="32">
        <v>2035</v>
      </c>
      <c r="S2274" s="43" t="str">
        <f t="shared" si="284"/>
        <v>*0.96</v>
      </c>
      <c r="U2274" s="32" t="s">
        <v>3148</v>
      </c>
      <c r="V2274" s="42" t="s">
        <v>57</v>
      </c>
      <c r="W2274" s="32">
        <v>2050</v>
      </c>
      <c r="X2274" s="43" t="str">
        <f t="shared" si="285"/>
        <v>*0.93</v>
      </c>
      <c r="AC2274" s="33" t="s">
        <v>3148</v>
      </c>
      <c r="AD2274" s="44" t="s">
        <v>57</v>
      </c>
      <c r="AE2274" s="33">
        <v>2035</v>
      </c>
      <c r="AF2274" s="45" t="str">
        <f t="shared" si="286"/>
        <v>*0.92</v>
      </c>
      <c r="AG2274" s="43" t="str">
        <f t="shared" si="288"/>
        <v>REZoning_Sol-Win</v>
      </c>
      <c r="AI2274" s="33" t="s">
        <v>3148</v>
      </c>
      <c r="AJ2274" s="44" t="s">
        <v>57</v>
      </c>
      <c r="AK2274" s="33">
        <v>2050</v>
      </c>
      <c r="AL2274" s="45" t="str">
        <f t="shared" si="287"/>
        <v>*0.89</v>
      </c>
      <c r="AM2274" s="43" t="str">
        <f t="shared" si="289"/>
        <v>REZoning_Sol-Win</v>
      </c>
      <c r="AP2274" t="s">
        <v>3148</v>
      </c>
      <c r="AQ2274" t="s">
        <v>57</v>
      </c>
      <c r="AR2274">
        <v>2100</v>
      </c>
      <c r="AS2274" t="s">
        <v>937</v>
      </c>
      <c r="AT2274" t="s">
        <v>58</v>
      </c>
    </row>
    <row r="2275" ht="29" spans="1:46">
      <c r="A2275" s="31" t="s">
        <v>98</v>
      </c>
      <c r="C2275" t="s">
        <v>3149</v>
      </c>
      <c r="D2275" s="5" t="s">
        <v>57</v>
      </c>
      <c r="E2275">
        <v>2035</v>
      </c>
      <c r="F2275" s="6" t="str">
        <f t="shared" si="282"/>
        <v>*0.96</v>
      </c>
      <c r="H2275" t="s">
        <v>3149</v>
      </c>
      <c r="I2275" s="5" t="s">
        <v>57</v>
      </c>
      <c r="J2275">
        <v>2050</v>
      </c>
      <c r="K2275" s="38" t="str">
        <f t="shared" si="283"/>
        <v>*0.94</v>
      </c>
      <c r="P2275" s="32" t="s">
        <v>3149</v>
      </c>
      <c r="Q2275" s="42" t="s">
        <v>57</v>
      </c>
      <c r="R2275" s="32">
        <v>2035</v>
      </c>
      <c r="S2275" s="43" t="str">
        <f t="shared" si="284"/>
        <v>*0.96</v>
      </c>
      <c r="U2275" s="32" t="s">
        <v>3149</v>
      </c>
      <c r="V2275" s="42" t="s">
        <v>57</v>
      </c>
      <c r="W2275" s="32">
        <v>2050</v>
      </c>
      <c r="X2275" s="43" t="str">
        <f t="shared" si="285"/>
        <v>*0.93</v>
      </c>
      <c r="AC2275" s="33" t="s">
        <v>3149</v>
      </c>
      <c r="AD2275" s="44" t="s">
        <v>57</v>
      </c>
      <c r="AE2275" s="33">
        <v>2035</v>
      </c>
      <c r="AF2275" s="45" t="str">
        <f t="shared" si="286"/>
        <v>*0.92</v>
      </c>
      <c r="AG2275" s="43" t="str">
        <f t="shared" si="288"/>
        <v>REZoning_Sol-Win</v>
      </c>
      <c r="AI2275" s="33" t="s">
        <v>3149</v>
      </c>
      <c r="AJ2275" s="44" t="s">
        <v>57</v>
      </c>
      <c r="AK2275" s="33">
        <v>2050</v>
      </c>
      <c r="AL2275" s="45" t="str">
        <f t="shared" si="287"/>
        <v>*0.89</v>
      </c>
      <c r="AM2275" s="43" t="str">
        <f t="shared" si="289"/>
        <v>REZoning_Sol-Win</v>
      </c>
      <c r="AP2275" t="s">
        <v>3149</v>
      </c>
      <c r="AQ2275" t="s">
        <v>57</v>
      </c>
      <c r="AR2275">
        <v>2100</v>
      </c>
      <c r="AS2275" t="s">
        <v>937</v>
      </c>
      <c r="AT2275" t="s">
        <v>58</v>
      </c>
    </row>
    <row r="2276" ht="29" spans="1:46">
      <c r="A2276" s="31" t="s">
        <v>98</v>
      </c>
      <c r="C2276" t="s">
        <v>3150</v>
      </c>
      <c r="D2276" s="5" t="s">
        <v>57</v>
      </c>
      <c r="E2276">
        <v>2035</v>
      </c>
      <c r="F2276" s="6" t="str">
        <f t="shared" si="282"/>
        <v>*0.96</v>
      </c>
      <c r="H2276" t="s">
        <v>3150</v>
      </c>
      <c r="I2276" s="5" t="s">
        <v>57</v>
      </c>
      <c r="J2276">
        <v>2050</v>
      </c>
      <c r="K2276" s="38" t="str">
        <f t="shared" si="283"/>
        <v>*0.94</v>
      </c>
      <c r="P2276" s="32" t="s">
        <v>3150</v>
      </c>
      <c r="Q2276" s="42" t="s">
        <v>57</v>
      </c>
      <c r="R2276" s="32">
        <v>2035</v>
      </c>
      <c r="S2276" s="43" t="str">
        <f t="shared" si="284"/>
        <v>*0.96</v>
      </c>
      <c r="U2276" s="32" t="s">
        <v>3150</v>
      </c>
      <c r="V2276" s="42" t="s">
        <v>57</v>
      </c>
      <c r="W2276" s="32">
        <v>2050</v>
      </c>
      <c r="X2276" s="43" t="str">
        <f t="shared" si="285"/>
        <v>*0.93</v>
      </c>
      <c r="AC2276" s="33" t="s">
        <v>3150</v>
      </c>
      <c r="AD2276" s="44" t="s">
        <v>57</v>
      </c>
      <c r="AE2276" s="33">
        <v>2035</v>
      </c>
      <c r="AF2276" s="45" t="str">
        <f t="shared" si="286"/>
        <v>*0.92</v>
      </c>
      <c r="AG2276" s="43" t="str">
        <f t="shared" si="288"/>
        <v>REZoning_Sol-Win</v>
      </c>
      <c r="AI2276" s="33" t="s">
        <v>3150</v>
      </c>
      <c r="AJ2276" s="44" t="s">
        <v>57</v>
      </c>
      <c r="AK2276" s="33">
        <v>2050</v>
      </c>
      <c r="AL2276" s="45" t="str">
        <f t="shared" si="287"/>
        <v>*0.89</v>
      </c>
      <c r="AM2276" s="43" t="str">
        <f t="shared" si="289"/>
        <v>REZoning_Sol-Win</v>
      </c>
      <c r="AP2276" t="s">
        <v>3150</v>
      </c>
      <c r="AQ2276" t="s">
        <v>57</v>
      </c>
      <c r="AR2276">
        <v>2100</v>
      </c>
      <c r="AS2276" t="s">
        <v>937</v>
      </c>
      <c r="AT2276" t="s">
        <v>58</v>
      </c>
    </row>
    <row r="2277" ht="29" spans="1:46">
      <c r="A2277" s="31" t="s">
        <v>98</v>
      </c>
      <c r="C2277" t="s">
        <v>3151</v>
      </c>
      <c r="D2277" s="5" t="s">
        <v>57</v>
      </c>
      <c r="E2277">
        <v>2035</v>
      </c>
      <c r="F2277" s="6" t="str">
        <f t="shared" si="282"/>
        <v>*0.96</v>
      </c>
      <c r="H2277" t="s">
        <v>3151</v>
      </c>
      <c r="I2277" s="5" t="s">
        <v>57</v>
      </c>
      <c r="J2277">
        <v>2050</v>
      </c>
      <c r="K2277" s="38" t="str">
        <f t="shared" si="283"/>
        <v>*0.94</v>
      </c>
      <c r="P2277" s="32" t="s">
        <v>3151</v>
      </c>
      <c r="Q2277" s="42" t="s">
        <v>57</v>
      </c>
      <c r="R2277" s="32">
        <v>2035</v>
      </c>
      <c r="S2277" s="43" t="str">
        <f t="shared" si="284"/>
        <v>*0.96</v>
      </c>
      <c r="U2277" s="32" t="s">
        <v>3151</v>
      </c>
      <c r="V2277" s="42" t="s">
        <v>57</v>
      </c>
      <c r="W2277" s="32">
        <v>2050</v>
      </c>
      <c r="X2277" s="43" t="str">
        <f t="shared" si="285"/>
        <v>*0.93</v>
      </c>
      <c r="AC2277" s="33" t="s">
        <v>3151</v>
      </c>
      <c r="AD2277" s="44" t="s">
        <v>57</v>
      </c>
      <c r="AE2277" s="33">
        <v>2035</v>
      </c>
      <c r="AF2277" s="45" t="str">
        <f t="shared" si="286"/>
        <v>*0.92</v>
      </c>
      <c r="AG2277" s="43" t="str">
        <f t="shared" si="288"/>
        <v>REZoning_Sol-Win</v>
      </c>
      <c r="AI2277" s="33" t="s">
        <v>3151</v>
      </c>
      <c r="AJ2277" s="44" t="s">
        <v>57</v>
      </c>
      <c r="AK2277" s="33">
        <v>2050</v>
      </c>
      <c r="AL2277" s="45" t="str">
        <f t="shared" si="287"/>
        <v>*0.89</v>
      </c>
      <c r="AM2277" s="43" t="str">
        <f t="shared" si="289"/>
        <v>REZoning_Sol-Win</v>
      </c>
      <c r="AP2277" t="s">
        <v>3151</v>
      </c>
      <c r="AQ2277" t="s">
        <v>57</v>
      </c>
      <c r="AR2277">
        <v>2100</v>
      </c>
      <c r="AS2277" t="s">
        <v>937</v>
      </c>
      <c r="AT2277" t="s">
        <v>58</v>
      </c>
    </row>
    <row r="2278" ht="29" spans="1:46">
      <c r="A2278" s="31" t="s">
        <v>98</v>
      </c>
      <c r="C2278" t="s">
        <v>3152</v>
      </c>
      <c r="D2278" s="5" t="s">
        <v>57</v>
      </c>
      <c r="E2278">
        <v>2035</v>
      </c>
      <c r="F2278" s="6" t="str">
        <f t="shared" si="282"/>
        <v>*0.96</v>
      </c>
      <c r="H2278" t="s">
        <v>3152</v>
      </c>
      <c r="I2278" s="5" t="s">
        <v>57</v>
      </c>
      <c r="J2278">
        <v>2050</v>
      </c>
      <c r="K2278" s="38" t="str">
        <f t="shared" si="283"/>
        <v>*0.94</v>
      </c>
      <c r="P2278" s="32" t="s">
        <v>3152</v>
      </c>
      <c r="Q2278" s="42" t="s">
        <v>57</v>
      </c>
      <c r="R2278" s="32">
        <v>2035</v>
      </c>
      <c r="S2278" s="43" t="str">
        <f t="shared" si="284"/>
        <v>*0.96</v>
      </c>
      <c r="U2278" s="32" t="s">
        <v>3152</v>
      </c>
      <c r="V2278" s="42" t="s">
        <v>57</v>
      </c>
      <c r="W2278" s="32">
        <v>2050</v>
      </c>
      <c r="X2278" s="43" t="str">
        <f t="shared" si="285"/>
        <v>*0.93</v>
      </c>
      <c r="AC2278" s="33" t="s">
        <v>3152</v>
      </c>
      <c r="AD2278" s="44" t="s">
        <v>57</v>
      </c>
      <c r="AE2278" s="33">
        <v>2035</v>
      </c>
      <c r="AF2278" s="45" t="str">
        <f t="shared" si="286"/>
        <v>*0.92</v>
      </c>
      <c r="AG2278" s="43" t="str">
        <f t="shared" si="288"/>
        <v>REZoning_Sol-Win</v>
      </c>
      <c r="AI2278" s="33" t="s">
        <v>3152</v>
      </c>
      <c r="AJ2278" s="44" t="s">
        <v>57</v>
      </c>
      <c r="AK2278" s="33">
        <v>2050</v>
      </c>
      <c r="AL2278" s="45" t="str">
        <f t="shared" si="287"/>
        <v>*0.89</v>
      </c>
      <c r="AM2278" s="43" t="str">
        <f t="shared" si="289"/>
        <v>REZoning_Sol-Win</v>
      </c>
      <c r="AP2278" t="s">
        <v>3152</v>
      </c>
      <c r="AQ2278" t="s">
        <v>57</v>
      </c>
      <c r="AR2278">
        <v>2100</v>
      </c>
      <c r="AS2278" t="s">
        <v>937</v>
      </c>
      <c r="AT2278" t="s">
        <v>58</v>
      </c>
    </row>
    <row r="2279" ht="29" spans="1:46">
      <c r="A2279" s="31" t="s">
        <v>98</v>
      </c>
      <c r="C2279" t="s">
        <v>3153</v>
      </c>
      <c r="D2279" s="5" t="s">
        <v>57</v>
      </c>
      <c r="E2279">
        <v>2035</v>
      </c>
      <c r="F2279" s="6" t="str">
        <f t="shared" si="282"/>
        <v>*0.96</v>
      </c>
      <c r="H2279" t="s">
        <v>3153</v>
      </c>
      <c r="I2279" s="5" t="s">
        <v>57</v>
      </c>
      <c r="J2279">
        <v>2050</v>
      </c>
      <c r="K2279" s="38" t="str">
        <f t="shared" si="283"/>
        <v>*0.94</v>
      </c>
      <c r="P2279" s="32" t="s">
        <v>3153</v>
      </c>
      <c r="Q2279" s="42" t="s">
        <v>57</v>
      </c>
      <c r="R2279" s="32">
        <v>2035</v>
      </c>
      <c r="S2279" s="43" t="str">
        <f t="shared" si="284"/>
        <v>*0.96</v>
      </c>
      <c r="U2279" s="32" t="s">
        <v>3153</v>
      </c>
      <c r="V2279" s="42" t="s">
        <v>57</v>
      </c>
      <c r="W2279" s="32">
        <v>2050</v>
      </c>
      <c r="X2279" s="43" t="str">
        <f t="shared" si="285"/>
        <v>*0.93</v>
      </c>
      <c r="AC2279" s="33" t="s">
        <v>3153</v>
      </c>
      <c r="AD2279" s="44" t="s">
        <v>57</v>
      </c>
      <c r="AE2279" s="33">
        <v>2035</v>
      </c>
      <c r="AF2279" s="45" t="str">
        <f t="shared" si="286"/>
        <v>*0.92</v>
      </c>
      <c r="AG2279" s="43" t="str">
        <f t="shared" si="288"/>
        <v>REZoning_Sol-Win</v>
      </c>
      <c r="AI2279" s="33" t="s">
        <v>3153</v>
      </c>
      <c r="AJ2279" s="44" t="s">
        <v>57</v>
      </c>
      <c r="AK2279" s="33">
        <v>2050</v>
      </c>
      <c r="AL2279" s="45" t="str">
        <f t="shared" si="287"/>
        <v>*0.89</v>
      </c>
      <c r="AM2279" s="43" t="str">
        <f t="shared" si="289"/>
        <v>REZoning_Sol-Win</v>
      </c>
      <c r="AP2279" t="s">
        <v>3153</v>
      </c>
      <c r="AQ2279" t="s">
        <v>57</v>
      </c>
      <c r="AR2279">
        <v>2100</v>
      </c>
      <c r="AS2279" t="s">
        <v>937</v>
      </c>
      <c r="AT2279" t="s">
        <v>58</v>
      </c>
    </row>
    <row r="2280" ht="29" spans="1:46">
      <c r="A2280" s="31" t="s">
        <v>98</v>
      </c>
      <c r="C2280" t="s">
        <v>3154</v>
      </c>
      <c r="D2280" s="5" t="s">
        <v>57</v>
      </c>
      <c r="E2280">
        <v>2035</v>
      </c>
      <c r="F2280" s="6" t="str">
        <f t="shared" si="282"/>
        <v>*0.96</v>
      </c>
      <c r="H2280" t="s">
        <v>3154</v>
      </c>
      <c r="I2280" s="5" t="s">
        <v>57</v>
      </c>
      <c r="J2280">
        <v>2050</v>
      </c>
      <c r="K2280" s="38" t="str">
        <f t="shared" si="283"/>
        <v>*0.94</v>
      </c>
      <c r="P2280" s="32" t="s">
        <v>3154</v>
      </c>
      <c r="Q2280" s="42" t="s">
        <v>57</v>
      </c>
      <c r="R2280" s="32">
        <v>2035</v>
      </c>
      <c r="S2280" s="43" t="str">
        <f t="shared" si="284"/>
        <v>*0.96</v>
      </c>
      <c r="U2280" s="32" t="s">
        <v>3154</v>
      </c>
      <c r="V2280" s="42" t="s">
        <v>57</v>
      </c>
      <c r="W2280" s="32">
        <v>2050</v>
      </c>
      <c r="X2280" s="43" t="str">
        <f t="shared" si="285"/>
        <v>*0.93</v>
      </c>
      <c r="AC2280" s="33" t="s">
        <v>3154</v>
      </c>
      <c r="AD2280" s="44" t="s">
        <v>57</v>
      </c>
      <c r="AE2280" s="33">
        <v>2035</v>
      </c>
      <c r="AF2280" s="45" t="str">
        <f t="shared" si="286"/>
        <v>*0.92</v>
      </c>
      <c r="AG2280" s="43" t="str">
        <f t="shared" si="288"/>
        <v>REZoning_Sol-Win</v>
      </c>
      <c r="AI2280" s="33" t="s">
        <v>3154</v>
      </c>
      <c r="AJ2280" s="44" t="s">
        <v>57</v>
      </c>
      <c r="AK2280" s="33">
        <v>2050</v>
      </c>
      <c r="AL2280" s="45" t="str">
        <f t="shared" si="287"/>
        <v>*0.89</v>
      </c>
      <c r="AM2280" s="43" t="str">
        <f t="shared" si="289"/>
        <v>REZoning_Sol-Win</v>
      </c>
      <c r="AP2280" t="s">
        <v>3154</v>
      </c>
      <c r="AQ2280" t="s">
        <v>57</v>
      </c>
      <c r="AR2280">
        <v>2100</v>
      </c>
      <c r="AS2280" t="s">
        <v>937</v>
      </c>
      <c r="AT2280" t="s">
        <v>58</v>
      </c>
    </row>
    <row r="2281" ht="29" spans="1:46">
      <c r="A2281" s="31" t="s">
        <v>98</v>
      </c>
      <c r="C2281" t="s">
        <v>3155</v>
      </c>
      <c r="D2281" s="5" t="s">
        <v>57</v>
      </c>
      <c r="E2281">
        <v>2035</v>
      </c>
      <c r="F2281" s="6" t="str">
        <f t="shared" si="282"/>
        <v>*0.96</v>
      </c>
      <c r="H2281" t="s">
        <v>3155</v>
      </c>
      <c r="I2281" s="5" t="s">
        <v>57</v>
      </c>
      <c r="J2281">
        <v>2050</v>
      </c>
      <c r="K2281" s="38" t="str">
        <f t="shared" si="283"/>
        <v>*0.94</v>
      </c>
      <c r="P2281" s="32" t="s">
        <v>3155</v>
      </c>
      <c r="Q2281" s="42" t="s">
        <v>57</v>
      </c>
      <c r="R2281" s="32">
        <v>2035</v>
      </c>
      <c r="S2281" s="43" t="str">
        <f t="shared" si="284"/>
        <v>*0.96</v>
      </c>
      <c r="U2281" s="32" t="s">
        <v>3155</v>
      </c>
      <c r="V2281" s="42" t="s">
        <v>57</v>
      </c>
      <c r="W2281" s="32">
        <v>2050</v>
      </c>
      <c r="X2281" s="43" t="str">
        <f t="shared" si="285"/>
        <v>*0.93</v>
      </c>
      <c r="AC2281" s="33" t="s">
        <v>3155</v>
      </c>
      <c r="AD2281" s="44" t="s">
        <v>57</v>
      </c>
      <c r="AE2281" s="33">
        <v>2035</v>
      </c>
      <c r="AF2281" s="45" t="str">
        <f t="shared" si="286"/>
        <v>*0.92</v>
      </c>
      <c r="AG2281" s="43" t="str">
        <f t="shared" si="288"/>
        <v>REZoning_Sol-Win</v>
      </c>
      <c r="AI2281" s="33" t="s">
        <v>3155</v>
      </c>
      <c r="AJ2281" s="44" t="s">
        <v>57</v>
      </c>
      <c r="AK2281" s="33">
        <v>2050</v>
      </c>
      <c r="AL2281" s="45" t="str">
        <f t="shared" si="287"/>
        <v>*0.89</v>
      </c>
      <c r="AM2281" s="43" t="str">
        <f t="shared" si="289"/>
        <v>REZoning_Sol-Win</v>
      </c>
      <c r="AP2281" t="s">
        <v>3155</v>
      </c>
      <c r="AQ2281" t="s">
        <v>57</v>
      </c>
      <c r="AR2281">
        <v>2100</v>
      </c>
      <c r="AS2281" t="s">
        <v>937</v>
      </c>
      <c r="AT2281" t="s">
        <v>58</v>
      </c>
    </row>
    <row r="2282" ht="29" spans="1:46">
      <c r="A2282" s="31" t="s">
        <v>98</v>
      </c>
      <c r="C2282" t="s">
        <v>3156</v>
      </c>
      <c r="D2282" s="5" t="s">
        <v>57</v>
      </c>
      <c r="E2282">
        <v>2035</v>
      </c>
      <c r="F2282" s="6" t="str">
        <f t="shared" si="282"/>
        <v>*0.96</v>
      </c>
      <c r="H2282" t="s">
        <v>3156</v>
      </c>
      <c r="I2282" s="5" t="s">
        <v>57</v>
      </c>
      <c r="J2282">
        <v>2050</v>
      </c>
      <c r="K2282" s="38" t="str">
        <f t="shared" si="283"/>
        <v>*0.94</v>
      </c>
      <c r="P2282" s="32" t="s">
        <v>3156</v>
      </c>
      <c r="Q2282" s="42" t="s">
        <v>57</v>
      </c>
      <c r="R2282" s="32">
        <v>2035</v>
      </c>
      <c r="S2282" s="43" t="str">
        <f t="shared" si="284"/>
        <v>*0.96</v>
      </c>
      <c r="U2282" s="32" t="s">
        <v>3156</v>
      </c>
      <c r="V2282" s="42" t="s">
        <v>57</v>
      </c>
      <c r="W2282" s="32">
        <v>2050</v>
      </c>
      <c r="X2282" s="43" t="str">
        <f t="shared" si="285"/>
        <v>*0.93</v>
      </c>
      <c r="AC2282" s="33" t="s">
        <v>3156</v>
      </c>
      <c r="AD2282" s="44" t="s">
        <v>57</v>
      </c>
      <c r="AE2282" s="33">
        <v>2035</v>
      </c>
      <c r="AF2282" s="45" t="str">
        <f t="shared" si="286"/>
        <v>*0.92</v>
      </c>
      <c r="AG2282" s="43" t="str">
        <f t="shared" si="288"/>
        <v>REZoning_Sol-Win</v>
      </c>
      <c r="AI2282" s="33" t="s">
        <v>3156</v>
      </c>
      <c r="AJ2282" s="44" t="s">
        <v>57</v>
      </c>
      <c r="AK2282" s="33">
        <v>2050</v>
      </c>
      <c r="AL2282" s="45" t="str">
        <f t="shared" si="287"/>
        <v>*0.89</v>
      </c>
      <c r="AM2282" s="43" t="str">
        <f t="shared" si="289"/>
        <v>REZoning_Sol-Win</v>
      </c>
      <c r="AP2282" t="s">
        <v>3156</v>
      </c>
      <c r="AQ2282" t="s">
        <v>57</v>
      </c>
      <c r="AR2282">
        <v>2100</v>
      </c>
      <c r="AS2282" t="s">
        <v>937</v>
      </c>
      <c r="AT2282" t="s">
        <v>58</v>
      </c>
    </row>
    <row r="2283" ht="29" spans="1:46">
      <c r="A2283" s="31" t="s">
        <v>95</v>
      </c>
      <c r="C2283" t="s">
        <v>3157</v>
      </c>
      <c r="D2283" s="5" t="s">
        <v>57</v>
      </c>
      <c r="E2283">
        <v>2035</v>
      </c>
      <c r="F2283" s="6" t="str">
        <f t="shared" si="282"/>
        <v>*0.95</v>
      </c>
      <c r="H2283" t="s">
        <v>3157</v>
      </c>
      <c r="I2283" s="5" t="s">
        <v>57</v>
      </c>
      <c r="J2283">
        <v>2050</v>
      </c>
      <c r="K2283" s="38" t="str">
        <f t="shared" si="283"/>
        <v>*0.93</v>
      </c>
      <c r="P2283" s="32" t="s">
        <v>3157</v>
      </c>
      <c r="Q2283" s="42" t="s">
        <v>57</v>
      </c>
      <c r="R2283" s="32">
        <v>2035</v>
      </c>
      <c r="S2283" s="43" t="str">
        <f t="shared" si="284"/>
        <v>*0.95</v>
      </c>
      <c r="U2283" s="32" t="s">
        <v>3157</v>
      </c>
      <c r="V2283" s="42" t="s">
        <v>57</v>
      </c>
      <c r="W2283" s="32">
        <v>2050</v>
      </c>
      <c r="X2283" s="43" t="str">
        <f t="shared" si="285"/>
        <v>*0.91</v>
      </c>
      <c r="AC2283" s="33" t="s">
        <v>3157</v>
      </c>
      <c r="AD2283" s="44" t="s">
        <v>57</v>
      </c>
      <c r="AE2283" s="33">
        <v>2035</v>
      </c>
      <c r="AF2283" s="45" t="str">
        <f t="shared" si="286"/>
        <v>*0.91</v>
      </c>
      <c r="AG2283" s="43" t="str">
        <f t="shared" si="288"/>
        <v>REZoning_Sol-Win</v>
      </c>
      <c r="AI2283" s="33" t="s">
        <v>3157</v>
      </c>
      <c r="AJ2283" s="44" t="s">
        <v>57</v>
      </c>
      <c r="AK2283" s="33">
        <v>2050</v>
      </c>
      <c r="AL2283" s="45" t="str">
        <f t="shared" si="287"/>
        <v>*0.86</v>
      </c>
      <c r="AM2283" s="43" t="str">
        <f t="shared" si="289"/>
        <v>REZoning_Sol-Win</v>
      </c>
      <c r="AP2283" t="s">
        <v>3157</v>
      </c>
      <c r="AQ2283" t="s">
        <v>57</v>
      </c>
      <c r="AR2283">
        <v>2100</v>
      </c>
      <c r="AS2283" t="s">
        <v>883</v>
      </c>
      <c r="AT2283" t="s">
        <v>58</v>
      </c>
    </row>
    <row r="2284" ht="29" spans="1:46">
      <c r="A2284" s="31" t="s">
        <v>95</v>
      </c>
      <c r="C2284" t="s">
        <v>3158</v>
      </c>
      <c r="D2284" s="5" t="s">
        <v>57</v>
      </c>
      <c r="E2284">
        <v>2035</v>
      </c>
      <c r="F2284" s="6" t="str">
        <f t="shared" si="282"/>
        <v>*0.95</v>
      </c>
      <c r="H2284" t="s">
        <v>3158</v>
      </c>
      <c r="I2284" s="5" t="s">
        <v>57</v>
      </c>
      <c r="J2284">
        <v>2050</v>
      </c>
      <c r="K2284" s="38" t="str">
        <f t="shared" si="283"/>
        <v>*0.93</v>
      </c>
      <c r="P2284" s="32" t="s">
        <v>3158</v>
      </c>
      <c r="Q2284" s="42" t="s">
        <v>57</v>
      </c>
      <c r="R2284" s="32">
        <v>2035</v>
      </c>
      <c r="S2284" s="43" t="str">
        <f t="shared" si="284"/>
        <v>*0.95</v>
      </c>
      <c r="U2284" s="32" t="s">
        <v>3158</v>
      </c>
      <c r="V2284" s="42" t="s">
        <v>57</v>
      </c>
      <c r="W2284" s="32">
        <v>2050</v>
      </c>
      <c r="X2284" s="43" t="str">
        <f t="shared" si="285"/>
        <v>*0.91</v>
      </c>
      <c r="AC2284" s="33" t="s">
        <v>3158</v>
      </c>
      <c r="AD2284" s="44" t="s">
        <v>57</v>
      </c>
      <c r="AE2284" s="33">
        <v>2035</v>
      </c>
      <c r="AF2284" s="45" t="str">
        <f t="shared" si="286"/>
        <v>*0.91</v>
      </c>
      <c r="AG2284" s="43" t="str">
        <f t="shared" si="288"/>
        <v>REZoning_Sol-Win</v>
      </c>
      <c r="AI2284" s="33" t="s">
        <v>3158</v>
      </c>
      <c r="AJ2284" s="44" t="s">
        <v>57</v>
      </c>
      <c r="AK2284" s="33">
        <v>2050</v>
      </c>
      <c r="AL2284" s="45" t="str">
        <f t="shared" si="287"/>
        <v>*0.86</v>
      </c>
      <c r="AM2284" s="43" t="str">
        <f t="shared" si="289"/>
        <v>REZoning_Sol-Win</v>
      </c>
      <c r="AP2284" t="s">
        <v>3158</v>
      </c>
      <c r="AQ2284" t="s">
        <v>57</v>
      </c>
      <c r="AR2284">
        <v>2100</v>
      </c>
      <c r="AS2284" t="s">
        <v>883</v>
      </c>
      <c r="AT2284" t="s">
        <v>58</v>
      </c>
    </row>
    <row r="2285" ht="29" spans="1:46">
      <c r="A2285" s="31" t="s">
        <v>95</v>
      </c>
      <c r="C2285" t="s">
        <v>3159</v>
      </c>
      <c r="D2285" s="5" t="s">
        <v>57</v>
      </c>
      <c r="E2285">
        <v>2035</v>
      </c>
      <c r="F2285" s="6" t="str">
        <f t="shared" si="282"/>
        <v>*0.95</v>
      </c>
      <c r="H2285" t="s">
        <v>3159</v>
      </c>
      <c r="I2285" s="5" t="s">
        <v>57</v>
      </c>
      <c r="J2285">
        <v>2050</v>
      </c>
      <c r="K2285" s="38" t="str">
        <f t="shared" si="283"/>
        <v>*0.93</v>
      </c>
      <c r="P2285" s="32" t="s">
        <v>3159</v>
      </c>
      <c r="Q2285" s="42" t="s">
        <v>57</v>
      </c>
      <c r="R2285" s="32">
        <v>2035</v>
      </c>
      <c r="S2285" s="43" t="str">
        <f t="shared" si="284"/>
        <v>*0.95</v>
      </c>
      <c r="U2285" s="32" t="s">
        <v>3159</v>
      </c>
      <c r="V2285" s="42" t="s">
        <v>57</v>
      </c>
      <c r="W2285" s="32">
        <v>2050</v>
      </c>
      <c r="X2285" s="43" t="str">
        <f t="shared" si="285"/>
        <v>*0.91</v>
      </c>
      <c r="AC2285" s="33" t="s">
        <v>3159</v>
      </c>
      <c r="AD2285" s="44" t="s">
        <v>57</v>
      </c>
      <c r="AE2285" s="33">
        <v>2035</v>
      </c>
      <c r="AF2285" s="45" t="str">
        <f t="shared" si="286"/>
        <v>*0.91</v>
      </c>
      <c r="AG2285" s="43" t="str">
        <f t="shared" si="288"/>
        <v>REZoning_Sol-Win</v>
      </c>
      <c r="AI2285" s="33" t="s">
        <v>3159</v>
      </c>
      <c r="AJ2285" s="44" t="s">
        <v>57</v>
      </c>
      <c r="AK2285" s="33">
        <v>2050</v>
      </c>
      <c r="AL2285" s="45" t="str">
        <f t="shared" si="287"/>
        <v>*0.86</v>
      </c>
      <c r="AM2285" s="43" t="str">
        <f t="shared" si="289"/>
        <v>REZoning_Sol-Win</v>
      </c>
      <c r="AP2285" t="s">
        <v>3159</v>
      </c>
      <c r="AQ2285" t="s">
        <v>57</v>
      </c>
      <c r="AR2285">
        <v>2100</v>
      </c>
      <c r="AS2285" t="s">
        <v>883</v>
      </c>
      <c r="AT2285" t="s">
        <v>58</v>
      </c>
    </row>
    <row r="2286" ht="29" spans="1:46">
      <c r="A2286" s="31" t="s">
        <v>95</v>
      </c>
      <c r="C2286" t="s">
        <v>3160</v>
      </c>
      <c r="D2286" s="5" t="s">
        <v>57</v>
      </c>
      <c r="E2286">
        <v>2035</v>
      </c>
      <c r="F2286" s="6" t="str">
        <f t="shared" si="282"/>
        <v>*0.95</v>
      </c>
      <c r="H2286" t="s">
        <v>3160</v>
      </c>
      <c r="I2286" s="5" t="s">
        <v>57</v>
      </c>
      <c r="J2286">
        <v>2050</v>
      </c>
      <c r="K2286" s="38" t="str">
        <f t="shared" si="283"/>
        <v>*0.93</v>
      </c>
      <c r="P2286" s="32" t="s">
        <v>3160</v>
      </c>
      <c r="Q2286" s="42" t="s">
        <v>57</v>
      </c>
      <c r="R2286" s="32">
        <v>2035</v>
      </c>
      <c r="S2286" s="43" t="str">
        <f t="shared" si="284"/>
        <v>*0.95</v>
      </c>
      <c r="U2286" s="32" t="s">
        <v>3160</v>
      </c>
      <c r="V2286" s="42" t="s">
        <v>57</v>
      </c>
      <c r="W2286" s="32">
        <v>2050</v>
      </c>
      <c r="X2286" s="43" t="str">
        <f t="shared" si="285"/>
        <v>*0.91</v>
      </c>
      <c r="AC2286" s="33" t="s">
        <v>3160</v>
      </c>
      <c r="AD2286" s="44" t="s">
        <v>57</v>
      </c>
      <c r="AE2286" s="33">
        <v>2035</v>
      </c>
      <c r="AF2286" s="45" t="str">
        <f t="shared" si="286"/>
        <v>*0.91</v>
      </c>
      <c r="AG2286" s="43" t="str">
        <f t="shared" si="288"/>
        <v>REZoning_Sol-Win</v>
      </c>
      <c r="AI2286" s="33" t="s">
        <v>3160</v>
      </c>
      <c r="AJ2286" s="44" t="s">
        <v>57</v>
      </c>
      <c r="AK2286" s="33">
        <v>2050</v>
      </c>
      <c r="AL2286" s="45" t="str">
        <f t="shared" si="287"/>
        <v>*0.86</v>
      </c>
      <c r="AM2286" s="43" t="str">
        <f t="shared" si="289"/>
        <v>REZoning_Sol-Win</v>
      </c>
      <c r="AP2286" t="s">
        <v>3160</v>
      </c>
      <c r="AQ2286" t="s">
        <v>57</v>
      </c>
      <c r="AR2286">
        <v>2100</v>
      </c>
      <c r="AS2286" t="s">
        <v>883</v>
      </c>
      <c r="AT2286" t="s">
        <v>58</v>
      </c>
    </row>
    <row r="2287" ht="29" spans="1:46">
      <c r="A2287" s="31" t="s">
        <v>83</v>
      </c>
      <c r="C2287" t="s">
        <v>3161</v>
      </c>
      <c r="D2287" s="5" t="s">
        <v>57</v>
      </c>
      <c r="E2287">
        <v>2035</v>
      </c>
      <c r="F2287" s="6" t="str">
        <f t="shared" si="282"/>
        <v>*0.95</v>
      </c>
      <c r="H2287" t="s">
        <v>3161</v>
      </c>
      <c r="I2287" s="5" t="s">
        <v>57</v>
      </c>
      <c r="J2287">
        <v>2050</v>
      </c>
      <c r="K2287" s="38" t="str">
        <f t="shared" si="283"/>
        <v>*0.92</v>
      </c>
      <c r="P2287" s="32" t="s">
        <v>3161</v>
      </c>
      <c r="Q2287" s="42" t="s">
        <v>57</v>
      </c>
      <c r="R2287" s="32">
        <v>2035</v>
      </c>
      <c r="S2287" s="43" t="str">
        <f t="shared" si="284"/>
        <v>*0.95</v>
      </c>
      <c r="U2287" s="32" t="s">
        <v>3161</v>
      </c>
      <c r="V2287" s="42" t="s">
        <v>57</v>
      </c>
      <c r="W2287" s="32">
        <v>2050</v>
      </c>
      <c r="X2287" s="43" t="str">
        <f t="shared" si="285"/>
        <v>*0.92</v>
      </c>
      <c r="AC2287" s="33" t="s">
        <v>3161</v>
      </c>
      <c r="AD2287" s="44" t="s">
        <v>57</v>
      </c>
      <c r="AE2287" s="33">
        <v>2035</v>
      </c>
      <c r="AF2287" s="45" t="str">
        <f t="shared" si="286"/>
        <v>*0.93</v>
      </c>
      <c r="AG2287" s="43" t="str">
        <f t="shared" si="288"/>
        <v>REZoning_Sol-Win</v>
      </c>
      <c r="AI2287" s="33" t="s">
        <v>3161</v>
      </c>
      <c r="AJ2287" s="44" t="s">
        <v>57</v>
      </c>
      <c r="AK2287" s="33">
        <v>2050</v>
      </c>
      <c r="AL2287" s="45" t="str">
        <f t="shared" si="287"/>
        <v>*0.89</v>
      </c>
      <c r="AM2287" s="43" t="str">
        <f t="shared" si="289"/>
        <v>REZoning_Sol-Win</v>
      </c>
      <c r="AP2287" t="s">
        <v>3161</v>
      </c>
      <c r="AQ2287" t="s">
        <v>57</v>
      </c>
      <c r="AR2287">
        <v>2100</v>
      </c>
      <c r="AS2287" t="s">
        <v>937</v>
      </c>
      <c r="AT2287" t="s">
        <v>58</v>
      </c>
    </row>
    <row r="2288" ht="29" spans="1:46">
      <c r="A2288" s="31" t="s">
        <v>83</v>
      </c>
      <c r="C2288" t="s">
        <v>3162</v>
      </c>
      <c r="D2288" s="5" t="s">
        <v>57</v>
      </c>
      <c r="E2288">
        <v>2035</v>
      </c>
      <c r="F2288" s="6" t="str">
        <f t="shared" si="282"/>
        <v>*0.95</v>
      </c>
      <c r="H2288" t="s">
        <v>3162</v>
      </c>
      <c r="I2288" s="5" t="s">
        <v>57</v>
      </c>
      <c r="J2288">
        <v>2050</v>
      </c>
      <c r="K2288" s="38" t="str">
        <f t="shared" si="283"/>
        <v>*0.92</v>
      </c>
      <c r="P2288" s="32" t="s">
        <v>3162</v>
      </c>
      <c r="Q2288" s="42" t="s">
        <v>57</v>
      </c>
      <c r="R2288" s="32">
        <v>2035</v>
      </c>
      <c r="S2288" s="43" t="str">
        <f t="shared" si="284"/>
        <v>*0.95</v>
      </c>
      <c r="U2288" s="32" t="s">
        <v>3162</v>
      </c>
      <c r="V2288" s="42" t="s">
        <v>57</v>
      </c>
      <c r="W2288" s="32">
        <v>2050</v>
      </c>
      <c r="X2288" s="43" t="str">
        <f t="shared" si="285"/>
        <v>*0.92</v>
      </c>
      <c r="AC2288" s="33" t="s">
        <v>3162</v>
      </c>
      <c r="AD2288" s="44" t="s">
        <v>57</v>
      </c>
      <c r="AE2288" s="33">
        <v>2035</v>
      </c>
      <c r="AF2288" s="45" t="str">
        <f t="shared" si="286"/>
        <v>*0.93</v>
      </c>
      <c r="AG2288" s="43" t="str">
        <f t="shared" si="288"/>
        <v>REZoning_Sol-Win</v>
      </c>
      <c r="AI2288" s="33" t="s">
        <v>3162</v>
      </c>
      <c r="AJ2288" s="44" t="s">
        <v>57</v>
      </c>
      <c r="AK2288" s="33">
        <v>2050</v>
      </c>
      <c r="AL2288" s="45" t="str">
        <f t="shared" si="287"/>
        <v>*0.89</v>
      </c>
      <c r="AM2288" s="43" t="str">
        <f t="shared" si="289"/>
        <v>REZoning_Sol-Win</v>
      </c>
      <c r="AP2288" t="s">
        <v>3162</v>
      </c>
      <c r="AQ2288" t="s">
        <v>57</v>
      </c>
      <c r="AR2288">
        <v>2100</v>
      </c>
      <c r="AS2288" t="s">
        <v>937</v>
      </c>
      <c r="AT2288" t="s">
        <v>58</v>
      </c>
    </row>
    <row r="2289" ht="29" spans="1:46">
      <c r="A2289" s="31" t="s">
        <v>83</v>
      </c>
      <c r="C2289" t="s">
        <v>3163</v>
      </c>
      <c r="D2289" s="5" t="s">
        <v>57</v>
      </c>
      <c r="E2289">
        <v>2035</v>
      </c>
      <c r="F2289" s="6" t="str">
        <f t="shared" si="282"/>
        <v>*0.95</v>
      </c>
      <c r="H2289" t="s">
        <v>3163</v>
      </c>
      <c r="I2289" s="5" t="s">
        <v>57</v>
      </c>
      <c r="J2289">
        <v>2050</v>
      </c>
      <c r="K2289" s="38" t="str">
        <f t="shared" si="283"/>
        <v>*0.92</v>
      </c>
      <c r="P2289" s="32" t="s">
        <v>3163</v>
      </c>
      <c r="Q2289" s="42" t="s">
        <v>57</v>
      </c>
      <c r="R2289" s="32">
        <v>2035</v>
      </c>
      <c r="S2289" s="43" t="str">
        <f t="shared" si="284"/>
        <v>*0.95</v>
      </c>
      <c r="U2289" s="32" t="s">
        <v>3163</v>
      </c>
      <c r="V2289" s="42" t="s">
        <v>57</v>
      </c>
      <c r="W2289" s="32">
        <v>2050</v>
      </c>
      <c r="X2289" s="43" t="str">
        <f t="shared" si="285"/>
        <v>*0.92</v>
      </c>
      <c r="AC2289" s="33" t="s">
        <v>3163</v>
      </c>
      <c r="AD2289" s="44" t="s">
        <v>57</v>
      </c>
      <c r="AE2289" s="33">
        <v>2035</v>
      </c>
      <c r="AF2289" s="45" t="str">
        <f t="shared" si="286"/>
        <v>*0.93</v>
      </c>
      <c r="AG2289" s="43" t="str">
        <f t="shared" si="288"/>
        <v>REZoning_Sol-Win</v>
      </c>
      <c r="AI2289" s="33" t="s">
        <v>3163</v>
      </c>
      <c r="AJ2289" s="44" t="s">
        <v>57</v>
      </c>
      <c r="AK2289" s="33">
        <v>2050</v>
      </c>
      <c r="AL2289" s="45" t="str">
        <f t="shared" si="287"/>
        <v>*0.89</v>
      </c>
      <c r="AM2289" s="43" t="str">
        <f t="shared" si="289"/>
        <v>REZoning_Sol-Win</v>
      </c>
      <c r="AP2289" t="s">
        <v>3163</v>
      </c>
      <c r="AQ2289" t="s">
        <v>57</v>
      </c>
      <c r="AR2289">
        <v>2100</v>
      </c>
      <c r="AS2289" t="s">
        <v>937</v>
      </c>
      <c r="AT2289" t="s">
        <v>58</v>
      </c>
    </row>
    <row r="2290" ht="29" spans="1:46">
      <c r="A2290" s="31" t="s">
        <v>83</v>
      </c>
      <c r="C2290" t="s">
        <v>3164</v>
      </c>
      <c r="D2290" s="5" t="s">
        <v>57</v>
      </c>
      <c r="E2290">
        <v>2035</v>
      </c>
      <c r="F2290" s="6" t="str">
        <f t="shared" si="282"/>
        <v>*0.95</v>
      </c>
      <c r="H2290" t="s">
        <v>3164</v>
      </c>
      <c r="I2290" s="5" t="s">
        <v>57</v>
      </c>
      <c r="J2290">
        <v>2050</v>
      </c>
      <c r="K2290" s="38" t="str">
        <f t="shared" si="283"/>
        <v>*0.92</v>
      </c>
      <c r="P2290" s="32" t="s">
        <v>3164</v>
      </c>
      <c r="Q2290" s="42" t="s">
        <v>57</v>
      </c>
      <c r="R2290" s="32">
        <v>2035</v>
      </c>
      <c r="S2290" s="43" t="str">
        <f t="shared" si="284"/>
        <v>*0.95</v>
      </c>
      <c r="U2290" s="32" t="s">
        <v>3164</v>
      </c>
      <c r="V2290" s="42" t="s">
        <v>57</v>
      </c>
      <c r="W2290" s="32">
        <v>2050</v>
      </c>
      <c r="X2290" s="43" t="str">
        <f t="shared" si="285"/>
        <v>*0.92</v>
      </c>
      <c r="AC2290" s="33" t="s">
        <v>3164</v>
      </c>
      <c r="AD2290" s="44" t="s">
        <v>57</v>
      </c>
      <c r="AE2290" s="33">
        <v>2035</v>
      </c>
      <c r="AF2290" s="45" t="str">
        <f t="shared" si="286"/>
        <v>*0.93</v>
      </c>
      <c r="AG2290" s="43" t="str">
        <f t="shared" si="288"/>
        <v>REZoning_Sol-Win</v>
      </c>
      <c r="AI2290" s="33" t="s">
        <v>3164</v>
      </c>
      <c r="AJ2290" s="44" t="s">
        <v>57</v>
      </c>
      <c r="AK2290" s="33">
        <v>2050</v>
      </c>
      <c r="AL2290" s="45" t="str">
        <f t="shared" si="287"/>
        <v>*0.89</v>
      </c>
      <c r="AM2290" s="43" t="str">
        <f t="shared" si="289"/>
        <v>REZoning_Sol-Win</v>
      </c>
      <c r="AP2290" t="s">
        <v>3164</v>
      </c>
      <c r="AQ2290" t="s">
        <v>57</v>
      </c>
      <c r="AR2290">
        <v>2100</v>
      </c>
      <c r="AS2290" t="s">
        <v>937</v>
      </c>
      <c r="AT2290" t="s">
        <v>58</v>
      </c>
    </row>
    <row r="2291" ht="29" spans="1:46">
      <c r="A2291" s="31" t="s">
        <v>83</v>
      </c>
      <c r="C2291" t="s">
        <v>3165</v>
      </c>
      <c r="D2291" s="5" t="s">
        <v>57</v>
      </c>
      <c r="E2291">
        <v>2035</v>
      </c>
      <c r="F2291" s="6" t="str">
        <f t="shared" si="282"/>
        <v>*0.95</v>
      </c>
      <c r="H2291" t="s">
        <v>3165</v>
      </c>
      <c r="I2291" s="5" t="s">
        <v>57</v>
      </c>
      <c r="J2291">
        <v>2050</v>
      </c>
      <c r="K2291" s="38" t="str">
        <f t="shared" si="283"/>
        <v>*0.92</v>
      </c>
      <c r="P2291" s="32" t="s">
        <v>3165</v>
      </c>
      <c r="Q2291" s="42" t="s">
        <v>57</v>
      </c>
      <c r="R2291" s="32">
        <v>2035</v>
      </c>
      <c r="S2291" s="43" t="str">
        <f t="shared" si="284"/>
        <v>*0.95</v>
      </c>
      <c r="U2291" s="32" t="s">
        <v>3165</v>
      </c>
      <c r="V2291" s="42" t="s">
        <v>57</v>
      </c>
      <c r="W2291" s="32">
        <v>2050</v>
      </c>
      <c r="X2291" s="43" t="str">
        <f t="shared" si="285"/>
        <v>*0.92</v>
      </c>
      <c r="AC2291" s="33" t="s">
        <v>3165</v>
      </c>
      <c r="AD2291" s="44" t="s">
        <v>57</v>
      </c>
      <c r="AE2291" s="33">
        <v>2035</v>
      </c>
      <c r="AF2291" s="45" t="str">
        <f t="shared" si="286"/>
        <v>*0.93</v>
      </c>
      <c r="AG2291" s="43" t="str">
        <f t="shared" si="288"/>
        <v>REZoning_Sol-Win</v>
      </c>
      <c r="AI2291" s="33" t="s">
        <v>3165</v>
      </c>
      <c r="AJ2291" s="44" t="s">
        <v>57</v>
      </c>
      <c r="AK2291" s="33">
        <v>2050</v>
      </c>
      <c r="AL2291" s="45" t="str">
        <f t="shared" si="287"/>
        <v>*0.89</v>
      </c>
      <c r="AM2291" s="43" t="str">
        <f t="shared" si="289"/>
        <v>REZoning_Sol-Win</v>
      </c>
      <c r="AP2291" t="s">
        <v>3165</v>
      </c>
      <c r="AQ2291" t="s">
        <v>57</v>
      </c>
      <c r="AR2291">
        <v>2100</v>
      </c>
      <c r="AS2291" t="s">
        <v>937</v>
      </c>
      <c r="AT2291" t="s">
        <v>58</v>
      </c>
    </row>
    <row r="2292" ht="29" spans="1:46">
      <c r="A2292" s="31" t="s">
        <v>83</v>
      </c>
      <c r="C2292" t="s">
        <v>3166</v>
      </c>
      <c r="D2292" s="5" t="s">
        <v>57</v>
      </c>
      <c r="E2292">
        <v>2035</v>
      </c>
      <c r="F2292" s="6" t="str">
        <f t="shared" si="282"/>
        <v>*0.95</v>
      </c>
      <c r="H2292" t="s">
        <v>3166</v>
      </c>
      <c r="I2292" s="5" t="s">
        <v>57</v>
      </c>
      <c r="J2292">
        <v>2050</v>
      </c>
      <c r="K2292" s="38" t="str">
        <f t="shared" si="283"/>
        <v>*0.92</v>
      </c>
      <c r="P2292" s="32" t="s">
        <v>3166</v>
      </c>
      <c r="Q2292" s="42" t="s">
        <v>57</v>
      </c>
      <c r="R2292" s="32">
        <v>2035</v>
      </c>
      <c r="S2292" s="43" t="str">
        <f t="shared" si="284"/>
        <v>*0.95</v>
      </c>
      <c r="U2292" s="32" t="s">
        <v>3166</v>
      </c>
      <c r="V2292" s="42" t="s">
        <v>57</v>
      </c>
      <c r="W2292" s="32">
        <v>2050</v>
      </c>
      <c r="X2292" s="43" t="str">
        <f t="shared" si="285"/>
        <v>*0.92</v>
      </c>
      <c r="AC2292" s="33" t="s">
        <v>3166</v>
      </c>
      <c r="AD2292" s="44" t="s">
        <v>57</v>
      </c>
      <c r="AE2292" s="33">
        <v>2035</v>
      </c>
      <c r="AF2292" s="45" t="str">
        <f t="shared" si="286"/>
        <v>*0.93</v>
      </c>
      <c r="AG2292" s="43" t="str">
        <f t="shared" si="288"/>
        <v>REZoning_Sol-Win</v>
      </c>
      <c r="AI2292" s="33" t="s">
        <v>3166</v>
      </c>
      <c r="AJ2292" s="44" t="s">
        <v>57</v>
      </c>
      <c r="AK2292" s="33">
        <v>2050</v>
      </c>
      <c r="AL2292" s="45" t="str">
        <f t="shared" si="287"/>
        <v>*0.89</v>
      </c>
      <c r="AM2292" s="43" t="str">
        <f t="shared" si="289"/>
        <v>REZoning_Sol-Win</v>
      </c>
      <c r="AP2292" t="s">
        <v>3166</v>
      </c>
      <c r="AQ2292" t="s">
        <v>57</v>
      </c>
      <c r="AR2292">
        <v>2100</v>
      </c>
      <c r="AS2292" t="s">
        <v>937</v>
      </c>
      <c r="AT2292" t="s">
        <v>58</v>
      </c>
    </row>
    <row r="2293" ht="29" spans="1:46">
      <c r="A2293" s="31" t="s">
        <v>83</v>
      </c>
      <c r="C2293" t="s">
        <v>3167</v>
      </c>
      <c r="D2293" s="5" t="s">
        <v>57</v>
      </c>
      <c r="E2293">
        <v>2035</v>
      </c>
      <c r="F2293" s="6" t="str">
        <f t="shared" si="282"/>
        <v>*0.95</v>
      </c>
      <c r="H2293" t="s">
        <v>3167</v>
      </c>
      <c r="I2293" s="5" t="s">
        <v>57</v>
      </c>
      <c r="J2293">
        <v>2050</v>
      </c>
      <c r="K2293" s="38" t="str">
        <f t="shared" si="283"/>
        <v>*0.92</v>
      </c>
      <c r="P2293" s="32" t="s">
        <v>3167</v>
      </c>
      <c r="Q2293" s="42" t="s">
        <v>57</v>
      </c>
      <c r="R2293" s="32">
        <v>2035</v>
      </c>
      <c r="S2293" s="43" t="str">
        <f t="shared" si="284"/>
        <v>*0.95</v>
      </c>
      <c r="U2293" s="32" t="s">
        <v>3167</v>
      </c>
      <c r="V2293" s="42" t="s">
        <v>57</v>
      </c>
      <c r="W2293" s="32">
        <v>2050</v>
      </c>
      <c r="X2293" s="43" t="str">
        <f t="shared" si="285"/>
        <v>*0.92</v>
      </c>
      <c r="AC2293" s="33" t="s">
        <v>3167</v>
      </c>
      <c r="AD2293" s="44" t="s">
        <v>57</v>
      </c>
      <c r="AE2293" s="33">
        <v>2035</v>
      </c>
      <c r="AF2293" s="45" t="str">
        <f t="shared" si="286"/>
        <v>*0.93</v>
      </c>
      <c r="AG2293" s="43" t="str">
        <f t="shared" si="288"/>
        <v>REZoning_Sol-Win</v>
      </c>
      <c r="AI2293" s="33" t="s">
        <v>3167</v>
      </c>
      <c r="AJ2293" s="44" t="s">
        <v>57</v>
      </c>
      <c r="AK2293" s="33">
        <v>2050</v>
      </c>
      <c r="AL2293" s="45" t="str">
        <f t="shared" si="287"/>
        <v>*0.89</v>
      </c>
      <c r="AM2293" s="43" t="str">
        <f t="shared" si="289"/>
        <v>REZoning_Sol-Win</v>
      </c>
      <c r="AP2293" t="s">
        <v>3167</v>
      </c>
      <c r="AQ2293" t="s">
        <v>57</v>
      </c>
      <c r="AR2293">
        <v>2100</v>
      </c>
      <c r="AS2293" t="s">
        <v>937</v>
      </c>
      <c r="AT2293" t="s">
        <v>58</v>
      </c>
    </row>
    <row r="2294" ht="29" spans="1:46">
      <c r="A2294" s="31" t="s">
        <v>83</v>
      </c>
      <c r="C2294" t="s">
        <v>3168</v>
      </c>
      <c r="D2294" s="5" t="s">
        <v>57</v>
      </c>
      <c r="E2294">
        <v>2035</v>
      </c>
      <c r="F2294" s="6" t="str">
        <f t="shared" si="282"/>
        <v>*0.95</v>
      </c>
      <c r="H2294" t="s">
        <v>3168</v>
      </c>
      <c r="I2294" s="5" t="s">
        <v>57</v>
      </c>
      <c r="J2294">
        <v>2050</v>
      </c>
      <c r="K2294" s="38" t="str">
        <f t="shared" si="283"/>
        <v>*0.92</v>
      </c>
      <c r="P2294" s="32" t="s">
        <v>3168</v>
      </c>
      <c r="Q2294" s="42" t="s">
        <v>57</v>
      </c>
      <c r="R2294" s="32">
        <v>2035</v>
      </c>
      <c r="S2294" s="43" t="str">
        <f t="shared" si="284"/>
        <v>*0.95</v>
      </c>
      <c r="U2294" s="32" t="s">
        <v>3168</v>
      </c>
      <c r="V2294" s="42" t="s">
        <v>57</v>
      </c>
      <c r="W2294" s="32">
        <v>2050</v>
      </c>
      <c r="X2294" s="43" t="str">
        <f t="shared" si="285"/>
        <v>*0.92</v>
      </c>
      <c r="AC2294" s="33" t="s">
        <v>3168</v>
      </c>
      <c r="AD2294" s="44" t="s">
        <v>57</v>
      </c>
      <c r="AE2294" s="33">
        <v>2035</v>
      </c>
      <c r="AF2294" s="45" t="str">
        <f t="shared" si="286"/>
        <v>*0.93</v>
      </c>
      <c r="AG2294" s="43" t="str">
        <f t="shared" si="288"/>
        <v>REZoning_Sol-Win</v>
      </c>
      <c r="AI2294" s="33" t="s">
        <v>3168</v>
      </c>
      <c r="AJ2294" s="44" t="s">
        <v>57</v>
      </c>
      <c r="AK2294" s="33">
        <v>2050</v>
      </c>
      <c r="AL2294" s="45" t="str">
        <f t="shared" si="287"/>
        <v>*0.89</v>
      </c>
      <c r="AM2294" s="43" t="str">
        <f t="shared" si="289"/>
        <v>REZoning_Sol-Win</v>
      </c>
      <c r="AP2294" t="s">
        <v>3168</v>
      </c>
      <c r="AQ2294" t="s">
        <v>57</v>
      </c>
      <c r="AR2294">
        <v>2100</v>
      </c>
      <c r="AS2294" t="s">
        <v>937</v>
      </c>
      <c r="AT2294" t="s">
        <v>58</v>
      </c>
    </row>
    <row r="2295" ht="29" spans="1:46">
      <c r="A2295" s="31" t="s">
        <v>83</v>
      </c>
      <c r="C2295" t="s">
        <v>3169</v>
      </c>
      <c r="D2295" s="5" t="s">
        <v>57</v>
      </c>
      <c r="E2295">
        <v>2035</v>
      </c>
      <c r="F2295" s="6" t="str">
        <f t="shared" si="282"/>
        <v>*0.95</v>
      </c>
      <c r="H2295" t="s">
        <v>3169</v>
      </c>
      <c r="I2295" s="5" t="s">
        <v>57</v>
      </c>
      <c r="J2295">
        <v>2050</v>
      </c>
      <c r="K2295" s="38" t="str">
        <f t="shared" si="283"/>
        <v>*0.92</v>
      </c>
      <c r="P2295" s="32" t="s">
        <v>3169</v>
      </c>
      <c r="Q2295" s="42" t="s">
        <v>57</v>
      </c>
      <c r="R2295" s="32">
        <v>2035</v>
      </c>
      <c r="S2295" s="43" t="str">
        <f t="shared" si="284"/>
        <v>*0.95</v>
      </c>
      <c r="U2295" s="32" t="s">
        <v>3169</v>
      </c>
      <c r="V2295" s="42" t="s">
        <v>57</v>
      </c>
      <c r="W2295" s="32">
        <v>2050</v>
      </c>
      <c r="X2295" s="43" t="str">
        <f t="shared" si="285"/>
        <v>*0.92</v>
      </c>
      <c r="AC2295" s="33" t="s">
        <v>3169</v>
      </c>
      <c r="AD2295" s="44" t="s">
        <v>57</v>
      </c>
      <c r="AE2295" s="33">
        <v>2035</v>
      </c>
      <c r="AF2295" s="45" t="str">
        <f t="shared" si="286"/>
        <v>*0.93</v>
      </c>
      <c r="AG2295" s="43" t="str">
        <f t="shared" si="288"/>
        <v>REZoning_Sol-Win</v>
      </c>
      <c r="AI2295" s="33" t="s">
        <v>3169</v>
      </c>
      <c r="AJ2295" s="44" t="s">
        <v>57</v>
      </c>
      <c r="AK2295" s="33">
        <v>2050</v>
      </c>
      <c r="AL2295" s="45" t="str">
        <f t="shared" si="287"/>
        <v>*0.89</v>
      </c>
      <c r="AM2295" s="43" t="str">
        <f t="shared" si="289"/>
        <v>REZoning_Sol-Win</v>
      </c>
      <c r="AP2295" t="s">
        <v>3169</v>
      </c>
      <c r="AQ2295" t="s">
        <v>57</v>
      </c>
      <c r="AR2295">
        <v>2100</v>
      </c>
      <c r="AS2295" t="s">
        <v>937</v>
      </c>
      <c r="AT2295" t="s">
        <v>58</v>
      </c>
    </row>
    <row r="2296" ht="29" spans="1:46">
      <c r="A2296" s="31" t="s">
        <v>83</v>
      </c>
      <c r="C2296" t="s">
        <v>3170</v>
      </c>
      <c r="D2296" s="5" t="s">
        <v>57</v>
      </c>
      <c r="E2296">
        <v>2035</v>
      </c>
      <c r="F2296" s="6" t="str">
        <f t="shared" si="282"/>
        <v>*0.95</v>
      </c>
      <c r="H2296" t="s">
        <v>3170</v>
      </c>
      <c r="I2296" s="5" t="s">
        <v>57</v>
      </c>
      <c r="J2296">
        <v>2050</v>
      </c>
      <c r="K2296" s="38" t="str">
        <f t="shared" si="283"/>
        <v>*0.92</v>
      </c>
      <c r="P2296" s="32" t="s">
        <v>3170</v>
      </c>
      <c r="Q2296" s="42" t="s">
        <v>57</v>
      </c>
      <c r="R2296" s="32">
        <v>2035</v>
      </c>
      <c r="S2296" s="43" t="str">
        <f t="shared" si="284"/>
        <v>*0.95</v>
      </c>
      <c r="U2296" s="32" t="s">
        <v>3170</v>
      </c>
      <c r="V2296" s="42" t="s">
        <v>57</v>
      </c>
      <c r="W2296" s="32">
        <v>2050</v>
      </c>
      <c r="X2296" s="43" t="str">
        <f t="shared" si="285"/>
        <v>*0.92</v>
      </c>
      <c r="AC2296" s="33" t="s">
        <v>3170</v>
      </c>
      <c r="AD2296" s="44" t="s">
        <v>57</v>
      </c>
      <c r="AE2296" s="33">
        <v>2035</v>
      </c>
      <c r="AF2296" s="45" t="str">
        <f t="shared" si="286"/>
        <v>*0.93</v>
      </c>
      <c r="AG2296" s="43" t="str">
        <f t="shared" si="288"/>
        <v>REZoning_Sol-Win</v>
      </c>
      <c r="AI2296" s="33" t="s">
        <v>3170</v>
      </c>
      <c r="AJ2296" s="44" t="s">
        <v>57</v>
      </c>
      <c r="AK2296" s="33">
        <v>2050</v>
      </c>
      <c r="AL2296" s="45" t="str">
        <f t="shared" si="287"/>
        <v>*0.89</v>
      </c>
      <c r="AM2296" s="43" t="str">
        <f t="shared" si="289"/>
        <v>REZoning_Sol-Win</v>
      </c>
      <c r="AP2296" t="s">
        <v>3170</v>
      </c>
      <c r="AQ2296" t="s">
        <v>57</v>
      </c>
      <c r="AR2296">
        <v>2100</v>
      </c>
      <c r="AS2296" t="s">
        <v>937</v>
      </c>
      <c r="AT2296" t="s">
        <v>58</v>
      </c>
    </row>
    <row r="2297" ht="29" spans="1:46">
      <c r="A2297" s="31" t="s">
        <v>83</v>
      </c>
      <c r="C2297" t="s">
        <v>3171</v>
      </c>
      <c r="D2297" s="5" t="s">
        <v>57</v>
      </c>
      <c r="E2297">
        <v>2035</v>
      </c>
      <c r="F2297" s="6" t="str">
        <f t="shared" si="282"/>
        <v>*0.95</v>
      </c>
      <c r="H2297" t="s">
        <v>3171</v>
      </c>
      <c r="I2297" s="5" t="s">
        <v>57</v>
      </c>
      <c r="J2297">
        <v>2050</v>
      </c>
      <c r="K2297" s="38" t="str">
        <f t="shared" si="283"/>
        <v>*0.92</v>
      </c>
      <c r="P2297" s="32" t="s">
        <v>3171</v>
      </c>
      <c r="Q2297" s="42" t="s">
        <v>57</v>
      </c>
      <c r="R2297" s="32">
        <v>2035</v>
      </c>
      <c r="S2297" s="43" t="str">
        <f t="shared" si="284"/>
        <v>*0.95</v>
      </c>
      <c r="U2297" s="32" t="s">
        <v>3171</v>
      </c>
      <c r="V2297" s="42" t="s">
        <v>57</v>
      </c>
      <c r="W2297" s="32">
        <v>2050</v>
      </c>
      <c r="X2297" s="43" t="str">
        <f t="shared" si="285"/>
        <v>*0.92</v>
      </c>
      <c r="AC2297" s="33" t="s">
        <v>3171</v>
      </c>
      <c r="AD2297" s="44" t="s">
        <v>57</v>
      </c>
      <c r="AE2297" s="33">
        <v>2035</v>
      </c>
      <c r="AF2297" s="45" t="str">
        <f t="shared" si="286"/>
        <v>*0.93</v>
      </c>
      <c r="AG2297" s="43" t="str">
        <f t="shared" si="288"/>
        <v>REZoning_Sol-Win</v>
      </c>
      <c r="AI2297" s="33" t="s">
        <v>3171</v>
      </c>
      <c r="AJ2297" s="44" t="s">
        <v>57</v>
      </c>
      <c r="AK2297" s="33">
        <v>2050</v>
      </c>
      <c r="AL2297" s="45" t="str">
        <f t="shared" si="287"/>
        <v>*0.89</v>
      </c>
      <c r="AM2297" s="43" t="str">
        <f t="shared" si="289"/>
        <v>REZoning_Sol-Win</v>
      </c>
      <c r="AP2297" t="s">
        <v>3171</v>
      </c>
      <c r="AQ2297" t="s">
        <v>57</v>
      </c>
      <c r="AR2297">
        <v>2100</v>
      </c>
      <c r="AS2297" t="s">
        <v>937</v>
      </c>
      <c r="AT2297" t="s">
        <v>58</v>
      </c>
    </row>
    <row r="2298" ht="29" spans="1:46">
      <c r="A2298" s="31" t="s">
        <v>83</v>
      </c>
      <c r="C2298" t="s">
        <v>3172</v>
      </c>
      <c r="D2298" s="5" t="s">
        <v>57</v>
      </c>
      <c r="E2298">
        <v>2035</v>
      </c>
      <c r="F2298" s="6" t="str">
        <f t="shared" si="282"/>
        <v>*0.95</v>
      </c>
      <c r="H2298" t="s">
        <v>3172</v>
      </c>
      <c r="I2298" s="5" t="s">
        <v>57</v>
      </c>
      <c r="J2298">
        <v>2050</v>
      </c>
      <c r="K2298" s="38" t="str">
        <f t="shared" si="283"/>
        <v>*0.92</v>
      </c>
      <c r="P2298" s="32" t="s">
        <v>3172</v>
      </c>
      <c r="Q2298" s="42" t="s">
        <v>57</v>
      </c>
      <c r="R2298" s="32">
        <v>2035</v>
      </c>
      <c r="S2298" s="43" t="str">
        <f t="shared" si="284"/>
        <v>*0.95</v>
      </c>
      <c r="U2298" s="32" t="s">
        <v>3172</v>
      </c>
      <c r="V2298" s="42" t="s">
        <v>57</v>
      </c>
      <c r="W2298" s="32">
        <v>2050</v>
      </c>
      <c r="X2298" s="43" t="str">
        <f t="shared" si="285"/>
        <v>*0.92</v>
      </c>
      <c r="AC2298" s="33" t="s">
        <v>3172</v>
      </c>
      <c r="AD2298" s="44" t="s">
        <v>57</v>
      </c>
      <c r="AE2298" s="33">
        <v>2035</v>
      </c>
      <c r="AF2298" s="45" t="str">
        <f t="shared" si="286"/>
        <v>*0.93</v>
      </c>
      <c r="AG2298" s="43" t="str">
        <f t="shared" si="288"/>
        <v>REZoning_Sol-Win</v>
      </c>
      <c r="AI2298" s="33" t="s">
        <v>3172</v>
      </c>
      <c r="AJ2298" s="44" t="s">
        <v>57</v>
      </c>
      <c r="AK2298" s="33">
        <v>2050</v>
      </c>
      <c r="AL2298" s="45" t="str">
        <f t="shared" si="287"/>
        <v>*0.89</v>
      </c>
      <c r="AM2298" s="43" t="str">
        <f t="shared" si="289"/>
        <v>REZoning_Sol-Win</v>
      </c>
      <c r="AP2298" t="s">
        <v>3172</v>
      </c>
      <c r="AQ2298" t="s">
        <v>57</v>
      </c>
      <c r="AR2298">
        <v>2100</v>
      </c>
      <c r="AS2298" t="s">
        <v>937</v>
      </c>
      <c r="AT2298" t="s">
        <v>58</v>
      </c>
    </row>
    <row r="2299" ht="29" spans="1:46">
      <c r="A2299" s="31" t="s">
        <v>83</v>
      </c>
      <c r="C2299" t="s">
        <v>3173</v>
      </c>
      <c r="D2299" s="5" t="s">
        <v>57</v>
      </c>
      <c r="E2299">
        <v>2035</v>
      </c>
      <c r="F2299" s="6" t="str">
        <f t="shared" si="282"/>
        <v>*0.95</v>
      </c>
      <c r="H2299" t="s">
        <v>3173</v>
      </c>
      <c r="I2299" s="5" t="s">
        <v>57</v>
      </c>
      <c r="J2299">
        <v>2050</v>
      </c>
      <c r="K2299" s="38" t="str">
        <f t="shared" si="283"/>
        <v>*0.92</v>
      </c>
      <c r="P2299" s="32" t="s">
        <v>3173</v>
      </c>
      <c r="Q2299" s="42" t="s">
        <v>57</v>
      </c>
      <c r="R2299" s="32">
        <v>2035</v>
      </c>
      <c r="S2299" s="43" t="str">
        <f t="shared" si="284"/>
        <v>*0.95</v>
      </c>
      <c r="U2299" s="32" t="s">
        <v>3173</v>
      </c>
      <c r="V2299" s="42" t="s">
        <v>57</v>
      </c>
      <c r="W2299" s="32">
        <v>2050</v>
      </c>
      <c r="X2299" s="43" t="str">
        <f t="shared" si="285"/>
        <v>*0.92</v>
      </c>
      <c r="AC2299" s="33" t="s">
        <v>3173</v>
      </c>
      <c r="AD2299" s="44" t="s">
        <v>57</v>
      </c>
      <c r="AE2299" s="33">
        <v>2035</v>
      </c>
      <c r="AF2299" s="45" t="str">
        <f t="shared" si="286"/>
        <v>*0.93</v>
      </c>
      <c r="AG2299" s="43" t="str">
        <f t="shared" si="288"/>
        <v>REZoning_Sol-Win</v>
      </c>
      <c r="AI2299" s="33" t="s">
        <v>3173</v>
      </c>
      <c r="AJ2299" s="44" t="s">
        <v>57</v>
      </c>
      <c r="AK2299" s="33">
        <v>2050</v>
      </c>
      <c r="AL2299" s="45" t="str">
        <f t="shared" si="287"/>
        <v>*0.89</v>
      </c>
      <c r="AM2299" s="43" t="str">
        <f t="shared" si="289"/>
        <v>REZoning_Sol-Win</v>
      </c>
      <c r="AP2299" t="s">
        <v>3173</v>
      </c>
      <c r="AQ2299" t="s">
        <v>57</v>
      </c>
      <c r="AR2299">
        <v>2100</v>
      </c>
      <c r="AS2299" t="s">
        <v>937</v>
      </c>
      <c r="AT2299" t="s">
        <v>58</v>
      </c>
    </row>
    <row r="2300" ht="29" spans="1:46">
      <c r="A2300" s="31" t="s">
        <v>83</v>
      </c>
      <c r="C2300" t="s">
        <v>3174</v>
      </c>
      <c r="D2300" s="5" t="s">
        <v>57</v>
      </c>
      <c r="E2300">
        <v>2035</v>
      </c>
      <c r="F2300" s="6" t="str">
        <f t="shared" si="282"/>
        <v>*0.95</v>
      </c>
      <c r="H2300" t="s">
        <v>3174</v>
      </c>
      <c r="I2300" s="5" t="s">
        <v>57</v>
      </c>
      <c r="J2300">
        <v>2050</v>
      </c>
      <c r="K2300" s="38" t="str">
        <f t="shared" si="283"/>
        <v>*0.92</v>
      </c>
      <c r="P2300" s="32" t="s">
        <v>3174</v>
      </c>
      <c r="Q2300" s="42" t="s">
        <v>57</v>
      </c>
      <c r="R2300" s="32">
        <v>2035</v>
      </c>
      <c r="S2300" s="43" t="str">
        <f t="shared" si="284"/>
        <v>*0.95</v>
      </c>
      <c r="U2300" s="32" t="s">
        <v>3174</v>
      </c>
      <c r="V2300" s="42" t="s">
        <v>57</v>
      </c>
      <c r="W2300" s="32">
        <v>2050</v>
      </c>
      <c r="X2300" s="43" t="str">
        <f t="shared" si="285"/>
        <v>*0.92</v>
      </c>
      <c r="AC2300" s="33" t="s">
        <v>3174</v>
      </c>
      <c r="AD2300" s="44" t="s">
        <v>57</v>
      </c>
      <c r="AE2300" s="33">
        <v>2035</v>
      </c>
      <c r="AF2300" s="45" t="str">
        <f t="shared" si="286"/>
        <v>*0.93</v>
      </c>
      <c r="AG2300" s="43" t="str">
        <f t="shared" si="288"/>
        <v>REZoning_Sol-Win</v>
      </c>
      <c r="AI2300" s="33" t="s">
        <v>3174</v>
      </c>
      <c r="AJ2300" s="44" t="s">
        <v>57</v>
      </c>
      <c r="AK2300" s="33">
        <v>2050</v>
      </c>
      <c r="AL2300" s="45" t="str">
        <f t="shared" si="287"/>
        <v>*0.89</v>
      </c>
      <c r="AM2300" s="43" t="str">
        <f t="shared" si="289"/>
        <v>REZoning_Sol-Win</v>
      </c>
      <c r="AP2300" t="s">
        <v>3174</v>
      </c>
      <c r="AQ2300" t="s">
        <v>57</v>
      </c>
      <c r="AR2300">
        <v>2100</v>
      </c>
      <c r="AS2300" t="s">
        <v>937</v>
      </c>
      <c r="AT2300" t="s">
        <v>58</v>
      </c>
    </row>
    <row r="2301" ht="29" spans="1:46">
      <c r="A2301" s="31" t="s">
        <v>83</v>
      </c>
      <c r="C2301" t="s">
        <v>3175</v>
      </c>
      <c r="D2301" s="5" t="s">
        <v>57</v>
      </c>
      <c r="E2301">
        <v>2035</v>
      </c>
      <c r="F2301" s="6" t="str">
        <f t="shared" si="282"/>
        <v>*0.95</v>
      </c>
      <c r="H2301" t="s">
        <v>3175</v>
      </c>
      <c r="I2301" s="5" t="s">
        <v>57</v>
      </c>
      <c r="J2301">
        <v>2050</v>
      </c>
      <c r="K2301" s="38" t="str">
        <f t="shared" si="283"/>
        <v>*0.92</v>
      </c>
      <c r="P2301" s="32" t="s">
        <v>3175</v>
      </c>
      <c r="Q2301" s="42" t="s">
        <v>57</v>
      </c>
      <c r="R2301" s="32">
        <v>2035</v>
      </c>
      <c r="S2301" s="43" t="str">
        <f t="shared" si="284"/>
        <v>*0.95</v>
      </c>
      <c r="U2301" s="32" t="s">
        <v>3175</v>
      </c>
      <c r="V2301" s="42" t="s">
        <v>57</v>
      </c>
      <c r="W2301" s="32">
        <v>2050</v>
      </c>
      <c r="X2301" s="43" t="str">
        <f t="shared" si="285"/>
        <v>*0.92</v>
      </c>
      <c r="AC2301" s="33" t="s">
        <v>3175</v>
      </c>
      <c r="AD2301" s="44" t="s">
        <v>57</v>
      </c>
      <c r="AE2301" s="33">
        <v>2035</v>
      </c>
      <c r="AF2301" s="45" t="str">
        <f t="shared" si="286"/>
        <v>*0.93</v>
      </c>
      <c r="AG2301" s="43" t="str">
        <f t="shared" si="288"/>
        <v>REZoning_Sol-Win</v>
      </c>
      <c r="AI2301" s="33" t="s">
        <v>3175</v>
      </c>
      <c r="AJ2301" s="44" t="s">
        <v>57</v>
      </c>
      <c r="AK2301" s="33">
        <v>2050</v>
      </c>
      <c r="AL2301" s="45" t="str">
        <f t="shared" si="287"/>
        <v>*0.89</v>
      </c>
      <c r="AM2301" s="43" t="str">
        <f t="shared" si="289"/>
        <v>REZoning_Sol-Win</v>
      </c>
      <c r="AP2301" t="s">
        <v>3175</v>
      </c>
      <c r="AQ2301" t="s">
        <v>57</v>
      </c>
      <c r="AR2301">
        <v>2100</v>
      </c>
      <c r="AS2301" t="s">
        <v>937</v>
      </c>
      <c r="AT2301" t="s">
        <v>58</v>
      </c>
    </row>
    <row r="2302" ht="29" spans="1:46">
      <c r="A2302" s="31" t="s">
        <v>83</v>
      </c>
      <c r="C2302" t="s">
        <v>3176</v>
      </c>
      <c r="D2302" s="5" t="s">
        <v>57</v>
      </c>
      <c r="E2302">
        <v>2035</v>
      </c>
      <c r="F2302" s="6" t="str">
        <f t="shared" si="282"/>
        <v>*0.95</v>
      </c>
      <c r="H2302" t="s">
        <v>3176</v>
      </c>
      <c r="I2302" s="5" t="s">
        <v>57</v>
      </c>
      <c r="J2302">
        <v>2050</v>
      </c>
      <c r="K2302" s="38" t="str">
        <f t="shared" si="283"/>
        <v>*0.92</v>
      </c>
      <c r="P2302" s="32" t="s">
        <v>3176</v>
      </c>
      <c r="Q2302" s="42" t="s">
        <v>57</v>
      </c>
      <c r="R2302" s="32">
        <v>2035</v>
      </c>
      <c r="S2302" s="43" t="str">
        <f t="shared" si="284"/>
        <v>*0.95</v>
      </c>
      <c r="U2302" s="32" t="s">
        <v>3176</v>
      </c>
      <c r="V2302" s="42" t="s">
        <v>57</v>
      </c>
      <c r="W2302" s="32">
        <v>2050</v>
      </c>
      <c r="X2302" s="43" t="str">
        <f t="shared" si="285"/>
        <v>*0.92</v>
      </c>
      <c r="AC2302" s="33" t="s">
        <v>3176</v>
      </c>
      <c r="AD2302" s="44" t="s">
        <v>57</v>
      </c>
      <c r="AE2302" s="33">
        <v>2035</v>
      </c>
      <c r="AF2302" s="45" t="str">
        <f t="shared" si="286"/>
        <v>*0.93</v>
      </c>
      <c r="AG2302" s="43" t="str">
        <f t="shared" si="288"/>
        <v>REZoning_Sol-Win</v>
      </c>
      <c r="AI2302" s="33" t="s">
        <v>3176</v>
      </c>
      <c r="AJ2302" s="44" t="s">
        <v>57</v>
      </c>
      <c r="AK2302" s="33">
        <v>2050</v>
      </c>
      <c r="AL2302" s="45" t="str">
        <f t="shared" si="287"/>
        <v>*0.89</v>
      </c>
      <c r="AM2302" s="43" t="str">
        <f t="shared" si="289"/>
        <v>REZoning_Sol-Win</v>
      </c>
      <c r="AP2302" t="s">
        <v>3176</v>
      </c>
      <c r="AQ2302" t="s">
        <v>57</v>
      </c>
      <c r="AR2302">
        <v>2100</v>
      </c>
      <c r="AS2302" t="s">
        <v>937</v>
      </c>
      <c r="AT2302" t="s">
        <v>58</v>
      </c>
    </row>
    <row r="2303" ht="29" spans="1:46">
      <c r="A2303" s="31" t="s">
        <v>83</v>
      </c>
      <c r="C2303" t="s">
        <v>3177</v>
      </c>
      <c r="D2303" s="5" t="s">
        <v>57</v>
      </c>
      <c r="E2303">
        <v>2035</v>
      </c>
      <c r="F2303" s="6" t="str">
        <f t="shared" si="282"/>
        <v>*0.95</v>
      </c>
      <c r="H2303" t="s">
        <v>3177</v>
      </c>
      <c r="I2303" s="5" t="s">
        <v>57</v>
      </c>
      <c r="J2303">
        <v>2050</v>
      </c>
      <c r="K2303" s="38" t="str">
        <f t="shared" si="283"/>
        <v>*0.92</v>
      </c>
      <c r="P2303" s="32" t="s">
        <v>3177</v>
      </c>
      <c r="Q2303" s="42" t="s">
        <v>57</v>
      </c>
      <c r="R2303" s="32">
        <v>2035</v>
      </c>
      <c r="S2303" s="43" t="str">
        <f t="shared" si="284"/>
        <v>*0.95</v>
      </c>
      <c r="U2303" s="32" t="s">
        <v>3177</v>
      </c>
      <c r="V2303" s="42" t="s">
        <v>57</v>
      </c>
      <c r="W2303" s="32">
        <v>2050</v>
      </c>
      <c r="X2303" s="43" t="str">
        <f t="shared" si="285"/>
        <v>*0.92</v>
      </c>
      <c r="AC2303" s="33" t="s">
        <v>3177</v>
      </c>
      <c r="AD2303" s="44" t="s">
        <v>57</v>
      </c>
      <c r="AE2303" s="33">
        <v>2035</v>
      </c>
      <c r="AF2303" s="45" t="str">
        <f t="shared" si="286"/>
        <v>*0.93</v>
      </c>
      <c r="AG2303" s="43" t="str">
        <f t="shared" si="288"/>
        <v>REZoning_Sol-Win</v>
      </c>
      <c r="AI2303" s="33" t="s">
        <v>3177</v>
      </c>
      <c r="AJ2303" s="44" t="s">
        <v>57</v>
      </c>
      <c r="AK2303" s="33">
        <v>2050</v>
      </c>
      <c r="AL2303" s="45" t="str">
        <f t="shared" si="287"/>
        <v>*0.89</v>
      </c>
      <c r="AM2303" s="43" t="str">
        <f t="shared" si="289"/>
        <v>REZoning_Sol-Win</v>
      </c>
      <c r="AP2303" t="s">
        <v>3177</v>
      </c>
      <c r="AQ2303" t="s">
        <v>57</v>
      </c>
      <c r="AR2303">
        <v>2100</v>
      </c>
      <c r="AS2303" t="s">
        <v>937</v>
      </c>
      <c r="AT2303" t="s">
        <v>58</v>
      </c>
    </row>
    <row r="2304" ht="29" spans="1:46">
      <c r="A2304" s="31" t="s">
        <v>83</v>
      </c>
      <c r="C2304" t="s">
        <v>3178</v>
      </c>
      <c r="D2304" s="5" t="s">
        <v>57</v>
      </c>
      <c r="E2304">
        <v>2035</v>
      </c>
      <c r="F2304" s="6" t="str">
        <f t="shared" si="282"/>
        <v>*0.95</v>
      </c>
      <c r="H2304" t="s">
        <v>3178</v>
      </c>
      <c r="I2304" s="5" t="s">
        <v>57</v>
      </c>
      <c r="J2304">
        <v>2050</v>
      </c>
      <c r="K2304" s="38" t="str">
        <f t="shared" si="283"/>
        <v>*0.92</v>
      </c>
      <c r="P2304" s="32" t="s">
        <v>3178</v>
      </c>
      <c r="Q2304" s="42" t="s">
        <v>57</v>
      </c>
      <c r="R2304" s="32">
        <v>2035</v>
      </c>
      <c r="S2304" s="43" t="str">
        <f t="shared" si="284"/>
        <v>*0.95</v>
      </c>
      <c r="U2304" s="32" t="s">
        <v>3178</v>
      </c>
      <c r="V2304" s="42" t="s">
        <v>57</v>
      </c>
      <c r="W2304" s="32">
        <v>2050</v>
      </c>
      <c r="X2304" s="43" t="str">
        <f t="shared" si="285"/>
        <v>*0.92</v>
      </c>
      <c r="AC2304" s="33" t="s">
        <v>3178</v>
      </c>
      <c r="AD2304" s="44" t="s">
        <v>57</v>
      </c>
      <c r="AE2304" s="33">
        <v>2035</v>
      </c>
      <c r="AF2304" s="45" t="str">
        <f t="shared" si="286"/>
        <v>*0.93</v>
      </c>
      <c r="AG2304" s="43" t="str">
        <f t="shared" si="288"/>
        <v>REZoning_Sol-Win</v>
      </c>
      <c r="AI2304" s="33" t="s">
        <v>3178</v>
      </c>
      <c r="AJ2304" s="44" t="s">
        <v>57</v>
      </c>
      <c r="AK2304" s="33">
        <v>2050</v>
      </c>
      <c r="AL2304" s="45" t="str">
        <f t="shared" si="287"/>
        <v>*0.89</v>
      </c>
      <c r="AM2304" s="43" t="str">
        <f t="shared" si="289"/>
        <v>REZoning_Sol-Win</v>
      </c>
      <c r="AP2304" t="s">
        <v>3178</v>
      </c>
      <c r="AQ2304" t="s">
        <v>57</v>
      </c>
      <c r="AR2304">
        <v>2100</v>
      </c>
      <c r="AS2304" t="s">
        <v>937</v>
      </c>
      <c r="AT2304" t="s">
        <v>58</v>
      </c>
    </row>
    <row r="2305" ht="29" spans="1:46">
      <c r="A2305" s="31" t="s">
        <v>83</v>
      </c>
      <c r="C2305" t="s">
        <v>3179</v>
      </c>
      <c r="D2305" s="5" t="s">
        <v>57</v>
      </c>
      <c r="E2305">
        <v>2035</v>
      </c>
      <c r="F2305" s="6" t="str">
        <f t="shared" si="282"/>
        <v>*0.95</v>
      </c>
      <c r="H2305" t="s">
        <v>3179</v>
      </c>
      <c r="I2305" s="5" t="s">
        <v>57</v>
      </c>
      <c r="J2305">
        <v>2050</v>
      </c>
      <c r="K2305" s="38" t="str">
        <f t="shared" si="283"/>
        <v>*0.92</v>
      </c>
      <c r="P2305" s="32" t="s">
        <v>3179</v>
      </c>
      <c r="Q2305" s="42" t="s">
        <v>57</v>
      </c>
      <c r="R2305" s="32">
        <v>2035</v>
      </c>
      <c r="S2305" s="43" t="str">
        <f t="shared" si="284"/>
        <v>*0.95</v>
      </c>
      <c r="U2305" s="32" t="s">
        <v>3179</v>
      </c>
      <c r="V2305" s="42" t="s">
        <v>57</v>
      </c>
      <c r="W2305" s="32">
        <v>2050</v>
      </c>
      <c r="X2305" s="43" t="str">
        <f t="shared" si="285"/>
        <v>*0.92</v>
      </c>
      <c r="AC2305" s="33" t="s">
        <v>3179</v>
      </c>
      <c r="AD2305" s="44" t="s">
        <v>57</v>
      </c>
      <c r="AE2305" s="33">
        <v>2035</v>
      </c>
      <c r="AF2305" s="45" t="str">
        <f t="shared" si="286"/>
        <v>*0.93</v>
      </c>
      <c r="AG2305" s="43" t="str">
        <f t="shared" si="288"/>
        <v>REZoning_Sol-Win</v>
      </c>
      <c r="AI2305" s="33" t="s">
        <v>3179</v>
      </c>
      <c r="AJ2305" s="44" t="s">
        <v>57</v>
      </c>
      <c r="AK2305" s="33">
        <v>2050</v>
      </c>
      <c r="AL2305" s="45" t="str">
        <f t="shared" si="287"/>
        <v>*0.89</v>
      </c>
      <c r="AM2305" s="43" t="str">
        <f t="shared" si="289"/>
        <v>REZoning_Sol-Win</v>
      </c>
      <c r="AP2305" t="s">
        <v>3179</v>
      </c>
      <c r="AQ2305" t="s">
        <v>57</v>
      </c>
      <c r="AR2305">
        <v>2100</v>
      </c>
      <c r="AS2305" t="s">
        <v>937</v>
      </c>
      <c r="AT2305" t="s">
        <v>58</v>
      </c>
    </row>
    <row r="2306" ht="29" spans="1:46">
      <c r="A2306" s="31" t="s">
        <v>83</v>
      </c>
      <c r="C2306" t="s">
        <v>3180</v>
      </c>
      <c r="D2306" s="5" t="s">
        <v>57</v>
      </c>
      <c r="E2306">
        <v>2035</v>
      </c>
      <c r="F2306" s="6" t="str">
        <f t="shared" si="282"/>
        <v>*0.95</v>
      </c>
      <c r="H2306" t="s">
        <v>3180</v>
      </c>
      <c r="I2306" s="5" t="s">
        <v>57</v>
      </c>
      <c r="J2306">
        <v>2050</v>
      </c>
      <c r="K2306" s="38" t="str">
        <f t="shared" si="283"/>
        <v>*0.92</v>
      </c>
      <c r="P2306" s="32" t="s">
        <v>3180</v>
      </c>
      <c r="Q2306" s="42" t="s">
        <v>57</v>
      </c>
      <c r="R2306" s="32">
        <v>2035</v>
      </c>
      <c r="S2306" s="43" t="str">
        <f t="shared" si="284"/>
        <v>*0.95</v>
      </c>
      <c r="U2306" s="32" t="s">
        <v>3180</v>
      </c>
      <c r="V2306" s="42" t="s">
        <v>57</v>
      </c>
      <c r="W2306" s="32">
        <v>2050</v>
      </c>
      <c r="X2306" s="43" t="str">
        <f t="shared" si="285"/>
        <v>*0.92</v>
      </c>
      <c r="AC2306" s="33" t="s">
        <v>3180</v>
      </c>
      <c r="AD2306" s="44" t="s">
        <v>57</v>
      </c>
      <c r="AE2306" s="33">
        <v>2035</v>
      </c>
      <c r="AF2306" s="45" t="str">
        <f t="shared" si="286"/>
        <v>*0.93</v>
      </c>
      <c r="AG2306" s="43" t="str">
        <f t="shared" si="288"/>
        <v>REZoning_Sol-Win</v>
      </c>
      <c r="AI2306" s="33" t="s">
        <v>3180</v>
      </c>
      <c r="AJ2306" s="44" t="s">
        <v>57</v>
      </c>
      <c r="AK2306" s="33">
        <v>2050</v>
      </c>
      <c r="AL2306" s="45" t="str">
        <f t="shared" si="287"/>
        <v>*0.89</v>
      </c>
      <c r="AM2306" s="43" t="str">
        <f t="shared" si="289"/>
        <v>REZoning_Sol-Win</v>
      </c>
      <c r="AP2306" t="s">
        <v>3180</v>
      </c>
      <c r="AQ2306" t="s">
        <v>57</v>
      </c>
      <c r="AR2306">
        <v>2100</v>
      </c>
      <c r="AS2306" t="s">
        <v>937</v>
      </c>
      <c r="AT2306" t="s">
        <v>58</v>
      </c>
    </row>
    <row r="2307" ht="29" spans="1:46">
      <c r="A2307" s="31" t="s">
        <v>83</v>
      </c>
      <c r="C2307" t="s">
        <v>3181</v>
      </c>
      <c r="D2307" s="5" t="s">
        <v>57</v>
      </c>
      <c r="E2307">
        <v>2035</v>
      </c>
      <c r="F2307" s="6" t="str">
        <f t="shared" si="282"/>
        <v>*0.95</v>
      </c>
      <c r="H2307" t="s">
        <v>3181</v>
      </c>
      <c r="I2307" s="5" t="s">
        <v>57</v>
      </c>
      <c r="J2307">
        <v>2050</v>
      </c>
      <c r="K2307" s="38" t="str">
        <f t="shared" si="283"/>
        <v>*0.92</v>
      </c>
      <c r="P2307" s="32" t="s">
        <v>3181</v>
      </c>
      <c r="Q2307" s="42" t="s">
        <v>57</v>
      </c>
      <c r="R2307" s="32">
        <v>2035</v>
      </c>
      <c r="S2307" s="43" t="str">
        <f t="shared" si="284"/>
        <v>*0.95</v>
      </c>
      <c r="U2307" s="32" t="s">
        <v>3181</v>
      </c>
      <c r="V2307" s="42" t="s">
        <v>57</v>
      </c>
      <c r="W2307" s="32">
        <v>2050</v>
      </c>
      <c r="X2307" s="43" t="str">
        <f t="shared" si="285"/>
        <v>*0.92</v>
      </c>
      <c r="AC2307" s="33" t="s">
        <v>3181</v>
      </c>
      <c r="AD2307" s="44" t="s">
        <v>57</v>
      </c>
      <c r="AE2307" s="33">
        <v>2035</v>
      </c>
      <c r="AF2307" s="45" t="str">
        <f t="shared" si="286"/>
        <v>*0.93</v>
      </c>
      <c r="AG2307" s="43" t="str">
        <f t="shared" si="288"/>
        <v>REZoning_Sol-Win</v>
      </c>
      <c r="AI2307" s="33" t="s">
        <v>3181</v>
      </c>
      <c r="AJ2307" s="44" t="s">
        <v>57</v>
      </c>
      <c r="AK2307" s="33">
        <v>2050</v>
      </c>
      <c r="AL2307" s="45" t="str">
        <f t="shared" si="287"/>
        <v>*0.89</v>
      </c>
      <c r="AM2307" s="43" t="str">
        <f t="shared" si="289"/>
        <v>REZoning_Sol-Win</v>
      </c>
      <c r="AP2307" t="s">
        <v>3181</v>
      </c>
      <c r="AQ2307" t="s">
        <v>57</v>
      </c>
      <c r="AR2307">
        <v>2100</v>
      </c>
      <c r="AS2307" t="s">
        <v>937</v>
      </c>
      <c r="AT2307" t="s">
        <v>58</v>
      </c>
    </row>
    <row r="2308" ht="29" spans="1:46">
      <c r="A2308" s="31" t="s">
        <v>83</v>
      </c>
      <c r="C2308" t="s">
        <v>3182</v>
      </c>
      <c r="D2308" s="5" t="s">
        <v>57</v>
      </c>
      <c r="E2308">
        <v>2035</v>
      </c>
      <c r="F2308" s="6" t="str">
        <f t="shared" ref="F2308:F2371" si="290">"*"&amp;IF(AND(A2308="EU",E2308=2035),0.95,IF(AND(A2308="EU",E2308=2050),0.93,IF(AND(A2308="USA",E2308=2035),0.96,IF(AND(A2308="USA",E2308=2050),0.94,IF(AND(A2308="Japan",E2308=2035),0.94,IF(AND(A2308="Japan",E2308=2050),0.92,IF(AND(A2308="Russia",E2308=2035),0.95,IF(AND(A2308="Russia",E2308=2050),0.93,IF(AND(A2308="China",E2308=2035),0.94,IF(AND(A2308="China",E2308=2050),0.92,IF(AND(A2308="India",E2308=2035),0.95,IF(AND(A2308="India",E2308=2050),0.92,IF(AND(A2308="Middle East",E2308=2035),0.94,IF(AND(A2308="Middle East",E2308=2050),0.9,IF(AND(A2308="Africa",E2308=2035),0.94,IF(AND(A2308="Africa",E2308=2050),0.91,IF(AND(A2308="Brazil",E2308=2035),0.95,IF(AND(A2308="Brazil",E2308=2050),0.92,""))))))))))))))))))</f>
        <v>*0.95</v>
      </c>
      <c r="H2308" t="s">
        <v>3182</v>
      </c>
      <c r="I2308" s="5" t="s">
        <v>57</v>
      </c>
      <c r="J2308">
        <v>2050</v>
      </c>
      <c r="K2308" s="38" t="str">
        <f t="shared" ref="K2308:K2371" si="291">"*"&amp;IF(AND(A2308="EU",J2308=2035),0.95,IF(AND(A2308="EU",J2308=2050),0.93,IF(AND(A2308="USA",J2308=2035),0.96,IF(AND(A2308="USA",J2308=2050),0.94,IF(AND(A2308="Japan",J2308=2035),0.94,IF(AND(A2308="Japan",J2308=2050),0.92,IF(AND(A2308="Russia",J2308=2035),0.95,IF(AND(A2308="Russia",J2308=2050),0.93,IF(AND(A2308="China",J2308=2035),0.94,IF(AND(A2308="China",J2308=2050),0.92,IF(AND(A2308="India",J2308=2035),0.95,IF(AND(A2308="India",J2308=2050),0.92,IF(AND(A2308="Middle East",J2308=2035),0.94,IF(AND(A2308="Middle East",J2308=2050),0.9,IF(AND(A2308="Africa",J2308=2035),0.94,IF(AND(A2308="Africa",J2308=2050),0.91,IF(AND(A2308="Brazil",J2308=2035),0.95,IF(AND(A2308="Brazil",J2308=2050),0.92,""))))))))))))))))))</f>
        <v>*0.92</v>
      </c>
      <c r="P2308" s="32" t="s">
        <v>3182</v>
      </c>
      <c r="Q2308" s="42" t="s">
        <v>57</v>
      </c>
      <c r="R2308" s="32">
        <v>2035</v>
      </c>
      <c r="S2308" s="43" t="str">
        <f t="shared" ref="S2308:S2371" si="292">"*"&amp;IF(AND(A2308="EU",R2308=2035),0.95,IF(AND(A2308="EU",R2308=2050),0.93,IF(AND(A2308="USA",R2308=2035),0.96,IF(AND(A2308="USA",R2308=2050),0.93,IF(AND(A2308="Japan",R2308=2035),0.94,IF(AND(A2308="Japan",R2308=2050),0.92,IF(AND(A2308="Russia",R2308=2035),0.95,IF(AND(A2308="Russia",R2308=2050),0.91,IF(AND(A2308="China",R2308=2035),0.93,IF(AND(A2308="China",R2308=2050),0.92,IF(AND(A2308="India",R2308=2035),0.94,IF(AND(A2308="India",R2308=2050),0.91,IF(AND(A2308="Middle East",R2308=2035),0.92,IF(AND(A2308="Middle East",R2308=2050),0.89,IF(AND(A2308="Africa",R2308=2035),0.93,IF(AND(A2308="Africa",R2308=2050),0.9,IF(AND(A2308="Brazil",R2308=2035),0.95,IF(AND(A2308="Brazil",R2308=2050),0.92,""))))))))))))))))))</f>
        <v>*0.95</v>
      </c>
      <c r="U2308" s="32" t="s">
        <v>3182</v>
      </c>
      <c r="V2308" s="42" t="s">
        <v>57</v>
      </c>
      <c r="W2308" s="32">
        <v>2050</v>
      </c>
      <c r="X2308" s="43" t="str">
        <f t="shared" ref="X2308:X2371" si="293">"*"&amp;IF(AND(A2308="EU",W2308=2035),0.95,IF(AND(A2308="EU",W2308=2050),0.93,IF(AND(A2308="USA",W2308=2035),0.96,IF(AND(A2308="USA",W2308=2050),0.93,IF(AND(A2308="Japan",W2308=2035),0.94,IF(AND(A2308="Japan",W2308=2050),0.92,IF(AND(A2308="Russia",W2308=2035),0.95,IF(AND(A2308="Russia",W2308=2050),0.91,IF(AND(A2308="China",W2308=2035),0.93,IF(AND(A2308="China",W2308=2050),0.92,IF(AND(A2308="India",W2308=2035),0.94,IF(AND(A2308="India",W2308=2050),0.91,IF(AND(A2308="Middle East",W2308=2035),0.92,IF(AND(A2308="Middle East",W2308=2050),0.89,IF(AND(A2308="Africa",W2308=2035),0.93,IF(AND(A2308="Africa",W2308=2050),0.9,IF(AND(A2308="Brazil",W2308=2035),0.95,IF(AND(A2308="Brazil",W2308=2050),0.92,""))))))))))))))))))</f>
        <v>*0.92</v>
      </c>
      <c r="AC2308" s="33" t="s">
        <v>3182</v>
      </c>
      <c r="AD2308" s="44" t="s">
        <v>57</v>
      </c>
      <c r="AE2308" s="33">
        <v>2035</v>
      </c>
      <c r="AF2308" s="45" t="str">
        <f t="shared" ref="AF2308:AF2371" si="294">"*"&amp;IF(AND(A2308="EU",AE2308=2035),0.93,IF(AND(A2308="EU",AE2308=2050),0.9,IF(AND(A2308="USA",AE2308=2035),0.92,IF(AND(A2308="USA",AE2308=2050),0.89,IF(AND(A2308="Japan",AE2308=2035),0.92,IF(AND(A2308="Japan",AE2308=2050),0.89,IF(AND(A2308="Russia",AE2308=2035),0.91,IF(AND(A2308="Russia",AE2308=2050),0.86,IF(AND(A2308="China",AE2308=2035),0.91,IF(AND(A2308="China",AE2308=2050),0.87,IF(AND(A2308="India",AE2308=2035),0.92,IF(AND(A2308="India",AE2308=2050),0.87,IF(AND(A2308="Middle East",AE2308=2035),0.89,IF(AND(A2308="Middle East",AE2308=2050),0.84,IF(AND(A2308="Africa",AE2308=2035),0.9,IF(AND(A2308="Africa",AE2308=2050),0.86,IF(AND(A2308="Brazil",AE2308=2035),0.93,IF(AND(A2308="Brazil",AE2308=2050),0.89,""))))))))))))))))))</f>
        <v>*0.93</v>
      </c>
      <c r="AG2308" s="43" t="str">
        <f t="shared" si="288"/>
        <v>REZoning_Sol-Win</v>
      </c>
      <c r="AI2308" s="33" t="s">
        <v>3182</v>
      </c>
      <c r="AJ2308" s="44" t="s">
        <v>57</v>
      </c>
      <c r="AK2308" s="33">
        <v>2050</v>
      </c>
      <c r="AL2308" s="45" t="str">
        <f t="shared" ref="AL2308:AL2371" si="295">"*"&amp;IF(AND(A2308="EU",AK2308=2035),0.93,IF(AND(A2308="EU",AK2308=2050),0.9,IF(AND(A2308="USA",AK2308=2035),0.92,IF(AND(A2308="USA",AK2308=2050),0.89,IF(AND(A2308="Japan",AK2308=2035),0.92,IF(AND(A2308="Japan",AK2308=2050),0.89,IF(AND(A2308="Russia",AK2308=2035),0.91,IF(AND(A2308="Russia",AK2308=2050),0.86,IF(AND(A2308="China",AK2308=2035),0.91,IF(AND(A2308="China",AK2308=2050),0.87,IF(AND(A2308="India",AK2308=2035),0.92,IF(AND(A2308="India",AK2308=2050),0.87,IF(AND(A2308="Middle East",AK2308=2035),0.89,IF(AND(A2308="Middle East",AK2308=2050),0.84,IF(AND(A2308="Africa",AK2308=2035),0.9,IF(AND(A2308="Africa",AK2308=2050),0.86,IF(AND(A2308="Brazil",AK2308=2035),0.93,IF(AND(A2308="Brazil",AK2308=2050),0.89,""))))))))))))))))))</f>
        <v>*0.89</v>
      </c>
      <c r="AM2308" s="43" t="str">
        <f t="shared" si="289"/>
        <v>REZoning_Sol-Win</v>
      </c>
      <c r="AP2308" t="s">
        <v>3182</v>
      </c>
      <c r="AQ2308" t="s">
        <v>57</v>
      </c>
      <c r="AR2308">
        <v>2100</v>
      </c>
      <c r="AS2308" t="s">
        <v>937</v>
      </c>
      <c r="AT2308" t="s">
        <v>58</v>
      </c>
    </row>
    <row r="2309" ht="29" spans="1:46">
      <c r="A2309" s="31" t="s">
        <v>83</v>
      </c>
      <c r="C2309" t="s">
        <v>3183</v>
      </c>
      <c r="D2309" s="5" t="s">
        <v>57</v>
      </c>
      <c r="E2309">
        <v>2035</v>
      </c>
      <c r="F2309" s="6" t="str">
        <f t="shared" si="290"/>
        <v>*0.95</v>
      </c>
      <c r="H2309" t="s">
        <v>3183</v>
      </c>
      <c r="I2309" s="5" t="s">
        <v>57</v>
      </c>
      <c r="J2309">
        <v>2050</v>
      </c>
      <c r="K2309" s="38" t="str">
        <f t="shared" si="291"/>
        <v>*0.92</v>
      </c>
      <c r="P2309" s="32" t="s">
        <v>3183</v>
      </c>
      <c r="Q2309" s="42" t="s">
        <v>57</v>
      </c>
      <c r="R2309" s="32">
        <v>2035</v>
      </c>
      <c r="S2309" s="43" t="str">
        <f t="shared" si="292"/>
        <v>*0.95</v>
      </c>
      <c r="U2309" s="32" t="s">
        <v>3183</v>
      </c>
      <c r="V2309" s="42" t="s">
        <v>57</v>
      </c>
      <c r="W2309" s="32">
        <v>2050</v>
      </c>
      <c r="X2309" s="43" t="str">
        <f t="shared" si="293"/>
        <v>*0.92</v>
      </c>
      <c r="AC2309" s="33" t="s">
        <v>3183</v>
      </c>
      <c r="AD2309" s="44" t="s">
        <v>57</v>
      </c>
      <c r="AE2309" s="33">
        <v>2035</v>
      </c>
      <c r="AF2309" s="45" t="str">
        <f t="shared" si="294"/>
        <v>*0.93</v>
      </c>
      <c r="AG2309" s="43" t="str">
        <f t="shared" si="288"/>
        <v>REZoning_Sol-Win</v>
      </c>
      <c r="AI2309" s="33" t="s">
        <v>3183</v>
      </c>
      <c r="AJ2309" s="44" t="s">
        <v>57</v>
      </c>
      <c r="AK2309" s="33">
        <v>2050</v>
      </c>
      <c r="AL2309" s="45" t="str">
        <f t="shared" si="295"/>
        <v>*0.89</v>
      </c>
      <c r="AM2309" s="43" t="str">
        <f t="shared" si="289"/>
        <v>REZoning_Sol-Win</v>
      </c>
      <c r="AP2309" t="s">
        <v>3183</v>
      </c>
      <c r="AQ2309" t="s">
        <v>57</v>
      </c>
      <c r="AR2309">
        <v>2100</v>
      </c>
      <c r="AS2309" t="s">
        <v>937</v>
      </c>
      <c r="AT2309" t="s">
        <v>58</v>
      </c>
    </row>
    <row r="2310" ht="29" spans="1:46">
      <c r="A2310" s="31" t="s">
        <v>83</v>
      </c>
      <c r="C2310" t="s">
        <v>3184</v>
      </c>
      <c r="D2310" s="5" t="s">
        <v>57</v>
      </c>
      <c r="E2310">
        <v>2035</v>
      </c>
      <c r="F2310" s="6" t="str">
        <f t="shared" si="290"/>
        <v>*0.95</v>
      </c>
      <c r="H2310" t="s">
        <v>3184</v>
      </c>
      <c r="I2310" s="5" t="s">
        <v>57</v>
      </c>
      <c r="J2310">
        <v>2050</v>
      </c>
      <c r="K2310" s="38" t="str">
        <f t="shared" si="291"/>
        <v>*0.92</v>
      </c>
      <c r="P2310" s="32" t="s">
        <v>3184</v>
      </c>
      <c r="Q2310" s="42" t="s">
        <v>57</v>
      </c>
      <c r="R2310" s="32">
        <v>2035</v>
      </c>
      <c r="S2310" s="43" t="str">
        <f t="shared" si="292"/>
        <v>*0.95</v>
      </c>
      <c r="U2310" s="32" t="s">
        <v>3184</v>
      </c>
      <c r="V2310" s="42" t="s">
        <v>57</v>
      </c>
      <c r="W2310" s="32">
        <v>2050</v>
      </c>
      <c r="X2310" s="43" t="str">
        <f t="shared" si="293"/>
        <v>*0.92</v>
      </c>
      <c r="AC2310" s="33" t="s">
        <v>3184</v>
      </c>
      <c r="AD2310" s="44" t="s">
        <v>57</v>
      </c>
      <c r="AE2310" s="33">
        <v>2035</v>
      </c>
      <c r="AF2310" s="45" t="str">
        <f t="shared" si="294"/>
        <v>*0.93</v>
      </c>
      <c r="AG2310" s="43" t="str">
        <f t="shared" si="288"/>
        <v>REZoning_Sol-Win</v>
      </c>
      <c r="AI2310" s="33" t="s">
        <v>3184</v>
      </c>
      <c r="AJ2310" s="44" t="s">
        <v>57</v>
      </c>
      <c r="AK2310" s="33">
        <v>2050</v>
      </c>
      <c r="AL2310" s="45" t="str">
        <f t="shared" si="295"/>
        <v>*0.89</v>
      </c>
      <c r="AM2310" s="43" t="str">
        <f t="shared" si="289"/>
        <v>REZoning_Sol-Win</v>
      </c>
      <c r="AP2310" t="s">
        <v>3184</v>
      </c>
      <c r="AQ2310" t="s">
        <v>57</v>
      </c>
      <c r="AR2310">
        <v>2100</v>
      </c>
      <c r="AS2310" t="s">
        <v>937</v>
      </c>
      <c r="AT2310" t="s">
        <v>58</v>
      </c>
    </row>
    <row r="2311" ht="29" spans="1:46">
      <c r="A2311" s="31" t="s">
        <v>83</v>
      </c>
      <c r="C2311" t="s">
        <v>3185</v>
      </c>
      <c r="D2311" s="5" t="s">
        <v>57</v>
      </c>
      <c r="E2311">
        <v>2035</v>
      </c>
      <c r="F2311" s="6" t="str">
        <f t="shared" si="290"/>
        <v>*0.95</v>
      </c>
      <c r="H2311" t="s">
        <v>3185</v>
      </c>
      <c r="I2311" s="5" t="s">
        <v>57</v>
      </c>
      <c r="J2311">
        <v>2050</v>
      </c>
      <c r="K2311" s="38" t="str">
        <f t="shared" si="291"/>
        <v>*0.92</v>
      </c>
      <c r="P2311" s="32" t="s">
        <v>3185</v>
      </c>
      <c r="Q2311" s="42" t="s">
        <v>57</v>
      </c>
      <c r="R2311" s="32">
        <v>2035</v>
      </c>
      <c r="S2311" s="43" t="str">
        <f t="shared" si="292"/>
        <v>*0.95</v>
      </c>
      <c r="U2311" s="32" t="s">
        <v>3185</v>
      </c>
      <c r="V2311" s="42" t="s">
        <v>57</v>
      </c>
      <c r="W2311" s="32">
        <v>2050</v>
      </c>
      <c r="X2311" s="43" t="str">
        <f t="shared" si="293"/>
        <v>*0.92</v>
      </c>
      <c r="AC2311" s="33" t="s">
        <v>3185</v>
      </c>
      <c r="AD2311" s="44" t="s">
        <v>57</v>
      </c>
      <c r="AE2311" s="33">
        <v>2035</v>
      </c>
      <c r="AF2311" s="45" t="str">
        <f t="shared" si="294"/>
        <v>*0.93</v>
      </c>
      <c r="AG2311" s="43" t="str">
        <f t="shared" si="288"/>
        <v>REZoning_Sol-Win</v>
      </c>
      <c r="AI2311" s="33" t="s">
        <v>3185</v>
      </c>
      <c r="AJ2311" s="44" t="s">
        <v>57</v>
      </c>
      <c r="AK2311" s="33">
        <v>2050</v>
      </c>
      <c r="AL2311" s="45" t="str">
        <f t="shared" si="295"/>
        <v>*0.89</v>
      </c>
      <c r="AM2311" s="43" t="str">
        <f t="shared" si="289"/>
        <v>REZoning_Sol-Win</v>
      </c>
      <c r="AP2311" t="s">
        <v>3185</v>
      </c>
      <c r="AQ2311" t="s">
        <v>57</v>
      </c>
      <c r="AR2311">
        <v>2100</v>
      </c>
      <c r="AS2311" t="s">
        <v>937</v>
      </c>
      <c r="AT2311" t="s">
        <v>58</v>
      </c>
    </row>
    <row r="2312" ht="29" spans="1:46">
      <c r="A2312" s="31" t="s">
        <v>83</v>
      </c>
      <c r="C2312" t="s">
        <v>3186</v>
      </c>
      <c r="D2312" s="5" t="s">
        <v>57</v>
      </c>
      <c r="E2312">
        <v>2035</v>
      </c>
      <c r="F2312" s="6" t="str">
        <f t="shared" si="290"/>
        <v>*0.95</v>
      </c>
      <c r="H2312" t="s">
        <v>3186</v>
      </c>
      <c r="I2312" s="5" t="s">
        <v>57</v>
      </c>
      <c r="J2312">
        <v>2050</v>
      </c>
      <c r="K2312" s="38" t="str">
        <f t="shared" si="291"/>
        <v>*0.92</v>
      </c>
      <c r="P2312" s="32" t="s">
        <v>3186</v>
      </c>
      <c r="Q2312" s="42" t="s">
        <v>57</v>
      </c>
      <c r="R2312" s="32">
        <v>2035</v>
      </c>
      <c r="S2312" s="43" t="str">
        <f t="shared" si="292"/>
        <v>*0.95</v>
      </c>
      <c r="U2312" s="32" t="s">
        <v>3186</v>
      </c>
      <c r="V2312" s="42" t="s">
        <v>57</v>
      </c>
      <c r="W2312" s="32">
        <v>2050</v>
      </c>
      <c r="X2312" s="43" t="str">
        <f t="shared" si="293"/>
        <v>*0.92</v>
      </c>
      <c r="AC2312" s="33" t="s">
        <v>3186</v>
      </c>
      <c r="AD2312" s="44" t="s">
        <v>57</v>
      </c>
      <c r="AE2312" s="33">
        <v>2035</v>
      </c>
      <c r="AF2312" s="45" t="str">
        <f t="shared" si="294"/>
        <v>*0.93</v>
      </c>
      <c r="AG2312" s="43" t="str">
        <f t="shared" si="288"/>
        <v>REZoning_Sol-Win</v>
      </c>
      <c r="AI2312" s="33" t="s">
        <v>3186</v>
      </c>
      <c r="AJ2312" s="44" t="s">
        <v>57</v>
      </c>
      <c r="AK2312" s="33">
        <v>2050</v>
      </c>
      <c r="AL2312" s="45" t="str">
        <f t="shared" si="295"/>
        <v>*0.89</v>
      </c>
      <c r="AM2312" s="43" t="str">
        <f t="shared" si="289"/>
        <v>REZoning_Sol-Win</v>
      </c>
      <c r="AP2312" t="s">
        <v>3186</v>
      </c>
      <c r="AQ2312" t="s">
        <v>57</v>
      </c>
      <c r="AR2312">
        <v>2100</v>
      </c>
      <c r="AS2312" t="s">
        <v>937</v>
      </c>
      <c r="AT2312" t="s">
        <v>58</v>
      </c>
    </row>
    <row r="2313" ht="29" spans="1:46">
      <c r="A2313" s="31" t="s">
        <v>83</v>
      </c>
      <c r="C2313" t="s">
        <v>3187</v>
      </c>
      <c r="D2313" s="5" t="s">
        <v>57</v>
      </c>
      <c r="E2313">
        <v>2035</v>
      </c>
      <c r="F2313" s="6" t="str">
        <f t="shared" si="290"/>
        <v>*0.95</v>
      </c>
      <c r="H2313" t="s">
        <v>3187</v>
      </c>
      <c r="I2313" s="5" t="s">
        <v>57</v>
      </c>
      <c r="J2313">
        <v>2050</v>
      </c>
      <c r="K2313" s="38" t="str">
        <f t="shared" si="291"/>
        <v>*0.92</v>
      </c>
      <c r="P2313" s="32" t="s">
        <v>3187</v>
      </c>
      <c r="Q2313" s="42" t="s">
        <v>57</v>
      </c>
      <c r="R2313" s="32">
        <v>2035</v>
      </c>
      <c r="S2313" s="43" t="str">
        <f t="shared" si="292"/>
        <v>*0.95</v>
      </c>
      <c r="U2313" s="32" t="s">
        <v>3187</v>
      </c>
      <c r="V2313" s="42" t="s">
        <v>57</v>
      </c>
      <c r="W2313" s="32">
        <v>2050</v>
      </c>
      <c r="X2313" s="43" t="str">
        <f t="shared" si="293"/>
        <v>*0.92</v>
      </c>
      <c r="AC2313" s="33" t="s">
        <v>3187</v>
      </c>
      <c r="AD2313" s="44" t="s">
        <v>57</v>
      </c>
      <c r="AE2313" s="33">
        <v>2035</v>
      </c>
      <c r="AF2313" s="45" t="str">
        <f t="shared" si="294"/>
        <v>*0.93</v>
      </c>
      <c r="AG2313" s="43" t="str">
        <f t="shared" ref="AG2313:AG2376" si="296">AG2312</f>
        <v>REZoning_Sol-Win</v>
      </c>
      <c r="AI2313" s="33" t="s">
        <v>3187</v>
      </c>
      <c r="AJ2313" s="44" t="s">
        <v>57</v>
      </c>
      <c r="AK2313" s="33">
        <v>2050</v>
      </c>
      <c r="AL2313" s="45" t="str">
        <f t="shared" si="295"/>
        <v>*0.89</v>
      </c>
      <c r="AM2313" s="43" t="str">
        <f t="shared" si="289"/>
        <v>REZoning_Sol-Win</v>
      </c>
      <c r="AP2313" t="s">
        <v>3187</v>
      </c>
      <c r="AQ2313" t="s">
        <v>57</v>
      </c>
      <c r="AR2313">
        <v>2100</v>
      </c>
      <c r="AS2313" t="s">
        <v>937</v>
      </c>
      <c r="AT2313" t="s">
        <v>58</v>
      </c>
    </row>
    <row r="2314" ht="29" spans="1:46">
      <c r="A2314" s="31" t="s">
        <v>83</v>
      </c>
      <c r="C2314" t="s">
        <v>3188</v>
      </c>
      <c r="D2314" s="5" t="s">
        <v>57</v>
      </c>
      <c r="E2314">
        <v>2035</v>
      </c>
      <c r="F2314" s="6" t="str">
        <f t="shared" si="290"/>
        <v>*0.95</v>
      </c>
      <c r="H2314" t="s">
        <v>3188</v>
      </c>
      <c r="I2314" s="5" t="s">
        <v>57</v>
      </c>
      <c r="J2314">
        <v>2050</v>
      </c>
      <c r="K2314" s="38" t="str">
        <f t="shared" si="291"/>
        <v>*0.92</v>
      </c>
      <c r="P2314" s="32" t="s">
        <v>3188</v>
      </c>
      <c r="Q2314" s="42" t="s">
        <v>57</v>
      </c>
      <c r="R2314" s="32">
        <v>2035</v>
      </c>
      <c r="S2314" s="43" t="str">
        <f t="shared" si="292"/>
        <v>*0.95</v>
      </c>
      <c r="U2314" s="32" t="s">
        <v>3188</v>
      </c>
      <c r="V2314" s="42" t="s">
        <v>57</v>
      </c>
      <c r="W2314" s="32">
        <v>2050</v>
      </c>
      <c r="X2314" s="43" t="str">
        <f t="shared" si="293"/>
        <v>*0.92</v>
      </c>
      <c r="AC2314" s="33" t="s">
        <v>3188</v>
      </c>
      <c r="AD2314" s="44" t="s">
        <v>57</v>
      </c>
      <c r="AE2314" s="33">
        <v>2035</v>
      </c>
      <c r="AF2314" s="45" t="str">
        <f t="shared" si="294"/>
        <v>*0.93</v>
      </c>
      <c r="AG2314" s="43" t="str">
        <f t="shared" si="296"/>
        <v>REZoning_Sol-Win</v>
      </c>
      <c r="AI2314" s="33" t="s">
        <v>3188</v>
      </c>
      <c r="AJ2314" s="44" t="s">
        <v>57</v>
      </c>
      <c r="AK2314" s="33">
        <v>2050</v>
      </c>
      <c r="AL2314" s="45" t="str">
        <f t="shared" si="295"/>
        <v>*0.89</v>
      </c>
      <c r="AM2314" s="43" t="str">
        <f t="shared" ref="AM2314:AM2377" si="297">AM2313</f>
        <v>REZoning_Sol-Win</v>
      </c>
      <c r="AP2314" t="s">
        <v>3188</v>
      </c>
      <c r="AQ2314" t="s">
        <v>57</v>
      </c>
      <c r="AR2314">
        <v>2100</v>
      </c>
      <c r="AS2314" t="s">
        <v>937</v>
      </c>
      <c r="AT2314" t="s">
        <v>58</v>
      </c>
    </row>
    <row r="2315" ht="29" spans="1:46">
      <c r="A2315" s="31" t="s">
        <v>83</v>
      </c>
      <c r="C2315" t="s">
        <v>3189</v>
      </c>
      <c r="D2315" s="5" t="s">
        <v>57</v>
      </c>
      <c r="E2315">
        <v>2035</v>
      </c>
      <c r="F2315" s="6" t="str">
        <f t="shared" si="290"/>
        <v>*0.95</v>
      </c>
      <c r="H2315" t="s">
        <v>3189</v>
      </c>
      <c r="I2315" s="5" t="s">
        <v>57</v>
      </c>
      <c r="J2315">
        <v>2050</v>
      </c>
      <c r="K2315" s="38" t="str">
        <f t="shared" si="291"/>
        <v>*0.92</v>
      </c>
      <c r="P2315" s="32" t="s">
        <v>3189</v>
      </c>
      <c r="Q2315" s="42" t="s">
        <v>57</v>
      </c>
      <c r="R2315" s="32">
        <v>2035</v>
      </c>
      <c r="S2315" s="43" t="str">
        <f t="shared" si="292"/>
        <v>*0.95</v>
      </c>
      <c r="U2315" s="32" t="s">
        <v>3189</v>
      </c>
      <c r="V2315" s="42" t="s">
        <v>57</v>
      </c>
      <c r="W2315" s="32">
        <v>2050</v>
      </c>
      <c r="X2315" s="43" t="str">
        <f t="shared" si="293"/>
        <v>*0.92</v>
      </c>
      <c r="AC2315" s="33" t="s">
        <v>3189</v>
      </c>
      <c r="AD2315" s="44" t="s">
        <v>57</v>
      </c>
      <c r="AE2315" s="33">
        <v>2035</v>
      </c>
      <c r="AF2315" s="45" t="str">
        <f t="shared" si="294"/>
        <v>*0.93</v>
      </c>
      <c r="AG2315" s="43" t="str">
        <f t="shared" si="296"/>
        <v>REZoning_Sol-Win</v>
      </c>
      <c r="AI2315" s="33" t="s">
        <v>3189</v>
      </c>
      <c r="AJ2315" s="44" t="s">
        <v>57</v>
      </c>
      <c r="AK2315" s="33">
        <v>2050</v>
      </c>
      <c r="AL2315" s="45" t="str">
        <f t="shared" si="295"/>
        <v>*0.89</v>
      </c>
      <c r="AM2315" s="43" t="str">
        <f t="shared" si="297"/>
        <v>REZoning_Sol-Win</v>
      </c>
      <c r="AP2315" t="s">
        <v>3189</v>
      </c>
      <c r="AQ2315" t="s">
        <v>57</v>
      </c>
      <c r="AR2315">
        <v>2100</v>
      </c>
      <c r="AS2315" t="s">
        <v>937</v>
      </c>
      <c r="AT2315" t="s">
        <v>58</v>
      </c>
    </row>
    <row r="2316" ht="29" spans="1:46">
      <c r="A2316" s="31" t="s">
        <v>83</v>
      </c>
      <c r="C2316" t="s">
        <v>3190</v>
      </c>
      <c r="D2316" s="5" t="s">
        <v>57</v>
      </c>
      <c r="E2316">
        <v>2035</v>
      </c>
      <c r="F2316" s="6" t="str">
        <f t="shared" si="290"/>
        <v>*0.95</v>
      </c>
      <c r="H2316" t="s">
        <v>3190</v>
      </c>
      <c r="I2316" s="5" t="s">
        <v>57</v>
      </c>
      <c r="J2316">
        <v>2050</v>
      </c>
      <c r="K2316" s="38" t="str">
        <f t="shared" si="291"/>
        <v>*0.92</v>
      </c>
      <c r="P2316" s="32" t="s">
        <v>3190</v>
      </c>
      <c r="Q2316" s="42" t="s">
        <v>57</v>
      </c>
      <c r="R2316" s="32">
        <v>2035</v>
      </c>
      <c r="S2316" s="43" t="str">
        <f t="shared" si="292"/>
        <v>*0.95</v>
      </c>
      <c r="U2316" s="32" t="s">
        <v>3190</v>
      </c>
      <c r="V2316" s="42" t="s">
        <v>57</v>
      </c>
      <c r="W2316" s="32">
        <v>2050</v>
      </c>
      <c r="X2316" s="43" t="str">
        <f t="shared" si="293"/>
        <v>*0.92</v>
      </c>
      <c r="AC2316" s="33" t="s">
        <v>3190</v>
      </c>
      <c r="AD2316" s="44" t="s">
        <v>57</v>
      </c>
      <c r="AE2316" s="33">
        <v>2035</v>
      </c>
      <c r="AF2316" s="45" t="str">
        <f t="shared" si="294"/>
        <v>*0.93</v>
      </c>
      <c r="AG2316" s="43" t="str">
        <f t="shared" si="296"/>
        <v>REZoning_Sol-Win</v>
      </c>
      <c r="AI2316" s="33" t="s">
        <v>3190</v>
      </c>
      <c r="AJ2316" s="44" t="s">
        <v>57</v>
      </c>
      <c r="AK2316" s="33">
        <v>2050</v>
      </c>
      <c r="AL2316" s="45" t="str">
        <f t="shared" si="295"/>
        <v>*0.89</v>
      </c>
      <c r="AM2316" s="43" t="str">
        <f t="shared" si="297"/>
        <v>REZoning_Sol-Win</v>
      </c>
      <c r="AP2316" t="s">
        <v>3190</v>
      </c>
      <c r="AQ2316" t="s">
        <v>57</v>
      </c>
      <c r="AR2316">
        <v>2100</v>
      </c>
      <c r="AS2316" t="s">
        <v>937</v>
      </c>
      <c r="AT2316" t="s">
        <v>58</v>
      </c>
    </row>
    <row r="2317" ht="29" spans="1:46">
      <c r="A2317" s="31" t="s">
        <v>83</v>
      </c>
      <c r="C2317" t="s">
        <v>3191</v>
      </c>
      <c r="D2317" s="5" t="s">
        <v>57</v>
      </c>
      <c r="E2317">
        <v>2035</v>
      </c>
      <c r="F2317" s="6" t="str">
        <f t="shared" si="290"/>
        <v>*0.95</v>
      </c>
      <c r="H2317" t="s">
        <v>3191</v>
      </c>
      <c r="I2317" s="5" t="s">
        <v>57</v>
      </c>
      <c r="J2317">
        <v>2050</v>
      </c>
      <c r="K2317" s="38" t="str">
        <f t="shared" si="291"/>
        <v>*0.92</v>
      </c>
      <c r="P2317" s="32" t="s">
        <v>3191</v>
      </c>
      <c r="Q2317" s="42" t="s">
        <v>57</v>
      </c>
      <c r="R2317" s="32">
        <v>2035</v>
      </c>
      <c r="S2317" s="43" t="str">
        <f t="shared" si="292"/>
        <v>*0.95</v>
      </c>
      <c r="U2317" s="32" t="s">
        <v>3191</v>
      </c>
      <c r="V2317" s="42" t="s">
        <v>57</v>
      </c>
      <c r="W2317" s="32">
        <v>2050</v>
      </c>
      <c r="X2317" s="43" t="str">
        <f t="shared" si="293"/>
        <v>*0.92</v>
      </c>
      <c r="AC2317" s="33" t="s">
        <v>3191</v>
      </c>
      <c r="AD2317" s="44" t="s">
        <v>57</v>
      </c>
      <c r="AE2317" s="33">
        <v>2035</v>
      </c>
      <c r="AF2317" s="45" t="str">
        <f t="shared" si="294"/>
        <v>*0.93</v>
      </c>
      <c r="AG2317" s="43" t="str">
        <f t="shared" si="296"/>
        <v>REZoning_Sol-Win</v>
      </c>
      <c r="AI2317" s="33" t="s">
        <v>3191</v>
      </c>
      <c r="AJ2317" s="44" t="s">
        <v>57</v>
      </c>
      <c r="AK2317" s="33">
        <v>2050</v>
      </c>
      <c r="AL2317" s="45" t="str">
        <f t="shared" si="295"/>
        <v>*0.89</v>
      </c>
      <c r="AM2317" s="43" t="str">
        <f t="shared" si="297"/>
        <v>REZoning_Sol-Win</v>
      </c>
      <c r="AP2317" t="s">
        <v>3191</v>
      </c>
      <c r="AQ2317" t="s">
        <v>57</v>
      </c>
      <c r="AR2317">
        <v>2100</v>
      </c>
      <c r="AS2317" t="s">
        <v>937</v>
      </c>
      <c r="AT2317" t="s">
        <v>58</v>
      </c>
    </row>
    <row r="2318" ht="29" spans="1:46">
      <c r="A2318" s="31" t="s">
        <v>83</v>
      </c>
      <c r="C2318" t="s">
        <v>3192</v>
      </c>
      <c r="D2318" s="5" t="s">
        <v>57</v>
      </c>
      <c r="E2318">
        <v>2035</v>
      </c>
      <c r="F2318" s="6" t="str">
        <f t="shared" si="290"/>
        <v>*0.95</v>
      </c>
      <c r="H2318" t="s">
        <v>3192</v>
      </c>
      <c r="I2318" s="5" t="s">
        <v>57</v>
      </c>
      <c r="J2318">
        <v>2050</v>
      </c>
      <c r="K2318" s="38" t="str">
        <f t="shared" si="291"/>
        <v>*0.92</v>
      </c>
      <c r="P2318" s="32" t="s">
        <v>3192</v>
      </c>
      <c r="Q2318" s="42" t="s">
        <v>57</v>
      </c>
      <c r="R2318" s="32">
        <v>2035</v>
      </c>
      <c r="S2318" s="43" t="str">
        <f t="shared" si="292"/>
        <v>*0.95</v>
      </c>
      <c r="U2318" s="32" t="s">
        <v>3192</v>
      </c>
      <c r="V2318" s="42" t="s">
        <v>57</v>
      </c>
      <c r="W2318" s="32">
        <v>2050</v>
      </c>
      <c r="X2318" s="43" t="str">
        <f t="shared" si="293"/>
        <v>*0.92</v>
      </c>
      <c r="AC2318" s="33" t="s">
        <v>3192</v>
      </c>
      <c r="AD2318" s="44" t="s">
        <v>57</v>
      </c>
      <c r="AE2318" s="33">
        <v>2035</v>
      </c>
      <c r="AF2318" s="45" t="str">
        <f t="shared" si="294"/>
        <v>*0.93</v>
      </c>
      <c r="AG2318" s="43" t="str">
        <f t="shared" si="296"/>
        <v>REZoning_Sol-Win</v>
      </c>
      <c r="AI2318" s="33" t="s">
        <v>3192</v>
      </c>
      <c r="AJ2318" s="44" t="s">
        <v>57</v>
      </c>
      <c r="AK2318" s="33">
        <v>2050</v>
      </c>
      <c r="AL2318" s="45" t="str">
        <f t="shared" si="295"/>
        <v>*0.89</v>
      </c>
      <c r="AM2318" s="43" t="str">
        <f t="shared" si="297"/>
        <v>REZoning_Sol-Win</v>
      </c>
      <c r="AP2318" t="s">
        <v>3192</v>
      </c>
      <c r="AQ2318" t="s">
        <v>57</v>
      </c>
      <c r="AR2318">
        <v>2100</v>
      </c>
      <c r="AS2318" t="s">
        <v>937</v>
      </c>
      <c r="AT2318" t="s">
        <v>58</v>
      </c>
    </row>
    <row r="2319" ht="29" spans="1:46">
      <c r="A2319" s="31" t="s">
        <v>83</v>
      </c>
      <c r="C2319" t="s">
        <v>3193</v>
      </c>
      <c r="D2319" s="5" t="s">
        <v>57</v>
      </c>
      <c r="E2319">
        <v>2035</v>
      </c>
      <c r="F2319" s="6" t="str">
        <f t="shared" si="290"/>
        <v>*0.95</v>
      </c>
      <c r="H2319" t="s">
        <v>3193</v>
      </c>
      <c r="I2319" s="5" t="s">
        <v>57</v>
      </c>
      <c r="J2319">
        <v>2050</v>
      </c>
      <c r="K2319" s="38" t="str">
        <f t="shared" si="291"/>
        <v>*0.92</v>
      </c>
      <c r="P2319" s="32" t="s">
        <v>3193</v>
      </c>
      <c r="Q2319" s="42" t="s">
        <v>57</v>
      </c>
      <c r="R2319" s="32">
        <v>2035</v>
      </c>
      <c r="S2319" s="43" t="str">
        <f t="shared" si="292"/>
        <v>*0.95</v>
      </c>
      <c r="U2319" s="32" t="s">
        <v>3193</v>
      </c>
      <c r="V2319" s="42" t="s">
        <v>57</v>
      </c>
      <c r="W2319" s="32">
        <v>2050</v>
      </c>
      <c r="X2319" s="43" t="str">
        <f t="shared" si="293"/>
        <v>*0.92</v>
      </c>
      <c r="AC2319" s="33" t="s">
        <v>3193</v>
      </c>
      <c r="AD2319" s="44" t="s">
        <v>57</v>
      </c>
      <c r="AE2319" s="33">
        <v>2035</v>
      </c>
      <c r="AF2319" s="45" t="str">
        <f t="shared" si="294"/>
        <v>*0.93</v>
      </c>
      <c r="AG2319" s="43" t="str">
        <f t="shared" si="296"/>
        <v>REZoning_Sol-Win</v>
      </c>
      <c r="AI2319" s="33" t="s">
        <v>3193</v>
      </c>
      <c r="AJ2319" s="44" t="s">
        <v>57</v>
      </c>
      <c r="AK2319" s="33">
        <v>2050</v>
      </c>
      <c r="AL2319" s="45" t="str">
        <f t="shared" si="295"/>
        <v>*0.89</v>
      </c>
      <c r="AM2319" s="43" t="str">
        <f t="shared" si="297"/>
        <v>REZoning_Sol-Win</v>
      </c>
      <c r="AP2319" t="s">
        <v>3193</v>
      </c>
      <c r="AQ2319" t="s">
        <v>57</v>
      </c>
      <c r="AR2319">
        <v>2100</v>
      </c>
      <c r="AS2319" t="s">
        <v>937</v>
      </c>
      <c r="AT2319" t="s">
        <v>58</v>
      </c>
    </row>
    <row r="2320" ht="29" spans="1:46">
      <c r="A2320" s="31" t="s">
        <v>83</v>
      </c>
      <c r="C2320" t="s">
        <v>3194</v>
      </c>
      <c r="D2320" s="5" t="s">
        <v>57</v>
      </c>
      <c r="E2320">
        <v>2035</v>
      </c>
      <c r="F2320" s="6" t="str">
        <f t="shared" si="290"/>
        <v>*0.95</v>
      </c>
      <c r="H2320" t="s">
        <v>3194</v>
      </c>
      <c r="I2320" s="5" t="s">
        <v>57</v>
      </c>
      <c r="J2320">
        <v>2050</v>
      </c>
      <c r="K2320" s="38" t="str">
        <f t="shared" si="291"/>
        <v>*0.92</v>
      </c>
      <c r="P2320" s="32" t="s">
        <v>3194</v>
      </c>
      <c r="Q2320" s="42" t="s">
        <v>57</v>
      </c>
      <c r="R2320" s="32">
        <v>2035</v>
      </c>
      <c r="S2320" s="43" t="str">
        <f t="shared" si="292"/>
        <v>*0.95</v>
      </c>
      <c r="U2320" s="32" t="s">
        <v>3194</v>
      </c>
      <c r="V2320" s="42" t="s">
        <v>57</v>
      </c>
      <c r="W2320" s="32">
        <v>2050</v>
      </c>
      <c r="X2320" s="43" t="str">
        <f t="shared" si="293"/>
        <v>*0.92</v>
      </c>
      <c r="AC2320" s="33" t="s">
        <v>3194</v>
      </c>
      <c r="AD2320" s="44" t="s">
        <v>57</v>
      </c>
      <c r="AE2320" s="33">
        <v>2035</v>
      </c>
      <c r="AF2320" s="45" t="str">
        <f t="shared" si="294"/>
        <v>*0.93</v>
      </c>
      <c r="AG2320" s="43" t="str">
        <f t="shared" si="296"/>
        <v>REZoning_Sol-Win</v>
      </c>
      <c r="AI2320" s="33" t="s">
        <v>3194</v>
      </c>
      <c r="AJ2320" s="44" t="s">
        <v>57</v>
      </c>
      <c r="AK2320" s="33">
        <v>2050</v>
      </c>
      <c r="AL2320" s="45" t="str">
        <f t="shared" si="295"/>
        <v>*0.89</v>
      </c>
      <c r="AM2320" s="43" t="str">
        <f t="shared" si="297"/>
        <v>REZoning_Sol-Win</v>
      </c>
      <c r="AP2320" t="s">
        <v>3194</v>
      </c>
      <c r="AQ2320" t="s">
        <v>57</v>
      </c>
      <c r="AR2320">
        <v>2100</v>
      </c>
      <c r="AS2320" t="s">
        <v>937</v>
      </c>
      <c r="AT2320" t="s">
        <v>58</v>
      </c>
    </row>
    <row r="2321" ht="29" spans="1:46">
      <c r="A2321" s="31" t="s">
        <v>83</v>
      </c>
      <c r="C2321" t="s">
        <v>3195</v>
      </c>
      <c r="D2321" s="5" t="s">
        <v>57</v>
      </c>
      <c r="E2321">
        <v>2035</v>
      </c>
      <c r="F2321" s="6" t="str">
        <f t="shared" si="290"/>
        <v>*0.95</v>
      </c>
      <c r="H2321" t="s">
        <v>3195</v>
      </c>
      <c r="I2321" s="5" t="s">
        <v>57</v>
      </c>
      <c r="J2321">
        <v>2050</v>
      </c>
      <c r="K2321" s="38" t="str">
        <f t="shared" si="291"/>
        <v>*0.92</v>
      </c>
      <c r="P2321" s="32" t="s">
        <v>3195</v>
      </c>
      <c r="Q2321" s="42" t="s">
        <v>57</v>
      </c>
      <c r="R2321" s="32">
        <v>2035</v>
      </c>
      <c r="S2321" s="43" t="str">
        <f t="shared" si="292"/>
        <v>*0.95</v>
      </c>
      <c r="U2321" s="32" t="s">
        <v>3195</v>
      </c>
      <c r="V2321" s="42" t="s">
        <v>57</v>
      </c>
      <c r="W2321" s="32">
        <v>2050</v>
      </c>
      <c r="X2321" s="43" t="str">
        <f t="shared" si="293"/>
        <v>*0.92</v>
      </c>
      <c r="AC2321" s="33" t="s">
        <v>3195</v>
      </c>
      <c r="AD2321" s="44" t="s">
        <v>57</v>
      </c>
      <c r="AE2321" s="33">
        <v>2035</v>
      </c>
      <c r="AF2321" s="45" t="str">
        <f t="shared" si="294"/>
        <v>*0.93</v>
      </c>
      <c r="AG2321" s="43" t="str">
        <f t="shared" si="296"/>
        <v>REZoning_Sol-Win</v>
      </c>
      <c r="AI2321" s="33" t="s">
        <v>3195</v>
      </c>
      <c r="AJ2321" s="44" t="s">
        <v>57</v>
      </c>
      <c r="AK2321" s="33">
        <v>2050</v>
      </c>
      <c r="AL2321" s="45" t="str">
        <f t="shared" si="295"/>
        <v>*0.89</v>
      </c>
      <c r="AM2321" s="43" t="str">
        <f t="shared" si="297"/>
        <v>REZoning_Sol-Win</v>
      </c>
      <c r="AP2321" t="s">
        <v>3195</v>
      </c>
      <c r="AQ2321" t="s">
        <v>57</v>
      </c>
      <c r="AR2321">
        <v>2100</v>
      </c>
      <c r="AS2321" t="s">
        <v>937</v>
      </c>
      <c r="AT2321" t="s">
        <v>58</v>
      </c>
    </row>
    <row r="2322" ht="29" spans="1:46">
      <c r="A2322" s="31" t="s">
        <v>83</v>
      </c>
      <c r="C2322" t="s">
        <v>3196</v>
      </c>
      <c r="D2322" s="5" t="s">
        <v>57</v>
      </c>
      <c r="E2322">
        <v>2035</v>
      </c>
      <c r="F2322" s="6" t="str">
        <f t="shared" si="290"/>
        <v>*0.95</v>
      </c>
      <c r="H2322" t="s">
        <v>3196</v>
      </c>
      <c r="I2322" s="5" t="s">
        <v>57</v>
      </c>
      <c r="J2322">
        <v>2050</v>
      </c>
      <c r="K2322" s="38" t="str">
        <f t="shared" si="291"/>
        <v>*0.92</v>
      </c>
      <c r="P2322" s="32" t="s">
        <v>3196</v>
      </c>
      <c r="Q2322" s="42" t="s">
        <v>57</v>
      </c>
      <c r="R2322" s="32">
        <v>2035</v>
      </c>
      <c r="S2322" s="43" t="str">
        <f t="shared" si="292"/>
        <v>*0.95</v>
      </c>
      <c r="U2322" s="32" t="s">
        <v>3196</v>
      </c>
      <c r="V2322" s="42" t="s">
        <v>57</v>
      </c>
      <c r="W2322" s="32">
        <v>2050</v>
      </c>
      <c r="X2322" s="43" t="str">
        <f t="shared" si="293"/>
        <v>*0.92</v>
      </c>
      <c r="AC2322" s="33" t="s">
        <v>3196</v>
      </c>
      <c r="AD2322" s="44" t="s">
        <v>57</v>
      </c>
      <c r="AE2322" s="33">
        <v>2035</v>
      </c>
      <c r="AF2322" s="45" t="str">
        <f t="shared" si="294"/>
        <v>*0.93</v>
      </c>
      <c r="AG2322" s="43" t="str">
        <f t="shared" si="296"/>
        <v>REZoning_Sol-Win</v>
      </c>
      <c r="AI2322" s="33" t="s">
        <v>3196</v>
      </c>
      <c r="AJ2322" s="44" t="s">
        <v>57</v>
      </c>
      <c r="AK2322" s="33">
        <v>2050</v>
      </c>
      <c r="AL2322" s="45" t="str">
        <f t="shared" si="295"/>
        <v>*0.89</v>
      </c>
      <c r="AM2322" s="43" t="str">
        <f t="shared" si="297"/>
        <v>REZoning_Sol-Win</v>
      </c>
      <c r="AP2322" t="s">
        <v>3196</v>
      </c>
      <c r="AQ2322" t="s">
        <v>57</v>
      </c>
      <c r="AR2322">
        <v>2100</v>
      </c>
      <c r="AS2322" t="s">
        <v>937</v>
      </c>
      <c r="AT2322" t="s">
        <v>58</v>
      </c>
    </row>
    <row r="2323" ht="29" spans="1:46">
      <c r="A2323" s="31" t="s">
        <v>83</v>
      </c>
      <c r="C2323" t="s">
        <v>3197</v>
      </c>
      <c r="D2323" s="5" t="s">
        <v>57</v>
      </c>
      <c r="E2323">
        <v>2035</v>
      </c>
      <c r="F2323" s="6" t="str">
        <f t="shared" si="290"/>
        <v>*0.95</v>
      </c>
      <c r="H2323" t="s">
        <v>3197</v>
      </c>
      <c r="I2323" s="5" t="s">
        <v>57</v>
      </c>
      <c r="J2323">
        <v>2050</v>
      </c>
      <c r="K2323" s="38" t="str">
        <f t="shared" si="291"/>
        <v>*0.92</v>
      </c>
      <c r="P2323" s="32" t="s">
        <v>3197</v>
      </c>
      <c r="Q2323" s="42" t="s">
        <v>57</v>
      </c>
      <c r="R2323" s="32">
        <v>2035</v>
      </c>
      <c r="S2323" s="43" t="str">
        <f t="shared" si="292"/>
        <v>*0.95</v>
      </c>
      <c r="U2323" s="32" t="s">
        <v>3197</v>
      </c>
      <c r="V2323" s="42" t="s">
        <v>57</v>
      </c>
      <c r="W2323" s="32">
        <v>2050</v>
      </c>
      <c r="X2323" s="43" t="str">
        <f t="shared" si="293"/>
        <v>*0.92</v>
      </c>
      <c r="AC2323" s="33" t="s">
        <v>3197</v>
      </c>
      <c r="AD2323" s="44" t="s">
        <v>57</v>
      </c>
      <c r="AE2323" s="33">
        <v>2035</v>
      </c>
      <c r="AF2323" s="45" t="str">
        <f t="shared" si="294"/>
        <v>*0.93</v>
      </c>
      <c r="AG2323" s="43" t="str">
        <f t="shared" si="296"/>
        <v>REZoning_Sol-Win</v>
      </c>
      <c r="AI2323" s="33" t="s">
        <v>3197</v>
      </c>
      <c r="AJ2323" s="44" t="s">
        <v>57</v>
      </c>
      <c r="AK2323" s="33">
        <v>2050</v>
      </c>
      <c r="AL2323" s="45" t="str">
        <f t="shared" si="295"/>
        <v>*0.89</v>
      </c>
      <c r="AM2323" s="43" t="str">
        <f t="shared" si="297"/>
        <v>REZoning_Sol-Win</v>
      </c>
      <c r="AP2323" t="s">
        <v>3197</v>
      </c>
      <c r="AQ2323" t="s">
        <v>57</v>
      </c>
      <c r="AR2323">
        <v>2100</v>
      </c>
      <c r="AS2323" t="s">
        <v>937</v>
      </c>
      <c r="AT2323" t="s">
        <v>58</v>
      </c>
    </row>
    <row r="2324" ht="29" spans="1:46">
      <c r="A2324" s="31" t="s">
        <v>83</v>
      </c>
      <c r="C2324" t="s">
        <v>3198</v>
      </c>
      <c r="D2324" s="5" t="s">
        <v>57</v>
      </c>
      <c r="E2324">
        <v>2035</v>
      </c>
      <c r="F2324" s="6" t="str">
        <f t="shared" si="290"/>
        <v>*0.95</v>
      </c>
      <c r="H2324" t="s">
        <v>3198</v>
      </c>
      <c r="I2324" s="5" t="s">
        <v>57</v>
      </c>
      <c r="J2324">
        <v>2050</v>
      </c>
      <c r="K2324" s="38" t="str">
        <f t="shared" si="291"/>
        <v>*0.92</v>
      </c>
      <c r="P2324" s="32" t="s">
        <v>3198</v>
      </c>
      <c r="Q2324" s="42" t="s">
        <v>57</v>
      </c>
      <c r="R2324" s="32">
        <v>2035</v>
      </c>
      <c r="S2324" s="43" t="str">
        <f t="shared" si="292"/>
        <v>*0.95</v>
      </c>
      <c r="U2324" s="32" t="s">
        <v>3198</v>
      </c>
      <c r="V2324" s="42" t="s">
        <v>57</v>
      </c>
      <c r="W2324" s="32">
        <v>2050</v>
      </c>
      <c r="X2324" s="43" t="str">
        <f t="shared" si="293"/>
        <v>*0.92</v>
      </c>
      <c r="AC2324" s="33" t="s">
        <v>3198</v>
      </c>
      <c r="AD2324" s="44" t="s">
        <v>57</v>
      </c>
      <c r="AE2324" s="33">
        <v>2035</v>
      </c>
      <c r="AF2324" s="45" t="str">
        <f t="shared" si="294"/>
        <v>*0.93</v>
      </c>
      <c r="AG2324" s="43" t="str">
        <f t="shared" si="296"/>
        <v>REZoning_Sol-Win</v>
      </c>
      <c r="AI2324" s="33" t="s">
        <v>3198</v>
      </c>
      <c r="AJ2324" s="44" t="s">
        <v>57</v>
      </c>
      <c r="AK2324" s="33">
        <v>2050</v>
      </c>
      <c r="AL2324" s="45" t="str">
        <f t="shared" si="295"/>
        <v>*0.89</v>
      </c>
      <c r="AM2324" s="43" t="str">
        <f t="shared" si="297"/>
        <v>REZoning_Sol-Win</v>
      </c>
      <c r="AP2324" t="s">
        <v>3198</v>
      </c>
      <c r="AQ2324" t="s">
        <v>57</v>
      </c>
      <c r="AR2324">
        <v>2100</v>
      </c>
      <c r="AS2324" t="s">
        <v>937</v>
      </c>
      <c r="AT2324" t="s">
        <v>58</v>
      </c>
    </row>
    <row r="2325" ht="29" spans="1:46">
      <c r="A2325" s="31" t="s">
        <v>83</v>
      </c>
      <c r="C2325" t="s">
        <v>3199</v>
      </c>
      <c r="D2325" s="5" t="s">
        <v>57</v>
      </c>
      <c r="E2325">
        <v>2035</v>
      </c>
      <c r="F2325" s="6" t="str">
        <f t="shared" si="290"/>
        <v>*0.95</v>
      </c>
      <c r="H2325" t="s">
        <v>3199</v>
      </c>
      <c r="I2325" s="5" t="s">
        <v>57</v>
      </c>
      <c r="J2325">
        <v>2050</v>
      </c>
      <c r="K2325" s="38" t="str">
        <f t="shared" si="291"/>
        <v>*0.92</v>
      </c>
      <c r="P2325" s="32" t="s">
        <v>3199</v>
      </c>
      <c r="Q2325" s="42" t="s">
        <v>57</v>
      </c>
      <c r="R2325" s="32">
        <v>2035</v>
      </c>
      <c r="S2325" s="43" t="str">
        <f t="shared" si="292"/>
        <v>*0.95</v>
      </c>
      <c r="U2325" s="32" t="s">
        <v>3199</v>
      </c>
      <c r="V2325" s="42" t="s">
        <v>57</v>
      </c>
      <c r="W2325" s="32">
        <v>2050</v>
      </c>
      <c r="X2325" s="43" t="str">
        <f t="shared" si="293"/>
        <v>*0.92</v>
      </c>
      <c r="AC2325" s="33" t="s">
        <v>3199</v>
      </c>
      <c r="AD2325" s="44" t="s">
        <v>57</v>
      </c>
      <c r="AE2325" s="33">
        <v>2035</v>
      </c>
      <c r="AF2325" s="45" t="str">
        <f t="shared" si="294"/>
        <v>*0.93</v>
      </c>
      <c r="AG2325" s="43" t="str">
        <f t="shared" si="296"/>
        <v>REZoning_Sol-Win</v>
      </c>
      <c r="AI2325" s="33" t="s">
        <v>3199</v>
      </c>
      <c r="AJ2325" s="44" t="s">
        <v>57</v>
      </c>
      <c r="AK2325" s="33">
        <v>2050</v>
      </c>
      <c r="AL2325" s="45" t="str">
        <f t="shared" si="295"/>
        <v>*0.89</v>
      </c>
      <c r="AM2325" s="43" t="str">
        <f t="shared" si="297"/>
        <v>REZoning_Sol-Win</v>
      </c>
      <c r="AP2325" t="s">
        <v>3199</v>
      </c>
      <c r="AQ2325" t="s">
        <v>57</v>
      </c>
      <c r="AR2325">
        <v>2100</v>
      </c>
      <c r="AS2325" t="s">
        <v>937</v>
      </c>
      <c r="AT2325" t="s">
        <v>58</v>
      </c>
    </row>
    <row r="2326" ht="29" spans="1:46">
      <c r="A2326" s="31" t="s">
        <v>83</v>
      </c>
      <c r="C2326" t="s">
        <v>3200</v>
      </c>
      <c r="D2326" s="5" t="s">
        <v>57</v>
      </c>
      <c r="E2326">
        <v>2035</v>
      </c>
      <c r="F2326" s="6" t="str">
        <f t="shared" si="290"/>
        <v>*0.95</v>
      </c>
      <c r="H2326" t="s">
        <v>3200</v>
      </c>
      <c r="I2326" s="5" t="s">
        <v>57</v>
      </c>
      <c r="J2326">
        <v>2050</v>
      </c>
      <c r="K2326" s="38" t="str">
        <f t="shared" si="291"/>
        <v>*0.92</v>
      </c>
      <c r="P2326" s="32" t="s">
        <v>3200</v>
      </c>
      <c r="Q2326" s="42" t="s">
        <v>57</v>
      </c>
      <c r="R2326" s="32">
        <v>2035</v>
      </c>
      <c r="S2326" s="43" t="str">
        <f t="shared" si="292"/>
        <v>*0.95</v>
      </c>
      <c r="U2326" s="32" t="s">
        <v>3200</v>
      </c>
      <c r="V2326" s="42" t="s">
        <v>57</v>
      </c>
      <c r="W2326" s="32">
        <v>2050</v>
      </c>
      <c r="X2326" s="43" t="str">
        <f t="shared" si="293"/>
        <v>*0.92</v>
      </c>
      <c r="AC2326" s="33" t="s">
        <v>3200</v>
      </c>
      <c r="AD2326" s="44" t="s">
        <v>57</v>
      </c>
      <c r="AE2326" s="33">
        <v>2035</v>
      </c>
      <c r="AF2326" s="45" t="str">
        <f t="shared" si="294"/>
        <v>*0.93</v>
      </c>
      <c r="AG2326" s="43" t="str">
        <f t="shared" si="296"/>
        <v>REZoning_Sol-Win</v>
      </c>
      <c r="AI2326" s="33" t="s">
        <v>3200</v>
      </c>
      <c r="AJ2326" s="44" t="s">
        <v>57</v>
      </c>
      <c r="AK2326" s="33">
        <v>2050</v>
      </c>
      <c r="AL2326" s="45" t="str">
        <f t="shared" si="295"/>
        <v>*0.89</v>
      </c>
      <c r="AM2326" s="43" t="str">
        <f t="shared" si="297"/>
        <v>REZoning_Sol-Win</v>
      </c>
      <c r="AP2326" t="s">
        <v>3200</v>
      </c>
      <c r="AQ2326" t="s">
        <v>57</v>
      </c>
      <c r="AR2326">
        <v>2100</v>
      </c>
      <c r="AS2326" t="s">
        <v>937</v>
      </c>
      <c r="AT2326" t="s">
        <v>58</v>
      </c>
    </row>
    <row r="2327" ht="29" spans="1:46">
      <c r="A2327" s="31" t="s">
        <v>83</v>
      </c>
      <c r="C2327" t="s">
        <v>3201</v>
      </c>
      <c r="D2327" s="5" t="s">
        <v>57</v>
      </c>
      <c r="E2327">
        <v>2035</v>
      </c>
      <c r="F2327" s="6" t="str">
        <f t="shared" si="290"/>
        <v>*0.95</v>
      </c>
      <c r="H2327" t="s">
        <v>3201</v>
      </c>
      <c r="I2327" s="5" t="s">
        <v>57</v>
      </c>
      <c r="J2327">
        <v>2050</v>
      </c>
      <c r="K2327" s="38" t="str">
        <f t="shared" si="291"/>
        <v>*0.92</v>
      </c>
      <c r="P2327" s="32" t="s">
        <v>3201</v>
      </c>
      <c r="Q2327" s="42" t="s">
        <v>57</v>
      </c>
      <c r="R2327" s="32">
        <v>2035</v>
      </c>
      <c r="S2327" s="43" t="str">
        <f t="shared" si="292"/>
        <v>*0.95</v>
      </c>
      <c r="U2327" s="32" t="s">
        <v>3201</v>
      </c>
      <c r="V2327" s="42" t="s">
        <v>57</v>
      </c>
      <c r="W2327" s="32">
        <v>2050</v>
      </c>
      <c r="X2327" s="43" t="str">
        <f t="shared" si="293"/>
        <v>*0.92</v>
      </c>
      <c r="AC2327" s="33" t="s">
        <v>3201</v>
      </c>
      <c r="AD2327" s="44" t="s">
        <v>57</v>
      </c>
      <c r="AE2327" s="33">
        <v>2035</v>
      </c>
      <c r="AF2327" s="45" t="str">
        <f t="shared" si="294"/>
        <v>*0.93</v>
      </c>
      <c r="AG2327" s="43" t="str">
        <f t="shared" si="296"/>
        <v>REZoning_Sol-Win</v>
      </c>
      <c r="AI2327" s="33" t="s">
        <v>3201</v>
      </c>
      <c r="AJ2327" s="44" t="s">
        <v>57</v>
      </c>
      <c r="AK2327" s="33">
        <v>2050</v>
      </c>
      <c r="AL2327" s="45" t="str">
        <f t="shared" si="295"/>
        <v>*0.89</v>
      </c>
      <c r="AM2327" s="43" t="str">
        <f t="shared" si="297"/>
        <v>REZoning_Sol-Win</v>
      </c>
      <c r="AP2327" t="s">
        <v>3201</v>
      </c>
      <c r="AQ2327" t="s">
        <v>57</v>
      </c>
      <c r="AR2327">
        <v>2100</v>
      </c>
      <c r="AS2327" t="s">
        <v>937</v>
      </c>
      <c r="AT2327" t="s">
        <v>58</v>
      </c>
    </row>
    <row r="2328" ht="29" spans="1:46">
      <c r="A2328" s="31" t="s">
        <v>83</v>
      </c>
      <c r="C2328" t="s">
        <v>3202</v>
      </c>
      <c r="D2328" s="5" t="s">
        <v>57</v>
      </c>
      <c r="E2328">
        <v>2035</v>
      </c>
      <c r="F2328" s="6" t="str">
        <f t="shared" si="290"/>
        <v>*0.95</v>
      </c>
      <c r="H2328" t="s">
        <v>3202</v>
      </c>
      <c r="I2328" s="5" t="s">
        <v>57</v>
      </c>
      <c r="J2328">
        <v>2050</v>
      </c>
      <c r="K2328" s="38" t="str">
        <f t="shared" si="291"/>
        <v>*0.92</v>
      </c>
      <c r="P2328" s="32" t="s">
        <v>3202</v>
      </c>
      <c r="Q2328" s="42" t="s">
        <v>57</v>
      </c>
      <c r="R2328" s="32">
        <v>2035</v>
      </c>
      <c r="S2328" s="43" t="str">
        <f t="shared" si="292"/>
        <v>*0.95</v>
      </c>
      <c r="U2328" s="32" t="s">
        <v>3202</v>
      </c>
      <c r="V2328" s="42" t="s">
        <v>57</v>
      </c>
      <c r="W2328" s="32">
        <v>2050</v>
      </c>
      <c r="X2328" s="43" t="str">
        <f t="shared" si="293"/>
        <v>*0.92</v>
      </c>
      <c r="AC2328" s="33" t="s">
        <v>3202</v>
      </c>
      <c r="AD2328" s="44" t="s">
        <v>57</v>
      </c>
      <c r="AE2328" s="33">
        <v>2035</v>
      </c>
      <c r="AF2328" s="45" t="str">
        <f t="shared" si="294"/>
        <v>*0.93</v>
      </c>
      <c r="AG2328" s="43" t="str">
        <f t="shared" si="296"/>
        <v>REZoning_Sol-Win</v>
      </c>
      <c r="AI2328" s="33" t="s">
        <v>3202</v>
      </c>
      <c r="AJ2328" s="44" t="s">
        <v>57</v>
      </c>
      <c r="AK2328" s="33">
        <v>2050</v>
      </c>
      <c r="AL2328" s="45" t="str">
        <f t="shared" si="295"/>
        <v>*0.89</v>
      </c>
      <c r="AM2328" s="43" t="str">
        <f t="shared" si="297"/>
        <v>REZoning_Sol-Win</v>
      </c>
      <c r="AP2328" t="s">
        <v>3202</v>
      </c>
      <c r="AQ2328" t="s">
        <v>57</v>
      </c>
      <c r="AR2328">
        <v>2100</v>
      </c>
      <c r="AS2328" t="s">
        <v>937</v>
      </c>
      <c r="AT2328" t="s">
        <v>58</v>
      </c>
    </row>
    <row r="2329" ht="29" spans="1:46">
      <c r="A2329" s="31" t="s">
        <v>83</v>
      </c>
      <c r="C2329" t="s">
        <v>3203</v>
      </c>
      <c r="D2329" s="5" t="s">
        <v>57</v>
      </c>
      <c r="E2329">
        <v>2035</v>
      </c>
      <c r="F2329" s="6" t="str">
        <f t="shared" si="290"/>
        <v>*0.95</v>
      </c>
      <c r="H2329" t="s">
        <v>3203</v>
      </c>
      <c r="I2329" s="5" t="s">
        <v>57</v>
      </c>
      <c r="J2329">
        <v>2050</v>
      </c>
      <c r="K2329" s="38" t="str">
        <f t="shared" si="291"/>
        <v>*0.92</v>
      </c>
      <c r="P2329" s="32" t="s">
        <v>3203</v>
      </c>
      <c r="Q2329" s="42" t="s">
        <v>57</v>
      </c>
      <c r="R2329" s="32">
        <v>2035</v>
      </c>
      <c r="S2329" s="43" t="str">
        <f t="shared" si="292"/>
        <v>*0.95</v>
      </c>
      <c r="U2329" s="32" t="s">
        <v>3203</v>
      </c>
      <c r="V2329" s="42" t="s">
        <v>57</v>
      </c>
      <c r="W2329" s="32">
        <v>2050</v>
      </c>
      <c r="X2329" s="43" t="str">
        <f t="shared" si="293"/>
        <v>*0.92</v>
      </c>
      <c r="AC2329" s="33" t="s">
        <v>3203</v>
      </c>
      <c r="AD2329" s="44" t="s">
        <v>57</v>
      </c>
      <c r="AE2329" s="33">
        <v>2035</v>
      </c>
      <c r="AF2329" s="45" t="str">
        <f t="shared" si="294"/>
        <v>*0.93</v>
      </c>
      <c r="AG2329" s="43" t="str">
        <f t="shared" si="296"/>
        <v>REZoning_Sol-Win</v>
      </c>
      <c r="AI2329" s="33" t="s">
        <v>3203</v>
      </c>
      <c r="AJ2329" s="44" t="s">
        <v>57</v>
      </c>
      <c r="AK2329" s="33">
        <v>2050</v>
      </c>
      <c r="AL2329" s="45" t="str">
        <f t="shared" si="295"/>
        <v>*0.89</v>
      </c>
      <c r="AM2329" s="43" t="str">
        <f t="shared" si="297"/>
        <v>REZoning_Sol-Win</v>
      </c>
      <c r="AP2329" t="s">
        <v>3203</v>
      </c>
      <c r="AQ2329" t="s">
        <v>57</v>
      </c>
      <c r="AR2329">
        <v>2100</v>
      </c>
      <c r="AS2329" t="s">
        <v>937</v>
      </c>
      <c r="AT2329" t="s">
        <v>58</v>
      </c>
    </row>
    <row r="2330" ht="29" spans="1:46">
      <c r="A2330" s="31" t="s">
        <v>83</v>
      </c>
      <c r="C2330" t="s">
        <v>3204</v>
      </c>
      <c r="D2330" s="5" t="s">
        <v>57</v>
      </c>
      <c r="E2330">
        <v>2035</v>
      </c>
      <c r="F2330" s="6" t="str">
        <f t="shared" si="290"/>
        <v>*0.95</v>
      </c>
      <c r="H2330" t="s">
        <v>3204</v>
      </c>
      <c r="I2330" s="5" t="s">
        <v>57</v>
      </c>
      <c r="J2330">
        <v>2050</v>
      </c>
      <c r="K2330" s="38" t="str">
        <f t="shared" si="291"/>
        <v>*0.92</v>
      </c>
      <c r="P2330" s="32" t="s">
        <v>3204</v>
      </c>
      <c r="Q2330" s="42" t="s">
        <v>57</v>
      </c>
      <c r="R2330" s="32">
        <v>2035</v>
      </c>
      <c r="S2330" s="43" t="str">
        <f t="shared" si="292"/>
        <v>*0.95</v>
      </c>
      <c r="U2330" s="32" t="s">
        <v>3204</v>
      </c>
      <c r="V2330" s="42" t="s">
        <v>57</v>
      </c>
      <c r="W2330" s="32">
        <v>2050</v>
      </c>
      <c r="X2330" s="43" t="str">
        <f t="shared" si="293"/>
        <v>*0.92</v>
      </c>
      <c r="AC2330" s="33" t="s">
        <v>3204</v>
      </c>
      <c r="AD2330" s="44" t="s">
        <v>57</v>
      </c>
      <c r="AE2330" s="33">
        <v>2035</v>
      </c>
      <c r="AF2330" s="45" t="str">
        <f t="shared" si="294"/>
        <v>*0.93</v>
      </c>
      <c r="AG2330" s="43" t="str">
        <f t="shared" si="296"/>
        <v>REZoning_Sol-Win</v>
      </c>
      <c r="AI2330" s="33" t="s">
        <v>3204</v>
      </c>
      <c r="AJ2330" s="44" t="s">
        <v>57</v>
      </c>
      <c r="AK2330" s="33">
        <v>2050</v>
      </c>
      <c r="AL2330" s="45" t="str">
        <f t="shared" si="295"/>
        <v>*0.89</v>
      </c>
      <c r="AM2330" s="43" t="str">
        <f t="shared" si="297"/>
        <v>REZoning_Sol-Win</v>
      </c>
      <c r="AP2330" t="s">
        <v>3204</v>
      </c>
      <c r="AQ2330" t="s">
        <v>57</v>
      </c>
      <c r="AR2330">
        <v>2100</v>
      </c>
      <c r="AS2330" t="s">
        <v>937</v>
      </c>
      <c r="AT2330" t="s">
        <v>58</v>
      </c>
    </row>
    <row r="2331" ht="29" spans="1:46">
      <c r="A2331" s="31" t="s">
        <v>83</v>
      </c>
      <c r="C2331" t="s">
        <v>3205</v>
      </c>
      <c r="D2331" s="5" t="s">
        <v>57</v>
      </c>
      <c r="E2331">
        <v>2035</v>
      </c>
      <c r="F2331" s="6" t="str">
        <f t="shared" si="290"/>
        <v>*0.95</v>
      </c>
      <c r="H2331" t="s">
        <v>3205</v>
      </c>
      <c r="I2331" s="5" t="s">
        <v>57</v>
      </c>
      <c r="J2331">
        <v>2050</v>
      </c>
      <c r="K2331" s="38" t="str">
        <f t="shared" si="291"/>
        <v>*0.92</v>
      </c>
      <c r="P2331" s="32" t="s">
        <v>3205</v>
      </c>
      <c r="Q2331" s="42" t="s">
        <v>57</v>
      </c>
      <c r="R2331" s="32">
        <v>2035</v>
      </c>
      <c r="S2331" s="43" t="str">
        <f t="shared" si="292"/>
        <v>*0.95</v>
      </c>
      <c r="U2331" s="32" t="s">
        <v>3205</v>
      </c>
      <c r="V2331" s="42" t="s">
        <v>57</v>
      </c>
      <c r="W2331" s="32">
        <v>2050</v>
      </c>
      <c r="X2331" s="43" t="str">
        <f t="shared" si="293"/>
        <v>*0.92</v>
      </c>
      <c r="AC2331" s="33" t="s">
        <v>3205</v>
      </c>
      <c r="AD2331" s="44" t="s">
        <v>57</v>
      </c>
      <c r="AE2331" s="33">
        <v>2035</v>
      </c>
      <c r="AF2331" s="45" t="str">
        <f t="shared" si="294"/>
        <v>*0.93</v>
      </c>
      <c r="AG2331" s="43" t="str">
        <f t="shared" si="296"/>
        <v>REZoning_Sol-Win</v>
      </c>
      <c r="AI2331" s="33" t="s">
        <v>3205</v>
      </c>
      <c r="AJ2331" s="44" t="s">
        <v>57</v>
      </c>
      <c r="AK2331" s="33">
        <v>2050</v>
      </c>
      <c r="AL2331" s="45" t="str">
        <f t="shared" si="295"/>
        <v>*0.89</v>
      </c>
      <c r="AM2331" s="43" t="str">
        <f t="shared" si="297"/>
        <v>REZoning_Sol-Win</v>
      </c>
      <c r="AP2331" t="s">
        <v>3205</v>
      </c>
      <c r="AQ2331" t="s">
        <v>57</v>
      </c>
      <c r="AR2331">
        <v>2100</v>
      </c>
      <c r="AS2331" t="s">
        <v>937</v>
      </c>
      <c r="AT2331" t="s">
        <v>58</v>
      </c>
    </row>
    <row r="2332" ht="29" spans="1:46">
      <c r="A2332" s="31" t="s">
        <v>83</v>
      </c>
      <c r="C2332" t="s">
        <v>3206</v>
      </c>
      <c r="D2332" s="5" t="s">
        <v>57</v>
      </c>
      <c r="E2332">
        <v>2035</v>
      </c>
      <c r="F2332" s="6" t="str">
        <f t="shared" si="290"/>
        <v>*0.95</v>
      </c>
      <c r="H2332" t="s">
        <v>3206</v>
      </c>
      <c r="I2332" s="5" t="s">
        <v>57</v>
      </c>
      <c r="J2332">
        <v>2050</v>
      </c>
      <c r="K2332" s="38" t="str">
        <f t="shared" si="291"/>
        <v>*0.92</v>
      </c>
      <c r="P2332" s="32" t="s">
        <v>3206</v>
      </c>
      <c r="Q2332" s="42" t="s">
        <v>57</v>
      </c>
      <c r="R2332" s="32">
        <v>2035</v>
      </c>
      <c r="S2332" s="43" t="str">
        <f t="shared" si="292"/>
        <v>*0.95</v>
      </c>
      <c r="U2332" s="32" t="s">
        <v>3206</v>
      </c>
      <c r="V2332" s="42" t="s">
        <v>57</v>
      </c>
      <c r="W2332" s="32">
        <v>2050</v>
      </c>
      <c r="X2332" s="43" t="str">
        <f t="shared" si="293"/>
        <v>*0.92</v>
      </c>
      <c r="AC2332" s="33" t="s">
        <v>3206</v>
      </c>
      <c r="AD2332" s="44" t="s">
        <v>57</v>
      </c>
      <c r="AE2332" s="33">
        <v>2035</v>
      </c>
      <c r="AF2332" s="45" t="str">
        <f t="shared" si="294"/>
        <v>*0.93</v>
      </c>
      <c r="AG2332" s="43" t="str">
        <f t="shared" si="296"/>
        <v>REZoning_Sol-Win</v>
      </c>
      <c r="AI2332" s="33" t="s">
        <v>3206</v>
      </c>
      <c r="AJ2332" s="44" t="s">
        <v>57</v>
      </c>
      <c r="AK2332" s="33">
        <v>2050</v>
      </c>
      <c r="AL2332" s="45" t="str">
        <f t="shared" si="295"/>
        <v>*0.89</v>
      </c>
      <c r="AM2332" s="43" t="str">
        <f t="shared" si="297"/>
        <v>REZoning_Sol-Win</v>
      </c>
      <c r="AP2332" t="s">
        <v>3206</v>
      </c>
      <c r="AQ2332" t="s">
        <v>57</v>
      </c>
      <c r="AR2332">
        <v>2100</v>
      </c>
      <c r="AS2332" t="s">
        <v>937</v>
      </c>
      <c r="AT2332" t="s">
        <v>58</v>
      </c>
    </row>
    <row r="2333" ht="29" spans="1:46">
      <c r="A2333" s="31" t="s">
        <v>83</v>
      </c>
      <c r="C2333" t="s">
        <v>3207</v>
      </c>
      <c r="D2333" s="5" t="s">
        <v>57</v>
      </c>
      <c r="E2333">
        <v>2035</v>
      </c>
      <c r="F2333" s="6" t="str">
        <f t="shared" si="290"/>
        <v>*0.95</v>
      </c>
      <c r="H2333" t="s">
        <v>3207</v>
      </c>
      <c r="I2333" s="5" t="s">
        <v>57</v>
      </c>
      <c r="J2333">
        <v>2050</v>
      </c>
      <c r="K2333" s="38" t="str">
        <f t="shared" si="291"/>
        <v>*0.92</v>
      </c>
      <c r="P2333" s="32" t="s">
        <v>3207</v>
      </c>
      <c r="Q2333" s="42" t="s">
        <v>57</v>
      </c>
      <c r="R2333" s="32">
        <v>2035</v>
      </c>
      <c r="S2333" s="43" t="str">
        <f t="shared" si="292"/>
        <v>*0.95</v>
      </c>
      <c r="U2333" s="32" t="s">
        <v>3207</v>
      </c>
      <c r="V2333" s="42" t="s">
        <v>57</v>
      </c>
      <c r="W2333" s="32">
        <v>2050</v>
      </c>
      <c r="X2333" s="43" t="str">
        <f t="shared" si="293"/>
        <v>*0.92</v>
      </c>
      <c r="AC2333" s="33" t="s">
        <v>3207</v>
      </c>
      <c r="AD2333" s="44" t="s">
        <v>57</v>
      </c>
      <c r="AE2333" s="33">
        <v>2035</v>
      </c>
      <c r="AF2333" s="45" t="str">
        <f t="shared" si="294"/>
        <v>*0.93</v>
      </c>
      <c r="AG2333" s="43" t="str">
        <f t="shared" si="296"/>
        <v>REZoning_Sol-Win</v>
      </c>
      <c r="AI2333" s="33" t="s">
        <v>3207</v>
      </c>
      <c r="AJ2333" s="44" t="s">
        <v>57</v>
      </c>
      <c r="AK2333" s="33">
        <v>2050</v>
      </c>
      <c r="AL2333" s="45" t="str">
        <f t="shared" si="295"/>
        <v>*0.89</v>
      </c>
      <c r="AM2333" s="43" t="str">
        <f t="shared" si="297"/>
        <v>REZoning_Sol-Win</v>
      </c>
      <c r="AP2333" t="s">
        <v>3207</v>
      </c>
      <c r="AQ2333" t="s">
        <v>57</v>
      </c>
      <c r="AR2333">
        <v>2100</v>
      </c>
      <c r="AS2333" t="s">
        <v>937</v>
      </c>
      <c r="AT2333" t="s">
        <v>58</v>
      </c>
    </row>
    <row r="2334" ht="29" spans="1:46">
      <c r="A2334" s="31" t="s">
        <v>83</v>
      </c>
      <c r="C2334" t="s">
        <v>3208</v>
      </c>
      <c r="D2334" s="5" t="s">
        <v>57</v>
      </c>
      <c r="E2334">
        <v>2035</v>
      </c>
      <c r="F2334" s="6" t="str">
        <f t="shared" si="290"/>
        <v>*0.95</v>
      </c>
      <c r="H2334" t="s">
        <v>3208</v>
      </c>
      <c r="I2334" s="5" t="s">
        <v>57</v>
      </c>
      <c r="J2334">
        <v>2050</v>
      </c>
      <c r="K2334" s="38" t="str">
        <f t="shared" si="291"/>
        <v>*0.92</v>
      </c>
      <c r="P2334" s="32" t="s">
        <v>3208</v>
      </c>
      <c r="Q2334" s="42" t="s">
        <v>57</v>
      </c>
      <c r="R2334" s="32">
        <v>2035</v>
      </c>
      <c r="S2334" s="43" t="str">
        <f t="shared" si="292"/>
        <v>*0.95</v>
      </c>
      <c r="U2334" s="32" t="s">
        <v>3208</v>
      </c>
      <c r="V2334" s="42" t="s">
        <v>57</v>
      </c>
      <c r="W2334" s="32">
        <v>2050</v>
      </c>
      <c r="X2334" s="43" t="str">
        <f t="shared" si="293"/>
        <v>*0.92</v>
      </c>
      <c r="AC2334" s="33" t="s">
        <v>3208</v>
      </c>
      <c r="AD2334" s="44" t="s">
        <v>57</v>
      </c>
      <c r="AE2334" s="33">
        <v>2035</v>
      </c>
      <c r="AF2334" s="45" t="str">
        <f t="shared" si="294"/>
        <v>*0.93</v>
      </c>
      <c r="AG2334" s="43" t="str">
        <f t="shared" si="296"/>
        <v>REZoning_Sol-Win</v>
      </c>
      <c r="AI2334" s="33" t="s">
        <v>3208</v>
      </c>
      <c r="AJ2334" s="44" t="s">
        <v>57</v>
      </c>
      <c r="AK2334" s="33">
        <v>2050</v>
      </c>
      <c r="AL2334" s="45" t="str">
        <f t="shared" si="295"/>
        <v>*0.89</v>
      </c>
      <c r="AM2334" s="43" t="str">
        <f t="shared" si="297"/>
        <v>REZoning_Sol-Win</v>
      </c>
      <c r="AP2334" t="s">
        <v>3208</v>
      </c>
      <c r="AQ2334" t="s">
        <v>57</v>
      </c>
      <c r="AR2334">
        <v>2100</v>
      </c>
      <c r="AS2334" t="s">
        <v>937</v>
      </c>
      <c r="AT2334" t="s">
        <v>58</v>
      </c>
    </row>
    <row r="2335" ht="29" spans="1:46">
      <c r="A2335" s="31" t="s">
        <v>83</v>
      </c>
      <c r="C2335" t="s">
        <v>3209</v>
      </c>
      <c r="D2335" s="5" t="s">
        <v>57</v>
      </c>
      <c r="E2335">
        <v>2035</v>
      </c>
      <c r="F2335" s="6" t="str">
        <f t="shared" si="290"/>
        <v>*0.95</v>
      </c>
      <c r="H2335" t="s">
        <v>3209</v>
      </c>
      <c r="I2335" s="5" t="s">
        <v>57</v>
      </c>
      <c r="J2335">
        <v>2050</v>
      </c>
      <c r="K2335" s="38" t="str">
        <f t="shared" si="291"/>
        <v>*0.92</v>
      </c>
      <c r="P2335" s="32" t="s">
        <v>3209</v>
      </c>
      <c r="Q2335" s="42" t="s">
        <v>57</v>
      </c>
      <c r="R2335" s="32">
        <v>2035</v>
      </c>
      <c r="S2335" s="43" t="str">
        <f t="shared" si="292"/>
        <v>*0.95</v>
      </c>
      <c r="U2335" s="32" t="s">
        <v>3209</v>
      </c>
      <c r="V2335" s="42" t="s">
        <v>57</v>
      </c>
      <c r="W2335" s="32">
        <v>2050</v>
      </c>
      <c r="X2335" s="43" t="str">
        <f t="shared" si="293"/>
        <v>*0.92</v>
      </c>
      <c r="AC2335" s="33" t="s">
        <v>3209</v>
      </c>
      <c r="AD2335" s="44" t="s">
        <v>57</v>
      </c>
      <c r="AE2335" s="33">
        <v>2035</v>
      </c>
      <c r="AF2335" s="45" t="str">
        <f t="shared" si="294"/>
        <v>*0.93</v>
      </c>
      <c r="AG2335" s="43" t="str">
        <f t="shared" si="296"/>
        <v>REZoning_Sol-Win</v>
      </c>
      <c r="AI2335" s="33" t="s">
        <v>3209</v>
      </c>
      <c r="AJ2335" s="44" t="s">
        <v>57</v>
      </c>
      <c r="AK2335" s="33">
        <v>2050</v>
      </c>
      <c r="AL2335" s="45" t="str">
        <f t="shared" si="295"/>
        <v>*0.89</v>
      </c>
      <c r="AM2335" s="43" t="str">
        <f t="shared" si="297"/>
        <v>REZoning_Sol-Win</v>
      </c>
      <c r="AP2335" t="s">
        <v>3209</v>
      </c>
      <c r="AQ2335" t="s">
        <v>57</v>
      </c>
      <c r="AR2335">
        <v>2100</v>
      </c>
      <c r="AS2335" t="s">
        <v>937</v>
      </c>
      <c r="AT2335" t="s">
        <v>58</v>
      </c>
    </row>
    <row r="2336" ht="29" spans="1:46">
      <c r="A2336" s="31" t="s">
        <v>83</v>
      </c>
      <c r="C2336" t="s">
        <v>3210</v>
      </c>
      <c r="D2336" s="5" t="s">
        <v>57</v>
      </c>
      <c r="E2336">
        <v>2035</v>
      </c>
      <c r="F2336" s="6" t="str">
        <f t="shared" si="290"/>
        <v>*0.95</v>
      </c>
      <c r="H2336" t="s">
        <v>3210</v>
      </c>
      <c r="I2336" s="5" t="s">
        <v>57</v>
      </c>
      <c r="J2336">
        <v>2050</v>
      </c>
      <c r="K2336" s="38" t="str">
        <f t="shared" si="291"/>
        <v>*0.92</v>
      </c>
      <c r="P2336" s="32" t="s">
        <v>3210</v>
      </c>
      <c r="Q2336" s="42" t="s">
        <v>57</v>
      </c>
      <c r="R2336" s="32">
        <v>2035</v>
      </c>
      <c r="S2336" s="43" t="str">
        <f t="shared" si="292"/>
        <v>*0.95</v>
      </c>
      <c r="U2336" s="32" t="s">
        <v>3210</v>
      </c>
      <c r="V2336" s="42" t="s">
        <v>57</v>
      </c>
      <c r="W2336" s="32">
        <v>2050</v>
      </c>
      <c r="X2336" s="43" t="str">
        <f t="shared" si="293"/>
        <v>*0.92</v>
      </c>
      <c r="AC2336" s="33" t="s">
        <v>3210</v>
      </c>
      <c r="AD2336" s="44" t="s">
        <v>57</v>
      </c>
      <c r="AE2336" s="33">
        <v>2035</v>
      </c>
      <c r="AF2336" s="45" t="str">
        <f t="shared" si="294"/>
        <v>*0.93</v>
      </c>
      <c r="AG2336" s="43" t="str">
        <f t="shared" si="296"/>
        <v>REZoning_Sol-Win</v>
      </c>
      <c r="AI2336" s="33" t="s">
        <v>3210</v>
      </c>
      <c r="AJ2336" s="44" t="s">
        <v>57</v>
      </c>
      <c r="AK2336" s="33">
        <v>2050</v>
      </c>
      <c r="AL2336" s="45" t="str">
        <f t="shared" si="295"/>
        <v>*0.89</v>
      </c>
      <c r="AM2336" s="43" t="str">
        <f t="shared" si="297"/>
        <v>REZoning_Sol-Win</v>
      </c>
      <c r="AP2336" t="s">
        <v>3210</v>
      </c>
      <c r="AQ2336" t="s">
        <v>57</v>
      </c>
      <c r="AR2336">
        <v>2100</v>
      </c>
      <c r="AS2336" t="s">
        <v>937</v>
      </c>
      <c r="AT2336" t="s">
        <v>58</v>
      </c>
    </row>
    <row r="2337" ht="29" spans="1:46">
      <c r="A2337" s="31" t="s">
        <v>83</v>
      </c>
      <c r="C2337" t="s">
        <v>3211</v>
      </c>
      <c r="D2337" s="5" t="s">
        <v>57</v>
      </c>
      <c r="E2337">
        <v>2035</v>
      </c>
      <c r="F2337" s="6" t="str">
        <f t="shared" si="290"/>
        <v>*0.95</v>
      </c>
      <c r="H2337" t="s">
        <v>3211</v>
      </c>
      <c r="I2337" s="5" t="s">
        <v>57</v>
      </c>
      <c r="J2337">
        <v>2050</v>
      </c>
      <c r="K2337" s="38" t="str">
        <f t="shared" si="291"/>
        <v>*0.92</v>
      </c>
      <c r="P2337" s="32" t="s">
        <v>3211</v>
      </c>
      <c r="Q2337" s="42" t="s">
        <v>57</v>
      </c>
      <c r="R2337" s="32">
        <v>2035</v>
      </c>
      <c r="S2337" s="43" t="str">
        <f t="shared" si="292"/>
        <v>*0.95</v>
      </c>
      <c r="U2337" s="32" t="s">
        <v>3211</v>
      </c>
      <c r="V2337" s="42" t="s">
        <v>57</v>
      </c>
      <c r="W2337" s="32">
        <v>2050</v>
      </c>
      <c r="X2337" s="43" t="str">
        <f t="shared" si="293"/>
        <v>*0.92</v>
      </c>
      <c r="AC2337" s="33" t="s">
        <v>3211</v>
      </c>
      <c r="AD2337" s="44" t="s">
        <v>57</v>
      </c>
      <c r="AE2337" s="33">
        <v>2035</v>
      </c>
      <c r="AF2337" s="45" t="str">
        <f t="shared" si="294"/>
        <v>*0.93</v>
      </c>
      <c r="AG2337" s="43" t="str">
        <f t="shared" si="296"/>
        <v>REZoning_Sol-Win</v>
      </c>
      <c r="AI2337" s="33" t="s">
        <v>3211</v>
      </c>
      <c r="AJ2337" s="44" t="s">
        <v>57</v>
      </c>
      <c r="AK2337" s="33">
        <v>2050</v>
      </c>
      <c r="AL2337" s="45" t="str">
        <f t="shared" si="295"/>
        <v>*0.89</v>
      </c>
      <c r="AM2337" s="43" t="str">
        <f t="shared" si="297"/>
        <v>REZoning_Sol-Win</v>
      </c>
      <c r="AP2337" t="s">
        <v>3211</v>
      </c>
      <c r="AQ2337" t="s">
        <v>57</v>
      </c>
      <c r="AR2337">
        <v>2100</v>
      </c>
      <c r="AS2337" t="s">
        <v>937</v>
      </c>
      <c r="AT2337" t="s">
        <v>58</v>
      </c>
    </row>
    <row r="2338" ht="29" spans="1:46">
      <c r="A2338" s="31" t="s">
        <v>83</v>
      </c>
      <c r="C2338" t="s">
        <v>3212</v>
      </c>
      <c r="D2338" s="5" t="s">
        <v>57</v>
      </c>
      <c r="E2338">
        <v>2035</v>
      </c>
      <c r="F2338" s="6" t="str">
        <f t="shared" si="290"/>
        <v>*0.95</v>
      </c>
      <c r="H2338" t="s">
        <v>3212</v>
      </c>
      <c r="I2338" s="5" t="s">
        <v>57</v>
      </c>
      <c r="J2338">
        <v>2050</v>
      </c>
      <c r="K2338" s="38" t="str">
        <f t="shared" si="291"/>
        <v>*0.92</v>
      </c>
      <c r="P2338" s="32" t="s">
        <v>3212</v>
      </c>
      <c r="Q2338" s="42" t="s">
        <v>57</v>
      </c>
      <c r="R2338" s="32">
        <v>2035</v>
      </c>
      <c r="S2338" s="43" t="str">
        <f t="shared" si="292"/>
        <v>*0.95</v>
      </c>
      <c r="U2338" s="32" t="s">
        <v>3212</v>
      </c>
      <c r="V2338" s="42" t="s">
        <v>57</v>
      </c>
      <c r="W2338" s="32">
        <v>2050</v>
      </c>
      <c r="X2338" s="43" t="str">
        <f t="shared" si="293"/>
        <v>*0.92</v>
      </c>
      <c r="AC2338" s="33" t="s">
        <v>3212</v>
      </c>
      <c r="AD2338" s="44" t="s">
        <v>57</v>
      </c>
      <c r="AE2338" s="33">
        <v>2035</v>
      </c>
      <c r="AF2338" s="45" t="str">
        <f t="shared" si="294"/>
        <v>*0.93</v>
      </c>
      <c r="AG2338" s="43" t="str">
        <f t="shared" si="296"/>
        <v>REZoning_Sol-Win</v>
      </c>
      <c r="AI2338" s="33" t="s">
        <v>3212</v>
      </c>
      <c r="AJ2338" s="44" t="s">
        <v>57</v>
      </c>
      <c r="AK2338" s="33">
        <v>2050</v>
      </c>
      <c r="AL2338" s="45" t="str">
        <f t="shared" si="295"/>
        <v>*0.89</v>
      </c>
      <c r="AM2338" s="43" t="str">
        <f t="shared" si="297"/>
        <v>REZoning_Sol-Win</v>
      </c>
      <c r="AP2338" t="s">
        <v>3212</v>
      </c>
      <c r="AQ2338" t="s">
        <v>57</v>
      </c>
      <c r="AR2338">
        <v>2100</v>
      </c>
      <c r="AS2338" t="s">
        <v>937</v>
      </c>
      <c r="AT2338" t="s">
        <v>58</v>
      </c>
    </row>
    <row r="2339" ht="29" spans="1:46">
      <c r="A2339" s="31" t="s">
        <v>83</v>
      </c>
      <c r="C2339" t="s">
        <v>3213</v>
      </c>
      <c r="D2339" s="5" t="s">
        <v>57</v>
      </c>
      <c r="E2339">
        <v>2035</v>
      </c>
      <c r="F2339" s="6" t="str">
        <f t="shared" si="290"/>
        <v>*0.95</v>
      </c>
      <c r="H2339" t="s">
        <v>3213</v>
      </c>
      <c r="I2339" s="5" t="s">
        <v>57</v>
      </c>
      <c r="J2339">
        <v>2050</v>
      </c>
      <c r="K2339" s="38" t="str">
        <f t="shared" si="291"/>
        <v>*0.92</v>
      </c>
      <c r="P2339" s="32" t="s">
        <v>3213</v>
      </c>
      <c r="Q2339" s="42" t="s">
        <v>57</v>
      </c>
      <c r="R2339" s="32">
        <v>2035</v>
      </c>
      <c r="S2339" s="43" t="str">
        <f t="shared" si="292"/>
        <v>*0.95</v>
      </c>
      <c r="U2339" s="32" t="s">
        <v>3213</v>
      </c>
      <c r="V2339" s="42" t="s">
        <v>57</v>
      </c>
      <c r="W2339" s="32">
        <v>2050</v>
      </c>
      <c r="X2339" s="43" t="str">
        <f t="shared" si="293"/>
        <v>*0.92</v>
      </c>
      <c r="AC2339" s="33" t="s">
        <v>3213</v>
      </c>
      <c r="AD2339" s="44" t="s">
        <v>57</v>
      </c>
      <c r="AE2339" s="33">
        <v>2035</v>
      </c>
      <c r="AF2339" s="45" t="str">
        <f t="shared" si="294"/>
        <v>*0.93</v>
      </c>
      <c r="AG2339" s="43" t="str">
        <f t="shared" si="296"/>
        <v>REZoning_Sol-Win</v>
      </c>
      <c r="AI2339" s="33" t="s">
        <v>3213</v>
      </c>
      <c r="AJ2339" s="44" t="s">
        <v>57</v>
      </c>
      <c r="AK2339" s="33">
        <v>2050</v>
      </c>
      <c r="AL2339" s="45" t="str">
        <f t="shared" si="295"/>
        <v>*0.89</v>
      </c>
      <c r="AM2339" s="43" t="str">
        <f t="shared" si="297"/>
        <v>REZoning_Sol-Win</v>
      </c>
      <c r="AP2339" t="s">
        <v>3213</v>
      </c>
      <c r="AQ2339" t="s">
        <v>57</v>
      </c>
      <c r="AR2339">
        <v>2100</v>
      </c>
      <c r="AS2339" t="s">
        <v>937</v>
      </c>
      <c r="AT2339" t="s">
        <v>58</v>
      </c>
    </row>
    <row r="2340" ht="29" spans="1:46">
      <c r="A2340" s="31" t="s">
        <v>169</v>
      </c>
      <c r="C2340" t="s">
        <v>3214</v>
      </c>
      <c r="D2340" s="5" t="s">
        <v>57</v>
      </c>
      <c r="E2340">
        <v>2035</v>
      </c>
      <c r="F2340" s="6" t="str">
        <f t="shared" si="290"/>
        <v>*0.94</v>
      </c>
      <c r="H2340" t="s">
        <v>3214</v>
      </c>
      <c r="I2340" s="5" t="s">
        <v>57</v>
      </c>
      <c r="J2340">
        <v>2050</v>
      </c>
      <c r="K2340" s="38" t="str">
        <f t="shared" si="291"/>
        <v>*0.92</v>
      </c>
      <c r="P2340" s="32" t="s">
        <v>3214</v>
      </c>
      <c r="Q2340" s="42" t="s">
        <v>57</v>
      </c>
      <c r="R2340" s="32">
        <v>2035</v>
      </c>
      <c r="S2340" s="43" t="str">
        <f t="shared" si="292"/>
        <v>*0.93</v>
      </c>
      <c r="U2340" s="32" t="s">
        <v>3214</v>
      </c>
      <c r="V2340" s="42" t="s">
        <v>57</v>
      </c>
      <c r="W2340" s="32">
        <v>2050</v>
      </c>
      <c r="X2340" s="43" t="str">
        <f t="shared" si="293"/>
        <v>*0.92</v>
      </c>
      <c r="AC2340" s="33" t="s">
        <v>3214</v>
      </c>
      <c r="AD2340" s="44" t="s">
        <v>57</v>
      </c>
      <c r="AE2340" s="33">
        <v>2035</v>
      </c>
      <c r="AF2340" s="45" t="str">
        <f t="shared" si="294"/>
        <v>*0.91</v>
      </c>
      <c r="AG2340" s="43" t="str">
        <f t="shared" si="296"/>
        <v>REZoning_Sol-Win</v>
      </c>
      <c r="AI2340" s="33" t="s">
        <v>3214</v>
      </c>
      <c r="AJ2340" s="44" t="s">
        <v>57</v>
      </c>
      <c r="AK2340" s="33">
        <v>2050</v>
      </c>
      <c r="AL2340" s="45" t="str">
        <f t="shared" si="295"/>
        <v>*0.87</v>
      </c>
      <c r="AM2340" s="43" t="str">
        <f t="shared" si="297"/>
        <v>REZoning_Sol-Win</v>
      </c>
      <c r="AP2340" t="s">
        <v>3214</v>
      </c>
      <c r="AQ2340" t="s">
        <v>57</v>
      </c>
      <c r="AR2340">
        <v>2100</v>
      </c>
      <c r="AS2340" t="s">
        <v>874</v>
      </c>
      <c r="AT2340" t="s">
        <v>58</v>
      </c>
    </row>
    <row r="2341" ht="29" spans="1:46">
      <c r="A2341" s="31" t="s">
        <v>169</v>
      </c>
      <c r="C2341" t="s">
        <v>3215</v>
      </c>
      <c r="D2341" s="5" t="s">
        <v>57</v>
      </c>
      <c r="E2341">
        <v>2035</v>
      </c>
      <c r="F2341" s="6" t="str">
        <f t="shared" si="290"/>
        <v>*0.94</v>
      </c>
      <c r="H2341" t="s">
        <v>3215</v>
      </c>
      <c r="I2341" s="5" t="s">
        <v>57</v>
      </c>
      <c r="J2341">
        <v>2050</v>
      </c>
      <c r="K2341" s="38" t="str">
        <f t="shared" si="291"/>
        <v>*0.92</v>
      </c>
      <c r="P2341" s="32" t="s">
        <v>3215</v>
      </c>
      <c r="Q2341" s="42" t="s">
        <v>57</v>
      </c>
      <c r="R2341" s="32">
        <v>2035</v>
      </c>
      <c r="S2341" s="43" t="str">
        <f t="shared" si="292"/>
        <v>*0.93</v>
      </c>
      <c r="U2341" s="32" t="s">
        <v>3215</v>
      </c>
      <c r="V2341" s="42" t="s">
        <v>57</v>
      </c>
      <c r="W2341" s="32">
        <v>2050</v>
      </c>
      <c r="X2341" s="43" t="str">
        <f t="shared" si="293"/>
        <v>*0.92</v>
      </c>
      <c r="AC2341" s="33" t="s">
        <v>3215</v>
      </c>
      <c r="AD2341" s="44" t="s">
        <v>57</v>
      </c>
      <c r="AE2341" s="33">
        <v>2035</v>
      </c>
      <c r="AF2341" s="45" t="str">
        <f t="shared" si="294"/>
        <v>*0.91</v>
      </c>
      <c r="AG2341" s="43" t="str">
        <f t="shared" si="296"/>
        <v>REZoning_Sol-Win</v>
      </c>
      <c r="AI2341" s="33" t="s">
        <v>3215</v>
      </c>
      <c r="AJ2341" s="44" t="s">
        <v>57</v>
      </c>
      <c r="AK2341" s="33">
        <v>2050</v>
      </c>
      <c r="AL2341" s="45" t="str">
        <f t="shared" si="295"/>
        <v>*0.87</v>
      </c>
      <c r="AM2341" s="43" t="str">
        <f t="shared" si="297"/>
        <v>REZoning_Sol-Win</v>
      </c>
      <c r="AP2341" t="s">
        <v>3215</v>
      </c>
      <c r="AQ2341" t="s">
        <v>57</v>
      </c>
      <c r="AR2341">
        <v>2100</v>
      </c>
      <c r="AS2341" t="s">
        <v>874</v>
      </c>
      <c r="AT2341" t="s">
        <v>58</v>
      </c>
    </row>
    <row r="2342" ht="29" spans="1:46">
      <c r="A2342" s="31" t="s">
        <v>169</v>
      </c>
      <c r="C2342" t="s">
        <v>3216</v>
      </c>
      <c r="D2342" s="5" t="s">
        <v>57</v>
      </c>
      <c r="E2342">
        <v>2035</v>
      </c>
      <c r="F2342" s="6" t="str">
        <f t="shared" si="290"/>
        <v>*0.94</v>
      </c>
      <c r="H2342" t="s">
        <v>3216</v>
      </c>
      <c r="I2342" s="5" t="s">
        <v>57</v>
      </c>
      <c r="J2342">
        <v>2050</v>
      </c>
      <c r="K2342" s="38" t="str">
        <f t="shared" si="291"/>
        <v>*0.92</v>
      </c>
      <c r="P2342" s="32" t="s">
        <v>3216</v>
      </c>
      <c r="Q2342" s="42" t="s">
        <v>57</v>
      </c>
      <c r="R2342" s="32">
        <v>2035</v>
      </c>
      <c r="S2342" s="43" t="str">
        <f t="shared" si="292"/>
        <v>*0.93</v>
      </c>
      <c r="U2342" s="32" t="s">
        <v>3216</v>
      </c>
      <c r="V2342" s="42" t="s">
        <v>57</v>
      </c>
      <c r="W2342" s="32">
        <v>2050</v>
      </c>
      <c r="X2342" s="43" t="str">
        <f t="shared" si="293"/>
        <v>*0.92</v>
      </c>
      <c r="AC2342" s="33" t="s">
        <v>3216</v>
      </c>
      <c r="AD2342" s="44" t="s">
        <v>57</v>
      </c>
      <c r="AE2342" s="33">
        <v>2035</v>
      </c>
      <c r="AF2342" s="45" t="str">
        <f t="shared" si="294"/>
        <v>*0.91</v>
      </c>
      <c r="AG2342" s="43" t="str">
        <f t="shared" si="296"/>
        <v>REZoning_Sol-Win</v>
      </c>
      <c r="AI2342" s="33" t="s">
        <v>3216</v>
      </c>
      <c r="AJ2342" s="44" t="s">
        <v>57</v>
      </c>
      <c r="AK2342" s="33">
        <v>2050</v>
      </c>
      <c r="AL2342" s="45" t="str">
        <f t="shared" si="295"/>
        <v>*0.87</v>
      </c>
      <c r="AM2342" s="43" t="str">
        <f t="shared" si="297"/>
        <v>REZoning_Sol-Win</v>
      </c>
      <c r="AP2342" t="s">
        <v>3216</v>
      </c>
      <c r="AQ2342" t="s">
        <v>57</v>
      </c>
      <c r="AR2342">
        <v>2100</v>
      </c>
      <c r="AS2342" t="s">
        <v>874</v>
      </c>
      <c r="AT2342" t="s">
        <v>58</v>
      </c>
    </row>
    <row r="2343" ht="29" spans="1:46">
      <c r="A2343" s="31" t="s">
        <v>169</v>
      </c>
      <c r="C2343" t="s">
        <v>3217</v>
      </c>
      <c r="D2343" s="5" t="s">
        <v>57</v>
      </c>
      <c r="E2343">
        <v>2035</v>
      </c>
      <c r="F2343" s="6" t="str">
        <f t="shared" si="290"/>
        <v>*0.94</v>
      </c>
      <c r="H2343" t="s">
        <v>3217</v>
      </c>
      <c r="I2343" s="5" t="s">
        <v>57</v>
      </c>
      <c r="J2343">
        <v>2050</v>
      </c>
      <c r="K2343" s="38" t="str">
        <f t="shared" si="291"/>
        <v>*0.92</v>
      </c>
      <c r="P2343" s="32" t="s">
        <v>3217</v>
      </c>
      <c r="Q2343" s="42" t="s">
        <v>57</v>
      </c>
      <c r="R2343" s="32">
        <v>2035</v>
      </c>
      <c r="S2343" s="43" t="str">
        <f t="shared" si="292"/>
        <v>*0.93</v>
      </c>
      <c r="U2343" s="32" t="s">
        <v>3217</v>
      </c>
      <c r="V2343" s="42" t="s">
        <v>57</v>
      </c>
      <c r="W2343" s="32">
        <v>2050</v>
      </c>
      <c r="X2343" s="43" t="str">
        <f t="shared" si="293"/>
        <v>*0.92</v>
      </c>
      <c r="AC2343" s="33" t="s">
        <v>3217</v>
      </c>
      <c r="AD2343" s="44" t="s">
        <v>57</v>
      </c>
      <c r="AE2343" s="33">
        <v>2035</v>
      </c>
      <c r="AF2343" s="45" t="str">
        <f t="shared" si="294"/>
        <v>*0.91</v>
      </c>
      <c r="AG2343" s="43" t="str">
        <f t="shared" si="296"/>
        <v>REZoning_Sol-Win</v>
      </c>
      <c r="AI2343" s="33" t="s">
        <v>3217</v>
      </c>
      <c r="AJ2343" s="44" t="s">
        <v>57</v>
      </c>
      <c r="AK2343" s="33">
        <v>2050</v>
      </c>
      <c r="AL2343" s="45" t="str">
        <f t="shared" si="295"/>
        <v>*0.87</v>
      </c>
      <c r="AM2343" s="43" t="str">
        <f t="shared" si="297"/>
        <v>REZoning_Sol-Win</v>
      </c>
      <c r="AP2343" t="s">
        <v>3217</v>
      </c>
      <c r="AQ2343" t="s">
        <v>57</v>
      </c>
      <c r="AR2343">
        <v>2100</v>
      </c>
      <c r="AS2343" t="s">
        <v>874</v>
      </c>
      <c r="AT2343" t="s">
        <v>58</v>
      </c>
    </row>
    <row r="2344" ht="29" spans="1:46">
      <c r="A2344" s="31" t="s">
        <v>169</v>
      </c>
      <c r="C2344" t="s">
        <v>3218</v>
      </c>
      <c r="D2344" s="5" t="s">
        <v>57</v>
      </c>
      <c r="E2344">
        <v>2035</v>
      </c>
      <c r="F2344" s="6" t="str">
        <f t="shared" si="290"/>
        <v>*0.94</v>
      </c>
      <c r="H2344" t="s">
        <v>3218</v>
      </c>
      <c r="I2344" s="5" t="s">
        <v>57</v>
      </c>
      <c r="J2344">
        <v>2050</v>
      </c>
      <c r="K2344" s="38" t="str">
        <f t="shared" si="291"/>
        <v>*0.92</v>
      </c>
      <c r="P2344" s="32" t="s">
        <v>3218</v>
      </c>
      <c r="Q2344" s="42" t="s">
        <v>57</v>
      </c>
      <c r="R2344" s="32">
        <v>2035</v>
      </c>
      <c r="S2344" s="43" t="str">
        <f t="shared" si="292"/>
        <v>*0.93</v>
      </c>
      <c r="U2344" s="32" t="s">
        <v>3218</v>
      </c>
      <c r="V2344" s="42" t="s">
        <v>57</v>
      </c>
      <c r="W2344" s="32">
        <v>2050</v>
      </c>
      <c r="X2344" s="43" t="str">
        <f t="shared" si="293"/>
        <v>*0.92</v>
      </c>
      <c r="AC2344" s="33" t="s">
        <v>3218</v>
      </c>
      <c r="AD2344" s="44" t="s">
        <v>57</v>
      </c>
      <c r="AE2344" s="33">
        <v>2035</v>
      </c>
      <c r="AF2344" s="45" t="str">
        <f t="shared" si="294"/>
        <v>*0.91</v>
      </c>
      <c r="AG2344" s="43" t="str">
        <f t="shared" si="296"/>
        <v>REZoning_Sol-Win</v>
      </c>
      <c r="AI2344" s="33" t="s">
        <v>3218</v>
      </c>
      <c r="AJ2344" s="44" t="s">
        <v>57</v>
      </c>
      <c r="AK2344" s="33">
        <v>2050</v>
      </c>
      <c r="AL2344" s="45" t="str">
        <f t="shared" si="295"/>
        <v>*0.87</v>
      </c>
      <c r="AM2344" s="43" t="str">
        <f t="shared" si="297"/>
        <v>REZoning_Sol-Win</v>
      </c>
      <c r="AP2344" t="s">
        <v>3218</v>
      </c>
      <c r="AQ2344" t="s">
        <v>57</v>
      </c>
      <c r="AR2344">
        <v>2100</v>
      </c>
      <c r="AS2344" t="s">
        <v>874</v>
      </c>
      <c r="AT2344" t="s">
        <v>58</v>
      </c>
    </row>
    <row r="2345" ht="29" spans="1:46">
      <c r="A2345" s="31" t="s">
        <v>169</v>
      </c>
      <c r="C2345" t="s">
        <v>3219</v>
      </c>
      <c r="D2345" s="5" t="s">
        <v>57</v>
      </c>
      <c r="E2345">
        <v>2035</v>
      </c>
      <c r="F2345" s="6" t="str">
        <f t="shared" si="290"/>
        <v>*0.94</v>
      </c>
      <c r="H2345" t="s">
        <v>3219</v>
      </c>
      <c r="I2345" s="5" t="s">
        <v>57</v>
      </c>
      <c r="J2345">
        <v>2050</v>
      </c>
      <c r="K2345" s="38" t="str">
        <f t="shared" si="291"/>
        <v>*0.92</v>
      </c>
      <c r="P2345" s="32" t="s">
        <v>3219</v>
      </c>
      <c r="Q2345" s="42" t="s">
        <v>57</v>
      </c>
      <c r="R2345" s="32">
        <v>2035</v>
      </c>
      <c r="S2345" s="43" t="str">
        <f t="shared" si="292"/>
        <v>*0.93</v>
      </c>
      <c r="U2345" s="32" t="s">
        <v>3219</v>
      </c>
      <c r="V2345" s="42" t="s">
        <v>57</v>
      </c>
      <c r="W2345" s="32">
        <v>2050</v>
      </c>
      <c r="X2345" s="43" t="str">
        <f t="shared" si="293"/>
        <v>*0.92</v>
      </c>
      <c r="AC2345" s="33" t="s">
        <v>3219</v>
      </c>
      <c r="AD2345" s="44" t="s">
        <v>57</v>
      </c>
      <c r="AE2345" s="33">
        <v>2035</v>
      </c>
      <c r="AF2345" s="45" t="str">
        <f t="shared" si="294"/>
        <v>*0.91</v>
      </c>
      <c r="AG2345" s="43" t="str">
        <f t="shared" si="296"/>
        <v>REZoning_Sol-Win</v>
      </c>
      <c r="AI2345" s="33" t="s">
        <v>3219</v>
      </c>
      <c r="AJ2345" s="44" t="s">
        <v>57</v>
      </c>
      <c r="AK2345" s="33">
        <v>2050</v>
      </c>
      <c r="AL2345" s="45" t="str">
        <f t="shared" si="295"/>
        <v>*0.87</v>
      </c>
      <c r="AM2345" s="43" t="str">
        <f t="shared" si="297"/>
        <v>REZoning_Sol-Win</v>
      </c>
      <c r="AP2345" t="s">
        <v>3219</v>
      </c>
      <c r="AQ2345" t="s">
        <v>57</v>
      </c>
      <c r="AR2345">
        <v>2100</v>
      </c>
      <c r="AS2345" t="s">
        <v>874</v>
      </c>
      <c r="AT2345" t="s">
        <v>58</v>
      </c>
    </row>
    <row r="2346" ht="29" spans="1:46">
      <c r="A2346" s="31" t="s">
        <v>169</v>
      </c>
      <c r="C2346" t="s">
        <v>3220</v>
      </c>
      <c r="D2346" s="5" t="s">
        <v>57</v>
      </c>
      <c r="E2346">
        <v>2035</v>
      </c>
      <c r="F2346" s="6" t="str">
        <f t="shared" si="290"/>
        <v>*0.94</v>
      </c>
      <c r="H2346" t="s">
        <v>3220</v>
      </c>
      <c r="I2346" s="5" t="s">
        <v>57</v>
      </c>
      <c r="J2346">
        <v>2050</v>
      </c>
      <c r="K2346" s="38" t="str">
        <f t="shared" si="291"/>
        <v>*0.92</v>
      </c>
      <c r="P2346" s="32" t="s">
        <v>3220</v>
      </c>
      <c r="Q2346" s="42" t="s">
        <v>57</v>
      </c>
      <c r="R2346" s="32">
        <v>2035</v>
      </c>
      <c r="S2346" s="43" t="str">
        <f t="shared" si="292"/>
        <v>*0.93</v>
      </c>
      <c r="U2346" s="32" t="s">
        <v>3220</v>
      </c>
      <c r="V2346" s="42" t="s">
        <v>57</v>
      </c>
      <c r="W2346" s="32">
        <v>2050</v>
      </c>
      <c r="X2346" s="43" t="str">
        <f t="shared" si="293"/>
        <v>*0.92</v>
      </c>
      <c r="AC2346" s="33" t="s">
        <v>3220</v>
      </c>
      <c r="AD2346" s="44" t="s">
        <v>57</v>
      </c>
      <c r="AE2346" s="33">
        <v>2035</v>
      </c>
      <c r="AF2346" s="45" t="str">
        <f t="shared" si="294"/>
        <v>*0.91</v>
      </c>
      <c r="AG2346" s="43" t="str">
        <f t="shared" si="296"/>
        <v>REZoning_Sol-Win</v>
      </c>
      <c r="AI2346" s="33" t="s">
        <v>3220</v>
      </c>
      <c r="AJ2346" s="44" t="s">
        <v>57</v>
      </c>
      <c r="AK2346" s="33">
        <v>2050</v>
      </c>
      <c r="AL2346" s="45" t="str">
        <f t="shared" si="295"/>
        <v>*0.87</v>
      </c>
      <c r="AM2346" s="43" t="str">
        <f t="shared" si="297"/>
        <v>REZoning_Sol-Win</v>
      </c>
      <c r="AP2346" t="s">
        <v>3220</v>
      </c>
      <c r="AQ2346" t="s">
        <v>57</v>
      </c>
      <c r="AR2346">
        <v>2100</v>
      </c>
      <c r="AS2346" t="s">
        <v>874</v>
      </c>
      <c r="AT2346" t="s">
        <v>58</v>
      </c>
    </row>
    <row r="2347" ht="29" spans="1:46">
      <c r="A2347" s="31" t="s">
        <v>169</v>
      </c>
      <c r="C2347" t="s">
        <v>3221</v>
      </c>
      <c r="D2347" s="5" t="s">
        <v>57</v>
      </c>
      <c r="E2347">
        <v>2035</v>
      </c>
      <c r="F2347" s="6" t="str">
        <f t="shared" si="290"/>
        <v>*0.94</v>
      </c>
      <c r="H2347" t="s">
        <v>3221</v>
      </c>
      <c r="I2347" s="5" t="s">
        <v>57</v>
      </c>
      <c r="J2347">
        <v>2050</v>
      </c>
      <c r="K2347" s="38" t="str">
        <f t="shared" si="291"/>
        <v>*0.92</v>
      </c>
      <c r="P2347" s="32" t="s">
        <v>3221</v>
      </c>
      <c r="Q2347" s="42" t="s">
        <v>57</v>
      </c>
      <c r="R2347" s="32">
        <v>2035</v>
      </c>
      <c r="S2347" s="43" t="str">
        <f t="shared" si="292"/>
        <v>*0.93</v>
      </c>
      <c r="U2347" s="32" t="s">
        <v>3221</v>
      </c>
      <c r="V2347" s="42" t="s">
        <v>57</v>
      </c>
      <c r="W2347" s="32">
        <v>2050</v>
      </c>
      <c r="X2347" s="43" t="str">
        <f t="shared" si="293"/>
        <v>*0.92</v>
      </c>
      <c r="AC2347" s="33" t="s">
        <v>3221</v>
      </c>
      <c r="AD2347" s="44" t="s">
        <v>57</v>
      </c>
      <c r="AE2347" s="33">
        <v>2035</v>
      </c>
      <c r="AF2347" s="45" t="str">
        <f t="shared" si="294"/>
        <v>*0.91</v>
      </c>
      <c r="AG2347" s="43" t="str">
        <f t="shared" si="296"/>
        <v>REZoning_Sol-Win</v>
      </c>
      <c r="AI2347" s="33" t="s">
        <v>3221</v>
      </c>
      <c r="AJ2347" s="44" t="s">
        <v>57</v>
      </c>
      <c r="AK2347" s="33">
        <v>2050</v>
      </c>
      <c r="AL2347" s="45" t="str">
        <f t="shared" si="295"/>
        <v>*0.87</v>
      </c>
      <c r="AM2347" s="43" t="str">
        <f t="shared" si="297"/>
        <v>REZoning_Sol-Win</v>
      </c>
      <c r="AP2347" t="s">
        <v>3221</v>
      </c>
      <c r="AQ2347" t="s">
        <v>57</v>
      </c>
      <c r="AR2347">
        <v>2100</v>
      </c>
      <c r="AS2347" t="s">
        <v>874</v>
      </c>
      <c r="AT2347" t="s">
        <v>58</v>
      </c>
    </row>
    <row r="2348" ht="29" spans="1:46">
      <c r="A2348" s="31" t="s">
        <v>169</v>
      </c>
      <c r="C2348" t="s">
        <v>3222</v>
      </c>
      <c r="D2348" s="5" t="s">
        <v>57</v>
      </c>
      <c r="E2348">
        <v>2035</v>
      </c>
      <c r="F2348" s="6" t="str">
        <f t="shared" si="290"/>
        <v>*0.94</v>
      </c>
      <c r="H2348" t="s">
        <v>3222</v>
      </c>
      <c r="I2348" s="5" t="s">
        <v>57</v>
      </c>
      <c r="J2348">
        <v>2050</v>
      </c>
      <c r="K2348" s="38" t="str">
        <f t="shared" si="291"/>
        <v>*0.92</v>
      </c>
      <c r="P2348" s="32" t="s">
        <v>3222</v>
      </c>
      <c r="Q2348" s="42" t="s">
        <v>57</v>
      </c>
      <c r="R2348" s="32">
        <v>2035</v>
      </c>
      <c r="S2348" s="43" t="str">
        <f t="shared" si="292"/>
        <v>*0.93</v>
      </c>
      <c r="U2348" s="32" t="s">
        <v>3222</v>
      </c>
      <c r="V2348" s="42" t="s">
        <v>57</v>
      </c>
      <c r="W2348" s="32">
        <v>2050</v>
      </c>
      <c r="X2348" s="43" t="str">
        <f t="shared" si="293"/>
        <v>*0.92</v>
      </c>
      <c r="AC2348" s="33" t="s">
        <v>3222</v>
      </c>
      <c r="AD2348" s="44" t="s">
        <v>57</v>
      </c>
      <c r="AE2348" s="33">
        <v>2035</v>
      </c>
      <c r="AF2348" s="45" t="str">
        <f t="shared" si="294"/>
        <v>*0.91</v>
      </c>
      <c r="AG2348" s="43" t="str">
        <f t="shared" si="296"/>
        <v>REZoning_Sol-Win</v>
      </c>
      <c r="AI2348" s="33" t="s">
        <v>3222</v>
      </c>
      <c r="AJ2348" s="44" t="s">
        <v>57</v>
      </c>
      <c r="AK2348" s="33">
        <v>2050</v>
      </c>
      <c r="AL2348" s="45" t="str">
        <f t="shared" si="295"/>
        <v>*0.87</v>
      </c>
      <c r="AM2348" s="43" t="str">
        <f t="shared" si="297"/>
        <v>REZoning_Sol-Win</v>
      </c>
      <c r="AP2348" t="s">
        <v>3222</v>
      </c>
      <c r="AQ2348" t="s">
        <v>57</v>
      </c>
      <c r="AR2348">
        <v>2100</v>
      </c>
      <c r="AS2348" t="s">
        <v>874</v>
      </c>
      <c r="AT2348" t="s">
        <v>58</v>
      </c>
    </row>
    <row r="2349" ht="29" spans="1:46">
      <c r="A2349" s="31" t="s">
        <v>169</v>
      </c>
      <c r="C2349" t="s">
        <v>3223</v>
      </c>
      <c r="D2349" s="5" t="s">
        <v>57</v>
      </c>
      <c r="E2349">
        <v>2035</v>
      </c>
      <c r="F2349" s="6" t="str">
        <f t="shared" si="290"/>
        <v>*0.94</v>
      </c>
      <c r="H2349" t="s">
        <v>3223</v>
      </c>
      <c r="I2349" s="5" t="s">
        <v>57</v>
      </c>
      <c r="J2349">
        <v>2050</v>
      </c>
      <c r="K2349" s="38" t="str">
        <f t="shared" si="291"/>
        <v>*0.92</v>
      </c>
      <c r="P2349" s="32" t="s">
        <v>3223</v>
      </c>
      <c r="Q2349" s="42" t="s">
        <v>57</v>
      </c>
      <c r="R2349" s="32">
        <v>2035</v>
      </c>
      <c r="S2349" s="43" t="str">
        <f t="shared" si="292"/>
        <v>*0.93</v>
      </c>
      <c r="U2349" s="32" t="s">
        <v>3223</v>
      </c>
      <c r="V2349" s="42" t="s">
        <v>57</v>
      </c>
      <c r="W2349" s="32">
        <v>2050</v>
      </c>
      <c r="X2349" s="43" t="str">
        <f t="shared" si="293"/>
        <v>*0.92</v>
      </c>
      <c r="AC2349" s="33" t="s">
        <v>3223</v>
      </c>
      <c r="AD2349" s="44" t="s">
        <v>57</v>
      </c>
      <c r="AE2349" s="33">
        <v>2035</v>
      </c>
      <c r="AF2349" s="45" t="str">
        <f t="shared" si="294"/>
        <v>*0.91</v>
      </c>
      <c r="AG2349" s="43" t="str">
        <f t="shared" si="296"/>
        <v>REZoning_Sol-Win</v>
      </c>
      <c r="AI2349" s="33" t="s">
        <v>3223</v>
      </c>
      <c r="AJ2349" s="44" t="s">
        <v>57</v>
      </c>
      <c r="AK2349" s="33">
        <v>2050</v>
      </c>
      <c r="AL2349" s="45" t="str">
        <f t="shared" si="295"/>
        <v>*0.87</v>
      </c>
      <c r="AM2349" s="43" t="str">
        <f t="shared" si="297"/>
        <v>REZoning_Sol-Win</v>
      </c>
      <c r="AP2349" t="s">
        <v>3223</v>
      </c>
      <c r="AQ2349" t="s">
        <v>57</v>
      </c>
      <c r="AR2349">
        <v>2100</v>
      </c>
      <c r="AS2349" t="s">
        <v>874</v>
      </c>
      <c r="AT2349" t="s">
        <v>58</v>
      </c>
    </row>
    <row r="2350" ht="29" spans="1:46">
      <c r="A2350" s="31" t="s">
        <v>169</v>
      </c>
      <c r="C2350" t="s">
        <v>3224</v>
      </c>
      <c r="D2350" s="5" t="s">
        <v>57</v>
      </c>
      <c r="E2350">
        <v>2035</v>
      </c>
      <c r="F2350" s="6" t="str">
        <f t="shared" si="290"/>
        <v>*0.94</v>
      </c>
      <c r="H2350" t="s">
        <v>3224</v>
      </c>
      <c r="I2350" s="5" t="s">
        <v>57</v>
      </c>
      <c r="J2350">
        <v>2050</v>
      </c>
      <c r="K2350" s="38" t="str">
        <f t="shared" si="291"/>
        <v>*0.92</v>
      </c>
      <c r="P2350" s="32" t="s">
        <v>3224</v>
      </c>
      <c r="Q2350" s="42" t="s">
        <v>57</v>
      </c>
      <c r="R2350" s="32">
        <v>2035</v>
      </c>
      <c r="S2350" s="43" t="str">
        <f t="shared" si="292"/>
        <v>*0.93</v>
      </c>
      <c r="U2350" s="32" t="s">
        <v>3224</v>
      </c>
      <c r="V2350" s="42" t="s">
        <v>57</v>
      </c>
      <c r="W2350" s="32">
        <v>2050</v>
      </c>
      <c r="X2350" s="43" t="str">
        <f t="shared" si="293"/>
        <v>*0.92</v>
      </c>
      <c r="AC2350" s="33" t="s">
        <v>3224</v>
      </c>
      <c r="AD2350" s="44" t="s">
        <v>57</v>
      </c>
      <c r="AE2350" s="33">
        <v>2035</v>
      </c>
      <c r="AF2350" s="45" t="str">
        <f t="shared" si="294"/>
        <v>*0.91</v>
      </c>
      <c r="AG2350" s="43" t="str">
        <f t="shared" si="296"/>
        <v>REZoning_Sol-Win</v>
      </c>
      <c r="AI2350" s="33" t="s">
        <v>3224</v>
      </c>
      <c r="AJ2350" s="44" t="s">
        <v>57</v>
      </c>
      <c r="AK2350" s="33">
        <v>2050</v>
      </c>
      <c r="AL2350" s="45" t="str">
        <f t="shared" si="295"/>
        <v>*0.87</v>
      </c>
      <c r="AM2350" s="43" t="str">
        <f t="shared" si="297"/>
        <v>REZoning_Sol-Win</v>
      </c>
      <c r="AP2350" t="s">
        <v>3224</v>
      </c>
      <c r="AQ2350" t="s">
        <v>57</v>
      </c>
      <c r="AR2350">
        <v>2100</v>
      </c>
      <c r="AS2350" t="s">
        <v>874</v>
      </c>
      <c r="AT2350" t="s">
        <v>58</v>
      </c>
    </row>
    <row r="2351" ht="29" spans="1:46">
      <c r="A2351" s="31" t="s">
        <v>169</v>
      </c>
      <c r="C2351" t="s">
        <v>3225</v>
      </c>
      <c r="D2351" s="5" t="s">
        <v>57</v>
      </c>
      <c r="E2351">
        <v>2035</v>
      </c>
      <c r="F2351" s="6" t="str">
        <f t="shared" si="290"/>
        <v>*0.94</v>
      </c>
      <c r="H2351" t="s">
        <v>3225</v>
      </c>
      <c r="I2351" s="5" t="s">
        <v>57</v>
      </c>
      <c r="J2351">
        <v>2050</v>
      </c>
      <c r="K2351" s="38" t="str">
        <f t="shared" si="291"/>
        <v>*0.92</v>
      </c>
      <c r="P2351" s="32" t="s">
        <v>3225</v>
      </c>
      <c r="Q2351" s="42" t="s">
        <v>57</v>
      </c>
      <c r="R2351" s="32">
        <v>2035</v>
      </c>
      <c r="S2351" s="43" t="str">
        <f t="shared" si="292"/>
        <v>*0.93</v>
      </c>
      <c r="U2351" s="32" t="s">
        <v>3225</v>
      </c>
      <c r="V2351" s="42" t="s">
        <v>57</v>
      </c>
      <c r="W2351" s="32">
        <v>2050</v>
      </c>
      <c r="X2351" s="43" t="str">
        <f t="shared" si="293"/>
        <v>*0.92</v>
      </c>
      <c r="AC2351" s="33" t="s">
        <v>3225</v>
      </c>
      <c r="AD2351" s="44" t="s">
        <v>57</v>
      </c>
      <c r="AE2351" s="33">
        <v>2035</v>
      </c>
      <c r="AF2351" s="45" t="str">
        <f t="shared" si="294"/>
        <v>*0.91</v>
      </c>
      <c r="AG2351" s="43" t="str">
        <f t="shared" si="296"/>
        <v>REZoning_Sol-Win</v>
      </c>
      <c r="AI2351" s="33" t="s">
        <v>3225</v>
      </c>
      <c r="AJ2351" s="44" t="s">
        <v>57</v>
      </c>
      <c r="AK2351" s="33">
        <v>2050</v>
      </c>
      <c r="AL2351" s="45" t="str">
        <f t="shared" si="295"/>
        <v>*0.87</v>
      </c>
      <c r="AM2351" s="43" t="str">
        <f t="shared" si="297"/>
        <v>REZoning_Sol-Win</v>
      </c>
      <c r="AP2351" t="s">
        <v>3225</v>
      </c>
      <c r="AQ2351" t="s">
        <v>57</v>
      </c>
      <c r="AR2351">
        <v>2100</v>
      </c>
      <c r="AS2351" t="s">
        <v>874</v>
      </c>
      <c r="AT2351" t="s">
        <v>58</v>
      </c>
    </row>
    <row r="2352" ht="29" spans="1:46">
      <c r="A2352" s="31" t="s">
        <v>169</v>
      </c>
      <c r="C2352" t="s">
        <v>3226</v>
      </c>
      <c r="D2352" s="5" t="s">
        <v>57</v>
      </c>
      <c r="E2352">
        <v>2035</v>
      </c>
      <c r="F2352" s="6" t="str">
        <f t="shared" si="290"/>
        <v>*0.94</v>
      </c>
      <c r="H2352" t="s">
        <v>3226</v>
      </c>
      <c r="I2352" s="5" t="s">
        <v>57</v>
      </c>
      <c r="J2352">
        <v>2050</v>
      </c>
      <c r="K2352" s="38" t="str">
        <f t="shared" si="291"/>
        <v>*0.92</v>
      </c>
      <c r="P2352" s="32" t="s">
        <v>3226</v>
      </c>
      <c r="Q2352" s="42" t="s">
        <v>57</v>
      </c>
      <c r="R2352" s="32">
        <v>2035</v>
      </c>
      <c r="S2352" s="43" t="str">
        <f t="shared" si="292"/>
        <v>*0.93</v>
      </c>
      <c r="U2352" s="32" t="s">
        <v>3226</v>
      </c>
      <c r="V2352" s="42" t="s">
        <v>57</v>
      </c>
      <c r="W2352" s="32">
        <v>2050</v>
      </c>
      <c r="X2352" s="43" t="str">
        <f t="shared" si="293"/>
        <v>*0.92</v>
      </c>
      <c r="AC2352" s="33" t="s">
        <v>3226</v>
      </c>
      <c r="AD2352" s="44" t="s">
        <v>57</v>
      </c>
      <c r="AE2352" s="33">
        <v>2035</v>
      </c>
      <c r="AF2352" s="45" t="str">
        <f t="shared" si="294"/>
        <v>*0.91</v>
      </c>
      <c r="AG2352" s="43" t="str">
        <f t="shared" si="296"/>
        <v>REZoning_Sol-Win</v>
      </c>
      <c r="AI2352" s="33" t="s">
        <v>3226</v>
      </c>
      <c r="AJ2352" s="44" t="s">
        <v>57</v>
      </c>
      <c r="AK2352" s="33">
        <v>2050</v>
      </c>
      <c r="AL2352" s="45" t="str">
        <f t="shared" si="295"/>
        <v>*0.87</v>
      </c>
      <c r="AM2352" s="43" t="str">
        <f t="shared" si="297"/>
        <v>REZoning_Sol-Win</v>
      </c>
      <c r="AP2352" t="s">
        <v>3226</v>
      </c>
      <c r="AQ2352" t="s">
        <v>57</v>
      </c>
      <c r="AR2352">
        <v>2100</v>
      </c>
      <c r="AS2352" t="s">
        <v>874</v>
      </c>
      <c r="AT2352" t="s">
        <v>58</v>
      </c>
    </row>
    <row r="2353" ht="29" spans="1:46">
      <c r="A2353" s="31" t="s">
        <v>169</v>
      </c>
      <c r="C2353" t="s">
        <v>3227</v>
      </c>
      <c r="D2353" s="5" t="s">
        <v>57</v>
      </c>
      <c r="E2353">
        <v>2035</v>
      </c>
      <c r="F2353" s="6" t="str">
        <f t="shared" si="290"/>
        <v>*0.94</v>
      </c>
      <c r="H2353" t="s">
        <v>3227</v>
      </c>
      <c r="I2353" s="5" t="s">
        <v>57</v>
      </c>
      <c r="J2353">
        <v>2050</v>
      </c>
      <c r="K2353" s="38" t="str">
        <f t="shared" si="291"/>
        <v>*0.92</v>
      </c>
      <c r="P2353" s="32" t="s">
        <v>3227</v>
      </c>
      <c r="Q2353" s="42" t="s">
        <v>57</v>
      </c>
      <c r="R2353" s="32">
        <v>2035</v>
      </c>
      <c r="S2353" s="43" t="str">
        <f t="shared" si="292"/>
        <v>*0.93</v>
      </c>
      <c r="U2353" s="32" t="s">
        <v>3227</v>
      </c>
      <c r="V2353" s="42" t="s">
        <v>57</v>
      </c>
      <c r="W2353" s="32">
        <v>2050</v>
      </c>
      <c r="X2353" s="43" t="str">
        <f t="shared" si="293"/>
        <v>*0.92</v>
      </c>
      <c r="AC2353" s="33" t="s">
        <v>3227</v>
      </c>
      <c r="AD2353" s="44" t="s">
        <v>57</v>
      </c>
      <c r="AE2353" s="33">
        <v>2035</v>
      </c>
      <c r="AF2353" s="45" t="str">
        <f t="shared" si="294"/>
        <v>*0.91</v>
      </c>
      <c r="AG2353" s="43" t="str">
        <f t="shared" si="296"/>
        <v>REZoning_Sol-Win</v>
      </c>
      <c r="AI2353" s="33" t="s">
        <v>3227</v>
      </c>
      <c r="AJ2353" s="44" t="s">
        <v>57</v>
      </c>
      <c r="AK2353" s="33">
        <v>2050</v>
      </c>
      <c r="AL2353" s="45" t="str">
        <f t="shared" si="295"/>
        <v>*0.87</v>
      </c>
      <c r="AM2353" s="43" t="str">
        <f t="shared" si="297"/>
        <v>REZoning_Sol-Win</v>
      </c>
      <c r="AP2353" t="s">
        <v>3227</v>
      </c>
      <c r="AQ2353" t="s">
        <v>57</v>
      </c>
      <c r="AR2353">
        <v>2100</v>
      </c>
      <c r="AS2353" t="s">
        <v>874</v>
      </c>
      <c r="AT2353" t="s">
        <v>58</v>
      </c>
    </row>
    <row r="2354" ht="29" spans="1:46">
      <c r="A2354" s="31" t="s">
        <v>169</v>
      </c>
      <c r="C2354" t="s">
        <v>3228</v>
      </c>
      <c r="D2354" s="5" t="s">
        <v>57</v>
      </c>
      <c r="E2354">
        <v>2035</v>
      </c>
      <c r="F2354" s="6" t="str">
        <f t="shared" si="290"/>
        <v>*0.94</v>
      </c>
      <c r="H2354" t="s">
        <v>3228</v>
      </c>
      <c r="I2354" s="5" t="s">
        <v>57</v>
      </c>
      <c r="J2354">
        <v>2050</v>
      </c>
      <c r="K2354" s="38" t="str">
        <f t="shared" si="291"/>
        <v>*0.92</v>
      </c>
      <c r="P2354" s="32" t="s">
        <v>3228</v>
      </c>
      <c r="Q2354" s="42" t="s">
        <v>57</v>
      </c>
      <c r="R2354" s="32">
        <v>2035</v>
      </c>
      <c r="S2354" s="43" t="str">
        <f t="shared" si="292"/>
        <v>*0.93</v>
      </c>
      <c r="U2354" s="32" t="s">
        <v>3228</v>
      </c>
      <c r="V2354" s="42" t="s">
        <v>57</v>
      </c>
      <c r="W2354" s="32">
        <v>2050</v>
      </c>
      <c r="X2354" s="43" t="str">
        <f t="shared" si="293"/>
        <v>*0.92</v>
      </c>
      <c r="AC2354" s="33" t="s">
        <v>3228</v>
      </c>
      <c r="AD2354" s="44" t="s">
        <v>57</v>
      </c>
      <c r="AE2354" s="33">
        <v>2035</v>
      </c>
      <c r="AF2354" s="45" t="str">
        <f t="shared" si="294"/>
        <v>*0.91</v>
      </c>
      <c r="AG2354" s="43" t="str">
        <f t="shared" si="296"/>
        <v>REZoning_Sol-Win</v>
      </c>
      <c r="AI2354" s="33" t="s">
        <v>3228</v>
      </c>
      <c r="AJ2354" s="44" t="s">
        <v>57</v>
      </c>
      <c r="AK2354" s="33">
        <v>2050</v>
      </c>
      <c r="AL2354" s="45" t="str">
        <f t="shared" si="295"/>
        <v>*0.87</v>
      </c>
      <c r="AM2354" s="43" t="str">
        <f t="shared" si="297"/>
        <v>REZoning_Sol-Win</v>
      </c>
      <c r="AP2354" t="s">
        <v>3228</v>
      </c>
      <c r="AQ2354" t="s">
        <v>57</v>
      </c>
      <c r="AR2354">
        <v>2100</v>
      </c>
      <c r="AS2354" t="s">
        <v>874</v>
      </c>
      <c r="AT2354" t="s">
        <v>58</v>
      </c>
    </row>
    <row r="2355" ht="29" spans="1:46">
      <c r="A2355" s="31" t="s">
        <v>169</v>
      </c>
      <c r="C2355" t="s">
        <v>3229</v>
      </c>
      <c r="D2355" s="5" t="s">
        <v>57</v>
      </c>
      <c r="E2355">
        <v>2035</v>
      </c>
      <c r="F2355" s="6" t="str">
        <f t="shared" si="290"/>
        <v>*0.94</v>
      </c>
      <c r="H2355" t="s">
        <v>3229</v>
      </c>
      <c r="I2355" s="5" t="s">
        <v>57</v>
      </c>
      <c r="J2355">
        <v>2050</v>
      </c>
      <c r="K2355" s="38" t="str">
        <f t="shared" si="291"/>
        <v>*0.92</v>
      </c>
      <c r="P2355" s="32" t="s">
        <v>3229</v>
      </c>
      <c r="Q2355" s="42" t="s">
        <v>57</v>
      </c>
      <c r="R2355" s="32">
        <v>2035</v>
      </c>
      <c r="S2355" s="43" t="str">
        <f t="shared" si="292"/>
        <v>*0.93</v>
      </c>
      <c r="U2355" s="32" t="s">
        <v>3229</v>
      </c>
      <c r="V2355" s="42" t="s">
        <v>57</v>
      </c>
      <c r="W2355" s="32">
        <v>2050</v>
      </c>
      <c r="X2355" s="43" t="str">
        <f t="shared" si="293"/>
        <v>*0.92</v>
      </c>
      <c r="AC2355" s="33" t="s">
        <v>3229</v>
      </c>
      <c r="AD2355" s="44" t="s">
        <v>57</v>
      </c>
      <c r="AE2355" s="33">
        <v>2035</v>
      </c>
      <c r="AF2355" s="45" t="str">
        <f t="shared" si="294"/>
        <v>*0.91</v>
      </c>
      <c r="AG2355" s="43" t="str">
        <f t="shared" si="296"/>
        <v>REZoning_Sol-Win</v>
      </c>
      <c r="AI2355" s="33" t="s">
        <v>3229</v>
      </c>
      <c r="AJ2355" s="44" t="s">
        <v>57</v>
      </c>
      <c r="AK2355" s="33">
        <v>2050</v>
      </c>
      <c r="AL2355" s="45" t="str">
        <f t="shared" si="295"/>
        <v>*0.87</v>
      </c>
      <c r="AM2355" s="43" t="str">
        <f t="shared" si="297"/>
        <v>REZoning_Sol-Win</v>
      </c>
      <c r="AP2355" t="s">
        <v>3229</v>
      </c>
      <c r="AQ2355" t="s">
        <v>57</v>
      </c>
      <c r="AR2355">
        <v>2100</v>
      </c>
      <c r="AS2355" t="s">
        <v>874</v>
      </c>
      <c r="AT2355" t="s">
        <v>58</v>
      </c>
    </row>
    <row r="2356" ht="29" spans="1:46">
      <c r="A2356" s="31" t="s">
        <v>169</v>
      </c>
      <c r="C2356" t="s">
        <v>3230</v>
      </c>
      <c r="D2356" s="5" t="s">
        <v>57</v>
      </c>
      <c r="E2356">
        <v>2035</v>
      </c>
      <c r="F2356" s="6" t="str">
        <f t="shared" si="290"/>
        <v>*0.94</v>
      </c>
      <c r="H2356" t="s">
        <v>3230</v>
      </c>
      <c r="I2356" s="5" t="s">
        <v>57</v>
      </c>
      <c r="J2356">
        <v>2050</v>
      </c>
      <c r="K2356" s="38" t="str">
        <f t="shared" si="291"/>
        <v>*0.92</v>
      </c>
      <c r="P2356" s="32" t="s">
        <v>3230</v>
      </c>
      <c r="Q2356" s="42" t="s">
        <v>57</v>
      </c>
      <c r="R2356" s="32">
        <v>2035</v>
      </c>
      <c r="S2356" s="43" t="str">
        <f t="shared" si="292"/>
        <v>*0.93</v>
      </c>
      <c r="U2356" s="32" t="s">
        <v>3230</v>
      </c>
      <c r="V2356" s="42" t="s">
        <v>57</v>
      </c>
      <c r="W2356" s="32">
        <v>2050</v>
      </c>
      <c r="X2356" s="43" t="str">
        <f t="shared" si="293"/>
        <v>*0.92</v>
      </c>
      <c r="AC2356" s="33" t="s">
        <v>3230</v>
      </c>
      <c r="AD2356" s="44" t="s">
        <v>57</v>
      </c>
      <c r="AE2356" s="33">
        <v>2035</v>
      </c>
      <c r="AF2356" s="45" t="str">
        <f t="shared" si="294"/>
        <v>*0.91</v>
      </c>
      <c r="AG2356" s="43" t="str">
        <f t="shared" si="296"/>
        <v>REZoning_Sol-Win</v>
      </c>
      <c r="AI2356" s="33" t="s">
        <v>3230</v>
      </c>
      <c r="AJ2356" s="44" t="s">
        <v>57</v>
      </c>
      <c r="AK2356" s="33">
        <v>2050</v>
      </c>
      <c r="AL2356" s="45" t="str">
        <f t="shared" si="295"/>
        <v>*0.87</v>
      </c>
      <c r="AM2356" s="43" t="str">
        <f t="shared" si="297"/>
        <v>REZoning_Sol-Win</v>
      </c>
      <c r="AP2356" t="s">
        <v>3230</v>
      </c>
      <c r="AQ2356" t="s">
        <v>57</v>
      </c>
      <c r="AR2356">
        <v>2100</v>
      </c>
      <c r="AS2356" t="s">
        <v>874</v>
      </c>
      <c r="AT2356" t="s">
        <v>58</v>
      </c>
    </row>
    <row r="2357" ht="29" spans="1:46">
      <c r="A2357" s="31" t="s">
        <v>169</v>
      </c>
      <c r="C2357" t="s">
        <v>3231</v>
      </c>
      <c r="D2357" s="5" t="s">
        <v>57</v>
      </c>
      <c r="E2357">
        <v>2035</v>
      </c>
      <c r="F2357" s="6" t="str">
        <f t="shared" si="290"/>
        <v>*0.94</v>
      </c>
      <c r="H2357" t="s">
        <v>3231</v>
      </c>
      <c r="I2357" s="5" t="s">
        <v>57</v>
      </c>
      <c r="J2357">
        <v>2050</v>
      </c>
      <c r="K2357" s="38" t="str">
        <f t="shared" si="291"/>
        <v>*0.92</v>
      </c>
      <c r="P2357" s="32" t="s">
        <v>3231</v>
      </c>
      <c r="Q2357" s="42" t="s">
        <v>57</v>
      </c>
      <c r="R2357" s="32">
        <v>2035</v>
      </c>
      <c r="S2357" s="43" t="str">
        <f t="shared" si="292"/>
        <v>*0.93</v>
      </c>
      <c r="U2357" s="32" t="s">
        <v>3231</v>
      </c>
      <c r="V2357" s="42" t="s">
        <v>57</v>
      </c>
      <c r="W2357" s="32">
        <v>2050</v>
      </c>
      <c r="X2357" s="43" t="str">
        <f t="shared" si="293"/>
        <v>*0.92</v>
      </c>
      <c r="AC2357" s="33" t="s">
        <v>3231</v>
      </c>
      <c r="AD2357" s="44" t="s">
        <v>57</v>
      </c>
      <c r="AE2357" s="33">
        <v>2035</v>
      </c>
      <c r="AF2357" s="45" t="str">
        <f t="shared" si="294"/>
        <v>*0.91</v>
      </c>
      <c r="AG2357" s="43" t="str">
        <f t="shared" si="296"/>
        <v>REZoning_Sol-Win</v>
      </c>
      <c r="AI2357" s="33" t="s">
        <v>3231</v>
      </c>
      <c r="AJ2357" s="44" t="s">
        <v>57</v>
      </c>
      <c r="AK2357" s="33">
        <v>2050</v>
      </c>
      <c r="AL2357" s="45" t="str">
        <f t="shared" si="295"/>
        <v>*0.87</v>
      </c>
      <c r="AM2357" s="43" t="str">
        <f t="shared" si="297"/>
        <v>REZoning_Sol-Win</v>
      </c>
      <c r="AP2357" t="s">
        <v>3231</v>
      </c>
      <c r="AQ2357" t="s">
        <v>57</v>
      </c>
      <c r="AR2357">
        <v>2100</v>
      </c>
      <c r="AS2357" t="s">
        <v>874</v>
      </c>
      <c r="AT2357" t="s">
        <v>58</v>
      </c>
    </row>
    <row r="2358" ht="29" spans="1:46">
      <c r="A2358" s="31" t="s">
        <v>169</v>
      </c>
      <c r="C2358" t="s">
        <v>3232</v>
      </c>
      <c r="D2358" s="5" t="s">
        <v>57</v>
      </c>
      <c r="E2358">
        <v>2035</v>
      </c>
      <c r="F2358" s="6" t="str">
        <f t="shared" si="290"/>
        <v>*0.94</v>
      </c>
      <c r="H2358" t="s">
        <v>3232</v>
      </c>
      <c r="I2358" s="5" t="s">
        <v>57</v>
      </c>
      <c r="J2358">
        <v>2050</v>
      </c>
      <c r="K2358" s="38" t="str">
        <f t="shared" si="291"/>
        <v>*0.92</v>
      </c>
      <c r="P2358" s="32" t="s">
        <v>3232</v>
      </c>
      <c r="Q2358" s="42" t="s">
        <v>57</v>
      </c>
      <c r="R2358" s="32">
        <v>2035</v>
      </c>
      <c r="S2358" s="43" t="str">
        <f t="shared" si="292"/>
        <v>*0.93</v>
      </c>
      <c r="U2358" s="32" t="s">
        <v>3232</v>
      </c>
      <c r="V2358" s="42" t="s">
        <v>57</v>
      </c>
      <c r="W2358" s="32">
        <v>2050</v>
      </c>
      <c r="X2358" s="43" t="str">
        <f t="shared" si="293"/>
        <v>*0.92</v>
      </c>
      <c r="AC2358" s="33" t="s">
        <v>3232</v>
      </c>
      <c r="AD2358" s="44" t="s">
        <v>57</v>
      </c>
      <c r="AE2358" s="33">
        <v>2035</v>
      </c>
      <c r="AF2358" s="45" t="str">
        <f t="shared" si="294"/>
        <v>*0.91</v>
      </c>
      <c r="AG2358" s="43" t="str">
        <f t="shared" si="296"/>
        <v>REZoning_Sol-Win</v>
      </c>
      <c r="AI2358" s="33" t="s">
        <v>3232</v>
      </c>
      <c r="AJ2358" s="44" t="s">
        <v>57</v>
      </c>
      <c r="AK2358" s="33">
        <v>2050</v>
      </c>
      <c r="AL2358" s="45" t="str">
        <f t="shared" si="295"/>
        <v>*0.87</v>
      </c>
      <c r="AM2358" s="43" t="str">
        <f t="shared" si="297"/>
        <v>REZoning_Sol-Win</v>
      </c>
      <c r="AP2358" t="s">
        <v>3232</v>
      </c>
      <c r="AQ2358" t="s">
        <v>57</v>
      </c>
      <c r="AR2358">
        <v>2100</v>
      </c>
      <c r="AS2358" t="s">
        <v>874</v>
      </c>
      <c r="AT2358" t="s">
        <v>58</v>
      </c>
    </row>
    <row r="2359" ht="29" spans="1:46">
      <c r="A2359" s="31" t="s">
        <v>169</v>
      </c>
      <c r="C2359" t="s">
        <v>3233</v>
      </c>
      <c r="D2359" s="5" t="s">
        <v>57</v>
      </c>
      <c r="E2359">
        <v>2035</v>
      </c>
      <c r="F2359" s="6" t="str">
        <f t="shared" si="290"/>
        <v>*0.94</v>
      </c>
      <c r="H2359" t="s">
        <v>3233</v>
      </c>
      <c r="I2359" s="5" t="s">
        <v>57</v>
      </c>
      <c r="J2359">
        <v>2050</v>
      </c>
      <c r="K2359" s="38" t="str">
        <f t="shared" si="291"/>
        <v>*0.92</v>
      </c>
      <c r="P2359" s="32" t="s">
        <v>3233</v>
      </c>
      <c r="Q2359" s="42" t="s">
        <v>57</v>
      </c>
      <c r="R2359" s="32">
        <v>2035</v>
      </c>
      <c r="S2359" s="43" t="str">
        <f t="shared" si="292"/>
        <v>*0.93</v>
      </c>
      <c r="U2359" s="32" t="s">
        <v>3233</v>
      </c>
      <c r="V2359" s="42" t="s">
        <v>57</v>
      </c>
      <c r="W2359" s="32">
        <v>2050</v>
      </c>
      <c r="X2359" s="43" t="str">
        <f t="shared" si="293"/>
        <v>*0.92</v>
      </c>
      <c r="AC2359" s="33" t="s">
        <v>3233</v>
      </c>
      <c r="AD2359" s="44" t="s">
        <v>57</v>
      </c>
      <c r="AE2359" s="33">
        <v>2035</v>
      </c>
      <c r="AF2359" s="45" t="str">
        <f t="shared" si="294"/>
        <v>*0.91</v>
      </c>
      <c r="AG2359" s="43" t="str">
        <f t="shared" si="296"/>
        <v>REZoning_Sol-Win</v>
      </c>
      <c r="AI2359" s="33" t="s">
        <v>3233</v>
      </c>
      <c r="AJ2359" s="44" t="s">
        <v>57</v>
      </c>
      <c r="AK2359" s="33">
        <v>2050</v>
      </c>
      <c r="AL2359" s="45" t="str">
        <f t="shared" si="295"/>
        <v>*0.87</v>
      </c>
      <c r="AM2359" s="43" t="str">
        <f t="shared" si="297"/>
        <v>REZoning_Sol-Win</v>
      </c>
      <c r="AP2359" t="s">
        <v>3233</v>
      </c>
      <c r="AQ2359" t="s">
        <v>57</v>
      </c>
      <c r="AR2359">
        <v>2100</v>
      </c>
      <c r="AS2359" t="s">
        <v>874</v>
      </c>
      <c r="AT2359" t="s">
        <v>58</v>
      </c>
    </row>
    <row r="2360" ht="29" spans="1:46">
      <c r="A2360" s="31" t="s">
        <v>169</v>
      </c>
      <c r="C2360" t="s">
        <v>3234</v>
      </c>
      <c r="D2360" s="5" t="s">
        <v>57</v>
      </c>
      <c r="E2360">
        <v>2035</v>
      </c>
      <c r="F2360" s="6" t="str">
        <f t="shared" si="290"/>
        <v>*0.94</v>
      </c>
      <c r="H2360" t="s">
        <v>3234</v>
      </c>
      <c r="I2360" s="5" t="s">
        <v>57</v>
      </c>
      <c r="J2360">
        <v>2050</v>
      </c>
      <c r="K2360" s="38" t="str">
        <f t="shared" si="291"/>
        <v>*0.92</v>
      </c>
      <c r="P2360" s="32" t="s">
        <v>3234</v>
      </c>
      <c r="Q2360" s="42" t="s">
        <v>57</v>
      </c>
      <c r="R2360" s="32">
        <v>2035</v>
      </c>
      <c r="S2360" s="43" t="str">
        <f t="shared" si="292"/>
        <v>*0.93</v>
      </c>
      <c r="U2360" s="32" t="s">
        <v>3234</v>
      </c>
      <c r="V2360" s="42" t="s">
        <v>57</v>
      </c>
      <c r="W2360" s="32">
        <v>2050</v>
      </c>
      <c r="X2360" s="43" t="str">
        <f t="shared" si="293"/>
        <v>*0.92</v>
      </c>
      <c r="AC2360" s="33" t="s">
        <v>3234</v>
      </c>
      <c r="AD2360" s="44" t="s">
        <v>57</v>
      </c>
      <c r="AE2360" s="33">
        <v>2035</v>
      </c>
      <c r="AF2360" s="45" t="str">
        <f t="shared" si="294"/>
        <v>*0.91</v>
      </c>
      <c r="AG2360" s="43" t="str">
        <f t="shared" si="296"/>
        <v>REZoning_Sol-Win</v>
      </c>
      <c r="AI2360" s="33" t="s">
        <v>3234</v>
      </c>
      <c r="AJ2360" s="44" t="s">
        <v>57</v>
      </c>
      <c r="AK2360" s="33">
        <v>2050</v>
      </c>
      <c r="AL2360" s="45" t="str">
        <f t="shared" si="295"/>
        <v>*0.87</v>
      </c>
      <c r="AM2360" s="43" t="str">
        <f t="shared" si="297"/>
        <v>REZoning_Sol-Win</v>
      </c>
      <c r="AP2360" t="s">
        <v>3234</v>
      </c>
      <c r="AQ2360" t="s">
        <v>57</v>
      </c>
      <c r="AR2360">
        <v>2100</v>
      </c>
      <c r="AS2360" t="s">
        <v>874</v>
      </c>
      <c r="AT2360" t="s">
        <v>58</v>
      </c>
    </row>
    <row r="2361" ht="29" spans="1:46">
      <c r="A2361" s="31" t="s">
        <v>169</v>
      </c>
      <c r="C2361" t="s">
        <v>3235</v>
      </c>
      <c r="D2361" s="5" t="s">
        <v>57</v>
      </c>
      <c r="E2361">
        <v>2035</v>
      </c>
      <c r="F2361" s="6" t="str">
        <f t="shared" si="290"/>
        <v>*0.94</v>
      </c>
      <c r="H2361" t="s">
        <v>3235</v>
      </c>
      <c r="I2361" s="5" t="s">
        <v>57</v>
      </c>
      <c r="J2361">
        <v>2050</v>
      </c>
      <c r="K2361" s="38" t="str">
        <f t="shared" si="291"/>
        <v>*0.92</v>
      </c>
      <c r="P2361" s="32" t="s">
        <v>3235</v>
      </c>
      <c r="Q2361" s="42" t="s">
        <v>57</v>
      </c>
      <c r="R2361" s="32">
        <v>2035</v>
      </c>
      <c r="S2361" s="43" t="str">
        <f t="shared" si="292"/>
        <v>*0.93</v>
      </c>
      <c r="U2361" s="32" t="s">
        <v>3235</v>
      </c>
      <c r="V2361" s="42" t="s">
        <v>57</v>
      </c>
      <c r="W2361" s="32">
        <v>2050</v>
      </c>
      <c r="X2361" s="43" t="str">
        <f t="shared" si="293"/>
        <v>*0.92</v>
      </c>
      <c r="AC2361" s="33" t="s">
        <v>3235</v>
      </c>
      <c r="AD2361" s="44" t="s">
        <v>57</v>
      </c>
      <c r="AE2361" s="33">
        <v>2035</v>
      </c>
      <c r="AF2361" s="45" t="str">
        <f t="shared" si="294"/>
        <v>*0.91</v>
      </c>
      <c r="AG2361" s="43" t="str">
        <f t="shared" si="296"/>
        <v>REZoning_Sol-Win</v>
      </c>
      <c r="AI2361" s="33" t="s">
        <v>3235</v>
      </c>
      <c r="AJ2361" s="44" t="s">
        <v>57</v>
      </c>
      <c r="AK2361" s="33">
        <v>2050</v>
      </c>
      <c r="AL2361" s="45" t="str">
        <f t="shared" si="295"/>
        <v>*0.87</v>
      </c>
      <c r="AM2361" s="43" t="str">
        <f t="shared" si="297"/>
        <v>REZoning_Sol-Win</v>
      </c>
      <c r="AP2361" t="s">
        <v>3235</v>
      </c>
      <c r="AQ2361" t="s">
        <v>57</v>
      </c>
      <c r="AR2361">
        <v>2100</v>
      </c>
      <c r="AS2361" t="s">
        <v>874</v>
      </c>
      <c r="AT2361" t="s">
        <v>58</v>
      </c>
    </row>
    <row r="2362" ht="29" spans="1:46">
      <c r="A2362" s="31" t="s">
        <v>169</v>
      </c>
      <c r="C2362" t="s">
        <v>3236</v>
      </c>
      <c r="D2362" s="5" t="s">
        <v>57</v>
      </c>
      <c r="E2362">
        <v>2035</v>
      </c>
      <c r="F2362" s="6" t="str">
        <f t="shared" si="290"/>
        <v>*0.94</v>
      </c>
      <c r="H2362" t="s">
        <v>3236</v>
      </c>
      <c r="I2362" s="5" t="s">
        <v>57</v>
      </c>
      <c r="J2362">
        <v>2050</v>
      </c>
      <c r="K2362" s="38" t="str">
        <f t="shared" si="291"/>
        <v>*0.92</v>
      </c>
      <c r="P2362" s="32" t="s">
        <v>3236</v>
      </c>
      <c r="Q2362" s="42" t="s">
        <v>57</v>
      </c>
      <c r="R2362" s="32">
        <v>2035</v>
      </c>
      <c r="S2362" s="43" t="str">
        <f t="shared" si="292"/>
        <v>*0.93</v>
      </c>
      <c r="U2362" s="32" t="s">
        <v>3236</v>
      </c>
      <c r="V2362" s="42" t="s">
        <v>57</v>
      </c>
      <c r="W2362" s="32">
        <v>2050</v>
      </c>
      <c r="X2362" s="43" t="str">
        <f t="shared" si="293"/>
        <v>*0.92</v>
      </c>
      <c r="AC2362" s="33" t="s">
        <v>3236</v>
      </c>
      <c r="AD2362" s="44" t="s">
        <v>57</v>
      </c>
      <c r="AE2362" s="33">
        <v>2035</v>
      </c>
      <c r="AF2362" s="45" t="str">
        <f t="shared" si="294"/>
        <v>*0.91</v>
      </c>
      <c r="AG2362" s="43" t="str">
        <f t="shared" si="296"/>
        <v>REZoning_Sol-Win</v>
      </c>
      <c r="AI2362" s="33" t="s">
        <v>3236</v>
      </c>
      <c r="AJ2362" s="44" t="s">
        <v>57</v>
      </c>
      <c r="AK2362" s="33">
        <v>2050</v>
      </c>
      <c r="AL2362" s="45" t="str">
        <f t="shared" si="295"/>
        <v>*0.87</v>
      </c>
      <c r="AM2362" s="43" t="str">
        <f t="shared" si="297"/>
        <v>REZoning_Sol-Win</v>
      </c>
      <c r="AP2362" t="s">
        <v>3236</v>
      </c>
      <c r="AQ2362" t="s">
        <v>57</v>
      </c>
      <c r="AR2362">
        <v>2100</v>
      </c>
      <c r="AS2362" t="s">
        <v>874</v>
      </c>
      <c r="AT2362" t="s">
        <v>58</v>
      </c>
    </row>
    <row r="2363" ht="29" spans="1:46">
      <c r="A2363" s="31" t="s">
        <v>169</v>
      </c>
      <c r="C2363" t="s">
        <v>3237</v>
      </c>
      <c r="D2363" s="5" t="s">
        <v>57</v>
      </c>
      <c r="E2363">
        <v>2035</v>
      </c>
      <c r="F2363" s="6" t="str">
        <f t="shared" si="290"/>
        <v>*0.94</v>
      </c>
      <c r="H2363" t="s">
        <v>3237</v>
      </c>
      <c r="I2363" s="5" t="s">
        <v>57</v>
      </c>
      <c r="J2363">
        <v>2050</v>
      </c>
      <c r="K2363" s="38" t="str">
        <f t="shared" si="291"/>
        <v>*0.92</v>
      </c>
      <c r="P2363" s="32" t="s">
        <v>3237</v>
      </c>
      <c r="Q2363" s="42" t="s">
        <v>57</v>
      </c>
      <c r="R2363" s="32">
        <v>2035</v>
      </c>
      <c r="S2363" s="43" t="str">
        <f t="shared" si="292"/>
        <v>*0.93</v>
      </c>
      <c r="U2363" s="32" t="s">
        <v>3237</v>
      </c>
      <c r="V2363" s="42" t="s">
        <v>57</v>
      </c>
      <c r="W2363" s="32">
        <v>2050</v>
      </c>
      <c r="X2363" s="43" t="str">
        <f t="shared" si="293"/>
        <v>*0.92</v>
      </c>
      <c r="AC2363" s="33" t="s">
        <v>3237</v>
      </c>
      <c r="AD2363" s="44" t="s">
        <v>57</v>
      </c>
      <c r="AE2363" s="33">
        <v>2035</v>
      </c>
      <c r="AF2363" s="45" t="str">
        <f t="shared" si="294"/>
        <v>*0.91</v>
      </c>
      <c r="AG2363" s="43" t="str">
        <f t="shared" si="296"/>
        <v>REZoning_Sol-Win</v>
      </c>
      <c r="AI2363" s="33" t="s">
        <v>3237</v>
      </c>
      <c r="AJ2363" s="44" t="s">
        <v>57</v>
      </c>
      <c r="AK2363" s="33">
        <v>2050</v>
      </c>
      <c r="AL2363" s="45" t="str">
        <f t="shared" si="295"/>
        <v>*0.87</v>
      </c>
      <c r="AM2363" s="43" t="str">
        <f t="shared" si="297"/>
        <v>REZoning_Sol-Win</v>
      </c>
      <c r="AP2363" t="s">
        <v>3237</v>
      </c>
      <c r="AQ2363" t="s">
        <v>57</v>
      </c>
      <c r="AR2363">
        <v>2100</v>
      </c>
      <c r="AS2363" t="s">
        <v>874</v>
      </c>
      <c r="AT2363" t="s">
        <v>58</v>
      </c>
    </row>
    <row r="2364" ht="29" spans="1:46">
      <c r="A2364" s="31" t="s">
        <v>169</v>
      </c>
      <c r="C2364" t="s">
        <v>3238</v>
      </c>
      <c r="D2364" s="5" t="s">
        <v>57</v>
      </c>
      <c r="E2364">
        <v>2035</v>
      </c>
      <c r="F2364" s="6" t="str">
        <f t="shared" si="290"/>
        <v>*0.94</v>
      </c>
      <c r="H2364" t="s">
        <v>3238</v>
      </c>
      <c r="I2364" s="5" t="s">
        <v>57</v>
      </c>
      <c r="J2364">
        <v>2050</v>
      </c>
      <c r="K2364" s="38" t="str">
        <f t="shared" si="291"/>
        <v>*0.92</v>
      </c>
      <c r="P2364" s="32" t="s">
        <v>3238</v>
      </c>
      <c r="Q2364" s="42" t="s">
        <v>57</v>
      </c>
      <c r="R2364" s="32">
        <v>2035</v>
      </c>
      <c r="S2364" s="43" t="str">
        <f t="shared" si="292"/>
        <v>*0.93</v>
      </c>
      <c r="U2364" s="32" t="s">
        <v>3238</v>
      </c>
      <c r="V2364" s="42" t="s">
        <v>57</v>
      </c>
      <c r="W2364" s="32">
        <v>2050</v>
      </c>
      <c r="X2364" s="43" t="str">
        <f t="shared" si="293"/>
        <v>*0.92</v>
      </c>
      <c r="AC2364" s="33" t="s">
        <v>3238</v>
      </c>
      <c r="AD2364" s="44" t="s">
        <v>57</v>
      </c>
      <c r="AE2364" s="33">
        <v>2035</v>
      </c>
      <c r="AF2364" s="45" t="str">
        <f t="shared" si="294"/>
        <v>*0.91</v>
      </c>
      <c r="AG2364" s="43" t="str">
        <f t="shared" si="296"/>
        <v>REZoning_Sol-Win</v>
      </c>
      <c r="AI2364" s="33" t="s">
        <v>3238</v>
      </c>
      <c r="AJ2364" s="44" t="s">
        <v>57</v>
      </c>
      <c r="AK2364" s="33">
        <v>2050</v>
      </c>
      <c r="AL2364" s="45" t="str">
        <f t="shared" si="295"/>
        <v>*0.87</v>
      </c>
      <c r="AM2364" s="43" t="str">
        <f t="shared" si="297"/>
        <v>REZoning_Sol-Win</v>
      </c>
      <c r="AP2364" t="s">
        <v>3238</v>
      </c>
      <c r="AQ2364" t="s">
        <v>57</v>
      </c>
      <c r="AR2364">
        <v>2100</v>
      </c>
      <c r="AS2364" t="s">
        <v>874</v>
      </c>
      <c r="AT2364" t="s">
        <v>58</v>
      </c>
    </row>
    <row r="2365" ht="29" spans="1:46">
      <c r="A2365" s="31" t="s">
        <v>169</v>
      </c>
      <c r="C2365" t="s">
        <v>3239</v>
      </c>
      <c r="D2365" s="5" t="s">
        <v>57</v>
      </c>
      <c r="E2365">
        <v>2035</v>
      </c>
      <c r="F2365" s="6" t="str">
        <f t="shared" si="290"/>
        <v>*0.94</v>
      </c>
      <c r="H2365" t="s">
        <v>3239</v>
      </c>
      <c r="I2365" s="5" t="s">
        <v>57</v>
      </c>
      <c r="J2365">
        <v>2050</v>
      </c>
      <c r="K2365" s="38" t="str">
        <f t="shared" si="291"/>
        <v>*0.92</v>
      </c>
      <c r="P2365" s="32" t="s">
        <v>3239</v>
      </c>
      <c r="Q2365" s="42" t="s">
        <v>57</v>
      </c>
      <c r="R2365" s="32">
        <v>2035</v>
      </c>
      <c r="S2365" s="43" t="str">
        <f t="shared" si="292"/>
        <v>*0.93</v>
      </c>
      <c r="U2365" s="32" t="s">
        <v>3239</v>
      </c>
      <c r="V2365" s="42" t="s">
        <v>57</v>
      </c>
      <c r="W2365" s="32">
        <v>2050</v>
      </c>
      <c r="X2365" s="43" t="str">
        <f t="shared" si="293"/>
        <v>*0.92</v>
      </c>
      <c r="AC2365" s="33" t="s">
        <v>3239</v>
      </c>
      <c r="AD2365" s="44" t="s">
        <v>57</v>
      </c>
      <c r="AE2365" s="33">
        <v>2035</v>
      </c>
      <c r="AF2365" s="45" t="str">
        <f t="shared" si="294"/>
        <v>*0.91</v>
      </c>
      <c r="AG2365" s="43" t="str">
        <f t="shared" si="296"/>
        <v>REZoning_Sol-Win</v>
      </c>
      <c r="AI2365" s="33" t="s">
        <v>3239</v>
      </c>
      <c r="AJ2365" s="44" t="s">
        <v>57</v>
      </c>
      <c r="AK2365" s="33">
        <v>2050</v>
      </c>
      <c r="AL2365" s="45" t="str">
        <f t="shared" si="295"/>
        <v>*0.87</v>
      </c>
      <c r="AM2365" s="43" t="str">
        <f t="shared" si="297"/>
        <v>REZoning_Sol-Win</v>
      </c>
      <c r="AP2365" t="s">
        <v>3239</v>
      </c>
      <c r="AQ2365" t="s">
        <v>57</v>
      </c>
      <c r="AR2365">
        <v>2100</v>
      </c>
      <c r="AS2365" t="s">
        <v>874</v>
      </c>
      <c r="AT2365" t="s">
        <v>58</v>
      </c>
    </row>
    <row r="2366" ht="29" spans="1:46">
      <c r="A2366" s="31" t="s">
        <v>169</v>
      </c>
      <c r="C2366" t="s">
        <v>3240</v>
      </c>
      <c r="D2366" s="5" t="s">
        <v>57</v>
      </c>
      <c r="E2366">
        <v>2035</v>
      </c>
      <c r="F2366" s="6" t="str">
        <f t="shared" si="290"/>
        <v>*0.94</v>
      </c>
      <c r="H2366" t="s">
        <v>3240</v>
      </c>
      <c r="I2366" s="5" t="s">
        <v>57</v>
      </c>
      <c r="J2366">
        <v>2050</v>
      </c>
      <c r="K2366" s="38" t="str">
        <f t="shared" si="291"/>
        <v>*0.92</v>
      </c>
      <c r="P2366" s="32" t="s">
        <v>3240</v>
      </c>
      <c r="Q2366" s="42" t="s">
        <v>57</v>
      </c>
      <c r="R2366" s="32">
        <v>2035</v>
      </c>
      <c r="S2366" s="43" t="str">
        <f t="shared" si="292"/>
        <v>*0.93</v>
      </c>
      <c r="U2366" s="32" t="s">
        <v>3240</v>
      </c>
      <c r="V2366" s="42" t="s">
        <v>57</v>
      </c>
      <c r="W2366" s="32">
        <v>2050</v>
      </c>
      <c r="X2366" s="43" t="str">
        <f t="shared" si="293"/>
        <v>*0.92</v>
      </c>
      <c r="AC2366" s="33" t="s">
        <v>3240</v>
      </c>
      <c r="AD2366" s="44" t="s">
        <v>57</v>
      </c>
      <c r="AE2366" s="33">
        <v>2035</v>
      </c>
      <c r="AF2366" s="45" t="str">
        <f t="shared" si="294"/>
        <v>*0.91</v>
      </c>
      <c r="AG2366" s="43" t="str">
        <f t="shared" si="296"/>
        <v>REZoning_Sol-Win</v>
      </c>
      <c r="AI2366" s="33" t="s">
        <v>3240</v>
      </c>
      <c r="AJ2366" s="44" t="s">
        <v>57</v>
      </c>
      <c r="AK2366" s="33">
        <v>2050</v>
      </c>
      <c r="AL2366" s="45" t="str">
        <f t="shared" si="295"/>
        <v>*0.87</v>
      </c>
      <c r="AM2366" s="43" t="str">
        <f t="shared" si="297"/>
        <v>REZoning_Sol-Win</v>
      </c>
      <c r="AP2366" t="s">
        <v>3240</v>
      </c>
      <c r="AQ2366" t="s">
        <v>57</v>
      </c>
      <c r="AR2366">
        <v>2100</v>
      </c>
      <c r="AS2366" t="s">
        <v>874</v>
      </c>
      <c r="AT2366" t="s">
        <v>58</v>
      </c>
    </row>
    <row r="2367" ht="29" spans="1:46">
      <c r="A2367" s="31" t="s">
        <v>169</v>
      </c>
      <c r="C2367" t="s">
        <v>3241</v>
      </c>
      <c r="D2367" s="5" t="s">
        <v>57</v>
      </c>
      <c r="E2367">
        <v>2035</v>
      </c>
      <c r="F2367" s="6" t="str">
        <f t="shared" si="290"/>
        <v>*0.94</v>
      </c>
      <c r="H2367" t="s">
        <v>3241</v>
      </c>
      <c r="I2367" s="5" t="s">
        <v>57</v>
      </c>
      <c r="J2367">
        <v>2050</v>
      </c>
      <c r="K2367" s="38" t="str">
        <f t="shared" si="291"/>
        <v>*0.92</v>
      </c>
      <c r="P2367" s="32" t="s">
        <v>3241</v>
      </c>
      <c r="Q2367" s="42" t="s">
        <v>57</v>
      </c>
      <c r="R2367" s="32">
        <v>2035</v>
      </c>
      <c r="S2367" s="43" t="str">
        <f t="shared" si="292"/>
        <v>*0.93</v>
      </c>
      <c r="U2367" s="32" t="s">
        <v>3241</v>
      </c>
      <c r="V2367" s="42" t="s">
        <v>57</v>
      </c>
      <c r="W2367" s="32">
        <v>2050</v>
      </c>
      <c r="X2367" s="43" t="str">
        <f t="shared" si="293"/>
        <v>*0.92</v>
      </c>
      <c r="AC2367" s="33" t="s">
        <v>3241</v>
      </c>
      <c r="AD2367" s="44" t="s">
        <v>57</v>
      </c>
      <c r="AE2367" s="33">
        <v>2035</v>
      </c>
      <c r="AF2367" s="45" t="str">
        <f t="shared" si="294"/>
        <v>*0.91</v>
      </c>
      <c r="AG2367" s="43" t="str">
        <f t="shared" si="296"/>
        <v>REZoning_Sol-Win</v>
      </c>
      <c r="AI2367" s="33" t="s">
        <v>3241</v>
      </c>
      <c r="AJ2367" s="44" t="s">
        <v>57</v>
      </c>
      <c r="AK2367" s="33">
        <v>2050</v>
      </c>
      <c r="AL2367" s="45" t="str">
        <f t="shared" si="295"/>
        <v>*0.87</v>
      </c>
      <c r="AM2367" s="43" t="str">
        <f t="shared" si="297"/>
        <v>REZoning_Sol-Win</v>
      </c>
      <c r="AP2367" t="s">
        <v>3241</v>
      </c>
      <c r="AQ2367" t="s">
        <v>57</v>
      </c>
      <c r="AR2367">
        <v>2100</v>
      </c>
      <c r="AS2367" t="s">
        <v>874</v>
      </c>
      <c r="AT2367" t="s">
        <v>58</v>
      </c>
    </row>
    <row r="2368" ht="29" spans="1:46">
      <c r="A2368" s="31" t="s">
        <v>169</v>
      </c>
      <c r="C2368" t="s">
        <v>3242</v>
      </c>
      <c r="D2368" s="5" t="s">
        <v>57</v>
      </c>
      <c r="E2368">
        <v>2035</v>
      </c>
      <c r="F2368" s="6" t="str">
        <f t="shared" si="290"/>
        <v>*0.94</v>
      </c>
      <c r="H2368" t="s">
        <v>3242</v>
      </c>
      <c r="I2368" s="5" t="s">
        <v>57</v>
      </c>
      <c r="J2368">
        <v>2050</v>
      </c>
      <c r="K2368" s="38" t="str">
        <f t="shared" si="291"/>
        <v>*0.92</v>
      </c>
      <c r="P2368" s="32" t="s">
        <v>3242</v>
      </c>
      <c r="Q2368" s="42" t="s">
        <v>57</v>
      </c>
      <c r="R2368" s="32">
        <v>2035</v>
      </c>
      <c r="S2368" s="43" t="str">
        <f t="shared" si="292"/>
        <v>*0.93</v>
      </c>
      <c r="U2368" s="32" t="s">
        <v>3242</v>
      </c>
      <c r="V2368" s="42" t="s">
        <v>57</v>
      </c>
      <c r="W2368" s="32">
        <v>2050</v>
      </c>
      <c r="X2368" s="43" t="str">
        <f t="shared" si="293"/>
        <v>*0.92</v>
      </c>
      <c r="AC2368" s="33" t="s">
        <v>3242</v>
      </c>
      <c r="AD2368" s="44" t="s">
        <v>57</v>
      </c>
      <c r="AE2368" s="33">
        <v>2035</v>
      </c>
      <c r="AF2368" s="45" t="str">
        <f t="shared" si="294"/>
        <v>*0.91</v>
      </c>
      <c r="AG2368" s="43" t="str">
        <f t="shared" si="296"/>
        <v>REZoning_Sol-Win</v>
      </c>
      <c r="AI2368" s="33" t="s">
        <v>3242</v>
      </c>
      <c r="AJ2368" s="44" t="s">
        <v>57</v>
      </c>
      <c r="AK2368" s="33">
        <v>2050</v>
      </c>
      <c r="AL2368" s="45" t="str">
        <f t="shared" si="295"/>
        <v>*0.87</v>
      </c>
      <c r="AM2368" s="43" t="str">
        <f t="shared" si="297"/>
        <v>REZoning_Sol-Win</v>
      </c>
      <c r="AP2368" t="s">
        <v>3242</v>
      </c>
      <c r="AQ2368" t="s">
        <v>57</v>
      </c>
      <c r="AR2368">
        <v>2100</v>
      </c>
      <c r="AS2368" t="s">
        <v>874</v>
      </c>
      <c r="AT2368" t="s">
        <v>58</v>
      </c>
    </row>
    <row r="2369" ht="29" spans="1:46">
      <c r="A2369" s="31" t="s">
        <v>169</v>
      </c>
      <c r="C2369" t="s">
        <v>3243</v>
      </c>
      <c r="D2369" s="5" t="s">
        <v>57</v>
      </c>
      <c r="E2369">
        <v>2035</v>
      </c>
      <c r="F2369" s="6" t="str">
        <f t="shared" si="290"/>
        <v>*0.94</v>
      </c>
      <c r="H2369" t="s">
        <v>3243</v>
      </c>
      <c r="I2369" s="5" t="s">
        <v>57</v>
      </c>
      <c r="J2369">
        <v>2050</v>
      </c>
      <c r="K2369" s="38" t="str">
        <f t="shared" si="291"/>
        <v>*0.92</v>
      </c>
      <c r="P2369" s="32" t="s">
        <v>3243</v>
      </c>
      <c r="Q2369" s="42" t="s">
        <v>57</v>
      </c>
      <c r="R2369" s="32">
        <v>2035</v>
      </c>
      <c r="S2369" s="43" t="str">
        <f t="shared" si="292"/>
        <v>*0.93</v>
      </c>
      <c r="U2369" s="32" t="s">
        <v>3243</v>
      </c>
      <c r="V2369" s="42" t="s">
        <v>57</v>
      </c>
      <c r="W2369" s="32">
        <v>2050</v>
      </c>
      <c r="X2369" s="43" t="str">
        <f t="shared" si="293"/>
        <v>*0.92</v>
      </c>
      <c r="AC2369" s="33" t="s">
        <v>3243</v>
      </c>
      <c r="AD2369" s="44" t="s">
        <v>57</v>
      </c>
      <c r="AE2369" s="33">
        <v>2035</v>
      </c>
      <c r="AF2369" s="45" t="str">
        <f t="shared" si="294"/>
        <v>*0.91</v>
      </c>
      <c r="AG2369" s="43" t="str">
        <f t="shared" si="296"/>
        <v>REZoning_Sol-Win</v>
      </c>
      <c r="AI2369" s="33" t="s">
        <v>3243</v>
      </c>
      <c r="AJ2369" s="44" t="s">
        <v>57</v>
      </c>
      <c r="AK2369" s="33">
        <v>2050</v>
      </c>
      <c r="AL2369" s="45" t="str">
        <f t="shared" si="295"/>
        <v>*0.87</v>
      </c>
      <c r="AM2369" s="43" t="str">
        <f t="shared" si="297"/>
        <v>REZoning_Sol-Win</v>
      </c>
      <c r="AP2369" t="s">
        <v>3243</v>
      </c>
      <c r="AQ2369" t="s">
        <v>57</v>
      </c>
      <c r="AR2369">
        <v>2100</v>
      </c>
      <c r="AS2369" t="s">
        <v>874</v>
      </c>
      <c r="AT2369" t="s">
        <v>58</v>
      </c>
    </row>
    <row r="2370" ht="29" spans="1:46">
      <c r="A2370" s="31" t="s">
        <v>169</v>
      </c>
      <c r="C2370" t="s">
        <v>3244</v>
      </c>
      <c r="D2370" s="5" t="s">
        <v>57</v>
      </c>
      <c r="E2370">
        <v>2035</v>
      </c>
      <c r="F2370" s="6" t="str">
        <f t="shared" si="290"/>
        <v>*0.94</v>
      </c>
      <c r="H2370" t="s">
        <v>3244</v>
      </c>
      <c r="I2370" s="5" t="s">
        <v>57</v>
      </c>
      <c r="J2370">
        <v>2050</v>
      </c>
      <c r="K2370" s="38" t="str">
        <f t="shared" si="291"/>
        <v>*0.92</v>
      </c>
      <c r="P2370" s="32" t="s">
        <v>3244</v>
      </c>
      <c r="Q2370" s="42" t="s">
        <v>57</v>
      </c>
      <c r="R2370" s="32">
        <v>2035</v>
      </c>
      <c r="S2370" s="43" t="str">
        <f t="shared" si="292"/>
        <v>*0.93</v>
      </c>
      <c r="U2370" s="32" t="s">
        <v>3244</v>
      </c>
      <c r="V2370" s="42" t="s">
        <v>57</v>
      </c>
      <c r="W2370" s="32">
        <v>2050</v>
      </c>
      <c r="X2370" s="43" t="str">
        <f t="shared" si="293"/>
        <v>*0.92</v>
      </c>
      <c r="AC2370" s="33" t="s">
        <v>3244</v>
      </c>
      <c r="AD2370" s="44" t="s">
        <v>57</v>
      </c>
      <c r="AE2370" s="33">
        <v>2035</v>
      </c>
      <c r="AF2370" s="45" t="str">
        <f t="shared" si="294"/>
        <v>*0.91</v>
      </c>
      <c r="AG2370" s="43" t="str">
        <f t="shared" si="296"/>
        <v>REZoning_Sol-Win</v>
      </c>
      <c r="AI2370" s="33" t="s">
        <v>3244</v>
      </c>
      <c r="AJ2370" s="44" t="s">
        <v>57</v>
      </c>
      <c r="AK2370" s="33">
        <v>2050</v>
      </c>
      <c r="AL2370" s="45" t="str">
        <f t="shared" si="295"/>
        <v>*0.87</v>
      </c>
      <c r="AM2370" s="43" t="str">
        <f t="shared" si="297"/>
        <v>REZoning_Sol-Win</v>
      </c>
      <c r="AP2370" t="s">
        <v>3244</v>
      </c>
      <c r="AQ2370" t="s">
        <v>57</v>
      </c>
      <c r="AR2370">
        <v>2100</v>
      </c>
      <c r="AS2370" t="s">
        <v>874</v>
      </c>
      <c r="AT2370" t="s">
        <v>58</v>
      </c>
    </row>
    <row r="2371" ht="29" spans="1:46">
      <c r="A2371" s="31" t="s">
        <v>79</v>
      </c>
      <c r="C2371" t="s">
        <v>3245</v>
      </c>
      <c r="D2371" s="5" t="s">
        <v>57</v>
      </c>
      <c r="E2371">
        <v>2035</v>
      </c>
      <c r="F2371" s="6" t="str">
        <f t="shared" si="290"/>
        <v>*0.94</v>
      </c>
      <c r="H2371" t="s">
        <v>3245</v>
      </c>
      <c r="I2371" s="5" t="s">
        <v>57</v>
      </c>
      <c r="J2371">
        <v>2050</v>
      </c>
      <c r="K2371" s="38" t="str">
        <f t="shared" si="291"/>
        <v>*0.9</v>
      </c>
      <c r="P2371" s="32" t="s">
        <v>3245</v>
      </c>
      <c r="Q2371" s="42" t="s">
        <v>57</v>
      </c>
      <c r="R2371" s="32">
        <v>2035</v>
      </c>
      <c r="S2371" s="43" t="str">
        <f t="shared" si="292"/>
        <v>*0.92</v>
      </c>
      <c r="U2371" s="32" t="s">
        <v>3245</v>
      </c>
      <c r="V2371" s="42" t="s">
        <v>57</v>
      </c>
      <c r="W2371" s="32">
        <v>2050</v>
      </c>
      <c r="X2371" s="43" t="str">
        <f t="shared" si="293"/>
        <v>*0.89</v>
      </c>
      <c r="AC2371" s="33" t="s">
        <v>3245</v>
      </c>
      <c r="AD2371" s="44" t="s">
        <v>57</v>
      </c>
      <c r="AE2371" s="33">
        <v>2035</v>
      </c>
      <c r="AF2371" s="45" t="str">
        <f t="shared" si="294"/>
        <v>*0.89</v>
      </c>
      <c r="AG2371" s="43" t="str">
        <f t="shared" si="296"/>
        <v>REZoning_Sol-Win</v>
      </c>
      <c r="AI2371" s="33" t="s">
        <v>3245</v>
      </c>
      <c r="AJ2371" s="44" t="s">
        <v>57</v>
      </c>
      <c r="AK2371" s="33">
        <v>2050</v>
      </c>
      <c r="AL2371" s="45" t="str">
        <f t="shared" si="295"/>
        <v>*0.84</v>
      </c>
      <c r="AM2371" s="43" t="str">
        <f t="shared" si="297"/>
        <v>REZoning_Sol-Win</v>
      </c>
      <c r="AP2371" t="s">
        <v>3245</v>
      </c>
      <c r="AQ2371" t="s">
        <v>57</v>
      </c>
      <c r="AR2371">
        <v>2100</v>
      </c>
      <c r="AS2371" t="s">
        <v>919</v>
      </c>
      <c r="AT2371" t="s">
        <v>58</v>
      </c>
    </row>
    <row r="2372" ht="29" spans="1:46">
      <c r="A2372" s="31" t="s">
        <v>79</v>
      </c>
      <c r="C2372" t="s">
        <v>3246</v>
      </c>
      <c r="D2372" s="5" t="s">
        <v>57</v>
      </c>
      <c r="E2372">
        <v>2035</v>
      </c>
      <c r="F2372" s="6" t="str">
        <f t="shared" ref="F2372:F2435" si="298">"*"&amp;IF(AND(A2372="EU",E2372=2035),0.95,IF(AND(A2372="EU",E2372=2050),0.93,IF(AND(A2372="USA",E2372=2035),0.96,IF(AND(A2372="USA",E2372=2050),0.94,IF(AND(A2372="Japan",E2372=2035),0.94,IF(AND(A2372="Japan",E2372=2050),0.92,IF(AND(A2372="Russia",E2372=2035),0.95,IF(AND(A2372="Russia",E2372=2050),0.93,IF(AND(A2372="China",E2372=2035),0.94,IF(AND(A2372="China",E2372=2050),0.92,IF(AND(A2372="India",E2372=2035),0.95,IF(AND(A2372="India",E2372=2050),0.92,IF(AND(A2372="Middle East",E2372=2035),0.94,IF(AND(A2372="Middle East",E2372=2050),0.9,IF(AND(A2372="Africa",E2372=2035),0.94,IF(AND(A2372="Africa",E2372=2050),0.91,IF(AND(A2372="Brazil",E2372=2035),0.95,IF(AND(A2372="Brazil",E2372=2050),0.92,""))))))))))))))))))</f>
        <v>*0.94</v>
      </c>
      <c r="H2372" t="s">
        <v>3246</v>
      </c>
      <c r="I2372" s="5" t="s">
        <v>57</v>
      </c>
      <c r="J2372">
        <v>2050</v>
      </c>
      <c r="K2372" s="38" t="str">
        <f t="shared" ref="K2372:K2435" si="299">"*"&amp;IF(AND(A2372="EU",J2372=2035),0.95,IF(AND(A2372="EU",J2372=2050),0.93,IF(AND(A2372="USA",J2372=2035),0.96,IF(AND(A2372="USA",J2372=2050),0.94,IF(AND(A2372="Japan",J2372=2035),0.94,IF(AND(A2372="Japan",J2372=2050),0.92,IF(AND(A2372="Russia",J2372=2035),0.95,IF(AND(A2372="Russia",J2372=2050),0.93,IF(AND(A2372="China",J2372=2035),0.94,IF(AND(A2372="China",J2372=2050),0.92,IF(AND(A2372="India",J2372=2035),0.95,IF(AND(A2372="India",J2372=2050),0.92,IF(AND(A2372="Middle East",J2372=2035),0.94,IF(AND(A2372="Middle East",J2372=2050),0.9,IF(AND(A2372="Africa",J2372=2035),0.94,IF(AND(A2372="Africa",J2372=2050),0.91,IF(AND(A2372="Brazil",J2372=2035),0.95,IF(AND(A2372="Brazil",J2372=2050),0.92,""))))))))))))))))))</f>
        <v>*0.9</v>
      </c>
      <c r="P2372" s="32" t="s">
        <v>3246</v>
      </c>
      <c r="Q2372" s="42" t="s">
        <v>57</v>
      </c>
      <c r="R2372" s="32">
        <v>2035</v>
      </c>
      <c r="S2372" s="43" t="str">
        <f t="shared" ref="S2372:S2435" si="300">"*"&amp;IF(AND(A2372="EU",R2372=2035),0.95,IF(AND(A2372="EU",R2372=2050),0.93,IF(AND(A2372="USA",R2372=2035),0.96,IF(AND(A2372="USA",R2372=2050),0.93,IF(AND(A2372="Japan",R2372=2035),0.94,IF(AND(A2372="Japan",R2372=2050),0.92,IF(AND(A2372="Russia",R2372=2035),0.95,IF(AND(A2372="Russia",R2372=2050),0.91,IF(AND(A2372="China",R2372=2035),0.93,IF(AND(A2372="China",R2372=2050),0.92,IF(AND(A2372="India",R2372=2035),0.94,IF(AND(A2372="India",R2372=2050),0.91,IF(AND(A2372="Middle East",R2372=2035),0.92,IF(AND(A2372="Middle East",R2372=2050),0.89,IF(AND(A2372="Africa",R2372=2035),0.93,IF(AND(A2372="Africa",R2372=2050),0.9,IF(AND(A2372="Brazil",R2372=2035),0.95,IF(AND(A2372="Brazil",R2372=2050),0.92,""))))))))))))))))))</f>
        <v>*0.92</v>
      </c>
      <c r="U2372" s="32" t="s">
        <v>3246</v>
      </c>
      <c r="V2372" s="42" t="s">
        <v>57</v>
      </c>
      <c r="W2372" s="32">
        <v>2050</v>
      </c>
      <c r="X2372" s="43" t="str">
        <f t="shared" ref="X2372:X2435" si="301">"*"&amp;IF(AND(A2372="EU",W2372=2035),0.95,IF(AND(A2372="EU",W2372=2050),0.93,IF(AND(A2372="USA",W2372=2035),0.96,IF(AND(A2372="USA",W2372=2050),0.93,IF(AND(A2372="Japan",W2372=2035),0.94,IF(AND(A2372="Japan",W2372=2050),0.92,IF(AND(A2372="Russia",W2372=2035),0.95,IF(AND(A2372="Russia",W2372=2050),0.91,IF(AND(A2372="China",W2372=2035),0.93,IF(AND(A2372="China",W2372=2050),0.92,IF(AND(A2372="India",W2372=2035),0.94,IF(AND(A2372="India",W2372=2050),0.91,IF(AND(A2372="Middle East",W2372=2035),0.92,IF(AND(A2372="Middle East",W2372=2050),0.89,IF(AND(A2372="Africa",W2372=2035),0.93,IF(AND(A2372="Africa",W2372=2050),0.9,IF(AND(A2372="Brazil",W2372=2035),0.95,IF(AND(A2372="Brazil",W2372=2050),0.92,""))))))))))))))))))</f>
        <v>*0.89</v>
      </c>
      <c r="AC2372" s="33" t="s">
        <v>3246</v>
      </c>
      <c r="AD2372" s="44" t="s">
        <v>57</v>
      </c>
      <c r="AE2372" s="33">
        <v>2035</v>
      </c>
      <c r="AF2372" s="45" t="str">
        <f t="shared" ref="AF2372:AF2435" si="302">"*"&amp;IF(AND(A2372="EU",AE2372=2035),0.93,IF(AND(A2372="EU",AE2372=2050),0.9,IF(AND(A2372="USA",AE2372=2035),0.92,IF(AND(A2372="USA",AE2372=2050),0.89,IF(AND(A2372="Japan",AE2372=2035),0.92,IF(AND(A2372="Japan",AE2372=2050),0.89,IF(AND(A2372="Russia",AE2372=2035),0.91,IF(AND(A2372="Russia",AE2372=2050),0.86,IF(AND(A2372="China",AE2372=2035),0.91,IF(AND(A2372="China",AE2372=2050),0.87,IF(AND(A2372="India",AE2372=2035),0.92,IF(AND(A2372="India",AE2372=2050),0.87,IF(AND(A2372="Middle East",AE2372=2035),0.89,IF(AND(A2372="Middle East",AE2372=2050),0.84,IF(AND(A2372="Africa",AE2372=2035),0.9,IF(AND(A2372="Africa",AE2372=2050),0.86,IF(AND(A2372="Brazil",AE2372=2035),0.93,IF(AND(A2372="Brazil",AE2372=2050),0.89,""))))))))))))))))))</f>
        <v>*0.89</v>
      </c>
      <c r="AG2372" s="43" t="str">
        <f t="shared" si="296"/>
        <v>REZoning_Sol-Win</v>
      </c>
      <c r="AI2372" s="33" t="s">
        <v>3246</v>
      </c>
      <c r="AJ2372" s="44" t="s">
        <v>57</v>
      </c>
      <c r="AK2372" s="33">
        <v>2050</v>
      </c>
      <c r="AL2372" s="45" t="str">
        <f t="shared" ref="AL2372:AL2435" si="303">"*"&amp;IF(AND(A2372="EU",AK2372=2035),0.93,IF(AND(A2372="EU",AK2372=2050),0.9,IF(AND(A2372="USA",AK2372=2035),0.92,IF(AND(A2372="USA",AK2372=2050),0.89,IF(AND(A2372="Japan",AK2372=2035),0.92,IF(AND(A2372="Japan",AK2372=2050),0.89,IF(AND(A2372="Russia",AK2372=2035),0.91,IF(AND(A2372="Russia",AK2372=2050),0.86,IF(AND(A2372="China",AK2372=2035),0.91,IF(AND(A2372="China",AK2372=2050),0.87,IF(AND(A2372="India",AK2372=2035),0.92,IF(AND(A2372="India",AK2372=2050),0.87,IF(AND(A2372="Middle East",AK2372=2035),0.89,IF(AND(A2372="Middle East",AK2372=2050),0.84,IF(AND(A2372="Africa",AK2372=2035),0.9,IF(AND(A2372="Africa",AK2372=2050),0.86,IF(AND(A2372="Brazil",AK2372=2035),0.93,IF(AND(A2372="Brazil",AK2372=2050),0.89,""))))))))))))))))))</f>
        <v>*0.84</v>
      </c>
      <c r="AM2372" s="43" t="str">
        <f t="shared" si="297"/>
        <v>REZoning_Sol-Win</v>
      </c>
      <c r="AP2372" t="s">
        <v>3246</v>
      </c>
      <c r="AQ2372" t="s">
        <v>57</v>
      </c>
      <c r="AR2372">
        <v>2100</v>
      </c>
      <c r="AS2372" t="s">
        <v>919</v>
      </c>
      <c r="AT2372" t="s">
        <v>58</v>
      </c>
    </row>
    <row r="2373" ht="29" spans="1:46">
      <c r="A2373" s="31" t="s">
        <v>79</v>
      </c>
      <c r="C2373" t="s">
        <v>3247</v>
      </c>
      <c r="D2373" s="5" t="s">
        <v>57</v>
      </c>
      <c r="E2373">
        <v>2035</v>
      </c>
      <c r="F2373" s="6" t="str">
        <f t="shared" si="298"/>
        <v>*0.94</v>
      </c>
      <c r="H2373" t="s">
        <v>3247</v>
      </c>
      <c r="I2373" s="5" t="s">
        <v>57</v>
      </c>
      <c r="J2373">
        <v>2050</v>
      </c>
      <c r="K2373" s="38" t="str">
        <f t="shared" si="299"/>
        <v>*0.9</v>
      </c>
      <c r="P2373" s="32" t="s">
        <v>3247</v>
      </c>
      <c r="Q2373" s="42" t="s">
        <v>57</v>
      </c>
      <c r="R2373" s="32">
        <v>2035</v>
      </c>
      <c r="S2373" s="43" t="str">
        <f t="shared" si="300"/>
        <v>*0.92</v>
      </c>
      <c r="U2373" s="32" t="s">
        <v>3247</v>
      </c>
      <c r="V2373" s="42" t="s">
        <v>57</v>
      </c>
      <c r="W2373" s="32">
        <v>2050</v>
      </c>
      <c r="X2373" s="43" t="str">
        <f t="shared" si="301"/>
        <v>*0.89</v>
      </c>
      <c r="AC2373" s="33" t="s">
        <v>3247</v>
      </c>
      <c r="AD2373" s="44" t="s">
        <v>57</v>
      </c>
      <c r="AE2373" s="33">
        <v>2035</v>
      </c>
      <c r="AF2373" s="45" t="str">
        <f t="shared" si="302"/>
        <v>*0.89</v>
      </c>
      <c r="AG2373" s="43" t="str">
        <f t="shared" si="296"/>
        <v>REZoning_Sol-Win</v>
      </c>
      <c r="AI2373" s="33" t="s">
        <v>3247</v>
      </c>
      <c r="AJ2373" s="44" t="s">
        <v>57</v>
      </c>
      <c r="AK2373" s="33">
        <v>2050</v>
      </c>
      <c r="AL2373" s="45" t="str">
        <f t="shared" si="303"/>
        <v>*0.84</v>
      </c>
      <c r="AM2373" s="43" t="str">
        <f t="shared" si="297"/>
        <v>REZoning_Sol-Win</v>
      </c>
      <c r="AP2373" t="s">
        <v>3247</v>
      </c>
      <c r="AQ2373" t="s">
        <v>57</v>
      </c>
      <c r="AR2373">
        <v>2100</v>
      </c>
      <c r="AS2373" t="s">
        <v>919</v>
      </c>
      <c r="AT2373" t="s">
        <v>58</v>
      </c>
    </row>
    <row r="2374" ht="29" spans="1:46">
      <c r="A2374" s="31" t="s">
        <v>79</v>
      </c>
      <c r="C2374" t="s">
        <v>3248</v>
      </c>
      <c r="D2374" s="5" t="s">
        <v>57</v>
      </c>
      <c r="E2374">
        <v>2035</v>
      </c>
      <c r="F2374" s="6" t="str">
        <f t="shared" si="298"/>
        <v>*0.94</v>
      </c>
      <c r="H2374" t="s">
        <v>3248</v>
      </c>
      <c r="I2374" s="5" t="s">
        <v>57</v>
      </c>
      <c r="J2374">
        <v>2050</v>
      </c>
      <c r="K2374" s="38" t="str">
        <f t="shared" si="299"/>
        <v>*0.9</v>
      </c>
      <c r="P2374" s="32" t="s">
        <v>3248</v>
      </c>
      <c r="Q2374" s="42" t="s">
        <v>57</v>
      </c>
      <c r="R2374" s="32">
        <v>2035</v>
      </c>
      <c r="S2374" s="43" t="str">
        <f t="shared" si="300"/>
        <v>*0.92</v>
      </c>
      <c r="U2374" s="32" t="s">
        <v>3248</v>
      </c>
      <c r="V2374" s="42" t="s">
        <v>57</v>
      </c>
      <c r="W2374" s="32">
        <v>2050</v>
      </c>
      <c r="X2374" s="43" t="str">
        <f t="shared" si="301"/>
        <v>*0.89</v>
      </c>
      <c r="AC2374" s="33" t="s">
        <v>3248</v>
      </c>
      <c r="AD2374" s="44" t="s">
        <v>57</v>
      </c>
      <c r="AE2374" s="33">
        <v>2035</v>
      </c>
      <c r="AF2374" s="45" t="str">
        <f t="shared" si="302"/>
        <v>*0.89</v>
      </c>
      <c r="AG2374" s="43" t="str">
        <f t="shared" si="296"/>
        <v>REZoning_Sol-Win</v>
      </c>
      <c r="AI2374" s="33" t="s">
        <v>3248</v>
      </c>
      <c r="AJ2374" s="44" t="s">
        <v>57</v>
      </c>
      <c r="AK2374" s="33">
        <v>2050</v>
      </c>
      <c r="AL2374" s="45" t="str">
        <f t="shared" si="303"/>
        <v>*0.84</v>
      </c>
      <c r="AM2374" s="43" t="str">
        <f t="shared" si="297"/>
        <v>REZoning_Sol-Win</v>
      </c>
      <c r="AP2374" t="s">
        <v>3248</v>
      </c>
      <c r="AQ2374" t="s">
        <v>57</v>
      </c>
      <c r="AR2374">
        <v>2100</v>
      </c>
      <c r="AS2374" t="s">
        <v>919</v>
      </c>
      <c r="AT2374" t="s">
        <v>58</v>
      </c>
    </row>
    <row r="2375" ht="29" spans="1:46">
      <c r="A2375" s="31" t="s">
        <v>79</v>
      </c>
      <c r="C2375" t="s">
        <v>3249</v>
      </c>
      <c r="D2375" s="5" t="s">
        <v>57</v>
      </c>
      <c r="E2375">
        <v>2035</v>
      </c>
      <c r="F2375" s="6" t="str">
        <f t="shared" si="298"/>
        <v>*0.94</v>
      </c>
      <c r="H2375" t="s">
        <v>3249</v>
      </c>
      <c r="I2375" s="5" t="s">
        <v>57</v>
      </c>
      <c r="J2375">
        <v>2050</v>
      </c>
      <c r="K2375" s="38" t="str">
        <f t="shared" si="299"/>
        <v>*0.9</v>
      </c>
      <c r="P2375" s="32" t="s">
        <v>3249</v>
      </c>
      <c r="Q2375" s="42" t="s">
        <v>57</v>
      </c>
      <c r="R2375" s="32">
        <v>2035</v>
      </c>
      <c r="S2375" s="43" t="str">
        <f t="shared" si="300"/>
        <v>*0.92</v>
      </c>
      <c r="U2375" s="32" t="s">
        <v>3249</v>
      </c>
      <c r="V2375" s="42" t="s">
        <v>57</v>
      </c>
      <c r="W2375" s="32">
        <v>2050</v>
      </c>
      <c r="X2375" s="43" t="str">
        <f t="shared" si="301"/>
        <v>*0.89</v>
      </c>
      <c r="AC2375" s="33" t="s">
        <v>3249</v>
      </c>
      <c r="AD2375" s="44" t="s">
        <v>57</v>
      </c>
      <c r="AE2375" s="33">
        <v>2035</v>
      </c>
      <c r="AF2375" s="45" t="str">
        <f t="shared" si="302"/>
        <v>*0.89</v>
      </c>
      <c r="AG2375" s="43" t="str">
        <f t="shared" si="296"/>
        <v>REZoning_Sol-Win</v>
      </c>
      <c r="AI2375" s="33" t="s">
        <v>3249</v>
      </c>
      <c r="AJ2375" s="44" t="s">
        <v>57</v>
      </c>
      <c r="AK2375" s="33">
        <v>2050</v>
      </c>
      <c r="AL2375" s="45" t="str">
        <f t="shared" si="303"/>
        <v>*0.84</v>
      </c>
      <c r="AM2375" s="43" t="str">
        <f t="shared" si="297"/>
        <v>REZoning_Sol-Win</v>
      </c>
      <c r="AP2375" t="s">
        <v>3249</v>
      </c>
      <c r="AQ2375" t="s">
        <v>57</v>
      </c>
      <c r="AR2375">
        <v>2100</v>
      </c>
      <c r="AS2375" t="s">
        <v>919</v>
      </c>
      <c r="AT2375" t="s">
        <v>58</v>
      </c>
    </row>
    <row r="2376" ht="29" spans="1:46">
      <c r="A2376" s="31" t="s">
        <v>79</v>
      </c>
      <c r="C2376" t="s">
        <v>3250</v>
      </c>
      <c r="D2376" s="5" t="s">
        <v>57</v>
      </c>
      <c r="E2376">
        <v>2035</v>
      </c>
      <c r="F2376" s="6" t="str">
        <f t="shared" si="298"/>
        <v>*0.94</v>
      </c>
      <c r="H2376" t="s">
        <v>3250</v>
      </c>
      <c r="I2376" s="5" t="s">
        <v>57</v>
      </c>
      <c r="J2376">
        <v>2050</v>
      </c>
      <c r="K2376" s="38" t="str">
        <f t="shared" si="299"/>
        <v>*0.9</v>
      </c>
      <c r="P2376" s="32" t="s">
        <v>3250</v>
      </c>
      <c r="Q2376" s="42" t="s">
        <v>57</v>
      </c>
      <c r="R2376" s="32">
        <v>2035</v>
      </c>
      <c r="S2376" s="43" t="str">
        <f t="shared" si="300"/>
        <v>*0.92</v>
      </c>
      <c r="U2376" s="32" t="s">
        <v>3250</v>
      </c>
      <c r="V2376" s="42" t="s">
        <v>57</v>
      </c>
      <c r="W2376" s="32">
        <v>2050</v>
      </c>
      <c r="X2376" s="43" t="str">
        <f t="shared" si="301"/>
        <v>*0.89</v>
      </c>
      <c r="AC2376" s="33" t="s">
        <v>3250</v>
      </c>
      <c r="AD2376" s="44" t="s">
        <v>57</v>
      </c>
      <c r="AE2376" s="33">
        <v>2035</v>
      </c>
      <c r="AF2376" s="45" t="str">
        <f t="shared" si="302"/>
        <v>*0.89</v>
      </c>
      <c r="AG2376" s="43" t="str">
        <f t="shared" si="296"/>
        <v>REZoning_Sol-Win</v>
      </c>
      <c r="AI2376" s="33" t="s">
        <v>3250</v>
      </c>
      <c r="AJ2376" s="44" t="s">
        <v>57</v>
      </c>
      <c r="AK2376" s="33">
        <v>2050</v>
      </c>
      <c r="AL2376" s="45" t="str">
        <f t="shared" si="303"/>
        <v>*0.84</v>
      </c>
      <c r="AM2376" s="43" t="str">
        <f t="shared" si="297"/>
        <v>REZoning_Sol-Win</v>
      </c>
      <c r="AP2376" t="s">
        <v>3250</v>
      </c>
      <c r="AQ2376" t="s">
        <v>57</v>
      </c>
      <c r="AR2376">
        <v>2100</v>
      </c>
      <c r="AS2376" t="s">
        <v>919</v>
      </c>
      <c r="AT2376" t="s">
        <v>58</v>
      </c>
    </row>
    <row r="2377" ht="29" spans="1:46">
      <c r="A2377" s="31" t="s">
        <v>79</v>
      </c>
      <c r="C2377" t="s">
        <v>3251</v>
      </c>
      <c r="D2377" s="5" t="s">
        <v>57</v>
      </c>
      <c r="E2377">
        <v>2035</v>
      </c>
      <c r="F2377" s="6" t="str">
        <f t="shared" si="298"/>
        <v>*0.94</v>
      </c>
      <c r="H2377" t="s">
        <v>3251</v>
      </c>
      <c r="I2377" s="5" t="s">
        <v>57</v>
      </c>
      <c r="J2377">
        <v>2050</v>
      </c>
      <c r="K2377" s="38" t="str">
        <f t="shared" si="299"/>
        <v>*0.9</v>
      </c>
      <c r="P2377" s="32" t="s">
        <v>3251</v>
      </c>
      <c r="Q2377" s="42" t="s">
        <v>57</v>
      </c>
      <c r="R2377" s="32">
        <v>2035</v>
      </c>
      <c r="S2377" s="43" t="str">
        <f t="shared" si="300"/>
        <v>*0.92</v>
      </c>
      <c r="U2377" s="32" t="s">
        <v>3251</v>
      </c>
      <c r="V2377" s="42" t="s">
        <v>57</v>
      </c>
      <c r="W2377" s="32">
        <v>2050</v>
      </c>
      <c r="X2377" s="43" t="str">
        <f t="shared" si="301"/>
        <v>*0.89</v>
      </c>
      <c r="AC2377" s="33" t="s">
        <v>3251</v>
      </c>
      <c r="AD2377" s="44" t="s">
        <v>57</v>
      </c>
      <c r="AE2377" s="33">
        <v>2035</v>
      </c>
      <c r="AF2377" s="45" t="str">
        <f t="shared" si="302"/>
        <v>*0.89</v>
      </c>
      <c r="AG2377" s="43" t="str">
        <f t="shared" ref="AG2377:AG2440" si="304">AG2376</f>
        <v>REZoning_Sol-Win</v>
      </c>
      <c r="AI2377" s="33" t="s">
        <v>3251</v>
      </c>
      <c r="AJ2377" s="44" t="s">
        <v>57</v>
      </c>
      <c r="AK2377" s="33">
        <v>2050</v>
      </c>
      <c r="AL2377" s="45" t="str">
        <f t="shared" si="303"/>
        <v>*0.84</v>
      </c>
      <c r="AM2377" s="43" t="str">
        <f t="shared" si="297"/>
        <v>REZoning_Sol-Win</v>
      </c>
      <c r="AP2377" t="s">
        <v>3251</v>
      </c>
      <c r="AQ2377" t="s">
        <v>57</v>
      </c>
      <c r="AR2377">
        <v>2100</v>
      </c>
      <c r="AS2377" t="s">
        <v>919</v>
      </c>
      <c r="AT2377" t="s">
        <v>58</v>
      </c>
    </row>
    <row r="2378" ht="29" spans="1:46">
      <c r="A2378" s="31" t="s">
        <v>79</v>
      </c>
      <c r="C2378" t="s">
        <v>3252</v>
      </c>
      <c r="D2378" s="5" t="s">
        <v>57</v>
      </c>
      <c r="E2378">
        <v>2035</v>
      </c>
      <c r="F2378" s="6" t="str">
        <f t="shared" si="298"/>
        <v>*0.94</v>
      </c>
      <c r="H2378" t="s">
        <v>3252</v>
      </c>
      <c r="I2378" s="5" t="s">
        <v>57</v>
      </c>
      <c r="J2378">
        <v>2050</v>
      </c>
      <c r="K2378" s="38" t="str">
        <f t="shared" si="299"/>
        <v>*0.9</v>
      </c>
      <c r="P2378" s="32" t="s">
        <v>3252</v>
      </c>
      <c r="Q2378" s="42" t="s">
        <v>57</v>
      </c>
      <c r="R2378" s="32">
        <v>2035</v>
      </c>
      <c r="S2378" s="43" t="str">
        <f t="shared" si="300"/>
        <v>*0.92</v>
      </c>
      <c r="U2378" s="32" t="s">
        <v>3252</v>
      </c>
      <c r="V2378" s="42" t="s">
        <v>57</v>
      </c>
      <c r="W2378" s="32">
        <v>2050</v>
      </c>
      <c r="X2378" s="43" t="str">
        <f t="shared" si="301"/>
        <v>*0.89</v>
      </c>
      <c r="AC2378" s="33" t="s">
        <v>3252</v>
      </c>
      <c r="AD2378" s="44" t="s">
        <v>57</v>
      </c>
      <c r="AE2378" s="33">
        <v>2035</v>
      </c>
      <c r="AF2378" s="45" t="str">
        <f t="shared" si="302"/>
        <v>*0.89</v>
      </c>
      <c r="AG2378" s="43" t="str">
        <f t="shared" si="304"/>
        <v>REZoning_Sol-Win</v>
      </c>
      <c r="AI2378" s="33" t="s">
        <v>3252</v>
      </c>
      <c r="AJ2378" s="44" t="s">
        <v>57</v>
      </c>
      <c r="AK2378" s="33">
        <v>2050</v>
      </c>
      <c r="AL2378" s="45" t="str">
        <f t="shared" si="303"/>
        <v>*0.84</v>
      </c>
      <c r="AM2378" s="43" t="str">
        <f t="shared" ref="AM2378:AM2441" si="305">AM2377</f>
        <v>REZoning_Sol-Win</v>
      </c>
      <c r="AP2378" t="s">
        <v>3252</v>
      </c>
      <c r="AQ2378" t="s">
        <v>57</v>
      </c>
      <c r="AR2378">
        <v>2100</v>
      </c>
      <c r="AS2378" t="s">
        <v>919</v>
      </c>
      <c r="AT2378" t="s">
        <v>58</v>
      </c>
    </row>
    <row r="2379" ht="29" spans="1:46">
      <c r="A2379" s="31" t="s">
        <v>79</v>
      </c>
      <c r="C2379" t="s">
        <v>3253</v>
      </c>
      <c r="D2379" s="5" t="s">
        <v>57</v>
      </c>
      <c r="E2379">
        <v>2035</v>
      </c>
      <c r="F2379" s="6" t="str">
        <f t="shared" si="298"/>
        <v>*0.94</v>
      </c>
      <c r="H2379" t="s">
        <v>3253</v>
      </c>
      <c r="I2379" s="5" t="s">
        <v>57</v>
      </c>
      <c r="J2379">
        <v>2050</v>
      </c>
      <c r="K2379" s="38" t="str">
        <f t="shared" si="299"/>
        <v>*0.9</v>
      </c>
      <c r="P2379" s="32" t="s">
        <v>3253</v>
      </c>
      <c r="Q2379" s="42" t="s">
        <v>57</v>
      </c>
      <c r="R2379" s="32">
        <v>2035</v>
      </c>
      <c r="S2379" s="43" t="str">
        <f t="shared" si="300"/>
        <v>*0.92</v>
      </c>
      <c r="U2379" s="32" t="s">
        <v>3253</v>
      </c>
      <c r="V2379" s="42" t="s">
        <v>57</v>
      </c>
      <c r="W2379" s="32">
        <v>2050</v>
      </c>
      <c r="X2379" s="43" t="str">
        <f t="shared" si="301"/>
        <v>*0.89</v>
      </c>
      <c r="AC2379" s="33" t="s">
        <v>3253</v>
      </c>
      <c r="AD2379" s="44" t="s">
        <v>57</v>
      </c>
      <c r="AE2379" s="33">
        <v>2035</v>
      </c>
      <c r="AF2379" s="45" t="str">
        <f t="shared" si="302"/>
        <v>*0.89</v>
      </c>
      <c r="AG2379" s="43" t="str">
        <f t="shared" si="304"/>
        <v>REZoning_Sol-Win</v>
      </c>
      <c r="AI2379" s="33" t="s">
        <v>3253</v>
      </c>
      <c r="AJ2379" s="44" t="s">
        <v>57</v>
      </c>
      <c r="AK2379" s="33">
        <v>2050</v>
      </c>
      <c r="AL2379" s="45" t="str">
        <f t="shared" si="303"/>
        <v>*0.84</v>
      </c>
      <c r="AM2379" s="43" t="str">
        <f t="shared" si="305"/>
        <v>REZoning_Sol-Win</v>
      </c>
      <c r="AP2379" t="s">
        <v>3253</v>
      </c>
      <c r="AQ2379" t="s">
        <v>57</v>
      </c>
      <c r="AR2379">
        <v>2100</v>
      </c>
      <c r="AS2379" t="s">
        <v>919</v>
      </c>
      <c r="AT2379" t="s">
        <v>58</v>
      </c>
    </row>
    <row r="2380" ht="29" spans="1:46">
      <c r="A2380" s="31" t="s">
        <v>79</v>
      </c>
      <c r="C2380" t="s">
        <v>3254</v>
      </c>
      <c r="D2380" s="5" t="s">
        <v>57</v>
      </c>
      <c r="E2380">
        <v>2035</v>
      </c>
      <c r="F2380" s="6" t="str">
        <f t="shared" si="298"/>
        <v>*0.94</v>
      </c>
      <c r="H2380" t="s">
        <v>3254</v>
      </c>
      <c r="I2380" s="5" t="s">
        <v>57</v>
      </c>
      <c r="J2380">
        <v>2050</v>
      </c>
      <c r="K2380" s="38" t="str">
        <f t="shared" si="299"/>
        <v>*0.9</v>
      </c>
      <c r="P2380" s="32" t="s">
        <v>3254</v>
      </c>
      <c r="Q2380" s="42" t="s">
        <v>57</v>
      </c>
      <c r="R2380" s="32">
        <v>2035</v>
      </c>
      <c r="S2380" s="43" t="str">
        <f t="shared" si="300"/>
        <v>*0.92</v>
      </c>
      <c r="U2380" s="32" t="s">
        <v>3254</v>
      </c>
      <c r="V2380" s="42" t="s">
        <v>57</v>
      </c>
      <c r="W2380" s="32">
        <v>2050</v>
      </c>
      <c r="X2380" s="43" t="str">
        <f t="shared" si="301"/>
        <v>*0.89</v>
      </c>
      <c r="AC2380" s="33" t="s">
        <v>3254</v>
      </c>
      <c r="AD2380" s="44" t="s">
        <v>57</v>
      </c>
      <c r="AE2380" s="33">
        <v>2035</v>
      </c>
      <c r="AF2380" s="45" t="str">
        <f t="shared" si="302"/>
        <v>*0.89</v>
      </c>
      <c r="AG2380" s="43" t="str">
        <f t="shared" si="304"/>
        <v>REZoning_Sol-Win</v>
      </c>
      <c r="AI2380" s="33" t="s">
        <v>3254</v>
      </c>
      <c r="AJ2380" s="44" t="s">
        <v>57</v>
      </c>
      <c r="AK2380" s="33">
        <v>2050</v>
      </c>
      <c r="AL2380" s="45" t="str">
        <f t="shared" si="303"/>
        <v>*0.84</v>
      </c>
      <c r="AM2380" s="43" t="str">
        <f t="shared" si="305"/>
        <v>REZoning_Sol-Win</v>
      </c>
      <c r="AP2380" t="s">
        <v>3254</v>
      </c>
      <c r="AQ2380" t="s">
        <v>57</v>
      </c>
      <c r="AR2380">
        <v>2100</v>
      </c>
      <c r="AS2380" t="s">
        <v>919</v>
      </c>
      <c r="AT2380" t="s">
        <v>58</v>
      </c>
    </row>
    <row r="2381" ht="29" spans="1:46">
      <c r="A2381" s="31" t="s">
        <v>79</v>
      </c>
      <c r="C2381" t="s">
        <v>3255</v>
      </c>
      <c r="D2381" s="5" t="s">
        <v>57</v>
      </c>
      <c r="E2381">
        <v>2035</v>
      </c>
      <c r="F2381" s="6" t="str">
        <f t="shared" si="298"/>
        <v>*0.94</v>
      </c>
      <c r="H2381" t="s">
        <v>3255</v>
      </c>
      <c r="I2381" s="5" t="s">
        <v>57</v>
      </c>
      <c r="J2381">
        <v>2050</v>
      </c>
      <c r="K2381" s="38" t="str">
        <f t="shared" si="299"/>
        <v>*0.9</v>
      </c>
      <c r="P2381" s="32" t="s">
        <v>3255</v>
      </c>
      <c r="Q2381" s="42" t="s">
        <v>57</v>
      </c>
      <c r="R2381" s="32">
        <v>2035</v>
      </c>
      <c r="S2381" s="43" t="str">
        <f t="shared" si="300"/>
        <v>*0.92</v>
      </c>
      <c r="U2381" s="32" t="s">
        <v>3255</v>
      </c>
      <c r="V2381" s="42" t="s">
        <v>57</v>
      </c>
      <c r="W2381" s="32">
        <v>2050</v>
      </c>
      <c r="X2381" s="43" t="str">
        <f t="shared" si="301"/>
        <v>*0.89</v>
      </c>
      <c r="AC2381" s="33" t="s">
        <v>3255</v>
      </c>
      <c r="AD2381" s="44" t="s">
        <v>57</v>
      </c>
      <c r="AE2381" s="33">
        <v>2035</v>
      </c>
      <c r="AF2381" s="45" t="str">
        <f t="shared" si="302"/>
        <v>*0.89</v>
      </c>
      <c r="AG2381" s="43" t="str">
        <f t="shared" si="304"/>
        <v>REZoning_Sol-Win</v>
      </c>
      <c r="AI2381" s="33" t="s">
        <v>3255</v>
      </c>
      <c r="AJ2381" s="44" t="s">
        <v>57</v>
      </c>
      <c r="AK2381" s="33">
        <v>2050</v>
      </c>
      <c r="AL2381" s="45" t="str">
        <f t="shared" si="303"/>
        <v>*0.84</v>
      </c>
      <c r="AM2381" s="43" t="str">
        <f t="shared" si="305"/>
        <v>REZoning_Sol-Win</v>
      </c>
      <c r="AP2381" t="s">
        <v>3255</v>
      </c>
      <c r="AQ2381" t="s">
        <v>57</v>
      </c>
      <c r="AR2381">
        <v>2100</v>
      </c>
      <c r="AS2381" t="s">
        <v>919</v>
      </c>
      <c r="AT2381" t="s">
        <v>58</v>
      </c>
    </row>
    <row r="2382" ht="29" spans="1:46">
      <c r="A2382" s="31" t="s">
        <v>65</v>
      </c>
      <c r="C2382" t="s">
        <v>3256</v>
      </c>
      <c r="D2382" s="5" t="s">
        <v>57</v>
      </c>
      <c r="E2382">
        <v>2035</v>
      </c>
      <c r="F2382" s="6" t="str">
        <f t="shared" si="298"/>
        <v>*0.94</v>
      </c>
      <c r="H2382" t="s">
        <v>3256</v>
      </c>
      <c r="I2382" s="5" t="s">
        <v>57</v>
      </c>
      <c r="J2382">
        <v>2050</v>
      </c>
      <c r="K2382" s="38" t="str">
        <f t="shared" si="299"/>
        <v>*0.91</v>
      </c>
      <c r="P2382" s="32" t="s">
        <v>3256</v>
      </c>
      <c r="Q2382" s="42" t="s">
        <v>57</v>
      </c>
      <c r="R2382" s="32">
        <v>2035</v>
      </c>
      <c r="S2382" s="43" t="str">
        <f t="shared" si="300"/>
        <v>*0.93</v>
      </c>
      <c r="U2382" s="32" t="s">
        <v>3256</v>
      </c>
      <c r="V2382" s="42" t="s">
        <v>57</v>
      </c>
      <c r="W2382" s="32">
        <v>2050</v>
      </c>
      <c r="X2382" s="43" t="str">
        <f t="shared" si="301"/>
        <v>*0.9</v>
      </c>
      <c r="AC2382" s="33" t="s">
        <v>3256</v>
      </c>
      <c r="AD2382" s="44" t="s">
        <v>57</v>
      </c>
      <c r="AE2382" s="33">
        <v>2035</v>
      </c>
      <c r="AF2382" s="45" t="str">
        <f t="shared" si="302"/>
        <v>*0.9</v>
      </c>
      <c r="AG2382" s="43" t="str">
        <f t="shared" si="304"/>
        <v>REZoning_Sol-Win</v>
      </c>
      <c r="AI2382" s="33" t="s">
        <v>3256</v>
      </c>
      <c r="AJ2382" s="44" t="s">
        <v>57</v>
      </c>
      <c r="AK2382" s="33">
        <v>2050</v>
      </c>
      <c r="AL2382" s="45" t="str">
        <f t="shared" si="303"/>
        <v>*0.86</v>
      </c>
      <c r="AM2382" s="43" t="str">
        <f t="shared" si="305"/>
        <v>REZoning_Sol-Win</v>
      </c>
      <c r="AP2382" t="s">
        <v>3256</v>
      </c>
      <c r="AQ2382" t="s">
        <v>57</v>
      </c>
      <c r="AR2382">
        <v>2100</v>
      </c>
      <c r="AS2382" t="s">
        <v>883</v>
      </c>
      <c r="AT2382" t="s">
        <v>58</v>
      </c>
    </row>
    <row r="2383" ht="29" spans="1:46">
      <c r="A2383" s="31" t="s">
        <v>65</v>
      </c>
      <c r="C2383" t="s">
        <v>3257</v>
      </c>
      <c r="D2383" s="5" t="s">
        <v>57</v>
      </c>
      <c r="E2383">
        <v>2035</v>
      </c>
      <c r="F2383" s="6" t="str">
        <f t="shared" si="298"/>
        <v>*0.94</v>
      </c>
      <c r="H2383" t="s">
        <v>3257</v>
      </c>
      <c r="I2383" s="5" t="s">
        <v>57</v>
      </c>
      <c r="J2383">
        <v>2050</v>
      </c>
      <c r="K2383" s="38" t="str">
        <f t="shared" si="299"/>
        <v>*0.91</v>
      </c>
      <c r="P2383" s="32" t="s">
        <v>3257</v>
      </c>
      <c r="Q2383" s="42" t="s">
        <v>57</v>
      </c>
      <c r="R2383" s="32">
        <v>2035</v>
      </c>
      <c r="S2383" s="43" t="str">
        <f t="shared" si="300"/>
        <v>*0.93</v>
      </c>
      <c r="U2383" s="32" t="s">
        <v>3257</v>
      </c>
      <c r="V2383" s="42" t="s">
        <v>57</v>
      </c>
      <c r="W2383" s="32">
        <v>2050</v>
      </c>
      <c r="X2383" s="43" t="str">
        <f t="shared" si="301"/>
        <v>*0.9</v>
      </c>
      <c r="AC2383" s="33" t="s">
        <v>3257</v>
      </c>
      <c r="AD2383" s="44" t="s">
        <v>57</v>
      </c>
      <c r="AE2383" s="33">
        <v>2035</v>
      </c>
      <c r="AF2383" s="45" t="str">
        <f t="shared" si="302"/>
        <v>*0.9</v>
      </c>
      <c r="AG2383" s="43" t="str">
        <f t="shared" si="304"/>
        <v>REZoning_Sol-Win</v>
      </c>
      <c r="AI2383" s="33" t="s">
        <v>3257</v>
      </c>
      <c r="AJ2383" s="44" t="s">
        <v>57</v>
      </c>
      <c r="AK2383" s="33">
        <v>2050</v>
      </c>
      <c r="AL2383" s="45" t="str">
        <f t="shared" si="303"/>
        <v>*0.86</v>
      </c>
      <c r="AM2383" s="43" t="str">
        <f t="shared" si="305"/>
        <v>REZoning_Sol-Win</v>
      </c>
      <c r="AP2383" t="s">
        <v>3257</v>
      </c>
      <c r="AQ2383" t="s">
        <v>57</v>
      </c>
      <c r="AR2383">
        <v>2100</v>
      </c>
      <c r="AS2383" t="s">
        <v>883</v>
      </c>
      <c r="AT2383" t="s">
        <v>58</v>
      </c>
    </row>
    <row r="2384" ht="29" spans="1:46">
      <c r="A2384" s="31" t="s">
        <v>65</v>
      </c>
      <c r="C2384" t="s">
        <v>3258</v>
      </c>
      <c r="D2384" s="5" t="s">
        <v>57</v>
      </c>
      <c r="E2384">
        <v>2035</v>
      </c>
      <c r="F2384" s="6" t="str">
        <f t="shared" si="298"/>
        <v>*0.94</v>
      </c>
      <c r="H2384" t="s">
        <v>3258</v>
      </c>
      <c r="I2384" s="5" t="s">
        <v>57</v>
      </c>
      <c r="J2384">
        <v>2050</v>
      </c>
      <c r="K2384" s="38" t="str">
        <f t="shared" si="299"/>
        <v>*0.91</v>
      </c>
      <c r="P2384" s="32" t="s">
        <v>3258</v>
      </c>
      <c r="Q2384" s="42" t="s">
        <v>57</v>
      </c>
      <c r="R2384" s="32">
        <v>2035</v>
      </c>
      <c r="S2384" s="43" t="str">
        <f t="shared" si="300"/>
        <v>*0.93</v>
      </c>
      <c r="U2384" s="32" t="s">
        <v>3258</v>
      </c>
      <c r="V2384" s="42" t="s">
        <v>57</v>
      </c>
      <c r="W2384" s="32">
        <v>2050</v>
      </c>
      <c r="X2384" s="43" t="str">
        <f t="shared" si="301"/>
        <v>*0.9</v>
      </c>
      <c r="AC2384" s="33" t="s">
        <v>3258</v>
      </c>
      <c r="AD2384" s="44" t="s">
        <v>57</v>
      </c>
      <c r="AE2384" s="33">
        <v>2035</v>
      </c>
      <c r="AF2384" s="45" t="str">
        <f t="shared" si="302"/>
        <v>*0.9</v>
      </c>
      <c r="AG2384" s="43" t="str">
        <f t="shared" si="304"/>
        <v>REZoning_Sol-Win</v>
      </c>
      <c r="AI2384" s="33" t="s">
        <v>3258</v>
      </c>
      <c r="AJ2384" s="44" t="s">
        <v>57</v>
      </c>
      <c r="AK2384" s="33">
        <v>2050</v>
      </c>
      <c r="AL2384" s="45" t="str">
        <f t="shared" si="303"/>
        <v>*0.86</v>
      </c>
      <c r="AM2384" s="43" t="str">
        <f t="shared" si="305"/>
        <v>REZoning_Sol-Win</v>
      </c>
      <c r="AP2384" t="s">
        <v>3258</v>
      </c>
      <c r="AQ2384" t="s">
        <v>57</v>
      </c>
      <c r="AR2384">
        <v>2100</v>
      </c>
      <c r="AS2384" t="s">
        <v>883</v>
      </c>
      <c r="AT2384" t="s">
        <v>58</v>
      </c>
    </row>
    <row r="2385" ht="29" spans="1:46">
      <c r="A2385" s="31" t="s">
        <v>65</v>
      </c>
      <c r="C2385" t="s">
        <v>3259</v>
      </c>
      <c r="D2385" s="5" t="s">
        <v>57</v>
      </c>
      <c r="E2385">
        <v>2035</v>
      </c>
      <c r="F2385" s="6" t="str">
        <f t="shared" si="298"/>
        <v>*0.94</v>
      </c>
      <c r="H2385" t="s">
        <v>3259</v>
      </c>
      <c r="I2385" s="5" t="s">
        <v>57</v>
      </c>
      <c r="J2385">
        <v>2050</v>
      </c>
      <c r="K2385" s="38" t="str">
        <f t="shared" si="299"/>
        <v>*0.91</v>
      </c>
      <c r="P2385" s="32" t="s">
        <v>3259</v>
      </c>
      <c r="Q2385" s="42" t="s">
        <v>57</v>
      </c>
      <c r="R2385" s="32">
        <v>2035</v>
      </c>
      <c r="S2385" s="43" t="str">
        <f t="shared" si="300"/>
        <v>*0.93</v>
      </c>
      <c r="U2385" s="32" t="s">
        <v>3259</v>
      </c>
      <c r="V2385" s="42" t="s">
        <v>57</v>
      </c>
      <c r="W2385" s="32">
        <v>2050</v>
      </c>
      <c r="X2385" s="43" t="str">
        <f t="shared" si="301"/>
        <v>*0.9</v>
      </c>
      <c r="AC2385" s="33" t="s">
        <v>3259</v>
      </c>
      <c r="AD2385" s="44" t="s">
        <v>57</v>
      </c>
      <c r="AE2385" s="33">
        <v>2035</v>
      </c>
      <c r="AF2385" s="45" t="str">
        <f t="shared" si="302"/>
        <v>*0.9</v>
      </c>
      <c r="AG2385" s="43" t="str">
        <f t="shared" si="304"/>
        <v>REZoning_Sol-Win</v>
      </c>
      <c r="AI2385" s="33" t="s">
        <v>3259</v>
      </c>
      <c r="AJ2385" s="44" t="s">
        <v>57</v>
      </c>
      <c r="AK2385" s="33">
        <v>2050</v>
      </c>
      <c r="AL2385" s="45" t="str">
        <f t="shared" si="303"/>
        <v>*0.86</v>
      </c>
      <c r="AM2385" s="43" t="str">
        <f t="shared" si="305"/>
        <v>REZoning_Sol-Win</v>
      </c>
      <c r="AP2385" t="s">
        <v>3259</v>
      </c>
      <c r="AQ2385" t="s">
        <v>57</v>
      </c>
      <c r="AR2385">
        <v>2100</v>
      </c>
      <c r="AS2385" t="s">
        <v>883</v>
      </c>
      <c r="AT2385" t="s">
        <v>58</v>
      </c>
    </row>
    <row r="2386" ht="29" spans="1:46">
      <c r="A2386" s="31" t="s">
        <v>65</v>
      </c>
      <c r="C2386" t="s">
        <v>3260</v>
      </c>
      <c r="D2386" s="5" t="s">
        <v>57</v>
      </c>
      <c r="E2386">
        <v>2035</v>
      </c>
      <c r="F2386" s="6" t="str">
        <f t="shared" si="298"/>
        <v>*0.94</v>
      </c>
      <c r="H2386" t="s">
        <v>3260</v>
      </c>
      <c r="I2386" s="5" t="s">
        <v>57</v>
      </c>
      <c r="J2386">
        <v>2050</v>
      </c>
      <c r="K2386" s="38" t="str">
        <f t="shared" si="299"/>
        <v>*0.91</v>
      </c>
      <c r="P2386" s="32" t="s">
        <v>3260</v>
      </c>
      <c r="Q2386" s="42" t="s">
        <v>57</v>
      </c>
      <c r="R2386" s="32">
        <v>2035</v>
      </c>
      <c r="S2386" s="43" t="str">
        <f t="shared" si="300"/>
        <v>*0.93</v>
      </c>
      <c r="U2386" s="32" t="s">
        <v>3260</v>
      </c>
      <c r="V2386" s="42" t="s">
        <v>57</v>
      </c>
      <c r="W2386" s="32">
        <v>2050</v>
      </c>
      <c r="X2386" s="43" t="str">
        <f t="shared" si="301"/>
        <v>*0.9</v>
      </c>
      <c r="AC2386" s="33" t="s">
        <v>3260</v>
      </c>
      <c r="AD2386" s="44" t="s">
        <v>57</v>
      </c>
      <c r="AE2386" s="33">
        <v>2035</v>
      </c>
      <c r="AF2386" s="45" t="str">
        <f t="shared" si="302"/>
        <v>*0.9</v>
      </c>
      <c r="AG2386" s="43" t="str">
        <f t="shared" si="304"/>
        <v>REZoning_Sol-Win</v>
      </c>
      <c r="AI2386" s="33" t="s">
        <v>3260</v>
      </c>
      <c r="AJ2386" s="44" t="s">
        <v>57</v>
      </c>
      <c r="AK2386" s="33">
        <v>2050</v>
      </c>
      <c r="AL2386" s="45" t="str">
        <f t="shared" si="303"/>
        <v>*0.86</v>
      </c>
      <c r="AM2386" s="43" t="str">
        <f t="shared" si="305"/>
        <v>REZoning_Sol-Win</v>
      </c>
      <c r="AP2386" t="s">
        <v>3260</v>
      </c>
      <c r="AQ2386" t="s">
        <v>57</v>
      </c>
      <c r="AR2386">
        <v>2100</v>
      </c>
      <c r="AS2386" t="s">
        <v>883</v>
      </c>
      <c r="AT2386" t="s">
        <v>58</v>
      </c>
    </row>
    <row r="2387" ht="29" spans="1:46">
      <c r="A2387" s="31" t="s">
        <v>65</v>
      </c>
      <c r="C2387" t="s">
        <v>3261</v>
      </c>
      <c r="D2387" s="5" t="s">
        <v>57</v>
      </c>
      <c r="E2387">
        <v>2035</v>
      </c>
      <c r="F2387" s="6" t="str">
        <f t="shared" si="298"/>
        <v>*0.94</v>
      </c>
      <c r="H2387" t="s">
        <v>3261</v>
      </c>
      <c r="I2387" s="5" t="s">
        <v>57</v>
      </c>
      <c r="J2387">
        <v>2050</v>
      </c>
      <c r="K2387" s="38" t="str">
        <f t="shared" si="299"/>
        <v>*0.91</v>
      </c>
      <c r="P2387" s="32" t="s">
        <v>3261</v>
      </c>
      <c r="Q2387" s="42" t="s">
        <v>57</v>
      </c>
      <c r="R2387" s="32">
        <v>2035</v>
      </c>
      <c r="S2387" s="43" t="str">
        <f t="shared" si="300"/>
        <v>*0.93</v>
      </c>
      <c r="U2387" s="32" t="s">
        <v>3261</v>
      </c>
      <c r="V2387" s="42" t="s">
        <v>57</v>
      </c>
      <c r="W2387" s="32">
        <v>2050</v>
      </c>
      <c r="X2387" s="43" t="str">
        <f t="shared" si="301"/>
        <v>*0.9</v>
      </c>
      <c r="AC2387" s="33" t="s">
        <v>3261</v>
      </c>
      <c r="AD2387" s="44" t="s">
        <v>57</v>
      </c>
      <c r="AE2387" s="33">
        <v>2035</v>
      </c>
      <c r="AF2387" s="45" t="str">
        <f t="shared" si="302"/>
        <v>*0.9</v>
      </c>
      <c r="AG2387" s="43" t="str">
        <f t="shared" si="304"/>
        <v>REZoning_Sol-Win</v>
      </c>
      <c r="AI2387" s="33" t="s">
        <v>3261</v>
      </c>
      <c r="AJ2387" s="44" t="s">
        <v>57</v>
      </c>
      <c r="AK2387" s="33">
        <v>2050</v>
      </c>
      <c r="AL2387" s="45" t="str">
        <f t="shared" si="303"/>
        <v>*0.86</v>
      </c>
      <c r="AM2387" s="43" t="str">
        <f t="shared" si="305"/>
        <v>REZoning_Sol-Win</v>
      </c>
      <c r="AP2387" t="s">
        <v>3261</v>
      </c>
      <c r="AQ2387" t="s">
        <v>57</v>
      </c>
      <c r="AR2387">
        <v>2100</v>
      </c>
      <c r="AS2387" t="s">
        <v>883</v>
      </c>
      <c r="AT2387" t="s">
        <v>58</v>
      </c>
    </row>
    <row r="2388" ht="29" spans="1:46">
      <c r="A2388" s="31" t="s">
        <v>65</v>
      </c>
      <c r="C2388" t="s">
        <v>3262</v>
      </c>
      <c r="D2388" s="5" t="s">
        <v>57</v>
      </c>
      <c r="E2388">
        <v>2035</v>
      </c>
      <c r="F2388" s="6" t="str">
        <f t="shared" si="298"/>
        <v>*0.94</v>
      </c>
      <c r="H2388" t="s">
        <v>3262</v>
      </c>
      <c r="I2388" s="5" t="s">
        <v>57</v>
      </c>
      <c r="J2388">
        <v>2050</v>
      </c>
      <c r="K2388" s="38" t="str">
        <f t="shared" si="299"/>
        <v>*0.91</v>
      </c>
      <c r="P2388" s="32" t="s">
        <v>3262</v>
      </c>
      <c r="Q2388" s="42" t="s">
        <v>57</v>
      </c>
      <c r="R2388" s="32">
        <v>2035</v>
      </c>
      <c r="S2388" s="43" t="str">
        <f t="shared" si="300"/>
        <v>*0.93</v>
      </c>
      <c r="U2388" s="32" t="s">
        <v>3262</v>
      </c>
      <c r="V2388" s="42" t="s">
        <v>57</v>
      </c>
      <c r="W2388" s="32">
        <v>2050</v>
      </c>
      <c r="X2388" s="43" t="str">
        <f t="shared" si="301"/>
        <v>*0.9</v>
      </c>
      <c r="AC2388" s="33" t="s">
        <v>3262</v>
      </c>
      <c r="AD2388" s="44" t="s">
        <v>57</v>
      </c>
      <c r="AE2388" s="33">
        <v>2035</v>
      </c>
      <c r="AF2388" s="45" t="str">
        <f t="shared" si="302"/>
        <v>*0.9</v>
      </c>
      <c r="AG2388" s="43" t="str">
        <f t="shared" si="304"/>
        <v>REZoning_Sol-Win</v>
      </c>
      <c r="AI2388" s="33" t="s">
        <v>3262</v>
      </c>
      <c r="AJ2388" s="44" t="s">
        <v>57</v>
      </c>
      <c r="AK2388" s="33">
        <v>2050</v>
      </c>
      <c r="AL2388" s="45" t="str">
        <f t="shared" si="303"/>
        <v>*0.86</v>
      </c>
      <c r="AM2388" s="43" t="str">
        <f t="shared" si="305"/>
        <v>REZoning_Sol-Win</v>
      </c>
      <c r="AP2388" t="s">
        <v>3262</v>
      </c>
      <c r="AQ2388" t="s">
        <v>57</v>
      </c>
      <c r="AR2388">
        <v>2100</v>
      </c>
      <c r="AS2388" t="s">
        <v>883</v>
      </c>
      <c r="AT2388" t="s">
        <v>58</v>
      </c>
    </row>
    <row r="2389" ht="29" spans="1:46">
      <c r="A2389" s="31" t="s">
        <v>65</v>
      </c>
      <c r="C2389" t="s">
        <v>3263</v>
      </c>
      <c r="D2389" s="5" t="s">
        <v>57</v>
      </c>
      <c r="E2389">
        <v>2035</v>
      </c>
      <c r="F2389" s="6" t="str">
        <f t="shared" si="298"/>
        <v>*0.94</v>
      </c>
      <c r="H2389" t="s">
        <v>3263</v>
      </c>
      <c r="I2389" s="5" t="s">
        <v>57</v>
      </c>
      <c r="J2389">
        <v>2050</v>
      </c>
      <c r="K2389" s="38" t="str">
        <f t="shared" si="299"/>
        <v>*0.91</v>
      </c>
      <c r="P2389" s="32" t="s">
        <v>3263</v>
      </c>
      <c r="Q2389" s="42" t="s">
        <v>57</v>
      </c>
      <c r="R2389" s="32">
        <v>2035</v>
      </c>
      <c r="S2389" s="43" t="str">
        <f t="shared" si="300"/>
        <v>*0.93</v>
      </c>
      <c r="U2389" s="32" t="s">
        <v>3263</v>
      </c>
      <c r="V2389" s="42" t="s">
        <v>57</v>
      </c>
      <c r="W2389" s="32">
        <v>2050</v>
      </c>
      <c r="X2389" s="43" t="str">
        <f t="shared" si="301"/>
        <v>*0.9</v>
      </c>
      <c r="AC2389" s="33" t="s">
        <v>3263</v>
      </c>
      <c r="AD2389" s="44" t="s">
        <v>57</v>
      </c>
      <c r="AE2389" s="33">
        <v>2035</v>
      </c>
      <c r="AF2389" s="45" t="str">
        <f t="shared" si="302"/>
        <v>*0.9</v>
      </c>
      <c r="AG2389" s="43" t="str">
        <f t="shared" si="304"/>
        <v>REZoning_Sol-Win</v>
      </c>
      <c r="AI2389" s="33" t="s">
        <v>3263</v>
      </c>
      <c r="AJ2389" s="44" t="s">
        <v>57</v>
      </c>
      <c r="AK2389" s="33">
        <v>2050</v>
      </c>
      <c r="AL2389" s="45" t="str">
        <f t="shared" si="303"/>
        <v>*0.86</v>
      </c>
      <c r="AM2389" s="43" t="str">
        <f t="shared" si="305"/>
        <v>REZoning_Sol-Win</v>
      </c>
      <c r="AP2389" t="s">
        <v>3263</v>
      </c>
      <c r="AQ2389" t="s">
        <v>57</v>
      </c>
      <c r="AR2389">
        <v>2100</v>
      </c>
      <c r="AS2389" t="s">
        <v>883</v>
      </c>
      <c r="AT2389" t="s">
        <v>58</v>
      </c>
    </row>
    <row r="2390" ht="29" spans="1:46">
      <c r="A2390" s="31" t="s">
        <v>65</v>
      </c>
      <c r="C2390" t="s">
        <v>3264</v>
      </c>
      <c r="D2390" s="5" t="s">
        <v>57</v>
      </c>
      <c r="E2390">
        <v>2035</v>
      </c>
      <c r="F2390" s="6" t="str">
        <f t="shared" si="298"/>
        <v>*0.94</v>
      </c>
      <c r="H2390" t="s">
        <v>3264</v>
      </c>
      <c r="I2390" s="5" t="s">
        <v>57</v>
      </c>
      <c r="J2390">
        <v>2050</v>
      </c>
      <c r="K2390" s="38" t="str">
        <f t="shared" si="299"/>
        <v>*0.91</v>
      </c>
      <c r="P2390" s="32" t="s">
        <v>3264</v>
      </c>
      <c r="Q2390" s="42" t="s">
        <v>57</v>
      </c>
      <c r="R2390" s="32">
        <v>2035</v>
      </c>
      <c r="S2390" s="43" t="str">
        <f t="shared" si="300"/>
        <v>*0.93</v>
      </c>
      <c r="U2390" s="32" t="s">
        <v>3264</v>
      </c>
      <c r="V2390" s="42" t="s">
        <v>57</v>
      </c>
      <c r="W2390" s="32">
        <v>2050</v>
      </c>
      <c r="X2390" s="43" t="str">
        <f t="shared" si="301"/>
        <v>*0.9</v>
      </c>
      <c r="AC2390" s="33" t="s">
        <v>3264</v>
      </c>
      <c r="AD2390" s="44" t="s">
        <v>57</v>
      </c>
      <c r="AE2390" s="33">
        <v>2035</v>
      </c>
      <c r="AF2390" s="45" t="str">
        <f t="shared" si="302"/>
        <v>*0.9</v>
      </c>
      <c r="AG2390" s="43" t="str">
        <f t="shared" si="304"/>
        <v>REZoning_Sol-Win</v>
      </c>
      <c r="AI2390" s="33" t="s">
        <v>3264</v>
      </c>
      <c r="AJ2390" s="44" t="s">
        <v>57</v>
      </c>
      <c r="AK2390" s="33">
        <v>2050</v>
      </c>
      <c r="AL2390" s="45" t="str">
        <f t="shared" si="303"/>
        <v>*0.86</v>
      </c>
      <c r="AM2390" s="43" t="str">
        <f t="shared" si="305"/>
        <v>REZoning_Sol-Win</v>
      </c>
      <c r="AP2390" t="s">
        <v>3264</v>
      </c>
      <c r="AQ2390" t="s">
        <v>57</v>
      </c>
      <c r="AR2390">
        <v>2100</v>
      </c>
      <c r="AS2390" t="s">
        <v>883</v>
      </c>
      <c r="AT2390" t="s">
        <v>58</v>
      </c>
    </row>
    <row r="2391" ht="29" spans="1:46">
      <c r="A2391" s="31" t="s">
        <v>65</v>
      </c>
      <c r="C2391" t="s">
        <v>3265</v>
      </c>
      <c r="D2391" s="5" t="s">
        <v>57</v>
      </c>
      <c r="E2391">
        <v>2035</v>
      </c>
      <c r="F2391" s="6" t="str">
        <f t="shared" si="298"/>
        <v>*0.94</v>
      </c>
      <c r="H2391" t="s">
        <v>3265</v>
      </c>
      <c r="I2391" s="5" t="s">
        <v>57</v>
      </c>
      <c r="J2391">
        <v>2050</v>
      </c>
      <c r="K2391" s="38" t="str">
        <f t="shared" si="299"/>
        <v>*0.91</v>
      </c>
      <c r="P2391" s="32" t="s">
        <v>3265</v>
      </c>
      <c r="Q2391" s="42" t="s">
        <v>57</v>
      </c>
      <c r="R2391" s="32">
        <v>2035</v>
      </c>
      <c r="S2391" s="43" t="str">
        <f t="shared" si="300"/>
        <v>*0.93</v>
      </c>
      <c r="U2391" s="32" t="s">
        <v>3265</v>
      </c>
      <c r="V2391" s="42" t="s">
        <v>57</v>
      </c>
      <c r="W2391" s="32">
        <v>2050</v>
      </c>
      <c r="X2391" s="43" t="str">
        <f t="shared" si="301"/>
        <v>*0.9</v>
      </c>
      <c r="AC2391" s="33" t="s">
        <v>3265</v>
      </c>
      <c r="AD2391" s="44" t="s">
        <v>57</v>
      </c>
      <c r="AE2391" s="33">
        <v>2035</v>
      </c>
      <c r="AF2391" s="45" t="str">
        <f t="shared" si="302"/>
        <v>*0.9</v>
      </c>
      <c r="AG2391" s="43" t="str">
        <f t="shared" si="304"/>
        <v>REZoning_Sol-Win</v>
      </c>
      <c r="AI2391" s="33" t="s">
        <v>3265</v>
      </c>
      <c r="AJ2391" s="44" t="s">
        <v>57</v>
      </c>
      <c r="AK2391" s="33">
        <v>2050</v>
      </c>
      <c r="AL2391" s="45" t="str">
        <f t="shared" si="303"/>
        <v>*0.86</v>
      </c>
      <c r="AM2391" s="43" t="str">
        <f t="shared" si="305"/>
        <v>REZoning_Sol-Win</v>
      </c>
      <c r="AP2391" t="s">
        <v>3265</v>
      </c>
      <c r="AQ2391" t="s">
        <v>57</v>
      </c>
      <c r="AR2391">
        <v>2100</v>
      </c>
      <c r="AS2391" t="s">
        <v>883</v>
      </c>
      <c r="AT2391" t="s">
        <v>58</v>
      </c>
    </row>
    <row r="2392" ht="29" spans="1:46">
      <c r="A2392" s="31" t="s">
        <v>65</v>
      </c>
      <c r="C2392" t="s">
        <v>3266</v>
      </c>
      <c r="D2392" s="5" t="s">
        <v>57</v>
      </c>
      <c r="E2392">
        <v>2035</v>
      </c>
      <c r="F2392" s="6" t="str">
        <f t="shared" si="298"/>
        <v>*0.94</v>
      </c>
      <c r="H2392" t="s">
        <v>3266</v>
      </c>
      <c r="I2392" s="5" t="s">
        <v>57</v>
      </c>
      <c r="J2392">
        <v>2050</v>
      </c>
      <c r="K2392" s="38" t="str">
        <f t="shared" si="299"/>
        <v>*0.91</v>
      </c>
      <c r="P2392" s="32" t="s">
        <v>3266</v>
      </c>
      <c r="Q2392" s="42" t="s">
        <v>57</v>
      </c>
      <c r="R2392" s="32">
        <v>2035</v>
      </c>
      <c r="S2392" s="43" t="str">
        <f t="shared" si="300"/>
        <v>*0.93</v>
      </c>
      <c r="U2392" s="32" t="s">
        <v>3266</v>
      </c>
      <c r="V2392" s="42" t="s">
        <v>57</v>
      </c>
      <c r="W2392" s="32">
        <v>2050</v>
      </c>
      <c r="X2392" s="43" t="str">
        <f t="shared" si="301"/>
        <v>*0.9</v>
      </c>
      <c r="AC2392" s="33" t="s">
        <v>3266</v>
      </c>
      <c r="AD2392" s="44" t="s">
        <v>57</v>
      </c>
      <c r="AE2392" s="33">
        <v>2035</v>
      </c>
      <c r="AF2392" s="45" t="str">
        <f t="shared" si="302"/>
        <v>*0.9</v>
      </c>
      <c r="AG2392" s="43" t="str">
        <f t="shared" si="304"/>
        <v>REZoning_Sol-Win</v>
      </c>
      <c r="AI2392" s="33" t="s">
        <v>3266</v>
      </c>
      <c r="AJ2392" s="44" t="s">
        <v>57</v>
      </c>
      <c r="AK2392" s="33">
        <v>2050</v>
      </c>
      <c r="AL2392" s="45" t="str">
        <f t="shared" si="303"/>
        <v>*0.86</v>
      </c>
      <c r="AM2392" s="43" t="str">
        <f t="shared" si="305"/>
        <v>REZoning_Sol-Win</v>
      </c>
      <c r="AP2392" t="s">
        <v>3266</v>
      </c>
      <c r="AQ2392" t="s">
        <v>57</v>
      </c>
      <c r="AR2392">
        <v>2100</v>
      </c>
      <c r="AS2392" t="s">
        <v>883</v>
      </c>
      <c r="AT2392" t="s">
        <v>58</v>
      </c>
    </row>
    <row r="2393" ht="29" spans="1:46">
      <c r="A2393" s="31" t="s">
        <v>65</v>
      </c>
      <c r="C2393" t="s">
        <v>3267</v>
      </c>
      <c r="D2393" s="5" t="s">
        <v>57</v>
      </c>
      <c r="E2393">
        <v>2035</v>
      </c>
      <c r="F2393" s="6" t="str">
        <f t="shared" si="298"/>
        <v>*0.94</v>
      </c>
      <c r="H2393" t="s">
        <v>3267</v>
      </c>
      <c r="I2393" s="5" t="s">
        <v>57</v>
      </c>
      <c r="J2393">
        <v>2050</v>
      </c>
      <c r="K2393" s="38" t="str">
        <f t="shared" si="299"/>
        <v>*0.91</v>
      </c>
      <c r="P2393" s="32" t="s">
        <v>3267</v>
      </c>
      <c r="Q2393" s="42" t="s">
        <v>57</v>
      </c>
      <c r="R2393" s="32">
        <v>2035</v>
      </c>
      <c r="S2393" s="43" t="str">
        <f t="shared" si="300"/>
        <v>*0.93</v>
      </c>
      <c r="U2393" s="32" t="s">
        <v>3267</v>
      </c>
      <c r="V2393" s="42" t="s">
        <v>57</v>
      </c>
      <c r="W2393" s="32">
        <v>2050</v>
      </c>
      <c r="X2393" s="43" t="str">
        <f t="shared" si="301"/>
        <v>*0.9</v>
      </c>
      <c r="AC2393" s="33" t="s">
        <v>3267</v>
      </c>
      <c r="AD2393" s="44" t="s">
        <v>57</v>
      </c>
      <c r="AE2393" s="33">
        <v>2035</v>
      </c>
      <c r="AF2393" s="45" t="str">
        <f t="shared" si="302"/>
        <v>*0.9</v>
      </c>
      <c r="AG2393" s="43" t="str">
        <f t="shared" si="304"/>
        <v>REZoning_Sol-Win</v>
      </c>
      <c r="AI2393" s="33" t="s">
        <v>3267</v>
      </c>
      <c r="AJ2393" s="44" t="s">
        <v>57</v>
      </c>
      <c r="AK2393" s="33">
        <v>2050</v>
      </c>
      <c r="AL2393" s="45" t="str">
        <f t="shared" si="303"/>
        <v>*0.86</v>
      </c>
      <c r="AM2393" s="43" t="str">
        <f t="shared" si="305"/>
        <v>REZoning_Sol-Win</v>
      </c>
      <c r="AP2393" t="s">
        <v>3267</v>
      </c>
      <c r="AQ2393" t="s">
        <v>57</v>
      </c>
      <c r="AR2393">
        <v>2100</v>
      </c>
      <c r="AS2393" t="s">
        <v>883</v>
      </c>
      <c r="AT2393" t="s">
        <v>58</v>
      </c>
    </row>
    <row r="2394" ht="29" spans="1:46">
      <c r="A2394" s="31" t="s">
        <v>65</v>
      </c>
      <c r="C2394" t="s">
        <v>3268</v>
      </c>
      <c r="D2394" s="5" t="s">
        <v>57</v>
      </c>
      <c r="E2394">
        <v>2035</v>
      </c>
      <c r="F2394" s="6" t="str">
        <f t="shared" si="298"/>
        <v>*0.94</v>
      </c>
      <c r="H2394" t="s">
        <v>3268</v>
      </c>
      <c r="I2394" s="5" t="s">
        <v>57</v>
      </c>
      <c r="J2394">
        <v>2050</v>
      </c>
      <c r="K2394" s="38" t="str">
        <f t="shared" si="299"/>
        <v>*0.91</v>
      </c>
      <c r="P2394" s="32" t="s">
        <v>3268</v>
      </c>
      <c r="Q2394" s="42" t="s">
        <v>57</v>
      </c>
      <c r="R2394" s="32">
        <v>2035</v>
      </c>
      <c r="S2394" s="43" t="str">
        <f t="shared" si="300"/>
        <v>*0.93</v>
      </c>
      <c r="U2394" s="32" t="s">
        <v>3268</v>
      </c>
      <c r="V2394" s="42" t="s">
        <v>57</v>
      </c>
      <c r="W2394" s="32">
        <v>2050</v>
      </c>
      <c r="X2394" s="43" t="str">
        <f t="shared" si="301"/>
        <v>*0.9</v>
      </c>
      <c r="AC2394" s="33" t="s">
        <v>3268</v>
      </c>
      <c r="AD2394" s="44" t="s">
        <v>57</v>
      </c>
      <c r="AE2394" s="33">
        <v>2035</v>
      </c>
      <c r="AF2394" s="45" t="str">
        <f t="shared" si="302"/>
        <v>*0.9</v>
      </c>
      <c r="AG2394" s="43" t="str">
        <f t="shared" si="304"/>
        <v>REZoning_Sol-Win</v>
      </c>
      <c r="AI2394" s="33" t="s">
        <v>3268</v>
      </c>
      <c r="AJ2394" s="44" t="s">
        <v>57</v>
      </c>
      <c r="AK2394" s="33">
        <v>2050</v>
      </c>
      <c r="AL2394" s="45" t="str">
        <f t="shared" si="303"/>
        <v>*0.86</v>
      </c>
      <c r="AM2394" s="43" t="str">
        <f t="shared" si="305"/>
        <v>REZoning_Sol-Win</v>
      </c>
      <c r="AP2394" t="s">
        <v>3268</v>
      </c>
      <c r="AQ2394" t="s">
        <v>57</v>
      </c>
      <c r="AR2394">
        <v>2100</v>
      </c>
      <c r="AS2394" t="s">
        <v>883</v>
      </c>
      <c r="AT2394" t="s">
        <v>58</v>
      </c>
    </row>
    <row r="2395" ht="29" spans="1:46">
      <c r="A2395" s="31" t="s">
        <v>65</v>
      </c>
      <c r="C2395" t="s">
        <v>3269</v>
      </c>
      <c r="D2395" s="5" t="s">
        <v>57</v>
      </c>
      <c r="E2395">
        <v>2035</v>
      </c>
      <c r="F2395" s="6" t="str">
        <f t="shared" si="298"/>
        <v>*0.94</v>
      </c>
      <c r="H2395" t="s">
        <v>3269</v>
      </c>
      <c r="I2395" s="5" t="s">
        <v>57</v>
      </c>
      <c r="J2395">
        <v>2050</v>
      </c>
      <c r="K2395" s="38" t="str">
        <f t="shared" si="299"/>
        <v>*0.91</v>
      </c>
      <c r="P2395" s="32" t="s">
        <v>3269</v>
      </c>
      <c r="Q2395" s="42" t="s">
        <v>57</v>
      </c>
      <c r="R2395" s="32">
        <v>2035</v>
      </c>
      <c r="S2395" s="43" t="str">
        <f t="shared" si="300"/>
        <v>*0.93</v>
      </c>
      <c r="U2395" s="32" t="s">
        <v>3269</v>
      </c>
      <c r="V2395" s="42" t="s">
        <v>57</v>
      </c>
      <c r="W2395" s="32">
        <v>2050</v>
      </c>
      <c r="X2395" s="43" t="str">
        <f t="shared" si="301"/>
        <v>*0.9</v>
      </c>
      <c r="AC2395" s="33" t="s">
        <v>3269</v>
      </c>
      <c r="AD2395" s="44" t="s">
        <v>57</v>
      </c>
      <c r="AE2395" s="33">
        <v>2035</v>
      </c>
      <c r="AF2395" s="45" t="str">
        <f t="shared" si="302"/>
        <v>*0.9</v>
      </c>
      <c r="AG2395" s="43" t="str">
        <f t="shared" si="304"/>
        <v>REZoning_Sol-Win</v>
      </c>
      <c r="AI2395" s="33" t="s">
        <v>3269</v>
      </c>
      <c r="AJ2395" s="44" t="s">
        <v>57</v>
      </c>
      <c r="AK2395" s="33">
        <v>2050</v>
      </c>
      <c r="AL2395" s="45" t="str">
        <f t="shared" si="303"/>
        <v>*0.86</v>
      </c>
      <c r="AM2395" s="43" t="str">
        <f t="shared" si="305"/>
        <v>REZoning_Sol-Win</v>
      </c>
      <c r="AP2395" t="s">
        <v>3269</v>
      </c>
      <c r="AQ2395" t="s">
        <v>57</v>
      </c>
      <c r="AR2395">
        <v>2100</v>
      </c>
      <c r="AS2395" t="s">
        <v>883</v>
      </c>
      <c r="AT2395" t="s">
        <v>58</v>
      </c>
    </row>
    <row r="2396" ht="29" spans="1:46">
      <c r="A2396" s="31" t="s">
        <v>65</v>
      </c>
      <c r="C2396" t="s">
        <v>3270</v>
      </c>
      <c r="D2396" s="5" t="s">
        <v>57</v>
      </c>
      <c r="E2396">
        <v>2035</v>
      </c>
      <c r="F2396" s="6" t="str">
        <f t="shared" si="298"/>
        <v>*0.94</v>
      </c>
      <c r="H2396" t="s">
        <v>3270</v>
      </c>
      <c r="I2396" s="5" t="s">
        <v>57</v>
      </c>
      <c r="J2396">
        <v>2050</v>
      </c>
      <c r="K2396" s="38" t="str">
        <f t="shared" si="299"/>
        <v>*0.91</v>
      </c>
      <c r="P2396" s="32" t="s">
        <v>3270</v>
      </c>
      <c r="Q2396" s="42" t="s">
        <v>57</v>
      </c>
      <c r="R2396" s="32">
        <v>2035</v>
      </c>
      <c r="S2396" s="43" t="str">
        <f t="shared" si="300"/>
        <v>*0.93</v>
      </c>
      <c r="U2396" s="32" t="s">
        <v>3270</v>
      </c>
      <c r="V2396" s="42" t="s">
        <v>57</v>
      </c>
      <c r="W2396" s="32">
        <v>2050</v>
      </c>
      <c r="X2396" s="43" t="str">
        <f t="shared" si="301"/>
        <v>*0.9</v>
      </c>
      <c r="AC2396" s="33" t="s">
        <v>3270</v>
      </c>
      <c r="AD2396" s="44" t="s">
        <v>57</v>
      </c>
      <c r="AE2396" s="33">
        <v>2035</v>
      </c>
      <c r="AF2396" s="45" t="str">
        <f t="shared" si="302"/>
        <v>*0.9</v>
      </c>
      <c r="AG2396" s="43" t="str">
        <f t="shared" si="304"/>
        <v>REZoning_Sol-Win</v>
      </c>
      <c r="AI2396" s="33" t="s">
        <v>3270</v>
      </c>
      <c r="AJ2396" s="44" t="s">
        <v>57</v>
      </c>
      <c r="AK2396" s="33">
        <v>2050</v>
      </c>
      <c r="AL2396" s="45" t="str">
        <f t="shared" si="303"/>
        <v>*0.86</v>
      </c>
      <c r="AM2396" s="43" t="str">
        <f t="shared" si="305"/>
        <v>REZoning_Sol-Win</v>
      </c>
      <c r="AP2396" t="s">
        <v>3270</v>
      </c>
      <c r="AQ2396" t="s">
        <v>57</v>
      </c>
      <c r="AR2396">
        <v>2100</v>
      </c>
      <c r="AS2396" t="s">
        <v>883</v>
      </c>
      <c r="AT2396" t="s">
        <v>58</v>
      </c>
    </row>
    <row r="2397" ht="29" spans="1:46">
      <c r="A2397" s="31" t="s">
        <v>65</v>
      </c>
      <c r="C2397" t="s">
        <v>3271</v>
      </c>
      <c r="D2397" s="5" t="s">
        <v>57</v>
      </c>
      <c r="E2397">
        <v>2035</v>
      </c>
      <c r="F2397" s="6" t="str">
        <f t="shared" si="298"/>
        <v>*0.94</v>
      </c>
      <c r="H2397" t="s">
        <v>3271</v>
      </c>
      <c r="I2397" s="5" t="s">
        <v>57</v>
      </c>
      <c r="J2397">
        <v>2050</v>
      </c>
      <c r="K2397" s="38" t="str">
        <f t="shared" si="299"/>
        <v>*0.91</v>
      </c>
      <c r="P2397" s="32" t="s">
        <v>3271</v>
      </c>
      <c r="Q2397" s="42" t="s">
        <v>57</v>
      </c>
      <c r="R2397" s="32">
        <v>2035</v>
      </c>
      <c r="S2397" s="43" t="str">
        <f t="shared" si="300"/>
        <v>*0.93</v>
      </c>
      <c r="U2397" s="32" t="s">
        <v>3271</v>
      </c>
      <c r="V2397" s="42" t="s">
        <v>57</v>
      </c>
      <c r="W2397" s="32">
        <v>2050</v>
      </c>
      <c r="X2397" s="43" t="str">
        <f t="shared" si="301"/>
        <v>*0.9</v>
      </c>
      <c r="AC2397" s="33" t="s">
        <v>3271</v>
      </c>
      <c r="AD2397" s="44" t="s">
        <v>57</v>
      </c>
      <c r="AE2397" s="33">
        <v>2035</v>
      </c>
      <c r="AF2397" s="45" t="str">
        <f t="shared" si="302"/>
        <v>*0.9</v>
      </c>
      <c r="AG2397" s="43" t="str">
        <f t="shared" si="304"/>
        <v>REZoning_Sol-Win</v>
      </c>
      <c r="AI2397" s="33" t="s">
        <v>3271</v>
      </c>
      <c r="AJ2397" s="44" t="s">
        <v>57</v>
      </c>
      <c r="AK2397" s="33">
        <v>2050</v>
      </c>
      <c r="AL2397" s="45" t="str">
        <f t="shared" si="303"/>
        <v>*0.86</v>
      </c>
      <c r="AM2397" s="43" t="str">
        <f t="shared" si="305"/>
        <v>REZoning_Sol-Win</v>
      </c>
      <c r="AP2397" t="s">
        <v>3271</v>
      </c>
      <c r="AQ2397" t="s">
        <v>57</v>
      </c>
      <c r="AR2397">
        <v>2100</v>
      </c>
      <c r="AS2397" t="s">
        <v>883</v>
      </c>
      <c r="AT2397" t="s">
        <v>58</v>
      </c>
    </row>
    <row r="2398" ht="29" spans="1:46">
      <c r="A2398" s="31" t="s">
        <v>65</v>
      </c>
      <c r="C2398" t="s">
        <v>3272</v>
      </c>
      <c r="D2398" s="5" t="s">
        <v>57</v>
      </c>
      <c r="E2398">
        <v>2035</v>
      </c>
      <c r="F2398" s="6" t="str">
        <f t="shared" si="298"/>
        <v>*0.94</v>
      </c>
      <c r="H2398" t="s">
        <v>3272</v>
      </c>
      <c r="I2398" s="5" t="s">
        <v>57</v>
      </c>
      <c r="J2398">
        <v>2050</v>
      </c>
      <c r="K2398" s="38" t="str">
        <f t="shared" si="299"/>
        <v>*0.91</v>
      </c>
      <c r="P2398" s="32" t="s">
        <v>3272</v>
      </c>
      <c r="Q2398" s="42" t="s">
        <v>57</v>
      </c>
      <c r="R2398" s="32">
        <v>2035</v>
      </c>
      <c r="S2398" s="43" t="str">
        <f t="shared" si="300"/>
        <v>*0.93</v>
      </c>
      <c r="U2398" s="32" t="s">
        <v>3272</v>
      </c>
      <c r="V2398" s="42" t="s">
        <v>57</v>
      </c>
      <c r="W2398" s="32">
        <v>2050</v>
      </c>
      <c r="X2398" s="43" t="str">
        <f t="shared" si="301"/>
        <v>*0.9</v>
      </c>
      <c r="AC2398" s="33" t="s">
        <v>3272</v>
      </c>
      <c r="AD2398" s="44" t="s">
        <v>57</v>
      </c>
      <c r="AE2398" s="33">
        <v>2035</v>
      </c>
      <c r="AF2398" s="45" t="str">
        <f t="shared" si="302"/>
        <v>*0.9</v>
      </c>
      <c r="AG2398" s="43" t="str">
        <f t="shared" si="304"/>
        <v>REZoning_Sol-Win</v>
      </c>
      <c r="AI2398" s="33" t="s">
        <v>3272</v>
      </c>
      <c r="AJ2398" s="44" t="s">
        <v>57</v>
      </c>
      <c r="AK2398" s="33">
        <v>2050</v>
      </c>
      <c r="AL2398" s="45" t="str">
        <f t="shared" si="303"/>
        <v>*0.86</v>
      </c>
      <c r="AM2398" s="43" t="str">
        <f t="shared" si="305"/>
        <v>REZoning_Sol-Win</v>
      </c>
      <c r="AP2398" t="s">
        <v>3272</v>
      </c>
      <c r="AQ2398" t="s">
        <v>57</v>
      </c>
      <c r="AR2398">
        <v>2100</v>
      </c>
      <c r="AS2398" t="s">
        <v>883</v>
      </c>
      <c r="AT2398" t="s">
        <v>58</v>
      </c>
    </row>
    <row r="2399" ht="29" spans="1:46">
      <c r="A2399" s="31" t="s">
        <v>65</v>
      </c>
      <c r="C2399" t="s">
        <v>3273</v>
      </c>
      <c r="D2399" s="5" t="s">
        <v>57</v>
      </c>
      <c r="E2399">
        <v>2035</v>
      </c>
      <c r="F2399" s="6" t="str">
        <f t="shared" si="298"/>
        <v>*0.94</v>
      </c>
      <c r="H2399" t="s">
        <v>3273</v>
      </c>
      <c r="I2399" s="5" t="s">
        <v>57</v>
      </c>
      <c r="J2399">
        <v>2050</v>
      </c>
      <c r="K2399" s="38" t="str">
        <f t="shared" si="299"/>
        <v>*0.91</v>
      </c>
      <c r="P2399" s="32" t="s">
        <v>3273</v>
      </c>
      <c r="Q2399" s="42" t="s">
        <v>57</v>
      </c>
      <c r="R2399" s="32">
        <v>2035</v>
      </c>
      <c r="S2399" s="43" t="str">
        <f t="shared" si="300"/>
        <v>*0.93</v>
      </c>
      <c r="U2399" s="32" t="s">
        <v>3273</v>
      </c>
      <c r="V2399" s="42" t="s">
        <v>57</v>
      </c>
      <c r="W2399" s="32">
        <v>2050</v>
      </c>
      <c r="X2399" s="43" t="str">
        <f t="shared" si="301"/>
        <v>*0.9</v>
      </c>
      <c r="AC2399" s="33" t="s">
        <v>3273</v>
      </c>
      <c r="AD2399" s="44" t="s">
        <v>57</v>
      </c>
      <c r="AE2399" s="33">
        <v>2035</v>
      </c>
      <c r="AF2399" s="45" t="str">
        <f t="shared" si="302"/>
        <v>*0.9</v>
      </c>
      <c r="AG2399" s="43" t="str">
        <f t="shared" si="304"/>
        <v>REZoning_Sol-Win</v>
      </c>
      <c r="AI2399" s="33" t="s">
        <v>3273</v>
      </c>
      <c r="AJ2399" s="44" t="s">
        <v>57</v>
      </c>
      <c r="AK2399" s="33">
        <v>2050</v>
      </c>
      <c r="AL2399" s="45" t="str">
        <f t="shared" si="303"/>
        <v>*0.86</v>
      </c>
      <c r="AM2399" s="43" t="str">
        <f t="shared" si="305"/>
        <v>REZoning_Sol-Win</v>
      </c>
      <c r="AP2399" t="s">
        <v>3273</v>
      </c>
      <c r="AQ2399" t="s">
        <v>57</v>
      </c>
      <c r="AR2399">
        <v>2100</v>
      </c>
      <c r="AS2399" t="s">
        <v>883</v>
      </c>
      <c r="AT2399" t="s">
        <v>58</v>
      </c>
    </row>
    <row r="2400" ht="29" spans="1:46">
      <c r="A2400" s="31" t="s">
        <v>65</v>
      </c>
      <c r="C2400" t="s">
        <v>3274</v>
      </c>
      <c r="D2400" s="5" t="s">
        <v>57</v>
      </c>
      <c r="E2400">
        <v>2035</v>
      </c>
      <c r="F2400" s="6" t="str">
        <f t="shared" si="298"/>
        <v>*0.94</v>
      </c>
      <c r="H2400" t="s">
        <v>3274</v>
      </c>
      <c r="I2400" s="5" t="s">
        <v>57</v>
      </c>
      <c r="J2400">
        <v>2050</v>
      </c>
      <c r="K2400" s="38" t="str">
        <f t="shared" si="299"/>
        <v>*0.91</v>
      </c>
      <c r="P2400" s="32" t="s">
        <v>3274</v>
      </c>
      <c r="Q2400" s="42" t="s">
        <v>57</v>
      </c>
      <c r="R2400" s="32">
        <v>2035</v>
      </c>
      <c r="S2400" s="43" t="str">
        <f t="shared" si="300"/>
        <v>*0.93</v>
      </c>
      <c r="U2400" s="32" t="s">
        <v>3274</v>
      </c>
      <c r="V2400" s="42" t="s">
        <v>57</v>
      </c>
      <c r="W2400" s="32">
        <v>2050</v>
      </c>
      <c r="X2400" s="43" t="str">
        <f t="shared" si="301"/>
        <v>*0.9</v>
      </c>
      <c r="AC2400" s="33" t="s">
        <v>3274</v>
      </c>
      <c r="AD2400" s="44" t="s">
        <v>57</v>
      </c>
      <c r="AE2400" s="33">
        <v>2035</v>
      </c>
      <c r="AF2400" s="45" t="str">
        <f t="shared" si="302"/>
        <v>*0.9</v>
      </c>
      <c r="AG2400" s="43" t="str">
        <f t="shared" si="304"/>
        <v>REZoning_Sol-Win</v>
      </c>
      <c r="AI2400" s="33" t="s">
        <v>3274</v>
      </c>
      <c r="AJ2400" s="44" t="s">
        <v>57</v>
      </c>
      <c r="AK2400" s="33">
        <v>2050</v>
      </c>
      <c r="AL2400" s="45" t="str">
        <f t="shared" si="303"/>
        <v>*0.86</v>
      </c>
      <c r="AM2400" s="43" t="str">
        <f t="shared" si="305"/>
        <v>REZoning_Sol-Win</v>
      </c>
      <c r="AP2400" t="s">
        <v>3274</v>
      </c>
      <c r="AQ2400" t="s">
        <v>57</v>
      </c>
      <c r="AR2400">
        <v>2100</v>
      </c>
      <c r="AS2400" t="s">
        <v>883</v>
      </c>
      <c r="AT2400" t="s">
        <v>58</v>
      </c>
    </row>
    <row r="2401" ht="29" spans="1:46">
      <c r="A2401" s="31" t="s">
        <v>65</v>
      </c>
      <c r="C2401" t="s">
        <v>3275</v>
      </c>
      <c r="D2401" s="5" t="s">
        <v>57</v>
      </c>
      <c r="E2401">
        <v>2035</v>
      </c>
      <c r="F2401" s="6" t="str">
        <f t="shared" si="298"/>
        <v>*0.94</v>
      </c>
      <c r="H2401" t="s">
        <v>3275</v>
      </c>
      <c r="I2401" s="5" t="s">
        <v>57</v>
      </c>
      <c r="J2401">
        <v>2050</v>
      </c>
      <c r="K2401" s="38" t="str">
        <f t="shared" si="299"/>
        <v>*0.91</v>
      </c>
      <c r="P2401" s="32" t="s">
        <v>3275</v>
      </c>
      <c r="Q2401" s="42" t="s">
        <v>57</v>
      </c>
      <c r="R2401" s="32">
        <v>2035</v>
      </c>
      <c r="S2401" s="43" t="str">
        <f t="shared" si="300"/>
        <v>*0.93</v>
      </c>
      <c r="U2401" s="32" t="s">
        <v>3275</v>
      </c>
      <c r="V2401" s="42" t="s">
        <v>57</v>
      </c>
      <c r="W2401" s="32">
        <v>2050</v>
      </c>
      <c r="X2401" s="43" t="str">
        <f t="shared" si="301"/>
        <v>*0.9</v>
      </c>
      <c r="AC2401" s="33" t="s">
        <v>3275</v>
      </c>
      <c r="AD2401" s="44" t="s">
        <v>57</v>
      </c>
      <c r="AE2401" s="33">
        <v>2035</v>
      </c>
      <c r="AF2401" s="45" t="str">
        <f t="shared" si="302"/>
        <v>*0.9</v>
      </c>
      <c r="AG2401" s="43" t="str">
        <f t="shared" si="304"/>
        <v>REZoning_Sol-Win</v>
      </c>
      <c r="AI2401" s="33" t="s">
        <v>3275</v>
      </c>
      <c r="AJ2401" s="44" t="s">
        <v>57</v>
      </c>
      <c r="AK2401" s="33">
        <v>2050</v>
      </c>
      <c r="AL2401" s="45" t="str">
        <f t="shared" si="303"/>
        <v>*0.86</v>
      </c>
      <c r="AM2401" s="43" t="str">
        <f t="shared" si="305"/>
        <v>REZoning_Sol-Win</v>
      </c>
      <c r="AP2401" t="s">
        <v>3275</v>
      </c>
      <c r="AQ2401" t="s">
        <v>57</v>
      </c>
      <c r="AR2401">
        <v>2100</v>
      </c>
      <c r="AS2401" t="s">
        <v>883</v>
      </c>
      <c r="AT2401" t="s">
        <v>58</v>
      </c>
    </row>
    <row r="2402" ht="29" spans="1:46">
      <c r="A2402" s="31" t="s">
        <v>65</v>
      </c>
      <c r="C2402" t="s">
        <v>3276</v>
      </c>
      <c r="D2402" s="5" t="s">
        <v>57</v>
      </c>
      <c r="E2402">
        <v>2035</v>
      </c>
      <c r="F2402" s="6" t="str">
        <f t="shared" si="298"/>
        <v>*0.94</v>
      </c>
      <c r="H2402" t="s">
        <v>3276</v>
      </c>
      <c r="I2402" s="5" t="s">
        <v>57</v>
      </c>
      <c r="J2402">
        <v>2050</v>
      </c>
      <c r="K2402" s="38" t="str">
        <f t="shared" si="299"/>
        <v>*0.91</v>
      </c>
      <c r="P2402" s="32" t="s">
        <v>3276</v>
      </c>
      <c r="Q2402" s="42" t="s">
        <v>57</v>
      </c>
      <c r="R2402" s="32">
        <v>2035</v>
      </c>
      <c r="S2402" s="43" t="str">
        <f t="shared" si="300"/>
        <v>*0.93</v>
      </c>
      <c r="U2402" s="32" t="s">
        <v>3276</v>
      </c>
      <c r="V2402" s="42" t="s">
        <v>57</v>
      </c>
      <c r="W2402" s="32">
        <v>2050</v>
      </c>
      <c r="X2402" s="43" t="str">
        <f t="shared" si="301"/>
        <v>*0.9</v>
      </c>
      <c r="AC2402" s="33" t="s">
        <v>3276</v>
      </c>
      <c r="AD2402" s="44" t="s">
        <v>57</v>
      </c>
      <c r="AE2402" s="33">
        <v>2035</v>
      </c>
      <c r="AF2402" s="45" t="str">
        <f t="shared" si="302"/>
        <v>*0.9</v>
      </c>
      <c r="AG2402" s="43" t="str">
        <f t="shared" si="304"/>
        <v>REZoning_Sol-Win</v>
      </c>
      <c r="AI2402" s="33" t="s">
        <v>3276</v>
      </c>
      <c r="AJ2402" s="44" t="s">
        <v>57</v>
      </c>
      <c r="AK2402" s="33">
        <v>2050</v>
      </c>
      <c r="AL2402" s="45" t="str">
        <f t="shared" si="303"/>
        <v>*0.86</v>
      </c>
      <c r="AM2402" s="43" t="str">
        <f t="shared" si="305"/>
        <v>REZoning_Sol-Win</v>
      </c>
      <c r="AP2402" t="s">
        <v>3276</v>
      </c>
      <c r="AQ2402" t="s">
        <v>57</v>
      </c>
      <c r="AR2402">
        <v>2100</v>
      </c>
      <c r="AS2402" t="s">
        <v>883</v>
      </c>
      <c r="AT2402" t="s">
        <v>58</v>
      </c>
    </row>
    <row r="2403" ht="29" spans="1:46">
      <c r="A2403" s="31" t="s">
        <v>65</v>
      </c>
      <c r="C2403" t="s">
        <v>3277</v>
      </c>
      <c r="D2403" s="5" t="s">
        <v>57</v>
      </c>
      <c r="E2403">
        <v>2035</v>
      </c>
      <c r="F2403" s="6" t="str">
        <f t="shared" si="298"/>
        <v>*0.94</v>
      </c>
      <c r="H2403" t="s">
        <v>3277</v>
      </c>
      <c r="I2403" s="5" t="s">
        <v>57</v>
      </c>
      <c r="J2403">
        <v>2050</v>
      </c>
      <c r="K2403" s="38" t="str">
        <f t="shared" si="299"/>
        <v>*0.91</v>
      </c>
      <c r="P2403" s="32" t="s">
        <v>3277</v>
      </c>
      <c r="Q2403" s="42" t="s">
        <v>57</v>
      </c>
      <c r="R2403" s="32">
        <v>2035</v>
      </c>
      <c r="S2403" s="43" t="str">
        <f t="shared" si="300"/>
        <v>*0.93</v>
      </c>
      <c r="U2403" s="32" t="s">
        <v>3277</v>
      </c>
      <c r="V2403" s="42" t="s">
        <v>57</v>
      </c>
      <c r="W2403" s="32">
        <v>2050</v>
      </c>
      <c r="X2403" s="43" t="str">
        <f t="shared" si="301"/>
        <v>*0.9</v>
      </c>
      <c r="AC2403" s="33" t="s">
        <v>3277</v>
      </c>
      <c r="AD2403" s="44" t="s">
        <v>57</v>
      </c>
      <c r="AE2403" s="33">
        <v>2035</v>
      </c>
      <c r="AF2403" s="45" t="str">
        <f t="shared" si="302"/>
        <v>*0.9</v>
      </c>
      <c r="AG2403" s="43" t="str">
        <f t="shared" si="304"/>
        <v>REZoning_Sol-Win</v>
      </c>
      <c r="AI2403" s="33" t="s">
        <v>3277</v>
      </c>
      <c r="AJ2403" s="44" t="s">
        <v>57</v>
      </c>
      <c r="AK2403" s="33">
        <v>2050</v>
      </c>
      <c r="AL2403" s="45" t="str">
        <f t="shared" si="303"/>
        <v>*0.86</v>
      </c>
      <c r="AM2403" s="43" t="str">
        <f t="shared" si="305"/>
        <v>REZoning_Sol-Win</v>
      </c>
      <c r="AP2403" t="s">
        <v>3277</v>
      </c>
      <c r="AQ2403" t="s">
        <v>57</v>
      </c>
      <c r="AR2403">
        <v>2100</v>
      </c>
      <c r="AS2403" t="s">
        <v>883</v>
      </c>
      <c r="AT2403" t="s">
        <v>58</v>
      </c>
    </row>
    <row r="2404" ht="29" spans="1:46">
      <c r="A2404" s="31" t="s">
        <v>65</v>
      </c>
      <c r="C2404" t="s">
        <v>3278</v>
      </c>
      <c r="D2404" s="5" t="s">
        <v>57</v>
      </c>
      <c r="E2404">
        <v>2035</v>
      </c>
      <c r="F2404" s="6" t="str">
        <f t="shared" si="298"/>
        <v>*0.94</v>
      </c>
      <c r="H2404" t="s">
        <v>3278</v>
      </c>
      <c r="I2404" s="5" t="s">
        <v>57</v>
      </c>
      <c r="J2404">
        <v>2050</v>
      </c>
      <c r="K2404" s="38" t="str">
        <f t="shared" si="299"/>
        <v>*0.91</v>
      </c>
      <c r="P2404" s="32" t="s">
        <v>3278</v>
      </c>
      <c r="Q2404" s="42" t="s">
        <v>57</v>
      </c>
      <c r="R2404" s="32">
        <v>2035</v>
      </c>
      <c r="S2404" s="43" t="str">
        <f t="shared" si="300"/>
        <v>*0.93</v>
      </c>
      <c r="U2404" s="32" t="s">
        <v>3278</v>
      </c>
      <c r="V2404" s="42" t="s">
        <v>57</v>
      </c>
      <c r="W2404" s="32">
        <v>2050</v>
      </c>
      <c r="X2404" s="43" t="str">
        <f t="shared" si="301"/>
        <v>*0.9</v>
      </c>
      <c r="AC2404" s="33" t="s">
        <v>3278</v>
      </c>
      <c r="AD2404" s="44" t="s">
        <v>57</v>
      </c>
      <c r="AE2404" s="33">
        <v>2035</v>
      </c>
      <c r="AF2404" s="45" t="str">
        <f t="shared" si="302"/>
        <v>*0.9</v>
      </c>
      <c r="AG2404" s="43" t="str">
        <f t="shared" si="304"/>
        <v>REZoning_Sol-Win</v>
      </c>
      <c r="AI2404" s="33" t="s">
        <v>3278</v>
      </c>
      <c r="AJ2404" s="44" t="s">
        <v>57</v>
      </c>
      <c r="AK2404" s="33">
        <v>2050</v>
      </c>
      <c r="AL2404" s="45" t="str">
        <f t="shared" si="303"/>
        <v>*0.86</v>
      </c>
      <c r="AM2404" s="43" t="str">
        <f t="shared" si="305"/>
        <v>REZoning_Sol-Win</v>
      </c>
      <c r="AP2404" t="s">
        <v>3278</v>
      </c>
      <c r="AQ2404" t="s">
        <v>57</v>
      </c>
      <c r="AR2404">
        <v>2100</v>
      </c>
      <c r="AS2404" t="s">
        <v>883</v>
      </c>
      <c r="AT2404" t="s">
        <v>58</v>
      </c>
    </row>
    <row r="2405" ht="29" spans="1:46">
      <c r="A2405" s="31" t="s">
        <v>65</v>
      </c>
      <c r="C2405" t="s">
        <v>3279</v>
      </c>
      <c r="D2405" s="5" t="s">
        <v>57</v>
      </c>
      <c r="E2405">
        <v>2035</v>
      </c>
      <c r="F2405" s="6" t="str">
        <f t="shared" si="298"/>
        <v>*0.94</v>
      </c>
      <c r="H2405" t="s">
        <v>3279</v>
      </c>
      <c r="I2405" s="5" t="s">
        <v>57</v>
      </c>
      <c r="J2405">
        <v>2050</v>
      </c>
      <c r="K2405" s="38" t="str">
        <f t="shared" si="299"/>
        <v>*0.91</v>
      </c>
      <c r="P2405" s="32" t="s">
        <v>3279</v>
      </c>
      <c r="Q2405" s="42" t="s">
        <v>57</v>
      </c>
      <c r="R2405" s="32">
        <v>2035</v>
      </c>
      <c r="S2405" s="43" t="str">
        <f t="shared" si="300"/>
        <v>*0.93</v>
      </c>
      <c r="U2405" s="32" t="s">
        <v>3279</v>
      </c>
      <c r="V2405" s="42" t="s">
        <v>57</v>
      </c>
      <c r="W2405" s="32">
        <v>2050</v>
      </c>
      <c r="X2405" s="43" t="str">
        <f t="shared" si="301"/>
        <v>*0.9</v>
      </c>
      <c r="AC2405" s="33" t="s">
        <v>3279</v>
      </c>
      <c r="AD2405" s="44" t="s">
        <v>57</v>
      </c>
      <c r="AE2405" s="33">
        <v>2035</v>
      </c>
      <c r="AF2405" s="45" t="str">
        <f t="shared" si="302"/>
        <v>*0.9</v>
      </c>
      <c r="AG2405" s="43" t="str">
        <f t="shared" si="304"/>
        <v>REZoning_Sol-Win</v>
      </c>
      <c r="AI2405" s="33" t="s">
        <v>3279</v>
      </c>
      <c r="AJ2405" s="44" t="s">
        <v>57</v>
      </c>
      <c r="AK2405" s="33">
        <v>2050</v>
      </c>
      <c r="AL2405" s="45" t="str">
        <f t="shared" si="303"/>
        <v>*0.86</v>
      </c>
      <c r="AM2405" s="43" t="str">
        <f t="shared" si="305"/>
        <v>REZoning_Sol-Win</v>
      </c>
      <c r="AP2405" t="s">
        <v>3279</v>
      </c>
      <c r="AQ2405" t="s">
        <v>57</v>
      </c>
      <c r="AR2405">
        <v>2100</v>
      </c>
      <c r="AS2405" t="s">
        <v>883</v>
      </c>
      <c r="AT2405" t="s">
        <v>58</v>
      </c>
    </row>
    <row r="2406" ht="29" spans="1:46">
      <c r="A2406" s="31" t="s">
        <v>65</v>
      </c>
      <c r="C2406" t="s">
        <v>3280</v>
      </c>
      <c r="D2406" s="5" t="s">
        <v>57</v>
      </c>
      <c r="E2406">
        <v>2035</v>
      </c>
      <c r="F2406" s="6" t="str">
        <f t="shared" si="298"/>
        <v>*0.94</v>
      </c>
      <c r="H2406" t="s">
        <v>3280</v>
      </c>
      <c r="I2406" s="5" t="s">
        <v>57</v>
      </c>
      <c r="J2406">
        <v>2050</v>
      </c>
      <c r="K2406" s="38" t="str">
        <f t="shared" si="299"/>
        <v>*0.91</v>
      </c>
      <c r="P2406" s="32" t="s">
        <v>3280</v>
      </c>
      <c r="Q2406" s="42" t="s">
        <v>57</v>
      </c>
      <c r="R2406" s="32">
        <v>2035</v>
      </c>
      <c r="S2406" s="43" t="str">
        <f t="shared" si="300"/>
        <v>*0.93</v>
      </c>
      <c r="U2406" s="32" t="s">
        <v>3280</v>
      </c>
      <c r="V2406" s="42" t="s">
        <v>57</v>
      </c>
      <c r="W2406" s="32">
        <v>2050</v>
      </c>
      <c r="X2406" s="43" t="str">
        <f t="shared" si="301"/>
        <v>*0.9</v>
      </c>
      <c r="AC2406" s="33" t="s">
        <v>3280</v>
      </c>
      <c r="AD2406" s="44" t="s">
        <v>57</v>
      </c>
      <c r="AE2406" s="33">
        <v>2035</v>
      </c>
      <c r="AF2406" s="45" t="str">
        <f t="shared" si="302"/>
        <v>*0.9</v>
      </c>
      <c r="AG2406" s="43" t="str">
        <f t="shared" si="304"/>
        <v>REZoning_Sol-Win</v>
      </c>
      <c r="AI2406" s="33" t="s">
        <v>3280</v>
      </c>
      <c r="AJ2406" s="44" t="s">
        <v>57</v>
      </c>
      <c r="AK2406" s="33">
        <v>2050</v>
      </c>
      <c r="AL2406" s="45" t="str">
        <f t="shared" si="303"/>
        <v>*0.86</v>
      </c>
      <c r="AM2406" s="43" t="str">
        <f t="shared" si="305"/>
        <v>REZoning_Sol-Win</v>
      </c>
      <c r="AP2406" t="s">
        <v>3280</v>
      </c>
      <c r="AQ2406" t="s">
        <v>57</v>
      </c>
      <c r="AR2406">
        <v>2100</v>
      </c>
      <c r="AS2406" t="s">
        <v>883</v>
      </c>
      <c r="AT2406" t="s">
        <v>58</v>
      </c>
    </row>
    <row r="2407" ht="29" spans="1:46">
      <c r="A2407" s="31" t="s">
        <v>65</v>
      </c>
      <c r="C2407" t="s">
        <v>3281</v>
      </c>
      <c r="D2407" s="5" t="s">
        <v>57</v>
      </c>
      <c r="E2407">
        <v>2035</v>
      </c>
      <c r="F2407" s="6" t="str">
        <f t="shared" si="298"/>
        <v>*0.94</v>
      </c>
      <c r="H2407" t="s">
        <v>3281</v>
      </c>
      <c r="I2407" s="5" t="s">
        <v>57</v>
      </c>
      <c r="J2407">
        <v>2050</v>
      </c>
      <c r="K2407" s="38" t="str">
        <f t="shared" si="299"/>
        <v>*0.91</v>
      </c>
      <c r="P2407" s="32" t="s">
        <v>3281</v>
      </c>
      <c r="Q2407" s="42" t="s">
        <v>57</v>
      </c>
      <c r="R2407" s="32">
        <v>2035</v>
      </c>
      <c r="S2407" s="43" t="str">
        <f t="shared" si="300"/>
        <v>*0.93</v>
      </c>
      <c r="U2407" s="32" t="s">
        <v>3281</v>
      </c>
      <c r="V2407" s="42" t="s">
        <v>57</v>
      </c>
      <c r="W2407" s="32">
        <v>2050</v>
      </c>
      <c r="X2407" s="43" t="str">
        <f t="shared" si="301"/>
        <v>*0.9</v>
      </c>
      <c r="AC2407" s="33" t="s">
        <v>3281</v>
      </c>
      <c r="AD2407" s="44" t="s">
        <v>57</v>
      </c>
      <c r="AE2407" s="33">
        <v>2035</v>
      </c>
      <c r="AF2407" s="45" t="str">
        <f t="shared" si="302"/>
        <v>*0.9</v>
      </c>
      <c r="AG2407" s="43" t="str">
        <f t="shared" si="304"/>
        <v>REZoning_Sol-Win</v>
      </c>
      <c r="AI2407" s="33" t="s">
        <v>3281</v>
      </c>
      <c r="AJ2407" s="44" t="s">
        <v>57</v>
      </c>
      <c r="AK2407" s="33">
        <v>2050</v>
      </c>
      <c r="AL2407" s="45" t="str">
        <f t="shared" si="303"/>
        <v>*0.86</v>
      </c>
      <c r="AM2407" s="43" t="str">
        <f t="shared" si="305"/>
        <v>REZoning_Sol-Win</v>
      </c>
      <c r="AP2407" t="s">
        <v>3281</v>
      </c>
      <c r="AQ2407" t="s">
        <v>57</v>
      </c>
      <c r="AR2407">
        <v>2100</v>
      </c>
      <c r="AS2407" t="s">
        <v>883</v>
      </c>
      <c r="AT2407" t="s">
        <v>58</v>
      </c>
    </row>
    <row r="2408" ht="29" spans="1:46">
      <c r="A2408" s="31" t="s">
        <v>65</v>
      </c>
      <c r="C2408" t="s">
        <v>3282</v>
      </c>
      <c r="D2408" s="5" t="s">
        <v>57</v>
      </c>
      <c r="E2408">
        <v>2035</v>
      </c>
      <c r="F2408" s="6" t="str">
        <f t="shared" si="298"/>
        <v>*0.94</v>
      </c>
      <c r="H2408" t="s">
        <v>3282</v>
      </c>
      <c r="I2408" s="5" t="s">
        <v>57</v>
      </c>
      <c r="J2408">
        <v>2050</v>
      </c>
      <c r="K2408" s="38" t="str">
        <f t="shared" si="299"/>
        <v>*0.91</v>
      </c>
      <c r="P2408" s="32" t="s">
        <v>3282</v>
      </c>
      <c r="Q2408" s="42" t="s">
        <v>57</v>
      </c>
      <c r="R2408" s="32">
        <v>2035</v>
      </c>
      <c r="S2408" s="43" t="str">
        <f t="shared" si="300"/>
        <v>*0.93</v>
      </c>
      <c r="U2408" s="32" t="s">
        <v>3282</v>
      </c>
      <c r="V2408" s="42" t="s">
        <v>57</v>
      </c>
      <c r="W2408" s="32">
        <v>2050</v>
      </c>
      <c r="X2408" s="43" t="str">
        <f t="shared" si="301"/>
        <v>*0.9</v>
      </c>
      <c r="AC2408" s="33" t="s">
        <v>3282</v>
      </c>
      <c r="AD2408" s="44" t="s">
        <v>57</v>
      </c>
      <c r="AE2408" s="33">
        <v>2035</v>
      </c>
      <c r="AF2408" s="45" t="str">
        <f t="shared" si="302"/>
        <v>*0.9</v>
      </c>
      <c r="AG2408" s="43" t="str">
        <f t="shared" si="304"/>
        <v>REZoning_Sol-Win</v>
      </c>
      <c r="AI2408" s="33" t="s">
        <v>3282</v>
      </c>
      <c r="AJ2408" s="44" t="s">
        <v>57</v>
      </c>
      <c r="AK2408" s="33">
        <v>2050</v>
      </c>
      <c r="AL2408" s="45" t="str">
        <f t="shared" si="303"/>
        <v>*0.86</v>
      </c>
      <c r="AM2408" s="43" t="str">
        <f t="shared" si="305"/>
        <v>REZoning_Sol-Win</v>
      </c>
      <c r="AP2408" t="s">
        <v>3282</v>
      </c>
      <c r="AQ2408" t="s">
        <v>57</v>
      </c>
      <c r="AR2408">
        <v>2100</v>
      </c>
      <c r="AS2408" t="s">
        <v>883</v>
      </c>
      <c r="AT2408" t="s">
        <v>58</v>
      </c>
    </row>
    <row r="2409" ht="29" spans="1:46">
      <c r="A2409" s="31" t="s">
        <v>65</v>
      </c>
      <c r="C2409" t="s">
        <v>3283</v>
      </c>
      <c r="D2409" s="5" t="s">
        <v>57</v>
      </c>
      <c r="E2409">
        <v>2035</v>
      </c>
      <c r="F2409" s="6" t="str">
        <f t="shared" si="298"/>
        <v>*0.94</v>
      </c>
      <c r="H2409" t="s">
        <v>3283</v>
      </c>
      <c r="I2409" s="5" t="s">
        <v>57</v>
      </c>
      <c r="J2409">
        <v>2050</v>
      </c>
      <c r="K2409" s="38" t="str">
        <f t="shared" si="299"/>
        <v>*0.91</v>
      </c>
      <c r="P2409" s="32" t="s">
        <v>3283</v>
      </c>
      <c r="Q2409" s="42" t="s">
        <v>57</v>
      </c>
      <c r="R2409" s="32">
        <v>2035</v>
      </c>
      <c r="S2409" s="43" t="str">
        <f t="shared" si="300"/>
        <v>*0.93</v>
      </c>
      <c r="U2409" s="32" t="s">
        <v>3283</v>
      </c>
      <c r="V2409" s="42" t="s">
        <v>57</v>
      </c>
      <c r="W2409" s="32">
        <v>2050</v>
      </c>
      <c r="X2409" s="43" t="str">
        <f t="shared" si="301"/>
        <v>*0.9</v>
      </c>
      <c r="AC2409" s="33" t="s">
        <v>3283</v>
      </c>
      <c r="AD2409" s="44" t="s">
        <v>57</v>
      </c>
      <c r="AE2409" s="33">
        <v>2035</v>
      </c>
      <c r="AF2409" s="45" t="str">
        <f t="shared" si="302"/>
        <v>*0.9</v>
      </c>
      <c r="AG2409" s="43" t="str">
        <f t="shared" si="304"/>
        <v>REZoning_Sol-Win</v>
      </c>
      <c r="AI2409" s="33" t="s">
        <v>3283</v>
      </c>
      <c r="AJ2409" s="44" t="s">
        <v>57</v>
      </c>
      <c r="AK2409" s="33">
        <v>2050</v>
      </c>
      <c r="AL2409" s="45" t="str">
        <f t="shared" si="303"/>
        <v>*0.86</v>
      </c>
      <c r="AM2409" s="43" t="str">
        <f t="shared" si="305"/>
        <v>REZoning_Sol-Win</v>
      </c>
      <c r="AP2409" t="s">
        <v>3283</v>
      </c>
      <c r="AQ2409" t="s">
        <v>57</v>
      </c>
      <c r="AR2409">
        <v>2100</v>
      </c>
      <c r="AS2409" t="s">
        <v>883</v>
      </c>
      <c r="AT2409" t="s">
        <v>58</v>
      </c>
    </row>
    <row r="2410" ht="29" spans="1:46">
      <c r="A2410" s="31" t="s">
        <v>65</v>
      </c>
      <c r="C2410" t="s">
        <v>3284</v>
      </c>
      <c r="D2410" s="5" t="s">
        <v>57</v>
      </c>
      <c r="E2410">
        <v>2035</v>
      </c>
      <c r="F2410" s="6" t="str">
        <f t="shared" si="298"/>
        <v>*0.94</v>
      </c>
      <c r="H2410" t="s">
        <v>3284</v>
      </c>
      <c r="I2410" s="5" t="s">
        <v>57</v>
      </c>
      <c r="J2410">
        <v>2050</v>
      </c>
      <c r="K2410" s="38" t="str">
        <f t="shared" si="299"/>
        <v>*0.91</v>
      </c>
      <c r="P2410" s="32" t="s">
        <v>3284</v>
      </c>
      <c r="Q2410" s="42" t="s">
        <v>57</v>
      </c>
      <c r="R2410" s="32">
        <v>2035</v>
      </c>
      <c r="S2410" s="43" t="str">
        <f t="shared" si="300"/>
        <v>*0.93</v>
      </c>
      <c r="U2410" s="32" t="s">
        <v>3284</v>
      </c>
      <c r="V2410" s="42" t="s">
        <v>57</v>
      </c>
      <c r="W2410" s="32">
        <v>2050</v>
      </c>
      <c r="X2410" s="43" t="str">
        <f t="shared" si="301"/>
        <v>*0.9</v>
      </c>
      <c r="AC2410" s="33" t="s">
        <v>3284</v>
      </c>
      <c r="AD2410" s="44" t="s">
        <v>57</v>
      </c>
      <c r="AE2410" s="33">
        <v>2035</v>
      </c>
      <c r="AF2410" s="45" t="str">
        <f t="shared" si="302"/>
        <v>*0.9</v>
      </c>
      <c r="AG2410" s="43" t="str">
        <f t="shared" si="304"/>
        <v>REZoning_Sol-Win</v>
      </c>
      <c r="AI2410" s="33" t="s">
        <v>3284</v>
      </c>
      <c r="AJ2410" s="44" t="s">
        <v>57</v>
      </c>
      <c r="AK2410" s="33">
        <v>2050</v>
      </c>
      <c r="AL2410" s="45" t="str">
        <f t="shared" si="303"/>
        <v>*0.86</v>
      </c>
      <c r="AM2410" s="43" t="str">
        <f t="shared" si="305"/>
        <v>REZoning_Sol-Win</v>
      </c>
      <c r="AP2410" t="s">
        <v>3284</v>
      </c>
      <c r="AQ2410" t="s">
        <v>57</v>
      </c>
      <c r="AR2410">
        <v>2100</v>
      </c>
      <c r="AS2410" t="s">
        <v>883</v>
      </c>
      <c r="AT2410" t="s">
        <v>58</v>
      </c>
    </row>
    <row r="2411" ht="29" spans="1:46">
      <c r="A2411" s="31" t="s">
        <v>65</v>
      </c>
      <c r="C2411" t="s">
        <v>3285</v>
      </c>
      <c r="D2411" s="5" t="s">
        <v>57</v>
      </c>
      <c r="E2411">
        <v>2035</v>
      </c>
      <c r="F2411" s="6" t="str">
        <f t="shared" si="298"/>
        <v>*0.94</v>
      </c>
      <c r="H2411" t="s">
        <v>3285</v>
      </c>
      <c r="I2411" s="5" t="s">
        <v>57</v>
      </c>
      <c r="J2411">
        <v>2050</v>
      </c>
      <c r="K2411" s="38" t="str">
        <f t="shared" si="299"/>
        <v>*0.91</v>
      </c>
      <c r="P2411" s="32" t="s">
        <v>3285</v>
      </c>
      <c r="Q2411" s="42" t="s">
        <v>57</v>
      </c>
      <c r="R2411" s="32">
        <v>2035</v>
      </c>
      <c r="S2411" s="43" t="str">
        <f t="shared" si="300"/>
        <v>*0.93</v>
      </c>
      <c r="U2411" s="32" t="s">
        <v>3285</v>
      </c>
      <c r="V2411" s="42" t="s">
        <v>57</v>
      </c>
      <c r="W2411" s="32">
        <v>2050</v>
      </c>
      <c r="X2411" s="43" t="str">
        <f t="shared" si="301"/>
        <v>*0.9</v>
      </c>
      <c r="AC2411" s="33" t="s">
        <v>3285</v>
      </c>
      <c r="AD2411" s="44" t="s">
        <v>57</v>
      </c>
      <c r="AE2411" s="33">
        <v>2035</v>
      </c>
      <c r="AF2411" s="45" t="str">
        <f t="shared" si="302"/>
        <v>*0.9</v>
      </c>
      <c r="AG2411" s="43" t="str">
        <f t="shared" si="304"/>
        <v>REZoning_Sol-Win</v>
      </c>
      <c r="AI2411" s="33" t="s">
        <v>3285</v>
      </c>
      <c r="AJ2411" s="44" t="s">
        <v>57</v>
      </c>
      <c r="AK2411" s="33">
        <v>2050</v>
      </c>
      <c r="AL2411" s="45" t="str">
        <f t="shared" si="303"/>
        <v>*0.86</v>
      </c>
      <c r="AM2411" s="43" t="str">
        <f t="shared" si="305"/>
        <v>REZoning_Sol-Win</v>
      </c>
      <c r="AP2411" t="s">
        <v>3285</v>
      </c>
      <c r="AQ2411" t="s">
        <v>57</v>
      </c>
      <c r="AR2411">
        <v>2100</v>
      </c>
      <c r="AS2411" t="s">
        <v>883</v>
      </c>
      <c r="AT2411" t="s">
        <v>58</v>
      </c>
    </row>
    <row r="2412" ht="29" spans="1:46">
      <c r="A2412" s="31" t="s">
        <v>65</v>
      </c>
      <c r="C2412" t="s">
        <v>3286</v>
      </c>
      <c r="D2412" s="5" t="s">
        <v>57</v>
      </c>
      <c r="E2412">
        <v>2035</v>
      </c>
      <c r="F2412" s="6" t="str">
        <f t="shared" si="298"/>
        <v>*0.94</v>
      </c>
      <c r="H2412" t="s">
        <v>3286</v>
      </c>
      <c r="I2412" s="5" t="s">
        <v>57</v>
      </c>
      <c r="J2412">
        <v>2050</v>
      </c>
      <c r="K2412" s="38" t="str">
        <f t="shared" si="299"/>
        <v>*0.91</v>
      </c>
      <c r="P2412" s="32" t="s">
        <v>3286</v>
      </c>
      <c r="Q2412" s="42" t="s">
        <v>57</v>
      </c>
      <c r="R2412" s="32">
        <v>2035</v>
      </c>
      <c r="S2412" s="43" t="str">
        <f t="shared" si="300"/>
        <v>*0.93</v>
      </c>
      <c r="U2412" s="32" t="s">
        <v>3286</v>
      </c>
      <c r="V2412" s="42" t="s">
        <v>57</v>
      </c>
      <c r="W2412" s="32">
        <v>2050</v>
      </c>
      <c r="X2412" s="43" t="str">
        <f t="shared" si="301"/>
        <v>*0.9</v>
      </c>
      <c r="AC2412" s="33" t="s">
        <v>3286</v>
      </c>
      <c r="AD2412" s="44" t="s">
        <v>57</v>
      </c>
      <c r="AE2412" s="33">
        <v>2035</v>
      </c>
      <c r="AF2412" s="45" t="str">
        <f t="shared" si="302"/>
        <v>*0.9</v>
      </c>
      <c r="AG2412" s="43" t="str">
        <f t="shared" si="304"/>
        <v>REZoning_Sol-Win</v>
      </c>
      <c r="AI2412" s="33" t="s">
        <v>3286</v>
      </c>
      <c r="AJ2412" s="44" t="s">
        <v>57</v>
      </c>
      <c r="AK2412" s="33">
        <v>2050</v>
      </c>
      <c r="AL2412" s="45" t="str">
        <f t="shared" si="303"/>
        <v>*0.86</v>
      </c>
      <c r="AM2412" s="43" t="str">
        <f t="shared" si="305"/>
        <v>REZoning_Sol-Win</v>
      </c>
      <c r="AP2412" t="s">
        <v>3286</v>
      </c>
      <c r="AQ2412" t="s">
        <v>57</v>
      </c>
      <c r="AR2412">
        <v>2100</v>
      </c>
      <c r="AS2412" t="s">
        <v>883</v>
      </c>
      <c r="AT2412" t="s">
        <v>58</v>
      </c>
    </row>
    <row r="2413" ht="29" spans="1:46">
      <c r="A2413" s="31" t="s">
        <v>65</v>
      </c>
      <c r="C2413" t="s">
        <v>3287</v>
      </c>
      <c r="D2413" s="5" t="s">
        <v>57</v>
      </c>
      <c r="E2413">
        <v>2035</v>
      </c>
      <c r="F2413" s="6" t="str">
        <f t="shared" si="298"/>
        <v>*0.94</v>
      </c>
      <c r="H2413" t="s">
        <v>3287</v>
      </c>
      <c r="I2413" s="5" t="s">
        <v>57</v>
      </c>
      <c r="J2413">
        <v>2050</v>
      </c>
      <c r="K2413" s="38" t="str">
        <f t="shared" si="299"/>
        <v>*0.91</v>
      </c>
      <c r="P2413" s="32" t="s">
        <v>3287</v>
      </c>
      <c r="Q2413" s="42" t="s">
        <v>57</v>
      </c>
      <c r="R2413" s="32">
        <v>2035</v>
      </c>
      <c r="S2413" s="43" t="str">
        <f t="shared" si="300"/>
        <v>*0.93</v>
      </c>
      <c r="U2413" s="32" t="s">
        <v>3287</v>
      </c>
      <c r="V2413" s="42" t="s">
        <v>57</v>
      </c>
      <c r="W2413" s="32">
        <v>2050</v>
      </c>
      <c r="X2413" s="43" t="str">
        <f t="shared" si="301"/>
        <v>*0.9</v>
      </c>
      <c r="AC2413" s="33" t="s">
        <v>3287</v>
      </c>
      <c r="AD2413" s="44" t="s">
        <v>57</v>
      </c>
      <c r="AE2413" s="33">
        <v>2035</v>
      </c>
      <c r="AF2413" s="45" t="str">
        <f t="shared" si="302"/>
        <v>*0.9</v>
      </c>
      <c r="AG2413" s="43" t="str">
        <f t="shared" si="304"/>
        <v>REZoning_Sol-Win</v>
      </c>
      <c r="AI2413" s="33" t="s">
        <v>3287</v>
      </c>
      <c r="AJ2413" s="44" t="s">
        <v>57</v>
      </c>
      <c r="AK2413" s="33">
        <v>2050</v>
      </c>
      <c r="AL2413" s="45" t="str">
        <f t="shared" si="303"/>
        <v>*0.86</v>
      </c>
      <c r="AM2413" s="43" t="str">
        <f t="shared" si="305"/>
        <v>REZoning_Sol-Win</v>
      </c>
      <c r="AP2413" t="s">
        <v>3287</v>
      </c>
      <c r="AQ2413" t="s">
        <v>57</v>
      </c>
      <c r="AR2413">
        <v>2100</v>
      </c>
      <c r="AS2413" t="s">
        <v>883</v>
      </c>
      <c r="AT2413" t="s">
        <v>58</v>
      </c>
    </row>
    <row r="2414" ht="29" spans="1:46">
      <c r="A2414" s="31" t="s">
        <v>65</v>
      </c>
      <c r="C2414" t="s">
        <v>3288</v>
      </c>
      <c r="D2414" s="5" t="s">
        <v>57</v>
      </c>
      <c r="E2414">
        <v>2035</v>
      </c>
      <c r="F2414" s="6" t="str">
        <f t="shared" si="298"/>
        <v>*0.94</v>
      </c>
      <c r="H2414" t="s">
        <v>3288</v>
      </c>
      <c r="I2414" s="5" t="s">
        <v>57</v>
      </c>
      <c r="J2414">
        <v>2050</v>
      </c>
      <c r="K2414" s="38" t="str">
        <f t="shared" si="299"/>
        <v>*0.91</v>
      </c>
      <c r="P2414" s="32" t="s">
        <v>3288</v>
      </c>
      <c r="Q2414" s="42" t="s">
        <v>57</v>
      </c>
      <c r="R2414" s="32">
        <v>2035</v>
      </c>
      <c r="S2414" s="43" t="str">
        <f t="shared" si="300"/>
        <v>*0.93</v>
      </c>
      <c r="U2414" s="32" t="s">
        <v>3288</v>
      </c>
      <c r="V2414" s="42" t="s">
        <v>57</v>
      </c>
      <c r="W2414" s="32">
        <v>2050</v>
      </c>
      <c r="X2414" s="43" t="str">
        <f t="shared" si="301"/>
        <v>*0.9</v>
      </c>
      <c r="AC2414" s="33" t="s">
        <v>3288</v>
      </c>
      <c r="AD2414" s="44" t="s">
        <v>57</v>
      </c>
      <c r="AE2414" s="33">
        <v>2035</v>
      </c>
      <c r="AF2414" s="45" t="str">
        <f t="shared" si="302"/>
        <v>*0.9</v>
      </c>
      <c r="AG2414" s="43" t="str">
        <f t="shared" si="304"/>
        <v>REZoning_Sol-Win</v>
      </c>
      <c r="AI2414" s="33" t="s">
        <v>3288</v>
      </c>
      <c r="AJ2414" s="44" t="s">
        <v>57</v>
      </c>
      <c r="AK2414" s="33">
        <v>2050</v>
      </c>
      <c r="AL2414" s="45" t="str">
        <f t="shared" si="303"/>
        <v>*0.86</v>
      </c>
      <c r="AM2414" s="43" t="str">
        <f t="shared" si="305"/>
        <v>REZoning_Sol-Win</v>
      </c>
      <c r="AP2414" t="s">
        <v>3288</v>
      </c>
      <c r="AQ2414" t="s">
        <v>57</v>
      </c>
      <c r="AR2414">
        <v>2100</v>
      </c>
      <c r="AS2414" t="s">
        <v>883</v>
      </c>
      <c r="AT2414" t="s">
        <v>58</v>
      </c>
    </row>
    <row r="2415" ht="29" spans="1:46">
      <c r="A2415" s="31" t="s">
        <v>65</v>
      </c>
      <c r="C2415" t="s">
        <v>3289</v>
      </c>
      <c r="D2415" s="5" t="s">
        <v>57</v>
      </c>
      <c r="E2415">
        <v>2035</v>
      </c>
      <c r="F2415" s="6" t="str">
        <f t="shared" si="298"/>
        <v>*0.94</v>
      </c>
      <c r="H2415" t="s">
        <v>3289</v>
      </c>
      <c r="I2415" s="5" t="s">
        <v>57</v>
      </c>
      <c r="J2415">
        <v>2050</v>
      </c>
      <c r="K2415" s="38" t="str">
        <f t="shared" si="299"/>
        <v>*0.91</v>
      </c>
      <c r="P2415" s="32" t="s">
        <v>3289</v>
      </c>
      <c r="Q2415" s="42" t="s">
        <v>57</v>
      </c>
      <c r="R2415" s="32">
        <v>2035</v>
      </c>
      <c r="S2415" s="43" t="str">
        <f t="shared" si="300"/>
        <v>*0.93</v>
      </c>
      <c r="U2415" s="32" t="s">
        <v>3289</v>
      </c>
      <c r="V2415" s="42" t="s">
        <v>57</v>
      </c>
      <c r="W2415" s="32">
        <v>2050</v>
      </c>
      <c r="X2415" s="43" t="str">
        <f t="shared" si="301"/>
        <v>*0.9</v>
      </c>
      <c r="AC2415" s="33" t="s">
        <v>3289</v>
      </c>
      <c r="AD2415" s="44" t="s">
        <v>57</v>
      </c>
      <c r="AE2415" s="33">
        <v>2035</v>
      </c>
      <c r="AF2415" s="45" t="str">
        <f t="shared" si="302"/>
        <v>*0.9</v>
      </c>
      <c r="AG2415" s="43" t="str">
        <f t="shared" si="304"/>
        <v>REZoning_Sol-Win</v>
      </c>
      <c r="AI2415" s="33" t="s">
        <v>3289</v>
      </c>
      <c r="AJ2415" s="44" t="s">
        <v>57</v>
      </c>
      <c r="AK2415" s="33">
        <v>2050</v>
      </c>
      <c r="AL2415" s="45" t="str">
        <f t="shared" si="303"/>
        <v>*0.86</v>
      </c>
      <c r="AM2415" s="43" t="str">
        <f t="shared" si="305"/>
        <v>REZoning_Sol-Win</v>
      </c>
      <c r="AP2415" t="s">
        <v>3289</v>
      </c>
      <c r="AQ2415" t="s">
        <v>57</v>
      </c>
      <c r="AR2415">
        <v>2100</v>
      </c>
      <c r="AS2415" t="s">
        <v>883</v>
      </c>
      <c r="AT2415" t="s">
        <v>58</v>
      </c>
    </row>
    <row r="2416" ht="29" spans="1:46">
      <c r="A2416" s="31" t="s">
        <v>65</v>
      </c>
      <c r="C2416" t="s">
        <v>3290</v>
      </c>
      <c r="D2416" s="5" t="s">
        <v>57</v>
      </c>
      <c r="E2416">
        <v>2035</v>
      </c>
      <c r="F2416" s="6" t="str">
        <f t="shared" si="298"/>
        <v>*0.94</v>
      </c>
      <c r="H2416" t="s">
        <v>3290</v>
      </c>
      <c r="I2416" s="5" t="s">
        <v>57</v>
      </c>
      <c r="J2416">
        <v>2050</v>
      </c>
      <c r="K2416" s="38" t="str">
        <f t="shared" si="299"/>
        <v>*0.91</v>
      </c>
      <c r="P2416" s="32" t="s">
        <v>3290</v>
      </c>
      <c r="Q2416" s="42" t="s">
        <v>57</v>
      </c>
      <c r="R2416" s="32">
        <v>2035</v>
      </c>
      <c r="S2416" s="43" t="str">
        <f t="shared" si="300"/>
        <v>*0.93</v>
      </c>
      <c r="U2416" s="32" t="s">
        <v>3290</v>
      </c>
      <c r="V2416" s="42" t="s">
        <v>57</v>
      </c>
      <c r="W2416" s="32">
        <v>2050</v>
      </c>
      <c r="X2416" s="43" t="str">
        <f t="shared" si="301"/>
        <v>*0.9</v>
      </c>
      <c r="AC2416" s="33" t="s">
        <v>3290</v>
      </c>
      <c r="AD2416" s="44" t="s">
        <v>57</v>
      </c>
      <c r="AE2416" s="33">
        <v>2035</v>
      </c>
      <c r="AF2416" s="45" t="str">
        <f t="shared" si="302"/>
        <v>*0.9</v>
      </c>
      <c r="AG2416" s="43" t="str">
        <f t="shared" si="304"/>
        <v>REZoning_Sol-Win</v>
      </c>
      <c r="AI2416" s="33" t="s">
        <v>3290</v>
      </c>
      <c r="AJ2416" s="44" t="s">
        <v>57</v>
      </c>
      <c r="AK2416" s="33">
        <v>2050</v>
      </c>
      <c r="AL2416" s="45" t="str">
        <f t="shared" si="303"/>
        <v>*0.86</v>
      </c>
      <c r="AM2416" s="43" t="str">
        <f t="shared" si="305"/>
        <v>REZoning_Sol-Win</v>
      </c>
      <c r="AP2416" t="s">
        <v>3290</v>
      </c>
      <c r="AQ2416" t="s">
        <v>57</v>
      </c>
      <c r="AR2416">
        <v>2100</v>
      </c>
      <c r="AS2416" t="s">
        <v>883</v>
      </c>
      <c r="AT2416" t="s">
        <v>58</v>
      </c>
    </row>
    <row r="2417" ht="29" spans="1:46">
      <c r="A2417" s="31" t="s">
        <v>65</v>
      </c>
      <c r="C2417" t="s">
        <v>3291</v>
      </c>
      <c r="D2417" s="5" t="s">
        <v>57</v>
      </c>
      <c r="E2417">
        <v>2035</v>
      </c>
      <c r="F2417" s="6" t="str">
        <f t="shared" si="298"/>
        <v>*0.94</v>
      </c>
      <c r="H2417" t="s">
        <v>3291</v>
      </c>
      <c r="I2417" s="5" t="s">
        <v>57</v>
      </c>
      <c r="J2417">
        <v>2050</v>
      </c>
      <c r="K2417" s="38" t="str">
        <f t="shared" si="299"/>
        <v>*0.91</v>
      </c>
      <c r="P2417" s="32" t="s">
        <v>3291</v>
      </c>
      <c r="Q2417" s="42" t="s">
        <v>57</v>
      </c>
      <c r="R2417" s="32">
        <v>2035</v>
      </c>
      <c r="S2417" s="43" t="str">
        <f t="shared" si="300"/>
        <v>*0.93</v>
      </c>
      <c r="U2417" s="32" t="s">
        <v>3291</v>
      </c>
      <c r="V2417" s="42" t="s">
        <v>57</v>
      </c>
      <c r="W2417" s="32">
        <v>2050</v>
      </c>
      <c r="X2417" s="43" t="str">
        <f t="shared" si="301"/>
        <v>*0.9</v>
      </c>
      <c r="AC2417" s="33" t="s">
        <v>3291</v>
      </c>
      <c r="AD2417" s="44" t="s">
        <v>57</v>
      </c>
      <c r="AE2417" s="33">
        <v>2035</v>
      </c>
      <c r="AF2417" s="45" t="str">
        <f t="shared" si="302"/>
        <v>*0.9</v>
      </c>
      <c r="AG2417" s="43" t="str">
        <f t="shared" si="304"/>
        <v>REZoning_Sol-Win</v>
      </c>
      <c r="AI2417" s="33" t="s">
        <v>3291</v>
      </c>
      <c r="AJ2417" s="44" t="s">
        <v>57</v>
      </c>
      <c r="AK2417" s="33">
        <v>2050</v>
      </c>
      <c r="AL2417" s="45" t="str">
        <f t="shared" si="303"/>
        <v>*0.86</v>
      </c>
      <c r="AM2417" s="43" t="str">
        <f t="shared" si="305"/>
        <v>REZoning_Sol-Win</v>
      </c>
      <c r="AP2417" t="s">
        <v>3291</v>
      </c>
      <c r="AQ2417" t="s">
        <v>57</v>
      </c>
      <c r="AR2417">
        <v>2100</v>
      </c>
      <c r="AS2417" t="s">
        <v>883</v>
      </c>
      <c r="AT2417" t="s">
        <v>58</v>
      </c>
    </row>
    <row r="2418" ht="29" spans="1:46">
      <c r="A2418" s="31" t="s">
        <v>65</v>
      </c>
      <c r="C2418" t="s">
        <v>3292</v>
      </c>
      <c r="D2418" s="5" t="s">
        <v>57</v>
      </c>
      <c r="E2418">
        <v>2035</v>
      </c>
      <c r="F2418" s="6" t="str">
        <f t="shared" si="298"/>
        <v>*0.94</v>
      </c>
      <c r="H2418" t="s">
        <v>3292</v>
      </c>
      <c r="I2418" s="5" t="s">
        <v>57</v>
      </c>
      <c r="J2418">
        <v>2050</v>
      </c>
      <c r="K2418" s="38" t="str">
        <f t="shared" si="299"/>
        <v>*0.91</v>
      </c>
      <c r="P2418" s="32" t="s">
        <v>3292</v>
      </c>
      <c r="Q2418" s="42" t="s">
        <v>57</v>
      </c>
      <c r="R2418" s="32">
        <v>2035</v>
      </c>
      <c r="S2418" s="43" t="str">
        <f t="shared" si="300"/>
        <v>*0.93</v>
      </c>
      <c r="U2418" s="32" t="s">
        <v>3292</v>
      </c>
      <c r="V2418" s="42" t="s">
        <v>57</v>
      </c>
      <c r="W2418" s="32">
        <v>2050</v>
      </c>
      <c r="X2418" s="43" t="str">
        <f t="shared" si="301"/>
        <v>*0.9</v>
      </c>
      <c r="AC2418" s="33" t="s">
        <v>3292</v>
      </c>
      <c r="AD2418" s="44" t="s">
        <v>57</v>
      </c>
      <c r="AE2418" s="33">
        <v>2035</v>
      </c>
      <c r="AF2418" s="45" t="str">
        <f t="shared" si="302"/>
        <v>*0.9</v>
      </c>
      <c r="AG2418" s="43" t="str">
        <f t="shared" si="304"/>
        <v>REZoning_Sol-Win</v>
      </c>
      <c r="AI2418" s="33" t="s">
        <v>3292</v>
      </c>
      <c r="AJ2418" s="44" t="s">
        <v>57</v>
      </c>
      <c r="AK2418" s="33">
        <v>2050</v>
      </c>
      <c r="AL2418" s="45" t="str">
        <f t="shared" si="303"/>
        <v>*0.86</v>
      </c>
      <c r="AM2418" s="43" t="str">
        <f t="shared" si="305"/>
        <v>REZoning_Sol-Win</v>
      </c>
      <c r="AP2418" t="s">
        <v>3292</v>
      </c>
      <c r="AQ2418" t="s">
        <v>57</v>
      </c>
      <c r="AR2418">
        <v>2100</v>
      </c>
      <c r="AS2418" t="s">
        <v>883</v>
      </c>
      <c r="AT2418" t="s">
        <v>58</v>
      </c>
    </row>
    <row r="2419" ht="29" spans="1:46">
      <c r="A2419" s="31" t="s">
        <v>65</v>
      </c>
      <c r="C2419" t="s">
        <v>3293</v>
      </c>
      <c r="D2419" s="5" t="s">
        <v>57</v>
      </c>
      <c r="E2419">
        <v>2035</v>
      </c>
      <c r="F2419" s="6" t="str">
        <f t="shared" si="298"/>
        <v>*0.94</v>
      </c>
      <c r="H2419" t="s">
        <v>3293</v>
      </c>
      <c r="I2419" s="5" t="s">
        <v>57</v>
      </c>
      <c r="J2419">
        <v>2050</v>
      </c>
      <c r="K2419" s="38" t="str">
        <f t="shared" si="299"/>
        <v>*0.91</v>
      </c>
      <c r="P2419" s="32" t="s">
        <v>3293</v>
      </c>
      <c r="Q2419" s="42" t="s">
        <v>57</v>
      </c>
      <c r="R2419" s="32">
        <v>2035</v>
      </c>
      <c r="S2419" s="43" t="str">
        <f t="shared" si="300"/>
        <v>*0.93</v>
      </c>
      <c r="U2419" s="32" t="s">
        <v>3293</v>
      </c>
      <c r="V2419" s="42" t="s">
        <v>57</v>
      </c>
      <c r="W2419" s="32">
        <v>2050</v>
      </c>
      <c r="X2419" s="43" t="str">
        <f t="shared" si="301"/>
        <v>*0.9</v>
      </c>
      <c r="AC2419" s="33" t="s">
        <v>3293</v>
      </c>
      <c r="AD2419" s="44" t="s">
        <v>57</v>
      </c>
      <c r="AE2419" s="33">
        <v>2035</v>
      </c>
      <c r="AF2419" s="45" t="str">
        <f t="shared" si="302"/>
        <v>*0.9</v>
      </c>
      <c r="AG2419" s="43" t="str">
        <f t="shared" si="304"/>
        <v>REZoning_Sol-Win</v>
      </c>
      <c r="AI2419" s="33" t="s">
        <v>3293</v>
      </c>
      <c r="AJ2419" s="44" t="s">
        <v>57</v>
      </c>
      <c r="AK2419" s="33">
        <v>2050</v>
      </c>
      <c r="AL2419" s="45" t="str">
        <f t="shared" si="303"/>
        <v>*0.86</v>
      </c>
      <c r="AM2419" s="43" t="str">
        <f t="shared" si="305"/>
        <v>REZoning_Sol-Win</v>
      </c>
      <c r="AP2419" t="s">
        <v>3293</v>
      </c>
      <c r="AQ2419" t="s">
        <v>57</v>
      </c>
      <c r="AR2419">
        <v>2100</v>
      </c>
      <c r="AS2419" t="s">
        <v>883</v>
      </c>
      <c r="AT2419" t="s">
        <v>58</v>
      </c>
    </row>
    <row r="2420" ht="29" spans="1:46">
      <c r="A2420" s="31" t="s">
        <v>65</v>
      </c>
      <c r="C2420" t="s">
        <v>3294</v>
      </c>
      <c r="D2420" s="5" t="s">
        <v>57</v>
      </c>
      <c r="E2420">
        <v>2035</v>
      </c>
      <c r="F2420" s="6" t="str">
        <f t="shared" si="298"/>
        <v>*0.94</v>
      </c>
      <c r="H2420" t="s">
        <v>3294</v>
      </c>
      <c r="I2420" s="5" t="s">
        <v>57</v>
      </c>
      <c r="J2420">
        <v>2050</v>
      </c>
      <c r="K2420" s="38" t="str">
        <f t="shared" si="299"/>
        <v>*0.91</v>
      </c>
      <c r="P2420" s="32" t="s">
        <v>3294</v>
      </c>
      <c r="Q2420" s="42" t="s">
        <v>57</v>
      </c>
      <c r="R2420" s="32">
        <v>2035</v>
      </c>
      <c r="S2420" s="43" t="str">
        <f t="shared" si="300"/>
        <v>*0.93</v>
      </c>
      <c r="U2420" s="32" t="s">
        <v>3294</v>
      </c>
      <c r="V2420" s="42" t="s">
        <v>57</v>
      </c>
      <c r="W2420" s="32">
        <v>2050</v>
      </c>
      <c r="X2420" s="43" t="str">
        <f t="shared" si="301"/>
        <v>*0.9</v>
      </c>
      <c r="AC2420" s="33" t="s">
        <v>3294</v>
      </c>
      <c r="AD2420" s="44" t="s">
        <v>57</v>
      </c>
      <c r="AE2420" s="33">
        <v>2035</v>
      </c>
      <c r="AF2420" s="45" t="str">
        <f t="shared" si="302"/>
        <v>*0.9</v>
      </c>
      <c r="AG2420" s="43" t="str">
        <f t="shared" si="304"/>
        <v>REZoning_Sol-Win</v>
      </c>
      <c r="AI2420" s="33" t="s">
        <v>3294</v>
      </c>
      <c r="AJ2420" s="44" t="s">
        <v>57</v>
      </c>
      <c r="AK2420" s="33">
        <v>2050</v>
      </c>
      <c r="AL2420" s="45" t="str">
        <f t="shared" si="303"/>
        <v>*0.86</v>
      </c>
      <c r="AM2420" s="43" t="str">
        <f t="shared" si="305"/>
        <v>REZoning_Sol-Win</v>
      </c>
      <c r="AP2420" t="s">
        <v>3294</v>
      </c>
      <c r="AQ2420" t="s">
        <v>57</v>
      </c>
      <c r="AR2420">
        <v>2100</v>
      </c>
      <c r="AS2420" t="s">
        <v>883</v>
      </c>
      <c r="AT2420" t="s">
        <v>58</v>
      </c>
    </row>
    <row r="2421" ht="29" spans="1:46">
      <c r="A2421" s="31" t="s">
        <v>65</v>
      </c>
      <c r="C2421" t="s">
        <v>3295</v>
      </c>
      <c r="D2421" s="5" t="s">
        <v>57</v>
      </c>
      <c r="E2421">
        <v>2035</v>
      </c>
      <c r="F2421" s="6" t="str">
        <f t="shared" si="298"/>
        <v>*0.94</v>
      </c>
      <c r="H2421" t="s">
        <v>3295</v>
      </c>
      <c r="I2421" s="5" t="s">
        <v>57</v>
      </c>
      <c r="J2421">
        <v>2050</v>
      </c>
      <c r="K2421" s="38" t="str">
        <f t="shared" si="299"/>
        <v>*0.91</v>
      </c>
      <c r="P2421" s="32" t="s">
        <v>3295</v>
      </c>
      <c r="Q2421" s="42" t="s">
        <v>57</v>
      </c>
      <c r="R2421" s="32">
        <v>2035</v>
      </c>
      <c r="S2421" s="43" t="str">
        <f t="shared" si="300"/>
        <v>*0.93</v>
      </c>
      <c r="U2421" s="32" t="s">
        <v>3295</v>
      </c>
      <c r="V2421" s="42" t="s">
        <v>57</v>
      </c>
      <c r="W2421" s="32">
        <v>2050</v>
      </c>
      <c r="X2421" s="43" t="str">
        <f t="shared" si="301"/>
        <v>*0.9</v>
      </c>
      <c r="AC2421" s="33" t="s">
        <v>3295</v>
      </c>
      <c r="AD2421" s="44" t="s">
        <v>57</v>
      </c>
      <c r="AE2421" s="33">
        <v>2035</v>
      </c>
      <c r="AF2421" s="45" t="str">
        <f t="shared" si="302"/>
        <v>*0.9</v>
      </c>
      <c r="AG2421" s="43" t="str">
        <f t="shared" si="304"/>
        <v>REZoning_Sol-Win</v>
      </c>
      <c r="AI2421" s="33" t="s">
        <v>3295</v>
      </c>
      <c r="AJ2421" s="44" t="s">
        <v>57</v>
      </c>
      <c r="AK2421" s="33">
        <v>2050</v>
      </c>
      <c r="AL2421" s="45" t="str">
        <f t="shared" si="303"/>
        <v>*0.86</v>
      </c>
      <c r="AM2421" s="43" t="str">
        <f t="shared" si="305"/>
        <v>REZoning_Sol-Win</v>
      </c>
      <c r="AP2421" t="s">
        <v>3295</v>
      </c>
      <c r="AQ2421" t="s">
        <v>57</v>
      </c>
      <c r="AR2421">
        <v>2100</v>
      </c>
      <c r="AS2421" t="s">
        <v>883</v>
      </c>
      <c r="AT2421" t="s">
        <v>58</v>
      </c>
    </row>
    <row r="2422" ht="29" spans="1:46">
      <c r="A2422" s="31" t="s">
        <v>65</v>
      </c>
      <c r="C2422" t="s">
        <v>3296</v>
      </c>
      <c r="D2422" s="5" t="s">
        <v>57</v>
      </c>
      <c r="E2422">
        <v>2035</v>
      </c>
      <c r="F2422" s="6" t="str">
        <f t="shared" si="298"/>
        <v>*0.94</v>
      </c>
      <c r="H2422" t="s">
        <v>3296</v>
      </c>
      <c r="I2422" s="5" t="s">
        <v>57</v>
      </c>
      <c r="J2422">
        <v>2050</v>
      </c>
      <c r="K2422" s="38" t="str">
        <f t="shared" si="299"/>
        <v>*0.91</v>
      </c>
      <c r="P2422" s="32" t="s">
        <v>3296</v>
      </c>
      <c r="Q2422" s="42" t="s">
        <v>57</v>
      </c>
      <c r="R2422" s="32">
        <v>2035</v>
      </c>
      <c r="S2422" s="43" t="str">
        <f t="shared" si="300"/>
        <v>*0.93</v>
      </c>
      <c r="U2422" s="32" t="s">
        <v>3296</v>
      </c>
      <c r="V2422" s="42" t="s">
        <v>57</v>
      </c>
      <c r="W2422" s="32">
        <v>2050</v>
      </c>
      <c r="X2422" s="43" t="str">
        <f t="shared" si="301"/>
        <v>*0.9</v>
      </c>
      <c r="AC2422" s="33" t="s">
        <v>3296</v>
      </c>
      <c r="AD2422" s="44" t="s">
        <v>57</v>
      </c>
      <c r="AE2422" s="33">
        <v>2035</v>
      </c>
      <c r="AF2422" s="45" t="str">
        <f t="shared" si="302"/>
        <v>*0.9</v>
      </c>
      <c r="AG2422" s="43" t="str">
        <f t="shared" si="304"/>
        <v>REZoning_Sol-Win</v>
      </c>
      <c r="AI2422" s="33" t="s">
        <v>3296</v>
      </c>
      <c r="AJ2422" s="44" t="s">
        <v>57</v>
      </c>
      <c r="AK2422" s="33">
        <v>2050</v>
      </c>
      <c r="AL2422" s="45" t="str">
        <f t="shared" si="303"/>
        <v>*0.86</v>
      </c>
      <c r="AM2422" s="43" t="str">
        <f t="shared" si="305"/>
        <v>REZoning_Sol-Win</v>
      </c>
      <c r="AP2422" t="s">
        <v>3296</v>
      </c>
      <c r="AQ2422" t="s">
        <v>57</v>
      </c>
      <c r="AR2422">
        <v>2100</v>
      </c>
      <c r="AS2422" t="s">
        <v>883</v>
      </c>
      <c r="AT2422" t="s">
        <v>58</v>
      </c>
    </row>
    <row r="2423" ht="29" spans="1:46">
      <c r="A2423" s="31" t="s">
        <v>65</v>
      </c>
      <c r="C2423" t="s">
        <v>3297</v>
      </c>
      <c r="D2423" s="5" t="s">
        <v>57</v>
      </c>
      <c r="E2423">
        <v>2035</v>
      </c>
      <c r="F2423" s="6" t="str">
        <f t="shared" si="298"/>
        <v>*0.94</v>
      </c>
      <c r="H2423" t="s">
        <v>3297</v>
      </c>
      <c r="I2423" s="5" t="s">
        <v>57</v>
      </c>
      <c r="J2423">
        <v>2050</v>
      </c>
      <c r="K2423" s="38" t="str">
        <f t="shared" si="299"/>
        <v>*0.91</v>
      </c>
      <c r="P2423" s="32" t="s">
        <v>3297</v>
      </c>
      <c r="Q2423" s="42" t="s">
        <v>57</v>
      </c>
      <c r="R2423" s="32">
        <v>2035</v>
      </c>
      <c r="S2423" s="43" t="str">
        <f t="shared" si="300"/>
        <v>*0.93</v>
      </c>
      <c r="U2423" s="32" t="s">
        <v>3297</v>
      </c>
      <c r="V2423" s="42" t="s">
        <v>57</v>
      </c>
      <c r="W2423" s="32">
        <v>2050</v>
      </c>
      <c r="X2423" s="43" t="str">
        <f t="shared" si="301"/>
        <v>*0.9</v>
      </c>
      <c r="AC2423" s="33" t="s">
        <v>3297</v>
      </c>
      <c r="AD2423" s="44" t="s">
        <v>57</v>
      </c>
      <c r="AE2423" s="33">
        <v>2035</v>
      </c>
      <c r="AF2423" s="45" t="str">
        <f t="shared" si="302"/>
        <v>*0.9</v>
      </c>
      <c r="AG2423" s="43" t="str">
        <f t="shared" si="304"/>
        <v>REZoning_Sol-Win</v>
      </c>
      <c r="AI2423" s="33" t="s">
        <v>3297</v>
      </c>
      <c r="AJ2423" s="44" t="s">
        <v>57</v>
      </c>
      <c r="AK2423" s="33">
        <v>2050</v>
      </c>
      <c r="AL2423" s="45" t="str">
        <f t="shared" si="303"/>
        <v>*0.86</v>
      </c>
      <c r="AM2423" s="43" t="str">
        <f t="shared" si="305"/>
        <v>REZoning_Sol-Win</v>
      </c>
      <c r="AP2423" t="s">
        <v>3297</v>
      </c>
      <c r="AQ2423" t="s">
        <v>57</v>
      </c>
      <c r="AR2423">
        <v>2100</v>
      </c>
      <c r="AS2423" t="s">
        <v>883</v>
      </c>
      <c r="AT2423" t="s">
        <v>58</v>
      </c>
    </row>
    <row r="2424" ht="29" spans="1:46">
      <c r="A2424" s="31" t="s">
        <v>65</v>
      </c>
      <c r="C2424" t="s">
        <v>3298</v>
      </c>
      <c r="D2424" s="5" t="s">
        <v>57</v>
      </c>
      <c r="E2424">
        <v>2035</v>
      </c>
      <c r="F2424" s="6" t="str">
        <f t="shared" si="298"/>
        <v>*0.94</v>
      </c>
      <c r="H2424" t="s">
        <v>3298</v>
      </c>
      <c r="I2424" s="5" t="s">
        <v>57</v>
      </c>
      <c r="J2424">
        <v>2050</v>
      </c>
      <c r="K2424" s="38" t="str">
        <f t="shared" si="299"/>
        <v>*0.91</v>
      </c>
      <c r="P2424" s="32" t="s">
        <v>3298</v>
      </c>
      <c r="Q2424" s="42" t="s">
        <v>57</v>
      </c>
      <c r="R2424" s="32">
        <v>2035</v>
      </c>
      <c r="S2424" s="43" t="str">
        <f t="shared" si="300"/>
        <v>*0.93</v>
      </c>
      <c r="U2424" s="32" t="s">
        <v>3298</v>
      </c>
      <c r="V2424" s="42" t="s">
        <v>57</v>
      </c>
      <c r="W2424" s="32">
        <v>2050</v>
      </c>
      <c r="X2424" s="43" t="str">
        <f t="shared" si="301"/>
        <v>*0.9</v>
      </c>
      <c r="AC2424" s="33" t="s">
        <v>3298</v>
      </c>
      <c r="AD2424" s="44" t="s">
        <v>57</v>
      </c>
      <c r="AE2424" s="33">
        <v>2035</v>
      </c>
      <c r="AF2424" s="45" t="str">
        <f t="shared" si="302"/>
        <v>*0.9</v>
      </c>
      <c r="AG2424" s="43" t="str">
        <f t="shared" si="304"/>
        <v>REZoning_Sol-Win</v>
      </c>
      <c r="AI2424" s="33" t="s">
        <v>3298</v>
      </c>
      <c r="AJ2424" s="44" t="s">
        <v>57</v>
      </c>
      <c r="AK2424" s="33">
        <v>2050</v>
      </c>
      <c r="AL2424" s="45" t="str">
        <f t="shared" si="303"/>
        <v>*0.86</v>
      </c>
      <c r="AM2424" s="43" t="str">
        <f t="shared" si="305"/>
        <v>REZoning_Sol-Win</v>
      </c>
      <c r="AP2424" t="s">
        <v>3298</v>
      </c>
      <c r="AQ2424" t="s">
        <v>57</v>
      </c>
      <c r="AR2424">
        <v>2100</v>
      </c>
      <c r="AS2424" t="s">
        <v>883</v>
      </c>
      <c r="AT2424" t="s">
        <v>58</v>
      </c>
    </row>
    <row r="2425" ht="29" spans="1:46">
      <c r="A2425" s="31" t="s">
        <v>65</v>
      </c>
      <c r="C2425" t="s">
        <v>3299</v>
      </c>
      <c r="D2425" s="5" t="s">
        <v>57</v>
      </c>
      <c r="E2425">
        <v>2035</v>
      </c>
      <c r="F2425" s="6" t="str">
        <f t="shared" si="298"/>
        <v>*0.94</v>
      </c>
      <c r="H2425" t="s">
        <v>3299</v>
      </c>
      <c r="I2425" s="5" t="s">
        <v>57</v>
      </c>
      <c r="J2425">
        <v>2050</v>
      </c>
      <c r="K2425" s="38" t="str">
        <f t="shared" si="299"/>
        <v>*0.91</v>
      </c>
      <c r="P2425" s="32" t="s">
        <v>3299</v>
      </c>
      <c r="Q2425" s="42" t="s">
        <v>57</v>
      </c>
      <c r="R2425" s="32">
        <v>2035</v>
      </c>
      <c r="S2425" s="43" t="str">
        <f t="shared" si="300"/>
        <v>*0.93</v>
      </c>
      <c r="U2425" s="32" t="s">
        <v>3299</v>
      </c>
      <c r="V2425" s="42" t="s">
        <v>57</v>
      </c>
      <c r="W2425" s="32">
        <v>2050</v>
      </c>
      <c r="X2425" s="43" t="str">
        <f t="shared" si="301"/>
        <v>*0.9</v>
      </c>
      <c r="AC2425" s="33" t="s">
        <v>3299</v>
      </c>
      <c r="AD2425" s="44" t="s">
        <v>57</v>
      </c>
      <c r="AE2425" s="33">
        <v>2035</v>
      </c>
      <c r="AF2425" s="45" t="str">
        <f t="shared" si="302"/>
        <v>*0.9</v>
      </c>
      <c r="AG2425" s="43" t="str">
        <f t="shared" si="304"/>
        <v>REZoning_Sol-Win</v>
      </c>
      <c r="AI2425" s="33" t="s">
        <v>3299</v>
      </c>
      <c r="AJ2425" s="44" t="s">
        <v>57</v>
      </c>
      <c r="AK2425" s="33">
        <v>2050</v>
      </c>
      <c r="AL2425" s="45" t="str">
        <f t="shared" si="303"/>
        <v>*0.86</v>
      </c>
      <c r="AM2425" s="43" t="str">
        <f t="shared" si="305"/>
        <v>REZoning_Sol-Win</v>
      </c>
      <c r="AP2425" t="s">
        <v>3299</v>
      </c>
      <c r="AQ2425" t="s">
        <v>57</v>
      </c>
      <c r="AR2425">
        <v>2100</v>
      </c>
      <c r="AS2425" t="s">
        <v>883</v>
      </c>
      <c r="AT2425" t="s">
        <v>58</v>
      </c>
    </row>
    <row r="2426" ht="29" spans="1:46">
      <c r="A2426" s="31" t="s">
        <v>65</v>
      </c>
      <c r="C2426" t="s">
        <v>3300</v>
      </c>
      <c r="D2426" s="5" t="s">
        <v>57</v>
      </c>
      <c r="E2426">
        <v>2035</v>
      </c>
      <c r="F2426" s="6" t="str">
        <f t="shared" si="298"/>
        <v>*0.94</v>
      </c>
      <c r="H2426" t="s">
        <v>3300</v>
      </c>
      <c r="I2426" s="5" t="s">
        <v>57</v>
      </c>
      <c r="J2426">
        <v>2050</v>
      </c>
      <c r="K2426" s="38" t="str">
        <f t="shared" si="299"/>
        <v>*0.91</v>
      </c>
      <c r="P2426" s="32" t="s">
        <v>3300</v>
      </c>
      <c r="Q2426" s="42" t="s">
        <v>57</v>
      </c>
      <c r="R2426" s="32">
        <v>2035</v>
      </c>
      <c r="S2426" s="43" t="str">
        <f t="shared" si="300"/>
        <v>*0.93</v>
      </c>
      <c r="U2426" s="32" t="s">
        <v>3300</v>
      </c>
      <c r="V2426" s="42" t="s">
        <v>57</v>
      </c>
      <c r="W2426" s="32">
        <v>2050</v>
      </c>
      <c r="X2426" s="43" t="str">
        <f t="shared" si="301"/>
        <v>*0.9</v>
      </c>
      <c r="AC2426" s="33" t="s">
        <v>3300</v>
      </c>
      <c r="AD2426" s="44" t="s">
        <v>57</v>
      </c>
      <c r="AE2426" s="33">
        <v>2035</v>
      </c>
      <c r="AF2426" s="45" t="str">
        <f t="shared" si="302"/>
        <v>*0.9</v>
      </c>
      <c r="AG2426" s="43" t="str">
        <f t="shared" si="304"/>
        <v>REZoning_Sol-Win</v>
      </c>
      <c r="AI2426" s="33" t="s">
        <v>3300</v>
      </c>
      <c r="AJ2426" s="44" t="s">
        <v>57</v>
      </c>
      <c r="AK2426" s="33">
        <v>2050</v>
      </c>
      <c r="AL2426" s="45" t="str">
        <f t="shared" si="303"/>
        <v>*0.86</v>
      </c>
      <c r="AM2426" s="43" t="str">
        <f t="shared" si="305"/>
        <v>REZoning_Sol-Win</v>
      </c>
      <c r="AP2426" t="s">
        <v>3300</v>
      </c>
      <c r="AQ2426" t="s">
        <v>57</v>
      </c>
      <c r="AR2426">
        <v>2100</v>
      </c>
      <c r="AS2426" t="s">
        <v>883</v>
      </c>
      <c r="AT2426" t="s">
        <v>58</v>
      </c>
    </row>
    <row r="2427" ht="29" spans="1:46">
      <c r="A2427" s="31" t="s">
        <v>65</v>
      </c>
      <c r="C2427" t="s">
        <v>3301</v>
      </c>
      <c r="D2427" s="5" t="s">
        <v>57</v>
      </c>
      <c r="E2427">
        <v>2035</v>
      </c>
      <c r="F2427" s="6" t="str">
        <f t="shared" si="298"/>
        <v>*0.94</v>
      </c>
      <c r="H2427" t="s">
        <v>3301</v>
      </c>
      <c r="I2427" s="5" t="s">
        <v>57</v>
      </c>
      <c r="J2427">
        <v>2050</v>
      </c>
      <c r="K2427" s="38" t="str">
        <f t="shared" si="299"/>
        <v>*0.91</v>
      </c>
      <c r="P2427" s="32" t="s">
        <v>3301</v>
      </c>
      <c r="Q2427" s="42" t="s">
        <v>57</v>
      </c>
      <c r="R2427" s="32">
        <v>2035</v>
      </c>
      <c r="S2427" s="43" t="str">
        <f t="shared" si="300"/>
        <v>*0.93</v>
      </c>
      <c r="U2427" s="32" t="s">
        <v>3301</v>
      </c>
      <c r="V2427" s="42" t="s">
        <v>57</v>
      </c>
      <c r="W2427" s="32">
        <v>2050</v>
      </c>
      <c r="X2427" s="43" t="str">
        <f t="shared" si="301"/>
        <v>*0.9</v>
      </c>
      <c r="AC2427" s="33" t="s">
        <v>3301</v>
      </c>
      <c r="AD2427" s="44" t="s">
        <v>57</v>
      </c>
      <c r="AE2427" s="33">
        <v>2035</v>
      </c>
      <c r="AF2427" s="45" t="str">
        <f t="shared" si="302"/>
        <v>*0.9</v>
      </c>
      <c r="AG2427" s="43" t="str">
        <f t="shared" si="304"/>
        <v>REZoning_Sol-Win</v>
      </c>
      <c r="AI2427" s="33" t="s">
        <v>3301</v>
      </c>
      <c r="AJ2427" s="44" t="s">
        <v>57</v>
      </c>
      <c r="AK2427" s="33">
        <v>2050</v>
      </c>
      <c r="AL2427" s="45" t="str">
        <f t="shared" si="303"/>
        <v>*0.86</v>
      </c>
      <c r="AM2427" s="43" t="str">
        <f t="shared" si="305"/>
        <v>REZoning_Sol-Win</v>
      </c>
      <c r="AP2427" t="s">
        <v>3301</v>
      </c>
      <c r="AQ2427" t="s">
        <v>57</v>
      </c>
      <c r="AR2427">
        <v>2100</v>
      </c>
      <c r="AS2427" t="s">
        <v>883</v>
      </c>
      <c r="AT2427" t="s">
        <v>58</v>
      </c>
    </row>
    <row r="2428" ht="29" spans="1:46">
      <c r="A2428" s="31" t="s">
        <v>65</v>
      </c>
      <c r="C2428" t="s">
        <v>3302</v>
      </c>
      <c r="D2428" s="5" t="s">
        <v>57</v>
      </c>
      <c r="E2428">
        <v>2035</v>
      </c>
      <c r="F2428" s="6" t="str">
        <f t="shared" si="298"/>
        <v>*0.94</v>
      </c>
      <c r="H2428" t="s">
        <v>3302</v>
      </c>
      <c r="I2428" s="5" t="s">
        <v>57</v>
      </c>
      <c r="J2428">
        <v>2050</v>
      </c>
      <c r="K2428" s="38" t="str">
        <f t="shared" si="299"/>
        <v>*0.91</v>
      </c>
      <c r="P2428" s="32" t="s">
        <v>3302</v>
      </c>
      <c r="Q2428" s="42" t="s">
        <v>57</v>
      </c>
      <c r="R2428" s="32">
        <v>2035</v>
      </c>
      <c r="S2428" s="43" t="str">
        <f t="shared" si="300"/>
        <v>*0.93</v>
      </c>
      <c r="U2428" s="32" t="s">
        <v>3302</v>
      </c>
      <c r="V2428" s="42" t="s">
        <v>57</v>
      </c>
      <c r="W2428" s="32">
        <v>2050</v>
      </c>
      <c r="X2428" s="43" t="str">
        <f t="shared" si="301"/>
        <v>*0.9</v>
      </c>
      <c r="AC2428" s="33" t="s">
        <v>3302</v>
      </c>
      <c r="AD2428" s="44" t="s">
        <v>57</v>
      </c>
      <c r="AE2428" s="33">
        <v>2035</v>
      </c>
      <c r="AF2428" s="45" t="str">
        <f t="shared" si="302"/>
        <v>*0.9</v>
      </c>
      <c r="AG2428" s="43" t="str">
        <f t="shared" si="304"/>
        <v>REZoning_Sol-Win</v>
      </c>
      <c r="AI2428" s="33" t="s">
        <v>3302</v>
      </c>
      <c r="AJ2428" s="44" t="s">
        <v>57</v>
      </c>
      <c r="AK2428" s="33">
        <v>2050</v>
      </c>
      <c r="AL2428" s="45" t="str">
        <f t="shared" si="303"/>
        <v>*0.86</v>
      </c>
      <c r="AM2428" s="43" t="str">
        <f t="shared" si="305"/>
        <v>REZoning_Sol-Win</v>
      </c>
      <c r="AP2428" t="s">
        <v>3302</v>
      </c>
      <c r="AQ2428" t="s">
        <v>57</v>
      </c>
      <c r="AR2428">
        <v>2100</v>
      </c>
      <c r="AS2428" t="s">
        <v>883</v>
      </c>
      <c r="AT2428" t="s">
        <v>58</v>
      </c>
    </row>
    <row r="2429" ht="29" spans="1:46">
      <c r="A2429" s="31" t="s">
        <v>65</v>
      </c>
      <c r="C2429" t="s">
        <v>3303</v>
      </c>
      <c r="D2429" s="5" t="s">
        <v>57</v>
      </c>
      <c r="E2429">
        <v>2035</v>
      </c>
      <c r="F2429" s="6" t="str">
        <f t="shared" si="298"/>
        <v>*0.94</v>
      </c>
      <c r="H2429" t="s">
        <v>3303</v>
      </c>
      <c r="I2429" s="5" t="s">
        <v>57</v>
      </c>
      <c r="J2429">
        <v>2050</v>
      </c>
      <c r="K2429" s="38" t="str">
        <f t="shared" si="299"/>
        <v>*0.91</v>
      </c>
      <c r="P2429" s="32" t="s">
        <v>3303</v>
      </c>
      <c r="Q2429" s="42" t="s">
        <v>57</v>
      </c>
      <c r="R2429" s="32">
        <v>2035</v>
      </c>
      <c r="S2429" s="43" t="str">
        <f t="shared" si="300"/>
        <v>*0.93</v>
      </c>
      <c r="U2429" s="32" t="s">
        <v>3303</v>
      </c>
      <c r="V2429" s="42" t="s">
        <v>57</v>
      </c>
      <c r="W2429" s="32">
        <v>2050</v>
      </c>
      <c r="X2429" s="43" t="str">
        <f t="shared" si="301"/>
        <v>*0.9</v>
      </c>
      <c r="AC2429" s="33" t="s">
        <v>3303</v>
      </c>
      <c r="AD2429" s="44" t="s">
        <v>57</v>
      </c>
      <c r="AE2429" s="33">
        <v>2035</v>
      </c>
      <c r="AF2429" s="45" t="str">
        <f t="shared" si="302"/>
        <v>*0.9</v>
      </c>
      <c r="AG2429" s="43" t="str">
        <f t="shared" si="304"/>
        <v>REZoning_Sol-Win</v>
      </c>
      <c r="AI2429" s="33" t="s">
        <v>3303</v>
      </c>
      <c r="AJ2429" s="44" t="s">
        <v>57</v>
      </c>
      <c r="AK2429" s="33">
        <v>2050</v>
      </c>
      <c r="AL2429" s="45" t="str">
        <f t="shared" si="303"/>
        <v>*0.86</v>
      </c>
      <c r="AM2429" s="43" t="str">
        <f t="shared" si="305"/>
        <v>REZoning_Sol-Win</v>
      </c>
      <c r="AP2429" t="s">
        <v>3303</v>
      </c>
      <c r="AQ2429" t="s">
        <v>57</v>
      </c>
      <c r="AR2429">
        <v>2100</v>
      </c>
      <c r="AS2429" t="s">
        <v>883</v>
      </c>
      <c r="AT2429" t="s">
        <v>58</v>
      </c>
    </row>
    <row r="2430" ht="29" spans="1:46">
      <c r="A2430" s="31" t="s">
        <v>65</v>
      </c>
      <c r="C2430" t="s">
        <v>3304</v>
      </c>
      <c r="D2430" s="5" t="s">
        <v>57</v>
      </c>
      <c r="E2430">
        <v>2035</v>
      </c>
      <c r="F2430" s="6" t="str">
        <f t="shared" si="298"/>
        <v>*0.94</v>
      </c>
      <c r="H2430" t="s">
        <v>3304</v>
      </c>
      <c r="I2430" s="5" t="s">
        <v>57</v>
      </c>
      <c r="J2430">
        <v>2050</v>
      </c>
      <c r="K2430" s="38" t="str">
        <f t="shared" si="299"/>
        <v>*0.91</v>
      </c>
      <c r="P2430" s="32" t="s">
        <v>3304</v>
      </c>
      <c r="Q2430" s="42" t="s">
        <v>57</v>
      </c>
      <c r="R2430" s="32">
        <v>2035</v>
      </c>
      <c r="S2430" s="43" t="str">
        <f t="shared" si="300"/>
        <v>*0.93</v>
      </c>
      <c r="U2430" s="32" t="s">
        <v>3304</v>
      </c>
      <c r="V2430" s="42" t="s">
        <v>57</v>
      </c>
      <c r="W2430" s="32">
        <v>2050</v>
      </c>
      <c r="X2430" s="43" t="str">
        <f t="shared" si="301"/>
        <v>*0.9</v>
      </c>
      <c r="AC2430" s="33" t="s">
        <v>3304</v>
      </c>
      <c r="AD2430" s="44" t="s">
        <v>57</v>
      </c>
      <c r="AE2430" s="33">
        <v>2035</v>
      </c>
      <c r="AF2430" s="45" t="str">
        <f t="shared" si="302"/>
        <v>*0.9</v>
      </c>
      <c r="AG2430" s="43" t="str">
        <f t="shared" si="304"/>
        <v>REZoning_Sol-Win</v>
      </c>
      <c r="AI2430" s="33" t="s">
        <v>3304</v>
      </c>
      <c r="AJ2430" s="44" t="s">
        <v>57</v>
      </c>
      <c r="AK2430" s="33">
        <v>2050</v>
      </c>
      <c r="AL2430" s="45" t="str">
        <f t="shared" si="303"/>
        <v>*0.86</v>
      </c>
      <c r="AM2430" s="43" t="str">
        <f t="shared" si="305"/>
        <v>REZoning_Sol-Win</v>
      </c>
      <c r="AP2430" t="s">
        <v>3304</v>
      </c>
      <c r="AQ2430" t="s">
        <v>57</v>
      </c>
      <c r="AR2430">
        <v>2100</v>
      </c>
      <c r="AS2430" t="s">
        <v>883</v>
      </c>
      <c r="AT2430" t="s">
        <v>58</v>
      </c>
    </row>
    <row r="2431" ht="29" spans="1:46">
      <c r="A2431" s="31" t="s">
        <v>65</v>
      </c>
      <c r="C2431" t="s">
        <v>3305</v>
      </c>
      <c r="D2431" s="5" t="s">
        <v>57</v>
      </c>
      <c r="E2431">
        <v>2035</v>
      </c>
      <c r="F2431" s="6" t="str">
        <f t="shared" si="298"/>
        <v>*0.94</v>
      </c>
      <c r="H2431" t="s">
        <v>3305</v>
      </c>
      <c r="I2431" s="5" t="s">
        <v>57</v>
      </c>
      <c r="J2431">
        <v>2050</v>
      </c>
      <c r="K2431" s="38" t="str">
        <f t="shared" si="299"/>
        <v>*0.91</v>
      </c>
      <c r="P2431" s="32" t="s">
        <v>3305</v>
      </c>
      <c r="Q2431" s="42" t="s">
        <v>57</v>
      </c>
      <c r="R2431" s="32">
        <v>2035</v>
      </c>
      <c r="S2431" s="43" t="str">
        <f t="shared" si="300"/>
        <v>*0.93</v>
      </c>
      <c r="U2431" s="32" t="s">
        <v>3305</v>
      </c>
      <c r="V2431" s="42" t="s">
        <v>57</v>
      </c>
      <c r="W2431" s="32">
        <v>2050</v>
      </c>
      <c r="X2431" s="43" t="str">
        <f t="shared" si="301"/>
        <v>*0.9</v>
      </c>
      <c r="AC2431" s="33" t="s">
        <v>3305</v>
      </c>
      <c r="AD2431" s="44" t="s">
        <v>57</v>
      </c>
      <c r="AE2431" s="33">
        <v>2035</v>
      </c>
      <c r="AF2431" s="45" t="str">
        <f t="shared" si="302"/>
        <v>*0.9</v>
      </c>
      <c r="AG2431" s="43" t="str">
        <f t="shared" si="304"/>
        <v>REZoning_Sol-Win</v>
      </c>
      <c r="AI2431" s="33" t="s">
        <v>3305</v>
      </c>
      <c r="AJ2431" s="44" t="s">
        <v>57</v>
      </c>
      <c r="AK2431" s="33">
        <v>2050</v>
      </c>
      <c r="AL2431" s="45" t="str">
        <f t="shared" si="303"/>
        <v>*0.86</v>
      </c>
      <c r="AM2431" s="43" t="str">
        <f t="shared" si="305"/>
        <v>REZoning_Sol-Win</v>
      </c>
      <c r="AP2431" t="s">
        <v>3305</v>
      </c>
      <c r="AQ2431" t="s">
        <v>57</v>
      </c>
      <c r="AR2431">
        <v>2100</v>
      </c>
      <c r="AS2431" t="s">
        <v>883</v>
      </c>
      <c r="AT2431" t="s">
        <v>58</v>
      </c>
    </row>
    <row r="2432" ht="29" spans="1:46">
      <c r="A2432" s="31" t="s">
        <v>65</v>
      </c>
      <c r="C2432" t="s">
        <v>3306</v>
      </c>
      <c r="D2432" s="5" t="s">
        <v>57</v>
      </c>
      <c r="E2432">
        <v>2035</v>
      </c>
      <c r="F2432" s="6" t="str">
        <f t="shared" si="298"/>
        <v>*0.94</v>
      </c>
      <c r="H2432" t="s">
        <v>3306</v>
      </c>
      <c r="I2432" s="5" t="s">
        <v>57</v>
      </c>
      <c r="J2432">
        <v>2050</v>
      </c>
      <c r="K2432" s="38" t="str">
        <f t="shared" si="299"/>
        <v>*0.91</v>
      </c>
      <c r="P2432" s="32" t="s">
        <v>3306</v>
      </c>
      <c r="Q2432" s="42" t="s">
        <v>57</v>
      </c>
      <c r="R2432" s="32">
        <v>2035</v>
      </c>
      <c r="S2432" s="43" t="str">
        <f t="shared" si="300"/>
        <v>*0.93</v>
      </c>
      <c r="U2432" s="32" t="s">
        <v>3306</v>
      </c>
      <c r="V2432" s="42" t="s">
        <v>57</v>
      </c>
      <c r="W2432" s="32">
        <v>2050</v>
      </c>
      <c r="X2432" s="43" t="str">
        <f t="shared" si="301"/>
        <v>*0.9</v>
      </c>
      <c r="AC2432" s="33" t="s">
        <v>3306</v>
      </c>
      <c r="AD2432" s="44" t="s">
        <v>57</v>
      </c>
      <c r="AE2432" s="33">
        <v>2035</v>
      </c>
      <c r="AF2432" s="45" t="str">
        <f t="shared" si="302"/>
        <v>*0.9</v>
      </c>
      <c r="AG2432" s="43" t="str">
        <f t="shared" si="304"/>
        <v>REZoning_Sol-Win</v>
      </c>
      <c r="AI2432" s="33" t="s">
        <v>3306</v>
      </c>
      <c r="AJ2432" s="44" t="s">
        <v>57</v>
      </c>
      <c r="AK2432" s="33">
        <v>2050</v>
      </c>
      <c r="AL2432" s="45" t="str">
        <f t="shared" si="303"/>
        <v>*0.86</v>
      </c>
      <c r="AM2432" s="43" t="str">
        <f t="shared" si="305"/>
        <v>REZoning_Sol-Win</v>
      </c>
      <c r="AP2432" t="s">
        <v>3306</v>
      </c>
      <c r="AQ2432" t="s">
        <v>57</v>
      </c>
      <c r="AR2432">
        <v>2100</v>
      </c>
      <c r="AS2432" t="s">
        <v>883</v>
      </c>
      <c r="AT2432" t="s">
        <v>58</v>
      </c>
    </row>
    <row r="2433" ht="29" spans="1:46">
      <c r="A2433" s="31" t="s">
        <v>65</v>
      </c>
      <c r="C2433" t="s">
        <v>3307</v>
      </c>
      <c r="D2433" s="5" t="s">
        <v>57</v>
      </c>
      <c r="E2433">
        <v>2035</v>
      </c>
      <c r="F2433" s="6" t="str">
        <f t="shared" si="298"/>
        <v>*0.94</v>
      </c>
      <c r="H2433" t="s">
        <v>3307</v>
      </c>
      <c r="I2433" s="5" t="s">
        <v>57</v>
      </c>
      <c r="J2433">
        <v>2050</v>
      </c>
      <c r="K2433" s="38" t="str">
        <f t="shared" si="299"/>
        <v>*0.91</v>
      </c>
      <c r="P2433" s="32" t="s">
        <v>3307</v>
      </c>
      <c r="Q2433" s="42" t="s">
        <v>57</v>
      </c>
      <c r="R2433" s="32">
        <v>2035</v>
      </c>
      <c r="S2433" s="43" t="str">
        <f t="shared" si="300"/>
        <v>*0.93</v>
      </c>
      <c r="U2433" s="32" t="s">
        <v>3307</v>
      </c>
      <c r="V2433" s="42" t="s">
        <v>57</v>
      </c>
      <c r="W2433" s="32">
        <v>2050</v>
      </c>
      <c r="X2433" s="43" t="str">
        <f t="shared" si="301"/>
        <v>*0.9</v>
      </c>
      <c r="AC2433" s="33" t="s">
        <v>3307</v>
      </c>
      <c r="AD2433" s="44" t="s">
        <v>57</v>
      </c>
      <c r="AE2433" s="33">
        <v>2035</v>
      </c>
      <c r="AF2433" s="45" t="str">
        <f t="shared" si="302"/>
        <v>*0.9</v>
      </c>
      <c r="AG2433" s="43" t="str">
        <f t="shared" si="304"/>
        <v>REZoning_Sol-Win</v>
      </c>
      <c r="AI2433" s="33" t="s">
        <v>3307</v>
      </c>
      <c r="AJ2433" s="44" t="s">
        <v>57</v>
      </c>
      <c r="AK2433" s="33">
        <v>2050</v>
      </c>
      <c r="AL2433" s="45" t="str">
        <f t="shared" si="303"/>
        <v>*0.86</v>
      </c>
      <c r="AM2433" s="43" t="str">
        <f t="shared" si="305"/>
        <v>REZoning_Sol-Win</v>
      </c>
      <c r="AP2433" t="s">
        <v>3307</v>
      </c>
      <c r="AQ2433" t="s">
        <v>57</v>
      </c>
      <c r="AR2433">
        <v>2100</v>
      </c>
      <c r="AS2433" t="s">
        <v>883</v>
      </c>
      <c r="AT2433" t="s">
        <v>58</v>
      </c>
    </row>
    <row r="2434" ht="29" spans="1:46">
      <c r="A2434" s="31" t="s">
        <v>65</v>
      </c>
      <c r="C2434" t="s">
        <v>3308</v>
      </c>
      <c r="D2434" s="5" t="s">
        <v>57</v>
      </c>
      <c r="E2434">
        <v>2035</v>
      </c>
      <c r="F2434" s="6" t="str">
        <f t="shared" si="298"/>
        <v>*0.94</v>
      </c>
      <c r="H2434" t="s">
        <v>3308</v>
      </c>
      <c r="I2434" s="5" t="s">
        <v>57</v>
      </c>
      <c r="J2434">
        <v>2050</v>
      </c>
      <c r="K2434" s="38" t="str">
        <f t="shared" si="299"/>
        <v>*0.91</v>
      </c>
      <c r="P2434" s="32" t="s">
        <v>3308</v>
      </c>
      <c r="Q2434" s="42" t="s">
        <v>57</v>
      </c>
      <c r="R2434" s="32">
        <v>2035</v>
      </c>
      <c r="S2434" s="43" t="str">
        <f t="shared" si="300"/>
        <v>*0.93</v>
      </c>
      <c r="U2434" s="32" t="s">
        <v>3308</v>
      </c>
      <c r="V2434" s="42" t="s">
        <v>57</v>
      </c>
      <c r="W2434" s="32">
        <v>2050</v>
      </c>
      <c r="X2434" s="43" t="str">
        <f t="shared" si="301"/>
        <v>*0.9</v>
      </c>
      <c r="AC2434" s="33" t="s">
        <v>3308</v>
      </c>
      <c r="AD2434" s="44" t="s">
        <v>57</v>
      </c>
      <c r="AE2434" s="33">
        <v>2035</v>
      </c>
      <c r="AF2434" s="45" t="str">
        <f t="shared" si="302"/>
        <v>*0.9</v>
      </c>
      <c r="AG2434" s="43" t="str">
        <f t="shared" si="304"/>
        <v>REZoning_Sol-Win</v>
      </c>
      <c r="AI2434" s="33" t="s">
        <v>3308</v>
      </c>
      <c r="AJ2434" s="44" t="s">
        <v>57</v>
      </c>
      <c r="AK2434" s="33">
        <v>2050</v>
      </c>
      <c r="AL2434" s="45" t="str">
        <f t="shared" si="303"/>
        <v>*0.86</v>
      </c>
      <c r="AM2434" s="43" t="str">
        <f t="shared" si="305"/>
        <v>REZoning_Sol-Win</v>
      </c>
      <c r="AP2434" t="s">
        <v>3308</v>
      </c>
      <c r="AQ2434" t="s">
        <v>57</v>
      </c>
      <c r="AR2434">
        <v>2100</v>
      </c>
      <c r="AS2434" t="s">
        <v>883</v>
      </c>
      <c r="AT2434" t="s">
        <v>58</v>
      </c>
    </row>
    <row r="2435" ht="29" spans="1:46">
      <c r="A2435" s="31" t="s">
        <v>65</v>
      </c>
      <c r="C2435" t="s">
        <v>3309</v>
      </c>
      <c r="D2435" s="5" t="s">
        <v>57</v>
      </c>
      <c r="E2435">
        <v>2035</v>
      </c>
      <c r="F2435" s="6" t="str">
        <f t="shared" si="298"/>
        <v>*0.94</v>
      </c>
      <c r="H2435" t="s">
        <v>3309</v>
      </c>
      <c r="I2435" s="5" t="s">
        <v>57</v>
      </c>
      <c r="J2435">
        <v>2050</v>
      </c>
      <c r="K2435" s="38" t="str">
        <f t="shared" si="299"/>
        <v>*0.91</v>
      </c>
      <c r="P2435" s="32" t="s">
        <v>3309</v>
      </c>
      <c r="Q2435" s="42" t="s">
        <v>57</v>
      </c>
      <c r="R2435" s="32">
        <v>2035</v>
      </c>
      <c r="S2435" s="43" t="str">
        <f t="shared" si="300"/>
        <v>*0.93</v>
      </c>
      <c r="U2435" s="32" t="s">
        <v>3309</v>
      </c>
      <c r="V2435" s="42" t="s">
        <v>57</v>
      </c>
      <c r="W2435" s="32">
        <v>2050</v>
      </c>
      <c r="X2435" s="43" t="str">
        <f t="shared" si="301"/>
        <v>*0.9</v>
      </c>
      <c r="AC2435" s="33" t="s">
        <v>3309</v>
      </c>
      <c r="AD2435" s="44" t="s">
        <v>57</v>
      </c>
      <c r="AE2435" s="33">
        <v>2035</v>
      </c>
      <c r="AF2435" s="45" t="str">
        <f t="shared" si="302"/>
        <v>*0.9</v>
      </c>
      <c r="AG2435" s="43" t="str">
        <f t="shared" si="304"/>
        <v>REZoning_Sol-Win</v>
      </c>
      <c r="AI2435" s="33" t="s">
        <v>3309</v>
      </c>
      <c r="AJ2435" s="44" t="s">
        <v>57</v>
      </c>
      <c r="AK2435" s="33">
        <v>2050</v>
      </c>
      <c r="AL2435" s="45" t="str">
        <f t="shared" si="303"/>
        <v>*0.86</v>
      </c>
      <c r="AM2435" s="43" t="str">
        <f t="shared" si="305"/>
        <v>REZoning_Sol-Win</v>
      </c>
      <c r="AP2435" t="s">
        <v>3309</v>
      </c>
      <c r="AQ2435" t="s">
        <v>57</v>
      </c>
      <c r="AR2435">
        <v>2100</v>
      </c>
      <c r="AS2435" t="s">
        <v>883</v>
      </c>
      <c r="AT2435" t="s">
        <v>58</v>
      </c>
    </row>
    <row r="2436" ht="29" spans="1:46">
      <c r="A2436" s="31" t="s">
        <v>65</v>
      </c>
      <c r="C2436" t="s">
        <v>3310</v>
      </c>
      <c r="D2436" s="5" t="s">
        <v>57</v>
      </c>
      <c r="E2436">
        <v>2035</v>
      </c>
      <c r="F2436" s="6" t="str">
        <f t="shared" ref="F2436:F2460" si="306">"*"&amp;IF(AND(A2436="EU",E2436=2035),0.95,IF(AND(A2436="EU",E2436=2050),0.93,IF(AND(A2436="USA",E2436=2035),0.96,IF(AND(A2436="USA",E2436=2050),0.94,IF(AND(A2436="Japan",E2436=2035),0.94,IF(AND(A2436="Japan",E2436=2050),0.92,IF(AND(A2436="Russia",E2436=2035),0.95,IF(AND(A2436="Russia",E2436=2050),0.93,IF(AND(A2436="China",E2436=2035),0.94,IF(AND(A2436="China",E2436=2050),0.92,IF(AND(A2436="India",E2436=2035),0.95,IF(AND(A2436="India",E2436=2050),0.92,IF(AND(A2436="Middle East",E2436=2035),0.94,IF(AND(A2436="Middle East",E2436=2050),0.9,IF(AND(A2436="Africa",E2436=2035),0.94,IF(AND(A2436="Africa",E2436=2050),0.91,IF(AND(A2436="Brazil",E2436=2035),0.95,IF(AND(A2436="Brazil",E2436=2050),0.92,""))))))))))))))))))</f>
        <v>*0.94</v>
      </c>
      <c r="H2436" t="s">
        <v>3310</v>
      </c>
      <c r="I2436" s="5" t="s">
        <v>57</v>
      </c>
      <c r="J2436">
        <v>2050</v>
      </c>
      <c r="K2436" s="38" t="str">
        <f t="shared" ref="K2436:K2460" si="307">"*"&amp;IF(AND(A2436="EU",J2436=2035),0.95,IF(AND(A2436="EU",J2436=2050),0.93,IF(AND(A2436="USA",J2436=2035),0.96,IF(AND(A2436="USA",J2436=2050),0.94,IF(AND(A2436="Japan",J2436=2035),0.94,IF(AND(A2436="Japan",J2436=2050),0.92,IF(AND(A2436="Russia",J2436=2035),0.95,IF(AND(A2436="Russia",J2436=2050),0.93,IF(AND(A2436="China",J2436=2035),0.94,IF(AND(A2436="China",J2436=2050),0.92,IF(AND(A2436="India",J2436=2035),0.95,IF(AND(A2436="India",J2436=2050),0.92,IF(AND(A2436="Middle East",J2436=2035),0.94,IF(AND(A2436="Middle East",J2436=2050),0.9,IF(AND(A2436="Africa",J2436=2035),0.94,IF(AND(A2436="Africa",J2436=2050),0.91,IF(AND(A2436="Brazil",J2436=2035),0.95,IF(AND(A2436="Brazil",J2436=2050),0.92,""))))))))))))))))))</f>
        <v>*0.91</v>
      </c>
      <c r="P2436" s="32" t="s">
        <v>3310</v>
      </c>
      <c r="Q2436" s="42" t="s">
        <v>57</v>
      </c>
      <c r="R2436" s="32">
        <v>2035</v>
      </c>
      <c r="S2436" s="43" t="str">
        <f t="shared" ref="S2436:S2460" si="308">"*"&amp;IF(AND(A2436="EU",R2436=2035),0.95,IF(AND(A2436="EU",R2436=2050),0.93,IF(AND(A2436="USA",R2436=2035),0.96,IF(AND(A2436="USA",R2436=2050),0.93,IF(AND(A2436="Japan",R2436=2035),0.94,IF(AND(A2436="Japan",R2436=2050),0.92,IF(AND(A2436="Russia",R2436=2035),0.95,IF(AND(A2436="Russia",R2436=2050),0.91,IF(AND(A2436="China",R2436=2035),0.93,IF(AND(A2436="China",R2436=2050),0.92,IF(AND(A2436="India",R2436=2035),0.94,IF(AND(A2436="India",R2436=2050),0.91,IF(AND(A2436="Middle East",R2436=2035),0.92,IF(AND(A2436="Middle East",R2436=2050),0.89,IF(AND(A2436="Africa",R2436=2035),0.93,IF(AND(A2436="Africa",R2436=2050),0.9,IF(AND(A2436="Brazil",R2436=2035),0.95,IF(AND(A2436="Brazil",R2436=2050),0.92,""))))))))))))))))))</f>
        <v>*0.93</v>
      </c>
      <c r="U2436" s="32" t="s">
        <v>3310</v>
      </c>
      <c r="V2436" s="42" t="s">
        <v>57</v>
      </c>
      <c r="W2436" s="32">
        <v>2050</v>
      </c>
      <c r="X2436" s="43" t="str">
        <f t="shared" ref="X2436:X2460" si="309">"*"&amp;IF(AND(A2436="EU",W2436=2035),0.95,IF(AND(A2436="EU",W2436=2050),0.93,IF(AND(A2436="USA",W2436=2035),0.96,IF(AND(A2436="USA",W2436=2050),0.93,IF(AND(A2436="Japan",W2436=2035),0.94,IF(AND(A2436="Japan",W2436=2050),0.92,IF(AND(A2436="Russia",W2436=2035),0.95,IF(AND(A2436="Russia",W2436=2050),0.91,IF(AND(A2436="China",W2436=2035),0.93,IF(AND(A2436="China",W2436=2050),0.92,IF(AND(A2436="India",W2436=2035),0.94,IF(AND(A2436="India",W2436=2050),0.91,IF(AND(A2436="Middle East",W2436=2035),0.92,IF(AND(A2436="Middle East",W2436=2050),0.89,IF(AND(A2436="Africa",W2436=2035),0.93,IF(AND(A2436="Africa",W2436=2050),0.9,IF(AND(A2436="Brazil",W2436=2035),0.95,IF(AND(A2436="Brazil",W2436=2050),0.92,""))))))))))))))))))</f>
        <v>*0.9</v>
      </c>
      <c r="AC2436" s="33" t="s">
        <v>3310</v>
      </c>
      <c r="AD2436" s="44" t="s">
        <v>57</v>
      </c>
      <c r="AE2436" s="33">
        <v>2035</v>
      </c>
      <c r="AF2436" s="45" t="str">
        <f t="shared" ref="AF2436:AF2460" si="310">"*"&amp;IF(AND(A2436="EU",AE2436=2035),0.93,IF(AND(A2436="EU",AE2436=2050),0.9,IF(AND(A2436="USA",AE2436=2035),0.92,IF(AND(A2436="USA",AE2436=2050),0.89,IF(AND(A2436="Japan",AE2436=2035),0.92,IF(AND(A2436="Japan",AE2436=2050),0.89,IF(AND(A2436="Russia",AE2436=2035),0.91,IF(AND(A2436="Russia",AE2436=2050),0.86,IF(AND(A2436="China",AE2436=2035),0.91,IF(AND(A2436="China",AE2436=2050),0.87,IF(AND(A2436="India",AE2436=2035),0.92,IF(AND(A2436="India",AE2436=2050),0.87,IF(AND(A2436="Middle East",AE2436=2035),0.89,IF(AND(A2436="Middle East",AE2436=2050),0.84,IF(AND(A2436="Africa",AE2436=2035),0.9,IF(AND(A2436="Africa",AE2436=2050),0.86,IF(AND(A2436="Brazil",AE2436=2035),0.93,IF(AND(A2436="Brazil",AE2436=2050),0.89,""))))))))))))))))))</f>
        <v>*0.9</v>
      </c>
      <c r="AG2436" s="43" t="str">
        <f t="shared" si="304"/>
        <v>REZoning_Sol-Win</v>
      </c>
      <c r="AI2436" s="33" t="s">
        <v>3310</v>
      </c>
      <c r="AJ2436" s="44" t="s">
        <v>57</v>
      </c>
      <c r="AK2436" s="33">
        <v>2050</v>
      </c>
      <c r="AL2436" s="45" t="str">
        <f t="shared" ref="AL2436:AL2460" si="311">"*"&amp;IF(AND(A2436="EU",AK2436=2035),0.93,IF(AND(A2436="EU",AK2436=2050),0.9,IF(AND(A2436="USA",AK2436=2035),0.92,IF(AND(A2436="USA",AK2436=2050),0.89,IF(AND(A2436="Japan",AK2436=2035),0.92,IF(AND(A2436="Japan",AK2436=2050),0.89,IF(AND(A2436="Russia",AK2436=2035),0.91,IF(AND(A2436="Russia",AK2436=2050),0.86,IF(AND(A2436="China",AK2436=2035),0.91,IF(AND(A2436="China",AK2436=2050),0.87,IF(AND(A2436="India",AK2436=2035),0.92,IF(AND(A2436="India",AK2436=2050),0.87,IF(AND(A2436="Middle East",AK2436=2035),0.89,IF(AND(A2436="Middle East",AK2436=2050),0.84,IF(AND(A2436="Africa",AK2436=2035),0.9,IF(AND(A2436="Africa",AK2436=2050),0.86,IF(AND(A2436="Brazil",AK2436=2035),0.93,IF(AND(A2436="Brazil",AK2436=2050),0.89,""))))))))))))))))))</f>
        <v>*0.86</v>
      </c>
      <c r="AM2436" s="43" t="str">
        <f t="shared" si="305"/>
        <v>REZoning_Sol-Win</v>
      </c>
      <c r="AP2436" t="s">
        <v>3310</v>
      </c>
      <c r="AQ2436" t="s">
        <v>57</v>
      </c>
      <c r="AR2436">
        <v>2100</v>
      </c>
      <c r="AS2436" t="s">
        <v>883</v>
      </c>
      <c r="AT2436" t="s">
        <v>58</v>
      </c>
    </row>
    <row r="2437" ht="29" spans="1:46">
      <c r="A2437" s="31" t="s">
        <v>65</v>
      </c>
      <c r="C2437" t="s">
        <v>3311</v>
      </c>
      <c r="D2437" s="5" t="s">
        <v>57</v>
      </c>
      <c r="E2437">
        <v>2035</v>
      </c>
      <c r="F2437" s="6" t="str">
        <f t="shared" si="306"/>
        <v>*0.94</v>
      </c>
      <c r="H2437" t="s">
        <v>3311</v>
      </c>
      <c r="I2437" s="5" t="s">
        <v>57</v>
      </c>
      <c r="J2437">
        <v>2050</v>
      </c>
      <c r="K2437" s="38" t="str">
        <f t="shared" si="307"/>
        <v>*0.91</v>
      </c>
      <c r="P2437" s="32" t="s">
        <v>3311</v>
      </c>
      <c r="Q2437" s="42" t="s">
        <v>57</v>
      </c>
      <c r="R2437" s="32">
        <v>2035</v>
      </c>
      <c r="S2437" s="43" t="str">
        <f t="shared" si="308"/>
        <v>*0.93</v>
      </c>
      <c r="U2437" s="32" t="s">
        <v>3311</v>
      </c>
      <c r="V2437" s="42" t="s">
        <v>57</v>
      </c>
      <c r="W2437" s="32">
        <v>2050</v>
      </c>
      <c r="X2437" s="43" t="str">
        <f t="shared" si="309"/>
        <v>*0.9</v>
      </c>
      <c r="AC2437" s="33" t="s">
        <v>3311</v>
      </c>
      <c r="AD2437" s="44" t="s">
        <v>57</v>
      </c>
      <c r="AE2437" s="33">
        <v>2035</v>
      </c>
      <c r="AF2437" s="45" t="str">
        <f t="shared" si="310"/>
        <v>*0.9</v>
      </c>
      <c r="AG2437" s="43" t="str">
        <f t="shared" si="304"/>
        <v>REZoning_Sol-Win</v>
      </c>
      <c r="AI2437" s="33" t="s">
        <v>3311</v>
      </c>
      <c r="AJ2437" s="44" t="s">
        <v>57</v>
      </c>
      <c r="AK2437" s="33">
        <v>2050</v>
      </c>
      <c r="AL2437" s="45" t="str">
        <f t="shared" si="311"/>
        <v>*0.86</v>
      </c>
      <c r="AM2437" s="43" t="str">
        <f t="shared" si="305"/>
        <v>REZoning_Sol-Win</v>
      </c>
      <c r="AP2437" t="s">
        <v>3311</v>
      </c>
      <c r="AQ2437" t="s">
        <v>57</v>
      </c>
      <c r="AR2437">
        <v>2100</v>
      </c>
      <c r="AS2437" t="s">
        <v>883</v>
      </c>
      <c r="AT2437" t="s">
        <v>58</v>
      </c>
    </row>
    <row r="2438" ht="29" spans="1:46">
      <c r="A2438" s="31" t="s">
        <v>65</v>
      </c>
      <c r="C2438" t="s">
        <v>3312</v>
      </c>
      <c r="D2438" s="5" t="s">
        <v>57</v>
      </c>
      <c r="E2438">
        <v>2035</v>
      </c>
      <c r="F2438" s="6" t="str">
        <f t="shared" si="306"/>
        <v>*0.94</v>
      </c>
      <c r="H2438" t="s">
        <v>3312</v>
      </c>
      <c r="I2438" s="5" t="s">
        <v>57</v>
      </c>
      <c r="J2438">
        <v>2050</v>
      </c>
      <c r="K2438" s="38" t="str">
        <f t="shared" si="307"/>
        <v>*0.91</v>
      </c>
      <c r="P2438" s="32" t="s">
        <v>3312</v>
      </c>
      <c r="Q2438" s="42" t="s">
        <v>57</v>
      </c>
      <c r="R2438" s="32">
        <v>2035</v>
      </c>
      <c r="S2438" s="43" t="str">
        <f t="shared" si="308"/>
        <v>*0.93</v>
      </c>
      <c r="U2438" s="32" t="s">
        <v>3312</v>
      </c>
      <c r="V2438" s="42" t="s">
        <v>57</v>
      </c>
      <c r="W2438" s="32">
        <v>2050</v>
      </c>
      <c r="X2438" s="43" t="str">
        <f t="shared" si="309"/>
        <v>*0.9</v>
      </c>
      <c r="AC2438" s="33" t="s">
        <v>3312</v>
      </c>
      <c r="AD2438" s="44" t="s">
        <v>57</v>
      </c>
      <c r="AE2438" s="33">
        <v>2035</v>
      </c>
      <c r="AF2438" s="45" t="str">
        <f t="shared" si="310"/>
        <v>*0.9</v>
      </c>
      <c r="AG2438" s="43" t="str">
        <f t="shared" si="304"/>
        <v>REZoning_Sol-Win</v>
      </c>
      <c r="AI2438" s="33" t="s">
        <v>3312</v>
      </c>
      <c r="AJ2438" s="44" t="s">
        <v>57</v>
      </c>
      <c r="AK2438" s="33">
        <v>2050</v>
      </c>
      <c r="AL2438" s="45" t="str">
        <f t="shared" si="311"/>
        <v>*0.86</v>
      </c>
      <c r="AM2438" s="43" t="str">
        <f t="shared" si="305"/>
        <v>REZoning_Sol-Win</v>
      </c>
      <c r="AP2438" t="s">
        <v>3312</v>
      </c>
      <c r="AQ2438" t="s">
        <v>57</v>
      </c>
      <c r="AR2438">
        <v>2100</v>
      </c>
      <c r="AS2438" t="s">
        <v>883</v>
      </c>
      <c r="AT2438" t="s">
        <v>58</v>
      </c>
    </row>
    <row r="2439" ht="29" spans="1:46">
      <c r="A2439" s="31" t="s">
        <v>65</v>
      </c>
      <c r="C2439" t="s">
        <v>3313</v>
      </c>
      <c r="D2439" s="5" t="s">
        <v>57</v>
      </c>
      <c r="E2439">
        <v>2035</v>
      </c>
      <c r="F2439" s="6" t="str">
        <f t="shared" si="306"/>
        <v>*0.94</v>
      </c>
      <c r="H2439" t="s">
        <v>3313</v>
      </c>
      <c r="I2439" s="5" t="s">
        <v>57</v>
      </c>
      <c r="J2439">
        <v>2050</v>
      </c>
      <c r="K2439" s="38" t="str">
        <f t="shared" si="307"/>
        <v>*0.91</v>
      </c>
      <c r="P2439" s="32" t="s">
        <v>3313</v>
      </c>
      <c r="Q2439" s="42" t="s">
        <v>57</v>
      </c>
      <c r="R2439" s="32">
        <v>2035</v>
      </c>
      <c r="S2439" s="43" t="str">
        <f t="shared" si="308"/>
        <v>*0.93</v>
      </c>
      <c r="U2439" s="32" t="s">
        <v>3313</v>
      </c>
      <c r="V2439" s="42" t="s">
        <v>57</v>
      </c>
      <c r="W2439" s="32">
        <v>2050</v>
      </c>
      <c r="X2439" s="43" t="str">
        <f t="shared" si="309"/>
        <v>*0.9</v>
      </c>
      <c r="AC2439" s="33" t="s">
        <v>3313</v>
      </c>
      <c r="AD2439" s="44" t="s">
        <v>57</v>
      </c>
      <c r="AE2439" s="33">
        <v>2035</v>
      </c>
      <c r="AF2439" s="45" t="str">
        <f t="shared" si="310"/>
        <v>*0.9</v>
      </c>
      <c r="AG2439" s="43" t="str">
        <f t="shared" si="304"/>
        <v>REZoning_Sol-Win</v>
      </c>
      <c r="AI2439" s="33" t="s">
        <v>3313</v>
      </c>
      <c r="AJ2439" s="44" t="s">
        <v>57</v>
      </c>
      <c r="AK2439" s="33">
        <v>2050</v>
      </c>
      <c r="AL2439" s="45" t="str">
        <f t="shared" si="311"/>
        <v>*0.86</v>
      </c>
      <c r="AM2439" s="43" t="str">
        <f t="shared" si="305"/>
        <v>REZoning_Sol-Win</v>
      </c>
      <c r="AP2439" t="s">
        <v>3313</v>
      </c>
      <c r="AQ2439" t="s">
        <v>57</v>
      </c>
      <c r="AR2439">
        <v>2100</v>
      </c>
      <c r="AS2439" t="s">
        <v>883</v>
      </c>
      <c r="AT2439" t="s">
        <v>58</v>
      </c>
    </row>
    <row r="2440" ht="29" spans="1:46">
      <c r="A2440" s="31" t="s">
        <v>65</v>
      </c>
      <c r="C2440" t="s">
        <v>3314</v>
      </c>
      <c r="D2440" s="5" t="s">
        <v>57</v>
      </c>
      <c r="E2440">
        <v>2035</v>
      </c>
      <c r="F2440" s="6" t="str">
        <f t="shared" si="306"/>
        <v>*0.94</v>
      </c>
      <c r="H2440" t="s">
        <v>3314</v>
      </c>
      <c r="I2440" s="5" t="s">
        <v>57</v>
      </c>
      <c r="J2440">
        <v>2050</v>
      </c>
      <c r="K2440" s="38" t="str">
        <f t="shared" si="307"/>
        <v>*0.91</v>
      </c>
      <c r="P2440" s="32" t="s">
        <v>3314</v>
      </c>
      <c r="Q2440" s="42" t="s">
        <v>57</v>
      </c>
      <c r="R2440" s="32">
        <v>2035</v>
      </c>
      <c r="S2440" s="43" t="str">
        <f t="shared" si="308"/>
        <v>*0.93</v>
      </c>
      <c r="U2440" s="32" t="s">
        <v>3314</v>
      </c>
      <c r="V2440" s="42" t="s">
        <v>57</v>
      </c>
      <c r="W2440" s="32">
        <v>2050</v>
      </c>
      <c r="X2440" s="43" t="str">
        <f t="shared" si="309"/>
        <v>*0.9</v>
      </c>
      <c r="AC2440" s="33" t="s">
        <v>3314</v>
      </c>
      <c r="AD2440" s="44" t="s">
        <v>57</v>
      </c>
      <c r="AE2440" s="33">
        <v>2035</v>
      </c>
      <c r="AF2440" s="45" t="str">
        <f t="shared" si="310"/>
        <v>*0.9</v>
      </c>
      <c r="AG2440" s="43" t="str">
        <f t="shared" si="304"/>
        <v>REZoning_Sol-Win</v>
      </c>
      <c r="AI2440" s="33" t="s">
        <v>3314</v>
      </c>
      <c r="AJ2440" s="44" t="s">
        <v>57</v>
      </c>
      <c r="AK2440" s="33">
        <v>2050</v>
      </c>
      <c r="AL2440" s="45" t="str">
        <f t="shared" si="311"/>
        <v>*0.86</v>
      </c>
      <c r="AM2440" s="43" t="str">
        <f t="shared" si="305"/>
        <v>REZoning_Sol-Win</v>
      </c>
      <c r="AP2440" t="s">
        <v>3314</v>
      </c>
      <c r="AQ2440" t="s">
        <v>57</v>
      </c>
      <c r="AR2440">
        <v>2100</v>
      </c>
      <c r="AS2440" t="s">
        <v>883</v>
      </c>
      <c r="AT2440" t="s">
        <v>58</v>
      </c>
    </row>
    <row r="2441" ht="29" spans="1:46">
      <c r="A2441" s="31" t="s">
        <v>65</v>
      </c>
      <c r="C2441" t="s">
        <v>3315</v>
      </c>
      <c r="D2441" s="5" t="s">
        <v>57</v>
      </c>
      <c r="E2441">
        <v>2035</v>
      </c>
      <c r="F2441" s="6" t="str">
        <f t="shared" si="306"/>
        <v>*0.94</v>
      </c>
      <c r="H2441" t="s">
        <v>3315</v>
      </c>
      <c r="I2441" s="5" t="s">
        <v>57</v>
      </c>
      <c r="J2441">
        <v>2050</v>
      </c>
      <c r="K2441" s="38" t="str">
        <f t="shared" si="307"/>
        <v>*0.91</v>
      </c>
      <c r="P2441" s="32" t="s">
        <v>3315</v>
      </c>
      <c r="Q2441" s="42" t="s">
        <v>57</v>
      </c>
      <c r="R2441" s="32">
        <v>2035</v>
      </c>
      <c r="S2441" s="43" t="str">
        <f t="shared" si="308"/>
        <v>*0.93</v>
      </c>
      <c r="U2441" s="32" t="s">
        <v>3315</v>
      </c>
      <c r="V2441" s="42" t="s">
        <v>57</v>
      </c>
      <c r="W2441" s="32">
        <v>2050</v>
      </c>
      <c r="X2441" s="43" t="str">
        <f t="shared" si="309"/>
        <v>*0.9</v>
      </c>
      <c r="AC2441" s="33" t="s">
        <v>3315</v>
      </c>
      <c r="AD2441" s="44" t="s">
        <v>57</v>
      </c>
      <c r="AE2441" s="33">
        <v>2035</v>
      </c>
      <c r="AF2441" s="45" t="str">
        <f t="shared" si="310"/>
        <v>*0.9</v>
      </c>
      <c r="AG2441" s="43" t="str">
        <f t="shared" ref="AG2441:AG2460" si="312">AG2440</f>
        <v>REZoning_Sol-Win</v>
      </c>
      <c r="AI2441" s="33" t="s">
        <v>3315</v>
      </c>
      <c r="AJ2441" s="44" t="s">
        <v>57</v>
      </c>
      <c r="AK2441" s="33">
        <v>2050</v>
      </c>
      <c r="AL2441" s="45" t="str">
        <f t="shared" si="311"/>
        <v>*0.86</v>
      </c>
      <c r="AM2441" s="43" t="str">
        <f t="shared" si="305"/>
        <v>REZoning_Sol-Win</v>
      </c>
      <c r="AP2441" t="s">
        <v>3315</v>
      </c>
      <c r="AQ2441" t="s">
        <v>57</v>
      </c>
      <c r="AR2441">
        <v>2100</v>
      </c>
      <c r="AS2441" t="s">
        <v>883</v>
      </c>
      <c r="AT2441" t="s">
        <v>58</v>
      </c>
    </row>
    <row r="2442" ht="29" spans="1:46">
      <c r="A2442" s="31" t="s">
        <v>65</v>
      </c>
      <c r="C2442" t="s">
        <v>3316</v>
      </c>
      <c r="D2442" s="5" t="s">
        <v>57</v>
      </c>
      <c r="E2442">
        <v>2035</v>
      </c>
      <c r="F2442" s="6" t="str">
        <f t="shared" si="306"/>
        <v>*0.94</v>
      </c>
      <c r="H2442" t="s">
        <v>3316</v>
      </c>
      <c r="I2442" s="5" t="s">
        <v>57</v>
      </c>
      <c r="J2442">
        <v>2050</v>
      </c>
      <c r="K2442" s="38" t="str">
        <f t="shared" si="307"/>
        <v>*0.91</v>
      </c>
      <c r="P2442" s="32" t="s">
        <v>3316</v>
      </c>
      <c r="Q2442" s="42" t="s">
        <v>57</v>
      </c>
      <c r="R2442" s="32">
        <v>2035</v>
      </c>
      <c r="S2442" s="43" t="str">
        <f t="shared" si="308"/>
        <v>*0.93</v>
      </c>
      <c r="U2442" s="32" t="s">
        <v>3316</v>
      </c>
      <c r="V2442" s="42" t="s">
        <v>57</v>
      </c>
      <c r="W2442" s="32">
        <v>2050</v>
      </c>
      <c r="X2442" s="43" t="str">
        <f t="shared" si="309"/>
        <v>*0.9</v>
      </c>
      <c r="AC2442" s="33" t="s">
        <v>3316</v>
      </c>
      <c r="AD2442" s="44" t="s">
        <v>57</v>
      </c>
      <c r="AE2442" s="33">
        <v>2035</v>
      </c>
      <c r="AF2442" s="45" t="str">
        <f t="shared" si="310"/>
        <v>*0.9</v>
      </c>
      <c r="AG2442" s="43" t="str">
        <f t="shared" si="312"/>
        <v>REZoning_Sol-Win</v>
      </c>
      <c r="AI2442" s="33" t="s">
        <v>3316</v>
      </c>
      <c r="AJ2442" s="44" t="s">
        <v>57</v>
      </c>
      <c r="AK2442" s="33">
        <v>2050</v>
      </c>
      <c r="AL2442" s="45" t="str">
        <f t="shared" si="311"/>
        <v>*0.86</v>
      </c>
      <c r="AM2442" s="43" t="str">
        <f t="shared" ref="AM2442:AM2460" si="313">AM2441</f>
        <v>REZoning_Sol-Win</v>
      </c>
      <c r="AP2442" t="s">
        <v>3316</v>
      </c>
      <c r="AQ2442" t="s">
        <v>57</v>
      </c>
      <c r="AR2442">
        <v>2100</v>
      </c>
      <c r="AS2442" t="s">
        <v>883</v>
      </c>
      <c r="AT2442" t="s">
        <v>58</v>
      </c>
    </row>
    <row r="2443" ht="29" spans="1:46">
      <c r="A2443" s="31" t="s">
        <v>65</v>
      </c>
      <c r="C2443" t="s">
        <v>3317</v>
      </c>
      <c r="D2443" s="5" t="s">
        <v>57</v>
      </c>
      <c r="E2443">
        <v>2035</v>
      </c>
      <c r="F2443" s="6" t="str">
        <f t="shared" si="306"/>
        <v>*0.94</v>
      </c>
      <c r="H2443" t="s">
        <v>3317</v>
      </c>
      <c r="I2443" s="5" t="s">
        <v>57</v>
      </c>
      <c r="J2443">
        <v>2050</v>
      </c>
      <c r="K2443" s="38" t="str">
        <f t="shared" si="307"/>
        <v>*0.91</v>
      </c>
      <c r="P2443" s="32" t="s">
        <v>3317</v>
      </c>
      <c r="Q2443" s="42" t="s">
        <v>57</v>
      </c>
      <c r="R2443" s="32">
        <v>2035</v>
      </c>
      <c r="S2443" s="43" t="str">
        <f t="shared" si="308"/>
        <v>*0.93</v>
      </c>
      <c r="U2443" s="32" t="s">
        <v>3317</v>
      </c>
      <c r="V2443" s="42" t="s">
        <v>57</v>
      </c>
      <c r="W2443" s="32">
        <v>2050</v>
      </c>
      <c r="X2443" s="43" t="str">
        <f t="shared" si="309"/>
        <v>*0.9</v>
      </c>
      <c r="AC2443" s="33" t="s">
        <v>3317</v>
      </c>
      <c r="AD2443" s="44" t="s">
        <v>57</v>
      </c>
      <c r="AE2443" s="33">
        <v>2035</v>
      </c>
      <c r="AF2443" s="45" t="str">
        <f t="shared" si="310"/>
        <v>*0.9</v>
      </c>
      <c r="AG2443" s="43" t="str">
        <f t="shared" si="312"/>
        <v>REZoning_Sol-Win</v>
      </c>
      <c r="AI2443" s="33" t="s">
        <v>3317</v>
      </c>
      <c r="AJ2443" s="44" t="s">
        <v>57</v>
      </c>
      <c r="AK2443" s="33">
        <v>2050</v>
      </c>
      <c r="AL2443" s="45" t="str">
        <f t="shared" si="311"/>
        <v>*0.86</v>
      </c>
      <c r="AM2443" s="43" t="str">
        <f t="shared" si="313"/>
        <v>REZoning_Sol-Win</v>
      </c>
      <c r="AP2443" t="s">
        <v>3317</v>
      </c>
      <c r="AQ2443" t="s">
        <v>57</v>
      </c>
      <c r="AR2443">
        <v>2100</v>
      </c>
      <c r="AS2443" t="s">
        <v>883</v>
      </c>
      <c r="AT2443" t="s">
        <v>58</v>
      </c>
    </row>
    <row r="2444" ht="29" spans="1:46">
      <c r="A2444" s="31" t="s">
        <v>65</v>
      </c>
      <c r="C2444" t="s">
        <v>3318</v>
      </c>
      <c r="D2444" s="5" t="s">
        <v>57</v>
      </c>
      <c r="E2444">
        <v>2035</v>
      </c>
      <c r="F2444" s="6" t="str">
        <f t="shared" si="306"/>
        <v>*0.94</v>
      </c>
      <c r="H2444" t="s">
        <v>3318</v>
      </c>
      <c r="I2444" s="5" t="s">
        <v>57</v>
      </c>
      <c r="J2444">
        <v>2050</v>
      </c>
      <c r="K2444" s="38" t="str">
        <f t="shared" si="307"/>
        <v>*0.91</v>
      </c>
      <c r="P2444" s="32" t="s">
        <v>3318</v>
      </c>
      <c r="Q2444" s="42" t="s">
        <v>57</v>
      </c>
      <c r="R2444" s="32">
        <v>2035</v>
      </c>
      <c r="S2444" s="43" t="str">
        <f t="shared" si="308"/>
        <v>*0.93</v>
      </c>
      <c r="U2444" s="32" t="s">
        <v>3318</v>
      </c>
      <c r="V2444" s="42" t="s">
        <v>57</v>
      </c>
      <c r="W2444" s="32">
        <v>2050</v>
      </c>
      <c r="X2444" s="43" t="str">
        <f t="shared" si="309"/>
        <v>*0.9</v>
      </c>
      <c r="AC2444" s="33" t="s">
        <v>3318</v>
      </c>
      <c r="AD2444" s="44" t="s">
        <v>57</v>
      </c>
      <c r="AE2444" s="33">
        <v>2035</v>
      </c>
      <c r="AF2444" s="45" t="str">
        <f t="shared" si="310"/>
        <v>*0.9</v>
      </c>
      <c r="AG2444" s="43" t="str">
        <f t="shared" si="312"/>
        <v>REZoning_Sol-Win</v>
      </c>
      <c r="AI2444" s="33" t="s">
        <v>3318</v>
      </c>
      <c r="AJ2444" s="44" t="s">
        <v>57</v>
      </c>
      <c r="AK2444" s="33">
        <v>2050</v>
      </c>
      <c r="AL2444" s="45" t="str">
        <f t="shared" si="311"/>
        <v>*0.86</v>
      </c>
      <c r="AM2444" s="43" t="str">
        <f t="shared" si="313"/>
        <v>REZoning_Sol-Win</v>
      </c>
      <c r="AP2444" t="s">
        <v>3318</v>
      </c>
      <c r="AQ2444" t="s">
        <v>57</v>
      </c>
      <c r="AR2444">
        <v>2100</v>
      </c>
      <c r="AS2444" t="s">
        <v>883</v>
      </c>
      <c r="AT2444" t="s">
        <v>58</v>
      </c>
    </row>
    <row r="2445" ht="29" spans="1:46">
      <c r="A2445" s="31" t="s">
        <v>65</v>
      </c>
      <c r="C2445" t="s">
        <v>3319</v>
      </c>
      <c r="D2445" s="5" t="s">
        <v>57</v>
      </c>
      <c r="E2445">
        <v>2035</v>
      </c>
      <c r="F2445" s="6" t="str">
        <f t="shared" si="306"/>
        <v>*0.94</v>
      </c>
      <c r="H2445" t="s">
        <v>3319</v>
      </c>
      <c r="I2445" s="5" t="s">
        <v>57</v>
      </c>
      <c r="J2445">
        <v>2050</v>
      </c>
      <c r="K2445" s="38" t="str">
        <f t="shared" si="307"/>
        <v>*0.91</v>
      </c>
      <c r="P2445" s="32" t="s">
        <v>3319</v>
      </c>
      <c r="Q2445" s="42" t="s">
        <v>57</v>
      </c>
      <c r="R2445" s="32">
        <v>2035</v>
      </c>
      <c r="S2445" s="43" t="str">
        <f t="shared" si="308"/>
        <v>*0.93</v>
      </c>
      <c r="U2445" s="32" t="s">
        <v>3319</v>
      </c>
      <c r="V2445" s="42" t="s">
        <v>57</v>
      </c>
      <c r="W2445" s="32">
        <v>2050</v>
      </c>
      <c r="X2445" s="43" t="str">
        <f t="shared" si="309"/>
        <v>*0.9</v>
      </c>
      <c r="AC2445" s="33" t="s">
        <v>3319</v>
      </c>
      <c r="AD2445" s="44" t="s">
        <v>57</v>
      </c>
      <c r="AE2445" s="33">
        <v>2035</v>
      </c>
      <c r="AF2445" s="45" t="str">
        <f t="shared" si="310"/>
        <v>*0.9</v>
      </c>
      <c r="AG2445" s="43" t="str">
        <f t="shared" si="312"/>
        <v>REZoning_Sol-Win</v>
      </c>
      <c r="AI2445" s="33" t="s">
        <v>3319</v>
      </c>
      <c r="AJ2445" s="44" t="s">
        <v>57</v>
      </c>
      <c r="AK2445" s="33">
        <v>2050</v>
      </c>
      <c r="AL2445" s="45" t="str">
        <f t="shared" si="311"/>
        <v>*0.86</v>
      </c>
      <c r="AM2445" s="43" t="str">
        <f t="shared" si="313"/>
        <v>REZoning_Sol-Win</v>
      </c>
      <c r="AP2445" t="s">
        <v>3319</v>
      </c>
      <c r="AQ2445" t="s">
        <v>57</v>
      </c>
      <c r="AR2445">
        <v>2100</v>
      </c>
      <c r="AS2445" t="s">
        <v>883</v>
      </c>
      <c r="AT2445" t="s">
        <v>58</v>
      </c>
    </row>
    <row r="2446" ht="29" spans="1:46">
      <c r="A2446" s="31" t="s">
        <v>65</v>
      </c>
      <c r="C2446" t="s">
        <v>3320</v>
      </c>
      <c r="D2446" s="5" t="s">
        <v>57</v>
      </c>
      <c r="E2446">
        <v>2035</v>
      </c>
      <c r="F2446" s="6" t="str">
        <f t="shared" si="306"/>
        <v>*0.94</v>
      </c>
      <c r="H2446" t="s">
        <v>3320</v>
      </c>
      <c r="I2446" s="5" t="s">
        <v>57</v>
      </c>
      <c r="J2446">
        <v>2050</v>
      </c>
      <c r="K2446" s="38" t="str">
        <f t="shared" si="307"/>
        <v>*0.91</v>
      </c>
      <c r="P2446" s="32" t="s">
        <v>3320</v>
      </c>
      <c r="Q2446" s="42" t="s">
        <v>57</v>
      </c>
      <c r="R2446" s="32">
        <v>2035</v>
      </c>
      <c r="S2446" s="43" t="str">
        <f t="shared" si="308"/>
        <v>*0.93</v>
      </c>
      <c r="U2446" s="32" t="s">
        <v>3320</v>
      </c>
      <c r="V2446" s="42" t="s">
        <v>57</v>
      </c>
      <c r="W2446" s="32">
        <v>2050</v>
      </c>
      <c r="X2446" s="43" t="str">
        <f t="shared" si="309"/>
        <v>*0.9</v>
      </c>
      <c r="AC2446" s="33" t="s">
        <v>3320</v>
      </c>
      <c r="AD2446" s="44" t="s">
        <v>57</v>
      </c>
      <c r="AE2446" s="33">
        <v>2035</v>
      </c>
      <c r="AF2446" s="45" t="str">
        <f t="shared" si="310"/>
        <v>*0.9</v>
      </c>
      <c r="AG2446" s="43" t="str">
        <f t="shared" si="312"/>
        <v>REZoning_Sol-Win</v>
      </c>
      <c r="AI2446" s="33" t="s">
        <v>3320</v>
      </c>
      <c r="AJ2446" s="44" t="s">
        <v>57</v>
      </c>
      <c r="AK2446" s="33">
        <v>2050</v>
      </c>
      <c r="AL2446" s="45" t="str">
        <f t="shared" si="311"/>
        <v>*0.86</v>
      </c>
      <c r="AM2446" s="43" t="str">
        <f t="shared" si="313"/>
        <v>REZoning_Sol-Win</v>
      </c>
      <c r="AP2446" t="s">
        <v>3320</v>
      </c>
      <c r="AQ2446" t="s">
        <v>57</v>
      </c>
      <c r="AR2446">
        <v>2100</v>
      </c>
      <c r="AS2446" t="s">
        <v>883</v>
      </c>
      <c r="AT2446" t="s">
        <v>58</v>
      </c>
    </row>
    <row r="2447" ht="29" spans="1:46">
      <c r="A2447" s="31" t="s">
        <v>65</v>
      </c>
      <c r="C2447" t="s">
        <v>3321</v>
      </c>
      <c r="D2447" s="5" t="s">
        <v>57</v>
      </c>
      <c r="E2447">
        <v>2035</v>
      </c>
      <c r="F2447" s="6" t="str">
        <f t="shared" si="306"/>
        <v>*0.94</v>
      </c>
      <c r="H2447" t="s">
        <v>3321</v>
      </c>
      <c r="I2447" s="5" t="s">
        <v>57</v>
      </c>
      <c r="J2447">
        <v>2050</v>
      </c>
      <c r="K2447" s="38" t="str">
        <f t="shared" si="307"/>
        <v>*0.91</v>
      </c>
      <c r="P2447" s="32" t="s">
        <v>3321</v>
      </c>
      <c r="Q2447" s="42" t="s">
        <v>57</v>
      </c>
      <c r="R2447" s="32">
        <v>2035</v>
      </c>
      <c r="S2447" s="43" t="str">
        <f t="shared" si="308"/>
        <v>*0.93</v>
      </c>
      <c r="U2447" s="32" t="s">
        <v>3321</v>
      </c>
      <c r="V2447" s="42" t="s">
        <v>57</v>
      </c>
      <c r="W2447" s="32">
        <v>2050</v>
      </c>
      <c r="X2447" s="43" t="str">
        <f t="shared" si="309"/>
        <v>*0.9</v>
      </c>
      <c r="AC2447" s="33" t="s">
        <v>3321</v>
      </c>
      <c r="AD2447" s="44" t="s">
        <v>57</v>
      </c>
      <c r="AE2447" s="33">
        <v>2035</v>
      </c>
      <c r="AF2447" s="45" t="str">
        <f t="shared" si="310"/>
        <v>*0.9</v>
      </c>
      <c r="AG2447" s="43" t="str">
        <f t="shared" si="312"/>
        <v>REZoning_Sol-Win</v>
      </c>
      <c r="AI2447" s="33" t="s">
        <v>3321</v>
      </c>
      <c r="AJ2447" s="44" t="s">
        <v>57</v>
      </c>
      <c r="AK2447" s="33">
        <v>2050</v>
      </c>
      <c r="AL2447" s="45" t="str">
        <f t="shared" si="311"/>
        <v>*0.86</v>
      </c>
      <c r="AM2447" s="43" t="str">
        <f t="shared" si="313"/>
        <v>REZoning_Sol-Win</v>
      </c>
      <c r="AP2447" t="s">
        <v>3321</v>
      </c>
      <c r="AQ2447" t="s">
        <v>57</v>
      </c>
      <c r="AR2447">
        <v>2100</v>
      </c>
      <c r="AS2447" t="s">
        <v>883</v>
      </c>
      <c r="AT2447" t="s">
        <v>58</v>
      </c>
    </row>
    <row r="2448" ht="29" spans="1:46">
      <c r="A2448" s="31" t="s">
        <v>65</v>
      </c>
      <c r="C2448" t="s">
        <v>3322</v>
      </c>
      <c r="D2448" s="5" t="s">
        <v>57</v>
      </c>
      <c r="E2448">
        <v>2035</v>
      </c>
      <c r="F2448" s="6" t="str">
        <f t="shared" si="306"/>
        <v>*0.94</v>
      </c>
      <c r="H2448" t="s">
        <v>3322</v>
      </c>
      <c r="I2448" s="5" t="s">
        <v>57</v>
      </c>
      <c r="J2448">
        <v>2050</v>
      </c>
      <c r="K2448" s="38" t="str">
        <f t="shared" si="307"/>
        <v>*0.91</v>
      </c>
      <c r="P2448" s="32" t="s">
        <v>3322</v>
      </c>
      <c r="Q2448" s="42" t="s">
        <v>57</v>
      </c>
      <c r="R2448" s="32">
        <v>2035</v>
      </c>
      <c r="S2448" s="43" t="str">
        <f t="shared" si="308"/>
        <v>*0.93</v>
      </c>
      <c r="U2448" s="32" t="s">
        <v>3322</v>
      </c>
      <c r="V2448" s="42" t="s">
        <v>57</v>
      </c>
      <c r="W2448" s="32">
        <v>2050</v>
      </c>
      <c r="X2448" s="43" t="str">
        <f t="shared" si="309"/>
        <v>*0.9</v>
      </c>
      <c r="AC2448" s="33" t="s">
        <v>3322</v>
      </c>
      <c r="AD2448" s="44" t="s">
        <v>57</v>
      </c>
      <c r="AE2448" s="33">
        <v>2035</v>
      </c>
      <c r="AF2448" s="45" t="str">
        <f t="shared" si="310"/>
        <v>*0.9</v>
      </c>
      <c r="AG2448" s="43" t="str">
        <f t="shared" si="312"/>
        <v>REZoning_Sol-Win</v>
      </c>
      <c r="AI2448" s="33" t="s">
        <v>3322</v>
      </c>
      <c r="AJ2448" s="44" t="s">
        <v>57</v>
      </c>
      <c r="AK2448" s="33">
        <v>2050</v>
      </c>
      <c r="AL2448" s="45" t="str">
        <f t="shared" si="311"/>
        <v>*0.86</v>
      </c>
      <c r="AM2448" s="43" t="str">
        <f t="shared" si="313"/>
        <v>REZoning_Sol-Win</v>
      </c>
      <c r="AP2448" t="s">
        <v>3322</v>
      </c>
      <c r="AQ2448" t="s">
        <v>57</v>
      </c>
      <c r="AR2448">
        <v>2100</v>
      </c>
      <c r="AS2448" t="s">
        <v>883</v>
      </c>
      <c r="AT2448" t="s">
        <v>58</v>
      </c>
    </row>
    <row r="2449" ht="29" spans="1:46">
      <c r="A2449" s="31" t="s">
        <v>65</v>
      </c>
      <c r="C2449" t="s">
        <v>3323</v>
      </c>
      <c r="D2449" s="5" t="s">
        <v>57</v>
      </c>
      <c r="E2449">
        <v>2035</v>
      </c>
      <c r="F2449" s="6" t="str">
        <f t="shared" si="306"/>
        <v>*0.94</v>
      </c>
      <c r="H2449" t="s">
        <v>3323</v>
      </c>
      <c r="I2449" s="5" t="s">
        <v>57</v>
      </c>
      <c r="J2449">
        <v>2050</v>
      </c>
      <c r="K2449" s="38" t="str">
        <f t="shared" si="307"/>
        <v>*0.91</v>
      </c>
      <c r="P2449" s="32" t="s">
        <v>3323</v>
      </c>
      <c r="Q2449" s="42" t="s">
        <v>57</v>
      </c>
      <c r="R2449" s="32">
        <v>2035</v>
      </c>
      <c r="S2449" s="43" t="str">
        <f t="shared" si="308"/>
        <v>*0.93</v>
      </c>
      <c r="U2449" s="32" t="s">
        <v>3323</v>
      </c>
      <c r="V2449" s="42" t="s">
        <v>57</v>
      </c>
      <c r="W2449" s="32">
        <v>2050</v>
      </c>
      <c r="X2449" s="43" t="str">
        <f t="shared" si="309"/>
        <v>*0.9</v>
      </c>
      <c r="AC2449" s="33" t="s">
        <v>3323</v>
      </c>
      <c r="AD2449" s="44" t="s">
        <v>57</v>
      </c>
      <c r="AE2449" s="33">
        <v>2035</v>
      </c>
      <c r="AF2449" s="45" t="str">
        <f t="shared" si="310"/>
        <v>*0.9</v>
      </c>
      <c r="AG2449" s="43" t="str">
        <f t="shared" si="312"/>
        <v>REZoning_Sol-Win</v>
      </c>
      <c r="AI2449" s="33" t="s">
        <v>3323</v>
      </c>
      <c r="AJ2449" s="44" t="s">
        <v>57</v>
      </c>
      <c r="AK2449" s="33">
        <v>2050</v>
      </c>
      <c r="AL2449" s="45" t="str">
        <f t="shared" si="311"/>
        <v>*0.86</v>
      </c>
      <c r="AM2449" s="43" t="str">
        <f t="shared" si="313"/>
        <v>REZoning_Sol-Win</v>
      </c>
      <c r="AP2449" t="s">
        <v>3323</v>
      </c>
      <c r="AQ2449" t="s">
        <v>57</v>
      </c>
      <c r="AR2449">
        <v>2100</v>
      </c>
      <c r="AS2449" t="s">
        <v>883</v>
      </c>
      <c r="AT2449" t="s">
        <v>58</v>
      </c>
    </row>
    <row r="2450" ht="29" spans="1:46">
      <c r="A2450" s="31" t="s">
        <v>65</v>
      </c>
      <c r="C2450" t="s">
        <v>3324</v>
      </c>
      <c r="D2450" s="5" t="s">
        <v>57</v>
      </c>
      <c r="E2450">
        <v>2035</v>
      </c>
      <c r="F2450" s="6" t="str">
        <f t="shared" si="306"/>
        <v>*0.94</v>
      </c>
      <c r="H2450" t="s">
        <v>3324</v>
      </c>
      <c r="I2450" s="5" t="s">
        <v>57</v>
      </c>
      <c r="J2450">
        <v>2050</v>
      </c>
      <c r="K2450" s="38" t="str">
        <f t="shared" si="307"/>
        <v>*0.91</v>
      </c>
      <c r="P2450" s="32" t="s">
        <v>3324</v>
      </c>
      <c r="Q2450" s="42" t="s">
        <v>57</v>
      </c>
      <c r="R2450" s="32">
        <v>2035</v>
      </c>
      <c r="S2450" s="43" t="str">
        <f t="shared" si="308"/>
        <v>*0.93</v>
      </c>
      <c r="U2450" s="32" t="s">
        <v>3324</v>
      </c>
      <c r="V2450" s="42" t="s">
        <v>57</v>
      </c>
      <c r="W2450" s="32">
        <v>2050</v>
      </c>
      <c r="X2450" s="43" t="str">
        <f t="shared" si="309"/>
        <v>*0.9</v>
      </c>
      <c r="AC2450" s="33" t="s">
        <v>3324</v>
      </c>
      <c r="AD2450" s="44" t="s">
        <v>57</v>
      </c>
      <c r="AE2450" s="33">
        <v>2035</v>
      </c>
      <c r="AF2450" s="45" t="str">
        <f t="shared" si="310"/>
        <v>*0.9</v>
      </c>
      <c r="AG2450" s="43" t="str">
        <f t="shared" si="312"/>
        <v>REZoning_Sol-Win</v>
      </c>
      <c r="AI2450" s="33" t="s">
        <v>3324</v>
      </c>
      <c r="AJ2450" s="44" t="s">
        <v>57</v>
      </c>
      <c r="AK2450" s="33">
        <v>2050</v>
      </c>
      <c r="AL2450" s="45" t="str">
        <f t="shared" si="311"/>
        <v>*0.86</v>
      </c>
      <c r="AM2450" s="43" t="str">
        <f t="shared" si="313"/>
        <v>REZoning_Sol-Win</v>
      </c>
      <c r="AP2450" t="s">
        <v>3324</v>
      </c>
      <c r="AQ2450" t="s">
        <v>57</v>
      </c>
      <c r="AR2450">
        <v>2100</v>
      </c>
      <c r="AS2450" t="s">
        <v>883</v>
      </c>
      <c r="AT2450" t="s">
        <v>58</v>
      </c>
    </row>
    <row r="2451" ht="29" spans="1:46">
      <c r="A2451" s="31" t="s">
        <v>65</v>
      </c>
      <c r="C2451" t="s">
        <v>3325</v>
      </c>
      <c r="D2451" s="5" t="s">
        <v>57</v>
      </c>
      <c r="E2451">
        <v>2035</v>
      </c>
      <c r="F2451" s="6" t="str">
        <f t="shared" si="306"/>
        <v>*0.94</v>
      </c>
      <c r="H2451" t="s">
        <v>3325</v>
      </c>
      <c r="I2451" s="5" t="s">
        <v>57</v>
      </c>
      <c r="J2451">
        <v>2050</v>
      </c>
      <c r="K2451" s="38" t="str">
        <f t="shared" si="307"/>
        <v>*0.91</v>
      </c>
      <c r="P2451" s="32" t="s">
        <v>3325</v>
      </c>
      <c r="Q2451" s="42" t="s">
        <v>57</v>
      </c>
      <c r="R2451" s="32">
        <v>2035</v>
      </c>
      <c r="S2451" s="43" t="str">
        <f t="shared" si="308"/>
        <v>*0.93</v>
      </c>
      <c r="U2451" s="32" t="s">
        <v>3325</v>
      </c>
      <c r="V2451" s="42" t="s">
        <v>57</v>
      </c>
      <c r="W2451" s="32">
        <v>2050</v>
      </c>
      <c r="X2451" s="43" t="str">
        <f t="shared" si="309"/>
        <v>*0.9</v>
      </c>
      <c r="AC2451" s="33" t="s">
        <v>3325</v>
      </c>
      <c r="AD2451" s="44" t="s">
        <v>57</v>
      </c>
      <c r="AE2451" s="33">
        <v>2035</v>
      </c>
      <c r="AF2451" s="45" t="str">
        <f t="shared" si="310"/>
        <v>*0.9</v>
      </c>
      <c r="AG2451" s="43" t="str">
        <f t="shared" si="312"/>
        <v>REZoning_Sol-Win</v>
      </c>
      <c r="AI2451" s="33" t="s">
        <v>3325</v>
      </c>
      <c r="AJ2451" s="44" t="s">
        <v>57</v>
      </c>
      <c r="AK2451" s="33">
        <v>2050</v>
      </c>
      <c r="AL2451" s="45" t="str">
        <f t="shared" si="311"/>
        <v>*0.86</v>
      </c>
      <c r="AM2451" s="43" t="str">
        <f t="shared" si="313"/>
        <v>REZoning_Sol-Win</v>
      </c>
      <c r="AP2451" t="s">
        <v>3325</v>
      </c>
      <c r="AQ2451" t="s">
        <v>57</v>
      </c>
      <c r="AR2451">
        <v>2100</v>
      </c>
      <c r="AS2451" t="s">
        <v>883</v>
      </c>
      <c r="AT2451" t="s">
        <v>58</v>
      </c>
    </row>
    <row r="2452" ht="29" spans="1:46">
      <c r="A2452" s="31" t="s">
        <v>65</v>
      </c>
      <c r="C2452" t="s">
        <v>3326</v>
      </c>
      <c r="D2452" s="5" t="s">
        <v>57</v>
      </c>
      <c r="E2452">
        <v>2035</v>
      </c>
      <c r="F2452" s="6" t="str">
        <f t="shared" si="306"/>
        <v>*0.94</v>
      </c>
      <c r="H2452" t="s">
        <v>3326</v>
      </c>
      <c r="I2452" s="5" t="s">
        <v>57</v>
      </c>
      <c r="J2452">
        <v>2050</v>
      </c>
      <c r="K2452" s="38" t="str">
        <f t="shared" si="307"/>
        <v>*0.91</v>
      </c>
      <c r="P2452" s="32" t="s">
        <v>3326</v>
      </c>
      <c r="Q2452" s="42" t="s">
        <v>57</v>
      </c>
      <c r="R2452" s="32">
        <v>2035</v>
      </c>
      <c r="S2452" s="43" t="str">
        <f t="shared" si="308"/>
        <v>*0.93</v>
      </c>
      <c r="U2452" s="32" t="s">
        <v>3326</v>
      </c>
      <c r="V2452" s="42" t="s">
        <v>57</v>
      </c>
      <c r="W2452" s="32">
        <v>2050</v>
      </c>
      <c r="X2452" s="43" t="str">
        <f t="shared" si="309"/>
        <v>*0.9</v>
      </c>
      <c r="AC2452" s="33" t="s">
        <v>3326</v>
      </c>
      <c r="AD2452" s="44" t="s">
        <v>57</v>
      </c>
      <c r="AE2452" s="33">
        <v>2035</v>
      </c>
      <c r="AF2452" s="45" t="str">
        <f t="shared" si="310"/>
        <v>*0.9</v>
      </c>
      <c r="AG2452" s="43" t="str">
        <f t="shared" si="312"/>
        <v>REZoning_Sol-Win</v>
      </c>
      <c r="AI2452" s="33" t="s">
        <v>3326</v>
      </c>
      <c r="AJ2452" s="44" t="s">
        <v>57</v>
      </c>
      <c r="AK2452" s="33">
        <v>2050</v>
      </c>
      <c r="AL2452" s="45" t="str">
        <f t="shared" si="311"/>
        <v>*0.86</v>
      </c>
      <c r="AM2452" s="43" t="str">
        <f t="shared" si="313"/>
        <v>REZoning_Sol-Win</v>
      </c>
      <c r="AP2452" t="s">
        <v>3326</v>
      </c>
      <c r="AQ2452" t="s">
        <v>57</v>
      </c>
      <c r="AR2452">
        <v>2100</v>
      </c>
      <c r="AS2452" t="s">
        <v>883</v>
      </c>
      <c r="AT2452" t="s">
        <v>58</v>
      </c>
    </row>
    <row r="2453" ht="29" spans="1:46">
      <c r="A2453" s="31" t="s">
        <v>65</v>
      </c>
      <c r="C2453" t="s">
        <v>3327</v>
      </c>
      <c r="D2453" s="5" t="s">
        <v>57</v>
      </c>
      <c r="E2453">
        <v>2035</v>
      </c>
      <c r="F2453" s="6" t="str">
        <f t="shared" si="306"/>
        <v>*0.94</v>
      </c>
      <c r="H2453" t="s">
        <v>3327</v>
      </c>
      <c r="I2453" s="5" t="s">
        <v>57</v>
      </c>
      <c r="J2453">
        <v>2050</v>
      </c>
      <c r="K2453" s="38" t="str">
        <f t="shared" si="307"/>
        <v>*0.91</v>
      </c>
      <c r="P2453" s="32" t="s">
        <v>3327</v>
      </c>
      <c r="Q2453" s="42" t="s">
        <v>57</v>
      </c>
      <c r="R2453" s="32">
        <v>2035</v>
      </c>
      <c r="S2453" s="43" t="str">
        <f t="shared" si="308"/>
        <v>*0.93</v>
      </c>
      <c r="U2453" s="32" t="s">
        <v>3327</v>
      </c>
      <c r="V2453" s="42" t="s">
        <v>57</v>
      </c>
      <c r="W2453" s="32">
        <v>2050</v>
      </c>
      <c r="X2453" s="43" t="str">
        <f t="shared" si="309"/>
        <v>*0.9</v>
      </c>
      <c r="AC2453" s="33" t="s">
        <v>3327</v>
      </c>
      <c r="AD2453" s="44" t="s">
        <v>57</v>
      </c>
      <c r="AE2453" s="33">
        <v>2035</v>
      </c>
      <c r="AF2453" s="45" t="str">
        <f t="shared" si="310"/>
        <v>*0.9</v>
      </c>
      <c r="AG2453" s="43" t="str">
        <f t="shared" si="312"/>
        <v>REZoning_Sol-Win</v>
      </c>
      <c r="AI2453" s="33" t="s">
        <v>3327</v>
      </c>
      <c r="AJ2453" s="44" t="s">
        <v>57</v>
      </c>
      <c r="AK2453" s="33">
        <v>2050</v>
      </c>
      <c r="AL2453" s="45" t="str">
        <f t="shared" si="311"/>
        <v>*0.86</v>
      </c>
      <c r="AM2453" s="43" t="str">
        <f t="shared" si="313"/>
        <v>REZoning_Sol-Win</v>
      </c>
      <c r="AP2453" t="s">
        <v>3327</v>
      </c>
      <c r="AQ2453" t="s">
        <v>57</v>
      </c>
      <c r="AR2453">
        <v>2100</v>
      </c>
      <c r="AS2453" t="s">
        <v>883</v>
      </c>
      <c r="AT2453" t="s">
        <v>58</v>
      </c>
    </row>
    <row r="2454" ht="29" spans="1:46">
      <c r="A2454" s="31" t="s">
        <v>65</v>
      </c>
      <c r="C2454" t="s">
        <v>3328</v>
      </c>
      <c r="D2454" s="5" t="s">
        <v>57</v>
      </c>
      <c r="E2454">
        <v>2035</v>
      </c>
      <c r="F2454" s="6" t="str">
        <f t="shared" si="306"/>
        <v>*0.94</v>
      </c>
      <c r="H2454" t="s">
        <v>3328</v>
      </c>
      <c r="I2454" s="5" t="s">
        <v>57</v>
      </c>
      <c r="J2454">
        <v>2050</v>
      </c>
      <c r="K2454" s="38" t="str">
        <f t="shared" si="307"/>
        <v>*0.91</v>
      </c>
      <c r="P2454" s="32" t="s">
        <v>3328</v>
      </c>
      <c r="Q2454" s="42" t="s">
        <v>57</v>
      </c>
      <c r="R2454" s="32">
        <v>2035</v>
      </c>
      <c r="S2454" s="43" t="str">
        <f t="shared" si="308"/>
        <v>*0.93</v>
      </c>
      <c r="U2454" s="32" t="s">
        <v>3328</v>
      </c>
      <c r="V2454" s="42" t="s">
        <v>57</v>
      </c>
      <c r="W2454" s="32">
        <v>2050</v>
      </c>
      <c r="X2454" s="43" t="str">
        <f t="shared" si="309"/>
        <v>*0.9</v>
      </c>
      <c r="AC2454" s="33" t="s">
        <v>3328</v>
      </c>
      <c r="AD2454" s="44" t="s">
        <v>57</v>
      </c>
      <c r="AE2454" s="33">
        <v>2035</v>
      </c>
      <c r="AF2454" s="45" t="str">
        <f t="shared" si="310"/>
        <v>*0.9</v>
      </c>
      <c r="AG2454" s="43" t="str">
        <f t="shared" si="312"/>
        <v>REZoning_Sol-Win</v>
      </c>
      <c r="AI2454" s="33" t="s">
        <v>3328</v>
      </c>
      <c r="AJ2454" s="44" t="s">
        <v>57</v>
      </c>
      <c r="AK2454" s="33">
        <v>2050</v>
      </c>
      <c r="AL2454" s="45" t="str">
        <f t="shared" si="311"/>
        <v>*0.86</v>
      </c>
      <c r="AM2454" s="43" t="str">
        <f t="shared" si="313"/>
        <v>REZoning_Sol-Win</v>
      </c>
      <c r="AP2454" t="s">
        <v>3328</v>
      </c>
      <c r="AQ2454" t="s">
        <v>57</v>
      </c>
      <c r="AR2454">
        <v>2100</v>
      </c>
      <c r="AS2454" t="s">
        <v>883</v>
      </c>
      <c r="AT2454" t="s">
        <v>58</v>
      </c>
    </row>
    <row r="2455" ht="29" spans="1:46">
      <c r="A2455" s="31" t="s">
        <v>65</v>
      </c>
      <c r="C2455" t="s">
        <v>3329</v>
      </c>
      <c r="D2455" s="5" t="s">
        <v>57</v>
      </c>
      <c r="E2455">
        <v>2035</v>
      </c>
      <c r="F2455" s="6" t="str">
        <f t="shared" si="306"/>
        <v>*0.94</v>
      </c>
      <c r="H2455" t="s">
        <v>3329</v>
      </c>
      <c r="I2455" s="5" t="s">
        <v>57</v>
      </c>
      <c r="J2455">
        <v>2050</v>
      </c>
      <c r="K2455" s="38" t="str">
        <f t="shared" si="307"/>
        <v>*0.91</v>
      </c>
      <c r="P2455" s="32" t="s">
        <v>3329</v>
      </c>
      <c r="Q2455" s="42" t="s">
        <v>57</v>
      </c>
      <c r="R2455" s="32">
        <v>2035</v>
      </c>
      <c r="S2455" s="43" t="str">
        <f t="shared" si="308"/>
        <v>*0.93</v>
      </c>
      <c r="U2455" s="32" t="s">
        <v>3329</v>
      </c>
      <c r="V2455" s="42" t="s">
        <v>57</v>
      </c>
      <c r="W2455" s="32">
        <v>2050</v>
      </c>
      <c r="X2455" s="43" t="str">
        <f t="shared" si="309"/>
        <v>*0.9</v>
      </c>
      <c r="AC2455" s="33" t="s">
        <v>3329</v>
      </c>
      <c r="AD2455" s="44" t="s">
        <v>57</v>
      </c>
      <c r="AE2455" s="33">
        <v>2035</v>
      </c>
      <c r="AF2455" s="45" t="str">
        <f t="shared" si="310"/>
        <v>*0.9</v>
      </c>
      <c r="AG2455" s="43" t="str">
        <f t="shared" si="312"/>
        <v>REZoning_Sol-Win</v>
      </c>
      <c r="AI2455" s="33" t="s">
        <v>3329</v>
      </c>
      <c r="AJ2455" s="44" t="s">
        <v>57</v>
      </c>
      <c r="AK2455" s="33">
        <v>2050</v>
      </c>
      <c r="AL2455" s="45" t="str">
        <f t="shared" si="311"/>
        <v>*0.86</v>
      </c>
      <c r="AM2455" s="43" t="str">
        <f t="shared" si="313"/>
        <v>REZoning_Sol-Win</v>
      </c>
      <c r="AP2455" t="s">
        <v>3329</v>
      </c>
      <c r="AQ2455" t="s">
        <v>57</v>
      </c>
      <c r="AR2455">
        <v>2100</v>
      </c>
      <c r="AS2455" t="s">
        <v>883</v>
      </c>
      <c r="AT2455" t="s">
        <v>58</v>
      </c>
    </row>
    <row r="2456" ht="29" spans="1:46">
      <c r="A2456" s="31" t="s">
        <v>65</v>
      </c>
      <c r="C2456" t="s">
        <v>3330</v>
      </c>
      <c r="D2456" s="5" t="s">
        <v>57</v>
      </c>
      <c r="E2456">
        <v>2035</v>
      </c>
      <c r="F2456" s="6" t="str">
        <f t="shared" si="306"/>
        <v>*0.94</v>
      </c>
      <c r="H2456" t="s">
        <v>3330</v>
      </c>
      <c r="I2456" s="5" t="s">
        <v>57</v>
      </c>
      <c r="J2456">
        <v>2050</v>
      </c>
      <c r="K2456" s="38" t="str">
        <f t="shared" si="307"/>
        <v>*0.91</v>
      </c>
      <c r="P2456" s="32" t="s">
        <v>3330</v>
      </c>
      <c r="Q2456" s="42" t="s">
        <v>57</v>
      </c>
      <c r="R2456" s="32">
        <v>2035</v>
      </c>
      <c r="S2456" s="43" t="str">
        <f t="shared" si="308"/>
        <v>*0.93</v>
      </c>
      <c r="U2456" s="32" t="s">
        <v>3330</v>
      </c>
      <c r="V2456" s="42" t="s">
        <v>57</v>
      </c>
      <c r="W2456" s="32">
        <v>2050</v>
      </c>
      <c r="X2456" s="43" t="str">
        <f t="shared" si="309"/>
        <v>*0.9</v>
      </c>
      <c r="AC2456" s="33" t="s">
        <v>3330</v>
      </c>
      <c r="AD2456" s="44" t="s">
        <v>57</v>
      </c>
      <c r="AE2456" s="33">
        <v>2035</v>
      </c>
      <c r="AF2456" s="45" t="str">
        <f t="shared" si="310"/>
        <v>*0.9</v>
      </c>
      <c r="AG2456" s="43" t="str">
        <f t="shared" si="312"/>
        <v>REZoning_Sol-Win</v>
      </c>
      <c r="AI2456" s="33" t="s">
        <v>3330</v>
      </c>
      <c r="AJ2456" s="44" t="s">
        <v>57</v>
      </c>
      <c r="AK2456" s="33">
        <v>2050</v>
      </c>
      <c r="AL2456" s="45" t="str">
        <f t="shared" si="311"/>
        <v>*0.86</v>
      </c>
      <c r="AM2456" s="43" t="str">
        <f t="shared" si="313"/>
        <v>REZoning_Sol-Win</v>
      </c>
      <c r="AP2456" t="s">
        <v>3330</v>
      </c>
      <c r="AQ2456" t="s">
        <v>57</v>
      </c>
      <c r="AR2456">
        <v>2100</v>
      </c>
      <c r="AS2456" t="s">
        <v>883</v>
      </c>
      <c r="AT2456" t="s">
        <v>58</v>
      </c>
    </row>
    <row r="2457" ht="29" spans="1:46">
      <c r="A2457" s="31" t="s">
        <v>65</v>
      </c>
      <c r="C2457" t="s">
        <v>3331</v>
      </c>
      <c r="D2457" s="5" t="s">
        <v>57</v>
      </c>
      <c r="E2457">
        <v>2035</v>
      </c>
      <c r="F2457" s="6" t="str">
        <f t="shared" si="306"/>
        <v>*0.94</v>
      </c>
      <c r="H2457" t="s">
        <v>3331</v>
      </c>
      <c r="I2457" s="5" t="s">
        <v>57</v>
      </c>
      <c r="J2457">
        <v>2050</v>
      </c>
      <c r="K2457" s="38" t="str">
        <f t="shared" si="307"/>
        <v>*0.91</v>
      </c>
      <c r="P2457" s="32" t="s">
        <v>3331</v>
      </c>
      <c r="Q2457" s="42" t="s">
        <v>57</v>
      </c>
      <c r="R2457" s="32">
        <v>2035</v>
      </c>
      <c r="S2457" s="43" t="str">
        <f t="shared" si="308"/>
        <v>*0.93</v>
      </c>
      <c r="U2457" s="32" t="s">
        <v>3331</v>
      </c>
      <c r="V2457" s="42" t="s">
        <v>57</v>
      </c>
      <c r="W2457" s="32">
        <v>2050</v>
      </c>
      <c r="X2457" s="43" t="str">
        <f t="shared" si="309"/>
        <v>*0.9</v>
      </c>
      <c r="AC2457" s="33" t="s">
        <v>3331</v>
      </c>
      <c r="AD2457" s="44" t="s">
        <v>57</v>
      </c>
      <c r="AE2457" s="33">
        <v>2035</v>
      </c>
      <c r="AF2457" s="45" t="str">
        <f t="shared" si="310"/>
        <v>*0.9</v>
      </c>
      <c r="AG2457" s="43" t="str">
        <f t="shared" si="312"/>
        <v>REZoning_Sol-Win</v>
      </c>
      <c r="AI2457" s="33" t="s">
        <v>3331</v>
      </c>
      <c r="AJ2457" s="44" t="s">
        <v>57</v>
      </c>
      <c r="AK2457" s="33">
        <v>2050</v>
      </c>
      <c r="AL2457" s="45" t="str">
        <f t="shared" si="311"/>
        <v>*0.86</v>
      </c>
      <c r="AM2457" s="43" t="str">
        <f t="shared" si="313"/>
        <v>REZoning_Sol-Win</v>
      </c>
      <c r="AP2457" t="s">
        <v>3331</v>
      </c>
      <c r="AQ2457" t="s">
        <v>57</v>
      </c>
      <c r="AR2457">
        <v>2100</v>
      </c>
      <c r="AS2457" t="s">
        <v>883</v>
      </c>
      <c r="AT2457" t="s">
        <v>58</v>
      </c>
    </row>
    <row r="2458" ht="29" spans="1:46">
      <c r="A2458" s="31" t="s">
        <v>65</v>
      </c>
      <c r="C2458" t="s">
        <v>3332</v>
      </c>
      <c r="D2458" s="5" t="s">
        <v>57</v>
      </c>
      <c r="E2458">
        <v>2035</v>
      </c>
      <c r="F2458" s="6" t="str">
        <f t="shared" si="306"/>
        <v>*0.94</v>
      </c>
      <c r="H2458" t="s">
        <v>3332</v>
      </c>
      <c r="I2458" s="5" t="s">
        <v>57</v>
      </c>
      <c r="J2458">
        <v>2050</v>
      </c>
      <c r="K2458" s="38" t="str">
        <f t="shared" si="307"/>
        <v>*0.91</v>
      </c>
      <c r="P2458" s="32" t="s">
        <v>3332</v>
      </c>
      <c r="Q2458" s="42" t="s">
        <v>57</v>
      </c>
      <c r="R2458" s="32">
        <v>2035</v>
      </c>
      <c r="S2458" s="43" t="str">
        <f t="shared" si="308"/>
        <v>*0.93</v>
      </c>
      <c r="U2458" s="32" t="s">
        <v>3332</v>
      </c>
      <c r="V2458" s="42" t="s">
        <v>57</v>
      </c>
      <c r="W2458" s="32">
        <v>2050</v>
      </c>
      <c r="X2458" s="43" t="str">
        <f t="shared" si="309"/>
        <v>*0.9</v>
      </c>
      <c r="AC2458" s="33" t="s">
        <v>3332</v>
      </c>
      <c r="AD2458" s="44" t="s">
        <v>57</v>
      </c>
      <c r="AE2458" s="33">
        <v>2035</v>
      </c>
      <c r="AF2458" s="45" t="str">
        <f t="shared" si="310"/>
        <v>*0.9</v>
      </c>
      <c r="AG2458" s="43" t="str">
        <f t="shared" si="312"/>
        <v>REZoning_Sol-Win</v>
      </c>
      <c r="AI2458" s="33" t="s">
        <v>3332</v>
      </c>
      <c r="AJ2458" s="44" t="s">
        <v>57</v>
      </c>
      <c r="AK2458" s="33">
        <v>2050</v>
      </c>
      <c r="AL2458" s="45" t="str">
        <f t="shared" si="311"/>
        <v>*0.86</v>
      </c>
      <c r="AM2458" s="43" t="str">
        <f t="shared" si="313"/>
        <v>REZoning_Sol-Win</v>
      </c>
      <c r="AP2458" t="s">
        <v>3332</v>
      </c>
      <c r="AQ2458" t="s">
        <v>57</v>
      </c>
      <c r="AR2458">
        <v>2100</v>
      </c>
      <c r="AS2458" t="s">
        <v>883</v>
      </c>
      <c r="AT2458" t="s">
        <v>58</v>
      </c>
    </row>
    <row r="2459" ht="29" spans="1:46">
      <c r="A2459" s="31" t="s">
        <v>65</v>
      </c>
      <c r="C2459" t="s">
        <v>3333</v>
      </c>
      <c r="D2459" s="5" t="s">
        <v>57</v>
      </c>
      <c r="E2459">
        <v>2035</v>
      </c>
      <c r="F2459" s="6" t="str">
        <f t="shared" si="306"/>
        <v>*0.94</v>
      </c>
      <c r="H2459" t="s">
        <v>3333</v>
      </c>
      <c r="I2459" s="5" t="s">
        <v>57</v>
      </c>
      <c r="J2459">
        <v>2050</v>
      </c>
      <c r="K2459" s="38" t="str">
        <f t="shared" si="307"/>
        <v>*0.91</v>
      </c>
      <c r="P2459" s="32" t="s">
        <v>3333</v>
      </c>
      <c r="Q2459" s="42" t="s">
        <v>57</v>
      </c>
      <c r="R2459" s="32">
        <v>2035</v>
      </c>
      <c r="S2459" s="43" t="str">
        <f t="shared" si="308"/>
        <v>*0.93</v>
      </c>
      <c r="U2459" s="32" t="s">
        <v>3333</v>
      </c>
      <c r="V2459" s="42" t="s">
        <v>57</v>
      </c>
      <c r="W2459" s="32">
        <v>2050</v>
      </c>
      <c r="X2459" s="43" t="str">
        <f t="shared" si="309"/>
        <v>*0.9</v>
      </c>
      <c r="AC2459" s="33" t="s">
        <v>3333</v>
      </c>
      <c r="AD2459" s="44" t="s">
        <v>57</v>
      </c>
      <c r="AE2459" s="33">
        <v>2035</v>
      </c>
      <c r="AF2459" s="45" t="str">
        <f t="shared" si="310"/>
        <v>*0.9</v>
      </c>
      <c r="AG2459" s="43" t="str">
        <f t="shared" si="312"/>
        <v>REZoning_Sol-Win</v>
      </c>
      <c r="AI2459" s="33" t="s">
        <v>3333</v>
      </c>
      <c r="AJ2459" s="44" t="s">
        <v>57</v>
      </c>
      <c r="AK2459" s="33">
        <v>2050</v>
      </c>
      <c r="AL2459" s="45" t="str">
        <f t="shared" si="311"/>
        <v>*0.86</v>
      </c>
      <c r="AM2459" s="43" t="str">
        <f t="shared" si="313"/>
        <v>REZoning_Sol-Win</v>
      </c>
      <c r="AP2459" t="s">
        <v>3333</v>
      </c>
      <c r="AQ2459" t="s">
        <v>57</v>
      </c>
      <c r="AR2459">
        <v>2100</v>
      </c>
      <c r="AS2459" t="s">
        <v>883</v>
      </c>
      <c r="AT2459" t="s">
        <v>58</v>
      </c>
    </row>
    <row r="2460" ht="29" spans="1:46">
      <c r="A2460" s="31" t="s">
        <v>65</v>
      </c>
      <c r="C2460" t="s">
        <v>3334</v>
      </c>
      <c r="D2460" s="5" t="s">
        <v>57</v>
      </c>
      <c r="E2460">
        <v>2035</v>
      </c>
      <c r="F2460" s="6" t="str">
        <f t="shared" si="306"/>
        <v>*0.94</v>
      </c>
      <c r="H2460" t="s">
        <v>3334</v>
      </c>
      <c r="I2460" s="5" t="s">
        <v>57</v>
      </c>
      <c r="J2460">
        <v>2050</v>
      </c>
      <c r="K2460" s="38" t="str">
        <f t="shared" si="307"/>
        <v>*0.91</v>
      </c>
      <c r="P2460" s="32" t="s">
        <v>3334</v>
      </c>
      <c r="Q2460" s="42" t="s">
        <v>57</v>
      </c>
      <c r="R2460" s="32">
        <v>2035</v>
      </c>
      <c r="S2460" s="43" t="str">
        <f t="shared" si="308"/>
        <v>*0.93</v>
      </c>
      <c r="U2460" s="32" t="s">
        <v>3334</v>
      </c>
      <c r="V2460" s="42" t="s">
        <v>57</v>
      </c>
      <c r="W2460" s="32">
        <v>2050</v>
      </c>
      <c r="X2460" s="43" t="str">
        <f t="shared" si="309"/>
        <v>*0.9</v>
      </c>
      <c r="AC2460" s="33" t="s">
        <v>3334</v>
      </c>
      <c r="AD2460" s="44" t="s">
        <v>57</v>
      </c>
      <c r="AE2460" s="33">
        <v>2035</v>
      </c>
      <c r="AF2460" s="45" t="str">
        <f t="shared" si="310"/>
        <v>*0.9</v>
      </c>
      <c r="AG2460" s="43" t="str">
        <f t="shared" si="312"/>
        <v>REZoning_Sol-Win</v>
      </c>
      <c r="AI2460" s="33" t="s">
        <v>3334</v>
      </c>
      <c r="AJ2460" s="44" t="s">
        <v>57</v>
      </c>
      <c r="AK2460" s="33">
        <v>2050</v>
      </c>
      <c r="AL2460" s="45" t="str">
        <f t="shared" si="311"/>
        <v>*0.86</v>
      </c>
      <c r="AM2460" s="43" t="str">
        <f t="shared" si="313"/>
        <v>REZoning_Sol-Win</v>
      </c>
      <c r="AP2460" t="s">
        <v>3334</v>
      </c>
      <c r="AQ2460" t="s">
        <v>57</v>
      </c>
      <c r="AR2460">
        <v>2100</v>
      </c>
      <c r="AS2460" t="s">
        <v>883</v>
      </c>
      <c r="AT2460" t="s">
        <v>58</v>
      </c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T1102"/>
  <sheetViews>
    <sheetView zoomScale="65" zoomScaleNormal="65" topLeftCell="AC1" workbookViewId="0">
      <selection activeCell="AG6" sqref="AG6"/>
    </sheetView>
  </sheetViews>
  <sheetFormatPr defaultColWidth="8.72727272727273" defaultRowHeight="14.5"/>
  <cols>
    <col min="1" max="1" width="73.8" style="31" customWidth="1"/>
    <col min="3" max="3" width="21.4636363636364" customWidth="1"/>
    <col min="4" max="4" width="12" customWidth="1"/>
    <col min="6" max="6" width="10.2" customWidth="1"/>
    <col min="8" max="8" width="21.4636363636364" customWidth="1"/>
    <col min="9" max="9" width="12" customWidth="1"/>
    <col min="11" max="11" width="10.2" customWidth="1"/>
    <col min="16" max="16" width="21.4636363636364" style="32" customWidth="1"/>
    <col min="17" max="17" width="12" style="32" customWidth="1"/>
    <col min="18" max="18" width="8.72727272727273" style="32"/>
    <col min="19" max="19" width="10.2" style="32" customWidth="1"/>
    <col min="20" max="20" width="8.72727272727273" style="32"/>
    <col min="21" max="21" width="21.4636363636364" style="32" customWidth="1"/>
    <col min="22" max="22" width="12" style="32" customWidth="1"/>
    <col min="23" max="23" width="8.72727272727273" style="32"/>
    <col min="24" max="24" width="10.2" style="32" customWidth="1"/>
    <col min="29" max="29" width="21.4636363636364" style="33" customWidth="1"/>
    <col min="30" max="30" width="12" style="33" customWidth="1"/>
    <col min="31" max="31" width="8.72727272727273" style="33"/>
    <col min="32" max="33" width="10.2" style="33" customWidth="1"/>
    <col min="35" max="35" width="21.4636363636364" style="33" customWidth="1"/>
    <col min="36" max="36" width="12" style="33" customWidth="1"/>
    <col min="37" max="37" width="8.72727272727273" style="33"/>
    <col min="38" max="38" width="10.2" style="33" customWidth="1"/>
    <col min="42" max="42" width="22.5272727272727" customWidth="1"/>
  </cols>
  <sheetData>
    <row r="2" spans="1:46">
      <c r="K2" s="2"/>
      <c r="P2" s="34" t="s">
        <v>26</v>
      </c>
      <c r="S2" s="35"/>
      <c r="U2" s="34" t="s">
        <v>26</v>
      </c>
      <c r="X2" s="35"/>
      <c r="AC2" s="1" t="s">
        <v>51</v>
      </c>
      <c r="AD2"/>
      <c r="AE2"/>
      <c r="AF2" s="2"/>
      <c r="AG2" s="2"/>
      <c r="AI2" s="1" t="s">
        <v>51</v>
      </c>
      <c r="AL2" s="36"/>
      <c r="AP2" t="s">
        <v>51</v>
      </c>
    </row>
    <row r="3" ht="15.25" spans="1:46">
      <c r="A3" s="37" t="s">
        <v>52</v>
      </c>
      <c r="C3" t="s">
        <v>53</v>
      </c>
      <c r="D3" s="3" t="s">
        <v>11</v>
      </c>
      <c r="E3" s="3" t="s">
        <v>12</v>
      </c>
      <c r="F3" s="4" t="s">
        <v>15</v>
      </c>
      <c r="G3" s="38"/>
      <c r="H3" t="s">
        <v>53</v>
      </c>
      <c r="I3" s="3" t="s">
        <v>11</v>
      </c>
      <c r="J3" s="3" t="s">
        <v>12</v>
      </c>
      <c r="K3" s="4" t="s">
        <v>15</v>
      </c>
      <c r="P3" s="32" t="s">
        <v>53</v>
      </c>
      <c r="Q3" s="39" t="s">
        <v>11</v>
      </c>
      <c r="R3" s="39" t="s">
        <v>12</v>
      </c>
      <c r="S3" s="4" t="s">
        <v>15</v>
      </c>
      <c r="T3" s="40"/>
      <c r="U3" s="32" t="s">
        <v>53</v>
      </c>
      <c r="V3" s="39" t="s">
        <v>11</v>
      </c>
      <c r="W3" s="39" t="s">
        <v>12</v>
      </c>
      <c r="X3" s="4" t="s">
        <v>15</v>
      </c>
      <c r="AC3" s="33" t="s">
        <v>53</v>
      </c>
      <c r="AD3" s="41" t="s">
        <v>11</v>
      </c>
      <c r="AE3" s="41" t="s">
        <v>12</v>
      </c>
      <c r="AF3" s="4" t="s">
        <v>15</v>
      </c>
      <c r="AG3" s="4" t="s">
        <v>54</v>
      </c>
      <c r="AH3" s="38"/>
      <c r="AI3" s="33" t="s">
        <v>53</v>
      </c>
      <c r="AJ3" s="41" t="s">
        <v>11</v>
      </c>
      <c r="AK3" s="41" t="s">
        <v>12</v>
      </c>
      <c r="AL3" s="4" t="s">
        <v>15</v>
      </c>
      <c r="AM3" s="4" t="s">
        <v>54</v>
      </c>
      <c r="AP3" t="s">
        <v>53</v>
      </c>
      <c r="AQ3" t="s">
        <v>11</v>
      </c>
      <c r="AR3" t="s">
        <v>12</v>
      </c>
      <c r="AS3" t="s">
        <v>15</v>
      </c>
      <c r="AT3" t="s">
        <v>54</v>
      </c>
    </row>
    <row r="4" ht="29" spans="1:46">
      <c r="A4" s="31" t="s">
        <v>65</v>
      </c>
      <c r="C4" t="s">
        <v>3335</v>
      </c>
      <c r="D4" s="5" t="s">
        <v>57</v>
      </c>
      <c r="E4">
        <v>2035</v>
      </c>
      <c r="F4" s="6" t="str">
        <f t="shared" ref="F4:F67" si="0">"*"&amp;IF(AND(A4="EU",E4=2035),0.95,IF(AND(A4="EU",E4=2050),0.93,IF(AND(A4="USA",E4=2035),0.96,IF(AND(A4="USA",E4=2050),0.94,IF(AND(A4="Japan",E4=2035),0.94,IF(AND(A4="Japan",E4=2050),0.92,IF(AND(A4="Russia",E4=2035),0.95,IF(AND(A4="Russia",E4=2050),0.93,IF(AND(A4="China",E4=2035),0.94,IF(AND(A4="China",E4=2050),0.92,IF(AND(A4="India",E4=2035),0.95,IF(AND(A4="India",E4=2050),0.92,IF(AND(A4="Middle East",E4=2035),0.94,IF(AND(A4="Middle East",E4=2050),0.9,IF(AND(A4="Africa",E4=2035),0.94,IF(AND(A4="Africa",E4=2050),0.91,IF(AND(A4="Brazil",E4=2035),0.95,IF(AND(A4="Brazil",E4=2050),0.92,""))))))))))))))))))</f>
        <v>*0.94</v>
      </c>
      <c r="H4" t="s">
        <v>3335</v>
      </c>
      <c r="I4" s="5" t="s">
        <v>57</v>
      </c>
      <c r="J4">
        <v>2050</v>
      </c>
      <c r="K4" s="38" t="str">
        <f t="shared" ref="K4:K67" si="1">"*"&amp;IF(AND(A4="EU",J4=2035),0.95,IF(AND(A4="EU",J4=2050),0.93,IF(AND(A4="USA",J4=2035),0.96,IF(AND(A4="USA",J4=2050),0.94,IF(AND(A4="Japan",J4=2035),0.94,IF(AND(A4="Japan",J4=2050),0.92,IF(AND(A4="Russia",J4=2035),0.95,IF(AND(A4="Russia",J4=2050),0.93,IF(AND(A4="China",J4=2035),0.94,IF(AND(A4="China",J4=2050),0.92,IF(AND(A4="India",J4=2035),0.95,IF(AND(A4="India",J4=2050),0.92,IF(AND(A4="Middle East",J4=2035),0.94,IF(AND(A4="Middle East",J4=2050),0.9,IF(AND(A4="Africa",J4=2035),0.94,IF(AND(A4="Africa",J4=2050),0.91,IF(AND(A4="Brazil",J4=2035),0.95,IF(AND(A4="Brazil",J4=2050),0.92,""))))))))))))))))))</f>
        <v>*0.91</v>
      </c>
      <c r="P4" s="32" t="s">
        <v>3335</v>
      </c>
      <c r="Q4" s="42" t="s">
        <v>57</v>
      </c>
      <c r="R4" s="32">
        <v>2035</v>
      </c>
      <c r="S4" s="43" t="str">
        <f t="shared" ref="S4:S67" si="2">"*"&amp;IF(AND(A4="EU",R4=2035),0.95,IF(AND(A4="EU",R4=2050),0.93,IF(AND(A4="USA",R4=2035),0.96,IF(AND(A4="USA",R4=2050),0.93,IF(AND(A4="Japan",R4=2035),0.94,IF(AND(A4="Japan",R4=2050),0.92,IF(AND(A4="Russia",R4=2035),0.95,IF(AND(A4="Russia",R4=2050),0.91,IF(AND(A4="China",R4=2035),0.93,IF(AND(A4="China",R4=2050),0.92,IF(AND(A4="India",R4=2035),0.94,IF(AND(A4="India",R4=2050),0.91,IF(AND(A4="Middle East",R4=2035),0.92,IF(AND(A4="Middle East",R4=2050),0.89,IF(AND(A4="Africa",R4=2035),0.93,IF(AND(A4="Africa",R4=2050),0.9,IF(AND(A4="Brazil",R4=2035),0.95,IF(AND(A4="Brazil",R4=2050),0.92,""))))))))))))))))))</f>
        <v>*0.93</v>
      </c>
      <c r="U4" s="32" t="s">
        <v>3335</v>
      </c>
      <c r="V4" s="42" t="s">
        <v>57</v>
      </c>
      <c r="W4" s="32">
        <v>2050</v>
      </c>
      <c r="X4" s="43" t="str">
        <f t="shared" ref="X4:X67" si="3">"*"&amp;IF(AND(A4="EU",W4=2035),0.95,IF(AND(A4="EU",W4=2050),0.93,IF(AND(A4="USA",W4=2035),0.96,IF(AND(A4="USA",W4=2050),0.93,IF(AND(A4="Japan",W4=2035),0.94,IF(AND(A4="Japan",W4=2050),0.92,IF(AND(A4="Russia",W4=2035),0.95,IF(AND(A4="Russia",W4=2050),0.91,IF(AND(A4="China",W4=2035),0.93,IF(AND(A4="China",W4=2050),0.92,IF(AND(A4="India",W4=2035),0.94,IF(AND(A4="India",W4=2050),0.91,IF(AND(A4="Middle East",W4=2035),0.92,IF(AND(A4="Middle East",W4=2050),0.89,IF(AND(A4="Africa",W4=2035),0.93,IF(AND(A4="Africa",W4=2050),0.9,IF(AND(A4="Brazil",W4=2035),0.95,IF(AND(A4="Brazil",W4=2050),0.92,""))))))))))))))))))</f>
        <v>*0.9</v>
      </c>
      <c r="AC4" s="33" t="s">
        <v>3335</v>
      </c>
      <c r="AD4" s="44" t="s">
        <v>57</v>
      </c>
      <c r="AE4" s="33">
        <v>2035</v>
      </c>
      <c r="AF4" s="45" t="str">
        <f t="shared" ref="AF4:AF67" si="4">"*"&amp;IF(AND(A4="EU",AE4=2035),0.93,IF(AND(A4="EU",AE4=2050),0.9,IF(AND(A4="USA",AE4=2035),0.92,IF(AND(A4="USA",AE4=2050),0.89,IF(AND(A4="Japan",AE4=2035),0.92,IF(AND(A4="Japan",AE4=2050),0.89,IF(AND(A4="Russia",AE4=2035),0.91,IF(AND(A4="Russia",AE4=2050),0.86,IF(AND(A4="China",AE4=2035),0.91,IF(AND(A4="China",AE4=2050),0.87,IF(AND(A4="India",AE4=2035),0.92,IF(AND(A4="India",AE4=2050),0.87,IF(AND(A4="Middle East",AE4=2035),0.89,IF(AND(A4="Middle East",AE4=2050),0.84,IF(AND(A4="Africa",AE4=2035),0.9,IF(AND(A4="Africa",AE4=2050),0.86,IF(AND(A4="Brazil",AE4=2035),0.93,IF(AND(A4="Brazil",AE4=2050),0.89,""))))))))))))))))))</f>
        <v>*0.9</v>
      </c>
      <c r="AG4" s="43" t="s">
        <v>58</v>
      </c>
      <c r="AI4" s="33" t="s">
        <v>3335</v>
      </c>
      <c r="AJ4" s="44" t="s">
        <v>57</v>
      </c>
      <c r="AK4" s="33">
        <v>2050</v>
      </c>
      <c r="AL4" s="45" t="str">
        <f t="shared" ref="AL4:AL67" si="5">"*"&amp;IF(AND(A4="EU",AK4=2035),0.93,IF(AND(A4="EU",AK4=2050),0.9,IF(AND(A4="USA",AK4=2035),0.92,IF(AND(A4="USA",AK4=2050),0.89,IF(AND(A4="Japan",AK4=2035),0.92,IF(AND(A4="Japan",AK4=2050),0.89,IF(AND(A4="Russia",AK4=2035),0.91,IF(AND(A4="Russia",AK4=2050),0.86,IF(AND(A4="China",AK4=2035),0.91,IF(AND(A4="China",AK4=2050),0.87,IF(AND(A4="India",AK4=2035),0.92,IF(AND(A4="India",AK4=2050),0.87,IF(AND(A4="Middle East",AK4=2035),0.89,IF(AND(A4="Middle East",AK4=2050),0.84,IF(AND(A4="Africa",AK4=2035),0.9,IF(AND(A4="Africa",AK4=2050),0.86,IF(AND(A4="Brazil",AK4=2035),0.93,IF(AND(A4="Brazil",AK4=2050),0.89,""))))))))))))))))))</f>
        <v>*0.86</v>
      </c>
      <c r="AM4" s="43" t="s">
        <v>58</v>
      </c>
      <c r="AP4" t="s">
        <v>3335</v>
      </c>
      <c r="AQ4" t="s">
        <v>57</v>
      </c>
      <c r="AR4">
        <v>2100</v>
      </c>
      <c r="AS4" t="s">
        <v>883</v>
      </c>
      <c r="AT4" t="s">
        <v>58</v>
      </c>
    </row>
    <row r="5" ht="29" spans="1:46">
      <c r="A5" s="31" t="s">
        <v>65</v>
      </c>
      <c r="C5" t="s">
        <v>3336</v>
      </c>
      <c r="D5" s="5" t="s">
        <v>57</v>
      </c>
      <c r="E5">
        <v>2035</v>
      </c>
      <c r="F5" s="6" t="str">
        <f t="shared" si="0"/>
        <v>*0.94</v>
      </c>
      <c r="H5" t="s">
        <v>3336</v>
      </c>
      <c r="I5" s="5" t="s">
        <v>57</v>
      </c>
      <c r="J5">
        <v>2050</v>
      </c>
      <c r="K5" s="38" t="str">
        <f t="shared" si="1"/>
        <v>*0.91</v>
      </c>
      <c r="P5" s="32" t="s">
        <v>3336</v>
      </c>
      <c r="Q5" s="42" t="s">
        <v>57</v>
      </c>
      <c r="R5" s="32">
        <v>2035</v>
      </c>
      <c r="S5" s="43" t="str">
        <f t="shared" si="2"/>
        <v>*0.93</v>
      </c>
      <c r="U5" s="32" t="s">
        <v>3336</v>
      </c>
      <c r="V5" s="42" t="s">
        <v>57</v>
      </c>
      <c r="W5" s="32">
        <v>2050</v>
      </c>
      <c r="X5" s="43" t="str">
        <f t="shared" si="3"/>
        <v>*0.9</v>
      </c>
      <c r="AC5" s="33" t="s">
        <v>3336</v>
      </c>
      <c r="AD5" s="44" t="s">
        <v>57</v>
      </c>
      <c r="AE5" s="33">
        <v>2035</v>
      </c>
      <c r="AF5" s="45" t="str">
        <f t="shared" si="4"/>
        <v>*0.9</v>
      </c>
      <c r="AG5" s="43" t="str">
        <f t="shared" ref="AG5:AG8" si="6">AG4</f>
        <v>REZoning_Sol-Win</v>
      </c>
      <c r="AI5" s="33" t="s">
        <v>3336</v>
      </c>
      <c r="AJ5" s="44" t="s">
        <v>57</v>
      </c>
      <c r="AK5" s="33">
        <v>2050</v>
      </c>
      <c r="AL5" s="45" t="str">
        <f t="shared" si="5"/>
        <v>*0.86</v>
      </c>
      <c r="AM5" s="43" t="str">
        <f t="shared" ref="AM5:AM8" si="7">AM4</f>
        <v>REZoning_Sol-Win</v>
      </c>
      <c r="AP5" t="s">
        <v>3336</v>
      </c>
      <c r="AQ5" t="s">
        <v>57</v>
      </c>
      <c r="AR5">
        <f>AR4</f>
        <v>2100</v>
      </c>
      <c r="AS5" t="s">
        <v>883</v>
      </c>
      <c r="AT5" t="s">
        <v>58</v>
      </c>
    </row>
    <row r="6" ht="29" spans="1:46">
      <c r="A6" s="31" t="s">
        <v>65</v>
      </c>
      <c r="C6" t="s">
        <v>3337</v>
      </c>
      <c r="D6" s="5" t="s">
        <v>57</v>
      </c>
      <c r="E6">
        <v>2035</v>
      </c>
      <c r="F6" s="6" t="str">
        <f t="shared" si="0"/>
        <v>*0.94</v>
      </c>
      <c r="H6" t="s">
        <v>3337</v>
      </c>
      <c r="I6" s="5" t="s">
        <v>57</v>
      </c>
      <c r="J6">
        <v>2050</v>
      </c>
      <c r="K6" s="38" t="str">
        <f t="shared" si="1"/>
        <v>*0.91</v>
      </c>
      <c r="P6" s="32" t="s">
        <v>3337</v>
      </c>
      <c r="Q6" s="42" t="s">
        <v>57</v>
      </c>
      <c r="R6" s="32">
        <v>2035</v>
      </c>
      <c r="S6" s="43" t="str">
        <f t="shared" si="2"/>
        <v>*0.93</v>
      </c>
      <c r="U6" s="32" t="s">
        <v>3337</v>
      </c>
      <c r="V6" s="42" t="s">
        <v>57</v>
      </c>
      <c r="W6" s="32">
        <v>2050</v>
      </c>
      <c r="X6" s="43" t="str">
        <f t="shared" si="3"/>
        <v>*0.9</v>
      </c>
      <c r="AC6" s="33" t="s">
        <v>3337</v>
      </c>
      <c r="AD6" s="44" t="s">
        <v>57</v>
      </c>
      <c r="AE6" s="33">
        <v>2035</v>
      </c>
      <c r="AF6" s="45" t="str">
        <f t="shared" si="4"/>
        <v>*0.9</v>
      </c>
      <c r="AG6" s="43" t="str">
        <f t="shared" si="6"/>
        <v>REZoning_Sol-Win</v>
      </c>
      <c r="AI6" s="33" t="s">
        <v>3337</v>
      </c>
      <c r="AJ6" s="44" t="s">
        <v>57</v>
      </c>
      <c r="AK6" s="33">
        <v>2050</v>
      </c>
      <c r="AL6" s="45" t="str">
        <f t="shared" si="5"/>
        <v>*0.86</v>
      </c>
      <c r="AM6" s="43" t="str">
        <f t="shared" si="7"/>
        <v>REZoning_Sol-Win</v>
      </c>
      <c r="AP6" t="s">
        <v>3337</v>
      </c>
      <c r="AQ6" t="s">
        <v>57</v>
      </c>
      <c r="AR6">
        <f t="shared" ref="AR6:AR69" si="8">AR5</f>
        <v>2100</v>
      </c>
      <c r="AS6" t="s">
        <v>883</v>
      </c>
      <c r="AT6" t="s">
        <v>58</v>
      </c>
    </row>
    <row r="7" ht="29" spans="1:46">
      <c r="A7" s="31" t="s">
        <v>65</v>
      </c>
      <c r="C7" t="s">
        <v>3338</v>
      </c>
      <c r="D7" s="5" t="s">
        <v>57</v>
      </c>
      <c r="E7">
        <v>2035</v>
      </c>
      <c r="F7" s="6" t="str">
        <f t="shared" si="0"/>
        <v>*0.94</v>
      </c>
      <c r="H7" t="s">
        <v>3338</v>
      </c>
      <c r="I7" s="5" t="s">
        <v>57</v>
      </c>
      <c r="J7">
        <v>2050</v>
      </c>
      <c r="K7" s="38" t="str">
        <f t="shared" si="1"/>
        <v>*0.91</v>
      </c>
      <c r="P7" s="32" t="s">
        <v>3338</v>
      </c>
      <c r="Q7" s="42" t="s">
        <v>57</v>
      </c>
      <c r="R7" s="32">
        <v>2035</v>
      </c>
      <c r="S7" s="43" t="str">
        <f t="shared" si="2"/>
        <v>*0.93</v>
      </c>
      <c r="U7" s="32" t="s">
        <v>3338</v>
      </c>
      <c r="V7" s="42" t="s">
        <v>57</v>
      </c>
      <c r="W7" s="32">
        <v>2050</v>
      </c>
      <c r="X7" s="43" t="str">
        <f t="shared" si="3"/>
        <v>*0.9</v>
      </c>
      <c r="AC7" s="33" t="s">
        <v>3338</v>
      </c>
      <c r="AD7" s="44" t="s">
        <v>57</v>
      </c>
      <c r="AE7" s="33">
        <v>2035</v>
      </c>
      <c r="AF7" s="45" t="str">
        <f t="shared" si="4"/>
        <v>*0.9</v>
      </c>
      <c r="AG7" s="43" t="str">
        <f t="shared" si="6"/>
        <v>REZoning_Sol-Win</v>
      </c>
      <c r="AI7" s="33" t="s">
        <v>3338</v>
      </c>
      <c r="AJ7" s="44" t="s">
        <v>57</v>
      </c>
      <c r="AK7" s="33">
        <v>2050</v>
      </c>
      <c r="AL7" s="45" t="str">
        <f t="shared" si="5"/>
        <v>*0.86</v>
      </c>
      <c r="AM7" s="43" t="str">
        <f t="shared" si="7"/>
        <v>REZoning_Sol-Win</v>
      </c>
      <c r="AP7" t="s">
        <v>3338</v>
      </c>
      <c r="AQ7" t="s">
        <v>57</v>
      </c>
      <c r="AR7">
        <f t="shared" si="8"/>
        <v>2100</v>
      </c>
      <c r="AS7" t="s">
        <v>883</v>
      </c>
      <c r="AT7" t="s">
        <v>58</v>
      </c>
    </row>
    <row r="8" ht="29" spans="1:46">
      <c r="A8" s="31" t="s">
        <v>73</v>
      </c>
      <c r="C8" t="s">
        <v>3339</v>
      </c>
      <c r="D8" s="5" t="s">
        <v>57</v>
      </c>
      <c r="E8">
        <v>2035</v>
      </c>
      <c r="F8" s="6" t="str">
        <f t="shared" si="0"/>
        <v>*0.95</v>
      </c>
      <c r="H8" t="s">
        <v>3339</v>
      </c>
      <c r="I8" s="5" t="s">
        <v>57</v>
      </c>
      <c r="J8">
        <v>2050</v>
      </c>
      <c r="K8" s="38" t="str">
        <f t="shared" si="1"/>
        <v>*0.93</v>
      </c>
      <c r="P8" s="32" t="s">
        <v>3339</v>
      </c>
      <c r="Q8" s="42" t="s">
        <v>57</v>
      </c>
      <c r="R8" s="32">
        <v>2035</v>
      </c>
      <c r="S8" s="43" t="str">
        <f t="shared" si="2"/>
        <v>*0.95</v>
      </c>
      <c r="U8" s="32" t="s">
        <v>3339</v>
      </c>
      <c r="V8" s="42" t="s">
        <v>57</v>
      </c>
      <c r="W8" s="32">
        <v>2050</v>
      </c>
      <c r="X8" s="43" t="str">
        <f t="shared" si="3"/>
        <v>*0.93</v>
      </c>
      <c r="AC8" s="33" t="s">
        <v>3339</v>
      </c>
      <c r="AD8" s="44" t="s">
        <v>57</v>
      </c>
      <c r="AE8" s="33">
        <v>2035</v>
      </c>
      <c r="AF8" s="45" t="str">
        <f t="shared" si="4"/>
        <v>*0.93</v>
      </c>
      <c r="AG8" s="43" t="str">
        <f t="shared" si="6"/>
        <v>REZoning_Sol-Win</v>
      </c>
      <c r="AI8" s="33" t="s">
        <v>3339</v>
      </c>
      <c r="AJ8" s="44" t="s">
        <v>57</v>
      </c>
      <c r="AK8" s="33">
        <v>2050</v>
      </c>
      <c r="AL8" s="45" t="str">
        <f t="shared" si="5"/>
        <v>*0.9</v>
      </c>
      <c r="AM8" s="43" t="str">
        <f t="shared" si="7"/>
        <v>REZoning_Sol-Win</v>
      </c>
      <c r="AP8" t="s">
        <v>3339</v>
      </c>
      <c r="AQ8" t="s">
        <v>57</v>
      </c>
      <c r="AR8">
        <f t="shared" si="8"/>
        <v>2100</v>
      </c>
      <c r="AS8" t="s">
        <v>897</v>
      </c>
      <c r="AT8" t="s">
        <v>58</v>
      </c>
    </row>
    <row r="9" ht="29" spans="1:46">
      <c r="A9" s="31" t="s">
        <v>73</v>
      </c>
      <c r="C9" t="s">
        <v>3340</v>
      </c>
      <c r="D9" s="5" t="s">
        <v>57</v>
      </c>
      <c r="E9">
        <v>2035</v>
      </c>
      <c r="F9" s="6" t="str">
        <f t="shared" si="0"/>
        <v>*0.95</v>
      </c>
      <c r="H9" t="s">
        <v>3340</v>
      </c>
      <c r="I9" s="5" t="s">
        <v>57</v>
      </c>
      <c r="J9">
        <v>2050</v>
      </c>
      <c r="K9" s="38" t="str">
        <f t="shared" si="1"/>
        <v>*0.93</v>
      </c>
      <c r="P9" s="32" t="s">
        <v>3340</v>
      </c>
      <c r="Q9" s="42" t="s">
        <v>57</v>
      </c>
      <c r="R9" s="32">
        <v>2035</v>
      </c>
      <c r="S9" s="43" t="str">
        <f t="shared" si="2"/>
        <v>*0.95</v>
      </c>
      <c r="U9" s="32" t="s">
        <v>3340</v>
      </c>
      <c r="V9" s="42" t="s">
        <v>57</v>
      </c>
      <c r="W9" s="32">
        <v>2050</v>
      </c>
      <c r="X9" s="43" t="str">
        <f t="shared" si="3"/>
        <v>*0.93</v>
      </c>
      <c r="AC9" s="33" t="s">
        <v>3340</v>
      </c>
      <c r="AD9" s="44" t="s">
        <v>57</v>
      </c>
      <c r="AE9" s="33">
        <v>2035</v>
      </c>
      <c r="AF9" s="45" t="str">
        <f t="shared" si="4"/>
        <v>*0.93</v>
      </c>
      <c r="AG9" s="43" t="str">
        <f t="shared" ref="AG9:AG72" si="9">AG8</f>
        <v>REZoning_Sol-Win</v>
      </c>
      <c r="AI9" s="33" t="s">
        <v>3340</v>
      </c>
      <c r="AJ9" s="44" t="s">
        <v>57</v>
      </c>
      <c r="AK9" s="33">
        <v>2050</v>
      </c>
      <c r="AL9" s="45" t="str">
        <f t="shared" si="5"/>
        <v>*0.9</v>
      </c>
      <c r="AM9" s="43" t="str">
        <f t="shared" ref="AM9:AM72" si="10">AM8</f>
        <v>REZoning_Sol-Win</v>
      </c>
      <c r="AP9" t="s">
        <v>3340</v>
      </c>
      <c r="AQ9" t="s">
        <v>57</v>
      </c>
      <c r="AR9">
        <f t="shared" si="8"/>
        <v>2100</v>
      </c>
      <c r="AS9" t="s">
        <v>897</v>
      </c>
      <c r="AT9" t="s">
        <v>58</v>
      </c>
    </row>
    <row r="10" ht="29" spans="1:46">
      <c r="A10" s="31" t="s">
        <v>83</v>
      </c>
      <c r="C10" t="s">
        <v>3341</v>
      </c>
      <c r="D10" s="5" t="s">
        <v>57</v>
      </c>
      <c r="E10">
        <v>2035</v>
      </c>
      <c r="F10" s="6" t="str">
        <f t="shared" si="0"/>
        <v>*0.95</v>
      </c>
      <c r="H10" t="s">
        <v>3341</v>
      </c>
      <c r="I10" s="5" t="s">
        <v>57</v>
      </c>
      <c r="J10">
        <v>2050</v>
      </c>
      <c r="K10" s="38" t="str">
        <f t="shared" si="1"/>
        <v>*0.92</v>
      </c>
      <c r="P10" s="32" t="s">
        <v>3341</v>
      </c>
      <c r="Q10" s="42" t="s">
        <v>57</v>
      </c>
      <c r="R10" s="32">
        <v>2035</v>
      </c>
      <c r="S10" s="43" t="str">
        <f t="shared" si="2"/>
        <v>*0.95</v>
      </c>
      <c r="U10" s="32" t="s">
        <v>3341</v>
      </c>
      <c r="V10" s="42" t="s">
        <v>57</v>
      </c>
      <c r="W10" s="32">
        <v>2050</v>
      </c>
      <c r="X10" s="43" t="str">
        <f t="shared" si="3"/>
        <v>*0.92</v>
      </c>
      <c r="AC10" s="33" t="s">
        <v>3341</v>
      </c>
      <c r="AD10" s="44" t="s">
        <v>57</v>
      </c>
      <c r="AE10" s="33">
        <v>2035</v>
      </c>
      <c r="AF10" s="45" t="str">
        <f t="shared" si="4"/>
        <v>*0.93</v>
      </c>
      <c r="AG10" s="43" t="str">
        <f t="shared" si="9"/>
        <v>REZoning_Sol-Win</v>
      </c>
      <c r="AI10" s="33" t="s">
        <v>3341</v>
      </c>
      <c r="AJ10" s="44" t="s">
        <v>57</v>
      </c>
      <c r="AK10" s="33">
        <v>2050</v>
      </c>
      <c r="AL10" s="45" t="str">
        <f t="shared" si="5"/>
        <v>*0.89</v>
      </c>
      <c r="AM10" s="43" t="str">
        <f t="shared" si="10"/>
        <v>REZoning_Sol-Win</v>
      </c>
      <c r="AP10" t="s">
        <v>3341</v>
      </c>
      <c r="AQ10" t="s">
        <v>57</v>
      </c>
      <c r="AR10">
        <f t="shared" si="8"/>
        <v>2100</v>
      </c>
      <c r="AS10" t="s">
        <v>937</v>
      </c>
      <c r="AT10" t="s">
        <v>58</v>
      </c>
    </row>
    <row r="11" ht="29" spans="1:46">
      <c r="A11" s="31" t="s">
        <v>83</v>
      </c>
      <c r="C11" t="s">
        <v>3342</v>
      </c>
      <c r="D11" s="5" t="s">
        <v>57</v>
      </c>
      <c r="E11">
        <v>2035</v>
      </c>
      <c r="F11" s="6" t="str">
        <f t="shared" si="0"/>
        <v>*0.95</v>
      </c>
      <c r="H11" t="s">
        <v>3342</v>
      </c>
      <c r="I11" s="5" t="s">
        <v>57</v>
      </c>
      <c r="J11">
        <v>2050</v>
      </c>
      <c r="K11" s="38" t="str">
        <f t="shared" si="1"/>
        <v>*0.92</v>
      </c>
      <c r="P11" s="32" t="s">
        <v>3342</v>
      </c>
      <c r="Q11" s="42" t="s">
        <v>57</v>
      </c>
      <c r="R11" s="32">
        <v>2035</v>
      </c>
      <c r="S11" s="43" t="str">
        <f t="shared" si="2"/>
        <v>*0.95</v>
      </c>
      <c r="U11" s="32" t="s">
        <v>3342</v>
      </c>
      <c r="V11" s="42" t="s">
        <v>57</v>
      </c>
      <c r="W11" s="32">
        <v>2050</v>
      </c>
      <c r="X11" s="43" t="str">
        <f t="shared" si="3"/>
        <v>*0.92</v>
      </c>
      <c r="AC11" s="33" t="s">
        <v>3342</v>
      </c>
      <c r="AD11" s="44" t="s">
        <v>57</v>
      </c>
      <c r="AE11" s="33">
        <v>2035</v>
      </c>
      <c r="AF11" s="45" t="str">
        <f t="shared" si="4"/>
        <v>*0.93</v>
      </c>
      <c r="AG11" s="43" t="str">
        <f t="shared" si="9"/>
        <v>REZoning_Sol-Win</v>
      </c>
      <c r="AI11" s="33" t="s">
        <v>3342</v>
      </c>
      <c r="AJ11" s="44" t="s">
        <v>57</v>
      </c>
      <c r="AK11" s="33">
        <v>2050</v>
      </c>
      <c r="AL11" s="45" t="str">
        <f t="shared" si="5"/>
        <v>*0.89</v>
      </c>
      <c r="AM11" s="43" t="str">
        <f t="shared" si="10"/>
        <v>REZoning_Sol-Win</v>
      </c>
      <c r="AP11" t="s">
        <v>3342</v>
      </c>
      <c r="AQ11" t="s">
        <v>57</v>
      </c>
      <c r="AR11">
        <f t="shared" si="8"/>
        <v>2100</v>
      </c>
      <c r="AS11" t="s">
        <v>937</v>
      </c>
      <c r="AT11" t="s">
        <v>58</v>
      </c>
    </row>
    <row r="12" ht="29" spans="1:46">
      <c r="A12" s="31" t="s">
        <v>83</v>
      </c>
      <c r="C12" t="s">
        <v>3343</v>
      </c>
      <c r="D12" s="5" t="s">
        <v>57</v>
      </c>
      <c r="E12">
        <v>2035</v>
      </c>
      <c r="F12" s="6" t="str">
        <f t="shared" si="0"/>
        <v>*0.95</v>
      </c>
      <c r="H12" t="s">
        <v>3343</v>
      </c>
      <c r="I12" s="5" t="s">
        <v>57</v>
      </c>
      <c r="J12">
        <v>2050</v>
      </c>
      <c r="K12" s="38" t="str">
        <f t="shared" si="1"/>
        <v>*0.92</v>
      </c>
      <c r="P12" s="32" t="s">
        <v>3343</v>
      </c>
      <c r="Q12" s="42" t="s">
        <v>57</v>
      </c>
      <c r="R12" s="32">
        <v>2035</v>
      </c>
      <c r="S12" s="43" t="str">
        <f t="shared" si="2"/>
        <v>*0.95</v>
      </c>
      <c r="U12" s="32" t="s">
        <v>3343</v>
      </c>
      <c r="V12" s="42" t="s">
        <v>57</v>
      </c>
      <c r="W12" s="32">
        <v>2050</v>
      </c>
      <c r="X12" s="43" t="str">
        <f t="shared" si="3"/>
        <v>*0.92</v>
      </c>
      <c r="AC12" s="33" t="s">
        <v>3343</v>
      </c>
      <c r="AD12" s="44" t="s">
        <v>57</v>
      </c>
      <c r="AE12" s="33">
        <v>2035</v>
      </c>
      <c r="AF12" s="45" t="str">
        <f t="shared" si="4"/>
        <v>*0.93</v>
      </c>
      <c r="AG12" s="43" t="str">
        <f t="shared" si="9"/>
        <v>REZoning_Sol-Win</v>
      </c>
      <c r="AI12" s="33" t="s">
        <v>3343</v>
      </c>
      <c r="AJ12" s="44" t="s">
        <v>57</v>
      </c>
      <c r="AK12" s="33">
        <v>2050</v>
      </c>
      <c r="AL12" s="45" t="str">
        <f t="shared" si="5"/>
        <v>*0.89</v>
      </c>
      <c r="AM12" s="43" t="str">
        <f t="shared" si="10"/>
        <v>REZoning_Sol-Win</v>
      </c>
      <c r="AP12" t="s">
        <v>3343</v>
      </c>
      <c r="AQ12" t="s">
        <v>57</v>
      </c>
      <c r="AR12">
        <f t="shared" si="8"/>
        <v>2100</v>
      </c>
      <c r="AS12" t="s">
        <v>937</v>
      </c>
      <c r="AT12" t="s">
        <v>58</v>
      </c>
    </row>
    <row r="13" ht="29" spans="1:46">
      <c r="A13" s="31" t="s">
        <v>83</v>
      </c>
      <c r="C13" t="s">
        <v>3344</v>
      </c>
      <c r="D13" s="5" t="s">
        <v>57</v>
      </c>
      <c r="E13">
        <v>2035</v>
      </c>
      <c r="F13" s="6" t="str">
        <f t="shared" si="0"/>
        <v>*0.95</v>
      </c>
      <c r="H13" t="s">
        <v>3344</v>
      </c>
      <c r="I13" s="5" t="s">
        <v>57</v>
      </c>
      <c r="J13">
        <v>2050</v>
      </c>
      <c r="K13" s="38" t="str">
        <f t="shared" si="1"/>
        <v>*0.92</v>
      </c>
      <c r="P13" s="32" t="s">
        <v>3344</v>
      </c>
      <c r="Q13" s="42" t="s">
        <v>57</v>
      </c>
      <c r="R13" s="32">
        <v>2035</v>
      </c>
      <c r="S13" s="43" t="str">
        <f t="shared" si="2"/>
        <v>*0.95</v>
      </c>
      <c r="U13" s="32" t="s">
        <v>3344</v>
      </c>
      <c r="V13" s="42" t="s">
        <v>57</v>
      </c>
      <c r="W13" s="32">
        <v>2050</v>
      </c>
      <c r="X13" s="43" t="str">
        <f t="shared" si="3"/>
        <v>*0.92</v>
      </c>
      <c r="AC13" s="33" t="s">
        <v>3344</v>
      </c>
      <c r="AD13" s="44" t="s">
        <v>57</v>
      </c>
      <c r="AE13" s="33">
        <v>2035</v>
      </c>
      <c r="AF13" s="45" t="str">
        <f t="shared" si="4"/>
        <v>*0.93</v>
      </c>
      <c r="AG13" s="43" t="str">
        <f t="shared" si="9"/>
        <v>REZoning_Sol-Win</v>
      </c>
      <c r="AI13" s="33" t="s">
        <v>3344</v>
      </c>
      <c r="AJ13" s="44" t="s">
        <v>57</v>
      </c>
      <c r="AK13" s="33">
        <v>2050</v>
      </c>
      <c r="AL13" s="45" t="str">
        <f t="shared" si="5"/>
        <v>*0.89</v>
      </c>
      <c r="AM13" s="43" t="str">
        <f t="shared" si="10"/>
        <v>REZoning_Sol-Win</v>
      </c>
      <c r="AP13" t="s">
        <v>3344</v>
      </c>
      <c r="AQ13" t="s">
        <v>57</v>
      </c>
      <c r="AR13">
        <f t="shared" si="8"/>
        <v>2100</v>
      </c>
      <c r="AS13" t="s">
        <v>937</v>
      </c>
      <c r="AT13" t="s">
        <v>58</v>
      </c>
    </row>
    <row r="14" ht="29" spans="1:46">
      <c r="A14" s="31" t="s">
        <v>83</v>
      </c>
      <c r="C14" t="s">
        <v>3345</v>
      </c>
      <c r="D14" s="5" t="s">
        <v>57</v>
      </c>
      <c r="E14">
        <v>2035</v>
      </c>
      <c r="F14" s="6" t="str">
        <f t="shared" si="0"/>
        <v>*0.95</v>
      </c>
      <c r="H14" t="s">
        <v>3345</v>
      </c>
      <c r="I14" s="5" t="s">
        <v>57</v>
      </c>
      <c r="J14">
        <v>2050</v>
      </c>
      <c r="K14" s="38" t="str">
        <f t="shared" si="1"/>
        <v>*0.92</v>
      </c>
      <c r="P14" s="32" t="s">
        <v>3345</v>
      </c>
      <c r="Q14" s="42" t="s">
        <v>57</v>
      </c>
      <c r="R14" s="32">
        <v>2035</v>
      </c>
      <c r="S14" s="43" t="str">
        <f t="shared" si="2"/>
        <v>*0.95</v>
      </c>
      <c r="U14" s="32" t="s">
        <v>3345</v>
      </c>
      <c r="V14" s="42" t="s">
        <v>57</v>
      </c>
      <c r="W14" s="32">
        <v>2050</v>
      </c>
      <c r="X14" s="43" t="str">
        <f t="shared" si="3"/>
        <v>*0.92</v>
      </c>
      <c r="AC14" s="33" t="s">
        <v>3345</v>
      </c>
      <c r="AD14" s="44" t="s">
        <v>57</v>
      </c>
      <c r="AE14" s="33">
        <v>2035</v>
      </c>
      <c r="AF14" s="45" t="str">
        <f t="shared" si="4"/>
        <v>*0.93</v>
      </c>
      <c r="AG14" s="43" t="str">
        <f t="shared" si="9"/>
        <v>REZoning_Sol-Win</v>
      </c>
      <c r="AI14" s="33" t="s">
        <v>3345</v>
      </c>
      <c r="AJ14" s="44" t="s">
        <v>57</v>
      </c>
      <c r="AK14" s="33">
        <v>2050</v>
      </c>
      <c r="AL14" s="45" t="str">
        <f t="shared" si="5"/>
        <v>*0.89</v>
      </c>
      <c r="AM14" s="43" t="str">
        <f t="shared" si="10"/>
        <v>REZoning_Sol-Win</v>
      </c>
      <c r="AP14" t="s">
        <v>3345</v>
      </c>
      <c r="AQ14" t="s">
        <v>57</v>
      </c>
      <c r="AR14">
        <f t="shared" si="8"/>
        <v>2100</v>
      </c>
      <c r="AS14" t="s">
        <v>937</v>
      </c>
      <c r="AT14" t="s">
        <v>58</v>
      </c>
    </row>
    <row r="15" ht="29" spans="1:46">
      <c r="A15" s="31" t="s">
        <v>83</v>
      </c>
      <c r="C15" t="s">
        <v>3346</v>
      </c>
      <c r="D15" s="5" t="s">
        <v>57</v>
      </c>
      <c r="E15">
        <v>2035</v>
      </c>
      <c r="F15" s="6" t="str">
        <f t="shared" si="0"/>
        <v>*0.95</v>
      </c>
      <c r="H15" t="s">
        <v>3346</v>
      </c>
      <c r="I15" s="5" t="s">
        <v>57</v>
      </c>
      <c r="J15">
        <v>2050</v>
      </c>
      <c r="K15" s="38" t="str">
        <f t="shared" si="1"/>
        <v>*0.92</v>
      </c>
      <c r="P15" s="32" t="s">
        <v>3346</v>
      </c>
      <c r="Q15" s="42" t="s">
        <v>57</v>
      </c>
      <c r="R15" s="32">
        <v>2035</v>
      </c>
      <c r="S15" s="43" t="str">
        <f t="shared" si="2"/>
        <v>*0.95</v>
      </c>
      <c r="U15" s="32" t="s">
        <v>3346</v>
      </c>
      <c r="V15" s="42" t="s">
        <v>57</v>
      </c>
      <c r="W15" s="32">
        <v>2050</v>
      </c>
      <c r="X15" s="43" t="str">
        <f t="shared" si="3"/>
        <v>*0.92</v>
      </c>
      <c r="AC15" s="33" t="s">
        <v>3346</v>
      </c>
      <c r="AD15" s="44" t="s">
        <v>57</v>
      </c>
      <c r="AE15" s="33">
        <v>2035</v>
      </c>
      <c r="AF15" s="45" t="str">
        <f t="shared" si="4"/>
        <v>*0.93</v>
      </c>
      <c r="AG15" s="43" t="str">
        <f t="shared" si="9"/>
        <v>REZoning_Sol-Win</v>
      </c>
      <c r="AI15" s="33" t="s">
        <v>3346</v>
      </c>
      <c r="AJ15" s="44" t="s">
        <v>57</v>
      </c>
      <c r="AK15" s="33">
        <v>2050</v>
      </c>
      <c r="AL15" s="45" t="str">
        <f t="shared" si="5"/>
        <v>*0.89</v>
      </c>
      <c r="AM15" s="43" t="str">
        <f t="shared" si="10"/>
        <v>REZoning_Sol-Win</v>
      </c>
      <c r="AP15" t="s">
        <v>3346</v>
      </c>
      <c r="AQ15" t="s">
        <v>57</v>
      </c>
      <c r="AR15">
        <f t="shared" si="8"/>
        <v>2100</v>
      </c>
      <c r="AS15" t="s">
        <v>937</v>
      </c>
      <c r="AT15" t="s">
        <v>58</v>
      </c>
    </row>
    <row r="16" ht="29" spans="1:46">
      <c r="A16" s="31" t="s">
        <v>83</v>
      </c>
      <c r="C16" t="s">
        <v>3347</v>
      </c>
      <c r="D16" s="5" t="s">
        <v>57</v>
      </c>
      <c r="E16">
        <v>2035</v>
      </c>
      <c r="F16" s="6" t="str">
        <f t="shared" si="0"/>
        <v>*0.95</v>
      </c>
      <c r="H16" t="s">
        <v>3347</v>
      </c>
      <c r="I16" s="5" t="s">
        <v>57</v>
      </c>
      <c r="J16">
        <v>2050</v>
      </c>
      <c r="K16" s="38" t="str">
        <f t="shared" si="1"/>
        <v>*0.92</v>
      </c>
      <c r="P16" s="32" t="s">
        <v>3347</v>
      </c>
      <c r="Q16" s="42" t="s">
        <v>57</v>
      </c>
      <c r="R16" s="32">
        <v>2035</v>
      </c>
      <c r="S16" s="43" t="str">
        <f t="shared" si="2"/>
        <v>*0.95</v>
      </c>
      <c r="U16" s="32" t="s">
        <v>3347</v>
      </c>
      <c r="V16" s="42" t="s">
        <v>57</v>
      </c>
      <c r="W16" s="32">
        <v>2050</v>
      </c>
      <c r="X16" s="43" t="str">
        <f t="shared" si="3"/>
        <v>*0.92</v>
      </c>
      <c r="AC16" s="33" t="s">
        <v>3347</v>
      </c>
      <c r="AD16" s="44" t="s">
        <v>57</v>
      </c>
      <c r="AE16" s="33">
        <v>2035</v>
      </c>
      <c r="AF16" s="45" t="str">
        <f t="shared" si="4"/>
        <v>*0.93</v>
      </c>
      <c r="AG16" s="43" t="str">
        <f t="shared" si="9"/>
        <v>REZoning_Sol-Win</v>
      </c>
      <c r="AI16" s="33" t="s">
        <v>3347</v>
      </c>
      <c r="AJ16" s="44" t="s">
        <v>57</v>
      </c>
      <c r="AK16" s="33">
        <v>2050</v>
      </c>
      <c r="AL16" s="45" t="str">
        <f t="shared" si="5"/>
        <v>*0.89</v>
      </c>
      <c r="AM16" s="43" t="str">
        <f t="shared" si="10"/>
        <v>REZoning_Sol-Win</v>
      </c>
      <c r="AP16" t="s">
        <v>3347</v>
      </c>
      <c r="AQ16" t="s">
        <v>57</v>
      </c>
      <c r="AR16">
        <f t="shared" si="8"/>
        <v>2100</v>
      </c>
      <c r="AS16" t="s">
        <v>937</v>
      </c>
      <c r="AT16" t="s">
        <v>58</v>
      </c>
    </row>
    <row r="17" ht="29" spans="1:46">
      <c r="A17" s="31" t="s">
        <v>83</v>
      </c>
      <c r="C17" t="s">
        <v>3348</v>
      </c>
      <c r="D17" s="5" t="s">
        <v>57</v>
      </c>
      <c r="E17">
        <v>2035</v>
      </c>
      <c r="F17" s="6" t="str">
        <f t="shared" si="0"/>
        <v>*0.95</v>
      </c>
      <c r="H17" t="s">
        <v>3348</v>
      </c>
      <c r="I17" s="5" t="s">
        <v>57</v>
      </c>
      <c r="J17">
        <v>2050</v>
      </c>
      <c r="K17" s="38" t="str">
        <f t="shared" si="1"/>
        <v>*0.92</v>
      </c>
      <c r="P17" s="32" t="s">
        <v>3348</v>
      </c>
      <c r="Q17" s="42" t="s">
        <v>57</v>
      </c>
      <c r="R17" s="32">
        <v>2035</v>
      </c>
      <c r="S17" s="43" t="str">
        <f t="shared" si="2"/>
        <v>*0.95</v>
      </c>
      <c r="U17" s="32" t="s">
        <v>3348</v>
      </c>
      <c r="V17" s="42" t="s">
        <v>57</v>
      </c>
      <c r="W17" s="32">
        <v>2050</v>
      </c>
      <c r="X17" s="43" t="str">
        <f t="shared" si="3"/>
        <v>*0.92</v>
      </c>
      <c r="AC17" s="33" t="s">
        <v>3348</v>
      </c>
      <c r="AD17" s="44" t="s">
        <v>57</v>
      </c>
      <c r="AE17" s="33">
        <v>2035</v>
      </c>
      <c r="AF17" s="45" t="str">
        <f t="shared" si="4"/>
        <v>*0.93</v>
      </c>
      <c r="AG17" s="43" t="str">
        <f t="shared" si="9"/>
        <v>REZoning_Sol-Win</v>
      </c>
      <c r="AI17" s="33" t="s">
        <v>3348</v>
      </c>
      <c r="AJ17" s="44" t="s">
        <v>57</v>
      </c>
      <c r="AK17" s="33">
        <v>2050</v>
      </c>
      <c r="AL17" s="45" t="str">
        <f t="shared" si="5"/>
        <v>*0.89</v>
      </c>
      <c r="AM17" s="43" t="str">
        <f t="shared" si="10"/>
        <v>REZoning_Sol-Win</v>
      </c>
      <c r="AP17" t="s">
        <v>3348</v>
      </c>
      <c r="AQ17" t="s">
        <v>57</v>
      </c>
      <c r="AR17">
        <f t="shared" si="8"/>
        <v>2100</v>
      </c>
      <c r="AS17" t="s">
        <v>937</v>
      </c>
      <c r="AT17" t="s">
        <v>58</v>
      </c>
    </row>
    <row r="18" ht="29" spans="1:46">
      <c r="A18" s="31" t="s">
        <v>83</v>
      </c>
      <c r="C18" t="s">
        <v>3349</v>
      </c>
      <c r="D18" s="5" t="s">
        <v>57</v>
      </c>
      <c r="E18">
        <v>2035</v>
      </c>
      <c r="F18" s="6" t="str">
        <f t="shared" si="0"/>
        <v>*0.95</v>
      </c>
      <c r="H18" t="s">
        <v>3349</v>
      </c>
      <c r="I18" s="5" t="s">
        <v>57</v>
      </c>
      <c r="J18">
        <v>2050</v>
      </c>
      <c r="K18" s="38" t="str">
        <f t="shared" si="1"/>
        <v>*0.92</v>
      </c>
      <c r="P18" s="32" t="s">
        <v>3349</v>
      </c>
      <c r="Q18" s="42" t="s">
        <v>57</v>
      </c>
      <c r="R18" s="32">
        <v>2035</v>
      </c>
      <c r="S18" s="43" t="str">
        <f t="shared" si="2"/>
        <v>*0.95</v>
      </c>
      <c r="U18" s="32" t="s">
        <v>3349</v>
      </c>
      <c r="V18" s="42" t="s">
        <v>57</v>
      </c>
      <c r="W18" s="32">
        <v>2050</v>
      </c>
      <c r="X18" s="43" t="str">
        <f t="shared" si="3"/>
        <v>*0.92</v>
      </c>
      <c r="AC18" s="33" t="s">
        <v>3349</v>
      </c>
      <c r="AD18" s="44" t="s">
        <v>57</v>
      </c>
      <c r="AE18" s="33">
        <v>2035</v>
      </c>
      <c r="AF18" s="45" t="str">
        <f t="shared" si="4"/>
        <v>*0.93</v>
      </c>
      <c r="AG18" s="43" t="str">
        <f t="shared" si="9"/>
        <v>REZoning_Sol-Win</v>
      </c>
      <c r="AI18" s="33" t="s">
        <v>3349</v>
      </c>
      <c r="AJ18" s="44" t="s">
        <v>57</v>
      </c>
      <c r="AK18" s="33">
        <v>2050</v>
      </c>
      <c r="AL18" s="45" t="str">
        <f t="shared" si="5"/>
        <v>*0.89</v>
      </c>
      <c r="AM18" s="43" t="str">
        <f t="shared" si="10"/>
        <v>REZoning_Sol-Win</v>
      </c>
      <c r="AP18" t="s">
        <v>3349</v>
      </c>
      <c r="AQ18" t="s">
        <v>57</v>
      </c>
      <c r="AR18">
        <f t="shared" si="8"/>
        <v>2100</v>
      </c>
      <c r="AS18" t="s">
        <v>937</v>
      </c>
      <c r="AT18" t="s">
        <v>58</v>
      </c>
    </row>
    <row r="19" ht="29" spans="1:46">
      <c r="A19" s="31" t="s">
        <v>83</v>
      </c>
      <c r="C19" t="s">
        <v>3350</v>
      </c>
      <c r="D19" s="5" t="s">
        <v>57</v>
      </c>
      <c r="E19">
        <v>2035</v>
      </c>
      <c r="F19" s="6" t="str">
        <f t="shared" si="0"/>
        <v>*0.95</v>
      </c>
      <c r="H19" t="s">
        <v>3350</v>
      </c>
      <c r="I19" s="5" t="s">
        <v>57</v>
      </c>
      <c r="J19">
        <v>2050</v>
      </c>
      <c r="K19" s="38" t="str">
        <f t="shared" si="1"/>
        <v>*0.92</v>
      </c>
      <c r="P19" s="32" t="s">
        <v>3350</v>
      </c>
      <c r="Q19" s="42" t="s">
        <v>57</v>
      </c>
      <c r="R19" s="32">
        <v>2035</v>
      </c>
      <c r="S19" s="43" t="str">
        <f t="shared" si="2"/>
        <v>*0.95</v>
      </c>
      <c r="U19" s="32" t="s">
        <v>3350</v>
      </c>
      <c r="V19" s="42" t="s">
        <v>57</v>
      </c>
      <c r="W19" s="32">
        <v>2050</v>
      </c>
      <c r="X19" s="43" t="str">
        <f t="shared" si="3"/>
        <v>*0.92</v>
      </c>
      <c r="AC19" s="33" t="s">
        <v>3350</v>
      </c>
      <c r="AD19" s="44" t="s">
        <v>57</v>
      </c>
      <c r="AE19" s="33">
        <v>2035</v>
      </c>
      <c r="AF19" s="45" t="str">
        <f t="shared" si="4"/>
        <v>*0.93</v>
      </c>
      <c r="AG19" s="43" t="str">
        <f t="shared" si="9"/>
        <v>REZoning_Sol-Win</v>
      </c>
      <c r="AI19" s="33" t="s">
        <v>3350</v>
      </c>
      <c r="AJ19" s="44" t="s">
        <v>57</v>
      </c>
      <c r="AK19" s="33">
        <v>2050</v>
      </c>
      <c r="AL19" s="45" t="str">
        <f t="shared" si="5"/>
        <v>*0.89</v>
      </c>
      <c r="AM19" s="43" t="str">
        <f t="shared" si="10"/>
        <v>REZoning_Sol-Win</v>
      </c>
      <c r="AP19" t="s">
        <v>3350</v>
      </c>
      <c r="AQ19" t="s">
        <v>57</v>
      </c>
      <c r="AR19">
        <f t="shared" si="8"/>
        <v>2100</v>
      </c>
      <c r="AS19" t="s">
        <v>937</v>
      </c>
      <c r="AT19" t="s">
        <v>58</v>
      </c>
    </row>
    <row r="20" ht="29" spans="1:46">
      <c r="A20" s="31" t="s">
        <v>83</v>
      </c>
      <c r="C20" t="s">
        <v>3351</v>
      </c>
      <c r="D20" s="5" t="s">
        <v>57</v>
      </c>
      <c r="E20">
        <v>2035</v>
      </c>
      <c r="F20" s="6" t="str">
        <f t="shared" si="0"/>
        <v>*0.95</v>
      </c>
      <c r="H20" t="s">
        <v>3351</v>
      </c>
      <c r="I20" s="5" t="s">
        <v>57</v>
      </c>
      <c r="J20">
        <v>2050</v>
      </c>
      <c r="K20" s="38" t="str">
        <f t="shared" si="1"/>
        <v>*0.92</v>
      </c>
      <c r="P20" s="32" t="s">
        <v>3351</v>
      </c>
      <c r="Q20" s="42" t="s">
        <v>57</v>
      </c>
      <c r="R20" s="32">
        <v>2035</v>
      </c>
      <c r="S20" s="43" t="str">
        <f t="shared" si="2"/>
        <v>*0.95</v>
      </c>
      <c r="U20" s="32" t="s">
        <v>3351</v>
      </c>
      <c r="V20" s="42" t="s">
        <v>57</v>
      </c>
      <c r="W20" s="32">
        <v>2050</v>
      </c>
      <c r="X20" s="43" t="str">
        <f t="shared" si="3"/>
        <v>*0.92</v>
      </c>
      <c r="AC20" s="33" t="s">
        <v>3351</v>
      </c>
      <c r="AD20" s="44" t="s">
        <v>57</v>
      </c>
      <c r="AE20" s="33">
        <v>2035</v>
      </c>
      <c r="AF20" s="45" t="str">
        <f t="shared" si="4"/>
        <v>*0.93</v>
      </c>
      <c r="AG20" s="43" t="str">
        <f t="shared" si="9"/>
        <v>REZoning_Sol-Win</v>
      </c>
      <c r="AI20" s="33" t="s">
        <v>3351</v>
      </c>
      <c r="AJ20" s="44" t="s">
        <v>57</v>
      </c>
      <c r="AK20" s="33">
        <v>2050</v>
      </c>
      <c r="AL20" s="45" t="str">
        <f t="shared" si="5"/>
        <v>*0.89</v>
      </c>
      <c r="AM20" s="43" t="str">
        <f t="shared" si="10"/>
        <v>REZoning_Sol-Win</v>
      </c>
      <c r="AP20" t="s">
        <v>3351</v>
      </c>
      <c r="AQ20" t="s">
        <v>57</v>
      </c>
      <c r="AR20">
        <f t="shared" si="8"/>
        <v>2100</v>
      </c>
      <c r="AS20" t="s">
        <v>937</v>
      </c>
      <c r="AT20" t="s">
        <v>58</v>
      </c>
    </row>
    <row r="21" ht="29" spans="1:46">
      <c r="A21" s="31" t="s">
        <v>83</v>
      </c>
      <c r="C21" t="s">
        <v>3352</v>
      </c>
      <c r="D21" s="5" t="s">
        <v>57</v>
      </c>
      <c r="E21">
        <v>2035</v>
      </c>
      <c r="F21" s="6" t="str">
        <f t="shared" si="0"/>
        <v>*0.95</v>
      </c>
      <c r="H21" t="s">
        <v>3352</v>
      </c>
      <c r="I21" s="5" t="s">
        <v>57</v>
      </c>
      <c r="J21">
        <v>2050</v>
      </c>
      <c r="K21" s="38" t="str">
        <f t="shared" si="1"/>
        <v>*0.92</v>
      </c>
      <c r="P21" s="32" t="s">
        <v>3352</v>
      </c>
      <c r="Q21" s="42" t="s">
        <v>57</v>
      </c>
      <c r="R21" s="32">
        <v>2035</v>
      </c>
      <c r="S21" s="43" t="str">
        <f t="shared" si="2"/>
        <v>*0.95</v>
      </c>
      <c r="U21" s="32" t="s">
        <v>3352</v>
      </c>
      <c r="V21" s="42" t="s">
        <v>57</v>
      </c>
      <c r="W21" s="32">
        <v>2050</v>
      </c>
      <c r="X21" s="43" t="str">
        <f t="shared" si="3"/>
        <v>*0.92</v>
      </c>
      <c r="AC21" s="33" t="s">
        <v>3352</v>
      </c>
      <c r="AD21" s="44" t="s">
        <v>57</v>
      </c>
      <c r="AE21" s="33">
        <v>2035</v>
      </c>
      <c r="AF21" s="45" t="str">
        <f t="shared" si="4"/>
        <v>*0.93</v>
      </c>
      <c r="AG21" s="43" t="str">
        <f t="shared" si="9"/>
        <v>REZoning_Sol-Win</v>
      </c>
      <c r="AI21" s="33" t="s">
        <v>3352</v>
      </c>
      <c r="AJ21" s="44" t="s">
        <v>57</v>
      </c>
      <c r="AK21" s="33">
        <v>2050</v>
      </c>
      <c r="AL21" s="45" t="str">
        <f t="shared" si="5"/>
        <v>*0.89</v>
      </c>
      <c r="AM21" s="43" t="str">
        <f t="shared" si="10"/>
        <v>REZoning_Sol-Win</v>
      </c>
      <c r="AP21" t="s">
        <v>3352</v>
      </c>
      <c r="AQ21" t="s">
        <v>57</v>
      </c>
      <c r="AR21">
        <f t="shared" si="8"/>
        <v>2100</v>
      </c>
      <c r="AS21" t="s">
        <v>937</v>
      </c>
      <c r="AT21" t="s">
        <v>58</v>
      </c>
    </row>
    <row r="22" ht="29" spans="1:46">
      <c r="A22" s="31" t="s">
        <v>83</v>
      </c>
      <c r="C22" t="s">
        <v>3353</v>
      </c>
      <c r="D22" s="5" t="s">
        <v>57</v>
      </c>
      <c r="E22">
        <v>2035</v>
      </c>
      <c r="F22" s="6" t="str">
        <f t="shared" si="0"/>
        <v>*0.95</v>
      </c>
      <c r="H22" t="s">
        <v>3353</v>
      </c>
      <c r="I22" s="5" t="s">
        <v>57</v>
      </c>
      <c r="J22">
        <v>2050</v>
      </c>
      <c r="K22" s="38" t="str">
        <f t="shared" si="1"/>
        <v>*0.92</v>
      </c>
      <c r="P22" s="32" t="s">
        <v>3353</v>
      </c>
      <c r="Q22" s="42" t="s">
        <v>57</v>
      </c>
      <c r="R22" s="32">
        <v>2035</v>
      </c>
      <c r="S22" s="43" t="str">
        <f t="shared" si="2"/>
        <v>*0.95</v>
      </c>
      <c r="U22" s="32" t="s">
        <v>3353</v>
      </c>
      <c r="V22" s="42" t="s">
        <v>57</v>
      </c>
      <c r="W22" s="32">
        <v>2050</v>
      </c>
      <c r="X22" s="43" t="str">
        <f t="shared" si="3"/>
        <v>*0.92</v>
      </c>
      <c r="AC22" s="33" t="s">
        <v>3353</v>
      </c>
      <c r="AD22" s="44" t="s">
        <v>57</v>
      </c>
      <c r="AE22" s="33">
        <v>2035</v>
      </c>
      <c r="AF22" s="45" t="str">
        <f t="shared" si="4"/>
        <v>*0.93</v>
      </c>
      <c r="AG22" s="43" t="str">
        <f t="shared" si="9"/>
        <v>REZoning_Sol-Win</v>
      </c>
      <c r="AI22" s="33" t="s">
        <v>3353</v>
      </c>
      <c r="AJ22" s="44" t="s">
        <v>57</v>
      </c>
      <c r="AK22" s="33">
        <v>2050</v>
      </c>
      <c r="AL22" s="45" t="str">
        <f t="shared" si="5"/>
        <v>*0.89</v>
      </c>
      <c r="AM22" s="43" t="str">
        <f t="shared" si="10"/>
        <v>REZoning_Sol-Win</v>
      </c>
      <c r="AP22" t="s">
        <v>3353</v>
      </c>
      <c r="AQ22" t="s">
        <v>57</v>
      </c>
      <c r="AR22">
        <f t="shared" si="8"/>
        <v>2100</v>
      </c>
      <c r="AS22" t="s">
        <v>937</v>
      </c>
      <c r="AT22" t="s">
        <v>58</v>
      </c>
    </row>
    <row r="23" ht="29" spans="1:46">
      <c r="A23" s="31" t="s">
        <v>83</v>
      </c>
      <c r="C23" t="s">
        <v>3354</v>
      </c>
      <c r="D23" s="5" t="s">
        <v>57</v>
      </c>
      <c r="E23">
        <v>2035</v>
      </c>
      <c r="F23" s="6" t="str">
        <f t="shared" si="0"/>
        <v>*0.95</v>
      </c>
      <c r="H23" t="s">
        <v>3354</v>
      </c>
      <c r="I23" s="5" t="s">
        <v>57</v>
      </c>
      <c r="J23">
        <v>2050</v>
      </c>
      <c r="K23" s="38" t="str">
        <f t="shared" si="1"/>
        <v>*0.92</v>
      </c>
      <c r="P23" s="32" t="s">
        <v>3354</v>
      </c>
      <c r="Q23" s="42" t="s">
        <v>57</v>
      </c>
      <c r="R23" s="32">
        <v>2035</v>
      </c>
      <c r="S23" s="43" t="str">
        <f t="shared" si="2"/>
        <v>*0.95</v>
      </c>
      <c r="U23" s="32" t="s">
        <v>3354</v>
      </c>
      <c r="V23" s="42" t="s">
        <v>57</v>
      </c>
      <c r="W23" s="32">
        <v>2050</v>
      </c>
      <c r="X23" s="43" t="str">
        <f t="shared" si="3"/>
        <v>*0.92</v>
      </c>
      <c r="AC23" s="33" t="s">
        <v>3354</v>
      </c>
      <c r="AD23" s="44" t="s">
        <v>57</v>
      </c>
      <c r="AE23" s="33">
        <v>2035</v>
      </c>
      <c r="AF23" s="45" t="str">
        <f t="shared" si="4"/>
        <v>*0.93</v>
      </c>
      <c r="AG23" s="43" t="str">
        <f t="shared" si="9"/>
        <v>REZoning_Sol-Win</v>
      </c>
      <c r="AI23" s="33" t="s">
        <v>3354</v>
      </c>
      <c r="AJ23" s="44" t="s">
        <v>57</v>
      </c>
      <c r="AK23" s="33">
        <v>2050</v>
      </c>
      <c r="AL23" s="45" t="str">
        <f t="shared" si="5"/>
        <v>*0.89</v>
      </c>
      <c r="AM23" s="43" t="str">
        <f t="shared" si="10"/>
        <v>REZoning_Sol-Win</v>
      </c>
      <c r="AP23" t="s">
        <v>3354</v>
      </c>
      <c r="AQ23" t="s">
        <v>57</v>
      </c>
      <c r="AR23">
        <f t="shared" si="8"/>
        <v>2100</v>
      </c>
      <c r="AS23" t="s">
        <v>937</v>
      </c>
      <c r="AT23" t="s">
        <v>58</v>
      </c>
    </row>
    <row r="24" ht="29" spans="1:46">
      <c r="A24" s="31" t="s">
        <v>83</v>
      </c>
      <c r="C24" t="s">
        <v>3355</v>
      </c>
      <c r="D24" s="5" t="s">
        <v>57</v>
      </c>
      <c r="E24">
        <v>2035</v>
      </c>
      <c r="F24" s="6" t="str">
        <f t="shared" si="0"/>
        <v>*0.95</v>
      </c>
      <c r="H24" t="s">
        <v>3355</v>
      </c>
      <c r="I24" s="5" t="s">
        <v>57</v>
      </c>
      <c r="J24">
        <v>2050</v>
      </c>
      <c r="K24" s="38" t="str">
        <f t="shared" si="1"/>
        <v>*0.92</v>
      </c>
      <c r="P24" s="32" t="s">
        <v>3355</v>
      </c>
      <c r="Q24" s="42" t="s">
        <v>57</v>
      </c>
      <c r="R24" s="32">
        <v>2035</v>
      </c>
      <c r="S24" s="43" t="str">
        <f t="shared" si="2"/>
        <v>*0.95</v>
      </c>
      <c r="U24" s="32" t="s">
        <v>3355</v>
      </c>
      <c r="V24" s="42" t="s">
        <v>57</v>
      </c>
      <c r="W24" s="32">
        <v>2050</v>
      </c>
      <c r="X24" s="43" t="str">
        <f t="shared" si="3"/>
        <v>*0.92</v>
      </c>
      <c r="AC24" s="33" t="s">
        <v>3355</v>
      </c>
      <c r="AD24" s="44" t="s">
        <v>57</v>
      </c>
      <c r="AE24" s="33">
        <v>2035</v>
      </c>
      <c r="AF24" s="45" t="str">
        <f t="shared" si="4"/>
        <v>*0.93</v>
      </c>
      <c r="AG24" s="43" t="str">
        <f t="shared" si="9"/>
        <v>REZoning_Sol-Win</v>
      </c>
      <c r="AI24" s="33" t="s">
        <v>3355</v>
      </c>
      <c r="AJ24" s="44" t="s">
        <v>57</v>
      </c>
      <c r="AK24" s="33">
        <v>2050</v>
      </c>
      <c r="AL24" s="45" t="str">
        <f t="shared" si="5"/>
        <v>*0.89</v>
      </c>
      <c r="AM24" s="43" t="str">
        <f t="shared" si="10"/>
        <v>REZoning_Sol-Win</v>
      </c>
      <c r="AP24" t="s">
        <v>3355</v>
      </c>
      <c r="AQ24" t="s">
        <v>57</v>
      </c>
      <c r="AR24">
        <f t="shared" si="8"/>
        <v>2100</v>
      </c>
      <c r="AS24" t="s">
        <v>937</v>
      </c>
      <c r="AT24" t="s">
        <v>58</v>
      </c>
    </row>
    <row r="25" ht="29" spans="1:46">
      <c r="A25" s="31" t="s">
        <v>83</v>
      </c>
      <c r="C25" t="s">
        <v>3356</v>
      </c>
      <c r="D25" s="5" t="s">
        <v>57</v>
      </c>
      <c r="E25">
        <v>2035</v>
      </c>
      <c r="F25" s="6" t="str">
        <f t="shared" si="0"/>
        <v>*0.95</v>
      </c>
      <c r="H25" t="s">
        <v>3356</v>
      </c>
      <c r="I25" s="5" t="s">
        <v>57</v>
      </c>
      <c r="J25">
        <v>2050</v>
      </c>
      <c r="K25" s="38" t="str">
        <f t="shared" si="1"/>
        <v>*0.92</v>
      </c>
      <c r="P25" s="32" t="s">
        <v>3356</v>
      </c>
      <c r="Q25" s="42" t="s">
        <v>57</v>
      </c>
      <c r="R25" s="32">
        <v>2035</v>
      </c>
      <c r="S25" s="43" t="str">
        <f t="shared" si="2"/>
        <v>*0.95</v>
      </c>
      <c r="U25" s="32" t="s">
        <v>3356</v>
      </c>
      <c r="V25" s="42" t="s">
        <v>57</v>
      </c>
      <c r="W25" s="32">
        <v>2050</v>
      </c>
      <c r="X25" s="43" t="str">
        <f t="shared" si="3"/>
        <v>*0.92</v>
      </c>
      <c r="AC25" s="33" t="s">
        <v>3356</v>
      </c>
      <c r="AD25" s="44" t="s">
        <v>57</v>
      </c>
      <c r="AE25" s="33">
        <v>2035</v>
      </c>
      <c r="AF25" s="45" t="str">
        <f t="shared" si="4"/>
        <v>*0.93</v>
      </c>
      <c r="AG25" s="43" t="str">
        <f t="shared" si="9"/>
        <v>REZoning_Sol-Win</v>
      </c>
      <c r="AI25" s="33" t="s">
        <v>3356</v>
      </c>
      <c r="AJ25" s="44" t="s">
        <v>57</v>
      </c>
      <c r="AK25" s="33">
        <v>2050</v>
      </c>
      <c r="AL25" s="45" t="str">
        <f t="shared" si="5"/>
        <v>*0.89</v>
      </c>
      <c r="AM25" s="43" t="str">
        <f t="shared" si="10"/>
        <v>REZoning_Sol-Win</v>
      </c>
      <c r="AP25" t="s">
        <v>3356</v>
      </c>
      <c r="AQ25" t="s">
        <v>57</v>
      </c>
      <c r="AR25">
        <f t="shared" si="8"/>
        <v>2100</v>
      </c>
      <c r="AS25" t="s">
        <v>937</v>
      </c>
      <c r="AT25" t="s">
        <v>58</v>
      </c>
    </row>
    <row r="26" ht="29" spans="1:46">
      <c r="A26" s="31" t="s">
        <v>83</v>
      </c>
      <c r="C26" t="s">
        <v>3357</v>
      </c>
      <c r="D26" s="5" t="s">
        <v>57</v>
      </c>
      <c r="E26">
        <v>2035</v>
      </c>
      <c r="F26" s="6" t="str">
        <f t="shared" si="0"/>
        <v>*0.95</v>
      </c>
      <c r="H26" t="s">
        <v>3357</v>
      </c>
      <c r="I26" s="5" t="s">
        <v>57</v>
      </c>
      <c r="J26">
        <v>2050</v>
      </c>
      <c r="K26" s="38" t="str">
        <f t="shared" si="1"/>
        <v>*0.92</v>
      </c>
      <c r="P26" s="32" t="s">
        <v>3357</v>
      </c>
      <c r="Q26" s="42" t="s">
        <v>57</v>
      </c>
      <c r="R26" s="32">
        <v>2035</v>
      </c>
      <c r="S26" s="43" t="str">
        <f t="shared" si="2"/>
        <v>*0.95</v>
      </c>
      <c r="U26" s="32" t="s">
        <v>3357</v>
      </c>
      <c r="V26" s="42" t="s">
        <v>57</v>
      </c>
      <c r="W26" s="32">
        <v>2050</v>
      </c>
      <c r="X26" s="43" t="str">
        <f t="shared" si="3"/>
        <v>*0.92</v>
      </c>
      <c r="AC26" s="33" t="s">
        <v>3357</v>
      </c>
      <c r="AD26" s="44" t="s">
        <v>57</v>
      </c>
      <c r="AE26" s="33">
        <v>2035</v>
      </c>
      <c r="AF26" s="45" t="str">
        <f t="shared" si="4"/>
        <v>*0.93</v>
      </c>
      <c r="AG26" s="43" t="str">
        <f t="shared" si="9"/>
        <v>REZoning_Sol-Win</v>
      </c>
      <c r="AI26" s="33" t="s">
        <v>3357</v>
      </c>
      <c r="AJ26" s="44" t="s">
        <v>57</v>
      </c>
      <c r="AK26" s="33">
        <v>2050</v>
      </c>
      <c r="AL26" s="45" t="str">
        <f t="shared" si="5"/>
        <v>*0.89</v>
      </c>
      <c r="AM26" s="43" t="str">
        <f t="shared" si="10"/>
        <v>REZoning_Sol-Win</v>
      </c>
      <c r="AP26" t="s">
        <v>3357</v>
      </c>
      <c r="AQ26" t="s">
        <v>57</v>
      </c>
      <c r="AR26">
        <f t="shared" si="8"/>
        <v>2100</v>
      </c>
      <c r="AS26" t="s">
        <v>937</v>
      </c>
      <c r="AT26" t="s">
        <v>58</v>
      </c>
    </row>
    <row r="27" ht="29" spans="1:46">
      <c r="A27" s="31" t="s">
        <v>83</v>
      </c>
      <c r="C27" t="s">
        <v>3358</v>
      </c>
      <c r="D27" s="5" t="s">
        <v>57</v>
      </c>
      <c r="E27">
        <v>2035</v>
      </c>
      <c r="F27" s="6" t="str">
        <f t="shared" si="0"/>
        <v>*0.95</v>
      </c>
      <c r="H27" t="s">
        <v>3358</v>
      </c>
      <c r="I27" s="5" t="s">
        <v>57</v>
      </c>
      <c r="J27">
        <v>2050</v>
      </c>
      <c r="K27" s="38" t="str">
        <f t="shared" si="1"/>
        <v>*0.92</v>
      </c>
      <c r="P27" s="32" t="s">
        <v>3358</v>
      </c>
      <c r="Q27" s="42" t="s">
        <v>57</v>
      </c>
      <c r="R27" s="32">
        <v>2035</v>
      </c>
      <c r="S27" s="43" t="str">
        <f t="shared" si="2"/>
        <v>*0.95</v>
      </c>
      <c r="U27" s="32" t="s">
        <v>3358</v>
      </c>
      <c r="V27" s="42" t="s">
        <v>57</v>
      </c>
      <c r="W27" s="32">
        <v>2050</v>
      </c>
      <c r="X27" s="43" t="str">
        <f t="shared" si="3"/>
        <v>*0.92</v>
      </c>
      <c r="AC27" s="33" t="s">
        <v>3358</v>
      </c>
      <c r="AD27" s="44" t="s">
        <v>57</v>
      </c>
      <c r="AE27" s="33">
        <v>2035</v>
      </c>
      <c r="AF27" s="45" t="str">
        <f t="shared" si="4"/>
        <v>*0.93</v>
      </c>
      <c r="AG27" s="43" t="str">
        <f t="shared" si="9"/>
        <v>REZoning_Sol-Win</v>
      </c>
      <c r="AI27" s="33" t="s">
        <v>3358</v>
      </c>
      <c r="AJ27" s="44" t="s">
        <v>57</v>
      </c>
      <c r="AK27" s="33">
        <v>2050</v>
      </c>
      <c r="AL27" s="45" t="str">
        <f t="shared" si="5"/>
        <v>*0.89</v>
      </c>
      <c r="AM27" s="43" t="str">
        <f t="shared" si="10"/>
        <v>REZoning_Sol-Win</v>
      </c>
      <c r="AP27" t="s">
        <v>3358</v>
      </c>
      <c r="AQ27" t="s">
        <v>57</v>
      </c>
      <c r="AR27">
        <f t="shared" si="8"/>
        <v>2100</v>
      </c>
      <c r="AS27" t="s">
        <v>937</v>
      </c>
      <c r="AT27" t="s">
        <v>58</v>
      </c>
    </row>
    <row r="28" ht="29" spans="1:46">
      <c r="A28" s="31" t="s">
        <v>83</v>
      </c>
      <c r="C28" t="s">
        <v>3359</v>
      </c>
      <c r="D28" s="5" t="s">
        <v>57</v>
      </c>
      <c r="E28">
        <v>2035</v>
      </c>
      <c r="F28" s="6" t="str">
        <f t="shared" si="0"/>
        <v>*0.95</v>
      </c>
      <c r="H28" t="s">
        <v>3359</v>
      </c>
      <c r="I28" s="5" t="s">
        <v>57</v>
      </c>
      <c r="J28">
        <v>2050</v>
      </c>
      <c r="K28" s="38" t="str">
        <f t="shared" si="1"/>
        <v>*0.92</v>
      </c>
      <c r="P28" s="32" t="s">
        <v>3359</v>
      </c>
      <c r="Q28" s="42" t="s">
        <v>57</v>
      </c>
      <c r="R28" s="32">
        <v>2035</v>
      </c>
      <c r="S28" s="43" t="str">
        <f t="shared" si="2"/>
        <v>*0.95</v>
      </c>
      <c r="U28" s="32" t="s">
        <v>3359</v>
      </c>
      <c r="V28" s="42" t="s">
        <v>57</v>
      </c>
      <c r="W28" s="32">
        <v>2050</v>
      </c>
      <c r="X28" s="43" t="str">
        <f t="shared" si="3"/>
        <v>*0.92</v>
      </c>
      <c r="AC28" s="33" t="s">
        <v>3359</v>
      </c>
      <c r="AD28" s="44" t="s">
        <v>57</v>
      </c>
      <c r="AE28" s="33">
        <v>2035</v>
      </c>
      <c r="AF28" s="45" t="str">
        <f t="shared" si="4"/>
        <v>*0.93</v>
      </c>
      <c r="AG28" s="43" t="str">
        <f t="shared" si="9"/>
        <v>REZoning_Sol-Win</v>
      </c>
      <c r="AI28" s="33" t="s">
        <v>3359</v>
      </c>
      <c r="AJ28" s="44" t="s">
        <v>57</v>
      </c>
      <c r="AK28" s="33">
        <v>2050</v>
      </c>
      <c r="AL28" s="45" t="str">
        <f t="shared" si="5"/>
        <v>*0.89</v>
      </c>
      <c r="AM28" s="43" t="str">
        <f t="shared" si="10"/>
        <v>REZoning_Sol-Win</v>
      </c>
      <c r="AP28" t="s">
        <v>3359</v>
      </c>
      <c r="AQ28" t="s">
        <v>57</v>
      </c>
      <c r="AR28">
        <f t="shared" si="8"/>
        <v>2100</v>
      </c>
      <c r="AS28" t="s">
        <v>937</v>
      </c>
      <c r="AT28" t="s">
        <v>58</v>
      </c>
    </row>
    <row r="29" ht="29" spans="1:46">
      <c r="A29" s="31" t="s">
        <v>83</v>
      </c>
      <c r="C29" t="s">
        <v>3360</v>
      </c>
      <c r="D29" s="5" t="s">
        <v>57</v>
      </c>
      <c r="E29">
        <v>2035</v>
      </c>
      <c r="F29" s="6" t="str">
        <f t="shared" si="0"/>
        <v>*0.95</v>
      </c>
      <c r="H29" t="s">
        <v>3360</v>
      </c>
      <c r="I29" s="5" t="s">
        <v>57</v>
      </c>
      <c r="J29">
        <v>2050</v>
      </c>
      <c r="K29" s="38" t="str">
        <f t="shared" si="1"/>
        <v>*0.92</v>
      </c>
      <c r="P29" s="32" t="s">
        <v>3360</v>
      </c>
      <c r="Q29" s="42" t="s">
        <v>57</v>
      </c>
      <c r="R29" s="32">
        <v>2035</v>
      </c>
      <c r="S29" s="43" t="str">
        <f t="shared" si="2"/>
        <v>*0.95</v>
      </c>
      <c r="U29" s="32" t="s">
        <v>3360</v>
      </c>
      <c r="V29" s="42" t="s">
        <v>57</v>
      </c>
      <c r="W29" s="32">
        <v>2050</v>
      </c>
      <c r="X29" s="43" t="str">
        <f t="shared" si="3"/>
        <v>*0.92</v>
      </c>
      <c r="AC29" s="33" t="s">
        <v>3360</v>
      </c>
      <c r="AD29" s="44" t="s">
        <v>57</v>
      </c>
      <c r="AE29" s="33">
        <v>2035</v>
      </c>
      <c r="AF29" s="45" t="str">
        <f t="shared" si="4"/>
        <v>*0.93</v>
      </c>
      <c r="AG29" s="43" t="str">
        <f t="shared" si="9"/>
        <v>REZoning_Sol-Win</v>
      </c>
      <c r="AI29" s="33" t="s">
        <v>3360</v>
      </c>
      <c r="AJ29" s="44" t="s">
        <v>57</v>
      </c>
      <c r="AK29" s="33">
        <v>2050</v>
      </c>
      <c r="AL29" s="45" t="str">
        <f t="shared" si="5"/>
        <v>*0.89</v>
      </c>
      <c r="AM29" s="43" t="str">
        <f t="shared" si="10"/>
        <v>REZoning_Sol-Win</v>
      </c>
      <c r="AP29" t="s">
        <v>3360</v>
      </c>
      <c r="AQ29" t="s">
        <v>57</v>
      </c>
      <c r="AR29">
        <f t="shared" si="8"/>
        <v>2100</v>
      </c>
      <c r="AS29" t="s">
        <v>937</v>
      </c>
      <c r="AT29" t="s">
        <v>58</v>
      </c>
    </row>
    <row r="30" ht="29" spans="1:46">
      <c r="A30" s="31" t="s">
        <v>83</v>
      </c>
      <c r="C30" t="s">
        <v>3361</v>
      </c>
      <c r="D30" s="5" t="s">
        <v>57</v>
      </c>
      <c r="E30">
        <v>2035</v>
      </c>
      <c r="F30" s="6" t="str">
        <f t="shared" si="0"/>
        <v>*0.95</v>
      </c>
      <c r="H30" t="s">
        <v>3361</v>
      </c>
      <c r="I30" s="5" t="s">
        <v>57</v>
      </c>
      <c r="J30">
        <v>2050</v>
      </c>
      <c r="K30" s="38" t="str">
        <f t="shared" si="1"/>
        <v>*0.92</v>
      </c>
      <c r="P30" s="32" t="s">
        <v>3361</v>
      </c>
      <c r="Q30" s="42" t="s">
        <v>57</v>
      </c>
      <c r="R30" s="32">
        <v>2035</v>
      </c>
      <c r="S30" s="43" t="str">
        <f t="shared" si="2"/>
        <v>*0.95</v>
      </c>
      <c r="U30" s="32" t="s">
        <v>3361</v>
      </c>
      <c r="V30" s="42" t="s">
        <v>57</v>
      </c>
      <c r="W30" s="32">
        <v>2050</v>
      </c>
      <c r="X30" s="43" t="str">
        <f t="shared" si="3"/>
        <v>*0.92</v>
      </c>
      <c r="AC30" s="33" t="s">
        <v>3361</v>
      </c>
      <c r="AD30" s="44" t="s">
        <v>57</v>
      </c>
      <c r="AE30" s="33">
        <v>2035</v>
      </c>
      <c r="AF30" s="45" t="str">
        <f t="shared" si="4"/>
        <v>*0.93</v>
      </c>
      <c r="AG30" s="43" t="str">
        <f t="shared" si="9"/>
        <v>REZoning_Sol-Win</v>
      </c>
      <c r="AI30" s="33" t="s">
        <v>3361</v>
      </c>
      <c r="AJ30" s="44" t="s">
        <v>57</v>
      </c>
      <c r="AK30" s="33">
        <v>2050</v>
      </c>
      <c r="AL30" s="45" t="str">
        <f t="shared" si="5"/>
        <v>*0.89</v>
      </c>
      <c r="AM30" s="43" t="str">
        <f t="shared" si="10"/>
        <v>REZoning_Sol-Win</v>
      </c>
      <c r="AP30" t="s">
        <v>3361</v>
      </c>
      <c r="AQ30" t="s">
        <v>57</v>
      </c>
      <c r="AR30">
        <f t="shared" si="8"/>
        <v>2100</v>
      </c>
      <c r="AS30" t="s">
        <v>937</v>
      </c>
      <c r="AT30" t="s">
        <v>58</v>
      </c>
    </row>
    <row r="31" ht="29" spans="1:46">
      <c r="A31" s="31" t="s">
        <v>83</v>
      </c>
      <c r="C31" t="s">
        <v>3362</v>
      </c>
      <c r="D31" s="5" t="s">
        <v>57</v>
      </c>
      <c r="E31">
        <v>2035</v>
      </c>
      <c r="F31" s="6" t="str">
        <f t="shared" si="0"/>
        <v>*0.95</v>
      </c>
      <c r="H31" t="s">
        <v>3362</v>
      </c>
      <c r="I31" s="5" t="s">
        <v>57</v>
      </c>
      <c r="J31">
        <v>2050</v>
      </c>
      <c r="K31" s="38" t="str">
        <f t="shared" si="1"/>
        <v>*0.92</v>
      </c>
      <c r="P31" s="32" t="s">
        <v>3362</v>
      </c>
      <c r="Q31" s="42" t="s">
        <v>57</v>
      </c>
      <c r="R31" s="32">
        <v>2035</v>
      </c>
      <c r="S31" s="43" t="str">
        <f t="shared" si="2"/>
        <v>*0.95</v>
      </c>
      <c r="U31" s="32" t="s">
        <v>3362</v>
      </c>
      <c r="V31" s="42" t="s">
        <v>57</v>
      </c>
      <c r="W31" s="32">
        <v>2050</v>
      </c>
      <c r="X31" s="43" t="str">
        <f t="shared" si="3"/>
        <v>*0.92</v>
      </c>
      <c r="AC31" s="33" t="s">
        <v>3362</v>
      </c>
      <c r="AD31" s="44" t="s">
        <v>57</v>
      </c>
      <c r="AE31" s="33">
        <v>2035</v>
      </c>
      <c r="AF31" s="45" t="str">
        <f t="shared" si="4"/>
        <v>*0.93</v>
      </c>
      <c r="AG31" s="43" t="str">
        <f t="shared" si="9"/>
        <v>REZoning_Sol-Win</v>
      </c>
      <c r="AI31" s="33" t="s">
        <v>3362</v>
      </c>
      <c r="AJ31" s="44" t="s">
        <v>57</v>
      </c>
      <c r="AK31" s="33">
        <v>2050</v>
      </c>
      <c r="AL31" s="45" t="str">
        <f t="shared" si="5"/>
        <v>*0.89</v>
      </c>
      <c r="AM31" s="43" t="str">
        <f t="shared" si="10"/>
        <v>REZoning_Sol-Win</v>
      </c>
      <c r="AP31" t="s">
        <v>3362</v>
      </c>
      <c r="AQ31" t="s">
        <v>57</v>
      </c>
      <c r="AR31">
        <f t="shared" si="8"/>
        <v>2100</v>
      </c>
      <c r="AS31" t="s">
        <v>937</v>
      </c>
      <c r="AT31" t="s">
        <v>58</v>
      </c>
    </row>
    <row r="32" ht="29" spans="1:46">
      <c r="A32" s="31" t="s">
        <v>83</v>
      </c>
      <c r="C32" t="s">
        <v>3363</v>
      </c>
      <c r="D32" s="5" t="s">
        <v>57</v>
      </c>
      <c r="E32">
        <v>2035</v>
      </c>
      <c r="F32" s="6" t="str">
        <f t="shared" si="0"/>
        <v>*0.95</v>
      </c>
      <c r="H32" t="s">
        <v>3363</v>
      </c>
      <c r="I32" s="5" t="s">
        <v>57</v>
      </c>
      <c r="J32">
        <v>2050</v>
      </c>
      <c r="K32" s="38" t="str">
        <f t="shared" si="1"/>
        <v>*0.92</v>
      </c>
      <c r="P32" s="32" t="s">
        <v>3363</v>
      </c>
      <c r="Q32" s="42" t="s">
        <v>57</v>
      </c>
      <c r="R32" s="32">
        <v>2035</v>
      </c>
      <c r="S32" s="43" t="str">
        <f t="shared" si="2"/>
        <v>*0.95</v>
      </c>
      <c r="U32" s="32" t="s">
        <v>3363</v>
      </c>
      <c r="V32" s="42" t="s">
        <v>57</v>
      </c>
      <c r="W32" s="32">
        <v>2050</v>
      </c>
      <c r="X32" s="43" t="str">
        <f t="shared" si="3"/>
        <v>*0.92</v>
      </c>
      <c r="AC32" s="33" t="s">
        <v>3363</v>
      </c>
      <c r="AD32" s="44" t="s">
        <v>57</v>
      </c>
      <c r="AE32" s="33">
        <v>2035</v>
      </c>
      <c r="AF32" s="45" t="str">
        <f t="shared" si="4"/>
        <v>*0.93</v>
      </c>
      <c r="AG32" s="43" t="str">
        <f t="shared" si="9"/>
        <v>REZoning_Sol-Win</v>
      </c>
      <c r="AI32" s="33" t="s">
        <v>3363</v>
      </c>
      <c r="AJ32" s="44" t="s">
        <v>57</v>
      </c>
      <c r="AK32" s="33">
        <v>2050</v>
      </c>
      <c r="AL32" s="45" t="str">
        <f t="shared" si="5"/>
        <v>*0.89</v>
      </c>
      <c r="AM32" s="43" t="str">
        <f t="shared" si="10"/>
        <v>REZoning_Sol-Win</v>
      </c>
      <c r="AP32" t="s">
        <v>3363</v>
      </c>
      <c r="AQ32" t="s">
        <v>57</v>
      </c>
      <c r="AR32">
        <f t="shared" si="8"/>
        <v>2100</v>
      </c>
      <c r="AS32" t="s">
        <v>937</v>
      </c>
      <c r="AT32" t="s">
        <v>58</v>
      </c>
    </row>
    <row r="33" ht="29" spans="1:46">
      <c r="A33" s="31" t="s">
        <v>83</v>
      </c>
      <c r="C33" t="s">
        <v>3364</v>
      </c>
      <c r="D33" s="5" t="s">
        <v>57</v>
      </c>
      <c r="E33">
        <v>2035</v>
      </c>
      <c r="F33" s="6" t="str">
        <f t="shared" si="0"/>
        <v>*0.95</v>
      </c>
      <c r="H33" t="s">
        <v>3364</v>
      </c>
      <c r="I33" s="5" t="s">
        <v>57</v>
      </c>
      <c r="J33">
        <v>2050</v>
      </c>
      <c r="K33" s="38" t="str">
        <f t="shared" si="1"/>
        <v>*0.92</v>
      </c>
      <c r="P33" s="32" t="s">
        <v>3364</v>
      </c>
      <c r="Q33" s="42" t="s">
        <v>57</v>
      </c>
      <c r="R33" s="32">
        <v>2035</v>
      </c>
      <c r="S33" s="43" t="str">
        <f t="shared" si="2"/>
        <v>*0.95</v>
      </c>
      <c r="U33" s="32" t="s">
        <v>3364</v>
      </c>
      <c r="V33" s="42" t="s">
        <v>57</v>
      </c>
      <c r="W33" s="32">
        <v>2050</v>
      </c>
      <c r="X33" s="43" t="str">
        <f t="shared" si="3"/>
        <v>*0.92</v>
      </c>
      <c r="AC33" s="33" t="s">
        <v>3364</v>
      </c>
      <c r="AD33" s="44" t="s">
        <v>57</v>
      </c>
      <c r="AE33" s="33">
        <v>2035</v>
      </c>
      <c r="AF33" s="45" t="str">
        <f t="shared" si="4"/>
        <v>*0.93</v>
      </c>
      <c r="AG33" s="43" t="str">
        <f t="shared" si="9"/>
        <v>REZoning_Sol-Win</v>
      </c>
      <c r="AI33" s="33" t="s">
        <v>3364</v>
      </c>
      <c r="AJ33" s="44" t="s">
        <v>57</v>
      </c>
      <c r="AK33" s="33">
        <v>2050</v>
      </c>
      <c r="AL33" s="45" t="str">
        <f t="shared" si="5"/>
        <v>*0.89</v>
      </c>
      <c r="AM33" s="43" t="str">
        <f t="shared" si="10"/>
        <v>REZoning_Sol-Win</v>
      </c>
      <c r="AP33" t="s">
        <v>3364</v>
      </c>
      <c r="AQ33" t="s">
        <v>57</v>
      </c>
      <c r="AR33">
        <f t="shared" si="8"/>
        <v>2100</v>
      </c>
      <c r="AS33" t="s">
        <v>937</v>
      </c>
      <c r="AT33" t="s">
        <v>58</v>
      </c>
    </row>
    <row r="34" ht="29" spans="1:46">
      <c r="A34" s="31" t="s">
        <v>83</v>
      </c>
      <c r="C34" t="s">
        <v>3365</v>
      </c>
      <c r="D34" s="5" t="s">
        <v>57</v>
      </c>
      <c r="E34">
        <v>2035</v>
      </c>
      <c r="F34" s="6" t="str">
        <f t="shared" si="0"/>
        <v>*0.95</v>
      </c>
      <c r="H34" t="s">
        <v>3365</v>
      </c>
      <c r="I34" s="5" t="s">
        <v>57</v>
      </c>
      <c r="J34">
        <v>2050</v>
      </c>
      <c r="K34" s="38" t="str">
        <f t="shared" si="1"/>
        <v>*0.92</v>
      </c>
      <c r="P34" s="32" t="s">
        <v>3365</v>
      </c>
      <c r="Q34" s="42" t="s">
        <v>57</v>
      </c>
      <c r="R34" s="32">
        <v>2035</v>
      </c>
      <c r="S34" s="43" t="str">
        <f t="shared" si="2"/>
        <v>*0.95</v>
      </c>
      <c r="U34" s="32" t="s">
        <v>3365</v>
      </c>
      <c r="V34" s="42" t="s">
        <v>57</v>
      </c>
      <c r="W34" s="32">
        <v>2050</v>
      </c>
      <c r="X34" s="43" t="str">
        <f t="shared" si="3"/>
        <v>*0.92</v>
      </c>
      <c r="AC34" s="33" t="s">
        <v>3365</v>
      </c>
      <c r="AD34" s="44" t="s">
        <v>57</v>
      </c>
      <c r="AE34" s="33">
        <v>2035</v>
      </c>
      <c r="AF34" s="45" t="str">
        <f t="shared" si="4"/>
        <v>*0.93</v>
      </c>
      <c r="AG34" s="43" t="str">
        <f t="shared" si="9"/>
        <v>REZoning_Sol-Win</v>
      </c>
      <c r="AI34" s="33" t="s">
        <v>3365</v>
      </c>
      <c r="AJ34" s="44" t="s">
        <v>57</v>
      </c>
      <c r="AK34" s="33">
        <v>2050</v>
      </c>
      <c r="AL34" s="45" t="str">
        <f t="shared" si="5"/>
        <v>*0.89</v>
      </c>
      <c r="AM34" s="43" t="str">
        <f t="shared" si="10"/>
        <v>REZoning_Sol-Win</v>
      </c>
      <c r="AP34" t="s">
        <v>3365</v>
      </c>
      <c r="AQ34" t="s">
        <v>57</v>
      </c>
      <c r="AR34">
        <f t="shared" si="8"/>
        <v>2100</v>
      </c>
      <c r="AS34" t="s">
        <v>937</v>
      </c>
      <c r="AT34" t="s">
        <v>58</v>
      </c>
    </row>
    <row r="35" ht="29" spans="1:46">
      <c r="A35" s="31" t="s">
        <v>83</v>
      </c>
      <c r="C35" t="s">
        <v>3366</v>
      </c>
      <c r="D35" s="5" t="s">
        <v>57</v>
      </c>
      <c r="E35">
        <v>2035</v>
      </c>
      <c r="F35" s="6" t="str">
        <f t="shared" si="0"/>
        <v>*0.95</v>
      </c>
      <c r="H35" t="s">
        <v>3366</v>
      </c>
      <c r="I35" s="5" t="s">
        <v>57</v>
      </c>
      <c r="J35">
        <v>2050</v>
      </c>
      <c r="K35" s="38" t="str">
        <f t="shared" si="1"/>
        <v>*0.92</v>
      </c>
      <c r="P35" s="32" t="s">
        <v>3366</v>
      </c>
      <c r="Q35" s="42" t="s">
        <v>57</v>
      </c>
      <c r="R35" s="32">
        <v>2035</v>
      </c>
      <c r="S35" s="43" t="str">
        <f t="shared" si="2"/>
        <v>*0.95</v>
      </c>
      <c r="U35" s="32" t="s">
        <v>3366</v>
      </c>
      <c r="V35" s="42" t="s">
        <v>57</v>
      </c>
      <c r="W35" s="32">
        <v>2050</v>
      </c>
      <c r="X35" s="43" t="str">
        <f t="shared" si="3"/>
        <v>*0.92</v>
      </c>
      <c r="AC35" s="33" t="s">
        <v>3366</v>
      </c>
      <c r="AD35" s="44" t="s">
        <v>57</v>
      </c>
      <c r="AE35" s="33">
        <v>2035</v>
      </c>
      <c r="AF35" s="45" t="str">
        <f t="shared" si="4"/>
        <v>*0.93</v>
      </c>
      <c r="AG35" s="43" t="str">
        <f t="shared" si="9"/>
        <v>REZoning_Sol-Win</v>
      </c>
      <c r="AI35" s="33" t="s">
        <v>3366</v>
      </c>
      <c r="AJ35" s="44" t="s">
        <v>57</v>
      </c>
      <c r="AK35" s="33">
        <v>2050</v>
      </c>
      <c r="AL35" s="45" t="str">
        <f t="shared" si="5"/>
        <v>*0.89</v>
      </c>
      <c r="AM35" s="43" t="str">
        <f t="shared" si="10"/>
        <v>REZoning_Sol-Win</v>
      </c>
      <c r="AP35" t="s">
        <v>3366</v>
      </c>
      <c r="AQ35" t="s">
        <v>57</v>
      </c>
      <c r="AR35">
        <f t="shared" si="8"/>
        <v>2100</v>
      </c>
      <c r="AS35" t="s">
        <v>937</v>
      </c>
      <c r="AT35" t="s">
        <v>58</v>
      </c>
    </row>
    <row r="36" ht="29" spans="1:46">
      <c r="A36" s="31" t="s">
        <v>83</v>
      </c>
      <c r="C36" t="s">
        <v>3367</v>
      </c>
      <c r="D36" s="5" t="s">
        <v>57</v>
      </c>
      <c r="E36">
        <v>2035</v>
      </c>
      <c r="F36" s="6" t="str">
        <f t="shared" si="0"/>
        <v>*0.95</v>
      </c>
      <c r="H36" t="s">
        <v>3367</v>
      </c>
      <c r="I36" s="5" t="s">
        <v>57</v>
      </c>
      <c r="J36">
        <v>2050</v>
      </c>
      <c r="K36" s="38" t="str">
        <f t="shared" si="1"/>
        <v>*0.92</v>
      </c>
      <c r="P36" s="32" t="s">
        <v>3367</v>
      </c>
      <c r="Q36" s="42" t="s">
        <v>57</v>
      </c>
      <c r="R36" s="32">
        <v>2035</v>
      </c>
      <c r="S36" s="43" t="str">
        <f t="shared" si="2"/>
        <v>*0.95</v>
      </c>
      <c r="U36" s="32" t="s">
        <v>3367</v>
      </c>
      <c r="V36" s="42" t="s">
        <v>57</v>
      </c>
      <c r="W36" s="32">
        <v>2050</v>
      </c>
      <c r="X36" s="43" t="str">
        <f t="shared" si="3"/>
        <v>*0.92</v>
      </c>
      <c r="AC36" s="33" t="s">
        <v>3367</v>
      </c>
      <c r="AD36" s="44" t="s">
        <v>57</v>
      </c>
      <c r="AE36" s="33">
        <v>2035</v>
      </c>
      <c r="AF36" s="45" t="str">
        <f t="shared" si="4"/>
        <v>*0.93</v>
      </c>
      <c r="AG36" s="43" t="str">
        <f t="shared" si="9"/>
        <v>REZoning_Sol-Win</v>
      </c>
      <c r="AI36" s="33" t="s">
        <v>3367</v>
      </c>
      <c r="AJ36" s="44" t="s">
        <v>57</v>
      </c>
      <c r="AK36" s="33">
        <v>2050</v>
      </c>
      <c r="AL36" s="45" t="str">
        <f t="shared" si="5"/>
        <v>*0.89</v>
      </c>
      <c r="AM36" s="43" t="str">
        <f t="shared" si="10"/>
        <v>REZoning_Sol-Win</v>
      </c>
      <c r="AP36" t="s">
        <v>3367</v>
      </c>
      <c r="AQ36" t="s">
        <v>57</v>
      </c>
      <c r="AR36">
        <f t="shared" si="8"/>
        <v>2100</v>
      </c>
      <c r="AS36" t="s">
        <v>937</v>
      </c>
      <c r="AT36" t="s">
        <v>58</v>
      </c>
    </row>
    <row r="37" ht="29" spans="1:46">
      <c r="A37" s="31" t="s">
        <v>83</v>
      </c>
      <c r="C37" t="s">
        <v>3368</v>
      </c>
      <c r="D37" s="5" t="s">
        <v>57</v>
      </c>
      <c r="E37">
        <v>2035</v>
      </c>
      <c r="F37" s="6" t="str">
        <f t="shared" si="0"/>
        <v>*0.95</v>
      </c>
      <c r="H37" t="s">
        <v>3368</v>
      </c>
      <c r="I37" s="5" t="s">
        <v>57</v>
      </c>
      <c r="J37">
        <v>2050</v>
      </c>
      <c r="K37" s="38" t="str">
        <f t="shared" si="1"/>
        <v>*0.92</v>
      </c>
      <c r="P37" s="32" t="s">
        <v>3368</v>
      </c>
      <c r="Q37" s="42" t="s">
        <v>57</v>
      </c>
      <c r="R37" s="32">
        <v>2035</v>
      </c>
      <c r="S37" s="43" t="str">
        <f t="shared" si="2"/>
        <v>*0.95</v>
      </c>
      <c r="U37" s="32" t="s">
        <v>3368</v>
      </c>
      <c r="V37" s="42" t="s">
        <v>57</v>
      </c>
      <c r="W37" s="32">
        <v>2050</v>
      </c>
      <c r="X37" s="43" t="str">
        <f t="shared" si="3"/>
        <v>*0.92</v>
      </c>
      <c r="AC37" s="33" t="s">
        <v>3368</v>
      </c>
      <c r="AD37" s="44" t="s">
        <v>57</v>
      </c>
      <c r="AE37" s="33">
        <v>2035</v>
      </c>
      <c r="AF37" s="45" t="str">
        <f t="shared" si="4"/>
        <v>*0.93</v>
      </c>
      <c r="AG37" s="43" t="str">
        <f t="shared" si="9"/>
        <v>REZoning_Sol-Win</v>
      </c>
      <c r="AI37" s="33" t="s">
        <v>3368</v>
      </c>
      <c r="AJ37" s="44" t="s">
        <v>57</v>
      </c>
      <c r="AK37" s="33">
        <v>2050</v>
      </c>
      <c r="AL37" s="45" t="str">
        <f t="shared" si="5"/>
        <v>*0.89</v>
      </c>
      <c r="AM37" s="43" t="str">
        <f t="shared" si="10"/>
        <v>REZoning_Sol-Win</v>
      </c>
      <c r="AP37" t="s">
        <v>3368</v>
      </c>
      <c r="AQ37" t="s">
        <v>57</v>
      </c>
      <c r="AR37">
        <f t="shared" si="8"/>
        <v>2100</v>
      </c>
      <c r="AS37" t="s">
        <v>937</v>
      </c>
      <c r="AT37" t="s">
        <v>58</v>
      </c>
    </row>
    <row r="38" ht="29" spans="1:46">
      <c r="A38" s="31" t="s">
        <v>83</v>
      </c>
      <c r="C38" t="s">
        <v>3369</v>
      </c>
      <c r="D38" s="5" t="s">
        <v>57</v>
      </c>
      <c r="E38">
        <v>2035</v>
      </c>
      <c r="F38" s="6" t="str">
        <f t="shared" si="0"/>
        <v>*0.95</v>
      </c>
      <c r="H38" t="s">
        <v>3369</v>
      </c>
      <c r="I38" s="5" t="s">
        <v>57</v>
      </c>
      <c r="J38">
        <v>2050</v>
      </c>
      <c r="K38" s="38" t="str">
        <f t="shared" si="1"/>
        <v>*0.92</v>
      </c>
      <c r="P38" s="32" t="s">
        <v>3369</v>
      </c>
      <c r="Q38" s="42" t="s">
        <v>57</v>
      </c>
      <c r="R38" s="32">
        <v>2035</v>
      </c>
      <c r="S38" s="43" t="str">
        <f t="shared" si="2"/>
        <v>*0.95</v>
      </c>
      <c r="U38" s="32" t="s">
        <v>3369</v>
      </c>
      <c r="V38" s="42" t="s">
        <v>57</v>
      </c>
      <c r="W38" s="32">
        <v>2050</v>
      </c>
      <c r="X38" s="43" t="str">
        <f t="shared" si="3"/>
        <v>*0.92</v>
      </c>
      <c r="AC38" s="33" t="s">
        <v>3369</v>
      </c>
      <c r="AD38" s="44" t="s">
        <v>57</v>
      </c>
      <c r="AE38" s="33">
        <v>2035</v>
      </c>
      <c r="AF38" s="45" t="str">
        <f t="shared" si="4"/>
        <v>*0.93</v>
      </c>
      <c r="AG38" s="43" t="str">
        <f t="shared" si="9"/>
        <v>REZoning_Sol-Win</v>
      </c>
      <c r="AI38" s="33" t="s">
        <v>3369</v>
      </c>
      <c r="AJ38" s="44" t="s">
        <v>57</v>
      </c>
      <c r="AK38" s="33">
        <v>2050</v>
      </c>
      <c r="AL38" s="45" t="str">
        <f t="shared" si="5"/>
        <v>*0.89</v>
      </c>
      <c r="AM38" s="43" t="str">
        <f t="shared" si="10"/>
        <v>REZoning_Sol-Win</v>
      </c>
      <c r="AP38" t="s">
        <v>3369</v>
      </c>
      <c r="AQ38" t="s">
        <v>57</v>
      </c>
      <c r="AR38">
        <f t="shared" si="8"/>
        <v>2100</v>
      </c>
      <c r="AS38" t="s">
        <v>937</v>
      </c>
      <c r="AT38" t="s">
        <v>58</v>
      </c>
    </row>
    <row r="39" ht="29" spans="1:46">
      <c r="A39" s="31" t="s">
        <v>98</v>
      </c>
      <c r="C39" t="s">
        <v>3370</v>
      </c>
      <c r="D39" s="5" t="s">
        <v>57</v>
      </c>
      <c r="E39">
        <v>2035</v>
      </c>
      <c r="F39" s="6" t="str">
        <f t="shared" si="0"/>
        <v>*0.96</v>
      </c>
      <c r="H39" t="s">
        <v>3370</v>
      </c>
      <c r="I39" s="5" t="s">
        <v>57</v>
      </c>
      <c r="J39">
        <v>2050</v>
      </c>
      <c r="K39" s="38" t="str">
        <f t="shared" si="1"/>
        <v>*0.94</v>
      </c>
      <c r="P39" s="32" t="s">
        <v>3370</v>
      </c>
      <c r="Q39" s="42" t="s">
        <v>57</v>
      </c>
      <c r="R39" s="32">
        <v>2035</v>
      </c>
      <c r="S39" s="43" t="str">
        <f t="shared" si="2"/>
        <v>*0.96</v>
      </c>
      <c r="U39" s="32" t="s">
        <v>3370</v>
      </c>
      <c r="V39" s="42" t="s">
        <v>57</v>
      </c>
      <c r="W39" s="32">
        <v>2050</v>
      </c>
      <c r="X39" s="43" t="str">
        <f t="shared" si="3"/>
        <v>*0.93</v>
      </c>
      <c r="AC39" s="33" t="s">
        <v>3370</v>
      </c>
      <c r="AD39" s="44" t="s">
        <v>57</v>
      </c>
      <c r="AE39" s="33">
        <v>2035</v>
      </c>
      <c r="AF39" s="45" t="str">
        <f t="shared" si="4"/>
        <v>*0.92</v>
      </c>
      <c r="AG39" s="43" t="str">
        <f t="shared" si="9"/>
        <v>REZoning_Sol-Win</v>
      </c>
      <c r="AI39" s="33" t="s">
        <v>3370</v>
      </c>
      <c r="AJ39" s="44" t="s">
        <v>57</v>
      </c>
      <c r="AK39" s="33">
        <v>2050</v>
      </c>
      <c r="AL39" s="45" t="str">
        <f t="shared" si="5"/>
        <v>*0.89</v>
      </c>
      <c r="AM39" s="43" t="str">
        <f t="shared" si="10"/>
        <v>REZoning_Sol-Win</v>
      </c>
      <c r="AP39" t="s">
        <v>3370</v>
      </c>
      <c r="AQ39" t="s">
        <v>57</v>
      </c>
      <c r="AR39">
        <f t="shared" si="8"/>
        <v>2100</v>
      </c>
      <c r="AS39" t="s">
        <v>937</v>
      </c>
      <c r="AT39" t="s">
        <v>58</v>
      </c>
    </row>
    <row r="40" ht="29" spans="1:46">
      <c r="A40" s="31" t="s">
        <v>98</v>
      </c>
      <c r="C40" t="s">
        <v>3371</v>
      </c>
      <c r="D40" s="5" t="s">
        <v>57</v>
      </c>
      <c r="E40">
        <v>2035</v>
      </c>
      <c r="F40" s="6" t="str">
        <f t="shared" si="0"/>
        <v>*0.96</v>
      </c>
      <c r="H40" t="s">
        <v>3371</v>
      </c>
      <c r="I40" s="5" t="s">
        <v>57</v>
      </c>
      <c r="J40">
        <v>2050</v>
      </c>
      <c r="K40" s="38" t="str">
        <f t="shared" si="1"/>
        <v>*0.94</v>
      </c>
      <c r="P40" s="32" t="s">
        <v>3371</v>
      </c>
      <c r="Q40" s="42" t="s">
        <v>57</v>
      </c>
      <c r="R40" s="32">
        <v>2035</v>
      </c>
      <c r="S40" s="43" t="str">
        <f t="shared" si="2"/>
        <v>*0.96</v>
      </c>
      <c r="U40" s="32" t="s">
        <v>3371</v>
      </c>
      <c r="V40" s="42" t="s">
        <v>57</v>
      </c>
      <c r="W40" s="32">
        <v>2050</v>
      </c>
      <c r="X40" s="43" t="str">
        <f t="shared" si="3"/>
        <v>*0.93</v>
      </c>
      <c r="AC40" s="33" t="s">
        <v>3371</v>
      </c>
      <c r="AD40" s="44" t="s">
        <v>57</v>
      </c>
      <c r="AE40" s="33">
        <v>2035</v>
      </c>
      <c r="AF40" s="45" t="str">
        <f t="shared" si="4"/>
        <v>*0.92</v>
      </c>
      <c r="AG40" s="43" t="str">
        <f t="shared" si="9"/>
        <v>REZoning_Sol-Win</v>
      </c>
      <c r="AI40" s="33" t="s">
        <v>3371</v>
      </c>
      <c r="AJ40" s="44" t="s">
        <v>57</v>
      </c>
      <c r="AK40" s="33">
        <v>2050</v>
      </c>
      <c r="AL40" s="45" t="str">
        <f t="shared" si="5"/>
        <v>*0.89</v>
      </c>
      <c r="AM40" s="43" t="str">
        <f t="shared" si="10"/>
        <v>REZoning_Sol-Win</v>
      </c>
      <c r="AP40" t="s">
        <v>3371</v>
      </c>
      <c r="AQ40" t="s">
        <v>57</v>
      </c>
      <c r="AR40">
        <f t="shared" si="8"/>
        <v>2100</v>
      </c>
      <c r="AS40" t="s">
        <v>937</v>
      </c>
      <c r="AT40" t="s">
        <v>58</v>
      </c>
    </row>
    <row r="41" ht="29" spans="1:46">
      <c r="A41" s="31" t="s">
        <v>98</v>
      </c>
      <c r="C41" t="s">
        <v>3372</v>
      </c>
      <c r="D41" s="5" t="s">
        <v>57</v>
      </c>
      <c r="E41">
        <v>2035</v>
      </c>
      <c r="F41" s="6" t="str">
        <f t="shared" si="0"/>
        <v>*0.96</v>
      </c>
      <c r="H41" t="s">
        <v>3372</v>
      </c>
      <c r="I41" s="5" t="s">
        <v>57</v>
      </c>
      <c r="J41">
        <v>2050</v>
      </c>
      <c r="K41" s="38" t="str">
        <f t="shared" si="1"/>
        <v>*0.94</v>
      </c>
      <c r="P41" s="32" t="s">
        <v>3372</v>
      </c>
      <c r="Q41" s="42" t="s">
        <v>57</v>
      </c>
      <c r="R41" s="32">
        <v>2035</v>
      </c>
      <c r="S41" s="43" t="str">
        <f t="shared" si="2"/>
        <v>*0.96</v>
      </c>
      <c r="U41" s="32" t="s">
        <v>3372</v>
      </c>
      <c r="V41" s="42" t="s">
        <v>57</v>
      </c>
      <c r="W41" s="32">
        <v>2050</v>
      </c>
      <c r="X41" s="43" t="str">
        <f t="shared" si="3"/>
        <v>*0.93</v>
      </c>
      <c r="AC41" s="33" t="s">
        <v>3372</v>
      </c>
      <c r="AD41" s="44" t="s">
        <v>57</v>
      </c>
      <c r="AE41" s="33">
        <v>2035</v>
      </c>
      <c r="AF41" s="45" t="str">
        <f t="shared" si="4"/>
        <v>*0.92</v>
      </c>
      <c r="AG41" s="43" t="str">
        <f t="shared" si="9"/>
        <v>REZoning_Sol-Win</v>
      </c>
      <c r="AI41" s="33" t="s">
        <v>3372</v>
      </c>
      <c r="AJ41" s="44" t="s">
        <v>57</v>
      </c>
      <c r="AK41" s="33">
        <v>2050</v>
      </c>
      <c r="AL41" s="45" t="str">
        <f t="shared" si="5"/>
        <v>*0.89</v>
      </c>
      <c r="AM41" s="43" t="str">
        <f t="shared" si="10"/>
        <v>REZoning_Sol-Win</v>
      </c>
      <c r="AP41" t="s">
        <v>3372</v>
      </c>
      <c r="AQ41" t="s">
        <v>57</v>
      </c>
      <c r="AR41">
        <f t="shared" si="8"/>
        <v>2100</v>
      </c>
      <c r="AS41" t="s">
        <v>937</v>
      </c>
      <c r="AT41" t="s">
        <v>58</v>
      </c>
    </row>
    <row r="42" ht="29" spans="1:46">
      <c r="A42" s="31" t="s">
        <v>98</v>
      </c>
      <c r="C42" t="s">
        <v>3373</v>
      </c>
      <c r="D42" s="5" t="s">
        <v>57</v>
      </c>
      <c r="E42">
        <v>2035</v>
      </c>
      <c r="F42" s="6" t="str">
        <f t="shared" si="0"/>
        <v>*0.96</v>
      </c>
      <c r="H42" t="s">
        <v>3373</v>
      </c>
      <c r="I42" s="5" t="s">
        <v>57</v>
      </c>
      <c r="J42">
        <v>2050</v>
      </c>
      <c r="K42" s="38" t="str">
        <f t="shared" si="1"/>
        <v>*0.94</v>
      </c>
      <c r="P42" s="32" t="s">
        <v>3373</v>
      </c>
      <c r="Q42" s="42" t="s">
        <v>57</v>
      </c>
      <c r="R42" s="32">
        <v>2035</v>
      </c>
      <c r="S42" s="43" t="str">
        <f t="shared" si="2"/>
        <v>*0.96</v>
      </c>
      <c r="U42" s="32" t="s">
        <v>3373</v>
      </c>
      <c r="V42" s="42" t="s">
        <v>57</v>
      </c>
      <c r="W42" s="32">
        <v>2050</v>
      </c>
      <c r="X42" s="43" t="str">
        <f t="shared" si="3"/>
        <v>*0.93</v>
      </c>
      <c r="AC42" s="33" t="s">
        <v>3373</v>
      </c>
      <c r="AD42" s="44" t="s">
        <v>57</v>
      </c>
      <c r="AE42" s="33">
        <v>2035</v>
      </c>
      <c r="AF42" s="45" t="str">
        <f t="shared" si="4"/>
        <v>*0.92</v>
      </c>
      <c r="AG42" s="43" t="str">
        <f t="shared" si="9"/>
        <v>REZoning_Sol-Win</v>
      </c>
      <c r="AI42" s="33" t="s">
        <v>3373</v>
      </c>
      <c r="AJ42" s="44" t="s">
        <v>57</v>
      </c>
      <c r="AK42" s="33">
        <v>2050</v>
      </c>
      <c r="AL42" s="45" t="str">
        <f t="shared" si="5"/>
        <v>*0.89</v>
      </c>
      <c r="AM42" s="43" t="str">
        <f t="shared" si="10"/>
        <v>REZoning_Sol-Win</v>
      </c>
      <c r="AP42" t="s">
        <v>3373</v>
      </c>
      <c r="AQ42" t="s">
        <v>57</v>
      </c>
      <c r="AR42">
        <f t="shared" si="8"/>
        <v>2100</v>
      </c>
      <c r="AS42" t="s">
        <v>937</v>
      </c>
      <c r="AT42" t="s">
        <v>58</v>
      </c>
    </row>
    <row r="43" ht="29" spans="1:46">
      <c r="A43" s="31" t="s">
        <v>98</v>
      </c>
      <c r="C43" t="s">
        <v>3374</v>
      </c>
      <c r="D43" s="5" t="s">
        <v>57</v>
      </c>
      <c r="E43">
        <v>2035</v>
      </c>
      <c r="F43" s="6" t="str">
        <f t="shared" si="0"/>
        <v>*0.96</v>
      </c>
      <c r="H43" t="s">
        <v>3374</v>
      </c>
      <c r="I43" s="5" t="s">
        <v>57</v>
      </c>
      <c r="J43">
        <v>2050</v>
      </c>
      <c r="K43" s="38" t="str">
        <f t="shared" si="1"/>
        <v>*0.94</v>
      </c>
      <c r="P43" s="32" t="s">
        <v>3374</v>
      </c>
      <c r="Q43" s="42" t="s">
        <v>57</v>
      </c>
      <c r="R43" s="32">
        <v>2035</v>
      </c>
      <c r="S43" s="43" t="str">
        <f t="shared" si="2"/>
        <v>*0.96</v>
      </c>
      <c r="U43" s="32" t="s">
        <v>3374</v>
      </c>
      <c r="V43" s="42" t="s">
        <v>57</v>
      </c>
      <c r="W43" s="32">
        <v>2050</v>
      </c>
      <c r="X43" s="43" t="str">
        <f t="shared" si="3"/>
        <v>*0.93</v>
      </c>
      <c r="AC43" s="33" t="s">
        <v>3374</v>
      </c>
      <c r="AD43" s="44" t="s">
        <v>57</v>
      </c>
      <c r="AE43" s="33">
        <v>2035</v>
      </c>
      <c r="AF43" s="45" t="str">
        <f t="shared" si="4"/>
        <v>*0.92</v>
      </c>
      <c r="AG43" s="43" t="str">
        <f t="shared" si="9"/>
        <v>REZoning_Sol-Win</v>
      </c>
      <c r="AI43" s="33" t="s">
        <v>3374</v>
      </c>
      <c r="AJ43" s="44" t="s">
        <v>57</v>
      </c>
      <c r="AK43" s="33">
        <v>2050</v>
      </c>
      <c r="AL43" s="45" t="str">
        <f t="shared" si="5"/>
        <v>*0.89</v>
      </c>
      <c r="AM43" s="43" t="str">
        <f t="shared" si="10"/>
        <v>REZoning_Sol-Win</v>
      </c>
      <c r="AP43" t="s">
        <v>3374</v>
      </c>
      <c r="AQ43" t="s">
        <v>57</v>
      </c>
      <c r="AR43">
        <f t="shared" si="8"/>
        <v>2100</v>
      </c>
      <c r="AS43" t="s">
        <v>937</v>
      </c>
      <c r="AT43" t="s">
        <v>58</v>
      </c>
    </row>
    <row r="44" ht="29" spans="1:46">
      <c r="A44" s="31" t="s">
        <v>98</v>
      </c>
      <c r="C44" t="s">
        <v>3375</v>
      </c>
      <c r="D44" s="5" t="s">
        <v>57</v>
      </c>
      <c r="E44">
        <v>2035</v>
      </c>
      <c r="F44" s="6" t="str">
        <f t="shared" si="0"/>
        <v>*0.96</v>
      </c>
      <c r="H44" t="s">
        <v>3375</v>
      </c>
      <c r="I44" s="5" t="s">
        <v>57</v>
      </c>
      <c r="J44">
        <v>2050</v>
      </c>
      <c r="K44" s="38" t="str">
        <f t="shared" si="1"/>
        <v>*0.94</v>
      </c>
      <c r="P44" s="32" t="s">
        <v>3375</v>
      </c>
      <c r="Q44" s="42" t="s">
        <v>57</v>
      </c>
      <c r="R44" s="32">
        <v>2035</v>
      </c>
      <c r="S44" s="43" t="str">
        <f t="shared" si="2"/>
        <v>*0.96</v>
      </c>
      <c r="U44" s="32" t="s">
        <v>3375</v>
      </c>
      <c r="V44" s="42" t="s">
        <v>57</v>
      </c>
      <c r="W44" s="32">
        <v>2050</v>
      </c>
      <c r="X44" s="43" t="str">
        <f t="shared" si="3"/>
        <v>*0.93</v>
      </c>
      <c r="AC44" s="33" t="s">
        <v>3375</v>
      </c>
      <c r="AD44" s="44" t="s">
        <v>57</v>
      </c>
      <c r="AE44" s="33">
        <v>2035</v>
      </c>
      <c r="AF44" s="45" t="str">
        <f t="shared" si="4"/>
        <v>*0.92</v>
      </c>
      <c r="AG44" s="43" t="str">
        <f t="shared" si="9"/>
        <v>REZoning_Sol-Win</v>
      </c>
      <c r="AI44" s="33" t="s">
        <v>3375</v>
      </c>
      <c r="AJ44" s="44" t="s">
        <v>57</v>
      </c>
      <c r="AK44" s="33">
        <v>2050</v>
      </c>
      <c r="AL44" s="45" t="str">
        <f t="shared" si="5"/>
        <v>*0.89</v>
      </c>
      <c r="AM44" s="43" t="str">
        <f t="shared" si="10"/>
        <v>REZoning_Sol-Win</v>
      </c>
      <c r="AP44" t="s">
        <v>3375</v>
      </c>
      <c r="AQ44" t="s">
        <v>57</v>
      </c>
      <c r="AR44">
        <f t="shared" si="8"/>
        <v>2100</v>
      </c>
      <c r="AS44" t="s">
        <v>937</v>
      </c>
      <c r="AT44" t="s">
        <v>58</v>
      </c>
    </row>
    <row r="45" ht="29" spans="1:46">
      <c r="A45" s="31" t="s">
        <v>98</v>
      </c>
      <c r="C45" t="s">
        <v>3376</v>
      </c>
      <c r="D45" s="5" t="s">
        <v>57</v>
      </c>
      <c r="E45">
        <v>2035</v>
      </c>
      <c r="F45" s="6" t="str">
        <f t="shared" si="0"/>
        <v>*0.96</v>
      </c>
      <c r="H45" t="s">
        <v>3376</v>
      </c>
      <c r="I45" s="5" t="s">
        <v>57</v>
      </c>
      <c r="J45">
        <v>2050</v>
      </c>
      <c r="K45" s="38" t="str">
        <f t="shared" si="1"/>
        <v>*0.94</v>
      </c>
      <c r="P45" s="32" t="s">
        <v>3376</v>
      </c>
      <c r="Q45" s="42" t="s">
        <v>57</v>
      </c>
      <c r="R45" s="32">
        <v>2035</v>
      </c>
      <c r="S45" s="43" t="str">
        <f t="shared" si="2"/>
        <v>*0.96</v>
      </c>
      <c r="U45" s="32" t="s">
        <v>3376</v>
      </c>
      <c r="V45" s="42" t="s">
        <v>57</v>
      </c>
      <c r="W45" s="32">
        <v>2050</v>
      </c>
      <c r="X45" s="43" t="str">
        <f t="shared" si="3"/>
        <v>*0.93</v>
      </c>
      <c r="AC45" s="33" t="s">
        <v>3376</v>
      </c>
      <c r="AD45" s="44" t="s">
        <v>57</v>
      </c>
      <c r="AE45" s="33">
        <v>2035</v>
      </c>
      <c r="AF45" s="45" t="str">
        <f t="shared" si="4"/>
        <v>*0.92</v>
      </c>
      <c r="AG45" s="43" t="str">
        <f t="shared" si="9"/>
        <v>REZoning_Sol-Win</v>
      </c>
      <c r="AI45" s="33" t="s">
        <v>3376</v>
      </c>
      <c r="AJ45" s="44" t="s">
        <v>57</v>
      </c>
      <c r="AK45" s="33">
        <v>2050</v>
      </c>
      <c r="AL45" s="45" t="str">
        <f t="shared" si="5"/>
        <v>*0.89</v>
      </c>
      <c r="AM45" s="43" t="str">
        <f t="shared" si="10"/>
        <v>REZoning_Sol-Win</v>
      </c>
      <c r="AP45" t="s">
        <v>3376</v>
      </c>
      <c r="AQ45" t="s">
        <v>57</v>
      </c>
      <c r="AR45">
        <f t="shared" si="8"/>
        <v>2100</v>
      </c>
      <c r="AS45" t="s">
        <v>937</v>
      </c>
      <c r="AT45" t="s">
        <v>58</v>
      </c>
    </row>
    <row r="46" ht="29" spans="1:46">
      <c r="A46" s="31" t="s">
        <v>98</v>
      </c>
      <c r="C46" t="s">
        <v>3377</v>
      </c>
      <c r="D46" s="5" t="s">
        <v>57</v>
      </c>
      <c r="E46">
        <v>2035</v>
      </c>
      <c r="F46" s="6" t="str">
        <f t="shared" si="0"/>
        <v>*0.96</v>
      </c>
      <c r="H46" t="s">
        <v>3377</v>
      </c>
      <c r="I46" s="5" t="s">
        <v>57</v>
      </c>
      <c r="J46">
        <v>2050</v>
      </c>
      <c r="K46" s="38" t="str">
        <f t="shared" si="1"/>
        <v>*0.94</v>
      </c>
      <c r="P46" s="32" t="s">
        <v>3377</v>
      </c>
      <c r="Q46" s="42" t="s">
        <v>57</v>
      </c>
      <c r="R46" s="32">
        <v>2035</v>
      </c>
      <c r="S46" s="43" t="str">
        <f t="shared" si="2"/>
        <v>*0.96</v>
      </c>
      <c r="U46" s="32" t="s">
        <v>3377</v>
      </c>
      <c r="V46" s="42" t="s">
        <v>57</v>
      </c>
      <c r="W46" s="32">
        <v>2050</v>
      </c>
      <c r="X46" s="43" t="str">
        <f t="shared" si="3"/>
        <v>*0.93</v>
      </c>
      <c r="AC46" s="33" t="s">
        <v>3377</v>
      </c>
      <c r="AD46" s="44" t="s">
        <v>57</v>
      </c>
      <c r="AE46" s="33">
        <v>2035</v>
      </c>
      <c r="AF46" s="45" t="str">
        <f t="shared" si="4"/>
        <v>*0.92</v>
      </c>
      <c r="AG46" s="43" t="str">
        <f t="shared" si="9"/>
        <v>REZoning_Sol-Win</v>
      </c>
      <c r="AI46" s="33" t="s">
        <v>3377</v>
      </c>
      <c r="AJ46" s="44" t="s">
        <v>57</v>
      </c>
      <c r="AK46" s="33">
        <v>2050</v>
      </c>
      <c r="AL46" s="45" t="str">
        <f t="shared" si="5"/>
        <v>*0.89</v>
      </c>
      <c r="AM46" s="43" t="str">
        <f t="shared" si="10"/>
        <v>REZoning_Sol-Win</v>
      </c>
      <c r="AP46" t="s">
        <v>3377</v>
      </c>
      <c r="AQ46" t="s">
        <v>57</v>
      </c>
      <c r="AR46">
        <f t="shared" si="8"/>
        <v>2100</v>
      </c>
      <c r="AS46" t="s">
        <v>937</v>
      </c>
      <c r="AT46" t="s">
        <v>58</v>
      </c>
    </row>
    <row r="47" ht="29" spans="1:46">
      <c r="A47" s="31" t="s">
        <v>98</v>
      </c>
      <c r="C47" t="s">
        <v>3378</v>
      </c>
      <c r="D47" s="5" t="s">
        <v>57</v>
      </c>
      <c r="E47">
        <v>2035</v>
      </c>
      <c r="F47" s="6" t="str">
        <f t="shared" si="0"/>
        <v>*0.96</v>
      </c>
      <c r="H47" t="s">
        <v>3378</v>
      </c>
      <c r="I47" s="5" t="s">
        <v>57</v>
      </c>
      <c r="J47">
        <v>2050</v>
      </c>
      <c r="K47" s="38" t="str">
        <f t="shared" si="1"/>
        <v>*0.94</v>
      </c>
      <c r="P47" s="32" t="s">
        <v>3378</v>
      </c>
      <c r="Q47" s="42" t="s">
        <v>57</v>
      </c>
      <c r="R47" s="32">
        <v>2035</v>
      </c>
      <c r="S47" s="43" t="str">
        <f t="shared" si="2"/>
        <v>*0.96</v>
      </c>
      <c r="U47" s="32" t="s">
        <v>3378</v>
      </c>
      <c r="V47" s="42" t="s">
        <v>57</v>
      </c>
      <c r="W47" s="32">
        <v>2050</v>
      </c>
      <c r="X47" s="43" t="str">
        <f t="shared" si="3"/>
        <v>*0.93</v>
      </c>
      <c r="AC47" s="33" t="s">
        <v>3378</v>
      </c>
      <c r="AD47" s="44" t="s">
        <v>57</v>
      </c>
      <c r="AE47" s="33">
        <v>2035</v>
      </c>
      <c r="AF47" s="45" t="str">
        <f t="shared" si="4"/>
        <v>*0.92</v>
      </c>
      <c r="AG47" s="43" t="str">
        <f t="shared" si="9"/>
        <v>REZoning_Sol-Win</v>
      </c>
      <c r="AI47" s="33" t="s">
        <v>3378</v>
      </c>
      <c r="AJ47" s="44" t="s">
        <v>57</v>
      </c>
      <c r="AK47" s="33">
        <v>2050</v>
      </c>
      <c r="AL47" s="45" t="str">
        <f t="shared" si="5"/>
        <v>*0.89</v>
      </c>
      <c r="AM47" s="43" t="str">
        <f t="shared" si="10"/>
        <v>REZoning_Sol-Win</v>
      </c>
      <c r="AP47" t="s">
        <v>3378</v>
      </c>
      <c r="AQ47" t="s">
        <v>57</v>
      </c>
      <c r="AR47">
        <f t="shared" si="8"/>
        <v>2100</v>
      </c>
      <c r="AS47" t="s">
        <v>937</v>
      </c>
      <c r="AT47" t="s">
        <v>58</v>
      </c>
    </row>
    <row r="48" ht="29" spans="1:46">
      <c r="A48" s="31" t="s">
        <v>98</v>
      </c>
      <c r="C48" t="s">
        <v>3379</v>
      </c>
      <c r="D48" s="5" t="s">
        <v>57</v>
      </c>
      <c r="E48">
        <v>2035</v>
      </c>
      <c r="F48" s="6" t="str">
        <f t="shared" si="0"/>
        <v>*0.96</v>
      </c>
      <c r="H48" t="s">
        <v>3379</v>
      </c>
      <c r="I48" s="5" t="s">
        <v>57</v>
      </c>
      <c r="J48">
        <v>2050</v>
      </c>
      <c r="K48" s="38" t="str">
        <f t="shared" si="1"/>
        <v>*0.94</v>
      </c>
      <c r="P48" s="32" t="s">
        <v>3379</v>
      </c>
      <c r="Q48" s="42" t="s">
        <v>57</v>
      </c>
      <c r="R48" s="32">
        <v>2035</v>
      </c>
      <c r="S48" s="43" t="str">
        <f t="shared" si="2"/>
        <v>*0.96</v>
      </c>
      <c r="U48" s="32" t="s">
        <v>3379</v>
      </c>
      <c r="V48" s="42" t="s">
        <v>57</v>
      </c>
      <c r="W48" s="32">
        <v>2050</v>
      </c>
      <c r="X48" s="43" t="str">
        <f t="shared" si="3"/>
        <v>*0.93</v>
      </c>
      <c r="AC48" s="33" t="s">
        <v>3379</v>
      </c>
      <c r="AD48" s="44" t="s">
        <v>57</v>
      </c>
      <c r="AE48" s="33">
        <v>2035</v>
      </c>
      <c r="AF48" s="45" t="str">
        <f t="shared" si="4"/>
        <v>*0.92</v>
      </c>
      <c r="AG48" s="43" t="str">
        <f t="shared" si="9"/>
        <v>REZoning_Sol-Win</v>
      </c>
      <c r="AI48" s="33" t="s">
        <v>3379</v>
      </c>
      <c r="AJ48" s="44" t="s">
        <v>57</v>
      </c>
      <c r="AK48" s="33">
        <v>2050</v>
      </c>
      <c r="AL48" s="45" t="str">
        <f t="shared" si="5"/>
        <v>*0.89</v>
      </c>
      <c r="AM48" s="43" t="str">
        <f t="shared" si="10"/>
        <v>REZoning_Sol-Win</v>
      </c>
      <c r="AP48" t="s">
        <v>3379</v>
      </c>
      <c r="AQ48" t="s">
        <v>57</v>
      </c>
      <c r="AR48">
        <f t="shared" si="8"/>
        <v>2100</v>
      </c>
      <c r="AS48" t="s">
        <v>937</v>
      </c>
      <c r="AT48" t="s">
        <v>58</v>
      </c>
    </row>
    <row r="49" ht="29" spans="1:46">
      <c r="A49" s="31" t="s">
        <v>98</v>
      </c>
      <c r="C49" t="s">
        <v>3380</v>
      </c>
      <c r="D49" s="5" t="s">
        <v>57</v>
      </c>
      <c r="E49">
        <v>2035</v>
      </c>
      <c r="F49" s="6" t="str">
        <f t="shared" si="0"/>
        <v>*0.96</v>
      </c>
      <c r="H49" t="s">
        <v>3380</v>
      </c>
      <c r="I49" s="5" t="s">
        <v>57</v>
      </c>
      <c r="J49">
        <v>2050</v>
      </c>
      <c r="K49" s="38" t="str">
        <f t="shared" si="1"/>
        <v>*0.94</v>
      </c>
      <c r="P49" s="32" t="s">
        <v>3380</v>
      </c>
      <c r="Q49" s="42" t="s">
        <v>57</v>
      </c>
      <c r="R49" s="32">
        <v>2035</v>
      </c>
      <c r="S49" s="43" t="str">
        <f t="shared" si="2"/>
        <v>*0.96</v>
      </c>
      <c r="U49" s="32" t="s">
        <v>3380</v>
      </c>
      <c r="V49" s="42" t="s">
        <v>57</v>
      </c>
      <c r="W49" s="32">
        <v>2050</v>
      </c>
      <c r="X49" s="43" t="str">
        <f t="shared" si="3"/>
        <v>*0.93</v>
      </c>
      <c r="AC49" s="33" t="s">
        <v>3380</v>
      </c>
      <c r="AD49" s="44" t="s">
        <v>57</v>
      </c>
      <c r="AE49" s="33">
        <v>2035</v>
      </c>
      <c r="AF49" s="45" t="str">
        <f t="shared" si="4"/>
        <v>*0.92</v>
      </c>
      <c r="AG49" s="43" t="str">
        <f t="shared" si="9"/>
        <v>REZoning_Sol-Win</v>
      </c>
      <c r="AI49" s="33" t="s">
        <v>3380</v>
      </c>
      <c r="AJ49" s="44" t="s">
        <v>57</v>
      </c>
      <c r="AK49" s="33">
        <v>2050</v>
      </c>
      <c r="AL49" s="45" t="str">
        <f t="shared" si="5"/>
        <v>*0.89</v>
      </c>
      <c r="AM49" s="43" t="str">
        <f t="shared" si="10"/>
        <v>REZoning_Sol-Win</v>
      </c>
      <c r="AP49" t="s">
        <v>3380</v>
      </c>
      <c r="AQ49" t="s">
        <v>57</v>
      </c>
      <c r="AR49">
        <f t="shared" si="8"/>
        <v>2100</v>
      </c>
      <c r="AS49" t="s">
        <v>937</v>
      </c>
      <c r="AT49" t="s">
        <v>58</v>
      </c>
    </row>
    <row r="50" ht="29" spans="1:46">
      <c r="A50" s="31" t="s">
        <v>98</v>
      </c>
      <c r="C50" t="s">
        <v>3381</v>
      </c>
      <c r="D50" s="5" t="s">
        <v>57</v>
      </c>
      <c r="E50">
        <v>2035</v>
      </c>
      <c r="F50" s="6" t="str">
        <f t="shared" si="0"/>
        <v>*0.96</v>
      </c>
      <c r="H50" t="s">
        <v>3381</v>
      </c>
      <c r="I50" s="5" t="s">
        <v>57</v>
      </c>
      <c r="J50">
        <v>2050</v>
      </c>
      <c r="K50" s="38" t="str">
        <f t="shared" si="1"/>
        <v>*0.94</v>
      </c>
      <c r="P50" s="32" t="s">
        <v>3381</v>
      </c>
      <c r="Q50" s="42" t="s">
        <v>57</v>
      </c>
      <c r="R50" s="32">
        <v>2035</v>
      </c>
      <c r="S50" s="43" t="str">
        <f t="shared" si="2"/>
        <v>*0.96</v>
      </c>
      <c r="U50" s="32" t="s">
        <v>3381</v>
      </c>
      <c r="V50" s="42" t="s">
        <v>57</v>
      </c>
      <c r="W50" s="32">
        <v>2050</v>
      </c>
      <c r="X50" s="43" t="str">
        <f t="shared" si="3"/>
        <v>*0.93</v>
      </c>
      <c r="AC50" s="33" t="s">
        <v>3381</v>
      </c>
      <c r="AD50" s="44" t="s">
        <v>57</v>
      </c>
      <c r="AE50" s="33">
        <v>2035</v>
      </c>
      <c r="AF50" s="45" t="str">
        <f t="shared" si="4"/>
        <v>*0.92</v>
      </c>
      <c r="AG50" s="43" t="str">
        <f t="shared" si="9"/>
        <v>REZoning_Sol-Win</v>
      </c>
      <c r="AI50" s="33" t="s">
        <v>3381</v>
      </c>
      <c r="AJ50" s="44" t="s">
        <v>57</v>
      </c>
      <c r="AK50" s="33">
        <v>2050</v>
      </c>
      <c r="AL50" s="45" t="str">
        <f t="shared" si="5"/>
        <v>*0.89</v>
      </c>
      <c r="AM50" s="43" t="str">
        <f t="shared" si="10"/>
        <v>REZoning_Sol-Win</v>
      </c>
      <c r="AP50" t="s">
        <v>3381</v>
      </c>
      <c r="AQ50" t="s">
        <v>57</v>
      </c>
      <c r="AR50">
        <f t="shared" si="8"/>
        <v>2100</v>
      </c>
      <c r="AS50" t="s">
        <v>937</v>
      </c>
      <c r="AT50" t="s">
        <v>58</v>
      </c>
    </row>
    <row r="51" ht="29" spans="1:46">
      <c r="A51" s="31" t="s">
        <v>98</v>
      </c>
      <c r="C51" t="s">
        <v>3382</v>
      </c>
      <c r="D51" s="5" t="s">
        <v>57</v>
      </c>
      <c r="E51">
        <v>2035</v>
      </c>
      <c r="F51" s="6" t="str">
        <f t="shared" si="0"/>
        <v>*0.96</v>
      </c>
      <c r="H51" t="s">
        <v>3382</v>
      </c>
      <c r="I51" s="5" t="s">
        <v>57</v>
      </c>
      <c r="J51">
        <v>2050</v>
      </c>
      <c r="K51" s="38" t="str">
        <f t="shared" si="1"/>
        <v>*0.94</v>
      </c>
      <c r="P51" s="32" t="s">
        <v>3382</v>
      </c>
      <c r="Q51" s="42" t="s">
        <v>57</v>
      </c>
      <c r="R51" s="32">
        <v>2035</v>
      </c>
      <c r="S51" s="43" t="str">
        <f t="shared" si="2"/>
        <v>*0.96</v>
      </c>
      <c r="U51" s="32" t="s">
        <v>3382</v>
      </c>
      <c r="V51" s="42" t="s">
        <v>57</v>
      </c>
      <c r="W51" s="32">
        <v>2050</v>
      </c>
      <c r="X51" s="43" t="str">
        <f t="shared" si="3"/>
        <v>*0.93</v>
      </c>
      <c r="AC51" s="33" t="s">
        <v>3382</v>
      </c>
      <c r="AD51" s="44" t="s">
        <v>57</v>
      </c>
      <c r="AE51" s="33">
        <v>2035</v>
      </c>
      <c r="AF51" s="45" t="str">
        <f t="shared" si="4"/>
        <v>*0.92</v>
      </c>
      <c r="AG51" s="43" t="str">
        <f t="shared" si="9"/>
        <v>REZoning_Sol-Win</v>
      </c>
      <c r="AI51" s="33" t="s">
        <v>3382</v>
      </c>
      <c r="AJ51" s="44" t="s">
        <v>57</v>
      </c>
      <c r="AK51" s="33">
        <v>2050</v>
      </c>
      <c r="AL51" s="45" t="str">
        <f t="shared" si="5"/>
        <v>*0.89</v>
      </c>
      <c r="AM51" s="43" t="str">
        <f t="shared" si="10"/>
        <v>REZoning_Sol-Win</v>
      </c>
      <c r="AP51" t="s">
        <v>3382</v>
      </c>
      <c r="AQ51" t="s">
        <v>57</v>
      </c>
      <c r="AR51">
        <f t="shared" si="8"/>
        <v>2100</v>
      </c>
      <c r="AS51" t="s">
        <v>937</v>
      </c>
      <c r="AT51" t="s">
        <v>58</v>
      </c>
    </row>
    <row r="52" ht="29" spans="1:46">
      <c r="A52" s="31" t="s">
        <v>98</v>
      </c>
      <c r="C52" t="s">
        <v>3383</v>
      </c>
      <c r="D52" s="5" t="s">
        <v>57</v>
      </c>
      <c r="E52">
        <v>2035</v>
      </c>
      <c r="F52" s="6" t="str">
        <f t="shared" si="0"/>
        <v>*0.96</v>
      </c>
      <c r="H52" t="s">
        <v>3383</v>
      </c>
      <c r="I52" s="5" t="s">
        <v>57</v>
      </c>
      <c r="J52">
        <v>2050</v>
      </c>
      <c r="K52" s="38" t="str">
        <f t="shared" si="1"/>
        <v>*0.94</v>
      </c>
      <c r="P52" s="32" t="s">
        <v>3383</v>
      </c>
      <c r="Q52" s="42" t="s">
        <v>57</v>
      </c>
      <c r="R52" s="32">
        <v>2035</v>
      </c>
      <c r="S52" s="43" t="str">
        <f t="shared" si="2"/>
        <v>*0.96</v>
      </c>
      <c r="U52" s="32" t="s">
        <v>3383</v>
      </c>
      <c r="V52" s="42" t="s">
        <v>57</v>
      </c>
      <c r="W52" s="32">
        <v>2050</v>
      </c>
      <c r="X52" s="43" t="str">
        <f t="shared" si="3"/>
        <v>*0.93</v>
      </c>
      <c r="AC52" s="33" t="s">
        <v>3383</v>
      </c>
      <c r="AD52" s="44" t="s">
        <v>57</v>
      </c>
      <c r="AE52" s="33">
        <v>2035</v>
      </c>
      <c r="AF52" s="45" t="str">
        <f t="shared" si="4"/>
        <v>*0.92</v>
      </c>
      <c r="AG52" s="43" t="str">
        <f t="shared" si="9"/>
        <v>REZoning_Sol-Win</v>
      </c>
      <c r="AI52" s="33" t="s">
        <v>3383</v>
      </c>
      <c r="AJ52" s="44" t="s">
        <v>57</v>
      </c>
      <c r="AK52" s="33">
        <v>2050</v>
      </c>
      <c r="AL52" s="45" t="str">
        <f t="shared" si="5"/>
        <v>*0.89</v>
      </c>
      <c r="AM52" s="43" t="str">
        <f t="shared" si="10"/>
        <v>REZoning_Sol-Win</v>
      </c>
      <c r="AP52" t="s">
        <v>3383</v>
      </c>
      <c r="AQ52" t="s">
        <v>57</v>
      </c>
      <c r="AR52">
        <f t="shared" si="8"/>
        <v>2100</v>
      </c>
      <c r="AS52" t="s">
        <v>937</v>
      </c>
      <c r="AT52" t="s">
        <v>58</v>
      </c>
    </row>
    <row r="53" ht="29" spans="1:46">
      <c r="A53" s="31" t="s">
        <v>98</v>
      </c>
      <c r="C53" t="s">
        <v>3384</v>
      </c>
      <c r="D53" s="5" t="s">
        <v>57</v>
      </c>
      <c r="E53">
        <v>2035</v>
      </c>
      <c r="F53" s="6" t="str">
        <f t="shared" si="0"/>
        <v>*0.96</v>
      </c>
      <c r="H53" t="s">
        <v>3384</v>
      </c>
      <c r="I53" s="5" t="s">
        <v>57</v>
      </c>
      <c r="J53">
        <v>2050</v>
      </c>
      <c r="K53" s="38" t="str">
        <f t="shared" si="1"/>
        <v>*0.94</v>
      </c>
      <c r="P53" s="32" t="s">
        <v>3384</v>
      </c>
      <c r="Q53" s="42" t="s">
        <v>57</v>
      </c>
      <c r="R53" s="32">
        <v>2035</v>
      </c>
      <c r="S53" s="43" t="str">
        <f t="shared" si="2"/>
        <v>*0.96</v>
      </c>
      <c r="U53" s="32" t="s">
        <v>3384</v>
      </c>
      <c r="V53" s="42" t="s">
        <v>57</v>
      </c>
      <c r="W53" s="32">
        <v>2050</v>
      </c>
      <c r="X53" s="43" t="str">
        <f t="shared" si="3"/>
        <v>*0.93</v>
      </c>
      <c r="AC53" s="33" t="s">
        <v>3384</v>
      </c>
      <c r="AD53" s="44" t="s">
        <v>57</v>
      </c>
      <c r="AE53" s="33">
        <v>2035</v>
      </c>
      <c r="AF53" s="45" t="str">
        <f t="shared" si="4"/>
        <v>*0.92</v>
      </c>
      <c r="AG53" s="43" t="str">
        <f t="shared" si="9"/>
        <v>REZoning_Sol-Win</v>
      </c>
      <c r="AI53" s="33" t="s">
        <v>3384</v>
      </c>
      <c r="AJ53" s="44" t="s">
        <v>57</v>
      </c>
      <c r="AK53" s="33">
        <v>2050</v>
      </c>
      <c r="AL53" s="45" t="str">
        <f t="shared" si="5"/>
        <v>*0.89</v>
      </c>
      <c r="AM53" s="43" t="str">
        <f t="shared" si="10"/>
        <v>REZoning_Sol-Win</v>
      </c>
      <c r="AP53" t="s">
        <v>3384</v>
      </c>
      <c r="AQ53" t="s">
        <v>57</v>
      </c>
      <c r="AR53">
        <f t="shared" si="8"/>
        <v>2100</v>
      </c>
      <c r="AS53" t="s">
        <v>937</v>
      </c>
      <c r="AT53" t="s">
        <v>58</v>
      </c>
    </row>
    <row r="54" ht="29" spans="1:46">
      <c r="A54" s="31" t="s">
        <v>98</v>
      </c>
      <c r="C54" t="s">
        <v>3385</v>
      </c>
      <c r="D54" s="5" t="s">
        <v>57</v>
      </c>
      <c r="E54">
        <v>2035</v>
      </c>
      <c r="F54" s="6" t="str">
        <f t="shared" si="0"/>
        <v>*0.96</v>
      </c>
      <c r="H54" t="s">
        <v>3385</v>
      </c>
      <c r="I54" s="5" t="s">
        <v>57</v>
      </c>
      <c r="J54">
        <v>2050</v>
      </c>
      <c r="K54" s="38" t="str">
        <f t="shared" si="1"/>
        <v>*0.94</v>
      </c>
      <c r="P54" s="32" t="s">
        <v>3385</v>
      </c>
      <c r="Q54" s="42" t="s">
        <v>57</v>
      </c>
      <c r="R54" s="32">
        <v>2035</v>
      </c>
      <c r="S54" s="43" t="str">
        <f t="shared" si="2"/>
        <v>*0.96</v>
      </c>
      <c r="U54" s="32" t="s">
        <v>3385</v>
      </c>
      <c r="V54" s="42" t="s">
        <v>57</v>
      </c>
      <c r="W54" s="32">
        <v>2050</v>
      </c>
      <c r="X54" s="43" t="str">
        <f t="shared" si="3"/>
        <v>*0.93</v>
      </c>
      <c r="AC54" s="33" t="s">
        <v>3385</v>
      </c>
      <c r="AD54" s="44" t="s">
        <v>57</v>
      </c>
      <c r="AE54" s="33">
        <v>2035</v>
      </c>
      <c r="AF54" s="45" t="str">
        <f t="shared" si="4"/>
        <v>*0.92</v>
      </c>
      <c r="AG54" s="43" t="str">
        <f t="shared" si="9"/>
        <v>REZoning_Sol-Win</v>
      </c>
      <c r="AI54" s="33" t="s">
        <v>3385</v>
      </c>
      <c r="AJ54" s="44" t="s">
        <v>57</v>
      </c>
      <c r="AK54" s="33">
        <v>2050</v>
      </c>
      <c r="AL54" s="45" t="str">
        <f t="shared" si="5"/>
        <v>*0.89</v>
      </c>
      <c r="AM54" s="43" t="str">
        <f t="shared" si="10"/>
        <v>REZoning_Sol-Win</v>
      </c>
      <c r="AP54" t="s">
        <v>3385</v>
      </c>
      <c r="AQ54" t="s">
        <v>57</v>
      </c>
      <c r="AR54">
        <f t="shared" si="8"/>
        <v>2100</v>
      </c>
      <c r="AS54" t="s">
        <v>937</v>
      </c>
      <c r="AT54" t="s">
        <v>58</v>
      </c>
    </row>
    <row r="55" ht="29" spans="1:46">
      <c r="A55" s="31" t="s">
        <v>98</v>
      </c>
      <c r="C55" t="s">
        <v>3386</v>
      </c>
      <c r="D55" s="5" t="s">
        <v>57</v>
      </c>
      <c r="E55">
        <v>2035</v>
      </c>
      <c r="F55" s="6" t="str">
        <f t="shared" si="0"/>
        <v>*0.96</v>
      </c>
      <c r="H55" t="s">
        <v>3386</v>
      </c>
      <c r="I55" s="5" t="s">
        <v>57</v>
      </c>
      <c r="J55">
        <v>2050</v>
      </c>
      <c r="K55" s="38" t="str">
        <f t="shared" si="1"/>
        <v>*0.94</v>
      </c>
      <c r="P55" s="32" t="s">
        <v>3386</v>
      </c>
      <c r="Q55" s="42" t="s">
        <v>57</v>
      </c>
      <c r="R55" s="32">
        <v>2035</v>
      </c>
      <c r="S55" s="43" t="str">
        <f t="shared" si="2"/>
        <v>*0.96</v>
      </c>
      <c r="U55" s="32" t="s">
        <v>3386</v>
      </c>
      <c r="V55" s="42" t="s">
        <v>57</v>
      </c>
      <c r="W55" s="32">
        <v>2050</v>
      </c>
      <c r="X55" s="43" t="str">
        <f t="shared" si="3"/>
        <v>*0.93</v>
      </c>
      <c r="AC55" s="33" t="s">
        <v>3386</v>
      </c>
      <c r="AD55" s="44" t="s">
        <v>57</v>
      </c>
      <c r="AE55" s="33">
        <v>2035</v>
      </c>
      <c r="AF55" s="45" t="str">
        <f t="shared" si="4"/>
        <v>*0.92</v>
      </c>
      <c r="AG55" s="43" t="str">
        <f t="shared" si="9"/>
        <v>REZoning_Sol-Win</v>
      </c>
      <c r="AI55" s="33" t="s">
        <v>3386</v>
      </c>
      <c r="AJ55" s="44" t="s">
        <v>57</v>
      </c>
      <c r="AK55" s="33">
        <v>2050</v>
      </c>
      <c r="AL55" s="45" t="str">
        <f t="shared" si="5"/>
        <v>*0.89</v>
      </c>
      <c r="AM55" s="43" t="str">
        <f t="shared" si="10"/>
        <v>REZoning_Sol-Win</v>
      </c>
      <c r="AP55" t="s">
        <v>3386</v>
      </c>
      <c r="AQ55" t="s">
        <v>57</v>
      </c>
      <c r="AR55">
        <f t="shared" si="8"/>
        <v>2100</v>
      </c>
      <c r="AS55" t="s">
        <v>937</v>
      </c>
      <c r="AT55" t="s">
        <v>58</v>
      </c>
    </row>
    <row r="56" ht="29" spans="1:46">
      <c r="A56" s="31" t="s">
        <v>98</v>
      </c>
      <c r="C56" t="s">
        <v>3387</v>
      </c>
      <c r="D56" s="5" t="s">
        <v>57</v>
      </c>
      <c r="E56">
        <v>2035</v>
      </c>
      <c r="F56" s="6" t="str">
        <f t="shared" si="0"/>
        <v>*0.96</v>
      </c>
      <c r="H56" t="s">
        <v>3387</v>
      </c>
      <c r="I56" s="5" t="s">
        <v>57</v>
      </c>
      <c r="J56">
        <v>2050</v>
      </c>
      <c r="K56" s="38" t="str">
        <f t="shared" si="1"/>
        <v>*0.94</v>
      </c>
      <c r="P56" s="32" t="s">
        <v>3387</v>
      </c>
      <c r="Q56" s="42" t="s">
        <v>57</v>
      </c>
      <c r="R56" s="32">
        <v>2035</v>
      </c>
      <c r="S56" s="43" t="str">
        <f t="shared" si="2"/>
        <v>*0.96</v>
      </c>
      <c r="U56" s="32" t="s">
        <v>3387</v>
      </c>
      <c r="V56" s="42" t="s">
        <v>57</v>
      </c>
      <c r="W56" s="32">
        <v>2050</v>
      </c>
      <c r="X56" s="43" t="str">
        <f t="shared" si="3"/>
        <v>*0.93</v>
      </c>
      <c r="AC56" s="33" t="s">
        <v>3387</v>
      </c>
      <c r="AD56" s="44" t="s">
        <v>57</v>
      </c>
      <c r="AE56" s="33">
        <v>2035</v>
      </c>
      <c r="AF56" s="45" t="str">
        <f t="shared" si="4"/>
        <v>*0.92</v>
      </c>
      <c r="AG56" s="43" t="str">
        <f t="shared" si="9"/>
        <v>REZoning_Sol-Win</v>
      </c>
      <c r="AI56" s="33" t="s">
        <v>3387</v>
      </c>
      <c r="AJ56" s="44" t="s">
        <v>57</v>
      </c>
      <c r="AK56" s="33">
        <v>2050</v>
      </c>
      <c r="AL56" s="45" t="str">
        <f t="shared" si="5"/>
        <v>*0.89</v>
      </c>
      <c r="AM56" s="43" t="str">
        <f t="shared" si="10"/>
        <v>REZoning_Sol-Win</v>
      </c>
      <c r="AP56" t="s">
        <v>3387</v>
      </c>
      <c r="AQ56" t="s">
        <v>57</v>
      </c>
      <c r="AR56">
        <f t="shared" si="8"/>
        <v>2100</v>
      </c>
      <c r="AS56" t="s">
        <v>937</v>
      </c>
      <c r="AT56" t="s">
        <v>58</v>
      </c>
    </row>
    <row r="57" ht="29" spans="1:46">
      <c r="A57" s="31" t="s">
        <v>98</v>
      </c>
      <c r="C57" t="s">
        <v>3388</v>
      </c>
      <c r="D57" s="5" t="s">
        <v>57</v>
      </c>
      <c r="E57">
        <v>2035</v>
      </c>
      <c r="F57" s="6" t="str">
        <f t="shared" si="0"/>
        <v>*0.96</v>
      </c>
      <c r="H57" t="s">
        <v>3388</v>
      </c>
      <c r="I57" s="5" t="s">
        <v>57</v>
      </c>
      <c r="J57">
        <v>2050</v>
      </c>
      <c r="K57" s="38" t="str">
        <f t="shared" si="1"/>
        <v>*0.94</v>
      </c>
      <c r="P57" s="32" t="s">
        <v>3388</v>
      </c>
      <c r="Q57" s="42" t="s">
        <v>57</v>
      </c>
      <c r="R57" s="32">
        <v>2035</v>
      </c>
      <c r="S57" s="43" t="str">
        <f t="shared" si="2"/>
        <v>*0.96</v>
      </c>
      <c r="U57" s="32" t="s">
        <v>3388</v>
      </c>
      <c r="V57" s="42" t="s">
        <v>57</v>
      </c>
      <c r="W57" s="32">
        <v>2050</v>
      </c>
      <c r="X57" s="43" t="str">
        <f t="shared" si="3"/>
        <v>*0.93</v>
      </c>
      <c r="AC57" s="33" t="s">
        <v>3388</v>
      </c>
      <c r="AD57" s="44" t="s">
        <v>57</v>
      </c>
      <c r="AE57" s="33">
        <v>2035</v>
      </c>
      <c r="AF57" s="45" t="str">
        <f t="shared" si="4"/>
        <v>*0.92</v>
      </c>
      <c r="AG57" s="43" t="str">
        <f t="shared" si="9"/>
        <v>REZoning_Sol-Win</v>
      </c>
      <c r="AI57" s="33" t="s">
        <v>3388</v>
      </c>
      <c r="AJ57" s="44" t="s">
        <v>57</v>
      </c>
      <c r="AK57" s="33">
        <v>2050</v>
      </c>
      <c r="AL57" s="45" t="str">
        <f t="shared" si="5"/>
        <v>*0.89</v>
      </c>
      <c r="AM57" s="43" t="str">
        <f t="shared" si="10"/>
        <v>REZoning_Sol-Win</v>
      </c>
      <c r="AP57" t="s">
        <v>3388</v>
      </c>
      <c r="AQ57" t="s">
        <v>57</v>
      </c>
      <c r="AR57">
        <f t="shared" si="8"/>
        <v>2100</v>
      </c>
      <c r="AS57" t="s">
        <v>937</v>
      </c>
      <c r="AT57" t="s">
        <v>58</v>
      </c>
    </row>
    <row r="58" ht="29" spans="1:46">
      <c r="A58" s="31" t="s">
        <v>98</v>
      </c>
      <c r="C58" t="s">
        <v>3389</v>
      </c>
      <c r="D58" s="5" t="s">
        <v>57</v>
      </c>
      <c r="E58">
        <v>2035</v>
      </c>
      <c r="F58" s="6" t="str">
        <f t="shared" si="0"/>
        <v>*0.96</v>
      </c>
      <c r="H58" t="s">
        <v>3389</v>
      </c>
      <c r="I58" s="5" t="s">
        <v>57</v>
      </c>
      <c r="J58">
        <v>2050</v>
      </c>
      <c r="K58" s="38" t="str">
        <f t="shared" si="1"/>
        <v>*0.94</v>
      </c>
      <c r="P58" s="32" t="s">
        <v>3389</v>
      </c>
      <c r="Q58" s="42" t="s">
        <v>57</v>
      </c>
      <c r="R58" s="32">
        <v>2035</v>
      </c>
      <c r="S58" s="43" t="str">
        <f t="shared" si="2"/>
        <v>*0.96</v>
      </c>
      <c r="U58" s="32" t="s">
        <v>3389</v>
      </c>
      <c r="V58" s="42" t="s">
        <v>57</v>
      </c>
      <c r="W58" s="32">
        <v>2050</v>
      </c>
      <c r="X58" s="43" t="str">
        <f t="shared" si="3"/>
        <v>*0.93</v>
      </c>
      <c r="AC58" s="33" t="s">
        <v>3389</v>
      </c>
      <c r="AD58" s="44" t="s">
        <v>57</v>
      </c>
      <c r="AE58" s="33">
        <v>2035</v>
      </c>
      <c r="AF58" s="45" t="str">
        <f t="shared" si="4"/>
        <v>*0.92</v>
      </c>
      <c r="AG58" s="43" t="str">
        <f t="shared" si="9"/>
        <v>REZoning_Sol-Win</v>
      </c>
      <c r="AI58" s="33" t="s">
        <v>3389</v>
      </c>
      <c r="AJ58" s="44" t="s">
        <v>57</v>
      </c>
      <c r="AK58" s="33">
        <v>2050</v>
      </c>
      <c r="AL58" s="45" t="str">
        <f t="shared" si="5"/>
        <v>*0.89</v>
      </c>
      <c r="AM58" s="43" t="str">
        <f t="shared" si="10"/>
        <v>REZoning_Sol-Win</v>
      </c>
      <c r="AP58" t="s">
        <v>3389</v>
      </c>
      <c r="AQ58" t="s">
        <v>57</v>
      </c>
      <c r="AR58">
        <f t="shared" si="8"/>
        <v>2100</v>
      </c>
      <c r="AS58" t="s">
        <v>937</v>
      </c>
      <c r="AT58" t="s">
        <v>58</v>
      </c>
    </row>
    <row r="59" ht="29" spans="1:46">
      <c r="A59" s="31" t="s">
        <v>98</v>
      </c>
      <c r="C59" t="s">
        <v>3390</v>
      </c>
      <c r="D59" s="5" t="s">
        <v>57</v>
      </c>
      <c r="E59">
        <v>2035</v>
      </c>
      <c r="F59" s="6" t="str">
        <f t="shared" si="0"/>
        <v>*0.96</v>
      </c>
      <c r="H59" t="s">
        <v>3390</v>
      </c>
      <c r="I59" s="5" t="s">
        <v>57</v>
      </c>
      <c r="J59">
        <v>2050</v>
      </c>
      <c r="K59" s="38" t="str">
        <f t="shared" si="1"/>
        <v>*0.94</v>
      </c>
      <c r="P59" s="32" t="s">
        <v>3390</v>
      </c>
      <c r="Q59" s="42" t="s">
        <v>57</v>
      </c>
      <c r="R59" s="32">
        <v>2035</v>
      </c>
      <c r="S59" s="43" t="str">
        <f t="shared" si="2"/>
        <v>*0.96</v>
      </c>
      <c r="U59" s="32" t="s">
        <v>3390</v>
      </c>
      <c r="V59" s="42" t="s">
        <v>57</v>
      </c>
      <c r="W59" s="32">
        <v>2050</v>
      </c>
      <c r="X59" s="43" t="str">
        <f t="shared" si="3"/>
        <v>*0.93</v>
      </c>
      <c r="AC59" s="33" t="s">
        <v>3390</v>
      </c>
      <c r="AD59" s="44" t="s">
        <v>57</v>
      </c>
      <c r="AE59" s="33">
        <v>2035</v>
      </c>
      <c r="AF59" s="45" t="str">
        <f t="shared" si="4"/>
        <v>*0.92</v>
      </c>
      <c r="AG59" s="43" t="str">
        <f t="shared" si="9"/>
        <v>REZoning_Sol-Win</v>
      </c>
      <c r="AI59" s="33" t="s">
        <v>3390</v>
      </c>
      <c r="AJ59" s="44" t="s">
        <v>57</v>
      </c>
      <c r="AK59" s="33">
        <v>2050</v>
      </c>
      <c r="AL59" s="45" t="str">
        <f t="shared" si="5"/>
        <v>*0.89</v>
      </c>
      <c r="AM59" s="43" t="str">
        <f t="shared" si="10"/>
        <v>REZoning_Sol-Win</v>
      </c>
      <c r="AP59" t="s">
        <v>3390</v>
      </c>
      <c r="AQ59" t="s">
        <v>57</v>
      </c>
      <c r="AR59">
        <f t="shared" si="8"/>
        <v>2100</v>
      </c>
      <c r="AS59" t="s">
        <v>937</v>
      </c>
      <c r="AT59" t="s">
        <v>58</v>
      </c>
    </row>
    <row r="60" ht="29" spans="1:46">
      <c r="A60" s="31" t="s">
        <v>98</v>
      </c>
      <c r="C60" t="s">
        <v>3391</v>
      </c>
      <c r="D60" s="5" t="s">
        <v>57</v>
      </c>
      <c r="E60">
        <v>2035</v>
      </c>
      <c r="F60" s="6" t="str">
        <f t="shared" si="0"/>
        <v>*0.96</v>
      </c>
      <c r="H60" t="s">
        <v>3391</v>
      </c>
      <c r="I60" s="5" t="s">
        <v>57</v>
      </c>
      <c r="J60">
        <v>2050</v>
      </c>
      <c r="K60" s="38" t="str">
        <f t="shared" si="1"/>
        <v>*0.94</v>
      </c>
      <c r="P60" s="32" t="s">
        <v>3391</v>
      </c>
      <c r="Q60" s="42" t="s">
        <v>57</v>
      </c>
      <c r="R60" s="32">
        <v>2035</v>
      </c>
      <c r="S60" s="43" t="str">
        <f t="shared" si="2"/>
        <v>*0.96</v>
      </c>
      <c r="U60" s="32" t="s">
        <v>3391</v>
      </c>
      <c r="V60" s="42" t="s">
        <v>57</v>
      </c>
      <c r="W60" s="32">
        <v>2050</v>
      </c>
      <c r="X60" s="43" t="str">
        <f t="shared" si="3"/>
        <v>*0.93</v>
      </c>
      <c r="AC60" s="33" t="s">
        <v>3391</v>
      </c>
      <c r="AD60" s="44" t="s">
        <v>57</v>
      </c>
      <c r="AE60" s="33">
        <v>2035</v>
      </c>
      <c r="AF60" s="45" t="str">
        <f t="shared" si="4"/>
        <v>*0.92</v>
      </c>
      <c r="AG60" s="43" t="str">
        <f t="shared" si="9"/>
        <v>REZoning_Sol-Win</v>
      </c>
      <c r="AI60" s="33" t="s">
        <v>3391</v>
      </c>
      <c r="AJ60" s="44" t="s">
        <v>57</v>
      </c>
      <c r="AK60" s="33">
        <v>2050</v>
      </c>
      <c r="AL60" s="45" t="str">
        <f t="shared" si="5"/>
        <v>*0.89</v>
      </c>
      <c r="AM60" s="43" t="str">
        <f t="shared" si="10"/>
        <v>REZoning_Sol-Win</v>
      </c>
      <c r="AP60" t="s">
        <v>3391</v>
      </c>
      <c r="AQ60" t="s">
        <v>57</v>
      </c>
      <c r="AR60">
        <f t="shared" si="8"/>
        <v>2100</v>
      </c>
      <c r="AS60" t="s">
        <v>937</v>
      </c>
      <c r="AT60" t="s">
        <v>58</v>
      </c>
    </row>
    <row r="61" ht="29" spans="1:46">
      <c r="A61" s="31" t="s">
        <v>98</v>
      </c>
      <c r="C61" t="s">
        <v>3392</v>
      </c>
      <c r="D61" s="5" t="s">
        <v>57</v>
      </c>
      <c r="E61">
        <v>2035</v>
      </c>
      <c r="F61" s="6" t="str">
        <f t="shared" si="0"/>
        <v>*0.96</v>
      </c>
      <c r="H61" t="s">
        <v>3392</v>
      </c>
      <c r="I61" s="5" t="s">
        <v>57</v>
      </c>
      <c r="J61">
        <v>2050</v>
      </c>
      <c r="K61" s="38" t="str">
        <f t="shared" si="1"/>
        <v>*0.94</v>
      </c>
      <c r="P61" s="32" t="s">
        <v>3392</v>
      </c>
      <c r="Q61" s="42" t="s">
        <v>57</v>
      </c>
      <c r="R61" s="32">
        <v>2035</v>
      </c>
      <c r="S61" s="43" t="str">
        <f t="shared" si="2"/>
        <v>*0.96</v>
      </c>
      <c r="U61" s="32" t="s">
        <v>3392</v>
      </c>
      <c r="V61" s="42" t="s">
        <v>57</v>
      </c>
      <c r="W61" s="32">
        <v>2050</v>
      </c>
      <c r="X61" s="43" t="str">
        <f t="shared" si="3"/>
        <v>*0.93</v>
      </c>
      <c r="AC61" s="33" t="s">
        <v>3392</v>
      </c>
      <c r="AD61" s="44" t="s">
        <v>57</v>
      </c>
      <c r="AE61" s="33">
        <v>2035</v>
      </c>
      <c r="AF61" s="45" t="str">
        <f t="shared" si="4"/>
        <v>*0.92</v>
      </c>
      <c r="AG61" s="43" t="str">
        <f t="shared" si="9"/>
        <v>REZoning_Sol-Win</v>
      </c>
      <c r="AI61" s="33" t="s">
        <v>3392</v>
      </c>
      <c r="AJ61" s="44" t="s">
        <v>57</v>
      </c>
      <c r="AK61" s="33">
        <v>2050</v>
      </c>
      <c r="AL61" s="45" t="str">
        <f t="shared" si="5"/>
        <v>*0.89</v>
      </c>
      <c r="AM61" s="43" t="str">
        <f t="shared" si="10"/>
        <v>REZoning_Sol-Win</v>
      </c>
      <c r="AP61" t="s">
        <v>3392</v>
      </c>
      <c r="AQ61" t="s">
        <v>57</v>
      </c>
      <c r="AR61">
        <f t="shared" si="8"/>
        <v>2100</v>
      </c>
      <c r="AS61" t="s">
        <v>937</v>
      </c>
      <c r="AT61" t="s">
        <v>58</v>
      </c>
    </row>
    <row r="62" ht="29" spans="1:46">
      <c r="A62" s="31" t="s">
        <v>98</v>
      </c>
      <c r="C62" t="s">
        <v>3393</v>
      </c>
      <c r="D62" s="5" t="s">
        <v>57</v>
      </c>
      <c r="E62">
        <v>2035</v>
      </c>
      <c r="F62" s="6" t="str">
        <f t="shared" si="0"/>
        <v>*0.96</v>
      </c>
      <c r="H62" t="s">
        <v>3393</v>
      </c>
      <c r="I62" s="5" t="s">
        <v>57</v>
      </c>
      <c r="J62">
        <v>2050</v>
      </c>
      <c r="K62" s="38" t="str">
        <f t="shared" si="1"/>
        <v>*0.94</v>
      </c>
      <c r="P62" s="32" t="s">
        <v>3393</v>
      </c>
      <c r="Q62" s="42" t="s">
        <v>57</v>
      </c>
      <c r="R62" s="32">
        <v>2035</v>
      </c>
      <c r="S62" s="43" t="str">
        <f t="shared" si="2"/>
        <v>*0.96</v>
      </c>
      <c r="U62" s="32" t="s">
        <v>3393</v>
      </c>
      <c r="V62" s="42" t="s">
        <v>57</v>
      </c>
      <c r="W62" s="32">
        <v>2050</v>
      </c>
      <c r="X62" s="43" t="str">
        <f t="shared" si="3"/>
        <v>*0.93</v>
      </c>
      <c r="AC62" s="33" t="s">
        <v>3393</v>
      </c>
      <c r="AD62" s="44" t="s">
        <v>57</v>
      </c>
      <c r="AE62" s="33">
        <v>2035</v>
      </c>
      <c r="AF62" s="45" t="str">
        <f t="shared" si="4"/>
        <v>*0.92</v>
      </c>
      <c r="AG62" s="43" t="str">
        <f t="shared" si="9"/>
        <v>REZoning_Sol-Win</v>
      </c>
      <c r="AI62" s="33" t="s">
        <v>3393</v>
      </c>
      <c r="AJ62" s="44" t="s">
        <v>57</v>
      </c>
      <c r="AK62" s="33">
        <v>2050</v>
      </c>
      <c r="AL62" s="45" t="str">
        <f t="shared" si="5"/>
        <v>*0.89</v>
      </c>
      <c r="AM62" s="43" t="str">
        <f t="shared" si="10"/>
        <v>REZoning_Sol-Win</v>
      </c>
      <c r="AP62" t="s">
        <v>3393</v>
      </c>
      <c r="AQ62" t="s">
        <v>57</v>
      </c>
      <c r="AR62">
        <f t="shared" si="8"/>
        <v>2100</v>
      </c>
      <c r="AS62" t="s">
        <v>937</v>
      </c>
      <c r="AT62" t="s">
        <v>58</v>
      </c>
    </row>
    <row r="63" ht="29" spans="1:46">
      <c r="A63" s="31" t="s">
        <v>98</v>
      </c>
      <c r="C63" t="s">
        <v>3394</v>
      </c>
      <c r="D63" s="5" t="s">
        <v>57</v>
      </c>
      <c r="E63">
        <v>2035</v>
      </c>
      <c r="F63" s="6" t="str">
        <f t="shared" si="0"/>
        <v>*0.96</v>
      </c>
      <c r="H63" t="s">
        <v>3394</v>
      </c>
      <c r="I63" s="5" t="s">
        <v>57</v>
      </c>
      <c r="J63">
        <v>2050</v>
      </c>
      <c r="K63" s="38" t="str">
        <f t="shared" si="1"/>
        <v>*0.94</v>
      </c>
      <c r="P63" s="32" t="s">
        <v>3394</v>
      </c>
      <c r="Q63" s="42" t="s">
        <v>57</v>
      </c>
      <c r="R63" s="32">
        <v>2035</v>
      </c>
      <c r="S63" s="43" t="str">
        <f t="shared" si="2"/>
        <v>*0.96</v>
      </c>
      <c r="U63" s="32" t="s">
        <v>3394</v>
      </c>
      <c r="V63" s="42" t="s">
        <v>57</v>
      </c>
      <c r="W63" s="32">
        <v>2050</v>
      </c>
      <c r="X63" s="43" t="str">
        <f t="shared" si="3"/>
        <v>*0.93</v>
      </c>
      <c r="AC63" s="33" t="s">
        <v>3394</v>
      </c>
      <c r="AD63" s="44" t="s">
        <v>57</v>
      </c>
      <c r="AE63" s="33">
        <v>2035</v>
      </c>
      <c r="AF63" s="45" t="str">
        <f t="shared" si="4"/>
        <v>*0.92</v>
      </c>
      <c r="AG63" s="43" t="str">
        <f t="shared" si="9"/>
        <v>REZoning_Sol-Win</v>
      </c>
      <c r="AI63" s="33" t="s">
        <v>3394</v>
      </c>
      <c r="AJ63" s="44" t="s">
        <v>57</v>
      </c>
      <c r="AK63" s="33">
        <v>2050</v>
      </c>
      <c r="AL63" s="45" t="str">
        <f t="shared" si="5"/>
        <v>*0.89</v>
      </c>
      <c r="AM63" s="43" t="str">
        <f t="shared" si="10"/>
        <v>REZoning_Sol-Win</v>
      </c>
      <c r="AP63" t="s">
        <v>3394</v>
      </c>
      <c r="AQ63" t="s">
        <v>57</v>
      </c>
      <c r="AR63">
        <f t="shared" si="8"/>
        <v>2100</v>
      </c>
      <c r="AS63" t="s">
        <v>937</v>
      </c>
      <c r="AT63" t="s">
        <v>58</v>
      </c>
    </row>
    <row r="64" ht="29" spans="1:46">
      <c r="A64" s="31" t="s">
        <v>98</v>
      </c>
      <c r="C64" t="s">
        <v>3395</v>
      </c>
      <c r="D64" s="5" t="s">
        <v>57</v>
      </c>
      <c r="E64">
        <v>2035</v>
      </c>
      <c r="F64" s="6" t="str">
        <f t="shared" si="0"/>
        <v>*0.96</v>
      </c>
      <c r="H64" t="s">
        <v>3395</v>
      </c>
      <c r="I64" s="5" t="s">
        <v>57</v>
      </c>
      <c r="J64">
        <v>2050</v>
      </c>
      <c r="K64" s="38" t="str">
        <f t="shared" si="1"/>
        <v>*0.94</v>
      </c>
      <c r="P64" s="32" t="s">
        <v>3395</v>
      </c>
      <c r="Q64" s="42" t="s">
        <v>57</v>
      </c>
      <c r="R64" s="32">
        <v>2035</v>
      </c>
      <c r="S64" s="43" t="str">
        <f t="shared" si="2"/>
        <v>*0.96</v>
      </c>
      <c r="U64" s="32" t="s">
        <v>3395</v>
      </c>
      <c r="V64" s="42" t="s">
        <v>57</v>
      </c>
      <c r="W64" s="32">
        <v>2050</v>
      </c>
      <c r="X64" s="43" t="str">
        <f t="shared" si="3"/>
        <v>*0.93</v>
      </c>
      <c r="AC64" s="33" t="s">
        <v>3395</v>
      </c>
      <c r="AD64" s="44" t="s">
        <v>57</v>
      </c>
      <c r="AE64" s="33">
        <v>2035</v>
      </c>
      <c r="AF64" s="45" t="str">
        <f t="shared" si="4"/>
        <v>*0.92</v>
      </c>
      <c r="AG64" s="43" t="str">
        <f t="shared" si="9"/>
        <v>REZoning_Sol-Win</v>
      </c>
      <c r="AI64" s="33" t="s">
        <v>3395</v>
      </c>
      <c r="AJ64" s="44" t="s">
        <v>57</v>
      </c>
      <c r="AK64" s="33">
        <v>2050</v>
      </c>
      <c r="AL64" s="45" t="str">
        <f t="shared" si="5"/>
        <v>*0.89</v>
      </c>
      <c r="AM64" s="43" t="str">
        <f t="shared" si="10"/>
        <v>REZoning_Sol-Win</v>
      </c>
      <c r="AP64" t="s">
        <v>3395</v>
      </c>
      <c r="AQ64" t="s">
        <v>57</v>
      </c>
      <c r="AR64">
        <f t="shared" si="8"/>
        <v>2100</v>
      </c>
      <c r="AS64" t="s">
        <v>937</v>
      </c>
      <c r="AT64" t="s">
        <v>58</v>
      </c>
    </row>
    <row r="65" ht="29" spans="1:46">
      <c r="A65" s="31" t="s">
        <v>95</v>
      </c>
      <c r="C65" t="s">
        <v>3396</v>
      </c>
      <c r="D65" s="5" t="s">
        <v>57</v>
      </c>
      <c r="E65">
        <v>2035</v>
      </c>
      <c r="F65" s="6" t="str">
        <f t="shared" si="0"/>
        <v>*0.95</v>
      </c>
      <c r="H65" t="s">
        <v>3396</v>
      </c>
      <c r="I65" s="5" t="s">
        <v>57</v>
      </c>
      <c r="J65">
        <v>2050</v>
      </c>
      <c r="K65" s="38" t="str">
        <f t="shared" si="1"/>
        <v>*0.93</v>
      </c>
      <c r="P65" s="32" t="s">
        <v>3396</v>
      </c>
      <c r="Q65" s="42" t="s">
        <v>57</v>
      </c>
      <c r="R65" s="32">
        <v>2035</v>
      </c>
      <c r="S65" s="43" t="str">
        <f t="shared" si="2"/>
        <v>*0.95</v>
      </c>
      <c r="U65" s="32" t="s">
        <v>3396</v>
      </c>
      <c r="V65" s="42" t="s">
        <v>57</v>
      </c>
      <c r="W65" s="32">
        <v>2050</v>
      </c>
      <c r="X65" s="43" t="str">
        <f t="shared" si="3"/>
        <v>*0.91</v>
      </c>
      <c r="AC65" s="33" t="s">
        <v>3396</v>
      </c>
      <c r="AD65" s="44" t="s">
        <v>57</v>
      </c>
      <c r="AE65" s="33">
        <v>2035</v>
      </c>
      <c r="AF65" s="45" t="str">
        <f t="shared" si="4"/>
        <v>*0.91</v>
      </c>
      <c r="AG65" s="43" t="str">
        <f t="shared" si="9"/>
        <v>REZoning_Sol-Win</v>
      </c>
      <c r="AI65" s="33" t="s">
        <v>3396</v>
      </c>
      <c r="AJ65" s="44" t="s">
        <v>57</v>
      </c>
      <c r="AK65" s="33">
        <v>2050</v>
      </c>
      <c r="AL65" s="45" t="str">
        <f t="shared" si="5"/>
        <v>*0.86</v>
      </c>
      <c r="AM65" s="43" t="str">
        <f t="shared" si="10"/>
        <v>REZoning_Sol-Win</v>
      </c>
      <c r="AP65" t="s">
        <v>3396</v>
      </c>
      <c r="AQ65" t="s">
        <v>57</v>
      </c>
      <c r="AR65">
        <f t="shared" si="8"/>
        <v>2100</v>
      </c>
      <c r="AS65" t="s">
        <v>883</v>
      </c>
      <c r="AT65" t="s">
        <v>58</v>
      </c>
    </row>
    <row r="66" ht="29" spans="1:46">
      <c r="A66" s="31" t="s">
        <v>95</v>
      </c>
      <c r="C66" t="s">
        <v>3397</v>
      </c>
      <c r="D66" s="5" t="s">
        <v>57</v>
      </c>
      <c r="E66">
        <v>2035</v>
      </c>
      <c r="F66" s="6" t="str">
        <f t="shared" si="0"/>
        <v>*0.95</v>
      </c>
      <c r="H66" t="s">
        <v>3397</v>
      </c>
      <c r="I66" s="5" t="s">
        <v>57</v>
      </c>
      <c r="J66">
        <v>2050</v>
      </c>
      <c r="K66" s="38" t="str">
        <f t="shared" si="1"/>
        <v>*0.93</v>
      </c>
      <c r="P66" s="32" t="s">
        <v>3397</v>
      </c>
      <c r="Q66" s="42" t="s">
        <v>57</v>
      </c>
      <c r="R66" s="32">
        <v>2035</v>
      </c>
      <c r="S66" s="43" t="str">
        <f t="shared" si="2"/>
        <v>*0.95</v>
      </c>
      <c r="U66" s="32" t="s">
        <v>3397</v>
      </c>
      <c r="V66" s="42" t="s">
        <v>57</v>
      </c>
      <c r="W66" s="32">
        <v>2050</v>
      </c>
      <c r="X66" s="43" t="str">
        <f t="shared" si="3"/>
        <v>*0.91</v>
      </c>
      <c r="AC66" s="33" t="s">
        <v>3397</v>
      </c>
      <c r="AD66" s="44" t="s">
        <v>57</v>
      </c>
      <c r="AE66" s="33">
        <v>2035</v>
      </c>
      <c r="AF66" s="45" t="str">
        <f t="shared" si="4"/>
        <v>*0.91</v>
      </c>
      <c r="AG66" s="43" t="str">
        <f t="shared" si="9"/>
        <v>REZoning_Sol-Win</v>
      </c>
      <c r="AI66" s="33" t="s">
        <v>3397</v>
      </c>
      <c r="AJ66" s="44" t="s">
        <v>57</v>
      </c>
      <c r="AK66" s="33">
        <v>2050</v>
      </c>
      <c r="AL66" s="45" t="str">
        <f t="shared" si="5"/>
        <v>*0.86</v>
      </c>
      <c r="AM66" s="43" t="str">
        <f t="shared" si="10"/>
        <v>REZoning_Sol-Win</v>
      </c>
      <c r="AP66" t="s">
        <v>3397</v>
      </c>
      <c r="AQ66" t="s">
        <v>57</v>
      </c>
      <c r="AR66">
        <f t="shared" si="8"/>
        <v>2100</v>
      </c>
      <c r="AS66" t="s">
        <v>883</v>
      </c>
      <c r="AT66" t="s">
        <v>58</v>
      </c>
    </row>
    <row r="67" ht="29" spans="1:46">
      <c r="A67" s="31" t="s">
        <v>95</v>
      </c>
      <c r="C67" t="s">
        <v>3398</v>
      </c>
      <c r="D67" s="5" t="s">
        <v>57</v>
      </c>
      <c r="E67">
        <v>2035</v>
      </c>
      <c r="F67" s="6" t="str">
        <f t="shared" si="0"/>
        <v>*0.95</v>
      </c>
      <c r="H67" t="s">
        <v>3398</v>
      </c>
      <c r="I67" s="5" t="s">
        <v>57</v>
      </c>
      <c r="J67">
        <v>2050</v>
      </c>
      <c r="K67" s="38" t="str">
        <f t="shared" si="1"/>
        <v>*0.93</v>
      </c>
      <c r="P67" s="32" t="s">
        <v>3398</v>
      </c>
      <c r="Q67" s="42" t="s">
        <v>57</v>
      </c>
      <c r="R67" s="32">
        <v>2035</v>
      </c>
      <c r="S67" s="43" t="str">
        <f t="shared" si="2"/>
        <v>*0.95</v>
      </c>
      <c r="U67" s="32" t="s">
        <v>3398</v>
      </c>
      <c r="V67" s="42" t="s">
        <v>57</v>
      </c>
      <c r="W67" s="32">
        <v>2050</v>
      </c>
      <c r="X67" s="43" t="str">
        <f t="shared" si="3"/>
        <v>*0.91</v>
      </c>
      <c r="AC67" s="33" t="s">
        <v>3398</v>
      </c>
      <c r="AD67" s="44" t="s">
        <v>57</v>
      </c>
      <c r="AE67" s="33">
        <v>2035</v>
      </c>
      <c r="AF67" s="45" t="str">
        <f t="shared" si="4"/>
        <v>*0.91</v>
      </c>
      <c r="AG67" s="43" t="str">
        <f t="shared" si="9"/>
        <v>REZoning_Sol-Win</v>
      </c>
      <c r="AI67" s="33" t="s">
        <v>3398</v>
      </c>
      <c r="AJ67" s="44" t="s">
        <v>57</v>
      </c>
      <c r="AK67" s="33">
        <v>2050</v>
      </c>
      <c r="AL67" s="45" t="str">
        <f t="shared" si="5"/>
        <v>*0.86</v>
      </c>
      <c r="AM67" s="43" t="str">
        <f t="shared" si="10"/>
        <v>REZoning_Sol-Win</v>
      </c>
      <c r="AP67" t="s">
        <v>3398</v>
      </c>
      <c r="AQ67" t="s">
        <v>57</v>
      </c>
      <c r="AR67">
        <f t="shared" si="8"/>
        <v>2100</v>
      </c>
      <c r="AS67" t="s">
        <v>883</v>
      </c>
      <c r="AT67" t="s">
        <v>58</v>
      </c>
    </row>
    <row r="68" ht="29" spans="1:46">
      <c r="A68" s="31" t="s">
        <v>95</v>
      </c>
      <c r="C68" t="s">
        <v>3399</v>
      </c>
      <c r="D68" s="5" t="s">
        <v>57</v>
      </c>
      <c r="E68">
        <v>2035</v>
      </c>
      <c r="F68" s="6" t="str">
        <f t="shared" ref="F68:F131" si="11">"*"&amp;IF(AND(A68="EU",E68=2035),0.95,IF(AND(A68="EU",E68=2050),0.93,IF(AND(A68="USA",E68=2035),0.96,IF(AND(A68="USA",E68=2050),0.94,IF(AND(A68="Japan",E68=2035),0.94,IF(AND(A68="Japan",E68=2050),0.92,IF(AND(A68="Russia",E68=2035),0.95,IF(AND(A68="Russia",E68=2050),0.93,IF(AND(A68="China",E68=2035),0.94,IF(AND(A68="China",E68=2050),0.92,IF(AND(A68="India",E68=2035),0.95,IF(AND(A68="India",E68=2050),0.92,IF(AND(A68="Middle East",E68=2035),0.94,IF(AND(A68="Middle East",E68=2050),0.9,IF(AND(A68="Africa",E68=2035),0.94,IF(AND(A68="Africa",E68=2050),0.91,IF(AND(A68="Brazil",E68=2035),0.95,IF(AND(A68="Brazil",E68=2050),0.92,""))))))))))))))))))</f>
        <v>*0.95</v>
      </c>
      <c r="H68" t="s">
        <v>3399</v>
      </c>
      <c r="I68" s="5" t="s">
        <v>57</v>
      </c>
      <c r="J68">
        <v>2050</v>
      </c>
      <c r="K68" s="38" t="str">
        <f t="shared" ref="K68:K131" si="12">"*"&amp;IF(AND(A68="EU",J68=2035),0.95,IF(AND(A68="EU",J68=2050),0.93,IF(AND(A68="USA",J68=2035),0.96,IF(AND(A68="USA",J68=2050),0.94,IF(AND(A68="Japan",J68=2035),0.94,IF(AND(A68="Japan",J68=2050),0.92,IF(AND(A68="Russia",J68=2035),0.95,IF(AND(A68="Russia",J68=2050),0.93,IF(AND(A68="China",J68=2035),0.94,IF(AND(A68="China",J68=2050),0.92,IF(AND(A68="India",J68=2035),0.95,IF(AND(A68="India",J68=2050),0.92,IF(AND(A68="Middle East",J68=2035),0.94,IF(AND(A68="Middle East",J68=2050),0.9,IF(AND(A68="Africa",J68=2035),0.94,IF(AND(A68="Africa",J68=2050),0.91,IF(AND(A68="Brazil",J68=2035),0.95,IF(AND(A68="Brazil",J68=2050),0.92,""))))))))))))))))))</f>
        <v>*0.93</v>
      </c>
      <c r="P68" s="32" t="s">
        <v>3399</v>
      </c>
      <c r="Q68" s="42" t="s">
        <v>57</v>
      </c>
      <c r="R68" s="32">
        <v>2035</v>
      </c>
      <c r="S68" s="43" t="str">
        <f t="shared" ref="S68:S131" si="13">"*"&amp;IF(AND(A68="EU",R68=2035),0.95,IF(AND(A68="EU",R68=2050),0.93,IF(AND(A68="USA",R68=2035),0.96,IF(AND(A68="USA",R68=2050),0.93,IF(AND(A68="Japan",R68=2035),0.94,IF(AND(A68="Japan",R68=2050),0.92,IF(AND(A68="Russia",R68=2035),0.95,IF(AND(A68="Russia",R68=2050),0.91,IF(AND(A68="China",R68=2035),0.93,IF(AND(A68="China",R68=2050),0.92,IF(AND(A68="India",R68=2035),0.94,IF(AND(A68="India",R68=2050),0.91,IF(AND(A68="Middle East",R68=2035),0.92,IF(AND(A68="Middle East",R68=2050),0.89,IF(AND(A68="Africa",R68=2035),0.93,IF(AND(A68="Africa",R68=2050),0.9,IF(AND(A68="Brazil",R68=2035),0.95,IF(AND(A68="Brazil",R68=2050),0.92,""))))))))))))))))))</f>
        <v>*0.95</v>
      </c>
      <c r="U68" s="32" t="s">
        <v>3399</v>
      </c>
      <c r="V68" s="42" t="s">
        <v>57</v>
      </c>
      <c r="W68" s="32">
        <v>2050</v>
      </c>
      <c r="X68" s="43" t="str">
        <f t="shared" ref="X68:X131" si="14">"*"&amp;IF(AND(A68="EU",W68=2035),0.95,IF(AND(A68="EU",W68=2050),0.93,IF(AND(A68="USA",W68=2035),0.96,IF(AND(A68="USA",W68=2050),0.93,IF(AND(A68="Japan",W68=2035),0.94,IF(AND(A68="Japan",W68=2050),0.92,IF(AND(A68="Russia",W68=2035),0.95,IF(AND(A68="Russia",W68=2050),0.91,IF(AND(A68="China",W68=2035),0.93,IF(AND(A68="China",W68=2050),0.92,IF(AND(A68="India",W68=2035),0.94,IF(AND(A68="India",W68=2050),0.91,IF(AND(A68="Middle East",W68=2035),0.92,IF(AND(A68="Middle East",W68=2050),0.89,IF(AND(A68="Africa",W68=2035),0.93,IF(AND(A68="Africa",W68=2050),0.9,IF(AND(A68="Brazil",W68=2035),0.95,IF(AND(A68="Brazil",W68=2050),0.92,""))))))))))))))))))</f>
        <v>*0.91</v>
      </c>
      <c r="AC68" s="33" t="s">
        <v>3399</v>
      </c>
      <c r="AD68" s="44" t="s">
        <v>57</v>
      </c>
      <c r="AE68" s="33">
        <v>2035</v>
      </c>
      <c r="AF68" s="45" t="str">
        <f t="shared" ref="AF68:AF131" si="15">"*"&amp;IF(AND(A68="EU",AE68=2035),0.93,IF(AND(A68="EU",AE68=2050),0.9,IF(AND(A68="USA",AE68=2035),0.92,IF(AND(A68="USA",AE68=2050),0.89,IF(AND(A68="Japan",AE68=2035),0.92,IF(AND(A68="Japan",AE68=2050),0.89,IF(AND(A68="Russia",AE68=2035),0.91,IF(AND(A68="Russia",AE68=2050),0.86,IF(AND(A68="China",AE68=2035),0.91,IF(AND(A68="China",AE68=2050),0.87,IF(AND(A68="India",AE68=2035),0.92,IF(AND(A68="India",AE68=2050),0.87,IF(AND(A68="Middle East",AE68=2035),0.89,IF(AND(A68="Middle East",AE68=2050),0.84,IF(AND(A68="Africa",AE68=2035),0.9,IF(AND(A68="Africa",AE68=2050),0.86,IF(AND(A68="Brazil",AE68=2035),0.93,IF(AND(A68="Brazil",AE68=2050),0.89,""))))))))))))))))))</f>
        <v>*0.91</v>
      </c>
      <c r="AG68" s="43" t="str">
        <f t="shared" si="9"/>
        <v>REZoning_Sol-Win</v>
      </c>
      <c r="AI68" s="33" t="s">
        <v>3399</v>
      </c>
      <c r="AJ68" s="44" t="s">
        <v>57</v>
      </c>
      <c r="AK68" s="33">
        <v>2050</v>
      </c>
      <c r="AL68" s="45" t="str">
        <f t="shared" ref="AL68:AL131" si="16">"*"&amp;IF(AND(A68="EU",AK68=2035),0.93,IF(AND(A68="EU",AK68=2050),0.9,IF(AND(A68="USA",AK68=2035),0.92,IF(AND(A68="USA",AK68=2050),0.89,IF(AND(A68="Japan",AK68=2035),0.92,IF(AND(A68="Japan",AK68=2050),0.89,IF(AND(A68="Russia",AK68=2035),0.91,IF(AND(A68="Russia",AK68=2050),0.86,IF(AND(A68="China",AK68=2035),0.91,IF(AND(A68="China",AK68=2050),0.87,IF(AND(A68="India",AK68=2035),0.92,IF(AND(A68="India",AK68=2050),0.87,IF(AND(A68="Middle East",AK68=2035),0.89,IF(AND(A68="Middle East",AK68=2050),0.84,IF(AND(A68="Africa",AK68=2035),0.9,IF(AND(A68="Africa",AK68=2050),0.86,IF(AND(A68="Brazil",AK68=2035),0.93,IF(AND(A68="Brazil",AK68=2050),0.89,""))))))))))))))))))</f>
        <v>*0.86</v>
      </c>
      <c r="AM68" s="43" t="str">
        <f t="shared" si="10"/>
        <v>REZoning_Sol-Win</v>
      </c>
      <c r="AP68" t="s">
        <v>3399</v>
      </c>
      <c r="AQ68" t="s">
        <v>57</v>
      </c>
      <c r="AR68">
        <f t="shared" si="8"/>
        <v>2100</v>
      </c>
      <c r="AS68" t="s">
        <v>883</v>
      </c>
      <c r="AT68" t="s">
        <v>58</v>
      </c>
    </row>
    <row r="69" ht="29" spans="1:46">
      <c r="A69" s="31" t="s">
        <v>95</v>
      </c>
      <c r="C69" t="s">
        <v>3400</v>
      </c>
      <c r="D69" s="5" t="s">
        <v>57</v>
      </c>
      <c r="E69">
        <v>2035</v>
      </c>
      <c r="F69" s="6" t="str">
        <f t="shared" si="11"/>
        <v>*0.95</v>
      </c>
      <c r="H69" t="s">
        <v>3400</v>
      </c>
      <c r="I69" s="5" t="s">
        <v>57</v>
      </c>
      <c r="J69">
        <v>2050</v>
      </c>
      <c r="K69" s="38" t="str">
        <f t="shared" si="12"/>
        <v>*0.93</v>
      </c>
      <c r="P69" s="32" t="s">
        <v>3400</v>
      </c>
      <c r="Q69" s="42" t="s">
        <v>57</v>
      </c>
      <c r="R69" s="32">
        <v>2035</v>
      </c>
      <c r="S69" s="43" t="str">
        <f t="shared" si="13"/>
        <v>*0.95</v>
      </c>
      <c r="U69" s="32" t="s">
        <v>3400</v>
      </c>
      <c r="V69" s="42" t="s">
        <v>57</v>
      </c>
      <c r="W69" s="32">
        <v>2050</v>
      </c>
      <c r="X69" s="43" t="str">
        <f t="shared" si="14"/>
        <v>*0.91</v>
      </c>
      <c r="AC69" s="33" t="s">
        <v>3400</v>
      </c>
      <c r="AD69" s="44" t="s">
        <v>57</v>
      </c>
      <c r="AE69" s="33">
        <v>2035</v>
      </c>
      <c r="AF69" s="45" t="str">
        <f t="shared" si="15"/>
        <v>*0.91</v>
      </c>
      <c r="AG69" s="43" t="str">
        <f t="shared" si="9"/>
        <v>REZoning_Sol-Win</v>
      </c>
      <c r="AI69" s="33" t="s">
        <v>3400</v>
      </c>
      <c r="AJ69" s="44" t="s">
        <v>57</v>
      </c>
      <c r="AK69" s="33">
        <v>2050</v>
      </c>
      <c r="AL69" s="45" t="str">
        <f t="shared" si="16"/>
        <v>*0.86</v>
      </c>
      <c r="AM69" s="43" t="str">
        <f t="shared" si="10"/>
        <v>REZoning_Sol-Win</v>
      </c>
      <c r="AP69" t="s">
        <v>3400</v>
      </c>
      <c r="AQ69" t="s">
        <v>57</v>
      </c>
      <c r="AR69">
        <f t="shared" si="8"/>
        <v>2100</v>
      </c>
      <c r="AS69" t="s">
        <v>883</v>
      </c>
      <c r="AT69" t="s">
        <v>58</v>
      </c>
    </row>
    <row r="70" ht="29" spans="1:46">
      <c r="A70" s="31" t="s">
        <v>95</v>
      </c>
      <c r="C70" t="s">
        <v>3401</v>
      </c>
      <c r="D70" s="5" t="s">
        <v>57</v>
      </c>
      <c r="E70">
        <v>2035</v>
      </c>
      <c r="F70" s="6" t="str">
        <f t="shared" si="11"/>
        <v>*0.95</v>
      </c>
      <c r="H70" t="s">
        <v>3401</v>
      </c>
      <c r="I70" s="5" t="s">
        <v>57</v>
      </c>
      <c r="J70">
        <v>2050</v>
      </c>
      <c r="K70" s="38" t="str">
        <f t="shared" si="12"/>
        <v>*0.93</v>
      </c>
      <c r="P70" s="32" t="s">
        <v>3401</v>
      </c>
      <c r="Q70" s="42" t="s">
        <v>57</v>
      </c>
      <c r="R70" s="32">
        <v>2035</v>
      </c>
      <c r="S70" s="43" t="str">
        <f t="shared" si="13"/>
        <v>*0.95</v>
      </c>
      <c r="U70" s="32" t="s">
        <v>3401</v>
      </c>
      <c r="V70" s="42" t="s">
        <v>57</v>
      </c>
      <c r="W70" s="32">
        <v>2050</v>
      </c>
      <c r="X70" s="43" t="str">
        <f t="shared" si="14"/>
        <v>*0.91</v>
      </c>
      <c r="AC70" s="33" t="s">
        <v>3401</v>
      </c>
      <c r="AD70" s="44" t="s">
        <v>57</v>
      </c>
      <c r="AE70" s="33">
        <v>2035</v>
      </c>
      <c r="AF70" s="45" t="str">
        <f t="shared" si="15"/>
        <v>*0.91</v>
      </c>
      <c r="AG70" s="43" t="str">
        <f t="shared" si="9"/>
        <v>REZoning_Sol-Win</v>
      </c>
      <c r="AI70" s="33" t="s">
        <v>3401</v>
      </c>
      <c r="AJ70" s="44" t="s">
        <v>57</v>
      </c>
      <c r="AK70" s="33">
        <v>2050</v>
      </c>
      <c r="AL70" s="45" t="str">
        <f t="shared" si="16"/>
        <v>*0.86</v>
      </c>
      <c r="AM70" s="43" t="str">
        <f t="shared" si="10"/>
        <v>REZoning_Sol-Win</v>
      </c>
      <c r="AP70" t="s">
        <v>3401</v>
      </c>
      <c r="AQ70" t="s">
        <v>57</v>
      </c>
      <c r="AR70">
        <f t="shared" ref="AR70:AR133" si="17">AR69</f>
        <v>2100</v>
      </c>
      <c r="AS70" t="s">
        <v>883</v>
      </c>
      <c r="AT70" t="s">
        <v>58</v>
      </c>
    </row>
    <row r="71" ht="29" spans="1:46">
      <c r="A71" s="31" t="s">
        <v>95</v>
      </c>
      <c r="C71" t="s">
        <v>3402</v>
      </c>
      <c r="D71" s="5" t="s">
        <v>57</v>
      </c>
      <c r="E71">
        <v>2035</v>
      </c>
      <c r="F71" s="6" t="str">
        <f t="shared" si="11"/>
        <v>*0.95</v>
      </c>
      <c r="H71" t="s">
        <v>3402</v>
      </c>
      <c r="I71" s="5" t="s">
        <v>57</v>
      </c>
      <c r="J71">
        <v>2050</v>
      </c>
      <c r="K71" s="38" t="str">
        <f t="shared" si="12"/>
        <v>*0.93</v>
      </c>
      <c r="P71" s="32" t="s">
        <v>3402</v>
      </c>
      <c r="Q71" s="42" t="s">
        <v>57</v>
      </c>
      <c r="R71" s="32">
        <v>2035</v>
      </c>
      <c r="S71" s="43" t="str">
        <f t="shared" si="13"/>
        <v>*0.95</v>
      </c>
      <c r="U71" s="32" t="s">
        <v>3402</v>
      </c>
      <c r="V71" s="42" t="s">
        <v>57</v>
      </c>
      <c r="W71" s="32">
        <v>2050</v>
      </c>
      <c r="X71" s="43" t="str">
        <f t="shared" si="14"/>
        <v>*0.91</v>
      </c>
      <c r="AC71" s="33" t="s">
        <v>3402</v>
      </c>
      <c r="AD71" s="44" t="s">
        <v>57</v>
      </c>
      <c r="AE71" s="33">
        <v>2035</v>
      </c>
      <c r="AF71" s="45" t="str">
        <f t="shared" si="15"/>
        <v>*0.91</v>
      </c>
      <c r="AG71" s="43" t="str">
        <f t="shared" si="9"/>
        <v>REZoning_Sol-Win</v>
      </c>
      <c r="AI71" s="33" t="s">
        <v>3402</v>
      </c>
      <c r="AJ71" s="44" t="s">
        <v>57</v>
      </c>
      <c r="AK71" s="33">
        <v>2050</v>
      </c>
      <c r="AL71" s="45" t="str">
        <f t="shared" si="16"/>
        <v>*0.86</v>
      </c>
      <c r="AM71" s="43" t="str">
        <f t="shared" si="10"/>
        <v>REZoning_Sol-Win</v>
      </c>
      <c r="AP71" t="s">
        <v>3402</v>
      </c>
      <c r="AQ71" t="s">
        <v>57</v>
      </c>
      <c r="AR71">
        <f t="shared" si="17"/>
        <v>2100</v>
      </c>
      <c r="AS71" t="s">
        <v>883</v>
      </c>
      <c r="AT71" t="s">
        <v>58</v>
      </c>
    </row>
    <row r="72" ht="29" spans="1:46">
      <c r="A72" s="31" t="s">
        <v>95</v>
      </c>
      <c r="C72" t="s">
        <v>3403</v>
      </c>
      <c r="D72" s="5" t="s">
        <v>57</v>
      </c>
      <c r="E72">
        <v>2035</v>
      </c>
      <c r="F72" s="6" t="str">
        <f t="shared" si="11"/>
        <v>*0.95</v>
      </c>
      <c r="H72" t="s">
        <v>3403</v>
      </c>
      <c r="I72" s="5" t="s">
        <v>57</v>
      </c>
      <c r="J72">
        <v>2050</v>
      </c>
      <c r="K72" s="38" t="str">
        <f t="shared" si="12"/>
        <v>*0.93</v>
      </c>
      <c r="P72" s="32" t="s">
        <v>3403</v>
      </c>
      <c r="Q72" s="42" t="s">
        <v>57</v>
      </c>
      <c r="R72" s="32">
        <v>2035</v>
      </c>
      <c r="S72" s="43" t="str">
        <f t="shared" si="13"/>
        <v>*0.95</v>
      </c>
      <c r="U72" s="32" t="s">
        <v>3403</v>
      </c>
      <c r="V72" s="42" t="s">
        <v>57</v>
      </c>
      <c r="W72" s="32">
        <v>2050</v>
      </c>
      <c r="X72" s="43" t="str">
        <f t="shared" si="14"/>
        <v>*0.91</v>
      </c>
      <c r="AC72" s="33" t="s">
        <v>3403</v>
      </c>
      <c r="AD72" s="44" t="s">
        <v>57</v>
      </c>
      <c r="AE72" s="33">
        <v>2035</v>
      </c>
      <c r="AF72" s="45" t="str">
        <f t="shared" si="15"/>
        <v>*0.91</v>
      </c>
      <c r="AG72" s="43" t="str">
        <f t="shared" si="9"/>
        <v>REZoning_Sol-Win</v>
      </c>
      <c r="AI72" s="33" t="s">
        <v>3403</v>
      </c>
      <c r="AJ72" s="44" t="s">
        <v>57</v>
      </c>
      <c r="AK72" s="33">
        <v>2050</v>
      </c>
      <c r="AL72" s="45" t="str">
        <f t="shared" si="16"/>
        <v>*0.86</v>
      </c>
      <c r="AM72" s="43" t="str">
        <f t="shared" si="10"/>
        <v>REZoning_Sol-Win</v>
      </c>
      <c r="AP72" t="s">
        <v>3403</v>
      </c>
      <c r="AQ72" t="s">
        <v>57</v>
      </c>
      <c r="AR72">
        <f t="shared" si="17"/>
        <v>2100</v>
      </c>
      <c r="AS72" t="s">
        <v>883</v>
      </c>
      <c r="AT72" t="s">
        <v>58</v>
      </c>
    </row>
    <row r="73" ht="29" spans="1:46">
      <c r="A73" s="31" t="s">
        <v>95</v>
      </c>
      <c r="C73" t="s">
        <v>3404</v>
      </c>
      <c r="D73" s="5" t="s">
        <v>57</v>
      </c>
      <c r="E73">
        <v>2035</v>
      </c>
      <c r="F73" s="6" t="str">
        <f t="shared" si="11"/>
        <v>*0.95</v>
      </c>
      <c r="H73" t="s">
        <v>3404</v>
      </c>
      <c r="I73" s="5" t="s">
        <v>57</v>
      </c>
      <c r="J73">
        <v>2050</v>
      </c>
      <c r="K73" s="38" t="str">
        <f t="shared" si="12"/>
        <v>*0.93</v>
      </c>
      <c r="P73" s="32" t="s">
        <v>3404</v>
      </c>
      <c r="Q73" s="42" t="s">
        <v>57</v>
      </c>
      <c r="R73" s="32">
        <v>2035</v>
      </c>
      <c r="S73" s="43" t="str">
        <f t="shared" si="13"/>
        <v>*0.95</v>
      </c>
      <c r="U73" s="32" t="s">
        <v>3404</v>
      </c>
      <c r="V73" s="42" t="s">
        <v>57</v>
      </c>
      <c r="W73" s="32">
        <v>2050</v>
      </c>
      <c r="X73" s="43" t="str">
        <f t="shared" si="14"/>
        <v>*0.91</v>
      </c>
      <c r="AC73" s="33" t="s">
        <v>3404</v>
      </c>
      <c r="AD73" s="44" t="s">
        <v>57</v>
      </c>
      <c r="AE73" s="33">
        <v>2035</v>
      </c>
      <c r="AF73" s="45" t="str">
        <f t="shared" si="15"/>
        <v>*0.91</v>
      </c>
      <c r="AG73" s="43" t="str">
        <f t="shared" ref="AG73:AG136" si="18">AG72</f>
        <v>REZoning_Sol-Win</v>
      </c>
      <c r="AI73" s="33" t="s">
        <v>3404</v>
      </c>
      <c r="AJ73" s="44" t="s">
        <v>57</v>
      </c>
      <c r="AK73" s="33">
        <v>2050</v>
      </c>
      <c r="AL73" s="45" t="str">
        <f t="shared" si="16"/>
        <v>*0.86</v>
      </c>
      <c r="AM73" s="43" t="str">
        <f t="shared" ref="AM73:AM136" si="19">AM72</f>
        <v>REZoning_Sol-Win</v>
      </c>
      <c r="AP73" t="s">
        <v>3404</v>
      </c>
      <c r="AQ73" t="s">
        <v>57</v>
      </c>
      <c r="AR73">
        <f t="shared" si="17"/>
        <v>2100</v>
      </c>
      <c r="AS73" t="s">
        <v>883</v>
      </c>
      <c r="AT73" t="s">
        <v>58</v>
      </c>
    </row>
    <row r="74" ht="29" spans="1:46">
      <c r="A74" s="31" t="s">
        <v>73</v>
      </c>
      <c r="C74" t="s">
        <v>3405</v>
      </c>
      <c r="D74" s="5" t="s">
        <v>57</v>
      </c>
      <c r="E74">
        <v>2035</v>
      </c>
      <c r="F74" s="6" t="str">
        <f t="shared" si="11"/>
        <v>*0.95</v>
      </c>
      <c r="H74" t="s">
        <v>3405</v>
      </c>
      <c r="I74" s="5" t="s">
        <v>57</v>
      </c>
      <c r="J74">
        <v>2050</v>
      </c>
      <c r="K74" s="38" t="str">
        <f t="shared" si="12"/>
        <v>*0.93</v>
      </c>
      <c r="P74" s="32" t="s">
        <v>3405</v>
      </c>
      <c r="Q74" s="42" t="s">
        <v>57</v>
      </c>
      <c r="R74" s="32">
        <v>2035</v>
      </c>
      <c r="S74" s="43" t="str">
        <f t="shared" si="13"/>
        <v>*0.95</v>
      </c>
      <c r="U74" s="32" t="s">
        <v>3405</v>
      </c>
      <c r="V74" s="42" t="s">
        <v>57</v>
      </c>
      <c r="W74" s="32">
        <v>2050</v>
      </c>
      <c r="X74" s="43" t="str">
        <f t="shared" si="14"/>
        <v>*0.93</v>
      </c>
      <c r="AC74" s="33" t="s">
        <v>3405</v>
      </c>
      <c r="AD74" s="44" t="s">
        <v>57</v>
      </c>
      <c r="AE74" s="33">
        <v>2035</v>
      </c>
      <c r="AF74" s="45" t="str">
        <f t="shared" si="15"/>
        <v>*0.93</v>
      </c>
      <c r="AG74" s="43" t="str">
        <f t="shared" si="18"/>
        <v>REZoning_Sol-Win</v>
      </c>
      <c r="AI74" s="33" t="s">
        <v>3405</v>
      </c>
      <c r="AJ74" s="44" t="s">
        <v>57</v>
      </c>
      <c r="AK74" s="33">
        <v>2050</v>
      </c>
      <c r="AL74" s="45" t="str">
        <f t="shared" si="16"/>
        <v>*0.9</v>
      </c>
      <c r="AM74" s="43" t="str">
        <f t="shared" si="19"/>
        <v>REZoning_Sol-Win</v>
      </c>
      <c r="AP74" t="s">
        <v>3405</v>
      </c>
      <c r="AQ74" t="s">
        <v>57</v>
      </c>
      <c r="AR74">
        <f t="shared" si="17"/>
        <v>2100</v>
      </c>
      <c r="AS74" t="s">
        <v>897</v>
      </c>
      <c r="AT74" t="s">
        <v>58</v>
      </c>
    </row>
    <row r="75" ht="29" spans="1:46">
      <c r="A75" s="31" t="s">
        <v>73</v>
      </c>
      <c r="C75" t="s">
        <v>3406</v>
      </c>
      <c r="D75" s="5" t="s">
        <v>57</v>
      </c>
      <c r="E75">
        <v>2035</v>
      </c>
      <c r="F75" s="6" t="str">
        <f t="shared" si="11"/>
        <v>*0.95</v>
      </c>
      <c r="H75" t="s">
        <v>3406</v>
      </c>
      <c r="I75" s="5" t="s">
        <v>57</v>
      </c>
      <c r="J75">
        <v>2050</v>
      </c>
      <c r="K75" s="38" t="str">
        <f t="shared" si="12"/>
        <v>*0.93</v>
      </c>
      <c r="P75" s="32" t="s">
        <v>3406</v>
      </c>
      <c r="Q75" s="42" t="s">
        <v>57</v>
      </c>
      <c r="R75" s="32">
        <v>2035</v>
      </c>
      <c r="S75" s="43" t="str">
        <f t="shared" si="13"/>
        <v>*0.95</v>
      </c>
      <c r="U75" s="32" t="s">
        <v>3406</v>
      </c>
      <c r="V75" s="42" t="s">
        <v>57</v>
      </c>
      <c r="W75" s="32">
        <v>2050</v>
      </c>
      <c r="X75" s="43" t="str">
        <f t="shared" si="14"/>
        <v>*0.93</v>
      </c>
      <c r="AC75" s="33" t="s">
        <v>3406</v>
      </c>
      <c r="AD75" s="44" t="s">
        <v>57</v>
      </c>
      <c r="AE75" s="33">
        <v>2035</v>
      </c>
      <c r="AF75" s="45" t="str">
        <f t="shared" si="15"/>
        <v>*0.93</v>
      </c>
      <c r="AG75" s="43" t="str">
        <f t="shared" si="18"/>
        <v>REZoning_Sol-Win</v>
      </c>
      <c r="AI75" s="33" t="s">
        <v>3406</v>
      </c>
      <c r="AJ75" s="44" t="s">
        <v>57</v>
      </c>
      <c r="AK75" s="33">
        <v>2050</v>
      </c>
      <c r="AL75" s="45" t="str">
        <f t="shared" si="16"/>
        <v>*0.9</v>
      </c>
      <c r="AM75" s="43" t="str">
        <f t="shared" si="19"/>
        <v>REZoning_Sol-Win</v>
      </c>
      <c r="AP75" t="s">
        <v>3406</v>
      </c>
      <c r="AQ75" t="s">
        <v>57</v>
      </c>
      <c r="AR75">
        <f t="shared" si="17"/>
        <v>2100</v>
      </c>
      <c r="AS75" t="s">
        <v>897</v>
      </c>
      <c r="AT75" t="s">
        <v>58</v>
      </c>
    </row>
    <row r="76" ht="29" spans="1:46">
      <c r="A76" s="31" t="s">
        <v>73</v>
      </c>
      <c r="C76" t="s">
        <v>3407</v>
      </c>
      <c r="D76" s="5" t="s">
        <v>57</v>
      </c>
      <c r="E76">
        <v>2035</v>
      </c>
      <c r="F76" s="6" t="str">
        <f t="shared" si="11"/>
        <v>*0.95</v>
      </c>
      <c r="H76" t="s">
        <v>3407</v>
      </c>
      <c r="I76" s="5" t="s">
        <v>57</v>
      </c>
      <c r="J76">
        <v>2050</v>
      </c>
      <c r="K76" s="38" t="str">
        <f t="shared" si="12"/>
        <v>*0.93</v>
      </c>
      <c r="P76" s="32" t="s">
        <v>3407</v>
      </c>
      <c r="Q76" s="42" t="s">
        <v>57</v>
      </c>
      <c r="R76" s="32">
        <v>2035</v>
      </c>
      <c r="S76" s="43" t="str">
        <f t="shared" si="13"/>
        <v>*0.95</v>
      </c>
      <c r="U76" s="32" t="s">
        <v>3407</v>
      </c>
      <c r="V76" s="42" t="s">
        <v>57</v>
      </c>
      <c r="W76" s="32">
        <v>2050</v>
      </c>
      <c r="X76" s="43" t="str">
        <f t="shared" si="14"/>
        <v>*0.93</v>
      </c>
      <c r="AC76" s="33" t="s">
        <v>3407</v>
      </c>
      <c r="AD76" s="44" t="s">
        <v>57</v>
      </c>
      <c r="AE76" s="33">
        <v>2035</v>
      </c>
      <c r="AF76" s="45" t="str">
        <f t="shared" si="15"/>
        <v>*0.93</v>
      </c>
      <c r="AG76" s="43" t="str">
        <f t="shared" si="18"/>
        <v>REZoning_Sol-Win</v>
      </c>
      <c r="AI76" s="33" t="s">
        <v>3407</v>
      </c>
      <c r="AJ76" s="44" t="s">
        <v>57</v>
      </c>
      <c r="AK76" s="33">
        <v>2050</v>
      </c>
      <c r="AL76" s="45" t="str">
        <f t="shared" si="16"/>
        <v>*0.9</v>
      </c>
      <c r="AM76" s="43" t="str">
        <f t="shared" si="19"/>
        <v>REZoning_Sol-Win</v>
      </c>
      <c r="AP76" t="s">
        <v>3407</v>
      </c>
      <c r="AQ76" t="s">
        <v>57</v>
      </c>
      <c r="AR76">
        <f t="shared" si="17"/>
        <v>2100</v>
      </c>
      <c r="AS76" t="s">
        <v>897</v>
      </c>
      <c r="AT76" t="s">
        <v>58</v>
      </c>
    </row>
    <row r="77" ht="29" spans="1:46">
      <c r="A77" s="31" t="s">
        <v>73</v>
      </c>
      <c r="C77" t="s">
        <v>3408</v>
      </c>
      <c r="D77" s="5" t="s">
        <v>57</v>
      </c>
      <c r="E77">
        <v>2035</v>
      </c>
      <c r="F77" s="6" t="str">
        <f t="shared" si="11"/>
        <v>*0.95</v>
      </c>
      <c r="H77" t="s">
        <v>3408</v>
      </c>
      <c r="I77" s="5" t="s">
        <v>57</v>
      </c>
      <c r="J77">
        <v>2050</v>
      </c>
      <c r="K77" s="38" t="str">
        <f t="shared" si="12"/>
        <v>*0.93</v>
      </c>
      <c r="P77" s="32" t="s">
        <v>3408</v>
      </c>
      <c r="Q77" s="42" t="s">
        <v>57</v>
      </c>
      <c r="R77" s="32">
        <v>2035</v>
      </c>
      <c r="S77" s="43" t="str">
        <f t="shared" si="13"/>
        <v>*0.95</v>
      </c>
      <c r="U77" s="32" t="s">
        <v>3408</v>
      </c>
      <c r="V77" s="42" t="s">
        <v>57</v>
      </c>
      <c r="W77" s="32">
        <v>2050</v>
      </c>
      <c r="X77" s="43" t="str">
        <f t="shared" si="14"/>
        <v>*0.93</v>
      </c>
      <c r="AC77" s="33" t="s">
        <v>3408</v>
      </c>
      <c r="AD77" s="44" t="s">
        <v>57</v>
      </c>
      <c r="AE77" s="33">
        <v>2035</v>
      </c>
      <c r="AF77" s="45" t="str">
        <f t="shared" si="15"/>
        <v>*0.93</v>
      </c>
      <c r="AG77" s="43" t="str">
        <f t="shared" si="18"/>
        <v>REZoning_Sol-Win</v>
      </c>
      <c r="AI77" s="33" t="s">
        <v>3408</v>
      </c>
      <c r="AJ77" s="44" t="s">
        <v>57</v>
      </c>
      <c r="AK77" s="33">
        <v>2050</v>
      </c>
      <c r="AL77" s="45" t="str">
        <f t="shared" si="16"/>
        <v>*0.9</v>
      </c>
      <c r="AM77" s="43" t="str">
        <f t="shared" si="19"/>
        <v>REZoning_Sol-Win</v>
      </c>
      <c r="AP77" t="s">
        <v>3408</v>
      </c>
      <c r="AQ77" t="s">
        <v>57</v>
      </c>
      <c r="AR77">
        <f t="shared" si="17"/>
        <v>2100</v>
      </c>
      <c r="AS77" t="s">
        <v>897</v>
      </c>
      <c r="AT77" t="s">
        <v>58</v>
      </c>
    </row>
    <row r="78" ht="29" spans="1:46">
      <c r="A78" s="31" t="s">
        <v>73</v>
      </c>
      <c r="C78" t="s">
        <v>3409</v>
      </c>
      <c r="D78" s="5" t="s">
        <v>57</v>
      </c>
      <c r="E78">
        <v>2035</v>
      </c>
      <c r="F78" s="6" t="str">
        <f t="shared" si="11"/>
        <v>*0.95</v>
      </c>
      <c r="H78" t="s">
        <v>3409</v>
      </c>
      <c r="I78" s="5" t="s">
        <v>57</v>
      </c>
      <c r="J78">
        <v>2050</v>
      </c>
      <c r="K78" s="38" t="str">
        <f t="shared" si="12"/>
        <v>*0.93</v>
      </c>
      <c r="P78" s="32" t="s">
        <v>3409</v>
      </c>
      <c r="Q78" s="42" t="s">
        <v>57</v>
      </c>
      <c r="R78" s="32">
        <v>2035</v>
      </c>
      <c r="S78" s="43" t="str">
        <f t="shared" si="13"/>
        <v>*0.95</v>
      </c>
      <c r="U78" s="32" t="s">
        <v>3409</v>
      </c>
      <c r="V78" s="42" t="s">
        <v>57</v>
      </c>
      <c r="W78" s="32">
        <v>2050</v>
      </c>
      <c r="X78" s="43" t="str">
        <f t="shared" si="14"/>
        <v>*0.93</v>
      </c>
      <c r="AC78" s="33" t="s">
        <v>3409</v>
      </c>
      <c r="AD78" s="44" t="s">
        <v>57</v>
      </c>
      <c r="AE78" s="33">
        <v>2035</v>
      </c>
      <c r="AF78" s="45" t="str">
        <f t="shared" si="15"/>
        <v>*0.93</v>
      </c>
      <c r="AG78" s="43" t="str">
        <f t="shared" si="18"/>
        <v>REZoning_Sol-Win</v>
      </c>
      <c r="AI78" s="33" t="s">
        <v>3409</v>
      </c>
      <c r="AJ78" s="44" t="s">
        <v>57</v>
      </c>
      <c r="AK78" s="33">
        <v>2050</v>
      </c>
      <c r="AL78" s="45" t="str">
        <f t="shared" si="16"/>
        <v>*0.9</v>
      </c>
      <c r="AM78" s="43" t="str">
        <f t="shared" si="19"/>
        <v>REZoning_Sol-Win</v>
      </c>
      <c r="AP78" t="s">
        <v>3409</v>
      </c>
      <c r="AQ78" t="s">
        <v>57</v>
      </c>
      <c r="AR78">
        <f t="shared" si="17"/>
        <v>2100</v>
      </c>
      <c r="AS78" t="s">
        <v>897</v>
      </c>
      <c r="AT78" t="s">
        <v>58</v>
      </c>
    </row>
    <row r="79" ht="29" spans="1:46">
      <c r="A79" s="31" t="s">
        <v>98</v>
      </c>
      <c r="C79" t="s">
        <v>3410</v>
      </c>
      <c r="D79" s="5" t="s">
        <v>57</v>
      </c>
      <c r="E79">
        <v>2035</v>
      </c>
      <c r="F79" s="6" t="str">
        <f t="shared" si="11"/>
        <v>*0.96</v>
      </c>
      <c r="H79" t="s">
        <v>3410</v>
      </c>
      <c r="I79" s="5" t="s">
        <v>57</v>
      </c>
      <c r="J79">
        <v>2050</v>
      </c>
      <c r="K79" s="38" t="str">
        <f t="shared" si="12"/>
        <v>*0.94</v>
      </c>
      <c r="P79" s="32" t="s">
        <v>3410</v>
      </c>
      <c r="Q79" s="42" t="s">
        <v>57</v>
      </c>
      <c r="R79" s="32">
        <v>2035</v>
      </c>
      <c r="S79" s="43" t="str">
        <f t="shared" si="13"/>
        <v>*0.96</v>
      </c>
      <c r="U79" s="32" t="s">
        <v>3410</v>
      </c>
      <c r="V79" s="42" t="s">
        <v>57</v>
      </c>
      <c r="W79" s="32">
        <v>2050</v>
      </c>
      <c r="X79" s="43" t="str">
        <f t="shared" si="14"/>
        <v>*0.93</v>
      </c>
      <c r="AC79" s="33" t="s">
        <v>3410</v>
      </c>
      <c r="AD79" s="44" t="s">
        <v>57</v>
      </c>
      <c r="AE79" s="33">
        <v>2035</v>
      </c>
      <c r="AF79" s="45" t="str">
        <f t="shared" si="15"/>
        <v>*0.92</v>
      </c>
      <c r="AG79" s="43" t="str">
        <f t="shared" si="18"/>
        <v>REZoning_Sol-Win</v>
      </c>
      <c r="AI79" s="33" t="s">
        <v>3410</v>
      </c>
      <c r="AJ79" s="44" t="s">
        <v>57</v>
      </c>
      <c r="AK79" s="33">
        <v>2050</v>
      </c>
      <c r="AL79" s="45" t="str">
        <f t="shared" si="16"/>
        <v>*0.89</v>
      </c>
      <c r="AM79" s="43" t="str">
        <f t="shared" si="19"/>
        <v>REZoning_Sol-Win</v>
      </c>
      <c r="AP79" t="s">
        <v>3410</v>
      </c>
      <c r="AQ79" t="s">
        <v>57</v>
      </c>
      <c r="AR79">
        <f t="shared" si="17"/>
        <v>2100</v>
      </c>
      <c r="AS79" t="s">
        <v>937</v>
      </c>
      <c r="AT79" t="s">
        <v>58</v>
      </c>
    </row>
    <row r="80" ht="29" spans="1:46">
      <c r="A80" s="31" t="s">
        <v>98</v>
      </c>
      <c r="C80" t="s">
        <v>3411</v>
      </c>
      <c r="D80" s="5" t="s">
        <v>57</v>
      </c>
      <c r="E80">
        <v>2035</v>
      </c>
      <c r="F80" s="6" t="str">
        <f t="shared" si="11"/>
        <v>*0.96</v>
      </c>
      <c r="H80" t="s">
        <v>3411</v>
      </c>
      <c r="I80" s="5" t="s">
        <v>57</v>
      </c>
      <c r="J80">
        <v>2050</v>
      </c>
      <c r="K80" s="38" t="str">
        <f t="shared" si="12"/>
        <v>*0.94</v>
      </c>
      <c r="P80" s="32" t="s">
        <v>3411</v>
      </c>
      <c r="Q80" s="42" t="s">
        <v>57</v>
      </c>
      <c r="R80" s="32">
        <v>2035</v>
      </c>
      <c r="S80" s="43" t="str">
        <f t="shared" si="13"/>
        <v>*0.96</v>
      </c>
      <c r="U80" s="32" t="s">
        <v>3411</v>
      </c>
      <c r="V80" s="42" t="s">
        <v>57</v>
      </c>
      <c r="W80" s="32">
        <v>2050</v>
      </c>
      <c r="X80" s="43" t="str">
        <f t="shared" si="14"/>
        <v>*0.93</v>
      </c>
      <c r="AC80" s="33" t="s">
        <v>3411</v>
      </c>
      <c r="AD80" s="44" t="s">
        <v>57</v>
      </c>
      <c r="AE80" s="33">
        <v>2035</v>
      </c>
      <c r="AF80" s="45" t="str">
        <f t="shared" si="15"/>
        <v>*0.92</v>
      </c>
      <c r="AG80" s="43" t="str">
        <f t="shared" si="18"/>
        <v>REZoning_Sol-Win</v>
      </c>
      <c r="AI80" s="33" t="s">
        <v>3411</v>
      </c>
      <c r="AJ80" s="44" t="s">
        <v>57</v>
      </c>
      <c r="AK80" s="33">
        <v>2050</v>
      </c>
      <c r="AL80" s="45" t="str">
        <f t="shared" si="16"/>
        <v>*0.89</v>
      </c>
      <c r="AM80" s="43" t="str">
        <f t="shared" si="19"/>
        <v>REZoning_Sol-Win</v>
      </c>
      <c r="AP80" t="s">
        <v>3411</v>
      </c>
      <c r="AQ80" t="s">
        <v>57</v>
      </c>
      <c r="AR80">
        <f t="shared" si="17"/>
        <v>2100</v>
      </c>
      <c r="AS80" t="s">
        <v>937</v>
      </c>
      <c r="AT80" t="s">
        <v>58</v>
      </c>
    </row>
    <row r="81" ht="29" spans="1:46">
      <c r="A81" s="31" t="s">
        <v>98</v>
      </c>
      <c r="C81" t="s">
        <v>3412</v>
      </c>
      <c r="D81" s="5" t="s">
        <v>57</v>
      </c>
      <c r="E81">
        <v>2035</v>
      </c>
      <c r="F81" s="6" t="str">
        <f t="shared" si="11"/>
        <v>*0.96</v>
      </c>
      <c r="H81" t="s">
        <v>3412</v>
      </c>
      <c r="I81" s="5" t="s">
        <v>57</v>
      </c>
      <c r="J81">
        <v>2050</v>
      </c>
      <c r="K81" s="38" t="str">
        <f t="shared" si="12"/>
        <v>*0.94</v>
      </c>
      <c r="P81" s="32" t="s">
        <v>3412</v>
      </c>
      <c r="Q81" s="42" t="s">
        <v>57</v>
      </c>
      <c r="R81" s="32">
        <v>2035</v>
      </c>
      <c r="S81" s="43" t="str">
        <f t="shared" si="13"/>
        <v>*0.96</v>
      </c>
      <c r="U81" s="32" t="s">
        <v>3412</v>
      </c>
      <c r="V81" s="42" t="s">
        <v>57</v>
      </c>
      <c r="W81" s="32">
        <v>2050</v>
      </c>
      <c r="X81" s="43" t="str">
        <f t="shared" si="14"/>
        <v>*0.93</v>
      </c>
      <c r="AC81" s="33" t="s">
        <v>3412</v>
      </c>
      <c r="AD81" s="44" t="s">
        <v>57</v>
      </c>
      <c r="AE81" s="33">
        <v>2035</v>
      </c>
      <c r="AF81" s="45" t="str">
        <f t="shared" si="15"/>
        <v>*0.92</v>
      </c>
      <c r="AG81" s="43" t="str">
        <f t="shared" si="18"/>
        <v>REZoning_Sol-Win</v>
      </c>
      <c r="AI81" s="33" t="s">
        <v>3412</v>
      </c>
      <c r="AJ81" s="44" t="s">
        <v>57</v>
      </c>
      <c r="AK81" s="33">
        <v>2050</v>
      </c>
      <c r="AL81" s="45" t="str">
        <f t="shared" si="16"/>
        <v>*0.89</v>
      </c>
      <c r="AM81" s="43" t="str">
        <f t="shared" si="19"/>
        <v>REZoning_Sol-Win</v>
      </c>
      <c r="AP81" t="s">
        <v>3412</v>
      </c>
      <c r="AQ81" t="s">
        <v>57</v>
      </c>
      <c r="AR81">
        <f t="shared" si="17"/>
        <v>2100</v>
      </c>
      <c r="AS81" t="s">
        <v>937</v>
      </c>
      <c r="AT81" t="s">
        <v>58</v>
      </c>
    </row>
    <row r="82" ht="29" spans="1:46">
      <c r="A82" s="31" t="s">
        <v>98</v>
      </c>
      <c r="C82" t="s">
        <v>3413</v>
      </c>
      <c r="D82" s="5" t="s">
        <v>57</v>
      </c>
      <c r="E82">
        <v>2035</v>
      </c>
      <c r="F82" s="6" t="str">
        <f t="shared" si="11"/>
        <v>*0.96</v>
      </c>
      <c r="H82" t="s">
        <v>3413</v>
      </c>
      <c r="I82" s="5" t="s">
        <v>57</v>
      </c>
      <c r="J82">
        <v>2050</v>
      </c>
      <c r="K82" s="38" t="str">
        <f t="shared" si="12"/>
        <v>*0.94</v>
      </c>
      <c r="P82" s="32" t="s">
        <v>3413</v>
      </c>
      <c r="Q82" s="42" t="s">
        <v>57</v>
      </c>
      <c r="R82" s="32">
        <v>2035</v>
      </c>
      <c r="S82" s="43" t="str">
        <f t="shared" si="13"/>
        <v>*0.96</v>
      </c>
      <c r="U82" s="32" t="s">
        <v>3413</v>
      </c>
      <c r="V82" s="42" t="s">
        <v>57</v>
      </c>
      <c r="W82" s="32">
        <v>2050</v>
      </c>
      <c r="X82" s="43" t="str">
        <f t="shared" si="14"/>
        <v>*0.93</v>
      </c>
      <c r="AC82" s="33" t="s">
        <v>3413</v>
      </c>
      <c r="AD82" s="44" t="s">
        <v>57</v>
      </c>
      <c r="AE82" s="33">
        <v>2035</v>
      </c>
      <c r="AF82" s="45" t="str">
        <f t="shared" si="15"/>
        <v>*0.92</v>
      </c>
      <c r="AG82" s="43" t="str">
        <f t="shared" si="18"/>
        <v>REZoning_Sol-Win</v>
      </c>
      <c r="AI82" s="33" t="s">
        <v>3413</v>
      </c>
      <c r="AJ82" s="44" t="s">
        <v>57</v>
      </c>
      <c r="AK82" s="33">
        <v>2050</v>
      </c>
      <c r="AL82" s="45" t="str">
        <f t="shared" si="16"/>
        <v>*0.89</v>
      </c>
      <c r="AM82" s="43" t="str">
        <f t="shared" si="19"/>
        <v>REZoning_Sol-Win</v>
      </c>
      <c r="AP82" t="s">
        <v>3413</v>
      </c>
      <c r="AQ82" t="s">
        <v>57</v>
      </c>
      <c r="AR82">
        <f t="shared" si="17"/>
        <v>2100</v>
      </c>
      <c r="AS82" t="s">
        <v>937</v>
      </c>
      <c r="AT82" t="s">
        <v>58</v>
      </c>
    </row>
    <row r="83" ht="29" spans="1:46">
      <c r="A83" s="31" t="s">
        <v>98</v>
      </c>
      <c r="C83" t="s">
        <v>3414</v>
      </c>
      <c r="D83" s="5" t="s">
        <v>57</v>
      </c>
      <c r="E83">
        <v>2035</v>
      </c>
      <c r="F83" s="6" t="str">
        <f t="shared" si="11"/>
        <v>*0.96</v>
      </c>
      <c r="H83" t="s">
        <v>3414</v>
      </c>
      <c r="I83" s="5" t="s">
        <v>57</v>
      </c>
      <c r="J83">
        <v>2050</v>
      </c>
      <c r="K83" s="38" t="str">
        <f t="shared" si="12"/>
        <v>*0.94</v>
      </c>
      <c r="P83" s="32" t="s">
        <v>3414</v>
      </c>
      <c r="Q83" s="42" t="s">
        <v>57</v>
      </c>
      <c r="R83" s="32">
        <v>2035</v>
      </c>
      <c r="S83" s="43" t="str">
        <f t="shared" si="13"/>
        <v>*0.96</v>
      </c>
      <c r="U83" s="32" t="s">
        <v>3414</v>
      </c>
      <c r="V83" s="42" t="s">
        <v>57</v>
      </c>
      <c r="W83" s="32">
        <v>2050</v>
      </c>
      <c r="X83" s="43" t="str">
        <f t="shared" si="14"/>
        <v>*0.93</v>
      </c>
      <c r="AC83" s="33" t="s">
        <v>3414</v>
      </c>
      <c r="AD83" s="44" t="s">
        <v>57</v>
      </c>
      <c r="AE83" s="33">
        <v>2035</v>
      </c>
      <c r="AF83" s="45" t="str">
        <f t="shared" si="15"/>
        <v>*0.92</v>
      </c>
      <c r="AG83" s="43" t="str">
        <f t="shared" si="18"/>
        <v>REZoning_Sol-Win</v>
      </c>
      <c r="AI83" s="33" t="s">
        <v>3414</v>
      </c>
      <c r="AJ83" s="44" t="s">
        <v>57</v>
      </c>
      <c r="AK83" s="33">
        <v>2050</v>
      </c>
      <c r="AL83" s="45" t="str">
        <f t="shared" si="16"/>
        <v>*0.89</v>
      </c>
      <c r="AM83" s="43" t="str">
        <f t="shared" si="19"/>
        <v>REZoning_Sol-Win</v>
      </c>
      <c r="AP83" t="s">
        <v>3414</v>
      </c>
      <c r="AQ83" t="s">
        <v>57</v>
      </c>
      <c r="AR83">
        <f t="shared" si="17"/>
        <v>2100</v>
      </c>
      <c r="AS83" t="s">
        <v>937</v>
      </c>
      <c r="AT83" t="s">
        <v>58</v>
      </c>
    </row>
    <row r="84" ht="29" spans="1:46">
      <c r="A84" s="31" t="s">
        <v>98</v>
      </c>
      <c r="C84" t="s">
        <v>3415</v>
      </c>
      <c r="D84" s="5" t="s">
        <v>57</v>
      </c>
      <c r="E84">
        <v>2035</v>
      </c>
      <c r="F84" s="6" t="str">
        <f t="shared" si="11"/>
        <v>*0.96</v>
      </c>
      <c r="H84" t="s">
        <v>3415</v>
      </c>
      <c r="I84" s="5" t="s">
        <v>57</v>
      </c>
      <c r="J84">
        <v>2050</v>
      </c>
      <c r="K84" s="38" t="str">
        <f t="shared" si="12"/>
        <v>*0.94</v>
      </c>
      <c r="P84" s="32" t="s">
        <v>3415</v>
      </c>
      <c r="Q84" s="42" t="s">
        <v>57</v>
      </c>
      <c r="R84" s="32">
        <v>2035</v>
      </c>
      <c r="S84" s="43" t="str">
        <f t="shared" si="13"/>
        <v>*0.96</v>
      </c>
      <c r="U84" s="32" t="s">
        <v>3415</v>
      </c>
      <c r="V84" s="42" t="s">
        <v>57</v>
      </c>
      <c r="W84" s="32">
        <v>2050</v>
      </c>
      <c r="X84" s="43" t="str">
        <f t="shared" si="14"/>
        <v>*0.93</v>
      </c>
      <c r="AC84" s="33" t="s">
        <v>3415</v>
      </c>
      <c r="AD84" s="44" t="s">
        <v>57</v>
      </c>
      <c r="AE84" s="33">
        <v>2035</v>
      </c>
      <c r="AF84" s="45" t="str">
        <f t="shared" si="15"/>
        <v>*0.92</v>
      </c>
      <c r="AG84" s="43" t="str">
        <f t="shared" si="18"/>
        <v>REZoning_Sol-Win</v>
      </c>
      <c r="AI84" s="33" t="s">
        <v>3415</v>
      </c>
      <c r="AJ84" s="44" t="s">
        <v>57</v>
      </c>
      <c r="AK84" s="33">
        <v>2050</v>
      </c>
      <c r="AL84" s="45" t="str">
        <f t="shared" si="16"/>
        <v>*0.89</v>
      </c>
      <c r="AM84" s="43" t="str">
        <f t="shared" si="19"/>
        <v>REZoning_Sol-Win</v>
      </c>
      <c r="AP84" t="s">
        <v>3415</v>
      </c>
      <c r="AQ84" t="s">
        <v>57</v>
      </c>
      <c r="AR84">
        <f t="shared" si="17"/>
        <v>2100</v>
      </c>
      <c r="AS84" t="s">
        <v>937</v>
      </c>
      <c r="AT84" t="s">
        <v>58</v>
      </c>
    </row>
    <row r="85" ht="29" spans="1:46">
      <c r="A85" s="31" t="s">
        <v>98</v>
      </c>
      <c r="C85" t="s">
        <v>3416</v>
      </c>
      <c r="D85" s="5" t="s">
        <v>57</v>
      </c>
      <c r="E85">
        <v>2035</v>
      </c>
      <c r="F85" s="6" t="str">
        <f t="shared" si="11"/>
        <v>*0.96</v>
      </c>
      <c r="H85" t="s">
        <v>3416</v>
      </c>
      <c r="I85" s="5" t="s">
        <v>57</v>
      </c>
      <c r="J85">
        <v>2050</v>
      </c>
      <c r="K85" s="38" t="str">
        <f t="shared" si="12"/>
        <v>*0.94</v>
      </c>
      <c r="P85" s="32" t="s">
        <v>3416</v>
      </c>
      <c r="Q85" s="42" t="s">
        <v>57</v>
      </c>
      <c r="R85" s="32">
        <v>2035</v>
      </c>
      <c r="S85" s="43" t="str">
        <f t="shared" si="13"/>
        <v>*0.96</v>
      </c>
      <c r="U85" s="32" t="s">
        <v>3416</v>
      </c>
      <c r="V85" s="42" t="s">
        <v>57</v>
      </c>
      <c r="W85" s="32">
        <v>2050</v>
      </c>
      <c r="X85" s="43" t="str">
        <f t="shared" si="14"/>
        <v>*0.93</v>
      </c>
      <c r="AC85" s="33" t="s">
        <v>3416</v>
      </c>
      <c r="AD85" s="44" t="s">
        <v>57</v>
      </c>
      <c r="AE85" s="33">
        <v>2035</v>
      </c>
      <c r="AF85" s="45" t="str">
        <f t="shared" si="15"/>
        <v>*0.92</v>
      </c>
      <c r="AG85" s="43" t="str">
        <f t="shared" si="18"/>
        <v>REZoning_Sol-Win</v>
      </c>
      <c r="AI85" s="33" t="s">
        <v>3416</v>
      </c>
      <c r="AJ85" s="44" t="s">
        <v>57</v>
      </c>
      <c r="AK85" s="33">
        <v>2050</v>
      </c>
      <c r="AL85" s="45" t="str">
        <f t="shared" si="16"/>
        <v>*0.89</v>
      </c>
      <c r="AM85" s="43" t="str">
        <f t="shared" si="19"/>
        <v>REZoning_Sol-Win</v>
      </c>
      <c r="AP85" t="s">
        <v>3416</v>
      </c>
      <c r="AQ85" t="s">
        <v>57</v>
      </c>
      <c r="AR85">
        <f t="shared" si="17"/>
        <v>2100</v>
      </c>
      <c r="AS85" t="s">
        <v>937</v>
      </c>
      <c r="AT85" t="s">
        <v>58</v>
      </c>
    </row>
    <row r="86" ht="29" spans="1:46">
      <c r="A86" s="31" t="s">
        <v>98</v>
      </c>
      <c r="C86" t="s">
        <v>3417</v>
      </c>
      <c r="D86" s="5" t="s">
        <v>57</v>
      </c>
      <c r="E86">
        <v>2035</v>
      </c>
      <c r="F86" s="6" t="str">
        <f t="shared" si="11"/>
        <v>*0.96</v>
      </c>
      <c r="H86" t="s">
        <v>3417</v>
      </c>
      <c r="I86" s="5" t="s">
        <v>57</v>
      </c>
      <c r="J86">
        <v>2050</v>
      </c>
      <c r="K86" s="38" t="str">
        <f t="shared" si="12"/>
        <v>*0.94</v>
      </c>
      <c r="P86" s="32" t="s">
        <v>3417</v>
      </c>
      <c r="Q86" s="42" t="s">
        <v>57</v>
      </c>
      <c r="R86" s="32">
        <v>2035</v>
      </c>
      <c r="S86" s="43" t="str">
        <f t="shared" si="13"/>
        <v>*0.96</v>
      </c>
      <c r="U86" s="32" t="s">
        <v>3417</v>
      </c>
      <c r="V86" s="42" t="s">
        <v>57</v>
      </c>
      <c r="W86" s="32">
        <v>2050</v>
      </c>
      <c r="X86" s="43" t="str">
        <f t="shared" si="14"/>
        <v>*0.93</v>
      </c>
      <c r="AC86" s="33" t="s">
        <v>3417</v>
      </c>
      <c r="AD86" s="44" t="s">
        <v>57</v>
      </c>
      <c r="AE86" s="33">
        <v>2035</v>
      </c>
      <c r="AF86" s="45" t="str">
        <f t="shared" si="15"/>
        <v>*0.92</v>
      </c>
      <c r="AG86" s="43" t="str">
        <f t="shared" si="18"/>
        <v>REZoning_Sol-Win</v>
      </c>
      <c r="AI86" s="33" t="s">
        <v>3417</v>
      </c>
      <c r="AJ86" s="44" t="s">
        <v>57</v>
      </c>
      <c r="AK86" s="33">
        <v>2050</v>
      </c>
      <c r="AL86" s="45" t="str">
        <f t="shared" si="16"/>
        <v>*0.89</v>
      </c>
      <c r="AM86" s="43" t="str">
        <f t="shared" si="19"/>
        <v>REZoning_Sol-Win</v>
      </c>
      <c r="AP86" t="s">
        <v>3417</v>
      </c>
      <c r="AQ86" t="s">
        <v>57</v>
      </c>
      <c r="AR86">
        <f t="shared" si="17"/>
        <v>2100</v>
      </c>
      <c r="AS86" t="s">
        <v>937</v>
      </c>
      <c r="AT86" t="s">
        <v>58</v>
      </c>
    </row>
    <row r="87" ht="29" spans="1:46">
      <c r="A87" s="31" t="s">
        <v>98</v>
      </c>
      <c r="C87" t="s">
        <v>3418</v>
      </c>
      <c r="D87" s="5" t="s">
        <v>57</v>
      </c>
      <c r="E87">
        <v>2035</v>
      </c>
      <c r="F87" s="6" t="str">
        <f t="shared" si="11"/>
        <v>*0.96</v>
      </c>
      <c r="H87" t="s">
        <v>3418</v>
      </c>
      <c r="I87" s="5" t="s">
        <v>57</v>
      </c>
      <c r="J87">
        <v>2050</v>
      </c>
      <c r="K87" s="38" t="str">
        <f t="shared" si="12"/>
        <v>*0.94</v>
      </c>
      <c r="P87" s="32" t="s">
        <v>3418</v>
      </c>
      <c r="Q87" s="42" t="s">
        <v>57</v>
      </c>
      <c r="R87" s="32">
        <v>2035</v>
      </c>
      <c r="S87" s="43" t="str">
        <f t="shared" si="13"/>
        <v>*0.96</v>
      </c>
      <c r="U87" s="32" t="s">
        <v>3418</v>
      </c>
      <c r="V87" s="42" t="s">
        <v>57</v>
      </c>
      <c r="W87" s="32">
        <v>2050</v>
      </c>
      <c r="X87" s="43" t="str">
        <f t="shared" si="14"/>
        <v>*0.93</v>
      </c>
      <c r="AC87" s="33" t="s">
        <v>3418</v>
      </c>
      <c r="AD87" s="44" t="s">
        <v>57</v>
      </c>
      <c r="AE87" s="33">
        <v>2035</v>
      </c>
      <c r="AF87" s="45" t="str">
        <f t="shared" si="15"/>
        <v>*0.92</v>
      </c>
      <c r="AG87" s="43" t="str">
        <f t="shared" si="18"/>
        <v>REZoning_Sol-Win</v>
      </c>
      <c r="AI87" s="33" t="s">
        <v>3418</v>
      </c>
      <c r="AJ87" s="44" t="s">
        <v>57</v>
      </c>
      <c r="AK87" s="33">
        <v>2050</v>
      </c>
      <c r="AL87" s="45" t="str">
        <f t="shared" si="16"/>
        <v>*0.89</v>
      </c>
      <c r="AM87" s="43" t="str">
        <f t="shared" si="19"/>
        <v>REZoning_Sol-Win</v>
      </c>
      <c r="AP87" t="s">
        <v>3418</v>
      </c>
      <c r="AQ87" t="s">
        <v>57</v>
      </c>
      <c r="AR87">
        <f t="shared" si="17"/>
        <v>2100</v>
      </c>
      <c r="AS87" t="s">
        <v>937</v>
      </c>
      <c r="AT87" t="s">
        <v>58</v>
      </c>
    </row>
    <row r="88" ht="29" spans="1:46">
      <c r="A88" s="31" t="s">
        <v>98</v>
      </c>
      <c r="C88" t="s">
        <v>3419</v>
      </c>
      <c r="D88" s="5" t="s">
        <v>57</v>
      </c>
      <c r="E88">
        <v>2035</v>
      </c>
      <c r="F88" s="6" t="str">
        <f t="shared" si="11"/>
        <v>*0.96</v>
      </c>
      <c r="H88" t="s">
        <v>3419</v>
      </c>
      <c r="I88" s="5" t="s">
        <v>57</v>
      </c>
      <c r="J88">
        <v>2050</v>
      </c>
      <c r="K88" s="38" t="str">
        <f t="shared" si="12"/>
        <v>*0.94</v>
      </c>
      <c r="P88" s="32" t="s">
        <v>3419</v>
      </c>
      <c r="Q88" s="42" t="s">
        <v>57</v>
      </c>
      <c r="R88" s="32">
        <v>2035</v>
      </c>
      <c r="S88" s="43" t="str">
        <f t="shared" si="13"/>
        <v>*0.96</v>
      </c>
      <c r="U88" s="32" t="s">
        <v>3419</v>
      </c>
      <c r="V88" s="42" t="s">
        <v>57</v>
      </c>
      <c r="W88" s="32">
        <v>2050</v>
      </c>
      <c r="X88" s="43" t="str">
        <f t="shared" si="14"/>
        <v>*0.93</v>
      </c>
      <c r="AC88" s="33" t="s">
        <v>3419</v>
      </c>
      <c r="AD88" s="44" t="s">
        <v>57</v>
      </c>
      <c r="AE88" s="33">
        <v>2035</v>
      </c>
      <c r="AF88" s="45" t="str">
        <f t="shared" si="15"/>
        <v>*0.92</v>
      </c>
      <c r="AG88" s="43" t="str">
        <f t="shared" si="18"/>
        <v>REZoning_Sol-Win</v>
      </c>
      <c r="AI88" s="33" t="s">
        <v>3419</v>
      </c>
      <c r="AJ88" s="44" t="s">
        <v>57</v>
      </c>
      <c r="AK88" s="33">
        <v>2050</v>
      </c>
      <c r="AL88" s="45" t="str">
        <f t="shared" si="16"/>
        <v>*0.89</v>
      </c>
      <c r="AM88" s="43" t="str">
        <f t="shared" si="19"/>
        <v>REZoning_Sol-Win</v>
      </c>
      <c r="AP88" t="s">
        <v>3419</v>
      </c>
      <c r="AQ88" t="s">
        <v>57</v>
      </c>
      <c r="AR88">
        <f t="shared" si="17"/>
        <v>2100</v>
      </c>
      <c r="AS88" t="s">
        <v>937</v>
      </c>
      <c r="AT88" t="s">
        <v>58</v>
      </c>
    </row>
    <row r="89" ht="29" spans="1:46">
      <c r="A89" s="31" t="s">
        <v>83</v>
      </c>
      <c r="C89" t="s">
        <v>3420</v>
      </c>
      <c r="D89" s="5" t="s">
        <v>57</v>
      </c>
      <c r="E89">
        <v>2035</v>
      </c>
      <c r="F89" s="6" t="str">
        <f t="shared" si="11"/>
        <v>*0.95</v>
      </c>
      <c r="H89" t="s">
        <v>3420</v>
      </c>
      <c r="I89" s="5" t="s">
        <v>57</v>
      </c>
      <c r="J89">
        <v>2050</v>
      </c>
      <c r="K89" s="38" t="str">
        <f t="shared" si="12"/>
        <v>*0.92</v>
      </c>
      <c r="P89" s="32" t="s">
        <v>3420</v>
      </c>
      <c r="Q89" s="42" t="s">
        <v>57</v>
      </c>
      <c r="R89" s="32">
        <v>2035</v>
      </c>
      <c r="S89" s="43" t="str">
        <f t="shared" si="13"/>
        <v>*0.95</v>
      </c>
      <c r="U89" s="32" t="s">
        <v>3420</v>
      </c>
      <c r="V89" s="42" t="s">
        <v>57</v>
      </c>
      <c r="W89" s="32">
        <v>2050</v>
      </c>
      <c r="X89" s="43" t="str">
        <f t="shared" si="14"/>
        <v>*0.92</v>
      </c>
      <c r="AC89" s="33" t="s">
        <v>3420</v>
      </c>
      <c r="AD89" s="44" t="s">
        <v>57</v>
      </c>
      <c r="AE89" s="33">
        <v>2035</v>
      </c>
      <c r="AF89" s="45" t="str">
        <f t="shared" si="15"/>
        <v>*0.93</v>
      </c>
      <c r="AG89" s="43" t="str">
        <f t="shared" si="18"/>
        <v>REZoning_Sol-Win</v>
      </c>
      <c r="AI89" s="33" t="s">
        <v>3420</v>
      </c>
      <c r="AJ89" s="44" t="s">
        <v>57</v>
      </c>
      <c r="AK89" s="33">
        <v>2050</v>
      </c>
      <c r="AL89" s="45" t="str">
        <f t="shared" si="16"/>
        <v>*0.89</v>
      </c>
      <c r="AM89" s="43" t="str">
        <f t="shared" si="19"/>
        <v>REZoning_Sol-Win</v>
      </c>
      <c r="AP89" t="s">
        <v>3420</v>
      </c>
      <c r="AQ89" t="s">
        <v>57</v>
      </c>
      <c r="AR89">
        <f t="shared" si="17"/>
        <v>2100</v>
      </c>
      <c r="AS89" t="s">
        <v>937</v>
      </c>
      <c r="AT89" t="s">
        <v>58</v>
      </c>
    </row>
    <row r="90" ht="29" spans="1:46">
      <c r="A90" s="31" t="s">
        <v>83</v>
      </c>
      <c r="C90" t="s">
        <v>3421</v>
      </c>
      <c r="D90" s="5" t="s">
        <v>57</v>
      </c>
      <c r="E90">
        <v>2035</v>
      </c>
      <c r="F90" s="6" t="str">
        <f t="shared" si="11"/>
        <v>*0.95</v>
      </c>
      <c r="H90" t="s">
        <v>3421</v>
      </c>
      <c r="I90" s="5" t="s">
        <v>57</v>
      </c>
      <c r="J90">
        <v>2050</v>
      </c>
      <c r="K90" s="38" t="str">
        <f t="shared" si="12"/>
        <v>*0.92</v>
      </c>
      <c r="P90" s="32" t="s">
        <v>3421</v>
      </c>
      <c r="Q90" s="42" t="s">
        <v>57</v>
      </c>
      <c r="R90" s="32">
        <v>2035</v>
      </c>
      <c r="S90" s="43" t="str">
        <f t="shared" si="13"/>
        <v>*0.95</v>
      </c>
      <c r="U90" s="32" t="s">
        <v>3421</v>
      </c>
      <c r="V90" s="42" t="s">
        <v>57</v>
      </c>
      <c r="W90" s="32">
        <v>2050</v>
      </c>
      <c r="X90" s="43" t="str">
        <f t="shared" si="14"/>
        <v>*0.92</v>
      </c>
      <c r="AC90" s="33" t="s">
        <v>3421</v>
      </c>
      <c r="AD90" s="44" t="s">
        <v>57</v>
      </c>
      <c r="AE90" s="33">
        <v>2035</v>
      </c>
      <c r="AF90" s="45" t="str">
        <f t="shared" si="15"/>
        <v>*0.93</v>
      </c>
      <c r="AG90" s="43" t="str">
        <f t="shared" si="18"/>
        <v>REZoning_Sol-Win</v>
      </c>
      <c r="AI90" s="33" t="s">
        <v>3421</v>
      </c>
      <c r="AJ90" s="44" t="s">
        <v>57</v>
      </c>
      <c r="AK90" s="33">
        <v>2050</v>
      </c>
      <c r="AL90" s="45" t="str">
        <f t="shared" si="16"/>
        <v>*0.89</v>
      </c>
      <c r="AM90" s="43" t="str">
        <f t="shared" si="19"/>
        <v>REZoning_Sol-Win</v>
      </c>
      <c r="AP90" t="s">
        <v>3421</v>
      </c>
      <c r="AQ90" t="s">
        <v>57</v>
      </c>
      <c r="AR90">
        <f t="shared" si="17"/>
        <v>2100</v>
      </c>
      <c r="AS90" t="s">
        <v>937</v>
      </c>
      <c r="AT90" t="s">
        <v>58</v>
      </c>
    </row>
    <row r="91" ht="29" spans="1:46">
      <c r="A91" s="31" t="s">
        <v>83</v>
      </c>
      <c r="C91" t="s">
        <v>3422</v>
      </c>
      <c r="D91" s="5" t="s">
        <v>57</v>
      </c>
      <c r="E91">
        <v>2035</v>
      </c>
      <c r="F91" s="6" t="str">
        <f t="shared" si="11"/>
        <v>*0.95</v>
      </c>
      <c r="H91" t="s">
        <v>3422</v>
      </c>
      <c r="I91" s="5" t="s">
        <v>57</v>
      </c>
      <c r="J91">
        <v>2050</v>
      </c>
      <c r="K91" s="38" t="str">
        <f t="shared" si="12"/>
        <v>*0.92</v>
      </c>
      <c r="P91" s="32" t="s">
        <v>3422</v>
      </c>
      <c r="Q91" s="42" t="s">
        <v>57</v>
      </c>
      <c r="R91" s="32">
        <v>2035</v>
      </c>
      <c r="S91" s="43" t="str">
        <f t="shared" si="13"/>
        <v>*0.95</v>
      </c>
      <c r="U91" s="32" t="s">
        <v>3422</v>
      </c>
      <c r="V91" s="42" t="s">
        <v>57</v>
      </c>
      <c r="W91" s="32">
        <v>2050</v>
      </c>
      <c r="X91" s="43" t="str">
        <f t="shared" si="14"/>
        <v>*0.92</v>
      </c>
      <c r="AC91" s="33" t="s">
        <v>3422</v>
      </c>
      <c r="AD91" s="44" t="s">
        <v>57</v>
      </c>
      <c r="AE91" s="33">
        <v>2035</v>
      </c>
      <c r="AF91" s="45" t="str">
        <f t="shared" si="15"/>
        <v>*0.93</v>
      </c>
      <c r="AG91" s="43" t="str">
        <f t="shared" si="18"/>
        <v>REZoning_Sol-Win</v>
      </c>
      <c r="AI91" s="33" t="s">
        <v>3422</v>
      </c>
      <c r="AJ91" s="44" t="s">
        <v>57</v>
      </c>
      <c r="AK91" s="33">
        <v>2050</v>
      </c>
      <c r="AL91" s="45" t="str">
        <f t="shared" si="16"/>
        <v>*0.89</v>
      </c>
      <c r="AM91" s="43" t="str">
        <f t="shared" si="19"/>
        <v>REZoning_Sol-Win</v>
      </c>
      <c r="AP91" t="s">
        <v>3422</v>
      </c>
      <c r="AQ91" t="s">
        <v>57</v>
      </c>
      <c r="AR91">
        <f t="shared" si="17"/>
        <v>2100</v>
      </c>
      <c r="AS91" t="s">
        <v>937</v>
      </c>
      <c r="AT91" t="s">
        <v>58</v>
      </c>
    </row>
    <row r="92" ht="29" spans="1:46">
      <c r="A92" s="31" t="s">
        <v>83</v>
      </c>
      <c r="C92" t="s">
        <v>3423</v>
      </c>
      <c r="D92" s="5" t="s">
        <v>57</v>
      </c>
      <c r="E92">
        <v>2035</v>
      </c>
      <c r="F92" s="6" t="str">
        <f t="shared" si="11"/>
        <v>*0.95</v>
      </c>
      <c r="H92" t="s">
        <v>3423</v>
      </c>
      <c r="I92" s="5" t="s">
        <v>57</v>
      </c>
      <c r="J92">
        <v>2050</v>
      </c>
      <c r="K92" s="38" t="str">
        <f t="shared" si="12"/>
        <v>*0.92</v>
      </c>
      <c r="P92" s="32" t="s">
        <v>3423</v>
      </c>
      <c r="Q92" s="42" t="s">
        <v>57</v>
      </c>
      <c r="R92" s="32">
        <v>2035</v>
      </c>
      <c r="S92" s="43" t="str">
        <f t="shared" si="13"/>
        <v>*0.95</v>
      </c>
      <c r="U92" s="32" t="s">
        <v>3423</v>
      </c>
      <c r="V92" s="42" t="s">
        <v>57</v>
      </c>
      <c r="W92" s="32">
        <v>2050</v>
      </c>
      <c r="X92" s="43" t="str">
        <f t="shared" si="14"/>
        <v>*0.92</v>
      </c>
      <c r="AC92" s="33" t="s">
        <v>3423</v>
      </c>
      <c r="AD92" s="44" t="s">
        <v>57</v>
      </c>
      <c r="AE92" s="33">
        <v>2035</v>
      </c>
      <c r="AF92" s="45" t="str">
        <f t="shared" si="15"/>
        <v>*0.93</v>
      </c>
      <c r="AG92" s="43" t="str">
        <f t="shared" si="18"/>
        <v>REZoning_Sol-Win</v>
      </c>
      <c r="AI92" s="33" t="s">
        <v>3423</v>
      </c>
      <c r="AJ92" s="44" t="s">
        <v>57</v>
      </c>
      <c r="AK92" s="33">
        <v>2050</v>
      </c>
      <c r="AL92" s="45" t="str">
        <f t="shared" si="16"/>
        <v>*0.89</v>
      </c>
      <c r="AM92" s="43" t="str">
        <f t="shared" si="19"/>
        <v>REZoning_Sol-Win</v>
      </c>
      <c r="AP92" t="s">
        <v>3423</v>
      </c>
      <c r="AQ92" t="s">
        <v>57</v>
      </c>
      <c r="AR92">
        <f t="shared" si="17"/>
        <v>2100</v>
      </c>
      <c r="AS92" t="s">
        <v>937</v>
      </c>
      <c r="AT92" t="s">
        <v>58</v>
      </c>
    </row>
    <row r="93" ht="29" spans="1:46">
      <c r="A93" s="31" t="s">
        <v>83</v>
      </c>
      <c r="C93" t="s">
        <v>3424</v>
      </c>
      <c r="D93" s="5" t="s">
        <v>57</v>
      </c>
      <c r="E93">
        <v>2035</v>
      </c>
      <c r="F93" s="6" t="str">
        <f t="shared" si="11"/>
        <v>*0.95</v>
      </c>
      <c r="H93" t="s">
        <v>3424</v>
      </c>
      <c r="I93" s="5" t="s">
        <v>57</v>
      </c>
      <c r="J93">
        <v>2050</v>
      </c>
      <c r="K93" s="38" t="str">
        <f t="shared" si="12"/>
        <v>*0.92</v>
      </c>
      <c r="P93" s="32" t="s">
        <v>3424</v>
      </c>
      <c r="Q93" s="42" t="s">
        <v>57</v>
      </c>
      <c r="R93" s="32">
        <v>2035</v>
      </c>
      <c r="S93" s="43" t="str">
        <f t="shared" si="13"/>
        <v>*0.95</v>
      </c>
      <c r="U93" s="32" t="s">
        <v>3424</v>
      </c>
      <c r="V93" s="42" t="s">
        <v>57</v>
      </c>
      <c r="W93" s="32">
        <v>2050</v>
      </c>
      <c r="X93" s="43" t="str">
        <f t="shared" si="14"/>
        <v>*0.92</v>
      </c>
      <c r="AC93" s="33" t="s">
        <v>3424</v>
      </c>
      <c r="AD93" s="44" t="s">
        <v>57</v>
      </c>
      <c r="AE93" s="33">
        <v>2035</v>
      </c>
      <c r="AF93" s="45" t="str">
        <f t="shared" si="15"/>
        <v>*0.93</v>
      </c>
      <c r="AG93" s="43" t="str">
        <f t="shared" si="18"/>
        <v>REZoning_Sol-Win</v>
      </c>
      <c r="AI93" s="33" t="s">
        <v>3424</v>
      </c>
      <c r="AJ93" s="44" t="s">
        <v>57</v>
      </c>
      <c r="AK93" s="33">
        <v>2050</v>
      </c>
      <c r="AL93" s="45" t="str">
        <f t="shared" si="16"/>
        <v>*0.89</v>
      </c>
      <c r="AM93" s="43" t="str">
        <f t="shared" si="19"/>
        <v>REZoning_Sol-Win</v>
      </c>
      <c r="AP93" t="s">
        <v>3424</v>
      </c>
      <c r="AQ93" t="s">
        <v>57</v>
      </c>
      <c r="AR93">
        <f t="shared" si="17"/>
        <v>2100</v>
      </c>
      <c r="AS93" t="s">
        <v>937</v>
      </c>
      <c r="AT93" t="s">
        <v>58</v>
      </c>
    </row>
    <row r="94" ht="29" spans="1:46">
      <c r="A94" s="31" t="s">
        <v>83</v>
      </c>
      <c r="C94" t="s">
        <v>3425</v>
      </c>
      <c r="D94" s="5" t="s">
        <v>57</v>
      </c>
      <c r="E94">
        <v>2035</v>
      </c>
      <c r="F94" s="6" t="str">
        <f t="shared" si="11"/>
        <v>*0.95</v>
      </c>
      <c r="H94" t="s">
        <v>3425</v>
      </c>
      <c r="I94" s="5" t="s">
        <v>57</v>
      </c>
      <c r="J94">
        <v>2050</v>
      </c>
      <c r="K94" s="38" t="str">
        <f t="shared" si="12"/>
        <v>*0.92</v>
      </c>
      <c r="P94" s="32" t="s">
        <v>3425</v>
      </c>
      <c r="Q94" s="42" t="s">
        <v>57</v>
      </c>
      <c r="R94" s="32">
        <v>2035</v>
      </c>
      <c r="S94" s="43" t="str">
        <f t="shared" si="13"/>
        <v>*0.95</v>
      </c>
      <c r="U94" s="32" t="s">
        <v>3425</v>
      </c>
      <c r="V94" s="42" t="s">
        <v>57</v>
      </c>
      <c r="W94" s="32">
        <v>2050</v>
      </c>
      <c r="X94" s="43" t="str">
        <f t="shared" si="14"/>
        <v>*0.92</v>
      </c>
      <c r="AC94" s="33" t="s">
        <v>3425</v>
      </c>
      <c r="AD94" s="44" t="s">
        <v>57</v>
      </c>
      <c r="AE94" s="33">
        <v>2035</v>
      </c>
      <c r="AF94" s="45" t="str">
        <f t="shared" si="15"/>
        <v>*0.93</v>
      </c>
      <c r="AG94" s="43" t="str">
        <f t="shared" si="18"/>
        <v>REZoning_Sol-Win</v>
      </c>
      <c r="AI94" s="33" t="s">
        <v>3425</v>
      </c>
      <c r="AJ94" s="44" t="s">
        <v>57</v>
      </c>
      <c r="AK94" s="33">
        <v>2050</v>
      </c>
      <c r="AL94" s="45" t="str">
        <f t="shared" si="16"/>
        <v>*0.89</v>
      </c>
      <c r="AM94" s="43" t="str">
        <f t="shared" si="19"/>
        <v>REZoning_Sol-Win</v>
      </c>
      <c r="AP94" t="s">
        <v>3425</v>
      </c>
      <c r="AQ94" t="s">
        <v>57</v>
      </c>
      <c r="AR94">
        <f t="shared" si="17"/>
        <v>2100</v>
      </c>
      <c r="AS94" t="s">
        <v>937</v>
      </c>
      <c r="AT94" t="s">
        <v>58</v>
      </c>
    </row>
    <row r="95" ht="29" spans="1:46">
      <c r="A95" s="31" t="s">
        <v>83</v>
      </c>
      <c r="C95" t="s">
        <v>3426</v>
      </c>
      <c r="D95" s="5" t="s">
        <v>57</v>
      </c>
      <c r="E95">
        <v>2035</v>
      </c>
      <c r="F95" s="6" t="str">
        <f t="shared" si="11"/>
        <v>*0.95</v>
      </c>
      <c r="H95" t="s">
        <v>3426</v>
      </c>
      <c r="I95" s="5" t="s">
        <v>57</v>
      </c>
      <c r="J95">
        <v>2050</v>
      </c>
      <c r="K95" s="38" t="str">
        <f t="shared" si="12"/>
        <v>*0.92</v>
      </c>
      <c r="P95" s="32" t="s">
        <v>3426</v>
      </c>
      <c r="Q95" s="42" t="s">
        <v>57</v>
      </c>
      <c r="R95" s="32">
        <v>2035</v>
      </c>
      <c r="S95" s="43" t="str">
        <f t="shared" si="13"/>
        <v>*0.95</v>
      </c>
      <c r="U95" s="32" t="s">
        <v>3426</v>
      </c>
      <c r="V95" s="42" t="s">
        <v>57</v>
      </c>
      <c r="W95" s="32">
        <v>2050</v>
      </c>
      <c r="X95" s="43" t="str">
        <f t="shared" si="14"/>
        <v>*0.92</v>
      </c>
      <c r="AC95" s="33" t="s">
        <v>3426</v>
      </c>
      <c r="AD95" s="44" t="s">
        <v>57</v>
      </c>
      <c r="AE95" s="33">
        <v>2035</v>
      </c>
      <c r="AF95" s="45" t="str">
        <f t="shared" si="15"/>
        <v>*0.93</v>
      </c>
      <c r="AG95" s="43" t="str">
        <f t="shared" si="18"/>
        <v>REZoning_Sol-Win</v>
      </c>
      <c r="AI95" s="33" t="s">
        <v>3426</v>
      </c>
      <c r="AJ95" s="44" t="s">
        <v>57</v>
      </c>
      <c r="AK95" s="33">
        <v>2050</v>
      </c>
      <c r="AL95" s="45" t="str">
        <f t="shared" si="16"/>
        <v>*0.89</v>
      </c>
      <c r="AM95" s="43" t="str">
        <f t="shared" si="19"/>
        <v>REZoning_Sol-Win</v>
      </c>
      <c r="AP95" t="s">
        <v>3426</v>
      </c>
      <c r="AQ95" t="s">
        <v>57</v>
      </c>
      <c r="AR95">
        <f t="shared" si="17"/>
        <v>2100</v>
      </c>
      <c r="AS95" t="s">
        <v>937</v>
      </c>
      <c r="AT95" t="s">
        <v>58</v>
      </c>
    </row>
    <row r="96" ht="29" spans="1:46">
      <c r="A96" s="31" t="s">
        <v>83</v>
      </c>
      <c r="C96" t="s">
        <v>3427</v>
      </c>
      <c r="D96" s="5" t="s">
        <v>57</v>
      </c>
      <c r="E96">
        <v>2035</v>
      </c>
      <c r="F96" s="6" t="str">
        <f t="shared" si="11"/>
        <v>*0.95</v>
      </c>
      <c r="H96" t="s">
        <v>3427</v>
      </c>
      <c r="I96" s="5" t="s">
        <v>57</v>
      </c>
      <c r="J96">
        <v>2050</v>
      </c>
      <c r="K96" s="38" t="str">
        <f t="shared" si="12"/>
        <v>*0.92</v>
      </c>
      <c r="P96" s="32" t="s">
        <v>3427</v>
      </c>
      <c r="Q96" s="42" t="s">
        <v>57</v>
      </c>
      <c r="R96" s="32">
        <v>2035</v>
      </c>
      <c r="S96" s="43" t="str">
        <f t="shared" si="13"/>
        <v>*0.95</v>
      </c>
      <c r="U96" s="32" t="s">
        <v>3427</v>
      </c>
      <c r="V96" s="42" t="s">
        <v>57</v>
      </c>
      <c r="W96" s="32">
        <v>2050</v>
      </c>
      <c r="X96" s="43" t="str">
        <f t="shared" si="14"/>
        <v>*0.92</v>
      </c>
      <c r="AC96" s="33" t="s">
        <v>3427</v>
      </c>
      <c r="AD96" s="44" t="s">
        <v>57</v>
      </c>
      <c r="AE96" s="33">
        <v>2035</v>
      </c>
      <c r="AF96" s="45" t="str">
        <f t="shared" si="15"/>
        <v>*0.93</v>
      </c>
      <c r="AG96" s="43" t="str">
        <f t="shared" si="18"/>
        <v>REZoning_Sol-Win</v>
      </c>
      <c r="AI96" s="33" t="s">
        <v>3427</v>
      </c>
      <c r="AJ96" s="44" t="s">
        <v>57</v>
      </c>
      <c r="AK96" s="33">
        <v>2050</v>
      </c>
      <c r="AL96" s="45" t="str">
        <f t="shared" si="16"/>
        <v>*0.89</v>
      </c>
      <c r="AM96" s="43" t="str">
        <f t="shared" si="19"/>
        <v>REZoning_Sol-Win</v>
      </c>
      <c r="AP96" t="s">
        <v>3427</v>
      </c>
      <c r="AQ96" t="s">
        <v>57</v>
      </c>
      <c r="AR96">
        <f t="shared" si="17"/>
        <v>2100</v>
      </c>
      <c r="AS96" t="s">
        <v>937</v>
      </c>
      <c r="AT96" t="s">
        <v>58</v>
      </c>
    </row>
    <row r="97" ht="29" spans="1:46">
      <c r="A97" s="31" t="s">
        <v>83</v>
      </c>
      <c r="C97" t="s">
        <v>3428</v>
      </c>
      <c r="D97" s="5" t="s">
        <v>57</v>
      </c>
      <c r="E97">
        <v>2035</v>
      </c>
      <c r="F97" s="6" t="str">
        <f t="shared" si="11"/>
        <v>*0.95</v>
      </c>
      <c r="H97" t="s">
        <v>3428</v>
      </c>
      <c r="I97" s="5" t="s">
        <v>57</v>
      </c>
      <c r="J97">
        <v>2050</v>
      </c>
      <c r="K97" s="38" t="str">
        <f t="shared" si="12"/>
        <v>*0.92</v>
      </c>
      <c r="P97" s="32" t="s">
        <v>3428</v>
      </c>
      <c r="Q97" s="42" t="s">
        <v>57</v>
      </c>
      <c r="R97" s="32">
        <v>2035</v>
      </c>
      <c r="S97" s="43" t="str">
        <f t="shared" si="13"/>
        <v>*0.95</v>
      </c>
      <c r="U97" s="32" t="s">
        <v>3428</v>
      </c>
      <c r="V97" s="42" t="s">
        <v>57</v>
      </c>
      <c r="W97" s="32">
        <v>2050</v>
      </c>
      <c r="X97" s="43" t="str">
        <f t="shared" si="14"/>
        <v>*0.92</v>
      </c>
      <c r="AC97" s="33" t="s">
        <v>3428</v>
      </c>
      <c r="AD97" s="44" t="s">
        <v>57</v>
      </c>
      <c r="AE97" s="33">
        <v>2035</v>
      </c>
      <c r="AF97" s="45" t="str">
        <f t="shared" si="15"/>
        <v>*0.93</v>
      </c>
      <c r="AG97" s="43" t="str">
        <f t="shared" si="18"/>
        <v>REZoning_Sol-Win</v>
      </c>
      <c r="AI97" s="33" t="s">
        <v>3428</v>
      </c>
      <c r="AJ97" s="44" t="s">
        <v>57</v>
      </c>
      <c r="AK97" s="33">
        <v>2050</v>
      </c>
      <c r="AL97" s="45" t="str">
        <f t="shared" si="16"/>
        <v>*0.89</v>
      </c>
      <c r="AM97" s="43" t="str">
        <f t="shared" si="19"/>
        <v>REZoning_Sol-Win</v>
      </c>
      <c r="AP97" t="s">
        <v>3428</v>
      </c>
      <c r="AQ97" t="s">
        <v>57</v>
      </c>
      <c r="AR97">
        <f t="shared" si="17"/>
        <v>2100</v>
      </c>
      <c r="AS97" t="s">
        <v>937</v>
      </c>
      <c r="AT97" t="s">
        <v>58</v>
      </c>
    </row>
    <row r="98" ht="29" spans="1:46">
      <c r="A98" s="31" t="s">
        <v>83</v>
      </c>
      <c r="C98" t="s">
        <v>3429</v>
      </c>
      <c r="D98" s="5" t="s">
        <v>57</v>
      </c>
      <c r="E98">
        <v>2035</v>
      </c>
      <c r="F98" s="6" t="str">
        <f t="shared" si="11"/>
        <v>*0.95</v>
      </c>
      <c r="H98" t="s">
        <v>3429</v>
      </c>
      <c r="I98" s="5" t="s">
        <v>57</v>
      </c>
      <c r="J98">
        <v>2050</v>
      </c>
      <c r="K98" s="38" t="str">
        <f t="shared" si="12"/>
        <v>*0.92</v>
      </c>
      <c r="P98" s="32" t="s">
        <v>3429</v>
      </c>
      <c r="Q98" s="42" t="s">
        <v>57</v>
      </c>
      <c r="R98" s="32">
        <v>2035</v>
      </c>
      <c r="S98" s="43" t="str">
        <f t="shared" si="13"/>
        <v>*0.95</v>
      </c>
      <c r="U98" s="32" t="s">
        <v>3429</v>
      </c>
      <c r="V98" s="42" t="s">
        <v>57</v>
      </c>
      <c r="W98" s="32">
        <v>2050</v>
      </c>
      <c r="X98" s="43" t="str">
        <f t="shared" si="14"/>
        <v>*0.92</v>
      </c>
      <c r="AC98" s="33" t="s">
        <v>3429</v>
      </c>
      <c r="AD98" s="44" t="s">
        <v>57</v>
      </c>
      <c r="AE98" s="33">
        <v>2035</v>
      </c>
      <c r="AF98" s="45" t="str">
        <f t="shared" si="15"/>
        <v>*0.93</v>
      </c>
      <c r="AG98" s="43" t="str">
        <f t="shared" si="18"/>
        <v>REZoning_Sol-Win</v>
      </c>
      <c r="AI98" s="33" t="s">
        <v>3429</v>
      </c>
      <c r="AJ98" s="44" t="s">
        <v>57</v>
      </c>
      <c r="AK98" s="33">
        <v>2050</v>
      </c>
      <c r="AL98" s="45" t="str">
        <f t="shared" si="16"/>
        <v>*0.89</v>
      </c>
      <c r="AM98" s="43" t="str">
        <f t="shared" si="19"/>
        <v>REZoning_Sol-Win</v>
      </c>
      <c r="AP98" t="s">
        <v>3429</v>
      </c>
      <c r="AQ98" t="s">
        <v>57</v>
      </c>
      <c r="AR98">
        <f t="shared" si="17"/>
        <v>2100</v>
      </c>
      <c r="AS98" t="s">
        <v>937</v>
      </c>
      <c r="AT98" t="s">
        <v>58</v>
      </c>
    </row>
    <row r="99" ht="29" spans="1:46">
      <c r="A99" s="31" t="s">
        <v>83</v>
      </c>
      <c r="C99" t="s">
        <v>3430</v>
      </c>
      <c r="D99" s="5" t="s">
        <v>57</v>
      </c>
      <c r="E99">
        <v>2035</v>
      </c>
      <c r="F99" s="6" t="str">
        <f t="shared" si="11"/>
        <v>*0.95</v>
      </c>
      <c r="H99" t="s">
        <v>3430</v>
      </c>
      <c r="I99" s="5" t="s">
        <v>57</v>
      </c>
      <c r="J99">
        <v>2050</v>
      </c>
      <c r="K99" s="38" t="str">
        <f t="shared" si="12"/>
        <v>*0.92</v>
      </c>
      <c r="P99" s="32" t="s">
        <v>3430</v>
      </c>
      <c r="Q99" s="42" t="s">
        <v>57</v>
      </c>
      <c r="R99" s="32">
        <v>2035</v>
      </c>
      <c r="S99" s="43" t="str">
        <f t="shared" si="13"/>
        <v>*0.95</v>
      </c>
      <c r="U99" s="32" t="s">
        <v>3430</v>
      </c>
      <c r="V99" s="42" t="s">
        <v>57</v>
      </c>
      <c r="W99" s="32">
        <v>2050</v>
      </c>
      <c r="X99" s="43" t="str">
        <f t="shared" si="14"/>
        <v>*0.92</v>
      </c>
      <c r="AC99" s="33" t="s">
        <v>3430</v>
      </c>
      <c r="AD99" s="44" t="s">
        <v>57</v>
      </c>
      <c r="AE99" s="33">
        <v>2035</v>
      </c>
      <c r="AF99" s="45" t="str">
        <f t="shared" si="15"/>
        <v>*0.93</v>
      </c>
      <c r="AG99" s="43" t="str">
        <f t="shared" si="18"/>
        <v>REZoning_Sol-Win</v>
      </c>
      <c r="AI99" s="33" t="s">
        <v>3430</v>
      </c>
      <c r="AJ99" s="44" t="s">
        <v>57</v>
      </c>
      <c r="AK99" s="33">
        <v>2050</v>
      </c>
      <c r="AL99" s="45" t="str">
        <f t="shared" si="16"/>
        <v>*0.89</v>
      </c>
      <c r="AM99" s="43" t="str">
        <f t="shared" si="19"/>
        <v>REZoning_Sol-Win</v>
      </c>
      <c r="AP99" t="s">
        <v>3430</v>
      </c>
      <c r="AQ99" t="s">
        <v>57</v>
      </c>
      <c r="AR99">
        <f t="shared" si="17"/>
        <v>2100</v>
      </c>
      <c r="AS99" t="s">
        <v>937</v>
      </c>
      <c r="AT99" t="s">
        <v>58</v>
      </c>
    </row>
    <row r="100" ht="29" spans="1:46">
      <c r="A100" s="31" t="s">
        <v>83</v>
      </c>
      <c r="C100" t="s">
        <v>3431</v>
      </c>
      <c r="D100" s="5" t="s">
        <v>57</v>
      </c>
      <c r="E100">
        <v>2035</v>
      </c>
      <c r="F100" s="6" t="str">
        <f t="shared" si="11"/>
        <v>*0.95</v>
      </c>
      <c r="H100" t="s">
        <v>3431</v>
      </c>
      <c r="I100" s="5" t="s">
        <v>57</v>
      </c>
      <c r="J100">
        <v>2050</v>
      </c>
      <c r="K100" s="38" t="str">
        <f t="shared" si="12"/>
        <v>*0.92</v>
      </c>
      <c r="P100" s="32" t="s">
        <v>3431</v>
      </c>
      <c r="Q100" s="42" t="s">
        <v>57</v>
      </c>
      <c r="R100" s="32">
        <v>2035</v>
      </c>
      <c r="S100" s="43" t="str">
        <f t="shared" si="13"/>
        <v>*0.95</v>
      </c>
      <c r="U100" s="32" t="s">
        <v>3431</v>
      </c>
      <c r="V100" s="42" t="s">
        <v>57</v>
      </c>
      <c r="W100" s="32">
        <v>2050</v>
      </c>
      <c r="X100" s="43" t="str">
        <f t="shared" si="14"/>
        <v>*0.92</v>
      </c>
      <c r="AC100" s="33" t="s">
        <v>3431</v>
      </c>
      <c r="AD100" s="44" t="s">
        <v>57</v>
      </c>
      <c r="AE100" s="33">
        <v>2035</v>
      </c>
      <c r="AF100" s="45" t="str">
        <f t="shared" si="15"/>
        <v>*0.93</v>
      </c>
      <c r="AG100" s="43" t="str">
        <f t="shared" si="18"/>
        <v>REZoning_Sol-Win</v>
      </c>
      <c r="AI100" s="33" t="s">
        <v>3431</v>
      </c>
      <c r="AJ100" s="44" t="s">
        <v>57</v>
      </c>
      <c r="AK100" s="33">
        <v>2050</v>
      </c>
      <c r="AL100" s="45" t="str">
        <f t="shared" si="16"/>
        <v>*0.89</v>
      </c>
      <c r="AM100" s="43" t="str">
        <f t="shared" si="19"/>
        <v>REZoning_Sol-Win</v>
      </c>
      <c r="AP100" t="s">
        <v>3431</v>
      </c>
      <c r="AQ100" t="s">
        <v>57</v>
      </c>
      <c r="AR100">
        <f t="shared" si="17"/>
        <v>2100</v>
      </c>
      <c r="AS100" t="s">
        <v>937</v>
      </c>
      <c r="AT100" t="s">
        <v>58</v>
      </c>
    </row>
    <row r="101" ht="29" spans="1:46">
      <c r="A101" s="31" t="s">
        <v>83</v>
      </c>
      <c r="C101" t="s">
        <v>3432</v>
      </c>
      <c r="D101" s="5" t="s">
        <v>57</v>
      </c>
      <c r="E101">
        <v>2035</v>
      </c>
      <c r="F101" s="6" t="str">
        <f t="shared" si="11"/>
        <v>*0.95</v>
      </c>
      <c r="H101" t="s">
        <v>3432</v>
      </c>
      <c r="I101" s="5" t="s">
        <v>57</v>
      </c>
      <c r="J101">
        <v>2050</v>
      </c>
      <c r="K101" s="38" t="str">
        <f t="shared" si="12"/>
        <v>*0.92</v>
      </c>
      <c r="P101" s="32" t="s">
        <v>3432</v>
      </c>
      <c r="Q101" s="42" t="s">
        <v>57</v>
      </c>
      <c r="R101" s="32">
        <v>2035</v>
      </c>
      <c r="S101" s="43" t="str">
        <f t="shared" si="13"/>
        <v>*0.95</v>
      </c>
      <c r="U101" s="32" t="s">
        <v>3432</v>
      </c>
      <c r="V101" s="42" t="s">
        <v>57</v>
      </c>
      <c r="W101" s="32">
        <v>2050</v>
      </c>
      <c r="X101" s="43" t="str">
        <f t="shared" si="14"/>
        <v>*0.92</v>
      </c>
      <c r="AC101" s="33" t="s">
        <v>3432</v>
      </c>
      <c r="AD101" s="44" t="s">
        <v>57</v>
      </c>
      <c r="AE101" s="33">
        <v>2035</v>
      </c>
      <c r="AF101" s="45" t="str">
        <f t="shared" si="15"/>
        <v>*0.93</v>
      </c>
      <c r="AG101" s="43" t="str">
        <f t="shared" si="18"/>
        <v>REZoning_Sol-Win</v>
      </c>
      <c r="AI101" s="33" t="s">
        <v>3432</v>
      </c>
      <c r="AJ101" s="44" t="s">
        <v>57</v>
      </c>
      <c r="AK101" s="33">
        <v>2050</v>
      </c>
      <c r="AL101" s="45" t="str">
        <f t="shared" si="16"/>
        <v>*0.89</v>
      </c>
      <c r="AM101" s="43" t="str">
        <f t="shared" si="19"/>
        <v>REZoning_Sol-Win</v>
      </c>
      <c r="AP101" t="s">
        <v>3432</v>
      </c>
      <c r="AQ101" t="s">
        <v>57</v>
      </c>
      <c r="AR101">
        <f t="shared" si="17"/>
        <v>2100</v>
      </c>
      <c r="AS101" t="s">
        <v>937</v>
      </c>
      <c r="AT101" t="s">
        <v>58</v>
      </c>
    </row>
    <row r="102" ht="29" spans="1:46">
      <c r="A102" s="31" t="s">
        <v>83</v>
      </c>
      <c r="C102" t="s">
        <v>3433</v>
      </c>
      <c r="D102" s="5" t="s">
        <v>57</v>
      </c>
      <c r="E102">
        <v>2035</v>
      </c>
      <c r="F102" s="6" t="str">
        <f t="shared" si="11"/>
        <v>*0.95</v>
      </c>
      <c r="H102" t="s">
        <v>3433</v>
      </c>
      <c r="I102" s="5" t="s">
        <v>57</v>
      </c>
      <c r="J102">
        <v>2050</v>
      </c>
      <c r="K102" s="38" t="str">
        <f t="shared" si="12"/>
        <v>*0.92</v>
      </c>
      <c r="P102" s="32" t="s">
        <v>3433</v>
      </c>
      <c r="Q102" s="42" t="s">
        <v>57</v>
      </c>
      <c r="R102" s="32">
        <v>2035</v>
      </c>
      <c r="S102" s="43" t="str">
        <f t="shared" si="13"/>
        <v>*0.95</v>
      </c>
      <c r="U102" s="32" t="s">
        <v>3433</v>
      </c>
      <c r="V102" s="42" t="s">
        <v>57</v>
      </c>
      <c r="W102" s="32">
        <v>2050</v>
      </c>
      <c r="X102" s="43" t="str">
        <f t="shared" si="14"/>
        <v>*0.92</v>
      </c>
      <c r="AC102" s="33" t="s">
        <v>3433</v>
      </c>
      <c r="AD102" s="44" t="s">
        <v>57</v>
      </c>
      <c r="AE102" s="33">
        <v>2035</v>
      </c>
      <c r="AF102" s="45" t="str">
        <f t="shared" si="15"/>
        <v>*0.93</v>
      </c>
      <c r="AG102" s="43" t="str">
        <f t="shared" si="18"/>
        <v>REZoning_Sol-Win</v>
      </c>
      <c r="AI102" s="33" t="s">
        <v>3433</v>
      </c>
      <c r="AJ102" s="44" t="s">
        <v>57</v>
      </c>
      <c r="AK102" s="33">
        <v>2050</v>
      </c>
      <c r="AL102" s="45" t="str">
        <f t="shared" si="16"/>
        <v>*0.89</v>
      </c>
      <c r="AM102" s="43" t="str">
        <f t="shared" si="19"/>
        <v>REZoning_Sol-Win</v>
      </c>
      <c r="AP102" t="s">
        <v>3433</v>
      </c>
      <c r="AQ102" t="s">
        <v>57</v>
      </c>
      <c r="AR102">
        <f t="shared" si="17"/>
        <v>2100</v>
      </c>
      <c r="AS102" t="s">
        <v>937</v>
      </c>
      <c r="AT102" t="s">
        <v>58</v>
      </c>
    </row>
    <row r="103" ht="29" spans="1:46">
      <c r="A103" s="31" t="s">
        <v>83</v>
      </c>
      <c r="C103" t="s">
        <v>3434</v>
      </c>
      <c r="D103" s="5" t="s">
        <v>57</v>
      </c>
      <c r="E103">
        <v>2035</v>
      </c>
      <c r="F103" s="6" t="str">
        <f t="shared" si="11"/>
        <v>*0.95</v>
      </c>
      <c r="H103" t="s">
        <v>3434</v>
      </c>
      <c r="I103" s="5" t="s">
        <v>57</v>
      </c>
      <c r="J103">
        <v>2050</v>
      </c>
      <c r="K103" s="38" t="str">
        <f t="shared" si="12"/>
        <v>*0.92</v>
      </c>
      <c r="P103" s="32" t="s">
        <v>3434</v>
      </c>
      <c r="Q103" s="42" t="s">
        <v>57</v>
      </c>
      <c r="R103" s="32">
        <v>2035</v>
      </c>
      <c r="S103" s="43" t="str">
        <f t="shared" si="13"/>
        <v>*0.95</v>
      </c>
      <c r="U103" s="32" t="s">
        <v>3434</v>
      </c>
      <c r="V103" s="42" t="s">
        <v>57</v>
      </c>
      <c r="W103" s="32">
        <v>2050</v>
      </c>
      <c r="X103" s="43" t="str">
        <f t="shared" si="14"/>
        <v>*0.92</v>
      </c>
      <c r="AC103" s="33" t="s">
        <v>3434</v>
      </c>
      <c r="AD103" s="44" t="s">
        <v>57</v>
      </c>
      <c r="AE103" s="33">
        <v>2035</v>
      </c>
      <c r="AF103" s="45" t="str">
        <f t="shared" si="15"/>
        <v>*0.93</v>
      </c>
      <c r="AG103" s="43" t="str">
        <f t="shared" si="18"/>
        <v>REZoning_Sol-Win</v>
      </c>
      <c r="AI103" s="33" t="s">
        <v>3434</v>
      </c>
      <c r="AJ103" s="44" t="s">
        <v>57</v>
      </c>
      <c r="AK103" s="33">
        <v>2050</v>
      </c>
      <c r="AL103" s="45" t="str">
        <f t="shared" si="16"/>
        <v>*0.89</v>
      </c>
      <c r="AM103" s="43" t="str">
        <f t="shared" si="19"/>
        <v>REZoning_Sol-Win</v>
      </c>
      <c r="AP103" t="s">
        <v>3434</v>
      </c>
      <c r="AQ103" t="s">
        <v>57</v>
      </c>
      <c r="AR103">
        <f t="shared" si="17"/>
        <v>2100</v>
      </c>
      <c r="AS103" t="s">
        <v>937</v>
      </c>
      <c r="AT103" t="s">
        <v>58</v>
      </c>
    </row>
    <row r="104" ht="29" spans="1:46">
      <c r="A104" s="31" t="s">
        <v>83</v>
      </c>
      <c r="C104" t="s">
        <v>3435</v>
      </c>
      <c r="D104" s="5" t="s">
        <v>57</v>
      </c>
      <c r="E104">
        <v>2035</v>
      </c>
      <c r="F104" s="6" t="str">
        <f t="shared" si="11"/>
        <v>*0.95</v>
      </c>
      <c r="H104" t="s">
        <v>3435</v>
      </c>
      <c r="I104" s="5" t="s">
        <v>57</v>
      </c>
      <c r="J104">
        <v>2050</v>
      </c>
      <c r="K104" s="38" t="str">
        <f t="shared" si="12"/>
        <v>*0.92</v>
      </c>
      <c r="P104" s="32" t="s">
        <v>3435</v>
      </c>
      <c r="Q104" s="42" t="s">
        <v>57</v>
      </c>
      <c r="R104" s="32">
        <v>2035</v>
      </c>
      <c r="S104" s="43" t="str">
        <f t="shared" si="13"/>
        <v>*0.95</v>
      </c>
      <c r="U104" s="32" t="s">
        <v>3435</v>
      </c>
      <c r="V104" s="42" t="s">
        <v>57</v>
      </c>
      <c r="W104" s="32">
        <v>2050</v>
      </c>
      <c r="X104" s="43" t="str">
        <f t="shared" si="14"/>
        <v>*0.92</v>
      </c>
      <c r="AC104" s="33" t="s">
        <v>3435</v>
      </c>
      <c r="AD104" s="44" t="s">
        <v>57</v>
      </c>
      <c r="AE104" s="33">
        <v>2035</v>
      </c>
      <c r="AF104" s="45" t="str">
        <f t="shared" si="15"/>
        <v>*0.93</v>
      </c>
      <c r="AG104" s="43" t="str">
        <f t="shared" si="18"/>
        <v>REZoning_Sol-Win</v>
      </c>
      <c r="AI104" s="33" t="s">
        <v>3435</v>
      </c>
      <c r="AJ104" s="44" t="s">
        <v>57</v>
      </c>
      <c r="AK104" s="33">
        <v>2050</v>
      </c>
      <c r="AL104" s="45" t="str">
        <f t="shared" si="16"/>
        <v>*0.89</v>
      </c>
      <c r="AM104" s="43" t="str">
        <f t="shared" si="19"/>
        <v>REZoning_Sol-Win</v>
      </c>
      <c r="AP104" t="s">
        <v>3435</v>
      </c>
      <c r="AQ104" t="s">
        <v>57</v>
      </c>
      <c r="AR104">
        <f t="shared" si="17"/>
        <v>2100</v>
      </c>
      <c r="AS104" t="s">
        <v>937</v>
      </c>
      <c r="AT104" t="s">
        <v>58</v>
      </c>
    </row>
    <row r="105" ht="29" spans="1:46">
      <c r="A105" s="31" t="s">
        <v>83</v>
      </c>
      <c r="C105" t="s">
        <v>3436</v>
      </c>
      <c r="D105" s="5" t="s">
        <v>57</v>
      </c>
      <c r="E105">
        <v>2035</v>
      </c>
      <c r="F105" s="6" t="str">
        <f t="shared" si="11"/>
        <v>*0.95</v>
      </c>
      <c r="H105" t="s">
        <v>3436</v>
      </c>
      <c r="I105" s="5" t="s">
        <v>57</v>
      </c>
      <c r="J105">
        <v>2050</v>
      </c>
      <c r="K105" s="38" t="str">
        <f t="shared" si="12"/>
        <v>*0.92</v>
      </c>
      <c r="P105" s="32" t="s">
        <v>3436</v>
      </c>
      <c r="Q105" s="42" t="s">
        <v>57</v>
      </c>
      <c r="R105" s="32">
        <v>2035</v>
      </c>
      <c r="S105" s="43" t="str">
        <f t="shared" si="13"/>
        <v>*0.95</v>
      </c>
      <c r="U105" s="32" t="s">
        <v>3436</v>
      </c>
      <c r="V105" s="42" t="s">
        <v>57</v>
      </c>
      <c r="W105" s="32">
        <v>2050</v>
      </c>
      <c r="X105" s="43" t="str">
        <f t="shared" si="14"/>
        <v>*0.92</v>
      </c>
      <c r="AC105" s="33" t="s">
        <v>3436</v>
      </c>
      <c r="AD105" s="44" t="s">
        <v>57</v>
      </c>
      <c r="AE105" s="33">
        <v>2035</v>
      </c>
      <c r="AF105" s="45" t="str">
        <f t="shared" si="15"/>
        <v>*0.93</v>
      </c>
      <c r="AG105" s="43" t="str">
        <f t="shared" si="18"/>
        <v>REZoning_Sol-Win</v>
      </c>
      <c r="AI105" s="33" t="s">
        <v>3436</v>
      </c>
      <c r="AJ105" s="44" t="s">
        <v>57</v>
      </c>
      <c r="AK105" s="33">
        <v>2050</v>
      </c>
      <c r="AL105" s="45" t="str">
        <f t="shared" si="16"/>
        <v>*0.89</v>
      </c>
      <c r="AM105" s="43" t="str">
        <f t="shared" si="19"/>
        <v>REZoning_Sol-Win</v>
      </c>
      <c r="AP105" t="s">
        <v>3436</v>
      </c>
      <c r="AQ105" t="s">
        <v>57</v>
      </c>
      <c r="AR105">
        <f t="shared" si="17"/>
        <v>2100</v>
      </c>
      <c r="AS105" t="s">
        <v>937</v>
      </c>
      <c r="AT105" t="s">
        <v>58</v>
      </c>
    </row>
    <row r="106" ht="29" spans="1:46">
      <c r="A106" s="31" t="s">
        <v>83</v>
      </c>
      <c r="C106" t="s">
        <v>3437</v>
      </c>
      <c r="D106" s="5" t="s">
        <v>57</v>
      </c>
      <c r="E106">
        <v>2035</v>
      </c>
      <c r="F106" s="6" t="str">
        <f t="shared" si="11"/>
        <v>*0.95</v>
      </c>
      <c r="H106" t="s">
        <v>3437</v>
      </c>
      <c r="I106" s="5" t="s">
        <v>57</v>
      </c>
      <c r="J106">
        <v>2050</v>
      </c>
      <c r="K106" s="38" t="str">
        <f t="shared" si="12"/>
        <v>*0.92</v>
      </c>
      <c r="P106" s="32" t="s">
        <v>3437</v>
      </c>
      <c r="Q106" s="42" t="s">
        <v>57</v>
      </c>
      <c r="R106" s="32">
        <v>2035</v>
      </c>
      <c r="S106" s="43" t="str">
        <f t="shared" si="13"/>
        <v>*0.95</v>
      </c>
      <c r="U106" s="32" t="s">
        <v>3437</v>
      </c>
      <c r="V106" s="42" t="s">
        <v>57</v>
      </c>
      <c r="W106" s="32">
        <v>2050</v>
      </c>
      <c r="X106" s="43" t="str">
        <f t="shared" si="14"/>
        <v>*0.92</v>
      </c>
      <c r="AC106" s="33" t="s">
        <v>3437</v>
      </c>
      <c r="AD106" s="44" t="s">
        <v>57</v>
      </c>
      <c r="AE106" s="33">
        <v>2035</v>
      </c>
      <c r="AF106" s="45" t="str">
        <f t="shared" si="15"/>
        <v>*0.93</v>
      </c>
      <c r="AG106" s="43" t="str">
        <f t="shared" si="18"/>
        <v>REZoning_Sol-Win</v>
      </c>
      <c r="AI106" s="33" t="s">
        <v>3437</v>
      </c>
      <c r="AJ106" s="44" t="s">
        <v>57</v>
      </c>
      <c r="AK106" s="33">
        <v>2050</v>
      </c>
      <c r="AL106" s="45" t="str">
        <f t="shared" si="16"/>
        <v>*0.89</v>
      </c>
      <c r="AM106" s="43" t="str">
        <f t="shared" si="19"/>
        <v>REZoning_Sol-Win</v>
      </c>
      <c r="AP106" t="s">
        <v>3437</v>
      </c>
      <c r="AQ106" t="s">
        <v>57</v>
      </c>
      <c r="AR106">
        <f t="shared" si="17"/>
        <v>2100</v>
      </c>
      <c r="AS106" t="s">
        <v>937</v>
      </c>
      <c r="AT106" t="s">
        <v>58</v>
      </c>
    </row>
    <row r="107" ht="29" spans="1:46">
      <c r="A107" s="31" t="s">
        <v>83</v>
      </c>
      <c r="C107" t="s">
        <v>3438</v>
      </c>
      <c r="D107" s="5" t="s">
        <v>57</v>
      </c>
      <c r="E107">
        <v>2035</v>
      </c>
      <c r="F107" s="6" t="str">
        <f t="shared" si="11"/>
        <v>*0.95</v>
      </c>
      <c r="H107" t="s">
        <v>3438</v>
      </c>
      <c r="I107" s="5" t="s">
        <v>57</v>
      </c>
      <c r="J107">
        <v>2050</v>
      </c>
      <c r="K107" s="38" t="str">
        <f t="shared" si="12"/>
        <v>*0.92</v>
      </c>
      <c r="P107" s="32" t="s">
        <v>3438</v>
      </c>
      <c r="Q107" s="42" t="s">
        <v>57</v>
      </c>
      <c r="R107" s="32">
        <v>2035</v>
      </c>
      <c r="S107" s="43" t="str">
        <f t="shared" si="13"/>
        <v>*0.95</v>
      </c>
      <c r="U107" s="32" t="s">
        <v>3438</v>
      </c>
      <c r="V107" s="42" t="s">
        <v>57</v>
      </c>
      <c r="W107" s="32">
        <v>2050</v>
      </c>
      <c r="X107" s="43" t="str">
        <f t="shared" si="14"/>
        <v>*0.92</v>
      </c>
      <c r="AC107" s="33" t="s">
        <v>3438</v>
      </c>
      <c r="AD107" s="44" t="s">
        <v>57</v>
      </c>
      <c r="AE107" s="33">
        <v>2035</v>
      </c>
      <c r="AF107" s="45" t="str">
        <f t="shared" si="15"/>
        <v>*0.93</v>
      </c>
      <c r="AG107" s="43" t="str">
        <f t="shared" si="18"/>
        <v>REZoning_Sol-Win</v>
      </c>
      <c r="AI107" s="33" t="s">
        <v>3438</v>
      </c>
      <c r="AJ107" s="44" t="s">
        <v>57</v>
      </c>
      <c r="AK107" s="33">
        <v>2050</v>
      </c>
      <c r="AL107" s="45" t="str">
        <f t="shared" si="16"/>
        <v>*0.89</v>
      </c>
      <c r="AM107" s="43" t="str">
        <f t="shared" si="19"/>
        <v>REZoning_Sol-Win</v>
      </c>
      <c r="AP107" t="s">
        <v>3438</v>
      </c>
      <c r="AQ107" t="s">
        <v>57</v>
      </c>
      <c r="AR107">
        <f t="shared" si="17"/>
        <v>2100</v>
      </c>
      <c r="AS107" t="s">
        <v>937</v>
      </c>
      <c r="AT107" t="s">
        <v>58</v>
      </c>
    </row>
    <row r="108" ht="29" spans="1:46">
      <c r="A108" s="31" t="s">
        <v>83</v>
      </c>
      <c r="C108" t="s">
        <v>3439</v>
      </c>
      <c r="D108" s="5" t="s">
        <v>57</v>
      </c>
      <c r="E108">
        <v>2035</v>
      </c>
      <c r="F108" s="6" t="str">
        <f t="shared" si="11"/>
        <v>*0.95</v>
      </c>
      <c r="H108" t="s">
        <v>3439</v>
      </c>
      <c r="I108" s="5" t="s">
        <v>57</v>
      </c>
      <c r="J108">
        <v>2050</v>
      </c>
      <c r="K108" s="38" t="str">
        <f t="shared" si="12"/>
        <v>*0.92</v>
      </c>
      <c r="P108" s="32" t="s">
        <v>3439</v>
      </c>
      <c r="Q108" s="42" t="s">
        <v>57</v>
      </c>
      <c r="R108" s="32">
        <v>2035</v>
      </c>
      <c r="S108" s="43" t="str">
        <f t="shared" si="13"/>
        <v>*0.95</v>
      </c>
      <c r="U108" s="32" t="s">
        <v>3439</v>
      </c>
      <c r="V108" s="42" t="s">
        <v>57</v>
      </c>
      <c r="W108" s="32">
        <v>2050</v>
      </c>
      <c r="X108" s="43" t="str">
        <f t="shared" si="14"/>
        <v>*0.92</v>
      </c>
      <c r="AC108" s="33" t="s">
        <v>3439</v>
      </c>
      <c r="AD108" s="44" t="s">
        <v>57</v>
      </c>
      <c r="AE108" s="33">
        <v>2035</v>
      </c>
      <c r="AF108" s="45" t="str">
        <f t="shared" si="15"/>
        <v>*0.93</v>
      </c>
      <c r="AG108" s="43" t="str">
        <f t="shared" si="18"/>
        <v>REZoning_Sol-Win</v>
      </c>
      <c r="AI108" s="33" t="s">
        <v>3439</v>
      </c>
      <c r="AJ108" s="44" t="s">
        <v>57</v>
      </c>
      <c r="AK108" s="33">
        <v>2050</v>
      </c>
      <c r="AL108" s="45" t="str">
        <f t="shared" si="16"/>
        <v>*0.89</v>
      </c>
      <c r="AM108" s="43" t="str">
        <f t="shared" si="19"/>
        <v>REZoning_Sol-Win</v>
      </c>
      <c r="AP108" t="s">
        <v>3439</v>
      </c>
      <c r="AQ108" t="s">
        <v>57</v>
      </c>
      <c r="AR108">
        <f t="shared" si="17"/>
        <v>2100</v>
      </c>
      <c r="AS108" t="s">
        <v>937</v>
      </c>
      <c r="AT108" t="s">
        <v>58</v>
      </c>
    </row>
    <row r="109" ht="29" spans="1:46">
      <c r="A109" s="31" t="s">
        <v>83</v>
      </c>
      <c r="C109" t="s">
        <v>3440</v>
      </c>
      <c r="D109" s="5" t="s">
        <v>57</v>
      </c>
      <c r="E109">
        <v>2035</v>
      </c>
      <c r="F109" s="6" t="str">
        <f t="shared" si="11"/>
        <v>*0.95</v>
      </c>
      <c r="H109" t="s">
        <v>3440</v>
      </c>
      <c r="I109" s="5" t="s">
        <v>57</v>
      </c>
      <c r="J109">
        <v>2050</v>
      </c>
      <c r="K109" s="38" t="str">
        <f t="shared" si="12"/>
        <v>*0.92</v>
      </c>
      <c r="P109" s="32" t="s">
        <v>3440</v>
      </c>
      <c r="Q109" s="42" t="s">
        <v>57</v>
      </c>
      <c r="R109" s="32">
        <v>2035</v>
      </c>
      <c r="S109" s="43" t="str">
        <f t="shared" si="13"/>
        <v>*0.95</v>
      </c>
      <c r="U109" s="32" t="s">
        <v>3440</v>
      </c>
      <c r="V109" s="42" t="s">
        <v>57</v>
      </c>
      <c r="W109" s="32">
        <v>2050</v>
      </c>
      <c r="X109" s="43" t="str">
        <f t="shared" si="14"/>
        <v>*0.92</v>
      </c>
      <c r="AC109" s="33" t="s">
        <v>3440</v>
      </c>
      <c r="AD109" s="44" t="s">
        <v>57</v>
      </c>
      <c r="AE109" s="33">
        <v>2035</v>
      </c>
      <c r="AF109" s="45" t="str">
        <f t="shared" si="15"/>
        <v>*0.93</v>
      </c>
      <c r="AG109" s="43" t="str">
        <f t="shared" si="18"/>
        <v>REZoning_Sol-Win</v>
      </c>
      <c r="AI109" s="33" t="s">
        <v>3440</v>
      </c>
      <c r="AJ109" s="44" t="s">
        <v>57</v>
      </c>
      <c r="AK109" s="33">
        <v>2050</v>
      </c>
      <c r="AL109" s="45" t="str">
        <f t="shared" si="16"/>
        <v>*0.89</v>
      </c>
      <c r="AM109" s="43" t="str">
        <f t="shared" si="19"/>
        <v>REZoning_Sol-Win</v>
      </c>
      <c r="AP109" t="s">
        <v>3440</v>
      </c>
      <c r="AQ109" t="s">
        <v>57</v>
      </c>
      <c r="AR109">
        <f t="shared" si="17"/>
        <v>2100</v>
      </c>
      <c r="AS109" t="s">
        <v>937</v>
      </c>
      <c r="AT109" t="s">
        <v>58</v>
      </c>
    </row>
    <row r="110" ht="29" spans="1:46">
      <c r="A110" s="31" t="s">
        <v>83</v>
      </c>
      <c r="C110" t="s">
        <v>3441</v>
      </c>
      <c r="D110" s="5" t="s">
        <v>57</v>
      </c>
      <c r="E110">
        <v>2035</v>
      </c>
      <c r="F110" s="6" t="str">
        <f t="shared" si="11"/>
        <v>*0.95</v>
      </c>
      <c r="H110" t="s">
        <v>3441</v>
      </c>
      <c r="I110" s="5" t="s">
        <v>57</v>
      </c>
      <c r="J110">
        <v>2050</v>
      </c>
      <c r="K110" s="38" t="str">
        <f t="shared" si="12"/>
        <v>*0.92</v>
      </c>
      <c r="P110" s="32" t="s">
        <v>3441</v>
      </c>
      <c r="Q110" s="42" t="s">
        <v>57</v>
      </c>
      <c r="R110" s="32">
        <v>2035</v>
      </c>
      <c r="S110" s="43" t="str">
        <f t="shared" si="13"/>
        <v>*0.95</v>
      </c>
      <c r="U110" s="32" t="s">
        <v>3441</v>
      </c>
      <c r="V110" s="42" t="s">
        <v>57</v>
      </c>
      <c r="W110" s="32">
        <v>2050</v>
      </c>
      <c r="X110" s="43" t="str">
        <f t="shared" si="14"/>
        <v>*0.92</v>
      </c>
      <c r="AC110" s="33" t="s">
        <v>3441</v>
      </c>
      <c r="AD110" s="44" t="s">
        <v>57</v>
      </c>
      <c r="AE110" s="33">
        <v>2035</v>
      </c>
      <c r="AF110" s="45" t="str">
        <f t="shared" si="15"/>
        <v>*0.93</v>
      </c>
      <c r="AG110" s="43" t="str">
        <f t="shared" si="18"/>
        <v>REZoning_Sol-Win</v>
      </c>
      <c r="AI110" s="33" t="s">
        <v>3441</v>
      </c>
      <c r="AJ110" s="44" t="s">
        <v>57</v>
      </c>
      <c r="AK110" s="33">
        <v>2050</v>
      </c>
      <c r="AL110" s="45" t="str">
        <f t="shared" si="16"/>
        <v>*0.89</v>
      </c>
      <c r="AM110" s="43" t="str">
        <f t="shared" si="19"/>
        <v>REZoning_Sol-Win</v>
      </c>
      <c r="AP110" t="s">
        <v>3441</v>
      </c>
      <c r="AQ110" t="s">
        <v>57</v>
      </c>
      <c r="AR110">
        <f t="shared" si="17"/>
        <v>2100</v>
      </c>
      <c r="AS110" t="s">
        <v>937</v>
      </c>
      <c r="AT110" t="s">
        <v>58</v>
      </c>
    </row>
    <row r="111" ht="29" spans="1:46">
      <c r="A111" s="31" t="s">
        <v>83</v>
      </c>
      <c r="C111" t="s">
        <v>3442</v>
      </c>
      <c r="D111" s="5" t="s">
        <v>57</v>
      </c>
      <c r="E111">
        <v>2035</v>
      </c>
      <c r="F111" s="6" t="str">
        <f t="shared" si="11"/>
        <v>*0.95</v>
      </c>
      <c r="H111" t="s">
        <v>3442</v>
      </c>
      <c r="I111" s="5" t="s">
        <v>57</v>
      </c>
      <c r="J111">
        <v>2050</v>
      </c>
      <c r="K111" s="38" t="str">
        <f t="shared" si="12"/>
        <v>*0.92</v>
      </c>
      <c r="P111" s="32" t="s">
        <v>3442</v>
      </c>
      <c r="Q111" s="42" t="s">
        <v>57</v>
      </c>
      <c r="R111" s="32">
        <v>2035</v>
      </c>
      <c r="S111" s="43" t="str">
        <f t="shared" si="13"/>
        <v>*0.95</v>
      </c>
      <c r="U111" s="32" t="s">
        <v>3442</v>
      </c>
      <c r="V111" s="42" t="s">
        <v>57</v>
      </c>
      <c r="W111" s="32">
        <v>2050</v>
      </c>
      <c r="X111" s="43" t="str">
        <f t="shared" si="14"/>
        <v>*0.92</v>
      </c>
      <c r="AC111" s="33" t="s">
        <v>3442</v>
      </c>
      <c r="AD111" s="44" t="s">
        <v>57</v>
      </c>
      <c r="AE111" s="33">
        <v>2035</v>
      </c>
      <c r="AF111" s="45" t="str">
        <f t="shared" si="15"/>
        <v>*0.93</v>
      </c>
      <c r="AG111" s="43" t="str">
        <f t="shared" si="18"/>
        <v>REZoning_Sol-Win</v>
      </c>
      <c r="AI111" s="33" t="s">
        <v>3442</v>
      </c>
      <c r="AJ111" s="44" t="s">
        <v>57</v>
      </c>
      <c r="AK111" s="33">
        <v>2050</v>
      </c>
      <c r="AL111" s="45" t="str">
        <f t="shared" si="16"/>
        <v>*0.89</v>
      </c>
      <c r="AM111" s="43" t="str">
        <f t="shared" si="19"/>
        <v>REZoning_Sol-Win</v>
      </c>
      <c r="AP111" t="s">
        <v>3442</v>
      </c>
      <c r="AQ111" t="s">
        <v>57</v>
      </c>
      <c r="AR111">
        <f t="shared" si="17"/>
        <v>2100</v>
      </c>
      <c r="AS111" t="s">
        <v>937</v>
      </c>
      <c r="AT111" t="s">
        <v>58</v>
      </c>
    </row>
    <row r="112" ht="29" spans="1:46">
      <c r="A112" s="31" t="s">
        <v>83</v>
      </c>
      <c r="C112" t="s">
        <v>3443</v>
      </c>
      <c r="D112" s="5" t="s">
        <v>57</v>
      </c>
      <c r="E112">
        <v>2035</v>
      </c>
      <c r="F112" s="6" t="str">
        <f t="shared" si="11"/>
        <v>*0.95</v>
      </c>
      <c r="H112" t="s">
        <v>3443</v>
      </c>
      <c r="I112" s="5" t="s">
        <v>57</v>
      </c>
      <c r="J112">
        <v>2050</v>
      </c>
      <c r="K112" s="38" t="str">
        <f t="shared" si="12"/>
        <v>*0.92</v>
      </c>
      <c r="P112" s="32" t="s">
        <v>3443</v>
      </c>
      <c r="Q112" s="42" t="s">
        <v>57</v>
      </c>
      <c r="R112" s="32">
        <v>2035</v>
      </c>
      <c r="S112" s="43" t="str">
        <f t="shared" si="13"/>
        <v>*0.95</v>
      </c>
      <c r="U112" s="32" t="s">
        <v>3443</v>
      </c>
      <c r="V112" s="42" t="s">
        <v>57</v>
      </c>
      <c r="W112" s="32">
        <v>2050</v>
      </c>
      <c r="X112" s="43" t="str">
        <f t="shared" si="14"/>
        <v>*0.92</v>
      </c>
      <c r="AC112" s="33" t="s">
        <v>3443</v>
      </c>
      <c r="AD112" s="44" t="s">
        <v>57</v>
      </c>
      <c r="AE112" s="33">
        <v>2035</v>
      </c>
      <c r="AF112" s="45" t="str">
        <f t="shared" si="15"/>
        <v>*0.93</v>
      </c>
      <c r="AG112" s="43" t="str">
        <f t="shared" si="18"/>
        <v>REZoning_Sol-Win</v>
      </c>
      <c r="AI112" s="33" t="s">
        <v>3443</v>
      </c>
      <c r="AJ112" s="44" t="s">
        <v>57</v>
      </c>
      <c r="AK112" s="33">
        <v>2050</v>
      </c>
      <c r="AL112" s="45" t="str">
        <f t="shared" si="16"/>
        <v>*0.89</v>
      </c>
      <c r="AM112" s="43" t="str">
        <f t="shared" si="19"/>
        <v>REZoning_Sol-Win</v>
      </c>
      <c r="AP112" t="s">
        <v>3443</v>
      </c>
      <c r="AQ112" t="s">
        <v>57</v>
      </c>
      <c r="AR112">
        <f t="shared" si="17"/>
        <v>2100</v>
      </c>
      <c r="AS112" t="s">
        <v>937</v>
      </c>
      <c r="AT112" t="s">
        <v>58</v>
      </c>
    </row>
    <row r="113" ht="29" spans="1:46">
      <c r="A113" s="31" t="s">
        <v>98</v>
      </c>
      <c r="C113" t="s">
        <v>3444</v>
      </c>
      <c r="D113" s="5" t="s">
        <v>57</v>
      </c>
      <c r="E113">
        <v>2035</v>
      </c>
      <c r="F113" s="6" t="str">
        <f t="shared" si="11"/>
        <v>*0.96</v>
      </c>
      <c r="H113" t="s">
        <v>3444</v>
      </c>
      <c r="I113" s="5" t="s">
        <v>57</v>
      </c>
      <c r="J113">
        <v>2050</v>
      </c>
      <c r="K113" s="38" t="str">
        <f t="shared" si="12"/>
        <v>*0.94</v>
      </c>
      <c r="P113" s="32" t="s">
        <v>3444</v>
      </c>
      <c r="Q113" s="42" t="s">
        <v>57</v>
      </c>
      <c r="R113" s="32">
        <v>2035</v>
      </c>
      <c r="S113" s="43" t="str">
        <f t="shared" si="13"/>
        <v>*0.96</v>
      </c>
      <c r="U113" s="32" t="s">
        <v>3444</v>
      </c>
      <c r="V113" s="42" t="s">
        <v>57</v>
      </c>
      <c r="W113" s="32">
        <v>2050</v>
      </c>
      <c r="X113" s="43" t="str">
        <f t="shared" si="14"/>
        <v>*0.93</v>
      </c>
      <c r="AC113" s="33" t="s">
        <v>3444</v>
      </c>
      <c r="AD113" s="44" t="s">
        <v>57</v>
      </c>
      <c r="AE113" s="33">
        <v>2035</v>
      </c>
      <c r="AF113" s="45" t="str">
        <f t="shared" si="15"/>
        <v>*0.92</v>
      </c>
      <c r="AG113" s="43" t="str">
        <f t="shared" si="18"/>
        <v>REZoning_Sol-Win</v>
      </c>
      <c r="AI113" s="33" t="s">
        <v>3444</v>
      </c>
      <c r="AJ113" s="44" t="s">
        <v>57</v>
      </c>
      <c r="AK113" s="33">
        <v>2050</v>
      </c>
      <c r="AL113" s="45" t="str">
        <f t="shared" si="16"/>
        <v>*0.89</v>
      </c>
      <c r="AM113" s="43" t="str">
        <f t="shared" si="19"/>
        <v>REZoning_Sol-Win</v>
      </c>
      <c r="AP113" t="s">
        <v>3444</v>
      </c>
      <c r="AQ113" t="s">
        <v>57</v>
      </c>
      <c r="AR113">
        <f t="shared" si="17"/>
        <v>2100</v>
      </c>
      <c r="AS113" t="s">
        <v>937</v>
      </c>
      <c r="AT113" t="s">
        <v>58</v>
      </c>
    </row>
    <row r="114" ht="29" spans="1:46">
      <c r="A114" s="31" t="s">
        <v>98</v>
      </c>
      <c r="C114" t="s">
        <v>3445</v>
      </c>
      <c r="D114" s="5" t="s">
        <v>57</v>
      </c>
      <c r="E114">
        <v>2035</v>
      </c>
      <c r="F114" s="6" t="str">
        <f t="shared" si="11"/>
        <v>*0.96</v>
      </c>
      <c r="H114" t="s">
        <v>3445</v>
      </c>
      <c r="I114" s="5" t="s">
        <v>57</v>
      </c>
      <c r="J114">
        <v>2050</v>
      </c>
      <c r="K114" s="38" t="str">
        <f t="shared" si="12"/>
        <v>*0.94</v>
      </c>
      <c r="P114" s="32" t="s">
        <v>3445</v>
      </c>
      <c r="Q114" s="42" t="s">
        <v>57</v>
      </c>
      <c r="R114" s="32">
        <v>2035</v>
      </c>
      <c r="S114" s="43" t="str">
        <f t="shared" si="13"/>
        <v>*0.96</v>
      </c>
      <c r="U114" s="32" t="s">
        <v>3445</v>
      </c>
      <c r="V114" s="42" t="s">
        <v>57</v>
      </c>
      <c r="W114" s="32">
        <v>2050</v>
      </c>
      <c r="X114" s="43" t="str">
        <f t="shared" si="14"/>
        <v>*0.93</v>
      </c>
      <c r="AC114" s="33" t="s">
        <v>3445</v>
      </c>
      <c r="AD114" s="44" t="s">
        <v>57</v>
      </c>
      <c r="AE114" s="33">
        <v>2035</v>
      </c>
      <c r="AF114" s="45" t="str">
        <f t="shared" si="15"/>
        <v>*0.92</v>
      </c>
      <c r="AG114" s="43" t="str">
        <f t="shared" si="18"/>
        <v>REZoning_Sol-Win</v>
      </c>
      <c r="AI114" s="33" t="s">
        <v>3445</v>
      </c>
      <c r="AJ114" s="44" t="s">
        <v>57</v>
      </c>
      <c r="AK114" s="33">
        <v>2050</v>
      </c>
      <c r="AL114" s="45" t="str">
        <f t="shared" si="16"/>
        <v>*0.89</v>
      </c>
      <c r="AM114" s="43" t="str">
        <f t="shared" si="19"/>
        <v>REZoning_Sol-Win</v>
      </c>
      <c r="AP114" t="s">
        <v>3445</v>
      </c>
      <c r="AQ114" t="s">
        <v>57</v>
      </c>
      <c r="AR114">
        <f t="shared" si="17"/>
        <v>2100</v>
      </c>
      <c r="AS114" t="s">
        <v>937</v>
      </c>
      <c r="AT114" t="s">
        <v>58</v>
      </c>
    </row>
    <row r="115" ht="29" spans="1:46">
      <c r="A115" s="31" t="s">
        <v>98</v>
      </c>
      <c r="C115" t="s">
        <v>3446</v>
      </c>
      <c r="D115" s="5" t="s">
        <v>57</v>
      </c>
      <c r="E115">
        <v>2035</v>
      </c>
      <c r="F115" s="6" t="str">
        <f t="shared" si="11"/>
        <v>*0.96</v>
      </c>
      <c r="H115" t="s">
        <v>3446</v>
      </c>
      <c r="I115" s="5" t="s">
        <v>57</v>
      </c>
      <c r="J115">
        <v>2050</v>
      </c>
      <c r="K115" s="38" t="str">
        <f t="shared" si="12"/>
        <v>*0.94</v>
      </c>
      <c r="P115" s="32" t="s">
        <v>3446</v>
      </c>
      <c r="Q115" s="42" t="s">
        <v>57</v>
      </c>
      <c r="R115" s="32">
        <v>2035</v>
      </c>
      <c r="S115" s="43" t="str">
        <f t="shared" si="13"/>
        <v>*0.96</v>
      </c>
      <c r="U115" s="32" t="s">
        <v>3446</v>
      </c>
      <c r="V115" s="42" t="s">
        <v>57</v>
      </c>
      <c r="W115" s="32">
        <v>2050</v>
      </c>
      <c r="X115" s="43" t="str">
        <f t="shared" si="14"/>
        <v>*0.93</v>
      </c>
      <c r="AC115" s="33" t="s">
        <v>3446</v>
      </c>
      <c r="AD115" s="44" t="s">
        <v>57</v>
      </c>
      <c r="AE115" s="33">
        <v>2035</v>
      </c>
      <c r="AF115" s="45" t="str">
        <f t="shared" si="15"/>
        <v>*0.92</v>
      </c>
      <c r="AG115" s="43" t="str">
        <f t="shared" si="18"/>
        <v>REZoning_Sol-Win</v>
      </c>
      <c r="AI115" s="33" t="s">
        <v>3446</v>
      </c>
      <c r="AJ115" s="44" t="s">
        <v>57</v>
      </c>
      <c r="AK115" s="33">
        <v>2050</v>
      </c>
      <c r="AL115" s="45" t="str">
        <f t="shared" si="16"/>
        <v>*0.89</v>
      </c>
      <c r="AM115" s="43" t="str">
        <f t="shared" si="19"/>
        <v>REZoning_Sol-Win</v>
      </c>
      <c r="AP115" t="s">
        <v>3446</v>
      </c>
      <c r="AQ115" t="s">
        <v>57</v>
      </c>
      <c r="AR115">
        <f t="shared" si="17"/>
        <v>2100</v>
      </c>
      <c r="AS115" t="s">
        <v>937</v>
      </c>
      <c r="AT115" t="s">
        <v>58</v>
      </c>
    </row>
    <row r="116" ht="29" spans="1:46">
      <c r="A116" s="31" t="s">
        <v>98</v>
      </c>
      <c r="C116" t="s">
        <v>3447</v>
      </c>
      <c r="D116" s="5" t="s">
        <v>57</v>
      </c>
      <c r="E116">
        <v>2035</v>
      </c>
      <c r="F116" s="6" t="str">
        <f t="shared" si="11"/>
        <v>*0.96</v>
      </c>
      <c r="H116" t="s">
        <v>3447</v>
      </c>
      <c r="I116" s="5" t="s">
        <v>57</v>
      </c>
      <c r="J116">
        <v>2050</v>
      </c>
      <c r="K116" s="38" t="str">
        <f t="shared" si="12"/>
        <v>*0.94</v>
      </c>
      <c r="P116" s="32" t="s">
        <v>3447</v>
      </c>
      <c r="Q116" s="42" t="s">
        <v>57</v>
      </c>
      <c r="R116" s="32">
        <v>2035</v>
      </c>
      <c r="S116" s="43" t="str">
        <f t="shared" si="13"/>
        <v>*0.96</v>
      </c>
      <c r="U116" s="32" t="s">
        <v>3447</v>
      </c>
      <c r="V116" s="42" t="s">
        <v>57</v>
      </c>
      <c r="W116" s="32">
        <v>2050</v>
      </c>
      <c r="X116" s="43" t="str">
        <f t="shared" si="14"/>
        <v>*0.93</v>
      </c>
      <c r="AC116" s="33" t="s">
        <v>3447</v>
      </c>
      <c r="AD116" s="44" t="s">
        <v>57</v>
      </c>
      <c r="AE116" s="33">
        <v>2035</v>
      </c>
      <c r="AF116" s="45" t="str">
        <f t="shared" si="15"/>
        <v>*0.92</v>
      </c>
      <c r="AG116" s="43" t="str">
        <f t="shared" si="18"/>
        <v>REZoning_Sol-Win</v>
      </c>
      <c r="AI116" s="33" t="s">
        <v>3447</v>
      </c>
      <c r="AJ116" s="44" t="s">
        <v>57</v>
      </c>
      <c r="AK116" s="33">
        <v>2050</v>
      </c>
      <c r="AL116" s="45" t="str">
        <f t="shared" si="16"/>
        <v>*0.89</v>
      </c>
      <c r="AM116" s="43" t="str">
        <f t="shared" si="19"/>
        <v>REZoning_Sol-Win</v>
      </c>
      <c r="AP116" t="s">
        <v>3447</v>
      </c>
      <c r="AQ116" t="s">
        <v>57</v>
      </c>
      <c r="AR116">
        <f t="shared" si="17"/>
        <v>2100</v>
      </c>
      <c r="AS116" t="s">
        <v>937</v>
      </c>
      <c r="AT116" t="s">
        <v>58</v>
      </c>
    </row>
    <row r="117" ht="29" spans="1:46">
      <c r="A117" s="31" t="s">
        <v>98</v>
      </c>
      <c r="C117" t="s">
        <v>3448</v>
      </c>
      <c r="D117" s="5" t="s">
        <v>57</v>
      </c>
      <c r="E117">
        <v>2035</v>
      </c>
      <c r="F117" s="6" t="str">
        <f t="shared" si="11"/>
        <v>*0.96</v>
      </c>
      <c r="H117" t="s">
        <v>3448</v>
      </c>
      <c r="I117" s="5" t="s">
        <v>57</v>
      </c>
      <c r="J117">
        <v>2050</v>
      </c>
      <c r="K117" s="38" t="str">
        <f t="shared" si="12"/>
        <v>*0.94</v>
      </c>
      <c r="P117" s="32" t="s">
        <v>3448</v>
      </c>
      <c r="Q117" s="42" t="s">
        <v>57</v>
      </c>
      <c r="R117" s="32">
        <v>2035</v>
      </c>
      <c r="S117" s="43" t="str">
        <f t="shared" si="13"/>
        <v>*0.96</v>
      </c>
      <c r="U117" s="32" t="s">
        <v>3448</v>
      </c>
      <c r="V117" s="42" t="s">
        <v>57</v>
      </c>
      <c r="W117" s="32">
        <v>2050</v>
      </c>
      <c r="X117" s="43" t="str">
        <f t="shared" si="14"/>
        <v>*0.93</v>
      </c>
      <c r="AC117" s="33" t="s">
        <v>3448</v>
      </c>
      <c r="AD117" s="44" t="s">
        <v>57</v>
      </c>
      <c r="AE117" s="33">
        <v>2035</v>
      </c>
      <c r="AF117" s="45" t="str">
        <f t="shared" si="15"/>
        <v>*0.92</v>
      </c>
      <c r="AG117" s="43" t="str">
        <f t="shared" si="18"/>
        <v>REZoning_Sol-Win</v>
      </c>
      <c r="AI117" s="33" t="s">
        <v>3448</v>
      </c>
      <c r="AJ117" s="44" t="s">
        <v>57</v>
      </c>
      <c r="AK117" s="33">
        <v>2050</v>
      </c>
      <c r="AL117" s="45" t="str">
        <f t="shared" si="16"/>
        <v>*0.89</v>
      </c>
      <c r="AM117" s="43" t="str">
        <f t="shared" si="19"/>
        <v>REZoning_Sol-Win</v>
      </c>
      <c r="AP117" t="s">
        <v>3448</v>
      </c>
      <c r="AQ117" t="s">
        <v>57</v>
      </c>
      <c r="AR117">
        <f t="shared" si="17"/>
        <v>2100</v>
      </c>
      <c r="AS117" t="s">
        <v>937</v>
      </c>
      <c r="AT117" t="s">
        <v>58</v>
      </c>
    </row>
    <row r="118" ht="29" spans="1:46">
      <c r="A118" s="31" t="s">
        <v>98</v>
      </c>
      <c r="C118" t="s">
        <v>3449</v>
      </c>
      <c r="D118" s="5" t="s">
        <v>57</v>
      </c>
      <c r="E118">
        <v>2035</v>
      </c>
      <c r="F118" s="6" t="str">
        <f t="shared" si="11"/>
        <v>*0.96</v>
      </c>
      <c r="H118" t="s">
        <v>3449</v>
      </c>
      <c r="I118" s="5" t="s">
        <v>57</v>
      </c>
      <c r="J118">
        <v>2050</v>
      </c>
      <c r="K118" s="38" t="str">
        <f t="shared" si="12"/>
        <v>*0.94</v>
      </c>
      <c r="P118" s="32" t="s">
        <v>3449</v>
      </c>
      <c r="Q118" s="42" t="s">
        <v>57</v>
      </c>
      <c r="R118" s="32">
        <v>2035</v>
      </c>
      <c r="S118" s="43" t="str">
        <f t="shared" si="13"/>
        <v>*0.96</v>
      </c>
      <c r="U118" s="32" t="s">
        <v>3449</v>
      </c>
      <c r="V118" s="42" t="s">
        <v>57</v>
      </c>
      <c r="W118" s="32">
        <v>2050</v>
      </c>
      <c r="X118" s="43" t="str">
        <f t="shared" si="14"/>
        <v>*0.93</v>
      </c>
      <c r="AC118" s="33" t="s">
        <v>3449</v>
      </c>
      <c r="AD118" s="44" t="s">
        <v>57</v>
      </c>
      <c r="AE118" s="33">
        <v>2035</v>
      </c>
      <c r="AF118" s="45" t="str">
        <f t="shared" si="15"/>
        <v>*0.92</v>
      </c>
      <c r="AG118" s="43" t="str">
        <f t="shared" si="18"/>
        <v>REZoning_Sol-Win</v>
      </c>
      <c r="AI118" s="33" t="s">
        <v>3449</v>
      </c>
      <c r="AJ118" s="44" t="s">
        <v>57</v>
      </c>
      <c r="AK118" s="33">
        <v>2050</v>
      </c>
      <c r="AL118" s="45" t="str">
        <f t="shared" si="16"/>
        <v>*0.89</v>
      </c>
      <c r="AM118" s="43" t="str">
        <f t="shared" si="19"/>
        <v>REZoning_Sol-Win</v>
      </c>
      <c r="AP118" t="s">
        <v>3449</v>
      </c>
      <c r="AQ118" t="s">
        <v>57</v>
      </c>
      <c r="AR118">
        <f t="shared" si="17"/>
        <v>2100</v>
      </c>
      <c r="AS118" t="s">
        <v>937</v>
      </c>
      <c r="AT118" t="s">
        <v>58</v>
      </c>
    </row>
    <row r="119" ht="29" spans="1:46">
      <c r="A119" s="31" t="s">
        <v>98</v>
      </c>
      <c r="C119" t="s">
        <v>3450</v>
      </c>
      <c r="D119" s="5" t="s">
        <v>57</v>
      </c>
      <c r="E119">
        <v>2035</v>
      </c>
      <c r="F119" s="6" t="str">
        <f t="shared" si="11"/>
        <v>*0.96</v>
      </c>
      <c r="H119" t="s">
        <v>3450</v>
      </c>
      <c r="I119" s="5" t="s">
        <v>57</v>
      </c>
      <c r="J119">
        <v>2050</v>
      </c>
      <c r="K119" s="38" t="str">
        <f t="shared" si="12"/>
        <v>*0.94</v>
      </c>
      <c r="P119" s="32" t="s">
        <v>3450</v>
      </c>
      <c r="Q119" s="42" t="s">
        <v>57</v>
      </c>
      <c r="R119" s="32">
        <v>2035</v>
      </c>
      <c r="S119" s="43" t="str">
        <f t="shared" si="13"/>
        <v>*0.96</v>
      </c>
      <c r="U119" s="32" t="s">
        <v>3450</v>
      </c>
      <c r="V119" s="42" t="s">
        <v>57</v>
      </c>
      <c r="W119" s="32">
        <v>2050</v>
      </c>
      <c r="X119" s="43" t="str">
        <f t="shared" si="14"/>
        <v>*0.93</v>
      </c>
      <c r="AC119" s="33" t="s">
        <v>3450</v>
      </c>
      <c r="AD119" s="44" t="s">
        <v>57</v>
      </c>
      <c r="AE119" s="33">
        <v>2035</v>
      </c>
      <c r="AF119" s="45" t="str">
        <f t="shared" si="15"/>
        <v>*0.92</v>
      </c>
      <c r="AG119" s="43" t="str">
        <f t="shared" si="18"/>
        <v>REZoning_Sol-Win</v>
      </c>
      <c r="AI119" s="33" t="s">
        <v>3450</v>
      </c>
      <c r="AJ119" s="44" t="s">
        <v>57</v>
      </c>
      <c r="AK119" s="33">
        <v>2050</v>
      </c>
      <c r="AL119" s="45" t="str">
        <f t="shared" si="16"/>
        <v>*0.89</v>
      </c>
      <c r="AM119" s="43" t="str">
        <f t="shared" si="19"/>
        <v>REZoning_Sol-Win</v>
      </c>
      <c r="AP119" t="s">
        <v>3450</v>
      </c>
      <c r="AQ119" t="s">
        <v>57</v>
      </c>
      <c r="AR119">
        <f t="shared" si="17"/>
        <v>2100</v>
      </c>
      <c r="AS119" t="s">
        <v>937</v>
      </c>
      <c r="AT119" t="s">
        <v>58</v>
      </c>
    </row>
    <row r="120" ht="29" spans="1:46">
      <c r="A120" s="31" t="s">
        <v>98</v>
      </c>
      <c r="C120" t="s">
        <v>3451</v>
      </c>
      <c r="D120" s="5" t="s">
        <v>57</v>
      </c>
      <c r="E120">
        <v>2035</v>
      </c>
      <c r="F120" s="6" t="str">
        <f t="shared" si="11"/>
        <v>*0.96</v>
      </c>
      <c r="H120" t="s">
        <v>3451</v>
      </c>
      <c r="I120" s="5" t="s">
        <v>57</v>
      </c>
      <c r="J120">
        <v>2050</v>
      </c>
      <c r="K120" s="38" t="str">
        <f t="shared" si="12"/>
        <v>*0.94</v>
      </c>
      <c r="P120" s="32" t="s">
        <v>3451</v>
      </c>
      <c r="Q120" s="42" t="s">
        <v>57</v>
      </c>
      <c r="R120" s="32">
        <v>2035</v>
      </c>
      <c r="S120" s="43" t="str">
        <f t="shared" si="13"/>
        <v>*0.96</v>
      </c>
      <c r="U120" s="32" t="s">
        <v>3451</v>
      </c>
      <c r="V120" s="42" t="s">
        <v>57</v>
      </c>
      <c r="W120" s="32">
        <v>2050</v>
      </c>
      <c r="X120" s="43" t="str">
        <f t="shared" si="14"/>
        <v>*0.93</v>
      </c>
      <c r="AC120" s="33" t="s">
        <v>3451</v>
      </c>
      <c r="AD120" s="44" t="s">
        <v>57</v>
      </c>
      <c r="AE120" s="33">
        <v>2035</v>
      </c>
      <c r="AF120" s="45" t="str">
        <f t="shared" si="15"/>
        <v>*0.92</v>
      </c>
      <c r="AG120" s="43" t="str">
        <f t="shared" si="18"/>
        <v>REZoning_Sol-Win</v>
      </c>
      <c r="AI120" s="33" t="s">
        <v>3451</v>
      </c>
      <c r="AJ120" s="44" t="s">
        <v>57</v>
      </c>
      <c r="AK120" s="33">
        <v>2050</v>
      </c>
      <c r="AL120" s="45" t="str">
        <f t="shared" si="16"/>
        <v>*0.89</v>
      </c>
      <c r="AM120" s="43" t="str">
        <f t="shared" si="19"/>
        <v>REZoning_Sol-Win</v>
      </c>
      <c r="AP120" t="s">
        <v>3451</v>
      </c>
      <c r="AQ120" t="s">
        <v>57</v>
      </c>
      <c r="AR120">
        <f t="shared" si="17"/>
        <v>2100</v>
      </c>
      <c r="AS120" t="s">
        <v>937</v>
      </c>
      <c r="AT120" t="s">
        <v>58</v>
      </c>
    </row>
    <row r="121" ht="29" spans="1:46">
      <c r="A121" s="31" t="s">
        <v>98</v>
      </c>
      <c r="C121" t="s">
        <v>3452</v>
      </c>
      <c r="D121" s="5" t="s">
        <v>57</v>
      </c>
      <c r="E121">
        <v>2035</v>
      </c>
      <c r="F121" s="6" t="str">
        <f t="shared" si="11"/>
        <v>*0.96</v>
      </c>
      <c r="H121" t="s">
        <v>3452</v>
      </c>
      <c r="I121" s="5" t="s">
        <v>57</v>
      </c>
      <c r="J121">
        <v>2050</v>
      </c>
      <c r="K121" s="38" t="str">
        <f t="shared" si="12"/>
        <v>*0.94</v>
      </c>
      <c r="P121" s="32" t="s">
        <v>3452</v>
      </c>
      <c r="Q121" s="42" t="s">
        <v>57</v>
      </c>
      <c r="R121" s="32">
        <v>2035</v>
      </c>
      <c r="S121" s="43" t="str">
        <f t="shared" si="13"/>
        <v>*0.96</v>
      </c>
      <c r="U121" s="32" t="s">
        <v>3452</v>
      </c>
      <c r="V121" s="42" t="s">
        <v>57</v>
      </c>
      <c r="W121" s="32">
        <v>2050</v>
      </c>
      <c r="X121" s="43" t="str">
        <f t="shared" si="14"/>
        <v>*0.93</v>
      </c>
      <c r="AC121" s="33" t="s">
        <v>3452</v>
      </c>
      <c r="AD121" s="44" t="s">
        <v>57</v>
      </c>
      <c r="AE121" s="33">
        <v>2035</v>
      </c>
      <c r="AF121" s="45" t="str">
        <f t="shared" si="15"/>
        <v>*0.92</v>
      </c>
      <c r="AG121" s="43" t="str">
        <f t="shared" si="18"/>
        <v>REZoning_Sol-Win</v>
      </c>
      <c r="AI121" s="33" t="s">
        <v>3452</v>
      </c>
      <c r="AJ121" s="44" t="s">
        <v>57</v>
      </c>
      <c r="AK121" s="33">
        <v>2050</v>
      </c>
      <c r="AL121" s="45" t="str">
        <f t="shared" si="16"/>
        <v>*0.89</v>
      </c>
      <c r="AM121" s="43" t="str">
        <f t="shared" si="19"/>
        <v>REZoning_Sol-Win</v>
      </c>
      <c r="AP121" t="s">
        <v>3452</v>
      </c>
      <c r="AQ121" t="s">
        <v>57</v>
      </c>
      <c r="AR121">
        <f t="shared" si="17"/>
        <v>2100</v>
      </c>
      <c r="AS121" t="s">
        <v>937</v>
      </c>
      <c r="AT121" t="s">
        <v>58</v>
      </c>
    </row>
    <row r="122" ht="29" spans="1:46">
      <c r="A122" s="31" t="s">
        <v>98</v>
      </c>
      <c r="C122" t="s">
        <v>3453</v>
      </c>
      <c r="D122" s="5" t="s">
        <v>57</v>
      </c>
      <c r="E122">
        <v>2035</v>
      </c>
      <c r="F122" s="6" t="str">
        <f t="shared" si="11"/>
        <v>*0.96</v>
      </c>
      <c r="H122" t="s">
        <v>3453</v>
      </c>
      <c r="I122" s="5" t="s">
        <v>57</v>
      </c>
      <c r="J122">
        <v>2050</v>
      </c>
      <c r="K122" s="38" t="str">
        <f t="shared" si="12"/>
        <v>*0.94</v>
      </c>
      <c r="P122" s="32" t="s">
        <v>3453</v>
      </c>
      <c r="Q122" s="42" t="s">
        <v>57</v>
      </c>
      <c r="R122" s="32">
        <v>2035</v>
      </c>
      <c r="S122" s="43" t="str">
        <f t="shared" si="13"/>
        <v>*0.96</v>
      </c>
      <c r="U122" s="32" t="s">
        <v>3453</v>
      </c>
      <c r="V122" s="42" t="s">
        <v>57</v>
      </c>
      <c r="W122" s="32">
        <v>2050</v>
      </c>
      <c r="X122" s="43" t="str">
        <f t="shared" si="14"/>
        <v>*0.93</v>
      </c>
      <c r="AC122" s="33" t="s">
        <v>3453</v>
      </c>
      <c r="AD122" s="44" t="s">
        <v>57</v>
      </c>
      <c r="AE122" s="33">
        <v>2035</v>
      </c>
      <c r="AF122" s="45" t="str">
        <f t="shared" si="15"/>
        <v>*0.92</v>
      </c>
      <c r="AG122" s="43" t="str">
        <f t="shared" si="18"/>
        <v>REZoning_Sol-Win</v>
      </c>
      <c r="AI122" s="33" t="s">
        <v>3453</v>
      </c>
      <c r="AJ122" s="44" t="s">
        <v>57</v>
      </c>
      <c r="AK122" s="33">
        <v>2050</v>
      </c>
      <c r="AL122" s="45" t="str">
        <f t="shared" si="16"/>
        <v>*0.89</v>
      </c>
      <c r="AM122" s="43" t="str">
        <f t="shared" si="19"/>
        <v>REZoning_Sol-Win</v>
      </c>
      <c r="AP122" t="s">
        <v>3453</v>
      </c>
      <c r="AQ122" t="s">
        <v>57</v>
      </c>
      <c r="AR122">
        <f t="shared" si="17"/>
        <v>2100</v>
      </c>
      <c r="AS122" t="s">
        <v>937</v>
      </c>
      <c r="AT122" t="s">
        <v>58</v>
      </c>
    </row>
    <row r="123" ht="29" spans="1:46">
      <c r="A123" s="31" t="s">
        <v>98</v>
      </c>
      <c r="C123" t="s">
        <v>3454</v>
      </c>
      <c r="D123" s="5" t="s">
        <v>57</v>
      </c>
      <c r="E123">
        <v>2035</v>
      </c>
      <c r="F123" s="6" t="str">
        <f t="shared" si="11"/>
        <v>*0.96</v>
      </c>
      <c r="H123" t="s">
        <v>3454</v>
      </c>
      <c r="I123" s="5" t="s">
        <v>57</v>
      </c>
      <c r="J123">
        <v>2050</v>
      </c>
      <c r="K123" s="38" t="str">
        <f t="shared" si="12"/>
        <v>*0.94</v>
      </c>
      <c r="P123" s="32" t="s">
        <v>3454</v>
      </c>
      <c r="Q123" s="42" t="s">
        <v>57</v>
      </c>
      <c r="R123" s="32">
        <v>2035</v>
      </c>
      <c r="S123" s="43" t="str">
        <f t="shared" si="13"/>
        <v>*0.96</v>
      </c>
      <c r="U123" s="32" t="s">
        <v>3454</v>
      </c>
      <c r="V123" s="42" t="s">
        <v>57</v>
      </c>
      <c r="W123" s="32">
        <v>2050</v>
      </c>
      <c r="X123" s="43" t="str">
        <f t="shared" si="14"/>
        <v>*0.93</v>
      </c>
      <c r="AC123" s="33" t="s">
        <v>3454</v>
      </c>
      <c r="AD123" s="44" t="s">
        <v>57</v>
      </c>
      <c r="AE123" s="33">
        <v>2035</v>
      </c>
      <c r="AF123" s="45" t="str">
        <f t="shared" si="15"/>
        <v>*0.92</v>
      </c>
      <c r="AG123" s="43" t="str">
        <f t="shared" si="18"/>
        <v>REZoning_Sol-Win</v>
      </c>
      <c r="AI123" s="33" t="s">
        <v>3454</v>
      </c>
      <c r="AJ123" s="44" t="s">
        <v>57</v>
      </c>
      <c r="AK123" s="33">
        <v>2050</v>
      </c>
      <c r="AL123" s="45" t="str">
        <f t="shared" si="16"/>
        <v>*0.89</v>
      </c>
      <c r="AM123" s="43" t="str">
        <f t="shared" si="19"/>
        <v>REZoning_Sol-Win</v>
      </c>
      <c r="AP123" t="s">
        <v>3454</v>
      </c>
      <c r="AQ123" t="s">
        <v>57</v>
      </c>
      <c r="AR123">
        <f t="shared" si="17"/>
        <v>2100</v>
      </c>
      <c r="AS123" t="s">
        <v>937</v>
      </c>
      <c r="AT123" t="s">
        <v>58</v>
      </c>
    </row>
    <row r="124" ht="29" spans="1:46">
      <c r="A124" s="31" t="s">
        <v>98</v>
      </c>
      <c r="C124" t="s">
        <v>3455</v>
      </c>
      <c r="D124" s="5" t="s">
        <v>57</v>
      </c>
      <c r="E124">
        <v>2035</v>
      </c>
      <c r="F124" s="6" t="str">
        <f t="shared" si="11"/>
        <v>*0.96</v>
      </c>
      <c r="H124" t="s">
        <v>3455</v>
      </c>
      <c r="I124" s="5" t="s">
        <v>57</v>
      </c>
      <c r="J124">
        <v>2050</v>
      </c>
      <c r="K124" s="38" t="str">
        <f t="shared" si="12"/>
        <v>*0.94</v>
      </c>
      <c r="P124" s="32" t="s">
        <v>3455</v>
      </c>
      <c r="Q124" s="42" t="s">
        <v>57</v>
      </c>
      <c r="R124" s="32">
        <v>2035</v>
      </c>
      <c r="S124" s="43" t="str">
        <f t="shared" si="13"/>
        <v>*0.96</v>
      </c>
      <c r="U124" s="32" t="s">
        <v>3455</v>
      </c>
      <c r="V124" s="42" t="s">
        <v>57</v>
      </c>
      <c r="W124" s="32">
        <v>2050</v>
      </c>
      <c r="X124" s="43" t="str">
        <f t="shared" si="14"/>
        <v>*0.93</v>
      </c>
      <c r="AC124" s="33" t="s">
        <v>3455</v>
      </c>
      <c r="AD124" s="44" t="s">
        <v>57</v>
      </c>
      <c r="AE124" s="33">
        <v>2035</v>
      </c>
      <c r="AF124" s="45" t="str">
        <f t="shared" si="15"/>
        <v>*0.92</v>
      </c>
      <c r="AG124" s="43" t="str">
        <f t="shared" si="18"/>
        <v>REZoning_Sol-Win</v>
      </c>
      <c r="AI124" s="33" t="s">
        <v>3455</v>
      </c>
      <c r="AJ124" s="44" t="s">
        <v>57</v>
      </c>
      <c r="AK124" s="33">
        <v>2050</v>
      </c>
      <c r="AL124" s="45" t="str">
        <f t="shared" si="16"/>
        <v>*0.89</v>
      </c>
      <c r="AM124" s="43" t="str">
        <f t="shared" si="19"/>
        <v>REZoning_Sol-Win</v>
      </c>
      <c r="AP124" t="s">
        <v>3455</v>
      </c>
      <c r="AQ124" t="s">
        <v>57</v>
      </c>
      <c r="AR124">
        <f t="shared" si="17"/>
        <v>2100</v>
      </c>
      <c r="AS124" t="s">
        <v>937</v>
      </c>
      <c r="AT124" t="s">
        <v>58</v>
      </c>
    </row>
    <row r="125" ht="29" spans="1:46">
      <c r="A125" s="31" t="s">
        <v>98</v>
      </c>
      <c r="C125" t="s">
        <v>3456</v>
      </c>
      <c r="D125" s="5" t="s">
        <v>57</v>
      </c>
      <c r="E125">
        <v>2035</v>
      </c>
      <c r="F125" s="6" t="str">
        <f t="shared" si="11"/>
        <v>*0.96</v>
      </c>
      <c r="H125" t="s">
        <v>3456</v>
      </c>
      <c r="I125" s="5" t="s">
        <v>57</v>
      </c>
      <c r="J125">
        <v>2050</v>
      </c>
      <c r="K125" s="38" t="str">
        <f t="shared" si="12"/>
        <v>*0.94</v>
      </c>
      <c r="P125" s="32" t="s">
        <v>3456</v>
      </c>
      <c r="Q125" s="42" t="s">
        <v>57</v>
      </c>
      <c r="R125" s="32">
        <v>2035</v>
      </c>
      <c r="S125" s="43" t="str">
        <f t="shared" si="13"/>
        <v>*0.96</v>
      </c>
      <c r="U125" s="32" t="s">
        <v>3456</v>
      </c>
      <c r="V125" s="42" t="s">
        <v>57</v>
      </c>
      <c r="W125" s="32">
        <v>2050</v>
      </c>
      <c r="X125" s="43" t="str">
        <f t="shared" si="14"/>
        <v>*0.93</v>
      </c>
      <c r="AC125" s="33" t="s">
        <v>3456</v>
      </c>
      <c r="AD125" s="44" t="s">
        <v>57</v>
      </c>
      <c r="AE125" s="33">
        <v>2035</v>
      </c>
      <c r="AF125" s="45" t="str">
        <f t="shared" si="15"/>
        <v>*0.92</v>
      </c>
      <c r="AG125" s="43" t="str">
        <f t="shared" si="18"/>
        <v>REZoning_Sol-Win</v>
      </c>
      <c r="AI125" s="33" t="s">
        <v>3456</v>
      </c>
      <c r="AJ125" s="44" t="s">
        <v>57</v>
      </c>
      <c r="AK125" s="33">
        <v>2050</v>
      </c>
      <c r="AL125" s="45" t="str">
        <f t="shared" si="16"/>
        <v>*0.89</v>
      </c>
      <c r="AM125" s="43" t="str">
        <f t="shared" si="19"/>
        <v>REZoning_Sol-Win</v>
      </c>
      <c r="AP125" t="s">
        <v>3456</v>
      </c>
      <c r="AQ125" t="s">
        <v>57</v>
      </c>
      <c r="AR125">
        <f t="shared" si="17"/>
        <v>2100</v>
      </c>
      <c r="AS125" t="s">
        <v>937</v>
      </c>
      <c r="AT125" t="s">
        <v>58</v>
      </c>
    </row>
    <row r="126" ht="29" spans="1:46">
      <c r="A126" s="31" t="s">
        <v>98</v>
      </c>
      <c r="C126" t="s">
        <v>3457</v>
      </c>
      <c r="D126" s="5" t="s">
        <v>57</v>
      </c>
      <c r="E126">
        <v>2035</v>
      </c>
      <c r="F126" s="6" t="str">
        <f t="shared" si="11"/>
        <v>*0.96</v>
      </c>
      <c r="H126" t="s">
        <v>3457</v>
      </c>
      <c r="I126" s="5" t="s">
        <v>57</v>
      </c>
      <c r="J126">
        <v>2050</v>
      </c>
      <c r="K126" s="38" t="str">
        <f t="shared" si="12"/>
        <v>*0.94</v>
      </c>
      <c r="P126" s="32" t="s">
        <v>3457</v>
      </c>
      <c r="Q126" s="42" t="s">
        <v>57</v>
      </c>
      <c r="R126" s="32">
        <v>2035</v>
      </c>
      <c r="S126" s="43" t="str">
        <f t="shared" si="13"/>
        <v>*0.96</v>
      </c>
      <c r="U126" s="32" t="s">
        <v>3457</v>
      </c>
      <c r="V126" s="42" t="s">
        <v>57</v>
      </c>
      <c r="W126" s="32">
        <v>2050</v>
      </c>
      <c r="X126" s="43" t="str">
        <f t="shared" si="14"/>
        <v>*0.93</v>
      </c>
      <c r="AC126" s="33" t="s">
        <v>3457</v>
      </c>
      <c r="AD126" s="44" t="s">
        <v>57</v>
      </c>
      <c r="AE126" s="33">
        <v>2035</v>
      </c>
      <c r="AF126" s="45" t="str">
        <f t="shared" si="15"/>
        <v>*0.92</v>
      </c>
      <c r="AG126" s="43" t="str">
        <f t="shared" si="18"/>
        <v>REZoning_Sol-Win</v>
      </c>
      <c r="AI126" s="33" t="s">
        <v>3457</v>
      </c>
      <c r="AJ126" s="44" t="s">
        <v>57</v>
      </c>
      <c r="AK126" s="33">
        <v>2050</v>
      </c>
      <c r="AL126" s="45" t="str">
        <f t="shared" si="16"/>
        <v>*0.89</v>
      </c>
      <c r="AM126" s="43" t="str">
        <f t="shared" si="19"/>
        <v>REZoning_Sol-Win</v>
      </c>
      <c r="AP126" t="s">
        <v>3457</v>
      </c>
      <c r="AQ126" t="s">
        <v>57</v>
      </c>
      <c r="AR126">
        <f t="shared" si="17"/>
        <v>2100</v>
      </c>
      <c r="AS126" t="s">
        <v>937</v>
      </c>
      <c r="AT126" t="s">
        <v>58</v>
      </c>
    </row>
    <row r="127" ht="29" spans="1:46">
      <c r="A127" s="31" t="s">
        <v>98</v>
      </c>
      <c r="C127" t="s">
        <v>3458</v>
      </c>
      <c r="D127" s="5" t="s">
        <v>57</v>
      </c>
      <c r="E127">
        <v>2035</v>
      </c>
      <c r="F127" s="6" t="str">
        <f t="shared" si="11"/>
        <v>*0.96</v>
      </c>
      <c r="H127" t="s">
        <v>3458</v>
      </c>
      <c r="I127" s="5" t="s">
        <v>57</v>
      </c>
      <c r="J127">
        <v>2050</v>
      </c>
      <c r="K127" s="38" t="str">
        <f t="shared" si="12"/>
        <v>*0.94</v>
      </c>
      <c r="P127" s="32" t="s">
        <v>3458</v>
      </c>
      <c r="Q127" s="42" t="s">
        <v>57</v>
      </c>
      <c r="R127" s="32">
        <v>2035</v>
      </c>
      <c r="S127" s="43" t="str">
        <f t="shared" si="13"/>
        <v>*0.96</v>
      </c>
      <c r="U127" s="32" t="s">
        <v>3458</v>
      </c>
      <c r="V127" s="42" t="s">
        <v>57</v>
      </c>
      <c r="W127" s="32">
        <v>2050</v>
      </c>
      <c r="X127" s="43" t="str">
        <f t="shared" si="14"/>
        <v>*0.93</v>
      </c>
      <c r="AC127" s="33" t="s">
        <v>3458</v>
      </c>
      <c r="AD127" s="44" t="s">
        <v>57</v>
      </c>
      <c r="AE127" s="33">
        <v>2035</v>
      </c>
      <c r="AF127" s="45" t="str">
        <f t="shared" si="15"/>
        <v>*0.92</v>
      </c>
      <c r="AG127" s="43" t="str">
        <f t="shared" si="18"/>
        <v>REZoning_Sol-Win</v>
      </c>
      <c r="AI127" s="33" t="s">
        <v>3458</v>
      </c>
      <c r="AJ127" s="44" t="s">
        <v>57</v>
      </c>
      <c r="AK127" s="33">
        <v>2050</v>
      </c>
      <c r="AL127" s="45" t="str">
        <f t="shared" si="16"/>
        <v>*0.89</v>
      </c>
      <c r="AM127" s="43" t="str">
        <f t="shared" si="19"/>
        <v>REZoning_Sol-Win</v>
      </c>
      <c r="AP127" t="s">
        <v>3458</v>
      </c>
      <c r="AQ127" t="s">
        <v>57</v>
      </c>
      <c r="AR127">
        <f t="shared" si="17"/>
        <v>2100</v>
      </c>
      <c r="AS127" t="s">
        <v>937</v>
      </c>
      <c r="AT127" t="s">
        <v>58</v>
      </c>
    </row>
    <row r="128" ht="29" spans="1:46">
      <c r="A128" s="31" t="s">
        <v>98</v>
      </c>
      <c r="C128" t="s">
        <v>3459</v>
      </c>
      <c r="D128" s="5" t="s">
        <v>57</v>
      </c>
      <c r="E128">
        <v>2035</v>
      </c>
      <c r="F128" s="6" t="str">
        <f t="shared" si="11"/>
        <v>*0.96</v>
      </c>
      <c r="H128" t="s">
        <v>3459</v>
      </c>
      <c r="I128" s="5" t="s">
        <v>57</v>
      </c>
      <c r="J128">
        <v>2050</v>
      </c>
      <c r="K128" s="38" t="str">
        <f t="shared" si="12"/>
        <v>*0.94</v>
      </c>
      <c r="P128" s="32" t="s">
        <v>3459</v>
      </c>
      <c r="Q128" s="42" t="s">
        <v>57</v>
      </c>
      <c r="R128" s="32">
        <v>2035</v>
      </c>
      <c r="S128" s="43" t="str">
        <f t="shared" si="13"/>
        <v>*0.96</v>
      </c>
      <c r="U128" s="32" t="s">
        <v>3459</v>
      </c>
      <c r="V128" s="42" t="s">
        <v>57</v>
      </c>
      <c r="W128" s="32">
        <v>2050</v>
      </c>
      <c r="X128" s="43" t="str">
        <f t="shared" si="14"/>
        <v>*0.93</v>
      </c>
      <c r="AC128" s="33" t="s">
        <v>3459</v>
      </c>
      <c r="AD128" s="44" t="s">
        <v>57</v>
      </c>
      <c r="AE128" s="33">
        <v>2035</v>
      </c>
      <c r="AF128" s="45" t="str">
        <f t="shared" si="15"/>
        <v>*0.92</v>
      </c>
      <c r="AG128" s="43" t="str">
        <f t="shared" si="18"/>
        <v>REZoning_Sol-Win</v>
      </c>
      <c r="AI128" s="33" t="s">
        <v>3459</v>
      </c>
      <c r="AJ128" s="44" t="s">
        <v>57</v>
      </c>
      <c r="AK128" s="33">
        <v>2050</v>
      </c>
      <c r="AL128" s="45" t="str">
        <f t="shared" si="16"/>
        <v>*0.89</v>
      </c>
      <c r="AM128" s="43" t="str">
        <f t="shared" si="19"/>
        <v>REZoning_Sol-Win</v>
      </c>
      <c r="AP128" t="s">
        <v>3459</v>
      </c>
      <c r="AQ128" t="s">
        <v>57</v>
      </c>
      <c r="AR128">
        <f t="shared" si="17"/>
        <v>2100</v>
      </c>
      <c r="AS128" t="s">
        <v>937</v>
      </c>
      <c r="AT128" t="s">
        <v>58</v>
      </c>
    </row>
    <row r="129" ht="29" spans="1:46">
      <c r="A129" s="31" t="s">
        <v>98</v>
      </c>
      <c r="C129" t="s">
        <v>3460</v>
      </c>
      <c r="D129" s="5" t="s">
        <v>57</v>
      </c>
      <c r="E129">
        <v>2035</v>
      </c>
      <c r="F129" s="6" t="str">
        <f t="shared" si="11"/>
        <v>*0.96</v>
      </c>
      <c r="H129" t="s">
        <v>3460</v>
      </c>
      <c r="I129" s="5" t="s">
        <v>57</v>
      </c>
      <c r="J129">
        <v>2050</v>
      </c>
      <c r="K129" s="38" t="str">
        <f t="shared" si="12"/>
        <v>*0.94</v>
      </c>
      <c r="P129" s="32" t="s">
        <v>3460</v>
      </c>
      <c r="Q129" s="42" t="s">
        <v>57</v>
      </c>
      <c r="R129" s="32">
        <v>2035</v>
      </c>
      <c r="S129" s="43" t="str">
        <f t="shared" si="13"/>
        <v>*0.96</v>
      </c>
      <c r="U129" s="32" t="s">
        <v>3460</v>
      </c>
      <c r="V129" s="42" t="s">
        <v>57</v>
      </c>
      <c r="W129" s="32">
        <v>2050</v>
      </c>
      <c r="X129" s="43" t="str">
        <f t="shared" si="14"/>
        <v>*0.93</v>
      </c>
      <c r="AC129" s="33" t="s">
        <v>3460</v>
      </c>
      <c r="AD129" s="44" t="s">
        <v>57</v>
      </c>
      <c r="AE129" s="33">
        <v>2035</v>
      </c>
      <c r="AF129" s="45" t="str">
        <f t="shared" si="15"/>
        <v>*0.92</v>
      </c>
      <c r="AG129" s="43" t="str">
        <f t="shared" si="18"/>
        <v>REZoning_Sol-Win</v>
      </c>
      <c r="AI129" s="33" t="s">
        <v>3460</v>
      </c>
      <c r="AJ129" s="44" t="s">
        <v>57</v>
      </c>
      <c r="AK129" s="33">
        <v>2050</v>
      </c>
      <c r="AL129" s="45" t="str">
        <f t="shared" si="16"/>
        <v>*0.89</v>
      </c>
      <c r="AM129" s="43" t="str">
        <f t="shared" si="19"/>
        <v>REZoning_Sol-Win</v>
      </c>
      <c r="AP129" t="s">
        <v>3460</v>
      </c>
      <c r="AQ129" t="s">
        <v>57</v>
      </c>
      <c r="AR129">
        <f t="shared" si="17"/>
        <v>2100</v>
      </c>
      <c r="AS129" t="s">
        <v>937</v>
      </c>
      <c r="AT129" t="s">
        <v>58</v>
      </c>
    </row>
    <row r="130" ht="29" spans="1:46">
      <c r="A130" s="31" t="s">
        <v>98</v>
      </c>
      <c r="C130" t="s">
        <v>3461</v>
      </c>
      <c r="D130" s="5" t="s">
        <v>57</v>
      </c>
      <c r="E130">
        <v>2035</v>
      </c>
      <c r="F130" s="6" t="str">
        <f t="shared" si="11"/>
        <v>*0.96</v>
      </c>
      <c r="H130" t="s">
        <v>3461</v>
      </c>
      <c r="I130" s="5" t="s">
        <v>57</v>
      </c>
      <c r="J130">
        <v>2050</v>
      </c>
      <c r="K130" s="38" t="str">
        <f t="shared" si="12"/>
        <v>*0.94</v>
      </c>
      <c r="P130" s="32" t="s">
        <v>3461</v>
      </c>
      <c r="Q130" s="42" t="s">
        <v>57</v>
      </c>
      <c r="R130" s="32">
        <v>2035</v>
      </c>
      <c r="S130" s="43" t="str">
        <f t="shared" si="13"/>
        <v>*0.96</v>
      </c>
      <c r="U130" s="32" t="s">
        <v>3461</v>
      </c>
      <c r="V130" s="42" t="s">
        <v>57</v>
      </c>
      <c r="W130" s="32">
        <v>2050</v>
      </c>
      <c r="X130" s="43" t="str">
        <f t="shared" si="14"/>
        <v>*0.93</v>
      </c>
      <c r="AC130" s="33" t="s">
        <v>3461</v>
      </c>
      <c r="AD130" s="44" t="s">
        <v>57</v>
      </c>
      <c r="AE130" s="33">
        <v>2035</v>
      </c>
      <c r="AF130" s="45" t="str">
        <f t="shared" si="15"/>
        <v>*0.92</v>
      </c>
      <c r="AG130" s="43" t="str">
        <f t="shared" si="18"/>
        <v>REZoning_Sol-Win</v>
      </c>
      <c r="AI130" s="33" t="s">
        <v>3461</v>
      </c>
      <c r="AJ130" s="44" t="s">
        <v>57</v>
      </c>
      <c r="AK130" s="33">
        <v>2050</v>
      </c>
      <c r="AL130" s="45" t="str">
        <f t="shared" si="16"/>
        <v>*0.89</v>
      </c>
      <c r="AM130" s="43" t="str">
        <f t="shared" si="19"/>
        <v>REZoning_Sol-Win</v>
      </c>
      <c r="AP130" t="s">
        <v>3461</v>
      </c>
      <c r="AQ130" t="s">
        <v>57</v>
      </c>
      <c r="AR130">
        <f t="shared" si="17"/>
        <v>2100</v>
      </c>
      <c r="AS130" t="s">
        <v>937</v>
      </c>
      <c r="AT130" t="s">
        <v>58</v>
      </c>
    </row>
    <row r="131" ht="29" spans="1:46">
      <c r="A131" s="31" t="s">
        <v>98</v>
      </c>
      <c r="C131" t="s">
        <v>3462</v>
      </c>
      <c r="D131" s="5" t="s">
        <v>57</v>
      </c>
      <c r="E131">
        <v>2035</v>
      </c>
      <c r="F131" s="6" t="str">
        <f t="shared" si="11"/>
        <v>*0.96</v>
      </c>
      <c r="H131" t="s">
        <v>3462</v>
      </c>
      <c r="I131" s="5" t="s">
        <v>57</v>
      </c>
      <c r="J131">
        <v>2050</v>
      </c>
      <c r="K131" s="38" t="str">
        <f t="shared" si="12"/>
        <v>*0.94</v>
      </c>
      <c r="P131" s="32" t="s">
        <v>3462</v>
      </c>
      <c r="Q131" s="42" t="s">
        <v>57</v>
      </c>
      <c r="R131" s="32">
        <v>2035</v>
      </c>
      <c r="S131" s="43" t="str">
        <f t="shared" si="13"/>
        <v>*0.96</v>
      </c>
      <c r="U131" s="32" t="s">
        <v>3462</v>
      </c>
      <c r="V131" s="42" t="s">
        <v>57</v>
      </c>
      <c r="W131" s="32">
        <v>2050</v>
      </c>
      <c r="X131" s="43" t="str">
        <f t="shared" si="14"/>
        <v>*0.93</v>
      </c>
      <c r="AC131" s="33" t="s">
        <v>3462</v>
      </c>
      <c r="AD131" s="44" t="s">
        <v>57</v>
      </c>
      <c r="AE131" s="33">
        <v>2035</v>
      </c>
      <c r="AF131" s="45" t="str">
        <f t="shared" si="15"/>
        <v>*0.92</v>
      </c>
      <c r="AG131" s="43" t="str">
        <f t="shared" si="18"/>
        <v>REZoning_Sol-Win</v>
      </c>
      <c r="AI131" s="33" t="s">
        <v>3462</v>
      </c>
      <c r="AJ131" s="44" t="s">
        <v>57</v>
      </c>
      <c r="AK131" s="33">
        <v>2050</v>
      </c>
      <c r="AL131" s="45" t="str">
        <f t="shared" si="16"/>
        <v>*0.89</v>
      </c>
      <c r="AM131" s="43" t="str">
        <f t="shared" si="19"/>
        <v>REZoning_Sol-Win</v>
      </c>
      <c r="AP131" t="s">
        <v>3462</v>
      </c>
      <c r="AQ131" t="s">
        <v>57</v>
      </c>
      <c r="AR131">
        <f t="shared" si="17"/>
        <v>2100</v>
      </c>
      <c r="AS131" t="s">
        <v>937</v>
      </c>
      <c r="AT131" t="s">
        <v>58</v>
      </c>
    </row>
    <row r="132" ht="29" spans="1:46">
      <c r="A132" s="31" t="s">
        <v>98</v>
      </c>
      <c r="C132" t="s">
        <v>3463</v>
      </c>
      <c r="D132" s="5" t="s">
        <v>57</v>
      </c>
      <c r="E132">
        <v>2035</v>
      </c>
      <c r="F132" s="6" t="str">
        <f t="shared" ref="F132:F195" si="20">"*"&amp;IF(AND(A132="EU",E132=2035),0.95,IF(AND(A132="EU",E132=2050),0.93,IF(AND(A132="USA",E132=2035),0.96,IF(AND(A132="USA",E132=2050),0.94,IF(AND(A132="Japan",E132=2035),0.94,IF(AND(A132="Japan",E132=2050),0.92,IF(AND(A132="Russia",E132=2035),0.95,IF(AND(A132="Russia",E132=2050),0.93,IF(AND(A132="China",E132=2035),0.94,IF(AND(A132="China",E132=2050),0.92,IF(AND(A132="India",E132=2035),0.95,IF(AND(A132="India",E132=2050),0.92,IF(AND(A132="Middle East",E132=2035),0.94,IF(AND(A132="Middle East",E132=2050),0.9,IF(AND(A132="Africa",E132=2035),0.94,IF(AND(A132="Africa",E132=2050),0.91,IF(AND(A132="Brazil",E132=2035),0.95,IF(AND(A132="Brazil",E132=2050),0.92,""))))))))))))))))))</f>
        <v>*0.96</v>
      </c>
      <c r="H132" t="s">
        <v>3463</v>
      </c>
      <c r="I132" s="5" t="s">
        <v>57</v>
      </c>
      <c r="J132">
        <v>2050</v>
      </c>
      <c r="K132" s="38" t="str">
        <f t="shared" ref="K132:K195" si="21">"*"&amp;IF(AND(A132="EU",J132=2035),0.95,IF(AND(A132="EU",J132=2050),0.93,IF(AND(A132="USA",J132=2035),0.96,IF(AND(A132="USA",J132=2050),0.94,IF(AND(A132="Japan",J132=2035),0.94,IF(AND(A132="Japan",J132=2050),0.92,IF(AND(A132="Russia",J132=2035),0.95,IF(AND(A132="Russia",J132=2050),0.93,IF(AND(A132="China",J132=2035),0.94,IF(AND(A132="China",J132=2050),0.92,IF(AND(A132="India",J132=2035),0.95,IF(AND(A132="India",J132=2050),0.92,IF(AND(A132="Middle East",J132=2035),0.94,IF(AND(A132="Middle East",J132=2050),0.9,IF(AND(A132="Africa",J132=2035),0.94,IF(AND(A132="Africa",J132=2050),0.91,IF(AND(A132="Brazil",J132=2035),0.95,IF(AND(A132="Brazil",J132=2050),0.92,""))))))))))))))))))</f>
        <v>*0.94</v>
      </c>
      <c r="P132" s="32" t="s">
        <v>3463</v>
      </c>
      <c r="Q132" s="42" t="s">
        <v>57</v>
      </c>
      <c r="R132" s="32">
        <v>2035</v>
      </c>
      <c r="S132" s="43" t="str">
        <f t="shared" ref="S132:S195" si="22">"*"&amp;IF(AND(A132="EU",R132=2035),0.95,IF(AND(A132="EU",R132=2050),0.93,IF(AND(A132="USA",R132=2035),0.96,IF(AND(A132="USA",R132=2050),0.93,IF(AND(A132="Japan",R132=2035),0.94,IF(AND(A132="Japan",R132=2050),0.92,IF(AND(A132="Russia",R132=2035),0.95,IF(AND(A132="Russia",R132=2050),0.91,IF(AND(A132="China",R132=2035),0.93,IF(AND(A132="China",R132=2050),0.92,IF(AND(A132="India",R132=2035),0.94,IF(AND(A132="India",R132=2050),0.91,IF(AND(A132="Middle East",R132=2035),0.92,IF(AND(A132="Middle East",R132=2050),0.89,IF(AND(A132="Africa",R132=2035),0.93,IF(AND(A132="Africa",R132=2050),0.9,IF(AND(A132="Brazil",R132=2035),0.95,IF(AND(A132="Brazil",R132=2050),0.92,""))))))))))))))))))</f>
        <v>*0.96</v>
      </c>
      <c r="U132" s="32" t="s">
        <v>3463</v>
      </c>
      <c r="V132" s="42" t="s">
        <v>57</v>
      </c>
      <c r="W132" s="32">
        <v>2050</v>
      </c>
      <c r="X132" s="43" t="str">
        <f t="shared" ref="X132:X195" si="23">"*"&amp;IF(AND(A132="EU",W132=2035),0.95,IF(AND(A132="EU",W132=2050),0.93,IF(AND(A132="USA",W132=2035),0.96,IF(AND(A132="USA",W132=2050),0.93,IF(AND(A132="Japan",W132=2035),0.94,IF(AND(A132="Japan",W132=2050),0.92,IF(AND(A132="Russia",W132=2035),0.95,IF(AND(A132="Russia",W132=2050),0.91,IF(AND(A132="China",W132=2035),0.93,IF(AND(A132="China",W132=2050),0.92,IF(AND(A132="India",W132=2035),0.94,IF(AND(A132="India",W132=2050),0.91,IF(AND(A132="Middle East",W132=2035),0.92,IF(AND(A132="Middle East",W132=2050),0.89,IF(AND(A132="Africa",W132=2035),0.93,IF(AND(A132="Africa",W132=2050),0.9,IF(AND(A132="Brazil",W132=2035),0.95,IF(AND(A132="Brazil",W132=2050),0.92,""))))))))))))))))))</f>
        <v>*0.93</v>
      </c>
      <c r="AC132" s="33" t="s">
        <v>3463</v>
      </c>
      <c r="AD132" s="44" t="s">
        <v>57</v>
      </c>
      <c r="AE132" s="33">
        <v>2035</v>
      </c>
      <c r="AF132" s="45" t="str">
        <f t="shared" ref="AF132:AF195" si="24">"*"&amp;IF(AND(A132="EU",AE132=2035),0.93,IF(AND(A132="EU",AE132=2050),0.9,IF(AND(A132="USA",AE132=2035),0.92,IF(AND(A132="USA",AE132=2050),0.89,IF(AND(A132="Japan",AE132=2035),0.92,IF(AND(A132="Japan",AE132=2050),0.89,IF(AND(A132="Russia",AE132=2035),0.91,IF(AND(A132="Russia",AE132=2050),0.86,IF(AND(A132="China",AE132=2035),0.91,IF(AND(A132="China",AE132=2050),0.87,IF(AND(A132="India",AE132=2035),0.92,IF(AND(A132="India",AE132=2050),0.87,IF(AND(A132="Middle East",AE132=2035),0.89,IF(AND(A132="Middle East",AE132=2050),0.84,IF(AND(A132="Africa",AE132=2035),0.9,IF(AND(A132="Africa",AE132=2050),0.86,IF(AND(A132="Brazil",AE132=2035),0.93,IF(AND(A132="Brazil",AE132=2050),0.89,""))))))))))))))))))</f>
        <v>*0.92</v>
      </c>
      <c r="AG132" s="43" t="str">
        <f t="shared" si="18"/>
        <v>REZoning_Sol-Win</v>
      </c>
      <c r="AI132" s="33" t="s">
        <v>3463</v>
      </c>
      <c r="AJ132" s="44" t="s">
        <v>57</v>
      </c>
      <c r="AK132" s="33">
        <v>2050</v>
      </c>
      <c r="AL132" s="45" t="str">
        <f t="shared" ref="AL132:AL195" si="25">"*"&amp;IF(AND(A132="EU",AK132=2035),0.93,IF(AND(A132="EU",AK132=2050),0.9,IF(AND(A132="USA",AK132=2035),0.92,IF(AND(A132="USA",AK132=2050),0.89,IF(AND(A132="Japan",AK132=2035),0.92,IF(AND(A132="Japan",AK132=2050),0.89,IF(AND(A132="Russia",AK132=2035),0.91,IF(AND(A132="Russia",AK132=2050),0.86,IF(AND(A132="China",AK132=2035),0.91,IF(AND(A132="China",AK132=2050),0.87,IF(AND(A132="India",AK132=2035),0.92,IF(AND(A132="India",AK132=2050),0.87,IF(AND(A132="Middle East",AK132=2035),0.89,IF(AND(A132="Middle East",AK132=2050),0.84,IF(AND(A132="Africa",AK132=2035),0.9,IF(AND(A132="Africa",AK132=2050),0.86,IF(AND(A132="Brazil",AK132=2035),0.93,IF(AND(A132="Brazil",AK132=2050),0.89,""))))))))))))))))))</f>
        <v>*0.89</v>
      </c>
      <c r="AM132" s="43" t="str">
        <f t="shared" si="19"/>
        <v>REZoning_Sol-Win</v>
      </c>
      <c r="AP132" t="s">
        <v>3463</v>
      </c>
      <c r="AQ132" t="s">
        <v>57</v>
      </c>
      <c r="AR132">
        <f t="shared" si="17"/>
        <v>2100</v>
      </c>
      <c r="AS132" t="s">
        <v>937</v>
      </c>
      <c r="AT132" t="s">
        <v>58</v>
      </c>
    </row>
    <row r="133" ht="29" spans="1:46">
      <c r="A133" s="31" t="s">
        <v>98</v>
      </c>
      <c r="C133" t="s">
        <v>3464</v>
      </c>
      <c r="D133" s="5" t="s">
        <v>57</v>
      </c>
      <c r="E133">
        <v>2035</v>
      </c>
      <c r="F133" s="6" t="str">
        <f t="shared" si="20"/>
        <v>*0.96</v>
      </c>
      <c r="H133" t="s">
        <v>3464</v>
      </c>
      <c r="I133" s="5" t="s">
        <v>57</v>
      </c>
      <c r="J133">
        <v>2050</v>
      </c>
      <c r="K133" s="38" t="str">
        <f t="shared" si="21"/>
        <v>*0.94</v>
      </c>
      <c r="P133" s="32" t="s">
        <v>3464</v>
      </c>
      <c r="Q133" s="42" t="s">
        <v>57</v>
      </c>
      <c r="R133" s="32">
        <v>2035</v>
      </c>
      <c r="S133" s="43" t="str">
        <f t="shared" si="22"/>
        <v>*0.96</v>
      </c>
      <c r="U133" s="32" t="s">
        <v>3464</v>
      </c>
      <c r="V133" s="42" t="s">
        <v>57</v>
      </c>
      <c r="W133" s="32">
        <v>2050</v>
      </c>
      <c r="X133" s="43" t="str">
        <f t="shared" si="23"/>
        <v>*0.93</v>
      </c>
      <c r="AC133" s="33" t="s">
        <v>3464</v>
      </c>
      <c r="AD133" s="44" t="s">
        <v>57</v>
      </c>
      <c r="AE133" s="33">
        <v>2035</v>
      </c>
      <c r="AF133" s="45" t="str">
        <f t="shared" si="24"/>
        <v>*0.92</v>
      </c>
      <c r="AG133" s="43" t="str">
        <f t="shared" si="18"/>
        <v>REZoning_Sol-Win</v>
      </c>
      <c r="AI133" s="33" t="s">
        <v>3464</v>
      </c>
      <c r="AJ133" s="44" t="s">
        <v>57</v>
      </c>
      <c r="AK133" s="33">
        <v>2050</v>
      </c>
      <c r="AL133" s="45" t="str">
        <f t="shared" si="25"/>
        <v>*0.89</v>
      </c>
      <c r="AM133" s="43" t="str">
        <f t="shared" si="19"/>
        <v>REZoning_Sol-Win</v>
      </c>
      <c r="AP133" t="s">
        <v>3464</v>
      </c>
      <c r="AQ133" t="s">
        <v>57</v>
      </c>
      <c r="AR133">
        <f t="shared" si="17"/>
        <v>2100</v>
      </c>
      <c r="AS133" t="s">
        <v>937</v>
      </c>
      <c r="AT133" t="s">
        <v>58</v>
      </c>
    </row>
    <row r="134" ht="29" spans="1:46">
      <c r="A134" s="31" t="s">
        <v>98</v>
      </c>
      <c r="C134" t="s">
        <v>3465</v>
      </c>
      <c r="D134" s="5" t="s">
        <v>57</v>
      </c>
      <c r="E134">
        <v>2035</v>
      </c>
      <c r="F134" s="6" t="str">
        <f t="shared" si="20"/>
        <v>*0.96</v>
      </c>
      <c r="H134" t="s">
        <v>3465</v>
      </c>
      <c r="I134" s="5" t="s">
        <v>57</v>
      </c>
      <c r="J134">
        <v>2050</v>
      </c>
      <c r="K134" s="38" t="str">
        <f t="shared" si="21"/>
        <v>*0.94</v>
      </c>
      <c r="P134" s="32" t="s">
        <v>3465</v>
      </c>
      <c r="Q134" s="42" t="s">
        <v>57</v>
      </c>
      <c r="R134" s="32">
        <v>2035</v>
      </c>
      <c r="S134" s="43" t="str">
        <f t="shared" si="22"/>
        <v>*0.96</v>
      </c>
      <c r="U134" s="32" t="s">
        <v>3465</v>
      </c>
      <c r="V134" s="42" t="s">
        <v>57</v>
      </c>
      <c r="W134" s="32">
        <v>2050</v>
      </c>
      <c r="X134" s="43" t="str">
        <f t="shared" si="23"/>
        <v>*0.93</v>
      </c>
      <c r="AC134" s="33" t="s">
        <v>3465</v>
      </c>
      <c r="AD134" s="44" t="s">
        <v>57</v>
      </c>
      <c r="AE134" s="33">
        <v>2035</v>
      </c>
      <c r="AF134" s="45" t="str">
        <f t="shared" si="24"/>
        <v>*0.92</v>
      </c>
      <c r="AG134" s="43" t="str">
        <f t="shared" si="18"/>
        <v>REZoning_Sol-Win</v>
      </c>
      <c r="AI134" s="33" t="s">
        <v>3465</v>
      </c>
      <c r="AJ134" s="44" t="s">
        <v>57</v>
      </c>
      <c r="AK134" s="33">
        <v>2050</v>
      </c>
      <c r="AL134" s="45" t="str">
        <f t="shared" si="25"/>
        <v>*0.89</v>
      </c>
      <c r="AM134" s="43" t="str">
        <f t="shared" si="19"/>
        <v>REZoning_Sol-Win</v>
      </c>
      <c r="AP134" t="s">
        <v>3465</v>
      </c>
      <c r="AQ134" t="s">
        <v>57</v>
      </c>
      <c r="AR134">
        <f t="shared" ref="AR134:AR197" si="26">AR133</f>
        <v>2100</v>
      </c>
      <c r="AS134" t="s">
        <v>937</v>
      </c>
      <c r="AT134" t="s">
        <v>58</v>
      </c>
    </row>
    <row r="135" ht="29" spans="1:46">
      <c r="A135" s="31" t="s">
        <v>98</v>
      </c>
      <c r="C135" t="s">
        <v>3466</v>
      </c>
      <c r="D135" s="5" t="s">
        <v>57</v>
      </c>
      <c r="E135">
        <v>2035</v>
      </c>
      <c r="F135" s="6" t="str">
        <f t="shared" si="20"/>
        <v>*0.96</v>
      </c>
      <c r="H135" t="s">
        <v>3466</v>
      </c>
      <c r="I135" s="5" t="s">
        <v>57</v>
      </c>
      <c r="J135">
        <v>2050</v>
      </c>
      <c r="K135" s="38" t="str">
        <f t="shared" si="21"/>
        <v>*0.94</v>
      </c>
      <c r="P135" s="32" t="s">
        <v>3466</v>
      </c>
      <c r="Q135" s="42" t="s">
        <v>57</v>
      </c>
      <c r="R135" s="32">
        <v>2035</v>
      </c>
      <c r="S135" s="43" t="str">
        <f t="shared" si="22"/>
        <v>*0.96</v>
      </c>
      <c r="U135" s="32" t="s">
        <v>3466</v>
      </c>
      <c r="V135" s="42" t="s">
        <v>57</v>
      </c>
      <c r="W135" s="32">
        <v>2050</v>
      </c>
      <c r="X135" s="43" t="str">
        <f t="shared" si="23"/>
        <v>*0.93</v>
      </c>
      <c r="AC135" s="33" t="s">
        <v>3466</v>
      </c>
      <c r="AD135" s="44" t="s">
        <v>57</v>
      </c>
      <c r="AE135" s="33">
        <v>2035</v>
      </c>
      <c r="AF135" s="45" t="str">
        <f t="shared" si="24"/>
        <v>*0.92</v>
      </c>
      <c r="AG135" s="43" t="str">
        <f t="shared" si="18"/>
        <v>REZoning_Sol-Win</v>
      </c>
      <c r="AI135" s="33" t="s">
        <v>3466</v>
      </c>
      <c r="AJ135" s="44" t="s">
        <v>57</v>
      </c>
      <c r="AK135" s="33">
        <v>2050</v>
      </c>
      <c r="AL135" s="45" t="str">
        <f t="shared" si="25"/>
        <v>*0.89</v>
      </c>
      <c r="AM135" s="43" t="str">
        <f t="shared" si="19"/>
        <v>REZoning_Sol-Win</v>
      </c>
      <c r="AP135" t="s">
        <v>3466</v>
      </c>
      <c r="AQ135" t="s">
        <v>57</v>
      </c>
      <c r="AR135">
        <f t="shared" si="26"/>
        <v>2100</v>
      </c>
      <c r="AS135" t="s">
        <v>937</v>
      </c>
      <c r="AT135" t="s">
        <v>58</v>
      </c>
    </row>
    <row r="136" ht="29" spans="1:46">
      <c r="A136" s="31" t="s">
        <v>98</v>
      </c>
      <c r="C136" t="s">
        <v>3467</v>
      </c>
      <c r="D136" s="5" t="s">
        <v>57</v>
      </c>
      <c r="E136">
        <v>2035</v>
      </c>
      <c r="F136" s="6" t="str">
        <f t="shared" si="20"/>
        <v>*0.96</v>
      </c>
      <c r="H136" t="s">
        <v>3467</v>
      </c>
      <c r="I136" s="5" t="s">
        <v>57</v>
      </c>
      <c r="J136">
        <v>2050</v>
      </c>
      <c r="K136" s="38" t="str">
        <f t="shared" si="21"/>
        <v>*0.94</v>
      </c>
      <c r="P136" s="32" t="s">
        <v>3467</v>
      </c>
      <c r="Q136" s="42" t="s">
        <v>57</v>
      </c>
      <c r="R136" s="32">
        <v>2035</v>
      </c>
      <c r="S136" s="43" t="str">
        <f t="shared" si="22"/>
        <v>*0.96</v>
      </c>
      <c r="U136" s="32" t="s">
        <v>3467</v>
      </c>
      <c r="V136" s="42" t="s">
        <v>57</v>
      </c>
      <c r="W136" s="32">
        <v>2050</v>
      </c>
      <c r="X136" s="43" t="str">
        <f t="shared" si="23"/>
        <v>*0.93</v>
      </c>
      <c r="AC136" s="33" t="s">
        <v>3467</v>
      </c>
      <c r="AD136" s="44" t="s">
        <v>57</v>
      </c>
      <c r="AE136" s="33">
        <v>2035</v>
      </c>
      <c r="AF136" s="45" t="str">
        <f t="shared" si="24"/>
        <v>*0.92</v>
      </c>
      <c r="AG136" s="43" t="str">
        <f t="shared" si="18"/>
        <v>REZoning_Sol-Win</v>
      </c>
      <c r="AI136" s="33" t="s">
        <v>3467</v>
      </c>
      <c r="AJ136" s="44" t="s">
        <v>57</v>
      </c>
      <c r="AK136" s="33">
        <v>2050</v>
      </c>
      <c r="AL136" s="45" t="str">
        <f t="shared" si="25"/>
        <v>*0.89</v>
      </c>
      <c r="AM136" s="43" t="str">
        <f t="shared" si="19"/>
        <v>REZoning_Sol-Win</v>
      </c>
      <c r="AP136" t="s">
        <v>3467</v>
      </c>
      <c r="AQ136" t="s">
        <v>57</v>
      </c>
      <c r="AR136">
        <f t="shared" si="26"/>
        <v>2100</v>
      </c>
      <c r="AS136" t="s">
        <v>937</v>
      </c>
      <c r="AT136" t="s">
        <v>58</v>
      </c>
    </row>
    <row r="137" ht="29" spans="1:46">
      <c r="A137" s="31" t="s">
        <v>98</v>
      </c>
      <c r="C137" t="s">
        <v>3468</v>
      </c>
      <c r="D137" s="5" t="s">
        <v>57</v>
      </c>
      <c r="E137">
        <v>2035</v>
      </c>
      <c r="F137" s="6" t="str">
        <f t="shared" si="20"/>
        <v>*0.96</v>
      </c>
      <c r="H137" t="s">
        <v>3468</v>
      </c>
      <c r="I137" s="5" t="s">
        <v>57</v>
      </c>
      <c r="J137">
        <v>2050</v>
      </c>
      <c r="K137" s="38" t="str">
        <f t="shared" si="21"/>
        <v>*0.94</v>
      </c>
      <c r="P137" s="32" t="s">
        <v>3468</v>
      </c>
      <c r="Q137" s="42" t="s">
        <v>57</v>
      </c>
      <c r="R137" s="32">
        <v>2035</v>
      </c>
      <c r="S137" s="43" t="str">
        <f t="shared" si="22"/>
        <v>*0.96</v>
      </c>
      <c r="U137" s="32" t="s">
        <v>3468</v>
      </c>
      <c r="V137" s="42" t="s">
        <v>57</v>
      </c>
      <c r="W137" s="32">
        <v>2050</v>
      </c>
      <c r="X137" s="43" t="str">
        <f t="shared" si="23"/>
        <v>*0.93</v>
      </c>
      <c r="AC137" s="33" t="s">
        <v>3468</v>
      </c>
      <c r="AD137" s="44" t="s">
        <v>57</v>
      </c>
      <c r="AE137" s="33">
        <v>2035</v>
      </c>
      <c r="AF137" s="45" t="str">
        <f t="shared" si="24"/>
        <v>*0.92</v>
      </c>
      <c r="AG137" s="43" t="str">
        <f t="shared" ref="AG137:AG200" si="27">AG136</f>
        <v>REZoning_Sol-Win</v>
      </c>
      <c r="AI137" s="33" t="s">
        <v>3468</v>
      </c>
      <c r="AJ137" s="44" t="s">
        <v>57</v>
      </c>
      <c r="AK137" s="33">
        <v>2050</v>
      </c>
      <c r="AL137" s="45" t="str">
        <f t="shared" si="25"/>
        <v>*0.89</v>
      </c>
      <c r="AM137" s="43" t="str">
        <f t="shared" ref="AM137:AM200" si="28">AM136</f>
        <v>REZoning_Sol-Win</v>
      </c>
      <c r="AP137" t="s">
        <v>3468</v>
      </c>
      <c r="AQ137" t="s">
        <v>57</v>
      </c>
      <c r="AR137">
        <f t="shared" si="26"/>
        <v>2100</v>
      </c>
      <c r="AS137" t="s">
        <v>937</v>
      </c>
      <c r="AT137" t="s">
        <v>58</v>
      </c>
    </row>
    <row r="138" ht="29" spans="1:46">
      <c r="A138" s="31" t="s">
        <v>98</v>
      </c>
      <c r="C138" t="s">
        <v>3469</v>
      </c>
      <c r="D138" s="5" t="s">
        <v>57</v>
      </c>
      <c r="E138">
        <v>2035</v>
      </c>
      <c r="F138" s="6" t="str">
        <f t="shared" si="20"/>
        <v>*0.96</v>
      </c>
      <c r="H138" t="s">
        <v>3469</v>
      </c>
      <c r="I138" s="5" t="s">
        <v>57</v>
      </c>
      <c r="J138">
        <v>2050</v>
      </c>
      <c r="K138" s="38" t="str">
        <f t="shared" si="21"/>
        <v>*0.94</v>
      </c>
      <c r="P138" s="32" t="s">
        <v>3469</v>
      </c>
      <c r="Q138" s="42" t="s">
        <v>57</v>
      </c>
      <c r="R138" s="32">
        <v>2035</v>
      </c>
      <c r="S138" s="43" t="str">
        <f t="shared" si="22"/>
        <v>*0.96</v>
      </c>
      <c r="U138" s="32" t="s">
        <v>3469</v>
      </c>
      <c r="V138" s="42" t="s">
        <v>57</v>
      </c>
      <c r="W138" s="32">
        <v>2050</v>
      </c>
      <c r="X138" s="43" t="str">
        <f t="shared" si="23"/>
        <v>*0.93</v>
      </c>
      <c r="AC138" s="33" t="s">
        <v>3469</v>
      </c>
      <c r="AD138" s="44" t="s">
        <v>57</v>
      </c>
      <c r="AE138" s="33">
        <v>2035</v>
      </c>
      <c r="AF138" s="45" t="str">
        <f t="shared" si="24"/>
        <v>*0.92</v>
      </c>
      <c r="AG138" s="43" t="str">
        <f t="shared" si="27"/>
        <v>REZoning_Sol-Win</v>
      </c>
      <c r="AI138" s="33" t="s">
        <v>3469</v>
      </c>
      <c r="AJ138" s="44" t="s">
        <v>57</v>
      </c>
      <c r="AK138" s="33">
        <v>2050</v>
      </c>
      <c r="AL138" s="45" t="str">
        <f t="shared" si="25"/>
        <v>*0.89</v>
      </c>
      <c r="AM138" s="43" t="str">
        <f t="shared" si="28"/>
        <v>REZoning_Sol-Win</v>
      </c>
      <c r="AP138" t="s">
        <v>3469</v>
      </c>
      <c r="AQ138" t="s">
        <v>57</v>
      </c>
      <c r="AR138">
        <f t="shared" si="26"/>
        <v>2100</v>
      </c>
      <c r="AS138" t="s">
        <v>937</v>
      </c>
      <c r="AT138" t="s">
        <v>58</v>
      </c>
    </row>
    <row r="139" ht="29" spans="1:46">
      <c r="A139" s="31" t="s">
        <v>98</v>
      </c>
      <c r="C139" t="s">
        <v>3470</v>
      </c>
      <c r="D139" s="5" t="s">
        <v>57</v>
      </c>
      <c r="E139">
        <v>2035</v>
      </c>
      <c r="F139" s="6" t="str">
        <f t="shared" si="20"/>
        <v>*0.96</v>
      </c>
      <c r="H139" t="s">
        <v>3470</v>
      </c>
      <c r="I139" s="5" t="s">
        <v>57</v>
      </c>
      <c r="J139">
        <v>2050</v>
      </c>
      <c r="K139" s="38" t="str">
        <f t="shared" si="21"/>
        <v>*0.94</v>
      </c>
      <c r="P139" s="32" t="s">
        <v>3470</v>
      </c>
      <c r="Q139" s="42" t="s">
        <v>57</v>
      </c>
      <c r="R139" s="32">
        <v>2035</v>
      </c>
      <c r="S139" s="43" t="str">
        <f t="shared" si="22"/>
        <v>*0.96</v>
      </c>
      <c r="U139" s="32" t="s">
        <v>3470</v>
      </c>
      <c r="V139" s="42" t="s">
        <v>57</v>
      </c>
      <c r="W139" s="32">
        <v>2050</v>
      </c>
      <c r="X139" s="43" t="str">
        <f t="shared" si="23"/>
        <v>*0.93</v>
      </c>
      <c r="AC139" s="33" t="s">
        <v>3470</v>
      </c>
      <c r="AD139" s="44" t="s">
        <v>57</v>
      </c>
      <c r="AE139" s="33">
        <v>2035</v>
      </c>
      <c r="AF139" s="45" t="str">
        <f t="shared" si="24"/>
        <v>*0.92</v>
      </c>
      <c r="AG139" s="43" t="str">
        <f t="shared" si="27"/>
        <v>REZoning_Sol-Win</v>
      </c>
      <c r="AI139" s="33" t="s">
        <v>3470</v>
      </c>
      <c r="AJ139" s="44" t="s">
        <v>57</v>
      </c>
      <c r="AK139" s="33">
        <v>2050</v>
      </c>
      <c r="AL139" s="45" t="str">
        <f t="shared" si="25"/>
        <v>*0.89</v>
      </c>
      <c r="AM139" s="43" t="str">
        <f t="shared" si="28"/>
        <v>REZoning_Sol-Win</v>
      </c>
      <c r="AP139" t="s">
        <v>3470</v>
      </c>
      <c r="AQ139" t="s">
        <v>57</v>
      </c>
      <c r="AR139">
        <f t="shared" si="26"/>
        <v>2100</v>
      </c>
      <c r="AS139" t="s">
        <v>937</v>
      </c>
      <c r="AT139" t="s">
        <v>58</v>
      </c>
    </row>
    <row r="140" ht="29" spans="1:46">
      <c r="A140" s="31" t="s">
        <v>98</v>
      </c>
      <c r="C140" t="s">
        <v>3471</v>
      </c>
      <c r="D140" s="5" t="s">
        <v>57</v>
      </c>
      <c r="E140">
        <v>2035</v>
      </c>
      <c r="F140" s="6" t="str">
        <f t="shared" si="20"/>
        <v>*0.96</v>
      </c>
      <c r="H140" t="s">
        <v>3471</v>
      </c>
      <c r="I140" s="5" t="s">
        <v>57</v>
      </c>
      <c r="J140">
        <v>2050</v>
      </c>
      <c r="K140" s="38" t="str">
        <f t="shared" si="21"/>
        <v>*0.94</v>
      </c>
      <c r="P140" s="32" t="s">
        <v>3471</v>
      </c>
      <c r="Q140" s="42" t="s">
        <v>57</v>
      </c>
      <c r="R140" s="32">
        <v>2035</v>
      </c>
      <c r="S140" s="43" t="str">
        <f t="shared" si="22"/>
        <v>*0.96</v>
      </c>
      <c r="U140" s="32" t="s">
        <v>3471</v>
      </c>
      <c r="V140" s="42" t="s">
        <v>57</v>
      </c>
      <c r="W140" s="32">
        <v>2050</v>
      </c>
      <c r="X140" s="43" t="str">
        <f t="shared" si="23"/>
        <v>*0.93</v>
      </c>
      <c r="AC140" s="33" t="s">
        <v>3471</v>
      </c>
      <c r="AD140" s="44" t="s">
        <v>57</v>
      </c>
      <c r="AE140" s="33">
        <v>2035</v>
      </c>
      <c r="AF140" s="45" t="str">
        <f t="shared" si="24"/>
        <v>*0.92</v>
      </c>
      <c r="AG140" s="43" t="str">
        <f t="shared" si="27"/>
        <v>REZoning_Sol-Win</v>
      </c>
      <c r="AI140" s="33" t="s">
        <v>3471</v>
      </c>
      <c r="AJ140" s="44" t="s">
        <v>57</v>
      </c>
      <c r="AK140" s="33">
        <v>2050</v>
      </c>
      <c r="AL140" s="45" t="str">
        <f t="shared" si="25"/>
        <v>*0.89</v>
      </c>
      <c r="AM140" s="43" t="str">
        <f t="shared" si="28"/>
        <v>REZoning_Sol-Win</v>
      </c>
      <c r="AP140" t="s">
        <v>3471</v>
      </c>
      <c r="AQ140" t="s">
        <v>57</v>
      </c>
      <c r="AR140">
        <f t="shared" si="26"/>
        <v>2100</v>
      </c>
      <c r="AS140" t="s">
        <v>937</v>
      </c>
      <c r="AT140" t="s">
        <v>58</v>
      </c>
    </row>
    <row r="141" ht="29" spans="1:46">
      <c r="A141" s="31" t="s">
        <v>98</v>
      </c>
      <c r="C141" t="s">
        <v>3472</v>
      </c>
      <c r="D141" s="5" t="s">
        <v>57</v>
      </c>
      <c r="E141">
        <v>2035</v>
      </c>
      <c r="F141" s="6" t="str">
        <f t="shared" si="20"/>
        <v>*0.96</v>
      </c>
      <c r="H141" t="s">
        <v>3472</v>
      </c>
      <c r="I141" s="5" t="s">
        <v>57</v>
      </c>
      <c r="J141">
        <v>2050</v>
      </c>
      <c r="K141" s="38" t="str">
        <f t="shared" si="21"/>
        <v>*0.94</v>
      </c>
      <c r="P141" s="32" t="s">
        <v>3472</v>
      </c>
      <c r="Q141" s="42" t="s">
        <v>57</v>
      </c>
      <c r="R141" s="32">
        <v>2035</v>
      </c>
      <c r="S141" s="43" t="str">
        <f t="shared" si="22"/>
        <v>*0.96</v>
      </c>
      <c r="U141" s="32" t="s">
        <v>3472</v>
      </c>
      <c r="V141" s="42" t="s">
        <v>57</v>
      </c>
      <c r="W141" s="32">
        <v>2050</v>
      </c>
      <c r="X141" s="43" t="str">
        <f t="shared" si="23"/>
        <v>*0.93</v>
      </c>
      <c r="AC141" s="33" t="s">
        <v>3472</v>
      </c>
      <c r="AD141" s="44" t="s">
        <v>57</v>
      </c>
      <c r="AE141" s="33">
        <v>2035</v>
      </c>
      <c r="AF141" s="45" t="str">
        <f t="shared" si="24"/>
        <v>*0.92</v>
      </c>
      <c r="AG141" s="43" t="str">
        <f t="shared" si="27"/>
        <v>REZoning_Sol-Win</v>
      </c>
      <c r="AI141" s="33" t="s">
        <v>3472</v>
      </c>
      <c r="AJ141" s="44" t="s">
        <v>57</v>
      </c>
      <c r="AK141" s="33">
        <v>2050</v>
      </c>
      <c r="AL141" s="45" t="str">
        <f t="shared" si="25"/>
        <v>*0.89</v>
      </c>
      <c r="AM141" s="43" t="str">
        <f t="shared" si="28"/>
        <v>REZoning_Sol-Win</v>
      </c>
      <c r="AP141" t="s">
        <v>3472</v>
      </c>
      <c r="AQ141" t="s">
        <v>57</v>
      </c>
      <c r="AR141">
        <f t="shared" si="26"/>
        <v>2100</v>
      </c>
      <c r="AS141" t="s">
        <v>937</v>
      </c>
      <c r="AT141" t="s">
        <v>58</v>
      </c>
    </row>
    <row r="142" ht="29" spans="1:46">
      <c r="A142" s="31" t="s">
        <v>98</v>
      </c>
      <c r="C142" t="s">
        <v>3473</v>
      </c>
      <c r="D142" s="5" t="s">
        <v>57</v>
      </c>
      <c r="E142">
        <v>2035</v>
      </c>
      <c r="F142" s="6" t="str">
        <f t="shared" si="20"/>
        <v>*0.96</v>
      </c>
      <c r="H142" t="s">
        <v>3473</v>
      </c>
      <c r="I142" s="5" t="s">
        <v>57</v>
      </c>
      <c r="J142">
        <v>2050</v>
      </c>
      <c r="K142" s="38" t="str">
        <f t="shared" si="21"/>
        <v>*0.94</v>
      </c>
      <c r="P142" s="32" t="s">
        <v>3473</v>
      </c>
      <c r="Q142" s="42" t="s">
        <v>57</v>
      </c>
      <c r="R142" s="32">
        <v>2035</v>
      </c>
      <c r="S142" s="43" t="str">
        <f t="shared" si="22"/>
        <v>*0.96</v>
      </c>
      <c r="U142" s="32" t="s">
        <v>3473</v>
      </c>
      <c r="V142" s="42" t="s">
        <v>57</v>
      </c>
      <c r="W142" s="32">
        <v>2050</v>
      </c>
      <c r="X142" s="43" t="str">
        <f t="shared" si="23"/>
        <v>*0.93</v>
      </c>
      <c r="AC142" s="33" t="s">
        <v>3473</v>
      </c>
      <c r="AD142" s="44" t="s">
        <v>57</v>
      </c>
      <c r="AE142" s="33">
        <v>2035</v>
      </c>
      <c r="AF142" s="45" t="str">
        <f t="shared" si="24"/>
        <v>*0.92</v>
      </c>
      <c r="AG142" s="43" t="str">
        <f t="shared" si="27"/>
        <v>REZoning_Sol-Win</v>
      </c>
      <c r="AI142" s="33" t="s">
        <v>3473</v>
      </c>
      <c r="AJ142" s="44" t="s">
        <v>57</v>
      </c>
      <c r="AK142" s="33">
        <v>2050</v>
      </c>
      <c r="AL142" s="45" t="str">
        <f t="shared" si="25"/>
        <v>*0.89</v>
      </c>
      <c r="AM142" s="43" t="str">
        <f t="shared" si="28"/>
        <v>REZoning_Sol-Win</v>
      </c>
      <c r="AP142" t="s">
        <v>3473</v>
      </c>
      <c r="AQ142" t="s">
        <v>57</v>
      </c>
      <c r="AR142">
        <f t="shared" si="26"/>
        <v>2100</v>
      </c>
      <c r="AS142" t="s">
        <v>937</v>
      </c>
      <c r="AT142" t="s">
        <v>58</v>
      </c>
    </row>
    <row r="143" ht="29" spans="1:46">
      <c r="A143" s="31" t="s">
        <v>98</v>
      </c>
      <c r="C143" t="s">
        <v>3474</v>
      </c>
      <c r="D143" s="5" t="s">
        <v>57</v>
      </c>
      <c r="E143">
        <v>2035</v>
      </c>
      <c r="F143" s="6" t="str">
        <f t="shared" si="20"/>
        <v>*0.96</v>
      </c>
      <c r="H143" t="s">
        <v>3474</v>
      </c>
      <c r="I143" s="5" t="s">
        <v>57</v>
      </c>
      <c r="J143">
        <v>2050</v>
      </c>
      <c r="K143" s="38" t="str">
        <f t="shared" si="21"/>
        <v>*0.94</v>
      </c>
      <c r="P143" s="32" t="s">
        <v>3474</v>
      </c>
      <c r="Q143" s="42" t="s">
        <v>57</v>
      </c>
      <c r="R143" s="32">
        <v>2035</v>
      </c>
      <c r="S143" s="43" t="str">
        <f t="shared" si="22"/>
        <v>*0.96</v>
      </c>
      <c r="U143" s="32" t="s">
        <v>3474</v>
      </c>
      <c r="V143" s="42" t="s">
        <v>57</v>
      </c>
      <c r="W143" s="32">
        <v>2050</v>
      </c>
      <c r="X143" s="43" t="str">
        <f t="shared" si="23"/>
        <v>*0.93</v>
      </c>
      <c r="AC143" s="33" t="s">
        <v>3474</v>
      </c>
      <c r="AD143" s="44" t="s">
        <v>57</v>
      </c>
      <c r="AE143" s="33">
        <v>2035</v>
      </c>
      <c r="AF143" s="45" t="str">
        <f t="shared" si="24"/>
        <v>*0.92</v>
      </c>
      <c r="AG143" s="43" t="str">
        <f t="shared" si="27"/>
        <v>REZoning_Sol-Win</v>
      </c>
      <c r="AI143" s="33" t="s">
        <v>3474</v>
      </c>
      <c r="AJ143" s="44" t="s">
        <v>57</v>
      </c>
      <c r="AK143" s="33">
        <v>2050</v>
      </c>
      <c r="AL143" s="45" t="str">
        <f t="shared" si="25"/>
        <v>*0.89</v>
      </c>
      <c r="AM143" s="43" t="str">
        <f t="shared" si="28"/>
        <v>REZoning_Sol-Win</v>
      </c>
      <c r="AP143" t="s">
        <v>3474</v>
      </c>
      <c r="AQ143" t="s">
        <v>57</v>
      </c>
      <c r="AR143">
        <f t="shared" si="26"/>
        <v>2100</v>
      </c>
      <c r="AS143" t="s">
        <v>937</v>
      </c>
      <c r="AT143" t="s">
        <v>58</v>
      </c>
    </row>
    <row r="144" ht="29" spans="1:46">
      <c r="A144" s="31" t="s">
        <v>98</v>
      </c>
      <c r="C144" t="s">
        <v>3475</v>
      </c>
      <c r="D144" s="5" t="s">
        <v>57</v>
      </c>
      <c r="E144">
        <v>2035</v>
      </c>
      <c r="F144" s="6" t="str">
        <f t="shared" si="20"/>
        <v>*0.96</v>
      </c>
      <c r="H144" t="s">
        <v>3475</v>
      </c>
      <c r="I144" s="5" t="s">
        <v>57</v>
      </c>
      <c r="J144">
        <v>2050</v>
      </c>
      <c r="K144" s="38" t="str">
        <f t="shared" si="21"/>
        <v>*0.94</v>
      </c>
      <c r="P144" s="32" t="s">
        <v>3475</v>
      </c>
      <c r="Q144" s="42" t="s">
        <v>57</v>
      </c>
      <c r="R144" s="32">
        <v>2035</v>
      </c>
      <c r="S144" s="43" t="str">
        <f t="shared" si="22"/>
        <v>*0.96</v>
      </c>
      <c r="U144" s="32" t="s">
        <v>3475</v>
      </c>
      <c r="V144" s="42" t="s">
        <v>57</v>
      </c>
      <c r="W144" s="32">
        <v>2050</v>
      </c>
      <c r="X144" s="43" t="str">
        <f t="shared" si="23"/>
        <v>*0.93</v>
      </c>
      <c r="AC144" s="33" t="s">
        <v>3475</v>
      </c>
      <c r="AD144" s="44" t="s">
        <v>57</v>
      </c>
      <c r="AE144" s="33">
        <v>2035</v>
      </c>
      <c r="AF144" s="45" t="str">
        <f t="shared" si="24"/>
        <v>*0.92</v>
      </c>
      <c r="AG144" s="43" t="str">
        <f t="shared" si="27"/>
        <v>REZoning_Sol-Win</v>
      </c>
      <c r="AI144" s="33" t="s">
        <v>3475</v>
      </c>
      <c r="AJ144" s="44" t="s">
        <v>57</v>
      </c>
      <c r="AK144" s="33">
        <v>2050</v>
      </c>
      <c r="AL144" s="45" t="str">
        <f t="shared" si="25"/>
        <v>*0.89</v>
      </c>
      <c r="AM144" s="43" t="str">
        <f t="shared" si="28"/>
        <v>REZoning_Sol-Win</v>
      </c>
      <c r="AP144" t="s">
        <v>3475</v>
      </c>
      <c r="AQ144" t="s">
        <v>57</v>
      </c>
      <c r="AR144">
        <f t="shared" si="26"/>
        <v>2100</v>
      </c>
      <c r="AS144" t="s">
        <v>937</v>
      </c>
      <c r="AT144" t="s">
        <v>58</v>
      </c>
    </row>
    <row r="145" ht="29" spans="1:46">
      <c r="A145" s="31" t="s">
        <v>98</v>
      </c>
      <c r="C145" t="s">
        <v>3476</v>
      </c>
      <c r="D145" s="5" t="s">
        <v>57</v>
      </c>
      <c r="E145">
        <v>2035</v>
      </c>
      <c r="F145" s="6" t="str">
        <f t="shared" si="20"/>
        <v>*0.96</v>
      </c>
      <c r="H145" t="s">
        <v>3476</v>
      </c>
      <c r="I145" s="5" t="s">
        <v>57</v>
      </c>
      <c r="J145">
        <v>2050</v>
      </c>
      <c r="K145" s="38" t="str">
        <f t="shared" si="21"/>
        <v>*0.94</v>
      </c>
      <c r="P145" s="32" t="s">
        <v>3476</v>
      </c>
      <c r="Q145" s="42" t="s">
        <v>57</v>
      </c>
      <c r="R145" s="32">
        <v>2035</v>
      </c>
      <c r="S145" s="43" t="str">
        <f t="shared" si="22"/>
        <v>*0.96</v>
      </c>
      <c r="U145" s="32" t="s">
        <v>3476</v>
      </c>
      <c r="V145" s="42" t="s">
        <v>57</v>
      </c>
      <c r="W145" s="32">
        <v>2050</v>
      </c>
      <c r="X145" s="43" t="str">
        <f t="shared" si="23"/>
        <v>*0.93</v>
      </c>
      <c r="AC145" s="33" t="s">
        <v>3476</v>
      </c>
      <c r="AD145" s="44" t="s">
        <v>57</v>
      </c>
      <c r="AE145" s="33">
        <v>2035</v>
      </c>
      <c r="AF145" s="45" t="str">
        <f t="shared" si="24"/>
        <v>*0.92</v>
      </c>
      <c r="AG145" s="43" t="str">
        <f t="shared" si="27"/>
        <v>REZoning_Sol-Win</v>
      </c>
      <c r="AI145" s="33" t="s">
        <v>3476</v>
      </c>
      <c r="AJ145" s="44" t="s">
        <v>57</v>
      </c>
      <c r="AK145" s="33">
        <v>2050</v>
      </c>
      <c r="AL145" s="45" t="str">
        <f t="shared" si="25"/>
        <v>*0.89</v>
      </c>
      <c r="AM145" s="43" t="str">
        <f t="shared" si="28"/>
        <v>REZoning_Sol-Win</v>
      </c>
      <c r="AP145" t="s">
        <v>3476</v>
      </c>
      <c r="AQ145" t="s">
        <v>57</v>
      </c>
      <c r="AR145">
        <f t="shared" si="26"/>
        <v>2100</v>
      </c>
      <c r="AS145" t="s">
        <v>937</v>
      </c>
      <c r="AT145" t="s">
        <v>58</v>
      </c>
    </row>
    <row r="146" ht="29" spans="1:46">
      <c r="A146" s="31" t="s">
        <v>98</v>
      </c>
      <c r="C146" t="s">
        <v>3477</v>
      </c>
      <c r="D146" s="5" t="s">
        <v>57</v>
      </c>
      <c r="E146">
        <v>2035</v>
      </c>
      <c r="F146" s="6" t="str">
        <f t="shared" si="20"/>
        <v>*0.96</v>
      </c>
      <c r="H146" t="s">
        <v>3477</v>
      </c>
      <c r="I146" s="5" t="s">
        <v>57</v>
      </c>
      <c r="J146">
        <v>2050</v>
      </c>
      <c r="K146" s="38" t="str">
        <f t="shared" si="21"/>
        <v>*0.94</v>
      </c>
      <c r="P146" s="32" t="s">
        <v>3477</v>
      </c>
      <c r="Q146" s="42" t="s">
        <v>57</v>
      </c>
      <c r="R146" s="32">
        <v>2035</v>
      </c>
      <c r="S146" s="43" t="str">
        <f t="shared" si="22"/>
        <v>*0.96</v>
      </c>
      <c r="U146" s="32" t="s">
        <v>3477</v>
      </c>
      <c r="V146" s="42" t="s">
        <v>57</v>
      </c>
      <c r="W146" s="32">
        <v>2050</v>
      </c>
      <c r="X146" s="43" t="str">
        <f t="shared" si="23"/>
        <v>*0.93</v>
      </c>
      <c r="AC146" s="33" t="s">
        <v>3477</v>
      </c>
      <c r="AD146" s="44" t="s">
        <v>57</v>
      </c>
      <c r="AE146" s="33">
        <v>2035</v>
      </c>
      <c r="AF146" s="45" t="str">
        <f t="shared" si="24"/>
        <v>*0.92</v>
      </c>
      <c r="AG146" s="43" t="str">
        <f t="shared" si="27"/>
        <v>REZoning_Sol-Win</v>
      </c>
      <c r="AI146" s="33" t="s">
        <v>3477</v>
      </c>
      <c r="AJ146" s="44" t="s">
        <v>57</v>
      </c>
      <c r="AK146" s="33">
        <v>2050</v>
      </c>
      <c r="AL146" s="45" t="str">
        <f t="shared" si="25"/>
        <v>*0.89</v>
      </c>
      <c r="AM146" s="43" t="str">
        <f t="shared" si="28"/>
        <v>REZoning_Sol-Win</v>
      </c>
      <c r="AP146" t="s">
        <v>3477</v>
      </c>
      <c r="AQ146" t="s">
        <v>57</v>
      </c>
      <c r="AR146">
        <f t="shared" si="26"/>
        <v>2100</v>
      </c>
      <c r="AS146" t="s">
        <v>937</v>
      </c>
      <c r="AT146" t="s">
        <v>58</v>
      </c>
    </row>
    <row r="147" ht="29" spans="1:46">
      <c r="A147" s="31" t="s">
        <v>98</v>
      </c>
      <c r="C147" t="s">
        <v>3478</v>
      </c>
      <c r="D147" s="5" t="s">
        <v>57</v>
      </c>
      <c r="E147">
        <v>2035</v>
      </c>
      <c r="F147" s="6" t="str">
        <f t="shared" si="20"/>
        <v>*0.96</v>
      </c>
      <c r="H147" t="s">
        <v>3478</v>
      </c>
      <c r="I147" s="5" t="s">
        <v>57</v>
      </c>
      <c r="J147">
        <v>2050</v>
      </c>
      <c r="K147" s="38" t="str">
        <f t="shared" si="21"/>
        <v>*0.94</v>
      </c>
      <c r="P147" s="32" t="s">
        <v>3478</v>
      </c>
      <c r="Q147" s="42" t="s">
        <v>57</v>
      </c>
      <c r="R147" s="32">
        <v>2035</v>
      </c>
      <c r="S147" s="43" t="str">
        <f t="shared" si="22"/>
        <v>*0.96</v>
      </c>
      <c r="U147" s="32" t="s">
        <v>3478</v>
      </c>
      <c r="V147" s="42" t="s">
        <v>57</v>
      </c>
      <c r="W147" s="32">
        <v>2050</v>
      </c>
      <c r="X147" s="43" t="str">
        <f t="shared" si="23"/>
        <v>*0.93</v>
      </c>
      <c r="AC147" s="33" t="s">
        <v>3478</v>
      </c>
      <c r="AD147" s="44" t="s">
        <v>57</v>
      </c>
      <c r="AE147" s="33">
        <v>2035</v>
      </c>
      <c r="AF147" s="45" t="str">
        <f t="shared" si="24"/>
        <v>*0.92</v>
      </c>
      <c r="AG147" s="43" t="str">
        <f t="shared" si="27"/>
        <v>REZoning_Sol-Win</v>
      </c>
      <c r="AI147" s="33" t="s">
        <v>3478</v>
      </c>
      <c r="AJ147" s="44" t="s">
        <v>57</v>
      </c>
      <c r="AK147" s="33">
        <v>2050</v>
      </c>
      <c r="AL147" s="45" t="str">
        <f t="shared" si="25"/>
        <v>*0.89</v>
      </c>
      <c r="AM147" s="43" t="str">
        <f t="shared" si="28"/>
        <v>REZoning_Sol-Win</v>
      </c>
      <c r="AP147" t="s">
        <v>3478</v>
      </c>
      <c r="AQ147" t="s">
        <v>57</v>
      </c>
      <c r="AR147">
        <f t="shared" si="26"/>
        <v>2100</v>
      </c>
      <c r="AS147" t="s">
        <v>937</v>
      </c>
      <c r="AT147" t="s">
        <v>58</v>
      </c>
    </row>
    <row r="148" ht="29" spans="1:46">
      <c r="A148" s="31" t="s">
        <v>98</v>
      </c>
      <c r="C148" t="s">
        <v>3479</v>
      </c>
      <c r="D148" s="5" t="s">
        <v>57</v>
      </c>
      <c r="E148">
        <v>2035</v>
      </c>
      <c r="F148" s="6" t="str">
        <f t="shared" si="20"/>
        <v>*0.96</v>
      </c>
      <c r="H148" t="s">
        <v>3479</v>
      </c>
      <c r="I148" s="5" t="s">
        <v>57</v>
      </c>
      <c r="J148">
        <v>2050</v>
      </c>
      <c r="K148" s="38" t="str">
        <f t="shared" si="21"/>
        <v>*0.94</v>
      </c>
      <c r="P148" s="32" t="s">
        <v>3479</v>
      </c>
      <c r="Q148" s="42" t="s">
        <v>57</v>
      </c>
      <c r="R148" s="32">
        <v>2035</v>
      </c>
      <c r="S148" s="43" t="str">
        <f t="shared" si="22"/>
        <v>*0.96</v>
      </c>
      <c r="U148" s="32" t="s">
        <v>3479</v>
      </c>
      <c r="V148" s="42" t="s">
        <v>57</v>
      </c>
      <c r="W148" s="32">
        <v>2050</v>
      </c>
      <c r="X148" s="43" t="str">
        <f t="shared" si="23"/>
        <v>*0.93</v>
      </c>
      <c r="AC148" s="33" t="s">
        <v>3479</v>
      </c>
      <c r="AD148" s="44" t="s">
        <v>57</v>
      </c>
      <c r="AE148" s="33">
        <v>2035</v>
      </c>
      <c r="AF148" s="45" t="str">
        <f t="shared" si="24"/>
        <v>*0.92</v>
      </c>
      <c r="AG148" s="43" t="str">
        <f t="shared" si="27"/>
        <v>REZoning_Sol-Win</v>
      </c>
      <c r="AI148" s="33" t="s">
        <v>3479</v>
      </c>
      <c r="AJ148" s="44" t="s">
        <v>57</v>
      </c>
      <c r="AK148" s="33">
        <v>2050</v>
      </c>
      <c r="AL148" s="45" t="str">
        <f t="shared" si="25"/>
        <v>*0.89</v>
      </c>
      <c r="AM148" s="43" t="str">
        <f t="shared" si="28"/>
        <v>REZoning_Sol-Win</v>
      </c>
      <c r="AP148" t="s">
        <v>3479</v>
      </c>
      <c r="AQ148" t="s">
        <v>57</v>
      </c>
      <c r="AR148">
        <f t="shared" si="26"/>
        <v>2100</v>
      </c>
      <c r="AS148" t="s">
        <v>937</v>
      </c>
      <c r="AT148" t="s">
        <v>58</v>
      </c>
    </row>
    <row r="149" ht="29" spans="1:46">
      <c r="A149" s="31" t="s">
        <v>98</v>
      </c>
      <c r="C149" t="s">
        <v>3480</v>
      </c>
      <c r="D149" s="5" t="s">
        <v>57</v>
      </c>
      <c r="E149">
        <v>2035</v>
      </c>
      <c r="F149" s="6" t="str">
        <f t="shared" si="20"/>
        <v>*0.96</v>
      </c>
      <c r="H149" t="s">
        <v>3480</v>
      </c>
      <c r="I149" s="5" t="s">
        <v>57</v>
      </c>
      <c r="J149">
        <v>2050</v>
      </c>
      <c r="K149" s="38" t="str">
        <f t="shared" si="21"/>
        <v>*0.94</v>
      </c>
      <c r="P149" s="32" t="s">
        <v>3480</v>
      </c>
      <c r="Q149" s="42" t="s">
        <v>57</v>
      </c>
      <c r="R149" s="32">
        <v>2035</v>
      </c>
      <c r="S149" s="43" t="str">
        <f t="shared" si="22"/>
        <v>*0.96</v>
      </c>
      <c r="U149" s="32" t="s">
        <v>3480</v>
      </c>
      <c r="V149" s="42" t="s">
        <v>57</v>
      </c>
      <c r="W149" s="32">
        <v>2050</v>
      </c>
      <c r="X149" s="43" t="str">
        <f t="shared" si="23"/>
        <v>*0.93</v>
      </c>
      <c r="AC149" s="33" t="s">
        <v>3480</v>
      </c>
      <c r="AD149" s="44" t="s">
        <v>57</v>
      </c>
      <c r="AE149" s="33">
        <v>2035</v>
      </c>
      <c r="AF149" s="45" t="str">
        <f t="shared" si="24"/>
        <v>*0.92</v>
      </c>
      <c r="AG149" s="43" t="str">
        <f t="shared" si="27"/>
        <v>REZoning_Sol-Win</v>
      </c>
      <c r="AI149" s="33" t="s">
        <v>3480</v>
      </c>
      <c r="AJ149" s="44" t="s">
        <v>57</v>
      </c>
      <c r="AK149" s="33">
        <v>2050</v>
      </c>
      <c r="AL149" s="45" t="str">
        <f t="shared" si="25"/>
        <v>*0.89</v>
      </c>
      <c r="AM149" s="43" t="str">
        <f t="shared" si="28"/>
        <v>REZoning_Sol-Win</v>
      </c>
      <c r="AP149" t="s">
        <v>3480</v>
      </c>
      <c r="AQ149" t="s">
        <v>57</v>
      </c>
      <c r="AR149">
        <f t="shared" si="26"/>
        <v>2100</v>
      </c>
      <c r="AS149" t="s">
        <v>937</v>
      </c>
      <c r="AT149" t="s">
        <v>58</v>
      </c>
    </row>
    <row r="150" ht="29" spans="1:46">
      <c r="A150" s="31" t="s">
        <v>98</v>
      </c>
      <c r="C150" t="s">
        <v>3481</v>
      </c>
      <c r="D150" s="5" t="s">
        <v>57</v>
      </c>
      <c r="E150">
        <v>2035</v>
      </c>
      <c r="F150" s="6" t="str">
        <f t="shared" si="20"/>
        <v>*0.96</v>
      </c>
      <c r="H150" t="s">
        <v>3481</v>
      </c>
      <c r="I150" s="5" t="s">
        <v>57</v>
      </c>
      <c r="J150">
        <v>2050</v>
      </c>
      <c r="K150" s="38" t="str">
        <f t="shared" si="21"/>
        <v>*0.94</v>
      </c>
      <c r="P150" s="32" t="s">
        <v>3481</v>
      </c>
      <c r="Q150" s="42" t="s">
        <v>57</v>
      </c>
      <c r="R150" s="32">
        <v>2035</v>
      </c>
      <c r="S150" s="43" t="str">
        <f t="shared" si="22"/>
        <v>*0.96</v>
      </c>
      <c r="U150" s="32" t="s">
        <v>3481</v>
      </c>
      <c r="V150" s="42" t="s">
        <v>57</v>
      </c>
      <c r="W150" s="32">
        <v>2050</v>
      </c>
      <c r="X150" s="43" t="str">
        <f t="shared" si="23"/>
        <v>*0.93</v>
      </c>
      <c r="AC150" s="33" t="s">
        <v>3481</v>
      </c>
      <c r="AD150" s="44" t="s">
        <v>57</v>
      </c>
      <c r="AE150" s="33">
        <v>2035</v>
      </c>
      <c r="AF150" s="45" t="str">
        <f t="shared" si="24"/>
        <v>*0.92</v>
      </c>
      <c r="AG150" s="43" t="str">
        <f t="shared" si="27"/>
        <v>REZoning_Sol-Win</v>
      </c>
      <c r="AI150" s="33" t="s">
        <v>3481</v>
      </c>
      <c r="AJ150" s="44" t="s">
        <v>57</v>
      </c>
      <c r="AK150" s="33">
        <v>2050</v>
      </c>
      <c r="AL150" s="45" t="str">
        <f t="shared" si="25"/>
        <v>*0.89</v>
      </c>
      <c r="AM150" s="43" t="str">
        <f t="shared" si="28"/>
        <v>REZoning_Sol-Win</v>
      </c>
      <c r="AP150" t="s">
        <v>3481</v>
      </c>
      <c r="AQ150" t="s">
        <v>57</v>
      </c>
      <c r="AR150">
        <f t="shared" si="26"/>
        <v>2100</v>
      </c>
      <c r="AS150" t="s">
        <v>937</v>
      </c>
      <c r="AT150" t="s">
        <v>58</v>
      </c>
    </row>
    <row r="151" ht="29" spans="1:46">
      <c r="A151" s="31" t="s">
        <v>98</v>
      </c>
      <c r="C151" t="s">
        <v>3482</v>
      </c>
      <c r="D151" s="5" t="s">
        <v>57</v>
      </c>
      <c r="E151">
        <v>2035</v>
      </c>
      <c r="F151" s="6" t="str">
        <f t="shared" si="20"/>
        <v>*0.96</v>
      </c>
      <c r="H151" t="s">
        <v>3482</v>
      </c>
      <c r="I151" s="5" t="s">
        <v>57</v>
      </c>
      <c r="J151">
        <v>2050</v>
      </c>
      <c r="K151" s="38" t="str">
        <f t="shared" si="21"/>
        <v>*0.94</v>
      </c>
      <c r="P151" s="32" t="s">
        <v>3482</v>
      </c>
      <c r="Q151" s="42" t="s">
        <v>57</v>
      </c>
      <c r="R151" s="32">
        <v>2035</v>
      </c>
      <c r="S151" s="43" t="str">
        <f t="shared" si="22"/>
        <v>*0.96</v>
      </c>
      <c r="U151" s="32" t="s">
        <v>3482</v>
      </c>
      <c r="V151" s="42" t="s">
        <v>57</v>
      </c>
      <c r="W151" s="32">
        <v>2050</v>
      </c>
      <c r="X151" s="43" t="str">
        <f t="shared" si="23"/>
        <v>*0.93</v>
      </c>
      <c r="AC151" s="33" t="s">
        <v>3482</v>
      </c>
      <c r="AD151" s="44" t="s">
        <v>57</v>
      </c>
      <c r="AE151" s="33">
        <v>2035</v>
      </c>
      <c r="AF151" s="45" t="str">
        <f t="shared" si="24"/>
        <v>*0.92</v>
      </c>
      <c r="AG151" s="43" t="str">
        <f t="shared" si="27"/>
        <v>REZoning_Sol-Win</v>
      </c>
      <c r="AI151" s="33" t="s">
        <v>3482</v>
      </c>
      <c r="AJ151" s="44" t="s">
        <v>57</v>
      </c>
      <c r="AK151" s="33">
        <v>2050</v>
      </c>
      <c r="AL151" s="45" t="str">
        <f t="shared" si="25"/>
        <v>*0.89</v>
      </c>
      <c r="AM151" s="43" t="str">
        <f t="shared" si="28"/>
        <v>REZoning_Sol-Win</v>
      </c>
      <c r="AP151" t="s">
        <v>3482</v>
      </c>
      <c r="AQ151" t="s">
        <v>57</v>
      </c>
      <c r="AR151">
        <f t="shared" si="26"/>
        <v>2100</v>
      </c>
      <c r="AS151" t="s">
        <v>937</v>
      </c>
      <c r="AT151" t="s">
        <v>58</v>
      </c>
    </row>
    <row r="152" ht="29" spans="1:46">
      <c r="A152" s="31" t="s">
        <v>98</v>
      </c>
      <c r="C152" t="s">
        <v>3483</v>
      </c>
      <c r="D152" s="5" t="s">
        <v>57</v>
      </c>
      <c r="E152">
        <v>2035</v>
      </c>
      <c r="F152" s="6" t="str">
        <f t="shared" si="20"/>
        <v>*0.96</v>
      </c>
      <c r="H152" t="s">
        <v>3483</v>
      </c>
      <c r="I152" s="5" t="s">
        <v>57</v>
      </c>
      <c r="J152">
        <v>2050</v>
      </c>
      <c r="K152" s="38" t="str">
        <f t="shared" si="21"/>
        <v>*0.94</v>
      </c>
      <c r="P152" s="32" t="s">
        <v>3483</v>
      </c>
      <c r="Q152" s="42" t="s">
        <v>57</v>
      </c>
      <c r="R152" s="32">
        <v>2035</v>
      </c>
      <c r="S152" s="43" t="str">
        <f t="shared" si="22"/>
        <v>*0.96</v>
      </c>
      <c r="U152" s="32" t="s">
        <v>3483</v>
      </c>
      <c r="V152" s="42" t="s">
        <v>57</v>
      </c>
      <c r="W152" s="32">
        <v>2050</v>
      </c>
      <c r="X152" s="43" t="str">
        <f t="shared" si="23"/>
        <v>*0.93</v>
      </c>
      <c r="AC152" s="33" t="s">
        <v>3483</v>
      </c>
      <c r="AD152" s="44" t="s">
        <v>57</v>
      </c>
      <c r="AE152" s="33">
        <v>2035</v>
      </c>
      <c r="AF152" s="45" t="str">
        <f t="shared" si="24"/>
        <v>*0.92</v>
      </c>
      <c r="AG152" s="43" t="str">
        <f t="shared" si="27"/>
        <v>REZoning_Sol-Win</v>
      </c>
      <c r="AI152" s="33" t="s">
        <v>3483</v>
      </c>
      <c r="AJ152" s="44" t="s">
        <v>57</v>
      </c>
      <c r="AK152" s="33">
        <v>2050</v>
      </c>
      <c r="AL152" s="45" t="str">
        <f t="shared" si="25"/>
        <v>*0.89</v>
      </c>
      <c r="AM152" s="43" t="str">
        <f t="shared" si="28"/>
        <v>REZoning_Sol-Win</v>
      </c>
      <c r="AP152" t="s">
        <v>3483</v>
      </c>
      <c r="AQ152" t="s">
        <v>57</v>
      </c>
      <c r="AR152">
        <f t="shared" si="26"/>
        <v>2100</v>
      </c>
      <c r="AS152" t="s">
        <v>937</v>
      </c>
      <c r="AT152" t="s">
        <v>58</v>
      </c>
    </row>
    <row r="153" ht="29" spans="1:46">
      <c r="A153" s="31" t="s">
        <v>98</v>
      </c>
      <c r="C153" t="s">
        <v>3484</v>
      </c>
      <c r="D153" s="5" t="s">
        <v>57</v>
      </c>
      <c r="E153">
        <v>2035</v>
      </c>
      <c r="F153" s="6" t="str">
        <f t="shared" si="20"/>
        <v>*0.96</v>
      </c>
      <c r="H153" t="s">
        <v>3484</v>
      </c>
      <c r="I153" s="5" t="s">
        <v>57</v>
      </c>
      <c r="J153">
        <v>2050</v>
      </c>
      <c r="K153" s="38" t="str">
        <f t="shared" si="21"/>
        <v>*0.94</v>
      </c>
      <c r="P153" s="32" t="s">
        <v>3484</v>
      </c>
      <c r="Q153" s="42" t="s">
        <v>57</v>
      </c>
      <c r="R153" s="32">
        <v>2035</v>
      </c>
      <c r="S153" s="43" t="str">
        <f t="shared" si="22"/>
        <v>*0.96</v>
      </c>
      <c r="U153" s="32" t="s">
        <v>3484</v>
      </c>
      <c r="V153" s="42" t="s">
        <v>57</v>
      </c>
      <c r="W153" s="32">
        <v>2050</v>
      </c>
      <c r="X153" s="43" t="str">
        <f t="shared" si="23"/>
        <v>*0.93</v>
      </c>
      <c r="AC153" s="33" t="s">
        <v>3484</v>
      </c>
      <c r="AD153" s="44" t="s">
        <v>57</v>
      </c>
      <c r="AE153" s="33">
        <v>2035</v>
      </c>
      <c r="AF153" s="45" t="str">
        <f t="shared" si="24"/>
        <v>*0.92</v>
      </c>
      <c r="AG153" s="43" t="str">
        <f t="shared" si="27"/>
        <v>REZoning_Sol-Win</v>
      </c>
      <c r="AI153" s="33" t="s">
        <v>3484</v>
      </c>
      <c r="AJ153" s="44" t="s">
        <v>57</v>
      </c>
      <c r="AK153" s="33">
        <v>2050</v>
      </c>
      <c r="AL153" s="45" t="str">
        <f t="shared" si="25"/>
        <v>*0.89</v>
      </c>
      <c r="AM153" s="43" t="str">
        <f t="shared" si="28"/>
        <v>REZoning_Sol-Win</v>
      </c>
      <c r="AP153" t="s">
        <v>3484</v>
      </c>
      <c r="AQ153" t="s">
        <v>57</v>
      </c>
      <c r="AR153">
        <f t="shared" si="26"/>
        <v>2100</v>
      </c>
      <c r="AS153" t="s">
        <v>937</v>
      </c>
      <c r="AT153" t="s">
        <v>58</v>
      </c>
    </row>
    <row r="154" ht="29" spans="1:46">
      <c r="A154" s="31" t="s">
        <v>98</v>
      </c>
      <c r="C154" t="s">
        <v>3485</v>
      </c>
      <c r="D154" s="5" t="s">
        <v>57</v>
      </c>
      <c r="E154">
        <v>2035</v>
      </c>
      <c r="F154" s="6" t="str">
        <f t="shared" si="20"/>
        <v>*0.96</v>
      </c>
      <c r="H154" t="s">
        <v>3485</v>
      </c>
      <c r="I154" s="5" t="s">
        <v>57</v>
      </c>
      <c r="J154">
        <v>2050</v>
      </c>
      <c r="K154" s="38" t="str">
        <f t="shared" si="21"/>
        <v>*0.94</v>
      </c>
      <c r="P154" s="32" t="s">
        <v>3485</v>
      </c>
      <c r="Q154" s="42" t="s">
        <v>57</v>
      </c>
      <c r="R154" s="32">
        <v>2035</v>
      </c>
      <c r="S154" s="43" t="str">
        <f t="shared" si="22"/>
        <v>*0.96</v>
      </c>
      <c r="U154" s="32" t="s">
        <v>3485</v>
      </c>
      <c r="V154" s="42" t="s">
        <v>57</v>
      </c>
      <c r="W154" s="32">
        <v>2050</v>
      </c>
      <c r="X154" s="43" t="str">
        <f t="shared" si="23"/>
        <v>*0.93</v>
      </c>
      <c r="AC154" s="33" t="s">
        <v>3485</v>
      </c>
      <c r="AD154" s="44" t="s">
        <v>57</v>
      </c>
      <c r="AE154" s="33">
        <v>2035</v>
      </c>
      <c r="AF154" s="45" t="str">
        <f t="shared" si="24"/>
        <v>*0.92</v>
      </c>
      <c r="AG154" s="43" t="str">
        <f t="shared" si="27"/>
        <v>REZoning_Sol-Win</v>
      </c>
      <c r="AI154" s="33" t="s">
        <v>3485</v>
      </c>
      <c r="AJ154" s="44" t="s">
        <v>57</v>
      </c>
      <c r="AK154" s="33">
        <v>2050</v>
      </c>
      <c r="AL154" s="45" t="str">
        <f t="shared" si="25"/>
        <v>*0.89</v>
      </c>
      <c r="AM154" s="43" t="str">
        <f t="shared" si="28"/>
        <v>REZoning_Sol-Win</v>
      </c>
      <c r="AP154" t="s">
        <v>3485</v>
      </c>
      <c r="AQ154" t="s">
        <v>57</v>
      </c>
      <c r="AR154">
        <f t="shared" si="26"/>
        <v>2100</v>
      </c>
      <c r="AS154" t="s">
        <v>937</v>
      </c>
      <c r="AT154" t="s">
        <v>58</v>
      </c>
    </row>
    <row r="155" ht="29" spans="1:46">
      <c r="A155" s="31" t="s">
        <v>98</v>
      </c>
      <c r="C155" t="s">
        <v>3486</v>
      </c>
      <c r="D155" s="5" t="s">
        <v>57</v>
      </c>
      <c r="E155">
        <v>2035</v>
      </c>
      <c r="F155" s="6" t="str">
        <f t="shared" si="20"/>
        <v>*0.96</v>
      </c>
      <c r="H155" t="s">
        <v>3486</v>
      </c>
      <c r="I155" s="5" t="s">
        <v>57</v>
      </c>
      <c r="J155">
        <v>2050</v>
      </c>
      <c r="K155" s="38" t="str">
        <f t="shared" si="21"/>
        <v>*0.94</v>
      </c>
      <c r="P155" s="32" t="s">
        <v>3486</v>
      </c>
      <c r="Q155" s="42" t="s">
        <v>57</v>
      </c>
      <c r="R155" s="32">
        <v>2035</v>
      </c>
      <c r="S155" s="43" t="str">
        <f t="shared" si="22"/>
        <v>*0.96</v>
      </c>
      <c r="U155" s="32" t="s">
        <v>3486</v>
      </c>
      <c r="V155" s="42" t="s">
        <v>57</v>
      </c>
      <c r="W155" s="32">
        <v>2050</v>
      </c>
      <c r="X155" s="43" t="str">
        <f t="shared" si="23"/>
        <v>*0.93</v>
      </c>
      <c r="AC155" s="33" t="s">
        <v>3486</v>
      </c>
      <c r="AD155" s="44" t="s">
        <v>57</v>
      </c>
      <c r="AE155" s="33">
        <v>2035</v>
      </c>
      <c r="AF155" s="45" t="str">
        <f t="shared" si="24"/>
        <v>*0.92</v>
      </c>
      <c r="AG155" s="43" t="str">
        <f t="shared" si="27"/>
        <v>REZoning_Sol-Win</v>
      </c>
      <c r="AI155" s="33" t="s">
        <v>3486</v>
      </c>
      <c r="AJ155" s="44" t="s">
        <v>57</v>
      </c>
      <c r="AK155" s="33">
        <v>2050</v>
      </c>
      <c r="AL155" s="45" t="str">
        <f t="shared" si="25"/>
        <v>*0.89</v>
      </c>
      <c r="AM155" s="43" t="str">
        <f t="shared" si="28"/>
        <v>REZoning_Sol-Win</v>
      </c>
      <c r="AP155" t="s">
        <v>3486</v>
      </c>
      <c r="AQ155" t="s">
        <v>57</v>
      </c>
      <c r="AR155">
        <f t="shared" si="26"/>
        <v>2100</v>
      </c>
      <c r="AS155" t="s">
        <v>937</v>
      </c>
      <c r="AT155" t="s">
        <v>58</v>
      </c>
    </row>
    <row r="156" ht="29" spans="1:46">
      <c r="A156" s="31" t="s">
        <v>98</v>
      </c>
      <c r="C156" t="s">
        <v>3487</v>
      </c>
      <c r="D156" s="5" t="s">
        <v>57</v>
      </c>
      <c r="E156">
        <v>2035</v>
      </c>
      <c r="F156" s="6" t="str">
        <f t="shared" si="20"/>
        <v>*0.96</v>
      </c>
      <c r="H156" t="s">
        <v>3487</v>
      </c>
      <c r="I156" s="5" t="s">
        <v>57</v>
      </c>
      <c r="J156">
        <v>2050</v>
      </c>
      <c r="K156" s="38" t="str">
        <f t="shared" si="21"/>
        <v>*0.94</v>
      </c>
      <c r="P156" s="32" t="s">
        <v>3487</v>
      </c>
      <c r="Q156" s="42" t="s">
        <v>57</v>
      </c>
      <c r="R156" s="32">
        <v>2035</v>
      </c>
      <c r="S156" s="43" t="str">
        <f t="shared" si="22"/>
        <v>*0.96</v>
      </c>
      <c r="U156" s="32" t="s">
        <v>3487</v>
      </c>
      <c r="V156" s="42" t="s">
        <v>57</v>
      </c>
      <c r="W156" s="32">
        <v>2050</v>
      </c>
      <c r="X156" s="43" t="str">
        <f t="shared" si="23"/>
        <v>*0.93</v>
      </c>
      <c r="AC156" s="33" t="s">
        <v>3487</v>
      </c>
      <c r="AD156" s="44" t="s">
        <v>57</v>
      </c>
      <c r="AE156" s="33">
        <v>2035</v>
      </c>
      <c r="AF156" s="45" t="str">
        <f t="shared" si="24"/>
        <v>*0.92</v>
      </c>
      <c r="AG156" s="43" t="str">
        <f t="shared" si="27"/>
        <v>REZoning_Sol-Win</v>
      </c>
      <c r="AI156" s="33" t="s">
        <v>3487</v>
      </c>
      <c r="AJ156" s="44" t="s">
        <v>57</v>
      </c>
      <c r="AK156" s="33">
        <v>2050</v>
      </c>
      <c r="AL156" s="45" t="str">
        <f t="shared" si="25"/>
        <v>*0.89</v>
      </c>
      <c r="AM156" s="43" t="str">
        <f t="shared" si="28"/>
        <v>REZoning_Sol-Win</v>
      </c>
      <c r="AP156" t="s">
        <v>3487</v>
      </c>
      <c r="AQ156" t="s">
        <v>57</v>
      </c>
      <c r="AR156">
        <f t="shared" si="26"/>
        <v>2100</v>
      </c>
      <c r="AS156" t="s">
        <v>937</v>
      </c>
      <c r="AT156" t="s">
        <v>58</v>
      </c>
    </row>
    <row r="157" ht="29" spans="1:46">
      <c r="A157" s="31" t="s">
        <v>98</v>
      </c>
      <c r="C157" t="s">
        <v>3488</v>
      </c>
      <c r="D157" s="5" t="s">
        <v>57</v>
      </c>
      <c r="E157">
        <v>2035</v>
      </c>
      <c r="F157" s="6" t="str">
        <f t="shared" si="20"/>
        <v>*0.96</v>
      </c>
      <c r="H157" t="s">
        <v>3488</v>
      </c>
      <c r="I157" s="5" t="s">
        <v>57</v>
      </c>
      <c r="J157">
        <v>2050</v>
      </c>
      <c r="K157" s="38" t="str">
        <f t="shared" si="21"/>
        <v>*0.94</v>
      </c>
      <c r="P157" s="32" t="s">
        <v>3488</v>
      </c>
      <c r="Q157" s="42" t="s">
        <v>57</v>
      </c>
      <c r="R157" s="32">
        <v>2035</v>
      </c>
      <c r="S157" s="43" t="str">
        <f t="shared" si="22"/>
        <v>*0.96</v>
      </c>
      <c r="U157" s="32" t="s">
        <v>3488</v>
      </c>
      <c r="V157" s="42" t="s">
        <v>57</v>
      </c>
      <c r="W157" s="32">
        <v>2050</v>
      </c>
      <c r="X157" s="43" t="str">
        <f t="shared" si="23"/>
        <v>*0.93</v>
      </c>
      <c r="AC157" s="33" t="s">
        <v>3488</v>
      </c>
      <c r="AD157" s="44" t="s">
        <v>57</v>
      </c>
      <c r="AE157" s="33">
        <v>2035</v>
      </c>
      <c r="AF157" s="45" t="str">
        <f t="shared" si="24"/>
        <v>*0.92</v>
      </c>
      <c r="AG157" s="43" t="str">
        <f t="shared" si="27"/>
        <v>REZoning_Sol-Win</v>
      </c>
      <c r="AI157" s="33" t="s">
        <v>3488</v>
      </c>
      <c r="AJ157" s="44" t="s">
        <v>57</v>
      </c>
      <c r="AK157" s="33">
        <v>2050</v>
      </c>
      <c r="AL157" s="45" t="str">
        <f t="shared" si="25"/>
        <v>*0.89</v>
      </c>
      <c r="AM157" s="43" t="str">
        <f t="shared" si="28"/>
        <v>REZoning_Sol-Win</v>
      </c>
      <c r="AP157" t="s">
        <v>3488</v>
      </c>
      <c r="AQ157" t="s">
        <v>57</v>
      </c>
      <c r="AR157">
        <f t="shared" si="26"/>
        <v>2100</v>
      </c>
      <c r="AS157" t="s">
        <v>937</v>
      </c>
      <c r="AT157" t="s">
        <v>58</v>
      </c>
    </row>
    <row r="158" ht="29" spans="1:46">
      <c r="A158" s="31" t="s">
        <v>98</v>
      </c>
      <c r="C158" t="s">
        <v>3489</v>
      </c>
      <c r="D158" s="5" t="s">
        <v>57</v>
      </c>
      <c r="E158">
        <v>2035</v>
      </c>
      <c r="F158" s="6" t="str">
        <f t="shared" si="20"/>
        <v>*0.96</v>
      </c>
      <c r="H158" t="s">
        <v>3489</v>
      </c>
      <c r="I158" s="5" t="s">
        <v>57</v>
      </c>
      <c r="J158">
        <v>2050</v>
      </c>
      <c r="K158" s="38" t="str">
        <f t="shared" si="21"/>
        <v>*0.94</v>
      </c>
      <c r="P158" s="32" t="s">
        <v>3489</v>
      </c>
      <c r="Q158" s="42" t="s">
        <v>57</v>
      </c>
      <c r="R158" s="32">
        <v>2035</v>
      </c>
      <c r="S158" s="43" t="str">
        <f t="shared" si="22"/>
        <v>*0.96</v>
      </c>
      <c r="U158" s="32" t="s">
        <v>3489</v>
      </c>
      <c r="V158" s="42" t="s">
        <v>57</v>
      </c>
      <c r="W158" s="32">
        <v>2050</v>
      </c>
      <c r="X158" s="43" t="str">
        <f t="shared" si="23"/>
        <v>*0.93</v>
      </c>
      <c r="AC158" s="33" t="s">
        <v>3489</v>
      </c>
      <c r="AD158" s="44" t="s">
        <v>57</v>
      </c>
      <c r="AE158" s="33">
        <v>2035</v>
      </c>
      <c r="AF158" s="45" t="str">
        <f t="shared" si="24"/>
        <v>*0.92</v>
      </c>
      <c r="AG158" s="43" t="str">
        <f t="shared" si="27"/>
        <v>REZoning_Sol-Win</v>
      </c>
      <c r="AI158" s="33" t="s">
        <v>3489</v>
      </c>
      <c r="AJ158" s="44" t="s">
        <v>57</v>
      </c>
      <c r="AK158" s="33">
        <v>2050</v>
      </c>
      <c r="AL158" s="45" t="str">
        <f t="shared" si="25"/>
        <v>*0.89</v>
      </c>
      <c r="AM158" s="43" t="str">
        <f t="shared" si="28"/>
        <v>REZoning_Sol-Win</v>
      </c>
      <c r="AP158" t="s">
        <v>3489</v>
      </c>
      <c r="AQ158" t="s">
        <v>57</v>
      </c>
      <c r="AR158">
        <f t="shared" si="26"/>
        <v>2100</v>
      </c>
      <c r="AS158" t="s">
        <v>937</v>
      </c>
      <c r="AT158" t="s">
        <v>58</v>
      </c>
    </row>
    <row r="159" ht="29" spans="1:46">
      <c r="A159" s="31" t="s">
        <v>98</v>
      </c>
      <c r="C159" t="s">
        <v>3490</v>
      </c>
      <c r="D159" s="5" t="s">
        <v>57</v>
      </c>
      <c r="E159">
        <v>2035</v>
      </c>
      <c r="F159" s="6" t="str">
        <f t="shared" si="20"/>
        <v>*0.96</v>
      </c>
      <c r="H159" t="s">
        <v>3490</v>
      </c>
      <c r="I159" s="5" t="s">
        <v>57</v>
      </c>
      <c r="J159">
        <v>2050</v>
      </c>
      <c r="K159" s="38" t="str">
        <f t="shared" si="21"/>
        <v>*0.94</v>
      </c>
      <c r="P159" s="32" t="s">
        <v>3490</v>
      </c>
      <c r="Q159" s="42" t="s">
        <v>57</v>
      </c>
      <c r="R159" s="32">
        <v>2035</v>
      </c>
      <c r="S159" s="43" t="str">
        <f t="shared" si="22"/>
        <v>*0.96</v>
      </c>
      <c r="U159" s="32" t="s">
        <v>3490</v>
      </c>
      <c r="V159" s="42" t="s">
        <v>57</v>
      </c>
      <c r="W159" s="32">
        <v>2050</v>
      </c>
      <c r="X159" s="43" t="str">
        <f t="shared" si="23"/>
        <v>*0.93</v>
      </c>
      <c r="AC159" s="33" t="s">
        <v>3490</v>
      </c>
      <c r="AD159" s="44" t="s">
        <v>57</v>
      </c>
      <c r="AE159" s="33">
        <v>2035</v>
      </c>
      <c r="AF159" s="45" t="str">
        <f t="shared" si="24"/>
        <v>*0.92</v>
      </c>
      <c r="AG159" s="43" t="str">
        <f t="shared" si="27"/>
        <v>REZoning_Sol-Win</v>
      </c>
      <c r="AI159" s="33" t="s">
        <v>3490</v>
      </c>
      <c r="AJ159" s="44" t="s">
        <v>57</v>
      </c>
      <c r="AK159" s="33">
        <v>2050</v>
      </c>
      <c r="AL159" s="45" t="str">
        <f t="shared" si="25"/>
        <v>*0.89</v>
      </c>
      <c r="AM159" s="43" t="str">
        <f t="shared" si="28"/>
        <v>REZoning_Sol-Win</v>
      </c>
      <c r="AP159" t="s">
        <v>3490</v>
      </c>
      <c r="AQ159" t="s">
        <v>57</v>
      </c>
      <c r="AR159">
        <f t="shared" si="26"/>
        <v>2100</v>
      </c>
      <c r="AS159" t="s">
        <v>937</v>
      </c>
      <c r="AT159" t="s">
        <v>58</v>
      </c>
    </row>
    <row r="160" ht="29" spans="1:46">
      <c r="A160" s="31" t="s">
        <v>98</v>
      </c>
      <c r="C160" t="s">
        <v>3491</v>
      </c>
      <c r="D160" s="5" t="s">
        <v>57</v>
      </c>
      <c r="E160">
        <v>2035</v>
      </c>
      <c r="F160" s="6" t="str">
        <f t="shared" si="20"/>
        <v>*0.96</v>
      </c>
      <c r="H160" t="s">
        <v>3491</v>
      </c>
      <c r="I160" s="5" t="s">
        <v>57</v>
      </c>
      <c r="J160">
        <v>2050</v>
      </c>
      <c r="K160" s="38" t="str">
        <f t="shared" si="21"/>
        <v>*0.94</v>
      </c>
      <c r="P160" s="32" t="s">
        <v>3491</v>
      </c>
      <c r="Q160" s="42" t="s">
        <v>57</v>
      </c>
      <c r="R160" s="32">
        <v>2035</v>
      </c>
      <c r="S160" s="43" t="str">
        <f t="shared" si="22"/>
        <v>*0.96</v>
      </c>
      <c r="U160" s="32" t="s">
        <v>3491</v>
      </c>
      <c r="V160" s="42" t="s">
        <v>57</v>
      </c>
      <c r="W160" s="32">
        <v>2050</v>
      </c>
      <c r="X160" s="43" t="str">
        <f t="shared" si="23"/>
        <v>*0.93</v>
      </c>
      <c r="AC160" s="33" t="s">
        <v>3491</v>
      </c>
      <c r="AD160" s="44" t="s">
        <v>57</v>
      </c>
      <c r="AE160" s="33">
        <v>2035</v>
      </c>
      <c r="AF160" s="45" t="str">
        <f t="shared" si="24"/>
        <v>*0.92</v>
      </c>
      <c r="AG160" s="43" t="str">
        <f t="shared" si="27"/>
        <v>REZoning_Sol-Win</v>
      </c>
      <c r="AI160" s="33" t="s">
        <v>3491</v>
      </c>
      <c r="AJ160" s="44" t="s">
        <v>57</v>
      </c>
      <c r="AK160" s="33">
        <v>2050</v>
      </c>
      <c r="AL160" s="45" t="str">
        <f t="shared" si="25"/>
        <v>*0.89</v>
      </c>
      <c r="AM160" s="43" t="str">
        <f t="shared" si="28"/>
        <v>REZoning_Sol-Win</v>
      </c>
      <c r="AP160" t="s">
        <v>3491</v>
      </c>
      <c r="AQ160" t="s">
        <v>57</v>
      </c>
      <c r="AR160">
        <f t="shared" si="26"/>
        <v>2100</v>
      </c>
      <c r="AS160" t="s">
        <v>937</v>
      </c>
      <c r="AT160" t="s">
        <v>58</v>
      </c>
    </row>
    <row r="161" ht="29" spans="1:46">
      <c r="A161" s="31" t="s">
        <v>98</v>
      </c>
      <c r="C161" t="s">
        <v>3492</v>
      </c>
      <c r="D161" s="5" t="s">
        <v>57</v>
      </c>
      <c r="E161">
        <v>2035</v>
      </c>
      <c r="F161" s="6" t="str">
        <f t="shared" si="20"/>
        <v>*0.96</v>
      </c>
      <c r="H161" t="s">
        <v>3492</v>
      </c>
      <c r="I161" s="5" t="s">
        <v>57</v>
      </c>
      <c r="J161">
        <v>2050</v>
      </c>
      <c r="K161" s="38" t="str">
        <f t="shared" si="21"/>
        <v>*0.94</v>
      </c>
      <c r="P161" s="32" t="s">
        <v>3492</v>
      </c>
      <c r="Q161" s="42" t="s">
        <v>57</v>
      </c>
      <c r="R161" s="32">
        <v>2035</v>
      </c>
      <c r="S161" s="43" t="str">
        <f t="shared" si="22"/>
        <v>*0.96</v>
      </c>
      <c r="U161" s="32" t="s">
        <v>3492</v>
      </c>
      <c r="V161" s="42" t="s">
        <v>57</v>
      </c>
      <c r="W161" s="32">
        <v>2050</v>
      </c>
      <c r="X161" s="43" t="str">
        <f t="shared" si="23"/>
        <v>*0.93</v>
      </c>
      <c r="AC161" s="33" t="s">
        <v>3492</v>
      </c>
      <c r="AD161" s="44" t="s">
        <v>57</v>
      </c>
      <c r="AE161" s="33">
        <v>2035</v>
      </c>
      <c r="AF161" s="45" t="str">
        <f t="shared" si="24"/>
        <v>*0.92</v>
      </c>
      <c r="AG161" s="43" t="str">
        <f t="shared" si="27"/>
        <v>REZoning_Sol-Win</v>
      </c>
      <c r="AI161" s="33" t="s">
        <v>3492</v>
      </c>
      <c r="AJ161" s="44" t="s">
        <v>57</v>
      </c>
      <c r="AK161" s="33">
        <v>2050</v>
      </c>
      <c r="AL161" s="45" t="str">
        <f t="shared" si="25"/>
        <v>*0.89</v>
      </c>
      <c r="AM161" s="43" t="str">
        <f t="shared" si="28"/>
        <v>REZoning_Sol-Win</v>
      </c>
      <c r="AP161" t="s">
        <v>3492</v>
      </c>
      <c r="AQ161" t="s">
        <v>57</v>
      </c>
      <c r="AR161">
        <f t="shared" si="26"/>
        <v>2100</v>
      </c>
      <c r="AS161" t="s">
        <v>937</v>
      </c>
      <c r="AT161" t="s">
        <v>58</v>
      </c>
    </row>
    <row r="162" ht="29" spans="1:46">
      <c r="A162" s="31" t="s">
        <v>98</v>
      </c>
      <c r="C162" t="s">
        <v>3493</v>
      </c>
      <c r="D162" s="5" t="s">
        <v>57</v>
      </c>
      <c r="E162">
        <v>2035</v>
      </c>
      <c r="F162" s="6" t="str">
        <f t="shared" si="20"/>
        <v>*0.96</v>
      </c>
      <c r="H162" t="s">
        <v>3493</v>
      </c>
      <c r="I162" s="5" t="s">
        <v>57</v>
      </c>
      <c r="J162">
        <v>2050</v>
      </c>
      <c r="K162" s="38" t="str">
        <f t="shared" si="21"/>
        <v>*0.94</v>
      </c>
      <c r="P162" s="32" t="s">
        <v>3493</v>
      </c>
      <c r="Q162" s="42" t="s">
        <v>57</v>
      </c>
      <c r="R162" s="32">
        <v>2035</v>
      </c>
      <c r="S162" s="43" t="str">
        <f t="shared" si="22"/>
        <v>*0.96</v>
      </c>
      <c r="U162" s="32" t="s">
        <v>3493</v>
      </c>
      <c r="V162" s="42" t="s">
        <v>57</v>
      </c>
      <c r="W162" s="32">
        <v>2050</v>
      </c>
      <c r="X162" s="43" t="str">
        <f t="shared" si="23"/>
        <v>*0.93</v>
      </c>
      <c r="AC162" s="33" t="s">
        <v>3493</v>
      </c>
      <c r="AD162" s="44" t="s">
        <v>57</v>
      </c>
      <c r="AE162" s="33">
        <v>2035</v>
      </c>
      <c r="AF162" s="45" t="str">
        <f t="shared" si="24"/>
        <v>*0.92</v>
      </c>
      <c r="AG162" s="43" t="str">
        <f t="shared" si="27"/>
        <v>REZoning_Sol-Win</v>
      </c>
      <c r="AI162" s="33" t="s">
        <v>3493</v>
      </c>
      <c r="AJ162" s="44" t="s">
        <v>57</v>
      </c>
      <c r="AK162" s="33">
        <v>2050</v>
      </c>
      <c r="AL162" s="45" t="str">
        <f t="shared" si="25"/>
        <v>*0.89</v>
      </c>
      <c r="AM162" s="43" t="str">
        <f t="shared" si="28"/>
        <v>REZoning_Sol-Win</v>
      </c>
      <c r="AP162" t="s">
        <v>3493</v>
      </c>
      <c r="AQ162" t="s">
        <v>57</v>
      </c>
      <c r="AR162">
        <f t="shared" si="26"/>
        <v>2100</v>
      </c>
      <c r="AS162" t="s">
        <v>937</v>
      </c>
      <c r="AT162" t="s">
        <v>58</v>
      </c>
    </row>
    <row r="163" ht="29" spans="1:46">
      <c r="A163" s="31" t="s">
        <v>98</v>
      </c>
      <c r="C163" t="s">
        <v>3494</v>
      </c>
      <c r="D163" s="5" t="s">
        <v>57</v>
      </c>
      <c r="E163">
        <v>2035</v>
      </c>
      <c r="F163" s="6" t="str">
        <f t="shared" si="20"/>
        <v>*0.96</v>
      </c>
      <c r="H163" t="s">
        <v>3494</v>
      </c>
      <c r="I163" s="5" t="s">
        <v>57</v>
      </c>
      <c r="J163">
        <v>2050</v>
      </c>
      <c r="K163" s="38" t="str">
        <f t="shared" si="21"/>
        <v>*0.94</v>
      </c>
      <c r="P163" s="32" t="s">
        <v>3494</v>
      </c>
      <c r="Q163" s="42" t="s">
        <v>57</v>
      </c>
      <c r="R163" s="32">
        <v>2035</v>
      </c>
      <c r="S163" s="43" t="str">
        <f t="shared" si="22"/>
        <v>*0.96</v>
      </c>
      <c r="U163" s="32" t="s">
        <v>3494</v>
      </c>
      <c r="V163" s="42" t="s">
        <v>57</v>
      </c>
      <c r="W163" s="32">
        <v>2050</v>
      </c>
      <c r="X163" s="43" t="str">
        <f t="shared" si="23"/>
        <v>*0.93</v>
      </c>
      <c r="AC163" s="33" t="s">
        <v>3494</v>
      </c>
      <c r="AD163" s="44" t="s">
        <v>57</v>
      </c>
      <c r="AE163" s="33">
        <v>2035</v>
      </c>
      <c r="AF163" s="45" t="str">
        <f t="shared" si="24"/>
        <v>*0.92</v>
      </c>
      <c r="AG163" s="43" t="str">
        <f t="shared" si="27"/>
        <v>REZoning_Sol-Win</v>
      </c>
      <c r="AI163" s="33" t="s">
        <v>3494</v>
      </c>
      <c r="AJ163" s="44" t="s">
        <v>57</v>
      </c>
      <c r="AK163" s="33">
        <v>2050</v>
      </c>
      <c r="AL163" s="45" t="str">
        <f t="shared" si="25"/>
        <v>*0.89</v>
      </c>
      <c r="AM163" s="43" t="str">
        <f t="shared" si="28"/>
        <v>REZoning_Sol-Win</v>
      </c>
      <c r="AP163" t="s">
        <v>3494</v>
      </c>
      <c r="AQ163" t="s">
        <v>57</v>
      </c>
      <c r="AR163">
        <f t="shared" si="26"/>
        <v>2100</v>
      </c>
      <c r="AS163" t="s">
        <v>937</v>
      </c>
      <c r="AT163" t="s">
        <v>58</v>
      </c>
    </row>
    <row r="164" ht="29" spans="1:46">
      <c r="A164" s="31" t="s">
        <v>98</v>
      </c>
      <c r="C164" t="s">
        <v>3495</v>
      </c>
      <c r="D164" s="5" t="s">
        <v>57</v>
      </c>
      <c r="E164">
        <v>2035</v>
      </c>
      <c r="F164" s="6" t="str">
        <f t="shared" si="20"/>
        <v>*0.96</v>
      </c>
      <c r="H164" t="s">
        <v>3495</v>
      </c>
      <c r="I164" s="5" t="s">
        <v>57</v>
      </c>
      <c r="J164">
        <v>2050</v>
      </c>
      <c r="K164" s="38" t="str">
        <f t="shared" si="21"/>
        <v>*0.94</v>
      </c>
      <c r="P164" s="32" t="s">
        <v>3495</v>
      </c>
      <c r="Q164" s="42" t="s">
        <v>57</v>
      </c>
      <c r="R164" s="32">
        <v>2035</v>
      </c>
      <c r="S164" s="43" t="str">
        <f t="shared" si="22"/>
        <v>*0.96</v>
      </c>
      <c r="U164" s="32" t="s">
        <v>3495</v>
      </c>
      <c r="V164" s="42" t="s">
        <v>57</v>
      </c>
      <c r="W164" s="32">
        <v>2050</v>
      </c>
      <c r="X164" s="43" t="str">
        <f t="shared" si="23"/>
        <v>*0.93</v>
      </c>
      <c r="AC164" s="33" t="s">
        <v>3495</v>
      </c>
      <c r="AD164" s="44" t="s">
        <v>57</v>
      </c>
      <c r="AE164" s="33">
        <v>2035</v>
      </c>
      <c r="AF164" s="45" t="str">
        <f t="shared" si="24"/>
        <v>*0.92</v>
      </c>
      <c r="AG164" s="43" t="str">
        <f t="shared" si="27"/>
        <v>REZoning_Sol-Win</v>
      </c>
      <c r="AI164" s="33" t="s">
        <v>3495</v>
      </c>
      <c r="AJ164" s="44" t="s">
        <v>57</v>
      </c>
      <c r="AK164" s="33">
        <v>2050</v>
      </c>
      <c r="AL164" s="45" t="str">
        <f t="shared" si="25"/>
        <v>*0.89</v>
      </c>
      <c r="AM164" s="43" t="str">
        <f t="shared" si="28"/>
        <v>REZoning_Sol-Win</v>
      </c>
      <c r="AP164" t="s">
        <v>3495</v>
      </c>
      <c r="AQ164" t="s">
        <v>57</v>
      </c>
      <c r="AR164">
        <f t="shared" si="26"/>
        <v>2100</v>
      </c>
      <c r="AS164" t="s">
        <v>937</v>
      </c>
      <c r="AT164" t="s">
        <v>58</v>
      </c>
    </row>
    <row r="165" ht="29" spans="1:46">
      <c r="A165" s="31" t="s">
        <v>98</v>
      </c>
      <c r="C165" t="s">
        <v>3496</v>
      </c>
      <c r="D165" s="5" t="s">
        <v>57</v>
      </c>
      <c r="E165">
        <v>2035</v>
      </c>
      <c r="F165" s="6" t="str">
        <f t="shared" si="20"/>
        <v>*0.96</v>
      </c>
      <c r="H165" t="s">
        <v>3496</v>
      </c>
      <c r="I165" s="5" t="s">
        <v>57</v>
      </c>
      <c r="J165">
        <v>2050</v>
      </c>
      <c r="K165" s="38" t="str">
        <f t="shared" si="21"/>
        <v>*0.94</v>
      </c>
      <c r="P165" s="32" t="s">
        <v>3496</v>
      </c>
      <c r="Q165" s="42" t="s">
        <v>57</v>
      </c>
      <c r="R165" s="32">
        <v>2035</v>
      </c>
      <c r="S165" s="43" t="str">
        <f t="shared" si="22"/>
        <v>*0.96</v>
      </c>
      <c r="U165" s="32" t="s">
        <v>3496</v>
      </c>
      <c r="V165" s="42" t="s">
        <v>57</v>
      </c>
      <c r="W165" s="32">
        <v>2050</v>
      </c>
      <c r="X165" s="43" t="str">
        <f t="shared" si="23"/>
        <v>*0.93</v>
      </c>
      <c r="AC165" s="33" t="s">
        <v>3496</v>
      </c>
      <c r="AD165" s="44" t="s">
        <v>57</v>
      </c>
      <c r="AE165" s="33">
        <v>2035</v>
      </c>
      <c r="AF165" s="45" t="str">
        <f t="shared" si="24"/>
        <v>*0.92</v>
      </c>
      <c r="AG165" s="43" t="str">
        <f t="shared" si="27"/>
        <v>REZoning_Sol-Win</v>
      </c>
      <c r="AI165" s="33" t="s">
        <v>3496</v>
      </c>
      <c r="AJ165" s="44" t="s">
        <v>57</v>
      </c>
      <c r="AK165" s="33">
        <v>2050</v>
      </c>
      <c r="AL165" s="45" t="str">
        <f t="shared" si="25"/>
        <v>*0.89</v>
      </c>
      <c r="AM165" s="43" t="str">
        <f t="shared" si="28"/>
        <v>REZoning_Sol-Win</v>
      </c>
      <c r="AP165" t="s">
        <v>3496</v>
      </c>
      <c r="AQ165" t="s">
        <v>57</v>
      </c>
      <c r="AR165">
        <f t="shared" si="26"/>
        <v>2100</v>
      </c>
      <c r="AS165" t="s">
        <v>937</v>
      </c>
      <c r="AT165" t="s">
        <v>58</v>
      </c>
    </row>
    <row r="166" ht="29" spans="1:46">
      <c r="A166" s="31" t="s">
        <v>98</v>
      </c>
      <c r="C166" t="s">
        <v>3497</v>
      </c>
      <c r="D166" s="5" t="s">
        <v>57</v>
      </c>
      <c r="E166">
        <v>2035</v>
      </c>
      <c r="F166" s="6" t="str">
        <f t="shared" si="20"/>
        <v>*0.96</v>
      </c>
      <c r="H166" t="s">
        <v>3497</v>
      </c>
      <c r="I166" s="5" t="s">
        <v>57</v>
      </c>
      <c r="J166">
        <v>2050</v>
      </c>
      <c r="K166" s="38" t="str">
        <f t="shared" si="21"/>
        <v>*0.94</v>
      </c>
      <c r="P166" s="32" t="s">
        <v>3497</v>
      </c>
      <c r="Q166" s="42" t="s">
        <v>57</v>
      </c>
      <c r="R166" s="32">
        <v>2035</v>
      </c>
      <c r="S166" s="43" t="str">
        <f t="shared" si="22"/>
        <v>*0.96</v>
      </c>
      <c r="U166" s="32" t="s">
        <v>3497</v>
      </c>
      <c r="V166" s="42" t="s">
        <v>57</v>
      </c>
      <c r="W166" s="32">
        <v>2050</v>
      </c>
      <c r="X166" s="43" t="str">
        <f t="shared" si="23"/>
        <v>*0.93</v>
      </c>
      <c r="AC166" s="33" t="s">
        <v>3497</v>
      </c>
      <c r="AD166" s="44" t="s">
        <v>57</v>
      </c>
      <c r="AE166" s="33">
        <v>2035</v>
      </c>
      <c r="AF166" s="45" t="str">
        <f t="shared" si="24"/>
        <v>*0.92</v>
      </c>
      <c r="AG166" s="43" t="str">
        <f t="shared" si="27"/>
        <v>REZoning_Sol-Win</v>
      </c>
      <c r="AI166" s="33" t="s">
        <v>3497</v>
      </c>
      <c r="AJ166" s="44" t="s">
        <v>57</v>
      </c>
      <c r="AK166" s="33">
        <v>2050</v>
      </c>
      <c r="AL166" s="45" t="str">
        <f t="shared" si="25"/>
        <v>*0.89</v>
      </c>
      <c r="AM166" s="43" t="str">
        <f t="shared" si="28"/>
        <v>REZoning_Sol-Win</v>
      </c>
      <c r="AP166" t="s">
        <v>3497</v>
      </c>
      <c r="AQ166" t="s">
        <v>57</v>
      </c>
      <c r="AR166">
        <f t="shared" si="26"/>
        <v>2100</v>
      </c>
      <c r="AS166" t="s">
        <v>937</v>
      </c>
      <c r="AT166" t="s">
        <v>58</v>
      </c>
    </row>
    <row r="167" ht="29" spans="1:46">
      <c r="A167" s="31" t="s">
        <v>98</v>
      </c>
      <c r="C167" t="s">
        <v>3498</v>
      </c>
      <c r="D167" s="5" t="s">
        <v>57</v>
      </c>
      <c r="E167">
        <v>2035</v>
      </c>
      <c r="F167" s="6" t="str">
        <f t="shared" si="20"/>
        <v>*0.96</v>
      </c>
      <c r="H167" t="s">
        <v>3498</v>
      </c>
      <c r="I167" s="5" t="s">
        <v>57</v>
      </c>
      <c r="J167">
        <v>2050</v>
      </c>
      <c r="K167" s="38" t="str">
        <f t="shared" si="21"/>
        <v>*0.94</v>
      </c>
      <c r="P167" s="32" t="s">
        <v>3498</v>
      </c>
      <c r="Q167" s="42" t="s">
        <v>57</v>
      </c>
      <c r="R167" s="32">
        <v>2035</v>
      </c>
      <c r="S167" s="43" t="str">
        <f t="shared" si="22"/>
        <v>*0.96</v>
      </c>
      <c r="U167" s="32" t="s">
        <v>3498</v>
      </c>
      <c r="V167" s="42" t="s">
        <v>57</v>
      </c>
      <c r="W167" s="32">
        <v>2050</v>
      </c>
      <c r="X167" s="43" t="str">
        <f t="shared" si="23"/>
        <v>*0.93</v>
      </c>
      <c r="AC167" s="33" t="s">
        <v>3498</v>
      </c>
      <c r="AD167" s="44" t="s">
        <v>57</v>
      </c>
      <c r="AE167" s="33">
        <v>2035</v>
      </c>
      <c r="AF167" s="45" t="str">
        <f t="shared" si="24"/>
        <v>*0.92</v>
      </c>
      <c r="AG167" s="43" t="str">
        <f t="shared" si="27"/>
        <v>REZoning_Sol-Win</v>
      </c>
      <c r="AI167" s="33" t="s">
        <v>3498</v>
      </c>
      <c r="AJ167" s="44" t="s">
        <v>57</v>
      </c>
      <c r="AK167" s="33">
        <v>2050</v>
      </c>
      <c r="AL167" s="45" t="str">
        <f t="shared" si="25"/>
        <v>*0.89</v>
      </c>
      <c r="AM167" s="43" t="str">
        <f t="shared" si="28"/>
        <v>REZoning_Sol-Win</v>
      </c>
      <c r="AP167" t="s">
        <v>3498</v>
      </c>
      <c r="AQ167" t="s">
        <v>57</v>
      </c>
      <c r="AR167">
        <f t="shared" si="26"/>
        <v>2100</v>
      </c>
      <c r="AS167" t="s">
        <v>937</v>
      </c>
      <c r="AT167" t="s">
        <v>58</v>
      </c>
    </row>
    <row r="168" ht="29" spans="1:46">
      <c r="A168" s="31" t="s">
        <v>98</v>
      </c>
      <c r="C168" t="s">
        <v>3499</v>
      </c>
      <c r="D168" s="5" t="s">
        <v>57</v>
      </c>
      <c r="E168">
        <v>2035</v>
      </c>
      <c r="F168" s="6" t="str">
        <f t="shared" si="20"/>
        <v>*0.96</v>
      </c>
      <c r="H168" t="s">
        <v>3499</v>
      </c>
      <c r="I168" s="5" t="s">
        <v>57</v>
      </c>
      <c r="J168">
        <v>2050</v>
      </c>
      <c r="K168" s="38" t="str">
        <f t="shared" si="21"/>
        <v>*0.94</v>
      </c>
      <c r="P168" s="32" t="s">
        <v>3499</v>
      </c>
      <c r="Q168" s="42" t="s">
        <v>57</v>
      </c>
      <c r="R168" s="32">
        <v>2035</v>
      </c>
      <c r="S168" s="43" t="str">
        <f t="shared" si="22"/>
        <v>*0.96</v>
      </c>
      <c r="U168" s="32" t="s">
        <v>3499</v>
      </c>
      <c r="V168" s="42" t="s">
        <v>57</v>
      </c>
      <c r="W168" s="32">
        <v>2050</v>
      </c>
      <c r="X168" s="43" t="str">
        <f t="shared" si="23"/>
        <v>*0.93</v>
      </c>
      <c r="AC168" s="33" t="s">
        <v>3499</v>
      </c>
      <c r="AD168" s="44" t="s">
        <v>57</v>
      </c>
      <c r="AE168" s="33">
        <v>2035</v>
      </c>
      <c r="AF168" s="45" t="str">
        <f t="shared" si="24"/>
        <v>*0.92</v>
      </c>
      <c r="AG168" s="43" t="str">
        <f t="shared" si="27"/>
        <v>REZoning_Sol-Win</v>
      </c>
      <c r="AI168" s="33" t="s">
        <v>3499</v>
      </c>
      <c r="AJ168" s="44" t="s">
        <v>57</v>
      </c>
      <c r="AK168" s="33">
        <v>2050</v>
      </c>
      <c r="AL168" s="45" t="str">
        <f t="shared" si="25"/>
        <v>*0.89</v>
      </c>
      <c r="AM168" s="43" t="str">
        <f t="shared" si="28"/>
        <v>REZoning_Sol-Win</v>
      </c>
      <c r="AP168" t="s">
        <v>3499</v>
      </c>
      <c r="AQ168" t="s">
        <v>57</v>
      </c>
      <c r="AR168">
        <f t="shared" si="26"/>
        <v>2100</v>
      </c>
      <c r="AS168" t="s">
        <v>937</v>
      </c>
      <c r="AT168" t="s">
        <v>58</v>
      </c>
    </row>
    <row r="169" ht="29" spans="1:46">
      <c r="A169" s="31" t="s">
        <v>98</v>
      </c>
      <c r="C169" t="s">
        <v>3500</v>
      </c>
      <c r="D169" s="5" t="s">
        <v>57</v>
      </c>
      <c r="E169">
        <v>2035</v>
      </c>
      <c r="F169" s="6" t="str">
        <f t="shared" si="20"/>
        <v>*0.96</v>
      </c>
      <c r="H169" t="s">
        <v>3500</v>
      </c>
      <c r="I169" s="5" t="s">
        <v>57</v>
      </c>
      <c r="J169">
        <v>2050</v>
      </c>
      <c r="K169" s="38" t="str">
        <f t="shared" si="21"/>
        <v>*0.94</v>
      </c>
      <c r="P169" s="32" t="s">
        <v>3500</v>
      </c>
      <c r="Q169" s="42" t="s">
        <v>57</v>
      </c>
      <c r="R169" s="32">
        <v>2035</v>
      </c>
      <c r="S169" s="43" t="str">
        <f t="shared" si="22"/>
        <v>*0.96</v>
      </c>
      <c r="U169" s="32" t="s">
        <v>3500</v>
      </c>
      <c r="V169" s="42" t="s">
        <v>57</v>
      </c>
      <c r="W169" s="32">
        <v>2050</v>
      </c>
      <c r="X169" s="43" t="str">
        <f t="shared" si="23"/>
        <v>*0.93</v>
      </c>
      <c r="AC169" s="33" t="s">
        <v>3500</v>
      </c>
      <c r="AD169" s="44" t="s">
        <v>57</v>
      </c>
      <c r="AE169" s="33">
        <v>2035</v>
      </c>
      <c r="AF169" s="45" t="str">
        <f t="shared" si="24"/>
        <v>*0.92</v>
      </c>
      <c r="AG169" s="43" t="str">
        <f t="shared" si="27"/>
        <v>REZoning_Sol-Win</v>
      </c>
      <c r="AI169" s="33" t="s">
        <v>3500</v>
      </c>
      <c r="AJ169" s="44" t="s">
        <v>57</v>
      </c>
      <c r="AK169" s="33">
        <v>2050</v>
      </c>
      <c r="AL169" s="45" t="str">
        <f t="shared" si="25"/>
        <v>*0.89</v>
      </c>
      <c r="AM169" s="43" t="str">
        <f t="shared" si="28"/>
        <v>REZoning_Sol-Win</v>
      </c>
      <c r="AP169" t="s">
        <v>3500</v>
      </c>
      <c r="AQ169" t="s">
        <v>57</v>
      </c>
      <c r="AR169">
        <f t="shared" si="26"/>
        <v>2100</v>
      </c>
      <c r="AS169" t="s">
        <v>937</v>
      </c>
      <c r="AT169" t="s">
        <v>58</v>
      </c>
    </row>
    <row r="170" ht="29" spans="1:46">
      <c r="A170" s="31" t="s">
        <v>98</v>
      </c>
      <c r="C170" t="s">
        <v>3501</v>
      </c>
      <c r="D170" s="5" t="s">
        <v>57</v>
      </c>
      <c r="E170">
        <v>2035</v>
      </c>
      <c r="F170" s="6" t="str">
        <f t="shared" si="20"/>
        <v>*0.96</v>
      </c>
      <c r="H170" t="s">
        <v>3501</v>
      </c>
      <c r="I170" s="5" t="s">
        <v>57</v>
      </c>
      <c r="J170">
        <v>2050</v>
      </c>
      <c r="K170" s="38" t="str">
        <f t="shared" si="21"/>
        <v>*0.94</v>
      </c>
      <c r="P170" s="32" t="s">
        <v>3501</v>
      </c>
      <c r="Q170" s="42" t="s">
        <v>57</v>
      </c>
      <c r="R170" s="32">
        <v>2035</v>
      </c>
      <c r="S170" s="43" t="str">
        <f t="shared" si="22"/>
        <v>*0.96</v>
      </c>
      <c r="U170" s="32" t="s">
        <v>3501</v>
      </c>
      <c r="V170" s="42" t="s">
        <v>57</v>
      </c>
      <c r="W170" s="32">
        <v>2050</v>
      </c>
      <c r="X170" s="43" t="str">
        <f t="shared" si="23"/>
        <v>*0.93</v>
      </c>
      <c r="AC170" s="33" t="s">
        <v>3501</v>
      </c>
      <c r="AD170" s="44" t="s">
        <v>57</v>
      </c>
      <c r="AE170" s="33">
        <v>2035</v>
      </c>
      <c r="AF170" s="45" t="str">
        <f t="shared" si="24"/>
        <v>*0.92</v>
      </c>
      <c r="AG170" s="43" t="str">
        <f t="shared" si="27"/>
        <v>REZoning_Sol-Win</v>
      </c>
      <c r="AI170" s="33" t="s">
        <v>3501</v>
      </c>
      <c r="AJ170" s="44" t="s">
        <v>57</v>
      </c>
      <c r="AK170" s="33">
        <v>2050</v>
      </c>
      <c r="AL170" s="45" t="str">
        <f t="shared" si="25"/>
        <v>*0.89</v>
      </c>
      <c r="AM170" s="43" t="str">
        <f t="shared" si="28"/>
        <v>REZoning_Sol-Win</v>
      </c>
      <c r="AP170" t="s">
        <v>3501</v>
      </c>
      <c r="AQ170" t="s">
        <v>57</v>
      </c>
      <c r="AR170">
        <f t="shared" si="26"/>
        <v>2100</v>
      </c>
      <c r="AS170" t="s">
        <v>937</v>
      </c>
      <c r="AT170" t="s">
        <v>58</v>
      </c>
    </row>
    <row r="171" ht="29" spans="1:46">
      <c r="A171" s="31" t="s">
        <v>98</v>
      </c>
      <c r="C171" t="s">
        <v>3502</v>
      </c>
      <c r="D171" s="5" t="s">
        <v>57</v>
      </c>
      <c r="E171">
        <v>2035</v>
      </c>
      <c r="F171" s="6" t="str">
        <f t="shared" si="20"/>
        <v>*0.96</v>
      </c>
      <c r="H171" t="s">
        <v>3502</v>
      </c>
      <c r="I171" s="5" t="s">
        <v>57</v>
      </c>
      <c r="J171">
        <v>2050</v>
      </c>
      <c r="K171" s="38" t="str">
        <f t="shared" si="21"/>
        <v>*0.94</v>
      </c>
      <c r="P171" s="32" t="s">
        <v>3502</v>
      </c>
      <c r="Q171" s="42" t="s">
        <v>57</v>
      </c>
      <c r="R171" s="32">
        <v>2035</v>
      </c>
      <c r="S171" s="43" t="str">
        <f t="shared" si="22"/>
        <v>*0.96</v>
      </c>
      <c r="U171" s="32" t="s">
        <v>3502</v>
      </c>
      <c r="V171" s="42" t="s">
        <v>57</v>
      </c>
      <c r="W171" s="32">
        <v>2050</v>
      </c>
      <c r="X171" s="43" t="str">
        <f t="shared" si="23"/>
        <v>*0.93</v>
      </c>
      <c r="AC171" s="33" t="s">
        <v>3502</v>
      </c>
      <c r="AD171" s="44" t="s">
        <v>57</v>
      </c>
      <c r="AE171" s="33">
        <v>2035</v>
      </c>
      <c r="AF171" s="45" t="str">
        <f t="shared" si="24"/>
        <v>*0.92</v>
      </c>
      <c r="AG171" s="43" t="str">
        <f t="shared" si="27"/>
        <v>REZoning_Sol-Win</v>
      </c>
      <c r="AI171" s="33" t="s">
        <v>3502</v>
      </c>
      <c r="AJ171" s="44" t="s">
        <v>57</v>
      </c>
      <c r="AK171" s="33">
        <v>2050</v>
      </c>
      <c r="AL171" s="45" t="str">
        <f t="shared" si="25"/>
        <v>*0.89</v>
      </c>
      <c r="AM171" s="43" t="str">
        <f t="shared" si="28"/>
        <v>REZoning_Sol-Win</v>
      </c>
      <c r="AP171" t="s">
        <v>3502</v>
      </c>
      <c r="AQ171" t="s">
        <v>57</v>
      </c>
      <c r="AR171">
        <f t="shared" si="26"/>
        <v>2100</v>
      </c>
      <c r="AS171" t="s">
        <v>937</v>
      </c>
      <c r="AT171" t="s">
        <v>58</v>
      </c>
    </row>
    <row r="172" ht="29" spans="1:46">
      <c r="A172" s="31" t="s">
        <v>98</v>
      </c>
      <c r="C172" t="s">
        <v>3503</v>
      </c>
      <c r="D172" s="5" t="s">
        <v>57</v>
      </c>
      <c r="E172">
        <v>2035</v>
      </c>
      <c r="F172" s="6" t="str">
        <f t="shared" si="20"/>
        <v>*0.96</v>
      </c>
      <c r="H172" t="s">
        <v>3503</v>
      </c>
      <c r="I172" s="5" t="s">
        <v>57</v>
      </c>
      <c r="J172">
        <v>2050</v>
      </c>
      <c r="K172" s="38" t="str">
        <f t="shared" si="21"/>
        <v>*0.94</v>
      </c>
      <c r="P172" s="32" t="s">
        <v>3503</v>
      </c>
      <c r="Q172" s="42" t="s">
        <v>57</v>
      </c>
      <c r="R172" s="32">
        <v>2035</v>
      </c>
      <c r="S172" s="43" t="str">
        <f t="shared" si="22"/>
        <v>*0.96</v>
      </c>
      <c r="U172" s="32" t="s">
        <v>3503</v>
      </c>
      <c r="V172" s="42" t="s">
        <v>57</v>
      </c>
      <c r="W172" s="32">
        <v>2050</v>
      </c>
      <c r="X172" s="43" t="str">
        <f t="shared" si="23"/>
        <v>*0.93</v>
      </c>
      <c r="AC172" s="33" t="s">
        <v>3503</v>
      </c>
      <c r="AD172" s="44" t="s">
        <v>57</v>
      </c>
      <c r="AE172" s="33">
        <v>2035</v>
      </c>
      <c r="AF172" s="45" t="str">
        <f t="shared" si="24"/>
        <v>*0.92</v>
      </c>
      <c r="AG172" s="43" t="str">
        <f t="shared" si="27"/>
        <v>REZoning_Sol-Win</v>
      </c>
      <c r="AI172" s="33" t="s">
        <v>3503</v>
      </c>
      <c r="AJ172" s="44" t="s">
        <v>57</v>
      </c>
      <c r="AK172" s="33">
        <v>2050</v>
      </c>
      <c r="AL172" s="45" t="str">
        <f t="shared" si="25"/>
        <v>*0.89</v>
      </c>
      <c r="AM172" s="43" t="str">
        <f t="shared" si="28"/>
        <v>REZoning_Sol-Win</v>
      </c>
      <c r="AP172" t="s">
        <v>3503</v>
      </c>
      <c r="AQ172" t="s">
        <v>57</v>
      </c>
      <c r="AR172">
        <f t="shared" si="26"/>
        <v>2100</v>
      </c>
      <c r="AS172" t="s">
        <v>937</v>
      </c>
      <c r="AT172" t="s">
        <v>58</v>
      </c>
    </row>
    <row r="173" ht="29" spans="1:46">
      <c r="A173" s="31" t="s">
        <v>98</v>
      </c>
      <c r="C173" t="s">
        <v>3504</v>
      </c>
      <c r="D173" s="5" t="s">
        <v>57</v>
      </c>
      <c r="E173">
        <v>2035</v>
      </c>
      <c r="F173" s="6" t="str">
        <f t="shared" si="20"/>
        <v>*0.96</v>
      </c>
      <c r="H173" t="s">
        <v>3504</v>
      </c>
      <c r="I173" s="5" t="s">
        <v>57</v>
      </c>
      <c r="J173">
        <v>2050</v>
      </c>
      <c r="K173" s="38" t="str">
        <f t="shared" si="21"/>
        <v>*0.94</v>
      </c>
      <c r="P173" s="32" t="s">
        <v>3504</v>
      </c>
      <c r="Q173" s="42" t="s">
        <v>57</v>
      </c>
      <c r="R173" s="32">
        <v>2035</v>
      </c>
      <c r="S173" s="43" t="str">
        <f t="shared" si="22"/>
        <v>*0.96</v>
      </c>
      <c r="U173" s="32" t="s">
        <v>3504</v>
      </c>
      <c r="V173" s="42" t="s">
        <v>57</v>
      </c>
      <c r="W173" s="32">
        <v>2050</v>
      </c>
      <c r="X173" s="43" t="str">
        <f t="shared" si="23"/>
        <v>*0.93</v>
      </c>
      <c r="AC173" s="33" t="s">
        <v>3504</v>
      </c>
      <c r="AD173" s="44" t="s">
        <v>57</v>
      </c>
      <c r="AE173" s="33">
        <v>2035</v>
      </c>
      <c r="AF173" s="45" t="str">
        <f t="shared" si="24"/>
        <v>*0.92</v>
      </c>
      <c r="AG173" s="43" t="str">
        <f t="shared" si="27"/>
        <v>REZoning_Sol-Win</v>
      </c>
      <c r="AI173" s="33" t="s">
        <v>3504</v>
      </c>
      <c r="AJ173" s="44" t="s">
        <v>57</v>
      </c>
      <c r="AK173" s="33">
        <v>2050</v>
      </c>
      <c r="AL173" s="45" t="str">
        <f t="shared" si="25"/>
        <v>*0.89</v>
      </c>
      <c r="AM173" s="43" t="str">
        <f t="shared" si="28"/>
        <v>REZoning_Sol-Win</v>
      </c>
      <c r="AP173" t="s">
        <v>3504</v>
      </c>
      <c r="AQ173" t="s">
        <v>57</v>
      </c>
      <c r="AR173">
        <f t="shared" si="26"/>
        <v>2100</v>
      </c>
      <c r="AS173" t="s">
        <v>937</v>
      </c>
      <c r="AT173" t="s">
        <v>58</v>
      </c>
    </row>
    <row r="174" ht="29" spans="1:46">
      <c r="A174" s="31" t="s">
        <v>98</v>
      </c>
      <c r="C174" t="s">
        <v>3505</v>
      </c>
      <c r="D174" s="5" t="s">
        <v>57</v>
      </c>
      <c r="E174">
        <v>2035</v>
      </c>
      <c r="F174" s="6" t="str">
        <f t="shared" si="20"/>
        <v>*0.96</v>
      </c>
      <c r="H174" t="s">
        <v>3505</v>
      </c>
      <c r="I174" s="5" t="s">
        <v>57</v>
      </c>
      <c r="J174">
        <v>2050</v>
      </c>
      <c r="K174" s="38" t="str">
        <f t="shared" si="21"/>
        <v>*0.94</v>
      </c>
      <c r="P174" s="32" t="s">
        <v>3505</v>
      </c>
      <c r="Q174" s="42" t="s">
        <v>57</v>
      </c>
      <c r="R174" s="32">
        <v>2035</v>
      </c>
      <c r="S174" s="43" t="str">
        <f t="shared" si="22"/>
        <v>*0.96</v>
      </c>
      <c r="U174" s="32" t="s">
        <v>3505</v>
      </c>
      <c r="V174" s="42" t="s">
        <v>57</v>
      </c>
      <c r="W174" s="32">
        <v>2050</v>
      </c>
      <c r="X174" s="43" t="str">
        <f t="shared" si="23"/>
        <v>*0.93</v>
      </c>
      <c r="AC174" s="33" t="s">
        <v>3505</v>
      </c>
      <c r="AD174" s="44" t="s">
        <v>57</v>
      </c>
      <c r="AE174" s="33">
        <v>2035</v>
      </c>
      <c r="AF174" s="45" t="str">
        <f t="shared" si="24"/>
        <v>*0.92</v>
      </c>
      <c r="AG174" s="43" t="str">
        <f t="shared" si="27"/>
        <v>REZoning_Sol-Win</v>
      </c>
      <c r="AI174" s="33" t="s">
        <v>3505</v>
      </c>
      <c r="AJ174" s="44" t="s">
        <v>57</v>
      </c>
      <c r="AK174" s="33">
        <v>2050</v>
      </c>
      <c r="AL174" s="45" t="str">
        <f t="shared" si="25"/>
        <v>*0.89</v>
      </c>
      <c r="AM174" s="43" t="str">
        <f t="shared" si="28"/>
        <v>REZoning_Sol-Win</v>
      </c>
      <c r="AP174" t="s">
        <v>3505</v>
      </c>
      <c r="AQ174" t="s">
        <v>57</v>
      </c>
      <c r="AR174">
        <f t="shared" si="26"/>
        <v>2100</v>
      </c>
      <c r="AS174" t="s">
        <v>937</v>
      </c>
      <c r="AT174" t="s">
        <v>58</v>
      </c>
    </row>
    <row r="175" ht="29" spans="1:46">
      <c r="A175" s="31" t="s">
        <v>98</v>
      </c>
      <c r="C175" t="s">
        <v>3506</v>
      </c>
      <c r="D175" s="5" t="s">
        <v>57</v>
      </c>
      <c r="E175">
        <v>2035</v>
      </c>
      <c r="F175" s="6" t="str">
        <f t="shared" si="20"/>
        <v>*0.96</v>
      </c>
      <c r="H175" t="s">
        <v>3506</v>
      </c>
      <c r="I175" s="5" t="s">
        <v>57</v>
      </c>
      <c r="J175">
        <v>2050</v>
      </c>
      <c r="K175" s="38" t="str">
        <f t="shared" si="21"/>
        <v>*0.94</v>
      </c>
      <c r="P175" s="32" t="s">
        <v>3506</v>
      </c>
      <c r="Q175" s="42" t="s">
        <v>57</v>
      </c>
      <c r="R175" s="32">
        <v>2035</v>
      </c>
      <c r="S175" s="43" t="str">
        <f t="shared" si="22"/>
        <v>*0.96</v>
      </c>
      <c r="U175" s="32" t="s">
        <v>3506</v>
      </c>
      <c r="V175" s="42" t="s">
        <v>57</v>
      </c>
      <c r="W175" s="32">
        <v>2050</v>
      </c>
      <c r="X175" s="43" t="str">
        <f t="shared" si="23"/>
        <v>*0.93</v>
      </c>
      <c r="AC175" s="33" t="s">
        <v>3506</v>
      </c>
      <c r="AD175" s="44" t="s">
        <v>57</v>
      </c>
      <c r="AE175" s="33">
        <v>2035</v>
      </c>
      <c r="AF175" s="45" t="str">
        <f t="shared" si="24"/>
        <v>*0.92</v>
      </c>
      <c r="AG175" s="43" t="str">
        <f t="shared" si="27"/>
        <v>REZoning_Sol-Win</v>
      </c>
      <c r="AI175" s="33" t="s">
        <v>3506</v>
      </c>
      <c r="AJ175" s="44" t="s">
        <v>57</v>
      </c>
      <c r="AK175" s="33">
        <v>2050</v>
      </c>
      <c r="AL175" s="45" t="str">
        <f t="shared" si="25"/>
        <v>*0.89</v>
      </c>
      <c r="AM175" s="43" t="str">
        <f t="shared" si="28"/>
        <v>REZoning_Sol-Win</v>
      </c>
      <c r="AP175" t="s">
        <v>3506</v>
      </c>
      <c r="AQ175" t="s">
        <v>57</v>
      </c>
      <c r="AR175">
        <f t="shared" si="26"/>
        <v>2100</v>
      </c>
      <c r="AS175" t="s">
        <v>937</v>
      </c>
      <c r="AT175" t="s">
        <v>58</v>
      </c>
    </row>
    <row r="176" ht="29" spans="1:46">
      <c r="A176" s="31" t="s">
        <v>98</v>
      </c>
      <c r="C176" t="s">
        <v>3507</v>
      </c>
      <c r="D176" s="5" t="s">
        <v>57</v>
      </c>
      <c r="E176">
        <v>2035</v>
      </c>
      <c r="F176" s="6" t="str">
        <f t="shared" si="20"/>
        <v>*0.96</v>
      </c>
      <c r="H176" t="s">
        <v>3507</v>
      </c>
      <c r="I176" s="5" t="s">
        <v>57</v>
      </c>
      <c r="J176">
        <v>2050</v>
      </c>
      <c r="K176" s="38" t="str">
        <f t="shared" si="21"/>
        <v>*0.94</v>
      </c>
      <c r="P176" s="32" t="s">
        <v>3507</v>
      </c>
      <c r="Q176" s="42" t="s">
        <v>57</v>
      </c>
      <c r="R176" s="32">
        <v>2035</v>
      </c>
      <c r="S176" s="43" t="str">
        <f t="shared" si="22"/>
        <v>*0.96</v>
      </c>
      <c r="U176" s="32" t="s">
        <v>3507</v>
      </c>
      <c r="V176" s="42" t="s">
        <v>57</v>
      </c>
      <c r="W176" s="32">
        <v>2050</v>
      </c>
      <c r="X176" s="43" t="str">
        <f t="shared" si="23"/>
        <v>*0.93</v>
      </c>
      <c r="AC176" s="33" t="s">
        <v>3507</v>
      </c>
      <c r="AD176" s="44" t="s">
        <v>57</v>
      </c>
      <c r="AE176" s="33">
        <v>2035</v>
      </c>
      <c r="AF176" s="45" t="str">
        <f t="shared" si="24"/>
        <v>*0.92</v>
      </c>
      <c r="AG176" s="43" t="str">
        <f t="shared" si="27"/>
        <v>REZoning_Sol-Win</v>
      </c>
      <c r="AI176" s="33" t="s">
        <v>3507</v>
      </c>
      <c r="AJ176" s="44" t="s">
        <v>57</v>
      </c>
      <c r="AK176" s="33">
        <v>2050</v>
      </c>
      <c r="AL176" s="45" t="str">
        <f t="shared" si="25"/>
        <v>*0.89</v>
      </c>
      <c r="AM176" s="43" t="str">
        <f t="shared" si="28"/>
        <v>REZoning_Sol-Win</v>
      </c>
      <c r="AP176" t="s">
        <v>3507</v>
      </c>
      <c r="AQ176" t="s">
        <v>57</v>
      </c>
      <c r="AR176">
        <f t="shared" si="26"/>
        <v>2100</v>
      </c>
      <c r="AS176" t="s">
        <v>937</v>
      </c>
      <c r="AT176" t="s">
        <v>58</v>
      </c>
    </row>
    <row r="177" ht="29" spans="1:46">
      <c r="A177" s="31" t="s">
        <v>98</v>
      </c>
      <c r="C177" t="s">
        <v>3508</v>
      </c>
      <c r="D177" s="5" t="s">
        <v>57</v>
      </c>
      <c r="E177">
        <v>2035</v>
      </c>
      <c r="F177" s="6" t="str">
        <f t="shared" si="20"/>
        <v>*0.96</v>
      </c>
      <c r="H177" t="s">
        <v>3508</v>
      </c>
      <c r="I177" s="5" t="s">
        <v>57</v>
      </c>
      <c r="J177">
        <v>2050</v>
      </c>
      <c r="K177" s="38" t="str">
        <f t="shared" si="21"/>
        <v>*0.94</v>
      </c>
      <c r="P177" s="32" t="s">
        <v>3508</v>
      </c>
      <c r="Q177" s="42" t="s">
        <v>57</v>
      </c>
      <c r="R177" s="32">
        <v>2035</v>
      </c>
      <c r="S177" s="43" t="str">
        <f t="shared" si="22"/>
        <v>*0.96</v>
      </c>
      <c r="U177" s="32" t="s">
        <v>3508</v>
      </c>
      <c r="V177" s="42" t="s">
        <v>57</v>
      </c>
      <c r="W177" s="32">
        <v>2050</v>
      </c>
      <c r="X177" s="43" t="str">
        <f t="shared" si="23"/>
        <v>*0.93</v>
      </c>
      <c r="AC177" s="33" t="s">
        <v>3508</v>
      </c>
      <c r="AD177" s="44" t="s">
        <v>57</v>
      </c>
      <c r="AE177" s="33">
        <v>2035</v>
      </c>
      <c r="AF177" s="45" t="str">
        <f t="shared" si="24"/>
        <v>*0.92</v>
      </c>
      <c r="AG177" s="43" t="str">
        <f t="shared" si="27"/>
        <v>REZoning_Sol-Win</v>
      </c>
      <c r="AI177" s="33" t="s">
        <v>3508</v>
      </c>
      <c r="AJ177" s="44" t="s">
        <v>57</v>
      </c>
      <c r="AK177" s="33">
        <v>2050</v>
      </c>
      <c r="AL177" s="45" t="str">
        <f t="shared" si="25"/>
        <v>*0.89</v>
      </c>
      <c r="AM177" s="43" t="str">
        <f t="shared" si="28"/>
        <v>REZoning_Sol-Win</v>
      </c>
      <c r="AP177" t="s">
        <v>3508</v>
      </c>
      <c r="AQ177" t="s">
        <v>57</v>
      </c>
      <c r="AR177">
        <f t="shared" si="26"/>
        <v>2100</v>
      </c>
      <c r="AS177" t="s">
        <v>937</v>
      </c>
      <c r="AT177" t="s">
        <v>58</v>
      </c>
    </row>
    <row r="178" ht="29" spans="1:46">
      <c r="A178" s="31" t="s">
        <v>83</v>
      </c>
      <c r="C178" t="s">
        <v>3509</v>
      </c>
      <c r="D178" s="5" t="s">
        <v>57</v>
      </c>
      <c r="E178">
        <v>2035</v>
      </c>
      <c r="F178" s="6" t="str">
        <f t="shared" si="20"/>
        <v>*0.95</v>
      </c>
      <c r="H178" t="s">
        <v>3509</v>
      </c>
      <c r="I178" s="5" t="s">
        <v>57</v>
      </c>
      <c r="J178">
        <v>2050</v>
      </c>
      <c r="K178" s="38" t="str">
        <f t="shared" si="21"/>
        <v>*0.92</v>
      </c>
      <c r="P178" s="32" t="s">
        <v>3509</v>
      </c>
      <c r="Q178" s="42" t="s">
        <v>57</v>
      </c>
      <c r="R178" s="32">
        <v>2035</v>
      </c>
      <c r="S178" s="43" t="str">
        <f t="shared" si="22"/>
        <v>*0.95</v>
      </c>
      <c r="U178" s="32" t="s">
        <v>3509</v>
      </c>
      <c r="V178" s="42" t="s">
        <v>57</v>
      </c>
      <c r="W178" s="32">
        <v>2050</v>
      </c>
      <c r="X178" s="43" t="str">
        <f t="shared" si="23"/>
        <v>*0.92</v>
      </c>
      <c r="AC178" s="33" t="s">
        <v>3509</v>
      </c>
      <c r="AD178" s="44" t="s">
        <v>57</v>
      </c>
      <c r="AE178" s="33">
        <v>2035</v>
      </c>
      <c r="AF178" s="45" t="str">
        <f t="shared" si="24"/>
        <v>*0.93</v>
      </c>
      <c r="AG178" s="43" t="str">
        <f t="shared" si="27"/>
        <v>REZoning_Sol-Win</v>
      </c>
      <c r="AI178" s="33" t="s">
        <v>3509</v>
      </c>
      <c r="AJ178" s="44" t="s">
        <v>57</v>
      </c>
      <c r="AK178" s="33">
        <v>2050</v>
      </c>
      <c r="AL178" s="45" t="str">
        <f t="shared" si="25"/>
        <v>*0.89</v>
      </c>
      <c r="AM178" s="43" t="str">
        <f t="shared" si="28"/>
        <v>REZoning_Sol-Win</v>
      </c>
      <c r="AP178" t="s">
        <v>3509</v>
      </c>
      <c r="AQ178" t="s">
        <v>57</v>
      </c>
      <c r="AR178">
        <f t="shared" si="26"/>
        <v>2100</v>
      </c>
      <c r="AS178" t="s">
        <v>937</v>
      </c>
      <c r="AT178" t="s">
        <v>58</v>
      </c>
    </row>
    <row r="179" ht="29" spans="1:46">
      <c r="A179" s="31" t="s">
        <v>83</v>
      </c>
      <c r="C179" t="s">
        <v>3510</v>
      </c>
      <c r="D179" s="5" t="s">
        <v>57</v>
      </c>
      <c r="E179">
        <v>2035</v>
      </c>
      <c r="F179" s="6" t="str">
        <f t="shared" si="20"/>
        <v>*0.95</v>
      </c>
      <c r="H179" t="s">
        <v>3510</v>
      </c>
      <c r="I179" s="5" t="s">
        <v>57</v>
      </c>
      <c r="J179">
        <v>2050</v>
      </c>
      <c r="K179" s="38" t="str">
        <f t="shared" si="21"/>
        <v>*0.92</v>
      </c>
      <c r="P179" s="32" t="s">
        <v>3510</v>
      </c>
      <c r="Q179" s="42" t="s">
        <v>57</v>
      </c>
      <c r="R179" s="32">
        <v>2035</v>
      </c>
      <c r="S179" s="43" t="str">
        <f t="shared" si="22"/>
        <v>*0.95</v>
      </c>
      <c r="U179" s="32" t="s">
        <v>3510</v>
      </c>
      <c r="V179" s="42" t="s">
        <v>57</v>
      </c>
      <c r="W179" s="32">
        <v>2050</v>
      </c>
      <c r="X179" s="43" t="str">
        <f t="shared" si="23"/>
        <v>*0.92</v>
      </c>
      <c r="AC179" s="33" t="s">
        <v>3510</v>
      </c>
      <c r="AD179" s="44" t="s">
        <v>57</v>
      </c>
      <c r="AE179" s="33">
        <v>2035</v>
      </c>
      <c r="AF179" s="45" t="str">
        <f t="shared" si="24"/>
        <v>*0.93</v>
      </c>
      <c r="AG179" s="43" t="str">
        <f t="shared" si="27"/>
        <v>REZoning_Sol-Win</v>
      </c>
      <c r="AI179" s="33" t="s">
        <v>3510</v>
      </c>
      <c r="AJ179" s="44" t="s">
        <v>57</v>
      </c>
      <c r="AK179" s="33">
        <v>2050</v>
      </c>
      <c r="AL179" s="45" t="str">
        <f t="shared" si="25"/>
        <v>*0.89</v>
      </c>
      <c r="AM179" s="43" t="str">
        <f t="shared" si="28"/>
        <v>REZoning_Sol-Win</v>
      </c>
      <c r="AP179" t="s">
        <v>3510</v>
      </c>
      <c r="AQ179" t="s">
        <v>57</v>
      </c>
      <c r="AR179">
        <f t="shared" si="26"/>
        <v>2100</v>
      </c>
      <c r="AS179" t="s">
        <v>937</v>
      </c>
      <c r="AT179" t="s">
        <v>58</v>
      </c>
    </row>
    <row r="180" ht="29" spans="1:46">
      <c r="A180" s="31" t="s">
        <v>83</v>
      </c>
      <c r="C180" t="s">
        <v>3511</v>
      </c>
      <c r="D180" s="5" t="s">
        <v>57</v>
      </c>
      <c r="E180">
        <v>2035</v>
      </c>
      <c r="F180" s="6" t="str">
        <f t="shared" si="20"/>
        <v>*0.95</v>
      </c>
      <c r="H180" t="s">
        <v>3511</v>
      </c>
      <c r="I180" s="5" t="s">
        <v>57</v>
      </c>
      <c r="J180">
        <v>2050</v>
      </c>
      <c r="K180" s="38" t="str">
        <f t="shared" si="21"/>
        <v>*0.92</v>
      </c>
      <c r="P180" s="32" t="s">
        <v>3511</v>
      </c>
      <c r="Q180" s="42" t="s">
        <v>57</v>
      </c>
      <c r="R180" s="32">
        <v>2035</v>
      </c>
      <c r="S180" s="43" t="str">
        <f t="shared" si="22"/>
        <v>*0.95</v>
      </c>
      <c r="U180" s="32" t="s">
        <v>3511</v>
      </c>
      <c r="V180" s="42" t="s">
        <v>57</v>
      </c>
      <c r="W180" s="32">
        <v>2050</v>
      </c>
      <c r="X180" s="43" t="str">
        <f t="shared" si="23"/>
        <v>*0.92</v>
      </c>
      <c r="AC180" s="33" t="s">
        <v>3511</v>
      </c>
      <c r="AD180" s="44" t="s">
        <v>57</v>
      </c>
      <c r="AE180" s="33">
        <v>2035</v>
      </c>
      <c r="AF180" s="45" t="str">
        <f t="shared" si="24"/>
        <v>*0.93</v>
      </c>
      <c r="AG180" s="43" t="str">
        <f t="shared" si="27"/>
        <v>REZoning_Sol-Win</v>
      </c>
      <c r="AI180" s="33" t="s">
        <v>3511</v>
      </c>
      <c r="AJ180" s="44" t="s">
        <v>57</v>
      </c>
      <c r="AK180" s="33">
        <v>2050</v>
      </c>
      <c r="AL180" s="45" t="str">
        <f t="shared" si="25"/>
        <v>*0.89</v>
      </c>
      <c r="AM180" s="43" t="str">
        <f t="shared" si="28"/>
        <v>REZoning_Sol-Win</v>
      </c>
      <c r="AP180" t="s">
        <v>3511</v>
      </c>
      <c r="AQ180" t="s">
        <v>57</v>
      </c>
      <c r="AR180">
        <f t="shared" si="26"/>
        <v>2100</v>
      </c>
      <c r="AS180" t="s">
        <v>937</v>
      </c>
      <c r="AT180" t="s">
        <v>58</v>
      </c>
    </row>
    <row r="181" ht="29" spans="1:46">
      <c r="A181" s="31" t="s">
        <v>83</v>
      </c>
      <c r="C181" t="s">
        <v>3512</v>
      </c>
      <c r="D181" s="5" t="s">
        <v>57</v>
      </c>
      <c r="E181">
        <v>2035</v>
      </c>
      <c r="F181" s="6" t="str">
        <f t="shared" si="20"/>
        <v>*0.95</v>
      </c>
      <c r="H181" t="s">
        <v>3512</v>
      </c>
      <c r="I181" s="5" t="s">
        <v>57</v>
      </c>
      <c r="J181">
        <v>2050</v>
      </c>
      <c r="K181" s="38" t="str">
        <f t="shared" si="21"/>
        <v>*0.92</v>
      </c>
      <c r="P181" s="32" t="s">
        <v>3512</v>
      </c>
      <c r="Q181" s="42" t="s">
        <v>57</v>
      </c>
      <c r="R181" s="32">
        <v>2035</v>
      </c>
      <c r="S181" s="43" t="str">
        <f t="shared" si="22"/>
        <v>*0.95</v>
      </c>
      <c r="U181" s="32" t="s">
        <v>3512</v>
      </c>
      <c r="V181" s="42" t="s">
        <v>57</v>
      </c>
      <c r="W181" s="32">
        <v>2050</v>
      </c>
      <c r="X181" s="43" t="str">
        <f t="shared" si="23"/>
        <v>*0.92</v>
      </c>
      <c r="AC181" s="33" t="s">
        <v>3512</v>
      </c>
      <c r="AD181" s="44" t="s">
        <v>57</v>
      </c>
      <c r="AE181" s="33">
        <v>2035</v>
      </c>
      <c r="AF181" s="45" t="str">
        <f t="shared" si="24"/>
        <v>*0.93</v>
      </c>
      <c r="AG181" s="43" t="str">
        <f t="shared" si="27"/>
        <v>REZoning_Sol-Win</v>
      </c>
      <c r="AI181" s="33" t="s">
        <v>3512</v>
      </c>
      <c r="AJ181" s="44" t="s">
        <v>57</v>
      </c>
      <c r="AK181" s="33">
        <v>2050</v>
      </c>
      <c r="AL181" s="45" t="str">
        <f t="shared" si="25"/>
        <v>*0.89</v>
      </c>
      <c r="AM181" s="43" t="str">
        <f t="shared" si="28"/>
        <v>REZoning_Sol-Win</v>
      </c>
      <c r="AP181" t="s">
        <v>3512</v>
      </c>
      <c r="AQ181" t="s">
        <v>57</v>
      </c>
      <c r="AR181">
        <f t="shared" si="26"/>
        <v>2100</v>
      </c>
      <c r="AS181" t="s">
        <v>937</v>
      </c>
      <c r="AT181" t="s">
        <v>58</v>
      </c>
    </row>
    <row r="182" ht="29" spans="1:46">
      <c r="A182" s="31" t="s">
        <v>83</v>
      </c>
      <c r="C182" t="s">
        <v>3513</v>
      </c>
      <c r="D182" s="5" t="s">
        <v>57</v>
      </c>
      <c r="E182">
        <v>2035</v>
      </c>
      <c r="F182" s="6" t="str">
        <f t="shared" si="20"/>
        <v>*0.95</v>
      </c>
      <c r="H182" t="s">
        <v>3513</v>
      </c>
      <c r="I182" s="5" t="s">
        <v>57</v>
      </c>
      <c r="J182">
        <v>2050</v>
      </c>
      <c r="K182" s="38" t="str">
        <f t="shared" si="21"/>
        <v>*0.92</v>
      </c>
      <c r="P182" s="32" t="s">
        <v>3513</v>
      </c>
      <c r="Q182" s="42" t="s">
        <v>57</v>
      </c>
      <c r="R182" s="32">
        <v>2035</v>
      </c>
      <c r="S182" s="43" t="str">
        <f t="shared" si="22"/>
        <v>*0.95</v>
      </c>
      <c r="U182" s="32" t="s">
        <v>3513</v>
      </c>
      <c r="V182" s="42" t="s">
        <v>57</v>
      </c>
      <c r="W182" s="32">
        <v>2050</v>
      </c>
      <c r="X182" s="43" t="str">
        <f t="shared" si="23"/>
        <v>*0.92</v>
      </c>
      <c r="AC182" s="33" t="s">
        <v>3513</v>
      </c>
      <c r="AD182" s="44" t="s">
        <v>57</v>
      </c>
      <c r="AE182" s="33">
        <v>2035</v>
      </c>
      <c r="AF182" s="45" t="str">
        <f t="shared" si="24"/>
        <v>*0.93</v>
      </c>
      <c r="AG182" s="43" t="str">
        <f t="shared" si="27"/>
        <v>REZoning_Sol-Win</v>
      </c>
      <c r="AI182" s="33" t="s">
        <v>3513</v>
      </c>
      <c r="AJ182" s="44" t="s">
        <v>57</v>
      </c>
      <c r="AK182" s="33">
        <v>2050</v>
      </c>
      <c r="AL182" s="45" t="str">
        <f t="shared" si="25"/>
        <v>*0.89</v>
      </c>
      <c r="AM182" s="43" t="str">
        <f t="shared" si="28"/>
        <v>REZoning_Sol-Win</v>
      </c>
      <c r="AP182" t="s">
        <v>3513</v>
      </c>
      <c r="AQ182" t="s">
        <v>57</v>
      </c>
      <c r="AR182">
        <f t="shared" si="26"/>
        <v>2100</v>
      </c>
      <c r="AS182" t="s">
        <v>937</v>
      </c>
      <c r="AT182" t="s">
        <v>58</v>
      </c>
    </row>
    <row r="183" ht="29" spans="1:46">
      <c r="A183" s="31" t="s">
        <v>83</v>
      </c>
      <c r="C183" t="s">
        <v>3514</v>
      </c>
      <c r="D183" s="5" t="s">
        <v>57</v>
      </c>
      <c r="E183">
        <v>2035</v>
      </c>
      <c r="F183" s="6" t="str">
        <f t="shared" si="20"/>
        <v>*0.95</v>
      </c>
      <c r="H183" t="s">
        <v>3514</v>
      </c>
      <c r="I183" s="5" t="s">
        <v>57</v>
      </c>
      <c r="J183">
        <v>2050</v>
      </c>
      <c r="K183" s="38" t="str">
        <f t="shared" si="21"/>
        <v>*0.92</v>
      </c>
      <c r="P183" s="32" t="s">
        <v>3514</v>
      </c>
      <c r="Q183" s="42" t="s">
        <v>57</v>
      </c>
      <c r="R183" s="32">
        <v>2035</v>
      </c>
      <c r="S183" s="43" t="str">
        <f t="shared" si="22"/>
        <v>*0.95</v>
      </c>
      <c r="U183" s="32" t="s">
        <v>3514</v>
      </c>
      <c r="V183" s="42" t="s">
        <v>57</v>
      </c>
      <c r="W183" s="32">
        <v>2050</v>
      </c>
      <c r="X183" s="43" t="str">
        <f t="shared" si="23"/>
        <v>*0.92</v>
      </c>
      <c r="AC183" s="33" t="s">
        <v>3514</v>
      </c>
      <c r="AD183" s="44" t="s">
        <v>57</v>
      </c>
      <c r="AE183" s="33">
        <v>2035</v>
      </c>
      <c r="AF183" s="45" t="str">
        <f t="shared" si="24"/>
        <v>*0.93</v>
      </c>
      <c r="AG183" s="43" t="str">
        <f t="shared" si="27"/>
        <v>REZoning_Sol-Win</v>
      </c>
      <c r="AI183" s="33" t="s">
        <v>3514</v>
      </c>
      <c r="AJ183" s="44" t="s">
        <v>57</v>
      </c>
      <c r="AK183" s="33">
        <v>2050</v>
      </c>
      <c r="AL183" s="45" t="str">
        <f t="shared" si="25"/>
        <v>*0.89</v>
      </c>
      <c r="AM183" s="43" t="str">
        <f t="shared" si="28"/>
        <v>REZoning_Sol-Win</v>
      </c>
      <c r="AP183" t="s">
        <v>3514</v>
      </c>
      <c r="AQ183" t="s">
        <v>57</v>
      </c>
      <c r="AR183">
        <f t="shared" si="26"/>
        <v>2100</v>
      </c>
      <c r="AS183" t="s">
        <v>937</v>
      </c>
      <c r="AT183" t="s">
        <v>58</v>
      </c>
    </row>
    <row r="184" ht="29" spans="1:46">
      <c r="A184" s="31" t="s">
        <v>83</v>
      </c>
      <c r="C184" t="s">
        <v>3515</v>
      </c>
      <c r="D184" s="5" t="s">
        <v>57</v>
      </c>
      <c r="E184">
        <v>2035</v>
      </c>
      <c r="F184" s="6" t="str">
        <f t="shared" si="20"/>
        <v>*0.95</v>
      </c>
      <c r="H184" t="s">
        <v>3515</v>
      </c>
      <c r="I184" s="5" t="s">
        <v>57</v>
      </c>
      <c r="J184">
        <v>2050</v>
      </c>
      <c r="K184" s="38" t="str">
        <f t="shared" si="21"/>
        <v>*0.92</v>
      </c>
      <c r="P184" s="32" t="s">
        <v>3515</v>
      </c>
      <c r="Q184" s="42" t="s">
        <v>57</v>
      </c>
      <c r="R184" s="32">
        <v>2035</v>
      </c>
      <c r="S184" s="43" t="str">
        <f t="shared" si="22"/>
        <v>*0.95</v>
      </c>
      <c r="U184" s="32" t="s">
        <v>3515</v>
      </c>
      <c r="V184" s="42" t="s">
        <v>57</v>
      </c>
      <c r="W184" s="32">
        <v>2050</v>
      </c>
      <c r="X184" s="43" t="str">
        <f t="shared" si="23"/>
        <v>*0.92</v>
      </c>
      <c r="AC184" s="33" t="s">
        <v>3515</v>
      </c>
      <c r="AD184" s="44" t="s">
        <v>57</v>
      </c>
      <c r="AE184" s="33">
        <v>2035</v>
      </c>
      <c r="AF184" s="45" t="str">
        <f t="shared" si="24"/>
        <v>*0.93</v>
      </c>
      <c r="AG184" s="43" t="str">
        <f t="shared" si="27"/>
        <v>REZoning_Sol-Win</v>
      </c>
      <c r="AI184" s="33" t="s">
        <v>3515</v>
      </c>
      <c r="AJ184" s="44" t="s">
        <v>57</v>
      </c>
      <c r="AK184" s="33">
        <v>2050</v>
      </c>
      <c r="AL184" s="45" t="str">
        <f t="shared" si="25"/>
        <v>*0.89</v>
      </c>
      <c r="AM184" s="43" t="str">
        <f t="shared" si="28"/>
        <v>REZoning_Sol-Win</v>
      </c>
      <c r="AP184" t="s">
        <v>3515</v>
      </c>
      <c r="AQ184" t="s">
        <v>57</v>
      </c>
      <c r="AR184">
        <f t="shared" si="26"/>
        <v>2100</v>
      </c>
      <c r="AS184" t="s">
        <v>937</v>
      </c>
      <c r="AT184" t="s">
        <v>58</v>
      </c>
    </row>
    <row r="185" ht="29" spans="1:46">
      <c r="A185" s="31" t="s">
        <v>83</v>
      </c>
      <c r="C185" t="s">
        <v>3516</v>
      </c>
      <c r="D185" s="5" t="s">
        <v>57</v>
      </c>
      <c r="E185">
        <v>2035</v>
      </c>
      <c r="F185" s="6" t="str">
        <f t="shared" si="20"/>
        <v>*0.95</v>
      </c>
      <c r="H185" t="s">
        <v>3516</v>
      </c>
      <c r="I185" s="5" t="s">
        <v>57</v>
      </c>
      <c r="J185">
        <v>2050</v>
      </c>
      <c r="K185" s="38" t="str">
        <f t="shared" si="21"/>
        <v>*0.92</v>
      </c>
      <c r="P185" s="32" t="s">
        <v>3516</v>
      </c>
      <c r="Q185" s="42" t="s">
        <v>57</v>
      </c>
      <c r="R185" s="32">
        <v>2035</v>
      </c>
      <c r="S185" s="43" t="str">
        <f t="shared" si="22"/>
        <v>*0.95</v>
      </c>
      <c r="U185" s="32" t="s">
        <v>3516</v>
      </c>
      <c r="V185" s="42" t="s">
        <v>57</v>
      </c>
      <c r="W185" s="32">
        <v>2050</v>
      </c>
      <c r="X185" s="43" t="str">
        <f t="shared" si="23"/>
        <v>*0.92</v>
      </c>
      <c r="AC185" s="33" t="s">
        <v>3516</v>
      </c>
      <c r="AD185" s="44" t="s">
        <v>57</v>
      </c>
      <c r="AE185" s="33">
        <v>2035</v>
      </c>
      <c r="AF185" s="45" t="str">
        <f t="shared" si="24"/>
        <v>*0.93</v>
      </c>
      <c r="AG185" s="43" t="str">
        <f t="shared" si="27"/>
        <v>REZoning_Sol-Win</v>
      </c>
      <c r="AI185" s="33" t="s">
        <v>3516</v>
      </c>
      <c r="AJ185" s="44" t="s">
        <v>57</v>
      </c>
      <c r="AK185" s="33">
        <v>2050</v>
      </c>
      <c r="AL185" s="45" t="str">
        <f t="shared" si="25"/>
        <v>*0.89</v>
      </c>
      <c r="AM185" s="43" t="str">
        <f t="shared" si="28"/>
        <v>REZoning_Sol-Win</v>
      </c>
      <c r="AP185" t="s">
        <v>3516</v>
      </c>
      <c r="AQ185" t="s">
        <v>57</v>
      </c>
      <c r="AR185">
        <f t="shared" si="26"/>
        <v>2100</v>
      </c>
      <c r="AS185" t="s">
        <v>937</v>
      </c>
      <c r="AT185" t="s">
        <v>58</v>
      </c>
    </row>
    <row r="186" ht="29" spans="1:46">
      <c r="A186" s="31" t="s">
        <v>83</v>
      </c>
      <c r="C186" t="s">
        <v>3517</v>
      </c>
      <c r="D186" s="5" t="s">
        <v>57</v>
      </c>
      <c r="E186">
        <v>2035</v>
      </c>
      <c r="F186" s="6" t="str">
        <f t="shared" si="20"/>
        <v>*0.95</v>
      </c>
      <c r="H186" t="s">
        <v>3517</v>
      </c>
      <c r="I186" s="5" t="s">
        <v>57</v>
      </c>
      <c r="J186">
        <v>2050</v>
      </c>
      <c r="K186" s="38" t="str">
        <f t="shared" si="21"/>
        <v>*0.92</v>
      </c>
      <c r="P186" s="32" t="s">
        <v>3517</v>
      </c>
      <c r="Q186" s="42" t="s">
        <v>57</v>
      </c>
      <c r="R186" s="32">
        <v>2035</v>
      </c>
      <c r="S186" s="43" t="str">
        <f t="shared" si="22"/>
        <v>*0.95</v>
      </c>
      <c r="U186" s="32" t="s">
        <v>3517</v>
      </c>
      <c r="V186" s="42" t="s">
        <v>57</v>
      </c>
      <c r="W186" s="32">
        <v>2050</v>
      </c>
      <c r="X186" s="43" t="str">
        <f t="shared" si="23"/>
        <v>*0.92</v>
      </c>
      <c r="AC186" s="33" t="s">
        <v>3517</v>
      </c>
      <c r="AD186" s="44" t="s">
        <v>57</v>
      </c>
      <c r="AE186" s="33">
        <v>2035</v>
      </c>
      <c r="AF186" s="45" t="str">
        <f t="shared" si="24"/>
        <v>*0.93</v>
      </c>
      <c r="AG186" s="43" t="str">
        <f t="shared" si="27"/>
        <v>REZoning_Sol-Win</v>
      </c>
      <c r="AI186" s="33" t="s">
        <v>3517</v>
      </c>
      <c r="AJ186" s="44" t="s">
        <v>57</v>
      </c>
      <c r="AK186" s="33">
        <v>2050</v>
      </c>
      <c r="AL186" s="45" t="str">
        <f t="shared" si="25"/>
        <v>*0.89</v>
      </c>
      <c r="AM186" s="43" t="str">
        <f t="shared" si="28"/>
        <v>REZoning_Sol-Win</v>
      </c>
      <c r="AP186" t="s">
        <v>3517</v>
      </c>
      <c r="AQ186" t="s">
        <v>57</v>
      </c>
      <c r="AR186">
        <f t="shared" si="26"/>
        <v>2100</v>
      </c>
      <c r="AS186" t="s">
        <v>937</v>
      </c>
      <c r="AT186" t="s">
        <v>58</v>
      </c>
    </row>
    <row r="187" ht="29" spans="1:46">
      <c r="A187" s="31" t="s">
        <v>83</v>
      </c>
      <c r="C187" t="s">
        <v>3518</v>
      </c>
      <c r="D187" s="5" t="s">
        <v>57</v>
      </c>
      <c r="E187">
        <v>2035</v>
      </c>
      <c r="F187" s="6" t="str">
        <f t="shared" si="20"/>
        <v>*0.95</v>
      </c>
      <c r="H187" t="s">
        <v>3518</v>
      </c>
      <c r="I187" s="5" t="s">
        <v>57</v>
      </c>
      <c r="J187">
        <v>2050</v>
      </c>
      <c r="K187" s="38" t="str">
        <f t="shared" si="21"/>
        <v>*0.92</v>
      </c>
      <c r="P187" s="32" t="s">
        <v>3518</v>
      </c>
      <c r="Q187" s="42" t="s">
        <v>57</v>
      </c>
      <c r="R187" s="32">
        <v>2035</v>
      </c>
      <c r="S187" s="43" t="str">
        <f t="shared" si="22"/>
        <v>*0.95</v>
      </c>
      <c r="U187" s="32" t="s">
        <v>3518</v>
      </c>
      <c r="V187" s="42" t="s">
        <v>57</v>
      </c>
      <c r="W187" s="32">
        <v>2050</v>
      </c>
      <c r="X187" s="43" t="str">
        <f t="shared" si="23"/>
        <v>*0.92</v>
      </c>
      <c r="AC187" s="33" t="s">
        <v>3518</v>
      </c>
      <c r="AD187" s="44" t="s">
        <v>57</v>
      </c>
      <c r="AE187" s="33">
        <v>2035</v>
      </c>
      <c r="AF187" s="45" t="str">
        <f t="shared" si="24"/>
        <v>*0.93</v>
      </c>
      <c r="AG187" s="43" t="str">
        <f t="shared" si="27"/>
        <v>REZoning_Sol-Win</v>
      </c>
      <c r="AI187" s="33" t="s">
        <v>3518</v>
      </c>
      <c r="AJ187" s="44" t="s">
        <v>57</v>
      </c>
      <c r="AK187" s="33">
        <v>2050</v>
      </c>
      <c r="AL187" s="45" t="str">
        <f t="shared" si="25"/>
        <v>*0.89</v>
      </c>
      <c r="AM187" s="43" t="str">
        <f t="shared" si="28"/>
        <v>REZoning_Sol-Win</v>
      </c>
      <c r="AP187" t="s">
        <v>3518</v>
      </c>
      <c r="AQ187" t="s">
        <v>57</v>
      </c>
      <c r="AR187">
        <f t="shared" si="26"/>
        <v>2100</v>
      </c>
      <c r="AS187" t="s">
        <v>937</v>
      </c>
      <c r="AT187" t="s">
        <v>58</v>
      </c>
    </row>
    <row r="188" ht="29" spans="1:46">
      <c r="A188" s="31" t="s">
        <v>83</v>
      </c>
      <c r="C188" t="s">
        <v>3519</v>
      </c>
      <c r="D188" s="5" t="s">
        <v>57</v>
      </c>
      <c r="E188">
        <v>2035</v>
      </c>
      <c r="F188" s="6" t="str">
        <f t="shared" si="20"/>
        <v>*0.95</v>
      </c>
      <c r="H188" t="s">
        <v>3519</v>
      </c>
      <c r="I188" s="5" t="s">
        <v>57</v>
      </c>
      <c r="J188">
        <v>2050</v>
      </c>
      <c r="K188" s="38" t="str">
        <f t="shared" si="21"/>
        <v>*0.92</v>
      </c>
      <c r="P188" s="32" t="s">
        <v>3519</v>
      </c>
      <c r="Q188" s="42" t="s">
        <v>57</v>
      </c>
      <c r="R188" s="32">
        <v>2035</v>
      </c>
      <c r="S188" s="43" t="str">
        <f t="shared" si="22"/>
        <v>*0.95</v>
      </c>
      <c r="U188" s="32" t="s">
        <v>3519</v>
      </c>
      <c r="V188" s="42" t="s">
        <v>57</v>
      </c>
      <c r="W188" s="32">
        <v>2050</v>
      </c>
      <c r="X188" s="43" t="str">
        <f t="shared" si="23"/>
        <v>*0.92</v>
      </c>
      <c r="AC188" s="33" t="s">
        <v>3519</v>
      </c>
      <c r="AD188" s="44" t="s">
        <v>57</v>
      </c>
      <c r="AE188" s="33">
        <v>2035</v>
      </c>
      <c r="AF188" s="45" t="str">
        <f t="shared" si="24"/>
        <v>*0.93</v>
      </c>
      <c r="AG188" s="43" t="str">
        <f t="shared" si="27"/>
        <v>REZoning_Sol-Win</v>
      </c>
      <c r="AI188" s="33" t="s">
        <v>3519</v>
      </c>
      <c r="AJ188" s="44" t="s">
        <v>57</v>
      </c>
      <c r="AK188" s="33">
        <v>2050</v>
      </c>
      <c r="AL188" s="45" t="str">
        <f t="shared" si="25"/>
        <v>*0.89</v>
      </c>
      <c r="AM188" s="43" t="str">
        <f t="shared" si="28"/>
        <v>REZoning_Sol-Win</v>
      </c>
      <c r="AP188" t="s">
        <v>3519</v>
      </c>
      <c r="AQ188" t="s">
        <v>57</v>
      </c>
      <c r="AR188">
        <f t="shared" si="26"/>
        <v>2100</v>
      </c>
      <c r="AS188" t="s">
        <v>937</v>
      </c>
      <c r="AT188" t="s">
        <v>58</v>
      </c>
    </row>
    <row r="189" ht="29" spans="1:46">
      <c r="A189" s="31" t="s">
        <v>83</v>
      </c>
      <c r="C189" t="s">
        <v>3520</v>
      </c>
      <c r="D189" s="5" t="s">
        <v>57</v>
      </c>
      <c r="E189">
        <v>2035</v>
      </c>
      <c r="F189" s="6" t="str">
        <f t="shared" si="20"/>
        <v>*0.95</v>
      </c>
      <c r="H189" t="s">
        <v>3520</v>
      </c>
      <c r="I189" s="5" t="s">
        <v>57</v>
      </c>
      <c r="J189">
        <v>2050</v>
      </c>
      <c r="K189" s="38" t="str">
        <f t="shared" si="21"/>
        <v>*0.92</v>
      </c>
      <c r="P189" s="32" t="s">
        <v>3520</v>
      </c>
      <c r="Q189" s="42" t="s">
        <v>57</v>
      </c>
      <c r="R189" s="32">
        <v>2035</v>
      </c>
      <c r="S189" s="43" t="str">
        <f t="shared" si="22"/>
        <v>*0.95</v>
      </c>
      <c r="U189" s="32" t="s">
        <v>3520</v>
      </c>
      <c r="V189" s="42" t="s">
        <v>57</v>
      </c>
      <c r="W189" s="32">
        <v>2050</v>
      </c>
      <c r="X189" s="43" t="str">
        <f t="shared" si="23"/>
        <v>*0.92</v>
      </c>
      <c r="AC189" s="33" t="s">
        <v>3520</v>
      </c>
      <c r="AD189" s="44" t="s">
        <v>57</v>
      </c>
      <c r="AE189" s="33">
        <v>2035</v>
      </c>
      <c r="AF189" s="45" t="str">
        <f t="shared" si="24"/>
        <v>*0.93</v>
      </c>
      <c r="AG189" s="43" t="str">
        <f t="shared" si="27"/>
        <v>REZoning_Sol-Win</v>
      </c>
      <c r="AI189" s="33" t="s">
        <v>3520</v>
      </c>
      <c r="AJ189" s="44" t="s">
        <v>57</v>
      </c>
      <c r="AK189" s="33">
        <v>2050</v>
      </c>
      <c r="AL189" s="45" t="str">
        <f t="shared" si="25"/>
        <v>*0.89</v>
      </c>
      <c r="AM189" s="43" t="str">
        <f t="shared" si="28"/>
        <v>REZoning_Sol-Win</v>
      </c>
      <c r="AP189" t="s">
        <v>3520</v>
      </c>
      <c r="AQ189" t="s">
        <v>57</v>
      </c>
      <c r="AR189">
        <f t="shared" si="26"/>
        <v>2100</v>
      </c>
      <c r="AS189" t="s">
        <v>937</v>
      </c>
      <c r="AT189" t="s">
        <v>58</v>
      </c>
    </row>
    <row r="190" ht="29" spans="1:46">
      <c r="A190" s="31" t="s">
        <v>83</v>
      </c>
      <c r="C190" t="s">
        <v>3521</v>
      </c>
      <c r="D190" s="5" t="s">
        <v>57</v>
      </c>
      <c r="E190">
        <v>2035</v>
      </c>
      <c r="F190" s="6" t="str">
        <f t="shared" si="20"/>
        <v>*0.95</v>
      </c>
      <c r="H190" t="s">
        <v>3521</v>
      </c>
      <c r="I190" s="5" t="s">
        <v>57</v>
      </c>
      <c r="J190">
        <v>2050</v>
      </c>
      <c r="K190" s="38" t="str">
        <f t="shared" si="21"/>
        <v>*0.92</v>
      </c>
      <c r="P190" s="32" t="s">
        <v>3521</v>
      </c>
      <c r="Q190" s="42" t="s">
        <v>57</v>
      </c>
      <c r="R190" s="32">
        <v>2035</v>
      </c>
      <c r="S190" s="43" t="str">
        <f t="shared" si="22"/>
        <v>*0.95</v>
      </c>
      <c r="U190" s="32" t="s">
        <v>3521</v>
      </c>
      <c r="V190" s="42" t="s">
        <v>57</v>
      </c>
      <c r="W190" s="32">
        <v>2050</v>
      </c>
      <c r="X190" s="43" t="str">
        <f t="shared" si="23"/>
        <v>*0.92</v>
      </c>
      <c r="AC190" s="33" t="s">
        <v>3521</v>
      </c>
      <c r="AD190" s="44" t="s">
        <v>57</v>
      </c>
      <c r="AE190" s="33">
        <v>2035</v>
      </c>
      <c r="AF190" s="45" t="str">
        <f t="shared" si="24"/>
        <v>*0.93</v>
      </c>
      <c r="AG190" s="43" t="str">
        <f t="shared" si="27"/>
        <v>REZoning_Sol-Win</v>
      </c>
      <c r="AI190" s="33" t="s">
        <v>3521</v>
      </c>
      <c r="AJ190" s="44" t="s">
        <v>57</v>
      </c>
      <c r="AK190" s="33">
        <v>2050</v>
      </c>
      <c r="AL190" s="45" t="str">
        <f t="shared" si="25"/>
        <v>*0.89</v>
      </c>
      <c r="AM190" s="43" t="str">
        <f t="shared" si="28"/>
        <v>REZoning_Sol-Win</v>
      </c>
      <c r="AP190" t="s">
        <v>3521</v>
      </c>
      <c r="AQ190" t="s">
        <v>57</v>
      </c>
      <c r="AR190">
        <f t="shared" si="26"/>
        <v>2100</v>
      </c>
      <c r="AS190" t="s">
        <v>937</v>
      </c>
      <c r="AT190" t="s">
        <v>58</v>
      </c>
    </row>
    <row r="191" ht="29" spans="1:46">
      <c r="A191" s="31" t="s">
        <v>83</v>
      </c>
      <c r="C191" t="s">
        <v>3522</v>
      </c>
      <c r="D191" s="5" t="s">
        <v>57</v>
      </c>
      <c r="E191">
        <v>2035</v>
      </c>
      <c r="F191" s="6" t="str">
        <f t="shared" si="20"/>
        <v>*0.95</v>
      </c>
      <c r="H191" t="s">
        <v>3522</v>
      </c>
      <c r="I191" s="5" t="s">
        <v>57</v>
      </c>
      <c r="J191">
        <v>2050</v>
      </c>
      <c r="K191" s="38" t="str">
        <f t="shared" si="21"/>
        <v>*0.92</v>
      </c>
      <c r="P191" s="32" t="s">
        <v>3522</v>
      </c>
      <c r="Q191" s="42" t="s">
        <v>57</v>
      </c>
      <c r="R191" s="32">
        <v>2035</v>
      </c>
      <c r="S191" s="43" t="str">
        <f t="shared" si="22"/>
        <v>*0.95</v>
      </c>
      <c r="U191" s="32" t="s">
        <v>3522</v>
      </c>
      <c r="V191" s="42" t="s">
        <v>57</v>
      </c>
      <c r="W191" s="32">
        <v>2050</v>
      </c>
      <c r="X191" s="43" t="str">
        <f t="shared" si="23"/>
        <v>*0.92</v>
      </c>
      <c r="AC191" s="33" t="s">
        <v>3522</v>
      </c>
      <c r="AD191" s="44" t="s">
        <v>57</v>
      </c>
      <c r="AE191" s="33">
        <v>2035</v>
      </c>
      <c r="AF191" s="45" t="str">
        <f t="shared" si="24"/>
        <v>*0.93</v>
      </c>
      <c r="AG191" s="43" t="str">
        <f t="shared" si="27"/>
        <v>REZoning_Sol-Win</v>
      </c>
      <c r="AI191" s="33" t="s">
        <v>3522</v>
      </c>
      <c r="AJ191" s="44" t="s">
        <v>57</v>
      </c>
      <c r="AK191" s="33">
        <v>2050</v>
      </c>
      <c r="AL191" s="45" t="str">
        <f t="shared" si="25"/>
        <v>*0.89</v>
      </c>
      <c r="AM191" s="43" t="str">
        <f t="shared" si="28"/>
        <v>REZoning_Sol-Win</v>
      </c>
      <c r="AP191" t="s">
        <v>3522</v>
      </c>
      <c r="AQ191" t="s">
        <v>57</v>
      </c>
      <c r="AR191">
        <f t="shared" si="26"/>
        <v>2100</v>
      </c>
      <c r="AS191" t="s">
        <v>937</v>
      </c>
      <c r="AT191" t="s">
        <v>58</v>
      </c>
    </row>
    <row r="192" ht="29" spans="1:46">
      <c r="A192" s="31" t="s">
        <v>83</v>
      </c>
      <c r="C192" t="s">
        <v>3523</v>
      </c>
      <c r="D192" s="5" t="s">
        <v>57</v>
      </c>
      <c r="E192">
        <v>2035</v>
      </c>
      <c r="F192" s="6" t="str">
        <f t="shared" si="20"/>
        <v>*0.95</v>
      </c>
      <c r="H192" t="s">
        <v>3523</v>
      </c>
      <c r="I192" s="5" t="s">
        <v>57</v>
      </c>
      <c r="J192">
        <v>2050</v>
      </c>
      <c r="K192" s="38" t="str">
        <f t="shared" si="21"/>
        <v>*0.92</v>
      </c>
      <c r="P192" s="32" t="s">
        <v>3523</v>
      </c>
      <c r="Q192" s="42" t="s">
        <v>57</v>
      </c>
      <c r="R192" s="32">
        <v>2035</v>
      </c>
      <c r="S192" s="43" t="str">
        <f t="shared" si="22"/>
        <v>*0.95</v>
      </c>
      <c r="U192" s="32" t="s">
        <v>3523</v>
      </c>
      <c r="V192" s="42" t="s">
        <v>57</v>
      </c>
      <c r="W192" s="32">
        <v>2050</v>
      </c>
      <c r="X192" s="43" t="str">
        <f t="shared" si="23"/>
        <v>*0.92</v>
      </c>
      <c r="AC192" s="33" t="s">
        <v>3523</v>
      </c>
      <c r="AD192" s="44" t="s">
        <v>57</v>
      </c>
      <c r="AE192" s="33">
        <v>2035</v>
      </c>
      <c r="AF192" s="45" t="str">
        <f t="shared" si="24"/>
        <v>*0.93</v>
      </c>
      <c r="AG192" s="43" t="str">
        <f t="shared" si="27"/>
        <v>REZoning_Sol-Win</v>
      </c>
      <c r="AI192" s="33" t="s">
        <v>3523</v>
      </c>
      <c r="AJ192" s="44" t="s">
        <v>57</v>
      </c>
      <c r="AK192" s="33">
        <v>2050</v>
      </c>
      <c r="AL192" s="45" t="str">
        <f t="shared" si="25"/>
        <v>*0.89</v>
      </c>
      <c r="AM192" s="43" t="str">
        <f t="shared" si="28"/>
        <v>REZoning_Sol-Win</v>
      </c>
      <c r="AP192" t="s">
        <v>3523</v>
      </c>
      <c r="AQ192" t="s">
        <v>57</v>
      </c>
      <c r="AR192">
        <f t="shared" si="26"/>
        <v>2100</v>
      </c>
      <c r="AS192" t="s">
        <v>937</v>
      </c>
      <c r="AT192" t="s">
        <v>58</v>
      </c>
    </row>
    <row r="193" ht="29" spans="1:46">
      <c r="A193" s="31" t="s">
        <v>83</v>
      </c>
      <c r="C193" t="s">
        <v>3524</v>
      </c>
      <c r="D193" s="5" t="s">
        <v>57</v>
      </c>
      <c r="E193">
        <v>2035</v>
      </c>
      <c r="F193" s="6" t="str">
        <f t="shared" si="20"/>
        <v>*0.95</v>
      </c>
      <c r="H193" t="s">
        <v>3524</v>
      </c>
      <c r="I193" s="5" t="s">
        <v>57</v>
      </c>
      <c r="J193">
        <v>2050</v>
      </c>
      <c r="K193" s="38" t="str">
        <f t="shared" si="21"/>
        <v>*0.92</v>
      </c>
      <c r="P193" s="32" t="s">
        <v>3524</v>
      </c>
      <c r="Q193" s="42" t="s">
        <v>57</v>
      </c>
      <c r="R193" s="32">
        <v>2035</v>
      </c>
      <c r="S193" s="43" t="str">
        <f t="shared" si="22"/>
        <v>*0.95</v>
      </c>
      <c r="U193" s="32" t="s">
        <v>3524</v>
      </c>
      <c r="V193" s="42" t="s">
        <v>57</v>
      </c>
      <c r="W193" s="32">
        <v>2050</v>
      </c>
      <c r="X193" s="43" t="str">
        <f t="shared" si="23"/>
        <v>*0.92</v>
      </c>
      <c r="AC193" s="33" t="s">
        <v>3524</v>
      </c>
      <c r="AD193" s="44" t="s">
        <v>57</v>
      </c>
      <c r="AE193" s="33">
        <v>2035</v>
      </c>
      <c r="AF193" s="45" t="str">
        <f t="shared" si="24"/>
        <v>*0.93</v>
      </c>
      <c r="AG193" s="43" t="str">
        <f t="shared" si="27"/>
        <v>REZoning_Sol-Win</v>
      </c>
      <c r="AI193" s="33" t="s">
        <v>3524</v>
      </c>
      <c r="AJ193" s="44" t="s">
        <v>57</v>
      </c>
      <c r="AK193" s="33">
        <v>2050</v>
      </c>
      <c r="AL193" s="45" t="str">
        <f t="shared" si="25"/>
        <v>*0.89</v>
      </c>
      <c r="AM193" s="43" t="str">
        <f t="shared" si="28"/>
        <v>REZoning_Sol-Win</v>
      </c>
      <c r="AP193" t="s">
        <v>3524</v>
      </c>
      <c r="AQ193" t="s">
        <v>57</v>
      </c>
      <c r="AR193">
        <f t="shared" si="26"/>
        <v>2100</v>
      </c>
      <c r="AS193" t="s">
        <v>937</v>
      </c>
      <c r="AT193" t="s">
        <v>58</v>
      </c>
    </row>
    <row r="194" ht="29" spans="1:46">
      <c r="A194" s="31" t="s">
        <v>83</v>
      </c>
      <c r="C194" t="s">
        <v>3525</v>
      </c>
      <c r="D194" s="5" t="s">
        <v>57</v>
      </c>
      <c r="E194">
        <v>2035</v>
      </c>
      <c r="F194" s="6" t="str">
        <f t="shared" si="20"/>
        <v>*0.95</v>
      </c>
      <c r="H194" t="s">
        <v>3525</v>
      </c>
      <c r="I194" s="5" t="s">
        <v>57</v>
      </c>
      <c r="J194">
        <v>2050</v>
      </c>
      <c r="K194" s="38" t="str">
        <f t="shared" si="21"/>
        <v>*0.92</v>
      </c>
      <c r="P194" s="32" t="s">
        <v>3525</v>
      </c>
      <c r="Q194" s="42" t="s">
        <v>57</v>
      </c>
      <c r="R194" s="32">
        <v>2035</v>
      </c>
      <c r="S194" s="43" t="str">
        <f t="shared" si="22"/>
        <v>*0.95</v>
      </c>
      <c r="U194" s="32" t="s">
        <v>3525</v>
      </c>
      <c r="V194" s="42" t="s">
        <v>57</v>
      </c>
      <c r="W194" s="32">
        <v>2050</v>
      </c>
      <c r="X194" s="43" t="str">
        <f t="shared" si="23"/>
        <v>*0.92</v>
      </c>
      <c r="AC194" s="33" t="s">
        <v>3525</v>
      </c>
      <c r="AD194" s="44" t="s">
        <v>57</v>
      </c>
      <c r="AE194" s="33">
        <v>2035</v>
      </c>
      <c r="AF194" s="45" t="str">
        <f t="shared" si="24"/>
        <v>*0.93</v>
      </c>
      <c r="AG194" s="43" t="str">
        <f t="shared" si="27"/>
        <v>REZoning_Sol-Win</v>
      </c>
      <c r="AI194" s="33" t="s">
        <v>3525</v>
      </c>
      <c r="AJ194" s="44" t="s">
        <v>57</v>
      </c>
      <c r="AK194" s="33">
        <v>2050</v>
      </c>
      <c r="AL194" s="45" t="str">
        <f t="shared" si="25"/>
        <v>*0.89</v>
      </c>
      <c r="AM194" s="43" t="str">
        <f t="shared" si="28"/>
        <v>REZoning_Sol-Win</v>
      </c>
      <c r="AP194" t="s">
        <v>3525</v>
      </c>
      <c r="AQ194" t="s">
        <v>57</v>
      </c>
      <c r="AR194">
        <f t="shared" si="26"/>
        <v>2100</v>
      </c>
      <c r="AS194" t="s">
        <v>937</v>
      </c>
      <c r="AT194" t="s">
        <v>58</v>
      </c>
    </row>
    <row r="195" ht="29" spans="1:46">
      <c r="A195" s="31" t="s">
        <v>83</v>
      </c>
      <c r="C195" t="s">
        <v>3526</v>
      </c>
      <c r="D195" s="5" t="s">
        <v>57</v>
      </c>
      <c r="E195">
        <v>2035</v>
      </c>
      <c r="F195" s="6" t="str">
        <f t="shared" si="20"/>
        <v>*0.95</v>
      </c>
      <c r="H195" t="s">
        <v>3526</v>
      </c>
      <c r="I195" s="5" t="s">
        <v>57</v>
      </c>
      <c r="J195">
        <v>2050</v>
      </c>
      <c r="K195" s="38" t="str">
        <f t="shared" si="21"/>
        <v>*0.92</v>
      </c>
      <c r="P195" s="32" t="s">
        <v>3526</v>
      </c>
      <c r="Q195" s="42" t="s">
        <v>57</v>
      </c>
      <c r="R195" s="32">
        <v>2035</v>
      </c>
      <c r="S195" s="43" t="str">
        <f t="shared" si="22"/>
        <v>*0.95</v>
      </c>
      <c r="U195" s="32" t="s">
        <v>3526</v>
      </c>
      <c r="V195" s="42" t="s">
        <v>57</v>
      </c>
      <c r="W195" s="32">
        <v>2050</v>
      </c>
      <c r="X195" s="43" t="str">
        <f t="shared" si="23"/>
        <v>*0.92</v>
      </c>
      <c r="AC195" s="33" t="s">
        <v>3526</v>
      </c>
      <c r="AD195" s="44" t="s">
        <v>57</v>
      </c>
      <c r="AE195" s="33">
        <v>2035</v>
      </c>
      <c r="AF195" s="45" t="str">
        <f t="shared" si="24"/>
        <v>*0.93</v>
      </c>
      <c r="AG195" s="43" t="str">
        <f t="shared" si="27"/>
        <v>REZoning_Sol-Win</v>
      </c>
      <c r="AI195" s="33" t="s">
        <v>3526</v>
      </c>
      <c r="AJ195" s="44" t="s">
        <v>57</v>
      </c>
      <c r="AK195" s="33">
        <v>2050</v>
      </c>
      <c r="AL195" s="45" t="str">
        <f t="shared" si="25"/>
        <v>*0.89</v>
      </c>
      <c r="AM195" s="43" t="str">
        <f t="shared" si="28"/>
        <v>REZoning_Sol-Win</v>
      </c>
      <c r="AP195" t="s">
        <v>3526</v>
      </c>
      <c r="AQ195" t="s">
        <v>57</v>
      </c>
      <c r="AR195">
        <f t="shared" si="26"/>
        <v>2100</v>
      </c>
      <c r="AS195" t="s">
        <v>937</v>
      </c>
      <c r="AT195" t="s">
        <v>58</v>
      </c>
    </row>
    <row r="196" ht="29" spans="1:46">
      <c r="A196" s="31" t="s">
        <v>83</v>
      </c>
      <c r="C196" t="s">
        <v>3527</v>
      </c>
      <c r="D196" s="5" t="s">
        <v>57</v>
      </c>
      <c r="E196">
        <v>2035</v>
      </c>
      <c r="F196" s="6" t="str">
        <f t="shared" ref="F196:F259" si="29">"*"&amp;IF(AND(A196="EU",E196=2035),0.95,IF(AND(A196="EU",E196=2050),0.93,IF(AND(A196="USA",E196=2035),0.96,IF(AND(A196="USA",E196=2050),0.94,IF(AND(A196="Japan",E196=2035),0.94,IF(AND(A196="Japan",E196=2050),0.92,IF(AND(A196="Russia",E196=2035),0.95,IF(AND(A196="Russia",E196=2050),0.93,IF(AND(A196="China",E196=2035),0.94,IF(AND(A196="China",E196=2050),0.92,IF(AND(A196="India",E196=2035),0.95,IF(AND(A196="India",E196=2050),0.92,IF(AND(A196="Middle East",E196=2035),0.94,IF(AND(A196="Middle East",E196=2050),0.9,IF(AND(A196="Africa",E196=2035),0.94,IF(AND(A196="Africa",E196=2050),0.91,IF(AND(A196="Brazil",E196=2035),0.95,IF(AND(A196="Brazil",E196=2050),0.92,""))))))))))))))))))</f>
        <v>*0.95</v>
      </c>
      <c r="H196" t="s">
        <v>3527</v>
      </c>
      <c r="I196" s="5" t="s">
        <v>57</v>
      </c>
      <c r="J196">
        <v>2050</v>
      </c>
      <c r="K196" s="38" t="str">
        <f t="shared" ref="K196:K259" si="30">"*"&amp;IF(AND(A196="EU",J196=2035),0.95,IF(AND(A196="EU",J196=2050),0.93,IF(AND(A196="USA",J196=2035),0.96,IF(AND(A196="USA",J196=2050),0.94,IF(AND(A196="Japan",J196=2035),0.94,IF(AND(A196="Japan",J196=2050),0.92,IF(AND(A196="Russia",J196=2035),0.95,IF(AND(A196="Russia",J196=2050),0.93,IF(AND(A196="China",J196=2035),0.94,IF(AND(A196="China",J196=2050),0.92,IF(AND(A196="India",J196=2035),0.95,IF(AND(A196="India",J196=2050),0.92,IF(AND(A196="Middle East",J196=2035),0.94,IF(AND(A196="Middle East",J196=2050),0.9,IF(AND(A196="Africa",J196=2035),0.94,IF(AND(A196="Africa",J196=2050),0.91,IF(AND(A196="Brazil",J196=2035),0.95,IF(AND(A196="Brazil",J196=2050),0.92,""))))))))))))))))))</f>
        <v>*0.92</v>
      </c>
      <c r="P196" s="32" t="s">
        <v>3527</v>
      </c>
      <c r="Q196" s="42" t="s">
        <v>57</v>
      </c>
      <c r="R196" s="32">
        <v>2035</v>
      </c>
      <c r="S196" s="43" t="str">
        <f t="shared" ref="S196:S259" si="31">"*"&amp;IF(AND(A196="EU",R196=2035),0.95,IF(AND(A196="EU",R196=2050),0.93,IF(AND(A196="USA",R196=2035),0.96,IF(AND(A196="USA",R196=2050),0.93,IF(AND(A196="Japan",R196=2035),0.94,IF(AND(A196="Japan",R196=2050),0.92,IF(AND(A196="Russia",R196=2035),0.95,IF(AND(A196="Russia",R196=2050),0.91,IF(AND(A196="China",R196=2035),0.93,IF(AND(A196="China",R196=2050),0.92,IF(AND(A196="India",R196=2035),0.94,IF(AND(A196="India",R196=2050),0.91,IF(AND(A196="Middle East",R196=2035),0.92,IF(AND(A196="Middle East",R196=2050),0.89,IF(AND(A196="Africa",R196=2035),0.93,IF(AND(A196="Africa",R196=2050),0.9,IF(AND(A196="Brazil",R196=2035),0.95,IF(AND(A196="Brazil",R196=2050),0.92,""))))))))))))))))))</f>
        <v>*0.95</v>
      </c>
      <c r="U196" s="32" t="s">
        <v>3527</v>
      </c>
      <c r="V196" s="42" t="s">
        <v>57</v>
      </c>
      <c r="W196" s="32">
        <v>2050</v>
      </c>
      <c r="X196" s="43" t="str">
        <f t="shared" ref="X196:X259" si="32">"*"&amp;IF(AND(A196="EU",W196=2035),0.95,IF(AND(A196="EU",W196=2050),0.93,IF(AND(A196="USA",W196=2035),0.96,IF(AND(A196="USA",W196=2050),0.93,IF(AND(A196="Japan",W196=2035),0.94,IF(AND(A196="Japan",W196=2050),0.92,IF(AND(A196="Russia",W196=2035),0.95,IF(AND(A196="Russia",W196=2050),0.91,IF(AND(A196="China",W196=2035),0.93,IF(AND(A196="China",W196=2050),0.92,IF(AND(A196="India",W196=2035),0.94,IF(AND(A196="India",W196=2050),0.91,IF(AND(A196="Middle East",W196=2035),0.92,IF(AND(A196="Middle East",W196=2050),0.89,IF(AND(A196="Africa",W196=2035),0.93,IF(AND(A196="Africa",W196=2050),0.9,IF(AND(A196="Brazil",W196=2035),0.95,IF(AND(A196="Brazil",W196=2050),0.92,""))))))))))))))))))</f>
        <v>*0.92</v>
      </c>
      <c r="AC196" s="33" t="s">
        <v>3527</v>
      </c>
      <c r="AD196" s="44" t="s">
        <v>57</v>
      </c>
      <c r="AE196" s="33">
        <v>2035</v>
      </c>
      <c r="AF196" s="45" t="str">
        <f t="shared" ref="AF196:AF259" si="33">"*"&amp;IF(AND(A196="EU",AE196=2035),0.93,IF(AND(A196="EU",AE196=2050),0.9,IF(AND(A196="USA",AE196=2035),0.92,IF(AND(A196="USA",AE196=2050),0.89,IF(AND(A196="Japan",AE196=2035),0.92,IF(AND(A196="Japan",AE196=2050),0.89,IF(AND(A196="Russia",AE196=2035),0.91,IF(AND(A196="Russia",AE196=2050),0.86,IF(AND(A196="China",AE196=2035),0.91,IF(AND(A196="China",AE196=2050),0.87,IF(AND(A196="India",AE196=2035),0.92,IF(AND(A196="India",AE196=2050),0.87,IF(AND(A196="Middle East",AE196=2035),0.89,IF(AND(A196="Middle East",AE196=2050),0.84,IF(AND(A196="Africa",AE196=2035),0.9,IF(AND(A196="Africa",AE196=2050),0.86,IF(AND(A196="Brazil",AE196=2035),0.93,IF(AND(A196="Brazil",AE196=2050),0.89,""))))))))))))))))))</f>
        <v>*0.93</v>
      </c>
      <c r="AG196" s="43" t="str">
        <f t="shared" si="27"/>
        <v>REZoning_Sol-Win</v>
      </c>
      <c r="AI196" s="33" t="s">
        <v>3527</v>
      </c>
      <c r="AJ196" s="44" t="s">
        <v>57</v>
      </c>
      <c r="AK196" s="33">
        <v>2050</v>
      </c>
      <c r="AL196" s="45" t="str">
        <f t="shared" ref="AL196:AL259" si="34">"*"&amp;IF(AND(A196="EU",AK196=2035),0.93,IF(AND(A196="EU",AK196=2050),0.9,IF(AND(A196="USA",AK196=2035),0.92,IF(AND(A196="USA",AK196=2050),0.89,IF(AND(A196="Japan",AK196=2035),0.92,IF(AND(A196="Japan",AK196=2050),0.89,IF(AND(A196="Russia",AK196=2035),0.91,IF(AND(A196="Russia",AK196=2050),0.86,IF(AND(A196="China",AK196=2035),0.91,IF(AND(A196="China",AK196=2050),0.87,IF(AND(A196="India",AK196=2035),0.92,IF(AND(A196="India",AK196=2050),0.87,IF(AND(A196="Middle East",AK196=2035),0.89,IF(AND(A196="Middle East",AK196=2050),0.84,IF(AND(A196="Africa",AK196=2035),0.9,IF(AND(A196="Africa",AK196=2050),0.86,IF(AND(A196="Brazil",AK196=2035),0.93,IF(AND(A196="Brazil",AK196=2050),0.89,""))))))))))))))))))</f>
        <v>*0.89</v>
      </c>
      <c r="AM196" s="43" t="str">
        <f t="shared" si="28"/>
        <v>REZoning_Sol-Win</v>
      </c>
      <c r="AP196" t="s">
        <v>3527</v>
      </c>
      <c r="AQ196" t="s">
        <v>57</v>
      </c>
      <c r="AR196">
        <f t="shared" si="26"/>
        <v>2100</v>
      </c>
      <c r="AS196" t="s">
        <v>937</v>
      </c>
      <c r="AT196" t="s">
        <v>58</v>
      </c>
    </row>
    <row r="197" ht="29" spans="1:46">
      <c r="A197" s="31" t="s">
        <v>83</v>
      </c>
      <c r="C197" t="s">
        <v>3528</v>
      </c>
      <c r="D197" s="5" t="s">
        <v>57</v>
      </c>
      <c r="E197">
        <v>2035</v>
      </c>
      <c r="F197" s="6" t="str">
        <f t="shared" si="29"/>
        <v>*0.95</v>
      </c>
      <c r="H197" t="s">
        <v>3528</v>
      </c>
      <c r="I197" s="5" t="s">
        <v>57</v>
      </c>
      <c r="J197">
        <v>2050</v>
      </c>
      <c r="K197" s="38" t="str">
        <f t="shared" si="30"/>
        <v>*0.92</v>
      </c>
      <c r="P197" s="32" t="s">
        <v>3528</v>
      </c>
      <c r="Q197" s="42" t="s">
        <v>57</v>
      </c>
      <c r="R197" s="32">
        <v>2035</v>
      </c>
      <c r="S197" s="43" t="str">
        <f t="shared" si="31"/>
        <v>*0.95</v>
      </c>
      <c r="U197" s="32" t="s">
        <v>3528</v>
      </c>
      <c r="V197" s="42" t="s">
        <v>57</v>
      </c>
      <c r="W197" s="32">
        <v>2050</v>
      </c>
      <c r="X197" s="43" t="str">
        <f t="shared" si="32"/>
        <v>*0.92</v>
      </c>
      <c r="AC197" s="33" t="s">
        <v>3528</v>
      </c>
      <c r="AD197" s="44" t="s">
        <v>57</v>
      </c>
      <c r="AE197" s="33">
        <v>2035</v>
      </c>
      <c r="AF197" s="45" t="str">
        <f t="shared" si="33"/>
        <v>*0.93</v>
      </c>
      <c r="AG197" s="43" t="str">
        <f t="shared" si="27"/>
        <v>REZoning_Sol-Win</v>
      </c>
      <c r="AI197" s="33" t="s">
        <v>3528</v>
      </c>
      <c r="AJ197" s="44" t="s">
        <v>57</v>
      </c>
      <c r="AK197" s="33">
        <v>2050</v>
      </c>
      <c r="AL197" s="45" t="str">
        <f t="shared" si="34"/>
        <v>*0.89</v>
      </c>
      <c r="AM197" s="43" t="str">
        <f t="shared" si="28"/>
        <v>REZoning_Sol-Win</v>
      </c>
      <c r="AP197" t="s">
        <v>3528</v>
      </c>
      <c r="AQ197" t="s">
        <v>57</v>
      </c>
      <c r="AR197">
        <f t="shared" si="26"/>
        <v>2100</v>
      </c>
      <c r="AS197" t="s">
        <v>937</v>
      </c>
      <c r="AT197" t="s">
        <v>58</v>
      </c>
    </row>
    <row r="198" ht="29" spans="1:46">
      <c r="A198" s="31" t="s">
        <v>83</v>
      </c>
      <c r="C198" t="s">
        <v>3529</v>
      </c>
      <c r="D198" s="5" t="s">
        <v>57</v>
      </c>
      <c r="E198">
        <v>2035</v>
      </c>
      <c r="F198" s="6" t="str">
        <f t="shared" si="29"/>
        <v>*0.95</v>
      </c>
      <c r="H198" t="s">
        <v>3529</v>
      </c>
      <c r="I198" s="5" t="s">
        <v>57</v>
      </c>
      <c r="J198">
        <v>2050</v>
      </c>
      <c r="K198" s="38" t="str">
        <f t="shared" si="30"/>
        <v>*0.92</v>
      </c>
      <c r="P198" s="32" t="s">
        <v>3529</v>
      </c>
      <c r="Q198" s="42" t="s">
        <v>57</v>
      </c>
      <c r="R198" s="32">
        <v>2035</v>
      </c>
      <c r="S198" s="43" t="str">
        <f t="shared" si="31"/>
        <v>*0.95</v>
      </c>
      <c r="U198" s="32" t="s">
        <v>3529</v>
      </c>
      <c r="V198" s="42" t="s">
        <v>57</v>
      </c>
      <c r="W198" s="32">
        <v>2050</v>
      </c>
      <c r="X198" s="43" t="str">
        <f t="shared" si="32"/>
        <v>*0.92</v>
      </c>
      <c r="AC198" s="33" t="s">
        <v>3529</v>
      </c>
      <c r="AD198" s="44" t="s">
        <v>57</v>
      </c>
      <c r="AE198" s="33">
        <v>2035</v>
      </c>
      <c r="AF198" s="45" t="str">
        <f t="shared" si="33"/>
        <v>*0.93</v>
      </c>
      <c r="AG198" s="43" t="str">
        <f t="shared" si="27"/>
        <v>REZoning_Sol-Win</v>
      </c>
      <c r="AI198" s="33" t="s">
        <v>3529</v>
      </c>
      <c r="AJ198" s="44" t="s">
        <v>57</v>
      </c>
      <c r="AK198" s="33">
        <v>2050</v>
      </c>
      <c r="AL198" s="45" t="str">
        <f t="shared" si="34"/>
        <v>*0.89</v>
      </c>
      <c r="AM198" s="43" t="str">
        <f t="shared" si="28"/>
        <v>REZoning_Sol-Win</v>
      </c>
      <c r="AP198" t="s">
        <v>3529</v>
      </c>
      <c r="AQ198" t="s">
        <v>57</v>
      </c>
      <c r="AR198">
        <f t="shared" ref="AR198:AR261" si="35">AR197</f>
        <v>2100</v>
      </c>
      <c r="AS198" t="s">
        <v>937</v>
      </c>
      <c r="AT198" t="s">
        <v>58</v>
      </c>
    </row>
    <row r="199" ht="29" spans="1:46">
      <c r="A199" s="31" t="s">
        <v>83</v>
      </c>
      <c r="C199" t="s">
        <v>3530</v>
      </c>
      <c r="D199" s="5" t="s">
        <v>57</v>
      </c>
      <c r="E199">
        <v>2035</v>
      </c>
      <c r="F199" s="6" t="str">
        <f t="shared" si="29"/>
        <v>*0.95</v>
      </c>
      <c r="H199" t="s">
        <v>3530</v>
      </c>
      <c r="I199" s="5" t="s">
        <v>57</v>
      </c>
      <c r="J199">
        <v>2050</v>
      </c>
      <c r="K199" s="38" t="str">
        <f t="shared" si="30"/>
        <v>*0.92</v>
      </c>
      <c r="P199" s="32" t="s">
        <v>3530</v>
      </c>
      <c r="Q199" s="42" t="s">
        <v>57</v>
      </c>
      <c r="R199" s="32">
        <v>2035</v>
      </c>
      <c r="S199" s="43" t="str">
        <f t="shared" si="31"/>
        <v>*0.95</v>
      </c>
      <c r="U199" s="32" t="s">
        <v>3530</v>
      </c>
      <c r="V199" s="42" t="s">
        <v>57</v>
      </c>
      <c r="W199" s="32">
        <v>2050</v>
      </c>
      <c r="X199" s="43" t="str">
        <f t="shared" si="32"/>
        <v>*0.92</v>
      </c>
      <c r="AC199" s="33" t="s">
        <v>3530</v>
      </c>
      <c r="AD199" s="44" t="s">
        <v>57</v>
      </c>
      <c r="AE199" s="33">
        <v>2035</v>
      </c>
      <c r="AF199" s="45" t="str">
        <f t="shared" si="33"/>
        <v>*0.93</v>
      </c>
      <c r="AG199" s="43" t="str">
        <f t="shared" si="27"/>
        <v>REZoning_Sol-Win</v>
      </c>
      <c r="AI199" s="33" t="s">
        <v>3530</v>
      </c>
      <c r="AJ199" s="44" t="s">
        <v>57</v>
      </c>
      <c r="AK199" s="33">
        <v>2050</v>
      </c>
      <c r="AL199" s="45" t="str">
        <f t="shared" si="34"/>
        <v>*0.89</v>
      </c>
      <c r="AM199" s="43" t="str">
        <f t="shared" si="28"/>
        <v>REZoning_Sol-Win</v>
      </c>
      <c r="AP199" t="s">
        <v>3530</v>
      </c>
      <c r="AQ199" t="s">
        <v>57</v>
      </c>
      <c r="AR199">
        <f t="shared" si="35"/>
        <v>2100</v>
      </c>
      <c r="AS199" t="s">
        <v>937</v>
      </c>
      <c r="AT199" t="s">
        <v>58</v>
      </c>
    </row>
    <row r="200" ht="29" spans="1:46">
      <c r="A200" s="31" t="s">
        <v>83</v>
      </c>
      <c r="C200" t="s">
        <v>3531</v>
      </c>
      <c r="D200" s="5" t="s">
        <v>57</v>
      </c>
      <c r="E200">
        <v>2035</v>
      </c>
      <c r="F200" s="6" t="str">
        <f t="shared" si="29"/>
        <v>*0.95</v>
      </c>
      <c r="H200" t="s">
        <v>3531</v>
      </c>
      <c r="I200" s="5" t="s">
        <v>57</v>
      </c>
      <c r="J200">
        <v>2050</v>
      </c>
      <c r="K200" s="38" t="str">
        <f t="shared" si="30"/>
        <v>*0.92</v>
      </c>
      <c r="P200" s="32" t="s">
        <v>3531</v>
      </c>
      <c r="Q200" s="42" t="s">
        <v>57</v>
      </c>
      <c r="R200" s="32">
        <v>2035</v>
      </c>
      <c r="S200" s="43" t="str">
        <f t="shared" si="31"/>
        <v>*0.95</v>
      </c>
      <c r="U200" s="32" t="s">
        <v>3531</v>
      </c>
      <c r="V200" s="42" t="s">
        <v>57</v>
      </c>
      <c r="W200" s="32">
        <v>2050</v>
      </c>
      <c r="X200" s="43" t="str">
        <f t="shared" si="32"/>
        <v>*0.92</v>
      </c>
      <c r="AC200" s="33" t="s">
        <v>3531</v>
      </c>
      <c r="AD200" s="44" t="s">
        <v>57</v>
      </c>
      <c r="AE200" s="33">
        <v>2035</v>
      </c>
      <c r="AF200" s="45" t="str">
        <f t="shared" si="33"/>
        <v>*0.93</v>
      </c>
      <c r="AG200" s="43" t="str">
        <f t="shared" si="27"/>
        <v>REZoning_Sol-Win</v>
      </c>
      <c r="AI200" s="33" t="s">
        <v>3531</v>
      </c>
      <c r="AJ200" s="44" t="s">
        <v>57</v>
      </c>
      <c r="AK200" s="33">
        <v>2050</v>
      </c>
      <c r="AL200" s="45" t="str">
        <f t="shared" si="34"/>
        <v>*0.89</v>
      </c>
      <c r="AM200" s="43" t="str">
        <f t="shared" si="28"/>
        <v>REZoning_Sol-Win</v>
      </c>
      <c r="AP200" t="s">
        <v>3531</v>
      </c>
      <c r="AQ200" t="s">
        <v>57</v>
      </c>
      <c r="AR200">
        <f t="shared" si="35"/>
        <v>2100</v>
      </c>
      <c r="AS200" t="s">
        <v>937</v>
      </c>
      <c r="AT200" t="s">
        <v>58</v>
      </c>
    </row>
    <row r="201" ht="29" spans="1:46">
      <c r="A201" s="31" t="s">
        <v>83</v>
      </c>
      <c r="C201" t="s">
        <v>3532</v>
      </c>
      <c r="D201" s="5" t="s">
        <v>57</v>
      </c>
      <c r="E201">
        <v>2035</v>
      </c>
      <c r="F201" s="6" t="str">
        <f t="shared" si="29"/>
        <v>*0.95</v>
      </c>
      <c r="H201" t="s">
        <v>3532</v>
      </c>
      <c r="I201" s="5" t="s">
        <v>57</v>
      </c>
      <c r="J201">
        <v>2050</v>
      </c>
      <c r="K201" s="38" t="str">
        <f t="shared" si="30"/>
        <v>*0.92</v>
      </c>
      <c r="P201" s="32" t="s">
        <v>3532</v>
      </c>
      <c r="Q201" s="42" t="s">
        <v>57</v>
      </c>
      <c r="R201" s="32">
        <v>2035</v>
      </c>
      <c r="S201" s="43" t="str">
        <f t="shared" si="31"/>
        <v>*0.95</v>
      </c>
      <c r="U201" s="32" t="s">
        <v>3532</v>
      </c>
      <c r="V201" s="42" t="s">
        <v>57</v>
      </c>
      <c r="W201" s="32">
        <v>2050</v>
      </c>
      <c r="X201" s="43" t="str">
        <f t="shared" si="32"/>
        <v>*0.92</v>
      </c>
      <c r="AC201" s="33" t="s">
        <v>3532</v>
      </c>
      <c r="AD201" s="44" t="s">
        <v>57</v>
      </c>
      <c r="AE201" s="33">
        <v>2035</v>
      </c>
      <c r="AF201" s="45" t="str">
        <f t="shared" si="33"/>
        <v>*0.93</v>
      </c>
      <c r="AG201" s="43" t="str">
        <f t="shared" ref="AG201:AG264" si="36">AG200</f>
        <v>REZoning_Sol-Win</v>
      </c>
      <c r="AI201" s="33" t="s">
        <v>3532</v>
      </c>
      <c r="AJ201" s="44" t="s">
        <v>57</v>
      </c>
      <c r="AK201" s="33">
        <v>2050</v>
      </c>
      <c r="AL201" s="45" t="str">
        <f t="shared" si="34"/>
        <v>*0.89</v>
      </c>
      <c r="AM201" s="43" t="str">
        <f t="shared" ref="AM201:AM264" si="37">AM200</f>
        <v>REZoning_Sol-Win</v>
      </c>
      <c r="AP201" t="s">
        <v>3532</v>
      </c>
      <c r="AQ201" t="s">
        <v>57</v>
      </c>
      <c r="AR201">
        <f t="shared" si="35"/>
        <v>2100</v>
      </c>
      <c r="AS201" t="s">
        <v>937</v>
      </c>
      <c r="AT201" t="s">
        <v>58</v>
      </c>
    </row>
    <row r="202" ht="29" spans="1:46">
      <c r="A202" s="31" t="s">
        <v>83</v>
      </c>
      <c r="C202" t="s">
        <v>3533</v>
      </c>
      <c r="D202" s="5" t="s">
        <v>57</v>
      </c>
      <c r="E202">
        <v>2035</v>
      </c>
      <c r="F202" s="6" t="str">
        <f t="shared" si="29"/>
        <v>*0.95</v>
      </c>
      <c r="H202" t="s">
        <v>3533</v>
      </c>
      <c r="I202" s="5" t="s">
        <v>57</v>
      </c>
      <c r="J202">
        <v>2050</v>
      </c>
      <c r="K202" s="38" t="str">
        <f t="shared" si="30"/>
        <v>*0.92</v>
      </c>
      <c r="P202" s="32" t="s">
        <v>3533</v>
      </c>
      <c r="Q202" s="42" t="s">
        <v>57</v>
      </c>
      <c r="R202" s="32">
        <v>2035</v>
      </c>
      <c r="S202" s="43" t="str">
        <f t="shared" si="31"/>
        <v>*0.95</v>
      </c>
      <c r="U202" s="32" t="s">
        <v>3533</v>
      </c>
      <c r="V202" s="42" t="s">
        <v>57</v>
      </c>
      <c r="W202" s="32">
        <v>2050</v>
      </c>
      <c r="X202" s="43" t="str">
        <f t="shared" si="32"/>
        <v>*0.92</v>
      </c>
      <c r="AC202" s="33" t="s">
        <v>3533</v>
      </c>
      <c r="AD202" s="44" t="s">
        <v>57</v>
      </c>
      <c r="AE202" s="33">
        <v>2035</v>
      </c>
      <c r="AF202" s="45" t="str">
        <f t="shared" si="33"/>
        <v>*0.93</v>
      </c>
      <c r="AG202" s="43" t="str">
        <f t="shared" si="36"/>
        <v>REZoning_Sol-Win</v>
      </c>
      <c r="AI202" s="33" t="s">
        <v>3533</v>
      </c>
      <c r="AJ202" s="44" t="s">
        <v>57</v>
      </c>
      <c r="AK202" s="33">
        <v>2050</v>
      </c>
      <c r="AL202" s="45" t="str">
        <f t="shared" si="34"/>
        <v>*0.89</v>
      </c>
      <c r="AM202" s="43" t="str">
        <f t="shared" si="37"/>
        <v>REZoning_Sol-Win</v>
      </c>
      <c r="AP202" t="s">
        <v>3533</v>
      </c>
      <c r="AQ202" t="s">
        <v>57</v>
      </c>
      <c r="AR202">
        <f t="shared" si="35"/>
        <v>2100</v>
      </c>
      <c r="AS202" t="s">
        <v>937</v>
      </c>
      <c r="AT202" t="s">
        <v>58</v>
      </c>
    </row>
    <row r="203" ht="29" spans="1:46">
      <c r="A203" s="31" t="s">
        <v>83</v>
      </c>
      <c r="C203" t="s">
        <v>3534</v>
      </c>
      <c r="D203" s="5" t="s">
        <v>57</v>
      </c>
      <c r="E203">
        <v>2035</v>
      </c>
      <c r="F203" s="6" t="str">
        <f t="shared" si="29"/>
        <v>*0.95</v>
      </c>
      <c r="H203" t="s">
        <v>3534</v>
      </c>
      <c r="I203" s="5" t="s">
        <v>57</v>
      </c>
      <c r="J203">
        <v>2050</v>
      </c>
      <c r="K203" s="38" t="str">
        <f t="shared" si="30"/>
        <v>*0.92</v>
      </c>
      <c r="P203" s="32" t="s">
        <v>3534</v>
      </c>
      <c r="Q203" s="42" t="s">
        <v>57</v>
      </c>
      <c r="R203" s="32">
        <v>2035</v>
      </c>
      <c r="S203" s="43" t="str">
        <f t="shared" si="31"/>
        <v>*0.95</v>
      </c>
      <c r="U203" s="32" t="s">
        <v>3534</v>
      </c>
      <c r="V203" s="42" t="s">
        <v>57</v>
      </c>
      <c r="W203" s="32">
        <v>2050</v>
      </c>
      <c r="X203" s="43" t="str">
        <f t="shared" si="32"/>
        <v>*0.92</v>
      </c>
      <c r="AC203" s="33" t="s">
        <v>3534</v>
      </c>
      <c r="AD203" s="44" t="s">
        <v>57</v>
      </c>
      <c r="AE203" s="33">
        <v>2035</v>
      </c>
      <c r="AF203" s="45" t="str">
        <f t="shared" si="33"/>
        <v>*0.93</v>
      </c>
      <c r="AG203" s="43" t="str">
        <f t="shared" si="36"/>
        <v>REZoning_Sol-Win</v>
      </c>
      <c r="AI203" s="33" t="s">
        <v>3534</v>
      </c>
      <c r="AJ203" s="44" t="s">
        <v>57</v>
      </c>
      <c r="AK203" s="33">
        <v>2050</v>
      </c>
      <c r="AL203" s="45" t="str">
        <f t="shared" si="34"/>
        <v>*0.89</v>
      </c>
      <c r="AM203" s="43" t="str">
        <f t="shared" si="37"/>
        <v>REZoning_Sol-Win</v>
      </c>
      <c r="AP203" t="s">
        <v>3534</v>
      </c>
      <c r="AQ203" t="s">
        <v>57</v>
      </c>
      <c r="AR203">
        <f t="shared" si="35"/>
        <v>2100</v>
      </c>
      <c r="AS203" t="s">
        <v>937</v>
      </c>
      <c r="AT203" t="s">
        <v>58</v>
      </c>
    </row>
    <row r="204" ht="29" spans="1:46">
      <c r="A204" s="31" t="s">
        <v>83</v>
      </c>
      <c r="C204" t="s">
        <v>3535</v>
      </c>
      <c r="D204" s="5" t="s">
        <v>57</v>
      </c>
      <c r="E204">
        <v>2035</v>
      </c>
      <c r="F204" s="6" t="str">
        <f t="shared" si="29"/>
        <v>*0.95</v>
      </c>
      <c r="H204" t="s">
        <v>3535</v>
      </c>
      <c r="I204" s="5" t="s">
        <v>57</v>
      </c>
      <c r="J204">
        <v>2050</v>
      </c>
      <c r="K204" s="38" t="str">
        <f t="shared" si="30"/>
        <v>*0.92</v>
      </c>
      <c r="P204" s="32" t="s">
        <v>3535</v>
      </c>
      <c r="Q204" s="42" t="s">
        <v>57</v>
      </c>
      <c r="R204" s="32">
        <v>2035</v>
      </c>
      <c r="S204" s="43" t="str">
        <f t="shared" si="31"/>
        <v>*0.95</v>
      </c>
      <c r="U204" s="32" t="s">
        <v>3535</v>
      </c>
      <c r="V204" s="42" t="s">
        <v>57</v>
      </c>
      <c r="W204" s="32">
        <v>2050</v>
      </c>
      <c r="X204" s="43" t="str">
        <f t="shared" si="32"/>
        <v>*0.92</v>
      </c>
      <c r="AC204" s="33" t="s">
        <v>3535</v>
      </c>
      <c r="AD204" s="44" t="s">
        <v>57</v>
      </c>
      <c r="AE204" s="33">
        <v>2035</v>
      </c>
      <c r="AF204" s="45" t="str">
        <f t="shared" si="33"/>
        <v>*0.93</v>
      </c>
      <c r="AG204" s="43" t="str">
        <f t="shared" si="36"/>
        <v>REZoning_Sol-Win</v>
      </c>
      <c r="AI204" s="33" t="s">
        <v>3535</v>
      </c>
      <c r="AJ204" s="44" t="s">
        <v>57</v>
      </c>
      <c r="AK204" s="33">
        <v>2050</v>
      </c>
      <c r="AL204" s="45" t="str">
        <f t="shared" si="34"/>
        <v>*0.89</v>
      </c>
      <c r="AM204" s="43" t="str">
        <f t="shared" si="37"/>
        <v>REZoning_Sol-Win</v>
      </c>
      <c r="AP204" t="s">
        <v>3535</v>
      </c>
      <c r="AQ204" t="s">
        <v>57</v>
      </c>
      <c r="AR204">
        <f t="shared" si="35"/>
        <v>2100</v>
      </c>
      <c r="AS204" t="s">
        <v>937</v>
      </c>
      <c r="AT204" t="s">
        <v>58</v>
      </c>
    </row>
    <row r="205" ht="29" spans="1:46">
      <c r="A205" s="31" t="s">
        <v>83</v>
      </c>
      <c r="C205" t="s">
        <v>3536</v>
      </c>
      <c r="D205" s="5" t="s">
        <v>57</v>
      </c>
      <c r="E205">
        <v>2035</v>
      </c>
      <c r="F205" s="6" t="str">
        <f t="shared" si="29"/>
        <v>*0.95</v>
      </c>
      <c r="H205" t="s">
        <v>3536</v>
      </c>
      <c r="I205" s="5" t="s">
        <v>57</v>
      </c>
      <c r="J205">
        <v>2050</v>
      </c>
      <c r="K205" s="38" t="str">
        <f t="shared" si="30"/>
        <v>*0.92</v>
      </c>
      <c r="P205" s="32" t="s">
        <v>3536</v>
      </c>
      <c r="Q205" s="42" t="s">
        <v>57</v>
      </c>
      <c r="R205" s="32">
        <v>2035</v>
      </c>
      <c r="S205" s="43" t="str">
        <f t="shared" si="31"/>
        <v>*0.95</v>
      </c>
      <c r="U205" s="32" t="s">
        <v>3536</v>
      </c>
      <c r="V205" s="42" t="s">
        <v>57</v>
      </c>
      <c r="W205" s="32">
        <v>2050</v>
      </c>
      <c r="X205" s="43" t="str">
        <f t="shared" si="32"/>
        <v>*0.92</v>
      </c>
      <c r="AC205" s="33" t="s">
        <v>3536</v>
      </c>
      <c r="AD205" s="44" t="s">
        <v>57</v>
      </c>
      <c r="AE205" s="33">
        <v>2035</v>
      </c>
      <c r="AF205" s="45" t="str">
        <f t="shared" si="33"/>
        <v>*0.93</v>
      </c>
      <c r="AG205" s="43" t="str">
        <f t="shared" si="36"/>
        <v>REZoning_Sol-Win</v>
      </c>
      <c r="AI205" s="33" t="s">
        <v>3536</v>
      </c>
      <c r="AJ205" s="44" t="s">
        <v>57</v>
      </c>
      <c r="AK205" s="33">
        <v>2050</v>
      </c>
      <c r="AL205" s="45" t="str">
        <f t="shared" si="34"/>
        <v>*0.89</v>
      </c>
      <c r="AM205" s="43" t="str">
        <f t="shared" si="37"/>
        <v>REZoning_Sol-Win</v>
      </c>
      <c r="AP205" t="s">
        <v>3536</v>
      </c>
      <c r="AQ205" t="s">
        <v>57</v>
      </c>
      <c r="AR205">
        <f t="shared" si="35"/>
        <v>2100</v>
      </c>
      <c r="AS205" t="s">
        <v>937</v>
      </c>
      <c r="AT205" t="s">
        <v>58</v>
      </c>
    </row>
    <row r="206" ht="29" spans="1:46">
      <c r="A206" s="31" t="s">
        <v>83</v>
      </c>
      <c r="C206" t="s">
        <v>3537</v>
      </c>
      <c r="D206" s="5" t="s">
        <v>57</v>
      </c>
      <c r="E206">
        <v>2035</v>
      </c>
      <c r="F206" s="6" t="str">
        <f t="shared" si="29"/>
        <v>*0.95</v>
      </c>
      <c r="H206" t="s">
        <v>3537</v>
      </c>
      <c r="I206" s="5" t="s">
        <v>57</v>
      </c>
      <c r="J206">
        <v>2050</v>
      </c>
      <c r="K206" s="38" t="str">
        <f t="shared" si="30"/>
        <v>*0.92</v>
      </c>
      <c r="P206" s="32" t="s">
        <v>3537</v>
      </c>
      <c r="Q206" s="42" t="s">
        <v>57</v>
      </c>
      <c r="R206" s="32">
        <v>2035</v>
      </c>
      <c r="S206" s="43" t="str">
        <f t="shared" si="31"/>
        <v>*0.95</v>
      </c>
      <c r="U206" s="32" t="s">
        <v>3537</v>
      </c>
      <c r="V206" s="42" t="s">
        <v>57</v>
      </c>
      <c r="W206" s="32">
        <v>2050</v>
      </c>
      <c r="X206" s="43" t="str">
        <f t="shared" si="32"/>
        <v>*0.92</v>
      </c>
      <c r="AC206" s="33" t="s">
        <v>3537</v>
      </c>
      <c r="AD206" s="44" t="s">
        <v>57</v>
      </c>
      <c r="AE206" s="33">
        <v>2035</v>
      </c>
      <c r="AF206" s="45" t="str">
        <f t="shared" si="33"/>
        <v>*0.93</v>
      </c>
      <c r="AG206" s="43" t="str">
        <f t="shared" si="36"/>
        <v>REZoning_Sol-Win</v>
      </c>
      <c r="AI206" s="33" t="s">
        <v>3537</v>
      </c>
      <c r="AJ206" s="44" t="s">
        <v>57</v>
      </c>
      <c r="AK206" s="33">
        <v>2050</v>
      </c>
      <c r="AL206" s="45" t="str">
        <f t="shared" si="34"/>
        <v>*0.89</v>
      </c>
      <c r="AM206" s="43" t="str">
        <f t="shared" si="37"/>
        <v>REZoning_Sol-Win</v>
      </c>
      <c r="AP206" t="s">
        <v>3537</v>
      </c>
      <c r="AQ206" t="s">
        <v>57</v>
      </c>
      <c r="AR206">
        <f t="shared" si="35"/>
        <v>2100</v>
      </c>
      <c r="AS206" t="s">
        <v>937</v>
      </c>
      <c r="AT206" t="s">
        <v>58</v>
      </c>
    </row>
    <row r="207" ht="29" spans="1:46">
      <c r="A207" s="31" t="s">
        <v>83</v>
      </c>
      <c r="C207" t="s">
        <v>3538</v>
      </c>
      <c r="D207" s="5" t="s">
        <v>57</v>
      </c>
      <c r="E207">
        <v>2035</v>
      </c>
      <c r="F207" s="6" t="str">
        <f t="shared" si="29"/>
        <v>*0.95</v>
      </c>
      <c r="H207" t="s">
        <v>3538</v>
      </c>
      <c r="I207" s="5" t="s">
        <v>57</v>
      </c>
      <c r="J207">
        <v>2050</v>
      </c>
      <c r="K207" s="38" t="str">
        <f t="shared" si="30"/>
        <v>*0.92</v>
      </c>
      <c r="P207" s="32" t="s">
        <v>3538</v>
      </c>
      <c r="Q207" s="42" t="s">
        <v>57</v>
      </c>
      <c r="R207" s="32">
        <v>2035</v>
      </c>
      <c r="S207" s="43" t="str">
        <f t="shared" si="31"/>
        <v>*0.95</v>
      </c>
      <c r="U207" s="32" t="s">
        <v>3538</v>
      </c>
      <c r="V207" s="42" t="s">
        <v>57</v>
      </c>
      <c r="W207" s="32">
        <v>2050</v>
      </c>
      <c r="X207" s="43" t="str">
        <f t="shared" si="32"/>
        <v>*0.92</v>
      </c>
      <c r="AC207" s="33" t="s">
        <v>3538</v>
      </c>
      <c r="AD207" s="44" t="s">
        <v>57</v>
      </c>
      <c r="AE207" s="33">
        <v>2035</v>
      </c>
      <c r="AF207" s="45" t="str">
        <f t="shared" si="33"/>
        <v>*0.93</v>
      </c>
      <c r="AG207" s="43" t="str">
        <f t="shared" si="36"/>
        <v>REZoning_Sol-Win</v>
      </c>
      <c r="AI207" s="33" t="s">
        <v>3538</v>
      </c>
      <c r="AJ207" s="44" t="s">
        <v>57</v>
      </c>
      <c r="AK207" s="33">
        <v>2050</v>
      </c>
      <c r="AL207" s="45" t="str">
        <f t="shared" si="34"/>
        <v>*0.89</v>
      </c>
      <c r="AM207" s="43" t="str">
        <f t="shared" si="37"/>
        <v>REZoning_Sol-Win</v>
      </c>
      <c r="AP207" t="s">
        <v>3538</v>
      </c>
      <c r="AQ207" t="s">
        <v>57</v>
      </c>
      <c r="AR207">
        <f t="shared" si="35"/>
        <v>2100</v>
      </c>
      <c r="AS207" t="s">
        <v>937</v>
      </c>
      <c r="AT207" t="s">
        <v>58</v>
      </c>
    </row>
    <row r="208" ht="29" spans="1:46">
      <c r="A208" s="31" t="s">
        <v>83</v>
      </c>
      <c r="C208" t="s">
        <v>3539</v>
      </c>
      <c r="D208" s="5" t="s">
        <v>57</v>
      </c>
      <c r="E208">
        <v>2035</v>
      </c>
      <c r="F208" s="6" t="str">
        <f t="shared" si="29"/>
        <v>*0.95</v>
      </c>
      <c r="H208" t="s">
        <v>3539</v>
      </c>
      <c r="I208" s="5" t="s">
        <v>57</v>
      </c>
      <c r="J208">
        <v>2050</v>
      </c>
      <c r="K208" s="38" t="str">
        <f t="shared" si="30"/>
        <v>*0.92</v>
      </c>
      <c r="P208" s="32" t="s">
        <v>3539</v>
      </c>
      <c r="Q208" s="42" t="s">
        <v>57</v>
      </c>
      <c r="R208" s="32">
        <v>2035</v>
      </c>
      <c r="S208" s="43" t="str">
        <f t="shared" si="31"/>
        <v>*0.95</v>
      </c>
      <c r="U208" s="32" t="s">
        <v>3539</v>
      </c>
      <c r="V208" s="42" t="s">
        <v>57</v>
      </c>
      <c r="W208" s="32">
        <v>2050</v>
      </c>
      <c r="X208" s="43" t="str">
        <f t="shared" si="32"/>
        <v>*0.92</v>
      </c>
      <c r="AC208" s="33" t="s">
        <v>3539</v>
      </c>
      <c r="AD208" s="44" t="s">
        <v>57</v>
      </c>
      <c r="AE208" s="33">
        <v>2035</v>
      </c>
      <c r="AF208" s="45" t="str">
        <f t="shared" si="33"/>
        <v>*0.93</v>
      </c>
      <c r="AG208" s="43" t="str">
        <f t="shared" si="36"/>
        <v>REZoning_Sol-Win</v>
      </c>
      <c r="AI208" s="33" t="s">
        <v>3539</v>
      </c>
      <c r="AJ208" s="44" t="s">
        <v>57</v>
      </c>
      <c r="AK208" s="33">
        <v>2050</v>
      </c>
      <c r="AL208" s="45" t="str">
        <f t="shared" si="34"/>
        <v>*0.89</v>
      </c>
      <c r="AM208" s="43" t="str">
        <f t="shared" si="37"/>
        <v>REZoning_Sol-Win</v>
      </c>
      <c r="AP208" t="s">
        <v>3539</v>
      </c>
      <c r="AQ208" t="s">
        <v>57</v>
      </c>
      <c r="AR208">
        <f t="shared" si="35"/>
        <v>2100</v>
      </c>
      <c r="AS208" t="s">
        <v>937</v>
      </c>
      <c r="AT208" t="s">
        <v>58</v>
      </c>
    </row>
    <row r="209" ht="29" spans="1:46">
      <c r="A209" s="31" t="s">
        <v>83</v>
      </c>
      <c r="C209" t="s">
        <v>3540</v>
      </c>
      <c r="D209" s="5" t="s">
        <v>57</v>
      </c>
      <c r="E209">
        <v>2035</v>
      </c>
      <c r="F209" s="6" t="str">
        <f t="shared" si="29"/>
        <v>*0.95</v>
      </c>
      <c r="H209" t="s">
        <v>3540</v>
      </c>
      <c r="I209" s="5" t="s">
        <v>57</v>
      </c>
      <c r="J209">
        <v>2050</v>
      </c>
      <c r="K209" s="38" t="str">
        <f t="shared" si="30"/>
        <v>*0.92</v>
      </c>
      <c r="P209" s="32" t="s">
        <v>3540</v>
      </c>
      <c r="Q209" s="42" t="s">
        <v>57</v>
      </c>
      <c r="R209" s="32">
        <v>2035</v>
      </c>
      <c r="S209" s="43" t="str">
        <f t="shared" si="31"/>
        <v>*0.95</v>
      </c>
      <c r="U209" s="32" t="s">
        <v>3540</v>
      </c>
      <c r="V209" s="42" t="s">
        <v>57</v>
      </c>
      <c r="W209" s="32">
        <v>2050</v>
      </c>
      <c r="X209" s="43" t="str">
        <f t="shared" si="32"/>
        <v>*0.92</v>
      </c>
      <c r="AC209" s="33" t="s">
        <v>3540</v>
      </c>
      <c r="AD209" s="44" t="s">
        <v>57</v>
      </c>
      <c r="AE209" s="33">
        <v>2035</v>
      </c>
      <c r="AF209" s="45" t="str">
        <f t="shared" si="33"/>
        <v>*0.93</v>
      </c>
      <c r="AG209" s="43" t="str">
        <f t="shared" si="36"/>
        <v>REZoning_Sol-Win</v>
      </c>
      <c r="AI209" s="33" t="s">
        <v>3540</v>
      </c>
      <c r="AJ209" s="44" t="s">
        <v>57</v>
      </c>
      <c r="AK209" s="33">
        <v>2050</v>
      </c>
      <c r="AL209" s="45" t="str">
        <f t="shared" si="34"/>
        <v>*0.89</v>
      </c>
      <c r="AM209" s="43" t="str">
        <f t="shared" si="37"/>
        <v>REZoning_Sol-Win</v>
      </c>
      <c r="AP209" t="s">
        <v>3540</v>
      </c>
      <c r="AQ209" t="s">
        <v>57</v>
      </c>
      <c r="AR209">
        <f t="shared" si="35"/>
        <v>2100</v>
      </c>
      <c r="AS209" t="s">
        <v>937</v>
      </c>
      <c r="AT209" t="s">
        <v>58</v>
      </c>
    </row>
    <row r="210" ht="29" spans="1:46">
      <c r="A210" s="31" t="s">
        <v>83</v>
      </c>
      <c r="C210" t="s">
        <v>3541</v>
      </c>
      <c r="D210" s="5" t="s">
        <v>57</v>
      </c>
      <c r="E210">
        <v>2035</v>
      </c>
      <c r="F210" s="6" t="str">
        <f t="shared" si="29"/>
        <v>*0.95</v>
      </c>
      <c r="H210" t="s">
        <v>3541</v>
      </c>
      <c r="I210" s="5" t="s">
        <v>57</v>
      </c>
      <c r="J210">
        <v>2050</v>
      </c>
      <c r="K210" s="38" t="str">
        <f t="shared" si="30"/>
        <v>*0.92</v>
      </c>
      <c r="P210" s="32" t="s">
        <v>3541</v>
      </c>
      <c r="Q210" s="42" t="s">
        <v>57</v>
      </c>
      <c r="R210" s="32">
        <v>2035</v>
      </c>
      <c r="S210" s="43" t="str">
        <f t="shared" si="31"/>
        <v>*0.95</v>
      </c>
      <c r="U210" s="32" t="s">
        <v>3541</v>
      </c>
      <c r="V210" s="42" t="s">
        <v>57</v>
      </c>
      <c r="W210" s="32">
        <v>2050</v>
      </c>
      <c r="X210" s="43" t="str">
        <f t="shared" si="32"/>
        <v>*0.92</v>
      </c>
      <c r="AC210" s="33" t="s">
        <v>3541</v>
      </c>
      <c r="AD210" s="44" t="s">
        <v>57</v>
      </c>
      <c r="AE210" s="33">
        <v>2035</v>
      </c>
      <c r="AF210" s="45" t="str">
        <f t="shared" si="33"/>
        <v>*0.93</v>
      </c>
      <c r="AG210" s="43" t="str">
        <f t="shared" si="36"/>
        <v>REZoning_Sol-Win</v>
      </c>
      <c r="AI210" s="33" t="s">
        <v>3541</v>
      </c>
      <c r="AJ210" s="44" t="s">
        <v>57</v>
      </c>
      <c r="AK210" s="33">
        <v>2050</v>
      </c>
      <c r="AL210" s="45" t="str">
        <f t="shared" si="34"/>
        <v>*0.89</v>
      </c>
      <c r="AM210" s="43" t="str">
        <f t="shared" si="37"/>
        <v>REZoning_Sol-Win</v>
      </c>
      <c r="AP210" t="s">
        <v>3541</v>
      </c>
      <c r="AQ210" t="s">
        <v>57</v>
      </c>
      <c r="AR210">
        <f t="shared" si="35"/>
        <v>2100</v>
      </c>
      <c r="AS210" t="s">
        <v>937</v>
      </c>
      <c r="AT210" t="s">
        <v>58</v>
      </c>
    </row>
    <row r="211" ht="29" spans="1:46">
      <c r="A211" s="31" t="s">
        <v>83</v>
      </c>
      <c r="C211" t="s">
        <v>3542</v>
      </c>
      <c r="D211" s="5" t="s">
        <v>57</v>
      </c>
      <c r="E211">
        <v>2035</v>
      </c>
      <c r="F211" s="6" t="str">
        <f t="shared" si="29"/>
        <v>*0.95</v>
      </c>
      <c r="H211" t="s">
        <v>3542</v>
      </c>
      <c r="I211" s="5" t="s">
        <v>57</v>
      </c>
      <c r="J211">
        <v>2050</v>
      </c>
      <c r="K211" s="38" t="str">
        <f t="shared" si="30"/>
        <v>*0.92</v>
      </c>
      <c r="P211" s="32" t="s">
        <v>3542</v>
      </c>
      <c r="Q211" s="42" t="s">
        <v>57</v>
      </c>
      <c r="R211" s="32">
        <v>2035</v>
      </c>
      <c r="S211" s="43" t="str">
        <f t="shared" si="31"/>
        <v>*0.95</v>
      </c>
      <c r="U211" s="32" t="s">
        <v>3542</v>
      </c>
      <c r="V211" s="42" t="s">
        <v>57</v>
      </c>
      <c r="W211" s="32">
        <v>2050</v>
      </c>
      <c r="X211" s="43" t="str">
        <f t="shared" si="32"/>
        <v>*0.92</v>
      </c>
      <c r="AC211" s="33" t="s">
        <v>3542</v>
      </c>
      <c r="AD211" s="44" t="s">
        <v>57</v>
      </c>
      <c r="AE211" s="33">
        <v>2035</v>
      </c>
      <c r="AF211" s="45" t="str">
        <f t="shared" si="33"/>
        <v>*0.93</v>
      </c>
      <c r="AG211" s="43" t="str">
        <f t="shared" si="36"/>
        <v>REZoning_Sol-Win</v>
      </c>
      <c r="AI211" s="33" t="s">
        <v>3542</v>
      </c>
      <c r="AJ211" s="44" t="s">
        <v>57</v>
      </c>
      <c r="AK211" s="33">
        <v>2050</v>
      </c>
      <c r="AL211" s="45" t="str">
        <f t="shared" si="34"/>
        <v>*0.89</v>
      </c>
      <c r="AM211" s="43" t="str">
        <f t="shared" si="37"/>
        <v>REZoning_Sol-Win</v>
      </c>
      <c r="AP211" t="s">
        <v>3542</v>
      </c>
      <c r="AQ211" t="s">
        <v>57</v>
      </c>
      <c r="AR211">
        <f t="shared" si="35"/>
        <v>2100</v>
      </c>
      <c r="AS211" t="s">
        <v>937</v>
      </c>
      <c r="AT211" t="s">
        <v>58</v>
      </c>
    </row>
    <row r="212" ht="29" spans="1:46">
      <c r="A212" s="31" t="s">
        <v>83</v>
      </c>
      <c r="C212" t="s">
        <v>3543</v>
      </c>
      <c r="D212" s="5" t="s">
        <v>57</v>
      </c>
      <c r="E212">
        <v>2035</v>
      </c>
      <c r="F212" s="6" t="str">
        <f t="shared" si="29"/>
        <v>*0.95</v>
      </c>
      <c r="H212" t="s">
        <v>3543</v>
      </c>
      <c r="I212" s="5" t="s">
        <v>57</v>
      </c>
      <c r="J212">
        <v>2050</v>
      </c>
      <c r="K212" s="38" t="str">
        <f t="shared" si="30"/>
        <v>*0.92</v>
      </c>
      <c r="P212" s="32" t="s">
        <v>3543</v>
      </c>
      <c r="Q212" s="42" t="s">
        <v>57</v>
      </c>
      <c r="R212" s="32">
        <v>2035</v>
      </c>
      <c r="S212" s="43" t="str">
        <f t="shared" si="31"/>
        <v>*0.95</v>
      </c>
      <c r="U212" s="32" t="s">
        <v>3543</v>
      </c>
      <c r="V212" s="42" t="s">
        <v>57</v>
      </c>
      <c r="W212" s="32">
        <v>2050</v>
      </c>
      <c r="X212" s="43" t="str">
        <f t="shared" si="32"/>
        <v>*0.92</v>
      </c>
      <c r="AC212" s="33" t="s">
        <v>3543</v>
      </c>
      <c r="AD212" s="44" t="s">
        <v>57</v>
      </c>
      <c r="AE212" s="33">
        <v>2035</v>
      </c>
      <c r="AF212" s="45" t="str">
        <f t="shared" si="33"/>
        <v>*0.93</v>
      </c>
      <c r="AG212" s="43" t="str">
        <f t="shared" si="36"/>
        <v>REZoning_Sol-Win</v>
      </c>
      <c r="AI212" s="33" t="s">
        <v>3543</v>
      </c>
      <c r="AJ212" s="44" t="s">
        <v>57</v>
      </c>
      <c r="AK212" s="33">
        <v>2050</v>
      </c>
      <c r="AL212" s="45" t="str">
        <f t="shared" si="34"/>
        <v>*0.89</v>
      </c>
      <c r="AM212" s="43" t="str">
        <f t="shared" si="37"/>
        <v>REZoning_Sol-Win</v>
      </c>
      <c r="AP212" t="s">
        <v>3543</v>
      </c>
      <c r="AQ212" t="s">
        <v>57</v>
      </c>
      <c r="AR212">
        <f t="shared" si="35"/>
        <v>2100</v>
      </c>
      <c r="AS212" t="s">
        <v>937</v>
      </c>
      <c r="AT212" t="s">
        <v>58</v>
      </c>
    </row>
    <row r="213" ht="29" spans="1:46">
      <c r="A213" s="31" t="s">
        <v>83</v>
      </c>
      <c r="C213" t="s">
        <v>3544</v>
      </c>
      <c r="D213" s="5" t="s">
        <v>57</v>
      </c>
      <c r="E213">
        <v>2035</v>
      </c>
      <c r="F213" s="6" t="str">
        <f t="shared" si="29"/>
        <v>*0.95</v>
      </c>
      <c r="H213" t="s">
        <v>3544</v>
      </c>
      <c r="I213" s="5" t="s">
        <v>57</v>
      </c>
      <c r="J213">
        <v>2050</v>
      </c>
      <c r="K213" s="38" t="str">
        <f t="shared" si="30"/>
        <v>*0.92</v>
      </c>
      <c r="P213" s="32" t="s">
        <v>3544</v>
      </c>
      <c r="Q213" s="42" t="s">
        <v>57</v>
      </c>
      <c r="R213" s="32">
        <v>2035</v>
      </c>
      <c r="S213" s="43" t="str">
        <f t="shared" si="31"/>
        <v>*0.95</v>
      </c>
      <c r="U213" s="32" t="s">
        <v>3544</v>
      </c>
      <c r="V213" s="42" t="s">
        <v>57</v>
      </c>
      <c r="W213" s="32">
        <v>2050</v>
      </c>
      <c r="X213" s="43" t="str">
        <f t="shared" si="32"/>
        <v>*0.92</v>
      </c>
      <c r="AC213" s="33" t="s">
        <v>3544</v>
      </c>
      <c r="AD213" s="44" t="s">
        <v>57</v>
      </c>
      <c r="AE213" s="33">
        <v>2035</v>
      </c>
      <c r="AF213" s="45" t="str">
        <f t="shared" si="33"/>
        <v>*0.93</v>
      </c>
      <c r="AG213" s="43" t="str">
        <f t="shared" si="36"/>
        <v>REZoning_Sol-Win</v>
      </c>
      <c r="AI213" s="33" t="s">
        <v>3544</v>
      </c>
      <c r="AJ213" s="44" t="s">
        <v>57</v>
      </c>
      <c r="AK213" s="33">
        <v>2050</v>
      </c>
      <c r="AL213" s="45" t="str">
        <f t="shared" si="34"/>
        <v>*0.89</v>
      </c>
      <c r="AM213" s="43" t="str">
        <f t="shared" si="37"/>
        <v>REZoning_Sol-Win</v>
      </c>
      <c r="AP213" t="s">
        <v>3544</v>
      </c>
      <c r="AQ213" t="s">
        <v>57</v>
      </c>
      <c r="AR213">
        <f t="shared" si="35"/>
        <v>2100</v>
      </c>
      <c r="AS213" t="s">
        <v>937</v>
      </c>
      <c r="AT213" t="s">
        <v>58</v>
      </c>
    </row>
    <row r="214" ht="29" spans="1:46">
      <c r="A214" s="31" t="s">
        <v>83</v>
      </c>
      <c r="C214" t="s">
        <v>3545</v>
      </c>
      <c r="D214" s="5" t="s">
        <v>57</v>
      </c>
      <c r="E214">
        <v>2035</v>
      </c>
      <c r="F214" s="6" t="str">
        <f t="shared" si="29"/>
        <v>*0.95</v>
      </c>
      <c r="H214" t="s">
        <v>3545</v>
      </c>
      <c r="I214" s="5" t="s">
        <v>57</v>
      </c>
      <c r="J214">
        <v>2050</v>
      </c>
      <c r="K214" s="38" t="str">
        <f t="shared" si="30"/>
        <v>*0.92</v>
      </c>
      <c r="P214" s="32" t="s">
        <v>3545</v>
      </c>
      <c r="Q214" s="42" t="s">
        <v>57</v>
      </c>
      <c r="R214" s="32">
        <v>2035</v>
      </c>
      <c r="S214" s="43" t="str">
        <f t="shared" si="31"/>
        <v>*0.95</v>
      </c>
      <c r="U214" s="32" t="s">
        <v>3545</v>
      </c>
      <c r="V214" s="42" t="s">
        <v>57</v>
      </c>
      <c r="W214" s="32">
        <v>2050</v>
      </c>
      <c r="X214" s="43" t="str">
        <f t="shared" si="32"/>
        <v>*0.92</v>
      </c>
      <c r="AC214" s="33" t="s">
        <v>3545</v>
      </c>
      <c r="AD214" s="44" t="s">
        <v>57</v>
      </c>
      <c r="AE214" s="33">
        <v>2035</v>
      </c>
      <c r="AF214" s="45" t="str">
        <f t="shared" si="33"/>
        <v>*0.93</v>
      </c>
      <c r="AG214" s="43" t="str">
        <f t="shared" si="36"/>
        <v>REZoning_Sol-Win</v>
      </c>
      <c r="AI214" s="33" t="s">
        <v>3545</v>
      </c>
      <c r="AJ214" s="44" t="s">
        <v>57</v>
      </c>
      <c r="AK214" s="33">
        <v>2050</v>
      </c>
      <c r="AL214" s="45" t="str">
        <f t="shared" si="34"/>
        <v>*0.89</v>
      </c>
      <c r="AM214" s="43" t="str">
        <f t="shared" si="37"/>
        <v>REZoning_Sol-Win</v>
      </c>
      <c r="AP214" t="s">
        <v>3545</v>
      </c>
      <c r="AQ214" t="s">
        <v>57</v>
      </c>
      <c r="AR214">
        <f t="shared" si="35"/>
        <v>2100</v>
      </c>
      <c r="AS214" t="s">
        <v>937</v>
      </c>
      <c r="AT214" t="s">
        <v>58</v>
      </c>
    </row>
    <row r="215" ht="29" spans="1:46">
      <c r="A215" s="31" t="s">
        <v>83</v>
      </c>
      <c r="C215" t="s">
        <v>3546</v>
      </c>
      <c r="D215" s="5" t="s">
        <v>57</v>
      </c>
      <c r="E215">
        <v>2035</v>
      </c>
      <c r="F215" s="6" t="str">
        <f t="shared" si="29"/>
        <v>*0.95</v>
      </c>
      <c r="H215" t="s">
        <v>3546</v>
      </c>
      <c r="I215" s="5" t="s">
        <v>57</v>
      </c>
      <c r="J215">
        <v>2050</v>
      </c>
      <c r="K215" s="38" t="str">
        <f t="shared" si="30"/>
        <v>*0.92</v>
      </c>
      <c r="P215" s="32" t="s">
        <v>3546</v>
      </c>
      <c r="Q215" s="42" t="s">
        <v>57</v>
      </c>
      <c r="R215" s="32">
        <v>2035</v>
      </c>
      <c r="S215" s="43" t="str">
        <f t="shared" si="31"/>
        <v>*0.95</v>
      </c>
      <c r="U215" s="32" t="s">
        <v>3546</v>
      </c>
      <c r="V215" s="42" t="s">
        <v>57</v>
      </c>
      <c r="W215" s="32">
        <v>2050</v>
      </c>
      <c r="X215" s="43" t="str">
        <f t="shared" si="32"/>
        <v>*0.92</v>
      </c>
      <c r="AC215" s="33" t="s">
        <v>3546</v>
      </c>
      <c r="AD215" s="44" t="s">
        <v>57</v>
      </c>
      <c r="AE215" s="33">
        <v>2035</v>
      </c>
      <c r="AF215" s="45" t="str">
        <f t="shared" si="33"/>
        <v>*0.93</v>
      </c>
      <c r="AG215" s="43" t="str">
        <f t="shared" si="36"/>
        <v>REZoning_Sol-Win</v>
      </c>
      <c r="AI215" s="33" t="s">
        <v>3546</v>
      </c>
      <c r="AJ215" s="44" t="s">
        <v>57</v>
      </c>
      <c r="AK215" s="33">
        <v>2050</v>
      </c>
      <c r="AL215" s="45" t="str">
        <f t="shared" si="34"/>
        <v>*0.89</v>
      </c>
      <c r="AM215" s="43" t="str">
        <f t="shared" si="37"/>
        <v>REZoning_Sol-Win</v>
      </c>
      <c r="AP215" t="s">
        <v>3546</v>
      </c>
      <c r="AQ215" t="s">
        <v>57</v>
      </c>
      <c r="AR215">
        <f t="shared" si="35"/>
        <v>2100</v>
      </c>
      <c r="AS215" t="s">
        <v>937</v>
      </c>
      <c r="AT215" t="s">
        <v>58</v>
      </c>
    </row>
    <row r="216" ht="29" spans="1:46">
      <c r="A216" s="31" t="s">
        <v>83</v>
      </c>
      <c r="C216" t="s">
        <v>3547</v>
      </c>
      <c r="D216" s="5" t="s">
        <v>57</v>
      </c>
      <c r="E216">
        <v>2035</v>
      </c>
      <c r="F216" s="6" t="str">
        <f t="shared" si="29"/>
        <v>*0.95</v>
      </c>
      <c r="H216" t="s">
        <v>3547</v>
      </c>
      <c r="I216" s="5" t="s">
        <v>57</v>
      </c>
      <c r="J216">
        <v>2050</v>
      </c>
      <c r="K216" s="38" t="str">
        <f t="shared" si="30"/>
        <v>*0.92</v>
      </c>
      <c r="P216" s="32" t="s">
        <v>3547</v>
      </c>
      <c r="Q216" s="42" t="s">
        <v>57</v>
      </c>
      <c r="R216" s="32">
        <v>2035</v>
      </c>
      <c r="S216" s="43" t="str">
        <f t="shared" si="31"/>
        <v>*0.95</v>
      </c>
      <c r="U216" s="32" t="s">
        <v>3547</v>
      </c>
      <c r="V216" s="42" t="s">
        <v>57</v>
      </c>
      <c r="W216" s="32">
        <v>2050</v>
      </c>
      <c r="X216" s="43" t="str">
        <f t="shared" si="32"/>
        <v>*0.92</v>
      </c>
      <c r="AC216" s="33" t="s">
        <v>3547</v>
      </c>
      <c r="AD216" s="44" t="s">
        <v>57</v>
      </c>
      <c r="AE216" s="33">
        <v>2035</v>
      </c>
      <c r="AF216" s="45" t="str">
        <f t="shared" si="33"/>
        <v>*0.93</v>
      </c>
      <c r="AG216" s="43" t="str">
        <f t="shared" si="36"/>
        <v>REZoning_Sol-Win</v>
      </c>
      <c r="AI216" s="33" t="s">
        <v>3547</v>
      </c>
      <c r="AJ216" s="44" t="s">
        <v>57</v>
      </c>
      <c r="AK216" s="33">
        <v>2050</v>
      </c>
      <c r="AL216" s="45" t="str">
        <f t="shared" si="34"/>
        <v>*0.89</v>
      </c>
      <c r="AM216" s="43" t="str">
        <f t="shared" si="37"/>
        <v>REZoning_Sol-Win</v>
      </c>
      <c r="AP216" t="s">
        <v>3547</v>
      </c>
      <c r="AQ216" t="s">
        <v>57</v>
      </c>
      <c r="AR216">
        <f t="shared" si="35"/>
        <v>2100</v>
      </c>
      <c r="AS216" t="s">
        <v>937</v>
      </c>
      <c r="AT216" t="s">
        <v>58</v>
      </c>
    </row>
    <row r="217" ht="29" spans="1:46">
      <c r="A217" s="31" t="s">
        <v>83</v>
      </c>
      <c r="C217" t="s">
        <v>3548</v>
      </c>
      <c r="D217" s="5" t="s">
        <v>57</v>
      </c>
      <c r="E217">
        <v>2035</v>
      </c>
      <c r="F217" s="6" t="str">
        <f t="shared" si="29"/>
        <v>*0.95</v>
      </c>
      <c r="H217" t="s">
        <v>3548</v>
      </c>
      <c r="I217" s="5" t="s">
        <v>57</v>
      </c>
      <c r="J217">
        <v>2050</v>
      </c>
      <c r="K217" s="38" t="str">
        <f t="shared" si="30"/>
        <v>*0.92</v>
      </c>
      <c r="P217" s="32" t="s">
        <v>3548</v>
      </c>
      <c r="Q217" s="42" t="s">
        <v>57</v>
      </c>
      <c r="R217" s="32">
        <v>2035</v>
      </c>
      <c r="S217" s="43" t="str">
        <f t="shared" si="31"/>
        <v>*0.95</v>
      </c>
      <c r="U217" s="32" t="s">
        <v>3548</v>
      </c>
      <c r="V217" s="42" t="s">
        <v>57</v>
      </c>
      <c r="W217" s="32">
        <v>2050</v>
      </c>
      <c r="X217" s="43" t="str">
        <f t="shared" si="32"/>
        <v>*0.92</v>
      </c>
      <c r="AC217" s="33" t="s">
        <v>3548</v>
      </c>
      <c r="AD217" s="44" t="s">
        <v>57</v>
      </c>
      <c r="AE217" s="33">
        <v>2035</v>
      </c>
      <c r="AF217" s="45" t="str">
        <f t="shared" si="33"/>
        <v>*0.93</v>
      </c>
      <c r="AG217" s="43" t="str">
        <f t="shared" si="36"/>
        <v>REZoning_Sol-Win</v>
      </c>
      <c r="AI217" s="33" t="s">
        <v>3548</v>
      </c>
      <c r="AJ217" s="44" t="s">
        <v>57</v>
      </c>
      <c r="AK217" s="33">
        <v>2050</v>
      </c>
      <c r="AL217" s="45" t="str">
        <f t="shared" si="34"/>
        <v>*0.89</v>
      </c>
      <c r="AM217" s="43" t="str">
        <f t="shared" si="37"/>
        <v>REZoning_Sol-Win</v>
      </c>
      <c r="AP217" t="s">
        <v>3548</v>
      </c>
      <c r="AQ217" t="s">
        <v>57</v>
      </c>
      <c r="AR217">
        <f t="shared" si="35"/>
        <v>2100</v>
      </c>
      <c r="AS217" t="s">
        <v>937</v>
      </c>
      <c r="AT217" t="s">
        <v>58</v>
      </c>
    </row>
    <row r="218" ht="29" spans="1:46">
      <c r="A218" s="31" t="s">
        <v>83</v>
      </c>
      <c r="C218" t="s">
        <v>3549</v>
      </c>
      <c r="D218" s="5" t="s">
        <v>57</v>
      </c>
      <c r="E218">
        <v>2035</v>
      </c>
      <c r="F218" s="6" t="str">
        <f t="shared" si="29"/>
        <v>*0.95</v>
      </c>
      <c r="H218" t="s">
        <v>3549</v>
      </c>
      <c r="I218" s="5" t="s">
        <v>57</v>
      </c>
      <c r="J218">
        <v>2050</v>
      </c>
      <c r="K218" s="38" t="str">
        <f t="shared" si="30"/>
        <v>*0.92</v>
      </c>
      <c r="P218" s="32" t="s">
        <v>3549</v>
      </c>
      <c r="Q218" s="42" t="s">
        <v>57</v>
      </c>
      <c r="R218" s="32">
        <v>2035</v>
      </c>
      <c r="S218" s="43" t="str">
        <f t="shared" si="31"/>
        <v>*0.95</v>
      </c>
      <c r="U218" s="32" t="s">
        <v>3549</v>
      </c>
      <c r="V218" s="42" t="s">
        <v>57</v>
      </c>
      <c r="W218" s="32">
        <v>2050</v>
      </c>
      <c r="X218" s="43" t="str">
        <f t="shared" si="32"/>
        <v>*0.92</v>
      </c>
      <c r="AC218" s="33" t="s">
        <v>3549</v>
      </c>
      <c r="AD218" s="44" t="s">
        <v>57</v>
      </c>
      <c r="AE218" s="33">
        <v>2035</v>
      </c>
      <c r="AF218" s="45" t="str">
        <f t="shared" si="33"/>
        <v>*0.93</v>
      </c>
      <c r="AG218" s="43" t="str">
        <f t="shared" si="36"/>
        <v>REZoning_Sol-Win</v>
      </c>
      <c r="AI218" s="33" t="s">
        <v>3549</v>
      </c>
      <c r="AJ218" s="44" t="s">
        <v>57</v>
      </c>
      <c r="AK218" s="33">
        <v>2050</v>
      </c>
      <c r="AL218" s="45" t="str">
        <f t="shared" si="34"/>
        <v>*0.89</v>
      </c>
      <c r="AM218" s="43" t="str">
        <f t="shared" si="37"/>
        <v>REZoning_Sol-Win</v>
      </c>
      <c r="AP218" t="s">
        <v>3549</v>
      </c>
      <c r="AQ218" t="s">
        <v>57</v>
      </c>
      <c r="AR218">
        <f t="shared" si="35"/>
        <v>2100</v>
      </c>
      <c r="AS218" t="s">
        <v>937</v>
      </c>
      <c r="AT218" t="s">
        <v>58</v>
      </c>
    </row>
    <row r="219" ht="29" spans="1:46">
      <c r="A219" s="31" t="s">
        <v>83</v>
      </c>
      <c r="C219" t="s">
        <v>3550</v>
      </c>
      <c r="D219" s="5" t="s">
        <v>57</v>
      </c>
      <c r="E219">
        <v>2035</v>
      </c>
      <c r="F219" s="6" t="str">
        <f t="shared" si="29"/>
        <v>*0.95</v>
      </c>
      <c r="H219" t="s">
        <v>3550</v>
      </c>
      <c r="I219" s="5" t="s">
        <v>57</v>
      </c>
      <c r="J219">
        <v>2050</v>
      </c>
      <c r="K219" s="38" t="str">
        <f t="shared" si="30"/>
        <v>*0.92</v>
      </c>
      <c r="P219" s="32" t="s">
        <v>3550</v>
      </c>
      <c r="Q219" s="42" t="s">
        <v>57</v>
      </c>
      <c r="R219" s="32">
        <v>2035</v>
      </c>
      <c r="S219" s="43" t="str">
        <f t="shared" si="31"/>
        <v>*0.95</v>
      </c>
      <c r="U219" s="32" t="s">
        <v>3550</v>
      </c>
      <c r="V219" s="42" t="s">
        <v>57</v>
      </c>
      <c r="W219" s="32">
        <v>2050</v>
      </c>
      <c r="X219" s="43" t="str">
        <f t="shared" si="32"/>
        <v>*0.92</v>
      </c>
      <c r="AC219" s="33" t="s">
        <v>3550</v>
      </c>
      <c r="AD219" s="44" t="s">
        <v>57</v>
      </c>
      <c r="AE219" s="33">
        <v>2035</v>
      </c>
      <c r="AF219" s="45" t="str">
        <f t="shared" si="33"/>
        <v>*0.93</v>
      </c>
      <c r="AG219" s="43" t="str">
        <f t="shared" si="36"/>
        <v>REZoning_Sol-Win</v>
      </c>
      <c r="AI219" s="33" t="s">
        <v>3550</v>
      </c>
      <c r="AJ219" s="44" t="s">
        <v>57</v>
      </c>
      <c r="AK219" s="33">
        <v>2050</v>
      </c>
      <c r="AL219" s="45" t="str">
        <f t="shared" si="34"/>
        <v>*0.89</v>
      </c>
      <c r="AM219" s="43" t="str">
        <f t="shared" si="37"/>
        <v>REZoning_Sol-Win</v>
      </c>
      <c r="AP219" t="s">
        <v>3550</v>
      </c>
      <c r="AQ219" t="s">
        <v>57</v>
      </c>
      <c r="AR219">
        <f t="shared" si="35"/>
        <v>2100</v>
      </c>
      <c r="AS219" t="s">
        <v>937</v>
      </c>
      <c r="AT219" t="s">
        <v>58</v>
      </c>
    </row>
    <row r="220" ht="29" spans="1:46">
      <c r="A220" s="31" t="s">
        <v>83</v>
      </c>
      <c r="C220" t="s">
        <v>3551</v>
      </c>
      <c r="D220" s="5" t="s">
        <v>57</v>
      </c>
      <c r="E220">
        <v>2035</v>
      </c>
      <c r="F220" s="6" t="str">
        <f t="shared" si="29"/>
        <v>*0.95</v>
      </c>
      <c r="H220" t="s">
        <v>3551</v>
      </c>
      <c r="I220" s="5" t="s">
        <v>57</v>
      </c>
      <c r="J220">
        <v>2050</v>
      </c>
      <c r="K220" s="38" t="str">
        <f t="shared" si="30"/>
        <v>*0.92</v>
      </c>
      <c r="P220" s="32" t="s">
        <v>3551</v>
      </c>
      <c r="Q220" s="42" t="s">
        <v>57</v>
      </c>
      <c r="R220" s="32">
        <v>2035</v>
      </c>
      <c r="S220" s="43" t="str">
        <f t="shared" si="31"/>
        <v>*0.95</v>
      </c>
      <c r="U220" s="32" t="s">
        <v>3551</v>
      </c>
      <c r="V220" s="42" t="s">
        <v>57</v>
      </c>
      <c r="W220" s="32">
        <v>2050</v>
      </c>
      <c r="X220" s="43" t="str">
        <f t="shared" si="32"/>
        <v>*0.92</v>
      </c>
      <c r="AC220" s="33" t="s">
        <v>3551</v>
      </c>
      <c r="AD220" s="44" t="s">
        <v>57</v>
      </c>
      <c r="AE220" s="33">
        <v>2035</v>
      </c>
      <c r="AF220" s="45" t="str">
        <f t="shared" si="33"/>
        <v>*0.93</v>
      </c>
      <c r="AG220" s="43" t="str">
        <f t="shared" si="36"/>
        <v>REZoning_Sol-Win</v>
      </c>
      <c r="AI220" s="33" t="s">
        <v>3551</v>
      </c>
      <c r="AJ220" s="44" t="s">
        <v>57</v>
      </c>
      <c r="AK220" s="33">
        <v>2050</v>
      </c>
      <c r="AL220" s="45" t="str">
        <f t="shared" si="34"/>
        <v>*0.89</v>
      </c>
      <c r="AM220" s="43" t="str">
        <f t="shared" si="37"/>
        <v>REZoning_Sol-Win</v>
      </c>
      <c r="AP220" t="s">
        <v>3551</v>
      </c>
      <c r="AQ220" t="s">
        <v>57</v>
      </c>
      <c r="AR220">
        <f t="shared" si="35"/>
        <v>2100</v>
      </c>
      <c r="AS220" t="s">
        <v>937</v>
      </c>
      <c r="AT220" t="s">
        <v>58</v>
      </c>
    </row>
    <row r="221" ht="29" spans="1:46">
      <c r="A221" s="31" t="s">
        <v>83</v>
      </c>
      <c r="C221" t="s">
        <v>3552</v>
      </c>
      <c r="D221" s="5" t="s">
        <v>57</v>
      </c>
      <c r="E221">
        <v>2035</v>
      </c>
      <c r="F221" s="6" t="str">
        <f t="shared" si="29"/>
        <v>*0.95</v>
      </c>
      <c r="H221" t="s">
        <v>3552</v>
      </c>
      <c r="I221" s="5" t="s">
        <v>57</v>
      </c>
      <c r="J221">
        <v>2050</v>
      </c>
      <c r="K221" s="38" t="str">
        <f t="shared" si="30"/>
        <v>*0.92</v>
      </c>
      <c r="P221" s="32" t="s">
        <v>3552</v>
      </c>
      <c r="Q221" s="42" t="s">
        <v>57</v>
      </c>
      <c r="R221" s="32">
        <v>2035</v>
      </c>
      <c r="S221" s="43" t="str">
        <f t="shared" si="31"/>
        <v>*0.95</v>
      </c>
      <c r="U221" s="32" t="s">
        <v>3552</v>
      </c>
      <c r="V221" s="42" t="s">
        <v>57</v>
      </c>
      <c r="W221" s="32">
        <v>2050</v>
      </c>
      <c r="X221" s="43" t="str">
        <f t="shared" si="32"/>
        <v>*0.92</v>
      </c>
      <c r="AC221" s="33" t="s">
        <v>3552</v>
      </c>
      <c r="AD221" s="44" t="s">
        <v>57</v>
      </c>
      <c r="AE221" s="33">
        <v>2035</v>
      </c>
      <c r="AF221" s="45" t="str">
        <f t="shared" si="33"/>
        <v>*0.93</v>
      </c>
      <c r="AG221" s="43" t="str">
        <f t="shared" si="36"/>
        <v>REZoning_Sol-Win</v>
      </c>
      <c r="AI221" s="33" t="s">
        <v>3552</v>
      </c>
      <c r="AJ221" s="44" t="s">
        <v>57</v>
      </c>
      <c r="AK221" s="33">
        <v>2050</v>
      </c>
      <c r="AL221" s="45" t="str">
        <f t="shared" si="34"/>
        <v>*0.89</v>
      </c>
      <c r="AM221" s="43" t="str">
        <f t="shared" si="37"/>
        <v>REZoning_Sol-Win</v>
      </c>
      <c r="AP221" t="s">
        <v>3552</v>
      </c>
      <c r="AQ221" t="s">
        <v>57</v>
      </c>
      <c r="AR221">
        <f t="shared" si="35"/>
        <v>2100</v>
      </c>
      <c r="AS221" t="s">
        <v>937</v>
      </c>
      <c r="AT221" t="s">
        <v>58</v>
      </c>
    </row>
    <row r="222" ht="29" spans="1:46">
      <c r="A222" s="31" t="s">
        <v>83</v>
      </c>
      <c r="C222" t="s">
        <v>3553</v>
      </c>
      <c r="D222" s="5" t="s">
        <v>57</v>
      </c>
      <c r="E222">
        <v>2035</v>
      </c>
      <c r="F222" s="6" t="str">
        <f t="shared" si="29"/>
        <v>*0.95</v>
      </c>
      <c r="H222" t="s">
        <v>3553</v>
      </c>
      <c r="I222" s="5" t="s">
        <v>57</v>
      </c>
      <c r="J222">
        <v>2050</v>
      </c>
      <c r="K222" s="38" t="str">
        <f t="shared" si="30"/>
        <v>*0.92</v>
      </c>
      <c r="P222" s="32" t="s">
        <v>3553</v>
      </c>
      <c r="Q222" s="42" t="s">
        <v>57</v>
      </c>
      <c r="R222" s="32">
        <v>2035</v>
      </c>
      <c r="S222" s="43" t="str">
        <f t="shared" si="31"/>
        <v>*0.95</v>
      </c>
      <c r="U222" s="32" t="s">
        <v>3553</v>
      </c>
      <c r="V222" s="42" t="s">
        <v>57</v>
      </c>
      <c r="W222" s="32">
        <v>2050</v>
      </c>
      <c r="X222" s="43" t="str">
        <f t="shared" si="32"/>
        <v>*0.92</v>
      </c>
      <c r="AC222" s="33" t="s">
        <v>3553</v>
      </c>
      <c r="AD222" s="44" t="s">
        <v>57</v>
      </c>
      <c r="AE222" s="33">
        <v>2035</v>
      </c>
      <c r="AF222" s="45" t="str">
        <f t="shared" si="33"/>
        <v>*0.93</v>
      </c>
      <c r="AG222" s="43" t="str">
        <f t="shared" si="36"/>
        <v>REZoning_Sol-Win</v>
      </c>
      <c r="AI222" s="33" t="s">
        <v>3553</v>
      </c>
      <c r="AJ222" s="44" t="s">
        <v>57</v>
      </c>
      <c r="AK222" s="33">
        <v>2050</v>
      </c>
      <c r="AL222" s="45" t="str">
        <f t="shared" si="34"/>
        <v>*0.89</v>
      </c>
      <c r="AM222" s="43" t="str">
        <f t="shared" si="37"/>
        <v>REZoning_Sol-Win</v>
      </c>
      <c r="AP222" t="s">
        <v>3553</v>
      </c>
      <c r="AQ222" t="s">
        <v>57</v>
      </c>
      <c r="AR222">
        <f t="shared" si="35"/>
        <v>2100</v>
      </c>
      <c r="AS222" t="s">
        <v>937</v>
      </c>
      <c r="AT222" t="s">
        <v>58</v>
      </c>
    </row>
    <row r="223" ht="29" spans="1:46">
      <c r="A223" s="31" t="s">
        <v>83</v>
      </c>
      <c r="C223" t="s">
        <v>3554</v>
      </c>
      <c r="D223" s="5" t="s">
        <v>57</v>
      </c>
      <c r="E223">
        <v>2035</v>
      </c>
      <c r="F223" s="6" t="str">
        <f t="shared" si="29"/>
        <v>*0.95</v>
      </c>
      <c r="H223" t="s">
        <v>3554</v>
      </c>
      <c r="I223" s="5" t="s">
        <v>57</v>
      </c>
      <c r="J223">
        <v>2050</v>
      </c>
      <c r="K223" s="38" t="str">
        <f t="shared" si="30"/>
        <v>*0.92</v>
      </c>
      <c r="P223" s="32" t="s">
        <v>3554</v>
      </c>
      <c r="Q223" s="42" t="s">
        <v>57</v>
      </c>
      <c r="R223" s="32">
        <v>2035</v>
      </c>
      <c r="S223" s="43" t="str">
        <f t="shared" si="31"/>
        <v>*0.95</v>
      </c>
      <c r="U223" s="32" t="s">
        <v>3554</v>
      </c>
      <c r="V223" s="42" t="s">
        <v>57</v>
      </c>
      <c r="W223" s="32">
        <v>2050</v>
      </c>
      <c r="X223" s="43" t="str">
        <f t="shared" si="32"/>
        <v>*0.92</v>
      </c>
      <c r="AC223" s="33" t="s">
        <v>3554</v>
      </c>
      <c r="AD223" s="44" t="s">
        <v>57</v>
      </c>
      <c r="AE223" s="33">
        <v>2035</v>
      </c>
      <c r="AF223" s="45" t="str">
        <f t="shared" si="33"/>
        <v>*0.93</v>
      </c>
      <c r="AG223" s="43" t="str">
        <f t="shared" si="36"/>
        <v>REZoning_Sol-Win</v>
      </c>
      <c r="AI223" s="33" t="s">
        <v>3554</v>
      </c>
      <c r="AJ223" s="44" t="s">
        <v>57</v>
      </c>
      <c r="AK223" s="33">
        <v>2050</v>
      </c>
      <c r="AL223" s="45" t="str">
        <f t="shared" si="34"/>
        <v>*0.89</v>
      </c>
      <c r="AM223" s="43" t="str">
        <f t="shared" si="37"/>
        <v>REZoning_Sol-Win</v>
      </c>
      <c r="AP223" t="s">
        <v>3554</v>
      </c>
      <c r="AQ223" t="s">
        <v>57</v>
      </c>
      <c r="AR223">
        <f t="shared" si="35"/>
        <v>2100</v>
      </c>
      <c r="AS223" t="s">
        <v>937</v>
      </c>
      <c r="AT223" t="s">
        <v>58</v>
      </c>
    </row>
    <row r="224" ht="29" spans="1:46">
      <c r="A224" s="31" t="s">
        <v>83</v>
      </c>
      <c r="C224" t="s">
        <v>3555</v>
      </c>
      <c r="D224" s="5" t="s">
        <v>57</v>
      </c>
      <c r="E224">
        <v>2035</v>
      </c>
      <c r="F224" s="6" t="str">
        <f t="shared" si="29"/>
        <v>*0.95</v>
      </c>
      <c r="H224" t="s">
        <v>3555</v>
      </c>
      <c r="I224" s="5" t="s">
        <v>57</v>
      </c>
      <c r="J224">
        <v>2050</v>
      </c>
      <c r="K224" s="38" t="str">
        <f t="shared" si="30"/>
        <v>*0.92</v>
      </c>
      <c r="P224" s="32" t="s">
        <v>3555</v>
      </c>
      <c r="Q224" s="42" t="s">
        <v>57</v>
      </c>
      <c r="R224" s="32">
        <v>2035</v>
      </c>
      <c r="S224" s="43" t="str">
        <f t="shared" si="31"/>
        <v>*0.95</v>
      </c>
      <c r="U224" s="32" t="s">
        <v>3555</v>
      </c>
      <c r="V224" s="42" t="s">
        <v>57</v>
      </c>
      <c r="W224" s="32">
        <v>2050</v>
      </c>
      <c r="X224" s="43" t="str">
        <f t="shared" si="32"/>
        <v>*0.92</v>
      </c>
      <c r="AC224" s="33" t="s">
        <v>3555</v>
      </c>
      <c r="AD224" s="44" t="s">
        <v>57</v>
      </c>
      <c r="AE224" s="33">
        <v>2035</v>
      </c>
      <c r="AF224" s="45" t="str">
        <f t="shared" si="33"/>
        <v>*0.93</v>
      </c>
      <c r="AG224" s="43" t="str">
        <f t="shared" si="36"/>
        <v>REZoning_Sol-Win</v>
      </c>
      <c r="AI224" s="33" t="s">
        <v>3555</v>
      </c>
      <c r="AJ224" s="44" t="s">
        <v>57</v>
      </c>
      <c r="AK224" s="33">
        <v>2050</v>
      </c>
      <c r="AL224" s="45" t="str">
        <f t="shared" si="34"/>
        <v>*0.89</v>
      </c>
      <c r="AM224" s="43" t="str">
        <f t="shared" si="37"/>
        <v>REZoning_Sol-Win</v>
      </c>
      <c r="AP224" t="s">
        <v>3555</v>
      </c>
      <c r="AQ224" t="s">
        <v>57</v>
      </c>
      <c r="AR224">
        <f t="shared" si="35"/>
        <v>2100</v>
      </c>
      <c r="AS224" t="s">
        <v>937</v>
      </c>
      <c r="AT224" t="s">
        <v>58</v>
      </c>
    </row>
    <row r="225" ht="29" spans="1:46">
      <c r="A225" s="31" t="s">
        <v>83</v>
      </c>
      <c r="C225" t="s">
        <v>3556</v>
      </c>
      <c r="D225" s="5" t="s">
        <v>57</v>
      </c>
      <c r="E225">
        <v>2035</v>
      </c>
      <c r="F225" s="6" t="str">
        <f t="shared" si="29"/>
        <v>*0.95</v>
      </c>
      <c r="H225" t="s">
        <v>3556</v>
      </c>
      <c r="I225" s="5" t="s">
        <v>57</v>
      </c>
      <c r="J225">
        <v>2050</v>
      </c>
      <c r="K225" s="38" t="str">
        <f t="shared" si="30"/>
        <v>*0.92</v>
      </c>
      <c r="P225" s="32" t="s">
        <v>3556</v>
      </c>
      <c r="Q225" s="42" t="s">
        <v>57</v>
      </c>
      <c r="R225" s="32">
        <v>2035</v>
      </c>
      <c r="S225" s="43" t="str">
        <f t="shared" si="31"/>
        <v>*0.95</v>
      </c>
      <c r="U225" s="32" t="s">
        <v>3556</v>
      </c>
      <c r="V225" s="42" t="s">
        <v>57</v>
      </c>
      <c r="W225" s="32">
        <v>2050</v>
      </c>
      <c r="X225" s="43" t="str">
        <f t="shared" si="32"/>
        <v>*0.92</v>
      </c>
      <c r="AC225" s="33" t="s">
        <v>3556</v>
      </c>
      <c r="AD225" s="44" t="s">
        <v>57</v>
      </c>
      <c r="AE225" s="33">
        <v>2035</v>
      </c>
      <c r="AF225" s="45" t="str">
        <f t="shared" si="33"/>
        <v>*0.93</v>
      </c>
      <c r="AG225" s="43" t="str">
        <f t="shared" si="36"/>
        <v>REZoning_Sol-Win</v>
      </c>
      <c r="AI225" s="33" t="s">
        <v>3556</v>
      </c>
      <c r="AJ225" s="44" t="s">
        <v>57</v>
      </c>
      <c r="AK225" s="33">
        <v>2050</v>
      </c>
      <c r="AL225" s="45" t="str">
        <f t="shared" si="34"/>
        <v>*0.89</v>
      </c>
      <c r="AM225" s="43" t="str">
        <f t="shared" si="37"/>
        <v>REZoning_Sol-Win</v>
      </c>
      <c r="AP225" t="s">
        <v>3556</v>
      </c>
      <c r="AQ225" t="s">
        <v>57</v>
      </c>
      <c r="AR225">
        <f t="shared" si="35"/>
        <v>2100</v>
      </c>
      <c r="AS225" t="s">
        <v>937</v>
      </c>
      <c r="AT225" t="s">
        <v>58</v>
      </c>
    </row>
    <row r="226" ht="29" spans="1:46">
      <c r="A226" s="31" t="s">
        <v>83</v>
      </c>
      <c r="C226" t="s">
        <v>3557</v>
      </c>
      <c r="D226" s="5" t="s">
        <v>57</v>
      </c>
      <c r="E226">
        <v>2035</v>
      </c>
      <c r="F226" s="6" t="str">
        <f t="shared" si="29"/>
        <v>*0.95</v>
      </c>
      <c r="H226" t="s">
        <v>3557</v>
      </c>
      <c r="I226" s="5" t="s">
        <v>57</v>
      </c>
      <c r="J226">
        <v>2050</v>
      </c>
      <c r="K226" s="38" t="str">
        <f t="shared" si="30"/>
        <v>*0.92</v>
      </c>
      <c r="P226" s="32" t="s">
        <v>3557</v>
      </c>
      <c r="Q226" s="42" t="s">
        <v>57</v>
      </c>
      <c r="R226" s="32">
        <v>2035</v>
      </c>
      <c r="S226" s="43" t="str">
        <f t="shared" si="31"/>
        <v>*0.95</v>
      </c>
      <c r="U226" s="32" t="s">
        <v>3557</v>
      </c>
      <c r="V226" s="42" t="s">
        <v>57</v>
      </c>
      <c r="W226" s="32">
        <v>2050</v>
      </c>
      <c r="X226" s="43" t="str">
        <f t="shared" si="32"/>
        <v>*0.92</v>
      </c>
      <c r="AC226" s="33" t="s">
        <v>3557</v>
      </c>
      <c r="AD226" s="44" t="s">
        <v>57</v>
      </c>
      <c r="AE226" s="33">
        <v>2035</v>
      </c>
      <c r="AF226" s="45" t="str">
        <f t="shared" si="33"/>
        <v>*0.93</v>
      </c>
      <c r="AG226" s="43" t="str">
        <f t="shared" si="36"/>
        <v>REZoning_Sol-Win</v>
      </c>
      <c r="AI226" s="33" t="s">
        <v>3557</v>
      </c>
      <c r="AJ226" s="44" t="s">
        <v>57</v>
      </c>
      <c r="AK226" s="33">
        <v>2050</v>
      </c>
      <c r="AL226" s="45" t="str">
        <f t="shared" si="34"/>
        <v>*0.89</v>
      </c>
      <c r="AM226" s="43" t="str">
        <f t="shared" si="37"/>
        <v>REZoning_Sol-Win</v>
      </c>
      <c r="AP226" t="s">
        <v>3557</v>
      </c>
      <c r="AQ226" t="s">
        <v>57</v>
      </c>
      <c r="AR226">
        <f t="shared" si="35"/>
        <v>2100</v>
      </c>
      <c r="AS226" t="s">
        <v>937</v>
      </c>
      <c r="AT226" t="s">
        <v>58</v>
      </c>
    </row>
    <row r="227" ht="29" spans="1:46">
      <c r="A227" s="31" t="s">
        <v>83</v>
      </c>
      <c r="C227" t="s">
        <v>3558</v>
      </c>
      <c r="D227" s="5" t="s">
        <v>57</v>
      </c>
      <c r="E227">
        <v>2035</v>
      </c>
      <c r="F227" s="6" t="str">
        <f t="shared" si="29"/>
        <v>*0.95</v>
      </c>
      <c r="H227" t="s">
        <v>3558</v>
      </c>
      <c r="I227" s="5" t="s">
        <v>57</v>
      </c>
      <c r="J227">
        <v>2050</v>
      </c>
      <c r="K227" s="38" t="str">
        <f t="shared" si="30"/>
        <v>*0.92</v>
      </c>
      <c r="P227" s="32" t="s">
        <v>3558</v>
      </c>
      <c r="Q227" s="42" t="s">
        <v>57</v>
      </c>
      <c r="R227" s="32">
        <v>2035</v>
      </c>
      <c r="S227" s="43" t="str">
        <f t="shared" si="31"/>
        <v>*0.95</v>
      </c>
      <c r="U227" s="32" t="s">
        <v>3558</v>
      </c>
      <c r="V227" s="42" t="s">
        <v>57</v>
      </c>
      <c r="W227" s="32">
        <v>2050</v>
      </c>
      <c r="X227" s="43" t="str">
        <f t="shared" si="32"/>
        <v>*0.92</v>
      </c>
      <c r="AC227" s="33" t="s">
        <v>3558</v>
      </c>
      <c r="AD227" s="44" t="s">
        <v>57</v>
      </c>
      <c r="AE227" s="33">
        <v>2035</v>
      </c>
      <c r="AF227" s="45" t="str">
        <f t="shared" si="33"/>
        <v>*0.93</v>
      </c>
      <c r="AG227" s="43" t="str">
        <f t="shared" si="36"/>
        <v>REZoning_Sol-Win</v>
      </c>
      <c r="AI227" s="33" t="s">
        <v>3558</v>
      </c>
      <c r="AJ227" s="44" t="s">
        <v>57</v>
      </c>
      <c r="AK227" s="33">
        <v>2050</v>
      </c>
      <c r="AL227" s="45" t="str">
        <f t="shared" si="34"/>
        <v>*0.89</v>
      </c>
      <c r="AM227" s="43" t="str">
        <f t="shared" si="37"/>
        <v>REZoning_Sol-Win</v>
      </c>
      <c r="AP227" t="s">
        <v>3558</v>
      </c>
      <c r="AQ227" t="s">
        <v>57</v>
      </c>
      <c r="AR227">
        <f t="shared" si="35"/>
        <v>2100</v>
      </c>
      <c r="AS227" t="s">
        <v>937</v>
      </c>
      <c r="AT227" t="s">
        <v>58</v>
      </c>
    </row>
    <row r="228" ht="29" spans="1:46">
      <c r="A228" s="31" t="s">
        <v>83</v>
      </c>
      <c r="C228" t="s">
        <v>3559</v>
      </c>
      <c r="D228" s="5" t="s">
        <v>57</v>
      </c>
      <c r="E228">
        <v>2035</v>
      </c>
      <c r="F228" s="6" t="str">
        <f t="shared" si="29"/>
        <v>*0.95</v>
      </c>
      <c r="H228" t="s">
        <v>3559</v>
      </c>
      <c r="I228" s="5" t="s">
        <v>57</v>
      </c>
      <c r="J228">
        <v>2050</v>
      </c>
      <c r="K228" s="38" t="str">
        <f t="shared" si="30"/>
        <v>*0.92</v>
      </c>
      <c r="P228" s="32" t="s">
        <v>3559</v>
      </c>
      <c r="Q228" s="42" t="s">
        <v>57</v>
      </c>
      <c r="R228" s="32">
        <v>2035</v>
      </c>
      <c r="S228" s="43" t="str">
        <f t="shared" si="31"/>
        <v>*0.95</v>
      </c>
      <c r="U228" s="32" t="s">
        <v>3559</v>
      </c>
      <c r="V228" s="42" t="s">
        <v>57</v>
      </c>
      <c r="W228" s="32">
        <v>2050</v>
      </c>
      <c r="X228" s="43" t="str">
        <f t="shared" si="32"/>
        <v>*0.92</v>
      </c>
      <c r="AC228" s="33" t="s">
        <v>3559</v>
      </c>
      <c r="AD228" s="44" t="s">
        <v>57</v>
      </c>
      <c r="AE228" s="33">
        <v>2035</v>
      </c>
      <c r="AF228" s="45" t="str">
        <f t="shared" si="33"/>
        <v>*0.93</v>
      </c>
      <c r="AG228" s="43" t="str">
        <f t="shared" si="36"/>
        <v>REZoning_Sol-Win</v>
      </c>
      <c r="AI228" s="33" t="s">
        <v>3559</v>
      </c>
      <c r="AJ228" s="44" t="s">
        <v>57</v>
      </c>
      <c r="AK228" s="33">
        <v>2050</v>
      </c>
      <c r="AL228" s="45" t="str">
        <f t="shared" si="34"/>
        <v>*0.89</v>
      </c>
      <c r="AM228" s="43" t="str">
        <f t="shared" si="37"/>
        <v>REZoning_Sol-Win</v>
      </c>
      <c r="AP228" t="s">
        <v>3559</v>
      </c>
      <c r="AQ228" t="s">
        <v>57</v>
      </c>
      <c r="AR228">
        <f t="shared" si="35"/>
        <v>2100</v>
      </c>
      <c r="AS228" t="s">
        <v>937</v>
      </c>
      <c r="AT228" t="s">
        <v>58</v>
      </c>
    </row>
    <row r="229" ht="29" spans="1:46">
      <c r="A229" s="31" t="s">
        <v>169</v>
      </c>
      <c r="C229" t="s">
        <v>3560</v>
      </c>
      <c r="D229" s="5" t="s">
        <v>57</v>
      </c>
      <c r="E229">
        <v>2035</v>
      </c>
      <c r="F229" s="6" t="str">
        <f t="shared" si="29"/>
        <v>*0.94</v>
      </c>
      <c r="H229" t="s">
        <v>3560</v>
      </c>
      <c r="I229" s="5" t="s">
        <v>57</v>
      </c>
      <c r="J229">
        <v>2050</v>
      </c>
      <c r="K229" s="38" t="str">
        <f t="shared" si="30"/>
        <v>*0.92</v>
      </c>
      <c r="P229" s="32" t="s">
        <v>3560</v>
      </c>
      <c r="Q229" s="42" t="s">
        <v>57</v>
      </c>
      <c r="R229" s="32">
        <v>2035</v>
      </c>
      <c r="S229" s="43" t="str">
        <f t="shared" si="31"/>
        <v>*0.93</v>
      </c>
      <c r="U229" s="32" t="s">
        <v>3560</v>
      </c>
      <c r="V229" s="42" t="s">
        <v>57</v>
      </c>
      <c r="W229" s="32">
        <v>2050</v>
      </c>
      <c r="X229" s="43" t="str">
        <f t="shared" si="32"/>
        <v>*0.92</v>
      </c>
      <c r="AC229" s="33" t="s">
        <v>3560</v>
      </c>
      <c r="AD229" s="44" t="s">
        <v>57</v>
      </c>
      <c r="AE229" s="33">
        <v>2035</v>
      </c>
      <c r="AF229" s="45" t="str">
        <f t="shared" si="33"/>
        <v>*0.91</v>
      </c>
      <c r="AG229" s="43" t="str">
        <f t="shared" si="36"/>
        <v>REZoning_Sol-Win</v>
      </c>
      <c r="AI229" s="33" t="s">
        <v>3560</v>
      </c>
      <c r="AJ229" s="44" t="s">
        <v>57</v>
      </c>
      <c r="AK229" s="33">
        <v>2050</v>
      </c>
      <c r="AL229" s="45" t="str">
        <f t="shared" si="34"/>
        <v>*0.87</v>
      </c>
      <c r="AM229" s="43" t="str">
        <f t="shared" si="37"/>
        <v>REZoning_Sol-Win</v>
      </c>
      <c r="AP229" t="s">
        <v>3560</v>
      </c>
      <c r="AQ229" t="s">
        <v>57</v>
      </c>
      <c r="AR229">
        <f t="shared" si="35"/>
        <v>2100</v>
      </c>
      <c r="AS229" t="s">
        <v>874</v>
      </c>
      <c r="AT229" t="s">
        <v>58</v>
      </c>
    </row>
    <row r="230" ht="29" spans="1:46">
      <c r="A230" s="31" t="s">
        <v>169</v>
      </c>
      <c r="C230" t="s">
        <v>3561</v>
      </c>
      <c r="D230" s="5" t="s">
        <v>57</v>
      </c>
      <c r="E230">
        <v>2035</v>
      </c>
      <c r="F230" s="6" t="str">
        <f t="shared" si="29"/>
        <v>*0.94</v>
      </c>
      <c r="H230" t="s">
        <v>3561</v>
      </c>
      <c r="I230" s="5" t="s">
        <v>57</v>
      </c>
      <c r="J230">
        <v>2050</v>
      </c>
      <c r="K230" s="38" t="str">
        <f t="shared" si="30"/>
        <v>*0.92</v>
      </c>
      <c r="P230" s="32" t="s">
        <v>3561</v>
      </c>
      <c r="Q230" s="42" t="s">
        <v>57</v>
      </c>
      <c r="R230" s="32">
        <v>2035</v>
      </c>
      <c r="S230" s="43" t="str">
        <f t="shared" si="31"/>
        <v>*0.93</v>
      </c>
      <c r="U230" s="32" t="s">
        <v>3561</v>
      </c>
      <c r="V230" s="42" t="s">
        <v>57</v>
      </c>
      <c r="W230" s="32">
        <v>2050</v>
      </c>
      <c r="X230" s="43" t="str">
        <f t="shared" si="32"/>
        <v>*0.92</v>
      </c>
      <c r="AC230" s="33" t="s">
        <v>3561</v>
      </c>
      <c r="AD230" s="44" t="s">
        <v>57</v>
      </c>
      <c r="AE230" s="33">
        <v>2035</v>
      </c>
      <c r="AF230" s="45" t="str">
        <f t="shared" si="33"/>
        <v>*0.91</v>
      </c>
      <c r="AG230" s="43" t="str">
        <f t="shared" si="36"/>
        <v>REZoning_Sol-Win</v>
      </c>
      <c r="AI230" s="33" t="s">
        <v>3561</v>
      </c>
      <c r="AJ230" s="44" t="s">
        <v>57</v>
      </c>
      <c r="AK230" s="33">
        <v>2050</v>
      </c>
      <c r="AL230" s="45" t="str">
        <f t="shared" si="34"/>
        <v>*0.87</v>
      </c>
      <c r="AM230" s="43" t="str">
        <f t="shared" si="37"/>
        <v>REZoning_Sol-Win</v>
      </c>
      <c r="AP230" t="s">
        <v>3561</v>
      </c>
      <c r="AQ230" t="s">
        <v>57</v>
      </c>
      <c r="AR230">
        <f t="shared" si="35"/>
        <v>2100</v>
      </c>
      <c r="AS230" t="s">
        <v>874</v>
      </c>
      <c r="AT230" t="s">
        <v>58</v>
      </c>
    </row>
    <row r="231" ht="29" spans="1:46">
      <c r="A231" s="31" t="s">
        <v>169</v>
      </c>
      <c r="C231" t="s">
        <v>3562</v>
      </c>
      <c r="D231" s="5" t="s">
        <v>57</v>
      </c>
      <c r="E231">
        <v>2035</v>
      </c>
      <c r="F231" s="6" t="str">
        <f t="shared" si="29"/>
        <v>*0.94</v>
      </c>
      <c r="H231" t="s">
        <v>3562</v>
      </c>
      <c r="I231" s="5" t="s">
        <v>57</v>
      </c>
      <c r="J231">
        <v>2050</v>
      </c>
      <c r="K231" s="38" t="str">
        <f t="shared" si="30"/>
        <v>*0.92</v>
      </c>
      <c r="P231" s="32" t="s">
        <v>3562</v>
      </c>
      <c r="Q231" s="42" t="s">
        <v>57</v>
      </c>
      <c r="R231" s="32">
        <v>2035</v>
      </c>
      <c r="S231" s="43" t="str">
        <f t="shared" si="31"/>
        <v>*0.93</v>
      </c>
      <c r="U231" s="32" t="s">
        <v>3562</v>
      </c>
      <c r="V231" s="42" t="s">
        <v>57</v>
      </c>
      <c r="W231" s="32">
        <v>2050</v>
      </c>
      <c r="X231" s="43" t="str">
        <f t="shared" si="32"/>
        <v>*0.92</v>
      </c>
      <c r="AC231" s="33" t="s">
        <v>3562</v>
      </c>
      <c r="AD231" s="44" t="s">
        <v>57</v>
      </c>
      <c r="AE231" s="33">
        <v>2035</v>
      </c>
      <c r="AF231" s="45" t="str">
        <f t="shared" si="33"/>
        <v>*0.91</v>
      </c>
      <c r="AG231" s="43" t="str">
        <f t="shared" si="36"/>
        <v>REZoning_Sol-Win</v>
      </c>
      <c r="AI231" s="33" t="s">
        <v>3562</v>
      </c>
      <c r="AJ231" s="44" t="s">
        <v>57</v>
      </c>
      <c r="AK231" s="33">
        <v>2050</v>
      </c>
      <c r="AL231" s="45" t="str">
        <f t="shared" si="34"/>
        <v>*0.87</v>
      </c>
      <c r="AM231" s="43" t="str">
        <f t="shared" si="37"/>
        <v>REZoning_Sol-Win</v>
      </c>
      <c r="AP231" t="s">
        <v>3562</v>
      </c>
      <c r="AQ231" t="s">
        <v>57</v>
      </c>
      <c r="AR231">
        <f t="shared" si="35"/>
        <v>2100</v>
      </c>
      <c r="AS231" t="s">
        <v>874</v>
      </c>
      <c r="AT231" t="s">
        <v>58</v>
      </c>
    </row>
    <row r="232" ht="29" spans="1:46">
      <c r="A232" s="31" t="s">
        <v>169</v>
      </c>
      <c r="C232" t="s">
        <v>3563</v>
      </c>
      <c r="D232" s="5" t="s">
        <v>57</v>
      </c>
      <c r="E232">
        <v>2035</v>
      </c>
      <c r="F232" s="6" t="str">
        <f t="shared" si="29"/>
        <v>*0.94</v>
      </c>
      <c r="H232" t="s">
        <v>3563</v>
      </c>
      <c r="I232" s="5" t="s">
        <v>57</v>
      </c>
      <c r="J232">
        <v>2050</v>
      </c>
      <c r="K232" s="38" t="str">
        <f t="shared" si="30"/>
        <v>*0.92</v>
      </c>
      <c r="P232" s="32" t="s">
        <v>3563</v>
      </c>
      <c r="Q232" s="42" t="s">
        <v>57</v>
      </c>
      <c r="R232" s="32">
        <v>2035</v>
      </c>
      <c r="S232" s="43" t="str">
        <f t="shared" si="31"/>
        <v>*0.93</v>
      </c>
      <c r="U232" s="32" t="s">
        <v>3563</v>
      </c>
      <c r="V232" s="42" t="s">
        <v>57</v>
      </c>
      <c r="W232" s="32">
        <v>2050</v>
      </c>
      <c r="X232" s="43" t="str">
        <f t="shared" si="32"/>
        <v>*0.92</v>
      </c>
      <c r="AC232" s="33" t="s">
        <v>3563</v>
      </c>
      <c r="AD232" s="44" t="s">
        <v>57</v>
      </c>
      <c r="AE232" s="33">
        <v>2035</v>
      </c>
      <c r="AF232" s="45" t="str">
        <f t="shared" si="33"/>
        <v>*0.91</v>
      </c>
      <c r="AG232" s="43" t="str">
        <f t="shared" si="36"/>
        <v>REZoning_Sol-Win</v>
      </c>
      <c r="AI232" s="33" t="s">
        <v>3563</v>
      </c>
      <c r="AJ232" s="44" t="s">
        <v>57</v>
      </c>
      <c r="AK232" s="33">
        <v>2050</v>
      </c>
      <c r="AL232" s="45" t="str">
        <f t="shared" si="34"/>
        <v>*0.87</v>
      </c>
      <c r="AM232" s="43" t="str">
        <f t="shared" si="37"/>
        <v>REZoning_Sol-Win</v>
      </c>
      <c r="AP232" t="s">
        <v>3563</v>
      </c>
      <c r="AQ232" t="s">
        <v>57</v>
      </c>
      <c r="AR232">
        <f t="shared" si="35"/>
        <v>2100</v>
      </c>
      <c r="AS232" t="s">
        <v>874</v>
      </c>
      <c r="AT232" t="s">
        <v>58</v>
      </c>
    </row>
    <row r="233" ht="29" spans="1:46">
      <c r="A233" s="31" t="s">
        <v>169</v>
      </c>
      <c r="C233" t="s">
        <v>3564</v>
      </c>
      <c r="D233" s="5" t="s">
        <v>57</v>
      </c>
      <c r="E233">
        <v>2035</v>
      </c>
      <c r="F233" s="6" t="str">
        <f t="shared" si="29"/>
        <v>*0.94</v>
      </c>
      <c r="H233" t="s">
        <v>3564</v>
      </c>
      <c r="I233" s="5" t="s">
        <v>57</v>
      </c>
      <c r="J233">
        <v>2050</v>
      </c>
      <c r="K233" s="38" t="str">
        <f t="shared" si="30"/>
        <v>*0.92</v>
      </c>
      <c r="P233" s="32" t="s">
        <v>3564</v>
      </c>
      <c r="Q233" s="42" t="s">
        <v>57</v>
      </c>
      <c r="R233" s="32">
        <v>2035</v>
      </c>
      <c r="S233" s="43" t="str">
        <f t="shared" si="31"/>
        <v>*0.93</v>
      </c>
      <c r="U233" s="32" t="s">
        <v>3564</v>
      </c>
      <c r="V233" s="42" t="s">
        <v>57</v>
      </c>
      <c r="W233" s="32">
        <v>2050</v>
      </c>
      <c r="X233" s="43" t="str">
        <f t="shared" si="32"/>
        <v>*0.92</v>
      </c>
      <c r="AC233" s="33" t="s">
        <v>3564</v>
      </c>
      <c r="AD233" s="44" t="s">
        <v>57</v>
      </c>
      <c r="AE233" s="33">
        <v>2035</v>
      </c>
      <c r="AF233" s="45" t="str">
        <f t="shared" si="33"/>
        <v>*0.91</v>
      </c>
      <c r="AG233" s="43" t="str">
        <f t="shared" si="36"/>
        <v>REZoning_Sol-Win</v>
      </c>
      <c r="AI233" s="33" t="s">
        <v>3564</v>
      </c>
      <c r="AJ233" s="44" t="s">
        <v>57</v>
      </c>
      <c r="AK233" s="33">
        <v>2050</v>
      </c>
      <c r="AL233" s="45" t="str">
        <f t="shared" si="34"/>
        <v>*0.87</v>
      </c>
      <c r="AM233" s="43" t="str">
        <f t="shared" si="37"/>
        <v>REZoning_Sol-Win</v>
      </c>
      <c r="AP233" t="s">
        <v>3564</v>
      </c>
      <c r="AQ233" t="s">
        <v>57</v>
      </c>
      <c r="AR233">
        <f t="shared" si="35"/>
        <v>2100</v>
      </c>
      <c r="AS233" t="s">
        <v>874</v>
      </c>
      <c r="AT233" t="s">
        <v>58</v>
      </c>
    </row>
    <row r="234" ht="29" spans="1:46">
      <c r="A234" s="31" t="s">
        <v>169</v>
      </c>
      <c r="C234" t="s">
        <v>3565</v>
      </c>
      <c r="D234" s="5" t="s">
        <v>57</v>
      </c>
      <c r="E234">
        <v>2035</v>
      </c>
      <c r="F234" s="6" t="str">
        <f t="shared" si="29"/>
        <v>*0.94</v>
      </c>
      <c r="H234" t="s">
        <v>3565</v>
      </c>
      <c r="I234" s="5" t="s">
        <v>57</v>
      </c>
      <c r="J234">
        <v>2050</v>
      </c>
      <c r="K234" s="38" t="str">
        <f t="shared" si="30"/>
        <v>*0.92</v>
      </c>
      <c r="P234" s="32" t="s">
        <v>3565</v>
      </c>
      <c r="Q234" s="42" t="s">
        <v>57</v>
      </c>
      <c r="R234" s="32">
        <v>2035</v>
      </c>
      <c r="S234" s="43" t="str">
        <f t="shared" si="31"/>
        <v>*0.93</v>
      </c>
      <c r="U234" s="32" t="s">
        <v>3565</v>
      </c>
      <c r="V234" s="42" t="s">
        <v>57</v>
      </c>
      <c r="W234" s="32">
        <v>2050</v>
      </c>
      <c r="X234" s="43" t="str">
        <f t="shared" si="32"/>
        <v>*0.92</v>
      </c>
      <c r="AC234" s="33" t="s">
        <v>3565</v>
      </c>
      <c r="AD234" s="44" t="s">
        <v>57</v>
      </c>
      <c r="AE234" s="33">
        <v>2035</v>
      </c>
      <c r="AF234" s="45" t="str">
        <f t="shared" si="33"/>
        <v>*0.91</v>
      </c>
      <c r="AG234" s="43" t="str">
        <f t="shared" si="36"/>
        <v>REZoning_Sol-Win</v>
      </c>
      <c r="AI234" s="33" t="s">
        <v>3565</v>
      </c>
      <c r="AJ234" s="44" t="s">
        <v>57</v>
      </c>
      <c r="AK234" s="33">
        <v>2050</v>
      </c>
      <c r="AL234" s="45" t="str">
        <f t="shared" si="34"/>
        <v>*0.87</v>
      </c>
      <c r="AM234" s="43" t="str">
        <f t="shared" si="37"/>
        <v>REZoning_Sol-Win</v>
      </c>
      <c r="AP234" t="s">
        <v>3565</v>
      </c>
      <c r="AQ234" t="s">
        <v>57</v>
      </c>
      <c r="AR234">
        <f t="shared" si="35"/>
        <v>2100</v>
      </c>
      <c r="AS234" t="s">
        <v>874</v>
      </c>
      <c r="AT234" t="s">
        <v>58</v>
      </c>
    </row>
    <row r="235" ht="29" spans="1:46">
      <c r="A235" s="31" t="s">
        <v>169</v>
      </c>
      <c r="C235" t="s">
        <v>3566</v>
      </c>
      <c r="D235" s="5" t="s">
        <v>57</v>
      </c>
      <c r="E235">
        <v>2035</v>
      </c>
      <c r="F235" s="6" t="str">
        <f t="shared" si="29"/>
        <v>*0.94</v>
      </c>
      <c r="H235" t="s">
        <v>3566</v>
      </c>
      <c r="I235" s="5" t="s">
        <v>57</v>
      </c>
      <c r="J235">
        <v>2050</v>
      </c>
      <c r="K235" s="38" t="str">
        <f t="shared" si="30"/>
        <v>*0.92</v>
      </c>
      <c r="P235" s="32" t="s">
        <v>3566</v>
      </c>
      <c r="Q235" s="42" t="s">
        <v>57</v>
      </c>
      <c r="R235" s="32">
        <v>2035</v>
      </c>
      <c r="S235" s="43" t="str">
        <f t="shared" si="31"/>
        <v>*0.93</v>
      </c>
      <c r="U235" s="32" t="s">
        <v>3566</v>
      </c>
      <c r="V235" s="42" t="s">
        <v>57</v>
      </c>
      <c r="W235" s="32">
        <v>2050</v>
      </c>
      <c r="X235" s="43" t="str">
        <f t="shared" si="32"/>
        <v>*0.92</v>
      </c>
      <c r="AC235" s="33" t="s">
        <v>3566</v>
      </c>
      <c r="AD235" s="44" t="s">
        <v>57</v>
      </c>
      <c r="AE235" s="33">
        <v>2035</v>
      </c>
      <c r="AF235" s="45" t="str">
        <f t="shared" si="33"/>
        <v>*0.91</v>
      </c>
      <c r="AG235" s="43" t="str">
        <f t="shared" si="36"/>
        <v>REZoning_Sol-Win</v>
      </c>
      <c r="AI235" s="33" t="s">
        <v>3566</v>
      </c>
      <c r="AJ235" s="44" t="s">
        <v>57</v>
      </c>
      <c r="AK235" s="33">
        <v>2050</v>
      </c>
      <c r="AL235" s="45" t="str">
        <f t="shared" si="34"/>
        <v>*0.87</v>
      </c>
      <c r="AM235" s="43" t="str">
        <f t="shared" si="37"/>
        <v>REZoning_Sol-Win</v>
      </c>
      <c r="AP235" t="s">
        <v>3566</v>
      </c>
      <c r="AQ235" t="s">
        <v>57</v>
      </c>
      <c r="AR235">
        <f t="shared" si="35"/>
        <v>2100</v>
      </c>
      <c r="AS235" t="s">
        <v>874</v>
      </c>
      <c r="AT235" t="s">
        <v>58</v>
      </c>
    </row>
    <row r="236" ht="29" spans="1:46">
      <c r="A236" s="31" t="s">
        <v>169</v>
      </c>
      <c r="C236" t="s">
        <v>3567</v>
      </c>
      <c r="D236" s="5" t="s">
        <v>57</v>
      </c>
      <c r="E236">
        <v>2035</v>
      </c>
      <c r="F236" s="6" t="str">
        <f t="shared" si="29"/>
        <v>*0.94</v>
      </c>
      <c r="H236" t="s">
        <v>3567</v>
      </c>
      <c r="I236" s="5" t="s">
        <v>57</v>
      </c>
      <c r="J236">
        <v>2050</v>
      </c>
      <c r="K236" s="38" t="str">
        <f t="shared" si="30"/>
        <v>*0.92</v>
      </c>
      <c r="P236" s="32" t="s">
        <v>3567</v>
      </c>
      <c r="Q236" s="42" t="s">
        <v>57</v>
      </c>
      <c r="R236" s="32">
        <v>2035</v>
      </c>
      <c r="S236" s="43" t="str">
        <f t="shared" si="31"/>
        <v>*0.93</v>
      </c>
      <c r="U236" s="32" t="s">
        <v>3567</v>
      </c>
      <c r="V236" s="42" t="s">
        <v>57</v>
      </c>
      <c r="W236" s="32">
        <v>2050</v>
      </c>
      <c r="X236" s="43" t="str">
        <f t="shared" si="32"/>
        <v>*0.92</v>
      </c>
      <c r="AC236" s="33" t="s">
        <v>3567</v>
      </c>
      <c r="AD236" s="44" t="s">
        <v>57</v>
      </c>
      <c r="AE236" s="33">
        <v>2035</v>
      </c>
      <c r="AF236" s="45" t="str">
        <f t="shared" si="33"/>
        <v>*0.91</v>
      </c>
      <c r="AG236" s="43" t="str">
        <f t="shared" si="36"/>
        <v>REZoning_Sol-Win</v>
      </c>
      <c r="AI236" s="33" t="s">
        <v>3567</v>
      </c>
      <c r="AJ236" s="44" t="s">
        <v>57</v>
      </c>
      <c r="AK236" s="33">
        <v>2050</v>
      </c>
      <c r="AL236" s="45" t="str">
        <f t="shared" si="34"/>
        <v>*0.87</v>
      </c>
      <c r="AM236" s="43" t="str">
        <f t="shared" si="37"/>
        <v>REZoning_Sol-Win</v>
      </c>
      <c r="AP236" t="s">
        <v>3567</v>
      </c>
      <c r="AQ236" t="s">
        <v>57</v>
      </c>
      <c r="AR236">
        <f t="shared" si="35"/>
        <v>2100</v>
      </c>
      <c r="AS236" t="s">
        <v>874</v>
      </c>
      <c r="AT236" t="s">
        <v>58</v>
      </c>
    </row>
    <row r="237" ht="29" spans="1:46">
      <c r="A237" s="31" t="s">
        <v>169</v>
      </c>
      <c r="C237" t="s">
        <v>3568</v>
      </c>
      <c r="D237" s="5" t="s">
        <v>57</v>
      </c>
      <c r="E237">
        <v>2035</v>
      </c>
      <c r="F237" s="6" t="str">
        <f t="shared" si="29"/>
        <v>*0.94</v>
      </c>
      <c r="H237" t="s">
        <v>3568</v>
      </c>
      <c r="I237" s="5" t="s">
        <v>57</v>
      </c>
      <c r="J237">
        <v>2050</v>
      </c>
      <c r="K237" s="38" t="str">
        <f t="shared" si="30"/>
        <v>*0.92</v>
      </c>
      <c r="P237" s="32" t="s">
        <v>3568</v>
      </c>
      <c r="Q237" s="42" t="s">
        <v>57</v>
      </c>
      <c r="R237" s="32">
        <v>2035</v>
      </c>
      <c r="S237" s="43" t="str">
        <f t="shared" si="31"/>
        <v>*0.93</v>
      </c>
      <c r="U237" s="32" t="s">
        <v>3568</v>
      </c>
      <c r="V237" s="42" t="s">
        <v>57</v>
      </c>
      <c r="W237" s="32">
        <v>2050</v>
      </c>
      <c r="X237" s="43" t="str">
        <f t="shared" si="32"/>
        <v>*0.92</v>
      </c>
      <c r="AC237" s="33" t="s">
        <v>3568</v>
      </c>
      <c r="AD237" s="44" t="s">
        <v>57</v>
      </c>
      <c r="AE237" s="33">
        <v>2035</v>
      </c>
      <c r="AF237" s="45" t="str">
        <f t="shared" si="33"/>
        <v>*0.91</v>
      </c>
      <c r="AG237" s="43" t="str">
        <f t="shared" si="36"/>
        <v>REZoning_Sol-Win</v>
      </c>
      <c r="AI237" s="33" t="s">
        <v>3568</v>
      </c>
      <c r="AJ237" s="44" t="s">
        <v>57</v>
      </c>
      <c r="AK237" s="33">
        <v>2050</v>
      </c>
      <c r="AL237" s="45" t="str">
        <f t="shared" si="34"/>
        <v>*0.87</v>
      </c>
      <c r="AM237" s="43" t="str">
        <f t="shared" si="37"/>
        <v>REZoning_Sol-Win</v>
      </c>
      <c r="AP237" t="s">
        <v>3568</v>
      </c>
      <c r="AQ237" t="s">
        <v>57</v>
      </c>
      <c r="AR237">
        <f t="shared" si="35"/>
        <v>2100</v>
      </c>
      <c r="AS237" t="s">
        <v>874</v>
      </c>
      <c r="AT237" t="s">
        <v>58</v>
      </c>
    </row>
    <row r="238" ht="29" spans="1:46">
      <c r="A238" s="31" t="s">
        <v>169</v>
      </c>
      <c r="C238" t="s">
        <v>3569</v>
      </c>
      <c r="D238" s="5" t="s">
        <v>57</v>
      </c>
      <c r="E238">
        <v>2035</v>
      </c>
      <c r="F238" s="6" t="str">
        <f t="shared" si="29"/>
        <v>*0.94</v>
      </c>
      <c r="H238" t="s">
        <v>3569</v>
      </c>
      <c r="I238" s="5" t="s">
        <v>57</v>
      </c>
      <c r="J238">
        <v>2050</v>
      </c>
      <c r="K238" s="38" t="str">
        <f t="shared" si="30"/>
        <v>*0.92</v>
      </c>
      <c r="P238" s="32" t="s">
        <v>3569</v>
      </c>
      <c r="Q238" s="42" t="s">
        <v>57</v>
      </c>
      <c r="R238" s="32">
        <v>2035</v>
      </c>
      <c r="S238" s="43" t="str">
        <f t="shared" si="31"/>
        <v>*0.93</v>
      </c>
      <c r="U238" s="32" t="s">
        <v>3569</v>
      </c>
      <c r="V238" s="42" t="s">
        <v>57</v>
      </c>
      <c r="W238" s="32">
        <v>2050</v>
      </c>
      <c r="X238" s="43" t="str">
        <f t="shared" si="32"/>
        <v>*0.92</v>
      </c>
      <c r="AC238" s="33" t="s">
        <v>3569</v>
      </c>
      <c r="AD238" s="44" t="s">
        <v>57</v>
      </c>
      <c r="AE238" s="33">
        <v>2035</v>
      </c>
      <c r="AF238" s="45" t="str">
        <f t="shared" si="33"/>
        <v>*0.91</v>
      </c>
      <c r="AG238" s="43" t="str">
        <f t="shared" si="36"/>
        <v>REZoning_Sol-Win</v>
      </c>
      <c r="AI238" s="33" t="s">
        <v>3569</v>
      </c>
      <c r="AJ238" s="44" t="s">
        <v>57</v>
      </c>
      <c r="AK238" s="33">
        <v>2050</v>
      </c>
      <c r="AL238" s="45" t="str">
        <f t="shared" si="34"/>
        <v>*0.87</v>
      </c>
      <c r="AM238" s="43" t="str">
        <f t="shared" si="37"/>
        <v>REZoning_Sol-Win</v>
      </c>
      <c r="AP238" t="s">
        <v>3569</v>
      </c>
      <c r="AQ238" t="s">
        <v>57</v>
      </c>
      <c r="AR238">
        <f t="shared" si="35"/>
        <v>2100</v>
      </c>
      <c r="AS238" t="s">
        <v>874</v>
      </c>
      <c r="AT238" t="s">
        <v>58</v>
      </c>
    </row>
    <row r="239" ht="29" spans="1:46">
      <c r="A239" s="31" t="s">
        <v>169</v>
      </c>
      <c r="C239" t="s">
        <v>3570</v>
      </c>
      <c r="D239" s="5" t="s">
        <v>57</v>
      </c>
      <c r="E239">
        <v>2035</v>
      </c>
      <c r="F239" s="6" t="str">
        <f t="shared" si="29"/>
        <v>*0.94</v>
      </c>
      <c r="H239" t="s">
        <v>3570</v>
      </c>
      <c r="I239" s="5" t="s">
        <v>57</v>
      </c>
      <c r="J239">
        <v>2050</v>
      </c>
      <c r="K239" s="38" t="str">
        <f t="shared" si="30"/>
        <v>*0.92</v>
      </c>
      <c r="P239" s="32" t="s">
        <v>3570</v>
      </c>
      <c r="Q239" s="42" t="s">
        <v>57</v>
      </c>
      <c r="R239" s="32">
        <v>2035</v>
      </c>
      <c r="S239" s="43" t="str">
        <f t="shared" si="31"/>
        <v>*0.93</v>
      </c>
      <c r="U239" s="32" t="s">
        <v>3570</v>
      </c>
      <c r="V239" s="42" t="s">
        <v>57</v>
      </c>
      <c r="W239" s="32">
        <v>2050</v>
      </c>
      <c r="X239" s="43" t="str">
        <f t="shared" si="32"/>
        <v>*0.92</v>
      </c>
      <c r="AC239" s="33" t="s">
        <v>3570</v>
      </c>
      <c r="AD239" s="44" t="s">
        <v>57</v>
      </c>
      <c r="AE239" s="33">
        <v>2035</v>
      </c>
      <c r="AF239" s="45" t="str">
        <f t="shared" si="33"/>
        <v>*0.91</v>
      </c>
      <c r="AG239" s="43" t="str">
        <f t="shared" si="36"/>
        <v>REZoning_Sol-Win</v>
      </c>
      <c r="AI239" s="33" t="s">
        <v>3570</v>
      </c>
      <c r="AJ239" s="44" t="s">
        <v>57</v>
      </c>
      <c r="AK239" s="33">
        <v>2050</v>
      </c>
      <c r="AL239" s="45" t="str">
        <f t="shared" si="34"/>
        <v>*0.87</v>
      </c>
      <c r="AM239" s="43" t="str">
        <f t="shared" si="37"/>
        <v>REZoning_Sol-Win</v>
      </c>
      <c r="AP239" t="s">
        <v>3570</v>
      </c>
      <c r="AQ239" t="s">
        <v>57</v>
      </c>
      <c r="AR239">
        <f t="shared" si="35"/>
        <v>2100</v>
      </c>
      <c r="AS239" t="s">
        <v>874</v>
      </c>
      <c r="AT239" t="s">
        <v>58</v>
      </c>
    </row>
    <row r="240" ht="29" spans="1:46">
      <c r="A240" s="31" t="s">
        <v>169</v>
      </c>
      <c r="C240" t="s">
        <v>3571</v>
      </c>
      <c r="D240" s="5" t="s">
        <v>57</v>
      </c>
      <c r="E240">
        <v>2035</v>
      </c>
      <c r="F240" s="6" t="str">
        <f t="shared" si="29"/>
        <v>*0.94</v>
      </c>
      <c r="H240" t="s">
        <v>3571</v>
      </c>
      <c r="I240" s="5" t="s">
        <v>57</v>
      </c>
      <c r="J240">
        <v>2050</v>
      </c>
      <c r="K240" s="38" t="str">
        <f t="shared" si="30"/>
        <v>*0.92</v>
      </c>
      <c r="P240" s="32" t="s">
        <v>3571</v>
      </c>
      <c r="Q240" s="42" t="s">
        <v>57</v>
      </c>
      <c r="R240" s="32">
        <v>2035</v>
      </c>
      <c r="S240" s="43" t="str">
        <f t="shared" si="31"/>
        <v>*0.93</v>
      </c>
      <c r="U240" s="32" t="s">
        <v>3571</v>
      </c>
      <c r="V240" s="42" t="s">
        <v>57</v>
      </c>
      <c r="W240" s="32">
        <v>2050</v>
      </c>
      <c r="X240" s="43" t="str">
        <f t="shared" si="32"/>
        <v>*0.92</v>
      </c>
      <c r="AC240" s="33" t="s">
        <v>3571</v>
      </c>
      <c r="AD240" s="44" t="s">
        <v>57</v>
      </c>
      <c r="AE240" s="33">
        <v>2035</v>
      </c>
      <c r="AF240" s="45" t="str">
        <f t="shared" si="33"/>
        <v>*0.91</v>
      </c>
      <c r="AG240" s="43" t="str">
        <f t="shared" si="36"/>
        <v>REZoning_Sol-Win</v>
      </c>
      <c r="AI240" s="33" t="s">
        <v>3571</v>
      </c>
      <c r="AJ240" s="44" t="s">
        <v>57</v>
      </c>
      <c r="AK240" s="33">
        <v>2050</v>
      </c>
      <c r="AL240" s="45" t="str">
        <f t="shared" si="34"/>
        <v>*0.87</v>
      </c>
      <c r="AM240" s="43" t="str">
        <f t="shared" si="37"/>
        <v>REZoning_Sol-Win</v>
      </c>
      <c r="AP240" t="s">
        <v>3571</v>
      </c>
      <c r="AQ240" t="s">
        <v>57</v>
      </c>
      <c r="AR240">
        <f t="shared" si="35"/>
        <v>2100</v>
      </c>
      <c r="AS240" t="s">
        <v>874</v>
      </c>
      <c r="AT240" t="s">
        <v>58</v>
      </c>
    </row>
    <row r="241" ht="29" spans="1:46">
      <c r="A241" s="31" t="s">
        <v>169</v>
      </c>
      <c r="C241" t="s">
        <v>3572</v>
      </c>
      <c r="D241" s="5" t="s">
        <v>57</v>
      </c>
      <c r="E241">
        <v>2035</v>
      </c>
      <c r="F241" s="6" t="str">
        <f t="shared" si="29"/>
        <v>*0.94</v>
      </c>
      <c r="H241" t="s">
        <v>3572</v>
      </c>
      <c r="I241" s="5" t="s">
        <v>57</v>
      </c>
      <c r="J241">
        <v>2050</v>
      </c>
      <c r="K241" s="38" t="str">
        <f t="shared" si="30"/>
        <v>*0.92</v>
      </c>
      <c r="P241" s="32" t="s">
        <v>3572</v>
      </c>
      <c r="Q241" s="42" t="s">
        <v>57</v>
      </c>
      <c r="R241" s="32">
        <v>2035</v>
      </c>
      <c r="S241" s="43" t="str">
        <f t="shared" si="31"/>
        <v>*0.93</v>
      </c>
      <c r="U241" s="32" t="s">
        <v>3572</v>
      </c>
      <c r="V241" s="42" t="s">
        <v>57</v>
      </c>
      <c r="W241" s="32">
        <v>2050</v>
      </c>
      <c r="X241" s="43" t="str">
        <f t="shared" si="32"/>
        <v>*0.92</v>
      </c>
      <c r="AC241" s="33" t="s">
        <v>3572</v>
      </c>
      <c r="AD241" s="44" t="s">
        <v>57</v>
      </c>
      <c r="AE241" s="33">
        <v>2035</v>
      </c>
      <c r="AF241" s="45" t="str">
        <f t="shared" si="33"/>
        <v>*0.91</v>
      </c>
      <c r="AG241" s="43" t="str">
        <f t="shared" si="36"/>
        <v>REZoning_Sol-Win</v>
      </c>
      <c r="AI241" s="33" t="s">
        <v>3572</v>
      </c>
      <c r="AJ241" s="44" t="s">
        <v>57</v>
      </c>
      <c r="AK241" s="33">
        <v>2050</v>
      </c>
      <c r="AL241" s="45" t="str">
        <f t="shared" si="34"/>
        <v>*0.87</v>
      </c>
      <c r="AM241" s="43" t="str">
        <f t="shared" si="37"/>
        <v>REZoning_Sol-Win</v>
      </c>
      <c r="AP241" t="s">
        <v>3572</v>
      </c>
      <c r="AQ241" t="s">
        <v>57</v>
      </c>
      <c r="AR241">
        <f t="shared" si="35"/>
        <v>2100</v>
      </c>
      <c r="AS241" t="s">
        <v>874</v>
      </c>
      <c r="AT241" t="s">
        <v>58</v>
      </c>
    </row>
    <row r="242" ht="29" spans="1:46">
      <c r="A242" s="31" t="s">
        <v>169</v>
      </c>
      <c r="C242" t="s">
        <v>3573</v>
      </c>
      <c r="D242" s="5" t="s">
        <v>57</v>
      </c>
      <c r="E242">
        <v>2035</v>
      </c>
      <c r="F242" s="6" t="str">
        <f t="shared" si="29"/>
        <v>*0.94</v>
      </c>
      <c r="H242" t="s">
        <v>3573</v>
      </c>
      <c r="I242" s="5" t="s">
        <v>57</v>
      </c>
      <c r="J242">
        <v>2050</v>
      </c>
      <c r="K242" s="38" t="str">
        <f t="shared" si="30"/>
        <v>*0.92</v>
      </c>
      <c r="P242" s="32" t="s">
        <v>3573</v>
      </c>
      <c r="Q242" s="42" t="s">
        <v>57</v>
      </c>
      <c r="R242" s="32">
        <v>2035</v>
      </c>
      <c r="S242" s="43" t="str">
        <f t="shared" si="31"/>
        <v>*0.93</v>
      </c>
      <c r="U242" s="32" t="s">
        <v>3573</v>
      </c>
      <c r="V242" s="42" t="s">
        <v>57</v>
      </c>
      <c r="W242" s="32">
        <v>2050</v>
      </c>
      <c r="X242" s="43" t="str">
        <f t="shared" si="32"/>
        <v>*0.92</v>
      </c>
      <c r="AC242" s="33" t="s">
        <v>3573</v>
      </c>
      <c r="AD242" s="44" t="s">
        <v>57</v>
      </c>
      <c r="AE242" s="33">
        <v>2035</v>
      </c>
      <c r="AF242" s="45" t="str">
        <f t="shared" si="33"/>
        <v>*0.91</v>
      </c>
      <c r="AG242" s="43" t="str">
        <f t="shared" si="36"/>
        <v>REZoning_Sol-Win</v>
      </c>
      <c r="AI242" s="33" t="s">
        <v>3573</v>
      </c>
      <c r="AJ242" s="44" t="s">
        <v>57</v>
      </c>
      <c r="AK242" s="33">
        <v>2050</v>
      </c>
      <c r="AL242" s="45" t="str">
        <f t="shared" si="34"/>
        <v>*0.87</v>
      </c>
      <c r="AM242" s="43" t="str">
        <f t="shared" si="37"/>
        <v>REZoning_Sol-Win</v>
      </c>
      <c r="AP242" t="s">
        <v>3573</v>
      </c>
      <c r="AQ242" t="s">
        <v>57</v>
      </c>
      <c r="AR242">
        <f t="shared" si="35"/>
        <v>2100</v>
      </c>
      <c r="AS242" t="s">
        <v>874</v>
      </c>
      <c r="AT242" t="s">
        <v>58</v>
      </c>
    </row>
    <row r="243" ht="29" spans="1:46">
      <c r="A243" s="31" t="s">
        <v>169</v>
      </c>
      <c r="C243" t="s">
        <v>3574</v>
      </c>
      <c r="D243" s="5" t="s">
        <v>57</v>
      </c>
      <c r="E243">
        <v>2035</v>
      </c>
      <c r="F243" s="6" t="str">
        <f t="shared" si="29"/>
        <v>*0.94</v>
      </c>
      <c r="H243" t="s">
        <v>3574</v>
      </c>
      <c r="I243" s="5" t="s">
        <v>57</v>
      </c>
      <c r="J243">
        <v>2050</v>
      </c>
      <c r="K243" s="38" t="str">
        <f t="shared" si="30"/>
        <v>*0.92</v>
      </c>
      <c r="P243" s="32" t="s">
        <v>3574</v>
      </c>
      <c r="Q243" s="42" t="s">
        <v>57</v>
      </c>
      <c r="R243" s="32">
        <v>2035</v>
      </c>
      <c r="S243" s="43" t="str">
        <f t="shared" si="31"/>
        <v>*0.93</v>
      </c>
      <c r="U243" s="32" t="s">
        <v>3574</v>
      </c>
      <c r="V243" s="42" t="s">
        <v>57</v>
      </c>
      <c r="W243" s="32">
        <v>2050</v>
      </c>
      <c r="X243" s="43" t="str">
        <f t="shared" si="32"/>
        <v>*0.92</v>
      </c>
      <c r="AC243" s="33" t="s">
        <v>3574</v>
      </c>
      <c r="AD243" s="44" t="s">
        <v>57</v>
      </c>
      <c r="AE243" s="33">
        <v>2035</v>
      </c>
      <c r="AF243" s="45" t="str">
        <f t="shared" si="33"/>
        <v>*0.91</v>
      </c>
      <c r="AG243" s="43" t="str">
        <f t="shared" si="36"/>
        <v>REZoning_Sol-Win</v>
      </c>
      <c r="AI243" s="33" t="s">
        <v>3574</v>
      </c>
      <c r="AJ243" s="44" t="s">
        <v>57</v>
      </c>
      <c r="AK243" s="33">
        <v>2050</v>
      </c>
      <c r="AL243" s="45" t="str">
        <f t="shared" si="34"/>
        <v>*0.87</v>
      </c>
      <c r="AM243" s="43" t="str">
        <f t="shared" si="37"/>
        <v>REZoning_Sol-Win</v>
      </c>
      <c r="AP243" t="s">
        <v>3574</v>
      </c>
      <c r="AQ243" t="s">
        <v>57</v>
      </c>
      <c r="AR243">
        <f t="shared" si="35"/>
        <v>2100</v>
      </c>
      <c r="AS243" t="s">
        <v>874</v>
      </c>
      <c r="AT243" t="s">
        <v>58</v>
      </c>
    </row>
    <row r="244" ht="29" spans="1:46">
      <c r="A244" s="31" t="s">
        <v>169</v>
      </c>
      <c r="C244" t="s">
        <v>3575</v>
      </c>
      <c r="D244" s="5" t="s">
        <v>57</v>
      </c>
      <c r="E244">
        <v>2035</v>
      </c>
      <c r="F244" s="6" t="str">
        <f t="shared" si="29"/>
        <v>*0.94</v>
      </c>
      <c r="H244" t="s">
        <v>3575</v>
      </c>
      <c r="I244" s="5" t="s">
        <v>57</v>
      </c>
      <c r="J244">
        <v>2050</v>
      </c>
      <c r="K244" s="38" t="str">
        <f t="shared" si="30"/>
        <v>*0.92</v>
      </c>
      <c r="P244" s="32" t="s">
        <v>3575</v>
      </c>
      <c r="Q244" s="42" t="s">
        <v>57</v>
      </c>
      <c r="R244" s="32">
        <v>2035</v>
      </c>
      <c r="S244" s="43" t="str">
        <f t="shared" si="31"/>
        <v>*0.93</v>
      </c>
      <c r="U244" s="32" t="s">
        <v>3575</v>
      </c>
      <c r="V244" s="42" t="s">
        <v>57</v>
      </c>
      <c r="W244" s="32">
        <v>2050</v>
      </c>
      <c r="X244" s="43" t="str">
        <f t="shared" si="32"/>
        <v>*0.92</v>
      </c>
      <c r="AC244" s="33" t="s">
        <v>3575</v>
      </c>
      <c r="AD244" s="44" t="s">
        <v>57</v>
      </c>
      <c r="AE244" s="33">
        <v>2035</v>
      </c>
      <c r="AF244" s="45" t="str">
        <f t="shared" si="33"/>
        <v>*0.91</v>
      </c>
      <c r="AG244" s="43" t="str">
        <f t="shared" si="36"/>
        <v>REZoning_Sol-Win</v>
      </c>
      <c r="AI244" s="33" t="s">
        <v>3575</v>
      </c>
      <c r="AJ244" s="44" t="s">
        <v>57</v>
      </c>
      <c r="AK244" s="33">
        <v>2050</v>
      </c>
      <c r="AL244" s="45" t="str">
        <f t="shared" si="34"/>
        <v>*0.87</v>
      </c>
      <c r="AM244" s="43" t="str">
        <f t="shared" si="37"/>
        <v>REZoning_Sol-Win</v>
      </c>
      <c r="AP244" t="s">
        <v>3575</v>
      </c>
      <c r="AQ244" t="s">
        <v>57</v>
      </c>
      <c r="AR244">
        <f t="shared" si="35"/>
        <v>2100</v>
      </c>
      <c r="AS244" t="s">
        <v>874</v>
      </c>
      <c r="AT244" t="s">
        <v>58</v>
      </c>
    </row>
    <row r="245" ht="29" spans="1:46">
      <c r="A245" s="31" t="s">
        <v>169</v>
      </c>
      <c r="C245" t="s">
        <v>3576</v>
      </c>
      <c r="D245" s="5" t="s">
        <v>57</v>
      </c>
      <c r="E245">
        <v>2035</v>
      </c>
      <c r="F245" s="6" t="str">
        <f t="shared" si="29"/>
        <v>*0.94</v>
      </c>
      <c r="H245" t="s">
        <v>3576</v>
      </c>
      <c r="I245" s="5" t="s">
        <v>57</v>
      </c>
      <c r="J245">
        <v>2050</v>
      </c>
      <c r="K245" s="38" t="str">
        <f t="shared" si="30"/>
        <v>*0.92</v>
      </c>
      <c r="P245" s="32" t="s">
        <v>3576</v>
      </c>
      <c r="Q245" s="42" t="s">
        <v>57</v>
      </c>
      <c r="R245" s="32">
        <v>2035</v>
      </c>
      <c r="S245" s="43" t="str">
        <f t="shared" si="31"/>
        <v>*0.93</v>
      </c>
      <c r="U245" s="32" t="s">
        <v>3576</v>
      </c>
      <c r="V245" s="42" t="s">
        <v>57</v>
      </c>
      <c r="W245" s="32">
        <v>2050</v>
      </c>
      <c r="X245" s="43" t="str">
        <f t="shared" si="32"/>
        <v>*0.92</v>
      </c>
      <c r="AC245" s="33" t="s">
        <v>3576</v>
      </c>
      <c r="AD245" s="44" t="s">
        <v>57</v>
      </c>
      <c r="AE245" s="33">
        <v>2035</v>
      </c>
      <c r="AF245" s="45" t="str">
        <f t="shared" si="33"/>
        <v>*0.91</v>
      </c>
      <c r="AG245" s="43" t="str">
        <f t="shared" si="36"/>
        <v>REZoning_Sol-Win</v>
      </c>
      <c r="AI245" s="33" t="s">
        <v>3576</v>
      </c>
      <c r="AJ245" s="44" t="s">
        <v>57</v>
      </c>
      <c r="AK245" s="33">
        <v>2050</v>
      </c>
      <c r="AL245" s="45" t="str">
        <f t="shared" si="34"/>
        <v>*0.87</v>
      </c>
      <c r="AM245" s="43" t="str">
        <f t="shared" si="37"/>
        <v>REZoning_Sol-Win</v>
      </c>
      <c r="AP245" t="s">
        <v>3576</v>
      </c>
      <c r="AQ245" t="s">
        <v>57</v>
      </c>
      <c r="AR245">
        <f t="shared" si="35"/>
        <v>2100</v>
      </c>
      <c r="AS245" t="s">
        <v>874</v>
      </c>
      <c r="AT245" t="s">
        <v>58</v>
      </c>
    </row>
    <row r="246" ht="29" spans="1:46">
      <c r="A246" s="31" t="s">
        <v>169</v>
      </c>
      <c r="C246" t="s">
        <v>3577</v>
      </c>
      <c r="D246" s="5" t="s">
        <v>57</v>
      </c>
      <c r="E246">
        <v>2035</v>
      </c>
      <c r="F246" s="6" t="str">
        <f t="shared" si="29"/>
        <v>*0.94</v>
      </c>
      <c r="H246" t="s">
        <v>3577</v>
      </c>
      <c r="I246" s="5" t="s">
        <v>57</v>
      </c>
      <c r="J246">
        <v>2050</v>
      </c>
      <c r="K246" s="38" t="str">
        <f t="shared" si="30"/>
        <v>*0.92</v>
      </c>
      <c r="P246" s="32" t="s">
        <v>3577</v>
      </c>
      <c r="Q246" s="42" t="s">
        <v>57</v>
      </c>
      <c r="R246" s="32">
        <v>2035</v>
      </c>
      <c r="S246" s="43" t="str">
        <f t="shared" si="31"/>
        <v>*0.93</v>
      </c>
      <c r="U246" s="32" t="s">
        <v>3577</v>
      </c>
      <c r="V246" s="42" t="s">
        <v>57</v>
      </c>
      <c r="W246" s="32">
        <v>2050</v>
      </c>
      <c r="X246" s="43" t="str">
        <f t="shared" si="32"/>
        <v>*0.92</v>
      </c>
      <c r="AC246" s="33" t="s">
        <v>3577</v>
      </c>
      <c r="AD246" s="44" t="s">
        <v>57</v>
      </c>
      <c r="AE246" s="33">
        <v>2035</v>
      </c>
      <c r="AF246" s="45" t="str">
        <f t="shared" si="33"/>
        <v>*0.91</v>
      </c>
      <c r="AG246" s="43" t="str">
        <f t="shared" si="36"/>
        <v>REZoning_Sol-Win</v>
      </c>
      <c r="AI246" s="33" t="s">
        <v>3577</v>
      </c>
      <c r="AJ246" s="44" t="s">
        <v>57</v>
      </c>
      <c r="AK246" s="33">
        <v>2050</v>
      </c>
      <c r="AL246" s="45" t="str">
        <f t="shared" si="34"/>
        <v>*0.87</v>
      </c>
      <c r="AM246" s="43" t="str">
        <f t="shared" si="37"/>
        <v>REZoning_Sol-Win</v>
      </c>
      <c r="AP246" t="s">
        <v>3577</v>
      </c>
      <c r="AQ246" t="s">
        <v>57</v>
      </c>
      <c r="AR246">
        <f t="shared" si="35"/>
        <v>2100</v>
      </c>
      <c r="AS246" t="s">
        <v>874</v>
      </c>
      <c r="AT246" t="s">
        <v>58</v>
      </c>
    </row>
    <row r="247" ht="29" spans="1:46">
      <c r="A247" s="31" t="s">
        <v>169</v>
      </c>
      <c r="C247" t="s">
        <v>3578</v>
      </c>
      <c r="D247" s="5" t="s">
        <v>57</v>
      </c>
      <c r="E247">
        <v>2035</v>
      </c>
      <c r="F247" s="6" t="str">
        <f t="shared" si="29"/>
        <v>*0.94</v>
      </c>
      <c r="H247" t="s">
        <v>3578</v>
      </c>
      <c r="I247" s="5" t="s">
        <v>57</v>
      </c>
      <c r="J247">
        <v>2050</v>
      </c>
      <c r="K247" s="38" t="str">
        <f t="shared" si="30"/>
        <v>*0.92</v>
      </c>
      <c r="P247" s="32" t="s">
        <v>3578</v>
      </c>
      <c r="Q247" s="42" t="s">
        <v>57</v>
      </c>
      <c r="R247" s="32">
        <v>2035</v>
      </c>
      <c r="S247" s="43" t="str">
        <f t="shared" si="31"/>
        <v>*0.93</v>
      </c>
      <c r="U247" s="32" t="s">
        <v>3578</v>
      </c>
      <c r="V247" s="42" t="s">
        <v>57</v>
      </c>
      <c r="W247" s="32">
        <v>2050</v>
      </c>
      <c r="X247" s="43" t="str">
        <f t="shared" si="32"/>
        <v>*0.92</v>
      </c>
      <c r="AC247" s="33" t="s">
        <v>3578</v>
      </c>
      <c r="AD247" s="44" t="s">
        <v>57</v>
      </c>
      <c r="AE247" s="33">
        <v>2035</v>
      </c>
      <c r="AF247" s="45" t="str">
        <f t="shared" si="33"/>
        <v>*0.91</v>
      </c>
      <c r="AG247" s="43" t="str">
        <f t="shared" si="36"/>
        <v>REZoning_Sol-Win</v>
      </c>
      <c r="AI247" s="33" t="s">
        <v>3578</v>
      </c>
      <c r="AJ247" s="44" t="s">
        <v>57</v>
      </c>
      <c r="AK247" s="33">
        <v>2050</v>
      </c>
      <c r="AL247" s="45" t="str">
        <f t="shared" si="34"/>
        <v>*0.87</v>
      </c>
      <c r="AM247" s="43" t="str">
        <f t="shared" si="37"/>
        <v>REZoning_Sol-Win</v>
      </c>
      <c r="AP247" t="s">
        <v>3578</v>
      </c>
      <c r="AQ247" t="s">
        <v>57</v>
      </c>
      <c r="AR247">
        <f t="shared" si="35"/>
        <v>2100</v>
      </c>
      <c r="AS247" t="s">
        <v>874</v>
      </c>
      <c r="AT247" t="s">
        <v>58</v>
      </c>
    </row>
    <row r="248" ht="29" spans="1:46">
      <c r="A248" s="31" t="s">
        <v>169</v>
      </c>
      <c r="C248" t="s">
        <v>3579</v>
      </c>
      <c r="D248" s="5" t="s">
        <v>57</v>
      </c>
      <c r="E248">
        <v>2035</v>
      </c>
      <c r="F248" s="6" t="str">
        <f t="shared" si="29"/>
        <v>*0.94</v>
      </c>
      <c r="H248" t="s">
        <v>3579</v>
      </c>
      <c r="I248" s="5" t="s">
        <v>57</v>
      </c>
      <c r="J248">
        <v>2050</v>
      </c>
      <c r="K248" s="38" t="str">
        <f t="shared" si="30"/>
        <v>*0.92</v>
      </c>
      <c r="P248" s="32" t="s">
        <v>3579</v>
      </c>
      <c r="Q248" s="42" t="s">
        <v>57</v>
      </c>
      <c r="R248" s="32">
        <v>2035</v>
      </c>
      <c r="S248" s="43" t="str">
        <f t="shared" si="31"/>
        <v>*0.93</v>
      </c>
      <c r="U248" s="32" t="s">
        <v>3579</v>
      </c>
      <c r="V248" s="42" t="s">
        <v>57</v>
      </c>
      <c r="W248" s="32">
        <v>2050</v>
      </c>
      <c r="X248" s="43" t="str">
        <f t="shared" si="32"/>
        <v>*0.92</v>
      </c>
      <c r="AC248" s="33" t="s">
        <v>3579</v>
      </c>
      <c r="AD248" s="44" t="s">
        <v>57</v>
      </c>
      <c r="AE248" s="33">
        <v>2035</v>
      </c>
      <c r="AF248" s="45" t="str">
        <f t="shared" si="33"/>
        <v>*0.91</v>
      </c>
      <c r="AG248" s="43" t="str">
        <f t="shared" si="36"/>
        <v>REZoning_Sol-Win</v>
      </c>
      <c r="AI248" s="33" t="s">
        <v>3579</v>
      </c>
      <c r="AJ248" s="44" t="s">
        <v>57</v>
      </c>
      <c r="AK248" s="33">
        <v>2050</v>
      </c>
      <c r="AL248" s="45" t="str">
        <f t="shared" si="34"/>
        <v>*0.87</v>
      </c>
      <c r="AM248" s="43" t="str">
        <f t="shared" si="37"/>
        <v>REZoning_Sol-Win</v>
      </c>
      <c r="AP248" t="s">
        <v>3579</v>
      </c>
      <c r="AQ248" t="s">
        <v>57</v>
      </c>
      <c r="AR248">
        <f t="shared" si="35"/>
        <v>2100</v>
      </c>
      <c r="AS248" t="s">
        <v>874</v>
      </c>
      <c r="AT248" t="s">
        <v>58</v>
      </c>
    </row>
    <row r="249" ht="29" spans="1:46">
      <c r="A249" s="31" t="s">
        <v>169</v>
      </c>
      <c r="C249" t="s">
        <v>3580</v>
      </c>
      <c r="D249" s="5" t="s">
        <v>57</v>
      </c>
      <c r="E249">
        <v>2035</v>
      </c>
      <c r="F249" s="6" t="str">
        <f t="shared" si="29"/>
        <v>*0.94</v>
      </c>
      <c r="H249" t="s">
        <v>3580</v>
      </c>
      <c r="I249" s="5" t="s">
        <v>57</v>
      </c>
      <c r="J249">
        <v>2050</v>
      </c>
      <c r="K249" s="38" t="str">
        <f t="shared" si="30"/>
        <v>*0.92</v>
      </c>
      <c r="P249" s="32" t="s">
        <v>3580</v>
      </c>
      <c r="Q249" s="42" t="s">
        <v>57</v>
      </c>
      <c r="R249" s="32">
        <v>2035</v>
      </c>
      <c r="S249" s="43" t="str">
        <f t="shared" si="31"/>
        <v>*0.93</v>
      </c>
      <c r="U249" s="32" t="s">
        <v>3580</v>
      </c>
      <c r="V249" s="42" t="s">
        <v>57</v>
      </c>
      <c r="W249" s="32">
        <v>2050</v>
      </c>
      <c r="X249" s="43" t="str">
        <f t="shared" si="32"/>
        <v>*0.92</v>
      </c>
      <c r="AC249" s="33" t="s">
        <v>3580</v>
      </c>
      <c r="AD249" s="44" t="s">
        <v>57</v>
      </c>
      <c r="AE249" s="33">
        <v>2035</v>
      </c>
      <c r="AF249" s="45" t="str">
        <f t="shared" si="33"/>
        <v>*0.91</v>
      </c>
      <c r="AG249" s="43" t="str">
        <f t="shared" si="36"/>
        <v>REZoning_Sol-Win</v>
      </c>
      <c r="AI249" s="33" t="s">
        <v>3580</v>
      </c>
      <c r="AJ249" s="44" t="s">
        <v>57</v>
      </c>
      <c r="AK249" s="33">
        <v>2050</v>
      </c>
      <c r="AL249" s="45" t="str">
        <f t="shared" si="34"/>
        <v>*0.87</v>
      </c>
      <c r="AM249" s="43" t="str">
        <f t="shared" si="37"/>
        <v>REZoning_Sol-Win</v>
      </c>
      <c r="AP249" t="s">
        <v>3580</v>
      </c>
      <c r="AQ249" t="s">
        <v>57</v>
      </c>
      <c r="AR249">
        <f t="shared" si="35"/>
        <v>2100</v>
      </c>
      <c r="AS249" t="s">
        <v>874</v>
      </c>
      <c r="AT249" t="s">
        <v>58</v>
      </c>
    </row>
    <row r="250" ht="29" spans="1:46">
      <c r="A250" s="31" t="s">
        <v>169</v>
      </c>
      <c r="C250" t="s">
        <v>3581</v>
      </c>
      <c r="D250" s="5" t="s">
        <v>57</v>
      </c>
      <c r="E250">
        <v>2035</v>
      </c>
      <c r="F250" s="6" t="str">
        <f t="shared" si="29"/>
        <v>*0.94</v>
      </c>
      <c r="H250" t="s">
        <v>3581</v>
      </c>
      <c r="I250" s="5" t="s">
        <v>57</v>
      </c>
      <c r="J250">
        <v>2050</v>
      </c>
      <c r="K250" s="38" t="str">
        <f t="shared" si="30"/>
        <v>*0.92</v>
      </c>
      <c r="P250" s="32" t="s">
        <v>3581</v>
      </c>
      <c r="Q250" s="42" t="s">
        <v>57</v>
      </c>
      <c r="R250" s="32">
        <v>2035</v>
      </c>
      <c r="S250" s="43" t="str">
        <f t="shared" si="31"/>
        <v>*0.93</v>
      </c>
      <c r="U250" s="32" t="s">
        <v>3581</v>
      </c>
      <c r="V250" s="42" t="s">
        <v>57</v>
      </c>
      <c r="W250" s="32">
        <v>2050</v>
      </c>
      <c r="X250" s="43" t="str">
        <f t="shared" si="32"/>
        <v>*0.92</v>
      </c>
      <c r="AC250" s="33" t="s">
        <v>3581</v>
      </c>
      <c r="AD250" s="44" t="s">
        <v>57</v>
      </c>
      <c r="AE250" s="33">
        <v>2035</v>
      </c>
      <c r="AF250" s="45" t="str">
        <f t="shared" si="33"/>
        <v>*0.91</v>
      </c>
      <c r="AG250" s="43" t="str">
        <f t="shared" si="36"/>
        <v>REZoning_Sol-Win</v>
      </c>
      <c r="AI250" s="33" t="s">
        <v>3581</v>
      </c>
      <c r="AJ250" s="44" t="s">
        <v>57</v>
      </c>
      <c r="AK250" s="33">
        <v>2050</v>
      </c>
      <c r="AL250" s="45" t="str">
        <f t="shared" si="34"/>
        <v>*0.87</v>
      </c>
      <c r="AM250" s="43" t="str">
        <f t="shared" si="37"/>
        <v>REZoning_Sol-Win</v>
      </c>
      <c r="AP250" t="s">
        <v>3581</v>
      </c>
      <c r="AQ250" t="s">
        <v>57</v>
      </c>
      <c r="AR250">
        <f t="shared" si="35"/>
        <v>2100</v>
      </c>
      <c r="AS250" t="s">
        <v>874</v>
      </c>
      <c r="AT250" t="s">
        <v>58</v>
      </c>
    </row>
    <row r="251" ht="29" spans="1:46">
      <c r="A251" s="31" t="s">
        <v>169</v>
      </c>
      <c r="C251" t="s">
        <v>3582</v>
      </c>
      <c r="D251" s="5" t="s">
        <v>57</v>
      </c>
      <c r="E251">
        <v>2035</v>
      </c>
      <c r="F251" s="6" t="str">
        <f t="shared" si="29"/>
        <v>*0.94</v>
      </c>
      <c r="H251" t="s">
        <v>3582</v>
      </c>
      <c r="I251" s="5" t="s">
        <v>57</v>
      </c>
      <c r="J251">
        <v>2050</v>
      </c>
      <c r="K251" s="38" t="str">
        <f t="shared" si="30"/>
        <v>*0.92</v>
      </c>
      <c r="P251" s="32" t="s">
        <v>3582</v>
      </c>
      <c r="Q251" s="42" t="s">
        <v>57</v>
      </c>
      <c r="R251" s="32">
        <v>2035</v>
      </c>
      <c r="S251" s="43" t="str">
        <f t="shared" si="31"/>
        <v>*0.93</v>
      </c>
      <c r="U251" s="32" t="s">
        <v>3582</v>
      </c>
      <c r="V251" s="42" t="s">
        <v>57</v>
      </c>
      <c r="W251" s="32">
        <v>2050</v>
      </c>
      <c r="X251" s="43" t="str">
        <f t="shared" si="32"/>
        <v>*0.92</v>
      </c>
      <c r="AC251" s="33" t="s">
        <v>3582</v>
      </c>
      <c r="AD251" s="44" t="s">
        <v>57</v>
      </c>
      <c r="AE251" s="33">
        <v>2035</v>
      </c>
      <c r="AF251" s="45" t="str">
        <f t="shared" si="33"/>
        <v>*0.91</v>
      </c>
      <c r="AG251" s="43" t="str">
        <f t="shared" si="36"/>
        <v>REZoning_Sol-Win</v>
      </c>
      <c r="AI251" s="33" t="s">
        <v>3582</v>
      </c>
      <c r="AJ251" s="44" t="s">
        <v>57</v>
      </c>
      <c r="AK251" s="33">
        <v>2050</v>
      </c>
      <c r="AL251" s="45" t="str">
        <f t="shared" si="34"/>
        <v>*0.87</v>
      </c>
      <c r="AM251" s="43" t="str">
        <f t="shared" si="37"/>
        <v>REZoning_Sol-Win</v>
      </c>
      <c r="AP251" t="s">
        <v>3582</v>
      </c>
      <c r="AQ251" t="s">
        <v>57</v>
      </c>
      <c r="AR251">
        <f t="shared" si="35"/>
        <v>2100</v>
      </c>
      <c r="AS251" t="s">
        <v>874</v>
      </c>
      <c r="AT251" t="s">
        <v>58</v>
      </c>
    </row>
    <row r="252" ht="29" spans="1:46">
      <c r="A252" s="31" t="s">
        <v>169</v>
      </c>
      <c r="C252" t="s">
        <v>3583</v>
      </c>
      <c r="D252" s="5" t="s">
        <v>57</v>
      </c>
      <c r="E252">
        <v>2035</v>
      </c>
      <c r="F252" s="6" t="str">
        <f t="shared" si="29"/>
        <v>*0.94</v>
      </c>
      <c r="H252" t="s">
        <v>3583</v>
      </c>
      <c r="I252" s="5" t="s">
        <v>57</v>
      </c>
      <c r="J252">
        <v>2050</v>
      </c>
      <c r="K252" s="38" t="str">
        <f t="shared" si="30"/>
        <v>*0.92</v>
      </c>
      <c r="P252" s="32" t="s">
        <v>3583</v>
      </c>
      <c r="Q252" s="42" t="s">
        <v>57</v>
      </c>
      <c r="R252" s="32">
        <v>2035</v>
      </c>
      <c r="S252" s="43" t="str">
        <f t="shared" si="31"/>
        <v>*0.93</v>
      </c>
      <c r="U252" s="32" t="s">
        <v>3583</v>
      </c>
      <c r="V252" s="42" t="s">
        <v>57</v>
      </c>
      <c r="W252" s="32">
        <v>2050</v>
      </c>
      <c r="X252" s="43" t="str">
        <f t="shared" si="32"/>
        <v>*0.92</v>
      </c>
      <c r="AC252" s="33" t="s">
        <v>3583</v>
      </c>
      <c r="AD252" s="44" t="s">
        <v>57</v>
      </c>
      <c r="AE252" s="33">
        <v>2035</v>
      </c>
      <c r="AF252" s="45" t="str">
        <f t="shared" si="33"/>
        <v>*0.91</v>
      </c>
      <c r="AG252" s="43" t="str">
        <f t="shared" si="36"/>
        <v>REZoning_Sol-Win</v>
      </c>
      <c r="AI252" s="33" t="s">
        <v>3583</v>
      </c>
      <c r="AJ252" s="44" t="s">
        <v>57</v>
      </c>
      <c r="AK252" s="33">
        <v>2050</v>
      </c>
      <c r="AL252" s="45" t="str">
        <f t="shared" si="34"/>
        <v>*0.87</v>
      </c>
      <c r="AM252" s="43" t="str">
        <f t="shared" si="37"/>
        <v>REZoning_Sol-Win</v>
      </c>
      <c r="AP252" t="s">
        <v>3583</v>
      </c>
      <c r="AQ252" t="s">
        <v>57</v>
      </c>
      <c r="AR252">
        <f t="shared" si="35"/>
        <v>2100</v>
      </c>
      <c r="AS252" t="s">
        <v>874</v>
      </c>
      <c r="AT252" t="s">
        <v>58</v>
      </c>
    </row>
    <row r="253" ht="29" spans="1:46">
      <c r="A253" s="31" t="s">
        <v>169</v>
      </c>
      <c r="C253" t="s">
        <v>3584</v>
      </c>
      <c r="D253" s="5" t="s">
        <v>57</v>
      </c>
      <c r="E253">
        <v>2035</v>
      </c>
      <c r="F253" s="6" t="str">
        <f t="shared" si="29"/>
        <v>*0.94</v>
      </c>
      <c r="H253" t="s">
        <v>3584</v>
      </c>
      <c r="I253" s="5" t="s">
        <v>57</v>
      </c>
      <c r="J253">
        <v>2050</v>
      </c>
      <c r="K253" s="38" t="str">
        <f t="shared" si="30"/>
        <v>*0.92</v>
      </c>
      <c r="P253" s="32" t="s">
        <v>3584</v>
      </c>
      <c r="Q253" s="42" t="s">
        <v>57</v>
      </c>
      <c r="R253" s="32">
        <v>2035</v>
      </c>
      <c r="S253" s="43" t="str">
        <f t="shared" si="31"/>
        <v>*0.93</v>
      </c>
      <c r="U253" s="32" t="s">
        <v>3584</v>
      </c>
      <c r="V253" s="42" t="s">
        <v>57</v>
      </c>
      <c r="W253" s="32">
        <v>2050</v>
      </c>
      <c r="X253" s="43" t="str">
        <f t="shared" si="32"/>
        <v>*0.92</v>
      </c>
      <c r="AC253" s="33" t="s">
        <v>3584</v>
      </c>
      <c r="AD253" s="44" t="s">
        <v>57</v>
      </c>
      <c r="AE253" s="33">
        <v>2035</v>
      </c>
      <c r="AF253" s="45" t="str">
        <f t="shared" si="33"/>
        <v>*0.91</v>
      </c>
      <c r="AG253" s="43" t="str">
        <f t="shared" si="36"/>
        <v>REZoning_Sol-Win</v>
      </c>
      <c r="AI253" s="33" t="s">
        <v>3584</v>
      </c>
      <c r="AJ253" s="44" t="s">
        <v>57</v>
      </c>
      <c r="AK253" s="33">
        <v>2050</v>
      </c>
      <c r="AL253" s="45" t="str">
        <f t="shared" si="34"/>
        <v>*0.87</v>
      </c>
      <c r="AM253" s="43" t="str">
        <f t="shared" si="37"/>
        <v>REZoning_Sol-Win</v>
      </c>
      <c r="AP253" t="s">
        <v>3584</v>
      </c>
      <c r="AQ253" t="s">
        <v>57</v>
      </c>
      <c r="AR253">
        <f t="shared" si="35"/>
        <v>2100</v>
      </c>
      <c r="AS253" t="s">
        <v>874</v>
      </c>
      <c r="AT253" t="s">
        <v>58</v>
      </c>
    </row>
    <row r="254" ht="29" spans="1:46">
      <c r="A254" s="31" t="s">
        <v>169</v>
      </c>
      <c r="C254" t="s">
        <v>3585</v>
      </c>
      <c r="D254" s="5" t="s">
        <v>57</v>
      </c>
      <c r="E254">
        <v>2035</v>
      </c>
      <c r="F254" s="6" t="str">
        <f t="shared" si="29"/>
        <v>*0.94</v>
      </c>
      <c r="H254" t="s">
        <v>3585</v>
      </c>
      <c r="I254" s="5" t="s">
        <v>57</v>
      </c>
      <c r="J254">
        <v>2050</v>
      </c>
      <c r="K254" s="38" t="str">
        <f t="shared" si="30"/>
        <v>*0.92</v>
      </c>
      <c r="P254" s="32" t="s">
        <v>3585</v>
      </c>
      <c r="Q254" s="42" t="s">
        <v>57</v>
      </c>
      <c r="R254" s="32">
        <v>2035</v>
      </c>
      <c r="S254" s="43" t="str">
        <f t="shared" si="31"/>
        <v>*0.93</v>
      </c>
      <c r="U254" s="32" t="s">
        <v>3585</v>
      </c>
      <c r="V254" s="42" t="s">
        <v>57</v>
      </c>
      <c r="W254" s="32">
        <v>2050</v>
      </c>
      <c r="X254" s="43" t="str">
        <f t="shared" si="32"/>
        <v>*0.92</v>
      </c>
      <c r="AC254" s="33" t="s">
        <v>3585</v>
      </c>
      <c r="AD254" s="44" t="s">
        <v>57</v>
      </c>
      <c r="AE254" s="33">
        <v>2035</v>
      </c>
      <c r="AF254" s="45" t="str">
        <f t="shared" si="33"/>
        <v>*0.91</v>
      </c>
      <c r="AG254" s="43" t="str">
        <f t="shared" si="36"/>
        <v>REZoning_Sol-Win</v>
      </c>
      <c r="AI254" s="33" t="s">
        <v>3585</v>
      </c>
      <c r="AJ254" s="44" t="s">
        <v>57</v>
      </c>
      <c r="AK254" s="33">
        <v>2050</v>
      </c>
      <c r="AL254" s="45" t="str">
        <f t="shared" si="34"/>
        <v>*0.87</v>
      </c>
      <c r="AM254" s="43" t="str">
        <f t="shared" si="37"/>
        <v>REZoning_Sol-Win</v>
      </c>
      <c r="AP254" t="s">
        <v>3585</v>
      </c>
      <c r="AQ254" t="s">
        <v>57</v>
      </c>
      <c r="AR254">
        <f t="shared" si="35"/>
        <v>2100</v>
      </c>
      <c r="AS254" t="s">
        <v>874</v>
      </c>
      <c r="AT254" t="s">
        <v>58</v>
      </c>
    </row>
    <row r="255" ht="29" spans="1:46">
      <c r="A255" s="31" t="s">
        <v>169</v>
      </c>
      <c r="C255" t="s">
        <v>3586</v>
      </c>
      <c r="D255" s="5" t="s">
        <v>57</v>
      </c>
      <c r="E255">
        <v>2035</v>
      </c>
      <c r="F255" s="6" t="str">
        <f t="shared" si="29"/>
        <v>*0.94</v>
      </c>
      <c r="H255" t="s">
        <v>3586</v>
      </c>
      <c r="I255" s="5" t="s">
        <v>57</v>
      </c>
      <c r="J255">
        <v>2050</v>
      </c>
      <c r="K255" s="38" t="str">
        <f t="shared" si="30"/>
        <v>*0.92</v>
      </c>
      <c r="P255" s="32" t="s">
        <v>3586</v>
      </c>
      <c r="Q255" s="42" t="s">
        <v>57</v>
      </c>
      <c r="R255" s="32">
        <v>2035</v>
      </c>
      <c r="S255" s="43" t="str">
        <f t="shared" si="31"/>
        <v>*0.93</v>
      </c>
      <c r="U255" s="32" t="s">
        <v>3586</v>
      </c>
      <c r="V255" s="42" t="s">
        <v>57</v>
      </c>
      <c r="W255" s="32">
        <v>2050</v>
      </c>
      <c r="X255" s="43" t="str">
        <f t="shared" si="32"/>
        <v>*0.92</v>
      </c>
      <c r="AC255" s="33" t="s">
        <v>3586</v>
      </c>
      <c r="AD255" s="44" t="s">
        <v>57</v>
      </c>
      <c r="AE255" s="33">
        <v>2035</v>
      </c>
      <c r="AF255" s="45" t="str">
        <f t="shared" si="33"/>
        <v>*0.91</v>
      </c>
      <c r="AG255" s="43" t="str">
        <f t="shared" si="36"/>
        <v>REZoning_Sol-Win</v>
      </c>
      <c r="AI255" s="33" t="s">
        <v>3586</v>
      </c>
      <c r="AJ255" s="44" t="s">
        <v>57</v>
      </c>
      <c r="AK255" s="33">
        <v>2050</v>
      </c>
      <c r="AL255" s="45" t="str">
        <f t="shared" si="34"/>
        <v>*0.87</v>
      </c>
      <c r="AM255" s="43" t="str">
        <f t="shared" si="37"/>
        <v>REZoning_Sol-Win</v>
      </c>
      <c r="AP255" t="s">
        <v>3586</v>
      </c>
      <c r="AQ255" t="s">
        <v>57</v>
      </c>
      <c r="AR255">
        <f t="shared" si="35"/>
        <v>2100</v>
      </c>
      <c r="AS255" t="s">
        <v>874</v>
      </c>
      <c r="AT255" t="s">
        <v>58</v>
      </c>
    </row>
    <row r="256" ht="29" spans="1:46">
      <c r="A256" s="31" t="s">
        <v>169</v>
      </c>
      <c r="C256" t="s">
        <v>3587</v>
      </c>
      <c r="D256" s="5" t="s">
        <v>57</v>
      </c>
      <c r="E256">
        <v>2035</v>
      </c>
      <c r="F256" s="6" t="str">
        <f t="shared" si="29"/>
        <v>*0.94</v>
      </c>
      <c r="H256" t="s">
        <v>3587</v>
      </c>
      <c r="I256" s="5" t="s">
        <v>57</v>
      </c>
      <c r="J256">
        <v>2050</v>
      </c>
      <c r="K256" s="38" t="str">
        <f t="shared" si="30"/>
        <v>*0.92</v>
      </c>
      <c r="P256" s="32" t="s">
        <v>3587</v>
      </c>
      <c r="Q256" s="42" t="s">
        <v>57</v>
      </c>
      <c r="R256" s="32">
        <v>2035</v>
      </c>
      <c r="S256" s="43" t="str">
        <f t="shared" si="31"/>
        <v>*0.93</v>
      </c>
      <c r="U256" s="32" t="s">
        <v>3587</v>
      </c>
      <c r="V256" s="42" t="s">
        <v>57</v>
      </c>
      <c r="W256" s="32">
        <v>2050</v>
      </c>
      <c r="X256" s="43" t="str">
        <f t="shared" si="32"/>
        <v>*0.92</v>
      </c>
      <c r="AC256" s="33" t="s">
        <v>3587</v>
      </c>
      <c r="AD256" s="44" t="s">
        <v>57</v>
      </c>
      <c r="AE256" s="33">
        <v>2035</v>
      </c>
      <c r="AF256" s="45" t="str">
        <f t="shared" si="33"/>
        <v>*0.91</v>
      </c>
      <c r="AG256" s="43" t="str">
        <f t="shared" si="36"/>
        <v>REZoning_Sol-Win</v>
      </c>
      <c r="AI256" s="33" t="s">
        <v>3587</v>
      </c>
      <c r="AJ256" s="44" t="s">
        <v>57</v>
      </c>
      <c r="AK256" s="33">
        <v>2050</v>
      </c>
      <c r="AL256" s="45" t="str">
        <f t="shared" si="34"/>
        <v>*0.87</v>
      </c>
      <c r="AM256" s="43" t="str">
        <f t="shared" si="37"/>
        <v>REZoning_Sol-Win</v>
      </c>
      <c r="AP256" t="s">
        <v>3587</v>
      </c>
      <c r="AQ256" t="s">
        <v>57</v>
      </c>
      <c r="AR256">
        <f t="shared" si="35"/>
        <v>2100</v>
      </c>
      <c r="AS256" t="s">
        <v>874</v>
      </c>
      <c r="AT256" t="s">
        <v>58</v>
      </c>
    </row>
    <row r="257" ht="29" spans="1:46">
      <c r="A257" s="31" t="s">
        <v>83</v>
      </c>
      <c r="C257" t="s">
        <v>3588</v>
      </c>
      <c r="D257" s="5" t="s">
        <v>57</v>
      </c>
      <c r="E257">
        <v>2035</v>
      </c>
      <c r="F257" s="6" t="str">
        <f t="shared" si="29"/>
        <v>*0.95</v>
      </c>
      <c r="H257" t="s">
        <v>3588</v>
      </c>
      <c r="I257" s="5" t="s">
        <v>57</v>
      </c>
      <c r="J257">
        <v>2050</v>
      </c>
      <c r="K257" s="38" t="str">
        <f t="shared" si="30"/>
        <v>*0.92</v>
      </c>
      <c r="P257" s="32" t="s">
        <v>3588</v>
      </c>
      <c r="Q257" s="42" t="s">
        <v>57</v>
      </c>
      <c r="R257" s="32">
        <v>2035</v>
      </c>
      <c r="S257" s="43" t="str">
        <f t="shared" si="31"/>
        <v>*0.95</v>
      </c>
      <c r="U257" s="32" t="s">
        <v>3588</v>
      </c>
      <c r="V257" s="42" t="s">
        <v>57</v>
      </c>
      <c r="W257" s="32">
        <v>2050</v>
      </c>
      <c r="X257" s="43" t="str">
        <f t="shared" si="32"/>
        <v>*0.92</v>
      </c>
      <c r="AC257" s="33" t="s">
        <v>3588</v>
      </c>
      <c r="AD257" s="44" t="s">
        <v>57</v>
      </c>
      <c r="AE257" s="33">
        <v>2035</v>
      </c>
      <c r="AF257" s="45" t="str">
        <f t="shared" si="33"/>
        <v>*0.93</v>
      </c>
      <c r="AG257" s="43" t="str">
        <f t="shared" si="36"/>
        <v>REZoning_Sol-Win</v>
      </c>
      <c r="AI257" s="33" t="s">
        <v>3588</v>
      </c>
      <c r="AJ257" s="44" t="s">
        <v>57</v>
      </c>
      <c r="AK257" s="33">
        <v>2050</v>
      </c>
      <c r="AL257" s="45" t="str">
        <f t="shared" si="34"/>
        <v>*0.89</v>
      </c>
      <c r="AM257" s="43" t="str">
        <f t="shared" si="37"/>
        <v>REZoning_Sol-Win</v>
      </c>
      <c r="AP257" t="s">
        <v>3588</v>
      </c>
      <c r="AQ257" t="s">
        <v>57</v>
      </c>
      <c r="AR257">
        <f t="shared" si="35"/>
        <v>2100</v>
      </c>
      <c r="AS257" t="s">
        <v>937</v>
      </c>
      <c r="AT257" t="s">
        <v>58</v>
      </c>
    </row>
    <row r="258" ht="29" spans="1:46">
      <c r="A258" s="31" t="s">
        <v>83</v>
      </c>
      <c r="C258" t="s">
        <v>3589</v>
      </c>
      <c r="D258" s="5" t="s">
        <v>57</v>
      </c>
      <c r="E258">
        <v>2035</v>
      </c>
      <c r="F258" s="6" t="str">
        <f t="shared" si="29"/>
        <v>*0.95</v>
      </c>
      <c r="H258" t="s">
        <v>3589</v>
      </c>
      <c r="I258" s="5" t="s">
        <v>57</v>
      </c>
      <c r="J258">
        <v>2050</v>
      </c>
      <c r="K258" s="38" t="str">
        <f t="shared" si="30"/>
        <v>*0.92</v>
      </c>
      <c r="P258" s="32" t="s">
        <v>3589</v>
      </c>
      <c r="Q258" s="42" t="s">
        <v>57</v>
      </c>
      <c r="R258" s="32">
        <v>2035</v>
      </c>
      <c r="S258" s="43" t="str">
        <f t="shared" si="31"/>
        <v>*0.95</v>
      </c>
      <c r="U258" s="32" t="s">
        <v>3589</v>
      </c>
      <c r="V258" s="42" t="s">
        <v>57</v>
      </c>
      <c r="W258" s="32">
        <v>2050</v>
      </c>
      <c r="X258" s="43" t="str">
        <f t="shared" si="32"/>
        <v>*0.92</v>
      </c>
      <c r="AC258" s="33" t="s">
        <v>3589</v>
      </c>
      <c r="AD258" s="44" t="s">
        <v>57</v>
      </c>
      <c r="AE258" s="33">
        <v>2035</v>
      </c>
      <c r="AF258" s="45" t="str">
        <f t="shared" si="33"/>
        <v>*0.93</v>
      </c>
      <c r="AG258" s="43" t="str">
        <f t="shared" si="36"/>
        <v>REZoning_Sol-Win</v>
      </c>
      <c r="AI258" s="33" t="s">
        <v>3589</v>
      </c>
      <c r="AJ258" s="44" t="s">
        <v>57</v>
      </c>
      <c r="AK258" s="33">
        <v>2050</v>
      </c>
      <c r="AL258" s="45" t="str">
        <f t="shared" si="34"/>
        <v>*0.89</v>
      </c>
      <c r="AM258" s="43" t="str">
        <f t="shared" si="37"/>
        <v>REZoning_Sol-Win</v>
      </c>
      <c r="AP258" t="s">
        <v>3589</v>
      </c>
      <c r="AQ258" t="s">
        <v>57</v>
      </c>
      <c r="AR258">
        <f t="shared" si="35"/>
        <v>2100</v>
      </c>
      <c r="AS258" t="s">
        <v>937</v>
      </c>
      <c r="AT258" t="s">
        <v>58</v>
      </c>
    </row>
    <row r="259" ht="29" spans="1:46">
      <c r="A259" s="31" t="s">
        <v>83</v>
      </c>
      <c r="C259" t="s">
        <v>3590</v>
      </c>
      <c r="D259" s="5" t="s">
        <v>57</v>
      </c>
      <c r="E259">
        <v>2035</v>
      </c>
      <c r="F259" s="6" t="str">
        <f t="shared" si="29"/>
        <v>*0.95</v>
      </c>
      <c r="H259" t="s">
        <v>3590</v>
      </c>
      <c r="I259" s="5" t="s">
        <v>57</v>
      </c>
      <c r="J259">
        <v>2050</v>
      </c>
      <c r="K259" s="38" t="str">
        <f t="shared" si="30"/>
        <v>*0.92</v>
      </c>
      <c r="P259" s="32" t="s">
        <v>3590</v>
      </c>
      <c r="Q259" s="42" t="s">
        <v>57</v>
      </c>
      <c r="R259" s="32">
        <v>2035</v>
      </c>
      <c r="S259" s="43" t="str">
        <f t="shared" si="31"/>
        <v>*0.95</v>
      </c>
      <c r="U259" s="32" t="s">
        <v>3590</v>
      </c>
      <c r="V259" s="42" t="s">
        <v>57</v>
      </c>
      <c r="W259" s="32">
        <v>2050</v>
      </c>
      <c r="X259" s="43" t="str">
        <f t="shared" si="32"/>
        <v>*0.92</v>
      </c>
      <c r="AC259" s="33" t="s">
        <v>3590</v>
      </c>
      <c r="AD259" s="44" t="s">
        <v>57</v>
      </c>
      <c r="AE259" s="33">
        <v>2035</v>
      </c>
      <c r="AF259" s="45" t="str">
        <f t="shared" si="33"/>
        <v>*0.93</v>
      </c>
      <c r="AG259" s="43" t="str">
        <f t="shared" si="36"/>
        <v>REZoning_Sol-Win</v>
      </c>
      <c r="AI259" s="33" t="s">
        <v>3590</v>
      </c>
      <c r="AJ259" s="44" t="s">
        <v>57</v>
      </c>
      <c r="AK259" s="33">
        <v>2050</v>
      </c>
      <c r="AL259" s="45" t="str">
        <f t="shared" si="34"/>
        <v>*0.89</v>
      </c>
      <c r="AM259" s="43" t="str">
        <f t="shared" si="37"/>
        <v>REZoning_Sol-Win</v>
      </c>
      <c r="AP259" t="s">
        <v>3590</v>
      </c>
      <c r="AQ259" t="s">
        <v>57</v>
      </c>
      <c r="AR259">
        <f t="shared" si="35"/>
        <v>2100</v>
      </c>
      <c r="AS259" t="s">
        <v>937</v>
      </c>
      <c r="AT259" t="s">
        <v>58</v>
      </c>
    </row>
    <row r="260" ht="29" spans="1:46">
      <c r="A260" s="31" t="s">
        <v>83</v>
      </c>
      <c r="C260" t="s">
        <v>3591</v>
      </c>
      <c r="D260" s="5" t="s">
        <v>57</v>
      </c>
      <c r="E260">
        <v>2035</v>
      </c>
      <c r="F260" s="6" t="str">
        <f t="shared" ref="F260:F323" si="38">"*"&amp;IF(AND(A260="EU",E260=2035),0.95,IF(AND(A260="EU",E260=2050),0.93,IF(AND(A260="USA",E260=2035),0.96,IF(AND(A260="USA",E260=2050),0.94,IF(AND(A260="Japan",E260=2035),0.94,IF(AND(A260="Japan",E260=2050),0.92,IF(AND(A260="Russia",E260=2035),0.95,IF(AND(A260="Russia",E260=2050),0.93,IF(AND(A260="China",E260=2035),0.94,IF(AND(A260="China",E260=2050),0.92,IF(AND(A260="India",E260=2035),0.95,IF(AND(A260="India",E260=2050),0.92,IF(AND(A260="Middle East",E260=2035),0.94,IF(AND(A260="Middle East",E260=2050),0.9,IF(AND(A260="Africa",E260=2035),0.94,IF(AND(A260="Africa",E260=2050),0.91,IF(AND(A260="Brazil",E260=2035),0.95,IF(AND(A260="Brazil",E260=2050),0.92,""))))))))))))))))))</f>
        <v>*0.95</v>
      </c>
      <c r="H260" t="s">
        <v>3591</v>
      </c>
      <c r="I260" s="5" t="s">
        <v>57</v>
      </c>
      <c r="J260">
        <v>2050</v>
      </c>
      <c r="K260" s="38" t="str">
        <f t="shared" ref="K260:K323" si="39">"*"&amp;IF(AND(A260="EU",J260=2035),0.95,IF(AND(A260="EU",J260=2050),0.93,IF(AND(A260="USA",J260=2035),0.96,IF(AND(A260="USA",J260=2050),0.94,IF(AND(A260="Japan",J260=2035),0.94,IF(AND(A260="Japan",J260=2050),0.92,IF(AND(A260="Russia",J260=2035),0.95,IF(AND(A260="Russia",J260=2050),0.93,IF(AND(A260="China",J260=2035),0.94,IF(AND(A260="China",J260=2050),0.92,IF(AND(A260="India",J260=2035),0.95,IF(AND(A260="India",J260=2050),0.92,IF(AND(A260="Middle East",J260=2035),0.94,IF(AND(A260="Middle East",J260=2050),0.9,IF(AND(A260="Africa",J260=2035),0.94,IF(AND(A260="Africa",J260=2050),0.91,IF(AND(A260="Brazil",J260=2035),0.95,IF(AND(A260="Brazil",J260=2050),0.92,""))))))))))))))))))</f>
        <v>*0.92</v>
      </c>
      <c r="P260" s="32" t="s">
        <v>3591</v>
      </c>
      <c r="Q260" s="42" t="s">
        <v>57</v>
      </c>
      <c r="R260" s="32">
        <v>2035</v>
      </c>
      <c r="S260" s="43" t="str">
        <f t="shared" ref="S260:S323" si="40">"*"&amp;IF(AND(A260="EU",R260=2035),0.95,IF(AND(A260="EU",R260=2050),0.93,IF(AND(A260="USA",R260=2035),0.96,IF(AND(A260="USA",R260=2050),0.93,IF(AND(A260="Japan",R260=2035),0.94,IF(AND(A260="Japan",R260=2050),0.92,IF(AND(A260="Russia",R260=2035),0.95,IF(AND(A260="Russia",R260=2050),0.91,IF(AND(A260="China",R260=2035),0.93,IF(AND(A260="China",R260=2050),0.92,IF(AND(A260="India",R260=2035),0.94,IF(AND(A260="India",R260=2050),0.91,IF(AND(A260="Middle East",R260=2035),0.92,IF(AND(A260="Middle East",R260=2050),0.89,IF(AND(A260="Africa",R260=2035),0.93,IF(AND(A260="Africa",R260=2050),0.9,IF(AND(A260="Brazil",R260=2035),0.95,IF(AND(A260="Brazil",R260=2050),0.92,""))))))))))))))))))</f>
        <v>*0.95</v>
      </c>
      <c r="U260" s="32" t="s">
        <v>3591</v>
      </c>
      <c r="V260" s="42" t="s">
        <v>57</v>
      </c>
      <c r="W260" s="32">
        <v>2050</v>
      </c>
      <c r="X260" s="43" t="str">
        <f t="shared" ref="X260:X323" si="41">"*"&amp;IF(AND(A260="EU",W260=2035),0.95,IF(AND(A260="EU",W260=2050),0.93,IF(AND(A260="USA",W260=2035),0.96,IF(AND(A260="USA",W260=2050),0.93,IF(AND(A260="Japan",W260=2035),0.94,IF(AND(A260="Japan",W260=2050),0.92,IF(AND(A260="Russia",W260=2035),0.95,IF(AND(A260="Russia",W260=2050),0.91,IF(AND(A260="China",W260=2035),0.93,IF(AND(A260="China",W260=2050),0.92,IF(AND(A260="India",W260=2035),0.94,IF(AND(A260="India",W260=2050),0.91,IF(AND(A260="Middle East",W260=2035),0.92,IF(AND(A260="Middle East",W260=2050),0.89,IF(AND(A260="Africa",W260=2035),0.93,IF(AND(A260="Africa",W260=2050),0.9,IF(AND(A260="Brazil",W260=2035),0.95,IF(AND(A260="Brazil",W260=2050),0.92,""))))))))))))))))))</f>
        <v>*0.92</v>
      </c>
      <c r="AC260" s="33" t="s">
        <v>3591</v>
      </c>
      <c r="AD260" s="44" t="s">
        <v>57</v>
      </c>
      <c r="AE260" s="33">
        <v>2035</v>
      </c>
      <c r="AF260" s="45" t="str">
        <f t="shared" ref="AF260:AF323" si="42">"*"&amp;IF(AND(A260="EU",AE260=2035),0.93,IF(AND(A260="EU",AE260=2050),0.9,IF(AND(A260="USA",AE260=2035),0.92,IF(AND(A260="USA",AE260=2050),0.89,IF(AND(A260="Japan",AE260=2035),0.92,IF(AND(A260="Japan",AE260=2050),0.89,IF(AND(A260="Russia",AE260=2035),0.91,IF(AND(A260="Russia",AE260=2050),0.86,IF(AND(A260="China",AE260=2035),0.91,IF(AND(A260="China",AE260=2050),0.87,IF(AND(A260="India",AE260=2035),0.92,IF(AND(A260="India",AE260=2050),0.87,IF(AND(A260="Middle East",AE260=2035),0.89,IF(AND(A260="Middle East",AE260=2050),0.84,IF(AND(A260="Africa",AE260=2035),0.9,IF(AND(A260="Africa",AE260=2050),0.86,IF(AND(A260="Brazil",AE260=2035),0.93,IF(AND(A260="Brazil",AE260=2050),0.89,""))))))))))))))))))</f>
        <v>*0.93</v>
      </c>
      <c r="AG260" s="43" t="str">
        <f t="shared" si="36"/>
        <v>REZoning_Sol-Win</v>
      </c>
      <c r="AI260" s="33" t="s">
        <v>3591</v>
      </c>
      <c r="AJ260" s="44" t="s">
        <v>57</v>
      </c>
      <c r="AK260" s="33">
        <v>2050</v>
      </c>
      <c r="AL260" s="45" t="str">
        <f t="shared" ref="AL260:AL323" si="43">"*"&amp;IF(AND(A260="EU",AK260=2035),0.93,IF(AND(A260="EU",AK260=2050),0.9,IF(AND(A260="USA",AK260=2035),0.92,IF(AND(A260="USA",AK260=2050),0.89,IF(AND(A260="Japan",AK260=2035),0.92,IF(AND(A260="Japan",AK260=2050),0.89,IF(AND(A260="Russia",AK260=2035),0.91,IF(AND(A260="Russia",AK260=2050),0.86,IF(AND(A260="China",AK260=2035),0.91,IF(AND(A260="China",AK260=2050),0.87,IF(AND(A260="India",AK260=2035),0.92,IF(AND(A260="India",AK260=2050),0.87,IF(AND(A260="Middle East",AK260=2035),0.89,IF(AND(A260="Middle East",AK260=2050),0.84,IF(AND(A260="Africa",AK260=2035),0.9,IF(AND(A260="Africa",AK260=2050),0.86,IF(AND(A260="Brazil",AK260=2035),0.93,IF(AND(A260="Brazil",AK260=2050),0.89,""))))))))))))))))))</f>
        <v>*0.89</v>
      </c>
      <c r="AM260" s="43" t="str">
        <f t="shared" si="37"/>
        <v>REZoning_Sol-Win</v>
      </c>
      <c r="AP260" t="s">
        <v>3591</v>
      </c>
      <c r="AQ260" t="s">
        <v>57</v>
      </c>
      <c r="AR260">
        <f t="shared" si="35"/>
        <v>2100</v>
      </c>
      <c r="AS260" t="s">
        <v>937</v>
      </c>
      <c r="AT260" t="s">
        <v>58</v>
      </c>
    </row>
    <row r="261" ht="29" spans="1:46">
      <c r="A261" s="31" t="s">
        <v>83</v>
      </c>
      <c r="C261" t="s">
        <v>3592</v>
      </c>
      <c r="D261" s="5" t="s">
        <v>57</v>
      </c>
      <c r="E261">
        <v>2035</v>
      </c>
      <c r="F261" s="6" t="str">
        <f t="shared" si="38"/>
        <v>*0.95</v>
      </c>
      <c r="H261" t="s">
        <v>3592</v>
      </c>
      <c r="I261" s="5" t="s">
        <v>57</v>
      </c>
      <c r="J261">
        <v>2050</v>
      </c>
      <c r="K261" s="38" t="str">
        <f t="shared" si="39"/>
        <v>*0.92</v>
      </c>
      <c r="P261" s="32" t="s">
        <v>3592</v>
      </c>
      <c r="Q261" s="42" t="s">
        <v>57</v>
      </c>
      <c r="R261" s="32">
        <v>2035</v>
      </c>
      <c r="S261" s="43" t="str">
        <f t="shared" si="40"/>
        <v>*0.95</v>
      </c>
      <c r="U261" s="32" t="s">
        <v>3592</v>
      </c>
      <c r="V261" s="42" t="s">
        <v>57</v>
      </c>
      <c r="W261" s="32">
        <v>2050</v>
      </c>
      <c r="X261" s="43" t="str">
        <f t="shared" si="41"/>
        <v>*0.92</v>
      </c>
      <c r="AC261" s="33" t="s">
        <v>3592</v>
      </c>
      <c r="AD261" s="44" t="s">
        <v>57</v>
      </c>
      <c r="AE261" s="33">
        <v>2035</v>
      </c>
      <c r="AF261" s="45" t="str">
        <f t="shared" si="42"/>
        <v>*0.93</v>
      </c>
      <c r="AG261" s="43" t="str">
        <f t="shared" si="36"/>
        <v>REZoning_Sol-Win</v>
      </c>
      <c r="AI261" s="33" t="s">
        <v>3592</v>
      </c>
      <c r="AJ261" s="44" t="s">
        <v>57</v>
      </c>
      <c r="AK261" s="33">
        <v>2050</v>
      </c>
      <c r="AL261" s="45" t="str">
        <f t="shared" si="43"/>
        <v>*0.89</v>
      </c>
      <c r="AM261" s="43" t="str">
        <f t="shared" si="37"/>
        <v>REZoning_Sol-Win</v>
      </c>
      <c r="AP261" t="s">
        <v>3592</v>
      </c>
      <c r="AQ261" t="s">
        <v>57</v>
      </c>
      <c r="AR261">
        <f t="shared" si="35"/>
        <v>2100</v>
      </c>
      <c r="AS261" t="s">
        <v>937</v>
      </c>
      <c r="AT261" t="s">
        <v>58</v>
      </c>
    </row>
    <row r="262" ht="29" spans="1:46">
      <c r="A262" s="31" t="s">
        <v>83</v>
      </c>
      <c r="C262" t="s">
        <v>3593</v>
      </c>
      <c r="D262" s="5" t="s">
        <v>57</v>
      </c>
      <c r="E262">
        <v>2035</v>
      </c>
      <c r="F262" s="6" t="str">
        <f t="shared" si="38"/>
        <v>*0.95</v>
      </c>
      <c r="H262" t="s">
        <v>3593</v>
      </c>
      <c r="I262" s="5" t="s">
        <v>57</v>
      </c>
      <c r="J262">
        <v>2050</v>
      </c>
      <c r="K262" s="38" t="str">
        <f t="shared" si="39"/>
        <v>*0.92</v>
      </c>
      <c r="P262" s="32" t="s">
        <v>3593</v>
      </c>
      <c r="Q262" s="42" t="s">
        <v>57</v>
      </c>
      <c r="R262" s="32">
        <v>2035</v>
      </c>
      <c r="S262" s="43" t="str">
        <f t="shared" si="40"/>
        <v>*0.95</v>
      </c>
      <c r="U262" s="32" t="s">
        <v>3593</v>
      </c>
      <c r="V262" s="42" t="s">
        <v>57</v>
      </c>
      <c r="W262" s="32">
        <v>2050</v>
      </c>
      <c r="X262" s="43" t="str">
        <f t="shared" si="41"/>
        <v>*0.92</v>
      </c>
      <c r="AC262" s="33" t="s">
        <v>3593</v>
      </c>
      <c r="AD262" s="44" t="s">
        <v>57</v>
      </c>
      <c r="AE262" s="33">
        <v>2035</v>
      </c>
      <c r="AF262" s="45" t="str">
        <f t="shared" si="42"/>
        <v>*0.93</v>
      </c>
      <c r="AG262" s="43" t="str">
        <f t="shared" si="36"/>
        <v>REZoning_Sol-Win</v>
      </c>
      <c r="AI262" s="33" t="s">
        <v>3593</v>
      </c>
      <c r="AJ262" s="44" t="s">
        <v>57</v>
      </c>
      <c r="AK262" s="33">
        <v>2050</v>
      </c>
      <c r="AL262" s="45" t="str">
        <f t="shared" si="43"/>
        <v>*0.89</v>
      </c>
      <c r="AM262" s="43" t="str">
        <f t="shared" si="37"/>
        <v>REZoning_Sol-Win</v>
      </c>
      <c r="AP262" t="s">
        <v>3593</v>
      </c>
      <c r="AQ262" t="s">
        <v>57</v>
      </c>
      <c r="AR262">
        <f t="shared" ref="AR262:AR325" si="44">AR261</f>
        <v>2100</v>
      </c>
      <c r="AS262" t="s">
        <v>937</v>
      </c>
      <c r="AT262" t="s">
        <v>58</v>
      </c>
    </row>
    <row r="263" ht="29" spans="1:46">
      <c r="A263" s="31" t="s">
        <v>83</v>
      </c>
      <c r="C263" t="s">
        <v>3594</v>
      </c>
      <c r="D263" s="5" t="s">
        <v>57</v>
      </c>
      <c r="E263">
        <v>2035</v>
      </c>
      <c r="F263" s="6" t="str">
        <f t="shared" si="38"/>
        <v>*0.95</v>
      </c>
      <c r="H263" t="s">
        <v>3594</v>
      </c>
      <c r="I263" s="5" t="s">
        <v>57</v>
      </c>
      <c r="J263">
        <v>2050</v>
      </c>
      <c r="K263" s="38" t="str">
        <f t="shared" si="39"/>
        <v>*0.92</v>
      </c>
      <c r="P263" s="32" t="s">
        <v>3594</v>
      </c>
      <c r="Q263" s="42" t="s">
        <v>57</v>
      </c>
      <c r="R263" s="32">
        <v>2035</v>
      </c>
      <c r="S263" s="43" t="str">
        <f t="shared" si="40"/>
        <v>*0.95</v>
      </c>
      <c r="U263" s="32" t="s">
        <v>3594</v>
      </c>
      <c r="V263" s="42" t="s">
        <v>57</v>
      </c>
      <c r="W263" s="32">
        <v>2050</v>
      </c>
      <c r="X263" s="43" t="str">
        <f t="shared" si="41"/>
        <v>*0.92</v>
      </c>
      <c r="AC263" s="33" t="s">
        <v>3594</v>
      </c>
      <c r="AD263" s="44" t="s">
        <v>57</v>
      </c>
      <c r="AE263" s="33">
        <v>2035</v>
      </c>
      <c r="AF263" s="45" t="str">
        <f t="shared" si="42"/>
        <v>*0.93</v>
      </c>
      <c r="AG263" s="43" t="str">
        <f t="shared" si="36"/>
        <v>REZoning_Sol-Win</v>
      </c>
      <c r="AI263" s="33" t="s">
        <v>3594</v>
      </c>
      <c r="AJ263" s="44" t="s">
        <v>57</v>
      </c>
      <c r="AK263" s="33">
        <v>2050</v>
      </c>
      <c r="AL263" s="45" t="str">
        <f t="shared" si="43"/>
        <v>*0.89</v>
      </c>
      <c r="AM263" s="43" t="str">
        <f t="shared" si="37"/>
        <v>REZoning_Sol-Win</v>
      </c>
      <c r="AP263" t="s">
        <v>3594</v>
      </c>
      <c r="AQ263" t="s">
        <v>57</v>
      </c>
      <c r="AR263">
        <f t="shared" si="44"/>
        <v>2100</v>
      </c>
      <c r="AS263" t="s">
        <v>937</v>
      </c>
      <c r="AT263" t="s">
        <v>58</v>
      </c>
    </row>
    <row r="264" ht="29" spans="1:46">
      <c r="A264" s="31" t="s">
        <v>83</v>
      </c>
      <c r="C264" t="s">
        <v>3595</v>
      </c>
      <c r="D264" s="5" t="s">
        <v>57</v>
      </c>
      <c r="E264">
        <v>2035</v>
      </c>
      <c r="F264" s="6" t="str">
        <f t="shared" si="38"/>
        <v>*0.95</v>
      </c>
      <c r="H264" t="s">
        <v>3595</v>
      </c>
      <c r="I264" s="5" t="s">
        <v>57</v>
      </c>
      <c r="J264">
        <v>2050</v>
      </c>
      <c r="K264" s="38" t="str">
        <f t="shared" si="39"/>
        <v>*0.92</v>
      </c>
      <c r="P264" s="32" t="s">
        <v>3595</v>
      </c>
      <c r="Q264" s="42" t="s">
        <v>57</v>
      </c>
      <c r="R264" s="32">
        <v>2035</v>
      </c>
      <c r="S264" s="43" t="str">
        <f t="shared" si="40"/>
        <v>*0.95</v>
      </c>
      <c r="U264" s="32" t="s">
        <v>3595</v>
      </c>
      <c r="V264" s="42" t="s">
        <v>57</v>
      </c>
      <c r="W264" s="32">
        <v>2050</v>
      </c>
      <c r="X264" s="43" t="str">
        <f t="shared" si="41"/>
        <v>*0.92</v>
      </c>
      <c r="AC264" s="33" t="s">
        <v>3595</v>
      </c>
      <c r="AD264" s="44" t="s">
        <v>57</v>
      </c>
      <c r="AE264" s="33">
        <v>2035</v>
      </c>
      <c r="AF264" s="45" t="str">
        <f t="shared" si="42"/>
        <v>*0.93</v>
      </c>
      <c r="AG264" s="43" t="str">
        <f t="shared" si="36"/>
        <v>REZoning_Sol-Win</v>
      </c>
      <c r="AI264" s="33" t="s">
        <v>3595</v>
      </c>
      <c r="AJ264" s="44" t="s">
        <v>57</v>
      </c>
      <c r="AK264" s="33">
        <v>2050</v>
      </c>
      <c r="AL264" s="45" t="str">
        <f t="shared" si="43"/>
        <v>*0.89</v>
      </c>
      <c r="AM264" s="43" t="str">
        <f t="shared" si="37"/>
        <v>REZoning_Sol-Win</v>
      </c>
      <c r="AP264" t="s">
        <v>3595</v>
      </c>
      <c r="AQ264" t="s">
        <v>57</v>
      </c>
      <c r="AR264">
        <f t="shared" si="44"/>
        <v>2100</v>
      </c>
      <c r="AS264" t="s">
        <v>937</v>
      </c>
      <c r="AT264" t="s">
        <v>58</v>
      </c>
    </row>
    <row r="265" ht="29" spans="1:46">
      <c r="A265" s="31" t="s">
        <v>83</v>
      </c>
      <c r="C265" t="s">
        <v>3596</v>
      </c>
      <c r="D265" s="5" t="s">
        <v>57</v>
      </c>
      <c r="E265">
        <v>2035</v>
      </c>
      <c r="F265" s="6" t="str">
        <f t="shared" si="38"/>
        <v>*0.95</v>
      </c>
      <c r="H265" t="s">
        <v>3596</v>
      </c>
      <c r="I265" s="5" t="s">
        <v>57</v>
      </c>
      <c r="J265">
        <v>2050</v>
      </c>
      <c r="K265" s="38" t="str">
        <f t="shared" si="39"/>
        <v>*0.92</v>
      </c>
      <c r="P265" s="32" t="s">
        <v>3596</v>
      </c>
      <c r="Q265" s="42" t="s">
        <v>57</v>
      </c>
      <c r="R265" s="32">
        <v>2035</v>
      </c>
      <c r="S265" s="43" t="str">
        <f t="shared" si="40"/>
        <v>*0.95</v>
      </c>
      <c r="U265" s="32" t="s">
        <v>3596</v>
      </c>
      <c r="V265" s="42" t="s">
        <v>57</v>
      </c>
      <c r="W265" s="32">
        <v>2050</v>
      </c>
      <c r="X265" s="43" t="str">
        <f t="shared" si="41"/>
        <v>*0.92</v>
      </c>
      <c r="AC265" s="33" t="s">
        <v>3596</v>
      </c>
      <c r="AD265" s="44" t="s">
        <v>57</v>
      </c>
      <c r="AE265" s="33">
        <v>2035</v>
      </c>
      <c r="AF265" s="45" t="str">
        <f t="shared" si="42"/>
        <v>*0.93</v>
      </c>
      <c r="AG265" s="43" t="str">
        <f t="shared" ref="AG265:AG328" si="45">AG264</f>
        <v>REZoning_Sol-Win</v>
      </c>
      <c r="AI265" s="33" t="s">
        <v>3596</v>
      </c>
      <c r="AJ265" s="44" t="s">
        <v>57</v>
      </c>
      <c r="AK265" s="33">
        <v>2050</v>
      </c>
      <c r="AL265" s="45" t="str">
        <f t="shared" si="43"/>
        <v>*0.89</v>
      </c>
      <c r="AM265" s="43" t="str">
        <f t="shared" ref="AM265:AM328" si="46">AM264</f>
        <v>REZoning_Sol-Win</v>
      </c>
      <c r="AP265" t="s">
        <v>3596</v>
      </c>
      <c r="AQ265" t="s">
        <v>57</v>
      </c>
      <c r="AR265">
        <f t="shared" si="44"/>
        <v>2100</v>
      </c>
      <c r="AS265" t="s">
        <v>937</v>
      </c>
      <c r="AT265" t="s">
        <v>58</v>
      </c>
    </row>
    <row r="266" ht="29" spans="1:46">
      <c r="A266" s="31" t="s">
        <v>83</v>
      </c>
      <c r="C266" t="s">
        <v>3597</v>
      </c>
      <c r="D266" s="5" t="s">
        <v>57</v>
      </c>
      <c r="E266">
        <v>2035</v>
      </c>
      <c r="F266" s="6" t="str">
        <f t="shared" si="38"/>
        <v>*0.95</v>
      </c>
      <c r="H266" t="s">
        <v>3597</v>
      </c>
      <c r="I266" s="5" t="s">
        <v>57</v>
      </c>
      <c r="J266">
        <v>2050</v>
      </c>
      <c r="K266" s="38" t="str">
        <f t="shared" si="39"/>
        <v>*0.92</v>
      </c>
      <c r="P266" s="32" t="s">
        <v>3597</v>
      </c>
      <c r="Q266" s="42" t="s">
        <v>57</v>
      </c>
      <c r="R266" s="32">
        <v>2035</v>
      </c>
      <c r="S266" s="43" t="str">
        <f t="shared" si="40"/>
        <v>*0.95</v>
      </c>
      <c r="U266" s="32" t="s">
        <v>3597</v>
      </c>
      <c r="V266" s="42" t="s">
        <v>57</v>
      </c>
      <c r="W266" s="32">
        <v>2050</v>
      </c>
      <c r="X266" s="43" t="str">
        <f t="shared" si="41"/>
        <v>*0.92</v>
      </c>
      <c r="AC266" s="33" t="s">
        <v>3597</v>
      </c>
      <c r="AD266" s="44" t="s">
        <v>57</v>
      </c>
      <c r="AE266" s="33">
        <v>2035</v>
      </c>
      <c r="AF266" s="45" t="str">
        <f t="shared" si="42"/>
        <v>*0.93</v>
      </c>
      <c r="AG266" s="43" t="str">
        <f t="shared" si="45"/>
        <v>REZoning_Sol-Win</v>
      </c>
      <c r="AI266" s="33" t="s">
        <v>3597</v>
      </c>
      <c r="AJ266" s="44" t="s">
        <v>57</v>
      </c>
      <c r="AK266" s="33">
        <v>2050</v>
      </c>
      <c r="AL266" s="45" t="str">
        <f t="shared" si="43"/>
        <v>*0.89</v>
      </c>
      <c r="AM266" s="43" t="str">
        <f t="shared" si="46"/>
        <v>REZoning_Sol-Win</v>
      </c>
      <c r="AP266" t="s">
        <v>3597</v>
      </c>
      <c r="AQ266" t="s">
        <v>57</v>
      </c>
      <c r="AR266">
        <f t="shared" si="44"/>
        <v>2100</v>
      </c>
      <c r="AS266" t="s">
        <v>937</v>
      </c>
      <c r="AT266" t="s">
        <v>58</v>
      </c>
    </row>
    <row r="267" ht="29" spans="1:46">
      <c r="A267" s="31" t="s">
        <v>83</v>
      </c>
      <c r="C267" t="s">
        <v>3598</v>
      </c>
      <c r="D267" s="5" t="s">
        <v>57</v>
      </c>
      <c r="E267">
        <v>2035</v>
      </c>
      <c r="F267" s="6" t="str">
        <f t="shared" si="38"/>
        <v>*0.95</v>
      </c>
      <c r="H267" t="s">
        <v>3598</v>
      </c>
      <c r="I267" s="5" t="s">
        <v>57</v>
      </c>
      <c r="J267">
        <v>2050</v>
      </c>
      <c r="K267" s="38" t="str">
        <f t="shared" si="39"/>
        <v>*0.92</v>
      </c>
      <c r="P267" s="32" t="s">
        <v>3598</v>
      </c>
      <c r="Q267" s="42" t="s">
        <v>57</v>
      </c>
      <c r="R267" s="32">
        <v>2035</v>
      </c>
      <c r="S267" s="43" t="str">
        <f t="shared" si="40"/>
        <v>*0.95</v>
      </c>
      <c r="U267" s="32" t="s">
        <v>3598</v>
      </c>
      <c r="V267" s="42" t="s">
        <v>57</v>
      </c>
      <c r="W267" s="32">
        <v>2050</v>
      </c>
      <c r="X267" s="43" t="str">
        <f t="shared" si="41"/>
        <v>*0.92</v>
      </c>
      <c r="AC267" s="33" t="s">
        <v>3598</v>
      </c>
      <c r="AD267" s="44" t="s">
        <v>57</v>
      </c>
      <c r="AE267" s="33">
        <v>2035</v>
      </c>
      <c r="AF267" s="45" t="str">
        <f t="shared" si="42"/>
        <v>*0.93</v>
      </c>
      <c r="AG267" s="43" t="str">
        <f t="shared" si="45"/>
        <v>REZoning_Sol-Win</v>
      </c>
      <c r="AI267" s="33" t="s">
        <v>3598</v>
      </c>
      <c r="AJ267" s="44" t="s">
        <v>57</v>
      </c>
      <c r="AK267" s="33">
        <v>2050</v>
      </c>
      <c r="AL267" s="45" t="str">
        <f t="shared" si="43"/>
        <v>*0.89</v>
      </c>
      <c r="AM267" s="43" t="str">
        <f t="shared" si="46"/>
        <v>REZoning_Sol-Win</v>
      </c>
      <c r="AP267" t="s">
        <v>3598</v>
      </c>
      <c r="AQ267" t="s">
        <v>57</v>
      </c>
      <c r="AR267">
        <f t="shared" si="44"/>
        <v>2100</v>
      </c>
      <c r="AS267" t="s">
        <v>937</v>
      </c>
      <c r="AT267" t="s">
        <v>58</v>
      </c>
    </row>
    <row r="268" ht="29" spans="1:46">
      <c r="A268" s="31" t="s">
        <v>83</v>
      </c>
      <c r="C268" t="s">
        <v>3599</v>
      </c>
      <c r="D268" s="5" t="s">
        <v>57</v>
      </c>
      <c r="E268">
        <v>2035</v>
      </c>
      <c r="F268" s="6" t="str">
        <f t="shared" si="38"/>
        <v>*0.95</v>
      </c>
      <c r="H268" t="s">
        <v>3599</v>
      </c>
      <c r="I268" s="5" t="s">
        <v>57</v>
      </c>
      <c r="J268">
        <v>2050</v>
      </c>
      <c r="K268" s="38" t="str">
        <f t="shared" si="39"/>
        <v>*0.92</v>
      </c>
      <c r="P268" s="32" t="s">
        <v>3599</v>
      </c>
      <c r="Q268" s="42" t="s">
        <v>57</v>
      </c>
      <c r="R268" s="32">
        <v>2035</v>
      </c>
      <c r="S268" s="43" t="str">
        <f t="shared" si="40"/>
        <v>*0.95</v>
      </c>
      <c r="U268" s="32" t="s">
        <v>3599</v>
      </c>
      <c r="V268" s="42" t="s">
        <v>57</v>
      </c>
      <c r="W268" s="32">
        <v>2050</v>
      </c>
      <c r="X268" s="43" t="str">
        <f t="shared" si="41"/>
        <v>*0.92</v>
      </c>
      <c r="AC268" s="33" t="s">
        <v>3599</v>
      </c>
      <c r="AD268" s="44" t="s">
        <v>57</v>
      </c>
      <c r="AE268" s="33">
        <v>2035</v>
      </c>
      <c r="AF268" s="45" t="str">
        <f t="shared" si="42"/>
        <v>*0.93</v>
      </c>
      <c r="AG268" s="43" t="str">
        <f t="shared" si="45"/>
        <v>REZoning_Sol-Win</v>
      </c>
      <c r="AI268" s="33" t="s">
        <v>3599</v>
      </c>
      <c r="AJ268" s="44" t="s">
        <v>57</v>
      </c>
      <c r="AK268" s="33">
        <v>2050</v>
      </c>
      <c r="AL268" s="45" t="str">
        <f t="shared" si="43"/>
        <v>*0.89</v>
      </c>
      <c r="AM268" s="43" t="str">
        <f t="shared" si="46"/>
        <v>REZoning_Sol-Win</v>
      </c>
      <c r="AP268" t="s">
        <v>3599</v>
      </c>
      <c r="AQ268" t="s">
        <v>57</v>
      </c>
      <c r="AR268">
        <f t="shared" si="44"/>
        <v>2100</v>
      </c>
      <c r="AS268" t="s">
        <v>937</v>
      </c>
      <c r="AT268" t="s">
        <v>58</v>
      </c>
    </row>
    <row r="269" ht="29" spans="1:46">
      <c r="A269" s="31" t="s">
        <v>83</v>
      </c>
      <c r="C269" t="s">
        <v>3600</v>
      </c>
      <c r="D269" s="5" t="s">
        <v>57</v>
      </c>
      <c r="E269">
        <v>2035</v>
      </c>
      <c r="F269" s="6" t="str">
        <f t="shared" si="38"/>
        <v>*0.95</v>
      </c>
      <c r="H269" t="s">
        <v>3600</v>
      </c>
      <c r="I269" s="5" t="s">
        <v>57</v>
      </c>
      <c r="J269">
        <v>2050</v>
      </c>
      <c r="K269" s="38" t="str">
        <f t="shared" si="39"/>
        <v>*0.92</v>
      </c>
      <c r="P269" s="32" t="s">
        <v>3600</v>
      </c>
      <c r="Q269" s="42" t="s">
        <v>57</v>
      </c>
      <c r="R269" s="32">
        <v>2035</v>
      </c>
      <c r="S269" s="43" t="str">
        <f t="shared" si="40"/>
        <v>*0.95</v>
      </c>
      <c r="U269" s="32" t="s">
        <v>3600</v>
      </c>
      <c r="V269" s="42" t="s">
        <v>57</v>
      </c>
      <c r="W269" s="32">
        <v>2050</v>
      </c>
      <c r="X269" s="43" t="str">
        <f t="shared" si="41"/>
        <v>*0.92</v>
      </c>
      <c r="AC269" s="33" t="s">
        <v>3600</v>
      </c>
      <c r="AD269" s="44" t="s">
        <v>57</v>
      </c>
      <c r="AE269" s="33">
        <v>2035</v>
      </c>
      <c r="AF269" s="45" t="str">
        <f t="shared" si="42"/>
        <v>*0.93</v>
      </c>
      <c r="AG269" s="43" t="str">
        <f t="shared" si="45"/>
        <v>REZoning_Sol-Win</v>
      </c>
      <c r="AI269" s="33" t="s">
        <v>3600</v>
      </c>
      <c r="AJ269" s="44" t="s">
        <v>57</v>
      </c>
      <c r="AK269" s="33">
        <v>2050</v>
      </c>
      <c r="AL269" s="45" t="str">
        <f t="shared" si="43"/>
        <v>*0.89</v>
      </c>
      <c r="AM269" s="43" t="str">
        <f t="shared" si="46"/>
        <v>REZoning_Sol-Win</v>
      </c>
      <c r="AP269" t="s">
        <v>3600</v>
      </c>
      <c r="AQ269" t="s">
        <v>57</v>
      </c>
      <c r="AR269">
        <f t="shared" si="44"/>
        <v>2100</v>
      </c>
      <c r="AS269" t="s">
        <v>937</v>
      </c>
      <c r="AT269" t="s">
        <v>58</v>
      </c>
    </row>
    <row r="270" ht="29" spans="1:46">
      <c r="A270" s="31" t="s">
        <v>83</v>
      </c>
      <c r="C270" t="s">
        <v>3601</v>
      </c>
      <c r="D270" s="5" t="s">
        <v>57</v>
      </c>
      <c r="E270">
        <v>2035</v>
      </c>
      <c r="F270" s="6" t="str">
        <f t="shared" si="38"/>
        <v>*0.95</v>
      </c>
      <c r="H270" t="s">
        <v>3601</v>
      </c>
      <c r="I270" s="5" t="s">
        <v>57</v>
      </c>
      <c r="J270">
        <v>2050</v>
      </c>
      <c r="K270" s="38" t="str">
        <f t="shared" si="39"/>
        <v>*0.92</v>
      </c>
      <c r="P270" s="32" t="s">
        <v>3601</v>
      </c>
      <c r="Q270" s="42" t="s">
        <v>57</v>
      </c>
      <c r="R270" s="32">
        <v>2035</v>
      </c>
      <c r="S270" s="43" t="str">
        <f t="shared" si="40"/>
        <v>*0.95</v>
      </c>
      <c r="U270" s="32" t="s">
        <v>3601</v>
      </c>
      <c r="V270" s="42" t="s">
        <v>57</v>
      </c>
      <c r="W270" s="32">
        <v>2050</v>
      </c>
      <c r="X270" s="43" t="str">
        <f t="shared" si="41"/>
        <v>*0.92</v>
      </c>
      <c r="AC270" s="33" t="s">
        <v>3601</v>
      </c>
      <c r="AD270" s="44" t="s">
        <v>57</v>
      </c>
      <c r="AE270" s="33">
        <v>2035</v>
      </c>
      <c r="AF270" s="45" t="str">
        <f t="shared" si="42"/>
        <v>*0.93</v>
      </c>
      <c r="AG270" s="43" t="str">
        <f t="shared" si="45"/>
        <v>REZoning_Sol-Win</v>
      </c>
      <c r="AI270" s="33" t="s">
        <v>3601</v>
      </c>
      <c r="AJ270" s="44" t="s">
        <v>57</v>
      </c>
      <c r="AK270" s="33">
        <v>2050</v>
      </c>
      <c r="AL270" s="45" t="str">
        <f t="shared" si="43"/>
        <v>*0.89</v>
      </c>
      <c r="AM270" s="43" t="str">
        <f t="shared" si="46"/>
        <v>REZoning_Sol-Win</v>
      </c>
      <c r="AP270" t="s">
        <v>3601</v>
      </c>
      <c r="AQ270" t="s">
        <v>57</v>
      </c>
      <c r="AR270">
        <f t="shared" si="44"/>
        <v>2100</v>
      </c>
      <c r="AS270" t="s">
        <v>937</v>
      </c>
      <c r="AT270" t="s">
        <v>58</v>
      </c>
    </row>
    <row r="271" ht="29" spans="1:46">
      <c r="A271" s="31" t="s">
        <v>83</v>
      </c>
      <c r="C271" t="s">
        <v>3602</v>
      </c>
      <c r="D271" s="5" t="s">
        <v>57</v>
      </c>
      <c r="E271">
        <v>2035</v>
      </c>
      <c r="F271" s="6" t="str">
        <f t="shared" si="38"/>
        <v>*0.95</v>
      </c>
      <c r="H271" t="s">
        <v>3602</v>
      </c>
      <c r="I271" s="5" t="s">
        <v>57</v>
      </c>
      <c r="J271">
        <v>2050</v>
      </c>
      <c r="K271" s="38" t="str">
        <f t="shared" si="39"/>
        <v>*0.92</v>
      </c>
      <c r="P271" s="32" t="s">
        <v>3602</v>
      </c>
      <c r="Q271" s="42" t="s">
        <v>57</v>
      </c>
      <c r="R271" s="32">
        <v>2035</v>
      </c>
      <c r="S271" s="43" t="str">
        <f t="shared" si="40"/>
        <v>*0.95</v>
      </c>
      <c r="U271" s="32" t="s">
        <v>3602</v>
      </c>
      <c r="V271" s="42" t="s">
        <v>57</v>
      </c>
      <c r="W271" s="32">
        <v>2050</v>
      </c>
      <c r="X271" s="43" t="str">
        <f t="shared" si="41"/>
        <v>*0.92</v>
      </c>
      <c r="AC271" s="33" t="s">
        <v>3602</v>
      </c>
      <c r="AD271" s="44" t="s">
        <v>57</v>
      </c>
      <c r="AE271" s="33">
        <v>2035</v>
      </c>
      <c r="AF271" s="45" t="str">
        <f t="shared" si="42"/>
        <v>*0.93</v>
      </c>
      <c r="AG271" s="43" t="str">
        <f t="shared" si="45"/>
        <v>REZoning_Sol-Win</v>
      </c>
      <c r="AI271" s="33" t="s">
        <v>3602</v>
      </c>
      <c r="AJ271" s="44" t="s">
        <v>57</v>
      </c>
      <c r="AK271" s="33">
        <v>2050</v>
      </c>
      <c r="AL271" s="45" t="str">
        <f t="shared" si="43"/>
        <v>*0.89</v>
      </c>
      <c r="AM271" s="43" t="str">
        <f t="shared" si="46"/>
        <v>REZoning_Sol-Win</v>
      </c>
      <c r="AP271" t="s">
        <v>3602</v>
      </c>
      <c r="AQ271" t="s">
        <v>57</v>
      </c>
      <c r="AR271">
        <f t="shared" si="44"/>
        <v>2100</v>
      </c>
      <c r="AS271" t="s">
        <v>937</v>
      </c>
      <c r="AT271" t="s">
        <v>58</v>
      </c>
    </row>
    <row r="272" ht="29" spans="1:46">
      <c r="A272" s="31" t="s">
        <v>83</v>
      </c>
      <c r="C272" t="s">
        <v>3603</v>
      </c>
      <c r="D272" s="5" t="s">
        <v>57</v>
      </c>
      <c r="E272">
        <v>2035</v>
      </c>
      <c r="F272" s="6" t="str">
        <f t="shared" si="38"/>
        <v>*0.95</v>
      </c>
      <c r="H272" t="s">
        <v>3603</v>
      </c>
      <c r="I272" s="5" t="s">
        <v>57</v>
      </c>
      <c r="J272">
        <v>2050</v>
      </c>
      <c r="K272" s="38" t="str">
        <f t="shared" si="39"/>
        <v>*0.92</v>
      </c>
      <c r="P272" s="32" t="s">
        <v>3603</v>
      </c>
      <c r="Q272" s="42" t="s">
        <v>57</v>
      </c>
      <c r="R272" s="32">
        <v>2035</v>
      </c>
      <c r="S272" s="43" t="str">
        <f t="shared" si="40"/>
        <v>*0.95</v>
      </c>
      <c r="U272" s="32" t="s">
        <v>3603</v>
      </c>
      <c r="V272" s="42" t="s">
        <v>57</v>
      </c>
      <c r="W272" s="32">
        <v>2050</v>
      </c>
      <c r="X272" s="43" t="str">
        <f t="shared" si="41"/>
        <v>*0.92</v>
      </c>
      <c r="AC272" s="33" t="s">
        <v>3603</v>
      </c>
      <c r="AD272" s="44" t="s">
        <v>57</v>
      </c>
      <c r="AE272" s="33">
        <v>2035</v>
      </c>
      <c r="AF272" s="45" t="str">
        <f t="shared" si="42"/>
        <v>*0.93</v>
      </c>
      <c r="AG272" s="43" t="str">
        <f t="shared" si="45"/>
        <v>REZoning_Sol-Win</v>
      </c>
      <c r="AI272" s="33" t="s">
        <v>3603</v>
      </c>
      <c r="AJ272" s="44" t="s">
        <v>57</v>
      </c>
      <c r="AK272" s="33">
        <v>2050</v>
      </c>
      <c r="AL272" s="45" t="str">
        <f t="shared" si="43"/>
        <v>*0.89</v>
      </c>
      <c r="AM272" s="43" t="str">
        <f t="shared" si="46"/>
        <v>REZoning_Sol-Win</v>
      </c>
      <c r="AP272" t="s">
        <v>3603</v>
      </c>
      <c r="AQ272" t="s">
        <v>57</v>
      </c>
      <c r="AR272">
        <f t="shared" si="44"/>
        <v>2100</v>
      </c>
      <c r="AS272" t="s">
        <v>937</v>
      </c>
      <c r="AT272" t="s">
        <v>58</v>
      </c>
    </row>
    <row r="273" ht="29" spans="1:46">
      <c r="A273" s="31" t="s">
        <v>83</v>
      </c>
      <c r="C273" t="s">
        <v>3604</v>
      </c>
      <c r="D273" s="5" t="s">
        <v>57</v>
      </c>
      <c r="E273">
        <v>2035</v>
      </c>
      <c r="F273" s="6" t="str">
        <f t="shared" si="38"/>
        <v>*0.95</v>
      </c>
      <c r="H273" t="s">
        <v>3604</v>
      </c>
      <c r="I273" s="5" t="s">
        <v>57</v>
      </c>
      <c r="J273">
        <v>2050</v>
      </c>
      <c r="K273" s="38" t="str">
        <f t="shared" si="39"/>
        <v>*0.92</v>
      </c>
      <c r="P273" s="32" t="s">
        <v>3604</v>
      </c>
      <c r="Q273" s="42" t="s">
        <v>57</v>
      </c>
      <c r="R273" s="32">
        <v>2035</v>
      </c>
      <c r="S273" s="43" t="str">
        <f t="shared" si="40"/>
        <v>*0.95</v>
      </c>
      <c r="U273" s="32" t="s">
        <v>3604</v>
      </c>
      <c r="V273" s="42" t="s">
        <v>57</v>
      </c>
      <c r="W273" s="32">
        <v>2050</v>
      </c>
      <c r="X273" s="43" t="str">
        <f t="shared" si="41"/>
        <v>*0.92</v>
      </c>
      <c r="AC273" s="33" t="s">
        <v>3604</v>
      </c>
      <c r="AD273" s="44" t="s">
        <v>57</v>
      </c>
      <c r="AE273" s="33">
        <v>2035</v>
      </c>
      <c r="AF273" s="45" t="str">
        <f t="shared" si="42"/>
        <v>*0.93</v>
      </c>
      <c r="AG273" s="43" t="str">
        <f t="shared" si="45"/>
        <v>REZoning_Sol-Win</v>
      </c>
      <c r="AI273" s="33" t="s">
        <v>3604</v>
      </c>
      <c r="AJ273" s="44" t="s">
        <v>57</v>
      </c>
      <c r="AK273" s="33">
        <v>2050</v>
      </c>
      <c r="AL273" s="45" t="str">
        <f t="shared" si="43"/>
        <v>*0.89</v>
      </c>
      <c r="AM273" s="43" t="str">
        <f t="shared" si="46"/>
        <v>REZoning_Sol-Win</v>
      </c>
      <c r="AP273" t="s">
        <v>3604</v>
      </c>
      <c r="AQ273" t="s">
        <v>57</v>
      </c>
      <c r="AR273">
        <f t="shared" si="44"/>
        <v>2100</v>
      </c>
      <c r="AS273" t="s">
        <v>937</v>
      </c>
      <c r="AT273" t="s">
        <v>58</v>
      </c>
    </row>
    <row r="274" ht="29" spans="1:46">
      <c r="A274" s="31" t="s">
        <v>83</v>
      </c>
      <c r="C274" t="s">
        <v>3605</v>
      </c>
      <c r="D274" s="5" t="s">
        <v>57</v>
      </c>
      <c r="E274">
        <v>2035</v>
      </c>
      <c r="F274" s="6" t="str">
        <f t="shared" si="38"/>
        <v>*0.95</v>
      </c>
      <c r="H274" t="s">
        <v>3605</v>
      </c>
      <c r="I274" s="5" t="s">
        <v>57</v>
      </c>
      <c r="J274">
        <v>2050</v>
      </c>
      <c r="K274" s="38" t="str">
        <f t="shared" si="39"/>
        <v>*0.92</v>
      </c>
      <c r="P274" s="32" t="s">
        <v>3605</v>
      </c>
      <c r="Q274" s="42" t="s">
        <v>57</v>
      </c>
      <c r="R274" s="32">
        <v>2035</v>
      </c>
      <c r="S274" s="43" t="str">
        <f t="shared" si="40"/>
        <v>*0.95</v>
      </c>
      <c r="U274" s="32" t="s">
        <v>3605</v>
      </c>
      <c r="V274" s="42" t="s">
        <v>57</v>
      </c>
      <c r="W274" s="32">
        <v>2050</v>
      </c>
      <c r="X274" s="43" t="str">
        <f t="shared" si="41"/>
        <v>*0.92</v>
      </c>
      <c r="AC274" s="33" t="s">
        <v>3605</v>
      </c>
      <c r="AD274" s="44" t="s">
        <v>57</v>
      </c>
      <c r="AE274" s="33">
        <v>2035</v>
      </c>
      <c r="AF274" s="45" t="str">
        <f t="shared" si="42"/>
        <v>*0.93</v>
      </c>
      <c r="AG274" s="43" t="str">
        <f t="shared" si="45"/>
        <v>REZoning_Sol-Win</v>
      </c>
      <c r="AI274" s="33" t="s">
        <v>3605</v>
      </c>
      <c r="AJ274" s="44" t="s">
        <v>57</v>
      </c>
      <c r="AK274" s="33">
        <v>2050</v>
      </c>
      <c r="AL274" s="45" t="str">
        <f t="shared" si="43"/>
        <v>*0.89</v>
      </c>
      <c r="AM274" s="43" t="str">
        <f t="shared" si="46"/>
        <v>REZoning_Sol-Win</v>
      </c>
      <c r="AP274" t="s">
        <v>3605</v>
      </c>
      <c r="AQ274" t="s">
        <v>57</v>
      </c>
      <c r="AR274">
        <f t="shared" si="44"/>
        <v>2100</v>
      </c>
      <c r="AS274" t="s">
        <v>937</v>
      </c>
      <c r="AT274" t="s">
        <v>58</v>
      </c>
    </row>
    <row r="275" ht="29" spans="1:46">
      <c r="A275" s="31" t="s">
        <v>83</v>
      </c>
      <c r="C275" t="s">
        <v>3606</v>
      </c>
      <c r="D275" s="5" t="s">
        <v>57</v>
      </c>
      <c r="E275">
        <v>2035</v>
      </c>
      <c r="F275" s="6" t="str">
        <f t="shared" si="38"/>
        <v>*0.95</v>
      </c>
      <c r="H275" t="s">
        <v>3606</v>
      </c>
      <c r="I275" s="5" t="s">
        <v>57</v>
      </c>
      <c r="J275">
        <v>2050</v>
      </c>
      <c r="K275" s="38" t="str">
        <f t="shared" si="39"/>
        <v>*0.92</v>
      </c>
      <c r="P275" s="32" t="s">
        <v>3606</v>
      </c>
      <c r="Q275" s="42" t="s">
        <v>57</v>
      </c>
      <c r="R275" s="32">
        <v>2035</v>
      </c>
      <c r="S275" s="43" t="str">
        <f t="shared" si="40"/>
        <v>*0.95</v>
      </c>
      <c r="U275" s="32" t="s">
        <v>3606</v>
      </c>
      <c r="V275" s="42" t="s">
        <v>57</v>
      </c>
      <c r="W275" s="32">
        <v>2050</v>
      </c>
      <c r="X275" s="43" t="str">
        <f t="shared" si="41"/>
        <v>*0.92</v>
      </c>
      <c r="AC275" s="33" t="s">
        <v>3606</v>
      </c>
      <c r="AD275" s="44" t="s">
        <v>57</v>
      </c>
      <c r="AE275" s="33">
        <v>2035</v>
      </c>
      <c r="AF275" s="45" t="str">
        <f t="shared" si="42"/>
        <v>*0.93</v>
      </c>
      <c r="AG275" s="43" t="str">
        <f t="shared" si="45"/>
        <v>REZoning_Sol-Win</v>
      </c>
      <c r="AI275" s="33" t="s">
        <v>3606</v>
      </c>
      <c r="AJ275" s="44" t="s">
        <v>57</v>
      </c>
      <c r="AK275" s="33">
        <v>2050</v>
      </c>
      <c r="AL275" s="45" t="str">
        <f t="shared" si="43"/>
        <v>*0.89</v>
      </c>
      <c r="AM275" s="43" t="str">
        <f t="shared" si="46"/>
        <v>REZoning_Sol-Win</v>
      </c>
      <c r="AP275" t="s">
        <v>3606</v>
      </c>
      <c r="AQ275" t="s">
        <v>57</v>
      </c>
      <c r="AR275">
        <f t="shared" si="44"/>
        <v>2100</v>
      </c>
      <c r="AS275" t="s">
        <v>937</v>
      </c>
      <c r="AT275" t="s">
        <v>58</v>
      </c>
    </row>
    <row r="276" ht="29" spans="1:46">
      <c r="A276" s="31" t="s">
        <v>83</v>
      </c>
      <c r="C276" t="s">
        <v>3607</v>
      </c>
      <c r="D276" s="5" t="s">
        <v>57</v>
      </c>
      <c r="E276">
        <v>2035</v>
      </c>
      <c r="F276" s="6" t="str">
        <f t="shared" si="38"/>
        <v>*0.95</v>
      </c>
      <c r="H276" t="s">
        <v>3607</v>
      </c>
      <c r="I276" s="5" t="s">
        <v>57</v>
      </c>
      <c r="J276">
        <v>2050</v>
      </c>
      <c r="K276" s="38" t="str">
        <f t="shared" si="39"/>
        <v>*0.92</v>
      </c>
      <c r="P276" s="32" t="s">
        <v>3607</v>
      </c>
      <c r="Q276" s="42" t="s">
        <v>57</v>
      </c>
      <c r="R276" s="32">
        <v>2035</v>
      </c>
      <c r="S276" s="43" t="str">
        <f t="shared" si="40"/>
        <v>*0.95</v>
      </c>
      <c r="U276" s="32" t="s">
        <v>3607</v>
      </c>
      <c r="V276" s="42" t="s">
        <v>57</v>
      </c>
      <c r="W276" s="32">
        <v>2050</v>
      </c>
      <c r="X276" s="43" t="str">
        <f t="shared" si="41"/>
        <v>*0.92</v>
      </c>
      <c r="AC276" s="33" t="s">
        <v>3607</v>
      </c>
      <c r="AD276" s="44" t="s">
        <v>57</v>
      </c>
      <c r="AE276" s="33">
        <v>2035</v>
      </c>
      <c r="AF276" s="45" t="str">
        <f t="shared" si="42"/>
        <v>*0.93</v>
      </c>
      <c r="AG276" s="43" t="str">
        <f t="shared" si="45"/>
        <v>REZoning_Sol-Win</v>
      </c>
      <c r="AI276" s="33" t="s">
        <v>3607</v>
      </c>
      <c r="AJ276" s="44" t="s">
        <v>57</v>
      </c>
      <c r="AK276" s="33">
        <v>2050</v>
      </c>
      <c r="AL276" s="45" t="str">
        <f t="shared" si="43"/>
        <v>*0.89</v>
      </c>
      <c r="AM276" s="43" t="str">
        <f t="shared" si="46"/>
        <v>REZoning_Sol-Win</v>
      </c>
      <c r="AP276" t="s">
        <v>3607</v>
      </c>
      <c r="AQ276" t="s">
        <v>57</v>
      </c>
      <c r="AR276">
        <f t="shared" si="44"/>
        <v>2100</v>
      </c>
      <c r="AS276" t="s">
        <v>937</v>
      </c>
      <c r="AT276" t="s">
        <v>58</v>
      </c>
    </row>
    <row r="277" ht="29" spans="1:46">
      <c r="A277" s="31" t="s">
        <v>83</v>
      </c>
      <c r="C277" t="s">
        <v>3608</v>
      </c>
      <c r="D277" s="5" t="s">
        <v>57</v>
      </c>
      <c r="E277">
        <v>2035</v>
      </c>
      <c r="F277" s="6" t="str">
        <f t="shared" si="38"/>
        <v>*0.95</v>
      </c>
      <c r="H277" t="s">
        <v>3608</v>
      </c>
      <c r="I277" s="5" t="s">
        <v>57</v>
      </c>
      <c r="J277">
        <v>2050</v>
      </c>
      <c r="K277" s="38" t="str">
        <f t="shared" si="39"/>
        <v>*0.92</v>
      </c>
      <c r="P277" s="32" t="s">
        <v>3608</v>
      </c>
      <c r="Q277" s="42" t="s">
        <v>57</v>
      </c>
      <c r="R277" s="32">
        <v>2035</v>
      </c>
      <c r="S277" s="43" t="str">
        <f t="shared" si="40"/>
        <v>*0.95</v>
      </c>
      <c r="U277" s="32" t="s">
        <v>3608</v>
      </c>
      <c r="V277" s="42" t="s">
        <v>57</v>
      </c>
      <c r="W277" s="32">
        <v>2050</v>
      </c>
      <c r="X277" s="43" t="str">
        <f t="shared" si="41"/>
        <v>*0.92</v>
      </c>
      <c r="AC277" s="33" t="s">
        <v>3608</v>
      </c>
      <c r="AD277" s="44" t="s">
        <v>57</v>
      </c>
      <c r="AE277" s="33">
        <v>2035</v>
      </c>
      <c r="AF277" s="45" t="str">
        <f t="shared" si="42"/>
        <v>*0.93</v>
      </c>
      <c r="AG277" s="43" t="str">
        <f t="shared" si="45"/>
        <v>REZoning_Sol-Win</v>
      </c>
      <c r="AI277" s="33" t="s">
        <v>3608</v>
      </c>
      <c r="AJ277" s="44" t="s">
        <v>57</v>
      </c>
      <c r="AK277" s="33">
        <v>2050</v>
      </c>
      <c r="AL277" s="45" t="str">
        <f t="shared" si="43"/>
        <v>*0.89</v>
      </c>
      <c r="AM277" s="43" t="str">
        <f t="shared" si="46"/>
        <v>REZoning_Sol-Win</v>
      </c>
      <c r="AP277" t="s">
        <v>3608</v>
      </c>
      <c r="AQ277" t="s">
        <v>57</v>
      </c>
      <c r="AR277">
        <f t="shared" si="44"/>
        <v>2100</v>
      </c>
      <c r="AS277" t="s">
        <v>937</v>
      </c>
      <c r="AT277" t="s">
        <v>58</v>
      </c>
    </row>
    <row r="278" ht="29" spans="1:46">
      <c r="A278" s="31" t="s">
        <v>83</v>
      </c>
      <c r="C278" t="s">
        <v>3609</v>
      </c>
      <c r="D278" s="5" t="s">
        <v>57</v>
      </c>
      <c r="E278">
        <v>2035</v>
      </c>
      <c r="F278" s="6" t="str">
        <f t="shared" si="38"/>
        <v>*0.95</v>
      </c>
      <c r="H278" t="s">
        <v>3609</v>
      </c>
      <c r="I278" s="5" t="s">
        <v>57</v>
      </c>
      <c r="J278">
        <v>2050</v>
      </c>
      <c r="K278" s="38" t="str">
        <f t="shared" si="39"/>
        <v>*0.92</v>
      </c>
      <c r="P278" s="32" t="s">
        <v>3609</v>
      </c>
      <c r="Q278" s="42" t="s">
        <v>57</v>
      </c>
      <c r="R278" s="32">
        <v>2035</v>
      </c>
      <c r="S278" s="43" t="str">
        <f t="shared" si="40"/>
        <v>*0.95</v>
      </c>
      <c r="U278" s="32" t="s">
        <v>3609</v>
      </c>
      <c r="V278" s="42" t="s">
        <v>57</v>
      </c>
      <c r="W278" s="32">
        <v>2050</v>
      </c>
      <c r="X278" s="43" t="str">
        <f t="shared" si="41"/>
        <v>*0.92</v>
      </c>
      <c r="AC278" s="33" t="s">
        <v>3609</v>
      </c>
      <c r="AD278" s="44" t="s">
        <v>57</v>
      </c>
      <c r="AE278" s="33">
        <v>2035</v>
      </c>
      <c r="AF278" s="45" t="str">
        <f t="shared" si="42"/>
        <v>*0.93</v>
      </c>
      <c r="AG278" s="43" t="str">
        <f t="shared" si="45"/>
        <v>REZoning_Sol-Win</v>
      </c>
      <c r="AI278" s="33" t="s">
        <v>3609</v>
      </c>
      <c r="AJ278" s="44" t="s">
        <v>57</v>
      </c>
      <c r="AK278" s="33">
        <v>2050</v>
      </c>
      <c r="AL278" s="45" t="str">
        <f t="shared" si="43"/>
        <v>*0.89</v>
      </c>
      <c r="AM278" s="43" t="str">
        <f t="shared" si="46"/>
        <v>REZoning_Sol-Win</v>
      </c>
      <c r="AP278" t="s">
        <v>3609</v>
      </c>
      <c r="AQ278" t="s">
        <v>57</v>
      </c>
      <c r="AR278">
        <f t="shared" si="44"/>
        <v>2100</v>
      </c>
      <c r="AS278" t="s">
        <v>937</v>
      </c>
      <c r="AT278" t="s">
        <v>58</v>
      </c>
    </row>
    <row r="279" ht="29" spans="1:46">
      <c r="A279" s="31" t="s">
        <v>83</v>
      </c>
      <c r="C279" t="s">
        <v>3610</v>
      </c>
      <c r="D279" s="5" t="s">
        <v>57</v>
      </c>
      <c r="E279">
        <v>2035</v>
      </c>
      <c r="F279" s="6" t="str">
        <f t="shared" si="38"/>
        <v>*0.95</v>
      </c>
      <c r="H279" t="s">
        <v>3610</v>
      </c>
      <c r="I279" s="5" t="s">
        <v>57</v>
      </c>
      <c r="J279">
        <v>2050</v>
      </c>
      <c r="K279" s="38" t="str">
        <f t="shared" si="39"/>
        <v>*0.92</v>
      </c>
      <c r="P279" s="32" t="s">
        <v>3610</v>
      </c>
      <c r="Q279" s="42" t="s">
        <v>57</v>
      </c>
      <c r="R279" s="32">
        <v>2035</v>
      </c>
      <c r="S279" s="43" t="str">
        <f t="shared" si="40"/>
        <v>*0.95</v>
      </c>
      <c r="U279" s="32" t="s">
        <v>3610</v>
      </c>
      <c r="V279" s="42" t="s">
        <v>57</v>
      </c>
      <c r="W279" s="32">
        <v>2050</v>
      </c>
      <c r="X279" s="43" t="str">
        <f t="shared" si="41"/>
        <v>*0.92</v>
      </c>
      <c r="AC279" s="33" t="s">
        <v>3610</v>
      </c>
      <c r="AD279" s="44" t="s">
        <v>57</v>
      </c>
      <c r="AE279" s="33">
        <v>2035</v>
      </c>
      <c r="AF279" s="45" t="str">
        <f t="shared" si="42"/>
        <v>*0.93</v>
      </c>
      <c r="AG279" s="43" t="str">
        <f t="shared" si="45"/>
        <v>REZoning_Sol-Win</v>
      </c>
      <c r="AI279" s="33" t="s">
        <v>3610</v>
      </c>
      <c r="AJ279" s="44" t="s">
        <v>57</v>
      </c>
      <c r="AK279" s="33">
        <v>2050</v>
      </c>
      <c r="AL279" s="45" t="str">
        <f t="shared" si="43"/>
        <v>*0.89</v>
      </c>
      <c r="AM279" s="43" t="str">
        <f t="shared" si="46"/>
        <v>REZoning_Sol-Win</v>
      </c>
      <c r="AP279" t="s">
        <v>3610</v>
      </c>
      <c r="AQ279" t="s">
        <v>57</v>
      </c>
      <c r="AR279">
        <f t="shared" si="44"/>
        <v>2100</v>
      </c>
      <c r="AS279" t="s">
        <v>937</v>
      </c>
      <c r="AT279" t="s">
        <v>58</v>
      </c>
    </row>
    <row r="280" ht="29" spans="1:46">
      <c r="A280" s="31" t="s">
        <v>83</v>
      </c>
      <c r="C280" t="s">
        <v>3611</v>
      </c>
      <c r="D280" s="5" t="s">
        <v>57</v>
      </c>
      <c r="E280">
        <v>2035</v>
      </c>
      <c r="F280" s="6" t="str">
        <f t="shared" si="38"/>
        <v>*0.95</v>
      </c>
      <c r="H280" t="s">
        <v>3611</v>
      </c>
      <c r="I280" s="5" t="s">
        <v>57</v>
      </c>
      <c r="J280">
        <v>2050</v>
      </c>
      <c r="K280" s="38" t="str">
        <f t="shared" si="39"/>
        <v>*0.92</v>
      </c>
      <c r="P280" s="32" t="s">
        <v>3611</v>
      </c>
      <c r="Q280" s="42" t="s">
        <v>57</v>
      </c>
      <c r="R280" s="32">
        <v>2035</v>
      </c>
      <c r="S280" s="43" t="str">
        <f t="shared" si="40"/>
        <v>*0.95</v>
      </c>
      <c r="U280" s="32" t="s">
        <v>3611</v>
      </c>
      <c r="V280" s="42" t="s">
        <v>57</v>
      </c>
      <c r="W280" s="32">
        <v>2050</v>
      </c>
      <c r="X280" s="43" t="str">
        <f t="shared" si="41"/>
        <v>*0.92</v>
      </c>
      <c r="AC280" s="33" t="s">
        <v>3611</v>
      </c>
      <c r="AD280" s="44" t="s">
        <v>57</v>
      </c>
      <c r="AE280" s="33">
        <v>2035</v>
      </c>
      <c r="AF280" s="45" t="str">
        <f t="shared" si="42"/>
        <v>*0.93</v>
      </c>
      <c r="AG280" s="43" t="str">
        <f t="shared" si="45"/>
        <v>REZoning_Sol-Win</v>
      </c>
      <c r="AI280" s="33" t="s">
        <v>3611</v>
      </c>
      <c r="AJ280" s="44" t="s">
        <v>57</v>
      </c>
      <c r="AK280" s="33">
        <v>2050</v>
      </c>
      <c r="AL280" s="45" t="str">
        <f t="shared" si="43"/>
        <v>*0.89</v>
      </c>
      <c r="AM280" s="43" t="str">
        <f t="shared" si="46"/>
        <v>REZoning_Sol-Win</v>
      </c>
      <c r="AP280" t="s">
        <v>3611</v>
      </c>
      <c r="AQ280" t="s">
        <v>57</v>
      </c>
      <c r="AR280">
        <f t="shared" si="44"/>
        <v>2100</v>
      </c>
      <c r="AS280" t="s">
        <v>937</v>
      </c>
      <c r="AT280" t="s">
        <v>58</v>
      </c>
    </row>
    <row r="281" ht="29" spans="1:46">
      <c r="A281" s="31" t="s">
        <v>83</v>
      </c>
      <c r="C281" t="s">
        <v>3612</v>
      </c>
      <c r="D281" s="5" t="s">
        <v>57</v>
      </c>
      <c r="E281">
        <v>2035</v>
      </c>
      <c r="F281" s="6" t="str">
        <f t="shared" si="38"/>
        <v>*0.95</v>
      </c>
      <c r="H281" t="s">
        <v>3612</v>
      </c>
      <c r="I281" s="5" t="s">
        <v>57</v>
      </c>
      <c r="J281">
        <v>2050</v>
      </c>
      <c r="K281" s="38" t="str">
        <f t="shared" si="39"/>
        <v>*0.92</v>
      </c>
      <c r="P281" s="32" t="s">
        <v>3612</v>
      </c>
      <c r="Q281" s="42" t="s">
        <v>57</v>
      </c>
      <c r="R281" s="32">
        <v>2035</v>
      </c>
      <c r="S281" s="43" t="str">
        <f t="shared" si="40"/>
        <v>*0.95</v>
      </c>
      <c r="U281" s="32" t="s">
        <v>3612</v>
      </c>
      <c r="V281" s="42" t="s">
        <v>57</v>
      </c>
      <c r="W281" s="32">
        <v>2050</v>
      </c>
      <c r="X281" s="43" t="str">
        <f t="shared" si="41"/>
        <v>*0.92</v>
      </c>
      <c r="AC281" s="33" t="s">
        <v>3612</v>
      </c>
      <c r="AD281" s="44" t="s">
        <v>57</v>
      </c>
      <c r="AE281" s="33">
        <v>2035</v>
      </c>
      <c r="AF281" s="45" t="str">
        <f t="shared" si="42"/>
        <v>*0.93</v>
      </c>
      <c r="AG281" s="43" t="str">
        <f t="shared" si="45"/>
        <v>REZoning_Sol-Win</v>
      </c>
      <c r="AI281" s="33" t="s">
        <v>3612</v>
      </c>
      <c r="AJ281" s="44" t="s">
        <v>57</v>
      </c>
      <c r="AK281" s="33">
        <v>2050</v>
      </c>
      <c r="AL281" s="45" t="str">
        <f t="shared" si="43"/>
        <v>*0.89</v>
      </c>
      <c r="AM281" s="43" t="str">
        <f t="shared" si="46"/>
        <v>REZoning_Sol-Win</v>
      </c>
      <c r="AP281" t="s">
        <v>3612</v>
      </c>
      <c r="AQ281" t="s">
        <v>57</v>
      </c>
      <c r="AR281">
        <f t="shared" si="44"/>
        <v>2100</v>
      </c>
      <c r="AS281" t="s">
        <v>937</v>
      </c>
      <c r="AT281" t="s">
        <v>58</v>
      </c>
    </row>
    <row r="282" ht="29" spans="1:46">
      <c r="A282" s="31" t="s">
        <v>83</v>
      </c>
      <c r="C282" t="s">
        <v>3613</v>
      </c>
      <c r="D282" s="5" t="s">
        <v>57</v>
      </c>
      <c r="E282">
        <v>2035</v>
      </c>
      <c r="F282" s="6" t="str">
        <f t="shared" si="38"/>
        <v>*0.95</v>
      </c>
      <c r="H282" t="s">
        <v>3613</v>
      </c>
      <c r="I282" s="5" t="s">
        <v>57</v>
      </c>
      <c r="J282">
        <v>2050</v>
      </c>
      <c r="K282" s="38" t="str">
        <f t="shared" si="39"/>
        <v>*0.92</v>
      </c>
      <c r="P282" s="32" t="s">
        <v>3613</v>
      </c>
      <c r="Q282" s="42" t="s">
        <v>57</v>
      </c>
      <c r="R282" s="32">
        <v>2035</v>
      </c>
      <c r="S282" s="43" t="str">
        <f t="shared" si="40"/>
        <v>*0.95</v>
      </c>
      <c r="U282" s="32" t="s">
        <v>3613</v>
      </c>
      <c r="V282" s="42" t="s">
        <v>57</v>
      </c>
      <c r="W282" s="32">
        <v>2050</v>
      </c>
      <c r="X282" s="43" t="str">
        <f t="shared" si="41"/>
        <v>*0.92</v>
      </c>
      <c r="AC282" s="33" t="s">
        <v>3613</v>
      </c>
      <c r="AD282" s="44" t="s">
        <v>57</v>
      </c>
      <c r="AE282" s="33">
        <v>2035</v>
      </c>
      <c r="AF282" s="45" t="str">
        <f t="shared" si="42"/>
        <v>*0.93</v>
      </c>
      <c r="AG282" s="43" t="str">
        <f t="shared" si="45"/>
        <v>REZoning_Sol-Win</v>
      </c>
      <c r="AI282" s="33" t="s">
        <v>3613</v>
      </c>
      <c r="AJ282" s="44" t="s">
        <v>57</v>
      </c>
      <c r="AK282" s="33">
        <v>2050</v>
      </c>
      <c r="AL282" s="45" t="str">
        <f t="shared" si="43"/>
        <v>*0.89</v>
      </c>
      <c r="AM282" s="43" t="str">
        <f t="shared" si="46"/>
        <v>REZoning_Sol-Win</v>
      </c>
      <c r="AP282" t="s">
        <v>3613</v>
      </c>
      <c r="AQ282" t="s">
        <v>57</v>
      </c>
      <c r="AR282">
        <f t="shared" si="44"/>
        <v>2100</v>
      </c>
      <c r="AS282" t="s">
        <v>937</v>
      </c>
      <c r="AT282" t="s">
        <v>58</v>
      </c>
    </row>
    <row r="283" ht="29" spans="1:46">
      <c r="A283" s="31" t="s">
        <v>83</v>
      </c>
      <c r="C283" t="s">
        <v>3614</v>
      </c>
      <c r="D283" s="5" t="s">
        <v>57</v>
      </c>
      <c r="E283">
        <v>2035</v>
      </c>
      <c r="F283" s="6" t="str">
        <f t="shared" si="38"/>
        <v>*0.95</v>
      </c>
      <c r="H283" t="s">
        <v>3614</v>
      </c>
      <c r="I283" s="5" t="s">
        <v>57</v>
      </c>
      <c r="J283">
        <v>2050</v>
      </c>
      <c r="K283" s="38" t="str">
        <f t="shared" si="39"/>
        <v>*0.92</v>
      </c>
      <c r="P283" s="32" t="s">
        <v>3614</v>
      </c>
      <c r="Q283" s="42" t="s">
        <v>57</v>
      </c>
      <c r="R283" s="32">
        <v>2035</v>
      </c>
      <c r="S283" s="43" t="str">
        <f t="shared" si="40"/>
        <v>*0.95</v>
      </c>
      <c r="U283" s="32" t="s">
        <v>3614</v>
      </c>
      <c r="V283" s="42" t="s">
        <v>57</v>
      </c>
      <c r="W283" s="32">
        <v>2050</v>
      </c>
      <c r="X283" s="43" t="str">
        <f t="shared" si="41"/>
        <v>*0.92</v>
      </c>
      <c r="AC283" s="33" t="s">
        <v>3614</v>
      </c>
      <c r="AD283" s="44" t="s">
        <v>57</v>
      </c>
      <c r="AE283" s="33">
        <v>2035</v>
      </c>
      <c r="AF283" s="45" t="str">
        <f t="shared" si="42"/>
        <v>*0.93</v>
      </c>
      <c r="AG283" s="43" t="str">
        <f t="shared" si="45"/>
        <v>REZoning_Sol-Win</v>
      </c>
      <c r="AI283" s="33" t="s">
        <v>3614</v>
      </c>
      <c r="AJ283" s="44" t="s">
        <v>57</v>
      </c>
      <c r="AK283" s="33">
        <v>2050</v>
      </c>
      <c r="AL283" s="45" t="str">
        <f t="shared" si="43"/>
        <v>*0.89</v>
      </c>
      <c r="AM283" s="43" t="str">
        <f t="shared" si="46"/>
        <v>REZoning_Sol-Win</v>
      </c>
      <c r="AP283" t="s">
        <v>3614</v>
      </c>
      <c r="AQ283" t="s">
        <v>57</v>
      </c>
      <c r="AR283">
        <f t="shared" si="44"/>
        <v>2100</v>
      </c>
      <c r="AS283" t="s">
        <v>937</v>
      </c>
      <c r="AT283" t="s">
        <v>58</v>
      </c>
    </row>
    <row r="284" ht="29" spans="1:46">
      <c r="A284" s="31" t="s">
        <v>83</v>
      </c>
      <c r="C284" t="s">
        <v>3615</v>
      </c>
      <c r="D284" s="5" t="s">
        <v>57</v>
      </c>
      <c r="E284">
        <v>2035</v>
      </c>
      <c r="F284" s="6" t="str">
        <f t="shared" si="38"/>
        <v>*0.95</v>
      </c>
      <c r="H284" t="s">
        <v>3615</v>
      </c>
      <c r="I284" s="5" t="s">
        <v>57</v>
      </c>
      <c r="J284">
        <v>2050</v>
      </c>
      <c r="K284" s="38" t="str">
        <f t="shared" si="39"/>
        <v>*0.92</v>
      </c>
      <c r="P284" s="32" t="s">
        <v>3615</v>
      </c>
      <c r="Q284" s="42" t="s">
        <v>57</v>
      </c>
      <c r="R284" s="32">
        <v>2035</v>
      </c>
      <c r="S284" s="43" t="str">
        <f t="shared" si="40"/>
        <v>*0.95</v>
      </c>
      <c r="U284" s="32" t="s">
        <v>3615</v>
      </c>
      <c r="V284" s="42" t="s">
        <v>57</v>
      </c>
      <c r="W284" s="32">
        <v>2050</v>
      </c>
      <c r="X284" s="43" t="str">
        <f t="shared" si="41"/>
        <v>*0.92</v>
      </c>
      <c r="AC284" s="33" t="s">
        <v>3615</v>
      </c>
      <c r="AD284" s="44" t="s">
        <v>57</v>
      </c>
      <c r="AE284" s="33">
        <v>2035</v>
      </c>
      <c r="AF284" s="45" t="str">
        <f t="shared" si="42"/>
        <v>*0.93</v>
      </c>
      <c r="AG284" s="43" t="str">
        <f t="shared" si="45"/>
        <v>REZoning_Sol-Win</v>
      </c>
      <c r="AI284" s="33" t="s">
        <v>3615</v>
      </c>
      <c r="AJ284" s="44" t="s">
        <v>57</v>
      </c>
      <c r="AK284" s="33">
        <v>2050</v>
      </c>
      <c r="AL284" s="45" t="str">
        <f t="shared" si="43"/>
        <v>*0.89</v>
      </c>
      <c r="AM284" s="43" t="str">
        <f t="shared" si="46"/>
        <v>REZoning_Sol-Win</v>
      </c>
      <c r="AP284" t="s">
        <v>3615</v>
      </c>
      <c r="AQ284" t="s">
        <v>57</v>
      </c>
      <c r="AR284">
        <f t="shared" si="44"/>
        <v>2100</v>
      </c>
      <c r="AS284" t="s">
        <v>937</v>
      </c>
      <c r="AT284" t="s">
        <v>58</v>
      </c>
    </row>
    <row r="285" ht="29" spans="1:46">
      <c r="A285" s="31" t="s">
        <v>83</v>
      </c>
      <c r="C285" t="s">
        <v>3616</v>
      </c>
      <c r="D285" s="5" t="s">
        <v>57</v>
      </c>
      <c r="E285">
        <v>2035</v>
      </c>
      <c r="F285" s="6" t="str">
        <f t="shared" si="38"/>
        <v>*0.95</v>
      </c>
      <c r="H285" t="s">
        <v>3616</v>
      </c>
      <c r="I285" s="5" t="s">
        <v>57</v>
      </c>
      <c r="J285">
        <v>2050</v>
      </c>
      <c r="K285" s="38" t="str">
        <f t="shared" si="39"/>
        <v>*0.92</v>
      </c>
      <c r="P285" s="32" t="s">
        <v>3616</v>
      </c>
      <c r="Q285" s="42" t="s">
        <v>57</v>
      </c>
      <c r="R285" s="32">
        <v>2035</v>
      </c>
      <c r="S285" s="43" t="str">
        <f t="shared" si="40"/>
        <v>*0.95</v>
      </c>
      <c r="U285" s="32" t="s">
        <v>3616</v>
      </c>
      <c r="V285" s="42" t="s">
        <v>57</v>
      </c>
      <c r="W285" s="32">
        <v>2050</v>
      </c>
      <c r="X285" s="43" t="str">
        <f t="shared" si="41"/>
        <v>*0.92</v>
      </c>
      <c r="AC285" s="33" t="s">
        <v>3616</v>
      </c>
      <c r="AD285" s="44" t="s">
        <v>57</v>
      </c>
      <c r="AE285" s="33">
        <v>2035</v>
      </c>
      <c r="AF285" s="45" t="str">
        <f t="shared" si="42"/>
        <v>*0.93</v>
      </c>
      <c r="AG285" s="43" t="str">
        <f t="shared" si="45"/>
        <v>REZoning_Sol-Win</v>
      </c>
      <c r="AI285" s="33" t="s">
        <v>3616</v>
      </c>
      <c r="AJ285" s="44" t="s">
        <v>57</v>
      </c>
      <c r="AK285" s="33">
        <v>2050</v>
      </c>
      <c r="AL285" s="45" t="str">
        <f t="shared" si="43"/>
        <v>*0.89</v>
      </c>
      <c r="AM285" s="43" t="str">
        <f t="shared" si="46"/>
        <v>REZoning_Sol-Win</v>
      </c>
      <c r="AP285" t="s">
        <v>3616</v>
      </c>
      <c r="AQ285" t="s">
        <v>57</v>
      </c>
      <c r="AR285">
        <f t="shared" si="44"/>
        <v>2100</v>
      </c>
      <c r="AS285" t="s">
        <v>937</v>
      </c>
      <c r="AT285" t="s">
        <v>58</v>
      </c>
    </row>
    <row r="286" ht="29" spans="1:46">
      <c r="A286" s="31" t="s">
        <v>83</v>
      </c>
      <c r="C286" t="s">
        <v>3617</v>
      </c>
      <c r="D286" s="5" t="s">
        <v>57</v>
      </c>
      <c r="E286">
        <v>2035</v>
      </c>
      <c r="F286" s="6" t="str">
        <f t="shared" si="38"/>
        <v>*0.95</v>
      </c>
      <c r="H286" t="s">
        <v>3617</v>
      </c>
      <c r="I286" s="5" t="s">
        <v>57</v>
      </c>
      <c r="J286">
        <v>2050</v>
      </c>
      <c r="K286" s="38" t="str">
        <f t="shared" si="39"/>
        <v>*0.92</v>
      </c>
      <c r="P286" s="32" t="s">
        <v>3617</v>
      </c>
      <c r="Q286" s="42" t="s">
        <v>57</v>
      </c>
      <c r="R286" s="32">
        <v>2035</v>
      </c>
      <c r="S286" s="43" t="str">
        <f t="shared" si="40"/>
        <v>*0.95</v>
      </c>
      <c r="U286" s="32" t="s">
        <v>3617</v>
      </c>
      <c r="V286" s="42" t="s">
        <v>57</v>
      </c>
      <c r="W286" s="32">
        <v>2050</v>
      </c>
      <c r="X286" s="43" t="str">
        <f t="shared" si="41"/>
        <v>*0.92</v>
      </c>
      <c r="AC286" s="33" t="s">
        <v>3617</v>
      </c>
      <c r="AD286" s="44" t="s">
        <v>57</v>
      </c>
      <c r="AE286" s="33">
        <v>2035</v>
      </c>
      <c r="AF286" s="45" t="str">
        <f t="shared" si="42"/>
        <v>*0.93</v>
      </c>
      <c r="AG286" s="43" t="str">
        <f t="shared" si="45"/>
        <v>REZoning_Sol-Win</v>
      </c>
      <c r="AI286" s="33" t="s">
        <v>3617</v>
      </c>
      <c r="AJ286" s="44" t="s">
        <v>57</v>
      </c>
      <c r="AK286" s="33">
        <v>2050</v>
      </c>
      <c r="AL286" s="45" t="str">
        <f t="shared" si="43"/>
        <v>*0.89</v>
      </c>
      <c r="AM286" s="43" t="str">
        <f t="shared" si="46"/>
        <v>REZoning_Sol-Win</v>
      </c>
      <c r="AP286" t="s">
        <v>3617</v>
      </c>
      <c r="AQ286" t="s">
        <v>57</v>
      </c>
      <c r="AR286">
        <f t="shared" si="44"/>
        <v>2100</v>
      </c>
      <c r="AS286" t="s">
        <v>937</v>
      </c>
      <c r="AT286" t="s">
        <v>58</v>
      </c>
    </row>
    <row r="287" ht="29" spans="1:46">
      <c r="A287" s="31" t="s">
        <v>83</v>
      </c>
      <c r="C287" t="s">
        <v>3618</v>
      </c>
      <c r="D287" s="5" t="s">
        <v>57</v>
      </c>
      <c r="E287">
        <v>2035</v>
      </c>
      <c r="F287" s="6" t="str">
        <f t="shared" si="38"/>
        <v>*0.95</v>
      </c>
      <c r="H287" t="s">
        <v>3618</v>
      </c>
      <c r="I287" s="5" t="s">
        <v>57</v>
      </c>
      <c r="J287">
        <v>2050</v>
      </c>
      <c r="K287" s="38" t="str">
        <f t="shared" si="39"/>
        <v>*0.92</v>
      </c>
      <c r="P287" s="32" t="s">
        <v>3618</v>
      </c>
      <c r="Q287" s="42" t="s">
        <v>57</v>
      </c>
      <c r="R287" s="32">
        <v>2035</v>
      </c>
      <c r="S287" s="43" t="str">
        <f t="shared" si="40"/>
        <v>*0.95</v>
      </c>
      <c r="U287" s="32" t="s">
        <v>3618</v>
      </c>
      <c r="V287" s="42" t="s">
        <v>57</v>
      </c>
      <c r="W287" s="32">
        <v>2050</v>
      </c>
      <c r="X287" s="43" t="str">
        <f t="shared" si="41"/>
        <v>*0.92</v>
      </c>
      <c r="AC287" s="33" t="s">
        <v>3618</v>
      </c>
      <c r="AD287" s="44" t="s">
        <v>57</v>
      </c>
      <c r="AE287" s="33">
        <v>2035</v>
      </c>
      <c r="AF287" s="45" t="str">
        <f t="shared" si="42"/>
        <v>*0.93</v>
      </c>
      <c r="AG287" s="43" t="str">
        <f t="shared" si="45"/>
        <v>REZoning_Sol-Win</v>
      </c>
      <c r="AI287" s="33" t="s">
        <v>3618</v>
      </c>
      <c r="AJ287" s="44" t="s">
        <v>57</v>
      </c>
      <c r="AK287" s="33">
        <v>2050</v>
      </c>
      <c r="AL287" s="45" t="str">
        <f t="shared" si="43"/>
        <v>*0.89</v>
      </c>
      <c r="AM287" s="43" t="str">
        <f t="shared" si="46"/>
        <v>REZoning_Sol-Win</v>
      </c>
      <c r="AP287" t="s">
        <v>3618</v>
      </c>
      <c r="AQ287" t="s">
        <v>57</v>
      </c>
      <c r="AR287">
        <f t="shared" si="44"/>
        <v>2100</v>
      </c>
      <c r="AS287" t="s">
        <v>937</v>
      </c>
      <c r="AT287" t="s">
        <v>58</v>
      </c>
    </row>
    <row r="288" ht="29" spans="1:46">
      <c r="A288" s="31" t="s">
        <v>83</v>
      </c>
      <c r="C288" t="s">
        <v>3619</v>
      </c>
      <c r="D288" s="5" t="s">
        <v>57</v>
      </c>
      <c r="E288">
        <v>2035</v>
      </c>
      <c r="F288" s="6" t="str">
        <f t="shared" si="38"/>
        <v>*0.95</v>
      </c>
      <c r="H288" t="s">
        <v>3619</v>
      </c>
      <c r="I288" s="5" t="s">
        <v>57</v>
      </c>
      <c r="J288">
        <v>2050</v>
      </c>
      <c r="K288" s="38" t="str">
        <f t="shared" si="39"/>
        <v>*0.92</v>
      </c>
      <c r="P288" s="32" t="s">
        <v>3619</v>
      </c>
      <c r="Q288" s="42" t="s">
        <v>57</v>
      </c>
      <c r="R288" s="32">
        <v>2035</v>
      </c>
      <c r="S288" s="43" t="str">
        <f t="shared" si="40"/>
        <v>*0.95</v>
      </c>
      <c r="U288" s="32" t="s">
        <v>3619</v>
      </c>
      <c r="V288" s="42" t="s">
        <v>57</v>
      </c>
      <c r="W288" s="32">
        <v>2050</v>
      </c>
      <c r="X288" s="43" t="str">
        <f t="shared" si="41"/>
        <v>*0.92</v>
      </c>
      <c r="AC288" s="33" t="s">
        <v>3619</v>
      </c>
      <c r="AD288" s="44" t="s">
        <v>57</v>
      </c>
      <c r="AE288" s="33">
        <v>2035</v>
      </c>
      <c r="AF288" s="45" t="str">
        <f t="shared" si="42"/>
        <v>*0.93</v>
      </c>
      <c r="AG288" s="43" t="str">
        <f t="shared" si="45"/>
        <v>REZoning_Sol-Win</v>
      </c>
      <c r="AI288" s="33" t="s">
        <v>3619</v>
      </c>
      <c r="AJ288" s="44" t="s">
        <v>57</v>
      </c>
      <c r="AK288" s="33">
        <v>2050</v>
      </c>
      <c r="AL288" s="45" t="str">
        <f t="shared" si="43"/>
        <v>*0.89</v>
      </c>
      <c r="AM288" s="43" t="str">
        <f t="shared" si="46"/>
        <v>REZoning_Sol-Win</v>
      </c>
      <c r="AP288" t="s">
        <v>3619</v>
      </c>
      <c r="AQ288" t="s">
        <v>57</v>
      </c>
      <c r="AR288">
        <f t="shared" si="44"/>
        <v>2100</v>
      </c>
      <c r="AS288" t="s">
        <v>937</v>
      </c>
      <c r="AT288" t="s">
        <v>58</v>
      </c>
    </row>
    <row r="289" ht="29" spans="1:46">
      <c r="A289" s="31" t="s">
        <v>83</v>
      </c>
      <c r="C289" t="s">
        <v>3620</v>
      </c>
      <c r="D289" s="5" t="s">
        <v>57</v>
      </c>
      <c r="E289">
        <v>2035</v>
      </c>
      <c r="F289" s="6" t="str">
        <f t="shared" si="38"/>
        <v>*0.95</v>
      </c>
      <c r="H289" t="s">
        <v>3620</v>
      </c>
      <c r="I289" s="5" t="s">
        <v>57</v>
      </c>
      <c r="J289">
        <v>2050</v>
      </c>
      <c r="K289" s="38" t="str">
        <f t="shared" si="39"/>
        <v>*0.92</v>
      </c>
      <c r="P289" s="32" t="s">
        <v>3620</v>
      </c>
      <c r="Q289" s="42" t="s">
        <v>57</v>
      </c>
      <c r="R289" s="32">
        <v>2035</v>
      </c>
      <c r="S289" s="43" t="str">
        <f t="shared" si="40"/>
        <v>*0.95</v>
      </c>
      <c r="U289" s="32" t="s">
        <v>3620</v>
      </c>
      <c r="V289" s="42" t="s">
        <v>57</v>
      </c>
      <c r="W289" s="32">
        <v>2050</v>
      </c>
      <c r="X289" s="43" t="str">
        <f t="shared" si="41"/>
        <v>*0.92</v>
      </c>
      <c r="AC289" s="33" t="s">
        <v>3620</v>
      </c>
      <c r="AD289" s="44" t="s">
        <v>57</v>
      </c>
      <c r="AE289" s="33">
        <v>2035</v>
      </c>
      <c r="AF289" s="45" t="str">
        <f t="shared" si="42"/>
        <v>*0.93</v>
      </c>
      <c r="AG289" s="43" t="str">
        <f t="shared" si="45"/>
        <v>REZoning_Sol-Win</v>
      </c>
      <c r="AI289" s="33" t="s">
        <v>3620</v>
      </c>
      <c r="AJ289" s="44" t="s">
        <v>57</v>
      </c>
      <c r="AK289" s="33">
        <v>2050</v>
      </c>
      <c r="AL289" s="45" t="str">
        <f t="shared" si="43"/>
        <v>*0.89</v>
      </c>
      <c r="AM289" s="43" t="str">
        <f t="shared" si="46"/>
        <v>REZoning_Sol-Win</v>
      </c>
      <c r="AP289" t="s">
        <v>3620</v>
      </c>
      <c r="AQ289" t="s">
        <v>57</v>
      </c>
      <c r="AR289">
        <f t="shared" si="44"/>
        <v>2100</v>
      </c>
      <c r="AS289" t="s">
        <v>937</v>
      </c>
      <c r="AT289" t="s">
        <v>58</v>
      </c>
    </row>
    <row r="290" ht="29" spans="1:46">
      <c r="A290" s="31" t="s">
        <v>73</v>
      </c>
      <c r="C290" t="s">
        <v>3621</v>
      </c>
      <c r="D290" s="5" t="s">
        <v>57</v>
      </c>
      <c r="E290">
        <v>2035</v>
      </c>
      <c r="F290" s="6" t="str">
        <f t="shared" si="38"/>
        <v>*0.95</v>
      </c>
      <c r="H290" t="s">
        <v>3621</v>
      </c>
      <c r="I290" s="5" t="s">
        <v>57</v>
      </c>
      <c r="J290">
        <v>2050</v>
      </c>
      <c r="K290" s="38" t="str">
        <f t="shared" si="39"/>
        <v>*0.93</v>
      </c>
      <c r="P290" s="32" t="s">
        <v>3621</v>
      </c>
      <c r="Q290" s="42" t="s">
        <v>57</v>
      </c>
      <c r="R290" s="32">
        <v>2035</v>
      </c>
      <c r="S290" s="43" t="str">
        <f t="shared" si="40"/>
        <v>*0.95</v>
      </c>
      <c r="U290" s="32" t="s">
        <v>3621</v>
      </c>
      <c r="V290" s="42" t="s">
        <v>57</v>
      </c>
      <c r="W290" s="32">
        <v>2050</v>
      </c>
      <c r="X290" s="43" t="str">
        <f t="shared" si="41"/>
        <v>*0.93</v>
      </c>
      <c r="AC290" s="33" t="s">
        <v>3621</v>
      </c>
      <c r="AD290" s="44" t="s">
        <v>57</v>
      </c>
      <c r="AE290" s="33">
        <v>2035</v>
      </c>
      <c r="AF290" s="45" t="str">
        <f t="shared" si="42"/>
        <v>*0.93</v>
      </c>
      <c r="AG290" s="43" t="str">
        <f t="shared" si="45"/>
        <v>REZoning_Sol-Win</v>
      </c>
      <c r="AI290" s="33" t="s">
        <v>3621</v>
      </c>
      <c r="AJ290" s="44" t="s">
        <v>57</v>
      </c>
      <c r="AK290" s="33">
        <v>2050</v>
      </c>
      <c r="AL290" s="45" t="str">
        <f t="shared" si="43"/>
        <v>*0.9</v>
      </c>
      <c r="AM290" s="43" t="str">
        <f t="shared" si="46"/>
        <v>REZoning_Sol-Win</v>
      </c>
      <c r="AP290" t="s">
        <v>3621</v>
      </c>
      <c r="AQ290" t="s">
        <v>57</v>
      </c>
      <c r="AR290">
        <f t="shared" si="44"/>
        <v>2100</v>
      </c>
      <c r="AS290" t="s">
        <v>897</v>
      </c>
      <c r="AT290" t="s">
        <v>58</v>
      </c>
    </row>
    <row r="291" ht="29" spans="1:46">
      <c r="A291" s="31" t="s">
        <v>73</v>
      </c>
      <c r="C291" t="s">
        <v>3622</v>
      </c>
      <c r="D291" s="5" t="s">
        <v>57</v>
      </c>
      <c r="E291">
        <v>2035</v>
      </c>
      <c r="F291" s="6" t="str">
        <f t="shared" si="38"/>
        <v>*0.95</v>
      </c>
      <c r="H291" t="s">
        <v>3622</v>
      </c>
      <c r="I291" s="5" t="s">
        <v>57</v>
      </c>
      <c r="J291">
        <v>2050</v>
      </c>
      <c r="K291" s="38" t="str">
        <f t="shared" si="39"/>
        <v>*0.93</v>
      </c>
      <c r="P291" s="32" t="s">
        <v>3622</v>
      </c>
      <c r="Q291" s="42" t="s">
        <v>57</v>
      </c>
      <c r="R291" s="32">
        <v>2035</v>
      </c>
      <c r="S291" s="43" t="str">
        <f t="shared" si="40"/>
        <v>*0.95</v>
      </c>
      <c r="U291" s="32" t="s">
        <v>3622</v>
      </c>
      <c r="V291" s="42" t="s">
        <v>57</v>
      </c>
      <c r="W291" s="32">
        <v>2050</v>
      </c>
      <c r="X291" s="43" t="str">
        <f t="shared" si="41"/>
        <v>*0.93</v>
      </c>
      <c r="AC291" s="33" t="s">
        <v>3622</v>
      </c>
      <c r="AD291" s="44" t="s">
        <v>57</v>
      </c>
      <c r="AE291" s="33">
        <v>2035</v>
      </c>
      <c r="AF291" s="45" t="str">
        <f t="shared" si="42"/>
        <v>*0.93</v>
      </c>
      <c r="AG291" s="43" t="str">
        <f t="shared" si="45"/>
        <v>REZoning_Sol-Win</v>
      </c>
      <c r="AI291" s="33" t="s">
        <v>3622</v>
      </c>
      <c r="AJ291" s="44" t="s">
        <v>57</v>
      </c>
      <c r="AK291" s="33">
        <v>2050</v>
      </c>
      <c r="AL291" s="45" t="str">
        <f t="shared" si="43"/>
        <v>*0.9</v>
      </c>
      <c r="AM291" s="43" t="str">
        <f t="shared" si="46"/>
        <v>REZoning_Sol-Win</v>
      </c>
      <c r="AP291" t="s">
        <v>3622</v>
      </c>
      <c r="AQ291" t="s">
        <v>57</v>
      </c>
      <c r="AR291">
        <f t="shared" si="44"/>
        <v>2100</v>
      </c>
      <c r="AS291" t="s">
        <v>897</v>
      </c>
      <c r="AT291" t="s">
        <v>58</v>
      </c>
    </row>
    <row r="292" ht="29" spans="1:46">
      <c r="A292" s="31" t="s">
        <v>65</v>
      </c>
      <c r="C292" t="s">
        <v>3623</v>
      </c>
      <c r="D292" s="5" t="s">
        <v>57</v>
      </c>
      <c r="E292">
        <v>2035</v>
      </c>
      <c r="F292" s="6" t="str">
        <f t="shared" si="38"/>
        <v>*0.94</v>
      </c>
      <c r="H292" t="s">
        <v>3623</v>
      </c>
      <c r="I292" s="5" t="s">
        <v>57</v>
      </c>
      <c r="J292">
        <v>2050</v>
      </c>
      <c r="K292" s="38" t="str">
        <f t="shared" si="39"/>
        <v>*0.91</v>
      </c>
      <c r="P292" s="32" t="s">
        <v>3623</v>
      </c>
      <c r="Q292" s="42" t="s">
        <v>57</v>
      </c>
      <c r="R292" s="32">
        <v>2035</v>
      </c>
      <c r="S292" s="43" t="str">
        <f t="shared" si="40"/>
        <v>*0.93</v>
      </c>
      <c r="U292" s="32" t="s">
        <v>3623</v>
      </c>
      <c r="V292" s="42" t="s">
        <v>57</v>
      </c>
      <c r="W292" s="32">
        <v>2050</v>
      </c>
      <c r="X292" s="43" t="str">
        <f t="shared" si="41"/>
        <v>*0.9</v>
      </c>
      <c r="AC292" s="33" t="s">
        <v>3623</v>
      </c>
      <c r="AD292" s="44" t="s">
        <v>57</v>
      </c>
      <c r="AE292" s="33">
        <v>2035</v>
      </c>
      <c r="AF292" s="45" t="str">
        <f t="shared" si="42"/>
        <v>*0.9</v>
      </c>
      <c r="AG292" s="43" t="str">
        <f t="shared" si="45"/>
        <v>REZoning_Sol-Win</v>
      </c>
      <c r="AI292" s="33" t="s">
        <v>3623</v>
      </c>
      <c r="AJ292" s="44" t="s">
        <v>57</v>
      </c>
      <c r="AK292" s="33">
        <v>2050</v>
      </c>
      <c r="AL292" s="45" t="str">
        <f t="shared" si="43"/>
        <v>*0.86</v>
      </c>
      <c r="AM292" s="43" t="str">
        <f t="shared" si="46"/>
        <v>REZoning_Sol-Win</v>
      </c>
      <c r="AP292" t="s">
        <v>3623</v>
      </c>
      <c r="AQ292" t="s">
        <v>57</v>
      </c>
      <c r="AR292">
        <f t="shared" si="44"/>
        <v>2100</v>
      </c>
      <c r="AS292" t="s">
        <v>883</v>
      </c>
      <c r="AT292" t="s">
        <v>58</v>
      </c>
    </row>
    <row r="293" ht="29" spans="1:46">
      <c r="A293" s="31" t="s">
        <v>83</v>
      </c>
      <c r="C293" t="s">
        <v>3624</v>
      </c>
      <c r="D293" s="5" t="s">
        <v>57</v>
      </c>
      <c r="E293">
        <v>2035</v>
      </c>
      <c r="F293" s="6" t="str">
        <f t="shared" si="38"/>
        <v>*0.95</v>
      </c>
      <c r="H293" t="s">
        <v>3624</v>
      </c>
      <c r="I293" s="5" t="s">
        <v>57</v>
      </c>
      <c r="J293">
        <v>2050</v>
      </c>
      <c r="K293" s="38" t="str">
        <f t="shared" si="39"/>
        <v>*0.92</v>
      </c>
      <c r="P293" s="32" t="s">
        <v>3624</v>
      </c>
      <c r="Q293" s="42" t="s">
        <v>57</v>
      </c>
      <c r="R293" s="32">
        <v>2035</v>
      </c>
      <c r="S293" s="43" t="str">
        <f t="shared" si="40"/>
        <v>*0.95</v>
      </c>
      <c r="U293" s="32" t="s">
        <v>3624</v>
      </c>
      <c r="V293" s="42" t="s">
        <v>57</v>
      </c>
      <c r="W293" s="32">
        <v>2050</v>
      </c>
      <c r="X293" s="43" t="str">
        <f t="shared" si="41"/>
        <v>*0.92</v>
      </c>
      <c r="AC293" s="33" t="s">
        <v>3624</v>
      </c>
      <c r="AD293" s="44" t="s">
        <v>57</v>
      </c>
      <c r="AE293" s="33">
        <v>2035</v>
      </c>
      <c r="AF293" s="45" t="str">
        <f t="shared" si="42"/>
        <v>*0.93</v>
      </c>
      <c r="AG293" s="43" t="str">
        <f t="shared" si="45"/>
        <v>REZoning_Sol-Win</v>
      </c>
      <c r="AI293" s="33" t="s">
        <v>3624</v>
      </c>
      <c r="AJ293" s="44" t="s">
        <v>57</v>
      </c>
      <c r="AK293" s="33">
        <v>2050</v>
      </c>
      <c r="AL293" s="45" t="str">
        <f t="shared" si="43"/>
        <v>*0.89</v>
      </c>
      <c r="AM293" s="43" t="str">
        <f t="shared" si="46"/>
        <v>REZoning_Sol-Win</v>
      </c>
      <c r="AP293" t="s">
        <v>3624</v>
      </c>
      <c r="AQ293" t="s">
        <v>57</v>
      </c>
      <c r="AR293">
        <f t="shared" si="44"/>
        <v>2100</v>
      </c>
      <c r="AS293" t="s">
        <v>937</v>
      </c>
      <c r="AT293" t="s">
        <v>58</v>
      </c>
    </row>
    <row r="294" ht="29" spans="1:46">
      <c r="A294" s="31" t="s">
        <v>73</v>
      </c>
      <c r="C294" t="s">
        <v>3625</v>
      </c>
      <c r="D294" s="5" t="s">
        <v>57</v>
      </c>
      <c r="E294">
        <v>2035</v>
      </c>
      <c r="F294" s="6" t="str">
        <f t="shared" si="38"/>
        <v>*0.95</v>
      </c>
      <c r="H294" t="s">
        <v>3625</v>
      </c>
      <c r="I294" s="5" t="s">
        <v>57</v>
      </c>
      <c r="J294">
        <v>2050</v>
      </c>
      <c r="K294" s="38" t="str">
        <f t="shared" si="39"/>
        <v>*0.93</v>
      </c>
      <c r="P294" s="32" t="s">
        <v>3625</v>
      </c>
      <c r="Q294" s="42" t="s">
        <v>57</v>
      </c>
      <c r="R294" s="32">
        <v>2035</v>
      </c>
      <c r="S294" s="43" t="str">
        <f t="shared" si="40"/>
        <v>*0.95</v>
      </c>
      <c r="U294" s="32" t="s">
        <v>3625</v>
      </c>
      <c r="V294" s="42" t="s">
        <v>57</v>
      </c>
      <c r="W294" s="32">
        <v>2050</v>
      </c>
      <c r="X294" s="43" t="str">
        <f t="shared" si="41"/>
        <v>*0.93</v>
      </c>
      <c r="AC294" s="33" t="s">
        <v>3625</v>
      </c>
      <c r="AD294" s="44" t="s">
        <v>57</v>
      </c>
      <c r="AE294" s="33">
        <v>2035</v>
      </c>
      <c r="AF294" s="45" t="str">
        <f t="shared" si="42"/>
        <v>*0.93</v>
      </c>
      <c r="AG294" s="43" t="str">
        <f t="shared" si="45"/>
        <v>REZoning_Sol-Win</v>
      </c>
      <c r="AI294" s="33" t="s">
        <v>3625</v>
      </c>
      <c r="AJ294" s="44" t="s">
        <v>57</v>
      </c>
      <c r="AK294" s="33">
        <v>2050</v>
      </c>
      <c r="AL294" s="45" t="str">
        <f t="shared" si="43"/>
        <v>*0.9</v>
      </c>
      <c r="AM294" s="43" t="str">
        <f t="shared" si="46"/>
        <v>REZoning_Sol-Win</v>
      </c>
      <c r="AP294" t="s">
        <v>3625</v>
      </c>
      <c r="AQ294" t="s">
        <v>57</v>
      </c>
      <c r="AR294">
        <f t="shared" si="44"/>
        <v>2100</v>
      </c>
      <c r="AS294" t="s">
        <v>897</v>
      </c>
      <c r="AT294" t="s">
        <v>58</v>
      </c>
    </row>
    <row r="295" ht="29" spans="1:46">
      <c r="A295" s="31" t="s">
        <v>73</v>
      </c>
      <c r="C295" t="s">
        <v>3626</v>
      </c>
      <c r="D295" s="5" t="s">
        <v>57</v>
      </c>
      <c r="E295">
        <v>2035</v>
      </c>
      <c r="F295" s="6" t="str">
        <f t="shared" si="38"/>
        <v>*0.95</v>
      </c>
      <c r="H295" t="s">
        <v>3626</v>
      </c>
      <c r="I295" s="5" t="s">
        <v>57</v>
      </c>
      <c r="J295">
        <v>2050</v>
      </c>
      <c r="K295" s="38" t="str">
        <f t="shared" si="39"/>
        <v>*0.93</v>
      </c>
      <c r="P295" s="32" t="s">
        <v>3626</v>
      </c>
      <c r="Q295" s="42" t="s">
        <v>57</v>
      </c>
      <c r="R295" s="32">
        <v>2035</v>
      </c>
      <c r="S295" s="43" t="str">
        <f t="shared" si="40"/>
        <v>*0.95</v>
      </c>
      <c r="U295" s="32" t="s">
        <v>3626</v>
      </c>
      <c r="V295" s="42" t="s">
        <v>57</v>
      </c>
      <c r="W295" s="32">
        <v>2050</v>
      </c>
      <c r="X295" s="43" t="str">
        <f t="shared" si="41"/>
        <v>*0.93</v>
      </c>
      <c r="AC295" s="33" t="s">
        <v>3626</v>
      </c>
      <c r="AD295" s="44" t="s">
        <v>57</v>
      </c>
      <c r="AE295" s="33">
        <v>2035</v>
      </c>
      <c r="AF295" s="45" t="str">
        <f t="shared" si="42"/>
        <v>*0.93</v>
      </c>
      <c r="AG295" s="43" t="str">
        <f t="shared" si="45"/>
        <v>REZoning_Sol-Win</v>
      </c>
      <c r="AI295" s="33" t="s">
        <v>3626</v>
      </c>
      <c r="AJ295" s="44" t="s">
        <v>57</v>
      </c>
      <c r="AK295" s="33">
        <v>2050</v>
      </c>
      <c r="AL295" s="45" t="str">
        <f t="shared" si="43"/>
        <v>*0.9</v>
      </c>
      <c r="AM295" s="43" t="str">
        <f t="shared" si="46"/>
        <v>REZoning_Sol-Win</v>
      </c>
      <c r="AP295" t="s">
        <v>3626</v>
      </c>
      <c r="AQ295" t="s">
        <v>57</v>
      </c>
      <c r="AR295">
        <f t="shared" si="44"/>
        <v>2100</v>
      </c>
      <c r="AS295" t="s">
        <v>897</v>
      </c>
      <c r="AT295" t="s">
        <v>58</v>
      </c>
    </row>
    <row r="296" ht="29" spans="1:46">
      <c r="A296" s="31" t="s">
        <v>73</v>
      </c>
      <c r="C296" t="s">
        <v>3627</v>
      </c>
      <c r="D296" s="5" t="s">
        <v>57</v>
      </c>
      <c r="E296">
        <v>2035</v>
      </c>
      <c r="F296" s="6" t="str">
        <f t="shared" si="38"/>
        <v>*0.95</v>
      </c>
      <c r="H296" t="s">
        <v>3627</v>
      </c>
      <c r="I296" s="5" t="s">
        <v>57</v>
      </c>
      <c r="J296">
        <v>2050</v>
      </c>
      <c r="K296" s="38" t="str">
        <f t="shared" si="39"/>
        <v>*0.93</v>
      </c>
      <c r="P296" s="32" t="s">
        <v>3627</v>
      </c>
      <c r="Q296" s="42" t="s">
        <v>57</v>
      </c>
      <c r="R296" s="32">
        <v>2035</v>
      </c>
      <c r="S296" s="43" t="str">
        <f t="shared" si="40"/>
        <v>*0.95</v>
      </c>
      <c r="U296" s="32" t="s">
        <v>3627</v>
      </c>
      <c r="V296" s="42" t="s">
        <v>57</v>
      </c>
      <c r="W296" s="32">
        <v>2050</v>
      </c>
      <c r="X296" s="43" t="str">
        <f t="shared" si="41"/>
        <v>*0.93</v>
      </c>
      <c r="AC296" s="33" t="s">
        <v>3627</v>
      </c>
      <c r="AD296" s="44" t="s">
        <v>57</v>
      </c>
      <c r="AE296" s="33">
        <v>2035</v>
      </c>
      <c r="AF296" s="45" t="str">
        <f t="shared" si="42"/>
        <v>*0.93</v>
      </c>
      <c r="AG296" s="43" t="str">
        <f t="shared" si="45"/>
        <v>REZoning_Sol-Win</v>
      </c>
      <c r="AI296" s="33" t="s">
        <v>3627</v>
      </c>
      <c r="AJ296" s="44" t="s">
        <v>57</v>
      </c>
      <c r="AK296" s="33">
        <v>2050</v>
      </c>
      <c r="AL296" s="45" t="str">
        <f t="shared" si="43"/>
        <v>*0.9</v>
      </c>
      <c r="AM296" s="43" t="str">
        <f t="shared" si="46"/>
        <v>REZoning_Sol-Win</v>
      </c>
      <c r="AP296" t="s">
        <v>3627</v>
      </c>
      <c r="AQ296" t="s">
        <v>57</v>
      </c>
      <c r="AR296">
        <f t="shared" si="44"/>
        <v>2100</v>
      </c>
      <c r="AS296" t="s">
        <v>897</v>
      </c>
      <c r="AT296" t="s">
        <v>58</v>
      </c>
    </row>
    <row r="297" ht="29" spans="1:46">
      <c r="A297" s="31" t="s">
        <v>73</v>
      </c>
      <c r="C297" t="s">
        <v>3628</v>
      </c>
      <c r="D297" s="5" t="s">
        <v>57</v>
      </c>
      <c r="E297">
        <v>2035</v>
      </c>
      <c r="F297" s="6" t="str">
        <f t="shared" si="38"/>
        <v>*0.95</v>
      </c>
      <c r="H297" t="s">
        <v>3628</v>
      </c>
      <c r="I297" s="5" t="s">
        <v>57</v>
      </c>
      <c r="J297">
        <v>2050</v>
      </c>
      <c r="K297" s="38" t="str">
        <f t="shared" si="39"/>
        <v>*0.93</v>
      </c>
      <c r="P297" s="32" t="s">
        <v>3628</v>
      </c>
      <c r="Q297" s="42" t="s">
        <v>57</v>
      </c>
      <c r="R297" s="32">
        <v>2035</v>
      </c>
      <c r="S297" s="43" t="str">
        <f t="shared" si="40"/>
        <v>*0.95</v>
      </c>
      <c r="U297" s="32" t="s">
        <v>3628</v>
      </c>
      <c r="V297" s="42" t="s">
        <v>57</v>
      </c>
      <c r="W297" s="32">
        <v>2050</v>
      </c>
      <c r="X297" s="43" t="str">
        <f t="shared" si="41"/>
        <v>*0.93</v>
      </c>
      <c r="AC297" s="33" t="s">
        <v>3628</v>
      </c>
      <c r="AD297" s="44" t="s">
        <v>57</v>
      </c>
      <c r="AE297" s="33">
        <v>2035</v>
      </c>
      <c r="AF297" s="45" t="str">
        <f t="shared" si="42"/>
        <v>*0.93</v>
      </c>
      <c r="AG297" s="43" t="str">
        <f t="shared" si="45"/>
        <v>REZoning_Sol-Win</v>
      </c>
      <c r="AI297" s="33" t="s">
        <v>3628</v>
      </c>
      <c r="AJ297" s="44" t="s">
        <v>57</v>
      </c>
      <c r="AK297" s="33">
        <v>2050</v>
      </c>
      <c r="AL297" s="45" t="str">
        <f t="shared" si="43"/>
        <v>*0.9</v>
      </c>
      <c r="AM297" s="43" t="str">
        <f t="shared" si="46"/>
        <v>REZoning_Sol-Win</v>
      </c>
      <c r="AP297" t="s">
        <v>3628</v>
      </c>
      <c r="AQ297" t="s">
        <v>57</v>
      </c>
      <c r="AR297">
        <f t="shared" si="44"/>
        <v>2100</v>
      </c>
      <c r="AS297" t="s">
        <v>897</v>
      </c>
      <c r="AT297" t="s">
        <v>58</v>
      </c>
    </row>
    <row r="298" ht="29" spans="1:46">
      <c r="A298" s="31" t="s">
        <v>73</v>
      </c>
      <c r="C298" t="s">
        <v>3629</v>
      </c>
      <c r="D298" s="5" t="s">
        <v>57</v>
      </c>
      <c r="E298">
        <v>2035</v>
      </c>
      <c r="F298" s="6" t="str">
        <f t="shared" si="38"/>
        <v>*0.95</v>
      </c>
      <c r="H298" t="s">
        <v>3629</v>
      </c>
      <c r="I298" s="5" t="s">
        <v>57</v>
      </c>
      <c r="J298">
        <v>2050</v>
      </c>
      <c r="K298" s="38" t="str">
        <f t="shared" si="39"/>
        <v>*0.93</v>
      </c>
      <c r="P298" s="32" t="s">
        <v>3629</v>
      </c>
      <c r="Q298" s="42" t="s">
        <v>57</v>
      </c>
      <c r="R298" s="32">
        <v>2035</v>
      </c>
      <c r="S298" s="43" t="str">
        <f t="shared" si="40"/>
        <v>*0.95</v>
      </c>
      <c r="U298" s="32" t="s">
        <v>3629</v>
      </c>
      <c r="V298" s="42" t="s">
        <v>57</v>
      </c>
      <c r="W298" s="32">
        <v>2050</v>
      </c>
      <c r="X298" s="43" t="str">
        <f t="shared" si="41"/>
        <v>*0.93</v>
      </c>
      <c r="AC298" s="33" t="s">
        <v>3629</v>
      </c>
      <c r="AD298" s="44" t="s">
        <v>57</v>
      </c>
      <c r="AE298" s="33">
        <v>2035</v>
      </c>
      <c r="AF298" s="45" t="str">
        <f t="shared" si="42"/>
        <v>*0.93</v>
      </c>
      <c r="AG298" s="43" t="str">
        <f t="shared" si="45"/>
        <v>REZoning_Sol-Win</v>
      </c>
      <c r="AI298" s="33" t="s">
        <v>3629</v>
      </c>
      <c r="AJ298" s="44" t="s">
        <v>57</v>
      </c>
      <c r="AK298" s="33">
        <v>2050</v>
      </c>
      <c r="AL298" s="45" t="str">
        <f t="shared" si="43"/>
        <v>*0.9</v>
      </c>
      <c r="AM298" s="43" t="str">
        <f t="shared" si="46"/>
        <v>REZoning_Sol-Win</v>
      </c>
      <c r="AP298" t="s">
        <v>3629</v>
      </c>
      <c r="AQ298" t="s">
        <v>57</v>
      </c>
      <c r="AR298">
        <f t="shared" si="44"/>
        <v>2100</v>
      </c>
      <c r="AS298" t="s">
        <v>897</v>
      </c>
      <c r="AT298" t="s">
        <v>58</v>
      </c>
    </row>
    <row r="299" ht="29" spans="1:46">
      <c r="A299" s="31" t="s">
        <v>73</v>
      </c>
      <c r="C299" t="s">
        <v>3630</v>
      </c>
      <c r="D299" s="5" t="s">
        <v>57</v>
      </c>
      <c r="E299">
        <v>2035</v>
      </c>
      <c r="F299" s="6" t="str">
        <f t="shared" si="38"/>
        <v>*0.95</v>
      </c>
      <c r="H299" t="s">
        <v>3630</v>
      </c>
      <c r="I299" s="5" t="s">
        <v>57</v>
      </c>
      <c r="J299">
        <v>2050</v>
      </c>
      <c r="K299" s="38" t="str">
        <f t="shared" si="39"/>
        <v>*0.93</v>
      </c>
      <c r="P299" s="32" t="s">
        <v>3630</v>
      </c>
      <c r="Q299" s="42" t="s">
        <v>57</v>
      </c>
      <c r="R299" s="32">
        <v>2035</v>
      </c>
      <c r="S299" s="43" t="str">
        <f t="shared" si="40"/>
        <v>*0.95</v>
      </c>
      <c r="U299" s="32" t="s">
        <v>3630</v>
      </c>
      <c r="V299" s="42" t="s">
        <v>57</v>
      </c>
      <c r="W299" s="32">
        <v>2050</v>
      </c>
      <c r="X299" s="43" t="str">
        <f t="shared" si="41"/>
        <v>*0.93</v>
      </c>
      <c r="AC299" s="33" t="s">
        <v>3630</v>
      </c>
      <c r="AD299" s="44" t="s">
        <v>57</v>
      </c>
      <c r="AE299" s="33">
        <v>2035</v>
      </c>
      <c r="AF299" s="45" t="str">
        <f t="shared" si="42"/>
        <v>*0.93</v>
      </c>
      <c r="AG299" s="43" t="str">
        <f t="shared" si="45"/>
        <v>REZoning_Sol-Win</v>
      </c>
      <c r="AI299" s="33" t="s">
        <v>3630</v>
      </c>
      <c r="AJ299" s="44" t="s">
        <v>57</v>
      </c>
      <c r="AK299" s="33">
        <v>2050</v>
      </c>
      <c r="AL299" s="45" t="str">
        <f t="shared" si="43"/>
        <v>*0.9</v>
      </c>
      <c r="AM299" s="43" t="str">
        <f t="shared" si="46"/>
        <v>REZoning_Sol-Win</v>
      </c>
      <c r="AP299" t="s">
        <v>3630</v>
      </c>
      <c r="AQ299" t="s">
        <v>57</v>
      </c>
      <c r="AR299">
        <f t="shared" si="44"/>
        <v>2100</v>
      </c>
      <c r="AS299" t="s">
        <v>897</v>
      </c>
      <c r="AT299" t="s">
        <v>58</v>
      </c>
    </row>
    <row r="300" ht="29" spans="1:46">
      <c r="A300" s="31" t="s">
        <v>73</v>
      </c>
      <c r="C300" t="s">
        <v>3631</v>
      </c>
      <c r="D300" s="5" t="s">
        <v>57</v>
      </c>
      <c r="E300">
        <v>2035</v>
      </c>
      <c r="F300" s="6" t="str">
        <f t="shared" si="38"/>
        <v>*0.95</v>
      </c>
      <c r="H300" t="s">
        <v>3631</v>
      </c>
      <c r="I300" s="5" t="s">
        <v>57</v>
      </c>
      <c r="J300">
        <v>2050</v>
      </c>
      <c r="K300" s="38" t="str">
        <f t="shared" si="39"/>
        <v>*0.93</v>
      </c>
      <c r="P300" s="32" t="s">
        <v>3631</v>
      </c>
      <c r="Q300" s="42" t="s">
        <v>57</v>
      </c>
      <c r="R300" s="32">
        <v>2035</v>
      </c>
      <c r="S300" s="43" t="str">
        <f t="shared" si="40"/>
        <v>*0.95</v>
      </c>
      <c r="U300" s="32" t="s">
        <v>3631</v>
      </c>
      <c r="V300" s="42" t="s">
        <v>57</v>
      </c>
      <c r="W300" s="32">
        <v>2050</v>
      </c>
      <c r="X300" s="43" t="str">
        <f t="shared" si="41"/>
        <v>*0.93</v>
      </c>
      <c r="AC300" s="33" t="s">
        <v>3631</v>
      </c>
      <c r="AD300" s="44" t="s">
        <v>57</v>
      </c>
      <c r="AE300" s="33">
        <v>2035</v>
      </c>
      <c r="AF300" s="45" t="str">
        <f t="shared" si="42"/>
        <v>*0.93</v>
      </c>
      <c r="AG300" s="43" t="str">
        <f t="shared" si="45"/>
        <v>REZoning_Sol-Win</v>
      </c>
      <c r="AI300" s="33" t="s">
        <v>3631</v>
      </c>
      <c r="AJ300" s="44" t="s">
        <v>57</v>
      </c>
      <c r="AK300" s="33">
        <v>2050</v>
      </c>
      <c r="AL300" s="45" t="str">
        <f t="shared" si="43"/>
        <v>*0.9</v>
      </c>
      <c r="AM300" s="43" t="str">
        <f t="shared" si="46"/>
        <v>REZoning_Sol-Win</v>
      </c>
      <c r="AP300" t="s">
        <v>3631</v>
      </c>
      <c r="AQ300" t="s">
        <v>57</v>
      </c>
      <c r="AR300">
        <f t="shared" si="44"/>
        <v>2100</v>
      </c>
      <c r="AS300" t="s">
        <v>897</v>
      </c>
      <c r="AT300" t="s">
        <v>58</v>
      </c>
    </row>
    <row r="301" ht="29" spans="1:46">
      <c r="A301" s="31" t="s">
        <v>83</v>
      </c>
      <c r="C301" t="s">
        <v>3632</v>
      </c>
      <c r="D301" s="5" t="s">
        <v>57</v>
      </c>
      <c r="E301">
        <v>2035</v>
      </c>
      <c r="F301" s="6" t="str">
        <f t="shared" si="38"/>
        <v>*0.95</v>
      </c>
      <c r="H301" t="s">
        <v>3632</v>
      </c>
      <c r="I301" s="5" t="s">
        <v>57</v>
      </c>
      <c r="J301">
        <v>2050</v>
      </c>
      <c r="K301" s="38" t="str">
        <f t="shared" si="39"/>
        <v>*0.92</v>
      </c>
      <c r="P301" s="32" t="s">
        <v>3632</v>
      </c>
      <c r="Q301" s="42" t="s">
        <v>57</v>
      </c>
      <c r="R301" s="32">
        <v>2035</v>
      </c>
      <c r="S301" s="43" t="str">
        <f t="shared" si="40"/>
        <v>*0.95</v>
      </c>
      <c r="U301" s="32" t="s">
        <v>3632</v>
      </c>
      <c r="V301" s="42" t="s">
        <v>57</v>
      </c>
      <c r="W301" s="32">
        <v>2050</v>
      </c>
      <c r="X301" s="43" t="str">
        <f t="shared" si="41"/>
        <v>*0.92</v>
      </c>
      <c r="AC301" s="33" t="s">
        <v>3632</v>
      </c>
      <c r="AD301" s="44" t="s">
        <v>57</v>
      </c>
      <c r="AE301" s="33">
        <v>2035</v>
      </c>
      <c r="AF301" s="45" t="str">
        <f t="shared" si="42"/>
        <v>*0.93</v>
      </c>
      <c r="AG301" s="43" t="str">
        <f t="shared" si="45"/>
        <v>REZoning_Sol-Win</v>
      </c>
      <c r="AI301" s="33" t="s">
        <v>3632</v>
      </c>
      <c r="AJ301" s="44" t="s">
        <v>57</v>
      </c>
      <c r="AK301" s="33">
        <v>2050</v>
      </c>
      <c r="AL301" s="45" t="str">
        <f t="shared" si="43"/>
        <v>*0.89</v>
      </c>
      <c r="AM301" s="43" t="str">
        <f t="shared" si="46"/>
        <v>REZoning_Sol-Win</v>
      </c>
      <c r="AP301" t="s">
        <v>3632</v>
      </c>
      <c r="AQ301" t="s">
        <v>57</v>
      </c>
      <c r="AR301">
        <f t="shared" si="44"/>
        <v>2100</v>
      </c>
      <c r="AS301" t="s">
        <v>937</v>
      </c>
      <c r="AT301" t="s">
        <v>58</v>
      </c>
    </row>
    <row r="302" ht="29" spans="1:46">
      <c r="A302" s="31" t="s">
        <v>83</v>
      </c>
      <c r="C302" t="s">
        <v>3633</v>
      </c>
      <c r="D302" s="5" t="s">
        <v>57</v>
      </c>
      <c r="E302">
        <v>2035</v>
      </c>
      <c r="F302" s="6" t="str">
        <f t="shared" si="38"/>
        <v>*0.95</v>
      </c>
      <c r="H302" t="s">
        <v>3633</v>
      </c>
      <c r="I302" s="5" t="s">
        <v>57</v>
      </c>
      <c r="J302">
        <v>2050</v>
      </c>
      <c r="K302" s="38" t="str">
        <f t="shared" si="39"/>
        <v>*0.92</v>
      </c>
      <c r="P302" s="32" t="s">
        <v>3633</v>
      </c>
      <c r="Q302" s="42" t="s">
        <v>57</v>
      </c>
      <c r="R302" s="32">
        <v>2035</v>
      </c>
      <c r="S302" s="43" t="str">
        <f t="shared" si="40"/>
        <v>*0.95</v>
      </c>
      <c r="U302" s="32" t="s">
        <v>3633</v>
      </c>
      <c r="V302" s="42" t="s">
        <v>57</v>
      </c>
      <c r="W302" s="32">
        <v>2050</v>
      </c>
      <c r="X302" s="43" t="str">
        <f t="shared" si="41"/>
        <v>*0.92</v>
      </c>
      <c r="AC302" s="33" t="s">
        <v>3633</v>
      </c>
      <c r="AD302" s="44" t="s">
        <v>57</v>
      </c>
      <c r="AE302" s="33">
        <v>2035</v>
      </c>
      <c r="AF302" s="45" t="str">
        <f t="shared" si="42"/>
        <v>*0.93</v>
      </c>
      <c r="AG302" s="43" t="str">
        <f t="shared" si="45"/>
        <v>REZoning_Sol-Win</v>
      </c>
      <c r="AI302" s="33" t="s">
        <v>3633</v>
      </c>
      <c r="AJ302" s="44" t="s">
        <v>57</v>
      </c>
      <c r="AK302" s="33">
        <v>2050</v>
      </c>
      <c r="AL302" s="45" t="str">
        <f t="shared" si="43"/>
        <v>*0.89</v>
      </c>
      <c r="AM302" s="43" t="str">
        <f t="shared" si="46"/>
        <v>REZoning_Sol-Win</v>
      </c>
      <c r="AP302" t="s">
        <v>3633</v>
      </c>
      <c r="AQ302" t="s">
        <v>57</v>
      </c>
      <c r="AR302">
        <f t="shared" si="44"/>
        <v>2100</v>
      </c>
      <c r="AS302" t="s">
        <v>937</v>
      </c>
      <c r="AT302" t="s">
        <v>58</v>
      </c>
    </row>
    <row r="303" ht="29" spans="1:46">
      <c r="A303" s="31" t="s">
        <v>83</v>
      </c>
      <c r="C303" t="s">
        <v>3634</v>
      </c>
      <c r="D303" s="5" t="s">
        <v>57</v>
      </c>
      <c r="E303">
        <v>2035</v>
      </c>
      <c r="F303" s="6" t="str">
        <f t="shared" si="38"/>
        <v>*0.95</v>
      </c>
      <c r="H303" t="s">
        <v>3634</v>
      </c>
      <c r="I303" s="5" t="s">
        <v>57</v>
      </c>
      <c r="J303">
        <v>2050</v>
      </c>
      <c r="K303" s="38" t="str">
        <f t="shared" si="39"/>
        <v>*0.92</v>
      </c>
      <c r="P303" s="32" t="s">
        <v>3634</v>
      </c>
      <c r="Q303" s="42" t="s">
        <v>57</v>
      </c>
      <c r="R303" s="32">
        <v>2035</v>
      </c>
      <c r="S303" s="43" t="str">
        <f t="shared" si="40"/>
        <v>*0.95</v>
      </c>
      <c r="U303" s="32" t="s">
        <v>3634</v>
      </c>
      <c r="V303" s="42" t="s">
        <v>57</v>
      </c>
      <c r="W303" s="32">
        <v>2050</v>
      </c>
      <c r="X303" s="43" t="str">
        <f t="shared" si="41"/>
        <v>*0.92</v>
      </c>
      <c r="AC303" s="33" t="s">
        <v>3634</v>
      </c>
      <c r="AD303" s="44" t="s">
        <v>57</v>
      </c>
      <c r="AE303" s="33">
        <v>2035</v>
      </c>
      <c r="AF303" s="45" t="str">
        <f t="shared" si="42"/>
        <v>*0.93</v>
      </c>
      <c r="AG303" s="43" t="str">
        <f t="shared" si="45"/>
        <v>REZoning_Sol-Win</v>
      </c>
      <c r="AI303" s="33" t="s">
        <v>3634</v>
      </c>
      <c r="AJ303" s="44" t="s">
        <v>57</v>
      </c>
      <c r="AK303" s="33">
        <v>2050</v>
      </c>
      <c r="AL303" s="45" t="str">
        <f t="shared" si="43"/>
        <v>*0.89</v>
      </c>
      <c r="AM303" s="43" t="str">
        <f t="shared" si="46"/>
        <v>REZoning_Sol-Win</v>
      </c>
      <c r="AP303" t="s">
        <v>3634</v>
      </c>
      <c r="AQ303" t="s">
        <v>57</v>
      </c>
      <c r="AR303">
        <f t="shared" si="44"/>
        <v>2100</v>
      </c>
      <c r="AS303" t="s">
        <v>937</v>
      </c>
      <c r="AT303" t="s">
        <v>58</v>
      </c>
    </row>
    <row r="304" ht="29" spans="1:46">
      <c r="A304" s="31" t="s">
        <v>83</v>
      </c>
      <c r="C304" t="s">
        <v>3635</v>
      </c>
      <c r="D304" s="5" t="s">
        <v>57</v>
      </c>
      <c r="E304">
        <v>2035</v>
      </c>
      <c r="F304" s="6" t="str">
        <f t="shared" si="38"/>
        <v>*0.95</v>
      </c>
      <c r="H304" t="s">
        <v>3635</v>
      </c>
      <c r="I304" s="5" t="s">
        <v>57</v>
      </c>
      <c r="J304">
        <v>2050</v>
      </c>
      <c r="K304" s="38" t="str">
        <f t="shared" si="39"/>
        <v>*0.92</v>
      </c>
      <c r="P304" s="32" t="s">
        <v>3635</v>
      </c>
      <c r="Q304" s="42" t="s">
        <v>57</v>
      </c>
      <c r="R304" s="32">
        <v>2035</v>
      </c>
      <c r="S304" s="43" t="str">
        <f t="shared" si="40"/>
        <v>*0.95</v>
      </c>
      <c r="U304" s="32" t="s">
        <v>3635</v>
      </c>
      <c r="V304" s="42" t="s">
        <v>57</v>
      </c>
      <c r="W304" s="32">
        <v>2050</v>
      </c>
      <c r="X304" s="43" t="str">
        <f t="shared" si="41"/>
        <v>*0.92</v>
      </c>
      <c r="AC304" s="33" t="s">
        <v>3635</v>
      </c>
      <c r="AD304" s="44" t="s">
        <v>57</v>
      </c>
      <c r="AE304" s="33">
        <v>2035</v>
      </c>
      <c r="AF304" s="45" t="str">
        <f t="shared" si="42"/>
        <v>*0.93</v>
      </c>
      <c r="AG304" s="43" t="str">
        <f t="shared" si="45"/>
        <v>REZoning_Sol-Win</v>
      </c>
      <c r="AI304" s="33" t="s">
        <v>3635</v>
      </c>
      <c r="AJ304" s="44" t="s">
        <v>57</v>
      </c>
      <c r="AK304" s="33">
        <v>2050</v>
      </c>
      <c r="AL304" s="45" t="str">
        <f t="shared" si="43"/>
        <v>*0.89</v>
      </c>
      <c r="AM304" s="43" t="str">
        <f t="shared" si="46"/>
        <v>REZoning_Sol-Win</v>
      </c>
      <c r="AP304" t="s">
        <v>3635</v>
      </c>
      <c r="AQ304" t="s">
        <v>57</v>
      </c>
      <c r="AR304">
        <f t="shared" si="44"/>
        <v>2100</v>
      </c>
      <c r="AS304" t="s">
        <v>937</v>
      </c>
      <c r="AT304" t="s">
        <v>58</v>
      </c>
    </row>
    <row r="305" ht="29" spans="1:46">
      <c r="A305" s="31" t="s">
        <v>83</v>
      </c>
      <c r="C305" t="s">
        <v>3636</v>
      </c>
      <c r="D305" s="5" t="s">
        <v>57</v>
      </c>
      <c r="E305">
        <v>2035</v>
      </c>
      <c r="F305" s="6" t="str">
        <f t="shared" si="38"/>
        <v>*0.95</v>
      </c>
      <c r="H305" t="s">
        <v>3636</v>
      </c>
      <c r="I305" s="5" t="s">
        <v>57</v>
      </c>
      <c r="J305">
        <v>2050</v>
      </c>
      <c r="K305" s="38" t="str">
        <f t="shared" si="39"/>
        <v>*0.92</v>
      </c>
      <c r="P305" s="32" t="s">
        <v>3636</v>
      </c>
      <c r="Q305" s="42" t="s">
        <v>57</v>
      </c>
      <c r="R305" s="32">
        <v>2035</v>
      </c>
      <c r="S305" s="43" t="str">
        <f t="shared" si="40"/>
        <v>*0.95</v>
      </c>
      <c r="U305" s="32" t="s">
        <v>3636</v>
      </c>
      <c r="V305" s="42" t="s">
        <v>57</v>
      </c>
      <c r="W305" s="32">
        <v>2050</v>
      </c>
      <c r="X305" s="43" t="str">
        <f t="shared" si="41"/>
        <v>*0.92</v>
      </c>
      <c r="AC305" s="33" t="s">
        <v>3636</v>
      </c>
      <c r="AD305" s="44" t="s">
        <v>57</v>
      </c>
      <c r="AE305" s="33">
        <v>2035</v>
      </c>
      <c r="AF305" s="45" t="str">
        <f t="shared" si="42"/>
        <v>*0.93</v>
      </c>
      <c r="AG305" s="43" t="str">
        <f t="shared" si="45"/>
        <v>REZoning_Sol-Win</v>
      </c>
      <c r="AI305" s="33" t="s">
        <v>3636</v>
      </c>
      <c r="AJ305" s="44" t="s">
        <v>57</v>
      </c>
      <c r="AK305" s="33">
        <v>2050</v>
      </c>
      <c r="AL305" s="45" t="str">
        <f t="shared" si="43"/>
        <v>*0.89</v>
      </c>
      <c r="AM305" s="43" t="str">
        <f t="shared" si="46"/>
        <v>REZoning_Sol-Win</v>
      </c>
      <c r="AP305" t="s">
        <v>3636</v>
      </c>
      <c r="AQ305" t="s">
        <v>57</v>
      </c>
      <c r="AR305">
        <f t="shared" si="44"/>
        <v>2100</v>
      </c>
      <c r="AS305" t="s">
        <v>937</v>
      </c>
      <c r="AT305" t="s">
        <v>58</v>
      </c>
    </row>
    <row r="306" ht="29" spans="1:46">
      <c r="A306" s="31" t="s">
        <v>83</v>
      </c>
      <c r="C306" t="s">
        <v>3637</v>
      </c>
      <c r="D306" s="5" t="s">
        <v>57</v>
      </c>
      <c r="E306">
        <v>2035</v>
      </c>
      <c r="F306" s="6" t="str">
        <f t="shared" si="38"/>
        <v>*0.95</v>
      </c>
      <c r="H306" t="s">
        <v>3637</v>
      </c>
      <c r="I306" s="5" t="s">
        <v>57</v>
      </c>
      <c r="J306">
        <v>2050</v>
      </c>
      <c r="K306" s="38" t="str">
        <f t="shared" si="39"/>
        <v>*0.92</v>
      </c>
      <c r="P306" s="32" t="s">
        <v>3637</v>
      </c>
      <c r="Q306" s="42" t="s">
        <v>57</v>
      </c>
      <c r="R306" s="32">
        <v>2035</v>
      </c>
      <c r="S306" s="43" t="str">
        <f t="shared" si="40"/>
        <v>*0.95</v>
      </c>
      <c r="U306" s="32" t="s">
        <v>3637</v>
      </c>
      <c r="V306" s="42" t="s">
        <v>57</v>
      </c>
      <c r="W306" s="32">
        <v>2050</v>
      </c>
      <c r="X306" s="43" t="str">
        <f t="shared" si="41"/>
        <v>*0.92</v>
      </c>
      <c r="AC306" s="33" t="s">
        <v>3637</v>
      </c>
      <c r="AD306" s="44" t="s">
        <v>57</v>
      </c>
      <c r="AE306" s="33">
        <v>2035</v>
      </c>
      <c r="AF306" s="45" t="str">
        <f t="shared" si="42"/>
        <v>*0.93</v>
      </c>
      <c r="AG306" s="43" t="str">
        <f t="shared" si="45"/>
        <v>REZoning_Sol-Win</v>
      </c>
      <c r="AI306" s="33" t="s">
        <v>3637</v>
      </c>
      <c r="AJ306" s="44" t="s">
        <v>57</v>
      </c>
      <c r="AK306" s="33">
        <v>2050</v>
      </c>
      <c r="AL306" s="45" t="str">
        <f t="shared" si="43"/>
        <v>*0.89</v>
      </c>
      <c r="AM306" s="43" t="str">
        <f t="shared" si="46"/>
        <v>REZoning_Sol-Win</v>
      </c>
      <c r="AP306" t="s">
        <v>3637</v>
      </c>
      <c r="AQ306" t="s">
        <v>57</v>
      </c>
      <c r="AR306">
        <f t="shared" si="44"/>
        <v>2100</v>
      </c>
      <c r="AS306" t="s">
        <v>937</v>
      </c>
      <c r="AT306" t="s">
        <v>58</v>
      </c>
    </row>
    <row r="307" ht="29" spans="1:46">
      <c r="A307" s="31" t="s">
        <v>83</v>
      </c>
      <c r="C307" t="s">
        <v>3638</v>
      </c>
      <c r="D307" s="5" t="s">
        <v>57</v>
      </c>
      <c r="E307">
        <v>2035</v>
      </c>
      <c r="F307" s="6" t="str">
        <f t="shared" si="38"/>
        <v>*0.95</v>
      </c>
      <c r="H307" t="s">
        <v>3638</v>
      </c>
      <c r="I307" s="5" t="s">
        <v>57</v>
      </c>
      <c r="J307">
        <v>2050</v>
      </c>
      <c r="K307" s="38" t="str">
        <f t="shared" si="39"/>
        <v>*0.92</v>
      </c>
      <c r="P307" s="32" t="s">
        <v>3638</v>
      </c>
      <c r="Q307" s="42" t="s">
        <v>57</v>
      </c>
      <c r="R307" s="32">
        <v>2035</v>
      </c>
      <c r="S307" s="43" t="str">
        <f t="shared" si="40"/>
        <v>*0.95</v>
      </c>
      <c r="U307" s="32" t="s">
        <v>3638</v>
      </c>
      <c r="V307" s="42" t="s">
        <v>57</v>
      </c>
      <c r="W307" s="32">
        <v>2050</v>
      </c>
      <c r="X307" s="43" t="str">
        <f t="shared" si="41"/>
        <v>*0.92</v>
      </c>
      <c r="AC307" s="33" t="s">
        <v>3638</v>
      </c>
      <c r="AD307" s="44" t="s">
        <v>57</v>
      </c>
      <c r="AE307" s="33">
        <v>2035</v>
      </c>
      <c r="AF307" s="45" t="str">
        <f t="shared" si="42"/>
        <v>*0.93</v>
      </c>
      <c r="AG307" s="43" t="str">
        <f t="shared" si="45"/>
        <v>REZoning_Sol-Win</v>
      </c>
      <c r="AI307" s="33" t="s">
        <v>3638</v>
      </c>
      <c r="AJ307" s="44" t="s">
        <v>57</v>
      </c>
      <c r="AK307" s="33">
        <v>2050</v>
      </c>
      <c r="AL307" s="45" t="str">
        <f t="shared" si="43"/>
        <v>*0.89</v>
      </c>
      <c r="AM307" s="43" t="str">
        <f t="shared" si="46"/>
        <v>REZoning_Sol-Win</v>
      </c>
      <c r="AP307" t="s">
        <v>3638</v>
      </c>
      <c r="AQ307" t="s">
        <v>57</v>
      </c>
      <c r="AR307">
        <f t="shared" si="44"/>
        <v>2100</v>
      </c>
      <c r="AS307" t="s">
        <v>937</v>
      </c>
      <c r="AT307" t="s">
        <v>58</v>
      </c>
    </row>
    <row r="308" ht="29" spans="1:46">
      <c r="A308" s="31" t="s">
        <v>83</v>
      </c>
      <c r="C308" t="s">
        <v>3639</v>
      </c>
      <c r="D308" s="5" t="s">
        <v>57</v>
      </c>
      <c r="E308">
        <v>2035</v>
      </c>
      <c r="F308" s="6" t="str">
        <f t="shared" si="38"/>
        <v>*0.95</v>
      </c>
      <c r="H308" t="s">
        <v>3639</v>
      </c>
      <c r="I308" s="5" t="s">
        <v>57</v>
      </c>
      <c r="J308">
        <v>2050</v>
      </c>
      <c r="K308" s="38" t="str">
        <f t="shared" si="39"/>
        <v>*0.92</v>
      </c>
      <c r="P308" s="32" t="s">
        <v>3639</v>
      </c>
      <c r="Q308" s="42" t="s">
        <v>57</v>
      </c>
      <c r="R308" s="32">
        <v>2035</v>
      </c>
      <c r="S308" s="43" t="str">
        <f t="shared" si="40"/>
        <v>*0.95</v>
      </c>
      <c r="U308" s="32" t="s">
        <v>3639</v>
      </c>
      <c r="V308" s="42" t="s">
        <v>57</v>
      </c>
      <c r="W308" s="32">
        <v>2050</v>
      </c>
      <c r="X308" s="43" t="str">
        <f t="shared" si="41"/>
        <v>*0.92</v>
      </c>
      <c r="AC308" s="33" t="s">
        <v>3639</v>
      </c>
      <c r="AD308" s="44" t="s">
        <v>57</v>
      </c>
      <c r="AE308" s="33">
        <v>2035</v>
      </c>
      <c r="AF308" s="45" t="str">
        <f t="shared" si="42"/>
        <v>*0.93</v>
      </c>
      <c r="AG308" s="43" t="str">
        <f t="shared" si="45"/>
        <v>REZoning_Sol-Win</v>
      </c>
      <c r="AI308" s="33" t="s">
        <v>3639</v>
      </c>
      <c r="AJ308" s="44" t="s">
        <v>57</v>
      </c>
      <c r="AK308" s="33">
        <v>2050</v>
      </c>
      <c r="AL308" s="45" t="str">
        <f t="shared" si="43"/>
        <v>*0.89</v>
      </c>
      <c r="AM308" s="43" t="str">
        <f t="shared" si="46"/>
        <v>REZoning_Sol-Win</v>
      </c>
      <c r="AP308" t="s">
        <v>3639</v>
      </c>
      <c r="AQ308" t="s">
        <v>57</v>
      </c>
      <c r="AR308">
        <f t="shared" si="44"/>
        <v>2100</v>
      </c>
      <c r="AS308" t="s">
        <v>937</v>
      </c>
      <c r="AT308" t="s">
        <v>58</v>
      </c>
    </row>
    <row r="309" ht="29" spans="1:46">
      <c r="A309" s="31" t="s">
        <v>83</v>
      </c>
      <c r="C309" t="s">
        <v>3640</v>
      </c>
      <c r="D309" s="5" t="s">
        <v>57</v>
      </c>
      <c r="E309">
        <v>2035</v>
      </c>
      <c r="F309" s="6" t="str">
        <f t="shared" si="38"/>
        <v>*0.95</v>
      </c>
      <c r="H309" t="s">
        <v>3640</v>
      </c>
      <c r="I309" s="5" t="s">
        <v>57</v>
      </c>
      <c r="J309">
        <v>2050</v>
      </c>
      <c r="K309" s="38" t="str">
        <f t="shared" si="39"/>
        <v>*0.92</v>
      </c>
      <c r="P309" s="32" t="s">
        <v>3640</v>
      </c>
      <c r="Q309" s="42" t="s">
        <v>57</v>
      </c>
      <c r="R309" s="32">
        <v>2035</v>
      </c>
      <c r="S309" s="43" t="str">
        <f t="shared" si="40"/>
        <v>*0.95</v>
      </c>
      <c r="U309" s="32" t="s">
        <v>3640</v>
      </c>
      <c r="V309" s="42" t="s">
        <v>57</v>
      </c>
      <c r="W309" s="32">
        <v>2050</v>
      </c>
      <c r="X309" s="43" t="str">
        <f t="shared" si="41"/>
        <v>*0.92</v>
      </c>
      <c r="AC309" s="33" t="s">
        <v>3640</v>
      </c>
      <c r="AD309" s="44" t="s">
        <v>57</v>
      </c>
      <c r="AE309" s="33">
        <v>2035</v>
      </c>
      <c r="AF309" s="45" t="str">
        <f t="shared" si="42"/>
        <v>*0.93</v>
      </c>
      <c r="AG309" s="43" t="str">
        <f t="shared" si="45"/>
        <v>REZoning_Sol-Win</v>
      </c>
      <c r="AI309" s="33" t="s">
        <v>3640</v>
      </c>
      <c r="AJ309" s="44" t="s">
        <v>57</v>
      </c>
      <c r="AK309" s="33">
        <v>2050</v>
      </c>
      <c r="AL309" s="45" t="str">
        <f t="shared" si="43"/>
        <v>*0.89</v>
      </c>
      <c r="AM309" s="43" t="str">
        <f t="shared" si="46"/>
        <v>REZoning_Sol-Win</v>
      </c>
      <c r="AP309" t="s">
        <v>3640</v>
      </c>
      <c r="AQ309" t="s">
        <v>57</v>
      </c>
      <c r="AR309">
        <f t="shared" si="44"/>
        <v>2100</v>
      </c>
      <c r="AS309" t="s">
        <v>937</v>
      </c>
      <c r="AT309" t="s">
        <v>58</v>
      </c>
    </row>
    <row r="310" ht="29" spans="1:46">
      <c r="A310" s="31" t="s">
        <v>83</v>
      </c>
      <c r="C310" t="s">
        <v>3641</v>
      </c>
      <c r="D310" s="5" t="s">
        <v>57</v>
      </c>
      <c r="E310">
        <v>2035</v>
      </c>
      <c r="F310" s="6" t="str">
        <f t="shared" si="38"/>
        <v>*0.95</v>
      </c>
      <c r="H310" t="s">
        <v>3641</v>
      </c>
      <c r="I310" s="5" t="s">
        <v>57</v>
      </c>
      <c r="J310">
        <v>2050</v>
      </c>
      <c r="K310" s="38" t="str">
        <f t="shared" si="39"/>
        <v>*0.92</v>
      </c>
      <c r="P310" s="32" t="s">
        <v>3641</v>
      </c>
      <c r="Q310" s="42" t="s">
        <v>57</v>
      </c>
      <c r="R310" s="32">
        <v>2035</v>
      </c>
      <c r="S310" s="43" t="str">
        <f t="shared" si="40"/>
        <v>*0.95</v>
      </c>
      <c r="U310" s="32" t="s">
        <v>3641</v>
      </c>
      <c r="V310" s="42" t="s">
        <v>57</v>
      </c>
      <c r="W310" s="32">
        <v>2050</v>
      </c>
      <c r="X310" s="43" t="str">
        <f t="shared" si="41"/>
        <v>*0.92</v>
      </c>
      <c r="AC310" s="33" t="s">
        <v>3641</v>
      </c>
      <c r="AD310" s="44" t="s">
        <v>57</v>
      </c>
      <c r="AE310" s="33">
        <v>2035</v>
      </c>
      <c r="AF310" s="45" t="str">
        <f t="shared" si="42"/>
        <v>*0.93</v>
      </c>
      <c r="AG310" s="43" t="str">
        <f t="shared" si="45"/>
        <v>REZoning_Sol-Win</v>
      </c>
      <c r="AI310" s="33" t="s">
        <v>3641</v>
      </c>
      <c r="AJ310" s="44" t="s">
        <v>57</v>
      </c>
      <c r="AK310" s="33">
        <v>2050</v>
      </c>
      <c r="AL310" s="45" t="str">
        <f t="shared" si="43"/>
        <v>*0.89</v>
      </c>
      <c r="AM310" s="43" t="str">
        <f t="shared" si="46"/>
        <v>REZoning_Sol-Win</v>
      </c>
      <c r="AP310" t="s">
        <v>3641</v>
      </c>
      <c r="AQ310" t="s">
        <v>57</v>
      </c>
      <c r="AR310">
        <f t="shared" si="44"/>
        <v>2100</v>
      </c>
      <c r="AS310" t="s">
        <v>937</v>
      </c>
      <c r="AT310" t="s">
        <v>58</v>
      </c>
    </row>
    <row r="311" ht="29" spans="1:46">
      <c r="A311" s="31" t="s">
        <v>83</v>
      </c>
      <c r="C311" t="s">
        <v>3642</v>
      </c>
      <c r="D311" s="5" t="s">
        <v>57</v>
      </c>
      <c r="E311">
        <v>2035</v>
      </c>
      <c r="F311" s="6" t="str">
        <f t="shared" si="38"/>
        <v>*0.95</v>
      </c>
      <c r="H311" t="s">
        <v>3642</v>
      </c>
      <c r="I311" s="5" t="s">
        <v>57</v>
      </c>
      <c r="J311">
        <v>2050</v>
      </c>
      <c r="K311" s="38" t="str">
        <f t="shared" si="39"/>
        <v>*0.92</v>
      </c>
      <c r="P311" s="32" t="s">
        <v>3642</v>
      </c>
      <c r="Q311" s="42" t="s">
        <v>57</v>
      </c>
      <c r="R311" s="32">
        <v>2035</v>
      </c>
      <c r="S311" s="43" t="str">
        <f t="shared" si="40"/>
        <v>*0.95</v>
      </c>
      <c r="U311" s="32" t="s">
        <v>3642</v>
      </c>
      <c r="V311" s="42" t="s">
        <v>57</v>
      </c>
      <c r="W311" s="32">
        <v>2050</v>
      </c>
      <c r="X311" s="43" t="str">
        <f t="shared" si="41"/>
        <v>*0.92</v>
      </c>
      <c r="AC311" s="33" t="s">
        <v>3642</v>
      </c>
      <c r="AD311" s="44" t="s">
        <v>57</v>
      </c>
      <c r="AE311" s="33">
        <v>2035</v>
      </c>
      <c r="AF311" s="45" t="str">
        <f t="shared" si="42"/>
        <v>*0.93</v>
      </c>
      <c r="AG311" s="43" t="str">
        <f t="shared" si="45"/>
        <v>REZoning_Sol-Win</v>
      </c>
      <c r="AI311" s="33" t="s">
        <v>3642</v>
      </c>
      <c r="AJ311" s="44" t="s">
        <v>57</v>
      </c>
      <c r="AK311" s="33">
        <v>2050</v>
      </c>
      <c r="AL311" s="45" t="str">
        <f t="shared" si="43"/>
        <v>*0.89</v>
      </c>
      <c r="AM311" s="43" t="str">
        <f t="shared" si="46"/>
        <v>REZoning_Sol-Win</v>
      </c>
      <c r="AP311" t="s">
        <v>3642</v>
      </c>
      <c r="AQ311" t="s">
        <v>57</v>
      </c>
      <c r="AR311">
        <f t="shared" si="44"/>
        <v>2100</v>
      </c>
      <c r="AS311" t="s">
        <v>937</v>
      </c>
      <c r="AT311" t="s">
        <v>58</v>
      </c>
    </row>
    <row r="312" ht="29" spans="1:46">
      <c r="A312" s="31" t="s">
        <v>83</v>
      </c>
      <c r="C312" t="s">
        <v>3643</v>
      </c>
      <c r="D312" s="5" t="s">
        <v>57</v>
      </c>
      <c r="E312">
        <v>2035</v>
      </c>
      <c r="F312" s="6" t="str">
        <f t="shared" si="38"/>
        <v>*0.95</v>
      </c>
      <c r="H312" t="s">
        <v>3643</v>
      </c>
      <c r="I312" s="5" t="s">
        <v>57</v>
      </c>
      <c r="J312">
        <v>2050</v>
      </c>
      <c r="K312" s="38" t="str">
        <f t="shared" si="39"/>
        <v>*0.92</v>
      </c>
      <c r="P312" s="32" t="s">
        <v>3643</v>
      </c>
      <c r="Q312" s="42" t="s">
        <v>57</v>
      </c>
      <c r="R312" s="32">
        <v>2035</v>
      </c>
      <c r="S312" s="43" t="str">
        <f t="shared" si="40"/>
        <v>*0.95</v>
      </c>
      <c r="U312" s="32" t="s">
        <v>3643</v>
      </c>
      <c r="V312" s="42" t="s">
        <v>57</v>
      </c>
      <c r="W312" s="32">
        <v>2050</v>
      </c>
      <c r="X312" s="43" t="str">
        <f t="shared" si="41"/>
        <v>*0.92</v>
      </c>
      <c r="AC312" s="33" t="s">
        <v>3643</v>
      </c>
      <c r="AD312" s="44" t="s">
        <v>57</v>
      </c>
      <c r="AE312" s="33">
        <v>2035</v>
      </c>
      <c r="AF312" s="45" t="str">
        <f t="shared" si="42"/>
        <v>*0.93</v>
      </c>
      <c r="AG312" s="43" t="str">
        <f t="shared" si="45"/>
        <v>REZoning_Sol-Win</v>
      </c>
      <c r="AI312" s="33" t="s">
        <v>3643</v>
      </c>
      <c r="AJ312" s="44" t="s">
        <v>57</v>
      </c>
      <c r="AK312" s="33">
        <v>2050</v>
      </c>
      <c r="AL312" s="45" t="str">
        <f t="shared" si="43"/>
        <v>*0.89</v>
      </c>
      <c r="AM312" s="43" t="str">
        <f t="shared" si="46"/>
        <v>REZoning_Sol-Win</v>
      </c>
      <c r="AP312" t="s">
        <v>3643</v>
      </c>
      <c r="AQ312" t="s">
        <v>57</v>
      </c>
      <c r="AR312">
        <f t="shared" si="44"/>
        <v>2100</v>
      </c>
      <c r="AS312" t="s">
        <v>937</v>
      </c>
      <c r="AT312" t="s">
        <v>58</v>
      </c>
    </row>
    <row r="313" ht="29" spans="1:46">
      <c r="A313" s="31" t="s">
        <v>83</v>
      </c>
      <c r="C313" t="s">
        <v>3644</v>
      </c>
      <c r="D313" s="5" t="s">
        <v>57</v>
      </c>
      <c r="E313">
        <v>2035</v>
      </c>
      <c r="F313" s="6" t="str">
        <f t="shared" si="38"/>
        <v>*0.95</v>
      </c>
      <c r="H313" t="s">
        <v>3644</v>
      </c>
      <c r="I313" s="5" t="s">
        <v>57</v>
      </c>
      <c r="J313">
        <v>2050</v>
      </c>
      <c r="K313" s="38" t="str">
        <f t="shared" si="39"/>
        <v>*0.92</v>
      </c>
      <c r="P313" s="32" t="s">
        <v>3644</v>
      </c>
      <c r="Q313" s="42" t="s">
        <v>57</v>
      </c>
      <c r="R313" s="32">
        <v>2035</v>
      </c>
      <c r="S313" s="43" t="str">
        <f t="shared" si="40"/>
        <v>*0.95</v>
      </c>
      <c r="U313" s="32" t="s">
        <v>3644</v>
      </c>
      <c r="V313" s="42" t="s">
        <v>57</v>
      </c>
      <c r="W313" s="32">
        <v>2050</v>
      </c>
      <c r="X313" s="43" t="str">
        <f t="shared" si="41"/>
        <v>*0.92</v>
      </c>
      <c r="AC313" s="33" t="s">
        <v>3644</v>
      </c>
      <c r="AD313" s="44" t="s">
        <v>57</v>
      </c>
      <c r="AE313" s="33">
        <v>2035</v>
      </c>
      <c r="AF313" s="45" t="str">
        <f t="shared" si="42"/>
        <v>*0.93</v>
      </c>
      <c r="AG313" s="43" t="str">
        <f t="shared" si="45"/>
        <v>REZoning_Sol-Win</v>
      </c>
      <c r="AI313" s="33" t="s">
        <v>3644</v>
      </c>
      <c r="AJ313" s="44" t="s">
        <v>57</v>
      </c>
      <c r="AK313" s="33">
        <v>2050</v>
      </c>
      <c r="AL313" s="45" t="str">
        <f t="shared" si="43"/>
        <v>*0.89</v>
      </c>
      <c r="AM313" s="43" t="str">
        <f t="shared" si="46"/>
        <v>REZoning_Sol-Win</v>
      </c>
      <c r="AP313" t="s">
        <v>3644</v>
      </c>
      <c r="AQ313" t="s">
        <v>57</v>
      </c>
      <c r="AR313">
        <f t="shared" si="44"/>
        <v>2100</v>
      </c>
      <c r="AS313" t="s">
        <v>937</v>
      </c>
      <c r="AT313" t="s">
        <v>58</v>
      </c>
    </row>
    <row r="314" ht="29" spans="1:46">
      <c r="A314" s="31" t="s">
        <v>83</v>
      </c>
      <c r="C314" t="s">
        <v>3645</v>
      </c>
      <c r="D314" s="5" t="s">
        <v>57</v>
      </c>
      <c r="E314">
        <v>2035</v>
      </c>
      <c r="F314" s="6" t="str">
        <f t="shared" si="38"/>
        <v>*0.95</v>
      </c>
      <c r="H314" t="s">
        <v>3645</v>
      </c>
      <c r="I314" s="5" t="s">
        <v>57</v>
      </c>
      <c r="J314">
        <v>2050</v>
      </c>
      <c r="K314" s="38" t="str">
        <f t="shared" si="39"/>
        <v>*0.92</v>
      </c>
      <c r="P314" s="32" t="s">
        <v>3645</v>
      </c>
      <c r="Q314" s="42" t="s">
        <v>57</v>
      </c>
      <c r="R314" s="32">
        <v>2035</v>
      </c>
      <c r="S314" s="43" t="str">
        <f t="shared" si="40"/>
        <v>*0.95</v>
      </c>
      <c r="U314" s="32" t="s">
        <v>3645</v>
      </c>
      <c r="V314" s="42" t="s">
        <v>57</v>
      </c>
      <c r="W314" s="32">
        <v>2050</v>
      </c>
      <c r="X314" s="43" t="str">
        <f t="shared" si="41"/>
        <v>*0.92</v>
      </c>
      <c r="AC314" s="33" t="s">
        <v>3645</v>
      </c>
      <c r="AD314" s="44" t="s">
        <v>57</v>
      </c>
      <c r="AE314" s="33">
        <v>2035</v>
      </c>
      <c r="AF314" s="45" t="str">
        <f t="shared" si="42"/>
        <v>*0.93</v>
      </c>
      <c r="AG314" s="43" t="str">
        <f t="shared" si="45"/>
        <v>REZoning_Sol-Win</v>
      </c>
      <c r="AI314" s="33" t="s">
        <v>3645</v>
      </c>
      <c r="AJ314" s="44" t="s">
        <v>57</v>
      </c>
      <c r="AK314" s="33">
        <v>2050</v>
      </c>
      <c r="AL314" s="45" t="str">
        <f t="shared" si="43"/>
        <v>*0.89</v>
      </c>
      <c r="AM314" s="43" t="str">
        <f t="shared" si="46"/>
        <v>REZoning_Sol-Win</v>
      </c>
      <c r="AP314" t="s">
        <v>3645</v>
      </c>
      <c r="AQ314" t="s">
        <v>57</v>
      </c>
      <c r="AR314">
        <f t="shared" si="44"/>
        <v>2100</v>
      </c>
      <c r="AS314" t="s">
        <v>937</v>
      </c>
      <c r="AT314" t="s">
        <v>58</v>
      </c>
    </row>
    <row r="315" ht="29" spans="1:46">
      <c r="A315" s="31" t="s">
        <v>79</v>
      </c>
      <c r="C315" t="s">
        <v>3646</v>
      </c>
      <c r="D315" s="5" t="s">
        <v>57</v>
      </c>
      <c r="E315">
        <v>2035</v>
      </c>
      <c r="F315" s="6" t="str">
        <f t="shared" si="38"/>
        <v>*0.94</v>
      </c>
      <c r="H315" t="s">
        <v>3646</v>
      </c>
      <c r="I315" s="5" t="s">
        <v>57</v>
      </c>
      <c r="J315">
        <v>2050</v>
      </c>
      <c r="K315" s="38" t="str">
        <f t="shared" si="39"/>
        <v>*0.9</v>
      </c>
      <c r="P315" s="32" t="s">
        <v>3646</v>
      </c>
      <c r="Q315" s="42" t="s">
        <v>57</v>
      </c>
      <c r="R315" s="32">
        <v>2035</v>
      </c>
      <c r="S315" s="43" t="str">
        <f t="shared" si="40"/>
        <v>*0.92</v>
      </c>
      <c r="U315" s="32" t="s">
        <v>3646</v>
      </c>
      <c r="V315" s="42" t="s">
        <v>57</v>
      </c>
      <c r="W315" s="32">
        <v>2050</v>
      </c>
      <c r="X315" s="43" t="str">
        <f t="shared" si="41"/>
        <v>*0.89</v>
      </c>
      <c r="AC315" s="33" t="s">
        <v>3646</v>
      </c>
      <c r="AD315" s="44" t="s">
        <v>57</v>
      </c>
      <c r="AE315" s="33">
        <v>2035</v>
      </c>
      <c r="AF315" s="45" t="str">
        <f t="shared" si="42"/>
        <v>*0.89</v>
      </c>
      <c r="AG315" s="43" t="str">
        <f t="shared" si="45"/>
        <v>REZoning_Sol-Win</v>
      </c>
      <c r="AI315" s="33" t="s">
        <v>3646</v>
      </c>
      <c r="AJ315" s="44" t="s">
        <v>57</v>
      </c>
      <c r="AK315" s="33">
        <v>2050</v>
      </c>
      <c r="AL315" s="45" t="str">
        <f t="shared" si="43"/>
        <v>*0.84</v>
      </c>
      <c r="AM315" s="43" t="str">
        <f t="shared" si="46"/>
        <v>REZoning_Sol-Win</v>
      </c>
      <c r="AP315" t="s">
        <v>3646</v>
      </c>
      <c r="AQ315" t="s">
        <v>57</v>
      </c>
      <c r="AR315">
        <f t="shared" si="44"/>
        <v>2100</v>
      </c>
      <c r="AS315" t="s">
        <v>919</v>
      </c>
      <c r="AT315" t="s">
        <v>58</v>
      </c>
    </row>
    <row r="316" ht="29" spans="1:46">
      <c r="A316" s="31" t="s">
        <v>79</v>
      </c>
      <c r="C316" t="s">
        <v>3647</v>
      </c>
      <c r="D316" s="5" t="s">
        <v>57</v>
      </c>
      <c r="E316">
        <v>2035</v>
      </c>
      <c r="F316" s="6" t="str">
        <f t="shared" si="38"/>
        <v>*0.94</v>
      </c>
      <c r="H316" t="s">
        <v>3647</v>
      </c>
      <c r="I316" s="5" t="s">
        <v>57</v>
      </c>
      <c r="J316">
        <v>2050</v>
      </c>
      <c r="K316" s="38" t="str">
        <f t="shared" si="39"/>
        <v>*0.9</v>
      </c>
      <c r="P316" s="32" t="s">
        <v>3647</v>
      </c>
      <c r="Q316" s="42" t="s">
        <v>57</v>
      </c>
      <c r="R316" s="32">
        <v>2035</v>
      </c>
      <c r="S316" s="43" t="str">
        <f t="shared" si="40"/>
        <v>*0.92</v>
      </c>
      <c r="U316" s="32" t="s">
        <v>3647</v>
      </c>
      <c r="V316" s="42" t="s">
        <v>57</v>
      </c>
      <c r="W316" s="32">
        <v>2050</v>
      </c>
      <c r="X316" s="43" t="str">
        <f t="shared" si="41"/>
        <v>*0.89</v>
      </c>
      <c r="AC316" s="33" t="s">
        <v>3647</v>
      </c>
      <c r="AD316" s="44" t="s">
        <v>57</v>
      </c>
      <c r="AE316" s="33">
        <v>2035</v>
      </c>
      <c r="AF316" s="45" t="str">
        <f t="shared" si="42"/>
        <v>*0.89</v>
      </c>
      <c r="AG316" s="43" t="str">
        <f t="shared" si="45"/>
        <v>REZoning_Sol-Win</v>
      </c>
      <c r="AI316" s="33" t="s">
        <v>3647</v>
      </c>
      <c r="AJ316" s="44" t="s">
        <v>57</v>
      </c>
      <c r="AK316" s="33">
        <v>2050</v>
      </c>
      <c r="AL316" s="45" t="str">
        <f t="shared" si="43"/>
        <v>*0.84</v>
      </c>
      <c r="AM316" s="43" t="str">
        <f t="shared" si="46"/>
        <v>REZoning_Sol-Win</v>
      </c>
      <c r="AP316" t="s">
        <v>3647</v>
      </c>
      <c r="AQ316" t="s">
        <v>57</v>
      </c>
      <c r="AR316">
        <f t="shared" si="44"/>
        <v>2100</v>
      </c>
      <c r="AS316" t="s">
        <v>919</v>
      </c>
      <c r="AT316" t="s">
        <v>58</v>
      </c>
    </row>
    <row r="317" ht="29" spans="1:46">
      <c r="A317" s="31" t="s">
        <v>79</v>
      </c>
      <c r="C317" t="s">
        <v>3648</v>
      </c>
      <c r="D317" s="5" t="s">
        <v>57</v>
      </c>
      <c r="E317">
        <v>2035</v>
      </c>
      <c r="F317" s="6" t="str">
        <f t="shared" si="38"/>
        <v>*0.94</v>
      </c>
      <c r="H317" t="s">
        <v>3648</v>
      </c>
      <c r="I317" s="5" t="s">
        <v>57</v>
      </c>
      <c r="J317">
        <v>2050</v>
      </c>
      <c r="K317" s="38" t="str">
        <f t="shared" si="39"/>
        <v>*0.9</v>
      </c>
      <c r="P317" s="32" t="s">
        <v>3648</v>
      </c>
      <c r="Q317" s="42" t="s">
        <v>57</v>
      </c>
      <c r="R317" s="32">
        <v>2035</v>
      </c>
      <c r="S317" s="43" t="str">
        <f t="shared" si="40"/>
        <v>*0.92</v>
      </c>
      <c r="U317" s="32" t="s">
        <v>3648</v>
      </c>
      <c r="V317" s="42" t="s">
        <v>57</v>
      </c>
      <c r="W317" s="32">
        <v>2050</v>
      </c>
      <c r="X317" s="43" t="str">
        <f t="shared" si="41"/>
        <v>*0.89</v>
      </c>
      <c r="AC317" s="33" t="s">
        <v>3648</v>
      </c>
      <c r="AD317" s="44" t="s">
        <v>57</v>
      </c>
      <c r="AE317" s="33">
        <v>2035</v>
      </c>
      <c r="AF317" s="45" t="str">
        <f t="shared" si="42"/>
        <v>*0.89</v>
      </c>
      <c r="AG317" s="43" t="str">
        <f t="shared" si="45"/>
        <v>REZoning_Sol-Win</v>
      </c>
      <c r="AI317" s="33" t="s">
        <v>3648</v>
      </c>
      <c r="AJ317" s="44" t="s">
        <v>57</v>
      </c>
      <c r="AK317" s="33">
        <v>2050</v>
      </c>
      <c r="AL317" s="45" t="str">
        <f t="shared" si="43"/>
        <v>*0.84</v>
      </c>
      <c r="AM317" s="43" t="str">
        <f t="shared" si="46"/>
        <v>REZoning_Sol-Win</v>
      </c>
      <c r="AP317" t="s">
        <v>3648</v>
      </c>
      <c r="AQ317" t="s">
        <v>57</v>
      </c>
      <c r="AR317">
        <f t="shared" si="44"/>
        <v>2100</v>
      </c>
      <c r="AS317" t="s">
        <v>919</v>
      </c>
      <c r="AT317" t="s">
        <v>58</v>
      </c>
    </row>
    <row r="318" ht="29" spans="1:46">
      <c r="A318" s="31" t="s">
        <v>79</v>
      </c>
      <c r="C318" t="s">
        <v>3649</v>
      </c>
      <c r="D318" s="5" t="s">
        <v>57</v>
      </c>
      <c r="E318">
        <v>2035</v>
      </c>
      <c r="F318" s="6" t="str">
        <f t="shared" si="38"/>
        <v>*0.94</v>
      </c>
      <c r="H318" t="s">
        <v>3649</v>
      </c>
      <c r="I318" s="5" t="s">
        <v>57</v>
      </c>
      <c r="J318">
        <v>2050</v>
      </c>
      <c r="K318" s="38" t="str">
        <f t="shared" si="39"/>
        <v>*0.9</v>
      </c>
      <c r="P318" s="32" t="s">
        <v>3649</v>
      </c>
      <c r="Q318" s="42" t="s">
        <v>57</v>
      </c>
      <c r="R318" s="32">
        <v>2035</v>
      </c>
      <c r="S318" s="43" t="str">
        <f t="shared" si="40"/>
        <v>*0.92</v>
      </c>
      <c r="U318" s="32" t="s">
        <v>3649</v>
      </c>
      <c r="V318" s="42" t="s">
        <v>57</v>
      </c>
      <c r="W318" s="32">
        <v>2050</v>
      </c>
      <c r="X318" s="43" t="str">
        <f t="shared" si="41"/>
        <v>*0.89</v>
      </c>
      <c r="AC318" s="33" t="s">
        <v>3649</v>
      </c>
      <c r="AD318" s="44" t="s">
        <v>57</v>
      </c>
      <c r="AE318" s="33">
        <v>2035</v>
      </c>
      <c r="AF318" s="45" t="str">
        <f t="shared" si="42"/>
        <v>*0.89</v>
      </c>
      <c r="AG318" s="43" t="str">
        <f t="shared" si="45"/>
        <v>REZoning_Sol-Win</v>
      </c>
      <c r="AI318" s="33" t="s">
        <v>3649</v>
      </c>
      <c r="AJ318" s="44" t="s">
        <v>57</v>
      </c>
      <c r="AK318" s="33">
        <v>2050</v>
      </c>
      <c r="AL318" s="45" t="str">
        <f t="shared" si="43"/>
        <v>*0.84</v>
      </c>
      <c r="AM318" s="43" t="str">
        <f t="shared" si="46"/>
        <v>REZoning_Sol-Win</v>
      </c>
      <c r="AP318" t="s">
        <v>3649</v>
      </c>
      <c r="AQ318" t="s">
        <v>57</v>
      </c>
      <c r="AR318">
        <f t="shared" si="44"/>
        <v>2100</v>
      </c>
      <c r="AS318" t="s">
        <v>919</v>
      </c>
      <c r="AT318" t="s">
        <v>58</v>
      </c>
    </row>
    <row r="319" ht="29" spans="1:46">
      <c r="A319" s="31" t="s">
        <v>79</v>
      </c>
      <c r="C319" t="s">
        <v>3650</v>
      </c>
      <c r="D319" s="5" t="s">
        <v>57</v>
      </c>
      <c r="E319">
        <v>2035</v>
      </c>
      <c r="F319" s="6" t="str">
        <f t="shared" si="38"/>
        <v>*0.94</v>
      </c>
      <c r="H319" t="s">
        <v>3650</v>
      </c>
      <c r="I319" s="5" t="s">
        <v>57</v>
      </c>
      <c r="J319">
        <v>2050</v>
      </c>
      <c r="K319" s="38" t="str">
        <f t="shared" si="39"/>
        <v>*0.9</v>
      </c>
      <c r="P319" s="32" t="s">
        <v>3650</v>
      </c>
      <c r="Q319" s="42" t="s">
        <v>57</v>
      </c>
      <c r="R319" s="32">
        <v>2035</v>
      </c>
      <c r="S319" s="43" t="str">
        <f t="shared" si="40"/>
        <v>*0.92</v>
      </c>
      <c r="U319" s="32" t="s">
        <v>3650</v>
      </c>
      <c r="V319" s="42" t="s">
        <v>57</v>
      </c>
      <c r="W319" s="32">
        <v>2050</v>
      </c>
      <c r="X319" s="43" t="str">
        <f t="shared" si="41"/>
        <v>*0.89</v>
      </c>
      <c r="AC319" s="33" t="s">
        <v>3650</v>
      </c>
      <c r="AD319" s="44" t="s">
        <v>57</v>
      </c>
      <c r="AE319" s="33">
        <v>2035</v>
      </c>
      <c r="AF319" s="45" t="str">
        <f t="shared" si="42"/>
        <v>*0.89</v>
      </c>
      <c r="AG319" s="43" t="str">
        <f t="shared" si="45"/>
        <v>REZoning_Sol-Win</v>
      </c>
      <c r="AI319" s="33" t="s">
        <v>3650</v>
      </c>
      <c r="AJ319" s="44" t="s">
        <v>57</v>
      </c>
      <c r="AK319" s="33">
        <v>2050</v>
      </c>
      <c r="AL319" s="45" t="str">
        <f t="shared" si="43"/>
        <v>*0.84</v>
      </c>
      <c r="AM319" s="43" t="str">
        <f t="shared" si="46"/>
        <v>REZoning_Sol-Win</v>
      </c>
      <c r="AP319" t="s">
        <v>3650</v>
      </c>
      <c r="AQ319" t="s">
        <v>57</v>
      </c>
      <c r="AR319">
        <f t="shared" si="44"/>
        <v>2100</v>
      </c>
      <c r="AS319" t="s">
        <v>919</v>
      </c>
      <c r="AT319" t="s">
        <v>58</v>
      </c>
    </row>
    <row r="320" ht="29" spans="1:46">
      <c r="A320" s="31" t="s">
        <v>79</v>
      </c>
      <c r="C320" t="s">
        <v>3651</v>
      </c>
      <c r="D320" s="5" t="s">
        <v>57</v>
      </c>
      <c r="E320">
        <v>2035</v>
      </c>
      <c r="F320" s="6" t="str">
        <f t="shared" si="38"/>
        <v>*0.94</v>
      </c>
      <c r="H320" t="s">
        <v>3651</v>
      </c>
      <c r="I320" s="5" t="s">
        <v>57</v>
      </c>
      <c r="J320">
        <v>2050</v>
      </c>
      <c r="K320" s="38" t="str">
        <f t="shared" si="39"/>
        <v>*0.9</v>
      </c>
      <c r="P320" s="32" t="s">
        <v>3651</v>
      </c>
      <c r="Q320" s="42" t="s">
        <v>57</v>
      </c>
      <c r="R320" s="32">
        <v>2035</v>
      </c>
      <c r="S320" s="43" t="str">
        <f t="shared" si="40"/>
        <v>*0.92</v>
      </c>
      <c r="U320" s="32" t="s">
        <v>3651</v>
      </c>
      <c r="V320" s="42" t="s">
        <v>57</v>
      </c>
      <c r="W320" s="32">
        <v>2050</v>
      </c>
      <c r="X320" s="43" t="str">
        <f t="shared" si="41"/>
        <v>*0.89</v>
      </c>
      <c r="AC320" s="33" t="s">
        <v>3651</v>
      </c>
      <c r="AD320" s="44" t="s">
        <v>57</v>
      </c>
      <c r="AE320" s="33">
        <v>2035</v>
      </c>
      <c r="AF320" s="45" t="str">
        <f t="shared" si="42"/>
        <v>*0.89</v>
      </c>
      <c r="AG320" s="43" t="str">
        <f t="shared" si="45"/>
        <v>REZoning_Sol-Win</v>
      </c>
      <c r="AI320" s="33" t="s">
        <v>3651</v>
      </c>
      <c r="AJ320" s="44" t="s">
        <v>57</v>
      </c>
      <c r="AK320" s="33">
        <v>2050</v>
      </c>
      <c r="AL320" s="45" t="str">
        <f t="shared" si="43"/>
        <v>*0.84</v>
      </c>
      <c r="AM320" s="43" t="str">
        <f t="shared" si="46"/>
        <v>REZoning_Sol-Win</v>
      </c>
      <c r="AP320" t="s">
        <v>3651</v>
      </c>
      <c r="AQ320" t="s">
        <v>57</v>
      </c>
      <c r="AR320">
        <f t="shared" si="44"/>
        <v>2100</v>
      </c>
      <c r="AS320" t="s">
        <v>919</v>
      </c>
      <c r="AT320" t="s">
        <v>58</v>
      </c>
    </row>
    <row r="321" ht="29" spans="1:46">
      <c r="A321" s="31" t="s">
        <v>79</v>
      </c>
      <c r="C321" t="s">
        <v>3652</v>
      </c>
      <c r="D321" s="5" t="s">
        <v>57</v>
      </c>
      <c r="E321">
        <v>2035</v>
      </c>
      <c r="F321" s="6" t="str">
        <f t="shared" si="38"/>
        <v>*0.94</v>
      </c>
      <c r="H321" t="s">
        <v>3652</v>
      </c>
      <c r="I321" s="5" t="s">
        <v>57</v>
      </c>
      <c r="J321">
        <v>2050</v>
      </c>
      <c r="K321" s="38" t="str">
        <f t="shared" si="39"/>
        <v>*0.9</v>
      </c>
      <c r="P321" s="32" t="s">
        <v>3652</v>
      </c>
      <c r="Q321" s="42" t="s">
        <v>57</v>
      </c>
      <c r="R321" s="32">
        <v>2035</v>
      </c>
      <c r="S321" s="43" t="str">
        <f t="shared" si="40"/>
        <v>*0.92</v>
      </c>
      <c r="U321" s="32" t="s">
        <v>3652</v>
      </c>
      <c r="V321" s="42" t="s">
        <v>57</v>
      </c>
      <c r="W321" s="32">
        <v>2050</v>
      </c>
      <c r="X321" s="43" t="str">
        <f t="shared" si="41"/>
        <v>*0.89</v>
      </c>
      <c r="AC321" s="33" t="s">
        <v>3652</v>
      </c>
      <c r="AD321" s="44" t="s">
        <v>57</v>
      </c>
      <c r="AE321" s="33">
        <v>2035</v>
      </c>
      <c r="AF321" s="45" t="str">
        <f t="shared" si="42"/>
        <v>*0.89</v>
      </c>
      <c r="AG321" s="43" t="str">
        <f t="shared" si="45"/>
        <v>REZoning_Sol-Win</v>
      </c>
      <c r="AI321" s="33" t="s">
        <v>3652</v>
      </c>
      <c r="AJ321" s="44" t="s">
        <v>57</v>
      </c>
      <c r="AK321" s="33">
        <v>2050</v>
      </c>
      <c r="AL321" s="45" t="str">
        <f t="shared" si="43"/>
        <v>*0.84</v>
      </c>
      <c r="AM321" s="43" t="str">
        <f t="shared" si="46"/>
        <v>REZoning_Sol-Win</v>
      </c>
      <c r="AP321" t="s">
        <v>3652</v>
      </c>
      <c r="AQ321" t="s">
        <v>57</v>
      </c>
      <c r="AR321">
        <f t="shared" si="44"/>
        <v>2100</v>
      </c>
      <c r="AS321" t="s">
        <v>919</v>
      </c>
      <c r="AT321" t="s">
        <v>58</v>
      </c>
    </row>
    <row r="322" ht="29" spans="1:46">
      <c r="A322" s="31" t="s">
        <v>79</v>
      </c>
      <c r="C322" t="s">
        <v>3653</v>
      </c>
      <c r="D322" s="5" t="s">
        <v>57</v>
      </c>
      <c r="E322">
        <v>2035</v>
      </c>
      <c r="F322" s="6" t="str">
        <f t="shared" si="38"/>
        <v>*0.94</v>
      </c>
      <c r="H322" t="s">
        <v>3653</v>
      </c>
      <c r="I322" s="5" t="s">
        <v>57</v>
      </c>
      <c r="J322">
        <v>2050</v>
      </c>
      <c r="K322" s="38" t="str">
        <f t="shared" si="39"/>
        <v>*0.9</v>
      </c>
      <c r="P322" s="32" t="s">
        <v>3653</v>
      </c>
      <c r="Q322" s="42" t="s">
        <v>57</v>
      </c>
      <c r="R322" s="32">
        <v>2035</v>
      </c>
      <c r="S322" s="43" t="str">
        <f t="shared" si="40"/>
        <v>*0.92</v>
      </c>
      <c r="U322" s="32" t="s">
        <v>3653</v>
      </c>
      <c r="V322" s="42" t="s">
        <v>57</v>
      </c>
      <c r="W322" s="32">
        <v>2050</v>
      </c>
      <c r="X322" s="43" t="str">
        <f t="shared" si="41"/>
        <v>*0.89</v>
      </c>
      <c r="AC322" s="33" t="s">
        <v>3653</v>
      </c>
      <c r="AD322" s="44" t="s">
        <v>57</v>
      </c>
      <c r="AE322" s="33">
        <v>2035</v>
      </c>
      <c r="AF322" s="45" t="str">
        <f t="shared" si="42"/>
        <v>*0.89</v>
      </c>
      <c r="AG322" s="43" t="str">
        <f t="shared" si="45"/>
        <v>REZoning_Sol-Win</v>
      </c>
      <c r="AI322" s="33" t="s">
        <v>3653</v>
      </c>
      <c r="AJ322" s="44" t="s">
        <v>57</v>
      </c>
      <c r="AK322" s="33">
        <v>2050</v>
      </c>
      <c r="AL322" s="45" t="str">
        <f t="shared" si="43"/>
        <v>*0.84</v>
      </c>
      <c r="AM322" s="43" t="str">
        <f t="shared" si="46"/>
        <v>REZoning_Sol-Win</v>
      </c>
      <c r="AP322" t="s">
        <v>3653</v>
      </c>
      <c r="AQ322" t="s">
        <v>57</v>
      </c>
      <c r="AR322">
        <f t="shared" si="44"/>
        <v>2100</v>
      </c>
      <c r="AS322" t="s">
        <v>919</v>
      </c>
      <c r="AT322" t="s">
        <v>58</v>
      </c>
    </row>
    <row r="323" ht="29" spans="1:46">
      <c r="A323" s="31" t="s">
        <v>79</v>
      </c>
      <c r="C323" t="s">
        <v>3654</v>
      </c>
      <c r="D323" s="5" t="s">
        <v>57</v>
      </c>
      <c r="E323">
        <v>2035</v>
      </c>
      <c r="F323" s="6" t="str">
        <f t="shared" si="38"/>
        <v>*0.94</v>
      </c>
      <c r="H323" t="s">
        <v>3654</v>
      </c>
      <c r="I323" s="5" t="s">
        <v>57</v>
      </c>
      <c r="J323">
        <v>2050</v>
      </c>
      <c r="K323" s="38" t="str">
        <f t="shared" si="39"/>
        <v>*0.9</v>
      </c>
      <c r="P323" s="32" t="s">
        <v>3654</v>
      </c>
      <c r="Q323" s="42" t="s">
        <v>57</v>
      </c>
      <c r="R323" s="32">
        <v>2035</v>
      </c>
      <c r="S323" s="43" t="str">
        <f t="shared" si="40"/>
        <v>*0.92</v>
      </c>
      <c r="U323" s="32" t="s">
        <v>3654</v>
      </c>
      <c r="V323" s="42" t="s">
        <v>57</v>
      </c>
      <c r="W323" s="32">
        <v>2050</v>
      </c>
      <c r="X323" s="43" t="str">
        <f t="shared" si="41"/>
        <v>*0.89</v>
      </c>
      <c r="AC323" s="33" t="s">
        <v>3654</v>
      </c>
      <c r="AD323" s="44" t="s">
        <v>57</v>
      </c>
      <c r="AE323" s="33">
        <v>2035</v>
      </c>
      <c r="AF323" s="45" t="str">
        <f t="shared" si="42"/>
        <v>*0.89</v>
      </c>
      <c r="AG323" s="43" t="str">
        <f t="shared" si="45"/>
        <v>REZoning_Sol-Win</v>
      </c>
      <c r="AI323" s="33" t="s">
        <v>3654</v>
      </c>
      <c r="AJ323" s="44" t="s">
        <v>57</v>
      </c>
      <c r="AK323" s="33">
        <v>2050</v>
      </c>
      <c r="AL323" s="45" t="str">
        <f t="shared" si="43"/>
        <v>*0.84</v>
      </c>
      <c r="AM323" s="43" t="str">
        <f t="shared" si="46"/>
        <v>REZoning_Sol-Win</v>
      </c>
      <c r="AP323" t="s">
        <v>3654</v>
      </c>
      <c r="AQ323" t="s">
        <v>57</v>
      </c>
      <c r="AR323">
        <f t="shared" si="44"/>
        <v>2100</v>
      </c>
      <c r="AS323" t="s">
        <v>919</v>
      </c>
      <c r="AT323" t="s">
        <v>58</v>
      </c>
    </row>
    <row r="324" ht="29" spans="1:46">
      <c r="A324" s="31" t="s">
        <v>79</v>
      </c>
      <c r="C324" t="s">
        <v>3655</v>
      </c>
      <c r="D324" s="5" t="s">
        <v>57</v>
      </c>
      <c r="E324">
        <v>2035</v>
      </c>
      <c r="F324" s="6" t="str">
        <f t="shared" ref="F324:F387" si="47">"*"&amp;IF(AND(A324="EU",E324=2035),0.95,IF(AND(A324="EU",E324=2050),0.93,IF(AND(A324="USA",E324=2035),0.96,IF(AND(A324="USA",E324=2050),0.94,IF(AND(A324="Japan",E324=2035),0.94,IF(AND(A324="Japan",E324=2050),0.92,IF(AND(A324="Russia",E324=2035),0.95,IF(AND(A324="Russia",E324=2050),0.93,IF(AND(A324="China",E324=2035),0.94,IF(AND(A324="China",E324=2050),0.92,IF(AND(A324="India",E324=2035),0.95,IF(AND(A324="India",E324=2050),0.92,IF(AND(A324="Middle East",E324=2035),0.94,IF(AND(A324="Middle East",E324=2050),0.9,IF(AND(A324="Africa",E324=2035),0.94,IF(AND(A324="Africa",E324=2050),0.91,IF(AND(A324="Brazil",E324=2035),0.95,IF(AND(A324="Brazil",E324=2050),0.92,""))))))))))))))))))</f>
        <v>*0.94</v>
      </c>
      <c r="H324" t="s">
        <v>3655</v>
      </c>
      <c r="I324" s="5" t="s">
        <v>57</v>
      </c>
      <c r="J324">
        <v>2050</v>
      </c>
      <c r="K324" s="38" t="str">
        <f t="shared" ref="K324:K387" si="48">"*"&amp;IF(AND(A324="EU",J324=2035),0.95,IF(AND(A324="EU",J324=2050),0.93,IF(AND(A324="USA",J324=2035),0.96,IF(AND(A324="USA",J324=2050),0.94,IF(AND(A324="Japan",J324=2035),0.94,IF(AND(A324="Japan",J324=2050),0.92,IF(AND(A324="Russia",J324=2035),0.95,IF(AND(A324="Russia",J324=2050),0.93,IF(AND(A324="China",J324=2035),0.94,IF(AND(A324="China",J324=2050),0.92,IF(AND(A324="India",J324=2035),0.95,IF(AND(A324="India",J324=2050),0.92,IF(AND(A324="Middle East",J324=2035),0.94,IF(AND(A324="Middle East",J324=2050),0.9,IF(AND(A324="Africa",J324=2035),0.94,IF(AND(A324="Africa",J324=2050),0.91,IF(AND(A324="Brazil",J324=2035),0.95,IF(AND(A324="Brazil",J324=2050),0.92,""))))))))))))))))))</f>
        <v>*0.9</v>
      </c>
      <c r="P324" s="32" t="s">
        <v>3655</v>
      </c>
      <c r="Q324" s="42" t="s">
        <v>57</v>
      </c>
      <c r="R324" s="32">
        <v>2035</v>
      </c>
      <c r="S324" s="43" t="str">
        <f t="shared" ref="S324:S387" si="49">"*"&amp;IF(AND(A324="EU",R324=2035),0.95,IF(AND(A324="EU",R324=2050),0.93,IF(AND(A324="USA",R324=2035),0.96,IF(AND(A324="USA",R324=2050),0.93,IF(AND(A324="Japan",R324=2035),0.94,IF(AND(A324="Japan",R324=2050),0.92,IF(AND(A324="Russia",R324=2035),0.95,IF(AND(A324="Russia",R324=2050),0.91,IF(AND(A324="China",R324=2035),0.93,IF(AND(A324="China",R324=2050),0.92,IF(AND(A324="India",R324=2035),0.94,IF(AND(A324="India",R324=2050),0.91,IF(AND(A324="Middle East",R324=2035),0.92,IF(AND(A324="Middle East",R324=2050),0.89,IF(AND(A324="Africa",R324=2035),0.93,IF(AND(A324="Africa",R324=2050),0.9,IF(AND(A324="Brazil",R324=2035),0.95,IF(AND(A324="Brazil",R324=2050),0.92,""))))))))))))))))))</f>
        <v>*0.92</v>
      </c>
      <c r="U324" s="32" t="s">
        <v>3655</v>
      </c>
      <c r="V324" s="42" t="s">
        <v>57</v>
      </c>
      <c r="W324" s="32">
        <v>2050</v>
      </c>
      <c r="X324" s="43" t="str">
        <f t="shared" ref="X324:X387" si="50">"*"&amp;IF(AND(A324="EU",W324=2035),0.95,IF(AND(A324="EU",W324=2050),0.93,IF(AND(A324="USA",W324=2035),0.96,IF(AND(A324="USA",W324=2050),0.93,IF(AND(A324="Japan",W324=2035),0.94,IF(AND(A324="Japan",W324=2050),0.92,IF(AND(A324="Russia",W324=2035),0.95,IF(AND(A324="Russia",W324=2050),0.91,IF(AND(A324="China",W324=2035),0.93,IF(AND(A324="China",W324=2050),0.92,IF(AND(A324="India",W324=2035),0.94,IF(AND(A324="India",W324=2050),0.91,IF(AND(A324="Middle East",W324=2035),0.92,IF(AND(A324="Middle East",W324=2050),0.89,IF(AND(A324="Africa",W324=2035),0.93,IF(AND(A324="Africa",W324=2050),0.9,IF(AND(A324="Brazil",W324=2035),0.95,IF(AND(A324="Brazil",W324=2050),0.92,""))))))))))))))))))</f>
        <v>*0.89</v>
      </c>
      <c r="AC324" s="33" t="s">
        <v>3655</v>
      </c>
      <c r="AD324" s="44" t="s">
        <v>57</v>
      </c>
      <c r="AE324" s="33">
        <v>2035</v>
      </c>
      <c r="AF324" s="45" t="str">
        <f t="shared" ref="AF324:AF387" si="51">"*"&amp;IF(AND(A324="EU",AE324=2035),0.93,IF(AND(A324="EU",AE324=2050),0.9,IF(AND(A324="USA",AE324=2035),0.92,IF(AND(A324="USA",AE324=2050),0.89,IF(AND(A324="Japan",AE324=2035),0.92,IF(AND(A324="Japan",AE324=2050),0.89,IF(AND(A324="Russia",AE324=2035),0.91,IF(AND(A324="Russia",AE324=2050),0.86,IF(AND(A324="China",AE324=2035),0.91,IF(AND(A324="China",AE324=2050),0.87,IF(AND(A324="India",AE324=2035),0.92,IF(AND(A324="India",AE324=2050),0.87,IF(AND(A324="Middle East",AE324=2035),0.89,IF(AND(A324="Middle East",AE324=2050),0.84,IF(AND(A324="Africa",AE324=2035),0.9,IF(AND(A324="Africa",AE324=2050),0.86,IF(AND(A324="Brazil",AE324=2035),0.93,IF(AND(A324="Brazil",AE324=2050),0.89,""))))))))))))))))))</f>
        <v>*0.89</v>
      </c>
      <c r="AG324" s="43" t="str">
        <f t="shared" si="45"/>
        <v>REZoning_Sol-Win</v>
      </c>
      <c r="AI324" s="33" t="s">
        <v>3655</v>
      </c>
      <c r="AJ324" s="44" t="s">
        <v>57</v>
      </c>
      <c r="AK324" s="33">
        <v>2050</v>
      </c>
      <c r="AL324" s="45" t="str">
        <f t="shared" ref="AL324:AL387" si="52">"*"&amp;IF(AND(A324="EU",AK324=2035),0.93,IF(AND(A324="EU",AK324=2050),0.9,IF(AND(A324="USA",AK324=2035),0.92,IF(AND(A324="USA",AK324=2050),0.89,IF(AND(A324="Japan",AK324=2035),0.92,IF(AND(A324="Japan",AK324=2050),0.89,IF(AND(A324="Russia",AK324=2035),0.91,IF(AND(A324="Russia",AK324=2050),0.86,IF(AND(A324="China",AK324=2035),0.91,IF(AND(A324="China",AK324=2050),0.87,IF(AND(A324="India",AK324=2035),0.92,IF(AND(A324="India",AK324=2050),0.87,IF(AND(A324="Middle East",AK324=2035),0.89,IF(AND(A324="Middle East",AK324=2050),0.84,IF(AND(A324="Africa",AK324=2035),0.9,IF(AND(A324="Africa",AK324=2050),0.86,IF(AND(A324="Brazil",AK324=2035),0.93,IF(AND(A324="Brazil",AK324=2050),0.89,""))))))))))))))))))</f>
        <v>*0.84</v>
      </c>
      <c r="AM324" s="43" t="str">
        <f t="shared" si="46"/>
        <v>REZoning_Sol-Win</v>
      </c>
      <c r="AP324" t="s">
        <v>3655</v>
      </c>
      <c r="AQ324" t="s">
        <v>57</v>
      </c>
      <c r="AR324">
        <f t="shared" si="44"/>
        <v>2100</v>
      </c>
      <c r="AS324" t="s">
        <v>919</v>
      </c>
      <c r="AT324" t="s">
        <v>58</v>
      </c>
    </row>
    <row r="325" ht="29" spans="1:46">
      <c r="A325" s="31" t="s">
        <v>79</v>
      </c>
      <c r="C325" t="s">
        <v>3656</v>
      </c>
      <c r="D325" s="5" t="s">
        <v>57</v>
      </c>
      <c r="E325">
        <v>2035</v>
      </c>
      <c r="F325" s="6" t="str">
        <f t="shared" si="47"/>
        <v>*0.94</v>
      </c>
      <c r="H325" t="s">
        <v>3656</v>
      </c>
      <c r="I325" s="5" t="s">
        <v>57</v>
      </c>
      <c r="J325">
        <v>2050</v>
      </c>
      <c r="K325" s="38" t="str">
        <f t="shared" si="48"/>
        <v>*0.9</v>
      </c>
      <c r="P325" s="32" t="s">
        <v>3656</v>
      </c>
      <c r="Q325" s="42" t="s">
        <v>57</v>
      </c>
      <c r="R325" s="32">
        <v>2035</v>
      </c>
      <c r="S325" s="43" t="str">
        <f t="shared" si="49"/>
        <v>*0.92</v>
      </c>
      <c r="U325" s="32" t="s">
        <v>3656</v>
      </c>
      <c r="V325" s="42" t="s">
        <v>57</v>
      </c>
      <c r="W325" s="32">
        <v>2050</v>
      </c>
      <c r="X325" s="43" t="str">
        <f t="shared" si="50"/>
        <v>*0.89</v>
      </c>
      <c r="AC325" s="33" t="s">
        <v>3656</v>
      </c>
      <c r="AD325" s="44" t="s">
        <v>57</v>
      </c>
      <c r="AE325" s="33">
        <v>2035</v>
      </c>
      <c r="AF325" s="45" t="str">
        <f t="shared" si="51"/>
        <v>*0.89</v>
      </c>
      <c r="AG325" s="43" t="str">
        <f t="shared" si="45"/>
        <v>REZoning_Sol-Win</v>
      </c>
      <c r="AI325" s="33" t="s">
        <v>3656</v>
      </c>
      <c r="AJ325" s="44" t="s">
        <v>57</v>
      </c>
      <c r="AK325" s="33">
        <v>2050</v>
      </c>
      <c r="AL325" s="45" t="str">
        <f t="shared" si="52"/>
        <v>*0.84</v>
      </c>
      <c r="AM325" s="43" t="str">
        <f t="shared" si="46"/>
        <v>REZoning_Sol-Win</v>
      </c>
      <c r="AP325" t="s">
        <v>3656</v>
      </c>
      <c r="AQ325" t="s">
        <v>57</v>
      </c>
      <c r="AR325">
        <f t="shared" si="44"/>
        <v>2100</v>
      </c>
      <c r="AS325" t="s">
        <v>919</v>
      </c>
      <c r="AT325" t="s">
        <v>58</v>
      </c>
    </row>
    <row r="326" ht="29" spans="1:46">
      <c r="A326" s="31" t="s">
        <v>79</v>
      </c>
      <c r="C326" t="s">
        <v>3657</v>
      </c>
      <c r="D326" s="5" t="s">
        <v>57</v>
      </c>
      <c r="E326">
        <v>2035</v>
      </c>
      <c r="F326" s="6" t="str">
        <f t="shared" si="47"/>
        <v>*0.94</v>
      </c>
      <c r="H326" t="s">
        <v>3657</v>
      </c>
      <c r="I326" s="5" t="s">
        <v>57</v>
      </c>
      <c r="J326">
        <v>2050</v>
      </c>
      <c r="K326" s="38" t="str">
        <f t="shared" si="48"/>
        <v>*0.9</v>
      </c>
      <c r="P326" s="32" t="s">
        <v>3657</v>
      </c>
      <c r="Q326" s="42" t="s">
        <v>57</v>
      </c>
      <c r="R326" s="32">
        <v>2035</v>
      </c>
      <c r="S326" s="43" t="str">
        <f t="shared" si="49"/>
        <v>*0.92</v>
      </c>
      <c r="U326" s="32" t="s">
        <v>3657</v>
      </c>
      <c r="V326" s="42" t="s">
        <v>57</v>
      </c>
      <c r="W326" s="32">
        <v>2050</v>
      </c>
      <c r="X326" s="43" t="str">
        <f t="shared" si="50"/>
        <v>*0.89</v>
      </c>
      <c r="AC326" s="33" t="s">
        <v>3657</v>
      </c>
      <c r="AD326" s="44" t="s">
        <v>57</v>
      </c>
      <c r="AE326" s="33">
        <v>2035</v>
      </c>
      <c r="AF326" s="45" t="str">
        <f t="shared" si="51"/>
        <v>*0.89</v>
      </c>
      <c r="AG326" s="43" t="str">
        <f t="shared" si="45"/>
        <v>REZoning_Sol-Win</v>
      </c>
      <c r="AI326" s="33" t="s">
        <v>3657</v>
      </c>
      <c r="AJ326" s="44" t="s">
        <v>57</v>
      </c>
      <c r="AK326" s="33">
        <v>2050</v>
      </c>
      <c r="AL326" s="45" t="str">
        <f t="shared" si="52"/>
        <v>*0.84</v>
      </c>
      <c r="AM326" s="43" t="str">
        <f t="shared" si="46"/>
        <v>REZoning_Sol-Win</v>
      </c>
      <c r="AP326" t="s">
        <v>3657</v>
      </c>
      <c r="AQ326" t="s">
        <v>57</v>
      </c>
      <c r="AR326">
        <f t="shared" ref="AR326:AR389" si="53">AR325</f>
        <v>2100</v>
      </c>
      <c r="AS326" t="s">
        <v>919</v>
      </c>
      <c r="AT326" t="s">
        <v>58</v>
      </c>
    </row>
    <row r="327" ht="29" spans="1:46">
      <c r="A327" s="31" t="s">
        <v>79</v>
      </c>
      <c r="C327" t="s">
        <v>3658</v>
      </c>
      <c r="D327" s="5" t="s">
        <v>57</v>
      </c>
      <c r="E327">
        <v>2035</v>
      </c>
      <c r="F327" s="6" t="str">
        <f t="shared" si="47"/>
        <v>*0.94</v>
      </c>
      <c r="H327" t="s">
        <v>3658</v>
      </c>
      <c r="I327" s="5" t="s">
        <v>57</v>
      </c>
      <c r="J327">
        <v>2050</v>
      </c>
      <c r="K327" s="38" t="str">
        <f t="shared" si="48"/>
        <v>*0.9</v>
      </c>
      <c r="P327" s="32" t="s">
        <v>3658</v>
      </c>
      <c r="Q327" s="42" t="s">
        <v>57</v>
      </c>
      <c r="R327" s="32">
        <v>2035</v>
      </c>
      <c r="S327" s="43" t="str">
        <f t="shared" si="49"/>
        <v>*0.92</v>
      </c>
      <c r="U327" s="32" t="s">
        <v>3658</v>
      </c>
      <c r="V327" s="42" t="s">
        <v>57</v>
      </c>
      <c r="W327" s="32">
        <v>2050</v>
      </c>
      <c r="X327" s="43" t="str">
        <f t="shared" si="50"/>
        <v>*0.89</v>
      </c>
      <c r="AC327" s="33" t="s">
        <v>3658</v>
      </c>
      <c r="AD327" s="44" t="s">
        <v>57</v>
      </c>
      <c r="AE327" s="33">
        <v>2035</v>
      </c>
      <c r="AF327" s="45" t="str">
        <f t="shared" si="51"/>
        <v>*0.89</v>
      </c>
      <c r="AG327" s="43" t="str">
        <f t="shared" si="45"/>
        <v>REZoning_Sol-Win</v>
      </c>
      <c r="AI327" s="33" t="s">
        <v>3658</v>
      </c>
      <c r="AJ327" s="44" t="s">
        <v>57</v>
      </c>
      <c r="AK327" s="33">
        <v>2050</v>
      </c>
      <c r="AL327" s="45" t="str">
        <f t="shared" si="52"/>
        <v>*0.84</v>
      </c>
      <c r="AM327" s="43" t="str">
        <f t="shared" si="46"/>
        <v>REZoning_Sol-Win</v>
      </c>
      <c r="AP327" t="s">
        <v>3658</v>
      </c>
      <c r="AQ327" t="s">
        <v>57</v>
      </c>
      <c r="AR327">
        <f t="shared" si="53"/>
        <v>2100</v>
      </c>
      <c r="AS327" t="s">
        <v>919</v>
      </c>
      <c r="AT327" t="s">
        <v>58</v>
      </c>
    </row>
    <row r="328" ht="29" spans="1:46">
      <c r="A328" s="31" t="s">
        <v>79</v>
      </c>
      <c r="C328" t="s">
        <v>3659</v>
      </c>
      <c r="D328" s="5" t="s">
        <v>57</v>
      </c>
      <c r="E328">
        <v>2035</v>
      </c>
      <c r="F328" s="6" t="str">
        <f t="shared" si="47"/>
        <v>*0.94</v>
      </c>
      <c r="H328" t="s">
        <v>3659</v>
      </c>
      <c r="I328" s="5" t="s">
        <v>57</v>
      </c>
      <c r="J328">
        <v>2050</v>
      </c>
      <c r="K328" s="38" t="str">
        <f t="shared" si="48"/>
        <v>*0.9</v>
      </c>
      <c r="P328" s="32" t="s">
        <v>3659</v>
      </c>
      <c r="Q328" s="42" t="s">
        <v>57</v>
      </c>
      <c r="R328" s="32">
        <v>2035</v>
      </c>
      <c r="S328" s="43" t="str">
        <f t="shared" si="49"/>
        <v>*0.92</v>
      </c>
      <c r="U328" s="32" t="s">
        <v>3659</v>
      </c>
      <c r="V328" s="42" t="s">
        <v>57</v>
      </c>
      <c r="W328" s="32">
        <v>2050</v>
      </c>
      <c r="X328" s="43" t="str">
        <f t="shared" si="50"/>
        <v>*0.89</v>
      </c>
      <c r="AC328" s="33" t="s">
        <v>3659</v>
      </c>
      <c r="AD328" s="44" t="s">
        <v>57</v>
      </c>
      <c r="AE328" s="33">
        <v>2035</v>
      </c>
      <c r="AF328" s="45" t="str">
        <f t="shared" si="51"/>
        <v>*0.89</v>
      </c>
      <c r="AG328" s="43" t="str">
        <f t="shared" si="45"/>
        <v>REZoning_Sol-Win</v>
      </c>
      <c r="AI328" s="33" t="s">
        <v>3659</v>
      </c>
      <c r="AJ328" s="44" t="s">
        <v>57</v>
      </c>
      <c r="AK328" s="33">
        <v>2050</v>
      </c>
      <c r="AL328" s="45" t="str">
        <f t="shared" si="52"/>
        <v>*0.84</v>
      </c>
      <c r="AM328" s="43" t="str">
        <f t="shared" si="46"/>
        <v>REZoning_Sol-Win</v>
      </c>
      <c r="AP328" t="s">
        <v>3659</v>
      </c>
      <c r="AQ328" t="s">
        <v>57</v>
      </c>
      <c r="AR328">
        <f t="shared" si="53"/>
        <v>2100</v>
      </c>
      <c r="AS328" t="s">
        <v>919</v>
      </c>
      <c r="AT328" t="s">
        <v>58</v>
      </c>
    </row>
    <row r="329" ht="29" spans="1:46">
      <c r="A329" s="31" t="s">
        <v>79</v>
      </c>
      <c r="C329" t="s">
        <v>3660</v>
      </c>
      <c r="D329" s="5" t="s">
        <v>57</v>
      </c>
      <c r="E329">
        <v>2035</v>
      </c>
      <c r="F329" s="6" t="str">
        <f t="shared" si="47"/>
        <v>*0.94</v>
      </c>
      <c r="H329" t="s">
        <v>3660</v>
      </c>
      <c r="I329" s="5" t="s">
        <v>57</v>
      </c>
      <c r="J329">
        <v>2050</v>
      </c>
      <c r="K329" s="38" t="str">
        <f t="shared" si="48"/>
        <v>*0.9</v>
      </c>
      <c r="P329" s="32" t="s">
        <v>3660</v>
      </c>
      <c r="Q329" s="42" t="s">
        <v>57</v>
      </c>
      <c r="R329" s="32">
        <v>2035</v>
      </c>
      <c r="S329" s="43" t="str">
        <f t="shared" si="49"/>
        <v>*0.92</v>
      </c>
      <c r="U329" s="32" t="s">
        <v>3660</v>
      </c>
      <c r="V329" s="42" t="s">
        <v>57</v>
      </c>
      <c r="W329" s="32">
        <v>2050</v>
      </c>
      <c r="X329" s="43" t="str">
        <f t="shared" si="50"/>
        <v>*0.89</v>
      </c>
      <c r="AC329" s="33" t="s">
        <v>3660</v>
      </c>
      <c r="AD329" s="44" t="s">
        <v>57</v>
      </c>
      <c r="AE329" s="33">
        <v>2035</v>
      </c>
      <c r="AF329" s="45" t="str">
        <f t="shared" si="51"/>
        <v>*0.89</v>
      </c>
      <c r="AG329" s="43" t="str">
        <f t="shared" ref="AG329:AG392" si="54">AG328</f>
        <v>REZoning_Sol-Win</v>
      </c>
      <c r="AI329" s="33" t="s">
        <v>3660</v>
      </c>
      <c r="AJ329" s="44" t="s">
        <v>57</v>
      </c>
      <c r="AK329" s="33">
        <v>2050</v>
      </c>
      <c r="AL329" s="45" t="str">
        <f t="shared" si="52"/>
        <v>*0.84</v>
      </c>
      <c r="AM329" s="43" t="str">
        <f t="shared" ref="AM329:AM392" si="55">AM328</f>
        <v>REZoning_Sol-Win</v>
      </c>
      <c r="AP329" t="s">
        <v>3660</v>
      </c>
      <c r="AQ329" t="s">
        <v>57</v>
      </c>
      <c r="AR329">
        <f t="shared" si="53"/>
        <v>2100</v>
      </c>
      <c r="AS329" t="s">
        <v>919</v>
      </c>
      <c r="AT329" t="s">
        <v>58</v>
      </c>
    </row>
    <row r="330" ht="29" spans="1:46">
      <c r="A330" s="31" t="s">
        <v>79</v>
      </c>
      <c r="C330" t="s">
        <v>3661</v>
      </c>
      <c r="D330" s="5" t="s">
        <v>57</v>
      </c>
      <c r="E330">
        <v>2035</v>
      </c>
      <c r="F330" s="6" t="str">
        <f t="shared" si="47"/>
        <v>*0.94</v>
      </c>
      <c r="H330" t="s">
        <v>3661</v>
      </c>
      <c r="I330" s="5" t="s">
        <v>57</v>
      </c>
      <c r="J330">
        <v>2050</v>
      </c>
      <c r="K330" s="38" t="str">
        <f t="shared" si="48"/>
        <v>*0.9</v>
      </c>
      <c r="P330" s="32" t="s">
        <v>3661</v>
      </c>
      <c r="Q330" s="42" t="s">
        <v>57</v>
      </c>
      <c r="R330" s="32">
        <v>2035</v>
      </c>
      <c r="S330" s="43" t="str">
        <f t="shared" si="49"/>
        <v>*0.92</v>
      </c>
      <c r="U330" s="32" t="s">
        <v>3661</v>
      </c>
      <c r="V330" s="42" t="s">
        <v>57</v>
      </c>
      <c r="W330" s="32">
        <v>2050</v>
      </c>
      <c r="X330" s="43" t="str">
        <f t="shared" si="50"/>
        <v>*0.89</v>
      </c>
      <c r="AC330" s="33" t="s">
        <v>3661</v>
      </c>
      <c r="AD330" s="44" t="s">
        <v>57</v>
      </c>
      <c r="AE330" s="33">
        <v>2035</v>
      </c>
      <c r="AF330" s="45" t="str">
        <f t="shared" si="51"/>
        <v>*0.89</v>
      </c>
      <c r="AG330" s="43" t="str">
        <f t="shared" si="54"/>
        <v>REZoning_Sol-Win</v>
      </c>
      <c r="AI330" s="33" t="s">
        <v>3661</v>
      </c>
      <c r="AJ330" s="44" t="s">
        <v>57</v>
      </c>
      <c r="AK330" s="33">
        <v>2050</v>
      </c>
      <c r="AL330" s="45" t="str">
        <f t="shared" si="52"/>
        <v>*0.84</v>
      </c>
      <c r="AM330" s="43" t="str">
        <f t="shared" si="55"/>
        <v>REZoning_Sol-Win</v>
      </c>
      <c r="AP330" t="s">
        <v>3661</v>
      </c>
      <c r="AQ330" t="s">
        <v>57</v>
      </c>
      <c r="AR330">
        <f t="shared" si="53"/>
        <v>2100</v>
      </c>
      <c r="AS330" t="s">
        <v>919</v>
      </c>
      <c r="AT330" t="s">
        <v>58</v>
      </c>
    </row>
    <row r="331" ht="29" spans="1:46">
      <c r="A331" s="31" t="s">
        <v>79</v>
      </c>
      <c r="C331" t="s">
        <v>3662</v>
      </c>
      <c r="D331" s="5" t="s">
        <v>57</v>
      </c>
      <c r="E331">
        <v>2035</v>
      </c>
      <c r="F331" s="6" t="str">
        <f t="shared" si="47"/>
        <v>*0.94</v>
      </c>
      <c r="H331" t="s">
        <v>3662</v>
      </c>
      <c r="I331" s="5" t="s">
        <v>57</v>
      </c>
      <c r="J331">
        <v>2050</v>
      </c>
      <c r="K331" s="38" t="str">
        <f t="shared" si="48"/>
        <v>*0.9</v>
      </c>
      <c r="P331" s="32" t="s">
        <v>3662</v>
      </c>
      <c r="Q331" s="42" t="s">
        <v>57</v>
      </c>
      <c r="R331" s="32">
        <v>2035</v>
      </c>
      <c r="S331" s="43" t="str">
        <f t="shared" si="49"/>
        <v>*0.92</v>
      </c>
      <c r="U331" s="32" t="s">
        <v>3662</v>
      </c>
      <c r="V331" s="42" t="s">
        <v>57</v>
      </c>
      <c r="W331" s="32">
        <v>2050</v>
      </c>
      <c r="X331" s="43" t="str">
        <f t="shared" si="50"/>
        <v>*0.89</v>
      </c>
      <c r="AC331" s="33" t="s">
        <v>3662</v>
      </c>
      <c r="AD331" s="44" t="s">
        <v>57</v>
      </c>
      <c r="AE331" s="33">
        <v>2035</v>
      </c>
      <c r="AF331" s="45" t="str">
        <f t="shared" si="51"/>
        <v>*0.89</v>
      </c>
      <c r="AG331" s="43" t="str">
        <f t="shared" si="54"/>
        <v>REZoning_Sol-Win</v>
      </c>
      <c r="AI331" s="33" t="s">
        <v>3662</v>
      </c>
      <c r="AJ331" s="44" t="s">
        <v>57</v>
      </c>
      <c r="AK331" s="33">
        <v>2050</v>
      </c>
      <c r="AL331" s="45" t="str">
        <f t="shared" si="52"/>
        <v>*0.84</v>
      </c>
      <c r="AM331" s="43" t="str">
        <f t="shared" si="55"/>
        <v>REZoning_Sol-Win</v>
      </c>
      <c r="AP331" t="s">
        <v>3662</v>
      </c>
      <c r="AQ331" t="s">
        <v>57</v>
      </c>
      <c r="AR331">
        <f t="shared" si="53"/>
        <v>2100</v>
      </c>
      <c r="AS331" t="s">
        <v>919</v>
      </c>
      <c r="AT331" t="s">
        <v>58</v>
      </c>
    </row>
    <row r="332" ht="29" spans="1:46">
      <c r="A332" s="31" t="s">
        <v>79</v>
      </c>
      <c r="C332" t="s">
        <v>3663</v>
      </c>
      <c r="D332" s="5" t="s">
        <v>57</v>
      </c>
      <c r="E332">
        <v>2035</v>
      </c>
      <c r="F332" s="6" t="str">
        <f t="shared" si="47"/>
        <v>*0.94</v>
      </c>
      <c r="H332" t="s">
        <v>3663</v>
      </c>
      <c r="I332" s="5" t="s">
        <v>57</v>
      </c>
      <c r="J332">
        <v>2050</v>
      </c>
      <c r="K332" s="38" t="str">
        <f t="shared" si="48"/>
        <v>*0.9</v>
      </c>
      <c r="P332" s="32" t="s">
        <v>3663</v>
      </c>
      <c r="Q332" s="42" t="s">
        <v>57</v>
      </c>
      <c r="R332" s="32">
        <v>2035</v>
      </c>
      <c r="S332" s="43" t="str">
        <f t="shared" si="49"/>
        <v>*0.92</v>
      </c>
      <c r="U332" s="32" t="s">
        <v>3663</v>
      </c>
      <c r="V332" s="42" t="s">
        <v>57</v>
      </c>
      <c r="W332" s="32">
        <v>2050</v>
      </c>
      <c r="X332" s="43" t="str">
        <f t="shared" si="50"/>
        <v>*0.89</v>
      </c>
      <c r="AC332" s="33" t="s">
        <v>3663</v>
      </c>
      <c r="AD332" s="44" t="s">
        <v>57</v>
      </c>
      <c r="AE332" s="33">
        <v>2035</v>
      </c>
      <c r="AF332" s="45" t="str">
        <f t="shared" si="51"/>
        <v>*0.89</v>
      </c>
      <c r="AG332" s="43" t="str">
        <f t="shared" si="54"/>
        <v>REZoning_Sol-Win</v>
      </c>
      <c r="AI332" s="33" t="s">
        <v>3663</v>
      </c>
      <c r="AJ332" s="44" t="s">
        <v>57</v>
      </c>
      <c r="AK332" s="33">
        <v>2050</v>
      </c>
      <c r="AL332" s="45" t="str">
        <f t="shared" si="52"/>
        <v>*0.84</v>
      </c>
      <c r="AM332" s="43" t="str">
        <f t="shared" si="55"/>
        <v>REZoning_Sol-Win</v>
      </c>
      <c r="AP332" t="s">
        <v>3663</v>
      </c>
      <c r="AQ332" t="s">
        <v>57</v>
      </c>
      <c r="AR332">
        <f t="shared" si="53"/>
        <v>2100</v>
      </c>
      <c r="AS332" t="s">
        <v>919</v>
      </c>
      <c r="AT332" t="s">
        <v>58</v>
      </c>
    </row>
    <row r="333" ht="29" spans="1:46">
      <c r="A333" s="31" t="s">
        <v>79</v>
      </c>
      <c r="C333" t="s">
        <v>3664</v>
      </c>
      <c r="D333" s="5" t="s">
        <v>57</v>
      </c>
      <c r="E333">
        <v>2035</v>
      </c>
      <c r="F333" s="6" t="str">
        <f t="shared" si="47"/>
        <v>*0.94</v>
      </c>
      <c r="H333" t="s">
        <v>3664</v>
      </c>
      <c r="I333" s="5" t="s">
        <v>57</v>
      </c>
      <c r="J333">
        <v>2050</v>
      </c>
      <c r="K333" s="38" t="str">
        <f t="shared" si="48"/>
        <v>*0.9</v>
      </c>
      <c r="P333" s="32" t="s">
        <v>3664</v>
      </c>
      <c r="Q333" s="42" t="s">
        <v>57</v>
      </c>
      <c r="R333" s="32">
        <v>2035</v>
      </c>
      <c r="S333" s="43" t="str">
        <f t="shared" si="49"/>
        <v>*0.92</v>
      </c>
      <c r="U333" s="32" t="s">
        <v>3664</v>
      </c>
      <c r="V333" s="42" t="s">
        <v>57</v>
      </c>
      <c r="W333" s="32">
        <v>2050</v>
      </c>
      <c r="X333" s="43" t="str">
        <f t="shared" si="50"/>
        <v>*0.89</v>
      </c>
      <c r="AC333" s="33" t="s">
        <v>3664</v>
      </c>
      <c r="AD333" s="44" t="s">
        <v>57</v>
      </c>
      <c r="AE333" s="33">
        <v>2035</v>
      </c>
      <c r="AF333" s="45" t="str">
        <f t="shared" si="51"/>
        <v>*0.89</v>
      </c>
      <c r="AG333" s="43" t="str">
        <f t="shared" si="54"/>
        <v>REZoning_Sol-Win</v>
      </c>
      <c r="AI333" s="33" t="s">
        <v>3664</v>
      </c>
      <c r="AJ333" s="44" t="s">
        <v>57</v>
      </c>
      <c r="AK333" s="33">
        <v>2050</v>
      </c>
      <c r="AL333" s="45" t="str">
        <f t="shared" si="52"/>
        <v>*0.84</v>
      </c>
      <c r="AM333" s="43" t="str">
        <f t="shared" si="55"/>
        <v>REZoning_Sol-Win</v>
      </c>
      <c r="AP333" t="s">
        <v>3664</v>
      </c>
      <c r="AQ333" t="s">
        <v>57</v>
      </c>
      <c r="AR333">
        <f t="shared" si="53"/>
        <v>2100</v>
      </c>
      <c r="AS333" t="s">
        <v>919</v>
      </c>
      <c r="AT333" t="s">
        <v>58</v>
      </c>
    </row>
    <row r="334" ht="29" spans="1:46">
      <c r="A334" s="31" t="s">
        <v>79</v>
      </c>
      <c r="C334" t="s">
        <v>3665</v>
      </c>
      <c r="D334" s="5" t="s">
        <v>57</v>
      </c>
      <c r="E334">
        <v>2035</v>
      </c>
      <c r="F334" s="6" t="str">
        <f t="shared" si="47"/>
        <v>*0.94</v>
      </c>
      <c r="H334" t="s">
        <v>3665</v>
      </c>
      <c r="I334" s="5" t="s">
        <v>57</v>
      </c>
      <c r="J334">
        <v>2050</v>
      </c>
      <c r="K334" s="38" t="str">
        <f t="shared" si="48"/>
        <v>*0.9</v>
      </c>
      <c r="P334" s="32" t="s">
        <v>3665</v>
      </c>
      <c r="Q334" s="42" t="s">
        <v>57</v>
      </c>
      <c r="R334" s="32">
        <v>2035</v>
      </c>
      <c r="S334" s="43" t="str">
        <f t="shared" si="49"/>
        <v>*0.92</v>
      </c>
      <c r="U334" s="32" t="s">
        <v>3665</v>
      </c>
      <c r="V334" s="42" t="s">
        <v>57</v>
      </c>
      <c r="W334" s="32">
        <v>2050</v>
      </c>
      <c r="X334" s="43" t="str">
        <f t="shared" si="50"/>
        <v>*0.89</v>
      </c>
      <c r="AC334" s="33" t="s">
        <v>3665</v>
      </c>
      <c r="AD334" s="44" t="s">
        <v>57</v>
      </c>
      <c r="AE334" s="33">
        <v>2035</v>
      </c>
      <c r="AF334" s="45" t="str">
        <f t="shared" si="51"/>
        <v>*0.89</v>
      </c>
      <c r="AG334" s="43" t="str">
        <f t="shared" si="54"/>
        <v>REZoning_Sol-Win</v>
      </c>
      <c r="AI334" s="33" t="s">
        <v>3665</v>
      </c>
      <c r="AJ334" s="44" t="s">
        <v>57</v>
      </c>
      <c r="AK334" s="33">
        <v>2050</v>
      </c>
      <c r="AL334" s="45" t="str">
        <f t="shared" si="52"/>
        <v>*0.84</v>
      </c>
      <c r="AM334" s="43" t="str">
        <f t="shared" si="55"/>
        <v>REZoning_Sol-Win</v>
      </c>
      <c r="AP334" t="s">
        <v>3665</v>
      </c>
      <c r="AQ334" t="s">
        <v>57</v>
      </c>
      <c r="AR334">
        <f t="shared" si="53"/>
        <v>2100</v>
      </c>
      <c r="AS334" t="s">
        <v>919</v>
      </c>
      <c r="AT334" t="s">
        <v>58</v>
      </c>
    </row>
    <row r="335" ht="29" spans="1:46">
      <c r="A335" s="31" t="s">
        <v>79</v>
      </c>
      <c r="C335" t="s">
        <v>3666</v>
      </c>
      <c r="D335" s="5" t="s">
        <v>57</v>
      </c>
      <c r="E335">
        <v>2035</v>
      </c>
      <c r="F335" s="6" t="str">
        <f t="shared" si="47"/>
        <v>*0.94</v>
      </c>
      <c r="H335" t="s">
        <v>3666</v>
      </c>
      <c r="I335" s="5" t="s">
        <v>57</v>
      </c>
      <c r="J335">
        <v>2050</v>
      </c>
      <c r="K335" s="38" t="str">
        <f t="shared" si="48"/>
        <v>*0.9</v>
      </c>
      <c r="P335" s="32" t="s">
        <v>3666</v>
      </c>
      <c r="Q335" s="42" t="s">
        <v>57</v>
      </c>
      <c r="R335" s="32">
        <v>2035</v>
      </c>
      <c r="S335" s="43" t="str">
        <f t="shared" si="49"/>
        <v>*0.92</v>
      </c>
      <c r="U335" s="32" t="s">
        <v>3666</v>
      </c>
      <c r="V335" s="42" t="s">
        <v>57</v>
      </c>
      <c r="W335" s="32">
        <v>2050</v>
      </c>
      <c r="X335" s="43" t="str">
        <f t="shared" si="50"/>
        <v>*0.89</v>
      </c>
      <c r="AC335" s="33" t="s">
        <v>3666</v>
      </c>
      <c r="AD335" s="44" t="s">
        <v>57</v>
      </c>
      <c r="AE335" s="33">
        <v>2035</v>
      </c>
      <c r="AF335" s="45" t="str">
        <f t="shared" si="51"/>
        <v>*0.89</v>
      </c>
      <c r="AG335" s="43" t="str">
        <f t="shared" si="54"/>
        <v>REZoning_Sol-Win</v>
      </c>
      <c r="AI335" s="33" t="s">
        <v>3666</v>
      </c>
      <c r="AJ335" s="44" t="s">
        <v>57</v>
      </c>
      <c r="AK335" s="33">
        <v>2050</v>
      </c>
      <c r="AL335" s="45" t="str">
        <f t="shared" si="52"/>
        <v>*0.84</v>
      </c>
      <c r="AM335" s="43" t="str">
        <f t="shared" si="55"/>
        <v>REZoning_Sol-Win</v>
      </c>
      <c r="AP335" t="s">
        <v>3666</v>
      </c>
      <c r="AQ335" t="s">
        <v>57</v>
      </c>
      <c r="AR335">
        <f t="shared" si="53"/>
        <v>2100</v>
      </c>
      <c r="AS335" t="s">
        <v>919</v>
      </c>
      <c r="AT335" t="s">
        <v>58</v>
      </c>
    </row>
    <row r="336" ht="29" spans="1:46">
      <c r="A336" s="31" t="s">
        <v>79</v>
      </c>
      <c r="C336" t="s">
        <v>3667</v>
      </c>
      <c r="D336" s="5" t="s">
        <v>57</v>
      </c>
      <c r="E336">
        <v>2035</v>
      </c>
      <c r="F336" s="6" t="str">
        <f t="shared" si="47"/>
        <v>*0.94</v>
      </c>
      <c r="H336" t="s">
        <v>3667</v>
      </c>
      <c r="I336" s="5" t="s">
        <v>57</v>
      </c>
      <c r="J336">
        <v>2050</v>
      </c>
      <c r="K336" s="38" t="str">
        <f t="shared" si="48"/>
        <v>*0.9</v>
      </c>
      <c r="P336" s="32" t="s">
        <v>3667</v>
      </c>
      <c r="Q336" s="42" t="s">
        <v>57</v>
      </c>
      <c r="R336" s="32">
        <v>2035</v>
      </c>
      <c r="S336" s="43" t="str">
        <f t="shared" si="49"/>
        <v>*0.92</v>
      </c>
      <c r="U336" s="32" t="s">
        <v>3667</v>
      </c>
      <c r="V336" s="42" t="s">
        <v>57</v>
      </c>
      <c r="W336" s="32">
        <v>2050</v>
      </c>
      <c r="X336" s="43" t="str">
        <f t="shared" si="50"/>
        <v>*0.89</v>
      </c>
      <c r="AC336" s="33" t="s">
        <v>3667</v>
      </c>
      <c r="AD336" s="44" t="s">
        <v>57</v>
      </c>
      <c r="AE336" s="33">
        <v>2035</v>
      </c>
      <c r="AF336" s="45" t="str">
        <f t="shared" si="51"/>
        <v>*0.89</v>
      </c>
      <c r="AG336" s="43" t="str">
        <f t="shared" si="54"/>
        <v>REZoning_Sol-Win</v>
      </c>
      <c r="AI336" s="33" t="s">
        <v>3667</v>
      </c>
      <c r="AJ336" s="44" t="s">
        <v>57</v>
      </c>
      <c r="AK336" s="33">
        <v>2050</v>
      </c>
      <c r="AL336" s="45" t="str">
        <f t="shared" si="52"/>
        <v>*0.84</v>
      </c>
      <c r="AM336" s="43" t="str">
        <f t="shared" si="55"/>
        <v>REZoning_Sol-Win</v>
      </c>
      <c r="AP336" t="s">
        <v>3667</v>
      </c>
      <c r="AQ336" t="s">
        <v>57</v>
      </c>
      <c r="AR336">
        <f t="shared" si="53"/>
        <v>2100</v>
      </c>
      <c r="AS336" t="s">
        <v>919</v>
      </c>
      <c r="AT336" t="s">
        <v>58</v>
      </c>
    </row>
    <row r="337" ht="29" spans="1:46">
      <c r="A337" s="31" t="s">
        <v>79</v>
      </c>
      <c r="C337" t="s">
        <v>3668</v>
      </c>
      <c r="D337" s="5" t="s">
        <v>57</v>
      </c>
      <c r="E337">
        <v>2035</v>
      </c>
      <c r="F337" s="6" t="str">
        <f t="shared" si="47"/>
        <v>*0.94</v>
      </c>
      <c r="H337" t="s">
        <v>3668</v>
      </c>
      <c r="I337" s="5" t="s">
        <v>57</v>
      </c>
      <c r="J337">
        <v>2050</v>
      </c>
      <c r="K337" s="38" t="str">
        <f t="shared" si="48"/>
        <v>*0.9</v>
      </c>
      <c r="P337" s="32" t="s">
        <v>3668</v>
      </c>
      <c r="Q337" s="42" t="s">
        <v>57</v>
      </c>
      <c r="R337" s="32">
        <v>2035</v>
      </c>
      <c r="S337" s="43" t="str">
        <f t="shared" si="49"/>
        <v>*0.92</v>
      </c>
      <c r="U337" s="32" t="s">
        <v>3668</v>
      </c>
      <c r="V337" s="42" t="s">
        <v>57</v>
      </c>
      <c r="W337" s="32">
        <v>2050</v>
      </c>
      <c r="X337" s="43" t="str">
        <f t="shared" si="50"/>
        <v>*0.89</v>
      </c>
      <c r="AC337" s="33" t="s">
        <v>3668</v>
      </c>
      <c r="AD337" s="44" t="s">
        <v>57</v>
      </c>
      <c r="AE337" s="33">
        <v>2035</v>
      </c>
      <c r="AF337" s="45" t="str">
        <f t="shared" si="51"/>
        <v>*0.89</v>
      </c>
      <c r="AG337" s="43" t="str">
        <f t="shared" si="54"/>
        <v>REZoning_Sol-Win</v>
      </c>
      <c r="AI337" s="33" t="s">
        <v>3668</v>
      </c>
      <c r="AJ337" s="44" t="s">
        <v>57</v>
      </c>
      <c r="AK337" s="33">
        <v>2050</v>
      </c>
      <c r="AL337" s="45" t="str">
        <f t="shared" si="52"/>
        <v>*0.84</v>
      </c>
      <c r="AM337" s="43" t="str">
        <f t="shared" si="55"/>
        <v>REZoning_Sol-Win</v>
      </c>
      <c r="AP337" t="s">
        <v>3668</v>
      </c>
      <c r="AQ337" t="s">
        <v>57</v>
      </c>
      <c r="AR337">
        <f t="shared" si="53"/>
        <v>2100</v>
      </c>
      <c r="AS337" t="s">
        <v>919</v>
      </c>
      <c r="AT337" t="s">
        <v>58</v>
      </c>
    </row>
    <row r="338" ht="29" spans="1:46">
      <c r="A338" s="31" t="s">
        <v>79</v>
      </c>
      <c r="C338" t="s">
        <v>3669</v>
      </c>
      <c r="D338" s="5" t="s">
        <v>57</v>
      </c>
      <c r="E338">
        <v>2035</v>
      </c>
      <c r="F338" s="6" t="str">
        <f t="shared" si="47"/>
        <v>*0.94</v>
      </c>
      <c r="H338" t="s">
        <v>3669</v>
      </c>
      <c r="I338" s="5" t="s">
        <v>57</v>
      </c>
      <c r="J338">
        <v>2050</v>
      </c>
      <c r="K338" s="38" t="str">
        <f t="shared" si="48"/>
        <v>*0.9</v>
      </c>
      <c r="P338" s="32" t="s">
        <v>3669</v>
      </c>
      <c r="Q338" s="42" t="s">
        <v>57</v>
      </c>
      <c r="R338" s="32">
        <v>2035</v>
      </c>
      <c r="S338" s="43" t="str">
        <f t="shared" si="49"/>
        <v>*0.92</v>
      </c>
      <c r="U338" s="32" t="s">
        <v>3669</v>
      </c>
      <c r="V338" s="42" t="s">
        <v>57</v>
      </c>
      <c r="W338" s="32">
        <v>2050</v>
      </c>
      <c r="X338" s="43" t="str">
        <f t="shared" si="50"/>
        <v>*0.89</v>
      </c>
      <c r="AC338" s="33" t="s">
        <v>3669</v>
      </c>
      <c r="AD338" s="44" t="s">
        <v>57</v>
      </c>
      <c r="AE338" s="33">
        <v>2035</v>
      </c>
      <c r="AF338" s="45" t="str">
        <f t="shared" si="51"/>
        <v>*0.89</v>
      </c>
      <c r="AG338" s="43" t="str">
        <f t="shared" si="54"/>
        <v>REZoning_Sol-Win</v>
      </c>
      <c r="AI338" s="33" t="s">
        <v>3669</v>
      </c>
      <c r="AJ338" s="44" t="s">
        <v>57</v>
      </c>
      <c r="AK338" s="33">
        <v>2050</v>
      </c>
      <c r="AL338" s="45" t="str">
        <f t="shared" si="52"/>
        <v>*0.84</v>
      </c>
      <c r="AM338" s="43" t="str">
        <f t="shared" si="55"/>
        <v>REZoning_Sol-Win</v>
      </c>
      <c r="AP338" t="s">
        <v>3669</v>
      </c>
      <c r="AQ338" t="s">
        <v>57</v>
      </c>
      <c r="AR338">
        <f t="shared" si="53"/>
        <v>2100</v>
      </c>
      <c r="AS338" t="s">
        <v>919</v>
      </c>
      <c r="AT338" t="s">
        <v>58</v>
      </c>
    </row>
    <row r="339" ht="29" spans="1:46">
      <c r="A339" s="31" t="s">
        <v>79</v>
      </c>
      <c r="C339" t="s">
        <v>3670</v>
      </c>
      <c r="D339" s="5" t="s">
        <v>57</v>
      </c>
      <c r="E339">
        <v>2035</v>
      </c>
      <c r="F339" s="6" t="str">
        <f t="shared" si="47"/>
        <v>*0.94</v>
      </c>
      <c r="H339" t="s">
        <v>3670</v>
      </c>
      <c r="I339" s="5" t="s">
        <v>57</v>
      </c>
      <c r="J339">
        <v>2050</v>
      </c>
      <c r="K339" s="38" t="str">
        <f t="shared" si="48"/>
        <v>*0.9</v>
      </c>
      <c r="P339" s="32" t="s">
        <v>3670</v>
      </c>
      <c r="Q339" s="42" t="s">
        <v>57</v>
      </c>
      <c r="R339" s="32">
        <v>2035</v>
      </c>
      <c r="S339" s="43" t="str">
        <f t="shared" si="49"/>
        <v>*0.92</v>
      </c>
      <c r="U339" s="32" t="s">
        <v>3670</v>
      </c>
      <c r="V339" s="42" t="s">
        <v>57</v>
      </c>
      <c r="W339" s="32">
        <v>2050</v>
      </c>
      <c r="X339" s="43" t="str">
        <f t="shared" si="50"/>
        <v>*0.89</v>
      </c>
      <c r="AC339" s="33" t="s">
        <v>3670</v>
      </c>
      <c r="AD339" s="44" t="s">
        <v>57</v>
      </c>
      <c r="AE339" s="33">
        <v>2035</v>
      </c>
      <c r="AF339" s="45" t="str">
        <f t="shared" si="51"/>
        <v>*0.89</v>
      </c>
      <c r="AG339" s="43" t="str">
        <f t="shared" si="54"/>
        <v>REZoning_Sol-Win</v>
      </c>
      <c r="AI339" s="33" t="s">
        <v>3670</v>
      </c>
      <c r="AJ339" s="44" t="s">
        <v>57</v>
      </c>
      <c r="AK339" s="33">
        <v>2050</v>
      </c>
      <c r="AL339" s="45" t="str">
        <f t="shared" si="52"/>
        <v>*0.84</v>
      </c>
      <c r="AM339" s="43" t="str">
        <f t="shared" si="55"/>
        <v>REZoning_Sol-Win</v>
      </c>
      <c r="AP339" t="s">
        <v>3670</v>
      </c>
      <c r="AQ339" t="s">
        <v>57</v>
      </c>
      <c r="AR339">
        <f t="shared" si="53"/>
        <v>2100</v>
      </c>
      <c r="AS339" t="s">
        <v>919</v>
      </c>
      <c r="AT339" t="s">
        <v>58</v>
      </c>
    </row>
    <row r="340" ht="29" spans="1:46">
      <c r="A340" s="31" t="s">
        <v>79</v>
      </c>
      <c r="C340" t="s">
        <v>3671</v>
      </c>
      <c r="D340" s="5" t="s">
        <v>57</v>
      </c>
      <c r="E340">
        <v>2035</v>
      </c>
      <c r="F340" s="6" t="str">
        <f t="shared" si="47"/>
        <v>*0.94</v>
      </c>
      <c r="H340" t="s">
        <v>3671</v>
      </c>
      <c r="I340" s="5" t="s">
        <v>57</v>
      </c>
      <c r="J340">
        <v>2050</v>
      </c>
      <c r="K340" s="38" t="str">
        <f t="shared" si="48"/>
        <v>*0.9</v>
      </c>
      <c r="P340" s="32" t="s">
        <v>3671</v>
      </c>
      <c r="Q340" s="42" t="s">
        <v>57</v>
      </c>
      <c r="R340" s="32">
        <v>2035</v>
      </c>
      <c r="S340" s="43" t="str">
        <f t="shared" si="49"/>
        <v>*0.92</v>
      </c>
      <c r="U340" s="32" t="s">
        <v>3671</v>
      </c>
      <c r="V340" s="42" t="s">
        <v>57</v>
      </c>
      <c r="W340" s="32">
        <v>2050</v>
      </c>
      <c r="X340" s="43" t="str">
        <f t="shared" si="50"/>
        <v>*0.89</v>
      </c>
      <c r="AC340" s="33" t="s">
        <v>3671</v>
      </c>
      <c r="AD340" s="44" t="s">
        <v>57</v>
      </c>
      <c r="AE340" s="33">
        <v>2035</v>
      </c>
      <c r="AF340" s="45" t="str">
        <f t="shared" si="51"/>
        <v>*0.89</v>
      </c>
      <c r="AG340" s="43" t="str">
        <f t="shared" si="54"/>
        <v>REZoning_Sol-Win</v>
      </c>
      <c r="AI340" s="33" t="s">
        <v>3671</v>
      </c>
      <c r="AJ340" s="44" t="s">
        <v>57</v>
      </c>
      <c r="AK340" s="33">
        <v>2050</v>
      </c>
      <c r="AL340" s="45" t="str">
        <f t="shared" si="52"/>
        <v>*0.84</v>
      </c>
      <c r="AM340" s="43" t="str">
        <f t="shared" si="55"/>
        <v>REZoning_Sol-Win</v>
      </c>
      <c r="AP340" t="s">
        <v>3671</v>
      </c>
      <c r="AQ340" t="s">
        <v>57</v>
      </c>
      <c r="AR340">
        <f t="shared" si="53"/>
        <v>2100</v>
      </c>
      <c r="AS340" t="s">
        <v>919</v>
      </c>
      <c r="AT340" t="s">
        <v>58</v>
      </c>
    </row>
    <row r="341" ht="29" spans="1:46">
      <c r="A341" s="31" t="s">
        <v>79</v>
      </c>
      <c r="C341" t="s">
        <v>3672</v>
      </c>
      <c r="D341" s="5" t="s">
        <v>57</v>
      </c>
      <c r="E341">
        <v>2035</v>
      </c>
      <c r="F341" s="6" t="str">
        <f t="shared" si="47"/>
        <v>*0.94</v>
      </c>
      <c r="H341" t="s">
        <v>3672</v>
      </c>
      <c r="I341" s="5" t="s">
        <v>57</v>
      </c>
      <c r="J341">
        <v>2050</v>
      </c>
      <c r="K341" s="38" t="str">
        <f t="shared" si="48"/>
        <v>*0.9</v>
      </c>
      <c r="P341" s="32" t="s">
        <v>3672</v>
      </c>
      <c r="Q341" s="42" t="s">
        <v>57</v>
      </c>
      <c r="R341" s="32">
        <v>2035</v>
      </c>
      <c r="S341" s="43" t="str">
        <f t="shared" si="49"/>
        <v>*0.92</v>
      </c>
      <c r="U341" s="32" t="s">
        <v>3672</v>
      </c>
      <c r="V341" s="42" t="s">
        <v>57</v>
      </c>
      <c r="W341" s="32">
        <v>2050</v>
      </c>
      <c r="X341" s="43" t="str">
        <f t="shared" si="50"/>
        <v>*0.89</v>
      </c>
      <c r="AC341" s="33" t="s">
        <v>3672</v>
      </c>
      <c r="AD341" s="44" t="s">
        <v>57</v>
      </c>
      <c r="AE341" s="33">
        <v>2035</v>
      </c>
      <c r="AF341" s="45" t="str">
        <f t="shared" si="51"/>
        <v>*0.89</v>
      </c>
      <c r="AG341" s="43" t="str">
        <f t="shared" si="54"/>
        <v>REZoning_Sol-Win</v>
      </c>
      <c r="AI341" s="33" t="s">
        <v>3672</v>
      </c>
      <c r="AJ341" s="44" t="s">
        <v>57</v>
      </c>
      <c r="AK341" s="33">
        <v>2050</v>
      </c>
      <c r="AL341" s="45" t="str">
        <f t="shared" si="52"/>
        <v>*0.84</v>
      </c>
      <c r="AM341" s="43" t="str">
        <f t="shared" si="55"/>
        <v>REZoning_Sol-Win</v>
      </c>
      <c r="AP341" t="s">
        <v>3672</v>
      </c>
      <c r="AQ341" t="s">
        <v>57</v>
      </c>
      <c r="AR341">
        <f t="shared" si="53"/>
        <v>2100</v>
      </c>
      <c r="AS341" t="s">
        <v>919</v>
      </c>
      <c r="AT341" t="s">
        <v>58</v>
      </c>
    </row>
    <row r="342" ht="29" spans="1:46">
      <c r="A342" s="31" t="s">
        <v>79</v>
      </c>
      <c r="C342" t="s">
        <v>3673</v>
      </c>
      <c r="D342" s="5" t="s">
        <v>57</v>
      </c>
      <c r="E342">
        <v>2035</v>
      </c>
      <c r="F342" s="6" t="str">
        <f t="shared" si="47"/>
        <v>*0.94</v>
      </c>
      <c r="H342" t="s">
        <v>3673</v>
      </c>
      <c r="I342" s="5" t="s">
        <v>57</v>
      </c>
      <c r="J342">
        <v>2050</v>
      </c>
      <c r="K342" s="38" t="str">
        <f t="shared" si="48"/>
        <v>*0.9</v>
      </c>
      <c r="P342" s="32" t="s">
        <v>3673</v>
      </c>
      <c r="Q342" s="42" t="s">
        <v>57</v>
      </c>
      <c r="R342" s="32">
        <v>2035</v>
      </c>
      <c r="S342" s="43" t="str">
        <f t="shared" si="49"/>
        <v>*0.92</v>
      </c>
      <c r="U342" s="32" t="s">
        <v>3673</v>
      </c>
      <c r="V342" s="42" t="s">
        <v>57</v>
      </c>
      <c r="W342" s="32">
        <v>2050</v>
      </c>
      <c r="X342" s="43" t="str">
        <f t="shared" si="50"/>
        <v>*0.89</v>
      </c>
      <c r="AC342" s="33" t="s">
        <v>3673</v>
      </c>
      <c r="AD342" s="44" t="s">
        <v>57</v>
      </c>
      <c r="AE342" s="33">
        <v>2035</v>
      </c>
      <c r="AF342" s="45" t="str">
        <f t="shared" si="51"/>
        <v>*0.89</v>
      </c>
      <c r="AG342" s="43" t="str">
        <f t="shared" si="54"/>
        <v>REZoning_Sol-Win</v>
      </c>
      <c r="AI342" s="33" t="s">
        <v>3673</v>
      </c>
      <c r="AJ342" s="44" t="s">
        <v>57</v>
      </c>
      <c r="AK342" s="33">
        <v>2050</v>
      </c>
      <c r="AL342" s="45" t="str">
        <f t="shared" si="52"/>
        <v>*0.84</v>
      </c>
      <c r="AM342" s="43" t="str">
        <f t="shared" si="55"/>
        <v>REZoning_Sol-Win</v>
      </c>
      <c r="AP342" t="s">
        <v>3673</v>
      </c>
      <c r="AQ342" t="s">
        <v>57</v>
      </c>
      <c r="AR342">
        <f t="shared" si="53"/>
        <v>2100</v>
      </c>
      <c r="AS342" t="s">
        <v>919</v>
      </c>
      <c r="AT342" t="s">
        <v>58</v>
      </c>
    </row>
    <row r="343" ht="29" spans="1:46">
      <c r="A343" s="31" t="s">
        <v>79</v>
      </c>
      <c r="C343" t="s">
        <v>3674</v>
      </c>
      <c r="D343" s="5" t="s">
        <v>57</v>
      </c>
      <c r="E343">
        <v>2035</v>
      </c>
      <c r="F343" s="6" t="str">
        <f t="shared" si="47"/>
        <v>*0.94</v>
      </c>
      <c r="H343" t="s">
        <v>3674</v>
      </c>
      <c r="I343" s="5" t="s">
        <v>57</v>
      </c>
      <c r="J343">
        <v>2050</v>
      </c>
      <c r="K343" s="38" t="str">
        <f t="shared" si="48"/>
        <v>*0.9</v>
      </c>
      <c r="P343" s="32" t="s">
        <v>3674</v>
      </c>
      <c r="Q343" s="42" t="s">
        <v>57</v>
      </c>
      <c r="R343" s="32">
        <v>2035</v>
      </c>
      <c r="S343" s="43" t="str">
        <f t="shared" si="49"/>
        <v>*0.92</v>
      </c>
      <c r="U343" s="32" t="s">
        <v>3674</v>
      </c>
      <c r="V343" s="42" t="s">
        <v>57</v>
      </c>
      <c r="W343" s="32">
        <v>2050</v>
      </c>
      <c r="X343" s="43" t="str">
        <f t="shared" si="50"/>
        <v>*0.89</v>
      </c>
      <c r="AC343" s="33" t="s">
        <v>3674</v>
      </c>
      <c r="AD343" s="44" t="s">
        <v>57</v>
      </c>
      <c r="AE343" s="33">
        <v>2035</v>
      </c>
      <c r="AF343" s="45" t="str">
        <f t="shared" si="51"/>
        <v>*0.89</v>
      </c>
      <c r="AG343" s="43" t="str">
        <f t="shared" si="54"/>
        <v>REZoning_Sol-Win</v>
      </c>
      <c r="AI343" s="33" t="s">
        <v>3674</v>
      </c>
      <c r="AJ343" s="44" t="s">
        <v>57</v>
      </c>
      <c r="AK343" s="33">
        <v>2050</v>
      </c>
      <c r="AL343" s="45" t="str">
        <f t="shared" si="52"/>
        <v>*0.84</v>
      </c>
      <c r="AM343" s="43" t="str">
        <f t="shared" si="55"/>
        <v>REZoning_Sol-Win</v>
      </c>
      <c r="AP343" t="s">
        <v>3674</v>
      </c>
      <c r="AQ343" t="s">
        <v>57</v>
      </c>
      <c r="AR343">
        <f t="shared" si="53"/>
        <v>2100</v>
      </c>
      <c r="AS343" t="s">
        <v>919</v>
      </c>
      <c r="AT343" t="s">
        <v>58</v>
      </c>
    </row>
    <row r="344" ht="29" spans="1:46">
      <c r="A344" s="31" t="s">
        <v>79</v>
      </c>
      <c r="C344" t="s">
        <v>3675</v>
      </c>
      <c r="D344" s="5" t="s">
        <v>57</v>
      </c>
      <c r="E344">
        <v>2035</v>
      </c>
      <c r="F344" s="6" t="str">
        <f t="shared" si="47"/>
        <v>*0.94</v>
      </c>
      <c r="H344" t="s">
        <v>3675</v>
      </c>
      <c r="I344" s="5" t="s">
        <v>57</v>
      </c>
      <c r="J344">
        <v>2050</v>
      </c>
      <c r="K344" s="38" t="str">
        <f t="shared" si="48"/>
        <v>*0.9</v>
      </c>
      <c r="P344" s="32" t="s">
        <v>3675</v>
      </c>
      <c r="Q344" s="42" t="s">
        <v>57</v>
      </c>
      <c r="R344" s="32">
        <v>2035</v>
      </c>
      <c r="S344" s="43" t="str">
        <f t="shared" si="49"/>
        <v>*0.92</v>
      </c>
      <c r="U344" s="32" t="s">
        <v>3675</v>
      </c>
      <c r="V344" s="42" t="s">
        <v>57</v>
      </c>
      <c r="W344" s="32">
        <v>2050</v>
      </c>
      <c r="X344" s="43" t="str">
        <f t="shared" si="50"/>
        <v>*0.89</v>
      </c>
      <c r="AC344" s="33" t="s">
        <v>3675</v>
      </c>
      <c r="AD344" s="44" t="s">
        <v>57</v>
      </c>
      <c r="AE344" s="33">
        <v>2035</v>
      </c>
      <c r="AF344" s="45" t="str">
        <f t="shared" si="51"/>
        <v>*0.89</v>
      </c>
      <c r="AG344" s="43" t="str">
        <f t="shared" si="54"/>
        <v>REZoning_Sol-Win</v>
      </c>
      <c r="AI344" s="33" t="s">
        <v>3675</v>
      </c>
      <c r="AJ344" s="44" t="s">
        <v>57</v>
      </c>
      <c r="AK344" s="33">
        <v>2050</v>
      </c>
      <c r="AL344" s="45" t="str">
        <f t="shared" si="52"/>
        <v>*0.84</v>
      </c>
      <c r="AM344" s="43" t="str">
        <f t="shared" si="55"/>
        <v>REZoning_Sol-Win</v>
      </c>
      <c r="AP344" t="s">
        <v>3675</v>
      </c>
      <c r="AQ344" t="s">
        <v>57</v>
      </c>
      <c r="AR344">
        <f t="shared" si="53"/>
        <v>2100</v>
      </c>
      <c r="AS344" t="s">
        <v>919</v>
      </c>
      <c r="AT344" t="s">
        <v>58</v>
      </c>
    </row>
    <row r="345" ht="29" spans="1:46">
      <c r="A345" s="31" t="s">
        <v>65</v>
      </c>
      <c r="C345" t="s">
        <v>3676</v>
      </c>
      <c r="D345" s="5" t="s">
        <v>57</v>
      </c>
      <c r="E345">
        <v>2035</v>
      </c>
      <c r="F345" s="6" t="str">
        <f t="shared" si="47"/>
        <v>*0.94</v>
      </c>
      <c r="H345" t="s">
        <v>3676</v>
      </c>
      <c r="I345" s="5" t="s">
        <v>57</v>
      </c>
      <c r="J345">
        <v>2050</v>
      </c>
      <c r="K345" s="38" t="str">
        <f t="shared" si="48"/>
        <v>*0.91</v>
      </c>
      <c r="P345" s="32" t="s">
        <v>3676</v>
      </c>
      <c r="Q345" s="42" t="s">
        <v>57</v>
      </c>
      <c r="R345" s="32">
        <v>2035</v>
      </c>
      <c r="S345" s="43" t="str">
        <f t="shared" si="49"/>
        <v>*0.93</v>
      </c>
      <c r="U345" s="32" t="s">
        <v>3676</v>
      </c>
      <c r="V345" s="42" t="s">
        <v>57</v>
      </c>
      <c r="W345" s="32">
        <v>2050</v>
      </c>
      <c r="X345" s="43" t="str">
        <f t="shared" si="50"/>
        <v>*0.9</v>
      </c>
      <c r="AC345" s="33" t="s">
        <v>3676</v>
      </c>
      <c r="AD345" s="44" t="s">
        <v>57</v>
      </c>
      <c r="AE345" s="33">
        <v>2035</v>
      </c>
      <c r="AF345" s="45" t="str">
        <f t="shared" si="51"/>
        <v>*0.9</v>
      </c>
      <c r="AG345" s="43" t="str">
        <f t="shared" si="54"/>
        <v>REZoning_Sol-Win</v>
      </c>
      <c r="AI345" s="33" t="s">
        <v>3676</v>
      </c>
      <c r="AJ345" s="44" t="s">
        <v>57</v>
      </c>
      <c r="AK345" s="33">
        <v>2050</v>
      </c>
      <c r="AL345" s="45" t="str">
        <f t="shared" si="52"/>
        <v>*0.86</v>
      </c>
      <c r="AM345" s="43" t="str">
        <f t="shared" si="55"/>
        <v>REZoning_Sol-Win</v>
      </c>
      <c r="AP345" t="s">
        <v>3676</v>
      </c>
      <c r="AQ345" t="s">
        <v>57</v>
      </c>
      <c r="AR345">
        <f t="shared" si="53"/>
        <v>2100</v>
      </c>
      <c r="AS345" t="s">
        <v>883</v>
      </c>
      <c r="AT345" t="s">
        <v>58</v>
      </c>
    </row>
    <row r="346" ht="29" spans="1:46">
      <c r="A346" s="31" t="s">
        <v>65</v>
      </c>
      <c r="C346" t="s">
        <v>3677</v>
      </c>
      <c r="D346" s="5" t="s">
        <v>57</v>
      </c>
      <c r="E346">
        <v>2035</v>
      </c>
      <c r="F346" s="6" t="str">
        <f t="shared" si="47"/>
        <v>*0.94</v>
      </c>
      <c r="H346" t="s">
        <v>3677</v>
      </c>
      <c r="I346" s="5" t="s">
        <v>57</v>
      </c>
      <c r="J346">
        <v>2050</v>
      </c>
      <c r="K346" s="38" t="str">
        <f t="shared" si="48"/>
        <v>*0.91</v>
      </c>
      <c r="P346" s="32" t="s">
        <v>3677</v>
      </c>
      <c r="Q346" s="42" t="s">
        <v>57</v>
      </c>
      <c r="R346" s="32">
        <v>2035</v>
      </c>
      <c r="S346" s="43" t="str">
        <f t="shared" si="49"/>
        <v>*0.93</v>
      </c>
      <c r="U346" s="32" t="s">
        <v>3677</v>
      </c>
      <c r="V346" s="42" t="s">
        <v>57</v>
      </c>
      <c r="W346" s="32">
        <v>2050</v>
      </c>
      <c r="X346" s="43" t="str">
        <f t="shared" si="50"/>
        <v>*0.9</v>
      </c>
      <c r="AC346" s="33" t="s">
        <v>3677</v>
      </c>
      <c r="AD346" s="44" t="s">
        <v>57</v>
      </c>
      <c r="AE346" s="33">
        <v>2035</v>
      </c>
      <c r="AF346" s="45" t="str">
        <f t="shared" si="51"/>
        <v>*0.9</v>
      </c>
      <c r="AG346" s="43" t="str">
        <f t="shared" si="54"/>
        <v>REZoning_Sol-Win</v>
      </c>
      <c r="AI346" s="33" t="s">
        <v>3677</v>
      </c>
      <c r="AJ346" s="44" t="s">
        <v>57</v>
      </c>
      <c r="AK346" s="33">
        <v>2050</v>
      </c>
      <c r="AL346" s="45" t="str">
        <f t="shared" si="52"/>
        <v>*0.86</v>
      </c>
      <c r="AM346" s="43" t="str">
        <f t="shared" si="55"/>
        <v>REZoning_Sol-Win</v>
      </c>
      <c r="AP346" t="s">
        <v>3677</v>
      </c>
      <c r="AQ346" t="s">
        <v>57</v>
      </c>
      <c r="AR346">
        <f t="shared" si="53"/>
        <v>2100</v>
      </c>
      <c r="AS346" t="s">
        <v>883</v>
      </c>
      <c r="AT346" t="s">
        <v>58</v>
      </c>
    </row>
    <row r="347" ht="29" spans="1:46">
      <c r="A347" s="31" t="s">
        <v>65</v>
      </c>
      <c r="C347" t="s">
        <v>3678</v>
      </c>
      <c r="D347" s="5" t="s">
        <v>57</v>
      </c>
      <c r="E347">
        <v>2035</v>
      </c>
      <c r="F347" s="6" t="str">
        <f t="shared" si="47"/>
        <v>*0.94</v>
      </c>
      <c r="H347" t="s">
        <v>3678</v>
      </c>
      <c r="I347" s="5" t="s">
        <v>57</v>
      </c>
      <c r="J347">
        <v>2050</v>
      </c>
      <c r="K347" s="38" t="str">
        <f t="shared" si="48"/>
        <v>*0.91</v>
      </c>
      <c r="P347" s="32" t="s">
        <v>3678</v>
      </c>
      <c r="Q347" s="42" t="s">
        <v>57</v>
      </c>
      <c r="R347" s="32">
        <v>2035</v>
      </c>
      <c r="S347" s="43" t="str">
        <f t="shared" si="49"/>
        <v>*0.93</v>
      </c>
      <c r="U347" s="32" t="s">
        <v>3678</v>
      </c>
      <c r="V347" s="42" t="s">
        <v>57</v>
      </c>
      <c r="W347" s="32">
        <v>2050</v>
      </c>
      <c r="X347" s="43" t="str">
        <f t="shared" si="50"/>
        <v>*0.9</v>
      </c>
      <c r="AC347" s="33" t="s">
        <v>3678</v>
      </c>
      <c r="AD347" s="44" t="s">
        <v>57</v>
      </c>
      <c r="AE347" s="33">
        <v>2035</v>
      </c>
      <c r="AF347" s="45" t="str">
        <f t="shared" si="51"/>
        <v>*0.9</v>
      </c>
      <c r="AG347" s="43" t="str">
        <f t="shared" si="54"/>
        <v>REZoning_Sol-Win</v>
      </c>
      <c r="AI347" s="33" t="s">
        <v>3678</v>
      </c>
      <c r="AJ347" s="44" t="s">
        <v>57</v>
      </c>
      <c r="AK347" s="33">
        <v>2050</v>
      </c>
      <c r="AL347" s="45" t="str">
        <f t="shared" si="52"/>
        <v>*0.86</v>
      </c>
      <c r="AM347" s="43" t="str">
        <f t="shared" si="55"/>
        <v>REZoning_Sol-Win</v>
      </c>
      <c r="AP347" t="s">
        <v>3678</v>
      </c>
      <c r="AQ347" t="s">
        <v>57</v>
      </c>
      <c r="AR347">
        <f t="shared" si="53"/>
        <v>2100</v>
      </c>
      <c r="AS347" t="s">
        <v>883</v>
      </c>
      <c r="AT347" t="s">
        <v>58</v>
      </c>
    </row>
    <row r="348" ht="29" spans="1:46">
      <c r="A348" s="31" t="s">
        <v>65</v>
      </c>
      <c r="C348" t="s">
        <v>3679</v>
      </c>
      <c r="D348" s="5" t="s">
        <v>57</v>
      </c>
      <c r="E348">
        <v>2035</v>
      </c>
      <c r="F348" s="6" t="str">
        <f t="shared" si="47"/>
        <v>*0.94</v>
      </c>
      <c r="H348" t="s">
        <v>3679</v>
      </c>
      <c r="I348" s="5" t="s">
        <v>57</v>
      </c>
      <c r="J348">
        <v>2050</v>
      </c>
      <c r="K348" s="38" t="str">
        <f t="shared" si="48"/>
        <v>*0.91</v>
      </c>
      <c r="P348" s="32" t="s">
        <v>3679</v>
      </c>
      <c r="Q348" s="42" t="s">
        <v>57</v>
      </c>
      <c r="R348" s="32">
        <v>2035</v>
      </c>
      <c r="S348" s="43" t="str">
        <f t="shared" si="49"/>
        <v>*0.93</v>
      </c>
      <c r="U348" s="32" t="s">
        <v>3679</v>
      </c>
      <c r="V348" s="42" t="s">
        <v>57</v>
      </c>
      <c r="W348" s="32">
        <v>2050</v>
      </c>
      <c r="X348" s="43" t="str">
        <f t="shared" si="50"/>
        <v>*0.9</v>
      </c>
      <c r="AC348" s="33" t="s">
        <v>3679</v>
      </c>
      <c r="AD348" s="44" t="s">
        <v>57</v>
      </c>
      <c r="AE348" s="33">
        <v>2035</v>
      </c>
      <c r="AF348" s="45" t="str">
        <f t="shared" si="51"/>
        <v>*0.9</v>
      </c>
      <c r="AG348" s="43" t="str">
        <f t="shared" si="54"/>
        <v>REZoning_Sol-Win</v>
      </c>
      <c r="AI348" s="33" t="s">
        <v>3679</v>
      </c>
      <c r="AJ348" s="44" t="s">
        <v>57</v>
      </c>
      <c r="AK348" s="33">
        <v>2050</v>
      </c>
      <c r="AL348" s="45" t="str">
        <f t="shared" si="52"/>
        <v>*0.86</v>
      </c>
      <c r="AM348" s="43" t="str">
        <f t="shared" si="55"/>
        <v>REZoning_Sol-Win</v>
      </c>
      <c r="AP348" t="s">
        <v>3679</v>
      </c>
      <c r="AQ348" t="s">
        <v>57</v>
      </c>
      <c r="AR348">
        <f t="shared" si="53"/>
        <v>2100</v>
      </c>
      <c r="AS348" t="s">
        <v>883</v>
      </c>
      <c r="AT348" t="s">
        <v>58</v>
      </c>
    </row>
    <row r="349" ht="29" spans="1:46">
      <c r="A349" s="31" t="s">
        <v>65</v>
      </c>
      <c r="C349" t="s">
        <v>3680</v>
      </c>
      <c r="D349" s="5" t="s">
        <v>57</v>
      </c>
      <c r="E349">
        <v>2035</v>
      </c>
      <c r="F349" s="6" t="str">
        <f t="shared" si="47"/>
        <v>*0.94</v>
      </c>
      <c r="H349" t="s">
        <v>3680</v>
      </c>
      <c r="I349" s="5" t="s">
        <v>57</v>
      </c>
      <c r="J349">
        <v>2050</v>
      </c>
      <c r="K349" s="38" t="str">
        <f t="shared" si="48"/>
        <v>*0.91</v>
      </c>
      <c r="P349" s="32" t="s">
        <v>3680</v>
      </c>
      <c r="Q349" s="42" t="s">
        <v>57</v>
      </c>
      <c r="R349" s="32">
        <v>2035</v>
      </c>
      <c r="S349" s="43" t="str">
        <f t="shared" si="49"/>
        <v>*0.93</v>
      </c>
      <c r="U349" s="32" t="s">
        <v>3680</v>
      </c>
      <c r="V349" s="42" t="s">
        <v>57</v>
      </c>
      <c r="W349" s="32">
        <v>2050</v>
      </c>
      <c r="X349" s="43" t="str">
        <f t="shared" si="50"/>
        <v>*0.9</v>
      </c>
      <c r="AC349" s="33" t="s">
        <v>3680</v>
      </c>
      <c r="AD349" s="44" t="s">
        <v>57</v>
      </c>
      <c r="AE349" s="33">
        <v>2035</v>
      </c>
      <c r="AF349" s="45" t="str">
        <f t="shared" si="51"/>
        <v>*0.9</v>
      </c>
      <c r="AG349" s="43" t="str">
        <f t="shared" si="54"/>
        <v>REZoning_Sol-Win</v>
      </c>
      <c r="AI349" s="33" t="s">
        <v>3680</v>
      </c>
      <c r="AJ349" s="44" t="s">
        <v>57</v>
      </c>
      <c r="AK349" s="33">
        <v>2050</v>
      </c>
      <c r="AL349" s="45" t="str">
        <f t="shared" si="52"/>
        <v>*0.86</v>
      </c>
      <c r="AM349" s="43" t="str">
        <f t="shared" si="55"/>
        <v>REZoning_Sol-Win</v>
      </c>
      <c r="AP349" t="s">
        <v>3680</v>
      </c>
      <c r="AQ349" t="s">
        <v>57</v>
      </c>
      <c r="AR349">
        <f t="shared" si="53"/>
        <v>2100</v>
      </c>
      <c r="AS349" t="s">
        <v>883</v>
      </c>
      <c r="AT349" t="s">
        <v>58</v>
      </c>
    </row>
    <row r="350" ht="29" spans="1:46">
      <c r="A350" s="31" t="s">
        <v>65</v>
      </c>
      <c r="C350" t="s">
        <v>3681</v>
      </c>
      <c r="D350" s="5" t="s">
        <v>57</v>
      </c>
      <c r="E350">
        <v>2035</v>
      </c>
      <c r="F350" s="6" t="str">
        <f t="shared" si="47"/>
        <v>*0.94</v>
      </c>
      <c r="H350" t="s">
        <v>3681</v>
      </c>
      <c r="I350" s="5" t="s">
        <v>57</v>
      </c>
      <c r="J350">
        <v>2050</v>
      </c>
      <c r="K350" s="38" t="str">
        <f t="shared" si="48"/>
        <v>*0.91</v>
      </c>
      <c r="P350" s="32" t="s">
        <v>3681</v>
      </c>
      <c r="Q350" s="42" t="s">
        <v>57</v>
      </c>
      <c r="R350" s="32">
        <v>2035</v>
      </c>
      <c r="S350" s="43" t="str">
        <f t="shared" si="49"/>
        <v>*0.93</v>
      </c>
      <c r="U350" s="32" t="s">
        <v>3681</v>
      </c>
      <c r="V350" s="42" t="s">
        <v>57</v>
      </c>
      <c r="W350" s="32">
        <v>2050</v>
      </c>
      <c r="X350" s="43" t="str">
        <f t="shared" si="50"/>
        <v>*0.9</v>
      </c>
      <c r="AC350" s="33" t="s">
        <v>3681</v>
      </c>
      <c r="AD350" s="44" t="s">
        <v>57</v>
      </c>
      <c r="AE350" s="33">
        <v>2035</v>
      </c>
      <c r="AF350" s="45" t="str">
        <f t="shared" si="51"/>
        <v>*0.9</v>
      </c>
      <c r="AG350" s="43" t="str">
        <f t="shared" si="54"/>
        <v>REZoning_Sol-Win</v>
      </c>
      <c r="AI350" s="33" t="s">
        <v>3681</v>
      </c>
      <c r="AJ350" s="44" t="s">
        <v>57</v>
      </c>
      <c r="AK350" s="33">
        <v>2050</v>
      </c>
      <c r="AL350" s="45" t="str">
        <f t="shared" si="52"/>
        <v>*0.86</v>
      </c>
      <c r="AM350" s="43" t="str">
        <f t="shared" si="55"/>
        <v>REZoning_Sol-Win</v>
      </c>
      <c r="AP350" t="s">
        <v>3681</v>
      </c>
      <c r="AQ350" t="s">
        <v>57</v>
      </c>
      <c r="AR350">
        <f t="shared" si="53"/>
        <v>2100</v>
      </c>
      <c r="AS350" t="s">
        <v>883</v>
      </c>
      <c r="AT350" t="s">
        <v>58</v>
      </c>
    </row>
    <row r="351" ht="29" spans="1:46">
      <c r="A351" s="31" t="s">
        <v>65</v>
      </c>
      <c r="C351" t="s">
        <v>3682</v>
      </c>
      <c r="D351" s="5" t="s">
        <v>57</v>
      </c>
      <c r="E351">
        <v>2035</v>
      </c>
      <c r="F351" s="6" t="str">
        <f t="shared" si="47"/>
        <v>*0.94</v>
      </c>
      <c r="H351" t="s">
        <v>3682</v>
      </c>
      <c r="I351" s="5" t="s">
        <v>57</v>
      </c>
      <c r="J351">
        <v>2050</v>
      </c>
      <c r="K351" s="38" t="str">
        <f t="shared" si="48"/>
        <v>*0.91</v>
      </c>
      <c r="P351" s="32" t="s">
        <v>3682</v>
      </c>
      <c r="Q351" s="42" t="s">
        <v>57</v>
      </c>
      <c r="R351" s="32">
        <v>2035</v>
      </c>
      <c r="S351" s="43" t="str">
        <f t="shared" si="49"/>
        <v>*0.93</v>
      </c>
      <c r="U351" s="32" t="s">
        <v>3682</v>
      </c>
      <c r="V351" s="42" t="s">
        <v>57</v>
      </c>
      <c r="W351" s="32">
        <v>2050</v>
      </c>
      <c r="X351" s="43" t="str">
        <f t="shared" si="50"/>
        <v>*0.9</v>
      </c>
      <c r="AC351" s="33" t="s">
        <v>3682</v>
      </c>
      <c r="AD351" s="44" t="s">
        <v>57</v>
      </c>
      <c r="AE351" s="33">
        <v>2035</v>
      </c>
      <c r="AF351" s="45" t="str">
        <f t="shared" si="51"/>
        <v>*0.9</v>
      </c>
      <c r="AG351" s="43" t="str">
        <f t="shared" si="54"/>
        <v>REZoning_Sol-Win</v>
      </c>
      <c r="AI351" s="33" t="s">
        <v>3682</v>
      </c>
      <c r="AJ351" s="44" t="s">
        <v>57</v>
      </c>
      <c r="AK351" s="33">
        <v>2050</v>
      </c>
      <c r="AL351" s="45" t="str">
        <f t="shared" si="52"/>
        <v>*0.86</v>
      </c>
      <c r="AM351" s="43" t="str">
        <f t="shared" si="55"/>
        <v>REZoning_Sol-Win</v>
      </c>
      <c r="AP351" t="s">
        <v>3682</v>
      </c>
      <c r="AQ351" t="s">
        <v>57</v>
      </c>
      <c r="AR351">
        <f t="shared" si="53"/>
        <v>2100</v>
      </c>
      <c r="AS351" t="s">
        <v>883</v>
      </c>
      <c r="AT351" t="s">
        <v>58</v>
      </c>
    </row>
    <row r="352" ht="29" spans="1:46">
      <c r="A352" s="31" t="s">
        <v>65</v>
      </c>
      <c r="C352" t="s">
        <v>3683</v>
      </c>
      <c r="D352" s="5" t="s">
        <v>57</v>
      </c>
      <c r="E352">
        <v>2035</v>
      </c>
      <c r="F352" s="6" t="str">
        <f t="shared" si="47"/>
        <v>*0.94</v>
      </c>
      <c r="H352" t="s">
        <v>3683</v>
      </c>
      <c r="I352" s="5" t="s">
        <v>57</v>
      </c>
      <c r="J352">
        <v>2050</v>
      </c>
      <c r="K352" s="38" t="str">
        <f t="shared" si="48"/>
        <v>*0.91</v>
      </c>
      <c r="P352" s="32" t="s">
        <v>3683</v>
      </c>
      <c r="Q352" s="42" t="s">
        <v>57</v>
      </c>
      <c r="R352" s="32">
        <v>2035</v>
      </c>
      <c r="S352" s="43" t="str">
        <f t="shared" si="49"/>
        <v>*0.93</v>
      </c>
      <c r="U352" s="32" t="s">
        <v>3683</v>
      </c>
      <c r="V352" s="42" t="s">
        <v>57</v>
      </c>
      <c r="W352" s="32">
        <v>2050</v>
      </c>
      <c r="X352" s="43" t="str">
        <f t="shared" si="50"/>
        <v>*0.9</v>
      </c>
      <c r="AC352" s="33" t="s">
        <v>3683</v>
      </c>
      <c r="AD352" s="44" t="s">
        <v>57</v>
      </c>
      <c r="AE352" s="33">
        <v>2035</v>
      </c>
      <c r="AF352" s="45" t="str">
        <f t="shared" si="51"/>
        <v>*0.9</v>
      </c>
      <c r="AG352" s="43" t="str">
        <f t="shared" si="54"/>
        <v>REZoning_Sol-Win</v>
      </c>
      <c r="AI352" s="33" t="s">
        <v>3683</v>
      </c>
      <c r="AJ352" s="44" t="s">
        <v>57</v>
      </c>
      <c r="AK352" s="33">
        <v>2050</v>
      </c>
      <c r="AL352" s="45" t="str">
        <f t="shared" si="52"/>
        <v>*0.86</v>
      </c>
      <c r="AM352" s="43" t="str">
        <f t="shared" si="55"/>
        <v>REZoning_Sol-Win</v>
      </c>
      <c r="AP352" t="s">
        <v>3683</v>
      </c>
      <c r="AQ352" t="s">
        <v>57</v>
      </c>
      <c r="AR352">
        <f t="shared" si="53"/>
        <v>2100</v>
      </c>
      <c r="AS352" t="s">
        <v>883</v>
      </c>
      <c r="AT352" t="s">
        <v>58</v>
      </c>
    </row>
    <row r="353" ht="29" spans="1:46">
      <c r="A353" s="31" t="s">
        <v>73</v>
      </c>
      <c r="C353" t="s">
        <v>3684</v>
      </c>
      <c r="D353" s="5" t="s">
        <v>57</v>
      </c>
      <c r="E353">
        <v>2035</v>
      </c>
      <c r="F353" s="6" t="str">
        <f t="shared" si="47"/>
        <v>*0.95</v>
      </c>
      <c r="H353" t="s">
        <v>3684</v>
      </c>
      <c r="I353" s="5" t="s">
        <v>57</v>
      </c>
      <c r="J353">
        <v>2050</v>
      </c>
      <c r="K353" s="38" t="str">
        <f t="shared" si="48"/>
        <v>*0.93</v>
      </c>
      <c r="P353" s="32" t="s">
        <v>3684</v>
      </c>
      <c r="Q353" s="42" t="s">
        <v>57</v>
      </c>
      <c r="R353" s="32">
        <v>2035</v>
      </c>
      <c r="S353" s="43" t="str">
        <f t="shared" si="49"/>
        <v>*0.95</v>
      </c>
      <c r="U353" s="32" t="s">
        <v>3684</v>
      </c>
      <c r="V353" s="42" t="s">
        <v>57</v>
      </c>
      <c r="W353" s="32">
        <v>2050</v>
      </c>
      <c r="X353" s="43" t="str">
        <f t="shared" si="50"/>
        <v>*0.93</v>
      </c>
      <c r="AC353" s="33" t="s">
        <v>3684</v>
      </c>
      <c r="AD353" s="44" t="s">
        <v>57</v>
      </c>
      <c r="AE353" s="33">
        <v>2035</v>
      </c>
      <c r="AF353" s="45" t="str">
        <f t="shared" si="51"/>
        <v>*0.93</v>
      </c>
      <c r="AG353" s="43" t="str">
        <f t="shared" si="54"/>
        <v>REZoning_Sol-Win</v>
      </c>
      <c r="AI353" s="33" t="s">
        <v>3684</v>
      </c>
      <c r="AJ353" s="44" t="s">
        <v>57</v>
      </c>
      <c r="AK353" s="33">
        <v>2050</v>
      </c>
      <c r="AL353" s="45" t="str">
        <f t="shared" si="52"/>
        <v>*0.9</v>
      </c>
      <c r="AM353" s="43" t="str">
        <f t="shared" si="55"/>
        <v>REZoning_Sol-Win</v>
      </c>
      <c r="AP353" t="s">
        <v>3684</v>
      </c>
      <c r="AQ353" t="s">
        <v>57</v>
      </c>
      <c r="AR353">
        <f t="shared" si="53"/>
        <v>2100</v>
      </c>
      <c r="AS353" t="s">
        <v>897</v>
      </c>
      <c r="AT353" t="s">
        <v>58</v>
      </c>
    </row>
    <row r="354" ht="29" spans="1:46">
      <c r="A354" s="31" t="s">
        <v>73</v>
      </c>
      <c r="C354" t="s">
        <v>3685</v>
      </c>
      <c r="D354" s="5" t="s">
        <v>57</v>
      </c>
      <c r="E354">
        <v>2035</v>
      </c>
      <c r="F354" s="6" t="str">
        <f t="shared" si="47"/>
        <v>*0.95</v>
      </c>
      <c r="H354" t="s">
        <v>3685</v>
      </c>
      <c r="I354" s="5" t="s">
        <v>57</v>
      </c>
      <c r="J354">
        <v>2050</v>
      </c>
      <c r="K354" s="38" t="str">
        <f t="shared" si="48"/>
        <v>*0.93</v>
      </c>
      <c r="P354" s="32" t="s">
        <v>3685</v>
      </c>
      <c r="Q354" s="42" t="s">
        <v>57</v>
      </c>
      <c r="R354" s="32">
        <v>2035</v>
      </c>
      <c r="S354" s="43" t="str">
        <f t="shared" si="49"/>
        <v>*0.95</v>
      </c>
      <c r="U354" s="32" t="s">
        <v>3685</v>
      </c>
      <c r="V354" s="42" t="s">
        <v>57</v>
      </c>
      <c r="W354" s="32">
        <v>2050</v>
      </c>
      <c r="X354" s="43" t="str">
        <f t="shared" si="50"/>
        <v>*0.93</v>
      </c>
      <c r="AC354" s="33" t="s">
        <v>3685</v>
      </c>
      <c r="AD354" s="44" t="s">
        <v>57</v>
      </c>
      <c r="AE354" s="33">
        <v>2035</v>
      </c>
      <c r="AF354" s="45" t="str">
        <f t="shared" si="51"/>
        <v>*0.93</v>
      </c>
      <c r="AG354" s="43" t="str">
        <f t="shared" si="54"/>
        <v>REZoning_Sol-Win</v>
      </c>
      <c r="AI354" s="33" t="s">
        <v>3685</v>
      </c>
      <c r="AJ354" s="44" t="s">
        <v>57</v>
      </c>
      <c r="AK354" s="33">
        <v>2050</v>
      </c>
      <c r="AL354" s="45" t="str">
        <f t="shared" si="52"/>
        <v>*0.9</v>
      </c>
      <c r="AM354" s="43" t="str">
        <f t="shared" si="55"/>
        <v>REZoning_Sol-Win</v>
      </c>
      <c r="AP354" t="s">
        <v>3685</v>
      </c>
      <c r="AQ354" t="s">
        <v>57</v>
      </c>
      <c r="AR354">
        <f t="shared" si="53"/>
        <v>2100</v>
      </c>
      <c r="AS354" t="s">
        <v>897</v>
      </c>
      <c r="AT354" t="s">
        <v>58</v>
      </c>
    </row>
    <row r="355" ht="29" spans="1:46">
      <c r="A355" s="31" t="s">
        <v>73</v>
      </c>
      <c r="C355" t="s">
        <v>3686</v>
      </c>
      <c r="D355" s="5" t="s">
        <v>57</v>
      </c>
      <c r="E355">
        <v>2035</v>
      </c>
      <c r="F355" s="6" t="str">
        <f t="shared" si="47"/>
        <v>*0.95</v>
      </c>
      <c r="H355" t="s">
        <v>3686</v>
      </c>
      <c r="I355" s="5" t="s">
        <v>57</v>
      </c>
      <c r="J355">
        <v>2050</v>
      </c>
      <c r="K355" s="38" t="str">
        <f t="shared" si="48"/>
        <v>*0.93</v>
      </c>
      <c r="P355" s="32" t="s">
        <v>3686</v>
      </c>
      <c r="Q355" s="42" t="s">
        <v>57</v>
      </c>
      <c r="R355" s="32">
        <v>2035</v>
      </c>
      <c r="S355" s="43" t="str">
        <f t="shared" si="49"/>
        <v>*0.95</v>
      </c>
      <c r="U355" s="32" t="s">
        <v>3686</v>
      </c>
      <c r="V355" s="42" t="s">
        <v>57</v>
      </c>
      <c r="W355" s="32">
        <v>2050</v>
      </c>
      <c r="X355" s="43" t="str">
        <f t="shared" si="50"/>
        <v>*0.93</v>
      </c>
      <c r="AC355" s="33" t="s">
        <v>3686</v>
      </c>
      <c r="AD355" s="44" t="s">
        <v>57</v>
      </c>
      <c r="AE355" s="33">
        <v>2035</v>
      </c>
      <c r="AF355" s="45" t="str">
        <f t="shared" si="51"/>
        <v>*0.93</v>
      </c>
      <c r="AG355" s="43" t="str">
        <f t="shared" si="54"/>
        <v>REZoning_Sol-Win</v>
      </c>
      <c r="AI355" s="33" t="s">
        <v>3686</v>
      </c>
      <c r="AJ355" s="44" t="s">
        <v>57</v>
      </c>
      <c r="AK355" s="33">
        <v>2050</v>
      </c>
      <c r="AL355" s="45" t="str">
        <f t="shared" si="52"/>
        <v>*0.9</v>
      </c>
      <c r="AM355" s="43" t="str">
        <f t="shared" si="55"/>
        <v>REZoning_Sol-Win</v>
      </c>
      <c r="AP355" t="s">
        <v>3686</v>
      </c>
      <c r="AQ355" t="s">
        <v>57</v>
      </c>
      <c r="AR355">
        <f t="shared" si="53"/>
        <v>2100</v>
      </c>
      <c r="AS355" t="s">
        <v>897</v>
      </c>
      <c r="AT355" t="s">
        <v>58</v>
      </c>
    </row>
    <row r="356" ht="29" spans="1:46">
      <c r="A356" s="31" t="s">
        <v>73</v>
      </c>
      <c r="C356" t="s">
        <v>3687</v>
      </c>
      <c r="D356" s="5" t="s">
        <v>57</v>
      </c>
      <c r="E356">
        <v>2035</v>
      </c>
      <c r="F356" s="6" t="str">
        <f t="shared" si="47"/>
        <v>*0.95</v>
      </c>
      <c r="H356" t="s">
        <v>3687</v>
      </c>
      <c r="I356" s="5" t="s">
        <v>57</v>
      </c>
      <c r="J356">
        <v>2050</v>
      </c>
      <c r="K356" s="38" t="str">
        <f t="shared" si="48"/>
        <v>*0.93</v>
      </c>
      <c r="P356" s="32" t="s">
        <v>3687</v>
      </c>
      <c r="Q356" s="42" t="s">
        <v>57</v>
      </c>
      <c r="R356" s="32">
        <v>2035</v>
      </c>
      <c r="S356" s="43" t="str">
        <f t="shared" si="49"/>
        <v>*0.95</v>
      </c>
      <c r="U356" s="32" t="s">
        <v>3687</v>
      </c>
      <c r="V356" s="42" t="s">
        <v>57</v>
      </c>
      <c r="W356" s="32">
        <v>2050</v>
      </c>
      <c r="X356" s="43" t="str">
        <f t="shared" si="50"/>
        <v>*0.93</v>
      </c>
      <c r="AC356" s="33" t="s">
        <v>3687</v>
      </c>
      <c r="AD356" s="44" t="s">
        <v>57</v>
      </c>
      <c r="AE356" s="33">
        <v>2035</v>
      </c>
      <c r="AF356" s="45" t="str">
        <f t="shared" si="51"/>
        <v>*0.93</v>
      </c>
      <c r="AG356" s="43" t="str">
        <f t="shared" si="54"/>
        <v>REZoning_Sol-Win</v>
      </c>
      <c r="AI356" s="33" t="s">
        <v>3687</v>
      </c>
      <c r="AJ356" s="44" t="s">
        <v>57</v>
      </c>
      <c r="AK356" s="33">
        <v>2050</v>
      </c>
      <c r="AL356" s="45" t="str">
        <f t="shared" si="52"/>
        <v>*0.9</v>
      </c>
      <c r="AM356" s="43" t="str">
        <f t="shared" si="55"/>
        <v>REZoning_Sol-Win</v>
      </c>
      <c r="AP356" t="s">
        <v>3687</v>
      </c>
      <c r="AQ356" t="s">
        <v>57</v>
      </c>
      <c r="AR356">
        <f t="shared" si="53"/>
        <v>2100</v>
      </c>
      <c r="AS356" t="s">
        <v>897</v>
      </c>
      <c r="AT356" t="s">
        <v>58</v>
      </c>
    </row>
    <row r="357" ht="29" spans="1:46">
      <c r="A357" s="31" t="s">
        <v>73</v>
      </c>
      <c r="C357" t="s">
        <v>3688</v>
      </c>
      <c r="D357" s="5" t="s">
        <v>57</v>
      </c>
      <c r="E357">
        <v>2035</v>
      </c>
      <c r="F357" s="6" t="str">
        <f t="shared" si="47"/>
        <v>*0.95</v>
      </c>
      <c r="H357" t="s">
        <v>3688</v>
      </c>
      <c r="I357" s="5" t="s">
        <v>57</v>
      </c>
      <c r="J357">
        <v>2050</v>
      </c>
      <c r="K357" s="38" t="str">
        <f t="shared" si="48"/>
        <v>*0.93</v>
      </c>
      <c r="P357" s="32" t="s">
        <v>3688</v>
      </c>
      <c r="Q357" s="42" t="s">
        <v>57</v>
      </c>
      <c r="R357" s="32">
        <v>2035</v>
      </c>
      <c r="S357" s="43" t="str">
        <f t="shared" si="49"/>
        <v>*0.95</v>
      </c>
      <c r="U357" s="32" t="s">
        <v>3688</v>
      </c>
      <c r="V357" s="42" t="s">
        <v>57</v>
      </c>
      <c r="W357" s="32">
        <v>2050</v>
      </c>
      <c r="X357" s="43" t="str">
        <f t="shared" si="50"/>
        <v>*0.93</v>
      </c>
      <c r="AC357" s="33" t="s">
        <v>3688</v>
      </c>
      <c r="AD357" s="44" t="s">
        <v>57</v>
      </c>
      <c r="AE357" s="33">
        <v>2035</v>
      </c>
      <c r="AF357" s="45" t="str">
        <f t="shared" si="51"/>
        <v>*0.93</v>
      </c>
      <c r="AG357" s="43" t="str">
        <f t="shared" si="54"/>
        <v>REZoning_Sol-Win</v>
      </c>
      <c r="AI357" s="33" t="s">
        <v>3688</v>
      </c>
      <c r="AJ357" s="44" t="s">
        <v>57</v>
      </c>
      <c r="AK357" s="33">
        <v>2050</v>
      </c>
      <c r="AL357" s="45" t="str">
        <f t="shared" si="52"/>
        <v>*0.9</v>
      </c>
      <c r="AM357" s="43" t="str">
        <f t="shared" si="55"/>
        <v>REZoning_Sol-Win</v>
      </c>
      <c r="AP357" t="s">
        <v>3688</v>
      </c>
      <c r="AQ357" t="s">
        <v>57</v>
      </c>
      <c r="AR357">
        <f t="shared" si="53"/>
        <v>2100</v>
      </c>
      <c r="AS357" t="s">
        <v>897</v>
      </c>
      <c r="AT357" t="s">
        <v>58</v>
      </c>
    </row>
    <row r="358" ht="29" spans="1:46">
      <c r="A358" s="31" t="s">
        <v>73</v>
      </c>
      <c r="C358" t="s">
        <v>3689</v>
      </c>
      <c r="D358" s="5" t="s">
        <v>57</v>
      </c>
      <c r="E358">
        <v>2035</v>
      </c>
      <c r="F358" s="6" t="str">
        <f t="shared" si="47"/>
        <v>*0.95</v>
      </c>
      <c r="H358" t="s">
        <v>3689</v>
      </c>
      <c r="I358" s="5" t="s">
        <v>57</v>
      </c>
      <c r="J358">
        <v>2050</v>
      </c>
      <c r="K358" s="38" t="str">
        <f t="shared" si="48"/>
        <v>*0.93</v>
      </c>
      <c r="P358" s="32" t="s">
        <v>3689</v>
      </c>
      <c r="Q358" s="42" t="s">
        <v>57</v>
      </c>
      <c r="R358" s="32">
        <v>2035</v>
      </c>
      <c r="S358" s="43" t="str">
        <f t="shared" si="49"/>
        <v>*0.95</v>
      </c>
      <c r="U358" s="32" t="s">
        <v>3689</v>
      </c>
      <c r="V358" s="42" t="s">
        <v>57</v>
      </c>
      <c r="W358" s="32">
        <v>2050</v>
      </c>
      <c r="X358" s="43" t="str">
        <f t="shared" si="50"/>
        <v>*0.93</v>
      </c>
      <c r="AC358" s="33" t="s">
        <v>3689</v>
      </c>
      <c r="AD358" s="44" t="s">
        <v>57</v>
      </c>
      <c r="AE358" s="33">
        <v>2035</v>
      </c>
      <c r="AF358" s="45" t="str">
        <f t="shared" si="51"/>
        <v>*0.93</v>
      </c>
      <c r="AG358" s="43" t="str">
        <f t="shared" si="54"/>
        <v>REZoning_Sol-Win</v>
      </c>
      <c r="AI358" s="33" t="s">
        <v>3689</v>
      </c>
      <c r="AJ358" s="44" t="s">
        <v>57</v>
      </c>
      <c r="AK358" s="33">
        <v>2050</v>
      </c>
      <c r="AL358" s="45" t="str">
        <f t="shared" si="52"/>
        <v>*0.9</v>
      </c>
      <c r="AM358" s="43" t="str">
        <f t="shared" si="55"/>
        <v>REZoning_Sol-Win</v>
      </c>
      <c r="AP358" t="s">
        <v>3689</v>
      </c>
      <c r="AQ358" t="s">
        <v>57</v>
      </c>
      <c r="AR358">
        <f t="shared" si="53"/>
        <v>2100</v>
      </c>
      <c r="AS358" t="s">
        <v>897</v>
      </c>
      <c r="AT358" t="s">
        <v>58</v>
      </c>
    </row>
    <row r="359" ht="29" spans="1:46">
      <c r="A359" s="31" t="s">
        <v>73</v>
      </c>
      <c r="C359" t="s">
        <v>3690</v>
      </c>
      <c r="D359" s="5" t="s">
        <v>57</v>
      </c>
      <c r="E359">
        <v>2035</v>
      </c>
      <c r="F359" s="6" t="str">
        <f t="shared" si="47"/>
        <v>*0.95</v>
      </c>
      <c r="H359" t="s">
        <v>3690</v>
      </c>
      <c r="I359" s="5" t="s">
        <v>57</v>
      </c>
      <c r="J359">
        <v>2050</v>
      </c>
      <c r="K359" s="38" t="str">
        <f t="shared" si="48"/>
        <v>*0.93</v>
      </c>
      <c r="P359" s="32" t="s">
        <v>3690</v>
      </c>
      <c r="Q359" s="42" t="s">
        <v>57</v>
      </c>
      <c r="R359" s="32">
        <v>2035</v>
      </c>
      <c r="S359" s="43" t="str">
        <f t="shared" si="49"/>
        <v>*0.95</v>
      </c>
      <c r="U359" s="32" t="s">
        <v>3690</v>
      </c>
      <c r="V359" s="42" t="s">
        <v>57</v>
      </c>
      <c r="W359" s="32">
        <v>2050</v>
      </c>
      <c r="X359" s="43" t="str">
        <f t="shared" si="50"/>
        <v>*0.93</v>
      </c>
      <c r="AC359" s="33" t="s">
        <v>3690</v>
      </c>
      <c r="AD359" s="44" t="s">
        <v>57</v>
      </c>
      <c r="AE359" s="33">
        <v>2035</v>
      </c>
      <c r="AF359" s="45" t="str">
        <f t="shared" si="51"/>
        <v>*0.93</v>
      </c>
      <c r="AG359" s="43" t="str">
        <f t="shared" si="54"/>
        <v>REZoning_Sol-Win</v>
      </c>
      <c r="AI359" s="33" t="s">
        <v>3690</v>
      </c>
      <c r="AJ359" s="44" t="s">
        <v>57</v>
      </c>
      <c r="AK359" s="33">
        <v>2050</v>
      </c>
      <c r="AL359" s="45" t="str">
        <f t="shared" si="52"/>
        <v>*0.9</v>
      </c>
      <c r="AM359" s="43" t="str">
        <f t="shared" si="55"/>
        <v>REZoning_Sol-Win</v>
      </c>
      <c r="AP359" t="s">
        <v>3690</v>
      </c>
      <c r="AQ359" t="s">
        <v>57</v>
      </c>
      <c r="AR359">
        <f t="shared" si="53"/>
        <v>2100</v>
      </c>
      <c r="AS359" t="s">
        <v>897</v>
      </c>
      <c r="AT359" t="s">
        <v>58</v>
      </c>
    </row>
    <row r="360" ht="29" spans="1:46">
      <c r="A360" s="31" t="s">
        <v>73</v>
      </c>
      <c r="C360" t="s">
        <v>3691</v>
      </c>
      <c r="D360" s="5" t="s">
        <v>57</v>
      </c>
      <c r="E360">
        <v>2035</v>
      </c>
      <c r="F360" s="6" t="str">
        <f t="shared" si="47"/>
        <v>*0.95</v>
      </c>
      <c r="H360" t="s">
        <v>3691</v>
      </c>
      <c r="I360" s="5" t="s">
        <v>57</v>
      </c>
      <c r="J360">
        <v>2050</v>
      </c>
      <c r="K360" s="38" t="str">
        <f t="shared" si="48"/>
        <v>*0.93</v>
      </c>
      <c r="P360" s="32" t="s">
        <v>3691</v>
      </c>
      <c r="Q360" s="42" t="s">
        <v>57</v>
      </c>
      <c r="R360" s="32">
        <v>2035</v>
      </c>
      <c r="S360" s="43" t="str">
        <f t="shared" si="49"/>
        <v>*0.95</v>
      </c>
      <c r="U360" s="32" t="s">
        <v>3691</v>
      </c>
      <c r="V360" s="42" t="s">
        <v>57</v>
      </c>
      <c r="W360" s="32">
        <v>2050</v>
      </c>
      <c r="X360" s="43" t="str">
        <f t="shared" si="50"/>
        <v>*0.93</v>
      </c>
      <c r="AC360" s="33" t="s">
        <v>3691</v>
      </c>
      <c r="AD360" s="44" t="s">
        <v>57</v>
      </c>
      <c r="AE360" s="33">
        <v>2035</v>
      </c>
      <c r="AF360" s="45" t="str">
        <f t="shared" si="51"/>
        <v>*0.93</v>
      </c>
      <c r="AG360" s="43" t="str">
        <f t="shared" si="54"/>
        <v>REZoning_Sol-Win</v>
      </c>
      <c r="AI360" s="33" t="s">
        <v>3691</v>
      </c>
      <c r="AJ360" s="44" t="s">
        <v>57</v>
      </c>
      <c r="AK360" s="33">
        <v>2050</v>
      </c>
      <c r="AL360" s="45" t="str">
        <f t="shared" si="52"/>
        <v>*0.9</v>
      </c>
      <c r="AM360" s="43" t="str">
        <f t="shared" si="55"/>
        <v>REZoning_Sol-Win</v>
      </c>
      <c r="AP360" t="s">
        <v>3691</v>
      </c>
      <c r="AQ360" t="s">
        <v>57</v>
      </c>
      <c r="AR360">
        <f t="shared" si="53"/>
        <v>2100</v>
      </c>
      <c r="AS360" t="s">
        <v>897</v>
      </c>
      <c r="AT360" t="s">
        <v>58</v>
      </c>
    </row>
    <row r="361" ht="29" spans="1:46">
      <c r="A361" s="31" t="s">
        <v>73</v>
      </c>
      <c r="C361" t="s">
        <v>3692</v>
      </c>
      <c r="D361" s="5" t="s">
        <v>57</v>
      </c>
      <c r="E361">
        <v>2035</v>
      </c>
      <c r="F361" s="6" t="str">
        <f t="shared" si="47"/>
        <v>*0.95</v>
      </c>
      <c r="H361" t="s">
        <v>3692</v>
      </c>
      <c r="I361" s="5" t="s">
        <v>57</v>
      </c>
      <c r="J361">
        <v>2050</v>
      </c>
      <c r="K361" s="38" t="str">
        <f t="shared" si="48"/>
        <v>*0.93</v>
      </c>
      <c r="P361" s="32" t="s">
        <v>3692</v>
      </c>
      <c r="Q361" s="42" t="s">
        <v>57</v>
      </c>
      <c r="R361" s="32">
        <v>2035</v>
      </c>
      <c r="S361" s="43" t="str">
        <f t="shared" si="49"/>
        <v>*0.95</v>
      </c>
      <c r="U361" s="32" t="s">
        <v>3692</v>
      </c>
      <c r="V361" s="42" t="s">
        <v>57</v>
      </c>
      <c r="W361" s="32">
        <v>2050</v>
      </c>
      <c r="X361" s="43" t="str">
        <f t="shared" si="50"/>
        <v>*0.93</v>
      </c>
      <c r="AC361" s="33" t="s">
        <v>3692</v>
      </c>
      <c r="AD361" s="44" t="s">
        <v>57</v>
      </c>
      <c r="AE361" s="33">
        <v>2035</v>
      </c>
      <c r="AF361" s="45" t="str">
        <f t="shared" si="51"/>
        <v>*0.93</v>
      </c>
      <c r="AG361" s="43" t="str">
        <f t="shared" si="54"/>
        <v>REZoning_Sol-Win</v>
      </c>
      <c r="AI361" s="33" t="s">
        <v>3692</v>
      </c>
      <c r="AJ361" s="44" t="s">
        <v>57</v>
      </c>
      <c r="AK361" s="33">
        <v>2050</v>
      </c>
      <c r="AL361" s="45" t="str">
        <f t="shared" si="52"/>
        <v>*0.9</v>
      </c>
      <c r="AM361" s="43" t="str">
        <f t="shared" si="55"/>
        <v>REZoning_Sol-Win</v>
      </c>
      <c r="AP361" t="s">
        <v>3692</v>
      </c>
      <c r="AQ361" t="s">
        <v>57</v>
      </c>
      <c r="AR361">
        <f t="shared" si="53"/>
        <v>2100</v>
      </c>
      <c r="AS361" t="s">
        <v>897</v>
      </c>
      <c r="AT361" t="s">
        <v>58</v>
      </c>
    </row>
    <row r="362" ht="29" spans="1:46">
      <c r="A362" s="31" t="s">
        <v>73</v>
      </c>
      <c r="C362" t="s">
        <v>3693</v>
      </c>
      <c r="D362" s="5" t="s">
        <v>57</v>
      </c>
      <c r="E362">
        <v>2035</v>
      </c>
      <c r="F362" s="6" t="str">
        <f t="shared" si="47"/>
        <v>*0.95</v>
      </c>
      <c r="H362" t="s">
        <v>3693</v>
      </c>
      <c r="I362" s="5" t="s">
        <v>57</v>
      </c>
      <c r="J362">
        <v>2050</v>
      </c>
      <c r="K362" s="38" t="str">
        <f t="shared" si="48"/>
        <v>*0.93</v>
      </c>
      <c r="P362" s="32" t="s">
        <v>3693</v>
      </c>
      <c r="Q362" s="42" t="s">
        <v>57</v>
      </c>
      <c r="R362" s="32">
        <v>2035</v>
      </c>
      <c r="S362" s="43" t="str">
        <f t="shared" si="49"/>
        <v>*0.95</v>
      </c>
      <c r="U362" s="32" t="s">
        <v>3693</v>
      </c>
      <c r="V362" s="42" t="s">
        <v>57</v>
      </c>
      <c r="W362" s="32">
        <v>2050</v>
      </c>
      <c r="X362" s="43" t="str">
        <f t="shared" si="50"/>
        <v>*0.93</v>
      </c>
      <c r="AC362" s="33" t="s">
        <v>3693</v>
      </c>
      <c r="AD362" s="44" t="s">
        <v>57</v>
      </c>
      <c r="AE362" s="33">
        <v>2035</v>
      </c>
      <c r="AF362" s="45" t="str">
        <f t="shared" si="51"/>
        <v>*0.93</v>
      </c>
      <c r="AG362" s="43" t="str">
        <f t="shared" si="54"/>
        <v>REZoning_Sol-Win</v>
      </c>
      <c r="AI362" s="33" t="s">
        <v>3693</v>
      </c>
      <c r="AJ362" s="44" t="s">
        <v>57</v>
      </c>
      <c r="AK362" s="33">
        <v>2050</v>
      </c>
      <c r="AL362" s="45" t="str">
        <f t="shared" si="52"/>
        <v>*0.9</v>
      </c>
      <c r="AM362" s="43" t="str">
        <f t="shared" si="55"/>
        <v>REZoning_Sol-Win</v>
      </c>
      <c r="AP362" t="s">
        <v>3693</v>
      </c>
      <c r="AQ362" t="s">
        <v>57</v>
      </c>
      <c r="AR362">
        <f t="shared" si="53"/>
        <v>2100</v>
      </c>
      <c r="AS362" t="s">
        <v>897</v>
      </c>
      <c r="AT362" t="s">
        <v>58</v>
      </c>
    </row>
    <row r="363" ht="29" spans="1:46">
      <c r="A363" s="31" t="s">
        <v>73</v>
      </c>
      <c r="C363" t="s">
        <v>3694</v>
      </c>
      <c r="D363" s="5" t="s">
        <v>57</v>
      </c>
      <c r="E363">
        <v>2035</v>
      </c>
      <c r="F363" s="6" t="str">
        <f t="shared" si="47"/>
        <v>*0.95</v>
      </c>
      <c r="H363" t="s">
        <v>3694</v>
      </c>
      <c r="I363" s="5" t="s">
        <v>57</v>
      </c>
      <c r="J363">
        <v>2050</v>
      </c>
      <c r="K363" s="38" t="str">
        <f t="shared" si="48"/>
        <v>*0.93</v>
      </c>
      <c r="P363" s="32" t="s">
        <v>3694</v>
      </c>
      <c r="Q363" s="42" t="s">
        <v>57</v>
      </c>
      <c r="R363" s="32">
        <v>2035</v>
      </c>
      <c r="S363" s="43" t="str">
        <f t="shared" si="49"/>
        <v>*0.95</v>
      </c>
      <c r="U363" s="32" t="s">
        <v>3694</v>
      </c>
      <c r="V363" s="42" t="s">
        <v>57</v>
      </c>
      <c r="W363" s="32">
        <v>2050</v>
      </c>
      <c r="X363" s="43" t="str">
        <f t="shared" si="50"/>
        <v>*0.93</v>
      </c>
      <c r="AC363" s="33" t="s">
        <v>3694</v>
      </c>
      <c r="AD363" s="44" t="s">
        <v>57</v>
      </c>
      <c r="AE363" s="33">
        <v>2035</v>
      </c>
      <c r="AF363" s="45" t="str">
        <f t="shared" si="51"/>
        <v>*0.93</v>
      </c>
      <c r="AG363" s="43" t="str">
        <f t="shared" si="54"/>
        <v>REZoning_Sol-Win</v>
      </c>
      <c r="AI363" s="33" t="s">
        <v>3694</v>
      </c>
      <c r="AJ363" s="44" t="s">
        <v>57</v>
      </c>
      <c r="AK363" s="33">
        <v>2050</v>
      </c>
      <c r="AL363" s="45" t="str">
        <f t="shared" si="52"/>
        <v>*0.9</v>
      </c>
      <c r="AM363" s="43" t="str">
        <f t="shared" si="55"/>
        <v>REZoning_Sol-Win</v>
      </c>
      <c r="AP363" t="s">
        <v>3694</v>
      </c>
      <c r="AQ363" t="s">
        <v>57</v>
      </c>
      <c r="AR363">
        <f t="shared" si="53"/>
        <v>2100</v>
      </c>
      <c r="AS363" t="s">
        <v>897</v>
      </c>
      <c r="AT363" t="s">
        <v>58</v>
      </c>
    </row>
    <row r="364" ht="29" spans="1:46">
      <c r="A364" s="31" t="s">
        <v>73</v>
      </c>
      <c r="C364" t="s">
        <v>3695</v>
      </c>
      <c r="D364" s="5" t="s">
        <v>57</v>
      </c>
      <c r="E364">
        <v>2035</v>
      </c>
      <c r="F364" s="6" t="str">
        <f t="shared" si="47"/>
        <v>*0.95</v>
      </c>
      <c r="H364" t="s">
        <v>3695</v>
      </c>
      <c r="I364" s="5" t="s">
        <v>57</v>
      </c>
      <c r="J364">
        <v>2050</v>
      </c>
      <c r="K364" s="38" t="str">
        <f t="shared" si="48"/>
        <v>*0.93</v>
      </c>
      <c r="P364" s="32" t="s">
        <v>3695</v>
      </c>
      <c r="Q364" s="42" t="s">
        <v>57</v>
      </c>
      <c r="R364" s="32">
        <v>2035</v>
      </c>
      <c r="S364" s="43" t="str">
        <f t="shared" si="49"/>
        <v>*0.95</v>
      </c>
      <c r="U364" s="32" t="s">
        <v>3695</v>
      </c>
      <c r="V364" s="42" t="s">
        <v>57</v>
      </c>
      <c r="W364" s="32">
        <v>2050</v>
      </c>
      <c r="X364" s="43" t="str">
        <f t="shared" si="50"/>
        <v>*0.93</v>
      </c>
      <c r="AC364" s="33" t="s">
        <v>3695</v>
      </c>
      <c r="AD364" s="44" t="s">
        <v>57</v>
      </c>
      <c r="AE364" s="33">
        <v>2035</v>
      </c>
      <c r="AF364" s="45" t="str">
        <f t="shared" si="51"/>
        <v>*0.93</v>
      </c>
      <c r="AG364" s="43" t="str">
        <f t="shared" si="54"/>
        <v>REZoning_Sol-Win</v>
      </c>
      <c r="AI364" s="33" t="s">
        <v>3695</v>
      </c>
      <c r="AJ364" s="44" t="s">
        <v>57</v>
      </c>
      <c r="AK364" s="33">
        <v>2050</v>
      </c>
      <c r="AL364" s="45" t="str">
        <f t="shared" si="52"/>
        <v>*0.9</v>
      </c>
      <c r="AM364" s="43" t="str">
        <f t="shared" si="55"/>
        <v>REZoning_Sol-Win</v>
      </c>
      <c r="AP364" t="s">
        <v>3695</v>
      </c>
      <c r="AQ364" t="s">
        <v>57</v>
      </c>
      <c r="AR364">
        <f t="shared" si="53"/>
        <v>2100</v>
      </c>
      <c r="AS364" t="s">
        <v>897</v>
      </c>
      <c r="AT364" t="s">
        <v>58</v>
      </c>
    </row>
    <row r="365" ht="29" spans="1:46">
      <c r="A365" s="31" t="s">
        <v>73</v>
      </c>
      <c r="C365" t="s">
        <v>3696</v>
      </c>
      <c r="D365" s="5" t="s">
        <v>57</v>
      </c>
      <c r="E365">
        <v>2035</v>
      </c>
      <c r="F365" s="6" t="str">
        <f t="shared" si="47"/>
        <v>*0.95</v>
      </c>
      <c r="H365" t="s">
        <v>3696</v>
      </c>
      <c r="I365" s="5" t="s">
        <v>57</v>
      </c>
      <c r="J365">
        <v>2050</v>
      </c>
      <c r="K365" s="38" t="str">
        <f t="shared" si="48"/>
        <v>*0.93</v>
      </c>
      <c r="P365" s="32" t="s">
        <v>3696</v>
      </c>
      <c r="Q365" s="42" t="s">
        <v>57</v>
      </c>
      <c r="R365" s="32">
        <v>2035</v>
      </c>
      <c r="S365" s="43" t="str">
        <f t="shared" si="49"/>
        <v>*0.95</v>
      </c>
      <c r="U365" s="32" t="s">
        <v>3696</v>
      </c>
      <c r="V365" s="42" t="s">
        <v>57</v>
      </c>
      <c r="W365" s="32">
        <v>2050</v>
      </c>
      <c r="X365" s="43" t="str">
        <f t="shared" si="50"/>
        <v>*0.93</v>
      </c>
      <c r="AC365" s="33" t="s">
        <v>3696</v>
      </c>
      <c r="AD365" s="44" t="s">
        <v>57</v>
      </c>
      <c r="AE365" s="33">
        <v>2035</v>
      </c>
      <c r="AF365" s="45" t="str">
        <f t="shared" si="51"/>
        <v>*0.93</v>
      </c>
      <c r="AG365" s="43" t="str">
        <f t="shared" si="54"/>
        <v>REZoning_Sol-Win</v>
      </c>
      <c r="AI365" s="33" t="s">
        <v>3696</v>
      </c>
      <c r="AJ365" s="44" t="s">
        <v>57</v>
      </c>
      <c r="AK365" s="33">
        <v>2050</v>
      </c>
      <c r="AL365" s="45" t="str">
        <f t="shared" si="52"/>
        <v>*0.9</v>
      </c>
      <c r="AM365" s="43" t="str">
        <f t="shared" si="55"/>
        <v>REZoning_Sol-Win</v>
      </c>
      <c r="AP365" t="s">
        <v>3696</v>
      </c>
      <c r="AQ365" t="s">
        <v>57</v>
      </c>
      <c r="AR365">
        <f t="shared" si="53"/>
        <v>2100</v>
      </c>
      <c r="AS365" t="s">
        <v>897</v>
      </c>
      <c r="AT365" t="s">
        <v>58</v>
      </c>
    </row>
    <row r="366" ht="29" spans="1:46">
      <c r="A366" s="31" t="s">
        <v>73</v>
      </c>
      <c r="C366" t="s">
        <v>3697</v>
      </c>
      <c r="D366" s="5" t="s">
        <v>57</v>
      </c>
      <c r="E366">
        <v>2035</v>
      </c>
      <c r="F366" s="6" t="str">
        <f t="shared" si="47"/>
        <v>*0.95</v>
      </c>
      <c r="H366" t="s">
        <v>3697</v>
      </c>
      <c r="I366" s="5" t="s">
        <v>57</v>
      </c>
      <c r="J366">
        <v>2050</v>
      </c>
      <c r="K366" s="38" t="str">
        <f t="shared" si="48"/>
        <v>*0.93</v>
      </c>
      <c r="P366" s="32" t="s">
        <v>3697</v>
      </c>
      <c r="Q366" s="42" t="s">
        <v>57</v>
      </c>
      <c r="R366" s="32">
        <v>2035</v>
      </c>
      <c r="S366" s="43" t="str">
        <f t="shared" si="49"/>
        <v>*0.95</v>
      </c>
      <c r="U366" s="32" t="s">
        <v>3697</v>
      </c>
      <c r="V366" s="42" t="s">
        <v>57</v>
      </c>
      <c r="W366" s="32">
        <v>2050</v>
      </c>
      <c r="X366" s="43" t="str">
        <f t="shared" si="50"/>
        <v>*0.93</v>
      </c>
      <c r="AC366" s="33" t="s">
        <v>3697</v>
      </c>
      <c r="AD366" s="44" t="s">
        <v>57</v>
      </c>
      <c r="AE366" s="33">
        <v>2035</v>
      </c>
      <c r="AF366" s="45" t="str">
        <f t="shared" si="51"/>
        <v>*0.93</v>
      </c>
      <c r="AG366" s="43" t="str">
        <f t="shared" si="54"/>
        <v>REZoning_Sol-Win</v>
      </c>
      <c r="AI366" s="33" t="s">
        <v>3697</v>
      </c>
      <c r="AJ366" s="44" t="s">
        <v>57</v>
      </c>
      <c r="AK366" s="33">
        <v>2050</v>
      </c>
      <c r="AL366" s="45" t="str">
        <f t="shared" si="52"/>
        <v>*0.9</v>
      </c>
      <c r="AM366" s="43" t="str">
        <f t="shared" si="55"/>
        <v>REZoning_Sol-Win</v>
      </c>
      <c r="AP366" t="s">
        <v>3697</v>
      </c>
      <c r="AQ366" t="s">
        <v>57</v>
      </c>
      <c r="AR366">
        <f t="shared" si="53"/>
        <v>2100</v>
      </c>
      <c r="AS366" t="s">
        <v>897</v>
      </c>
      <c r="AT366" t="s">
        <v>58</v>
      </c>
    </row>
    <row r="367" ht="29" spans="1:46">
      <c r="A367" s="31" t="s">
        <v>73</v>
      </c>
      <c r="C367" t="s">
        <v>3698</v>
      </c>
      <c r="D367" s="5" t="s">
        <v>57</v>
      </c>
      <c r="E367">
        <v>2035</v>
      </c>
      <c r="F367" s="6" t="str">
        <f t="shared" si="47"/>
        <v>*0.95</v>
      </c>
      <c r="H367" t="s">
        <v>3698</v>
      </c>
      <c r="I367" s="5" t="s">
        <v>57</v>
      </c>
      <c r="J367">
        <v>2050</v>
      </c>
      <c r="K367" s="38" t="str">
        <f t="shared" si="48"/>
        <v>*0.93</v>
      </c>
      <c r="P367" s="32" t="s">
        <v>3698</v>
      </c>
      <c r="Q367" s="42" t="s">
        <v>57</v>
      </c>
      <c r="R367" s="32">
        <v>2035</v>
      </c>
      <c r="S367" s="43" t="str">
        <f t="shared" si="49"/>
        <v>*0.95</v>
      </c>
      <c r="U367" s="32" t="s">
        <v>3698</v>
      </c>
      <c r="V367" s="42" t="s">
        <v>57</v>
      </c>
      <c r="W367" s="32">
        <v>2050</v>
      </c>
      <c r="X367" s="43" t="str">
        <f t="shared" si="50"/>
        <v>*0.93</v>
      </c>
      <c r="AC367" s="33" t="s">
        <v>3698</v>
      </c>
      <c r="AD367" s="44" t="s">
        <v>57</v>
      </c>
      <c r="AE367" s="33">
        <v>2035</v>
      </c>
      <c r="AF367" s="45" t="str">
        <f t="shared" si="51"/>
        <v>*0.93</v>
      </c>
      <c r="AG367" s="43" t="str">
        <f t="shared" si="54"/>
        <v>REZoning_Sol-Win</v>
      </c>
      <c r="AI367" s="33" t="s">
        <v>3698</v>
      </c>
      <c r="AJ367" s="44" t="s">
        <v>57</v>
      </c>
      <c r="AK367" s="33">
        <v>2050</v>
      </c>
      <c r="AL367" s="45" t="str">
        <f t="shared" si="52"/>
        <v>*0.9</v>
      </c>
      <c r="AM367" s="43" t="str">
        <f t="shared" si="55"/>
        <v>REZoning_Sol-Win</v>
      </c>
      <c r="AP367" t="s">
        <v>3698</v>
      </c>
      <c r="AQ367" t="s">
        <v>57</v>
      </c>
      <c r="AR367">
        <f t="shared" si="53"/>
        <v>2100</v>
      </c>
      <c r="AS367" t="s">
        <v>897</v>
      </c>
      <c r="AT367" t="s">
        <v>58</v>
      </c>
    </row>
    <row r="368" ht="29" spans="1:46">
      <c r="A368" s="31" t="s">
        <v>73</v>
      </c>
      <c r="C368" t="s">
        <v>3699</v>
      </c>
      <c r="D368" s="5" t="s">
        <v>57</v>
      </c>
      <c r="E368">
        <v>2035</v>
      </c>
      <c r="F368" s="6" t="str">
        <f t="shared" si="47"/>
        <v>*0.95</v>
      </c>
      <c r="H368" t="s">
        <v>3699</v>
      </c>
      <c r="I368" s="5" t="s">
        <v>57</v>
      </c>
      <c r="J368">
        <v>2050</v>
      </c>
      <c r="K368" s="38" t="str">
        <f t="shared" si="48"/>
        <v>*0.93</v>
      </c>
      <c r="P368" s="32" t="s">
        <v>3699</v>
      </c>
      <c r="Q368" s="42" t="s">
        <v>57</v>
      </c>
      <c r="R368" s="32">
        <v>2035</v>
      </c>
      <c r="S368" s="43" t="str">
        <f t="shared" si="49"/>
        <v>*0.95</v>
      </c>
      <c r="U368" s="32" t="s">
        <v>3699</v>
      </c>
      <c r="V368" s="42" t="s">
        <v>57</v>
      </c>
      <c r="W368" s="32">
        <v>2050</v>
      </c>
      <c r="X368" s="43" t="str">
        <f t="shared" si="50"/>
        <v>*0.93</v>
      </c>
      <c r="AC368" s="33" t="s">
        <v>3699</v>
      </c>
      <c r="AD368" s="44" t="s">
        <v>57</v>
      </c>
      <c r="AE368" s="33">
        <v>2035</v>
      </c>
      <c r="AF368" s="45" t="str">
        <f t="shared" si="51"/>
        <v>*0.93</v>
      </c>
      <c r="AG368" s="43" t="str">
        <f t="shared" si="54"/>
        <v>REZoning_Sol-Win</v>
      </c>
      <c r="AI368" s="33" t="s">
        <v>3699</v>
      </c>
      <c r="AJ368" s="44" t="s">
        <v>57</v>
      </c>
      <c r="AK368" s="33">
        <v>2050</v>
      </c>
      <c r="AL368" s="45" t="str">
        <f t="shared" si="52"/>
        <v>*0.9</v>
      </c>
      <c r="AM368" s="43" t="str">
        <f t="shared" si="55"/>
        <v>REZoning_Sol-Win</v>
      </c>
      <c r="AP368" t="s">
        <v>3699</v>
      </c>
      <c r="AQ368" t="s">
        <v>57</v>
      </c>
      <c r="AR368">
        <f t="shared" si="53"/>
        <v>2100</v>
      </c>
      <c r="AS368" t="s">
        <v>897</v>
      </c>
      <c r="AT368" t="s">
        <v>58</v>
      </c>
    </row>
    <row r="369" ht="29" spans="1:46">
      <c r="A369" s="31" t="s">
        <v>73</v>
      </c>
      <c r="C369" t="s">
        <v>3700</v>
      </c>
      <c r="D369" s="5" t="s">
        <v>57</v>
      </c>
      <c r="E369">
        <v>2035</v>
      </c>
      <c r="F369" s="6" t="str">
        <f t="shared" si="47"/>
        <v>*0.95</v>
      </c>
      <c r="H369" t="s">
        <v>3700</v>
      </c>
      <c r="I369" s="5" t="s">
        <v>57</v>
      </c>
      <c r="J369">
        <v>2050</v>
      </c>
      <c r="K369" s="38" t="str">
        <f t="shared" si="48"/>
        <v>*0.93</v>
      </c>
      <c r="P369" s="32" t="s">
        <v>3700</v>
      </c>
      <c r="Q369" s="42" t="s">
        <v>57</v>
      </c>
      <c r="R369" s="32">
        <v>2035</v>
      </c>
      <c r="S369" s="43" t="str">
        <f t="shared" si="49"/>
        <v>*0.95</v>
      </c>
      <c r="U369" s="32" t="s">
        <v>3700</v>
      </c>
      <c r="V369" s="42" t="s">
        <v>57</v>
      </c>
      <c r="W369" s="32">
        <v>2050</v>
      </c>
      <c r="X369" s="43" t="str">
        <f t="shared" si="50"/>
        <v>*0.93</v>
      </c>
      <c r="AC369" s="33" t="s">
        <v>3700</v>
      </c>
      <c r="AD369" s="44" t="s">
        <v>57</v>
      </c>
      <c r="AE369" s="33">
        <v>2035</v>
      </c>
      <c r="AF369" s="45" t="str">
        <f t="shared" si="51"/>
        <v>*0.93</v>
      </c>
      <c r="AG369" s="43" t="str">
        <f t="shared" si="54"/>
        <v>REZoning_Sol-Win</v>
      </c>
      <c r="AI369" s="33" t="s">
        <v>3700</v>
      </c>
      <c r="AJ369" s="44" t="s">
        <v>57</v>
      </c>
      <c r="AK369" s="33">
        <v>2050</v>
      </c>
      <c r="AL369" s="45" t="str">
        <f t="shared" si="52"/>
        <v>*0.9</v>
      </c>
      <c r="AM369" s="43" t="str">
        <f t="shared" si="55"/>
        <v>REZoning_Sol-Win</v>
      </c>
      <c r="AP369" t="s">
        <v>3700</v>
      </c>
      <c r="AQ369" t="s">
        <v>57</v>
      </c>
      <c r="AR369">
        <f t="shared" si="53"/>
        <v>2100</v>
      </c>
      <c r="AS369" t="s">
        <v>897</v>
      </c>
      <c r="AT369" t="s">
        <v>58</v>
      </c>
    </row>
    <row r="370" ht="29" spans="1:46">
      <c r="A370" s="31" t="s">
        <v>73</v>
      </c>
      <c r="C370" t="s">
        <v>3701</v>
      </c>
      <c r="D370" s="5" t="s">
        <v>57</v>
      </c>
      <c r="E370">
        <v>2035</v>
      </c>
      <c r="F370" s="6" t="str">
        <f t="shared" si="47"/>
        <v>*0.95</v>
      </c>
      <c r="H370" t="s">
        <v>3701</v>
      </c>
      <c r="I370" s="5" t="s">
        <v>57</v>
      </c>
      <c r="J370">
        <v>2050</v>
      </c>
      <c r="K370" s="38" t="str">
        <f t="shared" si="48"/>
        <v>*0.93</v>
      </c>
      <c r="P370" s="32" t="s">
        <v>3701</v>
      </c>
      <c r="Q370" s="42" t="s">
        <v>57</v>
      </c>
      <c r="R370" s="32">
        <v>2035</v>
      </c>
      <c r="S370" s="43" t="str">
        <f t="shared" si="49"/>
        <v>*0.95</v>
      </c>
      <c r="U370" s="32" t="s">
        <v>3701</v>
      </c>
      <c r="V370" s="42" t="s">
        <v>57</v>
      </c>
      <c r="W370" s="32">
        <v>2050</v>
      </c>
      <c r="X370" s="43" t="str">
        <f t="shared" si="50"/>
        <v>*0.93</v>
      </c>
      <c r="AC370" s="33" t="s">
        <v>3701</v>
      </c>
      <c r="AD370" s="44" t="s">
        <v>57</v>
      </c>
      <c r="AE370" s="33">
        <v>2035</v>
      </c>
      <c r="AF370" s="45" t="str">
        <f t="shared" si="51"/>
        <v>*0.93</v>
      </c>
      <c r="AG370" s="43" t="str">
        <f t="shared" si="54"/>
        <v>REZoning_Sol-Win</v>
      </c>
      <c r="AI370" s="33" t="s">
        <v>3701</v>
      </c>
      <c r="AJ370" s="44" t="s">
        <v>57</v>
      </c>
      <c r="AK370" s="33">
        <v>2050</v>
      </c>
      <c r="AL370" s="45" t="str">
        <f t="shared" si="52"/>
        <v>*0.9</v>
      </c>
      <c r="AM370" s="43" t="str">
        <f t="shared" si="55"/>
        <v>REZoning_Sol-Win</v>
      </c>
      <c r="AP370" t="s">
        <v>3701</v>
      </c>
      <c r="AQ370" t="s">
        <v>57</v>
      </c>
      <c r="AR370">
        <f t="shared" si="53"/>
        <v>2100</v>
      </c>
      <c r="AS370" t="s">
        <v>897</v>
      </c>
      <c r="AT370" t="s">
        <v>58</v>
      </c>
    </row>
    <row r="371" ht="29" spans="1:46">
      <c r="A371" s="31" t="s">
        <v>73</v>
      </c>
      <c r="C371" t="s">
        <v>3702</v>
      </c>
      <c r="D371" s="5" t="s">
        <v>57</v>
      </c>
      <c r="E371">
        <v>2035</v>
      </c>
      <c r="F371" s="6" t="str">
        <f t="shared" si="47"/>
        <v>*0.95</v>
      </c>
      <c r="H371" t="s">
        <v>3702</v>
      </c>
      <c r="I371" s="5" t="s">
        <v>57</v>
      </c>
      <c r="J371">
        <v>2050</v>
      </c>
      <c r="K371" s="38" t="str">
        <f t="shared" si="48"/>
        <v>*0.93</v>
      </c>
      <c r="P371" s="32" t="s">
        <v>3702</v>
      </c>
      <c r="Q371" s="42" t="s">
        <v>57</v>
      </c>
      <c r="R371" s="32">
        <v>2035</v>
      </c>
      <c r="S371" s="43" t="str">
        <f t="shared" si="49"/>
        <v>*0.95</v>
      </c>
      <c r="U371" s="32" t="s">
        <v>3702</v>
      </c>
      <c r="V371" s="42" t="s">
        <v>57</v>
      </c>
      <c r="W371" s="32">
        <v>2050</v>
      </c>
      <c r="X371" s="43" t="str">
        <f t="shared" si="50"/>
        <v>*0.93</v>
      </c>
      <c r="AC371" s="33" t="s">
        <v>3702</v>
      </c>
      <c r="AD371" s="44" t="s">
        <v>57</v>
      </c>
      <c r="AE371" s="33">
        <v>2035</v>
      </c>
      <c r="AF371" s="45" t="str">
        <f t="shared" si="51"/>
        <v>*0.93</v>
      </c>
      <c r="AG371" s="43" t="str">
        <f t="shared" si="54"/>
        <v>REZoning_Sol-Win</v>
      </c>
      <c r="AI371" s="33" t="s">
        <v>3702</v>
      </c>
      <c r="AJ371" s="44" t="s">
        <v>57</v>
      </c>
      <c r="AK371" s="33">
        <v>2050</v>
      </c>
      <c r="AL371" s="45" t="str">
        <f t="shared" si="52"/>
        <v>*0.9</v>
      </c>
      <c r="AM371" s="43" t="str">
        <f t="shared" si="55"/>
        <v>REZoning_Sol-Win</v>
      </c>
      <c r="AP371" t="s">
        <v>3702</v>
      </c>
      <c r="AQ371" t="s">
        <v>57</v>
      </c>
      <c r="AR371">
        <f t="shared" si="53"/>
        <v>2100</v>
      </c>
      <c r="AS371" t="s">
        <v>897</v>
      </c>
      <c r="AT371" t="s">
        <v>58</v>
      </c>
    </row>
    <row r="372" ht="29" spans="1:46">
      <c r="A372" s="31" t="s">
        <v>73</v>
      </c>
      <c r="C372" t="s">
        <v>3703</v>
      </c>
      <c r="D372" s="5" t="s">
        <v>57</v>
      </c>
      <c r="E372">
        <v>2035</v>
      </c>
      <c r="F372" s="6" t="str">
        <f t="shared" si="47"/>
        <v>*0.95</v>
      </c>
      <c r="H372" t="s">
        <v>3703</v>
      </c>
      <c r="I372" s="5" t="s">
        <v>57</v>
      </c>
      <c r="J372">
        <v>2050</v>
      </c>
      <c r="K372" s="38" t="str">
        <f t="shared" si="48"/>
        <v>*0.93</v>
      </c>
      <c r="P372" s="32" t="s">
        <v>3703</v>
      </c>
      <c r="Q372" s="42" t="s">
        <v>57</v>
      </c>
      <c r="R372" s="32">
        <v>2035</v>
      </c>
      <c r="S372" s="43" t="str">
        <f t="shared" si="49"/>
        <v>*0.95</v>
      </c>
      <c r="U372" s="32" t="s">
        <v>3703</v>
      </c>
      <c r="V372" s="42" t="s">
        <v>57</v>
      </c>
      <c r="W372" s="32">
        <v>2050</v>
      </c>
      <c r="X372" s="43" t="str">
        <f t="shared" si="50"/>
        <v>*0.93</v>
      </c>
      <c r="AC372" s="33" t="s">
        <v>3703</v>
      </c>
      <c r="AD372" s="44" t="s">
        <v>57</v>
      </c>
      <c r="AE372" s="33">
        <v>2035</v>
      </c>
      <c r="AF372" s="45" t="str">
        <f t="shared" si="51"/>
        <v>*0.93</v>
      </c>
      <c r="AG372" s="43" t="str">
        <f t="shared" si="54"/>
        <v>REZoning_Sol-Win</v>
      </c>
      <c r="AI372" s="33" t="s">
        <v>3703</v>
      </c>
      <c r="AJ372" s="44" t="s">
        <v>57</v>
      </c>
      <c r="AK372" s="33">
        <v>2050</v>
      </c>
      <c r="AL372" s="45" t="str">
        <f t="shared" si="52"/>
        <v>*0.9</v>
      </c>
      <c r="AM372" s="43" t="str">
        <f t="shared" si="55"/>
        <v>REZoning_Sol-Win</v>
      </c>
      <c r="AP372" t="s">
        <v>3703</v>
      </c>
      <c r="AQ372" t="s">
        <v>57</v>
      </c>
      <c r="AR372">
        <f t="shared" si="53"/>
        <v>2100</v>
      </c>
      <c r="AS372" t="s">
        <v>897</v>
      </c>
      <c r="AT372" t="s">
        <v>58</v>
      </c>
    </row>
    <row r="373" ht="29" spans="1:46">
      <c r="A373" s="31" t="s">
        <v>73</v>
      </c>
      <c r="C373" t="s">
        <v>3704</v>
      </c>
      <c r="D373" s="5" t="s">
        <v>57</v>
      </c>
      <c r="E373">
        <v>2035</v>
      </c>
      <c r="F373" s="6" t="str">
        <f t="shared" si="47"/>
        <v>*0.95</v>
      </c>
      <c r="H373" t="s">
        <v>3704</v>
      </c>
      <c r="I373" s="5" t="s">
        <v>57</v>
      </c>
      <c r="J373">
        <v>2050</v>
      </c>
      <c r="K373" s="38" t="str">
        <f t="shared" si="48"/>
        <v>*0.93</v>
      </c>
      <c r="P373" s="32" t="s">
        <v>3704</v>
      </c>
      <c r="Q373" s="42" t="s">
        <v>57</v>
      </c>
      <c r="R373" s="32">
        <v>2035</v>
      </c>
      <c r="S373" s="43" t="str">
        <f t="shared" si="49"/>
        <v>*0.95</v>
      </c>
      <c r="U373" s="32" t="s">
        <v>3704</v>
      </c>
      <c r="V373" s="42" t="s">
        <v>57</v>
      </c>
      <c r="W373" s="32">
        <v>2050</v>
      </c>
      <c r="X373" s="43" t="str">
        <f t="shared" si="50"/>
        <v>*0.93</v>
      </c>
      <c r="AC373" s="33" t="s">
        <v>3704</v>
      </c>
      <c r="AD373" s="44" t="s">
        <v>57</v>
      </c>
      <c r="AE373" s="33">
        <v>2035</v>
      </c>
      <c r="AF373" s="45" t="str">
        <f t="shared" si="51"/>
        <v>*0.93</v>
      </c>
      <c r="AG373" s="43" t="str">
        <f t="shared" si="54"/>
        <v>REZoning_Sol-Win</v>
      </c>
      <c r="AI373" s="33" t="s">
        <v>3704</v>
      </c>
      <c r="AJ373" s="44" t="s">
        <v>57</v>
      </c>
      <c r="AK373" s="33">
        <v>2050</v>
      </c>
      <c r="AL373" s="45" t="str">
        <f t="shared" si="52"/>
        <v>*0.9</v>
      </c>
      <c r="AM373" s="43" t="str">
        <f t="shared" si="55"/>
        <v>REZoning_Sol-Win</v>
      </c>
      <c r="AP373" t="s">
        <v>3704</v>
      </c>
      <c r="AQ373" t="s">
        <v>57</v>
      </c>
      <c r="AR373">
        <f t="shared" si="53"/>
        <v>2100</v>
      </c>
      <c r="AS373" t="s">
        <v>897</v>
      </c>
      <c r="AT373" t="s">
        <v>58</v>
      </c>
    </row>
    <row r="374" ht="29" spans="1:46">
      <c r="A374" s="31" t="s">
        <v>73</v>
      </c>
      <c r="C374" t="s">
        <v>3705</v>
      </c>
      <c r="D374" s="5" t="s">
        <v>57</v>
      </c>
      <c r="E374">
        <v>2035</v>
      </c>
      <c r="F374" s="6" t="str">
        <f t="shared" si="47"/>
        <v>*0.95</v>
      </c>
      <c r="H374" t="s">
        <v>3705</v>
      </c>
      <c r="I374" s="5" t="s">
        <v>57</v>
      </c>
      <c r="J374">
        <v>2050</v>
      </c>
      <c r="K374" s="38" t="str">
        <f t="shared" si="48"/>
        <v>*0.93</v>
      </c>
      <c r="P374" s="32" t="s">
        <v>3705</v>
      </c>
      <c r="Q374" s="42" t="s">
        <v>57</v>
      </c>
      <c r="R374" s="32">
        <v>2035</v>
      </c>
      <c r="S374" s="43" t="str">
        <f t="shared" si="49"/>
        <v>*0.95</v>
      </c>
      <c r="U374" s="32" t="s">
        <v>3705</v>
      </c>
      <c r="V374" s="42" t="s">
        <v>57</v>
      </c>
      <c r="W374" s="32">
        <v>2050</v>
      </c>
      <c r="X374" s="43" t="str">
        <f t="shared" si="50"/>
        <v>*0.93</v>
      </c>
      <c r="AC374" s="33" t="s">
        <v>3705</v>
      </c>
      <c r="AD374" s="44" t="s">
        <v>57</v>
      </c>
      <c r="AE374" s="33">
        <v>2035</v>
      </c>
      <c r="AF374" s="45" t="str">
        <f t="shared" si="51"/>
        <v>*0.93</v>
      </c>
      <c r="AG374" s="43" t="str">
        <f t="shared" si="54"/>
        <v>REZoning_Sol-Win</v>
      </c>
      <c r="AI374" s="33" t="s">
        <v>3705</v>
      </c>
      <c r="AJ374" s="44" t="s">
        <v>57</v>
      </c>
      <c r="AK374" s="33">
        <v>2050</v>
      </c>
      <c r="AL374" s="45" t="str">
        <f t="shared" si="52"/>
        <v>*0.9</v>
      </c>
      <c r="AM374" s="43" t="str">
        <f t="shared" si="55"/>
        <v>REZoning_Sol-Win</v>
      </c>
      <c r="AP374" t="s">
        <v>3705</v>
      </c>
      <c r="AQ374" t="s">
        <v>57</v>
      </c>
      <c r="AR374">
        <f t="shared" si="53"/>
        <v>2100</v>
      </c>
      <c r="AS374" t="s">
        <v>897</v>
      </c>
      <c r="AT374" t="s">
        <v>58</v>
      </c>
    </row>
    <row r="375" ht="29" spans="1:46">
      <c r="A375" s="31" t="s">
        <v>73</v>
      </c>
      <c r="C375" t="s">
        <v>3706</v>
      </c>
      <c r="D375" s="5" t="s">
        <v>57</v>
      </c>
      <c r="E375">
        <v>2035</v>
      </c>
      <c r="F375" s="6" t="str">
        <f t="shared" si="47"/>
        <v>*0.95</v>
      </c>
      <c r="H375" t="s">
        <v>3706</v>
      </c>
      <c r="I375" s="5" t="s">
        <v>57</v>
      </c>
      <c r="J375">
        <v>2050</v>
      </c>
      <c r="K375" s="38" t="str">
        <f t="shared" si="48"/>
        <v>*0.93</v>
      </c>
      <c r="P375" s="32" t="s">
        <v>3706</v>
      </c>
      <c r="Q375" s="42" t="s">
        <v>57</v>
      </c>
      <c r="R375" s="32">
        <v>2035</v>
      </c>
      <c r="S375" s="43" t="str">
        <f t="shared" si="49"/>
        <v>*0.95</v>
      </c>
      <c r="U375" s="32" t="s">
        <v>3706</v>
      </c>
      <c r="V375" s="42" t="s">
        <v>57</v>
      </c>
      <c r="W375" s="32">
        <v>2050</v>
      </c>
      <c r="X375" s="43" t="str">
        <f t="shared" si="50"/>
        <v>*0.93</v>
      </c>
      <c r="AC375" s="33" t="s">
        <v>3706</v>
      </c>
      <c r="AD375" s="44" t="s">
        <v>57</v>
      </c>
      <c r="AE375" s="33">
        <v>2035</v>
      </c>
      <c r="AF375" s="45" t="str">
        <f t="shared" si="51"/>
        <v>*0.93</v>
      </c>
      <c r="AG375" s="43" t="str">
        <f t="shared" si="54"/>
        <v>REZoning_Sol-Win</v>
      </c>
      <c r="AI375" s="33" t="s">
        <v>3706</v>
      </c>
      <c r="AJ375" s="44" t="s">
        <v>57</v>
      </c>
      <c r="AK375" s="33">
        <v>2050</v>
      </c>
      <c r="AL375" s="45" t="str">
        <f t="shared" si="52"/>
        <v>*0.9</v>
      </c>
      <c r="AM375" s="43" t="str">
        <f t="shared" si="55"/>
        <v>REZoning_Sol-Win</v>
      </c>
      <c r="AP375" t="s">
        <v>3706</v>
      </c>
      <c r="AQ375" t="s">
        <v>57</v>
      </c>
      <c r="AR375">
        <f t="shared" si="53"/>
        <v>2100</v>
      </c>
      <c r="AS375" t="s">
        <v>897</v>
      </c>
      <c r="AT375" t="s">
        <v>58</v>
      </c>
    </row>
    <row r="376" ht="29" spans="1:46">
      <c r="A376" s="31" t="s">
        <v>73</v>
      </c>
      <c r="C376" t="s">
        <v>3707</v>
      </c>
      <c r="D376" s="5" t="s">
        <v>57</v>
      </c>
      <c r="E376">
        <v>2035</v>
      </c>
      <c r="F376" s="6" t="str">
        <f t="shared" si="47"/>
        <v>*0.95</v>
      </c>
      <c r="H376" t="s">
        <v>3707</v>
      </c>
      <c r="I376" s="5" t="s">
        <v>57</v>
      </c>
      <c r="J376">
        <v>2050</v>
      </c>
      <c r="K376" s="38" t="str">
        <f t="shared" si="48"/>
        <v>*0.93</v>
      </c>
      <c r="P376" s="32" t="s">
        <v>3707</v>
      </c>
      <c r="Q376" s="42" t="s">
        <v>57</v>
      </c>
      <c r="R376" s="32">
        <v>2035</v>
      </c>
      <c r="S376" s="43" t="str">
        <f t="shared" si="49"/>
        <v>*0.95</v>
      </c>
      <c r="U376" s="32" t="s">
        <v>3707</v>
      </c>
      <c r="V376" s="42" t="s">
        <v>57</v>
      </c>
      <c r="W376" s="32">
        <v>2050</v>
      </c>
      <c r="X376" s="43" t="str">
        <f t="shared" si="50"/>
        <v>*0.93</v>
      </c>
      <c r="AC376" s="33" t="s">
        <v>3707</v>
      </c>
      <c r="AD376" s="44" t="s">
        <v>57</v>
      </c>
      <c r="AE376" s="33">
        <v>2035</v>
      </c>
      <c r="AF376" s="45" t="str">
        <f t="shared" si="51"/>
        <v>*0.93</v>
      </c>
      <c r="AG376" s="43" t="str">
        <f t="shared" si="54"/>
        <v>REZoning_Sol-Win</v>
      </c>
      <c r="AI376" s="33" t="s">
        <v>3707</v>
      </c>
      <c r="AJ376" s="44" t="s">
        <v>57</v>
      </c>
      <c r="AK376" s="33">
        <v>2050</v>
      </c>
      <c r="AL376" s="45" t="str">
        <f t="shared" si="52"/>
        <v>*0.9</v>
      </c>
      <c r="AM376" s="43" t="str">
        <f t="shared" si="55"/>
        <v>REZoning_Sol-Win</v>
      </c>
      <c r="AP376" t="s">
        <v>3707</v>
      </c>
      <c r="AQ376" t="s">
        <v>57</v>
      </c>
      <c r="AR376">
        <f t="shared" si="53"/>
        <v>2100</v>
      </c>
      <c r="AS376" t="s">
        <v>897</v>
      </c>
      <c r="AT376" t="s">
        <v>58</v>
      </c>
    </row>
    <row r="377" ht="29" spans="1:46">
      <c r="A377" s="31" t="s">
        <v>73</v>
      </c>
      <c r="C377" t="s">
        <v>3708</v>
      </c>
      <c r="D377" s="5" t="s">
        <v>57</v>
      </c>
      <c r="E377">
        <v>2035</v>
      </c>
      <c r="F377" s="6" t="str">
        <f t="shared" si="47"/>
        <v>*0.95</v>
      </c>
      <c r="H377" t="s">
        <v>3708</v>
      </c>
      <c r="I377" s="5" t="s">
        <v>57</v>
      </c>
      <c r="J377">
        <v>2050</v>
      </c>
      <c r="K377" s="38" t="str">
        <f t="shared" si="48"/>
        <v>*0.93</v>
      </c>
      <c r="P377" s="32" t="s">
        <v>3708</v>
      </c>
      <c r="Q377" s="42" t="s">
        <v>57</v>
      </c>
      <c r="R377" s="32">
        <v>2035</v>
      </c>
      <c r="S377" s="43" t="str">
        <f t="shared" si="49"/>
        <v>*0.95</v>
      </c>
      <c r="U377" s="32" t="s">
        <v>3708</v>
      </c>
      <c r="V377" s="42" t="s">
        <v>57</v>
      </c>
      <c r="W377" s="32">
        <v>2050</v>
      </c>
      <c r="X377" s="43" t="str">
        <f t="shared" si="50"/>
        <v>*0.93</v>
      </c>
      <c r="AC377" s="33" t="s">
        <v>3708</v>
      </c>
      <c r="AD377" s="44" t="s">
        <v>57</v>
      </c>
      <c r="AE377" s="33">
        <v>2035</v>
      </c>
      <c r="AF377" s="45" t="str">
        <f t="shared" si="51"/>
        <v>*0.93</v>
      </c>
      <c r="AG377" s="43" t="str">
        <f t="shared" si="54"/>
        <v>REZoning_Sol-Win</v>
      </c>
      <c r="AI377" s="33" t="s">
        <v>3708</v>
      </c>
      <c r="AJ377" s="44" t="s">
        <v>57</v>
      </c>
      <c r="AK377" s="33">
        <v>2050</v>
      </c>
      <c r="AL377" s="45" t="str">
        <f t="shared" si="52"/>
        <v>*0.9</v>
      </c>
      <c r="AM377" s="43" t="str">
        <f t="shared" si="55"/>
        <v>REZoning_Sol-Win</v>
      </c>
      <c r="AP377" t="s">
        <v>3708</v>
      </c>
      <c r="AQ377" t="s">
        <v>57</v>
      </c>
      <c r="AR377">
        <f t="shared" si="53"/>
        <v>2100</v>
      </c>
      <c r="AS377" t="s">
        <v>897</v>
      </c>
      <c r="AT377" t="s">
        <v>58</v>
      </c>
    </row>
    <row r="378" ht="29" spans="1:46">
      <c r="A378" s="31" t="s">
        <v>73</v>
      </c>
      <c r="C378" t="s">
        <v>3709</v>
      </c>
      <c r="D378" s="5" t="s">
        <v>57</v>
      </c>
      <c r="E378">
        <v>2035</v>
      </c>
      <c r="F378" s="6" t="str">
        <f t="shared" si="47"/>
        <v>*0.95</v>
      </c>
      <c r="H378" t="s">
        <v>3709</v>
      </c>
      <c r="I378" s="5" t="s">
        <v>57</v>
      </c>
      <c r="J378">
        <v>2050</v>
      </c>
      <c r="K378" s="38" t="str">
        <f t="shared" si="48"/>
        <v>*0.93</v>
      </c>
      <c r="P378" s="32" t="s">
        <v>3709</v>
      </c>
      <c r="Q378" s="42" t="s">
        <v>57</v>
      </c>
      <c r="R378" s="32">
        <v>2035</v>
      </c>
      <c r="S378" s="43" t="str">
        <f t="shared" si="49"/>
        <v>*0.95</v>
      </c>
      <c r="U378" s="32" t="s">
        <v>3709</v>
      </c>
      <c r="V378" s="42" t="s">
        <v>57</v>
      </c>
      <c r="W378" s="32">
        <v>2050</v>
      </c>
      <c r="X378" s="43" t="str">
        <f t="shared" si="50"/>
        <v>*0.93</v>
      </c>
      <c r="AC378" s="33" t="s">
        <v>3709</v>
      </c>
      <c r="AD378" s="44" t="s">
        <v>57</v>
      </c>
      <c r="AE378" s="33">
        <v>2035</v>
      </c>
      <c r="AF378" s="45" t="str">
        <f t="shared" si="51"/>
        <v>*0.93</v>
      </c>
      <c r="AG378" s="43" t="str">
        <f t="shared" si="54"/>
        <v>REZoning_Sol-Win</v>
      </c>
      <c r="AI378" s="33" t="s">
        <v>3709</v>
      </c>
      <c r="AJ378" s="44" t="s">
        <v>57</v>
      </c>
      <c r="AK378" s="33">
        <v>2050</v>
      </c>
      <c r="AL378" s="45" t="str">
        <f t="shared" si="52"/>
        <v>*0.9</v>
      </c>
      <c r="AM378" s="43" t="str">
        <f t="shared" si="55"/>
        <v>REZoning_Sol-Win</v>
      </c>
      <c r="AP378" t="s">
        <v>3709</v>
      </c>
      <c r="AQ378" t="s">
        <v>57</v>
      </c>
      <c r="AR378">
        <f t="shared" si="53"/>
        <v>2100</v>
      </c>
      <c r="AS378" t="s">
        <v>897</v>
      </c>
      <c r="AT378" t="s">
        <v>58</v>
      </c>
    </row>
    <row r="379" ht="29" spans="1:46">
      <c r="A379" s="31" t="s">
        <v>73</v>
      </c>
      <c r="C379" t="s">
        <v>3710</v>
      </c>
      <c r="D379" s="5" t="s">
        <v>57</v>
      </c>
      <c r="E379">
        <v>2035</v>
      </c>
      <c r="F379" s="6" t="str">
        <f t="shared" si="47"/>
        <v>*0.95</v>
      </c>
      <c r="H379" t="s">
        <v>3710</v>
      </c>
      <c r="I379" s="5" t="s">
        <v>57</v>
      </c>
      <c r="J379">
        <v>2050</v>
      </c>
      <c r="K379" s="38" t="str">
        <f t="shared" si="48"/>
        <v>*0.93</v>
      </c>
      <c r="P379" s="32" t="s">
        <v>3710</v>
      </c>
      <c r="Q379" s="42" t="s">
        <v>57</v>
      </c>
      <c r="R379" s="32">
        <v>2035</v>
      </c>
      <c r="S379" s="43" t="str">
        <f t="shared" si="49"/>
        <v>*0.95</v>
      </c>
      <c r="U379" s="32" t="s">
        <v>3710</v>
      </c>
      <c r="V379" s="42" t="s">
        <v>57</v>
      </c>
      <c r="W379" s="32">
        <v>2050</v>
      </c>
      <c r="X379" s="43" t="str">
        <f t="shared" si="50"/>
        <v>*0.93</v>
      </c>
      <c r="AC379" s="33" t="s">
        <v>3710</v>
      </c>
      <c r="AD379" s="44" t="s">
        <v>57</v>
      </c>
      <c r="AE379" s="33">
        <v>2035</v>
      </c>
      <c r="AF379" s="45" t="str">
        <f t="shared" si="51"/>
        <v>*0.93</v>
      </c>
      <c r="AG379" s="43" t="str">
        <f t="shared" si="54"/>
        <v>REZoning_Sol-Win</v>
      </c>
      <c r="AI379" s="33" t="s">
        <v>3710</v>
      </c>
      <c r="AJ379" s="44" t="s">
        <v>57</v>
      </c>
      <c r="AK379" s="33">
        <v>2050</v>
      </c>
      <c r="AL379" s="45" t="str">
        <f t="shared" si="52"/>
        <v>*0.9</v>
      </c>
      <c r="AM379" s="43" t="str">
        <f t="shared" si="55"/>
        <v>REZoning_Sol-Win</v>
      </c>
      <c r="AP379" t="s">
        <v>3710</v>
      </c>
      <c r="AQ379" t="s">
        <v>57</v>
      </c>
      <c r="AR379">
        <f t="shared" si="53"/>
        <v>2100</v>
      </c>
      <c r="AS379" t="s">
        <v>897</v>
      </c>
      <c r="AT379" t="s">
        <v>58</v>
      </c>
    </row>
    <row r="380" ht="29" spans="1:46">
      <c r="A380" s="31" t="s">
        <v>73</v>
      </c>
      <c r="C380" t="s">
        <v>3711</v>
      </c>
      <c r="D380" s="5" t="s">
        <v>57</v>
      </c>
      <c r="E380">
        <v>2035</v>
      </c>
      <c r="F380" s="6" t="str">
        <f t="shared" si="47"/>
        <v>*0.95</v>
      </c>
      <c r="H380" t="s">
        <v>3711</v>
      </c>
      <c r="I380" s="5" t="s">
        <v>57</v>
      </c>
      <c r="J380">
        <v>2050</v>
      </c>
      <c r="K380" s="38" t="str">
        <f t="shared" si="48"/>
        <v>*0.93</v>
      </c>
      <c r="P380" s="32" t="s">
        <v>3711</v>
      </c>
      <c r="Q380" s="42" t="s">
        <v>57</v>
      </c>
      <c r="R380" s="32">
        <v>2035</v>
      </c>
      <c r="S380" s="43" t="str">
        <f t="shared" si="49"/>
        <v>*0.95</v>
      </c>
      <c r="U380" s="32" t="s">
        <v>3711</v>
      </c>
      <c r="V380" s="42" t="s">
        <v>57</v>
      </c>
      <c r="W380" s="32">
        <v>2050</v>
      </c>
      <c r="X380" s="43" t="str">
        <f t="shared" si="50"/>
        <v>*0.93</v>
      </c>
      <c r="AC380" s="33" t="s">
        <v>3711</v>
      </c>
      <c r="AD380" s="44" t="s">
        <v>57</v>
      </c>
      <c r="AE380" s="33">
        <v>2035</v>
      </c>
      <c r="AF380" s="45" t="str">
        <f t="shared" si="51"/>
        <v>*0.93</v>
      </c>
      <c r="AG380" s="43" t="str">
        <f t="shared" si="54"/>
        <v>REZoning_Sol-Win</v>
      </c>
      <c r="AI380" s="33" t="s">
        <v>3711</v>
      </c>
      <c r="AJ380" s="44" t="s">
        <v>57</v>
      </c>
      <c r="AK380" s="33">
        <v>2050</v>
      </c>
      <c r="AL380" s="45" t="str">
        <f t="shared" si="52"/>
        <v>*0.9</v>
      </c>
      <c r="AM380" s="43" t="str">
        <f t="shared" si="55"/>
        <v>REZoning_Sol-Win</v>
      </c>
      <c r="AP380" t="s">
        <v>3711</v>
      </c>
      <c r="AQ380" t="s">
        <v>57</v>
      </c>
      <c r="AR380">
        <f t="shared" si="53"/>
        <v>2100</v>
      </c>
      <c r="AS380" t="s">
        <v>897</v>
      </c>
      <c r="AT380" t="s">
        <v>58</v>
      </c>
    </row>
    <row r="381" ht="29" spans="1:46">
      <c r="A381" s="31" t="s">
        <v>73</v>
      </c>
      <c r="C381" t="s">
        <v>3712</v>
      </c>
      <c r="D381" s="5" t="s">
        <v>57</v>
      </c>
      <c r="E381">
        <v>2035</v>
      </c>
      <c r="F381" s="6" t="str">
        <f t="shared" si="47"/>
        <v>*0.95</v>
      </c>
      <c r="H381" t="s">
        <v>3712</v>
      </c>
      <c r="I381" s="5" t="s">
        <v>57</v>
      </c>
      <c r="J381">
        <v>2050</v>
      </c>
      <c r="K381" s="38" t="str">
        <f t="shared" si="48"/>
        <v>*0.93</v>
      </c>
      <c r="P381" s="32" t="s">
        <v>3712</v>
      </c>
      <c r="Q381" s="42" t="s">
        <v>57</v>
      </c>
      <c r="R381" s="32">
        <v>2035</v>
      </c>
      <c r="S381" s="43" t="str">
        <f t="shared" si="49"/>
        <v>*0.95</v>
      </c>
      <c r="U381" s="32" t="s">
        <v>3712</v>
      </c>
      <c r="V381" s="42" t="s">
        <v>57</v>
      </c>
      <c r="W381" s="32">
        <v>2050</v>
      </c>
      <c r="X381" s="43" t="str">
        <f t="shared" si="50"/>
        <v>*0.93</v>
      </c>
      <c r="AC381" s="33" t="s">
        <v>3712</v>
      </c>
      <c r="AD381" s="44" t="s">
        <v>57</v>
      </c>
      <c r="AE381" s="33">
        <v>2035</v>
      </c>
      <c r="AF381" s="45" t="str">
        <f t="shared" si="51"/>
        <v>*0.93</v>
      </c>
      <c r="AG381" s="43" t="str">
        <f t="shared" si="54"/>
        <v>REZoning_Sol-Win</v>
      </c>
      <c r="AI381" s="33" t="s">
        <v>3712</v>
      </c>
      <c r="AJ381" s="44" t="s">
        <v>57</v>
      </c>
      <c r="AK381" s="33">
        <v>2050</v>
      </c>
      <c r="AL381" s="45" t="str">
        <f t="shared" si="52"/>
        <v>*0.9</v>
      </c>
      <c r="AM381" s="43" t="str">
        <f t="shared" si="55"/>
        <v>REZoning_Sol-Win</v>
      </c>
      <c r="AP381" t="s">
        <v>3712</v>
      </c>
      <c r="AQ381" t="s">
        <v>57</v>
      </c>
      <c r="AR381">
        <f t="shared" si="53"/>
        <v>2100</v>
      </c>
      <c r="AS381" t="s">
        <v>897</v>
      </c>
      <c r="AT381" t="s">
        <v>58</v>
      </c>
    </row>
    <row r="382" ht="29" spans="1:46">
      <c r="A382" s="31" t="s">
        <v>73</v>
      </c>
      <c r="C382" t="s">
        <v>3713</v>
      </c>
      <c r="D382" s="5" t="s">
        <v>57</v>
      </c>
      <c r="E382">
        <v>2035</v>
      </c>
      <c r="F382" s="6" t="str">
        <f t="shared" si="47"/>
        <v>*0.95</v>
      </c>
      <c r="H382" t="s">
        <v>3713</v>
      </c>
      <c r="I382" s="5" t="s">
        <v>57</v>
      </c>
      <c r="J382">
        <v>2050</v>
      </c>
      <c r="K382" s="38" t="str">
        <f t="shared" si="48"/>
        <v>*0.93</v>
      </c>
      <c r="P382" s="32" t="s">
        <v>3713</v>
      </c>
      <c r="Q382" s="42" t="s">
        <v>57</v>
      </c>
      <c r="R382" s="32">
        <v>2035</v>
      </c>
      <c r="S382" s="43" t="str">
        <f t="shared" si="49"/>
        <v>*0.95</v>
      </c>
      <c r="U382" s="32" t="s">
        <v>3713</v>
      </c>
      <c r="V382" s="42" t="s">
        <v>57</v>
      </c>
      <c r="W382" s="32">
        <v>2050</v>
      </c>
      <c r="X382" s="43" t="str">
        <f t="shared" si="50"/>
        <v>*0.93</v>
      </c>
      <c r="AC382" s="33" t="s">
        <v>3713</v>
      </c>
      <c r="AD382" s="44" t="s">
        <v>57</v>
      </c>
      <c r="AE382" s="33">
        <v>2035</v>
      </c>
      <c r="AF382" s="45" t="str">
        <f t="shared" si="51"/>
        <v>*0.93</v>
      </c>
      <c r="AG382" s="43" t="str">
        <f t="shared" si="54"/>
        <v>REZoning_Sol-Win</v>
      </c>
      <c r="AI382" s="33" t="s">
        <v>3713</v>
      </c>
      <c r="AJ382" s="44" t="s">
        <v>57</v>
      </c>
      <c r="AK382" s="33">
        <v>2050</v>
      </c>
      <c r="AL382" s="45" t="str">
        <f t="shared" si="52"/>
        <v>*0.9</v>
      </c>
      <c r="AM382" s="43" t="str">
        <f t="shared" si="55"/>
        <v>REZoning_Sol-Win</v>
      </c>
      <c r="AP382" t="s">
        <v>3713</v>
      </c>
      <c r="AQ382" t="s">
        <v>57</v>
      </c>
      <c r="AR382">
        <f t="shared" si="53"/>
        <v>2100</v>
      </c>
      <c r="AS382" t="s">
        <v>897</v>
      </c>
      <c r="AT382" t="s">
        <v>58</v>
      </c>
    </row>
    <row r="383" ht="29" spans="1:46">
      <c r="A383" s="31" t="s">
        <v>73</v>
      </c>
      <c r="C383" t="s">
        <v>3714</v>
      </c>
      <c r="D383" s="5" t="s">
        <v>57</v>
      </c>
      <c r="E383">
        <v>2035</v>
      </c>
      <c r="F383" s="6" t="str">
        <f t="shared" si="47"/>
        <v>*0.95</v>
      </c>
      <c r="H383" t="s">
        <v>3714</v>
      </c>
      <c r="I383" s="5" t="s">
        <v>57</v>
      </c>
      <c r="J383">
        <v>2050</v>
      </c>
      <c r="K383" s="38" t="str">
        <f t="shared" si="48"/>
        <v>*0.93</v>
      </c>
      <c r="P383" s="32" t="s">
        <v>3714</v>
      </c>
      <c r="Q383" s="42" t="s">
        <v>57</v>
      </c>
      <c r="R383" s="32">
        <v>2035</v>
      </c>
      <c r="S383" s="43" t="str">
        <f t="shared" si="49"/>
        <v>*0.95</v>
      </c>
      <c r="U383" s="32" t="s">
        <v>3714</v>
      </c>
      <c r="V383" s="42" t="s">
        <v>57</v>
      </c>
      <c r="W383" s="32">
        <v>2050</v>
      </c>
      <c r="X383" s="43" t="str">
        <f t="shared" si="50"/>
        <v>*0.93</v>
      </c>
      <c r="AC383" s="33" t="s">
        <v>3714</v>
      </c>
      <c r="AD383" s="44" t="s">
        <v>57</v>
      </c>
      <c r="AE383" s="33">
        <v>2035</v>
      </c>
      <c r="AF383" s="45" t="str">
        <f t="shared" si="51"/>
        <v>*0.93</v>
      </c>
      <c r="AG383" s="43" t="str">
        <f t="shared" si="54"/>
        <v>REZoning_Sol-Win</v>
      </c>
      <c r="AI383" s="33" t="s">
        <v>3714</v>
      </c>
      <c r="AJ383" s="44" t="s">
        <v>57</v>
      </c>
      <c r="AK383" s="33">
        <v>2050</v>
      </c>
      <c r="AL383" s="45" t="str">
        <f t="shared" si="52"/>
        <v>*0.9</v>
      </c>
      <c r="AM383" s="43" t="str">
        <f t="shared" si="55"/>
        <v>REZoning_Sol-Win</v>
      </c>
      <c r="AP383" t="s">
        <v>3714</v>
      </c>
      <c r="AQ383" t="s">
        <v>57</v>
      </c>
      <c r="AR383">
        <f t="shared" si="53"/>
        <v>2100</v>
      </c>
      <c r="AS383" t="s">
        <v>897</v>
      </c>
      <c r="AT383" t="s">
        <v>58</v>
      </c>
    </row>
    <row r="384" ht="29" spans="1:46">
      <c r="A384" s="31" t="s">
        <v>73</v>
      </c>
      <c r="C384" t="s">
        <v>3715</v>
      </c>
      <c r="D384" s="5" t="s">
        <v>57</v>
      </c>
      <c r="E384">
        <v>2035</v>
      </c>
      <c r="F384" s="6" t="str">
        <f t="shared" si="47"/>
        <v>*0.95</v>
      </c>
      <c r="H384" t="s">
        <v>3715</v>
      </c>
      <c r="I384" s="5" t="s">
        <v>57</v>
      </c>
      <c r="J384">
        <v>2050</v>
      </c>
      <c r="K384" s="38" t="str">
        <f t="shared" si="48"/>
        <v>*0.93</v>
      </c>
      <c r="P384" s="32" t="s">
        <v>3715</v>
      </c>
      <c r="Q384" s="42" t="s">
        <v>57</v>
      </c>
      <c r="R384" s="32">
        <v>2035</v>
      </c>
      <c r="S384" s="43" t="str">
        <f t="shared" si="49"/>
        <v>*0.95</v>
      </c>
      <c r="U384" s="32" t="s">
        <v>3715</v>
      </c>
      <c r="V384" s="42" t="s">
        <v>57</v>
      </c>
      <c r="W384" s="32">
        <v>2050</v>
      </c>
      <c r="X384" s="43" t="str">
        <f t="shared" si="50"/>
        <v>*0.93</v>
      </c>
      <c r="AC384" s="33" t="s">
        <v>3715</v>
      </c>
      <c r="AD384" s="44" t="s">
        <v>57</v>
      </c>
      <c r="AE384" s="33">
        <v>2035</v>
      </c>
      <c r="AF384" s="45" t="str">
        <f t="shared" si="51"/>
        <v>*0.93</v>
      </c>
      <c r="AG384" s="43" t="str">
        <f t="shared" si="54"/>
        <v>REZoning_Sol-Win</v>
      </c>
      <c r="AI384" s="33" t="s">
        <v>3715</v>
      </c>
      <c r="AJ384" s="44" t="s">
        <v>57</v>
      </c>
      <c r="AK384" s="33">
        <v>2050</v>
      </c>
      <c r="AL384" s="45" t="str">
        <f t="shared" si="52"/>
        <v>*0.9</v>
      </c>
      <c r="AM384" s="43" t="str">
        <f t="shared" si="55"/>
        <v>REZoning_Sol-Win</v>
      </c>
      <c r="AP384" t="s">
        <v>3715</v>
      </c>
      <c r="AQ384" t="s">
        <v>57</v>
      </c>
      <c r="AR384">
        <f t="shared" si="53"/>
        <v>2100</v>
      </c>
      <c r="AS384" t="s">
        <v>897</v>
      </c>
      <c r="AT384" t="s">
        <v>58</v>
      </c>
    </row>
    <row r="385" ht="29" spans="1:46">
      <c r="A385" s="31" t="s">
        <v>73</v>
      </c>
      <c r="C385" t="s">
        <v>3716</v>
      </c>
      <c r="D385" s="5" t="s">
        <v>57</v>
      </c>
      <c r="E385">
        <v>2035</v>
      </c>
      <c r="F385" s="6" t="str">
        <f t="shared" si="47"/>
        <v>*0.95</v>
      </c>
      <c r="H385" t="s">
        <v>3716</v>
      </c>
      <c r="I385" s="5" t="s">
        <v>57</v>
      </c>
      <c r="J385">
        <v>2050</v>
      </c>
      <c r="K385" s="38" t="str">
        <f t="shared" si="48"/>
        <v>*0.93</v>
      </c>
      <c r="P385" s="32" t="s">
        <v>3716</v>
      </c>
      <c r="Q385" s="42" t="s">
        <v>57</v>
      </c>
      <c r="R385" s="32">
        <v>2035</v>
      </c>
      <c r="S385" s="43" t="str">
        <f t="shared" si="49"/>
        <v>*0.95</v>
      </c>
      <c r="U385" s="32" t="s">
        <v>3716</v>
      </c>
      <c r="V385" s="42" t="s">
        <v>57</v>
      </c>
      <c r="W385" s="32">
        <v>2050</v>
      </c>
      <c r="X385" s="43" t="str">
        <f t="shared" si="50"/>
        <v>*0.93</v>
      </c>
      <c r="AC385" s="33" t="s">
        <v>3716</v>
      </c>
      <c r="AD385" s="44" t="s">
        <v>57</v>
      </c>
      <c r="AE385" s="33">
        <v>2035</v>
      </c>
      <c r="AF385" s="45" t="str">
        <f t="shared" si="51"/>
        <v>*0.93</v>
      </c>
      <c r="AG385" s="43" t="str">
        <f t="shared" si="54"/>
        <v>REZoning_Sol-Win</v>
      </c>
      <c r="AI385" s="33" t="s">
        <v>3716</v>
      </c>
      <c r="AJ385" s="44" t="s">
        <v>57</v>
      </c>
      <c r="AK385" s="33">
        <v>2050</v>
      </c>
      <c r="AL385" s="45" t="str">
        <f t="shared" si="52"/>
        <v>*0.9</v>
      </c>
      <c r="AM385" s="43" t="str">
        <f t="shared" si="55"/>
        <v>REZoning_Sol-Win</v>
      </c>
      <c r="AP385" t="s">
        <v>3716</v>
      </c>
      <c r="AQ385" t="s">
        <v>57</v>
      </c>
      <c r="AR385">
        <f t="shared" si="53"/>
        <v>2100</v>
      </c>
      <c r="AS385" t="s">
        <v>897</v>
      </c>
      <c r="AT385" t="s">
        <v>58</v>
      </c>
    </row>
    <row r="386" ht="29" spans="1:46">
      <c r="A386" s="31" t="s">
        <v>73</v>
      </c>
      <c r="C386" t="s">
        <v>3717</v>
      </c>
      <c r="D386" s="5" t="s">
        <v>57</v>
      </c>
      <c r="E386">
        <v>2035</v>
      </c>
      <c r="F386" s="6" t="str">
        <f t="shared" si="47"/>
        <v>*0.95</v>
      </c>
      <c r="H386" t="s">
        <v>3717</v>
      </c>
      <c r="I386" s="5" t="s">
        <v>57</v>
      </c>
      <c r="J386">
        <v>2050</v>
      </c>
      <c r="K386" s="38" t="str">
        <f t="shared" si="48"/>
        <v>*0.93</v>
      </c>
      <c r="P386" s="32" t="s">
        <v>3717</v>
      </c>
      <c r="Q386" s="42" t="s">
        <v>57</v>
      </c>
      <c r="R386" s="32">
        <v>2035</v>
      </c>
      <c r="S386" s="43" t="str">
        <f t="shared" si="49"/>
        <v>*0.95</v>
      </c>
      <c r="U386" s="32" t="s">
        <v>3717</v>
      </c>
      <c r="V386" s="42" t="s">
        <v>57</v>
      </c>
      <c r="W386" s="32">
        <v>2050</v>
      </c>
      <c r="X386" s="43" t="str">
        <f t="shared" si="50"/>
        <v>*0.93</v>
      </c>
      <c r="AC386" s="33" t="s">
        <v>3717</v>
      </c>
      <c r="AD386" s="44" t="s">
        <v>57</v>
      </c>
      <c r="AE386" s="33">
        <v>2035</v>
      </c>
      <c r="AF386" s="45" t="str">
        <f t="shared" si="51"/>
        <v>*0.93</v>
      </c>
      <c r="AG386" s="43" t="str">
        <f t="shared" si="54"/>
        <v>REZoning_Sol-Win</v>
      </c>
      <c r="AI386" s="33" t="s">
        <v>3717</v>
      </c>
      <c r="AJ386" s="44" t="s">
        <v>57</v>
      </c>
      <c r="AK386" s="33">
        <v>2050</v>
      </c>
      <c r="AL386" s="45" t="str">
        <f t="shared" si="52"/>
        <v>*0.9</v>
      </c>
      <c r="AM386" s="43" t="str">
        <f t="shared" si="55"/>
        <v>REZoning_Sol-Win</v>
      </c>
      <c r="AP386" t="s">
        <v>3717</v>
      </c>
      <c r="AQ386" t="s">
        <v>57</v>
      </c>
      <c r="AR386">
        <f t="shared" si="53"/>
        <v>2100</v>
      </c>
      <c r="AS386" t="s">
        <v>897</v>
      </c>
      <c r="AT386" t="s">
        <v>58</v>
      </c>
    </row>
    <row r="387" ht="29" spans="1:46">
      <c r="A387" s="31" t="s">
        <v>73</v>
      </c>
      <c r="C387" t="s">
        <v>3718</v>
      </c>
      <c r="D387" s="5" t="s">
        <v>57</v>
      </c>
      <c r="E387">
        <v>2035</v>
      </c>
      <c r="F387" s="6" t="str">
        <f t="shared" si="47"/>
        <v>*0.95</v>
      </c>
      <c r="H387" t="s">
        <v>3718</v>
      </c>
      <c r="I387" s="5" t="s">
        <v>57</v>
      </c>
      <c r="J387">
        <v>2050</v>
      </c>
      <c r="K387" s="38" t="str">
        <f t="shared" si="48"/>
        <v>*0.93</v>
      </c>
      <c r="P387" s="32" t="s">
        <v>3718</v>
      </c>
      <c r="Q387" s="42" t="s">
        <v>57</v>
      </c>
      <c r="R387" s="32">
        <v>2035</v>
      </c>
      <c r="S387" s="43" t="str">
        <f t="shared" si="49"/>
        <v>*0.95</v>
      </c>
      <c r="U387" s="32" t="s">
        <v>3718</v>
      </c>
      <c r="V387" s="42" t="s">
        <v>57</v>
      </c>
      <c r="W387" s="32">
        <v>2050</v>
      </c>
      <c r="X387" s="43" t="str">
        <f t="shared" si="50"/>
        <v>*0.93</v>
      </c>
      <c r="AC387" s="33" t="s">
        <v>3718</v>
      </c>
      <c r="AD387" s="44" t="s">
        <v>57</v>
      </c>
      <c r="AE387" s="33">
        <v>2035</v>
      </c>
      <c r="AF387" s="45" t="str">
        <f t="shared" si="51"/>
        <v>*0.93</v>
      </c>
      <c r="AG387" s="43" t="str">
        <f t="shared" si="54"/>
        <v>REZoning_Sol-Win</v>
      </c>
      <c r="AI387" s="33" t="s">
        <v>3718</v>
      </c>
      <c r="AJ387" s="44" t="s">
        <v>57</v>
      </c>
      <c r="AK387" s="33">
        <v>2050</v>
      </c>
      <c r="AL387" s="45" t="str">
        <f t="shared" si="52"/>
        <v>*0.9</v>
      </c>
      <c r="AM387" s="43" t="str">
        <f t="shared" si="55"/>
        <v>REZoning_Sol-Win</v>
      </c>
      <c r="AP387" t="s">
        <v>3718</v>
      </c>
      <c r="AQ387" t="s">
        <v>57</v>
      </c>
      <c r="AR387">
        <f t="shared" si="53"/>
        <v>2100</v>
      </c>
      <c r="AS387" t="s">
        <v>897</v>
      </c>
      <c r="AT387" t="s">
        <v>58</v>
      </c>
    </row>
    <row r="388" ht="29" spans="1:46">
      <c r="A388" s="31" t="s">
        <v>73</v>
      </c>
      <c r="C388" t="s">
        <v>3719</v>
      </c>
      <c r="D388" s="5" t="s">
        <v>57</v>
      </c>
      <c r="E388">
        <v>2035</v>
      </c>
      <c r="F388" s="6" t="str">
        <f t="shared" ref="F388:F451" si="56">"*"&amp;IF(AND(A388="EU",E388=2035),0.95,IF(AND(A388="EU",E388=2050),0.93,IF(AND(A388="USA",E388=2035),0.96,IF(AND(A388="USA",E388=2050),0.94,IF(AND(A388="Japan",E388=2035),0.94,IF(AND(A388="Japan",E388=2050),0.92,IF(AND(A388="Russia",E388=2035),0.95,IF(AND(A388="Russia",E388=2050),0.93,IF(AND(A388="China",E388=2035),0.94,IF(AND(A388="China",E388=2050),0.92,IF(AND(A388="India",E388=2035),0.95,IF(AND(A388="India",E388=2050),0.92,IF(AND(A388="Middle East",E388=2035),0.94,IF(AND(A388="Middle East",E388=2050),0.9,IF(AND(A388="Africa",E388=2035),0.94,IF(AND(A388="Africa",E388=2050),0.91,IF(AND(A388="Brazil",E388=2035),0.95,IF(AND(A388="Brazil",E388=2050),0.92,""))))))))))))))))))</f>
        <v>*0.95</v>
      </c>
      <c r="H388" t="s">
        <v>3719</v>
      </c>
      <c r="I388" s="5" t="s">
        <v>57</v>
      </c>
      <c r="J388">
        <v>2050</v>
      </c>
      <c r="K388" s="38" t="str">
        <f t="shared" ref="K388:K451" si="57">"*"&amp;IF(AND(A388="EU",J388=2035),0.95,IF(AND(A388="EU",J388=2050),0.93,IF(AND(A388="USA",J388=2035),0.96,IF(AND(A388="USA",J388=2050),0.94,IF(AND(A388="Japan",J388=2035),0.94,IF(AND(A388="Japan",J388=2050),0.92,IF(AND(A388="Russia",J388=2035),0.95,IF(AND(A388="Russia",J388=2050),0.93,IF(AND(A388="China",J388=2035),0.94,IF(AND(A388="China",J388=2050),0.92,IF(AND(A388="India",J388=2035),0.95,IF(AND(A388="India",J388=2050),0.92,IF(AND(A388="Middle East",J388=2035),0.94,IF(AND(A388="Middle East",J388=2050),0.9,IF(AND(A388="Africa",J388=2035),0.94,IF(AND(A388="Africa",J388=2050),0.91,IF(AND(A388="Brazil",J388=2035),0.95,IF(AND(A388="Brazil",J388=2050),0.92,""))))))))))))))))))</f>
        <v>*0.93</v>
      </c>
      <c r="P388" s="32" t="s">
        <v>3719</v>
      </c>
      <c r="Q388" s="42" t="s">
        <v>57</v>
      </c>
      <c r="R388" s="32">
        <v>2035</v>
      </c>
      <c r="S388" s="43" t="str">
        <f t="shared" ref="S388:S451" si="58">"*"&amp;IF(AND(A388="EU",R388=2035),0.95,IF(AND(A388="EU",R388=2050),0.93,IF(AND(A388="USA",R388=2035),0.96,IF(AND(A388="USA",R388=2050),0.93,IF(AND(A388="Japan",R388=2035),0.94,IF(AND(A388="Japan",R388=2050),0.92,IF(AND(A388="Russia",R388=2035),0.95,IF(AND(A388="Russia",R388=2050),0.91,IF(AND(A388="China",R388=2035),0.93,IF(AND(A388="China",R388=2050),0.92,IF(AND(A388="India",R388=2035),0.94,IF(AND(A388="India",R388=2050),0.91,IF(AND(A388="Middle East",R388=2035),0.92,IF(AND(A388="Middle East",R388=2050),0.89,IF(AND(A388="Africa",R388=2035),0.93,IF(AND(A388="Africa",R388=2050),0.9,IF(AND(A388="Brazil",R388=2035),0.95,IF(AND(A388="Brazil",R388=2050),0.92,""))))))))))))))))))</f>
        <v>*0.95</v>
      </c>
      <c r="U388" s="32" t="s">
        <v>3719</v>
      </c>
      <c r="V388" s="42" t="s">
        <v>57</v>
      </c>
      <c r="W388" s="32">
        <v>2050</v>
      </c>
      <c r="X388" s="43" t="str">
        <f t="shared" ref="X388:X451" si="59">"*"&amp;IF(AND(A388="EU",W388=2035),0.95,IF(AND(A388="EU",W388=2050),0.93,IF(AND(A388="USA",W388=2035),0.96,IF(AND(A388="USA",W388=2050),0.93,IF(AND(A388="Japan",W388=2035),0.94,IF(AND(A388="Japan",W388=2050),0.92,IF(AND(A388="Russia",W388=2035),0.95,IF(AND(A388="Russia",W388=2050),0.91,IF(AND(A388="China",W388=2035),0.93,IF(AND(A388="China",W388=2050),0.92,IF(AND(A388="India",W388=2035),0.94,IF(AND(A388="India",W388=2050),0.91,IF(AND(A388="Middle East",W388=2035),0.92,IF(AND(A388="Middle East",W388=2050),0.89,IF(AND(A388="Africa",W388=2035),0.93,IF(AND(A388="Africa",W388=2050),0.9,IF(AND(A388="Brazil",W388=2035),0.95,IF(AND(A388="Brazil",W388=2050),0.92,""))))))))))))))))))</f>
        <v>*0.93</v>
      </c>
      <c r="AC388" s="33" t="s">
        <v>3719</v>
      </c>
      <c r="AD388" s="44" t="s">
        <v>57</v>
      </c>
      <c r="AE388" s="33">
        <v>2035</v>
      </c>
      <c r="AF388" s="45" t="str">
        <f t="shared" ref="AF388:AF451" si="60">"*"&amp;IF(AND(A388="EU",AE388=2035),0.93,IF(AND(A388="EU",AE388=2050),0.9,IF(AND(A388="USA",AE388=2035),0.92,IF(AND(A388="USA",AE388=2050),0.89,IF(AND(A388="Japan",AE388=2035),0.92,IF(AND(A388="Japan",AE388=2050),0.89,IF(AND(A388="Russia",AE388=2035),0.91,IF(AND(A388="Russia",AE388=2050),0.86,IF(AND(A388="China",AE388=2035),0.91,IF(AND(A388="China",AE388=2050),0.87,IF(AND(A388="India",AE388=2035),0.92,IF(AND(A388="India",AE388=2050),0.87,IF(AND(A388="Middle East",AE388=2035),0.89,IF(AND(A388="Middle East",AE388=2050),0.84,IF(AND(A388="Africa",AE388=2035),0.9,IF(AND(A388="Africa",AE388=2050),0.86,IF(AND(A388="Brazil",AE388=2035),0.93,IF(AND(A388="Brazil",AE388=2050),0.89,""))))))))))))))))))</f>
        <v>*0.93</v>
      </c>
      <c r="AG388" s="43" t="str">
        <f t="shared" si="54"/>
        <v>REZoning_Sol-Win</v>
      </c>
      <c r="AI388" s="33" t="s">
        <v>3719</v>
      </c>
      <c r="AJ388" s="44" t="s">
        <v>57</v>
      </c>
      <c r="AK388" s="33">
        <v>2050</v>
      </c>
      <c r="AL388" s="45" t="str">
        <f t="shared" ref="AL388:AL451" si="61">"*"&amp;IF(AND(A388="EU",AK388=2035),0.93,IF(AND(A388="EU",AK388=2050),0.9,IF(AND(A388="USA",AK388=2035),0.92,IF(AND(A388="USA",AK388=2050),0.89,IF(AND(A388="Japan",AK388=2035),0.92,IF(AND(A388="Japan",AK388=2050),0.89,IF(AND(A388="Russia",AK388=2035),0.91,IF(AND(A388="Russia",AK388=2050),0.86,IF(AND(A388="China",AK388=2035),0.91,IF(AND(A388="China",AK388=2050),0.87,IF(AND(A388="India",AK388=2035),0.92,IF(AND(A388="India",AK388=2050),0.87,IF(AND(A388="Middle East",AK388=2035),0.89,IF(AND(A388="Middle East",AK388=2050),0.84,IF(AND(A388="Africa",AK388=2035),0.9,IF(AND(A388="Africa",AK388=2050),0.86,IF(AND(A388="Brazil",AK388=2035),0.93,IF(AND(A388="Brazil",AK388=2050),0.89,""))))))))))))))))))</f>
        <v>*0.9</v>
      </c>
      <c r="AM388" s="43" t="str">
        <f t="shared" si="55"/>
        <v>REZoning_Sol-Win</v>
      </c>
      <c r="AP388" t="s">
        <v>3719</v>
      </c>
      <c r="AQ388" t="s">
        <v>57</v>
      </c>
      <c r="AR388">
        <f t="shared" si="53"/>
        <v>2100</v>
      </c>
      <c r="AS388" t="s">
        <v>897</v>
      </c>
      <c r="AT388" t="s">
        <v>58</v>
      </c>
    </row>
    <row r="389" ht="29" spans="1:46">
      <c r="A389" s="31" t="s">
        <v>73</v>
      </c>
      <c r="C389" t="s">
        <v>3720</v>
      </c>
      <c r="D389" s="5" t="s">
        <v>57</v>
      </c>
      <c r="E389">
        <v>2035</v>
      </c>
      <c r="F389" s="6" t="str">
        <f t="shared" si="56"/>
        <v>*0.95</v>
      </c>
      <c r="H389" t="s">
        <v>3720</v>
      </c>
      <c r="I389" s="5" t="s">
        <v>57</v>
      </c>
      <c r="J389">
        <v>2050</v>
      </c>
      <c r="K389" s="38" t="str">
        <f t="shared" si="57"/>
        <v>*0.93</v>
      </c>
      <c r="P389" s="32" t="s">
        <v>3720</v>
      </c>
      <c r="Q389" s="42" t="s">
        <v>57</v>
      </c>
      <c r="R389" s="32">
        <v>2035</v>
      </c>
      <c r="S389" s="43" t="str">
        <f t="shared" si="58"/>
        <v>*0.95</v>
      </c>
      <c r="U389" s="32" t="s">
        <v>3720</v>
      </c>
      <c r="V389" s="42" t="s">
        <v>57</v>
      </c>
      <c r="W389" s="32">
        <v>2050</v>
      </c>
      <c r="X389" s="43" t="str">
        <f t="shared" si="59"/>
        <v>*0.93</v>
      </c>
      <c r="AC389" s="33" t="s">
        <v>3720</v>
      </c>
      <c r="AD389" s="44" t="s">
        <v>57</v>
      </c>
      <c r="AE389" s="33">
        <v>2035</v>
      </c>
      <c r="AF389" s="45" t="str">
        <f t="shared" si="60"/>
        <v>*0.93</v>
      </c>
      <c r="AG389" s="43" t="str">
        <f t="shared" si="54"/>
        <v>REZoning_Sol-Win</v>
      </c>
      <c r="AI389" s="33" t="s">
        <v>3720</v>
      </c>
      <c r="AJ389" s="44" t="s">
        <v>57</v>
      </c>
      <c r="AK389" s="33">
        <v>2050</v>
      </c>
      <c r="AL389" s="45" t="str">
        <f t="shared" si="61"/>
        <v>*0.9</v>
      </c>
      <c r="AM389" s="43" t="str">
        <f t="shared" si="55"/>
        <v>REZoning_Sol-Win</v>
      </c>
      <c r="AP389" t="s">
        <v>3720</v>
      </c>
      <c r="AQ389" t="s">
        <v>57</v>
      </c>
      <c r="AR389">
        <f t="shared" si="53"/>
        <v>2100</v>
      </c>
      <c r="AS389" t="s">
        <v>897</v>
      </c>
      <c r="AT389" t="s">
        <v>58</v>
      </c>
    </row>
    <row r="390" ht="29" spans="1:46">
      <c r="A390" s="31" t="s">
        <v>73</v>
      </c>
      <c r="C390" t="s">
        <v>3721</v>
      </c>
      <c r="D390" s="5" t="s">
        <v>57</v>
      </c>
      <c r="E390">
        <v>2035</v>
      </c>
      <c r="F390" s="6" t="str">
        <f t="shared" si="56"/>
        <v>*0.95</v>
      </c>
      <c r="H390" t="s">
        <v>3721</v>
      </c>
      <c r="I390" s="5" t="s">
        <v>57</v>
      </c>
      <c r="J390">
        <v>2050</v>
      </c>
      <c r="K390" s="38" t="str">
        <f t="shared" si="57"/>
        <v>*0.93</v>
      </c>
      <c r="P390" s="32" t="s">
        <v>3721</v>
      </c>
      <c r="Q390" s="42" t="s">
        <v>57</v>
      </c>
      <c r="R390" s="32">
        <v>2035</v>
      </c>
      <c r="S390" s="43" t="str">
        <f t="shared" si="58"/>
        <v>*0.95</v>
      </c>
      <c r="U390" s="32" t="s">
        <v>3721</v>
      </c>
      <c r="V390" s="42" t="s">
        <v>57</v>
      </c>
      <c r="W390" s="32">
        <v>2050</v>
      </c>
      <c r="X390" s="43" t="str">
        <f t="shared" si="59"/>
        <v>*0.93</v>
      </c>
      <c r="AC390" s="33" t="s">
        <v>3721</v>
      </c>
      <c r="AD390" s="44" t="s">
        <v>57</v>
      </c>
      <c r="AE390" s="33">
        <v>2035</v>
      </c>
      <c r="AF390" s="45" t="str">
        <f t="shared" si="60"/>
        <v>*0.93</v>
      </c>
      <c r="AG390" s="43" t="str">
        <f t="shared" si="54"/>
        <v>REZoning_Sol-Win</v>
      </c>
      <c r="AI390" s="33" t="s">
        <v>3721</v>
      </c>
      <c r="AJ390" s="44" t="s">
        <v>57</v>
      </c>
      <c r="AK390" s="33">
        <v>2050</v>
      </c>
      <c r="AL390" s="45" t="str">
        <f t="shared" si="61"/>
        <v>*0.9</v>
      </c>
      <c r="AM390" s="43" t="str">
        <f t="shared" si="55"/>
        <v>REZoning_Sol-Win</v>
      </c>
      <c r="AP390" t="s">
        <v>3721</v>
      </c>
      <c r="AQ390" t="s">
        <v>57</v>
      </c>
      <c r="AR390">
        <f t="shared" ref="AR390:AR453" si="62">AR389</f>
        <v>2100</v>
      </c>
      <c r="AS390" t="s">
        <v>897</v>
      </c>
      <c r="AT390" t="s">
        <v>58</v>
      </c>
    </row>
    <row r="391" ht="29" spans="1:46">
      <c r="A391" s="31" t="s">
        <v>73</v>
      </c>
      <c r="C391" t="s">
        <v>3722</v>
      </c>
      <c r="D391" s="5" t="s">
        <v>57</v>
      </c>
      <c r="E391">
        <v>2035</v>
      </c>
      <c r="F391" s="6" t="str">
        <f t="shared" si="56"/>
        <v>*0.95</v>
      </c>
      <c r="H391" t="s">
        <v>3722</v>
      </c>
      <c r="I391" s="5" t="s">
        <v>57</v>
      </c>
      <c r="J391">
        <v>2050</v>
      </c>
      <c r="K391" s="38" t="str">
        <f t="shared" si="57"/>
        <v>*0.93</v>
      </c>
      <c r="P391" s="32" t="s">
        <v>3722</v>
      </c>
      <c r="Q391" s="42" t="s">
        <v>57</v>
      </c>
      <c r="R391" s="32">
        <v>2035</v>
      </c>
      <c r="S391" s="43" t="str">
        <f t="shared" si="58"/>
        <v>*0.95</v>
      </c>
      <c r="U391" s="32" t="s">
        <v>3722</v>
      </c>
      <c r="V391" s="42" t="s">
        <v>57</v>
      </c>
      <c r="W391" s="32">
        <v>2050</v>
      </c>
      <c r="X391" s="43" t="str">
        <f t="shared" si="59"/>
        <v>*0.93</v>
      </c>
      <c r="AC391" s="33" t="s">
        <v>3722</v>
      </c>
      <c r="AD391" s="44" t="s">
        <v>57</v>
      </c>
      <c r="AE391" s="33">
        <v>2035</v>
      </c>
      <c r="AF391" s="45" t="str">
        <f t="shared" si="60"/>
        <v>*0.93</v>
      </c>
      <c r="AG391" s="43" t="str">
        <f t="shared" si="54"/>
        <v>REZoning_Sol-Win</v>
      </c>
      <c r="AI391" s="33" t="s">
        <v>3722</v>
      </c>
      <c r="AJ391" s="44" t="s">
        <v>57</v>
      </c>
      <c r="AK391" s="33">
        <v>2050</v>
      </c>
      <c r="AL391" s="45" t="str">
        <f t="shared" si="61"/>
        <v>*0.9</v>
      </c>
      <c r="AM391" s="43" t="str">
        <f t="shared" si="55"/>
        <v>REZoning_Sol-Win</v>
      </c>
      <c r="AP391" t="s">
        <v>3722</v>
      </c>
      <c r="AQ391" t="s">
        <v>57</v>
      </c>
      <c r="AR391">
        <f t="shared" si="62"/>
        <v>2100</v>
      </c>
      <c r="AS391" t="s">
        <v>897</v>
      </c>
      <c r="AT391" t="s">
        <v>58</v>
      </c>
    </row>
    <row r="392" ht="29" spans="1:46">
      <c r="A392" s="31" t="s">
        <v>73</v>
      </c>
      <c r="C392" t="s">
        <v>3723</v>
      </c>
      <c r="D392" s="5" t="s">
        <v>57</v>
      </c>
      <c r="E392">
        <v>2035</v>
      </c>
      <c r="F392" s="6" t="str">
        <f t="shared" si="56"/>
        <v>*0.95</v>
      </c>
      <c r="H392" t="s">
        <v>3723</v>
      </c>
      <c r="I392" s="5" t="s">
        <v>57</v>
      </c>
      <c r="J392">
        <v>2050</v>
      </c>
      <c r="K392" s="38" t="str">
        <f t="shared" si="57"/>
        <v>*0.93</v>
      </c>
      <c r="P392" s="32" t="s">
        <v>3723</v>
      </c>
      <c r="Q392" s="42" t="s">
        <v>57</v>
      </c>
      <c r="R392" s="32">
        <v>2035</v>
      </c>
      <c r="S392" s="43" t="str">
        <f t="shared" si="58"/>
        <v>*0.95</v>
      </c>
      <c r="U392" s="32" t="s">
        <v>3723</v>
      </c>
      <c r="V392" s="42" t="s">
        <v>57</v>
      </c>
      <c r="W392" s="32">
        <v>2050</v>
      </c>
      <c r="X392" s="43" t="str">
        <f t="shared" si="59"/>
        <v>*0.93</v>
      </c>
      <c r="AC392" s="33" t="s">
        <v>3723</v>
      </c>
      <c r="AD392" s="44" t="s">
        <v>57</v>
      </c>
      <c r="AE392" s="33">
        <v>2035</v>
      </c>
      <c r="AF392" s="45" t="str">
        <f t="shared" si="60"/>
        <v>*0.93</v>
      </c>
      <c r="AG392" s="43" t="str">
        <f t="shared" si="54"/>
        <v>REZoning_Sol-Win</v>
      </c>
      <c r="AI392" s="33" t="s">
        <v>3723</v>
      </c>
      <c r="AJ392" s="44" t="s">
        <v>57</v>
      </c>
      <c r="AK392" s="33">
        <v>2050</v>
      </c>
      <c r="AL392" s="45" t="str">
        <f t="shared" si="61"/>
        <v>*0.9</v>
      </c>
      <c r="AM392" s="43" t="str">
        <f t="shared" si="55"/>
        <v>REZoning_Sol-Win</v>
      </c>
      <c r="AP392" t="s">
        <v>3723</v>
      </c>
      <c r="AQ392" t="s">
        <v>57</v>
      </c>
      <c r="AR392">
        <f t="shared" si="62"/>
        <v>2100</v>
      </c>
      <c r="AS392" t="s">
        <v>897</v>
      </c>
      <c r="AT392" t="s">
        <v>58</v>
      </c>
    </row>
    <row r="393" ht="29" spans="1:46">
      <c r="A393" s="31" t="s">
        <v>73</v>
      </c>
      <c r="C393" t="s">
        <v>3724</v>
      </c>
      <c r="D393" s="5" t="s">
        <v>57</v>
      </c>
      <c r="E393">
        <v>2035</v>
      </c>
      <c r="F393" s="6" t="str">
        <f t="shared" si="56"/>
        <v>*0.95</v>
      </c>
      <c r="H393" t="s">
        <v>3724</v>
      </c>
      <c r="I393" s="5" t="s">
        <v>57</v>
      </c>
      <c r="J393">
        <v>2050</v>
      </c>
      <c r="K393" s="38" t="str">
        <f t="shared" si="57"/>
        <v>*0.93</v>
      </c>
      <c r="P393" s="32" t="s">
        <v>3724</v>
      </c>
      <c r="Q393" s="42" t="s">
        <v>57</v>
      </c>
      <c r="R393" s="32">
        <v>2035</v>
      </c>
      <c r="S393" s="43" t="str">
        <f t="shared" si="58"/>
        <v>*0.95</v>
      </c>
      <c r="U393" s="32" t="s">
        <v>3724</v>
      </c>
      <c r="V393" s="42" t="s">
        <v>57</v>
      </c>
      <c r="W393" s="32">
        <v>2050</v>
      </c>
      <c r="X393" s="43" t="str">
        <f t="shared" si="59"/>
        <v>*0.93</v>
      </c>
      <c r="AC393" s="33" t="s">
        <v>3724</v>
      </c>
      <c r="AD393" s="44" t="s">
        <v>57</v>
      </c>
      <c r="AE393" s="33">
        <v>2035</v>
      </c>
      <c r="AF393" s="45" t="str">
        <f t="shared" si="60"/>
        <v>*0.93</v>
      </c>
      <c r="AG393" s="43" t="str">
        <f t="shared" ref="AG393:AG456" si="63">AG392</f>
        <v>REZoning_Sol-Win</v>
      </c>
      <c r="AI393" s="33" t="s">
        <v>3724</v>
      </c>
      <c r="AJ393" s="44" t="s">
        <v>57</v>
      </c>
      <c r="AK393" s="33">
        <v>2050</v>
      </c>
      <c r="AL393" s="45" t="str">
        <f t="shared" si="61"/>
        <v>*0.9</v>
      </c>
      <c r="AM393" s="43" t="str">
        <f t="shared" ref="AM393:AM456" si="64">AM392</f>
        <v>REZoning_Sol-Win</v>
      </c>
      <c r="AP393" t="s">
        <v>3724</v>
      </c>
      <c r="AQ393" t="s">
        <v>57</v>
      </c>
      <c r="AR393">
        <f t="shared" si="62"/>
        <v>2100</v>
      </c>
      <c r="AS393" t="s">
        <v>897</v>
      </c>
      <c r="AT393" t="s">
        <v>58</v>
      </c>
    </row>
    <row r="394" ht="29" spans="1:46">
      <c r="A394" s="31" t="s">
        <v>73</v>
      </c>
      <c r="C394" t="s">
        <v>3725</v>
      </c>
      <c r="D394" s="5" t="s">
        <v>57</v>
      </c>
      <c r="E394">
        <v>2035</v>
      </c>
      <c r="F394" s="6" t="str">
        <f t="shared" si="56"/>
        <v>*0.95</v>
      </c>
      <c r="H394" t="s">
        <v>3725</v>
      </c>
      <c r="I394" s="5" t="s">
        <v>57</v>
      </c>
      <c r="J394">
        <v>2050</v>
      </c>
      <c r="K394" s="38" t="str">
        <f t="shared" si="57"/>
        <v>*0.93</v>
      </c>
      <c r="P394" s="32" t="s">
        <v>3725</v>
      </c>
      <c r="Q394" s="42" t="s">
        <v>57</v>
      </c>
      <c r="R394" s="32">
        <v>2035</v>
      </c>
      <c r="S394" s="43" t="str">
        <f t="shared" si="58"/>
        <v>*0.95</v>
      </c>
      <c r="U394" s="32" t="s">
        <v>3725</v>
      </c>
      <c r="V394" s="42" t="s">
        <v>57</v>
      </c>
      <c r="W394" s="32">
        <v>2050</v>
      </c>
      <c r="X394" s="43" t="str">
        <f t="shared" si="59"/>
        <v>*0.93</v>
      </c>
      <c r="AC394" s="33" t="s">
        <v>3725</v>
      </c>
      <c r="AD394" s="44" t="s">
        <v>57</v>
      </c>
      <c r="AE394" s="33">
        <v>2035</v>
      </c>
      <c r="AF394" s="45" t="str">
        <f t="shared" si="60"/>
        <v>*0.93</v>
      </c>
      <c r="AG394" s="43" t="str">
        <f t="shared" si="63"/>
        <v>REZoning_Sol-Win</v>
      </c>
      <c r="AI394" s="33" t="s">
        <v>3725</v>
      </c>
      <c r="AJ394" s="44" t="s">
        <v>57</v>
      </c>
      <c r="AK394" s="33">
        <v>2050</v>
      </c>
      <c r="AL394" s="45" t="str">
        <f t="shared" si="61"/>
        <v>*0.9</v>
      </c>
      <c r="AM394" s="43" t="str">
        <f t="shared" si="64"/>
        <v>REZoning_Sol-Win</v>
      </c>
      <c r="AP394" t="s">
        <v>3725</v>
      </c>
      <c r="AQ394" t="s">
        <v>57</v>
      </c>
      <c r="AR394">
        <f t="shared" si="62"/>
        <v>2100</v>
      </c>
      <c r="AS394" t="s">
        <v>897</v>
      </c>
      <c r="AT394" t="s">
        <v>58</v>
      </c>
    </row>
    <row r="395" ht="29" spans="1:46">
      <c r="A395" s="31" t="s">
        <v>73</v>
      </c>
      <c r="C395" t="s">
        <v>3726</v>
      </c>
      <c r="D395" s="5" t="s">
        <v>57</v>
      </c>
      <c r="E395">
        <v>2035</v>
      </c>
      <c r="F395" s="6" t="str">
        <f t="shared" si="56"/>
        <v>*0.95</v>
      </c>
      <c r="H395" t="s">
        <v>3726</v>
      </c>
      <c r="I395" s="5" t="s">
        <v>57</v>
      </c>
      <c r="J395">
        <v>2050</v>
      </c>
      <c r="K395" s="38" t="str">
        <f t="shared" si="57"/>
        <v>*0.93</v>
      </c>
      <c r="P395" s="32" t="s">
        <v>3726</v>
      </c>
      <c r="Q395" s="42" t="s">
        <v>57</v>
      </c>
      <c r="R395" s="32">
        <v>2035</v>
      </c>
      <c r="S395" s="43" t="str">
        <f t="shared" si="58"/>
        <v>*0.95</v>
      </c>
      <c r="U395" s="32" t="s">
        <v>3726</v>
      </c>
      <c r="V395" s="42" t="s">
        <v>57</v>
      </c>
      <c r="W395" s="32">
        <v>2050</v>
      </c>
      <c r="X395" s="43" t="str">
        <f t="shared" si="59"/>
        <v>*0.93</v>
      </c>
      <c r="AC395" s="33" t="s">
        <v>3726</v>
      </c>
      <c r="AD395" s="44" t="s">
        <v>57</v>
      </c>
      <c r="AE395" s="33">
        <v>2035</v>
      </c>
      <c r="AF395" s="45" t="str">
        <f t="shared" si="60"/>
        <v>*0.93</v>
      </c>
      <c r="AG395" s="43" t="str">
        <f t="shared" si="63"/>
        <v>REZoning_Sol-Win</v>
      </c>
      <c r="AI395" s="33" t="s">
        <v>3726</v>
      </c>
      <c r="AJ395" s="44" t="s">
        <v>57</v>
      </c>
      <c r="AK395" s="33">
        <v>2050</v>
      </c>
      <c r="AL395" s="45" t="str">
        <f t="shared" si="61"/>
        <v>*0.9</v>
      </c>
      <c r="AM395" s="43" t="str">
        <f t="shared" si="64"/>
        <v>REZoning_Sol-Win</v>
      </c>
      <c r="AP395" t="s">
        <v>3726</v>
      </c>
      <c r="AQ395" t="s">
        <v>57</v>
      </c>
      <c r="AR395">
        <f t="shared" si="62"/>
        <v>2100</v>
      </c>
      <c r="AS395" t="s">
        <v>897</v>
      </c>
      <c r="AT395" t="s">
        <v>58</v>
      </c>
    </row>
    <row r="396" ht="29" spans="1:46">
      <c r="A396" s="31" t="s">
        <v>73</v>
      </c>
      <c r="C396" t="s">
        <v>3727</v>
      </c>
      <c r="D396" s="5" t="s">
        <v>57</v>
      </c>
      <c r="E396">
        <v>2035</v>
      </c>
      <c r="F396" s="6" t="str">
        <f t="shared" si="56"/>
        <v>*0.95</v>
      </c>
      <c r="H396" t="s">
        <v>3727</v>
      </c>
      <c r="I396" s="5" t="s">
        <v>57</v>
      </c>
      <c r="J396">
        <v>2050</v>
      </c>
      <c r="K396" s="38" t="str">
        <f t="shared" si="57"/>
        <v>*0.93</v>
      </c>
      <c r="P396" s="32" t="s">
        <v>3727</v>
      </c>
      <c r="Q396" s="42" t="s">
        <v>57</v>
      </c>
      <c r="R396" s="32">
        <v>2035</v>
      </c>
      <c r="S396" s="43" t="str">
        <f t="shared" si="58"/>
        <v>*0.95</v>
      </c>
      <c r="U396" s="32" t="s">
        <v>3727</v>
      </c>
      <c r="V396" s="42" t="s">
        <v>57</v>
      </c>
      <c r="W396" s="32">
        <v>2050</v>
      </c>
      <c r="X396" s="43" t="str">
        <f t="shared" si="59"/>
        <v>*0.93</v>
      </c>
      <c r="AC396" s="33" t="s">
        <v>3727</v>
      </c>
      <c r="AD396" s="44" t="s">
        <v>57</v>
      </c>
      <c r="AE396" s="33">
        <v>2035</v>
      </c>
      <c r="AF396" s="45" t="str">
        <f t="shared" si="60"/>
        <v>*0.93</v>
      </c>
      <c r="AG396" s="43" t="str">
        <f t="shared" si="63"/>
        <v>REZoning_Sol-Win</v>
      </c>
      <c r="AI396" s="33" t="s">
        <v>3727</v>
      </c>
      <c r="AJ396" s="44" t="s">
        <v>57</v>
      </c>
      <c r="AK396" s="33">
        <v>2050</v>
      </c>
      <c r="AL396" s="45" t="str">
        <f t="shared" si="61"/>
        <v>*0.9</v>
      </c>
      <c r="AM396" s="43" t="str">
        <f t="shared" si="64"/>
        <v>REZoning_Sol-Win</v>
      </c>
      <c r="AP396" t="s">
        <v>3727</v>
      </c>
      <c r="AQ396" t="s">
        <v>57</v>
      </c>
      <c r="AR396">
        <f t="shared" si="62"/>
        <v>2100</v>
      </c>
      <c r="AS396" t="s">
        <v>897</v>
      </c>
      <c r="AT396" t="s">
        <v>58</v>
      </c>
    </row>
    <row r="397" ht="29" spans="1:46">
      <c r="A397" s="31" t="s">
        <v>73</v>
      </c>
      <c r="C397" t="s">
        <v>3728</v>
      </c>
      <c r="D397" s="5" t="s">
        <v>57</v>
      </c>
      <c r="E397">
        <v>2035</v>
      </c>
      <c r="F397" s="6" t="str">
        <f t="shared" si="56"/>
        <v>*0.95</v>
      </c>
      <c r="H397" t="s">
        <v>3728</v>
      </c>
      <c r="I397" s="5" t="s">
        <v>57</v>
      </c>
      <c r="J397">
        <v>2050</v>
      </c>
      <c r="K397" s="38" t="str">
        <f t="shared" si="57"/>
        <v>*0.93</v>
      </c>
      <c r="P397" s="32" t="s">
        <v>3728</v>
      </c>
      <c r="Q397" s="42" t="s">
        <v>57</v>
      </c>
      <c r="R397" s="32">
        <v>2035</v>
      </c>
      <c r="S397" s="43" t="str">
        <f t="shared" si="58"/>
        <v>*0.95</v>
      </c>
      <c r="U397" s="32" t="s">
        <v>3728</v>
      </c>
      <c r="V397" s="42" t="s">
        <v>57</v>
      </c>
      <c r="W397" s="32">
        <v>2050</v>
      </c>
      <c r="X397" s="43" t="str">
        <f t="shared" si="59"/>
        <v>*0.93</v>
      </c>
      <c r="AC397" s="33" t="s">
        <v>3728</v>
      </c>
      <c r="AD397" s="44" t="s">
        <v>57</v>
      </c>
      <c r="AE397" s="33">
        <v>2035</v>
      </c>
      <c r="AF397" s="45" t="str">
        <f t="shared" si="60"/>
        <v>*0.93</v>
      </c>
      <c r="AG397" s="43" t="str">
        <f t="shared" si="63"/>
        <v>REZoning_Sol-Win</v>
      </c>
      <c r="AI397" s="33" t="s">
        <v>3728</v>
      </c>
      <c r="AJ397" s="44" t="s">
        <v>57</v>
      </c>
      <c r="AK397" s="33">
        <v>2050</v>
      </c>
      <c r="AL397" s="45" t="str">
        <f t="shared" si="61"/>
        <v>*0.9</v>
      </c>
      <c r="AM397" s="43" t="str">
        <f t="shared" si="64"/>
        <v>REZoning_Sol-Win</v>
      </c>
      <c r="AP397" t="s">
        <v>3728</v>
      </c>
      <c r="AQ397" t="s">
        <v>57</v>
      </c>
      <c r="AR397">
        <f t="shared" si="62"/>
        <v>2100</v>
      </c>
      <c r="AS397" t="s">
        <v>897</v>
      </c>
      <c r="AT397" t="s">
        <v>58</v>
      </c>
    </row>
    <row r="398" ht="29" spans="1:46">
      <c r="A398" s="31" t="s">
        <v>73</v>
      </c>
      <c r="C398" t="s">
        <v>3729</v>
      </c>
      <c r="D398" s="5" t="s">
        <v>57</v>
      </c>
      <c r="E398">
        <v>2035</v>
      </c>
      <c r="F398" s="6" t="str">
        <f t="shared" si="56"/>
        <v>*0.95</v>
      </c>
      <c r="H398" t="s">
        <v>3729</v>
      </c>
      <c r="I398" s="5" t="s">
        <v>57</v>
      </c>
      <c r="J398">
        <v>2050</v>
      </c>
      <c r="K398" s="38" t="str">
        <f t="shared" si="57"/>
        <v>*0.93</v>
      </c>
      <c r="P398" s="32" t="s">
        <v>3729</v>
      </c>
      <c r="Q398" s="42" t="s">
        <v>57</v>
      </c>
      <c r="R398" s="32">
        <v>2035</v>
      </c>
      <c r="S398" s="43" t="str">
        <f t="shared" si="58"/>
        <v>*0.95</v>
      </c>
      <c r="U398" s="32" t="s">
        <v>3729</v>
      </c>
      <c r="V398" s="42" t="s">
        <v>57</v>
      </c>
      <c r="W398" s="32">
        <v>2050</v>
      </c>
      <c r="X398" s="43" t="str">
        <f t="shared" si="59"/>
        <v>*0.93</v>
      </c>
      <c r="AC398" s="33" t="s">
        <v>3729</v>
      </c>
      <c r="AD398" s="44" t="s">
        <v>57</v>
      </c>
      <c r="AE398" s="33">
        <v>2035</v>
      </c>
      <c r="AF398" s="45" t="str">
        <f t="shared" si="60"/>
        <v>*0.93</v>
      </c>
      <c r="AG398" s="43" t="str">
        <f t="shared" si="63"/>
        <v>REZoning_Sol-Win</v>
      </c>
      <c r="AI398" s="33" t="s">
        <v>3729</v>
      </c>
      <c r="AJ398" s="44" t="s">
        <v>57</v>
      </c>
      <c r="AK398" s="33">
        <v>2050</v>
      </c>
      <c r="AL398" s="45" t="str">
        <f t="shared" si="61"/>
        <v>*0.9</v>
      </c>
      <c r="AM398" s="43" t="str">
        <f t="shared" si="64"/>
        <v>REZoning_Sol-Win</v>
      </c>
      <c r="AP398" t="s">
        <v>3729</v>
      </c>
      <c r="AQ398" t="s">
        <v>57</v>
      </c>
      <c r="AR398">
        <f t="shared" si="62"/>
        <v>2100</v>
      </c>
      <c r="AS398" t="s">
        <v>897</v>
      </c>
      <c r="AT398" t="s">
        <v>58</v>
      </c>
    </row>
    <row r="399" ht="29" spans="1:46">
      <c r="A399" s="31" t="s">
        <v>73</v>
      </c>
      <c r="C399" t="s">
        <v>3730</v>
      </c>
      <c r="D399" s="5" t="s">
        <v>57</v>
      </c>
      <c r="E399">
        <v>2035</v>
      </c>
      <c r="F399" s="6" t="str">
        <f t="shared" si="56"/>
        <v>*0.95</v>
      </c>
      <c r="H399" t="s">
        <v>3730</v>
      </c>
      <c r="I399" s="5" t="s">
        <v>57</v>
      </c>
      <c r="J399">
        <v>2050</v>
      </c>
      <c r="K399" s="38" t="str">
        <f t="shared" si="57"/>
        <v>*0.93</v>
      </c>
      <c r="P399" s="32" t="s">
        <v>3730</v>
      </c>
      <c r="Q399" s="42" t="s">
        <v>57</v>
      </c>
      <c r="R399" s="32">
        <v>2035</v>
      </c>
      <c r="S399" s="43" t="str">
        <f t="shared" si="58"/>
        <v>*0.95</v>
      </c>
      <c r="U399" s="32" t="s">
        <v>3730</v>
      </c>
      <c r="V399" s="42" t="s">
        <v>57</v>
      </c>
      <c r="W399" s="32">
        <v>2050</v>
      </c>
      <c r="X399" s="43" t="str">
        <f t="shared" si="59"/>
        <v>*0.93</v>
      </c>
      <c r="AC399" s="33" t="s">
        <v>3730</v>
      </c>
      <c r="AD399" s="44" t="s">
        <v>57</v>
      </c>
      <c r="AE399" s="33">
        <v>2035</v>
      </c>
      <c r="AF399" s="45" t="str">
        <f t="shared" si="60"/>
        <v>*0.93</v>
      </c>
      <c r="AG399" s="43" t="str">
        <f t="shared" si="63"/>
        <v>REZoning_Sol-Win</v>
      </c>
      <c r="AI399" s="33" t="s">
        <v>3730</v>
      </c>
      <c r="AJ399" s="44" t="s">
        <v>57</v>
      </c>
      <c r="AK399" s="33">
        <v>2050</v>
      </c>
      <c r="AL399" s="45" t="str">
        <f t="shared" si="61"/>
        <v>*0.9</v>
      </c>
      <c r="AM399" s="43" t="str">
        <f t="shared" si="64"/>
        <v>REZoning_Sol-Win</v>
      </c>
      <c r="AP399" t="s">
        <v>3730</v>
      </c>
      <c r="AQ399" t="s">
        <v>57</v>
      </c>
      <c r="AR399">
        <f t="shared" si="62"/>
        <v>2100</v>
      </c>
      <c r="AS399" t="s">
        <v>897</v>
      </c>
      <c r="AT399" t="s">
        <v>58</v>
      </c>
    </row>
    <row r="400" ht="29" spans="1:46">
      <c r="A400" s="31" t="s">
        <v>73</v>
      </c>
      <c r="C400" t="s">
        <v>3731</v>
      </c>
      <c r="D400" s="5" t="s">
        <v>57</v>
      </c>
      <c r="E400">
        <v>2035</v>
      </c>
      <c r="F400" s="6" t="str">
        <f t="shared" si="56"/>
        <v>*0.95</v>
      </c>
      <c r="H400" t="s">
        <v>3731</v>
      </c>
      <c r="I400" s="5" t="s">
        <v>57</v>
      </c>
      <c r="J400">
        <v>2050</v>
      </c>
      <c r="K400" s="38" t="str">
        <f t="shared" si="57"/>
        <v>*0.93</v>
      </c>
      <c r="P400" s="32" t="s">
        <v>3731</v>
      </c>
      <c r="Q400" s="42" t="s">
        <v>57</v>
      </c>
      <c r="R400" s="32">
        <v>2035</v>
      </c>
      <c r="S400" s="43" t="str">
        <f t="shared" si="58"/>
        <v>*0.95</v>
      </c>
      <c r="U400" s="32" t="s">
        <v>3731</v>
      </c>
      <c r="V400" s="42" t="s">
        <v>57</v>
      </c>
      <c r="W400" s="32">
        <v>2050</v>
      </c>
      <c r="X400" s="43" t="str">
        <f t="shared" si="59"/>
        <v>*0.93</v>
      </c>
      <c r="AC400" s="33" t="s">
        <v>3731</v>
      </c>
      <c r="AD400" s="44" t="s">
        <v>57</v>
      </c>
      <c r="AE400" s="33">
        <v>2035</v>
      </c>
      <c r="AF400" s="45" t="str">
        <f t="shared" si="60"/>
        <v>*0.93</v>
      </c>
      <c r="AG400" s="43" t="str">
        <f t="shared" si="63"/>
        <v>REZoning_Sol-Win</v>
      </c>
      <c r="AI400" s="33" t="s">
        <v>3731</v>
      </c>
      <c r="AJ400" s="44" t="s">
        <v>57</v>
      </c>
      <c r="AK400" s="33">
        <v>2050</v>
      </c>
      <c r="AL400" s="45" t="str">
        <f t="shared" si="61"/>
        <v>*0.9</v>
      </c>
      <c r="AM400" s="43" t="str">
        <f t="shared" si="64"/>
        <v>REZoning_Sol-Win</v>
      </c>
      <c r="AP400" t="s">
        <v>3731</v>
      </c>
      <c r="AQ400" t="s">
        <v>57</v>
      </c>
      <c r="AR400">
        <f t="shared" si="62"/>
        <v>2100</v>
      </c>
      <c r="AS400" t="s">
        <v>897</v>
      </c>
      <c r="AT400" t="s">
        <v>58</v>
      </c>
    </row>
    <row r="401" ht="29" spans="1:46">
      <c r="A401" s="31" t="s">
        <v>73</v>
      </c>
      <c r="C401" t="s">
        <v>3732</v>
      </c>
      <c r="D401" s="5" t="s">
        <v>57</v>
      </c>
      <c r="E401">
        <v>2035</v>
      </c>
      <c r="F401" s="6" t="str">
        <f t="shared" si="56"/>
        <v>*0.95</v>
      </c>
      <c r="H401" t="s">
        <v>3732</v>
      </c>
      <c r="I401" s="5" t="s">
        <v>57</v>
      </c>
      <c r="J401">
        <v>2050</v>
      </c>
      <c r="K401" s="38" t="str">
        <f t="shared" si="57"/>
        <v>*0.93</v>
      </c>
      <c r="P401" s="32" t="s">
        <v>3732</v>
      </c>
      <c r="Q401" s="42" t="s">
        <v>57</v>
      </c>
      <c r="R401" s="32">
        <v>2035</v>
      </c>
      <c r="S401" s="43" t="str">
        <f t="shared" si="58"/>
        <v>*0.95</v>
      </c>
      <c r="U401" s="32" t="s">
        <v>3732</v>
      </c>
      <c r="V401" s="42" t="s">
        <v>57</v>
      </c>
      <c r="W401" s="32">
        <v>2050</v>
      </c>
      <c r="X401" s="43" t="str">
        <f t="shared" si="59"/>
        <v>*0.93</v>
      </c>
      <c r="AC401" s="33" t="s">
        <v>3732</v>
      </c>
      <c r="AD401" s="44" t="s">
        <v>57</v>
      </c>
      <c r="AE401" s="33">
        <v>2035</v>
      </c>
      <c r="AF401" s="45" t="str">
        <f t="shared" si="60"/>
        <v>*0.93</v>
      </c>
      <c r="AG401" s="43" t="str">
        <f t="shared" si="63"/>
        <v>REZoning_Sol-Win</v>
      </c>
      <c r="AI401" s="33" t="s">
        <v>3732</v>
      </c>
      <c r="AJ401" s="44" t="s">
        <v>57</v>
      </c>
      <c r="AK401" s="33">
        <v>2050</v>
      </c>
      <c r="AL401" s="45" t="str">
        <f t="shared" si="61"/>
        <v>*0.9</v>
      </c>
      <c r="AM401" s="43" t="str">
        <f t="shared" si="64"/>
        <v>REZoning_Sol-Win</v>
      </c>
      <c r="AP401" t="s">
        <v>3732</v>
      </c>
      <c r="AQ401" t="s">
        <v>57</v>
      </c>
      <c r="AR401">
        <f t="shared" si="62"/>
        <v>2100</v>
      </c>
      <c r="AS401" t="s">
        <v>897</v>
      </c>
      <c r="AT401" t="s">
        <v>58</v>
      </c>
    </row>
    <row r="402" ht="29" spans="1:46">
      <c r="A402" s="31" t="s">
        <v>73</v>
      </c>
      <c r="C402" t="s">
        <v>3733</v>
      </c>
      <c r="D402" s="5" t="s">
        <v>57</v>
      </c>
      <c r="E402">
        <v>2035</v>
      </c>
      <c r="F402" s="6" t="str">
        <f t="shared" si="56"/>
        <v>*0.95</v>
      </c>
      <c r="H402" t="s">
        <v>3733</v>
      </c>
      <c r="I402" s="5" t="s">
        <v>57</v>
      </c>
      <c r="J402">
        <v>2050</v>
      </c>
      <c r="K402" s="38" t="str">
        <f t="shared" si="57"/>
        <v>*0.93</v>
      </c>
      <c r="P402" s="32" t="s">
        <v>3733</v>
      </c>
      <c r="Q402" s="42" t="s">
        <v>57</v>
      </c>
      <c r="R402" s="32">
        <v>2035</v>
      </c>
      <c r="S402" s="43" t="str">
        <f t="shared" si="58"/>
        <v>*0.95</v>
      </c>
      <c r="U402" s="32" t="s">
        <v>3733</v>
      </c>
      <c r="V402" s="42" t="s">
        <v>57</v>
      </c>
      <c r="W402" s="32">
        <v>2050</v>
      </c>
      <c r="X402" s="43" t="str">
        <f t="shared" si="59"/>
        <v>*0.93</v>
      </c>
      <c r="AC402" s="33" t="s">
        <v>3733</v>
      </c>
      <c r="AD402" s="44" t="s">
        <v>57</v>
      </c>
      <c r="AE402" s="33">
        <v>2035</v>
      </c>
      <c r="AF402" s="45" t="str">
        <f t="shared" si="60"/>
        <v>*0.93</v>
      </c>
      <c r="AG402" s="43" t="str">
        <f t="shared" si="63"/>
        <v>REZoning_Sol-Win</v>
      </c>
      <c r="AI402" s="33" t="s">
        <v>3733</v>
      </c>
      <c r="AJ402" s="44" t="s">
        <v>57</v>
      </c>
      <c r="AK402" s="33">
        <v>2050</v>
      </c>
      <c r="AL402" s="45" t="str">
        <f t="shared" si="61"/>
        <v>*0.9</v>
      </c>
      <c r="AM402" s="43" t="str">
        <f t="shared" si="64"/>
        <v>REZoning_Sol-Win</v>
      </c>
      <c r="AP402" t="s">
        <v>3733</v>
      </c>
      <c r="AQ402" t="s">
        <v>57</v>
      </c>
      <c r="AR402">
        <f t="shared" si="62"/>
        <v>2100</v>
      </c>
      <c r="AS402" t="s">
        <v>897</v>
      </c>
      <c r="AT402" t="s">
        <v>58</v>
      </c>
    </row>
    <row r="403" ht="29" spans="1:46">
      <c r="A403" s="31" t="s">
        <v>73</v>
      </c>
      <c r="C403" t="s">
        <v>3734</v>
      </c>
      <c r="D403" s="5" t="s">
        <v>57</v>
      </c>
      <c r="E403">
        <v>2035</v>
      </c>
      <c r="F403" s="6" t="str">
        <f t="shared" si="56"/>
        <v>*0.95</v>
      </c>
      <c r="H403" t="s">
        <v>3734</v>
      </c>
      <c r="I403" s="5" t="s">
        <v>57</v>
      </c>
      <c r="J403">
        <v>2050</v>
      </c>
      <c r="K403" s="38" t="str">
        <f t="shared" si="57"/>
        <v>*0.93</v>
      </c>
      <c r="P403" s="32" t="s">
        <v>3734</v>
      </c>
      <c r="Q403" s="42" t="s">
        <v>57</v>
      </c>
      <c r="R403" s="32">
        <v>2035</v>
      </c>
      <c r="S403" s="43" t="str">
        <f t="shared" si="58"/>
        <v>*0.95</v>
      </c>
      <c r="U403" s="32" t="s">
        <v>3734</v>
      </c>
      <c r="V403" s="42" t="s">
        <v>57</v>
      </c>
      <c r="W403" s="32">
        <v>2050</v>
      </c>
      <c r="X403" s="43" t="str">
        <f t="shared" si="59"/>
        <v>*0.93</v>
      </c>
      <c r="AC403" s="33" t="s">
        <v>3734</v>
      </c>
      <c r="AD403" s="44" t="s">
        <v>57</v>
      </c>
      <c r="AE403" s="33">
        <v>2035</v>
      </c>
      <c r="AF403" s="45" t="str">
        <f t="shared" si="60"/>
        <v>*0.93</v>
      </c>
      <c r="AG403" s="43" t="str">
        <f t="shared" si="63"/>
        <v>REZoning_Sol-Win</v>
      </c>
      <c r="AI403" s="33" t="s">
        <v>3734</v>
      </c>
      <c r="AJ403" s="44" t="s">
        <v>57</v>
      </c>
      <c r="AK403" s="33">
        <v>2050</v>
      </c>
      <c r="AL403" s="45" t="str">
        <f t="shared" si="61"/>
        <v>*0.9</v>
      </c>
      <c r="AM403" s="43" t="str">
        <f t="shared" si="64"/>
        <v>REZoning_Sol-Win</v>
      </c>
      <c r="AP403" t="s">
        <v>3734</v>
      </c>
      <c r="AQ403" t="s">
        <v>57</v>
      </c>
      <c r="AR403">
        <f t="shared" si="62"/>
        <v>2100</v>
      </c>
      <c r="AS403" t="s">
        <v>897</v>
      </c>
      <c r="AT403" t="s">
        <v>58</v>
      </c>
    </row>
    <row r="404" ht="29" spans="1:46">
      <c r="A404" s="31" t="s">
        <v>73</v>
      </c>
      <c r="C404" t="s">
        <v>3735</v>
      </c>
      <c r="D404" s="5" t="s">
        <v>57</v>
      </c>
      <c r="E404">
        <v>2035</v>
      </c>
      <c r="F404" s="6" t="str">
        <f t="shared" si="56"/>
        <v>*0.95</v>
      </c>
      <c r="H404" t="s">
        <v>3735</v>
      </c>
      <c r="I404" s="5" t="s">
        <v>57</v>
      </c>
      <c r="J404">
        <v>2050</v>
      </c>
      <c r="K404" s="38" t="str">
        <f t="shared" si="57"/>
        <v>*0.93</v>
      </c>
      <c r="P404" s="32" t="s">
        <v>3735</v>
      </c>
      <c r="Q404" s="42" t="s">
        <v>57</v>
      </c>
      <c r="R404" s="32">
        <v>2035</v>
      </c>
      <c r="S404" s="43" t="str">
        <f t="shared" si="58"/>
        <v>*0.95</v>
      </c>
      <c r="U404" s="32" t="s">
        <v>3735</v>
      </c>
      <c r="V404" s="42" t="s">
        <v>57</v>
      </c>
      <c r="W404" s="32">
        <v>2050</v>
      </c>
      <c r="X404" s="43" t="str">
        <f t="shared" si="59"/>
        <v>*0.93</v>
      </c>
      <c r="AC404" s="33" t="s">
        <v>3735</v>
      </c>
      <c r="AD404" s="44" t="s">
        <v>57</v>
      </c>
      <c r="AE404" s="33">
        <v>2035</v>
      </c>
      <c r="AF404" s="45" t="str">
        <f t="shared" si="60"/>
        <v>*0.93</v>
      </c>
      <c r="AG404" s="43" t="str">
        <f t="shared" si="63"/>
        <v>REZoning_Sol-Win</v>
      </c>
      <c r="AI404" s="33" t="s">
        <v>3735</v>
      </c>
      <c r="AJ404" s="44" t="s">
        <v>57</v>
      </c>
      <c r="AK404" s="33">
        <v>2050</v>
      </c>
      <c r="AL404" s="45" t="str">
        <f t="shared" si="61"/>
        <v>*0.9</v>
      </c>
      <c r="AM404" s="43" t="str">
        <f t="shared" si="64"/>
        <v>REZoning_Sol-Win</v>
      </c>
      <c r="AP404" t="s">
        <v>3735</v>
      </c>
      <c r="AQ404" t="s">
        <v>57</v>
      </c>
      <c r="AR404">
        <f t="shared" si="62"/>
        <v>2100</v>
      </c>
      <c r="AS404" t="s">
        <v>897</v>
      </c>
      <c r="AT404" t="s">
        <v>58</v>
      </c>
    </row>
    <row r="405" ht="29" spans="1:46">
      <c r="A405" s="31" t="s">
        <v>73</v>
      </c>
      <c r="C405" t="s">
        <v>3736</v>
      </c>
      <c r="D405" s="5" t="s">
        <v>57</v>
      </c>
      <c r="E405">
        <v>2035</v>
      </c>
      <c r="F405" s="6" t="str">
        <f t="shared" si="56"/>
        <v>*0.95</v>
      </c>
      <c r="H405" t="s">
        <v>3736</v>
      </c>
      <c r="I405" s="5" t="s">
        <v>57</v>
      </c>
      <c r="J405">
        <v>2050</v>
      </c>
      <c r="K405" s="38" t="str">
        <f t="shared" si="57"/>
        <v>*0.93</v>
      </c>
      <c r="P405" s="32" t="s">
        <v>3736</v>
      </c>
      <c r="Q405" s="42" t="s">
        <v>57</v>
      </c>
      <c r="R405" s="32">
        <v>2035</v>
      </c>
      <c r="S405" s="43" t="str">
        <f t="shared" si="58"/>
        <v>*0.95</v>
      </c>
      <c r="U405" s="32" t="s">
        <v>3736</v>
      </c>
      <c r="V405" s="42" t="s">
        <v>57</v>
      </c>
      <c r="W405" s="32">
        <v>2050</v>
      </c>
      <c r="X405" s="43" t="str">
        <f t="shared" si="59"/>
        <v>*0.93</v>
      </c>
      <c r="AC405" s="33" t="s">
        <v>3736</v>
      </c>
      <c r="AD405" s="44" t="s">
        <v>57</v>
      </c>
      <c r="AE405" s="33">
        <v>2035</v>
      </c>
      <c r="AF405" s="45" t="str">
        <f t="shared" si="60"/>
        <v>*0.93</v>
      </c>
      <c r="AG405" s="43" t="str">
        <f t="shared" si="63"/>
        <v>REZoning_Sol-Win</v>
      </c>
      <c r="AI405" s="33" t="s">
        <v>3736</v>
      </c>
      <c r="AJ405" s="44" t="s">
        <v>57</v>
      </c>
      <c r="AK405" s="33">
        <v>2050</v>
      </c>
      <c r="AL405" s="45" t="str">
        <f t="shared" si="61"/>
        <v>*0.9</v>
      </c>
      <c r="AM405" s="43" t="str">
        <f t="shared" si="64"/>
        <v>REZoning_Sol-Win</v>
      </c>
      <c r="AP405" t="s">
        <v>3736</v>
      </c>
      <c r="AQ405" t="s">
        <v>57</v>
      </c>
      <c r="AR405">
        <f t="shared" si="62"/>
        <v>2100</v>
      </c>
      <c r="AS405" t="s">
        <v>897</v>
      </c>
      <c r="AT405" t="s">
        <v>58</v>
      </c>
    </row>
    <row r="406" ht="29" spans="1:46">
      <c r="A406" s="31" t="s">
        <v>73</v>
      </c>
      <c r="C406" t="s">
        <v>3737</v>
      </c>
      <c r="D406" s="5" t="s">
        <v>57</v>
      </c>
      <c r="E406">
        <v>2035</v>
      </c>
      <c r="F406" s="6" t="str">
        <f t="shared" si="56"/>
        <v>*0.95</v>
      </c>
      <c r="H406" t="s">
        <v>3737</v>
      </c>
      <c r="I406" s="5" t="s">
        <v>57</v>
      </c>
      <c r="J406">
        <v>2050</v>
      </c>
      <c r="K406" s="38" t="str">
        <f t="shared" si="57"/>
        <v>*0.93</v>
      </c>
      <c r="P406" s="32" t="s">
        <v>3737</v>
      </c>
      <c r="Q406" s="42" t="s">
        <v>57</v>
      </c>
      <c r="R406" s="32">
        <v>2035</v>
      </c>
      <c r="S406" s="43" t="str">
        <f t="shared" si="58"/>
        <v>*0.95</v>
      </c>
      <c r="U406" s="32" t="s">
        <v>3737</v>
      </c>
      <c r="V406" s="42" t="s">
        <v>57</v>
      </c>
      <c r="W406" s="32">
        <v>2050</v>
      </c>
      <c r="X406" s="43" t="str">
        <f t="shared" si="59"/>
        <v>*0.93</v>
      </c>
      <c r="AC406" s="33" t="s">
        <v>3737</v>
      </c>
      <c r="AD406" s="44" t="s">
        <v>57</v>
      </c>
      <c r="AE406" s="33">
        <v>2035</v>
      </c>
      <c r="AF406" s="45" t="str">
        <f t="shared" si="60"/>
        <v>*0.93</v>
      </c>
      <c r="AG406" s="43" t="str">
        <f t="shared" si="63"/>
        <v>REZoning_Sol-Win</v>
      </c>
      <c r="AI406" s="33" t="s">
        <v>3737</v>
      </c>
      <c r="AJ406" s="44" t="s">
        <v>57</v>
      </c>
      <c r="AK406" s="33">
        <v>2050</v>
      </c>
      <c r="AL406" s="45" t="str">
        <f t="shared" si="61"/>
        <v>*0.9</v>
      </c>
      <c r="AM406" s="43" t="str">
        <f t="shared" si="64"/>
        <v>REZoning_Sol-Win</v>
      </c>
      <c r="AP406" t="s">
        <v>3737</v>
      </c>
      <c r="AQ406" t="s">
        <v>57</v>
      </c>
      <c r="AR406">
        <f t="shared" si="62"/>
        <v>2100</v>
      </c>
      <c r="AS406" t="s">
        <v>897</v>
      </c>
      <c r="AT406" t="s">
        <v>58</v>
      </c>
    </row>
    <row r="407" ht="29" spans="1:46">
      <c r="A407" s="31" t="s">
        <v>73</v>
      </c>
      <c r="C407" t="s">
        <v>3738</v>
      </c>
      <c r="D407" s="5" t="s">
        <v>57</v>
      </c>
      <c r="E407">
        <v>2035</v>
      </c>
      <c r="F407" s="6" t="str">
        <f t="shared" si="56"/>
        <v>*0.95</v>
      </c>
      <c r="H407" t="s">
        <v>3738</v>
      </c>
      <c r="I407" s="5" t="s">
        <v>57</v>
      </c>
      <c r="J407">
        <v>2050</v>
      </c>
      <c r="K407" s="38" t="str">
        <f t="shared" si="57"/>
        <v>*0.93</v>
      </c>
      <c r="P407" s="32" t="s">
        <v>3738</v>
      </c>
      <c r="Q407" s="42" t="s">
        <v>57</v>
      </c>
      <c r="R407" s="32">
        <v>2035</v>
      </c>
      <c r="S407" s="43" t="str">
        <f t="shared" si="58"/>
        <v>*0.95</v>
      </c>
      <c r="U407" s="32" t="s">
        <v>3738</v>
      </c>
      <c r="V407" s="42" t="s">
        <v>57</v>
      </c>
      <c r="W407" s="32">
        <v>2050</v>
      </c>
      <c r="X407" s="43" t="str">
        <f t="shared" si="59"/>
        <v>*0.93</v>
      </c>
      <c r="AC407" s="33" t="s">
        <v>3738</v>
      </c>
      <c r="AD407" s="44" t="s">
        <v>57</v>
      </c>
      <c r="AE407" s="33">
        <v>2035</v>
      </c>
      <c r="AF407" s="45" t="str">
        <f t="shared" si="60"/>
        <v>*0.93</v>
      </c>
      <c r="AG407" s="43" t="str">
        <f t="shared" si="63"/>
        <v>REZoning_Sol-Win</v>
      </c>
      <c r="AI407" s="33" t="s">
        <v>3738</v>
      </c>
      <c r="AJ407" s="44" t="s">
        <v>57</v>
      </c>
      <c r="AK407" s="33">
        <v>2050</v>
      </c>
      <c r="AL407" s="45" t="str">
        <f t="shared" si="61"/>
        <v>*0.9</v>
      </c>
      <c r="AM407" s="43" t="str">
        <f t="shared" si="64"/>
        <v>REZoning_Sol-Win</v>
      </c>
      <c r="AP407" t="s">
        <v>3738</v>
      </c>
      <c r="AQ407" t="s">
        <v>57</v>
      </c>
      <c r="AR407">
        <f t="shared" si="62"/>
        <v>2100</v>
      </c>
      <c r="AS407" t="s">
        <v>897</v>
      </c>
      <c r="AT407" t="s">
        <v>58</v>
      </c>
    </row>
    <row r="408" ht="29" spans="1:46">
      <c r="A408" s="31" t="s">
        <v>73</v>
      </c>
      <c r="C408" t="s">
        <v>3739</v>
      </c>
      <c r="D408" s="5" t="s">
        <v>57</v>
      </c>
      <c r="E408">
        <v>2035</v>
      </c>
      <c r="F408" s="6" t="str">
        <f t="shared" si="56"/>
        <v>*0.95</v>
      </c>
      <c r="H408" t="s">
        <v>3739</v>
      </c>
      <c r="I408" s="5" t="s">
        <v>57</v>
      </c>
      <c r="J408">
        <v>2050</v>
      </c>
      <c r="K408" s="38" t="str">
        <f t="shared" si="57"/>
        <v>*0.93</v>
      </c>
      <c r="P408" s="32" t="s">
        <v>3739</v>
      </c>
      <c r="Q408" s="42" t="s">
        <v>57</v>
      </c>
      <c r="R408" s="32">
        <v>2035</v>
      </c>
      <c r="S408" s="43" t="str">
        <f t="shared" si="58"/>
        <v>*0.95</v>
      </c>
      <c r="U408" s="32" t="s">
        <v>3739</v>
      </c>
      <c r="V408" s="42" t="s">
        <v>57</v>
      </c>
      <c r="W408" s="32">
        <v>2050</v>
      </c>
      <c r="X408" s="43" t="str">
        <f t="shared" si="59"/>
        <v>*0.93</v>
      </c>
      <c r="AC408" s="33" t="s">
        <v>3739</v>
      </c>
      <c r="AD408" s="44" t="s">
        <v>57</v>
      </c>
      <c r="AE408" s="33">
        <v>2035</v>
      </c>
      <c r="AF408" s="45" t="str">
        <f t="shared" si="60"/>
        <v>*0.93</v>
      </c>
      <c r="AG408" s="43" t="str">
        <f t="shared" si="63"/>
        <v>REZoning_Sol-Win</v>
      </c>
      <c r="AI408" s="33" t="s">
        <v>3739</v>
      </c>
      <c r="AJ408" s="44" t="s">
        <v>57</v>
      </c>
      <c r="AK408" s="33">
        <v>2050</v>
      </c>
      <c r="AL408" s="45" t="str">
        <f t="shared" si="61"/>
        <v>*0.9</v>
      </c>
      <c r="AM408" s="43" t="str">
        <f t="shared" si="64"/>
        <v>REZoning_Sol-Win</v>
      </c>
      <c r="AP408" t="s">
        <v>3739</v>
      </c>
      <c r="AQ408" t="s">
        <v>57</v>
      </c>
      <c r="AR408">
        <f t="shared" si="62"/>
        <v>2100</v>
      </c>
      <c r="AS408" t="s">
        <v>897</v>
      </c>
      <c r="AT408" t="s">
        <v>58</v>
      </c>
    </row>
    <row r="409" ht="29" spans="1:46">
      <c r="A409" s="31" t="s">
        <v>73</v>
      </c>
      <c r="C409" t="s">
        <v>3740</v>
      </c>
      <c r="D409" s="5" t="s">
        <v>57</v>
      </c>
      <c r="E409">
        <v>2035</v>
      </c>
      <c r="F409" s="6" t="str">
        <f t="shared" si="56"/>
        <v>*0.95</v>
      </c>
      <c r="H409" t="s">
        <v>3740</v>
      </c>
      <c r="I409" s="5" t="s">
        <v>57</v>
      </c>
      <c r="J409">
        <v>2050</v>
      </c>
      <c r="K409" s="38" t="str">
        <f t="shared" si="57"/>
        <v>*0.93</v>
      </c>
      <c r="P409" s="32" t="s">
        <v>3740</v>
      </c>
      <c r="Q409" s="42" t="s">
        <v>57</v>
      </c>
      <c r="R409" s="32">
        <v>2035</v>
      </c>
      <c r="S409" s="43" t="str">
        <f t="shared" si="58"/>
        <v>*0.95</v>
      </c>
      <c r="U409" s="32" t="s">
        <v>3740</v>
      </c>
      <c r="V409" s="42" t="s">
        <v>57</v>
      </c>
      <c r="W409" s="32">
        <v>2050</v>
      </c>
      <c r="X409" s="43" t="str">
        <f t="shared" si="59"/>
        <v>*0.93</v>
      </c>
      <c r="AC409" s="33" t="s">
        <v>3740</v>
      </c>
      <c r="AD409" s="44" t="s">
        <v>57</v>
      </c>
      <c r="AE409" s="33">
        <v>2035</v>
      </c>
      <c r="AF409" s="45" t="str">
        <f t="shared" si="60"/>
        <v>*0.93</v>
      </c>
      <c r="AG409" s="43" t="str">
        <f t="shared" si="63"/>
        <v>REZoning_Sol-Win</v>
      </c>
      <c r="AI409" s="33" t="s">
        <v>3740</v>
      </c>
      <c r="AJ409" s="44" t="s">
        <v>57</v>
      </c>
      <c r="AK409" s="33">
        <v>2050</v>
      </c>
      <c r="AL409" s="45" t="str">
        <f t="shared" si="61"/>
        <v>*0.9</v>
      </c>
      <c r="AM409" s="43" t="str">
        <f t="shared" si="64"/>
        <v>REZoning_Sol-Win</v>
      </c>
      <c r="AP409" t="s">
        <v>3740</v>
      </c>
      <c r="AQ409" t="s">
        <v>57</v>
      </c>
      <c r="AR409">
        <f t="shared" si="62"/>
        <v>2100</v>
      </c>
      <c r="AS409" t="s">
        <v>897</v>
      </c>
      <c r="AT409" t="s">
        <v>58</v>
      </c>
    </row>
    <row r="410" ht="29" spans="1:46">
      <c r="A410" s="31" t="s">
        <v>73</v>
      </c>
      <c r="C410" t="s">
        <v>3741</v>
      </c>
      <c r="D410" s="5" t="s">
        <v>57</v>
      </c>
      <c r="E410">
        <v>2035</v>
      </c>
      <c r="F410" s="6" t="str">
        <f t="shared" si="56"/>
        <v>*0.95</v>
      </c>
      <c r="H410" t="s">
        <v>3741</v>
      </c>
      <c r="I410" s="5" t="s">
        <v>57</v>
      </c>
      <c r="J410">
        <v>2050</v>
      </c>
      <c r="K410" s="38" t="str">
        <f t="shared" si="57"/>
        <v>*0.93</v>
      </c>
      <c r="P410" s="32" t="s">
        <v>3741</v>
      </c>
      <c r="Q410" s="42" t="s">
        <v>57</v>
      </c>
      <c r="R410" s="32">
        <v>2035</v>
      </c>
      <c r="S410" s="43" t="str">
        <f t="shared" si="58"/>
        <v>*0.95</v>
      </c>
      <c r="U410" s="32" t="s">
        <v>3741</v>
      </c>
      <c r="V410" s="42" t="s">
        <v>57</v>
      </c>
      <c r="W410" s="32">
        <v>2050</v>
      </c>
      <c r="X410" s="43" t="str">
        <f t="shared" si="59"/>
        <v>*0.93</v>
      </c>
      <c r="AC410" s="33" t="s">
        <v>3741</v>
      </c>
      <c r="AD410" s="44" t="s">
        <v>57</v>
      </c>
      <c r="AE410" s="33">
        <v>2035</v>
      </c>
      <c r="AF410" s="45" t="str">
        <f t="shared" si="60"/>
        <v>*0.93</v>
      </c>
      <c r="AG410" s="43" t="str">
        <f t="shared" si="63"/>
        <v>REZoning_Sol-Win</v>
      </c>
      <c r="AI410" s="33" t="s">
        <v>3741</v>
      </c>
      <c r="AJ410" s="44" t="s">
        <v>57</v>
      </c>
      <c r="AK410" s="33">
        <v>2050</v>
      </c>
      <c r="AL410" s="45" t="str">
        <f t="shared" si="61"/>
        <v>*0.9</v>
      </c>
      <c r="AM410" s="43" t="str">
        <f t="shared" si="64"/>
        <v>REZoning_Sol-Win</v>
      </c>
      <c r="AP410" t="s">
        <v>3741</v>
      </c>
      <c r="AQ410" t="s">
        <v>57</v>
      </c>
      <c r="AR410">
        <f t="shared" si="62"/>
        <v>2100</v>
      </c>
      <c r="AS410" t="s">
        <v>897</v>
      </c>
      <c r="AT410" t="s">
        <v>58</v>
      </c>
    </row>
    <row r="411" ht="29" spans="1:46">
      <c r="A411" s="31" t="s">
        <v>73</v>
      </c>
      <c r="C411" t="s">
        <v>3742</v>
      </c>
      <c r="D411" s="5" t="s">
        <v>57</v>
      </c>
      <c r="E411">
        <v>2035</v>
      </c>
      <c r="F411" s="6" t="str">
        <f t="shared" si="56"/>
        <v>*0.95</v>
      </c>
      <c r="H411" t="s">
        <v>3742</v>
      </c>
      <c r="I411" s="5" t="s">
        <v>57</v>
      </c>
      <c r="J411">
        <v>2050</v>
      </c>
      <c r="K411" s="38" t="str">
        <f t="shared" si="57"/>
        <v>*0.93</v>
      </c>
      <c r="P411" s="32" t="s">
        <v>3742</v>
      </c>
      <c r="Q411" s="42" t="s">
        <v>57</v>
      </c>
      <c r="R411" s="32">
        <v>2035</v>
      </c>
      <c r="S411" s="43" t="str">
        <f t="shared" si="58"/>
        <v>*0.95</v>
      </c>
      <c r="U411" s="32" t="s">
        <v>3742</v>
      </c>
      <c r="V411" s="42" t="s">
        <v>57</v>
      </c>
      <c r="W411" s="32">
        <v>2050</v>
      </c>
      <c r="X411" s="43" t="str">
        <f t="shared" si="59"/>
        <v>*0.93</v>
      </c>
      <c r="AC411" s="33" t="s">
        <v>3742</v>
      </c>
      <c r="AD411" s="44" t="s">
        <v>57</v>
      </c>
      <c r="AE411" s="33">
        <v>2035</v>
      </c>
      <c r="AF411" s="45" t="str">
        <f t="shared" si="60"/>
        <v>*0.93</v>
      </c>
      <c r="AG411" s="43" t="str">
        <f t="shared" si="63"/>
        <v>REZoning_Sol-Win</v>
      </c>
      <c r="AI411" s="33" t="s">
        <v>3742</v>
      </c>
      <c r="AJ411" s="44" t="s">
        <v>57</v>
      </c>
      <c r="AK411" s="33">
        <v>2050</v>
      </c>
      <c r="AL411" s="45" t="str">
        <f t="shared" si="61"/>
        <v>*0.9</v>
      </c>
      <c r="AM411" s="43" t="str">
        <f t="shared" si="64"/>
        <v>REZoning_Sol-Win</v>
      </c>
      <c r="AP411" t="s">
        <v>3742</v>
      </c>
      <c r="AQ411" t="s">
        <v>57</v>
      </c>
      <c r="AR411">
        <f t="shared" si="62"/>
        <v>2100</v>
      </c>
      <c r="AS411" t="s">
        <v>897</v>
      </c>
      <c r="AT411" t="s">
        <v>58</v>
      </c>
    </row>
    <row r="412" ht="29" spans="1:46">
      <c r="A412" s="31" t="s">
        <v>73</v>
      </c>
      <c r="C412" t="s">
        <v>3743</v>
      </c>
      <c r="D412" s="5" t="s">
        <v>57</v>
      </c>
      <c r="E412">
        <v>2035</v>
      </c>
      <c r="F412" s="6" t="str">
        <f t="shared" si="56"/>
        <v>*0.95</v>
      </c>
      <c r="H412" t="s">
        <v>3743</v>
      </c>
      <c r="I412" s="5" t="s">
        <v>57</v>
      </c>
      <c r="J412">
        <v>2050</v>
      </c>
      <c r="K412" s="38" t="str">
        <f t="shared" si="57"/>
        <v>*0.93</v>
      </c>
      <c r="P412" s="32" t="s">
        <v>3743</v>
      </c>
      <c r="Q412" s="42" t="s">
        <v>57</v>
      </c>
      <c r="R412" s="32">
        <v>2035</v>
      </c>
      <c r="S412" s="43" t="str">
        <f t="shared" si="58"/>
        <v>*0.95</v>
      </c>
      <c r="U412" s="32" t="s">
        <v>3743</v>
      </c>
      <c r="V412" s="42" t="s">
        <v>57</v>
      </c>
      <c r="W412" s="32">
        <v>2050</v>
      </c>
      <c r="X412" s="43" t="str">
        <f t="shared" si="59"/>
        <v>*0.93</v>
      </c>
      <c r="AC412" s="33" t="s">
        <v>3743</v>
      </c>
      <c r="AD412" s="44" t="s">
        <v>57</v>
      </c>
      <c r="AE412" s="33">
        <v>2035</v>
      </c>
      <c r="AF412" s="45" t="str">
        <f t="shared" si="60"/>
        <v>*0.93</v>
      </c>
      <c r="AG412" s="43" t="str">
        <f t="shared" si="63"/>
        <v>REZoning_Sol-Win</v>
      </c>
      <c r="AI412" s="33" t="s">
        <v>3743</v>
      </c>
      <c r="AJ412" s="44" t="s">
        <v>57</v>
      </c>
      <c r="AK412" s="33">
        <v>2050</v>
      </c>
      <c r="AL412" s="45" t="str">
        <f t="shared" si="61"/>
        <v>*0.9</v>
      </c>
      <c r="AM412" s="43" t="str">
        <f t="shared" si="64"/>
        <v>REZoning_Sol-Win</v>
      </c>
      <c r="AP412" t="s">
        <v>3743</v>
      </c>
      <c r="AQ412" t="s">
        <v>57</v>
      </c>
      <c r="AR412">
        <f t="shared" si="62"/>
        <v>2100</v>
      </c>
      <c r="AS412" t="s">
        <v>897</v>
      </c>
      <c r="AT412" t="s">
        <v>58</v>
      </c>
    </row>
    <row r="413" ht="29" spans="1:46">
      <c r="A413" s="31" t="s">
        <v>73</v>
      </c>
      <c r="C413" t="s">
        <v>3744</v>
      </c>
      <c r="D413" s="5" t="s">
        <v>57</v>
      </c>
      <c r="E413">
        <v>2035</v>
      </c>
      <c r="F413" s="6" t="str">
        <f t="shared" si="56"/>
        <v>*0.95</v>
      </c>
      <c r="H413" t="s">
        <v>3744</v>
      </c>
      <c r="I413" s="5" t="s">
        <v>57</v>
      </c>
      <c r="J413">
        <v>2050</v>
      </c>
      <c r="K413" s="38" t="str">
        <f t="shared" si="57"/>
        <v>*0.93</v>
      </c>
      <c r="P413" s="32" t="s">
        <v>3744</v>
      </c>
      <c r="Q413" s="42" t="s">
        <v>57</v>
      </c>
      <c r="R413" s="32">
        <v>2035</v>
      </c>
      <c r="S413" s="43" t="str">
        <f t="shared" si="58"/>
        <v>*0.95</v>
      </c>
      <c r="U413" s="32" t="s">
        <v>3744</v>
      </c>
      <c r="V413" s="42" t="s">
        <v>57</v>
      </c>
      <c r="W413" s="32">
        <v>2050</v>
      </c>
      <c r="X413" s="43" t="str">
        <f t="shared" si="59"/>
        <v>*0.93</v>
      </c>
      <c r="AC413" s="33" t="s">
        <v>3744</v>
      </c>
      <c r="AD413" s="44" t="s">
        <v>57</v>
      </c>
      <c r="AE413" s="33">
        <v>2035</v>
      </c>
      <c r="AF413" s="45" t="str">
        <f t="shared" si="60"/>
        <v>*0.93</v>
      </c>
      <c r="AG413" s="43" t="str">
        <f t="shared" si="63"/>
        <v>REZoning_Sol-Win</v>
      </c>
      <c r="AI413" s="33" t="s">
        <v>3744</v>
      </c>
      <c r="AJ413" s="44" t="s">
        <v>57</v>
      </c>
      <c r="AK413" s="33">
        <v>2050</v>
      </c>
      <c r="AL413" s="45" t="str">
        <f t="shared" si="61"/>
        <v>*0.9</v>
      </c>
      <c r="AM413" s="43" t="str">
        <f t="shared" si="64"/>
        <v>REZoning_Sol-Win</v>
      </c>
      <c r="AP413" t="s">
        <v>3744</v>
      </c>
      <c r="AQ413" t="s">
        <v>57</v>
      </c>
      <c r="AR413">
        <f t="shared" si="62"/>
        <v>2100</v>
      </c>
      <c r="AS413" t="s">
        <v>897</v>
      </c>
      <c r="AT413" t="s">
        <v>58</v>
      </c>
    </row>
    <row r="414" ht="29" spans="1:46">
      <c r="A414" s="31" t="s">
        <v>73</v>
      </c>
      <c r="C414" t="s">
        <v>3745</v>
      </c>
      <c r="D414" s="5" t="s">
        <v>57</v>
      </c>
      <c r="E414">
        <v>2035</v>
      </c>
      <c r="F414" s="6" t="str">
        <f t="shared" si="56"/>
        <v>*0.95</v>
      </c>
      <c r="H414" t="s">
        <v>3745</v>
      </c>
      <c r="I414" s="5" t="s">
        <v>57</v>
      </c>
      <c r="J414">
        <v>2050</v>
      </c>
      <c r="K414" s="38" t="str">
        <f t="shared" si="57"/>
        <v>*0.93</v>
      </c>
      <c r="P414" s="32" t="s">
        <v>3745</v>
      </c>
      <c r="Q414" s="42" t="s">
        <v>57</v>
      </c>
      <c r="R414" s="32">
        <v>2035</v>
      </c>
      <c r="S414" s="43" t="str">
        <f t="shared" si="58"/>
        <v>*0.95</v>
      </c>
      <c r="U414" s="32" t="s">
        <v>3745</v>
      </c>
      <c r="V414" s="42" t="s">
        <v>57</v>
      </c>
      <c r="W414" s="32">
        <v>2050</v>
      </c>
      <c r="X414" s="43" t="str">
        <f t="shared" si="59"/>
        <v>*0.93</v>
      </c>
      <c r="AC414" s="33" t="s">
        <v>3745</v>
      </c>
      <c r="AD414" s="44" t="s">
        <v>57</v>
      </c>
      <c r="AE414" s="33">
        <v>2035</v>
      </c>
      <c r="AF414" s="45" t="str">
        <f t="shared" si="60"/>
        <v>*0.93</v>
      </c>
      <c r="AG414" s="43" t="str">
        <f t="shared" si="63"/>
        <v>REZoning_Sol-Win</v>
      </c>
      <c r="AI414" s="33" t="s">
        <v>3745</v>
      </c>
      <c r="AJ414" s="44" t="s">
        <v>57</v>
      </c>
      <c r="AK414" s="33">
        <v>2050</v>
      </c>
      <c r="AL414" s="45" t="str">
        <f t="shared" si="61"/>
        <v>*0.9</v>
      </c>
      <c r="AM414" s="43" t="str">
        <f t="shared" si="64"/>
        <v>REZoning_Sol-Win</v>
      </c>
      <c r="AP414" t="s">
        <v>3745</v>
      </c>
      <c r="AQ414" t="s">
        <v>57</v>
      </c>
      <c r="AR414">
        <f t="shared" si="62"/>
        <v>2100</v>
      </c>
      <c r="AS414" t="s">
        <v>897</v>
      </c>
      <c r="AT414" t="s">
        <v>58</v>
      </c>
    </row>
    <row r="415" ht="29" spans="1:46">
      <c r="A415" s="31" t="s">
        <v>73</v>
      </c>
      <c r="C415" t="s">
        <v>3746</v>
      </c>
      <c r="D415" s="5" t="s">
        <v>57</v>
      </c>
      <c r="E415">
        <v>2035</v>
      </c>
      <c r="F415" s="6" t="str">
        <f t="shared" si="56"/>
        <v>*0.95</v>
      </c>
      <c r="H415" t="s">
        <v>3746</v>
      </c>
      <c r="I415" s="5" t="s">
        <v>57</v>
      </c>
      <c r="J415">
        <v>2050</v>
      </c>
      <c r="K415" s="38" t="str">
        <f t="shared" si="57"/>
        <v>*0.93</v>
      </c>
      <c r="P415" s="32" t="s">
        <v>3746</v>
      </c>
      <c r="Q415" s="42" t="s">
        <v>57</v>
      </c>
      <c r="R415" s="32">
        <v>2035</v>
      </c>
      <c r="S415" s="43" t="str">
        <f t="shared" si="58"/>
        <v>*0.95</v>
      </c>
      <c r="U415" s="32" t="s">
        <v>3746</v>
      </c>
      <c r="V415" s="42" t="s">
        <v>57</v>
      </c>
      <c r="W415" s="32">
        <v>2050</v>
      </c>
      <c r="X415" s="43" t="str">
        <f t="shared" si="59"/>
        <v>*0.93</v>
      </c>
      <c r="AC415" s="33" t="s">
        <v>3746</v>
      </c>
      <c r="AD415" s="44" t="s">
        <v>57</v>
      </c>
      <c r="AE415" s="33">
        <v>2035</v>
      </c>
      <c r="AF415" s="45" t="str">
        <f t="shared" si="60"/>
        <v>*0.93</v>
      </c>
      <c r="AG415" s="43" t="str">
        <f t="shared" si="63"/>
        <v>REZoning_Sol-Win</v>
      </c>
      <c r="AI415" s="33" t="s">
        <v>3746</v>
      </c>
      <c r="AJ415" s="44" t="s">
        <v>57</v>
      </c>
      <c r="AK415" s="33">
        <v>2050</v>
      </c>
      <c r="AL415" s="45" t="str">
        <f t="shared" si="61"/>
        <v>*0.9</v>
      </c>
      <c r="AM415" s="43" t="str">
        <f t="shared" si="64"/>
        <v>REZoning_Sol-Win</v>
      </c>
      <c r="AP415" t="s">
        <v>3746</v>
      </c>
      <c r="AQ415" t="s">
        <v>57</v>
      </c>
      <c r="AR415">
        <f t="shared" si="62"/>
        <v>2100</v>
      </c>
      <c r="AS415" t="s">
        <v>897</v>
      </c>
      <c r="AT415" t="s">
        <v>58</v>
      </c>
    </row>
    <row r="416" ht="29" spans="1:46">
      <c r="A416" s="31" t="s">
        <v>73</v>
      </c>
      <c r="C416" t="s">
        <v>3747</v>
      </c>
      <c r="D416" s="5" t="s">
        <v>57</v>
      </c>
      <c r="E416">
        <v>2035</v>
      </c>
      <c r="F416" s="6" t="str">
        <f t="shared" si="56"/>
        <v>*0.95</v>
      </c>
      <c r="H416" t="s">
        <v>3747</v>
      </c>
      <c r="I416" s="5" t="s">
        <v>57</v>
      </c>
      <c r="J416">
        <v>2050</v>
      </c>
      <c r="K416" s="38" t="str">
        <f t="shared" si="57"/>
        <v>*0.93</v>
      </c>
      <c r="P416" s="32" t="s">
        <v>3747</v>
      </c>
      <c r="Q416" s="42" t="s">
        <v>57</v>
      </c>
      <c r="R416" s="32">
        <v>2035</v>
      </c>
      <c r="S416" s="43" t="str">
        <f t="shared" si="58"/>
        <v>*0.95</v>
      </c>
      <c r="U416" s="32" t="s">
        <v>3747</v>
      </c>
      <c r="V416" s="42" t="s">
        <v>57</v>
      </c>
      <c r="W416" s="32">
        <v>2050</v>
      </c>
      <c r="X416" s="43" t="str">
        <f t="shared" si="59"/>
        <v>*0.93</v>
      </c>
      <c r="AC416" s="33" t="s">
        <v>3747</v>
      </c>
      <c r="AD416" s="44" t="s">
        <v>57</v>
      </c>
      <c r="AE416" s="33">
        <v>2035</v>
      </c>
      <c r="AF416" s="45" t="str">
        <f t="shared" si="60"/>
        <v>*0.93</v>
      </c>
      <c r="AG416" s="43" t="str">
        <f t="shared" si="63"/>
        <v>REZoning_Sol-Win</v>
      </c>
      <c r="AI416" s="33" t="s">
        <v>3747</v>
      </c>
      <c r="AJ416" s="44" t="s">
        <v>57</v>
      </c>
      <c r="AK416" s="33">
        <v>2050</v>
      </c>
      <c r="AL416" s="45" t="str">
        <f t="shared" si="61"/>
        <v>*0.9</v>
      </c>
      <c r="AM416" s="43" t="str">
        <f t="shared" si="64"/>
        <v>REZoning_Sol-Win</v>
      </c>
      <c r="AP416" t="s">
        <v>3747</v>
      </c>
      <c r="AQ416" t="s">
        <v>57</v>
      </c>
      <c r="AR416">
        <f t="shared" si="62"/>
        <v>2100</v>
      </c>
      <c r="AS416" t="s">
        <v>897</v>
      </c>
      <c r="AT416" t="s">
        <v>58</v>
      </c>
    </row>
    <row r="417" ht="29" spans="1:46">
      <c r="A417" s="31" t="s">
        <v>73</v>
      </c>
      <c r="C417" t="s">
        <v>3748</v>
      </c>
      <c r="D417" s="5" t="s">
        <v>57</v>
      </c>
      <c r="E417">
        <v>2035</v>
      </c>
      <c r="F417" s="6" t="str">
        <f t="shared" si="56"/>
        <v>*0.95</v>
      </c>
      <c r="H417" t="s">
        <v>3748</v>
      </c>
      <c r="I417" s="5" t="s">
        <v>57</v>
      </c>
      <c r="J417">
        <v>2050</v>
      </c>
      <c r="K417" s="38" t="str">
        <f t="shared" si="57"/>
        <v>*0.93</v>
      </c>
      <c r="P417" s="32" t="s">
        <v>3748</v>
      </c>
      <c r="Q417" s="42" t="s">
        <v>57</v>
      </c>
      <c r="R417" s="32">
        <v>2035</v>
      </c>
      <c r="S417" s="43" t="str">
        <f t="shared" si="58"/>
        <v>*0.95</v>
      </c>
      <c r="U417" s="32" t="s">
        <v>3748</v>
      </c>
      <c r="V417" s="42" t="s">
        <v>57</v>
      </c>
      <c r="W417" s="32">
        <v>2050</v>
      </c>
      <c r="X417" s="43" t="str">
        <f t="shared" si="59"/>
        <v>*0.93</v>
      </c>
      <c r="AC417" s="33" t="s">
        <v>3748</v>
      </c>
      <c r="AD417" s="44" t="s">
        <v>57</v>
      </c>
      <c r="AE417" s="33">
        <v>2035</v>
      </c>
      <c r="AF417" s="45" t="str">
        <f t="shared" si="60"/>
        <v>*0.93</v>
      </c>
      <c r="AG417" s="43" t="str">
        <f t="shared" si="63"/>
        <v>REZoning_Sol-Win</v>
      </c>
      <c r="AI417" s="33" t="s">
        <v>3748</v>
      </c>
      <c r="AJ417" s="44" t="s">
        <v>57</v>
      </c>
      <c r="AK417" s="33">
        <v>2050</v>
      </c>
      <c r="AL417" s="45" t="str">
        <f t="shared" si="61"/>
        <v>*0.9</v>
      </c>
      <c r="AM417" s="43" t="str">
        <f t="shared" si="64"/>
        <v>REZoning_Sol-Win</v>
      </c>
      <c r="AP417" t="s">
        <v>3748</v>
      </c>
      <c r="AQ417" t="s">
        <v>57</v>
      </c>
      <c r="AR417">
        <f t="shared" si="62"/>
        <v>2100</v>
      </c>
      <c r="AS417" t="s">
        <v>897</v>
      </c>
      <c r="AT417" t="s">
        <v>58</v>
      </c>
    </row>
    <row r="418" ht="29" spans="1:46">
      <c r="A418" s="31" t="s">
        <v>73</v>
      </c>
      <c r="C418" t="s">
        <v>3749</v>
      </c>
      <c r="D418" s="5" t="s">
        <v>57</v>
      </c>
      <c r="E418">
        <v>2035</v>
      </c>
      <c r="F418" s="6" t="str">
        <f t="shared" si="56"/>
        <v>*0.95</v>
      </c>
      <c r="H418" t="s">
        <v>3749</v>
      </c>
      <c r="I418" s="5" t="s">
        <v>57</v>
      </c>
      <c r="J418">
        <v>2050</v>
      </c>
      <c r="K418" s="38" t="str">
        <f t="shared" si="57"/>
        <v>*0.93</v>
      </c>
      <c r="P418" s="32" t="s">
        <v>3749</v>
      </c>
      <c r="Q418" s="42" t="s">
        <v>57</v>
      </c>
      <c r="R418" s="32">
        <v>2035</v>
      </c>
      <c r="S418" s="43" t="str">
        <f t="shared" si="58"/>
        <v>*0.95</v>
      </c>
      <c r="U418" s="32" t="s">
        <v>3749</v>
      </c>
      <c r="V418" s="42" t="s">
        <v>57</v>
      </c>
      <c r="W418" s="32">
        <v>2050</v>
      </c>
      <c r="X418" s="43" t="str">
        <f t="shared" si="59"/>
        <v>*0.93</v>
      </c>
      <c r="AC418" s="33" t="s">
        <v>3749</v>
      </c>
      <c r="AD418" s="44" t="s">
        <v>57</v>
      </c>
      <c r="AE418" s="33">
        <v>2035</v>
      </c>
      <c r="AF418" s="45" t="str">
        <f t="shared" si="60"/>
        <v>*0.93</v>
      </c>
      <c r="AG418" s="43" t="str">
        <f t="shared" si="63"/>
        <v>REZoning_Sol-Win</v>
      </c>
      <c r="AI418" s="33" t="s">
        <v>3749</v>
      </c>
      <c r="AJ418" s="44" t="s">
        <v>57</v>
      </c>
      <c r="AK418" s="33">
        <v>2050</v>
      </c>
      <c r="AL418" s="45" t="str">
        <f t="shared" si="61"/>
        <v>*0.9</v>
      </c>
      <c r="AM418" s="43" t="str">
        <f t="shared" si="64"/>
        <v>REZoning_Sol-Win</v>
      </c>
      <c r="AP418" t="s">
        <v>3749</v>
      </c>
      <c r="AQ418" t="s">
        <v>57</v>
      </c>
      <c r="AR418">
        <f t="shared" si="62"/>
        <v>2100</v>
      </c>
      <c r="AS418" t="s">
        <v>897</v>
      </c>
      <c r="AT418" t="s">
        <v>58</v>
      </c>
    </row>
    <row r="419" ht="29" spans="1:46">
      <c r="A419" s="31" t="s">
        <v>73</v>
      </c>
      <c r="C419" t="s">
        <v>3750</v>
      </c>
      <c r="D419" s="5" t="s">
        <v>57</v>
      </c>
      <c r="E419">
        <v>2035</v>
      </c>
      <c r="F419" s="6" t="str">
        <f t="shared" si="56"/>
        <v>*0.95</v>
      </c>
      <c r="H419" t="s">
        <v>3750</v>
      </c>
      <c r="I419" s="5" t="s">
        <v>57</v>
      </c>
      <c r="J419">
        <v>2050</v>
      </c>
      <c r="K419" s="38" t="str">
        <f t="shared" si="57"/>
        <v>*0.93</v>
      </c>
      <c r="P419" s="32" t="s">
        <v>3750</v>
      </c>
      <c r="Q419" s="42" t="s">
        <v>57</v>
      </c>
      <c r="R419" s="32">
        <v>2035</v>
      </c>
      <c r="S419" s="43" t="str">
        <f t="shared" si="58"/>
        <v>*0.95</v>
      </c>
      <c r="U419" s="32" t="s">
        <v>3750</v>
      </c>
      <c r="V419" s="42" t="s">
        <v>57</v>
      </c>
      <c r="W419" s="32">
        <v>2050</v>
      </c>
      <c r="X419" s="43" t="str">
        <f t="shared" si="59"/>
        <v>*0.93</v>
      </c>
      <c r="AC419" s="33" t="s">
        <v>3750</v>
      </c>
      <c r="AD419" s="44" t="s">
        <v>57</v>
      </c>
      <c r="AE419" s="33">
        <v>2035</v>
      </c>
      <c r="AF419" s="45" t="str">
        <f t="shared" si="60"/>
        <v>*0.93</v>
      </c>
      <c r="AG419" s="43" t="str">
        <f t="shared" si="63"/>
        <v>REZoning_Sol-Win</v>
      </c>
      <c r="AI419" s="33" t="s">
        <v>3750</v>
      </c>
      <c r="AJ419" s="44" t="s">
        <v>57</v>
      </c>
      <c r="AK419" s="33">
        <v>2050</v>
      </c>
      <c r="AL419" s="45" t="str">
        <f t="shared" si="61"/>
        <v>*0.9</v>
      </c>
      <c r="AM419" s="43" t="str">
        <f t="shared" si="64"/>
        <v>REZoning_Sol-Win</v>
      </c>
      <c r="AP419" t="s">
        <v>3750</v>
      </c>
      <c r="AQ419" t="s">
        <v>57</v>
      </c>
      <c r="AR419">
        <f t="shared" si="62"/>
        <v>2100</v>
      </c>
      <c r="AS419" t="s">
        <v>897</v>
      </c>
      <c r="AT419" t="s">
        <v>58</v>
      </c>
    </row>
    <row r="420" ht="29" spans="1:46">
      <c r="A420" s="31" t="s">
        <v>73</v>
      </c>
      <c r="C420" t="s">
        <v>3751</v>
      </c>
      <c r="D420" s="5" t="s">
        <v>57</v>
      </c>
      <c r="E420">
        <v>2035</v>
      </c>
      <c r="F420" s="6" t="str">
        <f t="shared" si="56"/>
        <v>*0.95</v>
      </c>
      <c r="H420" t="s">
        <v>3751</v>
      </c>
      <c r="I420" s="5" t="s">
        <v>57</v>
      </c>
      <c r="J420">
        <v>2050</v>
      </c>
      <c r="K420" s="38" t="str">
        <f t="shared" si="57"/>
        <v>*0.93</v>
      </c>
      <c r="P420" s="32" t="s">
        <v>3751</v>
      </c>
      <c r="Q420" s="42" t="s">
        <v>57</v>
      </c>
      <c r="R420" s="32">
        <v>2035</v>
      </c>
      <c r="S420" s="43" t="str">
        <f t="shared" si="58"/>
        <v>*0.95</v>
      </c>
      <c r="U420" s="32" t="s">
        <v>3751</v>
      </c>
      <c r="V420" s="42" t="s">
        <v>57</v>
      </c>
      <c r="W420" s="32">
        <v>2050</v>
      </c>
      <c r="X420" s="43" t="str">
        <f t="shared" si="59"/>
        <v>*0.93</v>
      </c>
      <c r="AC420" s="33" t="s">
        <v>3751</v>
      </c>
      <c r="AD420" s="44" t="s">
        <v>57</v>
      </c>
      <c r="AE420" s="33">
        <v>2035</v>
      </c>
      <c r="AF420" s="45" t="str">
        <f t="shared" si="60"/>
        <v>*0.93</v>
      </c>
      <c r="AG420" s="43" t="str">
        <f t="shared" si="63"/>
        <v>REZoning_Sol-Win</v>
      </c>
      <c r="AI420" s="33" t="s">
        <v>3751</v>
      </c>
      <c r="AJ420" s="44" t="s">
        <v>57</v>
      </c>
      <c r="AK420" s="33">
        <v>2050</v>
      </c>
      <c r="AL420" s="45" t="str">
        <f t="shared" si="61"/>
        <v>*0.9</v>
      </c>
      <c r="AM420" s="43" t="str">
        <f t="shared" si="64"/>
        <v>REZoning_Sol-Win</v>
      </c>
      <c r="AP420" t="s">
        <v>3751</v>
      </c>
      <c r="AQ420" t="s">
        <v>57</v>
      </c>
      <c r="AR420">
        <f t="shared" si="62"/>
        <v>2100</v>
      </c>
      <c r="AS420" t="s">
        <v>897</v>
      </c>
      <c r="AT420" t="s">
        <v>58</v>
      </c>
    </row>
    <row r="421" ht="29" spans="1:46">
      <c r="A421" s="31" t="s">
        <v>73</v>
      </c>
      <c r="C421" t="s">
        <v>3752</v>
      </c>
      <c r="D421" s="5" t="s">
        <v>57</v>
      </c>
      <c r="E421">
        <v>2035</v>
      </c>
      <c r="F421" s="6" t="str">
        <f t="shared" si="56"/>
        <v>*0.95</v>
      </c>
      <c r="H421" t="s">
        <v>3752</v>
      </c>
      <c r="I421" s="5" t="s">
        <v>57</v>
      </c>
      <c r="J421">
        <v>2050</v>
      </c>
      <c r="K421" s="38" t="str">
        <f t="shared" si="57"/>
        <v>*0.93</v>
      </c>
      <c r="P421" s="32" t="s">
        <v>3752</v>
      </c>
      <c r="Q421" s="42" t="s">
        <v>57</v>
      </c>
      <c r="R421" s="32">
        <v>2035</v>
      </c>
      <c r="S421" s="43" t="str">
        <f t="shared" si="58"/>
        <v>*0.95</v>
      </c>
      <c r="U421" s="32" t="s">
        <v>3752</v>
      </c>
      <c r="V421" s="42" t="s">
        <v>57</v>
      </c>
      <c r="W421" s="32">
        <v>2050</v>
      </c>
      <c r="X421" s="43" t="str">
        <f t="shared" si="59"/>
        <v>*0.93</v>
      </c>
      <c r="AC421" s="33" t="s">
        <v>3752</v>
      </c>
      <c r="AD421" s="44" t="s">
        <v>57</v>
      </c>
      <c r="AE421" s="33">
        <v>2035</v>
      </c>
      <c r="AF421" s="45" t="str">
        <f t="shared" si="60"/>
        <v>*0.93</v>
      </c>
      <c r="AG421" s="43" t="str">
        <f t="shared" si="63"/>
        <v>REZoning_Sol-Win</v>
      </c>
      <c r="AI421" s="33" t="s">
        <v>3752</v>
      </c>
      <c r="AJ421" s="44" t="s">
        <v>57</v>
      </c>
      <c r="AK421" s="33">
        <v>2050</v>
      </c>
      <c r="AL421" s="45" t="str">
        <f t="shared" si="61"/>
        <v>*0.9</v>
      </c>
      <c r="AM421" s="43" t="str">
        <f t="shared" si="64"/>
        <v>REZoning_Sol-Win</v>
      </c>
      <c r="AP421" t="s">
        <v>3752</v>
      </c>
      <c r="AQ421" t="s">
        <v>57</v>
      </c>
      <c r="AR421">
        <f t="shared" si="62"/>
        <v>2100</v>
      </c>
      <c r="AS421" t="s">
        <v>897</v>
      </c>
      <c r="AT421" t="s">
        <v>58</v>
      </c>
    </row>
    <row r="422" ht="29" spans="1:46">
      <c r="A422" s="31" t="s">
        <v>73</v>
      </c>
      <c r="C422" t="s">
        <v>3753</v>
      </c>
      <c r="D422" s="5" t="s">
        <v>57</v>
      </c>
      <c r="E422">
        <v>2035</v>
      </c>
      <c r="F422" s="6" t="str">
        <f t="shared" si="56"/>
        <v>*0.95</v>
      </c>
      <c r="H422" t="s">
        <v>3753</v>
      </c>
      <c r="I422" s="5" t="s">
        <v>57</v>
      </c>
      <c r="J422">
        <v>2050</v>
      </c>
      <c r="K422" s="38" t="str">
        <f t="shared" si="57"/>
        <v>*0.93</v>
      </c>
      <c r="P422" s="32" t="s">
        <v>3753</v>
      </c>
      <c r="Q422" s="42" t="s">
        <v>57</v>
      </c>
      <c r="R422" s="32">
        <v>2035</v>
      </c>
      <c r="S422" s="43" t="str">
        <f t="shared" si="58"/>
        <v>*0.95</v>
      </c>
      <c r="U422" s="32" t="s">
        <v>3753</v>
      </c>
      <c r="V422" s="42" t="s">
        <v>57</v>
      </c>
      <c r="W422" s="32">
        <v>2050</v>
      </c>
      <c r="X422" s="43" t="str">
        <f t="shared" si="59"/>
        <v>*0.93</v>
      </c>
      <c r="AC422" s="33" t="s">
        <v>3753</v>
      </c>
      <c r="AD422" s="44" t="s">
        <v>57</v>
      </c>
      <c r="AE422" s="33">
        <v>2035</v>
      </c>
      <c r="AF422" s="45" t="str">
        <f t="shared" si="60"/>
        <v>*0.93</v>
      </c>
      <c r="AG422" s="43" t="str">
        <f t="shared" si="63"/>
        <v>REZoning_Sol-Win</v>
      </c>
      <c r="AI422" s="33" t="s">
        <v>3753</v>
      </c>
      <c r="AJ422" s="44" t="s">
        <v>57</v>
      </c>
      <c r="AK422" s="33">
        <v>2050</v>
      </c>
      <c r="AL422" s="45" t="str">
        <f t="shared" si="61"/>
        <v>*0.9</v>
      </c>
      <c r="AM422" s="43" t="str">
        <f t="shared" si="64"/>
        <v>REZoning_Sol-Win</v>
      </c>
      <c r="AP422" t="s">
        <v>3753</v>
      </c>
      <c r="AQ422" t="s">
        <v>57</v>
      </c>
      <c r="AR422">
        <f t="shared" si="62"/>
        <v>2100</v>
      </c>
      <c r="AS422" t="s">
        <v>897</v>
      </c>
      <c r="AT422" t="s">
        <v>58</v>
      </c>
    </row>
    <row r="423" ht="29" spans="1:46">
      <c r="A423" s="31" t="s">
        <v>73</v>
      </c>
      <c r="C423" t="s">
        <v>3754</v>
      </c>
      <c r="D423" s="5" t="s">
        <v>57</v>
      </c>
      <c r="E423">
        <v>2035</v>
      </c>
      <c r="F423" s="6" t="str">
        <f t="shared" si="56"/>
        <v>*0.95</v>
      </c>
      <c r="H423" t="s">
        <v>3754</v>
      </c>
      <c r="I423" s="5" t="s">
        <v>57</v>
      </c>
      <c r="J423">
        <v>2050</v>
      </c>
      <c r="K423" s="38" t="str">
        <f t="shared" si="57"/>
        <v>*0.93</v>
      </c>
      <c r="P423" s="32" t="s">
        <v>3754</v>
      </c>
      <c r="Q423" s="42" t="s">
        <v>57</v>
      </c>
      <c r="R423" s="32">
        <v>2035</v>
      </c>
      <c r="S423" s="43" t="str">
        <f t="shared" si="58"/>
        <v>*0.95</v>
      </c>
      <c r="U423" s="32" t="s">
        <v>3754</v>
      </c>
      <c r="V423" s="42" t="s">
        <v>57</v>
      </c>
      <c r="W423" s="32">
        <v>2050</v>
      </c>
      <c r="X423" s="43" t="str">
        <f t="shared" si="59"/>
        <v>*0.93</v>
      </c>
      <c r="AC423" s="33" t="s">
        <v>3754</v>
      </c>
      <c r="AD423" s="44" t="s">
        <v>57</v>
      </c>
      <c r="AE423" s="33">
        <v>2035</v>
      </c>
      <c r="AF423" s="45" t="str">
        <f t="shared" si="60"/>
        <v>*0.93</v>
      </c>
      <c r="AG423" s="43" t="str">
        <f t="shared" si="63"/>
        <v>REZoning_Sol-Win</v>
      </c>
      <c r="AI423" s="33" t="s">
        <v>3754</v>
      </c>
      <c r="AJ423" s="44" t="s">
        <v>57</v>
      </c>
      <c r="AK423" s="33">
        <v>2050</v>
      </c>
      <c r="AL423" s="45" t="str">
        <f t="shared" si="61"/>
        <v>*0.9</v>
      </c>
      <c r="AM423" s="43" t="str">
        <f t="shared" si="64"/>
        <v>REZoning_Sol-Win</v>
      </c>
      <c r="AP423" t="s">
        <v>3754</v>
      </c>
      <c r="AQ423" t="s">
        <v>57</v>
      </c>
      <c r="AR423">
        <f t="shared" si="62"/>
        <v>2100</v>
      </c>
      <c r="AS423" t="s">
        <v>897</v>
      </c>
      <c r="AT423" t="s">
        <v>58</v>
      </c>
    </row>
    <row r="424" ht="29" spans="1:46">
      <c r="A424" s="31" t="s">
        <v>73</v>
      </c>
      <c r="C424" t="s">
        <v>3755</v>
      </c>
      <c r="D424" s="5" t="s">
        <v>57</v>
      </c>
      <c r="E424">
        <v>2035</v>
      </c>
      <c r="F424" s="6" t="str">
        <f t="shared" si="56"/>
        <v>*0.95</v>
      </c>
      <c r="H424" t="s">
        <v>3755</v>
      </c>
      <c r="I424" s="5" t="s">
        <v>57</v>
      </c>
      <c r="J424">
        <v>2050</v>
      </c>
      <c r="K424" s="38" t="str">
        <f t="shared" si="57"/>
        <v>*0.93</v>
      </c>
      <c r="P424" s="32" t="s">
        <v>3755</v>
      </c>
      <c r="Q424" s="42" t="s">
        <v>57</v>
      </c>
      <c r="R424" s="32">
        <v>2035</v>
      </c>
      <c r="S424" s="43" t="str">
        <f t="shared" si="58"/>
        <v>*0.95</v>
      </c>
      <c r="U424" s="32" t="s">
        <v>3755</v>
      </c>
      <c r="V424" s="42" t="s">
        <v>57</v>
      </c>
      <c r="W424" s="32">
        <v>2050</v>
      </c>
      <c r="X424" s="43" t="str">
        <f t="shared" si="59"/>
        <v>*0.93</v>
      </c>
      <c r="AC424" s="33" t="s">
        <v>3755</v>
      </c>
      <c r="AD424" s="44" t="s">
        <v>57</v>
      </c>
      <c r="AE424" s="33">
        <v>2035</v>
      </c>
      <c r="AF424" s="45" t="str">
        <f t="shared" si="60"/>
        <v>*0.93</v>
      </c>
      <c r="AG424" s="43" t="str">
        <f t="shared" si="63"/>
        <v>REZoning_Sol-Win</v>
      </c>
      <c r="AI424" s="33" t="s">
        <v>3755</v>
      </c>
      <c r="AJ424" s="44" t="s">
        <v>57</v>
      </c>
      <c r="AK424" s="33">
        <v>2050</v>
      </c>
      <c r="AL424" s="45" t="str">
        <f t="shared" si="61"/>
        <v>*0.9</v>
      </c>
      <c r="AM424" s="43" t="str">
        <f t="shared" si="64"/>
        <v>REZoning_Sol-Win</v>
      </c>
      <c r="AP424" t="s">
        <v>3755</v>
      </c>
      <c r="AQ424" t="s">
        <v>57</v>
      </c>
      <c r="AR424">
        <f t="shared" si="62"/>
        <v>2100</v>
      </c>
      <c r="AS424" t="s">
        <v>897</v>
      </c>
      <c r="AT424" t="s">
        <v>58</v>
      </c>
    </row>
    <row r="425" ht="29" spans="1:46">
      <c r="A425" s="31" t="s">
        <v>73</v>
      </c>
      <c r="C425" t="s">
        <v>3756</v>
      </c>
      <c r="D425" s="5" t="s">
        <v>57</v>
      </c>
      <c r="E425">
        <v>2035</v>
      </c>
      <c r="F425" s="6" t="str">
        <f t="shared" si="56"/>
        <v>*0.95</v>
      </c>
      <c r="H425" t="s">
        <v>3756</v>
      </c>
      <c r="I425" s="5" t="s">
        <v>57</v>
      </c>
      <c r="J425">
        <v>2050</v>
      </c>
      <c r="K425" s="38" t="str">
        <f t="shared" si="57"/>
        <v>*0.93</v>
      </c>
      <c r="P425" s="32" t="s">
        <v>3756</v>
      </c>
      <c r="Q425" s="42" t="s">
        <v>57</v>
      </c>
      <c r="R425" s="32">
        <v>2035</v>
      </c>
      <c r="S425" s="43" t="str">
        <f t="shared" si="58"/>
        <v>*0.95</v>
      </c>
      <c r="U425" s="32" t="s">
        <v>3756</v>
      </c>
      <c r="V425" s="42" t="s">
        <v>57</v>
      </c>
      <c r="W425" s="32">
        <v>2050</v>
      </c>
      <c r="X425" s="43" t="str">
        <f t="shared" si="59"/>
        <v>*0.93</v>
      </c>
      <c r="AC425" s="33" t="s">
        <v>3756</v>
      </c>
      <c r="AD425" s="44" t="s">
        <v>57</v>
      </c>
      <c r="AE425" s="33">
        <v>2035</v>
      </c>
      <c r="AF425" s="45" t="str">
        <f t="shared" si="60"/>
        <v>*0.93</v>
      </c>
      <c r="AG425" s="43" t="str">
        <f t="shared" si="63"/>
        <v>REZoning_Sol-Win</v>
      </c>
      <c r="AI425" s="33" t="s">
        <v>3756</v>
      </c>
      <c r="AJ425" s="44" t="s">
        <v>57</v>
      </c>
      <c r="AK425" s="33">
        <v>2050</v>
      </c>
      <c r="AL425" s="45" t="str">
        <f t="shared" si="61"/>
        <v>*0.9</v>
      </c>
      <c r="AM425" s="43" t="str">
        <f t="shared" si="64"/>
        <v>REZoning_Sol-Win</v>
      </c>
      <c r="AP425" t="s">
        <v>3756</v>
      </c>
      <c r="AQ425" t="s">
        <v>57</v>
      </c>
      <c r="AR425">
        <f t="shared" si="62"/>
        <v>2100</v>
      </c>
      <c r="AS425" t="s">
        <v>897</v>
      </c>
      <c r="AT425" t="s">
        <v>58</v>
      </c>
    </row>
    <row r="426" ht="29" spans="1:46">
      <c r="A426" s="31" t="s">
        <v>73</v>
      </c>
      <c r="C426" t="s">
        <v>3757</v>
      </c>
      <c r="D426" s="5" t="s">
        <v>57</v>
      </c>
      <c r="E426">
        <v>2035</v>
      </c>
      <c r="F426" s="6" t="str">
        <f t="shared" si="56"/>
        <v>*0.95</v>
      </c>
      <c r="H426" t="s">
        <v>3757</v>
      </c>
      <c r="I426" s="5" t="s">
        <v>57</v>
      </c>
      <c r="J426">
        <v>2050</v>
      </c>
      <c r="K426" s="38" t="str">
        <f t="shared" si="57"/>
        <v>*0.93</v>
      </c>
      <c r="P426" s="32" t="s">
        <v>3757</v>
      </c>
      <c r="Q426" s="42" t="s">
        <v>57</v>
      </c>
      <c r="R426" s="32">
        <v>2035</v>
      </c>
      <c r="S426" s="43" t="str">
        <f t="shared" si="58"/>
        <v>*0.95</v>
      </c>
      <c r="U426" s="32" t="s">
        <v>3757</v>
      </c>
      <c r="V426" s="42" t="s">
        <v>57</v>
      </c>
      <c r="W426" s="32">
        <v>2050</v>
      </c>
      <c r="X426" s="43" t="str">
        <f t="shared" si="59"/>
        <v>*0.93</v>
      </c>
      <c r="AC426" s="33" t="s">
        <v>3757</v>
      </c>
      <c r="AD426" s="44" t="s">
        <v>57</v>
      </c>
      <c r="AE426" s="33">
        <v>2035</v>
      </c>
      <c r="AF426" s="45" t="str">
        <f t="shared" si="60"/>
        <v>*0.93</v>
      </c>
      <c r="AG426" s="43" t="str">
        <f t="shared" si="63"/>
        <v>REZoning_Sol-Win</v>
      </c>
      <c r="AI426" s="33" t="s">
        <v>3757</v>
      </c>
      <c r="AJ426" s="44" t="s">
        <v>57</v>
      </c>
      <c r="AK426" s="33">
        <v>2050</v>
      </c>
      <c r="AL426" s="45" t="str">
        <f t="shared" si="61"/>
        <v>*0.9</v>
      </c>
      <c r="AM426" s="43" t="str">
        <f t="shared" si="64"/>
        <v>REZoning_Sol-Win</v>
      </c>
      <c r="AP426" t="s">
        <v>3757</v>
      </c>
      <c r="AQ426" t="s">
        <v>57</v>
      </c>
      <c r="AR426">
        <f t="shared" si="62"/>
        <v>2100</v>
      </c>
      <c r="AS426" t="s">
        <v>897</v>
      </c>
      <c r="AT426" t="s">
        <v>58</v>
      </c>
    </row>
    <row r="427" ht="29" spans="1:46">
      <c r="A427" s="31" t="s">
        <v>73</v>
      </c>
      <c r="C427" t="s">
        <v>3758</v>
      </c>
      <c r="D427" s="5" t="s">
        <v>57</v>
      </c>
      <c r="E427">
        <v>2035</v>
      </c>
      <c r="F427" s="6" t="str">
        <f t="shared" si="56"/>
        <v>*0.95</v>
      </c>
      <c r="H427" t="s">
        <v>3758</v>
      </c>
      <c r="I427" s="5" t="s">
        <v>57</v>
      </c>
      <c r="J427">
        <v>2050</v>
      </c>
      <c r="K427" s="38" t="str">
        <f t="shared" si="57"/>
        <v>*0.93</v>
      </c>
      <c r="P427" s="32" t="s">
        <v>3758</v>
      </c>
      <c r="Q427" s="42" t="s">
        <v>57</v>
      </c>
      <c r="R427" s="32">
        <v>2035</v>
      </c>
      <c r="S427" s="43" t="str">
        <f t="shared" si="58"/>
        <v>*0.95</v>
      </c>
      <c r="U427" s="32" t="s">
        <v>3758</v>
      </c>
      <c r="V427" s="42" t="s">
        <v>57</v>
      </c>
      <c r="W427" s="32">
        <v>2050</v>
      </c>
      <c r="X427" s="43" t="str">
        <f t="shared" si="59"/>
        <v>*0.93</v>
      </c>
      <c r="AC427" s="33" t="s">
        <v>3758</v>
      </c>
      <c r="AD427" s="44" t="s">
        <v>57</v>
      </c>
      <c r="AE427" s="33">
        <v>2035</v>
      </c>
      <c r="AF427" s="45" t="str">
        <f t="shared" si="60"/>
        <v>*0.93</v>
      </c>
      <c r="AG427" s="43" t="str">
        <f t="shared" si="63"/>
        <v>REZoning_Sol-Win</v>
      </c>
      <c r="AI427" s="33" t="s">
        <v>3758</v>
      </c>
      <c r="AJ427" s="44" t="s">
        <v>57</v>
      </c>
      <c r="AK427" s="33">
        <v>2050</v>
      </c>
      <c r="AL427" s="45" t="str">
        <f t="shared" si="61"/>
        <v>*0.9</v>
      </c>
      <c r="AM427" s="43" t="str">
        <f t="shared" si="64"/>
        <v>REZoning_Sol-Win</v>
      </c>
      <c r="AP427" t="s">
        <v>3758</v>
      </c>
      <c r="AQ427" t="s">
        <v>57</v>
      </c>
      <c r="AR427">
        <f t="shared" si="62"/>
        <v>2100</v>
      </c>
      <c r="AS427" t="s">
        <v>897</v>
      </c>
      <c r="AT427" t="s">
        <v>58</v>
      </c>
    </row>
    <row r="428" ht="29" spans="1:46">
      <c r="A428" s="31" t="s">
        <v>73</v>
      </c>
      <c r="C428" t="s">
        <v>3759</v>
      </c>
      <c r="D428" s="5" t="s">
        <v>57</v>
      </c>
      <c r="E428">
        <v>2035</v>
      </c>
      <c r="F428" s="6" t="str">
        <f t="shared" si="56"/>
        <v>*0.95</v>
      </c>
      <c r="H428" t="s">
        <v>3759</v>
      </c>
      <c r="I428" s="5" t="s">
        <v>57</v>
      </c>
      <c r="J428">
        <v>2050</v>
      </c>
      <c r="K428" s="38" t="str">
        <f t="shared" si="57"/>
        <v>*0.93</v>
      </c>
      <c r="P428" s="32" t="s">
        <v>3759</v>
      </c>
      <c r="Q428" s="42" t="s">
        <v>57</v>
      </c>
      <c r="R428" s="32">
        <v>2035</v>
      </c>
      <c r="S428" s="43" t="str">
        <f t="shared" si="58"/>
        <v>*0.95</v>
      </c>
      <c r="U428" s="32" t="s">
        <v>3759</v>
      </c>
      <c r="V428" s="42" t="s">
        <v>57</v>
      </c>
      <c r="W428" s="32">
        <v>2050</v>
      </c>
      <c r="X428" s="43" t="str">
        <f t="shared" si="59"/>
        <v>*0.93</v>
      </c>
      <c r="AC428" s="33" t="s">
        <v>3759</v>
      </c>
      <c r="AD428" s="44" t="s">
        <v>57</v>
      </c>
      <c r="AE428" s="33">
        <v>2035</v>
      </c>
      <c r="AF428" s="45" t="str">
        <f t="shared" si="60"/>
        <v>*0.93</v>
      </c>
      <c r="AG428" s="43" t="str">
        <f t="shared" si="63"/>
        <v>REZoning_Sol-Win</v>
      </c>
      <c r="AI428" s="33" t="s">
        <v>3759</v>
      </c>
      <c r="AJ428" s="44" t="s">
        <v>57</v>
      </c>
      <c r="AK428" s="33">
        <v>2050</v>
      </c>
      <c r="AL428" s="45" t="str">
        <f t="shared" si="61"/>
        <v>*0.9</v>
      </c>
      <c r="AM428" s="43" t="str">
        <f t="shared" si="64"/>
        <v>REZoning_Sol-Win</v>
      </c>
      <c r="AP428" t="s">
        <v>3759</v>
      </c>
      <c r="AQ428" t="s">
        <v>57</v>
      </c>
      <c r="AR428">
        <f t="shared" si="62"/>
        <v>2100</v>
      </c>
      <c r="AS428" t="s">
        <v>897</v>
      </c>
      <c r="AT428" t="s">
        <v>58</v>
      </c>
    </row>
    <row r="429" ht="29" spans="1:46">
      <c r="A429" s="31" t="s">
        <v>73</v>
      </c>
      <c r="C429" t="s">
        <v>3760</v>
      </c>
      <c r="D429" s="5" t="s">
        <v>57</v>
      </c>
      <c r="E429">
        <v>2035</v>
      </c>
      <c r="F429" s="6" t="str">
        <f t="shared" si="56"/>
        <v>*0.95</v>
      </c>
      <c r="H429" t="s">
        <v>3760</v>
      </c>
      <c r="I429" s="5" t="s">
        <v>57</v>
      </c>
      <c r="J429">
        <v>2050</v>
      </c>
      <c r="K429" s="38" t="str">
        <f t="shared" si="57"/>
        <v>*0.93</v>
      </c>
      <c r="P429" s="32" t="s">
        <v>3760</v>
      </c>
      <c r="Q429" s="42" t="s">
        <v>57</v>
      </c>
      <c r="R429" s="32">
        <v>2035</v>
      </c>
      <c r="S429" s="43" t="str">
        <f t="shared" si="58"/>
        <v>*0.95</v>
      </c>
      <c r="U429" s="32" t="s">
        <v>3760</v>
      </c>
      <c r="V429" s="42" t="s">
        <v>57</v>
      </c>
      <c r="W429" s="32">
        <v>2050</v>
      </c>
      <c r="X429" s="43" t="str">
        <f t="shared" si="59"/>
        <v>*0.93</v>
      </c>
      <c r="AC429" s="33" t="s">
        <v>3760</v>
      </c>
      <c r="AD429" s="44" t="s">
        <v>57</v>
      </c>
      <c r="AE429" s="33">
        <v>2035</v>
      </c>
      <c r="AF429" s="45" t="str">
        <f t="shared" si="60"/>
        <v>*0.93</v>
      </c>
      <c r="AG429" s="43" t="str">
        <f t="shared" si="63"/>
        <v>REZoning_Sol-Win</v>
      </c>
      <c r="AI429" s="33" t="s">
        <v>3760</v>
      </c>
      <c r="AJ429" s="44" t="s">
        <v>57</v>
      </c>
      <c r="AK429" s="33">
        <v>2050</v>
      </c>
      <c r="AL429" s="45" t="str">
        <f t="shared" si="61"/>
        <v>*0.9</v>
      </c>
      <c r="AM429" s="43" t="str">
        <f t="shared" si="64"/>
        <v>REZoning_Sol-Win</v>
      </c>
      <c r="AP429" t="s">
        <v>3760</v>
      </c>
      <c r="AQ429" t="s">
        <v>57</v>
      </c>
      <c r="AR429">
        <f t="shared" si="62"/>
        <v>2100</v>
      </c>
      <c r="AS429" t="s">
        <v>897</v>
      </c>
      <c r="AT429" t="s">
        <v>58</v>
      </c>
    </row>
    <row r="430" ht="29" spans="1:46">
      <c r="A430" s="31" t="s">
        <v>73</v>
      </c>
      <c r="C430" t="s">
        <v>3761</v>
      </c>
      <c r="D430" s="5" t="s">
        <v>57</v>
      </c>
      <c r="E430">
        <v>2035</v>
      </c>
      <c r="F430" s="6" t="str">
        <f t="shared" si="56"/>
        <v>*0.95</v>
      </c>
      <c r="H430" t="s">
        <v>3761</v>
      </c>
      <c r="I430" s="5" t="s">
        <v>57</v>
      </c>
      <c r="J430">
        <v>2050</v>
      </c>
      <c r="K430" s="38" t="str">
        <f t="shared" si="57"/>
        <v>*0.93</v>
      </c>
      <c r="P430" s="32" t="s">
        <v>3761</v>
      </c>
      <c r="Q430" s="42" t="s">
        <v>57</v>
      </c>
      <c r="R430" s="32">
        <v>2035</v>
      </c>
      <c r="S430" s="43" t="str">
        <f t="shared" si="58"/>
        <v>*0.95</v>
      </c>
      <c r="U430" s="32" t="s">
        <v>3761</v>
      </c>
      <c r="V430" s="42" t="s">
        <v>57</v>
      </c>
      <c r="W430" s="32">
        <v>2050</v>
      </c>
      <c r="X430" s="43" t="str">
        <f t="shared" si="59"/>
        <v>*0.93</v>
      </c>
      <c r="AC430" s="33" t="s">
        <v>3761</v>
      </c>
      <c r="AD430" s="44" t="s">
        <v>57</v>
      </c>
      <c r="AE430" s="33">
        <v>2035</v>
      </c>
      <c r="AF430" s="45" t="str">
        <f t="shared" si="60"/>
        <v>*0.93</v>
      </c>
      <c r="AG430" s="43" t="str">
        <f t="shared" si="63"/>
        <v>REZoning_Sol-Win</v>
      </c>
      <c r="AI430" s="33" t="s">
        <v>3761</v>
      </c>
      <c r="AJ430" s="44" t="s">
        <v>57</v>
      </c>
      <c r="AK430" s="33">
        <v>2050</v>
      </c>
      <c r="AL430" s="45" t="str">
        <f t="shared" si="61"/>
        <v>*0.9</v>
      </c>
      <c r="AM430" s="43" t="str">
        <f t="shared" si="64"/>
        <v>REZoning_Sol-Win</v>
      </c>
      <c r="AP430" t="s">
        <v>3761</v>
      </c>
      <c r="AQ430" t="s">
        <v>57</v>
      </c>
      <c r="AR430">
        <f t="shared" si="62"/>
        <v>2100</v>
      </c>
      <c r="AS430" t="s">
        <v>897</v>
      </c>
      <c r="AT430" t="s">
        <v>58</v>
      </c>
    </row>
    <row r="431" ht="29" spans="1:46">
      <c r="A431" s="31" t="s">
        <v>73</v>
      </c>
      <c r="C431" t="s">
        <v>3762</v>
      </c>
      <c r="D431" s="5" t="s">
        <v>57</v>
      </c>
      <c r="E431">
        <v>2035</v>
      </c>
      <c r="F431" s="6" t="str">
        <f t="shared" si="56"/>
        <v>*0.95</v>
      </c>
      <c r="H431" t="s">
        <v>3762</v>
      </c>
      <c r="I431" s="5" t="s">
        <v>57</v>
      </c>
      <c r="J431">
        <v>2050</v>
      </c>
      <c r="K431" s="38" t="str">
        <f t="shared" si="57"/>
        <v>*0.93</v>
      </c>
      <c r="P431" s="32" t="s">
        <v>3762</v>
      </c>
      <c r="Q431" s="42" t="s">
        <v>57</v>
      </c>
      <c r="R431" s="32">
        <v>2035</v>
      </c>
      <c r="S431" s="43" t="str">
        <f t="shared" si="58"/>
        <v>*0.95</v>
      </c>
      <c r="U431" s="32" t="s">
        <v>3762</v>
      </c>
      <c r="V431" s="42" t="s">
        <v>57</v>
      </c>
      <c r="W431" s="32">
        <v>2050</v>
      </c>
      <c r="X431" s="43" t="str">
        <f t="shared" si="59"/>
        <v>*0.93</v>
      </c>
      <c r="AC431" s="33" t="s">
        <v>3762</v>
      </c>
      <c r="AD431" s="44" t="s">
        <v>57</v>
      </c>
      <c r="AE431" s="33">
        <v>2035</v>
      </c>
      <c r="AF431" s="45" t="str">
        <f t="shared" si="60"/>
        <v>*0.93</v>
      </c>
      <c r="AG431" s="43" t="str">
        <f t="shared" si="63"/>
        <v>REZoning_Sol-Win</v>
      </c>
      <c r="AI431" s="33" t="s">
        <v>3762</v>
      </c>
      <c r="AJ431" s="44" t="s">
        <v>57</v>
      </c>
      <c r="AK431" s="33">
        <v>2050</v>
      </c>
      <c r="AL431" s="45" t="str">
        <f t="shared" si="61"/>
        <v>*0.9</v>
      </c>
      <c r="AM431" s="43" t="str">
        <f t="shared" si="64"/>
        <v>REZoning_Sol-Win</v>
      </c>
      <c r="AP431" t="s">
        <v>3762</v>
      </c>
      <c r="AQ431" t="s">
        <v>57</v>
      </c>
      <c r="AR431">
        <f t="shared" si="62"/>
        <v>2100</v>
      </c>
      <c r="AS431" t="s">
        <v>897</v>
      </c>
      <c r="AT431" t="s">
        <v>58</v>
      </c>
    </row>
    <row r="432" ht="29" spans="1:46">
      <c r="A432" s="31" t="s">
        <v>73</v>
      </c>
      <c r="C432" t="s">
        <v>3763</v>
      </c>
      <c r="D432" s="5" t="s">
        <v>57</v>
      </c>
      <c r="E432">
        <v>2035</v>
      </c>
      <c r="F432" s="6" t="str">
        <f t="shared" si="56"/>
        <v>*0.95</v>
      </c>
      <c r="H432" t="s">
        <v>3763</v>
      </c>
      <c r="I432" s="5" t="s">
        <v>57</v>
      </c>
      <c r="J432">
        <v>2050</v>
      </c>
      <c r="K432" s="38" t="str">
        <f t="shared" si="57"/>
        <v>*0.93</v>
      </c>
      <c r="P432" s="32" t="s">
        <v>3763</v>
      </c>
      <c r="Q432" s="42" t="s">
        <v>57</v>
      </c>
      <c r="R432" s="32">
        <v>2035</v>
      </c>
      <c r="S432" s="43" t="str">
        <f t="shared" si="58"/>
        <v>*0.95</v>
      </c>
      <c r="U432" s="32" t="s">
        <v>3763</v>
      </c>
      <c r="V432" s="42" t="s">
        <v>57</v>
      </c>
      <c r="W432" s="32">
        <v>2050</v>
      </c>
      <c r="X432" s="43" t="str">
        <f t="shared" si="59"/>
        <v>*0.93</v>
      </c>
      <c r="AC432" s="33" t="s">
        <v>3763</v>
      </c>
      <c r="AD432" s="44" t="s">
        <v>57</v>
      </c>
      <c r="AE432" s="33">
        <v>2035</v>
      </c>
      <c r="AF432" s="45" t="str">
        <f t="shared" si="60"/>
        <v>*0.93</v>
      </c>
      <c r="AG432" s="43" t="str">
        <f t="shared" si="63"/>
        <v>REZoning_Sol-Win</v>
      </c>
      <c r="AI432" s="33" t="s">
        <v>3763</v>
      </c>
      <c r="AJ432" s="44" t="s">
        <v>57</v>
      </c>
      <c r="AK432" s="33">
        <v>2050</v>
      </c>
      <c r="AL432" s="45" t="str">
        <f t="shared" si="61"/>
        <v>*0.9</v>
      </c>
      <c r="AM432" s="43" t="str">
        <f t="shared" si="64"/>
        <v>REZoning_Sol-Win</v>
      </c>
      <c r="AP432" t="s">
        <v>3763</v>
      </c>
      <c r="AQ432" t="s">
        <v>57</v>
      </c>
      <c r="AR432">
        <f t="shared" si="62"/>
        <v>2100</v>
      </c>
      <c r="AS432" t="s">
        <v>897</v>
      </c>
      <c r="AT432" t="s">
        <v>58</v>
      </c>
    </row>
    <row r="433" ht="29" spans="1:46">
      <c r="A433" s="31" t="s">
        <v>73</v>
      </c>
      <c r="C433" t="s">
        <v>3764</v>
      </c>
      <c r="D433" s="5" t="s">
        <v>57</v>
      </c>
      <c r="E433">
        <v>2035</v>
      </c>
      <c r="F433" s="6" t="str">
        <f t="shared" si="56"/>
        <v>*0.95</v>
      </c>
      <c r="H433" t="s">
        <v>3764</v>
      </c>
      <c r="I433" s="5" t="s">
        <v>57</v>
      </c>
      <c r="J433">
        <v>2050</v>
      </c>
      <c r="K433" s="38" t="str">
        <f t="shared" si="57"/>
        <v>*0.93</v>
      </c>
      <c r="P433" s="32" t="s">
        <v>3764</v>
      </c>
      <c r="Q433" s="42" t="s">
        <v>57</v>
      </c>
      <c r="R433" s="32">
        <v>2035</v>
      </c>
      <c r="S433" s="43" t="str">
        <f t="shared" si="58"/>
        <v>*0.95</v>
      </c>
      <c r="U433" s="32" t="s">
        <v>3764</v>
      </c>
      <c r="V433" s="42" t="s">
        <v>57</v>
      </c>
      <c r="W433" s="32">
        <v>2050</v>
      </c>
      <c r="X433" s="43" t="str">
        <f t="shared" si="59"/>
        <v>*0.93</v>
      </c>
      <c r="AC433" s="33" t="s">
        <v>3764</v>
      </c>
      <c r="AD433" s="44" t="s">
        <v>57</v>
      </c>
      <c r="AE433" s="33">
        <v>2035</v>
      </c>
      <c r="AF433" s="45" t="str">
        <f t="shared" si="60"/>
        <v>*0.93</v>
      </c>
      <c r="AG433" s="43" t="str">
        <f t="shared" si="63"/>
        <v>REZoning_Sol-Win</v>
      </c>
      <c r="AI433" s="33" t="s">
        <v>3764</v>
      </c>
      <c r="AJ433" s="44" t="s">
        <v>57</v>
      </c>
      <c r="AK433" s="33">
        <v>2050</v>
      </c>
      <c r="AL433" s="45" t="str">
        <f t="shared" si="61"/>
        <v>*0.9</v>
      </c>
      <c r="AM433" s="43" t="str">
        <f t="shared" si="64"/>
        <v>REZoning_Sol-Win</v>
      </c>
      <c r="AP433" t="s">
        <v>3764</v>
      </c>
      <c r="AQ433" t="s">
        <v>57</v>
      </c>
      <c r="AR433">
        <f t="shared" si="62"/>
        <v>2100</v>
      </c>
      <c r="AS433" t="s">
        <v>897</v>
      </c>
      <c r="AT433" t="s">
        <v>58</v>
      </c>
    </row>
    <row r="434" ht="29" spans="1:46">
      <c r="A434" s="31" t="s">
        <v>73</v>
      </c>
      <c r="C434" t="s">
        <v>3765</v>
      </c>
      <c r="D434" s="5" t="s">
        <v>57</v>
      </c>
      <c r="E434">
        <v>2035</v>
      </c>
      <c r="F434" s="6" t="str">
        <f t="shared" si="56"/>
        <v>*0.95</v>
      </c>
      <c r="H434" t="s">
        <v>3765</v>
      </c>
      <c r="I434" s="5" t="s">
        <v>57</v>
      </c>
      <c r="J434">
        <v>2050</v>
      </c>
      <c r="K434" s="38" t="str">
        <f t="shared" si="57"/>
        <v>*0.93</v>
      </c>
      <c r="P434" s="32" t="s">
        <v>3765</v>
      </c>
      <c r="Q434" s="42" t="s">
        <v>57</v>
      </c>
      <c r="R434" s="32">
        <v>2035</v>
      </c>
      <c r="S434" s="43" t="str">
        <f t="shared" si="58"/>
        <v>*0.95</v>
      </c>
      <c r="U434" s="32" t="s">
        <v>3765</v>
      </c>
      <c r="V434" s="42" t="s">
        <v>57</v>
      </c>
      <c r="W434" s="32">
        <v>2050</v>
      </c>
      <c r="X434" s="43" t="str">
        <f t="shared" si="59"/>
        <v>*0.93</v>
      </c>
      <c r="AC434" s="33" t="s">
        <v>3765</v>
      </c>
      <c r="AD434" s="44" t="s">
        <v>57</v>
      </c>
      <c r="AE434" s="33">
        <v>2035</v>
      </c>
      <c r="AF434" s="45" t="str">
        <f t="shared" si="60"/>
        <v>*0.93</v>
      </c>
      <c r="AG434" s="43" t="str">
        <f t="shared" si="63"/>
        <v>REZoning_Sol-Win</v>
      </c>
      <c r="AI434" s="33" t="s">
        <v>3765</v>
      </c>
      <c r="AJ434" s="44" t="s">
        <v>57</v>
      </c>
      <c r="AK434" s="33">
        <v>2050</v>
      </c>
      <c r="AL434" s="45" t="str">
        <f t="shared" si="61"/>
        <v>*0.9</v>
      </c>
      <c r="AM434" s="43" t="str">
        <f t="shared" si="64"/>
        <v>REZoning_Sol-Win</v>
      </c>
      <c r="AP434" t="s">
        <v>3765</v>
      </c>
      <c r="AQ434" t="s">
        <v>57</v>
      </c>
      <c r="AR434">
        <f t="shared" si="62"/>
        <v>2100</v>
      </c>
      <c r="AS434" t="s">
        <v>897</v>
      </c>
      <c r="AT434" t="s">
        <v>58</v>
      </c>
    </row>
    <row r="435" ht="29" spans="1:46">
      <c r="A435" s="31" t="s">
        <v>73</v>
      </c>
      <c r="C435" t="s">
        <v>3766</v>
      </c>
      <c r="D435" s="5" t="s">
        <v>57</v>
      </c>
      <c r="E435">
        <v>2035</v>
      </c>
      <c r="F435" s="6" t="str">
        <f t="shared" si="56"/>
        <v>*0.95</v>
      </c>
      <c r="H435" t="s">
        <v>3766</v>
      </c>
      <c r="I435" s="5" t="s">
        <v>57</v>
      </c>
      <c r="J435">
        <v>2050</v>
      </c>
      <c r="K435" s="38" t="str">
        <f t="shared" si="57"/>
        <v>*0.93</v>
      </c>
      <c r="P435" s="32" t="s">
        <v>3766</v>
      </c>
      <c r="Q435" s="42" t="s">
        <v>57</v>
      </c>
      <c r="R435" s="32">
        <v>2035</v>
      </c>
      <c r="S435" s="43" t="str">
        <f t="shared" si="58"/>
        <v>*0.95</v>
      </c>
      <c r="U435" s="32" t="s">
        <v>3766</v>
      </c>
      <c r="V435" s="42" t="s">
        <v>57</v>
      </c>
      <c r="W435" s="32">
        <v>2050</v>
      </c>
      <c r="X435" s="43" t="str">
        <f t="shared" si="59"/>
        <v>*0.93</v>
      </c>
      <c r="AC435" s="33" t="s">
        <v>3766</v>
      </c>
      <c r="AD435" s="44" t="s">
        <v>57</v>
      </c>
      <c r="AE435" s="33">
        <v>2035</v>
      </c>
      <c r="AF435" s="45" t="str">
        <f t="shared" si="60"/>
        <v>*0.93</v>
      </c>
      <c r="AG435" s="43" t="str">
        <f t="shared" si="63"/>
        <v>REZoning_Sol-Win</v>
      </c>
      <c r="AI435" s="33" t="s">
        <v>3766</v>
      </c>
      <c r="AJ435" s="44" t="s">
        <v>57</v>
      </c>
      <c r="AK435" s="33">
        <v>2050</v>
      </c>
      <c r="AL435" s="45" t="str">
        <f t="shared" si="61"/>
        <v>*0.9</v>
      </c>
      <c r="AM435" s="43" t="str">
        <f t="shared" si="64"/>
        <v>REZoning_Sol-Win</v>
      </c>
      <c r="AP435" t="s">
        <v>3766</v>
      </c>
      <c r="AQ435" t="s">
        <v>57</v>
      </c>
      <c r="AR435">
        <f t="shared" si="62"/>
        <v>2100</v>
      </c>
      <c r="AS435" t="s">
        <v>897</v>
      </c>
      <c r="AT435" t="s">
        <v>58</v>
      </c>
    </row>
    <row r="436" ht="29" spans="1:46">
      <c r="A436" s="31" t="s">
        <v>73</v>
      </c>
      <c r="C436" t="s">
        <v>3767</v>
      </c>
      <c r="D436" s="5" t="s">
        <v>57</v>
      </c>
      <c r="E436">
        <v>2035</v>
      </c>
      <c r="F436" s="6" t="str">
        <f t="shared" si="56"/>
        <v>*0.95</v>
      </c>
      <c r="H436" t="s">
        <v>3767</v>
      </c>
      <c r="I436" s="5" t="s">
        <v>57</v>
      </c>
      <c r="J436">
        <v>2050</v>
      </c>
      <c r="K436" s="38" t="str">
        <f t="shared" si="57"/>
        <v>*0.93</v>
      </c>
      <c r="P436" s="32" t="s">
        <v>3767</v>
      </c>
      <c r="Q436" s="42" t="s">
        <v>57</v>
      </c>
      <c r="R436" s="32">
        <v>2035</v>
      </c>
      <c r="S436" s="43" t="str">
        <f t="shared" si="58"/>
        <v>*0.95</v>
      </c>
      <c r="U436" s="32" t="s">
        <v>3767</v>
      </c>
      <c r="V436" s="42" t="s">
        <v>57</v>
      </c>
      <c r="W436" s="32">
        <v>2050</v>
      </c>
      <c r="X436" s="43" t="str">
        <f t="shared" si="59"/>
        <v>*0.93</v>
      </c>
      <c r="AC436" s="33" t="s">
        <v>3767</v>
      </c>
      <c r="AD436" s="44" t="s">
        <v>57</v>
      </c>
      <c r="AE436" s="33">
        <v>2035</v>
      </c>
      <c r="AF436" s="45" t="str">
        <f t="shared" si="60"/>
        <v>*0.93</v>
      </c>
      <c r="AG436" s="43" t="str">
        <f t="shared" si="63"/>
        <v>REZoning_Sol-Win</v>
      </c>
      <c r="AI436" s="33" t="s">
        <v>3767</v>
      </c>
      <c r="AJ436" s="44" t="s">
        <v>57</v>
      </c>
      <c r="AK436" s="33">
        <v>2050</v>
      </c>
      <c r="AL436" s="45" t="str">
        <f t="shared" si="61"/>
        <v>*0.9</v>
      </c>
      <c r="AM436" s="43" t="str">
        <f t="shared" si="64"/>
        <v>REZoning_Sol-Win</v>
      </c>
      <c r="AP436" t="s">
        <v>3767</v>
      </c>
      <c r="AQ436" t="s">
        <v>57</v>
      </c>
      <c r="AR436">
        <f t="shared" si="62"/>
        <v>2100</v>
      </c>
      <c r="AS436" t="s">
        <v>897</v>
      </c>
      <c r="AT436" t="s">
        <v>58</v>
      </c>
    </row>
    <row r="437" ht="29" spans="1:46">
      <c r="A437" s="31" t="s">
        <v>73</v>
      </c>
      <c r="C437" t="s">
        <v>3768</v>
      </c>
      <c r="D437" s="5" t="s">
        <v>57</v>
      </c>
      <c r="E437">
        <v>2035</v>
      </c>
      <c r="F437" s="6" t="str">
        <f t="shared" si="56"/>
        <v>*0.95</v>
      </c>
      <c r="H437" t="s">
        <v>3768</v>
      </c>
      <c r="I437" s="5" t="s">
        <v>57</v>
      </c>
      <c r="J437">
        <v>2050</v>
      </c>
      <c r="K437" s="38" t="str">
        <f t="shared" si="57"/>
        <v>*0.93</v>
      </c>
      <c r="P437" s="32" t="s">
        <v>3768</v>
      </c>
      <c r="Q437" s="42" t="s">
        <v>57</v>
      </c>
      <c r="R437" s="32">
        <v>2035</v>
      </c>
      <c r="S437" s="43" t="str">
        <f t="shared" si="58"/>
        <v>*0.95</v>
      </c>
      <c r="U437" s="32" t="s">
        <v>3768</v>
      </c>
      <c r="V437" s="42" t="s">
        <v>57</v>
      </c>
      <c r="W437" s="32">
        <v>2050</v>
      </c>
      <c r="X437" s="43" t="str">
        <f t="shared" si="59"/>
        <v>*0.93</v>
      </c>
      <c r="AC437" s="33" t="s">
        <v>3768</v>
      </c>
      <c r="AD437" s="44" t="s">
        <v>57</v>
      </c>
      <c r="AE437" s="33">
        <v>2035</v>
      </c>
      <c r="AF437" s="45" t="str">
        <f t="shared" si="60"/>
        <v>*0.93</v>
      </c>
      <c r="AG437" s="43" t="str">
        <f t="shared" si="63"/>
        <v>REZoning_Sol-Win</v>
      </c>
      <c r="AI437" s="33" t="s">
        <v>3768</v>
      </c>
      <c r="AJ437" s="44" t="s">
        <v>57</v>
      </c>
      <c r="AK437" s="33">
        <v>2050</v>
      </c>
      <c r="AL437" s="45" t="str">
        <f t="shared" si="61"/>
        <v>*0.9</v>
      </c>
      <c r="AM437" s="43" t="str">
        <f t="shared" si="64"/>
        <v>REZoning_Sol-Win</v>
      </c>
      <c r="AP437" t="s">
        <v>3768</v>
      </c>
      <c r="AQ437" t="s">
        <v>57</v>
      </c>
      <c r="AR437">
        <f t="shared" si="62"/>
        <v>2100</v>
      </c>
      <c r="AS437" t="s">
        <v>897</v>
      </c>
      <c r="AT437" t="s">
        <v>58</v>
      </c>
    </row>
    <row r="438" ht="29" spans="1:46">
      <c r="A438" s="31" t="s">
        <v>73</v>
      </c>
      <c r="C438" t="s">
        <v>3769</v>
      </c>
      <c r="D438" s="5" t="s">
        <v>57</v>
      </c>
      <c r="E438">
        <v>2035</v>
      </c>
      <c r="F438" s="6" t="str">
        <f t="shared" si="56"/>
        <v>*0.95</v>
      </c>
      <c r="H438" t="s">
        <v>3769</v>
      </c>
      <c r="I438" s="5" t="s">
        <v>57</v>
      </c>
      <c r="J438">
        <v>2050</v>
      </c>
      <c r="K438" s="38" t="str">
        <f t="shared" si="57"/>
        <v>*0.93</v>
      </c>
      <c r="P438" s="32" t="s">
        <v>3769</v>
      </c>
      <c r="Q438" s="42" t="s">
        <v>57</v>
      </c>
      <c r="R438" s="32">
        <v>2035</v>
      </c>
      <c r="S438" s="43" t="str">
        <f t="shared" si="58"/>
        <v>*0.95</v>
      </c>
      <c r="U438" s="32" t="s">
        <v>3769</v>
      </c>
      <c r="V438" s="42" t="s">
        <v>57</v>
      </c>
      <c r="W438" s="32">
        <v>2050</v>
      </c>
      <c r="X438" s="43" t="str">
        <f t="shared" si="59"/>
        <v>*0.93</v>
      </c>
      <c r="AC438" s="33" t="s">
        <v>3769</v>
      </c>
      <c r="AD438" s="44" t="s">
        <v>57</v>
      </c>
      <c r="AE438" s="33">
        <v>2035</v>
      </c>
      <c r="AF438" s="45" t="str">
        <f t="shared" si="60"/>
        <v>*0.93</v>
      </c>
      <c r="AG438" s="43" t="str">
        <f t="shared" si="63"/>
        <v>REZoning_Sol-Win</v>
      </c>
      <c r="AI438" s="33" t="s">
        <v>3769</v>
      </c>
      <c r="AJ438" s="44" t="s">
        <v>57</v>
      </c>
      <c r="AK438" s="33">
        <v>2050</v>
      </c>
      <c r="AL438" s="45" t="str">
        <f t="shared" si="61"/>
        <v>*0.9</v>
      </c>
      <c r="AM438" s="43" t="str">
        <f t="shared" si="64"/>
        <v>REZoning_Sol-Win</v>
      </c>
      <c r="AP438" t="s">
        <v>3769</v>
      </c>
      <c r="AQ438" t="s">
        <v>57</v>
      </c>
      <c r="AR438">
        <f t="shared" si="62"/>
        <v>2100</v>
      </c>
      <c r="AS438" t="s">
        <v>897</v>
      </c>
      <c r="AT438" t="s">
        <v>58</v>
      </c>
    </row>
    <row r="439" ht="29" spans="1:46">
      <c r="A439" s="31" t="s">
        <v>73</v>
      </c>
      <c r="C439" t="s">
        <v>3770</v>
      </c>
      <c r="D439" s="5" t="s">
        <v>57</v>
      </c>
      <c r="E439">
        <v>2035</v>
      </c>
      <c r="F439" s="6" t="str">
        <f t="shared" si="56"/>
        <v>*0.95</v>
      </c>
      <c r="H439" t="s">
        <v>3770</v>
      </c>
      <c r="I439" s="5" t="s">
        <v>57</v>
      </c>
      <c r="J439">
        <v>2050</v>
      </c>
      <c r="K439" s="38" t="str">
        <f t="shared" si="57"/>
        <v>*0.93</v>
      </c>
      <c r="P439" s="32" t="s">
        <v>3770</v>
      </c>
      <c r="Q439" s="42" t="s">
        <v>57</v>
      </c>
      <c r="R439" s="32">
        <v>2035</v>
      </c>
      <c r="S439" s="43" t="str">
        <f t="shared" si="58"/>
        <v>*0.95</v>
      </c>
      <c r="U439" s="32" t="s">
        <v>3770</v>
      </c>
      <c r="V439" s="42" t="s">
        <v>57</v>
      </c>
      <c r="W439" s="32">
        <v>2050</v>
      </c>
      <c r="X439" s="43" t="str">
        <f t="shared" si="59"/>
        <v>*0.93</v>
      </c>
      <c r="AC439" s="33" t="s">
        <v>3770</v>
      </c>
      <c r="AD439" s="44" t="s">
        <v>57</v>
      </c>
      <c r="AE439" s="33">
        <v>2035</v>
      </c>
      <c r="AF439" s="45" t="str">
        <f t="shared" si="60"/>
        <v>*0.93</v>
      </c>
      <c r="AG439" s="43" t="str">
        <f t="shared" si="63"/>
        <v>REZoning_Sol-Win</v>
      </c>
      <c r="AI439" s="33" t="s">
        <v>3770</v>
      </c>
      <c r="AJ439" s="44" t="s">
        <v>57</v>
      </c>
      <c r="AK439" s="33">
        <v>2050</v>
      </c>
      <c r="AL439" s="45" t="str">
        <f t="shared" si="61"/>
        <v>*0.9</v>
      </c>
      <c r="AM439" s="43" t="str">
        <f t="shared" si="64"/>
        <v>REZoning_Sol-Win</v>
      </c>
      <c r="AP439" t="s">
        <v>3770</v>
      </c>
      <c r="AQ439" t="s">
        <v>57</v>
      </c>
      <c r="AR439">
        <f t="shared" si="62"/>
        <v>2100</v>
      </c>
      <c r="AS439" t="s">
        <v>897</v>
      </c>
      <c r="AT439" t="s">
        <v>58</v>
      </c>
    </row>
    <row r="440" ht="29" spans="1:46">
      <c r="A440" s="31" t="s">
        <v>73</v>
      </c>
      <c r="C440" t="s">
        <v>3771</v>
      </c>
      <c r="D440" s="5" t="s">
        <v>57</v>
      </c>
      <c r="E440">
        <v>2035</v>
      </c>
      <c r="F440" s="6" t="str">
        <f t="shared" si="56"/>
        <v>*0.95</v>
      </c>
      <c r="H440" t="s">
        <v>3771</v>
      </c>
      <c r="I440" s="5" t="s">
        <v>57</v>
      </c>
      <c r="J440">
        <v>2050</v>
      </c>
      <c r="K440" s="38" t="str">
        <f t="shared" si="57"/>
        <v>*0.93</v>
      </c>
      <c r="P440" s="32" t="s">
        <v>3771</v>
      </c>
      <c r="Q440" s="42" t="s">
        <v>57</v>
      </c>
      <c r="R440" s="32">
        <v>2035</v>
      </c>
      <c r="S440" s="43" t="str">
        <f t="shared" si="58"/>
        <v>*0.95</v>
      </c>
      <c r="U440" s="32" t="s">
        <v>3771</v>
      </c>
      <c r="V440" s="42" t="s">
        <v>57</v>
      </c>
      <c r="W440" s="32">
        <v>2050</v>
      </c>
      <c r="X440" s="43" t="str">
        <f t="shared" si="59"/>
        <v>*0.93</v>
      </c>
      <c r="AC440" s="33" t="s">
        <v>3771</v>
      </c>
      <c r="AD440" s="44" t="s">
        <v>57</v>
      </c>
      <c r="AE440" s="33">
        <v>2035</v>
      </c>
      <c r="AF440" s="45" t="str">
        <f t="shared" si="60"/>
        <v>*0.93</v>
      </c>
      <c r="AG440" s="43" t="str">
        <f t="shared" si="63"/>
        <v>REZoning_Sol-Win</v>
      </c>
      <c r="AI440" s="33" t="s">
        <v>3771</v>
      </c>
      <c r="AJ440" s="44" t="s">
        <v>57</v>
      </c>
      <c r="AK440" s="33">
        <v>2050</v>
      </c>
      <c r="AL440" s="45" t="str">
        <f t="shared" si="61"/>
        <v>*0.9</v>
      </c>
      <c r="AM440" s="43" t="str">
        <f t="shared" si="64"/>
        <v>REZoning_Sol-Win</v>
      </c>
      <c r="AP440" t="s">
        <v>3771</v>
      </c>
      <c r="AQ440" t="s">
        <v>57</v>
      </c>
      <c r="AR440">
        <f t="shared" si="62"/>
        <v>2100</v>
      </c>
      <c r="AS440" t="s">
        <v>897</v>
      </c>
      <c r="AT440" t="s">
        <v>58</v>
      </c>
    </row>
    <row r="441" ht="29" spans="1:46">
      <c r="A441" s="31" t="s">
        <v>73</v>
      </c>
      <c r="C441" t="s">
        <v>3772</v>
      </c>
      <c r="D441" s="5" t="s">
        <v>57</v>
      </c>
      <c r="E441">
        <v>2035</v>
      </c>
      <c r="F441" s="6" t="str">
        <f t="shared" si="56"/>
        <v>*0.95</v>
      </c>
      <c r="H441" t="s">
        <v>3772</v>
      </c>
      <c r="I441" s="5" t="s">
        <v>57</v>
      </c>
      <c r="J441">
        <v>2050</v>
      </c>
      <c r="K441" s="38" t="str">
        <f t="shared" si="57"/>
        <v>*0.93</v>
      </c>
      <c r="P441" s="32" t="s">
        <v>3772</v>
      </c>
      <c r="Q441" s="42" t="s">
        <v>57</v>
      </c>
      <c r="R441" s="32">
        <v>2035</v>
      </c>
      <c r="S441" s="43" t="str">
        <f t="shared" si="58"/>
        <v>*0.95</v>
      </c>
      <c r="U441" s="32" t="s">
        <v>3772</v>
      </c>
      <c r="V441" s="42" t="s">
        <v>57</v>
      </c>
      <c r="W441" s="32">
        <v>2050</v>
      </c>
      <c r="X441" s="43" t="str">
        <f t="shared" si="59"/>
        <v>*0.93</v>
      </c>
      <c r="AC441" s="33" t="s">
        <v>3772</v>
      </c>
      <c r="AD441" s="44" t="s">
        <v>57</v>
      </c>
      <c r="AE441" s="33">
        <v>2035</v>
      </c>
      <c r="AF441" s="45" t="str">
        <f t="shared" si="60"/>
        <v>*0.93</v>
      </c>
      <c r="AG441" s="43" t="str">
        <f t="shared" si="63"/>
        <v>REZoning_Sol-Win</v>
      </c>
      <c r="AI441" s="33" t="s">
        <v>3772</v>
      </c>
      <c r="AJ441" s="44" t="s">
        <v>57</v>
      </c>
      <c r="AK441" s="33">
        <v>2050</v>
      </c>
      <c r="AL441" s="45" t="str">
        <f t="shared" si="61"/>
        <v>*0.9</v>
      </c>
      <c r="AM441" s="43" t="str">
        <f t="shared" si="64"/>
        <v>REZoning_Sol-Win</v>
      </c>
      <c r="AP441" t="s">
        <v>3772</v>
      </c>
      <c r="AQ441" t="s">
        <v>57</v>
      </c>
      <c r="AR441">
        <f t="shared" si="62"/>
        <v>2100</v>
      </c>
      <c r="AS441" t="s">
        <v>897</v>
      </c>
      <c r="AT441" t="s">
        <v>58</v>
      </c>
    </row>
    <row r="442" ht="29" spans="1:46">
      <c r="A442" s="31" t="s">
        <v>73</v>
      </c>
      <c r="C442" t="s">
        <v>3773</v>
      </c>
      <c r="D442" s="5" t="s">
        <v>57</v>
      </c>
      <c r="E442">
        <v>2035</v>
      </c>
      <c r="F442" s="6" t="str">
        <f t="shared" si="56"/>
        <v>*0.95</v>
      </c>
      <c r="H442" t="s">
        <v>3773</v>
      </c>
      <c r="I442" s="5" t="s">
        <v>57</v>
      </c>
      <c r="J442">
        <v>2050</v>
      </c>
      <c r="K442" s="38" t="str">
        <f t="shared" si="57"/>
        <v>*0.93</v>
      </c>
      <c r="P442" s="32" t="s">
        <v>3773</v>
      </c>
      <c r="Q442" s="42" t="s">
        <v>57</v>
      </c>
      <c r="R442" s="32">
        <v>2035</v>
      </c>
      <c r="S442" s="43" t="str">
        <f t="shared" si="58"/>
        <v>*0.95</v>
      </c>
      <c r="U442" s="32" t="s">
        <v>3773</v>
      </c>
      <c r="V442" s="42" t="s">
        <v>57</v>
      </c>
      <c r="W442" s="32">
        <v>2050</v>
      </c>
      <c r="X442" s="43" t="str">
        <f t="shared" si="59"/>
        <v>*0.93</v>
      </c>
      <c r="AC442" s="33" t="s">
        <v>3773</v>
      </c>
      <c r="AD442" s="44" t="s">
        <v>57</v>
      </c>
      <c r="AE442" s="33">
        <v>2035</v>
      </c>
      <c r="AF442" s="45" t="str">
        <f t="shared" si="60"/>
        <v>*0.93</v>
      </c>
      <c r="AG442" s="43" t="str">
        <f t="shared" si="63"/>
        <v>REZoning_Sol-Win</v>
      </c>
      <c r="AI442" s="33" t="s">
        <v>3773</v>
      </c>
      <c r="AJ442" s="44" t="s">
        <v>57</v>
      </c>
      <c r="AK442" s="33">
        <v>2050</v>
      </c>
      <c r="AL442" s="45" t="str">
        <f t="shared" si="61"/>
        <v>*0.9</v>
      </c>
      <c r="AM442" s="43" t="str">
        <f t="shared" si="64"/>
        <v>REZoning_Sol-Win</v>
      </c>
      <c r="AP442" t="s">
        <v>3773</v>
      </c>
      <c r="AQ442" t="s">
        <v>57</v>
      </c>
      <c r="AR442">
        <f t="shared" si="62"/>
        <v>2100</v>
      </c>
      <c r="AS442" t="s">
        <v>897</v>
      </c>
      <c r="AT442" t="s">
        <v>58</v>
      </c>
    </row>
    <row r="443" ht="29" spans="1:46">
      <c r="A443" s="31" t="s">
        <v>73</v>
      </c>
      <c r="C443" t="s">
        <v>3774</v>
      </c>
      <c r="D443" s="5" t="s">
        <v>57</v>
      </c>
      <c r="E443">
        <v>2035</v>
      </c>
      <c r="F443" s="6" t="str">
        <f t="shared" si="56"/>
        <v>*0.95</v>
      </c>
      <c r="H443" t="s">
        <v>3774</v>
      </c>
      <c r="I443" s="5" t="s">
        <v>57</v>
      </c>
      <c r="J443">
        <v>2050</v>
      </c>
      <c r="K443" s="38" t="str">
        <f t="shared" si="57"/>
        <v>*0.93</v>
      </c>
      <c r="P443" s="32" t="s">
        <v>3774</v>
      </c>
      <c r="Q443" s="42" t="s">
        <v>57</v>
      </c>
      <c r="R443" s="32">
        <v>2035</v>
      </c>
      <c r="S443" s="43" t="str">
        <f t="shared" si="58"/>
        <v>*0.95</v>
      </c>
      <c r="U443" s="32" t="s">
        <v>3774</v>
      </c>
      <c r="V443" s="42" t="s">
        <v>57</v>
      </c>
      <c r="W443" s="32">
        <v>2050</v>
      </c>
      <c r="X443" s="43" t="str">
        <f t="shared" si="59"/>
        <v>*0.93</v>
      </c>
      <c r="AC443" s="33" t="s">
        <v>3774</v>
      </c>
      <c r="AD443" s="44" t="s">
        <v>57</v>
      </c>
      <c r="AE443" s="33">
        <v>2035</v>
      </c>
      <c r="AF443" s="45" t="str">
        <f t="shared" si="60"/>
        <v>*0.93</v>
      </c>
      <c r="AG443" s="43" t="str">
        <f t="shared" si="63"/>
        <v>REZoning_Sol-Win</v>
      </c>
      <c r="AI443" s="33" t="s">
        <v>3774</v>
      </c>
      <c r="AJ443" s="44" t="s">
        <v>57</v>
      </c>
      <c r="AK443" s="33">
        <v>2050</v>
      </c>
      <c r="AL443" s="45" t="str">
        <f t="shared" si="61"/>
        <v>*0.9</v>
      </c>
      <c r="AM443" s="43" t="str">
        <f t="shared" si="64"/>
        <v>REZoning_Sol-Win</v>
      </c>
      <c r="AP443" t="s">
        <v>3774</v>
      </c>
      <c r="AQ443" t="s">
        <v>57</v>
      </c>
      <c r="AR443">
        <f t="shared" si="62"/>
        <v>2100</v>
      </c>
      <c r="AS443" t="s">
        <v>897</v>
      </c>
      <c r="AT443" t="s">
        <v>58</v>
      </c>
    </row>
    <row r="444" ht="29" spans="1:46">
      <c r="A444" s="31" t="s">
        <v>73</v>
      </c>
      <c r="C444" t="s">
        <v>3775</v>
      </c>
      <c r="D444" s="5" t="s">
        <v>57</v>
      </c>
      <c r="E444">
        <v>2035</v>
      </c>
      <c r="F444" s="6" t="str">
        <f t="shared" si="56"/>
        <v>*0.95</v>
      </c>
      <c r="H444" t="s">
        <v>3775</v>
      </c>
      <c r="I444" s="5" t="s">
        <v>57</v>
      </c>
      <c r="J444">
        <v>2050</v>
      </c>
      <c r="K444" s="38" t="str">
        <f t="shared" si="57"/>
        <v>*0.93</v>
      </c>
      <c r="P444" s="32" t="s">
        <v>3775</v>
      </c>
      <c r="Q444" s="42" t="s">
        <v>57</v>
      </c>
      <c r="R444" s="32">
        <v>2035</v>
      </c>
      <c r="S444" s="43" t="str">
        <f t="shared" si="58"/>
        <v>*0.95</v>
      </c>
      <c r="U444" s="32" t="s">
        <v>3775</v>
      </c>
      <c r="V444" s="42" t="s">
        <v>57</v>
      </c>
      <c r="W444" s="32">
        <v>2050</v>
      </c>
      <c r="X444" s="43" t="str">
        <f t="shared" si="59"/>
        <v>*0.93</v>
      </c>
      <c r="AC444" s="33" t="s">
        <v>3775</v>
      </c>
      <c r="AD444" s="44" t="s">
        <v>57</v>
      </c>
      <c r="AE444" s="33">
        <v>2035</v>
      </c>
      <c r="AF444" s="45" t="str">
        <f t="shared" si="60"/>
        <v>*0.93</v>
      </c>
      <c r="AG444" s="43" t="str">
        <f t="shared" si="63"/>
        <v>REZoning_Sol-Win</v>
      </c>
      <c r="AI444" s="33" t="s">
        <v>3775</v>
      </c>
      <c r="AJ444" s="44" t="s">
        <v>57</v>
      </c>
      <c r="AK444" s="33">
        <v>2050</v>
      </c>
      <c r="AL444" s="45" t="str">
        <f t="shared" si="61"/>
        <v>*0.9</v>
      </c>
      <c r="AM444" s="43" t="str">
        <f t="shared" si="64"/>
        <v>REZoning_Sol-Win</v>
      </c>
      <c r="AP444" t="s">
        <v>3775</v>
      </c>
      <c r="AQ444" t="s">
        <v>57</v>
      </c>
      <c r="AR444">
        <f t="shared" si="62"/>
        <v>2100</v>
      </c>
      <c r="AS444" t="s">
        <v>897</v>
      </c>
      <c r="AT444" t="s">
        <v>58</v>
      </c>
    </row>
    <row r="445" ht="29" spans="1:46">
      <c r="A445" s="31" t="s">
        <v>73</v>
      </c>
      <c r="C445" t="s">
        <v>3776</v>
      </c>
      <c r="D445" s="5" t="s">
        <v>57</v>
      </c>
      <c r="E445">
        <v>2035</v>
      </c>
      <c r="F445" s="6" t="str">
        <f t="shared" si="56"/>
        <v>*0.95</v>
      </c>
      <c r="H445" t="s">
        <v>3776</v>
      </c>
      <c r="I445" s="5" t="s">
        <v>57</v>
      </c>
      <c r="J445">
        <v>2050</v>
      </c>
      <c r="K445" s="38" t="str">
        <f t="shared" si="57"/>
        <v>*0.93</v>
      </c>
      <c r="P445" s="32" t="s">
        <v>3776</v>
      </c>
      <c r="Q445" s="42" t="s">
        <v>57</v>
      </c>
      <c r="R445" s="32">
        <v>2035</v>
      </c>
      <c r="S445" s="43" t="str">
        <f t="shared" si="58"/>
        <v>*0.95</v>
      </c>
      <c r="U445" s="32" t="s">
        <v>3776</v>
      </c>
      <c r="V445" s="42" t="s">
        <v>57</v>
      </c>
      <c r="W445" s="32">
        <v>2050</v>
      </c>
      <c r="X445" s="43" t="str">
        <f t="shared" si="59"/>
        <v>*0.93</v>
      </c>
      <c r="AC445" s="33" t="s">
        <v>3776</v>
      </c>
      <c r="AD445" s="44" t="s">
        <v>57</v>
      </c>
      <c r="AE445" s="33">
        <v>2035</v>
      </c>
      <c r="AF445" s="45" t="str">
        <f t="shared" si="60"/>
        <v>*0.93</v>
      </c>
      <c r="AG445" s="43" t="str">
        <f t="shared" si="63"/>
        <v>REZoning_Sol-Win</v>
      </c>
      <c r="AI445" s="33" t="s">
        <v>3776</v>
      </c>
      <c r="AJ445" s="44" t="s">
        <v>57</v>
      </c>
      <c r="AK445" s="33">
        <v>2050</v>
      </c>
      <c r="AL445" s="45" t="str">
        <f t="shared" si="61"/>
        <v>*0.9</v>
      </c>
      <c r="AM445" s="43" t="str">
        <f t="shared" si="64"/>
        <v>REZoning_Sol-Win</v>
      </c>
      <c r="AP445" t="s">
        <v>3776</v>
      </c>
      <c r="AQ445" t="s">
        <v>57</v>
      </c>
      <c r="AR445">
        <f t="shared" si="62"/>
        <v>2100</v>
      </c>
      <c r="AS445" t="s">
        <v>897</v>
      </c>
      <c r="AT445" t="s">
        <v>58</v>
      </c>
    </row>
    <row r="446" ht="29" spans="1:46">
      <c r="A446" s="31" t="s">
        <v>73</v>
      </c>
      <c r="C446" t="s">
        <v>3777</v>
      </c>
      <c r="D446" s="5" t="s">
        <v>57</v>
      </c>
      <c r="E446">
        <v>2035</v>
      </c>
      <c r="F446" s="6" t="str">
        <f t="shared" si="56"/>
        <v>*0.95</v>
      </c>
      <c r="H446" t="s">
        <v>3777</v>
      </c>
      <c r="I446" s="5" t="s">
        <v>57</v>
      </c>
      <c r="J446">
        <v>2050</v>
      </c>
      <c r="K446" s="38" t="str">
        <f t="shared" si="57"/>
        <v>*0.93</v>
      </c>
      <c r="P446" s="32" t="s">
        <v>3777</v>
      </c>
      <c r="Q446" s="42" t="s">
        <v>57</v>
      </c>
      <c r="R446" s="32">
        <v>2035</v>
      </c>
      <c r="S446" s="43" t="str">
        <f t="shared" si="58"/>
        <v>*0.95</v>
      </c>
      <c r="U446" s="32" t="s">
        <v>3777</v>
      </c>
      <c r="V446" s="42" t="s">
        <v>57</v>
      </c>
      <c r="W446" s="32">
        <v>2050</v>
      </c>
      <c r="X446" s="43" t="str">
        <f t="shared" si="59"/>
        <v>*0.93</v>
      </c>
      <c r="AC446" s="33" t="s">
        <v>3777</v>
      </c>
      <c r="AD446" s="44" t="s">
        <v>57</v>
      </c>
      <c r="AE446" s="33">
        <v>2035</v>
      </c>
      <c r="AF446" s="45" t="str">
        <f t="shared" si="60"/>
        <v>*0.93</v>
      </c>
      <c r="AG446" s="43" t="str">
        <f t="shared" si="63"/>
        <v>REZoning_Sol-Win</v>
      </c>
      <c r="AI446" s="33" t="s">
        <v>3777</v>
      </c>
      <c r="AJ446" s="44" t="s">
        <v>57</v>
      </c>
      <c r="AK446" s="33">
        <v>2050</v>
      </c>
      <c r="AL446" s="45" t="str">
        <f t="shared" si="61"/>
        <v>*0.9</v>
      </c>
      <c r="AM446" s="43" t="str">
        <f t="shared" si="64"/>
        <v>REZoning_Sol-Win</v>
      </c>
      <c r="AP446" t="s">
        <v>3777</v>
      </c>
      <c r="AQ446" t="s">
        <v>57</v>
      </c>
      <c r="AR446">
        <f t="shared" si="62"/>
        <v>2100</v>
      </c>
      <c r="AS446" t="s">
        <v>897</v>
      </c>
      <c r="AT446" t="s">
        <v>58</v>
      </c>
    </row>
    <row r="447" ht="29" spans="1:46">
      <c r="A447" s="31" t="s">
        <v>73</v>
      </c>
      <c r="C447" t="s">
        <v>3778</v>
      </c>
      <c r="D447" s="5" t="s">
        <v>57</v>
      </c>
      <c r="E447">
        <v>2035</v>
      </c>
      <c r="F447" s="6" t="str">
        <f t="shared" si="56"/>
        <v>*0.95</v>
      </c>
      <c r="H447" t="s">
        <v>3778</v>
      </c>
      <c r="I447" s="5" t="s">
        <v>57</v>
      </c>
      <c r="J447">
        <v>2050</v>
      </c>
      <c r="K447" s="38" t="str">
        <f t="shared" si="57"/>
        <v>*0.93</v>
      </c>
      <c r="P447" s="32" t="s">
        <v>3778</v>
      </c>
      <c r="Q447" s="42" t="s">
        <v>57</v>
      </c>
      <c r="R447" s="32">
        <v>2035</v>
      </c>
      <c r="S447" s="43" t="str">
        <f t="shared" si="58"/>
        <v>*0.95</v>
      </c>
      <c r="U447" s="32" t="s">
        <v>3778</v>
      </c>
      <c r="V447" s="42" t="s">
        <v>57</v>
      </c>
      <c r="W447" s="32">
        <v>2050</v>
      </c>
      <c r="X447" s="43" t="str">
        <f t="shared" si="59"/>
        <v>*0.93</v>
      </c>
      <c r="AC447" s="33" t="s">
        <v>3778</v>
      </c>
      <c r="AD447" s="44" t="s">
        <v>57</v>
      </c>
      <c r="AE447" s="33">
        <v>2035</v>
      </c>
      <c r="AF447" s="45" t="str">
        <f t="shared" si="60"/>
        <v>*0.93</v>
      </c>
      <c r="AG447" s="43" t="str">
        <f t="shared" si="63"/>
        <v>REZoning_Sol-Win</v>
      </c>
      <c r="AI447" s="33" t="s">
        <v>3778</v>
      </c>
      <c r="AJ447" s="44" t="s">
        <v>57</v>
      </c>
      <c r="AK447" s="33">
        <v>2050</v>
      </c>
      <c r="AL447" s="45" t="str">
        <f t="shared" si="61"/>
        <v>*0.9</v>
      </c>
      <c r="AM447" s="43" t="str">
        <f t="shared" si="64"/>
        <v>REZoning_Sol-Win</v>
      </c>
      <c r="AP447" t="s">
        <v>3778</v>
      </c>
      <c r="AQ447" t="s">
        <v>57</v>
      </c>
      <c r="AR447">
        <f t="shared" si="62"/>
        <v>2100</v>
      </c>
      <c r="AS447" t="s">
        <v>897</v>
      </c>
      <c r="AT447" t="s">
        <v>58</v>
      </c>
    </row>
    <row r="448" ht="29" spans="1:46">
      <c r="A448" s="31" t="s">
        <v>73</v>
      </c>
      <c r="C448" t="s">
        <v>3779</v>
      </c>
      <c r="D448" s="5" t="s">
        <v>57</v>
      </c>
      <c r="E448">
        <v>2035</v>
      </c>
      <c r="F448" s="6" t="str">
        <f t="shared" si="56"/>
        <v>*0.95</v>
      </c>
      <c r="H448" t="s">
        <v>3779</v>
      </c>
      <c r="I448" s="5" t="s">
        <v>57</v>
      </c>
      <c r="J448">
        <v>2050</v>
      </c>
      <c r="K448" s="38" t="str">
        <f t="shared" si="57"/>
        <v>*0.93</v>
      </c>
      <c r="P448" s="32" t="s">
        <v>3779</v>
      </c>
      <c r="Q448" s="42" t="s">
        <v>57</v>
      </c>
      <c r="R448" s="32">
        <v>2035</v>
      </c>
      <c r="S448" s="43" t="str">
        <f t="shared" si="58"/>
        <v>*0.95</v>
      </c>
      <c r="U448" s="32" t="s">
        <v>3779</v>
      </c>
      <c r="V448" s="42" t="s">
        <v>57</v>
      </c>
      <c r="W448" s="32">
        <v>2050</v>
      </c>
      <c r="X448" s="43" t="str">
        <f t="shared" si="59"/>
        <v>*0.93</v>
      </c>
      <c r="AC448" s="33" t="s">
        <v>3779</v>
      </c>
      <c r="AD448" s="44" t="s">
        <v>57</v>
      </c>
      <c r="AE448" s="33">
        <v>2035</v>
      </c>
      <c r="AF448" s="45" t="str">
        <f t="shared" si="60"/>
        <v>*0.93</v>
      </c>
      <c r="AG448" s="43" t="str">
        <f t="shared" si="63"/>
        <v>REZoning_Sol-Win</v>
      </c>
      <c r="AI448" s="33" t="s">
        <v>3779</v>
      </c>
      <c r="AJ448" s="44" t="s">
        <v>57</v>
      </c>
      <c r="AK448" s="33">
        <v>2050</v>
      </c>
      <c r="AL448" s="45" t="str">
        <f t="shared" si="61"/>
        <v>*0.9</v>
      </c>
      <c r="AM448" s="43" t="str">
        <f t="shared" si="64"/>
        <v>REZoning_Sol-Win</v>
      </c>
      <c r="AP448" t="s">
        <v>3779</v>
      </c>
      <c r="AQ448" t="s">
        <v>57</v>
      </c>
      <c r="AR448">
        <f t="shared" si="62"/>
        <v>2100</v>
      </c>
      <c r="AS448" t="s">
        <v>897</v>
      </c>
      <c r="AT448" t="s">
        <v>58</v>
      </c>
    </row>
    <row r="449" ht="29" spans="1:46">
      <c r="A449" s="31" t="s">
        <v>73</v>
      </c>
      <c r="C449" t="s">
        <v>3780</v>
      </c>
      <c r="D449" s="5" t="s">
        <v>57</v>
      </c>
      <c r="E449">
        <v>2035</v>
      </c>
      <c r="F449" s="6" t="str">
        <f t="shared" si="56"/>
        <v>*0.95</v>
      </c>
      <c r="H449" t="s">
        <v>3780</v>
      </c>
      <c r="I449" s="5" t="s">
        <v>57</v>
      </c>
      <c r="J449">
        <v>2050</v>
      </c>
      <c r="K449" s="38" t="str">
        <f t="shared" si="57"/>
        <v>*0.93</v>
      </c>
      <c r="P449" s="32" t="s">
        <v>3780</v>
      </c>
      <c r="Q449" s="42" t="s">
        <v>57</v>
      </c>
      <c r="R449" s="32">
        <v>2035</v>
      </c>
      <c r="S449" s="43" t="str">
        <f t="shared" si="58"/>
        <v>*0.95</v>
      </c>
      <c r="U449" s="32" t="s">
        <v>3780</v>
      </c>
      <c r="V449" s="42" t="s">
        <v>57</v>
      </c>
      <c r="W449" s="32">
        <v>2050</v>
      </c>
      <c r="X449" s="43" t="str">
        <f t="shared" si="59"/>
        <v>*0.93</v>
      </c>
      <c r="AC449" s="33" t="s">
        <v>3780</v>
      </c>
      <c r="AD449" s="44" t="s">
        <v>57</v>
      </c>
      <c r="AE449" s="33">
        <v>2035</v>
      </c>
      <c r="AF449" s="45" t="str">
        <f t="shared" si="60"/>
        <v>*0.93</v>
      </c>
      <c r="AG449" s="43" t="str">
        <f t="shared" si="63"/>
        <v>REZoning_Sol-Win</v>
      </c>
      <c r="AI449" s="33" t="s">
        <v>3780</v>
      </c>
      <c r="AJ449" s="44" t="s">
        <v>57</v>
      </c>
      <c r="AK449" s="33">
        <v>2050</v>
      </c>
      <c r="AL449" s="45" t="str">
        <f t="shared" si="61"/>
        <v>*0.9</v>
      </c>
      <c r="AM449" s="43" t="str">
        <f t="shared" si="64"/>
        <v>REZoning_Sol-Win</v>
      </c>
      <c r="AP449" t="s">
        <v>3780</v>
      </c>
      <c r="AQ449" t="s">
        <v>57</v>
      </c>
      <c r="AR449">
        <f t="shared" si="62"/>
        <v>2100</v>
      </c>
      <c r="AS449" t="s">
        <v>897</v>
      </c>
      <c r="AT449" t="s">
        <v>58</v>
      </c>
    </row>
    <row r="450" ht="29" spans="1:46">
      <c r="A450" s="31" t="s">
        <v>73</v>
      </c>
      <c r="C450" t="s">
        <v>3781</v>
      </c>
      <c r="D450" s="5" t="s">
        <v>57</v>
      </c>
      <c r="E450">
        <v>2035</v>
      </c>
      <c r="F450" s="6" t="str">
        <f t="shared" si="56"/>
        <v>*0.95</v>
      </c>
      <c r="H450" t="s">
        <v>3781</v>
      </c>
      <c r="I450" s="5" t="s">
        <v>57</v>
      </c>
      <c r="J450">
        <v>2050</v>
      </c>
      <c r="K450" s="38" t="str">
        <f t="shared" si="57"/>
        <v>*0.93</v>
      </c>
      <c r="P450" s="32" t="s">
        <v>3781</v>
      </c>
      <c r="Q450" s="42" t="s">
        <v>57</v>
      </c>
      <c r="R450" s="32">
        <v>2035</v>
      </c>
      <c r="S450" s="43" t="str">
        <f t="shared" si="58"/>
        <v>*0.95</v>
      </c>
      <c r="U450" s="32" t="s">
        <v>3781</v>
      </c>
      <c r="V450" s="42" t="s">
        <v>57</v>
      </c>
      <c r="W450" s="32">
        <v>2050</v>
      </c>
      <c r="X450" s="43" t="str">
        <f t="shared" si="59"/>
        <v>*0.93</v>
      </c>
      <c r="AC450" s="33" t="s">
        <v>3781</v>
      </c>
      <c r="AD450" s="44" t="s">
        <v>57</v>
      </c>
      <c r="AE450" s="33">
        <v>2035</v>
      </c>
      <c r="AF450" s="45" t="str">
        <f t="shared" si="60"/>
        <v>*0.93</v>
      </c>
      <c r="AG450" s="43" t="str">
        <f t="shared" si="63"/>
        <v>REZoning_Sol-Win</v>
      </c>
      <c r="AI450" s="33" t="s">
        <v>3781</v>
      </c>
      <c r="AJ450" s="44" t="s">
        <v>57</v>
      </c>
      <c r="AK450" s="33">
        <v>2050</v>
      </c>
      <c r="AL450" s="45" t="str">
        <f t="shared" si="61"/>
        <v>*0.9</v>
      </c>
      <c r="AM450" s="43" t="str">
        <f t="shared" si="64"/>
        <v>REZoning_Sol-Win</v>
      </c>
      <c r="AP450" t="s">
        <v>3781</v>
      </c>
      <c r="AQ450" t="s">
        <v>57</v>
      </c>
      <c r="AR450">
        <f t="shared" si="62"/>
        <v>2100</v>
      </c>
      <c r="AS450" t="s">
        <v>897</v>
      </c>
      <c r="AT450" t="s">
        <v>58</v>
      </c>
    </row>
    <row r="451" ht="29" spans="1:46">
      <c r="A451" s="31" t="s">
        <v>73</v>
      </c>
      <c r="C451" t="s">
        <v>3782</v>
      </c>
      <c r="D451" s="5" t="s">
        <v>57</v>
      </c>
      <c r="E451">
        <v>2035</v>
      </c>
      <c r="F451" s="6" t="str">
        <f t="shared" si="56"/>
        <v>*0.95</v>
      </c>
      <c r="H451" t="s">
        <v>3782</v>
      </c>
      <c r="I451" s="5" t="s">
        <v>57</v>
      </c>
      <c r="J451">
        <v>2050</v>
      </c>
      <c r="K451" s="38" t="str">
        <f t="shared" si="57"/>
        <v>*0.93</v>
      </c>
      <c r="P451" s="32" t="s">
        <v>3782</v>
      </c>
      <c r="Q451" s="42" t="s">
        <v>57</v>
      </c>
      <c r="R451" s="32">
        <v>2035</v>
      </c>
      <c r="S451" s="43" t="str">
        <f t="shared" si="58"/>
        <v>*0.95</v>
      </c>
      <c r="U451" s="32" t="s">
        <v>3782</v>
      </c>
      <c r="V451" s="42" t="s">
        <v>57</v>
      </c>
      <c r="W451" s="32">
        <v>2050</v>
      </c>
      <c r="X451" s="43" t="str">
        <f t="shared" si="59"/>
        <v>*0.93</v>
      </c>
      <c r="AC451" s="33" t="s">
        <v>3782</v>
      </c>
      <c r="AD451" s="44" t="s">
        <v>57</v>
      </c>
      <c r="AE451" s="33">
        <v>2035</v>
      </c>
      <c r="AF451" s="45" t="str">
        <f t="shared" si="60"/>
        <v>*0.93</v>
      </c>
      <c r="AG451" s="43" t="str">
        <f t="shared" si="63"/>
        <v>REZoning_Sol-Win</v>
      </c>
      <c r="AI451" s="33" t="s">
        <v>3782</v>
      </c>
      <c r="AJ451" s="44" t="s">
        <v>57</v>
      </c>
      <c r="AK451" s="33">
        <v>2050</v>
      </c>
      <c r="AL451" s="45" t="str">
        <f t="shared" si="61"/>
        <v>*0.9</v>
      </c>
      <c r="AM451" s="43" t="str">
        <f t="shared" si="64"/>
        <v>REZoning_Sol-Win</v>
      </c>
      <c r="AP451" t="s">
        <v>3782</v>
      </c>
      <c r="AQ451" t="s">
        <v>57</v>
      </c>
      <c r="AR451">
        <f t="shared" si="62"/>
        <v>2100</v>
      </c>
      <c r="AS451" t="s">
        <v>897</v>
      </c>
      <c r="AT451" t="s">
        <v>58</v>
      </c>
    </row>
    <row r="452" ht="29" spans="1:46">
      <c r="A452" s="31" t="s">
        <v>73</v>
      </c>
      <c r="C452" t="s">
        <v>3783</v>
      </c>
      <c r="D452" s="5" t="s">
        <v>57</v>
      </c>
      <c r="E452">
        <v>2035</v>
      </c>
      <c r="F452" s="6" t="str">
        <f t="shared" ref="F452:F515" si="65">"*"&amp;IF(AND(A452="EU",E452=2035),0.95,IF(AND(A452="EU",E452=2050),0.93,IF(AND(A452="USA",E452=2035),0.96,IF(AND(A452="USA",E452=2050),0.94,IF(AND(A452="Japan",E452=2035),0.94,IF(AND(A452="Japan",E452=2050),0.92,IF(AND(A452="Russia",E452=2035),0.95,IF(AND(A452="Russia",E452=2050),0.93,IF(AND(A452="China",E452=2035),0.94,IF(AND(A452="China",E452=2050),0.92,IF(AND(A452="India",E452=2035),0.95,IF(AND(A452="India",E452=2050),0.92,IF(AND(A452="Middle East",E452=2035),0.94,IF(AND(A452="Middle East",E452=2050),0.9,IF(AND(A452="Africa",E452=2035),0.94,IF(AND(A452="Africa",E452=2050),0.91,IF(AND(A452="Brazil",E452=2035),0.95,IF(AND(A452="Brazil",E452=2050),0.92,""))))))))))))))))))</f>
        <v>*0.95</v>
      </c>
      <c r="H452" t="s">
        <v>3783</v>
      </c>
      <c r="I452" s="5" t="s">
        <v>57</v>
      </c>
      <c r="J452">
        <v>2050</v>
      </c>
      <c r="K452" s="38" t="str">
        <f t="shared" ref="K452:K515" si="66">"*"&amp;IF(AND(A452="EU",J452=2035),0.95,IF(AND(A452="EU",J452=2050),0.93,IF(AND(A452="USA",J452=2035),0.96,IF(AND(A452="USA",J452=2050),0.94,IF(AND(A452="Japan",J452=2035),0.94,IF(AND(A452="Japan",J452=2050),0.92,IF(AND(A452="Russia",J452=2035),0.95,IF(AND(A452="Russia",J452=2050),0.93,IF(AND(A452="China",J452=2035),0.94,IF(AND(A452="China",J452=2050),0.92,IF(AND(A452="India",J452=2035),0.95,IF(AND(A452="India",J452=2050),0.92,IF(AND(A452="Middle East",J452=2035),0.94,IF(AND(A452="Middle East",J452=2050),0.9,IF(AND(A452="Africa",J452=2035),0.94,IF(AND(A452="Africa",J452=2050),0.91,IF(AND(A452="Brazil",J452=2035),0.95,IF(AND(A452="Brazil",J452=2050),0.92,""))))))))))))))))))</f>
        <v>*0.93</v>
      </c>
      <c r="P452" s="32" t="s">
        <v>3783</v>
      </c>
      <c r="Q452" s="42" t="s">
        <v>57</v>
      </c>
      <c r="R452" s="32">
        <v>2035</v>
      </c>
      <c r="S452" s="43" t="str">
        <f t="shared" ref="S452:S515" si="67">"*"&amp;IF(AND(A452="EU",R452=2035),0.95,IF(AND(A452="EU",R452=2050),0.93,IF(AND(A452="USA",R452=2035),0.96,IF(AND(A452="USA",R452=2050),0.93,IF(AND(A452="Japan",R452=2035),0.94,IF(AND(A452="Japan",R452=2050),0.92,IF(AND(A452="Russia",R452=2035),0.95,IF(AND(A452="Russia",R452=2050),0.91,IF(AND(A452="China",R452=2035),0.93,IF(AND(A452="China",R452=2050),0.92,IF(AND(A452="India",R452=2035),0.94,IF(AND(A452="India",R452=2050),0.91,IF(AND(A452="Middle East",R452=2035),0.92,IF(AND(A452="Middle East",R452=2050),0.89,IF(AND(A452="Africa",R452=2035),0.93,IF(AND(A452="Africa",R452=2050),0.9,IF(AND(A452="Brazil",R452=2035),0.95,IF(AND(A452="Brazil",R452=2050),0.92,""))))))))))))))))))</f>
        <v>*0.95</v>
      </c>
      <c r="U452" s="32" t="s">
        <v>3783</v>
      </c>
      <c r="V452" s="42" t="s">
        <v>57</v>
      </c>
      <c r="W452" s="32">
        <v>2050</v>
      </c>
      <c r="X452" s="43" t="str">
        <f t="shared" ref="X452:X515" si="68">"*"&amp;IF(AND(A452="EU",W452=2035),0.95,IF(AND(A452="EU",W452=2050),0.93,IF(AND(A452="USA",W452=2035),0.96,IF(AND(A452="USA",W452=2050),0.93,IF(AND(A452="Japan",W452=2035),0.94,IF(AND(A452="Japan",W452=2050),0.92,IF(AND(A452="Russia",W452=2035),0.95,IF(AND(A452="Russia",W452=2050),0.91,IF(AND(A452="China",W452=2035),0.93,IF(AND(A452="China",W452=2050),0.92,IF(AND(A452="India",W452=2035),0.94,IF(AND(A452="India",W452=2050),0.91,IF(AND(A452="Middle East",W452=2035),0.92,IF(AND(A452="Middle East",W452=2050),0.89,IF(AND(A452="Africa",W452=2035),0.93,IF(AND(A452="Africa",W452=2050),0.9,IF(AND(A452="Brazil",W452=2035),0.95,IF(AND(A452="Brazil",W452=2050),0.92,""))))))))))))))))))</f>
        <v>*0.93</v>
      </c>
      <c r="AC452" s="33" t="s">
        <v>3783</v>
      </c>
      <c r="AD452" s="44" t="s">
        <v>57</v>
      </c>
      <c r="AE452" s="33">
        <v>2035</v>
      </c>
      <c r="AF452" s="45" t="str">
        <f t="shared" ref="AF452:AF515" si="69">"*"&amp;IF(AND(A452="EU",AE452=2035),0.93,IF(AND(A452="EU",AE452=2050),0.9,IF(AND(A452="USA",AE452=2035),0.92,IF(AND(A452="USA",AE452=2050),0.89,IF(AND(A452="Japan",AE452=2035),0.92,IF(AND(A452="Japan",AE452=2050),0.89,IF(AND(A452="Russia",AE452=2035),0.91,IF(AND(A452="Russia",AE452=2050),0.86,IF(AND(A452="China",AE452=2035),0.91,IF(AND(A452="China",AE452=2050),0.87,IF(AND(A452="India",AE452=2035),0.92,IF(AND(A452="India",AE452=2050),0.87,IF(AND(A452="Middle East",AE452=2035),0.89,IF(AND(A452="Middle East",AE452=2050),0.84,IF(AND(A452="Africa",AE452=2035),0.9,IF(AND(A452="Africa",AE452=2050),0.86,IF(AND(A452="Brazil",AE452=2035),0.93,IF(AND(A452="Brazil",AE452=2050),0.89,""))))))))))))))))))</f>
        <v>*0.93</v>
      </c>
      <c r="AG452" s="43" t="str">
        <f t="shared" si="63"/>
        <v>REZoning_Sol-Win</v>
      </c>
      <c r="AI452" s="33" t="s">
        <v>3783</v>
      </c>
      <c r="AJ452" s="44" t="s">
        <v>57</v>
      </c>
      <c r="AK452" s="33">
        <v>2050</v>
      </c>
      <c r="AL452" s="45" t="str">
        <f t="shared" ref="AL452:AL515" si="70">"*"&amp;IF(AND(A452="EU",AK452=2035),0.93,IF(AND(A452="EU",AK452=2050),0.9,IF(AND(A452="USA",AK452=2035),0.92,IF(AND(A452="USA",AK452=2050),0.89,IF(AND(A452="Japan",AK452=2035),0.92,IF(AND(A452="Japan",AK452=2050),0.89,IF(AND(A452="Russia",AK452=2035),0.91,IF(AND(A452="Russia",AK452=2050),0.86,IF(AND(A452="China",AK452=2035),0.91,IF(AND(A452="China",AK452=2050),0.87,IF(AND(A452="India",AK452=2035),0.92,IF(AND(A452="India",AK452=2050),0.87,IF(AND(A452="Middle East",AK452=2035),0.89,IF(AND(A452="Middle East",AK452=2050),0.84,IF(AND(A452="Africa",AK452=2035),0.9,IF(AND(A452="Africa",AK452=2050),0.86,IF(AND(A452="Brazil",AK452=2035),0.93,IF(AND(A452="Brazil",AK452=2050),0.89,""))))))))))))))))))</f>
        <v>*0.9</v>
      </c>
      <c r="AM452" s="43" t="str">
        <f t="shared" si="64"/>
        <v>REZoning_Sol-Win</v>
      </c>
      <c r="AP452" t="s">
        <v>3783</v>
      </c>
      <c r="AQ452" t="s">
        <v>57</v>
      </c>
      <c r="AR452">
        <f t="shared" si="62"/>
        <v>2100</v>
      </c>
      <c r="AS452" t="s">
        <v>897</v>
      </c>
      <c r="AT452" t="s">
        <v>58</v>
      </c>
    </row>
    <row r="453" ht="29" spans="1:46">
      <c r="A453" s="31" t="s">
        <v>73</v>
      </c>
      <c r="C453" t="s">
        <v>3784</v>
      </c>
      <c r="D453" s="5" t="s">
        <v>57</v>
      </c>
      <c r="E453">
        <v>2035</v>
      </c>
      <c r="F453" s="6" t="str">
        <f t="shared" si="65"/>
        <v>*0.95</v>
      </c>
      <c r="H453" t="s">
        <v>3784</v>
      </c>
      <c r="I453" s="5" t="s">
        <v>57</v>
      </c>
      <c r="J453">
        <v>2050</v>
      </c>
      <c r="K453" s="38" t="str">
        <f t="shared" si="66"/>
        <v>*0.93</v>
      </c>
      <c r="P453" s="32" t="s">
        <v>3784</v>
      </c>
      <c r="Q453" s="42" t="s">
        <v>57</v>
      </c>
      <c r="R453" s="32">
        <v>2035</v>
      </c>
      <c r="S453" s="43" t="str">
        <f t="shared" si="67"/>
        <v>*0.95</v>
      </c>
      <c r="U453" s="32" t="s">
        <v>3784</v>
      </c>
      <c r="V453" s="42" t="s">
        <v>57</v>
      </c>
      <c r="W453" s="32">
        <v>2050</v>
      </c>
      <c r="X453" s="43" t="str">
        <f t="shared" si="68"/>
        <v>*0.93</v>
      </c>
      <c r="AC453" s="33" t="s">
        <v>3784</v>
      </c>
      <c r="AD453" s="44" t="s">
        <v>57</v>
      </c>
      <c r="AE453" s="33">
        <v>2035</v>
      </c>
      <c r="AF453" s="45" t="str">
        <f t="shared" si="69"/>
        <v>*0.93</v>
      </c>
      <c r="AG453" s="43" t="str">
        <f t="shared" si="63"/>
        <v>REZoning_Sol-Win</v>
      </c>
      <c r="AI453" s="33" t="s">
        <v>3784</v>
      </c>
      <c r="AJ453" s="44" t="s">
        <v>57</v>
      </c>
      <c r="AK453" s="33">
        <v>2050</v>
      </c>
      <c r="AL453" s="45" t="str">
        <f t="shared" si="70"/>
        <v>*0.9</v>
      </c>
      <c r="AM453" s="43" t="str">
        <f t="shared" si="64"/>
        <v>REZoning_Sol-Win</v>
      </c>
      <c r="AP453" t="s">
        <v>3784</v>
      </c>
      <c r="AQ453" t="s">
        <v>57</v>
      </c>
      <c r="AR453">
        <f t="shared" si="62"/>
        <v>2100</v>
      </c>
      <c r="AS453" t="s">
        <v>897</v>
      </c>
      <c r="AT453" t="s">
        <v>58</v>
      </c>
    </row>
    <row r="454" ht="29" spans="1:46">
      <c r="A454" s="31" t="s">
        <v>73</v>
      </c>
      <c r="C454" t="s">
        <v>3785</v>
      </c>
      <c r="D454" s="5" t="s">
        <v>57</v>
      </c>
      <c r="E454">
        <v>2035</v>
      </c>
      <c r="F454" s="6" t="str">
        <f t="shared" si="65"/>
        <v>*0.95</v>
      </c>
      <c r="H454" t="s">
        <v>3785</v>
      </c>
      <c r="I454" s="5" t="s">
        <v>57</v>
      </c>
      <c r="J454">
        <v>2050</v>
      </c>
      <c r="K454" s="38" t="str">
        <f t="shared" si="66"/>
        <v>*0.93</v>
      </c>
      <c r="P454" s="32" t="s">
        <v>3785</v>
      </c>
      <c r="Q454" s="42" t="s">
        <v>57</v>
      </c>
      <c r="R454" s="32">
        <v>2035</v>
      </c>
      <c r="S454" s="43" t="str">
        <f t="shared" si="67"/>
        <v>*0.95</v>
      </c>
      <c r="U454" s="32" t="s">
        <v>3785</v>
      </c>
      <c r="V454" s="42" t="s">
        <v>57</v>
      </c>
      <c r="W454" s="32">
        <v>2050</v>
      </c>
      <c r="X454" s="43" t="str">
        <f t="shared" si="68"/>
        <v>*0.93</v>
      </c>
      <c r="AC454" s="33" t="s">
        <v>3785</v>
      </c>
      <c r="AD454" s="44" t="s">
        <v>57</v>
      </c>
      <c r="AE454" s="33">
        <v>2035</v>
      </c>
      <c r="AF454" s="45" t="str">
        <f t="shared" si="69"/>
        <v>*0.93</v>
      </c>
      <c r="AG454" s="43" t="str">
        <f t="shared" si="63"/>
        <v>REZoning_Sol-Win</v>
      </c>
      <c r="AI454" s="33" t="s">
        <v>3785</v>
      </c>
      <c r="AJ454" s="44" t="s">
        <v>57</v>
      </c>
      <c r="AK454" s="33">
        <v>2050</v>
      </c>
      <c r="AL454" s="45" t="str">
        <f t="shared" si="70"/>
        <v>*0.9</v>
      </c>
      <c r="AM454" s="43" t="str">
        <f t="shared" si="64"/>
        <v>REZoning_Sol-Win</v>
      </c>
      <c r="AP454" t="s">
        <v>3785</v>
      </c>
      <c r="AQ454" t="s">
        <v>57</v>
      </c>
      <c r="AR454">
        <f t="shared" ref="AR454:AR517" si="71">AR453</f>
        <v>2100</v>
      </c>
      <c r="AS454" t="s">
        <v>897</v>
      </c>
      <c r="AT454" t="s">
        <v>58</v>
      </c>
    </row>
    <row r="455" ht="29" spans="1:46">
      <c r="A455" s="31" t="s">
        <v>83</v>
      </c>
      <c r="C455" t="s">
        <v>3786</v>
      </c>
      <c r="D455" s="5" t="s">
        <v>57</v>
      </c>
      <c r="E455">
        <v>2035</v>
      </c>
      <c r="F455" s="6" t="str">
        <f t="shared" si="65"/>
        <v>*0.95</v>
      </c>
      <c r="H455" t="s">
        <v>3786</v>
      </c>
      <c r="I455" s="5" t="s">
        <v>57</v>
      </c>
      <c r="J455">
        <v>2050</v>
      </c>
      <c r="K455" s="38" t="str">
        <f t="shared" si="66"/>
        <v>*0.92</v>
      </c>
      <c r="P455" s="32" t="s">
        <v>3786</v>
      </c>
      <c r="Q455" s="42" t="s">
        <v>57</v>
      </c>
      <c r="R455" s="32">
        <v>2035</v>
      </c>
      <c r="S455" s="43" t="str">
        <f t="shared" si="67"/>
        <v>*0.95</v>
      </c>
      <c r="U455" s="32" t="s">
        <v>3786</v>
      </c>
      <c r="V455" s="42" t="s">
        <v>57</v>
      </c>
      <c r="W455" s="32">
        <v>2050</v>
      </c>
      <c r="X455" s="43" t="str">
        <f t="shared" si="68"/>
        <v>*0.92</v>
      </c>
      <c r="AC455" s="33" t="s">
        <v>3786</v>
      </c>
      <c r="AD455" s="44" t="s">
        <v>57</v>
      </c>
      <c r="AE455" s="33">
        <v>2035</v>
      </c>
      <c r="AF455" s="45" t="str">
        <f t="shared" si="69"/>
        <v>*0.93</v>
      </c>
      <c r="AG455" s="43" t="str">
        <f t="shared" si="63"/>
        <v>REZoning_Sol-Win</v>
      </c>
      <c r="AI455" s="33" t="s">
        <v>3786</v>
      </c>
      <c r="AJ455" s="44" t="s">
        <v>57</v>
      </c>
      <c r="AK455" s="33">
        <v>2050</v>
      </c>
      <c r="AL455" s="45" t="str">
        <f t="shared" si="70"/>
        <v>*0.89</v>
      </c>
      <c r="AM455" s="43" t="str">
        <f t="shared" si="64"/>
        <v>REZoning_Sol-Win</v>
      </c>
      <c r="AP455" t="s">
        <v>3786</v>
      </c>
      <c r="AQ455" t="s">
        <v>57</v>
      </c>
      <c r="AR455">
        <f t="shared" si="71"/>
        <v>2100</v>
      </c>
      <c r="AS455" t="s">
        <v>937</v>
      </c>
      <c r="AT455" t="s">
        <v>58</v>
      </c>
    </row>
    <row r="456" ht="29" spans="1:46">
      <c r="A456" s="31" t="s">
        <v>83</v>
      </c>
      <c r="C456" t="s">
        <v>3787</v>
      </c>
      <c r="D456" s="5" t="s">
        <v>57</v>
      </c>
      <c r="E456">
        <v>2035</v>
      </c>
      <c r="F456" s="6" t="str">
        <f t="shared" si="65"/>
        <v>*0.95</v>
      </c>
      <c r="H456" t="s">
        <v>3787</v>
      </c>
      <c r="I456" s="5" t="s">
        <v>57</v>
      </c>
      <c r="J456">
        <v>2050</v>
      </c>
      <c r="K456" s="38" t="str">
        <f t="shared" si="66"/>
        <v>*0.92</v>
      </c>
      <c r="P456" s="32" t="s">
        <v>3787</v>
      </c>
      <c r="Q456" s="42" t="s">
        <v>57</v>
      </c>
      <c r="R456" s="32">
        <v>2035</v>
      </c>
      <c r="S456" s="43" t="str">
        <f t="shared" si="67"/>
        <v>*0.95</v>
      </c>
      <c r="U456" s="32" t="s">
        <v>3787</v>
      </c>
      <c r="V456" s="42" t="s">
        <v>57</v>
      </c>
      <c r="W456" s="32">
        <v>2050</v>
      </c>
      <c r="X456" s="43" t="str">
        <f t="shared" si="68"/>
        <v>*0.92</v>
      </c>
      <c r="AC456" s="33" t="s">
        <v>3787</v>
      </c>
      <c r="AD456" s="44" t="s">
        <v>57</v>
      </c>
      <c r="AE456" s="33">
        <v>2035</v>
      </c>
      <c r="AF456" s="45" t="str">
        <f t="shared" si="69"/>
        <v>*0.93</v>
      </c>
      <c r="AG456" s="43" t="str">
        <f t="shared" si="63"/>
        <v>REZoning_Sol-Win</v>
      </c>
      <c r="AI456" s="33" t="s">
        <v>3787</v>
      </c>
      <c r="AJ456" s="44" t="s">
        <v>57</v>
      </c>
      <c r="AK456" s="33">
        <v>2050</v>
      </c>
      <c r="AL456" s="45" t="str">
        <f t="shared" si="70"/>
        <v>*0.89</v>
      </c>
      <c r="AM456" s="43" t="str">
        <f t="shared" si="64"/>
        <v>REZoning_Sol-Win</v>
      </c>
      <c r="AP456" t="s">
        <v>3787</v>
      </c>
      <c r="AQ456" t="s">
        <v>57</v>
      </c>
      <c r="AR456">
        <f t="shared" si="71"/>
        <v>2100</v>
      </c>
      <c r="AS456" t="s">
        <v>937</v>
      </c>
      <c r="AT456" t="s">
        <v>58</v>
      </c>
    </row>
    <row r="457" ht="29" spans="1:46">
      <c r="A457" s="31" t="s">
        <v>83</v>
      </c>
      <c r="C457" t="s">
        <v>3788</v>
      </c>
      <c r="D457" s="5" t="s">
        <v>57</v>
      </c>
      <c r="E457">
        <v>2035</v>
      </c>
      <c r="F457" s="6" t="str">
        <f t="shared" si="65"/>
        <v>*0.95</v>
      </c>
      <c r="H457" t="s">
        <v>3788</v>
      </c>
      <c r="I457" s="5" t="s">
        <v>57</v>
      </c>
      <c r="J457">
        <v>2050</v>
      </c>
      <c r="K457" s="38" t="str">
        <f t="shared" si="66"/>
        <v>*0.92</v>
      </c>
      <c r="P457" s="32" t="s">
        <v>3788</v>
      </c>
      <c r="Q457" s="42" t="s">
        <v>57</v>
      </c>
      <c r="R457" s="32">
        <v>2035</v>
      </c>
      <c r="S457" s="43" t="str">
        <f t="shared" si="67"/>
        <v>*0.95</v>
      </c>
      <c r="U457" s="32" t="s">
        <v>3788</v>
      </c>
      <c r="V457" s="42" t="s">
        <v>57</v>
      </c>
      <c r="W457" s="32">
        <v>2050</v>
      </c>
      <c r="X457" s="43" t="str">
        <f t="shared" si="68"/>
        <v>*0.92</v>
      </c>
      <c r="AC457" s="33" t="s">
        <v>3788</v>
      </c>
      <c r="AD457" s="44" t="s">
        <v>57</v>
      </c>
      <c r="AE457" s="33">
        <v>2035</v>
      </c>
      <c r="AF457" s="45" t="str">
        <f t="shared" si="69"/>
        <v>*0.93</v>
      </c>
      <c r="AG457" s="43" t="str">
        <f t="shared" ref="AG457:AG520" si="72">AG456</f>
        <v>REZoning_Sol-Win</v>
      </c>
      <c r="AI457" s="33" t="s">
        <v>3788</v>
      </c>
      <c r="AJ457" s="44" t="s">
        <v>57</v>
      </c>
      <c r="AK457" s="33">
        <v>2050</v>
      </c>
      <c r="AL457" s="45" t="str">
        <f t="shared" si="70"/>
        <v>*0.89</v>
      </c>
      <c r="AM457" s="43" t="str">
        <f t="shared" ref="AM457:AM520" si="73">AM456</f>
        <v>REZoning_Sol-Win</v>
      </c>
      <c r="AP457" t="s">
        <v>3788</v>
      </c>
      <c r="AQ457" t="s">
        <v>57</v>
      </c>
      <c r="AR457">
        <f t="shared" si="71"/>
        <v>2100</v>
      </c>
      <c r="AS457" t="s">
        <v>937</v>
      </c>
      <c r="AT457" t="s">
        <v>58</v>
      </c>
    </row>
    <row r="458" ht="29" spans="1:46">
      <c r="A458" s="31" t="s">
        <v>83</v>
      </c>
      <c r="C458" t="s">
        <v>3789</v>
      </c>
      <c r="D458" s="5" t="s">
        <v>57</v>
      </c>
      <c r="E458">
        <v>2035</v>
      </c>
      <c r="F458" s="6" t="str">
        <f t="shared" si="65"/>
        <v>*0.95</v>
      </c>
      <c r="H458" t="s">
        <v>3789</v>
      </c>
      <c r="I458" s="5" t="s">
        <v>57</v>
      </c>
      <c r="J458">
        <v>2050</v>
      </c>
      <c r="K458" s="38" t="str">
        <f t="shared" si="66"/>
        <v>*0.92</v>
      </c>
      <c r="P458" s="32" t="s">
        <v>3789</v>
      </c>
      <c r="Q458" s="42" t="s">
        <v>57</v>
      </c>
      <c r="R458" s="32">
        <v>2035</v>
      </c>
      <c r="S458" s="43" t="str">
        <f t="shared" si="67"/>
        <v>*0.95</v>
      </c>
      <c r="U458" s="32" t="s">
        <v>3789</v>
      </c>
      <c r="V458" s="42" t="s">
        <v>57</v>
      </c>
      <c r="W458" s="32">
        <v>2050</v>
      </c>
      <c r="X458" s="43" t="str">
        <f t="shared" si="68"/>
        <v>*0.92</v>
      </c>
      <c r="AC458" s="33" t="s">
        <v>3789</v>
      </c>
      <c r="AD458" s="44" t="s">
        <v>57</v>
      </c>
      <c r="AE458" s="33">
        <v>2035</v>
      </c>
      <c r="AF458" s="45" t="str">
        <f t="shared" si="69"/>
        <v>*0.93</v>
      </c>
      <c r="AG458" s="43" t="str">
        <f t="shared" si="72"/>
        <v>REZoning_Sol-Win</v>
      </c>
      <c r="AI458" s="33" t="s">
        <v>3789</v>
      </c>
      <c r="AJ458" s="44" t="s">
        <v>57</v>
      </c>
      <c r="AK458" s="33">
        <v>2050</v>
      </c>
      <c r="AL458" s="45" t="str">
        <f t="shared" si="70"/>
        <v>*0.89</v>
      </c>
      <c r="AM458" s="43" t="str">
        <f t="shared" si="73"/>
        <v>REZoning_Sol-Win</v>
      </c>
      <c r="AP458" t="s">
        <v>3789</v>
      </c>
      <c r="AQ458" t="s">
        <v>57</v>
      </c>
      <c r="AR458">
        <f t="shared" si="71"/>
        <v>2100</v>
      </c>
      <c r="AS458" t="s">
        <v>937</v>
      </c>
      <c r="AT458" t="s">
        <v>58</v>
      </c>
    </row>
    <row r="459" ht="29" spans="1:46">
      <c r="A459" s="31" t="s">
        <v>83</v>
      </c>
      <c r="C459" t="s">
        <v>3790</v>
      </c>
      <c r="D459" s="5" t="s">
        <v>57</v>
      </c>
      <c r="E459">
        <v>2035</v>
      </c>
      <c r="F459" s="6" t="str">
        <f t="shared" si="65"/>
        <v>*0.95</v>
      </c>
      <c r="H459" t="s">
        <v>3790</v>
      </c>
      <c r="I459" s="5" t="s">
        <v>57</v>
      </c>
      <c r="J459">
        <v>2050</v>
      </c>
      <c r="K459" s="38" t="str">
        <f t="shared" si="66"/>
        <v>*0.92</v>
      </c>
      <c r="P459" s="32" t="s">
        <v>3790</v>
      </c>
      <c r="Q459" s="42" t="s">
        <v>57</v>
      </c>
      <c r="R459" s="32">
        <v>2035</v>
      </c>
      <c r="S459" s="43" t="str">
        <f t="shared" si="67"/>
        <v>*0.95</v>
      </c>
      <c r="U459" s="32" t="s">
        <v>3790</v>
      </c>
      <c r="V459" s="42" t="s">
        <v>57</v>
      </c>
      <c r="W459" s="32">
        <v>2050</v>
      </c>
      <c r="X459" s="43" t="str">
        <f t="shared" si="68"/>
        <v>*0.92</v>
      </c>
      <c r="AC459" s="33" t="s">
        <v>3790</v>
      </c>
      <c r="AD459" s="44" t="s">
        <v>57</v>
      </c>
      <c r="AE459" s="33">
        <v>2035</v>
      </c>
      <c r="AF459" s="45" t="str">
        <f t="shared" si="69"/>
        <v>*0.93</v>
      </c>
      <c r="AG459" s="43" t="str">
        <f t="shared" si="72"/>
        <v>REZoning_Sol-Win</v>
      </c>
      <c r="AI459" s="33" t="s">
        <v>3790</v>
      </c>
      <c r="AJ459" s="44" t="s">
        <v>57</v>
      </c>
      <c r="AK459" s="33">
        <v>2050</v>
      </c>
      <c r="AL459" s="45" t="str">
        <f t="shared" si="70"/>
        <v>*0.89</v>
      </c>
      <c r="AM459" s="43" t="str">
        <f t="shared" si="73"/>
        <v>REZoning_Sol-Win</v>
      </c>
      <c r="AP459" t="s">
        <v>3790</v>
      </c>
      <c r="AQ459" t="s">
        <v>57</v>
      </c>
      <c r="AR459">
        <f t="shared" si="71"/>
        <v>2100</v>
      </c>
      <c r="AS459" t="s">
        <v>937</v>
      </c>
      <c r="AT459" t="s">
        <v>58</v>
      </c>
    </row>
    <row r="460" ht="29" spans="1:46">
      <c r="A460" s="31" t="s">
        <v>83</v>
      </c>
      <c r="C460" t="s">
        <v>3791</v>
      </c>
      <c r="D460" s="5" t="s">
        <v>57</v>
      </c>
      <c r="E460">
        <v>2035</v>
      </c>
      <c r="F460" s="6" t="str">
        <f t="shared" si="65"/>
        <v>*0.95</v>
      </c>
      <c r="H460" t="s">
        <v>3791</v>
      </c>
      <c r="I460" s="5" t="s">
        <v>57</v>
      </c>
      <c r="J460">
        <v>2050</v>
      </c>
      <c r="K460" s="38" t="str">
        <f t="shared" si="66"/>
        <v>*0.92</v>
      </c>
      <c r="P460" s="32" t="s">
        <v>3791</v>
      </c>
      <c r="Q460" s="42" t="s">
        <v>57</v>
      </c>
      <c r="R460" s="32">
        <v>2035</v>
      </c>
      <c r="S460" s="43" t="str">
        <f t="shared" si="67"/>
        <v>*0.95</v>
      </c>
      <c r="U460" s="32" t="s">
        <v>3791</v>
      </c>
      <c r="V460" s="42" t="s">
        <v>57</v>
      </c>
      <c r="W460" s="32">
        <v>2050</v>
      </c>
      <c r="X460" s="43" t="str">
        <f t="shared" si="68"/>
        <v>*0.92</v>
      </c>
      <c r="AC460" s="33" t="s">
        <v>3791</v>
      </c>
      <c r="AD460" s="44" t="s">
        <v>57</v>
      </c>
      <c r="AE460" s="33">
        <v>2035</v>
      </c>
      <c r="AF460" s="45" t="str">
        <f t="shared" si="69"/>
        <v>*0.93</v>
      </c>
      <c r="AG460" s="43" t="str">
        <f t="shared" si="72"/>
        <v>REZoning_Sol-Win</v>
      </c>
      <c r="AI460" s="33" t="s">
        <v>3791</v>
      </c>
      <c r="AJ460" s="44" t="s">
        <v>57</v>
      </c>
      <c r="AK460" s="33">
        <v>2050</v>
      </c>
      <c r="AL460" s="45" t="str">
        <f t="shared" si="70"/>
        <v>*0.89</v>
      </c>
      <c r="AM460" s="43" t="str">
        <f t="shared" si="73"/>
        <v>REZoning_Sol-Win</v>
      </c>
      <c r="AP460" t="s">
        <v>3791</v>
      </c>
      <c r="AQ460" t="s">
        <v>57</v>
      </c>
      <c r="AR460">
        <f t="shared" si="71"/>
        <v>2100</v>
      </c>
      <c r="AS460" t="s">
        <v>937</v>
      </c>
      <c r="AT460" t="s">
        <v>58</v>
      </c>
    </row>
    <row r="461" ht="29" spans="1:46">
      <c r="A461" s="31" t="s">
        <v>83</v>
      </c>
      <c r="C461" t="s">
        <v>3792</v>
      </c>
      <c r="D461" s="5" t="s">
        <v>57</v>
      </c>
      <c r="E461">
        <v>2035</v>
      </c>
      <c r="F461" s="6" t="str">
        <f t="shared" si="65"/>
        <v>*0.95</v>
      </c>
      <c r="H461" t="s">
        <v>3792</v>
      </c>
      <c r="I461" s="5" t="s">
        <v>57</v>
      </c>
      <c r="J461">
        <v>2050</v>
      </c>
      <c r="K461" s="38" t="str">
        <f t="shared" si="66"/>
        <v>*0.92</v>
      </c>
      <c r="P461" s="32" t="s">
        <v>3792</v>
      </c>
      <c r="Q461" s="42" t="s">
        <v>57</v>
      </c>
      <c r="R461" s="32">
        <v>2035</v>
      </c>
      <c r="S461" s="43" t="str">
        <f t="shared" si="67"/>
        <v>*0.95</v>
      </c>
      <c r="U461" s="32" t="s">
        <v>3792</v>
      </c>
      <c r="V461" s="42" t="s">
        <v>57</v>
      </c>
      <c r="W461" s="32">
        <v>2050</v>
      </c>
      <c r="X461" s="43" t="str">
        <f t="shared" si="68"/>
        <v>*0.92</v>
      </c>
      <c r="AC461" s="33" t="s">
        <v>3792</v>
      </c>
      <c r="AD461" s="44" t="s">
        <v>57</v>
      </c>
      <c r="AE461" s="33">
        <v>2035</v>
      </c>
      <c r="AF461" s="45" t="str">
        <f t="shared" si="69"/>
        <v>*0.93</v>
      </c>
      <c r="AG461" s="43" t="str">
        <f t="shared" si="72"/>
        <v>REZoning_Sol-Win</v>
      </c>
      <c r="AI461" s="33" t="s">
        <v>3792</v>
      </c>
      <c r="AJ461" s="44" t="s">
        <v>57</v>
      </c>
      <c r="AK461" s="33">
        <v>2050</v>
      </c>
      <c r="AL461" s="45" t="str">
        <f t="shared" si="70"/>
        <v>*0.89</v>
      </c>
      <c r="AM461" s="43" t="str">
        <f t="shared" si="73"/>
        <v>REZoning_Sol-Win</v>
      </c>
      <c r="AP461" t="s">
        <v>3792</v>
      </c>
      <c r="AQ461" t="s">
        <v>57</v>
      </c>
      <c r="AR461">
        <f t="shared" si="71"/>
        <v>2100</v>
      </c>
      <c r="AS461" t="s">
        <v>937</v>
      </c>
      <c r="AT461" t="s">
        <v>58</v>
      </c>
    </row>
    <row r="462" ht="29" spans="1:46">
      <c r="A462" s="31" t="s">
        <v>83</v>
      </c>
      <c r="C462" t="s">
        <v>3793</v>
      </c>
      <c r="D462" s="5" t="s">
        <v>57</v>
      </c>
      <c r="E462">
        <v>2035</v>
      </c>
      <c r="F462" s="6" t="str">
        <f t="shared" si="65"/>
        <v>*0.95</v>
      </c>
      <c r="H462" t="s">
        <v>3793</v>
      </c>
      <c r="I462" s="5" t="s">
        <v>57</v>
      </c>
      <c r="J462">
        <v>2050</v>
      </c>
      <c r="K462" s="38" t="str">
        <f t="shared" si="66"/>
        <v>*0.92</v>
      </c>
      <c r="P462" s="32" t="s">
        <v>3793</v>
      </c>
      <c r="Q462" s="42" t="s">
        <v>57</v>
      </c>
      <c r="R462" s="32">
        <v>2035</v>
      </c>
      <c r="S462" s="43" t="str">
        <f t="shared" si="67"/>
        <v>*0.95</v>
      </c>
      <c r="U462" s="32" t="s">
        <v>3793</v>
      </c>
      <c r="V462" s="42" t="s">
        <v>57</v>
      </c>
      <c r="W462" s="32">
        <v>2050</v>
      </c>
      <c r="X462" s="43" t="str">
        <f t="shared" si="68"/>
        <v>*0.92</v>
      </c>
      <c r="AC462" s="33" t="s">
        <v>3793</v>
      </c>
      <c r="AD462" s="44" t="s">
        <v>57</v>
      </c>
      <c r="AE462" s="33">
        <v>2035</v>
      </c>
      <c r="AF462" s="45" t="str">
        <f t="shared" si="69"/>
        <v>*0.93</v>
      </c>
      <c r="AG462" s="43" t="str">
        <f t="shared" si="72"/>
        <v>REZoning_Sol-Win</v>
      </c>
      <c r="AI462" s="33" t="s">
        <v>3793</v>
      </c>
      <c r="AJ462" s="44" t="s">
        <v>57</v>
      </c>
      <c r="AK462" s="33">
        <v>2050</v>
      </c>
      <c r="AL462" s="45" t="str">
        <f t="shared" si="70"/>
        <v>*0.89</v>
      </c>
      <c r="AM462" s="43" t="str">
        <f t="shared" si="73"/>
        <v>REZoning_Sol-Win</v>
      </c>
      <c r="AP462" t="s">
        <v>3793</v>
      </c>
      <c r="AQ462" t="s">
        <v>57</v>
      </c>
      <c r="AR462">
        <f t="shared" si="71"/>
        <v>2100</v>
      </c>
      <c r="AS462" t="s">
        <v>937</v>
      </c>
      <c r="AT462" t="s">
        <v>58</v>
      </c>
    </row>
    <row r="463" ht="29" spans="1:46">
      <c r="A463" s="31" t="s">
        <v>83</v>
      </c>
      <c r="C463" t="s">
        <v>3794</v>
      </c>
      <c r="D463" s="5" t="s">
        <v>57</v>
      </c>
      <c r="E463">
        <v>2035</v>
      </c>
      <c r="F463" s="6" t="str">
        <f t="shared" si="65"/>
        <v>*0.95</v>
      </c>
      <c r="H463" t="s">
        <v>3794</v>
      </c>
      <c r="I463" s="5" t="s">
        <v>57</v>
      </c>
      <c r="J463">
        <v>2050</v>
      </c>
      <c r="K463" s="38" t="str">
        <f t="shared" si="66"/>
        <v>*0.92</v>
      </c>
      <c r="P463" s="32" t="s">
        <v>3794</v>
      </c>
      <c r="Q463" s="42" t="s">
        <v>57</v>
      </c>
      <c r="R463" s="32">
        <v>2035</v>
      </c>
      <c r="S463" s="43" t="str">
        <f t="shared" si="67"/>
        <v>*0.95</v>
      </c>
      <c r="U463" s="32" t="s">
        <v>3794</v>
      </c>
      <c r="V463" s="42" t="s">
        <v>57</v>
      </c>
      <c r="W463" s="32">
        <v>2050</v>
      </c>
      <c r="X463" s="43" t="str">
        <f t="shared" si="68"/>
        <v>*0.92</v>
      </c>
      <c r="AC463" s="33" t="s">
        <v>3794</v>
      </c>
      <c r="AD463" s="44" t="s">
        <v>57</v>
      </c>
      <c r="AE463" s="33">
        <v>2035</v>
      </c>
      <c r="AF463" s="45" t="str">
        <f t="shared" si="69"/>
        <v>*0.93</v>
      </c>
      <c r="AG463" s="43" t="str">
        <f t="shared" si="72"/>
        <v>REZoning_Sol-Win</v>
      </c>
      <c r="AI463" s="33" t="s">
        <v>3794</v>
      </c>
      <c r="AJ463" s="44" t="s">
        <v>57</v>
      </c>
      <c r="AK463" s="33">
        <v>2050</v>
      </c>
      <c r="AL463" s="45" t="str">
        <f t="shared" si="70"/>
        <v>*0.89</v>
      </c>
      <c r="AM463" s="43" t="str">
        <f t="shared" si="73"/>
        <v>REZoning_Sol-Win</v>
      </c>
      <c r="AP463" t="s">
        <v>3794</v>
      </c>
      <c r="AQ463" t="s">
        <v>57</v>
      </c>
      <c r="AR463">
        <f t="shared" si="71"/>
        <v>2100</v>
      </c>
      <c r="AS463" t="s">
        <v>937</v>
      </c>
      <c r="AT463" t="s">
        <v>58</v>
      </c>
    </row>
    <row r="464" ht="29" spans="1:46">
      <c r="A464" s="31" t="s">
        <v>73</v>
      </c>
      <c r="C464" t="s">
        <v>3795</v>
      </c>
      <c r="D464" s="5" t="s">
        <v>57</v>
      </c>
      <c r="E464">
        <v>2035</v>
      </c>
      <c r="F464" s="6" t="str">
        <f t="shared" si="65"/>
        <v>*0.95</v>
      </c>
      <c r="H464" t="s">
        <v>3795</v>
      </c>
      <c r="I464" s="5" t="s">
        <v>57</v>
      </c>
      <c r="J464">
        <v>2050</v>
      </c>
      <c r="K464" s="38" t="str">
        <f t="shared" si="66"/>
        <v>*0.93</v>
      </c>
      <c r="P464" s="32" t="s">
        <v>3795</v>
      </c>
      <c r="Q464" s="42" t="s">
        <v>57</v>
      </c>
      <c r="R464" s="32">
        <v>2035</v>
      </c>
      <c r="S464" s="43" t="str">
        <f t="shared" si="67"/>
        <v>*0.95</v>
      </c>
      <c r="U464" s="32" t="s">
        <v>3795</v>
      </c>
      <c r="V464" s="42" t="s">
        <v>57</v>
      </c>
      <c r="W464" s="32">
        <v>2050</v>
      </c>
      <c r="X464" s="43" t="str">
        <f t="shared" si="68"/>
        <v>*0.93</v>
      </c>
      <c r="AC464" s="33" t="s">
        <v>3795</v>
      </c>
      <c r="AD464" s="44" t="s">
        <v>57</v>
      </c>
      <c r="AE464" s="33">
        <v>2035</v>
      </c>
      <c r="AF464" s="45" t="str">
        <f t="shared" si="69"/>
        <v>*0.93</v>
      </c>
      <c r="AG464" s="43" t="str">
        <f t="shared" si="72"/>
        <v>REZoning_Sol-Win</v>
      </c>
      <c r="AI464" s="33" t="s">
        <v>3795</v>
      </c>
      <c r="AJ464" s="44" t="s">
        <v>57</v>
      </c>
      <c r="AK464" s="33">
        <v>2050</v>
      </c>
      <c r="AL464" s="45" t="str">
        <f t="shared" si="70"/>
        <v>*0.9</v>
      </c>
      <c r="AM464" s="43" t="str">
        <f t="shared" si="73"/>
        <v>REZoning_Sol-Win</v>
      </c>
      <c r="AP464" t="s">
        <v>3795</v>
      </c>
      <c r="AQ464" t="s">
        <v>57</v>
      </c>
      <c r="AR464">
        <f t="shared" si="71"/>
        <v>2100</v>
      </c>
      <c r="AS464" t="s">
        <v>897</v>
      </c>
      <c r="AT464" t="s">
        <v>58</v>
      </c>
    </row>
    <row r="465" ht="29" spans="1:46">
      <c r="A465" s="31" t="s">
        <v>73</v>
      </c>
      <c r="C465" t="s">
        <v>3796</v>
      </c>
      <c r="D465" s="5" t="s">
        <v>57</v>
      </c>
      <c r="E465">
        <v>2035</v>
      </c>
      <c r="F465" s="6" t="str">
        <f t="shared" si="65"/>
        <v>*0.95</v>
      </c>
      <c r="H465" t="s">
        <v>3796</v>
      </c>
      <c r="I465" s="5" t="s">
        <v>57</v>
      </c>
      <c r="J465">
        <v>2050</v>
      </c>
      <c r="K465" s="38" t="str">
        <f t="shared" si="66"/>
        <v>*0.93</v>
      </c>
      <c r="P465" s="32" t="s">
        <v>3796</v>
      </c>
      <c r="Q465" s="42" t="s">
        <v>57</v>
      </c>
      <c r="R465" s="32">
        <v>2035</v>
      </c>
      <c r="S465" s="43" t="str">
        <f t="shared" si="67"/>
        <v>*0.95</v>
      </c>
      <c r="U465" s="32" t="s">
        <v>3796</v>
      </c>
      <c r="V465" s="42" t="s">
        <v>57</v>
      </c>
      <c r="W465" s="32">
        <v>2050</v>
      </c>
      <c r="X465" s="43" t="str">
        <f t="shared" si="68"/>
        <v>*0.93</v>
      </c>
      <c r="AC465" s="33" t="s">
        <v>3796</v>
      </c>
      <c r="AD465" s="44" t="s">
        <v>57</v>
      </c>
      <c r="AE465" s="33">
        <v>2035</v>
      </c>
      <c r="AF465" s="45" t="str">
        <f t="shared" si="69"/>
        <v>*0.93</v>
      </c>
      <c r="AG465" s="43" t="str">
        <f t="shared" si="72"/>
        <v>REZoning_Sol-Win</v>
      </c>
      <c r="AI465" s="33" t="s">
        <v>3796</v>
      </c>
      <c r="AJ465" s="44" t="s">
        <v>57</v>
      </c>
      <c r="AK465" s="33">
        <v>2050</v>
      </c>
      <c r="AL465" s="45" t="str">
        <f t="shared" si="70"/>
        <v>*0.9</v>
      </c>
      <c r="AM465" s="43" t="str">
        <f t="shared" si="73"/>
        <v>REZoning_Sol-Win</v>
      </c>
      <c r="AP465" t="s">
        <v>3796</v>
      </c>
      <c r="AQ465" t="s">
        <v>57</v>
      </c>
      <c r="AR465">
        <f t="shared" si="71"/>
        <v>2100</v>
      </c>
      <c r="AS465" t="s">
        <v>897</v>
      </c>
      <c r="AT465" t="s">
        <v>58</v>
      </c>
    </row>
    <row r="466" ht="29" spans="1:46">
      <c r="A466" s="31" t="s">
        <v>73</v>
      </c>
      <c r="C466" t="s">
        <v>3797</v>
      </c>
      <c r="D466" s="5" t="s">
        <v>57</v>
      </c>
      <c r="E466">
        <v>2035</v>
      </c>
      <c r="F466" s="6" t="str">
        <f t="shared" si="65"/>
        <v>*0.95</v>
      </c>
      <c r="H466" t="s">
        <v>3797</v>
      </c>
      <c r="I466" s="5" t="s">
        <v>57</v>
      </c>
      <c r="J466">
        <v>2050</v>
      </c>
      <c r="K466" s="38" t="str">
        <f t="shared" si="66"/>
        <v>*0.93</v>
      </c>
      <c r="P466" s="32" t="s">
        <v>3797</v>
      </c>
      <c r="Q466" s="42" t="s">
        <v>57</v>
      </c>
      <c r="R466" s="32">
        <v>2035</v>
      </c>
      <c r="S466" s="43" t="str">
        <f t="shared" si="67"/>
        <v>*0.95</v>
      </c>
      <c r="U466" s="32" t="s">
        <v>3797</v>
      </c>
      <c r="V466" s="42" t="s">
        <v>57</v>
      </c>
      <c r="W466" s="32">
        <v>2050</v>
      </c>
      <c r="X466" s="43" t="str">
        <f t="shared" si="68"/>
        <v>*0.93</v>
      </c>
      <c r="AC466" s="33" t="s">
        <v>3797</v>
      </c>
      <c r="AD466" s="44" t="s">
        <v>57</v>
      </c>
      <c r="AE466" s="33">
        <v>2035</v>
      </c>
      <c r="AF466" s="45" t="str">
        <f t="shared" si="69"/>
        <v>*0.93</v>
      </c>
      <c r="AG466" s="43" t="str">
        <f t="shared" si="72"/>
        <v>REZoning_Sol-Win</v>
      </c>
      <c r="AI466" s="33" t="s">
        <v>3797</v>
      </c>
      <c r="AJ466" s="44" t="s">
        <v>57</v>
      </c>
      <c r="AK466" s="33">
        <v>2050</v>
      </c>
      <c r="AL466" s="45" t="str">
        <f t="shared" si="70"/>
        <v>*0.9</v>
      </c>
      <c r="AM466" s="43" t="str">
        <f t="shared" si="73"/>
        <v>REZoning_Sol-Win</v>
      </c>
      <c r="AP466" t="s">
        <v>3797</v>
      </c>
      <c r="AQ466" t="s">
        <v>57</v>
      </c>
      <c r="AR466">
        <f t="shared" si="71"/>
        <v>2100</v>
      </c>
      <c r="AS466" t="s">
        <v>897</v>
      </c>
      <c r="AT466" t="s">
        <v>58</v>
      </c>
    </row>
    <row r="467" ht="29" spans="1:46">
      <c r="A467" s="31" t="s">
        <v>73</v>
      </c>
      <c r="C467" t="s">
        <v>3798</v>
      </c>
      <c r="D467" s="5" t="s">
        <v>57</v>
      </c>
      <c r="E467">
        <v>2035</v>
      </c>
      <c r="F467" s="6" t="str">
        <f t="shared" si="65"/>
        <v>*0.95</v>
      </c>
      <c r="H467" t="s">
        <v>3798</v>
      </c>
      <c r="I467" s="5" t="s">
        <v>57</v>
      </c>
      <c r="J467">
        <v>2050</v>
      </c>
      <c r="K467" s="38" t="str">
        <f t="shared" si="66"/>
        <v>*0.93</v>
      </c>
      <c r="P467" s="32" t="s">
        <v>3798</v>
      </c>
      <c r="Q467" s="42" t="s">
        <v>57</v>
      </c>
      <c r="R467" s="32">
        <v>2035</v>
      </c>
      <c r="S467" s="43" t="str">
        <f t="shared" si="67"/>
        <v>*0.95</v>
      </c>
      <c r="U467" s="32" t="s">
        <v>3798</v>
      </c>
      <c r="V467" s="42" t="s">
        <v>57</v>
      </c>
      <c r="W467" s="32">
        <v>2050</v>
      </c>
      <c r="X467" s="43" t="str">
        <f t="shared" si="68"/>
        <v>*0.93</v>
      </c>
      <c r="AC467" s="33" t="s">
        <v>3798</v>
      </c>
      <c r="AD467" s="44" t="s">
        <v>57</v>
      </c>
      <c r="AE467" s="33">
        <v>2035</v>
      </c>
      <c r="AF467" s="45" t="str">
        <f t="shared" si="69"/>
        <v>*0.93</v>
      </c>
      <c r="AG467" s="43" t="str">
        <f t="shared" si="72"/>
        <v>REZoning_Sol-Win</v>
      </c>
      <c r="AI467" s="33" t="s">
        <v>3798</v>
      </c>
      <c r="AJ467" s="44" t="s">
        <v>57</v>
      </c>
      <c r="AK467" s="33">
        <v>2050</v>
      </c>
      <c r="AL467" s="45" t="str">
        <f t="shared" si="70"/>
        <v>*0.9</v>
      </c>
      <c r="AM467" s="43" t="str">
        <f t="shared" si="73"/>
        <v>REZoning_Sol-Win</v>
      </c>
      <c r="AP467" t="s">
        <v>3798</v>
      </c>
      <c r="AQ467" t="s">
        <v>57</v>
      </c>
      <c r="AR467">
        <f t="shared" si="71"/>
        <v>2100</v>
      </c>
      <c r="AS467" t="s">
        <v>897</v>
      </c>
      <c r="AT467" t="s">
        <v>58</v>
      </c>
    </row>
    <row r="468" ht="29" spans="1:46">
      <c r="A468" s="31" t="s">
        <v>83</v>
      </c>
      <c r="C468" t="s">
        <v>3799</v>
      </c>
      <c r="D468" s="5" t="s">
        <v>57</v>
      </c>
      <c r="E468">
        <v>2035</v>
      </c>
      <c r="F468" s="6" t="str">
        <f t="shared" si="65"/>
        <v>*0.95</v>
      </c>
      <c r="H468" t="s">
        <v>3799</v>
      </c>
      <c r="I468" s="5" t="s">
        <v>57</v>
      </c>
      <c r="J468">
        <v>2050</v>
      </c>
      <c r="K468" s="38" t="str">
        <f t="shared" si="66"/>
        <v>*0.92</v>
      </c>
      <c r="P468" s="32" t="s">
        <v>3799</v>
      </c>
      <c r="Q468" s="42" t="s">
        <v>57</v>
      </c>
      <c r="R468" s="32">
        <v>2035</v>
      </c>
      <c r="S468" s="43" t="str">
        <f t="shared" si="67"/>
        <v>*0.95</v>
      </c>
      <c r="U468" s="32" t="s">
        <v>3799</v>
      </c>
      <c r="V468" s="42" t="s">
        <v>57</v>
      </c>
      <c r="W468" s="32">
        <v>2050</v>
      </c>
      <c r="X468" s="43" t="str">
        <f t="shared" si="68"/>
        <v>*0.92</v>
      </c>
      <c r="AC468" s="33" t="s">
        <v>3799</v>
      </c>
      <c r="AD468" s="44" t="s">
        <v>57</v>
      </c>
      <c r="AE468" s="33">
        <v>2035</v>
      </c>
      <c r="AF468" s="45" t="str">
        <f t="shared" si="69"/>
        <v>*0.93</v>
      </c>
      <c r="AG468" s="43" t="str">
        <f t="shared" si="72"/>
        <v>REZoning_Sol-Win</v>
      </c>
      <c r="AI468" s="33" t="s">
        <v>3799</v>
      </c>
      <c r="AJ468" s="44" t="s">
        <v>57</v>
      </c>
      <c r="AK468" s="33">
        <v>2050</v>
      </c>
      <c r="AL468" s="45" t="str">
        <f t="shared" si="70"/>
        <v>*0.89</v>
      </c>
      <c r="AM468" s="43" t="str">
        <f t="shared" si="73"/>
        <v>REZoning_Sol-Win</v>
      </c>
      <c r="AP468" t="s">
        <v>3799</v>
      </c>
      <c r="AQ468" t="s">
        <v>57</v>
      </c>
      <c r="AR468">
        <f t="shared" si="71"/>
        <v>2100</v>
      </c>
      <c r="AS468" t="s">
        <v>937</v>
      </c>
      <c r="AT468" t="s">
        <v>58</v>
      </c>
    </row>
    <row r="469" ht="29" spans="1:46">
      <c r="A469" s="31" t="s">
        <v>83</v>
      </c>
      <c r="C469" t="s">
        <v>3800</v>
      </c>
      <c r="D469" s="5" t="s">
        <v>57</v>
      </c>
      <c r="E469">
        <v>2035</v>
      </c>
      <c r="F469" s="6" t="str">
        <f t="shared" si="65"/>
        <v>*0.95</v>
      </c>
      <c r="H469" t="s">
        <v>3800</v>
      </c>
      <c r="I469" s="5" t="s">
        <v>57</v>
      </c>
      <c r="J469">
        <v>2050</v>
      </c>
      <c r="K469" s="38" t="str">
        <f t="shared" si="66"/>
        <v>*0.92</v>
      </c>
      <c r="P469" s="32" t="s">
        <v>3800</v>
      </c>
      <c r="Q469" s="42" t="s">
        <v>57</v>
      </c>
      <c r="R469" s="32">
        <v>2035</v>
      </c>
      <c r="S469" s="43" t="str">
        <f t="shared" si="67"/>
        <v>*0.95</v>
      </c>
      <c r="U469" s="32" t="s">
        <v>3800</v>
      </c>
      <c r="V469" s="42" t="s">
        <v>57</v>
      </c>
      <c r="W469" s="32">
        <v>2050</v>
      </c>
      <c r="X469" s="43" t="str">
        <f t="shared" si="68"/>
        <v>*0.92</v>
      </c>
      <c r="AC469" s="33" t="s">
        <v>3800</v>
      </c>
      <c r="AD469" s="44" t="s">
        <v>57</v>
      </c>
      <c r="AE469" s="33">
        <v>2035</v>
      </c>
      <c r="AF469" s="45" t="str">
        <f t="shared" si="69"/>
        <v>*0.93</v>
      </c>
      <c r="AG469" s="43" t="str">
        <f t="shared" si="72"/>
        <v>REZoning_Sol-Win</v>
      </c>
      <c r="AI469" s="33" t="s">
        <v>3800</v>
      </c>
      <c r="AJ469" s="44" t="s">
        <v>57</v>
      </c>
      <c r="AK469" s="33">
        <v>2050</v>
      </c>
      <c r="AL469" s="45" t="str">
        <f t="shared" si="70"/>
        <v>*0.89</v>
      </c>
      <c r="AM469" s="43" t="str">
        <f t="shared" si="73"/>
        <v>REZoning_Sol-Win</v>
      </c>
      <c r="AP469" t="s">
        <v>3800</v>
      </c>
      <c r="AQ469" t="s">
        <v>57</v>
      </c>
      <c r="AR469">
        <f t="shared" si="71"/>
        <v>2100</v>
      </c>
      <c r="AS469" t="s">
        <v>937</v>
      </c>
      <c r="AT469" t="s">
        <v>58</v>
      </c>
    </row>
    <row r="470" ht="29" spans="1:46">
      <c r="A470" s="31" t="s">
        <v>83</v>
      </c>
      <c r="C470" t="s">
        <v>3801</v>
      </c>
      <c r="D470" s="5" t="s">
        <v>57</v>
      </c>
      <c r="E470">
        <v>2035</v>
      </c>
      <c r="F470" s="6" t="str">
        <f t="shared" si="65"/>
        <v>*0.95</v>
      </c>
      <c r="H470" t="s">
        <v>3801</v>
      </c>
      <c r="I470" s="5" t="s">
        <v>57</v>
      </c>
      <c r="J470">
        <v>2050</v>
      </c>
      <c r="K470" s="38" t="str">
        <f t="shared" si="66"/>
        <v>*0.92</v>
      </c>
      <c r="P470" s="32" t="s">
        <v>3801</v>
      </c>
      <c r="Q470" s="42" t="s">
        <v>57</v>
      </c>
      <c r="R470" s="32">
        <v>2035</v>
      </c>
      <c r="S470" s="43" t="str">
        <f t="shared" si="67"/>
        <v>*0.95</v>
      </c>
      <c r="U470" s="32" t="s">
        <v>3801</v>
      </c>
      <c r="V470" s="42" t="s">
        <v>57</v>
      </c>
      <c r="W470" s="32">
        <v>2050</v>
      </c>
      <c r="X470" s="43" t="str">
        <f t="shared" si="68"/>
        <v>*0.92</v>
      </c>
      <c r="AC470" s="33" t="s">
        <v>3801</v>
      </c>
      <c r="AD470" s="44" t="s">
        <v>57</v>
      </c>
      <c r="AE470" s="33">
        <v>2035</v>
      </c>
      <c r="AF470" s="45" t="str">
        <f t="shared" si="69"/>
        <v>*0.93</v>
      </c>
      <c r="AG470" s="43" t="str">
        <f t="shared" si="72"/>
        <v>REZoning_Sol-Win</v>
      </c>
      <c r="AI470" s="33" t="s">
        <v>3801</v>
      </c>
      <c r="AJ470" s="44" t="s">
        <v>57</v>
      </c>
      <c r="AK470" s="33">
        <v>2050</v>
      </c>
      <c r="AL470" s="45" t="str">
        <f t="shared" si="70"/>
        <v>*0.89</v>
      </c>
      <c r="AM470" s="43" t="str">
        <f t="shared" si="73"/>
        <v>REZoning_Sol-Win</v>
      </c>
      <c r="AP470" t="s">
        <v>3801</v>
      </c>
      <c r="AQ470" t="s">
        <v>57</v>
      </c>
      <c r="AR470">
        <f t="shared" si="71"/>
        <v>2100</v>
      </c>
      <c r="AS470" t="s">
        <v>937</v>
      </c>
      <c r="AT470" t="s">
        <v>58</v>
      </c>
    </row>
    <row r="471" ht="29" spans="1:46">
      <c r="A471" s="31" t="s">
        <v>83</v>
      </c>
      <c r="C471" t="s">
        <v>3802</v>
      </c>
      <c r="D471" s="5" t="s">
        <v>57</v>
      </c>
      <c r="E471">
        <v>2035</v>
      </c>
      <c r="F471" s="6" t="str">
        <f t="shared" si="65"/>
        <v>*0.95</v>
      </c>
      <c r="H471" t="s">
        <v>3802</v>
      </c>
      <c r="I471" s="5" t="s">
        <v>57</v>
      </c>
      <c r="J471">
        <v>2050</v>
      </c>
      <c r="K471" s="38" t="str">
        <f t="shared" si="66"/>
        <v>*0.92</v>
      </c>
      <c r="P471" s="32" t="s">
        <v>3802</v>
      </c>
      <c r="Q471" s="42" t="s">
        <v>57</v>
      </c>
      <c r="R471" s="32">
        <v>2035</v>
      </c>
      <c r="S471" s="43" t="str">
        <f t="shared" si="67"/>
        <v>*0.95</v>
      </c>
      <c r="U471" s="32" t="s">
        <v>3802</v>
      </c>
      <c r="V471" s="42" t="s">
        <v>57</v>
      </c>
      <c r="W471" s="32">
        <v>2050</v>
      </c>
      <c r="X471" s="43" t="str">
        <f t="shared" si="68"/>
        <v>*0.92</v>
      </c>
      <c r="AC471" s="33" t="s">
        <v>3802</v>
      </c>
      <c r="AD471" s="44" t="s">
        <v>57</v>
      </c>
      <c r="AE471" s="33">
        <v>2035</v>
      </c>
      <c r="AF471" s="45" t="str">
        <f t="shared" si="69"/>
        <v>*0.93</v>
      </c>
      <c r="AG471" s="43" t="str">
        <f t="shared" si="72"/>
        <v>REZoning_Sol-Win</v>
      </c>
      <c r="AI471" s="33" t="s">
        <v>3802</v>
      </c>
      <c r="AJ471" s="44" t="s">
        <v>57</v>
      </c>
      <c r="AK471" s="33">
        <v>2050</v>
      </c>
      <c r="AL471" s="45" t="str">
        <f t="shared" si="70"/>
        <v>*0.89</v>
      </c>
      <c r="AM471" s="43" t="str">
        <f t="shared" si="73"/>
        <v>REZoning_Sol-Win</v>
      </c>
      <c r="AP471" t="s">
        <v>3802</v>
      </c>
      <c r="AQ471" t="s">
        <v>57</v>
      </c>
      <c r="AR471">
        <f t="shared" si="71"/>
        <v>2100</v>
      </c>
      <c r="AS471" t="s">
        <v>937</v>
      </c>
      <c r="AT471" t="s">
        <v>58</v>
      </c>
    </row>
    <row r="472" ht="29" spans="1:46">
      <c r="A472" s="31" t="s">
        <v>169</v>
      </c>
      <c r="C472" t="s">
        <v>3803</v>
      </c>
      <c r="D472" s="5" t="s">
        <v>57</v>
      </c>
      <c r="E472">
        <v>2035</v>
      </c>
      <c r="F472" s="6" t="str">
        <f t="shared" si="65"/>
        <v>*0.94</v>
      </c>
      <c r="H472" t="s">
        <v>3803</v>
      </c>
      <c r="I472" s="5" t="s">
        <v>57</v>
      </c>
      <c r="J472">
        <v>2050</v>
      </c>
      <c r="K472" s="38" t="str">
        <f t="shared" si="66"/>
        <v>*0.92</v>
      </c>
      <c r="P472" s="32" t="s">
        <v>3803</v>
      </c>
      <c r="Q472" s="42" t="s">
        <v>57</v>
      </c>
      <c r="R472" s="32">
        <v>2035</v>
      </c>
      <c r="S472" s="43" t="str">
        <f t="shared" si="67"/>
        <v>*0.93</v>
      </c>
      <c r="U472" s="32" t="s">
        <v>3803</v>
      </c>
      <c r="V472" s="42" t="s">
        <v>57</v>
      </c>
      <c r="W472" s="32">
        <v>2050</v>
      </c>
      <c r="X472" s="43" t="str">
        <f t="shared" si="68"/>
        <v>*0.92</v>
      </c>
      <c r="AC472" s="33" t="s">
        <v>3803</v>
      </c>
      <c r="AD472" s="44" t="s">
        <v>57</v>
      </c>
      <c r="AE472" s="33">
        <v>2035</v>
      </c>
      <c r="AF472" s="45" t="str">
        <f t="shared" si="69"/>
        <v>*0.91</v>
      </c>
      <c r="AG472" s="43" t="str">
        <f t="shared" si="72"/>
        <v>REZoning_Sol-Win</v>
      </c>
      <c r="AI472" s="33" t="s">
        <v>3803</v>
      </c>
      <c r="AJ472" s="44" t="s">
        <v>57</v>
      </c>
      <c r="AK472" s="33">
        <v>2050</v>
      </c>
      <c r="AL472" s="45" t="str">
        <f t="shared" si="70"/>
        <v>*0.87</v>
      </c>
      <c r="AM472" s="43" t="str">
        <f t="shared" si="73"/>
        <v>REZoning_Sol-Win</v>
      </c>
      <c r="AP472" t="s">
        <v>3803</v>
      </c>
      <c r="AQ472" t="s">
        <v>57</v>
      </c>
      <c r="AR472">
        <f t="shared" si="71"/>
        <v>2100</v>
      </c>
      <c r="AS472" t="s">
        <v>874</v>
      </c>
      <c r="AT472" t="s">
        <v>58</v>
      </c>
    </row>
    <row r="473" ht="29" spans="1:46">
      <c r="A473" s="31" t="s">
        <v>169</v>
      </c>
      <c r="C473" t="s">
        <v>3804</v>
      </c>
      <c r="D473" s="5" t="s">
        <v>57</v>
      </c>
      <c r="E473">
        <v>2035</v>
      </c>
      <c r="F473" s="6" t="str">
        <f t="shared" si="65"/>
        <v>*0.94</v>
      </c>
      <c r="H473" t="s">
        <v>3804</v>
      </c>
      <c r="I473" s="5" t="s">
        <v>57</v>
      </c>
      <c r="J473">
        <v>2050</v>
      </c>
      <c r="K473" s="38" t="str">
        <f t="shared" si="66"/>
        <v>*0.92</v>
      </c>
      <c r="P473" s="32" t="s">
        <v>3804</v>
      </c>
      <c r="Q473" s="42" t="s">
        <v>57</v>
      </c>
      <c r="R473" s="32">
        <v>2035</v>
      </c>
      <c r="S473" s="43" t="str">
        <f t="shared" si="67"/>
        <v>*0.93</v>
      </c>
      <c r="U473" s="32" t="s">
        <v>3804</v>
      </c>
      <c r="V473" s="42" t="s">
        <v>57</v>
      </c>
      <c r="W473" s="32">
        <v>2050</v>
      </c>
      <c r="X473" s="43" t="str">
        <f t="shared" si="68"/>
        <v>*0.92</v>
      </c>
      <c r="AC473" s="33" t="s">
        <v>3804</v>
      </c>
      <c r="AD473" s="44" t="s">
        <v>57</v>
      </c>
      <c r="AE473" s="33">
        <v>2035</v>
      </c>
      <c r="AF473" s="45" t="str">
        <f t="shared" si="69"/>
        <v>*0.91</v>
      </c>
      <c r="AG473" s="43" t="str">
        <f t="shared" si="72"/>
        <v>REZoning_Sol-Win</v>
      </c>
      <c r="AI473" s="33" t="s">
        <v>3804</v>
      </c>
      <c r="AJ473" s="44" t="s">
        <v>57</v>
      </c>
      <c r="AK473" s="33">
        <v>2050</v>
      </c>
      <c r="AL473" s="45" t="str">
        <f t="shared" si="70"/>
        <v>*0.87</v>
      </c>
      <c r="AM473" s="43" t="str">
        <f t="shared" si="73"/>
        <v>REZoning_Sol-Win</v>
      </c>
      <c r="AP473" t="s">
        <v>3804</v>
      </c>
      <c r="AQ473" t="s">
        <v>57</v>
      </c>
      <c r="AR473">
        <f t="shared" si="71"/>
        <v>2100</v>
      </c>
      <c r="AS473" t="s">
        <v>874</v>
      </c>
      <c r="AT473" t="s">
        <v>58</v>
      </c>
    </row>
    <row r="474" ht="29" spans="1:46">
      <c r="A474" s="31" t="s">
        <v>169</v>
      </c>
      <c r="C474" t="s">
        <v>3805</v>
      </c>
      <c r="D474" s="5" t="s">
        <v>57</v>
      </c>
      <c r="E474">
        <v>2035</v>
      </c>
      <c r="F474" s="6" t="str">
        <f t="shared" si="65"/>
        <v>*0.94</v>
      </c>
      <c r="H474" t="s">
        <v>3805</v>
      </c>
      <c r="I474" s="5" t="s">
        <v>57</v>
      </c>
      <c r="J474">
        <v>2050</v>
      </c>
      <c r="K474" s="38" t="str">
        <f t="shared" si="66"/>
        <v>*0.92</v>
      </c>
      <c r="P474" s="32" t="s">
        <v>3805</v>
      </c>
      <c r="Q474" s="42" t="s">
        <v>57</v>
      </c>
      <c r="R474" s="32">
        <v>2035</v>
      </c>
      <c r="S474" s="43" t="str">
        <f t="shared" si="67"/>
        <v>*0.93</v>
      </c>
      <c r="U474" s="32" t="s">
        <v>3805</v>
      </c>
      <c r="V474" s="42" t="s">
        <v>57</v>
      </c>
      <c r="W474" s="32">
        <v>2050</v>
      </c>
      <c r="X474" s="43" t="str">
        <f t="shared" si="68"/>
        <v>*0.92</v>
      </c>
      <c r="AC474" s="33" t="s">
        <v>3805</v>
      </c>
      <c r="AD474" s="44" t="s">
        <v>57</v>
      </c>
      <c r="AE474" s="33">
        <v>2035</v>
      </c>
      <c r="AF474" s="45" t="str">
        <f t="shared" si="69"/>
        <v>*0.91</v>
      </c>
      <c r="AG474" s="43" t="str">
        <f t="shared" si="72"/>
        <v>REZoning_Sol-Win</v>
      </c>
      <c r="AI474" s="33" t="s">
        <v>3805</v>
      </c>
      <c r="AJ474" s="44" t="s">
        <v>57</v>
      </c>
      <c r="AK474" s="33">
        <v>2050</v>
      </c>
      <c r="AL474" s="45" t="str">
        <f t="shared" si="70"/>
        <v>*0.87</v>
      </c>
      <c r="AM474" s="43" t="str">
        <f t="shared" si="73"/>
        <v>REZoning_Sol-Win</v>
      </c>
      <c r="AP474" t="s">
        <v>3805</v>
      </c>
      <c r="AQ474" t="s">
        <v>57</v>
      </c>
      <c r="AR474">
        <f t="shared" si="71"/>
        <v>2100</v>
      </c>
      <c r="AS474" t="s">
        <v>874</v>
      </c>
      <c r="AT474" t="s">
        <v>58</v>
      </c>
    </row>
    <row r="475" ht="29" spans="1:46">
      <c r="A475" s="31" t="s">
        <v>169</v>
      </c>
      <c r="C475" t="s">
        <v>3806</v>
      </c>
      <c r="D475" s="5" t="s">
        <v>57</v>
      </c>
      <c r="E475">
        <v>2035</v>
      </c>
      <c r="F475" s="6" t="str">
        <f t="shared" si="65"/>
        <v>*0.94</v>
      </c>
      <c r="H475" t="s">
        <v>3806</v>
      </c>
      <c r="I475" s="5" t="s">
        <v>57</v>
      </c>
      <c r="J475">
        <v>2050</v>
      </c>
      <c r="K475" s="38" t="str">
        <f t="shared" si="66"/>
        <v>*0.92</v>
      </c>
      <c r="P475" s="32" t="s">
        <v>3806</v>
      </c>
      <c r="Q475" s="42" t="s">
        <v>57</v>
      </c>
      <c r="R475" s="32">
        <v>2035</v>
      </c>
      <c r="S475" s="43" t="str">
        <f t="shared" si="67"/>
        <v>*0.93</v>
      </c>
      <c r="U475" s="32" t="s">
        <v>3806</v>
      </c>
      <c r="V475" s="42" t="s">
        <v>57</v>
      </c>
      <c r="W475" s="32">
        <v>2050</v>
      </c>
      <c r="X475" s="43" t="str">
        <f t="shared" si="68"/>
        <v>*0.92</v>
      </c>
      <c r="AC475" s="33" t="s">
        <v>3806</v>
      </c>
      <c r="AD475" s="44" t="s">
        <v>57</v>
      </c>
      <c r="AE475" s="33">
        <v>2035</v>
      </c>
      <c r="AF475" s="45" t="str">
        <f t="shared" si="69"/>
        <v>*0.91</v>
      </c>
      <c r="AG475" s="43" t="str">
        <f t="shared" si="72"/>
        <v>REZoning_Sol-Win</v>
      </c>
      <c r="AI475" s="33" t="s">
        <v>3806</v>
      </c>
      <c r="AJ475" s="44" t="s">
        <v>57</v>
      </c>
      <c r="AK475" s="33">
        <v>2050</v>
      </c>
      <c r="AL475" s="45" t="str">
        <f t="shared" si="70"/>
        <v>*0.87</v>
      </c>
      <c r="AM475" s="43" t="str">
        <f t="shared" si="73"/>
        <v>REZoning_Sol-Win</v>
      </c>
      <c r="AP475" t="s">
        <v>3806</v>
      </c>
      <c r="AQ475" t="s">
        <v>57</v>
      </c>
      <c r="AR475">
        <f t="shared" si="71"/>
        <v>2100</v>
      </c>
      <c r="AS475" t="s">
        <v>874</v>
      </c>
      <c r="AT475" t="s">
        <v>58</v>
      </c>
    </row>
    <row r="476" ht="29" spans="1:46">
      <c r="A476" s="31" t="s">
        <v>169</v>
      </c>
      <c r="C476" t="s">
        <v>3807</v>
      </c>
      <c r="D476" s="5" t="s">
        <v>57</v>
      </c>
      <c r="E476">
        <v>2035</v>
      </c>
      <c r="F476" s="6" t="str">
        <f t="shared" si="65"/>
        <v>*0.94</v>
      </c>
      <c r="H476" t="s">
        <v>3807</v>
      </c>
      <c r="I476" s="5" t="s">
        <v>57</v>
      </c>
      <c r="J476">
        <v>2050</v>
      </c>
      <c r="K476" s="38" t="str">
        <f t="shared" si="66"/>
        <v>*0.92</v>
      </c>
      <c r="P476" s="32" t="s">
        <v>3807</v>
      </c>
      <c r="Q476" s="42" t="s">
        <v>57</v>
      </c>
      <c r="R476" s="32">
        <v>2035</v>
      </c>
      <c r="S476" s="43" t="str">
        <f t="shared" si="67"/>
        <v>*0.93</v>
      </c>
      <c r="U476" s="32" t="s">
        <v>3807</v>
      </c>
      <c r="V476" s="42" t="s">
        <v>57</v>
      </c>
      <c r="W476" s="32">
        <v>2050</v>
      </c>
      <c r="X476" s="43" t="str">
        <f t="shared" si="68"/>
        <v>*0.92</v>
      </c>
      <c r="AC476" s="33" t="s">
        <v>3807</v>
      </c>
      <c r="AD476" s="44" t="s">
        <v>57</v>
      </c>
      <c r="AE476" s="33">
        <v>2035</v>
      </c>
      <c r="AF476" s="45" t="str">
        <f t="shared" si="69"/>
        <v>*0.91</v>
      </c>
      <c r="AG476" s="43" t="str">
        <f t="shared" si="72"/>
        <v>REZoning_Sol-Win</v>
      </c>
      <c r="AI476" s="33" t="s">
        <v>3807</v>
      </c>
      <c r="AJ476" s="44" t="s">
        <v>57</v>
      </c>
      <c r="AK476" s="33">
        <v>2050</v>
      </c>
      <c r="AL476" s="45" t="str">
        <f t="shared" si="70"/>
        <v>*0.87</v>
      </c>
      <c r="AM476" s="43" t="str">
        <f t="shared" si="73"/>
        <v>REZoning_Sol-Win</v>
      </c>
      <c r="AP476" t="s">
        <v>3807</v>
      </c>
      <c r="AQ476" t="s">
        <v>57</v>
      </c>
      <c r="AR476">
        <f t="shared" si="71"/>
        <v>2100</v>
      </c>
      <c r="AS476" t="s">
        <v>874</v>
      </c>
      <c r="AT476" t="s">
        <v>58</v>
      </c>
    </row>
    <row r="477" ht="29" spans="1:46">
      <c r="A477" s="31" t="s">
        <v>55</v>
      </c>
      <c r="C477" t="s">
        <v>3808</v>
      </c>
      <c r="D477" s="5" t="s">
        <v>57</v>
      </c>
      <c r="E477">
        <v>2035</v>
      </c>
      <c r="F477" s="6" t="str">
        <f t="shared" si="65"/>
        <v>*0.95</v>
      </c>
      <c r="H477" t="s">
        <v>3808</v>
      </c>
      <c r="I477" s="5" t="s">
        <v>57</v>
      </c>
      <c r="J477">
        <v>2050</v>
      </c>
      <c r="K477" s="38" t="str">
        <f t="shared" si="66"/>
        <v>*0.92</v>
      </c>
      <c r="P477" s="32" t="s">
        <v>3808</v>
      </c>
      <c r="Q477" s="42" t="s">
        <v>57</v>
      </c>
      <c r="R477" s="32">
        <v>2035</v>
      </c>
      <c r="S477" s="43" t="str">
        <f t="shared" si="67"/>
        <v>*0.94</v>
      </c>
      <c r="U477" s="32" t="s">
        <v>3808</v>
      </c>
      <c r="V477" s="42" t="s">
        <v>57</v>
      </c>
      <c r="W477" s="32">
        <v>2050</v>
      </c>
      <c r="X477" s="43" t="str">
        <f t="shared" si="68"/>
        <v>*0.91</v>
      </c>
      <c r="AC477" s="33" t="s">
        <v>3808</v>
      </c>
      <c r="AD477" s="44" t="s">
        <v>57</v>
      </c>
      <c r="AE477" s="33">
        <v>2035</v>
      </c>
      <c r="AF477" s="45" t="str">
        <f t="shared" si="69"/>
        <v>*0.92</v>
      </c>
      <c r="AG477" s="43" t="str">
        <f t="shared" si="72"/>
        <v>REZoning_Sol-Win</v>
      </c>
      <c r="AI477" s="33" t="s">
        <v>3808</v>
      </c>
      <c r="AJ477" s="44" t="s">
        <v>57</v>
      </c>
      <c r="AK477" s="33">
        <v>2050</v>
      </c>
      <c r="AL477" s="45" t="str">
        <f t="shared" si="70"/>
        <v>*0.87</v>
      </c>
      <c r="AM477" s="43" t="str">
        <f t="shared" si="73"/>
        <v>REZoning_Sol-Win</v>
      </c>
      <c r="AP477" t="s">
        <v>3808</v>
      </c>
      <c r="AQ477" t="s">
        <v>57</v>
      </c>
      <c r="AR477">
        <f t="shared" si="71"/>
        <v>2100</v>
      </c>
      <c r="AS477" t="s">
        <v>874</v>
      </c>
      <c r="AT477" t="s">
        <v>58</v>
      </c>
    </row>
    <row r="478" ht="29" spans="1:46">
      <c r="A478" s="31" t="s">
        <v>55</v>
      </c>
      <c r="C478" t="s">
        <v>3809</v>
      </c>
      <c r="D478" s="5" t="s">
        <v>57</v>
      </c>
      <c r="E478">
        <v>2035</v>
      </c>
      <c r="F478" s="6" t="str">
        <f t="shared" si="65"/>
        <v>*0.95</v>
      </c>
      <c r="H478" t="s">
        <v>3809</v>
      </c>
      <c r="I478" s="5" t="s">
        <v>57</v>
      </c>
      <c r="J478">
        <v>2050</v>
      </c>
      <c r="K478" s="38" t="str">
        <f t="shared" si="66"/>
        <v>*0.92</v>
      </c>
      <c r="P478" s="32" t="s">
        <v>3809</v>
      </c>
      <c r="Q478" s="42" t="s">
        <v>57</v>
      </c>
      <c r="R478" s="32">
        <v>2035</v>
      </c>
      <c r="S478" s="43" t="str">
        <f t="shared" si="67"/>
        <v>*0.94</v>
      </c>
      <c r="U478" s="32" t="s">
        <v>3809</v>
      </c>
      <c r="V478" s="42" t="s">
        <v>57</v>
      </c>
      <c r="W478" s="32">
        <v>2050</v>
      </c>
      <c r="X478" s="43" t="str">
        <f t="shared" si="68"/>
        <v>*0.91</v>
      </c>
      <c r="AC478" s="33" t="s">
        <v>3809</v>
      </c>
      <c r="AD478" s="44" t="s">
        <v>57</v>
      </c>
      <c r="AE478" s="33">
        <v>2035</v>
      </c>
      <c r="AF478" s="45" t="str">
        <f t="shared" si="69"/>
        <v>*0.92</v>
      </c>
      <c r="AG478" s="43" t="str">
        <f t="shared" si="72"/>
        <v>REZoning_Sol-Win</v>
      </c>
      <c r="AI478" s="33" t="s">
        <v>3809</v>
      </c>
      <c r="AJ478" s="44" t="s">
        <v>57</v>
      </c>
      <c r="AK478" s="33">
        <v>2050</v>
      </c>
      <c r="AL478" s="45" t="str">
        <f t="shared" si="70"/>
        <v>*0.87</v>
      </c>
      <c r="AM478" s="43" t="str">
        <f t="shared" si="73"/>
        <v>REZoning_Sol-Win</v>
      </c>
      <c r="AP478" t="s">
        <v>3809</v>
      </c>
      <c r="AQ478" t="s">
        <v>57</v>
      </c>
      <c r="AR478">
        <f t="shared" si="71"/>
        <v>2100</v>
      </c>
      <c r="AS478" t="s">
        <v>874</v>
      </c>
      <c r="AT478" t="s">
        <v>58</v>
      </c>
    </row>
    <row r="479" ht="29" spans="1:46">
      <c r="A479" s="31" t="s">
        <v>55</v>
      </c>
      <c r="C479" t="s">
        <v>3810</v>
      </c>
      <c r="D479" s="5" t="s">
        <v>57</v>
      </c>
      <c r="E479">
        <v>2035</v>
      </c>
      <c r="F479" s="6" t="str">
        <f t="shared" si="65"/>
        <v>*0.95</v>
      </c>
      <c r="H479" t="s">
        <v>3810</v>
      </c>
      <c r="I479" s="5" t="s">
        <v>57</v>
      </c>
      <c r="J479">
        <v>2050</v>
      </c>
      <c r="K479" s="38" t="str">
        <f t="shared" si="66"/>
        <v>*0.92</v>
      </c>
      <c r="P479" s="32" t="s">
        <v>3810</v>
      </c>
      <c r="Q479" s="42" t="s">
        <v>57</v>
      </c>
      <c r="R479" s="32">
        <v>2035</v>
      </c>
      <c r="S479" s="43" t="str">
        <f t="shared" si="67"/>
        <v>*0.94</v>
      </c>
      <c r="U479" s="32" t="s">
        <v>3810</v>
      </c>
      <c r="V479" s="42" t="s">
        <v>57</v>
      </c>
      <c r="W479" s="32">
        <v>2050</v>
      </c>
      <c r="X479" s="43" t="str">
        <f t="shared" si="68"/>
        <v>*0.91</v>
      </c>
      <c r="AC479" s="33" t="s">
        <v>3810</v>
      </c>
      <c r="AD479" s="44" t="s">
        <v>57</v>
      </c>
      <c r="AE479" s="33">
        <v>2035</v>
      </c>
      <c r="AF479" s="45" t="str">
        <f t="shared" si="69"/>
        <v>*0.92</v>
      </c>
      <c r="AG479" s="43" t="str">
        <f t="shared" si="72"/>
        <v>REZoning_Sol-Win</v>
      </c>
      <c r="AI479" s="33" t="s">
        <v>3810</v>
      </c>
      <c r="AJ479" s="44" t="s">
        <v>57</v>
      </c>
      <c r="AK479" s="33">
        <v>2050</v>
      </c>
      <c r="AL479" s="45" t="str">
        <f t="shared" si="70"/>
        <v>*0.87</v>
      </c>
      <c r="AM479" s="43" t="str">
        <f t="shared" si="73"/>
        <v>REZoning_Sol-Win</v>
      </c>
      <c r="AP479" t="s">
        <v>3810</v>
      </c>
      <c r="AQ479" t="s">
        <v>57</v>
      </c>
      <c r="AR479">
        <f t="shared" si="71"/>
        <v>2100</v>
      </c>
      <c r="AS479" t="s">
        <v>874</v>
      </c>
      <c r="AT479" t="s">
        <v>58</v>
      </c>
    </row>
    <row r="480" ht="29" spans="1:46">
      <c r="A480" s="31" t="s">
        <v>55</v>
      </c>
      <c r="C480" t="s">
        <v>3811</v>
      </c>
      <c r="D480" s="5" t="s">
        <v>57</v>
      </c>
      <c r="E480">
        <v>2035</v>
      </c>
      <c r="F480" s="6" t="str">
        <f t="shared" si="65"/>
        <v>*0.95</v>
      </c>
      <c r="H480" t="s">
        <v>3811</v>
      </c>
      <c r="I480" s="5" t="s">
        <v>57</v>
      </c>
      <c r="J480">
        <v>2050</v>
      </c>
      <c r="K480" s="38" t="str">
        <f t="shared" si="66"/>
        <v>*0.92</v>
      </c>
      <c r="P480" s="32" t="s">
        <v>3811</v>
      </c>
      <c r="Q480" s="42" t="s">
        <v>57</v>
      </c>
      <c r="R480" s="32">
        <v>2035</v>
      </c>
      <c r="S480" s="43" t="str">
        <f t="shared" si="67"/>
        <v>*0.94</v>
      </c>
      <c r="U480" s="32" t="s">
        <v>3811</v>
      </c>
      <c r="V480" s="42" t="s">
        <v>57</v>
      </c>
      <c r="W480" s="32">
        <v>2050</v>
      </c>
      <c r="X480" s="43" t="str">
        <f t="shared" si="68"/>
        <v>*0.91</v>
      </c>
      <c r="AC480" s="33" t="s">
        <v>3811</v>
      </c>
      <c r="AD480" s="44" t="s">
        <v>57</v>
      </c>
      <c r="AE480" s="33">
        <v>2035</v>
      </c>
      <c r="AF480" s="45" t="str">
        <f t="shared" si="69"/>
        <v>*0.92</v>
      </c>
      <c r="AG480" s="43" t="str">
        <f t="shared" si="72"/>
        <v>REZoning_Sol-Win</v>
      </c>
      <c r="AI480" s="33" t="s">
        <v>3811</v>
      </c>
      <c r="AJ480" s="44" t="s">
        <v>57</v>
      </c>
      <c r="AK480" s="33">
        <v>2050</v>
      </c>
      <c r="AL480" s="45" t="str">
        <f t="shared" si="70"/>
        <v>*0.87</v>
      </c>
      <c r="AM480" s="43" t="str">
        <f t="shared" si="73"/>
        <v>REZoning_Sol-Win</v>
      </c>
      <c r="AP480" t="s">
        <v>3811</v>
      </c>
      <c r="AQ480" t="s">
        <v>57</v>
      </c>
      <c r="AR480">
        <f t="shared" si="71"/>
        <v>2100</v>
      </c>
      <c r="AS480" t="s">
        <v>874</v>
      </c>
      <c r="AT480" t="s">
        <v>58</v>
      </c>
    </row>
    <row r="481" ht="29" spans="1:46">
      <c r="A481" s="31" t="s">
        <v>55</v>
      </c>
      <c r="C481" t="s">
        <v>3812</v>
      </c>
      <c r="D481" s="5" t="s">
        <v>57</v>
      </c>
      <c r="E481">
        <v>2035</v>
      </c>
      <c r="F481" s="6" t="str">
        <f t="shared" si="65"/>
        <v>*0.95</v>
      </c>
      <c r="H481" t="s">
        <v>3812</v>
      </c>
      <c r="I481" s="5" t="s">
        <v>57</v>
      </c>
      <c r="J481">
        <v>2050</v>
      </c>
      <c r="K481" s="38" t="str">
        <f t="shared" si="66"/>
        <v>*0.92</v>
      </c>
      <c r="P481" s="32" t="s">
        <v>3812</v>
      </c>
      <c r="Q481" s="42" t="s">
        <v>57</v>
      </c>
      <c r="R481" s="32">
        <v>2035</v>
      </c>
      <c r="S481" s="43" t="str">
        <f t="shared" si="67"/>
        <v>*0.94</v>
      </c>
      <c r="U481" s="32" t="s">
        <v>3812</v>
      </c>
      <c r="V481" s="42" t="s">
        <v>57</v>
      </c>
      <c r="W481" s="32">
        <v>2050</v>
      </c>
      <c r="X481" s="43" t="str">
        <f t="shared" si="68"/>
        <v>*0.91</v>
      </c>
      <c r="AC481" s="33" t="s">
        <v>3812</v>
      </c>
      <c r="AD481" s="44" t="s">
        <v>57</v>
      </c>
      <c r="AE481" s="33">
        <v>2035</v>
      </c>
      <c r="AF481" s="45" t="str">
        <f t="shared" si="69"/>
        <v>*0.92</v>
      </c>
      <c r="AG481" s="43" t="str">
        <f t="shared" si="72"/>
        <v>REZoning_Sol-Win</v>
      </c>
      <c r="AI481" s="33" t="s">
        <v>3812</v>
      </c>
      <c r="AJ481" s="44" t="s">
        <v>57</v>
      </c>
      <c r="AK481" s="33">
        <v>2050</v>
      </c>
      <c r="AL481" s="45" t="str">
        <f t="shared" si="70"/>
        <v>*0.87</v>
      </c>
      <c r="AM481" s="43" t="str">
        <f t="shared" si="73"/>
        <v>REZoning_Sol-Win</v>
      </c>
      <c r="AP481" t="s">
        <v>3812</v>
      </c>
      <c r="AQ481" t="s">
        <v>57</v>
      </c>
      <c r="AR481">
        <f t="shared" si="71"/>
        <v>2100</v>
      </c>
      <c r="AS481" t="s">
        <v>874</v>
      </c>
      <c r="AT481" t="s">
        <v>58</v>
      </c>
    </row>
    <row r="482" ht="29" spans="1:46">
      <c r="A482" s="31" t="s">
        <v>55</v>
      </c>
      <c r="C482" t="s">
        <v>3813</v>
      </c>
      <c r="D482" s="5" t="s">
        <v>57</v>
      </c>
      <c r="E482">
        <v>2035</v>
      </c>
      <c r="F482" s="6" t="str">
        <f t="shared" si="65"/>
        <v>*0.95</v>
      </c>
      <c r="H482" t="s">
        <v>3813</v>
      </c>
      <c r="I482" s="5" t="s">
        <v>57</v>
      </c>
      <c r="J482">
        <v>2050</v>
      </c>
      <c r="K482" s="38" t="str">
        <f t="shared" si="66"/>
        <v>*0.92</v>
      </c>
      <c r="P482" s="32" t="s">
        <v>3813</v>
      </c>
      <c r="Q482" s="42" t="s">
        <v>57</v>
      </c>
      <c r="R482" s="32">
        <v>2035</v>
      </c>
      <c r="S482" s="43" t="str">
        <f t="shared" si="67"/>
        <v>*0.94</v>
      </c>
      <c r="U482" s="32" t="s">
        <v>3813</v>
      </c>
      <c r="V482" s="42" t="s">
        <v>57</v>
      </c>
      <c r="W482" s="32">
        <v>2050</v>
      </c>
      <c r="X482" s="43" t="str">
        <f t="shared" si="68"/>
        <v>*0.91</v>
      </c>
      <c r="AC482" s="33" t="s">
        <v>3813</v>
      </c>
      <c r="AD482" s="44" t="s">
        <v>57</v>
      </c>
      <c r="AE482" s="33">
        <v>2035</v>
      </c>
      <c r="AF482" s="45" t="str">
        <f t="shared" si="69"/>
        <v>*0.92</v>
      </c>
      <c r="AG482" s="43" t="str">
        <f t="shared" si="72"/>
        <v>REZoning_Sol-Win</v>
      </c>
      <c r="AI482" s="33" t="s">
        <v>3813</v>
      </c>
      <c r="AJ482" s="44" t="s">
        <v>57</v>
      </c>
      <c r="AK482" s="33">
        <v>2050</v>
      </c>
      <c r="AL482" s="45" t="str">
        <f t="shared" si="70"/>
        <v>*0.87</v>
      </c>
      <c r="AM482" s="43" t="str">
        <f t="shared" si="73"/>
        <v>REZoning_Sol-Win</v>
      </c>
      <c r="AP482" t="s">
        <v>3813</v>
      </c>
      <c r="AQ482" t="s">
        <v>57</v>
      </c>
      <c r="AR482">
        <f t="shared" si="71"/>
        <v>2100</v>
      </c>
      <c r="AS482" t="s">
        <v>874</v>
      </c>
      <c r="AT482" t="s">
        <v>58</v>
      </c>
    </row>
    <row r="483" ht="29" spans="1:46">
      <c r="A483" s="31" t="s">
        <v>55</v>
      </c>
      <c r="C483" t="s">
        <v>3814</v>
      </c>
      <c r="D483" s="5" t="s">
        <v>57</v>
      </c>
      <c r="E483">
        <v>2035</v>
      </c>
      <c r="F483" s="6" t="str">
        <f t="shared" si="65"/>
        <v>*0.95</v>
      </c>
      <c r="H483" t="s">
        <v>3814</v>
      </c>
      <c r="I483" s="5" t="s">
        <v>57</v>
      </c>
      <c r="J483">
        <v>2050</v>
      </c>
      <c r="K483" s="38" t="str">
        <f t="shared" si="66"/>
        <v>*0.92</v>
      </c>
      <c r="P483" s="32" t="s">
        <v>3814</v>
      </c>
      <c r="Q483" s="42" t="s">
        <v>57</v>
      </c>
      <c r="R483" s="32">
        <v>2035</v>
      </c>
      <c r="S483" s="43" t="str">
        <f t="shared" si="67"/>
        <v>*0.94</v>
      </c>
      <c r="U483" s="32" t="s">
        <v>3814</v>
      </c>
      <c r="V483" s="42" t="s">
        <v>57</v>
      </c>
      <c r="W483" s="32">
        <v>2050</v>
      </c>
      <c r="X483" s="43" t="str">
        <f t="shared" si="68"/>
        <v>*0.91</v>
      </c>
      <c r="AC483" s="33" t="s">
        <v>3814</v>
      </c>
      <c r="AD483" s="44" t="s">
        <v>57</v>
      </c>
      <c r="AE483" s="33">
        <v>2035</v>
      </c>
      <c r="AF483" s="45" t="str">
        <f t="shared" si="69"/>
        <v>*0.92</v>
      </c>
      <c r="AG483" s="43" t="str">
        <f t="shared" si="72"/>
        <v>REZoning_Sol-Win</v>
      </c>
      <c r="AI483" s="33" t="s">
        <v>3814</v>
      </c>
      <c r="AJ483" s="44" t="s">
        <v>57</v>
      </c>
      <c r="AK483" s="33">
        <v>2050</v>
      </c>
      <c r="AL483" s="45" t="str">
        <f t="shared" si="70"/>
        <v>*0.87</v>
      </c>
      <c r="AM483" s="43" t="str">
        <f t="shared" si="73"/>
        <v>REZoning_Sol-Win</v>
      </c>
      <c r="AP483" t="s">
        <v>3814</v>
      </c>
      <c r="AQ483" t="s">
        <v>57</v>
      </c>
      <c r="AR483">
        <f t="shared" si="71"/>
        <v>2100</v>
      </c>
      <c r="AS483" t="s">
        <v>874</v>
      </c>
      <c r="AT483" t="s">
        <v>58</v>
      </c>
    </row>
    <row r="484" ht="29" spans="1:46">
      <c r="A484" s="31" t="s">
        <v>55</v>
      </c>
      <c r="C484" t="s">
        <v>3815</v>
      </c>
      <c r="D484" s="5" t="s">
        <v>57</v>
      </c>
      <c r="E484">
        <v>2035</v>
      </c>
      <c r="F484" s="6" t="str">
        <f t="shared" si="65"/>
        <v>*0.95</v>
      </c>
      <c r="H484" t="s">
        <v>3815</v>
      </c>
      <c r="I484" s="5" t="s">
        <v>57</v>
      </c>
      <c r="J484">
        <v>2050</v>
      </c>
      <c r="K484" s="38" t="str">
        <f t="shared" si="66"/>
        <v>*0.92</v>
      </c>
      <c r="P484" s="32" t="s">
        <v>3815</v>
      </c>
      <c r="Q484" s="42" t="s">
        <v>57</v>
      </c>
      <c r="R484" s="32">
        <v>2035</v>
      </c>
      <c r="S484" s="43" t="str">
        <f t="shared" si="67"/>
        <v>*0.94</v>
      </c>
      <c r="U484" s="32" t="s">
        <v>3815</v>
      </c>
      <c r="V484" s="42" t="s">
        <v>57</v>
      </c>
      <c r="W484" s="32">
        <v>2050</v>
      </c>
      <c r="X484" s="43" t="str">
        <f t="shared" si="68"/>
        <v>*0.91</v>
      </c>
      <c r="AC484" s="33" t="s">
        <v>3815</v>
      </c>
      <c r="AD484" s="44" t="s">
        <v>57</v>
      </c>
      <c r="AE484" s="33">
        <v>2035</v>
      </c>
      <c r="AF484" s="45" t="str">
        <f t="shared" si="69"/>
        <v>*0.92</v>
      </c>
      <c r="AG484" s="43" t="str">
        <f t="shared" si="72"/>
        <v>REZoning_Sol-Win</v>
      </c>
      <c r="AI484" s="33" t="s">
        <v>3815</v>
      </c>
      <c r="AJ484" s="44" t="s">
        <v>57</v>
      </c>
      <c r="AK484" s="33">
        <v>2050</v>
      </c>
      <c r="AL484" s="45" t="str">
        <f t="shared" si="70"/>
        <v>*0.87</v>
      </c>
      <c r="AM484" s="43" t="str">
        <f t="shared" si="73"/>
        <v>REZoning_Sol-Win</v>
      </c>
      <c r="AP484" t="s">
        <v>3815</v>
      </c>
      <c r="AQ484" t="s">
        <v>57</v>
      </c>
      <c r="AR484">
        <f t="shared" si="71"/>
        <v>2100</v>
      </c>
      <c r="AS484" t="s">
        <v>874</v>
      </c>
      <c r="AT484" t="s">
        <v>58</v>
      </c>
    </row>
    <row r="485" ht="29" spans="1:46">
      <c r="A485" s="31" t="s">
        <v>55</v>
      </c>
      <c r="C485" t="s">
        <v>3816</v>
      </c>
      <c r="D485" s="5" t="s">
        <v>57</v>
      </c>
      <c r="E485">
        <v>2035</v>
      </c>
      <c r="F485" s="6" t="str">
        <f t="shared" si="65"/>
        <v>*0.95</v>
      </c>
      <c r="H485" t="s">
        <v>3816</v>
      </c>
      <c r="I485" s="5" t="s">
        <v>57</v>
      </c>
      <c r="J485">
        <v>2050</v>
      </c>
      <c r="K485" s="38" t="str">
        <f t="shared" si="66"/>
        <v>*0.92</v>
      </c>
      <c r="P485" s="32" t="s">
        <v>3816</v>
      </c>
      <c r="Q485" s="42" t="s">
        <v>57</v>
      </c>
      <c r="R485" s="32">
        <v>2035</v>
      </c>
      <c r="S485" s="43" t="str">
        <f t="shared" si="67"/>
        <v>*0.94</v>
      </c>
      <c r="U485" s="32" t="s">
        <v>3816</v>
      </c>
      <c r="V485" s="42" t="s">
        <v>57</v>
      </c>
      <c r="W485" s="32">
        <v>2050</v>
      </c>
      <c r="X485" s="43" t="str">
        <f t="shared" si="68"/>
        <v>*0.91</v>
      </c>
      <c r="AC485" s="33" t="s">
        <v>3816</v>
      </c>
      <c r="AD485" s="44" t="s">
        <v>57</v>
      </c>
      <c r="AE485" s="33">
        <v>2035</v>
      </c>
      <c r="AF485" s="45" t="str">
        <f t="shared" si="69"/>
        <v>*0.92</v>
      </c>
      <c r="AG485" s="43" t="str">
        <f t="shared" si="72"/>
        <v>REZoning_Sol-Win</v>
      </c>
      <c r="AI485" s="33" t="s">
        <v>3816</v>
      </c>
      <c r="AJ485" s="44" t="s">
        <v>57</v>
      </c>
      <c r="AK485" s="33">
        <v>2050</v>
      </c>
      <c r="AL485" s="45" t="str">
        <f t="shared" si="70"/>
        <v>*0.87</v>
      </c>
      <c r="AM485" s="43" t="str">
        <f t="shared" si="73"/>
        <v>REZoning_Sol-Win</v>
      </c>
      <c r="AP485" t="s">
        <v>3816</v>
      </c>
      <c r="AQ485" t="s">
        <v>57</v>
      </c>
      <c r="AR485">
        <f t="shared" si="71"/>
        <v>2100</v>
      </c>
      <c r="AS485" t="s">
        <v>874</v>
      </c>
      <c r="AT485" t="s">
        <v>58</v>
      </c>
    </row>
    <row r="486" ht="29" spans="1:46">
      <c r="A486" s="31" t="s">
        <v>55</v>
      </c>
      <c r="C486" t="s">
        <v>3817</v>
      </c>
      <c r="D486" s="5" t="s">
        <v>57</v>
      </c>
      <c r="E486">
        <v>2035</v>
      </c>
      <c r="F486" s="6" t="str">
        <f t="shared" si="65"/>
        <v>*0.95</v>
      </c>
      <c r="H486" t="s">
        <v>3817</v>
      </c>
      <c r="I486" s="5" t="s">
        <v>57</v>
      </c>
      <c r="J486">
        <v>2050</v>
      </c>
      <c r="K486" s="38" t="str">
        <f t="shared" si="66"/>
        <v>*0.92</v>
      </c>
      <c r="P486" s="32" t="s">
        <v>3817</v>
      </c>
      <c r="Q486" s="42" t="s">
        <v>57</v>
      </c>
      <c r="R486" s="32">
        <v>2035</v>
      </c>
      <c r="S486" s="43" t="str">
        <f t="shared" si="67"/>
        <v>*0.94</v>
      </c>
      <c r="U486" s="32" t="s">
        <v>3817</v>
      </c>
      <c r="V486" s="42" t="s">
        <v>57</v>
      </c>
      <c r="W486" s="32">
        <v>2050</v>
      </c>
      <c r="X486" s="43" t="str">
        <f t="shared" si="68"/>
        <v>*0.91</v>
      </c>
      <c r="AC486" s="33" t="s">
        <v>3817</v>
      </c>
      <c r="AD486" s="44" t="s">
        <v>57</v>
      </c>
      <c r="AE486" s="33">
        <v>2035</v>
      </c>
      <c r="AF486" s="45" t="str">
        <f t="shared" si="69"/>
        <v>*0.92</v>
      </c>
      <c r="AG486" s="43" t="str">
        <f t="shared" si="72"/>
        <v>REZoning_Sol-Win</v>
      </c>
      <c r="AI486" s="33" t="s">
        <v>3817</v>
      </c>
      <c r="AJ486" s="44" t="s">
        <v>57</v>
      </c>
      <c r="AK486" s="33">
        <v>2050</v>
      </c>
      <c r="AL486" s="45" t="str">
        <f t="shared" si="70"/>
        <v>*0.87</v>
      </c>
      <c r="AM486" s="43" t="str">
        <f t="shared" si="73"/>
        <v>REZoning_Sol-Win</v>
      </c>
      <c r="AP486" t="s">
        <v>3817</v>
      </c>
      <c r="AQ486" t="s">
        <v>57</v>
      </c>
      <c r="AR486">
        <f t="shared" si="71"/>
        <v>2100</v>
      </c>
      <c r="AS486" t="s">
        <v>874</v>
      </c>
      <c r="AT486" t="s">
        <v>58</v>
      </c>
    </row>
    <row r="487" ht="29" spans="1:46">
      <c r="A487" s="31" t="s">
        <v>55</v>
      </c>
      <c r="C487" t="s">
        <v>3818</v>
      </c>
      <c r="D487" s="5" t="s">
        <v>57</v>
      </c>
      <c r="E487">
        <v>2035</v>
      </c>
      <c r="F487" s="6" t="str">
        <f t="shared" si="65"/>
        <v>*0.95</v>
      </c>
      <c r="H487" t="s">
        <v>3818</v>
      </c>
      <c r="I487" s="5" t="s">
        <v>57</v>
      </c>
      <c r="J487">
        <v>2050</v>
      </c>
      <c r="K487" s="38" t="str">
        <f t="shared" si="66"/>
        <v>*0.92</v>
      </c>
      <c r="P487" s="32" t="s">
        <v>3818</v>
      </c>
      <c r="Q487" s="42" t="s">
        <v>57</v>
      </c>
      <c r="R487" s="32">
        <v>2035</v>
      </c>
      <c r="S487" s="43" t="str">
        <f t="shared" si="67"/>
        <v>*0.94</v>
      </c>
      <c r="U487" s="32" t="s">
        <v>3818</v>
      </c>
      <c r="V487" s="42" t="s">
        <v>57</v>
      </c>
      <c r="W487" s="32">
        <v>2050</v>
      </c>
      <c r="X487" s="43" t="str">
        <f t="shared" si="68"/>
        <v>*0.91</v>
      </c>
      <c r="AC487" s="33" t="s">
        <v>3818</v>
      </c>
      <c r="AD487" s="44" t="s">
        <v>57</v>
      </c>
      <c r="AE487" s="33">
        <v>2035</v>
      </c>
      <c r="AF487" s="45" t="str">
        <f t="shared" si="69"/>
        <v>*0.92</v>
      </c>
      <c r="AG487" s="43" t="str">
        <f t="shared" si="72"/>
        <v>REZoning_Sol-Win</v>
      </c>
      <c r="AI487" s="33" t="s">
        <v>3818</v>
      </c>
      <c r="AJ487" s="44" t="s">
        <v>57</v>
      </c>
      <c r="AK487" s="33">
        <v>2050</v>
      </c>
      <c r="AL487" s="45" t="str">
        <f t="shared" si="70"/>
        <v>*0.87</v>
      </c>
      <c r="AM487" s="43" t="str">
        <f t="shared" si="73"/>
        <v>REZoning_Sol-Win</v>
      </c>
      <c r="AP487" t="s">
        <v>3818</v>
      </c>
      <c r="AQ487" t="s">
        <v>57</v>
      </c>
      <c r="AR487">
        <f t="shared" si="71"/>
        <v>2100</v>
      </c>
      <c r="AS487" t="s">
        <v>874</v>
      </c>
      <c r="AT487" t="s">
        <v>58</v>
      </c>
    </row>
    <row r="488" ht="29" spans="1:46">
      <c r="A488" s="31" t="s">
        <v>55</v>
      </c>
      <c r="C488" t="s">
        <v>3819</v>
      </c>
      <c r="D488" s="5" t="s">
        <v>57</v>
      </c>
      <c r="E488">
        <v>2035</v>
      </c>
      <c r="F488" s="6" t="str">
        <f t="shared" si="65"/>
        <v>*0.95</v>
      </c>
      <c r="H488" t="s">
        <v>3819</v>
      </c>
      <c r="I488" s="5" t="s">
        <v>57</v>
      </c>
      <c r="J488">
        <v>2050</v>
      </c>
      <c r="K488" s="38" t="str">
        <f t="shared" si="66"/>
        <v>*0.92</v>
      </c>
      <c r="P488" s="32" t="s">
        <v>3819</v>
      </c>
      <c r="Q488" s="42" t="s">
        <v>57</v>
      </c>
      <c r="R488" s="32">
        <v>2035</v>
      </c>
      <c r="S488" s="43" t="str">
        <f t="shared" si="67"/>
        <v>*0.94</v>
      </c>
      <c r="U488" s="32" t="s">
        <v>3819</v>
      </c>
      <c r="V488" s="42" t="s">
        <v>57</v>
      </c>
      <c r="W488" s="32">
        <v>2050</v>
      </c>
      <c r="X488" s="43" t="str">
        <f t="shared" si="68"/>
        <v>*0.91</v>
      </c>
      <c r="AC488" s="33" t="s">
        <v>3819</v>
      </c>
      <c r="AD488" s="44" t="s">
        <v>57</v>
      </c>
      <c r="AE488" s="33">
        <v>2035</v>
      </c>
      <c r="AF488" s="45" t="str">
        <f t="shared" si="69"/>
        <v>*0.92</v>
      </c>
      <c r="AG488" s="43" t="str">
        <f t="shared" si="72"/>
        <v>REZoning_Sol-Win</v>
      </c>
      <c r="AI488" s="33" t="s">
        <v>3819</v>
      </c>
      <c r="AJ488" s="44" t="s">
        <v>57</v>
      </c>
      <c r="AK488" s="33">
        <v>2050</v>
      </c>
      <c r="AL488" s="45" t="str">
        <f t="shared" si="70"/>
        <v>*0.87</v>
      </c>
      <c r="AM488" s="43" t="str">
        <f t="shared" si="73"/>
        <v>REZoning_Sol-Win</v>
      </c>
      <c r="AP488" t="s">
        <v>3819</v>
      </c>
      <c r="AQ488" t="s">
        <v>57</v>
      </c>
      <c r="AR488">
        <f t="shared" si="71"/>
        <v>2100</v>
      </c>
      <c r="AS488" t="s">
        <v>874</v>
      </c>
      <c r="AT488" t="s">
        <v>58</v>
      </c>
    </row>
    <row r="489" ht="29" spans="1:46">
      <c r="A489" s="31" t="s">
        <v>55</v>
      </c>
      <c r="C489" t="s">
        <v>3820</v>
      </c>
      <c r="D489" s="5" t="s">
        <v>57</v>
      </c>
      <c r="E489">
        <v>2035</v>
      </c>
      <c r="F489" s="6" t="str">
        <f t="shared" si="65"/>
        <v>*0.95</v>
      </c>
      <c r="H489" t="s">
        <v>3820</v>
      </c>
      <c r="I489" s="5" t="s">
        <v>57</v>
      </c>
      <c r="J489">
        <v>2050</v>
      </c>
      <c r="K489" s="38" t="str">
        <f t="shared" si="66"/>
        <v>*0.92</v>
      </c>
      <c r="P489" s="32" t="s">
        <v>3820</v>
      </c>
      <c r="Q489" s="42" t="s">
        <v>57</v>
      </c>
      <c r="R489" s="32">
        <v>2035</v>
      </c>
      <c r="S489" s="43" t="str">
        <f t="shared" si="67"/>
        <v>*0.94</v>
      </c>
      <c r="U489" s="32" t="s">
        <v>3820</v>
      </c>
      <c r="V489" s="42" t="s">
        <v>57</v>
      </c>
      <c r="W489" s="32">
        <v>2050</v>
      </c>
      <c r="X489" s="43" t="str">
        <f t="shared" si="68"/>
        <v>*0.91</v>
      </c>
      <c r="AC489" s="33" t="s">
        <v>3820</v>
      </c>
      <c r="AD489" s="44" t="s">
        <v>57</v>
      </c>
      <c r="AE489" s="33">
        <v>2035</v>
      </c>
      <c r="AF489" s="45" t="str">
        <f t="shared" si="69"/>
        <v>*0.92</v>
      </c>
      <c r="AG489" s="43" t="str">
        <f t="shared" si="72"/>
        <v>REZoning_Sol-Win</v>
      </c>
      <c r="AI489" s="33" t="s">
        <v>3820</v>
      </c>
      <c r="AJ489" s="44" t="s">
        <v>57</v>
      </c>
      <c r="AK489" s="33">
        <v>2050</v>
      </c>
      <c r="AL489" s="45" t="str">
        <f t="shared" si="70"/>
        <v>*0.87</v>
      </c>
      <c r="AM489" s="43" t="str">
        <f t="shared" si="73"/>
        <v>REZoning_Sol-Win</v>
      </c>
      <c r="AP489" t="s">
        <v>3820</v>
      </c>
      <c r="AQ489" t="s">
        <v>57</v>
      </c>
      <c r="AR489">
        <f t="shared" si="71"/>
        <v>2100</v>
      </c>
      <c r="AS489" t="s">
        <v>874</v>
      </c>
      <c r="AT489" t="s">
        <v>58</v>
      </c>
    </row>
    <row r="490" ht="29" spans="1:46">
      <c r="A490" s="31" t="s">
        <v>73</v>
      </c>
      <c r="C490" t="s">
        <v>3821</v>
      </c>
      <c r="D490" s="5" t="s">
        <v>57</v>
      </c>
      <c r="E490">
        <v>2035</v>
      </c>
      <c r="F490" s="6" t="str">
        <f t="shared" si="65"/>
        <v>*0.95</v>
      </c>
      <c r="H490" t="s">
        <v>3821</v>
      </c>
      <c r="I490" s="5" t="s">
        <v>57</v>
      </c>
      <c r="J490">
        <v>2050</v>
      </c>
      <c r="K490" s="38" t="str">
        <f t="shared" si="66"/>
        <v>*0.93</v>
      </c>
      <c r="P490" s="32" t="s">
        <v>3821</v>
      </c>
      <c r="Q490" s="42" t="s">
        <v>57</v>
      </c>
      <c r="R490" s="32">
        <v>2035</v>
      </c>
      <c r="S490" s="43" t="str">
        <f t="shared" si="67"/>
        <v>*0.95</v>
      </c>
      <c r="U490" s="32" t="s">
        <v>3821</v>
      </c>
      <c r="V490" s="42" t="s">
        <v>57</v>
      </c>
      <c r="W490" s="32">
        <v>2050</v>
      </c>
      <c r="X490" s="43" t="str">
        <f t="shared" si="68"/>
        <v>*0.93</v>
      </c>
      <c r="AC490" s="33" t="s">
        <v>3821</v>
      </c>
      <c r="AD490" s="44" t="s">
        <v>57</v>
      </c>
      <c r="AE490" s="33">
        <v>2035</v>
      </c>
      <c r="AF490" s="45" t="str">
        <f t="shared" si="69"/>
        <v>*0.93</v>
      </c>
      <c r="AG490" s="43" t="str">
        <f t="shared" si="72"/>
        <v>REZoning_Sol-Win</v>
      </c>
      <c r="AI490" s="33" t="s">
        <v>3821</v>
      </c>
      <c r="AJ490" s="44" t="s">
        <v>57</v>
      </c>
      <c r="AK490" s="33">
        <v>2050</v>
      </c>
      <c r="AL490" s="45" t="str">
        <f t="shared" si="70"/>
        <v>*0.9</v>
      </c>
      <c r="AM490" s="43" t="str">
        <f t="shared" si="73"/>
        <v>REZoning_Sol-Win</v>
      </c>
      <c r="AP490" t="s">
        <v>3821</v>
      </c>
      <c r="AQ490" t="s">
        <v>57</v>
      </c>
      <c r="AR490">
        <f t="shared" si="71"/>
        <v>2100</v>
      </c>
      <c r="AS490" t="s">
        <v>897</v>
      </c>
      <c r="AT490" t="s">
        <v>58</v>
      </c>
    </row>
    <row r="491" ht="29" spans="1:46">
      <c r="A491" s="31" t="s">
        <v>73</v>
      </c>
      <c r="C491" t="s">
        <v>3822</v>
      </c>
      <c r="D491" s="5" t="s">
        <v>57</v>
      </c>
      <c r="E491">
        <v>2035</v>
      </c>
      <c r="F491" s="6" t="str">
        <f t="shared" si="65"/>
        <v>*0.95</v>
      </c>
      <c r="H491" t="s">
        <v>3822</v>
      </c>
      <c r="I491" s="5" t="s">
        <v>57</v>
      </c>
      <c r="J491">
        <v>2050</v>
      </c>
      <c r="K491" s="38" t="str">
        <f t="shared" si="66"/>
        <v>*0.93</v>
      </c>
      <c r="P491" s="32" t="s">
        <v>3822</v>
      </c>
      <c r="Q491" s="42" t="s">
        <v>57</v>
      </c>
      <c r="R491" s="32">
        <v>2035</v>
      </c>
      <c r="S491" s="43" t="str">
        <f t="shared" si="67"/>
        <v>*0.95</v>
      </c>
      <c r="U491" s="32" t="s">
        <v>3822</v>
      </c>
      <c r="V491" s="42" t="s">
        <v>57</v>
      </c>
      <c r="W491" s="32">
        <v>2050</v>
      </c>
      <c r="X491" s="43" t="str">
        <f t="shared" si="68"/>
        <v>*0.93</v>
      </c>
      <c r="AC491" s="33" t="s">
        <v>3822</v>
      </c>
      <c r="AD491" s="44" t="s">
        <v>57</v>
      </c>
      <c r="AE491" s="33">
        <v>2035</v>
      </c>
      <c r="AF491" s="45" t="str">
        <f t="shared" si="69"/>
        <v>*0.93</v>
      </c>
      <c r="AG491" s="43" t="str">
        <f t="shared" si="72"/>
        <v>REZoning_Sol-Win</v>
      </c>
      <c r="AI491" s="33" t="s">
        <v>3822</v>
      </c>
      <c r="AJ491" s="44" t="s">
        <v>57</v>
      </c>
      <c r="AK491" s="33">
        <v>2050</v>
      </c>
      <c r="AL491" s="45" t="str">
        <f t="shared" si="70"/>
        <v>*0.9</v>
      </c>
      <c r="AM491" s="43" t="str">
        <f t="shared" si="73"/>
        <v>REZoning_Sol-Win</v>
      </c>
      <c r="AP491" t="s">
        <v>3822</v>
      </c>
      <c r="AQ491" t="s">
        <v>57</v>
      </c>
      <c r="AR491">
        <f t="shared" si="71"/>
        <v>2100</v>
      </c>
      <c r="AS491" t="s">
        <v>897</v>
      </c>
      <c r="AT491" t="s">
        <v>58</v>
      </c>
    </row>
    <row r="492" ht="29" spans="1:46">
      <c r="A492" s="31" t="s">
        <v>73</v>
      </c>
      <c r="C492" t="s">
        <v>3823</v>
      </c>
      <c r="D492" s="5" t="s">
        <v>57</v>
      </c>
      <c r="E492">
        <v>2035</v>
      </c>
      <c r="F492" s="6" t="str">
        <f t="shared" si="65"/>
        <v>*0.95</v>
      </c>
      <c r="H492" t="s">
        <v>3823</v>
      </c>
      <c r="I492" s="5" t="s">
        <v>57</v>
      </c>
      <c r="J492">
        <v>2050</v>
      </c>
      <c r="K492" s="38" t="str">
        <f t="shared" si="66"/>
        <v>*0.93</v>
      </c>
      <c r="P492" s="32" t="s">
        <v>3823</v>
      </c>
      <c r="Q492" s="42" t="s">
        <v>57</v>
      </c>
      <c r="R492" s="32">
        <v>2035</v>
      </c>
      <c r="S492" s="43" t="str">
        <f t="shared" si="67"/>
        <v>*0.95</v>
      </c>
      <c r="U492" s="32" t="s">
        <v>3823</v>
      </c>
      <c r="V492" s="42" t="s">
        <v>57</v>
      </c>
      <c r="W492" s="32">
        <v>2050</v>
      </c>
      <c r="X492" s="43" t="str">
        <f t="shared" si="68"/>
        <v>*0.93</v>
      </c>
      <c r="AC492" s="33" t="s">
        <v>3823</v>
      </c>
      <c r="AD492" s="44" t="s">
        <v>57</v>
      </c>
      <c r="AE492" s="33">
        <v>2035</v>
      </c>
      <c r="AF492" s="45" t="str">
        <f t="shared" si="69"/>
        <v>*0.93</v>
      </c>
      <c r="AG492" s="43" t="str">
        <f t="shared" si="72"/>
        <v>REZoning_Sol-Win</v>
      </c>
      <c r="AI492" s="33" t="s">
        <v>3823</v>
      </c>
      <c r="AJ492" s="44" t="s">
        <v>57</v>
      </c>
      <c r="AK492" s="33">
        <v>2050</v>
      </c>
      <c r="AL492" s="45" t="str">
        <f t="shared" si="70"/>
        <v>*0.9</v>
      </c>
      <c r="AM492" s="43" t="str">
        <f t="shared" si="73"/>
        <v>REZoning_Sol-Win</v>
      </c>
      <c r="AP492" t="s">
        <v>3823</v>
      </c>
      <c r="AQ492" t="s">
        <v>57</v>
      </c>
      <c r="AR492">
        <f t="shared" si="71"/>
        <v>2100</v>
      </c>
      <c r="AS492" t="s">
        <v>897</v>
      </c>
      <c r="AT492" t="s">
        <v>58</v>
      </c>
    </row>
    <row r="493" ht="29" spans="1:46">
      <c r="A493" s="31" t="s">
        <v>73</v>
      </c>
      <c r="C493" t="s">
        <v>3824</v>
      </c>
      <c r="D493" s="5" t="s">
        <v>57</v>
      </c>
      <c r="E493">
        <v>2035</v>
      </c>
      <c r="F493" s="6" t="str">
        <f t="shared" si="65"/>
        <v>*0.95</v>
      </c>
      <c r="H493" t="s">
        <v>3824</v>
      </c>
      <c r="I493" s="5" t="s">
        <v>57</v>
      </c>
      <c r="J493">
        <v>2050</v>
      </c>
      <c r="K493" s="38" t="str">
        <f t="shared" si="66"/>
        <v>*0.93</v>
      </c>
      <c r="P493" s="32" t="s">
        <v>3824</v>
      </c>
      <c r="Q493" s="42" t="s">
        <v>57</v>
      </c>
      <c r="R493" s="32">
        <v>2035</v>
      </c>
      <c r="S493" s="43" t="str">
        <f t="shared" si="67"/>
        <v>*0.95</v>
      </c>
      <c r="U493" s="32" t="s">
        <v>3824</v>
      </c>
      <c r="V493" s="42" t="s">
        <v>57</v>
      </c>
      <c r="W493" s="32">
        <v>2050</v>
      </c>
      <c r="X493" s="43" t="str">
        <f t="shared" si="68"/>
        <v>*0.93</v>
      </c>
      <c r="AC493" s="33" t="s">
        <v>3824</v>
      </c>
      <c r="AD493" s="44" t="s">
        <v>57</v>
      </c>
      <c r="AE493" s="33">
        <v>2035</v>
      </c>
      <c r="AF493" s="45" t="str">
        <f t="shared" si="69"/>
        <v>*0.93</v>
      </c>
      <c r="AG493" s="43" t="str">
        <f t="shared" si="72"/>
        <v>REZoning_Sol-Win</v>
      </c>
      <c r="AI493" s="33" t="s">
        <v>3824</v>
      </c>
      <c r="AJ493" s="44" t="s">
        <v>57</v>
      </c>
      <c r="AK493" s="33">
        <v>2050</v>
      </c>
      <c r="AL493" s="45" t="str">
        <f t="shared" si="70"/>
        <v>*0.9</v>
      </c>
      <c r="AM493" s="43" t="str">
        <f t="shared" si="73"/>
        <v>REZoning_Sol-Win</v>
      </c>
      <c r="AP493" t="s">
        <v>3824</v>
      </c>
      <c r="AQ493" t="s">
        <v>57</v>
      </c>
      <c r="AR493">
        <f t="shared" si="71"/>
        <v>2100</v>
      </c>
      <c r="AS493" t="s">
        <v>897</v>
      </c>
      <c r="AT493" t="s">
        <v>58</v>
      </c>
    </row>
    <row r="494" ht="29" spans="1:46">
      <c r="A494" s="31" t="s">
        <v>73</v>
      </c>
      <c r="C494" t="s">
        <v>3825</v>
      </c>
      <c r="D494" s="5" t="s">
        <v>57</v>
      </c>
      <c r="E494">
        <v>2035</v>
      </c>
      <c r="F494" s="6" t="str">
        <f t="shared" si="65"/>
        <v>*0.95</v>
      </c>
      <c r="H494" t="s">
        <v>3825</v>
      </c>
      <c r="I494" s="5" t="s">
        <v>57</v>
      </c>
      <c r="J494">
        <v>2050</v>
      </c>
      <c r="K494" s="38" t="str">
        <f t="shared" si="66"/>
        <v>*0.93</v>
      </c>
      <c r="P494" s="32" t="s">
        <v>3825</v>
      </c>
      <c r="Q494" s="42" t="s">
        <v>57</v>
      </c>
      <c r="R494" s="32">
        <v>2035</v>
      </c>
      <c r="S494" s="43" t="str">
        <f t="shared" si="67"/>
        <v>*0.95</v>
      </c>
      <c r="U494" s="32" t="s">
        <v>3825</v>
      </c>
      <c r="V494" s="42" t="s">
        <v>57</v>
      </c>
      <c r="W494" s="32">
        <v>2050</v>
      </c>
      <c r="X494" s="43" t="str">
        <f t="shared" si="68"/>
        <v>*0.93</v>
      </c>
      <c r="AC494" s="33" t="s">
        <v>3825</v>
      </c>
      <c r="AD494" s="44" t="s">
        <v>57</v>
      </c>
      <c r="AE494" s="33">
        <v>2035</v>
      </c>
      <c r="AF494" s="45" t="str">
        <f t="shared" si="69"/>
        <v>*0.93</v>
      </c>
      <c r="AG494" s="43" t="str">
        <f t="shared" si="72"/>
        <v>REZoning_Sol-Win</v>
      </c>
      <c r="AI494" s="33" t="s">
        <v>3825</v>
      </c>
      <c r="AJ494" s="44" t="s">
        <v>57</v>
      </c>
      <c r="AK494" s="33">
        <v>2050</v>
      </c>
      <c r="AL494" s="45" t="str">
        <f t="shared" si="70"/>
        <v>*0.9</v>
      </c>
      <c r="AM494" s="43" t="str">
        <f t="shared" si="73"/>
        <v>REZoning_Sol-Win</v>
      </c>
      <c r="AP494" t="s">
        <v>3825</v>
      </c>
      <c r="AQ494" t="s">
        <v>57</v>
      </c>
      <c r="AR494">
        <f t="shared" si="71"/>
        <v>2100</v>
      </c>
      <c r="AS494" t="s">
        <v>897</v>
      </c>
      <c r="AT494" t="s">
        <v>58</v>
      </c>
    </row>
    <row r="495" ht="29" spans="1:46">
      <c r="A495" s="31" t="s">
        <v>73</v>
      </c>
      <c r="C495" t="s">
        <v>3826</v>
      </c>
      <c r="D495" s="5" t="s">
        <v>57</v>
      </c>
      <c r="E495">
        <v>2035</v>
      </c>
      <c r="F495" s="6" t="str">
        <f t="shared" si="65"/>
        <v>*0.95</v>
      </c>
      <c r="H495" t="s">
        <v>3826</v>
      </c>
      <c r="I495" s="5" t="s">
        <v>57</v>
      </c>
      <c r="J495">
        <v>2050</v>
      </c>
      <c r="K495" s="38" t="str">
        <f t="shared" si="66"/>
        <v>*0.93</v>
      </c>
      <c r="P495" s="32" t="s">
        <v>3826</v>
      </c>
      <c r="Q495" s="42" t="s">
        <v>57</v>
      </c>
      <c r="R495" s="32">
        <v>2035</v>
      </c>
      <c r="S495" s="43" t="str">
        <f t="shared" si="67"/>
        <v>*0.95</v>
      </c>
      <c r="U495" s="32" t="s">
        <v>3826</v>
      </c>
      <c r="V495" s="42" t="s">
        <v>57</v>
      </c>
      <c r="W495" s="32">
        <v>2050</v>
      </c>
      <c r="X495" s="43" t="str">
        <f t="shared" si="68"/>
        <v>*0.93</v>
      </c>
      <c r="AC495" s="33" t="s">
        <v>3826</v>
      </c>
      <c r="AD495" s="44" t="s">
        <v>57</v>
      </c>
      <c r="AE495" s="33">
        <v>2035</v>
      </c>
      <c r="AF495" s="45" t="str">
        <f t="shared" si="69"/>
        <v>*0.93</v>
      </c>
      <c r="AG495" s="43" t="str">
        <f t="shared" si="72"/>
        <v>REZoning_Sol-Win</v>
      </c>
      <c r="AI495" s="33" t="s">
        <v>3826</v>
      </c>
      <c r="AJ495" s="44" t="s">
        <v>57</v>
      </c>
      <c r="AK495" s="33">
        <v>2050</v>
      </c>
      <c r="AL495" s="45" t="str">
        <f t="shared" si="70"/>
        <v>*0.9</v>
      </c>
      <c r="AM495" s="43" t="str">
        <f t="shared" si="73"/>
        <v>REZoning_Sol-Win</v>
      </c>
      <c r="AP495" t="s">
        <v>3826</v>
      </c>
      <c r="AQ495" t="s">
        <v>57</v>
      </c>
      <c r="AR495">
        <f t="shared" si="71"/>
        <v>2100</v>
      </c>
      <c r="AS495" t="s">
        <v>897</v>
      </c>
      <c r="AT495" t="s">
        <v>58</v>
      </c>
    </row>
    <row r="496" ht="29" spans="1:46">
      <c r="A496" s="31" t="s">
        <v>73</v>
      </c>
      <c r="C496" t="s">
        <v>3827</v>
      </c>
      <c r="D496" s="5" t="s">
        <v>57</v>
      </c>
      <c r="E496">
        <v>2035</v>
      </c>
      <c r="F496" s="6" t="str">
        <f t="shared" si="65"/>
        <v>*0.95</v>
      </c>
      <c r="H496" t="s">
        <v>3827</v>
      </c>
      <c r="I496" s="5" t="s">
        <v>57</v>
      </c>
      <c r="J496">
        <v>2050</v>
      </c>
      <c r="K496" s="38" t="str">
        <f t="shared" si="66"/>
        <v>*0.93</v>
      </c>
      <c r="P496" s="32" t="s">
        <v>3827</v>
      </c>
      <c r="Q496" s="42" t="s">
        <v>57</v>
      </c>
      <c r="R496" s="32">
        <v>2035</v>
      </c>
      <c r="S496" s="43" t="str">
        <f t="shared" si="67"/>
        <v>*0.95</v>
      </c>
      <c r="U496" s="32" t="s">
        <v>3827</v>
      </c>
      <c r="V496" s="42" t="s">
        <v>57</v>
      </c>
      <c r="W496" s="32">
        <v>2050</v>
      </c>
      <c r="X496" s="43" t="str">
        <f t="shared" si="68"/>
        <v>*0.93</v>
      </c>
      <c r="AC496" s="33" t="s">
        <v>3827</v>
      </c>
      <c r="AD496" s="44" t="s">
        <v>57</v>
      </c>
      <c r="AE496" s="33">
        <v>2035</v>
      </c>
      <c r="AF496" s="45" t="str">
        <f t="shared" si="69"/>
        <v>*0.93</v>
      </c>
      <c r="AG496" s="43" t="str">
        <f t="shared" si="72"/>
        <v>REZoning_Sol-Win</v>
      </c>
      <c r="AI496" s="33" t="s">
        <v>3827</v>
      </c>
      <c r="AJ496" s="44" t="s">
        <v>57</v>
      </c>
      <c r="AK496" s="33">
        <v>2050</v>
      </c>
      <c r="AL496" s="45" t="str">
        <f t="shared" si="70"/>
        <v>*0.9</v>
      </c>
      <c r="AM496" s="43" t="str">
        <f t="shared" si="73"/>
        <v>REZoning_Sol-Win</v>
      </c>
      <c r="AP496" t="s">
        <v>3827</v>
      </c>
      <c r="AQ496" t="s">
        <v>57</v>
      </c>
      <c r="AR496">
        <f t="shared" si="71"/>
        <v>2100</v>
      </c>
      <c r="AS496" t="s">
        <v>897</v>
      </c>
      <c r="AT496" t="s">
        <v>58</v>
      </c>
    </row>
    <row r="497" ht="29" spans="1:46">
      <c r="A497" s="31" t="s">
        <v>73</v>
      </c>
      <c r="C497" t="s">
        <v>3828</v>
      </c>
      <c r="D497" s="5" t="s">
        <v>57</v>
      </c>
      <c r="E497">
        <v>2035</v>
      </c>
      <c r="F497" s="6" t="str">
        <f t="shared" si="65"/>
        <v>*0.95</v>
      </c>
      <c r="H497" t="s">
        <v>3828</v>
      </c>
      <c r="I497" s="5" t="s">
        <v>57</v>
      </c>
      <c r="J497">
        <v>2050</v>
      </c>
      <c r="K497" s="38" t="str">
        <f t="shared" si="66"/>
        <v>*0.93</v>
      </c>
      <c r="P497" s="32" t="s">
        <v>3828</v>
      </c>
      <c r="Q497" s="42" t="s">
        <v>57</v>
      </c>
      <c r="R497" s="32">
        <v>2035</v>
      </c>
      <c r="S497" s="43" t="str">
        <f t="shared" si="67"/>
        <v>*0.95</v>
      </c>
      <c r="U497" s="32" t="s">
        <v>3828</v>
      </c>
      <c r="V497" s="42" t="s">
        <v>57</v>
      </c>
      <c r="W497" s="32">
        <v>2050</v>
      </c>
      <c r="X497" s="43" t="str">
        <f t="shared" si="68"/>
        <v>*0.93</v>
      </c>
      <c r="AC497" s="33" t="s">
        <v>3828</v>
      </c>
      <c r="AD497" s="44" t="s">
        <v>57</v>
      </c>
      <c r="AE497" s="33">
        <v>2035</v>
      </c>
      <c r="AF497" s="45" t="str">
        <f t="shared" si="69"/>
        <v>*0.93</v>
      </c>
      <c r="AG497" s="43" t="str">
        <f t="shared" si="72"/>
        <v>REZoning_Sol-Win</v>
      </c>
      <c r="AI497" s="33" t="s">
        <v>3828</v>
      </c>
      <c r="AJ497" s="44" t="s">
        <v>57</v>
      </c>
      <c r="AK497" s="33">
        <v>2050</v>
      </c>
      <c r="AL497" s="45" t="str">
        <f t="shared" si="70"/>
        <v>*0.9</v>
      </c>
      <c r="AM497" s="43" t="str">
        <f t="shared" si="73"/>
        <v>REZoning_Sol-Win</v>
      </c>
      <c r="AP497" t="s">
        <v>3828</v>
      </c>
      <c r="AQ497" t="s">
        <v>57</v>
      </c>
      <c r="AR497">
        <f t="shared" si="71"/>
        <v>2100</v>
      </c>
      <c r="AS497" t="s">
        <v>897</v>
      </c>
      <c r="AT497" t="s">
        <v>58</v>
      </c>
    </row>
    <row r="498" ht="29" spans="1:46">
      <c r="A498" s="31" t="s">
        <v>73</v>
      </c>
      <c r="C498" t="s">
        <v>3829</v>
      </c>
      <c r="D498" s="5" t="s">
        <v>57</v>
      </c>
      <c r="E498">
        <v>2035</v>
      </c>
      <c r="F498" s="6" t="str">
        <f t="shared" si="65"/>
        <v>*0.95</v>
      </c>
      <c r="H498" t="s">
        <v>3829</v>
      </c>
      <c r="I498" s="5" t="s">
        <v>57</v>
      </c>
      <c r="J498">
        <v>2050</v>
      </c>
      <c r="K498" s="38" t="str">
        <f t="shared" si="66"/>
        <v>*0.93</v>
      </c>
      <c r="P498" s="32" t="s">
        <v>3829</v>
      </c>
      <c r="Q498" s="42" t="s">
        <v>57</v>
      </c>
      <c r="R498" s="32">
        <v>2035</v>
      </c>
      <c r="S498" s="43" t="str">
        <f t="shared" si="67"/>
        <v>*0.95</v>
      </c>
      <c r="U498" s="32" t="s">
        <v>3829</v>
      </c>
      <c r="V498" s="42" t="s">
        <v>57</v>
      </c>
      <c r="W498" s="32">
        <v>2050</v>
      </c>
      <c r="X498" s="43" t="str">
        <f t="shared" si="68"/>
        <v>*0.93</v>
      </c>
      <c r="AC498" s="33" t="s">
        <v>3829</v>
      </c>
      <c r="AD498" s="44" t="s">
        <v>57</v>
      </c>
      <c r="AE498" s="33">
        <v>2035</v>
      </c>
      <c r="AF498" s="45" t="str">
        <f t="shared" si="69"/>
        <v>*0.93</v>
      </c>
      <c r="AG498" s="43" t="str">
        <f t="shared" si="72"/>
        <v>REZoning_Sol-Win</v>
      </c>
      <c r="AI498" s="33" t="s">
        <v>3829</v>
      </c>
      <c r="AJ498" s="44" t="s">
        <v>57</v>
      </c>
      <c r="AK498" s="33">
        <v>2050</v>
      </c>
      <c r="AL498" s="45" t="str">
        <f t="shared" si="70"/>
        <v>*0.9</v>
      </c>
      <c r="AM498" s="43" t="str">
        <f t="shared" si="73"/>
        <v>REZoning_Sol-Win</v>
      </c>
      <c r="AP498" t="s">
        <v>3829</v>
      </c>
      <c r="AQ498" t="s">
        <v>57</v>
      </c>
      <c r="AR498">
        <f t="shared" si="71"/>
        <v>2100</v>
      </c>
      <c r="AS498" t="s">
        <v>897</v>
      </c>
      <c r="AT498" t="s">
        <v>58</v>
      </c>
    </row>
    <row r="499" ht="29" spans="1:46">
      <c r="A499" s="31" t="s">
        <v>73</v>
      </c>
      <c r="C499" t="s">
        <v>3830</v>
      </c>
      <c r="D499" s="5" t="s">
        <v>57</v>
      </c>
      <c r="E499">
        <v>2035</v>
      </c>
      <c r="F499" s="6" t="str">
        <f t="shared" si="65"/>
        <v>*0.95</v>
      </c>
      <c r="H499" t="s">
        <v>3830</v>
      </c>
      <c r="I499" s="5" t="s">
        <v>57</v>
      </c>
      <c r="J499">
        <v>2050</v>
      </c>
      <c r="K499" s="38" t="str">
        <f t="shared" si="66"/>
        <v>*0.93</v>
      </c>
      <c r="P499" s="32" t="s">
        <v>3830</v>
      </c>
      <c r="Q499" s="42" t="s">
        <v>57</v>
      </c>
      <c r="R499" s="32">
        <v>2035</v>
      </c>
      <c r="S499" s="43" t="str">
        <f t="shared" si="67"/>
        <v>*0.95</v>
      </c>
      <c r="U499" s="32" t="s">
        <v>3830</v>
      </c>
      <c r="V499" s="42" t="s">
        <v>57</v>
      </c>
      <c r="W499" s="32">
        <v>2050</v>
      </c>
      <c r="X499" s="43" t="str">
        <f t="shared" si="68"/>
        <v>*0.93</v>
      </c>
      <c r="AC499" s="33" t="s">
        <v>3830</v>
      </c>
      <c r="AD499" s="44" t="s">
        <v>57</v>
      </c>
      <c r="AE499" s="33">
        <v>2035</v>
      </c>
      <c r="AF499" s="45" t="str">
        <f t="shared" si="69"/>
        <v>*0.93</v>
      </c>
      <c r="AG499" s="43" t="str">
        <f t="shared" si="72"/>
        <v>REZoning_Sol-Win</v>
      </c>
      <c r="AI499" s="33" t="s">
        <v>3830</v>
      </c>
      <c r="AJ499" s="44" t="s">
        <v>57</v>
      </c>
      <c r="AK499" s="33">
        <v>2050</v>
      </c>
      <c r="AL499" s="45" t="str">
        <f t="shared" si="70"/>
        <v>*0.9</v>
      </c>
      <c r="AM499" s="43" t="str">
        <f t="shared" si="73"/>
        <v>REZoning_Sol-Win</v>
      </c>
      <c r="AP499" t="s">
        <v>3830</v>
      </c>
      <c r="AQ499" t="s">
        <v>57</v>
      </c>
      <c r="AR499">
        <f t="shared" si="71"/>
        <v>2100</v>
      </c>
      <c r="AS499" t="s">
        <v>897</v>
      </c>
      <c r="AT499" t="s">
        <v>58</v>
      </c>
    </row>
    <row r="500" ht="29" spans="1:46">
      <c r="A500" s="31" t="s">
        <v>73</v>
      </c>
      <c r="C500" t="s">
        <v>3831</v>
      </c>
      <c r="D500" s="5" t="s">
        <v>57</v>
      </c>
      <c r="E500">
        <v>2035</v>
      </c>
      <c r="F500" s="6" t="str">
        <f t="shared" si="65"/>
        <v>*0.95</v>
      </c>
      <c r="H500" t="s">
        <v>3831</v>
      </c>
      <c r="I500" s="5" t="s">
        <v>57</v>
      </c>
      <c r="J500">
        <v>2050</v>
      </c>
      <c r="K500" s="38" t="str">
        <f t="shared" si="66"/>
        <v>*0.93</v>
      </c>
      <c r="P500" s="32" t="s">
        <v>3831</v>
      </c>
      <c r="Q500" s="42" t="s">
        <v>57</v>
      </c>
      <c r="R500" s="32">
        <v>2035</v>
      </c>
      <c r="S500" s="43" t="str">
        <f t="shared" si="67"/>
        <v>*0.95</v>
      </c>
      <c r="U500" s="32" t="s">
        <v>3831</v>
      </c>
      <c r="V500" s="42" t="s">
        <v>57</v>
      </c>
      <c r="W500" s="32">
        <v>2050</v>
      </c>
      <c r="X500" s="43" t="str">
        <f t="shared" si="68"/>
        <v>*0.93</v>
      </c>
      <c r="AC500" s="33" t="s">
        <v>3831</v>
      </c>
      <c r="AD500" s="44" t="s">
        <v>57</v>
      </c>
      <c r="AE500" s="33">
        <v>2035</v>
      </c>
      <c r="AF500" s="45" t="str">
        <f t="shared" si="69"/>
        <v>*0.93</v>
      </c>
      <c r="AG500" s="43" t="str">
        <f t="shared" si="72"/>
        <v>REZoning_Sol-Win</v>
      </c>
      <c r="AI500" s="33" t="s">
        <v>3831</v>
      </c>
      <c r="AJ500" s="44" t="s">
        <v>57</v>
      </c>
      <c r="AK500" s="33">
        <v>2050</v>
      </c>
      <c r="AL500" s="45" t="str">
        <f t="shared" si="70"/>
        <v>*0.9</v>
      </c>
      <c r="AM500" s="43" t="str">
        <f t="shared" si="73"/>
        <v>REZoning_Sol-Win</v>
      </c>
      <c r="AP500" t="s">
        <v>3831</v>
      </c>
      <c r="AQ500" t="s">
        <v>57</v>
      </c>
      <c r="AR500">
        <f t="shared" si="71"/>
        <v>2100</v>
      </c>
      <c r="AS500" t="s">
        <v>897</v>
      </c>
      <c r="AT500" t="s">
        <v>58</v>
      </c>
    </row>
    <row r="501" ht="29" spans="1:46">
      <c r="A501" s="31" t="s">
        <v>73</v>
      </c>
      <c r="C501" t="s">
        <v>3832</v>
      </c>
      <c r="D501" s="5" t="s">
        <v>57</v>
      </c>
      <c r="E501">
        <v>2035</v>
      </c>
      <c r="F501" s="6" t="str">
        <f t="shared" si="65"/>
        <v>*0.95</v>
      </c>
      <c r="H501" t="s">
        <v>3832</v>
      </c>
      <c r="I501" s="5" t="s">
        <v>57</v>
      </c>
      <c r="J501">
        <v>2050</v>
      </c>
      <c r="K501" s="38" t="str">
        <f t="shared" si="66"/>
        <v>*0.93</v>
      </c>
      <c r="P501" s="32" t="s">
        <v>3832</v>
      </c>
      <c r="Q501" s="42" t="s">
        <v>57</v>
      </c>
      <c r="R501" s="32">
        <v>2035</v>
      </c>
      <c r="S501" s="43" t="str">
        <f t="shared" si="67"/>
        <v>*0.95</v>
      </c>
      <c r="U501" s="32" t="s">
        <v>3832</v>
      </c>
      <c r="V501" s="42" t="s">
        <v>57</v>
      </c>
      <c r="W501" s="32">
        <v>2050</v>
      </c>
      <c r="X501" s="43" t="str">
        <f t="shared" si="68"/>
        <v>*0.93</v>
      </c>
      <c r="AC501" s="33" t="s">
        <v>3832</v>
      </c>
      <c r="AD501" s="44" t="s">
        <v>57</v>
      </c>
      <c r="AE501" s="33">
        <v>2035</v>
      </c>
      <c r="AF501" s="45" t="str">
        <f t="shared" si="69"/>
        <v>*0.93</v>
      </c>
      <c r="AG501" s="43" t="str">
        <f t="shared" si="72"/>
        <v>REZoning_Sol-Win</v>
      </c>
      <c r="AI501" s="33" t="s">
        <v>3832</v>
      </c>
      <c r="AJ501" s="44" t="s">
        <v>57</v>
      </c>
      <c r="AK501" s="33">
        <v>2050</v>
      </c>
      <c r="AL501" s="45" t="str">
        <f t="shared" si="70"/>
        <v>*0.9</v>
      </c>
      <c r="AM501" s="43" t="str">
        <f t="shared" si="73"/>
        <v>REZoning_Sol-Win</v>
      </c>
      <c r="AP501" t="s">
        <v>3832</v>
      </c>
      <c r="AQ501" t="s">
        <v>57</v>
      </c>
      <c r="AR501">
        <f t="shared" si="71"/>
        <v>2100</v>
      </c>
      <c r="AS501" t="s">
        <v>897</v>
      </c>
      <c r="AT501" t="s">
        <v>58</v>
      </c>
    </row>
    <row r="502" ht="29" spans="1:46">
      <c r="A502" s="31" t="s">
        <v>73</v>
      </c>
      <c r="C502" t="s">
        <v>3833</v>
      </c>
      <c r="D502" s="5" t="s">
        <v>57</v>
      </c>
      <c r="E502">
        <v>2035</v>
      </c>
      <c r="F502" s="6" t="str">
        <f t="shared" si="65"/>
        <v>*0.95</v>
      </c>
      <c r="H502" t="s">
        <v>3833</v>
      </c>
      <c r="I502" s="5" t="s">
        <v>57</v>
      </c>
      <c r="J502">
        <v>2050</v>
      </c>
      <c r="K502" s="38" t="str">
        <f t="shared" si="66"/>
        <v>*0.93</v>
      </c>
      <c r="P502" s="32" t="s">
        <v>3833</v>
      </c>
      <c r="Q502" s="42" t="s">
        <v>57</v>
      </c>
      <c r="R502" s="32">
        <v>2035</v>
      </c>
      <c r="S502" s="43" t="str">
        <f t="shared" si="67"/>
        <v>*0.95</v>
      </c>
      <c r="U502" s="32" t="s">
        <v>3833</v>
      </c>
      <c r="V502" s="42" t="s">
        <v>57</v>
      </c>
      <c r="W502" s="32">
        <v>2050</v>
      </c>
      <c r="X502" s="43" t="str">
        <f t="shared" si="68"/>
        <v>*0.93</v>
      </c>
      <c r="AC502" s="33" t="s">
        <v>3833</v>
      </c>
      <c r="AD502" s="44" t="s">
        <v>57</v>
      </c>
      <c r="AE502" s="33">
        <v>2035</v>
      </c>
      <c r="AF502" s="45" t="str">
        <f t="shared" si="69"/>
        <v>*0.93</v>
      </c>
      <c r="AG502" s="43" t="str">
        <f t="shared" si="72"/>
        <v>REZoning_Sol-Win</v>
      </c>
      <c r="AI502" s="33" t="s">
        <v>3833</v>
      </c>
      <c r="AJ502" s="44" t="s">
        <v>57</v>
      </c>
      <c r="AK502" s="33">
        <v>2050</v>
      </c>
      <c r="AL502" s="45" t="str">
        <f t="shared" si="70"/>
        <v>*0.9</v>
      </c>
      <c r="AM502" s="43" t="str">
        <f t="shared" si="73"/>
        <v>REZoning_Sol-Win</v>
      </c>
      <c r="AP502" t="s">
        <v>3833</v>
      </c>
      <c r="AQ502" t="s">
        <v>57</v>
      </c>
      <c r="AR502">
        <f t="shared" si="71"/>
        <v>2100</v>
      </c>
      <c r="AS502" t="s">
        <v>897</v>
      </c>
      <c r="AT502" t="s">
        <v>58</v>
      </c>
    </row>
    <row r="503" ht="29" spans="1:46">
      <c r="A503" s="31" t="s">
        <v>73</v>
      </c>
      <c r="C503" t="s">
        <v>3834</v>
      </c>
      <c r="D503" s="5" t="s">
        <v>57</v>
      </c>
      <c r="E503">
        <v>2035</v>
      </c>
      <c r="F503" s="6" t="str">
        <f t="shared" si="65"/>
        <v>*0.95</v>
      </c>
      <c r="H503" t="s">
        <v>3834</v>
      </c>
      <c r="I503" s="5" t="s">
        <v>57</v>
      </c>
      <c r="J503">
        <v>2050</v>
      </c>
      <c r="K503" s="38" t="str">
        <f t="shared" si="66"/>
        <v>*0.93</v>
      </c>
      <c r="P503" s="32" t="s">
        <v>3834</v>
      </c>
      <c r="Q503" s="42" t="s">
        <v>57</v>
      </c>
      <c r="R503" s="32">
        <v>2035</v>
      </c>
      <c r="S503" s="43" t="str">
        <f t="shared" si="67"/>
        <v>*0.95</v>
      </c>
      <c r="U503" s="32" t="s">
        <v>3834</v>
      </c>
      <c r="V503" s="42" t="s">
        <v>57</v>
      </c>
      <c r="W503" s="32">
        <v>2050</v>
      </c>
      <c r="X503" s="43" t="str">
        <f t="shared" si="68"/>
        <v>*0.93</v>
      </c>
      <c r="AC503" s="33" t="s">
        <v>3834</v>
      </c>
      <c r="AD503" s="44" t="s">
        <v>57</v>
      </c>
      <c r="AE503" s="33">
        <v>2035</v>
      </c>
      <c r="AF503" s="45" t="str">
        <f t="shared" si="69"/>
        <v>*0.93</v>
      </c>
      <c r="AG503" s="43" t="str">
        <f t="shared" si="72"/>
        <v>REZoning_Sol-Win</v>
      </c>
      <c r="AI503" s="33" t="s">
        <v>3834</v>
      </c>
      <c r="AJ503" s="44" t="s">
        <v>57</v>
      </c>
      <c r="AK503" s="33">
        <v>2050</v>
      </c>
      <c r="AL503" s="45" t="str">
        <f t="shared" si="70"/>
        <v>*0.9</v>
      </c>
      <c r="AM503" s="43" t="str">
        <f t="shared" si="73"/>
        <v>REZoning_Sol-Win</v>
      </c>
      <c r="AP503" t="s">
        <v>3834</v>
      </c>
      <c r="AQ503" t="s">
        <v>57</v>
      </c>
      <c r="AR503">
        <f t="shared" si="71"/>
        <v>2100</v>
      </c>
      <c r="AS503" t="s">
        <v>897</v>
      </c>
      <c r="AT503" t="s">
        <v>58</v>
      </c>
    </row>
    <row r="504" ht="29" spans="1:46">
      <c r="A504" s="31" t="s">
        <v>73</v>
      </c>
      <c r="C504" t="s">
        <v>3835</v>
      </c>
      <c r="D504" s="5" t="s">
        <v>57</v>
      </c>
      <c r="E504">
        <v>2035</v>
      </c>
      <c r="F504" s="6" t="str">
        <f t="shared" si="65"/>
        <v>*0.95</v>
      </c>
      <c r="H504" t="s">
        <v>3835</v>
      </c>
      <c r="I504" s="5" t="s">
        <v>57</v>
      </c>
      <c r="J504">
        <v>2050</v>
      </c>
      <c r="K504" s="38" t="str">
        <f t="shared" si="66"/>
        <v>*0.93</v>
      </c>
      <c r="P504" s="32" t="s">
        <v>3835</v>
      </c>
      <c r="Q504" s="42" t="s">
        <v>57</v>
      </c>
      <c r="R504" s="32">
        <v>2035</v>
      </c>
      <c r="S504" s="43" t="str">
        <f t="shared" si="67"/>
        <v>*0.95</v>
      </c>
      <c r="U504" s="32" t="s">
        <v>3835</v>
      </c>
      <c r="V504" s="42" t="s">
        <v>57</v>
      </c>
      <c r="W504" s="32">
        <v>2050</v>
      </c>
      <c r="X504" s="43" t="str">
        <f t="shared" si="68"/>
        <v>*0.93</v>
      </c>
      <c r="AC504" s="33" t="s">
        <v>3835</v>
      </c>
      <c r="AD504" s="44" t="s">
        <v>57</v>
      </c>
      <c r="AE504" s="33">
        <v>2035</v>
      </c>
      <c r="AF504" s="45" t="str">
        <f t="shared" si="69"/>
        <v>*0.93</v>
      </c>
      <c r="AG504" s="43" t="str">
        <f t="shared" si="72"/>
        <v>REZoning_Sol-Win</v>
      </c>
      <c r="AI504" s="33" t="s">
        <v>3835</v>
      </c>
      <c r="AJ504" s="44" t="s">
        <v>57</v>
      </c>
      <c r="AK504" s="33">
        <v>2050</v>
      </c>
      <c r="AL504" s="45" t="str">
        <f t="shared" si="70"/>
        <v>*0.9</v>
      </c>
      <c r="AM504" s="43" t="str">
        <f t="shared" si="73"/>
        <v>REZoning_Sol-Win</v>
      </c>
      <c r="AP504" t="s">
        <v>3835</v>
      </c>
      <c r="AQ504" t="s">
        <v>57</v>
      </c>
      <c r="AR504">
        <f t="shared" si="71"/>
        <v>2100</v>
      </c>
      <c r="AS504" t="s">
        <v>897</v>
      </c>
      <c r="AT504" t="s">
        <v>58</v>
      </c>
    </row>
    <row r="505" ht="29" spans="1:46">
      <c r="A505" s="31" t="s">
        <v>73</v>
      </c>
      <c r="C505" t="s">
        <v>3836</v>
      </c>
      <c r="D505" s="5" t="s">
        <v>57</v>
      </c>
      <c r="E505">
        <v>2035</v>
      </c>
      <c r="F505" s="6" t="str">
        <f t="shared" si="65"/>
        <v>*0.95</v>
      </c>
      <c r="H505" t="s">
        <v>3836</v>
      </c>
      <c r="I505" s="5" t="s">
        <v>57</v>
      </c>
      <c r="J505">
        <v>2050</v>
      </c>
      <c r="K505" s="38" t="str">
        <f t="shared" si="66"/>
        <v>*0.93</v>
      </c>
      <c r="P505" s="32" t="s">
        <v>3836</v>
      </c>
      <c r="Q505" s="42" t="s">
        <v>57</v>
      </c>
      <c r="R505" s="32">
        <v>2035</v>
      </c>
      <c r="S505" s="43" t="str">
        <f t="shared" si="67"/>
        <v>*0.95</v>
      </c>
      <c r="U505" s="32" t="s">
        <v>3836</v>
      </c>
      <c r="V505" s="42" t="s">
        <v>57</v>
      </c>
      <c r="W505" s="32">
        <v>2050</v>
      </c>
      <c r="X505" s="43" t="str">
        <f t="shared" si="68"/>
        <v>*0.93</v>
      </c>
      <c r="AC505" s="33" t="s">
        <v>3836</v>
      </c>
      <c r="AD505" s="44" t="s">
        <v>57</v>
      </c>
      <c r="AE505" s="33">
        <v>2035</v>
      </c>
      <c r="AF505" s="45" t="str">
        <f t="shared" si="69"/>
        <v>*0.93</v>
      </c>
      <c r="AG505" s="43" t="str">
        <f t="shared" si="72"/>
        <v>REZoning_Sol-Win</v>
      </c>
      <c r="AI505" s="33" t="s">
        <v>3836</v>
      </c>
      <c r="AJ505" s="44" t="s">
        <v>57</v>
      </c>
      <c r="AK505" s="33">
        <v>2050</v>
      </c>
      <c r="AL505" s="45" t="str">
        <f t="shared" si="70"/>
        <v>*0.9</v>
      </c>
      <c r="AM505" s="43" t="str">
        <f t="shared" si="73"/>
        <v>REZoning_Sol-Win</v>
      </c>
      <c r="AP505" t="s">
        <v>3836</v>
      </c>
      <c r="AQ505" t="s">
        <v>57</v>
      </c>
      <c r="AR505">
        <f t="shared" si="71"/>
        <v>2100</v>
      </c>
      <c r="AS505" t="s">
        <v>897</v>
      </c>
      <c r="AT505" t="s">
        <v>58</v>
      </c>
    </row>
    <row r="506" ht="29" spans="1:46">
      <c r="A506" s="31" t="s">
        <v>73</v>
      </c>
      <c r="C506" t="s">
        <v>3837</v>
      </c>
      <c r="D506" s="5" t="s">
        <v>57</v>
      </c>
      <c r="E506">
        <v>2035</v>
      </c>
      <c r="F506" s="6" t="str">
        <f t="shared" si="65"/>
        <v>*0.95</v>
      </c>
      <c r="H506" t="s">
        <v>3837</v>
      </c>
      <c r="I506" s="5" t="s">
        <v>57</v>
      </c>
      <c r="J506">
        <v>2050</v>
      </c>
      <c r="K506" s="38" t="str">
        <f t="shared" si="66"/>
        <v>*0.93</v>
      </c>
      <c r="P506" s="32" t="s">
        <v>3837</v>
      </c>
      <c r="Q506" s="42" t="s">
        <v>57</v>
      </c>
      <c r="R506" s="32">
        <v>2035</v>
      </c>
      <c r="S506" s="43" t="str">
        <f t="shared" si="67"/>
        <v>*0.95</v>
      </c>
      <c r="U506" s="32" t="s">
        <v>3837</v>
      </c>
      <c r="V506" s="42" t="s">
        <v>57</v>
      </c>
      <c r="W506" s="32">
        <v>2050</v>
      </c>
      <c r="X506" s="43" t="str">
        <f t="shared" si="68"/>
        <v>*0.93</v>
      </c>
      <c r="AC506" s="33" t="s">
        <v>3837</v>
      </c>
      <c r="AD506" s="44" t="s">
        <v>57</v>
      </c>
      <c r="AE506" s="33">
        <v>2035</v>
      </c>
      <c r="AF506" s="45" t="str">
        <f t="shared" si="69"/>
        <v>*0.93</v>
      </c>
      <c r="AG506" s="43" t="str">
        <f t="shared" si="72"/>
        <v>REZoning_Sol-Win</v>
      </c>
      <c r="AI506" s="33" t="s">
        <v>3837</v>
      </c>
      <c r="AJ506" s="44" t="s">
        <v>57</v>
      </c>
      <c r="AK506" s="33">
        <v>2050</v>
      </c>
      <c r="AL506" s="45" t="str">
        <f t="shared" si="70"/>
        <v>*0.9</v>
      </c>
      <c r="AM506" s="43" t="str">
        <f t="shared" si="73"/>
        <v>REZoning_Sol-Win</v>
      </c>
      <c r="AP506" t="s">
        <v>3837</v>
      </c>
      <c r="AQ506" t="s">
        <v>57</v>
      </c>
      <c r="AR506">
        <f t="shared" si="71"/>
        <v>2100</v>
      </c>
      <c r="AS506" t="s">
        <v>897</v>
      </c>
      <c r="AT506" t="s">
        <v>58</v>
      </c>
    </row>
    <row r="507" ht="29" spans="1:46">
      <c r="A507" s="31" t="s">
        <v>73</v>
      </c>
      <c r="C507" t="s">
        <v>3838</v>
      </c>
      <c r="D507" s="5" t="s">
        <v>57</v>
      </c>
      <c r="E507">
        <v>2035</v>
      </c>
      <c r="F507" s="6" t="str">
        <f t="shared" si="65"/>
        <v>*0.95</v>
      </c>
      <c r="H507" t="s">
        <v>3838</v>
      </c>
      <c r="I507" s="5" t="s">
        <v>57</v>
      </c>
      <c r="J507">
        <v>2050</v>
      </c>
      <c r="K507" s="38" t="str">
        <f t="shared" si="66"/>
        <v>*0.93</v>
      </c>
      <c r="P507" s="32" t="s">
        <v>3838</v>
      </c>
      <c r="Q507" s="42" t="s">
        <v>57</v>
      </c>
      <c r="R507" s="32">
        <v>2035</v>
      </c>
      <c r="S507" s="43" t="str">
        <f t="shared" si="67"/>
        <v>*0.95</v>
      </c>
      <c r="U507" s="32" t="s">
        <v>3838</v>
      </c>
      <c r="V507" s="42" t="s">
        <v>57</v>
      </c>
      <c r="W507" s="32">
        <v>2050</v>
      </c>
      <c r="X507" s="43" t="str">
        <f t="shared" si="68"/>
        <v>*0.93</v>
      </c>
      <c r="AC507" s="33" t="s">
        <v>3838</v>
      </c>
      <c r="AD507" s="44" t="s">
        <v>57</v>
      </c>
      <c r="AE507" s="33">
        <v>2035</v>
      </c>
      <c r="AF507" s="45" t="str">
        <f t="shared" si="69"/>
        <v>*0.93</v>
      </c>
      <c r="AG507" s="43" t="str">
        <f t="shared" si="72"/>
        <v>REZoning_Sol-Win</v>
      </c>
      <c r="AI507" s="33" t="s">
        <v>3838</v>
      </c>
      <c r="AJ507" s="44" t="s">
        <v>57</v>
      </c>
      <c r="AK507" s="33">
        <v>2050</v>
      </c>
      <c r="AL507" s="45" t="str">
        <f t="shared" si="70"/>
        <v>*0.9</v>
      </c>
      <c r="AM507" s="43" t="str">
        <f t="shared" si="73"/>
        <v>REZoning_Sol-Win</v>
      </c>
      <c r="AP507" t="s">
        <v>3838</v>
      </c>
      <c r="AQ507" t="s">
        <v>57</v>
      </c>
      <c r="AR507">
        <f t="shared" si="71"/>
        <v>2100</v>
      </c>
      <c r="AS507" t="s">
        <v>897</v>
      </c>
      <c r="AT507" t="s">
        <v>58</v>
      </c>
    </row>
    <row r="508" ht="29" spans="1:46">
      <c r="A508" s="31" t="s">
        <v>73</v>
      </c>
      <c r="C508" t="s">
        <v>3839</v>
      </c>
      <c r="D508" s="5" t="s">
        <v>57</v>
      </c>
      <c r="E508">
        <v>2035</v>
      </c>
      <c r="F508" s="6" t="str">
        <f t="shared" si="65"/>
        <v>*0.95</v>
      </c>
      <c r="H508" t="s">
        <v>3839</v>
      </c>
      <c r="I508" s="5" t="s">
        <v>57</v>
      </c>
      <c r="J508">
        <v>2050</v>
      </c>
      <c r="K508" s="38" t="str">
        <f t="shared" si="66"/>
        <v>*0.93</v>
      </c>
      <c r="P508" s="32" t="s">
        <v>3839</v>
      </c>
      <c r="Q508" s="42" t="s">
        <v>57</v>
      </c>
      <c r="R508" s="32">
        <v>2035</v>
      </c>
      <c r="S508" s="43" t="str">
        <f t="shared" si="67"/>
        <v>*0.95</v>
      </c>
      <c r="U508" s="32" t="s">
        <v>3839</v>
      </c>
      <c r="V508" s="42" t="s">
        <v>57</v>
      </c>
      <c r="W508" s="32">
        <v>2050</v>
      </c>
      <c r="X508" s="43" t="str">
        <f t="shared" si="68"/>
        <v>*0.93</v>
      </c>
      <c r="AC508" s="33" t="s">
        <v>3839</v>
      </c>
      <c r="AD508" s="44" t="s">
        <v>57</v>
      </c>
      <c r="AE508" s="33">
        <v>2035</v>
      </c>
      <c r="AF508" s="45" t="str">
        <f t="shared" si="69"/>
        <v>*0.93</v>
      </c>
      <c r="AG508" s="43" t="str">
        <f t="shared" si="72"/>
        <v>REZoning_Sol-Win</v>
      </c>
      <c r="AI508" s="33" t="s">
        <v>3839</v>
      </c>
      <c r="AJ508" s="44" t="s">
        <v>57</v>
      </c>
      <c r="AK508" s="33">
        <v>2050</v>
      </c>
      <c r="AL508" s="45" t="str">
        <f t="shared" si="70"/>
        <v>*0.9</v>
      </c>
      <c r="AM508" s="43" t="str">
        <f t="shared" si="73"/>
        <v>REZoning_Sol-Win</v>
      </c>
      <c r="AP508" t="s">
        <v>3839</v>
      </c>
      <c r="AQ508" t="s">
        <v>57</v>
      </c>
      <c r="AR508">
        <f t="shared" si="71"/>
        <v>2100</v>
      </c>
      <c r="AS508" t="s">
        <v>897</v>
      </c>
      <c r="AT508" t="s">
        <v>58</v>
      </c>
    </row>
    <row r="509" ht="29" spans="1:46">
      <c r="A509" s="31" t="s">
        <v>73</v>
      </c>
      <c r="C509" t="s">
        <v>3840</v>
      </c>
      <c r="D509" s="5" t="s">
        <v>57</v>
      </c>
      <c r="E509">
        <v>2035</v>
      </c>
      <c r="F509" s="6" t="str">
        <f t="shared" si="65"/>
        <v>*0.95</v>
      </c>
      <c r="H509" t="s">
        <v>3840</v>
      </c>
      <c r="I509" s="5" t="s">
        <v>57</v>
      </c>
      <c r="J509">
        <v>2050</v>
      </c>
      <c r="K509" s="38" t="str">
        <f t="shared" si="66"/>
        <v>*0.93</v>
      </c>
      <c r="P509" s="32" t="s">
        <v>3840</v>
      </c>
      <c r="Q509" s="42" t="s">
        <v>57</v>
      </c>
      <c r="R509" s="32">
        <v>2035</v>
      </c>
      <c r="S509" s="43" t="str">
        <f t="shared" si="67"/>
        <v>*0.95</v>
      </c>
      <c r="U509" s="32" t="s">
        <v>3840</v>
      </c>
      <c r="V509" s="42" t="s">
        <v>57</v>
      </c>
      <c r="W509" s="32">
        <v>2050</v>
      </c>
      <c r="X509" s="43" t="str">
        <f t="shared" si="68"/>
        <v>*0.93</v>
      </c>
      <c r="AC509" s="33" t="s">
        <v>3840</v>
      </c>
      <c r="AD509" s="44" t="s">
        <v>57</v>
      </c>
      <c r="AE509" s="33">
        <v>2035</v>
      </c>
      <c r="AF509" s="45" t="str">
        <f t="shared" si="69"/>
        <v>*0.93</v>
      </c>
      <c r="AG509" s="43" t="str">
        <f t="shared" si="72"/>
        <v>REZoning_Sol-Win</v>
      </c>
      <c r="AI509" s="33" t="s">
        <v>3840</v>
      </c>
      <c r="AJ509" s="44" t="s">
        <v>57</v>
      </c>
      <c r="AK509" s="33">
        <v>2050</v>
      </c>
      <c r="AL509" s="45" t="str">
        <f t="shared" si="70"/>
        <v>*0.9</v>
      </c>
      <c r="AM509" s="43" t="str">
        <f t="shared" si="73"/>
        <v>REZoning_Sol-Win</v>
      </c>
      <c r="AP509" t="s">
        <v>3840</v>
      </c>
      <c r="AQ509" t="s">
        <v>57</v>
      </c>
      <c r="AR509">
        <f t="shared" si="71"/>
        <v>2100</v>
      </c>
      <c r="AS509" t="s">
        <v>897</v>
      </c>
      <c r="AT509" t="s">
        <v>58</v>
      </c>
    </row>
    <row r="510" ht="29" spans="1:46">
      <c r="A510" s="31" t="s">
        <v>73</v>
      </c>
      <c r="C510" t="s">
        <v>3841</v>
      </c>
      <c r="D510" s="5" t="s">
        <v>57</v>
      </c>
      <c r="E510">
        <v>2035</v>
      </c>
      <c r="F510" s="6" t="str">
        <f t="shared" si="65"/>
        <v>*0.95</v>
      </c>
      <c r="H510" t="s">
        <v>3841</v>
      </c>
      <c r="I510" s="5" t="s">
        <v>57</v>
      </c>
      <c r="J510">
        <v>2050</v>
      </c>
      <c r="K510" s="38" t="str">
        <f t="shared" si="66"/>
        <v>*0.93</v>
      </c>
      <c r="P510" s="32" t="s">
        <v>3841</v>
      </c>
      <c r="Q510" s="42" t="s">
        <v>57</v>
      </c>
      <c r="R510" s="32">
        <v>2035</v>
      </c>
      <c r="S510" s="43" t="str">
        <f t="shared" si="67"/>
        <v>*0.95</v>
      </c>
      <c r="U510" s="32" t="s">
        <v>3841</v>
      </c>
      <c r="V510" s="42" t="s">
        <v>57</v>
      </c>
      <c r="W510" s="32">
        <v>2050</v>
      </c>
      <c r="X510" s="43" t="str">
        <f t="shared" si="68"/>
        <v>*0.93</v>
      </c>
      <c r="AC510" s="33" t="s">
        <v>3841</v>
      </c>
      <c r="AD510" s="44" t="s">
        <v>57</v>
      </c>
      <c r="AE510" s="33">
        <v>2035</v>
      </c>
      <c r="AF510" s="45" t="str">
        <f t="shared" si="69"/>
        <v>*0.93</v>
      </c>
      <c r="AG510" s="43" t="str">
        <f t="shared" si="72"/>
        <v>REZoning_Sol-Win</v>
      </c>
      <c r="AI510" s="33" t="s">
        <v>3841</v>
      </c>
      <c r="AJ510" s="44" t="s">
        <v>57</v>
      </c>
      <c r="AK510" s="33">
        <v>2050</v>
      </c>
      <c r="AL510" s="45" t="str">
        <f t="shared" si="70"/>
        <v>*0.9</v>
      </c>
      <c r="AM510" s="43" t="str">
        <f t="shared" si="73"/>
        <v>REZoning_Sol-Win</v>
      </c>
      <c r="AP510" t="s">
        <v>3841</v>
      </c>
      <c r="AQ510" t="s">
        <v>57</v>
      </c>
      <c r="AR510">
        <f t="shared" si="71"/>
        <v>2100</v>
      </c>
      <c r="AS510" t="s">
        <v>897</v>
      </c>
      <c r="AT510" t="s">
        <v>58</v>
      </c>
    </row>
    <row r="511" ht="29" spans="1:46">
      <c r="A511" s="31" t="s">
        <v>73</v>
      </c>
      <c r="C511" t="s">
        <v>3842</v>
      </c>
      <c r="D511" s="5" t="s">
        <v>57</v>
      </c>
      <c r="E511">
        <v>2035</v>
      </c>
      <c r="F511" s="6" t="str">
        <f t="shared" si="65"/>
        <v>*0.95</v>
      </c>
      <c r="H511" t="s">
        <v>3842</v>
      </c>
      <c r="I511" s="5" t="s">
        <v>57</v>
      </c>
      <c r="J511">
        <v>2050</v>
      </c>
      <c r="K511" s="38" t="str">
        <f t="shared" si="66"/>
        <v>*0.93</v>
      </c>
      <c r="P511" s="32" t="s">
        <v>3842</v>
      </c>
      <c r="Q511" s="42" t="s">
        <v>57</v>
      </c>
      <c r="R511" s="32">
        <v>2035</v>
      </c>
      <c r="S511" s="43" t="str">
        <f t="shared" si="67"/>
        <v>*0.95</v>
      </c>
      <c r="U511" s="32" t="s">
        <v>3842</v>
      </c>
      <c r="V511" s="42" t="s">
        <v>57</v>
      </c>
      <c r="W511" s="32">
        <v>2050</v>
      </c>
      <c r="X511" s="43" t="str">
        <f t="shared" si="68"/>
        <v>*0.93</v>
      </c>
      <c r="AC511" s="33" t="s">
        <v>3842</v>
      </c>
      <c r="AD511" s="44" t="s">
        <v>57</v>
      </c>
      <c r="AE511" s="33">
        <v>2035</v>
      </c>
      <c r="AF511" s="45" t="str">
        <f t="shared" si="69"/>
        <v>*0.93</v>
      </c>
      <c r="AG511" s="43" t="str">
        <f t="shared" si="72"/>
        <v>REZoning_Sol-Win</v>
      </c>
      <c r="AI511" s="33" t="s">
        <v>3842</v>
      </c>
      <c r="AJ511" s="44" t="s">
        <v>57</v>
      </c>
      <c r="AK511" s="33">
        <v>2050</v>
      </c>
      <c r="AL511" s="45" t="str">
        <f t="shared" si="70"/>
        <v>*0.9</v>
      </c>
      <c r="AM511" s="43" t="str">
        <f t="shared" si="73"/>
        <v>REZoning_Sol-Win</v>
      </c>
      <c r="AP511" t="s">
        <v>3842</v>
      </c>
      <c r="AQ511" t="s">
        <v>57</v>
      </c>
      <c r="AR511">
        <f t="shared" si="71"/>
        <v>2100</v>
      </c>
      <c r="AS511" t="s">
        <v>897</v>
      </c>
      <c r="AT511" t="s">
        <v>58</v>
      </c>
    </row>
    <row r="512" ht="29" spans="1:46">
      <c r="A512" s="31" t="s">
        <v>73</v>
      </c>
      <c r="C512" t="s">
        <v>3843</v>
      </c>
      <c r="D512" s="5" t="s">
        <v>57</v>
      </c>
      <c r="E512">
        <v>2035</v>
      </c>
      <c r="F512" s="6" t="str">
        <f t="shared" si="65"/>
        <v>*0.95</v>
      </c>
      <c r="H512" t="s">
        <v>3843</v>
      </c>
      <c r="I512" s="5" t="s">
        <v>57</v>
      </c>
      <c r="J512">
        <v>2050</v>
      </c>
      <c r="K512" s="38" t="str">
        <f t="shared" si="66"/>
        <v>*0.93</v>
      </c>
      <c r="P512" s="32" t="s">
        <v>3843</v>
      </c>
      <c r="Q512" s="42" t="s">
        <v>57</v>
      </c>
      <c r="R512" s="32">
        <v>2035</v>
      </c>
      <c r="S512" s="43" t="str">
        <f t="shared" si="67"/>
        <v>*0.95</v>
      </c>
      <c r="U512" s="32" t="s">
        <v>3843</v>
      </c>
      <c r="V512" s="42" t="s">
        <v>57</v>
      </c>
      <c r="W512" s="32">
        <v>2050</v>
      </c>
      <c r="X512" s="43" t="str">
        <f t="shared" si="68"/>
        <v>*0.93</v>
      </c>
      <c r="AC512" s="33" t="s">
        <v>3843</v>
      </c>
      <c r="AD512" s="44" t="s">
        <v>57</v>
      </c>
      <c r="AE512" s="33">
        <v>2035</v>
      </c>
      <c r="AF512" s="45" t="str">
        <f t="shared" si="69"/>
        <v>*0.93</v>
      </c>
      <c r="AG512" s="43" t="str">
        <f t="shared" si="72"/>
        <v>REZoning_Sol-Win</v>
      </c>
      <c r="AI512" s="33" t="s">
        <v>3843</v>
      </c>
      <c r="AJ512" s="44" t="s">
        <v>57</v>
      </c>
      <c r="AK512" s="33">
        <v>2050</v>
      </c>
      <c r="AL512" s="45" t="str">
        <f t="shared" si="70"/>
        <v>*0.9</v>
      </c>
      <c r="AM512" s="43" t="str">
        <f t="shared" si="73"/>
        <v>REZoning_Sol-Win</v>
      </c>
      <c r="AP512" t="s">
        <v>3843</v>
      </c>
      <c r="AQ512" t="s">
        <v>57</v>
      </c>
      <c r="AR512">
        <f t="shared" si="71"/>
        <v>2100</v>
      </c>
      <c r="AS512" t="s">
        <v>897</v>
      </c>
      <c r="AT512" t="s">
        <v>58</v>
      </c>
    </row>
    <row r="513" ht="29" spans="1:46">
      <c r="A513" s="31" t="s">
        <v>73</v>
      </c>
      <c r="C513" t="s">
        <v>3844</v>
      </c>
      <c r="D513" s="5" t="s">
        <v>57</v>
      </c>
      <c r="E513">
        <v>2035</v>
      </c>
      <c r="F513" s="6" t="str">
        <f t="shared" si="65"/>
        <v>*0.95</v>
      </c>
      <c r="H513" t="s">
        <v>3844</v>
      </c>
      <c r="I513" s="5" t="s">
        <v>57</v>
      </c>
      <c r="J513">
        <v>2050</v>
      </c>
      <c r="K513" s="38" t="str">
        <f t="shared" si="66"/>
        <v>*0.93</v>
      </c>
      <c r="P513" s="32" t="s">
        <v>3844</v>
      </c>
      <c r="Q513" s="42" t="s">
        <v>57</v>
      </c>
      <c r="R513" s="32">
        <v>2035</v>
      </c>
      <c r="S513" s="43" t="str">
        <f t="shared" si="67"/>
        <v>*0.95</v>
      </c>
      <c r="U513" s="32" t="s">
        <v>3844</v>
      </c>
      <c r="V513" s="42" t="s">
        <v>57</v>
      </c>
      <c r="W513" s="32">
        <v>2050</v>
      </c>
      <c r="X513" s="43" t="str">
        <f t="shared" si="68"/>
        <v>*0.93</v>
      </c>
      <c r="AC513" s="33" t="s">
        <v>3844</v>
      </c>
      <c r="AD513" s="44" t="s">
        <v>57</v>
      </c>
      <c r="AE513" s="33">
        <v>2035</v>
      </c>
      <c r="AF513" s="45" t="str">
        <f t="shared" si="69"/>
        <v>*0.93</v>
      </c>
      <c r="AG513" s="43" t="str">
        <f t="shared" si="72"/>
        <v>REZoning_Sol-Win</v>
      </c>
      <c r="AI513" s="33" t="s">
        <v>3844</v>
      </c>
      <c r="AJ513" s="44" t="s">
        <v>57</v>
      </c>
      <c r="AK513" s="33">
        <v>2050</v>
      </c>
      <c r="AL513" s="45" t="str">
        <f t="shared" si="70"/>
        <v>*0.9</v>
      </c>
      <c r="AM513" s="43" t="str">
        <f t="shared" si="73"/>
        <v>REZoning_Sol-Win</v>
      </c>
      <c r="AP513" t="s">
        <v>3844</v>
      </c>
      <c r="AQ513" t="s">
        <v>57</v>
      </c>
      <c r="AR513">
        <f t="shared" si="71"/>
        <v>2100</v>
      </c>
      <c r="AS513" t="s">
        <v>897</v>
      </c>
      <c r="AT513" t="s">
        <v>58</v>
      </c>
    </row>
    <row r="514" ht="29" spans="1:46">
      <c r="A514" s="31" t="s">
        <v>73</v>
      </c>
      <c r="C514" t="s">
        <v>3845</v>
      </c>
      <c r="D514" s="5" t="s">
        <v>57</v>
      </c>
      <c r="E514">
        <v>2035</v>
      </c>
      <c r="F514" s="6" t="str">
        <f t="shared" si="65"/>
        <v>*0.95</v>
      </c>
      <c r="H514" t="s">
        <v>3845</v>
      </c>
      <c r="I514" s="5" t="s">
        <v>57</v>
      </c>
      <c r="J514">
        <v>2050</v>
      </c>
      <c r="K514" s="38" t="str">
        <f t="shared" si="66"/>
        <v>*0.93</v>
      </c>
      <c r="P514" s="32" t="s">
        <v>3845</v>
      </c>
      <c r="Q514" s="42" t="s">
        <v>57</v>
      </c>
      <c r="R514" s="32">
        <v>2035</v>
      </c>
      <c r="S514" s="43" t="str">
        <f t="shared" si="67"/>
        <v>*0.95</v>
      </c>
      <c r="U514" s="32" t="s">
        <v>3845</v>
      </c>
      <c r="V514" s="42" t="s">
        <v>57</v>
      </c>
      <c r="W514" s="32">
        <v>2050</v>
      </c>
      <c r="X514" s="43" t="str">
        <f t="shared" si="68"/>
        <v>*0.93</v>
      </c>
      <c r="AC514" s="33" t="s">
        <v>3845</v>
      </c>
      <c r="AD514" s="44" t="s">
        <v>57</v>
      </c>
      <c r="AE514" s="33">
        <v>2035</v>
      </c>
      <c r="AF514" s="45" t="str">
        <f t="shared" si="69"/>
        <v>*0.93</v>
      </c>
      <c r="AG514" s="43" t="str">
        <f t="shared" si="72"/>
        <v>REZoning_Sol-Win</v>
      </c>
      <c r="AI514" s="33" t="s">
        <v>3845</v>
      </c>
      <c r="AJ514" s="44" t="s">
        <v>57</v>
      </c>
      <c r="AK514" s="33">
        <v>2050</v>
      </c>
      <c r="AL514" s="45" t="str">
        <f t="shared" si="70"/>
        <v>*0.9</v>
      </c>
      <c r="AM514" s="43" t="str">
        <f t="shared" si="73"/>
        <v>REZoning_Sol-Win</v>
      </c>
      <c r="AP514" t="s">
        <v>3845</v>
      </c>
      <c r="AQ514" t="s">
        <v>57</v>
      </c>
      <c r="AR514">
        <f t="shared" si="71"/>
        <v>2100</v>
      </c>
      <c r="AS514" t="s">
        <v>897</v>
      </c>
      <c r="AT514" t="s">
        <v>58</v>
      </c>
    </row>
    <row r="515" ht="29" spans="1:46">
      <c r="A515" s="31" t="s">
        <v>73</v>
      </c>
      <c r="C515" t="s">
        <v>3846</v>
      </c>
      <c r="D515" s="5" t="s">
        <v>57</v>
      </c>
      <c r="E515">
        <v>2035</v>
      </c>
      <c r="F515" s="6" t="str">
        <f t="shared" si="65"/>
        <v>*0.95</v>
      </c>
      <c r="H515" t="s">
        <v>3846</v>
      </c>
      <c r="I515" s="5" t="s">
        <v>57</v>
      </c>
      <c r="J515">
        <v>2050</v>
      </c>
      <c r="K515" s="38" t="str">
        <f t="shared" si="66"/>
        <v>*0.93</v>
      </c>
      <c r="P515" s="32" t="s">
        <v>3846</v>
      </c>
      <c r="Q515" s="42" t="s">
        <v>57</v>
      </c>
      <c r="R515" s="32">
        <v>2035</v>
      </c>
      <c r="S515" s="43" t="str">
        <f t="shared" si="67"/>
        <v>*0.95</v>
      </c>
      <c r="U515" s="32" t="s">
        <v>3846</v>
      </c>
      <c r="V515" s="42" t="s">
        <v>57</v>
      </c>
      <c r="W515" s="32">
        <v>2050</v>
      </c>
      <c r="X515" s="43" t="str">
        <f t="shared" si="68"/>
        <v>*0.93</v>
      </c>
      <c r="AC515" s="33" t="s">
        <v>3846</v>
      </c>
      <c r="AD515" s="44" t="s">
        <v>57</v>
      </c>
      <c r="AE515" s="33">
        <v>2035</v>
      </c>
      <c r="AF515" s="45" t="str">
        <f t="shared" si="69"/>
        <v>*0.93</v>
      </c>
      <c r="AG515" s="43" t="str">
        <f t="shared" si="72"/>
        <v>REZoning_Sol-Win</v>
      </c>
      <c r="AI515" s="33" t="s">
        <v>3846</v>
      </c>
      <c r="AJ515" s="44" t="s">
        <v>57</v>
      </c>
      <c r="AK515" s="33">
        <v>2050</v>
      </c>
      <c r="AL515" s="45" t="str">
        <f t="shared" si="70"/>
        <v>*0.9</v>
      </c>
      <c r="AM515" s="43" t="str">
        <f t="shared" si="73"/>
        <v>REZoning_Sol-Win</v>
      </c>
      <c r="AP515" t="s">
        <v>3846</v>
      </c>
      <c r="AQ515" t="s">
        <v>57</v>
      </c>
      <c r="AR515">
        <f t="shared" si="71"/>
        <v>2100</v>
      </c>
      <c r="AS515" t="s">
        <v>897</v>
      </c>
      <c r="AT515" t="s">
        <v>58</v>
      </c>
    </row>
    <row r="516" ht="29" spans="1:46">
      <c r="A516" s="31" t="s">
        <v>73</v>
      </c>
      <c r="C516" t="s">
        <v>3847</v>
      </c>
      <c r="D516" s="5" t="s">
        <v>57</v>
      </c>
      <c r="E516">
        <v>2035</v>
      </c>
      <c r="F516" s="6" t="str">
        <f t="shared" ref="F516:F579" si="74">"*"&amp;IF(AND(A516="EU",E516=2035),0.95,IF(AND(A516="EU",E516=2050),0.93,IF(AND(A516="USA",E516=2035),0.96,IF(AND(A516="USA",E516=2050),0.94,IF(AND(A516="Japan",E516=2035),0.94,IF(AND(A516="Japan",E516=2050),0.92,IF(AND(A516="Russia",E516=2035),0.95,IF(AND(A516="Russia",E516=2050),0.93,IF(AND(A516="China",E516=2035),0.94,IF(AND(A516="China",E516=2050),0.92,IF(AND(A516="India",E516=2035),0.95,IF(AND(A516="India",E516=2050),0.92,IF(AND(A516="Middle East",E516=2035),0.94,IF(AND(A516="Middle East",E516=2050),0.9,IF(AND(A516="Africa",E516=2035),0.94,IF(AND(A516="Africa",E516=2050),0.91,IF(AND(A516="Brazil",E516=2035),0.95,IF(AND(A516="Brazil",E516=2050),0.92,""))))))))))))))))))</f>
        <v>*0.95</v>
      </c>
      <c r="H516" t="s">
        <v>3847</v>
      </c>
      <c r="I516" s="5" t="s">
        <v>57</v>
      </c>
      <c r="J516">
        <v>2050</v>
      </c>
      <c r="K516" s="38" t="str">
        <f t="shared" ref="K516:K579" si="75">"*"&amp;IF(AND(A516="EU",J516=2035),0.95,IF(AND(A516="EU",J516=2050),0.93,IF(AND(A516="USA",J516=2035),0.96,IF(AND(A516="USA",J516=2050),0.94,IF(AND(A516="Japan",J516=2035),0.94,IF(AND(A516="Japan",J516=2050),0.92,IF(AND(A516="Russia",J516=2035),0.95,IF(AND(A516="Russia",J516=2050),0.93,IF(AND(A516="China",J516=2035),0.94,IF(AND(A516="China",J516=2050),0.92,IF(AND(A516="India",J516=2035),0.95,IF(AND(A516="India",J516=2050),0.92,IF(AND(A516="Middle East",J516=2035),0.94,IF(AND(A516="Middle East",J516=2050),0.9,IF(AND(A516="Africa",J516=2035),0.94,IF(AND(A516="Africa",J516=2050),0.91,IF(AND(A516="Brazil",J516=2035),0.95,IF(AND(A516="Brazil",J516=2050),0.92,""))))))))))))))))))</f>
        <v>*0.93</v>
      </c>
      <c r="P516" s="32" t="s">
        <v>3847</v>
      </c>
      <c r="Q516" s="42" t="s">
        <v>57</v>
      </c>
      <c r="R516" s="32">
        <v>2035</v>
      </c>
      <c r="S516" s="43" t="str">
        <f t="shared" ref="S516:S579" si="76">"*"&amp;IF(AND(A516="EU",R516=2035),0.95,IF(AND(A516="EU",R516=2050),0.93,IF(AND(A516="USA",R516=2035),0.96,IF(AND(A516="USA",R516=2050),0.93,IF(AND(A516="Japan",R516=2035),0.94,IF(AND(A516="Japan",R516=2050),0.92,IF(AND(A516="Russia",R516=2035),0.95,IF(AND(A516="Russia",R516=2050),0.91,IF(AND(A516="China",R516=2035),0.93,IF(AND(A516="China",R516=2050),0.92,IF(AND(A516="India",R516=2035),0.94,IF(AND(A516="India",R516=2050),0.91,IF(AND(A516="Middle East",R516=2035),0.92,IF(AND(A516="Middle East",R516=2050),0.89,IF(AND(A516="Africa",R516=2035),0.93,IF(AND(A516="Africa",R516=2050),0.9,IF(AND(A516="Brazil",R516=2035),0.95,IF(AND(A516="Brazil",R516=2050),0.92,""))))))))))))))))))</f>
        <v>*0.95</v>
      </c>
      <c r="U516" s="32" t="s">
        <v>3847</v>
      </c>
      <c r="V516" s="42" t="s">
        <v>57</v>
      </c>
      <c r="W516" s="32">
        <v>2050</v>
      </c>
      <c r="X516" s="43" t="str">
        <f t="shared" ref="X516:X579" si="77">"*"&amp;IF(AND(A516="EU",W516=2035),0.95,IF(AND(A516="EU",W516=2050),0.93,IF(AND(A516="USA",W516=2035),0.96,IF(AND(A516="USA",W516=2050),0.93,IF(AND(A516="Japan",W516=2035),0.94,IF(AND(A516="Japan",W516=2050),0.92,IF(AND(A516="Russia",W516=2035),0.95,IF(AND(A516="Russia",W516=2050),0.91,IF(AND(A516="China",W516=2035),0.93,IF(AND(A516="China",W516=2050),0.92,IF(AND(A516="India",W516=2035),0.94,IF(AND(A516="India",W516=2050),0.91,IF(AND(A516="Middle East",W516=2035),0.92,IF(AND(A516="Middle East",W516=2050),0.89,IF(AND(A516="Africa",W516=2035),0.93,IF(AND(A516="Africa",W516=2050),0.9,IF(AND(A516="Brazil",W516=2035),0.95,IF(AND(A516="Brazil",W516=2050),0.92,""))))))))))))))))))</f>
        <v>*0.93</v>
      </c>
      <c r="AC516" s="33" t="s">
        <v>3847</v>
      </c>
      <c r="AD516" s="44" t="s">
        <v>57</v>
      </c>
      <c r="AE516" s="33">
        <v>2035</v>
      </c>
      <c r="AF516" s="45" t="str">
        <f t="shared" ref="AF516:AF579" si="78">"*"&amp;IF(AND(A516="EU",AE516=2035),0.93,IF(AND(A516="EU",AE516=2050),0.9,IF(AND(A516="USA",AE516=2035),0.92,IF(AND(A516="USA",AE516=2050),0.89,IF(AND(A516="Japan",AE516=2035),0.92,IF(AND(A516="Japan",AE516=2050),0.89,IF(AND(A516="Russia",AE516=2035),0.91,IF(AND(A516="Russia",AE516=2050),0.86,IF(AND(A516="China",AE516=2035),0.91,IF(AND(A516="China",AE516=2050),0.87,IF(AND(A516="India",AE516=2035),0.92,IF(AND(A516="India",AE516=2050),0.87,IF(AND(A516="Middle East",AE516=2035),0.89,IF(AND(A516="Middle East",AE516=2050),0.84,IF(AND(A516="Africa",AE516=2035),0.9,IF(AND(A516="Africa",AE516=2050),0.86,IF(AND(A516="Brazil",AE516=2035),0.93,IF(AND(A516="Brazil",AE516=2050),0.89,""))))))))))))))))))</f>
        <v>*0.93</v>
      </c>
      <c r="AG516" s="43" t="str">
        <f t="shared" si="72"/>
        <v>REZoning_Sol-Win</v>
      </c>
      <c r="AI516" s="33" t="s">
        <v>3847</v>
      </c>
      <c r="AJ516" s="44" t="s">
        <v>57</v>
      </c>
      <c r="AK516" s="33">
        <v>2050</v>
      </c>
      <c r="AL516" s="45" t="str">
        <f t="shared" ref="AL516:AL579" si="79">"*"&amp;IF(AND(A516="EU",AK516=2035),0.93,IF(AND(A516="EU",AK516=2050),0.9,IF(AND(A516="USA",AK516=2035),0.92,IF(AND(A516="USA",AK516=2050),0.89,IF(AND(A516="Japan",AK516=2035),0.92,IF(AND(A516="Japan",AK516=2050),0.89,IF(AND(A516="Russia",AK516=2035),0.91,IF(AND(A516="Russia",AK516=2050),0.86,IF(AND(A516="China",AK516=2035),0.91,IF(AND(A516="China",AK516=2050),0.87,IF(AND(A516="India",AK516=2035),0.92,IF(AND(A516="India",AK516=2050),0.87,IF(AND(A516="Middle East",AK516=2035),0.89,IF(AND(A516="Middle East",AK516=2050),0.84,IF(AND(A516="Africa",AK516=2035),0.9,IF(AND(A516="Africa",AK516=2050),0.86,IF(AND(A516="Brazil",AK516=2035),0.93,IF(AND(A516="Brazil",AK516=2050),0.89,""))))))))))))))))))</f>
        <v>*0.9</v>
      </c>
      <c r="AM516" s="43" t="str">
        <f t="shared" si="73"/>
        <v>REZoning_Sol-Win</v>
      </c>
      <c r="AP516" t="s">
        <v>3847</v>
      </c>
      <c r="AQ516" t="s">
        <v>57</v>
      </c>
      <c r="AR516">
        <f t="shared" si="71"/>
        <v>2100</v>
      </c>
      <c r="AS516" t="s">
        <v>897</v>
      </c>
      <c r="AT516" t="s">
        <v>58</v>
      </c>
    </row>
    <row r="517" ht="29" spans="1:46">
      <c r="A517" s="31" t="s">
        <v>73</v>
      </c>
      <c r="C517" t="s">
        <v>3848</v>
      </c>
      <c r="D517" s="5" t="s">
        <v>57</v>
      </c>
      <c r="E517">
        <v>2035</v>
      </c>
      <c r="F517" s="6" t="str">
        <f t="shared" si="74"/>
        <v>*0.95</v>
      </c>
      <c r="H517" t="s">
        <v>3848</v>
      </c>
      <c r="I517" s="5" t="s">
        <v>57</v>
      </c>
      <c r="J517">
        <v>2050</v>
      </c>
      <c r="K517" s="38" t="str">
        <f t="shared" si="75"/>
        <v>*0.93</v>
      </c>
      <c r="P517" s="32" t="s">
        <v>3848</v>
      </c>
      <c r="Q517" s="42" t="s">
        <v>57</v>
      </c>
      <c r="R517" s="32">
        <v>2035</v>
      </c>
      <c r="S517" s="43" t="str">
        <f t="shared" si="76"/>
        <v>*0.95</v>
      </c>
      <c r="U517" s="32" t="s">
        <v>3848</v>
      </c>
      <c r="V517" s="42" t="s">
        <v>57</v>
      </c>
      <c r="W517" s="32">
        <v>2050</v>
      </c>
      <c r="X517" s="43" t="str">
        <f t="shared" si="77"/>
        <v>*0.93</v>
      </c>
      <c r="AC517" s="33" t="s">
        <v>3848</v>
      </c>
      <c r="AD517" s="44" t="s">
        <v>57</v>
      </c>
      <c r="AE517" s="33">
        <v>2035</v>
      </c>
      <c r="AF517" s="45" t="str">
        <f t="shared" si="78"/>
        <v>*0.93</v>
      </c>
      <c r="AG517" s="43" t="str">
        <f t="shared" si="72"/>
        <v>REZoning_Sol-Win</v>
      </c>
      <c r="AI517" s="33" t="s">
        <v>3848</v>
      </c>
      <c r="AJ517" s="44" t="s">
        <v>57</v>
      </c>
      <c r="AK517" s="33">
        <v>2050</v>
      </c>
      <c r="AL517" s="45" t="str">
        <f t="shared" si="79"/>
        <v>*0.9</v>
      </c>
      <c r="AM517" s="43" t="str">
        <f t="shared" si="73"/>
        <v>REZoning_Sol-Win</v>
      </c>
      <c r="AP517" t="s">
        <v>3848</v>
      </c>
      <c r="AQ517" t="s">
        <v>57</v>
      </c>
      <c r="AR517">
        <f t="shared" si="71"/>
        <v>2100</v>
      </c>
      <c r="AS517" t="s">
        <v>897</v>
      </c>
      <c r="AT517" t="s">
        <v>58</v>
      </c>
    </row>
    <row r="518" ht="29" spans="1:46">
      <c r="A518" s="31" t="s">
        <v>73</v>
      </c>
      <c r="C518" t="s">
        <v>3849</v>
      </c>
      <c r="D518" s="5" t="s">
        <v>57</v>
      </c>
      <c r="E518">
        <v>2035</v>
      </c>
      <c r="F518" s="6" t="str">
        <f t="shared" si="74"/>
        <v>*0.95</v>
      </c>
      <c r="H518" t="s">
        <v>3849</v>
      </c>
      <c r="I518" s="5" t="s">
        <v>57</v>
      </c>
      <c r="J518">
        <v>2050</v>
      </c>
      <c r="K518" s="38" t="str">
        <f t="shared" si="75"/>
        <v>*0.93</v>
      </c>
      <c r="P518" s="32" t="s">
        <v>3849</v>
      </c>
      <c r="Q518" s="42" t="s">
        <v>57</v>
      </c>
      <c r="R518" s="32">
        <v>2035</v>
      </c>
      <c r="S518" s="43" t="str">
        <f t="shared" si="76"/>
        <v>*0.95</v>
      </c>
      <c r="U518" s="32" t="s">
        <v>3849</v>
      </c>
      <c r="V518" s="42" t="s">
        <v>57</v>
      </c>
      <c r="W518" s="32">
        <v>2050</v>
      </c>
      <c r="X518" s="43" t="str">
        <f t="shared" si="77"/>
        <v>*0.93</v>
      </c>
      <c r="AC518" s="33" t="s">
        <v>3849</v>
      </c>
      <c r="AD518" s="44" t="s">
        <v>57</v>
      </c>
      <c r="AE518" s="33">
        <v>2035</v>
      </c>
      <c r="AF518" s="45" t="str">
        <f t="shared" si="78"/>
        <v>*0.93</v>
      </c>
      <c r="AG518" s="43" t="str">
        <f t="shared" si="72"/>
        <v>REZoning_Sol-Win</v>
      </c>
      <c r="AI518" s="33" t="s">
        <v>3849</v>
      </c>
      <c r="AJ518" s="44" t="s">
        <v>57</v>
      </c>
      <c r="AK518" s="33">
        <v>2050</v>
      </c>
      <c r="AL518" s="45" t="str">
        <f t="shared" si="79"/>
        <v>*0.9</v>
      </c>
      <c r="AM518" s="43" t="str">
        <f t="shared" si="73"/>
        <v>REZoning_Sol-Win</v>
      </c>
      <c r="AP518" t="s">
        <v>3849</v>
      </c>
      <c r="AQ518" t="s">
        <v>57</v>
      </c>
      <c r="AR518">
        <f t="shared" ref="AR518:AR581" si="80">AR517</f>
        <v>2100</v>
      </c>
      <c r="AS518" t="s">
        <v>897</v>
      </c>
      <c r="AT518" t="s">
        <v>58</v>
      </c>
    </row>
    <row r="519" ht="29" spans="1:46">
      <c r="A519" s="31" t="s">
        <v>73</v>
      </c>
      <c r="C519" t="s">
        <v>3850</v>
      </c>
      <c r="D519" s="5" t="s">
        <v>57</v>
      </c>
      <c r="E519">
        <v>2035</v>
      </c>
      <c r="F519" s="6" t="str">
        <f t="shared" si="74"/>
        <v>*0.95</v>
      </c>
      <c r="H519" t="s">
        <v>3850</v>
      </c>
      <c r="I519" s="5" t="s">
        <v>57</v>
      </c>
      <c r="J519">
        <v>2050</v>
      </c>
      <c r="K519" s="38" t="str">
        <f t="shared" si="75"/>
        <v>*0.93</v>
      </c>
      <c r="P519" s="32" t="s">
        <v>3850</v>
      </c>
      <c r="Q519" s="42" t="s">
        <v>57</v>
      </c>
      <c r="R519" s="32">
        <v>2035</v>
      </c>
      <c r="S519" s="43" t="str">
        <f t="shared" si="76"/>
        <v>*0.95</v>
      </c>
      <c r="U519" s="32" t="s">
        <v>3850</v>
      </c>
      <c r="V519" s="42" t="s">
        <v>57</v>
      </c>
      <c r="W519" s="32">
        <v>2050</v>
      </c>
      <c r="X519" s="43" t="str">
        <f t="shared" si="77"/>
        <v>*0.93</v>
      </c>
      <c r="AC519" s="33" t="s">
        <v>3850</v>
      </c>
      <c r="AD519" s="44" t="s">
        <v>57</v>
      </c>
      <c r="AE519" s="33">
        <v>2035</v>
      </c>
      <c r="AF519" s="45" t="str">
        <f t="shared" si="78"/>
        <v>*0.93</v>
      </c>
      <c r="AG519" s="43" t="str">
        <f t="shared" si="72"/>
        <v>REZoning_Sol-Win</v>
      </c>
      <c r="AI519" s="33" t="s">
        <v>3850</v>
      </c>
      <c r="AJ519" s="44" t="s">
        <v>57</v>
      </c>
      <c r="AK519" s="33">
        <v>2050</v>
      </c>
      <c r="AL519" s="45" t="str">
        <f t="shared" si="79"/>
        <v>*0.9</v>
      </c>
      <c r="AM519" s="43" t="str">
        <f t="shared" si="73"/>
        <v>REZoning_Sol-Win</v>
      </c>
      <c r="AP519" t="s">
        <v>3850</v>
      </c>
      <c r="AQ519" t="s">
        <v>57</v>
      </c>
      <c r="AR519">
        <f t="shared" si="80"/>
        <v>2100</v>
      </c>
      <c r="AS519" t="s">
        <v>897</v>
      </c>
      <c r="AT519" t="s">
        <v>58</v>
      </c>
    </row>
    <row r="520" ht="29" spans="1:46">
      <c r="A520" s="31" t="s">
        <v>73</v>
      </c>
      <c r="C520" t="s">
        <v>3851</v>
      </c>
      <c r="D520" s="5" t="s">
        <v>57</v>
      </c>
      <c r="E520">
        <v>2035</v>
      </c>
      <c r="F520" s="6" t="str">
        <f t="shared" si="74"/>
        <v>*0.95</v>
      </c>
      <c r="H520" t="s">
        <v>3851</v>
      </c>
      <c r="I520" s="5" t="s">
        <v>57</v>
      </c>
      <c r="J520">
        <v>2050</v>
      </c>
      <c r="K520" s="38" t="str">
        <f t="shared" si="75"/>
        <v>*0.93</v>
      </c>
      <c r="P520" s="32" t="s">
        <v>3851</v>
      </c>
      <c r="Q520" s="42" t="s">
        <v>57</v>
      </c>
      <c r="R520" s="32">
        <v>2035</v>
      </c>
      <c r="S520" s="43" t="str">
        <f t="shared" si="76"/>
        <v>*0.95</v>
      </c>
      <c r="U520" s="32" t="s">
        <v>3851</v>
      </c>
      <c r="V520" s="42" t="s">
        <v>57</v>
      </c>
      <c r="W520" s="32">
        <v>2050</v>
      </c>
      <c r="X520" s="43" t="str">
        <f t="shared" si="77"/>
        <v>*0.93</v>
      </c>
      <c r="AC520" s="33" t="s">
        <v>3851</v>
      </c>
      <c r="AD520" s="44" t="s">
        <v>57</v>
      </c>
      <c r="AE520" s="33">
        <v>2035</v>
      </c>
      <c r="AF520" s="45" t="str">
        <f t="shared" si="78"/>
        <v>*0.93</v>
      </c>
      <c r="AG520" s="43" t="str">
        <f t="shared" si="72"/>
        <v>REZoning_Sol-Win</v>
      </c>
      <c r="AI520" s="33" t="s">
        <v>3851</v>
      </c>
      <c r="AJ520" s="44" t="s">
        <v>57</v>
      </c>
      <c r="AK520" s="33">
        <v>2050</v>
      </c>
      <c r="AL520" s="45" t="str">
        <f t="shared" si="79"/>
        <v>*0.9</v>
      </c>
      <c r="AM520" s="43" t="str">
        <f t="shared" si="73"/>
        <v>REZoning_Sol-Win</v>
      </c>
      <c r="AP520" t="s">
        <v>3851</v>
      </c>
      <c r="AQ520" t="s">
        <v>57</v>
      </c>
      <c r="AR520">
        <f t="shared" si="80"/>
        <v>2100</v>
      </c>
      <c r="AS520" t="s">
        <v>897</v>
      </c>
      <c r="AT520" t="s">
        <v>58</v>
      </c>
    </row>
    <row r="521" ht="29" spans="1:46">
      <c r="A521" s="31" t="s">
        <v>73</v>
      </c>
      <c r="C521" t="s">
        <v>3852</v>
      </c>
      <c r="D521" s="5" t="s">
        <v>57</v>
      </c>
      <c r="E521">
        <v>2035</v>
      </c>
      <c r="F521" s="6" t="str">
        <f t="shared" si="74"/>
        <v>*0.95</v>
      </c>
      <c r="H521" t="s">
        <v>3852</v>
      </c>
      <c r="I521" s="5" t="s">
        <v>57</v>
      </c>
      <c r="J521">
        <v>2050</v>
      </c>
      <c r="K521" s="38" t="str">
        <f t="shared" si="75"/>
        <v>*0.93</v>
      </c>
      <c r="P521" s="32" t="s">
        <v>3852</v>
      </c>
      <c r="Q521" s="42" t="s">
        <v>57</v>
      </c>
      <c r="R521" s="32">
        <v>2035</v>
      </c>
      <c r="S521" s="43" t="str">
        <f t="shared" si="76"/>
        <v>*0.95</v>
      </c>
      <c r="U521" s="32" t="s">
        <v>3852</v>
      </c>
      <c r="V521" s="42" t="s">
        <v>57</v>
      </c>
      <c r="W521" s="32">
        <v>2050</v>
      </c>
      <c r="X521" s="43" t="str">
        <f t="shared" si="77"/>
        <v>*0.93</v>
      </c>
      <c r="AC521" s="33" t="s">
        <v>3852</v>
      </c>
      <c r="AD521" s="44" t="s">
        <v>57</v>
      </c>
      <c r="AE521" s="33">
        <v>2035</v>
      </c>
      <c r="AF521" s="45" t="str">
        <f t="shared" si="78"/>
        <v>*0.93</v>
      </c>
      <c r="AG521" s="43" t="str">
        <f t="shared" ref="AG521:AG584" si="81">AG520</f>
        <v>REZoning_Sol-Win</v>
      </c>
      <c r="AI521" s="33" t="s">
        <v>3852</v>
      </c>
      <c r="AJ521" s="44" t="s">
        <v>57</v>
      </c>
      <c r="AK521" s="33">
        <v>2050</v>
      </c>
      <c r="AL521" s="45" t="str">
        <f t="shared" si="79"/>
        <v>*0.9</v>
      </c>
      <c r="AM521" s="43" t="str">
        <f t="shared" ref="AM521:AM584" si="82">AM520</f>
        <v>REZoning_Sol-Win</v>
      </c>
      <c r="AP521" t="s">
        <v>3852</v>
      </c>
      <c r="AQ521" t="s">
        <v>57</v>
      </c>
      <c r="AR521">
        <f t="shared" si="80"/>
        <v>2100</v>
      </c>
      <c r="AS521" t="s">
        <v>897</v>
      </c>
      <c r="AT521" t="s">
        <v>58</v>
      </c>
    </row>
    <row r="522" ht="29" spans="1:46">
      <c r="A522" s="31" t="s">
        <v>73</v>
      </c>
      <c r="C522" t="s">
        <v>3853</v>
      </c>
      <c r="D522" s="5" t="s">
        <v>57</v>
      </c>
      <c r="E522">
        <v>2035</v>
      </c>
      <c r="F522" s="6" t="str">
        <f t="shared" si="74"/>
        <v>*0.95</v>
      </c>
      <c r="H522" t="s">
        <v>3853</v>
      </c>
      <c r="I522" s="5" t="s">
        <v>57</v>
      </c>
      <c r="J522">
        <v>2050</v>
      </c>
      <c r="K522" s="38" t="str">
        <f t="shared" si="75"/>
        <v>*0.93</v>
      </c>
      <c r="P522" s="32" t="s">
        <v>3853</v>
      </c>
      <c r="Q522" s="42" t="s">
        <v>57</v>
      </c>
      <c r="R522" s="32">
        <v>2035</v>
      </c>
      <c r="S522" s="43" t="str">
        <f t="shared" si="76"/>
        <v>*0.95</v>
      </c>
      <c r="U522" s="32" t="s">
        <v>3853</v>
      </c>
      <c r="V522" s="42" t="s">
        <v>57</v>
      </c>
      <c r="W522" s="32">
        <v>2050</v>
      </c>
      <c r="X522" s="43" t="str">
        <f t="shared" si="77"/>
        <v>*0.93</v>
      </c>
      <c r="AC522" s="33" t="s">
        <v>3853</v>
      </c>
      <c r="AD522" s="44" t="s">
        <v>57</v>
      </c>
      <c r="AE522" s="33">
        <v>2035</v>
      </c>
      <c r="AF522" s="45" t="str">
        <f t="shared" si="78"/>
        <v>*0.93</v>
      </c>
      <c r="AG522" s="43" t="str">
        <f t="shared" si="81"/>
        <v>REZoning_Sol-Win</v>
      </c>
      <c r="AI522" s="33" t="s">
        <v>3853</v>
      </c>
      <c r="AJ522" s="44" t="s">
        <v>57</v>
      </c>
      <c r="AK522" s="33">
        <v>2050</v>
      </c>
      <c r="AL522" s="45" t="str">
        <f t="shared" si="79"/>
        <v>*0.9</v>
      </c>
      <c r="AM522" s="43" t="str">
        <f t="shared" si="82"/>
        <v>REZoning_Sol-Win</v>
      </c>
      <c r="AP522" t="s">
        <v>3853</v>
      </c>
      <c r="AQ522" t="s">
        <v>57</v>
      </c>
      <c r="AR522">
        <f t="shared" si="80"/>
        <v>2100</v>
      </c>
      <c r="AS522" t="s">
        <v>897</v>
      </c>
      <c r="AT522" t="s">
        <v>58</v>
      </c>
    </row>
    <row r="523" ht="29" spans="1:46">
      <c r="A523" s="31" t="s">
        <v>73</v>
      </c>
      <c r="C523" t="s">
        <v>3854</v>
      </c>
      <c r="D523" s="5" t="s">
        <v>57</v>
      </c>
      <c r="E523">
        <v>2035</v>
      </c>
      <c r="F523" s="6" t="str">
        <f t="shared" si="74"/>
        <v>*0.95</v>
      </c>
      <c r="H523" t="s">
        <v>3854</v>
      </c>
      <c r="I523" s="5" t="s">
        <v>57</v>
      </c>
      <c r="J523">
        <v>2050</v>
      </c>
      <c r="K523" s="38" t="str">
        <f t="shared" si="75"/>
        <v>*0.93</v>
      </c>
      <c r="P523" s="32" t="s">
        <v>3854</v>
      </c>
      <c r="Q523" s="42" t="s">
        <v>57</v>
      </c>
      <c r="R523" s="32">
        <v>2035</v>
      </c>
      <c r="S523" s="43" t="str">
        <f t="shared" si="76"/>
        <v>*0.95</v>
      </c>
      <c r="U523" s="32" t="s">
        <v>3854</v>
      </c>
      <c r="V523" s="42" t="s">
        <v>57</v>
      </c>
      <c r="W523" s="32">
        <v>2050</v>
      </c>
      <c r="X523" s="43" t="str">
        <f t="shared" si="77"/>
        <v>*0.93</v>
      </c>
      <c r="AC523" s="33" t="s">
        <v>3854</v>
      </c>
      <c r="AD523" s="44" t="s">
        <v>57</v>
      </c>
      <c r="AE523" s="33">
        <v>2035</v>
      </c>
      <c r="AF523" s="45" t="str">
        <f t="shared" si="78"/>
        <v>*0.93</v>
      </c>
      <c r="AG523" s="43" t="str">
        <f t="shared" si="81"/>
        <v>REZoning_Sol-Win</v>
      </c>
      <c r="AI523" s="33" t="s">
        <v>3854</v>
      </c>
      <c r="AJ523" s="44" t="s">
        <v>57</v>
      </c>
      <c r="AK523" s="33">
        <v>2050</v>
      </c>
      <c r="AL523" s="45" t="str">
        <f t="shared" si="79"/>
        <v>*0.9</v>
      </c>
      <c r="AM523" s="43" t="str">
        <f t="shared" si="82"/>
        <v>REZoning_Sol-Win</v>
      </c>
      <c r="AP523" t="s">
        <v>3854</v>
      </c>
      <c r="AQ523" t="s">
        <v>57</v>
      </c>
      <c r="AR523">
        <f t="shared" si="80"/>
        <v>2100</v>
      </c>
      <c r="AS523" t="s">
        <v>897</v>
      </c>
      <c r="AT523" t="s">
        <v>58</v>
      </c>
    </row>
    <row r="524" ht="29" spans="1:46">
      <c r="A524" s="31" t="s">
        <v>73</v>
      </c>
      <c r="C524" t="s">
        <v>3855</v>
      </c>
      <c r="D524" s="5" t="s">
        <v>57</v>
      </c>
      <c r="E524">
        <v>2035</v>
      </c>
      <c r="F524" s="6" t="str">
        <f t="shared" si="74"/>
        <v>*0.95</v>
      </c>
      <c r="H524" t="s">
        <v>3855</v>
      </c>
      <c r="I524" s="5" t="s">
        <v>57</v>
      </c>
      <c r="J524">
        <v>2050</v>
      </c>
      <c r="K524" s="38" t="str">
        <f t="shared" si="75"/>
        <v>*0.93</v>
      </c>
      <c r="P524" s="32" t="s">
        <v>3855</v>
      </c>
      <c r="Q524" s="42" t="s">
        <v>57</v>
      </c>
      <c r="R524" s="32">
        <v>2035</v>
      </c>
      <c r="S524" s="43" t="str">
        <f t="shared" si="76"/>
        <v>*0.95</v>
      </c>
      <c r="U524" s="32" t="s">
        <v>3855</v>
      </c>
      <c r="V524" s="42" t="s">
        <v>57</v>
      </c>
      <c r="W524" s="32">
        <v>2050</v>
      </c>
      <c r="X524" s="43" t="str">
        <f t="shared" si="77"/>
        <v>*0.93</v>
      </c>
      <c r="AC524" s="33" t="s">
        <v>3855</v>
      </c>
      <c r="AD524" s="44" t="s">
        <v>57</v>
      </c>
      <c r="AE524" s="33">
        <v>2035</v>
      </c>
      <c r="AF524" s="45" t="str">
        <f t="shared" si="78"/>
        <v>*0.93</v>
      </c>
      <c r="AG524" s="43" t="str">
        <f t="shared" si="81"/>
        <v>REZoning_Sol-Win</v>
      </c>
      <c r="AI524" s="33" t="s">
        <v>3855</v>
      </c>
      <c r="AJ524" s="44" t="s">
        <v>57</v>
      </c>
      <c r="AK524" s="33">
        <v>2050</v>
      </c>
      <c r="AL524" s="45" t="str">
        <f t="shared" si="79"/>
        <v>*0.9</v>
      </c>
      <c r="AM524" s="43" t="str">
        <f t="shared" si="82"/>
        <v>REZoning_Sol-Win</v>
      </c>
      <c r="AP524" t="s">
        <v>3855</v>
      </c>
      <c r="AQ524" t="s">
        <v>57</v>
      </c>
      <c r="AR524">
        <f t="shared" si="80"/>
        <v>2100</v>
      </c>
      <c r="AS524" t="s">
        <v>897</v>
      </c>
      <c r="AT524" t="s">
        <v>58</v>
      </c>
    </row>
    <row r="525" ht="29" spans="1:46">
      <c r="A525" s="31" t="s">
        <v>73</v>
      </c>
      <c r="C525" t="s">
        <v>3856</v>
      </c>
      <c r="D525" s="5" t="s">
        <v>57</v>
      </c>
      <c r="E525">
        <v>2035</v>
      </c>
      <c r="F525" s="6" t="str">
        <f t="shared" si="74"/>
        <v>*0.95</v>
      </c>
      <c r="H525" t="s">
        <v>3856</v>
      </c>
      <c r="I525" s="5" t="s">
        <v>57</v>
      </c>
      <c r="J525">
        <v>2050</v>
      </c>
      <c r="K525" s="38" t="str">
        <f t="shared" si="75"/>
        <v>*0.93</v>
      </c>
      <c r="P525" s="32" t="s">
        <v>3856</v>
      </c>
      <c r="Q525" s="42" t="s">
        <v>57</v>
      </c>
      <c r="R525" s="32">
        <v>2035</v>
      </c>
      <c r="S525" s="43" t="str">
        <f t="shared" si="76"/>
        <v>*0.95</v>
      </c>
      <c r="U525" s="32" t="s">
        <v>3856</v>
      </c>
      <c r="V525" s="42" t="s">
        <v>57</v>
      </c>
      <c r="W525" s="32">
        <v>2050</v>
      </c>
      <c r="X525" s="43" t="str">
        <f t="shared" si="77"/>
        <v>*0.93</v>
      </c>
      <c r="AC525" s="33" t="s">
        <v>3856</v>
      </c>
      <c r="AD525" s="44" t="s">
        <v>57</v>
      </c>
      <c r="AE525" s="33">
        <v>2035</v>
      </c>
      <c r="AF525" s="45" t="str">
        <f t="shared" si="78"/>
        <v>*0.93</v>
      </c>
      <c r="AG525" s="43" t="str">
        <f t="shared" si="81"/>
        <v>REZoning_Sol-Win</v>
      </c>
      <c r="AI525" s="33" t="s">
        <v>3856</v>
      </c>
      <c r="AJ525" s="44" t="s">
        <v>57</v>
      </c>
      <c r="AK525" s="33">
        <v>2050</v>
      </c>
      <c r="AL525" s="45" t="str">
        <f t="shared" si="79"/>
        <v>*0.9</v>
      </c>
      <c r="AM525" s="43" t="str">
        <f t="shared" si="82"/>
        <v>REZoning_Sol-Win</v>
      </c>
      <c r="AP525" t="s">
        <v>3856</v>
      </c>
      <c r="AQ525" t="s">
        <v>57</v>
      </c>
      <c r="AR525">
        <f t="shared" si="80"/>
        <v>2100</v>
      </c>
      <c r="AS525" t="s">
        <v>897</v>
      </c>
      <c r="AT525" t="s">
        <v>58</v>
      </c>
    </row>
    <row r="526" ht="29" spans="1:46">
      <c r="A526" s="31" t="s">
        <v>73</v>
      </c>
      <c r="C526" t="s">
        <v>3857</v>
      </c>
      <c r="D526" s="5" t="s">
        <v>57</v>
      </c>
      <c r="E526">
        <v>2035</v>
      </c>
      <c r="F526" s="6" t="str">
        <f t="shared" si="74"/>
        <v>*0.95</v>
      </c>
      <c r="H526" t="s">
        <v>3857</v>
      </c>
      <c r="I526" s="5" t="s">
        <v>57</v>
      </c>
      <c r="J526">
        <v>2050</v>
      </c>
      <c r="K526" s="38" t="str">
        <f t="shared" si="75"/>
        <v>*0.93</v>
      </c>
      <c r="P526" s="32" t="s">
        <v>3857</v>
      </c>
      <c r="Q526" s="42" t="s">
        <v>57</v>
      </c>
      <c r="R526" s="32">
        <v>2035</v>
      </c>
      <c r="S526" s="43" t="str">
        <f t="shared" si="76"/>
        <v>*0.95</v>
      </c>
      <c r="U526" s="32" t="s">
        <v>3857</v>
      </c>
      <c r="V526" s="42" t="s">
        <v>57</v>
      </c>
      <c r="W526" s="32">
        <v>2050</v>
      </c>
      <c r="X526" s="43" t="str">
        <f t="shared" si="77"/>
        <v>*0.93</v>
      </c>
      <c r="AC526" s="33" t="s">
        <v>3857</v>
      </c>
      <c r="AD526" s="44" t="s">
        <v>57</v>
      </c>
      <c r="AE526" s="33">
        <v>2035</v>
      </c>
      <c r="AF526" s="45" t="str">
        <f t="shared" si="78"/>
        <v>*0.93</v>
      </c>
      <c r="AG526" s="43" t="str">
        <f t="shared" si="81"/>
        <v>REZoning_Sol-Win</v>
      </c>
      <c r="AI526" s="33" t="s">
        <v>3857</v>
      </c>
      <c r="AJ526" s="44" t="s">
        <v>57</v>
      </c>
      <c r="AK526" s="33">
        <v>2050</v>
      </c>
      <c r="AL526" s="45" t="str">
        <f t="shared" si="79"/>
        <v>*0.9</v>
      </c>
      <c r="AM526" s="43" t="str">
        <f t="shared" si="82"/>
        <v>REZoning_Sol-Win</v>
      </c>
      <c r="AP526" t="s">
        <v>3857</v>
      </c>
      <c r="AQ526" t="s">
        <v>57</v>
      </c>
      <c r="AR526">
        <f t="shared" si="80"/>
        <v>2100</v>
      </c>
      <c r="AS526" t="s">
        <v>897</v>
      </c>
      <c r="AT526" t="s">
        <v>58</v>
      </c>
    </row>
    <row r="527" ht="29" spans="1:46">
      <c r="A527" s="31" t="s">
        <v>73</v>
      </c>
      <c r="C527" t="s">
        <v>3858</v>
      </c>
      <c r="D527" s="5" t="s">
        <v>57</v>
      </c>
      <c r="E527">
        <v>2035</v>
      </c>
      <c r="F527" s="6" t="str">
        <f t="shared" si="74"/>
        <v>*0.95</v>
      </c>
      <c r="H527" t="s">
        <v>3858</v>
      </c>
      <c r="I527" s="5" t="s">
        <v>57</v>
      </c>
      <c r="J527">
        <v>2050</v>
      </c>
      <c r="K527" s="38" t="str">
        <f t="shared" si="75"/>
        <v>*0.93</v>
      </c>
      <c r="P527" s="32" t="s">
        <v>3858</v>
      </c>
      <c r="Q527" s="42" t="s">
        <v>57</v>
      </c>
      <c r="R527" s="32">
        <v>2035</v>
      </c>
      <c r="S527" s="43" t="str">
        <f t="shared" si="76"/>
        <v>*0.95</v>
      </c>
      <c r="U527" s="32" t="s">
        <v>3858</v>
      </c>
      <c r="V527" s="42" t="s">
        <v>57</v>
      </c>
      <c r="W527" s="32">
        <v>2050</v>
      </c>
      <c r="X527" s="43" t="str">
        <f t="shared" si="77"/>
        <v>*0.93</v>
      </c>
      <c r="AC527" s="33" t="s">
        <v>3858</v>
      </c>
      <c r="AD527" s="44" t="s">
        <v>57</v>
      </c>
      <c r="AE527" s="33">
        <v>2035</v>
      </c>
      <c r="AF527" s="45" t="str">
        <f t="shared" si="78"/>
        <v>*0.93</v>
      </c>
      <c r="AG527" s="43" t="str">
        <f t="shared" si="81"/>
        <v>REZoning_Sol-Win</v>
      </c>
      <c r="AI527" s="33" t="s">
        <v>3858</v>
      </c>
      <c r="AJ527" s="44" t="s">
        <v>57</v>
      </c>
      <c r="AK527" s="33">
        <v>2050</v>
      </c>
      <c r="AL527" s="45" t="str">
        <f t="shared" si="79"/>
        <v>*0.9</v>
      </c>
      <c r="AM527" s="43" t="str">
        <f t="shared" si="82"/>
        <v>REZoning_Sol-Win</v>
      </c>
      <c r="AP527" t="s">
        <v>3858</v>
      </c>
      <c r="AQ527" t="s">
        <v>57</v>
      </c>
      <c r="AR527">
        <f t="shared" si="80"/>
        <v>2100</v>
      </c>
      <c r="AS527" t="s">
        <v>897</v>
      </c>
      <c r="AT527" t="s">
        <v>58</v>
      </c>
    </row>
    <row r="528" ht="29" spans="1:46">
      <c r="A528" s="31" t="s">
        <v>73</v>
      </c>
      <c r="C528" t="s">
        <v>3859</v>
      </c>
      <c r="D528" s="5" t="s">
        <v>57</v>
      </c>
      <c r="E528">
        <v>2035</v>
      </c>
      <c r="F528" s="6" t="str">
        <f t="shared" si="74"/>
        <v>*0.95</v>
      </c>
      <c r="H528" t="s">
        <v>3859</v>
      </c>
      <c r="I528" s="5" t="s">
        <v>57</v>
      </c>
      <c r="J528">
        <v>2050</v>
      </c>
      <c r="K528" s="38" t="str">
        <f t="shared" si="75"/>
        <v>*0.93</v>
      </c>
      <c r="P528" s="32" t="s">
        <v>3859</v>
      </c>
      <c r="Q528" s="42" t="s">
        <v>57</v>
      </c>
      <c r="R528" s="32">
        <v>2035</v>
      </c>
      <c r="S528" s="43" t="str">
        <f t="shared" si="76"/>
        <v>*0.95</v>
      </c>
      <c r="U528" s="32" t="s">
        <v>3859</v>
      </c>
      <c r="V528" s="42" t="s">
        <v>57</v>
      </c>
      <c r="W528" s="32">
        <v>2050</v>
      </c>
      <c r="X528" s="43" t="str">
        <f t="shared" si="77"/>
        <v>*0.93</v>
      </c>
      <c r="AC528" s="33" t="s">
        <v>3859</v>
      </c>
      <c r="AD528" s="44" t="s">
        <v>57</v>
      </c>
      <c r="AE528" s="33">
        <v>2035</v>
      </c>
      <c r="AF528" s="45" t="str">
        <f t="shared" si="78"/>
        <v>*0.93</v>
      </c>
      <c r="AG528" s="43" t="str">
        <f t="shared" si="81"/>
        <v>REZoning_Sol-Win</v>
      </c>
      <c r="AI528" s="33" t="s">
        <v>3859</v>
      </c>
      <c r="AJ528" s="44" t="s">
        <v>57</v>
      </c>
      <c r="AK528" s="33">
        <v>2050</v>
      </c>
      <c r="AL528" s="45" t="str">
        <f t="shared" si="79"/>
        <v>*0.9</v>
      </c>
      <c r="AM528" s="43" t="str">
        <f t="shared" si="82"/>
        <v>REZoning_Sol-Win</v>
      </c>
      <c r="AP528" t="s">
        <v>3859</v>
      </c>
      <c r="AQ528" t="s">
        <v>57</v>
      </c>
      <c r="AR528">
        <f t="shared" si="80"/>
        <v>2100</v>
      </c>
      <c r="AS528" t="s">
        <v>897</v>
      </c>
      <c r="AT528" t="s">
        <v>58</v>
      </c>
    </row>
    <row r="529" ht="29" spans="1:46">
      <c r="A529" s="31" t="s">
        <v>73</v>
      </c>
      <c r="C529" t="s">
        <v>3860</v>
      </c>
      <c r="D529" s="5" t="s">
        <v>57</v>
      </c>
      <c r="E529">
        <v>2035</v>
      </c>
      <c r="F529" s="6" t="str">
        <f t="shared" si="74"/>
        <v>*0.95</v>
      </c>
      <c r="H529" t="s">
        <v>3860</v>
      </c>
      <c r="I529" s="5" t="s">
        <v>57</v>
      </c>
      <c r="J529">
        <v>2050</v>
      </c>
      <c r="K529" s="38" t="str">
        <f t="shared" si="75"/>
        <v>*0.93</v>
      </c>
      <c r="P529" s="32" t="s">
        <v>3860</v>
      </c>
      <c r="Q529" s="42" t="s">
        <v>57</v>
      </c>
      <c r="R529" s="32">
        <v>2035</v>
      </c>
      <c r="S529" s="43" t="str">
        <f t="shared" si="76"/>
        <v>*0.95</v>
      </c>
      <c r="U529" s="32" t="s">
        <v>3860</v>
      </c>
      <c r="V529" s="42" t="s">
        <v>57</v>
      </c>
      <c r="W529" s="32">
        <v>2050</v>
      </c>
      <c r="X529" s="43" t="str">
        <f t="shared" si="77"/>
        <v>*0.93</v>
      </c>
      <c r="AC529" s="33" t="s">
        <v>3860</v>
      </c>
      <c r="AD529" s="44" t="s">
        <v>57</v>
      </c>
      <c r="AE529" s="33">
        <v>2035</v>
      </c>
      <c r="AF529" s="45" t="str">
        <f t="shared" si="78"/>
        <v>*0.93</v>
      </c>
      <c r="AG529" s="43" t="str">
        <f t="shared" si="81"/>
        <v>REZoning_Sol-Win</v>
      </c>
      <c r="AI529" s="33" t="s">
        <v>3860</v>
      </c>
      <c r="AJ529" s="44" t="s">
        <v>57</v>
      </c>
      <c r="AK529" s="33">
        <v>2050</v>
      </c>
      <c r="AL529" s="45" t="str">
        <f t="shared" si="79"/>
        <v>*0.9</v>
      </c>
      <c r="AM529" s="43" t="str">
        <f t="shared" si="82"/>
        <v>REZoning_Sol-Win</v>
      </c>
      <c r="AP529" t="s">
        <v>3860</v>
      </c>
      <c r="AQ529" t="s">
        <v>57</v>
      </c>
      <c r="AR529">
        <f t="shared" si="80"/>
        <v>2100</v>
      </c>
      <c r="AS529" t="s">
        <v>897</v>
      </c>
      <c r="AT529" t="s">
        <v>58</v>
      </c>
    </row>
    <row r="530" ht="29" spans="1:46">
      <c r="A530" s="31" t="s">
        <v>73</v>
      </c>
      <c r="C530" t="s">
        <v>3861</v>
      </c>
      <c r="D530" s="5" t="s">
        <v>57</v>
      </c>
      <c r="E530">
        <v>2035</v>
      </c>
      <c r="F530" s="6" t="str">
        <f t="shared" si="74"/>
        <v>*0.95</v>
      </c>
      <c r="H530" t="s">
        <v>3861</v>
      </c>
      <c r="I530" s="5" t="s">
        <v>57</v>
      </c>
      <c r="J530">
        <v>2050</v>
      </c>
      <c r="K530" s="38" t="str">
        <f t="shared" si="75"/>
        <v>*0.93</v>
      </c>
      <c r="P530" s="32" t="s">
        <v>3861</v>
      </c>
      <c r="Q530" s="42" t="s">
        <v>57</v>
      </c>
      <c r="R530" s="32">
        <v>2035</v>
      </c>
      <c r="S530" s="43" t="str">
        <f t="shared" si="76"/>
        <v>*0.95</v>
      </c>
      <c r="U530" s="32" t="s">
        <v>3861</v>
      </c>
      <c r="V530" s="42" t="s">
        <v>57</v>
      </c>
      <c r="W530" s="32">
        <v>2050</v>
      </c>
      <c r="X530" s="43" t="str">
        <f t="shared" si="77"/>
        <v>*0.93</v>
      </c>
      <c r="AC530" s="33" t="s">
        <v>3861</v>
      </c>
      <c r="AD530" s="44" t="s">
        <v>57</v>
      </c>
      <c r="AE530" s="33">
        <v>2035</v>
      </c>
      <c r="AF530" s="45" t="str">
        <f t="shared" si="78"/>
        <v>*0.93</v>
      </c>
      <c r="AG530" s="43" t="str">
        <f t="shared" si="81"/>
        <v>REZoning_Sol-Win</v>
      </c>
      <c r="AI530" s="33" t="s">
        <v>3861</v>
      </c>
      <c r="AJ530" s="44" t="s">
        <v>57</v>
      </c>
      <c r="AK530" s="33">
        <v>2050</v>
      </c>
      <c r="AL530" s="45" t="str">
        <f t="shared" si="79"/>
        <v>*0.9</v>
      </c>
      <c r="AM530" s="43" t="str">
        <f t="shared" si="82"/>
        <v>REZoning_Sol-Win</v>
      </c>
      <c r="AP530" t="s">
        <v>3861</v>
      </c>
      <c r="AQ530" t="s">
        <v>57</v>
      </c>
      <c r="AR530">
        <f t="shared" si="80"/>
        <v>2100</v>
      </c>
      <c r="AS530" t="s">
        <v>897</v>
      </c>
      <c r="AT530" t="s">
        <v>58</v>
      </c>
    </row>
    <row r="531" ht="29" spans="1:46">
      <c r="A531" s="31" t="s">
        <v>73</v>
      </c>
      <c r="C531" t="s">
        <v>3862</v>
      </c>
      <c r="D531" s="5" t="s">
        <v>57</v>
      </c>
      <c r="E531">
        <v>2035</v>
      </c>
      <c r="F531" s="6" t="str">
        <f t="shared" si="74"/>
        <v>*0.95</v>
      </c>
      <c r="H531" t="s">
        <v>3862</v>
      </c>
      <c r="I531" s="5" t="s">
        <v>57</v>
      </c>
      <c r="J531">
        <v>2050</v>
      </c>
      <c r="K531" s="38" t="str">
        <f t="shared" si="75"/>
        <v>*0.93</v>
      </c>
      <c r="P531" s="32" t="s">
        <v>3862</v>
      </c>
      <c r="Q531" s="42" t="s">
        <v>57</v>
      </c>
      <c r="R531" s="32">
        <v>2035</v>
      </c>
      <c r="S531" s="43" t="str">
        <f t="shared" si="76"/>
        <v>*0.95</v>
      </c>
      <c r="U531" s="32" t="s">
        <v>3862</v>
      </c>
      <c r="V531" s="42" t="s">
        <v>57</v>
      </c>
      <c r="W531" s="32">
        <v>2050</v>
      </c>
      <c r="X531" s="43" t="str">
        <f t="shared" si="77"/>
        <v>*0.93</v>
      </c>
      <c r="AC531" s="33" t="s">
        <v>3862</v>
      </c>
      <c r="AD531" s="44" t="s">
        <v>57</v>
      </c>
      <c r="AE531" s="33">
        <v>2035</v>
      </c>
      <c r="AF531" s="45" t="str">
        <f t="shared" si="78"/>
        <v>*0.93</v>
      </c>
      <c r="AG531" s="43" t="str">
        <f t="shared" si="81"/>
        <v>REZoning_Sol-Win</v>
      </c>
      <c r="AI531" s="33" t="s">
        <v>3862</v>
      </c>
      <c r="AJ531" s="44" t="s">
        <v>57</v>
      </c>
      <c r="AK531" s="33">
        <v>2050</v>
      </c>
      <c r="AL531" s="45" t="str">
        <f t="shared" si="79"/>
        <v>*0.9</v>
      </c>
      <c r="AM531" s="43" t="str">
        <f t="shared" si="82"/>
        <v>REZoning_Sol-Win</v>
      </c>
      <c r="AP531" t="s">
        <v>3862</v>
      </c>
      <c r="AQ531" t="s">
        <v>57</v>
      </c>
      <c r="AR531">
        <f t="shared" si="80"/>
        <v>2100</v>
      </c>
      <c r="AS531" t="s">
        <v>897</v>
      </c>
      <c r="AT531" t="s">
        <v>58</v>
      </c>
    </row>
    <row r="532" ht="29" spans="1:46">
      <c r="A532" s="31" t="s">
        <v>73</v>
      </c>
      <c r="C532" t="s">
        <v>3863</v>
      </c>
      <c r="D532" s="5" t="s">
        <v>57</v>
      </c>
      <c r="E532">
        <v>2035</v>
      </c>
      <c r="F532" s="6" t="str">
        <f t="shared" si="74"/>
        <v>*0.95</v>
      </c>
      <c r="H532" t="s">
        <v>3863</v>
      </c>
      <c r="I532" s="5" t="s">
        <v>57</v>
      </c>
      <c r="J532">
        <v>2050</v>
      </c>
      <c r="K532" s="38" t="str">
        <f t="shared" si="75"/>
        <v>*0.93</v>
      </c>
      <c r="P532" s="32" t="s">
        <v>3863</v>
      </c>
      <c r="Q532" s="42" t="s">
        <v>57</v>
      </c>
      <c r="R532" s="32">
        <v>2035</v>
      </c>
      <c r="S532" s="43" t="str">
        <f t="shared" si="76"/>
        <v>*0.95</v>
      </c>
      <c r="U532" s="32" t="s">
        <v>3863</v>
      </c>
      <c r="V532" s="42" t="s">
        <v>57</v>
      </c>
      <c r="W532" s="32">
        <v>2050</v>
      </c>
      <c r="X532" s="43" t="str">
        <f t="shared" si="77"/>
        <v>*0.93</v>
      </c>
      <c r="AC532" s="33" t="s">
        <v>3863</v>
      </c>
      <c r="AD532" s="44" t="s">
        <v>57</v>
      </c>
      <c r="AE532" s="33">
        <v>2035</v>
      </c>
      <c r="AF532" s="45" t="str">
        <f t="shared" si="78"/>
        <v>*0.93</v>
      </c>
      <c r="AG532" s="43" t="str">
        <f t="shared" si="81"/>
        <v>REZoning_Sol-Win</v>
      </c>
      <c r="AI532" s="33" t="s">
        <v>3863</v>
      </c>
      <c r="AJ532" s="44" t="s">
        <v>57</v>
      </c>
      <c r="AK532" s="33">
        <v>2050</v>
      </c>
      <c r="AL532" s="45" t="str">
        <f t="shared" si="79"/>
        <v>*0.9</v>
      </c>
      <c r="AM532" s="43" t="str">
        <f t="shared" si="82"/>
        <v>REZoning_Sol-Win</v>
      </c>
      <c r="AP532" t="s">
        <v>3863</v>
      </c>
      <c r="AQ532" t="s">
        <v>57</v>
      </c>
      <c r="AR532">
        <f t="shared" si="80"/>
        <v>2100</v>
      </c>
      <c r="AS532" t="s">
        <v>897</v>
      </c>
      <c r="AT532" t="s">
        <v>58</v>
      </c>
    </row>
    <row r="533" ht="29" spans="1:46">
      <c r="A533" s="31" t="s">
        <v>73</v>
      </c>
      <c r="C533" t="s">
        <v>3864</v>
      </c>
      <c r="D533" s="5" t="s">
        <v>57</v>
      </c>
      <c r="E533">
        <v>2035</v>
      </c>
      <c r="F533" s="6" t="str">
        <f t="shared" si="74"/>
        <v>*0.95</v>
      </c>
      <c r="H533" t="s">
        <v>3864</v>
      </c>
      <c r="I533" s="5" t="s">
        <v>57</v>
      </c>
      <c r="J533">
        <v>2050</v>
      </c>
      <c r="K533" s="38" t="str">
        <f t="shared" si="75"/>
        <v>*0.93</v>
      </c>
      <c r="P533" s="32" t="s">
        <v>3864</v>
      </c>
      <c r="Q533" s="42" t="s">
        <v>57</v>
      </c>
      <c r="R533" s="32">
        <v>2035</v>
      </c>
      <c r="S533" s="43" t="str">
        <f t="shared" si="76"/>
        <v>*0.95</v>
      </c>
      <c r="U533" s="32" t="s">
        <v>3864</v>
      </c>
      <c r="V533" s="42" t="s">
        <v>57</v>
      </c>
      <c r="W533" s="32">
        <v>2050</v>
      </c>
      <c r="X533" s="43" t="str">
        <f t="shared" si="77"/>
        <v>*0.93</v>
      </c>
      <c r="AC533" s="33" t="s">
        <v>3864</v>
      </c>
      <c r="AD533" s="44" t="s">
        <v>57</v>
      </c>
      <c r="AE533" s="33">
        <v>2035</v>
      </c>
      <c r="AF533" s="45" t="str">
        <f t="shared" si="78"/>
        <v>*0.93</v>
      </c>
      <c r="AG533" s="43" t="str">
        <f t="shared" si="81"/>
        <v>REZoning_Sol-Win</v>
      </c>
      <c r="AI533" s="33" t="s">
        <v>3864</v>
      </c>
      <c r="AJ533" s="44" t="s">
        <v>57</v>
      </c>
      <c r="AK533" s="33">
        <v>2050</v>
      </c>
      <c r="AL533" s="45" t="str">
        <f t="shared" si="79"/>
        <v>*0.9</v>
      </c>
      <c r="AM533" s="43" t="str">
        <f t="shared" si="82"/>
        <v>REZoning_Sol-Win</v>
      </c>
      <c r="AP533" t="s">
        <v>3864</v>
      </c>
      <c r="AQ533" t="s">
        <v>57</v>
      </c>
      <c r="AR533">
        <f t="shared" si="80"/>
        <v>2100</v>
      </c>
      <c r="AS533" t="s">
        <v>897</v>
      </c>
      <c r="AT533" t="s">
        <v>58</v>
      </c>
    </row>
    <row r="534" ht="29" spans="1:46">
      <c r="A534" s="31" t="s">
        <v>73</v>
      </c>
      <c r="C534" t="s">
        <v>3865</v>
      </c>
      <c r="D534" s="5" t="s">
        <v>57</v>
      </c>
      <c r="E534">
        <v>2035</v>
      </c>
      <c r="F534" s="6" t="str">
        <f t="shared" si="74"/>
        <v>*0.95</v>
      </c>
      <c r="H534" t="s">
        <v>3865</v>
      </c>
      <c r="I534" s="5" t="s">
        <v>57</v>
      </c>
      <c r="J534">
        <v>2050</v>
      </c>
      <c r="K534" s="38" t="str">
        <f t="shared" si="75"/>
        <v>*0.93</v>
      </c>
      <c r="P534" s="32" t="s">
        <v>3865</v>
      </c>
      <c r="Q534" s="42" t="s">
        <v>57</v>
      </c>
      <c r="R534" s="32">
        <v>2035</v>
      </c>
      <c r="S534" s="43" t="str">
        <f t="shared" si="76"/>
        <v>*0.95</v>
      </c>
      <c r="U534" s="32" t="s">
        <v>3865</v>
      </c>
      <c r="V534" s="42" t="s">
        <v>57</v>
      </c>
      <c r="W534" s="32">
        <v>2050</v>
      </c>
      <c r="X534" s="43" t="str">
        <f t="shared" si="77"/>
        <v>*0.93</v>
      </c>
      <c r="AC534" s="33" t="s">
        <v>3865</v>
      </c>
      <c r="AD534" s="44" t="s">
        <v>57</v>
      </c>
      <c r="AE534" s="33">
        <v>2035</v>
      </c>
      <c r="AF534" s="45" t="str">
        <f t="shared" si="78"/>
        <v>*0.93</v>
      </c>
      <c r="AG534" s="43" t="str">
        <f t="shared" si="81"/>
        <v>REZoning_Sol-Win</v>
      </c>
      <c r="AI534" s="33" t="s">
        <v>3865</v>
      </c>
      <c r="AJ534" s="44" t="s">
        <v>57</v>
      </c>
      <c r="AK534" s="33">
        <v>2050</v>
      </c>
      <c r="AL534" s="45" t="str">
        <f t="shared" si="79"/>
        <v>*0.9</v>
      </c>
      <c r="AM534" s="43" t="str">
        <f t="shared" si="82"/>
        <v>REZoning_Sol-Win</v>
      </c>
      <c r="AP534" t="s">
        <v>3865</v>
      </c>
      <c r="AQ534" t="s">
        <v>57</v>
      </c>
      <c r="AR534">
        <f t="shared" si="80"/>
        <v>2100</v>
      </c>
      <c r="AS534" t="s">
        <v>897</v>
      </c>
      <c r="AT534" t="s">
        <v>58</v>
      </c>
    </row>
    <row r="535" ht="29" spans="1:46">
      <c r="A535" s="31" t="s">
        <v>73</v>
      </c>
      <c r="C535" t="s">
        <v>3866</v>
      </c>
      <c r="D535" s="5" t="s">
        <v>57</v>
      </c>
      <c r="E535">
        <v>2035</v>
      </c>
      <c r="F535" s="6" t="str">
        <f t="shared" si="74"/>
        <v>*0.95</v>
      </c>
      <c r="H535" t="s">
        <v>3866</v>
      </c>
      <c r="I535" s="5" t="s">
        <v>57</v>
      </c>
      <c r="J535">
        <v>2050</v>
      </c>
      <c r="K535" s="38" t="str">
        <f t="shared" si="75"/>
        <v>*0.93</v>
      </c>
      <c r="P535" s="32" t="s">
        <v>3866</v>
      </c>
      <c r="Q535" s="42" t="s">
        <v>57</v>
      </c>
      <c r="R535" s="32">
        <v>2035</v>
      </c>
      <c r="S535" s="43" t="str">
        <f t="shared" si="76"/>
        <v>*0.95</v>
      </c>
      <c r="U535" s="32" t="s">
        <v>3866</v>
      </c>
      <c r="V535" s="42" t="s">
        <v>57</v>
      </c>
      <c r="W535" s="32">
        <v>2050</v>
      </c>
      <c r="X535" s="43" t="str">
        <f t="shared" si="77"/>
        <v>*0.93</v>
      </c>
      <c r="AC535" s="33" t="s">
        <v>3866</v>
      </c>
      <c r="AD535" s="44" t="s">
        <v>57</v>
      </c>
      <c r="AE535" s="33">
        <v>2035</v>
      </c>
      <c r="AF535" s="45" t="str">
        <f t="shared" si="78"/>
        <v>*0.93</v>
      </c>
      <c r="AG535" s="43" t="str">
        <f t="shared" si="81"/>
        <v>REZoning_Sol-Win</v>
      </c>
      <c r="AI535" s="33" t="s">
        <v>3866</v>
      </c>
      <c r="AJ535" s="44" t="s">
        <v>57</v>
      </c>
      <c r="AK535" s="33">
        <v>2050</v>
      </c>
      <c r="AL535" s="45" t="str">
        <f t="shared" si="79"/>
        <v>*0.9</v>
      </c>
      <c r="AM535" s="43" t="str">
        <f t="shared" si="82"/>
        <v>REZoning_Sol-Win</v>
      </c>
      <c r="AP535" t="s">
        <v>3866</v>
      </c>
      <c r="AQ535" t="s">
        <v>57</v>
      </c>
      <c r="AR535">
        <f t="shared" si="80"/>
        <v>2100</v>
      </c>
      <c r="AS535" t="s">
        <v>897</v>
      </c>
      <c r="AT535" t="s">
        <v>58</v>
      </c>
    </row>
    <row r="536" ht="29" spans="1:46">
      <c r="A536" s="31" t="s">
        <v>73</v>
      </c>
      <c r="C536" t="s">
        <v>3867</v>
      </c>
      <c r="D536" s="5" t="s">
        <v>57</v>
      </c>
      <c r="E536">
        <v>2035</v>
      </c>
      <c r="F536" s="6" t="str">
        <f t="shared" si="74"/>
        <v>*0.95</v>
      </c>
      <c r="H536" t="s">
        <v>3867</v>
      </c>
      <c r="I536" s="5" t="s">
        <v>57</v>
      </c>
      <c r="J536">
        <v>2050</v>
      </c>
      <c r="K536" s="38" t="str">
        <f t="shared" si="75"/>
        <v>*0.93</v>
      </c>
      <c r="P536" s="32" t="s">
        <v>3867</v>
      </c>
      <c r="Q536" s="42" t="s">
        <v>57</v>
      </c>
      <c r="R536" s="32">
        <v>2035</v>
      </c>
      <c r="S536" s="43" t="str">
        <f t="shared" si="76"/>
        <v>*0.95</v>
      </c>
      <c r="U536" s="32" t="s">
        <v>3867</v>
      </c>
      <c r="V536" s="42" t="s">
        <v>57</v>
      </c>
      <c r="W536" s="32">
        <v>2050</v>
      </c>
      <c r="X536" s="43" t="str">
        <f t="shared" si="77"/>
        <v>*0.93</v>
      </c>
      <c r="AC536" s="33" t="s">
        <v>3867</v>
      </c>
      <c r="AD536" s="44" t="s">
        <v>57</v>
      </c>
      <c r="AE536" s="33">
        <v>2035</v>
      </c>
      <c r="AF536" s="45" t="str">
        <f t="shared" si="78"/>
        <v>*0.93</v>
      </c>
      <c r="AG536" s="43" t="str">
        <f t="shared" si="81"/>
        <v>REZoning_Sol-Win</v>
      </c>
      <c r="AI536" s="33" t="s">
        <v>3867</v>
      </c>
      <c r="AJ536" s="44" t="s">
        <v>57</v>
      </c>
      <c r="AK536" s="33">
        <v>2050</v>
      </c>
      <c r="AL536" s="45" t="str">
        <f t="shared" si="79"/>
        <v>*0.9</v>
      </c>
      <c r="AM536" s="43" t="str">
        <f t="shared" si="82"/>
        <v>REZoning_Sol-Win</v>
      </c>
      <c r="AP536" t="s">
        <v>3867</v>
      </c>
      <c r="AQ536" t="s">
        <v>57</v>
      </c>
      <c r="AR536">
        <f t="shared" si="80"/>
        <v>2100</v>
      </c>
      <c r="AS536" t="s">
        <v>897</v>
      </c>
      <c r="AT536" t="s">
        <v>58</v>
      </c>
    </row>
    <row r="537" ht="29" spans="1:46">
      <c r="A537" s="31" t="s">
        <v>73</v>
      </c>
      <c r="C537" t="s">
        <v>3868</v>
      </c>
      <c r="D537" s="5" t="s">
        <v>57</v>
      </c>
      <c r="E537">
        <v>2035</v>
      </c>
      <c r="F537" s="6" t="str">
        <f t="shared" si="74"/>
        <v>*0.95</v>
      </c>
      <c r="H537" t="s">
        <v>3868</v>
      </c>
      <c r="I537" s="5" t="s">
        <v>57</v>
      </c>
      <c r="J537">
        <v>2050</v>
      </c>
      <c r="K537" s="38" t="str">
        <f t="shared" si="75"/>
        <v>*0.93</v>
      </c>
      <c r="P537" s="32" t="s">
        <v>3868</v>
      </c>
      <c r="Q537" s="42" t="s">
        <v>57</v>
      </c>
      <c r="R537" s="32">
        <v>2035</v>
      </c>
      <c r="S537" s="43" t="str">
        <f t="shared" si="76"/>
        <v>*0.95</v>
      </c>
      <c r="U537" s="32" t="s">
        <v>3868</v>
      </c>
      <c r="V537" s="42" t="s">
        <v>57</v>
      </c>
      <c r="W537" s="32">
        <v>2050</v>
      </c>
      <c r="X537" s="43" t="str">
        <f t="shared" si="77"/>
        <v>*0.93</v>
      </c>
      <c r="AC537" s="33" t="s">
        <v>3868</v>
      </c>
      <c r="AD537" s="44" t="s">
        <v>57</v>
      </c>
      <c r="AE537" s="33">
        <v>2035</v>
      </c>
      <c r="AF537" s="45" t="str">
        <f t="shared" si="78"/>
        <v>*0.93</v>
      </c>
      <c r="AG537" s="43" t="str">
        <f t="shared" si="81"/>
        <v>REZoning_Sol-Win</v>
      </c>
      <c r="AI537" s="33" t="s">
        <v>3868</v>
      </c>
      <c r="AJ537" s="44" t="s">
        <v>57</v>
      </c>
      <c r="AK537" s="33">
        <v>2050</v>
      </c>
      <c r="AL537" s="45" t="str">
        <f t="shared" si="79"/>
        <v>*0.9</v>
      </c>
      <c r="AM537" s="43" t="str">
        <f t="shared" si="82"/>
        <v>REZoning_Sol-Win</v>
      </c>
      <c r="AP537" t="s">
        <v>3868</v>
      </c>
      <c r="AQ537" t="s">
        <v>57</v>
      </c>
      <c r="AR537">
        <f t="shared" si="80"/>
        <v>2100</v>
      </c>
      <c r="AS537" t="s">
        <v>897</v>
      </c>
      <c r="AT537" t="s">
        <v>58</v>
      </c>
    </row>
    <row r="538" ht="29" spans="1:46">
      <c r="A538" s="31" t="s">
        <v>83</v>
      </c>
      <c r="C538" t="s">
        <v>3869</v>
      </c>
      <c r="D538" s="5" t="s">
        <v>57</v>
      </c>
      <c r="E538">
        <v>2035</v>
      </c>
      <c r="F538" s="6" t="str">
        <f t="shared" si="74"/>
        <v>*0.95</v>
      </c>
      <c r="H538" t="s">
        <v>3869</v>
      </c>
      <c r="I538" s="5" t="s">
        <v>57</v>
      </c>
      <c r="J538">
        <v>2050</v>
      </c>
      <c r="K538" s="38" t="str">
        <f t="shared" si="75"/>
        <v>*0.92</v>
      </c>
      <c r="P538" s="32" t="s">
        <v>3869</v>
      </c>
      <c r="Q538" s="42" t="s">
        <v>57</v>
      </c>
      <c r="R538" s="32">
        <v>2035</v>
      </c>
      <c r="S538" s="43" t="str">
        <f t="shared" si="76"/>
        <v>*0.95</v>
      </c>
      <c r="U538" s="32" t="s">
        <v>3869</v>
      </c>
      <c r="V538" s="42" t="s">
        <v>57</v>
      </c>
      <c r="W538" s="32">
        <v>2050</v>
      </c>
      <c r="X538" s="43" t="str">
        <f t="shared" si="77"/>
        <v>*0.92</v>
      </c>
      <c r="AC538" s="33" t="s">
        <v>3869</v>
      </c>
      <c r="AD538" s="44" t="s">
        <v>57</v>
      </c>
      <c r="AE538" s="33">
        <v>2035</v>
      </c>
      <c r="AF538" s="45" t="str">
        <f t="shared" si="78"/>
        <v>*0.93</v>
      </c>
      <c r="AG538" s="43" t="str">
        <f t="shared" si="81"/>
        <v>REZoning_Sol-Win</v>
      </c>
      <c r="AI538" s="33" t="s">
        <v>3869</v>
      </c>
      <c r="AJ538" s="44" t="s">
        <v>57</v>
      </c>
      <c r="AK538" s="33">
        <v>2050</v>
      </c>
      <c r="AL538" s="45" t="str">
        <f t="shared" si="79"/>
        <v>*0.89</v>
      </c>
      <c r="AM538" s="43" t="str">
        <f t="shared" si="82"/>
        <v>REZoning_Sol-Win</v>
      </c>
      <c r="AP538" t="s">
        <v>3869</v>
      </c>
      <c r="AQ538" t="s">
        <v>57</v>
      </c>
      <c r="AR538">
        <f t="shared" si="80"/>
        <v>2100</v>
      </c>
      <c r="AS538" t="s">
        <v>937</v>
      </c>
      <c r="AT538" t="s">
        <v>58</v>
      </c>
    </row>
    <row r="539" ht="29" spans="1:46">
      <c r="A539" s="31" t="s">
        <v>83</v>
      </c>
      <c r="C539" t="s">
        <v>3870</v>
      </c>
      <c r="D539" s="5" t="s">
        <v>57</v>
      </c>
      <c r="E539">
        <v>2035</v>
      </c>
      <c r="F539" s="6" t="str">
        <f t="shared" si="74"/>
        <v>*0.95</v>
      </c>
      <c r="H539" t="s">
        <v>3870</v>
      </c>
      <c r="I539" s="5" t="s">
        <v>57</v>
      </c>
      <c r="J539">
        <v>2050</v>
      </c>
      <c r="K539" s="38" t="str">
        <f t="shared" si="75"/>
        <v>*0.92</v>
      </c>
      <c r="P539" s="32" t="s">
        <v>3870</v>
      </c>
      <c r="Q539" s="42" t="s">
        <v>57</v>
      </c>
      <c r="R539" s="32">
        <v>2035</v>
      </c>
      <c r="S539" s="43" t="str">
        <f t="shared" si="76"/>
        <v>*0.95</v>
      </c>
      <c r="U539" s="32" t="s">
        <v>3870</v>
      </c>
      <c r="V539" s="42" t="s">
        <v>57</v>
      </c>
      <c r="W539" s="32">
        <v>2050</v>
      </c>
      <c r="X539" s="43" t="str">
        <f t="shared" si="77"/>
        <v>*0.92</v>
      </c>
      <c r="AC539" s="33" t="s">
        <v>3870</v>
      </c>
      <c r="AD539" s="44" t="s">
        <v>57</v>
      </c>
      <c r="AE539" s="33">
        <v>2035</v>
      </c>
      <c r="AF539" s="45" t="str">
        <f t="shared" si="78"/>
        <v>*0.93</v>
      </c>
      <c r="AG539" s="43" t="str">
        <f t="shared" si="81"/>
        <v>REZoning_Sol-Win</v>
      </c>
      <c r="AI539" s="33" t="s">
        <v>3870</v>
      </c>
      <c r="AJ539" s="44" t="s">
        <v>57</v>
      </c>
      <c r="AK539" s="33">
        <v>2050</v>
      </c>
      <c r="AL539" s="45" t="str">
        <f t="shared" si="79"/>
        <v>*0.89</v>
      </c>
      <c r="AM539" s="43" t="str">
        <f t="shared" si="82"/>
        <v>REZoning_Sol-Win</v>
      </c>
      <c r="AP539" t="s">
        <v>3870</v>
      </c>
      <c r="AQ539" t="s">
        <v>57</v>
      </c>
      <c r="AR539">
        <f t="shared" si="80"/>
        <v>2100</v>
      </c>
      <c r="AS539" t="s">
        <v>937</v>
      </c>
      <c r="AT539" t="s">
        <v>58</v>
      </c>
    </row>
    <row r="540" ht="29" spans="1:46">
      <c r="A540" s="31" t="s">
        <v>83</v>
      </c>
      <c r="C540" t="s">
        <v>3871</v>
      </c>
      <c r="D540" s="5" t="s">
        <v>57</v>
      </c>
      <c r="E540">
        <v>2035</v>
      </c>
      <c r="F540" s="6" t="str">
        <f t="shared" si="74"/>
        <v>*0.95</v>
      </c>
      <c r="H540" t="s">
        <v>3871</v>
      </c>
      <c r="I540" s="5" t="s">
        <v>57</v>
      </c>
      <c r="J540">
        <v>2050</v>
      </c>
      <c r="K540" s="38" t="str">
        <f t="shared" si="75"/>
        <v>*0.92</v>
      </c>
      <c r="P540" s="32" t="s">
        <v>3871</v>
      </c>
      <c r="Q540" s="42" t="s">
        <v>57</v>
      </c>
      <c r="R540" s="32">
        <v>2035</v>
      </c>
      <c r="S540" s="43" t="str">
        <f t="shared" si="76"/>
        <v>*0.95</v>
      </c>
      <c r="U540" s="32" t="s">
        <v>3871</v>
      </c>
      <c r="V540" s="42" t="s">
        <v>57</v>
      </c>
      <c r="W540" s="32">
        <v>2050</v>
      </c>
      <c r="X540" s="43" t="str">
        <f t="shared" si="77"/>
        <v>*0.92</v>
      </c>
      <c r="AC540" s="33" t="s">
        <v>3871</v>
      </c>
      <c r="AD540" s="44" t="s">
        <v>57</v>
      </c>
      <c r="AE540" s="33">
        <v>2035</v>
      </c>
      <c r="AF540" s="45" t="str">
        <f t="shared" si="78"/>
        <v>*0.93</v>
      </c>
      <c r="AG540" s="43" t="str">
        <f t="shared" si="81"/>
        <v>REZoning_Sol-Win</v>
      </c>
      <c r="AI540" s="33" t="s">
        <v>3871</v>
      </c>
      <c r="AJ540" s="44" t="s">
        <v>57</v>
      </c>
      <c r="AK540" s="33">
        <v>2050</v>
      </c>
      <c r="AL540" s="45" t="str">
        <f t="shared" si="79"/>
        <v>*0.89</v>
      </c>
      <c r="AM540" s="43" t="str">
        <f t="shared" si="82"/>
        <v>REZoning_Sol-Win</v>
      </c>
      <c r="AP540" t="s">
        <v>3871</v>
      </c>
      <c r="AQ540" t="s">
        <v>57</v>
      </c>
      <c r="AR540">
        <f t="shared" si="80"/>
        <v>2100</v>
      </c>
      <c r="AS540" t="s">
        <v>937</v>
      </c>
      <c r="AT540" t="s">
        <v>58</v>
      </c>
    </row>
    <row r="541" ht="29" spans="1:46">
      <c r="A541" s="31" t="s">
        <v>83</v>
      </c>
      <c r="C541" t="s">
        <v>3872</v>
      </c>
      <c r="D541" s="5" t="s">
        <v>57</v>
      </c>
      <c r="E541">
        <v>2035</v>
      </c>
      <c r="F541" s="6" t="str">
        <f t="shared" si="74"/>
        <v>*0.95</v>
      </c>
      <c r="H541" t="s">
        <v>3872</v>
      </c>
      <c r="I541" s="5" t="s">
        <v>57</v>
      </c>
      <c r="J541">
        <v>2050</v>
      </c>
      <c r="K541" s="38" t="str">
        <f t="shared" si="75"/>
        <v>*0.92</v>
      </c>
      <c r="P541" s="32" t="s">
        <v>3872</v>
      </c>
      <c r="Q541" s="42" t="s">
        <v>57</v>
      </c>
      <c r="R541" s="32">
        <v>2035</v>
      </c>
      <c r="S541" s="43" t="str">
        <f t="shared" si="76"/>
        <v>*0.95</v>
      </c>
      <c r="U541" s="32" t="s">
        <v>3872</v>
      </c>
      <c r="V541" s="42" t="s">
        <v>57</v>
      </c>
      <c r="W541" s="32">
        <v>2050</v>
      </c>
      <c r="X541" s="43" t="str">
        <f t="shared" si="77"/>
        <v>*0.92</v>
      </c>
      <c r="AC541" s="33" t="s">
        <v>3872</v>
      </c>
      <c r="AD541" s="44" t="s">
        <v>57</v>
      </c>
      <c r="AE541" s="33">
        <v>2035</v>
      </c>
      <c r="AF541" s="45" t="str">
        <f t="shared" si="78"/>
        <v>*0.93</v>
      </c>
      <c r="AG541" s="43" t="str">
        <f t="shared" si="81"/>
        <v>REZoning_Sol-Win</v>
      </c>
      <c r="AI541" s="33" t="s">
        <v>3872</v>
      </c>
      <c r="AJ541" s="44" t="s">
        <v>57</v>
      </c>
      <c r="AK541" s="33">
        <v>2050</v>
      </c>
      <c r="AL541" s="45" t="str">
        <f t="shared" si="79"/>
        <v>*0.89</v>
      </c>
      <c r="AM541" s="43" t="str">
        <f t="shared" si="82"/>
        <v>REZoning_Sol-Win</v>
      </c>
      <c r="AP541" t="s">
        <v>3872</v>
      </c>
      <c r="AQ541" t="s">
        <v>57</v>
      </c>
      <c r="AR541">
        <f t="shared" si="80"/>
        <v>2100</v>
      </c>
      <c r="AS541" t="s">
        <v>937</v>
      </c>
      <c r="AT541" t="s">
        <v>58</v>
      </c>
    </row>
    <row r="542" ht="29" spans="1:46">
      <c r="A542" s="31" t="s">
        <v>83</v>
      </c>
      <c r="C542" t="s">
        <v>3873</v>
      </c>
      <c r="D542" s="5" t="s">
        <v>57</v>
      </c>
      <c r="E542">
        <v>2035</v>
      </c>
      <c r="F542" s="6" t="str">
        <f t="shared" si="74"/>
        <v>*0.95</v>
      </c>
      <c r="H542" t="s">
        <v>3873</v>
      </c>
      <c r="I542" s="5" t="s">
        <v>57</v>
      </c>
      <c r="J542">
        <v>2050</v>
      </c>
      <c r="K542" s="38" t="str">
        <f t="shared" si="75"/>
        <v>*0.92</v>
      </c>
      <c r="P542" s="32" t="s">
        <v>3873</v>
      </c>
      <c r="Q542" s="42" t="s">
        <v>57</v>
      </c>
      <c r="R542" s="32">
        <v>2035</v>
      </c>
      <c r="S542" s="43" t="str">
        <f t="shared" si="76"/>
        <v>*0.95</v>
      </c>
      <c r="U542" s="32" t="s">
        <v>3873</v>
      </c>
      <c r="V542" s="42" t="s">
        <v>57</v>
      </c>
      <c r="W542" s="32">
        <v>2050</v>
      </c>
      <c r="X542" s="43" t="str">
        <f t="shared" si="77"/>
        <v>*0.92</v>
      </c>
      <c r="AC542" s="33" t="s">
        <v>3873</v>
      </c>
      <c r="AD542" s="44" t="s">
        <v>57</v>
      </c>
      <c r="AE542" s="33">
        <v>2035</v>
      </c>
      <c r="AF542" s="45" t="str">
        <f t="shared" si="78"/>
        <v>*0.93</v>
      </c>
      <c r="AG542" s="43" t="str">
        <f t="shared" si="81"/>
        <v>REZoning_Sol-Win</v>
      </c>
      <c r="AI542" s="33" t="s">
        <v>3873</v>
      </c>
      <c r="AJ542" s="44" t="s">
        <v>57</v>
      </c>
      <c r="AK542" s="33">
        <v>2050</v>
      </c>
      <c r="AL542" s="45" t="str">
        <f t="shared" si="79"/>
        <v>*0.89</v>
      </c>
      <c r="AM542" s="43" t="str">
        <f t="shared" si="82"/>
        <v>REZoning_Sol-Win</v>
      </c>
      <c r="AP542" t="s">
        <v>3873</v>
      </c>
      <c r="AQ542" t="s">
        <v>57</v>
      </c>
      <c r="AR542">
        <f t="shared" si="80"/>
        <v>2100</v>
      </c>
      <c r="AS542" t="s">
        <v>937</v>
      </c>
      <c r="AT542" t="s">
        <v>58</v>
      </c>
    </row>
    <row r="543" ht="29" spans="1:46">
      <c r="A543" s="31" t="s">
        <v>83</v>
      </c>
      <c r="C543" t="s">
        <v>3874</v>
      </c>
      <c r="D543" s="5" t="s">
        <v>57</v>
      </c>
      <c r="E543">
        <v>2035</v>
      </c>
      <c r="F543" s="6" t="str">
        <f t="shared" si="74"/>
        <v>*0.95</v>
      </c>
      <c r="H543" t="s">
        <v>3874</v>
      </c>
      <c r="I543" s="5" t="s">
        <v>57</v>
      </c>
      <c r="J543">
        <v>2050</v>
      </c>
      <c r="K543" s="38" t="str">
        <f t="shared" si="75"/>
        <v>*0.92</v>
      </c>
      <c r="P543" s="32" t="s">
        <v>3874</v>
      </c>
      <c r="Q543" s="42" t="s">
        <v>57</v>
      </c>
      <c r="R543" s="32">
        <v>2035</v>
      </c>
      <c r="S543" s="43" t="str">
        <f t="shared" si="76"/>
        <v>*0.95</v>
      </c>
      <c r="U543" s="32" t="s">
        <v>3874</v>
      </c>
      <c r="V543" s="42" t="s">
        <v>57</v>
      </c>
      <c r="W543" s="32">
        <v>2050</v>
      </c>
      <c r="X543" s="43" t="str">
        <f t="shared" si="77"/>
        <v>*0.92</v>
      </c>
      <c r="AC543" s="33" t="s">
        <v>3874</v>
      </c>
      <c r="AD543" s="44" t="s">
        <v>57</v>
      </c>
      <c r="AE543" s="33">
        <v>2035</v>
      </c>
      <c r="AF543" s="45" t="str">
        <f t="shared" si="78"/>
        <v>*0.93</v>
      </c>
      <c r="AG543" s="43" t="str">
        <f t="shared" si="81"/>
        <v>REZoning_Sol-Win</v>
      </c>
      <c r="AI543" s="33" t="s">
        <v>3874</v>
      </c>
      <c r="AJ543" s="44" t="s">
        <v>57</v>
      </c>
      <c r="AK543" s="33">
        <v>2050</v>
      </c>
      <c r="AL543" s="45" t="str">
        <f t="shared" si="79"/>
        <v>*0.89</v>
      </c>
      <c r="AM543" s="43" t="str">
        <f t="shared" si="82"/>
        <v>REZoning_Sol-Win</v>
      </c>
      <c r="AP543" t="s">
        <v>3874</v>
      </c>
      <c r="AQ543" t="s">
        <v>57</v>
      </c>
      <c r="AR543">
        <f t="shared" si="80"/>
        <v>2100</v>
      </c>
      <c r="AS543" t="s">
        <v>937</v>
      </c>
      <c r="AT543" t="s">
        <v>58</v>
      </c>
    </row>
    <row r="544" ht="29" spans="1:46">
      <c r="A544" s="31" t="s">
        <v>83</v>
      </c>
      <c r="C544" t="s">
        <v>3875</v>
      </c>
      <c r="D544" s="5" t="s">
        <v>57</v>
      </c>
      <c r="E544">
        <v>2035</v>
      </c>
      <c r="F544" s="6" t="str">
        <f t="shared" si="74"/>
        <v>*0.95</v>
      </c>
      <c r="H544" t="s">
        <v>3875</v>
      </c>
      <c r="I544" s="5" t="s">
        <v>57</v>
      </c>
      <c r="J544">
        <v>2050</v>
      </c>
      <c r="K544" s="38" t="str">
        <f t="shared" si="75"/>
        <v>*0.92</v>
      </c>
      <c r="P544" s="32" t="s">
        <v>3875</v>
      </c>
      <c r="Q544" s="42" t="s">
        <v>57</v>
      </c>
      <c r="R544" s="32">
        <v>2035</v>
      </c>
      <c r="S544" s="43" t="str">
        <f t="shared" si="76"/>
        <v>*0.95</v>
      </c>
      <c r="U544" s="32" t="s">
        <v>3875</v>
      </c>
      <c r="V544" s="42" t="s">
        <v>57</v>
      </c>
      <c r="W544" s="32">
        <v>2050</v>
      </c>
      <c r="X544" s="43" t="str">
        <f t="shared" si="77"/>
        <v>*0.92</v>
      </c>
      <c r="AC544" s="33" t="s">
        <v>3875</v>
      </c>
      <c r="AD544" s="44" t="s">
        <v>57</v>
      </c>
      <c r="AE544" s="33">
        <v>2035</v>
      </c>
      <c r="AF544" s="45" t="str">
        <f t="shared" si="78"/>
        <v>*0.93</v>
      </c>
      <c r="AG544" s="43" t="str">
        <f t="shared" si="81"/>
        <v>REZoning_Sol-Win</v>
      </c>
      <c r="AI544" s="33" t="s">
        <v>3875</v>
      </c>
      <c r="AJ544" s="44" t="s">
        <v>57</v>
      </c>
      <c r="AK544" s="33">
        <v>2050</v>
      </c>
      <c r="AL544" s="45" t="str">
        <f t="shared" si="79"/>
        <v>*0.89</v>
      </c>
      <c r="AM544" s="43" t="str">
        <f t="shared" si="82"/>
        <v>REZoning_Sol-Win</v>
      </c>
      <c r="AP544" t="s">
        <v>3875</v>
      </c>
      <c r="AQ544" t="s">
        <v>57</v>
      </c>
      <c r="AR544">
        <f t="shared" si="80"/>
        <v>2100</v>
      </c>
      <c r="AS544" t="s">
        <v>937</v>
      </c>
      <c r="AT544" t="s">
        <v>58</v>
      </c>
    </row>
    <row r="545" ht="29" spans="1:46">
      <c r="A545" s="31" t="s">
        <v>83</v>
      </c>
      <c r="C545" t="s">
        <v>3876</v>
      </c>
      <c r="D545" s="5" t="s">
        <v>57</v>
      </c>
      <c r="E545">
        <v>2035</v>
      </c>
      <c r="F545" s="6" t="str">
        <f t="shared" si="74"/>
        <v>*0.95</v>
      </c>
      <c r="H545" t="s">
        <v>3876</v>
      </c>
      <c r="I545" s="5" t="s">
        <v>57</v>
      </c>
      <c r="J545">
        <v>2050</v>
      </c>
      <c r="K545" s="38" t="str">
        <f t="shared" si="75"/>
        <v>*0.92</v>
      </c>
      <c r="P545" s="32" t="s">
        <v>3876</v>
      </c>
      <c r="Q545" s="42" t="s">
        <v>57</v>
      </c>
      <c r="R545" s="32">
        <v>2035</v>
      </c>
      <c r="S545" s="43" t="str">
        <f t="shared" si="76"/>
        <v>*0.95</v>
      </c>
      <c r="U545" s="32" t="s">
        <v>3876</v>
      </c>
      <c r="V545" s="42" t="s">
        <v>57</v>
      </c>
      <c r="W545" s="32">
        <v>2050</v>
      </c>
      <c r="X545" s="43" t="str">
        <f t="shared" si="77"/>
        <v>*0.92</v>
      </c>
      <c r="AC545" s="33" t="s">
        <v>3876</v>
      </c>
      <c r="AD545" s="44" t="s">
        <v>57</v>
      </c>
      <c r="AE545" s="33">
        <v>2035</v>
      </c>
      <c r="AF545" s="45" t="str">
        <f t="shared" si="78"/>
        <v>*0.93</v>
      </c>
      <c r="AG545" s="43" t="str">
        <f t="shared" si="81"/>
        <v>REZoning_Sol-Win</v>
      </c>
      <c r="AI545" s="33" t="s">
        <v>3876</v>
      </c>
      <c r="AJ545" s="44" t="s">
        <v>57</v>
      </c>
      <c r="AK545" s="33">
        <v>2050</v>
      </c>
      <c r="AL545" s="45" t="str">
        <f t="shared" si="79"/>
        <v>*0.89</v>
      </c>
      <c r="AM545" s="43" t="str">
        <f t="shared" si="82"/>
        <v>REZoning_Sol-Win</v>
      </c>
      <c r="AP545" t="s">
        <v>3876</v>
      </c>
      <c r="AQ545" t="s">
        <v>57</v>
      </c>
      <c r="AR545">
        <f t="shared" si="80"/>
        <v>2100</v>
      </c>
      <c r="AS545" t="s">
        <v>937</v>
      </c>
      <c r="AT545" t="s">
        <v>58</v>
      </c>
    </row>
    <row r="546" ht="29" spans="1:46">
      <c r="A546" s="31" t="s">
        <v>83</v>
      </c>
      <c r="C546" t="s">
        <v>3877</v>
      </c>
      <c r="D546" s="5" t="s">
        <v>57</v>
      </c>
      <c r="E546">
        <v>2035</v>
      </c>
      <c r="F546" s="6" t="str">
        <f t="shared" si="74"/>
        <v>*0.95</v>
      </c>
      <c r="H546" t="s">
        <v>3877</v>
      </c>
      <c r="I546" s="5" t="s">
        <v>57</v>
      </c>
      <c r="J546">
        <v>2050</v>
      </c>
      <c r="K546" s="38" t="str">
        <f t="shared" si="75"/>
        <v>*0.92</v>
      </c>
      <c r="P546" s="32" t="s">
        <v>3877</v>
      </c>
      <c r="Q546" s="42" t="s">
        <v>57</v>
      </c>
      <c r="R546" s="32">
        <v>2035</v>
      </c>
      <c r="S546" s="43" t="str">
        <f t="shared" si="76"/>
        <v>*0.95</v>
      </c>
      <c r="U546" s="32" t="s">
        <v>3877</v>
      </c>
      <c r="V546" s="42" t="s">
        <v>57</v>
      </c>
      <c r="W546" s="32">
        <v>2050</v>
      </c>
      <c r="X546" s="43" t="str">
        <f t="shared" si="77"/>
        <v>*0.92</v>
      </c>
      <c r="AC546" s="33" t="s">
        <v>3877</v>
      </c>
      <c r="AD546" s="44" t="s">
        <v>57</v>
      </c>
      <c r="AE546" s="33">
        <v>2035</v>
      </c>
      <c r="AF546" s="45" t="str">
        <f t="shared" si="78"/>
        <v>*0.93</v>
      </c>
      <c r="AG546" s="43" t="str">
        <f t="shared" si="81"/>
        <v>REZoning_Sol-Win</v>
      </c>
      <c r="AI546" s="33" t="s">
        <v>3877</v>
      </c>
      <c r="AJ546" s="44" t="s">
        <v>57</v>
      </c>
      <c r="AK546" s="33">
        <v>2050</v>
      </c>
      <c r="AL546" s="45" t="str">
        <f t="shared" si="79"/>
        <v>*0.89</v>
      </c>
      <c r="AM546" s="43" t="str">
        <f t="shared" si="82"/>
        <v>REZoning_Sol-Win</v>
      </c>
      <c r="AP546" t="s">
        <v>3877</v>
      </c>
      <c r="AQ546" t="s">
        <v>57</v>
      </c>
      <c r="AR546">
        <f t="shared" si="80"/>
        <v>2100</v>
      </c>
      <c r="AS546" t="s">
        <v>937</v>
      </c>
      <c r="AT546" t="s">
        <v>58</v>
      </c>
    </row>
    <row r="547" ht="29" spans="1:46">
      <c r="A547" s="31" t="s">
        <v>83</v>
      </c>
      <c r="C547" t="s">
        <v>3878</v>
      </c>
      <c r="D547" s="5" t="s">
        <v>57</v>
      </c>
      <c r="E547">
        <v>2035</v>
      </c>
      <c r="F547" s="6" t="str">
        <f t="shared" si="74"/>
        <v>*0.95</v>
      </c>
      <c r="H547" t="s">
        <v>3878</v>
      </c>
      <c r="I547" s="5" t="s">
        <v>57</v>
      </c>
      <c r="J547">
        <v>2050</v>
      </c>
      <c r="K547" s="38" t="str">
        <f t="shared" si="75"/>
        <v>*0.92</v>
      </c>
      <c r="P547" s="32" t="s">
        <v>3878</v>
      </c>
      <c r="Q547" s="42" t="s">
        <v>57</v>
      </c>
      <c r="R547" s="32">
        <v>2035</v>
      </c>
      <c r="S547" s="43" t="str">
        <f t="shared" si="76"/>
        <v>*0.95</v>
      </c>
      <c r="U547" s="32" t="s">
        <v>3878</v>
      </c>
      <c r="V547" s="42" t="s">
        <v>57</v>
      </c>
      <c r="W547" s="32">
        <v>2050</v>
      </c>
      <c r="X547" s="43" t="str">
        <f t="shared" si="77"/>
        <v>*0.92</v>
      </c>
      <c r="AC547" s="33" t="s">
        <v>3878</v>
      </c>
      <c r="AD547" s="44" t="s">
        <v>57</v>
      </c>
      <c r="AE547" s="33">
        <v>2035</v>
      </c>
      <c r="AF547" s="45" t="str">
        <f t="shared" si="78"/>
        <v>*0.93</v>
      </c>
      <c r="AG547" s="43" t="str">
        <f t="shared" si="81"/>
        <v>REZoning_Sol-Win</v>
      </c>
      <c r="AI547" s="33" t="s">
        <v>3878</v>
      </c>
      <c r="AJ547" s="44" t="s">
        <v>57</v>
      </c>
      <c r="AK547" s="33">
        <v>2050</v>
      </c>
      <c r="AL547" s="45" t="str">
        <f t="shared" si="79"/>
        <v>*0.89</v>
      </c>
      <c r="AM547" s="43" t="str">
        <f t="shared" si="82"/>
        <v>REZoning_Sol-Win</v>
      </c>
      <c r="AP547" t="s">
        <v>3878</v>
      </c>
      <c r="AQ547" t="s">
        <v>57</v>
      </c>
      <c r="AR547">
        <f t="shared" si="80"/>
        <v>2100</v>
      </c>
      <c r="AS547" t="s">
        <v>937</v>
      </c>
      <c r="AT547" t="s">
        <v>58</v>
      </c>
    </row>
    <row r="548" ht="29" spans="1:46">
      <c r="A548" s="31" t="s">
        <v>83</v>
      </c>
      <c r="C548" t="s">
        <v>3879</v>
      </c>
      <c r="D548" s="5" t="s">
        <v>57</v>
      </c>
      <c r="E548">
        <v>2035</v>
      </c>
      <c r="F548" s="6" t="str">
        <f t="shared" si="74"/>
        <v>*0.95</v>
      </c>
      <c r="H548" t="s">
        <v>3879</v>
      </c>
      <c r="I548" s="5" t="s">
        <v>57</v>
      </c>
      <c r="J548">
        <v>2050</v>
      </c>
      <c r="K548" s="38" t="str">
        <f t="shared" si="75"/>
        <v>*0.92</v>
      </c>
      <c r="P548" s="32" t="s">
        <v>3879</v>
      </c>
      <c r="Q548" s="42" t="s">
        <v>57</v>
      </c>
      <c r="R548" s="32">
        <v>2035</v>
      </c>
      <c r="S548" s="43" t="str">
        <f t="shared" si="76"/>
        <v>*0.95</v>
      </c>
      <c r="U548" s="32" t="s">
        <v>3879</v>
      </c>
      <c r="V548" s="42" t="s">
        <v>57</v>
      </c>
      <c r="W548" s="32">
        <v>2050</v>
      </c>
      <c r="X548" s="43" t="str">
        <f t="shared" si="77"/>
        <v>*0.92</v>
      </c>
      <c r="AC548" s="33" t="s">
        <v>3879</v>
      </c>
      <c r="AD548" s="44" t="s">
        <v>57</v>
      </c>
      <c r="AE548" s="33">
        <v>2035</v>
      </c>
      <c r="AF548" s="45" t="str">
        <f t="shared" si="78"/>
        <v>*0.93</v>
      </c>
      <c r="AG548" s="43" t="str">
        <f t="shared" si="81"/>
        <v>REZoning_Sol-Win</v>
      </c>
      <c r="AI548" s="33" t="s">
        <v>3879</v>
      </c>
      <c r="AJ548" s="44" t="s">
        <v>57</v>
      </c>
      <c r="AK548" s="33">
        <v>2050</v>
      </c>
      <c r="AL548" s="45" t="str">
        <f t="shared" si="79"/>
        <v>*0.89</v>
      </c>
      <c r="AM548" s="43" t="str">
        <f t="shared" si="82"/>
        <v>REZoning_Sol-Win</v>
      </c>
      <c r="AP548" t="s">
        <v>3879</v>
      </c>
      <c r="AQ548" t="s">
        <v>57</v>
      </c>
      <c r="AR548">
        <f t="shared" si="80"/>
        <v>2100</v>
      </c>
      <c r="AS548" t="s">
        <v>937</v>
      </c>
      <c r="AT548" t="s">
        <v>58</v>
      </c>
    </row>
    <row r="549" ht="29" spans="1:46">
      <c r="A549" s="31" t="s">
        <v>83</v>
      </c>
      <c r="C549" t="s">
        <v>3880</v>
      </c>
      <c r="D549" s="5" t="s">
        <v>57</v>
      </c>
      <c r="E549">
        <v>2035</v>
      </c>
      <c r="F549" s="6" t="str">
        <f t="shared" si="74"/>
        <v>*0.95</v>
      </c>
      <c r="H549" t="s">
        <v>3880</v>
      </c>
      <c r="I549" s="5" t="s">
        <v>57</v>
      </c>
      <c r="J549">
        <v>2050</v>
      </c>
      <c r="K549" s="38" t="str">
        <f t="shared" si="75"/>
        <v>*0.92</v>
      </c>
      <c r="P549" s="32" t="s">
        <v>3880</v>
      </c>
      <c r="Q549" s="42" t="s">
        <v>57</v>
      </c>
      <c r="R549" s="32">
        <v>2035</v>
      </c>
      <c r="S549" s="43" t="str">
        <f t="shared" si="76"/>
        <v>*0.95</v>
      </c>
      <c r="U549" s="32" t="s">
        <v>3880</v>
      </c>
      <c r="V549" s="42" t="s">
        <v>57</v>
      </c>
      <c r="W549" s="32">
        <v>2050</v>
      </c>
      <c r="X549" s="43" t="str">
        <f t="shared" si="77"/>
        <v>*0.92</v>
      </c>
      <c r="AC549" s="33" t="s">
        <v>3880</v>
      </c>
      <c r="AD549" s="44" t="s">
        <v>57</v>
      </c>
      <c r="AE549" s="33">
        <v>2035</v>
      </c>
      <c r="AF549" s="45" t="str">
        <f t="shared" si="78"/>
        <v>*0.93</v>
      </c>
      <c r="AG549" s="43" t="str">
        <f t="shared" si="81"/>
        <v>REZoning_Sol-Win</v>
      </c>
      <c r="AI549" s="33" t="s">
        <v>3880</v>
      </c>
      <c r="AJ549" s="44" t="s">
        <v>57</v>
      </c>
      <c r="AK549" s="33">
        <v>2050</v>
      </c>
      <c r="AL549" s="45" t="str">
        <f t="shared" si="79"/>
        <v>*0.89</v>
      </c>
      <c r="AM549" s="43" t="str">
        <f t="shared" si="82"/>
        <v>REZoning_Sol-Win</v>
      </c>
      <c r="AP549" t="s">
        <v>3880</v>
      </c>
      <c r="AQ549" t="s">
        <v>57</v>
      </c>
      <c r="AR549">
        <f t="shared" si="80"/>
        <v>2100</v>
      </c>
      <c r="AS549" t="s">
        <v>937</v>
      </c>
      <c r="AT549" t="s">
        <v>58</v>
      </c>
    </row>
    <row r="550" ht="29" spans="1:46">
      <c r="A550" s="31" t="s">
        <v>83</v>
      </c>
      <c r="C550" t="s">
        <v>3881</v>
      </c>
      <c r="D550" s="5" t="s">
        <v>57</v>
      </c>
      <c r="E550">
        <v>2035</v>
      </c>
      <c r="F550" s="6" t="str">
        <f t="shared" si="74"/>
        <v>*0.95</v>
      </c>
      <c r="H550" t="s">
        <v>3881</v>
      </c>
      <c r="I550" s="5" t="s">
        <v>57</v>
      </c>
      <c r="J550">
        <v>2050</v>
      </c>
      <c r="K550" s="38" t="str">
        <f t="shared" si="75"/>
        <v>*0.92</v>
      </c>
      <c r="P550" s="32" t="s">
        <v>3881</v>
      </c>
      <c r="Q550" s="42" t="s">
        <v>57</v>
      </c>
      <c r="R550" s="32">
        <v>2035</v>
      </c>
      <c r="S550" s="43" t="str">
        <f t="shared" si="76"/>
        <v>*0.95</v>
      </c>
      <c r="U550" s="32" t="s">
        <v>3881</v>
      </c>
      <c r="V550" s="42" t="s">
        <v>57</v>
      </c>
      <c r="W550" s="32">
        <v>2050</v>
      </c>
      <c r="X550" s="43" t="str">
        <f t="shared" si="77"/>
        <v>*0.92</v>
      </c>
      <c r="AC550" s="33" t="s">
        <v>3881</v>
      </c>
      <c r="AD550" s="44" t="s">
        <v>57</v>
      </c>
      <c r="AE550" s="33">
        <v>2035</v>
      </c>
      <c r="AF550" s="45" t="str">
        <f t="shared" si="78"/>
        <v>*0.93</v>
      </c>
      <c r="AG550" s="43" t="str">
        <f t="shared" si="81"/>
        <v>REZoning_Sol-Win</v>
      </c>
      <c r="AI550" s="33" t="s">
        <v>3881</v>
      </c>
      <c r="AJ550" s="44" t="s">
        <v>57</v>
      </c>
      <c r="AK550" s="33">
        <v>2050</v>
      </c>
      <c r="AL550" s="45" t="str">
        <f t="shared" si="79"/>
        <v>*0.89</v>
      </c>
      <c r="AM550" s="43" t="str">
        <f t="shared" si="82"/>
        <v>REZoning_Sol-Win</v>
      </c>
      <c r="AP550" t="s">
        <v>3881</v>
      </c>
      <c r="AQ550" t="s">
        <v>57</v>
      </c>
      <c r="AR550">
        <f t="shared" si="80"/>
        <v>2100</v>
      </c>
      <c r="AS550" t="s">
        <v>937</v>
      </c>
      <c r="AT550" t="s">
        <v>58</v>
      </c>
    </row>
    <row r="551" ht="29" spans="1:46">
      <c r="A551" s="31" t="s">
        <v>494</v>
      </c>
      <c r="C551" t="s">
        <v>3882</v>
      </c>
      <c r="D551" s="5" t="s">
        <v>57</v>
      </c>
      <c r="E551">
        <v>2035</v>
      </c>
      <c r="F551" s="6" t="str">
        <f t="shared" si="74"/>
        <v>*0.94</v>
      </c>
      <c r="H551" t="s">
        <v>3882</v>
      </c>
      <c r="I551" s="5" t="s">
        <v>57</v>
      </c>
      <c r="J551">
        <v>2050</v>
      </c>
      <c r="K551" s="38" t="str">
        <f t="shared" si="75"/>
        <v>*0.92</v>
      </c>
      <c r="P551" s="32" t="s">
        <v>3882</v>
      </c>
      <c r="Q551" s="42" t="s">
        <v>57</v>
      </c>
      <c r="R551" s="32">
        <v>2035</v>
      </c>
      <c r="S551" s="43" t="str">
        <f t="shared" si="76"/>
        <v>*0.94</v>
      </c>
      <c r="U551" s="32" t="s">
        <v>3882</v>
      </c>
      <c r="V551" s="42" t="s">
        <v>57</v>
      </c>
      <c r="W551" s="32">
        <v>2050</v>
      </c>
      <c r="X551" s="43" t="str">
        <f t="shared" si="77"/>
        <v>*0.92</v>
      </c>
      <c r="AC551" s="33" t="s">
        <v>3882</v>
      </c>
      <c r="AD551" s="44" t="s">
        <v>57</v>
      </c>
      <c r="AE551" s="33">
        <v>2035</v>
      </c>
      <c r="AF551" s="45" t="str">
        <f t="shared" si="78"/>
        <v>*0.92</v>
      </c>
      <c r="AG551" s="43" t="str">
        <f t="shared" si="81"/>
        <v>REZoning_Sol-Win</v>
      </c>
      <c r="AI551" s="33" t="s">
        <v>3882</v>
      </c>
      <c r="AJ551" s="44" t="s">
        <v>57</v>
      </c>
      <c r="AK551" s="33">
        <v>2050</v>
      </c>
      <c r="AL551" s="45" t="str">
        <f t="shared" si="79"/>
        <v>*0.89</v>
      </c>
      <c r="AM551" s="43" t="str">
        <f t="shared" si="82"/>
        <v>REZoning_Sol-Win</v>
      </c>
      <c r="AP551" t="s">
        <v>3882</v>
      </c>
      <c r="AQ551" t="s">
        <v>57</v>
      </c>
      <c r="AR551">
        <f t="shared" si="80"/>
        <v>2100</v>
      </c>
      <c r="AS551" t="s">
        <v>937</v>
      </c>
      <c r="AT551" t="s">
        <v>58</v>
      </c>
    </row>
    <row r="552" ht="29" spans="1:46">
      <c r="A552" s="31" t="s">
        <v>494</v>
      </c>
      <c r="C552" t="s">
        <v>3883</v>
      </c>
      <c r="D552" s="5" t="s">
        <v>57</v>
      </c>
      <c r="E552">
        <v>2035</v>
      </c>
      <c r="F552" s="6" t="str">
        <f t="shared" si="74"/>
        <v>*0.94</v>
      </c>
      <c r="H552" t="s">
        <v>3883</v>
      </c>
      <c r="I552" s="5" t="s">
        <v>57</v>
      </c>
      <c r="J552">
        <v>2050</v>
      </c>
      <c r="K552" s="38" t="str">
        <f t="shared" si="75"/>
        <v>*0.92</v>
      </c>
      <c r="P552" s="32" t="s">
        <v>3883</v>
      </c>
      <c r="Q552" s="42" t="s">
        <v>57</v>
      </c>
      <c r="R552" s="32">
        <v>2035</v>
      </c>
      <c r="S552" s="43" t="str">
        <f t="shared" si="76"/>
        <v>*0.94</v>
      </c>
      <c r="U552" s="32" t="s">
        <v>3883</v>
      </c>
      <c r="V552" s="42" t="s">
        <v>57</v>
      </c>
      <c r="W552" s="32">
        <v>2050</v>
      </c>
      <c r="X552" s="43" t="str">
        <f t="shared" si="77"/>
        <v>*0.92</v>
      </c>
      <c r="AC552" s="33" t="s">
        <v>3883</v>
      </c>
      <c r="AD552" s="44" t="s">
        <v>57</v>
      </c>
      <c r="AE552" s="33">
        <v>2035</v>
      </c>
      <c r="AF552" s="45" t="str">
        <f t="shared" si="78"/>
        <v>*0.92</v>
      </c>
      <c r="AG552" s="43" t="str">
        <f t="shared" si="81"/>
        <v>REZoning_Sol-Win</v>
      </c>
      <c r="AI552" s="33" t="s">
        <v>3883</v>
      </c>
      <c r="AJ552" s="44" t="s">
        <v>57</v>
      </c>
      <c r="AK552" s="33">
        <v>2050</v>
      </c>
      <c r="AL552" s="45" t="str">
        <f t="shared" si="79"/>
        <v>*0.89</v>
      </c>
      <c r="AM552" s="43" t="str">
        <f t="shared" si="82"/>
        <v>REZoning_Sol-Win</v>
      </c>
      <c r="AP552" t="s">
        <v>3883</v>
      </c>
      <c r="AQ552" t="s">
        <v>57</v>
      </c>
      <c r="AR552">
        <f t="shared" si="80"/>
        <v>2100</v>
      </c>
      <c r="AS552" t="s">
        <v>937</v>
      </c>
      <c r="AT552" t="s">
        <v>58</v>
      </c>
    </row>
    <row r="553" ht="29" spans="1:46">
      <c r="A553" s="31" t="s">
        <v>494</v>
      </c>
      <c r="C553" t="s">
        <v>3884</v>
      </c>
      <c r="D553" s="5" t="s">
        <v>57</v>
      </c>
      <c r="E553">
        <v>2035</v>
      </c>
      <c r="F553" s="6" t="str">
        <f t="shared" si="74"/>
        <v>*0.94</v>
      </c>
      <c r="H553" t="s">
        <v>3884</v>
      </c>
      <c r="I553" s="5" t="s">
        <v>57</v>
      </c>
      <c r="J553">
        <v>2050</v>
      </c>
      <c r="K553" s="38" t="str">
        <f t="shared" si="75"/>
        <v>*0.92</v>
      </c>
      <c r="P553" s="32" t="s">
        <v>3884</v>
      </c>
      <c r="Q553" s="42" t="s">
        <v>57</v>
      </c>
      <c r="R553" s="32">
        <v>2035</v>
      </c>
      <c r="S553" s="43" t="str">
        <f t="shared" si="76"/>
        <v>*0.94</v>
      </c>
      <c r="U553" s="32" t="s">
        <v>3884</v>
      </c>
      <c r="V553" s="42" t="s">
        <v>57</v>
      </c>
      <c r="W553" s="32">
        <v>2050</v>
      </c>
      <c r="X553" s="43" t="str">
        <f t="shared" si="77"/>
        <v>*0.92</v>
      </c>
      <c r="AC553" s="33" t="s">
        <v>3884</v>
      </c>
      <c r="AD553" s="44" t="s">
        <v>57</v>
      </c>
      <c r="AE553" s="33">
        <v>2035</v>
      </c>
      <c r="AF553" s="45" t="str">
        <f t="shared" si="78"/>
        <v>*0.92</v>
      </c>
      <c r="AG553" s="43" t="str">
        <f t="shared" si="81"/>
        <v>REZoning_Sol-Win</v>
      </c>
      <c r="AI553" s="33" t="s">
        <v>3884</v>
      </c>
      <c r="AJ553" s="44" t="s">
        <v>57</v>
      </c>
      <c r="AK553" s="33">
        <v>2050</v>
      </c>
      <c r="AL553" s="45" t="str">
        <f t="shared" si="79"/>
        <v>*0.89</v>
      </c>
      <c r="AM553" s="43" t="str">
        <f t="shared" si="82"/>
        <v>REZoning_Sol-Win</v>
      </c>
      <c r="AP553" t="s">
        <v>3884</v>
      </c>
      <c r="AQ553" t="s">
        <v>57</v>
      </c>
      <c r="AR553">
        <f t="shared" si="80"/>
        <v>2100</v>
      </c>
      <c r="AS553" t="s">
        <v>937</v>
      </c>
      <c r="AT553" t="s">
        <v>58</v>
      </c>
    </row>
    <row r="554" ht="29" spans="1:46">
      <c r="A554" s="31" t="s">
        <v>494</v>
      </c>
      <c r="C554" t="s">
        <v>3885</v>
      </c>
      <c r="D554" s="5" t="s">
        <v>57</v>
      </c>
      <c r="E554">
        <v>2035</v>
      </c>
      <c r="F554" s="6" t="str">
        <f t="shared" si="74"/>
        <v>*0.94</v>
      </c>
      <c r="H554" t="s">
        <v>3885</v>
      </c>
      <c r="I554" s="5" t="s">
        <v>57</v>
      </c>
      <c r="J554">
        <v>2050</v>
      </c>
      <c r="K554" s="38" t="str">
        <f t="shared" si="75"/>
        <v>*0.92</v>
      </c>
      <c r="P554" s="32" t="s">
        <v>3885</v>
      </c>
      <c r="Q554" s="42" t="s">
        <v>57</v>
      </c>
      <c r="R554" s="32">
        <v>2035</v>
      </c>
      <c r="S554" s="43" t="str">
        <f t="shared" si="76"/>
        <v>*0.94</v>
      </c>
      <c r="U554" s="32" t="s">
        <v>3885</v>
      </c>
      <c r="V554" s="42" t="s">
        <v>57</v>
      </c>
      <c r="W554" s="32">
        <v>2050</v>
      </c>
      <c r="X554" s="43" t="str">
        <f t="shared" si="77"/>
        <v>*0.92</v>
      </c>
      <c r="AC554" s="33" t="s">
        <v>3885</v>
      </c>
      <c r="AD554" s="44" t="s">
        <v>57</v>
      </c>
      <c r="AE554" s="33">
        <v>2035</v>
      </c>
      <c r="AF554" s="45" t="str">
        <f t="shared" si="78"/>
        <v>*0.92</v>
      </c>
      <c r="AG554" s="43" t="str">
        <f t="shared" si="81"/>
        <v>REZoning_Sol-Win</v>
      </c>
      <c r="AI554" s="33" t="s">
        <v>3885</v>
      </c>
      <c r="AJ554" s="44" t="s">
        <v>57</v>
      </c>
      <c r="AK554" s="33">
        <v>2050</v>
      </c>
      <c r="AL554" s="45" t="str">
        <f t="shared" si="79"/>
        <v>*0.89</v>
      </c>
      <c r="AM554" s="43" t="str">
        <f t="shared" si="82"/>
        <v>REZoning_Sol-Win</v>
      </c>
      <c r="AP554" t="s">
        <v>3885</v>
      </c>
      <c r="AQ554" t="s">
        <v>57</v>
      </c>
      <c r="AR554">
        <f t="shared" si="80"/>
        <v>2100</v>
      </c>
      <c r="AS554" t="s">
        <v>937</v>
      </c>
      <c r="AT554" t="s">
        <v>58</v>
      </c>
    </row>
    <row r="555" ht="29" spans="1:46">
      <c r="A555" s="31" t="s">
        <v>65</v>
      </c>
      <c r="C555" t="s">
        <v>3886</v>
      </c>
      <c r="D555" s="5" t="s">
        <v>57</v>
      </c>
      <c r="E555">
        <v>2035</v>
      </c>
      <c r="F555" s="6" t="str">
        <f t="shared" si="74"/>
        <v>*0.94</v>
      </c>
      <c r="H555" t="s">
        <v>3886</v>
      </c>
      <c r="I555" s="5" t="s">
        <v>57</v>
      </c>
      <c r="J555">
        <v>2050</v>
      </c>
      <c r="K555" s="38" t="str">
        <f t="shared" si="75"/>
        <v>*0.91</v>
      </c>
      <c r="P555" s="32" t="s">
        <v>3886</v>
      </c>
      <c r="Q555" s="42" t="s">
        <v>57</v>
      </c>
      <c r="R555" s="32">
        <v>2035</v>
      </c>
      <c r="S555" s="43" t="str">
        <f t="shared" si="76"/>
        <v>*0.93</v>
      </c>
      <c r="U555" s="32" t="s">
        <v>3886</v>
      </c>
      <c r="V555" s="42" t="s">
        <v>57</v>
      </c>
      <c r="W555" s="32">
        <v>2050</v>
      </c>
      <c r="X555" s="43" t="str">
        <f t="shared" si="77"/>
        <v>*0.9</v>
      </c>
      <c r="AC555" s="33" t="s">
        <v>3886</v>
      </c>
      <c r="AD555" s="44" t="s">
        <v>57</v>
      </c>
      <c r="AE555" s="33">
        <v>2035</v>
      </c>
      <c r="AF555" s="45" t="str">
        <f t="shared" si="78"/>
        <v>*0.9</v>
      </c>
      <c r="AG555" s="43" t="str">
        <f t="shared" si="81"/>
        <v>REZoning_Sol-Win</v>
      </c>
      <c r="AI555" s="33" t="s">
        <v>3886</v>
      </c>
      <c r="AJ555" s="44" t="s">
        <v>57</v>
      </c>
      <c r="AK555" s="33">
        <v>2050</v>
      </c>
      <c r="AL555" s="45" t="str">
        <f t="shared" si="79"/>
        <v>*0.86</v>
      </c>
      <c r="AM555" s="43" t="str">
        <f t="shared" si="82"/>
        <v>REZoning_Sol-Win</v>
      </c>
      <c r="AP555" t="s">
        <v>3886</v>
      </c>
      <c r="AQ555" t="s">
        <v>57</v>
      </c>
      <c r="AR555">
        <f t="shared" si="80"/>
        <v>2100</v>
      </c>
      <c r="AS555" t="s">
        <v>883</v>
      </c>
      <c r="AT555" t="s">
        <v>58</v>
      </c>
    </row>
    <row r="556" ht="29" spans="1:46">
      <c r="A556" s="31" t="s">
        <v>65</v>
      </c>
      <c r="C556" t="s">
        <v>3887</v>
      </c>
      <c r="D556" s="5" t="s">
        <v>57</v>
      </c>
      <c r="E556">
        <v>2035</v>
      </c>
      <c r="F556" s="6" t="str">
        <f t="shared" si="74"/>
        <v>*0.94</v>
      </c>
      <c r="H556" t="s">
        <v>3887</v>
      </c>
      <c r="I556" s="5" t="s">
        <v>57</v>
      </c>
      <c r="J556">
        <v>2050</v>
      </c>
      <c r="K556" s="38" t="str">
        <f t="shared" si="75"/>
        <v>*0.91</v>
      </c>
      <c r="P556" s="32" t="s">
        <v>3887</v>
      </c>
      <c r="Q556" s="42" t="s">
        <v>57</v>
      </c>
      <c r="R556" s="32">
        <v>2035</v>
      </c>
      <c r="S556" s="43" t="str">
        <f t="shared" si="76"/>
        <v>*0.93</v>
      </c>
      <c r="U556" s="32" t="s">
        <v>3887</v>
      </c>
      <c r="V556" s="42" t="s">
        <v>57</v>
      </c>
      <c r="W556" s="32">
        <v>2050</v>
      </c>
      <c r="X556" s="43" t="str">
        <f t="shared" si="77"/>
        <v>*0.9</v>
      </c>
      <c r="AC556" s="33" t="s">
        <v>3887</v>
      </c>
      <c r="AD556" s="44" t="s">
        <v>57</v>
      </c>
      <c r="AE556" s="33">
        <v>2035</v>
      </c>
      <c r="AF556" s="45" t="str">
        <f t="shared" si="78"/>
        <v>*0.9</v>
      </c>
      <c r="AG556" s="43" t="str">
        <f t="shared" si="81"/>
        <v>REZoning_Sol-Win</v>
      </c>
      <c r="AI556" s="33" t="s">
        <v>3887</v>
      </c>
      <c r="AJ556" s="44" t="s">
        <v>57</v>
      </c>
      <c r="AK556" s="33">
        <v>2050</v>
      </c>
      <c r="AL556" s="45" t="str">
        <f t="shared" si="79"/>
        <v>*0.86</v>
      </c>
      <c r="AM556" s="43" t="str">
        <f t="shared" si="82"/>
        <v>REZoning_Sol-Win</v>
      </c>
      <c r="AP556" t="s">
        <v>3887</v>
      </c>
      <c r="AQ556" t="s">
        <v>57</v>
      </c>
      <c r="AR556">
        <f t="shared" si="80"/>
        <v>2100</v>
      </c>
      <c r="AS556" t="s">
        <v>883</v>
      </c>
      <c r="AT556" t="s">
        <v>58</v>
      </c>
    </row>
    <row r="557" ht="29" spans="1:46">
      <c r="A557" s="31" t="s">
        <v>65</v>
      </c>
      <c r="C557" t="s">
        <v>3888</v>
      </c>
      <c r="D557" s="5" t="s">
        <v>57</v>
      </c>
      <c r="E557">
        <v>2035</v>
      </c>
      <c r="F557" s="6" t="str">
        <f t="shared" si="74"/>
        <v>*0.94</v>
      </c>
      <c r="H557" t="s">
        <v>3888</v>
      </c>
      <c r="I557" s="5" t="s">
        <v>57</v>
      </c>
      <c r="J557">
        <v>2050</v>
      </c>
      <c r="K557" s="38" t="str">
        <f t="shared" si="75"/>
        <v>*0.91</v>
      </c>
      <c r="P557" s="32" t="s">
        <v>3888</v>
      </c>
      <c r="Q557" s="42" t="s">
        <v>57</v>
      </c>
      <c r="R557" s="32">
        <v>2035</v>
      </c>
      <c r="S557" s="43" t="str">
        <f t="shared" si="76"/>
        <v>*0.93</v>
      </c>
      <c r="U557" s="32" t="s">
        <v>3888</v>
      </c>
      <c r="V557" s="42" t="s">
        <v>57</v>
      </c>
      <c r="W557" s="32">
        <v>2050</v>
      </c>
      <c r="X557" s="43" t="str">
        <f t="shared" si="77"/>
        <v>*0.9</v>
      </c>
      <c r="AC557" s="33" t="s">
        <v>3888</v>
      </c>
      <c r="AD557" s="44" t="s">
        <v>57</v>
      </c>
      <c r="AE557" s="33">
        <v>2035</v>
      </c>
      <c r="AF557" s="45" t="str">
        <f t="shared" si="78"/>
        <v>*0.9</v>
      </c>
      <c r="AG557" s="43" t="str">
        <f t="shared" si="81"/>
        <v>REZoning_Sol-Win</v>
      </c>
      <c r="AI557" s="33" t="s">
        <v>3888</v>
      </c>
      <c r="AJ557" s="44" t="s">
        <v>57</v>
      </c>
      <c r="AK557" s="33">
        <v>2050</v>
      </c>
      <c r="AL557" s="45" t="str">
        <f t="shared" si="79"/>
        <v>*0.86</v>
      </c>
      <c r="AM557" s="43" t="str">
        <f t="shared" si="82"/>
        <v>REZoning_Sol-Win</v>
      </c>
      <c r="AP557" t="s">
        <v>3888</v>
      </c>
      <c r="AQ557" t="s">
        <v>57</v>
      </c>
      <c r="AR557">
        <f t="shared" si="80"/>
        <v>2100</v>
      </c>
      <c r="AS557" t="s">
        <v>883</v>
      </c>
      <c r="AT557" t="s">
        <v>58</v>
      </c>
    </row>
    <row r="558" ht="29" spans="1:46">
      <c r="A558" s="31" t="s">
        <v>83</v>
      </c>
      <c r="C558" t="s">
        <v>3889</v>
      </c>
      <c r="D558" s="5" t="s">
        <v>57</v>
      </c>
      <c r="E558">
        <v>2035</v>
      </c>
      <c r="F558" s="6" t="str">
        <f t="shared" si="74"/>
        <v>*0.95</v>
      </c>
      <c r="H558" t="s">
        <v>3889</v>
      </c>
      <c r="I558" s="5" t="s">
        <v>57</v>
      </c>
      <c r="J558">
        <v>2050</v>
      </c>
      <c r="K558" s="38" t="str">
        <f t="shared" si="75"/>
        <v>*0.92</v>
      </c>
      <c r="P558" s="32" t="s">
        <v>3889</v>
      </c>
      <c r="Q558" s="42" t="s">
        <v>57</v>
      </c>
      <c r="R558" s="32">
        <v>2035</v>
      </c>
      <c r="S558" s="43" t="str">
        <f t="shared" si="76"/>
        <v>*0.95</v>
      </c>
      <c r="U558" s="32" t="s">
        <v>3889</v>
      </c>
      <c r="V558" s="42" t="s">
        <v>57</v>
      </c>
      <c r="W558" s="32">
        <v>2050</v>
      </c>
      <c r="X558" s="43" t="str">
        <f t="shared" si="77"/>
        <v>*0.92</v>
      </c>
      <c r="AC558" s="33" t="s">
        <v>3889</v>
      </c>
      <c r="AD558" s="44" t="s">
        <v>57</v>
      </c>
      <c r="AE558" s="33">
        <v>2035</v>
      </c>
      <c r="AF558" s="45" t="str">
        <f t="shared" si="78"/>
        <v>*0.93</v>
      </c>
      <c r="AG558" s="43" t="str">
        <f t="shared" si="81"/>
        <v>REZoning_Sol-Win</v>
      </c>
      <c r="AI558" s="33" t="s">
        <v>3889</v>
      </c>
      <c r="AJ558" s="44" t="s">
        <v>57</v>
      </c>
      <c r="AK558" s="33">
        <v>2050</v>
      </c>
      <c r="AL558" s="45" t="str">
        <f t="shared" si="79"/>
        <v>*0.89</v>
      </c>
      <c r="AM558" s="43" t="str">
        <f t="shared" si="82"/>
        <v>REZoning_Sol-Win</v>
      </c>
      <c r="AP558" t="s">
        <v>3889</v>
      </c>
      <c r="AQ558" t="s">
        <v>57</v>
      </c>
      <c r="AR558">
        <f t="shared" si="80"/>
        <v>2100</v>
      </c>
      <c r="AS558" t="s">
        <v>937</v>
      </c>
      <c r="AT558" t="s">
        <v>58</v>
      </c>
    </row>
    <row r="559" ht="29" spans="1:46">
      <c r="A559" s="31" t="s">
        <v>83</v>
      </c>
      <c r="C559" t="s">
        <v>3890</v>
      </c>
      <c r="D559" s="5" t="s">
        <v>57</v>
      </c>
      <c r="E559">
        <v>2035</v>
      </c>
      <c r="F559" s="6" t="str">
        <f t="shared" si="74"/>
        <v>*0.95</v>
      </c>
      <c r="H559" t="s">
        <v>3890</v>
      </c>
      <c r="I559" s="5" t="s">
        <v>57</v>
      </c>
      <c r="J559">
        <v>2050</v>
      </c>
      <c r="K559" s="38" t="str">
        <f t="shared" si="75"/>
        <v>*0.92</v>
      </c>
      <c r="P559" s="32" t="s">
        <v>3890</v>
      </c>
      <c r="Q559" s="42" t="s">
        <v>57</v>
      </c>
      <c r="R559" s="32">
        <v>2035</v>
      </c>
      <c r="S559" s="43" t="str">
        <f t="shared" si="76"/>
        <v>*0.95</v>
      </c>
      <c r="U559" s="32" t="s">
        <v>3890</v>
      </c>
      <c r="V559" s="42" t="s">
        <v>57</v>
      </c>
      <c r="W559" s="32">
        <v>2050</v>
      </c>
      <c r="X559" s="43" t="str">
        <f t="shared" si="77"/>
        <v>*0.92</v>
      </c>
      <c r="AC559" s="33" t="s">
        <v>3890</v>
      </c>
      <c r="AD559" s="44" t="s">
        <v>57</v>
      </c>
      <c r="AE559" s="33">
        <v>2035</v>
      </c>
      <c r="AF559" s="45" t="str">
        <f t="shared" si="78"/>
        <v>*0.93</v>
      </c>
      <c r="AG559" s="43" t="str">
        <f t="shared" si="81"/>
        <v>REZoning_Sol-Win</v>
      </c>
      <c r="AI559" s="33" t="s">
        <v>3890</v>
      </c>
      <c r="AJ559" s="44" t="s">
        <v>57</v>
      </c>
      <c r="AK559" s="33">
        <v>2050</v>
      </c>
      <c r="AL559" s="45" t="str">
        <f t="shared" si="79"/>
        <v>*0.89</v>
      </c>
      <c r="AM559" s="43" t="str">
        <f t="shared" si="82"/>
        <v>REZoning_Sol-Win</v>
      </c>
      <c r="AP559" t="s">
        <v>3890</v>
      </c>
      <c r="AQ559" t="s">
        <v>57</v>
      </c>
      <c r="AR559">
        <f t="shared" si="80"/>
        <v>2100</v>
      </c>
      <c r="AS559" t="s">
        <v>937</v>
      </c>
      <c r="AT559" t="s">
        <v>58</v>
      </c>
    </row>
    <row r="560" ht="29" spans="1:46">
      <c r="A560" s="31" t="s">
        <v>83</v>
      </c>
      <c r="C560" t="s">
        <v>3891</v>
      </c>
      <c r="D560" s="5" t="s">
        <v>57</v>
      </c>
      <c r="E560">
        <v>2035</v>
      </c>
      <c r="F560" s="6" t="str">
        <f t="shared" si="74"/>
        <v>*0.95</v>
      </c>
      <c r="H560" t="s">
        <v>3891</v>
      </c>
      <c r="I560" s="5" t="s">
        <v>57</v>
      </c>
      <c r="J560">
        <v>2050</v>
      </c>
      <c r="K560" s="38" t="str">
        <f t="shared" si="75"/>
        <v>*0.92</v>
      </c>
      <c r="P560" s="32" t="s">
        <v>3891</v>
      </c>
      <c r="Q560" s="42" t="s">
        <v>57</v>
      </c>
      <c r="R560" s="32">
        <v>2035</v>
      </c>
      <c r="S560" s="43" t="str">
        <f t="shared" si="76"/>
        <v>*0.95</v>
      </c>
      <c r="U560" s="32" t="s">
        <v>3891</v>
      </c>
      <c r="V560" s="42" t="s">
        <v>57</v>
      </c>
      <c r="W560" s="32">
        <v>2050</v>
      </c>
      <c r="X560" s="43" t="str">
        <f t="shared" si="77"/>
        <v>*0.92</v>
      </c>
      <c r="AC560" s="33" t="s">
        <v>3891</v>
      </c>
      <c r="AD560" s="44" t="s">
        <v>57</v>
      </c>
      <c r="AE560" s="33">
        <v>2035</v>
      </c>
      <c r="AF560" s="45" t="str">
        <f t="shared" si="78"/>
        <v>*0.93</v>
      </c>
      <c r="AG560" s="43" t="str">
        <f t="shared" si="81"/>
        <v>REZoning_Sol-Win</v>
      </c>
      <c r="AI560" s="33" t="s">
        <v>3891</v>
      </c>
      <c r="AJ560" s="44" t="s">
        <v>57</v>
      </c>
      <c r="AK560" s="33">
        <v>2050</v>
      </c>
      <c r="AL560" s="45" t="str">
        <f t="shared" si="79"/>
        <v>*0.89</v>
      </c>
      <c r="AM560" s="43" t="str">
        <f t="shared" si="82"/>
        <v>REZoning_Sol-Win</v>
      </c>
      <c r="AP560" t="s">
        <v>3891</v>
      </c>
      <c r="AQ560" t="s">
        <v>57</v>
      </c>
      <c r="AR560">
        <f t="shared" si="80"/>
        <v>2100</v>
      </c>
      <c r="AS560" t="s">
        <v>937</v>
      </c>
      <c r="AT560" t="s">
        <v>58</v>
      </c>
    </row>
    <row r="561" ht="29" spans="1:46">
      <c r="A561" s="31" t="s">
        <v>494</v>
      </c>
      <c r="C561" t="s">
        <v>3892</v>
      </c>
      <c r="D561" s="5" t="s">
        <v>57</v>
      </c>
      <c r="E561">
        <v>2035</v>
      </c>
      <c r="F561" s="6" t="str">
        <f t="shared" si="74"/>
        <v>*0.94</v>
      </c>
      <c r="H561" t="s">
        <v>3892</v>
      </c>
      <c r="I561" s="5" t="s">
        <v>57</v>
      </c>
      <c r="J561">
        <v>2050</v>
      </c>
      <c r="K561" s="38" t="str">
        <f t="shared" si="75"/>
        <v>*0.92</v>
      </c>
      <c r="P561" s="32" t="s">
        <v>3892</v>
      </c>
      <c r="Q561" s="42" t="s">
        <v>57</v>
      </c>
      <c r="R561" s="32">
        <v>2035</v>
      </c>
      <c r="S561" s="43" t="str">
        <f t="shared" si="76"/>
        <v>*0.94</v>
      </c>
      <c r="U561" s="32" t="s">
        <v>3892</v>
      </c>
      <c r="V561" s="42" t="s">
        <v>57</v>
      </c>
      <c r="W561" s="32">
        <v>2050</v>
      </c>
      <c r="X561" s="43" t="str">
        <f t="shared" si="77"/>
        <v>*0.92</v>
      </c>
      <c r="AC561" s="33" t="s">
        <v>3892</v>
      </c>
      <c r="AD561" s="44" t="s">
        <v>57</v>
      </c>
      <c r="AE561" s="33">
        <v>2035</v>
      </c>
      <c r="AF561" s="45" t="str">
        <f t="shared" si="78"/>
        <v>*0.92</v>
      </c>
      <c r="AG561" s="43" t="str">
        <f t="shared" si="81"/>
        <v>REZoning_Sol-Win</v>
      </c>
      <c r="AI561" s="33" t="s">
        <v>3892</v>
      </c>
      <c r="AJ561" s="44" t="s">
        <v>57</v>
      </c>
      <c r="AK561" s="33">
        <v>2050</v>
      </c>
      <c r="AL561" s="45" t="str">
        <f t="shared" si="79"/>
        <v>*0.89</v>
      </c>
      <c r="AM561" s="43" t="str">
        <f t="shared" si="82"/>
        <v>REZoning_Sol-Win</v>
      </c>
      <c r="AP561" t="s">
        <v>3892</v>
      </c>
      <c r="AQ561" t="s">
        <v>57</v>
      </c>
      <c r="AR561">
        <f t="shared" si="80"/>
        <v>2100</v>
      </c>
      <c r="AS561" t="s">
        <v>937</v>
      </c>
      <c r="AT561" t="s">
        <v>58</v>
      </c>
    </row>
    <row r="562" ht="29" spans="1:46">
      <c r="A562" s="31" t="s">
        <v>494</v>
      </c>
      <c r="C562" t="s">
        <v>3893</v>
      </c>
      <c r="D562" s="5" t="s">
        <v>57</v>
      </c>
      <c r="E562">
        <v>2035</v>
      </c>
      <c r="F562" s="6" t="str">
        <f t="shared" si="74"/>
        <v>*0.94</v>
      </c>
      <c r="H562" t="s">
        <v>3893</v>
      </c>
      <c r="I562" s="5" t="s">
        <v>57</v>
      </c>
      <c r="J562">
        <v>2050</v>
      </c>
      <c r="K562" s="38" t="str">
        <f t="shared" si="75"/>
        <v>*0.92</v>
      </c>
      <c r="P562" s="32" t="s">
        <v>3893</v>
      </c>
      <c r="Q562" s="42" t="s">
        <v>57</v>
      </c>
      <c r="R562" s="32">
        <v>2035</v>
      </c>
      <c r="S562" s="43" t="str">
        <f t="shared" si="76"/>
        <v>*0.94</v>
      </c>
      <c r="U562" s="32" t="s">
        <v>3893</v>
      </c>
      <c r="V562" s="42" t="s">
        <v>57</v>
      </c>
      <c r="W562" s="32">
        <v>2050</v>
      </c>
      <c r="X562" s="43" t="str">
        <f t="shared" si="77"/>
        <v>*0.92</v>
      </c>
      <c r="AC562" s="33" t="s">
        <v>3893</v>
      </c>
      <c r="AD562" s="44" t="s">
        <v>57</v>
      </c>
      <c r="AE562" s="33">
        <v>2035</v>
      </c>
      <c r="AF562" s="45" t="str">
        <f t="shared" si="78"/>
        <v>*0.92</v>
      </c>
      <c r="AG562" s="43" t="str">
        <f t="shared" si="81"/>
        <v>REZoning_Sol-Win</v>
      </c>
      <c r="AI562" s="33" t="s">
        <v>3893</v>
      </c>
      <c r="AJ562" s="44" t="s">
        <v>57</v>
      </c>
      <c r="AK562" s="33">
        <v>2050</v>
      </c>
      <c r="AL562" s="45" t="str">
        <f t="shared" si="79"/>
        <v>*0.89</v>
      </c>
      <c r="AM562" s="43" t="str">
        <f t="shared" si="82"/>
        <v>REZoning_Sol-Win</v>
      </c>
      <c r="AP562" t="s">
        <v>3893</v>
      </c>
      <c r="AQ562" t="s">
        <v>57</v>
      </c>
      <c r="AR562">
        <f t="shared" si="80"/>
        <v>2100</v>
      </c>
      <c r="AS562" t="s">
        <v>937</v>
      </c>
      <c r="AT562" t="s">
        <v>58</v>
      </c>
    </row>
    <row r="563" ht="29" spans="1:46">
      <c r="A563" s="31" t="s">
        <v>494</v>
      </c>
      <c r="C563" t="s">
        <v>3894</v>
      </c>
      <c r="D563" s="5" t="s">
        <v>57</v>
      </c>
      <c r="E563">
        <v>2035</v>
      </c>
      <c r="F563" s="6" t="str">
        <f t="shared" si="74"/>
        <v>*0.94</v>
      </c>
      <c r="H563" t="s">
        <v>3894</v>
      </c>
      <c r="I563" s="5" t="s">
        <v>57</v>
      </c>
      <c r="J563">
        <v>2050</v>
      </c>
      <c r="K563" s="38" t="str">
        <f t="shared" si="75"/>
        <v>*0.92</v>
      </c>
      <c r="P563" s="32" t="s">
        <v>3894</v>
      </c>
      <c r="Q563" s="42" t="s">
        <v>57</v>
      </c>
      <c r="R563" s="32">
        <v>2035</v>
      </c>
      <c r="S563" s="43" t="str">
        <f t="shared" si="76"/>
        <v>*0.94</v>
      </c>
      <c r="U563" s="32" t="s">
        <v>3894</v>
      </c>
      <c r="V563" s="42" t="s">
        <v>57</v>
      </c>
      <c r="W563" s="32">
        <v>2050</v>
      </c>
      <c r="X563" s="43" t="str">
        <f t="shared" si="77"/>
        <v>*0.92</v>
      </c>
      <c r="AC563" s="33" t="s">
        <v>3894</v>
      </c>
      <c r="AD563" s="44" t="s">
        <v>57</v>
      </c>
      <c r="AE563" s="33">
        <v>2035</v>
      </c>
      <c r="AF563" s="45" t="str">
        <f t="shared" si="78"/>
        <v>*0.92</v>
      </c>
      <c r="AG563" s="43" t="str">
        <f t="shared" si="81"/>
        <v>REZoning_Sol-Win</v>
      </c>
      <c r="AI563" s="33" t="s">
        <v>3894</v>
      </c>
      <c r="AJ563" s="44" t="s">
        <v>57</v>
      </c>
      <c r="AK563" s="33">
        <v>2050</v>
      </c>
      <c r="AL563" s="45" t="str">
        <f t="shared" si="79"/>
        <v>*0.89</v>
      </c>
      <c r="AM563" s="43" t="str">
        <f t="shared" si="82"/>
        <v>REZoning_Sol-Win</v>
      </c>
      <c r="AP563" t="s">
        <v>3894</v>
      </c>
      <c r="AQ563" t="s">
        <v>57</v>
      </c>
      <c r="AR563">
        <f t="shared" si="80"/>
        <v>2100</v>
      </c>
      <c r="AS563" t="s">
        <v>937</v>
      </c>
      <c r="AT563" t="s">
        <v>58</v>
      </c>
    </row>
    <row r="564" ht="29" spans="1:46">
      <c r="A564" s="31" t="s">
        <v>494</v>
      </c>
      <c r="C564" t="s">
        <v>3895</v>
      </c>
      <c r="D564" s="5" t="s">
        <v>57</v>
      </c>
      <c r="E564">
        <v>2035</v>
      </c>
      <c r="F564" s="6" t="str">
        <f t="shared" si="74"/>
        <v>*0.94</v>
      </c>
      <c r="H564" t="s">
        <v>3895</v>
      </c>
      <c r="I564" s="5" t="s">
        <v>57</v>
      </c>
      <c r="J564">
        <v>2050</v>
      </c>
      <c r="K564" s="38" t="str">
        <f t="shared" si="75"/>
        <v>*0.92</v>
      </c>
      <c r="P564" s="32" t="s">
        <v>3895</v>
      </c>
      <c r="Q564" s="42" t="s">
        <v>57</v>
      </c>
      <c r="R564" s="32">
        <v>2035</v>
      </c>
      <c r="S564" s="43" t="str">
        <f t="shared" si="76"/>
        <v>*0.94</v>
      </c>
      <c r="U564" s="32" t="s">
        <v>3895</v>
      </c>
      <c r="V564" s="42" t="s">
        <v>57</v>
      </c>
      <c r="W564" s="32">
        <v>2050</v>
      </c>
      <c r="X564" s="43" t="str">
        <f t="shared" si="77"/>
        <v>*0.92</v>
      </c>
      <c r="AC564" s="33" t="s">
        <v>3895</v>
      </c>
      <c r="AD564" s="44" t="s">
        <v>57</v>
      </c>
      <c r="AE564" s="33">
        <v>2035</v>
      </c>
      <c r="AF564" s="45" t="str">
        <f t="shared" si="78"/>
        <v>*0.92</v>
      </c>
      <c r="AG564" s="43" t="str">
        <f t="shared" si="81"/>
        <v>REZoning_Sol-Win</v>
      </c>
      <c r="AI564" s="33" t="s">
        <v>3895</v>
      </c>
      <c r="AJ564" s="44" t="s">
        <v>57</v>
      </c>
      <c r="AK564" s="33">
        <v>2050</v>
      </c>
      <c r="AL564" s="45" t="str">
        <f t="shared" si="79"/>
        <v>*0.89</v>
      </c>
      <c r="AM564" s="43" t="str">
        <f t="shared" si="82"/>
        <v>REZoning_Sol-Win</v>
      </c>
      <c r="AP564" t="s">
        <v>3895</v>
      </c>
      <c r="AQ564" t="s">
        <v>57</v>
      </c>
      <c r="AR564">
        <f t="shared" si="80"/>
        <v>2100</v>
      </c>
      <c r="AS564" t="s">
        <v>937</v>
      </c>
      <c r="AT564" t="s">
        <v>58</v>
      </c>
    </row>
    <row r="565" ht="29" spans="1:46">
      <c r="A565" s="31" t="s">
        <v>494</v>
      </c>
      <c r="C565" t="s">
        <v>3896</v>
      </c>
      <c r="D565" s="5" t="s">
        <v>57</v>
      </c>
      <c r="E565">
        <v>2035</v>
      </c>
      <c r="F565" s="6" t="str">
        <f t="shared" si="74"/>
        <v>*0.94</v>
      </c>
      <c r="H565" t="s">
        <v>3896</v>
      </c>
      <c r="I565" s="5" t="s">
        <v>57</v>
      </c>
      <c r="J565">
        <v>2050</v>
      </c>
      <c r="K565" s="38" t="str">
        <f t="shared" si="75"/>
        <v>*0.92</v>
      </c>
      <c r="P565" s="32" t="s">
        <v>3896</v>
      </c>
      <c r="Q565" s="42" t="s">
        <v>57</v>
      </c>
      <c r="R565" s="32">
        <v>2035</v>
      </c>
      <c r="S565" s="43" t="str">
        <f t="shared" si="76"/>
        <v>*0.94</v>
      </c>
      <c r="U565" s="32" t="s">
        <v>3896</v>
      </c>
      <c r="V565" s="42" t="s">
        <v>57</v>
      </c>
      <c r="W565" s="32">
        <v>2050</v>
      </c>
      <c r="X565" s="43" t="str">
        <f t="shared" si="77"/>
        <v>*0.92</v>
      </c>
      <c r="AC565" s="33" t="s">
        <v>3896</v>
      </c>
      <c r="AD565" s="44" t="s">
        <v>57</v>
      </c>
      <c r="AE565" s="33">
        <v>2035</v>
      </c>
      <c r="AF565" s="45" t="str">
        <f t="shared" si="78"/>
        <v>*0.92</v>
      </c>
      <c r="AG565" s="43" t="str">
        <f t="shared" si="81"/>
        <v>REZoning_Sol-Win</v>
      </c>
      <c r="AI565" s="33" t="s">
        <v>3896</v>
      </c>
      <c r="AJ565" s="44" t="s">
        <v>57</v>
      </c>
      <c r="AK565" s="33">
        <v>2050</v>
      </c>
      <c r="AL565" s="45" t="str">
        <f t="shared" si="79"/>
        <v>*0.89</v>
      </c>
      <c r="AM565" s="43" t="str">
        <f t="shared" si="82"/>
        <v>REZoning_Sol-Win</v>
      </c>
      <c r="AP565" t="s">
        <v>3896</v>
      </c>
      <c r="AQ565" t="s">
        <v>57</v>
      </c>
      <c r="AR565">
        <f t="shared" si="80"/>
        <v>2100</v>
      </c>
      <c r="AS565" t="s">
        <v>937</v>
      </c>
      <c r="AT565" t="s">
        <v>58</v>
      </c>
    </row>
    <row r="566" ht="29" spans="1:46">
      <c r="A566" s="31" t="s">
        <v>494</v>
      </c>
      <c r="C566" t="s">
        <v>3897</v>
      </c>
      <c r="D566" s="5" t="s">
        <v>57</v>
      </c>
      <c r="E566">
        <v>2035</v>
      </c>
      <c r="F566" s="6" t="str">
        <f t="shared" si="74"/>
        <v>*0.94</v>
      </c>
      <c r="H566" t="s">
        <v>3897</v>
      </c>
      <c r="I566" s="5" t="s">
        <v>57</v>
      </c>
      <c r="J566">
        <v>2050</v>
      </c>
      <c r="K566" s="38" t="str">
        <f t="shared" si="75"/>
        <v>*0.92</v>
      </c>
      <c r="P566" s="32" t="s">
        <v>3897</v>
      </c>
      <c r="Q566" s="42" t="s">
        <v>57</v>
      </c>
      <c r="R566" s="32">
        <v>2035</v>
      </c>
      <c r="S566" s="43" t="str">
        <f t="shared" si="76"/>
        <v>*0.94</v>
      </c>
      <c r="U566" s="32" t="s">
        <v>3897</v>
      </c>
      <c r="V566" s="42" t="s">
        <v>57</v>
      </c>
      <c r="W566" s="32">
        <v>2050</v>
      </c>
      <c r="X566" s="43" t="str">
        <f t="shared" si="77"/>
        <v>*0.92</v>
      </c>
      <c r="AC566" s="33" t="s">
        <v>3897</v>
      </c>
      <c r="AD566" s="44" t="s">
        <v>57</v>
      </c>
      <c r="AE566" s="33">
        <v>2035</v>
      </c>
      <c r="AF566" s="45" t="str">
        <f t="shared" si="78"/>
        <v>*0.92</v>
      </c>
      <c r="AG566" s="43" t="str">
        <f t="shared" si="81"/>
        <v>REZoning_Sol-Win</v>
      </c>
      <c r="AI566" s="33" t="s">
        <v>3897</v>
      </c>
      <c r="AJ566" s="44" t="s">
        <v>57</v>
      </c>
      <c r="AK566" s="33">
        <v>2050</v>
      </c>
      <c r="AL566" s="45" t="str">
        <f t="shared" si="79"/>
        <v>*0.89</v>
      </c>
      <c r="AM566" s="43" t="str">
        <f t="shared" si="82"/>
        <v>REZoning_Sol-Win</v>
      </c>
      <c r="AP566" t="s">
        <v>3897</v>
      </c>
      <c r="AQ566" t="s">
        <v>57</v>
      </c>
      <c r="AR566">
        <f t="shared" si="80"/>
        <v>2100</v>
      </c>
      <c r="AS566" t="s">
        <v>937</v>
      </c>
      <c r="AT566" t="s">
        <v>58</v>
      </c>
    </row>
    <row r="567" ht="29" spans="1:46">
      <c r="A567" s="31" t="s">
        <v>494</v>
      </c>
      <c r="C567" t="s">
        <v>3898</v>
      </c>
      <c r="D567" s="5" t="s">
        <v>57</v>
      </c>
      <c r="E567">
        <v>2035</v>
      </c>
      <c r="F567" s="6" t="str">
        <f t="shared" si="74"/>
        <v>*0.94</v>
      </c>
      <c r="H567" t="s">
        <v>3898</v>
      </c>
      <c r="I567" s="5" t="s">
        <v>57</v>
      </c>
      <c r="J567">
        <v>2050</v>
      </c>
      <c r="K567" s="38" t="str">
        <f t="shared" si="75"/>
        <v>*0.92</v>
      </c>
      <c r="P567" s="32" t="s">
        <v>3898</v>
      </c>
      <c r="Q567" s="42" t="s">
        <v>57</v>
      </c>
      <c r="R567" s="32">
        <v>2035</v>
      </c>
      <c r="S567" s="43" t="str">
        <f t="shared" si="76"/>
        <v>*0.94</v>
      </c>
      <c r="U567" s="32" t="s">
        <v>3898</v>
      </c>
      <c r="V567" s="42" t="s">
        <v>57</v>
      </c>
      <c r="W567" s="32">
        <v>2050</v>
      </c>
      <c r="X567" s="43" t="str">
        <f t="shared" si="77"/>
        <v>*0.92</v>
      </c>
      <c r="AC567" s="33" t="s">
        <v>3898</v>
      </c>
      <c r="AD567" s="44" t="s">
        <v>57</v>
      </c>
      <c r="AE567" s="33">
        <v>2035</v>
      </c>
      <c r="AF567" s="45" t="str">
        <f t="shared" si="78"/>
        <v>*0.92</v>
      </c>
      <c r="AG567" s="43" t="str">
        <f t="shared" si="81"/>
        <v>REZoning_Sol-Win</v>
      </c>
      <c r="AI567" s="33" t="s">
        <v>3898</v>
      </c>
      <c r="AJ567" s="44" t="s">
        <v>57</v>
      </c>
      <c r="AK567" s="33">
        <v>2050</v>
      </c>
      <c r="AL567" s="45" t="str">
        <f t="shared" si="79"/>
        <v>*0.89</v>
      </c>
      <c r="AM567" s="43" t="str">
        <f t="shared" si="82"/>
        <v>REZoning_Sol-Win</v>
      </c>
      <c r="AP567" t="s">
        <v>3898</v>
      </c>
      <c r="AQ567" t="s">
        <v>57</v>
      </c>
      <c r="AR567">
        <f t="shared" si="80"/>
        <v>2100</v>
      </c>
      <c r="AS567" t="s">
        <v>937</v>
      </c>
      <c r="AT567" t="s">
        <v>58</v>
      </c>
    </row>
    <row r="568" ht="29" spans="1:46">
      <c r="A568" s="31" t="s">
        <v>494</v>
      </c>
      <c r="C568" t="s">
        <v>3899</v>
      </c>
      <c r="D568" s="5" t="s">
        <v>57</v>
      </c>
      <c r="E568">
        <v>2035</v>
      </c>
      <c r="F568" s="6" t="str">
        <f t="shared" si="74"/>
        <v>*0.94</v>
      </c>
      <c r="H568" t="s">
        <v>3899</v>
      </c>
      <c r="I568" s="5" t="s">
        <v>57</v>
      </c>
      <c r="J568">
        <v>2050</v>
      </c>
      <c r="K568" s="38" t="str">
        <f t="shared" si="75"/>
        <v>*0.92</v>
      </c>
      <c r="P568" s="32" t="s">
        <v>3899</v>
      </c>
      <c r="Q568" s="42" t="s">
        <v>57</v>
      </c>
      <c r="R568" s="32">
        <v>2035</v>
      </c>
      <c r="S568" s="43" t="str">
        <f t="shared" si="76"/>
        <v>*0.94</v>
      </c>
      <c r="U568" s="32" t="s">
        <v>3899</v>
      </c>
      <c r="V568" s="42" t="s">
        <v>57</v>
      </c>
      <c r="W568" s="32">
        <v>2050</v>
      </c>
      <c r="X568" s="43" t="str">
        <f t="shared" si="77"/>
        <v>*0.92</v>
      </c>
      <c r="AC568" s="33" t="s">
        <v>3899</v>
      </c>
      <c r="AD568" s="44" t="s">
        <v>57</v>
      </c>
      <c r="AE568" s="33">
        <v>2035</v>
      </c>
      <c r="AF568" s="45" t="str">
        <f t="shared" si="78"/>
        <v>*0.92</v>
      </c>
      <c r="AG568" s="43" t="str">
        <f t="shared" si="81"/>
        <v>REZoning_Sol-Win</v>
      </c>
      <c r="AI568" s="33" t="s">
        <v>3899</v>
      </c>
      <c r="AJ568" s="44" t="s">
        <v>57</v>
      </c>
      <c r="AK568" s="33">
        <v>2050</v>
      </c>
      <c r="AL568" s="45" t="str">
        <f t="shared" si="79"/>
        <v>*0.89</v>
      </c>
      <c r="AM568" s="43" t="str">
        <f t="shared" si="82"/>
        <v>REZoning_Sol-Win</v>
      </c>
      <c r="AP568" t="s">
        <v>3899</v>
      </c>
      <c r="AQ568" t="s">
        <v>57</v>
      </c>
      <c r="AR568">
        <f t="shared" si="80"/>
        <v>2100</v>
      </c>
      <c r="AS568" t="s">
        <v>937</v>
      </c>
      <c r="AT568" t="s">
        <v>58</v>
      </c>
    </row>
    <row r="569" ht="29" spans="1:46">
      <c r="A569" s="31" t="s">
        <v>494</v>
      </c>
      <c r="C569" t="s">
        <v>3900</v>
      </c>
      <c r="D569" s="5" t="s">
        <v>57</v>
      </c>
      <c r="E569">
        <v>2035</v>
      </c>
      <c r="F569" s="6" t="str">
        <f t="shared" si="74"/>
        <v>*0.94</v>
      </c>
      <c r="H569" t="s">
        <v>3900</v>
      </c>
      <c r="I569" s="5" t="s">
        <v>57</v>
      </c>
      <c r="J569">
        <v>2050</v>
      </c>
      <c r="K569" s="38" t="str">
        <f t="shared" si="75"/>
        <v>*0.92</v>
      </c>
      <c r="P569" s="32" t="s">
        <v>3900</v>
      </c>
      <c r="Q569" s="42" t="s">
        <v>57</v>
      </c>
      <c r="R569" s="32">
        <v>2035</v>
      </c>
      <c r="S569" s="43" t="str">
        <f t="shared" si="76"/>
        <v>*0.94</v>
      </c>
      <c r="U569" s="32" t="s">
        <v>3900</v>
      </c>
      <c r="V569" s="42" t="s">
        <v>57</v>
      </c>
      <c r="W569" s="32">
        <v>2050</v>
      </c>
      <c r="X569" s="43" t="str">
        <f t="shared" si="77"/>
        <v>*0.92</v>
      </c>
      <c r="AC569" s="33" t="s">
        <v>3900</v>
      </c>
      <c r="AD569" s="44" t="s">
        <v>57</v>
      </c>
      <c r="AE569" s="33">
        <v>2035</v>
      </c>
      <c r="AF569" s="45" t="str">
        <f t="shared" si="78"/>
        <v>*0.92</v>
      </c>
      <c r="AG569" s="43" t="str">
        <f t="shared" si="81"/>
        <v>REZoning_Sol-Win</v>
      </c>
      <c r="AI569" s="33" t="s">
        <v>3900</v>
      </c>
      <c r="AJ569" s="44" t="s">
        <v>57</v>
      </c>
      <c r="AK569" s="33">
        <v>2050</v>
      </c>
      <c r="AL569" s="45" t="str">
        <f t="shared" si="79"/>
        <v>*0.89</v>
      </c>
      <c r="AM569" s="43" t="str">
        <f t="shared" si="82"/>
        <v>REZoning_Sol-Win</v>
      </c>
      <c r="AP569" t="s">
        <v>3900</v>
      </c>
      <c r="AQ569" t="s">
        <v>57</v>
      </c>
      <c r="AR569">
        <f t="shared" si="80"/>
        <v>2100</v>
      </c>
      <c r="AS569" t="s">
        <v>937</v>
      </c>
      <c r="AT569" t="s">
        <v>58</v>
      </c>
    </row>
    <row r="570" ht="29" spans="1:46">
      <c r="A570" s="31" t="s">
        <v>494</v>
      </c>
      <c r="C570" t="s">
        <v>3901</v>
      </c>
      <c r="D570" s="5" t="s">
        <v>57</v>
      </c>
      <c r="E570">
        <v>2035</v>
      </c>
      <c r="F570" s="6" t="str">
        <f t="shared" si="74"/>
        <v>*0.94</v>
      </c>
      <c r="H570" t="s">
        <v>3901</v>
      </c>
      <c r="I570" s="5" t="s">
        <v>57</v>
      </c>
      <c r="J570">
        <v>2050</v>
      </c>
      <c r="K570" s="38" t="str">
        <f t="shared" si="75"/>
        <v>*0.92</v>
      </c>
      <c r="P570" s="32" t="s">
        <v>3901</v>
      </c>
      <c r="Q570" s="42" t="s">
        <v>57</v>
      </c>
      <c r="R570" s="32">
        <v>2035</v>
      </c>
      <c r="S570" s="43" t="str">
        <f t="shared" si="76"/>
        <v>*0.94</v>
      </c>
      <c r="U570" s="32" t="s">
        <v>3901</v>
      </c>
      <c r="V570" s="42" t="s">
        <v>57</v>
      </c>
      <c r="W570" s="32">
        <v>2050</v>
      </c>
      <c r="X570" s="43" t="str">
        <f t="shared" si="77"/>
        <v>*0.92</v>
      </c>
      <c r="AC570" s="33" t="s">
        <v>3901</v>
      </c>
      <c r="AD570" s="44" t="s">
        <v>57</v>
      </c>
      <c r="AE570" s="33">
        <v>2035</v>
      </c>
      <c r="AF570" s="45" t="str">
        <f t="shared" si="78"/>
        <v>*0.92</v>
      </c>
      <c r="AG570" s="43" t="str">
        <f t="shared" si="81"/>
        <v>REZoning_Sol-Win</v>
      </c>
      <c r="AI570" s="33" t="s">
        <v>3901</v>
      </c>
      <c r="AJ570" s="44" t="s">
        <v>57</v>
      </c>
      <c r="AK570" s="33">
        <v>2050</v>
      </c>
      <c r="AL570" s="45" t="str">
        <f t="shared" si="79"/>
        <v>*0.89</v>
      </c>
      <c r="AM570" s="43" t="str">
        <f t="shared" si="82"/>
        <v>REZoning_Sol-Win</v>
      </c>
      <c r="AP570" t="s">
        <v>3901</v>
      </c>
      <c r="AQ570" t="s">
        <v>57</v>
      </c>
      <c r="AR570">
        <f t="shared" si="80"/>
        <v>2100</v>
      </c>
      <c r="AS570" t="s">
        <v>937</v>
      </c>
      <c r="AT570" t="s">
        <v>58</v>
      </c>
    </row>
    <row r="571" ht="29" spans="1:46">
      <c r="A571" s="31" t="s">
        <v>494</v>
      </c>
      <c r="C571" t="s">
        <v>3902</v>
      </c>
      <c r="D571" s="5" t="s">
        <v>57</v>
      </c>
      <c r="E571">
        <v>2035</v>
      </c>
      <c r="F571" s="6" t="str">
        <f t="shared" si="74"/>
        <v>*0.94</v>
      </c>
      <c r="H571" t="s">
        <v>3902</v>
      </c>
      <c r="I571" s="5" t="s">
        <v>57</v>
      </c>
      <c r="J571">
        <v>2050</v>
      </c>
      <c r="K571" s="38" t="str">
        <f t="shared" si="75"/>
        <v>*0.92</v>
      </c>
      <c r="P571" s="32" t="s">
        <v>3902</v>
      </c>
      <c r="Q571" s="42" t="s">
        <v>57</v>
      </c>
      <c r="R571" s="32">
        <v>2035</v>
      </c>
      <c r="S571" s="43" t="str">
        <f t="shared" si="76"/>
        <v>*0.94</v>
      </c>
      <c r="U571" s="32" t="s">
        <v>3902</v>
      </c>
      <c r="V571" s="42" t="s">
        <v>57</v>
      </c>
      <c r="W571" s="32">
        <v>2050</v>
      </c>
      <c r="X571" s="43" t="str">
        <f t="shared" si="77"/>
        <v>*0.92</v>
      </c>
      <c r="AC571" s="33" t="s">
        <v>3902</v>
      </c>
      <c r="AD571" s="44" t="s">
        <v>57</v>
      </c>
      <c r="AE571" s="33">
        <v>2035</v>
      </c>
      <c r="AF571" s="45" t="str">
        <f t="shared" si="78"/>
        <v>*0.92</v>
      </c>
      <c r="AG571" s="43" t="str">
        <f t="shared" si="81"/>
        <v>REZoning_Sol-Win</v>
      </c>
      <c r="AI571" s="33" t="s">
        <v>3902</v>
      </c>
      <c r="AJ571" s="44" t="s">
        <v>57</v>
      </c>
      <c r="AK571" s="33">
        <v>2050</v>
      </c>
      <c r="AL571" s="45" t="str">
        <f t="shared" si="79"/>
        <v>*0.89</v>
      </c>
      <c r="AM571" s="43" t="str">
        <f t="shared" si="82"/>
        <v>REZoning_Sol-Win</v>
      </c>
      <c r="AP571" t="s">
        <v>3902</v>
      </c>
      <c r="AQ571" t="s">
        <v>57</v>
      </c>
      <c r="AR571">
        <f t="shared" si="80"/>
        <v>2100</v>
      </c>
      <c r="AS571" t="s">
        <v>937</v>
      </c>
      <c r="AT571" t="s">
        <v>58</v>
      </c>
    </row>
    <row r="572" ht="29" spans="1:46">
      <c r="A572" s="31" t="s">
        <v>494</v>
      </c>
      <c r="C572" t="s">
        <v>3903</v>
      </c>
      <c r="D572" s="5" t="s">
        <v>57</v>
      </c>
      <c r="E572">
        <v>2035</v>
      </c>
      <c r="F572" s="6" t="str">
        <f t="shared" si="74"/>
        <v>*0.94</v>
      </c>
      <c r="H572" t="s">
        <v>3903</v>
      </c>
      <c r="I572" s="5" t="s">
        <v>57</v>
      </c>
      <c r="J572">
        <v>2050</v>
      </c>
      <c r="K572" s="38" t="str">
        <f t="shared" si="75"/>
        <v>*0.92</v>
      </c>
      <c r="P572" s="32" t="s">
        <v>3903</v>
      </c>
      <c r="Q572" s="42" t="s">
        <v>57</v>
      </c>
      <c r="R572" s="32">
        <v>2035</v>
      </c>
      <c r="S572" s="43" t="str">
        <f t="shared" si="76"/>
        <v>*0.94</v>
      </c>
      <c r="U572" s="32" t="s">
        <v>3903</v>
      </c>
      <c r="V572" s="42" t="s">
        <v>57</v>
      </c>
      <c r="W572" s="32">
        <v>2050</v>
      </c>
      <c r="X572" s="43" t="str">
        <f t="shared" si="77"/>
        <v>*0.92</v>
      </c>
      <c r="AC572" s="33" t="s">
        <v>3903</v>
      </c>
      <c r="AD572" s="44" t="s">
        <v>57</v>
      </c>
      <c r="AE572" s="33">
        <v>2035</v>
      </c>
      <c r="AF572" s="45" t="str">
        <f t="shared" si="78"/>
        <v>*0.92</v>
      </c>
      <c r="AG572" s="43" t="str">
        <f t="shared" si="81"/>
        <v>REZoning_Sol-Win</v>
      </c>
      <c r="AI572" s="33" t="s">
        <v>3903</v>
      </c>
      <c r="AJ572" s="44" t="s">
        <v>57</v>
      </c>
      <c r="AK572" s="33">
        <v>2050</v>
      </c>
      <c r="AL572" s="45" t="str">
        <f t="shared" si="79"/>
        <v>*0.89</v>
      </c>
      <c r="AM572" s="43" t="str">
        <f t="shared" si="82"/>
        <v>REZoning_Sol-Win</v>
      </c>
      <c r="AP572" t="s">
        <v>3903</v>
      </c>
      <c r="AQ572" t="s">
        <v>57</v>
      </c>
      <c r="AR572">
        <f t="shared" si="80"/>
        <v>2100</v>
      </c>
      <c r="AS572" t="s">
        <v>937</v>
      </c>
      <c r="AT572" t="s">
        <v>58</v>
      </c>
    </row>
    <row r="573" ht="29" spans="1:46">
      <c r="A573" s="31" t="s">
        <v>494</v>
      </c>
      <c r="C573" t="s">
        <v>3904</v>
      </c>
      <c r="D573" s="5" t="s">
        <v>57</v>
      </c>
      <c r="E573">
        <v>2035</v>
      </c>
      <c r="F573" s="6" t="str">
        <f t="shared" si="74"/>
        <v>*0.94</v>
      </c>
      <c r="H573" t="s">
        <v>3904</v>
      </c>
      <c r="I573" s="5" t="s">
        <v>57</v>
      </c>
      <c r="J573">
        <v>2050</v>
      </c>
      <c r="K573" s="38" t="str">
        <f t="shared" si="75"/>
        <v>*0.92</v>
      </c>
      <c r="P573" s="32" t="s">
        <v>3904</v>
      </c>
      <c r="Q573" s="42" t="s">
        <v>57</v>
      </c>
      <c r="R573" s="32">
        <v>2035</v>
      </c>
      <c r="S573" s="43" t="str">
        <f t="shared" si="76"/>
        <v>*0.94</v>
      </c>
      <c r="U573" s="32" t="s">
        <v>3904</v>
      </c>
      <c r="V573" s="42" t="s">
        <v>57</v>
      </c>
      <c r="W573" s="32">
        <v>2050</v>
      </c>
      <c r="X573" s="43" t="str">
        <f t="shared" si="77"/>
        <v>*0.92</v>
      </c>
      <c r="AC573" s="33" t="s">
        <v>3904</v>
      </c>
      <c r="AD573" s="44" t="s">
        <v>57</v>
      </c>
      <c r="AE573" s="33">
        <v>2035</v>
      </c>
      <c r="AF573" s="45" t="str">
        <f t="shared" si="78"/>
        <v>*0.92</v>
      </c>
      <c r="AG573" s="43" t="str">
        <f t="shared" si="81"/>
        <v>REZoning_Sol-Win</v>
      </c>
      <c r="AI573" s="33" t="s">
        <v>3904</v>
      </c>
      <c r="AJ573" s="44" t="s">
        <v>57</v>
      </c>
      <c r="AK573" s="33">
        <v>2050</v>
      </c>
      <c r="AL573" s="45" t="str">
        <f t="shared" si="79"/>
        <v>*0.89</v>
      </c>
      <c r="AM573" s="43" t="str">
        <f t="shared" si="82"/>
        <v>REZoning_Sol-Win</v>
      </c>
      <c r="AP573" t="s">
        <v>3904</v>
      </c>
      <c r="AQ573" t="s">
        <v>57</v>
      </c>
      <c r="AR573">
        <f t="shared" si="80"/>
        <v>2100</v>
      </c>
      <c r="AS573" t="s">
        <v>937</v>
      </c>
      <c r="AT573" t="s">
        <v>58</v>
      </c>
    </row>
    <row r="574" ht="29" spans="1:46">
      <c r="A574" s="31" t="s">
        <v>494</v>
      </c>
      <c r="C574" t="s">
        <v>3905</v>
      </c>
      <c r="D574" s="5" t="s">
        <v>57</v>
      </c>
      <c r="E574">
        <v>2035</v>
      </c>
      <c r="F574" s="6" t="str">
        <f t="shared" si="74"/>
        <v>*0.94</v>
      </c>
      <c r="H574" t="s">
        <v>3905</v>
      </c>
      <c r="I574" s="5" t="s">
        <v>57</v>
      </c>
      <c r="J574">
        <v>2050</v>
      </c>
      <c r="K574" s="38" t="str">
        <f t="shared" si="75"/>
        <v>*0.92</v>
      </c>
      <c r="P574" s="32" t="s">
        <v>3905</v>
      </c>
      <c r="Q574" s="42" t="s">
        <v>57</v>
      </c>
      <c r="R574" s="32">
        <v>2035</v>
      </c>
      <c r="S574" s="43" t="str">
        <f t="shared" si="76"/>
        <v>*0.94</v>
      </c>
      <c r="U574" s="32" t="s">
        <v>3905</v>
      </c>
      <c r="V574" s="42" t="s">
        <v>57</v>
      </c>
      <c r="W574" s="32">
        <v>2050</v>
      </c>
      <c r="X574" s="43" t="str">
        <f t="shared" si="77"/>
        <v>*0.92</v>
      </c>
      <c r="AC574" s="33" t="s">
        <v>3905</v>
      </c>
      <c r="AD574" s="44" t="s">
        <v>57</v>
      </c>
      <c r="AE574" s="33">
        <v>2035</v>
      </c>
      <c r="AF574" s="45" t="str">
        <f t="shared" si="78"/>
        <v>*0.92</v>
      </c>
      <c r="AG574" s="43" t="str">
        <f t="shared" si="81"/>
        <v>REZoning_Sol-Win</v>
      </c>
      <c r="AI574" s="33" t="s">
        <v>3905</v>
      </c>
      <c r="AJ574" s="44" t="s">
        <v>57</v>
      </c>
      <c r="AK574" s="33">
        <v>2050</v>
      </c>
      <c r="AL574" s="45" t="str">
        <f t="shared" si="79"/>
        <v>*0.89</v>
      </c>
      <c r="AM574" s="43" t="str">
        <f t="shared" si="82"/>
        <v>REZoning_Sol-Win</v>
      </c>
      <c r="AP574" t="s">
        <v>3905</v>
      </c>
      <c r="AQ574" t="s">
        <v>57</v>
      </c>
      <c r="AR574">
        <f t="shared" si="80"/>
        <v>2100</v>
      </c>
      <c r="AS574" t="s">
        <v>937</v>
      </c>
      <c r="AT574" t="s">
        <v>58</v>
      </c>
    </row>
    <row r="575" ht="29" spans="1:46">
      <c r="A575" s="31" t="s">
        <v>494</v>
      </c>
      <c r="C575" t="s">
        <v>3906</v>
      </c>
      <c r="D575" s="5" t="s">
        <v>57</v>
      </c>
      <c r="E575">
        <v>2035</v>
      </c>
      <c r="F575" s="6" t="str">
        <f t="shared" si="74"/>
        <v>*0.94</v>
      </c>
      <c r="H575" t="s">
        <v>3906</v>
      </c>
      <c r="I575" s="5" t="s">
        <v>57</v>
      </c>
      <c r="J575">
        <v>2050</v>
      </c>
      <c r="K575" s="38" t="str">
        <f t="shared" si="75"/>
        <v>*0.92</v>
      </c>
      <c r="P575" s="32" t="s">
        <v>3906</v>
      </c>
      <c r="Q575" s="42" t="s">
        <v>57</v>
      </c>
      <c r="R575" s="32">
        <v>2035</v>
      </c>
      <c r="S575" s="43" t="str">
        <f t="shared" si="76"/>
        <v>*0.94</v>
      </c>
      <c r="U575" s="32" t="s">
        <v>3906</v>
      </c>
      <c r="V575" s="42" t="s">
        <v>57</v>
      </c>
      <c r="W575" s="32">
        <v>2050</v>
      </c>
      <c r="X575" s="43" t="str">
        <f t="shared" si="77"/>
        <v>*0.92</v>
      </c>
      <c r="AC575" s="33" t="s">
        <v>3906</v>
      </c>
      <c r="AD575" s="44" t="s">
        <v>57</v>
      </c>
      <c r="AE575" s="33">
        <v>2035</v>
      </c>
      <c r="AF575" s="45" t="str">
        <f t="shared" si="78"/>
        <v>*0.92</v>
      </c>
      <c r="AG575" s="43" t="str">
        <f t="shared" si="81"/>
        <v>REZoning_Sol-Win</v>
      </c>
      <c r="AI575" s="33" t="s">
        <v>3906</v>
      </c>
      <c r="AJ575" s="44" t="s">
        <v>57</v>
      </c>
      <c r="AK575" s="33">
        <v>2050</v>
      </c>
      <c r="AL575" s="45" t="str">
        <f t="shared" si="79"/>
        <v>*0.89</v>
      </c>
      <c r="AM575" s="43" t="str">
        <f t="shared" si="82"/>
        <v>REZoning_Sol-Win</v>
      </c>
      <c r="AP575" t="s">
        <v>3906</v>
      </c>
      <c r="AQ575" t="s">
        <v>57</v>
      </c>
      <c r="AR575">
        <f t="shared" si="80"/>
        <v>2100</v>
      </c>
      <c r="AS575" t="s">
        <v>937</v>
      </c>
      <c r="AT575" t="s">
        <v>58</v>
      </c>
    </row>
    <row r="576" ht="29" spans="1:46">
      <c r="A576" s="31" t="s">
        <v>494</v>
      </c>
      <c r="C576" t="s">
        <v>3907</v>
      </c>
      <c r="D576" s="5" t="s">
        <v>57</v>
      </c>
      <c r="E576">
        <v>2035</v>
      </c>
      <c r="F576" s="6" t="str">
        <f t="shared" si="74"/>
        <v>*0.94</v>
      </c>
      <c r="H576" t="s">
        <v>3907</v>
      </c>
      <c r="I576" s="5" t="s">
        <v>57</v>
      </c>
      <c r="J576">
        <v>2050</v>
      </c>
      <c r="K576" s="38" t="str">
        <f t="shared" si="75"/>
        <v>*0.92</v>
      </c>
      <c r="P576" s="32" t="s">
        <v>3907</v>
      </c>
      <c r="Q576" s="42" t="s">
        <v>57</v>
      </c>
      <c r="R576" s="32">
        <v>2035</v>
      </c>
      <c r="S576" s="43" t="str">
        <f t="shared" si="76"/>
        <v>*0.94</v>
      </c>
      <c r="U576" s="32" t="s">
        <v>3907</v>
      </c>
      <c r="V576" s="42" t="s">
        <v>57</v>
      </c>
      <c r="W576" s="32">
        <v>2050</v>
      </c>
      <c r="X576" s="43" t="str">
        <f t="shared" si="77"/>
        <v>*0.92</v>
      </c>
      <c r="AC576" s="33" t="s">
        <v>3907</v>
      </c>
      <c r="AD576" s="44" t="s">
        <v>57</v>
      </c>
      <c r="AE576" s="33">
        <v>2035</v>
      </c>
      <c r="AF576" s="45" t="str">
        <f t="shared" si="78"/>
        <v>*0.92</v>
      </c>
      <c r="AG576" s="43" t="str">
        <f t="shared" si="81"/>
        <v>REZoning_Sol-Win</v>
      </c>
      <c r="AI576" s="33" t="s">
        <v>3907</v>
      </c>
      <c r="AJ576" s="44" t="s">
        <v>57</v>
      </c>
      <c r="AK576" s="33">
        <v>2050</v>
      </c>
      <c r="AL576" s="45" t="str">
        <f t="shared" si="79"/>
        <v>*0.89</v>
      </c>
      <c r="AM576" s="43" t="str">
        <f t="shared" si="82"/>
        <v>REZoning_Sol-Win</v>
      </c>
      <c r="AP576" t="s">
        <v>3907</v>
      </c>
      <c r="AQ576" t="s">
        <v>57</v>
      </c>
      <c r="AR576">
        <f t="shared" si="80"/>
        <v>2100</v>
      </c>
      <c r="AS576" t="s">
        <v>937</v>
      </c>
      <c r="AT576" t="s">
        <v>58</v>
      </c>
    </row>
    <row r="577" ht="29" spans="1:46">
      <c r="A577" s="31" t="s">
        <v>494</v>
      </c>
      <c r="C577" t="s">
        <v>3908</v>
      </c>
      <c r="D577" s="5" t="s">
        <v>57</v>
      </c>
      <c r="E577">
        <v>2035</v>
      </c>
      <c r="F577" s="6" t="str">
        <f t="shared" si="74"/>
        <v>*0.94</v>
      </c>
      <c r="H577" t="s">
        <v>3908</v>
      </c>
      <c r="I577" s="5" t="s">
        <v>57</v>
      </c>
      <c r="J577">
        <v>2050</v>
      </c>
      <c r="K577" s="38" t="str">
        <f t="shared" si="75"/>
        <v>*0.92</v>
      </c>
      <c r="P577" s="32" t="s">
        <v>3908</v>
      </c>
      <c r="Q577" s="42" t="s">
        <v>57</v>
      </c>
      <c r="R577" s="32">
        <v>2035</v>
      </c>
      <c r="S577" s="43" t="str">
        <f t="shared" si="76"/>
        <v>*0.94</v>
      </c>
      <c r="U577" s="32" t="s">
        <v>3908</v>
      </c>
      <c r="V577" s="42" t="s">
        <v>57</v>
      </c>
      <c r="W577" s="32">
        <v>2050</v>
      </c>
      <c r="X577" s="43" t="str">
        <f t="shared" si="77"/>
        <v>*0.92</v>
      </c>
      <c r="AC577" s="33" t="s">
        <v>3908</v>
      </c>
      <c r="AD577" s="44" t="s">
        <v>57</v>
      </c>
      <c r="AE577" s="33">
        <v>2035</v>
      </c>
      <c r="AF577" s="45" t="str">
        <f t="shared" si="78"/>
        <v>*0.92</v>
      </c>
      <c r="AG577" s="43" t="str">
        <f t="shared" si="81"/>
        <v>REZoning_Sol-Win</v>
      </c>
      <c r="AI577" s="33" t="s">
        <v>3908</v>
      </c>
      <c r="AJ577" s="44" t="s">
        <v>57</v>
      </c>
      <c r="AK577" s="33">
        <v>2050</v>
      </c>
      <c r="AL577" s="45" t="str">
        <f t="shared" si="79"/>
        <v>*0.89</v>
      </c>
      <c r="AM577" s="43" t="str">
        <f t="shared" si="82"/>
        <v>REZoning_Sol-Win</v>
      </c>
      <c r="AP577" t="s">
        <v>3908</v>
      </c>
      <c r="AQ577" t="s">
        <v>57</v>
      </c>
      <c r="AR577">
        <f t="shared" si="80"/>
        <v>2100</v>
      </c>
      <c r="AS577" t="s">
        <v>937</v>
      </c>
      <c r="AT577" t="s">
        <v>58</v>
      </c>
    </row>
    <row r="578" ht="29" spans="1:46">
      <c r="A578" s="31" t="s">
        <v>494</v>
      </c>
      <c r="C578" t="s">
        <v>3909</v>
      </c>
      <c r="D578" s="5" t="s">
        <v>57</v>
      </c>
      <c r="E578">
        <v>2035</v>
      </c>
      <c r="F578" s="6" t="str">
        <f t="shared" si="74"/>
        <v>*0.94</v>
      </c>
      <c r="H578" t="s">
        <v>3909</v>
      </c>
      <c r="I578" s="5" t="s">
        <v>57</v>
      </c>
      <c r="J578">
        <v>2050</v>
      </c>
      <c r="K578" s="38" t="str">
        <f t="shared" si="75"/>
        <v>*0.92</v>
      </c>
      <c r="P578" s="32" t="s">
        <v>3909</v>
      </c>
      <c r="Q578" s="42" t="s">
        <v>57</v>
      </c>
      <c r="R578" s="32">
        <v>2035</v>
      </c>
      <c r="S578" s="43" t="str">
        <f t="shared" si="76"/>
        <v>*0.94</v>
      </c>
      <c r="U578" s="32" t="s">
        <v>3909</v>
      </c>
      <c r="V578" s="42" t="s">
        <v>57</v>
      </c>
      <c r="W578" s="32">
        <v>2050</v>
      </c>
      <c r="X578" s="43" t="str">
        <f t="shared" si="77"/>
        <v>*0.92</v>
      </c>
      <c r="AC578" s="33" t="s">
        <v>3909</v>
      </c>
      <c r="AD578" s="44" t="s">
        <v>57</v>
      </c>
      <c r="AE578" s="33">
        <v>2035</v>
      </c>
      <c r="AF578" s="45" t="str">
        <f t="shared" si="78"/>
        <v>*0.92</v>
      </c>
      <c r="AG578" s="43" t="str">
        <f t="shared" si="81"/>
        <v>REZoning_Sol-Win</v>
      </c>
      <c r="AI578" s="33" t="s">
        <v>3909</v>
      </c>
      <c r="AJ578" s="44" t="s">
        <v>57</v>
      </c>
      <c r="AK578" s="33">
        <v>2050</v>
      </c>
      <c r="AL578" s="45" t="str">
        <f t="shared" si="79"/>
        <v>*0.89</v>
      </c>
      <c r="AM578" s="43" t="str">
        <f t="shared" si="82"/>
        <v>REZoning_Sol-Win</v>
      </c>
      <c r="AP578" t="s">
        <v>3909</v>
      </c>
      <c r="AQ578" t="s">
        <v>57</v>
      </c>
      <c r="AR578">
        <f t="shared" si="80"/>
        <v>2100</v>
      </c>
      <c r="AS578" t="s">
        <v>937</v>
      </c>
      <c r="AT578" t="s">
        <v>58</v>
      </c>
    </row>
    <row r="579" ht="29" spans="1:46">
      <c r="A579" s="31" t="s">
        <v>79</v>
      </c>
      <c r="C579" t="s">
        <v>3910</v>
      </c>
      <c r="D579" s="5" t="s">
        <v>57</v>
      </c>
      <c r="E579">
        <v>2035</v>
      </c>
      <c r="F579" s="6" t="str">
        <f t="shared" si="74"/>
        <v>*0.94</v>
      </c>
      <c r="H579" t="s">
        <v>3910</v>
      </c>
      <c r="I579" s="5" t="s">
        <v>57</v>
      </c>
      <c r="J579">
        <v>2050</v>
      </c>
      <c r="K579" s="38" t="str">
        <f t="shared" si="75"/>
        <v>*0.9</v>
      </c>
      <c r="P579" s="32" t="s">
        <v>3910</v>
      </c>
      <c r="Q579" s="42" t="s">
        <v>57</v>
      </c>
      <c r="R579" s="32">
        <v>2035</v>
      </c>
      <c r="S579" s="43" t="str">
        <f t="shared" si="76"/>
        <v>*0.92</v>
      </c>
      <c r="U579" s="32" t="s">
        <v>3910</v>
      </c>
      <c r="V579" s="42" t="s">
        <v>57</v>
      </c>
      <c r="W579" s="32">
        <v>2050</v>
      </c>
      <c r="X579" s="43" t="str">
        <f t="shared" si="77"/>
        <v>*0.89</v>
      </c>
      <c r="AC579" s="33" t="s">
        <v>3910</v>
      </c>
      <c r="AD579" s="44" t="s">
        <v>57</v>
      </c>
      <c r="AE579" s="33">
        <v>2035</v>
      </c>
      <c r="AF579" s="45" t="str">
        <f t="shared" si="78"/>
        <v>*0.89</v>
      </c>
      <c r="AG579" s="43" t="str">
        <f t="shared" si="81"/>
        <v>REZoning_Sol-Win</v>
      </c>
      <c r="AI579" s="33" t="s">
        <v>3910</v>
      </c>
      <c r="AJ579" s="44" t="s">
        <v>57</v>
      </c>
      <c r="AK579" s="33">
        <v>2050</v>
      </c>
      <c r="AL579" s="45" t="str">
        <f t="shared" si="79"/>
        <v>*0.84</v>
      </c>
      <c r="AM579" s="43" t="str">
        <f t="shared" si="82"/>
        <v>REZoning_Sol-Win</v>
      </c>
      <c r="AP579" t="s">
        <v>3910</v>
      </c>
      <c r="AQ579" t="s">
        <v>57</v>
      </c>
      <c r="AR579">
        <f t="shared" si="80"/>
        <v>2100</v>
      </c>
      <c r="AS579" t="s">
        <v>919</v>
      </c>
      <c r="AT579" t="s">
        <v>58</v>
      </c>
    </row>
    <row r="580" ht="29" spans="1:46">
      <c r="A580" s="31" t="s">
        <v>79</v>
      </c>
      <c r="C580" t="s">
        <v>3911</v>
      </c>
      <c r="D580" s="5" t="s">
        <v>57</v>
      </c>
      <c r="E580">
        <v>2035</v>
      </c>
      <c r="F580" s="6" t="str">
        <f t="shared" ref="F580:F643" si="83">"*"&amp;IF(AND(A580="EU",E580=2035),0.95,IF(AND(A580="EU",E580=2050),0.93,IF(AND(A580="USA",E580=2035),0.96,IF(AND(A580="USA",E580=2050),0.94,IF(AND(A580="Japan",E580=2035),0.94,IF(AND(A580="Japan",E580=2050),0.92,IF(AND(A580="Russia",E580=2035),0.95,IF(AND(A580="Russia",E580=2050),0.93,IF(AND(A580="China",E580=2035),0.94,IF(AND(A580="China",E580=2050),0.92,IF(AND(A580="India",E580=2035),0.95,IF(AND(A580="India",E580=2050),0.92,IF(AND(A580="Middle East",E580=2035),0.94,IF(AND(A580="Middle East",E580=2050),0.9,IF(AND(A580="Africa",E580=2035),0.94,IF(AND(A580="Africa",E580=2050),0.91,IF(AND(A580="Brazil",E580=2035),0.95,IF(AND(A580="Brazil",E580=2050),0.92,""))))))))))))))))))</f>
        <v>*0.94</v>
      </c>
      <c r="H580" t="s">
        <v>3911</v>
      </c>
      <c r="I580" s="5" t="s">
        <v>57</v>
      </c>
      <c r="J580">
        <v>2050</v>
      </c>
      <c r="K580" s="38" t="str">
        <f t="shared" ref="K580:K643" si="84">"*"&amp;IF(AND(A580="EU",J580=2035),0.95,IF(AND(A580="EU",J580=2050),0.93,IF(AND(A580="USA",J580=2035),0.96,IF(AND(A580="USA",J580=2050),0.94,IF(AND(A580="Japan",J580=2035),0.94,IF(AND(A580="Japan",J580=2050),0.92,IF(AND(A580="Russia",J580=2035),0.95,IF(AND(A580="Russia",J580=2050),0.93,IF(AND(A580="China",J580=2035),0.94,IF(AND(A580="China",J580=2050),0.92,IF(AND(A580="India",J580=2035),0.95,IF(AND(A580="India",J580=2050),0.92,IF(AND(A580="Middle East",J580=2035),0.94,IF(AND(A580="Middle East",J580=2050),0.9,IF(AND(A580="Africa",J580=2035),0.94,IF(AND(A580="Africa",J580=2050),0.91,IF(AND(A580="Brazil",J580=2035),0.95,IF(AND(A580="Brazil",J580=2050),0.92,""))))))))))))))))))</f>
        <v>*0.9</v>
      </c>
      <c r="P580" s="32" t="s">
        <v>3911</v>
      </c>
      <c r="Q580" s="42" t="s">
        <v>57</v>
      </c>
      <c r="R580" s="32">
        <v>2035</v>
      </c>
      <c r="S580" s="43" t="str">
        <f t="shared" ref="S580:S643" si="85">"*"&amp;IF(AND(A580="EU",R580=2035),0.95,IF(AND(A580="EU",R580=2050),0.93,IF(AND(A580="USA",R580=2035),0.96,IF(AND(A580="USA",R580=2050),0.93,IF(AND(A580="Japan",R580=2035),0.94,IF(AND(A580="Japan",R580=2050),0.92,IF(AND(A580="Russia",R580=2035),0.95,IF(AND(A580="Russia",R580=2050),0.91,IF(AND(A580="China",R580=2035),0.93,IF(AND(A580="China",R580=2050),0.92,IF(AND(A580="India",R580=2035),0.94,IF(AND(A580="India",R580=2050),0.91,IF(AND(A580="Middle East",R580=2035),0.92,IF(AND(A580="Middle East",R580=2050),0.89,IF(AND(A580="Africa",R580=2035),0.93,IF(AND(A580="Africa",R580=2050),0.9,IF(AND(A580="Brazil",R580=2035),0.95,IF(AND(A580="Brazil",R580=2050),0.92,""))))))))))))))))))</f>
        <v>*0.92</v>
      </c>
      <c r="U580" s="32" t="s">
        <v>3911</v>
      </c>
      <c r="V580" s="42" t="s">
        <v>57</v>
      </c>
      <c r="W580" s="32">
        <v>2050</v>
      </c>
      <c r="X580" s="43" t="str">
        <f t="shared" ref="X580:X643" si="86">"*"&amp;IF(AND(A580="EU",W580=2035),0.95,IF(AND(A580="EU",W580=2050),0.93,IF(AND(A580="USA",W580=2035),0.96,IF(AND(A580="USA",W580=2050),0.93,IF(AND(A580="Japan",W580=2035),0.94,IF(AND(A580="Japan",W580=2050),0.92,IF(AND(A580="Russia",W580=2035),0.95,IF(AND(A580="Russia",W580=2050),0.91,IF(AND(A580="China",W580=2035),0.93,IF(AND(A580="China",W580=2050),0.92,IF(AND(A580="India",W580=2035),0.94,IF(AND(A580="India",W580=2050),0.91,IF(AND(A580="Middle East",W580=2035),0.92,IF(AND(A580="Middle East",W580=2050),0.89,IF(AND(A580="Africa",W580=2035),0.93,IF(AND(A580="Africa",W580=2050),0.9,IF(AND(A580="Brazil",W580=2035),0.95,IF(AND(A580="Brazil",W580=2050),0.92,""))))))))))))))))))</f>
        <v>*0.89</v>
      </c>
      <c r="AC580" s="33" t="s">
        <v>3911</v>
      </c>
      <c r="AD580" s="44" t="s">
        <v>57</v>
      </c>
      <c r="AE580" s="33">
        <v>2035</v>
      </c>
      <c r="AF580" s="45" t="str">
        <f t="shared" ref="AF580:AF643" si="87">"*"&amp;IF(AND(A580="EU",AE580=2035),0.93,IF(AND(A580="EU",AE580=2050),0.9,IF(AND(A580="USA",AE580=2035),0.92,IF(AND(A580="USA",AE580=2050),0.89,IF(AND(A580="Japan",AE580=2035),0.92,IF(AND(A580="Japan",AE580=2050),0.89,IF(AND(A580="Russia",AE580=2035),0.91,IF(AND(A580="Russia",AE580=2050),0.86,IF(AND(A580="China",AE580=2035),0.91,IF(AND(A580="China",AE580=2050),0.87,IF(AND(A580="India",AE580=2035),0.92,IF(AND(A580="India",AE580=2050),0.87,IF(AND(A580="Middle East",AE580=2035),0.89,IF(AND(A580="Middle East",AE580=2050),0.84,IF(AND(A580="Africa",AE580=2035),0.9,IF(AND(A580="Africa",AE580=2050),0.86,IF(AND(A580="Brazil",AE580=2035),0.93,IF(AND(A580="Brazil",AE580=2050),0.89,""))))))))))))))))))</f>
        <v>*0.89</v>
      </c>
      <c r="AG580" s="43" t="str">
        <f t="shared" si="81"/>
        <v>REZoning_Sol-Win</v>
      </c>
      <c r="AI580" s="33" t="s">
        <v>3911</v>
      </c>
      <c r="AJ580" s="44" t="s">
        <v>57</v>
      </c>
      <c r="AK580" s="33">
        <v>2050</v>
      </c>
      <c r="AL580" s="45" t="str">
        <f t="shared" ref="AL580:AL643" si="88">"*"&amp;IF(AND(A580="EU",AK580=2035),0.93,IF(AND(A580="EU",AK580=2050),0.9,IF(AND(A580="USA",AK580=2035),0.92,IF(AND(A580="USA",AK580=2050),0.89,IF(AND(A580="Japan",AK580=2035),0.92,IF(AND(A580="Japan",AK580=2050),0.89,IF(AND(A580="Russia",AK580=2035),0.91,IF(AND(A580="Russia",AK580=2050),0.86,IF(AND(A580="China",AK580=2035),0.91,IF(AND(A580="China",AK580=2050),0.87,IF(AND(A580="India",AK580=2035),0.92,IF(AND(A580="India",AK580=2050),0.87,IF(AND(A580="Middle East",AK580=2035),0.89,IF(AND(A580="Middle East",AK580=2050),0.84,IF(AND(A580="Africa",AK580=2035),0.9,IF(AND(A580="Africa",AK580=2050),0.86,IF(AND(A580="Brazil",AK580=2035),0.93,IF(AND(A580="Brazil",AK580=2050),0.89,""))))))))))))))))))</f>
        <v>*0.84</v>
      </c>
      <c r="AM580" s="43" t="str">
        <f t="shared" si="82"/>
        <v>REZoning_Sol-Win</v>
      </c>
      <c r="AP580" t="s">
        <v>3911</v>
      </c>
      <c r="AQ580" t="s">
        <v>57</v>
      </c>
      <c r="AR580">
        <f t="shared" si="80"/>
        <v>2100</v>
      </c>
      <c r="AS580" t="s">
        <v>919</v>
      </c>
      <c r="AT580" t="s">
        <v>58</v>
      </c>
    </row>
    <row r="581" ht="29" spans="1:46">
      <c r="A581" s="31" t="s">
        <v>79</v>
      </c>
      <c r="C581" t="s">
        <v>3912</v>
      </c>
      <c r="D581" s="5" t="s">
        <v>57</v>
      </c>
      <c r="E581">
        <v>2035</v>
      </c>
      <c r="F581" s="6" t="str">
        <f t="shared" si="83"/>
        <v>*0.94</v>
      </c>
      <c r="H581" t="s">
        <v>3912</v>
      </c>
      <c r="I581" s="5" t="s">
        <v>57</v>
      </c>
      <c r="J581">
        <v>2050</v>
      </c>
      <c r="K581" s="38" t="str">
        <f t="shared" si="84"/>
        <v>*0.9</v>
      </c>
      <c r="P581" s="32" t="s">
        <v>3912</v>
      </c>
      <c r="Q581" s="42" t="s">
        <v>57</v>
      </c>
      <c r="R581" s="32">
        <v>2035</v>
      </c>
      <c r="S581" s="43" t="str">
        <f t="shared" si="85"/>
        <v>*0.92</v>
      </c>
      <c r="U581" s="32" t="s">
        <v>3912</v>
      </c>
      <c r="V581" s="42" t="s">
        <v>57</v>
      </c>
      <c r="W581" s="32">
        <v>2050</v>
      </c>
      <c r="X581" s="43" t="str">
        <f t="shared" si="86"/>
        <v>*0.89</v>
      </c>
      <c r="AC581" s="33" t="s">
        <v>3912</v>
      </c>
      <c r="AD581" s="44" t="s">
        <v>57</v>
      </c>
      <c r="AE581" s="33">
        <v>2035</v>
      </c>
      <c r="AF581" s="45" t="str">
        <f t="shared" si="87"/>
        <v>*0.89</v>
      </c>
      <c r="AG581" s="43" t="str">
        <f t="shared" si="81"/>
        <v>REZoning_Sol-Win</v>
      </c>
      <c r="AI581" s="33" t="s">
        <v>3912</v>
      </c>
      <c r="AJ581" s="44" t="s">
        <v>57</v>
      </c>
      <c r="AK581" s="33">
        <v>2050</v>
      </c>
      <c r="AL581" s="45" t="str">
        <f t="shared" si="88"/>
        <v>*0.84</v>
      </c>
      <c r="AM581" s="43" t="str">
        <f t="shared" si="82"/>
        <v>REZoning_Sol-Win</v>
      </c>
      <c r="AP581" t="s">
        <v>3912</v>
      </c>
      <c r="AQ581" t="s">
        <v>57</v>
      </c>
      <c r="AR581">
        <f t="shared" si="80"/>
        <v>2100</v>
      </c>
      <c r="AS581" t="s">
        <v>919</v>
      </c>
      <c r="AT581" t="s">
        <v>58</v>
      </c>
    </row>
    <row r="582" ht="29" spans="1:46">
      <c r="A582" s="31" t="s">
        <v>79</v>
      </c>
      <c r="C582" t="s">
        <v>3913</v>
      </c>
      <c r="D582" s="5" t="s">
        <v>57</v>
      </c>
      <c r="E582">
        <v>2035</v>
      </c>
      <c r="F582" s="6" t="str">
        <f t="shared" si="83"/>
        <v>*0.94</v>
      </c>
      <c r="H582" t="s">
        <v>3913</v>
      </c>
      <c r="I582" s="5" t="s">
        <v>57</v>
      </c>
      <c r="J582">
        <v>2050</v>
      </c>
      <c r="K582" s="38" t="str">
        <f t="shared" si="84"/>
        <v>*0.9</v>
      </c>
      <c r="P582" s="32" t="s">
        <v>3913</v>
      </c>
      <c r="Q582" s="42" t="s">
        <v>57</v>
      </c>
      <c r="R582" s="32">
        <v>2035</v>
      </c>
      <c r="S582" s="43" t="str">
        <f t="shared" si="85"/>
        <v>*0.92</v>
      </c>
      <c r="U582" s="32" t="s">
        <v>3913</v>
      </c>
      <c r="V582" s="42" t="s">
        <v>57</v>
      </c>
      <c r="W582" s="32">
        <v>2050</v>
      </c>
      <c r="X582" s="43" t="str">
        <f t="shared" si="86"/>
        <v>*0.89</v>
      </c>
      <c r="AC582" s="33" t="s">
        <v>3913</v>
      </c>
      <c r="AD582" s="44" t="s">
        <v>57</v>
      </c>
      <c r="AE582" s="33">
        <v>2035</v>
      </c>
      <c r="AF582" s="45" t="str">
        <f t="shared" si="87"/>
        <v>*0.89</v>
      </c>
      <c r="AG582" s="43" t="str">
        <f t="shared" si="81"/>
        <v>REZoning_Sol-Win</v>
      </c>
      <c r="AI582" s="33" t="s">
        <v>3913</v>
      </c>
      <c r="AJ582" s="44" t="s">
        <v>57</v>
      </c>
      <c r="AK582" s="33">
        <v>2050</v>
      </c>
      <c r="AL582" s="45" t="str">
        <f t="shared" si="88"/>
        <v>*0.84</v>
      </c>
      <c r="AM582" s="43" t="str">
        <f t="shared" si="82"/>
        <v>REZoning_Sol-Win</v>
      </c>
      <c r="AP582" t="s">
        <v>3913</v>
      </c>
      <c r="AQ582" t="s">
        <v>57</v>
      </c>
      <c r="AR582">
        <f t="shared" ref="AR582:AR645" si="89">AR581</f>
        <v>2100</v>
      </c>
      <c r="AS582" t="s">
        <v>919</v>
      </c>
      <c r="AT582" t="s">
        <v>58</v>
      </c>
    </row>
    <row r="583" ht="29" spans="1:46">
      <c r="A583" s="31" t="s">
        <v>79</v>
      </c>
      <c r="C583" t="s">
        <v>3914</v>
      </c>
      <c r="D583" s="5" t="s">
        <v>57</v>
      </c>
      <c r="E583">
        <v>2035</v>
      </c>
      <c r="F583" s="6" t="str">
        <f t="shared" si="83"/>
        <v>*0.94</v>
      </c>
      <c r="H583" t="s">
        <v>3914</v>
      </c>
      <c r="I583" s="5" t="s">
        <v>57</v>
      </c>
      <c r="J583">
        <v>2050</v>
      </c>
      <c r="K583" s="38" t="str">
        <f t="shared" si="84"/>
        <v>*0.9</v>
      </c>
      <c r="P583" s="32" t="s">
        <v>3914</v>
      </c>
      <c r="Q583" s="42" t="s">
        <v>57</v>
      </c>
      <c r="R583" s="32">
        <v>2035</v>
      </c>
      <c r="S583" s="43" t="str">
        <f t="shared" si="85"/>
        <v>*0.92</v>
      </c>
      <c r="U583" s="32" t="s">
        <v>3914</v>
      </c>
      <c r="V583" s="42" t="s">
        <v>57</v>
      </c>
      <c r="W583" s="32">
        <v>2050</v>
      </c>
      <c r="X583" s="43" t="str">
        <f t="shared" si="86"/>
        <v>*0.89</v>
      </c>
      <c r="AC583" s="33" t="s">
        <v>3914</v>
      </c>
      <c r="AD583" s="44" t="s">
        <v>57</v>
      </c>
      <c r="AE583" s="33">
        <v>2035</v>
      </c>
      <c r="AF583" s="45" t="str">
        <f t="shared" si="87"/>
        <v>*0.89</v>
      </c>
      <c r="AG583" s="43" t="str">
        <f t="shared" si="81"/>
        <v>REZoning_Sol-Win</v>
      </c>
      <c r="AI583" s="33" t="s">
        <v>3914</v>
      </c>
      <c r="AJ583" s="44" t="s">
        <v>57</v>
      </c>
      <c r="AK583" s="33">
        <v>2050</v>
      </c>
      <c r="AL583" s="45" t="str">
        <f t="shared" si="88"/>
        <v>*0.84</v>
      </c>
      <c r="AM583" s="43" t="str">
        <f t="shared" si="82"/>
        <v>REZoning_Sol-Win</v>
      </c>
      <c r="AP583" t="s">
        <v>3914</v>
      </c>
      <c r="AQ583" t="s">
        <v>57</v>
      </c>
      <c r="AR583">
        <f t="shared" si="89"/>
        <v>2100</v>
      </c>
      <c r="AS583" t="s">
        <v>919</v>
      </c>
      <c r="AT583" t="s">
        <v>58</v>
      </c>
    </row>
    <row r="584" ht="29" spans="1:46">
      <c r="A584" s="31" t="s">
        <v>79</v>
      </c>
      <c r="C584" t="s">
        <v>3915</v>
      </c>
      <c r="D584" s="5" t="s">
        <v>57</v>
      </c>
      <c r="E584">
        <v>2035</v>
      </c>
      <c r="F584" s="6" t="str">
        <f t="shared" si="83"/>
        <v>*0.94</v>
      </c>
      <c r="H584" t="s">
        <v>3915</v>
      </c>
      <c r="I584" s="5" t="s">
        <v>57</v>
      </c>
      <c r="J584">
        <v>2050</v>
      </c>
      <c r="K584" s="38" t="str">
        <f t="shared" si="84"/>
        <v>*0.9</v>
      </c>
      <c r="P584" s="32" t="s">
        <v>3915</v>
      </c>
      <c r="Q584" s="42" t="s">
        <v>57</v>
      </c>
      <c r="R584" s="32">
        <v>2035</v>
      </c>
      <c r="S584" s="43" t="str">
        <f t="shared" si="85"/>
        <v>*0.92</v>
      </c>
      <c r="U584" s="32" t="s">
        <v>3915</v>
      </c>
      <c r="V584" s="42" t="s">
        <v>57</v>
      </c>
      <c r="W584" s="32">
        <v>2050</v>
      </c>
      <c r="X584" s="43" t="str">
        <f t="shared" si="86"/>
        <v>*0.89</v>
      </c>
      <c r="AC584" s="33" t="s">
        <v>3915</v>
      </c>
      <c r="AD584" s="44" t="s">
        <v>57</v>
      </c>
      <c r="AE584" s="33">
        <v>2035</v>
      </c>
      <c r="AF584" s="45" t="str">
        <f t="shared" si="87"/>
        <v>*0.89</v>
      </c>
      <c r="AG584" s="43" t="str">
        <f t="shared" si="81"/>
        <v>REZoning_Sol-Win</v>
      </c>
      <c r="AI584" s="33" t="s">
        <v>3915</v>
      </c>
      <c r="AJ584" s="44" t="s">
        <v>57</v>
      </c>
      <c r="AK584" s="33">
        <v>2050</v>
      </c>
      <c r="AL584" s="45" t="str">
        <f t="shared" si="88"/>
        <v>*0.84</v>
      </c>
      <c r="AM584" s="43" t="str">
        <f t="shared" si="82"/>
        <v>REZoning_Sol-Win</v>
      </c>
      <c r="AP584" t="s">
        <v>3915</v>
      </c>
      <c r="AQ584" t="s">
        <v>57</v>
      </c>
      <c r="AR584">
        <f t="shared" si="89"/>
        <v>2100</v>
      </c>
      <c r="AS584" t="s">
        <v>919</v>
      </c>
      <c r="AT584" t="s">
        <v>58</v>
      </c>
    </row>
    <row r="585" ht="29" spans="1:46">
      <c r="A585" s="31" t="s">
        <v>79</v>
      </c>
      <c r="C585" t="s">
        <v>3916</v>
      </c>
      <c r="D585" s="5" t="s">
        <v>57</v>
      </c>
      <c r="E585">
        <v>2035</v>
      </c>
      <c r="F585" s="6" t="str">
        <f t="shared" si="83"/>
        <v>*0.94</v>
      </c>
      <c r="H585" t="s">
        <v>3916</v>
      </c>
      <c r="I585" s="5" t="s">
        <v>57</v>
      </c>
      <c r="J585">
        <v>2050</v>
      </c>
      <c r="K585" s="38" t="str">
        <f t="shared" si="84"/>
        <v>*0.9</v>
      </c>
      <c r="P585" s="32" t="s">
        <v>3916</v>
      </c>
      <c r="Q585" s="42" t="s">
        <v>57</v>
      </c>
      <c r="R585" s="32">
        <v>2035</v>
      </c>
      <c r="S585" s="43" t="str">
        <f t="shared" si="85"/>
        <v>*0.92</v>
      </c>
      <c r="U585" s="32" t="s">
        <v>3916</v>
      </c>
      <c r="V585" s="42" t="s">
        <v>57</v>
      </c>
      <c r="W585" s="32">
        <v>2050</v>
      </c>
      <c r="X585" s="43" t="str">
        <f t="shared" si="86"/>
        <v>*0.89</v>
      </c>
      <c r="AC585" s="33" t="s">
        <v>3916</v>
      </c>
      <c r="AD585" s="44" t="s">
        <v>57</v>
      </c>
      <c r="AE585" s="33">
        <v>2035</v>
      </c>
      <c r="AF585" s="45" t="str">
        <f t="shared" si="87"/>
        <v>*0.89</v>
      </c>
      <c r="AG585" s="43" t="str">
        <f t="shared" ref="AG585:AG648" si="90">AG584</f>
        <v>REZoning_Sol-Win</v>
      </c>
      <c r="AI585" s="33" t="s">
        <v>3916</v>
      </c>
      <c r="AJ585" s="44" t="s">
        <v>57</v>
      </c>
      <c r="AK585" s="33">
        <v>2050</v>
      </c>
      <c r="AL585" s="45" t="str">
        <f t="shared" si="88"/>
        <v>*0.84</v>
      </c>
      <c r="AM585" s="43" t="str">
        <f t="shared" ref="AM585:AM648" si="91">AM584</f>
        <v>REZoning_Sol-Win</v>
      </c>
      <c r="AP585" t="s">
        <v>3916</v>
      </c>
      <c r="AQ585" t="s">
        <v>57</v>
      </c>
      <c r="AR585">
        <f t="shared" si="89"/>
        <v>2100</v>
      </c>
      <c r="AS585" t="s">
        <v>919</v>
      </c>
      <c r="AT585" t="s">
        <v>58</v>
      </c>
    </row>
    <row r="586" ht="29" spans="1:46">
      <c r="A586" s="31" t="s">
        <v>79</v>
      </c>
      <c r="C586" t="s">
        <v>3917</v>
      </c>
      <c r="D586" s="5" t="s">
        <v>57</v>
      </c>
      <c r="E586">
        <v>2035</v>
      </c>
      <c r="F586" s="6" t="str">
        <f t="shared" si="83"/>
        <v>*0.94</v>
      </c>
      <c r="H586" t="s">
        <v>3917</v>
      </c>
      <c r="I586" s="5" t="s">
        <v>57</v>
      </c>
      <c r="J586">
        <v>2050</v>
      </c>
      <c r="K586" s="38" t="str">
        <f t="shared" si="84"/>
        <v>*0.9</v>
      </c>
      <c r="P586" s="32" t="s">
        <v>3917</v>
      </c>
      <c r="Q586" s="42" t="s">
        <v>57</v>
      </c>
      <c r="R586" s="32">
        <v>2035</v>
      </c>
      <c r="S586" s="43" t="str">
        <f t="shared" si="85"/>
        <v>*0.92</v>
      </c>
      <c r="U586" s="32" t="s">
        <v>3917</v>
      </c>
      <c r="V586" s="42" t="s">
        <v>57</v>
      </c>
      <c r="W586" s="32">
        <v>2050</v>
      </c>
      <c r="X586" s="43" t="str">
        <f t="shared" si="86"/>
        <v>*0.89</v>
      </c>
      <c r="AC586" s="33" t="s">
        <v>3917</v>
      </c>
      <c r="AD586" s="44" t="s">
        <v>57</v>
      </c>
      <c r="AE586" s="33">
        <v>2035</v>
      </c>
      <c r="AF586" s="45" t="str">
        <f t="shared" si="87"/>
        <v>*0.89</v>
      </c>
      <c r="AG586" s="43" t="str">
        <f t="shared" si="90"/>
        <v>REZoning_Sol-Win</v>
      </c>
      <c r="AI586" s="33" t="s">
        <v>3917</v>
      </c>
      <c r="AJ586" s="44" t="s">
        <v>57</v>
      </c>
      <c r="AK586" s="33">
        <v>2050</v>
      </c>
      <c r="AL586" s="45" t="str">
        <f t="shared" si="88"/>
        <v>*0.84</v>
      </c>
      <c r="AM586" s="43" t="str">
        <f t="shared" si="91"/>
        <v>REZoning_Sol-Win</v>
      </c>
      <c r="AP586" t="s">
        <v>3917</v>
      </c>
      <c r="AQ586" t="s">
        <v>57</v>
      </c>
      <c r="AR586">
        <f t="shared" si="89"/>
        <v>2100</v>
      </c>
      <c r="AS586" t="s">
        <v>919</v>
      </c>
      <c r="AT586" t="s">
        <v>58</v>
      </c>
    </row>
    <row r="587" ht="29" spans="1:46">
      <c r="A587" s="31" t="s">
        <v>79</v>
      </c>
      <c r="C587" t="s">
        <v>3918</v>
      </c>
      <c r="D587" s="5" t="s">
        <v>57</v>
      </c>
      <c r="E587">
        <v>2035</v>
      </c>
      <c r="F587" s="6" t="str">
        <f t="shared" si="83"/>
        <v>*0.94</v>
      </c>
      <c r="H587" t="s">
        <v>3918</v>
      </c>
      <c r="I587" s="5" t="s">
        <v>57</v>
      </c>
      <c r="J587">
        <v>2050</v>
      </c>
      <c r="K587" s="38" t="str">
        <f t="shared" si="84"/>
        <v>*0.9</v>
      </c>
      <c r="P587" s="32" t="s">
        <v>3918</v>
      </c>
      <c r="Q587" s="42" t="s">
        <v>57</v>
      </c>
      <c r="R587" s="32">
        <v>2035</v>
      </c>
      <c r="S587" s="43" t="str">
        <f t="shared" si="85"/>
        <v>*0.92</v>
      </c>
      <c r="U587" s="32" t="s">
        <v>3918</v>
      </c>
      <c r="V587" s="42" t="s">
        <v>57</v>
      </c>
      <c r="W587" s="32">
        <v>2050</v>
      </c>
      <c r="X587" s="43" t="str">
        <f t="shared" si="86"/>
        <v>*0.89</v>
      </c>
      <c r="AC587" s="33" t="s">
        <v>3918</v>
      </c>
      <c r="AD587" s="44" t="s">
        <v>57</v>
      </c>
      <c r="AE587" s="33">
        <v>2035</v>
      </c>
      <c r="AF587" s="45" t="str">
        <f t="shared" si="87"/>
        <v>*0.89</v>
      </c>
      <c r="AG587" s="43" t="str">
        <f t="shared" si="90"/>
        <v>REZoning_Sol-Win</v>
      </c>
      <c r="AI587" s="33" t="s">
        <v>3918</v>
      </c>
      <c r="AJ587" s="44" t="s">
        <v>57</v>
      </c>
      <c r="AK587" s="33">
        <v>2050</v>
      </c>
      <c r="AL587" s="45" t="str">
        <f t="shared" si="88"/>
        <v>*0.84</v>
      </c>
      <c r="AM587" s="43" t="str">
        <f t="shared" si="91"/>
        <v>REZoning_Sol-Win</v>
      </c>
      <c r="AP587" t="s">
        <v>3918</v>
      </c>
      <c r="AQ587" t="s">
        <v>57</v>
      </c>
      <c r="AR587">
        <f t="shared" si="89"/>
        <v>2100</v>
      </c>
      <c r="AS587" t="s">
        <v>919</v>
      </c>
      <c r="AT587" t="s">
        <v>58</v>
      </c>
    </row>
    <row r="588" ht="29" spans="1:46">
      <c r="A588" s="31" t="s">
        <v>83</v>
      </c>
      <c r="C588" t="s">
        <v>3919</v>
      </c>
      <c r="D588" s="5" t="s">
        <v>57</v>
      </c>
      <c r="E588">
        <v>2035</v>
      </c>
      <c r="F588" s="6" t="str">
        <f t="shared" si="83"/>
        <v>*0.95</v>
      </c>
      <c r="H588" t="s">
        <v>3919</v>
      </c>
      <c r="I588" s="5" t="s">
        <v>57</v>
      </c>
      <c r="J588">
        <v>2050</v>
      </c>
      <c r="K588" s="38" t="str">
        <f t="shared" si="84"/>
        <v>*0.92</v>
      </c>
      <c r="P588" s="32" t="s">
        <v>3919</v>
      </c>
      <c r="Q588" s="42" t="s">
        <v>57</v>
      </c>
      <c r="R588" s="32">
        <v>2035</v>
      </c>
      <c r="S588" s="43" t="str">
        <f t="shared" si="85"/>
        <v>*0.95</v>
      </c>
      <c r="U588" s="32" t="s">
        <v>3919</v>
      </c>
      <c r="V588" s="42" t="s">
        <v>57</v>
      </c>
      <c r="W588" s="32">
        <v>2050</v>
      </c>
      <c r="X588" s="43" t="str">
        <f t="shared" si="86"/>
        <v>*0.92</v>
      </c>
      <c r="AC588" s="33" t="s">
        <v>3919</v>
      </c>
      <c r="AD588" s="44" t="s">
        <v>57</v>
      </c>
      <c r="AE588" s="33">
        <v>2035</v>
      </c>
      <c r="AF588" s="45" t="str">
        <f t="shared" si="87"/>
        <v>*0.93</v>
      </c>
      <c r="AG588" s="43" t="str">
        <f t="shared" si="90"/>
        <v>REZoning_Sol-Win</v>
      </c>
      <c r="AI588" s="33" t="s">
        <v>3919</v>
      </c>
      <c r="AJ588" s="44" t="s">
        <v>57</v>
      </c>
      <c r="AK588" s="33">
        <v>2050</v>
      </c>
      <c r="AL588" s="45" t="str">
        <f t="shared" si="88"/>
        <v>*0.89</v>
      </c>
      <c r="AM588" s="43" t="str">
        <f t="shared" si="91"/>
        <v>REZoning_Sol-Win</v>
      </c>
      <c r="AP588" t="s">
        <v>3919</v>
      </c>
      <c r="AQ588" t="s">
        <v>57</v>
      </c>
      <c r="AR588">
        <f t="shared" si="89"/>
        <v>2100</v>
      </c>
      <c r="AS588" t="s">
        <v>937</v>
      </c>
      <c r="AT588" t="s">
        <v>58</v>
      </c>
    </row>
    <row r="589" ht="29" spans="1:46">
      <c r="A589" s="31" t="s">
        <v>83</v>
      </c>
      <c r="C589" t="s">
        <v>3920</v>
      </c>
      <c r="D589" s="5" t="s">
        <v>57</v>
      </c>
      <c r="E589">
        <v>2035</v>
      </c>
      <c r="F589" s="6" t="str">
        <f t="shared" si="83"/>
        <v>*0.95</v>
      </c>
      <c r="H589" t="s">
        <v>3920</v>
      </c>
      <c r="I589" s="5" t="s">
        <v>57</v>
      </c>
      <c r="J589">
        <v>2050</v>
      </c>
      <c r="K589" s="38" t="str">
        <f t="shared" si="84"/>
        <v>*0.92</v>
      </c>
      <c r="P589" s="32" t="s">
        <v>3920</v>
      </c>
      <c r="Q589" s="42" t="s">
        <v>57</v>
      </c>
      <c r="R589" s="32">
        <v>2035</v>
      </c>
      <c r="S589" s="43" t="str">
        <f t="shared" si="85"/>
        <v>*0.95</v>
      </c>
      <c r="U589" s="32" t="s">
        <v>3920</v>
      </c>
      <c r="V589" s="42" t="s">
        <v>57</v>
      </c>
      <c r="W589" s="32">
        <v>2050</v>
      </c>
      <c r="X589" s="43" t="str">
        <f t="shared" si="86"/>
        <v>*0.92</v>
      </c>
      <c r="AC589" s="33" t="s">
        <v>3920</v>
      </c>
      <c r="AD589" s="44" t="s">
        <v>57</v>
      </c>
      <c r="AE589" s="33">
        <v>2035</v>
      </c>
      <c r="AF589" s="45" t="str">
        <f t="shared" si="87"/>
        <v>*0.93</v>
      </c>
      <c r="AG589" s="43" t="str">
        <f t="shared" si="90"/>
        <v>REZoning_Sol-Win</v>
      </c>
      <c r="AI589" s="33" t="s">
        <v>3920</v>
      </c>
      <c r="AJ589" s="44" t="s">
        <v>57</v>
      </c>
      <c r="AK589" s="33">
        <v>2050</v>
      </c>
      <c r="AL589" s="45" t="str">
        <f t="shared" si="88"/>
        <v>*0.89</v>
      </c>
      <c r="AM589" s="43" t="str">
        <f t="shared" si="91"/>
        <v>REZoning_Sol-Win</v>
      </c>
      <c r="AP589" t="s">
        <v>3920</v>
      </c>
      <c r="AQ589" t="s">
        <v>57</v>
      </c>
      <c r="AR589">
        <f t="shared" si="89"/>
        <v>2100</v>
      </c>
      <c r="AS589" t="s">
        <v>937</v>
      </c>
      <c r="AT589" t="s">
        <v>58</v>
      </c>
    </row>
    <row r="590" ht="29" spans="1:46">
      <c r="A590" s="31" t="s">
        <v>83</v>
      </c>
      <c r="C590" t="s">
        <v>3921</v>
      </c>
      <c r="D590" s="5" t="s">
        <v>57</v>
      </c>
      <c r="E590">
        <v>2035</v>
      </c>
      <c r="F590" s="6" t="str">
        <f t="shared" si="83"/>
        <v>*0.95</v>
      </c>
      <c r="H590" t="s">
        <v>3921</v>
      </c>
      <c r="I590" s="5" t="s">
        <v>57</v>
      </c>
      <c r="J590">
        <v>2050</v>
      </c>
      <c r="K590" s="38" t="str">
        <f t="shared" si="84"/>
        <v>*0.92</v>
      </c>
      <c r="P590" s="32" t="s">
        <v>3921</v>
      </c>
      <c r="Q590" s="42" t="s">
        <v>57</v>
      </c>
      <c r="R590" s="32">
        <v>2035</v>
      </c>
      <c r="S590" s="43" t="str">
        <f t="shared" si="85"/>
        <v>*0.95</v>
      </c>
      <c r="U590" s="32" t="s">
        <v>3921</v>
      </c>
      <c r="V590" s="42" t="s">
        <v>57</v>
      </c>
      <c r="W590" s="32">
        <v>2050</v>
      </c>
      <c r="X590" s="43" t="str">
        <f t="shared" si="86"/>
        <v>*0.92</v>
      </c>
      <c r="AC590" s="33" t="s">
        <v>3921</v>
      </c>
      <c r="AD590" s="44" t="s">
        <v>57</v>
      </c>
      <c r="AE590" s="33">
        <v>2035</v>
      </c>
      <c r="AF590" s="45" t="str">
        <f t="shared" si="87"/>
        <v>*0.93</v>
      </c>
      <c r="AG590" s="43" t="str">
        <f t="shared" si="90"/>
        <v>REZoning_Sol-Win</v>
      </c>
      <c r="AI590" s="33" t="s">
        <v>3921</v>
      </c>
      <c r="AJ590" s="44" t="s">
        <v>57</v>
      </c>
      <c r="AK590" s="33">
        <v>2050</v>
      </c>
      <c r="AL590" s="45" t="str">
        <f t="shared" si="88"/>
        <v>*0.89</v>
      </c>
      <c r="AM590" s="43" t="str">
        <f t="shared" si="91"/>
        <v>REZoning_Sol-Win</v>
      </c>
      <c r="AP590" t="s">
        <v>3921</v>
      </c>
      <c r="AQ590" t="s">
        <v>57</v>
      </c>
      <c r="AR590">
        <f t="shared" si="89"/>
        <v>2100</v>
      </c>
      <c r="AS590" t="s">
        <v>937</v>
      </c>
      <c r="AT590" t="s">
        <v>58</v>
      </c>
    </row>
    <row r="591" ht="29" spans="1:46">
      <c r="A591" s="31" t="s">
        <v>55</v>
      </c>
      <c r="C591" t="s">
        <v>3922</v>
      </c>
      <c r="D591" s="5" t="s">
        <v>57</v>
      </c>
      <c r="E591">
        <v>2035</v>
      </c>
      <c r="F591" s="6" t="str">
        <f t="shared" si="83"/>
        <v>*0.95</v>
      </c>
      <c r="H591" t="s">
        <v>3922</v>
      </c>
      <c r="I591" s="5" t="s">
        <v>57</v>
      </c>
      <c r="J591">
        <v>2050</v>
      </c>
      <c r="K591" s="38" t="str">
        <f t="shared" si="84"/>
        <v>*0.92</v>
      </c>
      <c r="P591" s="32" t="s">
        <v>3922</v>
      </c>
      <c r="Q591" s="42" t="s">
        <v>57</v>
      </c>
      <c r="R591" s="32">
        <v>2035</v>
      </c>
      <c r="S591" s="43" t="str">
        <f t="shared" si="85"/>
        <v>*0.94</v>
      </c>
      <c r="U591" s="32" t="s">
        <v>3922</v>
      </c>
      <c r="V591" s="42" t="s">
        <v>57</v>
      </c>
      <c r="W591" s="32">
        <v>2050</v>
      </c>
      <c r="X591" s="43" t="str">
        <f t="shared" si="86"/>
        <v>*0.91</v>
      </c>
      <c r="AC591" s="33" t="s">
        <v>3922</v>
      </c>
      <c r="AD591" s="44" t="s">
        <v>57</v>
      </c>
      <c r="AE591" s="33">
        <v>2035</v>
      </c>
      <c r="AF591" s="45" t="str">
        <f t="shared" si="87"/>
        <v>*0.92</v>
      </c>
      <c r="AG591" s="43" t="str">
        <f t="shared" si="90"/>
        <v>REZoning_Sol-Win</v>
      </c>
      <c r="AI591" s="33" t="s">
        <v>3922</v>
      </c>
      <c r="AJ591" s="44" t="s">
        <v>57</v>
      </c>
      <c r="AK591" s="33">
        <v>2050</v>
      </c>
      <c r="AL591" s="45" t="str">
        <f t="shared" si="88"/>
        <v>*0.87</v>
      </c>
      <c r="AM591" s="43" t="str">
        <f t="shared" si="91"/>
        <v>REZoning_Sol-Win</v>
      </c>
      <c r="AP591" t="s">
        <v>3922</v>
      </c>
      <c r="AQ591" t="s">
        <v>57</v>
      </c>
      <c r="AR591">
        <f t="shared" si="89"/>
        <v>2100</v>
      </c>
      <c r="AS591" t="s">
        <v>874</v>
      </c>
      <c r="AT591" t="s">
        <v>58</v>
      </c>
    </row>
    <row r="592" ht="29" spans="1:46">
      <c r="A592" s="31" t="s">
        <v>55</v>
      </c>
      <c r="C592" t="s">
        <v>3923</v>
      </c>
      <c r="D592" s="5" t="s">
        <v>57</v>
      </c>
      <c r="E592">
        <v>2035</v>
      </c>
      <c r="F592" s="6" t="str">
        <f t="shared" si="83"/>
        <v>*0.95</v>
      </c>
      <c r="H592" t="s">
        <v>3923</v>
      </c>
      <c r="I592" s="5" t="s">
        <v>57</v>
      </c>
      <c r="J592">
        <v>2050</v>
      </c>
      <c r="K592" s="38" t="str">
        <f t="shared" si="84"/>
        <v>*0.92</v>
      </c>
      <c r="P592" s="32" t="s">
        <v>3923</v>
      </c>
      <c r="Q592" s="42" t="s">
        <v>57</v>
      </c>
      <c r="R592" s="32">
        <v>2035</v>
      </c>
      <c r="S592" s="43" t="str">
        <f t="shared" si="85"/>
        <v>*0.94</v>
      </c>
      <c r="U592" s="32" t="s">
        <v>3923</v>
      </c>
      <c r="V592" s="42" t="s">
        <v>57</v>
      </c>
      <c r="W592" s="32">
        <v>2050</v>
      </c>
      <c r="X592" s="43" t="str">
        <f t="shared" si="86"/>
        <v>*0.91</v>
      </c>
      <c r="AC592" s="33" t="s">
        <v>3923</v>
      </c>
      <c r="AD592" s="44" t="s">
        <v>57</v>
      </c>
      <c r="AE592" s="33">
        <v>2035</v>
      </c>
      <c r="AF592" s="45" t="str">
        <f t="shared" si="87"/>
        <v>*0.92</v>
      </c>
      <c r="AG592" s="43" t="str">
        <f t="shared" si="90"/>
        <v>REZoning_Sol-Win</v>
      </c>
      <c r="AI592" s="33" t="s">
        <v>3923</v>
      </c>
      <c r="AJ592" s="44" t="s">
        <v>57</v>
      </c>
      <c r="AK592" s="33">
        <v>2050</v>
      </c>
      <c r="AL592" s="45" t="str">
        <f t="shared" si="88"/>
        <v>*0.87</v>
      </c>
      <c r="AM592" s="43" t="str">
        <f t="shared" si="91"/>
        <v>REZoning_Sol-Win</v>
      </c>
      <c r="AP592" t="s">
        <v>3923</v>
      </c>
      <c r="AQ592" t="s">
        <v>57</v>
      </c>
      <c r="AR592">
        <f t="shared" si="89"/>
        <v>2100</v>
      </c>
      <c r="AS592" t="s">
        <v>874</v>
      </c>
      <c r="AT592" t="s">
        <v>58</v>
      </c>
    </row>
    <row r="593" ht="29" spans="1:46">
      <c r="A593" s="31" t="s">
        <v>55</v>
      </c>
      <c r="C593" t="s">
        <v>3924</v>
      </c>
      <c r="D593" s="5" t="s">
        <v>57</v>
      </c>
      <c r="E593">
        <v>2035</v>
      </c>
      <c r="F593" s="6" t="str">
        <f t="shared" si="83"/>
        <v>*0.95</v>
      </c>
      <c r="H593" t="s">
        <v>3924</v>
      </c>
      <c r="I593" s="5" t="s">
        <v>57</v>
      </c>
      <c r="J593">
        <v>2050</v>
      </c>
      <c r="K593" s="38" t="str">
        <f t="shared" si="84"/>
        <v>*0.92</v>
      </c>
      <c r="P593" s="32" t="s">
        <v>3924</v>
      </c>
      <c r="Q593" s="42" t="s">
        <v>57</v>
      </c>
      <c r="R593" s="32">
        <v>2035</v>
      </c>
      <c r="S593" s="43" t="str">
        <f t="shared" si="85"/>
        <v>*0.94</v>
      </c>
      <c r="U593" s="32" t="s">
        <v>3924</v>
      </c>
      <c r="V593" s="42" t="s">
        <v>57</v>
      </c>
      <c r="W593" s="32">
        <v>2050</v>
      </c>
      <c r="X593" s="43" t="str">
        <f t="shared" si="86"/>
        <v>*0.91</v>
      </c>
      <c r="AC593" s="33" t="s">
        <v>3924</v>
      </c>
      <c r="AD593" s="44" t="s">
        <v>57</v>
      </c>
      <c r="AE593" s="33">
        <v>2035</v>
      </c>
      <c r="AF593" s="45" t="str">
        <f t="shared" si="87"/>
        <v>*0.92</v>
      </c>
      <c r="AG593" s="43" t="str">
        <f t="shared" si="90"/>
        <v>REZoning_Sol-Win</v>
      </c>
      <c r="AI593" s="33" t="s">
        <v>3924</v>
      </c>
      <c r="AJ593" s="44" t="s">
        <v>57</v>
      </c>
      <c r="AK593" s="33">
        <v>2050</v>
      </c>
      <c r="AL593" s="45" t="str">
        <f t="shared" si="88"/>
        <v>*0.87</v>
      </c>
      <c r="AM593" s="43" t="str">
        <f t="shared" si="91"/>
        <v>REZoning_Sol-Win</v>
      </c>
      <c r="AP593" t="s">
        <v>3924</v>
      </c>
      <c r="AQ593" t="s">
        <v>57</v>
      </c>
      <c r="AR593">
        <f t="shared" si="89"/>
        <v>2100</v>
      </c>
      <c r="AS593" t="s">
        <v>874</v>
      </c>
      <c r="AT593" t="s">
        <v>58</v>
      </c>
    </row>
    <row r="594" ht="29" spans="1:46">
      <c r="A594" s="31" t="s">
        <v>55</v>
      </c>
      <c r="C594" t="s">
        <v>3925</v>
      </c>
      <c r="D594" s="5" t="s">
        <v>57</v>
      </c>
      <c r="E594">
        <v>2035</v>
      </c>
      <c r="F594" s="6" t="str">
        <f t="shared" si="83"/>
        <v>*0.95</v>
      </c>
      <c r="H594" t="s">
        <v>3925</v>
      </c>
      <c r="I594" s="5" t="s">
        <v>57</v>
      </c>
      <c r="J594">
        <v>2050</v>
      </c>
      <c r="K594" s="38" t="str">
        <f t="shared" si="84"/>
        <v>*0.92</v>
      </c>
      <c r="P594" s="32" t="s">
        <v>3925</v>
      </c>
      <c r="Q594" s="42" t="s">
        <v>57</v>
      </c>
      <c r="R594" s="32">
        <v>2035</v>
      </c>
      <c r="S594" s="43" t="str">
        <f t="shared" si="85"/>
        <v>*0.94</v>
      </c>
      <c r="U594" s="32" t="s">
        <v>3925</v>
      </c>
      <c r="V594" s="42" t="s">
        <v>57</v>
      </c>
      <c r="W594" s="32">
        <v>2050</v>
      </c>
      <c r="X594" s="43" t="str">
        <f t="shared" si="86"/>
        <v>*0.91</v>
      </c>
      <c r="AC594" s="33" t="s">
        <v>3925</v>
      </c>
      <c r="AD594" s="44" t="s">
        <v>57</v>
      </c>
      <c r="AE594" s="33">
        <v>2035</v>
      </c>
      <c r="AF594" s="45" t="str">
        <f t="shared" si="87"/>
        <v>*0.92</v>
      </c>
      <c r="AG594" s="43" t="str">
        <f t="shared" si="90"/>
        <v>REZoning_Sol-Win</v>
      </c>
      <c r="AI594" s="33" t="s">
        <v>3925</v>
      </c>
      <c r="AJ594" s="44" t="s">
        <v>57</v>
      </c>
      <c r="AK594" s="33">
        <v>2050</v>
      </c>
      <c r="AL594" s="45" t="str">
        <f t="shared" si="88"/>
        <v>*0.87</v>
      </c>
      <c r="AM594" s="43" t="str">
        <f t="shared" si="91"/>
        <v>REZoning_Sol-Win</v>
      </c>
      <c r="AP594" t="s">
        <v>3925</v>
      </c>
      <c r="AQ594" t="s">
        <v>57</v>
      </c>
      <c r="AR594">
        <f t="shared" si="89"/>
        <v>2100</v>
      </c>
      <c r="AS594" t="s">
        <v>874</v>
      </c>
      <c r="AT594" t="s">
        <v>58</v>
      </c>
    </row>
    <row r="595" ht="29" spans="1:46">
      <c r="A595" s="31" t="s">
        <v>55</v>
      </c>
      <c r="C595" t="s">
        <v>3926</v>
      </c>
      <c r="D595" s="5" t="s">
        <v>57</v>
      </c>
      <c r="E595">
        <v>2035</v>
      </c>
      <c r="F595" s="6" t="str">
        <f t="shared" si="83"/>
        <v>*0.95</v>
      </c>
      <c r="H595" t="s">
        <v>3926</v>
      </c>
      <c r="I595" s="5" t="s">
        <v>57</v>
      </c>
      <c r="J595">
        <v>2050</v>
      </c>
      <c r="K595" s="38" t="str">
        <f t="shared" si="84"/>
        <v>*0.92</v>
      </c>
      <c r="P595" s="32" t="s">
        <v>3926</v>
      </c>
      <c r="Q595" s="42" t="s">
        <v>57</v>
      </c>
      <c r="R595" s="32">
        <v>2035</v>
      </c>
      <c r="S595" s="43" t="str">
        <f t="shared" si="85"/>
        <v>*0.94</v>
      </c>
      <c r="U595" s="32" t="s">
        <v>3926</v>
      </c>
      <c r="V595" s="42" t="s">
        <v>57</v>
      </c>
      <c r="W595" s="32">
        <v>2050</v>
      </c>
      <c r="X595" s="43" t="str">
        <f t="shared" si="86"/>
        <v>*0.91</v>
      </c>
      <c r="AC595" s="33" t="s">
        <v>3926</v>
      </c>
      <c r="AD595" s="44" t="s">
        <v>57</v>
      </c>
      <c r="AE595" s="33">
        <v>2035</v>
      </c>
      <c r="AF595" s="45" t="str">
        <f t="shared" si="87"/>
        <v>*0.92</v>
      </c>
      <c r="AG595" s="43" t="str">
        <f t="shared" si="90"/>
        <v>REZoning_Sol-Win</v>
      </c>
      <c r="AI595" s="33" t="s">
        <v>3926</v>
      </c>
      <c r="AJ595" s="44" t="s">
        <v>57</v>
      </c>
      <c r="AK595" s="33">
        <v>2050</v>
      </c>
      <c r="AL595" s="45" t="str">
        <f t="shared" si="88"/>
        <v>*0.87</v>
      </c>
      <c r="AM595" s="43" t="str">
        <f t="shared" si="91"/>
        <v>REZoning_Sol-Win</v>
      </c>
      <c r="AP595" t="s">
        <v>3926</v>
      </c>
      <c r="AQ595" t="s">
        <v>57</v>
      </c>
      <c r="AR595">
        <f t="shared" si="89"/>
        <v>2100</v>
      </c>
      <c r="AS595" t="s">
        <v>874</v>
      </c>
      <c r="AT595" t="s">
        <v>58</v>
      </c>
    </row>
    <row r="596" ht="29" spans="1:46">
      <c r="A596" s="31" t="s">
        <v>55</v>
      </c>
      <c r="C596" t="s">
        <v>3927</v>
      </c>
      <c r="D596" s="5" t="s">
        <v>57</v>
      </c>
      <c r="E596">
        <v>2035</v>
      </c>
      <c r="F596" s="6" t="str">
        <f t="shared" si="83"/>
        <v>*0.95</v>
      </c>
      <c r="H596" t="s">
        <v>3927</v>
      </c>
      <c r="I596" s="5" t="s">
        <v>57</v>
      </c>
      <c r="J596">
        <v>2050</v>
      </c>
      <c r="K596" s="38" t="str">
        <f t="shared" si="84"/>
        <v>*0.92</v>
      </c>
      <c r="P596" s="32" t="s">
        <v>3927</v>
      </c>
      <c r="Q596" s="42" t="s">
        <v>57</v>
      </c>
      <c r="R596" s="32">
        <v>2035</v>
      </c>
      <c r="S596" s="43" t="str">
        <f t="shared" si="85"/>
        <v>*0.94</v>
      </c>
      <c r="U596" s="32" t="s">
        <v>3927</v>
      </c>
      <c r="V596" s="42" t="s">
        <v>57</v>
      </c>
      <c r="W596" s="32">
        <v>2050</v>
      </c>
      <c r="X596" s="43" t="str">
        <f t="shared" si="86"/>
        <v>*0.91</v>
      </c>
      <c r="AC596" s="33" t="s">
        <v>3927</v>
      </c>
      <c r="AD596" s="44" t="s">
        <v>57</v>
      </c>
      <c r="AE596" s="33">
        <v>2035</v>
      </c>
      <c r="AF596" s="45" t="str">
        <f t="shared" si="87"/>
        <v>*0.92</v>
      </c>
      <c r="AG596" s="43" t="str">
        <f t="shared" si="90"/>
        <v>REZoning_Sol-Win</v>
      </c>
      <c r="AI596" s="33" t="s">
        <v>3927</v>
      </c>
      <c r="AJ596" s="44" t="s">
        <v>57</v>
      </c>
      <c r="AK596" s="33">
        <v>2050</v>
      </c>
      <c r="AL596" s="45" t="str">
        <f t="shared" si="88"/>
        <v>*0.87</v>
      </c>
      <c r="AM596" s="43" t="str">
        <f t="shared" si="91"/>
        <v>REZoning_Sol-Win</v>
      </c>
      <c r="AP596" t="s">
        <v>3927</v>
      </c>
      <c r="AQ596" t="s">
        <v>57</v>
      </c>
      <c r="AR596">
        <f t="shared" si="89"/>
        <v>2100</v>
      </c>
      <c r="AS596" t="s">
        <v>874</v>
      </c>
      <c r="AT596" t="s">
        <v>58</v>
      </c>
    </row>
    <row r="597" ht="29" spans="1:46">
      <c r="A597" s="31" t="s">
        <v>55</v>
      </c>
      <c r="C597" t="s">
        <v>3928</v>
      </c>
      <c r="D597" s="5" t="s">
        <v>57</v>
      </c>
      <c r="E597">
        <v>2035</v>
      </c>
      <c r="F597" s="6" t="str">
        <f t="shared" si="83"/>
        <v>*0.95</v>
      </c>
      <c r="H597" t="s">
        <v>3928</v>
      </c>
      <c r="I597" s="5" t="s">
        <v>57</v>
      </c>
      <c r="J597">
        <v>2050</v>
      </c>
      <c r="K597" s="38" t="str">
        <f t="shared" si="84"/>
        <v>*0.92</v>
      </c>
      <c r="P597" s="32" t="s">
        <v>3928</v>
      </c>
      <c r="Q597" s="42" t="s">
        <v>57</v>
      </c>
      <c r="R597" s="32">
        <v>2035</v>
      </c>
      <c r="S597" s="43" t="str">
        <f t="shared" si="85"/>
        <v>*0.94</v>
      </c>
      <c r="U597" s="32" t="s">
        <v>3928</v>
      </c>
      <c r="V597" s="42" t="s">
        <v>57</v>
      </c>
      <c r="W597" s="32">
        <v>2050</v>
      </c>
      <c r="X597" s="43" t="str">
        <f t="shared" si="86"/>
        <v>*0.91</v>
      </c>
      <c r="AC597" s="33" t="s">
        <v>3928</v>
      </c>
      <c r="AD597" s="44" t="s">
        <v>57</v>
      </c>
      <c r="AE597" s="33">
        <v>2035</v>
      </c>
      <c r="AF597" s="45" t="str">
        <f t="shared" si="87"/>
        <v>*0.92</v>
      </c>
      <c r="AG597" s="43" t="str">
        <f t="shared" si="90"/>
        <v>REZoning_Sol-Win</v>
      </c>
      <c r="AI597" s="33" t="s">
        <v>3928</v>
      </c>
      <c r="AJ597" s="44" t="s">
        <v>57</v>
      </c>
      <c r="AK597" s="33">
        <v>2050</v>
      </c>
      <c r="AL597" s="45" t="str">
        <f t="shared" si="88"/>
        <v>*0.87</v>
      </c>
      <c r="AM597" s="43" t="str">
        <f t="shared" si="91"/>
        <v>REZoning_Sol-Win</v>
      </c>
      <c r="AP597" t="s">
        <v>3928</v>
      </c>
      <c r="AQ597" t="s">
        <v>57</v>
      </c>
      <c r="AR597">
        <f t="shared" si="89"/>
        <v>2100</v>
      </c>
      <c r="AS597" t="s">
        <v>874</v>
      </c>
      <c r="AT597" t="s">
        <v>58</v>
      </c>
    </row>
    <row r="598" ht="29" spans="1:46">
      <c r="A598" s="31" t="s">
        <v>55</v>
      </c>
      <c r="C598" t="s">
        <v>3929</v>
      </c>
      <c r="D598" s="5" t="s">
        <v>57</v>
      </c>
      <c r="E598">
        <v>2035</v>
      </c>
      <c r="F598" s="6" t="str">
        <f t="shared" si="83"/>
        <v>*0.95</v>
      </c>
      <c r="H598" t="s">
        <v>3929</v>
      </c>
      <c r="I598" s="5" t="s">
        <v>57</v>
      </c>
      <c r="J598">
        <v>2050</v>
      </c>
      <c r="K598" s="38" t="str">
        <f t="shared" si="84"/>
        <v>*0.92</v>
      </c>
      <c r="P598" s="32" t="s">
        <v>3929</v>
      </c>
      <c r="Q598" s="42" t="s">
        <v>57</v>
      </c>
      <c r="R598" s="32">
        <v>2035</v>
      </c>
      <c r="S598" s="43" t="str">
        <f t="shared" si="85"/>
        <v>*0.94</v>
      </c>
      <c r="U598" s="32" t="s">
        <v>3929</v>
      </c>
      <c r="V598" s="42" t="s">
        <v>57</v>
      </c>
      <c r="W598" s="32">
        <v>2050</v>
      </c>
      <c r="X598" s="43" t="str">
        <f t="shared" si="86"/>
        <v>*0.91</v>
      </c>
      <c r="AC598" s="33" t="s">
        <v>3929</v>
      </c>
      <c r="AD598" s="44" t="s">
        <v>57</v>
      </c>
      <c r="AE598" s="33">
        <v>2035</v>
      </c>
      <c r="AF598" s="45" t="str">
        <f t="shared" si="87"/>
        <v>*0.92</v>
      </c>
      <c r="AG598" s="43" t="str">
        <f t="shared" si="90"/>
        <v>REZoning_Sol-Win</v>
      </c>
      <c r="AI598" s="33" t="s">
        <v>3929</v>
      </c>
      <c r="AJ598" s="44" t="s">
        <v>57</v>
      </c>
      <c r="AK598" s="33">
        <v>2050</v>
      </c>
      <c r="AL598" s="45" t="str">
        <f t="shared" si="88"/>
        <v>*0.87</v>
      </c>
      <c r="AM598" s="43" t="str">
        <f t="shared" si="91"/>
        <v>REZoning_Sol-Win</v>
      </c>
      <c r="AP598" t="s">
        <v>3929</v>
      </c>
      <c r="AQ598" t="s">
        <v>57</v>
      </c>
      <c r="AR598">
        <f t="shared" si="89"/>
        <v>2100</v>
      </c>
      <c r="AS598" t="s">
        <v>874</v>
      </c>
      <c r="AT598" t="s">
        <v>58</v>
      </c>
    </row>
    <row r="599" ht="29" spans="1:46">
      <c r="A599" s="31" t="s">
        <v>55</v>
      </c>
      <c r="C599" t="s">
        <v>3930</v>
      </c>
      <c r="D599" s="5" t="s">
        <v>57</v>
      </c>
      <c r="E599">
        <v>2035</v>
      </c>
      <c r="F599" s="6" t="str">
        <f t="shared" si="83"/>
        <v>*0.95</v>
      </c>
      <c r="H599" t="s">
        <v>3930</v>
      </c>
      <c r="I599" s="5" t="s">
        <v>57</v>
      </c>
      <c r="J599">
        <v>2050</v>
      </c>
      <c r="K599" s="38" t="str">
        <f t="shared" si="84"/>
        <v>*0.92</v>
      </c>
      <c r="P599" s="32" t="s">
        <v>3930</v>
      </c>
      <c r="Q599" s="42" t="s">
        <v>57</v>
      </c>
      <c r="R599" s="32">
        <v>2035</v>
      </c>
      <c r="S599" s="43" t="str">
        <f t="shared" si="85"/>
        <v>*0.94</v>
      </c>
      <c r="U599" s="32" t="s">
        <v>3930</v>
      </c>
      <c r="V599" s="42" t="s">
        <v>57</v>
      </c>
      <c r="W599" s="32">
        <v>2050</v>
      </c>
      <c r="X599" s="43" t="str">
        <f t="shared" si="86"/>
        <v>*0.91</v>
      </c>
      <c r="AC599" s="33" t="s">
        <v>3930</v>
      </c>
      <c r="AD599" s="44" t="s">
        <v>57</v>
      </c>
      <c r="AE599" s="33">
        <v>2035</v>
      </c>
      <c r="AF599" s="45" t="str">
        <f t="shared" si="87"/>
        <v>*0.92</v>
      </c>
      <c r="AG599" s="43" t="str">
        <f t="shared" si="90"/>
        <v>REZoning_Sol-Win</v>
      </c>
      <c r="AI599" s="33" t="s">
        <v>3930</v>
      </c>
      <c r="AJ599" s="44" t="s">
        <v>57</v>
      </c>
      <c r="AK599" s="33">
        <v>2050</v>
      </c>
      <c r="AL599" s="45" t="str">
        <f t="shared" si="88"/>
        <v>*0.87</v>
      </c>
      <c r="AM599" s="43" t="str">
        <f t="shared" si="91"/>
        <v>REZoning_Sol-Win</v>
      </c>
      <c r="AP599" t="s">
        <v>3930</v>
      </c>
      <c r="AQ599" t="s">
        <v>57</v>
      </c>
      <c r="AR599">
        <f t="shared" si="89"/>
        <v>2100</v>
      </c>
      <c r="AS599" t="s">
        <v>874</v>
      </c>
      <c r="AT599" t="s">
        <v>58</v>
      </c>
    </row>
    <row r="600" ht="29" spans="1:46">
      <c r="A600" s="31" t="s">
        <v>55</v>
      </c>
      <c r="C600" t="s">
        <v>3931</v>
      </c>
      <c r="D600" s="5" t="s">
        <v>57</v>
      </c>
      <c r="E600">
        <v>2035</v>
      </c>
      <c r="F600" s="6" t="str">
        <f t="shared" si="83"/>
        <v>*0.95</v>
      </c>
      <c r="H600" t="s">
        <v>3931</v>
      </c>
      <c r="I600" s="5" t="s">
        <v>57</v>
      </c>
      <c r="J600">
        <v>2050</v>
      </c>
      <c r="K600" s="38" t="str">
        <f t="shared" si="84"/>
        <v>*0.92</v>
      </c>
      <c r="P600" s="32" t="s">
        <v>3931</v>
      </c>
      <c r="Q600" s="42" t="s">
        <v>57</v>
      </c>
      <c r="R600" s="32">
        <v>2035</v>
      </c>
      <c r="S600" s="43" t="str">
        <f t="shared" si="85"/>
        <v>*0.94</v>
      </c>
      <c r="U600" s="32" t="s">
        <v>3931</v>
      </c>
      <c r="V600" s="42" t="s">
        <v>57</v>
      </c>
      <c r="W600" s="32">
        <v>2050</v>
      </c>
      <c r="X600" s="43" t="str">
        <f t="shared" si="86"/>
        <v>*0.91</v>
      </c>
      <c r="AC600" s="33" t="s">
        <v>3931</v>
      </c>
      <c r="AD600" s="44" t="s">
        <v>57</v>
      </c>
      <c r="AE600" s="33">
        <v>2035</v>
      </c>
      <c r="AF600" s="45" t="str">
        <f t="shared" si="87"/>
        <v>*0.92</v>
      </c>
      <c r="AG600" s="43" t="str">
        <f t="shared" si="90"/>
        <v>REZoning_Sol-Win</v>
      </c>
      <c r="AI600" s="33" t="s">
        <v>3931</v>
      </c>
      <c r="AJ600" s="44" t="s">
        <v>57</v>
      </c>
      <c r="AK600" s="33">
        <v>2050</v>
      </c>
      <c r="AL600" s="45" t="str">
        <f t="shared" si="88"/>
        <v>*0.87</v>
      </c>
      <c r="AM600" s="43" t="str">
        <f t="shared" si="91"/>
        <v>REZoning_Sol-Win</v>
      </c>
      <c r="AP600" t="s">
        <v>3931</v>
      </c>
      <c r="AQ600" t="s">
        <v>57</v>
      </c>
      <c r="AR600">
        <f t="shared" si="89"/>
        <v>2100</v>
      </c>
      <c r="AS600" t="s">
        <v>874</v>
      </c>
      <c r="AT600" t="s">
        <v>58</v>
      </c>
    </row>
    <row r="601" ht="29" spans="1:46">
      <c r="A601" s="31" t="s">
        <v>55</v>
      </c>
      <c r="C601" t="s">
        <v>3932</v>
      </c>
      <c r="D601" s="5" t="s">
        <v>57</v>
      </c>
      <c r="E601">
        <v>2035</v>
      </c>
      <c r="F601" s="6" t="str">
        <f t="shared" si="83"/>
        <v>*0.95</v>
      </c>
      <c r="H601" t="s">
        <v>3932</v>
      </c>
      <c r="I601" s="5" t="s">
        <v>57</v>
      </c>
      <c r="J601">
        <v>2050</v>
      </c>
      <c r="K601" s="38" t="str">
        <f t="shared" si="84"/>
        <v>*0.92</v>
      </c>
      <c r="P601" s="32" t="s">
        <v>3932</v>
      </c>
      <c r="Q601" s="42" t="s">
        <v>57</v>
      </c>
      <c r="R601" s="32">
        <v>2035</v>
      </c>
      <c r="S601" s="43" t="str">
        <f t="shared" si="85"/>
        <v>*0.94</v>
      </c>
      <c r="U601" s="32" t="s">
        <v>3932</v>
      </c>
      <c r="V601" s="42" t="s">
        <v>57</v>
      </c>
      <c r="W601" s="32">
        <v>2050</v>
      </c>
      <c r="X601" s="43" t="str">
        <f t="shared" si="86"/>
        <v>*0.91</v>
      </c>
      <c r="AC601" s="33" t="s">
        <v>3932</v>
      </c>
      <c r="AD601" s="44" t="s">
        <v>57</v>
      </c>
      <c r="AE601" s="33">
        <v>2035</v>
      </c>
      <c r="AF601" s="45" t="str">
        <f t="shared" si="87"/>
        <v>*0.92</v>
      </c>
      <c r="AG601" s="43" t="str">
        <f t="shared" si="90"/>
        <v>REZoning_Sol-Win</v>
      </c>
      <c r="AI601" s="33" t="s">
        <v>3932</v>
      </c>
      <c r="AJ601" s="44" t="s">
        <v>57</v>
      </c>
      <c r="AK601" s="33">
        <v>2050</v>
      </c>
      <c r="AL601" s="45" t="str">
        <f t="shared" si="88"/>
        <v>*0.87</v>
      </c>
      <c r="AM601" s="43" t="str">
        <f t="shared" si="91"/>
        <v>REZoning_Sol-Win</v>
      </c>
      <c r="AP601" t="s">
        <v>3932</v>
      </c>
      <c r="AQ601" t="s">
        <v>57</v>
      </c>
      <c r="AR601">
        <f t="shared" si="89"/>
        <v>2100</v>
      </c>
      <c r="AS601" t="s">
        <v>874</v>
      </c>
      <c r="AT601" t="s">
        <v>58</v>
      </c>
    </row>
    <row r="602" ht="29" spans="1:46">
      <c r="A602" s="31" t="s">
        <v>73</v>
      </c>
      <c r="C602" t="s">
        <v>3933</v>
      </c>
      <c r="D602" s="5" t="s">
        <v>57</v>
      </c>
      <c r="E602">
        <v>2035</v>
      </c>
      <c r="F602" s="6" t="str">
        <f t="shared" si="83"/>
        <v>*0.95</v>
      </c>
      <c r="H602" t="s">
        <v>3933</v>
      </c>
      <c r="I602" s="5" t="s">
        <v>57</v>
      </c>
      <c r="J602">
        <v>2050</v>
      </c>
      <c r="K602" s="38" t="str">
        <f t="shared" si="84"/>
        <v>*0.93</v>
      </c>
      <c r="P602" s="32" t="s">
        <v>3933</v>
      </c>
      <c r="Q602" s="42" t="s">
        <v>57</v>
      </c>
      <c r="R602" s="32">
        <v>2035</v>
      </c>
      <c r="S602" s="43" t="str">
        <f t="shared" si="85"/>
        <v>*0.95</v>
      </c>
      <c r="U602" s="32" t="s">
        <v>3933</v>
      </c>
      <c r="V602" s="42" t="s">
        <v>57</v>
      </c>
      <c r="W602" s="32">
        <v>2050</v>
      </c>
      <c r="X602" s="43" t="str">
        <f t="shared" si="86"/>
        <v>*0.93</v>
      </c>
      <c r="AC602" s="33" t="s">
        <v>3933</v>
      </c>
      <c r="AD602" s="44" t="s">
        <v>57</v>
      </c>
      <c r="AE602" s="33">
        <v>2035</v>
      </c>
      <c r="AF602" s="45" t="str">
        <f t="shared" si="87"/>
        <v>*0.93</v>
      </c>
      <c r="AG602" s="43" t="str">
        <f t="shared" si="90"/>
        <v>REZoning_Sol-Win</v>
      </c>
      <c r="AI602" s="33" t="s">
        <v>3933</v>
      </c>
      <c r="AJ602" s="44" t="s">
        <v>57</v>
      </c>
      <c r="AK602" s="33">
        <v>2050</v>
      </c>
      <c r="AL602" s="45" t="str">
        <f t="shared" si="88"/>
        <v>*0.9</v>
      </c>
      <c r="AM602" s="43" t="str">
        <f t="shared" si="91"/>
        <v>REZoning_Sol-Win</v>
      </c>
      <c r="AP602" t="s">
        <v>3933</v>
      </c>
      <c r="AQ602" t="s">
        <v>57</v>
      </c>
      <c r="AR602">
        <f t="shared" si="89"/>
        <v>2100</v>
      </c>
      <c r="AS602" t="s">
        <v>897</v>
      </c>
      <c r="AT602" t="s">
        <v>58</v>
      </c>
    </row>
    <row r="603" ht="29" spans="1:46">
      <c r="A603" s="31" t="s">
        <v>73</v>
      </c>
      <c r="C603" t="s">
        <v>3934</v>
      </c>
      <c r="D603" s="5" t="s">
        <v>57</v>
      </c>
      <c r="E603">
        <v>2035</v>
      </c>
      <c r="F603" s="6" t="str">
        <f t="shared" si="83"/>
        <v>*0.95</v>
      </c>
      <c r="H603" t="s">
        <v>3934</v>
      </c>
      <c r="I603" s="5" t="s">
        <v>57</v>
      </c>
      <c r="J603">
        <v>2050</v>
      </c>
      <c r="K603" s="38" t="str">
        <f t="shared" si="84"/>
        <v>*0.93</v>
      </c>
      <c r="P603" s="32" t="s">
        <v>3934</v>
      </c>
      <c r="Q603" s="42" t="s">
        <v>57</v>
      </c>
      <c r="R603" s="32">
        <v>2035</v>
      </c>
      <c r="S603" s="43" t="str">
        <f t="shared" si="85"/>
        <v>*0.95</v>
      </c>
      <c r="U603" s="32" t="s">
        <v>3934</v>
      </c>
      <c r="V603" s="42" t="s">
        <v>57</v>
      </c>
      <c r="W603" s="32">
        <v>2050</v>
      </c>
      <c r="X603" s="43" t="str">
        <f t="shared" si="86"/>
        <v>*0.93</v>
      </c>
      <c r="AC603" s="33" t="s">
        <v>3934</v>
      </c>
      <c r="AD603" s="44" t="s">
        <v>57</v>
      </c>
      <c r="AE603" s="33">
        <v>2035</v>
      </c>
      <c r="AF603" s="45" t="str">
        <f t="shared" si="87"/>
        <v>*0.93</v>
      </c>
      <c r="AG603" s="43" t="str">
        <f t="shared" si="90"/>
        <v>REZoning_Sol-Win</v>
      </c>
      <c r="AI603" s="33" t="s">
        <v>3934</v>
      </c>
      <c r="AJ603" s="44" t="s">
        <v>57</v>
      </c>
      <c r="AK603" s="33">
        <v>2050</v>
      </c>
      <c r="AL603" s="45" t="str">
        <f t="shared" si="88"/>
        <v>*0.9</v>
      </c>
      <c r="AM603" s="43" t="str">
        <f t="shared" si="91"/>
        <v>REZoning_Sol-Win</v>
      </c>
      <c r="AP603" t="s">
        <v>3934</v>
      </c>
      <c r="AQ603" t="s">
        <v>57</v>
      </c>
      <c r="AR603">
        <f t="shared" si="89"/>
        <v>2100</v>
      </c>
      <c r="AS603" t="s">
        <v>897</v>
      </c>
      <c r="AT603" t="s">
        <v>58</v>
      </c>
    </row>
    <row r="604" ht="29" spans="1:46">
      <c r="A604" s="31" t="s">
        <v>73</v>
      </c>
      <c r="C604" t="s">
        <v>3935</v>
      </c>
      <c r="D604" s="5" t="s">
        <v>57</v>
      </c>
      <c r="E604">
        <v>2035</v>
      </c>
      <c r="F604" s="6" t="str">
        <f t="shared" si="83"/>
        <v>*0.95</v>
      </c>
      <c r="H604" t="s">
        <v>3935</v>
      </c>
      <c r="I604" s="5" t="s">
        <v>57</v>
      </c>
      <c r="J604">
        <v>2050</v>
      </c>
      <c r="K604" s="38" t="str">
        <f t="shared" si="84"/>
        <v>*0.93</v>
      </c>
      <c r="P604" s="32" t="s">
        <v>3935</v>
      </c>
      <c r="Q604" s="42" t="s">
        <v>57</v>
      </c>
      <c r="R604" s="32">
        <v>2035</v>
      </c>
      <c r="S604" s="43" t="str">
        <f t="shared" si="85"/>
        <v>*0.95</v>
      </c>
      <c r="U604" s="32" t="s">
        <v>3935</v>
      </c>
      <c r="V604" s="42" t="s">
        <v>57</v>
      </c>
      <c r="W604" s="32">
        <v>2050</v>
      </c>
      <c r="X604" s="43" t="str">
        <f t="shared" si="86"/>
        <v>*0.93</v>
      </c>
      <c r="AC604" s="33" t="s">
        <v>3935</v>
      </c>
      <c r="AD604" s="44" t="s">
        <v>57</v>
      </c>
      <c r="AE604" s="33">
        <v>2035</v>
      </c>
      <c r="AF604" s="45" t="str">
        <f t="shared" si="87"/>
        <v>*0.93</v>
      </c>
      <c r="AG604" s="43" t="str">
        <f t="shared" si="90"/>
        <v>REZoning_Sol-Win</v>
      </c>
      <c r="AI604" s="33" t="s">
        <v>3935</v>
      </c>
      <c r="AJ604" s="44" t="s">
        <v>57</v>
      </c>
      <c r="AK604" s="33">
        <v>2050</v>
      </c>
      <c r="AL604" s="45" t="str">
        <f t="shared" si="88"/>
        <v>*0.9</v>
      </c>
      <c r="AM604" s="43" t="str">
        <f t="shared" si="91"/>
        <v>REZoning_Sol-Win</v>
      </c>
      <c r="AP604" t="s">
        <v>3935</v>
      </c>
      <c r="AQ604" t="s">
        <v>57</v>
      </c>
      <c r="AR604">
        <f t="shared" si="89"/>
        <v>2100</v>
      </c>
      <c r="AS604" t="s">
        <v>897</v>
      </c>
      <c r="AT604" t="s">
        <v>58</v>
      </c>
    </row>
    <row r="605" ht="29" spans="1:46">
      <c r="A605" s="31" t="s">
        <v>73</v>
      </c>
      <c r="C605" t="s">
        <v>3936</v>
      </c>
      <c r="D605" s="5" t="s">
        <v>57</v>
      </c>
      <c r="E605">
        <v>2035</v>
      </c>
      <c r="F605" s="6" t="str">
        <f t="shared" si="83"/>
        <v>*0.95</v>
      </c>
      <c r="H605" t="s">
        <v>3936</v>
      </c>
      <c r="I605" s="5" t="s">
        <v>57</v>
      </c>
      <c r="J605">
        <v>2050</v>
      </c>
      <c r="K605" s="38" t="str">
        <f t="shared" si="84"/>
        <v>*0.93</v>
      </c>
      <c r="P605" s="32" t="s">
        <v>3936</v>
      </c>
      <c r="Q605" s="42" t="s">
        <v>57</v>
      </c>
      <c r="R605" s="32">
        <v>2035</v>
      </c>
      <c r="S605" s="43" t="str">
        <f t="shared" si="85"/>
        <v>*0.95</v>
      </c>
      <c r="U605" s="32" t="s">
        <v>3936</v>
      </c>
      <c r="V605" s="42" t="s">
        <v>57</v>
      </c>
      <c r="W605" s="32">
        <v>2050</v>
      </c>
      <c r="X605" s="43" t="str">
        <f t="shared" si="86"/>
        <v>*0.93</v>
      </c>
      <c r="AC605" s="33" t="s">
        <v>3936</v>
      </c>
      <c r="AD605" s="44" t="s">
        <v>57</v>
      </c>
      <c r="AE605" s="33">
        <v>2035</v>
      </c>
      <c r="AF605" s="45" t="str">
        <f t="shared" si="87"/>
        <v>*0.93</v>
      </c>
      <c r="AG605" s="43" t="str">
        <f t="shared" si="90"/>
        <v>REZoning_Sol-Win</v>
      </c>
      <c r="AI605" s="33" t="s">
        <v>3936</v>
      </c>
      <c r="AJ605" s="44" t="s">
        <v>57</v>
      </c>
      <c r="AK605" s="33">
        <v>2050</v>
      </c>
      <c r="AL605" s="45" t="str">
        <f t="shared" si="88"/>
        <v>*0.9</v>
      </c>
      <c r="AM605" s="43" t="str">
        <f t="shared" si="91"/>
        <v>REZoning_Sol-Win</v>
      </c>
      <c r="AP605" t="s">
        <v>3936</v>
      </c>
      <c r="AQ605" t="s">
        <v>57</v>
      </c>
      <c r="AR605">
        <f t="shared" si="89"/>
        <v>2100</v>
      </c>
      <c r="AS605" t="s">
        <v>897</v>
      </c>
      <c r="AT605" t="s">
        <v>58</v>
      </c>
    </row>
    <row r="606" ht="29" spans="1:46">
      <c r="A606" s="31" t="s">
        <v>73</v>
      </c>
      <c r="C606" t="s">
        <v>3937</v>
      </c>
      <c r="D606" s="5" t="s">
        <v>57</v>
      </c>
      <c r="E606">
        <v>2035</v>
      </c>
      <c r="F606" s="6" t="str">
        <f t="shared" si="83"/>
        <v>*0.95</v>
      </c>
      <c r="H606" t="s">
        <v>3937</v>
      </c>
      <c r="I606" s="5" t="s">
        <v>57</v>
      </c>
      <c r="J606">
        <v>2050</v>
      </c>
      <c r="K606" s="38" t="str">
        <f t="shared" si="84"/>
        <v>*0.93</v>
      </c>
      <c r="P606" s="32" t="s">
        <v>3937</v>
      </c>
      <c r="Q606" s="42" t="s">
        <v>57</v>
      </c>
      <c r="R606" s="32">
        <v>2035</v>
      </c>
      <c r="S606" s="43" t="str">
        <f t="shared" si="85"/>
        <v>*0.95</v>
      </c>
      <c r="U606" s="32" t="s">
        <v>3937</v>
      </c>
      <c r="V606" s="42" t="s">
        <v>57</v>
      </c>
      <c r="W606" s="32">
        <v>2050</v>
      </c>
      <c r="X606" s="43" t="str">
        <f t="shared" si="86"/>
        <v>*0.93</v>
      </c>
      <c r="AC606" s="33" t="s">
        <v>3937</v>
      </c>
      <c r="AD606" s="44" t="s">
        <v>57</v>
      </c>
      <c r="AE606" s="33">
        <v>2035</v>
      </c>
      <c r="AF606" s="45" t="str">
        <f t="shared" si="87"/>
        <v>*0.93</v>
      </c>
      <c r="AG606" s="43" t="str">
        <f t="shared" si="90"/>
        <v>REZoning_Sol-Win</v>
      </c>
      <c r="AI606" s="33" t="s">
        <v>3937</v>
      </c>
      <c r="AJ606" s="44" t="s">
        <v>57</v>
      </c>
      <c r="AK606" s="33">
        <v>2050</v>
      </c>
      <c r="AL606" s="45" t="str">
        <f t="shared" si="88"/>
        <v>*0.9</v>
      </c>
      <c r="AM606" s="43" t="str">
        <f t="shared" si="91"/>
        <v>REZoning_Sol-Win</v>
      </c>
      <c r="AP606" t="s">
        <v>3937</v>
      </c>
      <c r="AQ606" t="s">
        <v>57</v>
      </c>
      <c r="AR606">
        <f t="shared" si="89"/>
        <v>2100</v>
      </c>
      <c r="AS606" t="s">
        <v>897</v>
      </c>
      <c r="AT606" t="s">
        <v>58</v>
      </c>
    </row>
    <row r="607" ht="29" spans="1:46">
      <c r="A607" s="31" t="s">
        <v>79</v>
      </c>
      <c r="C607" t="s">
        <v>3938</v>
      </c>
      <c r="D607" s="5" t="s">
        <v>57</v>
      </c>
      <c r="E607">
        <v>2035</v>
      </c>
      <c r="F607" s="6" t="str">
        <f t="shared" si="83"/>
        <v>*0.94</v>
      </c>
      <c r="H607" t="s">
        <v>3938</v>
      </c>
      <c r="I607" s="5" t="s">
        <v>57</v>
      </c>
      <c r="J607">
        <v>2050</v>
      </c>
      <c r="K607" s="38" t="str">
        <f t="shared" si="84"/>
        <v>*0.9</v>
      </c>
      <c r="P607" s="32" t="s">
        <v>3938</v>
      </c>
      <c r="Q607" s="42" t="s">
        <v>57</v>
      </c>
      <c r="R607" s="32">
        <v>2035</v>
      </c>
      <c r="S607" s="43" t="str">
        <f t="shared" si="85"/>
        <v>*0.92</v>
      </c>
      <c r="U607" s="32" t="s">
        <v>3938</v>
      </c>
      <c r="V607" s="42" t="s">
        <v>57</v>
      </c>
      <c r="W607" s="32">
        <v>2050</v>
      </c>
      <c r="X607" s="43" t="str">
        <f t="shared" si="86"/>
        <v>*0.89</v>
      </c>
      <c r="AC607" s="33" t="s">
        <v>3938</v>
      </c>
      <c r="AD607" s="44" t="s">
        <v>57</v>
      </c>
      <c r="AE607" s="33">
        <v>2035</v>
      </c>
      <c r="AF607" s="45" t="str">
        <f t="shared" si="87"/>
        <v>*0.89</v>
      </c>
      <c r="AG607" s="43" t="str">
        <f t="shared" si="90"/>
        <v>REZoning_Sol-Win</v>
      </c>
      <c r="AI607" s="33" t="s">
        <v>3938</v>
      </c>
      <c r="AJ607" s="44" t="s">
        <v>57</v>
      </c>
      <c r="AK607" s="33">
        <v>2050</v>
      </c>
      <c r="AL607" s="45" t="str">
        <f t="shared" si="88"/>
        <v>*0.84</v>
      </c>
      <c r="AM607" s="43" t="str">
        <f t="shared" si="91"/>
        <v>REZoning_Sol-Win</v>
      </c>
      <c r="AP607" t="s">
        <v>3938</v>
      </c>
      <c r="AQ607" t="s">
        <v>57</v>
      </c>
      <c r="AR607">
        <f t="shared" si="89"/>
        <v>2100</v>
      </c>
      <c r="AS607" t="s">
        <v>919</v>
      </c>
      <c r="AT607" t="s">
        <v>58</v>
      </c>
    </row>
    <row r="608" ht="29" spans="1:46">
      <c r="A608" s="31" t="s">
        <v>79</v>
      </c>
      <c r="C608" t="s">
        <v>3939</v>
      </c>
      <c r="D608" s="5" t="s">
        <v>57</v>
      </c>
      <c r="E608">
        <v>2035</v>
      </c>
      <c r="F608" s="6" t="str">
        <f t="shared" si="83"/>
        <v>*0.94</v>
      </c>
      <c r="H608" t="s">
        <v>3939</v>
      </c>
      <c r="I608" s="5" t="s">
        <v>57</v>
      </c>
      <c r="J608">
        <v>2050</v>
      </c>
      <c r="K608" s="38" t="str">
        <f t="shared" si="84"/>
        <v>*0.9</v>
      </c>
      <c r="P608" s="32" t="s">
        <v>3939</v>
      </c>
      <c r="Q608" s="42" t="s">
        <v>57</v>
      </c>
      <c r="R608" s="32">
        <v>2035</v>
      </c>
      <c r="S608" s="43" t="str">
        <f t="shared" si="85"/>
        <v>*0.92</v>
      </c>
      <c r="U608" s="32" t="s">
        <v>3939</v>
      </c>
      <c r="V608" s="42" t="s">
        <v>57</v>
      </c>
      <c r="W608" s="32">
        <v>2050</v>
      </c>
      <c r="X608" s="43" t="str">
        <f t="shared" si="86"/>
        <v>*0.89</v>
      </c>
      <c r="AC608" s="33" t="s">
        <v>3939</v>
      </c>
      <c r="AD608" s="44" t="s">
        <v>57</v>
      </c>
      <c r="AE608" s="33">
        <v>2035</v>
      </c>
      <c r="AF608" s="45" t="str">
        <f t="shared" si="87"/>
        <v>*0.89</v>
      </c>
      <c r="AG608" s="43" t="str">
        <f t="shared" si="90"/>
        <v>REZoning_Sol-Win</v>
      </c>
      <c r="AI608" s="33" t="s">
        <v>3939</v>
      </c>
      <c r="AJ608" s="44" t="s">
        <v>57</v>
      </c>
      <c r="AK608" s="33">
        <v>2050</v>
      </c>
      <c r="AL608" s="45" t="str">
        <f t="shared" si="88"/>
        <v>*0.84</v>
      </c>
      <c r="AM608" s="43" t="str">
        <f t="shared" si="91"/>
        <v>REZoning_Sol-Win</v>
      </c>
      <c r="AP608" t="s">
        <v>3939</v>
      </c>
      <c r="AQ608" t="s">
        <v>57</v>
      </c>
      <c r="AR608">
        <f t="shared" si="89"/>
        <v>2100</v>
      </c>
      <c r="AS608" t="s">
        <v>919</v>
      </c>
      <c r="AT608" t="s">
        <v>58</v>
      </c>
    </row>
    <row r="609" ht="29" spans="1:46">
      <c r="A609" s="31" t="s">
        <v>79</v>
      </c>
      <c r="C609" t="s">
        <v>3940</v>
      </c>
      <c r="D609" s="5" t="s">
        <v>57</v>
      </c>
      <c r="E609">
        <v>2035</v>
      </c>
      <c r="F609" s="6" t="str">
        <f t="shared" si="83"/>
        <v>*0.94</v>
      </c>
      <c r="H609" t="s">
        <v>3940</v>
      </c>
      <c r="I609" s="5" t="s">
        <v>57</v>
      </c>
      <c r="J609">
        <v>2050</v>
      </c>
      <c r="K609" s="38" t="str">
        <f t="shared" si="84"/>
        <v>*0.9</v>
      </c>
      <c r="P609" s="32" t="s">
        <v>3940</v>
      </c>
      <c r="Q609" s="42" t="s">
        <v>57</v>
      </c>
      <c r="R609" s="32">
        <v>2035</v>
      </c>
      <c r="S609" s="43" t="str">
        <f t="shared" si="85"/>
        <v>*0.92</v>
      </c>
      <c r="U609" s="32" t="s">
        <v>3940</v>
      </c>
      <c r="V609" s="42" t="s">
        <v>57</v>
      </c>
      <c r="W609" s="32">
        <v>2050</v>
      </c>
      <c r="X609" s="43" t="str">
        <f t="shared" si="86"/>
        <v>*0.89</v>
      </c>
      <c r="AC609" s="33" t="s">
        <v>3940</v>
      </c>
      <c r="AD609" s="44" t="s">
        <v>57</v>
      </c>
      <c r="AE609" s="33">
        <v>2035</v>
      </c>
      <c r="AF609" s="45" t="str">
        <f t="shared" si="87"/>
        <v>*0.89</v>
      </c>
      <c r="AG609" s="43" t="str">
        <f t="shared" si="90"/>
        <v>REZoning_Sol-Win</v>
      </c>
      <c r="AI609" s="33" t="s">
        <v>3940</v>
      </c>
      <c r="AJ609" s="44" t="s">
        <v>57</v>
      </c>
      <c r="AK609" s="33">
        <v>2050</v>
      </c>
      <c r="AL609" s="45" t="str">
        <f t="shared" si="88"/>
        <v>*0.84</v>
      </c>
      <c r="AM609" s="43" t="str">
        <f t="shared" si="91"/>
        <v>REZoning_Sol-Win</v>
      </c>
      <c r="AP609" t="s">
        <v>3940</v>
      </c>
      <c r="AQ609" t="s">
        <v>57</v>
      </c>
      <c r="AR609">
        <f t="shared" si="89"/>
        <v>2100</v>
      </c>
      <c r="AS609" t="s">
        <v>919</v>
      </c>
      <c r="AT609" t="s">
        <v>58</v>
      </c>
    </row>
    <row r="610" ht="29" spans="1:46">
      <c r="A610" s="31" t="s">
        <v>79</v>
      </c>
      <c r="C610" t="s">
        <v>3941</v>
      </c>
      <c r="D610" s="5" t="s">
        <v>57</v>
      </c>
      <c r="E610">
        <v>2035</v>
      </c>
      <c r="F610" s="6" t="str">
        <f t="shared" si="83"/>
        <v>*0.94</v>
      </c>
      <c r="H610" t="s">
        <v>3941</v>
      </c>
      <c r="I610" s="5" t="s">
        <v>57</v>
      </c>
      <c r="J610">
        <v>2050</v>
      </c>
      <c r="K610" s="38" t="str">
        <f t="shared" si="84"/>
        <v>*0.9</v>
      </c>
      <c r="P610" s="32" t="s">
        <v>3941</v>
      </c>
      <c r="Q610" s="42" t="s">
        <v>57</v>
      </c>
      <c r="R610" s="32">
        <v>2035</v>
      </c>
      <c r="S610" s="43" t="str">
        <f t="shared" si="85"/>
        <v>*0.92</v>
      </c>
      <c r="U610" s="32" t="s">
        <v>3941</v>
      </c>
      <c r="V610" s="42" t="s">
        <v>57</v>
      </c>
      <c r="W610" s="32">
        <v>2050</v>
      </c>
      <c r="X610" s="43" t="str">
        <f t="shared" si="86"/>
        <v>*0.89</v>
      </c>
      <c r="AC610" s="33" t="s">
        <v>3941</v>
      </c>
      <c r="AD610" s="44" t="s">
        <v>57</v>
      </c>
      <c r="AE610" s="33">
        <v>2035</v>
      </c>
      <c r="AF610" s="45" t="str">
        <f t="shared" si="87"/>
        <v>*0.89</v>
      </c>
      <c r="AG610" s="43" t="str">
        <f t="shared" si="90"/>
        <v>REZoning_Sol-Win</v>
      </c>
      <c r="AI610" s="33" t="s">
        <v>3941</v>
      </c>
      <c r="AJ610" s="44" t="s">
        <v>57</v>
      </c>
      <c r="AK610" s="33">
        <v>2050</v>
      </c>
      <c r="AL610" s="45" t="str">
        <f t="shared" si="88"/>
        <v>*0.84</v>
      </c>
      <c r="AM610" s="43" t="str">
        <f t="shared" si="91"/>
        <v>REZoning_Sol-Win</v>
      </c>
      <c r="AP610" t="s">
        <v>3941</v>
      </c>
      <c r="AQ610" t="s">
        <v>57</v>
      </c>
      <c r="AR610">
        <f t="shared" si="89"/>
        <v>2100</v>
      </c>
      <c r="AS610" t="s">
        <v>919</v>
      </c>
      <c r="AT610" t="s">
        <v>58</v>
      </c>
    </row>
    <row r="611" ht="29" spans="1:46">
      <c r="A611" s="31" t="s">
        <v>79</v>
      </c>
      <c r="C611" t="s">
        <v>3942</v>
      </c>
      <c r="D611" s="5" t="s">
        <v>57</v>
      </c>
      <c r="E611">
        <v>2035</v>
      </c>
      <c r="F611" s="6" t="str">
        <f t="shared" si="83"/>
        <v>*0.94</v>
      </c>
      <c r="H611" t="s">
        <v>3942</v>
      </c>
      <c r="I611" s="5" t="s">
        <v>57</v>
      </c>
      <c r="J611">
        <v>2050</v>
      </c>
      <c r="K611" s="38" t="str">
        <f t="shared" si="84"/>
        <v>*0.9</v>
      </c>
      <c r="P611" s="32" t="s">
        <v>3942</v>
      </c>
      <c r="Q611" s="42" t="s">
        <v>57</v>
      </c>
      <c r="R611" s="32">
        <v>2035</v>
      </c>
      <c r="S611" s="43" t="str">
        <f t="shared" si="85"/>
        <v>*0.92</v>
      </c>
      <c r="U611" s="32" t="s">
        <v>3942</v>
      </c>
      <c r="V611" s="42" t="s">
        <v>57</v>
      </c>
      <c r="W611" s="32">
        <v>2050</v>
      </c>
      <c r="X611" s="43" t="str">
        <f t="shared" si="86"/>
        <v>*0.89</v>
      </c>
      <c r="AC611" s="33" t="s">
        <v>3942</v>
      </c>
      <c r="AD611" s="44" t="s">
        <v>57</v>
      </c>
      <c r="AE611" s="33">
        <v>2035</v>
      </c>
      <c r="AF611" s="45" t="str">
        <f t="shared" si="87"/>
        <v>*0.89</v>
      </c>
      <c r="AG611" s="43" t="str">
        <f t="shared" si="90"/>
        <v>REZoning_Sol-Win</v>
      </c>
      <c r="AI611" s="33" t="s">
        <v>3942</v>
      </c>
      <c r="AJ611" s="44" t="s">
        <v>57</v>
      </c>
      <c r="AK611" s="33">
        <v>2050</v>
      </c>
      <c r="AL611" s="45" t="str">
        <f t="shared" si="88"/>
        <v>*0.84</v>
      </c>
      <c r="AM611" s="43" t="str">
        <f t="shared" si="91"/>
        <v>REZoning_Sol-Win</v>
      </c>
      <c r="AP611" t="s">
        <v>3942</v>
      </c>
      <c r="AQ611" t="s">
        <v>57</v>
      </c>
      <c r="AR611">
        <f t="shared" si="89"/>
        <v>2100</v>
      </c>
      <c r="AS611" t="s">
        <v>919</v>
      </c>
      <c r="AT611" t="s">
        <v>58</v>
      </c>
    </row>
    <row r="612" ht="29" spans="1:46">
      <c r="A612" s="31" t="s">
        <v>79</v>
      </c>
      <c r="C612" t="s">
        <v>3943</v>
      </c>
      <c r="D612" s="5" t="s">
        <v>57</v>
      </c>
      <c r="E612">
        <v>2035</v>
      </c>
      <c r="F612" s="6" t="str">
        <f t="shared" si="83"/>
        <v>*0.94</v>
      </c>
      <c r="H612" t="s">
        <v>3943</v>
      </c>
      <c r="I612" s="5" t="s">
        <v>57</v>
      </c>
      <c r="J612">
        <v>2050</v>
      </c>
      <c r="K612" s="38" t="str">
        <f t="shared" si="84"/>
        <v>*0.9</v>
      </c>
      <c r="P612" s="32" t="s">
        <v>3943</v>
      </c>
      <c r="Q612" s="42" t="s">
        <v>57</v>
      </c>
      <c r="R612" s="32">
        <v>2035</v>
      </c>
      <c r="S612" s="43" t="str">
        <f t="shared" si="85"/>
        <v>*0.92</v>
      </c>
      <c r="U612" s="32" t="s">
        <v>3943</v>
      </c>
      <c r="V612" s="42" t="s">
        <v>57</v>
      </c>
      <c r="W612" s="32">
        <v>2050</v>
      </c>
      <c r="X612" s="43" t="str">
        <f t="shared" si="86"/>
        <v>*0.89</v>
      </c>
      <c r="AC612" s="33" t="s">
        <v>3943</v>
      </c>
      <c r="AD612" s="44" t="s">
        <v>57</v>
      </c>
      <c r="AE612" s="33">
        <v>2035</v>
      </c>
      <c r="AF612" s="45" t="str">
        <f t="shared" si="87"/>
        <v>*0.89</v>
      </c>
      <c r="AG612" s="43" t="str">
        <f t="shared" si="90"/>
        <v>REZoning_Sol-Win</v>
      </c>
      <c r="AI612" s="33" t="s">
        <v>3943</v>
      </c>
      <c r="AJ612" s="44" t="s">
        <v>57</v>
      </c>
      <c r="AK612" s="33">
        <v>2050</v>
      </c>
      <c r="AL612" s="45" t="str">
        <f t="shared" si="88"/>
        <v>*0.84</v>
      </c>
      <c r="AM612" s="43" t="str">
        <f t="shared" si="91"/>
        <v>REZoning_Sol-Win</v>
      </c>
      <c r="AP612" t="s">
        <v>3943</v>
      </c>
      <c r="AQ612" t="s">
        <v>57</v>
      </c>
      <c r="AR612">
        <f t="shared" si="89"/>
        <v>2100</v>
      </c>
      <c r="AS612" t="s">
        <v>919</v>
      </c>
      <c r="AT612" t="s">
        <v>58</v>
      </c>
    </row>
    <row r="613" ht="29" spans="1:46">
      <c r="A613" s="31" t="s">
        <v>79</v>
      </c>
      <c r="C613" t="s">
        <v>3944</v>
      </c>
      <c r="D613" s="5" t="s">
        <v>57</v>
      </c>
      <c r="E613">
        <v>2035</v>
      </c>
      <c r="F613" s="6" t="str">
        <f t="shared" si="83"/>
        <v>*0.94</v>
      </c>
      <c r="H613" t="s">
        <v>3944</v>
      </c>
      <c r="I613" s="5" t="s">
        <v>57</v>
      </c>
      <c r="J613">
        <v>2050</v>
      </c>
      <c r="K613" s="38" t="str">
        <f t="shared" si="84"/>
        <v>*0.9</v>
      </c>
      <c r="P613" s="32" t="s">
        <v>3944</v>
      </c>
      <c r="Q613" s="42" t="s">
        <v>57</v>
      </c>
      <c r="R613" s="32">
        <v>2035</v>
      </c>
      <c r="S613" s="43" t="str">
        <f t="shared" si="85"/>
        <v>*0.92</v>
      </c>
      <c r="U613" s="32" t="s">
        <v>3944</v>
      </c>
      <c r="V613" s="42" t="s">
        <v>57</v>
      </c>
      <c r="W613" s="32">
        <v>2050</v>
      </c>
      <c r="X613" s="43" t="str">
        <f t="shared" si="86"/>
        <v>*0.89</v>
      </c>
      <c r="AC613" s="33" t="s">
        <v>3944</v>
      </c>
      <c r="AD613" s="44" t="s">
        <v>57</v>
      </c>
      <c r="AE613" s="33">
        <v>2035</v>
      </c>
      <c r="AF613" s="45" t="str">
        <f t="shared" si="87"/>
        <v>*0.89</v>
      </c>
      <c r="AG613" s="43" t="str">
        <f t="shared" si="90"/>
        <v>REZoning_Sol-Win</v>
      </c>
      <c r="AI613" s="33" t="s">
        <v>3944</v>
      </c>
      <c r="AJ613" s="44" t="s">
        <v>57</v>
      </c>
      <c r="AK613" s="33">
        <v>2050</v>
      </c>
      <c r="AL613" s="45" t="str">
        <f t="shared" si="88"/>
        <v>*0.84</v>
      </c>
      <c r="AM613" s="43" t="str">
        <f t="shared" si="91"/>
        <v>REZoning_Sol-Win</v>
      </c>
      <c r="AP613" t="s">
        <v>3944</v>
      </c>
      <c r="AQ613" t="s">
        <v>57</v>
      </c>
      <c r="AR613">
        <f t="shared" si="89"/>
        <v>2100</v>
      </c>
      <c r="AS613" t="s">
        <v>919</v>
      </c>
      <c r="AT613" t="s">
        <v>58</v>
      </c>
    </row>
    <row r="614" ht="29" spans="1:46">
      <c r="A614" s="31" t="s">
        <v>79</v>
      </c>
      <c r="C614" t="s">
        <v>3945</v>
      </c>
      <c r="D614" s="5" t="s">
        <v>57</v>
      </c>
      <c r="E614">
        <v>2035</v>
      </c>
      <c r="F614" s="6" t="str">
        <f t="shared" si="83"/>
        <v>*0.94</v>
      </c>
      <c r="H614" t="s">
        <v>3945</v>
      </c>
      <c r="I614" s="5" t="s">
        <v>57</v>
      </c>
      <c r="J614">
        <v>2050</v>
      </c>
      <c r="K614" s="38" t="str">
        <f t="shared" si="84"/>
        <v>*0.9</v>
      </c>
      <c r="P614" s="32" t="s">
        <v>3945</v>
      </c>
      <c r="Q614" s="42" t="s">
        <v>57</v>
      </c>
      <c r="R614" s="32">
        <v>2035</v>
      </c>
      <c r="S614" s="43" t="str">
        <f t="shared" si="85"/>
        <v>*0.92</v>
      </c>
      <c r="U614" s="32" t="s">
        <v>3945</v>
      </c>
      <c r="V614" s="42" t="s">
        <v>57</v>
      </c>
      <c r="W614" s="32">
        <v>2050</v>
      </c>
      <c r="X614" s="43" t="str">
        <f t="shared" si="86"/>
        <v>*0.89</v>
      </c>
      <c r="AC614" s="33" t="s">
        <v>3945</v>
      </c>
      <c r="AD614" s="44" t="s">
        <v>57</v>
      </c>
      <c r="AE614" s="33">
        <v>2035</v>
      </c>
      <c r="AF614" s="45" t="str">
        <f t="shared" si="87"/>
        <v>*0.89</v>
      </c>
      <c r="AG614" s="43" t="str">
        <f t="shared" si="90"/>
        <v>REZoning_Sol-Win</v>
      </c>
      <c r="AI614" s="33" t="s">
        <v>3945</v>
      </c>
      <c r="AJ614" s="44" t="s">
        <v>57</v>
      </c>
      <c r="AK614" s="33">
        <v>2050</v>
      </c>
      <c r="AL614" s="45" t="str">
        <f t="shared" si="88"/>
        <v>*0.84</v>
      </c>
      <c r="AM614" s="43" t="str">
        <f t="shared" si="91"/>
        <v>REZoning_Sol-Win</v>
      </c>
      <c r="AP614" t="s">
        <v>3945</v>
      </c>
      <c r="AQ614" t="s">
        <v>57</v>
      </c>
      <c r="AR614">
        <f t="shared" si="89"/>
        <v>2100</v>
      </c>
      <c r="AS614" t="s">
        <v>919</v>
      </c>
      <c r="AT614" t="s">
        <v>58</v>
      </c>
    </row>
    <row r="615" ht="29" spans="1:46">
      <c r="A615" s="31" t="s">
        <v>79</v>
      </c>
      <c r="C615" t="s">
        <v>3946</v>
      </c>
      <c r="D615" s="5" t="s">
        <v>57</v>
      </c>
      <c r="E615">
        <v>2035</v>
      </c>
      <c r="F615" s="6" t="str">
        <f t="shared" si="83"/>
        <v>*0.94</v>
      </c>
      <c r="H615" t="s">
        <v>3946</v>
      </c>
      <c r="I615" s="5" t="s">
        <v>57</v>
      </c>
      <c r="J615">
        <v>2050</v>
      </c>
      <c r="K615" s="38" t="str">
        <f t="shared" si="84"/>
        <v>*0.9</v>
      </c>
      <c r="P615" s="32" t="s">
        <v>3946</v>
      </c>
      <c r="Q615" s="42" t="s">
        <v>57</v>
      </c>
      <c r="R615" s="32">
        <v>2035</v>
      </c>
      <c r="S615" s="43" t="str">
        <f t="shared" si="85"/>
        <v>*0.92</v>
      </c>
      <c r="U615" s="32" t="s">
        <v>3946</v>
      </c>
      <c r="V615" s="42" t="s">
        <v>57</v>
      </c>
      <c r="W615" s="32">
        <v>2050</v>
      </c>
      <c r="X615" s="43" t="str">
        <f t="shared" si="86"/>
        <v>*0.89</v>
      </c>
      <c r="AC615" s="33" t="s">
        <v>3946</v>
      </c>
      <c r="AD615" s="44" t="s">
        <v>57</v>
      </c>
      <c r="AE615" s="33">
        <v>2035</v>
      </c>
      <c r="AF615" s="45" t="str">
        <f t="shared" si="87"/>
        <v>*0.89</v>
      </c>
      <c r="AG615" s="43" t="str">
        <f t="shared" si="90"/>
        <v>REZoning_Sol-Win</v>
      </c>
      <c r="AI615" s="33" t="s">
        <v>3946</v>
      </c>
      <c r="AJ615" s="44" t="s">
        <v>57</v>
      </c>
      <c r="AK615" s="33">
        <v>2050</v>
      </c>
      <c r="AL615" s="45" t="str">
        <f t="shared" si="88"/>
        <v>*0.84</v>
      </c>
      <c r="AM615" s="43" t="str">
        <f t="shared" si="91"/>
        <v>REZoning_Sol-Win</v>
      </c>
      <c r="AP615" t="s">
        <v>3946</v>
      </c>
      <c r="AQ615" t="s">
        <v>57</v>
      </c>
      <c r="AR615">
        <f t="shared" si="89"/>
        <v>2100</v>
      </c>
      <c r="AS615" t="s">
        <v>919</v>
      </c>
      <c r="AT615" t="s">
        <v>58</v>
      </c>
    </row>
    <row r="616" ht="29" spans="1:46">
      <c r="A616" s="31" t="s">
        <v>79</v>
      </c>
      <c r="C616" t="s">
        <v>3947</v>
      </c>
      <c r="D616" s="5" t="s">
        <v>57</v>
      </c>
      <c r="E616">
        <v>2035</v>
      </c>
      <c r="F616" s="6" t="str">
        <f t="shared" si="83"/>
        <v>*0.94</v>
      </c>
      <c r="H616" t="s">
        <v>3947</v>
      </c>
      <c r="I616" s="5" t="s">
        <v>57</v>
      </c>
      <c r="J616">
        <v>2050</v>
      </c>
      <c r="K616" s="38" t="str">
        <f t="shared" si="84"/>
        <v>*0.9</v>
      </c>
      <c r="P616" s="32" t="s">
        <v>3947</v>
      </c>
      <c r="Q616" s="42" t="s">
        <v>57</v>
      </c>
      <c r="R616" s="32">
        <v>2035</v>
      </c>
      <c r="S616" s="43" t="str">
        <f t="shared" si="85"/>
        <v>*0.92</v>
      </c>
      <c r="U616" s="32" t="s">
        <v>3947</v>
      </c>
      <c r="V616" s="42" t="s">
        <v>57</v>
      </c>
      <c r="W616" s="32">
        <v>2050</v>
      </c>
      <c r="X616" s="43" t="str">
        <f t="shared" si="86"/>
        <v>*0.89</v>
      </c>
      <c r="AC616" s="33" t="s">
        <v>3947</v>
      </c>
      <c r="AD616" s="44" t="s">
        <v>57</v>
      </c>
      <c r="AE616" s="33">
        <v>2035</v>
      </c>
      <c r="AF616" s="45" t="str">
        <f t="shared" si="87"/>
        <v>*0.89</v>
      </c>
      <c r="AG616" s="43" t="str">
        <f t="shared" si="90"/>
        <v>REZoning_Sol-Win</v>
      </c>
      <c r="AI616" s="33" t="s">
        <v>3947</v>
      </c>
      <c r="AJ616" s="44" t="s">
        <v>57</v>
      </c>
      <c r="AK616" s="33">
        <v>2050</v>
      </c>
      <c r="AL616" s="45" t="str">
        <f t="shared" si="88"/>
        <v>*0.84</v>
      </c>
      <c r="AM616" s="43" t="str">
        <f t="shared" si="91"/>
        <v>REZoning_Sol-Win</v>
      </c>
      <c r="AP616" t="s">
        <v>3947</v>
      </c>
      <c r="AQ616" t="s">
        <v>57</v>
      </c>
      <c r="AR616">
        <f t="shared" si="89"/>
        <v>2100</v>
      </c>
      <c r="AS616" t="s">
        <v>919</v>
      </c>
      <c r="AT616" t="s">
        <v>58</v>
      </c>
    </row>
    <row r="617" ht="29" spans="1:46">
      <c r="A617" s="31" t="s">
        <v>79</v>
      </c>
      <c r="C617" t="s">
        <v>3948</v>
      </c>
      <c r="D617" s="5" t="s">
        <v>57</v>
      </c>
      <c r="E617">
        <v>2035</v>
      </c>
      <c r="F617" s="6" t="str">
        <f t="shared" si="83"/>
        <v>*0.94</v>
      </c>
      <c r="H617" t="s">
        <v>3948</v>
      </c>
      <c r="I617" s="5" t="s">
        <v>57</v>
      </c>
      <c r="J617">
        <v>2050</v>
      </c>
      <c r="K617" s="38" t="str">
        <f t="shared" si="84"/>
        <v>*0.9</v>
      </c>
      <c r="P617" s="32" t="s">
        <v>3948</v>
      </c>
      <c r="Q617" s="42" t="s">
        <v>57</v>
      </c>
      <c r="R617" s="32">
        <v>2035</v>
      </c>
      <c r="S617" s="43" t="str">
        <f t="shared" si="85"/>
        <v>*0.92</v>
      </c>
      <c r="U617" s="32" t="s">
        <v>3948</v>
      </c>
      <c r="V617" s="42" t="s">
        <v>57</v>
      </c>
      <c r="W617" s="32">
        <v>2050</v>
      </c>
      <c r="X617" s="43" t="str">
        <f t="shared" si="86"/>
        <v>*0.89</v>
      </c>
      <c r="AC617" s="33" t="s">
        <v>3948</v>
      </c>
      <c r="AD617" s="44" t="s">
        <v>57</v>
      </c>
      <c r="AE617" s="33">
        <v>2035</v>
      </c>
      <c r="AF617" s="45" t="str">
        <f t="shared" si="87"/>
        <v>*0.89</v>
      </c>
      <c r="AG617" s="43" t="str">
        <f t="shared" si="90"/>
        <v>REZoning_Sol-Win</v>
      </c>
      <c r="AI617" s="33" t="s">
        <v>3948</v>
      </c>
      <c r="AJ617" s="44" t="s">
        <v>57</v>
      </c>
      <c r="AK617" s="33">
        <v>2050</v>
      </c>
      <c r="AL617" s="45" t="str">
        <f t="shared" si="88"/>
        <v>*0.84</v>
      </c>
      <c r="AM617" s="43" t="str">
        <f t="shared" si="91"/>
        <v>REZoning_Sol-Win</v>
      </c>
      <c r="AP617" t="s">
        <v>3948</v>
      </c>
      <c r="AQ617" t="s">
        <v>57</v>
      </c>
      <c r="AR617">
        <f t="shared" si="89"/>
        <v>2100</v>
      </c>
      <c r="AS617" t="s">
        <v>919</v>
      </c>
      <c r="AT617" t="s">
        <v>58</v>
      </c>
    </row>
    <row r="618" ht="29" spans="1:46">
      <c r="A618" s="31" t="s">
        <v>79</v>
      </c>
      <c r="C618" t="s">
        <v>3949</v>
      </c>
      <c r="D618" s="5" t="s">
        <v>57</v>
      </c>
      <c r="E618">
        <v>2035</v>
      </c>
      <c r="F618" s="6" t="str">
        <f t="shared" si="83"/>
        <v>*0.94</v>
      </c>
      <c r="H618" t="s">
        <v>3949</v>
      </c>
      <c r="I618" s="5" t="s">
        <v>57</v>
      </c>
      <c r="J618">
        <v>2050</v>
      </c>
      <c r="K618" s="38" t="str">
        <f t="shared" si="84"/>
        <v>*0.9</v>
      </c>
      <c r="P618" s="32" t="s">
        <v>3949</v>
      </c>
      <c r="Q618" s="42" t="s">
        <v>57</v>
      </c>
      <c r="R618" s="32">
        <v>2035</v>
      </c>
      <c r="S618" s="43" t="str">
        <f t="shared" si="85"/>
        <v>*0.92</v>
      </c>
      <c r="U618" s="32" t="s">
        <v>3949</v>
      </c>
      <c r="V618" s="42" t="s">
        <v>57</v>
      </c>
      <c r="W618" s="32">
        <v>2050</v>
      </c>
      <c r="X618" s="43" t="str">
        <f t="shared" si="86"/>
        <v>*0.89</v>
      </c>
      <c r="AC618" s="33" t="s">
        <v>3949</v>
      </c>
      <c r="AD618" s="44" t="s">
        <v>57</v>
      </c>
      <c r="AE618" s="33">
        <v>2035</v>
      </c>
      <c r="AF618" s="45" t="str">
        <f t="shared" si="87"/>
        <v>*0.89</v>
      </c>
      <c r="AG618" s="43" t="str">
        <f t="shared" si="90"/>
        <v>REZoning_Sol-Win</v>
      </c>
      <c r="AI618" s="33" t="s">
        <v>3949</v>
      </c>
      <c r="AJ618" s="44" t="s">
        <v>57</v>
      </c>
      <c r="AK618" s="33">
        <v>2050</v>
      </c>
      <c r="AL618" s="45" t="str">
        <f t="shared" si="88"/>
        <v>*0.84</v>
      </c>
      <c r="AM618" s="43" t="str">
        <f t="shared" si="91"/>
        <v>REZoning_Sol-Win</v>
      </c>
      <c r="AP618" t="s">
        <v>3949</v>
      </c>
      <c r="AQ618" t="s">
        <v>57</v>
      </c>
      <c r="AR618">
        <f t="shared" si="89"/>
        <v>2100</v>
      </c>
      <c r="AS618" t="s">
        <v>919</v>
      </c>
      <c r="AT618" t="s">
        <v>58</v>
      </c>
    </row>
    <row r="619" ht="29" spans="1:46">
      <c r="A619" s="31" t="s">
        <v>79</v>
      </c>
      <c r="C619" t="s">
        <v>3950</v>
      </c>
      <c r="D619" s="5" t="s">
        <v>57</v>
      </c>
      <c r="E619">
        <v>2035</v>
      </c>
      <c r="F619" s="6" t="str">
        <f t="shared" si="83"/>
        <v>*0.94</v>
      </c>
      <c r="H619" t="s">
        <v>3950</v>
      </c>
      <c r="I619" s="5" t="s">
        <v>57</v>
      </c>
      <c r="J619">
        <v>2050</v>
      </c>
      <c r="K619" s="38" t="str">
        <f t="shared" si="84"/>
        <v>*0.9</v>
      </c>
      <c r="P619" s="32" t="s">
        <v>3950</v>
      </c>
      <c r="Q619" s="42" t="s">
        <v>57</v>
      </c>
      <c r="R619" s="32">
        <v>2035</v>
      </c>
      <c r="S619" s="43" t="str">
        <f t="shared" si="85"/>
        <v>*0.92</v>
      </c>
      <c r="U619" s="32" t="s">
        <v>3950</v>
      </c>
      <c r="V619" s="42" t="s">
        <v>57</v>
      </c>
      <c r="W619" s="32">
        <v>2050</v>
      </c>
      <c r="X619" s="43" t="str">
        <f t="shared" si="86"/>
        <v>*0.89</v>
      </c>
      <c r="AC619" s="33" t="s">
        <v>3950</v>
      </c>
      <c r="AD619" s="44" t="s">
        <v>57</v>
      </c>
      <c r="AE619" s="33">
        <v>2035</v>
      </c>
      <c r="AF619" s="45" t="str">
        <f t="shared" si="87"/>
        <v>*0.89</v>
      </c>
      <c r="AG619" s="43" t="str">
        <f t="shared" si="90"/>
        <v>REZoning_Sol-Win</v>
      </c>
      <c r="AI619" s="33" t="s">
        <v>3950</v>
      </c>
      <c r="AJ619" s="44" t="s">
        <v>57</v>
      </c>
      <c r="AK619" s="33">
        <v>2050</v>
      </c>
      <c r="AL619" s="45" t="str">
        <f t="shared" si="88"/>
        <v>*0.84</v>
      </c>
      <c r="AM619" s="43" t="str">
        <f t="shared" si="91"/>
        <v>REZoning_Sol-Win</v>
      </c>
      <c r="AP619" t="s">
        <v>3950</v>
      </c>
      <c r="AQ619" t="s">
        <v>57</v>
      </c>
      <c r="AR619">
        <f t="shared" si="89"/>
        <v>2100</v>
      </c>
      <c r="AS619" t="s">
        <v>919</v>
      </c>
      <c r="AT619" t="s">
        <v>58</v>
      </c>
    </row>
    <row r="620" ht="29" spans="1:46">
      <c r="A620" s="31" t="s">
        <v>79</v>
      </c>
      <c r="C620" t="s">
        <v>3951</v>
      </c>
      <c r="D620" s="5" t="s">
        <v>57</v>
      </c>
      <c r="E620">
        <v>2035</v>
      </c>
      <c r="F620" s="6" t="str">
        <f t="shared" si="83"/>
        <v>*0.94</v>
      </c>
      <c r="H620" t="s">
        <v>3951</v>
      </c>
      <c r="I620" s="5" t="s">
        <v>57</v>
      </c>
      <c r="J620">
        <v>2050</v>
      </c>
      <c r="K620" s="38" t="str">
        <f t="shared" si="84"/>
        <v>*0.9</v>
      </c>
      <c r="P620" s="32" t="s">
        <v>3951</v>
      </c>
      <c r="Q620" s="42" t="s">
        <v>57</v>
      </c>
      <c r="R620" s="32">
        <v>2035</v>
      </c>
      <c r="S620" s="43" t="str">
        <f t="shared" si="85"/>
        <v>*0.92</v>
      </c>
      <c r="U620" s="32" t="s">
        <v>3951</v>
      </c>
      <c r="V620" s="42" t="s">
        <v>57</v>
      </c>
      <c r="W620" s="32">
        <v>2050</v>
      </c>
      <c r="X620" s="43" t="str">
        <f t="shared" si="86"/>
        <v>*0.89</v>
      </c>
      <c r="AC620" s="33" t="s">
        <v>3951</v>
      </c>
      <c r="AD620" s="44" t="s">
        <v>57</v>
      </c>
      <c r="AE620" s="33">
        <v>2035</v>
      </c>
      <c r="AF620" s="45" t="str">
        <f t="shared" si="87"/>
        <v>*0.89</v>
      </c>
      <c r="AG620" s="43" t="str">
        <f t="shared" si="90"/>
        <v>REZoning_Sol-Win</v>
      </c>
      <c r="AI620" s="33" t="s">
        <v>3951</v>
      </c>
      <c r="AJ620" s="44" t="s">
        <v>57</v>
      </c>
      <c r="AK620" s="33">
        <v>2050</v>
      </c>
      <c r="AL620" s="45" t="str">
        <f t="shared" si="88"/>
        <v>*0.84</v>
      </c>
      <c r="AM620" s="43" t="str">
        <f t="shared" si="91"/>
        <v>REZoning_Sol-Win</v>
      </c>
      <c r="AP620" t="s">
        <v>3951</v>
      </c>
      <c r="AQ620" t="s">
        <v>57</v>
      </c>
      <c r="AR620">
        <f t="shared" si="89"/>
        <v>2100</v>
      </c>
      <c r="AS620" t="s">
        <v>919</v>
      </c>
      <c r="AT620" t="s">
        <v>58</v>
      </c>
    </row>
    <row r="621" ht="29" spans="1:46">
      <c r="A621" s="31" t="s">
        <v>79</v>
      </c>
      <c r="C621" t="s">
        <v>3952</v>
      </c>
      <c r="D621" s="5" t="s">
        <v>57</v>
      </c>
      <c r="E621">
        <v>2035</v>
      </c>
      <c r="F621" s="6" t="str">
        <f t="shared" si="83"/>
        <v>*0.94</v>
      </c>
      <c r="H621" t="s">
        <v>3952</v>
      </c>
      <c r="I621" s="5" t="s">
        <v>57</v>
      </c>
      <c r="J621">
        <v>2050</v>
      </c>
      <c r="K621" s="38" t="str">
        <f t="shared" si="84"/>
        <v>*0.9</v>
      </c>
      <c r="P621" s="32" t="s">
        <v>3952</v>
      </c>
      <c r="Q621" s="42" t="s">
        <v>57</v>
      </c>
      <c r="R621" s="32">
        <v>2035</v>
      </c>
      <c r="S621" s="43" t="str">
        <f t="shared" si="85"/>
        <v>*0.92</v>
      </c>
      <c r="U621" s="32" t="s">
        <v>3952</v>
      </c>
      <c r="V621" s="42" t="s">
        <v>57</v>
      </c>
      <c r="W621" s="32">
        <v>2050</v>
      </c>
      <c r="X621" s="43" t="str">
        <f t="shared" si="86"/>
        <v>*0.89</v>
      </c>
      <c r="AC621" s="33" t="s">
        <v>3952</v>
      </c>
      <c r="AD621" s="44" t="s">
        <v>57</v>
      </c>
      <c r="AE621" s="33">
        <v>2035</v>
      </c>
      <c r="AF621" s="45" t="str">
        <f t="shared" si="87"/>
        <v>*0.89</v>
      </c>
      <c r="AG621" s="43" t="str">
        <f t="shared" si="90"/>
        <v>REZoning_Sol-Win</v>
      </c>
      <c r="AI621" s="33" t="s">
        <v>3952</v>
      </c>
      <c r="AJ621" s="44" t="s">
        <v>57</v>
      </c>
      <c r="AK621" s="33">
        <v>2050</v>
      </c>
      <c r="AL621" s="45" t="str">
        <f t="shared" si="88"/>
        <v>*0.84</v>
      </c>
      <c r="AM621" s="43" t="str">
        <f t="shared" si="91"/>
        <v>REZoning_Sol-Win</v>
      </c>
      <c r="AP621" t="s">
        <v>3952</v>
      </c>
      <c r="AQ621" t="s">
        <v>57</v>
      </c>
      <c r="AR621">
        <f t="shared" si="89"/>
        <v>2100</v>
      </c>
      <c r="AS621" t="s">
        <v>919</v>
      </c>
      <c r="AT621" t="s">
        <v>58</v>
      </c>
    </row>
    <row r="622" ht="29" spans="1:46">
      <c r="A622" s="31" t="s">
        <v>79</v>
      </c>
      <c r="C622" t="s">
        <v>3953</v>
      </c>
      <c r="D622" s="5" t="s">
        <v>57</v>
      </c>
      <c r="E622">
        <v>2035</v>
      </c>
      <c r="F622" s="6" t="str">
        <f t="shared" si="83"/>
        <v>*0.94</v>
      </c>
      <c r="H622" t="s">
        <v>3953</v>
      </c>
      <c r="I622" s="5" t="s">
        <v>57</v>
      </c>
      <c r="J622">
        <v>2050</v>
      </c>
      <c r="K622" s="38" t="str">
        <f t="shared" si="84"/>
        <v>*0.9</v>
      </c>
      <c r="P622" s="32" t="s">
        <v>3953</v>
      </c>
      <c r="Q622" s="42" t="s">
        <v>57</v>
      </c>
      <c r="R622" s="32">
        <v>2035</v>
      </c>
      <c r="S622" s="43" t="str">
        <f t="shared" si="85"/>
        <v>*0.92</v>
      </c>
      <c r="U622" s="32" t="s">
        <v>3953</v>
      </c>
      <c r="V622" s="42" t="s">
        <v>57</v>
      </c>
      <c r="W622" s="32">
        <v>2050</v>
      </c>
      <c r="X622" s="43" t="str">
        <f t="shared" si="86"/>
        <v>*0.89</v>
      </c>
      <c r="AC622" s="33" t="s">
        <v>3953</v>
      </c>
      <c r="AD622" s="44" t="s">
        <v>57</v>
      </c>
      <c r="AE622" s="33">
        <v>2035</v>
      </c>
      <c r="AF622" s="45" t="str">
        <f t="shared" si="87"/>
        <v>*0.89</v>
      </c>
      <c r="AG622" s="43" t="str">
        <f t="shared" si="90"/>
        <v>REZoning_Sol-Win</v>
      </c>
      <c r="AI622" s="33" t="s">
        <v>3953</v>
      </c>
      <c r="AJ622" s="44" t="s">
        <v>57</v>
      </c>
      <c r="AK622" s="33">
        <v>2050</v>
      </c>
      <c r="AL622" s="45" t="str">
        <f t="shared" si="88"/>
        <v>*0.84</v>
      </c>
      <c r="AM622" s="43" t="str">
        <f t="shared" si="91"/>
        <v>REZoning_Sol-Win</v>
      </c>
      <c r="AP622" t="s">
        <v>3953</v>
      </c>
      <c r="AQ622" t="s">
        <v>57</v>
      </c>
      <c r="AR622">
        <f t="shared" si="89"/>
        <v>2100</v>
      </c>
      <c r="AS622" t="s">
        <v>919</v>
      </c>
      <c r="AT622" t="s">
        <v>58</v>
      </c>
    </row>
    <row r="623" ht="29" spans="1:46">
      <c r="A623" s="31" t="s">
        <v>65</v>
      </c>
      <c r="C623" t="s">
        <v>3954</v>
      </c>
      <c r="D623" s="5" t="s">
        <v>57</v>
      </c>
      <c r="E623">
        <v>2035</v>
      </c>
      <c r="F623" s="6" t="str">
        <f t="shared" si="83"/>
        <v>*0.94</v>
      </c>
      <c r="H623" t="s">
        <v>3954</v>
      </c>
      <c r="I623" s="5" t="s">
        <v>57</v>
      </c>
      <c r="J623">
        <v>2050</v>
      </c>
      <c r="K623" s="38" t="str">
        <f t="shared" si="84"/>
        <v>*0.91</v>
      </c>
      <c r="P623" s="32" t="s">
        <v>3954</v>
      </c>
      <c r="Q623" s="42" t="s">
        <v>57</v>
      </c>
      <c r="R623" s="32">
        <v>2035</v>
      </c>
      <c r="S623" s="43" t="str">
        <f t="shared" si="85"/>
        <v>*0.93</v>
      </c>
      <c r="U623" s="32" t="s">
        <v>3954</v>
      </c>
      <c r="V623" s="42" t="s">
        <v>57</v>
      </c>
      <c r="W623" s="32">
        <v>2050</v>
      </c>
      <c r="X623" s="43" t="str">
        <f t="shared" si="86"/>
        <v>*0.9</v>
      </c>
      <c r="AC623" s="33" t="s">
        <v>3954</v>
      </c>
      <c r="AD623" s="44" t="s">
        <v>57</v>
      </c>
      <c r="AE623" s="33">
        <v>2035</v>
      </c>
      <c r="AF623" s="45" t="str">
        <f t="shared" si="87"/>
        <v>*0.9</v>
      </c>
      <c r="AG623" s="43" t="str">
        <f t="shared" si="90"/>
        <v>REZoning_Sol-Win</v>
      </c>
      <c r="AI623" s="33" t="s">
        <v>3954</v>
      </c>
      <c r="AJ623" s="44" t="s">
        <v>57</v>
      </c>
      <c r="AK623" s="33">
        <v>2050</v>
      </c>
      <c r="AL623" s="45" t="str">
        <f t="shared" si="88"/>
        <v>*0.86</v>
      </c>
      <c r="AM623" s="43" t="str">
        <f t="shared" si="91"/>
        <v>REZoning_Sol-Win</v>
      </c>
      <c r="AP623" t="s">
        <v>3954</v>
      </c>
      <c r="AQ623" t="s">
        <v>57</v>
      </c>
      <c r="AR623">
        <f t="shared" si="89"/>
        <v>2100</v>
      </c>
      <c r="AS623" t="s">
        <v>883</v>
      </c>
      <c r="AT623" t="s">
        <v>58</v>
      </c>
    </row>
    <row r="624" ht="29" spans="1:46">
      <c r="A624" s="31" t="s">
        <v>65</v>
      </c>
      <c r="C624" t="s">
        <v>3955</v>
      </c>
      <c r="D624" s="5" t="s">
        <v>57</v>
      </c>
      <c r="E624">
        <v>2035</v>
      </c>
      <c r="F624" s="6" t="str">
        <f t="shared" si="83"/>
        <v>*0.94</v>
      </c>
      <c r="H624" t="s">
        <v>3955</v>
      </c>
      <c r="I624" s="5" t="s">
        <v>57</v>
      </c>
      <c r="J624">
        <v>2050</v>
      </c>
      <c r="K624" s="38" t="str">
        <f t="shared" si="84"/>
        <v>*0.91</v>
      </c>
      <c r="P624" s="32" t="s">
        <v>3955</v>
      </c>
      <c r="Q624" s="42" t="s">
        <v>57</v>
      </c>
      <c r="R624" s="32">
        <v>2035</v>
      </c>
      <c r="S624" s="43" t="str">
        <f t="shared" si="85"/>
        <v>*0.93</v>
      </c>
      <c r="U624" s="32" t="s">
        <v>3955</v>
      </c>
      <c r="V624" s="42" t="s">
        <v>57</v>
      </c>
      <c r="W624" s="32">
        <v>2050</v>
      </c>
      <c r="X624" s="43" t="str">
        <f t="shared" si="86"/>
        <v>*0.9</v>
      </c>
      <c r="AC624" s="33" t="s">
        <v>3955</v>
      </c>
      <c r="AD624" s="44" t="s">
        <v>57</v>
      </c>
      <c r="AE624" s="33">
        <v>2035</v>
      </c>
      <c r="AF624" s="45" t="str">
        <f t="shared" si="87"/>
        <v>*0.9</v>
      </c>
      <c r="AG624" s="43" t="str">
        <f t="shared" si="90"/>
        <v>REZoning_Sol-Win</v>
      </c>
      <c r="AI624" s="33" t="s">
        <v>3955</v>
      </c>
      <c r="AJ624" s="44" t="s">
        <v>57</v>
      </c>
      <c r="AK624" s="33">
        <v>2050</v>
      </c>
      <c r="AL624" s="45" t="str">
        <f t="shared" si="88"/>
        <v>*0.86</v>
      </c>
      <c r="AM624" s="43" t="str">
        <f t="shared" si="91"/>
        <v>REZoning_Sol-Win</v>
      </c>
      <c r="AP624" t="s">
        <v>3955</v>
      </c>
      <c r="AQ624" t="s">
        <v>57</v>
      </c>
      <c r="AR624">
        <f t="shared" si="89"/>
        <v>2100</v>
      </c>
      <c r="AS624" t="s">
        <v>883</v>
      </c>
      <c r="AT624" t="s">
        <v>58</v>
      </c>
    </row>
    <row r="625" ht="29" spans="1:46">
      <c r="A625" s="31" t="s">
        <v>65</v>
      </c>
      <c r="C625" t="s">
        <v>3956</v>
      </c>
      <c r="D625" s="5" t="s">
        <v>57</v>
      </c>
      <c r="E625">
        <v>2035</v>
      </c>
      <c r="F625" s="6" t="str">
        <f t="shared" si="83"/>
        <v>*0.94</v>
      </c>
      <c r="H625" t="s">
        <v>3956</v>
      </c>
      <c r="I625" s="5" t="s">
        <v>57</v>
      </c>
      <c r="J625">
        <v>2050</v>
      </c>
      <c r="K625" s="38" t="str">
        <f t="shared" si="84"/>
        <v>*0.91</v>
      </c>
      <c r="P625" s="32" t="s">
        <v>3956</v>
      </c>
      <c r="Q625" s="42" t="s">
        <v>57</v>
      </c>
      <c r="R625" s="32">
        <v>2035</v>
      </c>
      <c r="S625" s="43" t="str">
        <f t="shared" si="85"/>
        <v>*0.93</v>
      </c>
      <c r="U625" s="32" t="s">
        <v>3956</v>
      </c>
      <c r="V625" s="42" t="s">
        <v>57</v>
      </c>
      <c r="W625" s="32">
        <v>2050</v>
      </c>
      <c r="X625" s="43" t="str">
        <f t="shared" si="86"/>
        <v>*0.9</v>
      </c>
      <c r="AC625" s="33" t="s">
        <v>3956</v>
      </c>
      <c r="AD625" s="44" t="s">
        <v>57</v>
      </c>
      <c r="AE625" s="33">
        <v>2035</v>
      </c>
      <c r="AF625" s="45" t="str">
        <f t="shared" si="87"/>
        <v>*0.9</v>
      </c>
      <c r="AG625" s="43" t="str">
        <f t="shared" si="90"/>
        <v>REZoning_Sol-Win</v>
      </c>
      <c r="AI625" s="33" t="s">
        <v>3956</v>
      </c>
      <c r="AJ625" s="44" t="s">
        <v>57</v>
      </c>
      <c r="AK625" s="33">
        <v>2050</v>
      </c>
      <c r="AL625" s="45" t="str">
        <f t="shared" si="88"/>
        <v>*0.86</v>
      </c>
      <c r="AM625" s="43" t="str">
        <f t="shared" si="91"/>
        <v>REZoning_Sol-Win</v>
      </c>
      <c r="AP625" t="s">
        <v>3956</v>
      </c>
      <c r="AQ625" t="s">
        <v>57</v>
      </c>
      <c r="AR625">
        <f t="shared" si="89"/>
        <v>2100</v>
      </c>
      <c r="AS625" t="s">
        <v>883</v>
      </c>
      <c r="AT625" t="s">
        <v>58</v>
      </c>
    </row>
    <row r="626" ht="29" spans="1:46">
      <c r="A626" s="31" t="s">
        <v>65</v>
      </c>
      <c r="C626" t="s">
        <v>3957</v>
      </c>
      <c r="D626" s="5" t="s">
        <v>57</v>
      </c>
      <c r="E626">
        <v>2035</v>
      </c>
      <c r="F626" s="6" t="str">
        <f t="shared" si="83"/>
        <v>*0.94</v>
      </c>
      <c r="H626" t="s">
        <v>3957</v>
      </c>
      <c r="I626" s="5" t="s">
        <v>57</v>
      </c>
      <c r="J626">
        <v>2050</v>
      </c>
      <c r="K626" s="38" t="str">
        <f t="shared" si="84"/>
        <v>*0.91</v>
      </c>
      <c r="P626" s="32" t="s">
        <v>3957</v>
      </c>
      <c r="Q626" s="42" t="s">
        <v>57</v>
      </c>
      <c r="R626" s="32">
        <v>2035</v>
      </c>
      <c r="S626" s="43" t="str">
        <f t="shared" si="85"/>
        <v>*0.93</v>
      </c>
      <c r="U626" s="32" t="s">
        <v>3957</v>
      </c>
      <c r="V626" s="42" t="s">
        <v>57</v>
      </c>
      <c r="W626" s="32">
        <v>2050</v>
      </c>
      <c r="X626" s="43" t="str">
        <f t="shared" si="86"/>
        <v>*0.9</v>
      </c>
      <c r="AC626" s="33" t="s">
        <v>3957</v>
      </c>
      <c r="AD626" s="44" t="s">
        <v>57</v>
      </c>
      <c r="AE626" s="33">
        <v>2035</v>
      </c>
      <c r="AF626" s="45" t="str">
        <f t="shared" si="87"/>
        <v>*0.9</v>
      </c>
      <c r="AG626" s="43" t="str">
        <f t="shared" si="90"/>
        <v>REZoning_Sol-Win</v>
      </c>
      <c r="AI626" s="33" t="s">
        <v>3957</v>
      </c>
      <c r="AJ626" s="44" t="s">
        <v>57</v>
      </c>
      <c r="AK626" s="33">
        <v>2050</v>
      </c>
      <c r="AL626" s="45" t="str">
        <f t="shared" si="88"/>
        <v>*0.86</v>
      </c>
      <c r="AM626" s="43" t="str">
        <f t="shared" si="91"/>
        <v>REZoning_Sol-Win</v>
      </c>
      <c r="AP626" t="s">
        <v>3957</v>
      </c>
      <c r="AQ626" t="s">
        <v>57</v>
      </c>
      <c r="AR626">
        <f t="shared" si="89"/>
        <v>2100</v>
      </c>
      <c r="AS626" t="s">
        <v>883</v>
      </c>
      <c r="AT626" t="s">
        <v>58</v>
      </c>
    </row>
    <row r="627" ht="29" spans="1:46">
      <c r="A627" s="31" t="s">
        <v>65</v>
      </c>
      <c r="C627" t="s">
        <v>3958</v>
      </c>
      <c r="D627" s="5" t="s">
        <v>57</v>
      </c>
      <c r="E627">
        <v>2035</v>
      </c>
      <c r="F627" s="6" t="str">
        <f t="shared" si="83"/>
        <v>*0.94</v>
      </c>
      <c r="H627" t="s">
        <v>3958</v>
      </c>
      <c r="I627" s="5" t="s">
        <v>57</v>
      </c>
      <c r="J627">
        <v>2050</v>
      </c>
      <c r="K627" s="38" t="str">
        <f t="shared" si="84"/>
        <v>*0.91</v>
      </c>
      <c r="P627" s="32" t="s">
        <v>3958</v>
      </c>
      <c r="Q627" s="42" t="s">
        <v>57</v>
      </c>
      <c r="R627" s="32">
        <v>2035</v>
      </c>
      <c r="S627" s="43" t="str">
        <f t="shared" si="85"/>
        <v>*0.93</v>
      </c>
      <c r="U627" s="32" t="s">
        <v>3958</v>
      </c>
      <c r="V627" s="42" t="s">
        <v>57</v>
      </c>
      <c r="W627" s="32">
        <v>2050</v>
      </c>
      <c r="X627" s="43" t="str">
        <f t="shared" si="86"/>
        <v>*0.9</v>
      </c>
      <c r="AC627" s="33" t="s">
        <v>3958</v>
      </c>
      <c r="AD627" s="44" t="s">
        <v>57</v>
      </c>
      <c r="AE627" s="33">
        <v>2035</v>
      </c>
      <c r="AF627" s="45" t="str">
        <f t="shared" si="87"/>
        <v>*0.9</v>
      </c>
      <c r="AG627" s="43" t="str">
        <f t="shared" si="90"/>
        <v>REZoning_Sol-Win</v>
      </c>
      <c r="AI627" s="33" t="s">
        <v>3958</v>
      </c>
      <c r="AJ627" s="44" t="s">
        <v>57</v>
      </c>
      <c r="AK627" s="33">
        <v>2050</v>
      </c>
      <c r="AL627" s="45" t="str">
        <f t="shared" si="88"/>
        <v>*0.86</v>
      </c>
      <c r="AM627" s="43" t="str">
        <f t="shared" si="91"/>
        <v>REZoning_Sol-Win</v>
      </c>
      <c r="AP627" t="s">
        <v>3958</v>
      </c>
      <c r="AQ627" t="s">
        <v>57</v>
      </c>
      <c r="AR627">
        <f t="shared" si="89"/>
        <v>2100</v>
      </c>
      <c r="AS627" t="s">
        <v>883</v>
      </c>
      <c r="AT627" t="s">
        <v>58</v>
      </c>
    </row>
    <row r="628" ht="29" spans="1:46">
      <c r="A628" s="31" t="s">
        <v>65</v>
      </c>
      <c r="C628" t="s">
        <v>3959</v>
      </c>
      <c r="D628" s="5" t="s">
        <v>57</v>
      </c>
      <c r="E628">
        <v>2035</v>
      </c>
      <c r="F628" s="6" t="str">
        <f t="shared" si="83"/>
        <v>*0.94</v>
      </c>
      <c r="H628" t="s">
        <v>3959</v>
      </c>
      <c r="I628" s="5" t="s">
        <v>57</v>
      </c>
      <c r="J628">
        <v>2050</v>
      </c>
      <c r="K628" s="38" t="str">
        <f t="shared" si="84"/>
        <v>*0.91</v>
      </c>
      <c r="P628" s="32" t="s">
        <v>3959</v>
      </c>
      <c r="Q628" s="42" t="s">
        <v>57</v>
      </c>
      <c r="R628" s="32">
        <v>2035</v>
      </c>
      <c r="S628" s="43" t="str">
        <f t="shared" si="85"/>
        <v>*0.93</v>
      </c>
      <c r="U628" s="32" t="s">
        <v>3959</v>
      </c>
      <c r="V628" s="42" t="s">
        <v>57</v>
      </c>
      <c r="W628" s="32">
        <v>2050</v>
      </c>
      <c r="X628" s="43" t="str">
        <f t="shared" si="86"/>
        <v>*0.9</v>
      </c>
      <c r="AC628" s="33" t="s">
        <v>3959</v>
      </c>
      <c r="AD628" s="44" t="s">
        <v>57</v>
      </c>
      <c r="AE628" s="33">
        <v>2035</v>
      </c>
      <c r="AF628" s="45" t="str">
        <f t="shared" si="87"/>
        <v>*0.9</v>
      </c>
      <c r="AG628" s="43" t="str">
        <f t="shared" si="90"/>
        <v>REZoning_Sol-Win</v>
      </c>
      <c r="AI628" s="33" t="s">
        <v>3959</v>
      </c>
      <c r="AJ628" s="44" t="s">
        <v>57</v>
      </c>
      <c r="AK628" s="33">
        <v>2050</v>
      </c>
      <c r="AL628" s="45" t="str">
        <f t="shared" si="88"/>
        <v>*0.86</v>
      </c>
      <c r="AM628" s="43" t="str">
        <f t="shared" si="91"/>
        <v>REZoning_Sol-Win</v>
      </c>
      <c r="AP628" t="s">
        <v>3959</v>
      </c>
      <c r="AQ628" t="s">
        <v>57</v>
      </c>
      <c r="AR628">
        <f t="shared" si="89"/>
        <v>2100</v>
      </c>
      <c r="AS628" t="s">
        <v>883</v>
      </c>
      <c r="AT628" t="s">
        <v>58</v>
      </c>
    </row>
    <row r="629" ht="29" spans="1:46">
      <c r="A629" s="31" t="s">
        <v>65</v>
      </c>
      <c r="C629" t="s">
        <v>3960</v>
      </c>
      <c r="D629" s="5" t="s">
        <v>57</v>
      </c>
      <c r="E629">
        <v>2035</v>
      </c>
      <c r="F629" s="6" t="str">
        <f t="shared" si="83"/>
        <v>*0.94</v>
      </c>
      <c r="H629" t="s">
        <v>3960</v>
      </c>
      <c r="I629" s="5" t="s">
        <v>57</v>
      </c>
      <c r="J629">
        <v>2050</v>
      </c>
      <c r="K629" s="38" t="str">
        <f t="shared" si="84"/>
        <v>*0.91</v>
      </c>
      <c r="P629" s="32" t="s">
        <v>3960</v>
      </c>
      <c r="Q629" s="42" t="s">
        <v>57</v>
      </c>
      <c r="R629" s="32">
        <v>2035</v>
      </c>
      <c r="S629" s="43" t="str">
        <f t="shared" si="85"/>
        <v>*0.93</v>
      </c>
      <c r="U629" s="32" t="s">
        <v>3960</v>
      </c>
      <c r="V629" s="42" t="s">
        <v>57</v>
      </c>
      <c r="W629" s="32">
        <v>2050</v>
      </c>
      <c r="X629" s="43" t="str">
        <f t="shared" si="86"/>
        <v>*0.9</v>
      </c>
      <c r="AC629" s="33" t="s">
        <v>3960</v>
      </c>
      <c r="AD629" s="44" t="s">
        <v>57</v>
      </c>
      <c r="AE629" s="33">
        <v>2035</v>
      </c>
      <c r="AF629" s="45" t="str">
        <f t="shared" si="87"/>
        <v>*0.9</v>
      </c>
      <c r="AG629" s="43" t="str">
        <f t="shared" si="90"/>
        <v>REZoning_Sol-Win</v>
      </c>
      <c r="AI629" s="33" t="s">
        <v>3960</v>
      </c>
      <c r="AJ629" s="44" t="s">
        <v>57</v>
      </c>
      <c r="AK629" s="33">
        <v>2050</v>
      </c>
      <c r="AL629" s="45" t="str">
        <f t="shared" si="88"/>
        <v>*0.86</v>
      </c>
      <c r="AM629" s="43" t="str">
        <f t="shared" si="91"/>
        <v>REZoning_Sol-Win</v>
      </c>
      <c r="AP629" t="s">
        <v>3960</v>
      </c>
      <c r="AQ629" t="s">
        <v>57</v>
      </c>
      <c r="AR629">
        <f t="shared" si="89"/>
        <v>2100</v>
      </c>
      <c r="AS629" t="s">
        <v>883</v>
      </c>
      <c r="AT629" t="s">
        <v>58</v>
      </c>
    </row>
    <row r="630" ht="29" spans="1:46">
      <c r="A630" s="31" t="s">
        <v>65</v>
      </c>
      <c r="C630" t="s">
        <v>3961</v>
      </c>
      <c r="D630" s="5" t="s">
        <v>57</v>
      </c>
      <c r="E630">
        <v>2035</v>
      </c>
      <c r="F630" s="6" t="str">
        <f t="shared" si="83"/>
        <v>*0.94</v>
      </c>
      <c r="H630" t="s">
        <v>3961</v>
      </c>
      <c r="I630" s="5" t="s">
        <v>57</v>
      </c>
      <c r="J630">
        <v>2050</v>
      </c>
      <c r="K630" s="38" t="str">
        <f t="shared" si="84"/>
        <v>*0.91</v>
      </c>
      <c r="P630" s="32" t="s">
        <v>3961</v>
      </c>
      <c r="Q630" s="42" t="s">
        <v>57</v>
      </c>
      <c r="R630" s="32">
        <v>2035</v>
      </c>
      <c r="S630" s="43" t="str">
        <f t="shared" si="85"/>
        <v>*0.93</v>
      </c>
      <c r="U630" s="32" t="s">
        <v>3961</v>
      </c>
      <c r="V630" s="42" t="s">
        <v>57</v>
      </c>
      <c r="W630" s="32">
        <v>2050</v>
      </c>
      <c r="X630" s="43" t="str">
        <f t="shared" si="86"/>
        <v>*0.9</v>
      </c>
      <c r="AC630" s="33" t="s">
        <v>3961</v>
      </c>
      <c r="AD630" s="44" t="s">
        <v>57</v>
      </c>
      <c r="AE630" s="33">
        <v>2035</v>
      </c>
      <c r="AF630" s="45" t="str">
        <f t="shared" si="87"/>
        <v>*0.9</v>
      </c>
      <c r="AG630" s="43" t="str">
        <f t="shared" si="90"/>
        <v>REZoning_Sol-Win</v>
      </c>
      <c r="AI630" s="33" t="s">
        <v>3961</v>
      </c>
      <c r="AJ630" s="44" t="s">
        <v>57</v>
      </c>
      <c r="AK630" s="33">
        <v>2050</v>
      </c>
      <c r="AL630" s="45" t="str">
        <f t="shared" si="88"/>
        <v>*0.86</v>
      </c>
      <c r="AM630" s="43" t="str">
        <f t="shared" si="91"/>
        <v>REZoning_Sol-Win</v>
      </c>
      <c r="AP630" t="s">
        <v>3961</v>
      </c>
      <c r="AQ630" t="s">
        <v>57</v>
      </c>
      <c r="AR630">
        <f t="shared" si="89"/>
        <v>2100</v>
      </c>
      <c r="AS630" t="s">
        <v>883</v>
      </c>
      <c r="AT630" t="s">
        <v>58</v>
      </c>
    </row>
    <row r="631" ht="29" spans="1:46">
      <c r="A631" s="31" t="s">
        <v>65</v>
      </c>
      <c r="C631" t="s">
        <v>3962</v>
      </c>
      <c r="D631" s="5" t="s">
        <v>57</v>
      </c>
      <c r="E631">
        <v>2035</v>
      </c>
      <c r="F631" s="6" t="str">
        <f t="shared" si="83"/>
        <v>*0.94</v>
      </c>
      <c r="H631" t="s">
        <v>3962</v>
      </c>
      <c r="I631" s="5" t="s">
        <v>57</v>
      </c>
      <c r="J631">
        <v>2050</v>
      </c>
      <c r="K631" s="38" t="str">
        <f t="shared" si="84"/>
        <v>*0.91</v>
      </c>
      <c r="P631" s="32" t="s">
        <v>3962</v>
      </c>
      <c r="Q631" s="42" t="s">
        <v>57</v>
      </c>
      <c r="R631" s="32">
        <v>2035</v>
      </c>
      <c r="S631" s="43" t="str">
        <f t="shared" si="85"/>
        <v>*0.93</v>
      </c>
      <c r="U631" s="32" t="s">
        <v>3962</v>
      </c>
      <c r="V631" s="42" t="s">
        <v>57</v>
      </c>
      <c r="W631" s="32">
        <v>2050</v>
      </c>
      <c r="X631" s="43" t="str">
        <f t="shared" si="86"/>
        <v>*0.9</v>
      </c>
      <c r="AC631" s="33" t="s">
        <v>3962</v>
      </c>
      <c r="AD631" s="44" t="s">
        <v>57</v>
      </c>
      <c r="AE631" s="33">
        <v>2035</v>
      </c>
      <c r="AF631" s="45" t="str">
        <f t="shared" si="87"/>
        <v>*0.9</v>
      </c>
      <c r="AG631" s="43" t="str">
        <f t="shared" si="90"/>
        <v>REZoning_Sol-Win</v>
      </c>
      <c r="AI631" s="33" t="s">
        <v>3962</v>
      </c>
      <c r="AJ631" s="44" t="s">
        <v>57</v>
      </c>
      <c r="AK631" s="33">
        <v>2050</v>
      </c>
      <c r="AL631" s="45" t="str">
        <f t="shared" si="88"/>
        <v>*0.86</v>
      </c>
      <c r="AM631" s="43" t="str">
        <f t="shared" si="91"/>
        <v>REZoning_Sol-Win</v>
      </c>
      <c r="AP631" t="s">
        <v>3962</v>
      </c>
      <c r="AQ631" t="s">
        <v>57</v>
      </c>
      <c r="AR631">
        <f t="shared" si="89"/>
        <v>2100</v>
      </c>
      <c r="AS631" t="s">
        <v>883</v>
      </c>
      <c r="AT631" t="s">
        <v>58</v>
      </c>
    </row>
    <row r="632" ht="29" spans="1:46">
      <c r="A632" s="31" t="s">
        <v>65</v>
      </c>
      <c r="C632" t="s">
        <v>3963</v>
      </c>
      <c r="D632" s="5" t="s">
        <v>57</v>
      </c>
      <c r="E632">
        <v>2035</v>
      </c>
      <c r="F632" s="6" t="str">
        <f t="shared" si="83"/>
        <v>*0.94</v>
      </c>
      <c r="H632" t="s">
        <v>3963</v>
      </c>
      <c r="I632" s="5" t="s">
        <v>57</v>
      </c>
      <c r="J632">
        <v>2050</v>
      </c>
      <c r="K632" s="38" t="str">
        <f t="shared" si="84"/>
        <v>*0.91</v>
      </c>
      <c r="P632" s="32" t="s">
        <v>3963</v>
      </c>
      <c r="Q632" s="42" t="s">
        <v>57</v>
      </c>
      <c r="R632" s="32">
        <v>2035</v>
      </c>
      <c r="S632" s="43" t="str">
        <f t="shared" si="85"/>
        <v>*0.93</v>
      </c>
      <c r="U632" s="32" t="s">
        <v>3963</v>
      </c>
      <c r="V632" s="42" t="s">
        <v>57</v>
      </c>
      <c r="W632" s="32">
        <v>2050</v>
      </c>
      <c r="X632" s="43" t="str">
        <f t="shared" si="86"/>
        <v>*0.9</v>
      </c>
      <c r="AC632" s="33" t="s">
        <v>3963</v>
      </c>
      <c r="AD632" s="44" t="s">
        <v>57</v>
      </c>
      <c r="AE632" s="33">
        <v>2035</v>
      </c>
      <c r="AF632" s="45" t="str">
        <f t="shared" si="87"/>
        <v>*0.9</v>
      </c>
      <c r="AG632" s="43" t="str">
        <f t="shared" si="90"/>
        <v>REZoning_Sol-Win</v>
      </c>
      <c r="AI632" s="33" t="s">
        <v>3963</v>
      </c>
      <c r="AJ632" s="44" t="s">
        <v>57</v>
      </c>
      <c r="AK632" s="33">
        <v>2050</v>
      </c>
      <c r="AL632" s="45" t="str">
        <f t="shared" si="88"/>
        <v>*0.86</v>
      </c>
      <c r="AM632" s="43" t="str">
        <f t="shared" si="91"/>
        <v>REZoning_Sol-Win</v>
      </c>
      <c r="AP632" t="s">
        <v>3963</v>
      </c>
      <c r="AQ632" t="s">
        <v>57</v>
      </c>
      <c r="AR632">
        <f t="shared" si="89"/>
        <v>2100</v>
      </c>
      <c r="AS632" t="s">
        <v>883</v>
      </c>
      <c r="AT632" t="s">
        <v>58</v>
      </c>
    </row>
    <row r="633" ht="29" spans="1:46">
      <c r="A633" s="31" t="s">
        <v>65</v>
      </c>
      <c r="C633" t="s">
        <v>3964</v>
      </c>
      <c r="D633" s="5" t="s">
        <v>57</v>
      </c>
      <c r="E633">
        <v>2035</v>
      </c>
      <c r="F633" s="6" t="str">
        <f t="shared" si="83"/>
        <v>*0.94</v>
      </c>
      <c r="H633" t="s">
        <v>3964</v>
      </c>
      <c r="I633" s="5" t="s">
        <v>57</v>
      </c>
      <c r="J633">
        <v>2050</v>
      </c>
      <c r="K633" s="38" t="str">
        <f t="shared" si="84"/>
        <v>*0.91</v>
      </c>
      <c r="P633" s="32" t="s">
        <v>3964</v>
      </c>
      <c r="Q633" s="42" t="s">
        <v>57</v>
      </c>
      <c r="R633" s="32">
        <v>2035</v>
      </c>
      <c r="S633" s="43" t="str">
        <f t="shared" si="85"/>
        <v>*0.93</v>
      </c>
      <c r="U633" s="32" t="s">
        <v>3964</v>
      </c>
      <c r="V633" s="42" t="s">
        <v>57</v>
      </c>
      <c r="W633" s="32">
        <v>2050</v>
      </c>
      <c r="X633" s="43" t="str">
        <f t="shared" si="86"/>
        <v>*0.9</v>
      </c>
      <c r="AC633" s="33" t="s">
        <v>3964</v>
      </c>
      <c r="AD633" s="44" t="s">
        <v>57</v>
      </c>
      <c r="AE633" s="33">
        <v>2035</v>
      </c>
      <c r="AF633" s="45" t="str">
        <f t="shared" si="87"/>
        <v>*0.9</v>
      </c>
      <c r="AG633" s="43" t="str">
        <f t="shared" si="90"/>
        <v>REZoning_Sol-Win</v>
      </c>
      <c r="AI633" s="33" t="s">
        <v>3964</v>
      </c>
      <c r="AJ633" s="44" t="s">
        <v>57</v>
      </c>
      <c r="AK633" s="33">
        <v>2050</v>
      </c>
      <c r="AL633" s="45" t="str">
        <f t="shared" si="88"/>
        <v>*0.86</v>
      </c>
      <c r="AM633" s="43" t="str">
        <f t="shared" si="91"/>
        <v>REZoning_Sol-Win</v>
      </c>
      <c r="AP633" t="s">
        <v>3964</v>
      </c>
      <c r="AQ633" t="s">
        <v>57</v>
      </c>
      <c r="AR633">
        <f t="shared" si="89"/>
        <v>2100</v>
      </c>
      <c r="AS633" t="s">
        <v>883</v>
      </c>
      <c r="AT633" t="s">
        <v>58</v>
      </c>
    </row>
    <row r="634" ht="29" spans="1:46">
      <c r="A634" s="31" t="s">
        <v>65</v>
      </c>
      <c r="C634" t="s">
        <v>3965</v>
      </c>
      <c r="D634" s="5" t="s">
        <v>57</v>
      </c>
      <c r="E634">
        <v>2035</v>
      </c>
      <c r="F634" s="6" t="str">
        <f t="shared" si="83"/>
        <v>*0.94</v>
      </c>
      <c r="H634" t="s">
        <v>3965</v>
      </c>
      <c r="I634" s="5" t="s">
        <v>57</v>
      </c>
      <c r="J634">
        <v>2050</v>
      </c>
      <c r="K634" s="38" t="str">
        <f t="shared" si="84"/>
        <v>*0.91</v>
      </c>
      <c r="P634" s="32" t="s">
        <v>3965</v>
      </c>
      <c r="Q634" s="42" t="s">
        <v>57</v>
      </c>
      <c r="R634" s="32">
        <v>2035</v>
      </c>
      <c r="S634" s="43" t="str">
        <f t="shared" si="85"/>
        <v>*0.93</v>
      </c>
      <c r="U634" s="32" t="s">
        <v>3965</v>
      </c>
      <c r="V634" s="42" t="s">
        <v>57</v>
      </c>
      <c r="W634" s="32">
        <v>2050</v>
      </c>
      <c r="X634" s="43" t="str">
        <f t="shared" si="86"/>
        <v>*0.9</v>
      </c>
      <c r="AC634" s="33" t="s">
        <v>3965</v>
      </c>
      <c r="AD634" s="44" t="s">
        <v>57</v>
      </c>
      <c r="AE634" s="33">
        <v>2035</v>
      </c>
      <c r="AF634" s="45" t="str">
        <f t="shared" si="87"/>
        <v>*0.9</v>
      </c>
      <c r="AG634" s="43" t="str">
        <f t="shared" si="90"/>
        <v>REZoning_Sol-Win</v>
      </c>
      <c r="AI634" s="33" t="s">
        <v>3965</v>
      </c>
      <c r="AJ634" s="44" t="s">
        <v>57</v>
      </c>
      <c r="AK634" s="33">
        <v>2050</v>
      </c>
      <c r="AL634" s="45" t="str">
        <f t="shared" si="88"/>
        <v>*0.86</v>
      </c>
      <c r="AM634" s="43" t="str">
        <f t="shared" si="91"/>
        <v>REZoning_Sol-Win</v>
      </c>
      <c r="AP634" t="s">
        <v>3965</v>
      </c>
      <c r="AQ634" t="s">
        <v>57</v>
      </c>
      <c r="AR634">
        <f t="shared" si="89"/>
        <v>2100</v>
      </c>
      <c r="AS634" t="s">
        <v>883</v>
      </c>
      <c r="AT634" t="s">
        <v>58</v>
      </c>
    </row>
    <row r="635" ht="29" spans="1:46">
      <c r="A635" s="31" t="s">
        <v>65</v>
      </c>
      <c r="C635" t="s">
        <v>3966</v>
      </c>
      <c r="D635" s="5" t="s">
        <v>57</v>
      </c>
      <c r="E635">
        <v>2035</v>
      </c>
      <c r="F635" s="6" t="str">
        <f t="shared" si="83"/>
        <v>*0.94</v>
      </c>
      <c r="H635" t="s">
        <v>3966</v>
      </c>
      <c r="I635" s="5" t="s">
        <v>57</v>
      </c>
      <c r="J635">
        <v>2050</v>
      </c>
      <c r="K635" s="38" t="str">
        <f t="shared" si="84"/>
        <v>*0.91</v>
      </c>
      <c r="P635" s="32" t="s">
        <v>3966</v>
      </c>
      <c r="Q635" s="42" t="s">
        <v>57</v>
      </c>
      <c r="R635" s="32">
        <v>2035</v>
      </c>
      <c r="S635" s="43" t="str">
        <f t="shared" si="85"/>
        <v>*0.93</v>
      </c>
      <c r="U635" s="32" t="s">
        <v>3966</v>
      </c>
      <c r="V635" s="42" t="s">
        <v>57</v>
      </c>
      <c r="W635" s="32">
        <v>2050</v>
      </c>
      <c r="X635" s="43" t="str">
        <f t="shared" si="86"/>
        <v>*0.9</v>
      </c>
      <c r="AC635" s="33" t="s">
        <v>3966</v>
      </c>
      <c r="AD635" s="44" t="s">
        <v>57</v>
      </c>
      <c r="AE635" s="33">
        <v>2035</v>
      </c>
      <c r="AF635" s="45" t="str">
        <f t="shared" si="87"/>
        <v>*0.9</v>
      </c>
      <c r="AG635" s="43" t="str">
        <f t="shared" si="90"/>
        <v>REZoning_Sol-Win</v>
      </c>
      <c r="AI635" s="33" t="s">
        <v>3966</v>
      </c>
      <c r="AJ635" s="44" t="s">
        <v>57</v>
      </c>
      <c r="AK635" s="33">
        <v>2050</v>
      </c>
      <c r="AL635" s="45" t="str">
        <f t="shared" si="88"/>
        <v>*0.86</v>
      </c>
      <c r="AM635" s="43" t="str">
        <f t="shared" si="91"/>
        <v>REZoning_Sol-Win</v>
      </c>
      <c r="AP635" t="s">
        <v>3966</v>
      </c>
      <c r="AQ635" t="s">
        <v>57</v>
      </c>
      <c r="AR635">
        <f t="shared" si="89"/>
        <v>2100</v>
      </c>
      <c r="AS635" t="s">
        <v>883</v>
      </c>
      <c r="AT635" t="s">
        <v>58</v>
      </c>
    </row>
    <row r="636" ht="29" spans="1:46">
      <c r="A636" s="31" t="s">
        <v>65</v>
      </c>
      <c r="C636" t="s">
        <v>3967</v>
      </c>
      <c r="D636" s="5" t="s">
        <v>57</v>
      </c>
      <c r="E636">
        <v>2035</v>
      </c>
      <c r="F636" s="6" t="str">
        <f t="shared" si="83"/>
        <v>*0.94</v>
      </c>
      <c r="H636" t="s">
        <v>3967</v>
      </c>
      <c r="I636" s="5" t="s">
        <v>57</v>
      </c>
      <c r="J636">
        <v>2050</v>
      </c>
      <c r="K636" s="38" t="str">
        <f t="shared" si="84"/>
        <v>*0.91</v>
      </c>
      <c r="P636" s="32" t="s">
        <v>3967</v>
      </c>
      <c r="Q636" s="42" t="s">
        <v>57</v>
      </c>
      <c r="R636" s="32">
        <v>2035</v>
      </c>
      <c r="S636" s="43" t="str">
        <f t="shared" si="85"/>
        <v>*0.93</v>
      </c>
      <c r="U636" s="32" t="s">
        <v>3967</v>
      </c>
      <c r="V636" s="42" t="s">
        <v>57</v>
      </c>
      <c r="W636" s="32">
        <v>2050</v>
      </c>
      <c r="X636" s="43" t="str">
        <f t="shared" si="86"/>
        <v>*0.9</v>
      </c>
      <c r="AC636" s="33" t="s">
        <v>3967</v>
      </c>
      <c r="AD636" s="44" t="s">
        <v>57</v>
      </c>
      <c r="AE636" s="33">
        <v>2035</v>
      </c>
      <c r="AF636" s="45" t="str">
        <f t="shared" si="87"/>
        <v>*0.9</v>
      </c>
      <c r="AG636" s="43" t="str">
        <f t="shared" si="90"/>
        <v>REZoning_Sol-Win</v>
      </c>
      <c r="AI636" s="33" t="s">
        <v>3967</v>
      </c>
      <c r="AJ636" s="44" t="s">
        <v>57</v>
      </c>
      <c r="AK636" s="33">
        <v>2050</v>
      </c>
      <c r="AL636" s="45" t="str">
        <f t="shared" si="88"/>
        <v>*0.86</v>
      </c>
      <c r="AM636" s="43" t="str">
        <f t="shared" si="91"/>
        <v>REZoning_Sol-Win</v>
      </c>
      <c r="AP636" t="s">
        <v>3967</v>
      </c>
      <c r="AQ636" t="s">
        <v>57</v>
      </c>
      <c r="AR636">
        <f t="shared" si="89"/>
        <v>2100</v>
      </c>
      <c r="AS636" t="s">
        <v>883</v>
      </c>
      <c r="AT636" t="s">
        <v>58</v>
      </c>
    </row>
    <row r="637" ht="29" spans="1:46">
      <c r="A637" s="31" t="s">
        <v>65</v>
      </c>
      <c r="C637" t="s">
        <v>3968</v>
      </c>
      <c r="D637" s="5" t="s">
        <v>57</v>
      </c>
      <c r="E637">
        <v>2035</v>
      </c>
      <c r="F637" s="6" t="str">
        <f t="shared" si="83"/>
        <v>*0.94</v>
      </c>
      <c r="H637" t="s">
        <v>3968</v>
      </c>
      <c r="I637" s="5" t="s">
        <v>57</v>
      </c>
      <c r="J637">
        <v>2050</v>
      </c>
      <c r="K637" s="38" t="str">
        <f t="shared" si="84"/>
        <v>*0.91</v>
      </c>
      <c r="P637" s="32" t="s">
        <v>3968</v>
      </c>
      <c r="Q637" s="42" t="s">
        <v>57</v>
      </c>
      <c r="R637" s="32">
        <v>2035</v>
      </c>
      <c r="S637" s="43" t="str">
        <f t="shared" si="85"/>
        <v>*0.93</v>
      </c>
      <c r="U637" s="32" t="s">
        <v>3968</v>
      </c>
      <c r="V637" s="42" t="s">
        <v>57</v>
      </c>
      <c r="W637" s="32">
        <v>2050</v>
      </c>
      <c r="X637" s="43" t="str">
        <f t="shared" si="86"/>
        <v>*0.9</v>
      </c>
      <c r="AC637" s="33" t="s">
        <v>3968</v>
      </c>
      <c r="AD637" s="44" t="s">
        <v>57</v>
      </c>
      <c r="AE637" s="33">
        <v>2035</v>
      </c>
      <c r="AF637" s="45" t="str">
        <f t="shared" si="87"/>
        <v>*0.9</v>
      </c>
      <c r="AG637" s="43" t="str">
        <f t="shared" si="90"/>
        <v>REZoning_Sol-Win</v>
      </c>
      <c r="AI637" s="33" t="s">
        <v>3968</v>
      </c>
      <c r="AJ637" s="44" t="s">
        <v>57</v>
      </c>
      <c r="AK637" s="33">
        <v>2050</v>
      </c>
      <c r="AL637" s="45" t="str">
        <f t="shared" si="88"/>
        <v>*0.86</v>
      </c>
      <c r="AM637" s="43" t="str">
        <f t="shared" si="91"/>
        <v>REZoning_Sol-Win</v>
      </c>
      <c r="AP637" t="s">
        <v>3968</v>
      </c>
      <c r="AQ637" t="s">
        <v>57</v>
      </c>
      <c r="AR637">
        <f t="shared" si="89"/>
        <v>2100</v>
      </c>
      <c r="AS637" t="s">
        <v>883</v>
      </c>
      <c r="AT637" t="s">
        <v>58</v>
      </c>
    </row>
    <row r="638" ht="29" spans="1:46">
      <c r="A638" s="31" t="s">
        <v>65</v>
      </c>
      <c r="C638" t="s">
        <v>3969</v>
      </c>
      <c r="D638" s="5" t="s">
        <v>57</v>
      </c>
      <c r="E638">
        <v>2035</v>
      </c>
      <c r="F638" s="6" t="str">
        <f t="shared" si="83"/>
        <v>*0.94</v>
      </c>
      <c r="H638" t="s">
        <v>3969</v>
      </c>
      <c r="I638" s="5" t="s">
        <v>57</v>
      </c>
      <c r="J638">
        <v>2050</v>
      </c>
      <c r="K638" s="38" t="str">
        <f t="shared" si="84"/>
        <v>*0.91</v>
      </c>
      <c r="P638" s="32" t="s">
        <v>3969</v>
      </c>
      <c r="Q638" s="42" t="s">
        <v>57</v>
      </c>
      <c r="R638" s="32">
        <v>2035</v>
      </c>
      <c r="S638" s="43" t="str">
        <f t="shared" si="85"/>
        <v>*0.93</v>
      </c>
      <c r="U638" s="32" t="s">
        <v>3969</v>
      </c>
      <c r="V638" s="42" t="s">
        <v>57</v>
      </c>
      <c r="W638" s="32">
        <v>2050</v>
      </c>
      <c r="X638" s="43" t="str">
        <f t="shared" si="86"/>
        <v>*0.9</v>
      </c>
      <c r="AC638" s="33" t="s">
        <v>3969</v>
      </c>
      <c r="AD638" s="44" t="s">
        <v>57</v>
      </c>
      <c r="AE638" s="33">
        <v>2035</v>
      </c>
      <c r="AF638" s="45" t="str">
        <f t="shared" si="87"/>
        <v>*0.9</v>
      </c>
      <c r="AG638" s="43" t="str">
        <f t="shared" si="90"/>
        <v>REZoning_Sol-Win</v>
      </c>
      <c r="AI638" s="33" t="s">
        <v>3969</v>
      </c>
      <c r="AJ638" s="44" t="s">
        <v>57</v>
      </c>
      <c r="AK638" s="33">
        <v>2050</v>
      </c>
      <c r="AL638" s="45" t="str">
        <f t="shared" si="88"/>
        <v>*0.86</v>
      </c>
      <c r="AM638" s="43" t="str">
        <f t="shared" si="91"/>
        <v>REZoning_Sol-Win</v>
      </c>
      <c r="AP638" t="s">
        <v>3969</v>
      </c>
      <c r="AQ638" t="s">
        <v>57</v>
      </c>
      <c r="AR638">
        <f t="shared" si="89"/>
        <v>2100</v>
      </c>
      <c r="AS638" t="s">
        <v>883</v>
      </c>
      <c r="AT638" t="s">
        <v>58</v>
      </c>
    </row>
    <row r="639" ht="29" spans="1:46">
      <c r="A639" s="31" t="s">
        <v>65</v>
      </c>
      <c r="C639" t="s">
        <v>3970</v>
      </c>
      <c r="D639" s="5" t="s">
        <v>57</v>
      </c>
      <c r="E639">
        <v>2035</v>
      </c>
      <c r="F639" s="6" t="str">
        <f t="shared" si="83"/>
        <v>*0.94</v>
      </c>
      <c r="H639" t="s">
        <v>3970</v>
      </c>
      <c r="I639" s="5" t="s">
        <v>57</v>
      </c>
      <c r="J639">
        <v>2050</v>
      </c>
      <c r="K639" s="38" t="str">
        <f t="shared" si="84"/>
        <v>*0.91</v>
      </c>
      <c r="P639" s="32" t="s">
        <v>3970</v>
      </c>
      <c r="Q639" s="42" t="s">
        <v>57</v>
      </c>
      <c r="R639" s="32">
        <v>2035</v>
      </c>
      <c r="S639" s="43" t="str">
        <f t="shared" si="85"/>
        <v>*0.93</v>
      </c>
      <c r="U639" s="32" t="s">
        <v>3970</v>
      </c>
      <c r="V639" s="42" t="s">
        <v>57</v>
      </c>
      <c r="W639" s="32">
        <v>2050</v>
      </c>
      <c r="X639" s="43" t="str">
        <f t="shared" si="86"/>
        <v>*0.9</v>
      </c>
      <c r="AC639" s="33" t="s">
        <v>3970</v>
      </c>
      <c r="AD639" s="44" t="s">
        <v>57</v>
      </c>
      <c r="AE639" s="33">
        <v>2035</v>
      </c>
      <c r="AF639" s="45" t="str">
        <f t="shared" si="87"/>
        <v>*0.9</v>
      </c>
      <c r="AG639" s="43" t="str">
        <f t="shared" si="90"/>
        <v>REZoning_Sol-Win</v>
      </c>
      <c r="AI639" s="33" t="s">
        <v>3970</v>
      </c>
      <c r="AJ639" s="44" t="s">
        <v>57</v>
      </c>
      <c r="AK639" s="33">
        <v>2050</v>
      </c>
      <c r="AL639" s="45" t="str">
        <f t="shared" si="88"/>
        <v>*0.86</v>
      </c>
      <c r="AM639" s="43" t="str">
        <f t="shared" si="91"/>
        <v>REZoning_Sol-Win</v>
      </c>
      <c r="AP639" t="s">
        <v>3970</v>
      </c>
      <c r="AQ639" t="s">
        <v>57</v>
      </c>
      <c r="AR639">
        <f t="shared" si="89"/>
        <v>2100</v>
      </c>
      <c r="AS639" t="s">
        <v>883</v>
      </c>
      <c r="AT639" t="s">
        <v>58</v>
      </c>
    </row>
    <row r="640" ht="29" spans="1:46">
      <c r="A640" s="31" t="s">
        <v>65</v>
      </c>
      <c r="C640" t="s">
        <v>3971</v>
      </c>
      <c r="D640" s="5" t="s">
        <v>57</v>
      </c>
      <c r="E640">
        <v>2035</v>
      </c>
      <c r="F640" s="6" t="str">
        <f t="shared" si="83"/>
        <v>*0.94</v>
      </c>
      <c r="H640" t="s">
        <v>3971</v>
      </c>
      <c r="I640" s="5" t="s">
        <v>57</v>
      </c>
      <c r="J640">
        <v>2050</v>
      </c>
      <c r="K640" s="38" t="str">
        <f t="shared" si="84"/>
        <v>*0.91</v>
      </c>
      <c r="P640" s="32" t="s">
        <v>3971</v>
      </c>
      <c r="Q640" s="42" t="s">
        <v>57</v>
      </c>
      <c r="R640" s="32">
        <v>2035</v>
      </c>
      <c r="S640" s="43" t="str">
        <f t="shared" si="85"/>
        <v>*0.93</v>
      </c>
      <c r="U640" s="32" t="s">
        <v>3971</v>
      </c>
      <c r="V640" s="42" t="s">
        <v>57</v>
      </c>
      <c r="W640" s="32">
        <v>2050</v>
      </c>
      <c r="X640" s="43" t="str">
        <f t="shared" si="86"/>
        <v>*0.9</v>
      </c>
      <c r="AC640" s="33" t="s">
        <v>3971</v>
      </c>
      <c r="AD640" s="44" t="s">
        <v>57</v>
      </c>
      <c r="AE640" s="33">
        <v>2035</v>
      </c>
      <c r="AF640" s="45" t="str">
        <f t="shared" si="87"/>
        <v>*0.9</v>
      </c>
      <c r="AG640" s="43" t="str">
        <f t="shared" si="90"/>
        <v>REZoning_Sol-Win</v>
      </c>
      <c r="AI640" s="33" t="s">
        <v>3971</v>
      </c>
      <c r="AJ640" s="44" t="s">
        <v>57</v>
      </c>
      <c r="AK640" s="33">
        <v>2050</v>
      </c>
      <c r="AL640" s="45" t="str">
        <f t="shared" si="88"/>
        <v>*0.86</v>
      </c>
      <c r="AM640" s="43" t="str">
        <f t="shared" si="91"/>
        <v>REZoning_Sol-Win</v>
      </c>
      <c r="AP640" t="s">
        <v>3971</v>
      </c>
      <c r="AQ640" t="s">
        <v>57</v>
      </c>
      <c r="AR640">
        <f t="shared" si="89"/>
        <v>2100</v>
      </c>
      <c r="AS640" t="s">
        <v>883</v>
      </c>
      <c r="AT640" t="s">
        <v>58</v>
      </c>
    </row>
    <row r="641" ht="29" spans="1:46">
      <c r="A641" s="31" t="s">
        <v>65</v>
      </c>
      <c r="C641" t="s">
        <v>3972</v>
      </c>
      <c r="D641" s="5" t="s">
        <v>57</v>
      </c>
      <c r="E641">
        <v>2035</v>
      </c>
      <c r="F641" s="6" t="str">
        <f t="shared" si="83"/>
        <v>*0.94</v>
      </c>
      <c r="H641" t="s">
        <v>3972</v>
      </c>
      <c r="I641" s="5" t="s">
        <v>57</v>
      </c>
      <c r="J641">
        <v>2050</v>
      </c>
      <c r="K641" s="38" t="str">
        <f t="shared" si="84"/>
        <v>*0.91</v>
      </c>
      <c r="P641" s="32" t="s">
        <v>3972</v>
      </c>
      <c r="Q641" s="42" t="s">
        <v>57</v>
      </c>
      <c r="R641" s="32">
        <v>2035</v>
      </c>
      <c r="S641" s="43" t="str">
        <f t="shared" si="85"/>
        <v>*0.93</v>
      </c>
      <c r="U641" s="32" t="s">
        <v>3972</v>
      </c>
      <c r="V641" s="42" t="s">
        <v>57</v>
      </c>
      <c r="W641" s="32">
        <v>2050</v>
      </c>
      <c r="X641" s="43" t="str">
        <f t="shared" si="86"/>
        <v>*0.9</v>
      </c>
      <c r="AC641" s="33" t="s">
        <v>3972</v>
      </c>
      <c r="AD641" s="44" t="s">
        <v>57</v>
      </c>
      <c r="AE641" s="33">
        <v>2035</v>
      </c>
      <c r="AF641" s="45" t="str">
        <f t="shared" si="87"/>
        <v>*0.9</v>
      </c>
      <c r="AG641" s="43" t="str">
        <f t="shared" si="90"/>
        <v>REZoning_Sol-Win</v>
      </c>
      <c r="AI641" s="33" t="s">
        <v>3972</v>
      </c>
      <c r="AJ641" s="44" t="s">
        <v>57</v>
      </c>
      <c r="AK641" s="33">
        <v>2050</v>
      </c>
      <c r="AL641" s="45" t="str">
        <f t="shared" si="88"/>
        <v>*0.86</v>
      </c>
      <c r="AM641" s="43" t="str">
        <f t="shared" si="91"/>
        <v>REZoning_Sol-Win</v>
      </c>
      <c r="AP641" t="s">
        <v>3972</v>
      </c>
      <c r="AQ641" t="s">
        <v>57</v>
      </c>
      <c r="AR641">
        <f t="shared" si="89"/>
        <v>2100</v>
      </c>
      <c r="AS641" t="s">
        <v>883</v>
      </c>
      <c r="AT641" t="s">
        <v>58</v>
      </c>
    </row>
    <row r="642" ht="29" spans="1:46">
      <c r="A642" s="31" t="s">
        <v>65</v>
      </c>
      <c r="C642" t="s">
        <v>3973</v>
      </c>
      <c r="D642" s="5" t="s">
        <v>57</v>
      </c>
      <c r="E642">
        <v>2035</v>
      </c>
      <c r="F642" s="6" t="str">
        <f t="shared" si="83"/>
        <v>*0.94</v>
      </c>
      <c r="H642" t="s">
        <v>3973</v>
      </c>
      <c r="I642" s="5" t="s">
        <v>57</v>
      </c>
      <c r="J642">
        <v>2050</v>
      </c>
      <c r="K642" s="38" t="str">
        <f t="shared" si="84"/>
        <v>*0.91</v>
      </c>
      <c r="P642" s="32" t="s">
        <v>3973</v>
      </c>
      <c r="Q642" s="42" t="s">
        <v>57</v>
      </c>
      <c r="R642" s="32">
        <v>2035</v>
      </c>
      <c r="S642" s="43" t="str">
        <f t="shared" si="85"/>
        <v>*0.93</v>
      </c>
      <c r="U642" s="32" t="s">
        <v>3973</v>
      </c>
      <c r="V642" s="42" t="s">
        <v>57</v>
      </c>
      <c r="W642" s="32">
        <v>2050</v>
      </c>
      <c r="X642" s="43" t="str">
        <f t="shared" si="86"/>
        <v>*0.9</v>
      </c>
      <c r="AC642" s="33" t="s">
        <v>3973</v>
      </c>
      <c r="AD642" s="44" t="s">
        <v>57</v>
      </c>
      <c r="AE642" s="33">
        <v>2035</v>
      </c>
      <c r="AF642" s="45" t="str">
        <f t="shared" si="87"/>
        <v>*0.9</v>
      </c>
      <c r="AG642" s="43" t="str">
        <f t="shared" si="90"/>
        <v>REZoning_Sol-Win</v>
      </c>
      <c r="AI642" s="33" t="s">
        <v>3973</v>
      </c>
      <c r="AJ642" s="44" t="s">
        <v>57</v>
      </c>
      <c r="AK642" s="33">
        <v>2050</v>
      </c>
      <c r="AL642" s="45" t="str">
        <f t="shared" si="88"/>
        <v>*0.86</v>
      </c>
      <c r="AM642" s="43" t="str">
        <f t="shared" si="91"/>
        <v>REZoning_Sol-Win</v>
      </c>
      <c r="AP642" t="s">
        <v>3973</v>
      </c>
      <c r="AQ642" t="s">
        <v>57</v>
      </c>
      <c r="AR642">
        <f t="shared" si="89"/>
        <v>2100</v>
      </c>
      <c r="AS642" t="s">
        <v>883</v>
      </c>
      <c r="AT642" t="s">
        <v>58</v>
      </c>
    </row>
    <row r="643" ht="29" spans="1:46">
      <c r="A643" s="31" t="s">
        <v>83</v>
      </c>
      <c r="C643" t="s">
        <v>3974</v>
      </c>
      <c r="D643" s="5" t="s">
        <v>57</v>
      </c>
      <c r="E643">
        <v>2035</v>
      </c>
      <c r="F643" s="6" t="str">
        <f t="shared" si="83"/>
        <v>*0.95</v>
      </c>
      <c r="H643" t="s">
        <v>3974</v>
      </c>
      <c r="I643" s="5" t="s">
        <v>57</v>
      </c>
      <c r="J643">
        <v>2050</v>
      </c>
      <c r="K643" s="38" t="str">
        <f t="shared" si="84"/>
        <v>*0.92</v>
      </c>
      <c r="P643" s="32" t="s">
        <v>3974</v>
      </c>
      <c r="Q643" s="42" t="s">
        <v>57</v>
      </c>
      <c r="R643" s="32">
        <v>2035</v>
      </c>
      <c r="S643" s="43" t="str">
        <f t="shared" si="85"/>
        <v>*0.95</v>
      </c>
      <c r="U643" s="32" t="s">
        <v>3974</v>
      </c>
      <c r="V643" s="42" t="s">
        <v>57</v>
      </c>
      <c r="W643" s="32">
        <v>2050</v>
      </c>
      <c r="X643" s="43" t="str">
        <f t="shared" si="86"/>
        <v>*0.92</v>
      </c>
      <c r="AC643" s="33" t="s">
        <v>3974</v>
      </c>
      <c r="AD643" s="44" t="s">
        <v>57</v>
      </c>
      <c r="AE643" s="33">
        <v>2035</v>
      </c>
      <c r="AF643" s="45" t="str">
        <f t="shared" si="87"/>
        <v>*0.93</v>
      </c>
      <c r="AG643" s="43" t="str">
        <f t="shared" si="90"/>
        <v>REZoning_Sol-Win</v>
      </c>
      <c r="AI643" s="33" t="s">
        <v>3974</v>
      </c>
      <c r="AJ643" s="44" t="s">
        <v>57</v>
      </c>
      <c r="AK643" s="33">
        <v>2050</v>
      </c>
      <c r="AL643" s="45" t="str">
        <f t="shared" si="88"/>
        <v>*0.89</v>
      </c>
      <c r="AM643" s="43" t="str">
        <f t="shared" si="91"/>
        <v>REZoning_Sol-Win</v>
      </c>
      <c r="AP643" t="s">
        <v>3974</v>
      </c>
      <c r="AQ643" t="s">
        <v>57</v>
      </c>
      <c r="AR643">
        <f t="shared" si="89"/>
        <v>2100</v>
      </c>
      <c r="AS643" t="s">
        <v>937</v>
      </c>
      <c r="AT643" t="s">
        <v>58</v>
      </c>
    </row>
    <row r="644" ht="29" spans="1:46">
      <c r="A644" s="31" t="s">
        <v>83</v>
      </c>
      <c r="C644" t="s">
        <v>3975</v>
      </c>
      <c r="D644" s="5" t="s">
        <v>57</v>
      </c>
      <c r="E644">
        <v>2035</v>
      </c>
      <c r="F644" s="6" t="str">
        <f t="shared" ref="F644:F707" si="92">"*"&amp;IF(AND(A644="EU",E644=2035),0.95,IF(AND(A644="EU",E644=2050),0.93,IF(AND(A644="USA",E644=2035),0.96,IF(AND(A644="USA",E644=2050),0.94,IF(AND(A644="Japan",E644=2035),0.94,IF(AND(A644="Japan",E644=2050),0.92,IF(AND(A644="Russia",E644=2035),0.95,IF(AND(A644="Russia",E644=2050),0.93,IF(AND(A644="China",E644=2035),0.94,IF(AND(A644="China",E644=2050),0.92,IF(AND(A644="India",E644=2035),0.95,IF(AND(A644="India",E644=2050),0.92,IF(AND(A644="Middle East",E644=2035),0.94,IF(AND(A644="Middle East",E644=2050),0.9,IF(AND(A644="Africa",E644=2035),0.94,IF(AND(A644="Africa",E644=2050),0.91,IF(AND(A644="Brazil",E644=2035),0.95,IF(AND(A644="Brazil",E644=2050),0.92,""))))))))))))))))))</f>
        <v>*0.95</v>
      </c>
      <c r="H644" t="s">
        <v>3975</v>
      </c>
      <c r="I644" s="5" t="s">
        <v>57</v>
      </c>
      <c r="J644">
        <v>2050</v>
      </c>
      <c r="K644" s="38" t="str">
        <f t="shared" ref="K644:K707" si="93">"*"&amp;IF(AND(A644="EU",J644=2035),0.95,IF(AND(A644="EU",J644=2050),0.93,IF(AND(A644="USA",J644=2035),0.96,IF(AND(A644="USA",J644=2050),0.94,IF(AND(A644="Japan",J644=2035),0.94,IF(AND(A644="Japan",J644=2050),0.92,IF(AND(A644="Russia",J644=2035),0.95,IF(AND(A644="Russia",J644=2050),0.93,IF(AND(A644="China",J644=2035),0.94,IF(AND(A644="China",J644=2050),0.92,IF(AND(A644="India",J644=2035),0.95,IF(AND(A644="India",J644=2050),0.92,IF(AND(A644="Middle East",J644=2035),0.94,IF(AND(A644="Middle East",J644=2050),0.9,IF(AND(A644="Africa",J644=2035),0.94,IF(AND(A644="Africa",J644=2050),0.91,IF(AND(A644="Brazil",J644=2035),0.95,IF(AND(A644="Brazil",J644=2050),0.92,""))))))))))))))))))</f>
        <v>*0.92</v>
      </c>
      <c r="P644" s="32" t="s">
        <v>3975</v>
      </c>
      <c r="Q644" s="42" t="s">
        <v>57</v>
      </c>
      <c r="R644" s="32">
        <v>2035</v>
      </c>
      <c r="S644" s="43" t="str">
        <f t="shared" ref="S644:S707" si="94">"*"&amp;IF(AND(A644="EU",R644=2035),0.95,IF(AND(A644="EU",R644=2050),0.93,IF(AND(A644="USA",R644=2035),0.96,IF(AND(A644="USA",R644=2050),0.93,IF(AND(A644="Japan",R644=2035),0.94,IF(AND(A644="Japan",R644=2050),0.92,IF(AND(A644="Russia",R644=2035),0.95,IF(AND(A644="Russia",R644=2050),0.91,IF(AND(A644="China",R644=2035),0.93,IF(AND(A644="China",R644=2050),0.92,IF(AND(A644="India",R644=2035),0.94,IF(AND(A644="India",R644=2050),0.91,IF(AND(A644="Middle East",R644=2035),0.92,IF(AND(A644="Middle East",R644=2050),0.89,IF(AND(A644="Africa",R644=2035),0.93,IF(AND(A644="Africa",R644=2050),0.9,IF(AND(A644="Brazil",R644=2035),0.95,IF(AND(A644="Brazil",R644=2050),0.92,""))))))))))))))))))</f>
        <v>*0.95</v>
      </c>
      <c r="U644" s="32" t="s">
        <v>3975</v>
      </c>
      <c r="V644" s="42" t="s">
        <v>57</v>
      </c>
      <c r="W644" s="32">
        <v>2050</v>
      </c>
      <c r="X644" s="43" t="str">
        <f t="shared" ref="X644:X707" si="95">"*"&amp;IF(AND(A644="EU",W644=2035),0.95,IF(AND(A644="EU",W644=2050),0.93,IF(AND(A644="USA",W644=2035),0.96,IF(AND(A644="USA",W644=2050),0.93,IF(AND(A644="Japan",W644=2035),0.94,IF(AND(A644="Japan",W644=2050),0.92,IF(AND(A644="Russia",W644=2035),0.95,IF(AND(A644="Russia",W644=2050),0.91,IF(AND(A644="China",W644=2035),0.93,IF(AND(A644="China",W644=2050),0.92,IF(AND(A644="India",W644=2035),0.94,IF(AND(A644="India",W644=2050),0.91,IF(AND(A644="Middle East",W644=2035),0.92,IF(AND(A644="Middle East",W644=2050),0.89,IF(AND(A644="Africa",W644=2035),0.93,IF(AND(A644="Africa",W644=2050),0.9,IF(AND(A644="Brazil",W644=2035),0.95,IF(AND(A644="Brazil",W644=2050),0.92,""))))))))))))))))))</f>
        <v>*0.92</v>
      </c>
      <c r="AC644" s="33" t="s">
        <v>3975</v>
      </c>
      <c r="AD644" s="44" t="s">
        <v>57</v>
      </c>
      <c r="AE644" s="33">
        <v>2035</v>
      </c>
      <c r="AF644" s="45" t="str">
        <f t="shared" ref="AF644:AF707" si="96">"*"&amp;IF(AND(A644="EU",AE644=2035),0.93,IF(AND(A644="EU",AE644=2050),0.9,IF(AND(A644="USA",AE644=2035),0.92,IF(AND(A644="USA",AE644=2050),0.89,IF(AND(A644="Japan",AE644=2035),0.92,IF(AND(A644="Japan",AE644=2050),0.89,IF(AND(A644="Russia",AE644=2035),0.91,IF(AND(A644="Russia",AE644=2050),0.86,IF(AND(A644="China",AE644=2035),0.91,IF(AND(A644="China",AE644=2050),0.87,IF(AND(A644="India",AE644=2035),0.92,IF(AND(A644="India",AE644=2050),0.87,IF(AND(A644="Middle East",AE644=2035),0.89,IF(AND(A644="Middle East",AE644=2050),0.84,IF(AND(A644="Africa",AE644=2035),0.9,IF(AND(A644="Africa",AE644=2050),0.86,IF(AND(A644="Brazil",AE644=2035),0.93,IF(AND(A644="Brazil",AE644=2050),0.89,""))))))))))))))))))</f>
        <v>*0.93</v>
      </c>
      <c r="AG644" s="43" t="str">
        <f t="shared" si="90"/>
        <v>REZoning_Sol-Win</v>
      </c>
      <c r="AI644" s="33" t="s">
        <v>3975</v>
      </c>
      <c r="AJ644" s="44" t="s">
        <v>57</v>
      </c>
      <c r="AK644" s="33">
        <v>2050</v>
      </c>
      <c r="AL644" s="45" t="str">
        <f t="shared" ref="AL644:AL707" si="97">"*"&amp;IF(AND(A644="EU",AK644=2035),0.93,IF(AND(A644="EU",AK644=2050),0.9,IF(AND(A644="USA",AK644=2035),0.92,IF(AND(A644="USA",AK644=2050),0.89,IF(AND(A644="Japan",AK644=2035),0.92,IF(AND(A644="Japan",AK644=2050),0.89,IF(AND(A644="Russia",AK644=2035),0.91,IF(AND(A644="Russia",AK644=2050),0.86,IF(AND(A644="China",AK644=2035),0.91,IF(AND(A644="China",AK644=2050),0.87,IF(AND(A644="India",AK644=2035),0.92,IF(AND(A644="India",AK644=2050),0.87,IF(AND(A644="Middle East",AK644=2035),0.89,IF(AND(A644="Middle East",AK644=2050),0.84,IF(AND(A644="Africa",AK644=2035),0.9,IF(AND(A644="Africa",AK644=2050),0.86,IF(AND(A644="Brazil",AK644=2035),0.93,IF(AND(A644="Brazil",AK644=2050),0.89,""))))))))))))))))))</f>
        <v>*0.89</v>
      </c>
      <c r="AM644" s="43" t="str">
        <f t="shared" si="91"/>
        <v>REZoning_Sol-Win</v>
      </c>
      <c r="AP644" t="s">
        <v>3975</v>
      </c>
      <c r="AQ644" t="s">
        <v>57</v>
      </c>
      <c r="AR644">
        <f t="shared" si="89"/>
        <v>2100</v>
      </c>
      <c r="AS644" t="s">
        <v>937</v>
      </c>
      <c r="AT644" t="s">
        <v>58</v>
      </c>
    </row>
    <row r="645" ht="29" spans="1:46">
      <c r="A645" s="31" t="s">
        <v>83</v>
      </c>
      <c r="C645" t="s">
        <v>3976</v>
      </c>
      <c r="D645" s="5" t="s">
        <v>57</v>
      </c>
      <c r="E645">
        <v>2035</v>
      </c>
      <c r="F645" s="6" t="str">
        <f t="shared" si="92"/>
        <v>*0.95</v>
      </c>
      <c r="H645" t="s">
        <v>3976</v>
      </c>
      <c r="I645" s="5" t="s">
        <v>57</v>
      </c>
      <c r="J645">
        <v>2050</v>
      </c>
      <c r="K645" s="38" t="str">
        <f t="shared" si="93"/>
        <v>*0.92</v>
      </c>
      <c r="P645" s="32" t="s">
        <v>3976</v>
      </c>
      <c r="Q645" s="42" t="s">
        <v>57</v>
      </c>
      <c r="R645" s="32">
        <v>2035</v>
      </c>
      <c r="S645" s="43" t="str">
        <f t="shared" si="94"/>
        <v>*0.95</v>
      </c>
      <c r="U645" s="32" t="s">
        <v>3976</v>
      </c>
      <c r="V645" s="42" t="s">
        <v>57</v>
      </c>
      <c r="W645" s="32">
        <v>2050</v>
      </c>
      <c r="X645" s="43" t="str">
        <f t="shared" si="95"/>
        <v>*0.92</v>
      </c>
      <c r="AC645" s="33" t="s">
        <v>3976</v>
      </c>
      <c r="AD645" s="44" t="s">
        <v>57</v>
      </c>
      <c r="AE645" s="33">
        <v>2035</v>
      </c>
      <c r="AF645" s="45" t="str">
        <f t="shared" si="96"/>
        <v>*0.93</v>
      </c>
      <c r="AG645" s="43" t="str">
        <f t="shared" si="90"/>
        <v>REZoning_Sol-Win</v>
      </c>
      <c r="AI645" s="33" t="s">
        <v>3976</v>
      </c>
      <c r="AJ645" s="44" t="s">
        <v>57</v>
      </c>
      <c r="AK645" s="33">
        <v>2050</v>
      </c>
      <c r="AL645" s="45" t="str">
        <f t="shared" si="97"/>
        <v>*0.89</v>
      </c>
      <c r="AM645" s="43" t="str">
        <f t="shared" si="91"/>
        <v>REZoning_Sol-Win</v>
      </c>
      <c r="AP645" t="s">
        <v>3976</v>
      </c>
      <c r="AQ645" t="s">
        <v>57</v>
      </c>
      <c r="AR645">
        <f t="shared" si="89"/>
        <v>2100</v>
      </c>
      <c r="AS645" t="s">
        <v>937</v>
      </c>
      <c r="AT645" t="s">
        <v>58</v>
      </c>
    </row>
    <row r="646" ht="29" spans="1:46">
      <c r="A646" s="31" t="s">
        <v>83</v>
      </c>
      <c r="C646" t="s">
        <v>3977</v>
      </c>
      <c r="D646" s="5" t="s">
        <v>57</v>
      </c>
      <c r="E646">
        <v>2035</v>
      </c>
      <c r="F646" s="6" t="str">
        <f t="shared" si="92"/>
        <v>*0.95</v>
      </c>
      <c r="H646" t="s">
        <v>3977</v>
      </c>
      <c r="I646" s="5" t="s">
        <v>57</v>
      </c>
      <c r="J646">
        <v>2050</v>
      </c>
      <c r="K646" s="38" t="str">
        <f t="shared" si="93"/>
        <v>*0.92</v>
      </c>
      <c r="P646" s="32" t="s">
        <v>3977</v>
      </c>
      <c r="Q646" s="42" t="s">
        <v>57</v>
      </c>
      <c r="R646" s="32">
        <v>2035</v>
      </c>
      <c r="S646" s="43" t="str">
        <f t="shared" si="94"/>
        <v>*0.95</v>
      </c>
      <c r="U646" s="32" t="s">
        <v>3977</v>
      </c>
      <c r="V646" s="42" t="s">
        <v>57</v>
      </c>
      <c r="W646" s="32">
        <v>2050</v>
      </c>
      <c r="X646" s="43" t="str">
        <f t="shared" si="95"/>
        <v>*0.92</v>
      </c>
      <c r="AC646" s="33" t="s">
        <v>3977</v>
      </c>
      <c r="AD646" s="44" t="s">
        <v>57</v>
      </c>
      <c r="AE646" s="33">
        <v>2035</v>
      </c>
      <c r="AF646" s="45" t="str">
        <f t="shared" si="96"/>
        <v>*0.93</v>
      </c>
      <c r="AG646" s="43" t="str">
        <f t="shared" si="90"/>
        <v>REZoning_Sol-Win</v>
      </c>
      <c r="AI646" s="33" t="s">
        <v>3977</v>
      </c>
      <c r="AJ646" s="44" t="s">
        <v>57</v>
      </c>
      <c r="AK646" s="33">
        <v>2050</v>
      </c>
      <c r="AL646" s="45" t="str">
        <f t="shared" si="97"/>
        <v>*0.89</v>
      </c>
      <c r="AM646" s="43" t="str">
        <f t="shared" si="91"/>
        <v>REZoning_Sol-Win</v>
      </c>
      <c r="AP646" t="s">
        <v>3977</v>
      </c>
      <c r="AQ646" t="s">
        <v>57</v>
      </c>
      <c r="AR646">
        <f t="shared" ref="AR646:AR709" si="98">AR645</f>
        <v>2100</v>
      </c>
      <c r="AS646" t="s">
        <v>937</v>
      </c>
      <c r="AT646" t="s">
        <v>58</v>
      </c>
    </row>
    <row r="647" ht="29" spans="1:46">
      <c r="A647" s="31" t="s">
        <v>83</v>
      </c>
      <c r="C647" t="s">
        <v>3978</v>
      </c>
      <c r="D647" s="5" t="s">
        <v>57</v>
      </c>
      <c r="E647">
        <v>2035</v>
      </c>
      <c r="F647" s="6" t="str">
        <f t="shared" si="92"/>
        <v>*0.95</v>
      </c>
      <c r="H647" t="s">
        <v>3978</v>
      </c>
      <c r="I647" s="5" t="s">
        <v>57</v>
      </c>
      <c r="J647">
        <v>2050</v>
      </c>
      <c r="K647" s="38" t="str">
        <f t="shared" si="93"/>
        <v>*0.92</v>
      </c>
      <c r="P647" s="32" t="s">
        <v>3978</v>
      </c>
      <c r="Q647" s="42" t="s">
        <v>57</v>
      </c>
      <c r="R647" s="32">
        <v>2035</v>
      </c>
      <c r="S647" s="43" t="str">
        <f t="shared" si="94"/>
        <v>*0.95</v>
      </c>
      <c r="U647" s="32" t="s">
        <v>3978</v>
      </c>
      <c r="V647" s="42" t="s">
        <v>57</v>
      </c>
      <c r="W647" s="32">
        <v>2050</v>
      </c>
      <c r="X647" s="43" t="str">
        <f t="shared" si="95"/>
        <v>*0.92</v>
      </c>
      <c r="AC647" s="33" t="s">
        <v>3978</v>
      </c>
      <c r="AD647" s="44" t="s">
        <v>57</v>
      </c>
      <c r="AE647" s="33">
        <v>2035</v>
      </c>
      <c r="AF647" s="45" t="str">
        <f t="shared" si="96"/>
        <v>*0.93</v>
      </c>
      <c r="AG647" s="43" t="str">
        <f t="shared" si="90"/>
        <v>REZoning_Sol-Win</v>
      </c>
      <c r="AI647" s="33" t="s">
        <v>3978</v>
      </c>
      <c r="AJ647" s="44" t="s">
        <v>57</v>
      </c>
      <c r="AK647" s="33">
        <v>2050</v>
      </c>
      <c r="AL647" s="45" t="str">
        <f t="shared" si="97"/>
        <v>*0.89</v>
      </c>
      <c r="AM647" s="43" t="str">
        <f t="shared" si="91"/>
        <v>REZoning_Sol-Win</v>
      </c>
      <c r="AP647" t="s">
        <v>3978</v>
      </c>
      <c r="AQ647" t="s">
        <v>57</v>
      </c>
      <c r="AR647">
        <f t="shared" si="98"/>
        <v>2100</v>
      </c>
      <c r="AS647" t="s">
        <v>937</v>
      </c>
      <c r="AT647" t="s">
        <v>58</v>
      </c>
    </row>
    <row r="648" ht="29" spans="1:46">
      <c r="A648" s="31" t="s">
        <v>83</v>
      </c>
      <c r="C648" t="s">
        <v>3979</v>
      </c>
      <c r="D648" s="5" t="s">
        <v>57</v>
      </c>
      <c r="E648">
        <v>2035</v>
      </c>
      <c r="F648" s="6" t="str">
        <f t="shared" si="92"/>
        <v>*0.95</v>
      </c>
      <c r="H648" t="s">
        <v>3979</v>
      </c>
      <c r="I648" s="5" t="s">
        <v>57</v>
      </c>
      <c r="J648">
        <v>2050</v>
      </c>
      <c r="K648" s="38" t="str">
        <f t="shared" si="93"/>
        <v>*0.92</v>
      </c>
      <c r="P648" s="32" t="s">
        <v>3979</v>
      </c>
      <c r="Q648" s="42" t="s">
        <v>57</v>
      </c>
      <c r="R648" s="32">
        <v>2035</v>
      </c>
      <c r="S648" s="43" t="str">
        <f t="shared" si="94"/>
        <v>*0.95</v>
      </c>
      <c r="U648" s="32" t="s">
        <v>3979</v>
      </c>
      <c r="V648" s="42" t="s">
        <v>57</v>
      </c>
      <c r="W648" s="32">
        <v>2050</v>
      </c>
      <c r="X648" s="43" t="str">
        <f t="shared" si="95"/>
        <v>*0.92</v>
      </c>
      <c r="AC648" s="33" t="s">
        <v>3979</v>
      </c>
      <c r="AD648" s="44" t="s">
        <v>57</v>
      </c>
      <c r="AE648" s="33">
        <v>2035</v>
      </c>
      <c r="AF648" s="45" t="str">
        <f t="shared" si="96"/>
        <v>*0.93</v>
      </c>
      <c r="AG648" s="43" t="str">
        <f t="shared" si="90"/>
        <v>REZoning_Sol-Win</v>
      </c>
      <c r="AI648" s="33" t="s">
        <v>3979</v>
      </c>
      <c r="AJ648" s="44" t="s">
        <v>57</v>
      </c>
      <c r="AK648" s="33">
        <v>2050</v>
      </c>
      <c r="AL648" s="45" t="str">
        <f t="shared" si="97"/>
        <v>*0.89</v>
      </c>
      <c r="AM648" s="43" t="str">
        <f t="shared" si="91"/>
        <v>REZoning_Sol-Win</v>
      </c>
      <c r="AP648" t="s">
        <v>3979</v>
      </c>
      <c r="AQ648" t="s">
        <v>57</v>
      </c>
      <c r="AR648">
        <f t="shared" si="98"/>
        <v>2100</v>
      </c>
      <c r="AS648" t="s">
        <v>937</v>
      </c>
      <c r="AT648" t="s">
        <v>58</v>
      </c>
    </row>
    <row r="649" ht="29" spans="1:46">
      <c r="A649" s="31" t="s">
        <v>83</v>
      </c>
      <c r="C649" t="s">
        <v>3980</v>
      </c>
      <c r="D649" s="5" t="s">
        <v>57</v>
      </c>
      <c r="E649">
        <v>2035</v>
      </c>
      <c r="F649" s="6" t="str">
        <f t="shared" si="92"/>
        <v>*0.95</v>
      </c>
      <c r="H649" t="s">
        <v>3980</v>
      </c>
      <c r="I649" s="5" t="s">
        <v>57</v>
      </c>
      <c r="J649">
        <v>2050</v>
      </c>
      <c r="K649" s="38" t="str">
        <f t="shared" si="93"/>
        <v>*0.92</v>
      </c>
      <c r="P649" s="32" t="s">
        <v>3980</v>
      </c>
      <c r="Q649" s="42" t="s">
        <v>57</v>
      </c>
      <c r="R649" s="32">
        <v>2035</v>
      </c>
      <c r="S649" s="43" t="str">
        <f t="shared" si="94"/>
        <v>*0.95</v>
      </c>
      <c r="U649" s="32" t="s">
        <v>3980</v>
      </c>
      <c r="V649" s="42" t="s">
        <v>57</v>
      </c>
      <c r="W649" s="32">
        <v>2050</v>
      </c>
      <c r="X649" s="43" t="str">
        <f t="shared" si="95"/>
        <v>*0.92</v>
      </c>
      <c r="AC649" s="33" t="s">
        <v>3980</v>
      </c>
      <c r="AD649" s="44" t="s">
        <v>57</v>
      </c>
      <c r="AE649" s="33">
        <v>2035</v>
      </c>
      <c r="AF649" s="45" t="str">
        <f t="shared" si="96"/>
        <v>*0.93</v>
      </c>
      <c r="AG649" s="43" t="str">
        <f t="shared" ref="AG649:AG712" si="99">AG648</f>
        <v>REZoning_Sol-Win</v>
      </c>
      <c r="AI649" s="33" t="s">
        <v>3980</v>
      </c>
      <c r="AJ649" s="44" t="s">
        <v>57</v>
      </c>
      <c r="AK649" s="33">
        <v>2050</v>
      </c>
      <c r="AL649" s="45" t="str">
        <f t="shared" si="97"/>
        <v>*0.89</v>
      </c>
      <c r="AM649" s="43" t="str">
        <f t="shared" ref="AM649:AM712" si="100">AM648</f>
        <v>REZoning_Sol-Win</v>
      </c>
      <c r="AP649" t="s">
        <v>3980</v>
      </c>
      <c r="AQ649" t="s">
        <v>57</v>
      </c>
      <c r="AR649">
        <f t="shared" si="98"/>
        <v>2100</v>
      </c>
      <c r="AS649" t="s">
        <v>937</v>
      </c>
      <c r="AT649" t="s">
        <v>58</v>
      </c>
    </row>
    <row r="650" ht="29" spans="1:46">
      <c r="A650" s="31" t="s">
        <v>83</v>
      </c>
      <c r="C650" t="s">
        <v>3981</v>
      </c>
      <c r="D650" s="5" t="s">
        <v>57</v>
      </c>
      <c r="E650">
        <v>2035</v>
      </c>
      <c r="F650" s="6" t="str">
        <f t="shared" si="92"/>
        <v>*0.95</v>
      </c>
      <c r="H650" t="s">
        <v>3981</v>
      </c>
      <c r="I650" s="5" t="s">
        <v>57</v>
      </c>
      <c r="J650">
        <v>2050</v>
      </c>
      <c r="K650" s="38" t="str">
        <f t="shared" si="93"/>
        <v>*0.92</v>
      </c>
      <c r="P650" s="32" t="s">
        <v>3981</v>
      </c>
      <c r="Q650" s="42" t="s">
        <v>57</v>
      </c>
      <c r="R650" s="32">
        <v>2035</v>
      </c>
      <c r="S650" s="43" t="str">
        <f t="shared" si="94"/>
        <v>*0.95</v>
      </c>
      <c r="U650" s="32" t="s">
        <v>3981</v>
      </c>
      <c r="V650" s="42" t="s">
        <v>57</v>
      </c>
      <c r="W650" s="32">
        <v>2050</v>
      </c>
      <c r="X650" s="43" t="str">
        <f t="shared" si="95"/>
        <v>*0.92</v>
      </c>
      <c r="AC650" s="33" t="s">
        <v>3981</v>
      </c>
      <c r="AD650" s="44" t="s">
        <v>57</v>
      </c>
      <c r="AE650" s="33">
        <v>2035</v>
      </c>
      <c r="AF650" s="45" t="str">
        <f t="shared" si="96"/>
        <v>*0.93</v>
      </c>
      <c r="AG650" s="43" t="str">
        <f t="shared" si="99"/>
        <v>REZoning_Sol-Win</v>
      </c>
      <c r="AI650" s="33" t="s">
        <v>3981</v>
      </c>
      <c r="AJ650" s="44" t="s">
        <v>57</v>
      </c>
      <c r="AK650" s="33">
        <v>2050</v>
      </c>
      <c r="AL650" s="45" t="str">
        <f t="shared" si="97"/>
        <v>*0.89</v>
      </c>
      <c r="AM650" s="43" t="str">
        <f t="shared" si="100"/>
        <v>REZoning_Sol-Win</v>
      </c>
      <c r="AP650" t="s">
        <v>3981</v>
      </c>
      <c r="AQ650" t="s">
        <v>57</v>
      </c>
      <c r="AR650">
        <f t="shared" si="98"/>
        <v>2100</v>
      </c>
      <c r="AS650" t="s">
        <v>937</v>
      </c>
      <c r="AT650" t="s">
        <v>58</v>
      </c>
    </row>
    <row r="651" ht="29" spans="1:46">
      <c r="A651" s="31" t="s">
        <v>83</v>
      </c>
      <c r="C651" t="s">
        <v>3982</v>
      </c>
      <c r="D651" s="5" t="s">
        <v>57</v>
      </c>
      <c r="E651">
        <v>2035</v>
      </c>
      <c r="F651" s="6" t="str">
        <f t="shared" si="92"/>
        <v>*0.95</v>
      </c>
      <c r="H651" t="s">
        <v>3982</v>
      </c>
      <c r="I651" s="5" t="s">
        <v>57</v>
      </c>
      <c r="J651">
        <v>2050</v>
      </c>
      <c r="K651" s="38" t="str">
        <f t="shared" si="93"/>
        <v>*0.92</v>
      </c>
      <c r="P651" s="32" t="s">
        <v>3982</v>
      </c>
      <c r="Q651" s="42" t="s">
        <v>57</v>
      </c>
      <c r="R651" s="32">
        <v>2035</v>
      </c>
      <c r="S651" s="43" t="str">
        <f t="shared" si="94"/>
        <v>*0.95</v>
      </c>
      <c r="U651" s="32" t="s">
        <v>3982</v>
      </c>
      <c r="V651" s="42" t="s">
        <v>57</v>
      </c>
      <c r="W651" s="32">
        <v>2050</v>
      </c>
      <c r="X651" s="43" t="str">
        <f t="shared" si="95"/>
        <v>*0.92</v>
      </c>
      <c r="AC651" s="33" t="s">
        <v>3982</v>
      </c>
      <c r="AD651" s="44" t="s">
        <v>57</v>
      </c>
      <c r="AE651" s="33">
        <v>2035</v>
      </c>
      <c r="AF651" s="45" t="str">
        <f t="shared" si="96"/>
        <v>*0.93</v>
      </c>
      <c r="AG651" s="43" t="str">
        <f t="shared" si="99"/>
        <v>REZoning_Sol-Win</v>
      </c>
      <c r="AI651" s="33" t="s">
        <v>3982</v>
      </c>
      <c r="AJ651" s="44" t="s">
        <v>57</v>
      </c>
      <c r="AK651" s="33">
        <v>2050</v>
      </c>
      <c r="AL651" s="45" t="str">
        <f t="shared" si="97"/>
        <v>*0.89</v>
      </c>
      <c r="AM651" s="43" t="str">
        <f t="shared" si="100"/>
        <v>REZoning_Sol-Win</v>
      </c>
      <c r="AP651" t="s">
        <v>3982</v>
      </c>
      <c r="AQ651" t="s">
        <v>57</v>
      </c>
      <c r="AR651">
        <f t="shared" si="98"/>
        <v>2100</v>
      </c>
      <c r="AS651" t="s">
        <v>937</v>
      </c>
      <c r="AT651" t="s">
        <v>58</v>
      </c>
    </row>
    <row r="652" ht="29" spans="1:46">
      <c r="A652" s="31" t="s">
        <v>83</v>
      </c>
      <c r="C652" t="s">
        <v>3983</v>
      </c>
      <c r="D652" s="5" t="s">
        <v>57</v>
      </c>
      <c r="E652">
        <v>2035</v>
      </c>
      <c r="F652" s="6" t="str">
        <f t="shared" si="92"/>
        <v>*0.95</v>
      </c>
      <c r="H652" t="s">
        <v>3983</v>
      </c>
      <c r="I652" s="5" t="s">
        <v>57</v>
      </c>
      <c r="J652">
        <v>2050</v>
      </c>
      <c r="K652" s="38" t="str">
        <f t="shared" si="93"/>
        <v>*0.92</v>
      </c>
      <c r="P652" s="32" t="s">
        <v>3983</v>
      </c>
      <c r="Q652" s="42" t="s">
        <v>57</v>
      </c>
      <c r="R652" s="32">
        <v>2035</v>
      </c>
      <c r="S652" s="43" t="str">
        <f t="shared" si="94"/>
        <v>*0.95</v>
      </c>
      <c r="U652" s="32" t="s">
        <v>3983</v>
      </c>
      <c r="V652" s="42" t="s">
        <v>57</v>
      </c>
      <c r="W652" s="32">
        <v>2050</v>
      </c>
      <c r="X652" s="43" t="str">
        <f t="shared" si="95"/>
        <v>*0.92</v>
      </c>
      <c r="AC652" s="33" t="s">
        <v>3983</v>
      </c>
      <c r="AD652" s="44" t="s">
        <v>57</v>
      </c>
      <c r="AE652" s="33">
        <v>2035</v>
      </c>
      <c r="AF652" s="45" t="str">
        <f t="shared" si="96"/>
        <v>*0.93</v>
      </c>
      <c r="AG652" s="43" t="str">
        <f t="shared" si="99"/>
        <v>REZoning_Sol-Win</v>
      </c>
      <c r="AI652" s="33" t="s">
        <v>3983</v>
      </c>
      <c r="AJ652" s="44" t="s">
        <v>57</v>
      </c>
      <c r="AK652" s="33">
        <v>2050</v>
      </c>
      <c r="AL652" s="45" t="str">
        <f t="shared" si="97"/>
        <v>*0.89</v>
      </c>
      <c r="AM652" s="43" t="str">
        <f t="shared" si="100"/>
        <v>REZoning_Sol-Win</v>
      </c>
      <c r="AP652" t="s">
        <v>3983</v>
      </c>
      <c r="AQ652" t="s">
        <v>57</v>
      </c>
      <c r="AR652">
        <f t="shared" si="98"/>
        <v>2100</v>
      </c>
      <c r="AS652" t="s">
        <v>937</v>
      </c>
      <c r="AT652" t="s">
        <v>58</v>
      </c>
    </row>
    <row r="653" ht="29" spans="1:46">
      <c r="A653" s="31" t="s">
        <v>83</v>
      </c>
      <c r="C653" t="s">
        <v>3984</v>
      </c>
      <c r="D653" s="5" t="s">
        <v>57</v>
      </c>
      <c r="E653">
        <v>2035</v>
      </c>
      <c r="F653" s="6" t="str">
        <f t="shared" si="92"/>
        <v>*0.95</v>
      </c>
      <c r="H653" t="s">
        <v>3984</v>
      </c>
      <c r="I653" s="5" t="s">
        <v>57</v>
      </c>
      <c r="J653">
        <v>2050</v>
      </c>
      <c r="K653" s="38" t="str">
        <f t="shared" si="93"/>
        <v>*0.92</v>
      </c>
      <c r="P653" s="32" t="s">
        <v>3984</v>
      </c>
      <c r="Q653" s="42" t="s">
        <v>57</v>
      </c>
      <c r="R653" s="32">
        <v>2035</v>
      </c>
      <c r="S653" s="43" t="str">
        <f t="shared" si="94"/>
        <v>*0.95</v>
      </c>
      <c r="U653" s="32" t="s">
        <v>3984</v>
      </c>
      <c r="V653" s="42" t="s">
        <v>57</v>
      </c>
      <c r="W653" s="32">
        <v>2050</v>
      </c>
      <c r="X653" s="43" t="str">
        <f t="shared" si="95"/>
        <v>*0.92</v>
      </c>
      <c r="AC653" s="33" t="s">
        <v>3984</v>
      </c>
      <c r="AD653" s="44" t="s">
        <v>57</v>
      </c>
      <c r="AE653" s="33">
        <v>2035</v>
      </c>
      <c r="AF653" s="45" t="str">
        <f t="shared" si="96"/>
        <v>*0.93</v>
      </c>
      <c r="AG653" s="43" t="str">
        <f t="shared" si="99"/>
        <v>REZoning_Sol-Win</v>
      </c>
      <c r="AI653" s="33" t="s">
        <v>3984</v>
      </c>
      <c r="AJ653" s="44" t="s">
        <v>57</v>
      </c>
      <c r="AK653" s="33">
        <v>2050</v>
      </c>
      <c r="AL653" s="45" t="str">
        <f t="shared" si="97"/>
        <v>*0.89</v>
      </c>
      <c r="AM653" s="43" t="str">
        <f t="shared" si="100"/>
        <v>REZoning_Sol-Win</v>
      </c>
      <c r="AP653" t="s">
        <v>3984</v>
      </c>
      <c r="AQ653" t="s">
        <v>57</v>
      </c>
      <c r="AR653">
        <f t="shared" si="98"/>
        <v>2100</v>
      </c>
      <c r="AS653" t="s">
        <v>937</v>
      </c>
      <c r="AT653" t="s">
        <v>58</v>
      </c>
    </row>
    <row r="654" ht="29" spans="1:46">
      <c r="A654" s="31" t="s">
        <v>83</v>
      </c>
      <c r="C654" t="s">
        <v>3985</v>
      </c>
      <c r="D654" s="5" t="s">
        <v>57</v>
      </c>
      <c r="E654">
        <v>2035</v>
      </c>
      <c r="F654" s="6" t="str">
        <f t="shared" si="92"/>
        <v>*0.95</v>
      </c>
      <c r="H654" t="s">
        <v>3985</v>
      </c>
      <c r="I654" s="5" t="s">
        <v>57</v>
      </c>
      <c r="J654">
        <v>2050</v>
      </c>
      <c r="K654" s="38" t="str">
        <f t="shared" si="93"/>
        <v>*0.92</v>
      </c>
      <c r="P654" s="32" t="s">
        <v>3985</v>
      </c>
      <c r="Q654" s="42" t="s">
        <v>57</v>
      </c>
      <c r="R654" s="32">
        <v>2035</v>
      </c>
      <c r="S654" s="43" t="str">
        <f t="shared" si="94"/>
        <v>*0.95</v>
      </c>
      <c r="U654" s="32" t="s">
        <v>3985</v>
      </c>
      <c r="V654" s="42" t="s">
        <v>57</v>
      </c>
      <c r="W654" s="32">
        <v>2050</v>
      </c>
      <c r="X654" s="43" t="str">
        <f t="shared" si="95"/>
        <v>*0.92</v>
      </c>
      <c r="AC654" s="33" t="s">
        <v>3985</v>
      </c>
      <c r="AD654" s="44" t="s">
        <v>57</v>
      </c>
      <c r="AE654" s="33">
        <v>2035</v>
      </c>
      <c r="AF654" s="45" t="str">
        <f t="shared" si="96"/>
        <v>*0.93</v>
      </c>
      <c r="AG654" s="43" t="str">
        <f t="shared" si="99"/>
        <v>REZoning_Sol-Win</v>
      </c>
      <c r="AI654" s="33" t="s">
        <v>3985</v>
      </c>
      <c r="AJ654" s="44" t="s">
        <v>57</v>
      </c>
      <c r="AK654" s="33">
        <v>2050</v>
      </c>
      <c r="AL654" s="45" t="str">
        <f t="shared" si="97"/>
        <v>*0.89</v>
      </c>
      <c r="AM654" s="43" t="str">
        <f t="shared" si="100"/>
        <v>REZoning_Sol-Win</v>
      </c>
      <c r="AP654" t="s">
        <v>3985</v>
      </c>
      <c r="AQ654" t="s">
        <v>57</v>
      </c>
      <c r="AR654">
        <f t="shared" si="98"/>
        <v>2100</v>
      </c>
      <c r="AS654" t="s">
        <v>937</v>
      </c>
      <c r="AT654" t="s">
        <v>58</v>
      </c>
    </row>
    <row r="655" ht="29" spans="1:46">
      <c r="A655" s="31" t="s">
        <v>83</v>
      </c>
      <c r="C655" t="s">
        <v>3986</v>
      </c>
      <c r="D655" s="5" t="s">
        <v>57</v>
      </c>
      <c r="E655">
        <v>2035</v>
      </c>
      <c r="F655" s="6" t="str">
        <f t="shared" si="92"/>
        <v>*0.95</v>
      </c>
      <c r="H655" t="s">
        <v>3986</v>
      </c>
      <c r="I655" s="5" t="s">
        <v>57</v>
      </c>
      <c r="J655">
        <v>2050</v>
      </c>
      <c r="K655" s="38" t="str">
        <f t="shared" si="93"/>
        <v>*0.92</v>
      </c>
      <c r="P655" s="32" t="s">
        <v>3986</v>
      </c>
      <c r="Q655" s="42" t="s">
        <v>57</v>
      </c>
      <c r="R655" s="32">
        <v>2035</v>
      </c>
      <c r="S655" s="43" t="str">
        <f t="shared" si="94"/>
        <v>*0.95</v>
      </c>
      <c r="U655" s="32" t="s">
        <v>3986</v>
      </c>
      <c r="V655" s="42" t="s">
        <v>57</v>
      </c>
      <c r="W655" s="32">
        <v>2050</v>
      </c>
      <c r="X655" s="43" t="str">
        <f t="shared" si="95"/>
        <v>*0.92</v>
      </c>
      <c r="AC655" s="33" t="s">
        <v>3986</v>
      </c>
      <c r="AD655" s="44" t="s">
        <v>57</v>
      </c>
      <c r="AE655" s="33">
        <v>2035</v>
      </c>
      <c r="AF655" s="45" t="str">
        <f t="shared" si="96"/>
        <v>*0.93</v>
      </c>
      <c r="AG655" s="43" t="str">
        <f t="shared" si="99"/>
        <v>REZoning_Sol-Win</v>
      </c>
      <c r="AI655" s="33" t="s">
        <v>3986</v>
      </c>
      <c r="AJ655" s="44" t="s">
        <v>57</v>
      </c>
      <c r="AK655" s="33">
        <v>2050</v>
      </c>
      <c r="AL655" s="45" t="str">
        <f t="shared" si="97"/>
        <v>*0.89</v>
      </c>
      <c r="AM655" s="43" t="str">
        <f t="shared" si="100"/>
        <v>REZoning_Sol-Win</v>
      </c>
      <c r="AP655" t="s">
        <v>3986</v>
      </c>
      <c r="AQ655" t="s">
        <v>57</v>
      </c>
      <c r="AR655">
        <f t="shared" si="98"/>
        <v>2100</v>
      </c>
      <c r="AS655" t="s">
        <v>937</v>
      </c>
      <c r="AT655" t="s">
        <v>58</v>
      </c>
    </row>
    <row r="656" ht="29" spans="1:46">
      <c r="A656" s="31" t="s">
        <v>83</v>
      </c>
      <c r="C656" t="s">
        <v>3987</v>
      </c>
      <c r="D656" s="5" t="s">
        <v>57</v>
      </c>
      <c r="E656">
        <v>2035</v>
      </c>
      <c r="F656" s="6" t="str">
        <f t="shared" si="92"/>
        <v>*0.95</v>
      </c>
      <c r="H656" t="s">
        <v>3987</v>
      </c>
      <c r="I656" s="5" t="s">
        <v>57</v>
      </c>
      <c r="J656">
        <v>2050</v>
      </c>
      <c r="K656" s="38" t="str">
        <f t="shared" si="93"/>
        <v>*0.92</v>
      </c>
      <c r="P656" s="32" t="s">
        <v>3987</v>
      </c>
      <c r="Q656" s="42" t="s">
        <v>57</v>
      </c>
      <c r="R656" s="32">
        <v>2035</v>
      </c>
      <c r="S656" s="43" t="str">
        <f t="shared" si="94"/>
        <v>*0.95</v>
      </c>
      <c r="U656" s="32" t="s">
        <v>3987</v>
      </c>
      <c r="V656" s="42" t="s">
        <v>57</v>
      </c>
      <c r="W656" s="32">
        <v>2050</v>
      </c>
      <c r="X656" s="43" t="str">
        <f t="shared" si="95"/>
        <v>*0.92</v>
      </c>
      <c r="AC656" s="33" t="s">
        <v>3987</v>
      </c>
      <c r="AD656" s="44" t="s">
        <v>57</v>
      </c>
      <c r="AE656" s="33">
        <v>2035</v>
      </c>
      <c r="AF656" s="45" t="str">
        <f t="shared" si="96"/>
        <v>*0.93</v>
      </c>
      <c r="AG656" s="43" t="str">
        <f t="shared" si="99"/>
        <v>REZoning_Sol-Win</v>
      </c>
      <c r="AI656" s="33" t="s">
        <v>3987</v>
      </c>
      <c r="AJ656" s="44" t="s">
        <v>57</v>
      </c>
      <c r="AK656" s="33">
        <v>2050</v>
      </c>
      <c r="AL656" s="45" t="str">
        <f t="shared" si="97"/>
        <v>*0.89</v>
      </c>
      <c r="AM656" s="43" t="str">
        <f t="shared" si="100"/>
        <v>REZoning_Sol-Win</v>
      </c>
      <c r="AP656" t="s">
        <v>3987</v>
      </c>
      <c r="AQ656" t="s">
        <v>57</v>
      </c>
      <c r="AR656">
        <f t="shared" si="98"/>
        <v>2100</v>
      </c>
      <c r="AS656" t="s">
        <v>937</v>
      </c>
      <c r="AT656" t="s">
        <v>58</v>
      </c>
    </row>
    <row r="657" ht="29" spans="1:46">
      <c r="A657" s="31" t="s">
        <v>73</v>
      </c>
      <c r="C657" t="s">
        <v>3988</v>
      </c>
      <c r="D657" s="5" t="s">
        <v>57</v>
      </c>
      <c r="E657">
        <v>2035</v>
      </c>
      <c r="F657" s="6" t="str">
        <f t="shared" si="92"/>
        <v>*0.95</v>
      </c>
      <c r="H657" t="s">
        <v>3988</v>
      </c>
      <c r="I657" s="5" t="s">
        <v>57</v>
      </c>
      <c r="J657">
        <v>2050</v>
      </c>
      <c r="K657" s="38" t="str">
        <f t="shared" si="93"/>
        <v>*0.93</v>
      </c>
      <c r="P657" s="32" t="s">
        <v>3988</v>
      </c>
      <c r="Q657" s="42" t="s">
        <v>57</v>
      </c>
      <c r="R657" s="32">
        <v>2035</v>
      </c>
      <c r="S657" s="43" t="str">
        <f t="shared" si="94"/>
        <v>*0.95</v>
      </c>
      <c r="U657" s="32" t="s">
        <v>3988</v>
      </c>
      <c r="V657" s="42" t="s">
        <v>57</v>
      </c>
      <c r="W657" s="32">
        <v>2050</v>
      </c>
      <c r="X657" s="43" t="str">
        <f t="shared" si="95"/>
        <v>*0.93</v>
      </c>
      <c r="AC657" s="33" t="s">
        <v>3988</v>
      </c>
      <c r="AD657" s="44" t="s">
        <v>57</v>
      </c>
      <c r="AE657" s="33">
        <v>2035</v>
      </c>
      <c r="AF657" s="45" t="str">
        <f t="shared" si="96"/>
        <v>*0.93</v>
      </c>
      <c r="AG657" s="43" t="str">
        <f t="shared" si="99"/>
        <v>REZoning_Sol-Win</v>
      </c>
      <c r="AI657" s="33" t="s">
        <v>3988</v>
      </c>
      <c r="AJ657" s="44" t="s">
        <v>57</v>
      </c>
      <c r="AK657" s="33">
        <v>2050</v>
      </c>
      <c r="AL657" s="45" t="str">
        <f t="shared" si="97"/>
        <v>*0.9</v>
      </c>
      <c r="AM657" s="43" t="str">
        <f t="shared" si="100"/>
        <v>REZoning_Sol-Win</v>
      </c>
      <c r="AP657" t="s">
        <v>3988</v>
      </c>
      <c r="AQ657" t="s">
        <v>57</v>
      </c>
      <c r="AR657">
        <f t="shared" si="98"/>
        <v>2100</v>
      </c>
      <c r="AS657" t="s">
        <v>897</v>
      </c>
      <c r="AT657" t="s">
        <v>58</v>
      </c>
    </row>
    <row r="658" ht="29" spans="1:46">
      <c r="A658" s="31" t="s">
        <v>73</v>
      </c>
      <c r="C658" t="s">
        <v>3989</v>
      </c>
      <c r="D658" s="5" t="s">
        <v>57</v>
      </c>
      <c r="E658">
        <v>2035</v>
      </c>
      <c r="F658" s="6" t="str">
        <f t="shared" si="92"/>
        <v>*0.95</v>
      </c>
      <c r="H658" t="s">
        <v>3989</v>
      </c>
      <c r="I658" s="5" t="s">
        <v>57</v>
      </c>
      <c r="J658">
        <v>2050</v>
      </c>
      <c r="K658" s="38" t="str">
        <f t="shared" si="93"/>
        <v>*0.93</v>
      </c>
      <c r="P658" s="32" t="s">
        <v>3989</v>
      </c>
      <c r="Q658" s="42" t="s">
        <v>57</v>
      </c>
      <c r="R658" s="32">
        <v>2035</v>
      </c>
      <c r="S658" s="43" t="str">
        <f t="shared" si="94"/>
        <v>*0.95</v>
      </c>
      <c r="U658" s="32" t="s">
        <v>3989</v>
      </c>
      <c r="V658" s="42" t="s">
        <v>57</v>
      </c>
      <c r="W658" s="32">
        <v>2050</v>
      </c>
      <c r="X658" s="43" t="str">
        <f t="shared" si="95"/>
        <v>*0.93</v>
      </c>
      <c r="AC658" s="33" t="s">
        <v>3989</v>
      </c>
      <c r="AD658" s="44" t="s">
        <v>57</v>
      </c>
      <c r="AE658" s="33">
        <v>2035</v>
      </c>
      <c r="AF658" s="45" t="str">
        <f t="shared" si="96"/>
        <v>*0.93</v>
      </c>
      <c r="AG658" s="43" t="str">
        <f t="shared" si="99"/>
        <v>REZoning_Sol-Win</v>
      </c>
      <c r="AI658" s="33" t="s">
        <v>3989</v>
      </c>
      <c r="AJ658" s="44" t="s">
        <v>57</v>
      </c>
      <c r="AK658" s="33">
        <v>2050</v>
      </c>
      <c r="AL658" s="45" t="str">
        <f t="shared" si="97"/>
        <v>*0.9</v>
      </c>
      <c r="AM658" s="43" t="str">
        <f t="shared" si="100"/>
        <v>REZoning_Sol-Win</v>
      </c>
      <c r="AP658" t="s">
        <v>3989</v>
      </c>
      <c r="AQ658" t="s">
        <v>57</v>
      </c>
      <c r="AR658">
        <f t="shared" si="98"/>
        <v>2100</v>
      </c>
      <c r="AS658" t="s">
        <v>897</v>
      </c>
      <c r="AT658" t="s">
        <v>58</v>
      </c>
    </row>
    <row r="659" ht="29" spans="1:46">
      <c r="A659" s="31" t="s">
        <v>65</v>
      </c>
      <c r="C659" t="s">
        <v>3990</v>
      </c>
      <c r="D659" s="5" t="s">
        <v>57</v>
      </c>
      <c r="E659">
        <v>2035</v>
      </c>
      <c r="F659" s="6" t="str">
        <f t="shared" si="92"/>
        <v>*0.94</v>
      </c>
      <c r="H659" t="s">
        <v>3990</v>
      </c>
      <c r="I659" s="5" t="s">
        <v>57</v>
      </c>
      <c r="J659">
        <v>2050</v>
      </c>
      <c r="K659" s="38" t="str">
        <f t="shared" si="93"/>
        <v>*0.91</v>
      </c>
      <c r="P659" s="32" t="s">
        <v>3990</v>
      </c>
      <c r="Q659" s="42" t="s">
        <v>57</v>
      </c>
      <c r="R659" s="32">
        <v>2035</v>
      </c>
      <c r="S659" s="43" t="str">
        <f t="shared" si="94"/>
        <v>*0.93</v>
      </c>
      <c r="U659" s="32" t="s">
        <v>3990</v>
      </c>
      <c r="V659" s="42" t="s">
        <v>57</v>
      </c>
      <c r="W659" s="32">
        <v>2050</v>
      </c>
      <c r="X659" s="43" t="str">
        <f t="shared" si="95"/>
        <v>*0.9</v>
      </c>
      <c r="AC659" s="33" t="s">
        <v>3990</v>
      </c>
      <c r="AD659" s="44" t="s">
        <v>57</v>
      </c>
      <c r="AE659" s="33">
        <v>2035</v>
      </c>
      <c r="AF659" s="45" t="str">
        <f t="shared" si="96"/>
        <v>*0.9</v>
      </c>
      <c r="AG659" s="43" t="str">
        <f t="shared" si="99"/>
        <v>REZoning_Sol-Win</v>
      </c>
      <c r="AI659" s="33" t="s">
        <v>3990</v>
      </c>
      <c r="AJ659" s="44" t="s">
        <v>57</v>
      </c>
      <c r="AK659" s="33">
        <v>2050</v>
      </c>
      <c r="AL659" s="45" t="str">
        <f t="shared" si="97"/>
        <v>*0.86</v>
      </c>
      <c r="AM659" s="43" t="str">
        <f t="shared" si="100"/>
        <v>REZoning_Sol-Win</v>
      </c>
      <c r="AP659" t="s">
        <v>3990</v>
      </c>
      <c r="AQ659" t="s">
        <v>57</v>
      </c>
      <c r="AR659">
        <f t="shared" si="98"/>
        <v>2100</v>
      </c>
      <c r="AS659" t="s">
        <v>883</v>
      </c>
      <c r="AT659" t="s">
        <v>58</v>
      </c>
    </row>
    <row r="660" ht="29" spans="1:46">
      <c r="A660" s="31" t="s">
        <v>65</v>
      </c>
      <c r="C660" t="s">
        <v>3991</v>
      </c>
      <c r="D660" s="5" t="s">
        <v>57</v>
      </c>
      <c r="E660">
        <v>2035</v>
      </c>
      <c r="F660" s="6" t="str">
        <f t="shared" si="92"/>
        <v>*0.94</v>
      </c>
      <c r="H660" t="s">
        <v>3991</v>
      </c>
      <c r="I660" s="5" t="s">
        <v>57</v>
      </c>
      <c r="J660">
        <v>2050</v>
      </c>
      <c r="K660" s="38" t="str">
        <f t="shared" si="93"/>
        <v>*0.91</v>
      </c>
      <c r="P660" s="32" t="s">
        <v>3991</v>
      </c>
      <c r="Q660" s="42" t="s">
        <v>57</v>
      </c>
      <c r="R660" s="32">
        <v>2035</v>
      </c>
      <c r="S660" s="43" t="str">
        <f t="shared" si="94"/>
        <v>*0.93</v>
      </c>
      <c r="U660" s="32" t="s">
        <v>3991</v>
      </c>
      <c r="V660" s="42" t="s">
        <v>57</v>
      </c>
      <c r="W660" s="32">
        <v>2050</v>
      </c>
      <c r="X660" s="43" t="str">
        <f t="shared" si="95"/>
        <v>*0.9</v>
      </c>
      <c r="AC660" s="33" t="s">
        <v>3991</v>
      </c>
      <c r="AD660" s="44" t="s">
        <v>57</v>
      </c>
      <c r="AE660" s="33">
        <v>2035</v>
      </c>
      <c r="AF660" s="45" t="str">
        <f t="shared" si="96"/>
        <v>*0.9</v>
      </c>
      <c r="AG660" s="43" t="str">
        <f t="shared" si="99"/>
        <v>REZoning_Sol-Win</v>
      </c>
      <c r="AI660" s="33" t="s">
        <v>3991</v>
      </c>
      <c r="AJ660" s="44" t="s">
        <v>57</v>
      </c>
      <c r="AK660" s="33">
        <v>2050</v>
      </c>
      <c r="AL660" s="45" t="str">
        <f t="shared" si="97"/>
        <v>*0.86</v>
      </c>
      <c r="AM660" s="43" t="str">
        <f t="shared" si="100"/>
        <v>REZoning_Sol-Win</v>
      </c>
      <c r="AP660" t="s">
        <v>3991</v>
      </c>
      <c r="AQ660" t="s">
        <v>57</v>
      </c>
      <c r="AR660">
        <f t="shared" si="98"/>
        <v>2100</v>
      </c>
      <c r="AS660" t="s">
        <v>883</v>
      </c>
      <c r="AT660" t="s">
        <v>58</v>
      </c>
    </row>
    <row r="661" ht="29" spans="1:46">
      <c r="A661" s="31" t="s">
        <v>65</v>
      </c>
      <c r="C661" t="s">
        <v>3992</v>
      </c>
      <c r="D661" s="5" t="s">
        <v>57</v>
      </c>
      <c r="E661">
        <v>2035</v>
      </c>
      <c r="F661" s="6" t="str">
        <f t="shared" si="92"/>
        <v>*0.94</v>
      </c>
      <c r="H661" t="s">
        <v>3992</v>
      </c>
      <c r="I661" s="5" t="s">
        <v>57</v>
      </c>
      <c r="J661">
        <v>2050</v>
      </c>
      <c r="K661" s="38" t="str">
        <f t="shared" si="93"/>
        <v>*0.91</v>
      </c>
      <c r="P661" s="32" t="s">
        <v>3992</v>
      </c>
      <c r="Q661" s="42" t="s">
        <v>57</v>
      </c>
      <c r="R661" s="32">
        <v>2035</v>
      </c>
      <c r="S661" s="43" t="str">
        <f t="shared" si="94"/>
        <v>*0.93</v>
      </c>
      <c r="U661" s="32" t="s">
        <v>3992</v>
      </c>
      <c r="V661" s="42" t="s">
        <v>57</v>
      </c>
      <c r="W661" s="32">
        <v>2050</v>
      </c>
      <c r="X661" s="43" t="str">
        <f t="shared" si="95"/>
        <v>*0.9</v>
      </c>
      <c r="AC661" s="33" t="s">
        <v>3992</v>
      </c>
      <c r="AD661" s="44" t="s">
        <v>57</v>
      </c>
      <c r="AE661" s="33">
        <v>2035</v>
      </c>
      <c r="AF661" s="45" t="str">
        <f t="shared" si="96"/>
        <v>*0.9</v>
      </c>
      <c r="AG661" s="43" t="str">
        <f t="shared" si="99"/>
        <v>REZoning_Sol-Win</v>
      </c>
      <c r="AI661" s="33" t="s">
        <v>3992</v>
      </c>
      <c r="AJ661" s="44" t="s">
        <v>57</v>
      </c>
      <c r="AK661" s="33">
        <v>2050</v>
      </c>
      <c r="AL661" s="45" t="str">
        <f t="shared" si="97"/>
        <v>*0.86</v>
      </c>
      <c r="AM661" s="43" t="str">
        <f t="shared" si="100"/>
        <v>REZoning_Sol-Win</v>
      </c>
      <c r="AP661" t="s">
        <v>3992</v>
      </c>
      <c r="AQ661" t="s">
        <v>57</v>
      </c>
      <c r="AR661">
        <f t="shared" si="98"/>
        <v>2100</v>
      </c>
      <c r="AS661" t="s">
        <v>883</v>
      </c>
      <c r="AT661" t="s">
        <v>58</v>
      </c>
    </row>
    <row r="662" ht="29" spans="1:46">
      <c r="A662" s="31" t="s">
        <v>65</v>
      </c>
      <c r="C662" t="s">
        <v>3993</v>
      </c>
      <c r="D662" s="5" t="s">
        <v>57</v>
      </c>
      <c r="E662">
        <v>2035</v>
      </c>
      <c r="F662" s="6" t="str">
        <f t="shared" si="92"/>
        <v>*0.94</v>
      </c>
      <c r="H662" t="s">
        <v>3993</v>
      </c>
      <c r="I662" s="5" t="s">
        <v>57</v>
      </c>
      <c r="J662">
        <v>2050</v>
      </c>
      <c r="K662" s="38" t="str">
        <f t="shared" si="93"/>
        <v>*0.91</v>
      </c>
      <c r="P662" s="32" t="s">
        <v>3993</v>
      </c>
      <c r="Q662" s="42" t="s">
        <v>57</v>
      </c>
      <c r="R662" s="32">
        <v>2035</v>
      </c>
      <c r="S662" s="43" t="str">
        <f t="shared" si="94"/>
        <v>*0.93</v>
      </c>
      <c r="U662" s="32" t="s">
        <v>3993</v>
      </c>
      <c r="V662" s="42" t="s">
        <v>57</v>
      </c>
      <c r="W662" s="32">
        <v>2050</v>
      </c>
      <c r="X662" s="43" t="str">
        <f t="shared" si="95"/>
        <v>*0.9</v>
      </c>
      <c r="AC662" s="33" t="s">
        <v>3993</v>
      </c>
      <c r="AD662" s="44" t="s">
        <v>57</v>
      </c>
      <c r="AE662" s="33">
        <v>2035</v>
      </c>
      <c r="AF662" s="45" t="str">
        <f t="shared" si="96"/>
        <v>*0.9</v>
      </c>
      <c r="AG662" s="43" t="str">
        <f t="shared" si="99"/>
        <v>REZoning_Sol-Win</v>
      </c>
      <c r="AI662" s="33" t="s">
        <v>3993</v>
      </c>
      <c r="AJ662" s="44" t="s">
        <v>57</v>
      </c>
      <c r="AK662" s="33">
        <v>2050</v>
      </c>
      <c r="AL662" s="45" t="str">
        <f t="shared" si="97"/>
        <v>*0.86</v>
      </c>
      <c r="AM662" s="43" t="str">
        <f t="shared" si="100"/>
        <v>REZoning_Sol-Win</v>
      </c>
      <c r="AP662" t="s">
        <v>3993</v>
      </c>
      <c r="AQ662" t="s">
        <v>57</v>
      </c>
      <c r="AR662">
        <f t="shared" si="98"/>
        <v>2100</v>
      </c>
      <c r="AS662" t="s">
        <v>883</v>
      </c>
      <c r="AT662" t="s">
        <v>58</v>
      </c>
    </row>
    <row r="663" ht="29" spans="1:46">
      <c r="A663" s="31" t="s">
        <v>65</v>
      </c>
      <c r="C663" t="s">
        <v>3994</v>
      </c>
      <c r="D663" s="5" t="s">
        <v>57</v>
      </c>
      <c r="E663">
        <v>2035</v>
      </c>
      <c r="F663" s="6" t="str">
        <f t="shared" si="92"/>
        <v>*0.94</v>
      </c>
      <c r="H663" t="s">
        <v>3994</v>
      </c>
      <c r="I663" s="5" t="s">
        <v>57</v>
      </c>
      <c r="J663">
        <v>2050</v>
      </c>
      <c r="K663" s="38" t="str">
        <f t="shared" si="93"/>
        <v>*0.91</v>
      </c>
      <c r="P663" s="32" t="s">
        <v>3994</v>
      </c>
      <c r="Q663" s="42" t="s">
        <v>57</v>
      </c>
      <c r="R663" s="32">
        <v>2035</v>
      </c>
      <c r="S663" s="43" t="str">
        <f t="shared" si="94"/>
        <v>*0.93</v>
      </c>
      <c r="U663" s="32" t="s">
        <v>3994</v>
      </c>
      <c r="V663" s="42" t="s">
        <v>57</v>
      </c>
      <c r="W663" s="32">
        <v>2050</v>
      </c>
      <c r="X663" s="43" t="str">
        <f t="shared" si="95"/>
        <v>*0.9</v>
      </c>
      <c r="AC663" s="33" t="s">
        <v>3994</v>
      </c>
      <c r="AD663" s="44" t="s">
        <v>57</v>
      </c>
      <c r="AE663" s="33">
        <v>2035</v>
      </c>
      <c r="AF663" s="45" t="str">
        <f t="shared" si="96"/>
        <v>*0.9</v>
      </c>
      <c r="AG663" s="43" t="str">
        <f t="shared" si="99"/>
        <v>REZoning_Sol-Win</v>
      </c>
      <c r="AI663" s="33" t="s">
        <v>3994</v>
      </c>
      <c r="AJ663" s="44" t="s">
        <v>57</v>
      </c>
      <c r="AK663" s="33">
        <v>2050</v>
      </c>
      <c r="AL663" s="45" t="str">
        <f t="shared" si="97"/>
        <v>*0.86</v>
      </c>
      <c r="AM663" s="43" t="str">
        <f t="shared" si="100"/>
        <v>REZoning_Sol-Win</v>
      </c>
      <c r="AP663" t="s">
        <v>3994</v>
      </c>
      <c r="AQ663" t="s">
        <v>57</v>
      </c>
      <c r="AR663">
        <f t="shared" si="98"/>
        <v>2100</v>
      </c>
      <c r="AS663" t="s">
        <v>883</v>
      </c>
      <c r="AT663" t="s">
        <v>58</v>
      </c>
    </row>
    <row r="664" ht="29" spans="1:46">
      <c r="A664" s="31" t="s">
        <v>65</v>
      </c>
      <c r="C664" t="s">
        <v>3995</v>
      </c>
      <c r="D664" s="5" t="s">
        <v>57</v>
      </c>
      <c r="E664">
        <v>2035</v>
      </c>
      <c r="F664" s="6" t="str">
        <f t="shared" si="92"/>
        <v>*0.94</v>
      </c>
      <c r="H664" t="s">
        <v>3995</v>
      </c>
      <c r="I664" s="5" t="s">
        <v>57</v>
      </c>
      <c r="J664">
        <v>2050</v>
      </c>
      <c r="K664" s="38" t="str">
        <f t="shared" si="93"/>
        <v>*0.91</v>
      </c>
      <c r="P664" s="32" t="s">
        <v>3995</v>
      </c>
      <c r="Q664" s="42" t="s">
        <v>57</v>
      </c>
      <c r="R664" s="32">
        <v>2035</v>
      </c>
      <c r="S664" s="43" t="str">
        <f t="shared" si="94"/>
        <v>*0.93</v>
      </c>
      <c r="U664" s="32" t="s">
        <v>3995</v>
      </c>
      <c r="V664" s="42" t="s">
        <v>57</v>
      </c>
      <c r="W664" s="32">
        <v>2050</v>
      </c>
      <c r="X664" s="43" t="str">
        <f t="shared" si="95"/>
        <v>*0.9</v>
      </c>
      <c r="AC664" s="33" t="s">
        <v>3995</v>
      </c>
      <c r="AD664" s="44" t="s">
        <v>57</v>
      </c>
      <c r="AE664" s="33">
        <v>2035</v>
      </c>
      <c r="AF664" s="45" t="str">
        <f t="shared" si="96"/>
        <v>*0.9</v>
      </c>
      <c r="AG664" s="43" t="str">
        <f t="shared" si="99"/>
        <v>REZoning_Sol-Win</v>
      </c>
      <c r="AI664" s="33" t="s">
        <v>3995</v>
      </c>
      <c r="AJ664" s="44" t="s">
        <v>57</v>
      </c>
      <c r="AK664" s="33">
        <v>2050</v>
      </c>
      <c r="AL664" s="45" t="str">
        <f t="shared" si="97"/>
        <v>*0.86</v>
      </c>
      <c r="AM664" s="43" t="str">
        <f t="shared" si="100"/>
        <v>REZoning_Sol-Win</v>
      </c>
      <c r="AP664" t="s">
        <v>3995</v>
      </c>
      <c r="AQ664" t="s">
        <v>57</v>
      </c>
      <c r="AR664">
        <f t="shared" si="98"/>
        <v>2100</v>
      </c>
      <c r="AS664" t="s">
        <v>883</v>
      </c>
      <c r="AT664" t="s">
        <v>58</v>
      </c>
    </row>
    <row r="665" ht="29" spans="1:46">
      <c r="A665" s="31" t="s">
        <v>65</v>
      </c>
      <c r="C665" t="s">
        <v>3996</v>
      </c>
      <c r="D665" s="5" t="s">
        <v>57</v>
      </c>
      <c r="E665">
        <v>2035</v>
      </c>
      <c r="F665" s="6" t="str">
        <f t="shared" si="92"/>
        <v>*0.94</v>
      </c>
      <c r="H665" t="s">
        <v>3996</v>
      </c>
      <c r="I665" s="5" t="s">
        <v>57</v>
      </c>
      <c r="J665">
        <v>2050</v>
      </c>
      <c r="K665" s="38" t="str">
        <f t="shared" si="93"/>
        <v>*0.91</v>
      </c>
      <c r="P665" s="32" t="s">
        <v>3996</v>
      </c>
      <c r="Q665" s="42" t="s">
        <v>57</v>
      </c>
      <c r="R665" s="32">
        <v>2035</v>
      </c>
      <c r="S665" s="43" t="str">
        <f t="shared" si="94"/>
        <v>*0.93</v>
      </c>
      <c r="U665" s="32" t="s">
        <v>3996</v>
      </c>
      <c r="V665" s="42" t="s">
        <v>57</v>
      </c>
      <c r="W665" s="32">
        <v>2050</v>
      </c>
      <c r="X665" s="43" t="str">
        <f t="shared" si="95"/>
        <v>*0.9</v>
      </c>
      <c r="AC665" s="33" t="s">
        <v>3996</v>
      </c>
      <c r="AD665" s="44" t="s">
        <v>57</v>
      </c>
      <c r="AE665" s="33">
        <v>2035</v>
      </c>
      <c r="AF665" s="45" t="str">
        <f t="shared" si="96"/>
        <v>*0.9</v>
      </c>
      <c r="AG665" s="43" t="str">
        <f t="shared" si="99"/>
        <v>REZoning_Sol-Win</v>
      </c>
      <c r="AI665" s="33" t="s">
        <v>3996</v>
      </c>
      <c r="AJ665" s="44" t="s">
        <v>57</v>
      </c>
      <c r="AK665" s="33">
        <v>2050</v>
      </c>
      <c r="AL665" s="45" t="str">
        <f t="shared" si="97"/>
        <v>*0.86</v>
      </c>
      <c r="AM665" s="43" t="str">
        <f t="shared" si="100"/>
        <v>REZoning_Sol-Win</v>
      </c>
      <c r="AP665" t="s">
        <v>3996</v>
      </c>
      <c r="AQ665" t="s">
        <v>57</v>
      </c>
      <c r="AR665">
        <f t="shared" si="98"/>
        <v>2100</v>
      </c>
      <c r="AS665" t="s">
        <v>883</v>
      </c>
      <c r="AT665" t="s">
        <v>58</v>
      </c>
    </row>
    <row r="666" ht="29" spans="1:46">
      <c r="A666" s="31" t="s">
        <v>65</v>
      </c>
      <c r="C666" t="s">
        <v>3997</v>
      </c>
      <c r="D666" s="5" t="s">
        <v>57</v>
      </c>
      <c r="E666">
        <v>2035</v>
      </c>
      <c r="F666" s="6" t="str">
        <f t="shared" si="92"/>
        <v>*0.94</v>
      </c>
      <c r="H666" t="s">
        <v>3997</v>
      </c>
      <c r="I666" s="5" t="s">
        <v>57</v>
      </c>
      <c r="J666">
        <v>2050</v>
      </c>
      <c r="K666" s="38" t="str">
        <f t="shared" si="93"/>
        <v>*0.91</v>
      </c>
      <c r="P666" s="32" t="s">
        <v>3997</v>
      </c>
      <c r="Q666" s="42" t="s">
        <v>57</v>
      </c>
      <c r="R666" s="32">
        <v>2035</v>
      </c>
      <c r="S666" s="43" t="str">
        <f t="shared" si="94"/>
        <v>*0.93</v>
      </c>
      <c r="U666" s="32" t="s">
        <v>3997</v>
      </c>
      <c r="V666" s="42" t="s">
        <v>57</v>
      </c>
      <c r="W666" s="32">
        <v>2050</v>
      </c>
      <c r="X666" s="43" t="str">
        <f t="shared" si="95"/>
        <v>*0.9</v>
      </c>
      <c r="AC666" s="33" t="s">
        <v>3997</v>
      </c>
      <c r="AD666" s="44" t="s">
        <v>57</v>
      </c>
      <c r="AE666" s="33">
        <v>2035</v>
      </c>
      <c r="AF666" s="45" t="str">
        <f t="shared" si="96"/>
        <v>*0.9</v>
      </c>
      <c r="AG666" s="43" t="str">
        <f t="shared" si="99"/>
        <v>REZoning_Sol-Win</v>
      </c>
      <c r="AI666" s="33" t="s">
        <v>3997</v>
      </c>
      <c r="AJ666" s="44" t="s">
        <v>57</v>
      </c>
      <c r="AK666" s="33">
        <v>2050</v>
      </c>
      <c r="AL666" s="45" t="str">
        <f t="shared" si="97"/>
        <v>*0.86</v>
      </c>
      <c r="AM666" s="43" t="str">
        <f t="shared" si="100"/>
        <v>REZoning_Sol-Win</v>
      </c>
      <c r="AP666" t="s">
        <v>3997</v>
      </c>
      <c r="AQ666" t="s">
        <v>57</v>
      </c>
      <c r="AR666">
        <f t="shared" si="98"/>
        <v>2100</v>
      </c>
      <c r="AS666" t="s">
        <v>883</v>
      </c>
      <c r="AT666" t="s">
        <v>58</v>
      </c>
    </row>
    <row r="667" ht="29" spans="1:46">
      <c r="A667" s="31" t="s">
        <v>65</v>
      </c>
      <c r="C667" t="s">
        <v>3998</v>
      </c>
      <c r="D667" s="5" t="s">
        <v>57</v>
      </c>
      <c r="E667">
        <v>2035</v>
      </c>
      <c r="F667" s="6" t="str">
        <f t="shared" si="92"/>
        <v>*0.94</v>
      </c>
      <c r="H667" t="s">
        <v>3998</v>
      </c>
      <c r="I667" s="5" t="s">
        <v>57</v>
      </c>
      <c r="J667">
        <v>2050</v>
      </c>
      <c r="K667" s="38" t="str">
        <f t="shared" si="93"/>
        <v>*0.91</v>
      </c>
      <c r="P667" s="32" t="s">
        <v>3998</v>
      </c>
      <c r="Q667" s="42" t="s">
        <v>57</v>
      </c>
      <c r="R667" s="32">
        <v>2035</v>
      </c>
      <c r="S667" s="43" t="str">
        <f t="shared" si="94"/>
        <v>*0.93</v>
      </c>
      <c r="U667" s="32" t="s">
        <v>3998</v>
      </c>
      <c r="V667" s="42" t="s">
        <v>57</v>
      </c>
      <c r="W667" s="32">
        <v>2050</v>
      </c>
      <c r="X667" s="43" t="str">
        <f t="shared" si="95"/>
        <v>*0.9</v>
      </c>
      <c r="AC667" s="33" t="s">
        <v>3998</v>
      </c>
      <c r="AD667" s="44" t="s">
        <v>57</v>
      </c>
      <c r="AE667" s="33">
        <v>2035</v>
      </c>
      <c r="AF667" s="45" t="str">
        <f t="shared" si="96"/>
        <v>*0.9</v>
      </c>
      <c r="AG667" s="43" t="str">
        <f t="shared" si="99"/>
        <v>REZoning_Sol-Win</v>
      </c>
      <c r="AI667" s="33" t="s">
        <v>3998</v>
      </c>
      <c r="AJ667" s="44" t="s">
        <v>57</v>
      </c>
      <c r="AK667" s="33">
        <v>2050</v>
      </c>
      <c r="AL667" s="45" t="str">
        <f t="shared" si="97"/>
        <v>*0.86</v>
      </c>
      <c r="AM667" s="43" t="str">
        <f t="shared" si="100"/>
        <v>REZoning_Sol-Win</v>
      </c>
      <c r="AP667" t="s">
        <v>3998</v>
      </c>
      <c r="AQ667" t="s">
        <v>57</v>
      </c>
      <c r="AR667">
        <f t="shared" si="98"/>
        <v>2100</v>
      </c>
      <c r="AS667" t="s">
        <v>883</v>
      </c>
      <c r="AT667" t="s">
        <v>58</v>
      </c>
    </row>
    <row r="668" ht="29" spans="1:46">
      <c r="A668" s="31" t="s">
        <v>65</v>
      </c>
      <c r="C668" t="s">
        <v>3999</v>
      </c>
      <c r="D668" s="5" t="s">
        <v>57</v>
      </c>
      <c r="E668">
        <v>2035</v>
      </c>
      <c r="F668" s="6" t="str">
        <f t="shared" si="92"/>
        <v>*0.94</v>
      </c>
      <c r="H668" t="s">
        <v>3999</v>
      </c>
      <c r="I668" s="5" t="s">
        <v>57</v>
      </c>
      <c r="J668">
        <v>2050</v>
      </c>
      <c r="K668" s="38" t="str">
        <f t="shared" si="93"/>
        <v>*0.91</v>
      </c>
      <c r="P668" s="32" t="s">
        <v>3999</v>
      </c>
      <c r="Q668" s="42" t="s">
        <v>57</v>
      </c>
      <c r="R668" s="32">
        <v>2035</v>
      </c>
      <c r="S668" s="43" t="str">
        <f t="shared" si="94"/>
        <v>*0.93</v>
      </c>
      <c r="U668" s="32" t="s">
        <v>3999</v>
      </c>
      <c r="V668" s="42" t="s">
        <v>57</v>
      </c>
      <c r="W668" s="32">
        <v>2050</v>
      </c>
      <c r="X668" s="43" t="str">
        <f t="shared" si="95"/>
        <v>*0.9</v>
      </c>
      <c r="AC668" s="33" t="s">
        <v>3999</v>
      </c>
      <c r="AD668" s="44" t="s">
        <v>57</v>
      </c>
      <c r="AE668" s="33">
        <v>2035</v>
      </c>
      <c r="AF668" s="45" t="str">
        <f t="shared" si="96"/>
        <v>*0.9</v>
      </c>
      <c r="AG668" s="43" t="str">
        <f t="shared" si="99"/>
        <v>REZoning_Sol-Win</v>
      </c>
      <c r="AI668" s="33" t="s">
        <v>3999</v>
      </c>
      <c r="AJ668" s="44" t="s">
        <v>57</v>
      </c>
      <c r="AK668" s="33">
        <v>2050</v>
      </c>
      <c r="AL668" s="45" t="str">
        <f t="shared" si="97"/>
        <v>*0.86</v>
      </c>
      <c r="AM668" s="43" t="str">
        <f t="shared" si="100"/>
        <v>REZoning_Sol-Win</v>
      </c>
      <c r="AP668" t="s">
        <v>3999</v>
      </c>
      <c r="AQ668" t="s">
        <v>57</v>
      </c>
      <c r="AR668">
        <f t="shared" si="98"/>
        <v>2100</v>
      </c>
      <c r="AS668" t="s">
        <v>883</v>
      </c>
      <c r="AT668" t="s">
        <v>58</v>
      </c>
    </row>
    <row r="669" ht="29" spans="1:46">
      <c r="A669" s="31" t="s">
        <v>65</v>
      </c>
      <c r="C669" t="s">
        <v>4000</v>
      </c>
      <c r="D669" s="5" t="s">
        <v>57</v>
      </c>
      <c r="E669">
        <v>2035</v>
      </c>
      <c r="F669" s="6" t="str">
        <f t="shared" si="92"/>
        <v>*0.94</v>
      </c>
      <c r="H669" t="s">
        <v>4000</v>
      </c>
      <c r="I669" s="5" t="s">
        <v>57</v>
      </c>
      <c r="J669">
        <v>2050</v>
      </c>
      <c r="K669" s="38" t="str">
        <f t="shared" si="93"/>
        <v>*0.91</v>
      </c>
      <c r="P669" s="32" t="s">
        <v>4000</v>
      </c>
      <c r="Q669" s="42" t="s">
        <v>57</v>
      </c>
      <c r="R669" s="32">
        <v>2035</v>
      </c>
      <c r="S669" s="43" t="str">
        <f t="shared" si="94"/>
        <v>*0.93</v>
      </c>
      <c r="U669" s="32" t="s">
        <v>4000</v>
      </c>
      <c r="V669" s="42" t="s">
        <v>57</v>
      </c>
      <c r="W669" s="32">
        <v>2050</v>
      </c>
      <c r="X669" s="43" t="str">
        <f t="shared" si="95"/>
        <v>*0.9</v>
      </c>
      <c r="AC669" s="33" t="s">
        <v>4000</v>
      </c>
      <c r="AD669" s="44" t="s">
        <v>57</v>
      </c>
      <c r="AE669" s="33">
        <v>2035</v>
      </c>
      <c r="AF669" s="45" t="str">
        <f t="shared" si="96"/>
        <v>*0.9</v>
      </c>
      <c r="AG669" s="43" t="str">
        <f t="shared" si="99"/>
        <v>REZoning_Sol-Win</v>
      </c>
      <c r="AI669" s="33" t="s">
        <v>4000</v>
      </c>
      <c r="AJ669" s="44" t="s">
        <v>57</v>
      </c>
      <c r="AK669" s="33">
        <v>2050</v>
      </c>
      <c r="AL669" s="45" t="str">
        <f t="shared" si="97"/>
        <v>*0.86</v>
      </c>
      <c r="AM669" s="43" t="str">
        <f t="shared" si="100"/>
        <v>REZoning_Sol-Win</v>
      </c>
      <c r="AP669" t="s">
        <v>4000</v>
      </c>
      <c r="AQ669" t="s">
        <v>57</v>
      </c>
      <c r="AR669">
        <f t="shared" si="98"/>
        <v>2100</v>
      </c>
      <c r="AS669" t="s">
        <v>883</v>
      </c>
      <c r="AT669" t="s">
        <v>58</v>
      </c>
    </row>
    <row r="670" ht="29" spans="1:46">
      <c r="A670" s="31" t="s">
        <v>65</v>
      </c>
      <c r="C670" t="s">
        <v>4001</v>
      </c>
      <c r="D670" s="5" t="s">
        <v>57</v>
      </c>
      <c r="E670">
        <v>2035</v>
      </c>
      <c r="F670" s="6" t="str">
        <f t="shared" si="92"/>
        <v>*0.94</v>
      </c>
      <c r="H670" t="s">
        <v>4001</v>
      </c>
      <c r="I670" s="5" t="s">
        <v>57</v>
      </c>
      <c r="J670">
        <v>2050</v>
      </c>
      <c r="K670" s="38" t="str">
        <f t="shared" si="93"/>
        <v>*0.91</v>
      </c>
      <c r="P670" s="32" t="s">
        <v>4001</v>
      </c>
      <c r="Q670" s="42" t="s">
        <v>57</v>
      </c>
      <c r="R670" s="32">
        <v>2035</v>
      </c>
      <c r="S670" s="43" t="str">
        <f t="shared" si="94"/>
        <v>*0.93</v>
      </c>
      <c r="U670" s="32" t="s">
        <v>4001</v>
      </c>
      <c r="V670" s="42" t="s">
        <v>57</v>
      </c>
      <c r="W670" s="32">
        <v>2050</v>
      </c>
      <c r="X670" s="43" t="str">
        <f t="shared" si="95"/>
        <v>*0.9</v>
      </c>
      <c r="AC670" s="33" t="s">
        <v>4001</v>
      </c>
      <c r="AD670" s="44" t="s">
        <v>57</v>
      </c>
      <c r="AE670" s="33">
        <v>2035</v>
      </c>
      <c r="AF670" s="45" t="str">
        <f t="shared" si="96"/>
        <v>*0.9</v>
      </c>
      <c r="AG670" s="43" t="str">
        <f t="shared" si="99"/>
        <v>REZoning_Sol-Win</v>
      </c>
      <c r="AI670" s="33" t="s">
        <v>4001</v>
      </c>
      <c r="AJ670" s="44" t="s">
        <v>57</v>
      </c>
      <c r="AK670" s="33">
        <v>2050</v>
      </c>
      <c r="AL670" s="45" t="str">
        <f t="shared" si="97"/>
        <v>*0.86</v>
      </c>
      <c r="AM670" s="43" t="str">
        <f t="shared" si="100"/>
        <v>REZoning_Sol-Win</v>
      </c>
      <c r="AP670" t="s">
        <v>4001</v>
      </c>
      <c r="AQ670" t="s">
        <v>57</v>
      </c>
      <c r="AR670">
        <f t="shared" si="98"/>
        <v>2100</v>
      </c>
      <c r="AS670" t="s">
        <v>883</v>
      </c>
      <c r="AT670" t="s">
        <v>58</v>
      </c>
    </row>
    <row r="671" ht="29" spans="1:46">
      <c r="A671" s="31" t="s">
        <v>65</v>
      </c>
      <c r="C671" t="s">
        <v>4002</v>
      </c>
      <c r="D671" s="5" t="s">
        <v>57</v>
      </c>
      <c r="E671">
        <v>2035</v>
      </c>
      <c r="F671" s="6" t="str">
        <f t="shared" si="92"/>
        <v>*0.94</v>
      </c>
      <c r="H671" t="s">
        <v>4002</v>
      </c>
      <c r="I671" s="5" t="s">
        <v>57</v>
      </c>
      <c r="J671">
        <v>2050</v>
      </c>
      <c r="K671" s="38" t="str">
        <f t="shared" si="93"/>
        <v>*0.91</v>
      </c>
      <c r="P671" s="32" t="s">
        <v>4002</v>
      </c>
      <c r="Q671" s="42" t="s">
        <v>57</v>
      </c>
      <c r="R671" s="32">
        <v>2035</v>
      </c>
      <c r="S671" s="43" t="str">
        <f t="shared" si="94"/>
        <v>*0.93</v>
      </c>
      <c r="U671" s="32" t="s">
        <v>4002</v>
      </c>
      <c r="V671" s="42" t="s">
        <v>57</v>
      </c>
      <c r="W671" s="32">
        <v>2050</v>
      </c>
      <c r="X671" s="43" t="str">
        <f t="shared" si="95"/>
        <v>*0.9</v>
      </c>
      <c r="AC671" s="33" t="s">
        <v>4002</v>
      </c>
      <c r="AD671" s="44" t="s">
        <v>57</v>
      </c>
      <c r="AE671" s="33">
        <v>2035</v>
      </c>
      <c r="AF671" s="45" t="str">
        <f t="shared" si="96"/>
        <v>*0.9</v>
      </c>
      <c r="AG671" s="43" t="str">
        <f t="shared" si="99"/>
        <v>REZoning_Sol-Win</v>
      </c>
      <c r="AI671" s="33" t="s">
        <v>4002</v>
      </c>
      <c r="AJ671" s="44" t="s">
        <v>57</v>
      </c>
      <c r="AK671" s="33">
        <v>2050</v>
      </c>
      <c r="AL671" s="45" t="str">
        <f t="shared" si="97"/>
        <v>*0.86</v>
      </c>
      <c r="AM671" s="43" t="str">
        <f t="shared" si="100"/>
        <v>REZoning_Sol-Win</v>
      </c>
      <c r="AP671" t="s">
        <v>4002</v>
      </c>
      <c r="AQ671" t="s">
        <v>57</v>
      </c>
      <c r="AR671">
        <f t="shared" si="98"/>
        <v>2100</v>
      </c>
      <c r="AS671" t="s">
        <v>883</v>
      </c>
      <c r="AT671" t="s">
        <v>58</v>
      </c>
    </row>
    <row r="672" ht="29" spans="1:46">
      <c r="A672" s="31" t="s">
        <v>65</v>
      </c>
      <c r="C672" t="s">
        <v>4003</v>
      </c>
      <c r="D672" s="5" t="s">
        <v>57</v>
      </c>
      <c r="E672">
        <v>2035</v>
      </c>
      <c r="F672" s="6" t="str">
        <f t="shared" si="92"/>
        <v>*0.94</v>
      </c>
      <c r="H672" t="s">
        <v>4003</v>
      </c>
      <c r="I672" s="5" t="s">
        <v>57</v>
      </c>
      <c r="J672">
        <v>2050</v>
      </c>
      <c r="K672" s="38" t="str">
        <f t="shared" si="93"/>
        <v>*0.91</v>
      </c>
      <c r="P672" s="32" t="s">
        <v>4003</v>
      </c>
      <c r="Q672" s="42" t="s">
        <v>57</v>
      </c>
      <c r="R672" s="32">
        <v>2035</v>
      </c>
      <c r="S672" s="43" t="str">
        <f t="shared" si="94"/>
        <v>*0.93</v>
      </c>
      <c r="U672" s="32" t="s">
        <v>4003</v>
      </c>
      <c r="V672" s="42" t="s">
        <v>57</v>
      </c>
      <c r="W672" s="32">
        <v>2050</v>
      </c>
      <c r="X672" s="43" t="str">
        <f t="shared" si="95"/>
        <v>*0.9</v>
      </c>
      <c r="AC672" s="33" t="s">
        <v>4003</v>
      </c>
      <c r="AD672" s="44" t="s">
        <v>57</v>
      </c>
      <c r="AE672" s="33">
        <v>2035</v>
      </c>
      <c r="AF672" s="45" t="str">
        <f t="shared" si="96"/>
        <v>*0.9</v>
      </c>
      <c r="AG672" s="43" t="str">
        <f t="shared" si="99"/>
        <v>REZoning_Sol-Win</v>
      </c>
      <c r="AI672" s="33" t="s">
        <v>4003</v>
      </c>
      <c r="AJ672" s="44" t="s">
        <v>57</v>
      </c>
      <c r="AK672" s="33">
        <v>2050</v>
      </c>
      <c r="AL672" s="45" t="str">
        <f t="shared" si="97"/>
        <v>*0.86</v>
      </c>
      <c r="AM672" s="43" t="str">
        <f t="shared" si="100"/>
        <v>REZoning_Sol-Win</v>
      </c>
      <c r="AP672" t="s">
        <v>4003</v>
      </c>
      <c r="AQ672" t="s">
        <v>57</v>
      </c>
      <c r="AR672">
        <f t="shared" si="98"/>
        <v>2100</v>
      </c>
      <c r="AS672" t="s">
        <v>883</v>
      </c>
      <c r="AT672" t="s">
        <v>58</v>
      </c>
    </row>
    <row r="673" ht="29" spans="1:46">
      <c r="A673" s="31" t="s">
        <v>65</v>
      </c>
      <c r="C673" t="s">
        <v>4004</v>
      </c>
      <c r="D673" s="5" t="s">
        <v>57</v>
      </c>
      <c r="E673">
        <v>2035</v>
      </c>
      <c r="F673" s="6" t="str">
        <f t="shared" si="92"/>
        <v>*0.94</v>
      </c>
      <c r="H673" t="s">
        <v>4004</v>
      </c>
      <c r="I673" s="5" t="s">
        <v>57</v>
      </c>
      <c r="J673">
        <v>2050</v>
      </c>
      <c r="K673" s="38" t="str">
        <f t="shared" si="93"/>
        <v>*0.91</v>
      </c>
      <c r="P673" s="32" t="s">
        <v>4004</v>
      </c>
      <c r="Q673" s="42" t="s">
        <v>57</v>
      </c>
      <c r="R673" s="32">
        <v>2035</v>
      </c>
      <c r="S673" s="43" t="str">
        <f t="shared" si="94"/>
        <v>*0.93</v>
      </c>
      <c r="U673" s="32" t="s">
        <v>4004</v>
      </c>
      <c r="V673" s="42" t="s">
        <v>57</v>
      </c>
      <c r="W673" s="32">
        <v>2050</v>
      </c>
      <c r="X673" s="43" t="str">
        <f t="shared" si="95"/>
        <v>*0.9</v>
      </c>
      <c r="AC673" s="33" t="s">
        <v>4004</v>
      </c>
      <c r="AD673" s="44" t="s">
        <v>57</v>
      </c>
      <c r="AE673" s="33">
        <v>2035</v>
      </c>
      <c r="AF673" s="45" t="str">
        <f t="shared" si="96"/>
        <v>*0.9</v>
      </c>
      <c r="AG673" s="43" t="str">
        <f t="shared" si="99"/>
        <v>REZoning_Sol-Win</v>
      </c>
      <c r="AI673" s="33" t="s">
        <v>4004</v>
      </c>
      <c r="AJ673" s="44" t="s">
        <v>57</v>
      </c>
      <c r="AK673" s="33">
        <v>2050</v>
      </c>
      <c r="AL673" s="45" t="str">
        <f t="shared" si="97"/>
        <v>*0.86</v>
      </c>
      <c r="AM673" s="43" t="str">
        <f t="shared" si="100"/>
        <v>REZoning_Sol-Win</v>
      </c>
      <c r="AP673" t="s">
        <v>4004</v>
      </c>
      <c r="AQ673" t="s">
        <v>57</v>
      </c>
      <c r="AR673">
        <f t="shared" si="98"/>
        <v>2100</v>
      </c>
      <c r="AS673" t="s">
        <v>883</v>
      </c>
      <c r="AT673" t="s">
        <v>58</v>
      </c>
    </row>
    <row r="674" ht="29" spans="1:46">
      <c r="A674" s="31" t="s">
        <v>65</v>
      </c>
      <c r="C674" t="s">
        <v>4005</v>
      </c>
      <c r="D674" s="5" t="s">
        <v>57</v>
      </c>
      <c r="E674">
        <v>2035</v>
      </c>
      <c r="F674" s="6" t="str">
        <f t="shared" si="92"/>
        <v>*0.94</v>
      </c>
      <c r="H674" t="s">
        <v>4005</v>
      </c>
      <c r="I674" s="5" t="s">
        <v>57</v>
      </c>
      <c r="J674">
        <v>2050</v>
      </c>
      <c r="K674" s="38" t="str">
        <f t="shared" si="93"/>
        <v>*0.91</v>
      </c>
      <c r="P674" s="32" t="s">
        <v>4005</v>
      </c>
      <c r="Q674" s="42" t="s">
        <v>57</v>
      </c>
      <c r="R674" s="32">
        <v>2035</v>
      </c>
      <c r="S674" s="43" t="str">
        <f t="shared" si="94"/>
        <v>*0.93</v>
      </c>
      <c r="U674" s="32" t="s">
        <v>4005</v>
      </c>
      <c r="V674" s="42" t="s">
        <v>57</v>
      </c>
      <c r="W674" s="32">
        <v>2050</v>
      </c>
      <c r="X674" s="43" t="str">
        <f t="shared" si="95"/>
        <v>*0.9</v>
      </c>
      <c r="AC674" s="33" t="s">
        <v>4005</v>
      </c>
      <c r="AD674" s="44" t="s">
        <v>57</v>
      </c>
      <c r="AE674" s="33">
        <v>2035</v>
      </c>
      <c r="AF674" s="45" t="str">
        <f t="shared" si="96"/>
        <v>*0.9</v>
      </c>
      <c r="AG674" s="43" t="str">
        <f t="shared" si="99"/>
        <v>REZoning_Sol-Win</v>
      </c>
      <c r="AI674" s="33" t="s">
        <v>4005</v>
      </c>
      <c r="AJ674" s="44" t="s">
        <v>57</v>
      </c>
      <c r="AK674" s="33">
        <v>2050</v>
      </c>
      <c r="AL674" s="45" t="str">
        <f t="shared" si="97"/>
        <v>*0.86</v>
      </c>
      <c r="AM674" s="43" t="str">
        <f t="shared" si="100"/>
        <v>REZoning_Sol-Win</v>
      </c>
      <c r="AP674" t="s">
        <v>4005</v>
      </c>
      <c r="AQ674" t="s">
        <v>57</v>
      </c>
      <c r="AR674">
        <f t="shared" si="98"/>
        <v>2100</v>
      </c>
      <c r="AS674" t="s">
        <v>883</v>
      </c>
      <c r="AT674" t="s">
        <v>58</v>
      </c>
    </row>
    <row r="675" ht="29" spans="1:46">
      <c r="A675" s="31" t="s">
        <v>65</v>
      </c>
      <c r="C675" t="s">
        <v>4006</v>
      </c>
      <c r="D675" s="5" t="s">
        <v>57</v>
      </c>
      <c r="E675">
        <v>2035</v>
      </c>
      <c r="F675" s="6" t="str">
        <f t="shared" si="92"/>
        <v>*0.94</v>
      </c>
      <c r="H675" t="s">
        <v>4006</v>
      </c>
      <c r="I675" s="5" t="s">
        <v>57</v>
      </c>
      <c r="J675">
        <v>2050</v>
      </c>
      <c r="K675" s="38" t="str">
        <f t="shared" si="93"/>
        <v>*0.91</v>
      </c>
      <c r="P675" s="32" t="s">
        <v>4006</v>
      </c>
      <c r="Q675" s="42" t="s">
        <v>57</v>
      </c>
      <c r="R675" s="32">
        <v>2035</v>
      </c>
      <c r="S675" s="43" t="str">
        <f t="shared" si="94"/>
        <v>*0.93</v>
      </c>
      <c r="U675" s="32" t="s">
        <v>4006</v>
      </c>
      <c r="V675" s="42" t="s">
        <v>57</v>
      </c>
      <c r="W675" s="32">
        <v>2050</v>
      </c>
      <c r="X675" s="43" t="str">
        <f t="shared" si="95"/>
        <v>*0.9</v>
      </c>
      <c r="AC675" s="33" t="s">
        <v>4006</v>
      </c>
      <c r="AD675" s="44" t="s">
        <v>57</v>
      </c>
      <c r="AE675" s="33">
        <v>2035</v>
      </c>
      <c r="AF675" s="45" t="str">
        <f t="shared" si="96"/>
        <v>*0.9</v>
      </c>
      <c r="AG675" s="43" t="str">
        <f t="shared" si="99"/>
        <v>REZoning_Sol-Win</v>
      </c>
      <c r="AI675" s="33" t="s">
        <v>4006</v>
      </c>
      <c r="AJ675" s="44" t="s">
        <v>57</v>
      </c>
      <c r="AK675" s="33">
        <v>2050</v>
      </c>
      <c r="AL675" s="45" t="str">
        <f t="shared" si="97"/>
        <v>*0.86</v>
      </c>
      <c r="AM675" s="43" t="str">
        <f t="shared" si="100"/>
        <v>REZoning_Sol-Win</v>
      </c>
      <c r="AP675" t="s">
        <v>4006</v>
      </c>
      <c r="AQ675" t="s">
        <v>57</v>
      </c>
      <c r="AR675">
        <f t="shared" si="98"/>
        <v>2100</v>
      </c>
      <c r="AS675" t="s">
        <v>883</v>
      </c>
      <c r="AT675" t="s">
        <v>58</v>
      </c>
    </row>
    <row r="676" ht="29" spans="1:46">
      <c r="A676" s="31" t="s">
        <v>65</v>
      </c>
      <c r="C676" t="s">
        <v>4007</v>
      </c>
      <c r="D676" s="5" t="s">
        <v>57</v>
      </c>
      <c r="E676">
        <v>2035</v>
      </c>
      <c r="F676" s="6" t="str">
        <f t="shared" si="92"/>
        <v>*0.94</v>
      </c>
      <c r="H676" t="s">
        <v>4007</v>
      </c>
      <c r="I676" s="5" t="s">
        <v>57</v>
      </c>
      <c r="J676">
        <v>2050</v>
      </c>
      <c r="K676" s="38" t="str">
        <f t="shared" si="93"/>
        <v>*0.91</v>
      </c>
      <c r="P676" s="32" t="s">
        <v>4007</v>
      </c>
      <c r="Q676" s="42" t="s">
        <v>57</v>
      </c>
      <c r="R676" s="32">
        <v>2035</v>
      </c>
      <c r="S676" s="43" t="str">
        <f t="shared" si="94"/>
        <v>*0.93</v>
      </c>
      <c r="U676" s="32" t="s">
        <v>4007</v>
      </c>
      <c r="V676" s="42" t="s">
        <v>57</v>
      </c>
      <c r="W676" s="32">
        <v>2050</v>
      </c>
      <c r="X676" s="43" t="str">
        <f t="shared" si="95"/>
        <v>*0.9</v>
      </c>
      <c r="AC676" s="33" t="s">
        <v>4007</v>
      </c>
      <c r="AD676" s="44" t="s">
        <v>57</v>
      </c>
      <c r="AE676" s="33">
        <v>2035</v>
      </c>
      <c r="AF676" s="45" t="str">
        <f t="shared" si="96"/>
        <v>*0.9</v>
      </c>
      <c r="AG676" s="43" t="str">
        <f t="shared" si="99"/>
        <v>REZoning_Sol-Win</v>
      </c>
      <c r="AI676" s="33" t="s">
        <v>4007</v>
      </c>
      <c r="AJ676" s="44" t="s">
        <v>57</v>
      </c>
      <c r="AK676" s="33">
        <v>2050</v>
      </c>
      <c r="AL676" s="45" t="str">
        <f t="shared" si="97"/>
        <v>*0.86</v>
      </c>
      <c r="AM676" s="43" t="str">
        <f t="shared" si="100"/>
        <v>REZoning_Sol-Win</v>
      </c>
      <c r="AP676" t="s">
        <v>4007</v>
      </c>
      <c r="AQ676" t="s">
        <v>57</v>
      </c>
      <c r="AR676">
        <f t="shared" si="98"/>
        <v>2100</v>
      </c>
      <c r="AS676" t="s">
        <v>883</v>
      </c>
      <c r="AT676" t="s">
        <v>58</v>
      </c>
    </row>
    <row r="677" ht="29" spans="1:46">
      <c r="A677" s="31" t="s">
        <v>65</v>
      </c>
      <c r="C677" t="s">
        <v>4008</v>
      </c>
      <c r="D677" s="5" t="s">
        <v>57</v>
      </c>
      <c r="E677">
        <v>2035</v>
      </c>
      <c r="F677" s="6" t="str">
        <f t="shared" si="92"/>
        <v>*0.94</v>
      </c>
      <c r="H677" t="s">
        <v>4008</v>
      </c>
      <c r="I677" s="5" t="s">
        <v>57</v>
      </c>
      <c r="J677">
        <v>2050</v>
      </c>
      <c r="K677" s="38" t="str">
        <f t="shared" si="93"/>
        <v>*0.91</v>
      </c>
      <c r="P677" s="32" t="s">
        <v>4008</v>
      </c>
      <c r="Q677" s="42" t="s">
        <v>57</v>
      </c>
      <c r="R677" s="32">
        <v>2035</v>
      </c>
      <c r="S677" s="43" t="str">
        <f t="shared" si="94"/>
        <v>*0.93</v>
      </c>
      <c r="U677" s="32" t="s">
        <v>4008</v>
      </c>
      <c r="V677" s="42" t="s">
        <v>57</v>
      </c>
      <c r="W677" s="32">
        <v>2050</v>
      </c>
      <c r="X677" s="43" t="str">
        <f t="shared" si="95"/>
        <v>*0.9</v>
      </c>
      <c r="AC677" s="33" t="s">
        <v>4008</v>
      </c>
      <c r="AD677" s="44" t="s">
        <v>57</v>
      </c>
      <c r="AE677" s="33">
        <v>2035</v>
      </c>
      <c r="AF677" s="45" t="str">
        <f t="shared" si="96"/>
        <v>*0.9</v>
      </c>
      <c r="AG677" s="43" t="str">
        <f t="shared" si="99"/>
        <v>REZoning_Sol-Win</v>
      </c>
      <c r="AI677" s="33" t="s">
        <v>4008</v>
      </c>
      <c r="AJ677" s="44" t="s">
        <v>57</v>
      </c>
      <c r="AK677" s="33">
        <v>2050</v>
      </c>
      <c r="AL677" s="45" t="str">
        <f t="shared" si="97"/>
        <v>*0.86</v>
      </c>
      <c r="AM677" s="43" t="str">
        <f t="shared" si="100"/>
        <v>REZoning_Sol-Win</v>
      </c>
      <c r="AP677" t="s">
        <v>4008</v>
      </c>
      <c r="AQ677" t="s">
        <v>57</v>
      </c>
      <c r="AR677">
        <f t="shared" si="98"/>
        <v>2100</v>
      </c>
      <c r="AS677" t="s">
        <v>883</v>
      </c>
      <c r="AT677" t="s">
        <v>58</v>
      </c>
    </row>
    <row r="678" ht="29" spans="1:46">
      <c r="A678" s="31" t="s">
        <v>65</v>
      </c>
      <c r="C678" t="s">
        <v>4009</v>
      </c>
      <c r="D678" s="5" t="s">
        <v>57</v>
      </c>
      <c r="E678">
        <v>2035</v>
      </c>
      <c r="F678" s="6" t="str">
        <f t="shared" si="92"/>
        <v>*0.94</v>
      </c>
      <c r="H678" t="s">
        <v>4009</v>
      </c>
      <c r="I678" s="5" t="s">
        <v>57</v>
      </c>
      <c r="J678">
        <v>2050</v>
      </c>
      <c r="K678" s="38" t="str">
        <f t="shared" si="93"/>
        <v>*0.91</v>
      </c>
      <c r="P678" s="32" t="s">
        <v>4009</v>
      </c>
      <c r="Q678" s="42" t="s">
        <v>57</v>
      </c>
      <c r="R678" s="32">
        <v>2035</v>
      </c>
      <c r="S678" s="43" t="str">
        <f t="shared" si="94"/>
        <v>*0.93</v>
      </c>
      <c r="U678" s="32" t="s">
        <v>4009</v>
      </c>
      <c r="V678" s="42" t="s">
        <v>57</v>
      </c>
      <c r="W678" s="32">
        <v>2050</v>
      </c>
      <c r="X678" s="43" t="str">
        <f t="shared" si="95"/>
        <v>*0.9</v>
      </c>
      <c r="AC678" s="33" t="s">
        <v>4009</v>
      </c>
      <c r="AD678" s="44" t="s">
        <v>57</v>
      </c>
      <c r="AE678" s="33">
        <v>2035</v>
      </c>
      <c r="AF678" s="45" t="str">
        <f t="shared" si="96"/>
        <v>*0.9</v>
      </c>
      <c r="AG678" s="43" t="str">
        <f t="shared" si="99"/>
        <v>REZoning_Sol-Win</v>
      </c>
      <c r="AI678" s="33" t="s">
        <v>4009</v>
      </c>
      <c r="AJ678" s="44" t="s">
        <v>57</v>
      </c>
      <c r="AK678" s="33">
        <v>2050</v>
      </c>
      <c r="AL678" s="45" t="str">
        <f t="shared" si="97"/>
        <v>*0.86</v>
      </c>
      <c r="AM678" s="43" t="str">
        <f t="shared" si="100"/>
        <v>REZoning_Sol-Win</v>
      </c>
      <c r="AP678" t="s">
        <v>4009</v>
      </c>
      <c r="AQ678" t="s">
        <v>57</v>
      </c>
      <c r="AR678">
        <f t="shared" si="98"/>
        <v>2100</v>
      </c>
      <c r="AS678" t="s">
        <v>883</v>
      </c>
      <c r="AT678" t="s">
        <v>58</v>
      </c>
    </row>
    <row r="679" ht="29" spans="1:46">
      <c r="A679" s="31" t="s">
        <v>65</v>
      </c>
      <c r="C679" t="s">
        <v>4010</v>
      </c>
      <c r="D679" s="5" t="s">
        <v>57</v>
      </c>
      <c r="E679">
        <v>2035</v>
      </c>
      <c r="F679" s="6" t="str">
        <f t="shared" si="92"/>
        <v>*0.94</v>
      </c>
      <c r="H679" t="s">
        <v>4010</v>
      </c>
      <c r="I679" s="5" t="s">
        <v>57</v>
      </c>
      <c r="J679">
        <v>2050</v>
      </c>
      <c r="K679" s="38" t="str">
        <f t="shared" si="93"/>
        <v>*0.91</v>
      </c>
      <c r="P679" s="32" t="s">
        <v>4010</v>
      </c>
      <c r="Q679" s="42" t="s">
        <v>57</v>
      </c>
      <c r="R679" s="32">
        <v>2035</v>
      </c>
      <c r="S679" s="43" t="str">
        <f t="shared" si="94"/>
        <v>*0.93</v>
      </c>
      <c r="U679" s="32" t="s">
        <v>4010</v>
      </c>
      <c r="V679" s="42" t="s">
        <v>57</v>
      </c>
      <c r="W679" s="32">
        <v>2050</v>
      </c>
      <c r="X679" s="43" t="str">
        <f t="shared" si="95"/>
        <v>*0.9</v>
      </c>
      <c r="AC679" s="33" t="s">
        <v>4010</v>
      </c>
      <c r="AD679" s="44" t="s">
        <v>57</v>
      </c>
      <c r="AE679" s="33">
        <v>2035</v>
      </c>
      <c r="AF679" s="45" t="str">
        <f t="shared" si="96"/>
        <v>*0.9</v>
      </c>
      <c r="AG679" s="43" t="str">
        <f t="shared" si="99"/>
        <v>REZoning_Sol-Win</v>
      </c>
      <c r="AI679" s="33" t="s">
        <v>4010</v>
      </c>
      <c r="AJ679" s="44" t="s">
        <v>57</v>
      </c>
      <c r="AK679" s="33">
        <v>2050</v>
      </c>
      <c r="AL679" s="45" t="str">
        <f t="shared" si="97"/>
        <v>*0.86</v>
      </c>
      <c r="AM679" s="43" t="str">
        <f t="shared" si="100"/>
        <v>REZoning_Sol-Win</v>
      </c>
      <c r="AP679" t="s">
        <v>4010</v>
      </c>
      <c r="AQ679" t="s">
        <v>57</v>
      </c>
      <c r="AR679">
        <f t="shared" si="98"/>
        <v>2100</v>
      </c>
      <c r="AS679" t="s">
        <v>883</v>
      </c>
      <c r="AT679" t="s">
        <v>58</v>
      </c>
    </row>
    <row r="680" ht="29" spans="1:46">
      <c r="A680" s="31" t="s">
        <v>65</v>
      </c>
      <c r="C680" t="s">
        <v>4011</v>
      </c>
      <c r="D680" s="5" t="s">
        <v>57</v>
      </c>
      <c r="E680">
        <v>2035</v>
      </c>
      <c r="F680" s="6" t="str">
        <f t="shared" si="92"/>
        <v>*0.94</v>
      </c>
      <c r="H680" t="s">
        <v>4011</v>
      </c>
      <c r="I680" s="5" t="s">
        <v>57</v>
      </c>
      <c r="J680">
        <v>2050</v>
      </c>
      <c r="K680" s="38" t="str">
        <f t="shared" si="93"/>
        <v>*0.91</v>
      </c>
      <c r="P680" s="32" t="s">
        <v>4011</v>
      </c>
      <c r="Q680" s="42" t="s">
        <v>57</v>
      </c>
      <c r="R680" s="32">
        <v>2035</v>
      </c>
      <c r="S680" s="43" t="str">
        <f t="shared" si="94"/>
        <v>*0.93</v>
      </c>
      <c r="U680" s="32" t="s">
        <v>4011</v>
      </c>
      <c r="V680" s="42" t="s">
        <v>57</v>
      </c>
      <c r="W680" s="32">
        <v>2050</v>
      </c>
      <c r="X680" s="43" t="str">
        <f t="shared" si="95"/>
        <v>*0.9</v>
      </c>
      <c r="AC680" s="33" t="s">
        <v>4011</v>
      </c>
      <c r="AD680" s="44" t="s">
        <v>57</v>
      </c>
      <c r="AE680" s="33">
        <v>2035</v>
      </c>
      <c r="AF680" s="45" t="str">
        <f t="shared" si="96"/>
        <v>*0.9</v>
      </c>
      <c r="AG680" s="43" t="str">
        <f t="shared" si="99"/>
        <v>REZoning_Sol-Win</v>
      </c>
      <c r="AI680" s="33" t="s">
        <v>4011</v>
      </c>
      <c r="AJ680" s="44" t="s">
        <v>57</v>
      </c>
      <c r="AK680" s="33">
        <v>2050</v>
      </c>
      <c r="AL680" s="45" t="str">
        <f t="shared" si="97"/>
        <v>*0.86</v>
      </c>
      <c r="AM680" s="43" t="str">
        <f t="shared" si="100"/>
        <v>REZoning_Sol-Win</v>
      </c>
      <c r="AP680" t="s">
        <v>4011</v>
      </c>
      <c r="AQ680" t="s">
        <v>57</v>
      </c>
      <c r="AR680">
        <f t="shared" si="98"/>
        <v>2100</v>
      </c>
      <c r="AS680" t="s">
        <v>883</v>
      </c>
      <c r="AT680" t="s">
        <v>58</v>
      </c>
    </row>
    <row r="681" ht="29" spans="1:46">
      <c r="A681" s="31" t="s">
        <v>65</v>
      </c>
      <c r="C681" t="s">
        <v>4012</v>
      </c>
      <c r="D681" s="5" t="s">
        <v>57</v>
      </c>
      <c r="E681">
        <v>2035</v>
      </c>
      <c r="F681" s="6" t="str">
        <f t="shared" si="92"/>
        <v>*0.94</v>
      </c>
      <c r="H681" t="s">
        <v>4012</v>
      </c>
      <c r="I681" s="5" t="s">
        <v>57</v>
      </c>
      <c r="J681">
        <v>2050</v>
      </c>
      <c r="K681" s="38" t="str">
        <f t="shared" si="93"/>
        <v>*0.91</v>
      </c>
      <c r="P681" s="32" t="s">
        <v>4012</v>
      </c>
      <c r="Q681" s="42" t="s">
        <v>57</v>
      </c>
      <c r="R681" s="32">
        <v>2035</v>
      </c>
      <c r="S681" s="43" t="str">
        <f t="shared" si="94"/>
        <v>*0.93</v>
      </c>
      <c r="U681" s="32" t="s">
        <v>4012</v>
      </c>
      <c r="V681" s="42" t="s">
        <v>57</v>
      </c>
      <c r="W681" s="32">
        <v>2050</v>
      </c>
      <c r="X681" s="43" t="str">
        <f t="shared" si="95"/>
        <v>*0.9</v>
      </c>
      <c r="AC681" s="33" t="s">
        <v>4012</v>
      </c>
      <c r="AD681" s="44" t="s">
        <v>57</v>
      </c>
      <c r="AE681" s="33">
        <v>2035</v>
      </c>
      <c r="AF681" s="45" t="str">
        <f t="shared" si="96"/>
        <v>*0.9</v>
      </c>
      <c r="AG681" s="43" t="str">
        <f t="shared" si="99"/>
        <v>REZoning_Sol-Win</v>
      </c>
      <c r="AI681" s="33" t="s">
        <v>4012</v>
      </c>
      <c r="AJ681" s="44" t="s">
        <v>57</v>
      </c>
      <c r="AK681" s="33">
        <v>2050</v>
      </c>
      <c r="AL681" s="45" t="str">
        <f t="shared" si="97"/>
        <v>*0.86</v>
      </c>
      <c r="AM681" s="43" t="str">
        <f t="shared" si="100"/>
        <v>REZoning_Sol-Win</v>
      </c>
      <c r="AP681" t="s">
        <v>4012</v>
      </c>
      <c r="AQ681" t="s">
        <v>57</v>
      </c>
      <c r="AR681">
        <f t="shared" si="98"/>
        <v>2100</v>
      </c>
      <c r="AS681" t="s">
        <v>883</v>
      </c>
      <c r="AT681" t="s">
        <v>58</v>
      </c>
    </row>
    <row r="682" ht="29" spans="1:46">
      <c r="A682" s="31" t="s">
        <v>65</v>
      </c>
      <c r="C682" t="s">
        <v>4013</v>
      </c>
      <c r="D682" s="5" t="s">
        <v>57</v>
      </c>
      <c r="E682">
        <v>2035</v>
      </c>
      <c r="F682" s="6" t="str">
        <f t="shared" si="92"/>
        <v>*0.94</v>
      </c>
      <c r="H682" t="s">
        <v>4013</v>
      </c>
      <c r="I682" s="5" t="s">
        <v>57</v>
      </c>
      <c r="J682">
        <v>2050</v>
      </c>
      <c r="K682" s="38" t="str">
        <f t="shared" si="93"/>
        <v>*0.91</v>
      </c>
      <c r="P682" s="32" t="s">
        <v>4013</v>
      </c>
      <c r="Q682" s="42" t="s">
        <v>57</v>
      </c>
      <c r="R682" s="32">
        <v>2035</v>
      </c>
      <c r="S682" s="43" t="str">
        <f t="shared" si="94"/>
        <v>*0.93</v>
      </c>
      <c r="U682" s="32" t="s">
        <v>4013</v>
      </c>
      <c r="V682" s="42" t="s">
        <v>57</v>
      </c>
      <c r="W682" s="32">
        <v>2050</v>
      </c>
      <c r="X682" s="43" t="str">
        <f t="shared" si="95"/>
        <v>*0.9</v>
      </c>
      <c r="AC682" s="33" t="s">
        <v>4013</v>
      </c>
      <c r="AD682" s="44" t="s">
        <v>57</v>
      </c>
      <c r="AE682" s="33">
        <v>2035</v>
      </c>
      <c r="AF682" s="45" t="str">
        <f t="shared" si="96"/>
        <v>*0.9</v>
      </c>
      <c r="AG682" s="43" t="str">
        <f t="shared" si="99"/>
        <v>REZoning_Sol-Win</v>
      </c>
      <c r="AI682" s="33" t="s">
        <v>4013</v>
      </c>
      <c r="AJ682" s="44" t="s">
        <v>57</v>
      </c>
      <c r="AK682" s="33">
        <v>2050</v>
      </c>
      <c r="AL682" s="45" t="str">
        <f t="shared" si="97"/>
        <v>*0.86</v>
      </c>
      <c r="AM682" s="43" t="str">
        <f t="shared" si="100"/>
        <v>REZoning_Sol-Win</v>
      </c>
      <c r="AP682" t="s">
        <v>4013</v>
      </c>
      <c r="AQ682" t="s">
        <v>57</v>
      </c>
      <c r="AR682">
        <f t="shared" si="98"/>
        <v>2100</v>
      </c>
      <c r="AS682" t="s">
        <v>883</v>
      </c>
      <c r="AT682" t="s">
        <v>58</v>
      </c>
    </row>
    <row r="683" ht="29" spans="1:46">
      <c r="A683" s="31" t="s">
        <v>65</v>
      </c>
      <c r="C683" t="s">
        <v>4014</v>
      </c>
      <c r="D683" s="5" t="s">
        <v>57</v>
      </c>
      <c r="E683">
        <v>2035</v>
      </c>
      <c r="F683" s="6" t="str">
        <f t="shared" si="92"/>
        <v>*0.94</v>
      </c>
      <c r="H683" t="s">
        <v>4014</v>
      </c>
      <c r="I683" s="5" t="s">
        <v>57</v>
      </c>
      <c r="J683">
        <v>2050</v>
      </c>
      <c r="K683" s="38" t="str">
        <f t="shared" si="93"/>
        <v>*0.91</v>
      </c>
      <c r="P683" s="32" t="s">
        <v>4014</v>
      </c>
      <c r="Q683" s="42" t="s">
        <v>57</v>
      </c>
      <c r="R683" s="32">
        <v>2035</v>
      </c>
      <c r="S683" s="43" t="str">
        <f t="shared" si="94"/>
        <v>*0.93</v>
      </c>
      <c r="U683" s="32" t="s">
        <v>4014</v>
      </c>
      <c r="V683" s="42" t="s">
        <v>57</v>
      </c>
      <c r="W683" s="32">
        <v>2050</v>
      </c>
      <c r="X683" s="43" t="str">
        <f t="shared" si="95"/>
        <v>*0.9</v>
      </c>
      <c r="AC683" s="33" t="s">
        <v>4014</v>
      </c>
      <c r="AD683" s="44" t="s">
        <v>57</v>
      </c>
      <c r="AE683" s="33">
        <v>2035</v>
      </c>
      <c r="AF683" s="45" t="str">
        <f t="shared" si="96"/>
        <v>*0.9</v>
      </c>
      <c r="AG683" s="43" t="str">
        <f t="shared" si="99"/>
        <v>REZoning_Sol-Win</v>
      </c>
      <c r="AI683" s="33" t="s">
        <v>4014</v>
      </c>
      <c r="AJ683" s="44" t="s">
        <v>57</v>
      </c>
      <c r="AK683" s="33">
        <v>2050</v>
      </c>
      <c r="AL683" s="45" t="str">
        <f t="shared" si="97"/>
        <v>*0.86</v>
      </c>
      <c r="AM683" s="43" t="str">
        <f t="shared" si="100"/>
        <v>REZoning_Sol-Win</v>
      </c>
      <c r="AP683" t="s">
        <v>4014</v>
      </c>
      <c r="AQ683" t="s">
        <v>57</v>
      </c>
      <c r="AR683">
        <f t="shared" si="98"/>
        <v>2100</v>
      </c>
      <c r="AS683" t="s">
        <v>883</v>
      </c>
      <c r="AT683" t="s">
        <v>58</v>
      </c>
    </row>
    <row r="684" ht="29" spans="1:46">
      <c r="A684" s="31" t="s">
        <v>65</v>
      </c>
      <c r="C684" t="s">
        <v>4015</v>
      </c>
      <c r="D684" s="5" t="s">
        <v>57</v>
      </c>
      <c r="E684">
        <v>2035</v>
      </c>
      <c r="F684" s="6" t="str">
        <f t="shared" si="92"/>
        <v>*0.94</v>
      </c>
      <c r="H684" t="s">
        <v>4015</v>
      </c>
      <c r="I684" s="5" t="s">
        <v>57</v>
      </c>
      <c r="J684">
        <v>2050</v>
      </c>
      <c r="K684" s="38" t="str">
        <f t="shared" si="93"/>
        <v>*0.91</v>
      </c>
      <c r="P684" s="32" t="s">
        <v>4015</v>
      </c>
      <c r="Q684" s="42" t="s">
        <v>57</v>
      </c>
      <c r="R684" s="32">
        <v>2035</v>
      </c>
      <c r="S684" s="43" t="str">
        <f t="shared" si="94"/>
        <v>*0.93</v>
      </c>
      <c r="U684" s="32" t="s">
        <v>4015</v>
      </c>
      <c r="V684" s="42" t="s">
        <v>57</v>
      </c>
      <c r="W684" s="32">
        <v>2050</v>
      </c>
      <c r="X684" s="43" t="str">
        <f t="shared" si="95"/>
        <v>*0.9</v>
      </c>
      <c r="AC684" s="33" t="s">
        <v>4015</v>
      </c>
      <c r="AD684" s="44" t="s">
        <v>57</v>
      </c>
      <c r="AE684" s="33">
        <v>2035</v>
      </c>
      <c r="AF684" s="45" t="str">
        <f t="shared" si="96"/>
        <v>*0.9</v>
      </c>
      <c r="AG684" s="43" t="str">
        <f t="shared" si="99"/>
        <v>REZoning_Sol-Win</v>
      </c>
      <c r="AI684" s="33" t="s">
        <v>4015</v>
      </c>
      <c r="AJ684" s="44" t="s">
        <v>57</v>
      </c>
      <c r="AK684" s="33">
        <v>2050</v>
      </c>
      <c r="AL684" s="45" t="str">
        <f t="shared" si="97"/>
        <v>*0.86</v>
      </c>
      <c r="AM684" s="43" t="str">
        <f t="shared" si="100"/>
        <v>REZoning_Sol-Win</v>
      </c>
      <c r="AP684" t="s">
        <v>4015</v>
      </c>
      <c r="AQ684" t="s">
        <v>57</v>
      </c>
      <c r="AR684">
        <f t="shared" si="98"/>
        <v>2100</v>
      </c>
      <c r="AS684" t="s">
        <v>883</v>
      </c>
      <c r="AT684" t="s">
        <v>58</v>
      </c>
    </row>
    <row r="685" ht="29" spans="1:46">
      <c r="A685" s="31" t="s">
        <v>65</v>
      </c>
      <c r="C685" t="s">
        <v>4016</v>
      </c>
      <c r="D685" s="5" t="s">
        <v>57</v>
      </c>
      <c r="E685">
        <v>2035</v>
      </c>
      <c r="F685" s="6" t="str">
        <f t="shared" si="92"/>
        <v>*0.94</v>
      </c>
      <c r="H685" t="s">
        <v>4016</v>
      </c>
      <c r="I685" s="5" t="s">
        <v>57</v>
      </c>
      <c r="J685">
        <v>2050</v>
      </c>
      <c r="K685" s="38" t="str">
        <f t="shared" si="93"/>
        <v>*0.91</v>
      </c>
      <c r="P685" s="32" t="s">
        <v>4016</v>
      </c>
      <c r="Q685" s="42" t="s">
        <v>57</v>
      </c>
      <c r="R685" s="32">
        <v>2035</v>
      </c>
      <c r="S685" s="43" t="str">
        <f t="shared" si="94"/>
        <v>*0.93</v>
      </c>
      <c r="U685" s="32" t="s">
        <v>4016</v>
      </c>
      <c r="V685" s="42" t="s">
        <v>57</v>
      </c>
      <c r="W685" s="32">
        <v>2050</v>
      </c>
      <c r="X685" s="43" t="str">
        <f t="shared" si="95"/>
        <v>*0.9</v>
      </c>
      <c r="AC685" s="33" t="s">
        <v>4016</v>
      </c>
      <c r="AD685" s="44" t="s">
        <v>57</v>
      </c>
      <c r="AE685" s="33">
        <v>2035</v>
      </c>
      <c r="AF685" s="45" t="str">
        <f t="shared" si="96"/>
        <v>*0.9</v>
      </c>
      <c r="AG685" s="43" t="str">
        <f t="shared" si="99"/>
        <v>REZoning_Sol-Win</v>
      </c>
      <c r="AI685" s="33" t="s">
        <v>4016</v>
      </c>
      <c r="AJ685" s="44" t="s">
        <v>57</v>
      </c>
      <c r="AK685" s="33">
        <v>2050</v>
      </c>
      <c r="AL685" s="45" t="str">
        <f t="shared" si="97"/>
        <v>*0.86</v>
      </c>
      <c r="AM685" s="43" t="str">
        <f t="shared" si="100"/>
        <v>REZoning_Sol-Win</v>
      </c>
      <c r="AP685" t="s">
        <v>4016</v>
      </c>
      <c r="AQ685" t="s">
        <v>57</v>
      </c>
      <c r="AR685">
        <f t="shared" si="98"/>
        <v>2100</v>
      </c>
      <c r="AS685" t="s">
        <v>883</v>
      </c>
      <c r="AT685" t="s">
        <v>58</v>
      </c>
    </row>
    <row r="686" ht="29" spans="1:46">
      <c r="A686" s="31" t="s">
        <v>65</v>
      </c>
      <c r="C686" t="s">
        <v>4017</v>
      </c>
      <c r="D686" s="5" t="s">
        <v>57</v>
      </c>
      <c r="E686">
        <v>2035</v>
      </c>
      <c r="F686" s="6" t="str">
        <f t="shared" si="92"/>
        <v>*0.94</v>
      </c>
      <c r="H686" t="s">
        <v>4017</v>
      </c>
      <c r="I686" s="5" t="s">
        <v>57</v>
      </c>
      <c r="J686">
        <v>2050</v>
      </c>
      <c r="K686" s="38" t="str">
        <f t="shared" si="93"/>
        <v>*0.91</v>
      </c>
      <c r="P686" s="32" t="s">
        <v>4017</v>
      </c>
      <c r="Q686" s="42" t="s">
        <v>57</v>
      </c>
      <c r="R686" s="32">
        <v>2035</v>
      </c>
      <c r="S686" s="43" t="str">
        <f t="shared" si="94"/>
        <v>*0.93</v>
      </c>
      <c r="U686" s="32" t="s">
        <v>4017</v>
      </c>
      <c r="V686" s="42" t="s">
        <v>57</v>
      </c>
      <c r="W686" s="32">
        <v>2050</v>
      </c>
      <c r="X686" s="43" t="str">
        <f t="shared" si="95"/>
        <v>*0.9</v>
      </c>
      <c r="AC686" s="33" t="s">
        <v>4017</v>
      </c>
      <c r="AD686" s="44" t="s">
        <v>57</v>
      </c>
      <c r="AE686" s="33">
        <v>2035</v>
      </c>
      <c r="AF686" s="45" t="str">
        <f t="shared" si="96"/>
        <v>*0.9</v>
      </c>
      <c r="AG686" s="43" t="str">
        <f t="shared" si="99"/>
        <v>REZoning_Sol-Win</v>
      </c>
      <c r="AI686" s="33" t="s">
        <v>4017</v>
      </c>
      <c r="AJ686" s="44" t="s">
        <v>57</v>
      </c>
      <c r="AK686" s="33">
        <v>2050</v>
      </c>
      <c r="AL686" s="45" t="str">
        <f t="shared" si="97"/>
        <v>*0.86</v>
      </c>
      <c r="AM686" s="43" t="str">
        <f t="shared" si="100"/>
        <v>REZoning_Sol-Win</v>
      </c>
      <c r="AP686" t="s">
        <v>4017</v>
      </c>
      <c r="AQ686" t="s">
        <v>57</v>
      </c>
      <c r="AR686">
        <f t="shared" si="98"/>
        <v>2100</v>
      </c>
      <c r="AS686" t="s">
        <v>883</v>
      </c>
      <c r="AT686" t="s">
        <v>58</v>
      </c>
    </row>
    <row r="687" ht="29" spans="1:46">
      <c r="A687" s="31" t="s">
        <v>65</v>
      </c>
      <c r="C687" t="s">
        <v>4018</v>
      </c>
      <c r="D687" s="5" t="s">
        <v>57</v>
      </c>
      <c r="E687">
        <v>2035</v>
      </c>
      <c r="F687" s="6" t="str">
        <f t="shared" si="92"/>
        <v>*0.94</v>
      </c>
      <c r="H687" t="s">
        <v>4018</v>
      </c>
      <c r="I687" s="5" t="s">
        <v>57</v>
      </c>
      <c r="J687">
        <v>2050</v>
      </c>
      <c r="K687" s="38" t="str">
        <f t="shared" si="93"/>
        <v>*0.91</v>
      </c>
      <c r="P687" s="32" t="s">
        <v>4018</v>
      </c>
      <c r="Q687" s="42" t="s">
        <v>57</v>
      </c>
      <c r="R687" s="32">
        <v>2035</v>
      </c>
      <c r="S687" s="43" t="str">
        <f t="shared" si="94"/>
        <v>*0.93</v>
      </c>
      <c r="U687" s="32" t="s">
        <v>4018</v>
      </c>
      <c r="V687" s="42" t="s">
        <v>57</v>
      </c>
      <c r="W687" s="32">
        <v>2050</v>
      </c>
      <c r="X687" s="43" t="str">
        <f t="shared" si="95"/>
        <v>*0.9</v>
      </c>
      <c r="AC687" s="33" t="s">
        <v>4018</v>
      </c>
      <c r="AD687" s="44" t="s">
        <v>57</v>
      </c>
      <c r="AE687" s="33">
        <v>2035</v>
      </c>
      <c r="AF687" s="45" t="str">
        <f t="shared" si="96"/>
        <v>*0.9</v>
      </c>
      <c r="AG687" s="43" t="str">
        <f t="shared" si="99"/>
        <v>REZoning_Sol-Win</v>
      </c>
      <c r="AI687" s="33" t="s">
        <v>4018</v>
      </c>
      <c r="AJ687" s="44" t="s">
        <v>57</v>
      </c>
      <c r="AK687" s="33">
        <v>2050</v>
      </c>
      <c r="AL687" s="45" t="str">
        <f t="shared" si="97"/>
        <v>*0.86</v>
      </c>
      <c r="AM687" s="43" t="str">
        <f t="shared" si="100"/>
        <v>REZoning_Sol-Win</v>
      </c>
      <c r="AP687" t="s">
        <v>4018</v>
      </c>
      <c r="AQ687" t="s">
        <v>57</v>
      </c>
      <c r="AR687">
        <f t="shared" si="98"/>
        <v>2100</v>
      </c>
      <c r="AS687" t="s">
        <v>883</v>
      </c>
      <c r="AT687" t="s">
        <v>58</v>
      </c>
    </row>
    <row r="688" ht="29" spans="1:46">
      <c r="A688" s="31" t="s">
        <v>65</v>
      </c>
      <c r="C688" t="s">
        <v>4019</v>
      </c>
      <c r="D688" s="5" t="s">
        <v>57</v>
      </c>
      <c r="E688">
        <v>2035</v>
      </c>
      <c r="F688" s="6" t="str">
        <f t="shared" si="92"/>
        <v>*0.94</v>
      </c>
      <c r="H688" t="s">
        <v>4019</v>
      </c>
      <c r="I688" s="5" t="s">
        <v>57</v>
      </c>
      <c r="J688">
        <v>2050</v>
      </c>
      <c r="K688" s="38" t="str">
        <f t="shared" si="93"/>
        <v>*0.91</v>
      </c>
      <c r="P688" s="32" t="s">
        <v>4019</v>
      </c>
      <c r="Q688" s="42" t="s">
        <v>57</v>
      </c>
      <c r="R688" s="32">
        <v>2035</v>
      </c>
      <c r="S688" s="43" t="str">
        <f t="shared" si="94"/>
        <v>*0.93</v>
      </c>
      <c r="U688" s="32" t="s">
        <v>4019</v>
      </c>
      <c r="V688" s="42" t="s">
        <v>57</v>
      </c>
      <c r="W688" s="32">
        <v>2050</v>
      </c>
      <c r="X688" s="43" t="str">
        <f t="shared" si="95"/>
        <v>*0.9</v>
      </c>
      <c r="AC688" s="33" t="s">
        <v>4019</v>
      </c>
      <c r="AD688" s="44" t="s">
        <v>57</v>
      </c>
      <c r="AE688" s="33">
        <v>2035</v>
      </c>
      <c r="AF688" s="45" t="str">
        <f t="shared" si="96"/>
        <v>*0.9</v>
      </c>
      <c r="AG688" s="43" t="str">
        <f t="shared" si="99"/>
        <v>REZoning_Sol-Win</v>
      </c>
      <c r="AI688" s="33" t="s">
        <v>4019</v>
      </c>
      <c r="AJ688" s="44" t="s">
        <v>57</v>
      </c>
      <c r="AK688" s="33">
        <v>2050</v>
      </c>
      <c r="AL688" s="45" t="str">
        <f t="shared" si="97"/>
        <v>*0.86</v>
      </c>
      <c r="AM688" s="43" t="str">
        <f t="shared" si="100"/>
        <v>REZoning_Sol-Win</v>
      </c>
      <c r="AP688" t="s">
        <v>4019</v>
      </c>
      <c r="AQ688" t="s">
        <v>57</v>
      </c>
      <c r="AR688">
        <f t="shared" si="98"/>
        <v>2100</v>
      </c>
      <c r="AS688" t="s">
        <v>883</v>
      </c>
      <c r="AT688" t="s">
        <v>58</v>
      </c>
    </row>
    <row r="689" ht="29" spans="1:46">
      <c r="A689" s="31" t="s">
        <v>65</v>
      </c>
      <c r="C689" t="s">
        <v>4020</v>
      </c>
      <c r="D689" s="5" t="s">
        <v>57</v>
      </c>
      <c r="E689">
        <v>2035</v>
      </c>
      <c r="F689" s="6" t="str">
        <f t="shared" si="92"/>
        <v>*0.94</v>
      </c>
      <c r="H689" t="s">
        <v>4020</v>
      </c>
      <c r="I689" s="5" t="s">
        <v>57</v>
      </c>
      <c r="J689">
        <v>2050</v>
      </c>
      <c r="K689" s="38" t="str">
        <f t="shared" si="93"/>
        <v>*0.91</v>
      </c>
      <c r="P689" s="32" t="s">
        <v>4020</v>
      </c>
      <c r="Q689" s="42" t="s">
        <v>57</v>
      </c>
      <c r="R689" s="32">
        <v>2035</v>
      </c>
      <c r="S689" s="43" t="str">
        <f t="shared" si="94"/>
        <v>*0.93</v>
      </c>
      <c r="U689" s="32" t="s">
        <v>4020</v>
      </c>
      <c r="V689" s="42" t="s">
        <v>57</v>
      </c>
      <c r="W689" s="32">
        <v>2050</v>
      </c>
      <c r="X689" s="43" t="str">
        <f t="shared" si="95"/>
        <v>*0.9</v>
      </c>
      <c r="AC689" s="33" t="s">
        <v>4020</v>
      </c>
      <c r="AD689" s="44" t="s">
        <v>57</v>
      </c>
      <c r="AE689" s="33">
        <v>2035</v>
      </c>
      <c r="AF689" s="45" t="str">
        <f t="shared" si="96"/>
        <v>*0.9</v>
      </c>
      <c r="AG689" s="43" t="str">
        <f t="shared" si="99"/>
        <v>REZoning_Sol-Win</v>
      </c>
      <c r="AI689" s="33" t="s">
        <v>4020</v>
      </c>
      <c r="AJ689" s="44" t="s">
        <v>57</v>
      </c>
      <c r="AK689" s="33">
        <v>2050</v>
      </c>
      <c r="AL689" s="45" t="str">
        <f t="shared" si="97"/>
        <v>*0.86</v>
      </c>
      <c r="AM689" s="43" t="str">
        <f t="shared" si="100"/>
        <v>REZoning_Sol-Win</v>
      </c>
      <c r="AP689" t="s">
        <v>4020</v>
      </c>
      <c r="AQ689" t="s">
        <v>57</v>
      </c>
      <c r="AR689">
        <f t="shared" si="98"/>
        <v>2100</v>
      </c>
      <c r="AS689" t="s">
        <v>883</v>
      </c>
      <c r="AT689" t="s">
        <v>58</v>
      </c>
    </row>
    <row r="690" ht="29" spans="1:46">
      <c r="A690" s="31" t="s">
        <v>65</v>
      </c>
      <c r="C690" t="s">
        <v>4021</v>
      </c>
      <c r="D690" s="5" t="s">
        <v>57</v>
      </c>
      <c r="E690">
        <v>2035</v>
      </c>
      <c r="F690" s="6" t="str">
        <f t="shared" si="92"/>
        <v>*0.94</v>
      </c>
      <c r="H690" t="s">
        <v>4021</v>
      </c>
      <c r="I690" s="5" t="s">
        <v>57</v>
      </c>
      <c r="J690">
        <v>2050</v>
      </c>
      <c r="K690" s="38" t="str">
        <f t="shared" si="93"/>
        <v>*0.91</v>
      </c>
      <c r="P690" s="32" t="s">
        <v>4021</v>
      </c>
      <c r="Q690" s="42" t="s">
        <v>57</v>
      </c>
      <c r="R690" s="32">
        <v>2035</v>
      </c>
      <c r="S690" s="43" t="str">
        <f t="shared" si="94"/>
        <v>*0.93</v>
      </c>
      <c r="U690" s="32" t="s">
        <v>4021</v>
      </c>
      <c r="V690" s="42" t="s">
        <v>57</v>
      </c>
      <c r="W690" s="32">
        <v>2050</v>
      </c>
      <c r="X690" s="43" t="str">
        <f t="shared" si="95"/>
        <v>*0.9</v>
      </c>
      <c r="AC690" s="33" t="s">
        <v>4021</v>
      </c>
      <c r="AD690" s="44" t="s">
        <v>57</v>
      </c>
      <c r="AE690" s="33">
        <v>2035</v>
      </c>
      <c r="AF690" s="45" t="str">
        <f t="shared" si="96"/>
        <v>*0.9</v>
      </c>
      <c r="AG690" s="43" t="str">
        <f t="shared" si="99"/>
        <v>REZoning_Sol-Win</v>
      </c>
      <c r="AI690" s="33" t="s">
        <v>4021</v>
      </c>
      <c r="AJ690" s="44" t="s">
        <v>57</v>
      </c>
      <c r="AK690" s="33">
        <v>2050</v>
      </c>
      <c r="AL690" s="45" t="str">
        <f t="shared" si="97"/>
        <v>*0.86</v>
      </c>
      <c r="AM690" s="43" t="str">
        <f t="shared" si="100"/>
        <v>REZoning_Sol-Win</v>
      </c>
      <c r="AP690" t="s">
        <v>4021</v>
      </c>
      <c r="AQ690" t="s">
        <v>57</v>
      </c>
      <c r="AR690">
        <f t="shared" si="98"/>
        <v>2100</v>
      </c>
      <c r="AS690" t="s">
        <v>883</v>
      </c>
      <c r="AT690" t="s">
        <v>58</v>
      </c>
    </row>
    <row r="691" ht="29" spans="1:46">
      <c r="A691" s="31" t="s">
        <v>65</v>
      </c>
      <c r="C691" t="s">
        <v>4022</v>
      </c>
      <c r="D691" s="5" t="s">
        <v>57</v>
      </c>
      <c r="E691">
        <v>2035</v>
      </c>
      <c r="F691" s="6" t="str">
        <f t="shared" si="92"/>
        <v>*0.94</v>
      </c>
      <c r="H691" t="s">
        <v>4022</v>
      </c>
      <c r="I691" s="5" t="s">
        <v>57</v>
      </c>
      <c r="J691">
        <v>2050</v>
      </c>
      <c r="K691" s="38" t="str">
        <f t="shared" si="93"/>
        <v>*0.91</v>
      </c>
      <c r="P691" s="32" t="s">
        <v>4022</v>
      </c>
      <c r="Q691" s="42" t="s">
        <v>57</v>
      </c>
      <c r="R691" s="32">
        <v>2035</v>
      </c>
      <c r="S691" s="43" t="str">
        <f t="shared" si="94"/>
        <v>*0.93</v>
      </c>
      <c r="U691" s="32" t="s">
        <v>4022</v>
      </c>
      <c r="V691" s="42" t="s">
        <v>57</v>
      </c>
      <c r="W691" s="32">
        <v>2050</v>
      </c>
      <c r="X691" s="43" t="str">
        <f t="shared" si="95"/>
        <v>*0.9</v>
      </c>
      <c r="AC691" s="33" t="s">
        <v>4022</v>
      </c>
      <c r="AD691" s="44" t="s">
        <v>57</v>
      </c>
      <c r="AE691" s="33">
        <v>2035</v>
      </c>
      <c r="AF691" s="45" t="str">
        <f t="shared" si="96"/>
        <v>*0.9</v>
      </c>
      <c r="AG691" s="43" t="str">
        <f t="shared" si="99"/>
        <v>REZoning_Sol-Win</v>
      </c>
      <c r="AI691" s="33" t="s">
        <v>4022</v>
      </c>
      <c r="AJ691" s="44" t="s">
        <v>57</v>
      </c>
      <c r="AK691" s="33">
        <v>2050</v>
      </c>
      <c r="AL691" s="45" t="str">
        <f t="shared" si="97"/>
        <v>*0.86</v>
      </c>
      <c r="AM691" s="43" t="str">
        <f t="shared" si="100"/>
        <v>REZoning_Sol-Win</v>
      </c>
      <c r="AP691" t="s">
        <v>4022</v>
      </c>
      <c r="AQ691" t="s">
        <v>57</v>
      </c>
      <c r="AR691">
        <f t="shared" si="98"/>
        <v>2100</v>
      </c>
      <c r="AS691" t="s">
        <v>883</v>
      </c>
      <c r="AT691" t="s">
        <v>58</v>
      </c>
    </row>
    <row r="692" ht="29" spans="1:46">
      <c r="A692" s="31" t="s">
        <v>65</v>
      </c>
      <c r="C692" t="s">
        <v>4023</v>
      </c>
      <c r="D692" s="5" t="s">
        <v>57</v>
      </c>
      <c r="E692">
        <v>2035</v>
      </c>
      <c r="F692" s="6" t="str">
        <f t="shared" si="92"/>
        <v>*0.94</v>
      </c>
      <c r="H692" t="s">
        <v>4023</v>
      </c>
      <c r="I692" s="5" t="s">
        <v>57</v>
      </c>
      <c r="J692">
        <v>2050</v>
      </c>
      <c r="K692" s="38" t="str">
        <f t="shared" si="93"/>
        <v>*0.91</v>
      </c>
      <c r="P692" s="32" t="s">
        <v>4023</v>
      </c>
      <c r="Q692" s="42" t="s">
        <v>57</v>
      </c>
      <c r="R692" s="32">
        <v>2035</v>
      </c>
      <c r="S692" s="43" t="str">
        <f t="shared" si="94"/>
        <v>*0.93</v>
      </c>
      <c r="U692" s="32" t="s">
        <v>4023</v>
      </c>
      <c r="V692" s="42" t="s">
        <v>57</v>
      </c>
      <c r="W692" s="32">
        <v>2050</v>
      </c>
      <c r="X692" s="43" t="str">
        <f t="shared" si="95"/>
        <v>*0.9</v>
      </c>
      <c r="AC692" s="33" t="s">
        <v>4023</v>
      </c>
      <c r="AD692" s="44" t="s">
        <v>57</v>
      </c>
      <c r="AE692" s="33">
        <v>2035</v>
      </c>
      <c r="AF692" s="45" t="str">
        <f t="shared" si="96"/>
        <v>*0.9</v>
      </c>
      <c r="AG692" s="43" t="str">
        <f t="shared" si="99"/>
        <v>REZoning_Sol-Win</v>
      </c>
      <c r="AI692" s="33" t="s">
        <v>4023</v>
      </c>
      <c r="AJ692" s="44" t="s">
        <v>57</v>
      </c>
      <c r="AK692" s="33">
        <v>2050</v>
      </c>
      <c r="AL692" s="45" t="str">
        <f t="shared" si="97"/>
        <v>*0.86</v>
      </c>
      <c r="AM692" s="43" t="str">
        <f t="shared" si="100"/>
        <v>REZoning_Sol-Win</v>
      </c>
      <c r="AP692" t="s">
        <v>4023</v>
      </c>
      <c r="AQ692" t="s">
        <v>57</v>
      </c>
      <c r="AR692">
        <f t="shared" si="98"/>
        <v>2100</v>
      </c>
      <c r="AS692" t="s">
        <v>883</v>
      </c>
      <c r="AT692" t="s">
        <v>58</v>
      </c>
    </row>
    <row r="693" ht="29" spans="1:46">
      <c r="A693" s="31" t="s">
        <v>65</v>
      </c>
      <c r="C693" t="s">
        <v>4024</v>
      </c>
      <c r="D693" s="5" t="s">
        <v>57</v>
      </c>
      <c r="E693">
        <v>2035</v>
      </c>
      <c r="F693" s="6" t="str">
        <f t="shared" si="92"/>
        <v>*0.94</v>
      </c>
      <c r="H693" t="s">
        <v>4024</v>
      </c>
      <c r="I693" s="5" t="s">
        <v>57</v>
      </c>
      <c r="J693">
        <v>2050</v>
      </c>
      <c r="K693" s="38" t="str">
        <f t="shared" si="93"/>
        <v>*0.91</v>
      </c>
      <c r="P693" s="32" t="s">
        <v>4024</v>
      </c>
      <c r="Q693" s="42" t="s">
        <v>57</v>
      </c>
      <c r="R693" s="32">
        <v>2035</v>
      </c>
      <c r="S693" s="43" t="str">
        <f t="shared" si="94"/>
        <v>*0.93</v>
      </c>
      <c r="U693" s="32" t="s">
        <v>4024</v>
      </c>
      <c r="V693" s="42" t="s">
        <v>57</v>
      </c>
      <c r="W693" s="32">
        <v>2050</v>
      </c>
      <c r="X693" s="43" t="str">
        <f t="shared" si="95"/>
        <v>*0.9</v>
      </c>
      <c r="AC693" s="33" t="s">
        <v>4024</v>
      </c>
      <c r="AD693" s="44" t="s">
        <v>57</v>
      </c>
      <c r="AE693" s="33">
        <v>2035</v>
      </c>
      <c r="AF693" s="45" t="str">
        <f t="shared" si="96"/>
        <v>*0.9</v>
      </c>
      <c r="AG693" s="43" t="str">
        <f t="shared" si="99"/>
        <v>REZoning_Sol-Win</v>
      </c>
      <c r="AI693" s="33" t="s">
        <v>4024</v>
      </c>
      <c r="AJ693" s="44" t="s">
        <v>57</v>
      </c>
      <c r="AK693" s="33">
        <v>2050</v>
      </c>
      <c r="AL693" s="45" t="str">
        <f t="shared" si="97"/>
        <v>*0.86</v>
      </c>
      <c r="AM693" s="43" t="str">
        <f t="shared" si="100"/>
        <v>REZoning_Sol-Win</v>
      </c>
      <c r="AP693" t="s">
        <v>4024</v>
      </c>
      <c r="AQ693" t="s">
        <v>57</v>
      </c>
      <c r="AR693">
        <f t="shared" si="98"/>
        <v>2100</v>
      </c>
      <c r="AS693" t="s">
        <v>883</v>
      </c>
      <c r="AT693" t="s">
        <v>58</v>
      </c>
    </row>
    <row r="694" ht="29" spans="1:46">
      <c r="A694" s="31" t="s">
        <v>65</v>
      </c>
      <c r="C694" t="s">
        <v>4025</v>
      </c>
      <c r="D694" s="5" t="s">
        <v>57</v>
      </c>
      <c r="E694">
        <v>2035</v>
      </c>
      <c r="F694" s="6" t="str">
        <f t="shared" si="92"/>
        <v>*0.94</v>
      </c>
      <c r="H694" t="s">
        <v>4025</v>
      </c>
      <c r="I694" s="5" t="s">
        <v>57</v>
      </c>
      <c r="J694">
        <v>2050</v>
      </c>
      <c r="K694" s="38" t="str">
        <f t="shared" si="93"/>
        <v>*0.91</v>
      </c>
      <c r="P694" s="32" t="s">
        <v>4025</v>
      </c>
      <c r="Q694" s="42" t="s">
        <v>57</v>
      </c>
      <c r="R694" s="32">
        <v>2035</v>
      </c>
      <c r="S694" s="43" t="str">
        <f t="shared" si="94"/>
        <v>*0.93</v>
      </c>
      <c r="U694" s="32" t="s">
        <v>4025</v>
      </c>
      <c r="V694" s="42" t="s">
        <v>57</v>
      </c>
      <c r="W694" s="32">
        <v>2050</v>
      </c>
      <c r="X694" s="43" t="str">
        <f t="shared" si="95"/>
        <v>*0.9</v>
      </c>
      <c r="AC694" s="33" t="s">
        <v>4025</v>
      </c>
      <c r="AD694" s="44" t="s">
        <v>57</v>
      </c>
      <c r="AE694" s="33">
        <v>2035</v>
      </c>
      <c r="AF694" s="45" t="str">
        <f t="shared" si="96"/>
        <v>*0.9</v>
      </c>
      <c r="AG694" s="43" t="str">
        <f t="shared" si="99"/>
        <v>REZoning_Sol-Win</v>
      </c>
      <c r="AI694" s="33" t="s">
        <v>4025</v>
      </c>
      <c r="AJ694" s="44" t="s">
        <v>57</v>
      </c>
      <c r="AK694" s="33">
        <v>2050</v>
      </c>
      <c r="AL694" s="45" t="str">
        <f t="shared" si="97"/>
        <v>*0.86</v>
      </c>
      <c r="AM694" s="43" t="str">
        <f t="shared" si="100"/>
        <v>REZoning_Sol-Win</v>
      </c>
      <c r="AP694" t="s">
        <v>4025</v>
      </c>
      <c r="AQ694" t="s">
        <v>57</v>
      </c>
      <c r="AR694">
        <f t="shared" si="98"/>
        <v>2100</v>
      </c>
      <c r="AS694" t="s">
        <v>883</v>
      </c>
      <c r="AT694" t="s">
        <v>58</v>
      </c>
    </row>
    <row r="695" ht="29" spans="1:46">
      <c r="A695" s="31" t="s">
        <v>65</v>
      </c>
      <c r="C695" t="s">
        <v>4026</v>
      </c>
      <c r="D695" s="5" t="s">
        <v>57</v>
      </c>
      <c r="E695">
        <v>2035</v>
      </c>
      <c r="F695" s="6" t="str">
        <f t="shared" si="92"/>
        <v>*0.94</v>
      </c>
      <c r="H695" t="s">
        <v>4026</v>
      </c>
      <c r="I695" s="5" t="s">
        <v>57</v>
      </c>
      <c r="J695">
        <v>2050</v>
      </c>
      <c r="K695" s="38" t="str">
        <f t="shared" si="93"/>
        <v>*0.91</v>
      </c>
      <c r="P695" s="32" t="s">
        <v>4026</v>
      </c>
      <c r="Q695" s="42" t="s">
        <v>57</v>
      </c>
      <c r="R695" s="32">
        <v>2035</v>
      </c>
      <c r="S695" s="43" t="str">
        <f t="shared" si="94"/>
        <v>*0.93</v>
      </c>
      <c r="U695" s="32" t="s">
        <v>4026</v>
      </c>
      <c r="V695" s="42" t="s">
        <v>57</v>
      </c>
      <c r="W695" s="32">
        <v>2050</v>
      </c>
      <c r="X695" s="43" t="str">
        <f t="shared" si="95"/>
        <v>*0.9</v>
      </c>
      <c r="AC695" s="33" t="s">
        <v>4026</v>
      </c>
      <c r="AD695" s="44" t="s">
        <v>57</v>
      </c>
      <c r="AE695" s="33">
        <v>2035</v>
      </c>
      <c r="AF695" s="45" t="str">
        <f t="shared" si="96"/>
        <v>*0.9</v>
      </c>
      <c r="AG695" s="43" t="str">
        <f t="shared" si="99"/>
        <v>REZoning_Sol-Win</v>
      </c>
      <c r="AI695" s="33" t="s">
        <v>4026</v>
      </c>
      <c r="AJ695" s="44" t="s">
        <v>57</v>
      </c>
      <c r="AK695" s="33">
        <v>2050</v>
      </c>
      <c r="AL695" s="45" t="str">
        <f t="shared" si="97"/>
        <v>*0.86</v>
      </c>
      <c r="AM695" s="43" t="str">
        <f t="shared" si="100"/>
        <v>REZoning_Sol-Win</v>
      </c>
      <c r="AP695" t="s">
        <v>4026</v>
      </c>
      <c r="AQ695" t="s">
        <v>57</v>
      </c>
      <c r="AR695">
        <f t="shared" si="98"/>
        <v>2100</v>
      </c>
      <c r="AS695" t="s">
        <v>883</v>
      </c>
      <c r="AT695" t="s">
        <v>58</v>
      </c>
    </row>
    <row r="696" ht="29" spans="1:46">
      <c r="A696" s="31" t="s">
        <v>65</v>
      </c>
      <c r="C696" t="s">
        <v>4027</v>
      </c>
      <c r="D696" s="5" t="s">
        <v>57</v>
      </c>
      <c r="E696">
        <v>2035</v>
      </c>
      <c r="F696" s="6" t="str">
        <f t="shared" si="92"/>
        <v>*0.94</v>
      </c>
      <c r="H696" t="s">
        <v>4027</v>
      </c>
      <c r="I696" s="5" t="s">
        <v>57</v>
      </c>
      <c r="J696">
        <v>2050</v>
      </c>
      <c r="K696" s="38" t="str">
        <f t="shared" si="93"/>
        <v>*0.91</v>
      </c>
      <c r="P696" s="32" t="s">
        <v>4027</v>
      </c>
      <c r="Q696" s="42" t="s">
        <v>57</v>
      </c>
      <c r="R696" s="32">
        <v>2035</v>
      </c>
      <c r="S696" s="43" t="str">
        <f t="shared" si="94"/>
        <v>*0.93</v>
      </c>
      <c r="U696" s="32" t="s">
        <v>4027</v>
      </c>
      <c r="V696" s="42" t="s">
        <v>57</v>
      </c>
      <c r="W696" s="32">
        <v>2050</v>
      </c>
      <c r="X696" s="43" t="str">
        <f t="shared" si="95"/>
        <v>*0.9</v>
      </c>
      <c r="AC696" s="33" t="s">
        <v>4027</v>
      </c>
      <c r="AD696" s="44" t="s">
        <v>57</v>
      </c>
      <c r="AE696" s="33">
        <v>2035</v>
      </c>
      <c r="AF696" s="45" t="str">
        <f t="shared" si="96"/>
        <v>*0.9</v>
      </c>
      <c r="AG696" s="43" t="str">
        <f t="shared" si="99"/>
        <v>REZoning_Sol-Win</v>
      </c>
      <c r="AI696" s="33" t="s">
        <v>4027</v>
      </c>
      <c r="AJ696" s="44" t="s">
        <v>57</v>
      </c>
      <c r="AK696" s="33">
        <v>2050</v>
      </c>
      <c r="AL696" s="45" t="str">
        <f t="shared" si="97"/>
        <v>*0.86</v>
      </c>
      <c r="AM696" s="43" t="str">
        <f t="shared" si="100"/>
        <v>REZoning_Sol-Win</v>
      </c>
      <c r="AP696" t="s">
        <v>4027</v>
      </c>
      <c r="AQ696" t="s">
        <v>57</v>
      </c>
      <c r="AR696">
        <f t="shared" si="98"/>
        <v>2100</v>
      </c>
      <c r="AS696" t="s">
        <v>883</v>
      </c>
      <c r="AT696" t="s">
        <v>58</v>
      </c>
    </row>
    <row r="697" ht="29" spans="1:46">
      <c r="A697" s="31" t="s">
        <v>65</v>
      </c>
      <c r="C697" t="s">
        <v>4028</v>
      </c>
      <c r="D697" s="5" t="s">
        <v>57</v>
      </c>
      <c r="E697">
        <v>2035</v>
      </c>
      <c r="F697" s="6" t="str">
        <f t="shared" si="92"/>
        <v>*0.94</v>
      </c>
      <c r="H697" t="s">
        <v>4028</v>
      </c>
      <c r="I697" s="5" t="s">
        <v>57</v>
      </c>
      <c r="J697">
        <v>2050</v>
      </c>
      <c r="K697" s="38" t="str">
        <f t="shared" si="93"/>
        <v>*0.91</v>
      </c>
      <c r="P697" s="32" t="s">
        <v>4028</v>
      </c>
      <c r="Q697" s="42" t="s">
        <v>57</v>
      </c>
      <c r="R697" s="32">
        <v>2035</v>
      </c>
      <c r="S697" s="43" t="str">
        <f t="shared" si="94"/>
        <v>*0.93</v>
      </c>
      <c r="U697" s="32" t="s">
        <v>4028</v>
      </c>
      <c r="V697" s="42" t="s">
        <v>57</v>
      </c>
      <c r="W697" s="32">
        <v>2050</v>
      </c>
      <c r="X697" s="43" t="str">
        <f t="shared" si="95"/>
        <v>*0.9</v>
      </c>
      <c r="AC697" s="33" t="s">
        <v>4028</v>
      </c>
      <c r="AD697" s="44" t="s">
        <v>57</v>
      </c>
      <c r="AE697" s="33">
        <v>2035</v>
      </c>
      <c r="AF697" s="45" t="str">
        <f t="shared" si="96"/>
        <v>*0.9</v>
      </c>
      <c r="AG697" s="43" t="str">
        <f t="shared" si="99"/>
        <v>REZoning_Sol-Win</v>
      </c>
      <c r="AI697" s="33" t="s">
        <v>4028</v>
      </c>
      <c r="AJ697" s="44" t="s">
        <v>57</v>
      </c>
      <c r="AK697" s="33">
        <v>2050</v>
      </c>
      <c r="AL697" s="45" t="str">
        <f t="shared" si="97"/>
        <v>*0.86</v>
      </c>
      <c r="AM697" s="43" t="str">
        <f t="shared" si="100"/>
        <v>REZoning_Sol-Win</v>
      </c>
      <c r="AP697" t="s">
        <v>4028</v>
      </c>
      <c r="AQ697" t="s">
        <v>57</v>
      </c>
      <c r="AR697">
        <f t="shared" si="98"/>
        <v>2100</v>
      </c>
      <c r="AS697" t="s">
        <v>883</v>
      </c>
      <c r="AT697" t="s">
        <v>58</v>
      </c>
    </row>
    <row r="698" ht="29" spans="1:46">
      <c r="A698" s="31" t="s">
        <v>65</v>
      </c>
      <c r="C698" t="s">
        <v>4029</v>
      </c>
      <c r="D698" s="5" t="s">
        <v>57</v>
      </c>
      <c r="E698">
        <v>2035</v>
      </c>
      <c r="F698" s="6" t="str">
        <f t="shared" si="92"/>
        <v>*0.94</v>
      </c>
      <c r="H698" t="s">
        <v>4029</v>
      </c>
      <c r="I698" s="5" t="s">
        <v>57</v>
      </c>
      <c r="J698">
        <v>2050</v>
      </c>
      <c r="K698" s="38" t="str">
        <f t="shared" si="93"/>
        <v>*0.91</v>
      </c>
      <c r="P698" s="32" t="s">
        <v>4029</v>
      </c>
      <c r="Q698" s="42" t="s">
        <v>57</v>
      </c>
      <c r="R698" s="32">
        <v>2035</v>
      </c>
      <c r="S698" s="43" t="str">
        <f t="shared" si="94"/>
        <v>*0.93</v>
      </c>
      <c r="U698" s="32" t="s">
        <v>4029</v>
      </c>
      <c r="V698" s="42" t="s">
        <v>57</v>
      </c>
      <c r="W698" s="32">
        <v>2050</v>
      </c>
      <c r="X698" s="43" t="str">
        <f t="shared" si="95"/>
        <v>*0.9</v>
      </c>
      <c r="AC698" s="33" t="s">
        <v>4029</v>
      </c>
      <c r="AD698" s="44" t="s">
        <v>57</v>
      </c>
      <c r="AE698" s="33">
        <v>2035</v>
      </c>
      <c r="AF698" s="45" t="str">
        <f t="shared" si="96"/>
        <v>*0.9</v>
      </c>
      <c r="AG698" s="43" t="str">
        <f t="shared" si="99"/>
        <v>REZoning_Sol-Win</v>
      </c>
      <c r="AI698" s="33" t="s">
        <v>4029</v>
      </c>
      <c r="AJ698" s="44" t="s">
        <v>57</v>
      </c>
      <c r="AK698" s="33">
        <v>2050</v>
      </c>
      <c r="AL698" s="45" t="str">
        <f t="shared" si="97"/>
        <v>*0.86</v>
      </c>
      <c r="AM698" s="43" t="str">
        <f t="shared" si="100"/>
        <v>REZoning_Sol-Win</v>
      </c>
      <c r="AP698" t="s">
        <v>4029</v>
      </c>
      <c r="AQ698" t="s">
        <v>57</v>
      </c>
      <c r="AR698">
        <f t="shared" si="98"/>
        <v>2100</v>
      </c>
      <c r="AS698" t="s">
        <v>883</v>
      </c>
      <c r="AT698" t="s">
        <v>58</v>
      </c>
    </row>
    <row r="699" ht="29" spans="1:46">
      <c r="A699" s="31" t="s">
        <v>65</v>
      </c>
      <c r="C699" t="s">
        <v>4030</v>
      </c>
      <c r="D699" s="5" t="s">
        <v>57</v>
      </c>
      <c r="E699">
        <v>2035</v>
      </c>
      <c r="F699" s="6" t="str">
        <f t="shared" si="92"/>
        <v>*0.94</v>
      </c>
      <c r="H699" t="s">
        <v>4030</v>
      </c>
      <c r="I699" s="5" t="s">
        <v>57</v>
      </c>
      <c r="J699">
        <v>2050</v>
      </c>
      <c r="K699" s="38" t="str">
        <f t="shared" si="93"/>
        <v>*0.91</v>
      </c>
      <c r="P699" s="32" t="s">
        <v>4030</v>
      </c>
      <c r="Q699" s="42" t="s">
        <v>57</v>
      </c>
      <c r="R699" s="32">
        <v>2035</v>
      </c>
      <c r="S699" s="43" t="str">
        <f t="shared" si="94"/>
        <v>*0.93</v>
      </c>
      <c r="U699" s="32" t="s">
        <v>4030</v>
      </c>
      <c r="V699" s="42" t="s">
        <v>57</v>
      </c>
      <c r="W699" s="32">
        <v>2050</v>
      </c>
      <c r="X699" s="43" t="str">
        <f t="shared" si="95"/>
        <v>*0.9</v>
      </c>
      <c r="AC699" s="33" t="s">
        <v>4030</v>
      </c>
      <c r="AD699" s="44" t="s">
        <v>57</v>
      </c>
      <c r="AE699" s="33">
        <v>2035</v>
      </c>
      <c r="AF699" s="45" t="str">
        <f t="shared" si="96"/>
        <v>*0.9</v>
      </c>
      <c r="AG699" s="43" t="str">
        <f t="shared" si="99"/>
        <v>REZoning_Sol-Win</v>
      </c>
      <c r="AI699" s="33" t="s">
        <v>4030</v>
      </c>
      <c r="AJ699" s="44" t="s">
        <v>57</v>
      </c>
      <c r="AK699" s="33">
        <v>2050</v>
      </c>
      <c r="AL699" s="45" t="str">
        <f t="shared" si="97"/>
        <v>*0.86</v>
      </c>
      <c r="AM699" s="43" t="str">
        <f t="shared" si="100"/>
        <v>REZoning_Sol-Win</v>
      </c>
      <c r="AP699" t="s">
        <v>4030</v>
      </c>
      <c r="AQ699" t="s">
        <v>57</v>
      </c>
      <c r="AR699">
        <f t="shared" si="98"/>
        <v>2100</v>
      </c>
      <c r="AS699" t="s">
        <v>883</v>
      </c>
      <c r="AT699" t="s">
        <v>58</v>
      </c>
    </row>
    <row r="700" ht="29" spans="1:46">
      <c r="A700" s="31" t="s">
        <v>65</v>
      </c>
      <c r="C700" t="s">
        <v>4031</v>
      </c>
      <c r="D700" s="5" t="s">
        <v>57</v>
      </c>
      <c r="E700">
        <v>2035</v>
      </c>
      <c r="F700" s="6" t="str">
        <f t="shared" si="92"/>
        <v>*0.94</v>
      </c>
      <c r="H700" t="s">
        <v>4031</v>
      </c>
      <c r="I700" s="5" t="s">
        <v>57</v>
      </c>
      <c r="J700">
        <v>2050</v>
      </c>
      <c r="K700" s="38" t="str">
        <f t="shared" si="93"/>
        <v>*0.91</v>
      </c>
      <c r="P700" s="32" t="s">
        <v>4031</v>
      </c>
      <c r="Q700" s="42" t="s">
        <v>57</v>
      </c>
      <c r="R700" s="32">
        <v>2035</v>
      </c>
      <c r="S700" s="43" t="str">
        <f t="shared" si="94"/>
        <v>*0.93</v>
      </c>
      <c r="U700" s="32" t="s">
        <v>4031</v>
      </c>
      <c r="V700" s="42" t="s">
        <v>57</v>
      </c>
      <c r="W700" s="32">
        <v>2050</v>
      </c>
      <c r="X700" s="43" t="str">
        <f t="shared" si="95"/>
        <v>*0.9</v>
      </c>
      <c r="AC700" s="33" t="s">
        <v>4031</v>
      </c>
      <c r="AD700" s="44" t="s">
        <v>57</v>
      </c>
      <c r="AE700" s="33">
        <v>2035</v>
      </c>
      <c r="AF700" s="45" t="str">
        <f t="shared" si="96"/>
        <v>*0.9</v>
      </c>
      <c r="AG700" s="43" t="str">
        <f t="shared" si="99"/>
        <v>REZoning_Sol-Win</v>
      </c>
      <c r="AI700" s="33" t="s">
        <v>4031</v>
      </c>
      <c r="AJ700" s="44" t="s">
        <v>57</v>
      </c>
      <c r="AK700" s="33">
        <v>2050</v>
      </c>
      <c r="AL700" s="45" t="str">
        <f t="shared" si="97"/>
        <v>*0.86</v>
      </c>
      <c r="AM700" s="43" t="str">
        <f t="shared" si="100"/>
        <v>REZoning_Sol-Win</v>
      </c>
      <c r="AP700" t="s">
        <v>4031</v>
      </c>
      <c r="AQ700" t="s">
        <v>57</v>
      </c>
      <c r="AR700">
        <f t="shared" si="98"/>
        <v>2100</v>
      </c>
      <c r="AS700" t="s">
        <v>883</v>
      </c>
      <c r="AT700" t="s">
        <v>58</v>
      </c>
    </row>
    <row r="701" ht="29" spans="1:46">
      <c r="A701" s="31" t="s">
        <v>65</v>
      </c>
      <c r="C701" t="s">
        <v>4032</v>
      </c>
      <c r="D701" s="5" t="s">
        <v>57</v>
      </c>
      <c r="E701">
        <v>2035</v>
      </c>
      <c r="F701" s="6" t="str">
        <f t="shared" si="92"/>
        <v>*0.94</v>
      </c>
      <c r="H701" t="s">
        <v>4032</v>
      </c>
      <c r="I701" s="5" t="s">
        <v>57</v>
      </c>
      <c r="J701">
        <v>2050</v>
      </c>
      <c r="K701" s="38" t="str">
        <f t="shared" si="93"/>
        <v>*0.91</v>
      </c>
      <c r="P701" s="32" t="s">
        <v>4032</v>
      </c>
      <c r="Q701" s="42" t="s">
        <v>57</v>
      </c>
      <c r="R701" s="32">
        <v>2035</v>
      </c>
      <c r="S701" s="43" t="str">
        <f t="shared" si="94"/>
        <v>*0.93</v>
      </c>
      <c r="U701" s="32" t="s">
        <v>4032</v>
      </c>
      <c r="V701" s="42" t="s">
        <v>57</v>
      </c>
      <c r="W701" s="32">
        <v>2050</v>
      </c>
      <c r="X701" s="43" t="str">
        <f t="shared" si="95"/>
        <v>*0.9</v>
      </c>
      <c r="AC701" s="33" t="s">
        <v>4032</v>
      </c>
      <c r="AD701" s="44" t="s">
        <v>57</v>
      </c>
      <c r="AE701" s="33">
        <v>2035</v>
      </c>
      <c r="AF701" s="45" t="str">
        <f t="shared" si="96"/>
        <v>*0.9</v>
      </c>
      <c r="AG701" s="43" t="str">
        <f t="shared" si="99"/>
        <v>REZoning_Sol-Win</v>
      </c>
      <c r="AI701" s="33" t="s">
        <v>4032</v>
      </c>
      <c r="AJ701" s="44" t="s">
        <v>57</v>
      </c>
      <c r="AK701" s="33">
        <v>2050</v>
      </c>
      <c r="AL701" s="45" t="str">
        <f t="shared" si="97"/>
        <v>*0.86</v>
      </c>
      <c r="AM701" s="43" t="str">
        <f t="shared" si="100"/>
        <v>REZoning_Sol-Win</v>
      </c>
      <c r="AP701" t="s">
        <v>4032</v>
      </c>
      <c r="AQ701" t="s">
        <v>57</v>
      </c>
      <c r="AR701">
        <f t="shared" si="98"/>
        <v>2100</v>
      </c>
      <c r="AS701" t="s">
        <v>883</v>
      </c>
      <c r="AT701" t="s">
        <v>58</v>
      </c>
    </row>
    <row r="702" ht="29" spans="1:46">
      <c r="A702" s="31" t="s">
        <v>65</v>
      </c>
      <c r="C702" t="s">
        <v>4033</v>
      </c>
      <c r="D702" s="5" t="s">
        <v>57</v>
      </c>
      <c r="E702">
        <v>2035</v>
      </c>
      <c r="F702" s="6" t="str">
        <f t="shared" si="92"/>
        <v>*0.94</v>
      </c>
      <c r="H702" t="s">
        <v>4033</v>
      </c>
      <c r="I702" s="5" t="s">
        <v>57</v>
      </c>
      <c r="J702">
        <v>2050</v>
      </c>
      <c r="K702" s="38" t="str">
        <f t="shared" si="93"/>
        <v>*0.91</v>
      </c>
      <c r="P702" s="32" t="s">
        <v>4033</v>
      </c>
      <c r="Q702" s="42" t="s">
        <v>57</v>
      </c>
      <c r="R702" s="32">
        <v>2035</v>
      </c>
      <c r="S702" s="43" t="str">
        <f t="shared" si="94"/>
        <v>*0.93</v>
      </c>
      <c r="U702" s="32" t="s">
        <v>4033</v>
      </c>
      <c r="V702" s="42" t="s">
        <v>57</v>
      </c>
      <c r="W702" s="32">
        <v>2050</v>
      </c>
      <c r="X702" s="43" t="str">
        <f t="shared" si="95"/>
        <v>*0.9</v>
      </c>
      <c r="AC702" s="33" t="s">
        <v>4033</v>
      </c>
      <c r="AD702" s="44" t="s">
        <v>57</v>
      </c>
      <c r="AE702" s="33">
        <v>2035</v>
      </c>
      <c r="AF702" s="45" t="str">
        <f t="shared" si="96"/>
        <v>*0.9</v>
      </c>
      <c r="AG702" s="43" t="str">
        <f t="shared" si="99"/>
        <v>REZoning_Sol-Win</v>
      </c>
      <c r="AI702" s="33" t="s">
        <v>4033</v>
      </c>
      <c r="AJ702" s="44" t="s">
        <v>57</v>
      </c>
      <c r="AK702" s="33">
        <v>2050</v>
      </c>
      <c r="AL702" s="45" t="str">
        <f t="shared" si="97"/>
        <v>*0.86</v>
      </c>
      <c r="AM702" s="43" t="str">
        <f t="shared" si="100"/>
        <v>REZoning_Sol-Win</v>
      </c>
      <c r="AP702" t="s">
        <v>4033</v>
      </c>
      <c r="AQ702" t="s">
        <v>57</v>
      </c>
      <c r="AR702">
        <f t="shared" si="98"/>
        <v>2100</v>
      </c>
      <c r="AS702" t="s">
        <v>883</v>
      </c>
      <c r="AT702" t="s">
        <v>58</v>
      </c>
    </row>
    <row r="703" ht="29" spans="1:46">
      <c r="A703" s="31" t="s">
        <v>65</v>
      </c>
      <c r="C703" t="s">
        <v>4034</v>
      </c>
      <c r="D703" s="5" t="s">
        <v>57</v>
      </c>
      <c r="E703">
        <v>2035</v>
      </c>
      <c r="F703" s="6" t="str">
        <f t="shared" si="92"/>
        <v>*0.94</v>
      </c>
      <c r="H703" t="s">
        <v>4034</v>
      </c>
      <c r="I703" s="5" t="s">
        <v>57</v>
      </c>
      <c r="J703">
        <v>2050</v>
      </c>
      <c r="K703" s="38" t="str">
        <f t="shared" si="93"/>
        <v>*0.91</v>
      </c>
      <c r="P703" s="32" t="s">
        <v>4034</v>
      </c>
      <c r="Q703" s="42" t="s">
        <v>57</v>
      </c>
      <c r="R703" s="32">
        <v>2035</v>
      </c>
      <c r="S703" s="43" t="str">
        <f t="shared" si="94"/>
        <v>*0.93</v>
      </c>
      <c r="U703" s="32" t="s">
        <v>4034</v>
      </c>
      <c r="V703" s="42" t="s">
        <v>57</v>
      </c>
      <c r="W703" s="32">
        <v>2050</v>
      </c>
      <c r="X703" s="43" t="str">
        <f t="shared" si="95"/>
        <v>*0.9</v>
      </c>
      <c r="AC703" s="33" t="s">
        <v>4034</v>
      </c>
      <c r="AD703" s="44" t="s">
        <v>57</v>
      </c>
      <c r="AE703" s="33">
        <v>2035</v>
      </c>
      <c r="AF703" s="45" t="str">
        <f t="shared" si="96"/>
        <v>*0.9</v>
      </c>
      <c r="AG703" s="43" t="str">
        <f t="shared" si="99"/>
        <v>REZoning_Sol-Win</v>
      </c>
      <c r="AI703" s="33" t="s">
        <v>4034</v>
      </c>
      <c r="AJ703" s="44" t="s">
        <v>57</v>
      </c>
      <c r="AK703" s="33">
        <v>2050</v>
      </c>
      <c r="AL703" s="45" t="str">
        <f t="shared" si="97"/>
        <v>*0.86</v>
      </c>
      <c r="AM703" s="43" t="str">
        <f t="shared" si="100"/>
        <v>REZoning_Sol-Win</v>
      </c>
      <c r="AP703" t="s">
        <v>4034</v>
      </c>
      <c r="AQ703" t="s">
        <v>57</v>
      </c>
      <c r="AR703">
        <f t="shared" si="98"/>
        <v>2100</v>
      </c>
      <c r="AS703" t="s">
        <v>883</v>
      </c>
      <c r="AT703" t="s">
        <v>58</v>
      </c>
    </row>
    <row r="704" ht="29" spans="1:46">
      <c r="A704" s="31" t="s">
        <v>65</v>
      </c>
      <c r="C704" t="s">
        <v>4035</v>
      </c>
      <c r="D704" s="5" t="s">
        <v>57</v>
      </c>
      <c r="E704">
        <v>2035</v>
      </c>
      <c r="F704" s="6" t="str">
        <f t="shared" si="92"/>
        <v>*0.94</v>
      </c>
      <c r="H704" t="s">
        <v>4035</v>
      </c>
      <c r="I704" s="5" t="s">
        <v>57</v>
      </c>
      <c r="J704">
        <v>2050</v>
      </c>
      <c r="K704" s="38" t="str">
        <f t="shared" si="93"/>
        <v>*0.91</v>
      </c>
      <c r="P704" s="32" t="s">
        <v>4035</v>
      </c>
      <c r="Q704" s="42" t="s">
        <v>57</v>
      </c>
      <c r="R704" s="32">
        <v>2035</v>
      </c>
      <c r="S704" s="43" t="str">
        <f t="shared" si="94"/>
        <v>*0.93</v>
      </c>
      <c r="U704" s="32" t="s">
        <v>4035</v>
      </c>
      <c r="V704" s="42" t="s">
        <v>57</v>
      </c>
      <c r="W704" s="32">
        <v>2050</v>
      </c>
      <c r="X704" s="43" t="str">
        <f t="shared" si="95"/>
        <v>*0.9</v>
      </c>
      <c r="AC704" s="33" t="s">
        <v>4035</v>
      </c>
      <c r="AD704" s="44" t="s">
        <v>57</v>
      </c>
      <c r="AE704" s="33">
        <v>2035</v>
      </c>
      <c r="AF704" s="45" t="str">
        <f t="shared" si="96"/>
        <v>*0.9</v>
      </c>
      <c r="AG704" s="43" t="str">
        <f t="shared" si="99"/>
        <v>REZoning_Sol-Win</v>
      </c>
      <c r="AI704" s="33" t="s">
        <v>4035</v>
      </c>
      <c r="AJ704" s="44" t="s">
        <v>57</v>
      </c>
      <c r="AK704" s="33">
        <v>2050</v>
      </c>
      <c r="AL704" s="45" t="str">
        <f t="shared" si="97"/>
        <v>*0.86</v>
      </c>
      <c r="AM704" s="43" t="str">
        <f t="shared" si="100"/>
        <v>REZoning_Sol-Win</v>
      </c>
      <c r="AP704" t="s">
        <v>4035</v>
      </c>
      <c r="AQ704" t="s">
        <v>57</v>
      </c>
      <c r="AR704">
        <f t="shared" si="98"/>
        <v>2100</v>
      </c>
      <c r="AS704" t="s">
        <v>883</v>
      </c>
      <c r="AT704" t="s">
        <v>58</v>
      </c>
    </row>
    <row r="705" ht="29" spans="1:46">
      <c r="A705" s="31" t="s">
        <v>65</v>
      </c>
      <c r="C705" t="s">
        <v>4036</v>
      </c>
      <c r="D705" s="5" t="s">
        <v>57</v>
      </c>
      <c r="E705">
        <v>2035</v>
      </c>
      <c r="F705" s="6" t="str">
        <f t="shared" si="92"/>
        <v>*0.94</v>
      </c>
      <c r="H705" t="s">
        <v>4036</v>
      </c>
      <c r="I705" s="5" t="s">
        <v>57</v>
      </c>
      <c r="J705">
        <v>2050</v>
      </c>
      <c r="K705" s="38" t="str">
        <f t="shared" si="93"/>
        <v>*0.91</v>
      </c>
      <c r="P705" s="32" t="s">
        <v>4036</v>
      </c>
      <c r="Q705" s="42" t="s">
        <v>57</v>
      </c>
      <c r="R705" s="32">
        <v>2035</v>
      </c>
      <c r="S705" s="43" t="str">
        <f t="shared" si="94"/>
        <v>*0.93</v>
      </c>
      <c r="U705" s="32" t="s">
        <v>4036</v>
      </c>
      <c r="V705" s="42" t="s">
        <v>57</v>
      </c>
      <c r="W705" s="32">
        <v>2050</v>
      </c>
      <c r="X705" s="43" t="str">
        <f t="shared" si="95"/>
        <v>*0.9</v>
      </c>
      <c r="AC705" s="33" t="s">
        <v>4036</v>
      </c>
      <c r="AD705" s="44" t="s">
        <v>57</v>
      </c>
      <c r="AE705" s="33">
        <v>2035</v>
      </c>
      <c r="AF705" s="45" t="str">
        <f t="shared" si="96"/>
        <v>*0.9</v>
      </c>
      <c r="AG705" s="43" t="str">
        <f t="shared" si="99"/>
        <v>REZoning_Sol-Win</v>
      </c>
      <c r="AI705" s="33" t="s">
        <v>4036</v>
      </c>
      <c r="AJ705" s="44" t="s">
        <v>57</v>
      </c>
      <c r="AK705" s="33">
        <v>2050</v>
      </c>
      <c r="AL705" s="45" t="str">
        <f t="shared" si="97"/>
        <v>*0.86</v>
      </c>
      <c r="AM705" s="43" t="str">
        <f t="shared" si="100"/>
        <v>REZoning_Sol-Win</v>
      </c>
      <c r="AP705" t="s">
        <v>4036</v>
      </c>
      <c r="AQ705" t="s">
        <v>57</v>
      </c>
      <c r="AR705">
        <f t="shared" si="98"/>
        <v>2100</v>
      </c>
      <c r="AS705" t="s">
        <v>883</v>
      </c>
      <c r="AT705" t="s">
        <v>58</v>
      </c>
    </row>
    <row r="706" ht="29" spans="1:46">
      <c r="A706" s="31" t="s">
        <v>65</v>
      </c>
      <c r="C706" t="s">
        <v>4037</v>
      </c>
      <c r="D706" s="5" t="s">
        <v>57</v>
      </c>
      <c r="E706">
        <v>2035</v>
      </c>
      <c r="F706" s="6" t="str">
        <f t="shared" si="92"/>
        <v>*0.94</v>
      </c>
      <c r="H706" t="s">
        <v>4037</v>
      </c>
      <c r="I706" s="5" t="s">
        <v>57</v>
      </c>
      <c r="J706">
        <v>2050</v>
      </c>
      <c r="K706" s="38" t="str">
        <f t="shared" si="93"/>
        <v>*0.91</v>
      </c>
      <c r="P706" s="32" t="s">
        <v>4037</v>
      </c>
      <c r="Q706" s="42" t="s">
        <v>57</v>
      </c>
      <c r="R706" s="32">
        <v>2035</v>
      </c>
      <c r="S706" s="43" t="str">
        <f t="shared" si="94"/>
        <v>*0.93</v>
      </c>
      <c r="U706" s="32" t="s">
        <v>4037</v>
      </c>
      <c r="V706" s="42" t="s">
        <v>57</v>
      </c>
      <c r="W706" s="32">
        <v>2050</v>
      </c>
      <c r="X706" s="43" t="str">
        <f t="shared" si="95"/>
        <v>*0.9</v>
      </c>
      <c r="AC706" s="33" t="s">
        <v>4037</v>
      </c>
      <c r="AD706" s="44" t="s">
        <v>57</v>
      </c>
      <c r="AE706" s="33">
        <v>2035</v>
      </c>
      <c r="AF706" s="45" t="str">
        <f t="shared" si="96"/>
        <v>*0.9</v>
      </c>
      <c r="AG706" s="43" t="str">
        <f t="shared" si="99"/>
        <v>REZoning_Sol-Win</v>
      </c>
      <c r="AI706" s="33" t="s">
        <v>4037</v>
      </c>
      <c r="AJ706" s="44" t="s">
        <v>57</v>
      </c>
      <c r="AK706" s="33">
        <v>2050</v>
      </c>
      <c r="AL706" s="45" t="str">
        <f t="shared" si="97"/>
        <v>*0.86</v>
      </c>
      <c r="AM706" s="43" t="str">
        <f t="shared" si="100"/>
        <v>REZoning_Sol-Win</v>
      </c>
      <c r="AP706" t="s">
        <v>4037</v>
      </c>
      <c r="AQ706" t="s">
        <v>57</v>
      </c>
      <c r="AR706">
        <f t="shared" si="98"/>
        <v>2100</v>
      </c>
      <c r="AS706" t="s">
        <v>883</v>
      </c>
      <c r="AT706" t="s">
        <v>58</v>
      </c>
    </row>
    <row r="707" ht="29" spans="1:46">
      <c r="A707" s="31" t="s">
        <v>65</v>
      </c>
      <c r="C707" t="s">
        <v>4038</v>
      </c>
      <c r="D707" s="5" t="s">
        <v>57</v>
      </c>
      <c r="E707">
        <v>2035</v>
      </c>
      <c r="F707" s="6" t="str">
        <f t="shared" si="92"/>
        <v>*0.94</v>
      </c>
      <c r="H707" t="s">
        <v>4038</v>
      </c>
      <c r="I707" s="5" t="s">
        <v>57</v>
      </c>
      <c r="J707">
        <v>2050</v>
      </c>
      <c r="K707" s="38" t="str">
        <f t="shared" si="93"/>
        <v>*0.91</v>
      </c>
      <c r="P707" s="32" t="s">
        <v>4038</v>
      </c>
      <c r="Q707" s="42" t="s">
        <v>57</v>
      </c>
      <c r="R707" s="32">
        <v>2035</v>
      </c>
      <c r="S707" s="43" t="str">
        <f t="shared" si="94"/>
        <v>*0.93</v>
      </c>
      <c r="U707" s="32" t="s">
        <v>4038</v>
      </c>
      <c r="V707" s="42" t="s">
        <v>57</v>
      </c>
      <c r="W707" s="32">
        <v>2050</v>
      </c>
      <c r="X707" s="43" t="str">
        <f t="shared" si="95"/>
        <v>*0.9</v>
      </c>
      <c r="AC707" s="33" t="s">
        <v>4038</v>
      </c>
      <c r="AD707" s="44" t="s">
        <v>57</v>
      </c>
      <c r="AE707" s="33">
        <v>2035</v>
      </c>
      <c r="AF707" s="45" t="str">
        <f t="shared" si="96"/>
        <v>*0.9</v>
      </c>
      <c r="AG707" s="43" t="str">
        <f t="shared" si="99"/>
        <v>REZoning_Sol-Win</v>
      </c>
      <c r="AI707" s="33" t="s">
        <v>4038</v>
      </c>
      <c r="AJ707" s="44" t="s">
        <v>57</v>
      </c>
      <c r="AK707" s="33">
        <v>2050</v>
      </c>
      <c r="AL707" s="45" t="str">
        <f t="shared" si="97"/>
        <v>*0.86</v>
      </c>
      <c r="AM707" s="43" t="str">
        <f t="shared" si="100"/>
        <v>REZoning_Sol-Win</v>
      </c>
      <c r="AP707" t="s">
        <v>4038</v>
      </c>
      <c r="AQ707" t="s">
        <v>57</v>
      </c>
      <c r="AR707">
        <f t="shared" si="98"/>
        <v>2100</v>
      </c>
      <c r="AS707" t="s">
        <v>883</v>
      </c>
      <c r="AT707" t="s">
        <v>58</v>
      </c>
    </row>
    <row r="708" ht="29" spans="1:46">
      <c r="A708" s="31" t="s">
        <v>65</v>
      </c>
      <c r="C708" t="s">
        <v>4039</v>
      </c>
      <c r="D708" s="5" t="s">
        <v>57</v>
      </c>
      <c r="E708">
        <v>2035</v>
      </c>
      <c r="F708" s="6" t="str">
        <f t="shared" ref="F708:F771" si="101">"*"&amp;IF(AND(A708="EU",E708=2035),0.95,IF(AND(A708="EU",E708=2050),0.93,IF(AND(A708="USA",E708=2035),0.96,IF(AND(A708="USA",E708=2050),0.94,IF(AND(A708="Japan",E708=2035),0.94,IF(AND(A708="Japan",E708=2050),0.92,IF(AND(A708="Russia",E708=2035),0.95,IF(AND(A708="Russia",E708=2050),0.93,IF(AND(A708="China",E708=2035),0.94,IF(AND(A708="China",E708=2050),0.92,IF(AND(A708="India",E708=2035),0.95,IF(AND(A708="India",E708=2050),0.92,IF(AND(A708="Middle East",E708=2035),0.94,IF(AND(A708="Middle East",E708=2050),0.9,IF(AND(A708="Africa",E708=2035),0.94,IF(AND(A708="Africa",E708=2050),0.91,IF(AND(A708="Brazil",E708=2035),0.95,IF(AND(A708="Brazil",E708=2050),0.92,""))))))))))))))))))</f>
        <v>*0.94</v>
      </c>
      <c r="H708" t="s">
        <v>4039</v>
      </c>
      <c r="I708" s="5" t="s">
        <v>57</v>
      </c>
      <c r="J708">
        <v>2050</v>
      </c>
      <c r="K708" s="38" t="str">
        <f t="shared" ref="K708:K771" si="102">"*"&amp;IF(AND(A708="EU",J708=2035),0.95,IF(AND(A708="EU",J708=2050),0.93,IF(AND(A708="USA",J708=2035),0.96,IF(AND(A708="USA",J708=2050),0.94,IF(AND(A708="Japan",J708=2035),0.94,IF(AND(A708="Japan",J708=2050),0.92,IF(AND(A708="Russia",J708=2035),0.95,IF(AND(A708="Russia",J708=2050),0.93,IF(AND(A708="China",J708=2035),0.94,IF(AND(A708="China",J708=2050),0.92,IF(AND(A708="India",J708=2035),0.95,IF(AND(A708="India",J708=2050),0.92,IF(AND(A708="Middle East",J708=2035),0.94,IF(AND(A708="Middle East",J708=2050),0.9,IF(AND(A708="Africa",J708=2035),0.94,IF(AND(A708="Africa",J708=2050),0.91,IF(AND(A708="Brazil",J708=2035),0.95,IF(AND(A708="Brazil",J708=2050),0.92,""))))))))))))))))))</f>
        <v>*0.91</v>
      </c>
      <c r="P708" s="32" t="s">
        <v>4039</v>
      </c>
      <c r="Q708" s="42" t="s">
        <v>57</v>
      </c>
      <c r="R708" s="32">
        <v>2035</v>
      </c>
      <c r="S708" s="43" t="str">
        <f t="shared" ref="S708:S771" si="103">"*"&amp;IF(AND(A708="EU",R708=2035),0.95,IF(AND(A708="EU",R708=2050),0.93,IF(AND(A708="USA",R708=2035),0.96,IF(AND(A708="USA",R708=2050),0.93,IF(AND(A708="Japan",R708=2035),0.94,IF(AND(A708="Japan",R708=2050),0.92,IF(AND(A708="Russia",R708=2035),0.95,IF(AND(A708="Russia",R708=2050),0.91,IF(AND(A708="China",R708=2035),0.93,IF(AND(A708="China",R708=2050),0.92,IF(AND(A708="India",R708=2035),0.94,IF(AND(A708="India",R708=2050),0.91,IF(AND(A708="Middle East",R708=2035),0.92,IF(AND(A708="Middle East",R708=2050),0.89,IF(AND(A708="Africa",R708=2035),0.93,IF(AND(A708="Africa",R708=2050),0.9,IF(AND(A708="Brazil",R708=2035),0.95,IF(AND(A708="Brazil",R708=2050),0.92,""))))))))))))))))))</f>
        <v>*0.93</v>
      </c>
      <c r="U708" s="32" t="s">
        <v>4039</v>
      </c>
      <c r="V708" s="42" t="s">
        <v>57</v>
      </c>
      <c r="W708" s="32">
        <v>2050</v>
      </c>
      <c r="X708" s="43" t="str">
        <f t="shared" ref="X708:X771" si="104">"*"&amp;IF(AND(A708="EU",W708=2035),0.95,IF(AND(A708="EU",W708=2050),0.93,IF(AND(A708="USA",W708=2035),0.96,IF(AND(A708="USA",W708=2050),0.93,IF(AND(A708="Japan",W708=2035),0.94,IF(AND(A708="Japan",W708=2050),0.92,IF(AND(A708="Russia",W708=2035),0.95,IF(AND(A708="Russia",W708=2050),0.91,IF(AND(A708="China",W708=2035),0.93,IF(AND(A708="China",W708=2050),0.92,IF(AND(A708="India",W708=2035),0.94,IF(AND(A708="India",W708=2050),0.91,IF(AND(A708="Middle East",W708=2035),0.92,IF(AND(A708="Middle East",W708=2050),0.89,IF(AND(A708="Africa",W708=2035),0.93,IF(AND(A708="Africa",W708=2050),0.9,IF(AND(A708="Brazil",W708=2035),0.95,IF(AND(A708="Brazil",W708=2050),0.92,""))))))))))))))))))</f>
        <v>*0.9</v>
      </c>
      <c r="AC708" s="33" t="s">
        <v>4039</v>
      </c>
      <c r="AD708" s="44" t="s">
        <v>57</v>
      </c>
      <c r="AE708" s="33">
        <v>2035</v>
      </c>
      <c r="AF708" s="45" t="str">
        <f t="shared" ref="AF708:AF771" si="105">"*"&amp;IF(AND(A708="EU",AE708=2035),0.93,IF(AND(A708="EU",AE708=2050),0.9,IF(AND(A708="USA",AE708=2035),0.92,IF(AND(A708="USA",AE708=2050),0.89,IF(AND(A708="Japan",AE708=2035),0.92,IF(AND(A708="Japan",AE708=2050),0.89,IF(AND(A708="Russia",AE708=2035),0.91,IF(AND(A708="Russia",AE708=2050),0.86,IF(AND(A708="China",AE708=2035),0.91,IF(AND(A708="China",AE708=2050),0.87,IF(AND(A708="India",AE708=2035),0.92,IF(AND(A708="India",AE708=2050),0.87,IF(AND(A708="Middle East",AE708=2035),0.89,IF(AND(A708="Middle East",AE708=2050),0.84,IF(AND(A708="Africa",AE708=2035),0.9,IF(AND(A708="Africa",AE708=2050),0.86,IF(AND(A708="Brazil",AE708=2035),0.93,IF(AND(A708="Brazil",AE708=2050),0.89,""))))))))))))))))))</f>
        <v>*0.9</v>
      </c>
      <c r="AG708" s="43" t="str">
        <f t="shared" si="99"/>
        <v>REZoning_Sol-Win</v>
      </c>
      <c r="AI708" s="33" t="s">
        <v>4039</v>
      </c>
      <c r="AJ708" s="44" t="s">
        <v>57</v>
      </c>
      <c r="AK708" s="33">
        <v>2050</v>
      </c>
      <c r="AL708" s="45" t="str">
        <f t="shared" ref="AL708:AL771" si="106">"*"&amp;IF(AND(A708="EU",AK708=2035),0.93,IF(AND(A708="EU",AK708=2050),0.9,IF(AND(A708="USA",AK708=2035),0.92,IF(AND(A708="USA",AK708=2050),0.89,IF(AND(A708="Japan",AK708=2035),0.92,IF(AND(A708="Japan",AK708=2050),0.89,IF(AND(A708="Russia",AK708=2035),0.91,IF(AND(A708="Russia",AK708=2050),0.86,IF(AND(A708="China",AK708=2035),0.91,IF(AND(A708="China",AK708=2050),0.87,IF(AND(A708="India",AK708=2035),0.92,IF(AND(A708="India",AK708=2050),0.87,IF(AND(A708="Middle East",AK708=2035),0.89,IF(AND(A708="Middle East",AK708=2050),0.84,IF(AND(A708="Africa",AK708=2035),0.9,IF(AND(A708="Africa",AK708=2050),0.86,IF(AND(A708="Brazil",AK708=2035),0.93,IF(AND(A708="Brazil",AK708=2050),0.89,""))))))))))))))))))</f>
        <v>*0.86</v>
      </c>
      <c r="AM708" s="43" t="str">
        <f t="shared" si="100"/>
        <v>REZoning_Sol-Win</v>
      </c>
      <c r="AP708" t="s">
        <v>4039</v>
      </c>
      <c r="AQ708" t="s">
        <v>57</v>
      </c>
      <c r="AR708">
        <f t="shared" si="98"/>
        <v>2100</v>
      </c>
      <c r="AS708" t="s">
        <v>883</v>
      </c>
      <c r="AT708" t="s">
        <v>58</v>
      </c>
    </row>
    <row r="709" ht="29" spans="1:46">
      <c r="A709" s="31" t="s">
        <v>65</v>
      </c>
      <c r="C709" t="s">
        <v>4040</v>
      </c>
      <c r="D709" s="5" t="s">
        <v>57</v>
      </c>
      <c r="E709">
        <v>2035</v>
      </c>
      <c r="F709" s="6" t="str">
        <f t="shared" si="101"/>
        <v>*0.94</v>
      </c>
      <c r="H709" t="s">
        <v>4040</v>
      </c>
      <c r="I709" s="5" t="s">
        <v>57</v>
      </c>
      <c r="J709">
        <v>2050</v>
      </c>
      <c r="K709" s="38" t="str">
        <f t="shared" si="102"/>
        <v>*0.91</v>
      </c>
      <c r="P709" s="32" t="s">
        <v>4040</v>
      </c>
      <c r="Q709" s="42" t="s">
        <v>57</v>
      </c>
      <c r="R709" s="32">
        <v>2035</v>
      </c>
      <c r="S709" s="43" t="str">
        <f t="shared" si="103"/>
        <v>*0.93</v>
      </c>
      <c r="U709" s="32" t="s">
        <v>4040</v>
      </c>
      <c r="V709" s="42" t="s">
        <v>57</v>
      </c>
      <c r="W709" s="32">
        <v>2050</v>
      </c>
      <c r="X709" s="43" t="str">
        <f t="shared" si="104"/>
        <v>*0.9</v>
      </c>
      <c r="AC709" s="33" t="s">
        <v>4040</v>
      </c>
      <c r="AD709" s="44" t="s">
        <v>57</v>
      </c>
      <c r="AE709" s="33">
        <v>2035</v>
      </c>
      <c r="AF709" s="45" t="str">
        <f t="shared" si="105"/>
        <v>*0.9</v>
      </c>
      <c r="AG709" s="43" t="str">
        <f t="shared" si="99"/>
        <v>REZoning_Sol-Win</v>
      </c>
      <c r="AI709" s="33" t="s">
        <v>4040</v>
      </c>
      <c r="AJ709" s="44" t="s">
        <v>57</v>
      </c>
      <c r="AK709" s="33">
        <v>2050</v>
      </c>
      <c r="AL709" s="45" t="str">
        <f t="shared" si="106"/>
        <v>*0.86</v>
      </c>
      <c r="AM709" s="43" t="str">
        <f t="shared" si="100"/>
        <v>REZoning_Sol-Win</v>
      </c>
      <c r="AP709" t="s">
        <v>4040</v>
      </c>
      <c r="AQ709" t="s">
        <v>57</v>
      </c>
      <c r="AR709">
        <f t="shared" si="98"/>
        <v>2100</v>
      </c>
      <c r="AS709" t="s">
        <v>883</v>
      </c>
      <c r="AT709" t="s">
        <v>58</v>
      </c>
    </row>
    <row r="710" ht="29" spans="1:46">
      <c r="A710" s="31" t="s">
        <v>83</v>
      </c>
      <c r="C710" t="s">
        <v>4041</v>
      </c>
      <c r="D710" s="5" t="s">
        <v>57</v>
      </c>
      <c r="E710">
        <v>2035</v>
      </c>
      <c r="F710" s="6" t="str">
        <f t="shared" si="101"/>
        <v>*0.95</v>
      </c>
      <c r="H710" t="s">
        <v>4041</v>
      </c>
      <c r="I710" s="5" t="s">
        <v>57</v>
      </c>
      <c r="J710">
        <v>2050</v>
      </c>
      <c r="K710" s="38" t="str">
        <f t="shared" si="102"/>
        <v>*0.92</v>
      </c>
      <c r="P710" s="32" t="s">
        <v>4041</v>
      </c>
      <c r="Q710" s="42" t="s">
        <v>57</v>
      </c>
      <c r="R710" s="32">
        <v>2035</v>
      </c>
      <c r="S710" s="43" t="str">
        <f t="shared" si="103"/>
        <v>*0.95</v>
      </c>
      <c r="U710" s="32" t="s">
        <v>4041</v>
      </c>
      <c r="V710" s="42" t="s">
        <v>57</v>
      </c>
      <c r="W710" s="32">
        <v>2050</v>
      </c>
      <c r="X710" s="43" t="str">
        <f t="shared" si="104"/>
        <v>*0.92</v>
      </c>
      <c r="AC710" s="33" t="s">
        <v>4041</v>
      </c>
      <c r="AD710" s="44" t="s">
        <v>57</v>
      </c>
      <c r="AE710" s="33">
        <v>2035</v>
      </c>
      <c r="AF710" s="45" t="str">
        <f t="shared" si="105"/>
        <v>*0.93</v>
      </c>
      <c r="AG710" s="43" t="str">
        <f t="shared" si="99"/>
        <v>REZoning_Sol-Win</v>
      </c>
      <c r="AI710" s="33" t="s">
        <v>4041</v>
      </c>
      <c r="AJ710" s="44" t="s">
        <v>57</v>
      </c>
      <c r="AK710" s="33">
        <v>2050</v>
      </c>
      <c r="AL710" s="45" t="str">
        <f t="shared" si="106"/>
        <v>*0.89</v>
      </c>
      <c r="AM710" s="43" t="str">
        <f t="shared" si="100"/>
        <v>REZoning_Sol-Win</v>
      </c>
      <c r="AP710" t="s">
        <v>4041</v>
      </c>
      <c r="AQ710" t="s">
        <v>57</v>
      </c>
      <c r="AR710">
        <f t="shared" ref="AR710:AR773" si="107">AR709</f>
        <v>2100</v>
      </c>
      <c r="AS710" t="s">
        <v>937</v>
      </c>
      <c r="AT710" t="s">
        <v>58</v>
      </c>
    </row>
    <row r="711" ht="29" spans="1:46">
      <c r="A711" s="31" t="s">
        <v>83</v>
      </c>
      <c r="C711" t="s">
        <v>4042</v>
      </c>
      <c r="D711" s="5" t="s">
        <v>57</v>
      </c>
      <c r="E711">
        <v>2035</v>
      </c>
      <c r="F711" s="6" t="str">
        <f t="shared" si="101"/>
        <v>*0.95</v>
      </c>
      <c r="H711" t="s">
        <v>4042</v>
      </c>
      <c r="I711" s="5" t="s">
        <v>57</v>
      </c>
      <c r="J711">
        <v>2050</v>
      </c>
      <c r="K711" s="38" t="str">
        <f t="shared" si="102"/>
        <v>*0.92</v>
      </c>
      <c r="P711" s="32" t="s">
        <v>4042</v>
      </c>
      <c r="Q711" s="42" t="s">
        <v>57</v>
      </c>
      <c r="R711" s="32">
        <v>2035</v>
      </c>
      <c r="S711" s="43" t="str">
        <f t="shared" si="103"/>
        <v>*0.95</v>
      </c>
      <c r="U711" s="32" t="s">
        <v>4042</v>
      </c>
      <c r="V711" s="42" t="s">
        <v>57</v>
      </c>
      <c r="W711" s="32">
        <v>2050</v>
      </c>
      <c r="X711" s="43" t="str">
        <f t="shared" si="104"/>
        <v>*0.92</v>
      </c>
      <c r="AC711" s="33" t="s">
        <v>4042</v>
      </c>
      <c r="AD711" s="44" t="s">
        <v>57</v>
      </c>
      <c r="AE711" s="33">
        <v>2035</v>
      </c>
      <c r="AF711" s="45" t="str">
        <f t="shared" si="105"/>
        <v>*0.93</v>
      </c>
      <c r="AG711" s="43" t="str">
        <f t="shared" si="99"/>
        <v>REZoning_Sol-Win</v>
      </c>
      <c r="AI711" s="33" t="s">
        <v>4042</v>
      </c>
      <c r="AJ711" s="44" t="s">
        <v>57</v>
      </c>
      <c r="AK711" s="33">
        <v>2050</v>
      </c>
      <c r="AL711" s="45" t="str">
        <f t="shared" si="106"/>
        <v>*0.89</v>
      </c>
      <c r="AM711" s="43" t="str">
        <f t="shared" si="100"/>
        <v>REZoning_Sol-Win</v>
      </c>
      <c r="AP711" t="s">
        <v>4042</v>
      </c>
      <c r="AQ711" t="s">
        <v>57</v>
      </c>
      <c r="AR711">
        <f t="shared" si="107"/>
        <v>2100</v>
      </c>
      <c r="AS711" t="s">
        <v>937</v>
      </c>
      <c r="AT711" t="s">
        <v>58</v>
      </c>
    </row>
    <row r="712" ht="29" spans="1:46">
      <c r="A712" s="31" t="s">
        <v>83</v>
      </c>
      <c r="C712" t="s">
        <v>4043</v>
      </c>
      <c r="D712" s="5" t="s">
        <v>57</v>
      </c>
      <c r="E712">
        <v>2035</v>
      </c>
      <c r="F712" s="6" t="str">
        <f t="shared" si="101"/>
        <v>*0.95</v>
      </c>
      <c r="H712" t="s">
        <v>4043</v>
      </c>
      <c r="I712" s="5" t="s">
        <v>57</v>
      </c>
      <c r="J712">
        <v>2050</v>
      </c>
      <c r="K712" s="38" t="str">
        <f t="shared" si="102"/>
        <v>*0.92</v>
      </c>
      <c r="P712" s="32" t="s">
        <v>4043</v>
      </c>
      <c r="Q712" s="42" t="s">
        <v>57</v>
      </c>
      <c r="R712" s="32">
        <v>2035</v>
      </c>
      <c r="S712" s="43" t="str">
        <f t="shared" si="103"/>
        <v>*0.95</v>
      </c>
      <c r="U712" s="32" t="s">
        <v>4043</v>
      </c>
      <c r="V712" s="42" t="s">
        <v>57</v>
      </c>
      <c r="W712" s="32">
        <v>2050</v>
      </c>
      <c r="X712" s="43" t="str">
        <f t="shared" si="104"/>
        <v>*0.92</v>
      </c>
      <c r="AC712" s="33" t="s">
        <v>4043</v>
      </c>
      <c r="AD712" s="44" t="s">
        <v>57</v>
      </c>
      <c r="AE712" s="33">
        <v>2035</v>
      </c>
      <c r="AF712" s="45" t="str">
        <f t="shared" si="105"/>
        <v>*0.93</v>
      </c>
      <c r="AG712" s="43" t="str">
        <f t="shared" si="99"/>
        <v>REZoning_Sol-Win</v>
      </c>
      <c r="AI712" s="33" t="s">
        <v>4043</v>
      </c>
      <c r="AJ712" s="44" t="s">
        <v>57</v>
      </c>
      <c r="AK712" s="33">
        <v>2050</v>
      </c>
      <c r="AL712" s="45" t="str">
        <f t="shared" si="106"/>
        <v>*0.89</v>
      </c>
      <c r="AM712" s="43" t="str">
        <f t="shared" si="100"/>
        <v>REZoning_Sol-Win</v>
      </c>
      <c r="AP712" t="s">
        <v>4043</v>
      </c>
      <c r="AQ712" t="s">
        <v>57</v>
      </c>
      <c r="AR712">
        <f t="shared" si="107"/>
        <v>2100</v>
      </c>
      <c r="AS712" t="s">
        <v>937</v>
      </c>
      <c r="AT712" t="s">
        <v>58</v>
      </c>
    </row>
    <row r="713" ht="29" spans="1:46">
      <c r="A713" s="31" t="s">
        <v>83</v>
      </c>
      <c r="C713" t="s">
        <v>4044</v>
      </c>
      <c r="D713" s="5" t="s">
        <v>57</v>
      </c>
      <c r="E713">
        <v>2035</v>
      </c>
      <c r="F713" s="6" t="str">
        <f t="shared" si="101"/>
        <v>*0.95</v>
      </c>
      <c r="H713" t="s">
        <v>4044</v>
      </c>
      <c r="I713" s="5" t="s">
        <v>57</v>
      </c>
      <c r="J713">
        <v>2050</v>
      </c>
      <c r="K713" s="38" t="str">
        <f t="shared" si="102"/>
        <v>*0.92</v>
      </c>
      <c r="P713" s="32" t="s">
        <v>4044</v>
      </c>
      <c r="Q713" s="42" t="s">
        <v>57</v>
      </c>
      <c r="R713" s="32">
        <v>2035</v>
      </c>
      <c r="S713" s="43" t="str">
        <f t="shared" si="103"/>
        <v>*0.95</v>
      </c>
      <c r="U713" s="32" t="s">
        <v>4044</v>
      </c>
      <c r="V713" s="42" t="s">
        <v>57</v>
      </c>
      <c r="W713" s="32">
        <v>2050</v>
      </c>
      <c r="X713" s="43" t="str">
        <f t="shared" si="104"/>
        <v>*0.92</v>
      </c>
      <c r="AC713" s="33" t="s">
        <v>4044</v>
      </c>
      <c r="AD713" s="44" t="s">
        <v>57</v>
      </c>
      <c r="AE713" s="33">
        <v>2035</v>
      </c>
      <c r="AF713" s="45" t="str">
        <f t="shared" si="105"/>
        <v>*0.93</v>
      </c>
      <c r="AG713" s="43" t="str">
        <f t="shared" ref="AG713:AG776" si="108">AG712</f>
        <v>REZoning_Sol-Win</v>
      </c>
      <c r="AI713" s="33" t="s">
        <v>4044</v>
      </c>
      <c r="AJ713" s="44" t="s">
        <v>57</v>
      </c>
      <c r="AK713" s="33">
        <v>2050</v>
      </c>
      <c r="AL713" s="45" t="str">
        <f t="shared" si="106"/>
        <v>*0.89</v>
      </c>
      <c r="AM713" s="43" t="str">
        <f t="shared" ref="AM713:AM776" si="109">AM712</f>
        <v>REZoning_Sol-Win</v>
      </c>
      <c r="AP713" t="s">
        <v>4044</v>
      </c>
      <c r="AQ713" t="s">
        <v>57</v>
      </c>
      <c r="AR713">
        <f t="shared" si="107"/>
        <v>2100</v>
      </c>
      <c r="AS713" t="s">
        <v>937</v>
      </c>
      <c r="AT713" t="s">
        <v>58</v>
      </c>
    </row>
    <row r="714" ht="29" spans="1:46">
      <c r="A714" s="31" t="s">
        <v>83</v>
      </c>
      <c r="C714" t="s">
        <v>4045</v>
      </c>
      <c r="D714" s="5" t="s">
        <v>57</v>
      </c>
      <c r="E714">
        <v>2035</v>
      </c>
      <c r="F714" s="6" t="str">
        <f t="shared" si="101"/>
        <v>*0.95</v>
      </c>
      <c r="H714" t="s">
        <v>4045</v>
      </c>
      <c r="I714" s="5" t="s">
        <v>57</v>
      </c>
      <c r="J714">
        <v>2050</v>
      </c>
      <c r="K714" s="38" t="str">
        <f t="shared" si="102"/>
        <v>*0.92</v>
      </c>
      <c r="P714" s="32" t="s">
        <v>4045</v>
      </c>
      <c r="Q714" s="42" t="s">
        <v>57</v>
      </c>
      <c r="R714" s="32">
        <v>2035</v>
      </c>
      <c r="S714" s="43" t="str">
        <f t="shared" si="103"/>
        <v>*0.95</v>
      </c>
      <c r="U714" s="32" t="s">
        <v>4045</v>
      </c>
      <c r="V714" s="42" t="s">
        <v>57</v>
      </c>
      <c r="W714" s="32">
        <v>2050</v>
      </c>
      <c r="X714" s="43" t="str">
        <f t="shared" si="104"/>
        <v>*0.92</v>
      </c>
      <c r="AC714" s="33" t="s">
        <v>4045</v>
      </c>
      <c r="AD714" s="44" t="s">
        <v>57</v>
      </c>
      <c r="AE714" s="33">
        <v>2035</v>
      </c>
      <c r="AF714" s="45" t="str">
        <f t="shared" si="105"/>
        <v>*0.93</v>
      </c>
      <c r="AG714" s="43" t="str">
        <f t="shared" si="108"/>
        <v>REZoning_Sol-Win</v>
      </c>
      <c r="AI714" s="33" t="s">
        <v>4045</v>
      </c>
      <c r="AJ714" s="44" t="s">
        <v>57</v>
      </c>
      <c r="AK714" s="33">
        <v>2050</v>
      </c>
      <c r="AL714" s="45" t="str">
        <f t="shared" si="106"/>
        <v>*0.89</v>
      </c>
      <c r="AM714" s="43" t="str">
        <f t="shared" si="109"/>
        <v>REZoning_Sol-Win</v>
      </c>
      <c r="AP714" t="s">
        <v>4045</v>
      </c>
      <c r="AQ714" t="s">
        <v>57</v>
      </c>
      <c r="AR714">
        <f t="shared" si="107"/>
        <v>2100</v>
      </c>
      <c r="AS714" t="s">
        <v>937</v>
      </c>
      <c r="AT714" t="s">
        <v>58</v>
      </c>
    </row>
    <row r="715" ht="29" spans="1:46">
      <c r="A715" s="31" t="s">
        <v>83</v>
      </c>
      <c r="C715" t="s">
        <v>4046</v>
      </c>
      <c r="D715" s="5" t="s">
        <v>57</v>
      </c>
      <c r="E715">
        <v>2035</v>
      </c>
      <c r="F715" s="6" t="str">
        <f t="shared" si="101"/>
        <v>*0.95</v>
      </c>
      <c r="H715" t="s">
        <v>4046</v>
      </c>
      <c r="I715" s="5" t="s">
        <v>57</v>
      </c>
      <c r="J715">
        <v>2050</v>
      </c>
      <c r="K715" s="38" t="str">
        <f t="shared" si="102"/>
        <v>*0.92</v>
      </c>
      <c r="P715" s="32" t="s">
        <v>4046</v>
      </c>
      <c r="Q715" s="42" t="s">
        <v>57</v>
      </c>
      <c r="R715" s="32">
        <v>2035</v>
      </c>
      <c r="S715" s="43" t="str">
        <f t="shared" si="103"/>
        <v>*0.95</v>
      </c>
      <c r="U715" s="32" t="s">
        <v>4046</v>
      </c>
      <c r="V715" s="42" t="s">
        <v>57</v>
      </c>
      <c r="W715" s="32">
        <v>2050</v>
      </c>
      <c r="X715" s="43" t="str">
        <f t="shared" si="104"/>
        <v>*0.92</v>
      </c>
      <c r="AC715" s="33" t="s">
        <v>4046</v>
      </c>
      <c r="AD715" s="44" t="s">
        <v>57</v>
      </c>
      <c r="AE715" s="33">
        <v>2035</v>
      </c>
      <c r="AF715" s="45" t="str">
        <f t="shared" si="105"/>
        <v>*0.93</v>
      </c>
      <c r="AG715" s="43" t="str">
        <f t="shared" si="108"/>
        <v>REZoning_Sol-Win</v>
      </c>
      <c r="AI715" s="33" t="s">
        <v>4046</v>
      </c>
      <c r="AJ715" s="44" t="s">
        <v>57</v>
      </c>
      <c r="AK715" s="33">
        <v>2050</v>
      </c>
      <c r="AL715" s="45" t="str">
        <f t="shared" si="106"/>
        <v>*0.89</v>
      </c>
      <c r="AM715" s="43" t="str">
        <f t="shared" si="109"/>
        <v>REZoning_Sol-Win</v>
      </c>
      <c r="AP715" t="s">
        <v>4046</v>
      </c>
      <c r="AQ715" t="s">
        <v>57</v>
      </c>
      <c r="AR715">
        <f t="shared" si="107"/>
        <v>2100</v>
      </c>
      <c r="AS715" t="s">
        <v>937</v>
      </c>
      <c r="AT715" t="s">
        <v>58</v>
      </c>
    </row>
    <row r="716" ht="29" spans="1:46">
      <c r="A716" s="31" t="s">
        <v>83</v>
      </c>
      <c r="C716" t="s">
        <v>4047</v>
      </c>
      <c r="D716" s="5" t="s">
        <v>57</v>
      </c>
      <c r="E716">
        <v>2035</v>
      </c>
      <c r="F716" s="6" t="str">
        <f t="shared" si="101"/>
        <v>*0.95</v>
      </c>
      <c r="H716" t="s">
        <v>4047</v>
      </c>
      <c r="I716" s="5" t="s">
        <v>57</v>
      </c>
      <c r="J716">
        <v>2050</v>
      </c>
      <c r="K716" s="38" t="str">
        <f t="shared" si="102"/>
        <v>*0.92</v>
      </c>
      <c r="P716" s="32" t="s">
        <v>4047</v>
      </c>
      <c r="Q716" s="42" t="s">
        <v>57</v>
      </c>
      <c r="R716" s="32">
        <v>2035</v>
      </c>
      <c r="S716" s="43" t="str">
        <f t="shared" si="103"/>
        <v>*0.95</v>
      </c>
      <c r="U716" s="32" t="s">
        <v>4047</v>
      </c>
      <c r="V716" s="42" t="s">
        <v>57</v>
      </c>
      <c r="W716" s="32">
        <v>2050</v>
      </c>
      <c r="X716" s="43" t="str">
        <f t="shared" si="104"/>
        <v>*0.92</v>
      </c>
      <c r="AC716" s="33" t="s">
        <v>4047</v>
      </c>
      <c r="AD716" s="44" t="s">
        <v>57</v>
      </c>
      <c r="AE716" s="33">
        <v>2035</v>
      </c>
      <c r="AF716" s="45" t="str">
        <f t="shared" si="105"/>
        <v>*0.93</v>
      </c>
      <c r="AG716" s="43" t="str">
        <f t="shared" si="108"/>
        <v>REZoning_Sol-Win</v>
      </c>
      <c r="AI716" s="33" t="s">
        <v>4047</v>
      </c>
      <c r="AJ716" s="44" t="s">
        <v>57</v>
      </c>
      <c r="AK716" s="33">
        <v>2050</v>
      </c>
      <c r="AL716" s="45" t="str">
        <f t="shared" si="106"/>
        <v>*0.89</v>
      </c>
      <c r="AM716" s="43" t="str">
        <f t="shared" si="109"/>
        <v>REZoning_Sol-Win</v>
      </c>
      <c r="AP716" t="s">
        <v>4047</v>
      </c>
      <c r="AQ716" t="s">
        <v>57</v>
      </c>
      <c r="AR716">
        <f t="shared" si="107"/>
        <v>2100</v>
      </c>
      <c r="AS716" t="s">
        <v>937</v>
      </c>
      <c r="AT716" t="s">
        <v>58</v>
      </c>
    </row>
    <row r="717" ht="29" spans="1:46">
      <c r="A717" s="31" t="s">
        <v>83</v>
      </c>
      <c r="C717" t="s">
        <v>4048</v>
      </c>
      <c r="D717" s="5" t="s">
        <v>57</v>
      </c>
      <c r="E717">
        <v>2035</v>
      </c>
      <c r="F717" s="6" t="str">
        <f t="shared" si="101"/>
        <v>*0.95</v>
      </c>
      <c r="H717" t="s">
        <v>4048</v>
      </c>
      <c r="I717" s="5" t="s">
        <v>57</v>
      </c>
      <c r="J717">
        <v>2050</v>
      </c>
      <c r="K717" s="38" t="str">
        <f t="shared" si="102"/>
        <v>*0.92</v>
      </c>
      <c r="P717" s="32" t="s">
        <v>4048</v>
      </c>
      <c r="Q717" s="42" t="s">
        <v>57</v>
      </c>
      <c r="R717" s="32">
        <v>2035</v>
      </c>
      <c r="S717" s="43" t="str">
        <f t="shared" si="103"/>
        <v>*0.95</v>
      </c>
      <c r="U717" s="32" t="s">
        <v>4048</v>
      </c>
      <c r="V717" s="42" t="s">
        <v>57</v>
      </c>
      <c r="W717" s="32">
        <v>2050</v>
      </c>
      <c r="X717" s="43" t="str">
        <f t="shared" si="104"/>
        <v>*0.92</v>
      </c>
      <c r="AC717" s="33" t="s">
        <v>4048</v>
      </c>
      <c r="AD717" s="44" t="s">
        <v>57</v>
      </c>
      <c r="AE717" s="33">
        <v>2035</v>
      </c>
      <c r="AF717" s="45" t="str">
        <f t="shared" si="105"/>
        <v>*0.93</v>
      </c>
      <c r="AG717" s="43" t="str">
        <f t="shared" si="108"/>
        <v>REZoning_Sol-Win</v>
      </c>
      <c r="AI717" s="33" t="s">
        <v>4048</v>
      </c>
      <c r="AJ717" s="44" t="s">
        <v>57</v>
      </c>
      <c r="AK717" s="33">
        <v>2050</v>
      </c>
      <c r="AL717" s="45" t="str">
        <f t="shared" si="106"/>
        <v>*0.89</v>
      </c>
      <c r="AM717" s="43" t="str">
        <f t="shared" si="109"/>
        <v>REZoning_Sol-Win</v>
      </c>
      <c r="AP717" t="s">
        <v>4048</v>
      </c>
      <c r="AQ717" t="s">
        <v>57</v>
      </c>
      <c r="AR717">
        <f t="shared" si="107"/>
        <v>2100</v>
      </c>
      <c r="AS717" t="s">
        <v>937</v>
      </c>
      <c r="AT717" t="s">
        <v>58</v>
      </c>
    </row>
    <row r="718" ht="29" spans="1:46">
      <c r="A718" s="31" t="s">
        <v>83</v>
      </c>
      <c r="C718" t="s">
        <v>4049</v>
      </c>
      <c r="D718" s="5" t="s">
        <v>57</v>
      </c>
      <c r="E718">
        <v>2035</v>
      </c>
      <c r="F718" s="6" t="str">
        <f t="shared" si="101"/>
        <v>*0.95</v>
      </c>
      <c r="H718" t="s">
        <v>4049</v>
      </c>
      <c r="I718" s="5" t="s">
        <v>57</v>
      </c>
      <c r="J718">
        <v>2050</v>
      </c>
      <c r="K718" s="38" t="str">
        <f t="shared" si="102"/>
        <v>*0.92</v>
      </c>
      <c r="P718" s="32" t="s">
        <v>4049</v>
      </c>
      <c r="Q718" s="42" t="s">
        <v>57</v>
      </c>
      <c r="R718" s="32">
        <v>2035</v>
      </c>
      <c r="S718" s="43" t="str">
        <f t="shared" si="103"/>
        <v>*0.95</v>
      </c>
      <c r="U718" s="32" t="s">
        <v>4049</v>
      </c>
      <c r="V718" s="42" t="s">
        <v>57</v>
      </c>
      <c r="W718" s="32">
        <v>2050</v>
      </c>
      <c r="X718" s="43" t="str">
        <f t="shared" si="104"/>
        <v>*0.92</v>
      </c>
      <c r="AC718" s="33" t="s">
        <v>4049</v>
      </c>
      <c r="AD718" s="44" t="s">
        <v>57</v>
      </c>
      <c r="AE718" s="33">
        <v>2035</v>
      </c>
      <c r="AF718" s="45" t="str">
        <f t="shared" si="105"/>
        <v>*0.93</v>
      </c>
      <c r="AG718" s="43" t="str">
        <f t="shared" si="108"/>
        <v>REZoning_Sol-Win</v>
      </c>
      <c r="AI718" s="33" t="s">
        <v>4049</v>
      </c>
      <c r="AJ718" s="44" t="s">
        <v>57</v>
      </c>
      <c r="AK718" s="33">
        <v>2050</v>
      </c>
      <c r="AL718" s="45" t="str">
        <f t="shared" si="106"/>
        <v>*0.89</v>
      </c>
      <c r="AM718" s="43" t="str">
        <f t="shared" si="109"/>
        <v>REZoning_Sol-Win</v>
      </c>
      <c r="AP718" t="s">
        <v>4049</v>
      </c>
      <c r="AQ718" t="s">
        <v>57</v>
      </c>
      <c r="AR718">
        <f t="shared" si="107"/>
        <v>2100</v>
      </c>
      <c r="AS718" t="s">
        <v>937</v>
      </c>
      <c r="AT718" t="s">
        <v>58</v>
      </c>
    </row>
    <row r="719" ht="29" spans="1:46">
      <c r="A719" s="31" t="s">
        <v>83</v>
      </c>
      <c r="C719" t="s">
        <v>4050</v>
      </c>
      <c r="D719" s="5" t="s">
        <v>57</v>
      </c>
      <c r="E719">
        <v>2035</v>
      </c>
      <c r="F719" s="6" t="str">
        <f t="shared" si="101"/>
        <v>*0.95</v>
      </c>
      <c r="H719" t="s">
        <v>4050</v>
      </c>
      <c r="I719" s="5" t="s">
        <v>57</v>
      </c>
      <c r="J719">
        <v>2050</v>
      </c>
      <c r="K719" s="38" t="str">
        <f t="shared" si="102"/>
        <v>*0.92</v>
      </c>
      <c r="P719" s="32" t="s">
        <v>4050</v>
      </c>
      <c r="Q719" s="42" t="s">
        <v>57</v>
      </c>
      <c r="R719" s="32">
        <v>2035</v>
      </c>
      <c r="S719" s="43" t="str">
        <f t="shared" si="103"/>
        <v>*0.95</v>
      </c>
      <c r="U719" s="32" t="s">
        <v>4050</v>
      </c>
      <c r="V719" s="42" t="s">
        <v>57</v>
      </c>
      <c r="W719" s="32">
        <v>2050</v>
      </c>
      <c r="X719" s="43" t="str">
        <f t="shared" si="104"/>
        <v>*0.92</v>
      </c>
      <c r="AC719" s="33" t="s">
        <v>4050</v>
      </c>
      <c r="AD719" s="44" t="s">
        <v>57</v>
      </c>
      <c r="AE719" s="33">
        <v>2035</v>
      </c>
      <c r="AF719" s="45" t="str">
        <f t="shared" si="105"/>
        <v>*0.93</v>
      </c>
      <c r="AG719" s="43" t="str">
        <f t="shared" si="108"/>
        <v>REZoning_Sol-Win</v>
      </c>
      <c r="AI719" s="33" t="s">
        <v>4050</v>
      </c>
      <c r="AJ719" s="44" t="s">
        <v>57</v>
      </c>
      <c r="AK719" s="33">
        <v>2050</v>
      </c>
      <c r="AL719" s="45" t="str">
        <f t="shared" si="106"/>
        <v>*0.89</v>
      </c>
      <c r="AM719" s="43" t="str">
        <f t="shared" si="109"/>
        <v>REZoning_Sol-Win</v>
      </c>
      <c r="AP719" t="s">
        <v>4050</v>
      </c>
      <c r="AQ719" t="s">
        <v>57</v>
      </c>
      <c r="AR719">
        <f t="shared" si="107"/>
        <v>2100</v>
      </c>
      <c r="AS719" t="s">
        <v>937</v>
      </c>
      <c r="AT719" t="s">
        <v>58</v>
      </c>
    </row>
    <row r="720" ht="29" spans="1:46">
      <c r="A720" s="31" t="s">
        <v>73</v>
      </c>
      <c r="C720" t="s">
        <v>4051</v>
      </c>
      <c r="D720" s="5" t="s">
        <v>57</v>
      </c>
      <c r="E720">
        <v>2035</v>
      </c>
      <c r="F720" s="6" t="str">
        <f t="shared" si="101"/>
        <v>*0.95</v>
      </c>
      <c r="H720" t="s">
        <v>4051</v>
      </c>
      <c r="I720" s="5" t="s">
        <v>57</v>
      </c>
      <c r="J720">
        <v>2050</v>
      </c>
      <c r="K720" s="38" t="str">
        <f t="shared" si="102"/>
        <v>*0.93</v>
      </c>
      <c r="P720" s="32" t="s">
        <v>4051</v>
      </c>
      <c r="Q720" s="42" t="s">
        <v>57</v>
      </c>
      <c r="R720" s="32">
        <v>2035</v>
      </c>
      <c r="S720" s="43" t="str">
        <f t="shared" si="103"/>
        <v>*0.95</v>
      </c>
      <c r="U720" s="32" t="s">
        <v>4051</v>
      </c>
      <c r="V720" s="42" t="s">
        <v>57</v>
      </c>
      <c r="W720" s="32">
        <v>2050</v>
      </c>
      <c r="X720" s="43" t="str">
        <f t="shared" si="104"/>
        <v>*0.93</v>
      </c>
      <c r="AC720" s="33" t="s">
        <v>4051</v>
      </c>
      <c r="AD720" s="44" t="s">
        <v>57</v>
      </c>
      <c r="AE720" s="33">
        <v>2035</v>
      </c>
      <c r="AF720" s="45" t="str">
        <f t="shared" si="105"/>
        <v>*0.93</v>
      </c>
      <c r="AG720" s="43" t="str">
        <f t="shared" si="108"/>
        <v>REZoning_Sol-Win</v>
      </c>
      <c r="AI720" s="33" t="s">
        <v>4051</v>
      </c>
      <c r="AJ720" s="44" t="s">
        <v>57</v>
      </c>
      <c r="AK720" s="33">
        <v>2050</v>
      </c>
      <c r="AL720" s="45" t="str">
        <f t="shared" si="106"/>
        <v>*0.9</v>
      </c>
      <c r="AM720" s="43" t="str">
        <f t="shared" si="109"/>
        <v>REZoning_Sol-Win</v>
      </c>
      <c r="AP720" t="s">
        <v>4051</v>
      </c>
      <c r="AQ720" t="s">
        <v>57</v>
      </c>
      <c r="AR720">
        <f t="shared" si="107"/>
        <v>2100</v>
      </c>
      <c r="AS720" t="s">
        <v>897</v>
      </c>
      <c r="AT720" t="s">
        <v>58</v>
      </c>
    </row>
    <row r="721" ht="29" spans="1:46">
      <c r="A721" s="31" t="s">
        <v>73</v>
      </c>
      <c r="C721" t="s">
        <v>4052</v>
      </c>
      <c r="D721" s="5" t="s">
        <v>57</v>
      </c>
      <c r="E721">
        <v>2035</v>
      </c>
      <c r="F721" s="6" t="str">
        <f t="shared" si="101"/>
        <v>*0.95</v>
      </c>
      <c r="H721" t="s">
        <v>4052</v>
      </c>
      <c r="I721" s="5" t="s">
        <v>57</v>
      </c>
      <c r="J721">
        <v>2050</v>
      </c>
      <c r="K721" s="38" t="str">
        <f t="shared" si="102"/>
        <v>*0.93</v>
      </c>
      <c r="P721" s="32" t="s">
        <v>4052</v>
      </c>
      <c r="Q721" s="42" t="s">
        <v>57</v>
      </c>
      <c r="R721" s="32">
        <v>2035</v>
      </c>
      <c r="S721" s="43" t="str">
        <f t="shared" si="103"/>
        <v>*0.95</v>
      </c>
      <c r="U721" s="32" t="s">
        <v>4052</v>
      </c>
      <c r="V721" s="42" t="s">
        <v>57</v>
      </c>
      <c r="W721" s="32">
        <v>2050</v>
      </c>
      <c r="X721" s="43" t="str">
        <f t="shared" si="104"/>
        <v>*0.93</v>
      </c>
      <c r="AC721" s="33" t="s">
        <v>4052</v>
      </c>
      <c r="AD721" s="44" t="s">
        <v>57</v>
      </c>
      <c r="AE721" s="33">
        <v>2035</v>
      </c>
      <c r="AF721" s="45" t="str">
        <f t="shared" si="105"/>
        <v>*0.93</v>
      </c>
      <c r="AG721" s="43" t="str">
        <f t="shared" si="108"/>
        <v>REZoning_Sol-Win</v>
      </c>
      <c r="AI721" s="33" t="s">
        <v>4052</v>
      </c>
      <c r="AJ721" s="44" t="s">
        <v>57</v>
      </c>
      <c r="AK721" s="33">
        <v>2050</v>
      </c>
      <c r="AL721" s="45" t="str">
        <f t="shared" si="106"/>
        <v>*0.9</v>
      </c>
      <c r="AM721" s="43" t="str">
        <f t="shared" si="109"/>
        <v>REZoning_Sol-Win</v>
      </c>
      <c r="AP721" t="s">
        <v>4052</v>
      </c>
      <c r="AQ721" t="s">
        <v>57</v>
      </c>
      <c r="AR721">
        <f t="shared" si="107"/>
        <v>2100</v>
      </c>
      <c r="AS721" t="s">
        <v>897</v>
      </c>
      <c r="AT721" t="s">
        <v>58</v>
      </c>
    </row>
    <row r="722" ht="29" spans="1:46">
      <c r="A722" s="31" t="s">
        <v>73</v>
      </c>
      <c r="C722" t="s">
        <v>4053</v>
      </c>
      <c r="D722" s="5" t="s">
        <v>57</v>
      </c>
      <c r="E722">
        <v>2035</v>
      </c>
      <c r="F722" s="6" t="str">
        <f t="shared" si="101"/>
        <v>*0.95</v>
      </c>
      <c r="H722" t="s">
        <v>4053</v>
      </c>
      <c r="I722" s="5" t="s">
        <v>57</v>
      </c>
      <c r="J722">
        <v>2050</v>
      </c>
      <c r="K722" s="38" t="str">
        <f t="shared" si="102"/>
        <v>*0.93</v>
      </c>
      <c r="P722" s="32" t="s">
        <v>4053</v>
      </c>
      <c r="Q722" s="42" t="s">
        <v>57</v>
      </c>
      <c r="R722" s="32">
        <v>2035</v>
      </c>
      <c r="S722" s="43" t="str">
        <f t="shared" si="103"/>
        <v>*0.95</v>
      </c>
      <c r="U722" s="32" t="s">
        <v>4053</v>
      </c>
      <c r="V722" s="42" t="s">
        <v>57</v>
      </c>
      <c r="W722" s="32">
        <v>2050</v>
      </c>
      <c r="X722" s="43" t="str">
        <f t="shared" si="104"/>
        <v>*0.93</v>
      </c>
      <c r="AC722" s="33" t="s">
        <v>4053</v>
      </c>
      <c r="AD722" s="44" t="s">
        <v>57</v>
      </c>
      <c r="AE722" s="33">
        <v>2035</v>
      </c>
      <c r="AF722" s="45" t="str">
        <f t="shared" si="105"/>
        <v>*0.93</v>
      </c>
      <c r="AG722" s="43" t="str">
        <f t="shared" si="108"/>
        <v>REZoning_Sol-Win</v>
      </c>
      <c r="AI722" s="33" t="s">
        <v>4053</v>
      </c>
      <c r="AJ722" s="44" t="s">
        <v>57</v>
      </c>
      <c r="AK722" s="33">
        <v>2050</v>
      </c>
      <c r="AL722" s="45" t="str">
        <f t="shared" si="106"/>
        <v>*0.9</v>
      </c>
      <c r="AM722" s="43" t="str">
        <f t="shared" si="109"/>
        <v>REZoning_Sol-Win</v>
      </c>
      <c r="AP722" t="s">
        <v>4053</v>
      </c>
      <c r="AQ722" t="s">
        <v>57</v>
      </c>
      <c r="AR722">
        <f t="shared" si="107"/>
        <v>2100</v>
      </c>
      <c r="AS722" t="s">
        <v>897</v>
      </c>
      <c r="AT722" t="s">
        <v>58</v>
      </c>
    </row>
    <row r="723" ht="29" spans="1:46">
      <c r="A723" s="31" t="s">
        <v>73</v>
      </c>
      <c r="C723" t="s">
        <v>4054</v>
      </c>
      <c r="D723" s="5" t="s">
        <v>57</v>
      </c>
      <c r="E723">
        <v>2035</v>
      </c>
      <c r="F723" s="6" t="str">
        <f t="shared" si="101"/>
        <v>*0.95</v>
      </c>
      <c r="H723" t="s">
        <v>4054</v>
      </c>
      <c r="I723" s="5" t="s">
        <v>57</v>
      </c>
      <c r="J723">
        <v>2050</v>
      </c>
      <c r="K723" s="38" t="str">
        <f t="shared" si="102"/>
        <v>*0.93</v>
      </c>
      <c r="P723" s="32" t="s">
        <v>4054</v>
      </c>
      <c r="Q723" s="42" t="s">
        <v>57</v>
      </c>
      <c r="R723" s="32">
        <v>2035</v>
      </c>
      <c r="S723" s="43" t="str">
        <f t="shared" si="103"/>
        <v>*0.95</v>
      </c>
      <c r="U723" s="32" t="s">
        <v>4054</v>
      </c>
      <c r="V723" s="42" t="s">
        <v>57</v>
      </c>
      <c r="W723" s="32">
        <v>2050</v>
      </c>
      <c r="X723" s="43" t="str">
        <f t="shared" si="104"/>
        <v>*0.93</v>
      </c>
      <c r="AC723" s="33" t="s">
        <v>4054</v>
      </c>
      <c r="AD723" s="44" t="s">
        <v>57</v>
      </c>
      <c r="AE723" s="33">
        <v>2035</v>
      </c>
      <c r="AF723" s="45" t="str">
        <f t="shared" si="105"/>
        <v>*0.93</v>
      </c>
      <c r="AG723" s="43" t="str">
        <f t="shared" si="108"/>
        <v>REZoning_Sol-Win</v>
      </c>
      <c r="AI723" s="33" t="s">
        <v>4054</v>
      </c>
      <c r="AJ723" s="44" t="s">
        <v>57</v>
      </c>
      <c r="AK723" s="33">
        <v>2050</v>
      </c>
      <c r="AL723" s="45" t="str">
        <f t="shared" si="106"/>
        <v>*0.9</v>
      </c>
      <c r="AM723" s="43" t="str">
        <f t="shared" si="109"/>
        <v>REZoning_Sol-Win</v>
      </c>
      <c r="AP723" t="s">
        <v>4054</v>
      </c>
      <c r="AQ723" t="s">
        <v>57</v>
      </c>
      <c r="AR723">
        <f t="shared" si="107"/>
        <v>2100</v>
      </c>
      <c r="AS723" t="s">
        <v>897</v>
      </c>
      <c r="AT723" t="s">
        <v>58</v>
      </c>
    </row>
    <row r="724" ht="29" spans="1:46">
      <c r="A724" s="31" t="s">
        <v>73</v>
      </c>
      <c r="C724" t="s">
        <v>4055</v>
      </c>
      <c r="D724" s="5" t="s">
        <v>57</v>
      </c>
      <c r="E724">
        <v>2035</v>
      </c>
      <c r="F724" s="6" t="str">
        <f t="shared" si="101"/>
        <v>*0.95</v>
      </c>
      <c r="H724" t="s">
        <v>4055</v>
      </c>
      <c r="I724" s="5" t="s">
        <v>57</v>
      </c>
      <c r="J724">
        <v>2050</v>
      </c>
      <c r="K724" s="38" t="str">
        <f t="shared" si="102"/>
        <v>*0.93</v>
      </c>
      <c r="P724" s="32" t="s">
        <v>4055</v>
      </c>
      <c r="Q724" s="42" t="s">
        <v>57</v>
      </c>
      <c r="R724" s="32">
        <v>2035</v>
      </c>
      <c r="S724" s="43" t="str">
        <f t="shared" si="103"/>
        <v>*0.95</v>
      </c>
      <c r="U724" s="32" t="s">
        <v>4055</v>
      </c>
      <c r="V724" s="42" t="s">
        <v>57</v>
      </c>
      <c r="W724" s="32">
        <v>2050</v>
      </c>
      <c r="X724" s="43" t="str">
        <f t="shared" si="104"/>
        <v>*0.93</v>
      </c>
      <c r="AC724" s="33" t="s">
        <v>4055</v>
      </c>
      <c r="AD724" s="44" t="s">
        <v>57</v>
      </c>
      <c r="AE724" s="33">
        <v>2035</v>
      </c>
      <c r="AF724" s="45" t="str">
        <f t="shared" si="105"/>
        <v>*0.93</v>
      </c>
      <c r="AG724" s="43" t="str">
        <f t="shared" si="108"/>
        <v>REZoning_Sol-Win</v>
      </c>
      <c r="AI724" s="33" t="s">
        <v>4055</v>
      </c>
      <c r="AJ724" s="44" t="s">
        <v>57</v>
      </c>
      <c r="AK724" s="33">
        <v>2050</v>
      </c>
      <c r="AL724" s="45" t="str">
        <f t="shared" si="106"/>
        <v>*0.9</v>
      </c>
      <c r="AM724" s="43" t="str">
        <f t="shared" si="109"/>
        <v>REZoning_Sol-Win</v>
      </c>
      <c r="AP724" t="s">
        <v>4055</v>
      </c>
      <c r="AQ724" t="s">
        <v>57</v>
      </c>
      <c r="AR724">
        <f t="shared" si="107"/>
        <v>2100</v>
      </c>
      <c r="AS724" t="s">
        <v>897</v>
      </c>
      <c r="AT724" t="s">
        <v>58</v>
      </c>
    </row>
    <row r="725" ht="29" spans="1:46">
      <c r="A725" s="31" t="s">
        <v>73</v>
      </c>
      <c r="C725" t="s">
        <v>4056</v>
      </c>
      <c r="D725" s="5" t="s">
        <v>57</v>
      </c>
      <c r="E725">
        <v>2035</v>
      </c>
      <c r="F725" s="6" t="str">
        <f t="shared" si="101"/>
        <v>*0.95</v>
      </c>
      <c r="H725" t="s">
        <v>4056</v>
      </c>
      <c r="I725" s="5" t="s">
        <v>57</v>
      </c>
      <c r="J725">
        <v>2050</v>
      </c>
      <c r="K725" s="38" t="str">
        <f t="shared" si="102"/>
        <v>*0.93</v>
      </c>
      <c r="P725" s="32" t="s">
        <v>4056</v>
      </c>
      <c r="Q725" s="42" t="s">
        <v>57</v>
      </c>
      <c r="R725" s="32">
        <v>2035</v>
      </c>
      <c r="S725" s="43" t="str">
        <f t="shared" si="103"/>
        <v>*0.95</v>
      </c>
      <c r="U725" s="32" t="s">
        <v>4056</v>
      </c>
      <c r="V725" s="42" t="s">
        <v>57</v>
      </c>
      <c r="W725" s="32">
        <v>2050</v>
      </c>
      <c r="X725" s="43" t="str">
        <f t="shared" si="104"/>
        <v>*0.93</v>
      </c>
      <c r="AC725" s="33" t="s">
        <v>4056</v>
      </c>
      <c r="AD725" s="44" t="s">
        <v>57</v>
      </c>
      <c r="AE725" s="33">
        <v>2035</v>
      </c>
      <c r="AF725" s="45" t="str">
        <f t="shared" si="105"/>
        <v>*0.93</v>
      </c>
      <c r="AG725" s="43" t="str">
        <f t="shared" si="108"/>
        <v>REZoning_Sol-Win</v>
      </c>
      <c r="AI725" s="33" t="s">
        <v>4056</v>
      </c>
      <c r="AJ725" s="44" t="s">
        <v>57</v>
      </c>
      <c r="AK725" s="33">
        <v>2050</v>
      </c>
      <c r="AL725" s="45" t="str">
        <f t="shared" si="106"/>
        <v>*0.9</v>
      </c>
      <c r="AM725" s="43" t="str">
        <f t="shared" si="109"/>
        <v>REZoning_Sol-Win</v>
      </c>
      <c r="AP725" t="s">
        <v>4056</v>
      </c>
      <c r="AQ725" t="s">
        <v>57</v>
      </c>
      <c r="AR725">
        <f t="shared" si="107"/>
        <v>2100</v>
      </c>
      <c r="AS725" t="s">
        <v>897</v>
      </c>
      <c r="AT725" t="s">
        <v>58</v>
      </c>
    </row>
    <row r="726" ht="29" spans="1:46">
      <c r="A726" s="31" t="s">
        <v>73</v>
      </c>
      <c r="C726" t="s">
        <v>4057</v>
      </c>
      <c r="D726" s="5" t="s">
        <v>57</v>
      </c>
      <c r="E726">
        <v>2035</v>
      </c>
      <c r="F726" s="6" t="str">
        <f t="shared" si="101"/>
        <v>*0.95</v>
      </c>
      <c r="H726" t="s">
        <v>4057</v>
      </c>
      <c r="I726" s="5" t="s">
        <v>57</v>
      </c>
      <c r="J726">
        <v>2050</v>
      </c>
      <c r="K726" s="38" t="str">
        <f t="shared" si="102"/>
        <v>*0.93</v>
      </c>
      <c r="P726" s="32" t="s">
        <v>4057</v>
      </c>
      <c r="Q726" s="42" t="s">
        <v>57</v>
      </c>
      <c r="R726" s="32">
        <v>2035</v>
      </c>
      <c r="S726" s="43" t="str">
        <f t="shared" si="103"/>
        <v>*0.95</v>
      </c>
      <c r="U726" s="32" t="s">
        <v>4057</v>
      </c>
      <c r="V726" s="42" t="s">
        <v>57</v>
      </c>
      <c r="W726" s="32">
        <v>2050</v>
      </c>
      <c r="X726" s="43" t="str">
        <f t="shared" si="104"/>
        <v>*0.93</v>
      </c>
      <c r="AC726" s="33" t="s">
        <v>4057</v>
      </c>
      <c r="AD726" s="44" t="s">
        <v>57</v>
      </c>
      <c r="AE726" s="33">
        <v>2035</v>
      </c>
      <c r="AF726" s="45" t="str">
        <f t="shared" si="105"/>
        <v>*0.93</v>
      </c>
      <c r="AG726" s="43" t="str">
        <f t="shared" si="108"/>
        <v>REZoning_Sol-Win</v>
      </c>
      <c r="AI726" s="33" t="s">
        <v>4057</v>
      </c>
      <c r="AJ726" s="44" t="s">
        <v>57</v>
      </c>
      <c r="AK726" s="33">
        <v>2050</v>
      </c>
      <c r="AL726" s="45" t="str">
        <f t="shared" si="106"/>
        <v>*0.9</v>
      </c>
      <c r="AM726" s="43" t="str">
        <f t="shared" si="109"/>
        <v>REZoning_Sol-Win</v>
      </c>
      <c r="AP726" t="s">
        <v>4057</v>
      </c>
      <c r="AQ726" t="s">
        <v>57</v>
      </c>
      <c r="AR726">
        <f t="shared" si="107"/>
        <v>2100</v>
      </c>
      <c r="AS726" t="s">
        <v>897</v>
      </c>
      <c r="AT726" t="s">
        <v>58</v>
      </c>
    </row>
    <row r="727" ht="29" spans="1:46">
      <c r="A727" s="31" t="s">
        <v>73</v>
      </c>
      <c r="C727" t="s">
        <v>4058</v>
      </c>
      <c r="D727" s="5" t="s">
        <v>57</v>
      </c>
      <c r="E727">
        <v>2035</v>
      </c>
      <c r="F727" s="6" t="str">
        <f t="shared" si="101"/>
        <v>*0.95</v>
      </c>
      <c r="H727" t="s">
        <v>4058</v>
      </c>
      <c r="I727" s="5" t="s">
        <v>57</v>
      </c>
      <c r="J727">
        <v>2050</v>
      </c>
      <c r="K727" s="38" t="str">
        <f t="shared" si="102"/>
        <v>*0.93</v>
      </c>
      <c r="P727" s="32" t="s">
        <v>4058</v>
      </c>
      <c r="Q727" s="42" t="s">
        <v>57</v>
      </c>
      <c r="R727" s="32">
        <v>2035</v>
      </c>
      <c r="S727" s="43" t="str">
        <f t="shared" si="103"/>
        <v>*0.95</v>
      </c>
      <c r="U727" s="32" t="s">
        <v>4058</v>
      </c>
      <c r="V727" s="42" t="s">
        <v>57</v>
      </c>
      <c r="W727" s="32">
        <v>2050</v>
      </c>
      <c r="X727" s="43" t="str">
        <f t="shared" si="104"/>
        <v>*0.93</v>
      </c>
      <c r="AC727" s="33" t="s">
        <v>4058</v>
      </c>
      <c r="AD727" s="44" t="s">
        <v>57</v>
      </c>
      <c r="AE727" s="33">
        <v>2035</v>
      </c>
      <c r="AF727" s="45" t="str">
        <f t="shared" si="105"/>
        <v>*0.93</v>
      </c>
      <c r="AG727" s="43" t="str">
        <f t="shared" si="108"/>
        <v>REZoning_Sol-Win</v>
      </c>
      <c r="AI727" s="33" t="s">
        <v>4058</v>
      </c>
      <c r="AJ727" s="44" t="s">
        <v>57</v>
      </c>
      <c r="AK727" s="33">
        <v>2050</v>
      </c>
      <c r="AL727" s="45" t="str">
        <f t="shared" si="106"/>
        <v>*0.9</v>
      </c>
      <c r="AM727" s="43" t="str">
        <f t="shared" si="109"/>
        <v>REZoning_Sol-Win</v>
      </c>
      <c r="AP727" t="s">
        <v>4058</v>
      </c>
      <c r="AQ727" t="s">
        <v>57</v>
      </c>
      <c r="AR727">
        <f t="shared" si="107"/>
        <v>2100</v>
      </c>
      <c r="AS727" t="s">
        <v>897</v>
      </c>
      <c r="AT727" t="s">
        <v>58</v>
      </c>
    </row>
    <row r="728" ht="29" spans="1:46">
      <c r="A728" s="31" t="s">
        <v>73</v>
      </c>
      <c r="C728" t="s">
        <v>4059</v>
      </c>
      <c r="D728" s="5" t="s">
        <v>57</v>
      </c>
      <c r="E728">
        <v>2035</v>
      </c>
      <c r="F728" s="6" t="str">
        <f t="shared" si="101"/>
        <v>*0.95</v>
      </c>
      <c r="H728" t="s">
        <v>4059</v>
      </c>
      <c r="I728" s="5" t="s">
        <v>57</v>
      </c>
      <c r="J728">
        <v>2050</v>
      </c>
      <c r="K728" s="38" t="str">
        <f t="shared" si="102"/>
        <v>*0.93</v>
      </c>
      <c r="P728" s="32" t="s">
        <v>4059</v>
      </c>
      <c r="Q728" s="42" t="s">
        <v>57</v>
      </c>
      <c r="R728" s="32">
        <v>2035</v>
      </c>
      <c r="S728" s="43" t="str">
        <f t="shared" si="103"/>
        <v>*0.95</v>
      </c>
      <c r="U728" s="32" t="s">
        <v>4059</v>
      </c>
      <c r="V728" s="42" t="s">
        <v>57</v>
      </c>
      <c r="W728" s="32">
        <v>2050</v>
      </c>
      <c r="X728" s="43" t="str">
        <f t="shared" si="104"/>
        <v>*0.93</v>
      </c>
      <c r="AC728" s="33" t="s">
        <v>4059</v>
      </c>
      <c r="AD728" s="44" t="s">
        <v>57</v>
      </c>
      <c r="AE728" s="33">
        <v>2035</v>
      </c>
      <c r="AF728" s="45" t="str">
        <f t="shared" si="105"/>
        <v>*0.93</v>
      </c>
      <c r="AG728" s="43" t="str">
        <f t="shared" si="108"/>
        <v>REZoning_Sol-Win</v>
      </c>
      <c r="AI728" s="33" t="s">
        <v>4059</v>
      </c>
      <c r="AJ728" s="44" t="s">
        <v>57</v>
      </c>
      <c r="AK728" s="33">
        <v>2050</v>
      </c>
      <c r="AL728" s="45" t="str">
        <f t="shared" si="106"/>
        <v>*0.9</v>
      </c>
      <c r="AM728" s="43" t="str">
        <f t="shared" si="109"/>
        <v>REZoning_Sol-Win</v>
      </c>
      <c r="AP728" t="s">
        <v>4059</v>
      </c>
      <c r="AQ728" t="s">
        <v>57</v>
      </c>
      <c r="AR728">
        <f t="shared" si="107"/>
        <v>2100</v>
      </c>
      <c r="AS728" t="s">
        <v>897</v>
      </c>
      <c r="AT728" t="s">
        <v>58</v>
      </c>
    </row>
    <row r="729" ht="29" spans="1:46">
      <c r="A729" s="31" t="s">
        <v>73</v>
      </c>
      <c r="C729" t="s">
        <v>4060</v>
      </c>
      <c r="D729" s="5" t="s">
        <v>57</v>
      </c>
      <c r="E729">
        <v>2035</v>
      </c>
      <c r="F729" s="6" t="str">
        <f t="shared" si="101"/>
        <v>*0.95</v>
      </c>
      <c r="H729" t="s">
        <v>4060</v>
      </c>
      <c r="I729" s="5" t="s">
        <v>57</v>
      </c>
      <c r="J729">
        <v>2050</v>
      </c>
      <c r="K729" s="38" t="str">
        <f t="shared" si="102"/>
        <v>*0.93</v>
      </c>
      <c r="P729" s="32" t="s">
        <v>4060</v>
      </c>
      <c r="Q729" s="42" t="s">
        <v>57</v>
      </c>
      <c r="R729" s="32">
        <v>2035</v>
      </c>
      <c r="S729" s="43" t="str">
        <f t="shared" si="103"/>
        <v>*0.95</v>
      </c>
      <c r="U729" s="32" t="s">
        <v>4060</v>
      </c>
      <c r="V729" s="42" t="s">
        <v>57</v>
      </c>
      <c r="W729" s="32">
        <v>2050</v>
      </c>
      <c r="X729" s="43" t="str">
        <f t="shared" si="104"/>
        <v>*0.93</v>
      </c>
      <c r="AC729" s="33" t="s">
        <v>4060</v>
      </c>
      <c r="AD729" s="44" t="s">
        <v>57</v>
      </c>
      <c r="AE729" s="33">
        <v>2035</v>
      </c>
      <c r="AF729" s="45" t="str">
        <f t="shared" si="105"/>
        <v>*0.93</v>
      </c>
      <c r="AG729" s="43" t="str">
        <f t="shared" si="108"/>
        <v>REZoning_Sol-Win</v>
      </c>
      <c r="AI729" s="33" t="s">
        <v>4060</v>
      </c>
      <c r="AJ729" s="44" t="s">
        <v>57</v>
      </c>
      <c r="AK729" s="33">
        <v>2050</v>
      </c>
      <c r="AL729" s="45" t="str">
        <f t="shared" si="106"/>
        <v>*0.9</v>
      </c>
      <c r="AM729" s="43" t="str">
        <f t="shared" si="109"/>
        <v>REZoning_Sol-Win</v>
      </c>
      <c r="AP729" t="s">
        <v>4060</v>
      </c>
      <c r="AQ729" t="s">
        <v>57</v>
      </c>
      <c r="AR729">
        <f t="shared" si="107"/>
        <v>2100</v>
      </c>
      <c r="AS729" t="s">
        <v>897</v>
      </c>
      <c r="AT729" t="s">
        <v>58</v>
      </c>
    </row>
    <row r="730" ht="29" spans="1:46">
      <c r="A730" s="31" t="s">
        <v>73</v>
      </c>
      <c r="C730" t="s">
        <v>4061</v>
      </c>
      <c r="D730" s="5" t="s">
        <v>57</v>
      </c>
      <c r="E730">
        <v>2035</v>
      </c>
      <c r="F730" s="6" t="str">
        <f t="shared" si="101"/>
        <v>*0.95</v>
      </c>
      <c r="H730" t="s">
        <v>4061</v>
      </c>
      <c r="I730" s="5" t="s">
        <v>57</v>
      </c>
      <c r="J730">
        <v>2050</v>
      </c>
      <c r="K730" s="38" t="str">
        <f t="shared" si="102"/>
        <v>*0.93</v>
      </c>
      <c r="P730" s="32" t="s">
        <v>4061</v>
      </c>
      <c r="Q730" s="42" t="s">
        <v>57</v>
      </c>
      <c r="R730" s="32">
        <v>2035</v>
      </c>
      <c r="S730" s="43" t="str">
        <f t="shared" si="103"/>
        <v>*0.95</v>
      </c>
      <c r="U730" s="32" t="s">
        <v>4061</v>
      </c>
      <c r="V730" s="42" t="s">
        <v>57</v>
      </c>
      <c r="W730" s="32">
        <v>2050</v>
      </c>
      <c r="X730" s="43" t="str">
        <f t="shared" si="104"/>
        <v>*0.93</v>
      </c>
      <c r="AC730" s="33" t="s">
        <v>4061</v>
      </c>
      <c r="AD730" s="44" t="s">
        <v>57</v>
      </c>
      <c r="AE730" s="33">
        <v>2035</v>
      </c>
      <c r="AF730" s="45" t="str">
        <f t="shared" si="105"/>
        <v>*0.93</v>
      </c>
      <c r="AG730" s="43" t="str">
        <f t="shared" si="108"/>
        <v>REZoning_Sol-Win</v>
      </c>
      <c r="AI730" s="33" t="s">
        <v>4061</v>
      </c>
      <c r="AJ730" s="44" t="s">
        <v>57</v>
      </c>
      <c r="AK730" s="33">
        <v>2050</v>
      </c>
      <c r="AL730" s="45" t="str">
        <f t="shared" si="106"/>
        <v>*0.9</v>
      </c>
      <c r="AM730" s="43" t="str">
        <f t="shared" si="109"/>
        <v>REZoning_Sol-Win</v>
      </c>
      <c r="AP730" t="s">
        <v>4061</v>
      </c>
      <c r="AQ730" t="s">
        <v>57</v>
      </c>
      <c r="AR730">
        <f t="shared" si="107"/>
        <v>2100</v>
      </c>
      <c r="AS730" t="s">
        <v>897</v>
      </c>
      <c r="AT730" t="s">
        <v>58</v>
      </c>
    </row>
    <row r="731" ht="29" spans="1:46">
      <c r="A731" s="31" t="s">
        <v>73</v>
      </c>
      <c r="C731" t="s">
        <v>4062</v>
      </c>
      <c r="D731" s="5" t="s">
        <v>57</v>
      </c>
      <c r="E731">
        <v>2035</v>
      </c>
      <c r="F731" s="6" t="str">
        <f t="shared" si="101"/>
        <v>*0.95</v>
      </c>
      <c r="H731" t="s">
        <v>4062</v>
      </c>
      <c r="I731" s="5" t="s">
        <v>57</v>
      </c>
      <c r="J731">
        <v>2050</v>
      </c>
      <c r="K731" s="38" t="str">
        <f t="shared" si="102"/>
        <v>*0.93</v>
      </c>
      <c r="P731" s="32" t="s">
        <v>4062</v>
      </c>
      <c r="Q731" s="42" t="s">
        <v>57</v>
      </c>
      <c r="R731" s="32">
        <v>2035</v>
      </c>
      <c r="S731" s="43" t="str">
        <f t="shared" si="103"/>
        <v>*0.95</v>
      </c>
      <c r="U731" s="32" t="s">
        <v>4062</v>
      </c>
      <c r="V731" s="42" t="s">
        <v>57</v>
      </c>
      <c r="W731" s="32">
        <v>2050</v>
      </c>
      <c r="X731" s="43" t="str">
        <f t="shared" si="104"/>
        <v>*0.93</v>
      </c>
      <c r="AC731" s="33" t="s">
        <v>4062</v>
      </c>
      <c r="AD731" s="44" t="s">
        <v>57</v>
      </c>
      <c r="AE731" s="33">
        <v>2035</v>
      </c>
      <c r="AF731" s="45" t="str">
        <f t="shared" si="105"/>
        <v>*0.93</v>
      </c>
      <c r="AG731" s="43" t="str">
        <f t="shared" si="108"/>
        <v>REZoning_Sol-Win</v>
      </c>
      <c r="AI731" s="33" t="s">
        <v>4062</v>
      </c>
      <c r="AJ731" s="44" t="s">
        <v>57</v>
      </c>
      <c r="AK731" s="33">
        <v>2050</v>
      </c>
      <c r="AL731" s="45" t="str">
        <f t="shared" si="106"/>
        <v>*0.9</v>
      </c>
      <c r="AM731" s="43" t="str">
        <f t="shared" si="109"/>
        <v>REZoning_Sol-Win</v>
      </c>
      <c r="AP731" t="s">
        <v>4062</v>
      </c>
      <c r="AQ731" t="s">
        <v>57</v>
      </c>
      <c r="AR731">
        <f t="shared" si="107"/>
        <v>2100</v>
      </c>
      <c r="AS731" t="s">
        <v>897</v>
      </c>
      <c r="AT731" t="s">
        <v>58</v>
      </c>
    </row>
    <row r="732" ht="29" spans="1:46">
      <c r="A732" s="31" t="s">
        <v>73</v>
      </c>
      <c r="C732" t="s">
        <v>4063</v>
      </c>
      <c r="D732" s="5" t="s">
        <v>57</v>
      </c>
      <c r="E732">
        <v>2035</v>
      </c>
      <c r="F732" s="6" t="str">
        <f t="shared" si="101"/>
        <v>*0.95</v>
      </c>
      <c r="H732" t="s">
        <v>4063</v>
      </c>
      <c r="I732" s="5" t="s">
        <v>57</v>
      </c>
      <c r="J732">
        <v>2050</v>
      </c>
      <c r="K732" s="38" t="str">
        <f t="shared" si="102"/>
        <v>*0.93</v>
      </c>
      <c r="P732" s="32" t="s">
        <v>4063</v>
      </c>
      <c r="Q732" s="42" t="s">
        <v>57</v>
      </c>
      <c r="R732" s="32">
        <v>2035</v>
      </c>
      <c r="S732" s="43" t="str">
        <f t="shared" si="103"/>
        <v>*0.95</v>
      </c>
      <c r="U732" s="32" t="s">
        <v>4063</v>
      </c>
      <c r="V732" s="42" t="s">
        <v>57</v>
      </c>
      <c r="W732" s="32">
        <v>2050</v>
      </c>
      <c r="X732" s="43" t="str">
        <f t="shared" si="104"/>
        <v>*0.93</v>
      </c>
      <c r="AC732" s="33" t="s">
        <v>4063</v>
      </c>
      <c r="AD732" s="44" t="s">
        <v>57</v>
      </c>
      <c r="AE732" s="33">
        <v>2035</v>
      </c>
      <c r="AF732" s="45" t="str">
        <f t="shared" si="105"/>
        <v>*0.93</v>
      </c>
      <c r="AG732" s="43" t="str">
        <f t="shared" si="108"/>
        <v>REZoning_Sol-Win</v>
      </c>
      <c r="AI732" s="33" t="s">
        <v>4063</v>
      </c>
      <c r="AJ732" s="44" t="s">
        <v>57</v>
      </c>
      <c r="AK732" s="33">
        <v>2050</v>
      </c>
      <c r="AL732" s="45" t="str">
        <f t="shared" si="106"/>
        <v>*0.9</v>
      </c>
      <c r="AM732" s="43" t="str">
        <f t="shared" si="109"/>
        <v>REZoning_Sol-Win</v>
      </c>
      <c r="AP732" t="s">
        <v>4063</v>
      </c>
      <c r="AQ732" t="s">
        <v>57</v>
      </c>
      <c r="AR732">
        <f t="shared" si="107"/>
        <v>2100</v>
      </c>
      <c r="AS732" t="s">
        <v>897</v>
      </c>
      <c r="AT732" t="s">
        <v>58</v>
      </c>
    </row>
    <row r="733" ht="29" spans="1:46">
      <c r="A733" s="31" t="s">
        <v>73</v>
      </c>
      <c r="C733" t="s">
        <v>4064</v>
      </c>
      <c r="D733" s="5" t="s">
        <v>57</v>
      </c>
      <c r="E733">
        <v>2035</v>
      </c>
      <c r="F733" s="6" t="str">
        <f t="shared" si="101"/>
        <v>*0.95</v>
      </c>
      <c r="H733" t="s">
        <v>4064</v>
      </c>
      <c r="I733" s="5" t="s">
        <v>57</v>
      </c>
      <c r="J733">
        <v>2050</v>
      </c>
      <c r="K733" s="38" t="str">
        <f t="shared" si="102"/>
        <v>*0.93</v>
      </c>
      <c r="P733" s="32" t="s">
        <v>4064</v>
      </c>
      <c r="Q733" s="42" t="s">
        <v>57</v>
      </c>
      <c r="R733" s="32">
        <v>2035</v>
      </c>
      <c r="S733" s="43" t="str">
        <f t="shared" si="103"/>
        <v>*0.95</v>
      </c>
      <c r="U733" s="32" t="s">
        <v>4064</v>
      </c>
      <c r="V733" s="42" t="s">
        <v>57</v>
      </c>
      <c r="W733" s="32">
        <v>2050</v>
      </c>
      <c r="X733" s="43" t="str">
        <f t="shared" si="104"/>
        <v>*0.93</v>
      </c>
      <c r="AC733" s="33" t="s">
        <v>4064</v>
      </c>
      <c r="AD733" s="44" t="s">
        <v>57</v>
      </c>
      <c r="AE733" s="33">
        <v>2035</v>
      </c>
      <c r="AF733" s="45" t="str">
        <f t="shared" si="105"/>
        <v>*0.93</v>
      </c>
      <c r="AG733" s="43" t="str">
        <f t="shared" si="108"/>
        <v>REZoning_Sol-Win</v>
      </c>
      <c r="AI733" s="33" t="s">
        <v>4064</v>
      </c>
      <c r="AJ733" s="44" t="s">
        <v>57</v>
      </c>
      <c r="AK733" s="33">
        <v>2050</v>
      </c>
      <c r="AL733" s="45" t="str">
        <f t="shared" si="106"/>
        <v>*0.9</v>
      </c>
      <c r="AM733" s="43" t="str">
        <f t="shared" si="109"/>
        <v>REZoning_Sol-Win</v>
      </c>
      <c r="AP733" t="s">
        <v>4064</v>
      </c>
      <c r="AQ733" t="s">
        <v>57</v>
      </c>
      <c r="AR733">
        <f t="shared" si="107"/>
        <v>2100</v>
      </c>
      <c r="AS733" t="s">
        <v>897</v>
      </c>
      <c r="AT733" t="s">
        <v>58</v>
      </c>
    </row>
    <row r="734" ht="29" spans="1:46">
      <c r="A734" s="31" t="s">
        <v>73</v>
      </c>
      <c r="C734" t="s">
        <v>4065</v>
      </c>
      <c r="D734" s="5" t="s">
        <v>57</v>
      </c>
      <c r="E734">
        <v>2035</v>
      </c>
      <c r="F734" s="6" t="str">
        <f t="shared" si="101"/>
        <v>*0.95</v>
      </c>
      <c r="H734" t="s">
        <v>4065</v>
      </c>
      <c r="I734" s="5" t="s">
        <v>57</v>
      </c>
      <c r="J734">
        <v>2050</v>
      </c>
      <c r="K734" s="38" t="str">
        <f t="shared" si="102"/>
        <v>*0.93</v>
      </c>
      <c r="P734" s="32" t="s">
        <v>4065</v>
      </c>
      <c r="Q734" s="42" t="s">
        <v>57</v>
      </c>
      <c r="R734" s="32">
        <v>2035</v>
      </c>
      <c r="S734" s="43" t="str">
        <f t="shared" si="103"/>
        <v>*0.95</v>
      </c>
      <c r="U734" s="32" t="s">
        <v>4065</v>
      </c>
      <c r="V734" s="42" t="s">
        <v>57</v>
      </c>
      <c r="W734" s="32">
        <v>2050</v>
      </c>
      <c r="X734" s="43" t="str">
        <f t="shared" si="104"/>
        <v>*0.93</v>
      </c>
      <c r="AC734" s="33" t="s">
        <v>4065</v>
      </c>
      <c r="AD734" s="44" t="s">
        <v>57</v>
      </c>
      <c r="AE734" s="33">
        <v>2035</v>
      </c>
      <c r="AF734" s="45" t="str">
        <f t="shared" si="105"/>
        <v>*0.93</v>
      </c>
      <c r="AG734" s="43" t="str">
        <f t="shared" si="108"/>
        <v>REZoning_Sol-Win</v>
      </c>
      <c r="AI734" s="33" t="s">
        <v>4065</v>
      </c>
      <c r="AJ734" s="44" t="s">
        <v>57</v>
      </c>
      <c r="AK734" s="33">
        <v>2050</v>
      </c>
      <c r="AL734" s="45" t="str">
        <f t="shared" si="106"/>
        <v>*0.9</v>
      </c>
      <c r="AM734" s="43" t="str">
        <f t="shared" si="109"/>
        <v>REZoning_Sol-Win</v>
      </c>
      <c r="AP734" t="s">
        <v>4065</v>
      </c>
      <c r="AQ734" t="s">
        <v>57</v>
      </c>
      <c r="AR734">
        <f t="shared" si="107"/>
        <v>2100</v>
      </c>
      <c r="AS734" t="s">
        <v>897</v>
      </c>
      <c r="AT734" t="s">
        <v>58</v>
      </c>
    </row>
    <row r="735" ht="29" spans="1:46">
      <c r="A735" s="31" t="s">
        <v>73</v>
      </c>
      <c r="C735" t="s">
        <v>4066</v>
      </c>
      <c r="D735" s="5" t="s">
        <v>57</v>
      </c>
      <c r="E735">
        <v>2035</v>
      </c>
      <c r="F735" s="6" t="str">
        <f t="shared" si="101"/>
        <v>*0.95</v>
      </c>
      <c r="H735" t="s">
        <v>4066</v>
      </c>
      <c r="I735" s="5" t="s">
        <v>57</v>
      </c>
      <c r="J735">
        <v>2050</v>
      </c>
      <c r="K735" s="38" t="str">
        <f t="shared" si="102"/>
        <v>*0.93</v>
      </c>
      <c r="P735" s="32" t="s">
        <v>4066</v>
      </c>
      <c r="Q735" s="42" t="s">
        <v>57</v>
      </c>
      <c r="R735" s="32">
        <v>2035</v>
      </c>
      <c r="S735" s="43" t="str">
        <f t="shared" si="103"/>
        <v>*0.95</v>
      </c>
      <c r="U735" s="32" t="s">
        <v>4066</v>
      </c>
      <c r="V735" s="42" t="s">
        <v>57</v>
      </c>
      <c r="W735" s="32">
        <v>2050</v>
      </c>
      <c r="X735" s="43" t="str">
        <f t="shared" si="104"/>
        <v>*0.93</v>
      </c>
      <c r="AC735" s="33" t="s">
        <v>4066</v>
      </c>
      <c r="AD735" s="44" t="s">
        <v>57</v>
      </c>
      <c r="AE735" s="33">
        <v>2035</v>
      </c>
      <c r="AF735" s="45" t="str">
        <f t="shared" si="105"/>
        <v>*0.93</v>
      </c>
      <c r="AG735" s="43" t="str">
        <f t="shared" si="108"/>
        <v>REZoning_Sol-Win</v>
      </c>
      <c r="AI735" s="33" t="s">
        <v>4066</v>
      </c>
      <c r="AJ735" s="44" t="s">
        <v>57</v>
      </c>
      <c r="AK735" s="33">
        <v>2050</v>
      </c>
      <c r="AL735" s="45" t="str">
        <f t="shared" si="106"/>
        <v>*0.9</v>
      </c>
      <c r="AM735" s="43" t="str">
        <f t="shared" si="109"/>
        <v>REZoning_Sol-Win</v>
      </c>
      <c r="AP735" t="s">
        <v>4066</v>
      </c>
      <c r="AQ735" t="s">
        <v>57</v>
      </c>
      <c r="AR735">
        <f t="shared" si="107"/>
        <v>2100</v>
      </c>
      <c r="AS735" t="s">
        <v>897</v>
      </c>
      <c r="AT735" t="s">
        <v>58</v>
      </c>
    </row>
    <row r="736" ht="29" spans="1:46">
      <c r="A736" s="31" t="s">
        <v>73</v>
      </c>
      <c r="C736" t="s">
        <v>4067</v>
      </c>
      <c r="D736" s="5" t="s">
        <v>57</v>
      </c>
      <c r="E736">
        <v>2035</v>
      </c>
      <c r="F736" s="6" t="str">
        <f t="shared" si="101"/>
        <v>*0.95</v>
      </c>
      <c r="H736" t="s">
        <v>4067</v>
      </c>
      <c r="I736" s="5" t="s">
        <v>57</v>
      </c>
      <c r="J736">
        <v>2050</v>
      </c>
      <c r="K736" s="38" t="str">
        <f t="shared" si="102"/>
        <v>*0.93</v>
      </c>
      <c r="P736" s="32" t="s">
        <v>4067</v>
      </c>
      <c r="Q736" s="42" t="s">
        <v>57</v>
      </c>
      <c r="R736" s="32">
        <v>2035</v>
      </c>
      <c r="S736" s="43" t="str">
        <f t="shared" si="103"/>
        <v>*0.95</v>
      </c>
      <c r="U736" s="32" t="s">
        <v>4067</v>
      </c>
      <c r="V736" s="42" t="s">
        <v>57</v>
      </c>
      <c r="W736" s="32">
        <v>2050</v>
      </c>
      <c r="X736" s="43" t="str">
        <f t="shared" si="104"/>
        <v>*0.93</v>
      </c>
      <c r="AC736" s="33" t="s">
        <v>4067</v>
      </c>
      <c r="AD736" s="44" t="s">
        <v>57</v>
      </c>
      <c r="AE736" s="33">
        <v>2035</v>
      </c>
      <c r="AF736" s="45" t="str">
        <f t="shared" si="105"/>
        <v>*0.93</v>
      </c>
      <c r="AG736" s="43" t="str">
        <f t="shared" si="108"/>
        <v>REZoning_Sol-Win</v>
      </c>
      <c r="AI736" s="33" t="s">
        <v>4067</v>
      </c>
      <c r="AJ736" s="44" t="s">
        <v>57</v>
      </c>
      <c r="AK736" s="33">
        <v>2050</v>
      </c>
      <c r="AL736" s="45" t="str">
        <f t="shared" si="106"/>
        <v>*0.9</v>
      </c>
      <c r="AM736" s="43" t="str">
        <f t="shared" si="109"/>
        <v>REZoning_Sol-Win</v>
      </c>
      <c r="AP736" t="s">
        <v>4067</v>
      </c>
      <c r="AQ736" t="s">
        <v>57</v>
      </c>
      <c r="AR736">
        <f t="shared" si="107"/>
        <v>2100</v>
      </c>
      <c r="AS736" t="s">
        <v>897</v>
      </c>
      <c r="AT736" t="s">
        <v>58</v>
      </c>
    </row>
    <row r="737" ht="29" spans="1:46">
      <c r="A737" s="31" t="s">
        <v>73</v>
      </c>
      <c r="C737" t="s">
        <v>4068</v>
      </c>
      <c r="D737" s="5" t="s">
        <v>57</v>
      </c>
      <c r="E737">
        <v>2035</v>
      </c>
      <c r="F737" s="6" t="str">
        <f t="shared" si="101"/>
        <v>*0.95</v>
      </c>
      <c r="H737" t="s">
        <v>4068</v>
      </c>
      <c r="I737" s="5" t="s">
        <v>57</v>
      </c>
      <c r="J737">
        <v>2050</v>
      </c>
      <c r="K737" s="38" t="str">
        <f t="shared" si="102"/>
        <v>*0.93</v>
      </c>
      <c r="P737" s="32" t="s">
        <v>4068</v>
      </c>
      <c r="Q737" s="42" t="s">
        <v>57</v>
      </c>
      <c r="R737" s="32">
        <v>2035</v>
      </c>
      <c r="S737" s="43" t="str">
        <f t="shared" si="103"/>
        <v>*0.95</v>
      </c>
      <c r="U737" s="32" t="s">
        <v>4068</v>
      </c>
      <c r="V737" s="42" t="s">
        <v>57</v>
      </c>
      <c r="W737" s="32">
        <v>2050</v>
      </c>
      <c r="X737" s="43" t="str">
        <f t="shared" si="104"/>
        <v>*0.93</v>
      </c>
      <c r="AC737" s="33" t="s">
        <v>4068</v>
      </c>
      <c r="AD737" s="44" t="s">
        <v>57</v>
      </c>
      <c r="AE737" s="33">
        <v>2035</v>
      </c>
      <c r="AF737" s="45" t="str">
        <f t="shared" si="105"/>
        <v>*0.93</v>
      </c>
      <c r="AG737" s="43" t="str">
        <f t="shared" si="108"/>
        <v>REZoning_Sol-Win</v>
      </c>
      <c r="AI737" s="33" t="s">
        <v>4068</v>
      </c>
      <c r="AJ737" s="44" t="s">
        <v>57</v>
      </c>
      <c r="AK737" s="33">
        <v>2050</v>
      </c>
      <c r="AL737" s="45" t="str">
        <f t="shared" si="106"/>
        <v>*0.9</v>
      </c>
      <c r="AM737" s="43" t="str">
        <f t="shared" si="109"/>
        <v>REZoning_Sol-Win</v>
      </c>
      <c r="AP737" t="s">
        <v>4068</v>
      </c>
      <c r="AQ737" t="s">
        <v>57</v>
      </c>
      <c r="AR737">
        <f t="shared" si="107"/>
        <v>2100</v>
      </c>
      <c r="AS737" t="s">
        <v>897</v>
      </c>
      <c r="AT737" t="s">
        <v>58</v>
      </c>
    </row>
    <row r="738" ht="29" spans="1:46">
      <c r="A738" s="31" t="s">
        <v>73</v>
      </c>
      <c r="C738" t="s">
        <v>4069</v>
      </c>
      <c r="D738" s="5" t="s">
        <v>57</v>
      </c>
      <c r="E738">
        <v>2035</v>
      </c>
      <c r="F738" s="6" t="str">
        <f t="shared" si="101"/>
        <v>*0.95</v>
      </c>
      <c r="H738" t="s">
        <v>4069</v>
      </c>
      <c r="I738" s="5" t="s">
        <v>57</v>
      </c>
      <c r="J738">
        <v>2050</v>
      </c>
      <c r="K738" s="38" t="str">
        <f t="shared" si="102"/>
        <v>*0.93</v>
      </c>
      <c r="P738" s="32" t="s">
        <v>4069</v>
      </c>
      <c r="Q738" s="42" t="s">
        <v>57</v>
      </c>
      <c r="R738" s="32">
        <v>2035</v>
      </c>
      <c r="S738" s="43" t="str">
        <f t="shared" si="103"/>
        <v>*0.95</v>
      </c>
      <c r="U738" s="32" t="s">
        <v>4069</v>
      </c>
      <c r="V738" s="42" t="s">
        <v>57</v>
      </c>
      <c r="W738" s="32">
        <v>2050</v>
      </c>
      <c r="X738" s="43" t="str">
        <f t="shared" si="104"/>
        <v>*0.93</v>
      </c>
      <c r="AC738" s="33" t="s">
        <v>4069</v>
      </c>
      <c r="AD738" s="44" t="s">
        <v>57</v>
      </c>
      <c r="AE738" s="33">
        <v>2035</v>
      </c>
      <c r="AF738" s="45" t="str">
        <f t="shared" si="105"/>
        <v>*0.93</v>
      </c>
      <c r="AG738" s="43" t="str">
        <f t="shared" si="108"/>
        <v>REZoning_Sol-Win</v>
      </c>
      <c r="AI738" s="33" t="s">
        <v>4069</v>
      </c>
      <c r="AJ738" s="44" t="s">
        <v>57</v>
      </c>
      <c r="AK738" s="33">
        <v>2050</v>
      </c>
      <c r="AL738" s="45" t="str">
        <f t="shared" si="106"/>
        <v>*0.9</v>
      </c>
      <c r="AM738" s="43" t="str">
        <f t="shared" si="109"/>
        <v>REZoning_Sol-Win</v>
      </c>
      <c r="AP738" t="s">
        <v>4069</v>
      </c>
      <c r="AQ738" t="s">
        <v>57</v>
      </c>
      <c r="AR738">
        <f t="shared" si="107"/>
        <v>2100</v>
      </c>
      <c r="AS738" t="s">
        <v>897</v>
      </c>
      <c r="AT738" t="s">
        <v>58</v>
      </c>
    </row>
    <row r="739" ht="29" spans="1:46">
      <c r="A739" s="31" t="s">
        <v>73</v>
      </c>
      <c r="C739" t="s">
        <v>4070</v>
      </c>
      <c r="D739" s="5" t="s">
        <v>57</v>
      </c>
      <c r="E739">
        <v>2035</v>
      </c>
      <c r="F739" s="6" t="str">
        <f t="shared" si="101"/>
        <v>*0.95</v>
      </c>
      <c r="H739" t="s">
        <v>4070</v>
      </c>
      <c r="I739" s="5" t="s">
        <v>57</v>
      </c>
      <c r="J739">
        <v>2050</v>
      </c>
      <c r="K739" s="38" t="str">
        <f t="shared" si="102"/>
        <v>*0.93</v>
      </c>
      <c r="P739" s="32" t="s">
        <v>4070</v>
      </c>
      <c r="Q739" s="42" t="s">
        <v>57</v>
      </c>
      <c r="R739" s="32">
        <v>2035</v>
      </c>
      <c r="S739" s="43" t="str">
        <f t="shared" si="103"/>
        <v>*0.95</v>
      </c>
      <c r="U739" s="32" t="s">
        <v>4070</v>
      </c>
      <c r="V739" s="42" t="s">
        <v>57</v>
      </c>
      <c r="W739" s="32">
        <v>2050</v>
      </c>
      <c r="X739" s="43" t="str">
        <f t="shared" si="104"/>
        <v>*0.93</v>
      </c>
      <c r="AC739" s="33" t="s">
        <v>4070</v>
      </c>
      <c r="AD739" s="44" t="s">
        <v>57</v>
      </c>
      <c r="AE739" s="33">
        <v>2035</v>
      </c>
      <c r="AF739" s="45" t="str">
        <f t="shared" si="105"/>
        <v>*0.93</v>
      </c>
      <c r="AG739" s="43" t="str">
        <f t="shared" si="108"/>
        <v>REZoning_Sol-Win</v>
      </c>
      <c r="AI739" s="33" t="s">
        <v>4070</v>
      </c>
      <c r="AJ739" s="44" t="s">
        <v>57</v>
      </c>
      <c r="AK739" s="33">
        <v>2050</v>
      </c>
      <c r="AL739" s="45" t="str">
        <f t="shared" si="106"/>
        <v>*0.9</v>
      </c>
      <c r="AM739" s="43" t="str">
        <f t="shared" si="109"/>
        <v>REZoning_Sol-Win</v>
      </c>
      <c r="AP739" t="s">
        <v>4070</v>
      </c>
      <c r="AQ739" t="s">
        <v>57</v>
      </c>
      <c r="AR739">
        <f t="shared" si="107"/>
        <v>2100</v>
      </c>
      <c r="AS739" t="s">
        <v>897</v>
      </c>
      <c r="AT739" t="s">
        <v>58</v>
      </c>
    </row>
    <row r="740" ht="29" spans="1:46">
      <c r="A740" s="31" t="s">
        <v>73</v>
      </c>
      <c r="C740" t="s">
        <v>4071</v>
      </c>
      <c r="D740" s="5" t="s">
        <v>57</v>
      </c>
      <c r="E740">
        <v>2035</v>
      </c>
      <c r="F740" s="6" t="str">
        <f t="shared" si="101"/>
        <v>*0.95</v>
      </c>
      <c r="H740" t="s">
        <v>4071</v>
      </c>
      <c r="I740" s="5" t="s">
        <v>57</v>
      </c>
      <c r="J740">
        <v>2050</v>
      </c>
      <c r="K740" s="38" t="str">
        <f t="shared" si="102"/>
        <v>*0.93</v>
      </c>
      <c r="P740" s="32" t="s">
        <v>4071</v>
      </c>
      <c r="Q740" s="42" t="s">
        <v>57</v>
      </c>
      <c r="R740" s="32">
        <v>2035</v>
      </c>
      <c r="S740" s="43" t="str">
        <f t="shared" si="103"/>
        <v>*0.95</v>
      </c>
      <c r="U740" s="32" t="s">
        <v>4071</v>
      </c>
      <c r="V740" s="42" t="s">
        <v>57</v>
      </c>
      <c r="W740" s="32">
        <v>2050</v>
      </c>
      <c r="X740" s="43" t="str">
        <f t="shared" si="104"/>
        <v>*0.93</v>
      </c>
      <c r="AC740" s="33" t="s">
        <v>4071</v>
      </c>
      <c r="AD740" s="44" t="s">
        <v>57</v>
      </c>
      <c r="AE740" s="33">
        <v>2035</v>
      </c>
      <c r="AF740" s="45" t="str">
        <f t="shared" si="105"/>
        <v>*0.93</v>
      </c>
      <c r="AG740" s="43" t="str">
        <f t="shared" si="108"/>
        <v>REZoning_Sol-Win</v>
      </c>
      <c r="AI740" s="33" t="s">
        <v>4071</v>
      </c>
      <c r="AJ740" s="44" t="s">
        <v>57</v>
      </c>
      <c r="AK740" s="33">
        <v>2050</v>
      </c>
      <c r="AL740" s="45" t="str">
        <f t="shared" si="106"/>
        <v>*0.9</v>
      </c>
      <c r="AM740" s="43" t="str">
        <f t="shared" si="109"/>
        <v>REZoning_Sol-Win</v>
      </c>
      <c r="AP740" t="s">
        <v>4071</v>
      </c>
      <c r="AQ740" t="s">
        <v>57</v>
      </c>
      <c r="AR740">
        <f t="shared" si="107"/>
        <v>2100</v>
      </c>
      <c r="AS740" t="s">
        <v>897</v>
      </c>
      <c r="AT740" t="s">
        <v>58</v>
      </c>
    </row>
    <row r="741" ht="29" spans="1:46">
      <c r="A741" s="31" t="s">
        <v>73</v>
      </c>
      <c r="C741" t="s">
        <v>4072</v>
      </c>
      <c r="D741" s="5" t="s">
        <v>57</v>
      </c>
      <c r="E741">
        <v>2035</v>
      </c>
      <c r="F741" s="6" t="str">
        <f t="shared" si="101"/>
        <v>*0.95</v>
      </c>
      <c r="H741" t="s">
        <v>4072</v>
      </c>
      <c r="I741" s="5" t="s">
        <v>57</v>
      </c>
      <c r="J741">
        <v>2050</v>
      </c>
      <c r="K741" s="38" t="str">
        <f t="shared" si="102"/>
        <v>*0.93</v>
      </c>
      <c r="P741" s="32" t="s">
        <v>4072</v>
      </c>
      <c r="Q741" s="42" t="s">
        <v>57</v>
      </c>
      <c r="R741" s="32">
        <v>2035</v>
      </c>
      <c r="S741" s="43" t="str">
        <f t="shared" si="103"/>
        <v>*0.95</v>
      </c>
      <c r="U741" s="32" t="s">
        <v>4072</v>
      </c>
      <c r="V741" s="42" t="s">
        <v>57</v>
      </c>
      <c r="W741" s="32">
        <v>2050</v>
      </c>
      <c r="X741" s="43" t="str">
        <f t="shared" si="104"/>
        <v>*0.93</v>
      </c>
      <c r="AC741" s="33" t="s">
        <v>4072</v>
      </c>
      <c r="AD741" s="44" t="s">
        <v>57</v>
      </c>
      <c r="AE741" s="33">
        <v>2035</v>
      </c>
      <c r="AF741" s="45" t="str">
        <f t="shared" si="105"/>
        <v>*0.93</v>
      </c>
      <c r="AG741" s="43" t="str">
        <f t="shared" si="108"/>
        <v>REZoning_Sol-Win</v>
      </c>
      <c r="AI741" s="33" t="s">
        <v>4072</v>
      </c>
      <c r="AJ741" s="44" t="s">
        <v>57</v>
      </c>
      <c r="AK741" s="33">
        <v>2050</v>
      </c>
      <c r="AL741" s="45" t="str">
        <f t="shared" si="106"/>
        <v>*0.9</v>
      </c>
      <c r="AM741" s="43" t="str">
        <f t="shared" si="109"/>
        <v>REZoning_Sol-Win</v>
      </c>
      <c r="AP741" t="s">
        <v>4072</v>
      </c>
      <c r="AQ741" t="s">
        <v>57</v>
      </c>
      <c r="AR741">
        <f t="shared" si="107"/>
        <v>2100</v>
      </c>
      <c r="AS741" t="s">
        <v>897</v>
      </c>
      <c r="AT741" t="s">
        <v>58</v>
      </c>
    </row>
    <row r="742" ht="29" spans="1:46">
      <c r="A742" s="31" t="s">
        <v>73</v>
      </c>
      <c r="C742" t="s">
        <v>4073</v>
      </c>
      <c r="D742" s="5" t="s">
        <v>57</v>
      </c>
      <c r="E742">
        <v>2035</v>
      </c>
      <c r="F742" s="6" t="str">
        <f t="shared" si="101"/>
        <v>*0.95</v>
      </c>
      <c r="H742" t="s">
        <v>4073</v>
      </c>
      <c r="I742" s="5" t="s">
        <v>57</v>
      </c>
      <c r="J742">
        <v>2050</v>
      </c>
      <c r="K742" s="38" t="str">
        <f t="shared" si="102"/>
        <v>*0.93</v>
      </c>
      <c r="P742" s="32" t="s">
        <v>4073</v>
      </c>
      <c r="Q742" s="42" t="s">
        <v>57</v>
      </c>
      <c r="R742" s="32">
        <v>2035</v>
      </c>
      <c r="S742" s="43" t="str">
        <f t="shared" si="103"/>
        <v>*0.95</v>
      </c>
      <c r="U742" s="32" t="s">
        <v>4073</v>
      </c>
      <c r="V742" s="42" t="s">
        <v>57</v>
      </c>
      <c r="W742" s="32">
        <v>2050</v>
      </c>
      <c r="X742" s="43" t="str">
        <f t="shared" si="104"/>
        <v>*0.93</v>
      </c>
      <c r="AC742" s="33" t="s">
        <v>4073</v>
      </c>
      <c r="AD742" s="44" t="s">
        <v>57</v>
      </c>
      <c r="AE742" s="33">
        <v>2035</v>
      </c>
      <c r="AF742" s="45" t="str">
        <f t="shared" si="105"/>
        <v>*0.93</v>
      </c>
      <c r="AG742" s="43" t="str">
        <f t="shared" si="108"/>
        <v>REZoning_Sol-Win</v>
      </c>
      <c r="AI742" s="33" t="s">
        <v>4073</v>
      </c>
      <c r="AJ742" s="44" t="s">
        <v>57</v>
      </c>
      <c r="AK742" s="33">
        <v>2050</v>
      </c>
      <c r="AL742" s="45" t="str">
        <f t="shared" si="106"/>
        <v>*0.9</v>
      </c>
      <c r="AM742" s="43" t="str">
        <f t="shared" si="109"/>
        <v>REZoning_Sol-Win</v>
      </c>
      <c r="AP742" t="s">
        <v>4073</v>
      </c>
      <c r="AQ742" t="s">
        <v>57</v>
      </c>
      <c r="AR742">
        <f t="shared" si="107"/>
        <v>2100</v>
      </c>
      <c r="AS742" t="s">
        <v>897</v>
      </c>
      <c r="AT742" t="s">
        <v>58</v>
      </c>
    </row>
    <row r="743" ht="29" spans="1:46">
      <c r="A743" s="31" t="s">
        <v>73</v>
      </c>
      <c r="C743" t="s">
        <v>4074</v>
      </c>
      <c r="D743" s="5" t="s">
        <v>57</v>
      </c>
      <c r="E743">
        <v>2035</v>
      </c>
      <c r="F743" s="6" t="str">
        <f t="shared" si="101"/>
        <v>*0.95</v>
      </c>
      <c r="H743" t="s">
        <v>4074</v>
      </c>
      <c r="I743" s="5" t="s">
        <v>57</v>
      </c>
      <c r="J743">
        <v>2050</v>
      </c>
      <c r="K743" s="38" t="str">
        <f t="shared" si="102"/>
        <v>*0.93</v>
      </c>
      <c r="P743" s="32" t="s">
        <v>4074</v>
      </c>
      <c r="Q743" s="42" t="s">
        <v>57</v>
      </c>
      <c r="R743" s="32">
        <v>2035</v>
      </c>
      <c r="S743" s="43" t="str">
        <f t="shared" si="103"/>
        <v>*0.95</v>
      </c>
      <c r="U743" s="32" t="s">
        <v>4074</v>
      </c>
      <c r="V743" s="42" t="s">
        <v>57</v>
      </c>
      <c r="W743" s="32">
        <v>2050</v>
      </c>
      <c r="X743" s="43" t="str">
        <f t="shared" si="104"/>
        <v>*0.93</v>
      </c>
      <c r="AC743" s="33" t="s">
        <v>4074</v>
      </c>
      <c r="AD743" s="44" t="s">
        <v>57</v>
      </c>
      <c r="AE743" s="33">
        <v>2035</v>
      </c>
      <c r="AF743" s="45" t="str">
        <f t="shared" si="105"/>
        <v>*0.93</v>
      </c>
      <c r="AG743" s="43" t="str">
        <f t="shared" si="108"/>
        <v>REZoning_Sol-Win</v>
      </c>
      <c r="AI743" s="33" t="s">
        <v>4074</v>
      </c>
      <c r="AJ743" s="44" t="s">
        <v>57</v>
      </c>
      <c r="AK743" s="33">
        <v>2050</v>
      </c>
      <c r="AL743" s="45" t="str">
        <f t="shared" si="106"/>
        <v>*0.9</v>
      </c>
      <c r="AM743" s="43" t="str">
        <f t="shared" si="109"/>
        <v>REZoning_Sol-Win</v>
      </c>
      <c r="AP743" t="s">
        <v>4074</v>
      </c>
      <c r="AQ743" t="s">
        <v>57</v>
      </c>
      <c r="AR743">
        <f t="shared" si="107"/>
        <v>2100</v>
      </c>
      <c r="AS743" t="s">
        <v>897</v>
      </c>
      <c r="AT743" t="s">
        <v>58</v>
      </c>
    </row>
    <row r="744" ht="29" spans="1:46">
      <c r="A744" s="31" t="s">
        <v>73</v>
      </c>
      <c r="C744" t="s">
        <v>4075</v>
      </c>
      <c r="D744" s="5" t="s">
        <v>57</v>
      </c>
      <c r="E744">
        <v>2035</v>
      </c>
      <c r="F744" s="6" t="str">
        <f t="shared" si="101"/>
        <v>*0.95</v>
      </c>
      <c r="H744" t="s">
        <v>4075</v>
      </c>
      <c r="I744" s="5" t="s">
        <v>57</v>
      </c>
      <c r="J744">
        <v>2050</v>
      </c>
      <c r="K744" s="38" t="str">
        <f t="shared" si="102"/>
        <v>*0.93</v>
      </c>
      <c r="P744" s="32" t="s">
        <v>4075</v>
      </c>
      <c r="Q744" s="42" t="s">
        <v>57</v>
      </c>
      <c r="R744" s="32">
        <v>2035</v>
      </c>
      <c r="S744" s="43" t="str">
        <f t="shared" si="103"/>
        <v>*0.95</v>
      </c>
      <c r="U744" s="32" t="s">
        <v>4075</v>
      </c>
      <c r="V744" s="42" t="s">
        <v>57</v>
      </c>
      <c r="W744" s="32">
        <v>2050</v>
      </c>
      <c r="X744" s="43" t="str">
        <f t="shared" si="104"/>
        <v>*0.93</v>
      </c>
      <c r="AC744" s="33" t="s">
        <v>4075</v>
      </c>
      <c r="AD744" s="44" t="s">
        <v>57</v>
      </c>
      <c r="AE744" s="33">
        <v>2035</v>
      </c>
      <c r="AF744" s="45" t="str">
        <f t="shared" si="105"/>
        <v>*0.93</v>
      </c>
      <c r="AG744" s="43" t="str">
        <f t="shared" si="108"/>
        <v>REZoning_Sol-Win</v>
      </c>
      <c r="AI744" s="33" t="s">
        <v>4075</v>
      </c>
      <c r="AJ744" s="44" t="s">
        <v>57</v>
      </c>
      <c r="AK744" s="33">
        <v>2050</v>
      </c>
      <c r="AL744" s="45" t="str">
        <f t="shared" si="106"/>
        <v>*0.9</v>
      </c>
      <c r="AM744" s="43" t="str">
        <f t="shared" si="109"/>
        <v>REZoning_Sol-Win</v>
      </c>
      <c r="AP744" t="s">
        <v>4075</v>
      </c>
      <c r="AQ744" t="s">
        <v>57</v>
      </c>
      <c r="AR744">
        <f t="shared" si="107"/>
        <v>2100</v>
      </c>
      <c r="AS744" t="s">
        <v>897</v>
      </c>
      <c r="AT744" t="s">
        <v>58</v>
      </c>
    </row>
    <row r="745" ht="29" spans="1:46">
      <c r="A745" s="31" t="s">
        <v>73</v>
      </c>
      <c r="C745" t="s">
        <v>4076</v>
      </c>
      <c r="D745" s="5" t="s">
        <v>57</v>
      </c>
      <c r="E745">
        <v>2035</v>
      </c>
      <c r="F745" s="6" t="str">
        <f t="shared" si="101"/>
        <v>*0.95</v>
      </c>
      <c r="H745" t="s">
        <v>4076</v>
      </c>
      <c r="I745" s="5" t="s">
        <v>57</v>
      </c>
      <c r="J745">
        <v>2050</v>
      </c>
      <c r="K745" s="38" t="str">
        <f t="shared" si="102"/>
        <v>*0.93</v>
      </c>
      <c r="P745" s="32" t="s">
        <v>4076</v>
      </c>
      <c r="Q745" s="42" t="s">
        <v>57</v>
      </c>
      <c r="R745" s="32">
        <v>2035</v>
      </c>
      <c r="S745" s="43" t="str">
        <f t="shared" si="103"/>
        <v>*0.95</v>
      </c>
      <c r="U745" s="32" t="s">
        <v>4076</v>
      </c>
      <c r="V745" s="42" t="s">
        <v>57</v>
      </c>
      <c r="W745" s="32">
        <v>2050</v>
      </c>
      <c r="X745" s="43" t="str">
        <f t="shared" si="104"/>
        <v>*0.93</v>
      </c>
      <c r="AC745" s="33" t="s">
        <v>4076</v>
      </c>
      <c r="AD745" s="44" t="s">
        <v>57</v>
      </c>
      <c r="AE745" s="33">
        <v>2035</v>
      </c>
      <c r="AF745" s="45" t="str">
        <f t="shared" si="105"/>
        <v>*0.93</v>
      </c>
      <c r="AG745" s="43" t="str">
        <f t="shared" si="108"/>
        <v>REZoning_Sol-Win</v>
      </c>
      <c r="AI745" s="33" t="s">
        <v>4076</v>
      </c>
      <c r="AJ745" s="44" t="s">
        <v>57</v>
      </c>
      <c r="AK745" s="33">
        <v>2050</v>
      </c>
      <c r="AL745" s="45" t="str">
        <f t="shared" si="106"/>
        <v>*0.9</v>
      </c>
      <c r="AM745" s="43" t="str">
        <f t="shared" si="109"/>
        <v>REZoning_Sol-Win</v>
      </c>
      <c r="AP745" t="s">
        <v>4076</v>
      </c>
      <c r="AQ745" t="s">
        <v>57</v>
      </c>
      <c r="AR745">
        <f t="shared" si="107"/>
        <v>2100</v>
      </c>
      <c r="AS745" t="s">
        <v>897</v>
      </c>
      <c r="AT745" t="s">
        <v>58</v>
      </c>
    </row>
    <row r="746" ht="29" spans="1:46">
      <c r="A746" s="31" t="s">
        <v>79</v>
      </c>
      <c r="C746" t="s">
        <v>4077</v>
      </c>
      <c r="D746" s="5" t="s">
        <v>57</v>
      </c>
      <c r="E746">
        <v>2035</v>
      </c>
      <c r="F746" s="6" t="str">
        <f t="shared" si="101"/>
        <v>*0.94</v>
      </c>
      <c r="H746" t="s">
        <v>4077</v>
      </c>
      <c r="I746" s="5" t="s">
        <v>57</v>
      </c>
      <c r="J746">
        <v>2050</v>
      </c>
      <c r="K746" s="38" t="str">
        <f t="shared" si="102"/>
        <v>*0.9</v>
      </c>
      <c r="P746" s="32" t="s">
        <v>4077</v>
      </c>
      <c r="Q746" s="42" t="s">
        <v>57</v>
      </c>
      <c r="R746" s="32">
        <v>2035</v>
      </c>
      <c r="S746" s="43" t="str">
        <f t="shared" si="103"/>
        <v>*0.92</v>
      </c>
      <c r="U746" s="32" t="s">
        <v>4077</v>
      </c>
      <c r="V746" s="42" t="s">
        <v>57</v>
      </c>
      <c r="W746" s="32">
        <v>2050</v>
      </c>
      <c r="X746" s="43" t="str">
        <f t="shared" si="104"/>
        <v>*0.89</v>
      </c>
      <c r="AC746" s="33" t="s">
        <v>4077</v>
      </c>
      <c r="AD746" s="44" t="s">
        <v>57</v>
      </c>
      <c r="AE746" s="33">
        <v>2035</v>
      </c>
      <c r="AF746" s="45" t="str">
        <f t="shared" si="105"/>
        <v>*0.89</v>
      </c>
      <c r="AG746" s="43" t="str">
        <f t="shared" si="108"/>
        <v>REZoning_Sol-Win</v>
      </c>
      <c r="AI746" s="33" t="s">
        <v>4077</v>
      </c>
      <c r="AJ746" s="44" t="s">
        <v>57</v>
      </c>
      <c r="AK746" s="33">
        <v>2050</v>
      </c>
      <c r="AL746" s="45" t="str">
        <f t="shared" si="106"/>
        <v>*0.84</v>
      </c>
      <c r="AM746" s="43" t="str">
        <f t="shared" si="109"/>
        <v>REZoning_Sol-Win</v>
      </c>
      <c r="AP746" t="s">
        <v>4077</v>
      </c>
      <c r="AQ746" t="s">
        <v>57</v>
      </c>
      <c r="AR746">
        <f t="shared" si="107"/>
        <v>2100</v>
      </c>
      <c r="AS746" t="s">
        <v>919</v>
      </c>
      <c r="AT746" t="s">
        <v>58</v>
      </c>
    </row>
    <row r="747" ht="29" spans="1:46">
      <c r="A747" s="31" t="s">
        <v>79</v>
      </c>
      <c r="C747" t="s">
        <v>4078</v>
      </c>
      <c r="D747" s="5" t="s">
        <v>57</v>
      </c>
      <c r="E747">
        <v>2035</v>
      </c>
      <c r="F747" s="6" t="str">
        <f t="shared" si="101"/>
        <v>*0.94</v>
      </c>
      <c r="H747" t="s">
        <v>4078</v>
      </c>
      <c r="I747" s="5" t="s">
        <v>57</v>
      </c>
      <c r="J747">
        <v>2050</v>
      </c>
      <c r="K747" s="38" t="str">
        <f t="shared" si="102"/>
        <v>*0.9</v>
      </c>
      <c r="P747" s="32" t="s">
        <v>4078</v>
      </c>
      <c r="Q747" s="42" t="s">
        <v>57</v>
      </c>
      <c r="R747" s="32">
        <v>2035</v>
      </c>
      <c r="S747" s="43" t="str">
        <f t="shared" si="103"/>
        <v>*0.92</v>
      </c>
      <c r="U747" s="32" t="s">
        <v>4078</v>
      </c>
      <c r="V747" s="42" t="s">
        <v>57</v>
      </c>
      <c r="W747" s="32">
        <v>2050</v>
      </c>
      <c r="X747" s="43" t="str">
        <f t="shared" si="104"/>
        <v>*0.89</v>
      </c>
      <c r="AC747" s="33" t="s">
        <v>4078</v>
      </c>
      <c r="AD747" s="44" t="s">
        <v>57</v>
      </c>
      <c r="AE747" s="33">
        <v>2035</v>
      </c>
      <c r="AF747" s="45" t="str">
        <f t="shared" si="105"/>
        <v>*0.89</v>
      </c>
      <c r="AG747" s="43" t="str">
        <f t="shared" si="108"/>
        <v>REZoning_Sol-Win</v>
      </c>
      <c r="AI747" s="33" t="s">
        <v>4078</v>
      </c>
      <c r="AJ747" s="44" t="s">
        <v>57</v>
      </c>
      <c r="AK747" s="33">
        <v>2050</v>
      </c>
      <c r="AL747" s="45" t="str">
        <f t="shared" si="106"/>
        <v>*0.84</v>
      </c>
      <c r="AM747" s="43" t="str">
        <f t="shared" si="109"/>
        <v>REZoning_Sol-Win</v>
      </c>
      <c r="AP747" t="s">
        <v>4078</v>
      </c>
      <c r="AQ747" t="s">
        <v>57</v>
      </c>
      <c r="AR747">
        <f t="shared" si="107"/>
        <v>2100</v>
      </c>
      <c r="AS747" t="s">
        <v>919</v>
      </c>
      <c r="AT747" t="s">
        <v>58</v>
      </c>
    </row>
    <row r="748" ht="29" spans="1:46">
      <c r="A748" s="31" t="s">
        <v>79</v>
      </c>
      <c r="C748" t="s">
        <v>4079</v>
      </c>
      <c r="D748" s="5" t="s">
        <v>57</v>
      </c>
      <c r="E748">
        <v>2035</v>
      </c>
      <c r="F748" s="6" t="str">
        <f t="shared" si="101"/>
        <v>*0.94</v>
      </c>
      <c r="H748" t="s">
        <v>4079</v>
      </c>
      <c r="I748" s="5" t="s">
        <v>57</v>
      </c>
      <c r="J748">
        <v>2050</v>
      </c>
      <c r="K748" s="38" t="str">
        <f t="shared" si="102"/>
        <v>*0.9</v>
      </c>
      <c r="P748" s="32" t="s">
        <v>4079</v>
      </c>
      <c r="Q748" s="42" t="s">
        <v>57</v>
      </c>
      <c r="R748" s="32">
        <v>2035</v>
      </c>
      <c r="S748" s="43" t="str">
        <f t="shared" si="103"/>
        <v>*0.92</v>
      </c>
      <c r="U748" s="32" t="s">
        <v>4079</v>
      </c>
      <c r="V748" s="42" t="s">
        <v>57</v>
      </c>
      <c r="W748" s="32">
        <v>2050</v>
      </c>
      <c r="X748" s="43" t="str">
        <f t="shared" si="104"/>
        <v>*0.89</v>
      </c>
      <c r="AC748" s="33" t="s">
        <v>4079</v>
      </c>
      <c r="AD748" s="44" t="s">
        <v>57</v>
      </c>
      <c r="AE748" s="33">
        <v>2035</v>
      </c>
      <c r="AF748" s="45" t="str">
        <f t="shared" si="105"/>
        <v>*0.89</v>
      </c>
      <c r="AG748" s="43" t="str">
        <f t="shared" si="108"/>
        <v>REZoning_Sol-Win</v>
      </c>
      <c r="AI748" s="33" t="s">
        <v>4079</v>
      </c>
      <c r="AJ748" s="44" t="s">
        <v>57</v>
      </c>
      <c r="AK748" s="33">
        <v>2050</v>
      </c>
      <c r="AL748" s="45" t="str">
        <f t="shared" si="106"/>
        <v>*0.84</v>
      </c>
      <c r="AM748" s="43" t="str">
        <f t="shared" si="109"/>
        <v>REZoning_Sol-Win</v>
      </c>
      <c r="AP748" t="s">
        <v>4079</v>
      </c>
      <c r="AQ748" t="s">
        <v>57</v>
      </c>
      <c r="AR748">
        <f t="shared" si="107"/>
        <v>2100</v>
      </c>
      <c r="AS748" t="s">
        <v>919</v>
      </c>
      <c r="AT748" t="s">
        <v>58</v>
      </c>
    </row>
    <row r="749" ht="29" spans="1:46">
      <c r="A749" s="31" t="s">
        <v>79</v>
      </c>
      <c r="C749" t="s">
        <v>4080</v>
      </c>
      <c r="D749" s="5" t="s">
        <v>57</v>
      </c>
      <c r="E749">
        <v>2035</v>
      </c>
      <c r="F749" s="6" t="str">
        <f t="shared" si="101"/>
        <v>*0.94</v>
      </c>
      <c r="H749" t="s">
        <v>4080</v>
      </c>
      <c r="I749" s="5" t="s">
        <v>57</v>
      </c>
      <c r="J749">
        <v>2050</v>
      </c>
      <c r="K749" s="38" t="str">
        <f t="shared" si="102"/>
        <v>*0.9</v>
      </c>
      <c r="P749" s="32" t="s">
        <v>4080</v>
      </c>
      <c r="Q749" s="42" t="s">
        <v>57</v>
      </c>
      <c r="R749" s="32">
        <v>2035</v>
      </c>
      <c r="S749" s="43" t="str">
        <f t="shared" si="103"/>
        <v>*0.92</v>
      </c>
      <c r="U749" s="32" t="s">
        <v>4080</v>
      </c>
      <c r="V749" s="42" t="s">
        <v>57</v>
      </c>
      <c r="W749" s="32">
        <v>2050</v>
      </c>
      <c r="X749" s="43" t="str">
        <f t="shared" si="104"/>
        <v>*0.89</v>
      </c>
      <c r="AC749" s="33" t="s">
        <v>4080</v>
      </c>
      <c r="AD749" s="44" t="s">
        <v>57</v>
      </c>
      <c r="AE749" s="33">
        <v>2035</v>
      </c>
      <c r="AF749" s="45" t="str">
        <f t="shared" si="105"/>
        <v>*0.89</v>
      </c>
      <c r="AG749" s="43" t="str">
        <f t="shared" si="108"/>
        <v>REZoning_Sol-Win</v>
      </c>
      <c r="AI749" s="33" t="s">
        <v>4080</v>
      </c>
      <c r="AJ749" s="44" t="s">
        <v>57</v>
      </c>
      <c r="AK749" s="33">
        <v>2050</v>
      </c>
      <c r="AL749" s="45" t="str">
        <f t="shared" si="106"/>
        <v>*0.84</v>
      </c>
      <c r="AM749" s="43" t="str">
        <f t="shared" si="109"/>
        <v>REZoning_Sol-Win</v>
      </c>
      <c r="AP749" t="s">
        <v>4080</v>
      </c>
      <c r="AQ749" t="s">
        <v>57</v>
      </c>
      <c r="AR749">
        <f t="shared" si="107"/>
        <v>2100</v>
      </c>
      <c r="AS749" t="s">
        <v>919</v>
      </c>
      <c r="AT749" t="s">
        <v>58</v>
      </c>
    </row>
    <row r="750" ht="29" spans="1:46">
      <c r="A750" s="31" t="s">
        <v>79</v>
      </c>
      <c r="C750" t="s">
        <v>4081</v>
      </c>
      <c r="D750" s="5" t="s">
        <v>57</v>
      </c>
      <c r="E750">
        <v>2035</v>
      </c>
      <c r="F750" s="6" t="str">
        <f t="shared" si="101"/>
        <v>*0.94</v>
      </c>
      <c r="H750" t="s">
        <v>4081</v>
      </c>
      <c r="I750" s="5" t="s">
        <v>57</v>
      </c>
      <c r="J750">
        <v>2050</v>
      </c>
      <c r="K750" s="38" t="str">
        <f t="shared" si="102"/>
        <v>*0.9</v>
      </c>
      <c r="P750" s="32" t="s">
        <v>4081</v>
      </c>
      <c r="Q750" s="42" t="s">
        <v>57</v>
      </c>
      <c r="R750" s="32">
        <v>2035</v>
      </c>
      <c r="S750" s="43" t="str">
        <f t="shared" si="103"/>
        <v>*0.92</v>
      </c>
      <c r="U750" s="32" t="s">
        <v>4081</v>
      </c>
      <c r="V750" s="42" t="s">
        <v>57</v>
      </c>
      <c r="W750" s="32">
        <v>2050</v>
      </c>
      <c r="X750" s="43" t="str">
        <f t="shared" si="104"/>
        <v>*0.89</v>
      </c>
      <c r="AC750" s="33" t="s">
        <v>4081</v>
      </c>
      <c r="AD750" s="44" t="s">
        <v>57</v>
      </c>
      <c r="AE750" s="33">
        <v>2035</v>
      </c>
      <c r="AF750" s="45" t="str">
        <f t="shared" si="105"/>
        <v>*0.89</v>
      </c>
      <c r="AG750" s="43" t="str">
        <f t="shared" si="108"/>
        <v>REZoning_Sol-Win</v>
      </c>
      <c r="AI750" s="33" t="s">
        <v>4081</v>
      </c>
      <c r="AJ750" s="44" t="s">
        <v>57</v>
      </c>
      <c r="AK750" s="33">
        <v>2050</v>
      </c>
      <c r="AL750" s="45" t="str">
        <f t="shared" si="106"/>
        <v>*0.84</v>
      </c>
      <c r="AM750" s="43" t="str">
        <f t="shared" si="109"/>
        <v>REZoning_Sol-Win</v>
      </c>
      <c r="AP750" t="s">
        <v>4081</v>
      </c>
      <c r="AQ750" t="s">
        <v>57</v>
      </c>
      <c r="AR750">
        <f t="shared" si="107"/>
        <v>2100</v>
      </c>
      <c r="AS750" t="s">
        <v>919</v>
      </c>
      <c r="AT750" t="s">
        <v>58</v>
      </c>
    </row>
    <row r="751" ht="29" spans="1:46">
      <c r="A751" s="31" t="s">
        <v>79</v>
      </c>
      <c r="C751" t="s">
        <v>4082</v>
      </c>
      <c r="D751" s="5" t="s">
        <v>57</v>
      </c>
      <c r="E751">
        <v>2035</v>
      </c>
      <c r="F751" s="6" t="str">
        <f t="shared" si="101"/>
        <v>*0.94</v>
      </c>
      <c r="H751" t="s">
        <v>4082</v>
      </c>
      <c r="I751" s="5" t="s">
        <v>57</v>
      </c>
      <c r="J751">
        <v>2050</v>
      </c>
      <c r="K751" s="38" t="str">
        <f t="shared" si="102"/>
        <v>*0.9</v>
      </c>
      <c r="P751" s="32" t="s">
        <v>4082</v>
      </c>
      <c r="Q751" s="42" t="s">
        <v>57</v>
      </c>
      <c r="R751" s="32">
        <v>2035</v>
      </c>
      <c r="S751" s="43" t="str">
        <f t="shared" si="103"/>
        <v>*0.92</v>
      </c>
      <c r="U751" s="32" t="s">
        <v>4082</v>
      </c>
      <c r="V751" s="42" t="s">
        <v>57</v>
      </c>
      <c r="W751" s="32">
        <v>2050</v>
      </c>
      <c r="X751" s="43" t="str">
        <f t="shared" si="104"/>
        <v>*0.89</v>
      </c>
      <c r="AC751" s="33" t="s">
        <v>4082</v>
      </c>
      <c r="AD751" s="44" t="s">
        <v>57</v>
      </c>
      <c r="AE751" s="33">
        <v>2035</v>
      </c>
      <c r="AF751" s="45" t="str">
        <f t="shared" si="105"/>
        <v>*0.89</v>
      </c>
      <c r="AG751" s="43" t="str">
        <f t="shared" si="108"/>
        <v>REZoning_Sol-Win</v>
      </c>
      <c r="AI751" s="33" t="s">
        <v>4082</v>
      </c>
      <c r="AJ751" s="44" t="s">
        <v>57</v>
      </c>
      <c r="AK751" s="33">
        <v>2050</v>
      </c>
      <c r="AL751" s="45" t="str">
        <f t="shared" si="106"/>
        <v>*0.84</v>
      </c>
      <c r="AM751" s="43" t="str">
        <f t="shared" si="109"/>
        <v>REZoning_Sol-Win</v>
      </c>
      <c r="AP751" t="s">
        <v>4082</v>
      </c>
      <c r="AQ751" t="s">
        <v>57</v>
      </c>
      <c r="AR751">
        <f t="shared" si="107"/>
        <v>2100</v>
      </c>
      <c r="AS751" t="s">
        <v>919</v>
      </c>
      <c r="AT751" t="s">
        <v>58</v>
      </c>
    </row>
    <row r="752" ht="29" spans="1:46">
      <c r="A752" s="31" t="s">
        <v>79</v>
      </c>
      <c r="C752" t="s">
        <v>4083</v>
      </c>
      <c r="D752" s="5" t="s">
        <v>57</v>
      </c>
      <c r="E752">
        <v>2035</v>
      </c>
      <c r="F752" s="6" t="str">
        <f t="shared" si="101"/>
        <v>*0.94</v>
      </c>
      <c r="H752" t="s">
        <v>4083</v>
      </c>
      <c r="I752" s="5" t="s">
        <v>57</v>
      </c>
      <c r="J752">
        <v>2050</v>
      </c>
      <c r="K752" s="38" t="str">
        <f t="shared" si="102"/>
        <v>*0.9</v>
      </c>
      <c r="P752" s="32" t="s">
        <v>4083</v>
      </c>
      <c r="Q752" s="42" t="s">
        <v>57</v>
      </c>
      <c r="R752" s="32">
        <v>2035</v>
      </c>
      <c r="S752" s="43" t="str">
        <f t="shared" si="103"/>
        <v>*0.92</v>
      </c>
      <c r="U752" s="32" t="s">
        <v>4083</v>
      </c>
      <c r="V752" s="42" t="s">
        <v>57</v>
      </c>
      <c r="W752" s="32">
        <v>2050</v>
      </c>
      <c r="X752" s="43" t="str">
        <f t="shared" si="104"/>
        <v>*0.89</v>
      </c>
      <c r="AC752" s="33" t="s">
        <v>4083</v>
      </c>
      <c r="AD752" s="44" t="s">
        <v>57</v>
      </c>
      <c r="AE752" s="33">
        <v>2035</v>
      </c>
      <c r="AF752" s="45" t="str">
        <f t="shared" si="105"/>
        <v>*0.89</v>
      </c>
      <c r="AG752" s="43" t="str">
        <f t="shared" si="108"/>
        <v>REZoning_Sol-Win</v>
      </c>
      <c r="AI752" s="33" t="s">
        <v>4083</v>
      </c>
      <c r="AJ752" s="44" t="s">
        <v>57</v>
      </c>
      <c r="AK752" s="33">
        <v>2050</v>
      </c>
      <c r="AL752" s="45" t="str">
        <f t="shared" si="106"/>
        <v>*0.84</v>
      </c>
      <c r="AM752" s="43" t="str">
        <f t="shared" si="109"/>
        <v>REZoning_Sol-Win</v>
      </c>
      <c r="AP752" t="s">
        <v>4083</v>
      </c>
      <c r="AQ752" t="s">
        <v>57</v>
      </c>
      <c r="AR752">
        <f t="shared" si="107"/>
        <v>2100</v>
      </c>
      <c r="AS752" t="s">
        <v>919</v>
      </c>
      <c r="AT752" t="s">
        <v>58</v>
      </c>
    </row>
    <row r="753" ht="29" spans="1:46">
      <c r="A753" s="31" t="s">
        <v>79</v>
      </c>
      <c r="C753" t="s">
        <v>4084</v>
      </c>
      <c r="D753" s="5" t="s">
        <v>57</v>
      </c>
      <c r="E753">
        <v>2035</v>
      </c>
      <c r="F753" s="6" t="str">
        <f t="shared" si="101"/>
        <v>*0.94</v>
      </c>
      <c r="H753" t="s">
        <v>4084</v>
      </c>
      <c r="I753" s="5" t="s">
        <v>57</v>
      </c>
      <c r="J753">
        <v>2050</v>
      </c>
      <c r="K753" s="38" t="str">
        <f t="shared" si="102"/>
        <v>*0.9</v>
      </c>
      <c r="P753" s="32" t="s">
        <v>4084</v>
      </c>
      <c r="Q753" s="42" t="s">
        <v>57</v>
      </c>
      <c r="R753" s="32">
        <v>2035</v>
      </c>
      <c r="S753" s="43" t="str">
        <f t="shared" si="103"/>
        <v>*0.92</v>
      </c>
      <c r="U753" s="32" t="s">
        <v>4084</v>
      </c>
      <c r="V753" s="42" t="s">
        <v>57</v>
      </c>
      <c r="W753" s="32">
        <v>2050</v>
      </c>
      <c r="X753" s="43" t="str">
        <f t="shared" si="104"/>
        <v>*0.89</v>
      </c>
      <c r="AC753" s="33" t="s">
        <v>4084</v>
      </c>
      <c r="AD753" s="44" t="s">
        <v>57</v>
      </c>
      <c r="AE753" s="33">
        <v>2035</v>
      </c>
      <c r="AF753" s="45" t="str">
        <f t="shared" si="105"/>
        <v>*0.89</v>
      </c>
      <c r="AG753" s="43" t="str">
        <f t="shared" si="108"/>
        <v>REZoning_Sol-Win</v>
      </c>
      <c r="AI753" s="33" t="s">
        <v>4084</v>
      </c>
      <c r="AJ753" s="44" t="s">
        <v>57</v>
      </c>
      <c r="AK753" s="33">
        <v>2050</v>
      </c>
      <c r="AL753" s="45" t="str">
        <f t="shared" si="106"/>
        <v>*0.84</v>
      </c>
      <c r="AM753" s="43" t="str">
        <f t="shared" si="109"/>
        <v>REZoning_Sol-Win</v>
      </c>
      <c r="AP753" t="s">
        <v>4084</v>
      </c>
      <c r="AQ753" t="s">
        <v>57</v>
      </c>
      <c r="AR753">
        <f t="shared" si="107"/>
        <v>2100</v>
      </c>
      <c r="AS753" t="s">
        <v>919</v>
      </c>
      <c r="AT753" t="s">
        <v>58</v>
      </c>
    </row>
    <row r="754" ht="29" spans="1:46">
      <c r="A754" s="31" t="s">
        <v>79</v>
      </c>
      <c r="C754" t="s">
        <v>4085</v>
      </c>
      <c r="D754" s="5" t="s">
        <v>57</v>
      </c>
      <c r="E754">
        <v>2035</v>
      </c>
      <c r="F754" s="6" t="str">
        <f t="shared" si="101"/>
        <v>*0.94</v>
      </c>
      <c r="H754" t="s">
        <v>4085</v>
      </c>
      <c r="I754" s="5" t="s">
        <v>57</v>
      </c>
      <c r="J754">
        <v>2050</v>
      </c>
      <c r="K754" s="38" t="str">
        <f t="shared" si="102"/>
        <v>*0.9</v>
      </c>
      <c r="P754" s="32" t="s">
        <v>4085</v>
      </c>
      <c r="Q754" s="42" t="s">
        <v>57</v>
      </c>
      <c r="R754" s="32">
        <v>2035</v>
      </c>
      <c r="S754" s="43" t="str">
        <f t="shared" si="103"/>
        <v>*0.92</v>
      </c>
      <c r="U754" s="32" t="s">
        <v>4085</v>
      </c>
      <c r="V754" s="42" t="s">
        <v>57</v>
      </c>
      <c r="W754" s="32">
        <v>2050</v>
      </c>
      <c r="X754" s="43" t="str">
        <f t="shared" si="104"/>
        <v>*0.89</v>
      </c>
      <c r="AC754" s="33" t="s">
        <v>4085</v>
      </c>
      <c r="AD754" s="44" t="s">
        <v>57</v>
      </c>
      <c r="AE754" s="33">
        <v>2035</v>
      </c>
      <c r="AF754" s="45" t="str">
        <f t="shared" si="105"/>
        <v>*0.89</v>
      </c>
      <c r="AG754" s="43" t="str">
        <f t="shared" si="108"/>
        <v>REZoning_Sol-Win</v>
      </c>
      <c r="AI754" s="33" t="s">
        <v>4085</v>
      </c>
      <c r="AJ754" s="44" t="s">
        <v>57</v>
      </c>
      <c r="AK754" s="33">
        <v>2050</v>
      </c>
      <c r="AL754" s="45" t="str">
        <f t="shared" si="106"/>
        <v>*0.84</v>
      </c>
      <c r="AM754" s="43" t="str">
        <f t="shared" si="109"/>
        <v>REZoning_Sol-Win</v>
      </c>
      <c r="AP754" t="s">
        <v>4085</v>
      </c>
      <c r="AQ754" t="s">
        <v>57</v>
      </c>
      <c r="AR754">
        <f t="shared" si="107"/>
        <v>2100</v>
      </c>
      <c r="AS754" t="s">
        <v>919</v>
      </c>
      <c r="AT754" t="s">
        <v>58</v>
      </c>
    </row>
    <row r="755" ht="29" spans="1:46">
      <c r="A755" s="31" t="s">
        <v>79</v>
      </c>
      <c r="C755" t="s">
        <v>4086</v>
      </c>
      <c r="D755" s="5" t="s">
        <v>57</v>
      </c>
      <c r="E755">
        <v>2035</v>
      </c>
      <c r="F755" s="6" t="str">
        <f t="shared" si="101"/>
        <v>*0.94</v>
      </c>
      <c r="H755" t="s">
        <v>4086</v>
      </c>
      <c r="I755" s="5" t="s">
        <v>57</v>
      </c>
      <c r="J755">
        <v>2050</v>
      </c>
      <c r="K755" s="38" t="str">
        <f t="shared" si="102"/>
        <v>*0.9</v>
      </c>
      <c r="P755" s="32" t="s">
        <v>4086</v>
      </c>
      <c r="Q755" s="42" t="s">
        <v>57</v>
      </c>
      <c r="R755" s="32">
        <v>2035</v>
      </c>
      <c r="S755" s="43" t="str">
        <f t="shared" si="103"/>
        <v>*0.92</v>
      </c>
      <c r="U755" s="32" t="s">
        <v>4086</v>
      </c>
      <c r="V755" s="42" t="s">
        <v>57</v>
      </c>
      <c r="W755" s="32">
        <v>2050</v>
      </c>
      <c r="X755" s="43" t="str">
        <f t="shared" si="104"/>
        <v>*0.89</v>
      </c>
      <c r="AC755" s="33" t="s">
        <v>4086</v>
      </c>
      <c r="AD755" s="44" t="s">
        <v>57</v>
      </c>
      <c r="AE755" s="33">
        <v>2035</v>
      </c>
      <c r="AF755" s="45" t="str">
        <f t="shared" si="105"/>
        <v>*0.89</v>
      </c>
      <c r="AG755" s="43" t="str">
        <f t="shared" si="108"/>
        <v>REZoning_Sol-Win</v>
      </c>
      <c r="AI755" s="33" t="s">
        <v>4086</v>
      </c>
      <c r="AJ755" s="44" t="s">
        <v>57</v>
      </c>
      <c r="AK755" s="33">
        <v>2050</v>
      </c>
      <c r="AL755" s="45" t="str">
        <f t="shared" si="106"/>
        <v>*0.84</v>
      </c>
      <c r="AM755" s="43" t="str">
        <f t="shared" si="109"/>
        <v>REZoning_Sol-Win</v>
      </c>
      <c r="AP755" t="s">
        <v>4086</v>
      </c>
      <c r="AQ755" t="s">
        <v>57</v>
      </c>
      <c r="AR755">
        <f t="shared" si="107"/>
        <v>2100</v>
      </c>
      <c r="AS755" t="s">
        <v>919</v>
      </c>
      <c r="AT755" t="s">
        <v>58</v>
      </c>
    </row>
    <row r="756" ht="29" spans="1:46">
      <c r="A756" s="31" t="s">
        <v>79</v>
      </c>
      <c r="C756" t="s">
        <v>4087</v>
      </c>
      <c r="D756" s="5" t="s">
        <v>57</v>
      </c>
      <c r="E756">
        <v>2035</v>
      </c>
      <c r="F756" s="6" t="str">
        <f t="shared" si="101"/>
        <v>*0.94</v>
      </c>
      <c r="H756" t="s">
        <v>4087</v>
      </c>
      <c r="I756" s="5" t="s">
        <v>57</v>
      </c>
      <c r="J756">
        <v>2050</v>
      </c>
      <c r="K756" s="38" t="str">
        <f t="shared" si="102"/>
        <v>*0.9</v>
      </c>
      <c r="P756" s="32" t="s">
        <v>4087</v>
      </c>
      <c r="Q756" s="42" t="s">
        <v>57</v>
      </c>
      <c r="R756" s="32">
        <v>2035</v>
      </c>
      <c r="S756" s="43" t="str">
        <f t="shared" si="103"/>
        <v>*0.92</v>
      </c>
      <c r="U756" s="32" t="s">
        <v>4087</v>
      </c>
      <c r="V756" s="42" t="s">
        <v>57</v>
      </c>
      <c r="W756" s="32">
        <v>2050</v>
      </c>
      <c r="X756" s="43" t="str">
        <f t="shared" si="104"/>
        <v>*0.89</v>
      </c>
      <c r="AC756" s="33" t="s">
        <v>4087</v>
      </c>
      <c r="AD756" s="44" t="s">
        <v>57</v>
      </c>
      <c r="AE756" s="33">
        <v>2035</v>
      </c>
      <c r="AF756" s="45" t="str">
        <f t="shared" si="105"/>
        <v>*0.89</v>
      </c>
      <c r="AG756" s="43" t="str">
        <f t="shared" si="108"/>
        <v>REZoning_Sol-Win</v>
      </c>
      <c r="AI756" s="33" t="s">
        <v>4087</v>
      </c>
      <c r="AJ756" s="44" t="s">
        <v>57</v>
      </c>
      <c r="AK756" s="33">
        <v>2050</v>
      </c>
      <c r="AL756" s="45" t="str">
        <f t="shared" si="106"/>
        <v>*0.84</v>
      </c>
      <c r="AM756" s="43" t="str">
        <f t="shared" si="109"/>
        <v>REZoning_Sol-Win</v>
      </c>
      <c r="AP756" t="s">
        <v>4087</v>
      </c>
      <c r="AQ756" t="s">
        <v>57</v>
      </c>
      <c r="AR756">
        <f t="shared" si="107"/>
        <v>2100</v>
      </c>
      <c r="AS756" t="s">
        <v>919</v>
      </c>
      <c r="AT756" t="s">
        <v>58</v>
      </c>
    </row>
    <row r="757" ht="29" spans="1:46">
      <c r="A757" s="31" t="s">
        <v>79</v>
      </c>
      <c r="C757" t="s">
        <v>4088</v>
      </c>
      <c r="D757" s="5" t="s">
        <v>57</v>
      </c>
      <c r="E757">
        <v>2035</v>
      </c>
      <c r="F757" s="6" t="str">
        <f t="shared" si="101"/>
        <v>*0.94</v>
      </c>
      <c r="H757" t="s">
        <v>4088</v>
      </c>
      <c r="I757" s="5" t="s">
        <v>57</v>
      </c>
      <c r="J757">
        <v>2050</v>
      </c>
      <c r="K757" s="38" t="str">
        <f t="shared" si="102"/>
        <v>*0.9</v>
      </c>
      <c r="P757" s="32" t="s">
        <v>4088</v>
      </c>
      <c r="Q757" s="42" t="s">
        <v>57</v>
      </c>
      <c r="R757" s="32">
        <v>2035</v>
      </c>
      <c r="S757" s="43" t="str">
        <f t="shared" si="103"/>
        <v>*0.92</v>
      </c>
      <c r="U757" s="32" t="s">
        <v>4088</v>
      </c>
      <c r="V757" s="42" t="s">
        <v>57</v>
      </c>
      <c r="W757" s="32">
        <v>2050</v>
      </c>
      <c r="X757" s="43" t="str">
        <f t="shared" si="104"/>
        <v>*0.89</v>
      </c>
      <c r="AC757" s="33" t="s">
        <v>4088</v>
      </c>
      <c r="AD757" s="44" t="s">
        <v>57</v>
      </c>
      <c r="AE757" s="33">
        <v>2035</v>
      </c>
      <c r="AF757" s="45" t="str">
        <f t="shared" si="105"/>
        <v>*0.89</v>
      </c>
      <c r="AG757" s="43" t="str">
        <f t="shared" si="108"/>
        <v>REZoning_Sol-Win</v>
      </c>
      <c r="AI757" s="33" t="s">
        <v>4088</v>
      </c>
      <c r="AJ757" s="44" t="s">
        <v>57</v>
      </c>
      <c r="AK757" s="33">
        <v>2050</v>
      </c>
      <c r="AL757" s="45" t="str">
        <f t="shared" si="106"/>
        <v>*0.84</v>
      </c>
      <c r="AM757" s="43" t="str">
        <f t="shared" si="109"/>
        <v>REZoning_Sol-Win</v>
      </c>
      <c r="AP757" t="s">
        <v>4088</v>
      </c>
      <c r="AQ757" t="s">
        <v>57</v>
      </c>
      <c r="AR757">
        <f t="shared" si="107"/>
        <v>2100</v>
      </c>
      <c r="AS757" t="s">
        <v>919</v>
      </c>
      <c r="AT757" t="s">
        <v>58</v>
      </c>
    </row>
    <row r="758" ht="29" spans="1:46">
      <c r="A758" s="31" t="s">
        <v>79</v>
      </c>
      <c r="C758" t="s">
        <v>4089</v>
      </c>
      <c r="D758" s="5" t="s">
        <v>57</v>
      </c>
      <c r="E758">
        <v>2035</v>
      </c>
      <c r="F758" s="6" t="str">
        <f t="shared" si="101"/>
        <v>*0.94</v>
      </c>
      <c r="H758" t="s">
        <v>4089</v>
      </c>
      <c r="I758" s="5" t="s">
        <v>57</v>
      </c>
      <c r="J758">
        <v>2050</v>
      </c>
      <c r="K758" s="38" t="str">
        <f t="shared" si="102"/>
        <v>*0.9</v>
      </c>
      <c r="P758" s="32" t="s">
        <v>4089</v>
      </c>
      <c r="Q758" s="42" t="s">
        <v>57</v>
      </c>
      <c r="R758" s="32">
        <v>2035</v>
      </c>
      <c r="S758" s="43" t="str">
        <f t="shared" si="103"/>
        <v>*0.92</v>
      </c>
      <c r="U758" s="32" t="s">
        <v>4089</v>
      </c>
      <c r="V758" s="42" t="s">
        <v>57</v>
      </c>
      <c r="W758" s="32">
        <v>2050</v>
      </c>
      <c r="X758" s="43" t="str">
        <f t="shared" si="104"/>
        <v>*0.89</v>
      </c>
      <c r="AC758" s="33" t="s">
        <v>4089</v>
      </c>
      <c r="AD758" s="44" t="s">
        <v>57</v>
      </c>
      <c r="AE758" s="33">
        <v>2035</v>
      </c>
      <c r="AF758" s="45" t="str">
        <f t="shared" si="105"/>
        <v>*0.89</v>
      </c>
      <c r="AG758" s="43" t="str">
        <f t="shared" si="108"/>
        <v>REZoning_Sol-Win</v>
      </c>
      <c r="AI758" s="33" t="s">
        <v>4089</v>
      </c>
      <c r="AJ758" s="44" t="s">
        <v>57</v>
      </c>
      <c r="AK758" s="33">
        <v>2050</v>
      </c>
      <c r="AL758" s="45" t="str">
        <f t="shared" si="106"/>
        <v>*0.84</v>
      </c>
      <c r="AM758" s="43" t="str">
        <f t="shared" si="109"/>
        <v>REZoning_Sol-Win</v>
      </c>
      <c r="AP758" t="s">
        <v>4089</v>
      </c>
      <c r="AQ758" t="s">
        <v>57</v>
      </c>
      <c r="AR758">
        <f t="shared" si="107"/>
        <v>2100</v>
      </c>
      <c r="AS758" t="s">
        <v>919</v>
      </c>
      <c r="AT758" t="s">
        <v>58</v>
      </c>
    </row>
    <row r="759" ht="29" spans="1:46">
      <c r="A759" s="31" t="s">
        <v>79</v>
      </c>
      <c r="C759" t="s">
        <v>4090</v>
      </c>
      <c r="D759" s="5" t="s">
        <v>57</v>
      </c>
      <c r="E759">
        <v>2035</v>
      </c>
      <c r="F759" s="6" t="str">
        <f t="shared" si="101"/>
        <v>*0.94</v>
      </c>
      <c r="H759" t="s">
        <v>4090</v>
      </c>
      <c r="I759" s="5" t="s">
        <v>57</v>
      </c>
      <c r="J759">
        <v>2050</v>
      </c>
      <c r="K759" s="38" t="str">
        <f t="shared" si="102"/>
        <v>*0.9</v>
      </c>
      <c r="P759" s="32" t="s">
        <v>4090</v>
      </c>
      <c r="Q759" s="42" t="s">
        <v>57</v>
      </c>
      <c r="R759" s="32">
        <v>2035</v>
      </c>
      <c r="S759" s="43" t="str">
        <f t="shared" si="103"/>
        <v>*0.92</v>
      </c>
      <c r="U759" s="32" t="s">
        <v>4090</v>
      </c>
      <c r="V759" s="42" t="s">
        <v>57</v>
      </c>
      <c r="W759" s="32">
        <v>2050</v>
      </c>
      <c r="X759" s="43" t="str">
        <f t="shared" si="104"/>
        <v>*0.89</v>
      </c>
      <c r="AC759" s="33" t="s">
        <v>4090</v>
      </c>
      <c r="AD759" s="44" t="s">
        <v>57</v>
      </c>
      <c r="AE759" s="33">
        <v>2035</v>
      </c>
      <c r="AF759" s="45" t="str">
        <f t="shared" si="105"/>
        <v>*0.89</v>
      </c>
      <c r="AG759" s="43" t="str">
        <f t="shared" si="108"/>
        <v>REZoning_Sol-Win</v>
      </c>
      <c r="AI759" s="33" t="s">
        <v>4090</v>
      </c>
      <c r="AJ759" s="44" t="s">
        <v>57</v>
      </c>
      <c r="AK759" s="33">
        <v>2050</v>
      </c>
      <c r="AL759" s="45" t="str">
        <f t="shared" si="106"/>
        <v>*0.84</v>
      </c>
      <c r="AM759" s="43" t="str">
        <f t="shared" si="109"/>
        <v>REZoning_Sol-Win</v>
      </c>
      <c r="AP759" t="s">
        <v>4090</v>
      </c>
      <c r="AQ759" t="s">
        <v>57</v>
      </c>
      <c r="AR759">
        <f t="shared" si="107"/>
        <v>2100</v>
      </c>
      <c r="AS759" t="s">
        <v>919</v>
      </c>
      <c r="AT759" t="s">
        <v>58</v>
      </c>
    </row>
    <row r="760" ht="29" spans="1:46">
      <c r="A760" s="31" t="s">
        <v>83</v>
      </c>
      <c r="C760" t="s">
        <v>4091</v>
      </c>
      <c r="D760" s="5" t="s">
        <v>57</v>
      </c>
      <c r="E760">
        <v>2035</v>
      </c>
      <c r="F760" s="6" t="str">
        <f t="shared" si="101"/>
        <v>*0.95</v>
      </c>
      <c r="H760" t="s">
        <v>4091</v>
      </c>
      <c r="I760" s="5" t="s">
        <v>57</v>
      </c>
      <c r="J760">
        <v>2050</v>
      </c>
      <c r="K760" s="38" t="str">
        <f t="shared" si="102"/>
        <v>*0.92</v>
      </c>
      <c r="P760" s="32" t="s">
        <v>4091</v>
      </c>
      <c r="Q760" s="42" t="s">
        <v>57</v>
      </c>
      <c r="R760" s="32">
        <v>2035</v>
      </c>
      <c r="S760" s="43" t="str">
        <f t="shared" si="103"/>
        <v>*0.95</v>
      </c>
      <c r="U760" s="32" t="s">
        <v>4091</v>
      </c>
      <c r="V760" s="42" t="s">
        <v>57</v>
      </c>
      <c r="W760" s="32">
        <v>2050</v>
      </c>
      <c r="X760" s="43" t="str">
        <f t="shared" si="104"/>
        <v>*0.92</v>
      </c>
      <c r="AC760" s="33" t="s">
        <v>4091</v>
      </c>
      <c r="AD760" s="44" t="s">
        <v>57</v>
      </c>
      <c r="AE760" s="33">
        <v>2035</v>
      </c>
      <c r="AF760" s="45" t="str">
        <f t="shared" si="105"/>
        <v>*0.93</v>
      </c>
      <c r="AG760" s="43" t="str">
        <f t="shared" si="108"/>
        <v>REZoning_Sol-Win</v>
      </c>
      <c r="AI760" s="33" t="s">
        <v>4091</v>
      </c>
      <c r="AJ760" s="44" t="s">
        <v>57</v>
      </c>
      <c r="AK760" s="33">
        <v>2050</v>
      </c>
      <c r="AL760" s="45" t="str">
        <f t="shared" si="106"/>
        <v>*0.89</v>
      </c>
      <c r="AM760" s="43" t="str">
        <f t="shared" si="109"/>
        <v>REZoning_Sol-Win</v>
      </c>
      <c r="AP760" t="s">
        <v>4091</v>
      </c>
      <c r="AQ760" t="s">
        <v>57</v>
      </c>
      <c r="AR760">
        <f t="shared" si="107"/>
        <v>2100</v>
      </c>
      <c r="AS760" t="s">
        <v>937</v>
      </c>
      <c r="AT760" t="s">
        <v>58</v>
      </c>
    </row>
    <row r="761" ht="29" spans="1:46">
      <c r="A761" s="31" t="s">
        <v>83</v>
      </c>
      <c r="C761" t="s">
        <v>4092</v>
      </c>
      <c r="D761" s="5" t="s">
        <v>57</v>
      </c>
      <c r="E761">
        <v>2035</v>
      </c>
      <c r="F761" s="6" t="str">
        <f t="shared" si="101"/>
        <v>*0.95</v>
      </c>
      <c r="H761" t="s">
        <v>4092</v>
      </c>
      <c r="I761" s="5" t="s">
        <v>57</v>
      </c>
      <c r="J761">
        <v>2050</v>
      </c>
      <c r="K761" s="38" t="str">
        <f t="shared" si="102"/>
        <v>*0.92</v>
      </c>
      <c r="P761" s="32" t="s">
        <v>4092</v>
      </c>
      <c r="Q761" s="42" t="s">
        <v>57</v>
      </c>
      <c r="R761" s="32">
        <v>2035</v>
      </c>
      <c r="S761" s="43" t="str">
        <f t="shared" si="103"/>
        <v>*0.95</v>
      </c>
      <c r="U761" s="32" t="s">
        <v>4092</v>
      </c>
      <c r="V761" s="42" t="s">
        <v>57</v>
      </c>
      <c r="W761" s="32">
        <v>2050</v>
      </c>
      <c r="X761" s="43" t="str">
        <f t="shared" si="104"/>
        <v>*0.92</v>
      </c>
      <c r="AC761" s="33" t="s">
        <v>4092</v>
      </c>
      <c r="AD761" s="44" t="s">
        <v>57</v>
      </c>
      <c r="AE761" s="33">
        <v>2035</v>
      </c>
      <c r="AF761" s="45" t="str">
        <f t="shared" si="105"/>
        <v>*0.93</v>
      </c>
      <c r="AG761" s="43" t="str">
        <f t="shared" si="108"/>
        <v>REZoning_Sol-Win</v>
      </c>
      <c r="AI761" s="33" t="s">
        <v>4092</v>
      </c>
      <c r="AJ761" s="44" t="s">
        <v>57</v>
      </c>
      <c r="AK761" s="33">
        <v>2050</v>
      </c>
      <c r="AL761" s="45" t="str">
        <f t="shared" si="106"/>
        <v>*0.89</v>
      </c>
      <c r="AM761" s="43" t="str">
        <f t="shared" si="109"/>
        <v>REZoning_Sol-Win</v>
      </c>
      <c r="AP761" t="s">
        <v>4092</v>
      </c>
      <c r="AQ761" t="s">
        <v>57</v>
      </c>
      <c r="AR761">
        <f t="shared" si="107"/>
        <v>2100</v>
      </c>
      <c r="AS761" t="s">
        <v>937</v>
      </c>
      <c r="AT761" t="s">
        <v>58</v>
      </c>
    </row>
    <row r="762" ht="29" spans="1:46">
      <c r="A762" s="31" t="s">
        <v>83</v>
      </c>
      <c r="C762" t="s">
        <v>4093</v>
      </c>
      <c r="D762" s="5" t="s">
        <v>57</v>
      </c>
      <c r="E762">
        <v>2035</v>
      </c>
      <c r="F762" s="6" t="str">
        <f t="shared" si="101"/>
        <v>*0.95</v>
      </c>
      <c r="H762" t="s">
        <v>4093</v>
      </c>
      <c r="I762" s="5" t="s">
        <v>57</v>
      </c>
      <c r="J762">
        <v>2050</v>
      </c>
      <c r="K762" s="38" t="str">
        <f t="shared" si="102"/>
        <v>*0.92</v>
      </c>
      <c r="P762" s="32" t="s">
        <v>4093</v>
      </c>
      <c r="Q762" s="42" t="s">
        <v>57</v>
      </c>
      <c r="R762" s="32">
        <v>2035</v>
      </c>
      <c r="S762" s="43" t="str">
        <f t="shared" si="103"/>
        <v>*0.95</v>
      </c>
      <c r="U762" s="32" t="s">
        <v>4093</v>
      </c>
      <c r="V762" s="42" t="s">
        <v>57</v>
      </c>
      <c r="W762" s="32">
        <v>2050</v>
      </c>
      <c r="X762" s="43" t="str">
        <f t="shared" si="104"/>
        <v>*0.92</v>
      </c>
      <c r="AC762" s="33" t="s">
        <v>4093</v>
      </c>
      <c r="AD762" s="44" t="s">
        <v>57</v>
      </c>
      <c r="AE762" s="33">
        <v>2035</v>
      </c>
      <c r="AF762" s="45" t="str">
        <f t="shared" si="105"/>
        <v>*0.93</v>
      </c>
      <c r="AG762" s="43" t="str">
        <f t="shared" si="108"/>
        <v>REZoning_Sol-Win</v>
      </c>
      <c r="AI762" s="33" t="s">
        <v>4093</v>
      </c>
      <c r="AJ762" s="44" t="s">
        <v>57</v>
      </c>
      <c r="AK762" s="33">
        <v>2050</v>
      </c>
      <c r="AL762" s="45" t="str">
        <f t="shared" si="106"/>
        <v>*0.89</v>
      </c>
      <c r="AM762" s="43" t="str">
        <f t="shared" si="109"/>
        <v>REZoning_Sol-Win</v>
      </c>
      <c r="AP762" t="s">
        <v>4093</v>
      </c>
      <c r="AQ762" t="s">
        <v>57</v>
      </c>
      <c r="AR762">
        <f t="shared" si="107"/>
        <v>2100</v>
      </c>
      <c r="AS762" t="s">
        <v>937</v>
      </c>
      <c r="AT762" t="s">
        <v>58</v>
      </c>
    </row>
    <row r="763" ht="29" spans="1:46">
      <c r="A763" s="31" t="s">
        <v>83</v>
      </c>
      <c r="C763" t="s">
        <v>4094</v>
      </c>
      <c r="D763" s="5" t="s">
        <v>57</v>
      </c>
      <c r="E763">
        <v>2035</v>
      </c>
      <c r="F763" s="6" t="str">
        <f t="shared" si="101"/>
        <v>*0.95</v>
      </c>
      <c r="H763" t="s">
        <v>4094</v>
      </c>
      <c r="I763" s="5" t="s">
        <v>57</v>
      </c>
      <c r="J763">
        <v>2050</v>
      </c>
      <c r="K763" s="38" t="str">
        <f t="shared" si="102"/>
        <v>*0.92</v>
      </c>
      <c r="P763" s="32" t="s">
        <v>4094</v>
      </c>
      <c r="Q763" s="42" t="s">
        <v>57</v>
      </c>
      <c r="R763" s="32">
        <v>2035</v>
      </c>
      <c r="S763" s="43" t="str">
        <f t="shared" si="103"/>
        <v>*0.95</v>
      </c>
      <c r="U763" s="32" t="s">
        <v>4094</v>
      </c>
      <c r="V763" s="42" t="s">
        <v>57</v>
      </c>
      <c r="W763" s="32">
        <v>2050</v>
      </c>
      <c r="X763" s="43" t="str">
        <f t="shared" si="104"/>
        <v>*0.92</v>
      </c>
      <c r="AC763" s="33" t="s">
        <v>4094</v>
      </c>
      <c r="AD763" s="44" t="s">
        <v>57</v>
      </c>
      <c r="AE763" s="33">
        <v>2035</v>
      </c>
      <c r="AF763" s="45" t="str">
        <f t="shared" si="105"/>
        <v>*0.93</v>
      </c>
      <c r="AG763" s="43" t="str">
        <f t="shared" si="108"/>
        <v>REZoning_Sol-Win</v>
      </c>
      <c r="AI763" s="33" t="s">
        <v>4094</v>
      </c>
      <c r="AJ763" s="44" t="s">
        <v>57</v>
      </c>
      <c r="AK763" s="33">
        <v>2050</v>
      </c>
      <c r="AL763" s="45" t="str">
        <f t="shared" si="106"/>
        <v>*0.89</v>
      </c>
      <c r="AM763" s="43" t="str">
        <f t="shared" si="109"/>
        <v>REZoning_Sol-Win</v>
      </c>
      <c r="AP763" t="s">
        <v>4094</v>
      </c>
      <c r="AQ763" t="s">
        <v>57</v>
      </c>
      <c r="AR763">
        <f t="shared" si="107"/>
        <v>2100</v>
      </c>
      <c r="AS763" t="s">
        <v>937</v>
      </c>
      <c r="AT763" t="s">
        <v>58</v>
      </c>
    </row>
    <row r="764" ht="29" spans="1:46">
      <c r="A764" s="31" t="s">
        <v>83</v>
      </c>
      <c r="C764" t="s">
        <v>4095</v>
      </c>
      <c r="D764" s="5" t="s">
        <v>57</v>
      </c>
      <c r="E764">
        <v>2035</v>
      </c>
      <c r="F764" s="6" t="str">
        <f t="shared" si="101"/>
        <v>*0.95</v>
      </c>
      <c r="H764" t="s">
        <v>4095</v>
      </c>
      <c r="I764" s="5" t="s">
        <v>57</v>
      </c>
      <c r="J764">
        <v>2050</v>
      </c>
      <c r="K764" s="38" t="str">
        <f t="shared" si="102"/>
        <v>*0.92</v>
      </c>
      <c r="P764" s="32" t="s">
        <v>4095</v>
      </c>
      <c r="Q764" s="42" t="s">
        <v>57</v>
      </c>
      <c r="R764" s="32">
        <v>2035</v>
      </c>
      <c r="S764" s="43" t="str">
        <f t="shared" si="103"/>
        <v>*0.95</v>
      </c>
      <c r="U764" s="32" t="s">
        <v>4095</v>
      </c>
      <c r="V764" s="42" t="s">
        <v>57</v>
      </c>
      <c r="W764" s="32">
        <v>2050</v>
      </c>
      <c r="X764" s="43" t="str">
        <f t="shared" si="104"/>
        <v>*0.92</v>
      </c>
      <c r="AC764" s="33" t="s">
        <v>4095</v>
      </c>
      <c r="AD764" s="44" t="s">
        <v>57</v>
      </c>
      <c r="AE764" s="33">
        <v>2035</v>
      </c>
      <c r="AF764" s="45" t="str">
        <f t="shared" si="105"/>
        <v>*0.93</v>
      </c>
      <c r="AG764" s="43" t="str">
        <f t="shared" si="108"/>
        <v>REZoning_Sol-Win</v>
      </c>
      <c r="AI764" s="33" t="s">
        <v>4095</v>
      </c>
      <c r="AJ764" s="44" t="s">
        <v>57</v>
      </c>
      <c r="AK764" s="33">
        <v>2050</v>
      </c>
      <c r="AL764" s="45" t="str">
        <f t="shared" si="106"/>
        <v>*0.89</v>
      </c>
      <c r="AM764" s="43" t="str">
        <f t="shared" si="109"/>
        <v>REZoning_Sol-Win</v>
      </c>
      <c r="AP764" t="s">
        <v>4095</v>
      </c>
      <c r="AQ764" t="s">
        <v>57</v>
      </c>
      <c r="AR764">
        <f t="shared" si="107"/>
        <v>2100</v>
      </c>
      <c r="AS764" t="s">
        <v>937</v>
      </c>
      <c r="AT764" t="s">
        <v>58</v>
      </c>
    </row>
    <row r="765" ht="29" spans="1:46">
      <c r="A765" s="31" t="s">
        <v>83</v>
      </c>
      <c r="C765" t="s">
        <v>4096</v>
      </c>
      <c r="D765" s="5" t="s">
        <v>57</v>
      </c>
      <c r="E765">
        <v>2035</v>
      </c>
      <c r="F765" s="6" t="str">
        <f t="shared" si="101"/>
        <v>*0.95</v>
      </c>
      <c r="H765" t="s">
        <v>4096</v>
      </c>
      <c r="I765" s="5" t="s">
        <v>57</v>
      </c>
      <c r="J765">
        <v>2050</v>
      </c>
      <c r="K765" s="38" t="str">
        <f t="shared" si="102"/>
        <v>*0.92</v>
      </c>
      <c r="P765" s="32" t="s">
        <v>4096</v>
      </c>
      <c r="Q765" s="42" t="s">
        <v>57</v>
      </c>
      <c r="R765" s="32">
        <v>2035</v>
      </c>
      <c r="S765" s="43" t="str">
        <f t="shared" si="103"/>
        <v>*0.95</v>
      </c>
      <c r="U765" s="32" t="s">
        <v>4096</v>
      </c>
      <c r="V765" s="42" t="s">
        <v>57</v>
      </c>
      <c r="W765" s="32">
        <v>2050</v>
      </c>
      <c r="X765" s="43" t="str">
        <f t="shared" si="104"/>
        <v>*0.92</v>
      </c>
      <c r="AC765" s="33" t="s">
        <v>4096</v>
      </c>
      <c r="AD765" s="44" t="s">
        <v>57</v>
      </c>
      <c r="AE765" s="33">
        <v>2035</v>
      </c>
      <c r="AF765" s="45" t="str">
        <f t="shared" si="105"/>
        <v>*0.93</v>
      </c>
      <c r="AG765" s="43" t="str">
        <f t="shared" si="108"/>
        <v>REZoning_Sol-Win</v>
      </c>
      <c r="AI765" s="33" t="s">
        <v>4096</v>
      </c>
      <c r="AJ765" s="44" t="s">
        <v>57</v>
      </c>
      <c r="AK765" s="33">
        <v>2050</v>
      </c>
      <c r="AL765" s="45" t="str">
        <f t="shared" si="106"/>
        <v>*0.89</v>
      </c>
      <c r="AM765" s="43" t="str">
        <f t="shared" si="109"/>
        <v>REZoning_Sol-Win</v>
      </c>
      <c r="AP765" t="s">
        <v>4096</v>
      </c>
      <c r="AQ765" t="s">
        <v>57</v>
      </c>
      <c r="AR765">
        <f t="shared" si="107"/>
        <v>2100</v>
      </c>
      <c r="AS765" t="s">
        <v>937</v>
      </c>
      <c r="AT765" t="s">
        <v>58</v>
      </c>
    </row>
    <row r="766" ht="29" spans="1:46">
      <c r="A766" s="31" t="s">
        <v>83</v>
      </c>
      <c r="C766" t="s">
        <v>4097</v>
      </c>
      <c r="D766" s="5" t="s">
        <v>57</v>
      </c>
      <c r="E766">
        <v>2035</v>
      </c>
      <c r="F766" s="6" t="str">
        <f t="shared" si="101"/>
        <v>*0.95</v>
      </c>
      <c r="H766" t="s">
        <v>4097</v>
      </c>
      <c r="I766" s="5" t="s">
        <v>57</v>
      </c>
      <c r="J766">
        <v>2050</v>
      </c>
      <c r="K766" s="38" t="str">
        <f t="shared" si="102"/>
        <v>*0.92</v>
      </c>
      <c r="P766" s="32" t="s">
        <v>4097</v>
      </c>
      <c r="Q766" s="42" t="s">
        <v>57</v>
      </c>
      <c r="R766" s="32">
        <v>2035</v>
      </c>
      <c r="S766" s="43" t="str">
        <f t="shared" si="103"/>
        <v>*0.95</v>
      </c>
      <c r="U766" s="32" t="s">
        <v>4097</v>
      </c>
      <c r="V766" s="42" t="s">
        <v>57</v>
      </c>
      <c r="W766" s="32">
        <v>2050</v>
      </c>
      <c r="X766" s="43" t="str">
        <f t="shared" si="104"/>
        <v>*0.92</v>
      </c>
      <c r="AC766" s="33" t="s">
        <v>4097</v>
      </c>
      <c r="AD766" s="44" t="s">
        <v>57</v>
      </c>
      <c r="AE766" s="33">
        <v>2035</v>
      </c>
      <c r="AF766" s="45" t="str">
        <f t="shared" si="105"/>
        <v>*0.93</v>
      </c>
      <c r="AG766" s="43" t="str">
        <f t="shared" si="108"/>
        <v>REZoning_Sol-Win</v>
      </c>
      <c r="AI766" s="33" t="s">
        <v>4097</v>
      </c>
      <c r="AJ766" s="44" t="s">
        <v>57</v>
      </c>
      <c r="AK766" s="33">
        <v>2050</v>
      </c>
      <c r="AL766" s="45" t="str">
        <f t="shared" si="106"/>
        <v>*0.89</v>
      </c>
      <c r="AM766" s="43" t="str">
        <f t="shared" si="109"/>
        <v>REZoning_Sol-Win</v>
      </c>
      <c r="AP766" t="s">
        <v>4097</v>
      </c>
      <c r="AQ766" t="s">
        <v>57</v>
      </c>
      <c r="AR766">
        <f t="shared" si="107"/>
        <v>2100</v>
      </c>
      <c r="AS766" t="s">
        <v>937</v>
      </c>
      <c r="AT766" t="s">
        <v>58</v>
      </c>
    </row>
    <row r="767" ht="29" spans="1:46">
      <c r="A767" s="31" t="s">
        <v>83</v>
      </c>
      <c r="C767" t="s">
        <v>4098</v>
      </c>
      <c r="D767" s="5" t="s">
        <v>57</v>
      </c>
      <c r="E767">
        <v>2035</v>
      </c>
      <c r="F767" s="6" t="str">
        <f t="shared" si="101"/>
        <v>*0.95</v>
      </c>
      <c r="H767" t="s">
        <v>4098</v>
      </c>
      <c r="I767" s="5" t="s">
        <v>57</v>
      </c>
      <c r="J767">
        <v>2050</v>
      </c>
      <c r="K767" s="38" t="str">
        <f t="shared" si="102"/>
        <v>*0.92</v>
      </c>
      <c r="P767" s="32" t="s">
        <v>4098</v>
      </c>
      <c r="Q767" s="42" t="s">
        <v>57</v>
      </c>
      <c r="R767" s="32">
        <v>2035</v>
      </c>
      <c r="S767" s="43" t="str">
        <f t="shared" si="103"/>
        <v>*0.95</v>
      </c>
      <c r="U767" s="32" t="s">
        <v>4098</v>
      </c>
      <c r="V767" s="42" t="s">
        <v>57</v>
      </c>
      <c r="W767" s="32">
        <v>2050</v>
      </c>
      <c r="X767" s="43" t="str">
        <f t="shared" si="104"/>
        <v>*0.92</v>
      </c>
      <c r="AC767" s="33" t="s">
        <v>4098</v>
      </c>
      <c r="AD767" s="44" t="s">
        <v>57</v>
      </c>
      <c r="AE767" s="33">
        <v>2035</v>
      </c>
      <c r="AF767" s="45" t="str">
        <f t="shared" si="105"/>
        <v>*0.93</v>
      </c>
      <c r="AG767" s="43" t="str">
        <f t="shared" si="108"/>
        <v>REZoning_Sol-Win</v>
      </c>
      <c r="AI767" s="33" t="s">
        <v>4098</v>
      </c>
      <c r="AJ767" s="44" t="s">
        <v>57</v>
      </c>
      <c r="AK767" s="33">
        <v>2050</v>
      </c>
      <c r="AL767" s="45" t="str">
        <f t="shared" si="106"/>
        <v>*0.89</v>
      </c>
      <c r="AM767" s="43" t="str">
        <f t="shared" si="109"/>
        <v>REZoning_Sol-Win</v>
      </c>
      <c r="AP767" t="s">
        <v>4098</v>
      </c>
      <c r="AQ767" t="s">
        <v>57</v>
      </c>
      <c r="AR767">
        <f t="shared" si="107"/>
        <v>2100</v>
      </c>
      <c r="AS767" t="s">
        <v>937</v>
      </c>
      <c r="AT767" t="s">
        <v>58</v>
      </c>
    </row>
    <row r="768" ht="29" spans="1:46">
      <c r="A768" s="31" t="s">
        <v>83</v>
      </c>
      <c r="C768" t="s">
        <v>4099</v>
      </c>
      <c r="D768" s="5" t="s">
        <v>57</v>
      </c>
      <c r="E768">
        <v>2035</v>
      </c>
      <c r="F768" s="6" t="str">
        <f t="shared" si="101"/>
        <v>*0.95</v>
      </c>
      <c r="H768" t="s">
        <v>4099</v>
      </c>
      <c r="I768" s="5" t="s">
        <v>57</v>
      </c>
      <c r="J768">
        <v>2050</v>
      </c>
      <c r="K768" s="38" t="str">
        <f t="shared" si="102"/>
        <v>*0.92</v>
      </c>
      <c r="P768" s="32" t="s">
        <v>4099</v>
      </c>
      <c r="Q768" s="42" t="s">
        <v>57</v>
      </c>
      <c r="R768" s="32">
        <v>2035</v>
      </c>
      <c r="S768" s="43" t="str">
        <f t="shared" si="103"/>
        <v>*0.95</v>
      </c>
      <c r="U768" s="32" t="s">
        <v>4099</v>
      </c>
      <c r="V768" s="42" t="s">
        <v>57</v>
      </c>
      <c r="W768" s="32">
        <v>2050</v>
      </c>
      <c r="X768" s="43" t="str">
        <f t="shared" si="104"/>
        <v>*0.92</v>
      </c>
      <c r="AC768" s="33" t="s">
        <v>4099</v>
      </c>
      <c r="AD768" s="44" t="s">
        <v>57</v>
      </c>
      <c r="AE768" s="33">
        <v>2035</v>
      </c>
      <c r="AF768" s="45" t="str">
        <f t="shared" si="105"/>
        <v>*0.93</v>
      </c>
      <c r="AG768" s="43" t="str">
        <f t="shared" si="108"/>
        <v>REZoning_Sol-Win</v>
      </c>
      <c r="AI768" s="33" t="s">
        <v>4099</v>
      </c>
      <c r="AJ768" s="44" t="s">
        <v>57</v>
      </c>
      <c r="AK768" s="33">
        <v>2050</v>
      </c>
      <c r="AL768" s="45" t="str">
        <f t="shared" si="106"/>
        <v>*0.89</v>
      </c>
      <c r="AM768" s="43" t="str">
        <f t="shared" si="109"/>
        <v>REZoning_Sol-Win</v>
      </c>
      <c r="AP768" t="s">
        <v>4099</v>
      </c>
      <c r="AQ768" t="s">
        <v>57</v>
      </c>
      <c r="AR768">
        <f t="shared" si="107"/>
        <v>2100</v>
      </c>
      <c r="AS768" t="s">
        <v>937</v>
      </c>
      <c r="AT768" t="s">
        <v>58</v>
      </c>
    </row>
    <row r="769" ht="29" spans="1:46">
      <c r="A769" s="31" t="s">
        <v>83</v>
      </c>
      <c r="C769" t="s">
        <v>4100</v>
      </c>
      <c r="D769" s="5" t="s">
        <v>57</v>
      </c>
      <c r="E769">
        <v>2035</v>
      </c>
      <c r="F769" s="6" t="str">
        <f t="shared" si="101"/>
        <v>*0.95</v>
      </c>
      <c r="H769" t="s">
        <v>4100</v>
      </c>
      <c r="I769" s="5" t="s">
        <v>57</v>
      </c>
      <c r="J769">
        <v>2050</v>
      </c>
      <c r="K769" s="38" t="str">
        <f t="shared" si="102"/>
        <v>*0.92</v>
      </c>
      <c r="P769" s="32" t="s">
        <v>4100</v>
      </c>
      <c r="Q769" s="42" t="s">
        <v>57</v>
      </c>
      <c r="R769" s="32">
        <v>2035</v>
      </c>
      <c r="S769" s="43" t="str">
        <f t="shared" si="103"/>
        <v>*0.95</v>
      </c>
      <c r="U769" s="32" t="s">
        <v>4100</v>
      </c>
      <c r="V769" s="42" t="s">
        <v>57</v>
      </c>
      <c r="W769" s="32">
        <v>2050</v>
      </c>
      <c r="X769" s="43" t="str">
        <f t="shared" si="104"/>
        <v>*0.92</v>
      </c>
      <c r="AC769" s="33" t="s">
        <v>4100</v>
      </c>
      <c r="AD769" s="44" t="s">
        <v>57</v>
      </c>
      <c r="AE769" s="33">
        <v>2035</v>
      </c>
      <c r="AF769" s="45" t="str">
        <f t="shared" si="105"/>
        <v>*0.93</v>
      </c>
      <c r="AG769" s="43" t="str">
        <f t="shared" si="108"/>
        <v>REZoning_Sol-Win</v>
      </c>
      <c r="AI769" s="33" t="s">
        <v>4100</v>
      </c>
      <c r="AJ769" s="44" t="s">
        <v>57</v>
      </c>
      <c r="AK769" s="33">
        <v>2050</v>
      </c>
      <c r="AL769" s="45" t="str">
        <f t="shared" si="106"/>
        <v>*0.89</v>
      </c>
      <c r="AM769" s="43" t="str">
        <f t="shared" si="109"/>
        <v>REZoning_Sol-Win</v>
      </c>
      <c r="AP769" t="s">
        <v>4100</v>
      </c>
      <c r="AQ769" t="s">
        <v>57</v>
      </c>
      <c r="AR769">
        <f t="shared" si="107"/>
        <v>2100</v>
      </c>
      <c r="AS769" t="s">
        <v>937</v>
      </c>
      <c r="AT769" t="s">
        <v>58</v>
      </c>
    </row>
    <row r="770" ht="29" spans="1:46">
      <c r="A770" s="31" t="s">
        <v>83</v>
      </c>
      <c r="C770" t="s">
        <v>4101</v>
      </c>
      <c r="D770" s="5" t="s">
        <v>57</v>
      </c>
      <c r="E770">
        <v>2035</v>
      </c>
      <c r="F770" s="6" t="str">
        <f t="shared" si="101"/>
        <v>*0.95</v>
      </c>
      <c r="H770" t="s">
        <v>4101</v>
      </c>
      <c r="I770" s="5" t="s">
        <v>57</v>
      </c>
      <c r="J770">
        <v>2050</v>
      </c>
      <c r="K770" s="38" t="str">
        <f t="shared" si="102"/>
        <v>*0.92</v>
      </c>
      <c r="P770" s="32" t="s">
        <v>4101</v>
      </c>
      <c r="Q770" s="42" t="s">
        <v>57</v>
      </c>
      <c r="R770" s="32">
        <v>2035</v>
      </c>
      <c r="S770" s="43" t="str">
        <f t="shared" si="103"/>
        <v>*0.95</v>
      </c>
      <c r="U770" s="32" t="s">
        <v>4101</v>
      </c>
      <c r="V770" s="42" t="s">
        <v>57</v>
      </c>
      <c r="W770" s="32">
        <v>2050</v>
      </c>
      <c r="X770" s="43" t="str">
        <f t="shared" si="104"/>
        <v>*0.92</v>
      </c>
      <c r="AC770" s="33" t="s">
        <v>4101</v>
      </c>
      <c r="AD770" s="44" t="s">
        <v>57</v>
      </c>
      <c r="AE770" s="33">
        <v>2035</v>
      </c>
      <c r="AF770" s="45" t="str">
        <f t="shared" si="105"/>
        <v>*0.93</v>
      </c>
      <c r="AG770" s="43" t="str">
        <f t="shared" si="108"/>
        <v>REZoning_Sol-Win</v>
      </c>
      <c r="AI770" s="33" t="s">
        <v>4101</v>
      </c>
      <c r="AJ770" s="44" t="s">
        <v>57</v>
      </c>
      <c r="AK770" s="33">
        <v>2050</v>
      </c>
      <c r="AL770" s="45" t="str">
        <f t="shared" si="106"/>
        <v>*0.89</v>
      </c>
      <c r="AM770" s="43" t="str">
        <f t="shared" si="109"/>
        <v>REZoning_Sol-Win</v>
      </c>
      <c r="AP770" t="s">
        <v>4101</v>
      </c>
      <c r="AQ770" t="s">
        <v>57</v>
      </c>
      <c r="AR770">
        <f t="shared" si="107"/>
        <v>2100</v>
      </c>
      <c r="AS770" t="s">
        <v>937</v>
      </c>
      <c r="AT770" t="s">
        <v>58</v>
      </c>
    </row>
    <row r="771" ht="29" spans="1:46">
      <c r="A771" s="31" t="s">
        <v>83</v>
      </c>
      <c r="C771" t="s">
        <v>4102</v>
      </c>
      <c r="D771" s="5" t="s">
        <v>57</v>
      </c>
      <c r="E771">
        <v>2035</v>
      </c>
      <c r="F771" s="6" t="str">
        <f t="shared" si="101"/>
        <v>*0.95</v>
      </c>
      <c r="H771" t="s">
        <v>4102</v>
      </c>
      <c r="I771" s="5" t="s">
        <v>57</v>
      </c>
      <c r="J771">
        <v>2050</v>
      </c>
      <c r="K771" s="38" t="str">
        <f t="shared" si="102"/>
        <v>*0.92</v>
      </c>
      <c r="P771" s="32" t="s">
        <v>4102</v>
      </c>
      <c r="Q771" s="42" t="s">
        <v>57</v>
      </c>
      <c r="R771" s="32">
        <v>2035</v>
      </c>
      <c r="S771" s="43" t="str">
        <f t="shared" si="103"/>
        <v>*0.95</v>
      </c>
      <c r="U771" s="32" t="s">
        <v>4102</v>
      </c>
      <c r="V771" s="42" t="s">
        <v>57</v>
      </c>
      <c r="W771" s="32">
        <v>2050</v>
      </c>
      <c r="X771" s="43" t="str">
        <f t="shared" si="104"/>
        <v>*0.92</v>
      </c>
      <c r="AC771" s="33" t="s">
        <v>4102</v>
      </c>
      <c r="AD771" s="44" t="s">
        <v>57</v>
      </c>
      <c r="AE771" s="33">
        <v>2035</v>
      </c>
      <c r="AF771" s="45" t="str">
        <f t="shared" si="105"/>
        <v>*0.93</v>
      </c>
      <c r="AG771" s="43" t="str">
        <f t="shared" si="108"/>
        <v>REZoning_Sol-Win</v>
      </c>
      <c r="AI771" s="33" t="s">
        <v>4102</v>
      </c>
      <c r="AJ771" s="44" t="s">
        <v>57</v>
      </c>
      <c r="AK771" s="33">
        <v>2050</v>
      </c>
      <c r="AL771" s="45" t="str">
        <f t="shared" si="106"/>
        <v>*0.89</v>
      </c>
      <c r="AM771" s="43" t="str">
        <f t="shared" si="109"/>
        <v>REZoning_Sol-Win</v>
      </c>
      <c r="AP771" t="s">
        <v>4102</v>
      </c>
      <c r="AQ771" t="s">
        <v>57</v>
      </c>
      <c r="AR771">
        <f t="shared" si="107"/>
        <v>2100</v>
      </c>
      <c r="AS771" t="s">
        <v>937</v>
      </c>
      <c r="AT771" t="s">
        <v>58</v>
      </c>
    </row>
    <row r="772" ht="29" spans="1:46">
      <c r="A772" s="31" t="s">
        <v>83</v>
      </c>
      <c r="C772" t="s">
        <v>4103</v>
      </c>
      <c r="D772" s="5" t="s">
        <v>57</v>
      </c>
      <c r="E772">
        <v>2035</v>
      </c>
      <c r="F772" s="6" t="str">
        <f t="shared" ref="F772:F835" si="110">"*"&amp;IF(AND(A772="EU",E772=2035),0.95,IF(AND(A772="EU",E772=2050),0.93,IF(AND(A772="USA",E772=2035),0.96,IF(AND(A772="USA",E772=2050),0.94,IF(AND(A772="Japan",E772=2035),0.94,IF(AND(A772="Japan",E772=2050),0.92,IF(AND(A772="Russia",E772=2035),0.95,IF(AND(A772="Russia",E772=2050),0.93,IF(AND(A772="China",E772=2035),0.94,IF(AND(A772="China",E772=2050),0.92,IF(AND(A772="India",E772=2035),0.95,IF(AND(A772="India",E772=2050),0.92,IF(AND(A772="Middle East",E772=2035),0.94,IF(AND(A772="Middle East",E772=2050),0.9,IF(AND(A772="Africa",E772=2035),0.94,IF(AND(A772="Africa",E772=2050),0.91,IF(AND(A772="Brazil",E772=2035),0.95,IF(AND(A772="Brazil",E772=2050),0.92,""))))))))))))))))))</f>
        <v>*0.95</v>
      </c>
      <c r="H772" t="s">
        <v>4103</v>
      </c>
      <c r="I772" s="5" t="s">
        <v>57</v>
      </c>
      <c r="J772">
        <v>2050</v>
      </c>
      <c r="K772" s="38" t="str">
        <f t="shared" ref="K772:K835" si="111">"*"&amp;IF(AND(A772="EU",J772=2035),0.95,IF(AND(A772="EU",J772=2050),0.93,IF(AND(A772="USA",J772=2035),0.96,IF(AND(A772="USA",J772=2050),0.94,IF(AND(A772="Japan",J772=2035),0.94,IF(AND(A772="Japan",J772=2050),0.92,IF(AND(A772="Russia",J772=2035),0.95,IF(AND(A772="Russia",J772=2050),0.93,IF(AND(A772="China",J772=2035),0.94,IF(AND(A772="China",J772=2050),0.92,IF(AND(A772="India",J772=2035),0.95,IF(AND(A772="India",J772=2050),0.92,IF(AND(A772="Middle East",J772=2035),0.94,IF(AND(A772="Middle East",J772=2050),0.9,IF(AND(A772="Africa",J772=2035),0.94,IF(AND(A772="Africa",J772=2050),0.91,IF(AND(A772="Brazil",J772=2035),0.95,IF(AND(A772="Brazil",J772=2050),0.92,""))))))))))))))))))</f>
        <v>*0.92</v>
      </c>
      <c r="P772" s="32" t="s">
        <v>4103</v>
      </c>
      <c r="Q772" s="42" t="s">
        <v>57</v>
      </c>
      <c r="R772" s="32">
        <v>2035</v>
      </c>
      <c r="S772" s="43" t="str">
        <f t="shared" ref="S772:S835" si="112">"*"&amp;IF(AND(A772="EU",R772=2035),0.95,IF(AND(A772="EU",R772=2050),0.93,IF(AND(A772="USA",R772=2035),0.96,IF(AND(A772="USA",R772=2050),0.93,IF(AND(A772="Japan",R772=2035),0.94,IF(AND(A772="Japan",R772=2050),0.92,IF(AND(A772="Russia",R772=2035),0.95,IF(AND(A772="Russia",R772=2050),0.91,IF(AND(A772="China",R772=2035),0.93,IF(AND(A772="China",R772=2050),0.92,IF(AND(A772="India",R772=2035),0.94,IF(AND(A772="India",R772=2050),0.91,IF(AND(A772="Middle East",R772=2035),0.92,IF(AND(A772="Middle East",R772=2050),0.89,IF(AND(A772="Africa",R772=2035),0.93,IF(AND(A772="Africa",R772=2050),0.9,IF(AND(A772="Brazil",R772=2035),0.95,IF(AND(A772="Brazil",R772=2050),0.92,""))))))))))))))))))</f>
        <v>*0.95</v>
      </c>
      <c r="U772" s="32" t="s">
        <v>4103</v>
      </c>
      <c r="V772" s="42" t="s">
        <v>57</v>
      </c>
      <c r="W772" s="32">
        <v>2050</v>
      </c>
      <c r="X772" s="43" t="str">
        <f t="shared" ref="X772:X835" si="113">"*"&amp;IF(AND(A772="EU",W772=2035),0.95,IF(AND(A772="EU",W772=2050),0.93,IF(AND(A772="USA",W772=2035),0.96,IF(AND(A772="USA",W772=2050),0.93,IF(AND(A772="Japan",W772=2035),0.94,IF(AND(A772="Japan",W772=2050),0.92,IF(AND(A772="Russia",W772=2035),0.95,IF(AND(A772="Russia",W772=2050),0.91,IF(AND(A772="China",W772=2035),0.93,IF(AND(A772="China",W772=2050),0.92,IF(AND(A772="India",W772=2035),0.94,IF(AND(A772="India",W772=2050),0.91,IF(AND(A772="Middle East",W772=2035),0.92,IF(AND(A772="Middle East",W772=2050),0.89,IF(AND(A772="Africa",W772=2035),0.93,IF(AND(A772="Africa",W772=2050),0.9,IF(AND(A772="Brazil",W772=2035),0.95,IF(AND(A772="Brazil",W772=2050),0.92,""))))))))))))))))))</f>
        <v>*0.92</v>
      </c>
      <c r="AC772" s="33" t="s">
        <v>4103</v>
      </c>
      <c r="AD772" s="44" t="s">
        <v>57</v>
      </c>
      <c r="AE772" s="33">
        <v>2035</v>
      </c>
      <c r="AF772" s="45" t="str">
        <f t="shared" ref="AF772:AF835" si="114">"*"&amp;IF(AND(A772="EU",AE772=2035),0.93,IF(AND(A772="EU",AE772=2050),0.9,IF(AND(A772="USA",AE772=2035),0.92,IF(AND(A772="USA",AE772=2050),0.89,IF(AND(A772="Japan",AE772=2035),0.92,IF(AND(A772="Japan",AE772=2050),0.89,IF(AND(A772="Russia",AE772=2035),0.91,IF(AND(A772="Russia",AE772=2050),0.86,IF(AND(A772="China",AE772=2035),0.91,IF(AND(A772="China",AE772=2050),0.87,IF(AND(A772="India",AE772=2035),0.92,IF(AND(A772="India",AE772=2050),0.87,IF(AND(A772="Middle East",AE772=2035),0.89,IF(AND(A772="Middle East",AE772=2050),0.84,IF(AND(A772="Africa",AE772=2035),0.9,IF(AND(A772="Africa",AE772=2050),0.86,IF(AND(A772="Brazil",AE772=2035),0.93,IF(AND(A772="Brazil",AE772=2050),0.89,""))))))))))))))))))</f>
        <v>*0.93</v>
      </c>
      <c r="AG772" s="43" t="str">
        <f t="shared" si="108"/>
        <v>REZoning_Sol-Win</v>
      </c>
      <c r="AI772" s="33" t="s">
        <v>4103</v>
      </c>
      <c r="AJ772" s="44" t="s">
        <v>57</v>
      </c>
      <c r="AK772" s="33">
        <v>2050</v>
      </c>
      <c r="AL772" s="45" t="str">
        <f t="shared" ref="AL772:AL835" si="115">"*"&amp;IF(AND(A772="EU",AK772=2035),0.93,IF(AND(A772="EU",AK772=2050),0.9,IF(AND(A772="USA",AK772=2035),0.92,IF(AND(A772="USA",AK772=2050),0.89,IF(AND(A772="Japan",AK772=2035),0.92,IF(AND(A772="Japan",AK772=2050),0.89,IF(AND(A772="Russia",AK772=2035),0.91,IF(AND(A772="Russia",AK772=2050),0.86,IF(AND(A772="China",AK772=2035),0.91,IF(AND(A772="China",AK772=2050),0.87,IF(AND(A772="India",AK772=2035),0.92,IF(AND(A772="India",AK772=2050),0.87,IF(AND(A772="Middle East",AK772=2035),0.89,IF(AND(A772="Middle East",AK772=2050),0.84,IF(AND(A772="Africa",AK772=2035),0.9,IF(AND(A772="Africa",AK772=2050),0.86,IF(AND(A772="Brazil",AK772=2035),0.93,IF(AND(A772="Brazil",AK772=2050),0.89,""))))))))))))))))))</f>
        <v>*0.89</v>
      </c>
      <c r="AM772" s="43" t="str">
        <f t="shared" si="109"/>
        <v>REZoning_Sol-Win</v>
      </c>
      <c r="AP772" t="s">
        <v>4103</v>
      </c>
      <c r="AQ772" t="s">
        <v>57</v>
      </c>
      <c r="AR772">
        <f t="shared" si="107"/>
        <v>2100</v>
      </c>
      <c r="AS772" t="s">
        <v>937</v>
      </c>
      <c r="AT772" t="s">
        <v>58</v>
      </c>
    </row>
    <row r="773" ht="29" spans="1:46">
      <c r="A773" s="31" t="s">
        <v>83</v>
      </c>
      <c r="C773" t="s">
        <v>4104</v>
      </c>
      <c r="D773" s="5" t="s">
        <v>57</v>
      </c>
      <c r="E773">
        <v>2035</v>
      </c>
      <c r="F773" s="6" t="str">
        <f t="shared" si="110"/>
        <v>*0.95</v>
      </c>
      <c r="H773" t="s">
        <v>4104</v>
      </c>
      <c r="I773" s="5" t="s">
        <v>57</v>
      </c>
      <c r="J773">
        <v>2050</v>
      </c>
      <c r="K773" s="38" t="str">
        <f t="shared" si="111"/>
        <v>*0.92</v>
      </c>
      <c r="P773" s="32" t="s">
        <v>4104</v>
      </c>
      <c r="Q773" s="42" t="s">
        <v>57</v>
      </c>
      <c r="R773" s="32">
        <v>2035</v>
      </c>
      <c r="S773" s="43" t="str">
        <f t="shared" si="112"/>
        <v>*0.95</v>
      </c>
      <c r="U773" s="32" t="s">
        <v>4104</v>
      </c>
      <c r="V773" s="42" t="s">
        <v>57</v>
      </c>
      <c r="W773" s="32">
        <v>2050</v>
      </c>
      <c r="X773" s="43" t="str">
        <f t="shared" si="113"/>
        <v>*0.92</v>
      </c>
      <c r="AC773" s="33" t="s">
        <v>4104</v>
      </c>
      <c r="AD773" s="44" t="s">
        <v>57</v>
      </c>
      <c r="AE773" s="33">
        <v>2035</v>
      </c>
      <c r="AF773" s="45" t="str">
        <f t="shared" si="114"/>
        <v>*0.93</v>
      </c>
      <c r="AG773" s="43" t="str">
        <f t="shared" si="108"/>
        <v>REZoning_Sol-Win</v>
      </c>
      <c r="AI773" s="33" t="s">
        <v>4104</v>
      </c>
      <c r="AJ773" s="44" t="s">
        <v>57</v>
      </c>
      <c r="AK773" s="33">
        <v>2050</v>
      </c>
      <c r="AL773" s="45" t="str">
        <f t="shared" si="115"/>
        <v>*0.89</v>
      </c>
      <c r="AM773" s="43" t="str">
        <f t="shared" si="109"/>
        <v>REZoning_Sol-Win</v>
      </c>
      <c r="AP773" t="s">
        <v>4104</v>
      </c>
      <c r="AQ773" t="s">
        <v>57</v>
      </c>
      <c r="AR773">
        <f t="shared" si="107"/>
        <v>2100</v>
      </c>
      <c r="AS773" t="s">
        <v>937</v>
      </c>
      <c r="AT773" t="s">
        <v>58</v>
      </c>
    </row>
    <row r="774" ht="29" spans="1:46">
      <c r="A774" s="31" t="s">
        <v>83</v>
      </c>
      <c r="C774" t="s">
        <v>4105</v>
      </c>
      <c r="D774" s="5" t="s">
        <v>57</v>
      </c>
      <c r="E774">
        <v>2035</v>
      </c>
      <c r="F774" s="6" t="str">
        <f t="shared" si="110"/>
        <v>*0.95</v>
      </c>
      <c r="H774" t="s">
        <v>4105</v>
      </c>
      <c r="I774" s="5" t="s">
        <v>57</v>
      </c>
      <c r="J774">
        <v>2050</v>
      </c>
      <c r="K774" s="38" t="str">
        <f t="shared" si="111"/>
        <v>*0.92</v>
      </c>
      <c r="P774" s="32" t="s">
        <v>4105</v>
      </c>
      <c r="Q774" s="42" t="s">
        <v>57</v>
      </c>
      <c r="R774" s="32">
        <v>2035</v>
      </c>
      <c r="S774" s="43" t="str">
        <f t="shared" si="112"/>
        <v>*0.95</v>
      </c>
      <c r="U774" s="32" t="s">
        <v>4105</v>
      </c>
      <c r="V774" s="42" t="s">
        <v>57</v>
      </c>
      <c r="W774" s="32">
        <v>2050</v>
      </c>
      <c r="X774" s="43" t="str">
        <f t="shared" si="113"/>
        <v>*0.92</v>
      </c>
      <c r="AC774" s="33" t="s">
        <v>4105</v>
      </c>
      <c r="AD774" s="44" t="s">
        <v>57</v>
      </c>
      <c r="AE774" s="33">
        <v>2035</v>
      </c>
      <c r="AF774" s="45" t="str">
        <f t="shared" si="114"/>
        <v>*0.93</v>
      </c>
      <c r="AG774" s="43" t="str">
        <f t="shared" si="108"/>
        <v>REZoning_Sol-Win</v>
      </c>
      <c r="AI774" s="33" t="s">
        <v>4105</v>
      </c>
      <c r="AJ774" s="44" t="s">
        <v>57</v>
      </c>
      <c r="AK774" s="33">
        <v>2050</v>
      </c>
      <c r="AL774" s="45" t="str">
        <f t="shared" si="115"/>
        <v>*0.89</v>
      </c>
      <c r="AM774" s="43" t="str">
        <f t="shared" si="109"/>
        <v>REZoning_Sol-Win</v>
      </c>
      <c r="AP774" t="s">
        <v>4105</v>
      </c>
      <c r="AQ774" t="s">
        <v>57</v>
      </c>
      <c r="AR774">
        <f t="shared" ref="AR774:AR837" si="116">AR773</f>
        <v>2100</v>
      </c>
      <c r="AS774" t="s">
        <v>937</v>
      </c>
      <c r="AT774" t="s">
        <v>58</v>
      </c>
    </row>
    <row r="775" ht="29" spans="1:46">
      <c r="A775" s="31" t="s">
        <v>83</v>
      </c>
      <c r="C775" t="s">
        <v>4106</v>
      </c>
      <c r="D775" s="5" t="s">
        <v>57</v>
      </c>
      <c r="E775">
        <v>2035</v>
      </c>
      <c r="F775" s="6" t="str">
        <f t="shared" si="110"/>
        <v>*0.95</v>
      </c>
      <c r="H775" t="s">
        <v>4106</v>
      </c>
      <c r="I775" s="5" t="s">
        <v>57</v>
      </c>
      <c r="J775">
        <v>2050</v>
      </c>
      <c r="K775" s="38" t="str">
        <f t="shared" si="111"/>
        <v>*0.92</v>
      </c>
      <c r="P775" s="32" t="s">
        <v>4106</v>
      </c>
      <c r="Q775" s="42" t="s">
        <v>57</v>
      </c>
      <c r="R775" s="32">
        <v>2035</v>
      </c>
      <c r="S775" s="43" t="str">
        <f t="shared" si="112"/>
        <v>*0.95</v>
      </c>
      <c r="U775" s="32" t="s">
        <v>4106</v>
      </c>
      <c r="V775" s="42" t="s">
        <v>57</v>
      </c>
      <c r="W775" s="32">
        <v>2050</v>
      </c>
      <c r="X775" s="43" t="str">
        <f t="shared" si="113"/>
        <v>*0.92</v>
      </c>
      <c r="AC775" s="33" t="s">
        <v>4106</v>
      </c>
      <c r="AD775" s="44" t="s">
        <v>57</v>
      </c>
      <c r="AE775" s="33">
        <v>2035</v>
      </c>
      <c r="AF775" s="45" t="str">
        <f t="shared" si="114"/>
        <v>*0.93</v>
      </c>
      <c r="AG775" s="43" t="str">
        <f t="shared" si="108"/>
        <v>REZoning_Sol-Win</v>
      </c>
      <c r="AI775" s="33" t="s">
        <v>4106</v>
      </c>
      <c r="AJ775" s="44" t="s">
        <v>57</v>
      </c>
      <c r="AK775" s="33">
        <v>2050</v>
      </c>
      <c r="AL775" s="45" t="str">
        <f t="shared" si="115"/>
        <v>*0.89</v>
      </c>
      <c r="AM775" s="43" t="str">
        <f t="shared" si="109"/>
        <v>REZoning_Sol-Win</v>
      </c>
      <c r="AP775" t="s">
        <v>4106</v>
      </c>
      <c r="AQ775" t="s">
        <v>57</v>
      </c>
      <c r="AR775">
        <f t="shared" si="116"/>
        <v>2100</v>
      </c>
      <c r="AS775" t="s">
        <v>937</v>
      </c>
      <c r="AT775" t="s">
        <v>58</v>
      </c>
    </row>
    <row r="776" ht="29" spans="1:46">
      <c r="A776" s="31" t="s">
        <v>83</v>
      </c>
      <c r="C776" t="s">
        <v>4107</v>
      </c>
      <c r="D776" s="5" t="s">
        <v>57</v>
      </c>
      <c r="E776">
        <v>2035</v>
      </c>
      <c r="F776" s="6" t="str">
        <f t="shared" si="110"/>
        <v>*0.95</v>
      </c>
      <c r="H776" t="s">
        <v>4107</v>
      </c>
      <c r="I776" s="5" t="s">
        <v>57</v>
      </c>
      <c r="J776">
        <v>2050</v>
      </c>
      <c r="K776" s="38" t="str">
        <f t="shared" si="111"/>
        <v>*0.92</v>
      </c>
      <c r="P776" s="32" t="s">
        <v>4107</v>
      </c>
      <c r="Q776" s="42" t="s">
        <v>57</v>
      </c>
      <c r="R776" s="32">
        <v>2035</v>
      </c>
      <c r="S776" s="43" t="str">
        <f t="shared" si="112"/>
        <v>*0.95</v>
      </c>
      <c r="U776" s="32" t="s">
        <v>4107</v>
      </c>
      <c r="V776" s="42" t="s">
        <v>57</v>
      </c>
      <c r="W776" s="32">
        <v>2050</v>
      </c>
      <c r="X776" s="43" t="str">
        <f t="shared" si="113"/>
        <v>*0.92</v>
      </c>
      <c r="AC776" s="33" t="s">
        <v>4107</v>
      </c>
      <c r="AD776" s="44" t="s">
        <v>57</v>
      </c>
      <c r="AE776" s="33">
        <v>2035</v>
      </c>
      <c r="AF776" s="45" t="str">
        <f t="shared" si="114"/>
        <v>*0.93</v>
      </c>
      <c r="AG776" s="43" t="str">
        <f t="shared" si="108"/>
        <v>REZoning_Sol-Win</v>
      </c>
      <c r="AI776" s="33" t="s">
        <v>4107</v>
      </c>
      <c r="AJ776" s="44" t="s">
        <v>57</v>
      </c>
      <c r="AK776" s="33">
        <v>2050</v>
      </c>
      <c r="AL776" s="45" t="str">
        <f t="shared" si="115"/>
        <v>*0.89</v>
      </c>
      <c r="AM776" s="43" t="str">
        <f t="shared" si="109"/>
        <v>REZoning_Sol-Win</v>
      </c>
      <c r="AP776" t="s">
        <v>4107</v>
      </c>
      <c r="AQ776" t="s">
        <v>57</v>
      </c>
      <c r="AR776">
        <f t="shared" si="116"/>
        <v>2100</v>
      </c>
      <c r="AS776" t="s">
        <v>937</v>
      </c>
      <c r="AT776" t="s">
        <v>58</v>
      </c>
    </row>
    <row r="777" ht="29" spans="1:46">
      <c r="A777" s="31" t="s">
        <v>83</v>
      </c>
      <c r="C777" t="s">
        <v>4108</v>
      </c>
      <c r="D777" s="5" t="s">
        <v>57</v>
      </c>
      <c r="E777">
        <v>2035</v>
      </c>
      <c r="F777" s="6" t="str">
        <f t="shared" si="110"/>
        <v>*0.95</v>
      </c>
      <c r="H777" t="s">
        <v>4108</v>
      </c>
      <c r="I777" s="5" t="s">
        <v>57</v>
      </c>
      <c r="J777">
        <v>2050</v>
      </c>
      <c r="K777" s="38" t="str">
        <f t="shared" si="111"/>
        <v>*0.92</v>
      </c>
      <c r="P777" s="32" t="s">
        <v>4108</v>
      </c>
      <c r="Q777" s="42" t="s">
        <v>57</v>
      </c>
      <c r="R777" s="32">
        <v>2035</v>
      </c>
      <c r="S777" s="43" t="str">
        <f t="shared" si="112"/>
        <v>*0.95</v>
      </c>
      <c r="U777" s="32" t="s">
        <v>4108</v>
      </c>
      <c r="V777" s="42" t="s">
        <v>57</v>
      </c>
      <c r="W777" s="32">
        <v>2050</v>
      </c>
      <c r="X777" s="43" t="str">
        <f t="shared" si="113"/>
        <v>*0.92</v>
      </c>
      <c r="AC777" s="33" t="s">
        <v>4108</v>
      </c>
      <c r="AD777" s="44" t="s">
        <v>57</v>
      </c>
      <c r="AE777" s="33">
        <v>2035</v>
      </c>
      <c r="AF777" s="45" t="str">
        <f t="shared" si="114"/>
        <v>*0.93</v>
      </c>
      <c r="AG777" s="43" t="str">
        <f t="shared" ref="AG777:AG840" si="117">AG776</f>
        <v>REZoning_Sol-Win</v>
      </c>
      <c r="AI777" s="33" t="s">
        <v>4108</v>
      </c>
      <c r="AJ777" s="44" t="s">
        <v>57</v>
      </c>
      <c r="AK777" s="33">
        <v>2050</v>
      </c>
      <c r="AL777" s="45" t="str">
        <f t="shared" si="115"/>
        <v>*0.89</v>
      </c>
      <c r="AM777" s="43" t="str">
        <f t="shared" ref="AM777:AM840" si="118">AM776</f>
        <v>REZoning_Sol-Win</v>
      </c>
      <c r="AP777" t="s">
        <v>4108</v>
      </c>
      <c r="AQ777" t="s">
        <v>57</v>
      </c>
      <c r="AR777">
        <f t="shared" si="116"/>
        <v>2100</v>
      </c>
      <c r="AS777" t="s">
        <v>937</v>
      </c>
      <c r="AT777" t="s">
        <v>58</v>
      </c>
    </row>
    <row r="778" ht="29" spans="1:46">
      <c r="A778" s="31" t="s">
        <v>83</v>
      </c>
      <c r="C778" t="s">
        <v>4109</v>
      </c>
      <c r="D778" s="5" t="s">
        <v>57</v>
      </c>
      <c r="E778">
        <v>2035</v>
      </c>
      <c r="F778" s="6" t="str">
        <f t="shared" si="110"/>
        <v>*0.95</v>
      </c>
      <c r="H778" t="s">
        <v>4109</v>
      </c>
      <c r="I778" s="5" t="s">
        <v>57</v>
      </c>
      <c r="J778">
        <v>2050</v>
      </c>
      <c r="K778" s="38" t="str">
        <f t="shared" si="111"/>
        <v>*0.92</v>
      </c>
      <c r="P778" s="32" t="s">
        <v>4109</v>
      </c>
      <c r="Q778" s="42" t="s">
        <v>57</v>
      </c>
      <c r="R778" s="32">
        <v>2035</v>
      </c>
      <c r="S778" s="43" t="str">
        <f t="shared" si="112"/>
        <v>*0.95</v>
      </c>
      <c r="U778" s="32" t="s">
        <v>4109</v>
      </c>
      <c r="V778" s="42" t="s">
        <v>57</v>
      </c>
      <c r="W778" s="32">
        <v>2050</v>
      </c>
      <c r="X778" s="43" t="str">
        <f t="shared" si="113"/>
        <v>*0.92</v>
      </c>
      <c r="AC778" s="33" t="s">
        <v>4109</v>
      </c>
      <c r="AD778" s="44" t="s">
        <v>57</v>
      </c>
      <c r="AE778" s="33">
        <v>2035</v>
      </c>
      <c r="AF778" s="45" t="str">
        <f t="shared" si="114"/>
        <v>*0.93</v>
      </c>
      <c r="AG778" s="43" t="str">
        <f t="shared" si="117"/>
        <v>REZoning_Sol-Win</v>
      </c>
      <c r="AI778" s="33" t="s">
        <v>4109</v>
      </c>
      <c r="AJ778" s="44" t="s">
        <v>57</v>
      </c>
      <c r="AK778" s="33">
        <v>2050</v>
      </c>
      <c r="AL778" s="45" t="str">
        <f t="shared" si="115"/>
        <v>*0.89</v>
      </c>
      <c r="AM778" s="43" t="str">
        <f t="shared" si="118"/>
        <v>REZoning_Sol-Win</v>
      </c>
      <c r="AP778" t="s">
        <v>4109</v>
      </c>
      <c r="AQ778" t="s">
        <v>57</v>
      </c>
      <c r="AR778">
        <f t="shared" si="116"/>
        <v>2100</v>
      </c>
      <c r="AS778" t="s">
        <v>937</v>
      </c>
      <c r="AT778" t="s">
        <v>58</v>
      </c>
    </row>
    <row r="779" ht="29" spans="1:46">
      <c r="A779" s="31" t="s">
        <v>83</v>
      </c>
      <c r="C779" t="s">
        <v>4110</v>
      </c>
      <c r="D779" s="5" t="s">
        <v>57</v>
      </c>
      <c r="E779">
        <v>2035</v>
      </c>
      <c r="F779" s="6" t="str">
        <f t="shared" si="110"/>
        <v>*0.95</v>
      </c>
      <c r="H779" t="s">
        <v>4110</v>
      </c>
      <c r="I779" s="5" t="s">
        <v>57</v>
      </c>
      <c r="J779">
        <v>2050</v>
      </c>
      <c r="K779" s="38" t="str">
        <f t="shared" si="111"/>
        <v>*0.92</v>
      </c>
      <c r="P779" s="32" t="s">
        <v>4110</v>
      </c>
      <c r="Q779" s="42" t="s">
        <v>57</v>
      </c>
      <c r="R779" s="32">
        <v>2035</v>
      </c>
      <c r="S779" s="43" t="str">
        <f t="shared" si="112"/>
        <v>*0.95</v>
      </c>
      <c r="U779" s="32" t="s">
        <v>4110</v>
      </c>
      <c r="V779" s="42" t="s">
        <v>57</v>
      </c>
      <c r="W779" s="32">
        <v>2050</v>
      </c>
      <c r="X779" s="43" t="str">
        <f t="shared" si="113"/>
        <v>*0.92</v>
      </c>
      <c r="AC779" s="33" t="s">
        <v>4110</v>
      </c>
      <c r="AD779" s="44" t="s">
        <v>57</v>
      </c>
      <c r="AE779" s="33">
        <v>2035</v>
      </c>
      <c r="AF779" s="45" t="str">
        <f t="shared" si="114"/>
        <v>*0.93</v>
      </c>
      <c r="AG779" s="43" t="str">
        <f t="shared" si="117"/>
        <v>REZoning_Sol-Win</v>
      </c>
      <c r="AI779" s="33" t="s">
        <v>4110</v>
      </c>
      <c r="AJ779" s="44" t="s">
        <v>57</v>
      </c>
      <c r="AK779" s="33">
        <v>2050</v>
      </c>
      <c r="AL779" s="45" t="str">
        <f t="shared" si="115"/>
        <v>*0.89</v>
      </c>
      <c r="AM779" s="43" t="str">
        <f t="shared" si="118"/>
        <v>REZoning_Sol-Win</v>
      </c>
      <c r="AP779" t="s">
        <v>4110</v>
      </c>
      <c r="AQ779" t="s">
        <v>57</v>
      </c>
      <c r="AR779">
        <f t="shared" si="116"/>
        <v>2100</v>
      </c>
      <c r="AS779" t="s">
        <v>937</v>
      </c>
      <c r="AT779" t="s">
        <v>58</v>
      </c>
    </row>
    <row r="780" ht="29" spans="1:46">
      <c r="A780" s="31" t="s">
        <v>83</v>
      </c>
      <c r="C780" t="s">
        <v>4111</v>
      </c>
      <c r="D780" s="5" t="s">
        <v>57</v>
      </c>
      <c r="E780">
        <v>2035</v>
      </c>
      <c r="F780" s="6" t="str">
        <f t="shared" si="110"/>
        <v>*0.95</v>
      </c>
      <c r="H780" t="s">
        <v>4111</v>
      </c>
      <c r="I780" s="5" t="s">
        <v>57</v>
      </c>
      <c r="J780">
        <v>2050</v>
      </c>
      <c r="K780" s="38" t="str">
        <f t="shared" si="111"/>
        <v>*0.92</v>
      </c>
      <c r="P780" s="32" t="s">
        <v>4111</v>
      </c>
      <c r="Q780" s="42" t="s">
        <v>57</v>
      </c>
      <c r="R780" s="32">
        <v>2035</v>
      </c>
      <c r="S780" s="43" t="str">
        <f t="shared" si="112"/>
        <v>*0.95</v>
      </c>
      <c r="U780" s="32" t="s">
        <v>4111</v>
      </c>
      <c r="V780" s="42" t="s">
        <v>57</v>
      </c>
      <c r="W780" s="32">
        <v>2050</v>
      </c>
      <c r="X780" s="43" t="str">
        <f t="shared" si="113"/>
        <v>*0.92</v>
      </c>
      <c r="AC780" s="33" t="s">
        <v>4111</v>
      </c>
      <c r="AD780" s="44" t="s">
        <v>57</v>
      </c>
      <c r="AE780" s="33">
        <v>2035</v>
      </c>
      <c r="AF780" s="45" t="str">
        <f t="shared" si="114"/>
        <v>*0.93</v>
      </c>
      <c r="AG780" s="43" t="str">
        <f t="shared" si="117"/>
        <v>REZoning_Sol-Win</v>
      </c>
      <c r="AI780" s="33" t="s">
        <v>4111</v>
      </c>
      <c r="AJ780" s="44" t="s">
        <v>57</v>
      </c>
      <c r="AK780" s="33">
        <v>2050</v>
      </c>
      <c r="AL780" s="45" t="str">
        <f t="shared" si="115"/>
        <v>*0.89</v>
      </c>
      <c r="AM780" s="43" t="str">
        <f t="shared" si="118"/>
        <v>REZoning_Sol-Win</v>
      </c>
      <c r="AP780" t="s">
        <v>4111</v>
      </c>
      <c r="AQ780" t="s">
        <v>57</v>
      </c>
      <c r="AR780">
        <f t="shared" si="116"/>
        <v>2100</v>
      </c>
      <c r="AS780" t="s">
        <v>937</v>
      </c>
      <c r="AT780" t="s">
        <v>58</v>
      </c>
    </row>
    <row r="781" ht="29" spans="1:46">
      <c r="A781" s="31" t="s">
        <v>83</v>
      </c>
      <c r="C781" t="s">
        <v>4112</v>
      </c>
      <c r="D781" s="5" t="s">
        <v>57</v>
      </c>
      <c r="E781">
        <v>2035</v>
      </c>
      <c r="F781" s="6" t="str">
        <f t="shared" si="110"/>
        <v>*0.95</v>
      </c>
      <c r="H781" t="s">
        <v>4112</v>
      </c>
      <c r="I781" s="5" t="s">
        <v>57</v>
      </c>
      <c r="J781">
        <v>2050</v>
      </c>
      <c r="K781" s="38" t="str">
        <f t="shared" si="111"/>
        <v>*0.92</v>
      </c>
      <c r="P781" s="32" t="s">
        <v>4112</v>
      </c>
      <c r="Q781" s="42" t="s">
        <v>57</v>
      </c>
      <c r="R781" s="32">
        <v>2035</v>
      </c>
      <c r="S781" s="43" t="str">
        <f t="shared" si="112"/>
        <v>*0.95</v>
      </c>
      <c r="U781" s="32" t="s">
        <v>4112</v>
      </c>
      <c r="V781" s="42" t="s">
        <v>57</v>
      </c>
      <c r="W781" s="32">
        <v>2050</v>
      </c>
      <c r="X781" s="43" t="str">
        <f t="shared" si="113"/>
        <v>*0.92</v>
      </c>
      <c r="AC781" s="33" t="s">
        <v>4112</v>
      </c>
      <c r="AD781" s="44" t="s">
        <v>57</v>
      </c>
      <c r="AE781" s="33">
        <v>2035</v>
      </c>
      <c r="AF781" s="45" t="str">
        <f t="shared" si="114"/>
        <v>*0.93</v>
      </c>
      <c r="AG781" s="43" t="str">
        <f t="shared" si="117"/>
        <v>REZoning_Sol-Win</v>
      </c>
      <c r="AI781" s="33" t="s">
        <v>4112</v>
      </c>
      <c r="AJ781" s="44" t="s">
        <v>57</v>
      </c>
      <c r="AK781" s="33">
        <v>2050</v>
      </c>
      <c r="AL781" s="45" t="str">
        <f t="shared" si="115"/>
        <v>*0.89</v>
      </c>
      <c r="AM781" s="43" t="str">
        <f t="shared" si="118"/>
        <v>REZoning_Sol-Win</v>
      </c>
      <c r="AP781" t="s">
        <v>4112</v>
      </c>
      <c r="AQ781" t="s">
        <v>57</v>
      </c>
      <c r="AR781">
        <f t="shared" si="116"/>
        <v>2100</v>
      </c>
      <c r="AS781" t="s">
        <v>937</v>
      </c>
      <c r="AT781" t="s">
        <v>58</v>
      </c>
    </row>
    <row r="782" ht="29" spans="1:46">
      <c r="A782" s="31" t="s">
        <v>83</v>
      </c>
      <c r="C782" t="s">
        <v>4113</v>
      </c>
      <c r="D782" s="5" t="s">
        <v>57</v>
      </c>
      <c r="E782">
        <v>2035</v>
      </c>
      <c r="F782" s="6" t="str">
        <f t="shared" si="110"/>
        <v>*0.95</v>
      </c>
      <c r="H782" t="s">
        <v>4113</v>
      </c>
      <c r="I782" s="5" t="s">
        <v>57</v>
      </c>
      <c r="J782">
        <v>2050</v>
      </c>
      <c r="K782" s="38" t="str">
        <f t="shared" si="111"/>
        <v>*0.92</v>
      </c>
      <c r="P782" s="32" t="s">
        <v>4113</v>
      </c>
      <c r="Q782" s="42" t="s">
        <v>57</v>
      </c>
      <c r="R782" s="32">
        <v>2035</v>
      </c>
      <c r="S782" s="43" t="str">
        <f t="shared" si="112"/>
        <v>*0.95</v>
      </c>
      <c r="U782" s="32" t="s">
        <v>4113</v>
      </c>
      <c r="V782" s="42" t="s">
        <v>57</v>
      </c>
      <c r="W782" s="32">
        <v>2050</v>
      </c>
      <c r="X782" s="43" t="str">
        <f t="shared" si="113"/>
        <v>*0.92</v>
      </c>
      <c r="AC782" s="33" t="s">
        <v>4113</v>
      </c>
      <c r="AD782" s="44" t="s">
        <v>57</v>
      </c>
      <c r="AE782" s="33">
        <v>2035</v>
      </c>
      <c r="AF782" s="45" t="str">
        <f t="shared" si="114"/>
        <v>*0.93</v>
      </c>
      <c r="AG782" s="43" t="str">
        <f t="shared" si="117"/>
        <v>REZoning_Sol-Win</v>
      </c>
      <c r="AI782" s="33" t="s">
        <v>4113</v>
      </c>
      <c r="AJ782" s="44" t="s">
        <v>57</v>
      </c>
      <c r="AK782" s="33">
        <v>2050</v>
      </c>
      <c r="AL782" s="45" t="str">
        <f t="shared" si="115"/>
        <v>*0.89</v>
      </c>
      <c r="AM782" s="43" t="str">
        <f t="shared" si="118"/>
        <v>REZoning_Sol-Win</v>
      </c>
      <c r="AP782" t="s">
        <v>4113</v>
      </c>
      <c r="AQ782" t="s">
        <v>57</v>
      </c>
      <c r="AR782">
        <f t="shared" si="116"/>
        <v>2100</v>
      </c>
      <c r="AS782" t="s">
        <v>937</v>
      </c>
      <c r="AT782" t="s">
        <v>58</v>
      </c>
    </row>
    <row r="783" ht="29" spans="1:46">
      <c r="A783" s="31" t="s">
        <v>83</v>
      </c>
      <c r="C783" t="s">
        <v>4114</v>
      </c>
      <c r="D783" s="5" t="s">
        <v>57</v>
      </c>
      <c r="E783">
        <v>2035</v>
      </c>
      <c r="F783" s="6" t="str">
        <f t="shared" si="110"/>
        <v>*0.95</v>
      </c>
      <c r="H783" t="s">
        <v>4114</v>
      </c>
      <c r="I783" s="5" t="s">
        <v>57</v>
      </c>
      <c r="J783">
        <v>2050</v>
      </c>
      <c r="K783" s="38" t="str">
        <f t="shared" si="111"/>
        <v>*0.92</v>
      </c>
      <c r="P783" s="32" t="s">
        <v>4114</v>
      </c>
      <c r="Q783" s="42" t="s">
        <v>57</v>
      </c>
      <c r="R783" s="32">
        <v>2035</v>
      </c>
      <c r="S783" s="43" t="str">
        <f t="shared" si="112"/>
        <v>*0.95</v>
      </c>
      <c r="U783" s="32" t="s">
        <v>4114</v>
      </c>
      <c r="V783" s="42" t="s">
        <v>57</v>
      </c>
      <c r="W783" s="32">
        <v>2050</v>
      </c>
      <c r="X783" s="43" t="str">
        <f t="shared" si="113"/>
        <v>*0.92</v>
      </c>
      <c r="AC783" s="33" t="s">
        <v>4114</v>
      </c>
      <c r="AD783" s="44" t="s">
        <v>57</v>
      </c>
      <c r="AE783" s="33">
        <v>2035</v>
      </c>
      <c r="AF783" s="45" t="str">
        <f t="shared" si="114"/>
        <v>*0.93</v>
      </c>
      <c r="AG783" s="43" t="str">
        <f t="shared" si="117"/>
        <v>REZoning_Sol-Win</v>
      </c>
      <c r="AI783" s="33" t="s">
        <v>4114</v>
      </c>
      <c r="AJ783" s="44" t="s">
        <v>57</v>
      </c>
      <c r="AK783" s="33">
        <v>2050</v>
      </c>
      <c r="AL783" s="45" t="str">
        <f t="shared" si="115"/>
        <v>*0.89</v>
      </c>
      <c r="AM783" s="43" t="str">
        <f t="shared" si="118"/>
        <v>REZoning_Sol-Win</v>
      </c>
      <c r="AP783" t="s">
        <v>4114</v>
      </c>
      <c r="AQ783" t="s">
        <v>57</v>
      </c>
      <c r="AR783">
        <f t="shared" si="116"/>
        <v>2100</v>
      </c>
      <c r="AS783" t="s">
        <v>937</v>
      </c>
      <c r="AT783" t="s">
        <v>58</v>
      </c>
    </row>
    <row r="784" ht="29" spans="1:46">
      <c r="A784" s="31" t="s">
        <v>83</v>
      </c>
      <c r="C784" t="s">
        <v>4115</v>
      </c>
      <c r="D784" s="5" t="s">
        <v>57</v>
      </c>
      <c r="E784">
        <v>2035</v>
      </c>
      <c r="F784" s="6" t="str">
        <f t="shared" si="110"/>
        <v>*0.95</v>
      </c>
      <c r="H784" t="s">
        <v>4115</v>
      </c>
      <c r="I784" s="5" t="s">
        <v>57</v>
      </c>
      <c r="J784">
        <v>2050</v>
      </c>
      <c r="K784" s="38" t="str">
        <f t="shared" si="111"/>
        <v>*0.92</v>
      </c>
      <c r="P784" s="32" t="s">
        <v>4115</v>
      </c>
      <c r="Q784" s="42" t="s">
        <v>57</v>
      </c>
      <c r="R784" s="32">
        <v>2035</v>
      </c>
      <c r="S784" s="43" t="str">
        <f t="shared" si="112"/>
        <v>*0.95</v>
      </c>
      <c r="U784" s="32" t="s">
        <v>4115</v>
      </c>
      <c r="V784" s="42" t="s">
        <v>57</v>
      </c>
      <c r="W784" s="32">
        <v>2050</v>
      </c>
      <c r="X784" s="43" t="str">
        <f t="shared" si="113"/>
        <v>*0.92</v>
      </c>
      <c r="AC784" s="33" t="s">
        <v>4115</v>
      </c>
      <c r="AD784" s="44" t="s">
        <v>57</v>
      </c>
      <c r="AE784" s="33">
        <v>2035</v>
      </c>
      <c r="AF784" s="45" t="str">
        <f t="shared" si="114"/>
        <v>*0.93</v>
      </c>
      <c r="AG784" s="43" t="str">
        <f t="shared" si="117"/>
        <v>REZoning_Sol-Win</v>
      </c>
      <c r="AI784" s="33" t="s">
        <v>4115</v>
      </c>
      <c r="AJ784" s="44" t="s">
        <v>57</v>
      </c>
      <c r="AK784" s="33">
        <v>2050</v>
      </c>
      <c r="AL784" s="45" t="str">
        <f t="shared" si="115"/>
        <v>*0.89</v>
      </c>
      <c r="AM784" s="43" t="str">
        <f t="shared" si="118"/>
        <v>REZoning_Sol-Win</v>
      </c>
      <c r="AP784" t="s">
        <v>4115</v>
      </c>
      <c r="AQ784" t="s">
        <v>57</v>
      </c>
      <c r="AR784">
        <f t="shared" si="116"/>
        <v>2100</v>
      </c>
      <c r="AS784" t="s">
        <v>937</v>
      </c>
      <c r="AT784" t="s">
        <v>58</v>
      </c>
    </row>
    <row r="785" ht="29" spans="1:46">
      <c r="A785" s="31" t="s">
        <v>83</v>
      </c>
      <c r="C785" t="s">
        <v>4116</v>
      </c>
      <c r="D785" s="5" t="s">
        <v>57</v>
      </c>
      <c r="E785">
        <v>2035</v>
      </c>
      <c r="F785" s="6" t="str">
        <f t="shared" si="110"/>
        <v>*0.95</v>
      </c>
      <c r="H785" t="s">
        <v>4116</v>
      </c>
      <c r="I785" s="5" t="s">
        <v>57</v>
      </c>
      <c r="J785">
        <v>2050</v>
      </c>
      <c r="K785" s="38" t="str">
        <f t="shared" si="111"/>
        <v>*0.92</v>
      </c>
      <c r="P785" s="32" t="s">
        <v>4116</v>
      </c>
      <c r="Q785" s="42" t="s">
        <v>57</v>
      </c>
      <c r="R785" s="32">
        <v>2035</v>
      </c>
      <c r="S785" s="43" t="str">
        <f t="shared" si="112"/>
        <v>*0.95</v>
      </c>
      <c r="U785" s="32" t="s">
        <v>4116</v>
      </c>
      <c r="V785" s="42" t="s">
        <v>57</v>
      </c>
      <c r="W785" s="32">
        <v>2050</v>
      </c>
      <c r="X785" s="43" t="str">
        <f t="shared" si="113"/>
        <v>*0.92</v>
      </c>
      <c r="AC785" s="33" t="s">
        <v>4116</v>
      </c>
      <c r="AD785" s="44" t="s">
        <v>57</v>
      </c>
      <c r="AE785" s="33">
        <v>2035</v>
      </c>
      <c r="AF785" s="45" t="str">
        <f t="shared" si="114"/>
        <v>*0.93</v>
      </c>
      <c r="AG785" s="43" t="str">
        <f t="shared" si="117"/>
        <v>REZoning_Sol-Win</v>
      </c>
      <c r="AI785" s="33" t="s">
        <v>4116</v>
      </c>
      <c r="AJ785" s="44" t="s">
        <v>57</v>
      </c>
      <c r="AK785" s="33">
        <v>2050</v>
      </c>
      <c r="AL785" s="45" t="str">
        <f t="shared" si="115"/>
        <v>*0.89</v>
      </c>
      <c r="AM785" s="43" t="str">
        <f t="shared" si="118"/>
        <v>REZoning_Sol-Win</v>
      </c>
      <c r="AP785" t="s">
        <v>4116</v>
      </c>
      <c r="AQ785" t="s">
        <v>57</v>
      </c>
      <c r="AR785">
        <f t="shared" si="116"/>
        <v>2100</v>
      </c>
      <c r="AS785" t="s">
        <v>937</v>
      </c>
      <c r="AT785" t="s">
        <v>58</v>
      </c>
    </row>
    <row r="786" ht="29" spans="1:46">
      <c r="A786" s="31" t="s">
        <v>83</v>
      </c>
      <c r="C786" t="s">
        <v>4117</v>
      </c>
      <c r="D786" s="5" t="s">
        <v>57</v>
      </c>
      <c r="E786">
        <v>2035</v>
      </c>
      <c r="F786" s="6" t="str">
        <f t="shared" si="110"/>
        <v>*0.95</v>
      </c>
      <c r="H786" t="s">
        <v>4117</v>
      </c>
      <c r="I786" s="5" t="s">
        <v>57</v>
      </c>
      <c r="J786">
        <v>2050</v>
      </c>
      <c r="K786" s="38" t="str">
        <f t="shared" si="111"/>
        <v>*0.92</v>
      </c>
      <c r="P786" s="32" t="s">
        <v>4117</v>
      </c>
      <c r="Q786" s="42" t="s">
        <v>57</v>
      </c>
      <c r="R786" s="32">
        <v>2035</v>
      </c>
      <c r="S786" s="43" t="str">
        <f t="shared" si="112"/>
        <v>*0.95</v>
      </c>
      <c r="U786" s="32" t="s">
        <v>4117</v>
      </c>
      <c r="V786" s="42" t="s">
        <v>57</v>
      </c>
      <c r="W786" s="32">
        <v>2050</v>
      </c>
      <c r="X786" s="43" t="str">
        <f t="shared" si="113"/>
        <v>*0.92</v>
      </c>
      <c r="AC786" s="33" t="s">
        <v>4117</v>
      </c>
      <c r="AD786" s="44" t="s">
        <v>57</v>
      </c>
      <c r="AE786" s="33">
        <v>2035</v>
      </c>
      <c r="AF786" s="45" t="str">
        <f t="shared" si="114"/>
        <v>*0.93</v>
      </c>
      <c r="AG786" s="43" t="str">
        <f t="shared" si="117"/>
        <v>REZoning_Sol-Win</v>
      </c>
      <c r="AI786" s="33" t="s">
        <v>4117</v>
      </c>
      <c r="AJ786" s="44" t="s">
        <v>57</v>
      </c>
      <c r="AK786" s="33">
        <v>2050</v>
      </c>
      <c r="AL786" s="45" t="str">
        <f t="shared" si="115"/>
        <v>*0.89</v>
      </c>
      <c r="AM786" s="43" t="str">
        <f t="shared" si="118"/>
        <v>REZoning_Sol-Win</v>
      </c>
      <c r="AP786" t="s">
        <v>4117</v>
      </c>
      <c r="AQ786" t="s">
        <v>57</v>
      </c>
      <c r="AR786">
        <f t="shared" si="116"/>
        <v>2100</v>
      </c>
      <c r="AS786" t="s">
        <v>937</v>
      </c>
      <c r="AT786" t="s">
        <v>58</v>
      </c>
    </row>
    <row r="787" ht="29" spans="1:46">
      <c r="A787" s="31" t="s">
        <v>169</v>
      </c>
      <c r="C787" t="s">
        <v>4118</v>
      </c>
      <c r="D787" s="5" t="s">
        <v>57</v>
      </c>
      <c r="E787">
        <v>2035</v>
      </c>
      <c r="F787" s="6" t="str">
        <f t="shared" si="110"/>
        <v>*0.94</v>
      </c>
      <c r="H787" t="s">
        <v>4118</v>
      </c>
      <c r="I787" s="5" t="s">
        <v>57</v>
      </c>
      <c r="J787">
        <v>2050</v>
      </c>
      <c r="K787" s="38" t="str">
        <f t="shared" si="111"/>
        <v>*0.92</v>
      </c>
      <c r="P787" s="32" t="s">
        <v>4118</v>
      </c>
      <c r="Q787" s="42" t="s">
        <v>57</v>
      </c>
      <c r="R787" s="32">
        <v>2035</v>
      </c>
      <c r="S787" s="43" t="str">
        <f t="shared" si="112"/>
        <v>*0.93</v>
      </c>
      <c r="U787" s="32" t="s">
        <v>4118</v>
      </c>
      <c r="V787" s="42" t="s">
        <v>57</v>
      </c>
      <c r="W787" s="32">
        <v>2050</v>
      </c>
      <c r="X787" s="43" t="str">
        <f t="shared" si="113"/>
        <v>*0.92</v>
      </c>
      <c r="AC787" s="33" t="s">
        <v>4118</v>
      </c>
      <c r="AD787" s="44" t="s">
        <v>57</v>
      </c>
      <c r="AE787" s="33">
        <v>2035</v>
      </c>
      <c r="AF787" s="45" t="str">
        <f t="shared" si="114"/>
        <v>*0.91</v>
      </c>
      <c r="AG787" s="43" t="str">
        <f t="shared" si="117"/>
        <v>REZoning_Sol-Win</v>
      </c>
      <c r="AI787" s="33" t="s">
        <v>4118</v>
      </c>
      <c r="AJ787" s="44" t="s">
        <v>57</v>
      </c>
      <c r="AK787" s="33">
        <v>2050</v>
      </c>
      <c r="AL787" s="45" t="str">
        <f t="shared" si="115"/>
        <v>*0.87</v>
      </c>
      <c r="AM787" s="43" t="str">
        <f t="shared" si="118"/>
        <v>REZoning_Sol-Win</v>
      </c>
      <c r="AP787" t="s">
        <v>4118</v>
      </c>
      <c r="AQ787" t="s">
        <v>57</v>
      </c>
      <c r="AR787">
        <f t="shared" si="116"/>
        <v>2100</v>
      </c>
      <c r="AS787" t="s">
        <v>874</v>
      </c>
      <c r="AT787" t="s">
        <v>58</v>
      </c>
    </row>
    <row r="788" ht="29" spans="1:46">
      <c r="A788" s="31" t="s">
        <v>169</v>
      </c>
      <c r="C788" t="s">
        <v>4119</v>
      </c>
      <c r="D788" s="5" t="s">
        <v>57</v>
      </c>
      <c r="E788">
        <v>2035</v>
      </c>
      <c r="F788" s="6" t="str">
        <f t="shared" si="110"/>
        <v>*0.94</v>
      </c>
      <c r="H788" t="s">
        <v>4119</v>
      </c>
      <c r="I788" s="5" t="s">
        <v>57</v>
      </c>
      <c r="J788">
        <v>2050</v>
      </c>
      <c r="K788" s="38" t="str">
        <f t="shared" si="111"/>
        <v>*0.92</v>
      </c>
      <c r="P788" s="32" t="s">
        <v>4119</v>
      </c>
      <c r="Q788" s="42" t="s">
        <v>57</v>
      </c>
      <c r="R788" s="32">
        <v>2035</v>
      </c>
      <c r="S788" s="43" t="str">
        <f t="shared" si="112"/>
        <v>*0.93</v>
      </c>
      <c r="U788" s="32" t="s">
        <v>4119</v>
      </c>
      <c r="V788" s="42" t="s">
        <v>57</v>
      </c>
      <c r="W788" s="32">
        <v>2050</v>
      </c>
      <c r="X788" s="43" t="str">
        <f t="shared" si="113"/>
        <v>*0.92</v>
      </c>
      <c r="AC788" s="33" t="s">
        <v>4119</v>
      </c>
      <c r="AD788" s="44" t="s">
        <v>57</v>
      </c>
      <c r="AE788" s="33">
        <v>2035</v>
      </c>
      <c r="AF788" s="45" t="str">
        <f t="shared" si="114"/>
        <v>*0.91</v>
      </c>
      <c r="AG788" s="43" t="str">
        <f t="shared" si="117"/>
        <v>REZoning_Sol-Win</v>
      </c>
      <c r="AI788" s="33" t="s">
        <v>4119</v>
      </c>
      <c r="AJ788" s="44" t="s">
        <v>57</v>
      </c>
      <c r="AK788" s="33">
        <v>2050</v>
      </c>
      <c r="AL788" s="45" t="str">
        <f t="shared" si="115"/>
        <v>*0.87</v>
      </c>
      <c r="AM788" s="43" t="str">
        <f t="shared" si="118"/>
        <v>REZoning_Sol-Win</v>
      </c>
      <c r="AP788" t="s">
        <v>4119</v>
      </c>
      <c r="AQ788" t="s">
        <v>57</v>
      </c>
      <c r="AR788">
        <f t="shared" si="116"/>
        <v>2100</v>
      </c>
      <c r="AS788" t="s">
        <v>874</v>
      </c>
      <c r="AT788" t="s">
        <v>58</v>
      </c>
    </row>
    <row r="789" ht="29" spans="1:46">
      <c r="A789" s="31" t="s">
        <v>169</v>
      </c>
      <c r="C789" t="s">
        <v>4120</v>
      </c>
      <c r="D789" s="5" t="s">
        <v>57</v>
      </c>
      <c r="E789">
        <v>2035</v>
      </c>
      <c r="F789" s="6" t="str">
        <f t="shared" si="110"/>
        <v>*0.94</v>
      </c>
      <c r="H789" t="s">
        <v>4120</v>
      </c>
      <c r="I789" s="5" t="s">
        <v>57</v>
      </c>
      <c r="J789">
        <v>2050</v>
      </c>
      <c r="K789" s="38" t="str">
        <f t="shared" si="111"/>
        <v>*0.92</v>
      </c>
      <c r="P789" s="32" t="s">
        <v>4120</v>
      </c>
      <c r="Q789" s="42" t="s">
        <v>57</v>
      </c>
      <c r="R789" s="32">
        <v>2035</v>
      </c>
      <c r="S789" s="43" t="str">
        <f t="shared" si="112"/>
        <v>*0.93</v>
      </c>
      <c r="U789" s="32" t="s">
        <v>4120</v>
      </c>
      <c r="V789" s="42" t="s">
        <v>57</v>
      </c>
      <c r="W789" s="32">
        <v>2050</v>
      </c>
      <c r="X789" s="43" t="str">
        <f t="shared" si="113"/>
        <v>*0.92</v>
      </c>
      <c r="AC789" s="33" t="s">
        <v>4120</v>
      </c>
      <c r="AD789" s="44" t="s">
        <v>57</v>
      </c>
      <c r="AE789" s="33">
        <v>2035</v>
      </c>
      <c r="AF789" s="45" t="str">
        <f t="shared" si="114"/>
        <v>*0.91</v>
      </c>
      <c r="AG789" s="43" t="str">
        <f t="shared" si="117"/>
        <v>REZoning_Sol-Win</v>
      </c>
      <c r="AI789" s="33" t="s">
        <v>4120</v>
      </c>
      <c r="AJ789" s="44" t="s">
        <v>57</v>
      </c>
      <c r="AK789" s="33">
        <v>2050</v>
      </c>
      <c r="AL789" s="45" t="str">
        <f t="shared" si="115"/>
        <v>*0.87</v>
      </c>
      <c r="AM789" s="43" t="str">
        <f t="shared" si="118"/>
        <v>REZoning_Sol-Win</v>
      </c>
      <c r="AP789" t="s">
        <v>4120</v>
      </c>
      <c r="AQ789" t="s">
        <v>57</v>
      </c>
      <c r="AR789">
        <f t="shared" si="116"/>
        <v>2100</v>
      </c>
      <c r="AS789" t="s">
        <v>874</v>
      </c>
      <c r="AT789" t="s">
        <v>58</v>
      </c>
    </row>
    <row r="790" ht="29" spans="1:46">
      <c r="A790" s="31" t="s">
        <v>169</v>
      </c>
      <c r="C790" t="s">
        <v>4121</v>
      </c>
      <c r="D790" s="5" t="s">
        <v>57</v>
      </c>
      <c r="E790">
        <v>2035</v>
      </c>
      <c r="F790" s="6" t="str">
        <f t="shared" si="110"/>
        <v>*0.94</v>
      </c>
      <c r="H790" t="s">
        <v>4121</v>
      </c>
      <c r="I790" s="5" t="s">
        <v>57</v>
      </c>
      <c r="J790">
        <v>2050</v>
      </c>
      <c r="K790" s="38" t="str">
        <f t="shared" si="111"/>
        <v>*0.92</v>
      </c>
      <c r="P790" s="32" t="s">
        <v>4121</v>
      </c>
      <c r="Q790" s="42" t="s">
        <v>57</v>
      </c>
      <c r="R790" s="32">
        <v>2035</v>
      </c>
      <c r="S790" s="43" t="str">
        <f t="shared" si="112"/>
        <v>*0.93</v>
      </c>
      <c r="U790" s="32" t="s">
        <v>4121</v>
      </c>
      <c r="V790" s="42" t="s">
        <v>57</v>
      </c>
      <c r="W790" s="32">
        <v>2050</v>
      </c>
      <c r="X790" s="43" t="str">
        <f t="shared" si="113"/>
        <v>*0.92</v>
      </c>
      <c r="AC790" s="33" t="s">
        <v>4121</v>
      </c>
      <c r="AD790" s="44" t="s">
        <v>57</v>
      </c>
      <c r="AE790" s="33">
        <v>2035</v>
      </c>
      <c r="AF790" s="45" t="str">
        <f t="shared" si="114"/>
        <v>*0.91</v>
      </c>
      <c r="AG790" s="43" t="str">
        <f t="shared" si="117"/>
        <v>REZoning_Sol-Win</v>
      </c>
      <c r="AI790" s="33" t="s">
        <v>4121</v>
      </c>
      <c r="AJ790" s="44" t="s">
        <v>57</v>
      </c>
      <c r="AK790" s="33">
        <v>2050</v>
      </c>
      <c r="AL790" s="45" t="str">
        <f t="shared" si="115"/>
        <v>*0.87</v>
      </c>
      <c r="AM790" s="43" t="str">
        <f t="shared" si="118"/>
        <v>REZoning_Sol-Win</v>
      </c>
      <c r="AP790" t="s">
        <v>4121</v>
      </c>
      <c r="AQ790" t="s">
        <v>57</v>
      </c>
      <c r="AR790">
        <f t="shared" si="116"/>
        <v>2100</v>
      </c>
      <c r="AS790" t="s">
        <v>874</v>
      </c>
      <c r="AT790" t="s">
        <v>58</v>
      </c>
    </row>
    <row r="791" ht="29" spans="1:46">
      <c r="A791" s="31" t="s">
        <v>169</v>
      </c>
      <c r="C791" t="s">
        <v>4122</v>
      </c>
      <c r="D791" s="5" t="s">
        <v>57</v>
      </c>
      <c r="E791">
        <v>2035</v>
      </c>
      <c r="F791" s="6" t="str">
        <f t="shared" si="110"/>
        <v>*0.94</v>
      </c>
      <c r="H791" t="s">
        <v>4122</v>
      </c>
      <c r="I791" s="5" t="s">
        <v>57</v>
      </c>
      <c r="J791">
        <v>2050</v>
      </c>
      <c r="K791" s="38" t="str">
        <f t="shared" si="111"/>
        <v>*0.92</v>
      </c>
      <c r="P791" s="32" t="s">
        <v>4122</v>
      </c>
      <c r="Q791" s="42" t="s">
        <v>57</v>
      </c>
      <c r="R791" s="32">
        <v>2035</v>
      </c>
      <c r="S791" s="43" t="str">
        <f t="shared" si="112"/>
        <v>*0.93</v>
      </c>
      <c r="U791" s="32" t="s">
        <v>4122</v>
      </c>
      <c r="V791" s="42" t="s">
        <v>57</v>
      </c>
      <c r="W791" s="32">
        <v>2050</v>
      </c>
      <c r="X791" s="43" t="str">
        <f t="shared" si="113"/>
        <v>*0.92</v>
      </c>
      <c r="AC791" s="33" t="s">
        <v>4122</v>
      </c>
      <c r="AD791" s="44" t="s">
        <v>57</v>
      </c>
      <c r="AE791" s="33">
        <v>2035</v>
      </c>
      <c r="AF791" s="45" t="str">
        <f t="shared" si="114"/>
        <v>*0.91</v>
      </c>
      <c r="AG791" s="43" t="str">
        <f t="shared" si="117"/>
        <v>REZoning_Sol-Win</v>
      </c>
      <c r="AI791" s="33" t="s">
        <v>4122</v>
      </c>
      <c r="AJ791" s="44" t="s">
        <v>57</v>
      </c>
      <c r="AK791" s="33">
        <v>2050</v>
      </c>
      <c r="AL791" s="45" t="str">
        <f t="shared" si="115"/>
        <v>*0.87</v>
      </c>
      <c r="AM791" s="43" t="str">
        <f t="shared" si="118"/>
        <v>REZoning_Sol-Win</v>
      </c>
      <c r="AP791" t="s">
        <v>4122</v>
      </c>
      <c r="AQ791" t="s">
        <v>57</v>
      </c>
      <c r="AR791">
        <f t="shared" si="116"/>
        <v>2100</v>
      </c>
      <c r="AS791" t="s">
        <v>874</v>
      </c>
      <c r="AT791" t="s">
        <v>58</v>
      </c>
    </row>
    <row r="792" ht="29" spans="1:46">
      <c r="A792" s="31" t="s">
        <v>169</v>
      </c>
      <c r="C792" t="s">
        <v>4123</v>
      </c>
      <c r="D792" s="5" t="s">
        <v>57</v>
      </c>
      <c r="E792">
        <v>2035</v>
      </c>
      <c r="F792" s="6" t="str">
        <f t="shared" si="110"/>
        <v>*0.94</v>
      </c>
      <c r="H792" t="s">
        <v>4123</v>
      </c>
      <c r="I792" s="5" t="s">
        <v>57</v>
      </c>
      <c r="J792">
        <v>2050</v>
      </c>
      <c r="K792" s="38" t="str">
        <f t="shared" si="111"/>
        <v>*0.92</v>
      </c>
      <c r="P792" s="32" t="s">
        <v>4123</v>
      </c>
      <c r="Q792" s="42" t="s">
        <v>57</v>
      </c>
      <c r="R792" s="32">
        <v>2035</v>
      </c>
      <c r="S792" s="43" t="str">
        <f t="shared" si="112"/>
        <v>*0.93</v>
      </c>
      <c r="U792" s="32" t="s">
        <v>4123</v>
      </c>
      <c r="V792" s="42" t="s">
        <v>57</v>
      </c>
      <c r="W792" s="32">
        <v>2050</v>
      </c>
      <c r="X792" s="43" t="str">
        <f t="shared" si="113"/>
        <v>*0.92</v>
      </c>
      <c r="AC792" s="33" t="s">
        <v>4123</v>
      </c>
      <c r="AD792" s="44" t="s">
        <v>57</v>
      </c>
      <c r="AE792" s="33">
        <v>2035</v>
      </c>
      <c r="AF792" s="45" t="str">
        <f t="shared" si="114"/>
        <v>*0.91</v>
      </c>
      <c r="AG792" s="43" t="str">
        <f t="shared" si="117"/>
        <v>REZoning_Sol-Win</v>
      </c>
      <c r="AI792" s="33" t="s">
        <v>4123</v>
      </c>
      <c r="AJ792" s="44" t="s">
        <v>57</v>
      </c>
      <c r="AK792" s="33">
        <v>2050</v>
      </c>
      <c r="AL792" s="45" t="str">
        <f t="shared" si="115"/>
        <v>*0.87</v>
      </c>
      <c r="AM792" s="43" t="str">
        <f t="shared" si="118"/>
        <v>REZoning_Sol-Win</v>
      </c>
      <c r="AP792" t="s">
        <v>4123</v>
      </c>
      <c r="AQ792" t="s">
        <v>57</v>
      </c>
      <c r="AR792">
        <f t="shared" si="116"/>
        <v>2100</v>
      </c>
      <c r="AS792" t="s">
        <v>874</v>
      </c>
      <c r="AT792" t="s">
        <v>58</v>
      </c>
    </row>
    <row r="793" ht="29" spans="1:46">
      <c r="A793" s="31" t="s">
        <v>169</v>
      </c>
      <c r="C793" t="s">
        <v>4124</v>
      </c>
      <c r="D793" s="5" t="s">
        <v>57</v>
      </c>
      <c r="E793">
        <v>2035</v>
      </c>
      <c r="F793" s="6" t="str">
        <f t="shared" si="110"/>
        <v>*0.94</v>
      </c>
      <c r="H793" t="s">
        <v>4124</v>
      </c>
      <c r="I793" s="5" t="s">
        <v>57</v>
      </c>
      <c r="J793">
        <v>2050</v>
      </c>
      <c r="K793" s="38" t="str">
        <f t="shared" si="111"/>
        <v>*0.92</v>
      </c>
      <c r="P793" s="32" t="s">
        <v>4124</v>
      </c>
      <c r="Q793" s="42" t="s">
        <v>57</v>
      </c>
      <c r="R793" s="32">
        <v>2035</v>
      </c>
      <c r="S793" s="43" t="str">
        <f t="shared" si="112"/>
        <v>*0.93</v>
      </c>
      <c r="U793" s="32" t="s">
        <v>4124</v>
      </c>
      <c r="V793" s="42" t="s">
        <v>57</v>
      </c>
      <c r="W793" s="32">
        <v>2050</v>
      </c>
      <c r="X793" s="43" t="str">
        <f t="shared" si="113"/>
        <v>*0.92</v>
      </c>
      <c r="AC793" s="33" t="s">
        <v>4124</v>
      </c>
      <c r="AD793" s="44" t="s">
        <v>57</v>
      </c>
      <c r="AE793" s="33">
        <v>2035</v>
      </c>
      <c r="AF793" s="45" t="str">
        <f t="shared" si="114"/>
        <v>*0.91</v>
      </c>
      <c r="AG793" s="43" t="str">
        <f t="shared" si="117"/>
        <v>REZoning_Sol-Win</v>
      </c>
      <c r="AI793" s="33" t="s">
        <v>4124</v>
      </c>
      <c r="AJ793" s="44" t="s">
        <v>57</v>
      </c>
      <c r="AK793" s="33">
        <v>2050</v>
      </c>
      <c r="AL793" s="45" t="str">
        <f t="shared" si="115"/>
        <v>*0.87</v>
      </c>
      <c r="AM793" s="43" t="str">
        <f t="shared" si="118"/>
        <v>REZoning_Sol-Win</v>
      </c>
      <c r="AP793" t="s">
        <v>4124</v>
      </c>
      <c r="AQ793" t="s">
        <v>57</v>
      </c>
      <c r="AR793">
        <f t="shared" si="116"/>
        <v>2100</v>
      </c>
      <c r="AS793" t="s">
        <v>874</v>
      </c>
      <c r="AT793" t="s">
        <v>58</v>
      </c>
    </row>
    <row r="794" ht="29" spans="1:46">
      <c r="A794" s="31" t="s">
        <v>169</v>
      </c>
      <c r="C794" t="s">
        <v>4125</v>
      </c>
      <c r="D794" s="5" t="s">
        <v>57</v>
      </c>
      <c r="E794">
        <v>2035</v>
      </c>
      <c r="F794" s="6" t="str">
        <f t="shared" si="110"/>
        <v>*0.94</v>
      </c>
      <c r="H794" t="s">
        <v>4125</v>
      </c>
      <c r="I794" s="5" t="s">
        <v>57</v>
      </c>
      <c r="J794">
        <v>2050</v>
      </c>
      <c r="K794" s="38" t="str">
        <f t="shared" si="111"/>
        <v>*0.92</v>
      </c>
      <c r="P794" s="32" t="s">
        <v>4125</v>
      </c>
      <c r="Q794" s="42" t="s">
        <v>57</v>
      </c>
      <c r="R794" s="32">
        <v>2035</v>
      </c>
      <c r="S794" s="43" t="str">
        <f t="shared" si="112"/>
        <v>*0.93</v>
      </c>
      <c r="U794" s="32" t="s">
        <v>4125</v>
      </c>
      <c r="V794" s="42" t="s">
        <v>57</v>
      </c>
      <c r="W794" s="32">
        <v>2050</v>
      </c>
      <c r="X794" s="43" t="str">
        <f t="shared" si="113"/>
        <v>*0.92</v>
      </c>
      <c r="AC794" s="33" t="s">
        <v>4125</v>
      </c>
      <c r="AD794" s="44" t="s">
        <v>57</v>
      </c>
      <c r="AE794" s="33">
        <v>2035</v>
      </c>
      <c r="AF794" s="45" t="str">
        <f t="shared" si="114"/>
        <v>*0.91</v>
      </c>
      <c r="AG794" s="43" t="str">
        <f t="shared" si="117"/>
        <v>REZoning_Sol-Win</v>
      </c>
      <c r="AI794" s="33" t="s">
        <v>4125</v>
      </c>
      <c r="AJ794" s="44" t="s">
        <v>57</v>
      </c>
      <c r="AK794" s="33">
        <v>2050</v>
      </c>
      <c r="AL794" s="45" t="str">
        <f t="shared" si="115"/>
        <v>*0.87</v>
      </c>
      <c r="AM794" s="43" t="str">
        <f t="shared" si="118"/>
        <v>REZoning_Sol-Win</v>
      </c>
      <c r="AP794" t="s">
        <v>4125</v>
      </c>
      <c r="AQ794" t="s">
        <v>57</v>
      </c>
      <c r="AR794">
        <f t="shared" si="116"/>
        <v>2100</v>
      </c>
      <c r="AS794" t="s">
        <v>874</v>
      </c>
      <c r="AT794" t="s">
        <v>58</v>
      </c>
    </row>
    <row r="795" ht="29" spans="1:46">
      <c r="A795" s="31" t="s">
        <v>169</v>
      </c>
      <c r="C795" t="s">
        <v>4126</v>
      </c>
      <c r="D795" s="5" t="s">
        <v>57</v>
      </c>
      <c r="E795">
        <v>2035</v>
      </c>
      <c r="F795" s="6" t="str">
        <f t="shared" si="110"/>
        <v>*0.94</v>
      </c>
      <c r="H795" t="s">
        <v>4126</v>
      </c>
      <c r="I795" s="5" t="s">
        <v>57</v>
      </c>
      <c r="J795">
        <v>2050</v>
      </c>
      <c r="K795" s="38" t="str">
        <f t="shared" si="111"/>
        <v>*0.92</v>
      </c>
      <c r="P795" s="32" t="s">
        <v>4126</v>
      </c>
      <c r="Q795" s="42" t="s">
        <v>57</v>
      </c>
      <c r="R795" s="32">
        <v>2035</v>
      </c>
      <c r="S795" s="43" t="str">
        <f t="shared" si="112"/>
        <v>*0.93</v>
      </c>
      <c r="U795" s="32" t="s">
        <v>4126</v>
      </c>
      <c r="V795" s="42" t="s">
        <v>57</v>
      </c>
      <c r="W795" s="32">
        <v>2050</v>
      </c>
      <c r="X795" s="43" t="str">
        <f t="shared" si="113"/>
        <v>*0.92</v>
      </c>
      <c r="AC795" s="33" t="s">
        <v>4126</v>
      </c>
      <c r="AD795" s="44" t="s">
        <v>57</v>
      </c>
      <c r="AE795" s="33">
        <v>2035</v>
      </c>
      <c r="AF795" s="45" t="str">
        <f t="shared" si="114"/>
        <v>*0.91</v>
      </c>
      <c r="AG795" s="43" t="str">
        <f t="shared" si="117"/>
        <v>REZoning_Sol-Win</v>
      </c>
      <c r="AI795" s="33" t="s">
        <v>4126</v>
      </c>
      <c r="AJ795" s="44" t="s">
        <v>57</v>
      </c>
      <c r="AK795" s="33">
        <v>2050</v>
      </c>
      <c r="AL795" s="45" t="str">
        <f t="shared" si="115"/>
        <v>*0.87</v>
      </c>
      <c r="AM795" s="43" t="str">
        <f t="shared" si="118"/>
        <v>REZoning_Sol-Win</v>
      </c>
      <c r="AP795" t="s">
        <v>4126</v>
      </c>
      <c r="AQ795" t="s">
        <v>57</v>
      </c>
      <c r="AR795">
        <f t="shared" si="116"/>
        <v>2100</v>
      </c>
      <c r="AS795" t="s">
        <v>874</v>
      </c>
      <c r="AT795" t="s">
        <v>58</v>
      </c>
    </row>
    <row r="796" ht="29" spans="1:46">
      <c r="A796" s="31" t="s">
        <v>169</v>
      </c>
      <c r="C796" t="s">
        <v>4127</v>
      </c>
      <c r="D796" s="5" t="s">
        <v>57</v>
      </c>
      <c r="E796">
        <v>2035</v>
      </c>
      <c r="F796" s="6" t="str">
        <f t="shared" si="110"/>
        <v>*0.94</v>
      </c>
      <c r="H796" t="s">
        <v>4127</v>
      </c>
      <c r="I796" s="5" t="s">
        <v>57</v>
      </c>
      <c r="J796">
        <v>2050</v>
      </c>
      <c r="K796" s="38" t="str">
        <f t="shared" si="111"/>
        <v>*0.92</v>
      </c>
      <c r="P796" s="32" t="s">
        <v>4127</v>
      </c>
      <c r="Q796" s="42" t="s">
        <v>57</v>
      </c>
      <c r="R796" s="32">
        <v>2035</v>
      </c>
      <c r="S796" s="43" t="str">
        <f t="shared" si="112"/>
        <v>*0.93</v>
      </c>
      <c r="U796" s="32" t="s">
        <v>4127</v>
      </c>
      <c r="V796" s="42" t="s">
        <v>57</v>
      </c>
      <c r="W796" s="32">
        <v>2050</v>
      </c>
      <c r="X796" s="43" t="str">
        <f t="shared" si="113"/>
        <v>*0.92</v>
      </c>
      <c r="AC796" s="33" t="s">
        <v>4127</v>
      </c>
      <c r="AD796" s="44" t="s">
        <v>57</v>
      </c>
      <c r="AE796" s="33">
        <v>2035</v>
      </c>
      <c r="AF796" s="45" t="str">
        <f t="shared" si="114"/>
        <v>*0.91</v>
      </c>
      <c r="AG796" s="43" t="str">
        <f t="shared" si="117"/>
        <v>REZoning_Sol-Win</v>
      </c>
      <c r="AI796" s="33" t="s">
        <v>4127</v>
      </c>
      <c r="AJ796" s="44" t="s">
        <v>57</v>
      </c>
      <c r="AK796" s="33">
        <v>2050</v>
      </c>
      <c r="AL796" s="45" t="str">
        <f t="shared" si="115"/>
        <v>*0.87</v>
      </c>
      <c r="AM796" s="43" t="str">
        <f t="shared" si="118"/>
        <v>REZoning_Sol-Win</v>
      </c>
      <c r="AP796" t="s">
        <v>4127</v>
      </c>
      <c r="AQ796" t="s">
        <v>57</v>
      </c>
      <c r="AR796">
        <f t="shared" si="116"/>
        <v>2100</v>
      </c>
      <c r="AS796" t="s">
        <v>874</v>
      </c>
      <c r="AT796" t="s">
        <v>58</v>
      </c>
    </row>
    <row r="797" ht="29" spans="1:46">
      <c r="A797" s="31" t="s">
        <v>169</v>
      </c>
      <c r="C797" t="s">
        <v>4128</v>
      </c>
      <c r="D797" s="5" t="s">
        <v>57</v>
      </c>
      <c r="E797">
        <v>2035</v>
      </c>
      <c r="F797" s="6" t="str">
        <f t="shared" si="110"/>
        <v>*0.94</v>
      </c>
      <c r="H797" t="s">
        <v>4128</v>
      </c>
      <c r="I797" s="5" t="s">
        <v>57</v>
      </c>
      <c r="J797">
        <v>2050</v>
      </c>
      <c r="K797" s="38" t="str">
        <f t="shared" si="111"/>
        <v>*0.92</v>
      </c>
      <c r="P797" s="32" t="s">
        <v>4128</v>
      </c>
      <c r="Q797" s="42" t="s">
        <v>57</v>
      </c>
      <c r="R797" s="32">
        <v>2035</v>
      </c>
      <c r="S797" s="43" t="str">
        <f t="shared" si="112"/>
        <v>*0.93</v>
      </c>
      <c r="U797" s="32" t="s">
        <v>4128</v>
      </c>
      <c r="V797" s="42" t="s">
        <v>57</v>
      </c>
      <c r="W797" s="32">
        <v>2050</v>
      </c>
      <c r="X797" s="43" t="str">
        <f t="shared" si="113"/>
        <v>*0.92</v>
      </c>
      <c r="AC797" s="33" t="s">
        <v>4128</v>
      </c>
      <c r="AD797" s="44" t="s">
        <v>57</v>
      </c>
      <c r="AE797" s="33">
        <v>2035</v>
      </c>
      <c r="AF797" s="45" t="str">
        <f t="shared" si="114"/>
        <v>*0.91</v>
      </c>
      <c r="AG797" s="43" t="str">
        <f t="shared" si="117"/>
        <v>REZoning_Sol-Win</v>
      </c>
      <c r="AI797" s="33" t="s">
        <v>4128</v>
      </c>
      <c r="AJ797" s="44" t="s">
        <v>57</v>
      </c>
      <c r="AK797" s="33">
        <v>2050</v>
      </c>
      <c r="AL797" s="45" t="str">
        <f t="shared" si="115"/>
        <v>*0.87</v>
      </c>
      <c r="AM797" s="43" t="str">
        <f t="shared" si="118"/>
        <v>REZoning_Sol-Win</v>
      </c>
      <c r="AP797" t="s">
        <v>4128</v>
      </c>
      <c r="AQ797" t="s">
        <v>57</v>
      </c>
      <c r="AR797">
        <f t="shared" si="116"/>
        <v>2100</v>
      </c>
      <c r="AS797" t="s">
        <v>874</v>
      </c>
      <c r="AT797" t="s">
        <v>58</v>
      </c>
    </row>
    <row r="798" ht="29" spans="1:46">
      <c r="A798" s="31" t="s">
        <v>169</v>
      </c>
      <c r="C798" t="s">
        <v>4129</v>
      </c>
      <c r="D798" s="5" t="s">
        <v>57</v>
      </c>
      <c r="E798">
        <v>2035</v>
      </c>
      <c r="F798" s="6" t="str">
        <f t="shared" si="110"/>
        <v>*0.94</v>
      </c>
      <c r="H798" t="s">
        <v>4129</v>
      </c>
      <c r="I798" s="5" t="s">
        <v>57</v>
      </c>
      <c r="J798">
        <v>2050</v>
      </c>
      <c r="K798" s="38" t="str">
        <f t="shared" si="111"/>
        <v>*0.92</v>
      </c>
      <c r="P798" s="32" t="s">
        <v>4129</v>
      </c>
      <c r="Q798" s="42" t="s">
        <v>57</v>
      </c>
      <c r="R798" s="32">
        <v>2035</v>
      </c>
      <c r="S798" s="43" t="str">
        <f t="shared" si="112"/>
        <v>*0.93</v>
      </c>
      <c r="U798" s="32" t="s">
        <v>4129</v>
      </c>
      <c r="V798" s="42" t="s">
        <v>57</v>
      </c>
      <c r="W798" s="32">
        <v>2050</v>
      </c>
      <c r="X798" s="43" t="str">
        <f t="shared" si="113"/>
        <v>*0.92</v>
      </c>
      <c r="AC798" s="33" t="s">
        <v>4129</v>
      </c>
      <c r="AD798" s="44" t="s">
        <v>57</v>
      </c>
      <c r="AE798" s="33">
        <v>2035</v>
      </c>
      <c r="AF798" s="45" t="str">
        <f t="shared" si="114"/>
        <v>*0.91</v>
      </c>
      <c r="AG798" s="43" t="str">
        <f t="shared" si="117"/>
        <v>REZoning_Sol-Win</v>
      </c>
      <c r="AI798" s="33" t="s">
        <v>4129</v>
      </c>
      <c r="AJ798" s="44" t="s">
        <v>57</v>
      </c>
      <c r="AK798" s="33">
        <v>2050</v>
      </c>
      <c r="AL798" s="45" t="str">
        <f t="shared" si="115"/>
        <v>*0.87</v>
      </c>
      <c r="AM798" s="43" t="str">
        <f t="shared" si="118"/>
        <v>REZoning_Sol-Win</v>
      </c>
      <c r="AP798" t="s">
        <v>4129</v>
      </c>
      <c r="AQ798" t="s">
        <v>57</v>
      </c>
      <c r="AR798">
        <f t="shared" si="116"/>
        <v>2100</v>
      </c>
      <c r="AS798" t="s">
        <v>874</v>
      </c>
      <c r="AT798" t="s">
        <v>58</v>
      </c>
    </row>
    <row r="799" ht="29" spans="1:46">
      <c r="A799" s="31" t="s">
        <v>169</v>
      </c>
      <c r="C799" t="s">
        <v>4130</v>
      </c>
      <c r="D799" s="5" t="s">
        <v>57</v>
      </c>
      <c r="E799">
        <v>2035</v>
      </c>
      <c r="F799" s="6" t="str">
        <f t="shared" si="110"/>
        <v>*0.94</v>
      </c>
      <c r="H799" t="s">
        <v>4130</v>
      </c>
      <c r="I799" s="5" t="s">
        <v>57</v>
      </c>
      <c r="J799">
        <v>2050</v>
      </c>
      <c r="K799" s="38" t="str">
        <f t="shared" si="111"/>
        <v>*0.92</v>
      </c>
      <c r="P799" s="32" t="s">
        <v>4130</v>
      </c>
      <c r="Q799" s="42" t="s">
        <v>57</v>
      </c>
      <c r="R799" s="32">
        <v>2035</v>
      </c>
      <c r="S799" s="43" t="str">
        <f t="shared" si="112"/>
        <v>*0.93</v>
      </c>
      <c r="U799" s="32" t="s">
        <v>4130</v>
      </c>
      <c r="V799" s="42" t="s">
        <v>57</v>
      </c>
      <c r="W799" s="32">
        <v>2050</v>
      </c>
      <c r="X799" s="43" t="str">
        <f t="shared" si="113"/>
        <v>*0.92</v>
      </c>
      <c r="AC799" s="33" t="s">
        <v>4130</v>
      </c>
      <c r="AD799" s="44" t="s">
        <v>57</v>
      </c>
      <c r="AE799" s="33">
        <v>2035</v>
      </c>
      <c r="AF799" s="45" t="str">
        <f t="shared" si="114"/>
        <v>*0.91</v>
      </c>
      <c r="AG799" s="43" t="str">
        <f t="shared" si="117"/>
        <v>REZoning_Sol-Win</v>
      </c>
      <c r="AI799" s="33" t="s">
        <v>4130</v>
      </c>
      <c r="AJ799" s="44" t="s">
        <v>57</v>
      </c>
      <c r="AK799" s="33">
        <v>2050</v>
      </c>
      <c r="AL799" s="45" t="str">
        <f t="shared" si="115"/>
        <v>*0.87</v>
      </c>
      <c r="AM799" s="43" t="str">
        <f t="shared" si="118"/>
        <v>REZoning_Sol-Win</v>
      </c>
      <c r="AP799" t="s">
        <v>4130</v>
      </c>
      <c r="AQ799" t="s">
        <v>57</v>
      </c>
      <c r="AR799">
        <f t="shared" si="116"/>
        <v>2100</v>
      </c>
      <c r="AS799" t="s">
        <v>874</v>
      </c>
      <c r="AT799" t="s">
        <v>58</v>
      </c>
    </row>
    <row r="800" ht="29" spans="1:46">
      <c r="A800" s="31" t="s">
        <v>169</v>
      </c>
      <c r="C800" t="s">
        <v>4131</v>
      </c>
      <c r="D800" s="5" t="s">
        <v>57</v>
      </c>
      <c r="E800">
        <v>2035</v>
      </c>
      <c r="F800" s="6" t="str">
        <f t="shared" si="110"/>
        <v>*0.94</v>
      </c>
      <c r="H800" t="s">
        <v>4131</v>
      </c>
      <c r="I800" s="5" t="s">
        <v>57</v>
      </c>
      <c r="J800">
        <v>2050</v>
      </c>
      <c r="K800" s="38" t="str">
        <f t="shared" si="111"/>
        <v>*0.92</v>
      </c>
      <c r="P800" s="32" t="s">
        <v>4131</v>
      </c>
      <c r="Q800" s="42" t="s">
        <v>57</v>
      </c>
      <c r="R800" s="32">
        <v>2035</v>
      </c>
      <c r="S800" s="43" t="str">
        <f t="shared" si="112"/>
        <v>*0.93</v>
      </c>
      <c r="U800" s="32" t="s">
        <v>4131</v>
      </c>
      <c r="V800" s="42" t="s">
        <v>57</v>
      </c>
      <c r="W800" s="32">
        <v>2050</v>
      </c>
      <c r="X800" s="43" t="str">
        <f t="shared" si="113"/>
        <v>*0.92</v>
      </c>
      <c r="AC800" s="33" t="s">
        <v>4131</v>
      </c>
      <c r="AD800" s="44" t="s">
        <v>57</v>
      </c>
      <c r="AE800" s="33">
        <v>2035</v>
      </c>
      <c r="AF800" s="45" t="str">
        <f t="shared" si="114"/>
        <v>*0.91</v>
      </c>
      <c r="AG800" s="43" t="str">
        <f t="shared" si="117"/>
        <v>REZoning_Sol-Win</v>
      </c>
      <c r="AI800" s="33" t="s">
        <v>4131</v>
      </c>
      <c r="AJ800" s="44" t="s">
        <v>57</v>
      </c>
      <c r="AK800" s="33">
        <v>2050</v>
      </c>
      <c r="AL800" s="45" t="str">
        <f t="shared" si="115"/>
        <v>*0.87</v>
      </c>
      <c r="AM800" s="43" t="str">
        <f t="shared" si="118"/>
        <v>REZoning_Sol-Win</v>
      </c>
      <c r="AP800" t="s">
        <v>4131</v>
      </c>
      <c r="AQ800" t="s">
        <v>57</v>
      </c>
      <c r="AR800">
        <f t="shared" si="116"/>
        <v>2100</v>
      </c>
      <c r="AS800" t="s">
        <v>874</v>
      </c>
      <c r="AT800" t="s">
        <v>58</v>
      </c>
    </row>
    <row r="801" ht="29" spans="1:46">
      <c r="A801" s="31" t="s">
        <v>169</v>
      </c>
      <c r="C801" t="s">
        <v>4132</v>
      </c>
      <c r="D801" s="5" t="s">
        <v>57</v>
      </c>
      <c r="E801">
        <v>2035</v>
      </c>
      <c r="F801" s="6" t="str">
        <f t="shared" si="110"/>
        <v>*0.94</v>
      </c>
      <c r="H801" t="s">
        <v>4132</v>
      </c>
      <c r="I801" s="5" t="s">
        <v>57</v>
      </c>
      <c r="J801">
        <v>2050</v>
      </c>
      <c r="K801" s="38" t="str">
        <f t="shared" si="111"/>
        <v>*0.92</v>
      </c>
      <c r="P801" s="32" t="s">
        <v>4132</v>
      </c>
      <c r="Q801" s="42" t="s">
        <v>57</v>
      </c>
      <c r="R801" s="32">
        <v>2035</v>
      </c>
      <c r="S801" s="43" t="str">
        <f t="shared" si="112"/>
        <v>*0.93</v>
      </c>
      <c r="U801" s="32" t="s">
        <v>4132</v>
      </c>
      <c r="V801" s="42" t="s">
        <v>57</v>
      </c>
      <c r="W801" s="32">
        <v>2050</v>
      </c>
      <c r="X801" s="43" t="str">
        <f t="shared" si="113"/>
        <v>*0.92</v>
      </c>
      <c r="AC801" s="33" t="s">
        <v>4132</v>
      </c>
      <c r="AD801" s="44" t="s">
        <v>57</v>
      </c>
      <c r="AE801" s="33">
        <v>2035</v>
      </c>
      <c r="AF801" s="45" t="str">
        <f t="shared" si="114"/>
        <v>*0.91</v>
      </c>
      <c r="AG801" s="43" t="str">
        <f t="shared" si="117"/>
        <v>REZoning_Sol-Win</v>
      </c>
      <c r="AI801" s="33" t="s">
        <v>4132</v>
      </c>
      <c r="AJ801" s="44" t="s">
        <v>57</v>
      </c>
      <c r="AK801" s="33">
        <v>2050</v>
      </c>
      <c r="AL801" s="45" t="str">
        <f t="shared" si="115"/>
        <v>*0.87</v>
      </c>
      <c r="AM801" s="43" t="str">
        <f t="shared" si="118"/>
        <v>REZoning_Sol-Win</v>
      </c>
      <c r="AP801" t="s">
        <v>4132</v>
      </c>
      <c r="AQ801" t="s">
        <v>57</v>
      </c>
      <c r="AR801">
        <f t="shared" si="116"/>
        <v>2100</v>
      </c>
      <c r="AS801" t="s">
        <v>874</v>
      </c>
      <c r="AT801" t="s">
        <v>58</v>
      </c>
    </row>
    <row r="802" ht="29" spans="1:46">
      <c r="A802" s="31" t="s">
        <v>169</v>
      </c>
      <c r="C802" t="s">
        <v>4133</v>
      </c>
      <c r="D802" s="5" t="s">
        <v>57</v>
      </c>
      <c r="E802">
        <v>2035</v>
      </c>
      <c r="F802" s="6" t="str">
        <f t="shared" si="110"/>
        <v>*0.94</v>
      </c>
      <c r="H802" t="s">
        <v>4133</v>
      </c>
      <c r="I802" s="5" t="s">
        <v>57</v>
      </c>
      <c r="J802">
        <v>2050</v>
      </c>
      <c r="K802" s="38" t="str">
        <f t="shared" si="111"/>
        <v>*0.92</v>
      </c>
      <c r="P802" s="32" t="s">
        <v>4133</v>
      </c>
      <c r="Q802" s="42" t="s">
        <v>57</v>
      </c>
      <c r="R802" s="32">
        <v>2035</v>
      </c>
      <c r="S802" s="43" t="str">
        <f t="shared" si="112"/>
        <v>*0.93</v>
      </c>
      <c r="U802" s="32" t="s">
        <v>4133</v>
      </c>
      <c r="V802" s="42" t="s">
        <v>57</v>
      </c>
      <c r="W802" s="32">
        <v>2050</v>
      </c>
      <c r="X802" s="43" t="str">
        <f t="shared" si="113"/>
        <v>*0.92</v>
      </c>
      <c r="AC802" s="33" t="s">
        <v>4133</v>
      </c>
      <c r="AD802" s="44" t="s">
        <v>57</v>
      </c>
      <c r="AE802" s="33">
        <v>2035</v>
      </c>
      <c r="AF802" s="45" t="str">
        <f t="shared" si="114"/>
        <v>*0.91</v>
      </c>
      <c r="AG802" s="43" t="str">
        <f t="shared" si="117"/>
        <v>REZoning_Sol-Win</v>
      </c>
      <c r="AI802" s="33" t="s">
        <v>4133</v>
      </c>
      <c r="AJ802" s="44" t="s">
        <v>57</v>
      </c>
      <c r="AK802" s="33">
        <v>2050</v>
      </c>
      <c r="AL802" s="45" t="str">
        <f t="shared" si="115"/>
        <v>*0.87</v>
      </c>
      <c r="AM802" s="43" t="str">
        <f t="shared" si="118"/>
        <v>REZoning_Sol-Win</v>
      </c>
      <c r="AP802" t="s">
        <v>4133</v>
      </c>
      <c r="AQ802" t="s">
        <v>57</v>
      </c>
      <c r="AR802">
        <f t="shared" si="116"/>
        <v>2100</v>
      </c>
      <c r="AS802" t="s">
        <v>874</v>
      </c>
      <c r="AT802" t="s">
        <v>58</v>
      </c>
    </row>
    <row r="803" ht="29" spans="1:46">
      <c r="A803" s="31" t="s">
        <v>169</v>
      </c>
      <c r="C803" t="s">
        <v>4134</v>
      </c>
      <c r="D803" s="5" t="s">
        <v>57</v>
      </c>
      <c r="E803">
        <v>2035</v>
      </c>
      <c r="F803" s="6" t="str">
        <f t="shared" si="110"/>
        <v>*0.94</v>
      </c>
      <c r="H803" t="s">
        <v>4134</v>
      </c>
      <c r="I803" s="5" t="s">
        <v>57</v>
      </c>
      <c r="J803">
        <v>2050</v>
      </c>
      <c r="K803" s="38" t="str">
        <f t="shared" si="111"/>
        <v>*0.92</v>
      </c>
      <c r="P803" s="32" t="s">
        <v>4134</v>
      </c>
      <c r="Q803" s="42" t="s">
        <v>57</v>
      </c>
      <c r="R803" s="32">
        <v>2035</v>
      </c>
      <c r="S803" s="43" t="str">
        <f t="shared" si="112"/>
        <v>*0.93</v>
      </c>
      <c r="U803" s="32" t="s">
        <v>4134</v>
      </c>
      <c r="V803" s="42" t="s">
        <v>57</v>
      </c>
      <c r="W803" s="32">
        <v>2050</v>
      </c>
      <c r="X803" s="43" t="str">
        <f t="shared" si="113"/>
        <v>*0.92</v>
      </c>
      <c r="AC803" s="33" t="s">
        <v>4134</v>
      </c>
      <c r="AD803" s="44" t="s">
        <v>57</v>
      </c>
      <c r="AE803" s="33">
        <v>2035</v>
      </c>
      <c r="AF803" s="45" t="str">
        <f t="shared" si="114"/>
        <v>*0.91</v>
      </c>
      <c r="AG803" s="43" t="str">
        <f t="shared" si="117"/>
        <v>REZoning_Sol-Win</v>
      </c>
      <c r="AI803" s="33" t="s">
        <v>4134</v>
      </c>
      <c r="AJ803" s="44" t="s">
        <v>57</v>
      </c>
      <c r="AK803" s="33">
        <v>2050</v>
      </c>
      <c r="AL803" s="45" t="str">
        <f t="shared" si="115"/>
        <v>*0.87</v>
      </c>
      <c r="AM803" s="43" t="str">
        <f t="shared" si="118"/>
        <v>REZoning_Sol-Win</v>
      </c>
      <c r="AP803" t="s">
        <v>4134</v>
      </c>
      <c r="AQ803" t="s">
        <v>57</v>
      </c>
      <c r="AR803">
        <f t="shared" si="116"/>
        <v>2100</v>
      </c>
      <c r="AS803" t="s">
        <v>874</v>
      </c>
      <c r="AT803" t="s">
        <v>58</v>
      </c>
    </row>
    <row r="804" ht="29" spans="1:46">
      <c r="A804" s="31" t="s">
        <v>169</v>
      </c>
      <c r="C804" t="s">
        <v>4135</v>
      </c>
      <c r="D804" s="5" t="s">
        <v>57</v>
      </c>
      <c r="E804">
        <v>2035</v>
      </c>
      <c r="F804" s="6" t="str">
        <f t="shared" si="110"/>
        <v>*0.94</v>
      </c>
      <c r="H804" t="s">
        <v>4135</v>
      </c>
      <c r="I804" s="5" t="s">
        <v>57</v>
      </c>
      <c r="J804">
        <v>2050</v>
      </c>
      <c r="K804" s="38" t="str">
        <f t="shared" si="111"/>
        <v>*0.92</v>
      </c>
      <c r="P804" s="32" t="s">
        <v>4135</v>
      </c>
      <c r="Q804" s="42" t="s">
        <v>57</v>
      </c>
      <c r="R804" s="32">
        <v>2035</v>
      </c>
      <c r="S804" s="43" t="str">
        <f t="shared" si="112"/>
        <v>*0.93</v>
      </c>
      <c r="U804" s="32" t="s">
        <v>4135</v>
      </c>
      <c r="V804" s="42" t="s">
        <v>57</v>
      </c>
      <c r="W804" s="32">
        <v>2050</v>
      </c>
      <c r="X804" s="43" t="str">
        <f t="shared" si="113"/>
        <v>*0.92</v>
      </c>
      <c r="AC804" s="33" t="s">
        <v>4135</v>
      </c>
      <c r="AD804" s="44" t="s">
        <v>57</v>
      </c>
      <c r="AE804" s="33">
        <v>2035</v>
      </c>
      <c r="AF804" s="45" t="str">
        <f t="shared" si="114"/>
        <v>*0.91</v>
      </c>
      <c r="AG804" s="43" t="str">
        <f t="shared" si="117"/>
        <v>REZoning_Sol-Win</v>
      </c>
      <c r="AI804" s="33" t="s">
        <v>4135</v>
      </c>
      <c r="AJ804" s="44" t="s">
        <v>57</v>
      </c>
      <c r="AK804" s="33">
        <v>2050</v>
      </c>
      <c r="AL804" s="45" t="str">
        <f t="shared" si="115"/>
        <v>*0.87</v>
      </c>
      <c r="AM804" s="43" t="str">
        <f t="shared" si="118"/>
        <v>REZoning_Sol-Win</v>
      </c>
      <c r="AP804" t="s">
        <v>4135</v>
      </c>
      <c r="AQ804" t="s">
        <v>57</v>
      </c>
      <c r="AR804">
        <f t="shared" si="116"/>
        <v>2100</v>
      </c>
      <c r="AS804" t="s">
        <v>874</v>
      </c>
      <c r="AT804" t="s">
        <v>58</v>
      </c>
    </row>
    <row r="805" ht="29" spans="1:46">
      <c r="A805" s="31" t="s">
        <v>169</v>
      </c>
      <c r="C805" t="s">
        <v>4136</v>
      </c>
      <c r="D805" s="5" t="s">
        <v>57</v>
      </c>
      <c r="E805">
        <v>2035</v>
      </c>
      <c r="F805" s="6" t="str">
        <f t="shared" si="110"/>
        <v>*0.94</v>
      </c>
      <c r="H805" t="s">
        <v>4136</v>
      </c>
      <c r="I805" s="5" t="s">
        <v>57</v>
      </c>
      <c r="J805">
        <v>2050</v>
      </c>
      <c r="K805" s="38" t="str">
        <f t="shared" si="111"/>
        <v>*0.92</v>
      </c>
      <c r="P805" s="32" t="s">
        <v>4136</v>
      </c>
      <c r="Q805" s="42" t="s">
        <v>57</v>
      </c>
      <c r="R805" s="32">
        <v>2035</v>
      </c>
      <c r="S805" s="43" t="str">
        <f t="shared" si="112"/>
        <v>*0.93</v>
      </c>
      <c r="U805" s="32" t="s">
        <v>4136</v>
      </c>
      <c r="V805" s="42" t="s">
        <v>57</v>
      </c>
      <c r="W805" s="32">
        <v>2050</v>
      </c>
      <c r="X805" s="43" t="str">
        <f t="shared" si="113"/>
        <v>*0.92</v>
      </c>
      <c r="AC805" s="33" t="s">
        <v>4136</v>
      </c>
      <c r="AD805" s="44" t="s">
        <v>57</v>
      </c>
      <c r="AE805" s="33">
        <v>2035</v>
      </c>
      <c r="AF805" s="45" t="str">
        <f t="shared" si="114"/>
        <v>*0.91</v>
      </c>
      <c r="AG805" s="43" t="str">
        <f t="shared" si="117"/>
        <v>REZoning_Sol-Win</v>
      </c>
      <c r="AI805" s="33" t="s">
        <v>4136</v>
      </c>
      <c r="AJ805" s="44" t="s">
        <v>57</v>
      </c>
      <c r="AK805" s="33">
        <v>2050</v>
      </c>
      <c r="AL805" s="45" t="str">
        <f t="shared" si="115"/>
        <v>*0.87</v>
      </c>
      <c r="AM805" s="43" t="str">
        <f t="shared" si="118"/>
        <v>REZoning_Sol-Win</v>
      </c>
      <c r="AP805" t="s">
        <v>4136</v>
      </c>
      <c r="AQ805" t="s">
        <v>57</v>
      </c>
      <c r="AR805">
        <f t="shared" si="116"/>
        <v>2100</v>
      </c>
      <c r="AS805" t="s">
        <v>874</v>
      </c>
      <c r="AT805" t="s">
        <v>58</v>
      </c>
    </row>
    <row r="806" ht="29" spans="1:46">
      <c r="A806" s="31" t="s">
        <v>169</v>
      </c>
      <c r="C806" t="s">
        <v>4137</v>
      </c>
      <c r="D806" s="5" t="s">
        <v>57</v>
      </c>
      <c r="E806">
        <v>2035</v>
      </c>
      <c r="F806" s="6" t="str">
        <f t="shared" si="110"/>
        <v>*0.94</v>
      </c>
      <c r="H806" t="s">
        <v>4137</v>
      </c>
      <c r="I806" s="5" t="s">
        <v>57</v>
      </c>
      <c r="J806">
        <v>2050</v>
      </c>
      <c r="K806" s="38" t="str">
        <f t="shared" si="111"/>
        <v>*0.92</v>
      </c>
      <c r="P806" s="32" t="s">
        <v>4137</v>
      </c>
      <c r="Q806" s="42" t="s">
        <v>57</v>
      </c>
      <c r="R806" s="32">
        <v>2035</v>
      </c>
      <c r="S806" s="43" t="str">
        <f t="shared" si="112"/>
        <v>*0.93</v>
      </c>
      <c r="U806" s="32" t="s">
        <v>4137</v>
      </c>
      <c r="V806" s="42" t="s">
        <v>57</v>
      </c>
      <c r="W806" s="32">
        <v>2050</v>
      </c>
      <c r="X806" s="43" t="str">
        <f t="shared" si="113"/>
        <v>*0.92</v>
      </c>
      <c r="AC806" s="33" t="s">
        <v>4137</v>
      </c>
      <c r="AD806" s="44" t="s">
        <v>57</v>
      </c>
      <c r="AE806" s="33">
        <v>2035</v>
      </c>
      <c r="AF806" s="45" t="str">
        <f t="shared" si="114"/>
        <v>*0.91</v>
      </c>
      <c r="AG806" s="43" t="str">
        <f t="shared" si="117"/>
        <v>REZoning_Sol-Win</v>
      </c>
      <c r="AI806" s="33" t="s">
        <v>4137</v>
      </c>
      <c r="AJ806" s="44" t="s">
        <v>57</v>
      </c>
      <c r="AK806" s="33">
        <v>2050</v>
      </c>
      <c r="AL806" s="45" t="str">
        <f t="shared" si="115"/>
        <v>*0.87</v>
      </c>
      <c r="AM806" s="43" t="str">
        <f t="shared" si="118"/>
        <v>REZoning_Sol-Win</v>
      </c>
      <c r="AP806" t="s">
        <v>4137</v>
      </c>
      <c r="AQ806" t="s">
        <v>57</v>
      </c>
      <c r="AR806">
        <f t="shared" si="116"/>
        <v>2100</v>
      </c>
      <c r="AS806" t="s">
        <v>874</v>
      </c>
      <c r="AT806" t="s">
        <v>58</v>
      </c>
    </row>
    <row r="807" ht="29" spans="1:46">
      <c r="A807" s="31" t="s">
        <v>169</v>
      </c>
      <c r="C807" t="s">
        <v>4138</v>
      </c>
      <c r="D807" s="5" t="s">
        <v>57</v>
      </c>
      <c r="E807">
        <v>2035</v>
      </c>
      <c r="F807" s="6" t="str">
        <f t="shared" si="110"/>
        <v>*0.94</v>
      </c>
      <c r="H807" t="s">
        <v>4138</v>
      </c>
      <c r="I807" s="5" t="s">
        <v>57</v>
      </c>
      <c r="J807">
        <v>2050</v>
      </c>
      <c r="K807" s="38" t="str">
        <f t="shared" si="111"/>
        <v>*0.92</v>
      </c>
      <c r="P807" s="32" t="s">
        <v>4138</v>
      </c>
      <c r="Q807" s="42" t="s">
        <v>57</v>
      </c>
      <c r="R807" s="32">
        <v>2035</v>
      </c>
      <c r="S807" s="43" t="str">
        <f t="shared" si="112"/>
        <v>*0.93</v>
      </c>
      <c r="U807" s="32" t="s">
        <v>4138</v>
      </c>
      <c r="V807" s="42" t="s">
        <v>57</v>
      </c>
      <c r="W807" s="32">
        <v>2050</v>
      </c>
      <c r="X807" s="43" t="str">
        <f t="shared" si="113"/>
        <v>*0.92</v>
      </c>
      <c r="AC807" s="33" t="s">
        <v>4138</v>
      </c>
      <c r="AD807" s="44" t="s">
        <v>57</v>
      </c>
      <c r="AE807" s="33">
        <v>2035</v>
      </c>
      <c r="AF807" s="45" t="str">
        <f t="shared" si="114"/>
        <v>*0.91</v>
      </c>
      <c r="AG807" s="43" t="str">
        <f t="shared" si="117"/>
        <v>REZoning_Sol-Win</v>
      </c>
      <c r="AI807" s="33" t="s">
        <v>4138</v>
      </c>
      <c r="AJ807" s="44" t="s">
        <v>57</v>
      </c>
      <c r="AK807" s="33">
        <v>2050</v>
      </c>
      <c r="AL807" s="45" t="str">
        <f t="shared" si="115"/>
        <v>*0.87</v>
      </c>
      <c r="AM807" s="43" t="str">
        <f t="shared" si="118"/>
        <v>REZoning_Sol-Win</v>
      </c>
      <c r="AP807" t="s">
        <v>4138</v>
      </c>
      <c r="AQ807" t="s">
        <v>57</v>
      </c>
      <c r="AR807">
        <f t="shared" si="116"/>
        <v>2100</v>
      </c>
      <c r="AS807" t="s">
        <v>874</v>
      </c>
      <c r="AT807" t="s">
        <v>58</v>
      </c>
    </row>
    <row r="808" ht="29" spans="1:46">
      <c r="A808" s="31" t="s">
        <v>169</v>
      </c>
      <c r="C808" t="s">
        <v>4139</v>
      </c>
      <c r="D808" s="5" t="s">
        <v>57</v>
      </c>
      <c r="E808">
        <v>2035</v>
      </c>
      <c r="F808" s="6" t="str">
        <f t="shared" si="110"/>
        <v>*0.94</v>
      </c>
      <c r="H808" t="s">
        <v>4139</v>
      </c>
      <c r="I808" s="5" t="s">
        <v>57</v>
      </c>
      <c r="J808">
        <v>2050</v>
      </c>
      <c r="K808" s="38" t="str">
        <f t="shared" si="111"/>
        <v>*0.92</v>
      </c>
      <c r="P808" s="32" t="s">
        <v>4139</v>
      </c>
      <c r="Q808" s="42" t="s">
        <v>57</v>
      </c>
      <c r="R808" s="32">
        <v>2035</v>
      </c>
      <c r="S808" s="43" t="str">
        <f t="shared" si="112"/>
        <v>*0.93</v>
      </c>
      <c r="U808" s="32" t="s">
        <v>4139</v>
      </c>
      <c r="V808" s="42" t="s">
        <v>57</v>
      </c>
      <c r="W808" s="32">
        <v>2050</v>
      </c>
      <c r="X808" s="43" t="str">
        <f t="shared" si="113"/>
        <v>*0.92</v>
      </c>
      <c r="AC808" s="33" t="s">
        <v>4139</v>
      </c>
      <c r="AD808" s="44" t="s">
        <v>57</v>
      </c>
      <c r="AE808" s="33">
        <v>2035</v>
      </c>
      <c r="AF808" s="45" t="str">
        <f t="shared" si="114"/>
        <v>*0.91</v>
      </c>
      <c r="AG808" s="43" t="str">
        <f t="shared" si="117"/>
        <v>REZoning_Sol-Win</v>
      </c>
      <c r="AI808" s="33" t="s">
        <v>4139</v>
      </c>
      <c r="AJ808" s="44" t="s">
        <v>57</v>
      </c>
      <c r="AK808" s="33">
        <v>2050</v>
      </c>
      <c r="AL808" s="45" t="str">
        <f t="shared" si="115"/>
        <v>*0.87</v>
      </c>
      <c r="AM808" s="43" t="str">
        <f t="shared" si="118"/>
        <v>REZoning_Sol-Win</v>
      </c>
      <c r="AP808" t="s">
        <v>4139</v>
      </c>
      <c r="AQ808" t="s">
        <v>57</v>
      </c>
      <c r="AR808">
        <f t="shared" si="116"/>
        <v>2100</v>
      </c>
      <c r="AS808" t="s">
        <v>874</v>
      </c>
      <c r="AT808" t="s">
        <v>58</v>
      </c>
    </row>
    <row r="809" ht="29" spans="1:46">
      <c r="A809" s="31" t="s">
        <v>169</v>
      </c>
      <c r="C809" t="s">
        <v>4140</v>
      </c>
      <c r="D809" s="5" t="s">
        <v>57</v>
      </c>
      <c r="E809">
        <v>2035</v>
      </c>
      <c r="F809" s="6" t="str">
        <f t="shared" si="110"/>
        <v>*0.94</v>
      </c>
      <c r="H809" t="s">
        <v>4140</v>
      </c>
      <c r="I809" s="5" t="s">
        <v>57</v>
      </c>
      <c r="J809">
        <v>2050</v>
      </c>
      <c r="K809" s="38" t="str">
        <f t="shared" si="111"/>
        <v>*0.92</v>
      </c>
      <c r="P809" s="32" t="s">
        <v>4140</v>
      </c>
      <c r="Q809" s="42" t="s">
        <v>57</v>
      </c>
      <c r="R809" s="32">
        <v>2035</v>
      </c>
      <c r="S809" s="43" t="str">
        <f t="shared" si="112"/>
        <v>*0.93</v>
      </c>
      <c r="U809" s="32" t="s">
        <v>4140</v>
      </c>
      <c r="V809" s="42" t="s">
        <v>57</v>
      </c>
      <c r="W809" s="32">
        <v>2050</v>
      </c>
      <c r="X809" s="43" t="str">
        <f t="shared" si="113"/>
        <v>*0.92</v>
      </c>
      <c r="AC809" s="33" t="s">
        <v>4140</v>
      </c>
      <c r="AD809" s="44" t="s">
        <v>57</v>
      </c>
      <c r="AE809" s="33">
        <v>2035</v>
      </c>
      <c r="AF809" s="45" t="str">
        <f t="shared" si="114"/>
        <v>*0.91</v>
      </c>
      <c r="AG809" s="43" t="str">
        <f t="shared" si="117"/>
        <v>REZoning_Sol-Win</v>
      </c>
      <c r="AI809" s="33" t="s">
        <v>4140</v>
      </c>
      <c r="AJ809" s="44" t="s">
        <v>57</v>
      </c>
      <c r="AK809" s="33">
        <v>2050</v>
      </c>
      <c r="AL809" s="45" t="str">
        <f t="shared" si="115"/>
        <v>*0.87</v>
      </c>
      <c r="AM809" s="43" t="str">
        <f t="shared" si="118"/>
        <v>REZoning_Sol-Win</v>
      </c>
      <c r="AP809" t="s">
        <v>4140</v>
      </c>
      <c r="AQ809" t="s">
        <v>57</v>
      </c>
      <c r="AR809">
        <f t="shared" si="116"/>
        <v>2100</v>
      </c>
      <c r="AS809" t="s">
        <v>874</v>
      </c>
      <c r="AT809" t="s">
        <v>58</v>
      </c>
    </row>
    <row r="810" ht="29" spans="1:46">
      <c r="A810" s="31" t="s">
        <v>169</v>
      </c>
      <c r="C810" t="s">
        <v>4141</v>
      </c>
      <c r="D810" s="5" t="s">
        <v>57</v>
      </c>
      <c r="E810">
        <v>2035</v>
      </c>
      <c r="F810" s="6" t="str">
        <f t="shared" si="110"/>
        <v>*0.94</v>
      </c>
      <c r="H810" t="s">
        <v>4141</v>
      </c>
      <c r="I810" s="5" t="s">
        <v>57</v>
      </c>
      <c r="J810">
        <v>2050</v>
      </c>
      <c r="K810" s="38" t="str">
        <f t="shared" si="111"/>
        <v>*0.92</v>
      </c>
      <c r="P810" s="32" t="s">
        <v>4141</v>
      </c>
      <c r="Q810" s="42" t="s">
        <v>57</v>
      </c>
      <c r="R810" s="32">
        <v>2035</v>
      </c>
      <c r="S810" s="43" t="str">
        <f t="shared" si="112"/>
        <v>*0.93</v>
      </c>
      <c r="U810" s="32" t="s">
        <v>4141</v>
      </c>
      <c r="V810" s="42" t="s">
        <v>57</v>
      </c>
      <c r="W810" s="32">
        <v>2050</v>
      </c>
      <c r="X810" s="43" t="str">
        <f t="shared" si="113"/>
        <v>*0.92</v>
      </c>
      <c r="AC810" s="33" t="s">
        <v>4141</v>
      </c>
      <c r="AD810" s="44" t="s">
        <v>57</v>
      </c>
      <c r="AE810" s="33">
        <v>2035</v>
      </c>
      <c r="AF810" s="45" t="str">
        <f t="shared" si="114"/>
        <v>*0.91</v>
      </c>
      <c r="AG810" s="43" t="str">
        <f t="shared" si="117"/>
        <v>REZoning_Sol-Win</v>
      </c>
      <c r="AI810" s="33" t="s">
        <v>4141</v>
      </c>
      <c r="AJ810" s="44" t="s">
        <v>57</v>
      </c>
      <c r="AK810" s="33">
        <v>2050</v>
      </c>
      <c r="AL810" s="45" t="str">
        <f t="shared" si="115"/>
        <v>*0.87</v>
      </c>
      <c r="AM810" s="43" t="str">
        <f t="shared" si="118"/>
        <v>REZoning_Sol-Win</v>
      </c>
      <c r="AP810" t="s">
        <v>4141</v>
      </c>
      <c r="AQ810" t="s">
        <v>57</v>
      </c>
      <c r="AR810">
        <f t="shared" si="116"/>
        <v>2100</v>
      </c>
      <c r="AS810" t="s">
        <v>874</v>
      </c>
      <c r="AT810" t="s">
        <v>58</v>
      </c>
    </row>
    <row r="811" ht="29" spans="1:46">
      <c r="A811" s="31" t="s">
        <v>169</v>
      </c>
      <c r="C811" t="s">
        <v>4142</v>
      </c>
      <c r="D811" s="5" t="s">
        <v>57</v>
      </c>
      <c r="E811">
        <v>2035</v>
      </c>
      <c r="F811" s="6" t="str">
        <f t="shared" si="110"/>
        <v>*0.94</v>
      </c>
      <c r="H811" t="s">
        <v>4142</v>
      </c>
      <c r="I811" s="5" t="s">
        <v>57</v>
      </c>
      <c r="J811">
        <v>2050</v>
      </c>
      <c r="K811" s="38" t="str">
        <f t="shared" si="111"/>
        <v>*0.92</v>
      </c>
      <c r="P811" s="32" t="s">
        <v>4142</v>
      </c>
      <c r="Q811" s="42" t="s">
        <v>57</v>
      </c>
      <c r="R811" s="32">
        <v>2035</v>
      </c>
      <c r="S811" s="43" t="str">
        <f t="shared" si="112"/>
        <v>*0.93</v>
      </c>
      <c r="U811" s="32" t="s">
        <v>4142</v>
      </c>
      <c r="V811" s="42" t="s">
        <v>57</v>
      </c>
      <c r="W811" s="32">
        <v>2050</v>
      </c>
      <c r="X811" s="43" t="str">
        <f t="shared" si="113"/>
        <v>*0.92</v>
      </c>
      <c r="AC811" s="33" t="s">
        <v>4142</v>
      </c>
      <c r="AD811" s="44" t="s">
        <v>57</v>
      </c>
      <c r="AE811" s="33">
        <v>2035</v>
      </c>
      <c r="AF811" s="45" t="str">
        <f t="shared" si="114"/>
        <v>*0.91</v>
      </c>
      <c r="AG811" s="43" t="str">
        <f t="shared" si="117"/>
        <v>REZoning_Sol-Win</v>
      </c>
      <c r="AI811" s="33" t="s">
        <v>4142</v>
      </c>
      <c r="AJ811" s="44" t="s">
        <v>57</v>
      </c>
      <c r="AK811" s="33">
        <v>2050</v>
      </c>
      <c r="AL811" s="45" t="str">
        <f t="shared" si="115"/>
        <v>*0.87</v>
      </c>
      <c r="AM811" s="43" t="str">
        <f t="shared" si="118"/>
        <v>REZoning_Sol-Win</v>
      </c>
      <c r="AP811" t="s">
        <v>4142</v>
      </c>
      <c r="AQ811" t="s">
        <v>57</v>
      </c>
      <c r="AR811">
        <f t="shared" si="116"/>
        <v>2100</v>
      </c>
      <c r="AS811" t="s">
        <v>874</v>
      </c>
      <c r="AT811" t="s">
        <v>58</v>
      </c>
    </row>
    <row r="812" ht="29" spans="1:46">
      <c r="A812" s="31" t="s">
        <v>169</v>
      </c>
      <c r="C812" t="s">
        <v>4143</v>
      </c>
      <c r="D812" s="5" t="s">
        <v>57</v>
      </c>
      <c r="E812">
        <v>2035</v>
      </c>
      <c r="F812" s="6" t="str">
        <f t="shared" si="110"/>
        <v>*0.94</v>
      </c>
      <c r="H812" t="s">
        <v>4143</v>
      </c>
      <c r="I812" s="5" t="s">
        <v>57</v>
      </c>
      <c r="J812">
        <v>2050</v>
      </c>
      <c r="K812" s="38" t="str">
        <f t="shared" si="111"/>
        <v>*0.92</v>
      </c>
      <c r="P812" s="32" t="s">
        <v>4143</v>
      </c>
      <c r="Q812" s="42" t="s">
        <v>57</v>
      </c>
      <c r="R812" s="32">
        <v>2035</v>
      </c>
      <c r="S812" s="43" t="str">
        <f t="shared" si="112"/>
        <v>*0.93</v>
      </c>
      <c r="U812" s="32" t="s">
        <v>4143</v>
      </c>
      <c r="V812" s="42" t="s">
        <v>57</v>
      </c>
      <c r="W812" s="32">
        <v>2050</v>
      </c>
      <c r="X812" s="43" t="str">
        <f t="shared" si="113"/>
        <v>*0.92</v>
      </c>
      <c r="AC812" s="33" t="s">
        <v>4143</v>
      </c>
      <c r="AD812" s="44" t="s">
        <v>57</v>
      </c>
      <c r="AE812" s="33">
        <v>2035</v>
      </c>
      <c r="AF812" s="45" t="str">
        <f t="shared" si="114"/>
        <v>*0.91</v>
      </c>
      <c r="AG812" s="43" t="str">
        <f t="shared" si="117"/>
        <v>REZoning_Sol-Win</v>
      </c>
      <c r="AI812" s="33" t="s">
        <v>4143</v>
      </c>
      <c r="AJ812" s="44" t="s">
        <v>57</v>
      </c>
      <c r="AK812" s="33">
        <v>2050</v>
      </c>
      <c r="AL812" s="45" t="str">
        <f t="shared" si="115"/>
        <v>*0.87</v>
      </c>
      <c r="AM812" s="43" t="str">
        <f t="shared" si="118"/>
        <v>REZoning_Sol-Win</v>
      </c>
      <c r="AP812" t="s">
        <v>4143</v>
      </c>
      <c r="AQ812" t="s">
        <v>57</v>
      </c>
      <c r="AR812">
        <f t="shared" si="116"/>
        <v>2100</v>
      </c>
      <c r="AS812" t="s">
        <v>874</v>
      </c>
      <c r="AT812" t="s">
        <v>58</v>
      </c>
    </row>
    <row r="813" ht="29" spans="1:46">
      <c r="A813" s="31" t="s">
        <v>169</v>
      </c>
      <c r="C813" t="s">
        <v>4144</v>
      </c>
      <c r="D813" s="5" t="s">
        <v>57</v>
      </c>
      <c r="E813">
        <v>2035</v>
      </c>
      <c r="F813" s="6" t="str">
        <f t="shared" si="110"/>
        <v>*0.94</v>
      </c>
      <c r="H813" t="s">
        <v>4144</v>
      </c>
      <c r="I813" s="5" t="s">
        <v>57</v>
      </c>
      <c r="J813">
        <v>2050</v>
      </c>
      <c r="K813" s="38" t="str">
        <f t="shared" si="111"/>
        <v>*0.92</v>
      </c>
      <c r="P813" s="32" t="s">
        <v>4144</v>
      </c>
      <c r="Q813" s="42" t="s">
        <v>57</v>
      </c>
      <c r="R813" s="32">
        <v>2035</v>
      </c>
      <c r="S813" s="43" t="str">
        <f t="shared" si="112"/>
        <v>*0.93</v>
      </c>
      <c r="U813" s="32" t="s">
        <v>4144</v>
      </c>
      <c r="V813" s="42" t="s">
        <v>57</v>
      </c>
      <c r="W813" s="32">
        <v>2050</v>
      </c>
      <c r="X813" s="43" t="str">
        <f t="shared" si="113"/>
        <v>*0.92</v>
      </c>
      <c r="AC813" s="33" t="s">
        <v>4144</v>
      </c>
      <c r="AD813" s="44" t="s">
        <v>57</v>
      </c>
      <c r="AE813" s="33">
        <v>2035</v>
      </c>
      <c r="AF813" s="45" t="str">
        <f t="shared" si="114"/>
        <v>*0.91</v>
      </c>
      <c r="AG813" s="43" t="str">
        <f t="shared" si="117"/>
        <v>REZoning_Sol-Win</v>
      </c>
      <c r="AI813" s="33" t="s">
        <v>4144</v>
      </c>
      <c r="AJ813" s="44" t="s">
        <v>57</v>
      </c>
      <c r="AK813" s="33">
        <v>2050</v>
      </c>
      <c r="AL813" s="45" t="str">
        <f t="shared" si="115"/>
        <v>*0.87</v>
      </c>
      <c r="AM813" s="43" t="str">
        <f t="shared" si="118"/>
        <v>REZoning_Sol-Win</v>
      </c>
      <c r="AP813" t="s">
        <v>4144</v>
      </c>
      <c r="AQ813" t="s">
        <v>57</v>
      </c>
      <c r="AR813">
        <f t="shared" si="116"/>
        <v>2100</v>
      </c>
      <c r="AS813" t="s">
        <v>874</v>
      </c>
      <c r="AT813" t="s">
        <v>58</v>
      </c>
    </row>
    <row r="814" ht="29" spans="1:46">
      <c r="A814" s="31" t="s">
        <v>169</v>
      </c>
      <c r="C814" t="s">
        <v>4145</v>
      </c>
      <c r="D814" s="5" t="s">
        <v>57</v>
      </c>
      <c r="E814">
        <v>2035</v>
      </c>
      <c r="F814" s="6" t="str">
        <f t="shared" si="110"/>
        <v>*0.94</v>
      </c>
      <c r="H814" t="s">
        <v>4145</v>
      </c>
      <c r="I814" s="5" t="s">
        <v>57</v>
      </c>
      <c r="J814">
        <v>2050</v>
      </c>
      <c r="K814" s="38" t="str">
        <f t="shared" si="111"/>
        <v>*0.92</v>
      </c>
      <c r="P814" s="32" t="s">
        <v>4145</v>
      </c>
      <c r="Q814" s="42" t="s">
        <v>57</v>
      </c>
      <c r="R814" s="32">
        <v>2035</v>
      </c>
      <c r="S814" s="43" t="str">
        <f t="shared" si="112"/>
        <v>*0.93</v>
      </c>
      <c r="U814" s="32" t="s">
        <v>4145</v>
      </c>
      <c r="V814" s="42" t="s">
        <v>57</v>
      </c>
      <c r="W814" s="32">
        <v>2050</v>
      </c>
      <c r="X814" s="43" t="str">
        <f t="shared" si="113"/>
        <v>*0.92</v>
      </c>
      <c r="AC814" s="33" t="s">
        <v>4145</v>
      </c>
      <c r="AD814" s="44" t="s">
        <v>57</v>
      </c>
      <c r="AE814" s="33">
        <v>2035</v>
      </c>
      <c r="AF814" s="45" t="str">
        <f t="shared" si="114"/>
        <v>*0.91</v>
      </c>
      <c r="AG814" s="43" t="str">
        <f t="shared" si="117"/>
        <v>REZoning_Sol-Win</v>
      </c>
      <c r="AI814" s="33" t="s">
        <v>4145</v>
      </c>
      <c r="AJ814" s="44" t="s">
        <v>57</v>
      </c>
      <c r="AK814" s="33">
        <v>2050</v>
      </c>
      <c r="AL814" s="45" t="str">
        <f t="shared" si="115"/>
        <v>*0.87</v>
      </c>
      <c r="AM814" s="43" t="str">
        <f t="shared" si="118"/>
        <v>REZoning_Sol-Win</v>
      </c>
      <c r="AP814" t="s">
        <v>4145</v>
      </c>
      <c r="AQ814" t="s">
        <v>57</v>
      </c>
      <c r="AR814">
        <f t="shared" si="116"/>
        <v>2100</v>
      </c>
      <c r="AS814" t="s">
        <v>874</v>
      </c>
      <c r="AT814" t="s">
        <v>58</v>
      </c>
    </row>
    <row r="815" ht="29" spans="1:46">
      <c r="A815" s="31" t="s">
        <v>169</v>
      </c>
      <c r="C815" t="s">
        <v>4146</v>
      </c>
      <c r="D815" s="5" t="s">
        <v>57</v>
      </c>
      <c r="E815">
        <v>2035</v>
      </c>
      <c r="F815" s="6" t="str">
        <f t="shared" si="110"/>
        <v>*0.94</v>
      </c>
      <c r="H815" t="s">
        <v>4146</v>
      </c>
      <c r="I815" s="5" t="s">
        <v>57</v>
      </c>
      <c r="J815">
        <v>2050</v>
      </c>
      <c r="K815" s="38" t="str">
        <f t="shared" si="111"/>
        <v>*0.92</v>
      </c>
      <c r="P815" s="32" t="s">
        <v>4146</v>
      </c>
      <c r="Q815" s="42" t="s">
        <v>57</v>
      </c>
      <c r="R815" s="32">
        <v>2035</v>
      </c>
      <c r="S815" s="43" t="str">
        <f t="shared" si="112"/>
        <v>*0.93</v>
      </c>
      <c r="U815" s="32" t="s">
        <v>4146</v>
      </c>
      <c r="V815" s="42" t="s">
        <v>57</v>
      </c>
      <c r="W815" s="32">
        <v>2050</v>
      </c>
      <c r="X815" s="43" t="str">
        <f t="shared" si="113"/>
        <v>*0.92</v>
      </c>
      <c r="AC815" s="33" t="s">
        <v>4146</v>
      </c>
      <c r="AD815" s="44" t="s">
        <v>57</v>
      </c>
      <c r="AE815" s="33">
        <v>2035</v>
      </c>
      <c r="AF815" s="45" t="str">
        <f t="shared" si="114"/>
        <v>*0.91</v>
      </c>
      <c r="AG815" s="43" t="str">
        <f t="shared" si="117"/>
        <v>REZoning_Sol-Win</v>
      </c>
      <c r="AI815" s="33" t="s">
        <v>4146</v>
      </c>
      <c r="AJ815" s="44" t="s">
        <v>57</v>
      </c>
      <c r="AK815" s="33">
        <v>2050</v>
      </c>
      <c r="AL815" s="45" t="str">
        <f t="shared" si="115"/>
        <v>*0.87</v>
      </c>
      <c r="AM815" s="43" t="str">
        <f t="shared" si="118"/>
        <v>REZoning_Sol-Win</v>
      </c>
      <c r="AP815" t="s">
        <v>4146</v>
      </c>
      <c r="AQ815" t="s">
        <v>57</v>
      </c>
      <c r="AR815">
        <f t="shared" si="116"/>
        <v>2100</v>
      </c>
      <c r="AS815" t="s">
        <v>874</v>
      </c>
      <c r="AT815" t="s">
        <v>58</v>
      </c>
    </row>
    <row r="816" ht="29" spans="1:46">
      <c r="A816" s="31" t="s">
        <v>169</v>
      </c>
      <c r="C816" t="s">
        <v>4147</v>
      </c>
      <c r="D816" s="5" t="s">
        <v>57</v>
      </c>
      <c r="E816">
        <v>2035</v>
      </c>
      <c r="F816" s="6" t="str">
        <f t="shared" si="110"/>
        <v>*0.94</v>
      </c>
      <c r="H816" t="s">
        <v>4147</v>
      </c>
      <c r="I816" s="5" t="s">
        <v>57</v>
      </c>
      <c r="J816">
        <v>2050</v>
      </c>
      <c r="K816" s="38" t="str">
        <f t="shared" si="111"/>
        <v>*0.92</v>
      </c>
      <c r="P816" s="32" t="s">
        <v>4147</v>
      </c>
      <c r="Q816" s="42" t="s">
        <v>57</v>
      </c>
      <c r="R816" s="32">
        <v>2035</v>
      </c>
      <c r="S816" s="43" t="str">
        <f t="shared" si="112"/>
        <v>*0.93</v>
      </c>
      <c r="U816" s="32" t="s">
        <v>4147</v>
      </c>
      <c r="V816" s="42" t="s">
        <v>57</v>
      </c>
      <c r="W816" s="32">
        <v>2050</v>
      </c>
      <c r="X816" s="43" t="str">
        <f t="shared" si="113"/>
        <v>*0.92</v>
      </c>
      <c r="AC816" s="33" t="s">
        <v>4147</v>
      </c>
      <c r="AD816" s="44" t="s">
        <v>57</v>
      </c>
      <c r="AE816" s="33">
        <v>2035</v>
      </c>
      <c r="AF816" s="45" t="str">
        <f t="shared" si="114"/>
        <v>*0.91</v>
      </c>
      <c r="AG816" s="43" t="str">
        <f t="shared" si="117"/>
        <v>REZoning_Sol-Win</v>
      </c>
      <c r="AI816" s="33" t="s">
        <v>4147</v>
      </c>
      <c r="AJ816" s="44" t="s">
        <v>57</v>
      </c>
      <c r="AK816" s="33">
        <v>2050</v>
      </c>
      <c r="AL816" s="45" t="str">
        <f t="shared" si="115"/>
        <v>*0.87</v>
      </c>
      <c r="AM816" s="43" t="str">
        <f t="shared" si="118"/>
        <v>REZoning_Sol-Win</v>
      </c>
      <c r="AP816" t="s">
        <v>4147</v>
      </c>
      <c r="AQ816" t="s">
        <v>57</v>
      </c>
      <c r="AR816">
        <f t="shared" si="116"/>
        <v>2100</v>
      </c>
      <c r="AS816" t="s">
        <v>874</v>
      </c>
      <c r="AT816" t="s">
        <v>58</v>
      </c>
    </row>
    <row r="817" ht="29" spans="1:46">
      <c r="A817" s="31" t="s">
        <v>169</v>
      </c>
      <c r="C817" t="s">
        <v>4148</v>
      </c>
      <c r="D817" s="5" t="s">
        <v>57</v>
      </c>
      <c r="E817">
        <v>2035</v>
      </c>
      <c r="F817" s="6" t="str">
        <f t="shared" si="110"/>
        <v>*0.94</v>
      </c>
      <c r="H817" t="s">
        <v>4148</v>
      </c>
      <c r="I817" s="5" t="s">
        <v>57</v>
      </c>
      <c r="J817">
        <v>2050</v>
      </c>
      <c r="K817" s="38" t="str">
        <f t="shared" si="111"/>
        <v>*0.92</v>
      </c>
      <c r="P817" s="32" t="s">
        <v>4148</v>
      </c>
      <c r="Q817" s="42" t="s">
        <v>57</v>
      </c>
      <c r="R817" s="32">
        <v>2035</v>
      </c>
      <c r="S817" s="43" t="str">
        <f t="shared" si="112"/>
        <v>*0.93</v>
      </c>
      <c r="U817" s="32" t="s">
        <v>4148</v>
      </c>
      <c r="V817" s="42" t="s">
        <v>57</v>
      </c>
      <c r="W817" s="32">
        <v>2050</v>
      </c>
      <c r="X817" s="43" t="str">
        <f t="shared" si="113"/>
        <v>*0.92</v>
      </c>
      <c r="AC817" s="33" t="s">
        <v>4148</v>
      </c>
      <c r="AD817" s="44" t="s">
        <v>57</v>
      </c>
      <c r="AE817" s="33">
        <v>2035</v>
      </c>
      <c r="AF817" s="45" t="str">
        <f t="shared" si="114"/>
        <v>*0.91</v>
      </c>
      <c r="AG817" s="43" t="str">
        <f t="shared" si="117"/>
        <v>REZoning_Sol-Win</v>
      </c>
      <c r="AI817" s="33" t="s">
        <v>4148</v>
      </c>
      <c r="AJ817" s="44" t="s">
        <v>57</v>
      </c>
      <c r="AK817" s="33">
        <v>2050</v>
      </c>
      <c r="AL817" s="45" t="str">
        <f t="shared" si="115"/>
        <v>*0.87</v>
      </c>
      <c r="AM817" s="43" t="str">
        <f t="shared" si="118"/>
        <v>REZoning_Sol-Win</v>
      </c>
      <c r="AP817" t="s">
        <v>4148</v>
      </c>
      <c r="AQ817" t="s">
        <v>57</v>
      </c>
      <c r="AR817">
        <f t="shared" si="116"/>
        <v>2100</v>
      </c>
      <c r="AS817" t="s">
        <v>874</v>
      </c>
      <c r="AT817" t="s">
        <v>58</v>
      </c>
    </row>
    <row r="818" ht="29" spans="1:46">
      <c r="A818" s="31" t="s">
        <v>169</v>
      </c>
      <c r="C818" t="s">
        <v>4149</v>
      </c>
      <c r="D818" s="5" t="s">
        <v>57</v>
      </c>
      <c r="E818">
        <v>2035</v>
      </c>
      <c r="F818" s="6" t="str">
        <f t="shared" si="110"/>
        <v>*0.94</v>
      </c>
      <c r="H818" t="s">
        <v>4149</v>
      </c>
      <c r="I818" s="5" t="s">
        <v>57</v>
      </c>
      <c r="J818">
        <v>2050</v>
      </c>
      <c r="K818" s="38" t="str">
        <f t="shared" si="111"/>
        <v>*0.92</v>
      </c>
      <c r="P818" s="32" t="s">
        <v>4149</v>
      </c>
      <c r="Q818" s="42" t="s">
        <v>57</v>
      </c>
      <c r="R818" s="32">
        <v>2035</v>
      </c>
      <c r="S818" s="43" t="str">
        <f t="shared" si="112"/>
        <v>*0.93</v>
      </c>
      <c r="U818" s="32" t="s">
        <v>4149</v>
      </c>
      <c r="V818" s="42" t="s">
        <v>57</v>
      </c>
      <c r="W818" s="32">
        <v>2050</v>
      </c>
      <c r="X818" s="43" t="str">
        <f t="shared" si="113"/>
        <v>*0.92</v>
      </c>
      <c r="AC818" s="33" t="s">
        <v>4149</v>
      </c>
      <c r="AD818" s="44" t="s">
        <v>57</v>
      </c>
      <c r="AE818" s="33">
        <v>2035</v>
      </c>
      <c r="AF818" s="45" t="str">
        <f t="shared" si="114"/>
        <v>*0.91</v>
      </c>
      <c r="AG818" s="43" t="str">
        <f t="shared" si="117"/>
        <v>REZoning_Sol-Win</v>
      </c>
      <c r="AI818" s="33" t="s">
        <v>4149</v>
      </c>
      <c r="AJ818" s="44" t="s">
        <v>57</v>
      </c>
      <c r="AK818" s="33">
        <v>2050</v>
      </c>
      <c r="AL818" s="45" t="str">
        <f t="shared" si="115"/>
        <v>*0.87</v>
      </c>
      <c r="AM818" s="43" t="str">
        <f t="shared" si="118"/>
        <v>REZoning_Sol-Win</v>
      </c>
      <c r="AP818" t="s">
        <v>4149</v>
      </c>
      <c r="AQ818" t="s">
        <v>57</v>
      </c>
      <c r="AR818">
        <f t="shared" si="116"/>
        <v>2100</v>
      </c>
      <c r="AS818" t="s">
        <v>874</v>
      </c>
      <c r="AT818" t="s">
        <v>58</v>
      </c>
    </row>
    <row r="819" ht="29" spans="1:46">
      <c r="A819" s="31" t="s">
        <v>169</v>
      </c>
      <c r="C819" t="s">
        <v>4150</v>
      </c>
      <c r="D819" s="5" t="s">
        <v>57</v>
      </c>
      <c r="E819">
        <v>2035</v>
      </c>
      <c r="F819" s="6" t="str">
        <f t="shared" si="110"/>
        <v>*0.94</v>
      </c>
      <c r="H819" t="s">
        <v>4150</v>
      </c>
      <c r="I819" s="5" t="s">
        <v>57</v>
      </c>
      <c r="J819">
        <v>2050</v>
      </c>
      <c r="K819" s="38" t="str">
        <f t="shared" si="111"/>
        <v>*0.92</v>
      </c>
      <c r="P819" s="32" t="s">
        <v>4150</v>
      </c>
      <c r="Q819" s="42" t="s">
        <v>57</v>
      </c>
      <c r="R819" s="32">
        <v>2035</v>
      </c>
      <c r="S819" s="43" t="str">
        <f t="shared" si="112"/>
        <v>*0.93</v>
      </c>
      <c r="U819" s="32" t="s">
        <v>4150</v>
      </c>
      <c r="V819" s="42" t="s">
        <v>57</v>
      </c>
      <c r="W819" s="32">
        <v>2050</v>
      </c>
      <c r="X819" s="43" t="str">
        <f t="shared" si="113"/>
        <v>*0.92</v>
      </c>
      <c r="AC819" s="33" t="s">
        <v>4150</v>
      </c>
      <c r="AD819" s="44" t="s">
        <v>57</v>
      </c>
      <c r="AE819" s="33">
        <v>2035</v>
      </c>
      <c r="AF819" s="45" t="str">
        <f t="shared" si="114"/>
        <v>*0.91</v>
      </c>
      <c r="AG819" s="43" t="str">
        <f t="shared" si="117"/>
        <v>REZoning_Sol-Win</v>
      </c>
      <c r="AI819" s="33" t="s">
        <v>4150</v>
      </c>
      <c r="AJ819" s="44" t="s">
        <v>57</v>
      </c>
      <c r="AK819" s="33">
        <v>2050</v>
      </c>
      <c r="AL819" s="45" t="str">
        <f t="shared" si="115"/>
        <v>*0.87</v>
      </c>
      <c r="AM819" s="43" t="str">
        <f t="shared" si="118"/>
        <v>REZoning_Sol-Win</v>
      </c>
      <c r="AP819" t="s">
        <v>4150</v>
      </c>
      <c r="AQ819" t="s">
        <v>57</v>
      </c>
      <c r="AR819">
        <f t="shared" si="116"/>
        <v>2100</v>
      </c>
      <c r="AS819" t="s">
        <v>874</v>
      </c>
      <c r="AT819" t="s">
        <v>58</v>
      </c>
    </row>
    <row r="820" ht="29" spans="1:46">
      <c r="A820" s="31" t="s">
        <v>169</v>
      </c>
      <c r="C820" t="s">
        <v>4151</v>
      </c>
      <c r="D820" s="5" t="s">
        <v>57</v>
      </c>
      <c r="E820">
        <v>2035</v>
      </c>
      <c r="F820" s="6" t="str">
        <f t="shared" si="110"/>
        <v>*0.94</v>
      </c>
      <c r="H820" t="s">
        <v>4151</v>
      </c>
      <c r="I820" s="5" t="s">
        <v>57</v>
      </c>
      <c r="J820">
        <v>2050</v>
      </c>
      <c r="K820" s="38" t="str">
        <f t="shared" si="111"/>
        <v>*0.92</v>
      </c>
      <c r="P820" s="32" t="s">
        <v>4151</v>
      </c>
      <c r="Q820" s="42" t="s">
        <v>57</v>
      </c>
      <c r="R820" s="32">
        <v>2035</v>
      </c>
      <c r="S820" s="43" t="str">
        <f t="shared" si="112"/>
        <v>*0.93</v>
      </c>
      <c r="U820" s="32" t="s">
        <v>4151</v>
      </c>
      <c r="V820" s="42" t="s">
        <v>57</v>
      </c>
      <c r="W820" s="32">
        <v>2050</v>
      </c>
      <c r="X820" s="43" t="str">
        <f t="shared" si="113"/>
        <v>*0.92</v>
      </c>
      <c r="AC820" s="33" t="s">
        <v>4151</v>
      </c>
      <c r="AD820" s="44" t="s">
        <v>57</v>
      </c>
      <c r="AE820" s="33">
        <v>2035</v>
      </c>
      <c r="AF820" s="45" t="str">
        <f t="shared" si="114"/>
        <v>*0.91</v>
      </c>
      <c r="AG820" s="43" t="str">
        <f t="shared" si="117"/>
        <v>REZoning_Sol-Win</v>
      </c>
      <c r="AI820" s="33" t="s">
        <v>4151</v>
      </c>
      <c r="AJ820" s="44" t="s">
        <v>57</v>
      </c>
      <c r="AK820" s="33">
        <v>2050</v>
      </c>
      <c r="AL820" s="45" t="str">
        <f t="shared" si="115"/>
        <v>*0.87</v>
      </c>
      <c r="AM820" s="43" t="str">
        <f t="shared" si="118"/>
        <v>REZoning_Sol-Win</v>
      </c>
      <c r="AP820" t="s">
        <v>4151</v>
      </c>
      <c r="AQ820" t="s">
        <v>57</v>
      </c>
      <c r="AR820">
        <f t="shared" si="116"/>
        <v>2100</v>
      </c>
      <c r="AS820" t="s">
        <v>874</v>
      </c>
      <c r="AT820" t="s">
        <v>58</v>
      </c>
    </row>
    <row r="821" ht="29" spans="1:46">
      <c r="A821" s="31" t="s">
        <v>169</v>
      </c>
      <c r="C821" t="s">
        <v>4152</v>
      </c>
      <c r="D821" s="5" t="s">
        <v>57</v>
      </c>
      <c r="E821">
        <v>2035</v>
      </c>
      <c r="F821" s="6" t="str">
        <f t="shared" si="110"/>
        <v>*0.94</v>
      </c>
      <c r="H821" t="s">
        <v>4152</v>
      </c>
      <c r="I821" s="5" t="s">
        <v>57</v>
      </c>
      <c r="J821">
        <v>2050</v>
      </c>
      <c r="K821" s="38" t="str">
        <f t="shared" si="111"/>
        <v>*0.92</v>
      </c>
      <c r="P821" s="32" t="s">
        <v>4152</v>
      </c>
      <c r="Q821" s="42" t="s">
        <v>57</v>
      </c>
      <c r="R821" s="32">
        <v>2035</v>
      </c>
      <c r="S821" s="43" t="str">
        <f t="shared" si="112"/>
        <v>*0.93</v>
      </c>
      <c r="U821" s="32" t="s">
        <v>4152</v>
      </c>
      <c r="V821" s="42" t="s">
        <v>57</v>
      </c>
      <c r="W821" s="32">
        <v>2050</v>
      </c>
      <c r="X821" s="43" t="str">
        <f t="shared" si="113"/>
        <v>*0.92</v>
      </c>
      <c r="AC821" s="33" t="s">
        <v>4152</v>
      </c>
      <c r="AD821" s="44" t="s">
        <v>57</v>
      </c>
      <c r="AE821" s="33">
        <v>2035</v>
      </c>
      <c r="AF821" s="45" t="str">
        <f t="shared" si="114"/>
        <v>*0.91</v>
      </c>
      <c r="AG821" s="43" t="str">
        <f t="shared" si="117"/>
        <v>REZoning_Sol-Win</v>
      </c>
      <c r="AI821" s="33" t="s">
        <v>4152</v>
      </c>
      <c r="AJ821" s="44" t="s">
        <v>57</v>
      </c>
      <c r="AK821" s="33">
        <v>2050</v>
      </c>
      <c r="AL821" s="45" t="str">
        <f t="shared" si="115"/>
        <v>*0.87</v>
      </c>
      <c r="AM821" s="43" t="str">
        <f t="shared" si="118"/>
        <v>REZoning_Sol-Win</v>
      </c>
      <c r="AP821" t="s">
        <v>4152</v>
      </c>
      <c r="AQ821" t="s">
        <v>57</v>
      </c>
      <c r="AR821">
        <f t="shared" si="116"/>
        <v>2100</v>
      </c>
      <c r="AS821" t="s">
        <v>874</v>
      </c>
      <c r="AT821" t="s">
        <v>58</v>
      </c>
    </row>
    <row r="822" ht="29" spans="1:46">
      <c r="A822" s="31" t="s">
        <v>73</v>
      </c>
      <c r="C822" t="s">
        <v>4153</v>
      </c>
      <c r="D822" s="5" t="s">
        <v>57</v>
      </c>
      <c r="E822">
        <v>2035</v>
      </c>
      <c r="F822" s="6" t="str">
        <f t="shared" si="110"/>
        <v>*0.95</v>
      </c>
      <c r="H822" t="s">
        <v>4153</v>
      </c>
      <c r="I822" s="5" t="s">
        <v>57</v>
      </c>
      <c r="J822">
        <v>2050</v>
      </c>
      <c r="K822" s="38" t="str">
        <f t="shared" si="111"/>
        <v>*0.93</v>
      </c>
      <c r="P822" s="32" t="s">
        <v>4153</v>
      </c>
      <c r="Q822" s="42" t="s">
        <v>57</v>
      </c>
      <c r="R822" s="32">
        <v>2035</v>
      </c>
      <c r="S822" s="43" t="str">
        <f t="shared" si="112"/>
        <v>*0.95</v>
      </c>
      <c r="U822" s="32" t="s">
        <v>4153</v>
      </c>
      <c r="V822" s="42" t="s">
        <v>57</v>
      </c>
      <c r="W822" s="32">
        <v>2050</v>
      </c>
      <c r="X822" s="43" t="str">
        <f t="shared" si="113"/>
        <v>*0.93</v>
      </c>
      <c r="AC822" s="33" t="s">
        <v>4153</v>
      </c>
      <c r="AD822" s="44" t="s">
        <v>57</v>
      </c>
      <c r="AE822" s="33">
        <v>2035</v>
      </c>
      <c r="AF822" s="45" t="str">
        <f t="shared" si="114"/>
        <v>*0.93</v>
      </c>
      <c r="AG822" s="43" t="str">
        <f t="shared" si="117"/>
        <v>REZoning_Sol-Win</v>
      </c>
      <c r="AI822" s="33" t="s">
        <v>4153</v>
      </c>
      <c r="AJ822" s="44" t="s">
        <v>57</v>
      </c>
      <c r="AK822" s="33">
        <v>2050</v>
      </c>
      <c r="AL822" s="45" t="str">
        <f t="shared" si="115"/>
        <v>*0.9</v>
      </c>
      <c r="AM822" s="43" t="str">
        <f t="shared" si="118"/>
        <v>REZoning_Sol-Win</v>
      </c>
      <c r="AP822" t="s">
        <v>4153</v>
      </c>
      <c r="AQ822" t="s">
        <v>57</v>
      </c>
      <c r="AR822">
        <f t="shared" si="116"/>
        <v>2100</v>
      </c>
      <c r="AS822" t="s">
        <v>897</v>
      </c>
      <c r="AT822" t="s">
        <v>58</v>
      </c>
    </row>
    <row r="823" ht="29" spans="1:46">
      <c r="A823" s="31" t="s">
        <v>73</v>
      </c>
      <c r="C823" t="s">
        <v>4154</v>
      </c>
      <c r="D823" s="5" t="s">
        <v>57</v>
      </c>
      <c r="E823">
        <v>2035</v>
      </c>
      <c r="F823" s="6" t="str">
        <f t="shared" si="110"/>
        <v>*0.95</v>
      </c>
      <c r="H823" t="s">
        <v>4154</v>
      </c>
      <c r="I823" s="5" t="s">
        <v>57</v>
      </c>
      <c r="J823">
        <v>2050</v>
      </c>
      <c r="K823" s="38" t="str">
        <f t="shared" si="111"/>
        <v>*0.93</v>
      </c>
      <c r="P823" s="32" t="s">
        <v>4154</v>
      </c>
      <c r="Q823" s="42" t="s">
        <v>57</v>
      </c>
      <c r="R823" s="32">
        <v>2035</v>
      </c>
      <c r="S823" s="43" t="str">
        <f t="shared" si="112"/>
        <v>*0.95</v>
      </c>
      <c r="U823" s="32" t="s">
        <v>4154</v>
      </c>
      <c r="V823" s="42" t="s">
        <v>57</v>
      </c>
      <c r="W823" s="32">
        <v>2050</v>
      </c>
      <c r="X823" s="43" t="str">
        <f t="shared" si="113"/>
        <v>*0.93</v>
      </c>
      <c r="AC823" s="33" t="s">
        <v>4154</v>
      </c>
      <c r="AD823" s="44" t="s">
        <v>57</v>
      </c>
      <c r="AE823" s="33">
        <v>2035</v>
      </c>
      <c r="AF823" s="45" t="str">
        <f t="shared" si="114"/>
        <v>*0.93</v>
      </c>
      <c r="AG823" s="43" t="str">
        <f t="shared" si="117"/>
        <v>REZoning_Sol-Win</v>
      </c>
      <c r="AI823" s="33" t="s">
        <v>4154</v>
      </c>
      <c r="AJ823" s="44" t="s">
        <v>57</v>
      </c>
      <c r="AK823" s="33">
        <v>2050</v>
      </c>
      <c r="AL823" s="45" t="str">
        <f t="shared" si="115"/>
        <v>*0.9</v>
      </c>
      <c r="AM823" s="43" t="str">
        <f t="shared" si="118"/>
        <v>REZoning_Sol-Win</v>
      </c>
      <c r="AP823" t="s">
        <v>4154</v>
      </c>
      <c r="AQ823" t="s">
        <v>57</v>
      </c>
      <c r="AR823">
        <f t="shared" si="116"/>
        <v>2100</v>
      </c>
      <c r="AS823" t="s">
        <v>897</v>
      </c>
      <c r="AT823" t="s">
        <v>58</v>
      </c>
    </row>
    <row r="824" ht="29" spans="1:46">
      <c r="A824" s="31" t="s">
        <v>73</v>
      </c>
      <c r="C824" t="s">
        <v>4155</v>
      </c>
      <c r="D824" s="5" t="s">
        <v>57</v>
      </c>
      <c r="E824">
        <v>2035</v>
      </c>
      <c r="F824" s="6" t="str">
        <f t="shared" si="110"/>
        <v>*0.95</v>
      </c>
      <c r="H824" t="s">
        <v>4155</v>
      </c>
      <c r="I824" s="5" t="s">
        <v>57</v>
      </c>
      <c r="J824">
        <v>2050</v>
      </c>
      <c r="K824" s="38" t="str">
        <f t="shared" si="111"/>
        <v>*0.93</v>
      </c>
      <c r="P824" s="32" t="s">
        <v>4155</v>
      </c>
      <c r="Q824" s="42" t="s">
        <v>57</v>
      </c>
      <c r="R824" s="32">
        <v>2035</v>
      </c>
      <c r="S824" s="43" t="str">
        <f t="shared" si="112"/>
        <v>*0.95</v>
      </c>
      <c r="U824" s="32" t="s">
        <v>4155</v>
      </c>
      <c r="V824" s="42" t="s">
        <v>57</v>
      </c>
      <c r="W824" s="32">
        <v>2050</v>
      </c>
      <c r="X824" s="43" t="str">
        <f t="shared" si="113"/>
        <v>*0.93</v>
      </c>
      <c r="AC824" s="33" t="s">
        <v>4155</v>
      </c>
      <c r="AD824" s="44" t="s">
        <v>57</v>
      </c>
      <c r="AE824" s="33">
        <v>2035</v>
      </c>
      <c r="AF824" s="45" t="str">
        <f t="shared" si="114"/>
        <v>*0.93</v>
      </c>
      <c r="AG824" s="43" t="str">
        <f t="shared" si="117"/>
        <v>REZoning_Sol-Win</v>
      </c>
      <c r="AI824" s="33" t="s">
        <v>4155</v>
      </c>
      <c r="AJ824" s="44" t="s">
        <v>57</v>
      </c>
      <c r="AK824" s="33">
        <v>2050</v>
      </c>
      <c r="AL824" s="45" t="str">
        <f t="shared" si="115"/>
        <v>*0.9</v>
      </c>
      <c r="AM824" s="43" t="str">
        <f t="shared" si="118"/>
        <v>REZoning_Sol-Win</v>
      </c>
      <c r="AP824" t="s">
        <v>4155</v>
      </c>
      <c r="AQ824" t="s">
        <v>57</v>
      </c>
      <c r="AR824">
        <f t="shared" si="116"/>
        <v>2100</v>
      </c>
      <c r="AS824" t="s">
        <v>897</v>
      </c>
      <c r="AT824" t="s">
        <v>58</v>
      </c>
    </row>
    <row r="825" ht="29" spans="1:46">
      <c r="A825" s="31" t="s">
        <v>73</v>
      </c>
      <c r="C825" t="s">
        <v>4156</v>
      </c>
      <c r="D825" s="5" t="s">
        <v>57</v>
      </c>
      <c r="E825">
        <v>2035</v>
      </c>
      <c r="F825" s="6" t="str">
        <f t="shared" si="110"/>
        <v>*0.95</v>
      </c>
      <c r="H825" t="s">
        <v>4156</v>
      </c>
      <c r="I825" s="5" t="s">
        <v>57</v>
      </c>
      <c r="J825">
        <v>2050</v>
      </c>
      <c r="K825" s="38" t="str">
        <f t="shared" si="111"/>
        <v>*0.93</v>
      </c>
      <c r="P825" s="32" t="s">
        <v>4156</v>
      </c>
      <c r="Q825" s="42" t="s">
        <v>57</v>
      </c>
      <c r="R825" s="32">
        <v>2035</v>
      </c>
      <c r="S825" s="43" t="str">
        <f t="shared" si="112"/>
        <v>*0.95</v>
      </c>
      <c r="U825" s="32" t="s">
        <v>4156</v>
      </c>
      <c r="V825" s="42" t="s">
        <v>57</v>
      </c>
      <c r="W825" s="32">
        <v>2050</v>
      </c>
      <c r="X825" s="43" t="str">
        <f t="shared" si="113"/>
        <v>*0.93</v>
      </c>
      <c r="AC825" s="33" t="s">
        <v>4156</v>
      </c>
      <c r="AD825" s="44" t="s">
        <v>57</v>
      </c>
      <c r="AE825" s="33">
        <v>2035</v>
      </c>
      <c r="AF825" s="45" t="str">
        <f t="shared" si="114"/>
        <v>*0.93</v>
      </c>
      <c r="AG825" s="43" t="str">
        <f t="shared" si="117"/>
        <v>REZoning_Sol-Win</v>
      </c>
      <c r="AI825" s="33" t="s">
        <v>4156</v>
      </c>
      <c r="AJ825" s="44" t="s">
        <v>57</v>
      </c>
      <c r="AK825" s="33">
        <v>2050</v>
      </c>
      <c r="AL825" s="45" t="str">
        <f t="shared" si="115"/>
        <v>*0.9</v>
      </c>
      <c r="AM825" s="43" t="str">
        <f t="shared" si="118"/>
        <v>REZoning_Sol-Win</v>
      </c>
      <c r="AP825" t="s">
        <v>4156</v>
      </c>
      <c r="AQ825" t="s">
        <v>57</v>
      </c>
      <c r="AR825">
        <f t="shared" si="116"/>
        <v>2100</v>
      </c>
      <c r="AS825" t="s">
        <v>897</v>
      </c>
      <c r="AT825" t="s">
        <v>58</v>
      </c>
    </row>
    <row r="826" ht="29" spans="1:46">
      <c r="A826" s="31" t="s">
        <v>73</v>
      </c>
      <c r="C826" t="s">
        <v>4157</v>
      </c>
      <c r="D826" s="5" t="s">
        <v>57</v>
      </c>
      <c r="E826">
        <v>2035</v>
      </c>
      <c r="F826" s="6" t="str">
        <f t="shared" si="110"/>
        <v>*0.95</v>
      </c>
      <c r="H826" t="s">
        <v>4157</v>
      </c>
      <c r="I826" s="5" t="s">
        <v>57</v>
      </c>
      <c r="J826">
        <v>2050</v>
      </c>
      <c r="K826" s="38" t="str">
        <f t="shared" si="111"/>
        <v>*0.93</v>
      </c>
      <c r="P826" s="32" t="s">
        <v>4157</v>
      </c>
      <c r="Q826" s="42" t="s">
        <v>57</v>
      </c>
      <c r="R826" s="32">
        <v>2035</v>
      </c>
      <c r="S826" s="43" t="str">
        <f t="shared" si="112"/>
        <v>*0.95</v>
      </c>
      <c r="U826" s="32" t="s">
        <v>4157</v>
      </c>
      <c r="V826" s="42" t="s">
        <v>57</v>
      </c>
      <c r="W826" s="32">
        <v>2050</v>
      </c>
      <c r="X826" s="43" t="str">
        <f t="shared" si="113"/>
        <v>*0.93</v>
      </c>
      <c r="AC826" s="33" t="s">
        <v>4157</v>
      </c>
      <c r="AD826" s="44" t="s">
        <v>57</v>
      </c>
      <c r="AE826" s="33">
        <v>2035</v>
      </c>
      <c r="AF826" s="45" t="str">
        <f t="shared" si="114"/>
        <v>*0.93</v>
      </c>
      <c r="AG826" s="43" t="str">
        <f t="shared" si="117"/>
        <v>REZoning_Sol-Win</v>
      </c>
      <c r="AI826" s="33" t="s">
        <v>4157</v>
      </c>
      <c r="AJ826" s="44" t="s">
        <v>57</v>
      </c>
      <c r="AK826" s="33">
        <v>2050</v>
      </c>
      <c r="AL826" s="45" t="str">
        <f t="shared" si="115"/>
        <v>*0.9</v>
      </c>
      <c r="AM826" s="43" t="str">
        <f t="shared" si="118"/>
        <v>REZoning_Sol-Win</v>
      </c>
      <c r="AP826" t="s">
        <v>4157</v>
      </c>
      <c r="AQ826" t="s">
        <v>57</v>
      </c>
      <c r="AR826">
        <f t="shared" si="116"/>
        <v>2100</v>
      </c>
      <c r="AS826" t="s">
        <v>897</v>
      </c>
      <c r="AT826" t="s">
        <v>58</v>
      </c>
    </row>
    <row r="827" ht="29" spans="1:46">
      <c r="A827" s="31" t="s">
        <v>169</v>
      </c>
      <c r="C827" t="s">
        <v>4158</v>
      </c>
      <c r="D827" s="5" t="s">
        <v>57</v>
      </c>
      <c r="E827">
        <v>2035</v>
      </c>
      <c r="F827" s="6" t="str">
        <f t="shared" si="110"/>
        <v>*0.94</v>
      </c>
      <c r="H827" t="s">
        <v>4158</v>
      </c>
      <c r="I827" s="5" t="s">
        <v>57</v>
      </c>
      <c r="J827">
        <v>2050</v>
      </c>
      <c r="K827" s="38" t="str">
        <f t="shared" si="111"/>
        <v>*0.92</v>
      </c>
      <c r="P827" s="32" t="s">
        <v>4158</v>
      </c>
      <c r="Q827" s="42" t="s">
        <v>57</v>
      </c>
      <c r="R827" s="32">
        <v>2035</v>
      </c>
      <c r="S827" s="43" t="str">
        <f t="shared" si="112"/>
        <v>*0.93</v>
      </c>
      <c r="U827" s="32" t="s">
        <v>4158</v>
      </c>
      <c r="V827" s="42" t="s">
        <v>57</v>
      </c>
      <c r="W827" s="32">
        <v>2050</v>
      </c>
      <c r="X827" s="43" t="str">
        <f t="shared" si="113"/>
        <v>*0.92</v>
      </c>
      <c r="AC827" s="33" t="s">
        <v>4158</v>
      </c>
      <c r="AD827" s="44" t="s">
        <v>57</v>
      </c>
      <c r="AE827" s="33">
        <v>2035</v>
      </c>
      <c r="AF827" s="45" t="str">
        <f t="shared" si="114"/>
        <v>*0.91</v>
      </c>
      <c r="AG827" s="43" t="str">
        <f t="shared" si="117"/>
        <v>REZoning_Sol-Win</v>
      </c>
      <c r="AI827" s="33" t="s">
        <v>4158</v>
      </c>
      <c r="AJ827" s="44" t="s">
        <v>57</v>
      </c>
      <c r="AK827" s="33">
        <v>2050</v>
      </c>
      <c r="AL827" s="45" t="str">
        <f t="shared" si="115"/>
        <v>*0.87</v>
      </c>
      <c r="AM827" s="43" t="str">
        <f t="shared" si="118"/>
        <v>REZoning_Sol-Win</v>
      </c>
      <c r="AP827" t="s">
        <v>4158</v>
      </c>
      <c r="AQ827" t="s">
        <v>57</v>
      </c>
      <c r="AR827">
        <f t="shared" si="116"/>
        <v>2100</v>
      </c>
      <c r="AS827" t="s">
        <v>874</v>
      </c>
      <c r="AT827" t="s">
        <v>58</v>
      </c>
    </row>
    <row r="828" ht="29" spans="1:46">
      <c r="A828" s="31" t="s">
        <v>169</v>
      </c>
      <c r="C828" t="s">
        <v>4159</v>
      </c>
      <c r="D828" s="5" t="s">
        <v>57</v>
      </c>
      <c r="E828">
        <v>2035</v>
      </c>
      <c r="F828" s="6" t="str">
        <f t="shared" si="110"/>
        <v>*0.94</v>
      </c>
      <c r="H828" t="s">
        <v>4159</v>
      </c>
      <c r="I828" s="5" t="s">
        <v>57</v>
      </c>
      <c r="J828">
        <v>2050</v>
      </c>
      <c r="K828" s="38" t="str">
        <f t="shared" si="111"/>
        <v>*0.92</v>
      </c>
      <c r="P828" s="32" t="s">
        <v>4159</v>
      </c>
      <c r="Q828" s="42" t="s">
        <v>57</v>
      </c>
      <c r="R828" s="32">
        <v>2035</v>
      </c>
      <c r="S828" s="43" t="str">
        <f t="shared" si="112"/>
        <v>*0.93</v>
      </c>
      <c r="U828" s="32" t="s">
        <v>4159</v>
      </c>
      <c r="V828" s="42" t="s">
        <v>57</v>
      </c>
      <c r="W828" s="32">
        <v>2050</v>
      </c>
      <c r="X828" s="43" t="str">
        <f t="shared" si="113"/>
        <v>*0.92</v>
      </c>
      <c r="AC828" s="33" t="s">
        <v>4159</v>
      </c>
      <c r="AD828" s="44" t="s">
        <v>57</v>
      </c>
      <c r="AE828" s="33">
        <v>2035</v>
      </c>
      <c r="AF828" s="45" t="str">
        <f t="shared" si="114"/>
        <v>*0.91</v>
      </c>
      <c r="AG828" s="43" t="str">
        <f t="shared" si="117"/>
        <v>REZoning_Sol-Win</v>
      </c>
      <c r="AI828" s="33" t="s">
        <v>4159</v>
      </c>
      <c r="AJ828" s="44" t="s">
        <v>57</v>
      </c>
      <c r="AK828" s="33">
        <v>2050</v>
      </c>
      <c r="AL828" s="45" t="str">
        <f t="shared" si="115"/>
        <v>*0.87</v>
      </c>
      <c r="AM828" s="43" t="str">
        <f t="shared" si="118"/>
        <v>REZoning_Sol-Win</v>
      </c>
      <c r="AP828" t="s">
        <v>4159</v>
      </c>
      <c r="AQ828" t="s">
        <v>57</v>
      </c>
      <c r="AR828">
        <f t="shared" si="116"/>
        <v>2100</v>
      </c>
      <c r="AS828" t="s">
        <v>874</v>
      </c>
      <c r="AT828" t="s">
        <v>58</v>
      </c>
    </row>
    <row r="829" ht="29" spans="1:46">
      <c r="A829" s="31" t="s">
        <v>169</v>
      </c>
      <c r="C829" t="s">
        <v>4160</v>
      </c>
      <c r="D829" s="5" t="s">
        <v>57</v>
      </c>
      <c r="E829">
        <v>2035</v>
      </c>
      <c r="F829" s="6" t="str">
        <f t="shared" si="110"/>
        <v>*0.94</v>
      </c>
      <c r="H829" t="s">
        <v>4160</v>
      </c>
      <c r="I829" s="5" t="s">
        <v>57</v>
      </c>
      <c r="J829">
        <v>2050</v>
      </c>
      <c r="K829" s="38" t="str">
        <f t="shared" si="111"/>
        <v>*0.92</v>
      </c>
      <c r="P829" s="32" t="s">
        <v>4160</v>
      </c>
      <c r="Q829" s="42" t="s">
        <v>57</v>
      </c>
      <c r="R829" s="32">
        <v>2035</v>
      </c>
      <c r="S829" s="43" t="str">
        <f t="shared" si="112"/>
        <v>*0.93</v>
      </c>
      <c r="U829" s="32" t="s">
        <v>4160</v>
      </c>
      <c r="V829" s="42" t="s">
        <v>57</v>
      </c>
      <c r="W829" s="32">
        <v>2050</v>
      </c>
      <c r="X829" s="43" t="str">
        <f t="shared" si="113"/>
        <v>*0.92</v>
      </c>
      <c r="AC829" s="33" t="s">
        <v>4160</v>
      </c>
      <c r="AD829" s="44" t="s">
        <v>57</v>
      </c>
      <c r="AE829" s="33">
        <v>2035</v>
      </c>
      <c r="AF829" s="45" t="str">
        <f t="shared" si="114"/>
        <v>*0.91</v>
      </c>
      <c r="AG829" s="43" t="str">
        <f t="shared" si="117"/>
        <v>REZoning_Sol-Win</v>
      </c>
      <c r="AI829" s="33" t="s">
        <v>4160</v>
      </c>
      <c r="AJ829" s="44" t="s">
        <v>57</v>
      </c>
      <c r="AK829" s="33">
        <v>2050</v>
      </c>
      <c r="AL829" s="45" t="str">
        <f t="shared" si="115"/>
        <v>*0.87</v>
      </c>
      <c r="AM829" s="43" t="str">
        <f t="shared" si="118"/>
        <v>REZoning_Sol-Win</v>
      </c>
      <c r="AP829" t="s">
        <v>4160</v>
      </c>
      <c r="AQ829" t="s">
        <v>57</v>
      </c>
      <c r="AR829">
        <f t="shared" si="116"/>
        <v>2100</v>
      </c>
      <c r="AS829" t="s">
        <v>874</v>
      </c>
      <c r="AT829" t="s">
        <v>58</v>
      </c>
    </row>
    <row r="830" ht="29" spans="1:46">
      <c r="A830" s="31" t="s">
        <v>169</v>
      </c>
      <c r="C830" t="s">
        <v>4161</v>
      </c>
      <c r="D830" s="5" t="s">
        <v>57</v>
      </c>
      <c r="E830">
        <v>2035</v>
      </c>
      <c r="F830" s="6" t="str">
        <f t="shared" si="110"/>
        <v>*0.94</v>
      </c>
      <c r="H830" t="s">
        <v>4161</v>
      </c>
      <c r="I830" s="5" t="s">
        <v>57</v>
      </c>
      <c r="J830">
        <v>2050</v>
      </c>
      <c r="K830" s="38" t="str">
        <f t="shared" si="111"/>
        <v>*0.92</v>
      </c>
      <c r="P830" s="32" t="s">
        <v>4161</v>
      </c>
      <c r="Q830" s="42" t="s">
        <v>57</v>
      </c>
      <c r="R830" s="32">
        <v>2035</v>
      </c>
      <c r="S830" s="43" t="str">
        <f t="shared" si="112"/>
        <v>*0.93</v>
      </c>
      <c r="U830" s="32" t="s">
        <v>4161</v>
      </c>
      <c r="V830" s="42" t="s">
        <v>57</v>
      </c>
      <c r="W830" s="32">
        <v>2050</v>
      </c>
      <c r="X830" s="43" t="str">
        <f t="shared" si="113"/>
        <v>*0.92</v>
      </c>
      <c r="AC830" s="33" t="s">
        <v>4161</v>
      </c>
      <c r="AD830" s="44" t="s">
        <v>57</v>
      </c>
      <c r="AE830" s="33">
        <v>2035</v>
      </c>
      <c r="AF830" s="45" t="str">
        <f t="shared" si="114"/>
        <v>*0.91</v>
      </c>
      <c r="AG830" s="43" t="str">
        <f t="shared" si="117"/>
        <v>REZoning_Sol-Win</v>
      </c>
      <c r="AI830" s="33" t="s">
        <v>4161</v>
      </c>
      <c r="AJ830" s="44" t="s">
        <v>57</v>
      </c>
      <c r="AK830" s="33">
        <v>2050</v>
      </c>
      <c r="AL830" s="45" t="str">
        <f t="shared" si="115"/>
        <v>*0.87</v>
      </c>
      <c r="AM830" s="43" t="str">
        <f t="shared" si="118"/>
        <v>REZoning_Sol-Win</v>
      </c>
      <c r="AP830" t="s">
        <v>4161</v>
      </c>
      <c r="AQ830" t="s">
        <v>57</v>
      </c>
      <c r="AR830">
        <f t="shared" si="116"/>
        <v>2100</v>
      </c>
      <c r="AS830" t="s">
        <v>874</v>
      </c>
      <c r="AT830" t="s">
        <v>58</v>
      </c>
    </row>
    <row r="831" ht="29" spans="1:46">
      <c r="A831" s="31" t="s">
        <v>169</v>
      </c>
      <c r="C831" t="s">
        <v>4162</v>
      </c>
      <c r="D831" s="5" t="s">
        <v>57</v>
      </c>
      <c r="E831">
        <v>2035</v>
      </c>
      <c r="F831" s="6" t="str">
        <f t="shared" si="110"/>
        <v>*0.94</v>
      </c>
      <c r="H831" t="s">
        <v>4162</v>
      </c>
      <c r="I831" s="5" t="s">
        <v>57</v>
      </c>
      <c r="J831">
        <v>2050</v>
      </c>
      <c r="K831" s="38" t="str">
        <f t="shared" si="111"/>
        <v>*0.92</v>
      </c>
      <c r="P831" s="32" t="s">
        <v>4162</v>
      </c>
      <c r="Q831" s="42" t="s">
        <v>57</v>
      </c>
      <c r="R831" s="32">
        <v>2035</v>
      </c>
      <c r="S831" s="43" t="str">
        <f t="shared" si="112"/>
        <v>*0.93</v>
      </c>
      <c r="U831" s="32" t="s">
        <v>4162</v>
      </c>
      <c r="V831" s="42" t="s">
        <v>57</v>
      </c>
      <c r="W831" s="32">
        <v>2050</v>
      </c>
      <c r="X831" s="43" t="str">
        <f t="shared" si="113"/>
        <v>*0.92</v>
      </c>
      <c r="AC831" s="33" t="s">
        <v>4162</v>
      </c>
      <c r="AD831" s="44" t="s">
        <v>57</v>
      </c>
      <c r="AE831" s="33">
        <v>2035</v>
      </c>
      <c r="AF831" s="45" t="str">
        <f t="shared" si="114"/>
        <v>*0.91</v>
      </c>
      <c r="AG831" s="43" t="str">
        <f t="shared" si="117"/>
        <v>REZoning_Sol-Win</v>
      </c>
      <c r="AI831" s="33" t="s">
        <v>4162</v>
      </c>
      <c r="AJ831" s="44" t="s">
        <v>57</v>
      </c>
      <c r="AK831" s="33">
        <v>2050</v>
      </c>
      <c r="AL831" s="45" t="str">
        <f t="shared" si="115"/>
        <v>*0.87</v>
      </c>
      <c r="AM831" s="43" t="str">
        <f t="shared" si="118"/>
        <v>REZoning_Sol-Win</v>
      </c>
      <c r="AP831" t="s">
        <v>4162</v>
      </c>
      <c r="AQ831" t="s">
        <v>57</v>
      </c>
      <c r="AR831">
        <f t="shared" si="116"/>
        <v>2100</v>
      </c>
      <c r="AS831" t="s">
        <v>874</v>
      </c>
      <c r="AT831" t="s">
        <v>58</v>
      </c>
    </row>
    <row r="832" ht="29" spans="1:46">
      <c r="A832" s="31" t="s">
        <v>169</v>
      </c>
      <c r="C832" t="s">
        <v>4163</v>
      </c>
      <c r="D832" s="5" t="s">
        <v>57</v>
      </c>
      <c r="E832">
        <v>2035</v>
      </c>
      <c r="F832" s="6" t="str">
        <f t="shared" si="110"/>
        <v>*0.94</v>
      </c>
      <c r="H832" t="s">
        <v>4163</v>
      </c>
      <c r="I832" s="5" t="s">
        <v>57</v>
      </c>
      <c r="J832">
        <v>2050</v>
      </c>
      <c r="K832" s="38" t="str">
        <f t="shared" si="111"/>
        <v>*0.92</v>
      </c>
      <c r="P832" s="32" t="s">
        <v>4163</v>
      </c>
      <c r="Q832" s="42" t="s">
        <v>57</v>
      </c>
      <c r="R832" s="32">
        <v>2035</v>
      </c>
      <c r="S832" s="43" t="str">
        <f t="shared" si="112"/>
        <v>*0.93</v>
      </c>
      <c r="U832" s="32" t="s">
        <v>4163</v>
      </c>
      <c r="V832" s="42" t="s">
        <v>57</v>
      </c>
      <c r="W832" s="32">
        <v>2050</v>
      </c>
      <c r="X832" s="43" t="str">
        <f t="shared" si="113"/>
        <v>*0.92</v>
      </c>
      <c r="AC832" s="33" t="s">
        <v>4163</v>
      </c>
      <c r="AD832" s="44" t="s">
        <v>57</v>
      </c>
      <c r="AE832" s="33">
        <v>2035</v>
      </c>
      <c r="AF832" s="45" t="str">
        <f t="shared" si="114"/>
        <v>*0.91</v>
      </c>
      <c r="AG832" s="43" t="str">
        <f t="shared" si="117"/>
        <v>REZoning_Sol-Win</v>
      </c>
      <c r="AI832" s="33" t="s">
        <v>4163</v>
      </c>
      <c r="AJ832" s="44" t="s">
        <v>57</v>
      </c>
      <c r="AK832" s="33">
        <v>2050</v>
      </c>
      <c r="AL832" s="45" t="str">
        <f t="shared" si="115"/>
        <v>*0.87</v>
      </c>
      <c r="AM832" s="43" t="str">
        <f t="shared" si="118"/>
        <v>REZoning_Sol-Win</v>
      </c>
      <c r="AP832" t="s">
        <v>4163</v>
      </c>
      <c r="AQ832" t="s">
        <v>57</v>
      </c>
      <c r="AR832">
        <f t="shared" si="116"/>
        <v>2100</v>
      </c>
      <c r="AS832" t="s">
        <v>874</v>
      </c>
      <c r="AT832" t="s">
        <v>58</v>
      </c>
    </row>
    <row r="833" ht="29" spans="1:46">
      <c r="A833" s="31" t="s">
        <v>169</v>
      </c>
      <c r="C833" t="s">
        <v>4164</v>
      </c>
      <c r="D833" s="5" t="s">
        <v>57</v>
      </c>
      <c r="E833">
        <v>2035</v>
      </c>
      <c r="F833" s="6" t="str">
        <f t="shared" si="110"/>
        <v>*0.94</v>
      </c>
      <c r="H833" t="s">
        <v>4164</v>
      </c>
      <c r="I833" s="5" t="s">
        <v>57</v>
      </c>
      <c r="J833">
        <v>2050</v>
      </c>
      <c r="K833" s="38" t="str">
        <f t="shared" si="111"/>
        <v>*0.92</v>
      </c>
      <c r="P833" s="32" t="s">
        <v>4164</v>
      </c>
      <c r="Q833" s="42" t="s">
        <v>57</v>
      </c>
      <c r="R833" s="32">
        <v>2035</v>
      </c>
      <c r="S833" s="43" t="str">
        <f t="shared" si="112"/>
        <v>*0.93</v>
      </c>
      <c r="U833" s="32" t="s">
        <v>4164</v>
      </c>
      <c r="V833" s="42" t="s">
        <v>57</v>
      </c>
      <c r="W833" s="32">
        <v>2050</v>
      </c>
      <c r="X833" s="43" t="str">
        <f t="shared" si="113"/>
        <v>*0.92</v>
      </c>
      <c r="AC833" s="33" t="s">
        <v>4164</v>
      </c>
      <c r="AD833" s="44" t="s">
        <v>57</v>
      </c>
      <c r="AE833" s="33">
        <v>2035</v>
      </c>
      <c r="AF833" s="45" t="str">
        <f t="shared" si="114"/>
        <v>*0.91</v>
      </c>
      <c r="AG833" s="43" t="str">
        <f t="shared" si="117"/>
        <v>REZoning_Sol-Win</v>
      </c>
      <c r="AI833" s="33" t="s">
        <v>4164</v>
      </c>
      <c r="AJ833" s="44" t="s">
        <v>57</v>
      </c>
      <c r="AK833" s="33">
        <v>2050</v>
      </c>
      <c r="AL833" s="45" t="str">
        <f t="shared" si="115"/>
        <v>*0.87</v>
      </c>
      <c r="AM833" s="43" t="str">
        <f t="shared" si="118"/>
        <v>REZoning_Sol-Win</v>
      </c>
      <c r="AP833" t="s">
        <v>4164</v>
      </c>
      <c r="AQ833" t="s">
        <v>57</v>
      </c>
      <c r="AR833">
        <f t="shared" si="116"/>
        <v>2100</v>
      </c>
      <c r="AS833" t="s">
        <v>874</v>
      </c>
      <c r="AT833" t="s">
        <v>58</v>
      </c>
    </row>
    <row r="834" ht="29" spans="1:46">
      <c r="A834" s="31" t="s">
        <v>169</v>
      </c>
      <c r="C834" t="s">
        <v>4165</v>
      </c>
      <c r="D834" s="5" t="s">
        <v>57</v>
      </c>
      <c r="E834">
        <v>2035</v>
      </c>
      <c r="F834" s="6" t="str">
        <f t="shared" si="110"/>
        <v>*0.94</v>
      </c>
      <c r="H834" t="s">
        <v>4165</v>
      </c>
      <c r="I834" s="5" t="s">
        <v>57</v>
      </c>
      <c r="J834">
        <v>2050</v>
      </c>
      <c r="K834" s="38" t="str">
        <f t="shared" si="111"/>
        <v>*0.92</v>
      </c>
      <c r="P834" s="32" t="s">
        <v>4165</v>
      </c>
      <c r="Q834" s="42" t="s">
        <v>57</v>
      </c>
      <c r="R834" s="32">
        <v>2035</v>
      </c>
      <c r="S834" s="43" t="str">
        <f t="shared" si="112"/>
        <v>*0.93</v>
      </c>
      <c r="U834" s="32" t="s">
        <v>4165</v>
      </c>
      <c r="V834" s="42" t="s">
        <v>57</v>
      </c>
      <c r="W834" s="32">
        <v>2050</v>
      </c>
      <c r="X834" s="43" t="str">
        <f t="shared" si="113"/>
        <v>*0.92</v>
      </c>
      <c r="AC834" s="33" t="s">
        <v>4165</v>
      </c>
      <c r="AD834" s="44" t="s">
        <v>57</v>
      </c>
      <c r="AE834" s="33">
        <v>2035</v>
      </c>
      <c r="AF834" s="45" t="str">
        <f t="shared" si="114"/>
        <v>*0.91</v>
      </c>
      <c r="AG834" s="43" t="str">
        <f t="shared" si="117"/>
        <v>REZoning_Sol-Win</v>
      </c>
      <c r="AI834" s="33" t="s">
        <v>4165</v>
      </c>
      <c r="AJ834" s="44" t="s">
        <v>57</v>
      </c>
      <c r="AK834" s="33">
        <v>2050</v>
      </c>
      <c r="AL834" s="45" t="str">
        <f t="shared" si="115"/>
        <v>*0.87</v>
      </c>
      <c r="AM834" s="43" t="str">
        <f t="shared" si="118"/>
        <v>REZoning_Sol-Win</v>
      </c>
      <c r="AP834" t="s">
        <v>4165</v>
      </c>
      <c r="AQ834" t="s">
        <v>57</v>
      </c>
      <c r="AR834">
        <f t="shared" si="116"/>
        <v>2100</v>
      </c>
      <c r="AS834" t="s">
        <v>874</v>
      </c>
      <c r="AT834" t="s">
        <v>58</v>
      </c>
    </row>
    <row r="835" ht="29" spans="1:46">
      <c r="A835" s="31" t="s">
        <v>169</v>
      </c>
      <c r="C835" t="s">
        <v>4166</v>
      </c>
      <c r="D835" s="5" t="s">
        <v>57</v>
      </c>
      <c r="E835">
        <v>2035</v>
      </c>
      <c r="F835" s="6" t="str">
        <f t="shared" si="110"/>
        <v>*0.94</v>
      </c>
      <c r="H835" t="s">
        <v>4166</v>
      </c>
      <c r="I835" s="5" t="s">
        <v>57</v>
      </c>
      <c r="J835">
        <v>2050</v>
      </c>
      <c r="K835" s="38" t="str">
        <f t="shared" si="111"/>
        <v>*0.92</v>
      </c>
      <c r="P835" s="32" t="s">
        <v>4166</v>
      </c>
      <c r="Q835" s="42" t="s">
        <v>57</v>
      </c>
      <c r="R835" s="32">
        <v>2035</v>
      </c>
      <c r="S835" s="43" t="str">
        <f t="shared" si="112"/>
        <v>*0.93</v>
      </c>
      <c r="U835" s="32" t="s">
        <v>4166</v>
      </c>
      <c r="V835" s="42" t="s">
        <v>57</v>
      </c>
      <c r="W835" s="32">
        <v>2050</v>
      </c>
      <c r="X835" s="43" t="str">
        <f t="shared" si="113"/>
        <v>*0.92</v>
      </c>
      <c r="AC835" s="33" t="s">
        <v>4166</v>
      </c>
      <c r="AD835" s="44" t="s">
        <v>57</v>
      </c>
      <c r="AE835" s="33">
        <v>2035</v>
      </c>
      <c r="AF835" s="45" t="str">
        <f t="shared" si="114"/>
        <v>*0.91</v>
      </c>
      <c r="AG835" s="43" t="str">
        <f t="shared" si="117"/>
        <v>REZoning_Sol-Win</v>
      </c>
      <c r="AI835" s="33" t="s">
        <v>4166</v>
      </c>
      <c r="AJ835" s="44" t="s">
        <v>57</v>
      </c>
      <c r="AK835" s="33">
        <v>2050</v>
      </c>
      <c r="AL835" s="45" t="str">
        <f t="shared" si="115"/>
        <v>*0.87</v>
      </c>
      <c r="AM835" s="43" t="str">
        <f t="shared" si="118"/>
        <v>REZoning_Sol-Win</v>
      </c>
      <c r="AP835" t="s">
        <v>4166</v>
      </c>
      <c r="AQ835" t="s">
        <v>57</v>
      </c>
      <c r="AR835">
        <f t="shared" si="116"/>
        <v>2100</v>
      </c>
      <c r="AS835" t="s">
        <v>874</v>
      </c>
      <c r="AT835" t="s">
        <v>58</v>
      </c>
    </row>
    <row r="836" ht="29" spans="1:46">
      <c r="A836" s="31" t="s">
        <v>169</v>
      </c>
      <c r="C836" t="s">
        <v>4167</v>
      </c>
      <c r="D836" s="5" t="s">
        <v>57</v>
      </c>
      <c r="E836">
        <v>2035</v>
      </c>
      <c r="F836" s="6" t="str">
        <f t="shared" ref="F836:F899" si="119">"*"&amp;IF(AND(A836="EU",E836=2035),0.95,IF(AND(A836="EU",E836=2050),0.93,IF(AND(A836="USA",E836=2035),0.96,IF(AND(A836="USA",E836=2050),0.94,IF(AND(A836="Japan",E836=2035),0.94,IF(AND(A836="Japan",E836=2050),0.92,IF(AND(A836="Russia",E836=2035),0.95,IF(AND(A836="Russia",E836=2050),0.93,IF(AND(A836="China",E836=2035),0.94,IF(AND(A836="China",E836=2050),0.92,IF(AND(A836="India",E836=2035),0.95,IF(AND(A836="India",E836=2050),0.92,IF(AND(A836="Middle East",E836=2035),0.94,IF(AND(A836="Middle East",E836=2050),0.9,IF(AND(A836="Africa",E836=2035),0.94,IF(AND(A836="Africa",E836=2050),0.91,IF(AND(A836="Brazil",E836=2035),0.95,IF(AND(A836="Brazil",E836=2050),0.92,""))))))))))))))))))</f>
        <v>*0.94</v>
      </c>
      <c r="H836" t="s">
        <v>4167</v>
      </c>
      <c r="I836" s="5" t="s">
        <v>57</v>
      </c>
      <c r="J836">
        <v>2050</v>
      </c>
      <c r="K836" s="38" t="str">
        <f t="shared" ref="K836:K899" si="120">"*"&amp;IF(AND(A836="EU",J836=2035),0.95,IF(AND(A836="EU",J836=2050),0.93,IF(AND(A836="USA",J836=2035),0.96,IF(AND(A836="USA",J836=2050),0.94,IF(AND(A836="Japan",J836=2035),0.94,IF(AND(A836="Japan",J836=2050),0.92,IF(AND(A836="Russia",J836=2035),0.95,IF(AND(A836="Russia",J836=2050),0.93,IF(AND(A836="China",J836=2035),0.94,IF(AND(A836="China",J836=2050),0.92,IF(AND(A836="India",J836=2035),0.95,IF(AND(A836="India",J836=2050),0.92,IF(AND(A836="Middle East",J836=2035),0.94,IF(AND(A836="Middle East",J836=2050),0.9,IF(AND(A836="Africa",J836=2035),0.94,IF(AND(A836="Africa",J836=2050),0.91,IF(AND(A836="Brazil",J836=2035),0.95,IF(AND(A836="Brazil",J836=2050),0.92,""))))))))))))))))))</f>
        <v>*0.92</v>
      </c>
      <c r="P836" s="32" t="s">
        <v>4167</v>
      </c>
      <c r="Q836" s="42" t="s">
        <v>57</v>
      </c>
      <c r="R836" s="32">
        <v>2035</v>
      </c>
      <c r="S836" s="43" t="str">
        <f t="shared" ref="S836:S899" si="121">"*"&amp;IF(AND(A836="EU",R836=2035),0.95,IF(AND(A836="EU",R836=2050),0.93,IF(AND(A836="USA",R836=2035),0.96,IF(AND(A836="USA",R836=2050),0.93,IF(AND(A836="Japan",R836=2035),0.94,IF(AND(A836="Japan",R836=2050),0.92,IF(AND(A836="Russia",R836=2035),0.95,IF(AND(A836="Russia",R836=2050),0.91,IF(AND(A836="China",R836=2035),0.93,IF(AND(A836="China",R836=2050),0.92,IF(AND(A836="India",R836=2035),0.94,IF(AND(A836="India",R836=2050),0.91,IF(AND(A836="Middle East",R836=2035),0.92,IF(AND(A836="Middle East",R836=2050),0.89,IF(AND(A836="Africa",R836=2035),0.93,IF(AND(A836="Africa",R836=2050),0.9,IF(AND(A836="Brazil",R836=2035),0.95,IF(AND(A836="Brazil",R836=2050),0.92,""))))))))))))))))))</f>
        <v>*0.93</v>
      </c>
      <c r="U836" s="32" t="s">
        <v>4167</v>
      </c>
      <c r="V836" s="42" t="s">
        <v>57</v>
      </c>
      <c r="W836" s="32">
        <v>2050</v>
      </c>
      <c r="X836" s="43" t="str">
        <f t="shared" ref="X836:X899" si="122">"*"&amp;IF(AND(A836="EU",W836=2035),0.95,IF(AND(A836="EU",W836=2050),0.93,IF(AND(A836="USA",W836=2035),0.96,IF(AND(A836="USA",W836=2050),0.93,IF(AND(A836="Japan",W836=2035),0.94,IF(AND(A836="Japan",W836=2050),0.92,IF(AND(A836="Russia",W836=2035),0.95,IF(AND(A836="Russia",W836=2050),0.91,IF(AND(A836="China",W836=2035),0.93,IF(AND(A836="China",W836=2050),0.92,IF(AND(A836="India",W836=2035),0.94,IF(AND(A836="India",W836=2050),0.91,IF(AND(A836="Middle East",W836=2035),0.92,IF(AND(A836="Middle East",W836=2050),0.89,IF(AND(A836="Africa",W836=2035),0.93,IF(AND(A836="Africa",W836=2050),0.9,IF(AND(A836="Brazil",W836=2035),0.95,IF(AND(A836="Brazil",W836=2050),0.92,""))))))))))))))))))</f>
        <v>*0.92</v>
      </c>
      <c r="AC836" s="33" t="s">
        <v>4167</v>
      </c>
      <c r="AD836" s="44" t="s">
        <v>57</v>
      </c>
      <c r="AE836" s="33">
        <v>2035</v>
      </c>
      <c r="AF836" s="45" t="str">
        <f t="shared" ref="AF836:AF899" si="123">"*"&amp;IF(AND(A836="EU",AE836=2035),0.93,IF(AND(A836="EU",AE836=2050),0.9,IF(AND(A836="USA",AE836=2035),0.92,IF(AND(A836="USA",AE836=2050),0.89,IF(AND(A836="Japan",AE836=2035),0.92,IF(AND(A836="Japan",AE836=2050),0.89,IF(AND(A836="Russia",AE836=2035),0.91,IF(AND(A836="Russia",AE836=2050),0.86,IF(AND(A836="China",AE836=2035),0.91,IF(AND(A836="China",AE836=2050),0.87,IF(AND(A836="India",AE836=2035),0.92,IF(AND(A836="India",AE836=2050),0.87,IF(AND(A836="Middle East",AE836=2035),0.89,IF(AND(A836="Middle East",AE836=2050),0.84,IF(AND(A836="Africa",AE836=2035),0.9,IF(AND(A836="Africa",AE836=2050),0.86,IF(AND(A836="Brazil",AE836=2035),0.93,IF(AND(A836="Brazil",AE836=2050),0.89,""))))))))))))))))))</f>
        <v>*0.91</v>
      </c>
      <c r="AG836" s="43" t="str">
        <f t="shared" si="117"/>
        <v>REZoning_Sol-Win</v>
      </c>
      <c r="AI836" s="33" t="s">
        <v>4167</v>
      </c>
      <c r="AJ836" s="44" t="s">
        <v>57</v>
      </c>
      <c r="AK836" s="33">
        <v>2050</v>
      </c>
      <c r="AL836" s="45" t="str">
        <f t="shared" ref="AL836:AL899" si="124">"*"&amp;IF(AND(A836="EU",AK836=2035),0.93,IF(AND(A836="EU",AK836=2050),0.9,IF(AND(A836="USA",AK836=2035),0.92,IF(AND(A836="USA",AK836=2050),0.89,IF(AND(A836="Japan",AK836=2035),0.92,IF(AND(A836="Japan",AK836=2050),0.89,IF(AND(A836="Russia",AK836=2035),0.91,IF(AND(A836="Russia",AK836=2050),0.86,IF(AND(A836="China",AK836=2035),0.91,IF(AND(A836="China",AK836=2050),0.87,IF(AND(A836="India",AK836=2035),0.92,IF(AND(A836="India",AK836=2050),0.87,IF(AND(A836="Middle East",AK836=2035),0.89,IF(AND(A836="Middle East",AK836=2050),0.84,IF(AND(A836="Africa",AK836=2035),0.9,IF(AND(A836="Africa",AK836=2050),0.86,IF(AND(A836="Brazil",AK836=2035),0.93,IF(AND(A836="Brazil",AK836=2050),0.89,""))))))))))))))))))</f>
        <v>*0.87</v>
      </c>
      <c r="AM836" s="43" t="str">
        <f t="shared" si="118"/>
        <v>REZoning_Sol-Win</v>
      </c>
      <c r="AP836" t="s">
        <v>4167</v>
      </c>
      <c r="AQ836" t="s">
        <v>57</v>
      </c>
      <c r="AR836">
        <f t="shared" si="116"/>
        <v>2100</v>
      </c>
      <c r="AS836" t="s">
        <v>874</v>
      </c>
      <c r="AT836" t="s">
        <v>58</v>
      </c>
    </row>
    <row r="837" ht="29" spans="1:46">
      <c r="A837" s="31" t="s">
        <v>73</v>
      </c>
      <c r="C837" t="s">
        <v>4168</v>
      </c>
      <c r="D837" s="5" t="s">
        <v>57</v>
      </c>
      <c r="E837">
        <v>2035</v>
      </c>
      <c r="F837" s="6" t="str">
        <f t="shared" si="119"/>
        <v>*0.95</v>
      </c>
      <c r="H837" t="s">
        <v>4168</v>
      </c>
      <c r="I837" s="5" t="s">
        <v>57</v>
      </c>
      <c r="J837">
        <v>2050</v>
      </c>
      <c r="K837" s="38" t="str">
        <f t="shared" si="120"/>
        <v>*0.93</v>
      </c>
      <c r="P837" s="32" t="s">
        <v>4168</v>
      </c>
      <c r="Q837" s="42" t="s">
        <v>57</v>
      </c>
      <c r="R837" s="32">
        <v>2035</v>
      </c>
      <c r="S837" s="43" t="str">
        <f t="shared" si="121"/>
        <v>*0.95</v>
      </c>
      <c r="U837" s="32" t="s">
        <v>4168</v>
      </c>
      <c r="V837" s="42" t="s">
        <v>57</v>
      </c>
      <c r="W837" s="32">
        <v>2050</v>
      </c>
      <c r="X837" s="43" t="str">
        <f t="shared" si="122"/>
        <v>*0.93</v>
      </c>
      <c r="AC837" s="33" t="s">
        <v>4168</v>
      </c>
      <c r="AD837" s="44" t="s">
        <v>57</v>
      </c>
      <c r="AE837" s="33">
        <v>2035</v>
      </c>
      <c r="AF837" s="45" t="str">
        <f t="shared" si="123"/>
        <v>*0.93</v>
      </c>
      <c r="AG837" s="43" t="str">
        <f t="shared" si="117"/>
        <v>REZoning_Sol-Win</v>
      </c>
      <c r="AI837" s="33" t="s">
        <v>4168</v>
      </c>
      <c r="AJ837" s="44" t="s">
        <v>57</v>
      </c>
      <c r="AK837" s="33">
        <v>2050</v>
      </c>
      <c r="AL837" s="45" t="str">
        <f t="shared" si="124"/>
        <v>*0.9</v>
      </c>
      <c r="AM837" s="43" t="str">
        <f t="shared" si="118"/>
        <v>REZoning_Sol-Win</v>
      </c>
      <c r="AP837" t="s">
        <v>4168</v>
      </c>
      <c r="AQ837" t="s">
        <v>57</v>
      </c>
      <c r="AR837">
        <f t="shared" si="116"/>
        <v>2100</v>
      </c>
      <c r="AS837" t="s">
        <v>897</v>
      </c>
      <c r="AT837" t="s">
        <v>58</v>
      </c>
    </row>
    <row r="838" ht="29" spans="1:46">
      <c r="A838" s="31" t="s">
        <v>73</v>
      </c>
      <c r="C838" t="s">
        <v>4169</v>
      </c>
      <c r="D838" s="5" t="s">
        <v>57</v>
      </c>
      <c r="E838">
        <v>2035</v>
      </c>
      <c r="F838" s="6" t="str">
        <f t="shared" si="119"/>
        <v>*0.95</v>
      </c>
      <c r="H838" t="s">
        <v>4169</v>
      </c>
      <c r="I838" s="5" t="s">
        <v>57</v>
      </c>
      <c r="J838">
        <v>2050</v>
      </c>
      <c r="K838" s="38" t="str">
        <f t="shared" si="120"/>
        <v>*0.93</v>
      </c>
      <c r="P838" s="32" t="s">
        <v>4169</v>
      </c>
      <c r="Q838" s="42" t="s">
        <v>57</v>
      </c>
      <c r="R838" s="32">
        <v>2035</v>
      </c>
      <c r="S838" s="43" t="str">
        <f t="shared" si="121"/>
        <v>*0.95</v>
      </c>
      <c r="U838" s="32" t="s">
        <v>4169</v>
      </c>
      <c r="V838" s="42" t="s">
        <v>57</v>
      </c>
      <c r="W838" s="32">
        <v>2050</v>
      </c>
      <c r="X838" s="43" t="str">
        <f t="shared" si="122"/>
        <v>*0.93</v>
      </c>
      <c r="AC838" s="33" t="s">
        <v>4169</v>
      </c>
      <c r="AD838" s="44" t="s">
        <v>57</v>
      </c>
      <c r="AE838" s="33">
        <v>2035</v>
      </c>
      <c r="AF838" s="45" t="str">
        <f t="shared" si="123"/>
        <v>*0.93</v>
      </c>
      <c r="AG838" s="43" t="str">
        <f t="shared" si="117"/>
        <v>REZoning_Sol-Win</v>
      </c>
      <c r="AI838" s="33" t="s">
        <v>4169</v>
      </c>
      <c r="AJ838" s="44" t="s">
        <v>57</v>
      </c>
      <c r="AK838" s="33">
        <v>2050</v>
      </c>
      <c r="AL838" s="45" t="str">
        <f t="shared" si="124"/>
        <v>*0.9</v>
      </c>
      <c r="AM838" s="43" t="str">
        <f t="shared" si="118"/>
        <v>REZoning_Sol-Win</v>
      </c>
      <c r="AP838" t="s">
        <v>4169</v>
      </c>
      <c r="AQ838" t="s">
        <v>57</v>
      </c>
      <c r="AR838">
        <f t="shared" ref="AR838:AR901" si="125">AR837</f>
        <v>2100</v>
      </c>
      <c r="AS838" t="s">
        <v>897</v>
      </c>
      <c r="AT838" t="s">
        <v>58</v>
      </c>
    </row>
    <row r="839" ht="29" spans="1:46">
      <c r="A839" s="31" t="s">
        <v>73</v>
      </c>
      <c r="C839" t="s">
        <v>4170</v>
      </c>
      <c r="D839" s="5" t="s">
        <v>57</v>
      </c>
      <c r="E839">
        <v>2035</v>
      </c>
      <c r="F839" s="6" t="str">
        <f t="shared" si="119"/>
        <v>*0.95</v>
      </c>
      <c r="H839" t="s">
        <v>4170</v>
      </c>
      <c r="I839" s="5" t="s">
        <v>57</v>
      </c>
      <c r="J839">
        <v>2050</v>
      </c>
      <c r="K839" s="38" t="str">
        <f t="shared" si="120"/>
        <v>*0.93</v>
      </c>
      <c r="P839" s="32" t="s">
        <v>4170</v>
      </c>
      <c r="Q839" s="42" t="s">
        <v>57</v>
      </c>
      <c r="R839" s="32">
        <v>2035</v>
      </c>
      <c r="S839" s="43" t="str">
        <f t="shared" si="121"/>
        <v>*0.95</v>
      </c>
      <c r="U839" s="32" t="s">
        <v>4170</v>
      </c>
      <c r="V839" s="42" t="s">
        <v>57</v>
      </c>
      <c r="W839" s="32">
        <v>2050</v>
      </c>
      <c r="X839" s="43" t="str">
        <f t="shared" si="122"/>
        <v>*0.93</v>
      </c>
      <c r="AC839" s="33" t="s">
        <v>4170</v>
      </c>
      <c r="AD839" s="44" t="s">
        <v>57</v>
      </c>
      <c r="AE839" s="33">
        <v>2035</v>
      </c>
      <c r="AF839" s="45" t="str">
        <f t="shared" si="123"/>
        <v>*0.93</v>
      </c>
      <c r="AG839" s="43" t="str">
        <f t="shared" si="117"/>
        <v>REZoning_Sol-Win</v>
      </c>
      <c r="AI839" s="33" t="s">
        <v>4170</v>
      </c>
      <c r="AJ839" s="44" t="s">
        <v>57</v>
      </c>
      <c r="AK839" s="33">
        <v>2050</v>
      </c>
      <c r="AL839" s="45" t="str">
        <f t="shared" si="124"/>
        <v>*0.9</v>
      </c>
      <c r="AM839" s="43" t="str">
        <f t="shared" si="118"/>
        <v>REZoning_Sol-Win</v>
      </c>
      <c r="AP839" t="s">
        <v>4170</v>
      </c>
      <c r="AQ839" t="s">
        <v>57</v>
      </c>
      <c r="AR839">
        <f t="shared" si="125"/>
        <v>2100</v>
      </c>
      <c r="AS839" t="s">
        <v>897</v>
      </c>
      <c r="AT839" t="s">
        <v>58</v>
      </c>
    </row>
    <row r="840" ht="29" spans="1:46">
      <c r="A840" s="31" t="s">
        <v>73</v>
      </c>
      <c r="C840" t="s">
        <v>4171</v>
      </c>
      <c r="D840" s="5" t="s">
        <v>57</v>
      </c>
      <c r="E840">
        <v>2035</v>
      </c>
      <c r="F840" s="6" t="str">
        <f t="shared" si="119"/>
        <v>*0.95</v>
      </c>
      <c r="H840" t="s">
        <v>4171</v>
      </c>
      <c r="I840" s="5" t="s">
        <v>57</v>
      </c>
      <c r="J840">
        <v>2050</v>
      </c>
      <c r="K840" s="38" t="str">
        <f t="shared" si="120"/>
        <v>*0.93</v>
      </c>
      <c r="P840" s="32" t="s">
        <v>4171</v>
      </c>
      <c r="Q840" s="42" t="s">
        <v>57</v>
      </c>
      <c r="R840" s="32">
        <v>2035</v>
      </c>
      <c r="S840" s="43" t="str">
        <f t="shared" si="121"/>
        <v>*0.95</v>
      </c>
      <c r="U840" s="32" t="s">
        <v>4171</v>
      </c>
      <c r="V840" s="42" t="s">
        <v>57</v>
      </c>
      <c r="W840" s="32">
        <v>2050</v>
      </c>
      <c r="X840" s="43" t="str">
        <f t="shared" si="122"/>
        <v>*0.93</v>
      </c>
      <c r="AC840" s="33" t="s">
        <v>4171</v>
      </c>
      <c r="AD840" s="44" t="s">
        <v>57</v>
      </c>
      <c r="AE840" s="33">
        <v>2035</v>
      </c>
      <c r="AF840" s="45" t="str">
        <f t="shared" si="123"/>
        <v>*0.93</v>
      </c>
      <c r="AG840" s="43" t="str">
        <f t="shared" si="117"/>
        <v>REZoning_Sol-Win</v>
      </c>
      <c r="AI840" s="33" t="s">
        <v>4171</v>
      </c>
      <c r="AJ840" s="44" t="s">
        <v>57</v>
      </c>
      <c r="AK840" s="33">
        <v>2050</v>
      </c>
      <c r="AL840" s="45" t="str">
        <f t="shared" si="124"/>
        <v>*0.9</v>
      </c>
      <c r="AM840" s="43" t="str">
        <f t="shared" si="118"/>
        <v>REZoning_Sol-Win</v>
      </c>
      <c r="AP840" t="s">
        <v>4171</v>
      </c>
      <c r="AQ840" t="s">
        <v>57</v>
      </c>
      <c r="AR840">
        <f t="shared" si="125"/>
        <v>2100</v>
      </c>
      <c r="AS840" t="s">
        <v>897</v>
      </c>
      <c r="AT840" t="s">
        <v>58</v>
      </c>
    </row>
    <row r="841" ht="29" spans="1:46">
      <c r="A841" s="31" t="s">
        <v>73</v>
      </c>
      <c r="C841" t="s">
        <v>4172</v>
      </c>
      <c r="D841" s="5" t="s">
        <v>57</v>
      </c>
      <c r="E841">
        <v>2035</v>
      </c>
      <c r="F841" s="6" t="str">
        <f t="shared" si="119"/>
        <v>*0.95</v>
      </c>
      <c r="H841" t="s">
        <v>4172</v>
      </c>
      <c r="I841" s="5" t="s">
        <v>57</v>
      </c>
      <c r="J841">
        <v>2050</v>
      </c>
      <c r="K841" s="38" t="str">
        <f t="shared" si="120"/>
        <v>*0.93</v>
      </c>
      <c r="P841" s="32" t="s">
        <v>4172</v>
      </c>
      <c r="Q841" s="42" t="s">
        <v>57</v>
      </c>
      <c r="R841" s="32">
        <v>2035</v>
      </c>
      <c r="S841" s="43" t="str">
        <f t="shared" si="121"/>
        <v>*0.95</v>
      </c>
      <c r="U841" s="32" t="s">
        <v>4172</v>
      </c>
      <c r="V841" s="42" t="s">
        <v>57</v>
      </c>
      <c r="W841" s="32">
        <v>2050</v>
      </c>
      <c r="X841" s="43" t="str">
        <f t="shared" si="122"/>
        <v>*0.93</v>
      </c>
      <c r="AC841" s="33" t="s">
        <v>4172</v>
      </c>
      <c r="AD841" s="44" t="s">
        <v>57</v>
      </c>
      <c r="AE841" s="33">
        <v>2035</v>
      </c>
      <c r="AF841" s="45" t="str">
        <f t="shared" si="123"/>
        <v>*0.93</v>
      </c>
      <c r="AG841" s="43" t="str">
        <f t="shared" ref="AG841:AG904" si="126">AG840</f>
        <v>REZoning_Sol-Win</v>
      </c>
      <c r="AI841" s="33" t="s">
        <v>4172</v>
      </c>
      <c r="AJ841" s="44" t="s">
        <v>57</v>
      </c>
      <c r="AK841" s="33">
        <v>2050</v>
      </c>
      <c r="AL841" s="45" t="str">
        <f t="shared" si="124"/>
        <v>*0.9</v>
      </c>
      <c r="AM841" s="43" t="str">
        <f t="shared" ref="AM841:AM904" si="127">AM840</f>
        <v>REZoning_Sol-Win</v>
      </c>
      <c r="AP841" t="s">
        <v>4172</v>
      </c>
      <c r="AQ841" t="s">
        <v>57</v>
      </c>
      <c r="AR841">
        <f t="shared" si="125"/>
        <v>2100</v>
      </c>
      <c r="AS841" t="s">
        <v>897</v>
      </c>
      <c r="AT841" t="s">
        <v>58</v>
      </c>
    </row>
    <row r="842" ht="29" spans="1:46">
      <c r="A842" s="31" t="s">
        <v>73</v>
      </c>
      <c r="C842" t="s">
        <v>4173</v>
      </c>
      <c r="D842" s="5" t="s">
        <v>57</v>
      </c>
      <c r="E842">
        <v>2035</v>
      </c>
      <c r="F842" s="6" t="str">
        <f t="shared" si="119"/>
        <v>*0.95</v>
      </c>
      <c r="H842" t="s">
        <v>4173</v>
      </c>
      <c r="I842" s="5" t="s">
        <v>57</v>
      </c>
      <c r="J842">
        <v>2050</v>
      </c>
      <c r="K842" s="38" t="str">
        <f t="shared" si="120"/>
        <v>*0.93</v>
      </c>
      <c r="P842" s="32" t="s">
        <v>4173</v>
      </c>
      <c r="Q842" s="42" t="s">
        <v>57</v>
      </c>
      <c r="R842" s="32">
        <v>2035</v>
      </c>
      <c r="S842" s="43" t="str">
        <f t="shared" si="121"/>
        <v>*0.95</v>
      </c>
      <c r="U842" s="32" t="s">
        <v>4173</v>
      </c>
      <c r="V842" s="42" t="s">
        <v>57</v>
      </c>
      <c r="W842" s="32">
        <v>2050</v>
      </c>
      <c r="X842" s="43" t="str">
        <f t="shared" si="122"/>
        <v>*0.93</v>
      </c>
      <c r="AC842" s="33" t="s">
        <v>4173</v>
      </c>
      <c r="AD842" s="44" t="s">
        <v>57</v>
      </c>
      <c r="AE842" s="33">
        <v>2035</v>
      </c>
      <c r="AF842" s="45" t="str">
        <f t="shared" si="123"/>
        <v>*0.93</v>
      </c>
      <c r="AG842" s="43" t="str">
        <f t="shared" si="126"/>
        <v>REZoning_Sol-Win</v>
      </c>
      <c r="AI842" s="33" t="s">
        <v>4173</v>
      </c>
      <c r="AJ842" s="44" t="s">
        <v>57</v>
      </c>
      <c r="AK842" s="33">
        <v>2050</v>
      </c>
      <c r="AL842" s="45" t="str">
        <f t="shared" si="124"/>
        <v>*0.9</v>
      </c>
      <c r="AM842" s="43" t="str">
        <f t="shared" si="127"/>
        <v>REZoning_Sol-Win</v>
      </c>
      <c r="AP842" t="s">
        <v>4173</v>
      </c>
      <c r="AQ842" t="s">
        <v>57</v>
      </c>
      <c r="AR842">
        <f t="shared" si="125"/>
        <v>2100</v>
      </c>
      <c r="AS842" t="s">
        <v>897</v>
      </c>
      <c r="AT842" t="s">
        <v>58</v>
      </c>
    </row>
    <row r="843" ht="29" spans="1:46">
      <c r="A843" s="31" t="s">
        <v>73</v>
      </c>
      <c r="C843" t="s">
        <v>4174</v>
      </c>
      <c r="D843" s="5" t="s">
        <v>57</v>
      </c>
      <c r="E843">
        <v>2035</v>
      </c>
      <c r="F843" s="6" t="str">
        <f t="shared" si="119"/>
        <v>*0.95</v>
      </c>
      <c r="H843" t="s">
        <v>4174</v>
      </c>
      <c r="I843" s="5" t="s">
        <v>57</v>
      </c>
      <c r="J843">
        <v>2050</v>
      </c>
      <c r="K843" s="38" t="str">
        <f t="shared" si="120"/>
        <v>*0.93</v>
      </c>
      <c r="P843" s="32" t="s">
        <v>4174</v>
      </c>
      <c r="Q843" s="42" t="s">
        <v>57</v>
      </c>
      <c r="R843" s="32">
        <v>2035</v>
      </c>
      <c r="S843" s="43" t="str">
        <f t="shared" si="121"/>
        <v>*0.95</v>
      </c>
      <c r="U843" s="32" t="s">
        <v>4174</v>
      </c>
      <c r="V843" s="42" t="s">
        <v>57</v>
      </c>
      <c r="W843" s="32">
        <v>2050</v>
      </c>
      <c r="X843" s="43" t="str">
        <f t="shared" si="122"/>
        <v>*0.93</v>
      </c>
      <c r="AC843" s="33" t="s">
        <v>4174</v>
      </c>
      <c r="AD843" s="44" t="s">
        <v>57</v>
      </c>
      <c r="AE843" s="33">
        <v>2035</v>
      </c>
      <c r="AF843" s="45" t="str">
        <f t="shared" si="123"/>
        <v>*0.93</v>
      </c>
      <c r="AG843" s="43" t="str">
        <f t="shared" si="126"/>
        <v>REZoning_Sol-Win</v>
      </c>
      <c r="AI843" s="33" t="s">
        <v>4174</v>
      </c>
      <c r="AJ843" s="44" t="s">
        <v>57</v>
      </c>
      <c r="AK843" s="33">
        <v>2050</v>
      </c>
      <c r="AL843" s="45" t="str">
        <f t="shared" si="124"/>
        <v>*0.9</v>
      </c>
      <c r="AM843" s="43" t="str">
        <f t="shared" si="127"/>
        <v>REZoning_Sol-Win</v>
      </c>
      <c r="AP843" t="s">
        <v>4174</v>
      </c>
      <c r="AQ843" t="s">
        <v>57</v>
      </c>
      <c r="AR843">
        <f t="shared" si="125"/>
        <v>2100</v>
      </c>
      <c r="AS843" t="s">
        <v>897</v>
      </c>
      <c r="AT843" t="s">
        <v>58</v>
      </c>
    </row>
    <row r="844" ht="29" spans="1:46">
      <c r="A844" s="31" t="s">
        <v>73</v>
      </c>
      <c r="C844" t="s">
        <v>4175</v>
      </c>
      <c r="D844" s="5" t="s">
        <v>57</v>
      </c>
      <c r="E844">
        <v>2035</v>
      </c>
      <c r="F844" s="6" t="str">
        <f t="shared" si="119"/>
        <v>*0.95</v>
      </c>
      <c r="H844" t="s">
        <v>4175</v>
      </c>
      <c r="I844" s="5" t="s">
        <v>57</v>
      </c>
      <c r="J844">
        <v>2050</v>
      </c>
      <c r="K844" s="38" t="str">
        <f t="shared" si="120"/>
        <v>*0.93</v>
      </c>
      <c r="P844" s="32" t="s">
        <v>4175</v>
      </c>
      <c r="Q844" s="42" t="s">
        <v>57</v>
      </c>
      <c r="R844" s="32">
        <v>2035</v>
      </c>
      <c r="S844" s="43" t="str">
        <f t="shared" si="121"/>
        <v>*0.95</v>
      </c>
      <c r="U844" s="32" t="s">
        <v>4175</v>
      </c>
      <c r="V844" s="42" t="s">
        <v>57</v>
      </c>
      <c r="W844" s="32">
        <v>2050</v>
      </c>
      <c r="X844" s="43" t="str">
        <f t="shared" si="122"/>
        <v>*0.93</v>
      </c>
      <c r="AC844" s="33" t="s">
        <v>4175</v>
      </c>
      <c r="AD844" s="44" t="s">
        <v>57</v>
      </c>
      <c r="AE844" s="33">
        <v>2035</v>
      </c>
      <c r="AF844" s="45" t="str">
        <f t="shared" si="123"/>
        <v>*0.93</v>
      </c>
      <c r="AG844" s="43" t="str">
        <f t="shared" si="126"/>
        <v>REZoning_Sol-Win</v>
      </c>
      <c r="AI844" s="33" t="s">
        <v>4175</v>
      </c>
      <c r="AJ844" s="44" t="s">
        <v>57</v>
      </c>
      <c r="AK844" s="33">
        <v>2050</v>
      </c>
      <c r="AL844" s="45" t="str">
        <f t="shared" si="124"/>
        <v>*0.9</v>
      </c>
      <c r="AM844" s="43" t="str">
        <f t="shared" si="127"/>
        <v>REZoning_Sol-Win</v>
      </c>
      <c r="AP844" t="s">
        <v>4175</v>
      </c>
      <c r="AQ844" t="s">
        <v>57</v>
      </c>
      <c r="AR844">
        <f t="shared" si="125"/>
        <v>2100</v>
      </c>
      <c r="AS844" t="s">
        <v>897</v>
      </c>
      <c r="AT844" t="s">
        <v>58</v>
      </c>
    </row>
    <row r="845" ht="29" spans="1:46">
      <c r="A845" s="31" t="s">
        <v>73</v>
      </c>
      <c r="C845" t="s">
        <v>4176</v>
      </c>
      <c r="D845" s="5" t="s">
        <v>57</v>
      </c>
      <c r="E845">
        <v>2035</v>
      </c>
      <c r="F845" s="6" t="str">
        <f t="shared" si="119"/>
        <v>*0.95</v>
      </c>
      <c r="H845" t="s">
        <v>4176</v>
      </c>
      <c r="I845" s="5" t="s">
        <v>57</v>
      </c>
      <c r="J845">
        <v>2050</v>
      </c>
      <c r="K845" s="38" t="str">
        <f t="shared" si="120"/>
        <v>*0.93</v>
      </c>
      <c r="P845" s="32" t="s">
        <v>4176</v>
      </c>
      <c r="Q845" s="42" t="s">
        <v>57</v>
      </c>
      <c r="R845" s="32">
        <v>2035</v>
      </c>
      <c r="S845" s="43" t="str">
        <f t="shared" si="121"/>
        <v>*0.95</v>
      </c>
      <c r="U845" s="32" t="s">
        <v>4176</v>
      </c>
      <c r="V845" s="42" t="s">
        <v>57</v>
      </c>
      <c r="W845" s="32">
        <v>2050</v>
      </c>
      <c r="X845" s="43" t="str">
        <f t="shared" si="122"/>
        <v>*0.93</v>
      </c>
      <c r="AC845" s="33" t="s">
        <v>4176</v>
      </c>
      <c r="AD845" s="44" t="s">
        <v>57</v>
      </c>
      <c r="AE845" s="33">
        <v>2035</v>
      </c>
      <c r="AF845" s="45" t="str">
        <f t="shared" si="123"/>
        <v>*0.93</v>
      </c>
      <c r="AG845" s="43" t="str">
        <f t="shared" si="126"/>
        <v>REZoning_Sol-Win</v>
      </c>
      <c r="AI845" s="33" t="s">
        <v>4176</v>
      </c>
      <c r="AJ845" s="44" t="s">
        <v>57</v>
      </c>
      <c r="AK845" s="33">
        <v>2050</v>
      </c>
      <c r="AL845" s="45" t="str">
        <f t="shared" si="124"/>
        <v>*0.9</v>
      </c>
      <c r="AM845" s="43" t="str">
        <f t="shared" si="127"/>
        <v>REZoning_Sol-Win</v>
      </c>
      <c r="AP845" t="s">
        <v>4176</v>
      </c>
      <c r="AQ845" t="s">
        <v>57</v>
      </c>
      <c r="AR845">
        <f t="shared" si="125"/>
        <v>2100</v>
      </c>
      <c r="AS845" t="s">
        <v>897</v>
      </c>
      <c r="AT845" t="s">
        <v>58</v>
      </c>
    </row>
    <row r="846" ht="29" spans="1:46">
      <c r="A846" s="31" t="s">
        <v>73</v>
      </c>
      <c r="C846" t="s">
        <v>4177</v>
      </c>
      <c r="D846" s="5" t="s">
        <v>57</v>
      </c>
      <c r="E846">
        <v>2035</v>
      </c>
      <c r="F846" s="6" t="str">
        <f t="shared" si="119"/>
        <v>*0.95</v>
      </c>
      <c r="H846" t="s">
        <v>4177</v>
      </c>
      <c r="I846" s="5" t="s">
        <v>57</v>
      </c>
      <c r="J846">
        <v>2050</v>
      </c>
      <c r="K846" s="38" t="str">
        <f t="shared" si="120"/>
        <v>*0.93</v>
      </c>
      <c r="P846" s="32" t="s">
        <v>4177</v>
      </c>
      <c r="Q846" s="42" t="s">
        <v>57</v>
      </c>
      <c r="R846" s="32">
        <v>2035</v>
      </c>
      <c r="S846" s="43" t="str">
        <f t="shared" si="121"/>
        <v>*0.95</v>
      </c>
      <c r="U846" s="32" t="s">
        <v>4177</v>
      </c>
      <c r="V846" s="42" t="s">
        <v>57</v>
      </c>
      <c r="W846" s="32">
        <v>2050</v>
      </c>
      <c r="X846" s="43" t="str">
        <f t="shared" si="122"/>
        <v>*0.93</v>
      </c>
      <c r="AC846" s="33" t="s">
        <v>4177</v>
      </c>
      <c r="AD846" s="44" t="s">
        <v>57</v>
      </c>
      <c r="AE846" s="33">
        <v>2035</v>
      </c>
      <c r="AF846" s="45" t="str">
        <f t="shared" si="123"/>
        <v>*0.93</v>
      </c>
      <c r="AG846" s="43" t="str">
        <f t="shared" si="126"/>
        <v>REZoning_Sol-Win</v>
      </c>
      <c r="AI846" s="33" t="s">
        <v>4177</v>
      </c>
      <c r="AJ846" s="44" t="s">
        <v>57</v>
      </c>
      <c r="AK846" s="33">
        <v>2050</v>
      </c>
      <c r="AL846" s="45" t="str">
        <f t="shared" si="124"/>
        <v>*0.9</v>
      </c>
      <c r="AM846" s="43" t="str">
        <f t="shared" si="127"/>
        <v>REZoning_Sol-Win</v>
      </c>
      <c r="AP846" t="s">
        <v>4177</v>
      </c>
      <c r="AQ846" t="s">
        <v>57</v>
      </c>
      <c r="AR846">
        <f t="shared" si="125"/>
        <v>2100</v>
      </c>
      <c r="AS846" t="s">
        <v>897</v>
      </c>
      <c r="AT846" t="s">
        <v>58</v>
      </c>
    </row>
    <row r="847" ht="29" spans="1:46">
      <c r="A847" s="31" t="s">
        <v>73</v>
      </c>
      <c r="C847" t="s">
        <v>4178</v>
      </c>
      <c r="D847" s="5" t="s">
        <v>57</v>
      </c>
      <c r="E847">
        <v>2035</v>
      </c>
      <c r="F847" s="6" t="str">
        <f t="shared" si="119"/>
        <v>*0.95</v>
      </c>
      <c r="H847" t="s">
        <v>4178</v>
      </c>
      <c r="I847" s="5" t="s">
        <v>57</v>
      </c>
      <c r="J847">
        <v>2050</v>
      </c>
      <c r="K847" s="38" t="str">
        <f t="shared" si="120"/>
        <v>*0.93</v>
      </c>
      <c r="P847" s="32" t="s">
        <v>4178</v>
      </c>
      <c r="Q847" s="42" t="s">
        <v>57</v>
      </c>
      <c r="R847" s="32">
        <v>2035</v>
      </c>
      <c r="S847" s="43" t="str">
        <f t="shared" si="121"/>
        <v>*0.95</v>
      </c>
      <c r="U847" s="32" t="s">
        <v>4178</v>
      </c>
      <c r="V847" s="42" t="s">
        <v>57</v>
      </c>
      <c r="W847" s="32">
        <v>2050</v>
      </c>
      <c r="X847" s="43" t="str">
        <f t="shared" si="122"/>
        <v>*0.93</v>
      </c>
      <c r="AC847" s="33" t="s">
        <v>4178</v>
      </c>
      <c r="AD847" s="44" t="s">
        <v>57</v>
      </c>
      <c r="AE847" s="33">
        <v>2035</v>
      </c>
      <c r="AF847" s="45" t="str">
        <f t="shared" si="123"/>
        <v>*0.93</v>
      </c>
      <c r="AG847" s="43" t="str">
        <f t="shared" si="126"/>
        <v>REZoning_Sol-Win</v>
      </c>
      <c r="AI847" s="33" t="s">
        <v>4178</v>
      </c>
      <c r="AJ847" s="44" t="s">
        <v>57</v>
      </c>
      <c r="AK847" s="33">
        <v>2050</v>
      </c>
      <c r="AL847" s="45" t="str">
        <f t="shared" si="124"/>
        <v>*0.9</v>
      </c>
      <c r="AM847" s="43" t="str">
        <f t="shared" si="127"/>
        <v>REZoning_Sol-Win</v>
      </c>
      <c r="AP847" t="s">
        <v>4178</v>
      </c>
      <c r="AQ847" t="s">
        <v>57</v>
      </c>
      <c r="AR847">
        <f t="shared" si="125"/>
        <v>2100</v>
      </c>
      <c r="AS847" t="s">
        <v>897</v>
      </c>
      <c r="AT847" t="s">
        <v>58</v>
      </c>
    </row>
    <row r="848" ht="29" spans="1:46">
      <c r="A848" s="31" t="s">
        <v>95</v>
      </c>
      <c r="C848" t="s">
        <v>4179</v>
      </c>
      <c r="D848" s="5" t="s">
        <v>57</v>
      </c>
      <c r="E848">
        <v>2035</v>
      </c>
      <c r="F848" s="6" t="str">
        <f t="shared" si="119"/>
        <v>*0.95</v>
      </c>
      <c r="H848" t="s">
        <v>4179</v>
      </c>
      <c r="I848" s="5" t="s">
        <v>57</v>
      </c>
      <c r="J848">
        <v>2050</v>
      </c>
      <c r="K848" s="38" t="str">
        <f t="shared" si="120"/>
        <v>*0.93</v>
      </c>
      <c r="P848" s="32" t="s">
        <v>4179</v>
      </c>
      <c r="Q848" s="42" t="s">
        <v>57</v>
      </c>
      <c r="R848" s="32">
        <v>2035</v>
      </c>
      <c r="S848" s="43" t="str">
        <f t="shared" si="121"/>
        <v>*0.95</v>
      </c>
      <c r="U848" s="32" t="s">
        <v>4179</v>
      </c>
      <c r="V848" s="42" t="s">
        <v>57</v>
      </c>
      <c r="W848" s="32">
        <v>2050</v>
      </c>
      <c r="X848" s="43" t="str">
        <f t="shared" si="122"/>
        <v>*0.91</v>
      </c>
      <c r="AC848" s="33" t="s">
        <v>4179</v>
      </c>
      <c r="AD848" s="44" t="s">
        <v>57</v>
      </c>
      <c r="AE848" s="33">
        <v>2035</v>
      </c>
      <c r="AF848" s="45" t="str">
        <f t="shared" si="123"/>
        <v>*0.91</v>
      </c>
      <c r="AG848" s="43" t="str">
        <f t="shared" si="126"/>
        <v>REZoning_Sol-Win</v>
      </c>
      <c r="AI848" s="33" t="s">
        <v>4179</v>
      </c>
      <c r="AJ848" s="44" t="s">
        <v>57</v>
      </c>
      <c r="AK848" s="33">
        <v>2050</v>
      </c>
      <c r="AL848" s="45" t="str">
        <f t="shared" si="124"/>
        <v>*0.86</v>
      </c>
      <c r="AM848" s="43" t="str">
        <f t="shared" si="127"/>
        <v>REZoning_Sol-Win</v>
      </c>
      <c r="AP848" t="s">
        <v>4179</v>
      </c>
      <c r="AQ848" t="s">
        <v>57</v>
      </c>
      <c r="AR848">
        <f t="shared" si="125"/>
        <v>2100</v>
      </c>
      <c r="AS848" t="s">
        <v>883</v>
      </c>
      <c r="AT848" t="s">
        <v>58</v>
      </c>
    </row>
    <row r="849" ht="29" spans="1:46">
      <c r="A849" s="31" t="s">
        <v>95</v>
      </c>
      <c r="C849" t="s">
        <v>4180</v>
      </c>
      <c r="D849" s="5" t="s">
        <v>57</v>
      </c>
      <c r="E849">
        <v>2035</v>
      </c>
      <c r="F849" s="6" t="str">
        <f t="shared" si="119"/>
        <v>*0.95</v>
      </c>
      <c r="H849" t="s">
        <v>4180</v>
      </c>
      <c r="I849" s="5" t="s">
        <v>57</v>
      </c>
      <c r="J849">
        <v>2050</v>
      </c>
      <c r="K849" s="38" t="str">
        <f t="shared" si="120"/>
        <v>*0.93</v>
      </c>
      <c r="P849" s="32" t="s">
        <v>4180</v>
      </c>
      <c r="Q849" s="42" t="s">
        <v>57</v>
      </c>
      <c r="R849" s="32">
        <v>2035</v>
      </c>
      <c r="S849" s="43" t="str">
        <f t="shared" si="121"/>
        <v>*0.95</v>
      </c>
      <c r="U849" s="32" t="s">
        <v>4180</v>
      </c>
      <c r="V849" s="42" t="s">
        <v>57</v>
      </c>
      <c r="W849" s="32">
        <v>2050</v>
      </c>
      <c r="X849" s="43" t="str">
        <f t="shared" si="122"/>
        <v>*0.91</v>
      </c>
      <c r="AC849" s="33" t="s">
        <v>4180</v>
      </c>
      <c r="AD849" s="44" t="s">
        <v>57</v>
      </c>
      <c r="AE849" s="33">
        <v>2035</v>
      </c>
      <c r="AF849" s="45" t="str">
        <f t="shared" si="123"/>
        <v>*0.91</v>
      </c>
      <c r="AG849" s="43" t="str">
        <f t="shared" si="126"/>
        <v>REZoning_Sol-Win</v>
      </c>
      <c r="AI849" s="33" t="s">
        <v>4180</v>
      </c>
      <c r="AJ849" s="44" t="s">
        <v>57</v>
      </c>
      <c r="AK849" s="33">
        <v>2050</v>
      </c>
      <c r="AL849" s="45" t="str">
        <f t="shared" si="124"/>
        <v>*0.86</v>
      </c>
      <c r="AM849" s="43" t="str">
        <f t="shared" si="127"/>
        <v>REZoning_Sol-Win</v>
      </c>
      <c r="AP849" t="s">
        <v>4180</v>
      </c>
      <c r="AQ849" t="s">
        <v>57</v>
      </c>
      <c r="AR849">
        <f t="shared" si="125"/>
        <v>2100</v>
      </c>
      <c r="AS849" t="s">
        <v>883</v>
      </c>
      <c r="AT849" t="s">
        <v>58</v>
      </c>
    </row>
    <row r="850" ht="29" spans="1:46">
      <c r="A850" s="31" t="s">
        <v>95</v>
      </c>
      <c r="C850" t="s">
        <v>4181</v>
      </c>
      <c r="D850" s="5" t="s">
        <v>57</v>
      </c>
      <c r="E850">
        <v>2035</v>
      </c>
      <c r="F850" s="6" t="str">
        <f t="shared" si="119"/>
        <v>*0.95</v>
      </c>
      <c r="H850" t="s">
        <v>4181</v>
      </c>
      <c r="I850" s="5" t="s">
        <v>57</v>
      </c>
      <c r="J850">
        <v>2050</v>
      </c>
      <c r="K850" s="38" t="str">
        <f t="shared" si="120"/>
        <v>*0.93</v>
      </c>
      <c r="P850" s="32" t="s">
        <v>4181</v>
      </c>
      <c r="Q850" s="42" t="s">
        <v>57</v>
      </c>
      <c r="R850" s="32">
        <v>2035</v>
      </c>
      <c r="S850" s="43" t="str">
        <f t="shared" si="121"/>
        <v>*0.95</v>
      </c>
      <c r="U850" s="32" t="s">
        <v>4181</v>
      </c>
      <c r="V850" s="42" t="s">
        <v>57</v>
      </c>
      <c r="W850" s="32">
        <v>2050</v>
      </c>
      <c r="X850" s="43" t="str">
        <f t="shared" si="122"/>
        <v>*0.91</v>
      </c>
      <c r="AC850" s="33" t="s">
        <v>4181</v>
      </c>
      <c r="AD850" s="44" t="s">
        <v>57</v>
      </c>
      <c r="AE850" s="33">
        <v>2035</v>
      </c>
      <c r="AF850" s="45" t="str">
        <f t="shared" si="123"/>
        <v>*0.91</v>
      </c>
      <c r="AG850" s="43" t="str">
        <f t="shared" si="126"/>
        <v>REZoning_Sol-Win</v>
      </c>
      <c r="AI850" s="33" t="s">
        <v>4181</v>
      </c>
      <c r="AJ850" s="44" t="s">
        <v>57</v>
      </c>
      <c r="AK850" s="33">
        <v>2050</v>
      </c>
      <c r="AL850" s="45" t="str">
        <f t="shared" si="124"/>
        <v>*0.86</v>
      </c>
      <c r="AM850" s="43" t="str">
        <f t="shared" si="127"/>
        <v>REZoning_Sol-Win</v>
      </c>
      <c r="AP850" t="s">
        <v>4181</v>
      </c>
      <c r="AQ850" t="s">
        <v>57</v>
      </c>
      <c r="AR850">
        <f t="shared" si="125"/>
        <v>2100</v>
      </c>
      <c r="AS850" t="s">
        <v>883</v>
      </c>
      <c r="AT850" t="s">
        <v>58</v>
      </c>
    </row>
    <row r="851" ht="29" spans="1:46">
      <c r="A851" s="31" t="s">
        <v>95</v>
      </c>
      <c r="C851" t="s">
        <v>4182</v>
      </c>
      <c r="D851" s="5" t="s">
        <v>57</v>
      </c>
      <c r="E851">
        <v>2035</v>
      </c>
      <c r="F851" s="6" t="str">
        <f t="shared" si="119"/>
        <v>*0.95</v>
      </c>
      <c r="H851" t="s">
        <v>4182</v>
      </c>
      <c r="I851" s="5" t="s">
        <v>57</v>
      </c>
      <c r="J851">
        <v>2050</v>
      </c>
      <c r="K851" s="38" t="str">
        <f t="shared" si="120"/>
        <v>*0.93</v>
      </c>
      <c r="P851" s="32" t="s">
        <v>4182</v>
      </c>
      <c r="Q851" s="42" t="s">
        <v>57</v>
      </c>
      <c r="R851" s="32">
        <v>2035</v>
      </c>
      <c r="S851" s="43" t="str">
        <f t="shared" si="121"/>
        <v>*0.95</v>
      </c>
      <c r="U851" s="32" t="s">
        <v>4182</v>
      </c>
      <c r="V851" s="42" t="s">
        <v>57</v>
      </c>
      <c r="W851" s="32">
        <v>2050</v>
      </c>
      <c r="X851" s="43" t="str">
        <f t="shared" si="122"/>
        <v>*0.91</v>
      </c>
      <c r="AC851" s="33" t="s">
        <v>4182</v>
      </c>
      <c r="AD851" s="44" t="s">
        <v>57</v>
      </c>
      <c r="AE851" s="33">
        <v>2035</v>
      </c>
      <c r="AF851" s="45" t="str">
        <f t="shared" si="123"/>
        <v>*0.91</v>
      </c>
      <c r="AG851" s="43" t="str">
        <f t="shared" si="126"/>
        <v>REZoning_Sol-Win</v>
      </c>
      <c r="AI851" s="33" t="s">
        <v>4182</v>
      </c>
      <c r="AJ851" s="44" t="s">
        <v>57</v>
      </c>
      <c r="AK851" s="33">
        <v>2050</v>
      </c>
      <c r="AL851" s="45" t="str">
        <f t="shared" si="124"/>
        <v>*0.86</v>
      </c>
      <c r="AM851" s="43" t="str">
        <f t="shared" si="127"/>
        <v>REZoning_Sol-Win</v>
      </c>
      <c r="AP851" t="s">
        <v>4182</v>
      </c>
      <c r="AQ851" t="s">
        <v>57</v>
      </c>
      <c r="AR851">
        <f t="shared" si="125"/>
        <v>2100</v>
      </c>
      <c r="AS851" t="s">
        <v>883</v>
      </c>
      <c r="AT851" t="s">
        <v>58</v>
      </c>
    </row>
    <row r="852" ht="29" spans="1:46">
      <c r="A852" s="31" t="s">
        <v>95</v>
      </c>
      <c r="C852" t="s">
        <v>4183</v>
      </c>
      <c r="D852" s="5" t="s">
        <v>57</v>
      </c>
      <c r="E852">
        <v>2035</v>
      </c>
      <c r="F852" s="6" t="str">
        <f t="shared" si="119"/>
        <v>*0.95</v>
      </c>
      <c r="H852" t="s">
        <v>4183</v>
      </c>
      <c r="I852" s="5" t="s">
        <v>57</v>
      </c>
      <c r="J852">
        <v>2050</v>
      </c>
      <c r="K852" s="38" t="str">
        <f t="shared" si="120"/>
        <v>*0.93</v>
      </c>
      <c r="P852" s="32" t="s">
        <v>4183</v>
      </c>
      <c r="Q852" s="42" t="s">
        <v>57</v>
      </c>
      <c r="R852" s="32">
        <v>2035</v>
      </c>
      <c r="S852" s="43" t="str">
        <f t="shared" si="121"/>
        <v>*0.95</v>
      </c>
      <c r="U852" s="32" t="s">
        <v>4183</v>
      </c>
      <c r="V852" s="42" t="s">
        <v>57</v>
      </c>
      <c r="W852" s="32">
        <v>2050</v>
      </c>
      <c r="X852" s="43" t="str">
        <f t="shared" si="122"/>
        <v>*0.91</v>
      </c>
      <c r="AC852" s="33" t="s">
        <v>4183</v>
      </c>
      <c r="AD852" s="44" t="s">
        <v>57</v>
      </c>
      <c r="AE852" s="33">
        <v>2035</v>
      </c>
      <c r="AF852" s="45" t="str">
        <f t="shared" si="123"/>
        <v>*0.91</v>
      </c>
      <c r="AG852" s="43" t="str">
        <f t="shared" si="126"/>
        <v>REZoning_Sol-Win</v>
      </c>
      <c r="AI852" s="33" t="s">
        <v>4183</v>
      </c>
      <c r="AJ852" s="44" t="s">
        <v>57</v>
      </c>
      <c r="AK852" s="33">
        <v>2050</v>
      </c>
      <c r="AL852" s="45" t="str">
        <f t="shared" si="124"/>
        <v>*0.86</v>
      </c>
      <c r="AM852" s="43" t="str">
        <f t="shared" si="127"/>
        <v>REZoning_Sol-Win</v>
      </c>
      <c r="AP852" t="s">
        <v>4183</v>
      </c>
      <c r="AQ852" t="s">
        <v>57</v>
      </c>
      <c r="AR852">
        <f t="shared" si="125"/>
        <v>2100</v>
      </c>
      <c r="AS852" t="s">
        <v>883</v>
      </c>
      <c r="AT852" t="s">
        <v>58</v>
      </c>
    </row>
    <row r="853" ht="29" spans="1:46">
      <c r="A853" s="31" t="s">
        <v>95</v>
      </c>
      <c r="C853" t="s">
        <v>4184</v>
      </c>
      <c r="D853" s="5" t="s">
        <v>57</v>
      </c>
      <c r="E853">
        <v>2035</v>
      </c>
      <c r="F853" s="6" t="str">
        <f t="shared" si="119"/>
        <v>*0.95</v>
      </c>
      <c r="H853" t="s">
        <v>4184</v>
      </c>
      <c r="I853" s="5" t="s">
        <v>57</v>
      </c>
      <c r="J853">
        <v>2050</v>
      </c>
      <c r="K853" s="38" t="str">
        <f t="shared" si="120"/>
        <v>*0.93</v>
      </c>
      <c r="P853" s="32" t="s">
        <v>4184</v>
      </c>
      <c r="Q853" s="42" t="s">
        <v>57</v>
      </c>
      <c r="R853" s="32">
        <v>2035</v>
      </c>
      <c r="S853" s="43" t="str">
        <f t="shared" si="121"/>
        <v>*0.95</v>
      </c>
      <c r="U853" s="32" t="s">
        <v>4184</v>
      </c>
      <c r="V853" s="42" t="s">
        <v>57</v>
      </c>
      <c r="W853" s="32">
        <v>2050</v>
      </c>
      <c r="X853" s="43" t="str">
        <f t="shared" si="122"/>
        <v>*0.91</v>
      </c>
      <c r="AC853" s="33" t="s">
        <v>4184</v>
      </c>
      <c r="AD853" s="44" t="s">
        <v>57</v>
      </c>
      <c r="AE853" s="33">
        <v>2035</v>
      </c>
      <c r="AF853" s="45" t="str">
        <f t="shared" si="123"/>
        <v>*0.91</v>
      </c>
      <c r="AG853" s="43" t="str">
        <f t="shared" si="126"/>
        <v>REZoning_Sol-Win</v>
      </c>
      <c r="AI853" s="33" t="s">
        <v>4184</v>
      </c>
      <c r="AJ853" s="44" t="s">
        <v>57</v>
      </c>
      <c r="AK853" s="33">
        <v>2050</v>
      </c>
      <c r="AL853" s="45" t="str">
        <f t="shared" si="124"/>
        <v>*0.86</v>
      </c>
      <c r="AM853" s="43" t="str">
        <f t="shared" si="127"/>
        <v>REZoning_Sol-Win</v>
      </c>
      <c r="AP853" t="s">
        <v>4184</v>
      </c>
      <c r="AQ853" t="s">
        <v>57</v>
      </c>
      <c r="AR853">
        <f t="shared" si="125"/>
        <v>2100</v>
      </c>
      <c r="AS853" t="s">
        <v>883</v>
      </c>
      <c r="AT853" t="s">
        <v>58</v>
      </c>
    </row>
    <row r="854" ht="29" spans="1:46">
      <c r="A854" s="31" t="s">
        <v>95</v>
      </c>
      <c r="C854" t="s">
        <v>4185</v>
      </c>
      <c r="D854" s="5" t="s">
        <v>57</v>
      </c>
      <c r="E854">
        <v>2035</v>
      </c>
      <c r="F854" s="6" t="str">
        <f t="shared" si="119"/>
        <v>*0.95</v>
      </c>
      <c r="H854" t="s">
        <v>4185</v>
      </c>
      <c r="I854" s="5" t="s">
        <v>57</v>
      </c>
      <c r="J854">
        <v>2050</v>
      </c>
      <c r="K854" s="38" t="str">
        <f t="shared" si="120"/>
        <v>*0.93</v>
      </c>
      <c r="P854" s="32" t="s">
        <v>4185</v>
      </c>
      <c r="Q854" s="42" t="s">
        <v>57</v>
      </c>
      <c r="R854" s="32">
        <v>2035</v>
      </c>
      <c r="S854" s="43" t="str">
        <f t="shared" si="121"/>
        <v>*0.95</v>
      </c>
      <c r="U854" s="32" t="s">
        <v>4185</v>
      </c>
      <c r="V854" s="42" t="s">
        <v>57</v>
      </c>
      <c r="W854" s="32">
        <v>2050</v>
      </c>
      <c r="X854" s="43" t="str">
        <f t="shared" si="122"/>
        <v>*0.91</v>
      </c>
      <c r="AC854" s="33" t="s">
        <v>4185</v>
      </c>
      <c r="AD854" s="44" t="s">
        <v>57</v>
      </c>
      <c r="AE854" s="33">
        <v>2035</v>
      </c>
      <c r="AF854" s="45" t="str">
        <f t="shared" si="123"/>
        <v>*0.91</v>
      </c>
      <c r="AG854" s="43" t="str">
        <f t="shared" si="126"/>
        <v>REZoning_Sol-Win</v>
      </c>
      <c r="AI854" s="33" t="s">
        <v>4185</v>
      </c>
      <c r="AJ854" s="44" t="s">
        <v>57</v>
      </c>
      <c r="AK854" s="33">
        <v>2050</v>
      </c>
      <c r="AL854" s="45" t="str">
        <f t="shared" si="124"/>
        <v>*0.86</v>
      </c>
      <c r="AM854" s="43" t="str">
        <f t="shared" si="127"/>
        <v>REZoning_Sol-Win</v>
      </c>
      <c r="AP854" t="s">
        <v>4185</v>
      </c>
      <c r="AQ854" t="s">
        <v>57</v>
      </c>
      <c r="AR854">
        <f t="shared" si="125"/>
        <v>2100</v>
      </c>
      <c r="AS854" t="s">
        <v>883</v>
      </c>
      <c r="AT854" t="s">
        <v>58</v>
      </c>
    </row>
    <row r="855" ht="29" spans="1:46">
      <c r="A855" s="31" t="s">
        <v>95</v>
      </c>
      <c r="C855" t="s">
        <v>4186</v>
      </c>
      <c r="D855" s="5" t="s">
        <v>57</v>
      </c>
      <c r="E855">
        <v>2035</v>
      </c>
      <c r="F855" s="6" t="str">
        <f t="shared" si="119"/>
        <v>*0.95</v>
      </c>
      <c r="H855" t="s">
        <v>4186</v>
      </c>
      <c r="I855" s="5" t="s">
        <v>57</v>
      </c>
      <c r="J855">
        <v>2050</v>
      </c>
      <c r="K855" s="38" t="str">
        <f t="shared" si="120"/>
        <v>*0.93</v>
      </c>
      <c r="P855" s="32" t="s">
        <v>4186</v>
      </c>
      <c r="Q855" s="42" t="s">
        <v>57</v>
      </c>
      <c r="R855" s="32">
        <v>2035</v>
      </c>
      <c r="S855" s="43" t="str">
        <f t="shared" si="121"/>
        <v>*0.95</v>
      </c>
      <c r="U855" s="32" t="s">
        <v>4186</v>
      </c>
      <c r="V855" s="42" t="s">
        <v>57</v>
      </c>
      <c r="W855" s="32">
        <v>2050</v>
      </c>
      <c r="X855" s="43" t="str">
        <f t="shared" si="122"/>
        <v>*0.91</v>
      </c>
      <c r="AC855" s="33" t="s">
        <v>4186</v>
      </c>
      <c r="AD855" s="44" t="s">
        <v>57</v>
      </c>
      <c r="AE855" s="33">
        <v>2035</v>
      </c>
      <c r="AF855" s="45" t="str">
        <f t="shared" si="123"/>
        <v>*0.91</v>
      </c>
      <c r="AG855" s="43" t="str">
        <f t="shared" si="126"/>
        <v>REZoning_Sol-Win</v>
      </c>
      <c r="AI855" s="33" t="s">
        <v>4186</v>
      </c>
      <c r="AJ855" s="44" t="s">
        <v>57</v>
      </c>
      <c r="AK855" s="33">
        <v>2050</v>
      </c>
      <c r="AL855" s="45" t="str">
        <f t="shared" si="124"/>
        <v>*0.86</v>
      </c>
      <c r="AM855" s="43" t="str">
        <f t="shared" si="127"/>
        <v>REZoning_Sol-Win</v>
      </c>
      <c r="AP855" t="s">
        <v>4186</v>
      </c>
      <c r="AQ855" t="s">
        <v>57</v>
      </c>
      <c r="AR855">
        <f t="shared" si="125"/>
        <v>2100</v>
      </c>
      <c r="AS855" t="s">
        <v>883</v>
      </c>
      <c r="AT855" t="s">
        <v>58</v>
      </c>
    </row>
    <row r="856" ht="29" spans="1:46">
      <c r="A856" s="31" t="s">
        <v>95</v>
      </c>
      <c r="C856" t="s">
        <v>4187</v>
      </c>
      <c r="D856" s="5" t="s">
        <v>57</v>
      </c>
      <c r="E856">
        <v>2035</v>
      </c>
      <c r="F856" s="6" t="str">
        <f t="shared" si="119"/>
        <v>*0.95</v>
      </c>
      <c r="H856" t="s">
        <v>4187</v>
      </c>
      <c r="I856" s="5" t="s">
        <v>57</v>
      </c>
      <c r="J856">
        <v>2050</v>
      </c>
      <c r="K856" s="38" t="str">
        <f t="shared" si="120"/>
        <v>*0.93</v>
      </c>
      <c r="P856" s="32" t="s">
        <v>4187</v>
      </c>
      <c r="Q856" s="42" t="s">
        <v>57</v>
      </c>
      <c r="R856" s="32">
        <v>2035</v>
      </c>
      <c r="S856" s="43" t="str">
        <f t="shared" si="121"/>
        <v>*0.95</v>
      </c>
      <c r="U856" s="32" t="s">
        <v>4187</v>
      </c>
      <c r="V856" s="42" t="s">
        <v>57</v>
      </c>
      <c r="W856" s="32">
        <v>2050</v>
      </c>
      <c r="X856" s="43" t="str">
        <f t="shared" si="122"/>
        <v>*0.91</v>
      </c>
      <c r="AC856" s="33" t="s">
        <v>4187</v>
      </c>
      <c r="AD856" s="44" t="s">
        <v>57</v>
      </c>
      <c r="AE856" s="33">
        <v>2035</v>
      </c>
      <c r="AF856" s="45" t="str">
        <f t="shared" si="123"/>
        <v>*0.91</v>
      </c>
      <c r="AG856" s="43" t="str">
        <f t="shared" si="126"/>
        <v>REZoning_Sol-Win</v>
      </c>
      <c r="AI856" s="33" t="s">
        <v>4187</v>
      </c>
      <c r="AJ856" s="44" t="s">
        <v>57</v>
      </c>
      <c r="AK856" s="33">
        <v>2050</v>
      </c>
      <c r="AL856" s="45" t="str">
        <f t="shared" si="124"/>
        <v>*0.86</v>
      </c>
      <c r="AM856" s="43" t="str">
        <f t="shared" si="127"/>
        <v>REZoning_Sol-Win</v>
      </c>
      <c r="AP856" t="s">
        <v>4187</v>
      </c>
      <c r="AQ856" t="s">
        <v>57</v>
      </c>
      <c r="AR856">
        <f t="shared" si="125"/>
        <v>2100</v>
      </c>
      <c r="AS856" t="s">
        <v>883</v>
      </c>
      <c r="AT856" t="s">
        <v>58</v>
      </c>
    </row>
    <row r="857" ht="29" spans="1:46">
      <c r="A857" s="31" t="s">
        <v>95</v>
      </c>
      <c r="C857" t="s">
        <v>4188</v>
      </c>
      <c r="D857" s="5" t="s">
        <v>57</v>
      </c>
      <c r="E857">
        <v>2035</v>
      </c>
      <c r="F857" s="6" t="str">
        <f t="shared" si="119"/>
        <v>*0.95</v>
      </c>
      <c r="H857" t="s">
        <v>4188</v>
      </c>
      <c r="I857" s="5" t="s">
        <v>57</v>
      </c>
      <c r="J857">
        <v>2050</v>
      </c>
      <c r="K857" s="38" t="str">
        <f t="shared" si="120"/>
        <v>*0.93</v>
      </c>
      <c r="P857" s="32" t="s">
        <v>4188</v>
      </c>
      <c r="Q857" s="42" t="s">
        <v>57</v>
      </c>
      <c r="R857" s="32">
        <v>2035</v>
      </c>
      <c r="S857" s="43" t="str">
        <f t="shared" si="121"/>
        <v>*0.95</v>
      </c>
      <c r="U857" s="32" t="s">
        <v>4188</v>
      </c>
      <c r="V857" s="42" t="s">
        <v>57</v>
      </c>
      <c r="W857" s="32">
        <v>2050</v>
      </c>
      <c r="X857" s="43" t="str">
        <f t="shared" si="122"/>
        <v>*0.91</v>
      </c>
      <c r="AC857" s="33" t="s">
        <v>4188</v>
      </c>
      <c r="AD857" s="44" t="s">
        <v>57</v>
      </c>
      <c r="AE857" s="33">
        <v>2035</v>
      </c>
      <c r="AF857" s="45" t="str">
        <f t="shared" si="123"/>
        <v>*0.91</v>
      </c>
      <c r="AG857" s="43" t="str">
        <f t="shared" si="126"/>
        <v>REZoning_Sol-Win</v>
      </c>
      <c r="AI857" s="33" t="s">
        <v>4188</v>
      </c>
      <c r="AJ857" s="44" t="s">
        <v>57</v>
      </c>
      <c r="AK857" s="33">
        <v>2050</v>
      </c>
      <c r="AL857" s="45" t="str">
        <f t="shared" si="124"/>
        <v>*0.86</v>
      </c>
      <c r="AM857" s="43" t="str">
        <f t="shared" si="127"/>
        <v>REZoning_Sol-Win</v>
      </c>
      <c r="AP857" t="s">
        <v>4188</v>
      </c>
      <c r="AQ857" t="s">
        <v>57</v>
      </c>
      <c r="AR857">
        <f t="shared" si="125"/>
        <v>2100</v>
      </c>
      <c r="AS857" t="s">
        <v>883</v>
      </c>
      <c r="AT857" t="s">
        <v>58</v>
      </c>
    </row>
    <row r="858" ht="29" spans="1:46">
      <c r="A858" s="31" t="s">
        <v>95</v>
      </c>
      <c r="C858" t="s">
        <v>4189</v>
      </c>
      <c r="D858" s="5" t="s">
        <v>57</v>
      </c>
      <c r="E858">
        <v>2035</v>
      </c>
      <c r="F858" s="6" t="str">
        <f t="shared" si="119"/>
        <v>*0.95</v>
      </c>
      <c r="H858" t="s">
        <v>4189</v>
      </c>
      <c r="I858" s="5" t="s">
        <v>57</v>
      </c>
      <c r="J858">
        <v>2050</v>
      </c>
      <c r="K858" s="38" t="str">
        <f t="shared" si="120"/>
        <v>*0.93</v>
      </c>
      <c r="P858" s="32" t="s">
        <v>4189</v>
      </c>
      <c r="Q858" s="42" t="s">
        <v>57</v>
      </c>
      <c r="R858" s="32">
        <v>2035</v>
      </c>
      <c r="S858" s="43" t="str">
        <f t="shared" si="121"/>
        <v>*0.95</v>
      </c>
      <c r="U858" s="32" t="s">
        <v>4189</v>
      </c>
      <c r="V858" s="42" t="s">
        <v>57</v>
      </c>
      <c r="W858" s="32">
        <v>2050</v>
      </c>
      <c r="X858" s="43" t="str">
        <f t="shared" si="122"/>
        <v>*0.91</v>
      </c>
      <c r="AC858" s="33" t="s">
        <v>4189</v>
      </c>
      <c r="AD858" s="44" t="s">
        <v>57</v>
      </c>
      <c r="AE858" s="33">
        <v>2035</v>
      </c>
      <c r="AF858" s="45" t="str">
        <f t="shared" si="123"/>
        <v>*0.91</v>
      </c>
      <c r="AG858" s="43" t="str">
        <f t="shared" si="126"/>
        <v>REZoning_Sol-Win</v>
      </c>
      <c r="AI858" s="33" t="s">
        <v>4189</v>
      </c>
      <c r="AJ858" s="44" t="s">
        <v>57</v>
      </c>
      <c r="AK858" s="33">
        <v>2050</v>
      </c>
      <c r="AL858" s="45" t="str">
        <f t="shared" si="124"/>
        <v>*0.86</v>
      </c>
      <c r="AM858" s="43" t="str">
        <f t="shared" si="127"/>
        <v>REZoning_Sol-Win</v>
      </c>
      <c r="AP858" t="s">
        <v>4189</v>
      </c>
      <c r="AQ858" t="s">
        <v>57</v>
      </c>
      <c r="AR858">
        <f t="shared" si="125"/>
        <v>2100</v>
      </c>
      <c r="AS858" t="s">
        <v>883</v>
      </c>
      <c r="AT858" t="s">
        <v>58</v>
      </c>
    </row>
    <row r="859" ht="29" spans="1:46">
      <c r="A859" s="31" t="s">
        <v>95</v>
      </c>
      <c r="C859" t="s">
        <v>4190</v>
      </c>
      <c r="D859" s="5" t="s">
        <v>57</v>
      </c>
      <c r="E859">
        <v>2035</v>
      </c>
      <c r="F859" s="6" t="str">
        <f t="shared" si="119"/>
        <v>*0.95</v>
      </c>
      <c r="H859" t="s">
        <v>4190</v>
      </c>
      <c r="I859" s="5" t="s">
        <v>57</v>
      </c>
      <c r="J859">
        <v>2050</v>
      </c>
      <c r="K859" s="38" t="str">
        <f t="shared" si="120"/>
        <v>*0.93</v>
      </c>
      <c r="P859" s="32" t="s">
        <v>4190</v>
      </c>
      <c r="Q859" s="42" t="s">
        <v>57</v>
      </c>
      <c r="R859" s="32">
        <v>2035</v>
      </c>
      <c r="S859" s="43" t="str">
        <f t="shared" si="121"/>
        <v>*0.95</v>
      </c>
      <c r="U859" s="32" t="s">
        <v>4190</v>
      </c>
      <c r="V859" s="42" t="s">
        <v>57</v>
      </c>
      <c r="W859" s="32">
        <v>2050</v>
      </c>
      <c r="X859" s="43" t="str">
        <f t="shared" si="122"/>
        <v>*0.91</v>
      </c>
      <c r="AC859" s="33" t="s">
        <v>4190</v>
      </c>
      <c r="AD859" s="44" t="s">
        <v>57</v>
      </c>
      <c r="AE859" s="33">
        <v>2035</v>
      </c>
      <c r="AF859" s="45" t="str">
        <f t="shared" si="123"/>
        <v>*0.91</v>
      </c>
      <c r="AG859" s="43" t="str">
        <f t="shared" si="126"/>
        <v>REZoning_Sol-Win</v>
      </c>
      <c r="AI859" s="33" t="s">
        <v>4190</v>
      </c>
      <c r="AJ859" s="44" t="s">
        <v>57</v>
      </c>
      <c r="AK859" s="33">
        <v>2050</v>
      </c>
      <c r="AL859" s="45" t="str">
        <f t="shared" si="124"/>
        <v>*0.86</v>
      </c>
      <c r="AM859" s="43" t="str">
        <f t="shared" si="127"/>
        <v>REZoning_Sol-Win</v>
      </c>
      <c r="AP859" t="s">
        <v>4190</v>
      </c>
      <c r="AQ859" t="s">
        <v>57</v>
      </c>
      <c r="AR859">
        <f t="shared" si="125"/>
        <v>2100</v>
      </c>
      <c r="AS859" t="s">
        <v>883</v>
      </c>
      <c r="AT859" t="s">
        <v>58</v>
      </c>
    </row>
    <row r="860" ht="29" spans="1:46">
      <c r="A860" s="31" t="s">
        <v>95</v>
      </c>
      <c r="C860" t="s">
        <v>4191</v>
      </c>
      <c r="D860" s="5" t="s">
        <v>57</v>
      </c>
      <c r="E860">
        <v>2035</v>
      </c>
      <c r="F860" s="6" t="str">
        <f t="shared" si="119"/>
        <v>*0.95</v>
      </c>
      <c r="H860" t="s">
        <v>4191</v>
      </c>
      <c r="I860" s="5" t="s">
        <v>57</v>
      </c>
      <c r="J860">
        <v>2050</v>
      </c>
      <c r="K860" s="38" t="str">
        <f t="shared" si="120"/>
        <v>*0.93</v>
      </c>
      <c r="P860" s="32" t="s">
        <v>4191</v>
      </c>
      <c r="Q860" s="42" t="s">
        <v>57</v>
      </c>
      <c r="R860" s="32">
        <v>2035</v>
      </c>
      <c r="S860" s="43" t="str">
        <f t="shared" si="121"/>
        <v>*0.95</v>
      </c>
      <c r="U860" s="32" t="s">
        <v>4191</v>
      </c>
      <c r="V860" s="42" t="s">
        <v>57</v>
      </c>
      <c r="W860" s="32">
        <v>2050</v>
      </c>
      <c r="X860" s="43" t="str">
        <f t="shared" si="122"/>
        <v>*0.91</v>
      </c>
      <c r="AC860" s="33" t="s">
        <v>4191</v>
      </c>
      <c r="AD860" s="44" t="s">
        <v>57</v>
      </c>
      <c r="AE860" s="33">
        <v>2035</v>
      </c>
      <c r="AF860" s="45" t="str">
        <f t="shared" si="123"/>
        <v>*0.91</v>
      </c>
      <c r="AG860" s="43" t="str">
        <f t="shared" si="126"/>
        <v>REZoning_Sol-Win</v>
      </c>
      <c r="AI860" s="33" t="s">
        <v>4191</v>
      </c>
      <c r="AJ860" s="44" t="s">
        <v>57</v>
      </c>
      <c r="AK860" s="33">
        <v>2050</v>
      </c>
      <c r="AL860" s="45" t="str">
        <f t="shared" si="124"/>
        <v>*0.86</v>
      </c>
      <c r="AM860" s="43" t="str">
        <f t="shared" si="127"/>
        <v>REZoning_Sol-Win</v>
      </c>
      <c r="AP860" t="s">
        <v>4191</v>
      </c>
      <c r="AQ860" t="s">
        <v>57</v>
      </c>
      <c r="AR860">
        <f t="shared" si="125"/>
        <v>2100</v>
      </c>
      <c r="AS860" t="s">
        <v>883</v>
      </c>
      <c r="AT860" t="s">
        <v>58</v>
      </c>
    </row>
    <row r="861" ht="29" spans="1:46">
      <c r="A861" s="31" t="s">
        <v>95</v>
      </c>
      <c r="C861" t="s">
        <v>4192</v>
      </c>
      <c r="D861" s="5" t="s">
        <v>57</v>
      </c>
      <c r="E861">
        <v>2035</v>
      </c>
      <c r="F861" s="6" t="str">
        <f t="shared" si="119"/>
        <v>*0.95</v>
      </c>
      <c r="H861" t="s">
        <v>4192</v>
      </c>
      <c r="I861" s="5" t="s">
        <v>57</v>
      </c>
      <c r="J861">
        <v>2050</v>
      </c>
      <c r="K861" s="38" t="str">
        <f t="shared" si="120"/>
        <v>*0.93</v>
      </c>
      <c r="P861" s="32" t="s">
        <v>4192</v>
      </c>
      <c r="Q861" s="42" t="s">
        <v>57</v>
      </c>
      <c r="R861" s="32">
        <v>2035</v>
      </c>
      <c r="S861" s="43" t="str">
        <f t="shared" si="121"/>
        <v>*0.95</v>
      </c>
      <c r="U861" s="32" t="s">
        <v>4192</v>
      </c>
      <c r="V861" s="42" t="s">
        <v>57</v>
      </c>
      <c r="W861" s="32">
        <v>2050</v>
      </c>
      <c r="X861" s="43" t="str">
        <f t="shared" si="122"/>
        <v>*0.91</v>
      </c>
      <c r="AC861" s="33" t="s">
        <v>4192</v>
      </c>
      <c r="AD861" s="44" t="s">
        <v>57</v>
      </c>
      <c r="AE861" s="33">
        <v>2035</v>
      </c>
      <c r="AF861" s="45" t="str">
        <f t="shared" si="123"/>
        <v>*0.91</v>
      </c>
      <c r="AG861" s="43" t="str">
        <f t="shared" si="126"/>
        <v>REZoning_Sol-Win</v>
      </c>
      <c r="AI861" s="33" t="s">
        <v>4192</v>
      </c>
      <c r="AJ861" s="44" t="s">
        <v>57</v>
      </c>
      <c r="AK861" s="33">
        <v>2050</v>
      </c>
      <c r="AL861" s="45" t="str">
        <f t="shared" si="124"/>
        <v>*0.86</v>
      </c>
      <c r="AM861" s="43" t="str">
        <f t="shared" si="127"/>
        <v>REZoning_Sol-Win</v>
      </c>
      <c r="AP861" t="s">
        <v>4192</v>
      </c>
      <c r="AQ861" t="s">
        <v>57</v>
      </c>
      <c r="AR861">
        <f t="shared" si="125"/>
        <v>2100</v>
      </c>
      <c r="AS861" t="s">
        <v>883</v>
      </c>
      <c r="AT861" t="s">
        <v>58</v>
      </c>
    </row>
    <row r="862" ht="29" spans="1:46">
      <c r="A862" s="31" t="s">
        <v>95</v>
      </c>
      <c r="C862" t="s">
        <v>4193</v>
      </c>
      <c r="D862" s="5" t="s">
        <v>57</v>
      </c>
      <c r="E862">
        <v>2035</v>
      </c>
      <c r="F862" s="6" t="str">
        <f t="shared" si="119"/>
        <v>*0.95</v>
      </c>
      <c r="H862" t="s">
        <v>4193</v>
      </c>
      <c r="I862" s="5" t="s">
        <v>57</v>
      </c>
      <c r="J862">
        <v>2050</v>
      </c>
      <c r="K862" s="38" t="str">
        <f t="shared" si="120"/>
        <v>*0.93</v>
      </c>
      <c r="P862" s="32" t="s">
        <v>4193</v>
      </c>
      <c r="Q862" s="42" t="s">
        <v>57</v>
      </c>
      <c r="R862" s="32">
        <v>2035</v>
      </c>
      <c r="S862" s="43" t="str">
        <f t="shared" si="121"/>
        <v>*0.95</v>
      </c>
      <c r="U862" s="32" t="s">
        <v>4193</v>
      </c>
      <c r="V862" s="42" t="s">
        <v>57</v>
      </c>
      <c r="W862" s="32">
        <v>2050</v>
      </c>
      <c r="X862" s="43" t="str">
        <f t="shared" si="122"/>
        <v>*0.91</v>
      </c>
      <c r="AC862" s="33" t="s">
        <v>4193</v>
      </c>
      <c r="AD862" s="44" t="s">
        <v>57</v>
      </c>
      <c r="AE862" s="33">
        <v>2035</v>
      </c>
      <c r="AF862" s="45" t="str">
        <f t="shared" si="123"/>
        <v>*0.91</v>
      </c>
      <c r="AG862" s="43" t="str">
        <f t="shared" si="126"/>
        <v>REZoning_Sol-Win</v>
      </c>
      <c r="AI862" s="33" t="s">
        <v>4193</v>
      </c>
      <c r="AJ862" s="44" t="s">
        <v>57</v>
      </c>
      <c r="AK862" s="33">
        <v>2050</v>
      </c>
      <c r="AL862" s="45" t="str">
        <f t="shared" si="124"/>
        <v>*0.86</v>
      </c>
      <c r="AM862" s="43" t="str">
        <f t="shared" si="127"/>
        <v>REZoning_Sol-Win</v>
      </c>
      <c r="AP862" t="s">
        <v>4193</v>
      </c>
      <c r="AQ862" t="s">
        <v>57</v>
      </c>
      <c r="AR862">
        <f t="shared" si="125"/>
        <v>2100</v>
      </c>
      <c r="AS862" t="s">
        <v>883</v>
      </c>
      <c r="AT862" t="s">
        <v>58</v>
      </c>
    </row>
    <row r="863" ht="29" spans="1:46">
      <c r="A863" s="31" t="s">
        <v>95</v>
      </c>
      <c r="C863" t="s">
        <v>4194</v>
      </c>
      <c r="D863" s="5" t="s">
        <v>57</v>
      </c>
      <c r="E863">
        <v>2035</v>
      </c>
      <c r="F863" s="6" t="str">
        <f t="shared" si="119"/>
        <v>*0.95</v>
      </c>
      <c r="H863" t="s">
        <v>4194</v>
      </c>
      <c r="I863" s="5" t="s">
        <v>57</v>
      </c>
      <c r="J863">
        <v>2050</v>
      </c>
      <c r="K863" s="38" t="str">
        <f t="shared" si="120"/>
        <v>*0.93</v>
      </c>
      <c r="P863" s="32" t="s">
        <v>4194</v>
      </c>
      <c r="Q863" s="42" t="s">
        <v>57</v>
      </c>
      <c r="R863" s="32">
        <v>2035</v>
      </c>
      <c r="S863" s="43" t="str">
        <f t="shared" si="121"/>
        <v>*0.95</v>
      </c>
      <c r="U863" s="32" t="s">
        <v>4194</v>
      </c>
      <c r="V863" s="42" t="s">
        <v>57</v>
      </c>
      <c r="W863" s="32">
        <v>2050</v>
      </c>
      <c r="X863" s="43" t="str">
        <f t="shared" si="122"/>
        <v>*0.91</v>
      </c>
      <c r="AC863" s="33" t="s">
        <v>4194</v>
      </c>
      <c r="AD863" s="44" t="s">
        <v>57</v>
      </c>
      <c r="AE863" s="33">
        <v>2035</v>
      </c>
      <c r="AF863" s="45" t="str">
        <f t="shared" si="123"/>
        <v>*0.91</v>
      </c>
      <c r="AG863" s="43" t="str">
        <f t="shared" si="126"/>
        <v>REZoning_Sol-Win</v>
      </c>
      <c r="AI863" s="33" t="s">
        <v>4194</v>
      </c>
      <c r="AJ863" s="44" t="s">
        <v>57</v>
      </c>
      <c r="AK863" s="33">
        <v>2050</v>
      </c>
      <c r="AL863" s="45" t="str">
        <f t="shared" si="124"/>
        <v>*0.86</v>
      </c>
      <c r="AM863" s="43" t="str">
        <f t="shared" si="127"/>
        <v>REZoning_Sol-Win</v>
      </c>
      <c r="AP863" t="s">
        <v>4194</v>
      </c>
      <c r="AQ863" t="s">
        <v>57</v>
      </c>
      <c r="AR863">
        <f t="shared" si="125"/>
        <v>2100</v>
      </c>
      <c r="AS863" t="s">
        <v>883</v>
      </c>
      <c r="AT863" t="s">
        <v>58</v>
      </c>
    </row>
    <row r="864" ht="29" spans="1:46">
      <c r="A864" s="31" t="s">
        <v>95</v>
      </c>
      <c r="C864" t="s">
        <v>4195</v>
      </c>
      <c r="D864" s="5" t="s">
        <v>57</v>
      </c>
      <c r="E864">
        <v>2035</v>
      </c>
      <c r="F864" s="6" t="str">
        <f t="shared" si="119"/>
        <v>*0.95</v>
      </c>
      <c r="H864" t="s">
        <v>4195</v>
      </c>
      <c r="I864" s="5" t="s">
        <v>57</v>
      </c>
      <c r="J864">
        <v>2050</v>
      </c>
      <c r="K864" s="38" t="str">
        <f t="shared" si="120"/>
        <v>*0.93</v>
      </c>
      <c r="P864" s="32" t="s">
        <v>4195</v>
      </c>
      <c r="Q864" s="42" t="s">
        <v>57</v>
      </c>
      <c r="R864" s="32">
        <v>2035</v>
      </c>
      <c r="S864" s="43" t="str">
        <f t="shared" si="121"/>
        <v>*0.95</v>
      </c>
      <c r="U864" s="32" t="s">
        <v>4195</v>
      </c>
      <c r="V864" s="42" t="s">
        <v>57</v>
      </c>
      <c r="W864" s="32">
        <v>2050</v>
      </c>
      <c r="X864" s="43" t="str">
        <f t="shared" si="122"/>
        <v>*0.91</v>
      </c>
      <c r="AC864" s="33" t="s">
        <v>4195</v>
      </c>
      <c r="AD864" s="44" t="s">
        <v>57</v>
      </c>
      <c r="AE864" s="33">
        <v>2035</v>
      </c>
      <c r="AF864" s="45" t="str">
        <f t="shared" si="123"/>
        <v>*0.91</v>
      </c>
      <c r="AG864" s="43" t="str">
        <f t="shared" si="126"/>
        <v>REZoning_Sol-Win</v>
      </c>
      <c r="AI864" s="33" t="s">
        <v>4195</v>
      </c>
      <c r="AJ864" s="44" t="s">
        <v>57</v>
      </c>
      <c r="AK864" s="33">
        <v>2050</v>
      </c>
      <c r="AL864" s="45" t="str">
        <f t="shared" si="124"/>
        <v>*0.86</v>
      </c>
      <c r="AM864" s="43" t="str">
        <f t="shared" si="127"/>
        <v>REZoning_Sol-Win</v>
      </c>
      <c r="AP864" t="s">
        <v>4195</v>
      </c>
      <c r="AQ864" t="s">
        <v>57</v>
      </c>
      <c r="AR864">
        <f t="shared" si="125"/>
        <v>2100</v>
      </c>
      <c r="AS864" t="s">
        <v>883</v>
      </c>
      <c r="AT864" t="s">
        <v>58</v>
      </c>
    </row>
    <row r="865" ht="29" spans="1:46">
      <c r="A865" s="31" t="s">
        <v>95</v>
      </c>
      <c r="C865" t="s">
        <v>4196</v>
      </c>
      <c r="D865" s="5" t="s">
        <v>57</v>
      </c>
      <c r="E865">
        <v>2035</v>
      </c>
      <c r="F865" s="6" t="str">
        <f t="shared" si="119"/>
        <v>*0.95</v>
      </c>
      <c r="H865" t="s">
        <v>4196</v>
      </c>
      <c r="I865" s="5" t="s">
        <v>57</v>
      </c>
      <c r="J865">
        <v>2050</v>
      </c>
      <c r="K865" s="38" t="str">
        <f t="shared" si="120"/>
        <v>*0.93</v>
      </c>
      <c r="P865" s="32" t="s">
        <v>4196</v>
      </c>
      <c r="Q865" s="42" t="s">
        <v>57</v>
      </c>
      <c r="R865" s="32">
        <v>2035</v>
      </c>
      <c r="S865" s="43" t="str">
        <f t="shared" si="121"/>
        <v>*0.95</v>
      </c>
      <c r="U865" s="32" t="s">
        <v>4196</v>
      </c>
      <c r="V865" s="42" t="s">
        <v>57</v>
      </c>
      <c r="W865" s="32">
        <v>2050</v>
      </c>
      <c r="X865" s="43" t="str">
        <f t="shared" si="122"/>
        <v>*0.91</v>
      </c>
      <c r="AC865" s="33" t="s">
        <v>4196</v>
      </c>
      <c r="AD865" s="44" t="s">
        <v>57</v>
      </c>
      <c r="AE865" s="33">
        <v>2035</v>
      </c>
      <c r="AF865" s="45" t="str">
        <f t="shared" si="123"/>
        <v>*0.91</v>
      </c>
      <c r="AG865" s="43" t="str">
        <f t="shared" si="126"/>
        <v>REZoning_Sol-Win</v>
      </c>
      <c r="AI865" s="33" t="s">
        <v>4196</v>
      </c>
      <c r="AJ865" s="44" t="s">
        <v>57</v>
      </c>
      <c r="AK865" s="33">
        <v>2050</v>
      </c>
      <c r="AL865" s="45" t="str">
        <f t="shared" si="124"/>
        <v>*0.86</v>
      </c>
      <c r="AM865" s="43" t="str">
        <f t="shared" si="127"/>
        <v>REZoning_Sol-Win</v>
      </c>
      <c r="AP865" t="s">
        <v>4196</v>
      </c>
      <c r="AQ865" t="s">
        <v>57</v>
      </c>
      <c r="AR865">
        <f t="shared" si="125"/>
        <v>2100</v>
      </c>
      <c r="AS865" t="s">
        <v>883</v>
      </c>
      <c r="AT865" t="s">
        <v>58</v>
      </c>
    </row>
    <row r="866" ht="29" spans="1:46">
      <c r="A866" s="31" t="s">
        <v>95</v>
      </c>
      <c r="C866" t="s">
        <v>4197</v>
      </c>
      <c r="D866" s="5" t="s">
        <v>57</v>
      </c>
      <c r="E866">
        <v>2035</v>
      </c>
      <c r="F866" s="6" t="str">
        <f t="shared" si="119"/>
        <v>*0.95</v>
      </c>
      <c r="H866" t="s">
        <v>4197</v>
      </c>
      <c r="I866" s="5" t="s">
        <v>57</v>
      </c>
      <c r="J866">
        <v>2050</v>
      </c>
      <c r="K866" s="38" t="str">
        <f t="shared" si="120"/>
        <v>*0.93</v>
      </c>
      <c r="P866" s="32" t="s">
        <v>4197</v>
      </c>
      <c r="Q866" s="42" t="s">
        <v>57</v>
      </c>
      <c r="R866" s="32">
        <v>2035</v>
      </c>
      <c r="S866" s="43" t="str">
        <f t="shared" si="121"/>
        <v>*0.95</v>
      </c>
      <c r="U866" s="32" t="s">
        <v>4197</v>
      </c>
      <c r="V866" s="42" t="s">
        <v>57</v>
      </c>
      <c r="W866" s="32">
        <v>2050</v>
      </c>
      <c r="X866" s="43" t="str">
        <f t="shared" si="122"/>
        <v>*0.91</v>
      </c>
      <c r="AC866" s="33" t="s">
        <v>4197</v>
      </c>
      <c r="AD866" s="44" t="s">
        <v>57</v>
      </c>
      <c r="AE866" s="33">
        <v>2035</v>
      </c>
      <c r="AF866" s="45" t="str">
        <f t="shared" si="123"/>
        <v>*0.91</v>
      </c>
      <c r="AG866" s="43" t="str">
        <f t="shared" si="126"/>
        <v>REZoning_Sol-Win</v>
      </c>
      <c r="AI866" s="33" t="s">
        <v>4197</v>
      </c>
      <c r="AJ866" s="44" t="s">
        <v>57</v>
      </c>
      <c r="AK866" s="33">
        <v>2050</v>
      </c>
      <c r="AL866" s="45" t="str">
        <f t="shared" si="124"/>
        <v>*0.86</v>
      </c>
      <c r="AM866" s="43" t="str">
        <f t="shared" si="127"/>
        <v>REZoning_Sol-Win</v>
      </c>
      <c r="AP866" t="s">
        <v>4197</v>
      </c>
      <c r="AQ866" t="s">
        <v>57</v>
      </c>
      <c r="AR866">
        <f t="shared" si="125"/>
        <v>2100</v>
      </c>
      <c r="AS866" t="s">
        <v>883</v>
      </c>
      <c r="AT866" t="s">
        <v>58</v>
      </c>
    </row>
    <row r="867" ht="29" spans="1:46">
      <c r="A867" s="31" t="s">
        <v>95</v>
      </c>
      <c r="C867" t="s">
        <v>4198</v>
      </c>
      <c r="D867" s="5" t="s">
        <v>57</v>
      </c>
      <c r="E867">
        <v>2035</v>
      </c>
      <c r="F867" s="6" t="str">
        <f t="shared" si="119"/>
        <v>*0.95</v>
      </c>
      <c r="H867" t="s">
        <v>4198</v>
      </c>
      <c r="I867" s="5" t="s">
        <v>57</v>
      </c>
      <c r="J867">
        <v>2050</v>
      </c>
      <c r="K867" s="38" t="str">
        <f t="shared" si="120"/>
        <v>*0.93</v>
      </c>
      <c r="P867" s="32" t="s">
        <v>4198</v>
      </c>
      <c r="Q867" s="42" t="s">
        <v>57</v>
      </c>
      <c r="R867" s="32">
        <v>2035</v>
      </c>
      <c r="S867" s="43" t="str">
        <f t="shared" si="121"/>
        <v>*0.95</v>
      </c>
      <c r="U867" s="32" t="s">
        <v>4198</v>
      </c>
      <c r="V867" s="42" t="s">
        <v>57</v>
      </c>
      <c r="W867" s="32">
        <v>2050</v>
      </c>
      <c r="X867" s="43" t="str">
        <f t="shared" si="122"/>
        <v>*0.91</v>
      </c>
      <c r="AC867" s="33" t="s">
        <v>4198</v>
      </c>
      <c r="AD867" s="44" t="s">
        <v>57</v>
      </c>
      <c r="AE867" s="33">
        <v>2035</v>
      </c>
      <c r="AF867" s="45" t="str">
        <f t="shared" si="123"/>
        <v>*0.91</v>
      </c>
      <c r="AG867" s="43" t="str">
        <f t="shared" si="126"/>
        <v>REZoning_Sol-Win</v>
      </c>
      <c r="AI867" s="33" t="s">
        <v>4198</v>
      </c>
      <c r="AJ867" s="44" t="s">
        <v>57</v>
      </c>
      <c r="AK867" s="33">
        <v>2050</v>
      </c>
      <c r="AL867" s="45" t="str">
        <f t="shared" si="124"/>
        <v>*0.86</v>
      </c>
      <c r="AM867" s="43" t="str">
        <f t="shared" si="127"/>
        <v>REZoning_Sol-Win</v>
      </c>
      <c r="AP867" t="s">
        <v>4198</v>
      </c>
      <c r="AQ867" t="s">
        <v>57</v>
      </c>
      <c r="AR867">
        <f t="shared" si="125"/>
        <v>2100</v>
      </c>
      <c r="AS867" t="s">
        <v>883</v>
      </c>
      <c r="AT867" t="s">
        <v>58</v>
      </c>
    </row>
    <row r="868" ht="29" spans="1:46">
      <c r="A868" s="31" t="s">
        <v>95</v>
      </c>
      <c r="C868" t="s">
        <v>4199</v>
      </c>
      <c r="D868" s="5" t="s">
        <v>57</v>
      </c>
      <c r="E868">
        <v>2035</v>
      </c>
      <c r="F868" s="6" t="str">
        <f t="shared" si="119"/>
        <v>*0.95</v>
      </c>
      <c r="H868" t="s">
        <v>4199</v>
      </c>
      <c r="I868" s="5" t="s">
        <v>57</v>
      </c>
      <c r="J868">
        <v>2050</v>
      </c>
      <c r="K868" s="38" t="str">
        <f t="shared" si="120"/>
        <v>*0.93</v>
      </c>
      <c r="P868" s="32" t="s">
        <v>4199</v>
      </c>
      <c r="Q868" s="42" t="s">
        <v>57</v>
      </c>
      <c r="R868" s="32">
        <v>2035</v>
      </c>
      <c r="S868" s="43" t="str">
        <f t="shared" si="121"/>
        <v>*0.95</v>
      </c>
      <c r="U868" s="32" t="s">
        <v>4199</v>
      </c>
      <c r="V868" s="42" t="s">
        <v>57</v>
      </c>
      <c r="W868" s="32">
        <v>2050</v>
      </c>
      <c r="X868" s="43" t="str">
        <f t="shared" si="122"/>
        <v>*0.91</v>
      </c>
      <c r="AC868" s="33" t="s">
        <v>4199</v>
      </c>
      <c r="AD868" s="44" t="s">
        <v>57</v>
      </c>
      <c r="AE868" s="33">
        <v>2035</v>
      </c>
      <c r="AF868" s="45" t="str">
        <f t="shared" si="123"/>
        <v>*0.91</v>
      </c>
      <c r="AG868" s="43" t="str">
        <f t="shared" si="126"/>
        <v>REZoning_Sol-Win</v>
      </c>
      <c r="AI868" s="33" t="s">
        <v>4199</v>
      </c>
      <c r="AJ868" s="44" t="s">
        <v>57</v>
      </c>
      <c r="AK868" s="33">
        <v>2050</v>
      </c>
      <c r="AL868" s="45" t="str">
        <f t="shared" si="124"/>
        <v>*0.86</v>
      </c>
      <c r="AM868" s="43" t="str">
        <f t="shared" si="127"/>
        <v>REZoning_Sol-Win</v>
      </c>
      <c r="AP868" t="s">
        <v>4199</v>
      </c>
      <c r="AQ868" t="s">
        <v>57</v>
      </c>
      <c r="AR868">
        <f t="shared" si="125"/>
        <v>2100</v>
      </c>
      <c r="AS868" t="s">
        <v>883</v>
      </c>
      <c r="AT868" t="s">
        <v>58</v>
      </c>
    </row>
    <row r="869" ht="29" spans="1:46">
      <c r="A869" s="31" t="s">
        <v>95</v>
      </c>
      <c r="C869" t="s">
        <v>4200</v>
      </c>
      <c r="D869" s="5" t="s">
        <v>57</v>
      </c>
      <c r="E869">
        <v>2035</v>
      </c>
      <c r="F869" s="6" t="str">
        <f t="shared" si="119"/>
        <v>*0.95</v>
      </c>
      <c r="H869" t="s">
        <v>4200</v>
      </c>
      <c r="I869" s="5" t="s">
        <v>57</v>
      </c>
      <c r="J869">
        <v>2050</v>
      </c>
      <c r="K869" s="38" t="str">
        <f t="shared" si="120"/>
        <v>*0.93</v>
      </c>
      <c r="P869" s="32" t="s">
        <v>4200</v>
      </c>
      <c r="Q869" s="42" t="s">
        <v>57</v>
      </c>
      <c r="R869" s="32">
        <v>2035</v>
      </c>
      <c r="S869" s="43" t="str">
        <f t="shared" si="121"/>
        <v>*0.95</v>
      </c>
      <c r="U869" s="32" t="s">
        <v>4200</v>
      </c>
      <c r="V869" s="42" t="s">
        <v>57</v>
      </c>
      <c r="W869" s="32">
        <v>2050</v>
      </c>
      <c r="X869" s="43" t="str">
        <f t="shared" si="122"/>
        <v>*0.91</v>
      </c>
      <c r="AC869" s="33" t="s">
        <v>4200</v>
      </c>
      <c r="AD869" s="44" t="s">
        <v>57</v>
      </c>
      <c r="AE869" s="33">
        <v>2035</v>
      </c>
      <c r="AF869" s="45" t="str">
        <f t="shared" si="123"/>
        <v>*0.91</v>
      </c>
      <c r="AG869" s="43" t="str">
        <f t="shared" si="126"/>
        <v>REZoning_Sol-Win</v>
      </c>
      <c r="AI869" s="33" t="s">
        <v>4200</v>
      </c>
      <c r="AJ869" s="44" t="s">
        <v>57</v>
      </c>
      <c r="AK869" s="33">
        <v>2050</v>
      </c>
      <c r="AL869" s="45" t="str">
        <f t="shared" si="124"/>
        <v>*0.86</v>
      </c>
      <c r="AM869" s="43" t="str">
        <f t="shared" si="127"/>
        <v>REZoning_Sol-Win</v>
      </c>
      <c r="AP869" t="s">
        <v>4200</v>
      </c>
      <c r="AQ869" t="s">
        <v>57</v>
      </c>
      <c r="AR869">
        <f t="shared" si="125"/>
        <v>2100</v>
      </c>
      <c r="AS869" t="s">
        <v>883</v>
      </c>
      <c r="AT869" t="s">
        <v>58</v>
      </c>
    </row>
    <row r="870" ht="29" spans="1:46">
      <c r="A870" s="31" t="s">
        <v>95</v>
      </c>
      <c r="C870" t="s">
        <v>4201</v>
      </c>
      <c r="D870" s="5" t="s">
        <v>57</v>
      </c>
      <c r="E870">
        <v>2035</v>
      </c>
      <c r="F870" s="6" t="str">
        <f t="shared" si="119"/>
        <v>*0.95</v>
      </c>
      <c r="H870" t="s">
        <v>4201</v>
      </c>
      <c r="I870" s="5" t="s">
        <v>57</v>
      </c>
      <c r="J870">
        <v>2050</v>
      </c>
      <c r="K870" s="38" t="str">
        <f t="shared" si="120"/>
        <v>*0.93</v>
      </c>
      <c r="P870" s="32" t="s">
        <v>4201</v>
      </c>
      <c r="Q870" s="42" t="s">
        <v>57</v>
      </c>
      <c r="R870" s="32">
        <v>2035</v>
      </c>
      <c r="S870" s="43" t="str">
        <f t="shared" si="121"/>
        <v>*0.95</v>
      </c>
      <c r="U870" s="32" t="s">
        <v>4201</v>
      </c>
      <c r="V870" s="42" t="s">
        <v>57</v>
      </c>
      <c r="W870" s="32">
        <v>2050</v>
      </c>
      <c r="X870" s="43" t="str">
        <f t="shared" si="122"/>
        <v>*0.91</v>
      </c>
      <c r="AC870" s="33" t="s">
        <v>4201</v>
      </c>
      <c r="AD870" s="44" t="s">
        <v>57</v>
      </c>
      <c r="AE870" s="33">
        <v>2035</v>
      </c>
      <c r="AF870" s="45" t="str">
        <f t="shared" si="123"/>
        <v>*0.91</v>
      </c>
      <c r="AG870" s="43" t="str">
        <f t="shared" si="126"/>
        <v>REZoning_Sol-Win</v>
      </c>
      <c r="AI870" s="33" t="s">
        <v>4201</v>
      </c>
      <c r="AJ870" s="44" t="s">
        <v>57</v>
      </c>
      <c r="AK870" s="33">
        <v>2050</v>
      </c>
      <c r="AL870" s="45" t="str">
        <f t="shared" si="124"/>
        <v>*0.86</v>
      </c>
      <c r="AM870" s="43" t="str">
        <f t="shared" si="127"/>
        <v>REZoning_Sol-Win</v>
      </c>
      <c r="AP870" t="s">
        <v>4201</v>
      </c>
      <c r="AQ870" t="s">
        <v>57</v>
      </c>
      <c r="AR870">
        <f t="shared" si="125"/>
        <v>2100</v>
      </c>
      <c r="AS870" t="s">
        <v>883</v>
      </c>
      <c r="AT870" t="s">
        <v>58</v>
      </c>
    </row>
    <row r="871" ht="29" spans="1:46">
      <c r="A871" s="31" t="s">
        <v>95</v>
      </c>
      <c r="C871" t="s">
        <v>4202</v>
      </c>
      <c r="D871" s="5" t="s">
        <v>57</v>
      </c>
      <c r="E871">
        <v>2035</v>
      </c>
      <c r="F871" s="6" t="str">
        <f t="shared" si="119"/>
        <v>*0.95</v>
      </c>
      <c r="H871" t="s">
        <v>4202</v>
      </c>
      <c r="I871" s="5" t="s">
        <v>57</v>
      </c>
      <c r="J871">
        <v>2050</v>
      </c>
      <c r="K871" s="38" t="str">
        <f t="shared" si="120"/>
        <v>*0.93</v>
      </c>
      <c r="P871" s="32" t="s">
        <v>4202</v>
      </c>
      <c r="Q871" s="42" t="s">
        <v>57</v>
      </c>
      <c r="R871" s="32">
        <v>2035</v>
      </c>
      <c r="S871" s="43" t="str">
        <f t="shared" si="121"/>
        <v>*0.95</v>
      </c>
      <c r="U871" s="32" t="s">
        <v>4202</v>
      </c>
      <c r="V871" s="42" t="s">
        <v>57</v>
      </c>
      <c r="W871" s="32">
        <v>2050</v>
      </c>
      <c r="X871" s="43" t="str">
        <f t="shared" si="122"/>
        <v>*0.91</v>
      </c>
      <c r="AC871" s="33" t="s">
        <v>4202</v>
      </c>
      <c r="AD871" s="44" t="s">
        <v>57</v>
      </c>
      <c r="AE871" s="33">
        <v>2035</v>
      </c>
      <c r="AF871" s="45" t="str">
        <f t="shared" si="123"/>
        <v>*0.91</v>
      </c>
      <c r="AG871" s="43" t="str">
        <f t="shared" si="126"/>
        <v>REZoning_Sol-Win</v>
      </c>
      <c r="AI871" s="33" t="s">
        <v>4202</v>
      </c>
      <c r="AJ871" s="44" t="s">
        <v>57</v>
      </c>
      <c r="AK871" s="33">
        <v>2050</v>
      </c>
      <c r="AL871" s="45" t="str">
        <f t="shared" si="124"/>
        <v>*0.86</v>
      </c>
      <c r="AM871" s="43" t="str">
        <f t="shared" si="127"/>
        <v>REZoning_Sol-Win</v>
      </c>
      <c r="AP871" t="s">
        <v>4202</v>
      </c>
      <c r="AQ871" t="s">
        <v>57</v>
      </c>
      <c r="AR871">
        <f t="shared" si="125"/>
        <v>2100</v>
      </c>
      <c r="AS871" t="s">
        <v>883</v>
      </c>
      <c r="AT871" t="s">
        <v>58</v>
      </c>
    </row>
    <row r="872" ht="29" spans="1:46">
      <c r="A872" s="31" t="s">
        <v>95</v>
      </c>
      <c r="C872" t="s">
        <v>4203</v>
      </c>
      <c r="D872" s="5" t="s">
        <v>57</v>
      </c>
      <c r="E872">
        <v>2035</v>
      </c>
      <c r="F872" s="6" t="str">
        <f t="shared" si="119"/>
        <v>*0.95</v>
      </c>
      <c r="H872" t="s">
        <v>4203</v>
      </c>
      <c r="I872" s="5" t="s">
        <v>57</v>
      </c>
      <c r="J872">
        <v>2050</v>
      </c>
      <c r="K872" s="38" t="str">
        <f t="shared" si="120"/>
        <v>*0.93</v>
      </c>
      <c r="P872" s="32" t="s">
        <v>4203</v>
      </c>
      <c r="Q872" s="42" t="s">
        <v>57</v>
      </c>
      <c r="R872" s="32">
        <v>2035</v>
      </c>
      <c r="S872" s="43" t="str">
        <f t="shared" si="121"/>
        <v>*0.95</v>
      </c>
      <c r="U872" s="32" t="s">
        <v>4203</v>
      </c>
      <c r="V872" s="42" t="s">
        <v>57</v>
      </c>
      <c r="W872" s="32">
        <v>2050</v>
      </c>
      <c r="X872" s="43" t="str">
        <f t="shared" si="122"/>
        <v>*0.91</v>
      </c>
      <c r="AC872" s="33" t="s">
        <v>4203</v>
      </c>
      <c r="AD872" s="44" t="s">
        <v>57</v>
      </c>
      <c r="AE872" s="33">
        <v>2035</v>
      </c>
      <c r="AF872" s="45" t="str">
        <f t="shared" si="123"/>
        <v>*0.91</v>
      </c>
      <c r="AG872" s="43" t="str">
        <f t="shared" si="126"/>
        <v>REZoning_Sol-Win</v>
      </c>
      <c r="AI872" s="33" t="s">
        <v>4203</v>
      </c>
      <c r="AJ872" s="44" t="s">
        <v>57</v>
      </c>
      <c r="AK872" s="33">
        <v>2050</v>
      </c>
      <c r="AL872" s="45" t="str">
        <f t="shared" si="124"/>
        <v>*0.86</v>
      </c>
      <c r="AM872" s="43" t="str">
        <f t="shared" si="127"/>
        <v>REZoning_Sol-Win</v>
      </c>
      <c r="AP872" t="s">
        <v>4203</v>
      </c>
      <c r="AQ872" t="s">
        <v>57</v>
      </c>
      <c r="AR872">
        <f t="shared" si="125"/>
        <v>2100</v>
      </c>
      <c r="AS872" t="s">
        <v>883</v>
      </c>
      <c r="AT872" t="s">
        <v>58</v>
      </c>
    </row>
    <row r="873" ht="29" spans="1:46">
      <c r="A873" s="31" t="s">
        <v>95</v>
      </c>
      <c r="C873" t="s">
        <v>4204</v>
      </c>
      <c r="D873" s="5" t="s">
        <v>57</v>
      </c>
      <c r="E873">
        <v>2035</v>
      </c>
      <c r="F873" s="6" t="str">
        <f t="shared" si="119"/>
        <v>*0.95</v>
      </c>
      <c r="H873" t="s">
        <v>4204</v>
      </c>
      <c r="I873" s="5" t="s">
        <v>57</v>
      </c>
      <c r="J873">
        <v>2050</v>
      </c>
      <c r="K873" s="38" t="str">
        <f t="shared" si="120"/>
        <v>*0.93</v>
      </c>
      <c r="P873" s="32" t="s">
        <v>4204</v>
      </c>
      <c r="Q873" s="42" t="s">
        <v>57</v>
      </c>
      <c r="R873" s="32">
        <v>2035</v>
      </c>
      <c r="S873" s="43" t="str">
        <f t="shared" si="121"/>
        <v>*0.95</v>
      </c>
      <c r="U873" s="32" t="s">
        <v>4204</v>
      </c>
      <c r="V873" s="42" t="s">
        <v>57</v>
      </c>
      <c r="W873" s="32">
        <v>2050</v>
      </c>
      <c r="X873" s="43" t="str">
        <f t="shared" si="122"/>
        <v>*0.91</v>
      </c>
      <c r="AC873" s="33" t="s">
        <v>4204</v>
      </c>
      <c r="AD873" s="44" t="s">
        <v>57</v>
      </c>
      <c r="AE873" s="33">
        <v>2035</v>
      </c>
      <c r="AF873" s="45" t="str">
        <f t="shared" si="123"/>
        <v>*0.91</v>
      </c>
      <c r="AG873" s="43" t="str">
        <f t="shared" si="126"/>
        <v>REZoning_Sol-Win</v>
      </c>
      <c r="AI873" s="33" t="s">
        <v>4204</v>
      </c>
      <c r="AJ873" s="44" t="s">
        <v>57</v>
      </c>
      <c r="AK873" s="33">
        <v>2050</v>
      </c>
      <c r="AL873" s="45" t="str">
        <f t="shared" si="124"/>
        <v>*0.86</v>
      </c>
      <c r="AM873" s="43" t="str">
        <f t="shared" si="127"/>
        <v>REZoning_Sol-Win</v>
      </c>
      <c r="AP873" t="s">
        <v>4204</v>
      </c>
      <c r="AQ873" t="s">
        <v>57</v>
      </c>
      <c r="AR873">
        <f t="shared" si="125"/>
        <v>2100</v>
      </c>
      <c r="AS873" t="s">
        <v>883</v>
      </c>
      <c r="AT873" t="s">
        <v>58</v>
      </c>
    </row>
    <row r="874" ht="29" spans="1:46">
      <c r="A874" s="31" t="s">
        <v>79</v>
      </c>
      <c r="C874" t="s">
        <v>4205</v>
      </c>
      <c r="D874" s="5" t="s">
        <v>57</v>
      </c>
      <c r="E874">
        <v>2035</v>
      </c>
      <c r="F874" s="6" t="str">
        <f t="shared" si="119"/>
        <v>*0.94</v>
      </c>
      <c r="H874" t="s">
        <v>4205</v>
      </c>
      <c r="I874" s="5" t="s">
        <v>57</v>
      </c>
      <c r="J874">
        <v>2050</v>
      </c>
      <c r="K874" s="38" t="str">
        <f t="shared" si="120"/>
        <v>*0.9</v>
      </c>
      <c r="P874" s="32" t="s">
        <v>4205</v>
      </c>
      <c r="Q874" s="42" t="s">
        <v>57</v>
      </c>
      <c r="R874" s="32">
        <v>2035</v>
      </c>
      <c r="S874" s="43" t="str">
        <f t="shared" si="121"/>
        <v>*0.92</v>
      </c>
      <c r="U874" s="32" t="s">
        <v>4205</v>
      </c>
      <c r="V874" s="42" t="s">
        <v>57</v>
      </c>
      <c r="W874" s="32">
        <v>2050</v>
      </c>
      <c r="X874" s="43" t="str">
        <f t="shared" si="122"/>
        <v>*0.89</v>
      </c>
      <c r="AC874" s="33" t="s">
        <v>4205</v>
      </c>
      <c r="AD874" s="44" t="s">
        <v>57</v>
      </c>
      <c r="AE874" s="33">
        <v>2035</v>
      </c>
      <c r="AF874" s="45" t="str">
        <f t="shared" si="123"/>
        <v>*0.89</v>
      </c>
      <c r="AG874" s="43" t="str">
        <f t="shared" si="126"/>
        <v>REZoning_Sol-Win</v>
      </c>
      <c r="AI874" s="33" t="s">
        <v>4205</v>
      </c>
      <c r="AJ874" s="44" t="s">
        <v>57</v>
      </c>
      <c r="AK874" s="33">
        <v>2050</v>
      </c>
      <c r="AL874" s="45" t="str">
        <f t="shared" si="124"/>
        <v>*0.84</v>
      </c>
      <c r="AM874" s="43" t="str">
        <f t="shared" si="127"/>
        <v>REZoning_Sol-Win</v>
      </c>
      <c r="AP874" t="s">
        <v>4205</v>
      </c>
      <c r="AQ874" t="s">
        <v>57</v>
      </c>
      <c r="AR874">
        <f t="shared" si="125"/>
        <v>2100</v>
      </c>
      <c r="AS874" t="s">
        <v>919</v>
      </c>
      <c r="AT874" t="s">
        <v>58</v>
      </c>
    </row>
    <row r="875" ht="29" spans="1:46">
      <c r="A875" s="31" t="s">
        <v>79</v>
      </c>
      <c r="C875" t="s">
        <v>4206</v>
      </c>
      <c r="D875" s="5" t="s">
        <v>57</v>
      </c>
      <c r="E875">
        <v>2035</v>
      </c>
      <c r="F875" s="6" t="str">
        <f t="shared" si="119"/>
        <v>*0.94</v>
      </c>
      <c r="H875" t="s">
        <v>4206</v>
      </c>
      <c r="I875" s="5" t="s">
        <v>57</v>
      </c>
      <c r="J875">
        <v>2050</v>
      </c>
      <c r="K875" s="38" t="str">
        <f t="shared" si="120"/>
        <v>*0.9</v>
      </c>
      <c r="P875" s="32" t="s">
        <v>4206</v>
      </c>
      <c r="Q875" s="42" t="s">
        <v>57</v>
      </c>
      <c r="R875" s="32">
        <v>2035</v>
      </c>
      <c r="S875" s="43" t="str">
        <f t="shared" si="121"/>
        <v>*0.92</v>
      </c>
      <c r="U875" s="32" t="s">
        <v>4206</v>
      </c>
      <c r="V875" s="42" t="s">
        <v>57</v>
      </c>
      <c r="W875" s="32">
        <v>2050</v>
      </c>
      <c r="X875" s="43" t="str">
        <f t="shared" si="122"/>
        <v>*0.89</v>
      </c>
      <c r="AC875" s="33" t="s">
        <v>4206</v>
      </c>
      <c r="AD875" s="44" t="s">
        <v>57</v>
      </c>
      <c r="AE875" s="33">
        <v>2035</v>
      </c>
      <c r="AF875" s="45" t="str">
        <f t="shared" si="123"/>
        <v>*0.89</v>
      </c>
      <c r="AG875" s="43" t="str">
        <f t="shared" si="126"/>
        <v>REZoning_Sol-Win</v>
      </c>
      <c r="AI875" s="33" t="s">
        <v>4206</v>
      </c>
      <c r="AJ875" s="44" t="s">
        <v>57</v>
      </c>
      <c r="AK875" s="33">
        <v>2050</v>
      </c>
      <c r="AL875" s="45" t="str">
        <f t="shared" si="124"/>
        <v>*0.84</v>
      </c>
      <c r="AM875" s="43" t="str">
        <f t="shared" si="127"/>
        <v>REZoning_Sol-Win</v>
      </c>
      <c r="AP875" t="s">
        <v>4206</v>
      </c>
      <c r="AQ875" t="s">
        <v>57</v>
      </c>
      <c r="AR875">
        <f t="shared" si="125"/>
        <v>2100</v>
      </c>
      <c r="AS875" t="s">
        <v>919</v>
      </c>
      <c r="AT875" t="s">
        <v>58</v>
      </c>
    </row>
    <row r="876" ht="29" spans="1:46">
      <c r="A876" s="31" t="s">
        <v>79</v>
      </c>
      <c r="C876" t="s">
        <v>4207</v>
      </c>
      <c r="D876" s="5" t="s">
        <v>57</v>
      </c>
      <c r="E876">
        <v>2035</v>
      </c>
      <c r="F876" s="6" t="str">
        <f t="shared" si="119"/>
        <v>*0.94</v>
      </c>
      <c r="H876" t="s">
        <v>4207</v>
      </c>
      <c r="I876" s="5" t="s">
        <v>57</v>
      </c>
      <c r="J876">
        <v>2050</v>
      </c>
      <c r="K876" s="38" t="str">
        <f t="shared" si="120"/>
        <v>*0.9</v>
      </c>
      <c r="P876" s="32" t="s">
        <v>4207</v>
      </c>
      <c r="Q876" s="42" t="s">
        <v>57</v>
      </c>
      <c r="R876" s="32">
        <v>2035</v>
      </c>
      <c r="S876" s="43" t="str">
        <f t="shared" si="121"/>
        <v>*0.92</v>
      </c>
      <c r="U876" s="32" t="s">
        <v>4207</v>
      </c>
      <c r="V876" s="42" t="s">
        <v>57</v>
      </c>
      <c r="W876" s="32">
        <v>2050</v>
      </c>
      <c r="X876" s="43" t="str">
        <f t="shared" si="122"/>
        <v>*0.89</v>
      </c>
      <c r="AC876" s="33" t="s">
        <v>4207</v>
      </c>
      <c r="AD876" s="44" t="s">
        <v>57</v>
      </c>
      <c r="AE876" s="33">
        <v>2035</v>
      </c>
      <c r="AF876" s="45" t="str">
        <f t="shared" si="123"/>
        <v>*0.89</v>
      </c>
      <c r="AG876" s="43" t="str">
        <f t="shared" si="126"/>
        <v>REZoning_Sol-Win</v>
      </c>
      <c r="AI876" s="33" t="s">
        <v>4207</v>
      </c>
      <c r="AJ876" s="44" t="s">
        <v>57</v>
      </c>
      <c r="AK876" s="33">
        <v>2050</v>
      </c>
      <c r="AL876" s="45" t="str">
        <f t="shared" si="124"/>
        <v>*0.84</v>
      </c>
      <c r="AM876" s="43" t="str">
        <f t="shared" si="127"/>
        <v>REZoning_Sol-Win</v>
      </c>
      <c r="AP876" t="s">
        <v>4207</v>
      </c>
      <c r="AQ876" t="s">
        <v>57</v>
      </c>
      <c r="AR876">
        <f t="shared" si="125"/>
        <v>2100</v>
      </c>
      <c r="AS876" t="s">
        <v>919</v>
      </c>
      <c r="AT876" t="s">
        <v>58</v>
      </c>
    </row>
    <row r="877" ht="29" spans="1:46">
      <c r="A877" s="31" t="s">
        <v>79</v>
      </c>
      <c r="C877" t="s">
        <v>4208</v>
      </c>
      <c r="D877" s="5" t="s">
        <v>57</v>
      </c>
      <c r="E877">
        <v>2035</v>
      </c>
      <c r="F877" s="6" t="str">
        <f t="shared" si="119"/>
        <v>*0.94</v>
      </c>
      <c r="H877" t="s">
        <v>4208</v>
      </c>
      <c r="I877" s="5" t="s">
        <v>57</v>
      </c>
      <c r="J877">
        <v>2050</v>
      </c>
      <c r="K877" s="38" t="str">
        <f t="shared" si="120"/>
        <v>*0.9</v>
      </c>
      <c r="P877" s="32" t="s">
        <v>4208</v>
      </c>
      <c r="Q877" s="42" t="s">
        <v>57</v>
      </c>
      <c r="R877" s="32">
        <v>2035</v>
      </c>
      <c r="S877" s="43" t="str">
        <f t="shared" si="121"/>
        <v>*0.92</v>
      </c>
      <c r="U877" s="32" t="s">
        <v>4208</v>
      </c>
      <c r="V877" s="42" t="s">
        <v>57</v>
      </c>
      <c r="W877" s="32">
        <v>2050</v>
      </c>
      <c r="X877" s="43" t="str">
        <f t="shared" si="122"/>
        <v>*0.89</v>
      </c>
      <c r="AC877" s="33" t="s">
        <v>4208</v>
      </c>
      <c r="AD877" s="44" t="s">
        <v>57</v>
      </c>
      <c r="AE877" s="33">
        <v>2035</v>
      </c>
      <c r="AF877" s="45" t="str">
        <f t="shared" si="123"/>
        <v>*0.89</v>
      </c>
      <c r="AG877" s="43" t="str">
        <f t="shared" si="126"/>
        <v>REZoning_Sol-Win</v>
      </c>
      <c r="AI877" s="33" t="s">
        <v>4208</v>
      </c>
      <c r="AJ877" s="44" t="s">
        <v>57</v>
      </c>
      <c r="AK877" s="33">
        <v>2050</v>
      </c>
      <c r="AL877" s="45" t="str">
        <f t="shared" si="124"/>
        <v>*0.84</v>
      </c>
      <c r="AM877" s="43" t="str">
        <f t="shared" si="127"/>
        <v>REZoning_Sol-Win</v>
      </c>
      <c r="AP877" t="s">
        <v>4208</v>
      </c>
      <c r="AQ877" t="s">
        <v>57</v>
      </c>
      <c r="AR877">
        <f t="shared" si="125"/>
        <v>2100</v>
      </c>
      <c r="AS877" t="s">
        <v>919</v>
      </c>
      <c r="AT877" t="s">
        <v>58</v>
      </c>
    </row>
    <row r="878" ht="29" spans="1:46">
      <c r="A878" s="31" t="s">
        <v>79</v>
      </c>
      <c r="C878" t="s">
        <v>4209</v>
      </c>
      <c r="D878" s="5" t="s">
        <v>57</v>
      </c>
      <c r="E878">
        <v>2035</v>
      </c>
      <c r="F878" s="6" t="str">
        <f t="shared" si="119"/>
        <v>*0.94</v>
      </c>
      <c r="H878" t="s">
        <v>4209</v>
      </c>
      <c r="I878" s="5" t="s">
        <v>57</v>
      </c>
      <c r="J878">
        <v>2050</v>
      </c>
      <c r="K878" s="38" t="str">
        <f t="shared" si="120"/>
        <v>*0.9</v>
      </c>
      <c r="P878" s="32" t="s">
        <v>4209</v>
      </c>
      <c r="Q878" s="42" t="s">
        <v>57</v>
      </c>
      <c r="R878" s="32">
        <v>2035</v>
      </c>
      <c r="S878" s="43" t="str">
        <f t="shared" si="121"/>
        <v>*0.92</v>
      </c>
      <c r="U878" s="32" t="s">
        <v>4209</v>
      </c>
      <c r="V878" s="42" t="s">
        <v>57</v>
      </c>
      <c r="W878" s="32">
        <v>2050</v>
      </c>
      <c r="X878" s="43" t="str">
        <f t="shared" si="122"/>
        <v>*0.89</v>
      </c>
      <c r="AC878" s="33" t="s">
        <v>4209</v>
      </c>
      <c r="AD878" s="44" t="s">
        <v>57</v>
      </c>
      <c r="AE878" s="33">
        <v>2035</v>
      </c>
      <c r="AF878" s="45" t="str">
        <f t="shared" si="123"/>
        <v>*0.89</v>
      </c>
      <c r="AG878" s="43" t="str">
        <f t="shared" si="126"/>
        <v>REZoning_Sol-Win</v>
      </c>
      <c r="AI878" s="33" t="s">
        <v>4209</v>
      </c>
      <c r="AJ878" s="44" t="s">
        <v>57</v>
      </c>
      <c r="AK878" s="33">
        <v>2050</v>
      </c>
      <c r="AL878" s="45" t="str">
        <f t="shared" si="124"/>
        <v>*0.84</v>
      </c>
      <c r="AM878" s="43" t="str">
        <f t="shared" si="127"/>
        <v>REZoning_Sol-Win</v>
      </c>
      <c r="AP878" t="s">
        <v>4209</v>
      </c>
      <c r="AQ878" t="s">
        <v>57</v>
      </c>
      <c r="AR878">
        <f t="shared" si="125"/>
        <v>2100</v>
      </c>
      <c r="AS878" t="s">
        <v>919</v>
      </c>
      <c r="AT878" t="s">
        <v>58</v>
      </c>
    </row>
    <row r="879" ht="29" spans="1:46">
      <c r="A879" s="31" t="s">
        <v>79</v>
      </c>
      <c r="C879" t="s">
        <v>4210</v>
      </c>
      <c r="D879" s="5" t="s">
        <v>57</v>
      </c>
      <c r="E879">
        <v>2035</v>
      </c>
      <c r="F879" s="6" t="str">
        <f t="shared" si="119"/>
        <v>*0.94</v>
      </c>
      <c r="H879" t="s">
        <v>4210</v>
      </c>
      <c r="I879" s="5" t="s">
        <v>57</v>
      </c>
      <c r="J879">
        <v>2050</v>
      </c>
      <c r="K879" s="38" t="str">
        <f t="shared" si="120"/>
        <v>*0.9</v>
      </c>
      <c r="P879" s="32" t="s">
        <v>4210</v>
      </c>
      <c r="Q879" s="42" t="s">
        <v>57</v>
      </c>
      <c r="R879" s="32">
        <v>2035</v>
      </c>
      <c r="S879" s="43" t="str">
        <f t="shared" si="121"/>
        <v>*0.92</v>
      </c>
      <c r="U879" s="32" t="s">
        <v>4210</v>
      </c>
      <c r="V879" s="42" t="s">
        <v>57</v>
      </c>
      <c r="W879" s="32">
        <v>2050</v>
      </c>
      <c r="X879" s="43" t="str">
        <f t="shared" si="122"/>
        <v>*0.89</v>
      </c>
      <c r="AC879" s="33" t="s">
        <v>4210</v>
      </c>
      <c r="AD879" s="44" t="s">
        <v>57</v>
      </c>
      <c r="AE879" s="33">
        <v>2035</v>
      </c>
      <c r="AF879" s="45" t="str">
        <f t="shared" si="123"/>
        <v>*0.89</v>
      </c>
      <c r="AG879" s="43" t="str">
        <f t="shared" si="126"/>
        <v>REZoning_Sol-Win</v>
      </c>
      <c r="AI879" s="33" t="s">
        <v>4210</v>
      </c>
      <c r="AJ879" s="44" t="s">
        <v>57</v>
      </c>
      <c r="AK879" s="33">
        <v>2050</v>
      </c>
      <c r="AL879" s="45" t="str">
        <f t="shared" si="124"/>
        <v>*0.84</v>
      </c>
      <c r="AM879" s="43" t="str">
        <f t="shared" si="127"/>
        <v>REZoning_Sol-Win</v>
      </c>
      <c r="AP879" t="s">
        <v>4210</v>
      </c>
      <c r="AQ879" t="s">
        <v>57</v>
      </c>
      <c r="AR879">
        <f t="shared" si="125"/>
        <v>2100</v>
      </c>
      <c r="AS879" t="s">
        <v>919</v>
      </c>
      <c r="AT879" t="s">
        <v>58</v>
      </c>
    </row>
    <row r="880" ht="29" spans="1:46">
      <c r="A880" s="31" t="s">
        <v>79</v>
      </c>
      <c r="C880" t="s">
        <v>4211</v>
      </c>
      <c r="D880" s="5" t="s">
        <v>57</v>
      </c>
      <c r="E880">
        <v>2035</v>
      </c>
      <c r="F880" s="6" t="str">
        <f t="shared" si="119"/>
        <v>*0.94</v>
      </c>
      <c r="H880" t="s">
        <v>4211</v>
      </c>
      <c r="I880" s="5" t="s">
        <v>57</v>
      </c>
      <c r="J880">
        <v>2050</v>
      </c>
      <c r="K880" s="38" t="str">
        <f t="shared" si="120"/>
        <v>*0.9</v>
      </c>
      <c r="P880" s="32" t="s">
        <v>4211</v>
      </c>
      <c r="Q880" s="42" t="s">
        <v>57</v>
      </c>
      <c r="R880" s="32">
        <v>2035</v>
      </c>
      <c r="S880" s="43" t="str">
        <f t="shared" si="121"/>
        <v>*0.92</v>
      </c>
      <c r="U880" s="32" t="s">
        <v>4211</v>
      </c>
      <c r="V880" s="42" t="s">
        <v>57</v>
      </c>
      <c r="W880" s="32">
        <v>2050</v>
      </c>
      <c r="X880" s="43" t="str">
        <f t="shared" si="122"/>
        <v>*0.89</v>
      </c>
      <c r="AC880" s="33" t="s">
        <v>4211</v>
      </c>
      <c r="AD880" s="44" t="s">
        <v>57</v>
      </c>
      <c r="AE880" s="33">
        <v>2035</v>
      </c>
      <c r="AF880" s="45" t="str">
        <f t="shared" si="123"/>
        <v>*0.89</v>
      </c>
      <c r="AG880" s="43" t="str">
        <f t="shared" si="126"/>
        <v>REZoning_Sol-Win</v>
      </c>
      <c r="AI880" s="33" t="s">
        <v>4211</v>
      </c>
      <c r="AJ880" s="44" t="s">
        <v>57</v>
      </c>
      <c r="AK880" s="33">
        <v>2050</v>
      </c>
      <c r="AL880" s="45" t="str">
        <f t="shared" si="124"/>
        <v>*0.84</v>
      </c>
      <c r="AM880" s="43" t="str">
        <f t="shared" si="127"/>
        <v>REZoning_Sol-Win</v>
      </c>
      <c r="AP880" t="s">
        <v>4211</v>
      </c>
      <c r="AQ880" t="s">
        <v>57</v>
      </c>
      <c r="AR880">
        <f t="shared" si="125"/>
        <v>2100</v>
      </c>
      <c r="AS880" t="s">
        <v>919</v>
      </c>
      <c r="AT880" t="s">
        <v>58</v>
      </c>
    </row>
    <row r="881" ht="29" spans="1:46">
      <c r="A881" s="31" t="s">
        <v>79</v>
      </c>
      <c r="C881" t="s">
        <v>4212</v>
      </c>
      <c r="D881" s="5" t="s">
        <v>57</v>
      </c>
      <c r="E881">
        <v>2035</v>
      </c>
      <c r="F881" s="6" t="str">
        <f t="shared" si="119"/>
        <v>*0.94</v>
      </c>
      <c r="H881" t="s">
        <v>4212</v>
      </c>
      <c r="I881" s="5" t="s">
        <v>57</v>
      </c>
      <c r="J881">
        <v>2050</v>
      </c>
      <c r="K881" s="38" t="str">
        <f t="shared" si="120"/>
        <v>*0.9</v>
      </c>
      <c r="P881" s="32" t="s">
        <v>4212</v>
      </c>
      <c r="Q881" s="42" t="s">
        <v>57</v>
      </c>
      <c r="R881" s="32">
        <v>2035</v>
      </c>
      <c r="S881" s="43" t="str">
        <f t="shared" si="121"/>
        <v>*0.92</v>
      </c>
      <c r="U881" s="32" t="s">
        <v>4212</v>
      </c>
      <c r="V881" s="42" t="s">
        <v>57</v>
      </c>
      <c r="W881" s="32">
        <v>2050</v>
      </c>
      <c r="X881" s="43" t="str">
        <f t="shared" si="122"/>
        <v>*0.89</v>
      </c>
      <c r="AC881" s="33" t="s">
        <v>4212</v>
      </c>
      <c r="AD881" s="44" t="s">
        <v>57</v>
      </c>
      <c r="AE881" s="33">
        <v>2035</v>
      </c>
      <c r="AF881" s="45" t="str">
        <f t="shared" si="123"/>
        <v>*0.89</v>
      </c>
      <c r="AG881" s="43" t="str">
        <f t="shared" si="126"/>
        <v>REZoning_Sol-Win</v>
      </c>
      <c r="AI881" s="33" t="s">
        <v>4212</v>
      </c>
      <c r="AJ881" s="44" t="s">
        <v>57</v>
      </c>
      <c r="AK881" s="33">
        <v>2050</v>
      </c>
      <c r="AL881" s="45" t="str">
        <f t="shared" si="124"/>
        <v>*0.84</v>
      </c>
      <c r="AM881" s="43" t="str">
        <f t="shared" si="127"/>
        <v>REZoning_Sol-Win</v>
      </c>
      <c r="AP881" t="s">
        <v>4212</v>
      </c>
      <c r="AQ881" t="s">
        <v>57</v>
      </c>
      <c r="AR881">
        <f t="shared" si="125"/>
        <v>2100</v>
      </c>
      <c r="AS881" t="s">
        <v>919</v>
      </c>
      <c r="AT881" t="s">
        <v>58</v>
      </c>
    </row>
    <row r="882" ht="29" spans="1:46">
      <c r="A882" s="31" t="s">
        <v>79</v>
      </c>
      <c r="C882" t="s">
        <v>4213</v>
      </c>
      <c r="D882" s="5" t="s">
        <v>57</v>
      </c>
      <c r="E882">
        <v>2035</v>
      </c>
      <c r="F882" s="6" t="str">
        <f t="shared" si="119"/>
        <v>*0.94</v>
      </c>
      <c r="H882" t="s">
        <v>4213</v>
      </c>
      <c r="I882" s="5" t="s">
        <v>57</v>
      </c>
      <c r="J882">
        <v>2050</v>
      </c>
      <c r="K882" s="38" t="str">
        <f t="shared" si="120"/>
        <v>*0.9</v>
      </c>
      <c r="P882" s="32" t="s">
        <v>4213</v>
      </c>
      <c r="Q882" s="42" t="s">
        <v>57</v>
      </c>
      <c r="R882" s="32">
        <v>2035</v>
      </c>
      <c r="S882" s="43" t="str">
        <f t="shared" si="121"/>
        <v>*0.92</v>
      </c>
      <c r="U882" s="32" t="s">
        <v>4213</v>
      </c>
      <c r="V882" s="42" t="s">
        <v>57</v>
      </c>
      <c r="W882" s="32">
        <v>2050</v>
      </c>
      <c r="X882" s="43" t="str">
        <f t="shared" si="122"/>
        <v>*0.89</v>
      </c>
      <c r="AC882" s="33" t="s">
        <v>4213</v>
      </c>
      <c r="AD882" s="44" t="s">
        <v>57</v>
      </c>
      <c r="AE882" s="33">
        <v>2035</v>
      </c>
      <c r="AF882" s="45" t="str">
        <f t="shared" si="123"/>
        <v>*0.89</v>
      </c>
      <c r="AG882" s="43" t="str">
        <f t="shared" si="126"/>
        <v>REZoning_Sol-Win</v>
      </c>
      <c r="AI882" s="33" t="s">
        <v>4213</v>
      </c>
      <c r="AJ882" s="44" t="s">
        <v>57</v>
      </c>
      <c r="AK882" s="33">
        <v>2050</v>
      </c>
      <c r="AL882" s="45" t="str">
        <f t="shared" si="124"/>
        <v>*0.84</v>
      </c>
      <c r="AM882" s="43" t="str">
        <f t="shared" si="127"/>
        <v>REZoning_Sol-Win</v>
      </c>
      <c r="AP882" t="s">
        <v>4213</v>
      </c>
      <c r="AQ882" t="s">
        <v>57</v>
      </c>
      <c r="AR882">
        <f t="shared" si="125"/>
        <v>2100</v>
      </c>
      <c r="AS882" t="s">
        <v>919</v>
      </c>
      <c r="AT882" t="s">
        <v>58</v>
      </c>
    </row>
    <row r="883" ht="29" spans="1:46">
      <c r="A883" s="31" t="s">
        <v>79</v>
      </c>
      <c r="C883" t="s">
        <v>4214</v>
      </c>
      <c r="D883" s="5" t="s">
        <v>57</v>
      </c>
      <c r="E883">
        <v>2035</v>
      </c>
      <c r="F883" s="6" t="str">
        <f t="shared" si="119"/>
        <v>*0.94</v>
      </c>
      <c r="H883" t="s">
        <v>4214</v>
      </c>
      <c r="I883" s="5" t="s">
        <v>57</v>
      </c>
      <c r="J883">
        <v>2050</v>
      </c>
      <c r="K883" s="38" t="str">
        <f t="shared" si="120"/>
        <v>*0.9</v>
      </c>
      <c r="P883" s="32" t="s">
        <v>4214</v>
      </c>
      <c r="Q883" s="42" t="s">
        <v>57</v>
      </c>
      <c r="R883" s="32">
        <v>2035</v>
      </c>
      <c r="S883" s="43" t="str">
        <f t="shared" si="121"/>
        <v>*0.92</v>
      </c>
      <c r="U883" s="32" t="s">
        <v>4214</v>
      </c>
      <c r="V883" s="42" t="s">
        <v>57</v>
      </c>
      <c r="W883" s="32">
        <v>2050</v>
      </c>
      <c r="X883" s="43" t="str">
        <f t="shared" si="122"/>
        <v>*0.89</v>
      </c>
      <c r="AC883" s="33" t="s">
        <v>4214</v>
      </c>
      <c r="AD883" s="44" t="s">
        <v>57</v>
      </c>
      <c r="AE883" s="33">
        <v>2035</v>
      </c>
      <c r="AF883" s="45" t="str">
        <f t="shared" si="123"/>
        <v>*0.89</v>
      </c>
      <c r="AG883" s="43" t="str">
        <f t="shared" si="126"/>
        <v>REZoning_Sol-Win</v>
      </c>
      <c r="AI883" s="33" t="s">
        <v>4214</v>
      </c>
      <c r="AJ883" s="44" t="s">
        <v>57</v>
      </c>
      <c r="AK883" s="33">
        <v>2050</v>
      </c>
      <c r="AL883" s="45" t="str">
        <f t="shared" si="124"/>
        <v>*0.84</v>
      </c>
      <c r="AM883" s="43" t="str">
        <f t="shared" si="127"/>
        <v>REZoning_Sol-Win</v>
      </c>
      <c r="AP883" t="s">
        <v>4214</v>
      </c>
      <c r="AQ883" t="s">
        <v>57</v>
      </c>
      <c r="AR883">
        <f t="shared" si="125"/>
        <v>2100</v>
      </c>
      <c r="AS883" t="s">
        <v>919</v>
      </c>
      <c r="AT883" t="s">
        <v>58</v>
      </c>
    </row>
    <row r="884" ht="29" spans="1:46">
      <c r="A884" s="31" t="s">
        <v>79</v>
      </c>
      <c r="C884" t="s">
        <v>4215</v>
      </c>
      <c r="D884" s="5" t="s">
        <v>57</v>
      </c>
      <c r="E884">
        <v>2035</v>
      </c>
      <c r="F884" s="6" t="str">
        <f t="shared" si="119"/>
        <v>*0.94</v>
      </c>
      <c r="H884" t="s">
        <v>4215</v>
      </c>
      <c r="I884" s="5" t="s">
        <v>57</v>
      </c>
      <c r="J884">
        <v>2050</v>
      </c>
      <c r="K884" s="38" t="str">
        <f t="shared" si="120"/>
        <v>*0.9</v>
      </c>
      <c r="P884" s="32" t="s">
        <v>4215</v>
      </c>
      <c r="Q884" s="42" t="s">
        <v>57</v>
      </c>
      <c r="R884" s="32">
        <v>2035</v>
      </c>
      <c r="S884" s="43" t="str">
        <f t="shared" si="121"/>
        <v>*0.92</v>
      </c>
      <c r="U884" s="32" t="s">
        <v>4215</v>
      </c>
      <c r="V884" s="42" t="s">
        <v>57</v>
      </c>
      <c r="W884" s="32">
        <v>2050</v>
      </c>
      <c r="X884" s="43" t="str">
        <f t="shared" si="122"/>
        <v>*0.89</v>
      </c>
      <c r="AC884" s="33" t="s">
        <v>4215</v>
      </c>
      <c r="AD884" s="44" t="s">
        <v>57</v>
      </c>
      <c r="AE884" s="33">
        <v>2035</v>
      </c>
      <c r="AF884" s="45" t="str">
        <f t="shared" si="123"/>
        <v>*0.89</v>
      </c>
      <c r="AG884" s="43" t="str">
        <f t="shared" si="126"/>
        <v>REZoning_Sol-Win</v>
      </c>
      <c r="AI884" s="33" t="s">
        <v>4215</v>
      </c>
      <c r="AJ884" s="44" t="s">
        <v>57</v>
      </c>
      <c r="AK884" s="33">
        <v>2050</v>
      </c>
      <c r="AL884" s="45" t="str">
        <f t="shared" si="124"/>
        <v>*0.84</v>
      </c>
      <c r="AM884" s="43" t="str">
        <f t="shared" si="127"/>
        <v>REZoning_Sol-Win</v>
      </c>
      <c r="AP884" t="s">
        <v>4215</v>
      </c>
      <c r="AQ884" t="s">
        <v>57</v>
      </c>
      <c r="AR884">
        <f t="shared" si="125"/>
        <v>2100</v>
      </c>
      <c r="AS884" t="s">
        <v>919</v>
      </c>
      <c r="AT884" t="s">
        <v>58</v>
      </c>
    </row>
    <row r="885" ht="29" spans="1:46">
      <c r="A885" s="31" t="s">
        <v>65</v>
      </c>
      <c r="C885" t="s">
        <v>4216</v>
      </c>
      <c r="D885" s="5" t="s">
        <v>57</v>
      </c>
      <c r="E885">
        <v>2035</v>
      </c>
      <c r="F885" s="6" t="str">
        <f t="shared" si="119"/>
        <v>*0.94</v>
      </c>
      <c r="H885" t="s">
        <v>4216</v>
      </c>
      <c r="I885" s="5" t="s">
        <v>57</v>
      </c>
      <c r="J885">
        <v>2050</v>
      </c>
      <c r="K885" s="38" t="str">
        <f t="shared" si="120"/>
        <v>*0.91</v>
      </c>
      <c r="P885" s="32" t="s">
        <v>4216</v>
      </c>
      <c r="Q885" s="42" t="s">
        <v>57</v>
      </c>
      <c r="R885" s="32">
        <v>2035</v>
      </c>
      <c r="S885" s="43" t="str">
        <f t="shared" si="121"/>
        <v>*0.93</v>
      </c>
      <c r="U885" s="32" t="s">
        <v>4216</v>
      </c>
      <c r="V885" s="42" t="s">
        <v>57</v>
      </c>
      <c r="W885" s="32">
        <v>2050</v>
      </c>
      <c r="X885" s="43" t="str">
        <f t="shared" si="122"/>
        <v>*0.9</v>
      </c>
      <c r="AC885" s="33" t="s">
        <v>4216</v>
      </c>
      <c r="AD885" s="44" t="s">
        <v>57</v>
      </c>
      <c r="AE885" s="33">
        <v>2035</v>
      </c>
      <c r="AF885" s="45" t="str">
        <f t="shared" si="123"/>
        <v>*0.9</v>
      </c>
      <c r="AG885" s="43" t="str">
        <f t="shared" si="126"/>
        <v>REZoning_Sol-Win</v>
      </c>
      <c r="AI885" s="33" t="s">
        <v>4216</v>
      </c>
      <c r="AJ885" s="44" t="s">
        <v>57</v>
      </c>
      <c r="AK885" s="33">
        <v>2050</v>
      </c>
      <c r="AL885" s="45" t="str">
        <f t="shared" si="124"/>
        <v>*0.86</v>
      </c>
      <c r="AM885" s="43" t="str">
        <f t="shared" si="127"/>
        <v>REZoning_Sol-Win</v>
      </c>
      <c r="AP885" t="s">
        <v>4216</v>
      </c>
      <c r="AQ885" t="s">
        <v>57</v>
      </c>
      <c r="AR885">
        <f t="shared" si="125"/>
        <v>2100</v>
      </c>
      <c r="AS885" t="s">
        <v>883</v>
      </c>
      <c r="AT885" t="s">
        <v>58</v>
      </c>
    </row>
    <row r="886" ht="29" spans="1:46">
      <c r="A886" s="31" t="s">
        <v>65</v>
      </c>
      <c r="C886" t="s">
        <v>4217</v>
      </c>
      <c r="D886" s="5" t="s">
        <v>57</v>
      </c>
      <c r="E886">
        <v>2035</v>
      </c>
      <c r="F886" s="6" t="str">
        <f t="shared" si="119"/>
        <v>*0.94</v>
      </c>
      <c r="H886" t="s">
        <v>4217</v>
      </c>
      <c r="I886" s="5" t="s">
        <v>57</v>
      </c>
      <c r="J886">
        <v>2050</v>
      </c>
      <c r="K886" s="38" t="str">
        <f t="shared" si="120"/>
        <v>*0.91</v>
      </c>
      <c r="P886" s="32" t="s">
        <v>4217</v>
      </c>
      <c r="Q886" s="42" t="s">
        <v>57</v>
      </c>
      <c r="R886" s="32">
        <v>2035</v>
      </c>
      <c r="S886" s="43" t="str">
        <f t="shared" si="121"/>
        <v>*0.93</v>
      </c>
      <c r="U886" s="32" t="s">
        <v>4217</v>
      </c>
      <c r="V886" s="42" t="s">
        <v>57</v>
      </c>
      <c r="W886" s="32">
        <v>2050</v>
      </c>
      <c r="X886" s="43" t="str">
        <f t="shared" si="122"/>
        <v>*0.9</v>
      </c>
      <c r="AC886" s="33" t="s">
        <v>4217</v>
      </c>
      <c r="AD886" s="44" t="s">
        <v>57</v>
      </c>
      <c r="AE886" s="33">
        <v>2035</v>
      </c>
      <c r="AF886" s="45" t="str">
        <f t="shared" si="123"/>
        <v>*0.9</v>
      </c>
      <c r="AG886" s="43" t="str">
        <f t="shared" si="126"/>
        <v>REZoning_Sol-Win</v>
      </c>
      <c r="AI886" s="33" t="s">
        <v>4217</v>
      </c>
      <c r="AJ886" s="44" t="s">
        <v>57</v>
      </c>
      <c r="AK886" s="33">
        <v>2050</v>
      </c>
      <c r="AL886" s="45" t="str">
        <f t="shared" si="124"/>
        <v>*0.86</v>
      </c>
      <c r="AM886" s="43" t="str">
        <f t="shared" si="127"/>
        <v>REZoning_Sol-Win</v>
      </c>
      <c r="AP886" t="s">
        <v>4217</v>
      </c>
      <c r="AQ886" t="s">
        <v>57</v>
      </c>
      <c r="AR886">
        <f t="shared" si="125"/>
        <v>2100</v>
      </c>
      <c r="AS886" t="s">
        <v>883</v>
      </c>
      <c r="AT886" t="s">
        <v>58</v>
      </c>
    </row>
    <row r="887" ht="29" spans="1:46">
      <c r="A887" s="31" t="s">
        <v>65</v>
      </c>
      <c r="C887" t="s">
        <v>4218</v>
      </c>
      <c r="D887" s="5" t="s">
        <v>57</v>
      </c>
      <c r="E887">
        <v>2035</v>
      </c>
      <c r="F887" s="6" t="str">
        <f t="shared" si="119"/>
        <v>*0.94</v>
      </c>
      <c r="H887" t="s">
        <v>4218</v>
      </c>
      <c r="I887" s="5" t="s">
        <v>57</v>
      </c>
      <c r="J887">
        <v>2050</v>
      </c>
      <c r="K887" s="38" t="str">
        <f t="shared" si="120"/>
        <v>*0.91</v>
      </c>
      <c r="P887" s="32" t="s">
        <v>4218</v>
      </c>
      <c r="Q887" s="42" t="s">
        <v>57</v>
      </c>
      <c r="R887" s="32">
        <v>2035</v>
      </c>
      <c r="S887" s="43" t="str">
        <f t="shared" si="121"/>
        <v>*0.93</v>
      </c>
      <c r="U887" s="32" t="s">
        <v>4218</v>
      </c>
      <c r="V887" s="42" t="s">
        <v>57</v>
      </c>
      <c r="W887" s="32">
        <v>2050</v>
      </c>
      <c r="X887" s="43" t="str">
        <f t="shared" si="122"/>
        <v>*0.9</v>
      </c>
      <c r="AC887" s="33" t="s">
        <v>4218</v>
      </c>
      <c r="AD887" s="44" t="s">
        <v>57</v>
      </c>
      <c r="AE887" s="33">
        <v>2035</v>
      </c>
      <c r="AF887" s="45" t="str">
        <f t="shared" si="123"/>
        <v>*0.9</v>
      </c>
      <c r="AG887" s="43" t="str">
        <f t="shared" si="126"/>
        <v>REZoning_Sol-Win</v>
      </c>
      <c r="AI887" s="33" t="s">
        <v>4218</v>
      </c>
      <c r="AJ887" s="44" t="s">
        <v>57</v>
      </c>
      <c r="AK887" s="33">
        <v>2050</v>
      </c>
      <c r="AL887" s="45" t="str">
        <f t="shared" si="124"/>
        <v>*0.86</v>
      </c>
      <c r="AM887" s="43" t="str">
        <f t="shared" si="127"/>
        <v>REZoning_Sol-Win</v>
      </c>
      <c r="AP887" t="s">
        <v>4218</v>
      </c>
      <c r="AQ887" t="s">
        <v>57</v>
      </c>
      <c r="AR887">
        <f t="shared" si="125"/>
        <v>2100</v>
      </c>
      <c r="AS887" t="s">
        <v>883</v>
      </c>
      <c r="AT887" t="s">
        <v>58</v>
      </c>
    </row>
    <row r="888" ht="29" spans="1:46">
      <c r="A888" s="31" t="s">
        <v>65</v>
      </c>
      <c r="C888" t="s">
        <v>4219</v>
      </c>
      <c r="D888" s="5" t="s">
        <v>57</v>
      </c>
      <c r="E888">
        <v>2035</v>
      </c>
      <c r="F888" s="6" t="str">
        <f t="shared" si="119"/>
        <v>*0.94</v>
      </c>
      <c r="H888" t="s">
        <v>4219</v>
      </c>
      <c r="I888" s="5" t="s">
        <v>57</v>
      </c>
      <c r="J888">
        <v>2050</v>
      </c>
      <c r="K888" s="38" t="str">
        <f t="shared" si="120"/>
        <v>*0.91</v>
      </c>
      <c r="P888" s="32" t="s">
        <v>4219</v>
      </c>
      <c r="Q888" s="42" t="s">
        <v>57</v>
      </c>
      <c r="R888" s="32">
        <v>2035</v>
      </c>
      <c r="S888" s="43" t="str">
        <f t="shared" si="121"/>
        <v>*0.93</v>
      </c>
      <c r="U888" s="32" t="s">
        <v>4219</v>
      </c>
      <c r="V888" s="42" t="s">
        <v>57</v>
      </c>
      <c r="W888" s="32">
        <v>2050</v>
      </c>
      <c r="X888" s="43" t="str">
        <f t="shared" si="122"/>
        <v>*0.9</v>
      </c>
      <c r="AC888" s="33" t="s">
        <v>4219</v>
      </c>
      <c r="AD888" s="44" t="s">
        <v>57</v>
      </c>
      <c r="AE888" s="33">
        <v>2035</v>
      </c>
      <c r="AF888" s="45" t="str">
        <f t="shared" si="123"/>
        <v>*0.9</v>
      </c>
      <c r="AG888" s="43" t="str">
        <f t="shared" si="126"/>
        <v>REZoning_Sol-Win</v>
      </c>
      <c r="AI888" s="33" t="s">
        <v>4219</v>
      </c>
      <c r="AJ888" s="44" t="s">
        <v>57</v>
      </c>
      <c r="AK888" s="33">
        <v>2050</v>
      </c>
      <c r="AL888" s="45" t="str">
        <f t="shared" si="124"/>
        <v>*0.86</v>
      </c>
      <c r="AM888" s="43" t="str">
        <f t="shared" si="127"/>
        <v>REZoning_Sol-Win</v>
      </c>
      <c r="AP888" t="s">
        <v>4219</v>
      </c>
      <c r="AQ888" t="s">
        <v>57</v>
      </c>
      <c r="AR888">
        <f t="shared" si="125"/>
        <v>2100</v>
      </c>
      <c r="AS888" t="s">
        <v>883</v>
      </c>
      <c r="AT888" t="s">
        <v>58</v>
      </c>
    </row>
    <row r="889" ht="29" spans="1:46">
      <c r="A889" s="31" t="s">
        <v>65</v>
      </c>
      <c r="C889" t="s">
        <v>4220</v>
      </c>
      <c r="D889" s="5" t="s">
        <v>57</v>
      </c>
      <c r="E889">
        <v>2035</v>
      </c>
      <c r="F889" s="6" t="str">
        <f t="shared" si="119"/>
        <v>*0.94</v>
      </c>
      <c r="H889" t="s">
        <v>4220</v>
      </c>
      <c r="I889" s="5" t="s">
        <v>57</v>
      </c>
      <c r="J889">
        <v>2050</v>
      </c>
      <c r="K889" s="38" t="str">
        <f t="shared" si="120"/>
        <v>*0.91</v>
      </c>
      <c r="P889" s="32" t="s">
        <v>4220</v>
      </c>
      <c r="Q889" s="42" t="s">
        <v>57</v>
      </c>
      <c r="R889" s="32">
        <v>2035</v>
      </c>
      <c r="S889" s="43" t="str">
        <f t="shared" si="121"/>
        <v>*0.93</v>
      </c>
      <c r="U889" s="32" t="s">
        <v>4220</v>
      </c>
      <c r="V889" s="42" t="s">
        <v>57</v>
      </c>
      <c r="W889" s="32">
        <v>2050</v>
      </c>
      <c r="X889" s="43" t="str">
        <f t="shared" si="122"/>
        <v>*0.9</v>
      </c>
      <c r="AC889" s="33" t="s">
        <v>4220</v>
      </c>
      <c r="AD889" s="44" t="s">
        <v>57</v>
      </c>
      <c r="AE889" s="33">
        <v>2035</v>
      </c>
      <c r="AF889" s="45" t="str">
        <f t="shared" si="123"/>
        <v>*0.9</v>
      </c>
      <c r="AG889" s="43" t="str">
        <f t="shared" si="126"/>
        <v>REZoning_Sol-Win</v>
      </c>
      <c r="AI889" s="33" t="s">
        <v>4220</v>
      </c>
      <c r="AJ889" s="44" t="s">
        <v>57</v>
      </c>
      <c r="AK889" s="33">
        <v>2050</v>
      </c>
      <c r="AL889" s="45" t="str">
        <f t="shared" si="124"/>
        <v>*0.86</v>
      </c>
      <c r="AM889" s="43" t="str">
        <f t="shared" si="127"/>
        <v>REZoning_Sol-Win</v>
      </c>
      <c r="AP889" t="s">
        <v>4220</v>
      </c>
      <c r="AQ889" t="s">
        <v>57</v>
      </c>
      <c r="AR889">
        <f t="shared" si="125"/>
        <v>2100</v>
      </c>
      <c r="AS889" t="s">
        <v>883</v>
      </c>
      <c r="AT889" t="s">
        <v>58</v>
      </c>
    </row>
    <row r="890" ht="29" spans="1:46">
      <c r="A890" s="31" t="s">
        <v>65</v>
      </c>
      <c r="C890" t="s">
        <v>4221</v>
      </c>
      <c r="D890" s="5" t="s">
        <v>57</v>
      </c>
      <c r="E890">
        <v>2035</v>
      </c>
      <c r="F890" s="6" t="str">
        <f t="shared" si="119"/>
        <v>*0.94</v>
      </c>
      <c r="H890" t="s">
        <v>4221</v>
      </c>
      <c r="I890" s="5" t="s">
        <v>57</v>
      </c>
      <c r="J890">
        <v>2050</v>
      </c>
      <c r="K890" s="38" t="str">
        <f t="shared" si="120"/>
        <v>*0.91</v>
      </c>
      <c r="P890" s="32" t="s">
        <v>4221</v>
      </c>
      <c r="Q890" s="42" t="s">
        <v>57</v>
      </c>
      <c r="R890" s="32">
        <v>2035</v>
      </c>
      <c r="S890" s="43" t="str">
        <f t="shared" si="121"/>
        <v>*0.93</v>
      </c>
      <c r="U890" s="32" t="s">
        <v>4221</v>
      </c>
      <c r="V890" s="42" t="s">
        <v>57</v>
      </c>
      <c r="W890" s="32">
        <v>2050</v>
      </c>
      <c r="X890" s="43" t="str">
        <f t="shared" si="122"/>
        <v>*0.9</v>
      </c>
      <c r="AC890" s="33" t="s">
        <v>4221</v>
      </c>
      <c r="AD890" s="44" t="s">
        <v>57</v>
      </c>
      <c r="AE890" s="33">
        <v>2035</v>
      </c>
      <c r="AF890" s="45" t="str">
        <f t="shared" si="123"/>
        <v>*0.9</v>
      </c>
      <c r="AG890" s="43" t="str">
        <f t="shared" si="126"/>
        <v>REZoning_Sol-Win</v>
      </c>
      <c r="AI890" s="33" t="s">
        <v>4221</v>
      </c>
      <c r="AJ890" s="44" t="s">
        <v>57</v>
      </c>
      <c r="AK890" s="33">
        <v>2050</v>
      </c>
      <c r="AL890" s="45" t="str">
        <f t="shared" si="124"/>
        <v>*0.86</v>
      </c>
      <c r="AM890" s="43" t="str">
        <f t="shared" si="127"/>
        <v>REZoning_Sol-Win</v>
      </c>
      <c r="AP890" t="s">
        <v>4221</v>
      </c>
      <c r="AQ890" t="s">
        <v>57</v>
      </c>
      <c r="AR890">
        <f t="shared" si="125"/>
        <v>2100</v>
      </c>
      <c r="AS890" t="s">
        <v>883</v>
      </c>
      <c r="AT890" t="s">
        <v>58</v>
      </c>
    </row>
    <row r="891" ht="29" spans="1:46">
      <c r="A891" s="31" t="s">
        <v>65</v>
      </c>
      <c r="C891" t="s">
        <v>4222</v>
      </c>
      <c r="D891" s="5" t="s">
        <v>57</v>
      </c>
      <c r="E891">
        <v>2035</v>
      </c>
      <c r="F891" s="6" t="str">
        <f t="shared" si="119"/>
        <v>*0.94</v>
      </c>
      <c r="H891" t="s">
        <v>4222</v>
      </c>
      <c r="I891" s="5" t="s">
        <v>57</v>
      </c>
      <c r="J891">
        <v>2050</v>
      </c>
      <c r="K891" s="38" t="str">
        <f t="shared" si="120"/>
        <v>*0.91</v>
      </c>
      <c r="P891" s="32" t="s">
        <v>4222</v>
      </c>
      <c r="Q891" s="42" t="s">
        <v>57</v>
      </c>
      <c r="R891" s="32">
        <v>2035</v>
      </c>
      <c r="S891" s="43" t="str">
        <f t="shared" si="121"/>
        <v>*0.93</v>
      </c>
      <c r="U891" s="32" t="s">
        <v>4222</v>
      </c>
      <c r="V891" s="42" t="s">
        <v>57</v>
      </c>
      <c r="W891" s="32">
        <v>2050</v>
      </c>
      <c r="X891" s="43" t="str">
        <f t="shared" si="122"/>
        <v>*0.9</v>
      </c>
      <c r="AC891" s="33" t="s">
        <v>4222</v>
      </c>
      <c r="AD891" s="44" t="s">
        <v>57</v>
      </c>
      <c r="AE891" s="33">
        <v>2035</v>
      </c>
      <c r="AF891" s="45" t="str">
        <f t="shared" si="123"/>
        <v>*0.9</v>
      </c>
      <c r="AG891" s="43" t="str">
        <f t="shared" si="126"/>
        <v>REZoning_Sol-Win</v>
      </c>
      <c r="AI891" s="33" t="s">
        <v>4222</v>
      </c>
      <c r="AJ891" s="44" t="s">
        <v>57</v>
      </c>
      <c r="AK891" s="33">
        <v>2050</v>
      </c>
      <c r="AL891" s="45" t="str">
        <f t="shared" si="124"/>
        <v>*0.86</v>
      </c>
      <c r="AM891" s="43" t="str">
        <f t="shared" si="127"/>
        <v>REZoning_Sol-Win</v>
      </c>
      <c r="AP891" t="s">
        <v>4222</v>
      </c>
      <c r="AQ891" t="s">
        <v>57</v>
      </c>
      <c r="AR891">
        <f t="shared" si="125"/>
        <v>2100</v>
      </c>
      <c r="AS891" t="s">
        <v>883</v>
      </c>
      <c r="AT891" t="s">
        <v>58</v>
      </c>
    </row>
    <row r="892" ht="29" spans="1:46">
      <c r="A892" s="31" t="s">
        <v>65</v>
      </c>
      <c r="C892" t="s">
        <v>4223</v>
      </c>
      <c r="D892" s="5" t="s">
        <v>57</v>
      </c>
      <c r="E892">
        <v>2035</v>
      </c>
      <c r="F892" s="6" t="str">
        <f t="shared" si="119"/>
        <v>*0.94</v>
      </c>
      <c r="H892" t="s">
        <v>4223</v>
      </c>
      <c r="I892" s="5" t="s">
        <v>57</v>
      </c>
      <c r="J892">
        <v>2050</v>
      </c>
      <c r="K892" s="38" t="str">
        <f t="shared" si="120"/>
        <v>*0.91</v>
      </c>
      <c r="P892" s="32" t="s">
        <v>4223</v>
      </c>
      <c r="Q892" s="42" t="s">
        <v>57</v>
      </c>
      <c r="R892" s="32">
        <v>2035</v>
      </c>
      <c r="S892" s="43" t="str">
        <f t="shared" si="121"/>
        <v>*0.93</v>
      </c>
      <c r="U892" s="32" t="s">
        <v>4223</v>
      </c>
      <c r="V892" s="42" t="s">
        <v>57</v>
      </c>
      <c r="W892" s="32">
        <v>2050</v>
      </c>
      <c r="X892" s="43" t="str">
        <f t="shared" si="122"/>
        <v>*0.9</v>
      </c>
      <c r="AC892" s="33" t="s">
        <v>4223</v>
      </c>
      <c r="AD892" s="44" t="s">
        <v>57</v>
      </c>
      <c r="AE892" s="33">
        <v>2035</v>
      </c>
      <c r="AF892" s="45" t="str">
        <f t="shared" si="123"/>
        <v>*0.9</v>
      </c>
      <c r="AG892" s="43" t="str">
        <f t="shared" si="126"/>
        <v>REZoning_Sol-Win</v>
      </c>
      <c r="AI892" s="33" t="s">
        <v>4223</v>
      </c>
      <c r="AJ892" s="44" t="s">
        <v>57</v>
      </c>
      <c r="AK892" s="33">
        <v>2050</v>
      </c>
      <c r="AL892" s="45" t="str">
        <f t="shared" si="124"/>
        <v>*0.86</v>
      </c>
      <c r="AM892" s="43" t="str">
        <f t="shared" si="127"/>
        <v>REZoning_Sol-Win</v>
      </c>
      <c r="AP892" t="s">
        <v>4223</v>
      </c>
      <c r="AQ892" t="s">
        <v>57</v>
      </c>
      <c r="AR892">
        <f t="shared" si="125"/>
        <v>2100</v>
      </c>
      <c r="AS892" t="s">
        <v>883</v>
      </c>
      <c r="AT892" t="s">
        <v>58</v>
      </c>
    </row>
    <row r="893" ht="29" spans="1:46">
      <c r="A893" s="31" t="s">
        <v>65</v>
      </c>
      <c r="C893" t="s">
        <v>4224</v>
      </c>
      <c r="D893" s="5" t="s">
        <v>57</v>
      </c>
      <c r="E893">
        <v>2035</v>
      </c>
      <c r="F893" s="6" t="str">
        <f t="shared" si="119"/>
        <v>*0.94</v>
      </c>
      <c r="H893" t="s">
        <v>4224</v>
      </c>
      <c r="I893" s="5" t="s">
        <v>57</v>
      </c>
      <c r="J893">
        <v>2050</v>
      </c>
      <c r="K893" s="38" t="str">
        <f t="shared" si="120"/>
        <v>*0.91</v>
      </c>
      <c r="P893" s="32" t="s">
        <v>4224</v>
      </c>
      <c r="Q893" s="42" t="s">
        <v>57</v>
      </c>
      <c r="R893" s="32">
        <v>2035</v>
      </c>
      <c r="S893" s="43" t="str">
        <f t="shared" si="121"/>
        <v>*0.93</v>
      </c>
      <c r="U893" s="32" t="s">
        <v>4224</v>
      </c>
      <c r="V893" s="42" t="s">
        <v>57</v>
      </c>
      <c r="W893" s="32">
        <v>2050</v>
      </c>
      <c r="X893" s="43" t="str">
        <f t="shared" si="122"/>
        <v>*0.9</v>
      </c>
      <c r="AC893" s="33" t="s">
        <v>4224</v>
      </c>
      <c r="AD893" s="44" t="s">
        <v>57</v>
      </c>
      <c r="AE893" s="33">
        <v>2035</v>
      </c>
      <c r="AF893" s="45" t="str">
        <f t="shared" si="123"/>
        <v>*0.9</v>
      </c>
      <c r="AG893" s="43" t="str">
        <f t="shared" si="126"/>
        <v>REZoning_Sol-Win</v>
      </c>
      <c r="AI893" s="33" t="s">
        <v>4224</v>
      </c>
      <c r="AJ893" s="44" t="s">
        <v>57</v>
      </c>
      <c r="AK893" s="33">
        <v>2050</v>
      </c>
      <c r="AL893" s="45" t="str">
        <f t="shared" si="124"/>
        <v>*0.86</v>
      </c>
      <c r="AM893" s="43" t="str">
        <f t="shared" si="127"/>
        <v>REZoning_Sol-Win</v>
      </c>
      <c r="AP893" t="s">
        <v>4224</v>
      </c>
      <c r="AQ893" t="s">
        <v>57</v>
      </c>
      <c r="AR893">
        <f t="shared" si="125"/>
        <v>2100</v>
      </c>
      <c r="AS893" t="s">
        <v>883</v>
      </c>
      <c r="AT893" t="s">
        <v>58</v>
      </c>
    </row>
    <row r="894" ht="29" spans="1:46">
      <c r="A894" s="31" t="s">
        <v>65</v>
      </c>
      <c r="C894" t="s">
        <v>4225</v>
      </c>
      <c r="D894" s="5" t="s">
        <v>57</v>
      </c>
      <c r="E894">
        <v>2035</v>
      </c>
      <c r="F894" s="6" t="str">
        <f t="shared" si="119"/>
        <v>*0.94</v>
      </c>
      <c r="H894" t="s">
        <v>4225</v>
      </c>
      <c r="I894" s="5" t="s">
        <v>57</v>
      </c>
      <c r="J894">
        <v>2050</v>
      </c>
      <c r="K894" s="38" t="str">
        <f t="shared" si="120"/>
        <v>*0.91</v>
      </c>
      <c r="P894" s="32" t="s">
        <v>4225</v>
      </c>
      <c r="Q894" s="42" t="s">
        <v>57</v>
      </c>
      <c r="R894" s="32">
        <v>2035</v>
      </c>
      <c r="S894" s="43" t="str">
        <f t="shared" si="121"/>
        <v>*0.93</v>
      </c>
      <c r="U894" s="32" t="s">
        <v>4225</v>
      </c>
      <c r="V894" s="42" t="s">
        <v>57</v>
      </c>
      <c r="W894" s="32">
        <v>2050</v>
      </c>
      <c r="X894" s="43" t="str">
        <f t="shared" si="122"/>
        <v>*0.9</v>
      </c>
      <c r="AC894" s="33" t="s">
        <v>4225</v>
      </c>
      <c r="AD894" s="44" t="s">
        <v>57</v>
      </c>
      <c r="AE894" s="33">
        <v>2035</v>
      </c>
      <c r="AF894" s="45" t="str">
        <f t="shared" si="123"/>
        <v>*0.9</v>
      </c>
      <c r="AG894" s="43" t="str">
        <f t="shared" si="126"/>
        <v>REZoning_Sol-Win</v>
      </c>
      <c r="AI894" s="33" t="s">
        <v>4225</v>
      </c>
      <c r="AJ894" s="44" t="s">
        <v>57</v>
      </c>
      <c r="AK894" s="33">
        <v>2050</v>
      </c>
      <c r="AL894" s="45" t="str">
        <f t="shared" si="124"/>
        <v>*0.86</v>
      </c>
      <c r="AM894" s="43" t="str">
        <f t="shared" si="127"/>
        <v>REZoning_Sol-Win</v>
      </c>
      <c r="AP894" t="s">
        <v>4225</v>
      </c>
      <c r="AQ894" t="s">
        <v>57</v>
      </c>
      <c r="AR894">
        <f t="shared" si="125"/>
        <v>2100</v>
      </c>
      <c r="AS894" t="s">
        <v>883</v>
      </c>
      <c r="AT894" t="s">
        <v>58</v>
      </c>
    </row>
    <row r="895" ht="29" spans="1:46">
      <c r="A895" s="31" t="s">
        <v>65</v>
      </c>
      <c r="C895" t="s">
        <v>4226</v>
      </c>
      <c r="D895" s="5" t="s">
        <v>57</v>
      </c>
      <c r="E895">
        <v>2035</v>
      </c>
      <c r="F895" s="6" t="str">
        <f t="shared" si="119"/>
        <v>*0.94</v>
      </c>
      <c r="H895" t="s">
        <v>4226</v>
      </c>
      <c r="I895" s="5" t="s">
        <v>57</v>
      </c>
      <c r="J895">
        <v>2050</v>
      </c>
      <c r="K895" s="38" t="str">
        <f t="shared" si="120"/>
        <v>*0.91</v>
      </c>
      <c r="P895" s="32" t="s">
        <v>4226</v>
      </c>
      <c r="Q895" s="42" t="s">
        <v>57</v>
      </c>
      <c r="R895" s="32">
        <v>2035</v>
      </c>
      <c r="S895" s="43" t="str">
        <f t="shared" si="121"/>
        <v>*0.93</v>
      </c>
      <c r="U895" s="32" t="s">
        <v>4226</v>
      </c>
      <c r="V895" s="42" t="s">
        <v>57</v>
      </c>
      <c r="W895" s="32">
        <v>2050</v>
      </c>
      <c r="X895" s="43" t="str">
        <f t="shared" si="122"/>
        <v>*0.9</v>
      </c>
      <c r="AC895" s="33" t="s">
        <v>4226</v>
      </c>
      <c r="AD895" s="44" t="s">
        <v>57</v>
      </c>
      <c r="AE895" s="33">
        <v>2035</v>
      </c>
      <c r="AF895" s="45" t="str">
        <f t="shared" si="123"/>
        <v>*0.9</v>
      </c>
      <c r="AG895" s="43" t="str">
        <f t="shared" si="126"/>
        <v>REZoning_Sol-Win</v>
      </c>
      <c r="AI895" s="33" t="s">
        <v>4226</v>
      </c>
      <c r="AJ895" s="44" t="s">
        <v>57</v>
      </c>
      <c r="AK895" s="33">
        <v>2050</v>
      </c>
      <c r="AL895" s="45" t="str">
        <f t="shared" si="124"/>
        <v>*0.86</v>
      </c>
      <c r="AM895" s="43" t="str">
        <f t="shared" si="127"/>
        <v>REZoning_Sol-Win</v>
      </c>
      <c r="AP895" t="s">
        <v>4226</v>
      </c>
      <c r="AQ895" t="s">
        <v>57</v>
      </c>
      <c r="AR895">
        <f t="shared" si="125"/>
        <v>2100</v>
      </c>
      <c r="AS895" t="s">
        <v>883</v>
      </c>
      <c r="AT895" t="s">
        <v>58</v>
      </c>
    </row>
    <row r="896" ht="29" spans="1:46">
      <c r="A896" s="31" t="s">
        <v>65</v>
      </c>
      <c r="C896" t="s">
        <v>4227</v>
      </c>
      <c r="D896" s="5" t="s">
        <v>57</v>
      </c>
      <c r="E896">
        <v>2035</v>
      </c>
      <c r="F896" s="6" t="str">
        <f t="shared" si="119"/>
        <v>*0.94</v>
      </c>
      <c r="H896" t="s">
        <v>4227</v>
      </c>
      <c r="I896" s="5" t="s">
        <v>57</v>
      </c>
      <c r="J896">
        <v>2050</v>
      </c>
      <c r="K896" s="38" t="str">
        <f t="shared" si="120"/>
        <v>*0.91</v>
      </c>
      <c r="P896" s="32" t="s">
        <v>4227</v>
      </c>
      <c r="Q896" s="42" t="s">
        <v>57</v>
      </c>
      <c r="R896" s="32">
        <v>2035</v>
      </c>
      <c r="S896" s="43" t="str">
        <f t="shared" si="121"/>
        <v>*0.93</v>
      </c>
      <c r="U896" s="32" t="s">
        <v>4227</v>
      </c>
      <c r="V896" s="42" t="s">
        <v>57</v>
      </c>
      <c r="W896" s="32">
        <v>2050</v>
      </c>
      <c r="X896" s="43" t="str">
        <f t="shared" si="122"/>
        <v>*0.9</v>
      </c>
      <c r="AC896" s="33" t="s">
        <v>4227</v>
      </c>
      <c r="AD896" s="44" t="s">
        <v>57</v>
      </c>
      <c r="AE896" s="33">
        <v>2035</v>
      </c>
      <c r="AF896" s="45" t="str">
        <f t="shared" si="123"/>
        <v>*0.9</v>
      </c>
      <c r="AG896" s="43" t="str">
        <f t="shared" si="126"/>
        <v>REZoning_Sol-Win</v>
      </c>
      <c r="AI896" s="33" t="s">
        <v>4227</v>
      </c>
      <c r="AJ896" s="44" t="s">
        <v>57</v>
      </c>
      <c r="AK896" s="33">
        <v>2050</v>
      </c>
      <c r="AL896" s="45" t="str">
        <f t="shared" si="124"/>
        <v>*0.86</v>
      </c>
      <c r="AM896" s="43" t="str">
        <f t="shared" si="127"/>
        <v>REZoning_Sol-Win</v>
      </c>
      <c r="AP896" t="s">
        <v>4227</v>
      </c>
      <c r="AQ896" t="s">
        <v>57</v>
      </c>
      <c r="AR896">
        <f t="shared" si="125"/>
        <v>2100</v>
      </c>
      <c r="AS896" t="s">
        <v>883</v>
      </c>
      <c r="AT896" t="s">
        <v>58</v>
      </c>
    </row>
    <row r="897" ht="29" spans="1:46">
      <c r="A897" s="31" t="s">
        <v>65</v>
      </c>
      <c r="C897" t="s">
        <v>4228</v>
      </c>
      <c r="D897" s="5" t="s">
        <v>57</v>
      </c>
      <c r="E897">
        <v>2035</v>
      </c>
      <c r="F897" s="6" t="str">
        <f t="shared" si="119"/>
        <v>*0.94</v>
      </c>
      <c r="H897" t="s">
        <v>4228</v>
      </c>
      <c r="I897" s="5" t="s">
        <v>57</v>
      </c>
      <c r="J897">
        <v>2050</v>
      </c>
      <c r="K897" s="38" t="str">
        <f t="shared" si="120"/>
        <v>*0.91</v>
      </c>
      <c r="P897" s="32" t="s">
        <v>4228</v>
      </c>
      <c r="Q897" s="42" t="s">
        <v>57</v>
      </c>
      <c r="R897" s="32">
        <v>2035</v>
      </c>
      <c r="S897" s="43" t="str">
        <f t="shared" si="121"/>
        <v>*0.93</v>
      </c>
      <c r="U897" s="32" t="s">
        <v>4228</v>
      </c>
      <c r="V897" s="42" t="s">
        <v>57</v>
      </c>
      <c r="W897" s="32">
        <v>2050</v>
      </c>
      <c r="X897" s="43" t="str">
        <f t="shared" si="122"/>
        <v>*0.9</v>
      </c>
      <c r="AC897" s="33" t="s">
        <v>4228</v>
      </c>
      <c r="AD897" s="44" t="s">
        <v>57</v>
      </c>
      <c r="AE897" s="33">
        <v>2035</v>
      </c>
      <c r="AF897" s="45" t="str">
        <f t="shared" si="123"/>
        <v>*0.9</v>
      </c>
      <c r="AG897" s="43" t="str">
        <f t="shared" si="126"/>
        <v>REZoning_Sol-Win</v>
      </c>
      <c r="AI897" s="33" t="s">
        <v>4228</v>
      </c>
      <c r="AJ897" s="44" t="s">
        <v>57</v>
      </c>
      <c r="AK897" s="33">
        <v>2050</v>
      </c>
      <c r="AL897" s="45" t="str">
        <f t="shared" si="124"/>
        <v>*0.86</v>
      </c>
      <c r="AM897" s="43" t="str">
        <f t="shared" si="127"/>
        <v>REZoning_Sol-Win</v>
      </c>
      <c r="AP897" t="s">
        <v>4228</v>
      </c>
      <c r="AQ897" t="s">
        <v>57</v>
      </c>
      <c r="AR897">
        <f t="shared" si="125"/>
        <v>2100</v>
      </c>
      <c r="AS897" t="s">
        <v>883</v>
      </c>
      <c r="AT897" t="s">
        <v>58</v>
      </c>
    </row>
    <row r="898" ht="29" spans="1:46">
      <c r="A898" s="31" t="s">
        <v>65</v>
      </c>
      <c r="C898" t="s">
        <v>4229</v>
      </c>
      <c r="D898" s="5" t="s">
        <v>57</v>
      </c>
      <c r="E898">
        <v>2035</v>
      </c>
      <c r="F898" s="6" t="str">
        <f t="shared" si="119"/>
        <v>*0.94</v>
      </c>
      <c r="H898" t="s">
        <v>4229</v>
      </c>
      <c r="I898" s="5" t="s">
        <v>57</v>
      </c>
      <c r="J898">
        <v>2050</v>
      </c>
      <c r="K898" s="38" t="str">
        <f t="shared" si="120"/>
        <v>*0.91</v>
      </c>
      <c r="P898" s="32" t="s">
        <v>4229</v>
      </c>
      <c r="Q898" s="42" t="s">
        <v>57</v>
      </c>
      <c r="R898" s="32">
        <v>2035</v>
      </c>
      <c r="S898" s="43" t="str">
        <f t="shared" si="121"/>
        <v>*0.93</v>
      </c>
      <c r="U898" s="32" t="s">
        <v>4229</v>
      </c>
      <c r="V898" s="42" t="s">
        <v>57</v>
      </c>
      <c r="W898" s="32">
        <v>2050</v>
      </c>
      <c r="X898" s="43" t="str">
        <f t="shared" si="122"/>
        <v>*0.9</v>
      </c>
      <c r="AC898" s="33" t="s">
        <v>4229</v>
      </c>
      <c r="AD898" s="44" t="s">
        <v>57</v>
      </c>
      <c r="AE898" s="33">
        <v>2035</v>
      </c>
      <c r="AF898" s="45" t="str">
        <f t="shared" si="123"/>
        <v>*0.9</v>
      </c>
      <c r="AG898" s="43" t="str">
        <f t="shared" si="126"/>
        <v>REZoning_Sol-Win</v>
      </c>
      <c r="AI898" s="33" t="s">
        <v>4229</v>
      </c>
      <c r="AJ898" s="44" t="s">
        <v>57</v>
      </c>
      <c r="AK898" s="33">
        <v>2050</v>
      </c>
      <c r="AL898" s="45" t="str">
        <f t="shared" si="124"/>
        <v>*0.86</v>
      </c>
      <c r="AM898" s="43" t="str">
        <f t="shared" si="127"/>
        <v>REZoning_Sol-Win</v>
      </c>
      <c r="AP898" t="s">
        <v>4229</v>
      </c>
      <c r="AQ898" t="s">
        <v>57</v>
      </c>
      <c r="AR898">
        <f t="shared" si="125"/>
        <v>2100</v>
      </c>
      <c r="AS898" t="s">
        <v>883</v>
      </c>
      <c r="AT898" t="s">
        <v>58</v>
      </c>
    </row>
    <row r="899" ht="29" spans="1:46">
      <c r="A899" s="31" t="s">
        <v>65</v>
      </c>
      <c r="C899" t="s">
        <v>4230</v>
      </c>
      <c r="D899" s="5" t="s">
        <v>57</v>
      </c>
      <c r="E899">
        <v>2035</v>
      </c>
      <c r="F899" s="6" t="str">
        <f t="shared" si="119"/>
        <v>*0.94</v>
      </c>
      <c r="H899" t="s">
        <v>4230</v>
      </c>
      <c r="I899" s="5" t="s">
        <v>57</v>
      </c>
      <c r="J899">
        <v>2050</v>
      </c>
      <c r="K899" s="38" t="str">
        <f t="shared" si="120"/>
        <v>*0.91</v>
      </c>
      <c r="P899" s="32" t="s">
        <v>4230</v>
      </c>
      <c r="Q899" s="42" t="s">
        <v>57</v>
      </c>
      <c r="R899" s="32">
        <v>2035</v>
      </c>
      <c r="S899" s="43" t="str">
        <f t="shared" si="121"/>
        <v>*0.93</v>
      </c>
      <c r="U899" s="32" t="s">
        <v>4230</v>
      </c>
      <c r="V899" s="42" t="s">
        <v>57</v>
      </c>
      <c r="W899" s="32">
        <v>2050</v>
      </c>
      <c r="X899" s="43" t="str">
        <f t="shared" si="122"/>
        <v>*0.9</v>
      </c>
      <c r="AC899" s="33" t="s">
        <v>4230</v>
      </c>
      <c r="AD899" s="44" t="s">
        <v>57</v>
      </c>
      <c r="AE899" s="33">
        <v>2035</v>
      </c>
      <c r="AF899" s="45" t="str">
        <f t="shared" si="123"/>
        <v>*0.9</v>
      </c>
      <c r="AG899" s="43" t="str">
        <f t="shared" si="126"/>
        <v>REZoning_Sol-Win</v>
      </c>
      <c r="AI899" s="33" t="s">
        <v>4230</v>
      </c>
      <c r="AJ899" s="44" t="s">
        <v>57</v>
      </c>
      <c r="AK899" s="33">
        <v>2050</v>
      </c>
      <c r="AL899" s="45" t="str">
        <f t="shared" si="124"/>
        <v>*0.86</v>
      </c>
      <c r="AM899" s="43" t="str">
        <f t="shared" si="127"/>
        <v>REZoning_Sol-Win</v>
      </c>
      <c r="AP899" t="s">
        <v>4230</v>
      </c>
      <c r="AQ899" t="s">
        <v>57</v>
      </c>
      <c r="AR899">
        <f t="shared" si="125"/>
        <v>2100</v>
      </c>
      <c r="AS899" t="s">
        <v>883</v>
      </c>
      <c r="AT899" t="s">
        <v>58</v>
      </c>
    </row>
    <row r="900" ht="29" spans="1:46">
      <c r="A900" s="31" t="s">
        <v>65</v>
      </c>
      <c r="C900" t="s">
        <v>4231</v>
      </c>
      <c r="D900" s="5" t="s">
        <v>57</v>
      </c>
      <c r="E900">
        <v>2035</v>
      </c>
      <c r="F900" s="6" t="str">
        <f t="shared" ref="F900:F963" si="128">"*"&amp;IF(AND(A900="EU",E900=2035),0.95,IF(AND(A900="EU",E900=2050),0.93,IF(AND(A900="USA",E900=2035),0.96,IF(AND(A900="USA",E900=2050),0.94,IF(AND(A900="Japan",E900=2035),0.94,IF(AND(A900="Japan",E900=2050),0.92,IF(AND(A900="Russia",E900=2035),0.95,IF(AND(A900="Russia",E900=2050),0.93,IF(AND(A900="China",E900=2035),0.94,IF(AND(A900="China",E900=2050),0.92,IF(AND(A900="India",E900=2035),0.95,IF(AND(A900="India",E900=2050),0.92,IF(AND(A900="Middle East",E900=2035),0.94,IF(AND(A900="Middle East",E900=2050),0.9,IF(AND(A900="Africa",E900=2035),0.94,IF(AND(A900="Africa",E900=2050),0.91,IF(AND(A900="Brazil",E900=2035),0.95,IF(AND(A900="Brazil",E900=2050),0.92,""))))))))))))))))))</f>
        <v>*0.94</v>
      </c>
      <c r="H900" t="s">
        <v>4231</v>
      </c>
      <c r="I900" s="5" t="s">
        <v>57</v>
      </c>
      <c r="J900">
        <v>2050</v>
      </c>
      <c r="K900" s="38" t="str">
        <f t="shared" ref="K900:K963" si="129">"*"&amp;IF(AND(A900="EU",J900=2035),0.95,IF(AND(A900="EU",J900=2050),0.93,IF(AND(A900="USA",J900=2035),0.96,IF(AND(A900="USA",J900=2050),0.94,IF(AND(A900="Japan",J900=2035),0.94,IF(AND(A900="Japan",J900=2050),0.92,IF(AND(A900="Russia",J900=2035),0.95,IF(AND(A900="Russia",J900=2050),0.93,IF(AND(A900="China",J900=2035),0.94,IF(AND(A900="China",J900=2050),0.92,IF(AND(A900="India",J900=2035),0.95,IF(AND(A900="India",J900=2050),0.92,IF(AND(A900="Middle East",J900=2035),0.94,IF(AND(A900="Middle East",J900=2050),0.9,IF(AND(A900="Africa",J900=2035),0.94,IF(AND(A900="Africa",J900=2050),0.91,IF(AND(A900="Brazil",J900=2035),0.95,IF(AND(A900="Brazil",J900=2050),0.92,""))))))))))))))))))</f>
        <v>*0.91</v>
      </c>
      <c r="P900" s="32" t="s">
        <v>4231</v>
      </c>
      <c r="Q900" s="42" t="s">
        <v>57</v>
      </c>
      <c r="R900" s="32">
        <v>2035</v>
      </c>
      <c r="S900" s="43" t="str">
        <f t="shared" ref="S900:S963" si="130">"*"&amp;IF(AND(A900="EU",R900=2035),0.95,IF(AND(A900="EU",R900=2050),0.93,IF(AND(A900="USA",R900=2035),0.96,IF(AND(A900="USA",R900=2050),0.93,IF(AND(A900="Japan",R900=2035),0.94,IF(AND(A900="Japan",R900=2050),0.92,IF(AND(A900="Russia",R900=2035),0.95,IF(AND(A900="Russia",R900=2050),0.91,IF(AND(A900="China",R900=2035),0.93,IF(AND(A900="China",R900=2050),0.92,IF(AND(A900="India",R900=2035),0.94,IF(AND(A900="India",R900=2050),0.91,IF(AND(A900="Middle East",R900=2035),0.92,IF(AND(A900="Middle East",R900=2050),0.89,IF(AND(A900="Africa",R900=2035),0.93,IF(AND(A900="Africa",R900=2050),0.9,IF(AND(A900="Brazil",R900=2035),0.95,IF(AND(A900="Brazil",R900=2050),0.92,""))))))))))))))))))</f>
        <v>*0.93</v>
      </c>
      <c r="U900" s="32" t="s">
        <v>4231</v>
      </c>
      <c r="V900" s="42" t="s">
        <v>57</v>
      </c>
      <c r="W900" s="32">
        <v>2050</v>
      </c>
      <c r="X900" s="43" t="str">
        <f t="shared" ref="X900:X963" si="131">"*"&amp;IF(AND(A900="EU",W900=2035),0.95,IF(AND(A900="EU",W900=2050),0.93,IF(AND(A900="USA",W900=2035),0.96,IF(AND(A900="USA",W900=2050),0.93,IF(AND(A900="Japan",W900=2035),0.94,IF(AND(A900="Japan",W900=2050),0.92,IF(AND(A900="Russia",W900=2035),0.95,IF(AND(A900="Russia",W900=2050),0.91,IF(AND(A900="China",W900=2035),0.93,IF(AND(A900="China",W900=2050),0.92,IF(AND(A900="India",W900=2035),0.94,IF(AND(A900="India",W900=2050),0.91,IF(AND(A900="Middle East",W900=2035),0.92,IF(AND(A900="Middle East",W900=2050),0.89,IF(AND(A900="Africa",W900=2035),0.93,IF(AND(A900="Africa",W900=2050),0.9,IF(AND(A900="Brazil",W900=2035),0.95,IF(AND(A900="Brazil",W900=2050),0.92,""))))))))))))))))))</f>
        <v>*0.9</v>
      </c>
      <c r="AC900" s="33" t="s">
        <v>4231</v>
      </c>
      <c r="AD900" s="44" t="s">
        <v>57</v>
      </c>
      <c r="AE900" s="33">
        <v>2035</v>
      </c>
      <c r="AF900" s="45" t="str">
        <f t="shared" ref="AF900:AF963" si="132">"*"&amp;IF(AND(A900="EU",AE900=2035),0.93,IF(AND(A900="EU",AE900=2050),0.9,IF(AND(A900="USA",AE900=2035),0.92,IF(AND(A900="USA",AE900=2050),0.89,IF(AND(A900="Japan",AE900=2035),0.92,IF(AND(A900="Japan",AE900=2050),0.89,IF(AND(A900="Russia",AE900=2035),0.91,IF(AND(A900="Russia",AE900=2050),0.86,IF(AND(A900="China",AE900=2035),0.91,IF(AND(A900="China",AE900=2050),0.87,IF(AND(A900="India",AE900=2035),0.92,IF(AND(A900="India",AE900=2050),0.87,IF(AND(A900="Middle East",AE900=2035),0.89,IF(AND(A900="Middle East",AE900=2050),0.84,IF(AND(A900="Africa",AE900=2035),0.9,IF(AND(A900="Africa",AE900=2050),0.86,IF(AND(A900="Brazil",AE900=2035),0.93,IF(AND(A900="Brazil",AE900=2050),0.89,""))))))))))))))))))</f>
        <v>*0.9</v>
      </c>
      <c r="AG900" s="43" t="str">
        <f t="shared" si="126"/>
        <v>REZoning_Sol-Win</v>
      </c>
      <c r="AI900" s="33" t="s">
        <v>4231</v>
      </c>
      <c r="AJ900" s="44" t="s">
        <v>57</v>
      </c>
      <c r="AK900" s="33">
        <v>2050</v>
      </c>
      <c r="AL900" s="45" t="str">
        <f t="shared" ref="AL900:AL963" si="133">"*"&amp;IF(AND(A900="EU",AK900=2035),0.93,IF(AND(A900="EU",AK900=2050),0.9,IF(AND(A900="USA",AK900=2035),0.92,IF(AND(A900="USA",AK900=2050),0.89,IF(AND(A900="Japan",AK900=2035),0.92,IF(AND(A900="Japan",AK900=2050),0.89,IF(AND(A900="Russia",AK900=2035),0.91,IF(AND(A900="Russia",AK900=2050),0.86,IF(AND(A900="China",AK900=2035),0.91,IF(AND(A900="China",AK900=2050),0.87,IF(AND(A900="India",AK900=2035),0.92,IF(AND(A900="India",AK900=2050),0.87,IF(AND(A900="Middle East",AK900=2035),0.89,IF(AND(A900="Middle East",AK900=2050),0.84,IF(AND(A900="Africa",AK900=2035),0.9,IF(AND(A900="Africa",AK900=2050),0.86,IF(AND(A900="Brazil",AK900=2035),0.93,IF(AND(A900="Brazil",AK900=2050),0.89,""))))))))))))))))))</f>
        <v>*0.86</v>
      </c>
      <c r="AM900" s="43" t="str">
        <f t="shared" si="127"/>
        <v>REZoning_Sol-Win</v>
      </c>
      <c r="AP900" t="s">
        <v>4231</v>
      </c>
      <c r="AQ900" t="s">
        <v>57</v>
      </c>
      <c r="AR900">
        <f t="shared" si="125"/>
        <v>2100</v>
      </c>
      <c r="AS900" t="s">
        <v>883</v>
      </c>
      <c r="AT900" t="s">
        <v>58</v>
      </c>
    </row>
    <row r="901" ht="29" spans="1:46">
      <c r="A901" s="31" t="s">
        <v>65</v>
      </c>
      <c r="C901" t="s">
        <v>4232</v>
      </c>
      <c r="D901" s="5" t="s">
        <v>57</v>
      </c>
      <c r="E901">
        <v>2035</v>
      </c>
      <c r="F901" s="6" t="str">
        <f t="shared" si="128"/>
        <v>*0.94</v>
      </c>
      <c r="H901" t="s">
        <v>4232</v>
      </c>
      <c r="I901" s="5" t="s">
        <v>57</v>
      </c>
      <c r="J901">
        <v>2050</v>
      </c>
      <c r="K901" s="38" t="str">
        <f t="shared" si="129"/>
        <v>*0.91</v>
      </c>
      <c r="P901" s="32" t="s">
        <v>4232</v>
      </c>
      <c r="Q901" s="42" t="s">
        <v>57</v>
      </c>
      <c r="R901" s="32">
        <v>2035</v>
      </c>
      <c r="S901" s="43" t="str">
        <f t="shared" si="130"/>
        <v>*0.93</v>
      </c>
      <c r="U901" s="32" t="s">
        <v>4232</v>
      </c>
      <c r="V901" s="42" t="s">
        <v>57</v>
      </c>
      <c r="W901" s="32">
        <v>2050</v>
      </c>
      <c r="X901" s="43" t="str">
        <f t="shared" si="131"/>
        <v>*0.9</v>
      </c>
      <c r="AC901" s="33" t="s">
        <v>4232</v>
      </c>
      <c r="AD901" s="44" t="s">
        <v>57</v>
      </c>
      <c r="AE901" s="33">
        <v>2035</v>
      </c>
      <c r="AF901" s="45" t="str">
        <f t="shared" si="132"/>
        <v>*0.9</v>
      </c>
      <c r="AG901" s="43" t="str">
        <f t="shared" si="126"/>
        <v>REZoning_Sol-Win</v>
      </c>
      <c r="AI901" s="33" t="s">
        <v>4232</v>
      </c>
      <c r="AJ901" s="44" t="s">
        <v>57</v>
      </c>
      <c r="AK901" s="33">
        <v>2050</v>
      </c>
      <c r="AL901" s="45" t="str">
        <f t="shared" si="133"/>
        <v>*0.86</v>
      </c>
      <c r="AM901" s="43" t="str">
        <f t="shared" si="127"/>
        <v>REZoning_Sol-Win</v>
      </c>
      <c r="AP901" t="s">
        <v>4232</v>
      </c>
      <c r="AQ901" t="s">
        <v>57</v>
      </c>
      <c r="AR901">
        <f t="shared" si="125"/>
        <v>2100</v>
      </c>
      <c r="AS901" t="s">
        <v>883</v>
      </c>
      <c r="AT901" t="s">
        <v>58</v>
      </c>
    </row>
    <row r="902" ht="29" spans="1:46">
      <c r="A902" s="31" t="s">
        <v>65</v>
      </c>
      <c r="C902" t="s">
        <v>4233</v>
      </c>
      <c r="D902" s="5" t="s">
        <v>57</v>
      </c>
      <c r="E902">
        <v>2035</v>
      </c>
      <c r="F902" s="6" t="str">
        <f t="shared" si="128"/>
        <v>*0.94</v>
      </c>
      <c r="H902" t="s">
        <v>4233</v>
      </c>
      <c r="I902" s="5" t="s">
        <v>57</v>
      </c>
      <c r="J902">
        <v>2050</v>
      </c>
      <c r="K902" s="38" t="str">
        <f t="shared" si="129"/>
        <v>*0.91</v>
      </c>
      <c r="P902" s="32" t="s">
        <v>4233</v>
      </c>
      <c r="Q902" s="42" t="s">
        <v>57</v>
      </c>
      <c r="R902" s="32">
        <v>2035</v>
      </c>
      <c r="S902" s="43" t="str">
        <f t="shared" si="130"/>
        <v>*0.93</v>
      </c>
      <c r="U902" s="32" t="s">
        <v>4233</v>
      </c>
      <c r="V902" s="42" t="s">
        <v>57</v>
      </c>
      <c r="W902" s="32">
        <v>2050</v>
      </c>
      <c r="X902" s="43" t="str">
        <f t="shared" si="131"/>
        <v>*0.9</v>
      </c>
      <c r="AC902" s="33" t="s">
        <v>4233</v>
      </c>
      <c r="AD902" s="44" t="s">
        <v>57</v>
      </c>
      <c r="AE902" s="33">
        <v>2035</v>
      </c>
      <c r="AF902" s="45" t="str">
        <f t="shared" si="132"/>
        <v>*0.9</v>
      </c>
      <c r="AG902" s="43" t="str">
        <f t="shared" si="126"/>
        <v>REZoning_Sol-Win</v>
      </c>
      <c r="AI902" s="33" t="s">
        <v>4233</v>
      </c>
      <c r="AJ902" s="44" t="s">
        <v>57</v>
      </c>
      <c r="AK902" s="33">
        <v>2050</v>
      </c>
      <c r="AL902" s="45" t="str">
        <f t="shared" si="133"/>
        <v>*0.86</v>
      </c>
      <c r="AM902" s="43" t="str">
        <f t="shared" si="127"/>
        <v>REZoning_Sol-Win</v>
      </c>
      <c r="AP902" t="s">
        <v>4233</v>
      </c>
      <c r="AQ902" t="s">
        <v>57</v>
      </c>
      <c r="AR902">
        <f t="shared" ref="AR902:AR965" si="134">AR901</f>
        <v>2100</v>
      </c>
      <c r="AS902" t="s">
        <v>883</v>
      </c>
      <c r="AT902" t="s">
        <v>58</v>
      </c>
    </row>
    <row r="903" ht="29" spans="1:46">
      <c r="A903" s="31" t="s">
        <v>65</v>
      </c>
      <c r="C903" t="s">
        <v>4234</v>
      </c>
      <c r="D903" s="5" t="s">
        <v>57</v>
      </c>
      <c r="E903">
        <v>2035</v>
      </c>
      <c r="F903" s="6" t="str">
        <f t="shared" si="128"/>
        <v>*0.94</v>
      </c>
      <c r="H903" t="s">
        <v>4234</v>
      </c>
      <c r="I903" s="5" t="s">
        <v>57</v>
      </c>
      <c r="J903">
        <v>2050</v>
      </c>
      <c r="K903" s="38" t="str">
        <f t="shared" si="129"/>
        <v>*0.91</v>
      </c>
      <c r="P903" s="32" t="s">
        <v>4234</v>
      </c>
      <c r="Q903" s="42" t="s">
        <v>57</v>
      </c>
      <c r="R903" s="32">
        <v>2035</v>
      </c>
      <c r="S903" s="43" t="str">
        <f t="shared" si="130"/>
        <v>*0.93</v>
      </c>
      <c r="U903" s="32" t="s">
        <v>4234</v>
      </c>
      <c r="V903" s="42" t="s">
        <v>57</v>
      </c>
      <c r="W903" s="32">
        <v>2050</v>
      </c>
      <c r="X903" s="43" t="str">
        <f t="shared" si="131"/>
        <v>*0.9</v>
      </c>
      <c r="AC903" s="33" t="s">
        <v>4234</v>
      </c>
      <c r="AD903" s="44" t="s">
        <v>57</v>
      </c>
      <c r="AE903" s="33">
        <v>2035</v>
      </c>
      <c r="AF903" s="45" t="str">
        <f t="shared" si="132"/>
        <v>*0.9</v>
      </c>
      <c r="AG903" s="43" t="str">
        <f t="shared" si="126"/>
        <v>REZoning_Sol-Win</v>
      </c>
      <c r="AI903" s="33" t="s">
        <v>4234</v>
      </c>
      <c r="AJ903" s="44" t="s">
        <v>57</v>
      </c>
      <c r="AK903" s="33">
        <v>2050</v>
      </c>
      <c r="AL903" s="45" t="str">
        <f t="shared" si="133"/>
        <v>*0.86</v>
      </c>
      <c r="AM903" s="43" t="str">
        <f t="shared" si="127"/>
        <v>REZoning_Sol-Win</v>
      </c>
      <c r="AP903" t="s">
        <v>4234</v>
      </c>
      <c r="AQ903" t="s">
        <v>57</v>
      </c>
      <c r="AR903">
        <f t="shared" si="134"/>
        <v>2100</v>
      </c>
      <c r="AS903" t="s">
        <v>883</v>
      </c>
      <c r="AT903" t="s">
        <v>58</v>
      </c>
    </row>
    <row r="904" ht="29" spans="1:46">
      <c r="A904" s="31" t="s">
        <v>65</v>
      </c>
      <c r="C904" t="s">
        <v>4235</v>
      </c>
      <c r="D904" s="5" t="s">
        <v>57</v>
      </c>
      <c r="E904">
        <v>2035</v>
      </c>
      <c r="F904" s="6" t="str">
        <f t="shared" si="128"/>
        <v>*0.94</v>
      </c>
      <c r="H904" t="s">
        <v>4235</v>
      </c>
      <c r="I904" s="5" t="s">
        <v>57</v>
      </c>
      <c r="J904">
        <v>2050</v>
      </c>
      <c r="K904" s="38" t="str">
        <f t="shared" si="129"/>
        <v>*0.91</v>
      </c>
      <c r="P904" s="32" t="s">
        <v>4235</v>
      </c>
      <c r="Q904" s="42" t="s">
        <v>57</v>
      </c>
      <c r="R904" s="32">
        <v>2035</v>
      </c>
      <c r="S904" s="43" t="str">
        <f t="shared" si="130"/>
        <v>*0.93</v>
      </c>
      <c r="U904" s="32" t="s">
        <v>4235</v>
      </c>
      <c r="V904" s="42" t="s">
        <v>57</v>
      </c>
      <c r="W904" s="32">
        <v>2050</v>
      </c>
      <c r="X904" s="43" t="str">
        <f t="shared" si="131"/>
        <v>*0.9</v>
      </c>
      <c r="AC904" s="33" t="s">
        <v>4235</v>
      </c>
      <c r="AD904" s="44" t="s">
        <v>57</v>
      </c>
      <c r="AE904" s="33">
        <v>2035</v>
      </c>
      <c r="AF904" s="45" t="str">
        <f t="shared" si="132"/>
        <v>*0.9</v>
      </c>
      <c r="AG904" s="43" t="str">
        <f t="shared" si="126"/>
        <v>REZoning_Sol-Win</v>
      </c>
      <c r="AI904" s="33" t="s">
        <v>4235</v>
      </c>
      <c r="AJ904" s="44" t="s">
        <v>57</v>
      </c>
      <c r="AK904" s="33">
        <v>2050</v>
      </c>
      <c r="AL904" s="45" t="str">
        <f t="shared" si="133"/>
        <v>*0.86</v>
      </c>
      <c r="AM904" s="43" t="str">
        <f t="shared" si="127"/>
        <v>REZoning_Sol-Win</v>
      </c>
      <c r="AP904" t="s">
        <v>4235</v>
      </c>
      <c r="AQ904" t="s">
        <v>57</v>
      </c>
      <c r="AR904">
        <f t="shared" si="134"/>
        <v>2100</v>
      </c>
      <c r="AS904" t="s">
        <v>883</v>
      </c>
      <c r="AT904" t="s">
        <v>58</v>
      </c>
    </row>
    <row r="905" ht="29" spans="1:46">
      <c r="A905" s="31" t="s">
        <v>65</v>
      </c>
      <c r="C905" t="s">
        <v>4236</v>
      </c>
      <c r="D905" s="5" t="s">
        <v>57</v>
      </c>
      <c r="E905">
        <v>2035</v>
      </c>
      <c r="F905" s="6" t="str">
        <f t="shared" si="128"/>
        <v>*0.94</v>
      </c>
      <c r="H905" t="s">
        <v>4236</v>
      </c>
      <c r="I905" s="5" t="s">
        <v>57</v>
      </c>
      <c r="J905">
        <v>2050</v>
      </c>
      <c r="K905" s="38" t="str">
        <f t="shared" si="129"/>
        <v>*0.91</v>
      </c>
      <c r="P905" s="32" t="s">
        <v>4236</v>
      </c>
      <c r="Q905" s="42" t="s">
        <v>57</v>
      </c>
      <c r="R905" s="32">
        <v>2035</v>
      </c>
      <c r="S905" s="43" t="str">
        <f t="shared" si="130"/>
        <v>*0.93</v>
      </c>
      <c r="U905" s="32" t="s">
        <v>4236</v>
      </c>
      <c r="V905" s="42" t="s">
        <v>57</v>
      </c>
      <c r="W905" s="32">
        <v>2050</v>
      </c>
      <c r="X905" s="43" t="str">
        <f t="shared" si="131"/>
        <v>*0.9</v>
      </c>
      <c r="AC905" s="33" t="s">
        <v>4236</v>
      </c>
      <c r="AD905" s="44" t="s">
        <v>57</v>
      </c>
      <c r="AE905" s="33">
        <v>2035</v>
      </c>
      <c r="AF905" s="45" t="str">
        <f t="shared" si="132"/>
        <v>*0.9</v>
      </c>
      <c r="AG905" s="43" t="str">
        <f t="shared" ref="AG905:AG968" si="135">AG904</f>
        <v>REZoning_Sol-Win</v>
      </c>
      <c r="AI905" s="33" t="s">
        <v>4236</v>
      </c>
      <c r="AJ905" s="44" t="s">
        <v>57</v>
      </c>
      <c r="AK905" s="33">
        <v>2050</v>
      </c>
      <c r="AL905" s="45" t="str">
        <f t="shared" si="133"/>
        <v>*0.86</v>
      </c>
      <c r="AM905" s="43" t="str">
        <f t="shared" ref="AM905:AM968" si="136">AM904</f>
        <v>REZoning_Sol-Win</v>
      </c>
      <c r="AP905" t="s">
        <v>4236</v>
      </c>
      <c r="AQ905" t="s">
        <v>57</v>
      </c>
      <c r="AR905">
        <f t="shared" si="134"/>
        <v>2100</v>
      </c>
      <c r="AS905" t="s">
        <v>883</v>
      </c>
      <c r="AT905" t="s">
        <v>58</v>
      </c>
    </row>
    <row r="906" ht="29" spans="1:46">
      <c r="A906" s="31" t="s">
        <v>65</v>
      </c>
      <c r="C906" t="s">
        <v>4237</v>
      </c>
      <c r="D906" s="5" t="s">
        <v>57</v>
      </c>
      <c r="E906">
        <v>2035</v>
      </c>
      <c r="F906" s="6" t="str">
        <f t="shared" si="128"/>
        <v>*0.94</v>
      </c>
      <c r="H906" t="s">
        <v>4237</v>
      </c>
      <c r="I906" s="5" t="s">
        <v>57</v>
      </c>
      <c r="J906">
        <v>2050</v>
      </c>
      <c r="K906" s="38" t="str">
        <f t="shared" si="129"/>
        <v>*0.91</v>
      </c>
      <c r="P906" s="32" t="s">
        <v>4237</v>
      </c>
      <c r="Q906" s="42" t="s">
        <v>57</v>
      </c>
      <c r="R906" s="32">
        <v>2035</v>
      </c>
      <c r="S906" s="43" t="str">
        <f t="shared" si="130"/>
        <v>*0.93</v>
      </c>
      <c r="U906" s="32" t="s">
        <v>4237</v>
      </c>
      <c r="V906" s="42" t="s">
        <v>57</v>
      </c>
      <c r="W906" s="32">
        <v>2050</v>
      </c>
      <c r="X906" s="43" t="str">
        <f t="shared" si="131"/>
        <v>*0.9</v>
      </c>
      <c r="AC906" s="33" t="s">
        <v>4237</v>
      </c>
      <c r="AD906" s="44" t="s">
        <v>57</v>
      </c>
      <c r="AE906" s="33">
        <v>2035</v>
      </c>
      <c r="AF906" s="45" t="str">
        <f t="shared" si="132"/>
        <v>*0.9</v>
      </c>
      <c r="AG906" s="43" t="str">
        <f t="shared" si="135"/>
        <v>REZoning_Sol-Win</v>
      </c>
      <c r="AI906" s="33" t="s">
        <v>4237</v>
      </c>
      <c r="AJ906" s="44" t="s">
        <v>57</v>
      </c>
      <c r="AK906" s="33">
        <v>2050</v>
      </c>
      <c r="AL906" s="45" t="str">
        <f t="shared" si="133"/>
        <v>*0.86</v>
      </c>
      <c r="AM906" s="43" t="str">
        <f t="shared" si="136"/>
        <v>REZoning_Sol-Win</v>
      </c>
      <c r="AP906" t="s">
        <v>4237</v>
      </c>
      <c r="AQ906" t="s">
        <v>57</v>
      </c>
      <c r="AR906">
        <f t="shared" si="134"/>
        <v>2100</v>
      </c>
      <c r="AS906" t="s">
        <v>883</v>
      </c>
      <c r="AT906" t="s">
        <v>58</v>
      </c>
    </row>
    <row r="907" ht="29" spans="1:46">
      <c r="A907" s="31" t="s">
        <v>65</v>
      </c>
      <c r="C907" t="s">
        <v>4238</v>
      </c>
      <c r="D907" s="5" t="s">
        <v>57</v>
      </c>
      <c r="E907">
        <v>2035</v>
      </c>
      <c r="F907" s="6" t="str">
        <f t="shared" si="128"/>
        <v>*0.94</v>
      </c>
      <c r="H907" t="s">
        <v>4238</v>
      </c>
      <c r="I907" s="5" t="s">
        <v>57</v>
      </c>
      <c r="J907">
        <v>2050</v>
      </c>
      <c r="K907" s="38" t="str">
        <f t="shared" si="129"/>
        <v>*0.91</v>
      </c>
      <c r="P907" s="32" t="s">
        <v>4238</v>
      </c>
      <c r="Q907" s="42" t="s">
        <v>57</v>
      </c>
      <c r="R907" s="32">
        <v>2035</v>
      </c>
      <c r="S907" s="43" t="str">
        <f t="shared" si="130"/>
        <v>*0.93</v>
      </c>
      <c r="U907" s="32" t="s">
        <v>4238</v>
      </c>
      <c r="V907" s="42" t="s">
        <v>57</v>
      </c>
      <c r="W907" s="32">
        <v>2050</v>
      </c>
      <c r="X907" s="43" t="str">
        <f t="shared" si="131"/>
        <v>*0.9</v>
      </c>
      <c r="AC907" s="33" t="s">
        <v>4238</v>
      </c>
      <c r="AD907" s="44" t="s">
        <v>57</v>
      </c>
      <c r="AE907" s="33">
        <v>2035</v>
      </c>
      <c r="AF907" s="45" t="str">
        <f t="shared" si="132"/>
        <v>*0.9</v>
      </c>
      <c r="AG907" s="43" t="str">
        <f t="shared" si="135"/>
        <v>REZoning_Sol-Win</v>
      </c>
      <c r="AI907" s="33" t="s">
        <v>4238</v>
      </c>
      <c r="AJ907" s="44" t="s">
        <v>57</v>
      </c>
      <c r="AK907" s="33">
        <v>2050</v>
      </c>
      <c r="AL907" s="45" t="str">
        <f t="shared" si="133"/>
        <v>*0.86</v>
      </c>
      <c r="AM907" s="43" t="str">
        <f t="shared" si="136"/>
        <v>REZoning_Sol-Win</v>
      </c>
      <c r="AP907" t="s">
        <v>4238</v>
      </c>
      <c r="AQ907" t="s">
        <v>57</v>
      </c>
      <c r="AR907">
        <f t="shared" si="134"/>
        <v>2100</v>
      </c>
      <c r="AS907" t="s">
        <v>883</v>
      </c>
      <c r="AT907" t="s">
        <v>58</v>
      </c>
    </row>
    <row r="908" ht="29" spans="1:46">
      <c r="A908" s="31" t="s">
        <v>65</v>
      </c>
      <c r="C908" t="s">
        <v>4239</v>
      </c>
      <c r="D908" s="5" t="s">
        <v>57</v>
      </c>
      <c r="E908">
        <v>2035</v>
      </c>
      <c r="F908" s="6" t="str">
        <f t="shared" si="128"/>
        <v>*0.94</v>
      </c>
      <c r="H908" t="s">
        <v>4239</v>
      </c>
      <c r="I908" s="5" t="s">
        <v>57</v>
      </c>
      <c r="J908">
        <v>2050</v>
      </c>
      <c r="K908" s="38" t="str">
        <f t="shared" si="129"/>
        <v>*0.91</v>
      </c>
      <c r="P908" s="32" t="s">
        <v>4239</v>
      </c>
      <c r="Q908" s="42" t="s">
        <v>57</v>
      </c>
      <c r="R908" s="32">
        <v>2035</v>
      </c>
      <c r="S908" s="43" t="str">
        <f t="shared" si="130"/>
        <v>*0.93</v>
      </c>
      <c r="U908" s="32" t="s">
        <v>4239</v>
      </c>
      <c r="V908" s="42" t="s">
        <v>57</v>
      </c>
      <c r="W908" s="32">
        <v>2050</v>
      </c>
      <c r="X908" s="43" t="str">
        <f t="shared" si="131"/>
        <v>*0.9</v>
      </c>
      <c r="AC908" s="33" t="s">
        <v>4239</v>
      </c>
      <c r="AD908" s="44" t="s">
        <v>57</v>
      </c>
      <c r="AE908" s="33">
        <v>2035</v>
      </c>
      <c r="AF908" s="45" t="str">
        <f t="shared" si="132"/>
        <v>*0.9</v>
      </c>
      <c r="AG908" s="43" t="str">
        <f t="shared" si="135"/>
        <v>REZoning_Sol-Win</v>
      </c>
      <c r="AI908" s="33" t="s">
        <v>4239</v>
      </c>
      <c r="AJ908" s="44" t="s">
        <v>57</v>
      </c>
      <c r="AK908" s="33">
        <v>2050</v>
      </c>
      <c r="AL908" s="45" t="str">
        <f t="shared" si="133"/>
        <v>*0.86</v>
      </c>
      <c r="AM908" s="43" t="str">
        <f t="shared" si="136"/>
        <v>REZoning_Sol-Win</v>
      </c>
      <c r="AP908" t="s">
        <v>4239</v>
      </c>
      <c r="AQ908" t="s">
        <v>57</v>
      </c>
      <c r="AR908">
        <f t="shared" si="134"/>
        <v>2100</v>
      </c>
      <c r="AS908" t="s">
        <v>883</v>
      </c>
      <c r="AT908" t="s">
        <v>58</v>
      </c>
    </row>
    <row r="909" ht="29" spans="1:46">
      <c r="A909" s="31" t="s">
        <v>65</v>
      </c>
      <c r="C909" t="s">
        <v>4240</v>
      </c>
      <c r="D909" s="5" t="s">
        <v>57</v>
      </c>
      <c r="E909">
        <v>2035</v>
      </c>
      <c r="F909" s="6" t="str">
        <f t="shared" si="128"/>
        <v>*0.94</v>
      </c>
      <c r="H909" t="s">
        <v>4240</v>
      </c>
      <c r="I909" s="5" t="s">
        <v>57</v>
      </c>
      <c r="J909">
        <v>2050</v>
      </c>
      <c r="K909" s="38" t="str">
        <f t="shared" si="129"/>
        <v>*0.91</v>
      </c>
      <c r="P909" s="32" t="s">
        <v>4240</v>
      </c>
      <c r="Q909" s="42" t="s">
        <v>57</v>
      </c>
      <c r="R909" s="32">
        <v>2035</v>
      </c>
      <c r="S909" s="43" t="str">
        <f t="shared" si="130"/>
        <v>*0.93</v>
      </c>
      <c r="U909" s="32" t="s">
        <v>4240</v>
      </c>
      <c r="V909" s="42" t="s">
        <v>57</v>
      </c>
      <c r="W909" s="32">
        <v>2050</v>
      </c>
      <c r="X909" s="43" t="str">
        <f t="shared" si="131"/>
        <v>*0.9</v>
      </c>
      <c r="AC909" s="33" t="s">
        <v>4240</v>
      </c>
      <c r="AD909" s="44" t="s">
        <v>57</v>
      </c>
      <c r="AE909" s="33">
        <v>2035</v>
      </c>
      <c r="AF909" s="45" t="str">
        <f t="shared" si="132"/>
        <v>*0.9</v>
      </c>
      <c r="AG909" s="43" t="str">
        <f t="shared" si="135"/>
        <v>REZoning_Sol-Win</v>
      </c>
      <c r="AI909" s="33" t="s">
        <v>4240</v>
      </c>
      <c r="AJ909" s="44" t="s">
        <v>57</v>
      </c>
      <c r="AK909" s="33">
        <v>2050</v>
      </c>
      <c r="AL909" s="45" t="str">
        <f t="shared" si="133"/>
        <v>*0.86</v>
      </c>
      <c r="AM909" s="43" t="str">
        <f t="shared" si="136"/>
        <v>REZoning_Sol-Win</v>
      </c>
      <c r="AP909" t="s">
        <v>4240</v>
      </c>
      <c r="AQ909" t="s">
        <v>57</v>
      </c>
      <c r="AR909">
        <f t="shared" si="134"/>
        <v>2100</v>
      </c>
      <c r="AS909" t="s">
        <v>883</v>
      </c>
      <c r="AT909" t="s">
        <v>58</v>
      </c>
    </row>
    <row r="910" ht="29" spans="1:46">
      <c r="A910" s="31" t="s">
        <v>65</v>
      </c>
      <c r="C910" t="s">
        <v>4241</v>
      </c>
      <c r="D910" s="5" t="s">
        <v>57</v>
      </c>
      <c r="E910">
        <v>2035</v>
      </c>
      <c r="F910" s="6" t="str">
        <f t="shared" si="128"/>
        <v>*0.94</v>
      </c>
      <c r="H910" t="s">
        <v>4241</v>
      </c>
      <c r="I910" s="5" t="s">
        <v>57</v>
      </c>
      <c r="J910">
        <v>2050</v>
      </c>
      <c r="K910" s="38" t="str">
        <f t="shared" si="129"/>
        <v>*0.91</v>
      </c>
      <c r="P910" s="32" t="s">
        <v>4241</v>
      </c>
      <c r="Q910" s="42" t="s">
        <v>57</v>
      </c>
      <c r="R910" s="32">
        <v>2035</v>
      </c>
      <c r="S910" s="43" t="str">
        <f t="shared" si="130"/>
        <v>*0.93</v>
      </c>
      <c r="U910" s="32" t="s">
        <v>4241</v>
      </c>
      <c r="V910" s="42" t="s">
        <v>57</v>
      </c>
      <c r="W910" s="32">
        <v>2050</v>
      </c>
      <c r="X910" s="43" t="str">
        <f t="shared" si="131"/>
        <v>*0.9</v>
      </c>
      <c r="AC910" s="33" t="s">
        <v>4241</v>
      </c>
      <c r="AD910" s="44" t="s">
        <v>57</v>
      </c>
      <c r="AE910" s="33">
        <v>2035</v>
      </c>
      <c r="AF910" s="45" t="str">
        <f t="shared" si="132"/>
        <v>*0.9</v>
      </c>
      <c r="AG910" s="43" t="str">
        <f t="shared" si="135"/>
        <v>REZoning_Sol-Win</v>
      </c>
      <c r="AI910" s="33" t="s">
        <v>4241</v>
      </c>
      <c r="AJ910" s="44" t="s">
        <v>57</v>
      </c>
      <c r="AK910" s="33">
        <v>2050</v>
      </c>
      <c r="AL910" s="45" t="str">
        <f t="shared" si="133"/>
        <v>*0.86</v>
      </c>
      <c r="AM910" s="43" t="str">
        <f t="shared" si="136"/>
        <v>REZoning_Sol-Win</v>
      </c>
      <c r="AP910" t="s">
        <v>4241</v>
      </c>
      <c r="AQ910" t="s">
        <v>57</v>
      </c>
      <c r="AR910">
        <f t="shared" si="134"/>
        <v>2100</v>
      </c>
      <c r="AS910" t="s">
        <v>883</v>
      </c>
      <c r="AT910" t="s">
        <v>58</v>
      </c>
    </row>
    <row r="911" ht="29" spans="1:46">
      <c r="A911" s="31" t="s">
        <v>65</v>
      </c>
      <c r="C911" t="s">
        <v>4242</v>
      </c>
      <c r="D911" s="5" t="s">
        <v>57</v>
      </c>
      <c r="E911">
        <v>2035</v>
      </c>
      <c r="F911" s="6" t="str">
        <f t="shared" si="128"/>
        <v>*0.94</v>
      </c>
      <c r="H911" t="s">
        <v>4242</v>
      </c>
      <c r="I911" s="5" t="s">
        <v>57</v>
      </c>
      <c r="J911">
        <v>2050</v>
      </c>
      <c r="K911" s="38" t="str">
        <f t="shared" si="129"/>
        <v>*0.91</v>
      </c>
      <c r="P911" s="32" t="s">
        <v>4242</v>
      </c>
      <c r="Q911" s="42" t="s">
        <v>57</v>
      </c>
      <c r="R911" s="32">
        <v>2035</v>
      </c>
      <c r="S911" s="43" t="str">
        <f t="shared" si="130"/>
        <v>*0.93</v>
      </c>
      <c r="U911" s="32" t="s">
        <v>4242</v>
      </c>
      <c r="V911" s="42" t="s">
        <v>57</v>
      </c>
      <c r="W911" s="32">
        <v>2050</v>
      </c>
      <c r="X911" s="43" t="str">
        <f t="shared" si="131"/>
        <v>*0.9</v>
      </c>
      <c r="AC911" s="33" t="s">
        <v>4242</v>
      </c>
      <c r="AD911" s="44" t="s">
        <v>57</v>
      </c>
      <c r="AE911" s="33">
        <v>2035</v>
      </c>
      <c r="AF911" s="45" t="str">
        <f t="shared" si="132"/>
        <v>*0.9</v>
      </c>
      <c r="AG911" s="43" t="str">
        <f t="shared" si="135"/>
        <v>REZoning_Sol-Win</v>
      </c>
      <c r="AI911" s="33" t="s">
        <v>4242</v>
      </c>
      <c r="AJ911" s="44" t="s">
        <v>57</v>
      </c>
      <c r="AK911" s="33">
        <v>2050</v>
      </c>
      <c r="AL911" s="45" t="str">
        <f t="shared" si="133"/>
        <v>*0.86</v>
      </c>
      <c r="AM911" s="43" t="str">
        <f t="shared" si="136"/>
        <v>REZoning_Sol-Win</v>
      </c>
      <c r="AP911" t="s">
        <v>4242</v>
      </c>
      <c r="AQ911" t="s">
        <v>57</v>
      </c>
      <c r="AR911">
        <f t="shared" si="134"/>
        <v>2100</v>
      </c>
      <c r="AS911" t="s">
        <v>883</v>
      </c>
      <c r="AT911" t="s">
        <v>58</v>
      </c>
    </row>
    <row r="912" ht="29" spans="1:46">
      <c r="A912" s="31" t="s">
        <v>65</v>
      </c>
      <c r="C912" t="s">
        <v>4243</v>
      </c>
      <c r="D912" s="5" t="s">
        <v>57</v>
      </c>
      <c r="E912">
        <v>2035</v>
      </c>
      <c r="F912" s="6" t="str">
        <f t="shared" si="128"/>
        <v>*0.94</v>
      </c>
      <c r="H912" t="s">
        <v>4243</v>
      </c>
      <c r="I912" s="5" t="s">
        <v>57</v>
      </c>
      <c r="J912">
        <v>2050</v>
      </c>
      <c r="K912" s="38" t="str">
        <f t="shared" si="129"/>
        <v>*0.91</v>
      </c>
      <c r="P912" s="32" t="s">
        <v>4243</v>
      </c>
      <c r="Q912" s="42" t="s">
        <v>57</v>
      </c>
      <c r="R912" s="32">
        <v>2035</v>
      </c>
      <c r="S912" s="43" t="str">
        <f t="shared" si="130"/>
        <v>*0.93</v>
      </c>
      <c r="U912" s="32" t="s">
        <v>4243</v>
      </c>
      <c r="V912" s="42" t="s">
        <v>57</v>
      </c>
      <c r="W912" s="32">
        <v>2050</v>
      </c>
      <c r="X912" s="43" t="str">
        <f t="shared" si="131"/>
        <v>*0.9</v>
      </c>
      <c r="AC912" s="33" t="s">
        <v>4243</v>
      </c>
      <c r="AD912" s="44" t="s">
        <v>57</v>
      </c>
      <c r="AE912" s="33">
        <v>2035</v>
      </c>
      <c r="AF912" s="45" t="str">
        <f t="shared" si="132"/>
        <v>*0.9</v>
      </c>
      <c r="AG912" s="43" t="str">
        <f t="shared" si="135"/>
        <v>REZoning_Sol-Win</v>
      </c>
      <c r="AI912" s="33" t="s">
        <v>4243</v>
      </c>
      <c r="AJ912" s="44" t="s">
        <v>57</v>
      </c>
      <c r="AK912" s="33">
        <v>2050</v>
      </c>
      <c r="AL912" s="45" t="str">
        <f t="shared" si="133"/>
        <v>*0.86</v>
      </c>
      <c r="AM912" s="43" t="str">
        <f t="shared" si="136"/>
        <v>REZoning_Sol-Win</v>
      </c>
      <c r="AP912" t="s">
        <v>4243</v>
      </c>
      <c r="AQ912" t="s">
        <v>57</v>
      </c>
      <c r="AR912">
        <f t="shared" si="134"/>
        <v>2100</v>
      </c>
      <c r="AS912" t="s">
        <v>883</v>
      </c>
      <c r="AT912" t="s">
        <v>58</v>
      </c>
    </row>
    <row r="913" ht="29" spans="1:46">
      <c r="A913" s="31" t="s">
        <v>65</v>
      </c>
      <c r="C913" t="s">
        <v>4244</v>
      </c>
      <c r="D913" s="5" t="s">
        <v>57</v>
      </c>
      <c r="E913">
        <v>2035</v>
      </c>
      <c r="F913" s="6" t="str">
        <f t="shared" si="128"/>
        <v>*0.94</v>
      </c>
      <c r="H913" t="s">
        <v>4244</v>
      </c>
      <c r="I913" s="5" t="s">
        <v>57</v>
      </c>
      <c r="J913">
        <v>2050</v>
      </c>
      <c r="K913" s="38" t="str">
        <f t="shared" si="129"/>
        <v>*0.91</v>
      </c>
      <c r="P913" s="32" t="s">
        <v>4244</v>
      </c>
      <c r="Q913" s="42" t="s">
        <v>57</v>
      </c>
      <c r="R913" s="32">
        <v>2035</v>
      </c>
      <c r="S913" s="43" t="str">
        <f t="shared" si="130"/>
        <v>*0.93</v>
      </c>
      <c r="U913" s="32" t="s">
        <v>4244</v>
      </c>
      <c r="V913" s="42" t="s">
        <v>57</v>
      </c>
      <c r="W913" s="32">
        <v>2050</v>
      </c>
      <c r="X913" s="43" t="str">
        <f t="shared" si="131"/>
        <v>*0.9</v>
      </c>
      <c r="AC913" s="33" t="s">
        <v>4244</v>
      </c>
      <c r="AD913" s="44" t="s">
        <v>57</v>
      </c>
      <c r="AE913" s="33">
        <v>2035</v>
      </c>
      <c r="AF913" s="45" t="str">
        <f t="shared" si="132"/>
        <v>*0.9</v>
      </c>
      <c r="AG913" s="43" t="str">
        <f t="shared" si="135"/>
        <v>REZoning_Sol-Win</v>
      </c>
      <c r="AI913" s="33" t="s">
        <v>4244</v>
      </c>
      <c r="AJ913" s="44" t="s">
        <v>57</v>
      </c>
      <c r="AK913" s="33">
        <v>2050</v>
      </c>
      <c r="AL913" s="45" t="str">
        <f t="shared" si="133"/>
        <v>*0.86</v>
      </c>
      <c r="AM913" s="43" t="str">
        <f t="shared" si="136"/>
        <v>REZoning_Sol-Win</v>
      </c>
      <c r="AP913" t="s">
        <v>4244</v>
      </c>
      <c r="AQ913" t="s">
        <v>57</v>
      </c>
      <c r="AR913">
        <f t="shared" si="134"/>
        <v>2100</v>
      </c>
      <c r="AS913" t="s">
        <v>883</v>
      </c>
      <c r="AT913" t="s">
        <v>58</v>
      </c>
    </row>
    <row r="914" ht="29" spans="1:46">
      <c r="A914" s="31" t="s">
        <v>65</v>
      </c>
      <c r="C914" t="s">
        <v>4245</v>
      </c>
      <c r="D914" s="5" t="s">
        <v>57</v>
      </c>
      <c r="E914">
        <v>2035</v>
      </c>
      <c r="F914" s="6" t="str">
        <f t="shared" si="128"/>
        <v>*0.94</v>
      </c>
      <c r="H914" t="s">
        <v>4245</v>
      </c>
      <c r="I914" s="5" t="s">
        <v>57</v>
      </c>
      <c r="J914">
        <v>2050</v>
      </c>
      <c r="K914" s="38" t="str">
        <f t="shared" si="129"/>
        <v>*0.91</v>
      </c>
      <c r="P914" s="32" t="s">
        <v>4245</v>
      </c>
      <c r="Q914" s="42" t="s">
        <v>57</v>
      </c>
      <c r="R914" s="32">
        <v>2035</v>
      </c>
      <c r="S914" s="43" t="str">
        <f t="shared" si="130"/>
        <v>*0.93</v>
      </c>
      <c r="U914" s="32" t="s">
        <v>4245</v>
      </c>
      <c r="V914" s="42" t="s">
        <v>57</v>
      </c>
      <c r="W914" s="32">
        <v>2050</v>
      </c>
      <c r="X914" s="43" t="str">
        <f t="shared" si="131"/>
        <v>*0.9</v>
      </c>
      <c r="AC914" s="33" t="s">
        <v>4245</v>
      </c>
      <c r="AD914" s="44" t="s">
        <v>57</v>
      </c>
      <c r="AE914" s="33">
        <v>2035</v>
      </c>
      <c r="AF914" s="45" t="str">
        <f t="shared" si="132"/>
        <v>*0.9</v>
      </c>
      <c r="AG914" s="43" t="str">
        <f t="shared" si="135"/>
        <v>REZoning_Sol-Win</v>
      </c>
      <c r="AI914" s="33" t="s">
        <v>4245</v>
      </c>
      <c r="AJ914" s="44" t="s">
        <v>57</v>
      </c>
      <c r="AK914" s="33">
        <v>2050</v>
      </c>
      <c r="AL914" s="45" t="str">
        <f t="shared" si="133"/>
        <v>*0.86</v>
      </c>
      <c r="AM914" s="43" t="str">
        <f t="shared" si="136"/>
        <v>REZoning_Sol-Win</v>
      </c>
      <c r="AP914" t="s">
        <v>4245</v>
      </c>
      <c r="AQ914" t="s">
        <v>57</v>
      </c>
      <c r="AR914">
        <f t="shared" si="134"/>
        <v>2100</v>
      </c>
      <c r="AS914" t="s">
        <v>883</v>
      </c>
      <c r="AT914" t="s">
        <v>58</v>
      </c>
    </row>
    <row r="915" ht="29" spans="1:46">
      <c r="A915" s="31" t="s">
        <v>65</v>
      </c>
      <c r="C915" t="s">
        <v>4246</v>
      </c>
      <c r="D915" s="5" t="s">
        <v>57</v>
      </c>
      <c r="E915">
        <v>2035</v>
      </c>
      <c r="F915" s="6" t="str">
        <f t="shared" si="128"/>
        <v>*0.94</v>
      </c>
      <c r="H915" t="s">
        <v>4246</v>
      </c>
      <c r="I915" s="5" t="s">
        <v>57</v>
      </c>
      <c r="J915">
        <v>2050</v>
      </c>
      <c r="K915" s="38" t="str">
        <f t="shared" si="129"/>
        <v>*0.91</v>
      </c>
      <c r="P915" s="32" t="s">
        <v>4246</v>
      </c>
      <c r="Q915" s="42" t="s">
        <v>57</v>
      </c>
      <c r="R915" s="32">
        <v>2035</v>
      </c>
      <c r="S915" s="43" t="str">
        <f t="shared" si="130"/>
        <v>*0.93</v>
      </c>
      <c r="U915" s="32" t="s">
        <v>4246</v>
      </c>
      <c r="V915" s="42" t="s">
        <v>57</v>
      </c>
      <c r="W915" s="32">
        <v>2050</v>
      </c>
      <c r="X915" s="43" t="str">
        <f t="shared" si="131"/>
        <v>*0.9</v>
      </c>
      <c r="AC915" s="33" t="s">
        <v>4246</v>
      </c>
      <c r="AD915" s="44" t="s">
        <v>57</v>
      </c>
      <c r="AE915" s="33">
        <v>2035</v>
      </c>
      <c r="AF915" s="45" t="str">
        <f t="shared" si="132"/>
        <v>*0.9</v>
      </c>
      <c r="AG915" s="43" t="str">
        <f t="shared" si="135"/>
        <v>REZoning_Sol-Win</v>
      </c>
      <c r="AI915" s="33" t="s">
        <v>4246</v>
      </c>
      <c r="AJ915" s="44" t="s">
        <v>57</v>
      </c>
      <c r="AK915" s="33">
        <v>2050</v>
      </c>
      <c r="AL915" s="45" t="str">
        <f t="shared" si="133"/>
        <v>*0.86</v>
      </c>
      <c r="AM915" s="43" t="str">
        <f t="shared" si="136"/>
        <v>REZoning_Sol-Win</v>
      </c>
      <c r="AP915" t="s">
        <v>4246</v>
      </c>
      <c r="AQ915" t="s">
        <v>57</v>
      </c>
      <c r="AR915">
        <f t="shared" si="134"/>
        <v>2100</v>
      </c>
      <c r="AS915" t="s">
        <v>883</v>
      </c>
      <c r="AT915" t="s">
        <v>58</v>
      </c>
    </row>
    <row r="916" ht="29" spans="1:46">
      <c r="A916" s="31" t="s">
        <v>65</v>
      </c>
      <c r="C916" t="s">
        <v>4247</v>
      </c>
      <c r="D916" s="5" t="s">
        <v>57</v>
      </c>
      <c r="E916">
        <v>2035</v>
      </c>
      <c r="F916" s="6" t="str">
        <f t="shared" si="128"/>
        <v>*0.94</v>
      </c>
      <c r="H916" t="s">
        <v>4247</v>
      </c>
      <c r="I916" s="5" t="s">
        <v>57</v>
      </c>
      <c r="J916">
        <v>2050</v>
      </c>
      <c r="K916" s="38" t="str">
        <f t="shared" si="129"/>
        <v>*0.91</v>
      </c>
      <c r="P916" s="32" t="s">
        <v>4247</v>
      </c>
      <c r="Q916" s="42" t="s">
        <v>57</v>
      </c>
      <c r="R916" s="32">
        <v>2035</v>
      </c>
      <c r="S916" s="43" t="str">
        <f t="shared" si="130"/>
        <v>*0.93</v>
      </c>
      <c r="U916" s="32" t="s">
        <v>4247</v>
      </c>
      <c r="V916" s="42" t="s">
        <v>57</v>
      </c>
      <c r="W916" s="32">
        <v>2050</v>
      </c>
      <c r="X916" s="43" t="str">
        <f t="shared" si="131"/>
        <v>*0.9</v>
      </c>
      <c r="AC916" s="33" t="s">
        <v>4247</v>
      </c>
      <c r="AD916" s="44" t="s">
        <v>57</v>
      </c>
      <c r="AE916" s="33">
        <v>2035</v>
      </c>
      <c r="AF916" s="45" t="str">
        <f t="shared" si="132"/>
        <v>*0.9</v>
      </c>
      <c r="AG916" s="43" t="str">
        <f t="shared" si="135"/>
        <v>REZoning_Sol-Win</v>
      </c>
      <c r="AI916" s="33" t="s">
        <v>4247</v>
      </c>
      <c r="AJ916" s="44" t="s">
        <v>57</v>
      </c>
      <c r="AK916" s="33">
        <v>2050</v>
      </c>
      <c r="AL916" s="45" t="str">
        <f t="shared" si="133"/>
        <v>*0.86</v>
      </c>
      <c r="AM916" s="43" t="str">
        <f t="shared" si="136"/>
        <v>REZoning_Sol-Win</v>
      </c>
      <c r="AP916" t="s">
        <v>4247</v>
      </c>
      <c r="AQ916" t="s">
        <v>57</v>
      </c>
      <c r="AR916">
        <f t="shared" si="134"/>
        <v>2100</v>
      </c>
      <c r="AS916" t="s">
        <v>883</v>
      </c>
      <c r="AT916" t="s">
        <v>58</v>
      </c>
    </row>
    <row r="917" ht="29" spans="1:46">
      <c r="A917" s="31" t="s">
        <v>65</v>
      </c>
      <c r="C917" t="s">
        <v>4248</v>
      </c>
      <c r="D917" s="5" t="s">
        <v>57</v>
      </c>
      <c r="E917">
        <v>2035</v>
      </c>
      <c r="F917" s="6" t="str">
        <f t="shared" si="128"/>
        <v>*0.94</v>
      </c>
      <c r="H917" t="s">
        <v>4248</v>
      </c>
      <c r="I917" s="5" t="s">
        <v>57</v>
      </c>
      <c r="J917">
        <v>2050</v>
      </c>
      <c r="K917" s="38" t="str">
        <f t="shared" si="129"/>
        <v>*0.91</v>
      </c>
      <c r="P917" s="32" t="s">
        <v>4248</v>
      </c>
      <c r="Q917" s="42" t="s">
        <v>57</v>
      </c>
      <c r="R917" s="32">
        <v>2035</v>
      </c>
      <c r="S917" s="43" t="str">
        <f t="shared" si="130"/>
        <v>*0.93</v>
      </c>
      <c r="U917" s="32" t="s">
        <v>4248</v>
      </c>
      <c r="V917" s="42" t="s">
        <v>57</v>
      </c>
      <c r="W917" s="32">
        <v>2050</v>
      </c>
      <c r="X917" s="43" t="str">
        <f t="shared" si="131"/>
        <v>*0.9</v>
      </c>
      <c r="AC917" s="33" t="s">
        <v>4248</v>
      </c>
      <c r="AD917" s="44" t="s">
        <v>57</v>
      </c>
      <c r="AE917" s="33">
        <v>2035</v>
      </c>
      <c r="AF917" s="45" t="str">
        <f t="shared" si="132"/>
        <v>*0.9</v>
      </c>
      <c r="AG917" s="43" t="str">
        <f t="shared" si="135"/>
        <v>REZoning_Sol-Win</v>
      </c>
      <c r="AI917" s="33" t="s">
        <v>4248</v>
      </c>
      <c r="AJ917" s="44" t="s">
        <v>57</v>
      </c>
      <c r="AK917" s="33">
        <v>2050</v>
      </c>
      <c r="AL917" s="45" t="str">
        <f t="shared" si="133"/>
        <v>*0.86</v>
      </c>
      <c r="AM917" s="43" t="str">
        <f t="shared" si="136"/>
        <v>REZoning_Sol-Win</v>
      </c>
      <c r="AP917" t="s">
        <v>4248</v>
      </c>
      <c r="AQ917" t="s">
        <v>57</v>
      </c>
      <c r="AR917">
        <f t="shared" si="134"/>
        <v>2100</v>
      </c>
      <c r="AS917" t="s">
        <v>883</v>
      </c>
      <c r="AT917" t="s">
        <v>58</v>
      </c>
    </row>
    <row r="918" ht="29" spans="1:46">
      <c r="A918" s="31" t="s">
        <v>73</v>
      </c>
      <c r="C918" t="s">
        <v>4249</v>
      </c>
      <c r="D918" s="5" t="s">
        <v>57</v>
      </c>
      <c r="E918">
        <v>2035</v>
      </c>
      <c r="F918" s="6" t="str">
        <f t="shared" si="128"/>
        <v>*0.95</v>
      </c>
      <c r="H918" t="s">
        <v>4249</v>
      </c>
      <c r="I918" s="5" t="s">
        <v>57</v>
      </c>
      <c r="J918">
        <v>2050</v>
      </c>
      <c r="K918" s="38" t="str">
        <f t="shared" si="129"/>
        <v>*0.93</v>
      </c>
      <c r="P918" s="32" t="s">
        <v>4249</v>
      </c>
      <c r="Q918" s="42" t="s">
        <v>57</v>
      </c>
      <c r="R918" s="32">
        <v>2035</v>
      </c>
      <c r="S918" s="43" t="str">
        <f t="shared" si="130"/>
        <v>*0.95</v>
      </c>
      <c r="U918" s="32" t="s">
        <v>4249</v>
      </c>
      <c r="V918" s="42" t="s">
        <v>57</v>
      </c>
      <c r="W918" s="32">
        <v>2050</v>
      </c>
      <c r="X918" s="43" t="str">
        <f t="shared" si="131"/>
        <v>*0.93</v>
      </c>
      <c r="AC918" s="33" t="s">
        <v>4249</v>
      </c>
      <c r="AD918" s="44" t="s">
        <v>57</v>
      </c>
      <c r="AE918" s="33">
        <v>2035</v>
      </c>
      <c r="AF918" s="45" t="str">
        <f t="shared" si="132"/>
        <v>*0.93</v>
      </c>
      <c r="AG918" s="43" t="str">
        <f t="shared" si="135"/>
        <v>REZoning_Sol-Win</v>
      </c>
      <c r="AI918" s="33" t="s">
        <v>4249</v>
      </c>
      <c r="AJ918" s="44" t="s">
        <v>57</v>
      </c>
      <c r="AK918" s="33">
        <v>2050</v>
      </c>
      <c r="AL918" s="45" t="str">
        <f t="shared" si="133"/>
        <v>*0.9</v>
      </c>
      <c r="AM918" s="43" t="str">
        <f t="shared" si="136"/>
        <v>REZoning_Sol-Win</v>
      </c>
      <c r="AP918" t="s">
        <v>4249</v>
      </c>
      <c r="AQ918" t="s">
        <v>57</v>
      </c>
      <c r="AR918">
        <f t="shared" si="134"/>
        <v>2100</v>
      </c>
      <c r="AS918" t="s">
        <v>897</v>
      </c>
      <c r="AT918" t="s">
        <v>58</v>
      </c>
    </row>
    <row r="919" ht="29" spans="1:46">
      <c r="A919" s="31" t="s">
        <v>73</v>
      </c>
      <c r="C919" t="s">
        <v>4250</v>
      </c>
      <c r="D919" s="5" t="s">
        <v>57</v>
      </c>
      <c r="E919">
        <v>2035</v>
      </c>
      <c r="F919" s="6" t="str">
        <f t="shared" si="128"/>
        <v>*0.95</v>
      </c>
      <c r="H919" t="s">
        <v>4250</v>
      </c>
      <c r="I919" s="5" t="s">
        <v>57</v>
      </c>
      <c r="J919">
        <v>2050</v>
      </c>
      <c r="K919" s="38" t="str">
        <f t="shared" si="129"/>
        <v>*0.93</v>
      </c>
      <c r="P919" s="32" t="s">
        <v>4250</v>
      </c>
      <c r="Q919" s="42" t="s">
        <v>57</v>
      </c>
      <c r="R919" s="32">
        <v>2035</v>
      </c>
      <c r="S919" s="43" t="str">
        <f t="shared" si="130"/>
        <v>*0.95</v>
      </c>
      <c r="U919" s="32" t="s">
        <v>4250</v>
      </c>
      <c r="V919" s="42" t="s">
        <v>57</v>
      </c>
      <c r="W919" s="32">
        <v>2050</v>
      </c>
      <c r="X919" s="43" t="str">
        <f t="shared" si="131"/>
        <v>*0.93</v>
      </c>
      <c r="AC919" s="33" t="s">
        <v>4250</v>
      </c>
      <c r="AD919" s="44" t="s">
        <v>57</v>
      </c>
      <c r="AE919" s="33">
        <v>2035</v>
      </c>
      <c r="AF919" s="45" t="str">
        <f t="shared" si="132"/>
        <v>*0.93</v>
      </c>
      <c r="AG919" s="43" t="str">
        <f t="shared" si="135"/>
        <v>REZoning_Sol-Win</v>
      </c>
      <c r="AI919" s="33" t="s">
        <v>4250</v>
      </c>
      <c r="AJ919" s="44" t="s">
        <v>57</v>
      </c>
      <c r="AK919" s="33">
        <v>2050</v>
      </c>
      <c r="AL919" s="45" t="str">
        <f t="shared" si="133"/>
        <v>*0.9</v>
      </c>
      <c r="AM919" s="43" t="str">
        <f t="shared" si="136"/>
        <v>REZoning_Sol-Win</v>
      </c>
      <c r="AP919" t="s">
        <v>4250</v>
      </c>
      <c r="AQ919" t="s">
        <v>57</v>
      </c>
      <c r="AR919">
        <f t="shared" si="134"/>
        <v>2100</v>
      </c>
      <c r="AS919" t="s">
        <v>897</v>
      </c>
      <c r="AT919" t="s">
        <v>58</v>
      </c>
    </row>
    <row r="920" ht="29" spans="1:46">
      <c r="A920" s="31" t="s">
        <v>73</v>
      </c>
      <c r="C920" t="s">
        <v>4251</v>
      </c>
      <c r="D920" s="5" t="s">
        <v>57</v>
      </c>
      <c r="E920">
        <v>2035</v>
      </c>
      <c r="F920" s="6" t="str">
        <f t="shared" si="128"/>
        <v>*0.95</v>
      </c>
      <c r="H920" t="s">
        <v>4251</v>
      </c>
      <c r="I920" s="5" t="s">
        <v>57</v>
      </c>
      <c r="J920">
        <v>2050</v>
      </c>
      <c r="K920" s="38" t="str">
        <f t="shared" si="129"/>
        <v>*0.93</v>
      </c>
      <c r="P920" s="32" t="s">
        <v>4251</v>
      </c>
      <c r="Q920" s="42" t="s">
        <v>57</v>
      </c>
      <c r="R920" s="32">
        <v>2035</v>
      </c>
      <c r="S920" s="43" t="str">
        <f t="shared" si="130"/>
        <v>*0.95</v>
      </c>
      <c r="U920" s="32" t="s">
        <v>4251</v>
      </c>
      <c r="V920" s="42" t="s">
        <v>57</v>
      </c>
      <c r="W920" s="32">
        <v>2050</v>
      </c>
      <c r="X920" s="43" t="str">
        <f t="shared" si="131"/>
        <v>*0.93</v>
      </c>
      <c r="AC920" s="33" t="s">
        <v>4251</v>
      </c>
      <c r="AD920" s="44" t="s">
        <v>57</v>
      </c>
      <c r="AE920" s="33">
        <v>2035</v>
      </c>
      <c r="AF920" s="45" t="str">
        <f t="shared" si="132"/>
        <v>*0.93</v>
      </c>
      <c r="AG920" s="43" t="str">
        <f t="shared" si="135"/>
        <v>REZoning_Sol-Win</v>
      </c>
      <c r="AI920" s="33" t="s">
        <v>4251</v>
      </c>
      <c r="AJ920" s="44" t="s">
        <v>57</v>
      </c>
      <c r="AK920" s="33">
        <v>2050</v>
      </c>
      <c r="AL920" s="45" t="str">
        <f t="shared" si="133"/>
        <v>*0.9</v>
      </c>
      <c r="AM920" s="43" t="str">
        <f t="shared" si="136"/>
        <v>REZoning_Sol-Win</v>
      </c>
      <c r="AP920" t="s">
        <v>4251</v>
      </c>
      <c r="AQ920" t="s">
        <v>57</v>
      </c>
      <c r="AR920">
        <f t="shared" si="134"/>
        <v>2100</v>
      </c>
      <c r="AS920" t="s">
        <v>897</v>
      </c>
      <c r="AT920" t="s">
        <v>58</v>
      </c>
    </row>
    <row r="921" ht="29" spans="1:46">
      <c r="A921" s="31" t="s">
        <v>73</v>
      </c>
      <c r="C921" t="s">
        <v>4252</v>
      </c>
      <c r="D921" s="5" t="s">
        <v>57</v>
      </c>
      <c r="E921">
        <v>2035</v>
      </c>
      <c r="F921" s="6" t="str">
        <f t="shared" si="128"/>
        <v>*0.95</v>
      </c>
      <c r="H921" t="s">
        <v>4252</v>
      </c>
      <c r="I921" s="5" t="s">
        <v>57</v>
      </c>
      <c r="J921">
        <v>2050</v>
      </c>
      <c r="K921" s="38" t="str">
        <f t="shared" si="129"/>
        <v>*0.93</v>
      </c>
      <c r="P921" s="32" t="s">
        <v>4252</v>
      </c>
      <c r="Q921" s="42" t="s">
        <v>57</v>
      </c>
      <c r="R921" s="32">
        <v>2035</v>
      </c>
      <c r="S921" s="43" t="str">
        <f t="shared" si="130"/>
        <v>*0.95</v>
      </c>
      <c r="U921" s="32" t="s">
        <v>4252</v>
      </c>
      <c r="V921" s="42" t="s">
        <v>57</v>
      </c>
      <c r="W921" s="32">
        <v>2050</v>
      </c>
      <c r="X921" s="43" t="str">
        <f t="shared" si="131"/>
        <v>*0.93</v>
      </c>
      <c r="AC921" s="33" t="s">
        <v>4252</v>
      </c>
      <c r="AD921" s="44" t="s">
        <v>57</v>
      </c>
      <c r="AE921" s="33">
        <v>2035</v>
      </c>
      <c r="AF921" s="45" t="str">
        <f t="shared" si="132"/>
        <v>*0.93</v>
      </c>
      <c r="AG921" s="43" t="str">
        <f t="shared" si="135"/>
        <v>REZoning_Sol-Win</v>
      </c>
      <c r="AI921" s="33" t="s">
        <v>4252</v>
      </c>
      <c r="AJ921" s="44" t="s">
        <v>57</v>
      </c>
      <c r="AK921" s="33">
        <v>2050</v>
      </c>
      <c r="AL921" s="45" t="str">
        <f t="shared" si="133"/>
        <v>*0.9</v>
      </c>
      <c r="AM921" s="43" t="str">
        <f t="shared" si="136"/>
        <v>REZoning_Sol-Win</v>
      </c>
      <c r="AP921" t="s">
        <v>4252</v>
      </c>
      <c r="AQ921" t="s">
        <v>57</v>
      </c>
      <c r="AR921">
        <f t="shared" si="134"/>
        <v>2100</v>
      </c>
      <c r="AS921" t="s">
        <v>897</v>
      </c>
      <c r="AT921" t="s">
        <v>58</v>
      </c>
    </row>
    <row r="922" ht="29" spans="1:46">
      <c r="A922" s="31" t="s">
        <v>73</v>
      </c>
      <c r="C922" t="s">
        <v>4253</v>
      </c>
      <c r="D922" s="5" t="s">
        <v>57</v>
      </c>
      <c r="E922">
        <v>2035</v>
      </c>
      <c r="F922" s="6" t="str">
        <f t="shared" si="128"/>
        <v>*0.95</v>
      </c>
      <c r="H922" t="s">
        <v>4253</v>
      </c>
      <c r="I922" s="5" t="s">
        <v>57</v>
      </c>
      <c r="J922">
        <v>2050</v>
      </c>
      <c r="K922" s="38" t="str">
        <f t="shared" si="129"/>
        <v>*0.93</v>
      </c>
      <c r="P922" s="32" t="s">
        <v>4253</v>
      </c>
      <c r="Q922" s="42" t="s">
        <v>57</v>
      </c>
      <c r="R922" s="32">
        <v>2035</v>
      </c>
      <c r="S922" s="43" t="str">
        <f t="shared" si="130"/>
        <v>*0.95</v>
      </c>
      <c r="U922" s="32" t="s">
        <v>4253</v>
      </c>
      <c r="V922" s="42" t="s">
        <v>57</v>
      </c>
      <c r="W922" s="32">
        <v>2050</v>
      </c>
      <c r="X922" s="43" t="str">
        <f t="shared" si="131"/>
        <v>*0.93</v>
      </c>
      <c r="AC922" s="33" t="s">
        <v>4253</v>
      </c>
      <c r="AD922" s="44" t="s">
        <v>57</v>
      </c>
      <c r="AE922" s="33">
        <v>2035</v>
      </c>
      <c r="AF922" s="45" t="str">
        <f t="shared" si="132"/>
        <v>*0.93</v>
      </c>
      <c r="AG922" s="43" t="str">
        <f t="shared" si="135"/>
        <v>REZoning_Sol-Win</v>
      </c>
      <c r="AI922" s="33" t="s">
        <v>4253</v>
      </c>
      <c r="AJ922" s="44" t="s">
        <v>57</v>
      </c>
      <c r="AK922" s="33">
        <v>2050</v>
      </c>
      <c r="AL922" s="45" t="str">
        <f t="shared" si="133"/>
        <v>*0.9</v>
      </c>
      <c r="AM922" s="43" t="str">
        <f t="shared" si="136"/>
        <v>REZoning_Sol-Win</v>
      </c>
      <c r="AP922" t="s">
        <v>4253</v>
      </c>
      <c r="AQ922" t="s">
        <v>57</v>
      </c>
      <c r="AR922">
        <f t="shared" si="134"/>
        <v>2100</v>
      </c>
      <c r="AS922" t="s">
        <v>897</v>
      </c>
      <c r="AT922" t="s">
        <v>58</v>
      </c>
    </row>
    <row r="923" ht="29" spans="1:46">
      <c r="A923" s="31" t="s">
        <v>73</v>
      </c>
      <c r="C923" t="s">
        <v>4254</v>
      </c>
      <c r="D923" s="5" t="s">
        <v>57</v>
      </c>
      <c r="E923">
        <v>2035</v>
      </c>
      <c r="F923" s="6" t="str">
        <f t="shared" si="128"/>
        <v>*0.95</v>
      </c>
      <c r="H923" t="s">
        <v>4254</v>
      </c>
      <c r="I923" s="5" t="s">
        <v>57</v>
      </c>
      <c r="J923">
        <v>2050</v>
      </c>
      <c r="K923" s="38" t="str">
        <f t="shared" si="129"/>
        <v>*0.93</v>
      </c>
      <c r="P923" s="32" t="s">
        <v>4254</v>
      </c>
      <c r="Q923" s="42" t="s">
        <v>57</v>
      </c>
      <c r="R923" s="32">
        <v>2035</v>
      </c>
      <c r="S923" s="43" t="str">
        <f t="shared" si="130"/>
        <v>*0.95</v>
      </c>
      <c r="U923" s="32" t="s">
        <v>4254</v>
      </c>
      <c r="V923" s="42" t="s">
        <v>57</v>
      </c>
      <c r="W923" s="32">
        <v>2050</v>
      </c>
      <c r="X923" s="43" t="str">
        <f t="shared" si="131"/>
        <v>*0.93</v>
      </c>
      <c r="AC923" s="33" t="s">
        <v>4254</v>
      </c>
      <c r="AD923" s="44" t="s">
        <v>57</v>
      </c>
      <c r="AE923" s="33">
        <v>2035</v>
      </c>
      <c r="AF923" s="45" t="str">
        <f t="shared" si="132"/>
        <v>*0.93</v>
      </c>
      <c r="AG923" s="43" t="str">
        <f t="shared" si="135"/>
        <v>REZoning_Sol-Win</v>
      </c>
      <c r="AI923" s="33" t="s">
        <v>4254</v>
      </c>
      <c r="AJ923" s="44" t="s">
        <v>57</v>
      </c>
      <c r="AK923" s="33">
        <v>2050</v>
      </c>
      <c r="AL923" s="45" t="str">
        <f t="shared" si="133"/>
        <v>*0.9</v>
      </c>
      <c r="AM923" s="43" t="str">
        <f t="shared" si="136"/>
        <v>REZoning_Sol-Win</v>
      </c>
      <c r="AP923" t="s">
        <v>4254</v>
      </c>
      <c r="AQ923" t="s">
        <v>57</v>
      </c>
      <c r="AR923">
        <f t="shared" si="134"/>
        <v>2100</v>
      </c>
      <c r="AS923" t="s">
        <v>897</v>
      </c>
      <c r="AT923" t="s">
        <v>58</v>
      </c>
    </row>
    <row r="924" ht="29" spans="1:46">
      <c r="A924" s="31" t="s">
        <v>73</v>
      </c>
      <c r="C924" t="s">
        <v>4255</v>
      </c>
      <c r="D924" s="5" t="s">
        <v>57</v>
      </c>
      <c r="E924">
        <v>2035</v>
      </c>
      <c r="F924" s="6" t="str">
        <f t="shared" si="128"/>
        <v>*0.95</v>
      </c>
      <c r="H924" t="s">
        <v>4255</v>
      </c>
      <c r="I924" s="5" t="s">
        <v>57</v>
      </c>
      <c r="J924">
        <v>2050</v>
      </c>
      <c r="K924" s="38" t="str">
        <f t="shared" si="129"/>
        <v>*0.93</v>
      </c>
      <c r="P924" s="32" t="s">
        <v>4255</v>
      </c>
      <c r="Q924" s="42" t="s">
        <v>57</v>
      </c>
      <c r="R924" s="32">
        <v>2035</v>
      </c>
      <c r="S924" s="43" t="str">
        <f t="shared" si="130"/>
        <v>*0.95</v>
      </c>
      <c r="U924" s="32" t="s">
        <v>4255</v>
      </c>
      <c r="V924" s="42" t="s">
        <v>57</v>
      </c>
      <c r="W924" s="32">
        <v>2050</v>
      </c>
      <c r="X924" s="43" t="str">
        <f t="shared" si="131"/>
        <v>*0.93</v>
      </c>
      <c r="AC924" s="33" t="s">
        <v>4255</v>
      </c>
      <c r="AD924" s="44" t="s">
        <v>57</v>
      </c>
      <c r="AE924" s="33">
        <v>2035</v>
      </c>
      <c r="AF924" s="45" t="str">
        <f t="shared" si="132"/>
        <v>*0.93</v>
      </c>
      <c r="AG924" s="43" t="str">
        <f t="shared" si="135"/>
        <v>REZoning_Sol-Win</v>
      </c>
      <c r="AI924" s="33" t="s">
        <v>4255</v>
      </c>
      <c r="AJ924" s="44" t="s">
        <v>57</v>
      </c>
      <c r="AK924" s="33">
        <v>2050</v>
      </c>
      <c r="AL924" s="45" t="str">
        <f t="shared" si="133"/>
        <v>*0.9</v>
      </c>
      <c r="AM924" s="43" t="str">
        <f t="shared" si="136"/>
        <v>REZoning_Sol-Win</v>
      </c>
      <c r="AP924" t="s">
        <v>4255</v>
      </c>
      <c r="AQ924" t="s">
        <v>57</v>
      </c>
      <c r="AR924">
        <f t="shared" si="134"/>
        <v>2100</v>
      </c>
      <c r="AS924" t="s">
        <v>897</v>
      </c>
      <c r="AT924" t="s">
        <v>58</v>
      </c>
    </row>
    <row r="925" ht="29" spans="1:46">
      <c r="A925" s="31" t="s">
        <v>73</v>
      </c>
      <c r="C925" t="s">
        <v>4256</v>
      </c>
      <c r="D925" s="5" t="s">
        <v>57</v>
      </c>
      <c r="E925">
        <v>2035</v>
      </c>
      <c r="F925" s="6" t="str">
        <f t="shared" si="128"/>
        <v>*0.95</v>
      </c>
      <c r="H925" t="s">
        <v>4256</v>
      </c>
      <c r="I925" s="5" t="s">
        <v>57</v>
      </c>
      <c r="J925">
        <v>2050</v>
      </c>
      <c r="K925" s="38" t="str">
        <f t="shared" si="129"/>
        <v>*0.93</v>
      </c>
      <c r="P925" s="32" t="s">
        <v>4256</v>
      </c>
      <c r="Q925" s="42" t="s">
        <v>57</v>
      </c>
      <c r="R925" s="32">
        <v>2035</v>
      </c>
      <c r="S925" s="43" t="str">
        <f t="shared" si="130"/>
        <v>*0.95</v>
      </c>
      <c r="U925" s="32" t="s">
        <v>4256</v>
      </c>
      <c r="V925" s="42" t="s">
        <v>57</v>
      </c>
      <c r="W925" s="32">
        <v>2050</v>
      </c>
      <c r="X925" s="43" t="str">
        <f t="shared" si="131"/>
        <v>*0.93</v>
      </c>
      <c r="AC925" s="33" t="s">
        <v>4256</v>
      </c>
      <c r="AD925" s="44" t="s">
        <v>57</v>
      </c>
      <c r="AE925" s="33">
        <v>2035</v>
      </c>
      <c r="AF925" s="45" t="str">
        <f t="shared" si="132"/>
        <v>*0.93</v>
      </c>
      <c r="AG925" s="43" t="str">
        <f t="shared" si="135"/>
        <v>REZoning_Sol-Win</v>
      </c>
      <c r="AI925" s="33" t="s">
        <v>4256</v>
      </c>
      <c r="AJ925" s="44" t="s">
        <v>57</v>
      </c>
      <c r="AK925" s="33">
        <v>2050</v>
      </c>
      <c r="AL925" s="45" t="str">
        <f t="shared" si="133"/>
        <v>*0.9</v>
      </c>
      <c r="AM925" s="43" t="str">
        <f t="shared" si="136"/>
        <v>REZoning_Sol-Win</v>
      </c>
      <c r="AP925" t="s">
        <v>4256</v>
      </c>
      <c r="AQ925" t="s">
        <v>57</v>
      </c>
      <c r="AR925">
        <f t="shared" si="134"/>
        <v>2100</v>
      </c>
      <c r="AS925" t="s">
        <v>897</v>
      </c>
      <c r="AT925" t="s">
        <v>58</v>
      </c>
    </row>
    <row r="926" ht="29" spans="1:46">
      <c r="A926" s="31" t="s">
        <v>73</v>
      </c>
      <c r="C926" t="s">
        <v>4257</v>
      </c>
      <c r="D926" s="5" t="s">
        <v>57</v>
      </c>
      <c r="E926">
        <v>2035</v>
      </c>
      <c r="F926" s="6" t="str">
        <f t="shared" si="128"/>
        <v>*0.95</v>
      </c>
      <c r="H926" t="s">
        <v>4257</v>
      </c>
      <c r="I926" s="5" t="s">
        <v>57</v>
      </c>
      <c r="J926">
        <v>2050</v>
      </c>
      <c r="K926" s="38" t="str">
        <f t="shared" si="129"/>
        <v>*0.93</v>
      </c>
      <c r="P926" s="32" t="s">
        <v>4257</v>
      </c>
      <c r="Q926" s="42" t="s">
        <v>57</v>
      </c>
      <c r="R926" s="32">
        <v>2035</v>
      </c>
      <c r="S926" s="43" t="str">
        <f t="shared" si="130"/>
        <v>*0.95</v>
      </c>
      <c r="U926" s="32" t="s">
        <v>4257</v>
      </c>
      <c r="V926" s="42" t="s">
        <v>57</v>
      </c>
      <c r="W926" s="32">
        <v>2050</v>
      </c>
      <c r="X926" s="43" t="str">
        <f t="shared" si="131"/>
        <v>*0.93</v>
      </c>
      <c r="AC926" s="33" t="s">
        <v>4257</v>
      </c>
      <c r="AD926" s="44" t="s">
        <v>57</v>
      </c>
      <c r="AE926" s="33">
        <v>2035</v>
      </c>
      <c r="AF926" s="45" t="str">
        <f t="shared" si="132"/>
        <v>*0.93</v>
      </c>
      <c r="AG926" s="43" t="str">
        <f t="shared" si="135"/>
        <v>REZoning_Sol-Win</v>
      </c>
      <c r="AI926" s="33" t="s">
        <v>4257</v>
      </c>
      <c r="AJ926" s="44" t="s">
        <v>57</v>
      </c>
      <c r="AK926" s="33">
        <v>2050</v>
      </c>
      <c r="AL926" s="45" t="str">
        <f t="shared" si="133"/>
        <v>*0.9</v>
      </c>
      <c r="AM926" s="43" t="str">
        <f t="shared" si="136"/>
        <v>REZoning_Sol-Win</v>
      </c>
      <c r="AP926" t="s">
        <v>4257</v>
      </c>
      <c r="AQ926" t="s">
        <v>57</v>
      </c>
      <c r="AR926">
        <f t="shared" si="134"/>
        <v>2100</v>
      </c>
      <c r="AS926" t="s">
        <v>897</v>
      </c>
      <c r="AT926" t="s">
        <v>58</v>
      </c>
    </row>
    <row r="927" ht="29" spans="1:46">
      <c r="A927" s="31" t="s">
        <v>73</v>
      </c>
      <c r="C927" t="s">
        <v>4258</v>
      </c>
      <c r="D927" s="5" t="s">
        <v>57</v>
      </c>
      <c r="E927">
        <v>2035</v>
      </c>
      <c r="F927" s="6" t="str">
        <f t="shared" si="128"/>
        <v>*0.95</v>
      </c>
      <c r="H927" t="s">
        <v>4258</v>
      </c>
      <c r="I927" s="5" t="s">
        <v>57</v>
      </c>
      <c r="J927">
        <v>2050</v>
      </c>
      <c r="K927" s="38" t="str">
        <f t="shared" si="129"/>
        <v>*0.93</v>
      </c>
      <c r="P927" s="32" t="s">
        <v>4258</v>
      </c>
      <c r="Q927" s="42" t="s">
        <v>57</v>
      </c>
      <c r="R927" s="32">
        <v>2035</v>
      </c>
      <c r="S927" s="43" t="str">
        <f t="shared" si="130"/>
        <v>*0.95</v>
      </c>
      <c r="U927" s="32" t="s">
        <v>4258</v>
      </c>
      <c r="V927" s="42" t="s">
        <v>57</v>
      </c>
      <c r="W927" s="32">
        <v>2050</v>
      </c>
      <c r="X927" s="43" t="str">
        <f t="shared" si="131"/>
        <v>*0.93</v>
      </c>
      <c r="AC927" s="33" t="s">
        <v>4258</v>
      </c>
      <c r="AD927" s="44" t="s">
        <v>57</v>
      </c>
      <c r="AE927" s="33">
        <v>2035</v>
      </c>
      <c r="AF927" s="45" t="str">
        <f t="shared" si="132"/>
        <v>*0.93</v>
      </c>
      <c r="AG927" s="43" t="str">
        <f t="shared" si="135"/>
        <v>REZoning_Sol-Win</v>
      </c>
      <c r="AI927" s="33" t="s">
        <v>4258</v>
      </c>
      <c r="AJ927" s="44" t="s">
        <v>57</v>
      </c>
      <c r="AK927" s="33">
        <v>2050</v>
      </c>
      <c r="AL927" s="45" t="str">
        <f t="shared" si="133"/>
        <v>*0.9</v>
      </c>
      <c r="AM927" s="43" t="str">
        <f t="shared" si="136"/>
        <v>REZoning_Sol-Win</v>
      </c>
      <c r="AP927" t="s">
        <v>4258</v>
      </c>
      <c r="AQ927" t="s">
        <v>57</v>
      </c>
      <c r="AR927">
        <f t="shared" si="134"/>
        <v>2100</v>
      </c>
      <c r="AS927" t="s">
        <v>897</v>
      </c>
      <c r="AT927" t="s">
        <v>58</v>
      </c>
    </row>
    <row r="928" ht="29" spans="1:46">
      <c r="A928" s="31" t="s">
        <v>73</v>
      </c>
      <c r="C928" t="s">
        <v>4259</v>
      </c>
      <c r="D928" s="5" t="s">
        <v>57</v>
      </c>
      <c r="E928">
        <v>2035</v>
      </c>
      <c r="F928" s="6" t="str">
        <f t="shared" si="128"/>
        <v>*0.95</v>
      </c>
      <c r="H928" t="s">
        <v>4259</v>
      </c>
      <c r="I928" s="5" t="s">
        <v>57</v>
      </c>
      <c r="J928">
        <v>2050</v>
      </c>
      <c r="K928" s="38" t="str">
        <f t="shared" si="129"/>
        <v>*0.93</v>
      </c>
      <c r="P928" s="32" t="s">
        <v>4259</v>
      </c>
      <c r="Q928" s="42" t="s">
        <v>57</v>
      </c>
      <c r="R928" s="32">
        <v>2035</v>
      </c>
      <c r="S928" s="43" t="str">
        <f t="shared" si="130"/>
        <v>*0.95</v>
      </c>
      <c r="U928" s="32" t="s">
        <v>4259</v>
      </c>
      <c r="V928" s="42" t="s">
        <v>57</v>
      </c>
      <c r="W928" s="32">
        <v>2050</v>
      </c>
      <c r="X928" s="43" t="str">
        <f t="shared" si="131"/>
        <v>*0.93</v>
      </c>
      <c r="AC928" s="33" t="s">
        <v>4259</v>
      </c>
      <c r="AD928" s="44" t="s">
        <v>57</v>
      </c>
      <c r="AE928" s="33">
        <v>2035</v>
      </c>
      <c r="AF928" s="45" t="str">
        <f t="shared" si="132"/>
        <v>*0.93</v>
      </c>
      <c r="AG928" s="43" t="str">
        <f t="shared" si="135"/>
        <v>REZoning_Sol-Win</v>
      </c>
      <c r="AI928" s="33" t="s">
        <v>4259</v>
      </c>
      <c r="AJ928" s="44" t="s">
        <v>57</v>
      </c>
      <c r="AK928" s="33">
        <v>2050</v>
      </c>
      <c r="AL928" s="45" t="str">
        <f t="shared" si="133"/>
        <v>*0.9</v>
      </c>
      <c r="AM928" s="43" t="str">
        <f t="shared" si="136"/>
        <v>REZoning_Sol-Win</v>
      </c>
      <c r="AP928" t="s">
        <v>4259</v>
      </c>
      <c r="AQ928" t="s">
        <v>57</v>
      </c>
      <c r="AR928">
        <f t="shared" si="134"/>
        <v>2100</v>
      </c>
      <c r="AS928" t="s">
        <v>897</v>
      </c>
      <c r="AT928" t="s">
        <v>58</v>
      </c>
    </row>
    <row r="929" ht="29" spans="1:46">
      <c r="A929" s="31" t="s">
        <v>73</v>
      </c>
      <c r="C929" t="s">
        <v>4260</v>
      </c>
      <c r="D929" s="5" t="s">
        <v>57</v>
      </c>
      <c r="E929">
        <v>2035</v>
      </c>
      <c r="F929" s="6" t="str">
        <f t="shared" si="128"/>
        <v>*0.95</v>
      </c>
      <c r="H929" t="s">
        <v>4260</v>
      </c>
      <c r="I929" s="5" t="s">
        <v>57</v>
      </c>
      <c r="J929">
        <v>2050</v>
      </c>
      <c r="K929" s="38" t="str">
        <f t="shared" si="129"/>
        <v>*0.93</v>
      </c>
      <c r="P929" s="32" t="s">
        <v>4260</v>
      </c>
      <c r="Q929" s="42" t="s">
        <v>57</v>
      </c>
      <c r="R929" s="32">
        <v>2035</v>
      </c>
      <c r="S929" s="43" t="str">
        <f t="shared" si="130"/>
        <v>*0.95</v>
      </c>
      <c r="U929" s="32" t="s">
        <v>4260</v>
      </c>
      <c r="V929" s="42" t="s">
        <v>57</v>
      </c>
      <c r="W929" s="32">
        <v>2050</v>
      </c>
      <c r="X929" s="43" t="str">
        <f t="shared" si="131"/>
        <v>*0.93</v>
      </c>
      <c r="AC929" s="33" t="s">
        <v>4260</v>
      </c>
      <c r="AD929" s="44" t="s">
        <v>57</v>
      </c>
      <c r="AE929" s="33">
        <v>2035</v>
      </c>
      <c r="AF929" s="45" t="str">
        <f t="shared" si="132"/>
        <v>*0.93</v>
      </c>
      <c r="AG929" s="43" t="str">
        <f t="shared" si="135"/>
        <v>REZoning_Sol-Win</v>
      </c>
      <c r="AI929" s="33" t="s">
        <v>4260</v>
      </c>
      <c r="AJ929" s="44" t="s">
        <v>57</v>
      </c>
      <c r="AK929" s="33">
        <v>2050</v>
      </c>
      <c r="AL929" s="45" t="str">
        <f t="shared" si="133"/>
        <v>*0.9</v>
      </c>
      <c r="AM929" s="43" t="str">
        <f t="shared" si="136"/>
        <v>REZoning_Sol-Win</v>
      </c>
      <c r="AP929" t="s">
        <v>4260</v>
      </c>
      <c r="AQ929" t="s">
        <v>57</v>
      </c>
      <c r="AR929">
        <f t="shared" si="134"/>
        <v>2100</v>
      </c>
      <c r="AS929" t="s">
        <v>897</v>
      </c>
      <c r="AT929" t="s">
        <v>58</v>
      </c>
    </row>
    <row r="930" ht="29" spans="1:46">
      <c r="A930" s="31" t="s">
        <v>65</v>
      </c>
      <c r="C930" t="s">
        <v>4261</v>
      </c>
      <c r="D930" s="5" t="s">
        <v>57</v>
      </c>
      <c r="E930">
        <v>2035</v>
      </c>
      <c r="F930" s="6" t="str">
        <f t="shared" si="128"/>
        <v>*0.94</v>
      </c>
      <c r="H930" t="s">
        <v>4261</v>
      </c>
      <c r="I930" s="5" t="s">
        <v>57</v>
      </c>
      <c r="J930">
        <v>2050</v>
      </c>
      <c r="K930" s="38" t="str">
        <f t="shared" si="129"/>
        <v>*0.91</v>
      </c>
      <c r="P930" s="32" t="s">
        <v>4261</v>
      </c>
      <c r="Q930" s="42" t="s">
        <v>57</v>
      </c>
      <c r="R930" s="32">
        <v>2035</v>
      </c>
      <c r="S930" s="43" t="str">
        <f t="shared" si="130"/>
        <v>*0.93</v>
      </c>
      <c r="U930" s="32" t="s">
        <v>4261</v>
      </c>
      <c r="V930" s="42" t="s">
        <v>57</v>
      </c>
      <c r="W930" s="32">
        <v>2050</v>
      </c>
      <c r="X930" s="43" t="str">
        <f t="shared" si="131"/>
        <v>*0.9</v>
      </c>
      <c r="AC930" s="33" t="s">
        <v>4261</v>
      </c>
      <c r="AD930" s="44" t="s">
        <v>57</v>
      </c>
      <c r="AE930" s="33">
        <v>2035</v>
      </c>
      <c r="AF930" s="45" t="str">
        <f t="shared" si="132"/>
        <v>*0.9</v>
      </c>
      <c r="AG930" s="43" t="str">
        <f t="shared" si="135"/>
        <v>REZoning_Sol-Win</v>
      </c>
      <c r="AI930" s="33" t="s">
        <v>4261</v>
      </c>
      <c r="AJ930" s="44" t="s">
        <v>57</v>
      </c>
      <c r="AK930" s="33">
        <v>2050</v>
      </c>
      <c r="AL930" s="45" t="str">
        <f t="shared" si="133"/>
        <v>*0.86</v>
      </c>
      <c r="AM930" s="43" t="str">
        <f t="shared" si="136"/>
        <v>REZoning_Sol-Win</v>
      </c>
      <c r="AP930" t="s">
        <v>4261</v>
      </c>
      <c r="AQ930" t="s">
        <v>57</v>
      </c>
      <c r="AR930">
        <f t="shared" si="134"/>
        <v>2100</v>
      </c>
      <c r="AS930" t="s">
        <v>883</v>
      </c>
      <c r="AT930" t="s">
        <v>58</v>
      </c>
    </row>
    <row r="931" ht="29" spans="1:46">
      <c r="A931" s="31" t="s">
        <v>65</v>
      </c>
      <c r="C931" t="s">
        <v>4262</v>
      </c>
      <c r="D931" s="5" t="s">
        <v>57</v>
      </c>
      <c r="E931">
        <v>2035</v>
      </c>
      <c r="F931" s="6" t="str">
        <f t="shared" si="128"/>
        <v>*0.94</v>
      </c>
      <c r="H931" t="s">
        <v>4262</v>
      </c>
      <c r="I931" s="5" t="s">
        <v>57</v>
      </c>
      <c r="J931">
        <v>2050</v>
      </c>
      <c r="K931" s="38" t="str">
        <f t="shared" si="129"/>
        <v>*0.91</v>
      </c>
      <c r="P931" s="32" t="s">
        <v>4262</v>
      </c>
      <c r="Q931" s="42" t="s">
        <v>57</v>
      </c>
      <c r="R931" s="32">
        <v>2035</v>
      </c>
      <c r="S931" s="43" t="str">
        <f t="shared" si="130"/>
        <v>*0.93</v>
      </c>
      <c r="U931" s="32" t="s">
        <v>4262</v>
      </c>
      <c r="V931" s="42" t="s">
        <v>57</v>
      </c>
      <c r="W931" s="32">
        <v>2050</v>
      </c>
      <c r="X931" s="43" t="str">
        <f t="shared" si="131"/>
        <v>*0.9</v>
      </c>
      <c r="AC931" s="33" t="s">
        <v>4262</v>
      </c>
      <c r="AD931" s="44" t="s">
        <v>57</v>
      </c>
      <c r="AE931" s="33">
        <v>2035</v>
      </c>
      <c r="AF931" s="45" t="str">
        <f t="shared" si="132"/>
        <v>*0.9</v>
      </c>
      <c r="AG931" s="43" t="str">
        <f t="shared" si="135"/>
        <v>REZoning_Sol-Win</v>
      </c>
      <c r="AI931" s="33" t="s">
        <v>4262</v>
      </c>
      <c r="AJ931" s="44" t="s">
        <v>57</v>
      </c>
      <c r="AK931" s="33">
        <v>2050</v>
      </c>
      <c r="AL931" s="45" t="str">
        <f t="shared" si="133"/>
        <v>*0.86</v>
      </c>
      <c r="AM931" s="43" t="str">
        <f t="shared" si="136"/>
        <v>REZoning_Sol-Win</v>
      </c>
      <c r="AP931" t="s">
        <v>4262</v>
      </c>
      <c r="AQ931" t="s">
        <v>57</v>
      </c>
      <c r="AR931">
        <f t="shared" si="134"/>
        <v>2100</v>
      </c>
      <c r="AS931" t="s">
        <v>883</v>
      </c>
      <c r="AT931" t="s">
        <v>58</v>
      </c>
    </row>
    <row r="932" ht="29" spans="1:46">
      <c r="A932" s="31" t="s">
        <v>65</v>
      </c>
      <c r="C932" t="s">
        <v>4263</v>
      </c>
      <c r="D932" s="5" t="s">
        <v>57</v>
      </c>
      <c r="E932">
        <v>2035</v>
      </c>
      <c r="F932" s="6" t="str">
        <f t="shared" si="128"/>
        <v>*0.94</v>
      </c>
      <c r="H932" t="s">
        <v>4263</v>
      </c>
      <c r="I932" s="5" t="s">
        <v>57</v>
      </c>
      <c r="J932">
        <v>2050</v>
      </c>
      <c r="K932" s="38" t="str">
        <f t="shared" si="129"/>
        <v>*0.91</v>
      </c>
      <c r="P932" s="32" t="s">
        <v>4263</v>
      </c>
      <c r="Q932" s="42" t="s">
        <v>57</v>
      </c>
      <c r="R932" s="32">
        <v>2035</v>
      </c>
      <c r="S932" s="43" t="str">
        <f t="shared" si="130"/>
        <v>*0.93</v>
      </c>
      <c r="U932" s="32" t="s">
        <v>4263</v>
      </c>
      <c r="V932" s="42" t="s">
        <v>57</v>
      </c>
      <c r="W932" s="32">
        <v>2050</v>
      </c>
      <c r="X932" s="43" t="str">
        <f t="shared" si="131"/>
        <v>*0.9</v>
      </c>
      <c r="AC932" s="33" t="s">
        <v>4263</v>
      </c>
      <c r="AD932" s="44" t="s">
        <v>57</v>
      </c>
      <c r="AE932" s="33">
        <v>2035</v>
      </c>
      <c r="AF932" s="45" t="str">
        <f t="shared" si="132"/>
        <v>*0.9</v>
      </c>
      <c r="AG932" s="43" t="str">
        <f t="shared" si="135"/>
        <v>REZoning_Sol-Win</v>
      </c>
      <c r="AI932" s="33" t="s">
        <v>4263</v>
      </c>
      <c r="AJ932" s="44" t="s">
        <v>57</v>
      </c>
      <c r="AK932" s="33">
        <v>2050</v>
      </c>
      <c r="AL932" s="45" t="str">
        <f t="shared" si="133"/>
        <v>*0.86</v>
      </c>
      <c r="AM932" s="43" t="str">
        <f t="shared" si="136"/>
        <v>REZoning_Sol-Win</v>
      </c>
      <c r="AP932" t="s">
        <v>4263</v>
      </c>
      <c r="AQ932" t="s">
        <v>57</v>
      </c>
      <c r="AR932">
        <f t="shared" si="134"/>
        <v>2100</v>
      </c>
      <c r="AS932" t="s">
        <v>883</v>
      </c>
      <c r="AT932" t="s">
        <v>58</v>
      </c>
    </row>
    <row r="933" ht="29" spans="1:46">
      <c r="A933" s="31" t="s">
        <v>65</v>
      </c>
      <c r="C933" t="s">
        <v>4264</v>
      </c>
      <c r="D933" s="5" t="s">
        <v>57</v>
      </c>
      <c r="E933">
        <v>2035</v>
      </c>
      <c r="F933" s="6" t="str">
        <f t="shared" si="128"/>
        <v>*0.94</v>
      </c>
      <c r="H933" t="s">
        <v>4264</v>
      </c>
      <c r="I933" s="5" t="s">
        <v>57</v>
      </c>
      <c r="J933">
        <v>2050</v>
      </c>
      <c r="K933" s="38" t="str">
        <f t="shared" si="129"/>
        <v>*0.91</v>
      </c>
      <c r="P933" s="32" t="s">
        <v>4264</v>
      </c>
      <c r="Q933" s="42" t="s">
        <v>57</v>
      </c>
      <c r="R933" s="32">
        <v>2035</v>
      </c>
      <c r="S933" s="43" t="str">
        <f t="shared" si="130"/>
        <v>*0.93</v>
      </c>
      <c r="U933" s="32" t="s">
        <v>4264</v>
      </c>
      <c r="V933" s="42" t="s">
        <v>57</v>
      </c>
      <c r="W933" s="32">
        <v>2050</v>
      </c>
      <c r="X933" s="43" t="str">
        <f t="shared" si="131"/>
        <v>*0.9</v>
      </c>
      <c r="AC933" s="33" t="s">
        <v>4264</v>
      </c>
      <c r="AD933" s="44" t="s">
        <v>57</v>
      </c>
      <c r="AE933" s="33">
        <v>2035</v>
      </c>
      <c r="AF933" s="45" t="str">
        <f t="shared" si="132"/>
        <v>*0.9</v>
      </c>
      <c r="AG933" s="43" t="str">
        <f t="shared" si="135"/>
        <v>REZoning_Sol-Win</v>
      </c>
      <c r="AI933" s="33" t="s">
        <v>4264</v>
      </c>
      <c r="AJ933" s="44" t="s">
        <v>57</v>
      </c>
      <c r="AK933" s="33">
        <v>2050</v>
      </c>
      <c r="AL933" s="45" t="str">
        <f t="shared" si="133"/>
        <v>*0.86</v>
      </c>
      <c r="AM933" s="43" t="str">
        <f t="shared" si="136"/>
        <v>REZoning_Sol-Win</v>
      </c>
      <c r="AP933" t="s">
        <v>4264</v>
      </c>
      <c r="AQ933" t="s">
        <v>57</v>
      </c>
      <c r="AR933">
        <f t="shared" si="134"/>
        <v>2100</v>
      </c>
      <c r="AS933" t="s">
        <v>883</v>
      </c>
      <c r="AT933" t="s">
        <v>58</v>
      </c>
    </row>
    <row r="934" ht="29" spans="1:46">
      <c r="A934" s="31" t="s">
        <v>65</v>
      </c>
      <c r="C934" t="s">
        <v>4265</v>
      </c>
      <c r="D934" s="5" t="s">
        <v>57</v>
      </c>
      <c r="E934">
        <v>2035</v>
      </c>
      <c r="F934" s="6" t="str">
        <f t="shared" si="128"/>
        <v>*0.94</v>
      </c>
      <c r="H934" t="s">
        <v>4265</v>
      </c>
      <c r="I934" s="5" t="s">
        <v>57</v>
      </c>
      <c r="J934">
        <v>2050</v>
      </c>
      <c r="K934" s="38" t="str">
        <f t="shared" si="129"/>
        <v>*0.91</v>
      </c>
      <c r="P934" s="32" t="s">
        <v>4265</v>
      </c>
      <c r="Q934" s="42" t="s">
        <v>57</v>
      </c>
      <c r="R934" s="32">
        <v>2035</v>
      </c>
      <c r="S934" s="43" t="str">
        <f t="shared" si="130"/>
        <v>*0.93</v>
      </c>
      <c r="U934" s="32" t="s">
        <v>4265</v>
      </c>
      <c r="V934" s="42" t="s">
        <v>57</v>
      </c>
      <c r="W934" s="32">
        <v>2050</v>
      </c>
      <c r="X934" s="43" t="str">
        <f t="shared" si="131"/>
        <v>*0.9</v>
      </c>
      <c r="AC934" s="33" t="s">
        <v>4265</v>
      </c>
      <c r="AD934" s="44" t="s">
        <v>57</v>
      </c>
      <c r="AE934" s="33">
        <v>2035</v>
      </c>
      <c r="AF934" s="45" t="str">
        <f t="shared" si="132"/>
        <v>*0.9</v>
      </c>
      <c r="AG934" s="43" t="str">
        <f t="shared" si="135"/>
        <v>REZoning_Sol-Win</v>
      </c>
      <c r="AI934" s="33" t="s">
        <v>4265</v>
      </c>
      <c r="AJ934" s="44" t="s">
        <v>57</v>
      </c>
      <c r="AK934" s="33">
        <v>2050</v>
      </c>
      <c r="AL934" s="45" t="str">
        <f t="shared" si="133"/>
        <v>*0.86</v>
      </c>
      <c r="AM934" s="43" t="str">
        <f t="shared" si="136"/>
        <v>REZoning_Sol-Win</v>
      </c>
      <c r="AP934" t="s">
        <v>4265</v>
      </c>
      <c r="AQ934" t="s">
        <v>57</v>
      </c>
      <c r="AR934">
        <f t="shared" si="134"/>
        <v>2100</v>
      </c>
      <c r="AS934" t="s">
        <v>883</v>
      </c>
      <c r="AT934" t="s">
        <v>58</v>
      </c>
    </row>
    <row r="935" ht="29" spans="1:46">
      <c r="A935" s="31" t="s">
        <v>65</v>
      </c>
      <c r="C935" t="s">
        <v>4266</v>
      </c>
      <c r="D935" s="5" t="s">
        <v>57</v>
      </c>
      <c r="E935">
        <v>2035</v>
      </c>
      <c r="F935" s="6" t="str">
        <f t="shared" si="128"/>
        <v>*0.94</v>
      </c>
      <c r="H935" t="s">
        <v>4266</v>
      </c>
      <c r="I935" s="5" t="s">
        <v>57</v>
      </c>
      <c r="J935">
        <v>2050</v>
      </c>
      <c r="K935" s="38" t="str">
        <f t="shared" si="129"/>
        <v>*0.91</v>
      </c>
      <c r="P935" s="32" t="s">
        <v>4266</v>
      </c>
      <c r="Q935" s="42" t="s">
        <v>57</v>
      </c>
      <c r="R935" s="32">
        <v>2035</v>
      </c>
      <c r="S935" s="43" t="str">
        <f t="shared" si="130"/>
        <v>*0.93</v>
      </c>
      <c r="U935" s="32" t="s">
        <v>4266</v>
      </c>
      <c r="V935" s="42" t="s">
        <v>57</v>
      </c>
      <c r="W935" s="32">
        <v>2050</v>
      </c>
      <c r="X935" s="43" t="str">
        <f t="shared" si="131"/>
        <v>*0.9</v>
      </c>
      <c r="AC935" s="33" t="s">
        <v>4266</v>
      </c>
      <c r="AD935" s="44" t="s">
        <v>57</v>
      </c>
      <c r="AE935" s="33">
        <v>2035</v>
      </c>
      <c r="AF935" s="45" t="str">
        <f t="shared" si="132"/>
        <v>*0.9</v>
      </c>
      <c r="AG935" s="43" t="str">
        <f t="shared" si="135"/>
        <v>REZoning_Sol-Win</v>
      </c>
      <c r="AI935" s="33" t="s">
        <v>4266</v>
      </c>
      <c r="AJ935" s="44" t="s">
        <v>57</v>
      </c>
      <c r="AK935" s="33">
        <v>2050</v>
      </c>
      <c r="AL935" s="45" t="str">
        <f t="shared" si="133"/>
        <v>*0.86</v>
      </c>
      <c r="AM935" s="43" t="str">
        <f t="shared" si="136"/>
        <v>REZoning_Sol-Win</v>
      </c>
      <c r="AP935" t="s">
        <v>4266</v>
      </c>
      <c r="AQ935" t="s">
        <v>57</v>
      </c>
      <c r="AR935">
        <f t="shared" si="134"/>
        <v>2100</v>
      </c>
      <c r="AS935" t="s">
        <v>883</v>
      </c>
      <c r="AT935" t="s">
        <v>58</v>
      </c>
    </row>
    <row r="936" ht="29" spans="1:46">
      <c r="A936" s="31" t="s">
        <v>65</v>
      </c>
      <c r="C936" t="s">
        <v>4267</v>
      </c>
      <c r="D936" s="5" t="s">
        <v>57</v>
      </c>
      <c r="E936">
        <v>2035</v>
      </c>
      <c r="F936" s="6" t="str">
        <f t="shared" si="128"/>
        <v>*0.94</v>
      </c>
      <c r="H936" t="s">
        <v>4267</v>
      </c>
      <c r="I936" s="5" t="s">
        <v>57</v>
      </c>
      <c r="J936">
        <v>2050</v>
      </c>
      <c r="K936" s="38" t="str">
        <f t="shared" si="129"/>
        <v>*0.91</v>
      </c>
      <c r="P936" s="32" t="s">
        <v>4267</v>
      </c>
      <c r="Q936" s="42" t="s">
        <v>57</v>
      </c>
      <c r="R936" s="32">
        <v>2035</v>
      </c>
      <c r="S936" s="43" t="str">
        <f t="shared" si="130"/>
        <v>*0.93</v>
      </c>
      <c r="U936" s="32" t="s">
        <v>4267</v>
      </c>
      <c r="V936" s="42" t="s">
        <v>57</v>
      </c>
      <c r="W936" s="32">
        <v>2050</v>
      </c>
      <c r="X936" s="43" t="str">
        <f t="shared" si="131"/>
        <v>*0.9</v>
      </c>
      <c r="AC936" s="33" t="s">
        <v>4267</v>
      </c>
      <c r="AD936" s="44" t="s">
        <v>57</v>
      </c>
      <c r="AE936" s="33">
        <v>2035</v>
      </c>
      <c r="AF936" s="45" t="str">
        <f t="shared" si="132"/>
        <v>*0.9</v>
      </c>
      <c r="AG936" s="43" t="str">
        <f t="shared" si="135"/>
        <v>REZoning_Sol-Win</v>
      </c>
      <c r="AI936" s="33" t="s">
        <v>4267</v>
      </c>
      <c r="AJ936" s="44" t="s">
        <v>57</v>
      </c>
      <c r="AK936" s="33">
        <v>2050</v>
      </c>
      <c r="AL936" s="45" t="str">
        <f t="shared" si="133"/>
        <v>*0.86</v>
      </c>
      <c r="AM936" s="43" t="str">
        <f t="shared" si="136"/>
        <v>REZoning_Sol-Win</v>
      </c>
      <c r="AP936" t="s">
        <v>4267</v>
      </c>
      <c r="AQ936" t="s">
        <v>57</v>
      </c>
      <c r="AR936">
        <f t="shared" si="134"/>
        <v>2100</v>
      </c>
      <c r="AS936" t="s">
        <v>883</v>
      </c>
      <c r="AT936" t="s">
        <v>58</v>
      </c>
    </row>
    <row r="937" ht="29" spans="1:46">
      <c r="A937" s="31" t="s">
        <v>65</v>
      </c>
      <c r="C937" t="s">
        <v>4268</v>
      </c>
      <c r="D937" s="5" t="s">
        <v>57</v>
      </c>
      <c r="E937">
        <v>2035</v>
      </c>
      <c r="F937" s="6" t="str">
        <f t="shared" si="128"/>
        <v>*0.94</v>
      </c>
      <c r="H937" t="s">
        <v>4268</v>
      </c>
      <c r="I937" s="5" t="s">
        <v>57</v>
      </c>
      <c r="J937">
        <v>2050</v>
      </c>
      <c r="K937" s="38" t="str">
        <f t="shared" si="129"/>
        <v>*0.91</v>
      </c>
      <c r="P937" s="32" t="s">
        <v>4268</v>
      </c>
      <c r="Q937" s="42" t="s">
        <v>57</v>
      </c>
      <c r="R937" s="32">
        <v>2035</v>
      </c>
      <c r="S937" s="43" t="str">
        <f t="shared" si="130"/>
        <v>*0.93</v>
      </c>
      <c r="U937" s="32" t="s">
        <v>4268</v>
      </c>
      <c r="V937" s="42" t="s">
        <v>57</v>
      </c>
      <c r="W937" s="32">
        <v>2050</v>
      </c>
      <c r="X937" s="43" t="str">
        <f t="shared" si="131"/>
        <v>*0.9</v>
      </c>
      <c r="AC937" s="33" t="s">
        <v>4268</v>
      </c>
      <c r="AD937" s="44" t="s">
        <v>57</v>
      </c>
      <c r="AE937" s="33">
        <v>2035</v>
      </c>
      <c r="AF937" s="45" t="str">
        <f t="shared" si="132"/>
        <v>*0.9</v>
      </c>
      <c r="AG937" s="43" t="str">
        <f t="shared" si="135"/>
        <v>REZoning_Sol-Win</v>
      </c>
      <c r="AI937" s="33" t="s">
        <v>4268</v>
      </c>
      <c r="AJ937" s="44" t="s">
        <v>57</v>
      </c>
      <c r="AK937" s="33">
        <v>2050</v>
      </c>
      <c r="AL937" s="45" t="str">
        <f t="shared" si="133"/>
        <v>*0.86</v>
      </c>
      <c r="AM937" s="43" t="str">
        <f t="shared" si="136"/>
        <v>REZoning_Sol-Win</v>
      </c>
      <c r="AP937" t="s">
        <v>4268</v>
      </c>
      <c r="AQ937" t="s">
        <v>57</v>
      </c>
      <c r="AR937">
        <f t="shared" si="134"/>
        <v>2100</v>
      </c>
      <c r="AS937" t="s">
        <v>883</v>
      </c>
      <c r="AT937" t="s">
        <v>58</v>
      </c>
    </row>
    <row r="938" ht="29" spans="1:46">
      <c r="A938" s="31" t="s">
        <v>79</v>
      </c>
      <c r="C938" t="s">
        <v>4269</v>
      </c>
      <c r="D938" s="5" t="s">
        <v>57</v>
      </c>
      <c r="E938">
        <v>2035</v>
      </c>
      <c r="F938" s="6" t="str">
        <f t="shared" si="128"/>
        <v>*0.94</v>
      </c>
      <c r="H938" t="s">
        <v>4269</v>
      </c>
      <c r="I938" s="5" t="s">
        <v>57</v>
      </c>
      <c r="J938">
        <v>2050</v>
      </c>
      <c r="K938" s="38" t="str">
        <f t="shared" si="129"/>
        <v>*0.9</v>
      </c>
      <c r="P938" s="32" t="s">
        <v>4269</v>
      </c>
      <c r="Q938" s="42" t="s">
        <v>57</v>
      </c>
      <c r="R938" s="32">
        <v>2035</v>
      </c>
      <c r="S938" s="43" t="str">
        <f t="shared" si="130"/>
        <v>*0.92</v>
      </c>
      <c r="U938" s="32" t="s">
        <v>4269</v>
      </c>
      <c r="V938" s="42" t="s">
        <v>57</v>
      </c>
      <c r="W938" s="32">
        <v>2050</v>
      </c>
      <c r="X938" s="43" t="str">
        <f t="shared" si="131"/>
        <v>*0.89</v>
      </c>
      <c r="AC938" s="33" t="s">
        <v>4269</v>
      </c>
      <c r="AD938" s="44" t="s">
        <v>57</v>
      </c>
      <c r="AE938" s="33">
        <v>2035</v>
      </c>
      <c r="AF938" s="45" t="str">
        <f t="shared" si="132"/>
        <v>*0.89</v>
      </c>
      <c r="AG938" s="43" t="str">
        <f t="shared" si="135"/>
        <v>REZoning_Sol-Win</v>
      </c>
      <c r="AI938" s="33" t="s">
        <v>4269</v>
      </c>
      <c r="AJ938" s="44" t="s">
        <v>57</v>
      </c>
      <c r="AK938" s="33">
        <v>2050</v>
      </c>
      <c r="AL938" s="45" t="str">
        <f t="shared" si="133"/>
        <v>*0.84</v>
      </c>
      <c r="AM938" s="43" t="str">
        <f t="shared" si="136"/>
        <v>REZoning_Sol-Win</v>
      </c>
      <c r="AP938" t="s">
        <v>4269</v>
      </c>
      <c r="AQ938" t="s">
        <v>57</v>
      </c>
      <c r="AR938">
        <f t="shared" si="134"/>
        <v>2100</v>
      </c>
      <c r="AS938" t="s">
        <v>919</v>
      </c>
      <c r="AT938" t="s">
        <v>58</v>
      </c>
    </row>
    <row r="939" ht="29" spans="1:46">
      <c r="A939" s="31" t="s">
        <v>169</v>
      </c>
      <c r="C939" t="s">
        <v>4270</v>
      </c>
      <c r="D939" s="5" t="s">
        <v>57</v>
      </c>
      <c r="E939">
        <v>2035</v>
      </c>
      <c r="F939" s="6" t="str">
        <f t="shared" si="128"/>
        <v>*0.94</v>
      </c>
      <c r="H939" t="s">
        <v>4270</v>
      </c>
      <c r="I939" s="5" t="s">
        <v>57</v>
      </c>
      <c r="J939">
        <v>2050</v>
      </c>
      <c r="K939" s="38" t="str">
        <f t="shared" si="129"/>
        <v>*0.92</v>
      </c>
      <c r="P939" s="32" t="s">
        <v>4270</v>
      </c>
      <c r="Q939" s="42" t="s">
        <v>57</v>
      </c>
      <c r="R939" s="32">
        <v>2035</v>
      </c>
      <c r="S939" s="43" t="str">
        <f t="shared" si="130"/>
        <v>*0.93</v>
      </c>
      <c r="U939" s="32" t="s">
        <v>4270</v>
      </c>
      <c r="V939" s="42" t="s">
        <v>57</v>
      </c>
      <c r="W939" s="32">
        <v>2050</v>
      </c>
      <c r="X939" s="43" t="str">
        <f t="shared" si="131"/>
        <v>*0.92</v>
      </c>
      <c r="AC939" s="33" t="s">
        <v>4270</v>
      </c>
      <c r="AD939" s="44" t="s">
        <v>57</v>
      </c>
      <c r="AE939" s="33">
        <v>2035</v>
      </c>
      <c r="AF939" s="45" t="str">
        <f t="shared" si="132"/>
        <v>*0.91</v>
      </c>
      <c r="AG939" s="43" t="str">
        <f t="shared" si="135"/>
        <v>REZoning_Sol-Win</v>
      </c>
      <c r="AI939" s="33" t="s">
        <v>4270</v>
      </c>
      <c r="AJ939" s="44" t="s">
        <v>57</v>
      </c>
      <c r="AK939" s="33">
        <v>2050</v>
      </c>
      <c r="AL939" s="45" t="str">
        <f t="shared" si="133"/>
        <v>*0.87</v>
      </c>
      <c r="AM939" s="43" t="str">
        <f t="shared" si="136"/>
        <v>REZoning_Sol-Win</v>
      </c>
      <c r="AP939" t="s">
        <v>4270</v>
      </c>
      <c r="AQ939" t="s">
        <v>57</v>
      </c>
      <c r="AR939">
        <f t="shared" si="134"/>
        <v>2100</v>
      </c>
      <c r="AS939" t="s">
        <v>874</v>
      </c>
      <c r="AT939" t="s">
        <v>58</v>
      </c>
    </row>
    <row r="940" ht="29" spans="1:46">
      <c r="A940" s="31" t="s">
        <v>169</v>
      </c>
      <c r="C940" t="s">
        <v>4271</v>
      </c>
      <c r="D940" s="5" t="s">
        <v>57</v>
      </c>
      <c r="E940">
        <v>2035</v>
      </c>
      <c r="F940" s="6" t="str">
        <f t="shared" si="128"/>
        <v>*0.94</v>
      </c>
      <c r="H940" t="s">
        <v>4271</v>
      </c>
      <c r="I940" s="5" t="s">
        <v>57</v>
      </c>
      <c r="J940">
        <v>2050</v>
      </c>
      <c r="K940" s="38" t="str">
        <f t="shared" si="129"/>
        <v>*0.92</v>
      </c>
      <c r="P940" s="32" t="s">
        <v>4271</v>
      </c>
      <c r="Q940" s="42" t="s">
        <v>57</v>
      </c>
      <c r="R940" s="32">
        <v>2035</v>
      </c>
      <c r="S940" s="43" t="str">
        <f t="shared" si="130"/>
        <v>*0.93</v>
      </c>
      <c r="U940" s="32" t="s">
        <v>4271</v>
      </c>
      <c r="V940" s="42" t="s">
        <v>57</v>
      </c>
      <c r="W940" s="32">
        <v>2050</v>
      </c>
      <c r="X940" s="43" t="str">
        <f t="shared" si="131"/>
        <v>*0.92</v>
      </c>
      <c r="AC940" s="33" t="s">
        <v>4271</v>
      </c>
      <c r="AD940" s="44" t="s">
        <v>57</v>
      </c>
      <c r="AE940" s="33">
        <v>2035</v>
      </c>
      <c r="AF940" s="45" t="str">
        <f t="shared" si="132"/>
        <v>*0.91</v>
      </c>
      <c r="AG940" s="43" t="str">
        <f t="shared" si="135"/>
        <v>REZoning_Sol-Win</v>
      </c>
      <c r="AI940" s="33" t="s">
        <v>4271</v>
      </c>
      <c r="AJ940" s="44" t="s">
        <v>57</v>
      </c>
      <c r="AK940" s="33">
        <v>2050</v>
      </c>
      <c r="AL940" s="45" t="str">
        <f t="shared" si="133"/>
        <v>*0.87</v>
      </c>
      <c r="AM940" s="43" t="str">
        <f t="shared" si="136"/>
        <v>REZoning_Sol-Win</v>
      </c>
      <c r="AP940" t="s">
        <v>4271</v>
      </c>
      <c r="AQ940" t="s">
        <v>57</v>
      </c>
      <c r="AR940">
        <f t="shared" si="134"/>
        <v>2100</v>
      </c>
      <c r="AS940" t="s">
        <v>874</v>
      </c>
      <c r="AT940" t="s">
        <v>58</v>
      </c>
    </row>
    <row r="941" ht="29" spans="1:46">
      <c r="A941" s="31" t="s">
        <v>169</v>
      </c>
      <c r="C941" t="s">
        <v>4272</v>
      </c>
      <c r="D941" s="5" t="s">
        <v>57</v>
      </c>
      <c r="E941">
        <v>2035</v>
      </c>
      <c r="F941" s="6" t="str">
        <f t="shared" si="128"/>
        <v>*0.94</v>
      </c>
      <c r="H941" t="s">
        <v>4272</v>
      </c>
      <c r="I941" s="5" t="s">
        <v>57</v>
      </c>
      <c r="J941">
        <v>2050</v>
      </c>
      <c r="K941" s="38" t="str">
        <f t="shared" si="129"/>
        <v>*0.92</v>
      </c>
      <c r="P941" s="32" t="s">
        <v>4272</v>
      </c>
      <c r="Q941" s="42" t="s">
        <v>57</v>
      </c>
      <c r="R941" s="32">
        <v>2035</v>
      </c>
      <c r="S941" s="43" t="str">
        <f t="shared" si="130"/>
        <v>*0.93</v>
      </c>
      <c r="U941" s="32" t="s">
        <v>4272</v>
      </c>
      <c r="V941" s="42" t="s">
        <v>57</v>
      </c>
      <c r="W941" s="32">
        <v>2050</v>
      </c>
      <c r="X941" s="43" t="str">
        <f t="shared" si="131"/>
        <v>*0.92</v>
      </c>
      <c r="AC941" s="33" t="s">
        <v>4272</v>
      </c>
      <c r="AD941" s="44" t="s">
        <v>57</v>
      </c>
      <c r="AE941" s="33">
        <v>2035</v>
      </c>
      <c r="AF941" s="45" t="str">
        <f t="shared" si="132"/>
        <v>*0.91</v>
      </c>
      <c r="AG941" s="43" t="str">
        <f t="shared" si="135"/>
        <v>REZoning_Sol-Win</v>
      </c>
      <c r="AI941" s="33" t="s">
        <v>4272</v>
      </c>
      <c r="AJ941" s="44" t="s">
        <v>57</v>
      </c>
      <c r="AK941" s="33">
        <v>2050</v>
      </c>
      <c r="AL941" s="45" t="str">
        <f t="shared" si="133"/>
        <v>*0.87</v>
      </c>
      <c r="AM941" s="43" t="str">
        <f t="shared" si="136"/>
        <v>REZoning_Sol-Win</v>
      </c>
      <c r="AP941" t="s">
        <v>4272</v>
      </c>
      <c r="AQ941" t="s">
        <v>57</v>
      </c>
      <c r="AR941">
        <f t="shared" si="134"/>
        <v>2100</v>
      </c>
      <c r="AS941" t="s">
        <v>874</v>
      </c>
      <c r="AT941" t="s">
        <v>58</v>
      </c>
    </row>
    <row r="942" ht="29" spans="1:46">
      <c r="A942" s="31" t="s">
        <v>169</v>
      </c>
      <c r="C942" t="s">
        <v>4273</v>
      </c>
      <c r="D942" s="5" t="s">
        <v>57</v>
      </c>
      <c r="E942">
        <v>2035</v>
      </c>
      <c r="F942" s="6" t="str">
        <f t="shared" si="128"/>
        <v>*0.94</v>
      </c>
      <c r="H942" t="s">
        <v>4273</v>
      </c>
      <c r="I942" s="5" t="s">
        <v>57</v>
      </c>
      <c r="J942">
        <v>2050</v>
      </c>
      <c r="K942" s="38" t="str">
        <f t="shared" si="129"/>
        <v>*0.92</v>
      </c>
      <c r="P942" s="32" t="s">
        <v>4273</v>
      </c>
      <c r="Q942" s="42" t="s">
        <v>57</v>
      </c>
      <c r="R942" s="32">
        <v>2035</v>
      </c>
      <c r="S942" s="43" t="str">
        <f t="shared" si="130"/>
        <v>*0.93</v>
      </c>
      <c r="U942" s="32" t="s">
        <v>4273</v>
      </c>
      <c r="V942" s="42" t="s">
        <v>57</v>
      </c>
      <c r="W942" s="32">
        <v>2050</v>
      </c>
      <c r="X942" s="43" t="str">
        <f t="shared" si="131"/>
        <v>*0.92</v>
      </c>
      <c r="AC942" s="33" t="s">
        <v>4273</v>
      </c>
      <c r="AD942" s="44" t="s">
        <v>57</v>
      </c>
      <c r="AE942" s="33">
        <v>2035</v>
      </c>
      <c r="AF942" s="45" t="str">
        <f t="shared" si="132"/>
        <v>*0.91</v>
      </c>
      <c r="AG942" s="43" t="str">
        <f t="shared" si="135"/>
        <v>REZoning_Sol-Win</v>
      </c>
      <c r="AI942" s="33" t="s">
        <v>4273</v>
      </c>
      <c r="AJ942" s="44" t="s">
        <v>57</v>
      </c>
      <c r="AK942" s="33">
        <v>2050</v>
      </c>
      <c r="AL942" s="45" t="str">
        <f t="shared" si="133"/>
        <v>*0.87</v>
      </c>
      <c r="AM942" s="43" t="str">
        <f t="shared" si="136"/>
        <v>REZoning_Sol-Win</v>
      </c>
      <c r="AP942" t="s">
        <v>4273</v>
      </c>
      <c r="AQ942" t="s">
        <v>57</v>
      </c>
      <c r="AR942">
        <f t="shared" si="134"/>
        <v>2100</v>
      </c>
      <c r="AS942" t="s">
        <v>874</v>
      </c>
      <c r="AT942" t="s">
        <v>58</v>
      </c>
    </row>
    <row r="943" ht="29" spans="1:46">
      <c r="A943" s="31" t="s">
        <v>169</v>
      </c>
      <c r="C943" t="s">
        <v>4274</v>
      </c>
      <c r="D943" s="5" t="s">
        <v>57</v>
      </c>
      <c r="E943">
        <v>2035</v>
      </c>
      <c r="F943" s="6" t="str">
        <f t="shared" si="128"/>
        <v>*0.94</v>
      </c>
      <c r="H943" t="s">
        <v>4274</v>
      </c>
      <c r="I943" s="5" t="s">
        <v>57</v>
      </c>
      <c r="J943">
        <v>2050</v>
      </c>
      <c r="K943" s="38" t="str">
        <f t="shared" si="129"/>
        <v>*0.92</v>
      </c>
      <c r="P943" s="32" t="s">
        <v>4274</v>
      </c>
      <c r="Q943" s="42" t="s">
        <v>57</v>
      </c>
      <c r="R943" s="32">
        <v>2035</v>
      </c>
      <c r="S943" s="43" t="str">
        <f t="shared" si="130"/>
        <v>*0.93</v>
      </c>
      <c r="U943" s="32" t="s">
        <v>4274</v>
      </c>
      <c r="V943" s="42" t="s">
        <v>57</v>
      </c>
      <c r="W943" s="32">
        <v>2050</v>
      </c>
      <c r="X943" s="43" t="str">
        <f t="shared" si="131"/>
        <v>*0.92</v>
      </c>
      <c r="AC943" s="33" t="s">
        <v>4274</v>
      </c>
      <c r="AD943" s="44" t="s">
        <v>57</v>
      </c>
      <c r="AE943" s="33">
        <v>2035</v>
      </c>
      <c r="AF943" s="45" t="str">
        <f t="shared" si="132"/>
        <v>*0.91</v>
      </c>
      <c r="AG943" s="43" t="str">
        <f t="shared" si="135"/>
        <v>REZoning_Sol-Win</v>
      </c>
      <c r="AI943" s="33" t="s">
        <v>4274</v>
      </c>
      <c r="AJ943" s="44" t="s">
        <v>57</v>
      </c>
      <c r="AK943" s="33">
        <v>2050</v>
      </c>
      <c r="AL943" s="45" t="str">
        <f t="shared" si="133"/>
        <v>*0.87</v>
      </c>
      <c r="AM943" s="43" t="str">
        <f t="shared" si="136"/>
        <v>REZoning_Sol-Win</v>
      </c>
      <c r="AP943" t="s">
        <v>4274</v>
      </c>
      <c r="AQ943" t="s">
        <v>57</v>
      </c>
      <c r="AR943">
        <f t="shared" si="134"/>
        <v>2100</v>
      </c>
      <c r="AS943" t="s">
        <v>874</v>
      </c>
      <c r="AT943" t="s">
        <v>58</v>
      </c>
    </row>
    <row r="944" ht="29" spans="1:46">
      <c r="A944" s="31" t="s">
        <v>83</v>
      </c>
      <c r="C944" t="s">
        <v>4275</v>
      </c>
      <c r="D944" s="5" t="s">
        <v>57</v>
      </c>
      <c r="E944">
        <v>2035</v>
      </c>
      <c r="F944" s="6" t="str">
        <f t="shared" si="128"/>
        <v>*0.95</v>
      </c>
      <c r="H944" t="s">
        <v>4275</v>
      </c>
      <c r="I944" s="5" t="s">
        <v>57</v>
      </c>
      <c r="J944">
        <v>2050</v>
      </c>
      <c r="K944" s="38" t="str">
        <f t="shared" si="129"/>
        <v>*0.92</v>
      </c>
      <c r="P944" s="32" t="s">
        <v>4275</v>
      </c>
      <c r="Q944" s="42" t="s">
        <v>57</v>
      </c>
      <c r="R944" s="32">
        <v>2035</v>
      </c>
      <c r="S944" s="43" t="str">
        <f t="shared" si="130"/>
        <v>*0.95</v>
      </c>
      <c r="U944" s="32" t="s">
        <v>4275</v>
      </c>
      <c r="V944" s="42" t="s">
        <v>57</v>
      </c>
      <c r="W944" s="32">
        <v>2050</v>
      </c>
      <c r="X944" s="43" t="str">
        <f t="shared" si="131"/>
        <v>*0.92</v>
      </c>
      <c r="AC944" s="33" t="s">
        <v>4275</v>
      </c>
      <c r="AD944" s="44" t="s">
        <v>57</v>
      </c>
      <c r="AE944" s="33">
        <v>2035</v>
      </c>
      <c r="AF944" s="45" t="str">
        <f t="shared" si="132"/>
        <v>*0.93</v>
      </c>
      <c r="AG944" s="43" t="str">
        <f t="shared" si="135"/>
        <v>REZoning_Sol-Win</v>
      </c>
      <c r="AI944" s="33" t="s">
        <v>4275</v>
      </c>
      <c r="AJ944" s="44" t="s">
        <v>57</v>
      </c>
      <c r="AK944" s="33">
        <v>2050</v>
      </c>
      <c r="AL944" s="45" t="str">
        <f t="shared" si="133"/>
        <v>*0.89</v>
      </c>
      <c r="AM944" s="43" t="str">
        <f t="shared" si="136"/>
        <v>REZoning_Sol-Win</v>
      </c>
      <c r="AP944" t="s">
        <v>4275</v>
      </c>
      <c r="AQ944" t="s">
        <v>57</v>
      </c>
      <c r="AR944">
        <f t="shared" si="134"/>
        <v>2100</v>
      </c>
      <c r="AS944" t="s">
        <v>937</v>
      </c>
      <c r="AT944" t="s">
        <v>58</v>
      </c>
    </row>
    <row r="945" ht="29" spans="1:46">
      <c r="A945" s="31" t="s">
        <v>79</v>
      </c>
      <c r="C945" t="s">
        <v>4276</v>
      </c>
      <c r="D945" s="5" t="s">
        <v>57</v>
      </c>
      <c r="E945">
        <v>2035</v>
      </c>
      <c r="F945" s="6" t="str">
        <f t="shared" si="128"/>
        <v>*0.94</v>
      </c>
      <c r="H945" t="s">
        <v>4276</v>
      </c>
      <c r="I945" s="5" t="s">
        <v>57</v>
      </c>
      <c r="J945">
        <v>2050</v>
      </c>
      <c r="K945" s="38" t="str">
        <f t="shared" si="129"/>
        <v>*0.9</v>
      </c>
      <c r="P945" s="32" t="s">
        <v>4276</v>
      </c>
      <c r="Q945" s="42" t="s">
        <v>57</v>
      </c>
      <c r="R945" s="32">
        <v>2035</v>
      </c>
      <c r="S945" s="43" t="str">
        <f t="shared" si="130"/>
        <v>*0.92</v>
      </c>
      <c r="U945" s="32" t="s">
        <v>4276</v>
      </c>
      <c r="V945" s="42" t="s">
        <v>57</v>
      </c>
      <c r="W945" s="32">
        <v>2050</v>
      </c>
      <c r="X945" s="43" t="str">
        <f t="shared" si="131"/>
        <v>*0.89</v>
      </c>
      <c r="AC945" s="33" t="s">
        <v>4276</v>
      </c>
      <c r="AD945" s="44" t="s">
        <v>57</v>
      </c>
      <c r="AE945" s="33">
        <v>2035</v>
      </c>
      <c r="AF945" s="45" t="str">
        <f t="shared" si="132"/>
        <v>*0.89</v>
      </c>
      <c r="AG945" s="43" t="str">
        <f t="shared" si="135"/>
        <v>REZoning_Sol-Win</v>
      </c>
      <c r="AI945" s="33" t="s">
        <v>4276</v>
      </c>
      <c r="AJ945" s="44" t="s">
        <v>57</v>
      </c>
      <c r="AK945" s="33">
        <v>2050</v>
      </c>
      <c r="AL945" s="45" t="str">
        <f t="shared" si="133"/>
        <v>*0.84</v>
      </c>
      <c r="AM945" s="43" t="str">
        <f t="shared" si="136"/>
        <v>REZoning_Sol-Win</v>
      </c>
      <c r="AP945" t="s">
        <v>4276</v>
      </c>
      <c r="AQ945" t="s">
        <v>57</v>
      </c>
      <c r="AR945">
        <f t="shared" si="134"/>
        <v>2100</v>
      </c>
      <c r="AS945" t="s">
        <v>919</v>
      </c>
      <c r="AT945" t="s">
        <v>58</v>
      </c>
    </row>
    <row r="946" ht="29" spans="1:46">
      <c r="A946" s="31" t="s">
        <v>79</v>
      </c>
      <c r="C946" t="s">
        <v>4277</v>
      </c>
      <c r="D946" s="5" t="s">
        <v>57</v>
      </c>
      <c r="E946">
        <v>2035</v>
      </c>
      <c r="F946" s="6" t="str">
        <f t="shared" si="128"/>
        <v>*0.94</v>
      </c>
      <c r="H946" t="s">
        <v>4277</v>
      </c>
      <c r="I946" s="5" t="s">
        <v>57</v>
      </c>
      <c r="J946">
        <v>2050</v>
      </c>
      <c r="K946" s="38" t="str">
        <f t="shared" si="129"/>
        <v>*0.9</v>
      </c>
      <c r="P946" s="32" t="s">
        <v>4277</v>
      </c>
      <c r="Q946" s="42" t="s">
        <v>57</v>
      </c>
      <c r="R946" s="32">
        <v>2035</v>
      </c>
      <c r="S946" s="43" t="str">
        <f t="shared" si="130"/>
        <v>*0.92</v>
      </c>
      <c r="U946" s="32" t="s">
        <v>4277</v>
      </c>
      <c r="V946" s="42" t="s">
        <v>57</v>
      </c>
      <c r="W946" s="32">
        <v>2050</v>
      </c>
      <c r="X946" s="43" t="str">
        <f t="shared" si="131"/>
        <v>*0.89</v>
      </c>
      <c r="AC946" s="33" t="s">
        <v>4277</v>
      </c>
      <c r="AD946" s="44" t="s">
        <v>57</v>
      </c>
      <c r="AE946" s="33">
        <v>2035</v>
      </c>
      <c r="AF946" s="45" t="str">
        <f t="shared" si="132"/>
        <v>*0.89</v>
      </c>
      <c r="AG946" s="43" t="str">
        <f t="shared" si="135"/>
        <v>REZoning_Sol-Win</v>
      </c>
      <c r="AI946" s="33" t="s">
        <v>4277</v>
      </c>
      <c r="AJ946" s="44" t="s">
        <v>57</v>
      </c>
      <c r="AK946" s="33">
        <v>2050</v>
      </c>
      <c r="AL946" s="45" t="str">
        <f t="shared" si="133"/>
        <v>*0.84</v>
      </c>
      <c r="AM946" s="43" t="str">
        <f t="shared" si="136"/>
        <v>REZoning_Sol-Win</v>
      </c>
      <c r="AP946" t="s">
        <v>4277</v>
      </c>
      <c r="AQ946" t="s">
        <v>57</v>
      </c>
      <c r="AR946">
        <f t="shared" si="134"/>
        <v>2100</v>
      </c>
      <c r="AS946" t="s">
        <v>919</v>
      </c>
      <c r="AT946" t="s">
        <v>58</v>
      </c>
    </row>
    <row r="947" ht="29" spans="1:46">
      <c r="A947" s="31" t="s">
        <v>79</v>
      </c>
      <c r="C947" t="s">
        <v>4278</v>
      </c>
      <c r="D947" s="5" t="s">
        <v>57</v>
      </c>
      <c r="E947">
        <v>2035</v>
      </c>
      <c r="F947" s="6" t="str">
        <f t="shared" si="128"/>
        <v>*0.94</v>
      </c>
      <c r="H947" t="s">
        <v>4278</v>
      </c>
      <c r="I947" s="5" t="s">
        <v>57</v>
      </c>
      <c r="J947">
        <v>2050</v>
      </c>
      <c r="K947" s="38" t="str">
        <f t="shared" si="129"/>
        <v>*0.9</v>
      </c>
      <c r="P947" s="32" t="s">
        <v>4278</v>
      </c>
      <c r="Q947" s="42" t="s">
        <v>57</v>
      </c>
      <c r="R947" s="32">
        <v>2035</v>
      </c>
      <c r="S947" s="43" t="str">
        <f t="shared" si="130"/>
        <v>*0.92</v>
      </c>
      <c r="U947" s="32" t="s">
        <v>4278</v>
      </c>
      <c r="V947" s="42" t="s">
        <v>57</v>
      </c>
      <c r="W947" s="32">
        <v>2050</v>
      </c>
      <c r="X947" s="43" t="str">
        <f t="shared" si="131"/>
        <v>*0.89</v>
      </c>
      <c r="AC947" s="33" t="s">
        <v>4278</v>
      </c>
      <c r="AD947" s="44" t="s">
        <v>57</v>
      </c>
      <c r="AE947" s="33">
        <v>2035</v>
      </c>
      <c r="AF947" s="45" t="str">
        <f t="shared" si="132"/>
        <v>*0.89</v>
      </c>
      <c r="AG947" s="43" t="str">
        <f t="shared" si="135"/>
        <v>REZoning_Sol-Win</v>
      </c>
      <c r="AI947" s="33" t="s">
        <v>4278</v>
      </c>
      <c r="AJ947" s="44" t="s">
        <v>57</v>
      </c>
      <c r="AK947" s="33">
        <v>2050</v>
      </c>
      <c r="AL947" s="45" t="str">
        <f t="shared" si="133"/>
        <v>*0.84</v>
      </c>
      <c r="AM947" s="43" t="str">
        <f t="shared" si="136"/>
        <v>REZoning_Sol-Win</v>
      </c>
      <c r="AP947" t="s">
        <v>4278</v>
      </c>
      <c r="AQ947" t="s">
        <v>57</v>
      </c>
      <c r="AR947">
        <f t="shared" si="134"/>
        <v>2100</v>
      </c>
      <c r="AS947" t="s">
        <v>919</v>
      </c>
      <c r="AT947" t="s">
        <v>58</v>
      </c>
    </row>
    <row r="948" ht="29" spans="1:46">
      <c r="A948" s="31" t="s">
        <v>79</v>
      </c>
      <c r="C948" t="s">
        <v>4279</v>
      </c>
      <c r="D948" s="5" t="s">
        <v>57</v>
      </c>
      <c r="E948">
        <v>2035</v>
      </c>
      <c r="F948" s="6" t="str">
        <f t="shared" si="128"/>
        <v>*0.94</v>
      </c>
      <c r="H948" t="s">
        <v>4279</v>
      </c>
      <c r="I948" s="5" t="s">
        <v>57</v>
      </c>
      <c r="J948">
        <v>2050</v>
      </c>
      <c r="K948" s="38" t="str">
        <f t="shared" si="129"/>
        <v>*0.9</v>
      </c>
      <c r="P948" s="32" t="s">
        <v>4279</v>
      </c>
      <c r="Q948" s="42" t="s">
        <v>57</v>
      </c>
      <c r="R948" s="32">
        <v>2035</v>
      </c>
      <c r="S948" s="43" t="str">
        <f t="shared" si="130"/>
        <v>*0.92</v>
      </c>
      <c r="U948" s="32" t="s">
        <v>4279</v>
      </c>
      <c r="V948" s="42" t="s">
        <v>57</v>
      </c>
      <c r="W948" s="32">
        <v>2050</v>
      </c>
      <c r="X948" s="43" t="str">
        <f t="shared" si="131"/>
        <v>*0.89</v>
      </c>
      <c r="AC948" s="33" t="s">
        <v>4279</v>
      </c>
      <c r="AD948" s="44" t="s">
        <v>57</v>
      </c>
      <c r="AE948" s="33">
        <v>2035</v>
      </c>
      <c r="AF948" s="45" t="str">
        <f t="shared" si="132"/>
        <v>*0.89</v>
      </c>
      <c r="AG948" s="43" t="str">
        <f t="shared" si="135"/>
        <v>REZoning_Sol-Win</v>
      </c>
      <c r="AI948" s="33" t="s">
        <v>4279</v>
      </c>
      <c r="AJ948" s="44" t="s">
        <v>57</v>
      </c>
      <c r="AK948" s="33">
        <v>2050</v>
      </c>
      <c r="AL948" s="45" t="str">
        <f t="shared" si="133"/>
        <v>*0.84</v>
      </c>
      <c r="AM948" s="43" t="str">
        <f t="shared" si="136"/>
        <v>REZoning_Sol-Win</v>
      </c>
      <c r="AP948" t="s">
        <v>4279</v>
      </c>
      <c r="AQ948" t="s">
        <v>57</v>
      </c>
      <c r="AR948">
        <f t="shared" si="134"/>
        <v>2100</v>
      </c>
      <c r="AS948" t="s">
        <v>919</v>
      </c>
      <c r="AT948" t="s">
        <v>58</v>
      </c>
    </row>
    <row r="949" ht="29" spans="1:46">
      <c r="A949" s="31" t="s">
        <v>79</v>
      </c>
      <c r="C949" t="s">
        <v>4280</v>
      </c>
      <c r="D949" s="5" t="s">
        <v>57</v>
      </c>
      <c r="E949">
        <v>2035</v>
      </c>
      <c r="F949" s="6" t="str">
        <f t="shared" si="128"/>
        <v>*0.94</v>
      </c>
      <c r="H949" t="s">
        <v>4280</v>
      </c>
      <c r="I949" s="5" t="s">
        <v>57</v>
      </c>
      <c r="J949">
        <v>2050</v>
      </c>
      <c r="K949" s="38" t="str">
        <f t="shared" si="129"/>
        <v>*0.9</v>
      </c>
      <c r="P949" s="32" t="s">
        <v>4280</v>
      </c>
      <c r="Q949" s="42" t="s">
        <v>57</v>
      </c>
      <c r="R949" s="32">
        <v>2035</v>
      </c>
      <c r="S949" s="43" t="str">
        <f t="shared" si="130"/>
        <v>*0.92</v>
      </c>
      <c r="U949" s="32" t="s">
        <v>4280</v>
      </c>
      <c r="V949" s="42" t="s">
        <v>57</v>
      </c>
      <c r="W949" s="32">
        <v>2050</v>
      </c>
      <c r="X949" s="43" t="str">
        <f t="shared" si="131"/>
        <v>*0.89</v>
      </c>
      <c r="AC949" s="33" t="s">
        <v>4280</v>
      </c>
      <c r="AD949" s="44" t="s">
        <v>57</v>
      </c>
      <c r="AE949" s="33">
        <v>2035</v>
      </c>
      <c r="AF949" s="45" t="str">
        <f t="shared" si="132"/>
        <v>*0.89</v>
      </c>
      <c r="AG949" s="43" t="str">
        <f t="shared" si="135"/>
        <v>REZoning_Sol-Win</v>
      </c>
      <c r="AI949" s="33" t="s">
        <v>4280</v>
      </c>
      <c r="AJ949" s="44" t="s">
        <v>57</v>
      </c>
      <c r="AK949" s="33">
        <v>2050</v>
      </c>
      <c r="AL949" s="45" t="str">
        <f t="shared" si="133"/>
        <v>*0.84</v>
      </c>
      <c r="AM949" s="43" t="str">
        <f t="shared" si="136"/>
        <v>REZoning_Sol-Win</v>
      </c>
      <c r="AP949" t="s">
        <v>4280</v>
      </c>
      <c r="AQ949" t="s">
        <v>57</v>
      </c>
      <c r="AR949">
        <f t="shared" si="134"/>
        <v>2100</v>
      </c>
      <c r="AS949" t="s">
        <v>919</v>
      </c>
      <c r="AT949" t="s">
        <v>58</v>
      </c>
    </row>
    <row r="950" ht="29" spans="1:46">
      <c r="A950" s="31" t="s">
        <v>79</v>
      </c>
      <c r="C950" t="s">
        <v>4281</v>
      </c>
      <c r="D950" s="5" t="s">
        <v>57</v>
      </c>
      <c r="E950">
        <v>2035</v>
      </c>
      <c r="F950" s="6" t="str">
        <f t="shared" si="128"/>
        <v>*0.94</v>
      </c>
      <c r="H950" t="s">
        <v>4281</v>
      </c>
      <c r="I950" s="5" t="s">
        <v>57</v>
      </c>
      <c r="J950">
        <v>2050</v>
      </c>
      <c r="K950" s="38" t="str">
        <f t="shared" si="129"/>
        <v>*0.9</v>
      </c>
      <c r="P950" s="32" t="s">
        <v>4281</v>
      </c>
      <c r="Q950" s="42" t="s">
        <v>57</v>
      </c>
      <c r="R950" s="32">
        <v>2035</v>
      </c>
      <c r="S950" s="43" t="str">
        <f t="shared" si="130"/>
        <v>*0.92</v>
      </c>
      <c r="U950" s="32" t="s">
        <v>4281</v>
      </c>
      <c r="V950" s="42" t="s">
        <v>57</v>
      </c>
      <c r="W950" s="32">
        <v>2050</v>
      </c>
      <c r="X950" s="43" t="str">
        <f t="shared" si="131"/>
        <v>*0.89</v>
      </c>
      <c r="AC950" s="33" t="s">
        <v>4281</v>
      </c>
      <c r="AD950" s="44" t="s">
        <v>57</v>
      </c>
      <c r="AE950" s="33">
        <v>2035</v>
      </c>
      <c r="AF950" s="45" t="str">
        <f t="shared" si="132"/>
        <v>*0.89</v>
      </c>
      <c r="AG950" s="43" t="str">
        <f t="shared" si="135"/>
        <v>REZoning_Sol-Win</v>
      </c>
      <c r="AI950" s="33" t="s">
        <v>4281</v>
      </c>
      <c r="AJ950" s="44" t="s">
        <v>57</v>
      </c>
      <c r="AK950" s="33">
        <v>2050</v>
      </c>
      <c r="AL950" s="45" t="str">
        <f t="shared" si="133"/>
        <v>*0.84</v>
      </c>
      <c r="AM950" s="43" t="str">
        <f t="shared" si="136"/>
        <v>REZoning_Sol-Win</v>
      </c>
      <c r="AP950" t="s">
        <v>4281</v>
      </c>
      <c r="AQ950" t="s">
        <v>57</v>
      </c>
      <c r="AR950">
        <f t="shared" si="134"/>
        <v>2100</v>
      </c>
      <c r="AS950" t="s">
        <v>919</v>
      </c>
      <c r="AT950" t="s">
        <v>58</v>
      </c>
    </row>
    <row r="951" ht="29" spans="1:46">
      <c r="A951" s="31" t="s">
        <v>79</v>
      </c>
      <c r="C951" t="s">
        <v>4282</v>
      </c>
      <c r="D951" s="5" t="s">
        <v>57</v>
      </c>
      <c r="E951">
        <v>2035</v>
      </c>
      <c r="F951" s="6" t="str">
        <f t="shared" si="128"/>
        <v>*0.94</v>
      </c>
      <c r="H951" t="s">
        <v>4282</v>
      </c>
      <c r="I951" s="5" t="s">
        <v>57</v>
      </c>
      <c r="J951">
        <v>2050</v>
      </c>
      <c r="K951" s="38" t="str">
        <f t="shared" si="129"/>
        <v>*0.9</v>
      </c>
      <c r="P951" s="32" t="s">
        <v>4282</v>
      </c>
      <c r="Q951" s="42" t="s">
        <v>57</v>
      </c>
      <c r="R951" s="32">
        <v>2035</v>
      </c>
      <c r="S951" s="43" t="str">
        <f t="shared" si="130"/>
        <v>*0.92</v>
      </c>
      <c r="U951" s="32" t="s">
        <v>4282</v>
      </c>
      <c r="V951" s="42" t="s">
        <v>57</v>
      </c>
      <c r="W951" s="32">
        <v>2050</v>
      </c>
      <c r="X951" s="43" t="str">
        <f t="shared" si="131"/>
        <v>*0.89</v>
      </c>
      <c r="AC951" s="33" t="s">
        <v>4282</v>
      </c>
      <c r="AD951" s="44" t="s">
        <v>57</v>
      </c>
      <c r="AE951" s="33">
        <v>2035</v>
      </c>
      <c r="AF951" s="45" t="str">
        <f t="shared" si="132"/>
        <v>*0.89</v>
      </c>
      <c r="AG951" s="43" t="str">
        <f t="shared" si="135"/>
        <v>REZoning_Sol-Win</v>
      </c>
      <c r="AI951" s="33" t="s">
        <v>4282</v>
      </c>
      <c r="AJ951" s="44" t="s">
        <v>57</v>
      </c>
      <c r="AK951" s="33">
        <v>2050</v>
      </c>
      <c r="AL951" s="45" t="str">
        <f t="shared" si="133"/>
        <v>*0.84</v>
      </c>
      <c r="AM951" s="43" t="str">
        <f t="shared" si="136"/>
        <v>REZoning_Sol-Win</v>
      </c>
      <c r="AP951" t="s">
        <v>4282</v>
      </c>
      <c r="AQ951" t="s">
        <v>57</v>
      </c>
      <c r="AR951">
        <f t="shared" si="134"/>
        <v>2100</v>
      </c>
      <c r="AS951" t="s">
        <v>919</v>
      </c>
      <c r="AT951" t="s">
        <v>58</v>
      </c>
    </row>
    <row r="952" ht="29" spans="1:46">
      <c r="A952" s="31" t="s">
        <v>79</v>
      </c>
      <c r="C952" t="s">
        <v>4283</v>
      </c>
      <c r="D952" s="5" t="s">
        <v>57</v>
      </c>
      <c r="E952">
        <v>2035</v>
      </c>
      <c r="F952" s="6" t="str">
        <f t="shared" si="128"/>
        <v>*0.94</v>
      </c>
      <c r="H952" t="s">
        <v>4283</v>
      </c>
      <c r="I952" s="5" t="s">
        <v>57</v>
      </c>
      <c r="J952">
        <v>2050</v>
      </c>
      <c r="K952" s="38" t="str">
        <f t="shared" si="129"/>
        <v>*0.9</v>
      </c>
      <c r="P952" s="32" t="s">
        <v>4283</v>
      </c>
      <c r="Q952" s="42" t="s">
        <v>57</v>
      </c>
      <c r="R952" s="32">
        <v>2035</v>
      </c>
      <c r="S952" s="43" t="str">
        <f t="shared" si="130"/>
        <v>*0.92</v>
      </c>
      <c r="U952" s="32" t="s">
        <v>4283</v>
      </c>
      <c r="V952" s="42" t="s">
        <v>57</v>
      </c>
      <c r="W952" s="32">
        <v>2050</v>
      </c>
      <c r="X952" s="43" t="str">
        <f t="shared" si="131"/>
        <v>*0.89</v>
      </c>
      <c r="AC952" s="33" t="s">
        <v>4283</v>
      </c>
      <c r="AD952" s="44" t="s">
        <v>57</v>
      </c>
      <c r="AE952" s="33">
        <v>2035</v>
      </c>
      <c r="AF952" s="45" t="str">
        <f t="shared" si="132"/>
        <v>*0.89</v>
      </c>
      <c r="AG952" s="43" t="str">
        <f t="shared" si="135"/>
        <v>REZoning_Sol-Win</v>
      </c>
      <c r="AI952" s="33" t="s">
        <v>4283</v>
      </c>
      <c r="AJ952" s="44" t="s">
        <v>57</v>
      </c>
      <c r="AK952" s="33">
        <v>2050</v>
      </c>
      <c r="AL952" s="45" t="str">
        <f t="shared" si="133"/>
        <v>*0.84</v>
      </c>
      <c r="AM952" s="43" t="str">
        <f t="shared" si="136"/>
        <v>REZoning_Sol-Win</v>
      </c>
      <c r="AP952" t="s">
        <v>4283</v>
      </c>
      <c r="AQ952" t="s">
        <v>57</v>
      </c>
      <c r="AR952">
        <f t="shared" si="134"/>
        <v>2100</v>
      </c>
      <c r="AS952" t="s">
        <v>919</v>
      </c>
      <c r="AT952" t="s">
        <v>58</v>
      </c>
    </row>
    <row r="953" ht="29" spans="1:46">
      <c r="A953" s="31" t="s">
        <v>79</v>
      </c>
      <c r="C953" t="s">
        <v>4284</v>
      </c>
      <c r="D953" s="5" t="s">
        <v>57</v>
      </c>
      <c r="E953">
        <v>2035</v>
      </c>
      <c r="F953" s="6" t="str">
        <f t="shared" si="128"/>
        <v>*0.94</v>
      </c>
      <c r="H953" t="s">
        <v>4284</v>
      </c>
      <c r="I953" s="5" t="s">
        <v>57</v>
      </c>
      <c r="J953">
        <v>2050</v>
      </c>
      <c r="K953" s="38" t="str">
        <f t="shared" si="129"/>
        <v>*0.9</v>
      </c>
      <c r="P953" s="32" t="s">
        <v>4284</v>
      </c>
      <c r="Q953" s="42" t="s">
        <v>57</v>
      </c>
      <c r="R953" s="32">
        <v>2035</v>
      </c>
      <c r="S953" s="43" t="str">
        <f t="shared" si="130"/>
        <v>*0.92</v>
      </c>
      <c r="U953" s="32" t="s">
        <v>4284</v>
      </c>
      <c r="V953" s="42" t="s">
        <v>57</v>
      </c>
      <c r="W953" s="32">
        <v>2050</v>
      </c>
      <c r="X953" s="43" t="str">
        <f t="shared" si="131"/>
        <v>*0.89</v>
      </c>
      <c r="AC953" s="33" t="s">
        <v>4284</v>
      </c>
      <c r="AD953" s="44" t="s">
        <v>57</v>
      </c>
      <c r="AE953" s="33">
        <v>2035</v>
      </c>
      <c r="AF953" s="45" t="str">
        <f t="shared" si="132"/>
        <v>*0.89</v>
      </c>
      <c r="AG953" s="43" t="str">
        <f t="shared" si="135"/>
        <v>REZoning_Sol-Win</v>
      </c>
      <c r="AI953" s="33" t="s">
        <v>4284</v>
      </c>
      <c r="AJ953" s="44" t="s">
        <v>57</v>
      </c>
      <c r="AK953" s="33">
        <v>2050</v>
      </c>
      <c r="AL953" s="45" t="str">
        <f t="shared" si="133"/>
        <v>*0.84</v>
      </c>
      <c r="AM953" s="43" t="str">
        <f t="shared" si="136"/>
        <v>REZoning_Sol-Win</v>
      </c>
      <c r="AP953" t="s">
        <v>4284</v>
      </c>
      <c r="AQ953" t="s">
        <v>57</v>
      </c>
      <c r="AR953">
        <f t="shared" si="134"/>
        <v>2100</v>
      </c>
      <c r="AS953" t="s">
        <v>919</v>
      </c>
      <c r="AT953" t="s">
        <v>58</v>
      </c>
    </row>
    <row r="954" ht="29" spans="1:46">
      <c r="A954" s="31" t="s">
        <v>79</v>
      </c>
      <c r="C954" t="s">
        <v>4285</v>
      </c>
      <c r="D954" s="5" t="s">
        <v>57</v>
      </c>
      <c r="E954">
        <v>2035</v>
      </c>
      <c r="F954" s="6" t="str">
        <f t="shared" si="128"/>
        <v>*0.94</v>
      </c>
      <c r="H954" t="s">
        <v>4285</v>
      </c>
      <c r="I954" s="5" t="s">
        <v>57</v>
      </c>
      <c r="J954">
        <v>2050</v>
      </c>
      <c r="K954" s="38" t="str">
        <f t="shared" si="129"/>
        <v>*0.9</v>
      </c>
      <c r="P954" s="32" t="s">
        <v>4285</v>
      </c>
      <c r="Q954" s="42" t="s">
        <v>57</v>
      </c>
      <c r="R954" s="32">
        <v>2035</v>
      </c>
      <c r="S954" s="43" t="str">
        <f t="shared" si="130"/>
        <v>*0.92</v>
      </c>
      <c r="U954" s="32" t="s">
        <v>4285</v>
      </c>
      <c r="V954" s="42" t="s">
        <v>57</v>
      </c>
      <c r="W954" s="32">
        <v>2050</v>
      </c>
      <c r="X954" s="43" t="str">
        <f t="shared" si="131"/>
        <v>*0.89</v>
      </c>
      <c r="AC954" s="33" t="s">
        <v>4285</v>
      </c>
      <c r="AD954" s="44" t="s">
        <v>57</v>
      </c>
      <c r="AE954" s="33">
        <v>2035</v>
      </c>
      <c r="AF954" s="45" t="str">
        <f t="shared" si="132"/>
        <v>*0.89</v>
      </c>
      <c r="AG954" s="43" t="str">
        <f t="shared" si="135"/>
        <v>REZoning_Sol-Win</v>
      </c>
      <c r="AI954" s="33" t="s">
        <v>4285</v>
      </c>
      <c r="AJ954" s="44" t="s">
        <v>57</v>
      </c>
      <c r="AK954" s="33">
        <v>2050</v>
      </c>
      <c r="AL954" s="45" t="str">
        <f t="shared" si="133"/>
        <v>*0.84</v>
      </c>
      <c r="AM954" s="43" t="str">
        <f t="shared" si="136"/>
        <v>REZoning_Sol-Win</v>
      </c>
      <c r="AP954" t="s">
        <v>4285</v>
      </c>
      <c r="AQ954" t="s">
        <v>57</v>
      </c>
      <c r="AR954">
        <f t="shared" si="134"/>
        <v>2100</v>
      </c>
      <c r="AS954" t="s">
        <v>919</v>
      </c>
      <c r="AT954" t="s">
        <v>58</v>
      </c>
    </row>
    <row r="955" ht="29" spans="1:46">
      <c r="A955" s="31" t="s">
        <v>79</v>
      </c>
      <c r="C955" t="s">
        <v>4286</v>
      </c>
      <c r="D955" s="5" t="s">
        <v>57</v>
      </c>
      <c r="E955">
        <v>2035</v>
      </c>
      <c r="F955" s="6" t="str">
        <f t="shared" si="128"/>
        <v>*0.94</v>
      </c>
      <c r="H955" t="s">
        <v>4286</v>
      </c>
      <c r="I955" s="5" t="s">
        <v>57</v>
      </c>
      <c r="J955">
        <v>2050</v>
      </c>
      <c r="K955" s="38" t="str">
        <f t="shared" si="129"/>
        <v>*0.9</v>
      </c>
      <c r="P955" s="32" t="s">
        <v>4286</v>
      </c>
      <c r="Q955" s="42" t="s">
        <v>57</v>
      </c>
      <c r="R955" s="32">
        <v>2035</v>
      </c>
      <c r="S955" s="43" t="str">
        <f t="shared" si="130"/>
        <v>*0.92</v>
      </c>
      <c r="U955" s="32" t="s">
        <v>4286</v>
      </c>
      <c r="V955" s="42" t="s">
        <v>57</v>
      </c>
      <c r="W955" s="32">
        <v>2050</v>
      </c>
      <c r="X955" s="43" t="str">
        <f t="shared" si="131"/>
        <v>*0.89</v>
      </c>
      <c r="AC955" s="33" t="s">
        <v>4286</v>
      </c>
      <c r="AD955" s="44" t="s">
        <v>57</v>
      </c>
      <c r="AE955" s="33">
        <v>2035</v>
      </c>
      <c r="AF955" s="45" t="str">
        <f t="shared" si="132"/>
        <v>*0.89</v>
      </c>
      <c r="AG955" s="43" t="str">
        <f t="shared" si="135"/>
        <v>REZoning_Sol-Win</v>
      </c>
      <c r="AI955" s="33" t="s">
        <v>4286</v>
      </c>
      <c r="AJ955" s="44" t="s">
        <v>57</v>
      </c>
      <c r="AK955" s="33">
        <v>2050</v>
      </c>
      <c r="AL955" s="45" t="str">
        <f t="shared" si="133"/>
        <v>*0.84</v>
      </c>
      <c r="AM955" s="43" t="str">
        <f t="shared" si="136"/>
        <v>REZoning_Sol-Win</v>
      </c>
      <c r="AP955" t="s">
        <v>4286</v>
      </c>
      <c r="AQ955" t="s">
        <v>57</v>
      </c>
      <c r="AR955">
        <f t="shared" si="134"/>
        <v>2100</v>
      </c>
      <c r="AS955" t="s">
        <v>919</v>
      </c>
      <c r="AT955" t="s">
        <v>58</v>
      </c>
    </row>
    <row r="956" ht="29" spans="1:46">
      <c r="A956" s="31" t="s">
        <v>79</v>
      </c>
      <c r="C956" t="s">
        <v>4287</v>
      </c>
      <c r="D956" s="5" t="s">
        <v>57</v>
      </c>
      <c r="E956">
        <v>2035</v>
      </c>
      <c r="F956" s="6" t="str">
        <f t="shared" si="128"/>
        <v>*0.94</v>
      </c>
      <c r="H956" t="s">
        <v>4287</v>
      </c>
      <c r="I956" s="5" t="s">
        <v>57</v>
      </c>
      <c r="J956">
        <v>2050</v>
      </c>
      <c r="K956" s="38" t="str">
        <f t="shared" si="129"/>
        <v>*0.9</v>
      </c>
      <c r="P956" s="32" t="s">
        <v>4287</v>
      </c>
      <c r="Q956" s="42" t="s">
        <v>57</v>
      </c>
      <c r="R956" s="32">
        <v>2035</v>
      </c>
      <c r="S956" s="43" t="str">
        <f t="shared" si="130"/>
        <v>*0.92</v>
      </c>
      <c r="U956" s="32" t="s">
        <v>4287</v>
      </c>
      <c r="V956" s="42" t="s">
        <v>57</v>
      </c>
      <c r="W956" s="32">
        <v>2050</v>
      </c>
      <c r="X956" s="43" t="str">
        <f t="shared" si="131"/>
        <v>*0.89</v>
      </c>
      <c r="AC956" s="33" t="s">
        <v>4287</v>
      </c>
      <c r="AD956" s="44" t="s">
        <v>57</v>
      </c>
      <c r="AE956" s="33">
        <v>2035</v>
      </c>
      <c r="AF956" s="45" t="str">
        <f t="shared" si="132"/>
        <v>*0.89</v>
      </c>
      <c r="AG956" s="43" t="str">
        <f t="shared" si="135"/>
        <v>REZoning_Sol-Win</v>
      </c>
      <c r="AI956" s="33" t="s">
        <v>4287</v>
      </c>
      <c r="AJ956" s="44" t="s">
        <v>57</v>
      </c>
      <c r="AK956" s="33">
        <v>2050</v>
      </c>
      <c r="AL956" s="45" t="str">
        <f t="shared" si="133"/>
        <v>*0.84</v>
      </c>
      <c r="AM956" s="43" t="str">
        <f t="shared" si="136"/>
        <v>REZoning_Sol-Win</v>
      </c>
      <c r="AP956" t="s">
        <v>4287</v>
      </c>
      <c r="AQ956" t="s">
        <v>57</v>
      </c>
      <c r="AR956">
        <f t="shared" si="134"/>
        <v>2100</v>
      </c>
      <c r="AS956" t="s">
        <v>919</v>
      </c>
      <c r="AT956" t="s">
        <v>58</v>
      </c>
    </row>
    <row r="957" ht="29" spans="1:46">
      <c r="A957" s="31" t="s">
        <v>79</v>
      </c>
      <c r="C957" t="s">
        <v>4288</v>
      </c>
      <c r="D957" s="5" t="s">
        <v>57</v>
      </c>
      <c r="E957">
        <v>2035</v>
      </c>
      <c r="F957" s="6" t="str">
        <f t="shared" si="128"/>
        <v>*0.94</v>
      </c>
      <c r="H957" t="s">
        <v>4288</v>
      </c>
      <c r="I957" s="5" t="s">
        <v>57</v>
      </c>
      <c r="J957">
        <v>2050</v>
      </c>
      <c r="K957" s="38" t="str">
        <f t="shared" si="129"/>
        <v>*0.9</v>
      </c>
      <c r="P957" s="32" t="s">
        <v>4288</v>
      </c>
      <c r="Q957" s="42" t="s">
        <v>57</v>
      </c>
      <c r="R957" s="32">
        <v>2035</v>
      </c>
      <c r="S957" s="43" t="str">
        <f t="shared" si="130"/>
        <v>*0.92</v>
      </c>
      <c r="U957" s="32" t="s">
        <v>4288</v>
      </c>
      <c r="V957" s="42" t="s">
        <v>57</v>
      </c>
      <c r="W957" s="32">
        <v>2050</v>
      </c>
      <c r="X957" s="43" t="str">
        <f t="shared" si="131"/>
        <v>*0.89</v>
      </c>
      <c r="AC957" s="33" t="s">
        <v>4288</v>
      </c>
      <c r="AD957" s="44" t="s">
        <v>57</v>
      </c>
      <c r="AE957" s="33">
        <v>2035</v>
      </c>
      <c r="AF957" s="45" t="str">
        <f t="shared" si="132"/>
        <v>*0.89</v>
      </c>
      <c r="AG957" s="43" t="str">
        <f t="shared" si="135"/>
        <v>REZoning_Sol-Win</v>
      </c>
      <c r="AI957" s="33" t="s">
        <v>4288</v>
      </c>
      <c r="AJ957" s="44" t="s">
        <v>57</v>
      </c>
      <c r="AK957" s="33">
        <v>2050</v>
      </c>
      <c r="AL957" s="45" t="str">
        <f t="shared" si="133"/>
        <v>*0.84</v>
      </c>
      <c r="AM957" s="43" t="str">
        <f t="shared" si="136"/>
        <v>REZoning_Sol-Win</v>
      </c>
      <c r="AP957" t="s">
        <v>4288</v>
      </c>
      <c r="AQ957" t="s">
        <v>57</v>
      </c>
      <c r="AR957">
        <f t="shared" si="134"/>
        <v>2100</v>
      </c>
      <c r="AS957" t="s">
        <v>919</v>
      </c>
      <c r="AT957" t="s">
        <v>58</v>
      </c>
    </row>
    <row r="958" ht="29" spans="1:46">
      <c r="A958" s="31" t="s">
        <v>79</v>
      </c>
      <c r="C958" t="s">
        <v>4289</v>
      </c>
      <c r="D958" s="5" t="s">
        <v>57</v>
      </c>
      <c r="E958">
        <v>2035</v>
      </c>
      <c r="F958" s="6" t="str">
        <f t="shared" si="128"/>
        <v>*0.94</v>
      </c>
      <c r="H958" t="s">
        <v>4289</v>
      </c>
      <c r="I958" s="5" t="s">
        <v>57</v>
      </c>
      <c r="J958">
        <v>2050</v>
      </c>
      <c r="K958" s="38" t="str">
        <f t="shared" si="129"/>
        <v>*0.9</v>
      </c>
      <c r="P958" s="32" t="s">
        <v>4289</v>
      </c>
      <c r="Q958" s="42" t="s">
        <v>57</v>
      </c>
      <c r="R958" s="32">
        <v>2035</v>
      </c>
      <c r="S958" s="43" t="str">
        <f t="shared" si="130"/>
        <v>*0.92</v>
      </c>
      <c r="U958" s="32" t="s">
        <v>4289</v>
      </c>
      <c r="V958" s="42" t="s">
        <v>57</v>
      </c>
      <c r="W958" s="32">
        <v>2050</v>
      </c>
      <c r="X958" s="43" t="str">
        <f t="shared" si="131"/>
        <v>*0.89</v>
      </c>
      <c r="AC958" s="33" t="s">
        <v>4289</v>
      </c>
      <c r="AD958" s="44" t="s">
        <v>57</v>
      </c>
      <c r="AE958" s="33">
        <v>2035</v>
      </c>
      <c r="AF958" s="45" t="str">
        <f t="shared" si="132"/>
        <v>*0.89</v>
      </c>
      <c r="AG958" s="43" t="str">
        <f t="shared" si="135"/>
        <v>REZoning_Sol-Win</v>
      </c>
      <c r="AI958" s="33" t="s">
        <v>4289</v>
      </c>
      <c r="AJ958" s="44" t="s">
        <v>57</v>
      </c>
      <c r="AK958" s="33">
        <v>2050</v>
      </c>
      <c r="AL958" s="45" t="str">
        <f t="shared" si="133"/>
        <v>*0.84</v>
      </c>
      <c r="AM958" s="43" t="str">
        <f t="shared" si="136"/>
        <v>REZoning_Sol-Win</v>
      </c>
      <c r="AP958" t="s">
        <v>4289</v>
      </c>
      <c r="AQ958" t="s">
        <v>57</v>
      </c>
      <c r="AR958">
        <f t="shared" si="134"/>
        <v>2100</v>
      </c>
      <c r="AS958" t="s">
        <v>919</v>
      </c>
      <c r="AT958" t="s">
        <v>58</v>
      </c>
    </row>
    <row r="959" ht="29" spans="1:46">
      <c r="A959" s="31" t="s">
        <v>79</v>
      </c>
      <c r="C959" t="s">
        <v>4290</v>
      </c>
      <c r="D959" s="5" t="s">
        <v>57</v>
      </c>
      <c r="E959">
        <v>2035</v>
      </c>
      <c r="F959" s="6" t="str">
        <f t="shared" si="128"/>
        <v>*0.94</v>
      </c>
      <c r="H959" t="s">
        <v>4290</v>
      </c>
      <c r="I959" s="5" t="s">
        <v>57</v>
      </c>
      <c r="J959">
        <v>2050</v>
      </c>
      <c r="K959" s="38" t="str">
        <f t="shared" si="129"/>
        <v>*0.9</v>
      </c>
      <c r="P959" s="32" t="s">
        <v>4290</v>
      </c>
      <c r="Q959" s="42" t="s">
        <v>57</v>
      </c>
      <c r="R959" s="32">
        <v>2035</v>
      </c>
      <c r="S959" s="43" t="str">
        <f t="shared" si="130"/>
        <v>*0.92</v>
      </c>
      <c r="U959" s="32" t="s">
        <v>4290</v>
      </c>
      <c r="V959" s="42" t="s">
        <v>57</v>
      </c>
      <c r="W959" s="32">
        <v>2050</v>
      </c>
      <c r="X959" s="43" t="str">
        <f t="shared" si="131"/>
        <v>*0.89</v>
      </c>
      <c r="AC959" s="33" t="s">
        <v>4290</v>
      </c>
      <c r="AD959" s="44" t="s">
        <v>57</v>
      </c>
      <c r="AE959" s="33">
        <v>2035</v>
      </c>
      <c r="AF959" s="45" t="str">
        <f t="shared" si="132"/>
        <v>*0.89</v>
      </c>
      <c r="AG959" s="43" t="str">
        <f t="shared" si="135"/>
        <v>REZoning_Sol-Win</v>
      </c>
      <c r="AI959" s="33" t="s">
        <v>4290</v>
      </c>
      <c r="AJ959" s="44" t="s">
        <v>57</v>
      </c>
      <c r="AK959" s="33">
        <v>2050</v>
      </c>
      <c r="AL959" s="45" t="str">
        <f t="shared" si="133"/>
        <v>*0.84</v>
      </c>
      <c r="AM959" s="43" t="str">
        <f t="shared" si="136"/>
        <v>REZoning_Sol-Win</v>
      </c>
      <c r="AP959" t="s">
        <v>4290</v>
      </c>
      <c r="AQ959" t="s">
        <v>57</v>
      </c>
      <c r="AR959">
        <f t="shared" si="134"/>
        <v>2100</v>
      </c>
      <c r="AS959" t="s">
        <v>919</v>
      </c>
      <c r="AT959" t="s">
        <v>58</v>
      </c>
    </row>
    <row r="960" ht="29" spans="1:46">
      <c r="A960" s="31" t="s">
        <v>79</v>
      </c>
      <c r="C960" t="s">
        <v>4291</v>
      </c>
      <c r="D960" s="5" t="s">
        <v>57</v>
      </c>
      <c r="E960">
        <v>2035</v>
      </c>
      <c r="F960" s="6" t="str">
        <f t="shared" si="128"/>
        <v>*0.94</v>
      </c>
      <c r="H960" t="s">
        <v>4291</v>
      </c>
      <c r="I960" s="5" t="s">
        <v>57</v>
      </c>
      <c r="J960">
        <v>2050</v>
      </c>
      <c r="K960" s="38" t="str">
        <f t="shared" si="129"/>
        <v>*0.9</v>
      </c>
      <c r="P960" s="32" t="s">
        <v>4291</v>
      </c>
      <c r="Q960" s="42" t="s">
        <v>57</v>
      </c>
      <c r="R960" s="32">
        <v>2035</v>
      </c>
      <c r="S960" s="43" t="str">
        <f t="shared" si="130"/>
        <v>*0.92</v>
      </c>
      <c r="U960" s="32" t="s">
        <v>4291</v>
      </c>
      <c r="V960" s="42" t="s">
        <v>57</v>
      </c>
      <c r="W960" s="32">
        <v>2050</v>
      </c>
      <c r="X960" s="43" t="str">
        <f t="shared" si="131"/>
        <v>*0.89</v>
      </c>
      <c r="AC960" s="33" t="s">
        <v>4291</v>
      </c>
      <c r="AD960" s="44" t="s">
        <v>57</v>
      </c>
      <c r="AE960" s="33">
        <v>2035</v>
      </c>
      <c r="AF960" s="45" t="str">
        <f t="shared" si="132"/>
        <v>*0.89</v>
      </c>
      <c r="AG960" s="43" t="str">
        <f t="shared" si="135"/>
        <v>REZoning_Sol-Win</v>
      </c>
      <c r="AI960" s="33" t="s">
        <v>4291</v>
      </c>
      <c r="AJ960" s="44" t="s">
        <v>57</v>
      </c>
      <c r="AK960" s="33">
        <v>2050</v>
      </c>
      <c r="AL960" s="45" t="str">
        <f t="shared" si="133"/>
        <v>*0.84</v>
      </c>
      <c r="AM960" s="43" t="str">
        <f t="shared" si="136"/>
        <v>REZoning_Sol-Win</v>
      </c>
      <c r="AP960" t="s">
        <v>4291</v>
      </c>
      <c r="AQ960" t="s">
        <v>57</v>
      </c>
      <c r="AR960">
        <f t="shared" si="134"/>
        <v>2100</v>
      </c>
      <c r="AS960" t="s">
        <v>919</v>
      </c>
      <c r="AT960" t="s">
        <v>58</v>
      </c>
    </row>
    <row r="961" ht="29" spans="1:46">
      <c r="A961" s="31" t="s">
        <v>79</v>
      </c>
      <c r="C961" t="s">
        <v>4292</v>
      </c>
      <c r="D961" s="5" t="s">
        <v>57</v>
      </c>
      <c r="E961">
        <v>2035</v>
      </c>
      <c r="F961" s="6" t="str">
        <f t="shared" si="128"/>
        <v>*0.94</v>
      </c>
      <c r="H961" t="s">
        <v>4292</v>
      </c>
      <c r="I961" s="5" t="s">
        <v>57</v>
      </c>
      <c r="J961">
        <v>2050</v>
      </c>
      <c r="K961" s="38" t="str">
        <f t="shared" si="129"/>
        <v>*0.9</v>
      </c>
      <c r="P961" s="32" t="s">
        <v>4292</v>
      </c>
      <c r="Q961" s="42" t="s">
        <v>57</v>
      </c>
      <c r="R961" s="32">
        <v>2035</v>
      </c>
      <c r="S961" s="43" t="str">
        <f t="shared" si="130"/>
        <v>*0.92</v>
      </c>
      <c r="U961" s="32" t="s">
        <v>4292</v>
      </c>
      <c r="V961" s="42" t="s">
        <v>57</v>
      </c>
      <c r="W961" s="32">
        <v>2050</v>
      </c>
      <c r="X961" s="43" t="str">
        <f t="shared" si="131"/>
        <v>*0.89</v>
      </c>
      <c r="AC961" s="33" t="s">
        <v>4292</v>
      </c>
      <c r="AD961" s="44" t="s">
        <v>57</v>
      </c>
      <c r="AE961" s="33">
        <v>2035</v>
      </c>
      <c r="AF961" s="45" t="str">
        <f t="shared" si="132"/>
        <v>*0.89</v>
      </c>
      <c r="AG961" s="43" t="str">
        <f t="shared" si="135"/>
        <v>REZoning_Sol-Win</v>
      </c>
      <c r="AI961" s="33" t="s">
        <v>4292</v>
      </c>
      <c r="AJ961" s="44" t="s">
        <v>57</v>
      </c>
      <c r="AK961" s="33">
        <v>2050</v>
      </c>
      <c r="AL961" s="45" t="str">
        <f t="shared" si="133"/>
        <v>*0.84</v>
      </c>
      <c r="AM961" s="43" t="str">
        <f t="shared" si="136"/>
        <v>REZoning_Sol-Win</v>
      </c>
      <c r="AP961" t="s">
        <v>4292</v>
      </c>
      <c r="AQ961" t="s">
        <v>57</v>
      </c>
      <c r="AR961">
        <f t="shared" si="134"/>
        <v>2100</v>
      </c>
      <c r="AS961" t="s">
        <v>919</v>
      </c>
      <c r="AT961" t="s">
        <v>58</v>
      </c>
    </row>
    <row r="962" ht="29" spans="1:46">
      <c r="A962" s="31" t="s">
        <v>79</v>
      </c>
      <c r="C962" t="s">
        <v>4293</v>
      </c>
      <c r="D962" s="5" t="s">
        <v>57</v>
      </c>
      <c r="E962">
        <v>2035</v>
      </c>
      <c r="F962" s="6" t="str">
        <f t="shared" si="128"/>
        <v>*0.94</v>
      </c>
      <c r="H962" t="s">
        <v>4293</v>
      </c>
      <c r="I962" s="5" t="s">
        <v>57</v>
      </c>
      <c r="J962">
        <v>2050</v>
      </c>
      <c r="K962" s="38" t="str">
        <f t="shared" si="129"/>
        <v>*0.9</v>
      </c>
      <c r="P962" s="32" t="s">
        <v>4293</v>
      </c>
      <c r="Q962" s="42" t="s">
        <v>57</v>
      </c>
      <c r="R962" s="32">
        <v>2035</v>
      </c>
      <c r="S962" s="43" t="str">
        <f t="shared" si="130"/>
        <v>*0.92</v>
      </c>
      <c r="U962" s="32" t="s">
        <v>4293</v>
      </c>
      <c r="V962" s="42" t="s">
        <v>57</v>
      </c>
      <c r="W962" s="32">
        <v>2050</v>
      </c>
      <c r="X962" s="43" t="str">
        <f t="shared" si="131"/>
        <v>*0.89</v>
      </c>
      <c r="AC962" s="33" t="s">
        <v>4293</v>
      </c>
      <c r="AD962" s="44" t="s">
        <v>57</v>
      </c>
      <c r="AE962" s="33">
        <v>2035</v>
      </c>
      <c r="AF962" s="45" t="str">
        <f t="shared" si="132"/>
        <v>*0.89</v>
      </c>
      <c r="AG962" s="43" t="str">
        <f t="shared" si="135"/>
        <v>REZoning_Sol-Win</v>
      </c>
      <c r="AI962" s="33" t="s">
        <v>4293</v>
      </c>
      <c r="AJ962" s="44" t="s">
        <v>57</v>
      </c>
      <c r="AK962" s="33">
        <v>2050</v>
      </c>
      <c r="AL962" s="45" t="str">
        <f t="shared" si="133"/>
        <v>*0.84</v>
      </c>
      <c r="AM962" s="43" t="str">
        <f t="shared" si="136"/>
        <v>REZoning_Sol-Win</v>
      </c>
      <c r="AP962" t="s">
        <v>4293</v>
      </c>
      <c r="AQ962" t="s">
        <v>57</v>
      </c>
      <c r="AR962">
        <f t="shared" si="134"/>
        <v>2100</v>
      </c>
      <c r="AS962" t="s">
        <v>919</v>
      </c>
      <c r="AT962" t="s">
        <v>58</v>
      </c>
    </row>
    <row r="963" ht="29" spans="1:46">
      <c r="A963" s="31" t="s">
        <v>79</v>
      </c>
      <c r="C963" t="s">
        <v>4294</v>
      </c>
      <c r="D963" s="5" t="s">
        <v>57</v>
      </c>
      <c r="E963">
        <v>2035</v>
      </c>
      <c r="F963" s="6" t="str">
        <f t="shared" si="128"/>
        <v>*0.94</v>
      </c>
      <c r="H963" t="s">
        <v>4294</v>
      </c>
      <c r="I963" s="5" t="s">
        <v>57</v>
      </c>
      <c r="J963">
        <v>2050</v>
      </c>
      <c r="K963" s="38" t="str">
        <f t="shared" si="129"/>
        <v>*0.9</v>
      </c>
      <c r="P963" s="32" t="s">
        <v>4294</v>
      </c>
      <c r="Q963" s="42" t="s">
        <v>57</v>
      </c>
      <c r="R963" s="32">
        <v>2035</v>
      </c>
      <c r="S963" s="43" t="str">
        <f t="shared" si="130"/>
        <v>*0.92</v>
      </c>
      <c r="U963" s="32" t="s">
        <v>4294</v>
      </c>
      <c r="V963" s="42" t="s">
        <v>57</v>
      </c>
      <c r="W963" s="32">
        <v>2050</v>
      </c>
      <c r="X963" s="43" t="str">
        <f t="shared" si="131"/>
        <v>*0.89</v>
      </c>
      <c r="AC963" s="33" t="s">
        <v>4294</v>
      </c>
      <c r="AD963" s="44" t="s">
        <v>57</v>
      </c>
      <c r="AE963" s="33">
        <v>2035</v>
      </c>
      <c r="AF963" s="45" t="str">
        <f t="shared" si="132"/>
        <v>*0.89</v>
      </c>
      <c r="AG963" s="43" t="str">
        <f t="shared" si="135"/>
        <v>REZoning_Sol-Win</v>
      </c>
      <c r="AI963" s="33" t="s">
        <v>4294</v>
      </c>
      <c r="AJ963" s="44" t="s">
        <v>57</v>
      </c>
      <c r="AK963" s="33">
        <v>2050</v>
      </c>
      <c r="AL963" s="45" t="str">
        <f t="shared" si="133"/>
        <v>*0.84</v>
      </c>
      <c r="AM963" s="43" t="str">
        <f t="shared" si="136"/>
        <v>REZoning_Sol-Win</v>
      </c>
      <c r="AP963" t="s">
        <v>4294</v>
      </c>
      <c r="AQ963" t="s">
        <v>57</v>
      </c>
      <c r="AR963">
        <f t="shared" si="134"/>
        <v>2100</v>
      </c>
      <c r="AS963" t="s">
        <v>919</v>
      </c>
      <c r="AT963" t="s">
        <v>58</v>
      </c>
    </row>
    <row r="964" ht="29" spans="1:46">
      <c r="A964" s="31" t="s">
        <v>79</v>
      </c>
      <c r="C964" t="s">
        <v>4295</v>
      </c>
      <c r="D964" s="5" t="s">
        <v>57</v>
      </c>
      <c r="E964">
        <v>2035</v>
      </c>
      <c r="F964" s="6" t="str">
        <f t="shared" ref="F964:F1027" si="137">"*"&amp;IF(AND(A964="EU",E964=2035),0.95,IF(AND(A964="EU",E964=2050),0.93,IF(AND(A964="USA",E964=2035),0.96,IF(AND(A964="USA",E964=2050),0.94,IF(AND(A964="Japan",E964=2035),0.94,IF(AND(A964="Japan",E964=2050),0.92,IF(AND(A964="Russia",E964=2035),0.95,IF(AND(A964="Russia",E964=2050),0.93,IF(AND(A964="China",E964=2035),0.94,IF(AND(A964="China",E964=2050),0.92,IF(AND(A964="India",E964=2035),0.95,IF(AND(A964="India",E964=2050),0.92,IF(AND(A964="Middle East",E964=2035),0.94,IF(AND(A964="Middle East",E964=2050),0.9,IF(AND(A964="Africa",E964=2035),0.94,IF(AND(A964="Africa",E964=2050),0.91,IF(AND(A964="Brazil",E964=2035),0.95,IF(AND(A964="Brazil",E964=2050),0.92,""))))))))))))))))))</f>
        <v>*0.94</v>
      </c>
      <c r="H964" t="s">
        <v>4295</v>
      </c>
      <c r="I964" s="5" t="s">
        <v>57</v>
      </c>
      <c r="J964">
        <v>2050</v>
      </c>
      <c r="K964" s="38" t="str">
        <f t="shared" ref="K964:K1027" si="138">"*"&amp;IF(AND(A964="EU",J964=2035),0.95,IF(AND(A964="EU",J964=2050),0.93,IF(AND(A964="USA",J964=2035),0.96,IF(AND(A964="USA",J964=2050),0.94,IF(AND(A964="Japan",J964=2035),0.94,IF(AND(A964="Japan",J964=2050),0.92,IF(AND(A964="Russia",J964=2035),0.95,IF(AND(A964="Russia",J964=2050),0.93,IF(AND(A964="China",J964=2035),0.94,IF(AND(A964="China",J964=2050),0.92,IF(AND(A964="India",J964=2035),0.95,IF(AND(A964="India",J964=2050),0.92,IF(AND(A964="Middle East",J964=2035),0.94,IF(AND(A964="Middle East",J964=2050),0.9,IF(AND(A964="Africa",J964=2035),0.94,IF(AND(A964="Africa",J964=2050),0.91,IF(AND(A964="Brazil",J964=2035),0.95,IF(AND(A964="Brazil",J964=2050),0.92,""))))))))))))))))))</f>
        <v>*0.9</v>
      </c>
      <c r="P964" s="32" t="s">
        <v>4295</v>
      </c>
      <c r="Q964" s="42" t="s">
        <v>57</v>
      </c>
      <c r="R964" s="32">
        <v>2035</v>
      </c>
      <c r="S964" s="43" t="str">
        <f t="shared" ref="S964:S1027" si="139">"*"&amp;IF(AND(A964="EU",R964=2035),0.95,IF(AND(A964="EU",R964=2050),0.93,IF(AND(A964="USA",R964=2035),0.96,IF(AND(A964="USA",R964=2050),0.93,IF(AND(A964="Japan",R964=2035),0.94,IF(AND(A964="Japan",R964=2050),0.92,IF(AND(A964="Russia",R964=2035),0.95,IF(AND(A964="Russia",R964=2050),0.91,IF(AND(A964="China",R964=2035),0.93,IF(AND(A964="China",R964=2050),0.92,IF(AND(A964="India",R964=2035),0.94,IF(AND(A964="India",R964=2050),0.91,IF(AND(A964="Middle East",R964=2035),0.92,IF(AND(A964="Middle East",R964=2050),0.89,IF(AND(A964="Africa",R964=2035),0.93,IF(AND(A964="Africa",R964=2050),0.9,IF(AND(A964="Brazil",R964=2035),0.95,IF(AND(A964="Brazil",R964=2050),0.92,""))))))))))))))))))</f>
        <v>*0.92</v>
      </c>
      <c r="U964" s="32" t="s">
        <v>4295</v>
      </c>
      <c r="V964" s="42" t="s">
        <v>57</v>
      </c>
      <c r="W964" s="32">
        <v>2050</v>
      </c>
      <c r="X964" s="43" t="str">
        <f t="shared" ref="X964:X1027" si="140">"*"&amp;IF(AND(A964="EU",W964=2035),0.95,IF(AND(A964="EU",W964=2050),0.93,IF(AND(A964="USA",W964=2035),0.96,IF(AND(A964="USA",W964=2050),0.93,IF(AND(A964="Japan",W964=2035),0.94,IF(AND(A964="Japan",W964=2050),0.92,IF(AND(A964="Russia",W964=2035),0.95,IF(AND(A964="Russia",W964=2050),0.91,IF(AND(A964="China",W964=2035),0.93,IF(AND(A964="China",W964=2050),0.92,IF(AND(A964="India",W964=2035),0.94,IF(AND(A964="India",W964=2050),0.91,IF(AND(A964="Middle East",W964=2035),0.92,IF(AND(A964="Middle East",W964=2050),0.89,IF(AND(A964="Africa",W964=2035),0.93,IF(AND(A964="Africa",W964=2050),0.9,IF(AND(A964="Brazil",W964=2035),0.95,IF(AND(A964="Brazil",W964=2050),0.92,""))))))))))))))))))</f>
        <v>*0.89</v>
      </c>
      <c r="AC964" s="33" t="s">
        <v>4295</v>
      </c>
      <c r="AD964" s="44" t="s">
        <v>57</v>
      </c>
      <c r="AE964" s="33">
        <v>2035</v>
      </c>
      <c r="AF964" s="45" t="str">
        <f t="shared" ref="AF964:AF1027" si="141">"*"&amp;IF(AND(A964="EU",AE964=2035),0.93,IF(AND(A964="EU",AE964=2050),0.9,IF(AND(A964="USA",AE964=2035),0.92,IF(AND(A964="USA",AE964=2050),0.89,IF(AND(A964="Japan",AE964=2035),0.92,IF(AND(A964="Japan",AE964=2050),0.89,IF(AND(A964="Russia",AE964=2035),0.91,IF(AND(A964="Russia",AE964=2050),0.86,IF(AND(A964="China",AE964=2035),0.91,IF(AND(A964="China",AE964=2050),0.87,IF(AND(A964="India",AE964=2035),0.92,IF(AND(A964="India",AE964=2050),0.87,IF(AND(A964="Middle East",AE964=2035),0.89,IF(AND(A964="Middle East",AE964=2050),0.84,IF(AND(A964="Africa",AE964=2035),0.9,IF(AND(A964="Africa",AE964=2050),0.86,IF(AND(A964="Brazil",AE964=2035),0.93,IF(AND(A964="Brazil",AE964=2050),0.89,""))))))))))))))))))</f>
        <v>*0.89</v>
      </c>
      <c r="AG964" s="43" t="str">
        <f t="shared" si="135"/>
        <v>REZoning_Sol-Win</v>
      </c>
      <c r="AI964" s="33" t="s">
        <v>4295</v>
      </c>
      <c r="AJ964" s="44" t="s">
        <v>57</v>
      </c>
      <c r="AK964" s="33">
        <v>2050</v>
      </c>
      <c r="AL964" s="45" t="str">
        <f t="shared" ref="AL964:AL1027" si="142">"*"&amp;IF(AND(A964="EU",AK964=2035),0.93,IF(AND(A964="EU",AK964=2050),0.9,IF(AND(A964="USA",AK964=2035),0.92,IF(AND(A964="USA",AK964=2050),0.89,IF(AND(A964="Japan",AK964=2035),0.92,IF(AND(A964="Japan",AK964=2050),0.89,IF(AND(A964="Russia",AK964=2035),0.91,IF(AND(A964="Russia",AK964=2050),0.86,IF(AND(A964="China",AK964=2035),0.91,IF(AND(A964="China",AK964=2050),0.87,IF(AND(A964="India",AK964=2035),0.92,IF(AND(A964="India",AK964=2050),0.87,IF(AND(A964="Middle East",AK964=2035),0.89,IF(AND(A964="Middle East",AK964=2050),0.84,IF(AND(A964="Africa",AK964=2035),0.9,IF(AND(A964="Africa",AK964=2050),0.86,IF(AND(A964="Brazil",AK964=2035),0.93,IF(AND(A964="Brazil",AK964=2050),0.89,""))))))))))))))))))</f>
        <v>*0.84</v>
      </c>
      <c r="AM964" s="43" t="str">
        <f t="shared" si="136"/>
        <v>REZoning_Sol-Win</v>
      </c>
      <c r="AP964" t="s">
        <v>4295</v>
      </c>
      <c r="AQ964" t="s">
        <v>57</v>
      </c>
      <c r="AR964">
        <f t="shared" si="134"/>
        <v>2100</v>
      </c>
      <c r="AS964" t="s">
        <v>919</v>
      </c>
      <c r="AT964" t="s">
        <v>58</v>
      </c>
    </row>
    <row r="965" ht="29" spans="1:46">
      <c r="A965" s="31" t="s">
        <v>79</v>
      </c>
      <c r="C965" t="s">
        <v>4296</v>
      </c>
      <c r="D965" s="5" t="s">
        <v>57</v>
      </c>
      <c r="E965">
        <v>2035</v>
      </c>
      <c r="F965" s="6" t="str">
        <f t="shared" si="137"/>
        <v>*0.94</v>
      </c>
      <c r="H965" t="s">
        <v>4296</v>
      </c>
      <c r="I965" s="5" t="s">
        <v>57</v>
      </c>
      <c r="J965">
        <v>2050</v>
      </c>
      <c r="K965" s="38" t="str">
        <f t="shared" si="138"/>
        <v>*0.9</v>
      </c>
      <c r="P965" s="32" t="s">
        <v>4296</v>
      </c>
      <c r="Q965" s="42" t="s">
        <v>57</v>
      </c>
      <c r="R965" s="32">
        <v>2035</v>
      </c>
      <c r="S965" s="43" t="str">
        <f t="shared" si="139"/>
        <v>*0.92</v>
      </c>
      <c r="U965" s="32" t="s">
        <v>4296</v>
      </c>
      <c r="V965" s="42" t="s">
        <v>57</v>
      </c>
      <c r="W965" s="32">
        <v>2050</v>
      </c>
      <c r="X965" s="43" t="str">
        <f t="shared" si="140"/>
        <v>*0.89</v>
      </c>
      <c r="AC965" s="33" t="s">
        <v>4296</v>
      </c>
      <c r="AD965" s="44" t="s">
        <v>57</v>
      </c>
      <c r="AE965" s="33">
        <v>2035</v>
      </c>
      <c r="AF965" s="45" t="str">
        <f t="shared" si="141"/>
        <v>*0.89</v>
      </c>
      <c r="AG965" s="43" t="str">
        <f t="shared" si="135"/>
        <v>REZoning_Sol-Win</v>
      </c>
      <c r="AI965" s="33" t="s">
        <v>4296</v>
      </c>
      <c r="AJ965" s="44" t="s">
        <v>57</v>
      </c>
      <c r="AK965" s="33">
        <v>2050</v>
      </c>
      <c r="AL965" s="45" t="str">
        <f t="shared" si="142"/>
        <v>*0.84</v>
      </c>
      <c r="AM965" s="43" t="str">
        <f t="shared" si="136"/>
        <v>REZoning_Sol-Win</v>
      </c>
      <c r="AP965" t="s">
        <v>4296</v>
      </c>
      <c r="AQ965" t="s">
        <v>57</v>
      </c>
      <c r="AR965">
        <f t="shared" si="134"/>
        <v>2100</v>
      </c>
      <c r="AS965" t="s">
        <v>919</v>
      </c>
      <c r="AT965" t="s">
        <v>58</v>
      </c>
    </row>
    <row r="966" ht="29" spans="1:46">
      <c r="A966" s="31" t="s">
        <v>79</v>
      </c>
      <c r="C966" t="s">
        <v>4297</v>
      </c>
      <c r="D966" s="5" t="s">
        <v>57</v>
      </c>
      <c r="E966">
        <v>2035</v>
      </c>
      <c r="F966" s="6" t="str">
        <f t="shared" si="137"/>
        <v>*0.94</v>
      </c>
      <c r="H966" t="s">
        <v>4297</v>
      </c>
      <c r="I966" s="5" t="s">
        <v>57</v>
      </c>
      <c r="J966">
        <v>2050</v>
      </c>
      <c r="K966" s="38" t="str">
        <f t="shared" si="138"/>
        <v>*0.9</v>
      </c>
      <c r="P966" s="32" t="s">
        <v>4297</v>
      </c>
      <c r="Q966" s="42" t="s">
        <v>57</v>
      </c>
      <c r="R966" s="32">
        <v>2035</v>
      </c>
      <c r="S966" s="43" t="str">
        <f t="shared" si="139"/>
        <v>*0.92</v>
      </c>
      <c r="U966" s="32" t="s">
        <v>4297</v>
      </c>
      <c r="V966" s="42" t="s">
        <v>57</v>
      </c>
      <c r="W966" s="32">
        <v>2050</v>
      </c>
      <c r="X966" s="43" t="str">
        <f t="shared" si="140"/>
        <v>*0.89</v>
      </c>
      <c r="AC966" s="33" t="s">
        <v>4297</v>
      </c>
      <c r="AD966" s="44" t="s">
        <v>57</v>
      </c>
      <c r="AE966" s="33">
        <v>2035</v>
      </c>
      <c r="AF966" s="45" t="str">
        <f t="shared" si="141"/>
        <v>*0.89</v>
      </c>
      <c r="AG966" s="43" t="str">
        <f t="shared" si="135"/>
        <v>REZoning_Sol-Win</v>
      </c>
      <c r="AI966" s="33" t="s">
        <v>4297</v>
      </c>
      <c r="AJ966" s="44" t="s">
        <v>57</v>
      </c>
      <c r="AK966" s="33">
        <v>2050</v>
      </c>
      <c r="AL966" s="45" t="str">
        <f t="shared" si="142"/>
        <v>*0.84</v>
      </c>
      <c r="AM966" s="43" t="str">
        <f t="shared" si="136"/>
        <v>REZoning_Sol-Win</v>
      </c>
      <c r="AP966" t="s">
        <v>4297</v>
      </c>
      <c r="AQ966" t="s">
        <v>57</v>
      </c>
      <c r="AR966">
        <f t="shared" ref="AR966:AR1029" si="143">AR965</f>
        <v>2100</v>
      </c>
      <c r="AS966" t="s">
        <v>919</v>
      </c>
      <c r="AT966" t="s">
        <v>58</v>
      </c>
    </row>
    <row r="967" ht="29" spans="1:46">
      <c r="A967" s="31" t="s">
        <v>79</v>
      </c>
      <c r="C967" t="s">
        <v>4298</v>
      </c>
      <c r="D967" s="5" t="s">
        <v>57</v>
      </c>
      <c r="E967">
        <v>2035</v>
      </c>
      <c r="F967" s="6" t="str">
        <f t="shared" si="137"/>
        <v>*0.94</v>
      </c>
      <c r="H967" t="s">
        <v>4298</v>
      </c>
      <c r="I967" s="5" t="s">
        <v>57</v>
      </c>
      <c r="J967">
        <v>2050</v>
      </c>
      <c r="K967" s="38" t="str">
        <f t="shared" si="138"/>
        <v>*0.9</v>
      </c>
      <c r="P967" s="32" t="s">
        <v>4298</v>
      </c>
      <c r="Q967" s="42" t="s">
        <v>57</v>
      </c>
      <c r="R967" s="32">
        <v>2035</v>
      </c>
      <c r="S967" s="43" t="str">
        <f t="shared" si="139"/>
        <v>*0.92</v>
      </c>
      <c r="U967" s="32" t="s">
        <v>4298</v>
      </c>
      <c r="V967" s="42" t="s">
        <v>57</v>
      </c>
      <c r="W967" s="32">
        <v>2050</v>
      </c>
      <c r="X967" s="43" t="str">
        <f t="shared" si="140"/>
        <v>*0.89</v>
      </c>
      <c r="AC967" s="33" t="s">
        <v>4298</v>
      </c>
      <c r="AD967" s="44" t="s">
        <v>57</v>
      </c>
      <c r="AE967" s="33">
        <v>2035</v>
      </c>
      <c r="AF967" s="45" t="str">
        <f t="shared" si="141"/>
        <v>*0.89</v>
      </c>
      <c r="AG967" s="43" t="str">
        <f t="shared" si="135"/>
        <v>REZoning_Sol-Win</v>
      </c>
      <c r="AI967" s="33" t="s">
        <v>4298</v>
      </c>
      <c r="AJ967" s="44" t="s">
        <v>57</v>
      </c>
      <c r="AK967" s="33">
        <v>2050</v>
      </c>
      <c r="AL967" s="45" t="str">
        <f t="shared" si="142"/>
        <v>*0.84</v>
      </c>
      <c r="AM967" s="43" t="str">
        <f t="shared" si="136"/>
        <v>REZoning_Sol-Win</v>
      </c>
      <c r="AP967" t="s">
        <v>4298</v>
      </c>
      <c r="AQ967" t="s">
        <v>57</v>
      </c>
      <c r="AR967">
        <f t="shared" si="143"/>
        <v>2100</v>
      </c>
      <c r="AS967" t="s">
        <v>919</v>
      </c>
      <c r="AT967" t="s">
        <v>58</v>
      </c>
    </row>
    <row r="968" ht="29" spans="1:46">
      <c r="A968" s="31" t="s">
        <v>79</v>
      </c>
      <c r="C968" t="s">
        <v>4299</v>
      </c>
      <c r="D968" s="5" t="s">
        <v>57</v>
      </c>
      <c r="E968">
        <v>2035</v>
      </c>
      <c r="F968" s="6" t="str">
        <f t="shared" si="137"/>
        <v>*0.94</v>
      </c>
      <c r="H968" t="s">
        <v>4299</v>
      </c>
      <c r="I968" s="5" t="s">
        <v>57</v>
      </c>
      <c r="J968">
        <v>2050</v>
      </c>
      <c r="K968" s="38" t="str">
        <f t="shared" si="138"/>
        <v>*0.9</v>
      </c>
      <c r="P968" s="32" t="s">
        <v>4299</v>
      </c>
      <c r="Q968" s="42" t="s">
        <v>57</v>
      </c>
      <c r="R968" s="32">
        <v>2035</v>
      </c>
      <c r="S968" s="43" t="str">
        <f t="shared" si="139"/>
        <v>*0.92</v>
      </c>
      <c r="U968" s="32" t="s">
        <v>4299</v>
      </c>
      <c r="V968" s="42" t="s">
        <v>57</v>
      </c>
      <c r="W968" s="32">
        <v>2050</v>
      </c>
      <c r="X968" s="43" t="str">
        <f t="shared" si="140"/>
        <v>*0.89</v>
      </c>
      <c r="AC968" s="33" t="s">
        <v>4299</v>
      </c>
      <c r="AD968" s="44" t="s">
        <v>57</v>
      </c>
      <c r="AE968" s="33">
        <v>2035</v>
      </c>
      <c r="AF968" s="45" t="str">
        <f t="shared" si="141"/>
        <v>*0.89</v>
      </c>
      <c r="AG968" s="43" t="str">
        <f t="shared" si="135"/>
        <v>REZoning_Sol-Win</v>
      </c>
      <c r="AI968" s="33" t="s">
        <v>4299</v>
      </c>
      <c r="AJ968" s="44" t="s">
        <v>57</v>
      </c>
      <c r="AK968" s="33">
        <v>2050</v>
      </c>
      <c r="AL968" s="45" t="str">
        <f t="shared" si="142"/>
        <v>*0.84</v>
      </c>
      <c r="AM968" s="43" t="str">
        <f t="shared" si="136"/>
        <v>REZoning_Sol-Win</v>
      </c>
      <c r="AP968" t="s">
        <v>4299</v>
      </c>
      <c r="AQ968" t="s">
        <v>57</v>
      </c>
      <c r="AR968">
        <f t="shared" si="143"/>
        <v>2100</v>
      </c>
      <c r="AS968" t="s">
        <v>919</v>
      </c>
      <c r="AT968" t="s">
        <v>58</v>
      </c>
    </row>
    <row r="969" ht="29" spans="1:46">
      <c r="A969" s="31" t="s">
        <v>95</v>
      </c>
      <c r="C969" t="s">
        <v>4300</v>
      </c>
      <c r="D969" s="5" t="s">
        <v>57</v>
      </c>
      <c r="E969">
        <v>2035</v>
      </c>
      <c r="F969" s="6" t="str">
        <f t="shared" si="137"/>
        <v>*0.95</v>
      </c>
      <c r="H969" t="s">
        <v>4300</v>
      </c>
      <c r="I969" s="5" t="s">
        <v>57</v>
      </c>
      <c r="J969">
        <v>2050</v>
      </c>
      <c r="K969" s="38" t="str">
        <f t="shared" si="138"/>
        <v>*0.93</v>
      </c>
      <c r="P969" s="32" t="s">
        <v>4300</v>
      </c>
      <c r="Q969" s="42" t="s">
        <v>57</v>
      </c>
      <c r="R969" s="32">
        <v>2035</v>
      </c>
      <c r="S969" s="43" t="str">
        <f t="shared" si="139"/>
        <v>*0.95</v>
      </c>
      <c r="U969" s="32" t="s">
        <v>4300</v>
      </c>
      <c r="V969" s="42" t="s">
        <v>57</v>
      </c>
      <c r="W969" s="32">
        <v>2050</v>
      </c>
      <c r="X969" s="43" t="str">
        <f t="shared" si="140"/>
        <v>*0.91</v>
      </c>
      <c r="AC969" s="33" t="s">
        <v>4300</v>
      </c>
      <c r="AD969" s="44" t="s">
        <v>57</v>
      </c>
      <c r="AE969" s="33">
        <v>2035</v>
      </c>
      <c r="AF969" s="45" t="str">
        <f t="shared" si="141"/>
        <v>*0.91</v>
      </c>
      <c r="AG969" s="43" t="str">
        <f t="shared" ref="AG969:AG1032" si="144">AG968</f>
        <v>REZoning_Sol-Win</v>
      </c>
      <c r="AI969" s="33" t="s">
        <v>4300</v>
      </c>
      <c r="AJ969" s="44" t="s">
        <v>57</v>
      </c>
      <c r="AK969" s="33">
        <v>2050</v>
      </c>
      <c r="AL969" s="45" t="str">
        <f t="shared" si="142"/>
        <v>*0.86</v>
      </c>
      <c r="AM969" s="43" t="str">
        <f t="shared" ref="AM969:AM1032" si="145">AM968</f>
        <v>REZoning_Sol-Win</v>
      </c>
      <c r="AP969" t="s">
        <v>4300</v>
      </c>
      <c r="AQ969" t="s">
        <v>57</v>
      </c>
      <c r="AR969">
        <f t="shared" si="143"/>
        <v>2100</v>
      </c>
      <c r="AS969" t="s">
        <v>883</v>
      </c>
      <c r="AT969" t="s">
        <v>58</v>
      </c>
    </row>
    <row r="970" ht="29" spans="1:46">
      <c r="A970" s="31" t="s">
        <v>95</v>
      </c>
      <c r="C970" t="s">
        <v>4301</v>
      </c>
      <c r="D970" s="5" t="s">
        <v>57</v>
      </c>
      <c r="E970">
        <v>2035</v>
      </c>
      <c r="F970" s="6" t="str">
        <f t="shared" si="137"/>
        <v>*0.95</v>
      </c>
      <c r="H970" t="s">
        <v>4301</v>
      </c>
      <c r="I970" s="5" t="s">
        <v>57</v>
      </c>
      <c r="J970">
        <v>2050</v>
      </c>
      <c r="K970" s="38" t="str">
        <f t="shared" si="138"/>
        <v>*0.93</v>
      </c>
      <c r="P970" s="32" t="s">
        <v>4301</v>
      </c>
      <c r="Q970" s="42" t="s">
        <v>57</v>
      </c>
      <c r="R970" s="32">
        <v>2035</v>
      </c>
      <c r="S970" s="43" t="str">
        <f t="shared" si="139"/>
        <v>*0.95</v>
      </c>
      <c r="U970" s="32" t="s">
        <v>4301</v>
      </c>
      <c r="V970" s="42" t="s">
        <v>57</v>
      </c>
      <c r="W970" s="32">
        <v>2050</v>
      </c>
      <c r="X970" s="43" t="str">
        <f t="shared" si="140"/>
        <v>*0.91</v>
      </c>
      <c r="AC970" s="33" t="s">
        <v>4301</v>
      </c>
      <c r="AD970" s="44" t="s">
        <v>57</v>
      </c>
      <c r="AE970" s="33">
        <v>2035</v>
      </c>
      <c r="AF970" s="45" t="str">
        <f t="shared" si="141"/>
        <v>*0.91</v>
      </c>
      <c r="AG970" s="43" t="str">
        <f t="shared" si="144"/>
        <v>REZoning_Sol-Win</v>
      </c>
      <c r="AI970" s="33" t="s">
        <v>4301</v>
      </c>
      <c r="AJ970" s="44" t="s">
        <v>57</v>
      </c>
      <c r="AK970" s="33">
        <v>2050</v>
      </c>
      <c r="AL970" s="45" t="str">
        <f t="shared" si="142"/>
        <v>*0.86</v>
      </c>
      <c r="AM970" s="43" t="str">
        <f t="shared" si="145"/>
        <v>REZoning_Sol-Win</v>
      </c>
      <c r="AP970" t="s">
        <v>4301</v>
      </c>
      <c r="AQ970" t="s">
        <v>57</v>
      </c>
      <c r="AR970">
        <f t="shared" si="143"/>
        <v>2100</v>
      </c>
      <c r="AS970" t="s">
        <v>883</v>
      </c>
      <c r="AT970" t="s">
        <v>58</v>
      </c>
    </row>
    <row r="971" ht="29" spans="1:46">
      <c r="A971" s="31" t="s">
        <v>95</v>
      </c>
      <c r="C971" t="s">
        <v>4302</v>
      </c>
      <c r="D971" s="5" t="s">
        <v>57</v>
      </c>
      <c r="E971">
        <v>2035</v>
      </c>
      <c r="F971" s="6" t="str">
        <f t="shared" si="137"/>
        <v>*0.95</v>
      </c>
      <c r="H971" t="s">
        <v>4302</v>
      </c>
      <c r="I971" s="5" t="s">
        <v>57</v>
      </c>
      <c r="J971">
        <v>2050</v>
      </c>
      <c r="K971" s="38" t="str">
        <f t="shared" si="138"/>
        <v>*0.93</v>
      </c>
      <c r="P971" s="32" t="s">
        <v>4302</v>
      </c>
      <c r="Q971" s="42" t="s">
        <v>57</v>
      </c>
      <c r="R971" s="32">
        <v>2035</v>
      </c>
      <c r="S971" s="43" t="str">
        <f t="shared" si="139"/>
        <v>*0.95</v>
      </c>
      <c r="U971" s="32" t="s">
        <v>4302</v>
      </c>
      <c r="V971" s="42" t="s">
        <v>57</v>
      </c>
      <c r="W971" s="32">
        <v>2050</v>
      </c>
      <c r="X971" s="43" t="str">
        <f t="shared" si="140"/>
        <v>*0.91</v>
      </c>
      <c r="AC971" s="33" t="s">
        <v>4302</v>
      </c>
      <c r="AD971" s="44" t="s">
        <v>57</v>
      </c>
      <c r="AE971" s="33">
        <v>2035</v>
      </c>
      <c r="AF971" s="45" t="str">
        <f t="shared" si="141"/>
        <v>*0.91</v>
      </c>
      <c r="AG971" s="43" t="str">
        <f t="shared" si="144"/>
        <v>REZoning_Sol-Win</v>
      </c>
      <c r="AI971" s="33" t="s">
        <v>4302</v>
      </c>
      <c r="AJ971" s="44" t="s">
        <v>57</v>
      </c>
      <c r="AK971" s="33">
        <v>2050</v>
      </c>
      <c r="AL971" s="45" t="str">
        <f t="shared" si="142"/>
        <v>*0.86</v>
      </c>
      <c r="AM971" s="43" t="str">
        <f t="shared" si="145"/>
        <v>REZoning_Sol-Win</v>
      </c>
      <c r="AP971" t="s">
        <v>4302</v>
      </c>
      <c r="AQ971" t="s">
        <v>57</v>
      </c>
      <c r="AR971">
        <f t="shared" si="143"/>
        <v>2100</v>
      </c>
      <c r="AS971" t="s">
        <v>883</v>
      </c>
      <c r="AT971" t="s">
        <v>58</v>
      </c>
    </row>
    <row r="972" ht="29" spans="1:46">
      <c r="A972" s="31" t="s">
        <v>95</v>
      </c>
      <c r="C972" t="s">
        <v>4303</v>
      </c>
      <c r="D972" s="5" t="s">
        <v>57</v>
      </c>
      <c r="E972">
        <v>2035</v>
      </c>
      <c r="F972" s="6" t="str">
        <f t="shared" si="137"/>
        <v>*0.95</v>
      </c>
      <c r="H972" t="s">
        <v>4303</v>
      </c>
      <c r="I972" s="5" t="s">
        <v>57</v>
      </c>
      <c r="J972">
        <v>2050</v>
      </c>
      <c r="K972" s="38" t="str">
        <f t="shared" si="138"/>
        <v>*0.93</v>
      </c>
      <c r="P972" s="32" t="s">
        <v>4303</v>
      </c>
      <c r="Q972" s="42" t="s">
        <v>57</v>
      </c>
      <c r="R972" s="32">
        <v>2035</v>
      </c>
      <c r="S972" s="43" t="str">
        <f t="shared" si="139"/>
        <v>*0.95</v>
      </c>
      <c r="U972" s="32" t="s">
        <v>4303</v>
      </c>
      <c r="V972" s="42" t="s">
        <v>57</v>
      </c>
      <c r="W972" s="32">
        <v>2050</v>
      </c>
      <c r="X972" s="43" t="str">
        <f t="shared" si="140"/>
        <v>*0.91</v>
      </c>
      <c r="AC972" s="33" t="s">
        <v>4303</v>
      </c>
      <c r="AD972" s="44" t="s">
        <v>57</v>
      </c>
      <c r="AE972" s="33">
        <v>2035</v>
      </c>
      <c r="AF972" s="45" t="str">
        <f t="shared" si="141"/>
        <v>*0.91</v>
      </c>
      <c r="AG972" s="43" t="str">
        <f t="shared" si="144"/>
        <v>REZoning_Sol-Win</v>
      </c>
      <c r="AI972" s="33" t="s">
        <v>4303</v>
      </c>
      <c r="AJ972" s="44" t="s">
        <v>57</v>
      </c>
      <c r="AK972" s="33">
        <v>2050</v>
      </c>
      <c r="AL972" s="45" t="str">
        <f t="shared" si="142"/>
        <v>*0.86</v>
      </c>
      <c r="AM972" s="43" t="str">
        <f t="shared" si="145"/>
        <v>REZoning_Sol-Win</v>
      </c>
      <c r="AP972" t="s">
        <v>4303</v>
      </c>
      <c r="AQ972" t="s">
        <v>57</v>
      </c>
      <c r="AR972">
        <f t="shared" si="143"/>
        <v>2100</v>
      </c>
      <c r="AS972" t="s">
        <v>883</v>
      </c>
      <c r="AT972" t="s">
        <v>58</v>
      </c>
    </row>
    <row r="973" ht="29" spans="1:46">
      <c r="A973" s="31" t="s">
        <v>95</v>
      </c>
      <c r="C973" t="s">
        <v>4304</v>
      </c>
      <c r="D973" s="5" t="s">
        <v>57</v>
      </c>
      <c r="E973">
        <v>2035</v>
      </c>
      <c r="F973" s="6" t="str">
        <f t="shared" si="137"/>
        <v>*0.95</v>
      </c>
      <c r="H973" t="s">
        <v>4304</v>
      </c>
      <c r="I973" s="5" t="s">
        <v>57</v>
      </c>
      <c r="J973">
        <v>2050</v>
      </c>
      <c r="K973" s="38" t="str">
        <f t="shared" si="138"/>
        <v>*0.93</v>
      </c>
      <c r="P973" s="32" t="s">
        <v>4304</v>
      </c>
      <c r="Q973" s="42" t="s">
        <v>57</v>
      </c>
      <c r="R973" s="32">
        <v>2035</v>
      </c>
      <c r="S973" s="43" t="str">
        <f t="shared" si="139"/>
        <v>*0.95</v>
      </c>
      <c r="U973" s="32" t="s">
        <v>4304</v>
      </c>
      <c r="V973" s="42" t="s">
        <v>57</v>
      </c>
      <c r="W973" s="32">
        <v>2050</v>
      </c>
      <c r="X973" s="43" t="str">
        <f t="shared" si="140"/>
        <v>*0.91</v>
      </c>
      <c r="AC973" s="33" t="s">
        <v>4304</v>
      </c>
      <c r="AD973" s="44" t="s">
        <v>57</v>
      </c>
      <c r="AE973" s="33">
        <v>2035</v>
      </c>
      <c r="AF973" s="45" t="str">
        <f t="shared" si="141"/>
        <v>*0.91</v>
      </c>
      <c r="AG973" s="43" t="str">
        <f t="shared" si="144"/>
        <v>REZoning_Sol-Win</v>
      </c>
      <c r="AI973" s="33" t="s">
        <v>4304</v>
      </c>
      <c r="AJ973" s="44" t="s">
        <v>57</v>
      </c>
      <c r="AK973" s="33">
        <v>2050</v>
      </c>
      <c r="AL973" s="45" t="str">
        <f t="shared" si="142"/>
        <v>*0.86</v>
      </c>
      <c r="AM973" s="43" t="str">
        <f t="shared" si="145"/>
        <v>REZoning_Sol-Win</v>
      </c>
      <c r="AP973" t="s">
        <v>4304</v>
      </c>
      <c r="AQ973" t="s">
        <v>57</v>
      </c>
      <c r="AR973">
        <f t="shared" si="143"/>
        <v>2100</v>
      </c>
      <c r="AS973" t="s">
        <v>883</v>
      </c>
      <c r="AT973" t="s">
        <v>58</v>
      </c>
    </row>
    <row r="974" ht="29" spans="1:46">
      <c r="A974" s="31" t="s">
        <v>83</v>
      </c>
      <c r="C974" t="s">
        <v>4305</v>
      </c>
      <c r="D974" s="5" t="s">
        <v>57</v>
      </c>
      <c r="E974">
        <v>2035</v>
      </c>
      <c r="F974" s="6" t="str">
        <f t="shared" si="137"/>
        <v>*0.95</v>
      </c>
      <c r="H974" t="s">
        <v>4305</v>
      </c>
      <c r="I974" s="5" t="s">
        <v>57</v>
      </c>
      <c r="J974">
        <v>2050</v>
      </c>
      <c r="K974" s="38" t="str">
        <f t="shared" si="138"/>
        <v>*0.92</v>
      </c>
      <c r="P974" s="32" t="s">
        <v>4305</v>
      </c>
      <c r="Q974" s="42" t="s">
        <v>57</v>
      </c>
      <c r="R974" s="32">
        <v>2035</v>
      </c>
      <c r="S974" s="43" t="str">
        <f t="shared" si="139"/>
        <v>*0.95</v>
      </c>
      <c r="U974" s="32" t="s">
        <v>4305</v>
      </c>
      <c r="V974" s="42" t="s">
        <v>57</v>
      </c>
      <c r="W974" s="32">
        <v>2050</v>
      </c>
      <c r="X974" s="43" t="str">
        <f t="shared" si="140"/>
        <v>*0.92</v>
      </c>
      <c r="AC974" s="33" t="s">
        <v>4305</v>
      </c>
      <c r="AD974" s="44" t="s">
        <v>57</v>
      </c>
      <c r="AE974" s="33">
        <v>2035</v>
      </c>
      <c r="AF974" s="45" t="str">
        <f t="shared" si="141"/>
        <v>*0.93</v>
      </c>
      <c r="AG974" s="43" t="str">
        <f t="shared" si="144"/>
        <v>REZoning_Sol-Win</v>
      </c>
      <c r="AI974" s="33" t="s">
        <v>4305</v>
      </c>
      <c r="AJ974" s="44" t="s">
        <v>57</v>
      </c>
      <c r="AK974" s="33">
        <v>2050</v>
      </c>
      <c r="AL974" s="45" t="str">
        <f t="shared" si="142"/>
        <v>*0.89</v>
      </c>
      <c r="AM974" s="43" t="str">
        <f t="shared" si="145"/>
        <v>REZoning_Sol-Win</v>
      </c>
      <c r="AP974" t="s">
        <v>4305</v>
      </c>
      <c r="AQ974" t="s">
        <v>57</v>
      </c>
      <c r="AR974">
        <f t="shared" si="143"/>
        <v>2100</v>
      </c>
      <c r="AS974" t="s">
        <v>937</v>
      </c>
      <c r="AT974" t="s">
        <v>58</v>
      </c>
    </row>
    <row r="975" ht="29" spans="1:46">
      <c r="A975" s="31" t="s">
        <v>83</v>
      </c>
      <c r="C975" t="s">
        <v>4306</v>
      </c>
      <c r="D975" s="5" t="s">
        <v>57</v>
      </c>
      <c r="E975">
        <v>2035</v>
      </c>
      <c r="F975" s="6" t="str">
        <f t="shared" si="137"/>
        <v>*0.95</v>
      </c>
      <c r="H975" t="s">
        <v>4306</v>
      </c>
      <c r="I975" s="5" t="s">
        <v>57</v>
      </c>
      <c r="J975">
        <v>2050</v>
      </c>
      <c r="K975" s="38" t="str">
        <f t="shared" si="138"/>
        <v>*0.92</v>
      </c>
      <c r="P975" s="32" t="s">
        <v>4306</v>
      </c>
      <c r="Q975" s="42" t="s">
        <v>57</v>
      </c>
      <c r="R975" s="32">
        <v>2035</v>
      </c>
      <c r="S975" s="43" t="str">
        <f t="shared" si="139"/>
        <v>*0.95</v>
      </c>
      <c r="U975" s="32" t="s">
        <v>4306</v>
      </c>
      <c r="V975" s="42" t="s">
        <v>57</v>
      </c>
      <c r="W975" s="32">
        <v>2050</v>
      </c>
      <c r="X975" s="43" t="str">
        <f t="shared" si="140"/>
        <v>*0.92</v>
      </c>
      <c r="AC975" s="33" t="s">
        <v>4306</v>
      </c>
      <c r="AD975" s="44" t="s">
        <v>57</v>
      </c>
      <c r="AE975" s="33">
        <v>2035</v>
      </c>
      <c r="AF975" s="45" t="str">
        <f t="shared" si="141"/>
        <v>*0.93</v>
      </c>
      <c r="AG975" s="43" t="str">
        <f t="shared" si="144"/>
        <v>REZoning_Sol-Win</v>
      </c>
      <c r="AI975" s="33" t="s">
        <v>4306</v>
      </c>
      <c r="AJ975" s="44" t="s">
        <v>57</v>
      </c>
      <c r="AK975" s="33">
        <v>2050</v>
      </c>
      <c r="AL975" s="45" t="str">
        <f t="shared" si="142"/>
        <v>*0.89</v>
      </c>
      <c r="AM975" s="43" t="str">
        <f t="shared" si="145"/>
        <v>REZoning_Sol-Win</v>
      </c>
      <c r="AP975" t="s">
        <v>4306</v>
      </c>
      <c r="AQ975" t="s">
        <v>57</v>
      </c>
      <c r="AR975">
        <f t="shared" si="143"/>
        <v>2100</v>
      </c>
      <c r="AS975" t="s">
        <v>937</v>
      </c>
      <c r="AT975" t="s">
        <v>58</v>
      </c>
    </row>
    <row r="976" ht="29" spans="1:46">
      <c r="A976" s="31" t="s">
        <v>83</v>
      </c>
      <c r="C976" t="s">
        <v>4307</v>
      </c>
      <c r="D976" s="5" t="s">
        <v>57</v>
      </c>
      <c r="E976">
        <v>2035</v>
      </c>
      <c r="F976" s="6" t="str">
        <f t="shared" si="137"/>
        <v>*0.95</v>
      </c>
      <c r="H976" t="s">
        <v>4307</v>
      </c>
      <c r="I976" s="5" t="s">
        <v>57</v>
      </c>
      <c r="J976">
        <v>2050</v>
      </c>
      <c r="K976" s="38" t="str">
        <f t="shared" si="138"/>
        <v>*0.92</v>
      </c>
      <c r="P976" s="32" t="s">
        <v>4307</v>
      </c>
      <c r="Q976" s="42" t="s">
        <v>57</v>
      </c>
      <c r="R976" s="32">
        <v>2035</v>
      </c>
      <c r="S976" s="43" t="str">
        <f t="shared" si="139"/>
        <v>*0.95</v>
      </c>
      <c r="U976" s="32" t="s">
        <v>4307</v>
      </c>
      <c r="V976" s="42" t="s">
        <v>57</v>
      </c>
      <c r="W976" s="32">
        <v>2050</v>
      </c>
      <c r="X976" s="43" t="str">
        <f t="shared" si="140"/>
        <v>*0.92</v>
      </c>
      <c r="AC976" s="33" t="s">
        <v>4307</v>
      </c>
      <c r="AD976" s="44" t="s">
        <v>57</v>
      </c>
      <c r="AE976" s="33">
        <v>2035</v>
      </c>
      <c r="AF976" s="45" t="str">
        <f t="shared" si="141"/>
        <v>*0.93</v>
      </c>
      <c r="AG976" s="43" t="str">
        <f t="shared" si="144"/>
        <v>REZoning_Sol-Win</v>
      </c>
      <c r="AI976" s="33" t="s">
        <v>4307</v>
      </c>
      <c r="AJ976" s="44" t="s">
        <v>57</v>
      </c>
      <c r="AK976" s="33">
        <v>2050</v>
      </c>
      <c r="AL976" s="45" t="str">
        <f t="shared" si="142"/>
        <v>*0.89</v>
      </c>
      <c r="AM976" s="43" t="str">
        <f t="shared" si="145"/>
        <v>REZoning_Sol-Win</v>
      </c>
      <c r="AP976" t="s">
        <v>4307</v>
      </c>
      <c r="AQ976" t="s">
        <v>57</v>
      </c>
      <c r="AR976">
        <f t="shared" si="143"/>
        <v>2100</v>
      </c>
      <c r="AS976" t="s">
        <v>937</v>
      </c>
      <c r="AT976" t="s">
        <v>58</v>
      </c>
    </row>
    <row r="977" ht="29" spans="1:46">
      <c r="A977" s="31" t="s">
        <v>83</v>
      </c>
      <c r="C977" t="s">
        <v>4308</v>
      </c>
      <c r="D977" s="5" t="s">
        <v>57</v>
      </c>
      <c r="E977">
        <v>2035</v>
      </c>
      <c r="F977" s="6" t="str">
        <f t="shared" si="137"/>
        <v>*0.95</v>
      </c>
      <c r="H977" t="s">
        <v>4308</v>
      </c>
      <c r="I977" s="5" t="s">
        <v>57</v>
      </c>
      <c r="J977">
        <v>2050</v>
      </c>
      <c r="K977" s="38" t="str">
        <f t="shared" si="138"/>
        <v>*0.92</v>
      </c>
      <c r="P977" s="32" t="s">
        <v>4308</v>
      </c>
      <c r="Q977" s="42" t="s">
        <v>57</v>
      </c>
      <c r="R977" s="32">
        <v>2035</v>
      </c>
      <c r="S977" s="43" t="str">
        <f t="shared" si="139"/>
        <v>*0.95</v>
      </c>
      <c r="U977" s="32" t="s">
        <v>4308</v>
      </c>
      <c r="V977" s="42" t="s">
        <v>57</v>
      </c>
      <c r="W977" s="32">
        <v>2050</v>
      </c>
      <c r="X977" s="43" t="str">
        <f t="shared" si="140"/>
        <v>*0.92</v>
      </c>
      <c r="AC977" s="33" t="s">
        <v>4308</v>
      </c>
      <c r="AD977" s="44" t="s">
        <v>57</v>
      </c>
      <c r="AE977" s="33">
        <v>2035</v>
      </c>
      <c r="AF977" s="45" t="str">
        <f t="shared" si="141"/>
        <v>*0.93</v>
      </c>
      <c r="AG977" s="43" t="str">
        <f t="shared" si="144"/>
        <v>REZoning_Sol-Win</v>
      </c>
      <c r="AI977" s="33" t="s">
        <v>4308</v>
      </c>
      <c r="AJ977" s="44" t="s">
        <v>57</v>
      </c>
      <c r="AK977" s="33">
        <v>2050</v>
      </c>
      <c r="AL977" s="45" t="str">
        <f t="shared" si="142"/>
        <v>*0.89</v>
      </c>
      <c r="AM977" s="43" t="str">
        <f t="shared" si="145"/>
        <v>REZoning_Sol-Win</v>
      </c>
      <c r="AP977" t="s">
        <v>4308</v>
      </c>
      <c r="AQ977" t="s">
        <v>57</v>
      </c>
      <c r="AR977">
        <f t="shared" si="143"/>
        <v>2100</v>
      </c>
      <c r="AS977" t="s">
        <v>937</v>
      </c>
      <c r="AT977" t="s">
        <v>58</v>
      </c>
    </row>
    <row r="978" ht="29" spans="1:46">
      <c r="A978" s="31" t="s">
        <v>83</v>
      </c>
      <c r="C978" t="s">
        <v>4309</v>
      </c>
      <c r="D978" s="5" t="s">
        <v>57</v>
      </c>
      <c r="E978">
        <v>2035</v>
      </c>
      <c r="F978" s="6" t="str">
        <f t="shared" si="137"/>
        <v>*0.95</v>
      </c>
      <c r="H978" t="s">
        <v>4309</v>
      </c>
      <c r="I978" s="5" t="s">
        <v>57</v>
      </c>
      <c r="J978">
        <v>2050</v>
      </c>
      <c r="K978" s="38" t="str">
        <f t="shared" si="138"/>
        <v>*0.92</v>
      </c>
      <c r="P978" s="32" t="s">
        <v>4309</v>
      </c>
      <c r="Q978" s="42" t="s">
        <v>57</v>
      </c>
      <c r="R978" s="32">
        <v>2035</v>
      </c>
      <c r="S978" s="43" t="str">
        <f t="shared" si="139"/>
        <v>*0.95</v>
      </c>
      <c r="U978" s="32" t="s">
        <v>4309</v>
      </c>
      <c r="V978" s="42" t="s">
        <v>57</v>
      </c>
      <c r="W978" s="32">
        <v>2050</v>
      </c>
      <c r="X978" s="43" t="str">
        <f t="shared" si="140"/>
        <v>*0.92</v>
      </c>
      <c r="AC978" s="33" t="s">
        <v>4309</v>
      </c>
      <c r="AD978" s="44" t="s">
        <v>57</v>
      </c>
      <c r="AE978" s="33">
        <v>2035</v>
      </c>
      <c r="AF978" s="45" t="str">
        <f t="shared" si="141"/>
        <v>*0.93</v>
      </c>
      <c r="AG978" s="43" t="str">
        <f t="shared" si="144"/>
        <v>REZoning_Sol-Win</v>
      </c>
      <c r="AI978" s="33" t="s">
        <v>4309</v>
      </c>
      <c r="AJ978" s="44" t="s">
        <v>57</v>
      </c>
      <c r="AK978" s="33">
        <v>2050</v>
      </c>
      <c r="AL978" s="45" t="str">
        <f t="shared" si="142"/>
        <v>*0.89</v>
      </c>
      <c r="AM978" s="43" t="str">
        <f t="shared" si="145"/>
        <v>REZoning_Sol-Win</v>
      </c>
      <c r="AP978" t="s">
        <v>4309</v>
      </c>
      <c r="AQ978" t="s">
        <v>57</v>
      </c>
      <c r="AR978">
        <f t="shared" si="143"/>
        <v>2100</v>
      </c>
      <c r="AS978" t="s">
        <v>937</v>
      </c>
      <c r="AT978" t="s">
        <v>58</v>
      </c>
    </row>
    <row r="979" ht="29" spans="1:46">
      <c r="A979" s="31" t="s">
        <v>83</v>
      </c>
      <c r="C979" t="s">
        <v>4310</v>
      </c>
      <c r="D979" s="5" t="s">
        <v>57</v>
      </c>
      <c r="E979">
        <v>2035</v>
      </c>
      <c r="F979" s="6" t="str">
        <f t="shared" si="137"/>
        <v>*0.95</v>
      </c>
      <c r="H979" t="s">
        <v>4310</v>
      </c>
      <c r="I979" s="5" t="s">
        <v>57</v>
      </c>
      <c r="J979">
        <v>2050</v>
      </c>
      <c r="K979" s="38" t="str">
        <f t="shared" si="138"/>
        <v>*0.92</v>
      </c>
      <c r="P979" s="32" t="s">
        <v>4310</v>
      </c>
      <c r="Q979" s="42" t="s">
        <v>57</v>
      </c>
      <c r="R979" s="32">
        <v>2035</v>
      </c>
      <c r="S979" s="43" t="str">
        <f t="shared" si="139"/>
        <v>*0.95</v>
      </c>
      <c r="U979" s="32" t="s">
        <v>4310</v>
      </c>
      <c r="V979" s="42" t="s">
        <v>57</v>
      </c>
      <c r="W979" s="32">
        <v>2050</v>
      </c>
      <c r="X979" s="43" t="str">
        <f t="shared" si="140"/>
        <v>*0.92</v>
      </c>
      <c r="AC979" s="33" t="s">
        <v>4310</v>
      </c>
      <c r="AD979" s="44" t="s">
        <v>57</v>
      </c>
      <c r="AE979" s="33">
        <v>2035</v>
      </c>
      <c r="AF979" s="45" t="str">
        <f t="shared" si="141"/>
        <v>*0.93</v>
      </c>
      <c r="AG979" s="43" t="str">
        <f t="shared" si="144"/>
        <v>REZoning_Sol-Win</v>
      </c>
      <c r="AI979" s="33" t="s">
        <v>4310</v>
      </c>
      <c r="AJ979" s="44" t="s">
        <v>57</v>
      </c>
      <c r="AK979" s="33">
        <v>2050</v>
      </c>
      <c r="AL979" s="45" t="str">
        <f t="shared" si="142"/>
        <v>*0.89</v>
      </c>
      <c r="AM979" s="43" t="str">
        <f t="shared" si="145"/>
        <v>REZoning_Sol-Win</v>
      </c>
      <c r="AP979" t="s">
        <v>4310</v>
      </c>
      <c r="AQ979" t="s">
        <v>57</v>
      </c>
      <c r="AR979">
        <f t="shared" si="143"/>
        <v>2100</v>
      </c>
      <c r="AS979" t="s">
        <v>937</v>
      </c>
      <c r="AT979" t="s">
        <v>58</v>
      </c>
    </row>
    <row r="980" ht="29" spans="1:46">
      <c r="A980" s="31" t="s">
        <v>83</v>
      </c>
      <c r="C980" t="s">
        <v>4311</v>
      </c>
      <c r="D980" s="5" t="s">
        <v>57</v>
      </c>
      <c r="E980">
        <v>2035</v>
      </c>
      <c r="F980" s="6" t="str">
        <f t="shared" si="137"/>
        <v>*0.95</v>
      </c>
      <c r="H980" t="s">
        <v>4311</v>
      </c>
      <c r="I980" s="5" t="s">
        <v>57</v>
      </c>
      <c r="J980">
        <v>2050</v>
      </c>
      <c r="K980" s="38" t="str">
        <f t="shared" si="138"/>
        <v>*0.92</v>
      </c>
      <c r="P980" s="32" t="s">
        <v>4311</v>
      </c>
      <c r="Q980" s="42" t="s">
        <v>57</v>
      </c>
      <c r="R980" s="32">
        <v>2035</v>
      </c>
      <c r="S980" s="43" t="str">
        <f t="shared" si="139"/>
        <v>*0.95</v>
      </c>
      <c r="U980" s="32" t="s">
        <v>4311</v>
      </c>
      <c r="V980" s="42" t="s">
        <v>57</v>
      </c>
      <c r="W980" s="32">
        <v>2050</v>
      </c>
      <c r="X980" s="43" t="str">
        <f t="shared" si="140"/>
        <v>*0.92</v>
      </c>
      <c r="AC980" s="33" t="s">
        <v>4311</v>
      </c>
      <c r="AD980" s="44" t="s">
        <v>57</v>
      </c>
      <c r="AE980" s="33">
        <v>2035</v>
      </c>
      <c r="AF980" s="45" t="str">
        <f t="shared" si="141"/>
        <v>*0.93</v>
      </c>
      <c r="AG980" s="43" t="str">
        <f t="shared" si="144"/>
        <v>REZoning_Sol-Win</v>
      </c>
      <c r="AI980" s="33" t="s">
        <v>4311</v>
      </c>
      <c r="AJ980" s="44" t="s">
        <v>57</v>
      </c>
      <c r="AK980" s="33">
        <v>2050</v>
      </c>
      <c r="AL980" s="45" t="str">
        <f t="shared" si="142"/>
        <v>*0.89</v>
      </c>
      <c r="AM980" s="43" t="str">
        <f t="shared" si="145"/>
        <v>REZoning_Sol-Win</v>
      </c>
      <c r="AP980" t="s">
        <v>4311</v>
      </c>
      <c r="AQ980" t="s">
        <v>57</v>
      </c>
      <c r="AR980">
        <f t="shared" si="143"/>
        <v>2100</v>
      </c>
      <c r="AS980" t="s">
        <v>937</v>
      </c>
      <c r="AT980" t="s">
        <v>58</v>
      </c>
    </row>
    <row r="981" ht="29" spans="1:46">
      <c r="A981" s="31" t="s">
        <v>83</v>
      </c>
      <c r="C981" t="s">
        <v>4312</v>
      </c>
      <c r="D981" s="5" t="s">
        <v>57</v>
      </c>
      <c r="E981">
        <v>2035</v>
      </c>
      <c r="F981" s="6" t="str">
        <f t="shared" si="137"/>
        <v>*0.95</v>
      </c>
      <c r="H981" t="s">
        <v>4312</v>
      </c>
      <c r="I981" s="5" t="s">
        <v>57</v>
      </c>
      <c r="J981">
        <v>2050</v>
      </c>
      <c r="K981" s="38" t="str">
        <f t="shared" si="138"/>
        <v>*0.92</v>
      </c>
      <c r="P981" s="32" t="s">
        <v>4312</v>
      </c>
      <c r="Q981" s="42" t="s">
        <v>57</v>
      </c>
      <c r="R981" s="32">
        <v>2035</v>
      </c>
      <c r="S981" s="43" t="str">
        <f t="shared" si="139"/>
        <v>*0.95</v>
      </c>
      <c r="U981" s="32" t="s">
        <v>4312</v>
      </c>
      <c r="V981" s="42" t="s">
        <v>57</v>
      </c>
      <c r="W981" s="32">
        <v>2050</v>
      </c>
      <c r="X981" s="43" t="str">
        <f t="shared" si="140"/>
        <v>*0.92</v>
      </c>
      <c r="AC981" s="33" t="s">
        <v>4312</v>
      </c>
      <c r="AD981" s="44" t="s">
        <v>57</v>
      </c>
      <c r="AE981" s="33">
        <v>2035</v>
      </c>
      <c r="AF981" s="45" t="str">
        <f t="shared" si="141"/>
        <v>*0.93</v>
      </c>
      <c r="AG981" s="43" t="str">
        <f t="shared" si="144"/>
        <v>REZoning_Sol-Win</v>
      </c>
      <c r="AI981" s="33" t="s">
        <v>4312</v>
      </c>
      <c r="AJ981" s="44" t="s">
        <v>57</v>
      </c>
      <c r="AK981" s="33">
        <v>2050</v>
      </c>
      <c r="AL981" s="45" t="str">
        <f t="shared" si="142"/>
        <v>*0.89</v>
      </c>
      <c r="AM981" s="43" t="str">
        <f t="shared" si="145"/>
        <v>REZoning_Sol-Win</v>
      </c>
      <c r="AP981" t="s">
        <v>4312</v>
      </c>
      <c r="AQ981" t="s">
        <v>57</v>
      </c>
      <c r="AR981">
        <f t="shared" si="143"/>
        <v>2100</v>
      </c>
      <c r="AS981" t="s">
        <v>937</v>
      </c>
      <c r="AT981" t="s">
        <v>58</v>
      </c>
    </row>
    <row r="982" ht="29" spans="1:46">
      <c r="A982" s="31" t="s">
        <v>83</v>
      </c>
      <c r="C982" t="s">
        <v>4313</v>
      </c>
      <c r="D982" s="5" t="s">
        <v>57</v>
      </c>
      <c r="E982">
        <v>2035</v>
      </c>
      <c r="F982" s="6" t="str">
        <f t="shared" si="137"/>
        <v>*0.95</v>
      </c>
      <c r="H982" t="s">
        <v>4313</v>
      </c>
      <c r="I982" s="5" t="s">
        <v>57</v>
      </c>
      <c r="J982">
        <v>2050</v>
      </c>
      <c r="K982" s="38" t="str">
        <f t="shared" si="138"/>
        <v>*0.92</v>
      </c>
      <c r="P982" s="32" t="s">
        <v>4313</v>
      </c>
      <c r="Q982" s="42" t="s">
        <v>57</v>
      </c>
      <c r="R982" s="32">
        <v>2035</v>
      </c>
      <c r="S982" s="43" t="str">
        <f t="shared" si="139"/>
        <v>*0.95</v>
      </c>
      <c r="U982" s="32" t="s">
        <v>4313</v>
      </c>
      <c r="V982" s="42" t="s">
        <v>57</v>
      </c>
      <c r="W982" s="32">
        <v>2050</v>
      </c>
      <c r="X982" s="43" t="str">
        <f t="shared" si="140"/>
        <v>*0.92</v>
      </c>
      <c r="AC982" s="33" t="s">
        <v>4313</v>
      </c>
      <c r="AD982" s="44" t="s">
        <v>57</v>
      </c>
      <c r="AE982" s="33">
        <v>2035</v>
      </c>
      <c r="AF982" s="45" t="str">
        <f t="shared" si="141"/>
        <v>*0.93</v>
      </c>
      <c r="AG982" s="43" t="str">
        <f t="shared" si="144"/>
        <v>REZoning_Sol-Win</v>
      </c>
      <c r="AI982" s="33" t="s">
        <v>4313</v>
      </c>
      <c r="AJ982" s="44" t="s">
        <v>57</v>
      </c>
      <c r="AK982" s="33">
        <v>2050</v>
      </c>
      <c r="AL982" s="45" t="str">
        <f t="shared" si="142"/>
        <v>*0.89</v>
      </c>
      <c r="AM982" s="43" t="str">
        <f t="shared" si="145"/>
        <v>REZoning_Sol-Win</v>
      </c>
      <c r="AP982" t="s">
        <v>4313</v>
      </c>
      <c r="AQ982" t="s">
        <v>57</v>
      </c>
      <c r="AR982">
        <f t="shared" si="143"/>
        <v>2100</v>
      </c>
      <c r="AS982" t="s">
        <v>937</v>
      </c>
      <c r="AT982" t="s">
        <v>58</v>
      </c>
    </row>
    <row r="983" ht="29" spans="1:46">
      <c r="A983" s="31" t="s">
        <v>83</v>
      </c>
      <c r="C983" t="s">
        <v>4314</v>
      </c>
      <c r="D983" s="5" t="s">
        <v>57</v>
      </c>
      <c r="E983">
        <v>2035</v>
      </c>
      <c r="F983" s="6" t="str">
        <f t="shared" si="137"/>
        <v>*0.95</v>
      </c>
      <c r="H983" t="s">
        <v>4314</v>
      </c>
      <c r="I983" s="5" t="s">
        <v>57</v>
      </c>
      <c r="J983">
        <v>2050</v>
      </c>
      <c r="K983" s="38" t="str">
        <f t="shared" si="138"/>
        <v>*0.92</v>
      </c>
      <c r="P983" s="32" t="s">
        <v>4314</v>
      </c>
      <c r="Q983" s="42" t="s">
        <v>57</v>
      </c>
      <c r="R983" s="32">
        <v>2035</v>
      </c>
      <c r="S983" s="43" t="str">
        <f t="shared" si="139"/>
        <v>*0.95</v>
      </c>
      <c r="U983" s="32" t="s">
        <v>4314</v>
      </c>
      <c r="V983" s="42" t="s">
        <v>57</v>
      </c>
      <c r="W983" s="32">
        <v>2050</v>
      </c>
      <c r="X983" s="43" t="str">
        <f t="shared" si="140"/>
        <v>*0.92</v>
      </c>
      <c r="AC983" s="33" t="s">
        <v>4314</v>
      </c>
      <c r="AD983" s="44" t="s">
        <v>57</v>
      </c>
      <c r="AE983" s="33">
        <v>2035</v>
      </c>
      <c r="AF983" s="45" t="str">
        <f t="shared" si="141"/>
        <v>*0.93</v>
      </c>
      <c r="AG983" s="43" t="str">
        <f t="shared" si="144"/>
        <v>REZoning_Sol-Win</v>
      </c>
      <c r="AI983" s="33" t="s">
        <v>4314</v>
      </c>
      <c r="AJ983" s="44" t="s">
        <v>57</v>
      </c>
      <c r="AK983" s="33">
        <v>2050</v>
      </c>
      <c r="AL983" s="45" t="str">
        <f t="shared" si="142"/>
        <v>*0.89</v>
      </c>
      <c r="AM983" s="43" t="str">
        <f t="shared" si="145"/>
        <v>REZoning_Sol-Win</v>
      </c>
      <c r="AP983" t="s">
        <v>4314</v>
      </c>
      <c r="AQ983" t="s">
        <v>57</v>
      </c>
      <c r="AR983">
        <f t="shared" si="143"/>
        <v>2100</v>
      </c>
      <c r="AS983" t="s">
        <v>937</v>
      </c>
      <c r="AT983" t="s">
        <v>58</v>
      </c>
    </row>
    <row r="984" ht="29" spans="1:46">
      <c r="A984" s="31" t="s">
        <v>98</v>
      </c>
      <c r="C984" t="s">
        <v>4315</v>
      </c>
      <c r="D984" s="5" t="s">
        <v>57</v>
      </c>
      <c r="E984">
        <v>2035</v>
      </c>
      <c r="F984" s="6" t="str">
        <f t="shared" si="137"/>
        <v>*0.96</v>
      </c>
      <c r="H984" t="s">
        <v>4315</v>
      </c>
      <c r="I984" s="5" t="s">
        <v>57</v>
      </c>
      <c r="J984">
        <v>2050</v>
      </c>
      <c r="K984" s="38" t="str">
        <f t="shared" si="138"/>
        <v>*0.94</v>
      </c>
      <c r="P984" s="32" t="s">
        <v>4315</v>
      </c>
      <c r="Q984" s="42" t="s">
        <v>57</v>
      </c>
      <c r="R984" s="32">
        <v>2035</v>
      </c>
      <c r="S984" s="43" t="str">
        <f t="shared" si="139"/>
        <v>*0.96</v>
      </c>
      <c r="U984" s="32" t="s">
        <v>4315</v>
      </c>
      <c r="V984" s="42" t="s">
        <v>57</v>
      </c>
      <c r="W984" s="32">
        <v>2050</v>
      </c>
      <c r="X984" s="43" t="str">
        <f t="shared" si="140"/>
        <v>*0.93</v>
      </c>
      <c r="AC984" s="33" t="s">
        <v>4315</v>
      </c>
      <c r="AD984" s="44" t="s">
        <v>57</v>
      </c>
      <c r="AE984" s="33">
        <v>2035</v>
      </c>
      <c r="AF984" s="45" t="str">
        <f t="shared" si="141"/>
        <v>*0.92</v>
      </c>
      <c r="AG984" s="43" t="str">
        <f t="shared" si="144"/>
        <v>REZoning_Sol-Win</v>
      </c>
      <c r="AI984" s="33" t="s">
        <v>4315</v>
      </c>
      <c r="AJ984" s="44" t="s">
        <v>57</v>
      </c>
      <c r="AK984" s="33">
        <v>2050</v>
      </c>
      <c r="AL984" s="45" t="str">
        <f t="shared" si="142"/>
        <v>*0.89</v>
      </c>
      <c r="AM984" s="43" t="str">
        <f t="shared" si="145"/>
        <v>REZoning_Sol-Win</v>
      </c>
      <c r="AP984" t="s">
        <v>4315</v>
      </c>
      <c r="AQ984" t="s">
        <v>57</v>
      </c>
      <c r="AR984">
        <f t="shared" si="143"/>
        <v>2100</v>
      </c>
      <c r="AS984" t="s">
        <v>937</v>
      </c>
      <c r="AT984" t="s">
        <v>58</v>
      </c>
    </row>
    <row r="985" ht="29" spans="1:46">
      <c r="A985" s="31" t="s">
        <v>98</v>
      </c>
      <c r="C985" t="s">
        <v>4316</v>
      </c>
      <c r="D985" s="5" t="s">
        <v>57</v>
      </c>
      <c r="E985">
        <v>2035</v>
      </c>
      <c r="F985" s="6" t="str">
        <f t="shared" si="137"/>
        <v>*0.96</v>
      </c>
      <c r="H985" t="s">
        <v>4316</v>
      </c>
      <c r="I985" s="5" t="s">
        <v>57</v>
      </c>
      <c r="J985">
        <v>2050</v>
      </c>
      <c r="K985" s="38" t="str">
        <f t="shared" si="138"/>
        <v>*0.94</v>
      </c>
      <c r="P985" s="32" t="s">
        <v>4316</v>
      </c>
      <c r="Q985" s="42" t="s">
        <v>57</v>
      </c>
      <c r="R985" s="32">
        <v>2035</v>
      </c>
      <c r="S985" s="43" t="str">
        <f t="shared" si="139"/>
        <v>*0.96</v>
      </c>
      <c r="U985" s="32" t="s">
        <v>4316</v>
      </c>
      <c r="V985" s="42" t="s">
        <v>57</v>
      </c>
      <c r="W985" s="32">
        <v>2050</v>
      </c>
      <c r="X985" s="43" t="str">
        <f t="shared" si="140"/>
        <v>*0.93</v>
      </c>
      <c r="AC985" s="33" t="s">
        <v>4316</v>
      </c>
      <c r="AD985" s="44" t="s">
        <v>57</v>
      </c>
      <c r="AE985" s="33">
        <v>2035</v>
      </c>
      <c r="AF985" s="45" t="str">
        <f t="shared" si="141"/>
        <v>*0.92</v>
      </c>
      <c r="AG985" s="43" t="str">
        <f t="shared" si="144"/>
        <v>REZoning_Sol-Win</v>
      </c>
      <c r="AI985" s="33" t="s">
        <v>4316</v>
      </c>
      <c r="AJ985" s="44" t="s">
        <v>57</v>
      </c>
      <c r="AK985" s="33">
        <v>2050</v>
      </c>
      <c r="AL985" s="45" t="str">
        <f t="shared" si="142"/>
        <v>*0.89</v>
      </c>
      <c r="AM985" s="43" t="str">
        <f t="shared" si="145"/>
        <v>REZoning_Sol-Win</v>
      </c>
      <c r="AP985" t="s">
        <v>4316</v>
      </c>
      <c r="AQ985" t="s">
        <v>57</v>
      </c>
      <c r="AR985">
        <f t="shared" si="143"/>
        <v>2100</v>
      </c>
      <c r="AS985" t="s">
        <v>937</v>
      </c>
      <c r="AT985" t="s">
        <v>58</v>
      </c>
    </row>
    <row r="986" ht="29" spans="1:46">
      <c r="A986" s="31" t="s">
        <v>98</v>
      </c>
      <c r="C986" t="s">
        <v>4317</v>
      </c>
      <c r="D986" s="5" t="s">
        <v>57</v>
      </c>
      <c r="E986">
        <v>2035</v>
      </c>
      <c r="F986" s="6" t="str">
        <f t="shared" si="137"/>
        <v>*0.96</v>
      </c>
      <c r="H986" t="s">
        <v>4317</v>
      </c>
      <c r="I986" s="5" t="s">
        <v>57</v>
      </c>
      <c r="J986">
        <v>2050</v>
      </c>
      <c r="K986" s="38" t="str">
        <f t="shared" si="138"/>
        <v>*0.94</v>
      </c>
      <c r="P986" s="32" t="s">
        <v>4317</v>
      </c>
      <c r="Q986" s="42" t="s">
        <v>57</v>
      </c>
      <c r="R986" s="32">
        <v>2035</v>
      </c>
      <c r="S986" s="43" t="str">
        <f t="shared" si="139"/>
        <v>*0.96</v>
      </c>
      <c r="U986" s="32" t="s">
        <v>4317</v>
      </c>
      <c r="V986" s="42" t="s">
        <v>57</v>
      </c>
      <c r="W986" s="32">
        <v>2050</v>
      </c>
      <c r="X986" s="43" t="str">
        <f t="shared" si="140"/>
        <v>*0.93</v>
      </c>
      <c r="AC986" s="33" t="s">
        <v>4317</v>
      </c>
      <c r="AD986" s="44" t="s">
        <v>57</v>
      </c>
      <c r="AE986" s="33">
        <v>2035</v>
      </c>
      <c r="AF986" s="45" t="str">
        <f t="shared" si="141"/>
        <v>*0.92</v>
      </c>
      <c r="AG986" s="43" t="str">
        <f t="shared" si="144"/>
        <v>REZoning_Sol-Win</v>
      </c>
      <c r="AI986" s="33" t="s">
        <v>4317</v>
      </c>
      <c r="AJ986" s="44" t="s">
        <v>57</v>
      </c>
      <c r="AK986" s="33">
        <v>2050</v>
      </c>
      <c r="AL986" s="45" t="str">
        <f t="shared" si="142"/>
        <v>*0.89</v>
      </c>
      <c r="AM986" s="43" t="str">
        <f t="shared" si="145"/>
        <v>REZoning_Sol-Win</v>
      </c>
      <c r="AP986" t="s">
        <v>4317</v>
      </c>
      <c r="AQ986" t="s">
        <v>57</v>
      </c>
      <c r="AR986">
        <f t="shared" si="143"/>
        <v>2100</v>
      </c>
      <c r="AS986" t="s">
        <v>937</v>
      </c>
      <c r="AT986" t="s">
        <v>58</v>
      </c>
    </row>
    <row r="987" ht="29" spans="1:46">
      <c r="A987" s="31" t="s">
        <v>98</v>
      </c>
      <c r="C987" t="s">
        <v>4318</v>
      </c>
      <c r="D987" s="5" t="s">
        <v>57</v>
      </c>
      <c r="E987">
        <v>2035</v>
      </c>
      <c r="F987" s="6" t="str">
        <f t="shared" si="137"/>
        <v>*0.96</v>
      </c>
      <c r="H987" t="s">
        <v>4318</v>
      </c>
      <c r="I987" s="5" t="s">
        <v>57</v>
      </c>
      <c r="J987">
        <v>2050</v>
      </c>
      <c r="K987" s="38" t="str">
        <f t="shared" si="138"/>
        <v>*0.94</v>
      </c>
      <c r="P987" s="32" t="s">
        <v>4318</v>
      </c>
      <c r="Q987" s="42" t="s">
        <v>57</v>
      </c>
      <c r="R987" s="32">
        <v>2035</v>
      </c>
      <c r="S987" s="43" t="str">
        <f t="shared" si="139"/>
        <v>*0.96</v>
      </c>
      <c r="U987" s="32" t="s">
        <v>4318</v>
      </c>
      <c r="V987" s="42" t="s">
        <v>57</v>
      </c>
      <c r="W987" s="32">
        <v>2050</v>
      </c>
      <c r="X987" s="43" t="str">
        <f t="shared" si="140"/>
        <v>*0.93</v>
      </c>
      <c r="AC987" s="33" t="s">
        <v>4318</v>
      </c>
      <c r="AD987" s="44" t="s">
        <v>57</v>
      </c>
      <c r="AE987" s="33">
        <v>2035</v>
      </c>
      <c r="AF987" s="45" t="str">
        <f t="shared" si="141"/>
        <v>*0.92</v>
      </c>
      <c r="AG987" s="43" t="str">
        <f t="shared" si="144"/>
        <v>REZoning_Sol-Win</v>
      </c>
      <c r="AI987" s="33" t="s">
        <v>4318</v>
      </c>
      <c r="AJ987" s="44" t="s">
        <v>57</v>
      </c>
      <c r="AK987" s="33">
        <v>2050</v>
      </c>
      <c r="AL987" s="45" t="str">
        <f t="shared" si="142"/>
        <v>*0.89</v>
      </c>
      <c r="AM987" s="43" t="str">
        <f t="shared" si="145"/>
        <v>REZoning_Sol-Win</v>
      </c>
      <c r="AP987" t="s">
        <v>4318</v>
      </c>
      <c r="AQ987" t="s">
        <v>57</v>
      </c>
      <c r="AR987">
        <f t="shared" si="143"/>
        <v>2100</v>
      </c>
      <c r="AS987" t="s">
        <v>937</v>
      </c>
      <c r="AT987" t="s">
        <v>58</v>
      </c>
    </row>
    <row r="988" ht="29" spans="1:46">
      <c r="A988" s="31" t="s">
        <v>98</v>
      </c>
      <c r="C988" t="s">
        <v>4319</v>
      </c>
      <c r="D988" s="5" t="s">
        <v>57</v>
      </c>
      <c r="E988">
        <v>2035</v>
      </c>
      <c r="F988" s="6" t="str">
        <f t="shared" si="137"/>
        <v>*0.96</v>
      </c>
      <c r="H988" t="s">
        <v>4319</v>
      </c>
      <c r="I988" s="5" t="s">
        <v>57</v>
      </c>
      <c r="J988">
        <v>2050</v>
      </c>
      <c r="K988" s="38" t="str">
        <f t="shared" si="138"/>
        <v>*0.94</v>
      </c>
      <c r="P988" s="32" t="s">
        <v>4319</v>
      </c>
      <c r="Q988" s="42" t="s">
        <v>57</v>
      </c>
      <c r="R988" s="32">
        <v>2035</v>
      </c>
      <c r="S988" s="43" t="str">
        <f t="shared" si="139"/>
        <v>*0.96</v>
      </c>
      <c r="U988" s="32" t="s">
        <v>4319</v>
      </c>
      <c r="V988" s="42" t="s">
        <v>57</v>
      </c>
      <c r="W988" s="32">
        <v>2050</v>
      </c>
      <c r="X988" s="43" t="str">
        <f t="shared" si="140"/>
        <v>*0.93</v>
      </c>
      <c r="AC988" s="33" t="s">
        <v>4319</v>
      </c>
      <c r="AD988" s="44" t="s">
        <v>57</v>
      </c>
      <c r="AE988" s="33">
        <v>2035</v>
      </c>
      <c r="AF988" s="45" t="str">
        <f t="shared" si="141"/>
        <v>*0.92</v>
      </c>
      <c r="AG988" s="43" t="str">
        <f t="shared" si="144"/>
        <v>REZoning_Sol-Win</v>
      </c>
      <c r="AI988" s="33" t="s">
        <v>4319</v>
      </c>
      <c r="AJ988" s="44" t="s">
        <v>57</v>
      </c>
      <c r="AK988" s="33">
        <v>2050</v>
      </c>
      <c r="AL988" s="45" t="str">
        <f t="shared" si="142"/>
        <v>*0.89</v>
      </c>
      <c r="AM988" s="43" t="str">
        <f t="shared" si="145"/>
        <v>REZoning_Sol-Win</v>
      </c>
      <c r="AP988" t="s">
        <v>4319</v>
      </c>
      <c r="AQ988" t="s">
        <v>57</v>
      </c>
      <c r="AR988">
        <f t="shared" si="143"/>
        <v>2100</v>
      </c>
      <c r="AS988" t="s">
        <v>937</v>
      </c>
      <c r="AT988" t="s">
        <v>58</v>
      </c>
    </row>
    <row r="989" ht="29" spans="1:46">
      <c r="A989" s="31" t="s">
        <v>98</v>
      </c>
      <c r="C989" t="s">
        <v>4320</v>
      </c>
      <c r="D989" s="5" t="s">
        <v>57</v>
      </c>
      <c r="E989">
        <v>2035</v>
      </c>
      <c r="F989" s="6" t="str">
        <f t="shared" si="137"/>
        <v>*0.96</v>
      </c>
      <c r="H989" t="s">
        <v>4320</v>
      </c>
      <c r="I989" s="5" t="s">
        <v>57</v>
      </c>
      <c r="J989">
        <v>2050</v>
      </c>
      <c r="K989" s="38" t="str">
        <f t="shared" si="138"/>
        <v>*0.94</v>
      </c>
      <c r="P989" s="32" t="s">
        <v>4320</v>
      </c>
      <c r="Q989" s="42" t="s">
        <v>57</v>
      </c>
      <c r="R989" s="32">
        <v>2035</v>
      </c>
      <c r="S989" s="43" t="str">
        <f t="shared" si="139"/>
        <v>*0.96</v>
      </c>
      <c r="U989" s="32" t="s">
        <v>4320</v>
      </c>
      <c r="V989" s="42" t="s">
        <v>57</v>
      </c>
      <c r="W989" s="32">
        <v>2050</v>
      </c>
      <c r="X989" s="43" t="str">
        <f t="shared" si="140"/>
        <v>*0.93</v>
      </c>
      <c r="AC989" s="33" t="s">
        <v>4320</v>
      </c>
      <c r="AD989" s="44" t="s">
        <v>57</v>
      </c>
      <c r="AE989" s="33">
        <v>2035</v>
      </c>
      <c r="AF989" s="45" t="str">
        <f t="shared" si="141"/>
        <v>*0.92</v>
      </c>
      <c r="AG989" s="43" t="str">
        <f t="shared" si="144"/>
        <v>REZoning_Sol-Win</v>
      </c>
      <c r="AI989" s="33" t="s">
        <v>4320</v>
      </c>
      <c r="AJ989" s="44" t="s">
        <v>57</v>
      </c>
      <c r="AK989" s="33">
        <v>2050</v>
      </c>
      <c r="AL989" s="45" t="str">
        <f t="shared" si="142"/>
        <v>*0.89</v>
      </c>
      <c r="AM989" s="43" t="str">
        <f t="shared" si="145"/>
        <v>REZoning_Sol-Win</v>
      </c>
      <c r="AP989" t="s">
        <v>4320</v>
      </c>
      <c r="AQ989" t="s">
        <v>57</v>
      </c>
      <c r="AR989">
        <f t="shared" si="143"/>
        <v>2100</v>
      </c>
      <c r="AS989" t="s">
        <v>937</v>
      </c>
      <c r="AT989" t="s">
        <v>58</v>
      </c>
    </row>
    <row r="990" ht="29" spans="1:46">
      <c r="A990" s="31" t="s">
        <v>98</v>
      </c>
      <c r="C990" t="s">
        <v>4321</v>
      </c>
      <c r="D990" s="5" t="s">
        <v>57</v>
      </c>
      <c r="E990">
        <v>2035</v>
      </c>
      <c r="F990" s="6" t="str">
        <f t="shared" si="137"/>
        <v>*0.96</v>
      </c>
      <c r="H990" t="s">
        <v>4321</v>
      </c>
      <c r="I990" s="5" t="s">
        <v>57</v>
      </c>
      <c r="J990">
        <v>2050</v>
      </c>
      <c r="K990" s="38" t="str">
        <f t="shared" si="138"/>
        <v>*0.94</v>
      </c>
      <c r="P990" s="32" t="s">
        <v>4321</v>
      </c>
      <c r="Q990" s="42" t="s">
        <v>57</v>
      </c>
      <c r="R990" s="32">
        <v>2035</v>
      </c>
      <c r="S990" s="43" t="str">
        <f t="shared" si="139"/>
        <v>*0.96</v>
      </c>
      <c r="U990" s="32" t="s">
        <v>4321</v>
      </c>
      <c r="V990" s="42" t="s">
        <v>57</v>
      </c>
      <c r="W990" s="32">
        <v>2050</v>
      </c>
      <c r="X990" s="43" t="str">
        <f t="shared" si="140"/>
        <v>*0.93</v>
      </c>
      <c r="AC990" s="33" t="s">
        <v>4321</v>
      </c>
      <c r="AD990" s="44" t="s">
        <v>57</v>
      </c>
      <c r="AE990" s="33">
        <v>2035</v>
      </c>
      <c r="AF990" s="45" t="str">
        <f t="shared" si="141"/>
        <v>*0.92</v>
      </c>
      <c r="AG990" s="43" t="str">
        <f t="shared" si="144"/>
        <v>REZoning_Sol-Win</v>
      </c>
      <c r="AI990" s="33" t="s">
        <v>4321</v>
      </c>
      <c r="AJ990" s="44" t="s">
        <v>57</v>
      </c>
      <c r="AK990" s="33">
        <v>2050</v>
      </c>
      <c r="AL990" s="45" t="str">
        <f t="shared" si="142"/>
        <v>*0.89</v>
      </c>
      <c r="AM990" s="43" t="str">
        <f t="shared" si="145"/>
        <v>REZoning_Sol-Win</v>
      </c>
      <c r="AP990" t="s">
        <v>4321</v>
      </c>
      <c r="AQ990" t="s">
        <v>57</v>
      </c>
      <c r="AR990">
        <f t="shared" si="143"/>
        <v>2100</v>
      </c>
      <c r="AS990" t="s">
        <v>937</v>
      </c>
      <c r="AT990" t="s">
        <v>58</v>
      </c>
    </row>
    <row r="991" ht="29" spans="1:46">
      <c r="A991" s="31" t="s">
        <v>98</v>
      </c>
      <c r="C991" t="s">
        <v>4322</v>
      </c>
      <c r="D991" s="5" t="s">
        <v>57</v>
      </c>
      <c r="E991">
        <v>2035</v>
      </c>
      <c r="F991" s="6" t="str">
        <f t="shared" si="137"/>
        <v>*0.96</v>
      </c>
      <c r="H991" t="s">
        <v>4322</v>
      </c>
      <c r="I991" s="5" t="s">
        <v>57</v>
      </c>
      <c r="J991">
        <v>2050</v>
      </c>
      <c r="K991" s="38" t="str">
        <f t="shared" si="138"/>
        <v>*0.94</v>
      </c>
      <c r="P991" s="32" t="s">
        <v>4322</v>
      </c>
      <c r="Q991" s="42" t="s">
        <v>57</v>
      </c>
      <c r="R991" s="32">
        <v>2035</v>
      </c>
      <c r="S991" s="43" t="str">
        <f t="shared" si="139"/>
        <v>*0.96</v>
      </c>
      <c r="U991" s="32" t="s">
        <v>4322</v>
      </c>
      <c r="V991" s="42" t="s">
        <v>57</v>
      </c>
      <c r="W991" s="32">
        <v>2050</v>
      </c>
      <c r="X991" s="43" t="str">
        <f t="shared" si="140"/>
        <v>*0.93</v>
      </c>
      <c r="AC991" s="33" t="s">
        <v>4322</v>
      </c>
      <c r="AD991" s="44" t="s">
        <v>57</v>
      </c>
      <c r="AE991" s="33">
        <v>2035</v>
      </c>
      <c r="AF991" s="45" t="str">
        <f t="shared" si="141"/>
        <v>*0.92</v>
      </c>
      <c r="AG991" s="43" t="str">
        <f t="shared" si="144"/>
        <v>REZoning_Sol-Win</v>
      </c>
      <c r="AI991" s="33" t="s">
        <v>4322</v>
      </c>
      <c r="AJ991" s="44" t="s">
        <v>57</v>
      </c>
      <c r="AK991" s="33">
        <v>2050</v>
      </c>
      <c r="AL991" s="45" t="str">
        <f t="shared" si="142"/>
        <v>*0.89</v>
      </c>
      <c r="AM991" s="43" t="str">
        <f t="shared" si="145"/>
        <v>REZoning_Sol-Win</v>
      </c>
      <c r="AP991" t="s">
        <v>4322</v>
      </c>
      <c r="AQ991" t="s">
        <v>57</v>
      </c>
      <c r="AR991">
        <f t="shared" si="143"/>
        <v>2100</v>
      </c>
      <c r="AS991" t="s">
        <v>937</v>
      </c>
      <c r="AT991" t="s">
        <v>58</v>
      </c>
    </row>
    <row r="992" ht="29" spans="1:46">
      <c r="A992" s="31" t="s">
        <v>98</v>
      </c>
      <c r="C992" t="s">
        <v>4323</v>
      </c>
      <c r="D992" s="5" t="s">
        <v>57</v>
      </c>
      <c r="E992">
        <v>2035</v>
      </c>
      <c r="F992" s="6" t="str">
        <f t="shared" si="137"/>
        <v>*0.96</v>
      </c>
      <c r="H992" t="s">
        <v>4323</v>
      </c>
      <c r="I992" s="5" t="s">
        <v>57</v>
      </c>
      <c r="J992">
        <v>2050</v>
      </c>
      <c r="K992" s="38" t="str">
        <f t="shared" si="138"/>
        <v>*0.94</v>
      </c>
      <c r="P992" s="32" t="s">
        <v>4323</v>
      </c>
      <c r="Q992" s="42" t="s">
        <v>57</v>
      </c>
      <c r="R992" s="32">
        <v>2035</v>
      </c>
      <c r="S992" s="43" t="str">
        <f t="shared" si="139"/>
        <v>*0.96</v>
      </c>
      <c r="U992" s="32" t="s">
        <v>4323</v>
      </c>
      <c r="V992" s="42" t="s">
        <v>57</v>
      </c>
      <c r="W992" s="32">
        <v>2050</v>
      </c>
      <c r="X992" s="43" t="str">
        <f t="shared" si="140"/>
        <v>*0.93</v>
      </c>
      <c r="AC992" s="33" t="s">
        <v>4323</v>
      </c>
      <c r="AD992" s="44" t="s">
        <v>57</v>
      </c>
      <c r="AE992" s="33">
        <v>2035</v>
      </c>
      <c r="AF992" s="45" t="str">
        <f t="shared" si="141"/>
        <v>*0.92</v>
      </c>
      <c r="AG992" s="43" t="str">
        <f t="shared" si="144"/>
        <v>REZoning_Sol-Win</v>
      </c>
      <c r="AI992" s="33" t="s">
        <v>4323</v>
      </c>
      <c r="AJ992" s="44" t="s">
        <v>57</v>
      </c>
      <c r="AK992" s="33">
        <v>2050</v>
      </c>
      <c r="AL992" s="45" t="str">
        <f t="shared" si="142"/>
        <v>*0.89</v>
      </c>
      <c r="AM992" s="43" t="str">
        <f t="shared" si="145"/>
        <v>REZoning_Sol-Win</v>
      </c>
      <c r="AP992" t="s">
        <v>4323</v>
      </c>
      <c r="AQ992" t="s">
        <v>57</v>
      </c>
      <c r="AR992">
        <f t="shared" si="143"/>
        <v>2100</v>
      </c>
      <c r="AS992" t="s">
        <v>937</v>
      </c>
      <c r="AT992" t="s">
        <v>58</v>
      </c>
    </row>
    <row r="993" ht="29" spans="1:46">
      <c r="A993" s="31" t="s">
        <v>98</v>
      </c>
      <c r="C993" t="s">
        <v>4324</v>
      </c>
      <c r="D993" s="5" t="s">
        <v>57</v>
      </c>
      <c r="E993">
        <v>2035</v>
      </c>
      <c r="F993" s="6" t="str">
        <f t="shared" si="137"/>
        <v>*0.96</v>
      </c>
      <c r="H993" t="s">
        <v>4324</v>
      </c>
      <c r="I993" s="5" t="s">
        <v>57</v>
      </c>
      <c r="J993">
        <v>2050</v>
      </c>
      <c r="K993" s="38" t="str">
        <f t="shared" si="138"/>
        <v>*0.94</v>
      </c>
      <c r="P993" s="32" t="s">
        <v>4324</v>
      </c>
      <c r="Q993" s="42" t="s">
        <v>57</v>
      </c>
      <c r="R993" s="32">
        <v>2035</v>
      </c>
      <c r="S993" s="43" t="str">
        <f t="shared" si="139"/>
        <v>*0.96</v>
      </c>
      <c r="U993" s="32" t="s">
        <v>4324</v>
      </c>
      <c r="V993" s="42" t="s">
        <v>57</v>
      </c>
      <c r="W993" s="32">
        <v>2050</v>
      </c>
      <c r="X993" s="43" t="str">
        <f t="shared" si="140"/>
        <v>*0.93</v>
      </c>
      <c r="AC993" s="33" t="s">
        <v>4324</v>
      </c>
      <c r="AD993" s="44" t="s">
        <v>57</v>
      </c>
      <c r="AE993" s="33">
        <v>2035</v>
      </c>
      <c r="AF993" s="45" t="str">
        <f t="shared" si="141"/>
        <v>*0.92</v>
      </c>
      <c r="AG993" s="43" t="str">
        <f t="shared" si="144"/>
        <v>REZoning_Sol-Win</v>
      </c>
      <c r="AI993" s="33" t="s">
        <v>4324</v>
      </c>
      <c r="AJ993" s="44" t="s">
        <v>57</v>
      </c>
      <c r="AK993" s="33">
        <v>2050</v>
      </c>
      <c r="AL993" s="45" t="str">
        <f t="shared" si="142"/>
        <v>*0.89</v>
      </c>
      <c r="AM993" s="43" t="str">
        <f t="shared" si="145"/>
        <v>REZoning_Sol-Win</v>
      </c>
      <c r="AP993" t="s">
        <v>4324</v>
      </c>
      <c r="AQ993" t="s">
        <v>57</v>
      </c>
      <c r="AR993">
        <f t="shared" si="143"/>
        <v>2100</v>
      </c>
      <c r="AS993" t="s">
        <v>937</v>
      </c>
      <c r="AT993" t="s">
        <v>58</v>
      </c>
    </row>
    <row r="994" ht="29" spans="1:46">
      <c r="A994" s="31" t="s">
        <v>98</v>
      </c>
      <c r="C994" t="s">
        <v>4325</v>
      </c>
      <c r="D994" s="5" t="s">
        <v>57</v>
      </c>
      <c r="E994">
        <v>2035</v>
      </c>
      <c r="F994" s="6" t="str">
        <f t="shared" si="137"/>
        <v>*0.96</v>
      </c>
      <c r="H994" t="s">
        <v>4325</v>
      </c>
      <c r="I994" s="5" t="s">
        <v>57</v>
      </c>
      <c r="J994">
        <v>2050</v>
      </c>
      <c r="K994" s="38" t="str">
        <f t="shared" si="138"/>
        <v>*0.94</v>
      </c>
      <c r="P994" s="32" t="s">
        <v>4325</v>
      </c>
      <c r="Q994" s="42" t="s">
        <v>57</v>
      </c>
      <c r="R994" s="32">
        <v>2035</v>
      </c>
      <c r="S994" s="43" t="str">
        <f t="shared" si="139"/>
        <v>*0.96</v>
      </c>
      <c r="U994" s="32" t="s">
        <v>4325</v>
      </c>
      <c r="V994" s="42" t="s">
        <v>57</v>
      </c>
      <c r="W994" s="32">
        <v>2050</v>
      </c>
      <c r="X994" s="43" t="str">
        <f t="shared" si="140"/>
        <v>*0.93</v>
      </c>
      <c r="AC994" s="33" t="s">
        <v>4325</v>
      </c>
      <c r="AD994" s="44" t="s">
        <v>57</v>
      </c>
      <c r="AE994" s="33">
        <v>2035</v>
      </c>
      <c r="AF994" s="45" t="str">
        <f t="shared" si="141"/>
        <v>*0.92</v>
      </c>
      <c r="AG994" s="43" t="str">
        <f t="shared" si="144"/>
        <v>REZoning_Sol-Win</v>
      </c>
      <c r="AI994" s="33" t="s">
        <v>4325</v>
      </c>
      <c r="AJ994" s="44" t="s">
        <v>57</v>
      </c>
      <c r="AK994" s="33">
        <v>2050</v>
      </c>
      <c r="AL994" s="45" t="str">
        <f t="shared" si="142"/>
        <v>*0.89</v>
      </c>
      <c r="AM994" s="43" t="str">
        <f t="shared" si="145"/>
        <v>REZoning_Sol-Win</v>
      </c>
      <c r="AP994" t="s">
        <v>4325</v>
      </c>
      <c r="AQ994" t="s">
        <v>57</v>
      </c>
      <c r="AR994">
        <f t="shared" si="143"/>
        <v>2100</v>
      </c>
      <c r="AS994" t="s">
        <v>937</v>
      </c>
      <c r="AT994" t="s">
        <v>58</v>
      </c>
    </row>
    <row r="995" ht="29" spans="1:46">
      <c r="A995" s="31" t="s">
        <v>98</v>
      </c>
      <c r="C995" t="s">
        <v>4326</v>
      </c>
      <c r="D995" s="5" t="s">
        <v>57</v>
      </c>
      <c r="E995">
        <v>2035</v>
      </c>
      <c r="F995" s="6" t="str">
        <f t="shared" si="137"/>
        <v>*0.96</v>
      </c>
      <c r="H995" t="s">
        <v>4326</v>
      </c>
      <c r="I995" s="5" t="s">
        <v>57</v>
      </c>
      <c r="J995">
        <v>2050</v>
      </c>
      <c r="K995" s="38" t="str">
        <f t="shared" si="138"/>
        <v>*0.94</v>
      </c>
      <c r="P995" s="32" t="s">
        <v>4326</v>
      </c>
      <c r="Q995" s="42" t="s">
        <v>57</v>
      </c>
      <c r="R995" s="32">
        <v>2035</v>
      </c>
      <c r="S995" s="43" t="str">
        <f t="shared" si="139"/>
        <v>*0.96</v>
      </c>
      <c r="U995" s="32" t="s">
        <v>4326</v>
      </c>
      <c r="V995" s="42" t="s">
        <v>57</v>
      </c>
      <c r="W995" s="32">
        <v>2050</v>
      </c>
      <c r="X995" s="43" t="str">
        <f t="shared" si="140"/>
        <v>*0.93</v>
      </c>
      <c r="AC995" s="33" t="s">
        <v>4326</v>
      </c>
      <c r="AD995" s="44" t="s">
        <v>57</v>
      </c>
      <c r="AE995" s="33">
        <v>2035</v>
      </c>
      <c r="AF995" s="45" t="str">
        <f t="shared" si="141"/>
        <v>*0.92</v>
      </c>
      <c r="AG995" s="43" t="str">
        <f t="shared" si="144"/>
        <v>REZoning_Sol-Win</v>
      </c>
      <c r="AI995" s="33" t="s">
        <v>4326</v>
      </c>
      <c r="AJ995" s="44" t="s">
        <v>57</v>
      </c>
      <c r="AK995" s="33">
        <v>2050</v>
      </c>
      <c r="AL995" s="45" t="str">
        <f t="shared" si="142"/>
        <v>*0.89</v>
      </c>
      <c r="AM995" s="43" t="str">
        <f t="shared" si="145"/>
        <v>REZoning_Sol-Win</v>
      </c>
      <c r="AP995" t="s">
        <v>4326</v>
      </c>
      <c r="AQ995" t="s">
        <v>57</v>
      </c>
      <c r="AR995">
        <f t="shared" si="143"/>
        <v>2100</v>
      </c>
      <c r="AS995" t="s">
        <v>937</v>
      </c>
      <c r="AT995" t="s">
        <v>58</v>
      </c>
    </row>
    <row r="996" ht="29" spans="1:46">
      <c r="A996" s="31" t="s">
        <v>98</v>
      </c>
      <c r="C996" t="s">
        <v>4327</v>
      </c>
      <c r="D996" s="5" t="s">
        <v>57</v>
      </c>
      <c r="E996">
        <v>2035</v>
      </c>
      <c r="F996" s="6" t="str">
        <f t="shared" si="137"/>
        <v>*0.96</v>
      </c>
      <c r="H996" t="s">
        <v>4327</v>
      </c>
      <c r="I996" s="5" t="s">
        <v>57</v>
      </c>
      <c r="J996">
        <v>2050</v>
      </c>
      <c r="K996" s="38" t="str">
        <f t="shared" si="138"/>
        <v>*0.94</v>
      </c>
      <c r="P996" s="32" t="s">
        <v>4327</v>
      </c>
      <c r="Q996" s="42" t="s">
        <v>57</v>
      </c>
      <c r="R996" s="32">
        <v>2035</v>
      </c>
      <c r="S996" s="43" t="str">
        <f t="shared" si="139"/>
        <v>*0.96</v>
      </c>
      <c r="U996" s="32" t="s">
        <v>4327</v>
      </c>
      <c r="V996" s="42" t="s">
        <v>57</v>
      </c>
      <c r="W996" s="32">
        <v>2050</v>
      </c>
      <c r="X996" s="43" t="str">
        <f t="shared" si="140"/>
        <v>*0.93</v>
      </c>
      <c r="AC996" s="33" t="s">
        <v>4327</v>
      </c>
      <c r="AD996" s="44" t="s">
        <v>57</v>
      </c>
      <c r="AE996" s="33">
        <v>2035</v>
      </c>
      <c r="AF996" s="45" t="str">
        <f t="shared" si="141"/>
        <v>*0.92</v>
      </c>
      <c r="AG996" s="43" t="str">
        <f t="shared" si="144"/>
        <v>REZoning_Sol-Win</v>
      </c>
      <c r="AI996" s="33" t="s">
        <v>4327</v>
      </c>
      <c r="AJ996" s="44" t="s">
        <v>57</v>
      </c>
      <c r="AK996" s="33">
        <v>2050</v>
      </c>
      <c r="AL996" s="45" t="str">
        <f t="shared" si="142"/>
        <v>*0.89</v>
      </c>
      <c r="AM996" s="43" t="str">
        <f t="shared" si="145"/>
        <v>REZoning_Sol-Win</v>
      </c>
      <c r="AP996" t="s">
        <v>4327</v>
      </c>
      <c r="AQ996" t="s">
        <v>57</v>
      </c>
      <c r="AR996">
        <f t="shared" si="143"/>
        <v>2100</v>
      </c>
      <c r="AS996" t="s">
        <v>937</v>
      </c>
      <c r="AT996" t="s">
        <v>58</v>
      </c>
    </row>
    <row r="997" ht="29" spans="1:46">
      <c r="A997" s="31" t="s">
        <v>83</v>
      </c>
      <c r="C997" t="s">
        <v>4328</v>
      </c>
      <c r="D997" s="5" t="s">
        <v>57</v>
      </c>
      <c r="E997">
        <v>2035</v>
      </c>
      <c r="F997" s="6" t="str">
        <f t="shared" si="137"/>
        <v>*0.95</v>
      </c>
      <c r="H997" t="s">
        <v>4328</v>
      </c>
      <c r="I997" s="5" t="s">
        <v>57</v>
      </c>
      <c r="J997">
        <v>2050</v>
      </c>
      <c r="K997" s="38" t="str">
        <f t="shared" si="138"/>
        <v>*0.92</v>
      </c>
      <c r="P997" s="32" t="s">
        <v>4328</v>
      </c>
      <c r="Q997" s="42" t="s">
        <v>57</v>
      </c>
      <c r="R997" s="32">
        <v>2035</v>
      </c>
      <c r="S997" s="43" t="str">
        <f t="shared" si="139"/>
        <v>*0.95</v>
      </c>
      <c r="U997" s="32" t="s">
        <v>4328</v>
      </c>
      <c r="V997" s="42" t="s">
        <v>57</v>
      </c>
      <c r="W997" s="32">
        <v>2050</v>
      </c>
      <c r="X997" s="43" t="str">
        <f t="shared" si="140"/>
        <v>*0.92</v>
      </c>
      <c r="AC997" s="33" t="s">
        <v>4328</v>
      </c>
      <c r="AD997" s="44" t="s">
        <v>57</v>
      </c>
      <c r="AE997" s="33">
        <v>2035</v>
      </c>
      <c r="AF997" s="45" t="str">
        <f t="shared" si="141"/>
        <v>*0.93</v>
      </c>
      <c r="AG997" s="43" t="str">
        <f t="shared" si="144"/>
        <v>REZoning_Sol-Win</v>
      </c>
      <c r="AI997" s="33" t="s">
        <v>4328</v>
      </c>
      <c r="AJ997" s="44" t="s">
        <v>57</v>
      </c>
      <c r="AK997" s="33">
        <v>2050</v>
      </c>
      <c r="AL997" s="45" t="str">
        <f t="shared" si="142"/>
        <v>*0.89</v>
      </c>
      <c r="AM997" s="43" t="str">
        <f t="shared" si="145"/>
        <v>REZoning_Sol-Win</v>
      </c>
      <c r="AP997" t="s">
        <v>4328</v>
      </c>
      <c r="AQ997" t="s">
        <v>57</v>
      </c>
      <c r="AR997">
        <f t="shared" si="143"/>
        <v>2100</v>
      </c>
      <c r="AS997" t="s">
        <v>937</v>
      </c>
      <c r="AT997" t="s">
        <v>58</v>
      </c>
    </row>
    <row r="998" ht="29" spans="1:46">
      <c r="A998" s="31" t="s">
        <v>83</v>
      </c>
      <c r="C998" t="s">
        <v>4329</v>
      </c>
      <c r="D998" s="5" t="s">
        <v>57</v>
      </c>
      <c r="E998">
        <v>2035</v>
      </c>
      <c r="F998" s="6" t="str">
        <f t="shared" si="137"/>
        <v>*0.95</v>
      </c>
      <c r="H998" t="s">
        <v>4329</v>
      </c>
      <c r="I998" s="5" t="s">
        <v>57</v>
      </c>
      <c r="J998">
        <v>2050</v>
      </c>
      <c r="K998" s="38" t="str">
        <f t="shared" si="138"/>
        <v>*0.92</v>
      </c>
      <c r="P998" s="32" t="s">
        <v>4329</v>
      </c>
      <c r="Q998" s="42" t="s">
        <v>57</v>
      </c>
      <c r="R998" s="32">
        <v>2035</v>
      </c>
      <c r="S998" s="43" t="str">
        <f t="shared" si="139"/>
        <v>*0.95</v>
      </c>
      <c r="U998" s="32" t="s">
        <v>4329</v>
      </c>
      <c r="V998" s="42" t="s">
        <v>57</v>
      </c>
      <c r="W998" s="32">
        <v>2050</v>
      </c>
      <c r="X998" s="43" t="str">
        <f t="shared" si="140"/>
        <v>*0.92</v>
      </c>
      <c r="AC998" s="33" t="s">
        <v>4329</v>
      </c>
      <c r="AD998" s="44" t="s">
        <v>57</v>
      </c>
      <c r="AE998" s="33">
        <v>2035</v>
      </c>
      <c r="AF998" s="45" t="str">
        <f t="shared" si="141"/>
        <v>*0.93</v>
      </c>
      <c r="AG998" s="43" t="str">
        <f t="shared" si="144"/>
        <v>REZoning_Sol-Win</v>
      </c>
      <c r="AI998" s="33" t="s">
        <v>4329</v>
      </c>
      <c r="AJ998" s="44" t="s">
        <v>57</v>
      </c>
      <c r="AK998" s="33">
        <v>2050</v>
      </c>
      <c r="AL998" s="45" t="str">
        <f t="shared" si="142"/>
        <v>*0.89</v>
      </c>
      <c r="AM998" s="43" t="str">
        <f t="shared" si="145"/>
        <v>REZoning_Sol-Win</v>
      </c>
      <c r="AP998" t="s">
        <v>4329</v>
      </c>
      <c r="AQ998" t="s">
        <v>57</v>
      </c>
      <c r="AR998">
        <f t="shared" si="143"/>
        <v>2100</v>
      </c>
      <c r="AS998" t="s">
        <v>937</v>
      </c>
      <c r="AT998" t="s">
        <v>58</v>
      </c>
    </row>
    <row r="999" ht="29" spans="1:46">
      <c r="A999" s="31" t="s">
        <v>83</v>
      </c>
      <c r="C999" t="s">
        <v>4330</v>
      </c>
      <c r="D999" s="5" t="s">
        <v>57</v>
      </c>
      <c r="E999">
        <v>2035</v>
      </c>
      <c r="F999" s="6" t="str">
        <f t="shared" si="137"/>
        <v>*0.95</v>
      </c>
      <c r="H999" t="s">
        <v>4330</v>
      </c>
      <c r="I999" s="5" t="s">
        <v>57</v>
      </c>
      <c r="J999">
        <v>2050</v>
      </c>
      <c r="K999" s="38" t="str">
        <f t="shared" si="138"/>
        <v>*0.92</v>
      </c>
      <c r="P999" s="32" t="s">
        <v>4330</v>
      </c>
      <c r="Q999" s="42" t="s">
        <v>57</v>
      </c>
      <c r="R999" s="32">
        <v>2035</v>
      </c>
      <c r="S999" s="43" t="str">
        <f t="shared" si="139"/>
        <v>*0.95</v>
      </c>
      <c r="U999" s="32" t="s">
        <v>4330</v>
      </c>
      <c r="V999" s="42" t="s">
        <v>57</v>
      </c>
      <c r="W999" s="32">
        <v>2050</v>
      </c>
      <c r="X999" s="43" t="str">
        <f t="shared" si="140"/>
        <v>*0.92</v>
      </c>
      <c r="AC999" s="33" t="s">
        <v>4330</v>
      </c>
      <c r="AD999" s="44" t="s">
        <v>57</v>
      </c>
      <c r="AE999" s="33">
        <v>2035</v>
      </c>
      <c r="AF999" s="45" t="str">
        <f t="shared" si="141"/>
        <v>*0.93</v>
      </c>
      <c r="AG999" s="43" t="str">
        <f t="shared" si="144"/>
        <v>REZoning_Sol-Win</v>
      </c>
      <c r="AI999" s="33" t="s">
        <v>4330</v>
      </c>
      <c r="AJ999" s="44" t="s">
        <v>57</v>
      </c>
      <c r="AK999" s="33">
        <v>2050</v>
      </c>
      <c r="AL999" s="45" t="str">
        <f t="shared" si="142"/>
        <v>*0.89</v>
      </c>
      <c r="AM999" s="43" t="str">
        <f t="shared" si="145"/>
        <v>REZoning_Sol-Win</v>
      </c>
      <c r="AP999" t="s">
        <v>4330</v>
      </c>
      <c r="AQ999" t="s">
        <v>57</v>
      </c>
      <c r="AR999">
        <f t="shared" si="143"/>
        <v>2100</v>
      </c>
      <c r="AS999" t="s">
        <v>937</v>
      </c>
      <c r="AT999" t="s">
        <v>58</v>
      </c>
    </row>
    <row r="1000" ht="29" spans="1:46">
      <c r="A1000" s="31" t="s">
        <v>83</v>
      </c>
      <c r="C1000" t="s">
        <v>4331</v>
      </c>
      <c r="D1000" s="5" t="s">
        <v>57</v>
      </c>
      <c r="E1000">
        <v>2035</v>
      </c>
      <c r="F1000" s="6" t="str">
        <f t="shared" si="137"/>
        <v>*0.95</v>
      </c>
      <c r="H1000" t="s">
        <v>4331</v>
      </c>
      <c r="I1000" s="5" t="s">
        <v>57</v>
      </c>
      <c r="J1000">
        <v>2050</v>
      </c>
      <c r="K1000" s="38" t="str">
        <f t="shared" si="138"/>
        <v>*0.92</v>
      </c>
      <c r="P1000" s="32" t="s">
        <v>4331</v>
      </c>
      <c r="Q1000" s="42" t="s">
        <v>57</v>
      </c>
      <c r="R1000" s="32">
        <v>2035</v>
      </c>
      <c r="S1000" s="43" t="str">
        <f t="shared" si="139"/>
        <v>*0.95</v>
      </c>
      <c r="U1000" s="32" t="s">
        <v>4331</v>
      </c>
      <c r="V1000" s="42" t="s">
        <v>57</v>
      </c>
      <c r="W1000" s="32">
        <v>2050</v>
      </c>
      <c r="X1000" s="43" t="str">
        <f t="shared" si="140"/>
        <v>*0.92</v>
      </c>
      <c r="AC1000" s="33" t="s">
        <v>4331</v>
      </c>
      <c r="AD1000" s="44" t="s">
        <v>57</v>
      </c>
      <c r="AE1000" s="33">
        <v>2035</v>
      </c>
      <c r="AF1000" s="45" t="str">
        <f t="shared" si="141"/>
        <v>*0.93</v>
      </c>
      <c r="AG1000" s="43" t="str">
        <f t="shared" si="144"/>
        <v>REZoning_Sol-Win</v>
      </c>
      <c r="AI1000" s="33" t="s">
        <v>4331</v>
      </c>
      <c r="AJ1000" s="44" t="s">
        <v>57</v>
      </c>
      <c r="AK1000" s="33">
        <v>2050</v>
      </c>
      <c r="AL1000" s="45" t="str">
        <f t="shared" si="142"/>
        <v>*0.89</v>
      </c>
      <c r="AM1000" s="43" t="str">
        <f t="shared" si="145"/>
        <v>REZoning_Sol-Win</v>
      </c>
      <c r="AP1000" t="s">
        <v>4331</v>
      </c>
      <c r="AQ1000" t="s">
        <v>57</v>
      </c>
      <c r="AR1000">
        <f t="shared" si="143"/>
        <v>2100</v>
      </c>
      <c r="AS1000" t="s">
        <v>937</v>
      </c>
      <c r="AT1000" t="s">
        <v>58</v>
      </c>
    </row>
    <row r="1001" ht="29" spans="1:46">
      <c r="A1001" s="31" t="s">
        <v>83</v>
      </c>
      <c r="C1001" t="s">
        <v>4332</v>
      </c>
      <c r="D1001" s="5" t="s">
        <v>57</v>
      </c>
      <c r="E1001">
        <v>2035</v>
      </c>
      <c r="F1001" s="6" t="str">
        <f t="shared" si="137"/>
        <v>*0.95</v>
      </c>
      <c r="H1001" t="s">
        <v>4332</v>
      </c>
      <c r="I1001" s="5" t="s">
        <v>57</v>
      </c>
      <c r="J1001">
        <v>2050</v>
      </c>
      <c r="K1001" s="38" t="str">
        <f t="shared" si="138"/>
        <v>*0.92</v>
      </c>
      <c r="P1001" s="32" t="s">
        <v>4332</v>
      </c>
      <c r="Q1001" s="42" t="s">
        <v>57</v>
      </c>
      <c r="R1001" s="32">
        <v>2035</v>
      </c>
      <c r="S1001" s="43" t="str">
        <f t="shared" si="139"/>
        <v>*0.95</v>
      </c>
      <c r="U1001" s="32" t="s">
        <v>4332</v>
      </c>
      <c r="V1001" s="42" t="s">
        <v>57</v>
      </c>
      <c r="W1001" s="32">
        <v>2050</v>
      </c>
      <c r="X1001" s="43" t="str">
        <f t="shared" si="140"/>
        <v>*0.92</v>
      </c>
      <c r="AC1001" s="33" t="s">
        <v>4332</v>
      </c>
      <c r="AD1001" s="44" t="s">
        <v>57</v>
      </c>
      <c r="AE1001" s="33">
        <v>2035</v>
      </c>
      <c r="AF1001" s="45" t="str">
        <f t="shared" si="141"/>
        <v>*0.93</v>
      </c>
      <c r="AG1001" s="43" t="str">
        <f t="shared" si="144"/>
        <v>REZoning_Sol-Win</v>
      </c>
      <c r="AI1001" s="33" t="s">
        <v>4332</v>
      </c>
      <c r="AJ1001" s="44" t="s">
        <v>57</v>
      </c>
      <c r="AK1001" s="33">
        <v>2050</v>
      </c>
      <c r="AL1001" s="45" t="str">
        <f t="shared" si="142"/>
        <v>*0.89</v>
      </c>
      <c r="AM1001" s="43" t="str">
        <f t="shared" si="145"/>
        <v>REZoning_Sol-Win</v>
      </c>
      <c r="AP1001" t="s">
        <v>4332</v>
      </c>
      <c r="AQ1001" t="s">
        <v>57</v>
      </c>
      <c r="AR1001">
        <f t="shared" si="143"/>
        <v>2100</v>
      </c>
      <c r="AS1001" t="s">
        <v>937</v>
      </c>
      <c r="AT1001" t="s">
        <v>58</v>
      </c>
    </row>
    <row r="1002" ht="29" spans="1:46">
      <c r="A1002" s="31" t="s">
        <v>83</v>
      </c>
      <c r="C1002" t="s">
        <v>4333</v>
      </c>
      <c r="D1002" s="5" t="s">
        <v>57</v>
      </c>
      <c r="E1002">
        <v>2035</v>
      </c>
      <c r="F1002" s="6" t="str">
        <f t="shared" si="137"/>
        <v>*0.95</v>
      </c>
      <c r="H1002" t="s">
        <v>4333</v>
      </c>
      <c r="I1002" s="5" t="s">
        <v>57</v>
      </c>
      <c r="J1002">
        <v>2050</v>
      </c>
      <c r="K1002" s="38" t="str">
        <f t="shared" si="138"/>
        <v>*0.92</v>
      </c>
      <c r="P1002" s="32" t="s">
        <v>4333</v>
      </c>
      <c r="Q1002" s="42" t="s">
        <v>57</v>
      </c>
      <c r="R1002" s="32">
        <v>2035</v>
      </c>
      <c r="S1002" s="43" t="str">
        <f t="shared" si="139"/>
        <v>*0.95</v>
      </c>
      <c r="U1002" s="32" t="s">
        <v>4333</v>
      </c>
      <c r="V1002" s="42" t="s">
        <v>57</v>
      </c>
      <c r="W1002" s="32">
        <v>2050</v>
      </c>
      <c r="X1002" s="43" t="str">
        <f t="shared" si="140"/>
        <v>*0.92</v>
      </c>
      <c r="AC1002" s="33" t="s">
        <v>4333</v>
      </c>
      <c r="AD1002" s="44" t="s">
        <v>57</v>
      </c>
      <c r="AE1002" s="33">
        <v>2035</v>
      </c>
      <c r="AF1002" s="45" t="str">
        <f t="shared" si="141"/>
        <v>*0.93</v>
      </c>
      <c r="AG1002" s="43" t="str">
        <f t="shared" si="144"/>
        <v>REZoning_Sol-Win</v>
      </c>
      <c r="AI1002" s="33" t="s">
        <v>4333</v>
      </c>
      <c r="AJ1002" s="44" t="s">
        <v>57</v>
      </c>
      <c r="AK1002" s="33">
        <v>2050</v>
      </c>
      <c r="AL1002" s="45" t="str">
        <f t="shared" si="142"/>
        <v>*0.89</v>
      </c>
      <c r="AM1002" s="43" t="str">
        <f t="shared" si="145"/>
        <v>REZoning_Sol-Win</v>
      </c>
      <c r="AP1002" t="s">
        <v>4333</v>
      </c>
      <c r="AQ1002" t="s">
        <v>57</v>
      </c>
      <c r="AR1002">
        <f t="shared" si="143"/>
        <v>2100</v>
      </c>
      <c r="AS1002" t="s">
        <v>937</v>
      </c>
      <c r="AT1002" t="s">
        <v>58</v>
      </c>
    </row>
    <row r="1003" ht="29" spans="1:46">
      <c r="A1003" s="31" t="s">
        <v>83</v>
      </c>
      <c r="C1003" t="s">
        <v>4334</v>
      </c>
      <c r="D1003" s="5" t="s">
        <v>57</v>
      </c>
      <c r="E1003">
        <v>2035</v>
      </c>
      <c r="F1003" s="6" t="str">
        <f t="shared" si="137"/>
        <v>*0.95</v>
      </c>
      <c r="H1003" t="s">
        <v>4334</v>
      </c>
      <c r="I1003" s="5" t="s">
        <v>57</v>
      </c>
      <c r="J1003">
        <v>2050</v>
      </c>
      <c r="K1003" s="38" t="str">
        <f t="shared" si="138"/>
        <v>*0.92</v>
      </c>
      <c r="P1003" s="32" t="s">
        <v>4334</v>
      </c>
      <c r="Q1003" s="42" t="s">
        <v>57</v>
      </c>
      <c r="R1003" s="32">
        <v>2035</v>
      </c>
      <c r="S1003" s="43" t="str">
        <f t="shared" si="139"/>
        <v>*0.95</v>
      </c>
      <c r="U1003" s="32" t="s">
        <v>4334</v>
      </c>
      <c r="V1003" s="42" t="s">
        <v>57</v>
      </c>
      <c r="W1003" s="32">
        <v>2050</v>
      </c>
      <c r="X1003" s="43" t="str">
        <f t="shared" si="140"/>
        <v>*0.92</v>
      </c>
      <c r="AC1003" s="33" t="s">
        <v>4334</v>
      </c>
      <c r="AD1003" s="44" t="s">
        <v>57</v>
      </c>
      <c r="AE1003" s="33">
        <v>2035</v>
      </c>
      <c r="AF1003" s="45" t="str">
        <f t="shared" si="141"/>
        <v>*0.93</v>
      </c>
      <c r="AG1003" s="43" t="str">
        <f t="shared" si="144"/>
        <v>REZoning_Sol-Win</v>
      </c>
      <c r="AI1003" s="33" t="s">
        <v>4334</v>
      </c>
      <c r="AJ1003" s="44" t="s">
        <v>57</v>
      </c>
      <c r="AK1003" s="33">
        <v>2050</v>
      </c>
      <c r="AL1003" s="45" t="str">
        <f t="shared" si="142"/>
        <v>*0.89</v>
      </c>
      <c r="AM1003" s="43" t="str">
        <f t="shared" si="145"/>
        <v>REZoning_Sol-Win</v>
      </c>
      <c r="AP1003" t="s">
        <v>4334</v>
      </c>
      <c r="AQ1003" t="s">
        <v>57</v>
      </c>
      <c r="AR1003">
        <f t="shared" si="143"/>
        <v>2100</v>
      </c>
      <c r="AS1003" t="s">
        <v>937</v>
      </c>
      <c r="AT1003" t="s">
        <v>58</v>
      </c>
    </row>
    <row r="1004" ht="29" spans="1:46">
      <c r="A1004" s="31" t="s">
        <v>83</v>
      </c>
      <c r="C1004" t="s">
        <v>4335</v>
      </c>
      <c r="D1004" s="5" t="s">
        <v>57</v>
      </c>
      <c r="E1004">
        <v>2035</v>
      </c>
      <c r="F1004" s="6" t="str">
        <f t="shared" si="137"/>
        <v>*0.95</v>
      </c>
      <c r="H1004" t="s">
        <v>4335</v>
      </c>
      <c r="I1004" s="5" t="s">
        <v>57</v>
      </c>
      <c r="J1004">
        <v>2050</v>
      </c>
      <c r="K1004" s="38" t="str">
        <f t="shared" si="138"/>
        <v>*0.92</v>
      </c>
      <c r="P1004" s="32" t="s">
        <v>4335</v>
      </c>
      <c r="Q1004" s="42" t="s">
        <v>57</v>
      </c>
      <c r="R1004" s="32">
        <v>2035</v>
      </c>
      <c r="S1004" s="43" t="str">
        <f t="shared" si="139"/>
        <v>*0.95</v>
      </c>
      <c r="U1004" s="32" t="s">
        <v>4335</v>
      </c>
      <c r="V1004" s="42" t="s">
        <v>57</v>
      </c>
      <c r="W1004" s="32">
        <v>2050</v>
      </c>
      <c r="X1004" s="43" t="str">
        <f t="shared" si="140"/>
        <v>*0.92</v>
      </c>
      <c r="AC1004" s="33" t="s">
        <v>4335</v>
      </c>
      <c r="AD1004" s="44" t="s">
        <v>57</v>
      </c>
      <c r="AE1004" s="33">
        <v>2035</v>
      </c>
      <c r="AF1004" s="45" t="str">
        <f t="shared" si="141"/>
        <v>*0.93</v>
      </c>
      <c r="AG1004" s="43" t="str">
        <f t="shared" si="144"/>
        <v>REZoning_Sol-Win</v>
      </c>
      <c r="AI1004" s="33" t="s">
        <v>4335</v>
      </c>
      <c r="AJ1004" s="44" t="s">
        <v>57</v>
      </c>
      <c r="AK1004" s="33">
        <v>2050</v>
      </c>
      <c r="AL1004" s="45" t="str">
        <f t="shared" si="142"/>
        <v>*0.89</v>
      </c>
      <c r="AM1004" s="43" t="str">
        <f t="shared" si="145"/>
        <v>REZoning_Sol-Win</v>
      </c>
      <c r="AP1004" t="s">
        <v>4335</v>
      </c>
      <c r="AQ1004" t="s">
        <v>57</v>
      </c>
      <c r="AR1004">
        <f t="shared" si="143"/>
        <v>2100</v>
      </c>
      <c r="AS1004" t="s">
        <v>937</v>
      </c>
      <c r="AT1004" t="s">
        <v>58</v>
      </c>
    </row>
    <row r="1005" ht="29" spans="1:46">
      <c r="A1005" s="31" t="s">
        <v>83</v>
      </c>
      <c r="C1005" t="s">
        <v>4336</v>
      </c>
      <c r="D1005" s="5" t="s">
        <v>57</v>
      </c>
      <c r="E1005">
        <v>2035</v>
      </c>
      <c r="F1005" s="6" t="str">
        <f t="shared" si="137"/>
        <v>*0.95</v>
      </c>
      <c r="H1005" t="s">
        <v>4336</v>
      </c>
      <c r="I1005" s="5" t="s">
        <v>57</v>
      </c>
      <c r="J1005">
        <v>2050</v>
      </c>
      <c r="K1005" s="38" t="str">
        <f t="shared" si="138"/>
        <v>*0.92</v>
      </c>
      <c r="P1005" s="32" t="s">
        <v>4336</v>
      </c>
      <c r="Q1005" s="42" t="s">
        <v>57</v>
      </c>
      <c r="R1005" s="32">
        <v>2035</v>
      </c>
      <c r="S1005" s="43" t="str">
        <f t="shared" si="139"/>
        <v>*0.95</v>
      </c>
      <c r="U1005" s="32" t="s">
        <v>4336</v>
      </c>
      <c r="V1005" s="42" t="s">
        <v>57</v>
      </c>
      <c r="W1005" s="32">
        <v>2050</v>
      </c>
      <c r="X1005" s="43" t="str">
        <f t="shared" si="140"/>
        <v>*0.92</v>
      </c>
      <c r="AC1005" s="33" t="s">
        <v>4336</v>
      </c>
      <c r="AD1005" s="44" t="s">
        <v>57</v>
      </c>
      <c r="AE1005" s="33">
        <v>2035</v>
      </c>
      <c r="AF1005" s="45" t="str">
        <f t="shared" si="141"/>
        <v>*0.93</v>
      </c>
      <c r="AG1005" s="43" t="str">
        <f t="shared" si="144"/>
        <v>REZoning_Sol-Win</v>
      </c>
      <c r="AI1005" s="33" t="s">
        <v>4336</v>
      </c>
      <c r="AJ1005" s="44" t="s">
        <v>57</v>
      </c>
      <c r="AK1005" s="33">
        <v>2050</v>
      </c>
      <c r="AL1005" s="45" t="str">
        <f t="shared" si="142"/>
        <v>*0.89</v>
      </c>
      <c r="AM1005" s="43" t="str">
        <f t="shared" si="145"/>
        <v>REZoning_Sol-Win</v>
      </c>
      <c r="AP1005" t="s">
        <v>4336</v>
      </c>
      <c r="AQ1005" t="s">
        <v>57</v>
      </c>
      <c r="AR1005">
        <f t="shared" si="143"/>
        <v>2100</v>
      </c>
      <c r="AS1005" t="s">
        <v>937</v>
      </c>
      <c r="AT1005" t="s">
        <v>58</v>
      </c>
    </row>
    <row r="1006" ht="29" spans="1:46">
      <c r="A1006" s="31" t="s">
        <v>83</v>
      </c>
      <c r="C1006" t="s">
        <v>4337</v>
      </c>
      <c r="D1006" s="5" t="s">
        <v>57</v>
      </c>
      <c r="E1006">
        <v>2035</v>
      </c>
      <c r="F1006" s="6" t="str">
        <f t="shared" si="137"/>
        <v>*0.95</v>
      </c>
      <c r="H1006" t="s">
        <v>4337</v>
      </c>
      <c r="I1006" s="5" t="s">
        <v>57</v>
      </c>
      <c r="J1006">
        <v>2050</v>
      </c>
      <c r="K1006" s="38" t="str">
        <f t="shared" si="138"/>
        <v>*0.92</v>
      </c>
      <c r="P1006" s="32" t="s">
        <v>4337</v>
      </c>
      <c r="Q1006" s="42" t="s">
        <v>57</v>
      </c>
      <c r="R1006" s="32">
        <v>2035</v>
      </c>
      <c r="S1006" s="43" t="str">
        <f t="shared" si="139"/>
        <v>*0.95</v>
      </c>
      <c r="U1006" s="32" t="s">
        <v>4337</v>
      </c>
      <c r="V1006" s="42" t="s">
        <v>57</v>
      </c>
      <c r="W1006" s="32">
        <v>2050</v>
      </c>
      <c r="X1006" s="43" t="str">
        <f t="shared" si="140"/>
        <v>*0.92</v>
      </c>
      <c r="AC1006" s="33" t="s">
        <v>4337</v>
      </c>
      <c r="AD1006" s="44" t="s">
        <v>57</v>
      </c>
      <c r="AE1006" s="33">
        <v>2035</v>
      </c>
      <c r="AF1006" s="45" t="str">
        <f t="shared" si="141"/>
        <v>*0.93</v>
      </c>
      <c r="AG1006" s="43" t="str">
        <f t="shared" si="144"/>
        <v>REZoning_Sol-Win</v>
      </c>
      <c r="AI1006" s="33" t="s">
        <v>4337</v>
      </c>
      <c r="AJ1006" s="44" t="s">
        <v>57</v>
      </c>
      <c r="AK1006" s="33">
        <v>2050</v>
      </c>
      <c r="AL1006" s="45" t="str">
        <f t="shared" si="142"/>
        <v>*0.89</v>
      </c>
      <c r="AM1006" s="43" t="str">
        <f t="shared" si="145"/>
        <v>REZoning_Sol-Win</v>
      </c>
      <c r="AP1006" t="s">
        <v>4337</v>
      </c>
      <c r="AQ1006" t="s">
        <v>57</v>
      </c>
      <c r="AR1006">
        <f t="shared" si="143"/>
        <v>2100</v>
      </c>
      <c r="AS1006" t="s">
        <v>937</v>
      </c>
      <c r="AT1006" t="s">
        <v>58</v>
      </c>
    </row>
    <row r="1007" ht="29" spans="1:46">
      <c r="A1007" s="31" t="s">
        <v>83</v>
      </c>
      <c r="C1007" t="s">
        <v>4338</v>
      </c>
      <c r="D1007" s="5" t="s">
        <v>57</v>
      </c>
      <c r="E1007">
        <v>2035</v>
      </c>
      <c r="F1007" s="6" t="str">
        <f t="shared" si="137"/>
        <v>*0.95</v>
      </c>
      <c r="H1007" t="s">
        <v>4338</v>
      </c>
      <c r="I1007" s="5" t="s">
        <v>57</v>
      </c>
      <c r="J1007">
        <v>2050</v>
      </c>
      <c r="K1007" s="38" t="str">
        <f t="shared" si="138"/>
        <v>*0.92</v>
      </c>
      <c r="P1007" s="32" t="s">
        <v>4338</v>
      </c>
      <c r="Q1007" s="42" t="s">
        <v>57</v>
      </c>
      <c r="R1007" s="32">
        <v>2035</v>
      </c>
      <c r="S1007" s="43" t="str">
        <f t="shared" si="139"/>
        <v>*0.95</v>
      </c>
      <c r="U1007" s="32" t="s">
        <v>4338</v>
      </c>
      <c r="V1007" s="42" t="s">
        <v>57</v>
      </c>
      <c r="W1007" s="32">
        <v>2050</v>
      </c>
      <c r="X1007" s="43" t="str">
        <f t="shared" si="140"/>
        <v>*0.92</v>
      </c>
      <c r="AC1007" s="33" t="s">
        <v>4338</v>
      </c>
      <c r="AD1007" s="44" t="s">
        <v>57</v>
      </c>
      <c r="AE1007" s="33">
        <v>2035</v>
      </c>
      <c r="AF1007" s="45" t="str">
        <f t="shared" si="141"/>
        <v>*0.93</v>
      </c>
      <c r="AG1007" s="43" t="str">
        <f t="shared" si="144"/>
        <v>REZoning_Sol-Win</v>
      </c>
      <c r="AI1007" s="33" t="s">
        <v>4338</v>
      </c>
      <c r="AJ1007" s="44" t="s">
        <v>57</v>
      </c>
      <c r="AK1007" s="33">
        <v>2050</v>
      </c>
      <c r="AL1007" s="45" t="str">
        <f t="shared" si="142"/>
        <v>*0.89</v>
      </c>
      <c r="AM1007" s="43" t="str">
        <f t="shared" si="145"/>
        <v>REZoning_Sol-Win</v>
      </c>
      <c r="AP1007" t="s">
        <v>4338</v>
      </c>
      <c r="AQ1007" t="s">
        <v>57</v>
      </c>
      <c r="AR1007">
        <f t="shared" si="143"/>
        <v>2100</v>
      </c>
      <c r="AS1007" t="s">
        <v>937</v>
      </c>
      <c r="AT1007" t="s">
        <v>58</v>
      </c>
    </row>
    <row r="1008" ht="29" spans="1:46">
      <c r="A1008" s="31" t="s">
        <v>83</v>
      </c>
      <c r="C1008" t="s">
        <v>4339</v>
      </c>
      <c r="D1008" s="5" t="s">
        <v>57</v>
      </c>
      <c r="E1008">
        <v>2035</v>
      </c>
      <c r="F1008" s="6" t="str">
        <f t="shared" si="137"/>
        <v>*0.95</v>
      </c>
      <c r="H1008" t="s">
        <v>4339</v>
      </c>
      <c r="I1008" s="5" t="s">
        <v>57</v>
      </c>
      <c r="J1008">
        <v>2050</v>
      </c>
      <c r="K1008" s="38" t="str">
        <f t="shared" si="138"/>
        <v>*0.92</v>
      </c>
      <c r="P1008" s="32" t="s">
        <v>4339</v>
      </c>
      <c r="Q1008" s="42" t="s">
        <v>57</v>
      </c>
      <c r="R1008" s="32">
        <v>2035</v>
      </c>
      <c r="S1008" s="43" t="str">
        <f t="shared" si="139"/>
        <v>*0.95</v>
      </c>
      <c r="U1008" s="32" t="s">
        <v>4339</v>
      </c>
      <c r="V1008" s="42" t="s">
        <v>57</v>
      </c>
      <c r="W1008" s="32">
        <v>2050</v>
      </c>
      <c r="X1008" s="43" t="str">
        <f t="shared" si="140"/>
        <v>*0.92</v>
      </c>
      <c r="AC1008" s="33" t="s">
        <v>4339</v>
      </c>
      <c r="AD1008" s="44" t="s">
        <v>57</v>
      </c>
      <c r="AE1008" s="33">
        <v>2035</v>
      </c>
      <c r="AF1008" s="45" t="str">
        <f t="shared" si="141"/>
        <v>*0.93</v>
      </c>
      <c r="AG1008" s="43" t="str">
        <f t="shared" si="144"/>
        <v>REZoning_Sol-Win</v>
      </c>
      <c r="AI1008" s="33" t="s">
        <v>4339</v>
      </c>
      <c r="AJ1008" s="44" t="s">
        <v>57</v>
      </c>
      <c r="AK1008" s="33">
        <v>2050</v>
      </c>
      <c r="AL1008" s="45" t="str">
        <f t="shared" si="142"/>
        <v>*0.89</v>
      </c>
      <c r="AM1008" s="43" t="str">
        <f t="shared" si="145"/>
        <v>REZoning_Sol-Win</v>
      </c>
      <c r="AP1008" t="s">
        <v>4339</v>
      </c>
      <c r="AQ1008" t="s">
        <v>57</v>
      </c>
      <c r="AR1008">
        <f t="shared" si="143"/>
        <v>2100</v>
      </c>
      <c r="AS1008" t="s">
        <v>937</v>
      </c>
      <c r="AT1008" t="s">
        <v>58</v>
      </c>
    </row>
    <row r="1009" ht="29" spans="1:46">
      <c r="A1009" s="31" t="s">
        <v>83</v>
      </c>
      <c r="C1009" t="s">
        <v>4340</v>
      </c>
      <c r="D1009" s="5" t="s">
        <v>57</v>
      </c>
      <c r="E1009">
        <v>2035</v>
      </c>
      <c r="F1009" s="6" t="str">
        <f t="shared" si="137"/>
        <v>*0.95</v>
      </c>
      <c r="H1009" t="s">
        <v>4340</v>
      </c>
      <c r="I1009" s="5" t="s">
        <v>57</v>
      </c>
      <c r="J1009">
        <v>2050</v>
      </c>
      <c r="K1009" s="38" t="str">
        <f t="shared" si="138"/>
        <v>*0.92</v>
      </c>
      <c r="P1009" s="32" t="s">
        <v>4340</v>
      </c>
      <c r="Q1009" s="42" t="s">
        <v>57</v>
      </c>
      <c r="R1009" s="32">
        <v>2035</v>
      </c>
      <c r="S1009" s="43" t="str">
        <f t="shared" si="139"/>
        <v>*0.95</v>
      </c>
      <c r="U1009" s="32" t="s">
        <v>4340</v>
      </c>
      <c r="V1009" s="42" t="s">
        <v>57</v>
      </c>
      <c r="W1009" s="32">
        <v>2050</v>
      </c>
      <c r="X1009" s="43" t="str">
        <f t="shared" si="140"/>
        <v>*0.92</v>
      </c>
      <c r="AC1009" s="33" t="s">
        <v>4340</v>
      </c>
      <c r="AD1009" s="44" t="s">
        <v>57</v>
      </c>
      <c r="AE1009" s="33">
        <v>2035</v>
      </c>
      <c r="AF1009" s="45" t="str">
        <f t="shared" si="141"/>
        <v>*0.93</v>
      </c>
      <c r="AG1009" s="43" t="str">
        <f t="shared" si="144"/>
        <v>REZoning_Sol-Win</v>
      </c>
      <c r="AI1009" s="33" t="s">
        <v>4340</v>
      </c>
      <c r="AJ1009" s="44" t="s">
        <v>57</v>
      </c>
      <c r="AK1009" s="33">
        <v>2050</v>
      </c>
      <c r="AL1009" s="45" t="str">
        <f t="shared" si="142"/>
        <v>*0.89</v>
      </c>
      <c r="AM1009" s="43" t="str">
        <f t="shared" si="145"/>
        <v>REZoning_Sol-Win</v>
      </c>
      <c r="AP1009" t="s">
        <v>4340</v>
      </c>
      <c r="AQ1009" t="s">
        <v>57</v>
      </c>
      <c r="AR1009">
        <f t="shared" si="143"/>
        <v>2100</v>
      </c>
      <c r="AS1009" t="s">
        <v>937</v>
      </c>
      <c r="AT1009" t="s">
        <v>58</v>
      </c>
    </row>
    <row r="1010" ht="29" spans="1:46">
      <c r="A1010" s="31" t="s">
        <v>83</v>
      </c>
      <c r="C1010" t="s">
        <v>4341</v>
      </c>
      <c r="D1010" s="5" t="s">
        <v>57</v>
      </c>
      <c r="E1010">
        <v>2035</v>
      </c>
      <c r="F1010" s="6" t="str">
        <f t="shared" si="137"/>
        <v>*0.95</v>
      </c>
      <c r="H1010" t="s">
        <v>4341</v>
      </c>
      <c r="I1010" s="5" t="s">
        <v>57</v>
      </c>
      <c r="J1010">
        <v>2050</v>
      </c>
      <c r="K1010" s="38" t="str">
        <f t="shared" si="138"/>
        <v>*0.92</v>
      </c>
      <c r="P1010" s="32" t="s">
        <v>4341</v>
      </c>
      <c r="Q1010" s="42" t="s">
        <v>57</v>
      </c>
      <c r="R1010" s="32">
        <v>2035</v>
      </c>
      <c r="S1010" s="43" t="str">
        <f t="shared" si="139"/>
        <v>*0.95</v>
      </c>
      <c r="U1010" s="32" t="s">
        <v>4341</v>
      </c>
      <c r="V1010" s="42" t="s">
        <v>57</v>
      </c>
      <c r="W1010" s="32">
        <v>2050</v>
      </c>
      <c r="X1010" s="43" t="str">
        <f t="shared" si="140"/>
        <v>*0.92</v>
      </c>
      <c r="AC1010" s="33" t="s">
        <v>4341</v>
      </c>
      <c r="AD1010" s="44" t="s">
        <v>57</v>
      </c>
      <c r="AE1010" s="33">
        <v>2035</v>
      </c>
      <c r="AF1010" s="45" t="str">
        <f t="shared" si="141"/>
        <v>*0.93</v>
      </c>
      <c r="AG1010" s="43" t="str">
        <f t="shared" si="144"/>
        <v>REZoning_Sol-Win</v>
      </c>
      <c r="AI1010" s="33" t="s">
        <v>4341</v>
      </c>
      <c r="AJ1010" s="44" t="s">
        <v>57</v>
      </c>
      <c r="AK1010" s="33">
        <v>2050</v>
      </c>
      <c r="AL1010" s="45" t="str">
        <f t="shared" si="142"/>
        <v>*0.89</v>
      </c>
      <c r="AM1010" s="43" t="str">
        <f t="shared" si="145"/>
        <v>REZoning_Sol-Win</v>
      </c>
      <c r="AP1010" t="s">
        <v>4341</v>
      </c>
      <c r="AQ1010" t="s">
        <v>57</v>
      </c>
      <c r="AR1010">
        <f t="shared" si="143"/>
        <v>2100</v>
      </c>
      <c r="AS1010" t="s">
        <v>937</v>
      </c>
      <c r="AT1010" t="s">
        <v>58</v>
      </c>
    </row>
    <row r="1011" ht="29" spans="1:46">
      <c r="A1011" s="31" t="s">
        <v>83</v>
      </c>
      <c r="C1011" t="s">
        <v>4342</v>
      </c>
      <c r="D1011" s="5" t="s">
        <v>57</v>
      </c>
      <c r="E1011">
        <v>2035</v>
      </c>
      <c r="F1011" s="6" t="str">
        <f t="shared" si="137"/>
        <v>*0.95</v>
      </c>
      <c r="H1011" t="s">
        <v>4342</v>
      </c>
      <c r="I1011" s="5" t="s">
        <v>57</v>
      </c>
      <c r="J1011">
        <v>2050</v>
      </c>
      <c r="K1011" s="38" t="str">
        <f t="shared" si="138"/>
        <v>*0.92</v>
      </c>
      <c r="P1011" s="32" t="s">
        <v>4342</v>
      </c>
      <c r="Q1011" s="42" t="s">
        <v>57</v>
      </c>
      <c r="R1011" s="32">
        <v>2035</v>
      </c>
      <c r="S1011" s="43" t="str">
        <f t="shared" si="139"/>
        <v>*0.95</v>
      </c>
      <c r="U1011" s="32" t="s">
        <v>4342</v>
      </c>
      <c r="V1011" s="42" t="s">
        <v>57</v>
      </c>
      <c r="W1011" s="32">
        <v>2050</v>
      </c>
      <c r="X1011" s="43" t="str">
        <f t="shared" si="140"/>
        <v>*0.92</v>
      </c>
      <c r="AC1011" s="33" t="s">
        <v>4342</v>
      </c>
      <c r="AD1011" s="44" t="s">
        <v>57</v>
      </c>
      <c r="AE1011" s="33">
        <v>2035</v>
      </c>
      <c r="AF1011" s="45" t="str">
        <f t="shared" si="141"/>
        <v>*0.93</v>
      </c>
      <c r="AG1011" s="43" t="str">
        <f t="shared" si="144"/>
        <v>REZoning_Sol-Win</v>
      </c>
      <c r="AI1011" s="33" t="s">
        <v>4342</v>
      </c>
      <c r="AJ1011" s="44" t="s">
        <v>57</v>
      </c>
      <c r="AK1011" s="33">
        <v>2050</v>
      </c>
      <c r="AL1011" s="45" t="str">
        <f t="shared" si="142"/>
        <v>*0.89</v>
      </c>
      <c r="AM1011" s="43" t="str">
        <f t="shared" si="145"/>
        <v>REZoning_Sol-Win</v>
      </c>
      <c r="AP1011" t="s">
        <v>4342</v>
      </c>
      <c r="AQ1011" t="s">
        <v>57</v>
      </c>
      <c r="AR1011">
        <f t="shared" si="143"/>
        <v>2100</v>
      </c>
      <c r="AS1011" t="s">
        <v>937</v>
      </c>
      <c r="AT1011" t="s">
        <v>58</v>
      </c>
    </row>
    <row r="1012" ht="29" spans="1:46">
      <c r="A1012" s="31" t="s">
        <v>83</v>
      </c>
      <c r="C1012" t="s">
        <v>4343</v>
      </c>
      <c r="D1012" s="5" t="s">
        <v>57</v>
      </c>
      <c r="E1012">
        <v>2035</v>
      </c>
      <c r="F1012" s="6" t="str">
        <f t="shared" si="137"/>
        <v>*0.95</v>
      </c>
      <c r="H1012" t="s">
        <v>4343</v>
      </c>
      <c r="I1012" s="5" t="s">
        <v>57</v>
      </c>
      <c r="J1012">
        <v>2050</v>
      </c>
      <c r="K1012" s="38" t="str">
        <f t="shared" si="138"/>
        <v>*0.92</v>
      </c>
      <c r="P1012" s="32" t="s">
        <v>4343</v>
      </c>
      <c r="Q1012" s="42" t="s">
        <v>57</v>
      </c>
      <c r="R1012" s="32">
        <v>2035</v>
      </c>
      <c r="S1012" s="43" t="str">
        <f t="shared" si="139"/>
        <v>*0.95</v>
      </c>
      <c r="U1012" s="32" t="s">
        <v>4343</v>
      </c>
      <c r="V1012" s="42" t="s">
        <v>57</v>
      </c>
      <c r="W1012" s="32">
        <v>2050</v>
      </c>
      <c r="X1012" s="43" t="str">
        <f t="shared" si="140"/>
        <v>*0.92</v>
      </c>
      <c r="AC1012" s="33" t="s">
        <v>4343</v>
      </c>
      <c r="AD1012" s="44" t="s">
        <v>57</v>
      </c>
      <c r="AE1012" s="33">
        <v>2035</v>
      </c>
      <c r="AF1012" s="45" t="str">
        <f t="shared" si="141"/>
        <v>*0.93</v>
      </c>
      <c r="AG1012" s="43" t="str">
        <f t="shared" si="144"/>
        <v>REZoning_Sol-Win</v>
      </c>
      <c r="AI1012" s="33" t="s">
        <v>4343</v>
      </c>
      <c r="AJ1012" s="44" t="s">
        <v>57</v>
      </c>
      <c r="AK1012" s="33">
        <v>2050</v>
      </c>
      <c r="AL1012" s="45" t="str">
        <f t="shared" si="142"/>
        <v>*0.89</v>
      </c>
      <c r="AM1012" s="43" t="str">
        <f t="shared" si="145"/>
        <v>REZoning_Sol-Win</v>
      </c>
      <c r="AP1012" t="s">
        <v>4343</v>
      </c>
      <c r="AQ1012" t="s">
        <v>57</v>
      </c>
      <c r="AR1012">
        <f t="shared" si="143"/>
        <v>2100</v>
      </c>
      <c r="AS1012" t="s">
        <v>937</v>
      </c>
      <c r="AT1012" t="s">
        <v>58</v>
      </c>
    </row>
    <row r="1013" ht="29" spans="1:46">
      <c r="A1013" s="31" t="s">
        <v>83</v>
      </c>
      <c r="C1013" t="s">
        <v>4344</v>
      </c>
      <c r="D1013" s="5" t="s">
        <v>57</v>
      </c>
      <c r="E1013">
        <v>2035</v>
      </c>
      <c r="F1013" s="6" t="str">
        <f t="shared" si="137"/>
        <v>*0.95</v>
      </c>
      <c r="H1013" t="s">
        <v>4344</v>
      </c>
      <c r="I1013" s="5" t="s">
        <v>57</v>
      </c>
      <c r="J1013">
        <v>2050</v>
      </c>
      <c r="K1013" s="38" t="str">
        <f t="shared" si="138"/>
        <v>*0.92</v>
      </c>
      <c r="P1013" s="32" t="s">
        <v>4344</v>
      </c>
      <c r="Q1013" s="42" t="s">
        <v>57</v>
      </c>
      <c r="R1013" s="32">
        <v>2035</v>
      </c>
      <c r="S1013" s="43" t="str">
        <f t="shared" si="139"/>
        <v>*0.95</v>
      </c>
      <c r="U1013" s="32" t="s">
        <v>4344</v>
      </c>
      <c r="V1013" s="42" t="s">
        <v>57</v>
      </c>
      <c r="W1013" s="32">
        <v>2050</v>
      </c>
      <c r="X1013" s="43" t="str">
        <f t="shared" si="140"/>
        <v>*0.92</v>
      </c>
      <c r="AC1013" s="33" t="s">
        <v>4344</v>
      </c>
      <c r="AD1013" s="44" t="s">
        <v>57</v>
      </c>
      <c r="AE1013" s="33">
        <v>2035</v>
      </c>
      <c r="AF1013" s="45" t="str">
        <f t="shared" si="141"/>
        <v>*0.93</v>
      </c>
      <c r="AG1013" s="43" t="str">
        <f t="shared" si="144"/>
        <v>REZoning_Sol-Win</v>
      </c>
      <c r="AI1013" s="33" t="s">
        <v>4344</v>
      </c>
      <c r="AJ1013" s="44" t="s">
        <v>57</v>
      </c>
      <c r="AK1013" s="33">
        <v>2050</v>
      </c>
      <c r="AL1013" s="45" t="str">
        <f t="shared" si="142"/>
        <v>*0.89</v>
      </c>
      <c r="AM1013" s="43" t="str">
        <f t="shared" si="145"/>
        <v>REZoning_Sol-Win</v>
      </c>
      <c r="AP1013" t="s">
        <v>4344</v>
      </c>
      <c r="AQ1013" t="s">
        <v>57</v>
      </c>
      <c r="AR1013">
        <f t="shared" si="143"/>
        <v>2100</v>
      </c>
      <c r="AS1013" t="s">
        <v>937</v>
      </c>
      <c r="AT1013" t="s">
        <v>58</v>
      </c>
    </row>
    <row r="1014" ht="29" spans="1:46">
      <c r="A1014" s="31" t="s">
        <v>83</v>
      </c>
      <c r="C1014" t="s">
        <v>4345</v>
      </c>
      <c r="D1014" s="5" t="s">
        <v>57</v>
      </c>
      <c r="E1014">
        <v>2035</v>
      </c>
      <c r="F1014" s="6" t="str">
        <f t="shared" si="137"/>
        <v>*0.95</v>
      </c>
      <c r="H1014" t="s">
        <v>4345</v>
      </c>
      <c r="I1014" s="5" t="s">
        <v>57</v>
      </c>
      <c r="J1014">
        <v>2050</v>
      </c>
      <c r="K1014" s="38" t="str">
        <f t="shared" si="138"/>
        <v>*0.92</v>
      </c>
      <c r="P1014" s="32" t="s">
        <v>4345</v>
      </c>
      <c r="Q1014" s="42" t="s">
        <v>57</v>
      </c>
      <c r="R1014" s="32">
        <v>2035</v>
      </c>
      <c r="S1014" s="43" t="str">
        <f t="shared" si="139"/>
        <v>*0.95</v>
      </c>
      <c r="U1014" s="32" t="s">
        <v>4345</v>
      </c>
      <c r="V1014" s="42" t="s">
        <v>57</v>
      </c>
      <c r="W1014" s="32">
        <v>2050</v>
      </c>
      <c r="X1014" s="43" t="str">
        <f t="shared" si="140"/>
        <v>*0.92</v>
      </c>
      <c r="AC1014" s="33" t="s">
        <v>4345</v>
      </c>
      <c r="AD1014" s="44" t="s">
        <v>57</v>
      </c>
      <c r="AE1014" s="33">
        <v>2035</v>
      </c>
      <c r="AF1014" s="45" t="str">
        <f t="shared" si="141"/>
        <v>*0.93</v>
      </c>
      <c r="AG1014" s="43" t="str">
        <f t="shared" si="144"/>
        <v>REZoning_Sol-Win</v>
      </c>
      <c r="AI1014" s="33" t="s">
        <v>4345</v>
      </c>
      <c r="AJ1014" s="44" t="s">
        <v>57</v>
      </c>
      <c r="AK1014" s="33">
        <v>2050</v>
      </c>
      <c r="AL1014" s="45" t="str">
        <f t="shared" si="142"/>
        <v>*0.89</v>
      </c>
      <c r="AM1014" s="43" t="str">
        <f t="shared" si="145"/>
        <v>REZoning_Sol-Win</v>
      </c>
      <c r="AP1014" t="s">
        <v>4345</v>
      </c>
      <c r="AQ1014" t="s">
        <v>57</v>
      </c>
      <c r="AR1014">
        <f t="shared" si="143"/>
        <v>2100</v>
      </c>
      <c r="AS1014" t="s">
        <v>937</v>
      </c>
      <c r="AT1014" t="s">
        <v>58</v>
      </c>
    </row>
    <row r="1015" ht="29" spans="1:46">
      <c r="A1015" s="31" t="s">
        <v>83</v>
      </c>
      <c r="C1015" t="s">
        <v>4346</v>
      </c>
      <c r="D1015" s="5" t="s">
        <v>57</v>
      </c>
      <c r="E1015">
        <v>2035</v>
      </c>
      <c r="F1015" s="6" t="str">
        <f t="shared" si="137"/>
        <v>*0.95</v>
      </c>
      <c r="H1015" t="s">
        <v>4346</v>
      </c>
      <c r="I1015" s="5" t="s">
        <v>57</v>
      </c>
      <c r="J1015">
        <v>2050</v>
      </c>
      <c r="K1015" s="38" t="str">
        <f t="shared" si="138"/>
        <v>*0.92</v>
      </c>
      <c r="P1015" s="32" t="s">
        <v>4346</v>
      </c>
      <c r="Q1015" s="42" t="s">
        <v>57</v>
      </c>
      <c r="R1015" s="32">
        <v>2035</v>
      </c>
      <c r="S1015" s="43" t="str">
        <f t="shared" si="139"/>
        <v>*0.95</v>
      </c>
      <c r="U1015" s="32" t="s">
        <v>4346</v>
      </c>
      <c r="V1015" s="42" t="s">
        <v>57</v>
      </c>
      <c r="W1015" s="32">
        <v>2050</v>
      </c>
      <c r="X1015" s="43" t="str">
        <f t="shared" si="140"/>
        <v>*0.92</v>
      </c>
      <c r="AC1015" s="33" t="s">
        <v>4346</v>
      </c>
      <c r="AD1015" s="44" t="s">
        <v>57</v>
      </c>
      <c r="AE1015" s="33">
        <v>2035</v>
      </c>
      <c r="AF1015" s="45" t="str">
        <f t="shared" si="141"/>
        <v>*0.93</v>
      </c>
      <c r="AG1015" s="43" t="str">
        <f t="shared" si="144"/>
        <v>REZoning_Sol-Win</v>
      </c>
      <c r="AI1015" s="33" t="s">
        <v>4346</v>
      </c>
      <c r="AJ1015" s="44" t="s">
        <v>57</v>
      </c>
      <c r="AK1015" s="33">
        <v>2050</v>
      </c>
      <c r="AL1015" s="45" t="str">
        <f t="shared" si="142"/>
        <v>*0.89</v>
      </c>
      <c r="AM1015" s="43" t="str">
        <f t="shared" si="145"/>
        <v>REZoning_Sol-Win</v>
      </c>
      <c r="AP1015" t="s">
        <v>4346</v>
      </c>
      <c r="AQ1015" t="s">
        <v>57</v>
      </c>
      <c r="AR1015">
        <f t="shared" si="143"/>
        <v>2100</v>
      </c>
      <c r="AS1015" t="s">
        <v>937</v>
      </c>
      <c r="AT1015" t="s">
        <v>58</v>
      </c>
    </row>
    <row r="1016" ht="29" spans="1:46">
      <c r="A1016" s="31" t="s">
        <v>83</v>
      </c>
      <c r="C1016" t="s">
        <v>4347</v>
      </c>
      <c r="D1016" s="5" t="s">
        <v>57</v>
      </c>
      <c r="E1016">
        <v>2035</v>
      </c>
      <c r="F1016" s="6" t="str">
        <f t="shared" si="137"/>
        <v>*0.95</v>
      </c>
      <c r="H1016" t="s">
        <v>4347</v>
      </c>
      <c r="I1016" s="5" t="s">
        <v>57</v>
      </c>
      <c r="J1016">
        <v>2050</v>
      </c>
      <c r="K1016" s="38" t="str">
        <f t="shared" si="138"/>
        <v>*0.92</v>
      </c>
      <c r="P1016" s="32" t="s">
        <v>4347</v>
      </c>
      <c r="Q1016" s="42" t="s">
        <v>57</v>
      </c>
      <c r="R1016" s="32">
        <v>2035</v>
      </c>
      <c r="S1016" s="43" t="str">
        <f t="shared" si="139"/>
        <v>*0.95</v>
      </c>
      <c r="U1016" s="32" t="s">
        <v>4347</v>
      </c>
      <c r="V1016" s="42" t="s">
        <v>57</v>
      </c>
      <c r="W1016" s="32">
        <v>2050</v>
      </c>
      <c r="X1016" s="43" t="str">
        <f t="shared" si="140"/>
        <v>*0.92</v>
      </c>
      <c r="AC1016" s="33" t="s">
        <v>4347</v>
      </c>
      <c r="AD1016" s="44" t="s">
        <v>57</v>
      </c>
      <c r="AE1016" s="33">
        <v>2035</v>
      </c>
      <c r="AF1016" s="45" t="str">
        <f t="shared" si="141"/>
        <v>*0.93</v>
      </c>
      <c r="AG1016" s="43" t="str">
        <f t="shared" si="144"/>
        <v>REZoning_Sol-Win</v>
      </c>
      <c r="AI1016" s="33" t="s">
        <v>4347</v>
      </c>
      <c r="AJ1016" s="44" t="s">
        <v>57</v>
      </c>
      <c r="AK1016" s="33">
        <v>2050</v>
      </c>
      <c r="AL1016" s="45" t="str">
        <f t="shared" si="142"/>
        <v>*0.89</v>
      </c>
      <c r="AM1016" s="43" t="str">
        <f t="shared" si="145"/>
        <v>REZoning_Sol-Win</v>
      </c>
      <c r="AP1016" t="s">
        <v>4347</v>
      </c>
      <c r="AQ1016" t="s">
        <v>57</v>
      </c>
      <c r="AR1016">
        <f t="shared" si="143"/>
        <v>2100</v>
      </c>
      <c r="AS1016" t="s">
        <v>937</v>
      </c>
      <c r="AT1016" t="s">
        <v>58</v>
      </c>
    </row>
    <row r="1017" ht="29" spans="1:46">
      <c r="A1017" s="31" t="s">
        <v>83</v>
      </c>
      <c r="C1017" t="s">
        <v>4348</v>
      </c>
      <c r="D1017" s="5" t="s">
        <v>57</v>
      </c>
      <c r="E1017">
        <v>2035</v>
      </c>
      <c r="F1017" s="6" t="str">
        <f t="shared" si="137"/>
        <v>*0.95</v>
      </c>
      <c r="H1017" t="s">
        <v>4348</v>
      </c>
      <c r="I1017" s="5" t="s">
        <v>57</v>
      </c>
      <c r="J1017">
        <v>2050</v>
      </c>
      <c r="K1017" s="38" t="str">
        <f t="shared" si="138"/>
        <v>*0.92</v>
      </c>
      <c r="P1017" s="32" t="s">
        <v>4348</v>
      </c>
      <c r="Q1017" s="42" t="s">
        <v>57</v>
      </c>
      <c r="R1017" s="32">
        <v>2035</v>
      </c>
      <c r="S1017" s="43" t="str">
        <f t="shared" si="139"/>
        <v>*0.95</v>
      </c>
      <c r="U1017" s="32" t="s">
        <v>4348</v>
      </c>
      <c r="V1017" s="42" t="s">
        <v>57</v>
      </c>
      <c r="W1017" s="32">
        <v>2050</v>
      </c>
      <c r="X1017" s="43" t="str">
        <f t="shared" si="140"/>
        <v>*0.92</v>
      </c>
      <c r="AC1017" s="33" t="s">
        <v>4348</v>
      </c>
      <c r="AD1017" s="44" t="s">
        <v>57</v>
      </c>
      <c r="AE1017" s="33">
        <v>2035</v>
      </c>
      <c r="AF1017" s="45" t="str">
        <f t="shared" si="141"/>
        <v>*0.93</v>
      </c>
      <c r="AG1017" s="43" t="str">
        <f t="shared" si="144"/>
        <v>REZoning_Sol-Win</v>
      </c>
      <c r="AI1017" s="33" t="s">
        <v>4348</v>
      </c>
      <c r="AJ1017" s="44" t="s">
        <v>57</v>
      </c>
      <c r="AK1017" s="33">
        <v>2050</v>
      </c>
      <c r="AL1017" s="45" t="str">
        <f t="shared" si="142"/>
        <v>*0.89</v>
      </c>
      <c r="AM1017" s="43" t="str">
        <f t="shared" si="145"/>
        <v>REZoning_Sol-Win</v>
      </c>
      <c r="AP1017" t="s">
        <v>4348</v>
      </c>
      <c r="AQ1017" t="s">
        <v>57</v>
      </c>
      <c r="AR1017">
        <f t="shared" si="143"/>
        <v>2100</v>
      </c>
      <c r="AS1017" t="s">
        <v>937</v>
      </c>
      <c r="AT1017" t="s">
        <v>58</v>
      </c>
    </row>
    <row r="1018" ht="29" spans="1:46">
      <c r="A1018" s="31" t="s">
        <v>83</v>
      </c>
      <c r="C1018" t="s">
        <v>4349</v>
      </c>
      <c r="D1018" s="5" t="s">
        <v>57</v>
      </c>
      <c r="E1018">
        <v>2035</v>
      </c>
      <c r="F1018" s="6" t="str">
        <f t="shared" si="137"/>
        <v>*0.95</v>
      </c>
      <c r="H1018" t="s">
        <v>4349</v>
      </c>
      <c r="I1018" s="5" t="s">
        <v>57</v>
      </c>
      <c r="J1018">
        <v>2050</v>
      </c>
      <c r="K1018" s="38" t="str">
        <f t="shared" si="138"/>
        <v>*0.92</v>
      </c>
      <c r="P1018" s="32" t="s">
        <v>4349</v>
      </c>
      <c r="Q1018" s="42" t="s">
        <v>57</v>
      </c>
      <c r="R1018" s="32">
        <v>2035</v>
      </c>
      <c r="S1018" s="43" t="str">
        <f t="shared" si="139"/>
        <v>*0.95</v>
      </c>
      <c r="U1018" s="32" t="s">
        <v>4349</v>
      </c>
      <c r="V1018" s="42" t="s">
        <v>57</v>
      </c>
      <c r="W1018" s="32">
        <v>2050</v>
      </c>
      <c r="X1018" s="43" t="str">
        <f t="shared" si="140"/>
        <v>*0.92</v>
      </c>
      <c r="AC1018" s="33" t="s">
        <v>4349</v>
      </c>
      <c r="AD1018" s="44" t="s">
        <v>57</v>
      </c>
      <c r="AE1018" s="33">
        <v>2035</v>
      </c>
      <c r="AF1018" s="45" t="str">
        <f t="shared" si="141"/>
        <v>*0.93</v>
      </c>
      <c r="AG1018" s="43" t="str">
        <f t="shared" si="144"/>
        <v>REZoning_Sol-Win</v>
      </c>
      <c r="AI1018" s="33" t="s">
        <v>4349</v>
      </c>
      <c r="AJ1018" s="44" t="s">
        <v>57</v>
      </c>
      <c r="AK1018" s="33">
        <v>2050</v>
      </c>
      <c r="AL1018" s="45" t="str">
        <f t="shared" si="142"/>
        <v>*0.89</v>
      </c>
      <c r="AM1018" s="43" t="str">
        <f t="shared" si="145"/>
        <v>REZoning_Sol-Win</v>
      </c>
      <c r="AP1018" t="s">
        <v>4349</v>
      </c>
      <c r="AQ1018" t="s">
        <v>57</v>
      </c>
      <c r="AR1018">
        <f t="shared" si="143"/>
        <v>2100</v>
      </c>
      <c r="AS1018" t="s">
        <v>937</v>
      </c>
      <c r="AT1018" t="s">
        <v>58</v>
      </c>
    </row>
    <row r="1019" ht="29" spans="1:46">
      <c r="A1019" s="31" t="s">
        <v>83</v>
      </c>
      <c r="C1019" t="s">
        <v>4350</v>
      </c>
      <c r="D1019" s="5" t="s">
        <v>57</v>
      </c>
      <c r="E1019">
        <v>2035</v>
      </c>
      <c r="F1019" s="6" t="str">
        <f t="shared" si="137"/>
        <v>*0.95</v>
      </c>
      <c r="H1019" t="s">
        <v>4350</v>
      </c>
      <c r="I1019" s="5" t="s">
        <v>57</v>
      </c>
      <c r="J1019">
        <v>2050</v>
      </c>
      <c r="K1019" s="38" t="str">
        <f t="shared" si="138"/>
        <v>*0.92</v>
      </c>
      <c r="P1019" s="32" t="s">
        <v>4350</v>
      </c>
      <c r="Q1019" s="42" t="s">
        <v>57</v>
      </c>
      <c r="R1019" s="32">
        <v>2035</v>
      </c>
      <c r="S1019" s="43" t="str">
        <f t="shared" si="139"/>
        <v>*0.95</v>
      </c>
      <c r="U1019" s="32" t="s">
        <v>4350</v>
      </c>
      <c r="V1019" s="42" t="s">
        <v>57</v>
      </c>
      <c r="W1019" s="32">
        <v>2050</v>
      </c>
      <c r="X1019" s="43" t="str">
        <f t="shared" si="140"/>
        <v>*0.92</v>
      </c>
      <c r="AC1019" s="33" t="s">
        <v>4350</v>
      </c>
      <c r="AD1019" s="44" t="s">
        <v>57</v>
      </c>
      <c r="AE1019" s="33">
        <v>2035</v>
      </c>
      <c r="AF1019" s="45" t="str">
        <f t="shared" si="141"/>
        <v>*0.93</v>
      </c>
      <c r="AG1019" s="43" t="str">
        <f t="shared" si="144"/>
        <v>REZoning_Sol-Win</v>
      </c>
      <c r="AI1019" s="33" t="s">
        <v>4350</v>
      </c>
      <c r="AJ1019" s="44" t="s">
        <v>57</v>
      </c>
      <c r="AK1019" s="33">
        <v>2050</v>
      </c>
      <c r="AL1019" s="45" t="str">
        <f t="shared" si="142"/>
        <v>*0.89</v>
      </c>
      <c r="AM1019" s="43" t="str">
        <f t="shared" si="145"/>
        <v>REZoning_Sol-Win</v>
      </c>
      <c r="AP1019" t="s">
        <v>4350</v>
      </c>
      <c r="AQ1019" t="s">
        <v>57</v>
      </c>
      <c r="AR1019">
        <f t="shared" si="143"/>
        <v>2100</v>
      </c>
      <c r="AS1019" t="s">
        <v>937</v>
      </c>
      <c r="AT1019" t="s">
        <v>58</v>
      </c>
    </row>
    <row r="1020" ht="29" spans="1:46">
      <c r="A1020" s="31" t="s">
        <v>83</v>
      </c>
      <c r="C1020" t="s">
        <v>4351</v>
      </c>
      <c r="D1020" s="5" t="s">
        <v>57</v>
      </c>
      <c r="E1020">
        <v>2035</v>
      </c>
      <c r="F1020" s="6" t="str">
        <f t="shared" si="137"/>
        <v>*0.95</v>
      </c>
      <c r="H1020" t="s">
        <v>4351</v>
      </c>
      <c r="I1020" s="5" t="s">
        <v>57</v>
      </c>
      <c r="J1020">
        <v>2050</v>
      </c>
      <c r="K1020" s="38" t="str">
        <f t="shared" si="138"/>
        <v>*0.92</v>
      </c>
      <c r="P1020" s="32" t="s">
        <v>4351</v>
      </c>
      <c r="Q1020" s="42" t="s">
        <v>57</v>
      </c>
      <c r="R1020" s="32">
        <v>2035</v>
      </c>
      <c r="S1020" s="43" t="str">
        <f t="shared" si="139"/>
        <v>*0.95</v>
      </c>
      <c r="U1020" s="32" t="s">
        <v>4351</v>
      </c>
      <c r="V1020" s="42" t="s">
        <v>57</v>
      </c>
      <c r="W1020" s="32">
        <v>2050</v>
      </c>
      <c r="X1020" s="43" t="str">
        <f t="shared" si="140"/>
        <v>*0.92</v>
      </c>
      <c r="AC1020" s="33" t="s">
        <v>4351</v>
      </c>
      <c r="AD1020" s="44" t="s">
        <v>57</v>
      </c>
      <c r="AE1020" s="33">
        <v>2035</v>
      </c>
      <c r="AF1020" s="45" t="str">
        <f t="shared" si="141"/>
        <v>*0.93</v>
      </c>
      <c r="AG1020" s="43" t="str">
        <f t="shared" si="144"/>
        <v>REZoning_Sol-Win</v>
      </c>
      <c r="AI1020" s="33" t="s">
        <v>4351</v>
      </c>
      <c r="AJ1020" s="44" t="s">
        <v>57</v>
      </c>
      <c r="AK1020" s="33">
        <v>2050</v>
      </c>
      <c r="AL1020" s="45" t="str">
        <f t="shared" si="142"/>
        <v>*0.89</v>
      </c>
      <c r="AM1020" s="43" t="str">
        <f t="shared" si="145"/>
        <v>REZoning_Sol-Win</v>
      </c>
      <c r="AP1020" t="s">
        <v>4351</v>
      </c>
      <c r="AQ1020" t="s">
        <v>57</v>
      </c>
      <c r="AR1020">
        <f t="shared" si="143"/>
        <v>2100</v>
      </c>
      <c r="AS1020" t="s">
        <v>937</v>
      </c>
      <c r="AT1020" t="s">
        <v>58</v>
      </c>
    </row>
    <row r="1021" ht="29" spans="1:46">
      <c r="A1021" s="31" t="s">
        <v>83</v>
      </c>
      <c r="C1021" t="s">
        <v>4352</v>
      </c>
      <c r="D1021" s="5" t="s">
        <v>57</v>
      </c>
      <c r="E1021">
        <v>2035</v>
      </c>
      <c r="F1021" s="6" t="str">
        <f t="shared" si="137"/>
        <v>*0.95</v>
      </c>
      <c r="H1021" t="s">
        <v>4352</v>
      </c>
      <c r="I1021" s="5" t="s">
        <v>57</v>
      </c>
      <c r="J1021">
        <v>2050</v>
      </c>
      <c r="K1021" s="38" t="str">
        <f t="shared" si="138"/>
        <v>*0.92</v>
      </c>
      <c r="P1021" s="32" t="s">
        <v>4352</v>
      </c>
      <c r="Q1021" s="42" t="s">
        <v>57</v>
      </c>
      <c r="R1021" s="32">
        <v>2035</v>
      </c>
      <c r="S1021" s="43" t="str">
        <f t="shared" si="139"/>
        <v>*0.95</v>
      </c>
      <c r="U1021" s="32" t="s">
        <v>4352</v>
      </c>
      <c r="V1021" s="42" t="s">
        <v>57</v>
      </c>
      <c r="W1021" s="32">
        <v>2050</v>
      </c>
      <c r="X1021" s="43" t="str">
        <f t="shared" si="140"/>
        <v>*0.92</v>
      </c>
      <c r="AC1021" s="33" t="s">
        <v>4352</v>
      </c>
      <c r="AD1021" s="44" t="s">
        <v>57</v>
      </c>
      <c r="AE1021" s="33">
        <v>2035</v>
      </c>
      <c r="AF1021" s="45" t="str">
        <f t="shared" si="141"/>
        <v>*0.93</v>
      </c>
      <c r="AG1021" s="43" t="str">
        <f t="shared" si="144"/>
        <v>REZoning_Sol-Win</v>
      </c>
      <c r="AI1021" s="33" t="s">
        <v>4352</v>
      </c>
      <c r="AJ1021" s="44" t="s">
        <v>57</v>
      </c>
      <c r="AK1021" s="33">
        <v>2050</v>
      </c>
      <c r="AL1021" s="45" t="str">
        <f t="shared" si="142"/>
        <v>*0.89</v>
      </c>
      <c r="AM1021" s="43" t="str">
        <f t="shared" si="145"/>
        <v>REZoning_Sol-Win</v>
      </c>
      <c r="AP1021" t="s">
        <v>4352</v>
      </c>
      <c r="AQ1021" t="s">
        <v>57</v>
      </c>
      <c r="AR1021">
        <f t="shared" si="143"/>
        <v>2100</v>
      </c>
      <c r="AS1021" t="s">
        <v>937</v>
      </c>
      <c r="AT1021" t="s">
        <v>58</v>
      </c>
    </row>
    <row r="1022" ht="29" spans="1:46">
      <c r="A1022" s="31" t="s">
        <v>83</v>
      </c>
      <c r="C1022" t="s">
        <v>4353</v>
      </c>
      <c r="D1022" s="5" t="s">
        <v>57</v>
      </c>
      <c r="E1022">
        <v>2035</v>
      </c>
      <c r="F1022" s="6" t="str">
        <f t="shared" si="137"/>
        <v>*0.95</v>
      </c>
      <c r="H1022" t="s">
        <v>4353</v>
      </c>
      <c r="I1022" s="5" t="s">
        <v>57</v>
      </c>
      <c r="J1022">
        <v>2050</v>
      </c>
      <c r="K1022" s="38" t="str">
        <f t="shared" si="138"/>
        <v>*0.92</v>
      </c>
      <c r="P1022" s="32" t="s">
        <v>4353</v>
      </c>
      <c r="Q1022" s="42" t="s">
        <v>57</v>
      </c>
      <c r="R1022" s="32">
        <v>2035</v>
      </c>
      <c r="S1022" s="43" t="str">
        <f t="shared" si="139"/>
        <v>*0.95</v>
      </c>
      <c r="U1022" s="32" t="s">
        <v>4353</v>
      </c>
      <c r="V1022" s="42" t="s">
        <v>57</v>
      </c>
      <c r="W1022" s="32">
        <v>2050</v>
      </c>
      <c r="X1022" s="43" t="str">
        <f t="shared" si="140"/>
        <v>*0.92</v>
      </c>
      <c r="AC1022" s="33" t="s">
        <v>4353</v>
      </c>
      <c r="AD1022" s="44" t="s">
        <v>57</v>
      </c>
      <c r="AE1022" s="33">
        <v>2035</v>
      </c>
      <c r="AF1022" s="45" t="str">
        <f t="shared" si="141"/>
        <v>*0.93</v>
      </c>
      <c r="AG1022" s="43" t="str">
        <f t="shared" si="144"/>
        <v>REZoning_Sol-Win</v>
      </c>
      <c r="AI1022" s="33" t="s">
        <v>4353</v>
      </c>
      <c r="AJ1022" s="44" t="s">
        <v>57</v>
      </c>
      <c r="AK1022" s="33">
        <v>2050</v>
      </c>
      <c r="AL1022" s="45" t="str">
        <f t="shared" si="142"/>
        <v>*0.89</v>
      </c>
      <c r="AM1022" s="43" t="str">
        <f t="shared" si="145"/>
        <v>REZoning_Sol-Win</v>
      </c>
      <c r="AP1022" t="s">
        <v>4353</v>
      </c>
      <c r="AQ1022" t="s">
        <v>57</v>
      </c>
      <c r="AR1022">
        <f t="shared" si="143"/>
        <v>2100</v>
      </c>
      <c r="AS1022" t="s">
        <v>937</v>
      </c>
      <c r="AT1022" t="s">
        <v>58</v>
      </c>
    </row>
    <row r="1023" ht="29" spans="1:46">
      <c r="A1023" s="31" t="s">
        <v>83</v>
      </c>
      <c r="C1023" t="s">
        <v>4354</v>
      </c>
      <c r="D1023" s="5" t="s">
        <v>57</v>
      </c>
      <c r="E1023">
        <v>2035</v>
      </c>
      <c r="F1023" s="6" t="str">
        <f t="shared" si="137"/>
        <v>*0.95</v>
      </c>
      <c r="H1023" t="s">
        <v>4354</v>
      </c>
      <c r="I1023" s="5" t="s">
        <v>57</v>
      </c>
      <c r="J1023">
        <v>2050</v>
      </c>
      <c r="K1023" s="38" t="str">
        <f t="shared" si="138"/>
        <v>*0.92</v>
      </c>
      <c r="P1023" s="32" t="s">
        <v>4354</v>
      </c>
      <c r="Q1023" s="42" t="s">
        <v>57</v>
      </c>
      <c r="R1023" s="32">
        <v>2035</v>
      </c>
      <c r="S1023" s="43" t="str">
        <f t="shared" si="139"/>
        <v>*0.95</v>
      </c>
      <c r="U1023" s="32" t="s">
        <v>4354</v>
      </c>
      <c r="V1023" s="42" t="s">
        <v>57</v>
      </c>
      <c r="W1023" s="32">
        <v>2050</v>
      </c>
      <c r="X1023" s="43" t="str">
        <f t="shared" si="140"/>
        <v>*0.92</v>
      </c>
      <c r="AC1023" s="33" t="s">
        <v>4354</v>
      </c>
      <c r="AD1023" s="44" t="s">
        <v>57</v>
      </c>
      <c r="AE1023" s="33">
        <v>2035</v>
      </c>
      <c r="AF1023" s="45" t="str">
        <f t="shared" si="141"/>
        <v>*0.93</v>
      </c>
      <c r="AG1023" s="43" t="str">
        <f t="shared" si="144"/>
        <v>REZoning_Sol-Win</v>
      </c>
      <c r="AI1023" s="33" t="s">
        <v>4354</v>
      </c>
      <c r="AJ1023" s="44" t="s">
        <v>57</v>
      </c>
      <c r="AK1023" s="33">
        <v>2050</v>
      </c>
      <c r="AL1023" s="45" t="str">
        <f t="shared" si="142"/>
        <v>*0.89</v>
      </c>
      <c r="AM1023" s="43" t="str">
        <f t="shared" si="145"/>
        <v>REZoning_Sol-Win</v>
      </c>
      <c r="AP1023" t="s">
        <v>4354</v>
      </c>
      <c r="AQ1023" t="s">
        <v>57</v>
      </c>
      <c r="AR1023">
        <f t="shared" si="143"/>
        <v>2100</v>
      </c>
      <c r="AS1023" t="s">
        <v>937</v>
      </c>
      <c r="AT1023" t="s">
        <v>58</v>
      </c>
    </row>
    <row r="1024" ht="29" spans="1:46">
      <c r="A1024" s="31" t="s">
        <v>83</v>
      </c>
      <c r="C1024" t="s">
        <v>4355</v>
      </c>
      <c r="D1024" s="5" t="s">
        <v>57</v>
      </c>
      <c r="E1024">
        <v>2035</v>
      </c>
      <c r="F1024" s="6" t="str">
        <f t="shared" si="137"/>
        <v>*0.95</v>
      </c>
      <c r="H1024" t="s">
        <v>4355</v>
      </c>
      <c r="I1024" s="5" t="s">
        <v>57</v>
      </c>
      <c r="J1024">
        <v>2050</v>
      </c>
      <c r="K1024" s="38" t="str">
        <f t="shared" si="138"/>
        <v>*0.92</v>
      </c>
      <c r="P1024" s="32" t="s">
        <v>4355</v>
      </c>
      <c r="Q1024" s="42" t="s">
        <v>57</v>
      </c>
      <c r="R1024" s="32">
        <v>2035</v>
      </c>
      <c r="S1024" s="43" t="str">
        <f t="shared" si="139"/>
        <v>*0.95</v>
      </c>
      <c r="U1024" s="32" t="s">
        <v>4355</v>
      </c>
      <c r="V1024" s="42" t="s">
        <v>57</v>
      </c>
      <c r="W1024" s="32">
        <v>2050</v>
      </c>
      <c r="X1024" s="43" t="str">
        <f t="shared" si="140"/>
        <v>*0.92</v>
      </c>
      <c r="AC1024" s="33" t="s">
        <v>4355</v>
      </c>
      <c r="AD1024" s="44" t="s">
        <v>57</v>
      </c>
      <c r="AE1024" s="33">
        <v>2035</v>
      </c>
      <c r="AF1024" s="45" t="str">
        <f t="shared" si="141"/>
        <v>*0.93</v>
      </c>
      <c r="AG1024" s="43" t="str">
        <f t="shared" si="144"/>
        <v>REZoning_Sol-Win</v>
      </c>
      <c r="AI1024" s="33" t="s">
        <v>4355</v>
      </c>
      <c r="AJ1024" s="44" t="s">
        <v>57</v>
      </c>
      <c r="AK1024" s="33">
        <v>2050</v>
      </c>
      <c r="AL1024" s="45" t="str">
        <f t="shared" si="142"/>
        <v>*0.89</v>
      </c>
      <c r="AM1024" s="43" t="str">
        <f t="shared" si="145"/>
        <v>REZoning_Sol-Win</v>
      </c>
      <c r="AP1024" t="s">
        <v>4355</v>
      </c>
      <c r="AQ1024" t="s">
        <v>57</v>
      </c>
      <c r="AR1024">
        <f t="shared" si="143"/>
        <v>2100</v>
      </c>
      <c r="AS1024" t="s">
        <v>937</v>
      </c>
      <c r="AT1024" t="s">
        <v>58</v>
      </c>
    </row>
    <row r="1025" ht="29" spans="1:46">
      <c r="A1025" s="31" t="s">
        <v>83</v>
      </c>
      <c r="C1025" t="s">
        <v>4356</v>
      </c>
      <c r="D1025" s="5" t="s">
        <v>57</v>
      </c>
      <c r="E1025">
        <v>2035</v>
      </c>
      <c r="F1025" s="6" t="str">
        <f t="shared" si="137"/>
        <v>*0.95</v>
      </c>
      <c r="H1025" t="s">
        <v>4356</v>
      </c>
      <c r="I1025" s="5" t="s">
        <v>57</v>
      </c>
      <c r="J1025">
        <v>2050</v>
      </c>
      <c r="K1025" s="38" t="str">
        <f t="shared" si="138"/>
        <v>*0.92</v>
      </c>
      <c r="P1025" s="32" t="s">
        <v>4356</v>
      </c>
      <c r="Q1025" s="42" t="s">
        <v>57</v>
      </c>
      <c r="R1025" s="32">
        <v>2035</v>
      </c>
      <c r="S1025" s="43" t="str">
        <f t="shared" si="139"/>
        <v>*0.95</v>
      </c>
      <c r="U1025" s="32" t="s">
        <v>4356</v>
      </c>
      <c r="V1025" s="42" t="s">
        <v>57</v>
      </c>
      <c r="W1025" s="32">
        <v>2050</v>
      </c>
      <c r="X1025" s="43" t="str">
        <f t="shared" si="140"/>
        <v>*0.92</v>
      </c>
      <c r="AC1025" s="33" t="s">
        <v>4356</v>
      </c>
      <c r="AD1025" s="44" t="s">
        <v>57</v>
      </c>
      <c r="AE1025" s="33">
        <v>2035</v>
      </c>
      <c r="AF1025" s="45" t="str">
        <f t="shared" si="141"/>
        <v>*0.93</v>
      </c>
      <c r="AG1025" s="43" t="str">
        <f t="shared" si="144"/>
        <v>REZoning_Sol-Win</v>
      </c>
      <c r="AI1025" s="33" t="s">
        <v>4356</v>
      </c>
      <c r="AJ1025" s="44" t="s">
        <v>57</v>
      </c>
      <c r="AK1025" s="33">
        <v>2050</v>
      </c>
      <c r="AL1025" s="45" t="str">
        <f t="shared" si="142"/>
        <v>*0.89</v>
      </c>
      <c r="AM1025" s="43" t="str">
        <f t="shared" si="145"/>
        <v>REZoning_Sol-Win</v>
      </c>
      <c r="AP1025" t="s">
        <v>4356</v>
      </c>
      <c r="AQ1025" t="s">
        <v>57</v>
      </c>
      <c r="AR1025">
        <f t="shared" si="143"/>
        <v>2100</v>
      </c>
      <c r="AS1025" t="s">
        <v>937</v>
      </c>
      <c r="AT1025" t="s">
        <v>58</v>
      </c>
    </row>
    <row r="1026" ht="29" spans="1:46">
      <c r="A1026" s="31" t="s">
        <v>83</v>
      </c>
      <c r="C1026" t="s">
        <v>4357</v>
      </c>
      <c r="D1026" s="5" t="s">
        <v>57</v>
      </c>
      <c r="E1026">
        <v>2035</v>
      </c>
      <c r="F1026" s="6" t="str">
        <f t="shared" si="137"/>
        <v>*0.95</v>
      </c>
      <c r="H1026" t="s">
        <v>4357</v>
      </c>
      <c r="I1026" s="5" t="s">
        <v>57</v>
      </c>
      <c r="J1026">
        <v>2050</v>
      </c>
      <c r="K1026" s="38" t="str">
        <f t="shared" si="138"/>
        <v>*0.92</v>
      </c>
      <c r="P1026" s="32" t="s">
        <v>4357</v>
      </c>
      <c r="Q1026" s="42" t="s">
        <v>57</v>
      </c>
      <c r="R1026" s="32">
        <v>2035</v>
      </c>
      <c r="S1026" s="43" t="str">
        <f t="shared" si="139"/>
        <v>*0.95</v>
      </c>
      <c r="U1026" s="32" t="s">
        <v>4357</v>
      </c>
      <c r="V1026" s="42" t="s">
        <v>57</v>
      </c>
      <c r="W1026" s="32">
        <v>2050</v>
      </c>
      <c r="X1026" s="43" t="str">
        <f t="shared" si="140"/>
        <v>*0.92</v>
      </c>
      <c r="AC1026" s="33" t="s">
        <v>4357</v>
      </c>
      <c r="AD1026" s="44" t="s">
        <v>57</v>
      </c>
      <c r="AE1026" s="33">
        <v>2035</v>
      </c>
      <c r="AF1026" s="45" t="str">
        <f t="shared" si="141"/>
        <v>*0.93</v>
      </c>
      <c r="AG1026" s="43" t="str">
        <f t="shared" si="144"/>
        <v>REZoning_Sol-Win</v>
      </c>
      <c r="AI1026" s="33" t="s">
        <v>4357</v>
      </c>
      <c r="AJ1026" s="44" t="s">
        <v>57</v>
      </c>
      <c r="AK1026" s="33">
        <v>2050</v>
      </c>
      <c r="AL1026" s="45" t="str">
        <f t="shared" si="142"/>
        <v>*0.89</v>
      </c>
      <c r="AM1026" s="43" t="str">
        <f t="shared" si="145"/>
        <v>REZoning_Sol-Win</v>
      </c>
      <c r="AP1026" t="s">
        <v>4357</v>
      </c>
      <c r="AQ1026" t="s">
        <v>57</v>
      </c>
      <c r="AR1026">
        <f t="shared" si="143"/>
        <v>2100</v>
      </c>
      <c r="AS1026" t="s">
        <v>937</v>
      </c>
      <c r="AT1026" t="s">
        <v>58</v>
      </c>
    </row>
    <row r="1027" ht="29" spans="1:46">
      <c r="A1027" s="31" t="s">
        <v>169</v>
      </c>
      <c r="C1027" t="s">
        <v>4358</v>
      </c>
      <c r="D1027" s="5" t="s">
        <v>57</v>
      </c>
      <c r="E1027">
        <v>2035</v>
      </c>
      <c r="F1027" s="6" t="str">
        <f t="shared" si="137"/>
        <v>*0.94</v>
      </c>
      <c r="H1027" t="s">
        <v>4358</v>
      </c>
      <c r="I1027" s="5" t="s">
        <v>57</v>
      </c>
      <c r="J1027">
        <v>2050</v>
      </c>
      <c r="K1027" s="38" t="str">
        <f t="shared" si="138"/>
        <v>*0.92</v>
      </c>
      <c r="P1027" s="32" t="s">
        <v>4358</v>
      </c>
      <c r="Q1027" s="42" t="s">
        <v>57</v>
      </c>
      <c r="R1027" s="32">
        <v>2035</v>
      </c>
      <c r="S1027" s="43" t="str">
        <f t="shared" si="139"/>
        <v>*0.93</v>
      </c>
      <c r="U1027" s="32" t="s">
        <v>4358</v>
      </c>
      <c r="V1027" s="42" t="s">
        <v>57</v>
      </c>
      <c r="W1027" s="32">
        <v>2050</v>
      </c>
      <c r="X1027" s="43" t="str">
        <f t="shared" si="140"/>
        <v>*0.92</v>
      </c>
      <c r="AC1027" s="33" t="s">
        <v>4358</v>
      </c>
      <c r="AD1027" s="44" t="s">
        <v>57</v>
      </c>
      <c r="AE1027" s="33">
        <v>2035</v>
      </c>
      <c r="AF1027" s="45" t="str">
        <f t="shared" si="141"/>
        <v>*0.91</v>
      </c>
      <c r="AG1027" s="43" t="str">
        <f t="shared" si="144"/>
        <v>REZoning_Sol-Win</v>
      </c>
      <c r="AI1027" s="33" t="s">
        <v>4358</v>
      </c>
      <c r="AJ1027" s="44" t="s">
        <v>57</v>
      </c>
      <c r="AK1027" s="33">
        <v>2050</v>
      </c>
      <c r="AL1027" s="45" t="str">
        <f t="shared" si="142"/>
        <v>*0.87</v>
      </c>
      <c r="AM1027" s="43" t="str">
        <f t="shared" si="145"/>
        <v>REZoning_Sol-Win</v>
      </c>
      <c r="AP1027" t="s">
        <v>4358</v>
      </c>
      <c r="AQ1027" t="s">
        <v>57</v>
      </c>
      <c r="AR1027">
        <f t="shared" si="143"/>
        <v>2100</v>
      </c>
      <c r="AS1027" t="s">
        <v>874</v>
      </c>
      <c r="AT1027" t="s">
        <v>58</v>
      </c>
    </row>
    <row r="1028" ht="29" spans="1:46">
      <c r="A1028" s="31" t="s">
        <v>169</v>
      </c>
      <c r="C1028" t="s">
        <v>4359</v>
      </c>
      <c r="D1028" s="5" t="s">
        <v>57</v>
      </c>
      <c r="E1028">
        <v>2035</v>
      </c>
      <c r="F1028" s="6" t="str">
        <f t="shared" ref="F1028:F1091" si="146">"*"&amp;IF(AND(A1028="EU",E1028=2035),0.95,IF(AND(A1028="EU",E1028=2050),0.93,IF(AND(A1028="USA",E1028=2035),0.96,IF(AND(A1028="USA",E1028=2050),0.94,IF(AND(A1028="Japan",E1028=2035),0.94,IF(AND(A1028="Japan",E1028=2050),0.92,IF(AND(A1028="Russia",E1028=2035),0.95,IF(AND(A1028="Russia",E1028=2050),0.93,IF(AND(A1028="China",E1028=2035),0.94,IF(AND(A1028="China",E1028=2050),0.92,IF(AND(A1028="India",E1028=2035),0.95,IF(AND(A1028="India",E1028=2050),0.92,IF(AND(A1028="Middle East",E1028=2035),0.94,IF(AND(A1028="Middle East",E1028=2050),0.9,IF(AND(A1028="Africa",E1028=2035),0.94,IF(AND(A1028="Africa",E1028=2050),0.91,IF(AND(A1028="Brazil",E1028=2035),0.95,IF(AND(A1028="Brazil",E1028=2050),0.92,""))))))))))))))))))</f>
        <v>*0.94</v>
      </c>
      <c r="H1028" t="s">
        <v>4359</v>
      </c>
      <c r="I1028" s="5" t="s">
        <v>57</v>
      </c>
      <c r="J1028">
        <v>2050</v>
      </c>
      <c r="K1028" s="38" t="str">
        <f t="shared" ref="K1028:K1091" si="147">"*"&amp;IF(AND(A1028="EU",J1028=2035),0.95,IF(AND(A1028="EU",J1028=2050),0.93,IF(AND(A1028="USA",J1028=2035),0.96,IF(AND(A1028="USA",J1028=2050),0.94,IF(AND(A1028="Japan",J1028=2035),0.94,IF(AND(A1028="Japan",J1028=2050),0.92,IF(AND(A1028="Russia",J1028=2035),0.95,IF(AND(A1028="Russia",J1028=2050),0.93,IF(AND(A1028="China",J1028=2035),0.94,IF(AND(A1028="China",J1028=2050),0.92,IF(AND(A1028="India",J1028=2035),0.95,IF(AND(A1028="India",J1028=2050),0.92,IF(AND(A1028="Middle East",J1028=2035),0.94,IF(AND(A1028="Middle East",J1028=2050),0.9,IF(AND(A1028="Africa",J1028=2035),0.94,IF(AND(A1028="Africa",J1028=2050),0.91,IF(AND(A1028="Brazil",J1028=2035),0.95,IF(AND(A1028="Brazil",J1028=2050),0.92,""))))))))))))))))))</f>
        <v>*0.92</v>
      </c>
      <c r="P1028" s="32" t="s">
        <v>4359</v>
      </c>
      <c r="Q1028" s="42" t="s">
        <v>57</v>
      </c>
      <c r="R1028" s="32">
        <v>2035</v>
      </c>
      <c r="S1028" s="43" t="str">
        <f t="shared" ref="S1028:S1091" si="148">"*"&amp;IF(AND(A1028="EU",R1028=2035),0.95,IF(AND(A1028="EU",R1028=2050),0.93,IF(AND(A1028="USA",R1028=2035),0.96,IF(AND(A1028="USA",R1028=2050),0.93,IF(AND(A1028="Japan",R1028=2035),0.94,IF(AND(A1028="Japan",R1028=2050),0.92,IF(AND(A1028="Russia",R1028=2035),0.95,IF(AND(A1028="Russia",R1028=2050),0.91,IF(AND(A1028="China",R1028=2035),0.93,IF(AND(A1028="China",R1028=2050),0.92,IF(AND(A1028="India",R1028=2035),0.94,IF(AND(A1028="India",R1028=2050),0.91,IF(AND(A1028="Middle East",R1028=2035),0.92,IF(AND(A1028="Middle East",R1028=2050),0.89,IF(AND(A1028="Africa",R1028=2035),0.93,IF(AND(A1028="Africa",R1028=2050),0.9,IF(AND(A1028="Brazil",R1028=2035),0.95,IF(AND(A1028="Brazil",R1028=2050),0.92,""))))))))))))))))))</f>
        <v>*0.93</v>
      </c>
      <c r="U1028" s="32" t="s">
        <v>4359</v>
      </c>
      <c r="V1028" s="42" t="s">
        <v>57</v>
      </c>
      <c r="W1028" s="32">
        <v>2050</v>
      </c>
      <c r="X1028" s="43" t="str">
        <f t="shared" ref="X1028:X1091" si="149">"*"&amp;IF(AND(A1028="EU",W1028=2035),0.95,IF(AND(A1028="EU",W1028=2050),0.93,IF(AND(A1028="USA",W1028=2035),0.96,IF(AND(A1028="USA",W1028=2050),0.93,IF(AND(A1028="Japan",W1028=2035),0.94,IF(AND(A1028="Japan",W1028=2050),0.92,IF(AND(A1028="Russia",W1028=2035),0.95,IF(AND(A1028="Russia",W1028=2050),0.91,IF(AND(A1028="China",W1028=2035),0.93,IF(AND(A1028="China",W1028=2050),0.92,IF(AND(A1028="India",W1028=2035),0.94,IF(AND(A1028="India",W1028=2050),0.91,IF(AND(A1028="Middle East",W1028=2035),0.92,IF(AND(A1028="Middle East",W1028=2050),0.89,IF(AND(A1028="Africa",W1028=2035),0.93,IF(AND(A1028="Africa",W1028=2050),0.9,IF(AND(A1028="Brazil",W1028=2035),0.95,IF(AND(A1028="Brazil",W1028=2050),0.92,""))))))))))))))))))</f>
        <v>*0.92</v>
      </c>
      <c r="AC1028" s="33" t="s">
        <v>4359</v>
      </c>
      <c r="AD1028" s="44" t="s">
        <v>57</v>
      </c>
      <c r="AE1028" s="33">
        <v>2035</v>
      </c>
      <c r="AF1028" s="45" t="str">
        <f t="shared" ref="AF1028:AF1091" si="150">"*"&amp;IF(AND(A1028="EU",AE1028=2035),0.93,IF(AND(A1028="EU",AE1028=2050),0.9,IF(AND(A1028="USA",AE1028=2035),0.92,IF(AND(A1028="USA",AE1028=2050),0.89,IF(AND(A1028="Japan",AE1028=2035),0.92,IF(AND(A1028="Japan",AE1028=2050),0.89,IF(AND(A1028="Russia",AE1028=2035),0.91,IF(AND(A1028="Russia",AE1028=2050),0.86,IF(AND(A1028="China",AE1028=2035),0.91,IF(AND(A1028="China",AE1028=2050),0.87,IF(AND(A1028="India",AE1028=2035),0.92,IF(AND(A1028="India",AE1028=2050),0.87,IF(AND(A1028="Middle East",AE1028=2035),0.89,IF(AND(A1028="Middle East",AE1028=2050),0.84,IF(AND(A1028="Africa",AE1028=2035),0.9,IF(AND(A1028="Africa",AE1028=2050),0.86,IF(AND(A1028="Brazil",AE1028=2035),0.93,IF(AND(A1028="Brazil",AE1028=2050),0.89,""))))))))))))))))))</f>
        <v>*0.91</v>
      </c>
      <c r="AG1028" s="43" t="str">
        <f t="shared" si="144"/>
        <v>REZoning_Sol-Win</v>
      </c>
      <c r="AI1028" s="33" t="s">
        <v>4359</v>
      </c>
      <c r="AJ1028" s="44" t="s">
        <v>57</v>
      </c>
      <c r="AK1028" s="33">
        <v>2050</v>
      </c>
      <c r="AL1028" s="45" t="str">
        <f t="shared" ref="AL1028:AL1091" si="151">"*"&amp;IF(AND(A1028="EU",AK1028=2035),0.93,IF(AND(A1028="EU",AK1028=2050),0.9,IF(AND(A1028="USA",AK1028=2035),0.92,IF(AND(A1028="USA",AK1028=2050),0.89,IF(AND(A1028="Japan",AK1028=2035),0.92,IF(AND(A1028="Japan",AK1028=2050),0.89,IF(AND(A1028="Russia",AK1028=2035),0.91,IF(AND(A1028="Russia",AK1028=2050),0.86,IF(AND(A1028="China",AK1028=2035),0.91,IF(AND(A1028="China",AK1028=2050),0.87,IF(AND(A1028="India",AK1028=2035),0.92,IF(AND(A1028="India",AK1028=2050),0.87,IF(AND(A1028="Middle East",AK1028=2035),0.89,IF(AND(A1028="Middle East",AK1028=2050),0.84,IF(AND(A1028="Africa",AK1028=2035),0.9,IF(AND(A1028="Africa",AK1028=2050),0.86,IF(AND(A1028="Brazil",AK1028=2035),0.93,IF(AND(A1028="Brazil",AK1028=2050),0.89,""))))))))))))))))))</f>
        <v>*0.87</v>
      </c>
      <c r="AM1028" s="43" t="str">
        <f t="shared" si="145"/>
        <v>REZoning_Sol-Win</v>
      </c>
      <c r="AP1028" t="s">
        <v>4359</v>
      </c>
      <c r="AQ1028" t="s">
        <v>57</v>
      </c>
      <c r="AR1028">
        <f t="shared" si="143"/>
        <v>2100</v>
      </c>
      <c r="AS1028" t="s">
        <v>874</v>
      </c>
      <c r="AT1028" t="s">
        <v>58</v>
      </c>
    </row>
    <row r="1029" ht="29" spans="1:46">
      <c r="A1029" s="31" t="s">
        <v>169</v>
      </c>
      <c r="C1029" t="s">
        <v>4360</v>
      </c>
      <c r="D1029" s="5" t="s">
        <v>57</v>
      </c>
      <c r="E1029">
        <v>2035</v>
      </c>
      <c r="F1029" s="6" t="str">
        <f t="shared" si="146"/>
        <v>*0.94</v>
      </c>
      <c r="H1029" t="s">
        <v>4360</v>
      </c>
      <c r="I1029" s="5" t="s">
        <v>57</v>
      </c>
      <c r="J1029">
        <v>2050</v>
      </c>
      <c r="K1029" s="38" t="str">
        <f t="shared" si="147"/>
        <v>*0.92</v>
      </c>
      <c r="P1029" s="32" t="s">
        <v>4360</v>
      </c>
      <c r="Q1029" s="42" t="s">
        <v>57</v>
      </c>
      <c r="R1029" s="32">
        <v>2035</v>
      </c>
      <c r="S1029" s="43" t="str">
        <f t="shared" si="148"/>
        <v>*0.93</v>
      </c>
      <c r="U1029" s="32" t="s">
        <v>4360</v>
      </c>
      <c r="V1029" s="42" t="s">
        <v>57</v>
      </c>
      <c r="W1029" s="32">
        <v>2050</v>
      </c>
      <c r="X1029" s="43" t="str">
        <f t="shared" si="149"/>
        <v>*0.92</v>
      </c>
      <c r="AC1029" s="33" t="s">
        <v>4360</v>
      </c>
      <c r="AD1029" s="44" t="s">
        <v>57</v>
      </c>
      <c r="AE1029" s="33">
        <v>2035</v>
      </c>
      <c r="AF1029" s="45" t="str">
        <f t="shared" si="150"/>
        <v>*0.91</v>
      </c>
      <c r="AG1029" s="43" t="str">
        <f t="shared" si="144"/>
        <v>REZoning_Sol-Win</v>
      </c>
      <c r="AI1029" s="33" t="s">
        <v>4360</v>
      </c>
      <c r="AJ1029" s="44" t="s">
        <v>57</v>
      </c>
      <c r="AK1029" s="33">
        <v>2050</v>
      </c>
      <c r="AL1029" s="45" t="str">
        <f t="shared" si="151"/>
        <v>*0.87</v>
      </c>
      <c r="AM1029" s="43" t="str">
        <f t="shared" si="145"/>
        <v>REZoning_Sol-Win</v>
      </c>
      <c r="AP1029" t="s">
        <v>4360</v>
      </c>
      <c r="AQ1029" t="s">
        <v>57</v>
      </c>
      <c r="AR1029">
        <f t="shared" si="143"/>
        <v>2100</v>
      </c>
      <c r="AS1029" t="s">
        <v>874</v>
      </c>
      <c r="AT1029" t="s">
        <v>58</v>
      </c>
    </row>
    <row r="1030" ht="29" spans="1:46">
      <c r="A1030" s="31" t="s">
        <v>169</v>
      </c>
      <c r="C1030" t="s">
        <v>4361</v>
      </c>
      <c r="D1030" s="5" t="s">
        <v>57</v>
      </c>
      <c r="E1030">
        <v>2035</v>
      </c>
      <c r="F1030" s="6" t="str">
        <f t="shared" si="146"/>
        <v>*0.94</v>
      </c>
      <c r="H1030" t="s">
        <v>4361</v>
      </c>
      <c r="I1030" s="5" t="s">
        <v>57</v>
      </c>
      <c r="J1030">
        <v>2050</v>
      </c>
      <c r="K1030" s="38" t="str">
        <f t="shared" si="147"/>
        <v>*0.92</v>
      </c>
      <c r="P1030" s="32" t="s">
        <v>4361</v>
      </c>
      <c r="Q1030" s="42" t="s">
        <v>57</v>
      </c>
      <c r="R1030" s="32">
        <v>2035</v>
      </c>
      <c r="S1030" s="43" t="str">
        <f t="shared" si="148"/>
        <v>*0.93</v>
      </c>
      <c r="U1030" s="32" t="s">
        <v>4361</v>
      </c>
      <c r="V1030" s="42" t="s">
        <v>57</v>
      </c>
      <c r="W1030" s="32">
        <v>2050</v>
      </c>
      <c r="X1030" s="43" t="str">
        <f t="shared" si="149"/>
        <v>*0.92</v>
      </c>
      <c r="AC1030" s="33" t="s">
        <v>4361</v>
      </c>
      <c r="AD1030" s="44" t="s">
        <v>57</v>
      </c>
      <c r="AE1030" s="33">
        <v>2035</v>
      </c>
      <c r="AF1030" s="45" t="str">
        <f t="shared" si="150"/>
        <v>*0.91</v>
      </c>
      <c r="AG1030" s="43" t="str">
        <f t="shared" si="144"/>
        <v>REZoning_Sol-Win</v>
      </c>
      <c r="AI1030" s="33" t="s">
        <v>4361</v>
      </c>
      <c r="AJ1030" s="44" t="s">
        <v>57</v>
      </c>
      <c r="AK1030" s="33">
        <v>2050</v>
      </c>
      <c r="AL1030" s="45" t="str">
        <f t="shared" si="151"/>
        <v>*0.87</v>
      </c>
      <c r="AM1030" s="43" t="str">
        <f t="shared" si="145"/>
        <v>REZoning_Sol-Win</v>
      </c>
      <c r="AP1030" t="s">
        <v>4361</v>
      </c>
      <c r="AQ1030" t="s">
        <v>57</v>
      </c>
      <c r="AR1030">
        <f t="shared" ref="AR1030:AR1093" si="152">AR1029</f>
        <v>2100</v>
      </c>
      <c r="AS1030" t="s">
        <v>874</v>
      </c>
      <c r="AT1030" t="s">
        <v>58</v>
      </c>
    </row>
    <row r="1031" ht="29" spans="1:46">
      <c r="A1031" s="31" t="s">
        <v>169</v>
      </c>
      <c r="C1031" t="s">
        <v>4362</v>
      </c>
      <c r="D1031" s="5" t="s">
        <v>57</v>
      </c>
      <c r="E1031">
        <v>2035</v>
      </c>
      <c r="F1031" s="6" t="str">
        <f t="shared" si="146"/>
        <v>*0.94</v>
      </c>
      <c r="H1031" t="s">
        <v>4362</v>
      </c>
      <c r="I1031" s="5" t="s">
        <v>57</v>
      </c>
      <c r="J1031">
        <v>2050</v>
      </c>
      <c r="K1031" s="38" t="str">
        <f t="shared" si="147"/>
        <v>*0.92</v>
      </c>
      <c r="P1031" s="32" t="s">
        <v>4362</v>
      </c>
      <c r="Q1031" s="42" t="s">
        <v>57</v>
      </c>
      <c r="R1031" s="32">
        <v>2035</v>
      </c>
      <c r="S1031" s="43" t="str">
        <f t="shared" si="148"/>
        <v>*0.93</v>
      </c>
      <c r="U1031" s="32" t="s">
        <v>4362</v>
      </c>
      <c r="V1031" s="42" t="s">
        <v>57</v>
      </c>
      <c r="W1031" s="32">
        <v>2050</v>
      </c>
      <c r="X1031" s="43" t="str">
        <f t="shared" si="149"/>
        <v>*0.92</v>
      </c>
      <c r="AC1031" s="33" t="s">
        <v>4362</v>
      </c>
      <c r="AD1031" s="44" t="s">
        <v>57</v>
      </c>
      <c r="AE1031" s="33">
        <v>2035</v>
      </c>
      <c r="AF1031" s="45" t="str">
        <f t="shared" si="150"/>
        <v>*0.91</v>
      </c>
      <c r="AG1031" s="43" t="str">
        <f t="shared" si="144"/>
        <v>REZoning_Sol-Win</v>
      </c>
      <c r="AI1031" s="33" t="s">
        <v>4362</v>
      </c>
      <c r="AJ1031" s="44" t="s">
        <v>57</v>
      </c>
      <c r="AK1031" s="33">
        <v>2050</v>
      </c>
      <c r="AL1031" s="45" t="str">
        <f t="shared" si="151"/>
        <v>*0.87</v>
      </c>
      <c r="AM1031" s="43" t="str">
        <f t="shared" si="145"/>
        <v>REZoning_Sol-Win</v>
      </c>
      <c r="AP1031" t="s">
        <v>4362</v>
      </c>
      <c r="AQ1031" t="s">
        <v>57</v>
      </c>
      <c r="AR1031">
        <f t="shared" si="152"/>
        <v>2100</v>
      </c>
      <c r="AS1031" t="s">
        <v>874</v>
      </c>
      <c r="AT1031" t="s">
        <v>58</v>
      </c>
    </row>
    <row r="1032" ht="29" spans="1:46">
      <c r="A1032" s="31" t="s">
        <v>169</v>
      </c>
      <c r="C1032" t="s">
        <v>4363</v>
      </c>
      <c r="D1032" s="5" t="s">
        <v>57</v>
      </c>
      <c r="E1032">
        <v>2035</v>
      </c>
      <c r="F1032" s="6" t="str">
        <f t="shared" si="146"/>
        <v>*0.94</v>
      </c>
      <c r="H1032" t="s">
        <v>4363</v>
      </c>
      <c r="I1032" s="5" t="s">
        <v>57</v>
      </c>
      <c r="J1032">
        <v>2050</v>
      </c>
      <c r="K1032" s="38" t="str">
        <f t="shared" si="147"/>
        <v>*0.92</v>
      </c>
      <c r="P1032" s="32" t="s">
        <v>4363</v>
      </c>
      <c r="Q1032" s="42" t="s">
        <v>57</v>
      </c>
      <c r="R1032" s="32">
        <v>2035</v>
      </c>
      <c r="S1032" s="43" t="str">
        <f t="shared" si="148"/>
        <v>*0.93</v>
      </c>
      <c r="U1032" s="32" t="s">
        <v>4363</v>
      </c>
      <c r="V1032" s="42" t="s">
        <v>57</v>
      </c>
      <c r="W1032" s="32">
        <v>2050</v>
      </c>
      <c r="X1032" s="43" t="str">
        <f t="shared" si="149"/>
        <v>*0.92</v>
      </c>
      <c r="AC1032" s="33" t="s">
        <v>4363</v>
      </c>
      <c r="AD1032" s="44" t="s">
        <v>57</v>
      </c>
      <c r="AE1032" s="33">
        <v>2035</v>
      </c>
      <c r="AF1032" s="45" t="str">
        <f t="shared" si="150"/>
        <v>*0.91</v>
      </c>
      <c r="AG1032" s="43" t="str">
        <f t="shared" si="144"/>
        <v>REZoning_Sol-Win</v>
      </c>
      <c r="AI1032" s="33" t="s">
        <v>4363</v>
      </c>
      <c r="AJ1032" s="44" t="s">
        <v>57</v>
      </c>
      <c r="AK1032" s="33">
        <v>2050</v>
      </c>
      <c r="AL1032" s="45" t="str">
        <f t="shared" si="151"/>
        <v>*0.87</v>
      </c>
      <c r="AM1032" s="43" t="str">
        <f t="shared" si="145"/>
        <v>REZoning_Sol-Win</v>
      </c>
      <c r="AP1032" t="s">
        <v>4363</v>
      </c>
      <c r="AQ1032" t="s">
        <v>57</v>
      </c>
      <c r="AR1032">
        <f t="shared" si="152"/>
        <v>2100</v>
      </c>
      <c r="AS1032" t="s">
        <v>874</v>
      </c>
      <c r="AT1032" t="s">
        <v>58</v>
      </c>
    </row>
    <row r="1033" ht="29" spans="1:46">
      <c r="A1033" s="31" t="s">
        <v>169</v>
      </c>
      <c r="C1033" t="s">
        <v>4364</v>
      </c>
      <c r="D1033" s="5" t="s">
        <v>57</v>
      </c>
      <c r="E1033">
        <v>2035</v>
      </c>
      <c r="F1033" s="6" t="str">
        <f t="shared" si="146"/>
        <v>*0.94</v>
      </c>
      <c r="H1033" t="s">
        <v>4364</v>
      </c>
      <c r="I1033" s="5" t="s">
        <v>57</v>
      </c>
      <c r="J1033">
        <v>2050</v>
      </c>
      <c r="K1033" s="38" t="str">
        <f t="shared" si="147"/>
        <v>*0.92</v>
      </c>
      <c r="P1033" s="32" t="s">
        <v>4364</v>
      </c>
      <c r="Q1033" s="42" t="s">
        <v>57</v>
      </c>
      <c r="R1033" s="32">
        <v>2035</v>
      </c>
      <c r="S1033" s="43" t="str">
        <f t="shared" si="148"/>
        <v>*0.93</v>
      </c>
      <c r="U1033" s="32" t="s">
        <v>4364</v>
      </c>
      <c r="V1033" s="42" t="s">
        <v>57</v>
      </c>
      <c r="W1033" s="32">
        <v>2050</v>
      </c>
      <c r="X1033" s="43" t="str">
        <f t="shared" si="149"/>
        <v>*0.92</v>
      </c>
      <c r="AC1033" s="33" t="s">
        <v>4364</v>
      </c>
      <c r="AD1033" s="44" t="s">
        <v>57</v>
      </c>
      <c r="AE1033" s="33">
        <v>2035</v>
      </c>
      <c r="AF1033" s="45" t="str">
        <f t="shared" si="150"/>
        <v>*0.91</v>
      </c>
      <c r="AG1033" s="43" t="str">
        <f t="shared" ref="AG1033:AG1096" si="153">AG1032</f>
        <v>REZoning_Sol-Win</v>
      </c>
      <c r="AI1033" s="33" t="s">
        <v>4364</v>
      </c>
      <c r="AJ1033" s="44" t="s">
        <v>57</v>
      </c>
      <c r="AK1033" s="33">
        <v>2050</v>
      </c>
      <c r="AL1033" s="45" t="str">
        <f t="shared" si="151"/>
        <v>*0.87</v>
      </c>
      <c r="AM1033" s="43" t="str">
        <f t="shared" ref="AM1033:AM1096" si="154">AM1032</f>
        <v>REZoning_Sol-Win</v>
      </c>
      <c r="AP1033" t="s">
        <v>4364</v>
      </c>
      <c r="AQ1033" t="s">
        <v>57</v>
      </c>
      <c r="AR1033">
        <f t="shared" si="152"/>
        <v>2100</v>
      </c>
      <c r="AS1033" t="s">
        <v>874</v>
      </c>
      <c r="AT1033" t="s">
        <v>58</v>
      </c>
    </row>
    <row r="1034" ht="29" spans="1:46">
      <c r="A1034" s="31" t="s">
        <v>169</v>
      </c>
      <c r="C1034" t="s">
        <v>4365</v>
      </c>
      <c r="D1034" s="5" t="s">
        <v>57</v>
      </c>
      <c r="E1034">
        <v>2035</v>
      </c>
      <c r="F1034" s="6" t="str">
        <f t="shared" si="146"/>
        <v>*0.94</v>
      </c>
      <c r="H1034" t="s">
        <v>4365</v>
      </c>
      <c r="I1034" s="5" t="s">
        <v>57</v>
      </c>
      <c r="J1034">
        <v>2050</v>
      </c>
      <c r="K1034" s="38" t="str">
        <f t="shared" si="147"/>
        <v>*0.92</v>
      </c>
      <c r="P1034" s="32" t="s">
        <v>4365</v>
      </c>
      <c r="Q1034" s="42" t="s">
        <v>57</v>
      </c>
      <c r="R1034" s="32">
        <v>2035</v>
      </c>
      <c r="S1034" s="43" t="str">
        <f t="shared" si="148"/>
        <v>*0.93</v>
      </c>
      <c r="U1034" s="32" t="s">
        <v>4365</v>
      </c>
      <c r="V1034" s="42" t="s">
        <v>57</v>
      </c>
      <c r="W1034" s="32">
        <v>2050</v>
      </c>
      <c r="X1034" s="43" t="str">
        <f t="shared" si="149"/>
        <v>*0.92</v>
      </c>
      <c r="AC1034" s="33" t="s">
        <v>4365</v>
      </c>
      <c r="AD1034" s="44" t="s">
        <v>57</v>
      </c>
      <c r="AE1034" s="33">
        <v>2035</v>
      </c>
      <c r="AF1034" s="45" t="str">
        <f t="shared" si="150"/>
        <v>*0.91</v>
      </c>
      <c r="AG1034" s="43" t="str">
        <f t="shared" si="153"/>
        <v>REZoning_Sol-Win</v>
      </c>
      <c r="AI1034" s="33" t="s">
        <v>4365</v>
      </c>
      <c r="AJ1034" s="44" t="s">
        <v>57</v>
      </c>
      <c r="AK1034" s="33">
        <v>2050</v>
      </c>
      <c r="AL1034" s="45" t="str">
        <f t="shared" si="151"/>
        <v>*0.87</v>
      </c>
      <c r="AM1034" s="43" t="str">
        <f t="shared" si="154"/>
        <v>REZoning_Sol-Win</v>
      </c>
      <c r="AP1034" t="s">
        <v>4365</v>
      </c>
      <c r="AQ1034" t="s">
        <v>57</v>
      </c>
      <c r="AR1034">
        <f t="shared" si="152"/>
        <v>2100</v>
      </c>
      <c r="AS1034" t="s">
        <v>874</v>
      </c>
      <c r="AT1034" t="s">
        <v>58</v>
      </c>
    </row>
    <row r="1035" ht="29" spans="1:46">
      <c r="A1035" s="31" t="s">
        <v>169</v>
      </c>
      <c r="C1035" t="s">
        <v>4366</v>
      </c>
      <c r="D1035" s="5" t="s">
        <v>57</v>
      </c>
      <c r="E1035">
        <v>2035</v>
      </c>
      <c r="F1035" s="6" t="str">
        <f t="shared" si="146"/>
        <v>*0.94</v>
      </c>
      <c r="H1035" t="s">
        <v>4366</v>
      </c>
      <c r="I1035" s="5" t="s">
        <v>57</v>
      </c>
      <c r="J1035">
        <v>2050</v>
      </c>
      <c r="K1035" s="38" t="str">
        <f t="shared" si="147"/>
        <v>*0.92</v>
      </c>
      <c r="P1035" s="32" t="s">
        <v>4366</v>
      </c>
      <c r="Q1035" s="42" t="s">
        <v>57</v>
      </c>
      <c r="R1035" s="32">
        <v>2035</v>
      </c>
      <c r="S1035" s="43" t="str">
        <f t="shared" si="148"/>
        <v>*0.93</v>
      </c>
      <c r="U1035" s="32" t="s">
        <v>4366</v>
      </c>
      <c r="V1035" s="42" t="s">
        <v>57</v>
      </c>
      <c r="W1035" s="32">
        <v>2050</v>
      </c>
      <c r="X1035" s="43" t="str">
        <f t="shared" si="149"/>
        <v>*0.92</v>
      </c>
      <c r="AC1035" s="33" t="s">
        <v>4366</v>
      </c>
      <c r="AD1035" s="44" t="s">
        <v>57</v>
      </c>
      <c r="AE1035" s="33">
        <v>2035</v>
      </c>
      <c r="AF1035" s="45" t="str">
        <f t="shared" si="150"/>
        <v>*0.91</v>
      </c>
      <c r="AG1035" s="43" t="str">
        <f t="shared" si="153"/>
        <v>REZoning_Sol-Win</v>
      </c>
      <c r="AI1035" s="33" t="s">
        <v>4366</v>
      </c>
      <c r="AJ1035" s="44" t="s">
        <v>57</v>
      </c>
      <c r="AK1035" s="33">
        <v>2050</v>
      </c>
      <c r="AL1035" s="45" t="str">
        <f t="shared" si="151"/>
        <v>*0.87</v>
      </c>
      <c r="AM1035" s="43" t="str">
        <f t="shared" si="154"/>
        <v>REZoning_Sol-Win</v>
      </c>
      <c r="AP1035" t="s">
        <v>4366</v>
      </c>
      <c r="AQ1035" t="s">
        <v>57</v>
      </c>
      <c r="AR1035">
        <f t="shared" si="152"/>
        <v>2100</v>
      </c>
      <c r="AS1035" t="s">
        <v>874</v>
      </c>
      <c r="AT1035" t="s">
        <v>58</v>
      </c>
    </row>
    <row r="1036" ht="29" spans="1:46">
      <c r="A1036" s="31" t="s">
        <v>169</v>
      </c>
      <c r="C1036" t="s">
        <v>4367</v>
      </c>
      <c r="D1036" s="5" t="s">
        <v>57</v>
      </c>
      <c r="E1036">
        <v>2035</v>
      </c>
      <c r="F1036" s="6" t="str">
        <f t="shared" si="146"/>
        <v>*0.94</v>
      </c>
      <c r="H1036" t="s">
        <v>4367</v>
      </c>
      <c r="I1036" s="5" t="s">
        <v>57</v>
      </c>
      <c r="J1036">
        <v>2050</v>
      </c>
      <c r="K1036" s="38" t="str">
        <f t="shared" si="147"/>
        <v>*0.92</v>
      </c>
      <c r="P1036" s="32" t="s">
        <v>4367</v>
      </c>
      <c r="Q1036" s="42" t="s">
        <v>57</v>
      </c>
      <c r="R1036" s="32">
        <v>2035</v>
      </c>
      <c r="S1036" s="43" t="str">
        <f t="shared" si="148"/>
        <v>*0.93</v>
      </c>
      <c r="U1036" s="32" t="s">
        <v>4367</v>
      </c>
      <c r="V1036" s="42" t="s">
        <v>57</v>
      </c>
      <c r="W1036" s="32">
        <v>2050</v>
      </c>
      <c r="X1036" s="43" t="str">
        <f t="shared" si="149"/>
        <v>*0.92</v>
      </c>
      <c r="AC1036" s="33" t="s">
        <v>4367</v>
      </c>
      <c r="AD1036" s="44" t="s">
        <v>57</v>
      </c>
      <c r="AE1036" s="33">
        <v>2035</v>
      </c>
      <c r="AF1036" s="45" t="str">
        <f t="shared" si="150"/>
        <v>*0.91</v>
      </c>
      <c r="AG1036" s="43" t="str">
        <f t="shared" si="153"/>
        <v>REZoning_Sol-Win</v>
      </c>
      <c r="AI1036" s="33" t="s">
        <v>4367</v>
      </c>
      <c r="AJ1036" s="44" t="s">
        <v>57</v>
      </c>
      <c r="AK1036" s="33">
        <v>2050</v>
      </c>
      <c r="AL1036" s="45" t="str">
        <f t="shared" si="151"/>
        <v>*0.87</v>
      </c>
      <c r="AM1036" s="43" t="str">
        <f t="shared" si="154"/>
        <v>REZoning_Sol-Win</v>
      </c>
      <c r="AP1036" t="s">
        <v>4367</v>
      </c>
      <c r="AQ1036" t="s">
        <v>57</v>
      </c>
      <c r="AR1036">
        <f t="shared" si="152"/>
        <v>2100</v>
      </c>
      <c r="AS1036" t="s">
        <v>874</v>
      </c>
      <c r="AT1036" t="s">
        <v>58</v>
      </c>
    </row>
    <row r="1037" ht="29" spans="1:46">
      <c r="A1037" s="31" t="s">
        <v>169</v>
      </c>
      <c r="C1037" t="s">
        <v>4368</v>
      </c>
      <c r="D1037" s="5" t="s">
        <v>57</v>
      </c>
      <c r="E1037">
        <v>2035</v>
      </c>
      <c r="F1037" s="6" t="str">
        <f t="shared" si="146"/>
        <v>*0.94</v>
      </c>
      <c r="H1037" t="s">
        <v>4368</v>
      </c>
      <c r="I1037" s="5" t="s">
        <v>57</v>
      </c>
      <c r="J1037">
        <v>2050</v>
      </c>
      <c r="K1037" s="38" t="str">
        <f t="shared" si="147"/>
        <v>*0.92</v>
      </c>
      <c r="P1037" s="32" t="s">
        <v>4368</v>
      </c>
      <c r="Q1037" s="42" t="s">
        <v>57</v>
      </c>
      <c r="R1037" s="32">
        <v>2035</v>
      </c>
      <c r="S1037" s="43" t="str">
        <f t="shared" si="148"/>
        <v>*0.93</v>
      </c>
      <c r="U1037" s="32" t="s">
        <v>4368</v>
      </c>
      <c r="V1037" s="42" t="s">
        <v>57</v>
      </c>
      <c r="W1037" s="32">
        <v>2050</v>
      </c>
      <c r="X1037" s="43" t="str">
        <f t="shared" si="149"/>
        <v>*0.92</v>
      </c>
      <c r="AC1037" s="33" t="s">
        <v>4368</v>
      </c>
      <c r="AD1037" s="44" t="s">
        <v>57</v>
      </c>
      <c r="AE1037" s="33">
        <v>2035</v>
      </c>
      <c r="AF1037" s="45" t="str">
        <f t="shared" si="150"/>
        <v>*0.91</v>
      </c>
      <c r="AG1037" s="43" t="str">
        <f t="shared" si="153"/>
        <v>REZoning_Sol-Win</v>
      </c>
      <c r="AI1037" s="33" t="s">
        <v>4368</v>
      </c>
      <c r="AJ1037" s="44" t="s">
        <v>57</v>
      </c>
      <c r="AK1037" s="33">
        <v>2050</v>
      </c>
      <c r="AL1037" s="45" t="str">
        <f t="shared" si="151"/>
        <v>*0.87</v>
      </c>
      <c r="AM1037" s="43" t="str">
        <f t="shared" si="154"/>
        <v>REZoning_Sol-Win</v>
      </c>
      <c r="AP1037" t="s">
        <v>4368</v>
      </c>
      <c r="AQ1037" t="s">
        <v>57</v>
      </c>
      <c r="AR1037">
        <f t="shared" si="152"/>
        <v>2100</v>
      </c>
      <c r="AS1037" t="s">
        <v>874</v>
      </c>
      <c r="AT1037" t="s">
        <v>58</v>
      </c>
    </row>
    <row r="1038" ht="29" spans="1:46">
      <c r="A1038" s="31" t="s">
        <v>169</v>
      </c>
      <c r="C1038" t="s">
        <v>4369</v>
      </c>
      <c r="D1038" s="5" t="s">
        <v>57</v>
      </c>
      <c r="E1038">
        <v>2035</v>
      </c>
      <c r="F1038" s="6" t="str">
        <f t="shared" si="146"/>
        <v>*0.94</v>
      </c>
      <c r="H1038" t="s">
        <v>4369</v>
      </c>
      <c r="I1038" s="5" t="s">
        <v>57</v>
      </c>
      <c r="J1038">
        <v>2050</v>
      </c>
      <c r="K1038" s="38" t="str">
        <f t="shared" si="147"/>
        <v>*0.92</v>
      </c>
      <c r="P1038" s="32" t="s">
        <v>4369</v>
      </c>
      <c r="Q1038" s="42" t="s">
        <v>57</v>
      </c>
      <c r="R1038" s="32">
        <v>2035</v>
      </c>
      <c r="S1038" s="43" t="str">
        <f t="shared" si="148"/>
        <v>*0.93</v>
      </c>
      <c r="U1038" s="32" t="s">
        <v>4369</v>
      </c>
      <c r="V1038" s="42" t="s">
        <v>57</v>
      </c>
      <c r="W1038" s="32">
        <v>2050</v>
      </c>
      <c r="X1038" s="43" t="str">
        <f t="shared" si="149"/>
        <v>*0.92</v>
      </c>
      <c r="AC1038" s="33" t="s">
        <v>4369</v>
      </c>
      <c r="AD1038" s="44" t="s">
        <v>57</v>
      </c>
      <c r="AE1038" s="33">
        <v>2035</v>
      </c>
      <c r="AF1038" s="45" t="str">
        <f t="shared" si="150"/>
        <v>*0.91</v>
      </c>
      <c r="AG1038" s="43" t="str">
        <f t="shared" si="153"/>
        <v>REZoning_Sol-Win</v>
      </c>
      <c r="AI1038" s="33" t="s">
        <v>4369</v>
      </c>
      <c r="AJ1038" s="44" t="s">
        <v>57</v>
      </c>
      <c r="AK1038" s="33">
        <v>2050</v>
      </c>
      <c r="AL1038" s="45" t="str">
        <f t="shared" si="151"/>
        <v>*0.87</v>
      </c>
      <c r="AM1038" s="43" t="str">
        <f t="shared" si="154"/>
        <v>REZoning_Sol-Win</v>
      </c>
      <c r="AP1038" t="s">
        <v>4369</v>
      </c>
      <c r="AQ1038" t="s">
        <v>57</v>
      </c>
      <c r="AR1038">
        <f t="shared" si="152"/>
        <v>2100</v>
      </c>
      <c r="AS1038" t="s">
        <v>874</v>
      </c>
      <c r="AT1038" t="s">
        <v>58</v>
      </c>
    </row>
    <row r="1039" ht="29" spans="1:46">
      <c r="A1039" s="31" t="s">
        <v>169</v>
      </c>
      <c r="C1039" t="s">
        <v>4370</v>
      </c>
      <c r="D1039" s="5" t="s">
        <v>57</v>
      </c>
      <c r="E1039">
        <v>2035</v>
      </c>
      <c r="F1039" s="6" t="str">
        <f t="shared" si="146"/>
        <v>*0.94</v>
      </c>
      <c r="H1039" t="s">
        <v>4370</v>
      </c>
      <c r="I1039" s="5" t="s">
        <v>57</v>
      </c>
      <c r="J1039">
        <v>2050</v>
      </c>
      <c r="K1039" s="38" t="str">
        <f t="shared" si="147"/>
        <v>*0.92</v>
      </c>
      <c r="P1039" s="32" t="s">
        <v>4370</v>
      </c>
      <c r="Q1039" s="42" t="s">
        <v>57</v>
      </c>
      <c r="R1039" s="32">
        <v>2035</v>
      </c>
      <c r="S1039" s="43" t="str">
        <f t="shared" si="148"/>
        <v>*0.93</v>
      </c>
      <c r="U1039" s="32" t="s">
        <v>4370</v>
      </c>
      <c r="V1039" s="42" t="s">
        <v>57</v>
      </c>
      <c r="W1039" s="32">
        <v>2050</v>
      </c>
      <c r="X1039" s="43" t="str">
        <f t="shared" si="149"/>
        <v>*0.92</v>
      </c>
      <c r="AC1039" s="33" t="s">
        <v>4370</v>
      </c>
      <c r="AD1039" s="44" t="s">
        <v>57</v>
      </c>
      <c r="AE1039" s="33">
        <v>2035</v>
      </c>
      <c r="AF1039" s="45" t="str">
        <f t="shared" si="150"/>
        <v>*0.91</v>
      </c>
      <c r="AG1039" s="43" t="str">
        <f t="shared" si="153"/>
        <v>REZoning_Sol-Win</v>
      </c>
      <c r="AI1039" s="33" t="s">
        <v>4370</v>
      </c>
      <c r="AJ1039" s="44" t="s">
        <v>57</v>
      </c>
      <c r="AK1039" s="33">
        <v>2050</v>
      </c>
      <c r="AL1039" s="45" t="str">
        <f t="shared" si="151"/>
        <v>*0.87</v>
      </c>
      <c r="AM1039" s="43" t="str">
        <f t="shared" si="154"/>
        <v>REZoning_Sol-Win</v>
      </c>
      <c r="AP1039" t="s">
        <v>4370</v>
      </c>
      <c r="AQ1039" t="s">
        <v>57</v>
      </c>
      <c r="AR1039">
        <f t="shared" si="152"/>
        <v>2100</v>
      </c>
      <c r="AS1039" t="s">
        <v>874</v>
      </c>
      <c r="AT1039" t="s">
        <v>58</v>
      </c>
    </row>
    <row r="1040" ht="29" spans="1:46">
      <c r="A1040" s="31" t="s">
        <v>169</v>
      </c>
      <c r="C1040" t="s">
        <v>4371</v>
      </c>
      <c r="D1040" s="5" t="s">
        <v>57</v>
      </c>
      <c r="E1040">
        <v>2035</v>
      </c>
      <c r="F1040" s="6" t="str">
        <f t="shared" si="146"/>
        <v>*0.94</v>
      </c>
      <c r="H1040" t="s">
        <v>4371</v>
      </c>
      <c r="I1040" s="5" t="s">
        <v>57</v>
      </c>
      <c r="J1040">
        <v>2050</v>
      </c>
      <c r="K1040" s="38" t="str">
        <f t="shared" si="147"/>
        <v>*0.92</v>
      </c>
      <c r="P1040" s="32" t="s">
        <v>4371</v>
      </c>
      <c r="Q1040" s="42" t="s">
        <v>57</v>
      </c>
      <c r="R1040" s="32">
        <v>2035</v>
      </c>
      <c r="S1040" s="43" t="str">
        <f t="shared" si="148"/>
        <v>*0.93</v>
      </c>
      <c r="U1040" s="32" t="s">
        <v>4371</v>
      </c>
      <c r="V1040" s="42" t="s">
        <v>57</v>
      </c>
      <c r="W1040" s="32">
        <v>2050</v>
      </c>
      <c r="X1040" s="43" t="str">
        <f t="shared" si="149"/>
        <v>*0.92</v>
      </c>
      <c r="AC1040" s="33" t="s">
        <v>4371</v>
      </c>
      <c r="AD1040" s="44" t="s">
        <v>57</v>
      </c>
      <c r="AE1040" s="33">
        <v>2035</v>
      </c>
      <c r="AF1040" s="45" t="str">
        <f t="shared" si="150"/>
        <v>*0.91</v>
      </c>
      <c r="AG1040" s="43" t="str">
        <f t="shared" si="153"/>
        <v>REZoning_Sol-Win</v>
      </c>
      <c r="AI1040" s="33" t="s">
        <v>4371</v>
      </c>
      <c r="AJ1040" s="44" t="s">
        <v>57</v>
      </c>
      <c r="AK1040" s="33">
        <v>2050</v>
      </c>
      <c r="AL1040" s="45" t="str">
        <f t="shared" si="151"/>
        <v>*0.87</v>
      </c>
      <c r="AM1040" s="43" t="str">
        <f t="shared" si="154"/>
        <v>REZoning_Sol-Win</v>
      </c>
      <c r="AP1040" t="s">
        <v>4371</v>
      </c>
      <c r="AQ1040" t="s">
        <v>57</v>
      </c>
      <c r="AR1040">
        <f t="shared" si="152"/>
        <v>2100</v>
      </c>
      <c r="AS1040" t="s">
        <v>874</v>
      </c>
      <c r="AT1040" t="s">
        <v>58</v>
      </c>
    </row>
    <row r="1041" ht="29" spans="1:46">
      <c r="A1041" s="31" t="s">
        <v>169</v>
      </c>
      <c r="C1041" t="s">
        <v>4372</v>
      </c>
      <c r="D1041" s="5" t="s">
        <v>57</v>
      </c>
      <c r="E1041">
        <v>2035</v>
      </c>
      <c r="F1041" s="6" t="str">
        <f t="shared" si="146"/>
        <v>*0.94</v>
      </c>
      <c r="H1041" t="s">
        <v>4372</v>
      </c>
      <c r="I1041" s="5" t="s">
        <v>57</v>
      </c>
      <c r="J1041">
        <v>2050</v>
      </c>
      <c r="K1041" s="38" t="str">
        <f t="shared" si="147"/>
        <v>*0.92</v>
      </c>
      <c r="P1041" s="32" t="s">
        <v>4372</v>
      </c>
      <c r="Q1041" s="42" t="s">
        <v>57</v>
      </c>
      <c r="R1041" s="32">
        <v>2035</v>
      </c>
      <c r="S1041" s="43" t="str">
        <f t="shared" si="148"/>
        <v>*0.93</v>
      </c>
      <c r="U1041" s="32" t="s">
        <v>4372</v>
      </c>
      <c r="V1041" s="42" t="s">
        <v>57</v>
      </c>
      <c r="W1041" s="32">
        <v>2050</v>
      </c>
      <c r="X1041" s="43" t="str">
        <f t="shared" si="149"/>
        <v>*0.92</v>
      </c>
      <c r="AC1041" s="33" t="s">
        <v>4372</v>
      </c>
      <c r="AD1041" s="44" t="s">
        <v>57</v>
      </c>
      <c r="AE1041" s="33">
        <v>2035</v>
      </c>
      <c r="AF1041" s="45" t="str">
        <f t="shared" si="150"/>
        <v>*0.91</v>
      </c>
      <c r="AG1041" s="43" t="str">
        <f t="shared" si="153"/>
        <v>REZoning_Sol-Win</v>
      </c>
      <c r="AI1041" s="33" t="s">
        <v>4372</v>
      </c>
      <c r="AJ1041" s="44" t="s">
        <v>57</v>
      </c>
      <c r="AK1041" s="33">
        <v>2050</v>
      </c>
      <c r="AL1041" s="45" t="str">
        <f t="shared" si="151"/>
        <v>*0.87</v>
      </c>
      <c r="AM1041" s="43" t="str">
        <f t="shared" si="154"/>
        <v>REZoning_Sol-Win</v>
      </c>
      <c r="AP1041" t="s">
        <v>4372</v>
      </c>
      <c r="AQ1041" t="s">
        <v>57</v>
      </c>
      <c r="AR1041">
        <f t="shared" si="152"/>
        <v>2100</v>
      </c>
      <c r="AS1041" t="s">
        <v>874</v>
      </c>
      <c r="AT1041" t="s">
        <v>58</v>
      </c>
    </row>
    <row r="1042" ht="29" spans="1:46">
      <c r="A1042" s="31" t="s">
        <v>169</v>
      </c>
      <c r="C1042" t="s">
        <v>4373</v>
      </c>
      <c r="D1042" s="5" t="s">
        <v>57</v>
      </c>
      <c r="E1042">
        <v>2035</v>
      </c>
      <c r="F1042" s="6" t="str">
        <f t="shared" si="146"/>
        <v>*0.94</v>
      </c>
      <c r="H1042" t="s">
        <v>4373</v>
      </c>
      <c r="I1042" s="5" t="s">
        <v>57</v>
      </c>
      <c r="J1042">
        <v>2050</v>
      </c>
      <c r="K1042" s="38" t="str">
        <f t="shared" si="147"/>
        <v>*0.92</v>
      </c>
      <c r="P1042" s="32" t="s">
        <v>4373</v>
      </c>
      <c r="Q1042" s="42" t="s">
        <v>57</v>
      </c>
      <c r="R1042" s="32">
        <v>2035</v>
      </c>
      <c r="S1042" s="43" t="str">
        <f t="shared" si="148"/>
        <v>*0.93</v>
      </c>
      <c r="U1042" s="32" t="s">
        <v>4373</v>
      </c>
      <c r="V1042" s="42" t="s">
        <v>57</v>
      </c>
      <c r="W1042" s="32">
        <v>2050</v>
      </c>
      <c r="X1042" s="43" t="str">
        <f t="shared" si="149"/>
        <v>*0.92</v>
      </c>
      <c r="AC1042" s="33" t="s">
        <v>4373</v>
      </c>
      <c r="AD1042" s="44" t="s">
        <v>57</v>
      </c>
      <c r="AE1042" s="33">
        <v>2035</v>
      </c>
      <c r="AF1042" s="45" t="str">
        <f t="shared" si="150"/>
        <v>*0.91</v>
      </c>
      <c r="AG1042" s="43" t="str">
        <f t="shared" si="153"/>
        <v>REZoning_Sol-Win</v>
      </c>
      <c r="AI1042" s="33" t="s">
        <v>4373</v>
      </c>
      <c r="AJ1042" s="44" t="s">
        <v>57</v>
      </c>
      <c r="AK1042" s="33">
        <v>2050</v>
      </c>
      <c r="AL1042" s="45" t="str">
        <f t="shared" si="151"/>
        <v>*0.87</v>
      </c>
      <c r="AM1042" s="43" t="str">
        <f t="shared" si="154"/>
        <v>REZoning_Sol-Win</v>
      </c>
      <c r="AP1042" t="s">
        <v>4373</v>
      </c>
      <c r="AQ1042" t="s">
        <v>57</v>
      </c>
      <c r="AR1042">
        <f t="shared" si="152"/>
        <v>2100</v>
      </c>
      <c r="AS1042" t="s">
        <v>874</v>
      </c>
      <c r="AT1042" t="s">
        <v>58</v>
      </c>
    </row>
    <row r="1043" ht="29" spans="1:46">
      <c r="A1043" s="31" t="s">
        <v>169</v>
      </c>
      <c r="C1043" t="s">
        <v>4374</v>
      </c>
      <c r="D1043" s="5" t="s">
        <v>57</v>
      </c>
      <c r="E1043">
        <v>2035</v>
      </c>
      <c r="F1043" s="6" t="str">
        <f t="shared" si="146"/>
        <v>*0.94</v>
      </c>
      <c r="H1043" t="s">
        <v>4374</v>
      </c>
      <c r="I1043" s="5" t="s">
        <v>57</v>
      </c>
      <c r="J1043">
        <v>2050</v>
      </c>
      <c r="K1043" s="38" t="str">
        <f t="shared" si="147"/>
        <v>*0.92</v>
      </c>
      <c r="P1043" s="32" t="s">
        <v>4374</v>
      </c>
      <c r="Q1043" s="42" t="s">
        <v>57</v>
      </c>
      <c r="R1043" s="32">
        <v>2035</v>
      </c>
      <c r="S1043" s="43" t="str">
        <f t="shared" si="148"/>
        <v>*0.93</v>
      </c>
      <c r="U1043" s="32" t="s">
        <v>4374</v>
      </c>
      <c r="V1043" s="42" t="s">
        <v>57</v>
      </c>
      <c r="W1043" s="32">
        <v>2050</v>
      </c>
      <c r="X1043" s="43" t="str">
        <f t="shared" si="149"/>
        <v>*0.92</v>
      </c>
      <c r="AC1043" s="33" t="s">
        <v>4374</v>
      </c>
      <c r="AD1043" s="44" t="s">
        <v>57</v>
      </c>
      <c r="AE1043" s="33">
        <v>2035</v>
      </c>
      <c r="AF1043" s="45" t="str">
        <f t="shared" si="150"/>
        <v>*0.91</v>
      </c>
      <c r="AG1043" s="43" t="str">
        <f t="shared" si="153"/>
        <v>REZoning_Sol-Win</v>
      </c>
      <c r="AI1043" s="33" t="s">
        <v>4374</v>
      </c>
      <c r="AJ1043" s="44" t="s">
        <v>57</v>
      </c>
      <c r="AK1043" s="33">
        <v>2050</v>
      </c>
      <c r="AL1043" s="45" t="str">
        <f t="shared" si="151"/>
        <v>*0.87</v>
      </c>
      <c r="AM1043" s="43" t="str">
        <f t="shared" si="154"/>
        <v>REZoning_Sol-Win</v>
      </c>
      <c r="AP1043" t="s">
        <v>4374</v>
      </c>
      <c r="AQ1043" t="s">
        <v>57</v>
      </c>
      <c r="AR1043">
        <f t="shared" si="152"/>
        <v>2100</v>
      </c>
      <c r="AS1043" t="s">
        <v>874</v>
      </c>
      <c r="AT1043" t="s">
        <v>58</v>
      </c>
    </row>
    <row r="1044" ht="29" spans="1:46">
      <c r="A1044" s="31" t="s">
        <v>169</v>
      </c>
      <c r="C1044" t="s">
        <v>4375</v>
      </c>
      <c r="D1044" s="5" t="s">
        <v>57</v>
      </c>
      <c r="E1044">
        <v>2035</v>
      </c>
      <c r="F1044" s="6" t="str">
        <f t="shared" si="146"/>
        <v>*0.94</v>
      </c>
      <c r="H1044" t="s">
        <v>4375</v>
      </c>
      <c r="I1044" s="5" t="s">
        <v>57</v>
      </c>
      <c r="J1044">
        <v>2050</v>
      </c>
      <c r="K1044" s="38" t="str">
        <f t="shared" si="147"/>
        <v>*0.92</v>
      </c>
      <c r="P1044" s="32" t="s">
        <v>4375</v>
      </c>
      <c r="Q1044" s="42" t="s">
        <v>57</v>
      </c>
      <c r="R1044" s="32">
        <v>2035</v>
      </c>
      <c r="S1044" s="43" t="str">
        <f t="shared" si="148"/>
        <v>*0.93</v>
      </c>
      <c r="U1044" s="32" t="s">
        <v>4375</v>
      </c>
      <c r="V1044" s="42" t="s">
        <v>57</v>
      </c>
      <c r="W1044" s="32">
        <v>2050</v>
      </c>
      <c r="X1044" s="43" t="str">
        <f t="shared" si="149"/>
        <v>*0.92</v>
      </c>
      <c r="AC1044" s="33" t="s">
        <v>4375</v>
      </c>
      <c r="AD1044" s="44" t="s">
        <v>57</v>
      </c>
      <c r="AE1044" s="33">
        <v>2035</v>
      </c>
      <c r="AF1044" s="45" t="str">
        <f t="shared" si="150"/>
        <v>*0.91</v>
      </c>
      <c r="AG1044" s="43" t="str">
        <f t="shared" si="153"/>
        <v>REZoning_Sol-Win</v>
      </c>
      <c r="AI1044" s="33" t="s">
        <v>4375</v>
      </c>
      <c r="AJ1044" s="44" t="s">
        <v>57</v>
      </c>
      <c r="AK1044" s="33">
        <v>2050</v>
      </c>
      <c r="AL1044" s="45" t="str">
        <f t="shared" si="151"/>
        <v>*0.87</v>
      </c>
      <c r="AM1044" s="43" t="str">
        <f t="shared" si="154"/>
        <v>REZoning_Sol-Win</v>
      </c>
      <c r="AP1044" t="s">
        <v>4375</v>
      </c>
      <c r="AQ1044" t="s">
        <v>57</v>
      </c>
      <c r="AR1044">
        <f t="shared" si="152"/>
        <v>2100</v>
      </c>
      <c r="AS1044" t="s">
        <v>874</v>
      </c>
      <c r="AT1044" t="s">
        <v>58</v>
      </c>
    </row>
    <row r="1045" ht="29" spans="1:46">
      <c r="A1045" s="31" t="s">
        <v>169</v>
      </c>
      <c r="C1045" t="s">
        <v>4376</v>
      </c>
      <c r="D1045" s="5" t="s">
        <v>57</v>
      </c>
      <c r="E1045">
        <v>2035</v>
      </c>
      <c r="F1045" s="6" t="str">
        <f t="shared" si="146"/>
        <v>*0.94</v>
      </c>
      <c r="H1045" t="s">
        <v>4376</v>
      </c>
      <c r="I1045" s="5" t="s">
        <v>57</v>
      </c>
      <c r="J1045">
        <v>2050</v>
      </c>
      <c r="K1045" s="38" t="str">
        <f t="shared" si="147"/>
        <v>*0.92</v>
      </c>
      <c r="P1045" s="32" t="s">
        <v>4376</v>
      </c>
      <c r="Q1045" s="42" t="s">
        <v>57</v>
      </c>
      <c r="R1045" s="32">
        <v>2035</v>
      </c>
      <c r="S1045" s="43" t="str">
        <f t="shared" si="148"/>
        <v>*0.93</v>
      </c>
      <c r="U1045" s="32" t="s">
        <v>4376</v>
      </c>
      <c r="V1045" s="42" t="s">
        <v>57</v>
      </c>
      <c r="W1045" s="32">
        <v>2050</v>
      </c>
      <c r="X1045" s="43" t="str">
        <f t="shared" si="149"/>
        <v>*0.92</v>
      </c>
      <c r="AC1045" s="33" t="s">
        <v>4376</v>
      </c>
      <c r="AD1045" s="44" t="s">
        <v>57</v>
      </c>
      <c r="AE1045" s="33">
        <v>2035</v>
      </c>
      <c r="AF1045" s="45" t="str">
        <f t="shared" si="150"/>
        <v>*0.91</v>
      </c>
      <c r="AG1045" s="43" t="str">
        <f t="shared" si="153"/>
        <v>REZoning_Sol-Win</v>
      </c>
      <c r="AI1045" s="33" t="s">
        <v>4376</v>
      </c>
      <c r="AJ1045" s="44" t="s">
        <v>57</v>
      </c>
      <c r="AK1045" s="33">
        <v>2050</v>
      </c>
      <c r="AL1045" s="45" t="str">
        <f t="shared" si="151"/>
        <v>*0.87</v>
      </c>
      <c r="AM1045" s="43" t="str">
        <f t="shared" si="154"/>
        <v>REZoning_Sol-Win</v>
      </c>
      <c r="AP1045" t="s">
        <v>4376</v>
      </c>
      <c r="AQ1045" t="s">
        <v>57</v>
      </c>
      <c r="AR1045">
        <f t="shared" si="152"/>
        <v>2100</v>
      </c>
      <c r="AS1045" t="s">
        <v>874</v>
      </c>
      <c r="AT1045" t="s">
        <v>58</v>
      </c>
    </row>
    <row r="1046" ht="29" spans="1:46">
      <c r="A1046" s="31" t="s">
        <v>169</v>
      </c>
      <c r="C1046" t="s">
        <v>4377</v>
      </c>
      <c r="D1046" s="5" t="s">
        <v>57</v>
      </c>
      <c r="E1046">
        <v>2035</v>
      </c>
      <c r="F1046" s="6" t="str">
        <f t="shared" si="146"/>
        <v>*0.94</v>
      </c>
      <c r="H1046" t="s">
        <v>4377</v>
      </c>
      <c r="I1046" s="5" t="s">
        <v>57</v>
      </c>
      <c r="J1046">
        <v>2050</v>
      </c>
      <c r="K1046" s="38" t="str">
        <f t="shared" si="147"/>
        <v>*0.92</v>
      </c>
      <c r="P1046" s="32" t="s">
        <v>4377</v>
      </c>
      <c r="Q1046" s="42" t="s">
        <v>57</v>
      </c>
      <c r="R1046" s="32">
        <v>2035</v>
      </c>
      <c r="S1046" s="43" t="str">
        <f t="shared" si="148"/>
        <v>*0.93</v>
      </c>
      <c r="U1046" s="32" t="s">
        <v>4377</v>
      </c>
      <c r="V1046" s="42" t="s">
        <v>57</v>
      </c>
      <c r="W1046" s="32">
        <v>2050</v>
      </c>
      <c r="X1046" s="43" t="str">
        <f t="shared" si="149"/>
        <v>*0.92</v>
      </c>
      <c r="AC1046" s="33" t="s">
        <v>4377</v>
      </c>
      <c r="AD1046" s="44" t="s">
        <v>57</v>
      </c>
      <c r="AE1046" s="33">
        <v>2035</v>
      </c>
      <c r="AF1046" s="45" t="str">
        <f t="shared" si="150"/>
        <v>*0.91</v>
      </c>
      <c r="AG1046" s="43" t="str">
        <f t="shared" si="153"/>
        <v>REZoning_Sol-Win</v>
      </c>
      <c r="AI1046" s="33" t="s">
        <v>4377</v>
      </c>
      <c r="AJ1046" s="44" t="s">
        <v>57</v>
      </c>
      <c r="AK1046" s="33">
        <v>2050</v>
      </c>
      <c r="AL1046" s="45" t="str">
        <f t="shared" si="151"/>
        <v>*0.87</v>
      </c>
      <c r="AM1046" s="43" t="str">
        <f t="shared" si="154"/>
        <v>REZoning_Sol-Win</v>
      </c>
      <c r="AP1046" t="s">
        <v>4377</v>
      </c>
      <c r="AQ1046" t="s">
        <v>57</v>
      </c>
      <c r="AR1046">
        <f t="shared" si="152"/>
        <v>2100</v>
      </c>
      <c r="AS1046" t="s">
        <v>874</v>
      </c>
      <c r="AT1046" t="s">
        <v>58</v>
      </c>
    </row>
    <row r="1047" ht="29" spans="1:46">
      <c r="A1047" s="31" t="s">
        <v>169</v>
      </c>
      <c r="C1047" t="s">
        <v>4378</v>
      </c>
      <c r="D1047" s="5" t="s">
        <v>57</v>
      </c>
      <c r="E1047">
        <v>2035</v>
      </c>
      <c r="F1047" s="6" t="str">
        <f t="shared" si="146"/>
        <v>*0.94</v>
      </c>
      <c r="H1047" t="s">
        <v>4378</v>
      </c>
      <c r="I1047" s="5" t="s">
        <v>57</v>
      </c>
      <c r="J1047">
        <v>2050</v>
      </c>
      <c r="K1047" s="38" t="str">
        <f t="shared" si="147"/>
        <v>*0.92</v>
      </c>
      <c r="P1047" s="32" t="s">
        <v>4378</v>
      </c>
      <c r="Q1047" s="42" t="s">
        <v>57</v>
      </c>
      <c r="R1047" s="32">
        <v>2035</v>
      </c>
      <c r="S1047" s="43" t="str">
        <f t="shared" si="148"/>
        <v>*0.93</v>
      </c>
      <c r="U1047" s="32" t="s">
        <v>4378</v>
      </c>
      <c r="V1047" s="42" t="s">
        <v>57</v>
      </c>
      <c r="W1047" s="32">
        <v>2050</v>
      </c>
      <c r="X1047" s="43" t="str">
        <f t="shared" si="149"/>
        <v>*0.92</v>
      </c>
      <c r="AC1047" s="33" t="s">
        <v>4378</v>
      </c>
      <c r="AD1047" s="44" t="s">
        <v>57</v>
      </c>
      <c r="AE1047" s="33">
        <v>2035</v>
      </c>
      <c r="AF1047" s="45" t="str">
        <f t="shared" si="150"/>
        <v>*0.91</v>
      </c>
      <c r="AG1047" s="43" t="str">
        <f t="shared" si="153"/>
        <v>REZoning_Sol-Win</v>
      </c>
      <c r="AI1047" s="33" t="s">
        <v>4378</v>
      </c>
      <c r="AJ1047" s="44" t="s">
        <v>57</v>
      </c>
      <c r="AK1047" s="33">
        <v>2050</v>
      </c>
      <c r="AL1047" s="45" t="str">
        <f t="shared" si="151"/>
        <v>*0.87</v>
      </c>
      <c r="AM1047" s="43" t="str">
        <f t="shared" si="154"/>
        <v>REZoning_Sol-Win</v>
      </c>
      <c r="AP1047" t="s">
        <v>4378</v>
      </c>
      <c r="AQ1047" t="s">
        <v>57</v>
      </c>
      <c r="AR1047">
        <f t="shared" si="152"/>
        <v>2100</v>
      </c>
      <c r="AS1047" t="s">
        <v>874</v>
      </c>
      <c r="AT1047" t="s">
        <v>58</v>
      </c>
    </row>
    <row r="1048" ht="29" spans="1:46">
      <c r="A1048" s="31" t="s">
        <v>169</v>
      </c>
      <c r="C1048" t="s">
        <v>4379</v>
      </c>
      <c r="D1048" s="5" t="s">
        <v>57</v>
      </c>
      <c r="E1048">
        <v>2035</v>
      </c>
      <c r="F1048" s="6" t="str">
        <f t="shared" si="146"/>
        <v>*0.94</v>
      </c>
      <c r="H1048" t="s">
        <v>4379</v>
      </c>
      <c r="I1048" s="5" t="s">
        <v>57</v>
      </c>
      <c r="J1048">
        <v>2050</v>
      </c>
      <c r="K1048" s="38" t="str">
        <f t="shared" si="147"/>
        <v>*0.92</v>
      </c>
      <c r="P1048" s="32" t="s">
        <v>4379</v>
      </c>
      <c r="Q1048" s="42" t="s">
        <v>57</v>
      </c>
      <c r="R1048" s="32">
        <v>2035</v>
      </c>
      <c r="S1048" s="43" t="str">
        <f t="shared" si="148"/>
        <v>*0.93</v>
      </c>
      <c r="U1048" s="32" t="s">
        <v>4379</v>
      </c>
      <c r="V1048" s="42" t="s">
        <v>57</v>
      </c>
      <c r="W1048" s="32">
        <v>2050</v>
      </c>
      <c r="X1048" s="43" t="str">
        <f t="shared" si="149"/>
        <v>*0.92</v>
      </c>
      <c r="AC1048" s="33" t="s">
        <v>4379</v>
      </c>
      <c r="AD1048" s="44" t="s">
        <v>57</v>
      </c>
      <c r="AE1048" s="33">
        <v>2035</v>
      </c>
      <c r="AF1048" s="45" t="str">
        <f t="shared" si="150"/>
        <v>*0.91</v>
      </c>
      <c r="AG1048" s="43" t="str">
        <f t="shared" si="153"/>
        <v>REZoning_Sol-Win</v>
      </c>
      <c r="AI1048" s="33" t="s">
        <v>4379</v>
      </c>
      <c r="AJ1048" s="44" t="s">
        <v>57</v>
      </c>
      <c r="AK1048" s="33">
        <v>2050</v>
      </c>
      <c r="AL1048" s="45" t="str">
        <f t="shared" si="151"/>
        <v>*0.87</v>
      </c>
      <c r="AM1048" s="43" t="str">
        <f t="shared" si="154"/>
        <v>REZoning_Sol-Win</v>
      </c>
      <c r="AP1048" t="s">
        <v>4379</v>
      </c>
      <c r="AQ1048" t="s">
        <v>57</v>
      </c>
      <c r="AR1048">
        <f t="shared" si="152"/>
        <v>2100</v>
      </c>
      <c r="AS1048" t="s">
        <v>874</v>
      </c>
      <c r="AT1048" t="s">
        <v>58</v>
      </c>
    </row>
    <row r="1049" ht="29" spans="1:46">
      <c r="A1049" s="31" t="s">
        <v>169</v>
      </c>
      <c r="C1049" t="s">
        <v>4380</v>
      </c>
      <c r="D1049" s="5" t="s">
        <v>57</v>
      </c>
      <c r="E1049">
        <v>2035</v>
      </c>
      <c r="F1049" s="6" t="str">
        <f t="shared" si="146"/>
        <v>*0.94</v>
      </c>
      <c r="H1049" t="s">
        <v>4380</v>
      </c>
      <c r="I1049" s="5" t="s">
        <v>57</v>
      </c>
      <c r="J1049">
        <v>2050</v>
      </c>
      <c r="K1049" s="38" t="str">
        <f t="shared" si="147"/>
        <v>*0.92</v>
      </c>
      <c r="P1049" s="32" t="s">
        <v>4380</v>
      </c>
      <c r="Q1049" s="42" t="s">
        <v>57</v>
      </c>
      <c r="R1049" s="32">
        <v>2035</v>
      </c>
      <c r="S1049" s="43" t="str">
        <f t="shared" si="148"/>
        <v>*0.93</v>
      </c>
      <c r="U1049" s="32" t="s">
        <v>4380</v>
      </c>
      <c r="V1049" s="42" t="s">
        <v>57</v>
      </c>
      <c r="W1049" s="32">
        <v>2050</v>
      </c>
      <c r="X1049" s="43" t="str">
        <f t="shared" si="149"/>
        <v>*0.92</v>
      </c>
      <c r="AC1049" s="33" t="s">
        <v>4380</v>
      </c>
      <c r="AD1049" s="44" t="s">
        <v>57</v>
      </c>
      <c r="AE1049" s="33">
        <v>2035</v>
      </c>
      <c r="AF1049" s="45" t="str">
        <f t="shared" si="150"/>
        <v>*0.91</v>
      </c>
      <c r="AG1049" s="43" t="str">
        <f t="shared" si="153"/>
        <v>REZoning_Sol-Win</v>
      </c>
      <c r="AI1049" s="33" t="s">
        <v>4380</v>
      </c>
      <c r="AJ1049" s="44" t="s">
        <v>57</v>
      </c>
      <c r="AK1049" s="33">
        <v>2050</v>
      </c>
      <c r="AL1049" s="45" t="str">
        <f t="shared" si="151"/>
        <v>*0.87</v>
      </c>
      <c r="AM1049" s="43" t="str">
        <f t="shared" si="154"/>
        <v>REZoning_Sol-Win</v>
      </c>
      <c r="AP1049" t="s">
        <v>4380</v>
      </c>
      <c r="AQ1049" t="s">
        <v>57</v>
      </c>
      <c r="AR1049">
        <f t="shared" si="152"/>
        <v>2100</v>
      </c>
      <c r="AS1049" t="s">
        <v>874</v>
      </c>
      <c r="AT1049" t="s">
        <v>58</v>
      </c>
    </row>
    <row r="1050" ht="29" spans="1:46">
      <c r="A1050" s="31" t="s">
        <v>169</v>
      </c>
      <c r="C1050" t="s">
        <v>4381</v>
      </c>
      <c r="D1050" s="5" t="s">
        <v>57</v>
      </c>
      <c r="E1050">
        <v>2035</v>
      </c>
      <c r="F1050" s="6" t="str">
        <f t="shared" si="146"/>
        <v>*0.94</v>
      </c>
      <c r="H1050" t="s">
        <v>4381</v>
      </c>
      <c r="I1050" s="5" t="s">
        <v>57</v>
      </c>
      <c r="J1050">
        <v>2050</v>
      </c>
      <c r="K1050" s="38" t="str">
        <f t="shared" si="147"/>
        <v>*0.92</v>
      </c>
      <c r="P1050" s="32" t="s">
        <v>4381</v>
      </c>
      <c r="Q1050" s="42" t="s">
        <v>57</v>
      </c>
      <c r="R1050" s="32">
        <v>2035</v>
      </c>
      <c r="S1050" s="43" t="str">
        <f t="shared" si="148"/>
        <v>*0.93</v>
      </c>
      <c r="U1050" s="32" t="s">
        <v>4381</v>
      </c>
      <c r="V1050" s="42" t="s">
        <v>57</v>
      </c>
      <c r="W1050" s="32">
        <v>2050</v>
      </c>
      <c r="X1050" s="43" t="str">
        <f t="shared" si="149"/>
        <v>*0.92</v>
      </c>
      <c r="AC1050" s="33" t="s">
        <v>4381</v>
      </c>
      <c r="AD1050" s="44" t="s">
        <v>57</v>
      </c>
      <c r="AE1050" s="33">
        <v>2035</v>
      </c>
      <c r="AF1050" s="45" t="str">
        <f t="shared" si="150"/>
        <v>*0.91</v>
      </c>
      <c r="AG1050" s="43" t="str">
        <f t="shared" si="153"/>
        <v>REZoning_Sol-Win</v>
      </c>
      <c r="AI1050" s="33" t="s">
        <v>4381</v>
      </c>
      <c r="AJ1050" s="44" t="s">
        <v>57</v>
      </c>
      <c r="AK1050" s="33">
        <v>2050</v>
      </c>
      <c r="AL1050" s="45" t="str">
        <f t="shared" si="151"/>
        <v>*0.87</v>
      </c>
      <c r="AM1050" s="43" t="str">
        <f t="shared" si="154"/>
        <v>REZoning_Sol-Win</v>
      </c>
      <c r="AP1050" t="s">
        <v>4381</v>
      </c>
      <c r="AQ1050" t="s">
        <v>57</v>
      </c>
      <c r="AR1050">
        <f t="shared" si="152"/>
        <v>2100</v>
      </c>
      <c r="AS1050" t="s">
        <v>874</v>
      </c>
      <c r="AT1050" t="s">
        <v>58</v>
      </c>
    </row>
    <row r="1051" ht="29" spans="1:46">
      <c r="A1051" s="31" t="s">
        <v>169</v>
      </c>
      <c r="C1051" t="s">
        <v>4382</v>
      </c>
      <c r="D1051" s="5" t="s">
        <v>57</v>
      </c>
      <c r="E1051">
        <v>2035</v>
      </c>
      <c r="F1051" s="6" t="str">
        <f t="shared" si="146"/>
        <v>*0.94</v>
      </c>
      <c r="H1051" t="s">
        <v>4382</v>
      </c>
      <c r="I1051" s="5" t="s">
        <v>57</v>
      </c>
      <c r="J1051">
        <v>2050</v>
      </c>
      <c r="K1051" s="38" t="str">
        <f t="shared" si="147"/>
        <v>*0.92</v>
      </c>
      <c r="P1051" s="32" t="s">
        <v>4382</v>
      </c>
      <c r="Q1051" s="42" t="s">
        <v>57</v>
      </c>
      <c r="R1051" s="32">
        <v>2035</v>
      </c>
      <c r="S1051" s="43" t="str">
        <f t="shared" si="148"/>
        <v>*0.93</v>
      </c>
      <c r="U1051" s="32" t="s">
        <v>4382</v>
      </c>
      <c r="V1051" s="42" t="s">
        <v>57</v>
      </c>
      <c r="W1051" s="32">
        <v>2050</v>
      </c>
      <c r="X1051" s="43" t="str">
        <f t="shared" si="149"/>
        <v>*0.92</v>
      </c>
      <c r="AC1051" s="33" t="s">
        <v>4382</v>
      </c>
      <c r="AD1051" s="44" t="s">
        <v>57</v>
      </c>
      <c r="AE1051" s="33">
        <v>2035</v>
      </c>
      <c r="AF1051" s="45" t="str">
        <f t="shared" si="150"/>
        <v>*0.91</v>
      </c>
      <c r="AG1051" s="43" t="str">
        <f t="shared" si="153"/>
        <v>REZoning_Sol-Win</v>
      </c>
      <c r="AI1051" s="33" t="s">
        <v>4382</v>
      </c>
      <c r="AJ1051" s="44" t="s">
        <v>57</v>
      </c>
      <c r="AK1051" s="33">
        <v>2050</v>
      </c>
      <c r="AL1051" s="45" t="str">
        <f t="shared" si="151"/>
        <v>*0.87</v>
      </c>
      <c r="AM1051" s="43" t="str">
        <f t="shared" si="154"/>
        <v>REZoning_Sol-Win</v>
      </c>
      <c r="AP1051" t="s">
        <v>4382</v>
      </c>
      <c r="AQ1051" t="s">
        <v>57</v>
      </c>
      <c r="AR1051">
        <f t="shared" si="152"/>
        <v>2100</v>
      </c>
      <c r="AS1051" t="s">
        <v>874</v>
      </c>
      <c r="AT1051" t="s">
        <v>58</v>
      </c>
    </row>
    <row r="1052" ht="29" spans="1:46">
      <c r="A1052" s="31" t="s">
        <v>169</v>
      </c>
      <c r="C1052" t="s">
        <v>4383</v>
      </c>
      <c r="D1052" s="5" t="s">
        <v>57</v>
      </c>
      <c r="E1052">
        <v>2035</v>
      </c>
      <c r="F1052" s="6" t="str">
        <f t="shared" si="146"/>
        <v>*0.94</v>
      </c>
      <c r="H1052" t="s">
        <v>4383</v>
      </c>
      <c r="I1052" s="5" t="s">
        <v>57</v>
      </c>
      <c r="J1052">
        <v>2050</v>
      </c>
      <c r="K1052" s="38" t="str">
        <f t="shared" si="147"/>
        <v>*0.92</v>
      </c>
      <c r="P1052" s="32" t="s">
        <v>4383</v>
      </c>
      <c r="Q1052" s="42" t="s">
        <v>57</v>
      </c>
      <c r="R1052" s="32">
        <v>2035</v>
      </c>
      <c r="S1052" s="43" t="str">
        <f t="shared" si="148"/>
        <v>*0.93</v>
      </c>
      <c r="U1052" s="32" t="s">
        <v>4383</v>
      </c>
      <c r="V1052" s="42" t="s">
        <v>57</v>
      </c>
      <c r="W1052" s="32">
        <v>2050</v>
      </c>
      <c r="X1052" s="43" t="str">
        <f t="shared" si="149"/>
        <v>*0.92</v>
      </c>
      <c r="AC1052" s="33" t="s">
        <v>4383</v>
      </c>
      <c r="AD1052" s="44" t="s">
        <v>57</v>
      </c>
      <c r="AE1052" s="33">
        <v>2035</v>
      </c>
      <c r="AF1052" s="45" t="str">
        <f t="shared" si="150"/>
        <v>*0.91</v>
      </c>
      <c r="AG1052" s="43" t="str">
        <f t="shared" si="153"/>
        <v>REZoning_Sol-Win</v>
      </c>
      <c r="AI1052" s="33" t="s">
        <v>4383</v>
      </c>
      <c r="AJ1052" s="44" t="s">
        <v>57</v>
      </c>
      <c r="AK1052" s="33">
        <v>2050</v>
      </c>
      <c r="AL1052" s="45" t="str">
        <f t="shared" si="151"/>
        <v>*0.87</v>
      </c>
      <c r="AM1052" s="43" t="str">
        <f t="shared" si="154"/>
        <v>REZoning_Sol-Win</v>
      </c>
      <c r="AP1052" t="s">
        <v>4383</v>
      </c>
      <c r="AQ1052" t="s">
        <v>57</v>
      </c>
      <c r="AR1052">
        <f t="shared" si="152"/>
        <v>2100</v>
      </c>
      <c r="AS1052" t="s">
        <v>874</v>
      </c>
      <c r="AT1052" t="s">
        <v>58</v>
      </c>
    </row>
    <row r="1053" ht="29" spans="1:46">
      <c r="A1053" s="31" t="s">
        <v>169</v>
      </c>
      <c r="C1053" t="s">
        <v>4384</v>
      </c>
      <c r="D1053" s="5" t="s">
        <v>57</v>
      </c>
      <c r="E1053">
        <v>2035</v>
      </c>
      <c r="F1053" s="6" t="str">
        <f t="shared" si="146"/>
        <v>*0.94</v>
      </c>
      <c r="H1053" t="s">
        <v>4384</v>
      </c>
      <c r="I1053" s="5" t="s">
        <v>57</v>
      </c>
      <c r="J1053">
        <v>2050</v>
      </c>
      <c r="K1053" s="38" t="str">
        <f t="shared" si="147"/>
        <v>*0.92</v>
      </c>
      <c r="P1053" s="32" t="s">
        <v>4384</v>
      </c>
      <c r="Q1053" s="42" t="s">
        <v>57</v>
      </c>
      <c r="R1053" s="32">
        <v>2035</v>
      </c>
      <c r="S1053" s="43" t="str">
        <f t="shared" si="148"/>
        <v>*0.93</v>
      </c>
      <c r="U1053" s="32" t="s">
        <v>4384</v>
      </c>
      <c r="V1053" s="42" t="s">
        <v>57</v>
      </c>
      <c r="W1053" s="32">
        <v>2050</v>
      </c>
      <c r="X1053" s="43" t="str">
        <f t="shared" si="149"/>
        <v>*0.92</v>
      </c>
      <c r="AC1053" s="33" t="s">
        <v>4384</v>
      </c>
      <c r="AD1053" s="44" t="s">
        <v>57</v>
      </c>
      <c r="AE1053" s="33">
        <v>2035</v>
      </c>
      <c r="AF1053" s="45" t="str">
        <f t="shared" si="150"/>
        <v>*0.91</v>
      </c>
      <c r="AG1053" s="43" t="str">
        <f t="shared" si="153"/>
        <v>REZoning_Sol-Win</v>
      </c>
      <c r="AI1053" s="33" t="s">
        <v>4384</v>
      </c>
      <c r="AJ1053" s="44" t="s">
        <v>57</v>
      </c>
      <c r="AK1053" s="33">
        <v>2050</v>
      </c>
      <c r="AL1053" s="45" t="str">
        <f t="shared" si="151"/>
        <v>*0.87</v>
      </c>
      <c r="AM1053" s="43" t="str">
        <f t="shared" si="154"/>
        <v>REZoning_Sol-Win</v>
      </c>
      <c r="AP1053" t="s">
        <v>4384</v>
      </c>
      <c r="AQ1053" t="s">
        <v>57</v>
      </c>
      <c r="AR1053">
        <f t="shared" si="152"/>
        <v>2100</v>
      </c>
      <c r="AS1053" t="s">
        <v>874</v>
      </c>
      <c r="AT1053" t="s">
        <v>58</v>
      </c>
    </row>
    <row r="1054" ht="29" spans="1:46">
      <c r="A1054" s="31" t="s">
        <v>169</v>
      </c>
      <c r="C1054" t="s">
        <v>4385</v>
      </c>
      <c r="D1054" s="5" t="s">
        <v>57</v>
      </c>
      <c r="E1054">
        <v>2035</v>
      </c>
      <c r="F1054" s="6" t="str">
        <f t="shared" si="146"/>
        <v>*0.94</v>
      </c>
      <c r="H1054" t="s">
        <v>4385</v>
      </c>
      <c r="I1054" s="5" t="s">
        <v>57</v>
      </c>
      <c r="J1054">
        <v>2050</v>
      </c>
      <c r="K1054" s="38" t="str">
        <f t="shared" si="147"/>
        <v>*0.92</v>
      </c>
      <c r="P1054" s="32" t="s">
        <v>4385</v>
      </c>
      <c r="Q1054" s="42" t="s">
        <v>57</v>
      </c>
      <c r="R1054" s="32">
        <v>2035</v>
      </c>
      <c r="S1054" s="43" t="str">
        <f t="shared" si="148"/>
        <v>*0.93</v>
      </c>
      <c r="U1054" s="32" t="s">
        <v>4385</v>
      </c>
      <c r="V1054" s="42" t="s">
        <v>57</v>
      </c>
      <c r="W1054" s="32">
        <v>2050</v>
      </c>
      <c r="X1054" s="43" t="str">
        <f t="shared" si="149"/>
        <v>*0.92</v>
      </c>
      <c r="AC1054" s="33" t="s">
        <v>4385</v>
      </c>
      <c r="AD1054" s="44" t="s">
        <v>57</v>
      </c>
      <c r="AE1054" s="33">
        <v>2035</v>
      </c>
      <c r="AF1054" s="45" t="str">
        <f t="shared" si="150"/>
        <v>*0.91</v>
      </c>
      <c r="AG1054" s="43" t="str">
        <f t="shared" si="153"/>
        <v>REZoning_Sol-Win</v>
      </c>
      <c r="AI1054" s="33" t="s">
        <v>4385</v>
      </c>
      <c r="AJ1054" s="44" t="s">
        <v>57</v>
      </c>
      <c r="AK1054" s="33">
        <v>2050</v>
      </c>
      <c r="AL1054" s="45" t="str">
        <f t="shared" si="151"/>
        <v>*0.87</v>
      </c>
      <c r="AM1054" s="43" t="str">
        <f t="shared" si="154"/>
        <v>REZoning_Sol-Win</v>
      </c>
      <c r="AP1054" t="s">
        <v>4385</v>
      </c>
      <c r="AQ1054" t="s">
        <v>57</v>
      </c>
      <c r="AR1054">
        <f t="shared" si="152"/>
        <v>2100</v>
      </c>
      <c r="AS1054" t="s">
        <v>874</v>
      </c>
      <c r="AT1054" t="s">
        <v>58</v>
      </c>
    </row>
    <row r="1055" ht="29" spans="1:46">
      <c r="A1055" s="31" t="s">
        <v>169</v>
      </c>
      <c r="C1055" t="s">
        <v>4386</v>
      </c>
      <c r="D1055" s="5" t="s">
        <v>57</v>
      </c>
      <c r="E1055">
        <v>2035</v>
      </c>
      <c r="F1055" s="6" t="str">
        <f t="shared" si="146"/>
        <v>*0.94</v>
      </c>
      <c r="H1055" t="s">
        <v>4386</v>
      </c>
      <c r="I1055" s="5" t="s">
        <v>57</v>
      </c>
      <c r="J1055">
        <v>2050</v>
      </c>
      <c r="K1055" s="38" t="str">
        <f t="shared" si="147"/>
        <v>*0.92</v>
      </c>
      <c r="P1055" s="32" t="s">
        <v>4386</v>
      </c>
      <c r="Q1055" s="42" t="s">
        <v>57</v>
      </c>
      <c r="R1055" s="32">
        <v>2035</v>
      </c>
      <c r="S1055" s="43" t="str">
        <f t="shared" si="148"/>
        <v>*0.93</v>
      </c>
      <c r="U1055" s="32" t="s">
        <v>4386</v>
      </c>
      <c r="V1055" s="42" t="s">
        <v>57</v>
      </c>
      <c r="W1055" s="32">
        <v>2050</v>
      </c>
      <c r="X1055" s="43" t="str">
        <f t="shared" si="149"/>
        <v>*0.92</v>
      </c>
      <c r="AC1055" s="33" t="s">
        <v>4386</v>
      </c>
      <c r="AD1055" s="44" t="s">
        <v>57</v>
      </c>
      <c r="AE1055" s="33">
        <v>2035</v>
      </c>
      <c r="AF1055" s="45" t="str">
        <f t="shared" si="150"/>
        <v>*0.91</v>
      </c>
      <c r="AG1055" s="43" t="str">
        <f t="shared" si="153"/>
        <v>REZoning_Sol-Win</v>
      </c>
      <c r="AI1055" s="33" t="s">
        <v>4386</v>
      </c>
      <c r="AJ1055" s="44" t="s">
        <v>57</v>
      </c>
      <c r="AK1055" s="33">
        <v>2050</v>
      </c>
      <c r="AL1055" s="45" t="str">
        <f t="shared" si="151"/>
        <v>*0.87</v>
      </c>
      <c r="AM1055" s="43" t="str">
        <f t="shared" si="154"/>
        <v>REZoning_Sol-Win</v>
      </c>
      <c r="AP1055" t="s">
        <v>4386</v>
      </c>
      <c r="AQ1055" t="s">
        <v>57</v>
      </c>
      <c r="AR1055">
        <f t="shared" si="152"/>
        <v>2100</v>
      </c>
      <c r="AS1055" t="s">
        <v>874</v>
      </c>
      <c r="AT1055" t="s">
        <v>58</v>
      </c>
    </row>
    <row r="1056" ht="29" spans="1:46">
      <c r="A1056" s="31" t="s">
        <v>169</v>
      </c>
      <c r="C1056" t="s">
        <v>4387</v>
      </c>
      <c r="D1056" s="5" t="s">
        <v>57</v>
      </c>
      <c r="E1056">
        <v>2035</v>
      </c>
      <c r="F1056" s="6" t="str">
        <f t="shared" si="146"/>
        <v>*0.94</v>
      </c>
      <c r="H1056" t="s">
        <v>4387</v>
      </c>
      <c r="I1056" s="5" t="s">
        <v>57</v>
      </c>
      <c r="J1056">
        <v>2050</v>
      </c>
      <c r="K1056" s="38" t="str">
        <f t="shared" si="147"/>
        <v>*0.92</v>
      </c>
      <c r="P1056" s="32" t="s">
        <v>4387</v>
      </c>
      <c r="Q1056" s="42" t="s">
        <v>57</v>
      </c>
      <c r="R1056" s="32">
        <v>2035</v>
      </c>
      <c r="S1056" s="43" t="str">
        <f t="shared" si="148"/>
        <v>*0.93</v>
      </c>
      <c r="U1056" s="32" t="s">
        <v>4387</v>
      </c>
      <c r="V1056" s="42" t="s">
        <v>57</v>
      </c>
      <c r="W1056" s="32">
        <v>2050</v>
      </c>
      <c r="X1056" s="43" t="str">
        <f t="shared" si="149"/>
        <v>*0.92</v>
      </c>
      <c r="AC1056" s="33" t="s">
        <v>4387</v>
      </c>
      <c r="AD1056" s="44" t="s">
        <v>57</v>
      </c>
      <c r="AE1056" s="33">
        <v>2035</v>
      </c>
      <c r="AF1056" s="45" t="str">
        <f t="shared" si="150"/>
        <v>*0.91</v>
      </c>
      <c r="AG1056" s="43" t="str">
        <f t="shared" si="153"/>
        <v>REZoning_Sol-Win</v>
      </c>
      <c r="AI1056" s="33" t="s">
        <v>4387</v>
      </c>
      <c r="AJ1056" s="44" t="s">
        <v>57</v>
      </c>
      <c r="AK1056" s="33">
        <v>2050</v>
      </c>
      <c r="AL1056" s="45" t="str">
        <f t="shared" si="151"/>
        <v>*0.87</v>
      </c>
      <c r="AM1056" s="43" t="str">
        <f t="shared" si="154"/>
        <v>REZoning_Sol-Win</v>
      </c>
      <c r="AP1056" t="s">
        <v>4387</v>
      </c>
      <c r="AQ1056" t="s">
        <v>57</v>
      </c>
      <c r="AR1056">
        <f t="shared" si="152"/>
        <v>2100</v>
      </c>
      <c r="AS1056" t="s">
        <v>874</v>
      </c>
      <c r="AT1056" t="s">
        <v>58</v>
      </c>
    </row>
    <row r="1057" ht="29" spans="1:46">
      <c r="A1057" s="31" t="s">
        <v>169</v>
      </c>
      <c r="C1057" t="s">
        <v>4388</v>
      </c>
      <c r="D1057" s="5" t="s">
        <v>57</v>
      </c>
      <c r="E1057">
        <v>2035</v>
      </c>
      <c r="F1057" s="6" t="str">
        <f t="shared" si="146"/>
        <v>*0.94</v>
      </c>
      <c r="H1057" t="s">
        <v>4388</v>
      </c>
      <c r="I1057" s="5" t="s">
        <v>57</v>
      </c>
      <c r="J1057">
        <v>2050</v>
      </c>
      <c r="K1057" s="38" t="str">
        <f t="shared" si="147"/>
        <v>*0.92</v>
      </c>
      <c r="P1057" s="32" t="s">
        <v>4388</v>
      </c>
      <c r="Q1057" s="42" t="s">
        <v>57</v>
      </c>
      <c r="R1057" s="32">
        <v>2035</v>
      </c>
      <c r="S1057" s="43" t="str">
        <f t="shared" si="148"/>
        <v>*0.93</v>
      </c>
      <c r="U1057" s="32" t="s">
        <v>4388</v>
      </c>
      <c r="V1057" s="42" t="s">
        <v>57</v>
      </c>
      <c r="W1057" s="32">
        <v>2050</v>
      </c>
      <c r="X1057" s="43" t="str">
        <f t="shared" si="149"/>
        <v>*0.92</v>
      </c>
      <c r="AC1057" s="33" t="s">
        <v>4388</v>
      </c>
      <c r="AD1057" s="44" t="s">
        <v>57</v>
      </c>
      <c r="AE1057" s="33">
        <v>2035</v>
      </c>
      <c r="AF1057" s="45" t="str">
        <f t="shared" si="150"/>
        <v>*0.91</v>
      </c>
      <c r="AG1057" s="43" t="str">
        <f t="shared" si="153"/>
        <v>REZoning_Sol-Win</v>
      </c>
      <c r="AI1057" s="33" t="s">
        <v>4388</v>
      </c>
      <c r="AJ1057" s="44" t="s">
        <v>57</v>
      </c>
      <c r="AK1057" s="33">
        <v>2050</v>
      </c>
      <c r="AL1057" s="45" t="str">
        <f t="shared" si="151"/>
        <v>*0.87</v>
      </c>
      <c r="AM1057" s="43" t="str">
        <f t="shared" si="154"/>
        <v>REZoning_Sol-Win</v>
      </c>
      <c r="AP1057" t="s">
        <v>4388</v>
      </c>
      <c r="AQ1057" t="s">
        <v>57</v>
      </c>
      <c r="AR1057">
        <f t="shared" si="152"/>
        <v>2100</v>
      </c>
      <c r="AS1057" t="s">
        <v>874</v>
      </c>
      <c r="AT1057" t="s">
        <v>58</v>
      </c>
    </row>
    <row r="1058" ht="29" spans="1:46">
      <c r="A1058" s="31" t="s">
        <v>169</v>
      </c>
      <c r="C1058" t="s">
        <v>4389</v>
      </c>
      <c r="D1058" s="5" t="s">
        <v>57</v>
      </c>
      <c r="E1058">
        <v>2035</v>
      </c>
      <c r="F1058" s="6" t="str">
        <f t="shared" si="146"/>
        <v>*0.94</v>
      </c>
      <c r="H1058" t="s">
        <v>4389</v>
      </c>
      <c r="I1058" s="5" t="s">
        <v>57</v>
      </c>
      <c r="J1058">
        <v>2050</v>
      </c>
      <c r="K1058" s="38" t="str">
        <f t="shared" si="147"/>
        <v>*0.92</v>
      </c>
      <c r="P1058" s="32" t="s">
        <v>4389</v>
      </c>
      <c r="Q1058" s="42" t="s">
        <v>57</v>
      </c>
      <c r="R1058" s="32">
        <v>2035</v>
      </c>
      <c r="S1058" s="43" t="str">
        <f t="shared" si="148"/>
        <v>*0.93</v>
      </c>
      <c r="U1058" s="32" t="s">
        <v>4389</v>
      </c>
      <c r="V1058" s="42" t="s">
        <v>57</v>
      </c>
      <c r="W1058" s="32">
        <v>2050</v>
      </c>
      <c r="X1058" s="43" t="str">
        <f t="shared" si="149"/>
        <v>*0.92</v>
      </c>
      <c r="AC1058" s="33" t="s">
        <v>4389</v>
      </c>
      <c r="AD1058" s="44" t="s">
        <v>57</v>
      </c>
      <c r="AE1058" s="33">
        <v>2035</v>
      </c>
      <c r="AF1058" s="45" t="str">
        <f t="shared" si="150"/>
        <v>*0.91</v>
      </c>
      <c r="AG1058" s="43" t="str">
        <f t="shared" si="153"/>
        <v>REZoning_Sol-Win</v>
      </c>
      <c r="AI1058" s="33" t="s">
        <v>4389</v>
      </c>
      <c r="AJ1058" s="44" t="s">
        <v>57</v>
      </c>
      <c r="AK1058" s="33">
        <v>2050</v>
      </c>
      <c r="AL1058" s="45" t="str">
        <f t="shared" si="151"/>
        <v>*0.87</v>
      </c>
      <c r="AM1058" s="43" t="str">
        <f t="shared" si="154"/>
        <v>REZoning_Sol-Win</v>
      </c>
      <c r="AP1058" t="s">
        <v>4389</v>
      </c>
      <c r="AQ1058" t="s">
        <v>57</v>
      </c>
      <c r="AR1058">
        <f t="shared" si="152"/>
        <v>2100</v>
      </c>
      <c r="AS1058" t="s">
        <v>874</v>
      </c>
      <c r="AT1058" t="s">
        <v>58</v>
      </c>
    </row>
    <row r="1059" ht="29" spans="1:46">
      <c r="A1059" s="31" t="s">
        <v>169</v>
      </c>
      <c r="C1059" t="s">
        <v>4390</v>
      </c>
      <c r="D1059" s="5" t="s">
        <v>57</v>
      </c>
      <c r="E1059">
        <v>2035</v>
      </c>
      <c r="F1059" s="6" t="str">
        <f t="shared" si="146"/>
        <v>*0.94</v>
      </c>
      <c r="H1059" t="s">
        <v>4390</v>
      </c>
      <c r="I1059" s="5" t="s">
        <v>57</v>
      </c>
      <c r="J1059">
        <v>2050</v>
      </c>
      <c r="K1059" s="38" t="str">
        <f t="shared" si="147"/>
        <v>*0.92</v>
      </c>
      <c r="P1059" s="32" t="s">
        <v>4390</v>
      </c>
      <c r="Q1059" s="42" t="s">
        <v>57</v>
      </c>
      <c r="R1059" s="32">
        <v>2035</v>
      </c>
      <c r="S1059" s="43" t="str">
        <f t="shared" si="148"/>
        <v>*0.93</v>
      </c>
      <c r="U1059" s="32" t="s">
        <v>4390</v>
      </c>
      <c r="V1059" s="42" t="s">
        <v>57</v>
      </c>
      <c r="W1059" s="32">
        <v>2050</v>
      </c>
      <c r="X1059" s="43" t="str">
        <f t="shared" si="149"/>
        <v>*0.92</v>
      </c>
      <c r="AC1059" s="33" t="s">
        <v>4390</v>
      </c>
      <c r="AD1059" s="44" t="s">
        <v>57</v>
      </c>
      <c r="AE1059" s="33">
        <v>2035</v>
      </c>
      <c r="AF1059" s="45" t="str">
        <f t="shared" si="150"/>
        <v>*0.91</v>
      </c>
      <c r="AG1059" s="43" t="str">
        <f t="shared" si="153"/>
        <v>REZoning_Sol-Win</v>
      </c>
      <c r="AI1059" s="33" t="s">
        <v>4390</v>
      </c>
      <c r="AJ1059" s="44" t="s">
        <v>57</v>
      </c>
      <c r="AK1059" s="33">
        <v>2050</v>
      </c>
      <c r="AL1059" s="45" t="str">
        <f t="shared" si="151"/>
        <v>*0.87</v>
      </c>
      <c r="AM1059" s="43" t="str">
        <f t="shared" si="154"/>
        <v>REZoning_Sol-Win</v>
      </c>
      <c r="AP1059" t="s">
        <v>4390</v>
      </c>
      <c r="AQ1059" t="s">
        <v>57</v>
      </c>
      <c r="AR1059">
        <f t="shared" si="152"/>
        <v>2100</v>
      </c>
      <c r="AS1059" t="s">
        <v>874</v>
      </c>
      <c r="AT1059" t="s">
        <v>58</v>
      </c>
    </row>
    <row r="1060" ht="29" spans="1:46">
      <c r="A1060" s="31" t="s">
        <v>169</v>
      </c>
      <c r="C1060" t="s">
        <v>4391</v>
      </c>
      <c r="D1060" s="5" t="s">
        <v>57</v>
      </c>
      <c r="E1060">
        <v>2035</v>
      </c>
      <c r="F1060" s="6" t="str">
        <f t="shared" si="146"/>
        <v>*0.94</v>
      </c>
      <c r="H1060" t="s">
        <v>4391</v>
      </c>
      <c r="I1060" s="5" t="s">
        <v>57</v>
      </c>
      <c r="J1060">
        <v>2050</v>
      </c>
      <c r="K1060" s="38" t="str">
        <f t="shared" si="147"/>
        <v>*0.92</v>
      </c>
      <c r="P1060" s="32" t="s">
        <v>4391</v>
      </c>
      <c r="Q1060" s="42" t="s">
        <v>57</v>
      </c>
      <c r="R1060" s="32">
        <v>2035</v>
      </c>
      <c r="S1060" s="43" t="str">
        <f t="shared" si="148"/>
        <v>*0.93</v>
      </c>
      <c r="U1060" s="32" t="s">
        <v>4391</v>
      </c>
      <c r="V1060" s="42" t="s">
        <v>57</v>
      </c>
      <c r="W1060" s="32">
        <v>2050</v>
      </c>
      <c r="X1060" s="43" t="str">
        <f t="shared" si="149"/>
        <v>*0.92</v>
      </c>
      <c r="AC1060" s="33" t="s">
        <v>4391</v>
      </c>
      <c r="AD1060" s="44" t="s">
        <v>57</v>
      </c>
      <c r="AE1060" s="33">
        <v>2035</v>
      </c>
      <c r="AF1060" s="45" t="str">
        <f t="shared" si="150"/>
        <v>*0.91</v>
      </c>
      <c r="AG1060" s="43" t="str">
        <f t="shared" si="153"/>
        <v>REZoning_Sol-Win</v>
      </c>
      <c r="AI1060" s="33" t="s">
        <v>4391</v>
      </c>
      <c r="AJ1060" s="44" t="s">
        <v>57</v>
      </c>
      <c r="AK1060" s="33">
        <v>2050</v>
      </c>
      <c r="AL1060" s="45" t="str">
        <f t="shared" si="151"/>
        <v>*0.87</v>
      </c>
      <c r="AM1060" s="43" t="str">
        <f t="shared" si="154"/>
        <v>REZoning_Sol-Win</v>
      </c>
      <c r="AP1060" t="s">
        <v>4391</v>
      </c>
      <c r="AQ1060" t="s">
        <v>57</v>
      </c>
      <c r="AR1060">
        <f t="shared" si="152"/>
        <v>2100</v>
      </c>
      <c r="AS1060" t="s">
        <v>874</v>
      </c>
      <c r="AT1060" t="s">
        <v>58</v>
      </c>
    </row>
    <row r="1061" ht="29" spans="1:46">
      <c r="A1061" s="31" t="s">
        <v>169</v>
      </c>
      <c r="C1061" t="s">
        <v>4392</v>
      </c>
      <c r="D1061" s="5" t="s">
        <v>57</v>
      </c>
      <c r="E1061">
        <v>2035</v>
      </c>
      <c r="F1061" s="6" t="str">
        <f t="shared" si="146"/>
        <v>*0.94</v>
      </c>
      <c r="H1061" t="s">
        <v>4392</v>
      </c>
      <c r="I1061" s="5" t="s">
        <v>57</v>
      </c>
      <c r="J1061">
        <v>2050</v>
      </c>
      <c r="K1061" s="38" t="str">
        <f t="shared" si="147"/>
        <v>*0.92</v>
      </c>
      <c r="P1061" s="32" t="s">
        <v>4392</v>
      </c>
      <c r="Q1061" s="42" t="s">
        <v>57</v>
      </c>
      <c r="R1061" s="32">
        <v>2035</v>
      </c>
      <c r="S1061" s="43" t="str">
        <f t="shared" si="148"/>
        <v>*0.93</v>
      </c>
      <c r="U1061" s="32" t="s">
        <v>4392</v>
      </c>
      <c r="V1061" s="42" t="s">
        <v>57</v>
      </c>
      <c r="W1061" s="32">
        <v>2050</v>
      </c>
      <c r="X1061" s="43" t="str">
        <f t="shared" si="149"/>
        <v>*0.92</v>
      </c>
      <c r="AC1061" s="33" t="s">
        <v>4392</v>
      </c>
      <c r="AD1061" s="44" t="s">
        <v>57</v>
      </c>
      <c r="AE1061" s="33">
        <v>2035</v>
      </c>
      <c r="AF1061" s="45" t="str">
        <f t="shared" si="150"/>
        <v>*0.91</v>
      </c>
      <c r="AG1061" s="43" t="str">
        <f t="shared" si="153"/>
        <v>REZoning_Sol-Win</v>
      </c>
      <c r="AI1061" s="33" t="s">
        <v>4392</v>
      </c>
      <c r="AJ1061" s="44" t="s">
        <v>57</v>
      </c>
      <c r="AK1061" s="33">
        <v>2050</v>
      </c>
      <c r="AL1061" s="45" t="str">
        <f t="shared" si="151"/>
        <v>*0.87</v>
      </c>
      <c r="AM1061" s="43" t="str">
        <f t="shared" si="154"/>
        <v>REZoning_Sol-Win</v>
      </c>
      <c r="AP1061" t="s">
        <v>4392</v>
      </c>
      <c r="AQ1061" t="s">
        <v>57</v>
      </c>
      <c r="AR1061">
        <f t="shared" si="152"/>
        <v>2100</v>
      </c>
      <c r="AS1061" t="s">
        <v>874</v>
      </c>
      <c r="AT1061" t="s">
        <v>58</v>
      </c>
    </row>
    <row r="1062" ht="29" spans="1:46">
      <c r="A1062" s="31" t="s">
        <v>169</v>
      </c>
      <c r="C1062" t="s">
        <v>4393</v>
      </c>
      <c r="D1062" s="5" t="s">
        <v>57</v>
      </c>
      <c r="E1062">
        <v>2035</v>
      </c>
      <c r="F1062" s="6" t="str">
        <f t="shared" si="146"/>
        <v>*0.94</v>
      </c>
      <c r="H1062" t="s">
        <v>4393</v>
      </c>
      <c r="I1062" s="5" t="s">
        <v>57</v>
      </c>
      <c r="J1062">
        <v>2050</v>
      </c>
      <c r="K1062" s="38" t="str">
        <f t="shared" si="147"/>
        <v>*0.92</v>
      </c>
      <c r="P1062" s="32" t="s">
        <v>4393</v>
      </c>
      <c r="Q1062" s="42" t="s">
        <v>57</v>
      </c>
      <c r="R1062" s="32">
        <v>2035</v>
      </c>
      <c r="S1062" s="43" t="str">
        <f t="shared" si="148"/>
        <v>*0.93</v>
      </c>
      <c r="U1062" s="32" t="s">
        <v>4393</v>
      </c>
      <c r="V1062" s="42" t="s">
        <v>57</v>
      </c>
      <c r="W1062" s="32">
        <v>2050</v>
      </c>
      <c r="X1062" s="43" t="str">
        <f t="shared" si="149"/>
        <v>*0.92</v>
      </c>
      <c r="AC1062" s="33" t="s">
        <v>4393</v>
      </c>
      <c r="AD1062" s="44" t="s">
        <v>57</v>
      </c>
      <c r="AE1062" s="33">
        <v>2035</v>
      </c>
      <c r="AF1062" s="45" t="str">
        <f t="shared" si="150"/>
        <v>*0.91</v>
      </c>
      <c r="AG1062" s="43" t="str">
        <f t="shared" si="153"/>
        <v>REZoning_Sol-Win</v>
      </c>
      <c r="AI1062" s="33" t="s">
        <v>4393</v>
      </c>
      <c r="AJ1062" s="44" t="s">
        <v>57</v>
      </c>
      <c r="AK1062" s="33">
        <v>2050</v>
      </c>
      <c r="AL1062" s="45" t="str">
        <f t="shared" si="151"/>
        <v>*0.87</v>
      </c>
      <c r="AM1062" s="43" t="str">
        <f t="shared" si="154"/>
        <v>REZoning_Sol-Win</v>
      </c>
      <c r="AP1062" t="s">
        <v>4393</v>
      </c>
      <c r="AQ1062" t="s">
        <v>57</v>
      </c>
      <c r="AR1062">
        <f t="shared" si="152"/>
        <v>2100</v>
      </c>
      <c r="AS1062" t="s">
        <v>874</v>
      </c>
      <c r="AT1062" t="s">
        <v>58</v>
      </c>
    </row>
    <row r="1063" ht="29" spans="1:46">
      <c r="A1063" s="31" t="s">
        <v>169</v>
      </c>
      <c r="C1063" t="s">
        <v>4394</v>
      </c>
      <c r="D1063" s="5" t="s">
        <v>57</v>
      </c>
      <c r="E1063">
        <v>2035</v>
      </c>
      <c r="F1063" s="6" t="str">
        <f t="shared" si="146"/>
        <v>*0.94</v>
      </c>
      <c r="H1063" t="s">
        <v>4394</v>
      </c>
      <c r="I1063" s="5" t="s">
        <v>57</v>
      </c>
      <c r="J1063">
        <v>2050</v>
      </c>
      <c r="K1063" s="38" t="str">
        <f t="shared" si="147"/>
        <v>*0.92</v>
      </c>
      <c r="P1063" s="32" t="s">
        <v>4394</v>
      </c>
      <c r="Q1063" s="42" t="s">
        <v>57</v>
      </c>
      <c r="R1063" s="32">
        <v>2035</v>
      </c>
      <c r="S1063" s="43" t="str">
        <f t="shared" si="148"/>
        <v>*0.93</v>
      </c>
      <c r="U1063" s="32" t="s">
        <v>4394</v>
      </c>
      <c r="V1063" s="42" t="s">
        <v>57</v>
      </c>
      <c r="W1063" s="32">
        <v>2050</v>
      </c>
      <c r="X1063" s="43" t="str">
        <f t="shared" si="149"/>
        <v>*0.92</v>
      </c>
      <c r="AC1063" s="33" t="s">
        <v>4394</v>
      </c>
      <c r="AD1063" s="44" t="s">
        <v>57</v>
      </c>
      <c r="AE1063" s="33">
        <v>2035</v>
      </c>
      <c r="AF1063" s="45" t="str">
        <f t="shared" si="150"/>
        <v>*0.91</v>
      </c>
      <c r="AG1063" s="43" t="str">
        <f t="shared" si="153"/>
        <v>REZoning_Sol-Win</v>
      </c>
      <c r="AI1063" s="33" t="s">
        <v>4394</v>
      </c>
      <c r="AJ1063" s="44" t="s">
        <v>57</v>
      </c>
      <c r="AK1063" s="33">
        <v>2050</v>
      </c>
      <c r="AL1063" s="45" t="str">
        <f t="shared" si="151"/>
        <v>*0.87</v>
      </c>
      <c r="AM1063" s="43" t="str">
        <f t="shared" si="154"/>
        <v>REZoning_Sol-Win</v>
      </c>
      <c r="AP1063" t="s">
        <v>4394</v>
      </c>
      <c r="AQ1063" t="s">
        <v>57</v>
      </c>
      <c r="AR1063">
        <f t="shared" si="152"/>
        <v>2100</v>
      </c>
      <c r="AS1063" t="s">
        <v>874</v>
      </c>
      <c r="AT1063" t="s">
        <v>58</v>
      </c>
    </row>
    <row r="1064" ht="29" spans="1:46">
      <c r="A1064" s="31" t="s">
        <v>169</v>
      </c>
      <c r="C1064" t="s">
        <v>4395</v>
      </c>
      <c r="D1064" s="5" t="s">
        <v>57</v>
      </c>
      <c r="E1064">
        <v>2035</v>
      </c>
      <c r="F1064" s="6" t="str">
        <f t="shared" si="146"/>
        <v>*0.94</v>
      </c>
      <c r="H1064" t="s">
        <v>4395</v>
      </c>
      <c r="I1064" s="5" t="s">
        <v>57</v>
      </c>
      <c r="J1064">
        <v>2050</v>
      </c>
      <c r="K1064" s="38" t="str">
        <f t="shared" si="147"/>
        <v>*0.92</v>
      </c>
      <c r="P1064" s="32" t="s">
        <v>4395</v>
      </c>
      <c r="Q1064" s="42" t="s">
        <v>57</v>
      </c>
      <c r="R1064" s="32">
        <v>2035</v>
      </c>
      <c r="S1064" s="43" t="str">
        <f t="shared" si="148"/>
        <v>*0.93</v>
      </c>
      <c r="U1064" s="32" t="s">
        <v>4395</v>
      </c>
      <c r="V1064" s="42" t="s">
        <v>57</v>
      </c>
      <c r="W1064" s="32">
        <v>2050</v>
      </c>
      <c r="X1064" s="43" t="str">
        <f t="shared" si="149"/>
        <v>*0.92</v>
      </c>
      <c r="AC1064" s="33" t="s">
        <v>4395</v>
      </c>
      <c r="AD1064" s="44" t="s">
        <v>57</v>
      </c>
      <c r="AE1064" s="33">
        <v>2035</v>
      </c>
      <c r="AF1064" s="45" t="str">
        <f t="shared" si="150"/>
        <v>*0.91</v>
      </c>
      <c r="AG1064" s="43" t="str">
        <f t="shared" si="153"/>
        <v>REZoning_Sol-Win</v>
      </c>
      <c r="AI1064" s="33" t="s">
        <v>4395</v>
      </c>
      <c r="AJ1064" s="44" t="s">
        <v>57</v>
      </c>
      <c r="AK1064" s="33">
        <v>2050</v>
      </c>
      <c r="AL1064" s="45" t="str">
        <f t="shared" si="151"/>
        <v>*0.87</v>
      </c>
      <c r="AM1064" s="43" t="str">
        <f t="shared" si="154"/>
        <v>REZoning_Sol-Win</v>
      </c>
      <c r="AP1064" t="s">
        <v>4395</v>
      </c>
      <c r="AQ1064" t="s">
        <v>57</v>
      </c>
      <c r="AR1064">
        <f t="shared" si="152"/>
        <v>2100</v>
      </c>
      <c r="AS1064" t="s">
        <v>874</v>
      </c>
      <c r="AT1064" t="s">
        <v>58</v>
      </c>
    </row>
    <row r="1065" ht="29" spans="1:46">
      <c r="A1065" s="31" t="s">
        <v>169</v>
      </c>
      <c r="C1065" t="s">
        <v>4396</v>
      </c>
      <c r="D1065" s="5" t="s">
        <v>57</v>
      </c>
      <c r="E1065">
        <v>2035</v>
      </c>
      <c r="F1065" s="6" t="str">
        <f t="shared" si="146"/>
        <v>*0.94</v>
      </c>
      <c r="H1065" t="s">
        <v>4396</v>
      </c>
      <c r="I1065" s="5" t="s">
        <v>57</v>
      </c>
      <c r="J1065">
        <v>2050</v>
      </c>
      <c r="K1065" s="38" t="str">
        <f t="shared" si="147"/>
        <v>*0.92</v>
      </c>
      <c r="P1065" s="32" t="s">
        <v>4396</v>
      </c>
      <c r="Q1065" s="42" t="s">
        <v>57</v>
      </c>
      <c r="R1065" s="32">
        <v>2035</v>
      </c>
      <c r="S1065" s="43" t="str">
        <f t="shared" si="148"/>
        <v>*0.93</v>
      </c>
      <c r="U1065" s="32" t="s">
        <v>4396</v>
      </c>
      <c r="V1065" s="42" t="s">
        <v>57</v>
      </c>
      <c r="W1065" s="32">
        <v>2050</v>
      </c>
      <c r="X1065" s="43" t="str">
        <f t="shared" si="149"/>
        <v>*0.92</v>
      </c>
      <c r="AC1065" s="33" t="s">
        <v>4396</v>
      </c>
      <c r="AD1065" s="44" t="s">
        <v>57</v>
      </c>
      <c r="AE1065" s="33">
        <v>2035</v>
      </c>
      <c r="AF1065" s="45" t="str">
        <f t="shared" si="150"/>
        <v>*0.91</v>
      </c>
      <c r="AG1065" s="43" t="str">
        <f t="shared" si="153"/>
        <v>REZoning_Sol-Win</v>
      </c>
      <c r="AI1065" s="33" t="s">
        <v>4396</v>
      </c>
      <c r="AJ1065" s="44" t="s">
        <v>57</v>
      </c>
      <c r="AK1065" s="33">
        <v>2050</v>
      </c>
      <c r="AL1065" s="45" t="str">
        <f t="shared" si="151"/>
        <v>*0.87</v>
      </c>
      <c r="AM1065" s="43" t="str">
        <f t="shared" si="154"/>
        <v>REZoning_Sol-Win</v>
      </c>
      <c r="AP1065" t="s">
        <v>4396</v>
      </c>
      <c r="AQ1065" t="s">
        <v>57</v>
      </c>
      <c r="AR1065">
        <f t="shared" si="152"/>
        <v>2100</v>
      </c>
      <c r="AS1065" t="s">
        <v>874</v>
      </c>
      <c r="AT1065" t="s">
        <v>58</v>
      </c>
    </row>
    <row r="1066" ht="29" spans="1:46">
      <c r="A1066" s="31" t="s">
        <v>79</v>
      </c>
      <c r="C1066" t="s">
        <v>4397</v>
      </c>
      <c r="D1066" s="5" t="s">
        <v>57</v>
      </c>
      <c r="E1066">
        <v>2035</v>
      </c>
      <c r="F1066" s="6" t="str">
        <f t="shared" si="146"/>
        <v>*0.94</v>
      </c>
      <c r="H1066" t="s">
        <v>4397</v>
      </c>
      <c r="I1066" s="5" t="s">
        <v>57</v>
      </c>
      <c r="J1066">
        <v>2050</v>
      </c>
      <c r="K1066" s="38" t="str">
        <f t="shared" si="147"/>
        <v>*0.9</v>
      </c>
      <c r="P1066" s="32" t="s">
        <v>4397</v>
      </c>
      <c r="Q1066" s="42" t="s">
        <v>57</v>
      </c>
      <c r="R1066" s="32">
        <v>2035</v>
      </c>
      <c r="S1066" s="43" t="str">
        <f t="shared" si="148"/>
        <v>*0.92</v>
      </c>
      <c r="U1066" s="32" t="s">
        <v>4397</v>
      </c>
      <c r="V1066" s="42" t="s">
        <v>57</v>
      </c>
      <c r="W1066" s="32">
        <v>2050</v>
      </c>
      <c r="X1066" s="43" t="str">
        <f t="shared" si="149"/>
        <v>*0.89</v>
      </c>
      <c r="AC1066" s="33" t="s">
        <v>4397</v>
      </c>
      <c r="AD1066" s="44" t="s">
        <v>57</v>
      </c>
      <c r="AE1066" s="33">
        <v>2035</v>
      </c>
      <c r="AF1066" s="45" t="str">
        <f t="shared" si="150"/>
        <v>*0.89</v>
      </c>
      <c r="AG1066" s="43" t="str">
        <f t="shared" si="153"/>
        <v>REZoning_Sol-Win</v>
      </c>
      <c r="AI1066" s="33" t="s">
        <v>4397</v>
      </c>
      <c r="AJ1066" s="44" t="s">
        <v>57</v>
      </c>
      <c r="AK1066" s="33">
        <v>2050</v>
      </c>
      <c r="AL1066" s="45" t="str">
        <f t="shared" si="151"/>
        <v>*0.84</v>
      </c>
      <c r="AM1066" s="43" t="str">
        <f t="shared" si="154"/>
        <v>REZoning_Sol-Win</v>
      </c>
      <c r="AP1066" t="s">
        <v>4397</v>
      </c>
      <c r="AQ1066" t="s">
        <v>57</v>
      </c>
      <c r="AR1066">
        <f t="shared" si="152"/>
        <v>2100</v>
      </c>
      <c r="AS1066" t="s">
        <v>919</v>
      </c>
      <c r="AT1066" t="s">
        <v>58</v>
      </c>
    </row>
    <row r="1067" ht="29" spans="1:46">
      <c r="A1067" s="31" t="s">
        <v>79</v>
      </c>
      <c r="C1067" t="s">
        <v>4398</v>
      </c>
      <c r="D1067" s="5" t="s">
        <v>57</v>
      </c>
      <c r="E1067">
        <v>2035</v>
      </c>
      <c r="F1067" s="6" t="str">
        <f t="shared" si="146"/>
        <v>*0.94</v>
      </c>
      <c r="H1067" t="s">
        <v>4398</v>
      </c>
      <c r="I1067" s="5" t="s">
        <v>57</v>
      </c>
      <c r="J1067">
        <v>2050</v>
      </c>
      <c r="K1067" s="38" t="str">
        <f t="shared" si="147"/>
        <v>*0.9</v>
      </c>
      <c r="P1067" s="32" t="s">
        <v>4398</v>
      </c>
      <c r="Q1067" s="42" t="s">
        <v>57</v>
      </c>
      <c r="R1067" s="32">
        <v>2035</v>
      </c>
      <c r="S1067" s="43" t="str">
        <f t="shared" si="148"/>
        <v>*0.92</v>
      </c>
      <c r="U1067" s="32" t="s">
        <v>4398</v>
      </c>
      <c r="V1067" s="42" t="s">
        <v>57</v>
      </c>
      <c r="W1067" s="32">
        <v>2050</v>
      </c>
      <c r="X1067" s="43" t="str">
        <f t="shared" si="149"/>
        <v>*0.89</v>
      </c>
      <c r="AC1067" s="33" t="s">
        <v>4398</v>
      </c>
      <c r="AD1067" s="44" t="s">
        <v>57</v>
      </c>
      <c r="AE1067" s="33">
        <v>2035</v>
      </c>
      <c r="AF1067" s="45" t="str">
        <f t="shared" si="150"/>
        <v>*0.89</v>
      </c>
      <c r="AG1067" s="43" t="str">
        <f t="shared" si="153"/>
        <v>REZoning_Sol-Win</v>
      </c>
      <c r="AI1067" s="33" t="s">
        <v>4398</v>
      </c>
      <c r="AJ1067" s="44" t="s">
        <v>57</v>
      </c>
      <c r="AK1067" s="33">
        <v>2050</v>
      </c>
      <c r="AL1067" s="45" t="str">
        <f t="shared" si="151"/>
        <v>*0.84</v>
      </c>
      <c r="AM1067" s="43" t="str">
        <f t="shared" si="154"/>
        <v>REZoning_Sol-Win</v>
      </c>
      <c r="AP1067" t="s">
        <v>4398</v>
      </c>
      <c r="AQ1067" t="s">
        <v>57</v>
      </c>
      <c r="AR1067">
        <f t="shared" si="152"/>
        <v>2100</v>
      </c>
      <c r="AS1067" t="s">
        <v>919</v>
      </c>
      <c r="AT1067" t="s">
        <v>58</v>
      </c>
    </row>
    <row r="1068" ht="29" spans="1:46">
      <c r="A1068" s="31" t="s">
        <v>79</v>
      </c>
      <c r="C1068" t="s">
        <v>4399</v>
      </c>
      <c r="D1068" s="5" t="s">
        <v>57</v>
      </c>
      <c r="E1068">
        <v>2035</v>
      </c>
      <c r="F1068" s="6" t="str">
        <f t="shared" si="146"/>
        <v>*0.94</v>
      </c>
      <c r="H1068" t="s">
        <v>4399</v>
      </c>
      <c r="I1068" s="5" t="s">
        <v>57</v>
      </c>
      <c r="J1068">
        <v>2050</v>
      </c>
      <c r="K1068" s="38" t="str">
        <f t="shared" si="147"/>
        <v>*0.9</v>
      </c>
      <c r="P1068" s="32" t="s">
        <v>4399</v>
      </c>
      <c r="Q1068" s="42" t="s">
        <v>57</v>
      </c>
      <c r="R1068" s="32">
        <v>2035</v>
      </c>
      <c r="S1068" s="43" t="str">
        <f t="shared" si="148"/>
        <v>*0.92</v>
      </c>
      <c r="U1068" s="32" t="s">
        <v>4399</v>
      </c>
      <c r="V1068" s="42" t="s">
        <v>57</v>
      </c>
      <c r="W1068" s="32">
        <v>2050</v>
      </c>
      <c r="X1068" s="43" t="str">
        <f t="shared" si="149"/>
        <v>*0.89</v>
      </c>
      <c r="AC1068" s="33" t="s">
        <v>4399</v>
      </c>
      <c r="AD1068" s="44" t="s">
        <v>57</v>
      </c>
      <c r="AE1068" s="33">
        <v>2035</v>
      </c>
      <c r="AF1068" s="45" t="str">
        <f t="shared" si="150"/>
        <v>*0.89</v>
      </c>
      <c r="AG1068" s="43" t="str">
        <f t="shared" si="153"/>
        <v>REZoning_Sol-Win</v>
      </c>
      <c r="AI1068" s="33" t="s">
        <v>4399</v>
      </c>
      <c r="AJ1068" s="44" t="s">
        <v>57</v>
      </c>
      <c r="AK1068" s="33">
        <v>2050</v>
      </c>
      <c r="AL1068" s="45" t="str">
        <f t="shared" si="151"/>
        <v>*0.84</v>
      </c>
      <c r="AM1068" s="43" t="str">
        <f t="shared" si="154"/>
        <v>REZoning_Sol-Win</v>
      </c>
      <c r="AP1068" t="s">
        <v>4399</v>
      </c>
      <c r="AQ1068" t="s">
        <v>57</v>
      </c>
      <c r="AR1068">
        <f t="shared" si="152"/>
        <v>2100</v>
      </c>
      <c r="AS1068" t="s">
        <v>919</v>
      </c>
      <c r="AT1068" t="s">
        <v>58</v>
      </c>
    </row>
    <row r="1069" ht="29" spans="1:46">
      <c r="A1069" s="31" t="s">
        <v>79</v>
      </c>
      <c r="C1069" t="s">
        <v>4400</v>
      </c>
      <c r="D1069" s="5" t="s">
        <v>57</v>
      </c>
      <c r="E1069">
        <v>2035</v>
      </c>
      <c r="F1069" s="6" t="str">
        <f t="shared" si="146"/>
        <v>*0.94</v>
      </c>
      <c r="H1069" t="s">
        <v>4400</v>
      </c>
      <c r="I1069" s="5" t="s">
        <v>57</v>
      </c>
      <c r="J1069">
        <v>2050</v>
      </c>
      <c r="K1069" s="38" t="str">
        <f t="shared" si="147"/>
        <v>*0.9</v>
      </c>
      <c r="P1069" s="32" t="s">
        <v>4400</v>
      </c>
      <c r="Q1069" s="42" t="s">
        <v>57</v>
      </c>
      <c r="R1069" s="32">
        <v>2035</v>
      </c>
      <c r="S1069" s="43" t="str">
        <f t="shared" si="148"/>
        <v>*0.92</v>
      </c>
      <c r="U1069" s="32" t="s">
        <v>4400</v>
      </c>
      <c r="V1069" s="42" t="s">
        <v>57</v>
      </c>
      <c r="W1069" s="32">
        <v>2050</v>
      </c>
      <c r="X1069" s="43" t="str">
        <f t="shared" si="149"/>
        <v>*0.89</v>
      </c>
      <c r="AC1069" s="33" t="s">
        <v>4400</v>
      </c>
      <c r="AD1069" s="44" t="s">
        <v>57</v>
      </c>
      <c r="AE1069" s="33">
        <v>2035</v>
      </c>
      <c r="AF1069" s="45" t="str">
        <f t="shared" si="150"/>
        <v>*0.89</v>
      </c>
      <c r="AG1069" s="43" t="str">
        <f t="shared" si="153"/>
        <v>REZoning_Sol-Win</v>
      </c>
      <c r="AI1069" s="33" t="s">
        <v>4400</v>
      </c>
      <c r="AJ1069" s="44" t="s">
        <v>57</v>
      </c>
      <c r="AK1069" s="33">
        <v>2050</v>
      </c>
      <c r="AL1069" s="45" t="str">
        <f t="shared" si="151"/>
        <v>*0.84</v>
      </c>
      <c r="AM1069" s="43" t="str">
        <f t="shared" si="154"/>
        <v>REZoning_Sol-Win</v>
      </c>
      <c r="AP1069" t="s">
        <v>4400</v>
      </c>
      <c r="AQ1069" t="s">
        <v>57</v>
      </c>
      <c r="AR1069">
        <f t="shared" si="152"/>
        <v>2100</v>
      </c>
      <c r="AS1069" t="s">
        <v>919</v>
      </c>
      <c r="AT1069" t="s">
        <v>58</v>
      </c>
    </row>
    <row r="1070" ht="29" spans="1:46">
      <c r="A1070" s="31" t="s">
        <v>79</v>
      </c>
      <c r="C1070" t="s">
        <v>4401</v>
      </c>
      <c r="D1070" s="5" t="s">
        <v>57</v>
      </c>
      <c r="E1070">
        <v>2035</v>
      </c>
      <c r="F1070" s="6" t="str">
        <f t="shared" si="146"/>
        <v>*0.94</v>
      </c>
      <c r="H1070" t="s">
        <v>4401</v>
      </c>
      <c r="I1070" s="5" t="s">
        <v>57</v>
      </c>
      <c r="J1070">
        <v>2050</v>
      </c>
      <c r="K1070" s="38" t="str">
        <f t="shared" si="147"/>
        <v>*0.9</v>
      </c>
      <c r="P1070" s="32" t="s">
        <v>4401</v>
      </c>
      <c r="Q1070" s="42" t="s">
        <v>57</v>
      </c>
      <c r="R1070" s="32">
        <v>2035</v>
      </c>
      <c r="S1070" s="43" t="str">
        <f t="shared" si="148"/>
        <v>*0.92</v>
      </c>
      <c r="U1070" s="32" t="s">
        <v>4401</v>
      </c>
      <c r="V1070" s="42" t="s">
        <v>57</v>
      </c>
      <c r="W1070" s="32">
        <v>2050</v>
      </c>
      <c r="X1070" s="43" t="str">
        <f t="shared" si="149"/>
        <v>*0.89</v>
      </c>
      <c r="AC1070" s="33" t="s">
        <v>4401</v>
      </c>
      <c r="AD1070" s="44" t="s">
        <v>57</v>
      </c>
      <c r="AE1070" s="33">
        <v>2035</v>
      </c>
      <c r="AF1070" s="45" t="str">
        <f t="shared" si="150"/>
        <v>*0.89</v>
      </c>
      <c r="AG1070" s="43" t="str">
        <f t="shared" si="153"/>
        <v>REZoning_Sol-Win</v>
      </c>
      <c r="AI1070" s="33" t="s">
        <v>4401</v>
      </c>
      <c r="AJ1070" s="44" t="s">
        <v>57</v>
      </c>
      <c r="AK1070" s="33">
        <v>2050</v>
      </c>
      <c r="AL1070" s="45" t="str">
        <f t="shared" si="151"/>
        <v>*0.84</v>
      </c>
      <c r="AM1070" s="43" t="str">
        <f t="shared" si="154"/>
        <v>REZoning_Sol-Win</v>
      </c>
      <c r="AP1070" t="s">
        <v>4401</v>
      </c>
      <c r="AQ1070" t="s">
        <v>57</v>
      </c>
      <c r="AR1070">
        <f t="shared" si="152"/>
        <v>2100</v>
      </c>
      <c r="AS1070" t="s">
        <v>919</v>
      </c>
      <c r="AT1070" t="s">
        <v>58</v>
      </c>
    </row>
    <row r="1071" ht="29" spans="1:46">
      <c r="A1071" s="31" t="s">
        <v>79</v>
      </c>
      <c r="C1071" t="s">
        <v>4402</v>
      </c>
      <c r="D1071" s="5" t="s">
        <v>57</v>
      </c>
      <c r="E1071">
        <v>2035</v>
      </c>
      <c r="F1071" s="6" t="str">
        <f t="shared" si="146"/>
        <v>*0.94</v>
      </c>
      <c r="H1071" t="s">
        <v>4402</v>
      </c>
      <c r="I1071" s="5" t="s">
        <v>57</v>
      </c>
      <c r="J1071">
        <v>2050</v>
      </c>
      <c r="K1071" s="38" t="str">
        <f t="shared" si="147"/>
        <v>*0.9</v>
      </c>
      <c r="P1071" s="32" t="s">
        <v>4402</v>
      </c>
      <c r="Q1071" s="42" t="s">
        <v>57</v>
      </c>
      <c r="R1071" s="32">
        <v>2035</v>
      </c>
      <c r="S1071" s="43" t="str">
        <f t="shared" si="148"/>
        <v>*0.92</v>
      </c>
      <c r="U1071" s="32" t="s">
        <v>4402</v>
      </c>
      <c r="V1071" s="42" t="s">
        <v>57</v>
      </c>
      <c r="W1071" s="32">
        <v>2050</v>
      </c>
      <c r="X1071" s="43" t="str">
        <f t="shared" si="149"/>
        <v>*0.89</v>
      </c>
      <c r="AC1071" s="33" t="s">
        <v>4402</v>
      </c>
      <c r="AD1071" s="44" t="s">
        <v>57</v>
      </c>
      <c r="AE1071" s="33">
        <v>2035</v>
      </c>
      <c r="AF1071" s="45" t="str">
        <f t="shared" si="150"/>
        <v>*0.89</v>
      </c>
      <c r="AG1071" s="43" t="str">
        <f t="shared" si="153"/>
        <v>REZoning_Sol-Win</v>
      </c>
      <c r="AI1071" s="33" t="s">
        <v>4402</v>
      </c>
      <c r="AJ1071" s="44" t="s">
        <v>57</v>
      </c>
      <c r="AK1071" s="33">
        <v>2050</v>
      </c>
      <c r="AL1071" s="45" t="str">
        <f t="shared" si="151"/>
        <v>*0.84</v>
      </c>
      <c r="AM1071" s="43" t="str">
        <f t="shared" si="154"/>
        <v>REZoning_Sol-Win</v>
      </c>
      <c r="AP1071" t="s">
        <v>4402</v>
      </c>
      <c r="AQ1071" t="s">
        <v>57</v>
      </c>
      <c r="AR1071">
        <f t="shared" si="152"/>
        <v>2100</v>
      </c>
      <c r="AS1071" t="s">
        <v>919</v>
      </c>
      <c r="AT1071" t="s">
        <v>58</v>
      </c>
    </row>
    <row r="1072" ht="29" spans="1:46">
      <c r="A1072" s="31" t="s">
        <v>79</v>
      </c>
      <c r="C1072" t="s">
        <v>4403</v>
      </c>
      <c r="D1072" s="5" t="s">
        <v>57</v>
      </c>
      <c r="E1072">
        <v>2035</v>
      </c>
      <c r="F1072" s="6" t="str">
        <f t="shared" si="146"/>
        <v>*0.94</v>
      </c>
      <c r="H1072" t="s">
        <v>4403</v>
      </c>
      <c r="I1072" s="5" t="s">
        <v>57</v>
      </c>
      <c r="J1072">
        <v>2050</v>
      </c>
      <c r="K1072" s="38" t="str">
        <f t="shared" si="147"/>
        <v>*0.9</v>
      </c>
      <c r="P1072" s="32" t="s">
        <v>4403</v>
      </c>
      <c r="Q1072" s="42" t="s">
        <v>57</v>
      </c>
      <c r="R1072" s="32">
        <v>2035</v>
      </c>
      <c r="S1072" s="43" t="str">
        <f t="shared" si="148"/>
        <v>*0.92</v>
      </c>
      <c r="U1072" s="32" t="s">
        <v>4403</v>
      </c>
      <c r="V1072" s="42" t="s">
        <v>57</v>
      </c>
      <c r="W1072" s="32">
        <v>2050</v>
      </c>
      <c r="X1072" s="43" t="str">
        <f t="shared" si="149"/>
        <v>*0.89</v>
      </c>
      <c r="AC1072" s="33" t="s">
        <v>4403</v>
      </c>
      <c r="AD1072" s="44" t="s">
        <v>57</v>
      </c>
      <c r="AE1072" s="33">
        <v>2035</v>
      </c>
      <c r="AF1072" s="45" t="str">
        <f t="shared" si="150"/>
        <v>*0.89</v>
      </c>
      <c r="AG1072" s="43" t="str">
        <f t="shared" si="153"/>
        <v>REZoning_Sol-Win</v>
      </c>
      <c r="AI1072" s="33" t="s">
        <v>4403</v>
      </c>
      <c r="AJ1072" s="44" t="s">
        <v>57</v>
      </c>
      <c r="AK1072" s="33">
        <v>2050</v>
      </c>
      <c r="AL1072" s="45" t="str">
        <f t="shared" si="151"/>
        <v>*0.84</v>
      </c>
      <c r="AM1072" s="43" t="str">
        <f t="shared" si="154"/>
        <v>REZoning_Sol-Win</v>
      </c>
      <c r="AP1072" t="s">
        <v>4403</v>
      </c>
      <c r="AQ1072" t="s">
        <v>57</v>
      </c>
      <c r="AR1072">
        <f t="shared" si="152"/>
        <v>2100</v>
      </c>
      <c r="AS1072" t="s">
        <v>919</v>
      </c>
      <c r="AT1072" t="s">
        <v>58</v>
      </c>
    </row>
    <row r="1073" ht="29" spans="1:46">
      <c r="A1073" s="31" t="s">
        <v>79</v>
      </c>
      <c r="C1073" t="s">
        <v>4404</v>
      </c>
      <c r="D1073" s="5" t="s">
        <v>57</v>
      </c>
      <c r="E1073">
        <v>2035</v>
      </c>
      <c r="F1073" s="6" t="str">
        <f t="shared" si="146"/>
        <v>*0.94</v>
      </c>
      <c r="H1073" t="s">
        <v>4404</v>
      </c>
      <c r="I1073" s="5" t="s">
        <v>57</v>
      </c>
      <c r="J1073">
        <v>2050</v>
      </c>
      <c r="K1073" s="38" t="str">
        <f t="shared" si="147"/>
        <v>*0.9</v>
      </c>
      <c r="P1073" s="32" t="s">
        <v>4404</v>
      </c>
      <c r="Q1073" s="42" t="s">
        <v>57</v>
      </c>
      <c r="R1073" s="32">
        <v>2035</v>
      </c>
      <c r="S1073" s="43" t="str">
        <f t="shared" si="148"/>
        <v>*0.92</v>
      </c>
      <c r="U1073" s="32" t="s">
        <v>4404</v>
      </c>
      <c r="V1073" s="42" t="s">
        <v>57</v>
      </c>
      <c r="W1073" s="32">
        <v>2050</v>
      </c>
      <c r="X1073" s="43" t="str">
        <f t="shared" si="149"/>
        <v>*0.89</v>
      </c>
      <c r="AC1073" s="33" t="s">
        <v>4404</v>
      </c>
      <c r="AD1073" s="44" t="s">
        <v>57</v>
      </c>
      <c r="AE1073" s="33">
        <v>2035</v>
      </c>
      <c r="AF1073" s="45" t="str">
        <f t="shared" si="150"/>
        <v>*0.89</v>
      </c>
      <c r="AG1073" s="43" t="str">
        <f t="shared" si="153"/>
        <v>REZoning_Sol-Win</v>
      </c>
      <c r="AI1073" s="33" t="s">
        <v>4404</v>
      </c>
      <c r="AJ1073" s="44" t="s">
        <v>57</v>
      </c>
      <c r="AK1073" s="33">
        <v>2050</v>
      </c>
      <c r="AL1073" s="45" t="str">
        <f t="shared" si="151"/>
        <v>*0.84</v>
      </c>
      <c r="AM1073" s="43" t="str">
        <f t="shared" si="154"/>
        <v>REZoning_Sol-Win</v>
      </c>
      <c r="AP1073" t="s">
        <v>4404</v>
      </c>
      <c r="AQ1073" t="s">
        <v>57</v>
      </c>
      <c r="AR1073">
        <f t="shared" si="152"/>
        <v>2100</v>
      </c>
      <c r="AS1073" t="s">
        <v>919</v>
      </c>
      <c r="AT1073" t="s">
        <v>58</v>
      </c>
    </row>
    <row r="1074" ht="29" spans="1:46">
      <c r="A1074" s="31" t="s">
        <v>79</v>
      </c>
      <c r="C1074" t="s">
        <v>4405</v>
      </c>
      <c r="D1074" s="5" t="s">
        <v>57</v>
      </c>
      <c r="E1074">
        <v>2035</v>
      </c>
      <c r="F1074" s="6" t="str">
        <f t="shared" si="146"/>
        <v>*0.94</v>
      </c>
      <c r="H1074" t="s">
        <v>4405</v>
      </c>
      <c r="I1074" s="5" t="s">
        <v>57</v>
      </c>
      <c r="J1074">
        <v>2050</v>
      </c>
      <c r="K1074" s="38" t="str">
        <f t="shared" si="147"/>
        <v>*0.9</v>
      </c>
      <c r="P1074" s="32" t="s">
        <v>4405</v>
      </c>
      <c r="Q1074" s="42" t="s">
        <v>57</v>
      </c>
      <c r="R1074" s="32">
        <v>2035</v>
      </c>
      <c r="S1074" s="43" t="str">
        <f t="shared" si="148"/>
        <v>*0.92</v>
      </c>
      <c r="U1074" s="32" t="s">
        <v>4405</v>
      </c>
      <c r="V1074" s="42" t="s">
        <v>57</v>
      </c>
      <c r="W1074" s="32">
        <v>2050</v>
      </c>
      <c r="X1074" s="43" t="str">
        <f t="shared" si="149"/>
        <v>*0.89</v>
      </c>
      <c r="AC1074" s="33" t="s">
        <v>4405</v>
      </c>
      <c r="AD1074" s="44" t="s">
        <v>57</v>
      </c>
      <c r="AE1074" s="33">
        <v>2035</v>
      </c>
      <c r="AF1074" s="45" t="str">
        <f t="shared" si="150"/>
        <v>*0.89</v>
      </c>
      <c r="AG1074" s="43" t="str">
        <f t="shared" si="153"/>
        <v>REZoning_Sol-Win</v>
      </c>
      <c r="AI1074" s="33" t="s">
        <v>4405</v>
      </c>
      <c r="AJ1074" s="44" t="s">
        <v>57</v>
      </c>
      <c r="AK1074" s="33">
        <v>2050</v>
      </c>
      <c r="AL1074" s="45" t="str">
        <f t="shared" si="151"/>
        <v>*0.84</v>
      </c>
      <c r="AM1074" s="43" t="str">
        <f t="shared" si="154"/>
        <v>REZoning_Sol-Win</v>
      </c>
      <c r="AP1074" t="s">
        <v>4405</v>
      </c>
      <c r="AQ1074" t="s">
        <v>57</v>
      </c>
      <c r="AR1074">
        <f t="shared" si="152"/>
        <v>2100</v>
      </c>
      <c r="AS1074" t="s">
        <v>919</v>
      </c>
      <c r="AT1074" t="s">
        <v>58</v>
      </c>
    </row>
    <row r="1075" ht="29" spans="1:46">
      <c r="A1075" s="31" t="s">
        <v>79</v>
      </c>
      <c r="C1075" t="s">
        <v>4406</v>
      </c>
      <c r="D1075" s="5" t="s">
        <v>57</v>
      </c>
      <c r="E1075">
        <v>2035</v>
      </c>
      <c r="F1075" s="6" t="str">
        <f t="shared" si="146"/>
        <v>*0.94</v>
      </c>
      <c r="H1075" t="s">
        <v>4406</v>
      </c>
      <c r="I1075" s="5" t="s">
        <v>57</v>
      </c>
      <c r="J1075">
        <v>2050</v>
      </c>
      <c r="K1075" s="38" t="str">
        <f t="shared" si="147"/>
        <v>*0.9</v>
      </c>
      <c r="P1075" s="32" t="s">
        <v>4406</v>
      </c>
      <c r="Q1075" s="42" t="s">
        <v>57</v>
      </c>
      <c r="R1075" s="32">
        <v>2035</v>
      </c>
      <c r="S1075" s="43" t="str">
        <f t="shared" si="148"/>
        <v>*0.92</v>
      </c>
      <c r="U1075" s="32" t="s">
        <v>4406</v>
      </c>
      <c r="V1075" s="42" t="s">
        <v>57</v>
      </c>
      <c r="W1075" s="32">
        <v>2050</v>
      </c>
      <c r="X1075" s="43" t="str">
        <f t="shared" si="149"/>
        <v>*0.89</v>
      </c>
      <c r="AC1075" s="33" t="s">
        <v>4406</v>
      </c>
      <c r="AD1075" s="44" t="s">
        <v>57</v>
      </c>
      <c r="AE1075" s="33">
        <v>2035</v>
      </c>
      <c r="AF1075" s="45" t="str">
        <f t="shared" si="150"/>
        <v>*0.89</v>
      </c>
      <c r="AG1075" s="43" t="str">
        <f t="shared" si="153"/>
        <v>REZoning_Sol-Win</v>
      </c>
      <c r="AI1075" s="33" t="s">
        <v>4406</v>
      </c>
      <c r="AJ1075" s="44" t="s">
        <v>57</v>
      </c>
      <c r="AK1075" s="33">
        <v>2050</v>
      </c>
      <c r="AL1075" s="45" t="str">
        <f t="shared" si="151"/>
        <v>*0.84</v>
      </c>
      <c r="AM1075" s="43" t="str">
        <f t="shared" si="154"/>
        <v>REZoning_Sol-Win</v>
      </c>
      <c r="AP1075" t="s">
        <v>4406</v>
      </c>
      <c r="AQ1075" t="s">
        <v>57</v>
      </c>
      <c r="AR1075">
        <f t="shared" si="152"/>
        <v>2100</v>
      </c>
      <c r="AS1075" t="s">
        <v>919</v>
      </c>
      <c r="AT1075" t="s">
        <v>58</v>
      </c>
    </row>
    <row r="1076" ht="29" spans="1:46">
      <c r="A1076" s="31" t="s">
        <v>79</v>
      </c>
      <c r="C1076" t="s">
        <v>4407</v>
      </c>
      <c r="D1076" s="5" t="s">
        <v>57</v>
      </c>
      <c r="E1076">
        <v>2035</v>
      </c>
      <c r="F1076" s="6" t="str">
        <f t="shared" si="146"/>
        <v>*0.94</v>
      </c>
      <c r="H1076" t="s">
        <v>4407</v>
      </c>
      <c r="I1076" s="5" t="s">
        <v>57</v>
      </c>
      <c r="J1076">
        <v>2050</v>
      </c>
      <c r="K1076" s="38" t="str">
        <f t="shared" si="147"/>
        <v>*0.9</v>
      </c>
      <c r="P1076" s="32" t="s">
        <v>4407</v>
      </c>
      <c r="Q1076" s="42" t="s">
        <v>57</v>
      </c>
      <c r="R1076" s="32">
        <v>2035</v>
      </c>
      <c r="S1076" s="43" t="str">
        <f t="shared" si="148"/>
        <v>*0.92</v>
      </c>
      <c r="U1076" s="32" t="s">
        <v>4407</v>
      </c>
      <c r="V1076" s="42" t="s">
        <v>57</v>
      </c>
      <c r="W1076" s="32">
        <v>2050</v>
      </c>
      <c r="X1076" s="43" t="str">
        <f t="shared" si="149"/>
        <v>*0.89</v>
      </c>
      <c r="AC1076" s="33" t="s">
        <v>4407</v>
      </c>
      <c r="AD1076" s="44" t="s">
        <v>57</v>
      </c>
      <c r="AE1076" s="33">
        <v>2035</v>
      </c>
      <c r="AF1076" s="45" t="str">
        <f t="shared" si="150"/>
        <v>*0.89</v>
      </c>
      <c r="AG1076" s="43" t="str">
        <f t="shared" si="153"/>
        <v>REZoning_Sol-Win</v>
      </c>
      <c r="AI1076" s="33" t="s">
        <v>4407</v>
      </c>
      <c r="AJ1076" s="44" t="s">
        <v>57</v>
      </c>
      <c r="AK1076" s="33">
        <v>2050</v>
      </c>
      <c r="AL1076" s="45" t="str">
        <f t="shared" si="151"/>
        <v>*0.84</v>
      </c>
      <c r="AM1076" s="43" t="str">
        <f t="shared" si="154"/>
        <v>REZoning_Sol-Win</v>
      </c>
      <c r="AP1076" t="s">
        <v>4407</v>
      </c>
      <c r="AQ1076" t="s">
        <v>57</v>
      </c>
      <c r="AR1076">
        <f t="shared" si="152"/>
        <v>2100</v>
      </c>
      <c r="AS1076" t="s">
        <v>919</v>
      </c>
      <c r="AT1076" t="s">
        <v>58</v>
      </c>
    </row>
    <row r="1077" ht="29" spans="1:46">
      <c r="A1077" s="31" t="s">
        <v>79</v>
      </c>
      <c r="C1077" t="s">
        <v>4408</v>
      </c>
      <c r="D1077" s="5" t="s">
        <v>57</v>
      </c>
      <c r="E1077">
        <v>2035</v>
      </c>
      <c r="F1077" s="6" t="str">
        <f t="shared" si="146"/>
        <v>*0.94</v>
      </c>
      <c r="H1077" t="s">
        <v>4408</v>
      </c>
      <c r="I1077" s="5" t="s">
        <v>57</v>
      </c>
      <c r="J1077">
        <v>2050</v>
      </c>
      <c r="K1077" s="38" t="str">
        <f t="shared" si="147"/>
        <v>*0.9</v>
      </c>
      <c r="P1077" s="32" t="s">
        <v>4408</v>
      </c>
      <c r="Q1077" s="42" t="s">
        <v>57</v>
      </c>
      <c r="R1077" s="32">
        <v>2035</v>
      </c>
      <c r="S1077" s="43" t="str">
        <f t="shared" si="148"/>
        <v>*0.92</v>
      </c>
      <c r="U1077" s="32" t="s">
        <v>4408</v>
      </c>
      <c r="V1077" s="42" t="s">
        <v>57</v>
      </c>
      <c r="W1077" s="32">
        <v>2050</v>
      </c>
      <c r="X1077" s="43" t="str">
        <f t="shared" si="149"/>
        <v>*0.89</v>
      </c>
      <c r="AC1077" s="33" t="s">
        <v>4408</v>
      </c>
      <c r="AD1077" s="44" t="s">
        <v>57</v>
      </c>
      <c r="AE1077" s="33">
        <v>2035</v>
      </c>
      <c r="AF1077" s="45" t="str">
        <f t="shared" si="150"/>
        <v>*0.89</v>
      </c>
      <c r="AG1077" s="43" t="str">
        <f t="shared" si="153"/>
        <v>REZoning_Sol-Win</v>
      </c>
      <c r="AI1077" s="33" t="s">
        <v>4408</v>
      </c>
      <c r="AJ1077" s="44" t="s">
        <v>57</v>
      </c>
      <c r="AK1077" s="33">
        <v>2050</v>
      </c>
      <c r="AL1077" s="45" t="str">
        <f t="shared" si="151"/>
        <v>*0.84</v>
      </c>
      <c r="AM1077" s="43" t="str">
        <f t="shared" si="154"/>
        <v>REZoning_Sol-Win</v>
      </c>
      <c r="AP1077" t="s">
        <v>4408</v>
      </c>
      <c r="AQ1077" t="s">
        <v>57</v>
      </c>
      <c r="AR1077">
        <f t="shared" si="152"/>
        <v>2100</v>
      </c>
      <c r="AS1077" t="s">
        <v>919</v>
      </c>
      <c r="AT1077" t="s">
        <v>58</v>
      </c>
    </row>
    <row r="1078" ht="29" spans="1:46">
      <c r="A1078" s="31" t="s">
        <v>79</v>
      </c>
      <c r="C1078" t="s">
        <v>4409</v>
      </c>
      <c r="D1078" s="5" t="s">
        <v>57</v>
      </c>
      <c r="E1078">
        <v>2035</v>
      </c>
      <c r="F1078" s="6" t="str">
        <f t="shared" si="146"/>
        <v>*0.94</v>
      </c>
      <c r="H1078" t="s">
        <v>4409</v>
      </c>
      <c r="I1078" s="5" t="s">
        <v>57</v>
      </c>
      <c r="J1078">
        <v>2050</v>
      </c>
      <c r="K1078" s="38" t="str">
        <f t="shared" si="147"/>
        <v>*0.9</v>
      </c>
      <c r="P1078" s="32" t="s">
        <v>4409</v>
      </c>
      <c r="Q1078" s="42" t="s">
        <v>57</v>
      </c>
      <c r="R1078" s="32">
        <v>2035</v>
      </c>
      <c r="S1078" s="43" t="str">
        <f t="shared" si="148"/>
        <v>*0.92</v>
      </c>
      <c r="U1078" s="32" t="s">
        <v>4409</v>
      </c>
      <c r="V1078" s="42" t="s">
        <v>57</v>
      </c>
      <c r="W1078" s="32">
        <v>2050</v>
      </c>
      <c r="X1078" s="43" t="str">
        <f t="shared" si="149"/>
        <v>*0.89</v>
      </c>
      <c r="AC1078" s="33" t="s">
        <v>4409</v>
      </c>
      <c r="AD1078" s="44" t="s">
        <v>57</v>
      </c>
      <c r="AE1078" s="33">
        <v>2035</v>
      </c>
      <c r="AF1078" s="45" t="str">
        <f t="shared" si="150"/>
        <v>*0.89</v>
      </c>
      <c r="AG1078" s="43" t="str">
        <f t="shared" si="153"/>
        <v>REZoning_Sol-Win</v>
      </c>
      <c r="AI1078" s="33" t="s">
        <v>4409</v>
      </c>
      <c r="AJ1078" s="44" t="s">
        <v>57</v>
      </c>
      <c r="AK1078" s="33">
        <v>2050</v>
      </c>
      <c r="AL1078" s="45" t="str">
        <f t="shared" si="151"/>
        <v>*0.84</v>
      </c>
      <c r="AM1078" s="43" t="str">
        <f t="shared" si="154"/>
        <v>REZoning_Sol-Win</v>
      </c>
      <c r="AP1078" t="s">
        <v>4409</v>
      </c>
      <c r="AQ1078" t="s">
        <v>57</v>
      </c>
      <c r="AR1078">
        <f t="shared" si="152"/>
        <v>2100</v>
      </c>
      <c r="AS1078" t="s">
        <v>919</v>
      </c>
      <c r="AT1078" t="s">
        <v>58</v>
      </c>
    </row>
    <row r="1079" ht="29" spans="1:46">
      <c r="A1079" s="31" t="s">
        <v>79</v>
      </c>
      <c r="C1079" t="s">
        <v>4410</v>
      </c>
      <c r="D1079" s="5" t="s">
        <v>57</v>
      </c>
      <c r="E1079">
        <v>2035</v>
      </c>
      <c r="F1079" s="6" t="str">
        <f t="shared" si="146"/>
        <v>*0.94</v>
      </c>
      <c r="H1079" t="s">
        <v>4410</v>
      </c>
      <c r="I1079" s="5" t="s">
        <v>57</v>
      </c>
      <c r="J1079">
        <v>2050</v>
      </c>
      <c r="K1079" s="38" t="str">
        <f t="shared" si="147"/>
        <v>*0.9</v>
      </c>
      <c r="P1079" s="32" t="s">
        <v>4410</v>
      </c>
      <c r="Q1079" s="42" t="s">
        <v>57</v>
      </c>
      <c r="R1079" s="32">
        <v>2035</v>
      </c>
      <c r="S1079" s="43" t="str">
        <f t="shared" si="148"/>
        <v>*0.92</v>
      </c>
      <c r="U1079" s="32" t="s">
        <v>4410</v>
      </c>
      <c r="V1079" s="42" t="s">
        <v>57</v>
      </c>
      <c r="W1079" s="32">
        <v>2050</v>
      </c>
      <c r="X1079" s="43" t="str">
        <f t="shared" si="149"/>
        <v>*0.89</v>
      </c>
      <c r="AC1079" s="33" t="s">
        <v>4410</v>
      </c>
      <c r="AD1079" s="44" t="s">
        <v>57</v>
      </c>
      <c r="AE1079" s="33">
        <v>2035</v>
      </c>
      <c r="AF1079" s="45" t="str">
        <f t="shared" si="150"/>
        <v>*0.89</v>
      </c>
      <c r="AG1079" s="43" t="str">
        <f t="shared" si="153"/>
        <v>REZoning_Sol-Win</v>
      </c>
      <c r="AI1079" s="33" t="s">
        <v>4410</v>
      </c>
      <c r="AJ1079" s="44" t="s">
        <v>57</v>
      </c>
      <c r="AK1079" s="33">
        <v>2050</v>
      </c>
      <c r="AL1079" s="45" t="str">
        <f t="shared" si="151"/>
        <v>*0.84</v>
      </c>
      <c r="AM1079" s="43" t="str">
        <f t="shared" si="154"/>
        <v>REZoning_Sol-Win</v>
      </c>
      <c r="AP1079" t="s">
        <v>4410</v>
      </c>
      <c r="AQ1079" t="s">
        <v>57</v>
      </c>
      <c r="AR1079">
        <f t="shared" si="152"/>
        <v>2100</v>
      </c>
      <c r="AS1079" t="s">
        <v>919</v>
      </c>
      <c r="AT1079" t="s">
        <v>58</v>
      </c>
    </row>
    <row r="1080" ht="29" spans="1:46">
      <c r="A1080" s="31" t="s">
        <v>79</v>
      </c>
      <c r="C1080" t="s">
        <v>4411</v>
      </c>
      <c r="D1080" s="5" t="s">
        <v>57</v>
      </c>
      <c r="E1080">
        <v>2035</v>
      </c>
      <c r="F1080" s="6" t="str">
        <f t="shared" si="146"/>
        <v>*0.94</v>
      </c>
      <c r="H1080" t="s">
        <v>4411</v>
      </c>
      <c r="I1080" s="5" t="s">
        <v>57</v>
      </c>
      <c r="J1080">
        <v>2050</v>
      </c>
      <c r="K1080" s="38" t="str">
        <f t="shared" si="147"/>
        <v>*0.9</v>
      </c>
      <c r="P1080" s="32" t="s">
        <v>4411</v>
      </c>
      <c r="Q1080" s="42" t="s">
        <v>57</v>
      </c>
      <c r="R1080" s="32">
        <v>2035</v>
      </c>
      <c r="S1080" s="43" t="str">
        <f t="shared" si="148"/>
        <v>*0.92</v>
      </c>
      <c r="U1080" s="32" t="s">
        <v>4411</v>
      </c>
      <c r="V1080" s="42" t="s">
        <v>57</v>
      </c>
      <c r="W1080" s="32">
        <v>2050</v>
      </c>
      <c r="X1080" s="43" t="str">
        <f t="shared" si="149"/>
        <v>*0.89</v>
      </c>
      <c r="AC1080" s="33" t="s">
        <v>4411</v>
      </c>
      <c r="AD1080" s="44" t="s">
        <v>57</v>
      </c>
      <c r="AE1080" s="33">
        <v>2035</v>
      </c>
      <c r="AF1080" s="45" t="str">
        <f t="shared" si="150"/>
        <v>*0.89</v>
      </c>
      <c r="AG1080" s="43" t="str">
        <f t="shared" si="153"/>
        <v>REZoning_Sol-Win</v>
      </c>
      <c r="AI1080" s="33" t="s">
        <v>4411</v>
      </c>
      <c r="AJ1080" s="44" t="s">
        <v>57</v>
      </c>
      <c r="AK1080" s="33">
        <v>2050</v>
      </c>
      <c r="AL1080" s="45" t="str">
        <f t="shared" si="151"/>
        <v>*0.84</v>
      </c>
      <c r="AM1080" s="43" t="str">
        <f t="shared" si="154"/>
        <v>REZoning_Sol-Win</v>
      </c>
      <c r="AP1080" t="s">
        <v>4411</v>
      </c>
      <c r="AQ1080" t="s">
        <v>57</v>
      </c>
      <c r="AR1080">
        <f t="shared" si="152"/>
        <v>2100</v>
      </c>
      <c r="AS1080" t="s">
        <v>919</v>
      </c>
      <c r="AT1080" t="s">
        <v>58</v>
      </c>
    </row>
    <row r="1081" ht="29" spans="1:46">
      <c r="A1081" s="31" t="s">
        <v>79</v>
      </c>
      <c r="C1081" t="s">
        <v>4412</v>
      </c>
      <c r="D1081" s="5" t="s">
        <v>57</v>
      </c>
      <c r="E1081">
        <v>2035</v>
      </c>
      <c r="F1081" s="6" t="str">
        <f t="shared" si="146"/>
        <v>*0.94</v>
      </c>
      <c r="H1081" t="s">
        <v>4412</v>
      </c>
      <c r="I1081" s="5" t="s">
        <v>57</v>
      </c>
      <c r="J1081">
        <v>2050</v>
      </c>
      <c r="K1081" s="38" t="str">
        <f t="shared" si="147"/>
        <v>*0.9</v>
      </c>
      <c r="P1081" s="32" t="s">
        <v>4412</v>
      </c>
      <c r="Q1081" s="42" t="s">
        <v>57</v>
      </c>
      <c r="R1081" s="32">
        <v>2035</v>
      </c>
      <c r="S1081" s="43" t="str">
        <f t="shared" si="148"/>
        <v>*0.92</v>
      </c>
      <c r="U1081" s="32" t="s">
        <v>4412</v>
      </c>
      <c r="V1081" s="42" t="s">
        <v>57</v>
      </c>
      <c r="W1081" s="32">
        <v>2050</v>
      </c>
      <c r="X1081" s="43" t="str">
        <f t="shared" si="149"/>
        <v>*0.89</v>
      </c>
      <c r="AC1081" s="33" t="s">
        <v>4412</v>
      </c>
      <c r="AD1081" s="44" t="s">
        <v>57</v>
      </c>
      <c r="AE1081" s="33">
        <v>2035</v>
      </c>
      <c r="AF1081" s="45" t="str">
        <f t="shared" si="150"/>
        <v>*0.89</v>
      </c>
      <c r="AG1081" s="43" t="str">
        <f t="shared" si="153"/>
        <v>REZoning_Sol-Win</v>
      </c>
      <c r="AI1081" s="33" t="s">
        <v>4412</v>
      </c>
      <c r="AJ1081" s="44" t="s">
        <v>57</v>
      </c>
      <c r="AK1081" s="33">
        <v>2050</v>
      </c>
      <c r="AL1081" s="45" t="str">
        <f t="shared" si="151"/>
        <v>*0.84</v>
      </c>
      <c r="AM1081" s="43" t="str">
        <f t="shared" si="154"/>
        <v>REZoning_Sol-Win</v>
      </c>
      <c r="AP1081" t="s">
        <v>4412</v>
      </c>
      <c r="AQ1081" t="s">
        <v>57</v>
      </c>
      <c r="AR1081">
        <f t="shared" si="152"/>
        <v>2100</v>
      </c>
      <c r="AS1081" t="s">
        <v>919</v>
      </c>
      <c r="AT1081" t="s">
        <v>58</v>
      </c>
    </row>
    <row r="1082" ht="29" spans="1:46">
      <c r="A1082" s="31" t="s">
        <v>79</v>
      </c>
      <c r="C1082" t="s">
        <v>4413</v>
      </c>
      <c r="D1082" s="5" t="s">
        <v>57</v>
      </c>
      <c r="E1082">
        <v>2035</v>
      </c>
      <c r="F1082" s="6" t="str">
        <f t="shared" si="146"/>
        <v>*0.94</v>
      </c>
      <c r="H1082" t="s">
        <v>4413</v>
      </c>
      <c r="I1082" s="5" t="s">
        <v>57</v>
      </c>
      <c r="J1082">
        <v>2050</v>
      </c>
      <c r="K1082" s="38" t="str">
        <f t="shared" si="147"/>
        <v>*0.9</v>
      </c>
      <c r="P1082" s="32" t="s">
        <v>4413</v>
      </c>
      <c r="Q1082" s="42" t="s">
        <v>57</v>
      </c>
      <c r="R1082" s="32">
        <v>2035</v>
      </c>
      <c r="S1082" s="43" t="str">
        <f t="shared" si="148"/>
        <v>*0.92</v>
      </c>
      <c r="U1082" s="32" t="s">
        <v>4413</v>
      </c>
      <c r="V1082" s="42" t="s">
        <v>57</v>
      </c>
      <c r="W1082" s="32">
        <v>2050</v>
      </c>
      <c r="X1082" s="43" t="str">
        <f t="shared" si="149"/>
        <v>*0.89</v>
      </c>
      <c r="AC1082" s="33" t="s">
        <v>4413</v>
      </c>
      <c r="AD1082" s="44" t="s">
        <v>57</v>
      </c>
      <c r="AE1082" s="33">
        <v>2035</v>
      </c>
      <c r="AF1082" s="45" t="str">
        <f t="shared" si="150"/>
        <v>*0.89</v>
      </c>
      <c r="AG1082" s="43" t="str">
        <f t="shared" si="153"/>
        <v>REZoning_Sol-Win</v>
      </c>
      <c r="AI1082" s="33" t="s">
        <v>4413</v>
      </c>
      <c r="AJ1082" s="44" t="s">
        <v>57</v>
      </c>
      <c r="AK1082" s="33">
        <v>2050</v>
      </c>
      <c r="AL1082" s="45" t="str">
        <f t="shared" si="151"/>
        <v>*0.84</v>
      </c>
      <c r="AM1082" s="43" t="str">
        <f t="shared" si="154"/>
        <v>REZoning_Sol-Win</v>
      </c>
      <c r="AP1082" t="s">
        <v>4413</v>
      </c>
      <c r="AQ1082" t="s">
        <v>57</v>
      </c>
      <c r="AR1082">
        <f t="shared" si="152"/>
        <v>2100</v>
      </c>
      <c r="AS1082" t="s">
        <v>919</v>
      </c>
      <c r="AT1082" t="s">
        <v>58</v>
      </c>
    </row>
    <row r="1083" ht="29" spans="1:46">
      <c r="A1083" s="31" t="s">
        <v>65</v>
      </c>
      <c r="C1083" t="s">
        <v>4414</v>
      </c>
      <c r="D1083" s="5" t="s">
        <v>57</v>
      </c>
      <c r="E1083">
        <v>2035</v>
      </c>
      <c r="F1083" s="6" t="str">
        <f t="shared" si="146"/>
        <v>*0.94</v>
      </c>
      <c r="H1083" t="s">
        <v>4414</v>
      </c>
      <c r="I1083" s="5" t="s">
        <v>57</v>
      </c>
      <c r="J1083">
        <v>2050</v>
      </c>
      <c r="K1083" s="38" t="str">
        <f t="shared" si="147"/>
        <v>*0.91</v>
      </c>
      <c r="P1083" s="32" t="s">
        <v>4414</v>
      </c>
      <c r="Q1083" s="42" t="s">
        <v>57</v>
      </c>
      <c r="R1083" s="32">
        <v>2035</v>
      </c>
      <c r="S1083" s="43" t="str">
        <f t="shared" si="148"/>
        <v>*0.93</v>
      </c>
      <c r="U1083" s="32" t="s">
        <v>4414</v>
      </c>
      <c r="V1083" s="42" t="s">
        <v>57</v>
      </c>
      <c r="W1083" s="32">
        <v>2050</v>
      </c>
      <c r="X1083" s="43" t="str">
        <f t="shared" si="149"/>
        <v>*0.9</v>
      </c>
      <c r="AC1083" s="33" t="s">
        <v>4414</v>
      </c>
      <c r="AD1083" s="44" t="s">
        <v>57</v>
      </c>
      <c r="AE1083" s="33">
        <v>2035</v>
      </c>
      <c r="AF1083" s="45" t="str">
        <f t="shared" si="150"/>
        <v>*0.9</v>
      </c>
      <c r="AG1083" s="43" t="str">
        <f t="shared" si="153"/>
        <v>REZoning_Sol-Win</v>
      </c>
      <c r="AI1083" s="33" t="s">
        <v>4414</v>
      </c>
      <c r="AJ1083" s="44" t="s">
        <v>57</v>
      </c>
      <c r="AK1083" s="33">
        <v>2050</v>
      </c>
      <c r="AL1083" s="45" t="str">
        <f t="shared" si="151"/>
        <v>*0.86</v>
      </c>
      <c r="AM1083" s="43" t="str">
        <f t="shared" si="154"/>
        <v>REZoning_Sol-Win</v>
      </c>
      <c r="AP1083" t="s">
        <v>4414</v>
      </c>
      <c r="AQ1083" t="s">
        <v>57</v>
      </c>
      <c r="AR1083">
        <f t="shared" si="152"/>
        <v>2100</v>
      </c>
      <c r="AS1083" t="s">
        <v>883</v>
      </c>
      <c r="AT1083" t="s">
        <v>58</v>
      </c>
    </row>
    <row r="1084" ht="29" spans="1:46">
      <c r="A1084" s="31" t="s">
        <v>65</v>
      </c>
      <c r="C1084" t="s">
        <v>4415</v>
      </c>
      <c r="D1084" s="5" t="s">
        <v>57</v>
      </c>
      <c r="E1084">
        <v>2035</v>
      </c>
      <c r="F1084" s="6" t="str">
        <f t="shared" si="146"/>
        <v>*0.94</v>
      </c>
      <c r="H1084" t="s">
        <v>4415</v>
      </c>
      <c r="I1084" s="5" t="s">
        <v>57</v>
      </c>
      <c r="J1084">
        <v>2050</v>
      </c>
      <c r="K1084" s="38" t="str">
        <f t="shared" si="147"/>
        <v>*0.91</v>
      </c>
      <c r="P1084" s="32" t="s">
        <v>4415</v>
      </c>
      <c r="Q1084" s="42" t="s">
        <v>57</v>
      </c>
      <c r="R1084" s="32">
        <v>2035</v>
      </c>
      <c r="S1084" s="43" t="str">
        <f t="shared" si="148"/>
        <v>*0.93</v>
      </c>
      <c r="U1084" s="32" t="s">
        <v>4415</v>
      </c>
      <c r="V1084" s="42" t="s">
        <v>57</v>
      </c>
      <c r="W1084" s="32">
        <v>2050</v>
      </c>
      <c r="X1084" s="43" t="str">
        <f t="shared" si="149"/>
        <v>*0.9</v>
      </c>
      <c r="AC1084" s="33" t="s">
        <v>4415</v>
      </c>
      <c r="AD1084" s="44" t="s">
        <v>57</v>
      </c>
      <c r="AE1084" s="33">
        <v>2035</v>
      </c>
      <c r="AF1084" s="45" t="str">
        <f t="shared" si="150"/>
        <v>*0.9</v>
      </c>
      <c r="AG1084" s="43" t="str">
        <f t="shared" si="153"/>
        <v>REZoning_Sol-Win</v>
      </c>
      <c r="AI1084" s="33" t="s">
        <v>4415</v>
      </c>
      <c r="AJ1084" s="44" t="s">
        <v>57</v>
      </c>
      <c r="AK1084" s="33">
        <v>2050</v>
      </c>
      <c r="AL1084" s="45" t="str">
        <f t="shared" si="151"/>
        <v>*0.86</v>
      </c>
      <c r="AM1084" s="43" t="str">
        <f t="shared" si="154"/>
        <v>REZoning_Sol-Win</v>
      </c>
      <c r="AP1084" t="s">
        <v>4415</v>
      </c>
      <c r="AQ1084" t="s">
        <v>57</v>
      </c>
      <c r="AR1084">
        <f t="shared" si="152"/>
        <v>2100</v>
      </c>
      <c r="AS1084" t="s">
        <v>883</v>
      </c>
      <c r="AT1084" t="s">
        <v>58</v>
      </c>
    </row>
    <row r="1085" ht="29" spans="1:46">
      <c r="A1085" s="31" t="s">
        <v>65</v>
      </c>
      <c r="C1085" t="s">
        <v>4416</v>
      </c>
      <c r="D1085" s="5" t="s">
        <v>57</v>
      </c>
      <c r="E1085">
        <v>2035</v>
      </c>
      <c r="F1085" s="6" t="str">
        <f t="shared" si="146"/>
        <v>*0.94</v>
      </c>
      <c r="H1085" t="s">
        <v>4416</v>
      </c>
      <c r="I1085" s="5" t="s">
        <v>57</v>
      </c>
      <c r="J1085">
        <v>2050</v>
      </c>
      <c r="K1085" s="38" t="str">
        <f t="shared" si="147"/>
        <v>*0.91</v>
      </c>
      <c r="P1085" s="32" t="s">
        <v>4416</v>
      </c>
      <c r="Q1085" s="42" t="s">
        <v>57</v>
      </c>
      <c r="R1085" s="32">
        <v>2035</v>
      </c>
      <c r="S1085" s="43" t="str">
        <f t="shared" si="148"/>
        <v>*0.93</v>
      </c>
      <c r="U1085" s="32" t="s">
        <v>4416</v>
      </c>
      <c r="V1085" s="42" t="s">
        <v>57</v>
      </c>
      <c r="W1085" s="32">
        <v>2050</v>
      </c>
      <c r="X1085" s="43" t="str">
        <f t="shared" si="149"/>
        <v>*0.9</v>
      </c>
      <c r="AC1085" s="33" t="s">
        <v>4416</v>
      </c>
      <c r="AD1085" s="44" t="s">
        <v>57</v>
      </c>
      <c r="AE1085" s="33">
        <v>2035</v>
      </c>
      <c r="AF1085" s="45" t="str">
        <f t="shared" si="150"/>
        <v>*0.9</v>
      </c>
      <c r="AG1085" s="43" t="str">
        <f t="shared" si="153"/>
        <v>REZoning_Sol-Win</v>
      </c>
      <c r="AI1085" s="33" t="s">
        <v>4416</v>
      </c>
      <c r="AJ1085" s="44" t="s">
        <v>57</v>
      </c>
      <c r="AK1085" s="33">
        <v>2050</v>
      </c>
      <c r="AL1085" s="45" t="str">
        <f t="shared" si="151"/>
        <v>*0.86</v>
      </c>
      <c r="AM1085" s="43" t="str">
        <f t="shared" si="154"/>
        <v>REZoning_Sol-Win</v>
      </c>
      <c r="AP1085" t="s">
        <v>4416</v>
      </c>
      <c r="AQ1085" t="s">
        <v>57</v>
      </c>
      <c r="AR1085">
        <f t="shared" si="152"/>
        <v>2100</v>
      </c>
      <c r="AS1085" t="s">
        <v>883</v>
      </c>
      <c r="AT1085" t="s">
        <v>58</v>
      </c>
    </row>
    <row r="1086" ht="29" spans="1:46">
      <c r="A1086" s="31" t="s">
        <v>65</v>
      </c>
      <c r="C1086" t="s">
        <v>4417</v>
      </c>
      <c r="D1086" s="5" t="s">
        <v>57</v>
      </c>
      <c r="E1086">
        <v>2035</v>
      </c>
      <c r="F1086" s="6" t="str">
        <f t="shared" si="146"/>
        <v>*0.94</v>
      </c>
      <c r="H1086" t="s">
        <v>4417</v>
      </c>
      <c r="I1086" s="5" t="s">
        <v>57</v>
      </c>
      <c r="J1086">
        <v>2050</v>
      </c>
      <c r="K1086" s="38" t="str">
        <f t="shared" si="147"/>
        <v>*0.91</v>
      </c>
      <c r="P1086" s="32" t="s">
        <v>4417</v>
      </c>
      <c r="Q1086" s="42" t="s">
        <v>57</v>
      </c>
      <c r="R1086" s="32">
        <v>2035</v>
      </c>
      <c r="S1086" s="43" t="str">
        <f t="shared" si="148"/>
        <v>*0.93</v>
      </c>
      <c r="U1086" s="32" t="s">
        <v>4417</v>
      </c>
      <c r="V1086" s="42" t="s">
        <v>57</v>
      </c>
      <c r="W1086" s="32">
        <v>2050</v>
      </c>
      <c r="X1086" s="43" t="str">
        <f t="shared" si="149"/>
        <v>*0.9</v>
      </c>
      <c r="AC1086" s="33" t="s">
        <v>4417</v>
      </c>
      <c r="AD1086" s="44" t="s">
        <v>57</v>
      </c>
      <c r="AE1086" s="33">
        <v>2035</v>
      </c>
      <c r="AF1086" s="45" t="str">
        <f t="shared" si="150"/>
        <v>*0.9</v>
      </c>
      <c r="AG1086" s="43" t="str">
        <f t="shared" si="153"/>
        <v>REZoning_Sol-Win</v>
      </c>
      <c r="AI1086" s="33" t="s">
        <v>4417</v>
      </c>
      <c r="AJ1086" s="44" t="s">
        <v>57</v>
      </c>
      <c r="AK1086" s="33">
        <v>2050</v>
      </c>
      <c r="AL1086" s="45" t="str">
        <f t="shared" si="151"/>
        <v>*0.86</v>
      </c>
      <c r="AM1086" s="43" t="str">
        <f t="shared" si="154"/>
        <v>REZoning_Sol-Win</v>
      </c>
      <c r="AP1086" t="s">
        <v>4417</v>
      </c>
      <c r="AQ1086" t="s">
        <v>57</v>
      </c>
      <c r="AR1086">
        <f t="shared" si="152"/>
        <v>2100</v>
      </c>
      <c r="AS1086" t="s">
        <v>883</v>
      </c>
      <c r="AT1086" t="s">
        <v>58</v>
      </c>
    </row>
    <row r="1087" ht="29" spans="1:46">
      <c r="A1087" s="31" t="s">
        <v>65</v>
      </c>
      <c r="C1087" t="s">
        <v>4418</v>
      </c>
      <c r="D1087" s="5" t="s">
        <v>57</v>
      </c>
      <c r="E1087">
        <v>2035</v>
      </c>
      <c r="F1087" s="6" t="str">
        <f t="shared" si="146"/>
        <v>*0.94</v>
      </c>
      <c r="H1087" t="s">
        <v>4418</v>
      </c>
      <c r="I1087" s="5" t="s">
        <v>57</v>
      </c>
      <c r="J1087">
        <v>2050</v>
      </c>
      <c r="K1087" s="38" t="str">
        <f t="shared" si="147"/>
        <v>*0.91</v>
      </c>
      <c r="P1087" s="32" t="s">
        <v>4418</v>
      </c>
      <c r="Q1087" s="42" t="s">
        <v>57</v>
      </c>
      <c r="R1087" s="32">
        <v>2035</v>
      </c>
      <c r="S1087" s="43" t="str">
        <f t="shared" si="148"/>
        <v>*0.93</v>
      </c>
      <c r="U1087" s="32" t="s">
        <v>4418</v>
      </c>
      <c r="V1087" s="42" t="s">
        <v>57</v>
      </c>
      <c r="W1087" s="32">
        <v>2050</v>
      </c>
      <c r="X1087" s="43" t="str">
        <f t="shared" si="149"/>
        <v>*0.9</v>
      </c>
      <c r="AC1087" s="33" t="s">
        <v>4418</v>
      </c>
      <c r="AD1087" s="44" t="s">
        <v>57</v>
      </c>
      <c r="AE1087" s="33">
        <v>2035</v>
      </c>
      <c r="AF1087" s="45" t="str">
        <f t="shared" si="150"/>
        <v>*0.9</v>
      </c>
      <c r="AG1087" s="43" t="str">
        <f t="shared" si="153"/>
        <v>REZoning_Sol-Win</v>
      </c>
      <c r="AI1087" s="33" t="s">
        <v>4418</v>
      </c>
      <c r="AJ1087" s="44" t="s">
        <v>57</v>
      </c>
      <c r="AK1087" s="33">
        <v>2050</v>
      </c>
      <c r="AL1087" s="45" t="str">
        <f t="shared" si="151"/>
        <v>*0.86</v>
      </c>
      <c r="AM1087" s="43" t="str">
        <f t="shared" si="154"/>
        <v>REZoning_Sol-Win</v>
      </c>
      <c r="AP1087" t="s">
        <v>4418</v>
      </c>
      <c r="AQ1087" t="s">
        <v>57</v>
      </c>
      <c r="AR1087">
        <f t="shared" si="152"/>
        <v>2100</v>
      </c>
      <c r="AS1087" t="s">
        <v>883</v>
      </c>
      <c r="AT1087" t="s">
        <v>58</v>
      </c>
    </row>
    <row r="1088" ht="29" spans="1:46">
      <c r="A1088" s="31" t="s">
        <v>65</v>
      </c>
      <c r="C1088" t="s">
        <v>4419</v>
      </c>
      <c r="D1088" s="5" t="s">
        <v>57</v>
      </c>
      <c r="E1088">
        <v>2035</v>
      </c>
      <c r="F1088" s="6" t="str">
        <f t="shared" si="146"/>
        <v>*0.94</v>
      </c>
      <c r="H1088" t="s">
        <v>4419</v>
      </c>
      <c r="I1088" s="5" t="s">
        <v>57</v>
      </c>
      <c r="J1088">
        <v>2050</v>
      </c>
      <c r="K1088" s="38" t="str">
        <f t="shared" si="147"/>
        <v>*0.91</v>
      </c>
      <c r="P1088" s="32" t="s">
        <v>4419</v>
      </c>
      <c r="Q1088" s="42" t="s">
        <v>57</v>
      </c>
      <c r="R1088" s="32">
        <v>2035</v>
      </c>
      <c r="S1088" s="43" t="str">
        <f t="shared" si="148"/>
        <v>*0.93</v>
      </c>
      <c r="U1088" s="32" t="s">
        <v>4419</v>
      </c>
      <c r="V1088" s="42" t="s">
        <v>57</v>
      </c>
      <c r="W1088" s="32">
        <v>2050</v>
      </c>
      <c r="X1088" s="43" t="str">
        <f t="shared" si="149"/>
        <v>*0.9</v>
      </c>
      <c r="AC1088" s="33" t="s">
        <v>4419</v>
      </c>
      <c r="AD1088" s="44" t="s">
        <v>57</v>
      </c>
      <c r="AE1088" s="33">
        <v>2035</v>
      </c>
      <c r="AF1088" s="45" t="str">
        <f t="shared" si="150"/>
        <v>*0.9</v>
      </c>
      <c r="AG1088" s="43" t="str">
        <f t="shared" si="153"/>
        <v>REZoning_Sol-Win</v>
      </c>
      <c r="AI1088" s="33" t="s">
        <v>4419</v>
      </c>
      <c r="AJ1088" s="44" t="s">
        <v>57</v>
      </c>
      <c r="AK1088" s="33">
        <v>2050</v>
      </c>
      <c r="AL1088" s="45" t="str">
        <f t="shared" si="151"/>
        <v>*0.86</v>
      </c>
      <c r="AM1088" s="43" t="str">
        <f t="shared" si="154"/>
        <v>REZoning_Sol-Win</v>
      </c>
      <c r="AP1088" t="s">
        <v>4419</v>
      </c>
      <c r="AQ1088" t="s">
        <v>57</v>
      </c>
      <c r="AR1088">
        <f t="shared" si="152"/>
        <v>2100</v>
      </c>
      <c r="AS1088" t="s">
        <v>883</v>
      </c>
      <c r="AT1088" t="s">
        <v>58</v>
      </c>
    </row>
    <row r="1089" ht="29" spans="1:46">
      <c r="A1089" s="31" t="s">
        <v>65</v>
      </c>
      <c r="C1089" t="s">
        <v>4420</v>
      </c>
      <c r="D1089" s="5" t="s">
        <v>57</v>
      </c>
      <c r="E1089">
        <v>2035</v>
      </c>
      <c r="F1089" s="6" t="str">
        <f t="shared" si="146"/>
        <v>*0.94</v>
      </c>
      <c r="H1089" t="s">
        <v>4420</v>
      </c>
      <c r="I1089" s="5" t="s">
        <v>57</v>
      </c>
      <c r="J1089">
        <v>2050</v>
      </c>
      <c r="K1089" s="38" t="str">
        <f t="shared" si="147"/>
        <v>*0.91</v>
      </c>
      <c r="P1089" s="32" t="s">
        <v>4420</v>
      </c>
      <c r="Q1089" s="42" t="s">
        <v>57</v>
      </c>
      <c r="R1089" s="32">
        <v>2035</v>
      </c>
      <c r="S1089" s="43" t="str">
        <f t="shared" si="148"/>
        <v>*0.93</v>
      </c>
      <c r="U1089" s="32" t="s">
        <v>4420</v>
      </c>
      <c r="V1089" s="42" t="s">
        <v>57</v>
      </c>
      <c r="W1089" s="32">
        <v>2050</v>
      </c>
      <c r="X1089" s="43" t="str">
        <f t="shared" si="149"/>
        <v>*0.9</v>
      </c>
      <c r="AC1089" s="33" t="s">
        <v>4420</v>
      </c>
      <c r="AD1089" s="44" t="s">
        <v>57</v>
      </c>
      <c r="AE1089" s="33">
        <v>2035</v>
      </c>
      <c r="AF1089" s="45" t="str">
        <f t="shared" si="150"/>
        <v>*0.9</v>
      </c>
      <c r="AG1089" s="43" t="str">
        <f t="shared" si="153"/>
        <v>REZoning_Sol-Win</v>
      </c>
      <c r="AI1089" s="33" t="s">
        <v>4420</v>
      </c>
      <c r="AJ1089" s="44" t="s">
        <v>57</v>
      </c>
      <c r="AK1089" s="33">
        <v>2050</v>
      </c>
      <c r="AL1089" s="45" t="str">
        <f t="shared" si="151"/>
        <v>*0.86</v>
      </c>
      <c r="AM1089" s="43" t="str">
        <f t="shared" si="154"/>
        <v>REZoning_Sol-Win</v>
      </c>
      <c r="AP1089" t="s">
        <v>4420</v>
      </c>
      <c r="AQ1089" t="s">
        <v>57</v>
      </c>
      <c r="AR1089">
        <f t="shared" si="152"/>
        <v>2100</v>
      </c>
      <c r="AS1089" t="s">
        <v>883</v>
      </c>
      <c r="AT1089" t="s">
        <v>58</v>
      </c>
    </row>
    <row r="1090" ht="29" spans="1:46">
      <c r="A1090" s="31" t="s">
        <v>65</v>
      </c>
      <c r="C1090" t="s">
        <v>4421</v>
      </c>
      <c r="D1090" s="5" t="s">
        <v>57</v>
      </c>
      <c r="E1090">
        <v>2035</v>
      </c>
      <c r="F1090" s="6" t="str">
        <f t="shared" si="146"/>
        <v>*0.94</v>
      </c>
      <c r="H1090" t="s">
        <v>4421</v>
      </c>
      <c r="I1090" s="5" t="s">
        <v>57</v>
      </c>
      <c r="J1090">
        <v>2050</v>
      </c>
      <c r="K1090" s="38" t="str">
        <f t="shared" si="147"/>
        <v>*0.91</v>
      </c>
      <c r="P1090" s="32" t="s">
        <v>4421</v>
      </c>
      <c r="Q1090" s="42" t="s">
        <v>57</v>
      </c>
      <c r="R1090" s="32">
        <v>2035</v>
      </c>
      <c r="S1090" s="43" t="str">
        <f t="shared" si="148"/>
        <v>*0.93</v>
      </c>
      <c r="U1090" s="32" t="s">
        <v>4421</v>
      </c>
      <c r="V1090" s="42" t="s">
        <v>57</v>
      </c>
      <c r="W1090" s="32">
        <v>2050</v>
      </c>
      <c r="X1090" s="43" t="str">
        <f t="shared" si="149"/>
        <v>*0.9</v>
      </c>
      <c r="AC1090" s="33" t="s">
        <v>4421</v>
      </c>
      <c r="AD1090" s="44" t="s">
        <v>57</v>
      </c>
      <c r="AE1090" s="33">
        <v>2035</v>
      </c>
      <c r="AF1090" s="45" t="str">
        <f t="shared" si="150"/>
        <v>*0.9</v>
      </c>
      <c r="AG1090" s="43" t="str">
        <f t="shared" si="153"/>
        <v>REZoning_Sol-Win</v>
      </c>
      <c r="AI1090" s="33" t="s">
        <v>4421</v>
      </c>
      <c r="AJ1090" s="44" t="s">
        <v>57</v>
      </c>
      <c r="AK1090" s="33">
        <v>2050</v>
      </c>
      <c r="AL1090" s="45" t="str">
        <f t="shared" si="151"/>
        <v>*0.86</v>
      </c>
      <c r="AM1090" s="43" t="str">
        <f t="shared" si="154"/>
        <v>REZoning_Sol-Win</v>
      </c>
      <c r="AP1090" t="s">
        <v>4421</v>
      </c>
      <c r="AQ1090" t="s">
        <v>57</v>
      </c>
      <c r="AR1090">
        <f t="shared" si="152"/>
        <v>2100</v>
      </c>
      <c r="AS1090" t="s">
        <v>883</v>
      </c>
      <c r="AT1090" t="s">
        <v>58</v>
      </c>
    </row>
    <row r="1091" ht="29" spans="1:46">
      <c r="A1091" s="31" t="s">
        <v>65</v>
      </c>
      <c r="C1091" t="s">
        <v>4422</v>
      </c>
      <c r="D1091" s="5" t="s">
        <v>57</v>
      </c>
      <c r="E1091">
        <v>2035</v>
      </c>
      <c r="F1091" s="6" t="str">
        <f t="shared" si="146"/>
        <v>*0.94</v>
      </c>
      <c r="H1091" t="s">
        <v>4422</v>
      </c>
      <c r="I1091" s="5" t="s">
        <v>57</v>
      </c>
      <c r="J1091">
        <v>2050</v>
      </c>
      <c r="K1091" s="38" t="str">
        <f t="shared" si="147"/>
        <v>*0.91</v>
      </c>
      <c r="P1091" s="32" t="s">
        <v>4422</v>
      </c>
      <c r="Q1091" s="42" t="s">
        <v>57</v>
      </c>
      <c r="R1091" s="32">
        <v>2035</v>
      </c>
      <c r="S1091" s="43" t="str">
        <f t="shared" si="148"/>
        <v>*0.93</v>
      </c>
      <c r="U1091" s="32" t="s">
        <v>4422</v>
      </c>
      <c r="V1091" s="42" t="s">
        <v>57</v>
      </c>
      <c r="W1091" s="32">
        <v>2050</v>
      </c>
      <c r="X1091" s="43" t="str">
        <f t="shared" si="149"/>
        <v>*0.9</v>
      </c>
      <c r="AC1091" s="33" t="s">
        <v>4422</v>
      </c>
      <c r="AD1091" s="44" t="s">
        <v>57</v>
      </c>
      <c r="AE1091" s="33">
        <v>2035</v>
      </c>
      <c r="AF1091" s="45" t="str">
        <f t="shared" si="150"/>
        <v>*0.9</v>
      </c>
      <c r="AG1091" s="43" t="str">
        <f t="shared" si="153"/>
        <v>REZoning_Sol-Win</v>
      </c>
      <c r="AI1091" s="33" t="s">
        <v>4422</v>
      </c>
      <c r="AJ1091" s="44" t="s">
        <v>57</v>
      </c>
      <c r="AK1091" s="33">
        <v>2050</v>
      </c>
      <c r="AL1091" s="45" t="str">
        <f t="shared" si="151"/>
        <v>*0.86</v>
      </c>
      <c r="AM1091" s="43" t="str">
        <f t="shared" si="154"/>
        <v>REZoning_Sol-Win</v>
      </c>
      <c r="AP1091" t="s">
        <v>4422</v>
      </c>
      <c r="AQ1091" t="s">
        <v>57</v>
      </c>
      <c r="AR1091">
        <f t="shared" si="152"/>
        <v>2100</v>
      </c>
      <c r="AS1091" t="s">
        <v>883</v>
      </c>
      <c r="AT1091" t="s">
        <v>58</v>
      </c>
    </row>
    <row r="1092" ht="29" spans="1:46">
      <c r="A1092" s="31" t="s">
        <v>65</v>
      </c>
      <c r="C1092" t="s">
        <v>4423</v>
      </c>
      <c r="D1092" s="5" t="s">
        <v>57</v>
      </c>
      <c r="E1092">
        <v>2035</v>
      </c>
      <c r="F1092" s="6" t="str">
        <f t="shared" ref="F1092:F1102" si="155">"*"&amp;IF(AND(A1092="EU",E1092=2035),0.95,IF(AND(A1092="EU",E1092=2050),0.93,IF(AND(A1092="USA",E1092=2035),0.96,IF(AND(A1092="USA",E1092=2050),0.94,IF(AND(A1092="Japan",E1092=2035),0.94,IF(AND(A1092="Japan",E1092=2050),0.92,IF(AND(A1092="Russia",E1092=2035),0.95,IF(AND(A1092="Russia",E1092=2050),0.93,IF(AND(A1092="China",E1092=2035),0.94,IF(AND(A1092="China",E1092=2050),0.92,IF(AND(A1092="India",E1092=2035),0.95,IF(AND(A1092="India",E1092=2050),0.92,IF(AND(A1092="Middle East",E1092=2035),0.94,IF(AND(A1092="Middle East",E1092=2050),0.9,IF(AND(A1092="Africa",E1092=2035),0.94,IF(AND(A1092="Africa",E1092=2050),0.91,IF(AND(A1092="Brazil",E1092=2035),0.95,IF(AND(A1092="Brazil",E1092=2050),0.92,""))))))))))))))))))</f>
        <v>*0.94</v>
      </c>
      <c r="H1092" t="s">
        <v>4423</v>
      </c>
      <c r="I1092" s="5" t="s">
        <v>57</v>
      </c>
      <c r="J1092">
        <v>2050</v>
      </c>
      <c r="K1092" s="38" t="str">
        <f t="shared" ref="K1092:K1102" si="156">"*"&amp;IF(AND(A1092="EU",J1092=2035),0.95,IF(AND(A1092="EU",J1092=2050),0.93,IF(AND(A1092="USA",J1092=2035),0.96,IF(AND(A1092="USA",J1092=2050),0.94,IF(AND(A1092="Japan",J1092=2035),0.94,IF(AND(A1092="Japan",J1092=2050),0.92,IF(AND(A1092="Russia",J1092=2035),0.95,IF(AND(A1092="Russia",J1092=2050),0.93,IF(AND(A1092="China",J1092=2035),0.94,IF(AND(A1092="China",J1092=2050),0.92,IF(AND(A1092="India",J1092=2035),0.95,IF(AND(A1092="India",J1092=2050),0.92,IF(AND(A1092="Middle East",J1092=2035),0.94,IF(AND(A1092="Middle East",J1092=2050),0.9,IF(AND(A1092="Africa",J1092=2035),0.94,IF(AND(A1092="Africa",J1092=2050),0.91,IF(AND(A1092="Brazil",J1092=2035),0.95,IF(AND(A1092="Brazil",J1092=2050),0.92,""))))))))))))))))))</f>
        <v>*0.91</v>
      </c>
      <c r="P1092" s="32" t="s">
        <v>4423</v>
      </c>
      <c r="Q1092" s="42" t="s">
        <v>57</v>
      </c>
      <c r="R1092" s="32">
        <v>2035</v>
      </c>
      <c r="S1092" s="43" t="str">
        <f t="shared" ref="S1092:S1102" si="157">"*"&amp;IF(AND(A1092="EU",R1092=2035),0.95,IF(AND(A1092="EU",R1092=2050),0.93,IF(AND(A1092="USA",R1092=2035),0.96,IF(AND(A1092="USA",R1092=2050),0.93,IF(AND(A1092="Japan",R1092=2035),0.94,IF(AND(A1092="Japan",R1092=2050),0.92,IF(AND(A1092="Russia",R1092=2035),0.95,IF(AND(A1092="Russia",R1092=2050),0.91,IF(AND(A1092="China",R1092=2035),0.93,IF(AND(A1092="China",R1092=2050),0.92,IF(AND(A1092="India",R1092=2035),0.94,IF(AND(A1092="India",R1092=2050),0.91,IF(AND(A1092="Middle East",R1092=2035),0.92,IF(AND(A1092="Middle East",R1092=2050),0.89,IF(AND(A1092="Africa",R1092=2035),0.93,IF(AND(A1092="Africa",R1092=2050),0.9,IF(AND(A1092="Brazil",R1092=2035),0.95,IF(AND(A1092="Brazil",R1092=2050),0.92,""))))))))))))))))))</f>
        <v>*0.93</v>
      </c>
      <c r="U1092" s="32" t="s">
        <v>4423</v>
      </c>
      <c r="V1092" s="42" t="s">
        <v>57</v>
      </c>
      <c r="W1092" s="32">
        <v>2050</v>
      </c>
      <c r="X1092" s="43" t="str">
        <f t="shared" ref="X1092:X1102" si="158">"*"&amp;IF(AND(A1092="EU",W1092=2035),0.95,IF(AND(A1092="EU",W1092=2050),0.93,IF(AND(A1092="USA",W1092=2035),0.96,IF(AND(A1092="USA",W1092=2050),0.93,IF(AND(A1092="Japan",W1092=2035),0.94,IF(AND(A1092="Japan",W1092=2050),0.92,IF(AND(A1092="Russia",W1092=2035),0.95,IF(AND(A1092="Russia",W1092=2050),0.91,IF(AND(A1092="China",W1092=2035),0.93,IF(AND(A1092="China",W1092=2050),0.92,IF(AND(A1092="India",W1092=2035),0.94,IF(AND(A1092="India",W1092=2050),0.91,IF(AND(A1092="Middle East",W1092=2035),0.92,IF(AND(A1092="Middle East",W1092=2050),0.89,IF(AND(A1092="Africa",W1092=2035),0.93,IF(AND(A1092="Africa",W1092=2050),0.9,IF(AND(A1092="Brazil",W1092=2035),0.95,IF(AND(A1092="Brazil",W1092=2050),0.92,""))))))))))))))))))</f>
        <v>*0.9</v>
      </c>
      <c r="AC1092" s="33" t="s">
        <v>4423</v>
      </c>
      <c r="AD1092" s="44" t="s">
        <v>57</v>
      </c>
      <c r="AE1092" s="33">
        <v>2035</v>
      </c>
      <c r="AF1092" s="45" t="str">
        <f t="shared" ref="AF1092:AF1102" si="159">"*"&amp;IF(AND(A1092="EU",AE1092=2035),0.93,IF(AND(A1092="EU",AE1092=2050),0.9,IF(AND(A1092="USA",AE1092=2035),0.92,IF(AND(A1092="USA",AE1092=2050),0.89,IF(AND(A1092="Japan",AE1092=2035),0.92,IF(AND(A1092="Japan",AE1092=2050),0.89,IF(AND(A1092="Russia",AE1092=2035),0.91,IF(AND(A1092="Russia",AE1092=2050),0.86,IF(AND(A1092="China",AE1092=2035),0.91,IF(AND(A1092="China",AE1092=2050),0.87,IF(AND(A1092="India",AE1092=2035),0.92,IF(AND(A1092="India",AE1092=2050),0.87,IF(AND(A1092="Middle East",AE1092=2035),0.89,IF(AND(A1092="Middle East",AE1092=2050),0.84,IF(AND(A1092="Africa",AE1092=2035),0.9,IF(AND(A1092="Africa",AE1092=2050),0.86,IF(AND(A1092="Brazil",AE1092=2035),0.93,IF(AND(A1092="Brazil",AE1092=2050),0.89,""))))))))))))))))))</f>
        <v>*0.9</v>
      </c>
      <c r="AG1092" s="43" t="str">
        <f t="shared" si="153"/>
        <v>REZoning_Sol-Win</v>
      </c>
      <c r="AI1092" s="33" t="s">
        <v>4423</v>
      </c>
      <c r="AJ1092" s="44" t="s">
        <v>57</v>
      </c>
      <c r="AK1092" s="33">
        <v>2050</v>
      </c>
      <c r="AL1092" s="45" t="str">
        <f t="shared" ref="AL1092:AL1102" si="160">"*"&amp;IF(AND(A1092="EU",AK1092=2035),0.93,IF(AND(A1092="EU",AK1092=2050),0.9,IF(AND(A1092="USA",AK1092=2035),0.92,IF(AND(A1092="USA",AK1092=2050),0.89,IF(AND(A1092="Japan",AK1092=2035),0.92,IF(AND(A1092="Japan",AK1092=2050),0.89,IF(AND(A1092="Russia",AK1092=2035),0.91,IF(AND(A1092="Russia",AK1092=2050),0.86,IF(AND(A1092="China",AK1092=2035),0.91,IF(AND(A1092="China",AK1092=2050),0.87,IF(AND(A1092="India",AK1092=2035),0.92,IF(AND(A1092="India",AK1092=2050),0.87,IF(AND(A1092="Middle East",AK1092=2035),0.89,IF(AND(A1092="Middle East",AK1092=2050),0.84,IF(AND(A1092="Africa",AK1092=2035),0.9,IF(AND(A1092="Africa",AK1092=2050),0.86,IF(AND(A1092="Brazil",AK1092=2035),0.93,IF(AND(A1092="Brazil",AK1092=2050),0.89,""))))))))))))))))))</f>
        <v>*0.86</v>
      </c>
      <c r="AM1092" s="43" t="str">
        <f t="shared" si="154"/>
        <v>REZoning_Sol-Win</v>
      </c>
      <c r="AP1092" t="s">
        <v>4423</v>
      </c>
      <c r="AQ1092" t="s">
        <v>57</v>
      </c>
      <c r="AR1092">
        <f t="shared" si="152"/>
        <v>2100</v>
      </c>
      <c r="AS1092" t="s">
        <v>883</v>
      </c>
      <c r="AT1092" t="s">
        <v>58</v>
      </c>
    </row>
    <row r="1093" ht="29" spans="1:46">
      <c r="A1093" s="31" t="s">
        <v>65</v>
      </c>
      <c r="C1093" t="s">
        <v>4424</v>
      </c>
      <c r="D1093" s="5" t="s">
        <v>57</v>
      </c>
      <c r="E1093">
        <v>2035</v>
      </c>
      <c r="F1093" s="6" t="str">
        <f t="shared" si="155"/>
        <v>*0.94</v>
      </c>
      <c r="H1093" t="s">
        <v>4424</v>
      </c>
      <c r="I1093" s="5" t="s">
        <v>57</v>
      </c>
      <c r="J1093">
        <v>2050</v>
      </c>
      <c r="K1093" s="38" t="str">
        <f t="shared" si="156"/>
        <v>*0.91</v>
      </c>
      <c r="P1093" s="32" t="s">
        <v>4424</v>
      </c>
      <c r="Q1093" s="42" t="s">
        <v>57</v>
      </c>
      <c r="R1093" s="32">
        <v>2035</v>
      </c>
      <c r="S1093" s="43" t="str">
        <f t="shared" si="157"/>
        <v>*0.93</v>
      </c>
      <c r="U1093" s="32" t="s">
        <v>4424</v>
      </c>
      <c r="V1093" s="42" t="s">
        <v>57</v>
      </c>
      <c r="W1093" s="32">
        <v>2050</v>
      </c>
      <c r="X1093" s="43" t="str">
        <f t="shared" si="158"/>
        <v>*0.9</v>
      </c>
      <c r="AC1093" s="33" t="s">
        <v>4424</v>
      </c>
      <c r="AD1093" s="44" t="s">
        <v>57</v>
      </c>
      <c r="AE1093" s="33">
        <v>2035</v>
      </c>
      <c r="AF1093" s="45" t="str">
        <f t="shared" si="159"/>
        <v>*0.9</v>
      </c>
      <c r="AG1093" s="43" t="str">
        <f t="shared" si="153"/>
        <v>REZoning_Sol-Win</v>
      </c>
      <c r="AI1093" s="33" t="s">
        <v>4424</v>
      </c>
      <c r="AJ1093" s="44" t="s">
        <v>57</v>
      </c>
      <c r="AK1093" s="33">
        <v>2050</v>
      </c>
      <c r="AL1093" s="45" t="str">
        <f t="shared" si="160"/>
        <v>*0.86</v>
      </c>
      <c r="AM1093" s="43" t="str">
        <f t="shared" si="154"/>
        <v>REZoning_Sol-Win</v>
      </c>
      <c r="AP1093" t="s">
        <v>4424</v>
      </c>
      <c r="AQ1093" t="s">
        <v>57</v>
      </c>
      <c r="AR1093">
        <f t="shared" si="152"/>
        <v>2100</v>
      </c>
      <c r="AS1093" t="s">
        <v>883</v>
      </c>
      <c r="AT1093" t="s">
        <v>58</v>
      </c>
    </row>
    <row r="1094" ht="29" spans="1:46">
      <c r="A1094" s="31" t="s">
        <v>65</v>
      </c>
      <c r="C1094" t="s">
        <v>4425</v>
      </c>
      <c r="D1094" s="5" t="s">
        <v>57</v>
      </c>
      <c r="E1094">
        <v>2035</v>
      </c>
      <c r="F1094" s="6" t="str">
        <f t="shared" si="155"/>
        <v>*0.94</v>
      </c>
      <c r="H1094" t="s">
        <v>4425</v>
      </c>
      <c r="I1094" s="5" t="s">
        <v>57</v>
      </c>
      <c r="J1094">
        <v>2050</v>
      </c>
      <c r="K1094" s="38" t="str">
        <f t="shared" si="156"/>
        <v>*0.91</v>
      </c>
      <c r="P1094" s="32" t="s">
        <v>4425</v>
      </c>
      <c r="Q1094" s="42" t="s">
        <v>57</v>
      </c>
      <c r="R1094" s="32">
        <v>2035</v>
      </c>
      <c r="S1094" s="43" t="str">
        <f t="shared" si="157"/>
        <v>*0.93</v>
      </c>
      <c r="U1094" s="32" t="s">
        <v>4425</v>
      </c>
      <c r="V1094" s="42" t="s">
        <v>57</v>
      </c>
      <c r="W1094" s="32">
        <v>2050</v>
      </c>
      <c r="X1094" s="43" t="str">
        <f t="shared" si="158"/>
        <v>*0.9</v>
      </c>
      <c r="AC1094" s="33" t="s">
        <v>4425</v>
      </c>
      <c r="AD1094" s="44" t="s">
        <v>57</v>
      </c>
      <c r="AE1094" s="33">
        <v>2035</v>
      </c>
      <c r="AF1094" s="45" t="str">
        <f t="shared" si="159"/>
        <v>*0.9</v>
      </c>
      <c r="AG1094" s="43" t="str">
        <f t="shared" si="153"/>
        <v>REZoning_Sol-Win</v>
      </c>
      <c r="AI1094" s="33" t="s">
        <v>4425</v>
      </c>
      <c r="AJ1094" s="44" t="s">
        <v>57</v>
      </c>
      <c r="AK1094" s="33">
        <v>2050</v>
      </c>
      <c r="AL1094" s="45" t="str">
        <f t="shared" si="160"/>
        <v>*0.86</v>
      </c>
      <c r="AM1094" s="43" t="str">
        <f t="shared" si="154"/>
        <v>REZoning_Sol-Win</v>
      </c>
      <c r="AP1094" t="s">
        <v>4425</v>
      </c>
      <c r="AQ1094" t="s">
        <v>57</v>
      </c>
      <c r="AR1094">
        <f t="shared" ref="AR1094:AR1102" si="161">AR1093</f>
        <v>2100</v>
      </c>
      <c r="AS1094" t="s">
        <v>883</v>
      </c>
      <c r="AT1094" t="s">
        <v>58</v>
      </c>
    </row>
    <row r="1095" ht="29" spans="1:46">
      <c r="A1095" s="31" t="s">
        <v>65</v>
      </c>
      <c r="C1095" t="s">
        <v>4426</v>
      </c>
      <c r="D1095" s="5" t="s">
        <v>57</v>
      </c>
      <c r="E1095">
        <v>2035</v>
      </c>
      <c r="F1095" s="6" t="str">
        <f t="shared" si="155"/>
        <v>*0.94</v>
      </c>
      <c r="H1095" t="s">
        <v>4426</v>
      </c>
      <c r="I1095" s="5" t="s">
        <v>57</v>
      </c>
      <c r="J1095">
        <v>2050</v>
      </c>
      <c r="K1095" s="38" t="str">
        <f t="shared" si="156"/>
        <v>*0.91</v>
      </c>
      <c r="P1095" s="32" t="s">
        <v>4426</v>
      </c>
      <c r="Q1095" s="42" t="s">
        <v>57</v>
      </c>
      <c r="R1095" s="32">
        <v>2035</v>
      </c>
      <c r="S1095" s="43" t="str">
        <f t="shared" si="157"/>
        <v>*0.93</v>
      </c>
      <c r="U1095" s="32" t="s">
        <v>4426</v>
      </c>
      <c r="V1095" s="42" t="s">
        <v>57</v>
      </c>
      <c r="W1095" s="32">
        <v>2050</v>
      </c>
      <c r="X1095" s="43" t="str">
        <f t="shared" si="158"/>
        <v>*0.9</v>
      </c>
      <c r="AC1095" s="33" t="s">
        <v>4426</v>
      </c>
      <c r="AD1095" s="44" t="s">
        <v>57</v>
      </c>
      <c r="AE1095" s="33">
        <v>2035</v>
      </c>
      <c r="AF1095" s="45" t="str">
        <f t="shared" si="159"/>
        <v>*0.9</v>
      </c>
      <c r="AG1095" s="43" t="str">
        <f t="shared" si="153"/>
        <v>REZoning_Sol-Win</v>
      </c>
      <c r="AI1095" s="33" t="s">
        <v>4426</v>
      </c>
      <c r="AJ1095" s="44" t="s">
        <v>57</v>
      </c>
      <c r="AK1095" s="33">
        <v>2050</v>
      </c>
      <c r="AL1095" s="45" t="str">
        <f t="shared" si="160"/>
        <v>*0.86</v>
      </c>
      <c r="AM1095" s="43" t="str">
        <f t="shared" si="154"/>
        <v>REZoning_Sol-Win</v>
      </c>
      <c r="AP1095" t="s">
        <v>4426</v>
      </c>
      <c r="AQ1095" t="s">
        <v>57</v>
      </c>
      <c r="AR1095">
        <f t="shared" si="161"/>
        <v>2100</v>
      </c>
      <c r="AS1095" t="s">
        <v>883</v>
      </c>
      <c r="AT1095" t="s">
        <v>58</v>
      </c>
    </row>
    <row r="1096" ht="29" spans="1:46">
      <c r="A1096" s="31" t="s">
        <v>65</v>
      </c>
      <c r="C1096" t="s">
        <v>4427</v>
      </c>
      <c r="D1096" s="5" t="s">
        <v>57</v>
      </c>
      <c r="E1096">
        <v>2035</v>
      </c>
      <c r="F1096" s="6" t="str">
        <f t="shared" si="155"/>
        <v>*0.94</v>
      </c>
      <c r="H1096" t="s">
        <v>4427</v>
      </c>
      <c r="I1096" s="5" t="s">
        <v>57</v>
      </c>
      <c r="J1096">
        <v>2050</v>
      </c>
      <c r="K1096" s="38" t="str">
        <f t="shared" si="156"/>
        <v>*0.91</v>
      </c>
      <c r="P1096" s="32" t="s">
        <v>4427</v>
      </c>
      <c r="Q1096" s="42" t="s">
        <v>57</v>
      </c>
      <c r="R1096" s="32">
        <v>2035</v>
      </c>
      <c r="S1096" s="43" t="str">
        <f t="shared" si="157"/>
        <v>*0.93</v>
      </c>
      <c r="U1096" s="32" t="s">
        <v>4427</v>
      </c>
      <c r="V1096" s="42" t="s">
        <v>57</v>
      </c>
      <c r="W1096" s="32">
        <v>2050</v>
      </c>
      <c r="X1096" s="43" t="str">
        <f t="shared" si="158"/>
        <v>*0.9</v>
      </c>
      <c r="AC1096" s="33" t="s">
        <v>4427</v>
      </c>
      <c r="AD1096" s="44" t="s">
        <v>57</v>
      </c>
      <c r="AE1096" s="33">
        <v>2035</v>
      </c>
      <c r="AF1096" s="45" t="str">
        <f t="shared" si="159"/>
        <v>*0.9</v>
      </c>
      <c r="AG1096" s="43" t="str">
        <f t="shared" si="153"/>
        <v>REZoning_Sol-Win</v>
      </c>
      <c r="AI1096" s="33" t="s">
        <v>4427</v>
      </c>
      <c r="AJ1096" s="44" t="s">
        <v>57</v>
      </c>
      <c r="AK1096" s="33">
        <v>2050</v>
      </c>
      <c r="AL1096" s="45" t="str">
        <f t="shared" si="160"/>
        <v>*0.86</v>
      </c>
      <c r="AM1096" s="43" t="str">
        <f t="shared" si="154"/>
        <v>REZoning_Sol-Win</v>
      </c>
      <c r="AP1096" t="s">
        <v>4427</v>
      </c>
      <c r="AQ1096" t="s">
        <v>57</v>
      </c>
      <c r="AR1096">
        <f t="shared" si="161"/>
        <v>2100</v>
      </c>
      <c r="AS1096" t="s">
        <v>883</v>
      </c>
      <c r="AT1096" t="s">
        <v>58</v>
      </c>
    </row>
    <row r="1097" ht="29" spans="1:46">
      <c r="A1097" s="31" t="s">
        <v>65</v>
      </c>
      <c r="C1097" t="s">
        <v>4428</v>
      </c>
      <c r="D1097" s="5" t="s">
        <v>57</v>
      </c>
      <c r="E1097">
        <v>2035</v>
      </c>
      <c r="F1097" s="6" t="str">
        <f t="shared" si="155"/>
        <v>*0.94</v>
      </c>
      <c r="H1097" t="s">
        <v>4428</v>
      </c>
      <c r="I1097" s="5" t="s">
        <v>57</v>
      </c>
      <c r="J1097">
        <v>2050</v>
      </c>
      <c r="K1097" s="38" t="str">
        <f t="shared" si="156"/>
        <v>*0.91</v>
      </c>
      <c r="P1097" s="32" t="s">
        <v>4428</v>
      </c>
      <c r="Q1097" s="42" t="s">
        <v>57</v>
      </c>
      <c r="R1097" s="32">
        <v>2035</v>
      </c>
      <c r="S1097" s="43" t="str">
        <f t="shared" si="157"/>
        <v>*0.93</v>
      </c>
      <c r="U1097" s="32" t="s">
        <v>4428</v>
      </c>
      <c r="V1097" s="42" t="s">
        <v>57</v>
      </c>
      <c r="W1097" s="32">
        <v>2050</v>
      </c>
      <c r="X1097" s="43" t="str">
        <f t="shared" si="158"/>
        <v>*0.9</v>
      </c>
      <c r="AC1097" s="33" t="s">
        <v>4428</v>
      </c>
      <c r="AD1097" s="44" t="s">
        <v>57</v>
      </c>
      <c r="AE1097" s="33">
        <v>2035</v>
      </c>
      <c r="AF1097" s="45" t="str">
        <f t="shared" si="159"/>
        <v>*0.9</v>
      </c>
      <c r="AG1097" s="43" t="str">
        <f t="shared" ref="AG1097:AG1102" si="162">AG1096</f>
        <v>REZoning_Sol-Win</v>
      </c>
      <c r="AI1097" s="33" t="s">
        <v>4428</v>
      </c>
      <c r="AJ1097" s="44" t="s">
        <v>57</v>
      </c>
      <c r="AK1097" s="33">
        <v>2050</v>
      </c>
      <c r="AL1097" s="45" t="str">
        <f t="shared" si="160"/>
        <v>*0.86</v>
      </c>
      <c r="AM1097" s="43" t="str">
        <f t="shared" ref="AM1097:AM1102" si="163">AM1096</f>
        <v>REZoning_Sol-Win</v>
      </c>
      <c r="AP1097" t="s">
        <v>4428</v>
      </c>
      <c r="AQ1097" t="s">
        <v>57</v>
      </c>
      <c r="AR1097">
        <f t="shared" si="161"/>
        <v>2100</v>
      </c>
      <c r="AS1097" t="s">
        <v>883</v>
      </c>
      <c r="AT1097" t="s">
        <v>58</v>
      </c>
    </row>
    <row r="1098" ht="29" spans="1:46">
      <c r="A1098" s="31" t="s">
        <v>65</v>
      </c>
      <c r="C1098" t="s">
        <v>4429</v>
      </c>
      <c r="D1098" s="5" t="s">
        <v>57</v>
      </c>
      <c r="E1098">
        <v>2035</v>
      </c>
      <c r="F1098" s="6" t="str">
        <f t="shared" si="155"/>
        <v>*0.94</v>
      </c>
      <c r="H1098" t="s">
        <v>4429</v>
      </c>
      <c r="I1098" s="5" t="s">
        <v>57</v>
      </c>
      <c r="J1098">
        <v>2050</v>
      </c>
      <c r="K1098" s="38" t="str">
        <f t="shared" si="156"/>
        <v>*0.91</v>
      </c>
      <c r="P1098" s="32" t="s">
        <v>4429</v>
      </c>
      <c r="Q1098" s="42" t="s">
        <v>57</v>
      </c>
      <c r="R1098" s="32">
        <v>2035</v>
      </c>
      <c r="S1098" s="43" t="str">
        <f t="shared" si="157"/>
        <v>*0.93</v>
      </c>
      <c r="U1098" s="32" t="s">
        <v>4429</v>
      </c>
      <c r="V1098" s="42" t="s">
        <v>57</v>
      </c>
      <c r="W1098" s="32">
        <v>2050</v>
      </c>
      <c r="X1098" s="43" t="str">
        <f t="shared" si="158"/>
        <v>*0.9</v>
      </c>
      <c r="AC1098" s="33" t="s">
        <v>4429</v>
      </c>
      <c r="AD1098" s="44" t="s">
        <v>57</v>
      </c>
      <c r="AE1098" s="33">
        <v>2035</v>
      </c>
      <c r="AF1098" s="45" t="str">
        <f t="shared" si="159"/>
        <v>*0.9</v>
      </c>
      <c r="AG1098" s="43" t="str">
        <f t="shared" si="162"/>
        <v>REZoning_Sol-Win</v>
      </c>
      <c r="AI1098" s="33" t="s">
        <v>4429</v>
      </c>
      <c r="AJ1098" s="44" t="s">
        <v>57</v>
      </c>
      <c r="AK1098" s="33">
        <v>2050</v>
      </c>
      <c r="AL1098" s="45" t="str">
        <f t="shared" si="160"/>
        <v>*0.86</v>
      </c>
      <c r="AM1098" s="43" t="str">
        <f t="shared" si="163"/>
        <v>REZoning_Sol-Win</v>
      </c>
      <c r="AP1098" t="s">
        <v>4429</v>
      </c>
      <c r="AQ1098" t="s">
        <v>57</v>
      </c>
      <c r="AR1098">
        <f t="shared" si="161"/>
        <v>2100</v>
      </c>
      <c r="AS1098" t="s">
        <v>883</v>
      </c>
      <c r="AT1098" t="s">
        <v>58</v>
      </c>
    </row>
    <row r="1099" ht="29" spans="1:46">
      <c r="A1099" s="31" t="s">
        <v>65</v>
      </c>
      <c r="C1099" t="s">
        <v>4430</v>
      </c>
      <c r="D1099" s="5" t="s">
        <v>57</v>
      </c>
      <c r="E1099">
        <v>2035</v>
      </c>
      <c r="F1099" s="6" t="str">
        <f t="shared" si="155"/>
        <v>*0.94</v>
      </c>
      <c r="H1099" t="s">
        <v>4430</v>
      </c>
      <c r="I1099" s="5" t="s">
        <v>57</v>
      </c>
      <c r="J1099">
        <v>2050</v>
      </c>
      <c r="K1099" s="38" t="str">
        <f t="shared" si="156"/>
        <v>*0.91</v>
      </c>
      <c r="P1099" s="32" t="s">
        <v>4430</v>
      </c>
      <c r="Q1099" s="42" t="s">
        <v>57</v>
      </c>
      <c r="R1099" s="32">
        <v>2035</v>
      </c>
      <c r="S1099" s="43" t="str">
        <f t="shared" si="157"/>
        <v>*0.93</v>
      </c>
      <c r="U1099" s="32" t="s">
        <v>4430</v>
      </c>
      <c r="V1099" s="42" t="s">
        <v>57</v>
      </c>
      <c r="W1099" s="32">
        <v>2050</v>
      </c>
      <c r="X1099" s="43" t="str">
        <f t="shared" si="158"/>
        <v>*0.9</v>
      </c>
      <c r="AC1099" s="33" t="s">
        <v>4430</v>
      </c>
      <c r="AD1099" s="44" t="s">
        <v>57</v>
      </c>
      <c r="AE1099" s="33">
        <v>2035</v>
      </c>
      <c r="AF1099" s="45" t="str">
        <f t="shared" si="159"/>
        <v>*0.9</v>
      </c>
      <c r="AG1099" s="43" t="str">
        <f t="shared" si="162"/>
        <v>REZoning_Sol-Win</v>
      </c>
      <c r="AI1099" s="33" t="s">
        <v>4430</v>
      </c>
      <c r="AJ1099" s="44" t="s">
        <v>57</v>
      </c>
      <c r="AK1099" s="33">
        <v>2050</v>
      </c>
      <c r="AL1099" s="45" t="str">
        <f t="shared" si="160"/>
        <v>*0.86</v>
      </c>
      <c r="AM1099" s="43" t="str">
        <f t="shared" si="163"/>
        <v>REZoning_Sol-Win</v>
      </c>
      <c r="AP1099" t="s">
        <v>4430</v>
      </c>
      <c r="AQ1099" t="s">
        <v>57</v>
      </c>
      <c r="AR1099">
        <f t="shared" si="161"/>
        <v>2100</v>
      </c>
      <c r="AS1099" t="s">
        <v>883</v>
      </c>
      <c r="AT1099" t="s">
        <v>58</v>
      </c>
    </row>
    <row r="1100" ht="29" spans="1:46">
      <c r="A1100" s="31" t="s">
        <v>65</v>
      </c>
      <c r="C1100" t="s">
        <v>4431</v>
      </c>
      <c r="D1100" s="5" t="s">
        <v>57</v>
      </c>
      <c r="E1100">
        <v>2035</v>
      </c>
      <c r="F1100" s="6" t="str">
        <f t="shared" si="155"/>
        <v>*0.94</v>
      </c>
      <c r="H1100" t="s">
        <v>4431</v>
      </c>
      <c r="I1100" s="5" t="s">
        <v>57</v>
      </c>
      <c r="J1100">
        <v>2050</v>
      </c>
      <c r="K1100" s="38" t="str">
        <f t="shared" si="156"/>
        <v>*0.91</v>
      </c>
      <c r="P1100" s="32" t="s">
        <v>4431</v>
      </c>
      <c r="Q1100" s="42" t="s">
        <v>57</v>
      </c>
      <c r="R1100" s="32">
        <v>2035</v>
      </c>
      <c r="S1100" s="43" t="str">
        <f t="shared" si="157"/>
        <v>*0.93</v>
      </c>
      <c r="U1100" s="32" t="s">
        <v>4431</v>
      </c>
      <c r="V1100" s="42" t="s">
        <v>57</v>
      </c>
      <c r="W1100" s="32">
        <v>2050</v>
      </c>
      <c r="X1100" s="43" t="str">
        <f t="shared" si="158"/>
        <v>*0.9</v>
      </c>
      <c r="AC1100" s="33" t="s">
        <v>4431</v>
      </c>
      <c r="AD1100" s="44" t="s">
        <v>57</v>
      </c>
      <c r="AE1100" s="33">
        <v>2035</v>
      </c>
      <c r="AF1100" s="45" t="str">
        <f t="shared" si="159"/>
        <v>*0.9</v>
      </c>
      <c r="AG1100" s="43" t="str">
        <f t="shared" si="162"/>
        <v>REZoning_Sol-Win</v>
      </c>
      <c r="AI1100" s="33" t="s">
        <v>4431</v>
      </c>
      <c r="AJ1100" s="44" t="s">
        <v>57</v>
      </c>
      <c r="AK1100" s="33">
        <v>2050</v>
      </c>
      <c r="AL1100" s="45" t="str">
        <f t="shared" si="160"/>
        <v>*0.86</v>
      </c>
      <c r="AM1100" s="43" t="str">
        <f t="shared" si="163"/>
        <v>REZoning_Sol-Win</v>
      </c>
      <c r="AP1100" t="s">
        <v>4431</v>
      </c>
      <c r="AQ1100" t="s">
        <v>57</v>
      </c>
      <c r="AR1100">
        <f t="shared" si="161"/>
        <v>2100</v>
      </c>
      <c r="AS1100" t="s">
        <v>883</v>
      </c>
      <c r="AT1100" t="s">
        <v>58</v>
      </c>
    </row>
    <row r="1101" ht="29" spans="1:46">
      <c r="A1101" s="31" t="s">
        <v>65</v>
      </c>
      <c r="C1101" t="s">
        <v>4432</v>
      </c>
      <c r="D1101" s="5" t="s">
        <v>57</v>
      </c>
      <c r="E1101">
        <v>2035</v>
      </c>
      <c r="F1101" s="6" t="str">
        <f t="shared" si="155"/>
        <v>*0.94</v>
      </c>
      <c r="H1101" t="s">
        <v>4432</v>
      </c>
      <c r="I1101" s="5" t="s">
        <v>57</v>
      </c>
      <c r="J1101">
        <v>2050</v>
      </c>
      <c r="K1101" s="38" t="str">
        <f t="shared" si="156"/>
        <v>*0.91</v>
      </c>
      <c r="P1101" s="32" t="s">
        <v>4432</v>
      </c>
      <c r="Q1101" s="42" t="s">
        <v>57</v>
      </c>
      <c r="R1101" s="32">
        <v>2035</v>
      </c>
      <c r="S1101" s="43" t="str">
        <f t="shared" si="157"/>
        <v>*0.93</v>
      </c>
      <c r="U1101" s="32" t="s">
        <v>4432</v>
      </c>
      <c r="V1101" s="42" t="s">
        <v>57</v>
      </c>
      <c r="W1101" s="32">
        <v>2050</v>
      </c>
      <c r="X1101" s="43" t="str">
        <f t="shared" si="158"/>
        <v>*0.9</v>
      </c>
      <c r="AC1101" s="33" t="s">
        <v>4432</v>
      </c>
      <c r="AD1101" s="44" t="s">
        <v>57</v>
      </c>
      <c r="AE1101" s="33">
        <v>2035</v>
      </c>
      <c r="AF1101" s="45" t="str">
        <f t="shared" si="159"/>
        <v>*0.9</v>
      </c>
      <c r="AG1101" s="43" t="str">
        <f t="shared" si="162"/>
        <v>REZoning_Sol-Win</v>
      </c>
      <c r="AI1101" s="33" t="s">
        <v>4432</v>
      </c>
      <c r="AJ1101" s="44" t="s">
        <v>57</v>
      </c>
      <c r="AK1101" s="33">
        <v>2050</v>
      </c>
      <c r="AL1101" s="45" t="str">
        <f t="shared" si="160"/>
        <v>*0.86</v>
      </c>
      <c r="AM1101" s="43" t="str">
        <f t="shared" si="163"/>
        <v>REZoning_Sol-Win</v>
      </c>
      <c r="AP1101" t="s">
        <v>4432</v>
      </c>
      <c r="AQ1101" t="s">
        <v>57</v>
      </c>
      <c r="AR1101">
        <f t="shared" si="161"/>
        <v>2100</v>
      </c>
      <c r="AS1101" t="s">
        <v>883</v>
      </c>
      <c r="AT1101" t="s">
        <v>58</v>
      </c>
    </row>
    <row r="1102" ht="29" spans="1:46">
      <c r="A1102" s="31" t="s">
        <v>65</v>
      </c>
      <c r="C1102" t="s">
        <v>4433</v>
      </c>
      <c r="D1102" s="5" t="s">
        <v>57</v>
      </c>
      <c r="E1102">
        <v>2035</v>
      </c>
      <c r="F1102" s="6" t="str">
        <f t="shared" si="155"/>
        <v>*0.94</v>
      </c>
      <c r="H1102" t="s">
        <v>4433</v>
      </c>
      <c r="I1102" s="5" t="s">
        <v>57</v>
      </c>
      <c r="J1102">
        <v>2050</v>
      </c>
      <c r="K1102" s="38" t="str">
        <f t="shared" si="156"/>
        <v>*0.91</v>
      </c>
      <c r="P1102" s="32" t="s">
        <v>4433</v>
      </c>
      <c r="Q1102" s="42" t="s">
        <v>57</v>
      </c>
      <c r="R1102" s="32">
        <v>2035</v>
      </c>
      <c r="S1102" s="43" t="str">
        <f t="shared" si="157"/>
        <v>*0.93</v>
      </c>
      <c r="U1102" s="32" t="s">
        <v>4433</v>
      </c>
      <c r="V1102" s="42" t="s">
        <v>57</v>
      </c>
      <c r="W1102" s="32">
        <v>2050</v>
      </c>
      <c r="X1102" s="43" t="str">
        <f t="shared" si="158"/>
        <v>*0.9</v>
      </c>
      <c r="AC1102" s="33" t="s">
        <v>4433</v>
      </c>
      <c r="AD1102" s="44" t="s">
        <v>57</v>
      </c>
      <c r="AE1102" s="33">
        <v>2035</v>
      </c>
      <c r="AF1102" s="45" t="str">
        <f t="shared" si="159"/>
        <v>*0.9</v>
      </c>
      <c r="AG1102" s="43" t="str">
        <f t="shared" si="162"/>
        <v>REZoning_Sol-Win</v>
      </c>
      <c r="AI1102" s="33" t="s">
        <v>4433</v>
      </c>
      <c r="AJ1102" s="44" t="s">
        <v>57</v>
      </c>
      <c r="AK1102" s="33">
        <v>2050</v>
      </c>
      <c r="AL1102" s="45" t="str">
        <f t="shared" si="160"/>
        <v>*0.86</v>
      </c>
      <c r="AM1102" s="43" t="str">
        <f t="shared" si="163"/>
        <v>REZoning_Sol-Win</v>
      </c>
      <c r="AP1102" t="s">
        <v>4433</v>
      </c>
      <c r="AQ1102" t="s">
        <v>57</v>
      </c>
      <c r="AR1102">
        <f t="shared" si="161"/>
        <v>2100</v>
      </c>
      <c r="AS1102" t="s">
        <v>883</v>
      </c>
      <c r="AT1102" t="s">
        <v>58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10"/>
  <sheetViews>
    <sheetView workbookViewId="0">
      <selection activeCell="AG6" sqref="AG6"/>
    </sheetView>
  </sheetViews>
  <sheetFormatPr defaultColWidth="9" defaultRowHeight="14.5"/>
  <sheetData>
    <row r="3" ht="17.75" spans="2:13">
      <c r="B3" s="29" t="s">
        <v>4434</v>
      </c>
    </row>
    <row r="4" ht="16" spans="2:13">
      <c r="B4" s="30" t="s">
        <v>4435</v>
      </c>
      <c r="C4" s="30" t="s">
        <v>4436</v>
      </c>
      <c r="D4" s="30" t="s">
        <v>4437</v>
      </c>
      <c r="E4" s="30" t="s">
        <v>4438</v>
      </c>
      <c r="F4" s="30" t="s">
        <v>4439</v>
      </c>
      <c r="G4" s="30" t="s">
        <v>4440</v>
      </c>
      <c r="H4" s="30" t="s">
        <v>4441</v>
      </c>
      <c r="I4" s="30" t="s">
        <v>4442</v>
      </c>
      <c r="J4" s="30" t="s">
        <v>4443</v>
      </c>
      <c r="K4" s="30" t="s">
        <v>4444</v>
      </c>
      <c r="L4" s="30" t="s">
        <v>4445</v>
      </c>
      <c r="M4" s="30" t="s">
        <v>4446</v>
      </c>
    </row>
    <row r="5" spans="2:13">
      <c r="B5" t="s">
        <v>4447</v>
      </c>
      <c r="C5" t="s">
        <v>4448</v>
      </c>
      <c r="D5">
        <v>2030</v>
      </c>
      <c r="E5">
        <v>761.8</v>
      </c>
      <c r="F5">
        <v>412.3</v>
      </c>
      <c r="G5">
        <v>385.4</v>
      </c>
      <c r="H5">
        <v>349.5</v>
      </c>
      <c r="I5">
        <v>1120.2</v>
      </c>
      <c r="J5">
        <v>976.9</v>
      </c>
      <c r="K5">
        <v>555.6</v>
      </c>
      <c r="L5">
        <v>618.4</v>
      </c>
      <c r="M5">
        <v>322.6</v>
      </c>
    </row>
    <row r="6" spans="2:13">
      <c r="B6" t="s">
        <v>4449</v>
      </c>
      <c r="C6" t="s">
        <v>4448</v>
      </c>
      <c r="D6">
        <v>2030</v>
      </c>
      <c r="E6">
        <v>1743.8</v>
      </c>
      <c r="F6">
        <v>952.9</v>
      </c>
      <c r="G6">
        <v>991</v>
      </c>
      <c r="H6">
        <v>1010.1</v>
      </c>
      <c r="I6">
        <v>3163.6</v>
      </c>
      <c r="J6">
        <v>1477</v>
      </c>
      <c r="K6">
        <v>1591.3</v>
      </c>
      <c r="L6">
        <v>1105.4</v>
      </c>
      <c r="M6">
        <v>1743.8</v>
      </c>
    </row>
    <row r="7" spans="2:13">
      <c r="B7" t="s">
        <v>4450</v>
      </c>
      <c r="C7" t="s">
        <v>4448</v>
      </c>
      <c r="D7">
        <v>2030</v>
      </c>
      <c r="E7">
        <v>2101.8</v>
      </c>
      <c r="F7">
        <v>2189.4</v>
      </c>
      <c r="G7">
        <v>1372</v>
      </c>
      <c r="H7">
        <v>1503.4</v>
      </c>
      <c r="I7">
        <v>3050.6</v>
      </c>
      <c r="J7">
        <v>2277</v>
      </c>
      <c r="K7">
        <v>1663.9</v>
      </c>
      <c r="L7">
        <v>1839.1</v>
      </c>
      <c r="M7">
        <v>2189.4</v>
      </c>
    </row>
    <row r="8" spans="2:13">
      <c r="B8" t="s">
        <v>4447</v>
      </c>
      <c r="C8" t="s">
        <v>4448</v>
      </c>
      <c r="D8">
        <v>2050</v>
      </c>
      <c r="E8">
        <v>477.8</v>
      </c>
      <c r="F8">
        <v>271.9</v>
      </c>
      <c r="G8">
        <v>247.1</v>
      </c>
      <c r="H8">
        <v>222.4</v>
      </c>
      <c r="I8">
        <v>774.4</v>
      </c>
      <c r="J8">
        <v>634.3</v>
      </c>
      <c r="K8">
        <v>370.7</v>
      </c>
      <c r="L8">
        <v>395.4</v>
      </c>
      <c r="M8">
        <v>206</v>
      </c>
    </row>
    <row r="9" spans="2:13">
      <c r="B9" t="s">
        <v>4449</v>
      </c>
      <c r="C9" t="s">
        <v>4448</v>
      </c>
      <c r="D9">
        <v>2050</v>
      </c>
      <c r="E9">
        <v>1576.6</v>
      </c>
      <c r="F9">
        <v>860.8</v>
      </c>
      <c r="G9">
        <v>906.1</v>
      </c>
      <c r="H9">
        <v>915.2</v>
      </c>
      <c r="I9">
        <v>2872.3</v>
      </c>
      <c r="J9">
        <v>1332</v>
      </c>
      <c r="K9">
        <v>1458.8</v>
      </c>
      <c r="L9">
        <v>1005.8</v>
      </c>
      <c r="M9">
        <v>1549.4</v>
      </c>
    </row>
    <row r="10" spans="2:13">
      <c r="B10" t="s">
        <v>4450</v>
      </c>
      <c r="C10" t="s">
        <v>4448</v>
      </c>
      <c r="D10">
        <v>2050</v>
      </c>
      <c r="E10">
        <v>1724.5</v>
      </c>
      <c r="F10">
        <v>1790.9</v>
      </c>
      <c r="G10">
        <v>1177.3</v>
      </c>
      <c r="H10">
        <v>1243.6</v>
      </c>
      <c r="I10">
        <v>2620</v>
      </c>
      <c r="J10">
        <v>1890.3</v>
      </c>
      <c r="K10">
        <v>1442.6</v>
      </c>
      <c r="L10">
        <v>1575.3</v>
      </c>
      <c r="M10">
        <v>1807.4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91"/>
  <sheetViews>
    <sheetView zoomScale="38" zoomScaleNormal="38" workbookViewId="0">
      <selection activeCell="AG6" sqref="AG6"/>
    </sheetView>
  </sheetViews>
  <sheetFormatPr defaultColWidth="8.72727272727273" defaultRowHeight="14.5"/>
  <cols>
    <col min="4" max="4" width="14.9272727272727" customWidth="1"/>
    <col min="7" max="7" width="12.0636363636364" customWidth="1"/>
    <col min="11" max="11" width="12.7272727272727" customWidth="1"/>
  </cols>
  <sheetData>
    <row r="4" spans="2:12">
      <c r="B4" s="17" t="s">
        <v>1</v>
      </c>
    </row>
    <row r="5" spans="2:12">
      <c r="B5" t="s">
        <v>2</v>
      </c>
    </row>
    <row r="7" spans="2:12">
      <c r="J7" t="s">
        <v>3</v>
      </c>
    </row>
    <row r="10" ht="16" spans="2:12"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  <c r="J10" t="s">
        <v>13</v>
      </c>
      <c r="K10" s="27" t="s">
        <v>4451</v>
      </c>
      <c r="L10" t="s">
        <v>15</v>
      </c>
    </row>
    <row r="11" spans="2:12">
      <c r="B11" t="s">
        <v>4452</v>
      </c>
      <c r="D11" t="s">
        <v>4453</v>
      </c>
      <c r="I11">
        <v>2020</v>
      </c>
      <c r="J11" t="s">
        <v>21</v>
      </c>
      <c r="K11">
        <v>1</v>
      </c>
      <c r="L11" s="28">
        <v>500</v>
      </c>
    </row>
    <row r="12" spans="2:12">
      <c r="D12" t="s">
        <v>4453</v>
      </c>
      <c r="I12">
        <v>2021</v>
      </c>
      <c r="J12" t="s">
        <v>21</v>
      </c>
      <c r="K12">
        <v>1</v>
      </c>
      <c r="L12" s="28">
        <v>500</v>
      </c>
    </row>
    <row r="13" spans="2:12">
      <c r="D13" t="s">
        <v>4453</v>
      </c>
      <c r="I13">
        <v>2022</v>
      </c>
      <c r="J13" t="s">
        <v>21</v>
      </c>
      <c r="K13">
        <v>1</v>
      </c>
      <c r="L13" s="28">
        <v>500</v>
      </c>
    </row>
    <row r="14" spans="2:12">
      <c r="D14" t="s">
        <v>4453</v>
      </c>
      <c r="I14">
        <v>2023</v>
      </c>
      <c r="J14" t="s">
        <v>21</v>
      </c>
      <c r="K14">
        <v>1</v>
      </c>
      <c r="L14" s="28">
        <v>500</v>
      </c>
    </row>
    <row r="15" spans="2:12">
      <c r="D15" t="s">
        <v>4453</v>
      </c>
      <c r="I15">
        <v>2024</v>
      </c>
      <c r="J15" t="s">
        <v>21</v>
      </c>
      <c r="K15">
        <v>1</v>
      </c>
      <c r="L15" s="28">
        <v>500</v>
      </c>
    </row>
    <row r="16" spans="2:12">
      <c r="D16" t="s">
        <v>4453</v>
      </c>
      <c r="I16">
        <v>2025</v>
      </c>
      <c r="J16" t="s">
        <v>21</v>
      </c>
      <c r="K16">
        <v>1</v>
      </c>
      <c r="L16" s="28">
        <v>500</v>
      </c>
    </row>
    <row r="17" spans="4:12">
      <c r="D17" t="s">
        <v>4453</v>
      </c>
      <c r="I17">
        <v>2026</v>
      </c>
      <c r="J17" t="s">
        <v>21</v>
      </c>
      <c r="K17">
        <v>1</v>
      </c>
      <c r="L17" s="28">
        <v>500</v>
      </c>
    </row>
    <row r="18" spans="4:12">
      <c r="D18" t="s">
        <v>4453</v>
      </c>
      <c r="I18">
        <v>2027</v>
      </c>
      <c r="J18" t="s">
        <v>21</v>
      </c>
      <c r="K18">
        <v>1</v>
      </c>
      <c r="L18" s="28">
        <v>500</v>
      </c>
    </row>
    <row r="19" spans="4:12">
      <c r="D19" t="s">
        <v>4453</v>
      </c>
      <c r="I19">
        <v>2028</v>
      </c>
      <c r="J19" t="s">
        <v>21</v>
      </c>
      <c r="K19">
        <v>1</v>
      </c>
      <c r="L19" s="28">
        <v>500</v>
      </c>
    </row>
    <row r="20" spans="4:12">
      <c r="D20" t="s">
        <v>4453</v>
      </c>
      <c r="I20">
        <v>2029</v>
      </c>
      <c r="J20" t="s">
        <v>21</v>
      </c>
      <c r="K20">
        <v>1</v>
      </c>
      <c r="L20" s="28">
        <v>500</v>
      </c>
    </row>
    <row r="21" spans="4:12">
      <c r="D21" t="s">
        <v>4453</v>
      </c>
      <c r="I21">
        <v>2030</v>
      </c>
      <c r="J21" t="s">
        <v>21</v>
      </c>
      <c r="K21">
        <v>1</v>
      </c>
      <c r="L21" s="28">
        <v>500</v>
      </c>
    </row>
    <row r="22" spans="4:12">
      <c r="D22" t="s">
        <v>4453</v>
      </c>
      <c r="I22">
        <v>2031</v>
      </c>
      <c r="J22" t="s">
        <v>21</v>
      </c>
      <c r="K22">
        <v>1</v>
      </c>
      <c r="L22" s="28">
        <v>500</v>
      </c>
    </row>
    <row r="23" spans="4:12">
      <c r="D23" t="s">
        <v>4453</v>
      </c>
      <c r="I23">
        <v>2032</v>
      </c>
      <c r="J23" t="s">
        <v>21</v>
      </c>
      <c r="K23">
        <v>1</v>
      </c>
      <c r="L23" s="28">
        <v>500</v>
      </c>
    </row>
    <row r="24" spans="4:12">
      <c r="D24" t="s">
        <v>4453</v>
      </c>
      <c r="I24">
        <v>2033</v>
      </c>
      <c r="J24" t="s">
        <v>21</v>
      </c>
      <c r="K24">
        <v>1</v>
      </c>
      <c r="L24" s="28">
        <v>500</v>
      </c>
    </row>
    <row r="25" spans="4:12">
      <c r="D25" t="s">
        <v>4453</v>
      </c>
      <c r="I25">
        <v>2034</v>
      </c>
      <c r="J25" t="s">
        <v>21</v>
      </c>
      <c r="K25">
        <v>1</v>
      </c>
      <c r="L25" s="28">
        <v>500</v>
      </c>
    </row>
    <row r="26" spans="4:12">
      <c r="D26" t="s">
        <v>4453</v>
      </c>
      <c r="I26">
        <v>2035</v>
      </c>
      <c r="J26" t="s">
        <v>21</v>
      </c>
      <c r="K26">
        <v>1</v>
      </c>
      <c r="L26" s="28">
        <v>500</v>
      </c>
    </row>
    <row r="27" spans="4:12">
      <c r="D27" t="s">
        <v>4453</v>
      </c>
      <c r="I27">
        <v>2036</v>
      </c>
      <c r="J27" t="s">
        <v>21</v>
      </c>
      <c r="K27">
        <v>1</v>
      </c>
      <c r="L27" s="28">
        <v>500</v>
      </c>
    </row>
    <row r="28" spans="4:12">
      <c r="D28" t="s">
        <v>4453</v>
      </c>
      <c r="I28">
        <v>2037</v>
      </c>
      <c r="J28" t="s">
        <v>21</v>
      </c>
      <c r="K28">
        <v>1</v>
      </c>
      <c r="L28" s="28">
        <v>500</v>
      </c>
    </row>
    <row r="29" spans="4:12">
      <c r="D29" t="s">
        <v>4453</v>
      </c>
      <c r="I29">
        <v>2038</v>
      </c>
      <c r="J29" t="s">
        <v>21</v>
      </c>
      <c r="K29">
        <v>1</v>
      </c>
      <c r="L29" s="28">
        <v>500</v>
      </c>
    </row>
    <row r="30" spans="4:12">
      <c r="D30" t="s">
        <v>4453</v>
      </c>
      <c r="I30">
        <v>2039</v>
      </c>
      <c r="J30" t="s">
        <v>21</v>
      </c>
      <c r="K30">
        <v>1</v>
      </c>
      <c r="L30" s="28">
        <v>500</v>
      </c>
    </row>
    <row r="31" spans="4:12">
      <c r="D31" t="s">
        <v>4453</v>
      </c>
      <c r="I31">
        <v>2040</v>
      </c>
      <c r="J31" t="s">
        <v>21</v>
      </c>
      <c r="K31">
        <v>1</v>
      </c>
      <c r="L31" s="28">
        <v>500</v>
      </c>
    </row>
    <row r="32" spans="4:12">
      <c r="D32" t="s">
        <v>4453</v>
      </c>
      <c r="I32">
        <v>2041</v>
      </c>
      <c r="J32" t="s">
        <v>21</v>
      </c>
      <c r="K32">
        <v>1</v>
      </c>
      <c r="L32" s="28">
        <v>500</v>
      </c>
    </row>
    <row r="33" spans="4:12">
      <c r="D33" t="s">
        <v>4453</v>
      </c>
      <c r="I33">
        <v>2042</v>
      </c>
      <c r="J33" t="s">
        <v>21</v>
      </c>
      <c r="K33">
        <v>1</v>
      </c>
      <c r="L33" s="28">
        <v>500</v>
      </c>
    </row>
    <row r="34" spans="4:12">
      <c r="D34" t="s">
        <v>4453</v>
      </c>
      <c r="I34">
        <v>2043</v>
      </c>
      <c r="J34" t="s">
        <v>21</v>
      </c>
      <c r="K34">
        <v>1</v>
      </c>
      <c r="L34" s="28">
        <v>500</v>
      </c>
    </row>
    <row r="35" spans="4:12">
      <c r="D35" t="s">
        <v>4453</v>
      </c>
      <c r="I35">
        <v>2044</v>
      </c>
      <c r="J35" t="s">
        <v>21</v>
      </c>
      <c r="K35">
        <v>1</v>
      </c>
      <c r="L35" s="28">
        <v>500</v>
      </c>
    </row>
    <row r="36" spans="4:12">
      <c r="D36" t="s">
        <v>4453</v>
      </c>
      <c r="I36">
        <v>2045</v>
      </c>
      <c r="J36" t="s">
        <v>21</v>
      </c>
      <c r="K36">
        <v>1</v>
      </c>
      <c r="L36" s="28">
        <v>500</v>
      </c>
    </row>
    <row r="37" spans="4:12">
      <c r="D37" t="s">
        <v>4453</v>
      </c>
      <c r="I37">
        <v>2046</v>
      </c>
      <c r="J37" t="s">
        <v>21</v>
      </c>
      <c r="K37">
        <v>1</v>
      </c>
      <c r="L37" s="28">
        <v>500</v>
      </c>
    </row>
    <row r="38" spans="4:12">
      <c r="D38" t="s">
        <v>4453</v>
      </c>
      <c r="I38">
        <v>2047</v>
      </c>
      <c r="J38" t="s">
        <v>21</v>
      </c>
      <c r="K38">
        <v>1</v>
      </c>
      <c r="L38" s="28">
        <v>500</v>
      </c>
    </row>
    <row r="39" spans="4:12">
      <c r="D39" t="s">
        <v>4453</v>
      </c>
      <c r="I39">
        <v>2048</v>
      </c>
      <c r="J39" t="s">
        <v>21</v>
      </c>
      <c r="K39">
        <v>1</v>
      </c>
      <c r="L39" s="28">
        <v>500</v>
      </c>
    </row>
    <row r="40" spans="4:12">
      <c r="D40" t="s">
        <v>4453</v>
      </c>
      <c r="I40">
        <v>2049</v>
      </c>
      <c r="J40" t="s">
        <v>21</v>
      </c>
      <c r="K40">
        <v>1</v>
      </c>
      <c r="L40" s="28">
        <v>500</v>
      </c>
    </row>
    <row r="41" spans="4:12">
      <c r="D41" t="s">
        <v>4453</v>
      </c>
      <c r="I41">
        <v>2050</v>
      </c>
      <c r="J41" t="s">
        <v>21</v>
      </c>
      <c r="K41">
        <v>1</v>
      </c>
      <c r="L41" s="28">
        <v>500</v>
      </c>
    </row>
    <row r="42" spans="4:12">
      <c r="D42" t="s">
        <v>4453</v>
      </c>
      <c r="I42">
        <v>2051</v>
      </c>
      <c r="J42" t="s">
        <v>21</v>
      </c>
      <c r="K42">
        <v>1</v>
      </c>
      <c r="L42" s="28">
        <v>500</v>
      </c>
    </row>
    <row r="43" spans="4:12">
      <c r="D43" t="s">
        <v>4453</v>
      </c>
      <c r="I43">
        <v>2052</v>
      </c>
      <c r="J43" t="s">
        <v>21</v>
      </c>
      <c r="K43">
        <v>1</v>
      </c>
      <c r="L43" s="28">
        <v>500</v>
      </c>
    </row>
    <row r="44" spans="4:12">
      <c r="D44" t="s">
        <v>4453</v>
      </c>
      <c r="I44">
        <v>2053</v>
      </c>
      <c r="J44" t="s">
        <v>21</v>
      </c>
      <c r="K44">
        <v>1</v>
      </c>
      <c r="L44" s="28">
        <v>500</v>
      </c>
    </row>
    <row r="45" spans="4:12">
      <c r="D45" t="s">
        <v>4453</v>
      </c>
      <c r="I45">
        <v>2054</v>
      </c>
      <c r="J45" t="s">
        <v>21</v>
      </c>
      <c r="K45">
        <v>1</v>
      </c>
      <c r="L45" s="28">
        <v>500</v>
      </c>
    </row>
    <row r="46" spans="4:12">
      <c r="D46" t="s">
        <v>4453</v>
      </c>
      <c r="I46">
        <v>2055</v>
      </c>
      <c r="J46" t="s">
        <v>21</v>
      </c>
      <c r="K46">
        <v>1</v>
      </c>
      <c r="L46" s="28">
        <v>500</v>
      </c>
    </row>
    <row r="47" spans="4:12">
      <c r="D47" t="s">
        <v>4453</v>
      </c>
      <c r="I47">
        <v>2056</v>
      </c>
      <c r="J47" t="s">
        <v>21</v>
      </c>
      <c r="K47">
        <v>1</v>
      </c>
      <c r="L47" s="28">
        <v>500</v>
      </c>
    </row>
    <row r="48" spans="4:12">
      <c r="D48" t="s">
        <v>4453</v>
      </c>
      <c r="I48">
        <v>2057</v>
      </c>
      <c r="J48" t="s">
        <v>21</v>
      </c>
      <c r="K48">
        <v>1</v>
      </c>
      <c r="L48" s="28">
        <v>500</v>
      </c>
    </row>
    <row r="49" spans="4:12">
      <c r="D49" t="s">
        <v>4453</v>
      </c>
      <c r="I49">
        <v>2058</v>
      </c>
      <c r="J49" t="s">
        <v>21</v>
      </c>
      <c r="K49">
        <v>1</v>
      </c>
      <c r="L49" s="28">
        <v>500</v>
      </c>
    </row>
    <row r="50" spans="4:12">
      <c r="D50" t="s">
        <v>4453</v>
      </c>
      <c r="I50">
        <v>2059</v>
      </c>
      <c r="J50" t="s">
        <v>21</v>
      </c>
      <c r="K50">
        <v>1</v>
      </c>
      <c r="L50" s="28">
        <v>500</v>
      </c>
    </row>
    <row r="51" spans="4:12">
      <c r="D51" t="s">
        <v>4453</v>
      </c>
      <c r="I51">
        <v>2060</v>
      </c>
      <c r="J51" t="s">
        <v>21</v>
      </c>
      <c r="K51">
        <v>1</v>
      </c>
      <c r="L51" s="28">
        <v>500</v>
      </c>
    </row>
    <row r="52" spans="4:12">
      <c r="D52" t="s">
        <v>4453</v>
      </c>
      <c r="I52">
        <v>2061</v>
      </c>
      <c r="J52" t="s">
        <v>21</v>
      </c>
      <c r="K52">
        <v>1</v>
      </c>
      <c r="L52" s="28">
        <v>500</v>
      </c>
    </row>
    <row r="53" spans="4:12">
      <c r="D53" t="s">
        <v>4453</v>
      </c>
      <c r="I53">
        <v>2062</v>
      </c>
      <c r="J53" t="s">
        <v>21</v>
      </c>
      <c r="K53">
        <v>1</v>
      </c>
      <c r="L53" s="28">
        <v>500</v>
      </c>
    </row>
    <row r="54" spans="4:12">
      <c r="D54" t="s">
        <v>4453</v>
      </c>
      <c r="I54">
        <v>2063</v>
      </c>
      <c r="J54" t="s">
        <v>21</v>
      </c>
      <c r="K54">
        <v>1</v>
      </c>
      <c r="L54" s="28">
        <v>500</v>
      </c>
    </row>
    <row r="55" spans="4:12">
      <c r="D55" t="s">
        <v>4453</v>
      </c>
      <c r="I55">
        <v>2064</v>
      </c>
      <c r="J55" t="s">
        <v>21</v>
      </c>
      <c r="K55">
        <v>1</v>
      </c>
      <c r="L55" s="28">
        <v>500</v>
      </c>
    </row>
    <row r="56" spans="4:12">
      <c r="D56" t="s">
        <v>4453</v>
      </c>
      <c r="I56">
        <v>2065</v>
      </c>
      <c r="J56" t="s">
        <v>21</v>
      </c>
      <c r="K56">
        <v>1</v>
      </c>
      <c r="L56" s="28">
        <v>500</v>
      </c>
    </row>
    <row r="57" spans="4:12">
      <c r="D57" t="s">
        <v>4453</v>
      </c>
      <c r="I57">
        <v>2066</v>
      </c>
      <c r="J57" t="s">
        <v>21</v>
      </c>
      <c r="K57">
        <v>1</v>
      </c>
      <c r="L57" s="28">
        <v>500</v>
      </c>
    </row>
    <row r="58" spans="4:12">
      <c r="D58" t="s">
        <v>4453</v>
      </c>
      <c r="I58">
        <v>2067</v>
      </c>
      <c r="J58" t="s">
        <v>21</v>
      </c>
      <c r="K58">
        <v>1</v>
      </c>
      <c r="L58" s="28">
        <v>500</v>
      </c>
    </row>
    <row r="59" spans="4:12">
      <c r="D59" t="s">
        <v>4453</v>
      </c>
      <c r="I59">
        <v>2068</v>
      </c>
      <c r="J59" t="s">
        <v>21</v>
      </c>
      <c r="K59">
        <v>1</v>
      </c>
      <c r="L59" s="28">
        <v>500</v>
      </c>
    </row>
    <row r="60" spans="4:12">
      <c r="D60" t="s">
        <v>4453</v>
      </c>
      <c r="I60">
        <v>2069</v>
      </c>
      <c r="J60" t="s">
        <v>21</v>
      </c>
      <c r="K60">
        <v>1</v>
      </c>
      <c r="L60" s="28">
        <v>500</v>
      </c>
    </row>
    <row r="61" spans="4:12">
      <c r="D61" t="s">
        <v>4453</v>
      </c>
      <c r="I61">
        <v>2070</v>
      </c>
      <c r="J61" t="s">
        <v>21</v>
      </c>
      <c r="K61">
        <v>1</v>
      </c>
      <c r="L61" s="28">
        <v>500</v>
      </c>
    </row>
    <row r="62" spans="4:12">
      <c r="D62" t="s">
        <v>4453</v>
      </c>
      <c r="I62">
        <v>2071</v>
      </c>
      <c r="J62" t="s">
        <v>21</v>
      </c>
      <c r="K62">
        <v>1</v>
      </c>
      <c r="L62" s="28">
        <v>500</v>
      </c>
    </row>
    <row r="63" spans="4:12">
      <c r="D63" t="s">
        <v>4453</v>
      </c>
      <c r="I63">
        <v>2072</v>
      </c>
      <c r="J63" t="s">
        <v>21</v>
      </c>
      <c r="K63">
        <v>1</v>
      </c>
      <c r="L63" s="28">
        <v>500</v>
      </c>
    </row>
    <row r="64" spans="4:12">
      <c r="D64" t="s">
        <v>4453</v>
      </c>
      <c r="I64">
        <v>2073</v>
      </c>
      <c r="J64" t="s">
        <v>21</v>
      </c>
      <c r="K64">
        <v>1</v>
      </c>
      <c r="L64" s="28">
        <v>500</v>
      </c>
    </row>
    <row r="65" spans="4:12">
      <c r="D65" t="s">
        <v>4453</v>
      </c>
      <c r="I65">
        <v>2074</v>
      </c>
      <c r="J65" t="s">
        <v>21</v>
      </c>
      <c r="K65">
        <v>1</v>
      </c>
      <c r="L65" s="28">
        <v>500</v>
      </c>
    </row>
    <row r="66" spans="4:12">
      <c r="D66" t="s">
        <v>4453</v>
      </c>
      <c r="I66">
        <v>2075</v>
      </c>
      <c r="J66" t="s">
        <v>21</v>
      </c>
      <c r="K66">
        <v>1</v>
      </c>
      <c r="L66" s="28">
        <v>500</v>
      </c>
    </row>
    <row r="67" spans="4:12">
      <c r="D67" t="s">
        <v>4453</v>
      </c>
      <c r="I67">
        <v>2076</v>
      </c>
      <c r="J67" t="s">
        <v>21</v>
      </c>
      <c r="K67">
        <v>1</v>
      </c>
      <c r="L67" s="28">
        <v>500</v>
      </c>
    </row>
    <row r="68" spans="4:12">
      <c r="D68" t="s">
        <v>4453</v>
      </c>
      <c r="I68">
        <v>2077</v>
      </c>
      <c r="J68" t="s">
        <v>21</v>
      </c>
      <c r="K68">
        <v>1</v>
      </c>
      <c r="L68" s="28">
        <v>500</v>
      </c>
    </row>
    <row r="69" spans="4:12">
      <c r="D69" t="s">
        <v>4453</v>
      </c>
      <c r="I69">
        <v>2078</v>
      </c>
      <c r="J69" t="s">
        <v>21</v>
      </c>
      <c r="K69">
        <v>1</v>
      </c>
      <c r="L69" s="28">
        <v>500</v>
      </c>
    </row>
    <row r="70" spans="4:12">
      <c r="D70" t="s">
        <v>4453</v>
      </c>
      <c r="I70">
        <v>2079</v>
      </c>
      <c r="J70" t="s">
        <v>21</v>
      </c>
      <c r="K70">
        <v>1</v>
      </c>
      <c r="L70" s="28">
        <v>500</v>
      </c>
    </row>
    <row r="71" spans="4:12">
      <c r="D71" t="s">
        <v>4453</v>
      </c>
      <c r="I71">
        <v>2080</v>
      </c>
      <c r="J71" t="s">
        <v>21</v>
      </c>
      <c r="K71">
        <v>1</v>
      </c>
      <c r="L71" s="28">
        <v>500</v>
      </c>
    </row>
    <row r="72" spans="4:12">
      <c r="D72" t="s">
        <v>4453</v>
      </c>
      <c r="I72">
        <v>2081</v>
      </c>
      <c r="J72" t="s">
        <v>21</v>
      </c>
      <c r="K72">
        <v>1</v>
      </c>
      <c r="L72" s="28">
        <v>500</v>
      </c>
    </row>
    <row r="73" spans="4:12">
      <c r="D73" t="s">
        <v>4453</v>
      </c>
      <c r="I73">
        <v>2082</v>
      </c>
      <c r="J73" t="s">
        <v>21</v>
      </c>
      <c r="K73">
        <v>1</v>
      </c>
      <c r="L73" s="28">
        <v>500</v>
      </c>
    </row>
    <row r="74" spans="4:12">
      <c r="D74" t="s">
        <v>4453</v>
      </c>
      <c r="I74">
        <v>2083</v>
      </c>
      <c r="J74" t="s">
        <v>21</v>
      </c>
      <c r="K74">
        <v>1</v>
      </c>
      <c r="L74" s="28">
        <v>500</v>
      </c>
    </row>
    <row r="75" spans="4:12">
      <c r="D75" t="s">
        <v>4453</v>
      </c>
      <c r="I75">
        <v>2084</v>
      </c>
      <c r="J75" t="s">
        <v>21</v>
      </c>
      <c r="K75">
        <v>1</v>
      </c>
      <c r="L75" s="28">
        <v>500</v>
      </c>
    </row>
    <row r="76" spans="4:12">
      <c r="D76" t="s">
        <v>4453</v>
      </c>
      <c r="I76">
        <v>2085</v>
      </c>
      <c r="J76" t="s">
        <v>21</v>
      </c>
      <c r="K76">
        <v>1</v>
      </c>
      <c r="L76" s="28">
        <v>500</v>
      </c>
    </row>
    <row r="77" spans="4:12">
      <c r="D77" t="s">
        <v>4453</v>
      </c>
      <c r="I77">
        <v>2086</v>
      </c>
      <c r="J77" t="s">
        <v>21</v>
      </c>
      <c r="K77">
        <v>1</v>
      </c>
      <c r="L77" s="28">
        <v>500</v>
      </c>
    </row>
    <row r="78" spans="4:12">
      <c r="D78" t="s">
        <v>4453</v>
      </c>
      <c r="I78">
        <v>2087</v>
      </c>
      <c r="J78" t="s">
        <v>21</v>
      </c>
      <c r="K78">
        <v>1</v>
      </c>
      <c r="L78" s="28">
        <v>500</v>
      </c>
    </row>
    <row r="79" spans="4:12">
      <c r="D79" t="s">
        <v>4453</v>
      </c>
      <c r="I79">
        <v>2088</v>
      </c>
      <c r="J79" t="s">
        <v>21</v>
      </c>
      <c r="K79">
        <v>1</v>
      </c>
      <c r="L79" s="28">
        <v>500</v>
      </c>
    </row>
    <row r="80" spans="4:12">
      <c r="D80" t="s">
        <v>4453</v>
      </c>
      <c r="I80">
        <v>2089</v>
      </c>
      <c r="J80" t="s">
        <v>21</v>
      </c>
      <c r="K80">
        <v>1</v>
      </c>
      <c r="L80" s="28">
        <v>500</v>
      </c>
    </row>
    <row r="81" spans="4:12">
      <c r="D81" t="s">
        <v>4453</v>
      </c>
      <c r="I81">
        <v>2090</v>
      </c>
      <c r="J81" t="s">
        <v>21</v>
      </c>
      <c r="K81">
        <v>1</v>
      </c>
      <c r="L81" s="28">
        <v>500</v>
      </c>
    </row>
    <row r="82" spans="4:12">
      <c r="D82" t="s">
        <v>4453</v>
      </c>
      <c r="I82">
        <v>2091</v>
      </c>
      <c r="J82" t="s">
        <v>21</v>
      </c>
      <c r="K82">
        <v>1</v>
      </c>
      <c r="L82" s="28">
        <v>500</v>
      </c>
    </row>
    <row r="83" spans="4:12">
      <c r="D83" t="s">
        <v>4453</v>
      </c>
      <c r="I83">
        <v>2092</v>
      </c>
      <c r="J83" t="s">
        <v>21</v>
      </c>
      <c r="K83">
        <v>1</v>
      </c>
      <c r="L83" s="28">
        <v>500</v>
      </c>
    </row>
    <row r="84" spans="4:12">
      <c r="D84" t="s">
        <v>4453</v>
      </c>
      <c r="I84">
        <v>2093</v>
      </c>
      <c r="J84" t="s">
        <v>21</v>
      </c>
      <c r="K84">
        <v>1</v>
      </c>
      <c r="L84" s="28">
        <v>500</v>
      </c>
    </row>
    <row r="85" spans="4:12">
      <c r="D85" t="s">
        <v>4453</v>
      </c>
      <c r="I85">
        <v>2094</v>
      </c>
      <c r="J85" t="s">
        <v>21</v>
      </c>
      <c r="K85">
        <v>1</v>
      </c>
      <c r="L85" s="28">
        <v>500</v>
      </c>
    </row>
    <row r="86" spans="4:12">
      <c r="D86" t="s">
        <v>4453</v>
      </c>
      <c r="I86">
        <v>2095</v>
      </c>
      <c r="J86" t="s">
        <v>21</v>
      </c>
      <c r="K86">
        <v>1</v>
      </c>
      <c r="L86" s="28">
        <v>500</v>
      </c>
    </row>
    <row r="87" spans="4:12">
      <c r="D87" t="s">
        <v>4453</v>
      </c>
      <c r="I87">
        <v>2096</v>
      </c>
      <c r="J87" t="s">
        <v>21</v>
      </c>
      <c r="K87">
        <v>1</v>
      </c>
      <c r="L87" s="28">
        <v>500</v>
      </c>
    </row>
    <row r="88" spans="4:12">
      <c r="D88" t="s">
        <v>4453</v>
      </c>
      <c r="I88">
        <v>2097</v>
      </c>
      <c r="J88" t="s">
        <v>21</v>
      </c>
      <c r="K88">
        <v>1</v>
      </c>
      <c r="L88" s="28">
        <v>500</v>
      </c>
    </row>
    <row r="89" spans="4:12">
      <c r="D89" t="s">
        <v>4453</v>
      </c>
      <c r="I89">
        <v>2098</v>
      </c>
      <c r="J89" t="s">
        <v>21</v>
      </c>
      <c r="K89">
        <v>1</v>
      </c>
      <c r="L89" s="28">
        <v>500</v>
      </c>
    </row>
    <row r="90" spans="4:12">
      <c r="D90" t="s">
        <v>4453</v>
      </c>
      <c r="I90">
        <v>2099</v>
      </c>
      <c r="J90" t="s">
        <v>21</v>
      </c>
      <c r="K90">
        <v>1</v>
      </c>
      <c r="L90" s="28">
        <v>500</v>
      </c>
    </row>
    <row r="91" spans="4:12">
      <c r="D91" t="s">
        <v>4453</v>
      </c>
      <c r="I91">
        <v>2100</v>
      </c>
      <c r="J91" t="s">
        <v>21</v>
      </c>
      <c r="K91">
        <v>1</v>
      </c>
      <c r="L91" s="28">
        <v>500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91"/>
  <sheetViews>
    <sheetView zoomScale="101" zoomScaleNormal="101" workbookViewId="0">
      <selection activeCell="AG6" sqref="AG6"/>
    </sheetView>
  </sheetViews>
  <sheetFormatPr defaultColWidth="8.72727272727273" defaultRowHeight="14.5"/>
  <cols>
    <col min="4" max="4" width="14.9272727272727" customWidth="1"/>
    <col min="7" max="7" width="12.0636363636364" customWidth="1"/>
    <col min="11" max="11" width="12.7272727272727" customWidth="1"/>
  </cols>
  <sheetData>
    <row r="4" spans="2:12">
      <c r="B4" s="17" t="s">
        <v>1</v>
      </c>
    </row>
    <row r="5" spans="2:12">
      <c r="B5" t="s">
        <v>2</v>
      </c>
    </row>
    <row r="7" spans="2:12">
      <c r="J7" t="s">
        <v>3</v>
      </c>
    </row>
    <row r="10" ht="16" spans="2:12"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  <c r="J10" t="s">
        <v>13</v>
      </c>
      <c r="K10" s="27" t="s">
        <v>4451</v>
      </c>
      <c r="L10" t="s">
        <v>15</v>
      </c>
    </row>
    <row r="11" spans="2:12">
      <c r="B11" t="s">
        <v>4454</v>
      </c>
      <c r="D11" t="s">
        <v>4455</v>
      </c>
      <c r="I11">
        <v>2020</v>
      </c>
      <c r="J11" t="s">
        <v>21</v>
      </c>
      <c r="K11">
        <v>1</v>
      </c>
      <c r="L11" s="28">
        <v>500</v>
      </c>
    </row>
    <row r="12" spans="2:12">
      <c r="D12" t="s">
        <v>4455</v>
      </c>
      <c r="I12">
        <v>2021</v>
      </c>
      <c r="J12" t="s">
        <v>21</v>
      </c>
      <c r="K12">
        <v>1</v>
      </c>
      <c r="L12" s="28">
        <v>500</v>
      </c>
    </row>
    <row r="13" spans="2:12">
      <c r="D13" t="s">
        <v>4455</v>
      </c>
      <c r="I13">
        <v>2022</v>
      </c>
      <c r="J13" t="s">
        <v>21</v>
      </c>
      <c r="K13">
        <v>1</v>
      </c>
      <c r="L13" s="28">
        <v>500</v>
      </c>
    </row>
    <row r="14" spans="2:12">
      <c r="D14" t="s">
        <v>4455</v>
      </c>
      <c r="I14">
        <v>2023</v>
      </c>
      <c r="J14" t="s">
        <v>21</v>
      </c>
      <c r="K14">
        <v>1</v>
      </c>
      <c r="L14" s="28">
        <v>500</v>
      </c>
    </row>
    <row r="15" spans="2:12">
      <c r="D15" t="s">
        <v>4455</v>
      </c>
      <c r="I15">
        <v>2024</v>
      </c>
      <c r="J15" t="s">
        <v>21</v>
      </c>
      <c r="K15">
        <v>1</v>
      </c>
      <c r="L15" s="28">
        <v>500</v>
      </c>
    </row>
    <row r="16" spans="2:12">
      <c r="D16" t="s">
        <v>4455</v>
      </c>
      <c r="I16">
        <v>2025</v>
      </c>
      <c r="J16" t="s">
        <v>21</v>
      </c>
      <c r="K16">
        <v>1</v>
      </c>
      <c r="L16" s="28">
        <v>500</v>
      </c>
    </row>
    <row r="17" spans="4:12">
      <c r="D17" t="s">
        <v>4455</v>
      </c>
      <c r="I17">
        <v>2026</v>
      </c>
      <c r="J17" t="s">
        <v>21</v>
      </c>
      <c r="K17">
        <v>1</v>
      </c>
      <c r="L17" s="28">
        <v>500</v>
      </c>
    </row>
    <row r="18" spans="4:12">
      <c r="D18" t="s">
        <v>4455</v>
      </c>
      <c r="I18">
        <v>2027</v>
      </c>
      <c r="J18" t="s">
        <v>21</v>
      </c>
      <c r="K18">
        <v>1</v>
      </c>
      <c r="L18" s="28">
        <v>500</v>
      </c>
    </row>
    <row r="19" spans="4:12">
      <c r="D19" t="s">
        <v>4455</v>
      </c>
      <c r="I19">
        <v>2028</v>
      </c>
      <c r="J19" t="s">
        <v>21</v>
      </c>
      <c r="K19">
        <v>1</v>
      </c>
      <c r="L19" s="28">
        <v>500</v>
      </c>
    </row>
    <row r="20" spans="4:12">
      <c r="D20" t="s">
        <v>4455</v>
      </c>
      <c r="I20">
        <v>2029</v>
      </c>
      <c r="J20" t="s">
        <v>21</v>
      </c>
      <c r="K20">
        <v>1</v>
      </c>
      <c r="L20" s="28">
        <v>500</v>
      </c>
    </row>
    <row r="21" spans="4:12">
      <c r="D21" t="s">
        <v>4455</v>
      </c>
      <c r="I21">
        <v>2030</v>
      </c>
      <c r="J21" t="s">
        <v>21</v>
      </c>
      <c r="K21">
        <v>1</v>
      </c>
      <c r="L21" s="28">
        <v>500</v>
      </c>
    </row>
    <row r="22" spans="4:12">
      <c r="D22" t="s">
        <v>4455</v>
      </c>
      <c r="I22">
        <v>2031</v>
      </c>
      <c r="J22" t="s">
        <v>21</v>
      </c>
      <c r="K22">
        <v>1</v>
      </c>
      <c r="L22" s="28">
        <v>500</v>
      </c>
    </row>
    <row r="23" spans="4:12">
      <c r="D23" t="s">
        <v>4455</v>
      </c>
      <c r="I23">
        <v>2032</v>
      </c>
      <c r="J23" t="s">
        <v>21</v>
      </c>
      <c r="K23">
        <v>1</v>
      </c>
      <c r="L23" s="28">
        <v>500</v>
      </c>
    </row>
    <row r="24" spans="4:12">
      <c r="D24" t="s">
        <v>4455</v>
      </c>
      <c r="I24">
        <v>2033</v>
      </c>
      <c r="J24" t="s">
        <v>21</v>
      </c>
      <c r="K24">
        <v>1</v>
      </c>
      <c r="L24" s="28">
        <v>500</v>
      </c>
    </row>
    <row r="25" spans="4:12">
      <c r="D25" t="s">
        <v>4455</v>
      </c>
      <c r="I25">
        <v>2034</v>
      </c>
      <c r="J25" t="s">
        <v>21</v>
      </c>
      <c r="K25">
        <v>1</v>
      </c>
      <c r="L25" s="28">
        <v>500</v>
      </c>
    </row>
    <row r="26" spans="4:12">
      <c r="D26" t="s">
        <v>4455</v>
      </c>
      <c r="I26">
        <v>2035</v>
      </c>
      <c r="J26" t="s">
        <v>21</v>
      </c>
      <c r="K26">
        <v>1</v>
      </c>
      <c r="L26" s="28">
        <v>500</v>
      </c>
    </row>
    <row r="27" spans="4:12">
      <c r="D27" t="s">
        <v>4455</v>
      </c>
      <c r="I27">
        <v>2036</v>
      </c>
      <c r="J27" t="s">
        <v>21</v>
      </c>
      <c r="K27">
        <v>1</v>
      </c>
      <c r="L27" s="28">
        <v>500</v>
      </c>
    </row>
    <row r="28" spans="4:12">
      <c r="D28" t="s">
        <v>4455</v>
      </c>
      <c r="I28">
        <v>2037</v>
      </c>
      <c r="J28" t="s">
        <v>21</v>
      </c>
      <c r="K28">
        <v>1</v>
      </c>
      <c r="L28" s="28">
        <v>500</v>
      </c>
    </row>
    <row r="29" spans="4:12">
      <c r="D29" t="s">
        <v>4455</v>
      </c>
      <c r="I29">
        <v>2038</v>
      </c>
      <c r="J29" t="s">
        <v>21</v>
      </c>
      <c r="K29">
        <v>1</v>
      </c>
      <c r="L29" s="28">
        <v>500</v>
      </c>
    </row>
    <row r="30" spans="4:12">
      <c r="D30" t="s">
        <v>4455</v>
      </c>
      <c r="I30">
        <v>2039</v>
      </c>
      <c r="J30" t="s">
        <v>21</v>
      </c>
      <c r="K30">
        <v>1</v>
      </c>
      <c r="L30" s="28">
        <v>500</v>
      </c>
    </row>
    <row r="31" spans="4:12">
      <c r="D31" t="s">
        <v>4455</v>
      </c>
      <c r="I31">
        <v>2040</v>
      </c>
      <c r="J31" t="s">
        <v>21</v>
      </c>
      <c r="K31">
        <v>1</v>
      </c>
      <c r="L31" s="28">
        <v>500</v>
      </c>
    </row>
    <row r="32" spans="4:12">
      <c r="D32" t="s">
        <v>4455</v>
      </c>
      <c r="I32">
        <v>2041</v>
      </c>
      <c r="J32" t="s">
        <v>21</v>
      </c>
      <c r="K32">
        <v>1</v>
      </c>
      <c r="L32" s="28">
        <v>500</v>
      </c>
    </row>
    <row r="33" spans="4:12">
      <c r="D33" t="s">
        <v>4455</v>
      </c>
      <c r="I33">
        <v>2042</v>
      </c>
      <c r="J33" t="s">
        <v>21</v>
      </c>
      <c r="K33">
        <v>1</v>
      </c>
      <c r="L33" s="28">
        <v>500</v>
      </c>
    </row>
    <row r="34" spans="4:12">
      <c r="D34" t="s">
        <v>4455</v>
      </c>
      <c r="I34">
        <v>2043</v>
      </c>
      <c r="J34" t="s">
        <v>21</v>
      </c>
      <c r="K34">
        <v>1</v>
      </c>
      <c r="L34" s="28">
        <v>500</v>
      </c>
    </row>
    <row r="35" spans="4:12">
      <c r="D35" t="s">
        <v>4455</v>
      </c>
      <c r="I35">
        <v>2044</v>
      </c>
      <c r="J35" t="s">
        <v>21</v>
      </c>
      <c r="K35">
        <v>1</v>
      </c>
      <c r="L35" s="28">
        <v>500</v>
      </c>
    </row>
    <row r="36" spans="4:12">
      <c r="D36" t="s">
        <v>4455</v>
      </c>
      <c r="I36">
        <v>2045</v>
      </c>
      <c r="J36" t="s">
        <v>21</v>
      </c>
      <c r="K36">
        <v>1</v>
      </c>
      <c r="L36" s="28">
        <v>500</v>
      </c>
    </row>
    <row r="37" spans="4:12">
      <c r="D37" t="s">
        <v>4455</v>
      </c>
      <c r="I37">
        <v>2046</v>
      </c>
      <c r="J37" t="s">
        <v>21</v>
      </c>
      <c r="K37">
        <v>1</v>
      </c>
      <c r="L37" s="28">
        <v>500</v>
      </c>
    </row>
    <row r="38" spans="4:12">
      <c r="D38" t="s">
        <v>4455</v>
      </c>
      <c r="I38">
        <v>2047</v>
      </c>
      <c r="J38" t="s">
        <v>21</v>
      </c>
      <c r="K38">
        <v>1</v>
      </c>
      <c r="L38" s="28">
        <v>500</v>
      </c>
    </row>
    <row r="39" spans="4:12">
      <c r="D39" t="s">
        <v>4455</v>
      </c>
      <c r="I39">
        <v>2048</v>
      </c>
      <c r="J39" t="s">
        <v>21</v>
      </c>
      <c r="K39">
        <v>1</v>
      </c>
      <c r="L39" s="28">
        <v>500</v>
      </c>
    </row>
    <row r="40" spans="4:12">
      <c r="D40" t="s">
        <v>4455</v>
      </c>
      <c r="I40">
        <v>2049</v>
      </c>
      <c r="J40" t="s">
        <v>21</v>
      </c>
      <c r="K40">
        <v>1</v>
      </c>
      <c r="L40" s="28">
        <v>500</v>
      </c>
    </row>
    <row r="41" spans="4:12">
      <c r="D41" t="s">
        <v>4455</v>
      </c>
      <c r="I41">
        <v>2050</v>
      </c>
      <c r="J41" t="s">
        <v>21</v>
      </c>
      <c r="K41">
        <v>1</v>
      </c>
      <c r="L41" s="28">
        <v>500</v>
      </c>
    </row>
    <row r="42" spans="4:12">
      <c r="D42" t="s">
        <v>4455</v>
      </c>
      <c r="I42">
        <v>2051</v>
      </c>
      <c r="J42" t="s">
        <v>21</v>
      </c>
      <c r="K42">
        <v>1</v>
      </c>
      <c r="L42" s="28">
        <v>500</v>
      </c>
    </row>
    <row r="43" spans="4:12">
      <c r="D43" t="s">
        <v>4455</v>
      </c>
      <c r="I43">
        <v>2052</v>
      </c>
      <c r="J43" t="s">
        <v>21</v>
      </c>
      <c r="K43">
        <v>1</v>
      </c>
      <c r="L43" s="28">
        <v>500</v>
      </c>
    </row>
    <row r="44" spans="4:12">
      <c r="D44" t="s">
        <v>4455</v>
      </c>
      <c r="I44">
        <v>2053</v>
      </c>
      <c r="J44" t="s">
        <v>21</v>
      </c>
      <c r="K44">
        <v>1</v>
      </c>
      <c r="L44" s="28">
        <v>500</v>
      </c>
    </row>
    <row r="45" spans="4:12">
      <c r="D45" t="s">
        <v>4455</v>
      </c>
      <c r="I45">
        <v>2054</v>
      </c>
      <c r="J45" t="s">
        <v>21</v>
      </c>
      <c r="K45">
        <v>1</v>
      </c>
      <c r="L45" s="28">
        <v>500</v>
      </c>
    </row>
    <row r="46" spans="4:12">
      <c r="D46" t="s">
        <v>4455</v>
      </c>
      <c r="I46">
        <v>2055</v>
      </c>
      <c r="J46" t="s">
        <v>21</v>
      </c>
      <c r="K46">
        <v>1</v>
      </c>
      <c r="L46" s="28">
        <v>500</v>
      </c>
    </row>
    <row r="47" spans="4:12">
      <c r="D47" t="s">
        <v>4455</v>
      </c>
      <c r="I47">
        <v>2056</v>
      </c>
      <c r="J47" t="s">
        <v>21</v>
      </c>
      <c r="K47">
        <v>1</v>
      </c>
      <c r="L47" s="28">
        <v>500</v>
      </c>
    </row>
    <row r="48" spans="4:12">
      <c r="D48" t="s">
        <v>4455</v>
      </c>
      <c r="I48">
        <v>2057</v>
      </c>
      <c r="J48" t="s">
        <v>21</v>
      </c>
      <c r="K48">
        <v>1</v>
      </c>
      <c r="L48" s="28">
        <v>500</v>
      </c>
    </row>
    <row r="49" spans="4:12">
      <c r="D49" t="s">
        <v>4455</v>
      </c>
      <c r="I49">
        <v>2058</v>
      </c>
      <c r="J49" t="s">
        <v>21</v>
      </c>
      <c r="K49">
        <v>1</v>
      </c>
      <c r="L49" s="28">
        <v>500</v>
      </c>
    </row>
    <row r="50" spans="4:12">
      <c r="D50" t="s">
        <v>4455</v>
      </c>
      <c r="I50">
        <v>2059</v>
      </c>
      <c r="J50" t="s">
        <v>21</v>
      </c>
      <c r="K50">
        <v>1</v>
      </c>
      <c r="L50" s="28">
        <v>500</v>
      </c>
    </row>
    <row r="51" spans="4:12">
      <c r="D51" t="s">
        <v>4455</v>
      </c>
      <c r="I51">
        <v>2060</v>
      </c>
      <c r="J51" t="s">
        <v>21</v>
      </c>
      <c r="K51">
        <v>1</v>
      </c>
      <c r="L51" s="28">
        <v>500</v>
      </c>
    </row>
    <row r="52" spans="4:12">
      <c r="D52" t="s">
        <v>4455</v>
      </c>
      <c r="I52">
        <v>2061</v>
      </c>
      <c r="J52" t="s">
        <v>21</v>
      </c>
      <c r="K52">
        <v>1</v>
      </c>
      <c r="L52" s="28">
        <v>500</v>
      </c>
    </row>
    <row r="53" spans="4:12">
      <c r="D53" t="s">
        <v>4455</v>
      </c>
      <c r="I53">
        <v>2062</v>
      </c>
      <c r="J53" t="s">
        <v>21</v>
      </c>
      <c r="K53">
        <v>1</v>
      </c>
      <c r="L53" s="28">
        <v>500</v>
      </c>
    </row>
    <row r="54" spans="4:12">
      <c r="D54" t="s">
        <v>4455</v>
      </c>
      <c r="I54">
        <v>2063</v>
      </c>
      <c r="J54" t="s">
        <v>21</v>
      </c>
      <c r="K54">
        <v>1</v>
      </c>
      <c r="L54" s="28">
        <v>500</v>
      </c>
    </row>
    <row r="55" spans="4:12">
      <c r="D55" t="s">
        <v>4455</v>
      </c>
      <c r="I55">
        <v>2064</v>
      </c>
      <c r="J55" t="s">
        <v>21</v>
      </c>
      <c r="K55">
        <v>1</v>
      </c>
      <c r="L55" s="28">
        <v>500</v>
      </c>
    </row>
    <row r="56" spans="4:12">
      <c r="D56" t="s">
        <v>4455</v>
      </c>
      <c r="I56">
        <v>2065</v>
      </c>
      <c r="J56" t="s">
        <v>21</v>
      </c>
      <c r="K56">
        <v>1</v>
      </c>
      <c r="L56" s="28">
        <v>500</v>
      </c>
    </row>
    <row r="57" spans="4:12">
      <c r="D57" t="s">
        <v>4455</v>
      </c>
      <c r="I57">
        <v>2066</v>
      </c>
      <c r="J57" t="s">
        <v>21</v>
      </c>
      <c r="K57">
        <v>1</v>
      </c>
      <c r="L57" s="28">
        <v>500</v>
      </c>
    </row>
    <row r="58" spans="4:12">
      <c r="D58" t="s">
        <v>4455</v>
      </c>
      <c r="I58">
        <v>2067</v>
      </c>
      <c r="J58" t="s">
        <v>21</v>
      </c>
      <c r="K58">
        <v>1</v>
      </c>
      <c r="L58" s="28">
        <v>500</v>
      </c>
    </row>
    <row r="59" spans="4:12">
      <c r="D59" t="s">
        <v>4455</v>
      </c>
      <c r="I59">
        <v>2068</v>
      </c>
      <c r="J59" t="s">
        <v>21</v>
      </c>
      <c r="K59">
        <v>1</v>
      </c>
      <c r="L59" s="28">
        <v>500</v>
      </c>
    </row>
    <row r="60" spans="4:12">
      <c r="D60" t="s">
        <v>4455</v>
      </c>
      <c r="I60">
        <v>2069</v>
      </c>
      <c r="J60" t="s">
        <v>21</v>
      </c>
      <c r="K60">
        <v>1</v>
      </c>
      <c r="L60" s="28">
        <v>500</v>
      </c>
    </row>
    <row r="61" spans="4:12">
      <c r="D61" t="s">
        <v>4455</v>
      </c>
      <c r="I61">
        <v>2070</v>
      </c>
      <c r="J61" t="s">
        <v>21</v>
      </c>
      <c r="K61">
        <v>1</v>
      </c>
      <c r="L61" s="28">
        <v>500</v>
      </c>
    </row>
    <row r="62" spans="4:12">
      <c r="D62" t="s">
        <v>4455</v>
      </c>
      <c r="I62">
        <v>2071</v>
      </c>
      <c r="J62" t="s">
        <v>21</v>
      </c>
      <c r="K62">
        <v>1</v>
      </c>
      <c r="L62" s="28">
        <v>500</v>
      </c>
    </row>
    <row r="63" spans="4:12">
      <c r="D63" t="s">
        <v>4455</v>
      </c>
      <c r="I63">
        <v>2072</v>
      </c>
      <c r="J63" t="s">
        <v>21</v>
      </c>
      <c r="K63">
        <v>1</v>
      </c>
      <c r="L63" s="28">
        <v>500</v>
      </c>
    </row>
    <row r="64" spans="4:12">
      <c r="D64" t="s">
        <v>4455</v>
      </c>
      <c r="I64">
        <v>2073</v>
      </c>
      <c r="J64" t="s">
        <v>21</v>
      </c>
      <c r="K64">
        <v>1</v>
      </c>
      <c r="L64" s="28">
        <v>500</v>
      </c>
    </row>
    <row r="65" spans="4:12">
      <c r="D65" t="s">
        <v>4455</v>
      </c>
      <c r="I65">
        <v>2074</v>
      </c>
      <c r="J65" t="s">
        <v>21</v>
      </c>
      <c r="K65">
        <v>1</v>
      </c>
      <c r="L65" s="28">
        <v>500</v>
      </c>
    </row>
    <row r="66" spans="4:12">
      <c r="D66" t="s">
        <v>4455</v>
      </c>
      <c r="I66">
        <v>2075</v>
      </c>
      <c r="J66" t="s">
        <v>21</v>
      </c>
      <c r="K66">
        <v>1</v>
      </c>
      <c r="L66" s="28">
        <v>500</v>
      </c>
    </row>
    <row r="67" spans="4:12">
      <c r="D67" t="s">
        <v>4455</v>
      </c>
      <c r="I67">
        <v>2076</v>
      </c>
      <c r="J67" t="s">
        <v>21</v>
      </c>
      <c r="K67">
        <v>1</v>
      </c>
      <c r="L67" s="28">
        <v>500</v>
      </c>
    </row>
    <row r="68" spans="4:12">
      <c r="D68" t="s">
        <v>4455</v>
      </c>
      <c r="I68">
        <v>2077</v>
      </c>
      <c r="J68" t="s">
        <v>21</v>
      </c>
      <c r="K68">
        <v>1</v>
      </c>
      <c r="L68" s="28">
        <v>500</v>
      </c>
    </row>
    <row r="69" spans="4:12">
      <c r="D69" t="s">
        <v>4455</v>
      </c>
      <c r="I69">
        <v>2078</v>
      </c>
      <c r="J69" t="s">
        <v>21</v>
      </c>
      <c r="K69">
        <v>1</v>
      </c>
      <c r="L69" s="28">
        <v>500</v>
      </c>
    </row>
    <row r="70" spans="4:12">
      <c r="D70" t="s">
        <v>4455</v>
      </c>
      <c r="I70">
        <v>2079</v>
      </c>
      <c r="J70" t="s">
        <v>21</v>
      </c>
      <c r="K70">
        <v>1</v>
      </c>
      <c r="L70" s="28">
        <v>500</v>
      </c>
    </row>
    <row r="71" spans="4:12">
      <c r="D71" t="s">
        <v>4455</v>
      </c>
      <c r="I71">
        <v>2080</v>
      </c>
      <c r="J71" t="s">
        <v>21</v>
      </c>
      <c r="K71">
        <v>1</v>
      </c>
      <c r="L71" s="28">
        <v>500</v>
      </c>
    </row>
    <row r="72" spans="4:12">
      <c r="D72" t="s">
        <v>4455</v>
      </c>
      <c r="I72">
        <v>2081</v>
      </c>
      <c r="J72" t="s">
        <v>21</v>
      </c>
      <c r="K72">
        <v>1</v>
      </c>
      <c r="L72" s="28">
        <v>500</v>
      </c>
    </row>
    <row r="73" spans="4:12">
      <c r="D73" t="s">
        <v>4455</v>
      </c>
      <c r="I73">
        <v>2082</v>
      </c>
      <c r="J73" t="s">
        <v>21</v>
      </c>
      <c r="K73">
        <v>1</v>
      </c>
      <c r="L73" s="28">
        <v>500</v>
      </c>
    </row>
    <row r="74" spans="4:12">
      <c r="D74" t="s">
        <v>4455</v>
      </c>
      <c r="I74">
        <v>2083</v>
      </c>
      <c r="J74" t="s">
        <v>21</v>
      </c>
      <c r="K74">
        <v>1</v>
      </c>
      <c r="L74" s="28">
        <v>500</v>
      </c>
    </row>
    <row r="75" spans="4:12">
      <c r="D75" t="s">
        <v>4455</v>
      </c>
      <c r="I75">
        <v>2084</v>
      </c>
      <c r="J75" t="s">
        <v>21</v>
      </c>
      <c r="K75">
        <v>1</v>
      </c>
      <c r="L75" s="28">
        <v>500</v>
      </c>
    </row>
    <row r="76" spans="4:12">
      <c r="D76" t="s">
        <v>4455</v>
      </c>
      <c r="I76">
        <v>2085</v>
      </c>
      <c r="J76" t="s">
        <v>21</v>
      </c>
      <c r="K76">
        <v>1</v>
      </c>
      <c r="L76" s="28">
        <v>500</v>
      </c>
    </row>
    <row r="77" spans="4:12">
      <c r="D77" t="s">
        <v>4455</v>
      </c>
      <c r="I77">
        <v>2086</v>
      </c>
      <c r="J77" t="s">
        <v>21</v>
      </c>
      <c r="K77">
        <v>1</v>
      </c>
      <c r="L77" s="28">
        <v>500</v>
      </c>
    </row>
    <row r="78" spans="4:12">
      <c r="D78" t="s">
        <v>4455</v>
      </c>
      <c r="I78">
        <v>2087</v>
      </c>
      <c r="J78" t="s">
        <v>21</v>
      </c>
      <c r="K78">
        <v>1</v>
      </c>
      <c r="L78" s="28">
        <v>500</v>
      </c>
    </row>
    <row r="79" spans="4:12">
      <c r="D79" t="s">
        <v>4455</v>
      </c>
      <c r="I79">
        <v>2088</v>
      </c>
      <c r="J79" t="s">
        <v>21</v>
      </c>
      <c r="K79">
        <v>1</v>
      </c>
      <c r="L79" s="28">
        <v>500</v>
      </c>
    </row>
    <row r="80" spans="4:12">
      <c r="D80" t="s">
        <v>4455</v>
      </c>
      <c r="I80">
        <v>2089</v>
      </c>
      <c r="J80" t="s">
        <v>21</v>
      </c>
      <c r="K80">
        <v>1</v>
      </c>
      <c r="L80" s="28">
        <v>500</v>
      </c>
    </row>
    <row r="81" spans="4:12">
      <c r="D81" t="s">
        <v>4455</v>
      </c>
      <c r="I81">
        <v>2090</v>
      </c>
      <c r="J81" t="s">
        <v>21</v>
      </c>
      <c r="K81">
        <v>1</v>
      </c>
      <c r="L81" s="28">
        <v>500</v>
      </c>
    </row>
    <row r="82" spans="4:12">
      <c r="D82" t="s">
        <v>4455</v>
      </c>
      <c r="I82">
        <v>2091</v>
      </c>
      <c r="J82" t="s">
        <v>21</v>
      </c>
      <c r="K82">
        <v>1</v>
      </c>
      <c r="L82" s="28">
        <v>500</v>
      </c>
    </row>
    <row r="83" spans="4:12">
      <c r="D83" t="s">
        <v>4455</v>
      </c>
      <c r="I83">
        <v>2092</v>
      </c>
      <c r="J83" t="s">
        <v>21</v>
      </c>
      <c r="K83">
        <v>1</v>
      </c>
      <c r="L83" s="28">
        <v>500</v>
      </c>
    </row>
    <row r="84" spans="4:12">
      <c r="D84" t="s">
        <v>4455</v>
      </c>
      <c r="I84">
        <v>2093</v>
      </c>
      <c r="J84" t="s">
        <v>21</v>
      </c>
      <c r="K84">
        <v>1</v>
      </c>
      <c r="L84" s="28">
        <v>500</v>
      </c>
    </row>
    <row r="85" spans="4:12">
      <c r="D85" t="s">
        <v>4455</v>
      </c>
      <c r="I85">
        <v>2094</v>
      </c>
      <c r="J85" t="s">
        <v>21</v>
      </c>
      <c r="K85">
        <v>1</v>
      </c>
      <c r="L85" s="28">
        <v>500</v>
      </c>
    </row>
    <row r="86" spans="4:12">
      <c r="D86" t="s">
        <v>4455</v>
      </c>
      <c r="I86">
        <v>2095</v>
      </c>
      <c r="J86" t="s">
        <v>21</v>
      </c>
      <c r="K86">
        <v>1</v>
      </c>
      <c r="L86" s="28">
        <v>500</v>
      </c>
    </row>
    <row r="87" spans="4:12">
      <c r="D87" t="s">
        <v>4455</v>
      </c>
      <c r="I87">
        <v>2096</v>
      </c>
      <c r="J87" t="s">
        <v>21</v>
      </c>
      <c r="K87">
        <v>1</v>
      </c>
      <c r="L87" s="28">
        <v>500</v>
      </c>
    </row>
    <row r="88" spans="4:12">
      <c r="D88" t="s">
        <v>4455</v>
      </c>
      <c r="I88">
        <v>2097</v>
      </c>
      <c r="J88" t="s">
        <v>21</v>
      </c>
      <c r="K88">
        <v>1</v>
      </c>
      <c r="L88" s="28">
        <v>500</v>
      </c>
    </row>
    <row r="89" spans="4:12">
      <c r="D89" t="s">
        <v>4455</v>
      </c>
      <c r="I89">
        <v>2098</v>
      </c>
      <c r="J89" t="s">
        <v>21</v>
      </c>
      <c r="K89">
        <v>1</v>
      </c>
      <c r="L89" s="28">
        <v>500</v>
      </c>
    </row>
    <row r="90" spans="4:12">
      <c r="D90" t="s">
        <v>4455</v>
      </c>
      <c r="I90">
        <v>2099</v>
      </c>
      <c r="J90" t="s">
        <v>21</v>
      </c>
      <c r="K90">
        <v>1</v>
      </c>
      <c r="L90" s="28">
        <v>500</v>
      </c>
    </row>
    <row r="91" spans="4:12">
      <c r="D91" t="s">
        <v>4455</v>
      </c>
      <c r="I91">
        <v>2100</v>
      </c>
      <c r="J91" t="s">
        <v>21</v>
      </c>
      <c r="K91">
        <v>1</v>
      </c>
      <c r="L91" s="28">
        <v>500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91"/>
  <sheetViews>
    <sheetView zoomScale="58" zoomScaleNormal="58" workbookViewId="0">
      <selection activeCell="AG6" sqref="AG6"/>
    </sheetView>
  </sheetViews>
  <sheetFormatPr defaultColWidth="8.72727272727273" defaultRowHeight="14.5"/>
  <cols>
    <col min="4" max="4" width="14.9272727272727" customWidth="1"/>
    <col min="7" max="7" width="12.0636363636364" customWidth="1"/>
    <col min="11" max="11" width="12.7272727272727" customWidth="1"/>
    <col min="12" max="12" width="10.2" customWidth="1"/>
  </cols>
  <sheetData>
    <row r="4" spans="2:12">
      <c r="B4" s="17" t="s">
        <v>1</v>
      </c>
    </row>
    <row r="5" spans="2:12">
      <c r="B5" t="s">
        <v>2</v>
      </c>
    </row>
    <row r="7" spans="2:12">
      <c r="J7" t="s">
        <v>3</v>
      </c>
    </row>
    <row r="10" ht="16" spans="2:12"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  <c r="J10" t="s">
        <v>13</v>
      </c>
      <c r="K10" s="27" t="s">
        <v>4451</v>
      </c>
      <c r="L10" t="s">
        <v>15</v>
      </c>
    </row>
    <row r="11" ht="16" spans="2:12">
      <c r="B11" t="s">
        <v>4454</v>
      </c>
      <c r="D11" s="27" t="s">
        <v>4456</v>
      </c>
      <c r="I11">
        <v>2020</v>
      </c>
      <c r="J11" t="s">
        <v>21</v>
      </c>
      <c r="K11">
        <v>1</v>
      </c>
      <c r="L11" s="28">
        <v>0.1</v>
      </c>
    </row>
    <row r="12" ht="16" spans="2:12">
      <c r="D12" s="27" t="s">
        <v>4456</v>
      </c>
      <c r="I12">
        <v>2021</v>
      </c>
      <c r="J12" t="s">
        <v>21</v>
      </c>
      <c r="K12">
        <v>1</v>
      </c>
      <c r="L12" s="28">
        <v>0.1</v>
      </c>
    </row>
    <row r="13" ht="16" spans="2:12">
      <c r="D13" s="27" t="s">
        <v>4456</v>
      </c>
      <c r="I13">
        <v>2022</v>
      </c>
      <c r="J13" t="s">
        <v>21</v>
      </c>
      <c r="K13">
        <v>1</v>
      </c>
      <c r="L13" s="28">
        <v>0.1</v>
      </c>
    </row>
    <row r="14" ht="16" spans="2:12">
      <c r="D14" s="27" t="s">
        <v>4456</v>
      </c>
      <c r="I14">
        <v>2023</v>
      </c>
      <c r="J14" t="s">
        <v>21</v>
      </c>
      <c r="K14">
        <v>1</v>
      </c>
      <c r="L14" s="28">
        <v>0.1</v>
      </c>
    </row>
    <row r="15" ht="16" spans="2:12">
      <c r="D15" s="27" t="s">
        <v>4456</v>
      </c>
      <c r="I15">
        <v>2024</v>
      </c>
      <c r="J15" t="s">
        <v>21</v>
      </c>
      <c r="K15">
        <v>1</v>
      </c>
      <c r="L15" s="28">
        <v>0.1</v>
      </c>
    </row>
    <row r="16" ht="16" spans="2:12">
      <c r="D16" s="27" t="s">
        <v>4456</v>
      </c>
      <c r="I16">
        <v>2025</v>
      </c>
      <c r="J16" t="s">
        <v>21</v>
      </c>
      <c r="K16">
        <v>1</v>
      </c>
      <c r="L16" s="28">
        <v>0.1</v>
      </c>
    </row>
    <row r="17" ht="16" spans="4:12">
      <c r="D17" s="27" t="s">
        <v>4456</v>
      </c>
      <c r="I17">
        <v>2026</v>
      </c>
      <c r="J17" t="s">
        <v>21</v>
      </c>
      <c r="K17">
        <v>1</v>
      </c>
      <c r="L17" s="28">
        <v>0.1</v>
      </c>
    </row>
    <row r="18" ht="16" spans="4:12">
      <c r="D18" s="27" t="s">
        <v>4456</v>
      </c>
      <c r="I18">
        <v>2027</v>
      </c>
      <c r="J18" t="s">
        <v>21</v>
      </c>
      <c r="K18">
        <v>1</v>
      </c>
      <c r="L18" s="28">
        <v>0.1</v>
      </c>
    </row>
    <row r="19" ht="16" spans="4:12">
      <c r="D19" s="27" t="s">
        <v>4456</v>
      </c>
      <c r="I19">
        <v>2028</v>
      </c>
      <c r="J19" t="s">
        <v>21</v>
      </c>
      <c r="K19">
        <v>1</v>
      </c>
      <c r="L19" s="28">
        <v>0.1</v>
      </c>
    </row>
    <row r="20" ht="16" spans="4:12">
      <c r="D20" s="27" t="s">
        <v>4456</v>
      </c>
      <c r="I20">
        <v>2029</v>
      </c>
      <c r="J20" t="s">
        <v>21</v>
      </c>
      <c r="K20">
        <v>1</v>
      </c>
      <c r="L20" s="28">
        <v>0.1</v>
      </c>
    </row>
    <row r="21" ht="16" spans="4:12">
      <c r="D21" s="27" t="s">
        <v>4456</v>
      </c>
      <c r="I21">
        <v>2030</v>
      </c>
      <c r="J21" t="s">
        <v>21</v>
      </c>
      <c r="K21">
        <v>1</v>
      </c>
      <c r="L21" s="28">
        <v>0.1</v>
      </c>
    </row>
    <row r="22" ht="16" spans="4:12">
      <c r="D22" s="27" t="s">
        <v>4456</v>
      </c>
      <c r="I22">
        <v>2031</v>
      </c>
      <c r="J22" t="s">
        <v>21</v>
      </c>
      <c r="K22">
        <v>1</v>
      </c>
      <c r="L22" s="28">
        <v>0.1</v>
      </c>
    </row>
    <row r="23" ht="16" spans="4:12">
      <c r="D23" s="27" t="s">
        <v>4456</v>
      </c>
      <c r="I23">
        <v>2032</v>
      </c>
      <c r="J23" t="s">
        <v>21</v>
      </c>
      <c r="K23">
        <v>1</v>
      </c>
      <c r="L23" s="28">
        <v>0.1</v>
      </c>
    </row>
    <row r="24" ht="16" spans="4:12">
      <c r="D24" s="27" t="s">
        <v>4456</v>
      </c>
      <c r="I24">
        <v>2033</v>
      </c>
      <c r="J24" t="s">
        <v>21</v>
      </c>
      <c r="K24">
        <v>1</v>
      </c>
      <c r="L24" s="28">
        <v>0.1</v>
      </c>
    </row>
    <row r="25" ht="16" spans="4:12">
      <c r="D25" s="27" t="s">
        <v>4456</v>
      </c>
      <c r="I25">
        <v>2034</v>
      </c>
      <c r="J25" t="s">
        <v>21</v>
      </c>
      <c r="K25">
        <v>1</v>
      </c>
      <c r="L25" s="28">
        <v>0.1</v>
      </c>
    </row>
    <row r="26" ht="16" spans="4:12">
      <c r="D26" s="27" t="s">
        <v>4456</v>
      </c>
      <c r="I26">
        <v>2035</v>
      </c>
      <c r="J26" t="s">
        <v>21</v>
      </c>
      <c r="K26">
        <v>1</v>
      </c>
      <c r="L26" s="28">
        <v>0.1</v>
      </c>
    </row>
    <row r="27" ht="16" spans="4:12">
      <c r="D27" s="27" t="s">
        <v>4456</v>
      </c>
      <c r="I27">
        <v>2036</v>
      </c>
      <c r="J27" t="s">
        <v>21</v>
      </c>
      <c r="K27">
        <v>1</v>
      </c>
      <c r="L27" s="28">
        <v>0.1</v>
      </c>
    </row>
    <row r="28" ht="16" spans="4:12">
      <c r="D28" s="27" t="s">
        <v>4456</v>
      </c>
      <c r="I28">
        <v>2037</v>
      </c>
      <c r="J28" t="s">
        <v>21</v>
      </c>
      <c r="K28">
        <v>1</v>
      </c>
      <c r="L28" s="28">
        <v>0.1</v>
      </c>
    </row>
    <row r="29" ht="16" spans="4:12">
      <c r="D29" s="27" t="s">
        <v>4456</v>
      </c>
      <c r="I29">
        <v>2038</v>
      </c>
      <c r="J29" t="s">
        <v>21</v>
      </c>
      <c r="K29">
        <v>1</v>
      </c>
      <c r="L29" s="28">
        <v>0.1</v>
      </c>
    </row>
    <row r="30" ht="16" spans="4:12">
      <c r="D30" s="27" t="s">
        <v>4456</v>
      </c>
      <c r="I30">
        <v>2039</v>
      </c>
      <c r="J30" t="s">
        <v>21</v>
      </c>
      <c r="K30">
        <v>1</v>
      </c>
      <c r="L30" s="28">
        <v>0.1</v>
      </c>
    </row>
    <row r="31" ht="16" spans="4:12">
      <c r="D31" s="27" t="s">
        <v>4456</v>
      </c>
      <c r="I31">
        <v>2040</v>
      </c>
      <c r="J31" t="s">
        <v>21</v>
      </c>
      <c r="K31">
        <v>1</v>
      </c>
      <c r="L31" s="28">
        <v>0.1</v>
      </c>
    </row>
    <row r="32" ht="16" spans="4:12">
      <c r="D32" s="27" t="s">
        <v>4456</v>
      </c>
      <c r="I32">
        <v>2041</v>
      </c>
      <c r="J32" t="s">
        <v>21</v>
      </c>
      <c r="K32">
        <v>1</v>
      </c>
      <c r="L32" s="28">
        <v>0.1</v>
      </c>
    </row>
    <row r="33" ht="16" spans="4:12">
      <c r="D33" s="27" t="s">
        <v>4456</v>
      </c>
      <c r="I33">
        <v>2042</v>
      </c>
      <c r="J33" t="s">
        <v>21</v>
      </c>
      <c r="K33">
        <v>1</v>
      </c>
      <c r="L33" s="28">
        <v>0.1</v>
      </c>
    </row>
    <row r="34" ht="16" spans="4:12">
      <c r="D34" s="27" t="s">
        <v>4456</v>
      </c>
      <c r="I34">
        <v>2043</v>
      </c>
      <c r="J34" t="s">
        <v>21</v>
      </c>
      <c r="K34">
        <v>1</v>
      </c>
      <c r="L34" s="28">
        <v>0.1</v>
      </c>
    </row>
    <row r="35" ht="16" spans="4:12">
      <c r="D35" s="27" t="s">
        <v>4456</v>
      </c>
      <c r="I35">
        <v>2044</v>
      </c>
      <c r="J35" t="s">
        <v>21</v>
      </c>
      <c r="K35">
        <v>1</v>
      </c>
      <c r="L35" s="28">
        <v>0.1</v>
      </c>
    </row>
    <row r="36" ht="16" spans="4:12">
      <c r="D36" s="27" t="s">
        <v>4456</v>
      </c>
      <c r="I36">
        <v>2045</v>
      </c>
      <c r="J36" t="s">
        <v>21</v>
      </c>
      <c r="K36">
        <v>1</v>
      </c>
      <c r="L36" s="28">
        <v>0.1</v>
      </c>
    </row>
    <row r="37" ht="16" spans="4:12">
      <c r="D37" s="27" t="s">
        <v>4456</v>
      </c>
      <c r="I37">
        <v>2046</v>
      </c>
      <c r="J37" t="s">
        <v>21</v>
      </c>
      <c r="K37">
        <v>1</v>
      </c>
      <c r="L37" s="28">
        <v>0.1</v>
      </c>
    </row>
    <row r="38" ht="16" spans="4:12">
      <c r="D38" s="27" t="s">
        <v>4456</v>
      </c>
      <c r="I38">
        <v>2047</v>
      </c>
      <c r="J38" t="s">
        <v>21</v>
      </c>
      <c r="K38">
        <v>1</v>
      </c>
      <c r="L38" s="28">
        <v>0.1</v>
      </c>
    </row>
    <row r="39" ht="16" spans="4:12">
      <c r="D39" s="27" t="s">
        <v>4456</v>
      </c>
      <c r="I39">
        <v>2048</v>
      </c>
      <c r="J39" t="s">
        <v>21</v>
      </c>
      <c r="K39">
        <v>1</v>
      </c>
      <c r="L39" s="28">
        <v>0.1</v>
      </c>
    </row>
    <row r="40" ht="16" spans="4:12">
      <c r="D40" s="27" t="s">
        <v>4456</v>
      </c>
      <c r="I40">
        <v>2049</v>
      </c>
      <c r="J40" t="s">
        <v>21</v>
      </c>
      <c r="K40">
        <v>1</v>
      </c>
      <c r="L40" s="28">
        <v>0.1</v>
      </c>
    </row>
    <row r="41" ht="16" spans="4:12">
      <c r="D41" s="27" t="s">
        <v>4456</v>
      </c>
      <c r="I41">
        <v>2050</v>
      </c>
      <c r="J41" t="s">
        <v>21</v>
      </c>
      <c r="K41">
        <v>1</v>
      </c>
      <c r="L41" s="28">
        <v>0.1</v>
      </c>
    </row>
    <row r="42" ht="16" spans="4:12">
      <c r="D42" s="27" t="s">
        <v>4456</v>
      </c>
      <c r="I42">
        <v>2051</v>
      </c>
      <c r="J42" t="s">
        <v>21</v>
      </c>
      <c r="K42">
        <v>1</v>
      </c>
      <c r="L42" s="28">
        <v>0.1</v>
      </c>
    </row>
    <row r="43" ht="16" spans="4:12">
      <c r="D43" s="27" t="s">
        <v>4456</v>
      </c>
      <c r="I43">
        <v>2052</v>
      </c>
      <c r="J43" t="s">
        <v>21</v>
      </c>
      <c r="K43">
        <v>1</v>
      </c>
      <c r="L43" s="28">
        <v>0.1</v>
      </c>
    </row>
    <row r="44" ht="16" spans="4:12">
      <c r="D44" s="27" t="s">
        <v>4456</v>
      </c>
      <c r="I44">
        <v>2053</v>
      </c>
      <c r="J44" t="s">
        <v>21</v>
      </c>
      <c r="K44">
        <v>1</v>
      </c>
      <c r="L44" s="28">
        <v>0.1</v>
      </c>
    </row>
    <row r="45" ht="16" spans="4:12">
      <c r="D45" s="27" t="s">
        <v>4456</v>
      </c>
      <c r="I45">
        <v>2054</v>
      </c>
      <c r="J45" t="s">
        <v>21</v>
      </c>
      <c r="K45">
        <v>1</v>
      </c>
      <c r="L45" s="28">
        <v>0.1</v>
      </c>
    </row>
    <row r="46" ht="16" spans="4:12">
      <c r="D46" s="27" t="s">
        <v>4456</v>
      </c>
      <c r="I46">
        <v>2055</v>
      </c>
      <c r="J46" t="s">
        <v>21</v>
      </c>
      <c r="K46">
        <v>1</v>
      </c>
      <c r="L46" s="28">
        <v>0.1</v>
      </c>
    </row>
    <row r="47" ht="16" spans="4:12">
      <c r="D47" s="27" t="s">
        <v>4456</v>
      </c>
      <c r="I47">
        <v>2056</v>
      </c>
      <c r="J47" t="s">
        <v>21</v>
      </c>
      <c r="K47">
        <v>1</v>
      </c>
      <c r="L47" s="28">
        <v>0.1</v>
      </c>
    </row>
    <row r="48" ht="16" spans="4:12">
      <c r="D48" s="27" t="s">
        <v>4456</v>
      </c>
      <c r="I48">
        <v>2057</v>
      </c>
      <c r="J48" t="s">
        <v>21</v>
      </c>
      <c r="K48">
        <v>1</v>
      </c>
      <c r="L48" s="28">
        <v>0.1</v>
      </c>
    </row>
    <row r="49" ht="16" spans="4:12">
      <c r="D49" s="27" t="s">
        <v>4456</v>
      </c>
      <c r="I49">
        <v>2058</v>
      </c>
      <c r="J49" t="s">
        <v>21</v>
      </c>
      <c r="K49">
        <v>1</v>
      </c>
      <c r="L49" s="28">
        <v>0.1</v>
      </c>
    </row>
    <row r="50" ht="16" spans="4:12">
      <c r="D50" s="27" t="s">
        <v>4456</v>
      </c>
      <c r="I50">
        <v>2059</v>
      </c>
      <c r="J50" t="s">
        <v>21</v>
      </c>
      <c r="K50">
        <v>1</v>
      </c>
      <c r="L50" s="28">
        <v>0.1</v>
      </c>
    </row>
    <row r="51" ht="16" spans="4:12">
      <c r="D51" s="27" t="s">
        <v>4456</v>
      </c>
      <c r="I51">
        <v>2060</v>
      </c>
      <c r="J51" t="s">
        <v>21</v>
      </c>
      <c r="K51">
        <v>1</v>
      </c>
      <c r="L51" s="28">
        <v>0.1</v>
      </c>
    </row>
    <row r="52" ht="16" spans="4:12">
      <c r="D52" s="27" t="s">
        <v>4456</v>
      </c>
      <c r="I52">
        <v>2061</v>
      </c>
      <c r="J52" t="s">
        <v>21</v>
      </c>
      <c r="K52">
        <v>1</v>
      </c>
      <c r="L52" s="28">
        <v>0.1</v>
      </c>
    </row>
    <row r="53" ht="16" spans="4:12">
      <c r="D53" s="27" t="s">
        <v>4456</v>
      </c>
      <c r="I53">
        <v>2062</v>
      </c>
      <c r="J53" t="s">
        <v>21</v>
      </c>
      <c r="K53">
        <v>1</v>
      </c>
      <c r="L53" s="28">
        <v>0.1</v>
      </c>
    </row>
    <row r="54" ht="16" spans="4:12">
      <c r="D54" s="27" t="s">
        <v>4456</v>
      </c>
      <c r="I54">
        <v>2063</v>
      </c>
      <c r="J54" t="s">
        <v>21</v>
      </c>
      <c r="K54">
        <v>1</v>
      </c>
      <c r="L54" s="28">
        <v>0.1</v>
      </c>
    </row>
    <row r="55" ht="16" spans="4:12">
      <c r="D55" s="27" t="s">
        <v>4456</v>
      </c>
      <c r="I55">
        <v>2064</v>
      </c>
      <c r="J55" t="s">
        <v>21</v>
      </c>
      <c r="K55">
        <v>1</v>
      </c>
      <c r="L55" s="28">
        <v>0.1</v>
      </c>
    </row>
    <row r="56" ht="16" spans="4:12">
      <c r="D56" s="27" t="s">
        <v>4456</v>
      </c>
      <c r="I56">
        <v>2065</v>
      </c>
      <c r="J56" t="s">
        <v>21</v>
      </c>
      <c r="K56">
        <v>1</v>
      </c>
      <c r="L56" s="28">
        <v>0.1</v>
      </c>
    </row>
    <row r="57" ht="16" spans="4:12">
      <c r="D57" s="27" t="s">
        <v>4456</v>
      </c>
      <c r="I57">
        <v>2066</v>
      </c>
      <c r="J57" t="s">
        <v>21</v>
      </c>
      <c r="K57">
        <v>1</v>
      </c>
      <c r="L57" s="28">
        <v>0.1</v>
      </c>
    </row>
    <row r="58" ht="16" spans="4:12">
      <c r="D58" s="27" t="s">
        <v>4456</v>
      </c>
      <c r="I58">
        <v>2067</v>
      </c>
      <c r="J58" t="s">
        <v>21</v>
      </c>
      <c r="K58">
        <v>1</v>
      </c>
      <c r="L58" s="28">
        <v>0.1</v>
      </c>
    </row>
    <row r="59" ht="16" spans="4:12">
      <c r="D59" s="27" t="s">
        <v>4456</v>
      </c>
      <c r="I59">
        <v>2068</v>
      </c>
      <c r="J59" t="s">
        <v>21</v>
      </c>
      <c r="K59">
        <v>1</v>
      </c>
      <c r="L59" s="28">
        <v>0.1</v>
      </c>
    </row>
    <row r="60" ht="16" spans="4:12">
      <c r="D60" s="27" t="s">
        <v>4456</v>
      </c>
      <c r="I60">
        <v>2069</v>
      </c>
      <c r="J60" t="s">
        <v>21</v>
      </c>
      <c r="K60">
        <v>1</v>
      </c>
      <c r="L60" s="28">
        <v>0.1</v>
      </c>
    </row>
    <row r="61" ht="16" spans="4:12">
      <c r="D61" s="27" t="s">
        <v>4456</v>
      </c>
      <c r="I61">
        <v>2070</v>
      </c>
      <c r="J61" t="s">
        <v>21</v>
      </c>
      <c r="K61">
        <v>1</v>
      </c>
      <c r="L61" s="28">
        <v>0.1</v>
      </c>
    </row>
    <row r="62" ht="16" spans="4:12">
      <c r="D62" s="27" t="s">
        <v>4456</v>
      </c>
      <c r="I62">
        <v>2071</v>
      </c>
      <c r="J62" t="s">
        <v>21</v>
      </c>
      <c r="K62">
        <v>1</v>
      </c>
      <c r="L62" s="28">
        <v>0.1</v>
      </c>
    </row>
    <row r="63" ht="16" spans="4:12">
      <c r="D63" s="27" t="s">
        <v>4456</v>
      </c>
      <c r="I63">
        <v>2072</v>
      </c>
      <c r="J63" t="s">
        <v>21</v>
      </c>
      <c r="K63">
        <v>1</v>
      </c>
      <c r="L63" s="28">
        <v>0.1</v>
      </c>
    </row>
    <row r="64" ht="16" spans="4:12">
      <c r="D64" s="27" t="s">
        <v>4456</v>
      </c>
      <c r="I64">
        <v>2073</v>
      </c>
      <c r="J64" t="s">
        <v>21</v>
      </c>
      <c r="K64">
        <v>1</v>
      </c>
      <c r="L64" s="28">
        <v>0.1</v>
      </c>
    </row>
    <row r="65" ht="16" spans="4:12">
      <c r="D65" s="27" t="s">
        <v>4456</v>
      </c>
      <c r="I65">
        <v>2074</v>
      </c>
      <c r="J65" t="s">
        <v>21</v>
      </c>
      <c r="K65">
        <v>1</v>
      </c>
      <c r="L65" s="28">
        <v>0.1</v>
      </c>
    </row>
    <row r="66" ht="16" spans="4:12">
      <c r="D66" s="27" t="s">
        <v>4456</v>
      </c>
      <c r="I66">
        <v>2075</v>
      </c>
      <c r="J66" t="s">
        <v>21</v>
      </c>
      <c r="K66">
        <v>1</v>
      </c>
      <c r="L66" s="28">
        <v>0.1</v>
      </c>
    </row>
    <row r="67" ht="16" spans="4:12">
      <c r="D67" s="27" t="s">
        <v>4456</v>
      </c>
      <c r="I67">
        <v>2076</v>
      </c>
      <c r="J67" t="s">
        <v>21</v>
      </c>
      <c r="K67">
        <v>1</v>
      </c>
      <c r="L67" s="28">
        <v>0.1</v>
      </c>
    </row>
    <row r="68" ht="16" spans="4:12">
      <c r="D68" s="27" t="s">
        <v>4456</v>
      </c>
      <c r="I68">
        <v>2077</v>
      </c>
      <c r="J68" t="s">
        <v>21</v>
      </c>
      <c r="K68">
        <v>1</v>
      </c>
      <c r="L68" s="28">
        <v>0.1</v>
      </c>
    </row>
    <row r="69" ht="16" spans="4:12">
      <c r="D69" s="27" t="s">
        <v>4456</v>
      </c>
      <c r="I69">
        <v>2078</v>
      </c>
      <c r="J69" t="s">
        <v>21</v>
      </c>
      <c r="K69">
        <v>1</v>
      </c>
      <c r="L69" s="28">
        <v>0.1</v>
      </c>
    </row>
    <row r="70" ht="16" spans="4:12">
      <c r="D70" s="27" t="s">
        <v>4456</v>
      </c>
      <c r="I70">
        <v>2079</v>
      </c>
      <c r="J70" t="s">
        <v>21</v>
      </c>
      <c r="K70">
        <v>1</v>
      </c>
      <c r="L70" s="28">
        <v>0.1</v>
      </c>
    </row>
    <row r="71" ht="16" spans="4:12">
      <c r="D71" s="27" t="s">
        <v>4456</v>
      </c>
      <c r="I71">
        <v>2080</v>
      </c>
      <c r="J71" t="s">
        <v>21</v>
      </c>
      <c r="K71">
        <v>1</v>
      </c>
      <c r="L71" s="28">
        <v>0.1</v>
      </c>
    </row>
    <row r="72" ht="16" spans="4:12">
      <c r="D72" s="27" t="s">
        <v>4456</v>
      </c>
      <c r="I72">
        <v>2081</v>
      </c>
      <c r="J72" t="s">
        <v>21</v>
      </c>
      <c r="K72">
        <v>1</v>
      </c>
      <c r="L72" s="28">
        <v>0.1</v>
      </c>
    </row>
    <row r="73" ht="16" spans="4:12">
      <c r="D73" s="27" t="s">
        <v>4456</v>
      </c>
      <c r="I73">
        <v>2082</v>
      </c>
      <c r="J73" t="s">
        <v>21</v>
      </c>
      <c r="K73">
        <v>1</v>
      </c>
      <c r="L73" s="28">
        <v>0.1</v>
      </c>
    </row>
    <row r="74" ht="16" spans="4:12">
      <c r="D74" s="27" t="s">
        <v>4456</v>
      </c>
      <c r="I74">
        <v>2083</v>
      </c>
      <c r="J74" t="s">
        <v>21</v>
      </c>
      <c r="K74">
        <v>1</v>
      </c>
      <c r="L74" s="28">
        <v>0.1</v>
      </c>
    </row>
    <row r="75" ht="16" spans="4:12">
      <c r="D75" s="27" t="s">
        <v>4456</v>
      </c>
      <c r="I75">
        <v>2084</v>
      </c>
      <c r="J75" t="s">
        <v>21</v>
      </c>
      <c r="K75">
        <v>1</v>
      </c>
      <c r="L75" s="28">
        <v>0.1</v>
      </c>
    </row>
    <row r="76" ht="16" spans="4:12">
      <c r="D76" s="27" t="s">
        <v>4456</v>
      </c>
      <c r="I76">
        <v>2085</v>
      </c>
      <c r="J76" t="s">
        <v>21</v>
      </c>
      <c r="K76">
        <v>1</v>
      </c>
      <c r="L76" s="28">
        <v>0.1</v>
      </c>
    </row>
    <row r="77" ht="16" spans="4:12">
      <c r="D77" s="27" t="s">
        <v>4456</v>
      </c>
      <c r="I77">
        <v>2086</v>
      </c>
      <c r="J77" t="s">
        <v>21</v>
      </c>
      <c r="K77">
        <v>1</v>
      </c>
      <c r="L77" s="28">
        <v>0.1</v>
      </c>
    </row>
    <row r="78" ht="16" spans="4:12">
      <c r="D78" s="27" t="s">
        <v>4456</v>
      </c>
      <c r="I78">
        <v>2087</v>
      </c>
      <c r="J78" t="s">
        <v>21</v>
      </c>
      <c r="K78">
        <v>1</v>
      </c>
      <c r="L78" s="28">
        <v>0.1</v>
      </c>
    </row>
    <row r="79" ht="16" spans="4:12">
      <c r="D79" s="27" t="s">
        <v>4456</v>
      </c>
      <c r="I79">
        <v>2088</v>
      </c>
      <c r="J79" t="s">
        <v>21</v>
      </c>
      <c r="K79">
        <v>1</v>
      </c>
      <c r="L79" s="28">
        <v>0.1</v>
      </c>
    </row>
    <row r="80" ht="16" spans="4:12">
      <c r="D80" s="27" t="s">
        <v>4456</v>
      </c>
      <c r="I80">
        <v>2089</v>
      </c>
      <c r="J80" t="s">
        <v>21</v>
      </c>
      <c r="K80">
        <v>1</v>
      </c>
      <c r="L80" s="28">
        <v>0.1</v>
      </c>
    </row>
    <row r="81" ht="16" spans="4:12">
      <c r="D81" s="27" t="s">
        <v>4456</v>
      </c>
      <c r="I81">
        <v>2090</v>
      </c>
      <c r="J81" t="s">
        <v>21</v>
      </c>
      <c r="K81">
        <v>1</v>
      </c>
      <c r="L81" s="28">
        <v>0.1</v>
      </c>
    </row>
    <row r="82" ht="16" spans="4:12">
      <c r="D82" s="27" t="s">
        <v>4456</v>
      </c>
      <c r="I82">
        <v>2091</v>
      </c>
      <c r="J82" t="s">
        <v>21</v>
      </c>
      <c r="K82">
        <v>1</v>
      </c>
      <c r="L82" s="28">
        <v>0.1</v>
      </c>
    </row>
    <row r="83" ht="16" spans="4:12">
      <c r="D83" s="27" t="s">
        <v>4456</v>
      </c>
      <c r="I83">
        <v>2092</v>
      </c>
      <c r="J83" t="s">
        <v>21</v>
      </c>
      <c r="K83">
        <v>1</v>
      </c>
      <c r="L83" s="28">
        <v>0.1</v>
      </c>
    </row>
    <row r="84" ht="16" spans="4:12">
      <c r="D84" s="27" t="s">
        <v>4456</v>
      </c>
      <c r="I84">
        <v>2093</v>
      </c>
      <c r="J84" t="s">
        <v>21</v>
      </c>
      <c r="K84">
        <v>1</v>
      </c>
      <c r="L84" s="28">
        <v>0.1</v>
      </c>
    </row>
    <row r="85" ht="16" spans="4:12">
      <c r="D85" s="27" t="s">
        <v>4456</v>
      </c>
      <c r="I85">
        <v>2094</v>
      </c>
      <c r="J85" t="s">
        <v>21</v>
      </c>
      <c r="K85">
        <v>1</v>
      </c>
      <c r="L85" s="28">
        <v>0.1</v>
      </c>
    </row>
    <row r="86" ht="16" spans="4:12">
      <c r="D86" s="27" t="s">
        <v>4456</v>
      </c>
      <c r="I86">
        <v>2095</v>
      </c>
      <c r="J86" t="s">
        <v>21</v>
      </c>
      <c r="K86">
        <v>1</v>
      </c>
      <c r="L86" s="28">
        <v>0.1</v>
      </c>
    </row>
    <row r="87" ht="16" spans="4:12">
      <c r="D87" s="27" t="s">
        <v>4456</v>
      </c>
      <c r="I87">
        <v>2096</v>
      </c>
      <c r="J87" t="s">
        <v>21</v>
      </c>
      <c r="K87">
        <v>1</v>
      </c>
      <c r="L87" s="28">
        <v>0.1</v>
      </c>
    </row>
    <row r="88" ht="16" spans="4:12">
      <c r="D88" s="27" t="s">
        <v>4456</v>
      </c>
      <c r="I88">
        <v>2097</v>
      </c>
      <c r="J88" t="s">
        <v>21</v>
      </c>
      <c r="K88">
        <v>1</v>
      </c>
      <c r="L88" s="28">
        <v>0.1</v>
      </c>
    </row>
    <row r="89" ht="16" spans="4:12">
      <c r="D89" s="27" t="s">
        <v>4456</v>
      </c>
      <c r="I89">
        <v>2098</v>
      </c>
      <c r="J89" t="s">
        <v>21</v>
      </c>
      <c r="K89">
        <v>1</v>
      </c>
      <c r="L89" s="28">
        <v>0.1</v>
      </c>
    </row>
    <row r="90" ht="16" spans="4:12">
      <c r="D90" s="27" t="s">
        <v>4456</v>
      </c>
      <c r="I90">
        <v>2099</v>
      </c>
      <c r="J90" t="s">
        <v>21</v>
      </c>
      <c r="K90">
        <v>1</v>
      </c>
      <c r="L90" s="28">
        <v>0.1</v>
      </c>
    </row>
    <row r="91" ht="16" spans="4:12">
      <c r="D91" s="27" t="s">
        <v>4456</v>
      </c>
      <c r="I91">
        <v>2100</v>
      </c>
      <c r="J91" t="s">
        <v>21</v>
      </c>
      <c r="K91">
        <v>1</v>
      </c>
      <c r="L91" s="28">
        <v>0.1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91"/>
  <sheetViews>
    <sheetView zoomScale="58" zoomScaleNormal="58" workbookViewId="0">
      <selection activeCell="AG6" sqref="AG6"/>
    </sheetView>
  </sheetViews>
  <sheetFormatPr defaultColWidth="8.72727272727273" defaultRowHeight="14.5"/>
  <cols>
    <col min="4" max="4" width="14.9272727272727" customWidth="1"/>
    <col min="7" max="7" width="12.0636363636364" customWidth="1"/>
    <col min="11" max="11" width="12.7272727272727" customWidth="1"/>
    <col min="12" max="12" width="10.2" customWidth="1"/>
  </cols>
  <sheetData>
    <row r="4" spans="2:12">
      <c r="B4" s="17" t="s">
        <v>1</v>
      </c>
    </row>
    <row r="5" spans="2:12">
      <c r="B5" t="s">
        <v>2</v>
      </c>
    </row>
    <row r="7" spans="2:12">
      <c r="J7" t="s">
        <v>3</v>
      </c>
    </row>
    <row r="10" ht="16" spans="2:12"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  <c r="J10" t="s">
        <v>13</v>
      </c>
      <c r="K10" s="27" t="s">
        <v>4451</v>
      </c>
      <c r="L10" t="s">
        <v>15</v>
      </c>
    </row>
    <row r="11" ht="16" spans="2:12">
      <c r="B11" t="s">
        <v>4454</v>
      </c>
      <c r="D11" s="27" t="s">
        <v>4457</v>
      </c>
      <c r="I11">
        <v>2020</v>
      </c>
      <c r="J11" t="s">
        <v>21</v>
      </c>
      <c r="K11">
        <v>1</v>
      </c>
      <c r="L11" s="28">
        <v>0.1</v>
      </c>
    </row>
    <row r="12" ht="16" spans="2:12">
      <c r="D12" s="27" t="s">
        <v>4457</v>
      </c>
      <c r="I12">
        <v>2021</v>
      </c>
      <c r="J12" t="s">
        <v>21</v>
      </c>
      <c r="K12">
        <v>1</v>
      </c>
      <c r="L12" s="28">
        <v>0.1</v>
      </c>
    </row>
    <row r="13" ht="16" spans="2:12">
      <c r="D13" s="27" t="s">
        <v>4457</v>
      </c>
      <c r="I13">
        <v>2022</v>
      </c>
      <c r="J13" t="s">
        <v>21</v>
      </c>
      <c r="K13">
        <v>1</v>
      </c>
      <c r="L13" s="28">
        <v>0.1</v>
      </c>
    </row>
    <row r="14" ht="16" spans="2:12">
      <c r="D14" s="27" t="s">
        <v>4457</v>
      </c>
      <c r="I14">
        <v>2023</v>
      </c>
      <c r="J14" t="s">
        <v>21</v>
      </c>
      <c r="K14">
        <v>1</v>
      </c>
      <c r="L14" s="28">
        <v>0.1</v>
      </c>
    </row>
    <row r="15" ht="16" spans="2:12">
      <c r="D15" s="27" t="s">
        <v>4457</v>
      </c>
      <c r="I15">
        <v>2024</v>
      </c>
      <c r="J15" t="s">
        <v>21</v>
      </c>
      <c r="K15">
        <v>1</v>
      </c>
      <c r="L15" s="28">
        <v>0.1</v>
      </c>
    </row>
    <row r="16" ht="16" spans="2:12">
      <c r="D16" s="27" t="s">
        <v>4457</v>
      </c>
      <c r="I16">
        <v>2025</v>
      </c>
      <c r="J16" t="s">
        <v>21</v>
      </c>
      <c r="K16">
        <v>1</v>
      </c>
      <c r="L16" s="28">
        <v>0.1</v>
      </c>
    </row>
    <row r="17" ht="16" spans="4:12">
      <c r="D17" s="27" t="s">
        <v>4457</v>
      </c>
      <c r="I17">
        <v>2026</v>
      </c>
      <c r="J17" t="s">
        <v>21</v>
      </c>
      <c r="K17">
        <v>1</v>
      </c>
      <c r="L17" s="28">
        <v>0.1</v>
      </c>
    </row>
    <row r="18" ht="16" spans="4:12">
      <c r="D18" s="27" t="s">
        <v>4457</v>
      </c>
      <c r="I18">
        <v>2027</v>
      </c>
      <c r="J18" t="s">
        <v>21</v>
      </c>
      <c r="K18">
        <v>1</v>
      </c>
      <c r="L18" s="28">
        <v>0.1</v>
      </c>
    </row>
    <row r="19" ht="16" spans="4:12">
      <c r="D19" s="27" t="s">
        <v>4457</v>
      </c>
      <c r="I19">
        <v>2028</v>
      </c>
      <c r="J19" t="s">
        <v>21</v>
      </c>
      <c r="K19">
        <v>1</v>
      </c>
      <c r="L19" s="28">
        <v>0.1</v>
      </c>
    </row>
    <row r="20" ht="16" spans="4:12">
      <c r="D20" s="27" t="s">
        <v>4457</v>
      </c>
      <c r="I20">
        <v>2029</v>
      </c>
      <c r="J20" t="s">
        <v>21</v>
      </c>
      <c r="K20">
        <v>1</v>
      </c>
      <c r="L20" s="28">
        <v>0.1</v>
      </c>
    </row>
    <row r="21" ht="16" spans="4:12">
      <c r="D21" s="27" t="s">
        <v>4457</v>
      </c>
      <c r="I21">
        <v>2030</v>
      </c>
      <c r="J21" t="s">
        <v>21</v>
      </c>
      <c r="K21">
        <v>1</v>
      </c>
      <c r="L21" s="28">
        <v>0.1</v>
      </c>
    </row>
    <row r="22" ht="16" spans="4:12">
      <c r="D22" s="27" t="s">
        <v>4457</v>
      </c>
      <c r="I22">
        <v>2031</v>
      </c>
      <c r="J22" t="s">
        <v>21</v>
      </c>
      <c r="K22">
        <v>1</v>
      </c>
      <c r="L22" s="28">
        <v>0.1</v>
      </c>
    </row>
    <row r="23" ht="16" spans="4:12">
      <c r="D23" s="27" t="s">
        <v>4457</v>
      </c>
      <c r="I23">
        <v>2032</v>
      </c>
      <c r="J23" t="s">
        <v>21</v>
      </c>
      <c r="K23">
        <v>1</v>
      </c>
      <c r="L23" s="28">
        <v>0.1</v>
      </c>
    </row>
    <row r="24" ht="16" spans="4:12">
      <c r="D24" s="27" t="s">
        <v>4457</v>
      </c>
      <c r="I24">
        <v>2033</v>
      </c>
      <c r="J24" t="s">
        <v>21</v>
      </c>
      <c r="K24">
        <v>1</v>
      </c>
      <c r="L24" s="28">
        <v>0.1</v>
      </c>
    </row>
    <row r="25" ht="16" spans="4:12">
      <c r="D25" s="27" t="s">
        <v>4457</v>
      </c>
      <c r="I25">
        <v>2034</v>
      </c>
      <c r="J25" t="s">
        <v>21</v>
      </c>
      <c r="K25">
        <v>1</v>
      </c>
      <c r="L25" s="28">
        <v>0.1</v>
      </c>
    </row>
    <row r="26" ht="16" spans="4:12">
      <c r="D26" s="27" t="s">
        <v>4457</v>
      </c>
      <c r="I26">
        <v>2035</v>
      </c>
      <c r="J26" t="s">
        <v>21</v>
      </c>
      <c r="K26">
        <v>1</v>
      </c>
      <c r="L26" s="28">
        <v>0.1</v>
      </c>
    </row>
    <row r="27" ht="16" spans="4:12">
      <c r="D27" s="27" t="s">
        <v>4457</v>
      </c>
      <c r="I27">
        <v>2036</v>
      </c>
      <c r="J27" t="s">
        <v>21</v>
      </c>
      <c r="K27">
        <v>1</v>
      </c>
      <c r="L27" s="28">
        <v>0.1</v>
      </c>
    </row>
    <row r="28" ht="16" spans="4:12">
      <c r="D28" s="27" t="s">
        <v>4457</v>
      </c>
      <c r="I28">
        <v>2037</v>
      </c>
      <c r="J28" t="s">
        <v>21</v>
      </c>
      <c r="K28">
        <v>1</v>
      </c>
      <c r="L28" s="28">
        <v>0.1</v>
      </c>
    </row>
    <row r="29" ht="16" spans="4:12">
      <c r="D29" s="27" t="s">
        <v>4457</v>
      </c>
      <c r="I29">
        <v>2038</v>
      </c>
      <c r="J29" t="s">
        <v>21</v>
      </c>
      <c r="K29">
        <v>1</v>
      </c>
      <c r="L29" s="28">
        <v>0.1</v>
      </c>
    </row>
    <row r="30" ht="16" spans="4:12">
      <c r="D30" s="27" t="s">
        <v>4457</v>
      </c>
      <c r="I30">
        <v>2039</v>
      </c>
      <c r="J30" t="s">
        <v>21</v>
      </c>
      <c r="K30">
        <v>1</v>
      </c>
      <c r="L30" s="28">
        <v>0.1</v>
      </c>
    </row>
    <row r="31" ht="16" spans="4:12">
      <c r="D31" s="27" t="s">
        <v>4457</v>
      </c>
      <c r="I31">
        <v>2040</v>
      </c>
      <c r="J31" t="s">
        <v>21</v>
      </c>
      <c r="K31">
        <v>1</v>
      </c>
      <c r="L31" s="28">
        <v>0.1</v>
      </c>
    </row>
    <row r="32" ht="16" spans="4:12">
      <c r="D32" s="27" t="s">
        <v>4457</v>
      </c>
      <c r="I32">
        <v>2041</v>
      </c>
      <c r="J32" t="s">
        <v>21</v>
      </c>
      <c r="K32">
        <v>1</v>
      </c>
      <c r="L32" s="28">
        <v>0.1</v>
      </c>
    </row>
    <row r="33" ht="16" spans="4:12">
      <c r="D33" s="27" t="s">
        <v>4457</v>
      </c>
      <c r="I33">
        <v>2042</v>
      </c>
      <c r="J33" t="s">
        <v>21</v>
      </c>
      <c r="K33">
        <v>1</v>
      </c>
      <c r="L33" s="28">
        <v>0.1</v>
      </c>
    </row>
    <row r="34" ht="16" spans="4:12">
      <c r="D34" s="27" t="s">
        <v>4457</v>
      </c>
      <c r="I34">
        <v>2043</v>
      </c>
      <c r="J34" t="s">
        <v>21</v>
      </c>
      <c r="K34">
        <v>1</v>
      </c>
      <c r="L34" s="28">
        <v>0.1</v>
      </c>
    </row>
    <row r="35" ht="16" spans="4:12">
      <c r="D35" s="27" t="s">
        <v>4457</v>
      </c>
      <c r="I35">
        <v>2044</v>
      </c>
      <c r="J35" t="s">
        <v>21</v>
      </c>
      <c r="K35">
        <v>1</v>
      </c>
      <c r="L35" s="28">
        <v>0.1</v>
      </c>
    </row>
    <row r="36" ht="16" spans="4:12">
      <c r="D36" s="27" t="s">
        <v>4457</v>
      </c>
      <c r="I36">
        <v>2045</v>
      </c>
      <c r="J36" t="s">
        <v>21</v>
      </c>
      <c r="K36">
        <v>1</v>
      </c>
      <c r="L36" s="28">
        <v>0.1</v>
      </c>
    </row>
    <row r="37" ht="16" spans="4:12">
      <c r="D37" s="27" t="s">
        <v>4457</v>
      </c>
      <c r="I37">
        <v>2046</v>
      </c>
      <c r="J37" t="s">
        <v>21</v>
      </c>
      <c r="K37">
        <v>1</v>
      </c>
      <c r="L37" s="28">
        <v>0.1</v>
      </c>
    </row>
    <row r="38" ht="16" spans="4:12">
      <c r="D38" s="27" t="s">
        <v>4457</v>
      </c>
      <c r="I38">
        <v>2047</v>
      </c>
      <c r="J38" t="s">
        <v>21</v>
      </c>
      <c r="K38">
        <v>1</v>
      </c>
      <c r="L38" s="28">
        <v>0.1</v>
      </c>
    </row>
    <row r="39" ht="16" spans="4:12">
      <c r="D39" s="27" t="s">
        <v>4457</v>
      </c>
      <c r="I39">
        <v>2048</v>
      </c>
      <c r="J39" t="s">
        <v>21</v>
      </c>
      <c r="K39">
        <v>1</v>
      </c>
      <c r="L39" s="28">
        <v>0.1</v>
      </c>
    </row>
    <row r="40" ht="16" spans="4:12">
      <c r="D40" s="27" t="s">
        <v>4457</v>
      </c>
      <c r="I40">
        <v>2049</v>
      </c>
      <c r="J40" t="s">
        <v>21</v>
      </c>
      <c r="K40">
        <v>1</v>
      </c>
      <c r="L40" s="28">
        <v>0.1</v>
      </c>
    </row>
    <row r="41" ht="16" spans="4:12">
      <c r="D41" s="27" t="s">
        <v>4457</v>
      </c>
      <c r="I41">
        <v>2050</v>
      </c>
      <c r="J41" t="s">
        <v>21</v>
      </c>
      <c r="K41">
        <v>1</v>
      </c>
      <c r="L41" s="28">
        <v>0.1</v>
      </c>
    </row>
    <row r="42" ht="16" spans="4:12">
      <c r="D42" s="27" t="s">
        <v>4457</v>
      </c>
      <c r="I42">
        <v>2051</v>
      </c>
      <c r="J42" t="s">
        <v>21</v>
      </c>
      <c r="K42">
        <v>1</v>
      </c>
      <c r="L42" s="28">
        <v>0.1</v>
      </c>
    </row>
    <row r="43" ht="16" spans="4:12">
      <c r="D43" s="27" t="s">
        <v>4457</v>
      </c>
      <c r="I43">
        <v>2052</v>
      </c>
      <c r="J43" t="s">
        <v>21</v>
      </c>
      <c r="K43">
        <v>1</v>
      </c>
      <c r="L43" s="28">
        <v>0.1</v>
      </c>
    </row>
    <row r="44" ht="16" spans="4:12">
      <c r="D44" s="27" t="s">
        <v>4457</v>
      </c>
      <c r="I44">
        <v>2053</v>
      </c>
      <c r="J44" t="s">
        <v>21</v>
      </c>
      <c r="K44">
        <v>1</v>
      </c>
      <c r="L44" s="28">
        <v>0.1</v>
      </c>
    </row>
    <row r="45" ht="16" spans="4:12">
      <c r="D45" s="27" t="s">
        <v>4457</v>
      </c>
      <c r="I45">
        <v>2054</v>
      </c>
      <c r="J45" t="s">
        <v>21</v>
      </c>
      <c r="K45">
        <v>1</v>
      </c>
      <c r="L45" s="28">
        <v>0.1</v>
      </c>
    </row>
    <row r="46" ht="16" spans="4:12">
      <c r="D46" s="27" t="s">
        <v>4457</v>
      </c>
      <c r="I46">
        <v>2055</v>
      </c>
      <c r="J46" t="s">
        <v>21</v>
      </c>
      <c r="K46">
        <v>1</v>
      </c>
      <c r="L46" s="28">
        <v>0.1</v>
      </c>
    </row>
    <row r="47" ht="16" spans="4:12">
      <c r="D47" s="27" t="s">
        <v>4457</v>
      </c>
      <c r="I47">
        <v>2056</v>
      </c>
      <c r="J47" t="s">
        <v>21</v>
      </c>
      <c r="K47">
        <v>1</v>
      </c>
      <c r="L47" s="28">
        <v>0.1</v>
      </c>
    </row>
    <row r="48" ht="16" spans="4:12">
      <c r="D48" s="27" t="s">
        <v>4457</v>
      </c>
      <c r="I48">
        <v>2057</v>
      </c>
      <c r="J48" t="s">
        <v>21</v>
      </c>
      <c r="K48">
        <v>1</v>
      </c>
      <c r="L48" s="28">
        <v>0.1</v>
      </c>
    </row>
    <row r="49" ht="16" spans="4:12">
      <c r="D49" s="27" t="s">
        <v>4457</v>
      </c>
      <c r="I49">
        <v>2058</v>
      </c>
      <c r="J49" t="s">
        <v>21</v>
      </c>
      <c r="K49">
        <v>1</v>
      </c>
      <c r="L49" s="28">
        <v>0.1</v>
      </c>
    </row>
    <row r="50" ht="16" spans="4:12">
      <c r="D50" s="27" t="s">
        <v>4457</v>
      </c>
      <c r="I50">
        <v>2059</v>
      </c>
      <c r="J50" t="s">
        <v>21</v>
      </c>
      <c r="K50">
        <v>1</v>
      </c>
      <c r="L50" s="28">
        <v>0.1</v>
      </c>
    </row>
    <row r="51" ht="16" spans="4:12">
      <c r="D51" s="27" t="s">
        <v>4457</v>
      </c>
      <c r="I51">
        <v>2060</v>
      </c>
      <c r="J51" t="s">
        <v>21</v>
      </c>
      <c r="K51">
        <v>1</v>
      </c>
      <c r="L51" s="28">
        <v>0.1</v>
      </c>
    </row>
    <row r="52" ht="16" spans="4:12">
      <c r="D52" s="27" t="s">
        <v>4457</v>
      </c>
      <c r="I52">
        <v>2061</v>
      </c>
      <c r="J52" t="s">
        <v>21</v>
      </c>
      <c r="K52">
        <v>1</v>
      </c>
      <c r="L52" s="28">
        <v>0.1</v>
      </c>
    </row>
    <row r="53" ht="16" spans="4:12">
      <c r="D53" s="27" t="s">
        <v>4457</v>
      </c>
      <c r="I53">
        <v>2062</v>
      </c>
      <c r="J53" t="s">
        <v>21</v>
      </c>
      <c r="K53">
        <v>1</v>
      </c>
      <c r="L53" s="28">
        <v>0.1</v>
      </c>
    </row>
    <row r="54" ht="16" spans="4:12">
      <c r="D54" s="27" t="s">
        <v>4457</v>
      </c>
      <c r="I54">
        <v>2063</v>
      </c>
      <c r="J54" t="s">
        <v>21</v>
      </c>
      <c r="K54">
        <v>1</v>
      </c>
      <c r="L54" s="28">
        <v>0.1</v>
      </c>
    </row>
    <row r="55" ht="16" spans="4:12">
      <c r="D55" s="27" t="s">
        <v>4457</v>
      </c>
      <c r="I55">
        <v>2064</v>
      </c>
      <c r="J55" t="s">
        <v>21</v>
      </c>
      <c r="K55">
        <v>1</v>
      </c>
      <c r="L55" s="28">
        <v>0.1</v>
      </c>
    </row>
    <row r="56" ht="16" spans="4:12">
      <c r="D56" s="27" t="s">
        <v>4457</v>
      </c>
      <c r="I56">
        <v>2065</v>
      </c>
      <c r="J56" t="s">
        <v>21</v>
      </c>
      <c r="K56">
        <v>1</v>
      </c>
      <c r="L56" s="28">
        <v>0.1</v>
      </c>
    </row>
    <row r="57" ht="16" spans="4:12">
      <c r="D57" s="27" t="s">
        <v>4457</v>
      </c>
      <c r="I57">
        <v>2066</v>
      </c>
      <c r="J57" t="s">
        <v>21</v>
      </c>
      <c r="K57">
        <v>1</v>
      </c>
      <c r="L57" s="28">
        <v>0.1</v>
      </c>
    </row>
    <row r="58" ht="16" spans="4:12">
      <c r="D58" s="27" t="s">
        <v>4457</v>
      </c>
      <c r="I58">
        <v>2067</v>
      </c>
      <c r="J58" t="s">
        <v>21</v>
      </c>
      <c r="K58">
        <v>1</v>
      </c>
      <c r="L58" s="28">
        <v>0.1</v>
      </c>
    </row>
    <row r="59" ht="16" spans="4:12">
      <c r="D59" s="27" t="s">
        <v>4457</v>
      </c>
      <c r="I59">
        <v>2068</v>
      </c>
      <c r="J59" t="s">
        <v>21</v>
      </c>
      <c r="K59">
        <v>1</v>
      </c>
      <c r="L59" s="28">
        <v>0.1</v>
      </c>
    </row>
    <row r="60" ht="16" spans="4:12">
      <c r="D60" s="27" t="s">
        <v>4457</v>
      </c>
      <c r="I60">
        <v>2069</v>
      </c>
      <c r="J60" t="s">
        <v>21</v>
      </c>
      <c r="K60">
        <v>1</v>
      </c>
      <c r="L60" s="28">
        <v>0.1</v>
      </c>
    </row>
    <row r="61" ht="16" spans="4:12">
      <c r="D61" s="27" t="s">
        <v>4457</v>
      </c>
      <c r="I61">
        <v>2070</v>
      </c>
      <c r="J61" t="s">
        <v>21</v>
      </c>
      <c r="K61">
        <v>1</v>
      </c>
      <c r="L61" s="28">
        <v>0.1</v>
      </c>
    </row>
    <row r="62" ht="16" spans="4:12">
      <c r="D62" s="27" t="s">
        <v>4457</v>
      </c>
      <c r="I62">
        <v>2071</v>
      </c>
      <c r="J62" t="s">
        <v>21</v>
      </c>
      <c r="K62">
        <v>1</v>
      </c>
      <c r="L62" s="28">
        <v>0.1</v>
      </c>
    </row>
    <row r="63" ht="16" spans="4:12">
      <c r="D63" s="27" t="s">
        <v>4457</v>
      </c>
      <c r="I63">
        <v>2072</v>
      </c>
      <c r="J63" t="s">
        <v>21</v>
      </c>
      <c r="K63">
        <v>1</v>
      </c>
      <c r="L63" s="28">
        <v>0.1</v>
      </c>
    </row>
    <row r="64" ht="16" spans="4:12">
      <c r="D64" s="27" t="s">
        <v>4457</v>
      </c>
      <c r="I64">
        <v>2073</v>
      </c>
      <c r="J64" t="s">
        <v>21</v>
      </c>
      <c r="K64">
        <v>1</v>
      </c>
      <c r="L64" s="28">
        <v>0.1</v>
      </c>
    </row>
    <row r="65" ht="16" spans="4:12">
      <c r="D65" s="27" t="s">
        <v>4457</v>
      </c>
      <c r="I65">
        <v>2074</v>
      </c>
      <c r="J65" t="s">
        <v>21</v>
      </c>
      <c r="K65">
        <v>1</v>
      </c>
      <c r="L65" s="28">
        <v>0.1</v>
      </c>
    </row>
    <row r="66" ht="16" spans="4:12">
      <c r="D66" s="27" t="s">
        <v>4457</v>
      </c>
      <c r="I66">
        <v>2075</v>
      </c>
      <c r="J66" t="s">
        <v>21</v>
      </c>
      <c r="K66">
        <v>1</v>
      </c>
      <c r="L66" s="28">
        <v>0.1</v>
      </c>
    </row>
    <row r="67" ht="16" spans="4:12">
      <c r="D67" s="27" t="s">
        <v>4457</v>
      </c>
      <c r="I67">
        <v>2076</v>
      </c>
      <c r="J67" t="s">
        <v>21</v>
      </c>
      <c r="K67">
        <v>1</v>
      </c>
      <c r="L67" s="28">
        <v>0.1</v>
      </c>
    </row>
    <row r="68" ht="16" spans="4:12">
      <c r="D68" s="27" t="s">
        <v>4457</v>
      </c>
      <c r="I68">
        <v>2077</v>
      </c>
      <c r="J68" t="s">
        <v>21</v>
      </c>
      <c r="K68">
        <v>1</v>
      </c>
      <c r="L68" s="28">
        <v>0.1</v>
      </c>
    </row>
    <row r="69" ht="16" spans="4:12">
      <c r="D69" s="27" t="s">
        <v>4457</v>
      </c>
      <c r="I69">
        <v>2078</v>
      </c>
      <c r="J69" t="s">
        <v>21</v>
      </c>
      <c r="K69">
        <v>1</v>
      </c>
      <c r="L69" s="28">
        <v>0.1</v>
      </c>
    </row>
    <row r="70" ht="16" spans="4:12">
      <c r="D70" s="27" t="s">
        <v>4457</v>
      </c>
      <c r="I70">
        <v>2079</v>
      </c>
      <c r="J70" t="s">
        <v>21</v>
      </c>
      <c r="K70">
        <v>1</v>
      </c>
      <c r="L70" s="28">
        <v>0.1</v>
      </c>
    </row>
    <row r="71" ht="16" spans="4:12">
      <c r="D71" s="27" t="s">
        <v>4457</v>
      </c>
      <c r="I71">
        <v>2080</v>
      </c>
      <c r="J71" t="s">
        <v>21</v>
      </c>
      <c r="K71">
        <v>1</v>
      </c>
      <c r="L71" s="28">
        <v>0.1</v>
      </c>
    </row>
    <row r="72" ht="16" spans="4:12">
      <c r="D72" s="27" t="s">
        <v>4457</v>
      </c>
      <c r="I72">
        <v>2081</v>
      </c>
      <c r="J72" t="s">
        <v>21</v>
      </c>
      <c r="K72">
        <v>1</v>
      </c>
      <c r="L72" s="28">
        <v>0.1</v>
      </c>
    </row>
    <row r="73" ht="16" spans="4:12">
      <c r="D73" s="27" t="s">
        <v>4457</v>
      </c>
      <c r="I73">
        <v>2082</v>
      </c>
      <c r="J73" t="s">
        <v>21</v>
      </c>
      <c r="K73">
        <v>1</v>
      </c>
      <c r="L73" s="28">
        <v>0.1</v>
      </c>
    </row>
    <row r="74" ht="16" spans="4:12">
      <c r="D74" s="27" t="s">
        <v>4457</v>
      </c>
      <c r="I74">
        <v>2083</v>
      </c>
      <c r="J74" t="s">
        <v>21</v>
      </c>
      <c r="K74">
        <v>1</v>
      </c>
      <c r="L74" s="28">
        <v>0.1</v>
      </c>
    </row>
    <row r="75" ht="16" spans="4:12">
      <c r="D75" s="27" t="s">
        <v>4457</v>
      </c>
      <c r="I75">
        <v>2084</v>
      </c>
      <c r="J75" t="s">
        <v>21</v>
      </c>
      <c r="K75">
        <v>1</v>
      </c>
      <c r="L75" s="28">
        <v>0.1</v>
      </c>
    </row>
    <row r="76" ht="16" spans="4:12">
      <c r="D76" s="27" t="s">
        <v>4457</v>
      </c>
      <c r="I76">
        <v>2085</v>
      </c>
      <c r="J76" t="s">
        <v>21</v>
      </c>
      <c r="K76">
        <v>1</v>
      </c>
      <c r="L76" s="28">
        <v>0.1</v>
      </c>
    </row>
    <row r="77" ht="16" spans="4:12">
      <c r="D77" s="27" t="s">
        <v>4457</v>
      </c>
      <c r="I77">
        <v>2086</v>
      </c>
      <c r="J77" t="s">
        <v>21</v>
      </c>
      <c r="K77">
        <v>1</v>
      </c>
      <c r="L77" s="28">
        <v>0.1</v>
      </c>
    </row>
    <row r="78" ht="16" spans="4:12">
      <c r="D78" s="27" t="s">
        <v>4457</v>
      </c>
      <c r="I78">
        <v>2087</v>
      </c>
      <c r="J78" t="s">
        <v>21</v>
      </c>
      <c r="K78">
        <v>1</v>
      </c>
      <c r="L78" s="28">
        <v>0.1</v>
      </c>
    </row>
    <row r="79" ht="16" spans="4:12">
      <c r="D79" s="27" t="s">
        <v>4457</v>
      </c>
      <c r="I79">
        <v>2088</v>
      </c>
      <c r="J79" t="s">
        <v>21</v>
      </c>
      <c r="K79">
        <v>1</v>
      </c>
      <c r="L79" s="28">
        <v>0.1</v>
      </c>
    </row>
    <row r="80" ht="16" spans="4:12">
      <c r="D80" s="27" t="s">
        <v>4457</v>
      </c>
      <c r="I80">
        <v>2089</v>
      </c>
      <c r="J80" t="s">
        <v>21</v>
      </c>
      <c r="K80">
        <v>1</v>
      </c>
      <c r="L80" s="28">
        <v>0.1</v>
      </c>
    </row>
    <row r="81" ht="16" spans="4:12">
      <c r="D81" s="27" t="s">
        <v>4457</v>
      </c>
      <c r="I81">
        <v>2090</v>
      </c>
      <c r="J81" t="s">
        <v>21</v>
      </c>
      <c r="K81">
        <v>1</v>
      </c>
      <c r="L81" s="28">
        <v>0.1</v>
      </c>
    </row>
    <row r="82" ht="16" spans="4:12">
      <c r="D82" s="27" t="s">
        <v>4457</v>
      </c>
      <c r="I82">
        <v>2091</v>
      </c>
      <c r="J82" t="s">
        <v>21</v>
      </c>
      <c r="K82">
        <v>1</v>
      </c>
      <c r="L82" s="28">
        <v>0.1</v>
      </c>
    </row>
    <row r="83" ht="16" spans="4:12">
      <c r="D83" s="27" t="s">
        <v>4457</v>
      </c>
      <c r="I83">
        <v>2092</v>
      </c>
      <c r="J83" t="s">
        <v>21</v>
      </c>
      <c r="K83">
        <v>1</v>
      </c>
      <c r="L83" s="28">
        <v>0.1</v>
      </c>
    </row>
    <row r="84" ht="16" spans="4:12">
      <c r="D84" s="27" t="s">
        <v>4457</v>
      </c>
      <c r="I84">
        <v>2093</v>
      </c>
      <c r="J84" t="s">
        <v>21</v>
      </c>
      <c r="K84">
        <v>1</v>
      </c>
      <c r="L84" s="28">
        <v>0.1</v>
      </c>
    </row>
    <row r="85" ht="16" spans="4:12">
      <c r="D85" s="27" t="s">
        <v>4457</v>
      </c>
      <c r="I85">
        <v>2094</v>
      </c>
      <c r="J85" t="s">
        <v>21</v>
      </c>
      <c r="K85">
        <v>1</v>
      </c>
      <c r="L85" s="28">
        <v>0.1</v>
      </c>
    </row>
    <row r="86" ht="16" spans="4:12">
      <c r="D86" s="27" t="s">
        <v>4457</v>
      </c>
      <c r="I86">
        <v>2095</v>
      </c>
      <c r="J86" t="s">
        <v>21</v>
      </c>
      <c r="K86">
        <v>1</v>
      </c>
      <c r="L86" s="28">
        <v>0.1</v>
      </c>
    </row>
    <row r="87" ht="16" spans="4:12">
      <c r="D87" s="27" t="s">
        <v>4457</v>
      </c>
      <c r="I87">
        <v>2096</v>
      </c>
      <c r="J87" t="s">
        <v>21</v>
      </c>
      <c r="K87">
        <v>1</v>
      </c>
      <c r="L87" s="28">
        <v>0.1</v>
      </c>
    </row>
    <row r="88" ht="16" spans="4:12">
      <c r="D88" s="27" t="s">
        <v>4457</v>
      </c>
      <c r="I88">
        <v>2097</v>
      </c>
      <c r="J88" t="s">
        <v>21</v>
      </c>
      <c r="K88">
        <v>1</v>
      </c>
      <c r="L88" s="28">
        <v>0.1</v>
      </c>
    </row>
    <row r="89" ht="16" spans="4:12">
      <c r="D89" s="27" t="s">
        <v>4457</v>
      </c>
      <c r="I89">
        <v>2098</v>
      </c>
      <c r="J89" t="s">
        <v>21</v>
      </c>
      <c r="K89">
        <v>1</v>
      </c>
      <c r="L89" s="28">
        <v>0.1</v>
      </c>
    </row>
    <row r="90" ht="16" spans="4:12">
      <c r="D90" s="27" t="s">
        <v>4457</v>
      </c>
      <c r="I90">
        <v>2099</v>
      </c>
      <c r="J90" t="s">
        <v>21</v>
      </c>
      <c r="K90">
        <v>1</v>
      </c>
      <c r="L90" s="28">
        <v>0.1</v>
      </c>
    </row>
    <row r="91" ht="16" spans="4:12">
      <c r="D91" s="27" t="s">
        <v>4457</v>
      </c>
      <c r="I91">
        <v>2100</v>
      </c>
      <c r="J91" t="s">
        <v>21</v>
      </c>
      <c r="K91">
        <v>1</v>
      </c>
      <c r="L91" s="28">
        <v>0.1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J68"/>
  <sheetViews>
    <sheetView zoomScale="70" zoomScaleNormal="70" topLeftCell="Y1" workbookViewId="0">
      <selection activeCell="AI33" sqref="AI33"/>
    </sheetView>
  </sheetViews>
  <sheetFormatPr defaultColWidth="8.72727272727273" defaultRowHeight="14.5"/>
  <cols>
    <col min="4" max="4" width="17.9272727272727" customWidth="1"/>
    <col min="7" max="8" width="12.8"/>
    <col min="19" max="19" width="19.6" customWidth="1"/>
    <col min="21" max="21" width="18" customWidth="1"/>
    <col min="27" max="27" width="16.2636363636364" customWidth="1"/>
    <col min="29" max="29" width="12.7272727272727" customWidth="1"/>
    <col min="30" max="30" width="10.2" customWidth="1"/>
    <col min="35" max="35" width="19.6" customWidth="1"/>
    <col min="38" max="38" width="18" customWidth="1"/>
    <col min="39" max="39" width="21" customWidth="1"/>
    <col min="44" max="44" width="49.2636363636364" customWidth="1"/>
    <col min="45" max="45" width="17.6" customWidth="1"/>
    <col min="46" max="46" width="14"/>
    <col min="47" max="47" width="12.7272727272727" customWidth="1"/>
    <col min="48" max="48" width="10.2" customWidth="1"/>
    <col min="49" max="49" width="14"/>
  </cols>
  <sheetData>
    <row r="1" spans="2:63">
      <c r="S1" s="17"/>
      <c r="U1" s="18" t="s">
        <v>25</v>
      </c>
      <c r="AI1" s="17" t="s">
        <v>1</v>
      </c>
      <c r="AL1" s="18" t="s">
        <v>27</v>
      </c>
    </row>
    <row r="2" spans="2:63">
      <c r="AI2" t="s">
        <v>2</v>
      </c>
    </row>
    <row r="3" spans="2:63">
      <c r="B3" s="19"/>
      <c r="C3" s="19"/>
      <c r="D3" s="19"/>
      <c r="E3" s="19" t="s">
        <v>4458</v>
      </c>
      <c r="F3" s="19"/>
      <c r="G3" s="19"/>
      <c r="H3" s="19"/>
      <c r="I3" s="19" t="s">
        <v>4459</v>
      </c>
      <c r="J3" s="19"/>
      <c r="K3" s="19"/>
      <c r="L3" s="19"/>
      <c r="M3" s="19"/>
    </row>
    <row r="4" spans="2:63">
      <c r="B4" s="19" t="s">
        <v>25</v>
      </c>
      <c r="C4" s="19">
        <v>2010</v>
      </c>
      <c r="D4" s="19">
        <v>2023</v>
      </c>
      <c r="E4" s="20">
        <v>2024</v>
      </c>
      <c r="F4" s="20">
        <v>2035</v>
      </c>
      <c r="G4" s="20">
        <v>2040</v>
      </c>
      <c r="H4" s="20">
        <v>2050</v>
      </c>
      <c r="I4" s="19">
        <v>2024</v>
      </c>
      <c r="J4" s="19">
        <v>2035</v>
      </c>
      <c r="K4" s="19">
        <v>2050</v>
      </c>
      <c r="L4" s="19"/>
      <c r="M4" s="19"/>
    </row>
    <row r="5" spans="2:63">
      <c r="B5" s="19" t="s">
        <v>4460</v>
      </c>
      <c r="C5" s="19">
        <v>102</v>
      </c>
      <c r="D5" s="19">
        <v>123</v>
      </c>
      <c r="E5" s="20">
        <v>125</v>
      </c>
      <c r="F5" s="20">
        <v>140</v>
      </c>
      <c r="G5" s="20">
        <v>147</v>
      </c>
      <c r="H5" s="20">
        <v>163</v>
      </c>
      <c r="I5" s="19">
        <v>100</v>
      </c>
      <c r="J5" s="19">
        <v>100</v>
      </c>
      <c r="K5" s="19">
        <v>100</v>
      </c>
      <c r="L5" s="19">
        <v>1.1</v>
      </c>
      <c r="M5" s="19">
        <v>1</v>
      </c>
      <c r="AL5" t="s">
        <v>5</v>
      </c>
      <c r="AM5" t="s">
        <v>6</v>
      </c>
      <c r="AN5" t="s">
        <v>7</v>
      </c>
      <c r="AO5" t="s">
        <v>8</v>
      </c>
      <c r="AP5" t="s">
        <v>9</v>
      </c>
      <c r="AQ5" t="s">
        <v>4461</v>
      </c>
      <c r="AR5" t="s">
        <v>10</v>
      </c>
      <c r="AS5" t="s">
        <v>12</v>
      </c>
      <c r="AT5" t="s">
        <v>4462</v>
      </c>
      <c r="AU5" t="s">
        <v>15</v>
      </c>
      <c r="AV5" t="s">
        <v>13</v>
      </c>
      <c r="AW5" t="s">
        <v>4463</v>
      </c>
    </row>
    <row r="6" ht="15.25" spans="2:63">
      <c r="B6" s="19" t="s">
        <v>4464</v>
      </c>
      <c r="C6" s="19">
        <v>2</v>
      </c>
      <c r="D6" s="19">
        <v>5</v>
      </c>
      <c r="E6" s="20">
        <v>5</v>
      </c>
      <c r="F6" s="20">
        <v>7</v>
      </c>
      <c r="G6" s="20">
        <v>8</v>
      </c>
      <c r="H6" s="20">
        <v>11</v>
      </c>
      <c r="I6" s="19">
        <v>4</v>
      </c>
      <c r="J6" s="19">
        <v>5</v>
      </c>
      <c r="K6" s="19">
        <v>7</v>
      </c>
      <c r="L6" s="19">
        <v>3.2</v>
      </c>
      <c r="M6" s="19">
        <v>3.2</v>
      </c>
      <c r="U6" t="s">
        <v>5</v>
      </c>
      <c r="V6" t="s">
        <v>6</v>
      </c>
      <c r="W6" t="s">
        <v>7</v>
      </c>
      <c r="X6" t="s">
        <v>8</v>
      </c>
      <c r="Y6" t="s">
        <v>9</v>
      </c>
      <c r="Z6" t="s">
        <v>4461</v>
      </c>
      <c r="AA6" t="s">
        <v>10</v>
      </c>
      <c r="AB6" t="s">
        <v>12</v>
      </c>
      <c r="AC6" t="s">
        <v>4462</v>
      </c>
      <c r="AD6" t="s">
        <v>15</v>
      </c>
      <c r="AE6" t="s">
        <v>13</v>
      </c>
      <c r="AL6" t="s">
        <v>4465</v>
      </c>
      <c r="AQ6" t="s">
        <v>4466</v>
      </c>
      <c r="AR6" t="s">
        <v>4467</v>
      </c>
      <c r="AS6">
        <v>2019</v>
      </c>
      <c r="AT6">
        <f>E20*1.5</f>
        <v>0.0165562913907285</v>
      </c>
      <c r="AU6">
        <v>0</v>
      </c>
      <c r="AV6" t="s">
        <v>4468</v>
      </c>
    </row>
    <row r="7" ht="15.25" spans="2:63">
      <c r="B7" s="19"/>
      <c r="C7" s="19"/>
      <c r="D7" s="19"/>
      <c r="E7" s="21">
        <f t="shared" ref="E7:H7" si="0">E6/E5</f>
        <v>0.04</v>
      </c>
      <c r="F7" s="21">
        <f t="shared" si="0"/>
        <v>0.05</v>
      </c>
      <c r="G7" s="21">
        <f t="shared" si="0"/>
        <v>0.054421768707483</v>
      </c>
      <c r="H7" s="21">
        <f t="shared" si="0"/>
        <v>0.0674846625766871</v>
      </c>
      <c r="I7" s="19"/>
      <c r="J7" s="19"/>
      <c r="K7" s="19"/>
      <c r="L7" s="19"/>
      <c r="M7" s="19"/>
      <c r="U7" t="s">
        <v>4465</v>
      </c>
      <c r="W7" t="s">
        <v>4469</v>
      </c>
      <c r="Z7" t="s">
        <v>4466</v>
      </c>
      <c r="AA7" t="s">
        <v>4470</v>
      </c>
      <c r="AB7">
        <v>2019</v>
      </c>
      <c r="AC7">
        <f>AC9</f>
        <v>0.04</v>
      </c>
      <c r="AD7">
        <v>0</v>
      </c>
      <c r="AE7" t="s">
        <v>4468</v>
      </c>
      <c r="AQ7" t="s">
        <v>4466</v>
      </c>
      <c r="AR7" t="s">
        <v>4471</v>
      </c>
      <c r="AS7">
        <v>2019</v>
      </c>
      <c r="AT7">
        <f>-1+AT6</f>
        <v>-0.983443708609272</v>
      </c>
      <c r="AU7">
        <v>0</v>
      </c>
      <c r="AV7" t="s">
        <v>4468</v>
      </c>
      <c r="BD7" s="22"/>
      <c r="BE7" s="22"/>
      <c r="BF7" s="23"/>
      <c r="BG7" s="23"/>
      <c r="BH7" s="23"/>
      <c r="BI7" s="23"/>
      <c r="BJ7" s="23"/>
      <c r="BK7" s="23"/>
    </row>
    <row r="8" ht="15.25" spans="2:63">
      <c r="B8" s="19"/>
      <c r="C8" s="19"/>
      <c r="D8" s="19"/>
      <c r="E8" s="20"/>
      <c r="F8" s="20"/>
      <c r="G8" s="20"/>
      <c r="H8" s="20"/>
      <c r="I8" s="19"/>
      <c r="J8" s="19"/>
      <c r="K8" s="19"/>
      <c r="L8" s="19"/>
      <c r="M8" s="19"/>
      <c r="W8" t="s">
        <v>4469</v>
      </c>
      <c r="Z8" t="s">
        <v>4466</v>
      </c>
      <c r="AA8" t="s">
        <v>4471</v>
      </c>
      <c r="AB8">
        <v>2019</v>
      </c>
      <c r="AC8">
        <f t="shared" ref="AC8:AC12" si="1">-1+AC7</f>
        <v>-0.96</v>
      </c>
      <c r="AD8">
        <v>0</v>
      </c>
      <c r="AE8" t="s">
        <v>4468</v>
      </c>
      <c r="AQ8" t="s">
        <v>4466</v>
      </c>
      <c r="AR8" t="s">
        <v>4467</v>
      </c>
      <c r="AS8">
        <v>2024</v>
      </c>
      <c r="AT8">
        <f>AT6*1.5</f>
        <v>0.0248344370860927</v>
      </c>
      <c r="AU8">
        <v>0</v>
      </c>
      <c r="AV8" t="s">
        <v>4468</v>
      </c>
      <c r="BD8" s="22"/>
      <c r="BE8" s="22"/>
      <c r="BF8" s="23"/>
      <c r="BG8" s="23"/>
      <c r="BH8" s="23"/>
      <c r="BI8" s="23"/>
      <c r="BJ8" s="23"/>
      <c r="BK8" s="23"/>
    </row>
    <row r="9" ht="15.25" spans="2:63">
      <c r="B9" s="19"/>
      <c r="C9" s="19"/>
      <c r="D9" s="19"/>
      <c r="E9" s="20"/>
      <c r="F9" s="20"/>
      <c r="G9" s="20"/>
      <c r="H9" s="20"/>
      <c r="I9" s="19"/>
      <c r="J9" s="19"/>
      <c r="K9" s="19"/>
      <c r="L9" s="19"/>
      <c r="M9" s="19"/>
      <c r="W9" t="s">
        <v>4469</v>
      </c>
      <c r="Z9" t="s">
        <v>4466</v>
      </c>
      <c r="AA9" t="s">
        <v>4470</v>
      </c>
      <c r="AB9">
        <v>2024</v>
      </c>
      <c r="AC9">
        <f>E7</f>
        <v>0.04</v>
      </c>
      <c r="AD9">
        <v>0</v>
      </c>
      <c r="AE9" t="s">
        <v>4468</v>
      </c>
      <c r="AQ9" t="s">
        <v>4466</v>
      </c>
      <c r="AR9" t="s">
        <v>4471</v>
      </c>
      <c r="AS9">
        <v>2024</v>
      </c>
      <c r="AT9">
        <f>-1+AT8</f>
        <v>-0.975165562913907</v>
      </c>
      <c r="AU9">
        <v>0</v>
      </c>
      <c r="AV9" t="s">
        <v>4468</v>
      </c>
      <c r="BD9" s="22"/>
      <c r="BE9" s="22"/>
      <c r="BF9" s="23"/>
      <c r="BG9" s="23"/>
      <c r="BH9" s="23"/>
      <c r="BI9" s="23"/>
      <c r="BJ9" s="23"/>
      <c r="BK9" s="23"/>
    </row>
    <row r="10" ht="15.25" spans="2:63">
      <c r="B10" s="19" t="s">
        <v>26</v>
      </c>
      <c r="C10" s="19"/>
      <c r="D10" s="19"/>
      <c r="E10" s="20"/>
      <c r="F10" s="20"/>
      <c r="G10" s="20"/>
      <c r="H10" s="20"/>
      <c r="I10" s="19"/>
      <c r="J10" s="19"/>
      <c r="K10" s="19"/>
      <c r="L10" s="19"/>
      <c r="M10" s="19"/>
      <c r="W10" t="s">
        <v>4469</v>
      </c>
      <c r="Z10" t="s">
        <v>4466</v>
      </c>
      <c r="AA10" t="s">
        <v>4471</v>
      </c>
      <c r="AB10">
        <v>2024</v>
      </c>
      <c r="AC10">
        <f t="shared" si="1"/>
        <v>-0.96</v>
      </c>
      <c r="AD10">
        <v>0</v>
      </c>
      <c r="AE10" t="s">
        <v>4468</v>
      </c>
      <c r="AQ10" t="s">
        <v>4466</v>
      </c>
      <c r="AR10" t="s">
        <v>4467</v>
      </c>
      <c r="AS10">
        <v>2035</v>
      </c>
      <c r="AT10">
        <f>F20*1.5</f>
        <v>0.0404411764705882</v>
      </c>
      <c r="AU10">
        <v>0</v>
      </c>
      <c r="AV10" t="s">
        <v>4468</v>
      </c>
      <c r="BD10" s="22"/>
      <c r="BE10" s="22"/>
      <c r="BF10" s="23"/>
      <c r="BG10" s="23"/>
      <c r="BH10" s="23"/>
      <c r="BI10" s="23"/>
      <c r="BJ10" s="23"/>
      <c r="BK10" s="23"/>
    </row>
    <row r="11" ht="15.25" spans="2:63">
      <c r="B11" s="19" t="s">
        <v>4460</v>
      </c>
      <c r="C11" s="19">
        <v>102</v>
      </c>
      <c r="D11" s="19">
        <v>123</v>
      </c>
      <c r="E11" s="20">
        <v>125</v>
      </c>
      <c r="F11" s="20">
        <v>135</v>
      </c>
      <c r="G11" s="20">
        <v>137</v>
      </c>
      <c r="H11" s="20">
        <v>144</v>
      </c>
      <c r="I11" s="19">
        <v>100</v>
      </c>
      <c r="J11" s="19">
        <v>100</v>
      </c>
      <c r="K11" s="19">
        <v>100</v>
      </c>
      <c r="L11" s="19">
        <v>0.8</v>
      </c>
      <c r="M11" s="19">
        <v>0.6</v>
      </c>
      <c r="W11" t="s">
        <v>4469</v>
      </c>
      <c r="Z11" t="s">
        <v>4466</v>
      </c>
      <c r="AA11" t="s">
        <v>4470</v>
      </c>
      <c r="AB11">
        <v>2035</v>
      </c>
      <c r="AC11">
        <f>F7</f>
        <v>0.05</v>
      </c>
      <c r="AD11">
        <v>0</v>
      </c>
      <c r="AE11" t="s">
        <v>4468</v>
      </c>
      <c r="AQ11" t="s">
        <v>4466</v>
      </c>
      <c r="AR11" t="s">
        <v>4471</v>
      </c>
      <c r="AS11">
        <v>2035</v>
      </c>
      <c r="AT11">
        <f>-1+AT10</f>
        <v>-0.959558823529412</v>
      </c>
      <c r="AU11">
        <v>0</v>
      </c>
      <c r="AV11" t="s">
        <v>4468</v>
      </c>
      <c r="BD11" s="22"/>
      <c r="BE11" s="22"/>
      <c r="BF11" s="23"/>
      <c r="BG11" s="23"/>
      <c r="BH11" s="23"/>
      <c r="BI11" s="23"/>
      <c r="BJ11" s="23"/>
      <c r="BK11" s="23"/>
    </row>
    <row r="12" ht="15.25" spans="2:63">
      <c r="B12" s="19" t="s">
        <v>4472</v>
      </c>
      <c r="C12" s="19">
        <v>2</v>
      </c>
      <c r="D12" s="19">
        <v>5</v>
      </c>
      <c r="E12" s="20">
        <v>5</v>
      </c>
      <c r="F12" s="20">
        <v>7</v>
      </c>
      <c r="G12" s="20">
        <v>7</v>
      </c>
      <c r="H12" s="20">
        <v>9</v>
      </c>
      <c r="I12" s="19">
        <v>4</v>
      </c>
      <c r="J12" s="19">
        <v>5</v>
      </c>
      <c r="K12" s="19">
        <v>5</v>
      </c>
      <c r="L12" s="19">
        <v>3</v>
      </c>
      <c r="M12" s="19">
        <v>2.3</v>
      </c>
      <c r="W12" t="s">
        <v>4469</v>
      </c>
      <c r="Z12" t="s">
        <v>4466</v>
      </c>
      <c r="AA12" t="s">
        <v>4471</v>
      </c>
      <c r="AB12">
        <v>2035</v>
      </c>
      <c r="AC12">
        <f t="shared" si="1"/>
        <v>-0.95</v>
      </c>
      <c r="AD12">
        <v>0</v>
      </c>
      <c r="AE12" t="s">
        <v>4468</v>
      </c>
      <c r="AQ12" t="s">
        <v>4466</v>
      </c>
      <c r="AR12" t="s">
        <v>4467</v>
      </c>
      <c r="AS12">
        <v>2040</v>
      </c>
      <c r="AT12">
        <f>G20*1.5</f>
        <v>0.0473684210526317</v>
      </c>
      <c r="AU12">
        <v>0</v>
      </c>
      <c r="AV12" t="s">
        <v>4468</v>
      </c>
      <c r="BD12" s="22"/>
      <c r="BE12" s="22"/>
      <c r="BF12" s="23"/>
      <c r="BG12" s="23"/>
      <c r="BH12" s="23"/>
      <c r="BI12" s="23"/>
      <c r="BJ12" s="23"/>
      <c r="BK12" s="23"/>
    </row>
    <row r="13" ht="15.25" spans="2:63">
      <c r="B13" s="19"/>
      <c r="C13" s="19"/>
      <c r="D13" s="19"/>
      <c r="E13" s="21">
        <f t="shared" ref="E13:H13" si="2">E12/E11</f>
        <v>0.04</v>
      </c>
      <c r="F13" s="21">
        <f t="shared" si="2"/>
        <v>0.0518518518518519</v>
      </c>
      <c r="G13" s="21">
        <f t="shared" si="2"/>
        <v>0.0510948905109489</v>
      </c>
      <c r="H13" s="21">
        <f t="shared" si="2"/>
        <v>0.0625</v>
      </c>
      <c r="I13" s="19"/>
      <c r="J13" s="19"/>
      <c r="K13" s="19"/>
      <c r="L13" s="19"/>
      <c r="M13" s="19"/>
      <c r="W13" t="s">
        <v>4469</v>
      </c>
      <c r="Z13" t="s">
        <v>4466</v>
      </c>
      <c r="AA13" t="s">
        <v>4470</v>
      </c>
      <c r="AB13">
        <v>2040</v>
      </c>
      <c r="AC13">
        <f>G7</f>
        <v>0.054421768707483</v>
      </c>
      <c r="AD13">
        <v>0</v>
      </c>
      <c r="AE13" t="s">
        <v>4468</v>
      </c>
      <c r="AQ13" t="s">
        <v>4466</v>
      </c>
      <c r="AR13" t="s">
        <v>4471</v>
      </c>
      <c r="AS13">
        <v>2040</v>
      </c>
      <c r="AT13">
        <f>-1+AT12</f>
        <v>-0.952631578947368</v>
      </c>
      <c r="AU13">
        <v>0</v>
      </c>
      <c r="AV13" t="s">
        <v>4468</v>
      </c>
      <c r="BD13" s="22"/>
      <c r="BE13" s="22"/>
      <c r="BF13" s="23"/>
      <c r="BG13" s="23"/>
      <c r="BH13" s="23"/>
      <c r="BI13" s="23"/>
      <c r="BJ13" s="23"/>
      <c r="BK13" s="23"/>
    </row>
    <row r="14" ht="15.25" spans="2:63">
      <c r="B14" s="19"/>
      <c r="C14" s="19"/>
      <c r="D14" s="19"/>
      <c r="E14" s="20"/>
      <c r="F14" s="20"/>
      <c r="G14" s="20"/>
      <c r="H14" s="20"/>
      <c r="I14" s="19"/>
      <c r="J14" s="19"/>
      <c r="K14" s="19"/>
      <c r="L14" s="19"/>
      <c r="M14" s="19"/>
      <c r="W14" t="s">
        <v>4469</v>
      </c>
      <c r="Z14" t="s">
        <v>4466</v>
      </c>
      <c r="AA14" t="s">
        <v>4471</v>
      </c>
      <c r="AB14">
        <v>2040</v>
      </c>
      <c r="AC14">
        <f t="shared" ref="AC14:AC18" si="3">-1+AC13</f>
        <v>-0.945578231292517</v>
      </c>
      <c r="AD14">
        <v>0</v>
      </c>
      <c r="AE14" t="s">
        <v>4468</v>
      </c>
      <c r="AQ14" t="s">
        <v>4466</v>
      </c>
      <c r="AR14" t="s">
        <v>4467</v>
      </c>
      <c r="AS14">
        <v>2050</v>
      </c>
      <c r="AT14">
        <f>H20*1.5</f>
        <v>0.0511363636363637</v>
      </c>
      <c r="AU14">
        <v>0</v>
      </c>
      <c r="AV14" t="s">
        <v>4468</v>
      </c>
      <c r="BD14" s="22"/>
      <c r="BE14" s="22"/>
      <c r="BF14" s="23"/>
      <c r="BG14" s="23"/>
      <c r="BH14" s="23"/>
      <c r="BI14" s="23"/>
      <c r="BJ14" s="23"/>
      <c r="BK14" s="23"/>
    </row>
    <row r="15" ht="15.25" spans="2:63">
      <c r="B15" s="19"/>
      <c r="C15" s="19"/>
      <c r="D15" s="19"/>
      <c r="E15" s="20"/>
      <c r="F15" s="20"/>
      <c r="G15" s="20"/>
      <c r="H15" s="20"/>
      <c r="I15" s="19"/>
      <c r="J15" s="19"/>
      <c r="K15" s="19"/>
      <c r="L15" s="19"/>
      <c r="M15" s="19"/>
      <c r="W15" t="s">
        <v>4469</v>
      </c>
      <c r="Z15" t="s">
        <v>4466</v>
      </c>
      <c r="AA15" t="s">
        <v>4470</v>
      </c>
      <c r="AB15">
        <v>2050</v>
      </c>
      <c r="AC15">
        <f>H7</f>
        <v>0.0674846625766871</v>
      </c>
      <c r="AD15">
        <v>0</v>
      </c>
      <c r="AE15" t="s">
        <v>4468</v>
      </c>
      <c r="AQ15" t="s">
        <v>4466</v>
      </c>
      <c r="AR15" t="s">
        <v>4471</v>
      </c>
      <c r="AS15">
        <v>2050</v>
      </c>
      <c r="AT15">
        <f>-1+AT14</f>
        <v>-0.948863636363636</v>
      </c>
      <c r="AU15">
        <v>0</v>
      </c>
      <c r="AV15" t="s">
        <v>4468</v>
      </c>
      <c r="BD15" s="22"/>
      <c r="BE15" s="22"/>
      <c r="BF15" s="23"/>
      <c r="BG15" s="23"/>
      <c r="BH15" s="23"/>
      <c r="BI15" s="23"/>
      <c r="BJ15" s="23"/>
      <c r="BK15" s="23"/>
    </row>
    <row r="16" ht="15.25" spans="2:63">
      <c r="B16" s="19"/>
      <c r="C16" s="19"/>
      <c r="D16" s="19"/>
      <c r="E16" s="20"/>
      <c r="F16" s="20"/>
      <c r="G16" s="20"/>
      <c r="H16" s="20"/>
      <c r="I16" s="19"/>
      <c r="J16" s="19"/>
      <c r="K16" s="19"/>
      <c r="L16" s="19"/>
      <c r="M16" s="19"/>
      <c r="W16" t="s">
        <v>4469</v>
      </c>
      <c r="Z16" t="s">
        <v>4466</v>
      </c>
      <c r="AA16" t="s">
        <v>4471</v>
      </c>
      <c r="AB16">
        <v>2050</v>
      </c>
      <c r="AC16">
        <f t="shared" si="3"/>
        <v>-0.932515337423313</v>
      </c>
      <c r="AD16">
        <v>0</v>
      </c>
      <c r="AE16" t="s">
        <v>4468</v>
      </c>
      <c r="AQ16" t="s">
        <v>4466</v>
      </c>
      <c r="AR16" t="s">
        <v>4467</v>
      </c>
      <c r="AS16">
        <v>2100</v>
      </c>
      <c r="AT16">
        <f>H20*1.5</f>
        <v>0.0511363636363637</v>
      </c>
      <c r="AU16">
        <v>0</v>
      </c>
      <c r="AV16" t="s">
        <v>4468</v>
      </c>
      <c r="BD16" s="22"/>
      <c r="BE16" s="22"/>
      <c r="BF16" s="23"/>
      <c r="BG16" s="23"/>
      <c r="BH16" s="23"/>
      <c r="BI16" s="23"/>
      <c r="BJ16" s="23"/>
      <c r="BK16" s="23"/>
    </row>
    <row r="17" ht="15.25" spans="2:63">
      <c r="B17" s="19" t="s">
        <v>27</v>
      </c>
      <c r="C17" s="19"/>
      <c r="D17" s="19"/>
      <c r="E17" s="20"/>
      <c r="F17" s="20"/>
      <c r="G17" s="20"/>
      <c r="H17" s="20"/>
      <c r="I17" s="19"/>
      <c r="J17" s="19"/>
      <c r="K17" s="19"/>
      <c r="L17" s="19"/>
      <c r="M17" s="19"/>
      <c r="W17" t="s">
        <v>4469</v>
      </c>
      <c r="Z17" t="s">
        <v>4466</v>
      </c>
      <c r="AA17" t="s">
        <v>4470</v>
      </c>
      <c r="AB17">
        <v>2100</v>
      </c>
      <c r="AC17">
        <f>H7</f>
        <v>0.0674846625766871</v>
      </c>
      <c r="AD17">
        <v>0</v>
      </c>
      <c r="AE17" t="s">
        <v>4468</v>
      </c>
      <c r="AQ17" t="s">
        <v>4466</v>
      </c>
      <c r="AR17" t="s">
        <v>4471</v>
      </c>
      <c r="AS17">
        <v>2100</v>
      </c>
      <c r="AT17">
        <f>-1+AT16</f>
        <v>-0.948863636363636</v>
      </c>
      <c r="AU17">
        <v>0</v>
      </c>
      <c r="AV17" t="s">
        <v>4468</v>
      </c>
      <c r="BD17" s="22"/>
      <c r="BE17" s="22"/>
      <c r="BF17" s="23"/>
      <c r="BG17" s="23"/>
      <c r="BH17" s="23"/>
      <c r="BI17" s="23"/>
      <c r="BJ17" s="23"/>
      <c r="BK17" s="23"/>
    </row>
    <row r="18" ht="15.25" spans="2:63">
      <c r="B18" s="19" t="s">
        <v>4460</v>
      </c>
      <c r="C18" s="19">
        <v>378</v>
      </c>
      <c r="D18" s="19">
        <v>444</v>
      </c>
      <c r="E18" s="20">
        <v>453</v>
      </c>
      <c r="F18" s="20">
        <v>408</v>
      </c>
      <c r="G18" s="20">
        <v>380</v>
      </c>
      <c r="H18" s="20">
        <v>352</v>
      </c>
      <c r="I18" s="19">
        <v>100</v>
      </c>
      <c r="J18" s="19">
        <v>100</v>
      </c>
      <c r="K18" s="19">
        <v>100</v>
      </c>
      <c r="L18" s="19">
        <v>-0.9</v>
      </c>
      <c r="M18" s="19">
        <v>-1</v>
      </c>
      <c r="W18" t="s">
        <v>4469</v>
      </c>
      <c r="Z18" t="s">
        <v>4466</v>
      </c>
      <c r="AA18" t="s">
        <v>4471</v>
      </c>
      <c r="AB18">
        <v>2100</v>
      </c>
      <c r="AC18">
        <f t="shared" si="3"/>
        <v>-0.932515337423313</v>
      </c>
      <c r="AD18">
        <v>0</v>
      </c>
      <c r="AE18" t="s">
        <v>4468</v>
      </c>
      <c r="AQ18" t="s">
        <v>4466</v>
      </c>
      <c r="AR18" t="s">
        <v>4467</v>
      </c>
      <c r="AS18">
        <v>0</v>
      </c>
      <c r="AU18">
        <v>3</v>
      </c>
      <c r="AV18" t="s">
        <v>4468</v>
      </c>
      <c r="BD18" s="22"/>
      <c r="BE18" s="22"/>
      <c r="BF18" s="23"/>
      <c r="BG18" s="23"/>
      <c r="BH18" s="23"/>
      <c r="BI18" s="23"/>
      <c r="BJ18" s="23"/>
      <c r="BK18" s="23"/>
    </row>
    <row r="19" ht="15.25" spans="2:63">
      <c r="B19" s="19" t="s">
        <v>4472</v>
      </c>
      <c r="C19" s="19">
        <v>2</v>
      </c>
      <c r="D19" s="19">
        <v>5</v>
      </c>
      <c r="E19" s="20">
        <v>5</v>
      </c>
      <c r="F19" s="20">
        <v>11</v>
      </c>
      <c r="G19" s="20">
        <v>12</v>
      </c>
      <c r="H19" s="20">
        <v>12</v>
      </c>
      <c r="I19" s="19">
        <v>1</v>
      </c>
      <c r="J19" s="19">
        <v>3</v>
      </c>
      <c r="K19" s="19">
        <v>3</v>
      </c>
      <c r="L19" s="19">
        <v>7.2</v>
      </c>
      <c r="M19" s="19">
        <v>3.5</v>
      </c>
      <c r="W19" t="s">
        <v>4469</v>
      </c>
      <c r="Z19" t="s">
        <v>4466</v>
      </c>
      <c r="AA19" t="s">
        <v>4470</v>
      </c>
      <c r="AB19">
        <v>0</v>
      </c>
      <c r="AC19">
        <f>AC17</f>
        <v>0.0674846625766871</v>
      </c>
      <c r="AD19">
        <v>5</v>
      </c>
      <c r="AE19" t="s">
        <v>4468</v>
      </c>
      <c r="AQ19" t="s">
        <v>4466</v>
      </c>
      <c r="AR19" t="s">
        <v>4471</v>
      </c>
      <c r="AS19">
        <v>0</v>
      </c>
      <c r="AU19">
        <v>3</v>
      </c>
      <c r="AV19" t="s">
        <v>4468</v>
      </c>
      <c r="BD19" s="22"/>
      <c r="BE19" s="22"/>
      <c r="BF19" s="23"/>
      <c r="BG19" s="23"/>
      <c r="BH19" s="23"/>
      <c r="BI19" s="23"/>
      <c r="BJ19" s="23"/>
      <c r="BK19" s="23"/>
    </row>
    <row r="20" spans="2:63">
      <c r="E20" s="21">
        <f t="shared" ref="E20:H20" si="4">E19/E18</f>
        <v>0.011037527593819</v>
      </c>
      <c r="F20" s="21">
        <f t="shared" si="4"/>
        <v>0.0269607843137255</v>
      </c>
      <c r="G20" s="21">
        <f t="shared" si="4"/>
        <v>0.0315789473684211</v>
      </c>
      <c r="H20" s="21">
        <f t="shared" si="4"/>
        <v>0.0340909090909091</v>
      </c>
      <c r="W20" t="s">
        <v>4469</v>
      </c>
      <c r="Z20" t="s">
        <v>4466</v>
      </c>
      <c r="AA20" t="s">
        <v>4471</v>
      </c>
      <c r="AB20">
        <v>0</v>
      </c>
      <c r="AC20">
        <f>AC18</f>
        <v>-0.932515337423313</v>
      </c>
      <c r="AD20">
        <v>5</v>
      </c>
      <c r="AE20" t="s">
        <v>4468</v>
      </c>
      <c r="AN20" s="24"/>
      <c r="AO20" s="24"/>
      <c r="AP20" s="24"/>
      <c r="AQ20" s="24"/>
      <c r="AR20" s="24"/>
      <c r="AS20" s="24"/>
      <c r="AT20" s="24"/>
      <c r="AU20" s="24"/>
      <c r="AV20" s="24"/>
      <c r="AW20" s="24"/>
    </row>
    <row r="21" spans="2:63">
      <c r="AN21" s="24"/>
      <c r="AO21" s="24"/>
      <c r="AP21" s="24"/>
      <c r="AQ21" s="24"/>
      <c r="AR21" s="24"/>
      <c r="AS21" s="24"/>
      <c r="AT21" s="24"/>
      <c r="AU21" s="24"/>
      <c r="AV21" s="24"/>
      <c r="AW21" s="24"/>
    </row>
    <row r="22" spans="2:63">
      <c r="AN22" s="24"/>
      <c r="AO22" s="24"/>
      <c r="AP22" s="24"/>
      <c r="AQ22" s="24"/>
      <c r="AR22" s="24"/>
      <c r="AS22" s="24"/>
      <c r="AT22" s="24"/>
      <c r="AU22" s="24"/>
      <c r="AV22" s="24"/>
      <c r="AW22" s="24"/>
    </row>
    <row r="23" spans="2:63">
      <c r="AN23" s="24"/>
      <c r="AO23" s="24"/>
      <c r="AP23" s="24"/>
      <c r="AQ23" s="24"/>
      <c r="AR23" s="24"/>
      <c r="AS23" s="24"/>
      <c r="AT23" s="24"/>
      <c r="AU23" s="24"/>
      <c r="AV23" s="24"/>
      <c r="AW23" s="24"/>
    </row>
    <row r="24" spans="2:63">
      <c r="AN24" s="24"/>
      <c r="AO24" s="24"/>
      <c r="AP24" s="24"/>
      <c r="AQ24" s="24"/>
      <c r="AR24" s="24"/>
      <c r="AS24" s="24"/>
      <c r="AT24" s="24"/>
      <c r="AU24" s="24"/>
      <c r="AV24" s="24"/>
      <c r="AW24" s="24"/>
    </row>
    <row r="25" spans="2:63">
      <c r="AN25" s="24"/>
      <c r="AO25" s="24"/>
      <c r="AP25" s="24"/>
      <c r="AQ25" s="24"/>
      <c r="AR25" s="24"/>
      <c r="AS25" s="24"/>
      <c r="AT25" s="24"/>
      <c r="AU25" s="24"/>
      <c r="AV25" s="24"/>
      <c r="AW25" s="24"/>
    </row>
    <row r="28" spans="2:63">
      <c r="U28" s="18" t="s">
        <v>26</v>
      </c>
    </row>
    <row r="29" spans="2:63">
      <c r="H29" s="16"/>
      <c r="AR29" s="18" t="s">
        <v>4473</v>
      </c>
    </row>
    <row r="31" spans="2:63">
      <c r="H31" s="16"/>
      <c r="AL31" t="s">
        <v>5</v>
      </c>
      <c r="AM31" t="s">
        <v>6</v>
      </c>
      <c r="AN31" t="s">
        <v>7</v>
      </c>
      <c r="AO31" t="s">
        <v>8</v>
      </c>
      <c r="AP31" t="s">
        <v>9</v>
      </c>
      <c r="AQ31" t="s">
        <v>4461</v>
      </c>
      <c r="AR31" t="s">
        <v>10</v>
      </c>
      <c r="AS31" t="s">
        <v>12</v>
      </c>
      <c r="AT31" t="s">
        <v>4462</v>
      </c>
      <c r="AU31" t="s">
        <v>15</v>
      </c>
      <c r="AV31" t="s">
        <v>13</v>
      </c>
      <c r="AW31" t="s">
        <v>4463</v>
      </c>
    </row>
    <row r="32" spans="2:63">
      <c r="U32" t="s">
        <v>5</v>
      </c>
      <c r="V32" t="s">
        <v>6</v>
      </c>
      <c r="W32" t="s">
        <v>7</v>
      </c>
      <c r="X32" t="s">
        <v>8</v>
      </c>
      <c r="Y32" t="s">
        <v>9</v>
      </c>
      <c r="Z32" t="s">
        <v>4461</v>
      </c>
      <c r="AA32" t="s">
        <v>10</v>
      </c>
      <c r="AB32" t="s">
        <v>12</v>
      </c>
      <c r="AC32" t="s">
        <v>4462</v>
      </c>
      <c r="AD32" t="s">
        <v>15</v>
      </c>
      <c r="AE32" t="s">
        <v>13</v>
      </c>
      <c r="AL32" t="s">
        <v>4465</v>
      </c>
      <c r="AQ32" t="s">
        <v>4466</v>
      </c>
      <c r="AR32" t="s">
        <v>4474</v>
      </c>
      <c r="AS32">
        <v>2019</v>
      </c>
      <c r="AT32">
        <v>0.05</v>
      </c>
      <c r="AU32">
        <v>0</v>
      </c>
      <c r="AV32" t="s">
        <v>4468</v>
      </c>
    </row>
    <row r="33" spans="21:88">
      <c r="U33" t="s">
        <v>4465</v>
      </c>
      <c r="W33" t="s">
        <v>4469</v>
      </c>
      <c r="Z33" t="s">
        <v>4466</v>
      </c>
      <c r="AA33" t="s">
        <v>4470</v>
      </c>
      <c r="AB33">
        <v>2019</v>
      </c>
      <c r="AC33">
        <f>E13</f>
        <v>0.04</v>
      </c>
      <c r="AD33">
        <v>0</v>
      </c>
      <c r="AE33" t="s">
        <v>4468</v>
      </c>
      <c r="AQ33" t="s">
        <v>4466</v>
      </c>
      <c r="AR33" t="s">
        <v>4475</v>
      </c>
      <c r="AS33">
        <v>2019</v>
      </c>
      <c r="AT33">
        <f t="shared" ref="AT33:AT37" si="5">-1+AT32</f>
        <v>-0.95</v>
      </c>
      <c r="AU33">
        <v>0</v>
      </c>
      <c r="AV33" t="s">
        <v>4468</v>
      </c>
    </row>
    <row r="34" spans="21:88">
      <c r="W34" t="s">
        <v>4469</v>
      </c>
      <c r="Z34" t="s">
        <v>4466</v>
      </c>
      <c r="AA34" t="s">
        <v>4471</v>
      </c>
      <c r="AB34">
        <v>2019</v>
      </c>
      <c r="AC34">
        <f t="shared" ref="AC34:AC38" si="6">-1+AC33</f>
        <v>-0.96</v>
      </c>
      <c r="AD34">
        <v>0</v>
      </c>
      <c r="AE34" t="s">
        <v>4468</v>
      </c>
      <c r="AQ34" t="s">
        <v>4466</v>
      </c>
      <c r="AR34" t="s">
        <v>4474</v>
      </c>
      <c r="AS34">
        <v>2024</v>
      </c>
      <c r="AT34">
        <v>0.05</v>
      </c>
      <c r="AU34">
        <v>0</v>
      </c>
      <c r="AV34" t="s">
        <v>4468</v>
      </c>
    </row>
    <row r="35" spans="21:88">
      <c r="W35" t="s">
        <v>4469</v>
      </c>
      <c r="Z35" t="s">
        <v>4466</v>
      </c>
      <c r="AA35" t="s">
        <v>4470</v>
      </c>
      <c r="AB35">
        <v>2024</v>
      </c>
      <c r="AC35">
        <f>E13</f>
        <v>0.04</v>
      </c>
      <c r="AD35">
        <v>0</v>
      </c>
      <c r="AE35" t="s">
        <v>4468</v>
      </c>
      <c r="AQ35" t="s">
        <v>4466</v>
      </c>
      <c r="AR35" t="s">
        <v>4475</v>
      </c>
      <c r="AS35">
        <v>2024</v>
      </c>
      <c r="AT35">
        <f t="shared" si="5"/>
        <v>-0.95</v>
      </c>
      <c r="AU35">
        <v>0</v>
      </c>
      <c r="AV35" t="s">
        <v>4468</v>
      </c>
    </row>
    <row r="36" spans="21:88">
      <c r="W36" t="s">
        <v>4469</v>
      </c>
      <c r="Z36" t="s">
        <v>4466</v>
      </c>
      <c r="AA36" t="s">
        <v>4471</v>
      </c>
      <c r="AB36">
        <v>2024</v>
      </c>
      <c r="AC36">
        <f t="shared" si="6"/>
        <v>-0.96</v>
      </c>
      <c r="AD36">
        <v>0</v>
      </c>
      <c r="AE36" t="s">
        <v>4468</v>
      </c>
      <c r="AQ36" t="s">
        <v>4466</v>
      </c>
      <c r="AR36" t="s">
        <v>4474</v>
      </c>
      <c r="AS36">
        <v>2035</v>
      </c>
      <c r="AT36">
        <v>0.05</v>
      </c>
      <c r="AU36">
        <v>0</v>
      </c>
      <c r="AV36" t="s">
        <v>4468</v>
      </c>
    </row>
    <row r="37" spans="21:88">
      <c r="W37" t="s">
        <v>4469</v>
      </c>
      <c r="Z37" t="s">
        <v>4466</v>
      </c>
      <c r="AA37" t="s">
        <v>4470</v>
      </c>
      <c r="AB37">
        <v>2035</v>
      </c>
      <c r="AC37">
        <f>F13</f>
        <v>0.0518518518518519</v>
      </c>
      <c r="AD37">
        <v>0</v>
      </c>
      <c r="AE37" t="s">
        <v>4468</v>
      </c>
      <c r="AQ37" t="s">
        <v>4466</v>
      </c>
      <c r="AR37" t="s">
        <v>4475</v>
      </c>
      <c r="AS37">
        <v>2035</v>
      </c>
      <c r="AT37">
        <f t="shared" si="5"/>
        <v>-0.95</v>
      </c>
      <c r="AU37">
        <v>0</v>
      </c>
      <c r="AV37" t="s">
        <v>4468</v>
      </c>
    </row>
    <row r="38" spans="21:88">
      <c r="W38" t="s">
        <v>4469</v>
      </c>
      <c r="Z38" t="s">
        <v>4466</v>
      </c>
      <c r="AA38" t="s">
        <v>4471</v>
      </c>
      <c r="AB38">
        <v>2035</v>
      </c>
      <c r="AC38">
        <f t="shared" si="6"/>
        <v>-0.948148148148148</v>
      </c>
      <c r="AD38">
        <v>0</v>
      </c>
      <c r="AE38" t="s">
        <v>4468</v>
      </c>
      <c r="AQ38" t="s">
        <v>4466</v>
      </c>
      <c r="AR38" t="s">
        <v>4474</v>
      </c>
      <c r="AS38">
        <v>2040</v>
      </c>
      <c r="AT38">
        <v>0.05</v>
      </c>
      <c r="AU38">
        <v>0</v>
      </c>
      <c r="AV38" t="s">
        <v>4468</v>
      </c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</row>
    <row r="39" spans="21:88">
      <c r="W39" t="s">
        <v>4469</v>
      </c>
      <c r="Z39" t="s">
        <v>4466</v>
      </c>
      <c r="AA39" t="s">
        <v>4470</v>
      </c>
      <c r="AB39">
        <v>2040</v>
      </c>
      <c r="AC39">
        <f>G13</f>
        <v>0.0510948905109489</v>
      </c>
      <c r="AD39">
        <v>0</v>
      </c>
      <c r="AE39" t="s">
        <v>4468</v>
      </c>
      <c r="AQ39" t="s">
        <v>4466</v>
      </c>
      <c r="AR39" t="s">
        <v>4475</v>
      </c>
      <c r="AS39">
        <v>2040</v>
      </c>
      <c r="AT39">
        <f t="shared" ref="AT39:AT43" si="7">-1+AT38</f>
        <v>-0.95</v>
      </c>
      <c r="AU39">
        <v>0</v>
      </c>
      <c r="AV39" t="s">
        <v>4468</v>
      </c>
    </row>
    <row r="40" spans="21:88">
      <c r="W40" t="s">
        <v>4469</v>
      </c>
      <c r="Z40" t="s">
        <v>4466</v>
      </c>
      <c r="AA40" t="s">
        <v>4471</v>
      </c>
      <c r="AB40">
        <v>2040</v>
      </c>
      <c r="AC40">
        <f t="shared" ref="AC40:AC44" si="8">-1+AC39</f>
        <v>-0.948905109489051</v>
      </c>
      <c r="AD40">
        <v>0</v>
      </c>
      <c r="AE40" t="s">
        <v>4468</v>
      </c>
      <c r="AQ40" t="s">
        <v>4466</v>
      </c>
      <c r="AR40" t="s">
        <v>4474</v>
      </c>
      <c r="AS40">
        <v>2050</v>
      </c>
      <c r="AT40">
        <v>0.05</v>
      </c>
      <c r="AU40">
        <v>0</v>
      </c>
      <c r="AV40" t="s">
        <v>4468</v>
      </c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</row>
    <row r="41" spans="21:88">
      <c r="W41" t="s">
        <v>4469</v>
      </c>
      <c r="Z41" t="s">
        <v>4466</v>
      </c>
      <c r="AA41" t="s">
        <v>4470</v>
      </c>
      <c r="AB41">
        <v>2050</v>
      </c>
      <c r="AC41">
        <f>H13</f>
        <v>0.0625</v>
      </c>
      <c r="AD41">
        <v>0</v>
      </c>
      <c r="AE41" t="s">
        <v>4468</v>
      </c>
      <c r="AQ41" t="s">
        <v>4466</v>
      </c>
      <c r="AR41" t="s">
        <v>4475</v>
      </c>
      <c r="AS41">
        <v>2050</v>
      </c>
      <c r="AT41">
        <f t="shared" si="7"/>
        <v>-0.95</v>
      </c>
      <c r="AU41">
        <v>0</v>
      </c>
      <c r="AV41" t="s">
        <v>4468</v>
      </c>
    </row>
    <row r="42" spans="21:88">
      <c r="W42" t="s">
        <v>4469</v>
      </c>
      <c r="Z42" t="s">
        <v>4466</v>
      </c>
      <c r="AA42" t="s">
        <v>4471</v>
      </c>
      <c r="AB42">
        <v>2050</v>
      </c>
      <c r="AC42">
        <f t="shared" si="8"/>
        <v>-0.9375</v>
      </c>
      <c r="AD42">
        <v>0</v>
      </c>
      <c r="AE42" t="s">
        <v>4468</v>
      </c>
      <c r="AQ42" t="s">
        <v>4466</v>
      </c>
      <c r="AR42" t="s">
        <v>4474</v>
      </c>
      <c r="AS42">
        <v>2100</v>
      </c>
      <c r="AT42">
        <v>0.05</v>
      </c>
      <c r="AU42">
        <v>0</v>
      </c>
      <c r="AV42" t="s">
        <v>4468</v>
      </c>
    </row>
    <row r="43" spans="21:88">
      <c r="W43" t="s">
        <v>4469</v>
      </c>
      <c r="Z43" t="s">
        <v>4466</v>
      </c>
      <c r="AA43" t="s">
        <v>4470</v>
      </c>
      <c r="AB43">
        <v>2100</v>
      </c>
      <c r="AC43">
        <f t="shared" ref="AC43:AC46" si="9">AC41</f>
        <v>0.0625</v>
      </c>
      <c r="AD43">
        <v>0</v>
      </c>
      <c r="AE43" t="s">
        <v>4468</v>
      </c>
      <c r="AQ43" t="s">
        <v>4466</v>
      </c>
      <c r="AR43" t="s">
        <v>4475</v>
      </c>
      <c r="AS43">
        <v>2100</v>
      </c>
      <c r="AT43">
        <f t="shared" si="7"/>
        <v>-0.95</v>
      </c>
      <c r="AU43">
        <v>0</v>
      </c>
      <c r="AV43" t="s">
        <v>4468</v>
      </c>
    </row>
    <row r="44" spans="21:88">
      <c r="W44" t="s">
        <v>4469</v>
      </c>
      <c r="Z44" t="s">
        <v>4466</v>
      </c>
      <c r="AA44" t="s">
        <v>4471</v>
      </c>
      <c r="AB44">
        <v>2100</v>
      </c>
      <c r="AC44">
        <f t="shared" si="8"/>
        <v>-0.9375</v>
      </c>
      <c r="AD44">
        <v>0</v>
      </c>
      <c r="AE44" t="s">
        <v>4468</v>
      </c>
      <c r="AQ44" t="s">
        <v>4466</v>
      </c>
      <c r="AR44" t="s">
        <v>4474</v>
      </c>
      <c r="AS44">
        <v>0</v>
      </c>
      <c r="AU44">
        <v>3</v>
      </c>
      <c r="AV44" t="s">
        <v>4468</v>
      </c>
    </row>
    <row r="45" spans="21:88">
      <c r="W45" t="s">
        <v>4469</v>
      </c>
      <c r="Z45" t="s">
        <v>4466</v>
      </c>
      <c r="AA45" t="s">
        <v>4470</v>
      </c>
      <c r="AB45">
        <v>0</v>
      </c>
      <c r="AC45">
        <f t="shared" si="9"/>
        <v>0.0625</v>
      </c>
      <c r="AD45">
        <v>5</v>
      </c>
      <c r="AE45" t="s">
        <v>4468</v>
      </c>
      <c r="AQ45" t="s">
        <v>4466</v>
      </c>
      <c r="AR45" t="s">
        <v>4475</v>
      </c>
      <c r="AS45">
        <v>0</v>
      </c>
      <c r="AU45">
        <v>3</v>
      </c>
      <c r="AV45" t="s">
        <v>4468</v>
      </c>
    </row>
    <row r="46" spans="21:88">
      <c r="W46" t="s">
        <v>4469</v>
      </c>
      <c r="Z46" t="s">
        <v>4466</v>
      </c>
      <c r="AA46" t="s">
        <v>4471</v>
      </c>
      <c r="AB46">
        <v>0</v>
      </c>
      <c r="AC46">
        <f t="shared" si="9"/>
        <v>-0.9375</v>
      </c>
      <c r="AD46">
        <v>5</v>
      </c>
      <c r="AE46" t="s">
        <v>4468</v>
      </c>
      <c r="AN46" s="24"/>
      <c r="AO46" s="24"/>
      <c r="AP46" s="24"/>
      <c r="AQ46" s="24"/>
      <c r="AR46" s="24"/>
      <c r="AS46" s="24"/>
      <c r="AT46" s="24"/>
      <c r="AU46" s="24"/>
      <c r="AV46" s="24"/>
      <c r="AW46" s="24"/>
    </row>
    <row r="47" spans="21:88">
      <c r="AN47" s="24"/>
      <c r="AO47" s="24"/>
      <c r="AP47" s="24"/>
      <c r="AQ47" s="24"/>
      <c r="AR47" s="24"/>
      <c r="AS47" s="24"/>
      <c r="AT47" s="24"/>
      <c r="AU47" s="24"/>
      <c r="AV47" s="24"/>
      <c r="AW47" s="24"/>
    </row>
    <row r="48" spans="21:88">
      <c r="AN48" s="24"/>
      <c r="AO48" s="24"/>
      <c r="AP48" s="24"/>
      <c r="AQ48" s="24"/>
      <c r="AR48" s="24"/>
      <c r="AS48" s="24"/>
      <c r="AT48" s="24"/>
      <c r="AU48" s="24"/>
      <c r="AV48" s="24"/>
      <c r="AW48" s="24"/>
    </row>
    <row r="49" spans="2:49">
      <c r="AN49" s="24"/>
      <c r="AO49" s="24"/>
      <c r="AP49" s="24"/>
      <c r="AQ49" s="24"/>
      <c r="AR49" s="24"/>
      <c r="AS49" s="24"/>
      <c r="AT49" s="24" t="s">
        <v>4476</v>
      </c>
      <c r="AU49" s="24"/>
      <c r="AV49" s="24"/>
      <c r="AW49" s="24"/>
    </row>
    <row r="56" spans="2:49">
      <c r="J56" t="s">
        <v>3</v>
      </c>
      <c r="Y56" t="s">
        <v>3</v>
      </c>
    </row>
    <row r="57" spans="2:49">
      <c r="B57" t="s">
        <v>5</v>
      </c>
      <c r="C57" t="s">
        <v>6</v>
      </c>
      <c r="D57" t="s">
        <v>7</v>
      </c>
      <c r="E57" t="s">
        <v>8</v>
      </c>
      <c r="F57" t="s">
        <v>9</v>
      </c>
      <c r="G57" t="s">
        <v>10</v>
      </c>
      <c r="H57" t="s">
        <v>11</v>
      </c>
      <c r="I57" t="s">
        <v>12</v>
      </c>
      <c r="J57" t="s">
        <v>13</v>
      </c>
      <c r="K57" t="s">
        <v>4462</v>
      </c>
      <c r="L57" t="s">
        <v>15</v>
      </c>
      <c r="Q57" t="s">
        <v>5</v>
      </c>
      <c r="R57" t="s">
        <v>6</v>
      </c>
      <c r="S57" t="s">
        <v>7</v>
      </c>
      <c r="T57" t="s">
        <v>8</v>
      </c>
      <c r="U57" t="s">
        <v>9</v>
      </c>
      <c r="V57" t="s">
        <v>10</v>
      </c>
      <c r="W57" t="s">
        <v>11</v>
      </c>
      <c r="X57" t="s">
        <v>12</v>
      </c>
      <c r="Y57" t="s">
        <v>13</v>
      </c>
      <c r="Z57" t="s">
        <v>4462</v>
      </c>
      <c r="AA57" t="s">
        <v>15</v>
      </c>
    </row>
    <row r="58" spans="2:49">
      <c r="B58" t="s">
        <v>4477</v>
      </c>
      <c r="G58" t="s">
        <v>4471</v>
      </c>
      <c r="I58">
        <v>2019</v>
      </c>
      <c r="J58" t="s">
        <v>21</v>
      </c>
      <c r="K58">
        <v>1</v>
      </c>
      <c r="L58">
        <f>L59</f>
        <v>5000</v>
      </c>
      <c r="Q58" t="s">
        <v>4478</v>
      </c>
      <c r="V58" t="s">
        <v>4475</v>
      </c>
      <c r="X58">
        <v>2019</v>
      </c>
      <c r="Y58" t="s">
        <v>21</v>
      </c>
      <c r="Z58">
        <v>1</v>
      </c>
      <c r="AA58">
        <v>5000</v>
      </c>
    </row>
    <row r="59" spans="2:49">
      <c r="G59" t="s">
        <v>4471</v>
      </c>
      <c r="I59">
        <v>2024</v>
      </c>
      <c r="J59" t="s">
        <v>21</v>
      </c>
      <c r="K59">
        <v>1</v>
      </c>
      <c r="L59">
        <f>E19*1000</f>
        <v>5000</v>
      </c>
      <c r="V59" t="s">
        <v>4475</v>
      </c>
      <c r="X59">
        <v>2024</v>
      </c>
      <c r="Y59" t="s">
        <v>21</v>
      </c>
      <c r="Z59">
        <v>1</v>
      </c>
      <c r="AA59">
        <v>5000</v>
      </c>
    </row>
    <row r="60" spans="2:49">
      <c r="G60" t="s">
        <v>4471</v>
      </c>
      <c r="I60">
        <v>2035</v>
      </c>
      <c r="J60" t="s">
        <v>21</v>
      </c>
      <c r="K60">
        <v>1</v>
      </c>
      <c r="L60">
        <f>F19*1000</f>
        <v>11000</v>
      </c>
      <c r="V60" t="s">
        <v>4475</v>
      </c>
      <c r="X60">
        <v>2035</v>
      </c>
      <c r="Y60" t="s">
        <v>21</v>
      </c>
      <c r="Z60">
        <v>1</v>
      </c>
      <c r="AA60">
        <f>AE60</f>
        <v>6000</v>
      </c>
      <c r="AC60">
        <v>9000</v>
      </c>
      <c r="AD60">
        <v>9000</v>
      </c>
      <c r="AE60">
        <v>6000</v>
      </c>
    </row>
    <row r="61" spans="2:49">
      <c r="G61" t="s">
        <v>4471</v>
      </c>
      <c r="I61">
        <v>2040</v>
      </c>
      <c r="J61" t="s">
        <v>21</v>
      </c>
      <c r="K61">
        <v>1</v>
      </c>
      <c r="L61">
        <f>G19*1000</f>
        <v>12000</v>
      </c>
      <c r="V61" t="s">
        <v>4475</v>
      </c>
      <c r="X61">
        <v>2040</v>
      </c>
      <c r="Y61" t="s">
        <v>21</v>
      </c>
      <c r="Z61">
        <v>1</v>
      </c>
      <c r="AA61">
        <f>AE61</f>
        <v>6000</v>
      </c>
      <c r="AC61">
        <v>10000</v>
      </c>
      <c r="AD61">
        <v>10000</v>
      </c>
      <c r="AE61">
        <v>6000</v>
      </c>
    </row>
    <row r="62" spans="2:49">
      <c r="G62" t="s">
        <v>4471</v>
      </c>
      <c r="I62">
        <v>2050</v>
      </c>
      <c r="J62" t="s">
        <v>21</v>
      </c>
      <c r="K62">
        <v>1</v>
      </c>
      <c r="L62" s="25">
        <v>30000</v>
      </c>
      <c r="V62" t="s">
        <v>4475</v>
      </c>
      <c r="X62">
        <v>2050</v>
      </c>
      <c r="Y62" t="s">
        <v>21</v>
      </c>
      <c r="Z62">
        <v>1</v>
      </c>
      <c r="AA62">
        <f>AE62</f>
        <v>8000</v>
      </c>
      <c r="AC62">
        <v>12000</v>
      </c>
      <c r="AD62">
        <v>12000</v>
      </c>
      <c r="AE62">
        <v>8000</v>
      </c>
    </row>
    <row r="63" spans="2:49">
      <c r="G63" t="s">
        <v>4471</v>
      </c>
      <c r="I63">
        <v>2100</v>
      </c>
      <c r="J63" t="s">
        <v>21</v>
      </c>
      <c r="K63">
        <v>1</v>
      </c>
      <c r="L63">
        <v>30000</v>
      </c>
      <c r="V63" t="s">
        <v>4475</v>
      </c>
      <c r="X63">
        <v>2100</v>
      </c>
      <c r="Y63" t="s">
        <v>21</v>
      </c>
      <c r="Z63">
        <v>1</v>
      </c>
      <c r="AA63">
        <f>AE63</f>
        <v>8000</v>
      </c>
      <c r="AC63">
        <f>AC62</f>
        <v>12000</v>
      </c>
      <c r="AD63">
        <f>AD62</f>
        <v>12000</v>
      </c>
      <c r="AE63">
        <f>AE62</f>
        <v>8000</v>
      </c>
    </row>
    <row r="64" spans="2:49">
      <c r="G64" t="s">
        <v>4471</v>
      </c>
      <c r="I64">
        <v>0</v>
      </c>
      <c r="J64" t="s">
        <v>21</v>
      </c>
      <c r="K64">
        <v>1</v>
      </c>
      <c r="L64">
        <v>5</v>
      </c>
      <c r="V64" t="s">
        <v>4475</v>
      </c>
      <c r="X64">
        <v>0</v>
      </c>
      <c r="Y64" t="s">
        <v>21</v>
      </c>
      <c r="Z64">
        <v>1</v>
      </c>
      <c r="AA64">
        <v>5</v>
      </c>
    </row>
    <row r="68" spans="12:12">
      <c r="L68" s="26"/>
    </row>
  </sheetData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4"/>
  <sheetViews>
    <sheetView zoomScale="72" zoomScaleNormal="72" workbookViewId="0">
      <selection activeCell="Q23" sqref="Q23"/>
    </sheetView>
  </sheetViews>
  <sheetFormatPr defaultColWidth="8.72727272727273" defaultRowHeight="14.5"/>
  <cols>
    <col min="13" max="13" width="12.7272727272727" customWidth="1"/>
  </cols>
  <sheetData>
    <row r="1" spans="2:15">
      <c r="B1" t="s">
        <v>4479</v>
      </c>
    </row>
    <row r="2" spans="2:15">
      <c r="H2" t="s">
        <v>4473</v>
      </c>
    </row>
    <row r="3" spans="2:15"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4461</v>
      </c>
      <c r="K3" t="s">
        <v>10</v>
      </c>
      <c r="L3" t="s">
        <v>12</v>
      </c>
      <c r="M3" t="s">
        <v>14</v>
      </c>
      <c r="N3" t="s">
        <v>15</v>
      </c>
      <c r="O3" t="s">
        <v>13</v>
      </c>
    </row>
    <row r="4" spans="2:15">
      <c r="E4" t="s">
        <v>4480</v>
      </c>
      <c r="J4" t="s">
        <v>4466</v>
      </c>
      <c r="K4" t="s">
        <v>4481</v>
      </c>
      <c r="L4">
        <v>2019</v>
      </c>
      <c r="M4">
        <v>1</v>
      </c>
      <c r="N4">
        <v>0</v>
      </c>
      <c r="O4" t="s">
        <v>4482</v>
      </c>
    </row>
    <row r="5" spans="2:15">
      <c r="L5">
        <v>0</v>
      </c>
      <c r="N5">
        <v>3</v>
      </c>
      <c r="O5" t="s">
        <v>4482</v>
      </c>
    </row>
    <row r="6" spans="2:15">
      <c r="E6" t="s">
        <v>4483</v>
      </c>
      <c r="J6" t="s">
        <v>4466</v>
      </c>
      <c r="K6" t="s">
        <v>4484</v>
      </c>
      <c r="L6">
        <v>2019</v>
      </c>
      <c r="M6">
        <v>1</v>
      </c>
      <c r="N6">
        <v>0</v>
      </c>
      <c r="O6" t="s">
        <v>4482</v>
      </c>
    </row>
    <row r="7" spans="2:15">
      <c r="L7">
        <v>0</v>
      </c>
      <c r="N7">
        <v>3</v>
      </c>
      <c r="O7" t="s">
        <v>4482</v>
      </c>
    </row>
    <row r="9" spans="2:15">
      <c r="E9" s="15" t="s">
        <v>4485</v>
      </c>
      <c r="F9" s="15"/>
      <c r="G9" s="15"/>
      <c r="H9" s="15"/>
      <c r="I9" s="15"/>
      <c r="J9" s="15" t="s">
        <v>4466</v>
      </c>
      <c r="K9" s="15" t="s">
        <v>4486</v>
      </c>
      <c r="L9" s="15">
        <v>2019</v>
      </c>
      <c r="M9" s="15">
        <v>1</v>
      </c>
      <c r="N9" s="15">
        <v>0</v>
      </c>
      <c r="O9" s="15" t="s">
        <v>4482</v>
      </c>
    </row>
    <row r="10" spans="2:15">
      <c r="E10" s="15"/>
      <c r="F10" s="15"/>
      <c r="G10" s="15"/>
      <c r="H10" s="15"/>
      <c r="I10" s="15"/>
      <c r="J10" s="15"/>
      <c r="K10" s="15"/>
      <c r="L10" s="15">
        <v>0</v>
      </c>
      <c r="M10" s="15"/>
      <c r="N10" s="15">
        <v>3</v>
      </c>
      <c r="O10" s="15" t="s">
        <v>4482</v>
      </c>
    </row>
    <row r="11" spans="2:15">
      <c r="E11" s="15" t="s">
        <v>4487</v>
      </c>
      <c r="F11" s="15"/>
      <c r="G11" s="15"/>
      <c r="H11" s="15"/>
      <c r="I11" s="15"/>
      <c r="J11" s="15" t="s">
        <v>4466</v>
      </c>
      <c r="K11" s="15" t="s">
        <v>4488</v>
      </c>
      <c r="L11" s="15">
        <v>2019</v>
      </c>
      <c r="M11" s="15">
        <v>1</v>
      </c>
      <c r="N11" s="15">
        <v>0</v>
      </c>
      <c r="O11" s="15" t="s">
        <v>4482</v>
      </c>
    </row>
    <row r="12" spans="2:15">
      <c r="E12" s="15"/>
      <c r="F12" s="15"/>
      <c r="G12" s="15"/>
      <c r="H12" s="15"/>
      <c r="I12" s="15"/>
      <c r="J12" s="15"/>
      <c r="K12" s="15"/>
      <c r="L12" s="15">
        <v>0</v>
      </c>
      <c r="M12" s="15"/>
      <c r="N12" s="15">
        <v>3</v>
      </c>
      <c r="O12" s="15" t="s">
        <v>4482</v>
      </c>
    </row>
    <row r="13" spans="2:15">
      <c r="E13" s="15" t="s">
        <v>4489</v>
      </c>
      <c r="F13" s="15"/>
      <c r="G13" s="15"/>
      <c r="H13" s="15"/>
      <c r="I13" s="15"/>
      <c r="J13" s="15" t="s">
        <v>4466</v>
      </c>
      <c r="K13" s="15" t="s">
        <v>4490</v>
      </c>
      <c r="L13" s="15">
        <v>2019</v>
      </c>
      <c r="M13" s="15">
        <v>1</v>
      </c>
      <c r="N13" s="15">
        <v>0</v>
      </c>
      <c r="O13" s="15" t="s">
        <v>4482</v>
      </c>
    </row>
    <row r="14" spans="2:15">
      <c r="E14" s="15"/>
      <c r="F14" s="15"/>
      <c r="G14" s="15"/>
      <c r="H14" s="15"/>
      <c r="I14" s="15"/>
      <c r="J14" s="15"/>
      <c r="K14" s="15"/>
      <c r="L14" s="15">
        <v>0</v>
      </c>
      <c r="M14" s="15"/>
      <c r="N14" s="15">
        <v>3</v>
      </c>
      <c r="O14" s="15" t="s">
        <v>4482</v>
      </c>
    </row>
    <row r="15" spans="2:15">
      <c r="E15" s="15" t="s">
        <v>4491</v>
      </c>
      <c r="F15" s="15"/>
      <c r="G15" s="15"/>
      <c r="H15" s="15"/>
      <c r="I15" s="15"/>
      <c r="J15" s="15" t="s">
        <v>4466</v>
      </c>
      <c r="K15" s="15" t="s">
        <v>4492</v>
      </c>
      <c r="L15" s="15">
        <v>2019</v>
      </c>
      <c r="M15" s="15">
        <v>1</v>
      </c>
      <c r="N15" s="15">
        <v>0</v>
      </c>
      <c r="O15" s="15" t="s">
        <v>4482</v>
      </c>
    </row>
    <row r="16" spans="2:15">
      <c r="E16" s="15"/>
      <c r="F16" s="15"/>
      <c r="G16" s="15"/>
      <c r="H16" s="15"/>
      <c r="I16" s="15"/>
      <c r="J16" s="15"/>
      <c r="K16" s="15"/>
      <c r="L16" s="15">
        <v>0</v>
      </c>
      <c r="M16" s="15"/>
      <c r="N16" s="15">
        <v>3</v>
      </c>
      <c r="O16" s="15" t="s">
        <v>4482</v>
      </c>
    </row>
    <row r="17" spans="5:16">
      <c r="E17" s="15" t="s">
        <v>4493</v>
      </c>
      <c r="F17" s="15"/>
      <c r="G17" s="15"/>
      <c r="H17" s="15"/>
      <c r="I17" s="15"/>
      <c r="J17" s="15" t="s">
        <v>4466</v>
      </c>
      <c r="K17" s="15" t="s">
        <v>4475</v>
      </c>
      <c r="L17" s="15">
        <v>2019</v>
      </c>
      <c r="M17" s="15">
        <v>1</v>
      </c>
      <c r="N17" s="15">
        <v>0</v>
      </c>
      <c r="O17" s="15" t="s">
        <v>4482</v>
      </c>
    </row>
    <row r="18" spans="5:16">
      <c r="E18" s="15"/>
      <c r="F18" s="15"/>
      <c r="G18" s="15"/>
      <c r="H18" s="15"/>
      <c r="I18" s="15"/>
      <c r="J18" s="15"/>
      <c r="K18" s="15"/>
      <c r="L18" s="15">
        <v>0</v>
      </c>
      <c r="M18" s="15"/>
      <c r="N18" s="15">
        <v>3</v>
      </c>
      <c r="O18" s="15" t="s">
        <v>4482</v>
      </c>
    </row>
    <row r="19" spans="5:16">
      <c r="E19" s="15" t="s">
        <v>4494</v>
      </c>
      <c r="F19" s="15"/>
      <c r="G19" s="15"/>
      <c r="H19" s="15"/>
      <c r="I19" s="15"/>
      <c r="J19" s="15" t="s">
        <v>4466</v>
      </c>
      <c r="K19" s="15" t="s">
        <v>4495</v>
      </c>
      <c r="L19" s="15">
        <v>2019</v>
      </c>
      <c r="M19" s="15">
        <v>1</v>
      </c>
      <c r="N19" s="15">
        <v>0</v>
      </c>
      <c r="O19" s="15" t="s">
        <v>4482</v>
      </c>
    </row>
    <row r="20" spans="5:16">
      <c r="E20" s="15"/>
      <c r="F20" s="15"/>
      <c r="G20" s="15"/>
      <c r="H20" s="15"/>
      <c r="I20" s="15"/>
      <c r="J20" s="15"/>
      <c r="K20" s="15"/>
      <c r="L20" s="15">
        <v>0</v>
      </c>
      <c r="M20" s="15"/>
      <c r="N20" s="15">
        <v>3</v>
      </c>
      <c r="O20" s="15" t="s">
        <v>4482</v>
      </c>
    </row>
    <row r="21" spans="5:16">
      <c r="E21" s="15" t="s">
        <v>4496</v>
      </c>
      <c r="F21" s="15"/>
      <c r="G21" s="15"/>
      <c r="H21" s="15"/>
      <c r="I21" s="15"/>
      <c r="J21" s="15" t="s">
        <v>4466</v>
      </c>
      <c r="K21" s="15" t="s">
        <v>4497</v>
      </c>
      <c r="L21" s="15">
        <v>2019</v>
      </c>
      <c r="M21" s="15">
        <v>1</v>
      </c>
      <c r="N21" s="15">
        <v>0</v>
      </c>
      <c r="O21" s="15" t="s">
        <v>4482</v>
      </c>
    </row>
    <row r="22" spans="5:16">
      <c r="E22" s="15"/>
      <c r="F22" s="15"/>
      <c r="G22" s="15"/>
      <c r="H22" s="15"/>
      <c r="I22" s="15"/>
      <c r="J22" s="15"/>
      <c r="K22" s="15"/>
      <c r="L22" s="15">
        <v>0</v>
      </c>
      <c r="M22" s="15"/>
      <c r="N22" s="15">
        <v>3</v>
      </c>
      <c r="O22" s="15" t="s">
        <v>4482</v>
      </c>
    </row>
    <row r="23" spans="5:16">
      <c r="E23" s="15" t="s">
        <v>4498</v>
      </c>
      <c r="F23" s="15"/>
      <c r="G23" s="15"/>
      <c r="H23" s="15"/>
      <c r="I23" s="15"/>
      <c r="J23" s="15" t="s">
        <v>4466</v>
      </c>
      <c r="K23" s="15" t="s">
        <v>4499</v>
      </c>
      <c r="L23" s="15">
        <v>2019</v>
      </c>
      <c r="M23" s="15">
        <v>1</v>
      </c>
      <c r="N23" s="15">
        <v>0</v>
      </c>
      <c r="O23" s="15" t="s">
        <v>4482</v>
      </c>
    </row>
    <row r="24" spans="5:16">
      <c r="E24" s="15"/>
      <c r="F24" s="15"/>
      <c r="G24" s="15"/>
      <c r="H24" s="15"/>
      <c r="I24" s="15"/>
      <c r="J24" s="15"/>
      <c r="K24" s="15"/>
      <c r="L24" s="15">
        <v>0</v>
      </c>
      <c r="M24" s="15"/>
      <c r="N24" s="15">
        <v>3</v>
      </c>
      <c r="O24" s="15" t="s">
        <v>4482</v>
      </c>
    </row>
    <row r="32" spans="5:16">
      <c r="P32" s="16"/>
    </row>
    <row r="34" spans="16:16">
      <c r="P34" s="16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S33"/>
  <sheetViews>
    <sheetView zoomScale="88" zoomScaleNormal="88" topLeftCell="M1" workbookViewId="0">
      <selection activeCell="U19" sqref="U19"/>
    </sheetView>
  </sheetViews>
  <sheetFormatPr defaultColWidth="8.72727272727273" defaultRowHeight="14.5"/>
  <cols>
    <col min="7" max="7" width="21.8" customWidth="1"/>
    <col min="13" max="13" width="30.7272727272727" customWidth="1"/>
    <col min="14" max="14" width="5.52727272727273" customWidth="1"/>
    <col min="15" max="15" width="31.7272727272727" customWidth="1"/>
    <col min="16" max="16" width="10.2" customWidth="1"/>
  </cols>
  <sheetData>
    <row r="1" spans="7:19">
      <c r="O1" t="s">
        <v>4500</v>
      </c>
    </row>
    <row r="2" spans="7:19">
      <c r="G2" s="1"/>
      <c r="J2" s="2"/>
    </row>
    <row r="3" ht="15.25" spans="7:19">
      <c r="H3" s="3"/>
      <c r="I3" s="3"/>
      <c r="J3" s="4"/>
      <c r="K3" s="4"/>
      <c r="N3" t="s">
        <v>12</v>
      </c>
      <c r="O3" t="s">
        <v>4501</v>
      </c>
      <c r="P3" t="s">
        <v>15</v>
      </c>
      <c r="Q3" s="4" t="s">
        <v>54</v>
      </c>
    </row>
    <row r="4" spans="7:19">
      <c r="H4" s="5"/>
      <c r="J4" s="6"/>
      <c r="K4" s="6"/>
      <c r="N4">
        <v>2035</v>
      </c>
      <c r="O4" t="str">
        <f>O6</f>
        <v>TAD, TAI</v>
      </c>
      <c r="P4" t="str">
        <f>"*"&amp;ROUND(Q22/P22,3)</f>
        <v>*1.214</v>
      </c>
      <c r="Q4" s="7" t="s">
        <v>4460</v>
      </c>
    </row>
    <row r="5" spans="7:19">
      <c r="N5">
        <v>2040</v>
      </c>
      <c r="O5" t="str">
        <f>O4</f>
        <v>TAD, TAI</v>
      </c>
      <c r="P5" t="str">
        <f>"*"&amp;ROUND(R22/P22,3)</f>
        <v>*1.214</v>
      </c>
      <c r="Q5" s="7" t="s">
        <v>4460</v>
      </c>
    </row>
    <row r="6" spans="7:19">
      <c r="N6">
        <v>2050</v>
      </c>
      <c r="O6" t="s">
        <v>4502</v>
      </c>
      <c r="P6" t="str">
        <f>"*"&amp;ROUND(S22/P22,3)</f>
        <v>*1.143</v>
      </c>
      <c r="Q6" s="7" t="s">
        <v>4460</v>
      </c>
    </row>
    <row r="7" spans="7:19">
      <c r="N7">
        <v>2100</v>
      </c>
      <c r="O7" t="str">
        <f>O6</f>
        <v>TAD, TAI</v>
      </c>
      <c r="P7" t="str">
        <f>P6</f>
        <v>*1.143</v>
      </c>
      <c r="Q7" s="7" t="s">
        <v>4460</v>
      </c>
    </row>
    <row r="8" spans="7:19">
      <c r="N8">
        <v>2035</v>
      </c>
      <c r="O8" t="s">
        <v>4503</v>
      </c>
      <c r="P8" t="str">
        <f>"*"&amp;ROUND(Q33/P33,3)</f>
        <v>*0.818</v>
      </c>
      <c r="Q8" s="7" t="s">
        <v>4460</v>
      </c>
    </row>
    <row r="9" spans="7:19">
      <c r="N9">
        <v>2040</v>
      </c>
      <c r="O9" t="s">
        <v>4503</v>
      </c>
      <c r="P9" t="str">
        <f>"*"&amp;ROUND(R33/P33,3)</f>
        <v>*0.818</v>
      </c>
      <c r="Q9" s="7" t="s">
        <v>4460</v>
      </c>
    </row>
    <row r="10" spans="7:19">
      <c r="N10">
        <v>2050</v>
      </c>
      <c r="O10" t="s">
        <v>4503</v>
      </c>
      <c r="P10" t="str">
        <f>"*"&amp;ROUND(S33/P33,3)</f>
        <v>*0.818</v>
      </c>
      <c r="Q10" s="7" t="s">
        <v>4460</v>
      </c>
    </row>
    <row r="11" spans="7:19">
      <c r="N11">
        <v>2100</v>
      </c>
      <c r="O11" t="s">
        <v>4503</v>
      </c>
      <c r="P11" t="str">
        <f>P10</f>
        <v>*0.818</v>
      </c>
      <c r="Q11" s="7" t="s">
        <v>4460</v>
      </c>
    </row>
    <row r="16" spans="7:19">
      <c r="N16" s="8" t="s">
        <v>4504</v>
      </c>
      <c r="O16" s="8"/>
      <c r="P16" s="9"/>
      <c r="Q16" s="9"/>
      <c r="R16" s="8"/>
      <c r="S16" s="8"/>
    </row>
    <row r="17" spans="14:19">
      <c r="N17" s="8" t="s">
        <v>4505</v>
      </c>
      <c r="O17" s="8"/>
      <c r="P17" s="9"/>
      <c r="Q17" s="9"/>
      <c r="R17" s="8"/>
      <c r="S17" s="8"/>
    </row>
    <row r="18" spans="14:19">
      <c r="N18" s="8"/>
      <c r="O18" s="8"/>
      <c r="P18" s="9"/>
      <c r="Q18" s="9"/>
      <c r="R18" s="8"/>
      <c r="S18" s="8"/>
    </row>
    <row r="19" spans="14:19">
      <c r="N19" s="10" t="s">
        <v>12</v>
      </c>
      <c r="O19" s="10"/>
      <c r="P19" s="11">
        <v>2024</v>
      </c>
      <c r="Q19" s="11">
        <v>2035</v>
      </c>
      <c r="R19" s="10">
        <v>2040</v>
      </c>
      <c r="S19" s="10">
        <v>2050</v>
      </c>
    </row>
    <row r="20" spans="14:19">
      <c r="N20" s="12" t="s">
        <v>25</v>
      </c>
      <c r="O20" s="12"/>
      <c r="P20" s="13">
        <v>14</v>
      </c>
      <c r="Q20" s="13">
        <v>19</v>
      </c>
      <c r="R20" s="14">
        <v>21</v>
      </c>
      <c r="S20" s="14">
        <v>25</v>
      </c>
    </row>
    <row r="21" ht="26" spans="14:19">
      <c r="N21" s="12" t="s">
        <v>4506</v>
      </c>
      <c r="O21" s="12"/>
      <c r="P21" s="13">
        <v>14</v>
      </c>
      <c r="Q21" s="13">
        <v>19</v>
      </c>
      <c r="R21" s="14">
        <v>21</v>
      </c>
      <c r="S21" s="14">
        <v>24</v>
      </c>
    </row>
    <row r="22" spans="14:19">
      <c r="N22" s="12" t="s">
        <v>27</v>
      </c>
      <c r="O22" s="12"/>
      <c r="P22" s="13">
        <v>14</v>
      </c>
      <c r="Q22" s="13">
        <v>17</v>
      </c>
      <c r="R22" s="14">
        <v>17</v>
      </c>
      <c r="S22" s="14">
        <v>16</v>
      </c>
    </row>
    <row r="23" spans="14:19">
      <c r="N23" s="8"/>
      <c r="O23" s="8"/>
      <c r="P23" s="9"/>
      <c r="Q23" s="9"/>
      <c r="R23" s="8"/>
      <c r="S23" s="8"/>
    </row>
    <row r="24" spans="14:19">
      <c r="N24" s="8"/>
      <c r="O24" s="8"/>
      <c r="P24" s="9"/>
      <c r="Q24" s="9"/>
      <c r="R24" s="8"/>
      <c r="S24" s="8"/>
    </row>
    <row r="25" spans="14:19">
      <c r="N25" s="8"/>
      <c r="O25" s="8"/>
      <c r="P25" s="9"/>
      <c r="Q25" s="9"/>
      <c r="R25" s="8"/>
      <c r="S25" s="8"/>
    </row>
    <row r="26" spans="14:19">
      <c r="N26" s="8"/>
      <c r="O26" s="8"/>
      <c r="P26" s="9"/>
      <c r="Q26" s="9"/>
      <c r="R26" s="8"/>
      <c r="S26" s="8"/>
    </row>
    <row r="27" spans="14:19">
      <c r="N27" s="8"/>
      <c r="O27" s="8"/>
      <c r="P27" s="9"/>
      <c r="Q27" s="9"/>
      <c r="R27" s="8"/>
      <c r="S27" s="8"/>
    </row>
    <row r="28" spans="14:19">
      <c r="N28" s="8"/>
      <c r="O28" s="8"/>
      <c r="P28" s="9"/>
      <c r="Q28" s="9"/>
      <c r="R28" s="8"/>
      <c r="S28" s="8"/>
    </row>
    <row r="29" spans="14:19">
      <c r="N29" s="8" t="s">
        <v>4507</v>
      </c>
      <c r="O29" s="8"/>
      <c r="P29" s="9"/>
      <c r="Q29" s="9"/>
      <c r="R29" s="8"/>
      <c r="S29" s="8"/>
    </row>
    <row r="30" spans="14:19">
      <c r="N30" s="10" t="s">
        <v>12</v>
      </c>
      <c r="O30" s="10"/>
      <c r="P30" s="11">
        <v>2024</v>
      </c>
      <c r="Q30" s="11">
        <v>2035</v>
      </c>
      <c r="R30" s="10">
        <v>2040</v>
      </c>
      <c r="S30" s="10">
        <v>2050</v>
      </c>
    </row>
    <row r="31" spans="14:19">
      <c r="N31" s="12" t="s">
        <v>25</v>
      </c>
      <c r="O31" s="12"/>
      <c r="P31" s="13">
        <v>11</v>
      </c>
      <c r="Q31" s="13">
        <v>14</v>
      </c>
      <c r="R31" s="14">
        <v>15</v>
      </c>
      <c r="S31" s="14">
        <v>17</v>
      </c>
    </row>
    <row r="32" ht="26" spans="14:19">
      <c r="N32" s="12" t="s">
        <v>4506</v>
      </c>
      <c r="O32" s="12"/>
      <c r="P32" s="13">
        <v>11</v>
      </c>
      <c r="Q32" s="13">
        <v>13</v>
      </c>
      <c r="R32" s="14">
        <v>13</v>
      </c>
      <c r="S32" s="14">
        <v>14</v>
      </c>
    </row>
    <row r="33" spans="14:19">
      <c r="N33" s="12" t="s">
        <v>27</v>
      </c>
      <c r="O33" s="12"/>
      <c r="P33" s="13">
        <v>11</v>
      </c>
      <c r="Q33" s="13">
        <v>9</v>
      </c>
      <c r="R33" s="14">
        <v>9</v>
      </c>
      <c r="S33" s="14">
        <v>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DeletSectoralEmissions</vt:lpstr>
      <vt:lpstr>Economy-wideEmissions-relaxCons</vt:lpstr>
      <vt:lpstr>Economy-wideEmissions (2)</vt:lpstr>
      <vt:lpstr>SPV_cost_reductions</vt:lpstr>
      <vt:lpstr>Wind_Cost_reductions</vt:lpstr>
      <vt:lpstr>Wind2_costs</vt:lpstr>
      <vt:lpstr>Low RE Costs</vt:lpstr>
      <vt:lpstr>DeletBound_on_nuclear_andFossil</vt:lpstr>
      <vt:lpstr>DeletBound_on_gas</vt:lpstr>
      <vt:lpstr>DeletBound_on_oil</vt:lpstr>
      <vt:lpstr>DeletBound_on_coal</vt:lpstr>
      <vt:lpstr>Bioenergy_use</vt:lpstr>
      <vt:lpstr>TRDgasUseZero</vt:lpstr>
      <vt:lpstr>No-road-demand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xli9</cp:lastModifiedBy>
  <dcterms:created xsi:type="dcterms:W3CDTF">2025-07-21T09:59:00Z</dcterms:created>
  <dcterms:modified xsi:type="dcterms:W3CDTF">2026-08-11T00:58:46Z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41EE87B8ED074489B62F3AF92294C3DF_12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